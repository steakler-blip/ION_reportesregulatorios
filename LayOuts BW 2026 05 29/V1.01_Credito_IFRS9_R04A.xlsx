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TAMO DE VALORES" sheetId="1" r:id="rId5"/>
    <sheet state="visible" name="CATALOGOS" sheetId="2" r:id="rId6"/>
  </sheets>
  <definedNames/>
  <calcPr/>
</workbook>
</file>

<file path=xl/sharedStrings.xml><?xml version="1.0" encoding="utf-8"?>
<sst xmlns="http://schemas.openxmlformats.org/spreadsheetml/2006/main" count="254" uniqueCount="141">
  <si>
    <t>PRESTAMO DE VALORES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</si>
  <si>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</si>
  <si>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</si>
  <si>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</si>
  <si>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</si>
  <si>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</si>
  <si>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</si>
  <si>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</si>
  <si>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</si>
  <si>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</si>
  <si>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</si>
  <si>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</si>
  <si>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</si>
  <si>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</si>
  <si>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</si>
  <si>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</si>
  <si>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</si>
  <si>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</si>
  <si>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</si>
  <si>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</si>
  <si>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</si>
  <si>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</si>
  <si>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FEC_CONCERTACION</t>
  </si>
  <si>
    <t>FECHA</t>
  </si>
  <si>
    <t>AAAA/MM/DD</t>
  </si>
  <si>
    <t>PRESTAMOS SECCION 1 Y SECCION 2</t>
  </si>
  <si>
    <t>Fecha en que se concertó la operación de préstamo (Formato AAAA/MM/DD).</t>
  </si>
  <si>
    <t>Concept to be reported</t>
  </si>
  <si>
    <t/>
  </si>
  <si>
    <t>BALANZA DIARIA</t>
  </si>
  <si>
    <t>CUENTA</t>
  </si>
  <si>
    <t>HORA_CONCERTACION</t>
  </si>
  <si>
    <t>NUMERICO</t>
  </si>
  <si>
    <t>5,2</t>
  </si>
  <si>
    <t>Hora en que se concertó la operación de préstamo.</t>
  </si>
  <si>
    <t>Amount in MXN</t>
  </si>
  <si>
    <t>SALDO</t>
  </si>
  <si>
    <t>POS_OPERACION</t>
  </si>
  <si>
    <t>2</t>
  </si>
  <si>
    <t>Catalogo</t>
  </si>
  <si>
    <t>Posición de la Institución en el préstamo (Prestamista = 50, Prestatario = 55).</t>
  </si>
  <si>
    <t>Amount in Foreign Currency</t>
  </si>
  <si>
    <t>NA</t>
  </si>
  <si>
    <t>FEC_INICIO</t>
  </si>
  <si>
    <t>Fecha en que inicia la operación de préstamo (Formato AAAA/MM/DD).</t>
  </si>
  <si>
    <t>Amount in Foreign Currency of Agencies</t>
  </si>
  <si>
    <t>FEC_VENCIMIENTO</t>
  </si>
  <si>
    <t>Fecha de vencimiento de la operación de préstamo (Formato AAAA/MM/DD).</t>
  </si>
  <si>
    <t>Currency of the amount</t>
  </si>
  <si>
    <t>FIJO</t>
  </si>
  <si>
    <t>MXN</t>
  </si>
  <si>
    <t>IMPORTE_PREMIO</t>
  </si>
  <si>
    <t>12</t>
  </si>
  <si>
    <t>Importe del premio en el préstamo (Expresado en pesos o en dólares de los E.U.A.)</t>
  </si>
  <si>
    <t>MONEDA_PREMIO</t>
  </si>
  <si>
    <t>TEXTO</t>
  </si>
  <si>
    <t>3</t>
  </si>
  <si>
    <t>MONEDA</t>
  </si>
  <si>
    <t>Moneda del premio pactado en el préstamo (Clave conforme al “Catálogo de Monedas”).</t>
  </si>
  <si>
    <t>IMPORTE_CASTIGO</t>
  </si>
  <si>
    <t>Importe del castigo por cancelación anticipada del préstamo (Expresado en pesos o en dólares de los E.U.A.)</t>
  </si>
  <si>
    <t>MONEDA_CASTIGO</t>
  </si>
  <si>
    <t>Moneda del castigo pactado en el préstamo (Clave conforme al “Catálogo de Monedas”).</t>
  </si>
  <si>
    <t>TIPO_GARANTIA</t>
  </si>
  <si>
    <t>Tipo de garantía del préstamo (Clave conforme al “Catálogo de Garantías”).</t>
  </si>
  <si>
    <t>AFORO</t>
  </si>
  <si>
    <t>Aforo pactado para la garantía en el préstamo (Enteros y hasta dos decimales).</t>
  </si>
  <si>
    <t>CVE_TITULO</t>
  </si>
  <si>
    <t>18</t>
  </si>
  <si>
    <t>Clave del título objeto de la operación de Préstamo (Clave conforme al “Catálogo de Títulos de Deuda en M.N. o UDIS”).</t>
  </si>
  <si>
    <t>NUMERO_TITULOS_OPER</t>
  </si>
  <si>
    <t>Número de títulos negociados en el préstamo.</t>
  </si>
  <si>
    <t>CONTRAPARTE</t>
  </si>
  <si>
    <t>6</t>
  </si>
  <si>
    <t>CASFIM</t>
  </si>
  <si>
    <t>Contraparte con la que se concertó la operación de préstamo (Clave conforme al “Catálogo de Contrapartes”).</t>
  </si>
  <si>
    <t>SIST_NEGOCIACION</t>
  </si>
  <si>
    <t>Sistema de Negociación con el cual se concertó el préstamo (Clave conforme al “Catálogo de Sistemas de Negociación”).</t>
  </si>
  <si>
    <t>OFICINA</t>
  </si>
  <si>
    <t>Oficina que concertó el préstamo (Clave conforme al “Catálogo de Tipo de Oficina”).</t>
  </si>
  <si>
    <t>Si</t>
  </si>
  <si>
    <t>NUM_ID</t>
  </si>
  <si>
    <t>37</t>
  </si>
  <si>
    <t>Número de Identificación del préstamo</t>
  </si>
  <si>
    <t>NUM_TITULOS_TRANSF</t>
  </si>
  <si>
    <t>Número de títulos no transferidos en la fecha de inicio pactada en el préstamo.</t>
  </si>
  <si>
    <t>FECHA_INFO</t>
  </si>
  <si>
    <t>Control interno</t>
  </si>
  <si>
    <t>Fecha a la que corresponde la información</t>
  </si>
  <si>
    <t>necesitamos actualizar este catalogo</t>
  </si>
  <si>
    <t>Clave</t>
  </si>
  <si>
    <t>Descripción</t>
  </si>
  <si>
    <t>Prestamista de la Institución</t>
  </si>
  <si>
    <t>Prestataria de la Institución</t>
  </si>
  <si>
    <t>DE</t>
  </si>
  <si>
    <t>Titulos de Deuda</t>
  </si>
  <si>
    <t>AC</t>
  </si>
  <si>
    <t>Acciones</t>
  </si>
  <si>
    <t>10</t>
  </si>
  <si>
    <t>Enlace INT, S.A. de C.V.</t>
  </si>
  <si>
    <t>30</t>
  </si>
  <si>
    <t>Remate Electrónico, S.A. de C.V.</t>
  </si>
  <si>
    <t>35</t>
  </si>
  <si>
    <t>GFI group Mexico, S.A. de C.V. (interbancario)</t>
  </si>
  <si>
    <t>36</t>
  </si>
  <si>
    <t>GFI group México, S.A. de C.V. (con clientes)</t>
  </si>
  <si>
    <t>40</t>
  </si>
  <si>
    <t>SIF-Garban Intercapital Mexico, S.A. de C.V.</t>
  </si>
  <si>
    <t>45</t>
  </si>
  <si>
    <t>Plataforma SIPO (de SIF-ICAP)</t>
  </si>
  <si>
    <t>50</t>
  </si>
  <si>
    <t>Remate Lince, S.A. de C.V.</t>
  </si>
  <si>
    <t>55</t>
  </si>
  <si>
    <t>Sistemas VAR, S.A. de C.V.</t>
  </si>
  <si>
    <t>60</t>
  </si>
  <si>
    <t>SENTRA</t>
  </si>
  <si>
    <t>70</t>
  </si>
  <si>
    <t>HARLOW</t>
  </si>
  <si>
    <t>90</t>
  </si>
  <si>
    <t>Decimales</t>
  </si>
  <si>
    <t>38</t>
  </si>
  <si>
    <t>Tullet Prebon México, S.A. de C.V. (con clientes)</t>
  </si>
  <si>
    <t>96</t>
  </si>
  <si>
    <t>Tradition S.A. de C.V. (con clientes)</t>
  </si>
  <si>
    <t>95</t>
  </si>
  <si>
    <t>Tradition S.A. de C.V. (Interbancario)</t>
  </si>
  <si>
    <t>Tullet Prebon México, S.A. de C.V. (Interbancario)</t>
  </si>
  <si>
    <t>26</t>
  </si>
  <si>
    <t>Mercado Electrónico Institucional S.A. de C.V. (MEI)(INTERBANCARIO)</t>
  </si>
  <si>
    <t>25</t>
  </si>
  <si>
    <t>Mercado Electrónico Institucional S.A. de C.V. (MEI)(CON CLIENTES)</t>
  </si>
  <si>
    <t>80</t>
  </si>
  <si>
    <t>Sin corro electrónico</t>
  </si>
  <si>
    <t>94</t>
  </si>
  <si>
    <t>Bull and Bear</t>
  </si>
  <si>
    <t>RM</t>
  </si>
  <si>
    <t>Republica Mexicana</t>
  </si>
  <si>
    <t>AG</t>
  </si>
  <si>
    <t>Agencias y Sucursales del Exterior</t>
  </si>
  <si>
    <t>EF</t>
  </si>
  <si>
    <t>Entidad Financiera del Exterior Filial de la Institución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</si>
</sst>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u/>
      <sz val="12.0"/>
      <color theme="10"/>
      <name val="Calibri"/>
    </font>
    <font>
      <b/>
      <sz val="24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92D050"/>
        <bgColor rgb="FF92D05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quotePrefix="1" borderId="0" fillId="0" fontId="6" numFmtId="0" xfId="0" applyFont="1"/>
    <xf borderId="0" fillId="0" fontId="6" numFmtId="0" xfId="0" applyFont="1"/>
    <xf borderId="1" fillId="3" fontId="6" numFmtId="0" xfId="0" applyBorder="1" applyFill="1" applyFont="1"/>
    <xf borderId="1" fillId="3" fontId="6" numFmtId="0" xfId="0" applyBorder="1" applyFont="1"/>
    <xf borderId="0" fillId="0" fontId="7" numFmtId="0" xfId="0" applyFont="1"/>
    <xf borderId="2" fillId="0" fontId="7" numFmtId="0" xfId="0" applyBorder="1" applyFont="1"/>
    <xf borderId="2" fillId="0" fontId="6" numFmtId="0" xfId="0" applyBorder="1" applyFont="1"/>
    <xf borderId="2" fillId="3" fontId="7" numFmtId="0" xfId="0" applyBorder="1" applyFont="1"/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RESTAMO DE VAL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T23" displayName="Table_1" name="Table_1" id="1">
  <tableColumns count="20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  <tableColumn name="Insumo" id="17"/>
    <tableColumn name="Campo / Regla" id="18"/>
    <tableColumn name="Validaciones" id="19"/>
    <tableColumn name="Column1" id="20"/>
  </tableColumns>
  <tableStyleInfo name="PRESTAMO DE VAL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9.0"/>
    <col customWidth="1" min="3" max="3" width="10.56"/>
    <col customWidth="1" min="4" max="4" width="18.11"/>
    <col customWidth="1" min="5" max="5" width="11.78"/>
    <col customWidth="1" min="6" max="11" width="10.56"/>
    <col customWidth="1" min="12" max="12" width="24.33"/>
    <col customWidth="1" min="13" max="13" width="38.33"/>
    <col customWidth="1" min="14" max="16" width="10.56"/>
    <col customWidth="1" min="17" max="17" width="28.78"/>
    <col customWidth="1" min="18" max="19" width="10.56"/>
    <col customWidth="1" min="20" max="20" width="45.44"/>
    <col customWidth="1" min="21" max="26" width="10.56"/>
  </cols>
  <sheetData>
    <row r="1" ht="15.75" customHeight="1">
      <c r="A1" s="1"/>
    </row>
    <row r="2" ht="15.75" customHeight="1">
      <c r="A2" s="2" t="s">
        <v>0</v>
      </c>
    </row>
    <row r="3" ht="15.75" customHeight="1"/>
    <row r="4" ht="15.7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4" t="s">
        <v>17</v>
      </c>
      <c r="R4" s="4" t="s">
        <v>18</v>
      </c>
      <c r="S4" s="4" t="s">
        <v>19</v>
      </c>
      <c r="T4" s="3" t="s">
        <v>20</v>
      </c>
      <c r="U4" s="5"/>
      <c r="V4" s="5"/>
      <c r="W4" s="5"/>
      <c r="X4" s="5"/>
      <c r="Y4" s="5"/>
      <c r="Z4" s="5"/>
    </row>
    <row r="5" ht="15.75" customHeight="1">
      <c r="A5" s="6" t="s">
        <v>0</v>
      </c>
      <c r="B5" s="6">
        <v>1.0</v>
      </c>
      <c r="C5" s="6" t="s">
        <v>21</v>
      </c>
      <c r="D5" s="6" t="s">
        <v>22</v>
      </c>
      <c r="E5" s="6" t="s">
        <v>23</v>
      </c>
      <c r="F5" s="7" t="s">
        <v>24</v>
      </c>
      <c r="G5" s="6"/>
      <c r="H5" s="6"/>
      <c r="I5" s="6"/>
      <c r="J5" s="6" t="s">
        <v>25</v>
      </c>
      <c r="K5" s="6"/>
      <c r="L5" s="6" t="s">
        <v>26</v>
      </c>
      <c r="M5" s="6" t="s">
        <v>27</v>
      </c>
      <c r="N5" s="6"/>
      <c r="O5" s="6" t="s">
        <v>28</v>
      </c>
      <c r="P5" s="6" t="s">
        <v>28</v>
      </c>
      <c r="Q5" s="6" t="s">
        <v>29</v>
      </c>
      <c r="R5" s="6" t="s">
        <v>30</v>
      </c>
      <c r="S5" s="6"/>
      <c r="T5" s="6"/>
    </row>
    <row r="6" ht="15.75" customHeight="1">
      <c r="A6" s="6" t="s">
        <v>0</v>
      </c>
      <c r="B6" s="6">
        <v>2.0</v>
      </c>
      <c r="C6" s="6" t="s">
        <v>21</v>
      </c>
      <c r="D6" s="6" t="s">
        <v>31</v>
      </c>
      <c r="E6" s="6" t="s">
        <v>32</v>
      </c>
      <c r="F6" s="6" t="s">
        <v>33</v>
      </c>
      <c r="G6" s="6"/>
      <c r="H6" s="6"/>
      <c r="I6" s="6"/>
      <c r="J6" s="6" t="s">
        <v>25</v>
      </c>
      <c r="K6" s="6"/>
      <c r="L6" s="6" t="s">
        <v>34</v>
      </c>
      <c r="M6" s="6" t="s">
        <v>35</v>
      </c>
      <c r="N6" s="6" t="s">
        <v>28</v>
      </c>
      <c r="O6" s="6" t="s">
        <v>28</v>
      </c>
      <c r="P6" s="6" t="s">
        <v>28</v>
      </c>
      <c r="Q6" s="6" t="s">
        <v>29</v>
      </c>
      <c r="R6" s="6" t="s">
        <v>36</v>
      </c>
      <c r="S6" s="6"/>
      <c r="T6" s="6"/>
    </row>
    <row r="7" ht="15.75" customHeight="1">
      <c r="A7" s="6" t="s">
        <v>0</v>
      </c>
      <c r="B7" s="6">
        <v>3.0</v>
      </c>
      <c r="C7" s="6" t="s">
        <v>21</v>
      </c>
      <c r="D7" s="6" t="s">
        <v>37</v>
      </c>
      <c r="E7" s="6" t="s">
        <v>32</v>
      </c>
      <c r="F7" s="7" t="s">
        <v>38</v>
      </c>
      <c r="G7" s="6"/>
      <c r="H7" s="6" t="s">
        <v>39</v>
      </c>
      <c r="I7" s="6" t="s">
        <v>37</v>
      </c>
      <c r="J7" s="6" t="s">
        <v>25</v>
      </c>
      <c r="K7" s="6"/>
      <c r="L7" s="6" t="s">
        <v>40</v>
      </c>
      <c r="M7" s="6" t="s">
        <v>41</v>
      </c>
      <c r="N7" s="6" t="s">
        <v>28</v>
      </c>
      <c r="O7" s="6" t="s">
        <v>28</v>
      </c>
      <c r="P7" s="6" t="s">
        <v>28</v>
      </c>
      <c r="Q7" s="6"/>
      <c r="R7" s="6" t="s">
        <v>42</v>
      </c>
      <c r="S7" s="6"/>
      <c r="T7" s="6"/>
    </row>
    <row r="8" ht="15.75" customHeight="1">
      <c r="A8" s="6" t="s">
        <v>0</v>
      </c>
      <c r="B8" s="6">
        <v>4.0</v>
      </c>
      <c r="C8" s="6" t="s">
        <v>21</v>
      </c>
      <c r="D8" s="6" t="s">
        <v>43</v>
      </c>
      <c r="E8" s="6" t="s">
        <v>23</v>
      </c>
      <c r="F8" s="7" t="s">
        <v>24</v>
      </c>
      <c r="G8" s="6"/>
      <c r="H8" s="6"/>
      <c r="I8" s="6"/>
      <c r="J8" s="6" t="s">
        <v>25</v>
      </c>
      <c r="K8" s="6"/>
      <c r="L8" s="6" t="s">
        <v>44</v>
      </c>
      <c r="M8" s="6" t="s">
        <v>45</v>
      </c>
      <c r="N8" s="6"/>
      <c r="O8" s="6"/>
      <c r="P8" s="6"/>
      <c r="Q8" s="6"/>
      <c r="R8" s="6" t="s">
        <v>42</v>
      </c>
      <c r="S8" s="6"/>
      <c r="T8" s="6"/>
    </row>
    <row r="9" ht="15.75" customHeight="1">
      <c r="A9" s="6" t="s">
        <v>0</v>
      </c>
      <c r="B9" s="6">
        <v>5.0</v>
      </c>
      <c r="C9" s="6" t="s">
        <v>21</v>
      </c>
      <c r="D9" s="6" t="s">
        <v>46</v>
      </c>
      <c r="E9" s="6" t="s">
        <v>23</v>
      </c>
      <c r="F9" s="7" t="s">
        <v>24</v>
      </c>
      <c r="G9" s="6"/>
      <c r="H9" s="6"/>
      <c r="I9" s="6"/>
      <c r="J9" s="6" t="s">
        <v>25</v>
      </c>
      <c r="K9" s="6"/>
      <c r="L9" s="6" t="s">
        <v>47</v>
      </c>
      <c r="M9" s="6" t="s">
        <v>48</v>
      </c>
      <c r="N9" s="6"/>
      <c r="O9" s="6"/>
      <c r="P9" s="6"/>
      <c r="Q9" s="6" t="s">
        <v>49</v>
      </c>
      <c r="R9" s="6" t="s">
        <v>50</v>
      </c>
      <c r="S9" s="6"/>
      <c r="T9" s="6"/>
    </row>
    <row r="10" ht="15.75" customHeight="1">
      <c r="A10" s="6" t="s">
        <v>0</v>
      </c>
      <c r="B10" s="6">
        <v>6.0</v>
      </c>
      <c r="C10" s="6" t="s">
        <v>21</v>
      </c>
      <c r="D10" s="8" t="s">
        <v>51</v>
      </c>
      <c r="E10" s="8" t="s">
        <v>32</v>
      </c>
      <c r="F10" s="7" t="s">
        <v>52</v>
      </c>
      <c r="G10" s="8"/>
      <c r="H10" s="8"/>
      <c r="I10" s="8"/>
      <c r="J10" s="6" t="s">
        <v>25</v>
      </c>
      <c r="K10" s="8"/>
      <c r="L10" s="8" t="s">
        <v>53</v>
      </c>
      <c r="M10" s="8"/>
      <c r="N10" s="8"/>
      <c r="O10" s="8"/>
      <c r="P10" s="8"/>
      <c r="Q10" s="8" t="str">
        <f>ARRAY_CONSTRAIN(ARRAYFORMULA(- Archivo Excel conciliación contable fiscal de VW Bank
- Archivo Excel conciliación contable fiscal de VW Servicios), 1, 1)</f>
        <v>#ERROR!</v>
      </c>
      <c r="R10" s="8"/>
      <c r="S10" s="8"/>
      <c r="T10" s="8"/>
    </row>
    <row r="11" ht="15.75" customHeight="1">
      <c r="A11" s="6" t="s">
        <v>0</v>
      </c>
      <c r="B11" s="6">
        <v>7.0</v>
      </c>
      <c r="C11" s="6" t="s">
        <v>21</v>
      </c>
      <c r="D11" s="8" t="s">
        <v>54</v>
      </c>
      <c r="E11" s="8" t="s">
        <v>55</v>
      </c>
      <c r="F11" s="7" t="s">
        <v>56</v>
      </c>
      <c r="G11" s="8"/>
      <c r="H11" s="6" t="s">
        <v>39</v>
      </c>
      <c r="I11" s="8" t="s">
        <v>57</v>
      </c>
      <c r="J11" s="6" t="s">
        <v>25</v>
      </c>
      <c r="K11" s="8"/>
      <c r="L11" s="8" t="s">
        <v>58</v>
      </c>
      <c r="M11" s="8"/>
      <c r="N11" s="8"/>
      <c r="O11" s="8"/>
      <c r="P11" s="8"/>
      <c r="Q11" s="8" t="str">
        <f>ARRAY_CONSTRAIN(ARRAYFORMULA(- Archivo Excel conciliación contable fiscal de VW Bank
- Archivo Excel conciliación contable fiscal de VW Servicios), 1, 1)</f>
        <v>#ERROR!</v>
      </c>
      <c r="R11" s="8"/>
      <c r="S11" s="8"/>
      <c r="T11" s="8"/>
    </row>
    <row r="12" ht="15.75" customHeight="1">
      <c r="A12" s="6" t="s">
        <v>0</v>
      </c>
      <c r="B12" s="6">
        <v>8.0</v>
      </c>
      <c r="C12" s="6" t="s">
        <v>21</v>
      </c>
      <c r="D12" s="8" t="s">
        <v>59</v>
      </c>
      <c r="E12" s="8" t="s">
        <v>32</v>
      </c>
      <c r="F12" s="7" t="s">
        <v>52</v>
      </c>
      <c r="G12" s="8"/>
      <c r="H12" s="8"/>
      <c r="I12" s="8"/>
      <c r="J12" s="6" t="s">
        <v>25</v>
      </c>
      <c r="K12" s="8"/>
      <c r="L12" s="8" t="s">
        <v>60</v>
      </c>
      <c r="M12" s="8"/>
      <c r="N12" s="8"/>
      <c r="O12" s="8"/>
      <c r="P12" s="8"/>
      <c r="Q12" s="8" t="str">
        <f>ARRAY_CONSTRAIN(ARRAYFORMULA(- Archivo Excel conciliación contable fiscal de VW Bank
- Archivo Excel conciliación contable fiscal de VW Servicios), 1, 1)</f>
        <v>#ERROR!</v>
      </c>
      <c r="R12" s="8"/>
      <c r="S12" s="8"/>
      <c r="T12" s="8"/>
    </row>
    <row r="13" ht="15.75" customHeight="1">
      <c r="A13" s="6" t="s">
        <v>0</v>
      </c>
      <c r="B13" s="6">
        <v>9.0</v>
      </c>
      <c r="C13" s="6" t="s">
        <v>21</v>
      </c>
      <c r="D13" s="8" t="s">
        <v>61</v>
      </c>
      <c r="E13" s="8" t="s">
        <v>55</v>
      </c>
      <c r="F13" s="7" t="s">
        <v>56</v>
      </c>
      <c r="G13" s="8"/>
      <c r="H13" s="6" t="s">
        <v>39</v>
      </c>
      <c r="I13" s="8" t="s">
        <v>57</v>
      </c>
      <c r="J13" s="6" t="s">
        <v>25</v>
      </c>
      <c r="K13" s="8"/>
      <c r="L13" s="8" t="s">
        <v>62</v>
      </c>
      <c r="M13" s="8"/>
      <c r="N13" s="8"/>
      <c r="O13" s="8"/>
      <c r="P13" s="8"/>
      <c r="Q13" s="8" t="str">
        <f>ARRAY_CONSTRAIN(ARRAYFORMULA(- Archivo Excel conciliación contable fiscal de VW Bank
- Archivo Excel conciliación contable fiscal de VW Servicios), 1, 1)</f>
        <v>#ERROR!</v>
      </c>
      <c r="R13" s="8"/>
      <c r="S13" s="8"/>
      <c r="T13" s="8"/>
    </row>
    <row r="14" ht="15.75" customHeight="1">
      <c r="A14" s="6" t="s">
        <v>0</v>
      </c>
      <c r="B14" s="6">
        <v>10.0</v>
      </c>
      <c r="C14" s="6" t="s">
        <v>21</v>
      </c>
      <c r="D14" s="8" t="s">
        <v>63</v>
      </c>
      <c r="E14" s="8" t="s">
        <v>32</v>
      </c>
      <c r="F14" s="7" t="s">
        <v>38</v>
      </c>
      <c r="G14" s="8"/>
      <c r="H14" s="6" t="s">
        <v>39</v>
      </c>
      <c r="I14" s="9" t="s">
        <v>63</v>
      </c>
      <c r="J14" s="6" t="s">
        <v>25</v>
      </c>
      <c r="K14" s="8"/>
      <c r="L14" s="8" t="s">
        <v>64</v>
      </c>
      <c r="M14" s="8"/>
      <c r="N14" s="8"/>
      <c r="O14" s="8"/>
      <c r="P14" s="8"/>
      <c r="Q14" s="8" t="str">
        <f>ARRAY_CONSTRAIN(ARRAYFORMULA(- Archivo Excel conciliación contable fiscal de VW Bank
- Archivo Excel conciliación contable fiscal de VW Servicios), 1, 1)</f>
        <v>#ERROR!</v>
      </c>
      <c r="R14" s="8"/>
      <c r="S14" s="8"/>
      <c r="T14" s="8"/>
    </row>
    <row r="15" ht="15.75" customHeight="1">
      <c r="A15" s="6" t="s">
        <v>0</v>
      </c>
      <c r="B15" s="6">
        <v>11.0</v>
      </c>
      <c r="C15" s="6" t="s">
        <v>21</v>
      </c>
      <c r="D15" s="8" t="s">
        <v>65</v>
      </c>
      <c r="E15" s="8" t="s">
        <v>32</v>
      </c>
      <c r="F15" s="8" t="s">
        <v>33</v>
      </c>
      <c r="G15" s="8"/>
      <c r="H15" s="8"/>
      <c r="I15" s="8"/>
      <c r="J15" s="6" t="s">
        <v>25</v>
      </c>
      <c r="K15" s="8"/>
      <c r="L15" s="8" t="s">
        <v>66</v>
      </c>
      <c r="M15" s="8"/>
      <c r="N15" s="8"/>
      <c r="O15" s="8"/>
      <c r="P15" s="8"/>
      <c r="Q15" s="8" t="str">
        <f>ARRAY_CONSTRAIN(ARRAYFORMULA(- Archivo Excel conciliación contable fiscal de VW Bank
- Archivo Excel conciliación contable fiscal de VW Servicios), 1, 1)</f>
        <v>#ERROR!</v>
      </c>
      <c r="R15" s="8"/>
      <c r="S15" s="8"/>
      <c r="T15" s="8"/>
    </row>
    <row r="16" ht="15.75" customHeight="1">
      <c r="A16" s="6" t="s">
        <v>0</v>
      </c>
      <c r="B16" s="6">
        <v>12.0</v>
      </c>
      <c r="C16" s="6" t="s">
        <v>21</v>
      </c>
      <c r="D16" s="8" t="s">
        <v>67</v>
      </c>
      <c r="E16" s="8" t="s">
        <v>55</v>
      </c>
      <c r="F16" s="7" t="s">
        <v>68</v>
      </c>
      <c r="G16" s="8"/>
      <c r="H16" s="8"/>
      <c r="I16" s="8"/>
      <c r="J16" s="6" t="s">
        <v>25</v>
      </c>
      <c r="K16" s="8"/>
      <c r="L16" s="8" t="s">
        <v>69</v>
      </c>
      <c r="M16" s="8"/>
      <c r="N16" s="8"/>
      <c r="O16" s="8"/>
      <c r="P16" s="8"/>
      <c r="Q16" s="8" t="str">
        <f>ARRAY_CONSTRAIN(ARRAYFORMULA(- Archivo Excel conciliación contable fiscal de VW Bank
- Archivo Excel conciliación contable fiscal de VW Servicios), 1, 1)</f>
        <v>#ERROR!</v>
      </c>
      <c r="R16" s="8"/>
      <c r="S16" s="8"/>
      <c r="T16" s="8"/>
    </row>
    <row r="17" ht="15.75" customHeight="1">
      <c r="A17" s="6" t="s">
        <v>0</v>
      </c>
      <c r="B17" s="6">
        <v>13.0</v>
      </c>
      <c r="C17" s="6" t="s">
        <v>21</v>
      </c>
      <c r="D17" s="8" t="s">
        <v>70</v>
      </c>
      <c r="E17" s="8" t="s">
        <v>32</v>
      </c>
      <c r="F17" s="7" t="s">
        <v>52</v>
      </c>
      <c r="G17" s="8"/>
      <c r="H17" s="8"/>
      <c r="I17" s="8"/>
      <c r="J17" s="6" t="s">
        <v>25</v>
      </c>
      <c r="K17" s="8"/>
      <c r="L17" s="8" t="s">
        <v>71</v>
      </c>
      <c r="M17" s="8"/>
      <c r="N17" s="8"/>
      <c r="O17" s="8"/>
      <c r="P17" s="8"/>
      <c r="Q17" s="8" t="str">
        <f>ARRAY_CONSTRAIN(ARRAYFORMULA(- Archivo Excel conciliación contable fiscal de VW Bank
- Archivo Excel conciliación contable fiscal de VW Servicios), 1, 1)</f>
        <v>#ERROR!</v>
      </c>
      <c r="R17" s="8"/>
      <c r="S17" s="8"/>
      <c r="T17" s="8"/>
    </row>
    <row r="18" ht="15.75" customHeight="1">
      <c r="A18" s="6" t="s">
        <v>0</v>
      </c>
      <c r="B18" s="6">
        <v>14.0</v>
      </c>
      <c r="C18" s="6" t="s">
        <v>21</v>
      </c>
      <c r="D18" s="8" t="s">
        <v>72</v>
      </c>
      <c r="E18" s="8" t="s">
        <v>55</v>
      </c>
      <c r="F18" s="7" t="s">
        <v>73</v>
      </c>
      <c r="G18" s="8"/>
      <c r="H18" s="8" t="s">
        <v>39</v>
      </c>
      <c r="I18" s="8" t="s">
        <v>74</v>
      </c>
      <c r="J18" s="6" t="s">
        <v>25</v>
      </c>
      <c r="K18" s="8"/>
      <c r="L18" s="8" t="s">
        <v>75</v>
      </c>
      <c r="M18" s="8"/>
      <c r="N18" s="8"/>
      <c r="O18" s="8"/>
      <c r="P18" s="8"/>
      <c r="Q18" s="8" t="str">
        <f>ARRAY_CONSTRAIN(ARRAYFORMULA(- Archivo Excel conciliación contable fiscal de VW Bank
- Archivo Excel conciliación contable fiscal de VW Servicios), 1, 1)</f>
        <v>#ERROR!</v>
      </c>
      <c r="R18" s="8"/>
      <c r="S18" s="8"/>
      <c r="T18" s="8"/>
    </row>
    <row r="19" ht="15.75" customHeight="1">
      <c r="A19" s="6" t="s">
        <v>0</v>
      </c>
      <c r="B19" s="6">
        <v>15.0</v>
      </c>
      <c r="C19" s="6" t="s">
        <v>21</v>
      </c>
      <c r="D19" s="8" t="s">
        <v>76</v>
      </c>
      <c r="E19" s="8" t="s">
        <v>32</v>
      </c>
      <c r="F19" s="7" t="s">
        <v>38</v>
      </c>
      <c r="G19" s="8"/>
      <c r="H19" s="8" t="s">
        <v>39</v>
      </c>
      <c r="I19" s="8" t="s">
        <v>76</v>
      </c>
      <c r="J19" s="6" t="s">
        <v>25</v>
      </c>
      <c r="K19" s="8"/>
      <c r="L19" s="8" t="s">
        <v>77</v>
      </c>
      <c r="M19" s="8"/>
      <c r="N19" s="8"/>
      <c r="O19" s="8"/>
      <c r="P19" s="8"/>
      <c r="Q19" s="8" t="str">
        <f>ARRAY_CONSTRAIN(ARRAYFORMULA(- Archivo Excel conciliación contable fiscal de VW Bank
- Archivo Excel conciliación contable fiscal de VW Servicios), 1, 1)</f>
        <v>#ERROR!</v>
      </c>
      <c r="R19" s="8"/>
      <c r="S19" s="8"/>
      <c r="T19" s="8"/>
    </row>
    <row r="20" ht="15.75" customHeight="1">
      <c r="A20" s="6" t="s">
        <v>0</v>
      </c>
      <c r="B20" s="6">
        <v>16.0</v>
      </c>
      <c r="C20" s="6" t="s">
        <v>21</v>
      </c>
      <c r="D20" s="8" t="s">
        <v>78</v>
      </c>
      <c r="E20" s="8" t="s">
        <v>55</v>
      </c>
      <c r="F20" s="7" t="s">
        <v>38</v>
      </c>
      <c r="G20" s="8"/>
      <c r="H20" s="8" t="s">
        <v>39</v>
      </c>
      <c r="I20" s="8" t="s">
        <v>78</v>
      </c>
      <c r="J20" s="6" t="s">
        <v>25</v>
      </c>
      <c r="K20" s="8"/>
      <c r="L20" s="8" t="s">
        <v>79</v>
      </c>
      <c r="M20" s="8"/>
      <c r="N20" s="8"/>
      <c r="O20" s="8"/>
      <c r="P20" s="8"/>
      <c r="Q20" s="8" t="str">
        <f>ARRAY_CONSTRAIN(ARRAYFORMULA(- Archivo Excel conciliación contable fiscal de VW Bank
- Archivo Excel conciliación contable fiscal de VW Servicios), 1, 1)</f>
        <v>#ERROR!</v>
      </c>
      <c r="R20" s="8"/>
      <c r="S20" s="8"/>
      <c r="T20" s="8"/>
    </row>
    <row r="21" ht="15.75" customHeight="1">
      <c r="A21" s="6" t="s">
        <v>0</v>
      </c>
      <c r="B21" s="6">
        <v>17.0</v>
      </c>
      <c r="C21" s="6" t="s">
        <v>80</v>
      </c>
      <c r="D21" s="8" t="s">
        <v>81</v>
      </c>
      <c r="E21" s="8" t="s">
        <v>55</v>
      </c>
      <c r="F21" s="7" t="s">
        <v>82</v>
      </c>
      <c r="G21" s="8"/>
      <c r="H21" s="8"/>
      <c r="I21" s="8"/>
      <c r="J21" s="6" t="s">
        <v>25</v>
      </c>
      <c r="K21" s="8"/>
      <c r="L21" s="8" t="s">
        <v>83</v>
      </c>
      <c r="M21" s="8"/>
      <c r="N21" s="8"/>
      <c r="O21" s="8"/>
      <c r="P21" s="8"/>
      <c r="Q21" s="8" t="str">
        <f>ARRAY_CONSTRAIN(ARRAYFORMULA(- Archivo Excel conciliación contable fiscal de VW Bank
- Archivo Excel conciliación contable fiscal de VW Servicios), 1, 1)</f>
        <v>#ERROR!</v>
      </c>
      <c r="R21" s="8"/>
      <c r="S21" s="8"/>
      <c r="T21" s="8"/>
    </row>
    <row r="22" ht="15.75" customHeight="1">
      <c r="A22" s="6" t="s">
        <v>0</v>
      </c>
      <c r="B22" s="6">
        <v>18.0</v>
      </c>
      <c r="C22" s="6" t="s">
        <v>21</v>
      </c>
      <c r="D22" s="8" t="s">
        <v>84</v>
      </c>
      <c r="E22" s="8" t="s">
        <v>32</v>
      </c>
      <c r="F22" s="7" t="s">
        <v>52</v>
      </c>
      <c r="G22" s="8"/>
      <c r="H22" s="8"/>
      <c r="I22" s="8"/>
      <c r="J22" s="6" t="s">
        <v>25</v>
      </c>
      <c r="K22" s="8"/>
      <c r="L22" s="8" t="s">
        <v>85</v>
      </c>
      <c r="M22" s="8"/>
      <c r="N22" s="8"/>
      <c r="O22" s="8"/>
      <c r="P22" s="8"/>
      <c r="Q22" s="8" t="str">
        <f>ARRAY_CONSTRAIN(ARRAYFORMULA(- Archivo Excel conciliación contable fiscal de VW Bank
- Archivo Excel conciliación contable fiscal de VW Servicios), 1, 1)</f>
        <v>#ERROR!</v>
      </c>
      <c r="R22" s="8"/>
      <c r="S22" s="8"/>
      <c r="T22" s="8"/>
    </row>
    <row r="23" ht="15.75" customHeight="1">
      <c r="A23" s="6" t="s">
        <v>0</v>
      </c>
      <c r="B23" s="8">
        <v>19.0</v>
      </c>
      <c r="C23" s="6" t="s">
        <v>21</v>
      </c>
      <c r="D23" s="8" t="s">
        <v>86</v>
      </c>
      <c r="E23" s="6" t="s">
        <v>23</v>
      </c>
      <c r="F23" s="7" t="s">
        <v>24</v>
      </c>
      <c r="G23" s="8"/>
      <c r="H23" s="8"/>
      <c r="I23" s="8"/>
      <c r="J23" s="8" t="s">
        <v>87</v>
      </c>
      <c r="K23" s="8"/>
      <c r="L23" s="8" t="s">
        <v>88</v>
      </c>
      <c r="M23" s="8"/>
      <c r="N23" s="8"/>
      <c r="O23" s="8"/>
      <c r="P23" s="8"/>
      <c r="Q23" s="8" t="str">
        <f>ARRAY_CONSTRAIN(ARRAYFORMULA(- Archivo Excel conciliación contable fiscal de VW Bank
- Archivo Excel conciliación contable fiscal de VW Servicios), 1, 1)</f>
        <v>#ERROR!</v>
      </c>
      <c r="R23" s="8"/>
      <c r="S23" s="8"/>
      <c r="T23" s="8"/>
    </row>
    <row r="24" ht="15.75" customHeight="1"/>
    <row r="25" ht="15.75" customHeight="1">
      <c r="A25" s="10" t="s">
        <v>89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59.33"/>
    <col customWidth="1" min="3" max="26" width="10.56"/>
  </cols>
  <sheetData>
    <row r="1" ht="15.75" customHeight="1">
      <c r="A1" s="11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2" t="s">
        <v>90</v>
      </c>
      <c r="B2" s="12" t="s">
        <v>91</v>
      </c>
    </row>
    <row r="3" ht="15.75" customHeight="1">
      <c r="A3" s="13">
        <v>50.0</v>
      </c>
      <c r="B3" s="13" t="s">
        <v>92</v>
      </c>
    </row>
    <row r="4" ht="15.75" customHeight="1">
      <c r="A4" s="13">
        <v>55.0</v>
      </c>
      <c r="B4" s="13" t="s">
        <v>93</v>
      </c>
    </row>
    <row r="5" ht="15.75" customHeight="1"/>
    <row r="6" ht="15.75" customHeight="1">
      <c r="A6" s="11" t="s">
        <v>63</v>
      </c>
    </row>
    <row r="7" ht="15.75" customHeight="1">
      <c r="A7" s="12" t="s">
        <v>90</v>
      </c>
      <c r="B7" s="12" t="s">
        <v>91</v>
      </c>
    </row>
    <row r="8" ht="15.75" customHeight="1">
      <c r="A8" s="14" t="s">
        <v>94</v>
      </c>
      <c r="B8" s="14" t="s">
        <v>95</v>
      </c>
    </row>
    <row r="9" ht="15.75" customHeight="1">
      <c r="A9" s="14" t="s">
        <v>96</v>
      </c>
      <c r="B9" s="14" t="s">
        <v>97</v>
      </c>
    </row>
    <row r="10" ht="15.75" customHeight="1"/>
    <row r="11" ht="15.75" customHeight="1"/>
    <row r="12" ht="15.75" customHeight="1">
      <c r="A12" s="11" t="s">
        <v>76</v>
      </c>
    </row>
    <row r="13" ht="15.75" customHeight="1">
      <c r="A13" s="12" t="s">
        <v>90</v>
      </c>
      <c r="B13" s="12" t="s">
        <v>91</v>
      </c>
    </row>
    <row r="14" ht="15.75" customHeight="1">
      <c r="A14" s="13" t="s">
        <v>98</v>
      </c>
      <c r="B14" s="13" t="s">
        <v>99</v>
      </c>
    </row>
    <row r="15" ht="15.75" customHeight="1">
      <c r="A15" s="13" t="s">
        <v>100</v>
      </c>
      <c r="B15" s="13" t="s">
        <v>101</v>
      </c>
    </row>
    <row r="16" ht="15.75" customHeight="1">
      <c r="A16" s="13" t="s">
        <v>102</v>
      </c>
      <c r="B16" s="13" t="s">
        <v>103</v>
      </c>
    </row>
    <row r="17" ht="15.75" customHeight="1">
      <c r="A17" s="13" t="s">
        <v>104</v>
      </c>
      <c r="B17" s="13" t="s">
        <v>105</v>
      </c>
    </row>
    <row r="18" ht="15.75" customHeight="1">
      <c r="A18" s="13" t="s">
        <v>106</v>
      </c>
      <c r="B18" s="13" t="s">
        <v>107</v>
      </c>
    </row>
    <row r="19" ht="15.75" customHeight="1">
      <c r="A19" s="13" t="s">
        <v>108</v>
      </c>
      <c r="B19" s="13" t="s">
        <v>109</v>
      </c>
    </row>
    <row r="20" ht="15.75" customHeight="1">
      <c r="A20" s="13" t="s">
        <v>110</v>
      </c>
      <c r="B20" s="13" t="s">
        <v>111</v>
      </c>
    </row>
    <row r="21" ht="15.75" customHeight="1">
      <c r="A21" s="13" t="s">
        <v>112</v>
      </c>
      <c r="B21" s="13" t="s">
        <v>113</v>
      </c>
    </row>
    <row r="22" ht="15.75" customHeight="1">
      <c r="A22" s="13" t="s">
        <v>114</v>
      </c>
      <c r="B22" s="13" t="s">
        <v>115</v>
      </c>
    </row>
    <row r="23" ht="15.75" customHeight="1">
      <c r="A23" s="13" t="s">
        <v>116</v>
      </c>
      <c r="B23" s="13" t="s">
        <v>117</v>
      </c>
    </row>
    <row r="24" ht="15.75" customHeight="1">
      <c r="A24" s="13" t="s">
        <v>118</v>
      </c>
      <c r="B24" s="13" t="s">
        <v>119</v>
      </c>
    </row>
    <row r="25" ht="15.75" customHeight="1">
      <c r="A25" s="13" t="s">
        <v>120</v>
      </c>
      <c r="B25" s="13" t="s">
        <v>121</v>
      </c>
    </row>
    <row r="26" ht="15.75" customHeight="1">
      <c r="A26" s="13" t="s">
        <v>122</v>
      </c>
      <c r="B26" s="13" t="s">
        <v>123</v>
      </c>
    </row>
    <row r="27" ht="15.75" customHeight="1">
      <c r="A27" s="13" t="s">
        <v>124</v>
      </c>
      <c r="B27" s="13" t="s">
        <v>125</v>
      </c>
    </row>
    <row r="28" ht="15.75" customHeight="1">
      <c r="A28" s="13" t="s">
        <v>82</v>
      </c>
      <c r="B28" s="13" t="s">
        <v>126</v>
      </c>
    </row>
    <row r="29" ht="15.75" customHeight="1">
      <c r="A29" s="13" t="s">
        <v>127</v>
      </c>
      <c r="B29" s="13" t="s">
        <v>128</v>
      </c>
    </row>
    <row r="30" ht="15.75" customHeight="1">
      <c r="A30" s="13" t="s">
        <v>129</v>
      </c>
      <c r="B30" s="13" t="s">
        <v>130</v>
      </c>
    </row>
    <row r="31" ht="15.75" customHeight="1">
      <c r="A31" s="13" t="s">
        <v>131</v>
      </c>
      <c r="B31" s="13" t="s">
        <v>132</v>
      </c>
    </row>
    <row r="32" ht="15.75" customHeight="1">
      <c r="A32" s="13" t="s">
        <v>133</v>
      </c>
      <c r="B32" s="13" t="s">
        <v>134</v>
      </c>
    </row>
    <row r="33" ht="15.75" customHeight="1"/>
    <row r="34" ht="15.75" customHeight="1">
      <c r="A34" s="11" t="s">
        <v>78</v>
      </c>
    </row>
    <row r="35" ht="15.75" customHeight="1">
      <c r="A35" s="12" t="s">
        <v>90</v>
      </c>
      <c r="B35" s="12" t="s">
        <v>91</v>
      </c>
    </row>
    <row r="36" ht="15.75" customHeight="1">
      <c r="A36" s="13" t="s">
        <v>135</v>
      </c>
      <c r="B36" s="13" t="s">
        <v>136</v>
      </c>
    </row>
    <row r="37" ht="15.75" customHeight="1">
      <c r="A37" s="13" t="s">
        <v>137</v>
      </c>
      <c r="B37" s="13" t="s">
        <v>138</v>
      </c>
    </row>
    <row r="38" ht="15.75" customHeight="1">
      <c r="A38" s="13" t="s">
        <v>139</v>
      </c>
      <c r="B38" s="13" t="s">
        <v>140</v>
      </c>
    </row>
    <row r="39" ht="15.75" customHeight="1">
      <c r="A39" s="15"/>
      <c r="B39" s="15"/>
    </row>
    <row r="40" ht="15.75" customHeight="1">
      <c r="A40" s="16" t="s">
        <v>57</v>
      </c>
    </row>
    <row r="41" ht="15.75" customHeight="1"/>
    <row r="42" ht="15.75" customHeight="1"/>
    <row r="43" ht="15.75" customHeight="1">
      <c r="A43" s="16" t="s">
        <v>74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B1DC89D-9E14-42C8-ACA6-E2E383DA4A1E}"/>
</file>

<file path=customXml/itemProps2.xml><?xml version="1.0" encoding="utf-8"?>
<ds:datastoreItem xmlns:ds="http://schemas.openxmlformats.org/officeDocument/2006/customXml" ds:itemID="{5CAFC0D4-6244-4561-BB9E-125B74FE5F1E}"/>
</file>

<file path=customXml/itemProps3.xml><?xml version="1.0" encoding="utf-8"?>
<ds:datastoreItem xmlns:ds="http://schemas.openxmlformats.org/officeDocument/2006/customXml" ds:itemID="{069B4331-8FB6-483C-B15E-B505B22F210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