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6.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5.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Bajaware\Documents\BitBanco\IFRS9\Derivados\"/>
    </mc:Choice>
  </mc:AlternateContent>
  <xr:revisionPtr revIDLastSave="0" documentId="13_ncr:1_{6B73664F-6213-40B4-9D7F-06ACFE4FA7B5}" xr6:coauthVersionLast="47" xr6:coauthVersionMax="47" xr10:uidLastSave="{00000000-0000-0000-0000-000000000000}"/>
  <bookViews>
    <workbookView xWindow="-120" yWindow="-120" windowWidth="29040" windowHeight="15840" tabRatio="916" activeTab="7" xr2:uid="{00000000-000D-0000-FFFF-FFFF00000000}"/>
  </bookViews>
  <sheets>
    <sheet name="OPTO_I" sheetId="9" r:id="rId1"/>
    <sheet name="OPTO_II" sheetId="1" r:id="rId2"/>
    <sheet name="OPTO_III" sheetId="14" r:id="rId3"/>
    <sheet name="OPTO_II_COM" sheetId="10" r:id="rId4"/>
    <sheet name="OPTO_MEREC_CONVO" sheetId="12" r:id="rId5"/>
    <sheet name="OPTO_CONVO" sheetId="8" r:id="rId6"/>
    <sheet name="OPTO_OPC_TIT_CONVO" sheetId="15" r:id="rId7"/>
    <sheet name="OPTO IX" sheetId="16" r:id="rId8"/>
    <sheet name="OPTO_IX_COM" sheetId="17" r:id="rId9"/>
    <sheet name="OPTO X" sheetId="18" r:id="rId10"/>
    <sheet name="LAYOUT OPTO XI" sheetId="19" r:id="rId11"/>
    <sheet name="LAYOUT OPTO XII" sheetId="20" r:id="rId12"/>
    <sheet name="CATALOGOS" sheetId="5" r:id="rId13"/>
  </sheets>
  <definedNames>
    <definedName name="_xlnm._FilterDatabase" localSheetId="12" hidden="1">CATALOGOS!$A$1:$B$2533</definedName>
    <definedName name="SheetOptoI">OPTO_I!#REF!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7" l="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8" i="16"/>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8" i="14"/>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G46" i="14"/>
  <c r="G69" i="1"/>
  <c r="G70" i="1"/>
  <c r="H15" i="18" l="1"/>
  <c r="H54" i="16"/>
  <c r="H55" i="16"/>
  <c r="H94" i="16"/>
  <c r="H91" i="16"/>
  <c r="H90" i="16"/>
  <c r="H7" i="16"/>
  <c r="H26" i="16"/>
  <c r="H32" i="16"/>
  <c r="H53" i="16"/>
  <c r="H50" i="16"/>
  <c r="G66" i="1" l="1"/>
  <c r="H9" i="12"/>
  <c r="H58" i="1"/>
  <c r="H44" i="1"/>
  <c r="H42" i="1"/>
  <c r="H30" i="1"/>
  <c r="H29" i="1"/>
  <c r="H26" i="1"/>
  <c r="H21" i="9"/>
  <c r="H14" i="9"/>
  <c r="H13" i="9"/>
  <c r="H22" i="9"/>
  <c r="H20" i="9"/>
  <c r="H10" i="9"/>
</calcChain>
</file>

<file path=xl/sharedStrings.xml><?xml version="1.0" encoding="utf-8"?>
<sst xmlns="http://schemas.openxmlformats.org/spreadsheetml/2006/main" count="7513" uniqueCount="4162">
  <si>
    <t>Descripcion</t>
  </si>
  <si>
    <t>Uso</t>
  </si>
  <si>
    <t>Orden</t>
  </si>
  <si>
    <t>Nombre</t>
  </si>
  <si>
    <t>Tipo</t>
  </si>
  <si>
    <t>Catalogo</t>
  </si>
  <si>
    <t>Comentario BW</t>
  </si>
  <si>
    <t>TEXTO</t>
  </si>
  <si>
    <t>OFICINA</t>
  </si>
  <si>
    <t>MERCADO</t>
  </si>
  <si>
    <t>SOCIO_LIQ</t>
  </si>
  <si>
    <t>CVE_TIT</t>
  </si>
  <si>
    <t>Nombre Archivo</t>
  </si>
  <si>
    <t>Longitud</t>
  </si>
  <si>
    <t>Validacion</t>
  </si>
  <si>
    <t>FECHA</t>
  </si>
  <si>
    <t>1</t>
  </si>
  <si>
    <t>Oficina</t>
  </si>
  <si>
    <t>3</t>
  </si>
  <si>
    <t>Mercado</t>
  </si>
  <si>
    <t>PIZARRA</t>
  </si>
  <si>
    <t>20</t>
  </si>
  <si>
    <t>OBJETIVO</t>
  </si>
  <si>
    <t>NUMCONTRAT</t>
  </si>
  <si>
    <t>NUMERO</t>
  </si>
  <si>
    <t>13</t>
  </si>
  <si>
    <t>Numero de contratos</t>
  </si>
  <si>
    <t>LIQUIDA</t>
  </si>
  <si>
    <t>SUBY</t>
  </si>
  <si>
    <t>2</t>
  </si>
  <si>
    <t>6</t>
  </si>
  <si>
    <t>22</t>
  </si>
  <si>
    <t>NUM_ID</t>
  </si>
  <si>
    <t>26</t>
  </si>
  <si>
    <t>MODIFICA</t>
  </si>
  <si>
    <t>SPOT</t>
  </si>
  <si>
    <t>5</t>
  </si>
  <si>
    <t>TIP_DER</t>
  </si>
  <si>
    <t>TIP_VEN</t>
  </si>
  <si>
    <t>TER_OPE</t>
  </si>
  <si>
    <t>BROKER</t>
  </si>
  <si>
    <t>Socio Liquidador</t>
  </si>
  <si>
    <t>CAM_COM</t>
  </si>
  <si>
    <t>AG_CAL</t>
  </si>
  <si>
    <t>NUM_CONF</t>
  </si>
  <si>
    <t>IMP_VEN</t>
  </si>
  <si>
    <t>MDA_VEN</t>
  </si>
  <si>
    <t>PAG_VENA</t>
  </si>
  <si>
    <t>MOT_VENA</t>
  </si>
  <si>
    <t>VEN_ANT</t>
  </si>
  <si>
    <t>NUM_ID_CP</t>
  </si>
  <si>
    <t>PRO_TER</t>
  </si>
  <si>
    <t>Origen de la operacion</t>
  </si>
  <si>
    <t>CLIENTE</t>
  </si>
  <si>
    <t>OPER_DER</t>
  </si>
  <si>
    <t>PAQ_EST</t>
  </si>
  <si>
    <t>ID_PAQ_EST</t>
  </si>
  <si>
    <t>CON_PAQ_EST</t>
  </si>
  <si>
    <t>MONEDA</t>
  </si>
  <si>
    <t>TIP_ACT_GAR</t>
  </si>
  <si>
    <t>CONTRAPARTE</t>
  </si>
  <si>
    <t>BOOLEAN_BX</t>
  </si>
  <si>
    <t>NEG_PLAT</t>
  </si>
  <si>
    <t>CAM_COMP</t>
  </si>
  <si>
    <t>regresar</t>
  </si>
  <si>
    <t>CLAVE</t>
  </si>
  <si>
    <t>DESCRIPCION</t>
  </si>
  <si>
    <t>N</t>
  </si>
  <si>
    <t>No</t>
  </si>
  <si>
    <t>S</t>
  </si>
  <si>
    <t>Sí</t>
  </si>
  <si>
    <t>077000</t>
  </si>
  <si>
    <t>NO APLICA (LA OPERACIÓN NO SE LIQUIDARÁ EN UNA CÁMARA DE COMPENSACIÓN)</t>
  </si>
  <si>
    <t>077001</t>
  </si>
  <si>
    <t>BBVA BANCOMER, S.A., INSTITUCIÓN DE BANCA MÚLTIPLE, GRUPO FINANCIERO BBVA BANCOMER (FIDUCIARIO DEL FIDEICOMISO 29764-8 POR CUENTA DE TERCEROS)</t>
  </si>
  <si>
    <t>077002</t>
  </si>
  <si>
    <t>BANCO NACIONAL DE MÉXICO, S.A., INTEGRANTE DEL GRUPO FINANCIERO BANAMEX FIDUCIARIO DEL FIDEICOMISO 14016-1 (TERCEROS)</t>
  </si>
  <si>
    <t>077004</t>
  </si>
  <si>
    <t>SCOTIABANK INVERLAT, S.A., INSTITUCIÓN DE BANCA MÚLTIPLE, GRUPO FINANCIERO SCOTIABANK INVERLAT (FIDUCIARIO DEL FIDEICOMISO 101776 POR CUENTA DE TERCEROS)</t>
  </si>
  <si>
    <t>077005</t>
  </si>
  <si>
    <t>BANCO SANTANDER, S.A., INSTITUCIÓN DE BANCA MÚLTIPLE, GRUPO FINANCIERO SANTANDER FIDUCIARIO DEL FIDEICOMISO GFSSLPT (PROPIA)</t>
  </si>
  <si>
    <t>077006</t>
  </si>
  <si>
    <t>BBVA BANCOMER, S.A., INSTITUCIÓN DE BANCA MÚLTIPLE, GRUPO FINANCIERO BBVA BANCOMER (FIDUCIARIO DEL FIDEICOMISO 29763-0 POR CUENTA PROPIA)</t>
  </si>
  <si>
    <t>077007</t>
  </si>
  <si>
    <t>BANCO NACIONAL DE MÉXICO, S.A., INTEGRANTE DEL GRUPO FINANCIERO BANAMEX, FIDUCIARIO DEL FIDEICOMISO 13928-7 (PROPIA)</t>
  </si>
  <si>
    <t>077009</t>
  </si>
  <si>
    <t>SCOTIABANK INVERLAT, S.A., INSTITUCIÓN DE BANCA MÚLTIPLE, GRUPO FINANCIERO SCOTIABANK INVERLAT (FIDUCIARIO DEL FIDEICOMISO 101667 POR CUENTA PROPIA)</t>
  </si>
  <si>
    <t>077010</t>
  </si>
  <si>
    <t>BANCO SANTANDER, S.A., INSTITUCIÓN DE BANCA MÚLTIPLE, GRUPO FINANCIERO SANTANDER FIDUCIARIO DEL FIDEICOMISO 100,740 (TERCEROS)</t>
  </si>
  <si>
    <t>077011</t>
  </si>
  <si>
    <t>BANCO J.P. MORGAN, S.A., INSTITUCIÓN DE BANCA MÚLTIPLE, J.P. MORGAN GRUPO FINANCIERO FIDUCIARIO DEL FIDEICOMISO F/00265 (TERCEROS)</t>
  </si>
  <si>
    <t>078001</t>
  </si>
  <si>
    <t>ABN AMRO CLEARING CHICAGO LLC </t>
  </si>
  <si>
    <t>078002</t>
  </si>
  <si>
    <t>ADM INVESTOR SERVICES, INC. </t>
  </si>
  <si>
    <t>078003</t>
  </si>
  <si>
    <t>ADVANTAGE FUTURES, LLC </t>
  </si>
  <si>
    <t>078004</t>
  </si>
  <si>
    <t>BARCLAYS CAPITAL INC.</t>
  </si>
  <si>
    <t>078005</t>
  </si>
  <si>
    <t>BMO CAPITAL MARKETS CORP. </t>
  </si>
  <si>
    <t>078006</t>
  </si>
  <si>
    <t>BNP PARIBAS SECURITIES CORP.</t>
  </si>
  <si>
    <t>078007</t>
  </si>
  <si>
    <t>BOCI COMMODITIES AND FUTURES LIMITED +</t>
  </si>
  <si>
    <t>078008</t>
  </si>
  <si>
    <t>CANTOR FITZGERALD &amp; CO. </t>
  </si>
  <si>
    <t>078009</t>
  </si>
  <si>
    <t>CHINA MERCHANTS FUTURES (HK) CO., LIMITED +</t>
  </si>
  <si>
    <t>078010</t>
  </si>
  <si>
    <t>CIBC WORLD MARKETS CORP. </t>
  </si>
  <si>
    <t>078011</t>
  </si>
  <si>
    <t>CITIGROUP GLOBAL MARKETS INC.</t>
  </si>
  <si>
    <t>078012</t>
  </si>
  <si>
    <t>CREDIT SUISSE SECURITIES (USA) LLC</t>
  </si>
  <si>
    <t>078013</t>
  </si>
  <si>
    <t>CREDIT SUISSE INTERNATIONAL</t>
  </si>
  <si>
    <t>078014</t>
  </si>
  <si>
    <t>DAIWA CAPITAL MARKETS AMERICA INC. </t>
  </si>
  <si>
    <t>078015</t>
  </si>
  <si>
    <t>DEUTSCHE BANK SECURITIES INC.</t>
  </si>
  <si>
    <t>078016</t>
  </si>
  <si>
    <t>DORMAN TRADING, L.L.C.</t>
  </si>
  <si>
    <t>078017</t>
  </si>
  <si>
    <t>E D &amp; F MAN CAPITAL MARKETS INC.</t>
  </si>
  <si>
    <t>078018</t>
  </si>
  <si>
    <t>EAGLE MARKET MAKERS, INC.</t>
  </si>
  <si>
    <t>078019</t>
  </si>
  <si>
    <t>EFL FUTURES LIMITED </t>
  </si>
  <si>
    <t>078020</t>
  </si>
  <si>
    <t>FC STONE, LLC</t>
  </si>
  <si>
    <t>078021</t>
  </si>
  <si>
    <t>G.H. FINANCIALS, LLC</t>
  </si>
  <si>
    <t>078022</t>
  </si>
  <si>
    <t>GELBER GROUP, LLC</t>
  </si>
  <si>
    <t>078023</t>
  </si>
  <si>
    <t>GOLDMAN, SACHS &amp; CO.</t>
  </si>
  <si>
    <t>078024</t>
  </si>
  <si>
    <t>GOLDMAN SACHS EXECUTION &amp; CLEARING, L.P. </t>
  </si>
  <si>
    <t>078025</t>
  </si>
  <si>
    <t>HSBC SECURITIES (USA) INC.</t>
  </si>
  <si>
    <t>078026</t>
  </si>
  <si>
    <t>JEFFERIES BACHE, LLC</t>
  </si>
  <si>
    <t>078027</t>
  </si>
  <si>
    <t>JUMP TRADING FUTURES, LLC </t>
  </si>
  <si>
    <t>078028</t>
  </si>
  <si>
    <t>J.P. MORGAN SECURITIES LLC</t>
  </si>
  <si>
    <t>078029</t>
  </si>
  <si>
    <t>KCG AMERICAS LLC</t>
  </si>
  <si>
    <t>078030</t>
  </si>
  <si>
    <t>MACQUARIE FUTURES USA LLC</t>
  </si>
  <si>
    <t>078031</t>
  </si>
  <si>
    <t>MAREX NORTH AMERICA LLC</t>
  </si>
  <si>
    <t>078032</t>
  </si>
  <si>
    <t>MERRILL LYNCH, PIERCE, FENNER &amp; SMITH INC.</t>
  </si>
  <si>
    <t>078033</t>
  </si>
  <si>
    <t>MIZUHO SECURITIES USA INC.</t>
  </si>
  <si>
    <t>078034</t>
  </si>
  <si>
    <t>MORGAN STANLEY &amp; CO. LLC</t>
  </si>
  <si>
    <t>078035</t>
  </si>
  <si>
    <t>NANHUA FUTURES (HONG KONG) CO., LTD. +</t>
  </si>
  <si>
    <t>078036</t>
  </si>
  <si>
    <t>NEWEDGE USA, LLC</t>
  </si>
  <si>
    <t>078037</t>
  </si>
  <si>
    <t>NOMURA SECURITIES INTERNATIONAL, INC.</t>
  </si>
  <si>
    <t>078038</t>
  </si>
  <si>
    <t>PHILLIP FUTURES INC. </t>
  </si>
  <si>
    <t>078039</t>
  </si>
  <si>
    <t>RAND FINANCIAL SERVICES INC.</t>
  </si>
  <si>
    <t>078040</t>
  </si>
  <si>
    <t>RBC CAPITAL MARKETS LLC </t>
  </si>
  <si>
    <t>078041</t>
  </si>
  <si>
    <t>RBS SECURITIES INC.</t>
  </si>
  <si>
    <t>078042</t>
  </si>
  <si>
    <t>R.J. O'BRIEN &amp; ASSOCIATES, LLC </t>
  </si>
  <si>
    <t>078043</t>
  </si>
  <si>
    <t>RONIN CAPITAL, LLC </t>
  </si>
  <si>
    <t>078044</t>
  </si>
  <si>
    <t>ROSENTHAL COLLINS GROUP, L.L.C. </t>
  </si>
  <si>
    <t>078045</t>
  </si>
  <si>
    <t>SANTANDER INVESTMENT SECURITIES INC.</t>
  </si>
  <si>
    <t>078046</t>
  </si>
  <si>
    <t>STATE STREET GLOBAL MARKETS, LLC</t>
  </si>
  <si>
    <t>078047</t>
  </si>
  <si>
    <t>STRAITS FINANCIAL LLC</t>
  </si>
  <si>
    <t>078048</t>
  </si>
  <si>
    <t>THE ROYAL BANK OF SCOTLAND PLC</t>
  </si>
  <si>
    <t>078049</t>
  </si>
  <si>
    <t>TIMBER HILL LLC </t>
  </si>
  <si>
    <t>078050</t>
  </si>
  <si>
    <t>TRADELINK L.L.C.</t>
  </si>
  <si>
    <t>078051</t>
  </si>
  <si>
    <t>UBS SECURITIES LLC</t>
  </si>
  <si>
    <t>078052</t>
  </si>
  <si>
    <t>UOBBF CLEARING LIMITED +</t>
  </si>
  <si>
    <t>078053</t>
  </si>
  <si>
    <t>VISION FINANCIAL MARKETS LLC</t>
  </si>
  <si>
    <t>078054</t>
  </si>
  <si>
    <t>WEDBUSH SECURITIES, INC.</t>
  </si>
  <si>
    <t>078055</t>
  </si>
  <si>
    <t>WELLS FARGO SECURITIES, LLC</t>
  </si>
  <si>
    <t>078056</t>
  </si>
  <si>
    <t>078057</t>
  </si>
  <si>
    <t>078058</t>
  </si>
  <si>
    <t>078059</t>
  </si>
  <si>
    <t>078060</t>
  </si>
  <si>
    <t>078061</t>
  </si>
  <si>
    <t>078062</t>
  </si>
  <si>
    <t>078063</t>
  </si>
  <si>
    <t>BUNGE CHICAGO, INC.</t>
  </si>
  <si>
    <t>078064</t>
  </si>
  <si>
    <t>078065</t>
  </si>
  <si>
    <t>078066</t>
  </si>
  <si>
    <t>CHS HEDGING, LLC</t>
  </si>
  <si>
    <t>078067</t>
  </si>
  <si>
    <t>078068</t>
  </si>
  <si>
    <t>078069</t>
  </si>
  <si>
    <t>078070</t>
  </si>
  <si>
    <t>CUNNINGHAM COMMODITIES, INC. </t>
  </si>
  <si>
    <t>078071</t>
  </si>
  <si>
    <t>078072</t>
  </si>
  <si>
    <t>078073</t>
  </si>
  <si>
    <t>078074</t>
  </si>
  <si>
    <t>078075</t>
  </si>
  <si>
    <t>078076</t>
  </si>
  <si>
    <t>078077</t>
  </si>
  <si>
    <t>078078</t>
  </si>
  <si>
    <t>078079</t>
  </si>
  <si>
    <t>078080</t>
  </si>
  <si>
    <t>078081</t>
  </si>
  <si>
    <t>078082</t>
  </si>
  <si>
    <t>078083</t>
  </si>
  <si>
    <t>078084</t>
  </si>
  <si>
    <t>078085</t>
  </si>
  <si>
    <t>078086</t>
  </si>
  <si>
    <t>078087</t>
  </si>
  <si>
    <t>LONGWOOD TRADING</t>
  </si>
  <si>
    <t>078088</t>
  </si>
  <si>
    <t>078089</t>
  </si>
  <si>
    <t>078090</t>
  </si>
  <si>
    <t>078091</t>
  </si>
  <si>
    <t>078092</t>
  </si>
  <si>
    <t>078093</t>
  </si>
  <si>
    <t>078094</t>
  </si>
  <si>
    <t>078095</t>
  </si>
  <si>
    <t>078096</t>
  </si>
  <si>
    <t>078097</t>
  </si>
  <si>
    <t>078098</t>
  </si>
  <si>
    <t>078099</t>
  </si>
  <si>
    <t>078100</t>
  </si>
  <si>
    <t>RDG TRADING</t>
  </si>
  <si>
    <t>078101</t>
  </si>
  <si>
    <t>078102</t>
  </si>
  <si>
    <t>078103</t>
  </si>
  <si>
    <t>078104</t>
  </si>
  <si>
    <t>078105</t>
  </si>
  <si>
    <t>078106</t>
  </si>
  <si>
    <t>078107</t>
  </si>
  <si>
    <t>TERM COMMODITIES INC.</t>
  </si>
  <si>
    <t>078108</t>
  </si>
  <si>
    <t>078109</t>
  </si>
  <si>
    <t>078110</t>
  </si>
  <si>
    <t>078111</t>
  </si>
  <si>
    <t>078112</t>
  </si>
  <si>
    <t>078113</t>
  </si>
  <si>
    <t>078114</t>
  </si>
  <si>
    <t>078115</t>
  </si>
  <si>
    <t>ASIGNA COMPENSACIÓN Y LIQUIDACIONES (Cámara de Compensación del MexDer)</t>
  </si>
  <si>
    <t>10</t>
  </si>
  <si>
    <t>CME SWAP DATA REPOSITORY</t>
  </si>
  <si>
    <t>11</t>
  </si>
  <si>
    <t>DTCC-DDR</t>
  </si>
  <si>
    <t>12</t>
  </si>
  <si>
    <t>EUREX CLEARING AG</t>
  </si>
  <si>
    <t>EUROCCP</t>
  </si>
  <si>
    <t>14</t>
  </si>
  <si>
    <t>EUROCLEAR BANK (Para valores: títulos de deuda y acciones)</t>
  </si>
  <si>
    <t>15</t>
  </si>
  <si>
    <t>HELLENIC EXCHANGES SA HOLDING CLEARING SETTLEMENT AND REGISTRY</t>
  </si>
  <si>
    <t>16</t>
  </si>
  <si>
    <t>ICE CLEAR EUROPE</t>
  </si>
  <si>
    <t>17</t>
  </si>
  <si>
    <t>ICE CLEAR US</t>
  </si>
  <si>
    <t>18</t>
  </si>
  <si>
    <t>ICE TRADE VAULT</t>
  </si>
  <si>
    <t>19</t>
  </si>
  <si>
    <t>INSTITUCIÓN PARA EL DEPÓSITO DE VALORES, S.D. INDEVAL (Para valores: títulos de deuda y acciones)</t>
  </si>
  <si>
    <t>BME CLEARING</t>
  </si>
  <si>
    <t>KDPW TRADE REPOSITORY</t>
  </si>
  <si>
    <t>21</t>
  </si>
  <si>
    <t>LCH CLEARNET L.L.C.</t>
  </si>
  <si>
    <t>LIFFE ADMINISTRATION AND MANAGEMENT</t>
  </si>
  <si>
    <t>23</t>
  </si>
  <si>
    <t>REGIS-TR</t>
  </si>
  <si>
    <t>24</t>
  </si>
  <si>
    <t>SGX DERIVATIVES CLEARING</t>
  </si>
  <si>
    <t>25</t>
  </si>
  <si>
    <t>SIX TRADE REPOSITORY</t>
  </si>
  <si>
    <t>THE CHICAGO MERCANTILE EXCHANGE</t>
  </si>
  <si>
    <t>27</t>
  </si>
  <si>
    <t>NO APLICA (La operación no se liquida a través de una cámara de compensación o no está registrada en un Repositorio de Derivados)</t>
  </si>
  <si>
    <t>4</t>
  </si>
  <si>
    <t>CAIXA ECONOMICA FEDERAL</t>
  </si>
  <si>
    <t>CANTOR CLEARINGHOUSE</t>
  </si>
  <si>
    <t>CLS BANK INTERNATIONAL (Para subyacentes divisas)</t>
  </si>
  <si>
    <t>7</t>
  </si>
  <si>
    <t>CME CANADIAN TRADE REPOSITORY</t>
  </si>
  <si>
    <t>8</t>
  </si>
  <si>
    <t>CME CLEARING EUROPE (Para materías pirmas y swaps de tasas de interés)</t>
  </si>
  <si>
    <t>9</t>
  </si>
  <si>
    <t>CME EUROPEAN TRADE REPOSITORY</t>
  </si>
  <si>
    <t>076001</t>
  </si>
  <si>
    <t>076010</t>
  </si>
  <si>
    <t>076014</t>
  </si>
  <si>
    <t>076027</t>
  </si>
  <si>
    <t>076028</t>
  </si>
  <si>
    <t>076029</t>
  </si>
  <si>
    <t>076030</t>
  </si>
  <si>
    <t>076031</t>
  </si>
  <si>
    <t>076033</t>
  </si>
  <si>
    <t>076034</t>
  </si>
  <si>
    <t>076036</t>
  </si>
  <si>
    <t>076037</t>
  </si>
  <si>
    <t>076038</t>
  </si>
  <si>
    <t>076039</t>
  </si>
  <si>
    <t>076040</t>
  </si>
  <si>
    <t>076042</t>
  </si>
  <si>
    <t>076043</t>
  </si>
  <si>
    <t>TIMBER HILL LLC</t>
  </si>
  <si>
    <t>076044</t>
  </si>
  <si>
    <t>076045</t>
  </si>
  <si>
    <t>076046</t>
  </si>
  <si>
    <t>076047</t>
  </si>
  <si>
    <t>076049</t>
  </si>
  <si>
    <t>076050</t>
  </si>
  <si>
    <t>076051</t>
  </si>
  <si>
    <t>076052</t>
  </si>
  <si>
    <t>INTERCTIVE BROKERS UK LTD</t>
  </si>
  <si>
    <t>076053</t>
  </si>
  <si>
    <t>076054</t>
  </si>
  <si>
    <t>076055</t>
  </si>
  <si>
    <t>076056</t>
  </si>
  <si>
    <t>MERVAL</t>
  </si>
  <si>
    <t>CHICAGO MERCANTILE EXCHANGE</t>
  </si>
  <si>
    <t>DOMINICAN REPUBLIC</t>
  </si>
  <si>
    <t>POLAND</t>
  </si>
  <si>
    <t>RUSSIAN FEDERATION</t>
  </si>
  <si>
    <t>TRINIDAD AND TOBAGO</t>
  </si>
  <si>
    <t>CP_COUNTRIES</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</si>
  <si>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</si>
  <si>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</si>
  <si>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</si>
  <si>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</si>
  <si>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</si>
  <si>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</si>
  <si>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</si>
  <si>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</si>
  <si>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</si>
  <si>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</si>
  <si>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</si>
  <si>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</si>
  <si>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</si>
  <si>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</si>
  <si>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</si>
  <si>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</si>
  <si>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</si>
  <si>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</si>
  <si>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</si>
  <si>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</si>
  <si>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</si>
  <si>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</si>
  <si>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</si>
  <si>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</si>
  <si>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</si>
  <si>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</si>
  <si>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</si>
  <si>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</si>
  <si>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</si>
  <si>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</si>
  <si>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</si>
  <si>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</si>
  <si>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</si>
  <si>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</si>
  <si>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</si>
  <si>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</si>
  <si>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</si>
  <si>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</si>
  <si>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</si>
  <si>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</si>
  <si>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</si>
  <si>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</si>
  <si>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</si>
  <si>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</si>
  <si>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</si>
  <si>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</si>
  <si>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</si>
  <si>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</si>
  <si>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</si>
  <si>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</si>
  <si>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</si>
  <si>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Bartelemey</t>
  </si>
  <si>
    <t>BM</t>
  </si>
  <si>
    <t>Bermuda</t>
  </si>
  <si>
    <t>BN</t>
  </si>
  <si>
    <t>Brunei Darussalam</t>
  </si>
  <si>
    <t>BO</t>
  </si>
  <si>
    <t>Bolivia</t>
  </si>
  <si>
    <t>BQ</t>
  </si>
  <si>
    <t>Bonaire, Saint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</si>
  <si>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</si>
  <si>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</si>
  <si>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</si>
  <si>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</si>
  <si>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</si>
  <si>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</si>
  <si>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</si>
  <si>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</si>
  <si>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</si>
  <si>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</si>
  <si>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</si>
  <si>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</si>
  <si>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</si>
  <si>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</si>
  <si>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</si>
  <si>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</si>
  <si>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</si>
  <si>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</si>
  <si>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</si>
  <si>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</si>
  <si>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</si>
  <si>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</si>
  <si>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</si>
  <si>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</si>
  <si>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</si>
  <si>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</si>
  <si>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</si>
  <si>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</si>
  <si>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</si>
  <si>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</si>
  <si>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</si>
  <si>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</si>
  <si>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</si>
  <si>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</si>
  <si>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</si>
  <si>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</si>
  <si>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</si>
  <si>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</si>
  <si>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</si>
  <si>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</si>
  <si>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</si>
  <si>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</si>
  <si>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</si>
  <si>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</si>
  <si>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</si>
  <si>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</si>
  <si>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</si>
  <si>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</si>
  <si>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</si>
  <si>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</si>
  <si>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</si>
  <si>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</si>
  <si>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</si>
  <si>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</si>
  <si>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</si>
  <si>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</si>
  <si>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</si>
  <si>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</si>
  <si>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</si>
  <si>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</si>
  <si>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</si>
  <si>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</si>
  <si>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</si>
  <si>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</si>
  <si>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</si>
  <si>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</si>
  <si>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</si>
  <si>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</si>
  <si>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</si>
  <si>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</si>
  <si>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</si>
  <si>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</si>
  <si>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</si>
  <si>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</si>
  <si>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</si>
  <si>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</si>
  <si>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</si>
  <si>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</si>
  <si>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</si>
  <si>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</si>
  <si>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</si>
  <si>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</si>
  <si>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</si>
  <si>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</si>
  <si>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</si>
  <si>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</si>
  <si>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</si>
  <si>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</si>
  <si>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</si>
  <si>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</si>
  <si>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</si>
  <si>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</si>
  <si>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</si>
  <si>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</si>
  <si>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</si>
  <si>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</si>
  <si>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</si>
  <si>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</si>
  <si>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</si>
  <si>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</si>
  <si>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</si>
  <si>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</si>
  <si>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</si>
  <si>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</si>
  <si>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</si>
  <si>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</si>
  <si>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</si>
  <si>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</si>
  <si>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</si>
  <si>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</si>
  <si>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</si>
  <si>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</si>
  <si>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</si>
  <si>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</si>
  <si>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</si>
  <si>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</si>
  <si>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</si>
  <si>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</si>
  <si>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</si>
  <si>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</si>
  <si>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</si>
  <si>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</si>
  <si>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</si>
  <si>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</si>
  <si>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</si>
  <si>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</si>
  <si>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</si>
  <si>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</si>
  <si>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</si>
  <si>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</si>
  <si>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</si>
  <si>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</si>
  <si>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</si>
  <si>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</si>
  <si>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</si>
  <si>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</si>
  <si>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</si>
  <si>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</si>
  <si>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</si>
  <si>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</si>
  <si>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</si>
  <si>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</si>
  <si>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</si>
  <si>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</si>
  <si>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</si>
  <si>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</si>
  <si>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</si>
  <si>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</si>
  <si>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</si>
  <si>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</si>
  <si>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</si>
  <si>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</si>
  <si>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</si>
  <si>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</si>
  <si>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</si>
  <si>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</si>
  <si>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</si>
  <si>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</si>
  <si>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</si>
  <si>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</si>
  <si>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</si>
  <si>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</si>
  <si>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</si>
  <si>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</si>
  <si>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</si>
  <si>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</si>
  <si>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</si>
  <si>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</si>
  <si>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</si>
  <si>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</si>
  <si>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</si>
  <si>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</si>
  <si>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</si>
  <si>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</si>
  <si>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</si>
  <si>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</si>
  <si>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</si>
  <si>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</si>
  <si>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</si>
  <si>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</si>
  <si>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</si>
  <si>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</si>
  <si>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</si>
  <si>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</si>
  <si>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</si>
  <si>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</si>
  <si>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</si>
  <si>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</si>
  <si>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</si>
  <si>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</si>
  <si>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</si>
  <si>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</si>
  <si>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</si>
  <si>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</si>
  <si>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</si>
  <si>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</si>
  <si>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</si>
  <si>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</si>
  <si>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</si>
  <si>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</si>
  <si>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</si>
  <si>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</si>
  <si>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</si>
  <si>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</si>
  <si>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</si>
  <si>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</si>
  <si>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</si>
  <si>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</si>
  <si>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</si>
  <si>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</si>
  <si>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</si>
  <si>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MA</t>
  </si>
  <si>
    <t>Morocco</t>
  </si>
  <si>
    <t>MC</t>
  </si>
  <si>
    <t>Monaco</t>
  </si>
  <si>
    <t>MD</t>
  </si>
  <si>
    <t>Moldova, Republic of</t>
  </si>
  <si>
    <t>ME</t>
  </si>
  <si>
    <t>Montenegro</t>
  </si>
  <si>
    <t>MF</t>
  </si>
  <si>
    <t>Saint Martin</t>
  </si>
  <si>
    <t>MG</t>
  </si>
  <si>
    <t>Madagascar</t>
  </si>
  <si>
    <t>MH</t>
  </si>
  <si>
    <t>Marshall Islands</t>
  </si>
  <si>
    <t>MK</t>
  </si>
  <si>
    <t>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</si>
  <si>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</si>
  <si>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</si>
  <si>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</si>
  <si>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</si>
  <si>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</si>
  <si>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</si>
  <si>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</si>
  <si>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</si>
  <si>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</si>
  <si>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</si>
  <si>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</si>
  <si>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</si>
  <si>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</si>
  <si>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</si>
  <si>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</si>
  <si>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</si>
  <si>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</si>
  <si>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</si>
  <si>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</si>
  <si>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</si>
  <si>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</si>
  <si>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</si>
  <si>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</si>
  <si>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</si>
  <si>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</si>
  <si>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</si>
  <si>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</si>
  <si>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</si>
  <si>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</si>
  <si>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</si>
  <si>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</si>
  <si>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</si>
  <si>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</si>
  <si>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</si>
  <si>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</si>
  <si>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</si>
  <si>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</si>
  <si>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</si>
  <si>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</si>
  <si>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</si>
  <si>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</si>
  <si>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</si>
  <si>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</si>
  <si>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</si>
  <si>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</si>
  <si>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</si>
  <si>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</si>
  <si>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</si>
  <si>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</si>
  <si>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</si>
  <si>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</si>
  <si>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</si>
  <si>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</si>
  <si>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</si>
  <si>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</si>
  <si>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</si>
  <si>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</si>
  <si>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</si>
  <si>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</si>
  <si>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</si>
  <si>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</si>
  <si>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</si>
  <si>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</si>
  <si>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</si>
  <si>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</si>
  <si>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</si>
  <si>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</si>
  <si>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</si>
  <si>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</si>
  <si>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PM</t>
  </si>
  <si>
    <t>Saint Pierre and Miquelon</t>
  </si>
  <si>
    <t>PN</t>
  </si>
  <si>
    <t>Pitcairn</t>
  </si>
  <si>
    <t>PR</t>
  </si>
  <si>
    <t>Puerto Rico</t>
  </si>
  <si>
    <t>PS</t>
  </si>
  <si>
    <t>Palestinian Territory</t>
  </si>
  <si>
    <t>PT</t>
  </si>
  <si>
    <t>Portugal</t>
  </si>
  <si>
    <t>PW</t>
  </si>
  <si>
    <t>Palau</t>
  </si>
  <si>
    <t>PY</t>
  </si>
  <si>
    <t>Paraguay</t>
  </si>
  <si>
    <t>QA</t>
  </si>
  <si>
    <t>Qatar</t>
  </si>
  <si>
    <t>RE</t>
  </si>
  <si>
    <t>Reunion</t>
  </si>
  <si>
    <t>RO</t>
  </si>
  <si>
    <t>Romania</t>
  </si>
  <si>
    <t>RS</t>
  </si>
  <si>
    <t>Serbia</t>
  </si>
  <si>
    <t>RU</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</si>
  <si>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</si>
  <si>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</si>
  <si>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</si>
  <si>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</si>
  <si>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</si>
  <si>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</si>
  <si>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</si>
  <si>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</si>
  <si>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</si>
  <si>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</si>
  <si>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</si>
  <si>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</si>
  <si>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</si>
  <si>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</si>
  <si>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</si>
  <si>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</si>
  <si>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</si>
  <si>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</si>
  <si>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</si>
  <si>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</si>
  <si>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</si>
  <si>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</si>
  <si>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</si>
  <si>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</si>
  <si>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</si>
  <si>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</si>
  <si>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</si>
  <si>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</si>
  <si>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</si>
  <si>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</si>
  <si>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</si>
  <si>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</si>
  <si>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</si>
  <si>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</si>
  <si>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</si>
  <si>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</si>
  <si>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</si>
  <si>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</si>
  <si>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</si>
  <si>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</si>
  <si>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</si>
  <si>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</si>
  <si>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</si>
  <si>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</si>
  <si>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</si>
  <si>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</si>
  <si>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</si>
  <si>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</si>
  <si>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</si>
  <si>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</si>
  <si>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</si>
  <si>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</si>
  <si>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</si>
  <si>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</si>
  <si>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</si>
  <si>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</si>
  <si>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</si>
  <si>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</si>
  <si>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</si>
  <si>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</si>
  <si>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</si>
  <si>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</si>
  <si>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</si>
  <si>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</si>
  <si>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</si>
  <si>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</si>
  <si>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</si>
  <si>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</si>
  <si>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</si>
  <si>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TV</t>
  </si>
  <si>
    <t>Tuvalu</t>
  </si>
  <si>
    <t>TW</t>
  </si>
  <si>
    <t>Taiwan</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</si>
  <si>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</si>
  <si>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</si>
  <si>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</si>
  <si>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</si>
  <si>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</si>
  <si>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</si>
  <si>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</si>
  <si>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</si>
  <si>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</si>
  <si>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</si>
  <si>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</si>
  <si>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</si>
  <si>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</si>
  <si>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</si>
  <si>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</si>
  <si>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</si>
  <si>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</si>
  <si>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</si>
  <si>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</si>
  <si>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t>
  </si>
  <si>
    <t>VG</t>
  </si>
  <si>
    <t>Virgin Islands, British</t>
  </si>
  <si>
    <t>VI</t>
  </si>
  <si>
    <t>Virgin Islands, U.S.</t>
  </si>
  <si>
    <t>VN</t>
  </si>
  <si>
    <t>Vietnam</t>
  </si>
  <si>
    <t>VU</t>
  </si>
  <si>
    <t>Vanuatu</t>
  </si>
  <si>
    <t>WF</t>
  </si>
  <si>
    <t>Wallis and Futuna</t>
  </si>
  <si>
    <t>WS</t>
  </si>
  <si>
    <t>Samoa</t>
  </si>
  <si>
    <t>YE</t>
  </si>
  <si>
    <t>Yemen</t>
  </si>
  <si>
    <t>YT</t>
  </si>
  <si>
    <t>Mayotte</t>
  </si>
  <si>
    <t>ZA</t>
  </si>
  <si>
    <t>South Africa</t>
  </si>
  <si>
    <t>ZM</t>
  </si>
  <si>
    <t>Zambia</t>
  </si>
  <si>
    <t>ZW</t>
  </si>
  <si>
    <t>Zimbabwe</t>
  </si>
  <si>
    <t>CP_ORIGIN_RES</t>
  </si>
  <si>
    <t>Gobierno Federal y/o sus Entidades</t>
  </si>
  <si>
    <t>Gobierno Estatal y/o sus Entidades</t>
  </si>
  <si>
    <t>Gobierno Municipal y/o sus Entidades</t>
  </si>
  <si>
    <t>Sector Privado No Financiero Nacional</t>
  </si>
  <si>
    <t>Sector Privado Financiero Nacional</t>
  </si>
  <si>
    <t>Sector Privado No Financiero Extranjero</t>
  </si>
  <si>
    <t>Sector Privado Financiero Extranjero</t>
  </si>
  <si>
    <t>Mixto Nacional (Privado y Público)</t>
  </si>
  <si>
    <t>CP_SECTOR</t>
  </si>
  <si>
    <t>0</t>
  </si>
  <si>
    <t>No aplica.</t>
  </si>
  <si>
    <t>111</t>
  </si>
  <si>
    <t>Agricultura</t>
  </si>
  <si>
    <t>112</t>
  </si>
  <si>
    <t>Cría y explotación de animales</t>
  </si>
  <si>
    <t>113</t>
  </si>
  <si>
    <t>Aprovechamiento forestal</t>
  </si>
  <si>
    <t>114</t>
  </si>
  <si>
    <t>Pesca, caza y captura</t>
  </si>
  <si>
    <t>115</t>
  </si>
  <si>
    <t>Servicios relacionados con las actividades agropecuarias y forestales</t>
  </si>
  <si>
    <t>211</t>
  </si>
  <si>
    <t>Extracción de petróleo y gas</t>
  </si>
  <si>
    <t>212</t>
  </si>
  <si>
    <t>Minería de minerales metálicos y no metálicos, excepto petróleo y gas</t>
  </si>
  <si>
    <t>213</t>
  </si>
  <si>
    <t>Servicios relacionados con la minería</t>
  </si>
  <si>
    <t>221</t>
  </si>
  <si>
    <t>Generación, transmisión y distribución de energía eléctrica</t>
  </si>
  <si>
    <t>222</t>
  </si>
  <si>
    <t>Suministro de agua y suministro de gas por ductos al consumidor final</t>
  </si>
  <si>
    <t>23611</t>
  </si>
  <si>
    <t>Edificación residencial</t>
  </si>
  <si>
    <t>23621</t>
  </si>
  <si>
    <t>Edificación de naves y plantas industriales</t>
  </si>
  <si>
    <t>23622</t>
  </si>
  <si>
    <t>Edificación de inmuebles comerciales y de servicios</t>
  </si>
  <si>
    <t>23711</t>
  </si>
  <si>
    <t>Construcción de obras para el tratamiento, distribución y suministro de agua, drenaje y riego</t>
  </si>
  <si>
    <t>23712</t>
  </si>
  <si>
    <t>Construcción de obras para petróleo y gas</t>
  </si>
  <si>
    <t>23713</t>
  </si>
  <si>
    <t>Construcción de obras de generación y conducción de energía eléctrica y de obras para telecomunicaciones</t>
  </si>
  <si>
    <t>23721</t>
  </si>
  <si>
    <t>División de terrenos y construcción de obras de urbanización</t>
  </si>
  <si>
    <t>23731</t>
  </si>
  <si>
    <t>Construcción de vías de comunicación</t>
  </si>
  <si>
    <t>23799</t>
  </si>
  <si>
    <t>Otras construcciones de ingeniería civil</t>
  </si>
  <si>
    <t>2381</t>
  </si>
  <si>
    <t>Cimentaciones, montaje de estructuras prefabricadas y trabajos en exteriores</t>
  </si>
  <si>
    <t>2382</t>
  </si>
  <si>
    <t>Instalaciones y equipamiento en construcciones</t>
  </si>
  <si>
    <t>2383</t>
  </si>
  <si>
    <t>Trabajos de acabados en edificaciones</t>
  </si>
  <si>
    <t>2389</t>
  </si>
  <si>
    <t>Otros trabajos especializados para la construcción</t>
  </si>
  <si>
    <t>311</t>
  </si>
  <si>
    <t>Industria alimentaria</t>
  </si>
  <si>
    <t>312</t>
  </si>
  <si>
    <t>Industria de las bebidas y del tabaco</t>
  </si>
  <si>
    <t>313</t>
  </si>
  <si>
    <t>Fabricación de insumos textiles y acabado de textiles</t>
  </si>
  <si>
    <t>314</t>
  </si>
  <si>
    <t>Fabricación de productos textiles, excepto prendas de vestir</t>
  </si>
  <si>
    <t>315</t>
  </si>
  <si>
    <t>Fabricación de prendas de vestir</t>
  </si>
  <si>
    <t>316</t>
  </si>
  <si>
    <t>Curtido y acabado de cuero y piel, y fabricación de productos de cuero, piel y materiales sucedáneos</t>
  </si>
  <si>
    <t>321</t>
  </si>
  <si>
    <t>Industria de la madera</t>
  </si>
  <si>
    <t>322</t>
  </si>
  <si>
    <t>Industria del papel</t>
  </si>
  <si>
    <t>323</t>
  </si>
  <si>
    <t>Impresión e industrias conexas</t>
  </si>
  <si>
    <t>324</t>
  </si>
  <si>
    <t>Fabricación de productos derivados del petróleo y del carbón</t>
  </si>
  <si>
    <t>325</t>
  </si>
  <si>
    <t>Industria química</t>
  </si>
  <si>
    <t>326</t>
  </si>
  <si>
    <t>Industria del plástico y del hule</t>
  </si>
  <si>
    <t>327</t>
  </si>
  <si>
    <t>Fabricación de productos a base de minerales no metálicos</t>
  </si>
  <si>
    <t>331</t>
  </si>
  <si>
    <t>Industrias metálicas básicas</t>
  </si>
  <si>
    <t>332</t>
  </si>
  <si>
    <t>Fabricación de productos metálicos</t>
  </si>
  <si>
    <t>333</t>
  </si>
  <si>
    <t>Fabricación de maquinaria y equipo</t>
  </si>
  <si>
    <t>334</t>
  </si>
  <si>
    <t>Fabricación de equipo de computación, comunicación, medición y de otros equipos, componentes y accesorios electrónicos</t>
  </si>
  <si>
    <t>335</t>
  </si>
  <si>
    <t>Fabricación de accesorios, aparatos eléctricos y equipo de generación de energía eléctrica</t>
  </si>
  <si>
    <t>336</t>
  </si>
  <si>
    <t>Fabricación de equipo de transporte</t>
  </si>
  <si>
    <t>337</t>
  </si>
  <si>
    <t>Fabricación de muebles, colchones y persianas</t>
  </si>
  <si>
    <t>339</t>
  </si>
  <si>
    <t>Otras industrias manufactureras</t>
  </si>
  <si>
    <t>431</t>
  </si>
  <si>
    <t>Comercio al por mayor de abarrotes, alimentos, bebidas, hielo y tabaco</t>
  </si>
  <si>
    <t>432</t>
  </si>
  <si>
    <t>Comercio al por mayor de productos textiles y calzado</t>
  </si>
  <si>
    <t>433</t>
  </si>
  <si>
    <t>Comercio al por mayor de productos farmacéuticos, de perfumería, artículos para el esparcimiento, electrodomésticos menores y aparatos de línea blanca</t>
  </si>
  <si>
    <t>434</t>
  </si>
  <si>
    <t>Comercio al por mayor de materias primas agropecuarias y forestales, para la industria, y materiales de desecho</t>
  </si>
  <si>
    <t>435</t>
  </si>
  <si>
    <t>Comercio al por mayor de maquinaria, equipo y mobiliario para actividades agropecuarias, industriales, de servicios y comerciales, y de otra maquinaria y equipo de uso general</t>
  </si>
  <si>
    <t>436</t>
  </si>
  <si>
    <t>Comercio al por mayor de camiones y de partes y refacciones nuevas para automóviles, camionetas y camiones</t>
  </si>
  <si>
    <t>437</t>
  </si>
  <si>
    <t>Intermediación de comercio al por mayor</t>
  </si>
  <si>
    <t>461</t>
  </si>
  <si>
    <t>Comercio al por menor de abarrotes, alimentos, bebidas, hielo y tabaco</t>
  </si>
  <si>
    <t>462</t>
  </si>
  <si>
    <t>Comercio al por menor en tiendas de autoservicio y departamentales</t>
  </si>
  <si>
    <t>463</t>
  </si>
  <si>
    <t>Comercio al por menor de productos textiles, bisutería, accesorios de vestir y calzado</t>
  </si>
  <si>
    <t>464</t>
  </si>
  <si>
    <t>Comercio al por menor de artículos para el cuidado de la salud</t>
  </si>
  <si>
    <t>465</t>
  </si>
  <si>
    <t>Comercio al por menor de artículos de papelería, para el esparcimiento y otros artículos de uso personal</t>
  </si>
  <si>
    <t>466</t>
  </si>
  <si>
    <t>Comercio al por menor de enseres domésticos, computadoras, artículos para la decoración de interiores y artículos usados</t>
  </si>
  <si>
    <t>467</t>
  </si>
  <si>
    <t>Comercio al por menor de artículos de ferretería, tlapalería y vidrios</t>
  </si>
  <si>
    <t>468</t>
  </si>
  <si>
    <t>Comercio al por menor de vehículos de motor, refacciones, combustibles y lubricantes</t>
  </si>
  <si>
    <t>469</t>
  </si>
  <si>
    <t>Comercio al por menor exclusivamente a través de Internet, y catálogos impresos, televisión y similares</t>
  </si>
  <si>
    <t>481</t>
  </si>
  <si>
    <t>Transporte aéreo</t>
  </si>
  <si>
    <t>482</t>
  </si>
  <si>
    <t>Transporte por ferrocarril</t>
  </si>
  <si>
    <t>483</t>
  </si>
  <si>
    <t>Transporte por agua</t>
  </si>
  <si>
    <t>484</t>
  </si>
  <si>
    <t>Autotransporte de carga</t>
  </si>
  <si>
    <t>485</t>
  </si>
  <si>
    <t>Transporte terrestre de pasajeros, excepto por ferrocarril</t>
  </si>
  <si>
    <t>486</t>
  </si>
  <si>
    <t>Transporte por ductos</t>
  </si>
  <si>
    <t>487</t>
  </si>
  <si>
    <t>Transporte turístico</t>
  </si>
  <si>
    <t>488</t>
  </si>
  <si>
    <t>Servicios relacionados con el transporte</t>
  </si>
  <si>
    <t>491</t>
  </si>
  <si>
    <t>Servicios postales</t>
  </si>
  <si>
    <t>492</t>
  </si>
  <si>
    <t>Servicios de mensajería y paquetería</t>
  </si>
  <si>
    <t>493</t>
  </si>
  <si>
    <t>Servicios de almacenamiento</t>
  </si>
  <si>
    <t>511</t>
  </si>
  <si>
    <t>Edición de periódicos, revistas, libros, software y otros materiales, y edición de estas publicaciones integrada con la impresión</t>
  </si>
  <si>
    <t>512</t>
  </si>
  <si>
    <t>Industria fílmica y del video, e industria del sonido</t>
  </si>
  <si>
    <t>515</t>
  </si>
  <si>
    <t>Radio y televisión</t>
  </si>
  <si>
    <t>517</t>
  </si>
  <si>
    <t>Telecomunicaciones</t>
  </si>
  <si>
    <t>518</t>
  </si>
  <si>
    <t>Procesamiento electrónico de información, hospedaje y otros servicios relacionados</t>
  </si>
  <si>
    <t>519</t>
  </si>
  <si>
    <t>Otros servicios de información</t>
  </si>
  <si>
    <t>521110</t>
  </si>
  <si>
    <t>Banca central</t>
  </si>
  <si>
    <t>522110</t>
  </si>
  <si>
    <t>Banca múltiple</t>
  </si>
  <si>
    <t>522210</t>
  </si>
  <si>
    <t>Banca de desarrollo</t>
  </si>
  <si>
    <t>522220</t>
  </si>
  <si>
    <t>Fondos y fideicomisos financieros</t>
  </si>
  <si>
    <t>522310</t>
  </si>
  <si>
    <t>Uniones de Crédito</t>
  </si>
  <si>
    <t>522320</t>
  </si>
  <si>
    <t>Cajas de ahorro popular</t>
  </si>
  <si>
    <t>522390</t>
  </si>
  <si>
    <t>Otras instituciones de ahorro y préstamo</t>
  </si>
  <si>
    <t>522410</t>
  </si>
  <si>
    <t>Arrendadoras financieras</t>
  </si>
  <si>
    <t>522420</t>
  </si>
  <si>
    <t>Compañías de factoraje financiero</t>
  </si>
  <si>
    <t>522440</t>
  </si>
  <si>
    <t>Compañías de autofinanciamiento</t>
  </si>
  <si>
    <t>522451</t>
  </si>
  <si>
    <t>Montepíos</t>
  </si>
  <si>
    <t>522452</t>
  </si>
  <si>
    <t>Casas de empeño</t>
  </si>
  <si>
    <t>522460</t>
  </si>
  <si>
    <t>Sociedades financieras de objeto múltiple</t>
  </si>
  <si>
    <t>522490</t>
  </si>
  <si>
    <t>Otras instituciones de intermediación crediticia y financiera no bursátil</t>
  </si>
  <si>
    <t>522510</t>
  </si>
  <si>
    <t>Servicios relacionados con la intermediación crediticia no bursátil</t>
  </si>
  <si>
    <t>523110</t>
  </si>
  <si>
    <t>Casas de Bolsa</t>
  </si>
  <si>
    <t>523121</t>
  </si>
  <si>
    <t>Casas de Cambio</t>
  </si>
  <si>
    <t>523122</t>
  </si>
  <si>
    <t>Centros cambiarios</t>
  </si>
  <si>
    <t>523210</t>
  </si>
  <si>
    <t>Bolsa de valores</t>
  </si>
  <si>
    <t>523910</t>
  </si>
  <si>
    <t>Asesoría en inversiones</t>
  </si>
  <si>
    <t>523990</t>
  </si>
  <si>
    <t>Otros servicios relacionados con la intermediación bursátil</t>
  </si>
  <si>
    <t>524110</t>
  </si>
  <si>
    <t>Compañías de seguros</t>
  </si>
  <si>
    <t>524120</t>
  </si>
  <si>
    <t>Fondos de aseguramiento campesino</t>
  </si>
  <si>
    <t>524130</t>
  </si>
  <si>
    <t>Compañías afianzadoras</t>
  </si>
  <si>
    <t>524210</t>
  </si>
  <si>
    <t>Agentes, ajustadores y gestores de seguros y fianzas</t>
  </si>
  <si>
    <t>524220</t>
  </si>
  <si>
    <t>Administración de cajas de pensión y de seguros independientes</t>
  </si>
  <si>
    <t>531</t>
  </si>
  <si>
    <t>Servicios inmobiliarios</t>
  </si>
  <si>
    <t>532</t>
  </si>
  <si>
    <t>Servicios de alquiler de bienes muebles</t>
  </si>
  <si>
    <t>533</t>
  </si>
  <si>
    <t>Servicios de alquiler de marcas registradas, patentes y franquicias</t>
  </si>
  <si>
    <t>541</t>
  </si>
  <si>
    <t>Servicios profesionales, científicos y técnicos</t>
  </si>
  <si>
    <t>551</t>
  </si>
  <si>
    <t>Corporativos</t>
  </si>
  <si>
    <t>561</t>
  </si>
  <si>
    <t>Servicios de apoyo a los negocios</t>
  </si>
  <si>
    <t>562</t>
  </si>
  <si>
    <t>Manejo de residuos y desechos, y servicios de remediación</t>
  </si>
  <si>
    <t>611</t>
  </si>
  <si>
    <t>Servicios educativos</t>
  </si>
  <si>
    <t>621</t>
  </si>
  <si>
    <t>Servicios médicos de consulta externa y servicios relacionados</t>
  </si>
  <si>
    <t>622</t>
  </si>
  <si>
    <t>Hospitales</t>
  </si>
  <si>
    <t>623</t>
  </si>
  <si>
    <t>Residencias de asistencia social y para el cuidado de la salud</t>
  </si>
  <si>
    <t>624</t>
  </si>
  <si>
    <t>Otros servicios de asistencia social</t>
  </si>
  <si>
    <t>711</t>
  </si>
  <si>
    <t>Servicios artísticos, culturales y deportivos, y otros servicios relacionados</t>
  </si>
  <si>
    <t>712</t>
  </si>
  <si>
    <t>Museos, sitios históricos, zoológicos y similares</t>
  </si>
  <si>
    <t>713</t>
  </si>
  <si>
    <t>Servicios de entretenimiento en instalaciones recreativas y otros servicios recreativos</t>
  </si>
  <si>
    <t>721</t>
  </si>
  <si>
    <t>Servicios de alojamiento temporal</t>
  </si>
  <si>
    <t>722</t>
  </si>
  <si>
    <t>Servicios de preparación de alimentos y bebidas</t>
  </si>
  <si>
    <t>811</t>
  </si>
  <si>
    <t>Servicios de reparación y mantenimiento</t>
  </si>
  <si>
    <t>812</t>
  </si>
  <si>
    <t>Servicios personales</t>
  </si>
  <si>
    <t>813</t>
  </si>
  <si>
    <t>Asociaciones y organizaciones</t>
  </si>
  <si>
    <t>814</t>
  </si>
  <si>
    <t>Hogares con empleados domésticos</t>
  </si>
  <si>
    <t>931</t>
  </si>
  <si>
    <t>Actividades legislativas, gubernamentales y de impartición de justicia</t>
  </si>
  <si>
    <t>932</t>
  </si>
  <si>
    <t>Organismos internacionales y extraterritoriales</t>
  </si>
  <si>
    <t>CP_TY_FUNDT</t>
  </si>
  <si>
    <t>De Garantía</t>
  </si>
  <si>
    <t>De Inversión</t>
  </si>
  <si>
    <t>De Administración</t>
  </si>
  <si>
    <t>De Garantía y Administración</t>
  </si>
  <si>
    <t>De Garantía e Inversión</t>
  </si>
  <si>
    <t>AEDUSD</t>
  </si>
  <si>
    <t>DIRHAM DE LOS EMIRATOS ÁRABES UNIDOS LIQUIDABLE CON DÓLAR DE LOS EE.UU.A.</t>
  </si>
  <si>
    <t>ARSMXN</t>
  </si>
  <si>
    <t>PESOS ARGENTINOS LIQUIDABLE CON PESO MEXICANO</t>
  </si>
  <si>
    <t>AUDJPY</t>
  </si>
  <si>
    <t>DÓLAR AUSTRALIANO LIQUIDABLE CON YEN JAPONÉS</t>
  </si>
  <si>
    <t>AUDMXN</t>
  </si>
  <si>
    <t>DÓLAR AUSTRALIANO LIQUIDABLE CON PESO MEXICANO</t>
  </si>
  <si>
    <t>AUDUSD</t>
  </si>
  <si>
    <t>DÓLAR AUSTRALIANO LIQUIDABLE CON DÓLAR DE LOS EE.UU.A.</t>
  </si>
  <si>
    <t>BCIADMO</t>
  </si>
  <si>
    <t>BRAZ ADM CHECK OVER/YR</t>
  </si>
  <si>
    <t>BP0001M</t>
  </si>
  <si>
    <t>ICE LIBOR GBP 1 Month</t>
  </si>
  <si>
    <t>BP0001W</t>
  </si>
  <si>
    <t>ICE LIBOR GBP 1 Week</t>
  </si>
  <si>
    <t>BP0002M</t>
  </si>
  <si>
    <t>ICE LIBOR GBP 2 Month</t>
  </si>
  <si>
    <t>BP0003M</t>
  </si>
  <si>
    <t>ICE LIBOR GBP 3 Month</t>
  </si>
  <si>
    <t>BP0006M</t>
  </si>
  <si>
    <t>ICE LIBOR GBP 6 Month</t>
  </si>
  <si>
    <t>BP0012M</t>
  </si>
  <si>
    <t>ICE LIBOR GBP 12 Month</t>
  </si>
  <si>
    <t>BP00O/N</t>
  </si>
  <si>
    <t>ICE LIBOR GBP Overnight</t>
  </si>
  <si>
    <t>BRLCLP</t>
  </si>
  <si>
    <t>REAL BRASILEÑO LIQUIDABLE CON PESO CHILENO</t>
  </si>
  <si>
    <t>BRLEUR</t>
  </si>
  <si>
    <t>REAL BRASILEÑO LIQUIDABLE CON EURO</t>
  </si>
  <si>
    <t>BRLMXN</t>
  </si>
  <si>
    <t>REAL BRASILEÑO LIQUIDABLE CON PESO MEXICANO</t>
  </si>
  <si>
    <t>BRLUSD</t>
  </si>
  <si>
    <t>REAL BRASILEÑO LIQUIDABLE CON DÓLAR DE LOS EE.UU.A.</t>
  </si>
  <si>
    <t>CA0679011084</t>
  </si>
  <si>
    <t>ABX US</t>
  </si>
  <si>
    <t>CA09228F1036</t>
  </si>
  <si>
    <t>BBRY US</t>
  </si>
  <si>
    <t>CA3809564097</t>
  </si>
  <si>
    <t>GG US</t>
  </si>
  <si>
    <t>CA64156L1013</t>
  </si>
  <si>
    <t>NSU US</t>
  </si>
  <si>
    <t>CAC</t>
  </si>
  <si>
    <t>INDICE CAC40 DE LA BOLSA DE PARIS</t>
  </si>
  <si>
    <t>CADAUD</t>
  </si>
  <si>
    <t>DÓLAR CANADIENSE LIQUIDABLE CON DÓLAR AUSTRALIANO</t>
  </si>
  <si>
    <t>CADMXN</t>
  </si>
  <si>
    <t>DÓLAR CANADIENSE LIQUIDABLE CON PESO MEXICANO</t>
  </si>
  <si>
    <t>CADUSD</t>
  </si>
  <si>
    <t>DÓLAR CANADIENSE LIQUIDABLE CON DÓLAR DE LOS EE.UU.A.</t>
  </si>
  <si>
    <t>CCMP</t>
  </si>
  <si>
    <t>INDICE ACCIONARIO DE ESTADOS UNIDOS - NASDAQ COMPOSITE</t>
  </si>
  <si>
    <t>CHFEUR</t>
  </si>
  <si>
    <t>FRANCO SUIZO LIQUIDABLE CON EURO</t>
  </si>
  <si>
    <t>CHFJPY</t>
  </si>
  <si>
    <t>FRANCO SUIZO LIQUIDABLE CON YEN JAPONÉS</t>
  </si>
  <si>
    <t>CHFMXN</t>
  </si>
  <si>
    <t>FRANCO SUIZO LIQUIDABLE CON PESO MEXICANO</t>
  </si>
  <si>
    <t>CHFUSD</t>
  </si>
  <si>
    <t>FRANCO SUIZO LIQUIDABLE CON DÓLAR DE LOS EE.UU.A.</t>
  </si>
  <si>
    <t>CLPMXN</t>
  </si>
  <si>
    <t>PESO CHILENO LIQUIDABLE CON PESO MEXICANO</t>
  </si>
  <si>
    <t>CLPUSD</t>
  </si>
  <si>
    <t>PESO CHILENO LIQUIDABLE CON DÓLAR DE LOS EE.UU.A.</t>
  </si>
  <si>
    <t>CNYMXN</t>
  </si>
  <si>
    <t>YUAN CHINO LIQUIDABLE CON PESO MEXICANO</t>
  </si>
  <si>
    <t>CNYUSD</t>
  </si>
  <si>
    <t>YUAN CHINO LIQUIDABLE CON DÓLAR DE LOS EE.UU.A.</t>
  </si>
  <si>
    <t>COPARS</t>
  </si>
  <si>
    <t>PESO COLOMBIANO LIQUIDABLE CON PESOS ARGENTINOS</t>
  </si>
  <si>
    <t>COPBRL</t>
  </si>
  <si>
    <t>PESO COLOMBIANO LIQUIDABLE CON REAL BRASILEÑO</t>
  </si>
  <si>
    <t>COPCAD</t>
  </si>
  <si>
    <t>PESO COLOMBIANO LIQUIDABLE CON DÓLAR CANADIENSE</t>
  </si>
  <si>
    <t>COPCLP</t>
  </si>
  <si>
    <t>PESO COLOMBIANO LIQUIDABLE CON PESO CHILENO</t>
  </si>
  <si>
    <t>COPMXN</t>
  </si>
  <si>
    <t>PESO COLOMBIANO LIQUIDABLE CON PESO MEXICANO</t>
  </si>
  <si>
    <t>COPPEN</t>
  </si>
  <si>
    <t>PESO COLOMBIANO LIQUIDABLE CON SOL PERUANO</t>
  </si>
  <si>
    <t>COPUSD</t>
  </si>
  <si>
    <t>PESO COLOMBIANO LIQUIDABLE CON DÓLAR DE LOS EE.UU.A.</t>
  </si>
  <si>
    <t>CZKAUD</t>
  </si>
  <si>
    <t>CORONA CHECA LIQUIDABLE CON DÓLAR AUSTRALIANO</t>
  </si>
  <si>
    <t>CZKMXN</t>
  </si>
  <si>
    <t>CORONA CHECA LIQUIDABLE CON PESO MEXICANO</t>
  </si>
  <si>
    <t>CZKUSD</t>
  </si>
  <si>
    <t>CORONA CHECA LIQUIDABLE CON DÓLAR DE LOS EE.UU.A.</t>
  </si>
  <si>
    <t>DAX</t>
  </si>
  <si>
    <t>INDICE ACCIONARIO DE ALEMANIA - DAX</t>
  </si>
  <si>
    <t>DJST</t>
  </si>
  <si>
    <t>INDICE DOW JONES EURO STOXX 50</t>
  </si>
  <si>
    <t>DKKMXN</t>
  </si>
  <si>
    <t>CORONA DANESA LIQUIDABLE CON PESO MEXICANO</t>
  </si>
  <si>
    <t>DKKUSD</t>
  </si>
  <si>
    <t>CORONA DANESA LIQUIDABLE CON DÓLAR DE LOS EE.UU.A.</t>
  </si>
  <si>
    <t>ED1</t>
  </si>
  <si>
    <t>TASA DE INTERÉS EURODOLLARS</t>
  </si>
  <si>
    <t>EE0001M</t>
  </si>
  <si>
    <t>ICE LIBOR EUR 1M</t>
  </si>
  <si>
    <t>EE0001W</t>
  </si>
  <si>
    <t>ICE LIBOR EUR 1W</t>
  </si>
  <si>
    <t>EE0002M</t>
  </si>
  <si>
    <t>ICE LIBOR EUR 2M</t>
  </si>
  <si>
    <t>EE0003M</t>
  </si>
  <si>
    <t>ICE LIBOR EUR 3M</t>
  </si>
  <si>
    <t>EE0006M</t>
  </si>
  <si>
    <t>ICE LIBOR EUR 6M</t>
  </si>
  <si>
    <t>EE0012M</t>
  </si>
  <si>
    <t>ICE LIBOR EUR 12M</t>
  </si>
  <si>
    <t>EE00O/N</t>
  </si>
  <si>
    <t>ICE LIBOR EUR O/N</t>
  </si>
  <si>
    <t>ES0118900010</t>
  </si>
  <si>
    <t>FER SM</t>
  </si>
  <si>
    <t>ES0148396015</t>
  </si>
  <si>
    <t>ITX SM</t>
  </si>
  <si>
    <t>ES0167050915</t>
  </si>
  <si>
    <t>ACS SM</t>
  </si>
  <si>
    <t>ES0173516115</t>
  </si>
  <si>
    <t>REP GR (SM)</t>
  </si>
  <si>
    <t>EU0001M</t>
  </si>
  <si>
    <t>BBA LIBOR EUR 1M</t>
  </si>
  <si>
    <t>EU0003M</t>
  </si>
  <si>
    <t>BBA LIBOR EUR 3 MONTH</t>
  </si>
  <si>
    <t>EU0006M</t>
  </si>
  <si>
    <t>BBA LIBOR EUR 6 MONTH</t>
  </si>
  <si>
    <t>EU0012M</t>
  </si>
  <si>
    <t>BBA LIBOR EUR 12 MONTH</t>
  </si>
  <si>
    <t>EUR001M</t>
  </si>
  <si>
    <t>EURIBOR 1 MONTH ACT/360</t>
  </si>
  <si>
    <t>EUR003M</t>
  </si>
  <si>
    <t>EURIBOR 3 MONTH ACT/360</t>
  </si>
  <si>
    <t>EUR006M</t>
  </si>
  <si>
    <t>EURIBOR 6 MONTH ACT/360</t>
  </si>
  <si>
    <t>EURARS</t>
  </si>
  <si>
    <t>EURO LIQUIDABLE CON PESOS ARGENTINOS</t>
  </si>
  <si>
    <t>EURAUD</t>
  </si>
  <si>
    <t>EURO LIQUIDABLE CON DÓLAR AUSTRALIANO</t>
  </si>
  <si>
    <t>EURBRL</t>
  </si>
  <si>
    <t>EURO LIQUIDABLE CON REAL BRASILEÑO</t>
  </si>
  <si>
    <t>EURCAD</t>
  </si>
  <si>
    <t>EURO LIQUIDABLE CON DÓLAR CANADIENSE</t>
  </si>
  <si>
    <t>EURCLP</t>
  </si>
  <si>
    <t>EURO LIQUIDABLE CON PESO CHILENO</t>
  </si>
  <si>
    <t>EURCOP</t>
  </si>
  <si>
    <t>EURO LIQUIDABLE CON PESO COLOMBIANO</t>
  </si>
  <si>
    <t>EURGBP</t>
  </si>
  <si>
    <t>EURO LIQUIDABLE CON LIBRA ESTERLINA</t>
  </si>
  <si>
    <t>EURJPY</t>
  </si>
  <si>
    <t>EURO LIQUIDABLE CON YEN JAPONÉS</t>
  </si>
  <si>
    <t>EURMXN</t>
  </si>
  <si>
    <t>EURO LIQUIDABLE CON PESO MEXICANO</t>
  </si>
  <si>
    <t>EURPEN</t>
  </si>
  <si>
    <t>EURO LIQUIDABLE CON SOL PERUANO</t>
  </si>
  <si>
    <t>EURUSD</t>
  </si>
  <si>
    <t>EURO LIQUIDABLE CON DÓLAR DE LOS EE.UU.A.</t>
  </si>
  <si>
    <t>F08230Y</t>
  </si>
  <si>
    <t>USD US Treasury Bonds/Notes (F</t>
  </si>
  <si>
    <t>FDFD</t>
  </si>
  <si>
    <t>US FEDERAL FUNDS RATE</t>
  </si>
  <si>
    <t>FTASE</t>
  </si>
  <si>
    <t>FTSE/ASE 20 INDEX</t>
  </si>
  <si>
    <t>GBPAUD</t>
  </si>
  <si>
    <t>LIBRA ESTERLINA LIQUIDABLE CON DÓLAR AUSTRALIANO</t>
  </si>
  <si>
    <t>GBPBRL</t>
  </si>
  <si>
    <t>LIBRA ESTERLINA LIQUIDABLE CON REAL BRASILEÑO</t>
  </si>
  <si>
    <t>GBPCLP</t>
  </si>
  <si>
    <t>LIBRA ESTERLINA LIQUIDABLE CON PESO CHILENO</t>
  </si>
  <si>
    <t>GBPEUR</t>
  </si>
  <si>
    <t>LIBRA ESTERLINA LIQUIDABLE CON EURO</t>
  </si>
  <si>
    <t>GBPMXN</t>
  </si>
  <si>
    <t>LIBRA ESTERLINA LIQUIDABLE CON PESO MEXICANO</t>
  </si>
  <si>
    <t>GBPNZD</t>
  </si>
  <si>
    <t>LIBRA ESTERLINA LIQUIDABLE CON DÓLAR NEOZELANDÉS</t>
  </si>
  <si>
    <t>GBPUSD</t>
  </si>
  <si>
    <t>LIBRA ESTERLINA LIQUIDABLE CON DÓLAR DE LOS EE.UU.A.</t>
  </si>
  <si>
    <t>GCETAA18</t>
  </si>
  <si>
    <t>MEXICO TREASURIES AUCTION RATE</t>
  </si>
  <si>
    <t>GCETAA28</t>
  </si>
  <si>
    <t>GCETAA36</t>
  </si>
  <si>
    <t>GCETAA91</t>
  </si>
  <si>
    <t>GFED01W</t>
  </si>
  <si>
    <t>ICAP Capital Markets Domestic</t>
  </si>
  <si>
    <t>GTQUSD</t>
  </si>
  <si>
    <t>QUETZAL GUATEMALTECO LIQUIDABLE CON DÓLAR DE LOS EE.UU.A.</t>
  </si>
  <si>
    <t>H15T10Y</t>
  </si>
  <si>
    <t>US Treasury Yield Curve Rate T</t>
  </si>
  <si>
    <t>H15T3Y</t>
  </si>
  <si>
    <t>HABITA</t>
  </si>
  <si>
    <t>MEXICO HABITA INDEX</t>
  </si>
  <si>
    <t>HDAX</t>
  </si>
  <si>
    <t>INDICE DE LA BOLSA DE FRANKFURT HDAX110</t>
  </si>
  <si>
    <t>HKDMXN</t>
  </si>
  <si>
    <t>DÓLAR DE HONG KONG LIQUIDABLE CON PESO MEXICANO</t>
  </si>
  <si>
    <t>HKDUSD</t>
  </si>
  <si>
    <t>DÓLAR DE HONG KONG LIQUIDABLE CON DÓLAR DE LOS EE.UU.A.</t>
  </si>
  <si>
    <t>HSFHK25</t>
  </si>
  <si>
    <t>INDICE HANG SENG DE LA BOLSA DE HONG KONG</t>
  </si>
  <si>
    <t>I21701Y</t>
  </si>
  <si>
    <t>COP Colombia TES (IYC217) Zero</t>
  </si>
  <si>
    <t>I21702Y</t>
  </si>
  <si>
    <t>I21703M</t>
  </si>
  <si>
    <t>I21703Y</t>
  </si>
  <si>
    <t>I21705Y</t>
  </si>
  <si>
    <t>I21706M</t>
  </si>
  <si>
    <t>I21706Y</t>
  </si>
  <si>
    <t>I21707Y</t>
  </si>
  <si>
    <t>I21710Y</t>
  </si>
  <si>
    <t>I21715Y</t>
  </si>
  <si>
    <t>I21730Y</t>
  </si>
  <si>
    <t>I35101Y</t>
  </si>
  <si>
    <t>CLP Chile Government (IYC 351)</t>
  </si>
  <si>
    <t>I35102Y</t>
  </si>
  <si>
    <t>I35103M</t>
  </si>
  <si>
    <t>I35106M</t>
  </si>
  <si>
    <t>I35106Y</t>
  </si>
  <si>
    <t>I35108Y</t>
  </si>
  <si>
    <t>I35110Y</t>
  </si>
  <si>
    <t>I36105Y</t>
  </si>
  <si>
    <t>PEN Peru Sovereign (IYC361) Ze</t>
  </si>
  <si>
    <t>I36110Y</t>
  </si>
  <si>
    <t>I36130Y</t>
  </si>
  <si>
    <t>IBEX</t>
  </si>
  <si>
    <t>IBEX 35 INDEX</t>
  </si>
  <si>
    <t>IBOV</t>
  </si>
  <si>
    <t>BRAZIL BOVESPA INDEX</t>
  </si>
  <si>
    <t>IDRMXN</t>
  </si>
  <si>
    <t>RUPIA INDONESIA LIQUIDABLE CON PESO MEXICANO</t>
  </si>
  <si>
    <t>IE0008471009</t>
  </si>
  <si>
    <t>EUN2 EB</t>
  </si>
  <si>
    <t>IL0011213001</t>
  </si>
  <si>
    <t>SODA US</t>
  </si>
  <si>
    <t>INDU</t>
  </si>
  <si>
    <t>DOW JONES INDUS. AVG</t>
  </si>
  <si>
    <t>INMEXRT</t>
  </si>
  <si>
    <t>INDICE MEXICO RENDIM.TOT</t>
  </si>
  <si>
    <t>INRMXN</t>
  </si>
  <si>
    <t>RUPIA INDIA LIQUIDABLE CON PESO MEXICANO</t>
  </si>
  <si>
    <t>INRUSD</t>
  </si>
  <si>
    <t>RUPIA INDIA LIQUIDABLE CON DÓLAR DE LOS EE.UU.A.</t>
  </si>
  <si>
    <t>JPYEUR</t>
  </si>
  <si>
    <t>YEN JAPONÉS LIQUIDABLE CON EURO</t>
  </si>
  <si>
    <t>JPYMXN</t>
  </si>
  <si>
    <t>YEN JAPONÉS LIQUIDABLE CON PESO MEXICANO</t>
  </si>
  <si>
    <t>JPYUSD</t>
  </si>
  <si>
    <t>YEN JAPONÉS LIQUIDABLE CON DÓLAR DE LOS EE.UU.A.</t>
  </si>
  <si>
    <t>JY0001M</t>
  </si>
  <si>
    <t>ICE LIBOR JPY 1 Month</t>
  </si>
  <si>
    <t>JY0001W</t>
  </si>
  <si>
    <t>ICE LIBOR JPY 1 Week</t>
  </si>
  <si>
    <t>JY0002M</t>
  </si>
  <si>
    <t>ICE LIBOR JPY 2 Month</t>
  </si>
  <si>
    <t>JY0003M</t>
  </si>
  <si>
    <t>ICE LIBOR JPY 3 Month</t>
  </si>
  <si>
    <t>JY0006M</t>
  </si>
  <si>
    <t>ICE LIBOR JPY 6 Month</t>
  </si>
  <si>
    <t>JY0012M</t>
  </si>
  <si>
    <t>ICE LIBOR JPY 12 Month</t>
  </si>
  <si>
    <t>JY00S/N</t>
  </si>
  <si>
    <t>ICE LIBOR JPY Spot Next</t>
  </si>
  <si>
    <t>KRWMXN</t>
  </si>
  <si>
    <t>WON (COREA DEL SUR) LIQUIDABLE CON PESO MEXICANO</t>
  </si>
  <si>
    <t>KRWUSD</t>
  </si>
  <si>
    <t>WON (COREA DEL SUR) LIQUIDABLE CON DÓLAR DE LOS EE.UU.A.</t>
  </si>
  <si>
    <t>LATIBEX</t>
  </si>
  <si>
    <t>FTSE LATIBEX ALL SHARE</t>
  </si>
  <si>
    <t>LATIBEXB</t>
  </si>
  <si>
    <t>FTSE LATIBEX BRASIL</t>
  </si>
  <si>
    <t>LATIBEXT</t>
  </si>
  <si>
    <t>FTSE LATIBEX TOP</t>
  </si>
  <si>
    <t>LISF01M</t>
  </si>
  <si>
    <t>ICE LIBOR Libid Limean CHF 1 M</t>
  </si>
  <si>
    <t>LISF02M</t>
  </si>
  <si>
    <t>ICE LIBOR Libid Limean CHF 2 M</t>
  </si>
  <si>
    <t>LISF03M</t>
  </si>
  <si>
    <t>ICE LIBOR Libid Limean CHF 3 M</t>
  </si>
  <si>
    <t>LISF06M</t>
  </si>
  <si>
    <t>ICE LIBOR Libid Limean CHF 6 M</t>
  </si>
  <si>
    <t>LISF12M</t>
  </si>
  <si>
    <t>ICE LIBOR Libid Limean CHF 12</t>
  </si>
  <si>
    <t>ARGENTINA MERVAL INDEX</t>
  </si>
  <si>
    <t>MEXBOL</t>
  </si>
  <si>
    <t>IPC GENERAL DE LA BOLSA MEXICANA DE VALORES</t>
  </si>
  <si>
    <t>MID</t>
  </si>
  <si>
    <t>S&amp;P 400 MIDCAP INDEX</t>
  </si>
  <si>
    <t>MNX</t>
  </si>
  <si>
    <t>MINI NDX 100 STOCK INDEX</t>
  </si>
  <si>
    <t>MX01AC100006</t>
  </si>
  <si>
    <t>AC* MM</t>
  </si>
  <si>
    <t>MX01AL0C0004</t>
  </si>
  <si>
    <t>ALPEKA MM</t>
  </si>
  <si>
    <t>MX01AX040009</t>
  </si>
  <si>
    <t>AXTEL SAB DE CV - CPO</t>
  </si>
  <si>
    <t>MX01AZ060013</t>
  </si>
  <si>
    <t>AZTECACP MM</t>
  </si>
  <si>
    <t>MX01BA1D0003</t>
  </si>
  <si>
    <t>BACHOCOB MM</t>
  </si>
  <si>
    <t>MX01BM1B0000</t>
  </si>
  <si>
    <t>BOLSAA MM</t>
  </si>
  <si>
    <t>MX01CH170002</t>
  </si>
  <si>
    <t>CHDRAUIB MM</t>
  </si>
  <si>
    <t>MX01CO0P0009</t>
  </si>
  <si>
    <t>COMPARC* MM</t>
  </si>
  <si>
    <t>MX01EL000003</t>
  </si>
  <si>
    <t>ELEKTRA* MM</t>
  </si>
  <si>
    <t>MX01GA000004</t>
  </si>
  <si>
    <t>GAPB MM</t>
  </si>
  <si>
    <t>MX01GE0E0004</t>
  </si>
  <si>
    <t>GENTERA* MM</t>
  </si>
  <si>
    <t>MX01GF010008</t>
  </si>
  <si>
    <t>GFAMSAA MM</t>
  </si>
  <si>
    <t>MX01GF0X0008</t>
  </si>
  <si>
    <t>GFREGIO MM</t>
  </si>
  <si>
    <t>MX01GS000004</t>
  </si>
  <si>
    <t>GSANBOB1 MM</t>
  </si>
  <si>
    <t>MX01HO000007</t>
  </si>
  <si>
    <t>HOMEX* MM</t>
  </si>
  <si>
    <t>MX01IE060002</t>
  </si>
  <si>
    <t>IENOVA* MM</t>
  </si>
  <si>
    <t>MX01IN2K0001</t>
  </si>
  <si>
    <t>INCARSOB MM</t>
  </si>
  <si>
    <t>MX01KU000012</t>
  </si>
  <si>
    <t>KUOB MM</t>
  </si>
  <si>
    <t>MX01LA010006</t>
  </si>
  <si>
    <t>LABB MM</t>
  </si>
  <si>
    <t>MX01MA020012</t>
  </si>
  <si>
    <t>MAXCOMCP MM</t>
  </si>
  <si>
    <t>MX01ME050007</t>
  </si>
  <si>
    <t>MEXCHEM* MM</t>
  </si>
  <si>
    <t>MX01MF010000</t>
  </si>
  <si>
    <t>MFRISCOA MM</t>
  </si>
  <si>
    <t>MX01OH010006</t>
  </si>
  <si>
    <t>OHLMEX* MM</t>
  </si>
  <si>
    <t>MX01OM000018</t>
  </si>
  <si>
    <t>OMAB MM</t>
  </si>
  <si>
    <t>MX01PI000005</t>
  </si>
  <si>
    <t>PINFRA* MM</t>
  </si>
  <si>
    <t>MX01PO020005</t>
  </si>
  <si>
    <t>POCHTECB MM</t>
  </si>
  <si>
    <t>MX01SA030007</t>
  </si>
  <si>
    <t>SAREB MM</t>
  </si>
  <si>
    <t>MX01UR000007</t>
  </si>
  <si>
    <t>URBI* MM</t>
  </si>
  <si>
    <t>MX0FBA0A0F88</t>
  </si>
  <si>
    <t>CERTIFICADO BURSATIL DE BBVA BANCOMER MÉXICO</t>
  </si>
  <si>
    <t>MX0MGO000003</t>
  </si>
  <si>
    <t>BONDES DEL GOBIERNO FEDERAL MEXICANO</t>
  </si>
  <si>
    <t>MX0MGO000060</t>
  </si>
  <si>
    <t>MX0MGO000078</t>
  </si>
  <si>
    <t>MX0MGO000086</t>
  </si>
  <si>
    <t>MX0MGO0000B2</t>
  </si>
  <si>
    <t>MX0MGO0000C0</t>
  </si>
  <si>
    <t>MX0MGO0000D8</t>
  </si>
  <si>
    <t>MX0MGO0000F3</t>
  </si>
  <si>
    <t>MX0MGO0000G1</t>
  </si>
  <si>
    <t>MX0MGO0000H9</t>
  </si>
  <si>
    <t>MX0MGO0000J5</t>
  </si>
  <si>
    <t>MX0MGO0000L1</t>
  </si>
  <si>
    <t>MX0MGO0000M9</t>
  </si>
  <si>
    <t>MX0MGO0000N7</t>
  </si>
  <si>
    <t>MX0MGO0000O5</t>
  </si>
  <si>
    <t>MX0MGO0000P2</t>
  </si>
  <si>
    <t>MX0MGO0000Q0</t>
  </si>
  <si>
    <t>MX0MGO0000R8</t>
  </si>
  <si>
    <t>MX0MGO0000S6</t>
  </si>
  <si>
    <t>MX0MGO0000T4</t>
  </si>
  <si>
    <t>MX0QBA0A0046</t>
  </si>
  <si>
    <t>MX1BBR060001</t>
  </si>
  <si>
    <t>BRTRAC MM</t>
  </si>
  <si>
    <t>MX1BME0F0008</t>
  </si>
  <si>
    <t>MEXTRAC MM</t>
  </si>
  <si>
    <t>MX1BNA060014</t>
  </si>
  <si>
    <t>NAFTRAC MM</t>
  </si>
  <si>
    <t>MX41CO0H0005</t>
  </si>
  <si>
    <t>COMPARTO MM</t>
  </si>
  <si>
    <t>MX90CH1C0018</t>
  </si>
  <si>
    <t>CERTIFICADO BURSATIL DEL GOBIERNO DE CHIAPAS</t>
  </si>
  <si>
    <t>MXCFFI0U0002</t>
  </si>
  <si>
    <t>FIBRAMQ MM</t>
  </si>
  <si>
    <t>MXCFFU000001</t>
  </si>
  <si>
    <t>FUNO11 MM</t>
  </si>
  <si>
    <t>MXIB182D</t>
  </si>
  <si>
    <t>MEXICO INTERBANK TIIE 182 DAY</t>
  </si>
  <si>
    <t>MXIB91DT</t>
  </si>
  <si>
    <t>MEXICO INTERBANK TIIE 91 DAY</t>
  </si>
  <si>
    <t>MXIBTIIE</t>
  </si>
  <si>
    <t>MEXICO INTERBANK TIIE 28 DAY</t>
  </si>
  <si>
    <t>MXNAED</t>
  </si>
  <si>
    <t>PESO MEXICANO LIQUIDABLE CON DIRHAM DE LOS EMIRATOS ÁRABES UNIDOS</t>
  </si>
  <si>
    <t>MXNJPY</t>
  </si>
  <si>
    <t>PESO MEXICANO LIQUIDABLE CON YEN JAPONÉS</t>
  </si>
  <si>
    <t>MXNUSD</t>
  </si>
  <si>
    <t>PESO MEXICANO LIQUIDABLE CON DÓLAR DE LOS EE.UU.A.</t>
  </si>
  <si>
    <t>MXP001161019</t>
  </si>
  <si>
    <t>ARA* MM</t>
  </si>
  <si>
    <t>MXP001391012</t>
  </si>
  <si>
    <t>ALSEA* MM</t>
  </si>
  <si>
    <t>MXP001661018</t>
  </si>
  <si>
    <t>ASURB MM</t>
  </si>
  <si>
    <t>MXP001691015</t>
  </si>
  <si>
    <t>AMXA MM</t>
  </si>
  <si>
    <t>MXP001691213</t>
  </si>
  <si>
    <t>AMXL MM</t>
  </si>
  <si>
    <t>MXP0598H1110</t>
  </si>
  <si>
    <t>AUTLANB MM</t>
  </si>
  <si>
    <t>MXP200821413</t>
  </si>
  <si>
    <t>COMERUBC MM</t>
  </si>
  <si>
    <t>MXP225611567</t>
  </si>
  <si>
    <t>CEMEXCPO MM</t>
  </si>
  <si>
    <t>MXP2861W1067</t>
  </si>
  <si>
    <t>KOFL MM</t>
  </si>
  <si>
    <t>MXP3142C1177</t>
  </si>
  <si>
    <t>GEOB MM</t>
  </si>
  <si>
    <t>MXP320321310</t>
  </si>
  <si>
    <t>FEMSAUBD MM</t>
  </si>
  <si>
    <t>MXP369181112</t>
  </si>
  <si>
    <t>LIVEPOL1 MM</t>
  </si>
  <si>
    <t>MXP369181377</t>
  </si>
  <si>
    <t>LIVEPOLC MM</t>
  </si>
  <si>
    <t>MXP370641013</t>
  </si>
  <si>
    <t>GFINBURO MM</t>
  </si>
  <si>
    <t>MXP370711014</t>
  </si>
  <si>
    <t>GFNORTEO MM</t>
  </si>
  <si>
    <t>MXP370841019</t>
  </si>
  <si>
    <t>GMEXICOB MM</t>
  </si>
  <si>
    <t>MXP371491046</t>
  </si>
  <si>
    <t>ICA* MM</t>
  </si>
  <si>
    <t>MXP461181085</t>
  </si>
  <si>
    <t>GCARSOA1 MM</t>
  </si>
  <si>
    <t>MXP4833F1044</t>
  </si>
  <si>
    <t>GMODELOC MM</t>
  </si>
  <si>
    <t>MXP4948K1056</t>
  </si>
  <si>
    <t>GRUMAB MM</t>
  </si>
  <si>
    <t>MXP495211262</t>
  </si>
  <si>
    <t>BIMBOA MM</t>
  </si>
  <si>
    <t>MXP4984U1083</t>
  </si>
  <si>
    <t>SIMECB MM</t>
  </si>
  <si>
    <t>MXP4987V1378</t>
  </si>
  <si>
    <t>GRUPO TELEVISA SAB-SER CPO</t>
  </si>
  <si>
    <t>MXP524131127</t>
  </si>
  <si>
    <t>ICHB MM</t>
  </si>
  <si>
    <t>MXP554091415</t>
  </si>
  <si>
    <t>PE&amp;OLES* MM</t>
  </si>
  <si>
    <t>MXP606941179</t>
  </si>
  <si>
    <t>KIMBERA MM</t>
  </si>
  <si>
    <t>MXP690491412</t>
  </si>
  <si>
    <t>SANMEXB MM</t>
  </si>
  <si>
    <t>MXP810081010</t>
  </si>
  <si>
    <t>WALMEXV MM</t>
  </si>
  <si>
    <t>MXP8728U1671</t>
  </si>
  <si>
    <t>SORIANAB MM</t>
  </si>
  <si>
    <t>MXP904131085</t>
  </si>
  <si>
    <t>TELMEXA MM</t>
  </si>
  <si>
    <t>MXP904131325</t>
  </si>
  <si>
    <t>TELMEXL MM</t>
  </si>
  <si>
    <t>MYRMXN</t>
  </si>
  <si>
    <t>RINGGIT MALAYO LIQUIDABLE CON PESO MEXICANO</t>
  </si>
  <si>
    <t>MYRUSD</t>
  </si>
  <si>
    <t>RINGGIT MALAYO LIQUIDABLE CON DÓLAR DE LOS EE.UU.A.</t>
  </si>
  <si>
    <t>No aplica</t>
  </si>
  <si>
    <t>NDX</t>
  </si>
  <si>
    <t>NASDAQ 100 STOCK INDEX</t>
  </si>
  <si>
    <t>NEY</t>
  </si>
  <si>
    <t>NIKKEI 300 INDEX</t>
  </si>
  <si>
    <t>NKY</t>
  </si>
  <si>
    <t>NIKKEI 225</t>
  </si>
  <si>
    <t>NL0000009082</t>
  </si>
  <si>
    <t>KPN NA</t>
  </si>
  <si>
    <t>NOKMXN</t>
  </si>
  <si>
    <t>CORONA NORUEGA LIQUIDABLE CON PESO MEXICANO</t>
  </si>
  <si>
    <t>NOKUSD</t>
  </si>
  <si>
    <t>CORONA NORUEGA LIQUIDABLE CON DÓLAR DE LOS EE.UU.A.</t>
  </si>
  <si>
    <t>NZDMXN</t>
  </si>
  <si>
    <t>DÓLAR NEOZELANDÉS LIQUIDABLE CON PESO MEXICANO</t>
  </si>
  <si>
    <t>NZDUSD</t>
  </si>
  <si>
    <t>DÓLAR NEOZELANDÉS LIQUIDABLE CON DÓLAR DE LOS EE.UU.A.</t>
  </si>
  <si>
    <t>OEX</t>
  </si>
  <si>
    <t>S&amp;P 100 INDEX</t>
  </si>
  <si>
    <t>PENMXN</t>
  </si>
  <si>
    <t>SOL PERUANO LIQUIDABLE CON PESO MEXICANO</t>
  </si>
  <si>
    <t>PENUSD</t>
  </si>
  <si>
    <t>SOL PERUANO LIQUIDABLE CON DÓLAR DE LOS EE.UU.A.</t>
  </si>
  <si>
    <t>PLNMXN</t>
  </si>
  <si>
    <t>ZLOTY POLACO LIQUIDABLE CON PESO MEXICANO</t>
  </si>
  <si>
    <t>PRIMBB</t>
  </si>
  <si>
    <t>Prime Rate By Country US-BB Co</t>
  </si>
  <si>
    <t>RDX</t>
  </si>
  <si>
    <t>RUSSIAN DEPOSITARY INDEX</t>
  </si>
  <si>
    <t>RTY</t>
  </si>
  <si>
    <t>RUSSELL 2000 INDEX</t>
  </si>
  <si>
    <t>SEKMXN</t>
  </si>
  <si>
    <t>CORONA SUECA LIQUIDABLE CON PESO MEXICANO</t>
  </si>
  <si>
    <t>SEKUSD</t>
  </si>
  <si>
    <t>CORONA SUECA LIQUIDABLE CON DÓLAR DE LOS EE.UU.A.</t>
  </si>
  <si>
    <t>SF0001M</t>
  </si>
  <si>
    <t>ICE LIBOR CHF 1 Month</t>
  </si>
  <si>
    <t>SF0001W</t>
  </si>
  <si>
    <t>ICE LIBOR CHF 1 Week</t>
  </si>
  <si>
    <t>SF0002M</t>
  </si>
  <si>
    <t>ICE LIBOR CHF 2 Month</t>
  </si>
  <si>
    <t>SF0003M</t>
  </si>
  <si>
    <t>ICE LIBOR CHF 3 Month</t>
  </si>
  <si>
    <t>SF0006M</t>
  </si>
  <si>
    <t>ICE LIBOR CHF 6 Month</t>
  </si>
  <si>
    <t>SF0012M</t>
  </si>
  <si>
    <t>ICE LIBOR CHF 12 Month</t>
  </si>
  <si>
    <t>SF00S/N</t>
  </si>
  <si>
    <t>ICE LIBOR CHF Spot Next</t>
  </si>
  <si>
    <t>SGDMXN</t>
  </si>
  <si>
    <t>DÓLAR SINGAPURENSE LIQUIDABLE CON PESO MEXICANO</t>
  </si>
  <si>
    <t>SGDUSD</t>
  </si>
  <si>
    <t>DÓLAR SINGAPURENSE LIQUIDABLE CON DÓLAR DE LOS EE.UU.A.</t>
  </si>
  <si>
    <t>SPTPX</t>
  </si>
  <si>
    <t>S&amp;P/TOPIX 150 INDEX TSE</t>
  </si>
  <si>
    <t>SPTSX</t>
  </si>
  <si>
    <t>S&amp;P/TSX COMPOSITE INDEX</t>
  </si>
  <si>
    <t>SPTSX60</t>
  </si>
  <si>
    <t>S&amp;P/TSX 60 INDEX</t>
  </si>
  <si>
    <t>SPX</t>
  </si>
  <si>
    <t>S&amp;P 500 INDEX</t>
  </si>
  <si>
    <t>THBMXN</t>
  </si>
  <si>
    <t>BAHT TAILANDÉS LIQUIDABLE CON PESO MEXICANO</t>
  </si>
  <si>
    <t>TPX</t>
  </si>
  <si>
    <t>TOPIX INDEX (TOKYO)</t>
  </si>
  <si>
    <t>TWDMXN</t>
  </si>
  <si>
    <t>DÓLAR TAIWANÉS LIQUIDABLE CON PESO MEXICANO</t>
  </si>
  <si>
    <t>TWDUSD</t>
  </si>
  <si>
    <t>DÓLAR TAIWANÉS LIQUIDABLE CON DÓLAR DE LOS EE.UU.A.</t>
  </si>
  <si>
    <t>UDI</t>
  </si>
  <si>
    <t>UNIDADES DE INVERSIÓN (UDIS MEXICANAS) LIQUIDABLE CON PESO MEXICANO</t>
  </si>
  <si>
    <t>UKX</t>
  </si>
  <si>
    <t>FTSE 100 INDEX</t>
  </si>
  <si>
    <t>US0001M</t>
  </si>
  <si>
    <t>ICE LIBOR USD 1 Month</t>
  </si>
  <si>
    <t>US0001W</t>
  </si>
  <si>
    <t>ICE LIBOR USD 1 Week</t>
  </si>
  <si>
    <t>US0002M</t>
  </si>
  <si>
    <t>ICE LIBOR USD 2 Month</t>
  </si>
  <si>
    <t>US0003M</t>
  </si>
  <si>
    <t>ICE LIBOR USD 3 Month</t>
  </si>
  <si>
    <t>US0006M</t>
  </si>
  <si>
    <t>ICE LIBOR USD 6 Month</t>
  </si>
  <si>
    <t>US0012M</t>
  </si>
  <si>
    <t>ICE LIBOR USD 12 Month</t>
  </si>
  <si>
    <t>US0015471081</t>
  </si>
  <si>
    <t>AKS* MM</t>
  </si>
  <si>
    <t>US00162Q8252</t>
  </si>
  <si>
    <t>ASDR US Index</t>
  </si>
  <si>
    <t>US00206R1023</t>
  </si>
  <si>
    <t>T US</t>
  </si>
  <si>
    <t>US00507V1098</t>
  </si>
  <si>
    <t>ATVI US</t>
  </si>
  <si>
    <t>US00O/N</t>
  </si>
  <si>
    <t>ICE LIBOR USD Overnight</t>
  </si>
  <si>
    <t>US01741R1023</t>
  </si>
  <si>
    <t>ATI US</t>
  </si>
  <si>
    <t>US02076X1028</t>
  </si>
  <si>
    <t>ANR US</t>
  </si>
  <si>
    <t>US0222761092</t>
  </si>
  <si>
    <t>ACHN MM</t>
  </si>
  <si>
    <t>US02364W1053</t>
  </si>
  <si>
    <t>AMX US</t>
  </si>
  <si>
    <t>US0567521085</t>
  </si>
  <si>
    <t>BIDU US</t>
  </si>
  <si>
    <t>US0594603039</t>
  </si>
  <si>
    <t>BBDN MM</t>
  </si>
  <si>
    <t>US09071M1062</t>
  </si>
  <si>
    <t>BLRX US</t>
  </si>
  <si>
    <t>US09643P2074</t>
  </si>
  <si>
    <t>BTH US</t>
  </si>
  <si>
    <t>US1491231015</t>
  </si>
  <si>
    <t>CAT US</t>
  </si>
  <si>
    <t>US1512908898</t>
  </si>
  <si>
    <t>CX US</t>
  </si>
  <si>
    <t>US1696561059</t>
  </si>
  <si>
    <t>CMG US</t>
  </si>
  <si>
    <t>US1727551004</t>
  </si>
  <si>
    <t>CRUS US</t>
  </si>
  <si>
    <t>US17275R1023</t>
  </si>
  <si>
    <t>CSCO* MM</t>
  </si>
  <si>
    <t>US18383Q7390</t>
  </si>
  <si>
    <t>TAN US</t>
  </si>
  <si>
    <t>US1912161007</t>
  </si>
  <si>
    <t>KO US</t>
  </si>
  <si>
    <t>US2044481040</t>
  </si>
  <si>
    <t>BVN US</t>
  </si>
  <si>
    <t>US25459Y4706</t>
  </si>
  <si>
    <t>EDZ* MM</t>
  </si>
  <si>
    <t>US25459Y6867</t>
  </si>
  <si>
    <t>EDC* MM</t>
  </si>
  <si>
    <t>US2546871060</t>
  </si>
  <si>
    <t>DIS US</t>
  </si>
  <si>
    <t>US2786421030</t>
  </si>
  <si>
    <t>EBAY US</t>
  </si>
  <si>
    <t>US28238P1093</t>
  </si>
  <si>
    <t>EHTH US</t>
  </si>
  <si>
    <t>US29244T1016</t>
  </si>
  <si>
    <t>EOC US</t>
  </si>
  <si>
    <t>US29274F1049</t>
  </si>
  <si>
    <t>ENI US</t>
  </si>
  <si>
    <t>US3453708600</t>
  </si>
  <si>
    <t>F US</t>
  </si>
  <si>
    <t>US3517931040</t>
  </si>
  <si>
    <t>FRAN US</t>
  </si>
  <si>
    <t>US3994731079</t>
  </si>
  <si>
    <t>GRPN US</t>
  </si>
  <si>
    <t>US40049J2069</t>
  </si>
  <si>
    <t>TV US</t>
  </si>
  <si>
    <t>US4005061019</t>
  </si>
  <si>
    <t>PAC US</t>
  </si>
  <si>
    <t>US4370761029</t>
  </si>
  <si>
    <t>HD* MM</t>
  </si>
  <si>
    <t>US4642868222</t>
  </si>
  <si>
    <t>EWW US</t>
  </si>
  <si>
    <t>US4642871689</t>
  </si>
  <si>
    <t>DVY US</t>
  </si>
  <si>
    <t>US4642875565</t>
  </si>
  <si>
    <t>IBB US</t>
  </si>
  <si>
    <t>US4642876555</t>
  </si>
  <si>
    <t>IWM US</t>
  </si>
  <si>
    <t>US4642882736</t>
  </si>
  <si>
    <t>SCZ US</t>
  </si>
  <si>
    <t>US46625H1005</t>
  </si>
  <si>
    <t>JPM US</t>
  </si>
  <si>
    <t>US48666K1097</t>
  </si>
  <si>
    <t>KBH* MM</t>
  </si>
  <si>
    <t>US49271M1009</t>
  </si>
  <si>
    <t>GMCR US</t>
  </si>
  <si>
    <t>US5178341070</t>
  </si>
  <si>
    <t>LVS* MM</t>
  </si>
  <si>
    <t>US53578A1088</t>
  </si>
  <si>
    <t>LNKD US</t>
  </si>
  <si>
    <t>US5500211090</t>
  </si>
  <si>
    <t>LULU US</t>
  </si>
  <si>
    <t>US5529531015</t>
  </si>
  <si>
    <t>MGM* MM</t>
  </si>
  <si>
    <t>US57060U1007</t>
  </si>
  <si>
    <t>GDX US Index</t>
  </si>
  <si>
    <t>US58155Q1031</t>
  </si>
  <si>
    <t>MCK* MM</t>
  </si>
  <si>
    <t>US58733R1023</t>
  </si>
  <si>
    <t>MELI US</t>
  </si>
  <si>
    <t>US5949181045</t>
  </si>
  <si>
    <t>MSFT US</t>
  </si>
  <si>
    <t>US5951121038</t>
  </si>
  <si>
    <t>MU* MM</t>
  </si>
  <si>
    <t>US61945C1036</t>
  </si>
  <si>
    <t>MOS US</t>
  </si>
  <si>
    <t>US64110L1061</t>
  </si>
  <si>
    <t>NFLX US</t>
  </si>
  <si>
    <t>US6501111073</t>
  </si>
  <si>
    <t>NYT US</t>
  </si>
  <si>
    <t>US6549022043</t>
  </si>
  <si>
    <t>NOK US</t>
  </si>
  <si>
    <t>US67020Y1001</t>
  </si>
  <si>
    <t>NUAN US</t>
  </si>
  <si>
    <t>US68389X1054</t>
  </si>
  <si>
    <t>ORCL US</t>
  </si>
  <si>
    <t>US69373H1068</t>
  </si>
  <si>
    <t>PACR US</t>
  </si>
  <si>
    <t>US71654V4086</t>
  </si>
  <si>
    <t>PBR US</t>
  </si>
  <si>
    <t>US7415034039</t>
  </si>
  <si>
    <t>PCLN US</t>
  </si>
  <si>
    <t>US74340W1036</t>
  </si>
  <si>
    <t>PLD* MM</t>
  </si>
  <si>
    <t>US7458671010</t>
  </si>
  <si>
    <t>PHM* MM</t>
  </si>
  <si>
    <t>US76026T2050</t>
  </si>
  <si>
    <t>REPYY US</t>
  </si>
  <si>
    <t>US7612831005</t>
  </si>
  <si>
    <t>RH US</t>
  </si>
  <si>
    <t>US78463X7984</t>
  </si>
  <si>
    <t>BIK US Index</t>
  </si>
  <si>
    <t>US81369Y8865</t>
  </si>
  <si>
    <t>XLU US</t>
  </si>
  <si>
    <t>US83416T1007</t>
  </si>
  <si>
    <t>SCTY US</t>
  </si>
  <si>
    <t>US84265V1052</t>
  </si>
  <si>
    <t>SCCO US</t>
  </si>
  <si>
    <t>US8552441094</t>
  </si>
  <si>
    <t>SBUX US</t>
  </si>
  <si>
    <t>US8794037809</t>
  </si>
  <si>
    <t>TMX US</t>
  </si>
  <si>
    <t>US8807791038</t>
  </si>
  <si>
    <t>TEX US</t>
  </si>
  <si>
    <t>US88160R1014</t>
  </si>
  <si>
    <t>TSLA US</t>
  </si>
  <si>
    <t>US89674K1034</t>
  </si>
  <si>
    <t>TQNT US</t>
  </si>
  <si>
    <t>US90184L1026</t>
  </si>
  <si>
    <t>TWTR US</t>
  </si>
  <si>
    <t>US90384S3031</t>
  </si>
  <si>
    <t>ULTA US</t>
  </si>
  <si>
    <t>US9043111072</t>
  </si>
  <si>
    <t>UA US</t>
  </si>
  <si>
    <t>US92342Y1091</t>
  </si>
  <si>
    <t>PAY US</t>
  </si>
  <si>
    <t>US9291601097</t>
  </si>
  <si>
    <t>VMC* MM</t>
  </si>
  <si>
    <t>US9486261061</t>
  </si>
  <si>
    <t>WTW US</t>
  </si>
  <si>
    <t>US9668371068</t>
  </si>
  <si>
    <t>WFM US</t>
  </si>
  <si>
    <t>US9831341071</t>
  </si>
  <si>
    <t>WYNN US</t>
  </si>
  <si>
    <t>US9843321061</t>
  </si>
  <si>
    <t>YHOO US</t>
  </si>
  <si>
    <t>US9858171054</t>
  </si>
  <si>
    <t>YELP US</t>
  </si>
  <si>
    <t>US98742U1007</t>
  </si>
  <si>
    <t>YOKU US</t>
  </si>
  <si>
    <t>USDARS</t>
  </si>
  <si>
    <t>DÓLAR DE LOS EE.UU.A. LIQUIDABLE CON PESOS ARGENTINOS</t>
  </si>
  <si>
    <t>USDAUD</t>
  </si>
  <si>
    <t>DÓLAR DE LOS EE.UU.A. LIQUIDABLE CON DÓLAR AUSTRALIANO</t>
  </si>
  <si>
    <t>USDBRL</t>
  </si>
  <si>
    <t>DÓLAR DE LOS EE.UU.A. LIQUIDABLE CON REAL BRASILEÑO</t>
  </si>
  <si>
    <t>USDCAD</t>
  </si>
  <si>
    <t>DÓLAR DE LOS EE.UU.A. LIQUIDABLE CON DÓLAR CANADIENSE</t>
  </si>
  <si>
    <t>USDCHF</t>
  </si>
  <si>
    <t>DÓLAR DE LOS EE.UU.A. LIQUIDABLE CON FRANCO SUIZO</t>
  </si>
  <si>
    <t>USDCLP</t>
  </si>
  <si>
    <t>DÓLAR DE LOS EE.UU.A. LIQUIDABLE CON PESO CHILENO</t>
  </si>
  <si>
    <t>USDCNY</t>
  </si>
  <si>
    <t>DÓLAR DE LOS EE.UU.A. LIQUIDABLE CON YUAN CHINO</t>
  </si>
  <si>
    <t>USDCOP</t>
  </si>
  <si>
    <t>DÓLAR DE LOS EE.UU.A. LIQUIDABLE CON PESO COLOMBIANO</t>
  </si>
  <si>
    <t>USDDKK</t>
  </si>
  <si>
    <t>DÓLAR DE LOS EE.UU.A. LIQUIDABLE CON CORONA DANESA</t>
  </si>
  <si>
    <t>USDEUR</t>
  </si>
  <si>
    <t>DÓLAR DE LOS EE.UU.A. LIQUIDABLE CON EURO</t>
  </si>
  <si>
    <t>USDGBP</t>
  </si>
  <si>
    <t>DÓLAR DE LOS EE.UU.A. LIQUIDABLE CON LIBRA ESTERLINA</t>
  </si>
  <si>
    <t>USDGTQ</t>
  </si>
  <si>
    <t>DÓLAR DE LOS EE.UU.A. LIQUIDABLE CON QUETZAL GUATEMALTECO</t>
  </si>
  <si>
    <t>USDINR</t>
  </si>
  <si>
    <t>DÓLAR DE LOS EE.UU.A. LIQUIDABLE CON RUPIA INDIA</t>
  </si>
  <si>
    <t>USDJPY</t>
  </si>
  <si>
    <t>DÓLAR DE LOS EE.UU.A. LIQUIDABLE CON YEN JAPONÉS</t>
  </si>
  <si>
    <t>USDMXN</t>
  </si>
  <si>
    <t>DÓLAR DE LOS EE.UU.A. LIQUIDABLE CON PESO MEXICANO</t>
  </si>
  <si>
    <t>USDMYR</t>
  </si>
  <si>
    <t>DÓLAR DE LOS EE.UU.A. LIQUIDABLE CON RINGGIT MALAYO</t>
  </si>
  <si>
    <t>USDNOK</t>
  </si>
  <si>
    <t>DÓLAR DE LOS EE.UU.A. LIQUIDABLE CON CORONA NORUEGA</t>
  </si>
  <si>
    <t>USDNZD</t>
  </si>
  <si>
    <t>DÓLAR DE LOS EE.UU.A. LIQUIDABLE CON DÓLAR NEOZELANDÉS</t>
  </si>
  <si>
    <t>USDPEN</t>
  </si>
  <si>
    <t>DÓLAR DE LOS EE.UU.A. LIQUIDABLE CON SOL PERUANO</t>
  </si>
  <si>
    <t>USDRUB</t>
  </si>
  <si>
    <t>DÓLAR DE LOS EE.UU.A. LIQUIDABLE CON RUBLO RUSO</t>
  </si>
  <si>
    <t>USDSEK</t>
  </si>
  <si>
    <t>DÓLAR DE LOS EE.UU.A. LIQUIDABLE CON CORONA SUECA</t>
  </si>
  <si>
    <t>USDSGD</t>
  </si>
  <si>
    <t>DÓLAR DE LOS EE.UU.A. LIQUIDABLE CON DÓLAR SINGAPURENSE</t>
  </si>
  <si>
    <t>USDVEF</t>
  </si>
  <si>
    <t>DÓLAR DE LOS EE.UU.A. LIQUIDABLE CON BOLÍVAR VENEZOLANO</t>
  </si>
  <si>
    <t>USDZAR</t>
  </si>
  <si>
    <t>DÓLAR DE LOS EE.UU.A. LIQUIDABLE CON RAND SUDAFRICANO</t>
  </si>
  <si>
    <t>USGG10YR</t>
  </si>
  <si>
    <t>US Generic Govt 10 Year Yield</t>
  </si>
  <si>
    <t>USGG12M</t>
  </si>
  <si>
    <t>US Generic Govt 12 Month Yield</t>
  </si>
  <si>
    <t>USGG1M</t>
  </si>
  <si>
    <t>US Generic Govt 1 Month Yield</t>
  </si>
  <si>
    <t>USGG2YR</t>
  </si>
  <si>
    <t>US Generic Govt 2 Year Yield</t>
  </si>
  <si>
    <t>USGG30YR</t>
  </si>
  <si>
    <t>US Generic Govt 30 Year Yield</t>
  </si>
  <si>
    <t>USGG3M</t>
  </si>
  <si>
    <t>US Generic Govt 3 Month Yield</t>
  </si>
  <si>
    <t>USGG5YR</t>
  </si>
  <si>
    <t>US Generic Govt 5 Year Yield</t>
  </si>
  <si>
    <t>USGG6M</t>
  </si>
  <si>
    <t>US Generic Govt 6 Month Yield</t>
  </si>
  <si>
    <t>VEFUSD</t>
  </si>
  <si>
    <t>BOLÍVAR VENEZOLANO LIQUIDABLE CON DÓLAR DE LOS EE.UU.A.</t>
  </si>
  <si>
    <t>VIX</t>
  </si>
  <si>
    <t>CHICAGO BOARD OPTIONS EXCHANGE SPX VOLATILITY INDEX</t>
  </si>
  <si>
    <t>XAX</t>
  </si>
  <si>
    <t>NYSE MKT COMPOSITE</t>
  </si>
  <si>
    <t>ZARMXN</t>
  </si>
  <si>
    <t>RAND SUDAFRICANO LIQUIDABLE CON PESO MEXICANO</t>
  </si>
  <si>
    <t>ZARUSD</t>
  </si>
  <si>
    <t>RAND SUDAFRICANO LIQUIDABLE CON DÓLAR DE LOS EE.UU.A.</t>
  </si>
  <si>
    <t>EVENTO_CP</t>
  </si>
  <si>
    <t>Nueva Relación</t>
  </si>
  <si>
    <t>Cambio en la Relación</t>
  </si>
  <si>
    <t>Fin de la Relación</t>
  </si>
  <si>
    <t>D</t>
  </si>
  <si>
    <t>Entrega por Diferencias</t>
  </si>
  <si>
    <t>M</t>
  </si>
  <si>
    <t>Ambas opciones son permitidas por contrato</t>
  </si>
  <si>
    <t>Entrega de Subyacente</t>
  </si>
  <si>
    <t>ASE</t>
  </si>
  <si>
    <t>ATHENS STOCK EXCHANGE (GRECIA)</t>
  </si>
  <si>
    <t>BMF</t>
  </si>
  <si>
    <t>BOLSA DE MERCADERIAS Y FUTUROS (BRASIL)</t>
  </si>
  <si>
    <t>CBT</t>
  </si>
  <si>
    <t>CHICAGO BOARD OF TRADE (CBOE)</t>
  </si>
  <si>
    <t>CFE</t>
  </si>
  <si>
    <t>CBOE FUTURES EXCHANGE</t>
  </si>
  <si>
    <t>CME</t>
  </si>
  <si>
    <t>EUX</t>
  </si>
  <si>
    <t>EUROPE'S GLOBAL FINANCIAL MARKETPLACE</t>
  </si>
  <si>
    <t>ICE</t>
  </si>
  <si>
    <t>INTERCONTINENTAL FUTURES AND OPTIONS EXCHANGE (NYSE-ICE)</t>
  </si>
  <si>
    <t>LFF</t>
  </si>
  <si>
    <t>LONDON INTERNATIONAL FINANCIAL FUTURES AND OPTIONS EXCHANGE (NYSE-LIFFE)</t>
  </si>
  <si>
    <t>MEF</t>
  </si>
  <si>
    <t>SOCIEDAD RECTORA DEL MERCADO DE PRODUCTOS DERIVADOS (ESPAÑA)</t>
  </si>
  <si>
    <t>MEX</t>
  </si>
  <si>
    <t>MERCADO MEXICANO DE DERIVADOS</t>
  </si>
  <si>
    <t>NYM</t>
  </si>
  <si>
    <t>NEW YORK MERCANTILE EXCHANGE</t>
  </si>
  <si>
    <t>NYS</t>
  </si>
  <si>
    <t>NEW YORK STOCK EXCHANGE (NYSE)</t>
  </si>
  <si>
    <t>Alta por Omisión</t>
  </si>
  <si>
    <t>Alta por Sustitución</t>
  </si>
  <si>
    <t>Borrado por Improcedencia</t>
  </si>
  <si>
    <t>Baja por Sustitución</t>
  </si>
  <si>
    <t>Cancelación Anticipada</t>
  </si>
  <si>
    <t>AED</t>
  </si>
  <si>
    <t>Dirham de los Emiratos Árabes Unidos</t>
  </si>
  <si>
    <t>ARS</t>
  </si>
  <si>
    <t>Pesos Argentinos</t>
  </si>
  <si>
    <t>AUD</t>
  </si>
  <si>
    <t>Dólar Australiano</t>
  </si>
  <si>
    <t>BID</t>
  </si>
  <si>
    <t>Canasta de Tipos de Cambio del BID</t>
  </si>
  <si>
    <t>BIR</t>
  </si>
  <si>
    <t>Canasta de Tipos Cambio del BIRF</t>
  </si>
  <si>
    <t>BRL</t>
  </si>
  <si>
    <t>Real Brasileño</t>
  </si>
  <si>
    <t>CAD</t>
  </si>
  <si>
    <t>Dólar Canadiense</t>
  </si>
  <si>
    <t>CHF</t>
  </si>
  <si>
    <t>Franco Suizo</t>
  </si>
  <si>
    <t>CLP</t>
  </si>
  <si>
    <t>Peso Chileno</t>
  </si>
  <si>
    <t>CNY</t>
  </si>
  <si>
    <t>Yuan Chino</t>
  </si>
  <si>
    <t>COP</t>
  </si>
  <si>
    <t>Peso Colombiano</t>
  </si>
  <si>
    <t>CZK</t>
  </si>
  <si>
    <t>Corona Checa</t>
  </si>
  <si>
    <t>DKK</t>
  </si>
  <si>
    <t>Corona Danesa</t>
  </si>
  <si>
    <t>EUR</t>
  </si>
  <si>
    <t>Euro</t>
  </si>
  <si>
    <t>GBP</t>
  </si>
  <si>
    <t>Libra Esterlina</t>
  </si>
  <si>
    <t>GTQ</t>
  </si>
  <si>
    <t>Quetzal Guatemalteco</t>
  </si>
  <si>
    <t>HKD</t>
  </si>
  <si>
    <t>Dólar de Hong Kong</t>
  </si>
  <si>
    <t>HUF</t>
  </si>
  <si>
    <t>Forint Húngaro</t>
  </si>
  <si>
    <t>IDR</t>
  </si>
  <si>
    <t>Rupia Indonesia</t>
  </si>
  <si>
    <t>ILS</t>
  </si>
  <si>
    <t>Shekel Israelí</t>
  </si>
  <si>
    <t>INR</t>
  </si>
  <si>
    <t>Rupia India</t>
  </si>
  <si>
    <t>JPY</t>
  </si>
  <si>
    <t>Yen Japonés</t>
  </si>
  <si>
    <t>KRW</t>
  </si>
  <si>
    <t>Won (Corea del Sur)</t>
  </si>
  <si>
    <t>MXN</t>
  </si>
  <si>
    <t>Peso Mexicano</t>
  </si>
  <si>
    <t>MXV</t>
  </si>
  <si>
    <t>Unidades de Inversión (UDIS mexicanas)</t>
  </si>
  <si>
    <t>NAP</t>
  </si>
  <si>
    <t>NOK</t>
  </si>
  <si>
    <t>Corona Noruega</t>
  </si>
  <si>
    <t>NZD</t>
  </si>
  <si>
    <t>Dólar Neozelandés</t>
  </si>
  <si>
    <t>PEN</t>
  </si>
  <si>
    <t>Sol Peruano</t>
  </si>
  <si>
    <t>PLN</t>
  </si>
  <si>
    <t>Zloty Polaco</t>
  </si>
  <si>
    <t>RUB</t>
  </si>
  <si>
    <t>Rublo Ruso</t>
  </si>
  <si>
    <t>SEK</t>
  </si>
  <si>
    <t>Corona Sueca</t>
  </si>
  <si>
    <t>SGD</t>
  </si>
  <si>
    <t>Dólar Singapurense</t>
  </si>
  <si>
    <t>SMA</t>
  </si>
  <si>
    <t>Salario Mínimo Diario Vigente en el Distrito Federal (zona A)</t>
  </si>
  <si>
    <t>THB</t>
  </si>
  <si>
    <t>Baht Tailandés</t>
  </si>
  <si>
    <t>TWD</t>
  </si>
  <si>
    <t>Dólar Taiwanés</t>
  </si>
  <si>
    <t>UFC</t>
  </si>
  <si>
    <t>Unidades de Fomento Chilenas</t>
  </si>
  <si>
    <t>USD</t>
  </si>
  <si>
    <t>Dólar de los EE.UU.A.</t>
  </si>
  <si>
    <t>VEF</t>
  </si>
  <si>
    <t>Bolívar Venezolano</t>
  </si>
  <si>
    <t>ZAR</t>
  </si>
  <si>
    <t>Rand Sudafricano</t>
  </si>
  <si>
    <t>La operación se venció anticipadamente, a solicitud de la Institución.</t>
  </si>
  <si>
    <t>La operación se venció anticipadamente, a solicitud de la Contraparte.</t>
  </si>
  <si>
    <t>La operación se venció anticipadamente, por acuerdo de ambas partes.</t>
  </si>
  <si>
    <t>La operación se venció anticipadamente como resultado de la "compresión" (optimización) del portafolio de derivados de la Institución.</t>
  </si>
  <si>
    <t>Los derechos de la operación fueron cedidos.</t>
  </si>
  <si>
    <t>La operación llegó a la fecha de vencimiento pactado, y la contraparte eligió la liquidación por diferencias.</t>
  </si>
  <si>
    <t>Por un acuerdo de las dos partes, la operación fue reestrucuturada o renegociada (en uno o varios de sus términos y/o condiciones).</t>
  </si>
  <si>
    <t>Terminación (extinción) de la operación sin la obligación de liquidación, por cualquier causa no imputable a las partes (por ejemplo, el subyacente dejó de cotizar, modificaciones en la legislación aplicable, etc.)</t>
  </si>
  <si>
    <t>Terminación (extinción) de la operación sin la obligación de liquidación, por cualquier causa imputable a alguna de las partes (por ejemplo, disminución en la solvencia económica o calidad crediticia, incumplimiento de garantías, información falsa, etc.)</t>
  </si>
  <si>
    <t>ENLACE DERIVADOS, S.A. DE C.V.</t>
  </si>
  <si>
    <t>SAXO BANK</t>
  </si>
  <si>
    <t>BM&amp;FBOVESPA PUMA</t>
  </si>
  <si>
    <t>CME GLOBEX</t>
  </si>
  <si>
    <t>Universal</t>
  </si>
  <si>
    <t>EURO BROKERS MEXICO, S.A. DE C.V.</t>
  </si>
  <si>
    <t>REMATE LINCE, S.A. DE C.V.</t>
  </si>
  <si>
    <t>SIF-GARBAN INTERCAPITAL MEXICO, S.A. DE C.V.</t>
  </si>
  <si>
    <t>TRADITION SERVICES S.A. DE C.V.</t>
  </si>
  <si>
    <t>GFI GROUP MÉXICO, S.A. DE C.V.</t>
  </si>
  <si>
    <t>TULLETT PREBON MÉXICO, S.A. DE C.V.</t>
  </si>
  <si>
    <t>90</t>
  </si>
  <si>
    <t>NO APLICA (La operación se concertó directamente con la contraprte)</t>
  </si>
  <si>
    <t>Cuando la Institución celebre la operación con el objetivo de "Cobertura" para otros activos distintos a créditos, títulos de deuda y títulos opcionales.</t>
  </si>
  <si>
    <t>Cuando la Institución celebre la operación con el objetivo de "Cobertura" para su cartera de créditos (incluye consumo, comercial y vivenda).</t>
  </si>
  <si>
    <t>CP</t>
  </si>
  <si>
    <t>Cuando la Institución celebre la operación con el objetivo de "Cobertura" de algún pasivo (incluye la emisión de títulos de deuda o títlos opcionales).</t>
  </si>
  <si>
    <t>CT</t>
  </si>
  <si>
    <t>Cuando la Institución celebre la operación con el objetivo de "Cobertura" para su portafolio de títulos de deuda (diferentes a títulos opcionales).</t>
  </si>
  <si>
    <t>Cuando la Institución celebre la operación con el objetivo de "Cobertura" para su portafolio de títulos opcionales ("Warrants").</t>
  </si>
  <si>
    <t>En operaciones realizadas por la Institución para su Fondo de Reservas para Pensiones, Jubilaciones y demás Prestaciones al personal; cuando dicho Fondo forme parte del Balance de la Institución.</t>
  </si>
  <si>
    <t>Cuando la Institución celebre la operación con el objetivo de "Negociación".</t>
  </si>
  <si>
    <t>A</t>
  </si>
  <si>
    <t>Agencias del Extranjero</t>
  </si>
  <si>
    <t>R</t>
  </si>
  <si>
    <t>Matriz Residente en México</t>
  </si>
  <si>
    <t>Sin pago de importe</t>
  </si>
  <si>
    <t>P</t>
  </si>
  <si>
    <t>Paga el importe</t>
  </si>
  <si>
    <t>Recibe el importe</t>
  </si>
  <si>
    <t>0215AB14</t>
  </si>
  <si>
    <t>Tasas de interés</t>
  </si>
  <si>
    <t>0215EN14</t>
  </si>
  <si>
    <t>0215OC14</t>
  </si>
  <si>
    <t>0216JL14</t>
  </si>
  <si>
    <t>0217DC14</t>
  </si>
  <si>
    <t>0217SP14</t>
  </si>
  <si>
    <t>0218JN14</t>
  </si>
  <si>
    <t>0219FB14</t>
  </si>
  <si>
    <t>0219MR14</t>
  </si>
  <si>
    <t>0219NV14</t>
  </si>
  <si>
    <t>0220AG14</t>
  </si>
  <si>
    <t>0221MY14</t>
  </si>
  <si>
    <t>1015AB14</t>
  </si>
  <si>
    <t>1015EN14</t>
  </si>
  <si>
    <t>1015OC14</t>
  </si>
  <si>
    <t>1016JL14</t>
  </si>
  <si>
    <t>1017DC14</t>
  </si>
  <si>
    <t>1017SP14</t>
  </si>
  <si>
    <t>1018JN14</t>
  </si>
  <si>
    <t>1019FB14</t>
  </si>
  <si>
    <t>1019MR14</t>
  </si>
  <si>
    <t>1019NV14</t>
  </si>
  <si>
    <t>1020AG14</t>
  </si>
  <si>
    <t>3YRH14</t>
  </si>
  <si>
    <t>Títulos de deuda</t>
  </si>
  <si>
    <t>3YRH15</t>
  </si>
  <si>
    <t>3YRM14</t>
  </si>
  <si>
    <t>3YRM15</t>
  </si>
  <si>
    <t>3YRU14</t>
  </si>
  <si>
    <t>3YRZ14</t>
  </si>
  <si>
    <t>ADH4</t>
  </si>
  <si>
    <t>Divisas</t>
  </si>
  <si>
    <t>ADH5</t>
  </si>
  <si>
    <t>ADH6</t>
  </si>
  <si>
    <t>ADM4</t>
  </si>
  <si>
    <t>ADM5</t>
  </si>
  <si>
    <t>ADM6</t>
  </si>
  <si>
    <t>ADU4</t>
  </si>
  <si>
    <t>ADU5</t>
  </si>
  <si>
    <t>ADU6</t>
  </si>
  <si>
    <t>ADZ4</t>
  </si>
  <si>
    <t>ADZ5</t>
  </si>
  <si>
    <t>ADZ6</t>
  </si>
  <si>
    <t>AXLDC14</t>
  </si>
  <si>
    <t>Acción individual</t>
  </si>
  <si>
    <t>AXLDC15</t>
  </si>
  <si>
    <t>AXLDC16</t>
  </si>
  <si>
    <t>AXLJN14</t>
  </si>
  <si>
    <t>AXLJN15</t>
  </si>
  <si>
    <t>AXLJN16</t>
  </si>
  <si>
    <t>AXLMR14</t>
  </si>
  <si>
    <t>AXLMR15</t>
  </si>
  <si>
    <t>AXLMR16</t>
  </si>
  <si>
    <t>AXLSP14</t>
  </si>
  <si>
    <t>AXLSP15</t>
  </si>
  <si>
    <t>AXLSP16</t>
  </si>
  <si>
    <t>BPH4</t>
  </si>
  <si>
    <t>BPH5</t>
  </si>
  <si>
    <t>BPM4</t>
  </si>
  <si>
    <t>BPM5</t>
  </si>
  <si>
    <t>BPU4</t>
  </si>
  <si>
    <t>BPU5</t>
  </si>
  <si>
    <t>BPZ4</t>
  </si>
  <si>
    <t>BPZ5</t>
  </si>
  <si>
    <t>CE91AB14</t>
  </si>
  <si>
    <t>CE91AB15</t>
  </si>
  <si>
    <t>CE91AG14</t>
  </si>
  <si>
    <t>CE91DC14</t>
  </si>
  <si>
    <t>CE91DC15</t>
  </si>
  <si>
    <t>CE91DC16</t>
  </si>
  <si>
    <t>CE91DC17</t>
  </si>
  <si>
    <t>CE91DC18</t>
  </si>
  <si>
    <t>CE91DC19</t>
  </si>
  <si>
    <t>CE91DC20</t>
  </si>
  <si>
    <t>CE91EN14</t>
  </si>
  <si>
    <t>CE91EN15</t>
  </si>
  <si>
    <t>CE91FB14</t>
  </si>
  <si>
    <t>CE91FB15</t>
  </si>
  <si>
    <t>CE91JL14</t>
  </si>
  <si>
    <t>CE91JN14</t>
  </si>
  <si>
    <t>CE91JN15</t>
  </si>
  <si>
    <t>CE91JN16</t>
  </si>
  <si>
    <t>CE91JN17</t>
  </si>
  <si>
    <t>CE91JN18</t>
  </si>
  <si>
    <t>CE91JN19</t>
  </si>
  <si>
    <t>CE91JN20</t>
  </si>
  <si>
    <t>CE91MR14</t>
  </si>
  <si>
    <t>CE91MR15</t>
  </si>
  <si>
    <t>CE91MR16</t>
  </si>
  <si>
    <t>CE91MR17</t>
  </si>
  <si>
    <t>CE91MR18</t>
  </si>
  <si>
    <t>CE91MR19</t>
  </si>
  <si>
    <t>CE91MR20</t>
  </si>
  <si>
    <t>CE91MY14</t>
  </si>
  <si>
    <t>CE91MY15</t>
  </si>
  <si>
    <t>CE91NV14</t>
  </si>
  <si>
    <t>CE91OC14</t>
  </si>
  <si>
    <t>CE91SP14</t>
  </si>
  <si>
    <t>CE91SP15</t>
  </si>
  <si>
    <t>CE91SP16</t>
  </si>
  <si>
    <t>CE91SP17</t>
  </si>
  <si>
    <t>CE91SP18</t>
  </si>
  <si>
    <t>CE91SP19</t>
  </si>
  <si>
    <t>CE91SP20</t>
  </si>
  <si>
    <t>CH14</t>
  </si>
  <si>
    <t>Producto Agrícola</t>
  </si>
  <si>
    <t>CH15</t>
  </si>
  <si>
    <t>CH16</t>
  </si>
  <si>
    <t>CJH15</t>
  </si>
  <si>
    <t>CJH16</t>
  </si>
  <si>
    <t>CJK15</t>
  </si>
  <si>
    <t>CJN14</t>
  </si>
  <si>
    <t>CJN15</t>
  </si>
  <si>
    <t>CJU14</t>
  </si>
  <si>
    <t>CJU15</t>
  </si>
  <si>
    <t>CJZ14</t>
  </si>
  <si>
    <t>CJZ15</t>
  </si>
  <si>
    <t>CK14</t>
  </si>
  <si>
    <t>CK15</t>
  </si>
  <si>
    <t>CK16</t>
  </si>
  <si>
    <t>CLF5</t>
  </si>
  <si>
    <t>Combustible</t>
  </si>
  <si>
    <t>CLG4</t>
  </si>
  <si>
    <t>CLG5</t>
  </si>
  <si>
    <t>CLH4</t>
  </si>
  <si>
    <t>CLH5</t>
  </si>
  <si>
    <t>CLJ4</t>
  </si>
  <si>
    <t>CLJ5</t>
  </si>
  <si>
    <t>CLK4</t>
  </si>
  <si>
    <t>CLK5</t>
  </si>
  <si>
    <t>CLM4</t>
  </si>
  <si>
    <t>CLM5</t>
  </si>
  <si>
    <t>CLN4</t>
  </si>
  <si>
    <t>CLN5</t>
  </si>
  <si>
    <t>CLQ4</t>
  </si>
  <si>
    <t>CLQ5</t>
  </si>
  <si>
    <t>CLU4</t>
  </si>
  <si>
    <t>CLU5</t>
  </si>
  <si>
    <t>CLV4</t>
  </si>
  <si>
    <t>CLV5</t>
  </si>
  <si>
    <t>CLX4</t>
  </si>
  <si>
    <t>CLX5</t>
  </si>
  <si>
    <t>CLZ4</t>
  </si>
  <si>
    <t>CLZ5</t>
  </si>
  <si>
    <t>CN14</t>
  </si>
  <si>
    <t>CN15</t>
  </si>
  <si>
    <t>CN16</t>
  </si>
  <si>
    <t>CU14</t>
  </si>
  <si>
    <t>CU15</t>
  </si>
  <si>
    <t>CU16</t>
  </si>
  <si>
    <t>CXCDC14</t>
  </si>
  <si>
    <t>CXCDC15</t>
  </si>
  <si>
    <t>CXCDC16</t>
  </si>
  <si>
    <t>CXCJN14</t>
  </si>
  <si>
    <t>CXCJN15</t>
  </si>
  <si>
    <t>CXCJN16</t>
  </si>
  <si>
    <t>CXCMR14</t>
  </si>
  <si>
    <t>CXCMR15</t>
  </si>
  <si>
    <t>CXCMR16</t>
  </si>
  <si>
    <t>CXCSP14</t>
  </si>
  <si>
    <t>CXCSP15</t>
  </si>
  <si>
    <t>CXCSP16</t>
  </si>
  <si>
    <t>CZ14</t>
  </si>
  <si>
    <t>CZ15</t>
  </si>
  <si>
    <t>CZ16</t>
  </si>
  <si>
    <t>DC24DC14</t>
  </si>
  <si>
    <t>DC24JN14</t>
  </si>
  <si>
    <t>DC24MR15</t>
  </si>
  <si>
    <t>DC24SP14</t>
  </si>
  <si>
    <t>DEUAAB14</t>
  </si>
  <si>
    <t>DEUAAB15</t>
  </si>
  <si>
    <t>DEUAAB16</t>
  </si>
  <si>
    <t>DEUAAB17</t>
  </si>
  <si>
    <t>DEUAAG14</t>
  </si>
  <si>
    <t>DEUAAG15</t>
  </si>
  <si>
    <t>DEUAAG16</t>
  </si>
  <si>
    <t>DEUAAG17</t>
  </si>
  <si>
    <t>DEUADC14</t>
  </si>
  <si>
    <t>DEUADC15</t>
  </si>
  <si>
    <t>DEUADC16</t>
  </si>
  <si>
    <t>DEUAEN14</t>
  </si>
  <si>
    <t>DEUAEN15</t>
  </si>
  <si>
    <t>DEUAEN16</t>
  </si>
  <si>
    <t>DEUAEN17</t>
  </si>
  <si>
    <t>DEUAEN18</t>
  </si>
  <si>
    <t>DEUAFAB14</t>
  </si>
  <si>
    <t>DEUAFAB15</t>
  </si>
  <si>
    <t>DEUAFAB16</t>
  </si>
  <si>
    <t>DEUAFAB17</t>
  </si>
  <si>
    <t>DEUAFAG14</t>
  </si>
  <si>
    <t>DEUAFAG15</t>
  </si>
  <si>
    <t>DEUAFAG16</t>
  </si>
  <si>
    <t>DEUAFAG17</t>
  </si>
  <si>
    <t>DEUAFB14</t>
  </si>
  <si>
    <t>DEUAFB15</t>
  </si>
  <si>
    <t>DEUAFB16</t>
  </si>
  <si>
    <t>DEUAFB17</t>
  </si>
  <si>
    <t>DEUAFDC14</t>
  </si>
  <si>
    <t>DEUAFDC15</t>
  </si>
  <si>
    <t>DEUAFDC16</t>
  </si>
  <si>
    <t>DEUAFEN14</t>
  </si>
  <si>
    <t>DEUAFEN15</t>
  </si>
  <si>
    <t>DEUAFEN16</t>
  </si>
  <si>
    <t>DEUAFEN17</t>
  </si>
  <si>
    <t>DEUAFEN18</t>
  </si>
  <si>
    <t>DEUAFFB14</t>
  </si>
  <si>
    <t>DEUAFFB15</t>
  </si>
  <si>
    <t>DEUAFFB16</t>
  </si>
  <si>
    <t>DEUAFFB17</t>
  </si>
  <si>
    <t>DEUAFJL14</t>
  </si>
  <si>
    <t>DEUAFJL15</t>
  </si>
  <si>
    <t>DEUAFJL16</t>
  </si>
  <si>
    <t>DEUAFJL17</t>
  </si>
  <si>
    <t>DEUAFJN14</t>
  </si>
  <si>
    <t>DEUAFJN15</t>
  </si>
  <si>
    <t>DEUAFJN16</t>
  </si>
  <si>
    <t>DEUAFJN17</t>
  </si>
  <si>
    <t>DEUAFMR14</t>
  </si>
  <si>
    <t>DEUAFMR15</t>
  </si>
  <si>
    <t>DEUAFMR16</t>
  </si>
  <si>
    <t>DEUAFMR17</t>
  </si>
  <si>
    <t>DEUAFMY14</t>
  </si>
  <si>
    <t>DEUAFMY15</t>
  </si>
  <si>
    <t>DEUAFMY16</t>
  </si>
  <si>
    <t>DEUAFMY17</t>
  </si>
  <si>
    <t>DEUAFNV14</t>
  </si>
  <si>
    <t>DEUAFNV15</t>
  </si>
  <si>
    <t>DEUAFNV16</t>
  </si>
  <si>
    <t>DEUAFOC14</t>
  </si>
  <si>
    <t>DEUAFOC15</t>
  </si>
  <si>
    <t>DEUAFOC16</t>
  </si>
  <si>
    <t>DEUAFOC17</t>
  </si>
  <si>
    <t>DEUAFSP14</t>
  </si>
  <si>
    <t>DEUAFSP15</t>
  </si>
  <si>
    <t>DEUAFSP16</t>
  </si>
  <si>
    <t>DEUAFSP17</t>
  </si>
  <si>
    <t>DEUAJL14</t>
  </si>
  <si>
    <t>DEUAJL15</t>
  </si>
  <si>
    <t>DEUAJL16</t>
  </si>
  <si>
    <t>DEUAJL17</t>
  </si>
  <si>
    <t>DEUAJN14</t>
  </si>
  <si>
    <t>DEUAJN15</t>
  </si>
  <si>
    <t>DEUAJN16</t>
  </si>
  <si>
    <t>DEUAJN17</t>
  </si>
  <si>
    <t>DEUAMR14</t>
  </si>
  <si>
    <t>DEUAMR15</t>
  </si>
  <si>
    <t>DEUAMR16</t>
  </si>
  <si>
    <t>DEUAMR17</t>
  </si>
  <si>
    <t>DEUAMY14</t>
  </si>
  <si>
    <t>DEUAMY15</t>
  </si>
  <si>
    <t>DEUAMY16</t>
  </si>
  <si>
    <t>DEUAMY17</t>
  </si>
  <si>
    <t>DEUANV14</t>
  </si>
  <si>
    <t>DEUANV15</t>
  </si>
  <si>
    <t>DEUANV16</t>
  </si>
  <si>
    <t>DEUAOC14</t>
  </si>
  <si>
    <t>DEUAOC15</t>
  </si>
  <si>
    <t>DEUAOC16</t>
  </si>
  <si>
    <t>DEUAOC17</t>
  </si>
  <si>
    <t>DEUASP14</t>
  </si>
  <si>
    <t>DEUASP15</t>
  </si>
  <si>
    <t>DEUASP16</t>
  </si>
  <si>
    <t>DEUASP17</t>
  </si>
  <si>
    <t>DI1F14</t>
  </si>
  <si>
    <t>DI1F15</t>
  </si>
  <si>
    <t>DI1F16</t>
  </si>
  <si>
    <t>DI1G14</t>
  </si>
  <si>
    <t>DI1H14</t>
  </si>
  <si>
    <t>DI1J14</t>
  </si>
  <si>
    <t>DI1J16</t>
  </si>
  <si>
    <t>DI1J17</t>
  </si>
  <si>
    <t>DI1J18</t>
  </si>
  <si>
    <t>DI1K14</t>
  </si>
  <si>
    <t>DI1K15</t>
  </si>
  <si>
    <t>DI1K16</t>
  </si>
  <si>
    <t>DI1K17</t>
  </si>
  <si>
    <t>DI1M14</t>
  </si>
  <si>
    <t>DI1M15</t>
  </si>
  <si>
    <t>DI1M16</t>
  </si>
  <si>
    <t>DI1N14</t>
  </si>
  <si>
    <t>DI1N15</t>
  </si>
  <si>
    <t>DI1N17</t>
  </si>
  <si>
    <t>DI1N18</t>
  </si>
  <si>
    <t>DI1Q14</t>
  </si>
  <si>
    <t>DI1Q15</t>
  </si>
  <si>
    <t>DI1Q16</t>
  </si>
  <si>
    <t>DI1U14</t>
  </si>
  <si>
    <t>DI1U15</t>
  </si>
  <si>
    <t>DI1U16</t>
  </si>
  <si>
    <t>DI1V14</t>
  </si>
  <si>
    <t>DI1V15</t>
  </si>
  <si>
    <t>DI1V16</t>
  </si>
  <si>
    <t>DI1V17</t>
  </si>
  <si>
    <t>DI1V18</t>
  </si>
  <si>
    <t>DJH4</t>
  </si>
  <si>
    <t>DJH5</t>
  </si>
  <si>
    <t>DJM4</t>
  </si>
  <si>
    <t>DJU4</t>
  </si>
  <si>
    <t>DJZ4</t>
  </si>
  <si>
    <t>DOLF14</t>
  </si>
  <si>
    <t>DOLF15</t>
  </si>
  <si>
    <t>DOLF16</t>
  </si>
  <si>
    <t>DOLG14</t>
  </si>
  <si>
    <t>DOLG15</t>
  </si>
  <si>
    <t>DOLG16</t>
  </si>
  <si>
    <t>DOLH14</t>
  </si>
  <si>
    <t>DOLH15</t>
  </si>
  <si>
    <t>DOLH16</t>
  </si>
  <si>
    <t>DOLJ14</t>
  </si>
  <si>
    <t>DOLJ15</t>
  </si>
  <si>
    <t>DOLJ16</t>
  </si>
  <si>
    <t>DOLK14</t>
  </si>
  <si>
    <t>DOLK15</t>
  </si>
  <si>
    <t>DOLK16</t>
  </si>
  <si>
    <t>DOLM14</t>
  </si>
  <si>
    <t>DOLM15</t>
  </si>
  <si>
    <t>DOLN14</t>
  </si>
  <si>
    <t>DOLN15</t>
  </si>
  <si>
    <t>DOLN16</t>
  </si>
  <si>
    <t>DOLQ14</t>
  </si>
  <si>
    <t>DOLU14</t>
  </si>
  <si>
    <t>DOLV14</t>
  </si>
  <si>
    <t>DOLV15</t>
  </si>
  <si>
    <t>DOLV16</t>
  </si>
  <si>
    <t>DOLX14</t>
  </si>
  <si>
    <t>DOLX15</t>
  </si>
  <si>
    <t>DOLX16</t>
  </si>
  <si>
    <t>DOLZ14</t>
  </si>
  <si>
    <t>ECH4</t>
  </si>
  <si>
    <t>ECH5</t>
  </si>
  <si>
    <t>ECM4</t>
  </si>
  <si>
    <t>ECM5</t>
  </si>
  <si>
    <t>ECU4</t>
  </si>
  <si>
    <t>ECU5</t>
  </si>
  <si>
    <t>ECZ4</t>
  </si>
  <si>
    <t>ECZ5</t>
  </si>
  <si>
    <t>EDF4</t>
  </si>
  <si>
    <t>EDG4</t>
  </si>
  <si>
    <t>EDH4</t>
  </si>
  <si>
    <t>EDH7</t>
  </si>
  <si>
    <t>EDJ4</t>
  </si>
  <si>
    <t>EDK4</t>
  </si>
  <si>
    <t>EDM6</t>
  </si>
  <si>
    <t>EDN4</t>
  </si>
  <si>
    <t>EDQ4</t>
  </si>
  <si>
    <t>EDU5</t>
  </si>
  <si>
    <t>EDV4</t>
  </si>
  <si>
    <t>EDX4</t>
  </si>
  <si>
    <t>EDZ5</t>
  </si>
  <si>
    <t>ERH4</t>
  </si>
  <si>
    <t>ERH5</t>
  </si>
  <si>
    <t>ERH6</t>
  </si>
  <si>
    <t>ERH7</t>
  </si>
  <si>
    <t>ERH8</t>
  </si>
  <si>
    <t>ERH9</t>
  </si>
  <si>
    <t>ERM4</t>
  </si>
  <si>
    <t>ERM5</t>
  </si>
  <si>
    <t>ERM6</t>
  </si>
  <si>
    <t>ERM7</t>
  </si>
  <si>
    <t>ERM8</t>
  </si>
  <si>
    <t>ERM9</t>
  </si>
  <si>
    <t>ERU4</t>
  </si>
  <si>
    <t>ERU5</t>
  </si>
  <si>
    <t>ERU6</t>
  </si>
  <si>
    <t>ERU7</t>
  </si>
  <si>
    <t>ERU8</t>
  </si>
  <si>
    <t>ERU9</t>
  </si>
  <si>
    <t>ERZ4</t>
  </si>
  <si>
    <t>ERZ5</t>
  </si>
  <si>
    <t>ERZ6</t>
  </si>
  <si>
    <t>ERZ7</t>
  </si>
  <si>
    <t>ERZ8</t>
  </si>
  <si>
    <t>ERZ9</t>
  </si>
  <si>
    <t>ESH0</t>
  </si>
  <si>
    <t>ESH4</t>
  </si>
  <si>
    <t>ESH5</t>
  </si>
  <si>
    <t>ESH6</t>
  </si>
  <si>
    <t>ESH7</t>
  </si>
  <si>
    <t>ESH8</t>
  </si>
  <si>
    <t>ESH9</t>
  </si>
  <si>
    <t>ESM4</t>
  </si>
  <si>
    <t>ESM5</t>
  </si>
  <si>
    <t>ESM6</t>
  </si>
  <si>
    <t>ESM7</t>
  </si>
  <si>
    <t>ESM8</t>
  </si>
  <si>
    <t>ESM9</t>
  </si>
  <si>
    <t>ESU4</t>
  </si>
  <si>
    <t>ESU5</t>
  </si>
  <si>
    <t>ESU6</t>
  </si>
  <si>
    <t>ESU7</t>
  </si>
  <si>
    <t>ESU8</t>
  </si>
  <si>
    <t>ESU9</t>
  </si>
  <si>
    <t>ESZ4</t>
  </si>
  <si>
    <t>ESZ5</t>
  </si>
  <si>
    <t>ESZ6</t>
  </si>
  <si>
    <t>ESZ7</t>
  </si>
  <si>
    <t>ESZ8</t>
  </si>
  <si>
    <t>ESZ9</t>
  </si>
  <si>
    <t>EUROAB14</t>
  </si>
  <si>
    <t>EUROAB15</t>
  </si>
  <si>
    <t>EUROAG14</t>
  </si>
  <si>
    <t>EURODC14</t>
  </si>
  <si>
    <t>EUROEN14</t>
  </si>
  <si>
    <t>EUROEN15</t>
  </si>
  <si>
    <t>EUROFB14</t>
  </si>
  <si>
    <t>EUROFB15</t>
  </si>
  <si>
    <t>EUROJL14</t>
  </si>
  <si>
    <t>EUROJN14</t>
  </si>
  <si>
    <t>EUROMR14</t>
  </si>
  <si>
    <t>EUROMR15</t>
  </si>
  <si>
    <t>EUROMY14</t>
  </si>
  <si>
    <t>EUROMY15</t>
  </si>
  <si>
    <t>EURONV14</t>
  </si>
  <si>
    <t>EUROOC14</t>
  </si>
  <si>
    <t>EUROSP14</t>
  </si>
  <si>
    <t>FEMDC14</t>
  </si>
  <si>
    <t>FEMDC15</t>
  </si>
  <si>
    <t>FEMDC16</t>
  </si>
  <si>
    <t>FEMJN14</t>
  </si>
  <si>
    <t>FEMJN15</t>
  </si>
  <si>
    <t>FEMJN16</t>
  </si>
  <si>
    <t>FEMMR14</t>
  </si>
  <si>
    <t>FEMMR15</t>
  </si>
  <si>
    <t>FEMMR16</t>
  </si>
  <si>
    <t>FEMSP14</t>
  </si>
  <si>
    <t>FEMSP15</t>
  </si>
  <si>
    <t>FEMSP16</t>
  </si>
  <si>
    <t>FESXH4</t>
  </si>
  <si>
    <t>FESXM4</t>
  </si>
  <si>
    <t>FESXM7</t>
  </si>
  <si>
    <t>FESXU4</t>
  </si>
  <si>
    <t>FESXZ4</t>
  </si>
  <si>
    <t>FFF4</t>
  </si>
  <si>
    <t>FFF5</t>
  </si>
  <si>
    <t>FFG4</t>
  </si>
  <si>
    <t>FFG5</t>
  </si>
  <si>
    <t>FFH4</t>
  </si>
  <si>
    <t>FFH5</t>
  </si>
  <si>
    <t>FFJ4</t>
  </si>
  <si>
    <t>FFJ5</t>
  </si>
  <si>
    <t>FFK4</t>
  </si>
  <si>
    <t>FFK5</t>
  </si>
  <si>
    <t>FFM4</t>
  </si>
  <si>
    <t>FFM5</t>
  </si>
  <si>
    <t>FFN4</t>
  </si>
  <si>
    <t>FFN5</t>
  </si>
  <si>
    <t>FFQ4</t>
  </si>
  <si>
    <t>FFQ5</t>
  </si>
  <si>
    <t>FFU4</t>
  </si>
  <si>
    <t>FFU5</t>
  </si>
  <si>
    <t>FFV4</t>
  </si>
  <si>
    <t>FFV5</t>
  </si>
  <si>
    <t>FFX4</t>
  </si>
  <si>
    <t>FFX5</t>
  </si>
  <si>
    <t>FFZ4</t>
  </si>
  <si>
    <t>FFZ5</t>
  </si>
  <si>
    <t>FGBLH4</t>
  </si>
  <si>
    <t>FGBLM4</t>
  </si>
  <si>
    <t>FGBLU4</t>
  </si>
  <si>
    <t>FGBLZ4</t>
  </si>
  <si>
    <t>FGBXH4</t>
  </si>
  <si>
    <t>FGBXM4</t>
  </si>
  <si>
    <t>FGBXU4</t>
  </si>
  <si>
    <t>FGBXZ4</t>
  </si>
  <si>
    <t>FIBXF4</t>
  </si>
  <si>
    <t>FIBXG4</t>
  </si>
  <si>
    <t>FIBXH4</t>
  </si>
  <si>
    <t>FIBXM4</t>
  </si>
  <si>
    <t>FIBXU4</t>
  </si>
  <si>
    <t>FIBXZ4</t>
  </si>
  <si>
    <t>FTASE4A</t>
  </si>
  <si>
    <t>FTASE4B</t>
  </si>
  <si>
    <t>FTASE4C</t>
  </si>
  <si>
    <t>FTASE4D</t>
  </si>
  <si>
    <t>FTASE4E</t>
  </si>
  <si>
    <t>FTASE4F</t>
  </si>
  <si>
    <t>FTASE4G</t>
  </si>
  <si>
    <t>FTASE4H</t>
  </si>
  <si>
    <t>FTASE4I</t>
  </si>
  <si>
    <t>FTASE4J</t>
  </si>
  <si>
    <t>FTASE4K</t>
  </si>
  <si>
    <t>FTASE4L</t>
  </si>
  <si>
    <t>FVH4</t>
  </si>
  <si>
    <t>FVH5</t>
  </si>
  <si>
    <t>FVM4</t>
  </si>
  <si>
    <t>FVM5</t>
  </si>
  <si>
    <t>FVU4</t>
  </si>
  <si>
    <t>FVZ4</t>
  </si>
  <si>
    <t>GCADC14</t>
  </si>
  <si>
    <t>GCADC15</t>
  </si>
  <si>
    <t>GCADC16</t>
  </si>
  <si>
    <t>GCAJN14</t>
  </si>
  <si>
    <t>GCAJN15</t>
  </si>
  <si>
    <t>GCAJN16</t>
  </si>
  <si>
    <t>GCAMR14</t>
  </si>
  <si>
    <t>GCAMR15</t>
  </si>
  <si>
    <t>GCAMR16</t>
  </si>
  <si>
    <t>GCASP14</t>
  </si>
  <si>
    <t>GCASP15</t>
  </si>
  <si>
    <t>GCASP16</t>
  </si>
  <si>
    <t>GCF4</t>
  </si>
  <si>
    <t>Metales</t>
  </si>
  <si>
    <t>GCG4</t>
  </si>
  <si>
    <t>GCG5</t>
  </si>
  <si>
    <t>GCH4</t>
  </si>
  <si>
    <t>GCJ4</t>
  </si>
  <si>
    <t>GCJ5</t>
  </si>
  <si>
    <t>GCK4</t>
  </si>
  <si>
    <t>GCM4</t>
  </si>
  <si>
    <t>GCM5</t>
  </si>
  <si>
    <t>GCN4</t>
  </si>
  <si>
    <t>GCQ4</t>
  </si>
  <si>
    <t>GCQ5</t>
  </si>
  <si>
    <t>GCV4</t>
  </si>
  <si>
    <t>GCV5</t>
  </si>
  <si>
    <t>GCZ4</t>
  </si>
  <si>
    <t>GCZ5</t>
  </si>
  <si>
    <t>GMEXDC14</t>
  </si>
  <si>
    <t>GMEXJN14</t>
  </si>
  <si>
    <t>GMEXMR14</t>
  </si>
  <si>
    <t>GMEXMR15</t>
  </si>
  <si>
    <t>GMEXSP14</t>
  </si>
  <si>
    <t>HGF4</t>
  </si>
  <si>
    <t>HGF5</t>
  </si>
  <si>
    <t>HGG4</t>
  </si>
  <si>
    <t>HGG5</t>
  </si>
  <si>
    <t>HGH4</t>
  </si>
  <si>
    <t>HGH5</t>
  </si>
  <si>
    <t>HGJ4</t>
  </si>
  <si>
    <t>HGJ5</t>
  </si>
  <si>
    <t>HGK4</t>
  </si>
  <si>
    <t>HGK5</t>
  </si>
  <si>
    <t>HGM4</t>
  </si>
  <si>
    <t>HGM5</t>
  </si>
  <si>
    <t>HGN4</t>
  </si>
  <si>
    <t>HGN5</t>
  </si>
  <si>
    <t>HGQ4</t>
  </si>
  <si>
    <t>HGQ5</t>
  </si>
  <si>
    <t>HGU4</t>
  </si>
  <si>
    <t>HGU5</t>
  </si>
  <si>
    <t>HGV4</t>
  </si>
  <si>
    <t>HGV5</t>
  </si>
  <si>
    <t>HGX4</t>
  </si>
  <si>
    <t>HGX5</t>
  </si>
  <si>
    <t>HGZ4</t>
  </si>
  <si>
    <t>HGZ5</t>
  </si>
  <si>
    <t>IPCDC14</t>
  </si>
  <si>
    <t>IPCDC15</t>
  </si>
  <si>
    <t>IPCDC16</t>
  </si>
  <si>
    <t>IPCJN14</t>
  </si>
  <si>
    <t>IPCJN16</t>
  </si>
  <si>
    <t>IPCMR14</t>
  </si>
  <si>
    <t>IPCMR15</t>
  </si>
  <si>
    <t>IPCMR16</t>
  </si>
  <si>
    <t>IPCSP14</t>
  </si>
  <si>
    <t>IPCSP16</t>
  </si>
  <si>
    <t>JYH4</t>
  </si>
  <si>
    <t>JYH5</t>
  </si>
  <si>
    <t>JYH6</t>
  </si>
  <si>
    <t>JYH7</t>
  </si>
  <si>
    <t>JYH8</t>
  </si>
  <si>
    <t>JYH9</t>
  </si>
  <si>
    <t>JYM4</t>
  </si>
  <si>
    <t>JYM5</t>
  </si>
  <si>
    <t>JYM6</t>
  </si>
  <si>
    <t>JYM7</t>
  </si>
  <si>
    <t>JYM8</t>
  </si>
  <si>
    <t>JYU4</t>
  </si>
  <si>
    <t>JYU5</t>
  </si>
  <si>
    <t>JYU6</t>
  </si>
  <si>
    <t>JYU7</t>
  </si>
  <si>
    <t>JYU8</t>
  </si>
  <si>
    <t>JYZ4</t>
  </si>
  <si>
    <t>JYZ5</t>
  </si>
  <si>
    <t>JYZ6</t>
  </si>
  <si>
    <t>JYZ7</t>
  </si>
  <si>
    <t>JYZ8</t>
  </si>
  <si>
    <t>KTH14</t>
  </si>
  <si>
    <t>KTH15</t>
  </si>
  <si>
    <t>KTK14</t>
  </si>
  <si>
    <t>KTK15</t>
  </si>
  <si>
    <t>KTN14</t>
  </si>
  <si>
    <t>KTN15</t>
  </si>
  <si>
    <t>KTU14</t>
  </si>
  <si>
    <t>KTU15</t>
  </si>
  <si>
    <t>KTZ14</t>
  </si>
  <si>
    <t>KTZ15</t>
  </si>
  <si>
    <t>M10DC14</t>
  </si>
  <si>
    <t>M10DC15</t>
  </si>
  <si>
    <t>M10JN14</t>
  </si>
  <si>
    <t>M10JN15</t>
  </si>
  <si>
    <t>M10MR14</t>
  </si>
  <si>
    <t>M10MR15</t>
  </si>
  <si>
    <t>M10SP14</t>
  </si>
  <si>
    <t>M10SP15</t>
  </si>
  <si>
    <t>M20DC14</t>
  </si>
  <si>
    <t>M20DC15</t>
  </si>
  <si>
    <t>M20JN14</t>
  </si>
  <si>
    <t>M20JN15</t>
  </si>
  <si>
    <t>M20MR14</t>
  </si>
  <si>
    <t>M20MR15</t>
  </si>
  <si>
    <t>M20SP14</t>
  </si>
  <si>
    <t>M20SP15</t>
  </si>
  <si>
    <t>M30DC14</t>
  </si>
  <si>
    <t>M30JN14</t>
  </si>
  <si>
    <t>M30MR14</t>
  </si>
  <si>
    <t>M30MR15</t>
  </si>
  <si>
    <t>M30SP14</t>
  </si>
  <si>
    <t>M3DC14</t>
  </si>
  <si>
    <t>M3DC15</t>
  </si>
  <si>
    <t>M3JN14</t>
  </si>
  <si>
    <t>M3JN15</t>
  </si>
  <si>
    <t>M3MR14</t>
  </si>
  <si>
    <t>M3MR15</t>
  </si>
  <si>
    <t>M3SP14</t>
  </si>
  <si>
    <t>M3SP15</t>
  </si>
  <si>
    <t>M5DC14</t>
  </si>
  <si>
    <t>M5JN14</t>
  </si>
  <si>
    <t>M5MR14</t>
  </si>
  <si>
    <t>M5MR15</t>
  </si>
  <si>
    <t>M5SP14</t>
  </si>
  <si>
    <t>MAIZDC14</t>
  </si>
  <si>
    <t>MAIZDC15</t>
  </si>
  <si>
    <t>MAIZDC16</t>
  </si>
  <si>
    <t>MAIZJL14</t>
  </si>
  <si>
    <t>MAIZJL15</t>
  </si>
  <si>
    <t>MAIZJL16</t>
  </si>
  <si>
    <t>MAIZMR14</t>
  </si>
  <si>
    <t>MAIZMR15</t>
  </si>
  <si>
    <t>MAIZMR17</t>
  </si>
  <si>
    <t>MAIZMY14</t>
  </si>
  <si>
    <t>MAIZMY15</t>
  </si>
  <si>
    <t>MAIZMY16</t>
  </si>
  <si>
    <t>MAIZMY17</t>
  </si>
  <si>
    <t>MAIZSP14</t>
  </si>
  <si>
    <t>MAIZSP15</t>
  </si>
  <si>
    <t>MAIZSP16</t>
  </si>
  <si>
    <t>MDH4</t>
  </si>
  <si>
    <t>MDH5</t>
  </si>
  <si>
    <t>MDM4</t>
  </si>
  <si>
    <t>MDM5</t>
  </si>
  <si>
    <t>MDU4</t>
  </si>
  <si>
    <t>MDZ4</t>
  </si>
  <si>
    <t>MEH4</t>
  </si>
  <si>
    <t>MEH5</t>
  </si>
  <si>
    <t>MEH6</t>
  </si>
  <si>
    <t>MEH7</t>
  </si>
  <si>
    <t>MEM4</t>
  </si>
  <si>
    <t>MEM5</t>
  </si>
  <si>
    <t>MEM6</t>
  </si>
  <si>
    <t>MEM7</t>
  </si>
  <si>
    <t>MEU4</t>
  </si>
  <si>
    <t>MEU5</t>
  </si>
  <si>
    <t>MEU6</t>
  </si>
  <si>
    <t>MEXTDC14</t>
  </si>
  <si>
    <t>MEXTJN14</t>
  </si>
  <si>
    <t>MEXTMR14</t>
  </si>
  <si>
    <t>MEXTMR15</t>
  </si>
  <si>
    <t>MEXTSP14</t>
  </si>
  <si>
    <t>MEZ4</t>
  </si>
  <si>
    <t>MEZ5</t>
  </si>
  <si>
    <t>MEZ6</t>
  </si>
  <si>
    <t>MPF4</t>
  </si>
  <si>
    <t>MPF5</t>
  </si>
  <si>
    <t>MPG4</t>
  </si>
  <si>
    <t>MPG5</t>
  </si>
  <si>
    <t>MPH4</t>
  </si>
  <si>
    <t>MPH5</t>
  </si>
  <si>
    <t>MPJ4</t>
  </si>
  <si>
    <t>MPJ5</t>
  </si>
  <si>
    <t>MPK4</t>
  </si>
  <si>
    <t>MPK5</t>
  </si>
  <si>
    <t>MPM4</t>
  </si>
  <si>
    <t>MPM5</t>
  </si>
  <si>
    <t>MPN4</t>
  </si>
  <si>
    <t>MPQ4</t>
  </si>
  <si>
    <t>MPU4</t>
  </si>
  <si>
    <t>MPU5</t>
  </si>
  <si>
    <t>MPV4</t>
  </si>
  <si>
    <t>MPX4</t>
  </si>
  <si>
    <t>MPZ4</t>
  </si>
  <si>
    <t>MPZ5</t>
  </si>
  <si>
    <t>NDH4</t>
  </si>
  <si>
    <t>NDH5</t>
  </si>
  <si>
    <t>NDM4</t>
  </si>
  <si>
    <t>NDM5</t>
  </si>
  <si>
    <t>NDU4</t>
  </si>
  <si>
    <t>NDZ4</t>
  </si>
  <si>
    <t>NEH4</t>
  </si>
  <si>
    <t>NEH5</t>
  </si>
  <si>
    <t>NEH6</t>
  </si>
  <si>
    <t>NEM4</t>
  </si>
  <si>
    <t>NEM5</t>
  </si>
  <si>
    <t>NEM6</t>
  </si>
  <si>
    <t>NEU4</t>
  </si>
  <si>
    <t>NEU5</t>
  </si>
  <si>
    <t>NEU6</t>
  </si>
  <si>
    <t>NEZ4</t>
  </si>
  <si>
    <t>NEZ5</t>
  </si>
  <si>
    <t>NEZ6</t>
  </si>
  <si>
    <t>NGF5</t>
  </si>
  <si>
    <t>NGG4</t>
  </si>
  <si>
    <t>NGG5</t>
  </si>
  <si>
    <t>NGH4</t>
  </si>
  <si>
    <t>NGH5</t>
  </si>
  <si>
    <t>NGJ4</t>
  </si>
  <si>
    <t>NGJ5</t>
  </si>
  <si>
    <t>NGK4</t>
  </si>
  <si>
    <t>NGK5</t>
  </si>
  <si>
    <t>NGM4</t>
  </si>
  <si>
    <t>NGM5</t>
  </si>
  <si>
    <t>NGN4</t>
  </si>
  <si>
    <t>NGN5</t>
  </si>
  <si>
    <t>NGQ4</t>
  </si>
  <si>
    <t>NGQ5</t>
  </si>
  <si>
    <t>NGU4</t>
  </si>
  <si>
    <t>NGU5</t>
  </si>
  <si>
    <t>NGV4</t>
  </si>
  <si>
    <t>NGV5</t>
  </si>
  <si>
    <t>NGX4</t>
  </si>
  <si>
    <t>NGX5</t>
  </si>
  <si>
    <t>NGZ4</t>
  </si>
  <si>
    <t>NGZ5</t>
  </si>
  <si>
    <t>NKH4</t>
  </si>
  <si>
    <t>NKH5</t>
  </si>
  <si>
    <t>NKM4</t>
  </si>
  <si>
    <t>NKU4</t>
  </si>
  <si>
    <t>NKZ4</t>
  </si>
  <si>
    <t>NQH4</t>
  </si>
  <si>
    <t>NQH5</t>
  </si>
  <si>
    <t>NQM4</t>
  </si>
  <si>
    <t>NQM5</t>
  </si>
  <si>
    <t>NQU4</t>
  </si>
  <si>
    <t>NQZ4</t>
  </si>
  <si>
    <t>PLF4</t>
  </si>
  <si>
    <t>PLF5</t>
  </si>
  <si>
    <t>PLG4</t>
  </si>
  <si>
    <t>PLG5</t>
  </si>
  <si>
    <t>PLH4</t>
  </si>
  <si>
    <t>PLH5</t>
  </si>
  <si>
    <t>PLJ4</t>
  </si>
  <si>
    <t>PLJ5</t>
  </si>
  <si>
    <t>PLK4</t>
  </si>
  <si>
    <t>PLK5</t>
  </si>
  <si>
    <t>PLM4</t>
  </si>
  <si>
    <t>PLM5</t>
  </si>
  <si>
    <t>PLN4</t>
  </si>
  <si>
    <t>PLN5</t>
  </si>
  <si>
    <t>PLQ4</t>
  </si>
  <si>
    <t>PLQ5</t>
  </si>
  <si>
    <t>PLU4</t>
  </si>
  <si>
    <t>PLU5</t>
  </si>
  <si>
    <t>PLV4</t>
  </si>
  <si>
    <t>PLV5</t>
  </si>
  <si>
    <t>PLX4</t>
  </si>
  <si>
    <t>PLX5</t>
  </si>
  <si>
    <t>PLZ4</t>
  </si>
  <si>
    <t>PLZ5</t>
  </si>
  <si>
    <t>RPH0</t>
  </si>
  <si>
    <t>RPH4</t>
  </si>
  <si>
    <t>RPH5</t>
  </si>
  <si>
    <t>RPH6</t>
  </si>
  <si>
    <t>RPH7</t>
  </si>
  <si>
    <t>RPH8</t>
  </si>
  <si>
    <t>RPH9</t>
  </si>
  <si>
    <t>RPM0</t>
  </si>
  <si>
    <t>RPM4</t>
  </si>
  <si>
    <t>RPM5</t>
  </si>
  <si>
    <t>RPM6</t>
  </si>
  <si>
    <t>RPM7</t>
  </si>
  <si>
    <t>RPM8</t>
  </si>
  <si>
    <t>RPM9</t>
  </si>
  <si>
    <t>RPU0</t>
  </si>
  <si>
    <t>RPU4</t>
  </si>
  <si>
    <t>RPU5</t>
  </si>
  <si>
    <t>RPU6</t>
  </si>
  <si>
    <t>RPU7</t>
  </si>
  <si>
    <t>RPU8</t>
  </si>
  <si>
    <t>RPU9</t>
  </si>
  <si>
    <t>RPZ0</t>
  </si>
  <si>
    <t>RPZ4</t>
  </si>
  <si>
    <t>RPZ5</t>
  </si>
  <si>
    <t>RPZ6</t>
  </si>
  <si>
    <t>RPZ7</t>
  </si>
  <si>
    <t>RPZ8</t>
  </si>
  <si>
    <t>RPZ9</t>
  </si>
  <si>
    <t>SIF14</t>
  </si>
  <si>
    <t>SIF15</t>
  </si>
  <si>
    <t>SIF16</t>
  </si>
  <si>
    <t>SIG14</t>
  </si>
  <si>
    <t>SIH14</t>
  </si>
  <si>
    <t>SIH15</t>
  </si>
  <si>
    <t>SIH16</t>
  </si>
  <si>
    <t>SIJ14</t>
  </si>
  <si>
    <t>SIK14</t>
  </si>
  <si>
    <t>SIK15</t>
  </si>
  <si>
    <t>SIM14</t>
  </si>
  <si>
    <t>SIN14</t>
  </si>
  <si>
    <t>SIN15</t>
  </si>
  <si>
    <t>SIN16</t>
  </si>
  <si>
    <t>SIN17</t>
  </si>
  <si>
    <t>SIN18</t>
  </si>
  <si>
    <t>SIQ14</t>
  </si>
  <si>
    <t>SIU14</t>
  </si>
  <si>
    <t>SIU15</t>
  </si>
  <si>
    <t>SIZ14</t>
  </si>
  <si>
    <t>SIZ15</t>
  </si>
  <si>
    <t>SIZ16</t>
  </si>
  <si>
    <t>SIZ17</t>
  </si>
  <si>
    <t>SIZ18</t>
  </si>
  <si>
    <t>SPH4</t>
  </si>
  <si>
    <t>SPH5</t>
  </si>
  <si>
    <t>SPH6</t>
  </si>
  <si>
    <t>SPM4</t>
  </si>
  <si>
    <t>SPM5</t>
  </si>
  <si>
    <t>SPU4</t>
  </si>
  <si>
    <t>SPU5</t>
  </si>
  <si>
    <t>SPZ4</t>
  </si>
  <si>
    <t>SPZ5</t>
  </si>
  <si>
    <t>SPZ6</t>
  </si>
  <si>
    <t>SPZ7</t>
  </si>
  <si>
    <t>SPZ8</t>
  </si>
  <si>
    <t>TE28AB14</t>
  </si>
  <si>
    <t>TE28AB15</t>
  </si>
  <si>
    <t>TE28AB16</t>
  </si>
  <si>
    <t>TE28AB17</t>
  </si>
  <si>
    <t>TE28AB18</t>
  </si>
  <si>
    <t>TE28AB20</t>
  </si>
  <si>
    <t>TE28AG14</t>
  </si>
  <si>
    <t>TE28AG15</t>
  </si>
  <si>
    <t>TE28AG16</t>
  </si>
  <si>
    <t>TE28AG17</t>
  </si>
  <si>
    <t>TE28DC14</t>
  </si>
  <si>
    <t>TE28DC15</t>
  </si>
  <si>
    <t>TE28DC16</t>
  </si>
  <si>
    <t>TE28DC17</t>
  </si>
  <si>
    <t>TE28DC21</t>
  </si>
  <si>
    <t>TE28EN14</t>
  </si>
  <si>
    <t>TE28EN15</t>
  </si>
  <si>
    <t>TE28EN16</t>
  </si>
  <si>
    <t>TE28EN17</t>
  </si>
  <si>
    <t>TE28EN18</t>
  </si>
  <si>
    <t>TE28EN19</t>
  </si>
  <si>
    <t>TE28FB14</t>
  </si>
  <si>
    <t>TE28FB15</t>
  </si>
  <si>
    <t>TE28FB16</t>
  </si>
  <si>
    <t>TE28FB17</t>
  </si>
  <si>
    <t>TE28FB18</t>
  </si>
  <si>
    <t>TE28JL14</t>
  </si>
  <si>
    <t>TE28JL15</t>
  </si>
  <si>
    <t>TE28JL16</t>
  </si>
  <si>
    <t>TE28JL17</t>
  </si>
  <si>
    <t>TE28JL19</t>
  </si>
  <si>
    <t>TE28JN14</t>
  </si>
  <si>
    <t>TE28JN15</t>
  </si>
  <si>
    <t>TE28JN16</t>
  </si>
  <si>
    <t>TE28JN17</t>
  </si>
  <si>
    <t>TE28JN18</t>
  </si>
  <si>
    <t>TE28MR14</t>
  </si>
  <si>
    <t>TE28MR15</t>
  </si>
  <si>
    <t>TE28MR16</t>
  </si>
  <si>
    <t>TE28MR17</t>
  </si>
  <si>
    <t>TE28MR18</t>
  </si>
  <si>
    <t>TE28MR20</t>
  </si>
  <si>
    <t>TE28MY14</t>
  </si>
  <si>
    <t>TE28MY15</t>
  </si>
  <si>
    <t>TE28MY16</t>
  </si>
  <si>
    <t>TE28MY17</t>
  </si>
  <si>
    <t>TE28MY18</t>
  </si>
  <si>
    <t>TE28MY20</t>
  </si>
  <si>
    <t>TE28NV14</t>
  </si>
  <si>
    <t>TE28NV15</t>
  </si>
  <si>
    <t>TE28NV16</t>
  </si>
  <si>
    <t>TE28NV17</t>
  </si>
  <si>
    <t>TE28NV19</t>
  </si>
  <si>
    <t>TE28NV21</t>
  </si>
  <si>
    <t>TE28OC14</t>
  </si>
  <si>
    <t>TE28OC15</t>
  </si>
  <si>
    <t>TE28OC16</t>
  </si>
  <si>
    <t>TE28OC17</t>
  </si>
  <si>
    <t>TE28OC19</t>
  </si>
  <si>
    <t>TE28SP14</t>
  </si>
  <si>
    <t>TE28SP15</t>
  </si>
  <si>
    <t>TE28SP16</t>
  </si>
  <si>
    <t>TE28SP17</t>
  </si>
  <si>
    <t>TFH14</t>
  </si>
  <si>
    <t>TFM14</t>
  </si>
  <si>
    <t>TFU14</t>
  </si>
  <si>
    <t>TFZ14</t>
  </si>
  <si>
    <t>TUH4</t>
  </si>
  <si>
    <t>TUH5</t>
  </si>
  <si>
    <t>TUM4</t>
  </si>
  <si>
    <t>TUM5</t>
  </si>
  <si>
    <t>TUU4</t>
  </si>
  <si>
    <t>TUZ4</t>
  </si>
  <si>
    <t>TXLDC14</t>
  </si>
  <si>
    <t>TXLDC15</t>
  </si>
  <si>
    <t>TXLDC16</t>
  </si>
  <si>
    <t>TXLJN14</t>
  </si>
  <si>
    <t>TXLJN15</t>
  </si>
  <si>
    <t>TXLJN16</t>
  </si>
  <si>
    <t>TXLMR14</t>
  </si>
  <si>
    <t>TXLMR15</t>
  </si>
  <si>
    <t>TXLMR16</t>
  </si>
  <si>
    <t>TXLSP14</t>
  </si>
  <si>
    <t>TXLSP15</t>
  </si>
  <si>
    <t>TXLSP16</t>
  </si>
  <si>
    <t>TYH4</t>
  </si>
  <si>
    <t>TYH5</t>
  </si>
  <si>
    <t>TYM4</t>
  </si>
  <si>
    <t>TYM5</t>
  </si>
  <si>
    <t>TYU4</t>
  </si>
  <si>
    <t>TYZ4</t>
  </si>
  <si>
    <t>UBEH14</t>
  </si>
  <si>
    <t>UBEM14</t>
  </si>
  <si>
    <t>UBEU14</t>
  </si>
  <si>
    <t>UBEZ14</t>
  </si>
  <si>
    <t>UDIAB14</t>
  </si>
  <si>
    <t>UDIAB15</t>
  </si>
  <si>
    <t>UDIAG14</t>
  </si>
  <si>
    <t>UDIDC14</t>
  </si>
  <si>
    <t>UDIDC15</t>
  </si>
  <si>
    <t>UDIDC16</t>
  </si>
  <si>
    <t>UDIDC17</t>
  </si>
  <si>
    <t>UDIDC18</t>
  </si>
  <si>
    <t>UDIEN14</t>
  </si>
  <si>
    <t>UDIEN15</t>
  </si>
  <si>
    <t>UDIFB14</t>
  </si>
  <si>
    <t>UDIFB15</t>
  </si>
  <si>
    <t>UDIJL14</t>
  </si>
  <si>
    <t>UDIJN14</t>
  </si>
  <si>
    <t>UDIJN15</t>
  </si>
  <si>
    <t>UDIJN16</t>
  </si>
  <si>
    <t>UDIJN17</t>
  </si>
  <si>
    <t>UDIJN18</t>
  </si>
  <si>
    <t>UDIMR14</t>
  </si>
  <si>
    <t>UDIMR15</t>
  </si>
  <si>
    <t>UDIMR16</t>
  </si>
  <si>
    <t>UDIMR17</t>
  </si>
  <si>
    <t>UDIMR18</t>
  </si>
  <si>
    <t>UDIMR19</t>
  </si>
  <si>
    <t>UDIMY14</t>
  </si>
  <si>
    <t>UDIMY15</t>
  </si>
  <si>
    <t>UDINV14</t>
  </si>
  <si>
    <t>UDIOC14</t>
  </si>
  <si>
    <t>UDISP14</t>
  </si>
  <si>
    <t>UDISP15</t>
  </si>
  <si>
    <t>UDISP16</t>
  </si>
  <si>
    <t>UDISP17</t>
  </si>
  <si>
    <t>UDISP18</t>
  </si>
  <si>
    <t>USH4</t>
  </si>
  <si>
    <t>USM4</t>
  </si>
  <si>
    <t>USU4</t>
  </si>
  <si>
    <t>USZ4</t>
  </si>
  <si>
    <t>WALDC14</t>
  </si>
  <si>
    <t>WALJN14</t>
  </si>
  <si>
    <t>WALMR14</t>
  </si>
  <si>
    <t>WALMR15</t>
  </si>
  <si>
    <t>WALSP14</t>
  </si>
  <si>
    <t>WH14</t>
  </si>
  <si>
    <t>WH15</t>
  </si>
  <si>
    <t>WK14</t>
  </si>
  <si>
    <t>WK15</t>
  </si>
  <si>
    <t>WN14</t>
  </si>
  <si>
    <t>WN15</t>
  </si>
  <si>
    <t>WU14</t>
  </si>
  <si>
    <t>WU15</t>
  </si>
  <si>
    <t>WZ14</t>
  </si>
  <si>
    <t>WZ15</t>
  </si>
  <si>
    <t>YMH4</t>
  </si>
  <si>
    <t>YMH5</t>
  </si>
  <si>
    <t>YMM4</t>
  </si>
  <si>
    <t>YMM5</t>
  </si>
  <si>
    <t>YMU4</t>
  </si>
  <si>
    <t>YMU5</t>
  </si>
  <si>
    <t>YMZ4</t>
  </si>
  <si>
    <t>YMZ5</t>
  </si>
  <si>
    <t>REC_PAY</t>
  </si>
  <si>
    <t>Paga</t>
  </si>
  <si>
    <t>Recibe</t>
  </si>
  <si>
    <t>FALSE</t>
  </si>
  <si>
    <t>Es una operación Forward</t>
  </si>
  <si>
    <t>TRUE</t>
  </si>
  <si>
    <t>Es una operación Spot</t>
  </si>
  <si>
    <t>124</t>
  </si>
  <si>
    <t>152</t>
  </si>
  <si>
    <t>156</t>
  </si>
  <si>
    <t>170</t>
  </si>
  <si>
    <t>203</t>
  </si>
  <si>
    <t>208</t>
  </si>
  <si>
    <t>32</t>
  </si>
  <si>
    <t>320</t>
  </si>
  <si>
    <t>344</t>
  </si>
  <si>
    <t>348</t>
  </si>
  <si>
    <t>356</t>
  </si>
  <si>
    <t>36</t>
  </si>
  <si>
    <t>360</t>
  </si>
  <si>
    <t>376</t>
  </si>
  <si>
    <t>392</t>
  </si>
  <si>
    <t>410</t>
  </si>
  <si>
    <t>554</t>
  </si>
  <si>
    <t>578</t>
  </si>
  <si>
    <t>604</t>
  </si>
  <si>
    <t>643</t>
  </si>
  <si>
    <t>702</t>
  </si>
  <si>
    <t>710</t>
  </si>
  <si>
    <t>752</t>
  </si>
  <si>
    <t>756</t>
  </si>
  <si>
    <t>764</t>
  </si>
  <si>
    <t>784</t>
  </si>
  <si>
    <t>792</t>
  </si>
  <si>
    <t>793</t>
  </si>
  <si>
    <t>826</t>
  </si>
  <si>
    <t>840</t>
  </si>
  <si>
    <t>862</t>
  </si>
  <si>
    <t>901</t>
  </si>
  <si>
    <t>978</t>
  </si>
  <si>
    <t>979</t>
  </si>
  <si>
    <t>985</t>
  </si>
  <si>
    <t>986</t>
  </si>
  <si>
    <t>990</t>
  </si>
  <si>
    <t>ACE</t>
  </si>
  <si>
    <t>Una Acción (o título representativo de capital, incluye CPO) de una empresa residente en el extranjero</t>
  </si>
  <si>
    <t>ACM</t>
  </si>
  <si>
    <t>Una Acción (o título representativo de capital, incluye CPO) de una empresa residente en México</t>
  </si>
  <si>
    <t>AR1</t>
  </si>
  <si>
    <t>ADR (American Depositary Receipt) de emisores extranjeros</t>
  </si>
  <si>
    <t>AR5</t>
  </si>
  <si>
    <t>GDR (Global Depositary Receipt) de emisores extranjeros</t>
  </si>
  <si>
    <t>AS1</t>
  </si>
  <si>
    <t>ADS (American Depositary Share) de emisores extranjeros</t>
  </si>
  <si>
    <t>AS5</t>
  </si>
  <si>
    <t>GDS (Global Depositary Share) de emisores extranjeros</t>
  </si>
  <si>
    <t>ATR</t>
  </si>
  <si>
    <t>Títulos Referenciados a Acciones (Tracs)</t>
  </si>
  <si>
    <t>CDS</t>
  </si>
  <si>
    <t>La operación subyacente es un Derivado de Incumplimiento Crediticio ("Credit Default Swap")</t>
  </si>
  <si>
    <t>Café en grano</t>
  </si>
  <si>
    <t>ETF</t>
  </si>
  <si>
    <t>Exchange Traded Fund (ETF)</t>
  </si>
  <si>
    <t>FWD</t>
  </si>
  <si>
    <t>La operación subyacente es un Contrato Adelantado ("Forward")</t>
  </si>
  <si>
    <t>G01</t>
  </si>
  <si>
    <t>Canasta de acciones (o títulos representativos de capital)</t>
  </si>
  <si>
    <t>GSN</t>
  </si>
  <si>
    <t>Gas natural</t>
  </si>
  <si>
    <t>I99</t>
  </si>
  <si>
    <t>Canasta de Indices de Bolsas de Valores (Dos o más índices de acciones)</t>
  </si>
  <si>
    <t>IAM</t>
  </si>
  <si>
    <t>Indice de Acciones cotizados en Bolsas de Valores en México</t>
  </si>
  <si>
    <t>IAX</t>
  </si>
  <si>
    <t>Indice de Acciones cotizados en Bolsas de Valores en el extranjero</t>
  </si>
  <si>
    <t>INC</t>
  </si>
  <si>
    <t>Indice Nacional de Precios al Consumidor (INPC)</t>
  </si>
  <si>
    <t>MAG</t>
  </si>
  <si>
    <t>Plata</t>
  </si>
  <si>
    <t>MAL</t>
  </si>
  <si>
    <t>Aluminio</t>
  </si>
  <si>
    <t>MAU</t>
  </si>
  <si>
    <t>Oro</t>
  </si>
  <si>
    <t>MCU</t>
  </si>
  <si>
    <t>Cobre</t>
  </si>
  <si>
    <t>MFA</t>
  </si>
  <si>
    <t>Acero</t>
  </si>
  <si>
    <t>MNI</t>
  </si>
  <si>
    <t>Niquel</t>
  </si>
  <si>
    <t>MPB</t>
  </si>
  <si>
    <t>Plomo</t>
  </si>
  <si>
    <t>MPD</t>
  </si>
  <si>
    <t>Paladio</t>
  </si>
  <si>
    <t>MPT</t>
  </si>
  <si>
    <t>Platino</t>
  </si>
  <si>
    <t>MSN</t>
  </si>
  <si>
    <t>Estaño</t>
  </si>
  <si>
    <t>MZA</t>
  </si>
  <si>
    <t>Maiz Amarillo</t>
  </si>
  <si>
    <t>MZN</t>
  </si>
  <si>
    <t>Zinc</t>
  </si>
  <si>
    <t>OPC</t>
  </si>
  <si>
    <t>La operación subyacente es un Contrato de Opción</t>
  </si>
  <si>
    <t>PTR</t>
  </si>
  <si>
    <t>Petróleo Crudo</t>
  </si>
  <si>
    <t>Salario Mínimo Vigente en el Distrito Federal (zona A)</t>
  </si>
  <si>
    <t>SWP</t>
  </si>
  <si>
    <t>La operación subyacente es un Contrato de Intercambio de Flujos (Swap)</t>
  </si>
  <si>
    <t>TDE</t>
  </si>
  <si>
    <t>Títulos de deuda (bonos, certificados, pagarés, etc.) emitidos por entidades residentes en el extranjero</t>
  </si>
  <si>
    <t>TDM</t>
  </si>
  <si>
    <t>Títulos de deuda (bonos, certificados, pagarés, etc.) emitidos por entidades residentes en México</t>
  </si>
  <si>
    <t>TIC</t>
  </si>
  <si>
    <t>Tipo de cambio (expresado en unidades de una divisa en relación a otra)</t>
  </si>
  <si>
    <t>TIF</t>
  </si>
  <si>
    <t>Tasa de interés fija</t>
  </si>
  <si>
    <t>TIM</t>
  </si>
  <si>
    <t>Tasa de Interés cotizada en México</t>
  </si>
  <si>
    <t>TIX</t>
  </si>
  <si>
    <t>Tasa de Interés cotizada en el Extranjero</t>
  </si>
  <si>
    <t>WHT</t>
  </si>
  <si>
    <t>Trigo calidad Chicago Soft Red Winter</t>
  </si>
  <si>
    <t>YY</t>
  </si>
  <si>
    <t>ADR (American Depositary Receipt) de emisores mexicanos</t>
  </si>
  <si>
    <t>C</t>
  </si>
  <si>
    <t>Cuando el contrato contemple vencer anticipada la operación por condiciones de Credito</t>
  </si>
  <si>
    <t>Cuando el contrato contemple vencer anticipada la operación por Mercado</t>
  </si>
  <si>
    <t>Cuando el contrato contemple no contemple vencer de forma anticipada la operación</t>
  </si>
  <si>
    <t>Depósito bancario (vista y/o plazo) en moneda nacional en la propia institución (o en el banco múltiple del mismo grupo financiero).</t>
  </si>
  <si>
    <t>Títulos de deuda bursátiles emitidos o avalados por alguna institución bancaria residente en México, denominados en moneda nacional, con una calificación igual o mayor a grado de inversión.</t>
  </si>
  <si>
    <t>Títulos de deuda bursátiles emitidos o avalados por alguna institución bancaria residente en México, denominados en moneda extranjera, con una calificación igual o mayor a grado de inversión.</t>
  </si>
  <si>
    <t>Títulos de deuda bursátiles emitidos o avalados por alguna institución bancaria residente en México, denominados en moneda nacional, con una calificación inferior al grado de inversión.</t>
  </si>
  <si>
    <t>Títulos de deuda bursátiles emitidos o avalados por alguna institución bancaria residente en México, denominados en moneda extranjera, con una calificación inferior al grado de inversión.</t>
  </si>
  <si>
    <t>Títulos de deuda bursátiles emitidos o avalados por alguna institución bancaria residente en el extranjero, con una calificación igual o mayor a grado de inversión.</t>
  </si>
  <si>
    <t>Títulos de deuda bursátiles emitidos o avalados por alguna institución bancaria residente en el extranjero, con una calificación inferior al grado de inversión.</t>
  </si>
  <si>
    <t>Títulos de deuda bursátiles emitidos o avalados por alguna entidad no bancaria residente en México, denominados en moneda nacional, con una calificación igual o mayor a grado de inversión.</t>
  </si>
  <si>
    <t>Títulos de deuda bursátiles emitidos o avalados por alguna entidad no bancaria residente en México, denominados en moneda extranjera, con una calificación igual o mayor a grado de inversión.</t>
  </si>
  <si>
    <t>Títulos de deuda bursátiles emitidos o avalados por alguna entidad no bancaria residente en México, denominados en moneda nacional, con una calificación inferior al grado de inversión.</t>
  </si>
  <si>
    <t>Títulos de deuda bursátiles emitidos o avalados por alguna entidad no bancaria residente en México, denominados en moneda extranjera, con una calificación inferior al grado de inversión.</t>
  </si>
  <si>
    <t>Depósito bancario (vista y/o plazo) en moneda extranjera en la propia institución (o en el banco múltiple del mismo grupo financiero)</t>
  </si>
  <si>
    <t>Títulos de deuda bursátiles emitidos o avalados por alguna entidad no bancaria residente en el extranjero, con una calificación igual o mayor a grado de inversión.</t>
  </si>
  <si>
    <t>Títulos de deuda bursátiles emitidos o avalados por alguna entidad no bancaria residente en el extranjero, con una calificación inferior al grado de inversión.</t>
  </si>
  <si>
    <t>Seguro de crédito otorgado por una entidad financiera residente en México que pertenece al mismo grupo financiero que la institución.</t>
  </si>
  <si>
    <t>Seguro de crédito otorgado por una entidad financiera residente en México que No pertenece al mismo grupo financiero que la institución, y que tiene una calificación igual o mayor a grado de inversión</t>
  </si>
  <si>
    <t>Seguro de crédito otorgado por una entidad financiera residente en México que No pertenece al mismo grupo financiero que la institución, y que tiene una calificación inferior al grado de inversión</t>
  </si>
  <si>
    <t>Seguro de crédito otorgado por una entidad financiera residente en el extranjero, y que tiene una calificación igual o mayor a grado de inversión.</t>
  </si>
  <si>
    <t>Seguro de crédito otorgado por una entidad financiera residente en el extranjero, y que tiene una calificación inferior al grado de inversión.</t>
  </si>
  <si>
    <t>Títulos accionarios que formen parte del índice de alguna bolsa de valores, denominados en moneda nacional.</t>
  </si>
  <si>
    <t>28</t>
  </si>
  <si>
    <t>Títulos accionarios que formen parte del índice de alguna bolsa de valores, denominados en moneda extranjera</t>
  </si>
  <si>
    <t>29</t>
  </si>
  <si>
    <t>Títulos accionarios bursátiles que No formen parte del índice de alguna bolsa de valores, denominados en moneda nacional.</t>
  </si>
  <si>
    <t>Depósito bancario (vista y/o plazo) en moneda nacional en otra institución de crédito residente en México.</t>
  </si>
  <si>
    <t>30</t>
  </si>
  <si>
    <t>Títulos accionarios bursátiles que No formen parte del índice de alguna bolsa de valores, denominados en moneda extranjera</t>
  </si>
  <si>
    <t>31</t>
  </si>
  <si>
    <t>Acciones bursátiles de sociedades o fondos de inversión, denominadas en moneda nacional</t>
  </si>
  <si>
    <t>Acciones bursátiles de sociedades o fondos de inversión, denominadas en moneda extranjera</t>
  </si>
  <si>
    <t>33</t>
  </si>
  <si>
    <t>Bienes inmuebles comerciales o industriales situados en la República Mexicana</t>
  </si>
  <si>
    <t>34</t>
  </si>
  <si>
    <t>Bienes inmuebles residenciales situados en la República Mexicana</t>
  </si>
  <si>
    <t>35</t>
  </si>
  <si>
    <t>Bienes inmuebles comerciales o industriales situados en el Extranjero.</t>
  </si>
  <si>
    <t>Bienes inmuebles residenciales situados en el Extranjero.</t>
  </si>
  <si>
    <t>37</t>
  </si>
  <si>
    <t>Bienes muebles (aeronaves, embarcaciones, maquinaria, vehículos terrestres) inscritos en el Registro Único de Garantías Mobiliarias (RUGM).</t>
  </si>
  <si>
    <t>38</t>
  </si>
  <si>
    <t>Bienes muebles (granos u otros productos agropecuarios) depositados en Almacenes Generales.</t>
  </si>
  <si>
    <t>39</t>
  </si>
  <si>
    <t>Bienes muebles no inscritos en el RUGM o no depósitados en Almacenes Generales.</t>
  </si>
  <si>
    <t>Depósito bancario (vista y/o plazo) en moneda extranjera en otra institución de crédito residente en México.</t>
  </si>
  <si>
    <t>40</t>
  </si>
  <si>
    <t>Línea de crédito en moneda nacional otorgada por una institución de crédito (distinta, en su caso, a la contraparte) residente en México, y que tiene una calificación igual o mayor a grado de inversión.</t>
  </si>
  <si>
    <t>41</t>
  </si>
  <si>
    <t>Línea de crédito en moneda extranjera otorgada por una institución de crédito (distinta, en su caso, a la contraparte) residente en México, y que tiene una calificación igual o mayor a grado de inversión.</t>
  </si>
  <si>
    <t>42</t>
  </si>
  <si>
    <t>Línea de crédito en moneda nacional otorgada por una institución de crédito (distinta, en su caso, a la contraparte) residente en México, y que tiene una calificación inferior al grado de inversión.</t>
  </si>
  <si>
    <t>43</t>
  </si>
  <si>
    <t>Línea de crédito en moneda extranjera otorgada por una institución de crédito (distinta, en su caso, a la contraparte) residente en México, y que tiene una calificación inferior al grado de inversión.</t>
  </si>
  <si>
    <t>44</t>
  </si>
  <si>
    <t>Línea de crédito en moneda extranjera otorgada por una institución bancaria residente en el extranjero, y que tiene una calificación igual o mayor a grado de inversión.</t>
  </si>
  <si>
    <t>45</t>
  </si>
  <si>
    <t>Línea de crédito en moneda extranjera otorgada por una institución bancaria residente en el extranjero, y que tiene una calificación inferior al grado de inversión.</t>
  </si>
  <si>
    <t>46</t>
  </si>
  <si>
    <t>Otra garantía personal (avales, cartas de crédito, u otras garantías personales distintas de líneas de crédito y seguros de crédito)</t>
  </si>
  <si>
    <t>Depósito bancario (vista y/o plazo) en moneda extranjera en una institución bancaria residente en el extranjero.</t>
  </si>
  <si>
    <t>Títulos de deuda bursátiles emitidos o avalados por el gobierno federal mexicano (incluye el IPAB y el Banco de México), denominados en moneda nacional.</t>
  </si>
  <si>
    <t>Títulos de deuda bursátiles emitidos o avalados por el gobierno federal mexicano (incluye el IPAB y el Banco de México), denominados en moneda extranjera.</t>
  </si>
  <si>
    <t>Títulos de deuda bursátiles emitidos o avalados por el gobierno central de algún país extranjero (incluye el banco central respectivo), con una calificación igual o mayor a grado de inversión.</t>
  </si>
  <si>
    <t>Títulos de deuda bursátiles emitidos o avalados por el gobierno central de algún país extranjero (incluye el banco central respectivo), con una calificación inferior al grado de inversión.</t>
  </si>
  <si>
    <t>Futuro o contrato adelantado sobre una tasa de interés</t>
  </si>
  <si>
    <t>Futuro o contrato adelantado sobre el precio de algún producto pecuario (carne de puerco, ganado bovina, leche, etc.)</t>
  </si>
  <si>
    <t>Futuro o contrato adelantado sobre el precio de algún producto agrícola (maíz, trigo, soya, arroz, naranja, etc.)</t>
  </si>
  <si>
    <t>Futuro o contrato adelantado sobre un índice referido a la inflación.</t>
  </si>
  <si>
    <t>Opción sobre una tasa de interés</t>
  </si>
  <si>
    <t>Opción sobre un título de deuda</t>
  </si>
  <si>
    <t>Opción sobre una acción</t>
  </si>
  <si>
    <t>Opción sobre una canasta de acciones</t>
  </si>
  <si>
    <t>Opción sobre el dividendo de una acción</t>
  </si>
  <si>
    <t>Opción sobre los dividendos de una canasta de acciones</t>
  </si>
  <si>
    <t>Opción sobre un índice accionario (o título referenciado a un índice accionario)</t>
  </si>
  <si>
    <t>Futuro o contrato adelantado sobre un título de deuda</t>
  </si>
  <si>
    <t>Opción sobre una canasta de índices accionarios (o títulos referenciado a una canasta de índices accionarios)</t>
  </si>
  <si>
    <t>Opción sobre una divisa (o el tipo de cambio de una divisa por otra)</t>
  </si>
  <si>
    <t>Opción que paga un importe fijo dependiendo del desempeño del precio de mercado de uno o varios subyacentes</t>
  </si>
  <si>
    <t>Opción sobre el precio de un metal</t>
  </si>
  <si>
    <t>Opción sobre el precio de algún combustible (gas natural, petroleo crudo, gasolina, etc.)</t>
  </si>
  <si>
    <t>Opción sobre el precio de algún producto pecuario (carne de puerco, ganado bovina, leche, etc.)</t>
  </si>
  <si>
    <t>Opción sobre el precio de algún producto agrícola (maíz, trigo, soya, arroz, naranja, etc.)</t>
  </si>
  <si>
    <t>Opción sobre un indice referido a la inflación.</t>
  </si>
  <si>
    <t>Opción sobre otros subyacentes</t>
  </si>
  <si>
    <t>Swap que intercambia tasa fija VS. tasa flotante, sobre un importe base.</t>
  </si>
  <si>
    <t>Futuro o contrato adelantado sobre una acción</t>
  </si>
  <si>
    <t>Swap que intercambia tasa fija VS. tasa fija, sobre un importe base.</t>
  </si>
  <si>
    <t>Swap que intercambia tasa flotante VS. tasa flotante, sobre un importe base.</t>
  </si>
  <si>
    <t>Swap que intercambia un indice referido a la inflación VS. una tasa de interés (fija o flotante), sobre un importe base</t>
  </si>
  <si>
    <t>Swap que intercambia tasa real (o un índice referido a la inflación) VS. tasa flotante, sobre un importe base.</t>
  </si>
  <si>
    <t>Swap que intercambia tasa flotante VS. tasa flotante, sobre dos importes base en distintas monedas</t>
  </si>
  <si>
    <t>Swap que intercambia tasa fija VS. tasa flotante, sobre dos importes base en distintas monedas.</t>
  </si>
  <si>
    <t>Swap que intercambia tasa fija VS. tasa fija, sobre dos importes base en distintas monedas</t>
  </si>
  <si>
    <t>Swap que intercambia un indice referido a la inflación VS. una tasa de interés (fija o flotante), sobre dos importes base en distintas monedas</t>
  </si>
  <si>
    <t>Swap que intercambia el rendimiento del precio de una acción (o una canasta de acciones) VS una tasa de interés (fija o flotante)</t>
  </si>
  <si>
    <t>Swap que intercambia el rendimiento del precio de un índice accionario (o una canasta de índices accionarios) VS una tasa de interés (fija o flotante)</t>
  </si>
  <si>
    <t>Futuro o contrato adelantado sobre una canasta de acciones</t>
  </si>
  <si>
    <t>Swap que intercambia el dividendo de una acción (o una canasta de acciones) VS una tasa de interés (fija o flotante)</t>
  </si>
  <si>
    <t>Swap que intercambia el dividendo de un índice accionario (o una canasta de índices accionarios) VS una tasa de interés (fija o flotante)</t>
  </si>
  <si>
    <t>Swap que intercambie un determinado número de divisas VS un tipo de cambio (fijo o flotante)</t>
  </si>
  <si>
    <t>Swap que intercambia el rendimiento del precio de un metal VS una tasa de interés (fija o flotante)</t>
  </si>
  <si>
    <t>Swap que intercambia el rendimiento del precio de algún combustible (gas natural, petróleo crudo, gasolina etc.) VS una tasa de interés (fija o flotante)</t>
  </si>
  <si>
    <t>Swap que intercambia el rendimiento del precio de algún producto pecuario (carne de puerco, ganado bovino, leche, etc.) VS una tasa de interés (fija o flotante)</t>
  </si>
  <si>
    <t>Swap que intercambia el rendimiento de algún producto agrícola (maíz, trigo, soya, arroz, naranja, etc.) VS una tasa de interés (fija o flotante)</t>
  </si>
  <si>
    <t>47</t>
  </si>
  <si>
    <t>Swap que intercambia el rendimiento de algún índice accionario VS una tasa de interés (fija o flotante)</t>
  </si>
  <si>
    <t>Futuro o contrato adelantado sobre un índice accionario (o título referenciado a un índice accionarío)</t>
  </si>
  <si>
    <t>Futuro o contrato adelantado sobre una canasta de índices accionarios (o títulos referenciados a una canasta de índices accionarios)</t>
  </si>
  <si>
    <t>Futuro o contrato adelantado sobre una divisa (o el tipo de cambio de una divisa por otra)</t>
  </si>
  <si>
    <t>Futuro o contrato adelantado sobre el precio de un metal</t>
  </si>
  <si>
    <t>Futuro o contrato adelantado sobre el precio de algún combustible (gas natural, petroleo crudo, gasolina, etc.)</t>
  </si>
  <si>
    <t>TIP_NETEO</t>
  </si>
  <si>
    <t>La institución y su contraparte tienen firmado un contrato marco que contiene una cláusula que permite extinguir por compensación todas las operaciones derivadas (para cualquier subyacente) celebradas al amparo de dicho contrato.</t>
  </si>
  <si>
    <t>La institución y su contraparte tienen firmado un contrato marco que contiene una cláusula que permite extinguir por compensación todas las operaciones derivadas (con subyacentes que sean tasas de interés) celebradas al amparo de dicho contrato.</t>
  </si>
  <si>
    <t>La institución y su contraparte tienen firmado un contrato marco que contiene una cláusula que permite extinguir por compensación todas las operaciones derivadas (con subyacentes que sean divisas u oro) celebradas al amparo de dicho contrato.</t>
  </si>
  <si>
    <t>La institución y su contraparte tienen firmado un contrato marco que contiene una cláusula que permite extinguir por compensación todas las operaciones derivadas (con subyacentes que sean acciones o índices acc.) celebradas al amparo de dicho contrato.</t>
  </si>
  <si>
    <t>La institución y su contraparte tienen firmado un contrato marco que contiene una cláusula que permite extinguir por compensación todas las operaciones derivadas (con subyacentes metales preciosos distintos a oro) celebradas al amparo de dicho contrato.</t>
  </si>
  <si>
    <t>La institución y su contraparte tienen firmado un contrato marco que contiene una cláusula que permite extinguir por compensación todas las operaciones derivadas (con otros subyacentes distintos a las claves2a5) celebradas al amparo de dicho contrato.</t>
  </si>
  <si>
    <t>No Aplica (La institución y su contraparte NO tienen celebrado alguno de los contratos marco anteriores).</t>
  </si>
  <si>
    <t>TIP_PART_FT</t>
  </si>
  <si>
    <t>Fiduciario</t>
  </si>
  <si>
    <t>Fideicomitente</t>
  </si>
  <si>
    <t>Fideicomisario</t>
  </si>
  <si>
    <t>Tipo de Vencimiento Americano Precio Pactado</t>
  </si>
  <si>
    <t>E</t>
  </si>
  <si>
    <t>Tipo de Vencimiento Europeo Precio Mercado</t>
  </si>
  <si>
    <t>TIPO_RELACION_PR</t>
  </si>
  <si>
    <t>Poseedoras del 2% o más de los Títulos Representativos (Fracc. I)</t>
  </si>
  <si>
    <t>Contraparte No relacionada</t>
  </si>
  <si>
    <t>Miembros del Consejo de Administración (Fracc. II)</t>
  </si>
  <si>
    <t>Cónyuges y Personas con Parentesco (Fracc. III)</t>
  </si>
  <si>
    <t>Personas con Injerencia (Fracc. IV)</t>
  </si>
  <si>
    <t>Poseedores del 10% o más de los Títulos Representativos (Fracc. V)</t>
  </si>
  <si>
    <t>Consejeros o Administradores (Fracc. VI)</t>
  </si>
  <si>
    <t>Personas con Poder de Mando (Fracc. VII)</t>
  </si>
  <si>
    <t>Persona Relacionada Relevante</t>
  </si>
  <si>
    <t>TY_COUNTERP</t>
  </si>
  <si>
    <t>Autoridades Financieras Nacionales  (BdM, SHCP)</t>
  </si>
  <si>
    <t>Subsidiarias (Filiales) Financieras en el Extranjero de Banca Múltiple</t>
  </si>
  <si>
    <t>Subsidiarias (Filiales) Financieras en el Extranjero de Casas de Bolsa</t>
  </si>
  <si>
    <t>Almacenadoras (Nacionales de Depósito)</t>
  </si>
  <si>
    <t>Sociedades Financieras de Objeto Limitado (SOFOLES)</t>
  </si>
  <si>
    <t>Aseguradoras</t>
  </si>
  <si>
    <t>Inmobiliarias Bancarias</t>
  </si>
  <si>
    <t>Empresas de Servicios Complementarios</t>
  </si>
  <si>
    <t>Filiales No Financieras de Banca Múltiple</t>
  </si>
  <si>
    <t>Afianzadoras</t>
  </si>
  <si>
    <t>Sociedades y Fondos de Inversión</t>
  </si>
  <si>
    <t>Sociedades de Inversión Especializadas de Fondos para el Retiro</t>
  </si>
  <si>
    <t>Socios Liquidadores</t>
  </si>
  <si>
    <t>Otros Intermediarios Financieros Privados Nacionales (México)</t>
  </si>
  <si>
    <t>Personas Físicas Nacional (México)</t>
  </si>
  <si>
    <t>Personas Morales Nacionales (Distinto de Intermediarios Financieros en México)</t>
  </si>
  <si>
    <t>Personas Físicas Extranjeras</t>
  </si>
  <si>
    <t>Personas Morales Extranjeras (Distinto de Intermediarios Financieros)</t>
  </si>
  <si>
    <t>Gobierno Federal</t>
  </si>
  <si>
    <t>Organismos Descentralizados de la Administración Pública Federal</t>
  </si>
  <si>
    <t>Intermediarios Financieros Extranjeros</t>
  </si>
  <si>
    <t>Administradora de Fondos para el Retiro (AFORE)</t>
  </si>
  <si>
    <t>Sociedad Financiera de Objeto Múltiple Regulada (SOFOM-R)</t>
  </si>
  <si>
    <t>Grupos Financieros</t>
  </si>
  <si>
    <t>Oficinas de Representación en México</t>
  </si>
  <si>
    <t>Sociedades de Ahorro y Préstamo</t>
  </si>
  <si>
    <t>Gobiernos de Estados y Municipios</t>
  </si>
  <si>
    <t>Fideicomisos Públicos del Gobierno Federal</t>
  </si>
  <si>
    <t>Fideicomisos Privados</t>
  </si>
  <si>
    <t>Sociedad Financiera de Objeto Múltiple No Regulada (SOFOM-NR)</t>
  </si>
  <si>
    <t>Gobiernos Extranjeros</t>
  </si>
  <si>
    <t>48</t>
  </si>
  <si>
    <t>Sociedades Operadoras de Sociedades de Inversión</t>
  </si>
  <si>
    <t>50</t>
  </si>
  <si>
    <t>Organismos Internacionales</t>
  </si>
  <si>
    <t>51</t>
  </si>
  <si>
    <t>Bancos Centrales Extranjeros</t>
  </si>
  <si>
    <t>53</t>
  </si>
  <si>
    <t>Bancos Multilaterales de Desarrollo</t>
  </si>
  <si>
    <t>54</t>
  </si>
  <si>
    <t>Organismos Descentralizados de Estados y Municipios</t>
  </si>
  <si>
    <t>55</t>
  </si>
  <si>
    <t>Sociedades Financieras Populares (SOFIPOS)</t>
  </si>
  <si>
    <t>56</t>
  </si>
  <si>
    <t>Servicios Financieros Comunitarios (SOFICOS)</t>
  </si>
  <si>
    <t>Arrendadoras</t>
  </si>
  <si>
    <t>Empresas de Factoraje</t>
  </si>
  <si>
    <t>TY_HOLDING_CP</t>
  </si>
  <si>
    <t>Pertenece al Mismo Grupo Financiero</t>
  </si>
  <si>
    <t>No pertenece al mismo grupo financiero</t>
  </si>
  <si>
    <t>TY_IDENTIFIER</t>
  </si>
  <si>
    <t>Registro Federal de Contribuyentes en México (RFC)</t>
  </si>
  <si>
    <t>"Social Security" (SS) aplicable para Personas Físicas residentes en Estados Unidos. Si existe alguna clave similar para países de Europa, Asia o América del Sur, deberá indicarse el número de Seguridad Social respectivo.</t>
  </si>
  <si>
    <t>Tax Payer Identification Number (TIN) Equivalente al RFC en Mexico</t>
  </si>
  <si>
    <t>TY_INDIVIDUAL_CP</t>
  </si>
  <si>
    <t>Persona física sin actividad empresarial</t>
  </si>
  <si>
    <t>Persona Física Con Actividad Empresarial</t>
  </si>
  <si>
    <t>TY_MER_AS</t>
  </si>
  <si>
    <t>Sociedad Anónima</t>
  </si>
  <si>
    <t>Sociedad en Comandita por Acciones de Capital Variable</t>
  </si>
  <si>
    <t>Sociedad en Comandita Simple</t>
  </si>
  <si>
    <t>Sociedad en Comandita Simple de Capital Variable</t>
  </si>
  <si>
    <t>Sociedad en Nombre Colectivo</t>
  </si>
  <si>
    <t>Sociedad en Nombre Colectivo de Capital Variable</t>
  </si>
  <si>
    <t>Sociedad de Producción Rural de Responsabilidad Limitada</t>
  </si>
  <si>
    <t>Sociedad Anónima Promotora de Inversión de Capital Variable</t>
  </si>
  <si>
    <t>Sociedad Anónima Promotora de Inversión Bursátil de Capital Variable</t>
  </si>
  <si>
    <t>Asociación Civil</t>
  </si>
  <si>
    <t>Sociedad de Producción Rural de Responsabilidad Limitada de Capital Variable</t>
  </si>
  <si>
    <t>Sociedad Anónima de Capital Variable</t>
  </si>
  <si>
    <t>Sociedad Anónima Bursátil</t>
  </si>
  <si>
    <t>Corporation</t>
  </si>
  <si>
    <t>Incorporated</t>
  </si>
  <si>
    <t>Limited Liability Company</t>
  </si>
  <si>
    <t>Professional Limited Liability Company</t>
  </si>
  <si>
    <t>Limited Partnership</t>
  </si>
  <si>
    <t>Limited Liability Partnership</t>
  </si>
  <si>
    <t>Limited Liability Limited Partnership</t>
  </si>
  <si>
    <t>Professional Corporations</t>
  </si>
  <si>
    <t>General Partnership</t>
  </si>
  <si>
    <t>Sociedad Anónima Bursátil de Capital Variable</t>
  </si>
  <si>
    <t>Sociedad Civil</t>
  </si>
  <si>
    <t>Sociedad Cooperativa</t>
  </si>
  <si>
    <t>Sociedad de Responsabilidad Limitada</t>
  </si>
  <si>
    <t>Sociedad de Responsabilidad Limitada de Capital Variable</t>
  </si>
  <si>
    <t>Sociedad en Comandita por Acciones</t>
  </si>
  <si>
    <t>99</t>
  </si>
  <si>
    <t>Cuando los derechos de la operación se hayan cedido</t>
  </si>
  <si>
    <t>EX</t>
  </si>
  <si>
    <t>Cuando la operación se haya terminado o extinguido anticipadamente</t>
  </si>
  <si>
    <t>VD</t>
  </si>
  <si>
    <t>Cuando la operación se haya vencido en la fecha pactada, y la forma de liquidación cambio de “entrega física” a “diferencias”</t>
  </si>
  <si>
    <t>VP</t>
  </si>
  <si>
    <t>Cuando la operación se haya vencido anticipadamente en forma parcial</t>
  </si>
  <si>
    <t>VT</t>
  </si>
  <si>
    <t>Cuando la operación se haya vencido anticipadamente en forma total</t>
  </si>
  <si>
    <t>TIP_CONTRATO</t>
  </si>
  <si>
    <t>El contrato marco cumple con los lineamientos y directrices mínimos contemplados dentro del "ISDA (International Swaps and Derivatives Association, Inc) Master Agreement de 1992" aceptado por las autoridades financieras de los E.U.A.</t>
  </si>
  <si>
    <t>El contrato marco cumple con los lineamientos y directrices mínimos contemplados dentro del "ISDA (International Swaps and Derivatives Association, Inc) Master Agreement de 2002" aceptado por las autoridades financieras de los E.U.A.</t>
  </si>
  <si>
    <t>El contrato marco cumple con los lineamientos y directrices mínimos contemplados dentro del "ISDA Master Agreement de versiones distintas a 1992 y 2002" aceptado por las autoridades financieras de los E.U.A.</t>
  </si>
  <si>
    <t>El contrato marco cumple con los lineamientos y directrices mínimos contemplados dentro del "ISDA (International Swaps and Derivatives Association, Inc) Master Agreement" aceptado por las autoridades financieras de México.</t>
  </si>
  <si>
    <t>El contrato marco cumple con los lineamientos y directrices mínimos contemplados dentro del "Master Power Purchase and Sale Agreement" aceptado por las autoridades financieras de los Estados Unidos de Norteamérica (E.U.A.).</t>
  </si>
  <si>
    <t>El contrato marco cumple con los lineamientos y directices mínimas contemplados dentro del "International ForEx Master Agreement" aceptado por las autoridades financieras de los E.U.A..</t>
  </si>
  <si>
    <t>El contrato marco cumple con los lineamientos y directices mínimas contemplados dentro del "European Master Agreement" aceptado por las autoridades financieras de los países que integran la Unión Europea.</t>
  </si>
  <si>
    <t>El contrato marco NO cumple con los lineamientos y directices contemplados por alguno de los contratos anteriores.</t>
  </si>
  <si>
    <t>Fecha concertacion</t>
  </si>
  <si>
    <t>FE_CON_OPE</t>
  </si>
  <si>
    <t>Clave cliente</t>
  </si>
  <si>
    <t>Posicion operacion</t>
  </si>
  <si>
    <t>Clave pizarra</t>
  </si>
  <si>
    <t>Objetivo Operacion</t>
  </si>
  <si>
    <t>CONT</t>
  </si>
  <si>
    <t>NU_ID</t>
  </si>
  <si>
    <t>NUM_ID_OP_SBY</t>
  </si>
  <si>
    <t>13,6</t>
  </si>
  <si>
    <t>CONTRAT_VIG</t>
  </si>
  <si>
    <t>CONTRAPAR</t>
  </si>
  <si>
    <t>FE_INI_OPE</t>
  </si>
  <si>
    <t>FE_VEN_OPE</t>
  </si>
  <si>
    <t>DIASLIQ</t>
  </si>
  <si>
    <t>POSICION</t>
  </si>
  <si>
    <t>TIP_OPC</t>
  </si>
  <si>
    <t>OPC_LIQ</t>
  </si>
  <si>
    <t>IMPBASE</t>
  </si>
  <si>
    <t>MDAIMP</t>
  </si>
  <si>
    <t>MDALIQUIDA</t>
  </si>
  <si>
    <t>QUANTO</t>
  </si>
  <si>
    <t>TC_QUANT</t>
  </si>
  <si>
    <t>PRIMA</t>
  </si>
  <si>
    <t>MDAPRIMA</t>
  </si>
  <si>
    <t>FE_PRIM</t>
  </si>
  <si>
    <t>INT_EJE</t>
  </si>
  <si>
    <t>INT_MON</t>
  </si>
  <si>
    <t>NU_TO_EJE</t>
  </si>
  <si>
    <t>NUMSUBY</t>
  </si>
  <si>
    <t>MDASUBY</t>
  </si>
  <si>
    <t>PRECIOEJER</t>
  </si>
  <si>
    <t>MDAPRECIO</t>
  </si>
  <si>
    <t>PRE_SUP</t>
  </si>
  <si>
    <t>PRE_INF</t>
  </si>
  <si>
    <t>MOD_PRE</t>
  </si>
  <si>
    <t>REV_OP</t>
  </si>
  <si>
    <t>DELTA</t>
  </si>
  <si>
    <t>FE_LIQ</t>
  </si>
  <si>
    <t>NUM_TIT_OP</t>
  </si>
  <si>
    <t>NUM_ID_OPC</t>
  </si>
  <si>
    <t>FILE_OPTO_I.csv</t>
  </si>
  <si>
    <t>Formulario OPTO I</t>
  </si>
  <si>
    <t>Precio unitario o tasa de Ejercicio</t>
  </si>
  <si>
    <t>Importe de la prima</t>
  </si>
  <si>
    <t>Moneda Prima</t>
  </si>
  <si>
    <t>Numero ID Operación</t>
  </si>
  <si>
    <t>Operador operación</t>
  </si>
  <si>
    <t>Camara de Compensación</t>
  </si>
  <si>
    <t>Valor Delta</t>
  </si>
  <si>
    <t>Modifica</t>
  </si>
  <si>
    <t>OPTO - SI</t>
  </si>
  <si>
    <t>3,2</t>
  </si>
  <si>
    <t>FECVEN_CA</t>
  </si>
  <si>
    <t>FECLIQ_CA</t>
  </si>
  <si>
    <t>LIQUIDA_CA</t>
  </si>
  <si>
    <t>VEN_PAR</t>
  </si>
  <si>
    <t>PAG_VEN_A</t>
  </si>
  <si>
    <t>OPTO-SIV</t>
  </si>
  <si>
    <t>OPTO-SII</t>
  </si>
  <si>
    <t>Oficina que realiza la operación</t>
  </si>
  <si>
    <t>Clave de la contraparte</t>
  </si>
  <si>
    <t>Fecha de concertación</t>
  </si>
  <si>
    <t>Fecha de inicio del período de ejercicio</t>
  </si>
  <si>
    <t>Fecha de término del período de ejercicio, o fecha única de ejercicio</t>
  </si>
  <si>
    <t>Número de días hábiles para liquidar la operación</t>
  </si>
  <si>
    <t>Posición en la operación</t>
  </si>
  <si>
    <t>Tipo de opción</t>
  </si>
  <si>
    <t>Modalidad de liquidación al ejercicio</t>
  </si>
  <si>
    <t>Objetivo de la operación</t>
  </si>
  <si>
    <t>Importe base o de referencia</t>
  </si>
  <si>
    <t>Moneda del importe base o de referencia</t>
  </si>
  <si>
    <t>Forma de liquidación</t>
  </si>
  <si>
    <t>Moneda de liquidación</t>
  </si>
  <si>
    <t>Existencia de tipo de cambio forward “quanto”</t>
  </si>
  <si>
    <t>Tipo de cambio forward “quanto”</t>
  </si>
  <si>
    <t>Importe de la prima (total)</t>
  </si>
  <si>
    <t>Moneda en que esta expresada la prima</t>
  </si>
  <si>
    <t>Fecha de pago/cobro de la prima</t>
  </si>
  <si>
    <t>La operación es parte de una "operación estructurada" o “paquete".</t>
  </si>
  <si>
    <t>Clave o folio con el que se identifica al conjunto de operaciones que forman parte de una "operación estructurada" o “paquete"</t>
  </si>
  <si>
    <t>Número consecutivo para identificar a la operación que forma parte de una "operación estructurada" o “paquete"</t>
  </si>
  <si>
    <t>Tipo de subyacente</t>
  </si>
  <si>
    <t>Clave del valor (deuda o acción), indice accionario, tasa de interés o tipo de cambio</t>
  </si>
  <si>
    <t>Intervalo o frecuencia de los posibles ejercicios</t>
  </si>
  <si>
    <t>Intervalo o frecuencia de monitoreo del precio del subyacente</t>
  </si>
  <si>
    <t>Número total de posibles ejercicios</t>
  </si>
  <si>
    <t>Número de identificación de la operación derivada subyacente</t>
  </si>
  <si>
    <t>Número de unidades del subyacente</t>
  </si>
  <si>
    <t>Moneda del subyacente</t>
  </si>
  <si>
    <t>Precio unitario o tasa de ejercicio</t>
  </si>
  <si>
    <t>Moneda del precio unitario o tasa de ejercicio</t>
  </si>
  <si>
    <t>Precio de la barrera superior</t>
  </si>
  <si>
    <t>Precio de la barrera inferior</t>
  </si>
  <si>
    <t>Modalidad del precio barrera</t>
  </si>
  <si>
    <t>Tipo de producto derivado</t>
  </si>
  <si>
    <t>Revisión de los "parámetros principales"</t>
  </si>
  <si>
    <t>Plataforma de negociación</t>
  </si>
  <si>
    <t>Socio liquidador de la operación</t>
  </si>
  <si>
    <t>Cámara de compensación o repositorio de derivados</t>
  </si>
  <si>
    <t>Agente de cálculo y liquidación</t>
  </si>
  <si>
    <t>Clave de confirmación de la operación</t>
  </si>
  <si>
    <t>Valor del parámetro delta</t>
  </si>
  <si>
    <t>Número de identificación de la operación</t>
  </si>
  <si>
    <t>Fecha de vencimiento anticipado</t>
  </si>
  <si>
    <t>Fecha de liquidación anticipada</t>
  </si>
  <si>
    <t>Forma de liquidación anticipada</t>
  </si>
  <si>
    <t>Importe por el vencimiento anticipado o cesión de derechos</t>
  </si>
  <si>
    <t>Moneda del importe por vencimiento anticipado o cesión de derechos</t>
  </si>
  <si>
    <t>Importe por vencimiento anticipado parcial</t>
  </si>
  <si>
    <t>La institución pagó o recibió el importe del vencimiento anticipado o cesión de derechos</t>
  </si>
  <si>
    <t>Motivo del vencimiento anticipado o cesión de derechos</t>
  </si>
  <si>
    <t>Indicador del vencimiento anticipado o cesión de derechos</t>
  </si>
  <si>
    <t>Número de identificacion de la nueva operación</t>
  </si>
  <si>
    <t>FILE_OPTO_III.csv</t>
  </si>
  <si>
    <t>Formulario OPTO III</t>
  </si>
  <si>
    <t>OPTO-SIII</t>
  </si>
  <si>
    <t>Origen de la operación</t>
  </si>
  <si>
    <t>Clave del cliente</t>
  </si>
  <si>
    <t>Fecha de concertación de la colocación o adquisición</t>
  </si>
  <si>
    <t>Fecha de liquidación</t>
  </si>
  <si>
    <t>Clave del título opcional</t>
  </si>
  <si>
    <t>Número de títulos opcionales colocados o adquiridos</t>
  </si>
  <si>
    <t>Número de identificacion de la opción de cobertura</t>
  </si>
  <si>
    <t>LAYOUT RELATIVO A LAS OPERACIONES DE OPCIONES (Paquetes de opciones "Caplets, Florlets")</t>
  </si>
  <si>
    <t>LAYOUT DE DATOS OPTO PAQUETES DE OPCIONES</t>
  </si>
  <si>
    <t>Formulario COMPLEMENTO DE LA SECCION II</t>
  </si>
  <si>
    <t>LAYOUT DE DATOS OPTO MERCADOS RECONOCIDOS</t>
  </si>
  <si>
    <t>LAYOUT DE DATOS OPTO MERCADOS NO RECONOCIDOS</t>
  </si>
  <si>
    <t>LAYOUT DE DATOS OPCIONES "WARRANTS"</t>
  </si>
  <si>
    <t>NU_PE_EJE</t>
  </si>
  <si>
    <t>IMPBA_CO</t>
  </si>
  <si>
    <t>FEINOP_CO</t>
  </si>
  <si>
    <t>FEVEOP_CO</t>
  </si>
  <si>
    <t>SUBY_CO</t>
  </si>
  <si>
    <t>CVE_TIT_C</t>
  </si>
  <si>
    <t>PRECIOEJER_C</t>
  </si>
  <si>
    <t>OPTO-SII-COMP</t>
  </si>
  <si>
    <t>Número del periodo de ejercicio</t>
  </si>
  <si>
    <t>Importe base aplicable al periodo de ejercicio</t>
  </si>
  <si>
    <t>Fecha de inicio del periodo de ejercicio</t>
  </si>
  <si>
    <t>Fecha de término del período de ejercicio</t>
  </si>
  <si>
    <t>Clave del valor, indice accionario, tasa de interés o tipo de cambio</t>
  </si>
  <si>
    <t>FILE_OPTO_II_COM.csv</t>
  </si>
  <si>
    <t>LAYOUT RELATIVO A LAS OPERACIONES DE OPTO SI y SV (Mercados Reconocidos)</t>
  </si>
  <si>
    <t>FE_EJE</t>
  </si>
  <si>
    <t>IMP_EJE_OP</t>
  </si>
  <si>
    <t>MDA_EJE_OP</t>
  </si>
  <si>
    <t>OPTO - SI-SV</t>
  </si>
  <si>
    <t>Fecha de ejercicio de la operación</t>
  </si>
  <si>
    <t>Importe ejercido en la operación</t>
  </si>
  <si>
    <t>Moneda del importe ejercido en la operación</t>
  </si>
  <si>
    <t>OPTO-SV</t>
  </si>
  <si>
    <t>OPTO-SII-SIV-SV</t>
  </si>
  <si>
    <t>OPTO-SII-SV</t>
  </si>
  <si>
    <t>LAYOUT RELATIVO A LAS OPERACIONES DE OPCIONES SII, SIV Y SV (Mercados No Reconocidos)</t>
  </si>
  <si>
    <t>OPTO-SIII-SV</t>
  </si>
  <si>
    <t>OPTO-SIII-SIV-SV</t>
  </si>
  <si>
    <t>LAYOUT RELATIVO A LAS OPERACIONES DE OPCIONES SIII, SIV Y SV (Títulos Opcionales)</t>
  </si>
  <si>
    <t>FILE_OPTO_II.csv</t>
  </si>
  <si>
    <t>Formulario Opciones en mercados no reconocidos</t>
  </si>
  <si>
    <t>PAQ_OPC</t>
  </si>
  <si>
    <t>VOL_IMPLIC</t>
  </si>
  <si>
    <t>DELTA_OPC</t>
  </si>
  <si>
    <t>PRI_ACT</t>
  </si>
  <si>
    <t>ID_GAR_VIG</t>
  </si>
  <si>
    <t xml:space="preserve">Posición por pizarra </t>
  </si>
  <si>
    <t>Clave de pizarra</t>
  </si>
  <si>
    <t>Socio liquidador</t>
  </si>
  <si>
    <t>Número de contratos vigentes (abiertos) en posición.</t>
  </si>
  <si>
    <t>La posición es parte de un "paquete", conforme a la c.u.b. o la c.u.c.b.</t>
  </si>
  <si>
    <t>Valor de la volatilidad implícita</t>
  </si>
  <si>
    <t>Importe actualizado (mercado) de la prima (total)</t>
  </si>
  <si>
    <t>Clave o folio para identificar el contrato que garantiza la posición</t>
  </si>
  <si>
    <t>5,2</t>
  </si>
  <si>
    <t>OPTO-SVI</t>
  </si>
  <si>
    <t>FILE_OPTO_MEREC_CONVO.csv</t>
  </si>
  <si>
    <t>LAYOUT DE DATOS Convalidacion OPCIONES Mercados Reconocidos</t>
  </si>
  <si>
    <t>Formulario OPCIONES Convalidacion Mercados Reconocidos</t>
  </si>
  <si>
    <t>LAYOUT RELATIVO A LAS OPERACIONES DE OPCIONES Convalidacion Mercados Reconocidos</t>
  </si>
  <si>
    <t>ID_PAQ</t>
  </si>
  <si>
    <t>CONSEC_PAQ</t>
  </si>
  <si>
    <t>La operación es parte de un "paquete", conforme a la c.u.b. o la c.u.c.b.</t>
  </si>
  <si>
    <t>Clave o folio para identificar el contrato que garantiza la operación</t>
  </si>
  <si>
    <t>Clave o folio del conjunto de operaciones que forman parte de un " paquete "</t>
  </si>
  <si>
    <t>Número consecutivo para identificar a la operación que forma parte de un " paquete"</t>
  </si>
  <si>
    <t>OPTO-SVII</t>
  </si>
  <si>
    <t>FILE_OPTO_CONVO.csv</t>
  </si>
  <si>
    <t>FILE_OPTO_VIII_CONVO.csv</t>
  </si>
  <si>
    <t>LAYOUT DE DATOS OPCIONES CON TITULOS OPCIONALES</t>
  </si>
  <si>
    <t>Formulario opciones con títulos opcionales</t>
  </si>
  <si>
    <t>LAYOUT RELATIVO A LAS OPERACIONES DE OPCIONES (Mercados no reconocidos)</t>
  </si>
  <si>
    <t>LAYOUT DE DATOS OPCIONES en mercados no reconocidos</t>
  </si>
  <si>
    <t>Formulario opciones en mercados no reconocidos</t>
  </si>
  <si>
    <t>LAYOUT RELATIVO A LAS OPERACIONES DE OPCIONES (Warrants)</t>
  </si>
  <si>
    <t>NUM_TIT_PV</t>
  </si>
  <si>
    <t>VAL_MDO</t>
  </si>
  <si>
    <t>Número de títulos opcionales en posición</t>
  </si>
  <si>
    <t>Valor de mercado de los títulos opcionales en posición</t>
  </si>
  <si>
    <t>Importe actualizado de la prima (total)</t>
  </si>
  <si>
    <t>ANEXO AB</t>
  </si>
  <si>
    <t>076000</t>
  </si>
  <si>
    <t>NO APLICA (LA OPERACIÓN SE CONCERTÓ SIN LA PARTICIPACIÓN DE OPERADORES O FACILITADORES)</t>
  </si>
  <si>
    <t>IXE BANCO, S.A., INSTITUCIÓN DE BANCA MÚLTIPLE, IXE GRUPO FINANCIERO</t>
  </si>
  <si>
    <t>BANCO JP MORGAN, S.A., INSTITUCIÓN DE BANCA MÚLTIPLE, JP MORGAN GRUPO FINANCIERO</t>
  </si>
  <si>
    <t>BANCO CREDIT SUISSE (MÉXICO), S.A., INSTITUCIÓN DE BANCA MÚLTIPLE, GRUPO FINANCIERO CREDIT SUISSE (MÉXICO)</t>
  </si>
  <si>
    <t>INVERSORA BURSÁTIL, CASA DE BOLSA, S.A. DE C.V., GRUPO FINANCIERO INBURSA</t>
  </si>
  <si>
    <t>RAND FINANCIAL SERVICES, INC.</t>
  </si>
  <si>
    <t>CALYON FINANCIAL INC.</t>
  </si>
  <si>
    <t>076057</t>
  </si>
  <si>
    <t>COHEN Y ASOCIADOS, S.A. DE C.V.</t>
  </si>
  <si>
    <t>076058</t>
  </si>
  <si>
    <t>EWT, LLC</t>
  </si>
  <si>
    <t>DERFIN, S.A. DE C.V.</t>
  </si>
  <si>
    <t>076008</t>
  </si>
  <si>
    <t>STOCK &amp; PRICE, S.A. DE C.V.</t>
  </si>
  <si>
    <t>076009</t>
  </si>
  <si>
    <t>OPERADORA DE DERIVADOS SANTANDER, S.A. DE C.V.</t>
  </si>
  <si>
    <t>SCOTIA INVERLAT DERIVADOS, S.A. DE C.V.</t>
  </si>
  <si>
    <t>GARCÍA MACÍAS, ARANEDA Y ASOCIADOS GAMAA DERIVADOS, S.A. DE C.V.</t>
  </si>
  <si>
    <t>MULTIVALORES CASA DE BOLSA, S.A. DE C.V., MULTIVALORES GRUPO FINANCIERO</t>
  </si>
  <si>
    <t>CASA DE BOLSA BANORTE, S.A. DE C.V., GRUPO FINANCIERO BANORTE</t>
  </si>
  <si>
    <t>GRUPO ESPECIALIZADO EN FUTUROS Y OTROS DERIVADOS, S.A. DE C.V.</t>
  </si>
  <si>
    <t>VALORES MEXICANOS CASA DE BOLSA, S.A. DE C.V.</t>
  </si>
  <si>
    <t>BANCO INBURSA, S.A. INSTITUCIÓN DE BANCA MÚLTIPLE, GRUPO FINANCIERO INBURSA</t>
  </si>
  <si>
    <t>076032</t>
  </si>
  <si>
    <t>BANCO NACIONAL DE COMERCIO EXTERIOR, S.N.C.</t>
  </si>
  <si>
    <t>MONEX CASA DE BOLSA, S.A. DE C.V., MONEX GRUPO FINANCIERO</t>
  </si>
  <si>
    <t>ACCIONES Y VALORES BANAMEX, S.A. DE C.V., CASA DE BOLSA, INTEGRANTE DEL GRUPO FINANCIERO BANAMEX</t>
  </si>
  <si>
    <t>GBM GRUPO BURSÁTIL MEXICANO, S.A.B. DE C.V., CASA DE BOLSA</t>
  </si>
  <si>
    <t>VECTOR CASA DE BOLSA, S.A. DE C.V.</t>
  </si>
  <si>
    <t>MERRIL LYNCH MÉXICO, S.A. DE C.V., CASA DE BOLSA</t>
  </si>
  <si>
    <t>INVEX CASA DE BOLSA, S.A. DE C.V., INVEX GRUPO FINANCIERO</t>
  </si>
  <si>
    <t>BANCO INVEX, S.A., INSTITUCIÓN DE BANCA MÚLTIPLE, INVEX GRUPO FINANCIERO</t>
  </si>
  <si>
    <t>CASA DE BOLSA FINAMEX, S.A.B. DE C.V.</t>
  </si>
  <si>
    <t>INTERACCIONES CASA DE BOLSA, S.A. DE C.V., GRUPO FINANCIERO INTERACCIONES</t>
  </si>
  <si>
    <t>ACTINVER CASA DE BOLSA, S.A. DE C.V.</t>
  </si>
  <si>
    <t>BARCLAYS BANK MÉXICO, S.A., INSITUCIÓN DE BANCA MÚLTIPLE, GRUPO FINANCIERO BARCLAYS MÉXICO</t>
  </si>
  <si>
    <t>076048</t>
  </si>
  <si>
    <t>INTERCAM DERIVADOS, S.A. DE C.V.</t>
  </si>
  <si>
    <t>CASA DE BOLSA ARKA, S.A. DE C.V.</t>
  </si>
  <si>
    <t>UBS CASA DE BOLSA, S.A. DE C.V.</t>
  </si>
  <si>
    <t>OPER_FACILIT</t>
  </si>
  <si>
    <t>Paquete de opciones de compra de tasas de interés, con fechas de vencimiento sucesivas ("Caps")</t>
  </si>
  <si>
    <t>Paquete de opciones de venta de tasas de interés, con fechas de vencimiento sucesivas ("Floors")</t>
  </si>
  <si>
    <t>Paquete de opciones de compra sobre subyacentes distintos a tasas de interés</t>
  </si>
  <si>
    <t>Paquete de opciones de venta sobre subyacentes distintos a tasas de interés</t>
  </si>
  <si>
    <t>Paquete de opciones binarias o digitales (conocidos como "Corridor")</t>
  </si>
  <si>
    <t>Swaption (opción cuyo subyacente es un contrato de intercambio de flujos y rendimientos o "Swap")</t>
  </si>
  <si>
    <t>Opciones sobre forwards (contrato de opción cuyo subyacente es un contrato adelantado o "forward")</t>
  </si>
  <si>
    <t>Opción de una barrera (La opción se activa o extingue, si el precio de mercado del subyacentes es igual o supera un nivel predeterminado)</t>
  </si>
  <si>
    <t>Opción de doble barrera (La opción se activa o extingue, si el precio de mercado del subyacentes rebasa o no alguno de los 2 niveles predeterminados)</t>
  </si>
  <si>
    <t>Opción tipo "Lookback maxmin" (El precio de ejercicio es el mayor o menor observado durante la vigencia de la operación)</t>
  </si>
  <si>
    <t>Opción tipo "Lookback avg" (El precio de ejercicio resulta del promedio de los precios observados durante la vigencia de la operación)</t>
  </si>
  <si>
    <t>Opción "binaria" o "digital" tipo "No Touch" (El comprador recibe el importe fijo, si el precio de mercado del subyacente no toca o supera un nivel predeterminado)</t>
  </si>
  <si>
    <t>Opción "binaria" o "digital" tipo "One Touch" (El comprador recibe el importe fijo, si el precio de mercado del subyacente toca o supera un nivel predeterminado)</t>
  </si>
  <si>
    <t>Opción "binaria" o "digital" tipo "Double No Touch" (El comprador recibe el importe fijo, si el precio de mercado del subyacente no toca o supera ninguno de los 2 niveles predeterminado)</t>
  </si>
  <si>
    <t>Opción "binaria" o "digital" tipo "Double One Touch" (El comprador recibe el importe fijo, si el precio de mercado del subyacente toca o supera alguno de los 2 niveles predeterminado)</t>
  </si>
  <si>
    <t>Opción sobre una canasta de acciones o índices accionarios, con ponderadores para cada una de dichas acciones o índices.</t>
  </si>
  <si>
    <t>Opción Americana con Pago Diferido - "Deffered Payment American Option" (Opción tipo americana, cuyo valor intrínseco se liquida hasta la fecha de vencimiento)</t>
  </si>
  <si>
    <t>Opción tipo Desempeño Comparativo - "Relative Performance Option" (Opción cuyo pago esta en función de comparar el valor de dos acciones o índices accionarios, o dos conjuntos de éstos)</t>
  </si>
  <si>
    <t>Contrato de opciones tipo "Straddle" (Un call y un put con el mismo precio de ejercicio y la misma fecha de vencimiento)</t>
  </si>
  <si>
    <t>Contrato de opciones tipo "Strangle" (Un call y un put con la misma fecha de vencimiento y el precio de ejercicio del put es menor al del call)</t>
  </si>
  <si>
    <t>Contrato de opciones tipo "Bull spread" o "Call spread" (la compra de un call con cierto precio de ejercicio y la venta de otro call con un precio de ejercicio diferente, con la misma fecha de vencimiento)</t>
  </si>
  <si>
    <t>Contrato de opciones tipo "Bear spread" o "Put spread" (la venta de un put con cierto precio de ejercicio y la compra de otro put con un precio de ejercicio diferente, con la misma fecha de vencimiento)</t>
  </si>
  <si>
    <t>Engrapado de futuros de tasas de interés (conjunto de futuros de tasas de interés con fechas de vencimiento sucesivas)</t>
  </si>
  <si>
    <t>Engrapado de futuros de divisas (conjunto de futuros de divisas con fechas de vencimiento sucesivas)</t>
  </si>
  <si>
    <t>Paquete de contratos adelantados sobre tasas de interés (contrato sobre un conjunto de "Forwards Rate Agreements")</t>
  </si>
  <si>
    <t>Paquete de contratos adelantados sobre subyacentes distintos a tasas de interés</t>
  </si>
  <si>
    <t>Derivado de Rendimiento Total sobre uno o más activos de referencia ("Total Return Swap").</t>
  </si>
  <si>
    <t>Contrato estructurado, distinto a créditos y títulos de deuda, en el cual existan opciones implícitas</t>
  </si>
  <si>
    <t>Crédito o préstamo estructurado, en el cual existan opciones implícitas</t>
  </si>
  <si>
    <t>Título o nota estructurada, en el cual existan opciones implícitas</t>
  </si>
  <si>
    <t>Contrato estructurado, distinto a créditos y títulos de deuda, en el cual existan contratos adelantados implícitos (forwards)</t>
  </si>
  <si>
    <t>Contrato estructurado, distinto a créditos y títulos de deuda, en el cual existan swaps implícitos.</t>
  </si>
  <si>
    <t>Crédito o préstamo estructurado, en el cual existan contratos adelantados implícitos (forwards)</t>
  </si>
  <si>
    <t>Crédito o préstamo estructurado, en el cual existan swaps implícitos.</t>
  </si>
  <si>
    <t>Swap cambiario (dos contratos adelantados sobre divisas o un contrato adelantado sobre divisas y una operación cambiaria de contado)</t>
  </si>
  <si>
    <t>Título o nota estructurada, en el cual existan contratos adelantados implícitos (forwards)</t>
  </si>
  <si>
    <t>Título o nota estructurada, en el cual existan swaps implícitos.</t>
  </si>
  <si>
    <t>No aplica; es decir, la operación o contrato es convencional o simple (plain vainilla), y no esta comprendido en algún paquete o estrategia de este catálogo</t>
  </si>
  <si>
    <t>PAQ_ESTRUCT</t>
  </si>
  <si>
    <t>Warrants</t>
  </si>
  <si>
    <t xml:space="preserve">UTI </t>
  </si>
  <si>
    <t xml:space="preserve">UPI </t>
  </si>
  <si>
    <t xml:space="preserve">TEXTO </t>
  </si>
  <si>
    <t>LAYOUT RELATIVO A LAS OPERACIONES DE OPTO IX (Mercados Reconocidos)</t>
  </si>
  <si>
    <t xml:space="preserve">CÓDIGO LEI (DENOMINADO EN INGLÉS </t>
  </si>
  <si>
    <t>LEI</t>
  </si>
  <si>
    <t>OPTO-SIX</t>
  </si>
  <si>
    <t xml:space="preserve">CARÁCTER </t>
  </si>
  <si>
    <t xml:space="preserve">OFICINA </t>
  </si>
  <si>
    <t xml:space="preserve">OFICINA QUE REALIZA LA OPERACIÓN </t>
  </si>
  <si>
    <t xml:space="preserve">LEI </t>
  </si>
  <si>
    <t xml:space="preserve">CONTRAPAR </t>
  </si>
  <si>
    <t xml:space="preserve">CLAVE DE LA CONTRAPARTE </t>
  </si>
  <si>
    <t xml:space="preserve">FE_CON_OPE </t>
  </si>
  <si>
    <t xml:space="preserve">FECHA DE CONCERTACIÓN </t>
  </si>
  <si>
    <t xml:space="preserve"> </t>
  </si>
  <si>
    <t xml:space="preserve">FECHA </t>
  </si>
  <si>
    <t xml:space="preserve">AAAA/MM/DD </t>
  </si>
  <si>
    <t xml:space="preserve">FE_INI_OPE </t>
  </si>
  <si>
    <t xml:space="preserve">FECHA DE INICIO DEL PERÍODO DE EJERCICIO </t>
  </si>
  <si>
    <t xml:space="preserve">FE_VEN_OPE </t>
  </si>
  <si>
    <t xml:space="preserve">FECHA DE TÉRMINO DEL PERÍODO DE </t>
  </si>
  <si>
    <t xml:space="preserve">OTRO_DER </t>
  </si>
  <si>
    <t xml:space="preserve">OTRO TIPO DE DERIVADO VINCULADO AL CONJUNTO DE OPCIONES </t>
  </si>
  <si>
    <t xml:space="preserve">ANEXO AJ </t>
  </si>
  <si>
    <t xml:space="preserve">NUMÉRICO </t>
  </si>
  <si>
    <t xml:space="preserve">(2,0) </t>
  </si>
  <si>
    <t xml:space="preserve">DIASLIQ </t>
  </si>
  <si>
    <t xml:space="preserve">NÚMERO DE DÍAS HÁBILES PARA LIQUIDAR LA OPERACIÓN </t>
  </si>
  <si>
    <t xml:space="preserve">POSICION </t>
  </si>
  <si>
    <t xml:space="preserve">POSICIÓN EN LA OPERACIÓN </t>
  </si>
  <si>
    <t xml:space="preserve">TIP_OPC </t>
  </si>
  <si>
    <t xml:space="preserve">TIPO DE OPCIÓN </t>
  </si>
  <si>
    <t xml:space="preserve">TIP_OPC2 </t>
  </si>
  <si>
    <t xml:space="preserve">TIPO DE OPCIÓN DOS </t>
  </si>
  <si>
    <t xml:space="preserve">OPC_EJER </t>
  </si>
  <si>
    <t xml:space="preserve">MODALIDAD DEL EJERCICIO </t>
  </si>
  <si>
    <t xml:space="preserve">OBJETIVO </t>
  </si>
  <si>
    <t xml:space="preserve">OBJETIVO DE LA OPERACIÓN </t>
  </si>
  <si>
    <t xml:space="preserve">IMPBASE </t>
  </si>
  <si>
    <t xml:space="preserve">IMPORTE BASE O DE REFERENCIA </t>
  </si>
  <si>
    <t xml:space="preserve">(22,8) </t>
  </si>
  <si>
    <t xml:space="preserve">MDAIMP </t>
  </si>
  <si>
    <t xml:space="preserve">MONEDA DEL IMPORTE BASE O DE REFERENCIA </t>
  </si>
  <si>
    <t xml:space="preserve">(3,0) </t>
  </si>
  <si>
    <t xml:space="preserve">LIQUIDA </t>
  </si>
  <si>
    <t xml:space="preserve">FORMA DE LIQUIDACIÓN </t>
  </si>
  <si>
    <t xml:space="preserve">MDALIQUIDA </t>
  </si>
  <si>
    <t xml:space="preserve">MONEDA DE LIQUIDACIÓN </t>
  </si>
  <si>
    <t xml:space="preserve">FE_FLU </t>
  </si>
  <si>
    <t xml:space="preserve">FECHA DE INICIO DEL PRIMER FLUJO A RECIBIR O ENTREGAR </t>
  </si>
  <si>
    <t xml:space="preserve">FEN_FLU </t>
  </si>
  <si>
    <t xml:space="preserve">FECHA DE VENCIMIENTO DEL ÚLTIMO FLUJO A RECIBIR O ENTREGAR </t>
  </si>
  <si>
    <t xml:space="preserve">DET_FLUJO </t>
  </si>
  <si>
    <t xml:space="preserve">ACUERDO DE DÍAS INHÁBILES PARA CÁLCULO DE LOS FLUJOS </t>
  </si>
  <si>
    <t xml:space="preserve">CARACTER </t>
  </si>
  <si>
    <t xml:space="preserve">NU_FLUJO </t>
  </si>
  <si>
    <t xml:space="preserve">NÚMERO TOTAL DE FLUJOS A RECIBIR O ENTREGAR </t>
  </si>
  <si>
    <t>FILE_OPTO_IX.csv</t>
  </si>
  <si>
    <t>Formulario OPTO IX</t>
  </si>
  <si>
    <t>LAYOUT DE DATOS OPTO CON ESTRUCTURAS EXOTICAS</t>
  </si>
  <si>
    <t>UTI</t>
  </si>
  <si>
    <t>UNIQUE TRANSACTION IDENTIFIER</t>
  </si>
  <si>
    <t xml:space="preserve">INT_FLUJO </t>
  </si>
  <si>
    <t xml:space="preserve">INTERVALO DEL FLUJO A RECIBIR O ENTREGAR </t>
  </si>
  <si>
    <t xml:space="preserve">TASA_REF </t>
  </si>
  <si>
    <t xml:space="preserve">TASA DE REFERENCIA PARA DETERMINAR LA TASA VARIABLE A RECIBIR O ENTREGAR </t>
  </si>
  <si>
    <t xml:space="preserve">ANEXO AF </t>
  </si>
  <si>
    <t xml:space="preserve">REV_TREF </t>
  </si>
  <si>
    <t xml:space="preserve">INTERVALO DE REVISIÓN DE LA TASA DE </t>
  </si>
  <si>
    <t xml:space="preserve">ANIO </t>
  </si>
  <si>
    <t xml:space="preserve">AÑO COMERCIAL O AÑO NATURAL (RECIBIR O ENTREGAR) </t>
  </si>
  <si>
    <t xml:space="preserve">FE_REF </t>
  </si>
  <si>
    <t xml:space="preserve">MODALIDAD DE LA TASA DE REFERENCIA, </t>
  </si>
  <si>
    <t xml:space="preserve">FAC_TASA </t>
  </si>
  <si>
    <t xml:space="preserve">FACTOR APLICABLE A LA TASA DE </t>
  </si>
  <si>
    <t xml:space="preserve">(3,6) </t>
  </si>
  <si>
    <t xml:space="preserve">SPREAD </t>
  </si>
  <si>
    <t xml:space="preserve">PUNTOS PORCENTUALES APLICABLES A LA </t>
  </si>
  <si>
    <t xml:space="preserve">TASA_FIJA </t>
  </si>
  <si>
    <t xml:space="preserve">VALOR DE LA TASA FIJA A RECIBIR O ENTREGAR </t>
  </si>
  <si>
    <t xml:space="preserve">CAL_LIQ </t>
  </si>
  <si>
    <t xml:space="preserve">CÁLCULO DE LIQUIDACIÓN </t>
  </si>
  <si>
    <t xml:space="preserve">ANEXO AK </t>
  </si>
  <si>
    <t xml:space="preserve">CAL_LIQ2 </t>
  </si>
  <si>
    <t xml:space="preserve">CÁLCULO DE LIQUIDACIÓN DOS </t>
  </si>
  <si>
    <t xml:space="preserve">FAC_LIQ </t>
  </si>
  <si>
    <t xml:space="preserve">FACTOR APLICADO A LA FORMA DE LIQUIDACIÓN </t>
  </si>
  <si>
    <t xml:space="preserve">DIF </t>
  </si>
  <si>
    <t xml:space="preserve">DIFERENCIAL APLICADO A LA FORMA DE LIQUIDACIÓN </t>
  </si>
  <si>
    <t xml:space="preserve">FAC_LIQ2 </t>
  </si>
  <si>
    <t xml:space="preserve">FACTOR APLICADO A LA FORMA DE LIQUIDACIÓN DOS </t>
  </si>
  <si>
    <t xml:space="preserve">DIF2 </t>
  </si>
  <si>
    <t xml:space="preserve">DIFERENCIAL APLICADO A LA FORMA DE LIQUIDACIÓN DOS </t>
  </si>
  <si>
    <t xml:space="preserve">MMRIA_PAGO </t>
  </si>
  <si>
    <t xml:space="preserve">MEMORIA DEL PAGO </t>
  </si>
  <si>
    <t xml:space="preserve">CON_TERM </t>
  </si>
  <si>
    <t xml:space="preserve">CONDICIÓN DE TERMINACIÓN </t>
  </si>
  <si>
    <t xml:space="preserve">ANEXO AL </t>
  </si>
  <si>
    <t xml:space="preserve">N_CAN </t>
  </si>
  <si>
    <t xml:space="preserve">NÚMERO DE OCURRENCIAS DE LA </t>
  </si>
  <si>
    <t xml:space="preserve">QUANTO </t>
  </si>
  <si>
    <t xml:space="preserve">EXISTENCIA DE TIPO DE CAMBIO FORWARD “QUANTO” </t>
  </si>
  <si>
    <t xml:space="preserve">TC_QUANT </t>
  </si>
  <si>
    <t xml:space="preserve">TIPO DE CAMBIO FORWARD “QUANTO” </t>
  </si>
  <si>
    <t xml:space="preserve">(13,6) </t>
  </si>
  <si>
    <t xml:space="preserve">PRIMA </t>
  </si>
  <si>
    <t xml:space="preserve">IMPORTE DE LA PRIMA (TOTAL) </t>
  </si>
  <si>
    <t xml:space="preserve">MDAPRIMA </t>
  </si>
  <si>
    <t xml:space="preserve">MONEDA EN QUE ESTA EXPRESADA LA PRIMA </t>
  </si>
  <si>
    <t xml:space="preserve">FE_PRIM </t>
  </si>
  <si>
    <t xml:space="preserve">FECHA DE PAGO/COBRO DE LA PRIMA </t>
  </si>
  <si>
    <t xml:space="preserve">PAQ_EST </t>
  </si>
  <si>
    <t xml:space="preserve">LA OPERACIÓN ES PARTE DE UNA </t>
  </si>
  <si>
    <t xml:space="preserve">ID_PAQ_EST </t>
  </si>
  <si>
    <t xml:space="preserve">CLAVE O FOLIO CON EL QUE SE IDENTIFICA AL CONJUNTO DE OPERACIONES QUE </t>
  </si>
  <si>
    <t xml:space="preserve">CON_PAQ_EST </t>
  </si>
  <si>
    <t xml:space="preserve">NÚMERO CONSECUTIVO PARA </t>
  </si>
  <si>
    <t xml:space="preserve">TIP_DER </t>
  </si>
  <si>
    <t xml:space="preserve">TIPO DE PRODUCTO DERIVADO </t>
  </si>
  <si>
    <t xml:space="preserve">SUBY </t>
  </si>
  <si>
    <t xml:space="preserve">TIPO DE SUBYACENTE </t>
  </si>
  <si>
    <t xml:space="preserve">ANEXO F </t>
  </si>
  <si>
    <t xml:space="preserve">CVE_TIT </t>
  </si>
  <si>
    <t xml:space="preserve">CLAVE DEL VALOR (DEUDA O ACCIÓN), </t>
  </si>
  <si>
    <t xml:space="preserve">INT_EJE </t>
  </si>
  <si>
    <t xml:space="preserve">INTERVALO O FRECUENCIA DE LOS POSIBLES EJERCICIOS </t>
  </si>
  <si>
    <t xml:space="preserve">INT_MON </t>
  </si>
  <si>
    <t xml:space="preserve">INTERVALO O FRECUENCIA DE </t>
  </si>
  <si>
    <t xml:space="preserve">N_MONSUBY </t>
  </si>
  <si>
    <t xml:space="preserve">NÚMERO DE DÍAS UTILIZADO PARA LA </t>
  </si>
  <si>
    <t xml:space="preserve">NU_TO_EJE </t>
  </si>
  <si>
    <t xml:space="preserve">NÚMERO TOTAL DE POSIBLES EJERCICIOS </t>
  </si>
  <si>
    <t xml:space="preserve">NUM_ID_OP_SBY </t>
  </si>
  <si>
    <t xml:space="preserve">NÚMERO DE IDENTIFICACIÓN DE LA </t>
  </si>
  <si>
    <t xml:space="preserve">SECCION_SWP </t>
  </si>
  <si>
    <t xml:space="preserve">SECCIÓN DEL FORMULARIO SWAPS A LA QUE PERTENECE LA OPERACIÓN SWAP </t>
  </si>
  <si>
    <t xml:space="preserve">NUMSUBY </t>
  </si>
  <si>
    <t xml:space="preserve">NÚMERO DE UNIDADES DEL SUBYACENTE </t>
  </si>
  <si>
    <t xml:space="preserve">(9,0) </t>
  </si>
  <si>
    <t xml:space="preserve">MDASUBY </t>
  </si>
  <si>
    <t xml:space="preserve">MONEDA DEL SUBYACENTE </t>
  </si>
  <si>
    <t xml:space="preserve">PRECIOEJER </t>
  </si>
  <si>
    <t xml:space="preserve">PRECIO UNITARIO O TASA DE EJERCICIO </t>
  </si>
  <si>
    <t xml:space="preserve">(18,13) </t>
  </si>
  <si>
    <t xml:space="preserve">TIP_PRECIO </t>
  </si>
  <si>
    <t xml:space="preserve">FORMA EN LA QUE ESTÁ REPRESENTADO EL PRECIO DE EJERCICIO </t>
  </si>
  <si>
    <t xml:space="preserve">ANEXO AM </t>
  </si>
  <si>
    <t xml:space="preserve">MDAPRECIO </t>
  </si>
  <si>
    <t xml:space="preserve">MONEDA DEL PRECIO UNITARIO O TASA DE EJERCICIO </t>
  </si>
  <si>
    <t xml:space="preserve">CAL_EJERCICIO </t>
  </si>
  <si>
    <t xml:space="preserve">CÁLCULO PARA DERTERMINAR EL NIVEL </t>
  </si>
  <si>
    <t xml:space="preserve">ANEXO AN </t>
  </si>
  <si>
    <t xml:space="preserve">N_EJERCICIO </t>
  </si>
  <si>
    <t xml:space="preserve">PRECIOEJER2 </t>
  </si>
  <si>
    <t xml:space="preserve">PRECIO UNITARIO O TASA DE EJERCICIO DOS </t>
  </si>
  <si>
    <t xml:space="preserve">TIP_PRECIO2 </t>
  </si>
  <si>
    <t xml:space="preserve">FORMA EN LA QUE ESTÁ REPRESENTADO EL PRECIO DE EJERCICIO DOS </t>
  </si>
  <si>
    <t xml:space="preserve">MDAPRECIO2 </t>
  </si>
  <si>
    <t xml:space="preserve">CAL_EJERCICIO2 </t>
  </si>
  <si>
    <t xml:space="preserve">CÁLCULO PARA ESTABLECER EL EJERCICIO DE LA OPCIÓN DOS </t>
  </si>
  <si>
    <t xml:space="preserve">N_EJERCICIO2 </t>
  </si>
  <si>
    <t xml:space="preserve">PRECIO_INICIAL </t>
  </si>
  <si>
    <t xml:space="preserve">PRECIO INICIAL DEL SUBYACENTE </t>
  </si>
  <si>
    <t xml:space="preserve">PRE_SUP </t>
  </si>
  <si>
    <t xml:space="preserve">PRECIO DE LA BARRERA SUPERIOR </t>
  </si>
  <si>
    <t xml:space="preserve">PRE_INF </t>
  </si>
  <si>
    <t xml:space="preserve">PRECIO DE LA BARRERA INFERIOR </t>
  </si>
  <si>
    <t xml:space="preserve">MOD_PRE </t>
  </si>
  <si>
    <t xml:space="preserve">MODALIDAD DEL PRECIO BARRERA </t>
  </si>
  <si>
    <t xml:space="preserve">ANEXO AO </t>
  </si>
  <si>
    <t xml:space="preserve">INT_MON_BA </t>
  </si>
  <si>
    <t xml:space="preserve">INTERVALO O FRECUENCIA DEL </t>
  </si>
  <si>
    <t xml:space="preserve">FE_INI_VEN </t>
  </si>
  <si>
    <t xml:space="preserve">FECHA DE INICIO DEL PERIODO DE LA VENTANA DE LA BARRERA </t>
  </si>
  <si>
    <t xml:space="preserve">FE_VEN_VEN </t>
  </si>
  <si>
    <t xml:space="preserve">FECHA DE TÉRMINO DEL PERIODO DE LA VENTANA DE LA BARRERA </t>
  </si>
  <si>
    <t xml:space="preserve">PRE_SUP2 </t>
  </si>
  <si>
    <t xml:space="preserve">PRECIO DE LA BARRERA SUPERIOR DOS </t>
  </si>
  <si>
    <t xml:space="preserve">PRE_INF2 </t>
  </si>
  <si>
    <t xml:space="preserve">PRECIO DE LA BARRERA INFERIOR DOS </t>
  </si>
  <si>
    <t xml:space="preserve">MOD_PRE2 </t>
  </si>
  <si>
    <t xml:space="preserve">MODALIDAD DEL PRECIO BARRERA DOS </t>
  </si>
  <si>
    <t xml:space="preserve">INT_MON_BA2 </t>
  </si>
  <si>
    <t xml:space="preserve">FE_INI_VEN2 </t>
  </si>
  <si>
    <t xml:space="preserve">FECHA DE INICIO DEL PERIODO DE LA VENTANA DE LA BARRERA DOS </t>
  </si>
  <si>
    <t xml:space="preserve">FE_VEN_VEN2 </t>
  </si>
  <si>
    <t xml:space="preserve">FECHA DE TÉRMINO DEL PERIODO DE LA VENTANA DE LA BARRERA DOS </t>
  </si>
  <si>
    <t xml:space="preserve">REBATE </t>
  </si>
  <si>
    <t xml:space="preserve">CALLABLE </t>
  </si>
  <si>
    <t xml:space="preserve">REV_OP </t>
  </si>
  <si>
    <t xml:space="preserve">REVISIÓN DE LOS "PARÁMETROS PRINCIPALES" </t>
  </si>
  <si>
    <t xml:space="preserve">BROKER </t>
  </si>
  <si>
    <t xml:space="preserve">PLATAFORMA DE NEGOCIACIÓN </t>
  </si>
  <si>
    <t xml:space="preserve">SOCIO_LIQ </t>
  </si>
  <si>
    <t xml:space="preserve">SOCIO LIQUIDADOR DE LA OPERACIÓN </t>
  </si>
  <si>
    <t xml:space="preserve">CAM_COM </t>
  </si>
  <si>
    <t xml:space="preserve">CÁMARA DE COMPENSACIÓN </t>
  </si>
  <si>
    <t xml:space="preserve">REP_DEV </t>
  </si>
  <si>
    <t xml:space="preserve">REPOSITORIO DE DERIVADOS </t>
  </si>
  <si>
    <t xml:space="preserve">AG_CAL </t>
  </si>
  <si>
    <t xml:space="preserve">AGENTE DE CÁLCULO Y LIQUIDACIÓN </t>
  </si>
  <si>
    <t xml:space="preserve">IDENTIFICADOR ÚNICO DEL PRODUCTO </t>
  </si>
  <si>
    <t xml:space="preserve">DELTA </t>
  </si>
  <si>
    <t xml:space="preserve">VALOR DEL PARÁMETRO DELTA </t>
  </si>
  <si>
    <t xml:space="preserve">VOL </t>
  </si>
  <si>
    <t xml:space="preserve">VOLATILIDAD IMPLÍCITA </t>
  </si>
  <si>
    <t xml:space="preserve">ID_CONT_ANF </t>
  </si>
  <si>
    <t xml:space="preserve">IDENTIFICACIÓN DEL CONTRATO ANFITRIÓN </t>
  </si>
  <si>
    <t xml:space="preserve">NUM_ID_INST </t>
  </si>
  <si>
    <t xml:space="preserve">NUM_ID </t>
  </si>
  <si>
    <t xml:space="preserve">NÚMERO DE IDENTIFICACIÓN DE LA OPERACIÓN (UTI) </t>
  </si>
  <si>
    <t xml:space="preserve">NU_PE_EJE </t>
  </si>
  <si>
    <t xml:space="preserve">NÚMERO DEL PERIODO DE EJERCICIO </t>
  </si>
  <si>
    <t xml:space="preserve">IMPBA_CO </t>
  </si>
  <si>
    <t xml:space="preserve">IMPORTE BASE APLICABLE AL PERIODO DE EJERCICIO </t>
  </si>
  <si>
    <t xml:space="preserve">FEINOP_CO </t>
  </si>
  <si>
    <t xml:space="preserve">FEVEOP_CO </t>
  </si>
  <si>
    <t xml:space="preserve">FECHA DE TÉRMINO DEL PERÍODO DE EJERCICIO </t>
  </si>
  <si>
    <t xml:space="preserve">FACTOR APLICADO A LA LIQUIDACIÓN </t>
  </si>
  <si>
    <t xml:space="preserve">SUBY_CO </t>
  </si>
  <si>
    <t xml:space="preserve">CVE_TIT_C </t>
  </si>
  <si>
    <t xml:space="preserve">PRECIOEJER_C </t>
  </si>
  <si>
    <t xml:space="preserve">PRECIOEJER_C2 </t>
  </si>
  <si>
    <t xml:space="preserve">REBATE_C </t>
  </si>
  <si>
    <t xml:space="preserve">FECHA DE INICIO DEL FLUJO A RECIBIR O ENTREGAR </t>
  </si>
  <si>
    <t xml:space="preserve">FECHA DE VENCIMIENTO DEL FLUJO A RECIBIR O ENTREGAR </t>
  </si>
  <si>
    <t xml:space="preserve">INST_LEI </t>
  </si>
  <si>
    <t xml:space="preserve">IMPORTE DE LA PRIMA </t>
  </si>
  <si>
    <t>OPTO SIX COMP</t>
  </si>
  <si>
    <t xml:space="preserve">FE_CORTE </t>
  </si>
  <si>
    <t xml:space="preserve">FECHA DE CORTE </t>
  </si>
  <si>
    <t xml:space="preserve">NÚMERO DE IDENTIFICACIÓN DE LA OPERACIÓN </t>
  </si>
  <si>
    <t xml:space="preserve">OBJ_OPE </t>
  </si>
  <si>
    <t xml:space="preserve">NATURALEZA </t>
  </si>
  <si>
    <t xml:space="preserve">POSICIÓN DE LA OPERACIÓN  </t>
  </si>
  <si>
    <t xml:space="preserve">VOL_IMPLIC </t>
  </si>
  <si>
    <t xml:space="preserve">VALOR DE LA VOLATILIDAD IMPLÍCITA </t>
  </si>
  <si>
    <t xml:space="preserve">DELTA_OPC </t>
  </si>
  <si>
    <t xml:space="preserve">MDADELTA </t>
  </si>
  <si>
    <t xml:space="preserve">MONEDA DEL PARÁMETRO DELTA </t>
  </si>
  <si>
    <t xml:space="preserve">GAMMA_OPC </t>
  </si>
  <si>
    <t xml:space="preserve">VALOR DEL PARÁMETRO GAMMA </t>
  </si>
  <si>
    <t xml:space="preserve">VEGA_OPC </t>
  </si>
  <si>
    <t xml:space="preserve">VALOR DEL PARÁMETRO VEGA </t>
  </si>
  <si>
    <t xml:space="preserve">RHO </t>
  </si>
  <si>
    <t xml:space="preserve">VALOR DEL PARÁMETRO RHO  </t>
  </si>
  <si>
    <t xml:space="preserve">TASA_RHO </t>
  </si>
  <si>
    <t xml:space="preserve">TASA DE REFERENCIA PARA DETERMINAR LA TASA RHO DE LA OPERACIÓN </t>
  </si>
  <si>
    <t xml:space="preserve">ANEXO AF o ANEXO AT </t>
  </si>
  <si>
    <t xml:space="preserve">PHI </t>
  </si>
  <si>
    <t xml:space="preserve">VALOR DEL PARÁMETRO RHO DOS </t>
  </si>
  <si>
    <t xml:space="preserve">TASA_PHI </t>
  </si>
  <si>
    <t xml:space="preserve">TASA DE REFERENCIA PARA DETERMINAR UNA SEGUNDA SENSIBILIDAD </t>
  </si>
  <si>
    <t xml:space="preserve">RHO_COL </t>
  </si>
  <si>
    <t xml:space="preserve">VALOR DEL PARÁMETRO RHO TRES </t>
  </si>
  <si>
    <t xml:space="preserve">TASA_RHO_COL </t>
  </si>
  <si>
    <t xml:space="preserve">TASA DE REFERENCIA PARA DETERMINAR UNA TERCERA SENSIBILIDAD </t>
  </si>
  <si>
    <t xml:space="preserve">PRECIO_CORTE </t>
  </si>
  <si>
    <t xml:space="preserve">PRECIO DEL SUBYACENTE </t>
  </si>
  <si>
    <t xml:space="preserve">SEN_COMP </t>
  </si>
  <si>
    <t xml:space="preserve">COMPLEMENTO DE CURVAS DE </t>
  </si>
  <si>
    <t xml:space="preserve">CURVA_REF </t>
  </si>
  <si>
    <t xml:space="preserve">CURVA O SUPERFICIE DE REFERENCIA DE SENBILIDAD </t>
  </si>
  <si>
    <t xml:space="preserve">ANEXO AT </t>
  </si>
  <si>
    <t xml:space="preserve">CURVA_REF2 </t>
  </si>
  <si>
    <t xml:space="preserve">CURVA O SUPERFICIE DE REFERENCIA DE SENSIBILIDAD DOS </t>
  </si>
  <si>
    <t xml:space="preserve">CURVA_REF3 </t>
  </si>
  <si>
    <t xml:space="preserve">CURVA O SUPERFICIE DE REFERENCIA DE SENSIBILIDAD TRES </t>
  </si>
  <si>
    <t xml:space="preserve">PAQ_OPC </t>
  </si>
  <si>
    <t xml:space="preserve">LA OPERACIÓN ES PARTE DE UN </t>
  </si>
  <si>
    <t xml:space="preserve">ID_PAQ </t>
  </si>
  <si>
    <t xml:space="preserve">CLAVE O FOLIO CON EL QUE SE IDENTIFICA </t>
  </si>
  <si>
    <t xml:space="preserve">CONSEC_PAQ </t>
  </si>
  <si>
    <t xml:space="preserve">NÚMERO CONSECUTIVO PARA IDENTIFICAR </t>
  </si>
  <si>
    <t xml:space="preserve">PRI_ACT </t>
  </si>
  <si>
    <t xml:space="preserve">IMPORTE ACTUALIZADO (MERCADO) DE LA PRIMA (TOTAL) </t>
  </si>
  <si>
    <t xml:space="preserve">ID_GAR_VIG </t>
  </si>
  <si>
    <t xml:space="preserve">CLAVE O FOLIO PARA IDENTIFICAR EL </t>
  </si>
  <si>
    <t>OPTO SX</t>
  </si>
  <si>
    <t>OPTO-SV (17)</t>
  </si>
  <si>
    <t>Unique Transaction Idetifier</t>
  </si>
  <si>
    <t>Unique Transaction Identifier</t>
  </si>
  <si>
    <t>OPTO-SIX, SIXC(35), SX (29)</t>
  </si>
  <si>
    <t>FILE_OPTO_IX_COM.csv</t>
  </si>
  <si>
    <t>LAYOUT DE DATOS OPTO PAQUETE DE OPCIONES EXOTICAS</t>
  </si>
  <si>
    <t>Formulario OPTO IX_COM</t>
  </si>
  <si>
    <t>LAYOUT RELATIVO A LOS PAQUETES DE OPCIONES EXOTICAS SIX COM (Mercados Reconocidos)</t>
  </si>
  <si>
    <t>FILE_OPTO_X.csv</t>
  </si>
  <si>
    <t>LAYOUT DE DATOS OPTO CONVALIDACION DE OPERACIONES EXOTICAS</t>
  </si>
  <si>
    <t>Formulario OPTO X</t>
  </si>
  <si>
    <t>LAYOUT RELATIVO A LA CONVALIDACION DE OPERACIONES EXOTICAS OPTO X (Mercados Reconocidos)</t>
  </si>
  <si>
    <t>DIAS_INHABILES</t>
  </si>
  <si>
    <t>AN</t>
  </si>
  <si>
    <t>PO</t>
  </si>
  <si>
    <t>AP</t>
  </si>
  <si>
    <t>AC</t>
  </si>
  <si>
    <t>La fecha inhábil de los flujos a recibir y entregar es sustituida por el día hábil inmediato posterior, siempre que éste sea del Mismo Mes de Vencimiento del Flujo (MMVF); en caso contrario, la fecha inhábil es sustituida por el día hábil inmediato anterior.</t>
  </si>
  <si>
    <t>Conforme al contrato correspondiente, la fecha inhábil de los flujos a recibir y entregar sea sustituida invariablemente por el Día Hábil Inmediato Anterior (DHIA o "Previous bussines day").</t>
  </si>
  <si>
    <t>Conforme al contrato correspondiente, la fecha inhábil de los flujos a recibir y entregar sea sustituida invariablemente por el Día Hábil Inmediato Posterior (DHIP o "Following business day").</t>
  </si>
  <si>
    <t>La Fecha Inhábil (FI) de los flujos a recibir es sustituida por el DHIP, mientras que la FI de los flujos a entregar es sustituida por el DHIP, siempre que éste sea del MMVF; sino, dicha fecha es sustituida por el DHIA</t>
  </si>
  <si>
    <t>La FI de los flujos a recibir es sustituida por el DHIP, siempre que éste sea del MMVF; sino, dicha fecha es sustituida por el DHIA, mientras que la FI de los flujos a entregar es sustituida por el DHIP.</t>
  </si>
  <si>
    <t>La FI de los flujos a recibir es sustituida por el DHIA, mientras que la FI de los flujos a entregar es sustituida por el DHIP, siempre que éste sea del MMVF; en caso contrario, la FI sea sustituida por el DHIA.</t>
  </si>
  <si>
    <t>La FI de los flujos a recibir es sustituida por el DHP, siempre que éste sea del MMVF; en caso contrario, la FI es sustituida por el DHIA, mientras que la FI de los flujos a entregar es sustituida por el DHIA.</t>
  </si>
  <si>
    <t>Conforme al contrato correspondiente, la FI de los flujos a recibir sea sustituida por el DHIA ('Previous bussines day'), y la FI de los flujos a entregar es sustituida por el DHIP (‘Following business day convention’).</t>
  </si>
  <si>
    <t>La FI de los flujos a recibir es sustituida por el DHIP (‘Following business day convention’), mientras que la FI de los flujos a entregar es sustituida por el DHIA (‘Previous bussines day’).</t>
  </si>
  <si>
    <t>La fecha inhábil de los flujos a recibir y entregar no se modifica o ajusta; y por tanto, con esa fecha se calcula el intervalo de dichos flujos (‘Actual day’).</t>
  </si>
  <si>
    <t>MOD_TASA</t>
  </si>
  <si>
    <t>S01</t>
  </si>
  <si>
    <t>La “tasa de referencia” corresponde a la última conocida en la fecha de inicio del intervalo de cada flujo (a recibir, a entregar o ambos, en su caso). Esta tasa se utiliza en forma simple para determinar la tasa de interés del flujo.</t>
  </si>
  <si>
    <t>S02</t>
  </si>
  <si>
    <t>La “tasa de referencia” corresponde a la conocida posterior a la fecha de inicio y hasta la fecha final de cada flujo (a recibir, a entregar o ambos, en su caso). Esta tasa se utiliza en forma simple para determinar la tasa de interés del flujo.</t>
  </si>
  <si>
    <t>C01</t>
  </si>
  <si>
    <t>La “tasa de referencia” corresponde a la conocida (una o varias) antes de la fecha de inicio del intervalo de cada flujo (a recibir, a entregar o ambos, en su caso). Esta tasa se utiliza en forma compuesta para determinar la tasa de interés del flujo.</t>
  </si>
  <si>
    <t>C02</t>
  </si>
  <si>
    <t>La “tasa de referencia” corresponde a la conocida entre la fecha de inicio y la fecha final del intervalo de cada flujo  (a recibir, a entregar o ambos, en su caso). Esta tasa se utiliza en forma compuesta para determinar la tasa de interés del flujo.</t>
  </si>
  <si>
    <t>P02</t>
  </si>
  <si>
    <t>El precio del subyacente corresponde al último conocido en la fecha de inicio del intervalo de cada flujo (a recibir, a entregar o ambos, en su caso). Este precio se utiliza para determinar el importe del flujo.</t>
  </si>
  <si>
    <t>P03</t>
  </si>
  <si>
    <t>El precio del subyacente corresponde al conocido durante el periodo comprendido entre la fecha de inicio y la fecha final de cada flujo (a recibir, a entregar o ambos, en su caso). Este precio se utiliza para determinar el importe del flujo.</t>
  </si>
  <si>
    <t>El precio del subyacente, o la tasa de interés, es fijo.</t>
  </si>
  <si>
    <t>UTI_N</t>
  </si>
  <si>
    <t>OPTO SIV(17)</t>
  </si>
  <si>
    <t>Unique Transaction Identifier Nuevo</t>
  </si>
  <si>
    <t>NÚMERO DE IDENTIFICACIÓN DE LA OPERACIÓN</t>
  </si>
  <si>
    <t>Llave para unir SI-SV</t>
  </si>
  <si>
    <t>Llave para unir reportes(SII, CSII, SIV, SV)</t>
  </si>
  <si>
    <t>Llave para unir (SII)</t>
  </si>
  <si>
    <t>Llave para unir reportes (SIX, SIXC, SX)</t>
  </si>
  <si>
    <t>Longitud, Catálogo</t>
  </si>
  <si>
    <t xml:space="preserve">Llave </t>
  </si>
  <si>
    <t>Llave para unir (SIX)</t>
  </si>
  <si>
    <t>Longitud, Catalogo</t>
  </si>
  <si>
    <t>Fecha</t>
  </si>
  <si>
    <t>Entero, Longitud</t>
  </si>
  <si>
    <t>Decimal</t>
  </si>
  <si>
    <t>Longitud, Repetido</t>
  </si>
  <si>
    <t>Entero, Longitud, Catálogo</t>
  </si>
  <si>
    <t>Separador de Datos</t>
  </si>
  <si>
    <t>PIPE "|"</t>
  </si>
  <si>
    <t>E Cuando la Institución emita la opción.
A Cuando la Institución adquiera la opción.</t>
  </si>
  <si>
    <t>RCS</t>
  </si>
  <si>
    <t>OPTO-SII, RCS</t>
  </si>
  <si>
    <t>NOCIONAL</t>
  </si>
  <si>
    <t>OPTO-SIII, RCS</t>
  </si>
  <si>
    <t>Entero</t>
  </si>
  <si>
    <t>MON_NOCIONAL</t>
  </si>
  <si>
    <t>Moneda NOCIONAL</t>
  </si>
  <si>
    <t>OPTO-SVII, RCS</t>
  </si>
  <si>
    <t>Llave para unir reportes(SIII, SVIII)</t>
  </si>
  <si>
    <t>OPTO-SIII-SV, RCS</t>
  </si>
  <si>
    <t>OPTO-SI, RCS</t>
  </si>
  <si>
    <t>AAAA/MM/DD</t>
  </si>
  <si>
    <t>PRECIO_SUBY</t>
  </si>
  <si>
    <t>IMP_EJE_PAR</t>
  </si>
  <si>
    <t>18,13</t>
  </si>
  <si>
    <t>22,8</t>
  </si>
  <si>
    <t>VALOR DEL SUBYACENTE PARA EL EJERCICIO</t>
  </si>
  <si>
    <t>IMPORTE EJERCIDO PARCIAL</t>
  </si>
  <si>
    <t>PRECIO_SUBY </t>
  </si>
  <si>
    <t>VALOR DEL SUBYACENTE PARA EL EJERCICIO</t>
  </si>
  <si>
    <t>IMP_EJE_PAR </t>
  </si>
  <si>
    <t>IMPORTE EJERCIDO PARCIAL </t>
  </si>
  <si>
    <t>OPTO-SII, OPTO_SV</t>
  </si>
  <si>
    <t>FECHAINFO</t>
  </si>
  <si>
    <t>Fecha a la que corresponde la información</t>
  </si>
  <si>
    <t>Moneda ISO</t>
  </si>
  <si>
    <t>OPTO SII(47),CSII(15),SIV(16),SV(17), SVII(14)</t>
  </si>
  <si>
    <t>UPI</t>
  </si>
  <si>
    <t>IDENTIFICADOR ÚNICO DE PRODUCTO (DENOMINADO EN INGLÉS COMO “UNIQUE PRODUCT IDENTIFIER”)</t>
  </si>
  <si>
    <t>Fecha A La Que Corresponde La Información</t>
  </si>
  <si>
    <t>OPTO_XI - Información sobre las “Canastas” subyacentes en opciones celebradas en mercados no reconocidos</t>
  </si>
  <si>
    <t>LAYOUT</t>
  </si>
  <si>
    <t>ORDEN</t>
  </si>
  <si>
    <t>LLAVE</t>
  </si>
  <si>
    <t>NOMBRE_CAMPO</t>
  </si>
  <si>
    <t>TIPO DATO</t>
  </si>
  <si>
    <t>FORMATO</t>
  </si>
  <si>
    <t>OBLIGATORIO</t>
  </si>
  <si>
    <t>VALIDACION</t>
  </si>
  <si>
    <t>CATALOGO</t>
  </si>
  <si>
    <t>USO</t>
  </si>
  <si>
    <t>COLUMNA REPORTE APLICA</t>
  </si>
  <si>
    <t>DESCRIPCION INGLES</t>
  </si>
  <si>
    <t>OBSERVACIONES</t>
  </si>
  <si>
    <t>VALIDEZ INFORMACION</t>
  </si>
  <si>
    <t>FUENTE</t>
  </si>
  <si>
    <t>OPTO_XI</t>
  </si>
  <si>
    <t>Si</t>
  </si>
  <si>
    <t>CLAVE_CAN</t>
  </si>
  <si>
    <t>ANEXO AF </t>
  </si>
  <si>
    <t>Clave de la Canasta</t>
  </si>
  <si>
    <t/>
  </si>
  <si>
    <t>CLAVE_AF</t>
  </si>
  <si>
    <t>Clave del valor (deuda o acción), indice accionario, tasa de interés o tipo de cambio </t>
  </si>
  <si>
    <t>CON_CAN</t>
  </si>
  <si>
    <t>NUMERICO</t>
  </si>
  <si>
    <t>3,0</t>
  </si>
  <si>
    <t>Número consecutivo para identificar al subyacente que forma parte de la canasta </t>
  </si>
  <si>
    <t>TIPO_MONITOR</t>
  </si>
  <si>
    <t>Tipo de monitoreo </t>
  </si>
  <si>
    <t>PONDERADOR</t>
  </si>
  <si>
    <t>3,6</t>
  </si>
  <si>
    <t>Ponderador </t>
  </si>
  <si>
    <t>Precio unitario o tasa de ejercicio </t>
  </si>
  <si>
    <t>TIP_PRECIO</t>
  </si>
  <si>
    <t>2,0</t>
  </si>
  <si>
    <t>ANEXO AM </t>
  </si>
  <si>
    <t>Forma en la que está representado el precio de ejercicio </t>
  </si>
  <si>
    <t>ANEXO E </t>
  </si>
  <si>
    <t>Moneda del precio unitario o tasa de ejercicio </t>
  </si>
  <si>
    <t>PRECIO_INICIAL</t>
  </si>
  <si>
    <t>Precio inicial del subyacente </t>
  </si>
  <si>
    <t>CAL_EJERCICIO</t>
  </si>
  <si>
    <t>ANEXO AN </t>
  </si>
  <si>
    <t>Cálculo aplicable al precio del subyacente para determinar el ejercicio de la opción </t>
  </si>
  <si>
    <t>CAL_LIQ</t>
  </si>
  <si>
    <t>ANEXO AK </t>
  </si>
  <si>
    <t>Cálculo de liquidación </t>
  </si>
  <si>
    <t>FAC_LIQ</t>
  </si>
  <si>
    <t>Factor aplicado a la forma de liquidación </t>
  </si>
  <si>
    <t>Precio de la barrera superior </t>
  </si>
  <si>
    <t>Precio de la barrera inferior </t>
  </si>
  <si>
    <t>ANEXO AO </t>
  </si>
  <si>
    <t>Modalidad del precio barrera </t>
  </si>
  <si>
    <t>INT_MON_BA</t>
  </si>
  <si>
    <t>Intervalo o frecuencia del monitoreo del o los precios barrera </t>
  </si>
  <si>
    <t>FECHA_INFO</t>
  </si>
  <si>
    <t>DATOS CALCULADOS</t>
  </si>
  <si>
    <t>INST </t>
  </si>
  <si>
    <t>250</t>
  </si>
  <si>
    <t>Clave de la institucion</t>
  </si>
  <si>
    <t>OPTO_XII Información sobre Curvas de sensibilidad y factores de riesgo en opciones celebradas en mercados no reconocidos</t>
  </si>
  <si>
    <t>OPTO_XII</t>
  </si>
  <si>
    <t>Fecha de concertación </t>
  </si>
  <si>
    <t>FE_CORTE</t>
  </si>
  <si>
    <t>Fecha de corte </t>
  </si>
  <si>
    <t>Número de identificación asociada a la opción </t>
  </si>
  <si>
    <t>CON_SEN</t>
  </si>
  <si>
    <t>Número consecutivo para identificar registros que forman parte del factor de riesgo </t>
  </si>
  <si>
    <t>FAC_RIESGO</t>
  </si>
  <si>
    <t>ANEXO AR </t>
  </si>
  <si>
    <t>Nombre del factor de riesgo </t>
  </si>
  <si>
    <t>ANEXO AF o ANEXO AT </t>
  </si>
  <si>
    <t>Fecha del nodo de la curva </t>
  </si>
  <si>
    <t>PLAZO</t>
  </si>
  <si>
    <t>22,0</t>
  </si>
  <si>
    <t>Plazo del nodo de la curva</t>
  </si>
  <si>
    <t>TEMP_PLAZO</t>
  </si>
  <si>
    <t>ANEXO AS </t>
  </si>
  <si>
    <t>Temporalidad del plazo </t>
  </si>
  <si>
    <t>VAL_GRIEGA</t>
  </si>
  <si>
    <t>Valor de la griega o sensibilidad </t>
  </si>
  <si>
    <t>MDAGRIEGA</t>
  </si>
  <si>
    <t>Moneda de la griega o sensibilidad </t>
  </si>
  <si>
    <t>VAL_VAR</t>
  </si>
  <si>
    <t>Valor asociado al factor de riesgo </t>
  </si>
  <si>
    <t>MDA_VAR1</t>
  </si>
  <si>
    <t>Moneda del valor de la variable utilizada para el factor de riesgo </t>
  </si>
  <si>
    <t>VAL_VAR2</t>
  </si>
  <si>
    <t>Valor dos asociado al factor de riesgo </t>
  </si>
  <si>
    <t>MDA_VAR2</t>
  </si>
  <si>
    <t>Moneda del valor de la variable dos utilizada para el factor de riesgo </t>
  </si>
  <si>
    <t>Precio del subyacente utilizado para el factor de riesgo </t>
  </si>
  <si>
    <t>CONSECUTIVO </t>
  </si>
  <si>
    <t>Número consecutivo para identificar registros que forman parte del mismo envío </t>
  </si>
  <si>
    <t>FILE_OPTO_XI.csv</t>
  </si>
  <si>
    <t>LAYOUT DE DATOS OPTO XI - Información sobre las “Canastas” subyacentes en opciones celebradas en mercados no reconocidos</t>
  </si>
  <si>
    <t>Formulario OPTO XI</t>
  </si>
  <si>
    <t>FILE_OPTO_XI</t>
  </si>
  <si>
    <t>FILE_OPTO_XII.csv</t>
  </si>
  <si>
    <t>LAYOUT DE DATOS OPTO XII Información sobre Curvas de sensibilidad y factores de riesgo en opciones celebradas en mercados no reconocidos</t>
  </si>
  <si>
    <t>Formulario OPTO XII</t>
  </si>
  <si>
    <t>FILE_OPTO_XII</t>
  </si>
  <si>
    <t>Modificar proceso</t>
  </si>
  <si>
    <t>Para relacionarlo a la operacion concertada</t>
  </si>
  <si>
    <t>OPTO SII(48), SVII(15)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</si>
</sst>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3"/>
      <name val="Calibri"/>
      <family val="2"/>
      <scheme val="minor"/>
    </font>
    <font>
      <b/>
      <sz val="10"/>
      <name val="Verdana"/>
      <family val="2"/>
    </font>
    <font>
      <sz val="10"/>
      <name val="Arial"/>
      <family val="2"/>
    </font>
    <font>
      <sz val="10"/>
      <name val="Calibri"/>
      <family val="2"/>
    </font>
    <font>
      <u/>
      <sz val="11"/>
      <color theme="10"/>
      <name val="Calibri"/>
      <family val="2"/>
      <scheme val="minor"/>
    </font>
    <font>
      <sz val="10"/>
      <color indexed="8"/>
      <name val="Arial"/>
      <family val="2"/>
    </font>
    <font>
      <i/>
      <sz val="14"/>
      <name val="Calibri"/>
      <family val="2"/>
    </font>
    <font>
      <sz val="11"/>
      <color indexed="8"/>
      <name val="Calibri"/>
      <family val="2"/>
    </font>
    <font>
      <i/>
      <sz val="10"/>
      <name val="Arial"/>
      <family val="2"/>
    </font>
    <font>
      <sz val="10"/>
      <name val="Calibri"/>
      <family val="2"/>
      <scheme val="minor"/>
    </font>
    <font>
      <sz val="11"/>
      <color theme="0"/>
      <name val="Calibri"/>
      <family val="2"/>
      <scheme val="minor"/>
    </font>
    <font>
      <sz val="10"/>
      <color theme="1"/>
      <name val="Calibri"/>
      <family val="2"/>
      <scheme val="minor"/>
    </font>
    <font>
      <sz val="10"/>
      <name val="Calibri"/>
      <family val="2"/>
    </font>
    <font>
      <sz val="11"/>
      <color theme="1"/>
      <name val="Calibri"/>
      <family val="2"/>
      <scheme val="minor"/>
    </font>
    <font>
      <sz val="10"/>
      <color theme="1"/>
      <name val="Microsoft Sans Serif"/>
      <family val="2"/>
    </font>
    <font>
      <sz val="11"/>
      <name val="Calibri"/>
      <family val="2"/>
      <scheme val="minor"/>
    </font>
    <font>
      <u/>
      <sz val="11"/>
      <name val="Calibri"/>
      <family val="2"/>
      <scheme val="minor"/>
    </font>
    <font>
      <u/>
      <sz val="12"/>
      <color theme="10"/>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11"/>
      <color indexed="8"/>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indexed="22"/>
        <bgColor indexed="0"/>
      </patternFill>
    </fill>
    <fill>
      <patternFill patternType="solid">
        <fgColor rgb="FFFFFF00"/>
        <bgColor indexed="64"/>
      </patternFill>
    </fill>
    <fill>
      <patternFill patternType="solid">
        <fgColor theme="1"/>
        <bgColor indexed="64"/>
      </patternFill>
    </fill>
    <fill>
      <patternFill patternType="solid">
        <fgColor theme="0" tint="-0.14999847407452621"/>
        <bgColor theme="0" tint="-0.14999847407452621"/>
      </patternFill>
    </fill>
    <fill>
      <patternFill patternType="solid">
        <fgColor theme="7"/>
        <bgColor indexed="64"/>
      </patternFill>
    </fill>
  </fills>
  <borders count="7">
    <border>
      <left/>
      <right/>
      <top/>
      <bottom/>
      <diagonal/>
    </border>
    <border>
      <left style="thin">
        <color indexed="8"/>
      </left>
      <right style="thin">
        <color indexed="8"/>
      </right>
      <top style="thin">
        <color indexed="8"/>
      </top>
      <bottom style="thin">
        <color indexed="8"/>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top style="thin">
        <color theme="1"/>
      </top>
      <bottom style="thin">
        <color theme="1"/>
      </bottom>
      <diagonal/>
    </border>
  </borders>
  <cellStyleXfs count="8">
    <xf numFmtId="0" fontId="0" fillId="0" borderId="0"/>
    <xf numFmtId="0" fontId="1" fillId="0" borderId="0" applyNumberFormat="0" applyFill="0" applyBorder="0" applyAlignment="0" applyProtection="0"/>
    <xf numFmtId="0" fontId="5" fillId="0" borderId="0" applyNumberFormat="0" applyFill="0" applyBorder="0" applyAlignment="0" applyProtection="0"/>
    <xf numFmtId="0" fontId="6" fillId="0" borderId="0"/>
    <xf numFmtId="0" fontId="6" fillId="0" borderId="0"/>
    <xf numFmtId="0" fontId="15" fillId="0" borderId="0"/>
    <xf numFmtId="0" fontId="18" fillId="0" borderId="0" applyNumberFormat="0" applyFill="0" applyBorder="0" applyAlignment="0" applyProtection="0"/>
    <xf numFmtId="0" fontId="19" fillId="0" borderId="0"/>
  </cellStyleXfs>
  <cellXfs count="86">
    <xf numFmtId="0" fontId="0" fillId="0" borderId="0" xfId="0"/>
    <xf numFmtId="0" fontId="1" fillId="0" borderId="0" xfId="1"/>
    <xf numFmtId="0" fontId="0" fillId="0" borderId="0" xfId="0" applyAlignment="1">
      <alignment wrapText="1"/>
    </xf>
    <xf numFmtId="0" fontId="2" fillId="0" borderId="0" xfId="0" applyFont="1"/>
    <xf numFmtId="0" fontId="3" fillId="0" borderId="0" xfId="0" applyFont="1"/>
    <xf numFmtId="0" fontId="4" fillId="0" borderId="0" xfId="0" applyFont="1" applyAlignment="1">
      <alignment horizontal="left"/>
    </xf>
    <xf numFmtId="0" fontId="4" fillId="0" borderId="0" xfId="0" applyFont="1" applyAlignment="1">
      <alignment horizontal="left" wrapText="1"/>
    </xf>
    <xf numFmtId="0" fontId="5" fillId="0" borderId="0" xfId="2"/>
    <xf numFmtId="0" fontId="6" fillId="0" borderId="0" xfId="0" applyFont="1"/>
    <xf numFmtId="0" fontId="7" fillId="2" borderId="0" xfId="0" applyFont="1" applyFill="1" applyAlignment="1">
      <alignment horizontal="left"/>
    </xf>
    <xf numFmtId="0" fontId="8" fillId="3" borderId="1" xfId="3" applyFont="1" applyFill="1" applyBorder="1" applyAlignment="1">
      <alignment horizontal="center"/>
    </xf>
    <xf numFmtId="0" fontId="9" fillId="0" borderId="0" xfId="0" applyFont="1" applyAlignment="1">
      <alignment horizontal="left"/>
    </xf>
    <xf numFmtId="0" fontId="8" fillId="3" borderId="1" xfId="4" applyFont="1" applyFill="1" applyBorder="1" applyAlignment="1">
      <alignment horizontal="center"/>
    </xf>
    <xf numFmtId="0" fontId="10" fillId="0" borderId="0" xfId="0" applyFont="1" applyAlignment="1">
      <alignment horizontal="left"/>
    </xf>
    <xf numFmtId="0" fontId="5" fillId="0" borderId="0" xfId="2" applyAlignment="1">
      <alignment wrapText="1"/>
    </xf>
    <xf numFmtId="0" fontId="12" fillId="0" borderId="0" xfId="0" applyFont="1" applyAlignment="1">
      <alignment wrapText="1"/>
    </xf>
    <xf numFmtId="0" fontId="11" fillId="0" borderId="0" xfId="0" applyFont="1"/>
    <xf numFmtId="0" fontId="13" fillId="0" borderId="0" xfId="0" applyFont="1" applyAlignment="1">
      <alignment horizontal="left"/>
    </xf>
    <xf numFmtId="0" fontId="14" fillId="0" borderId="0" xfId="0" applyFont="1"/>
    <xf numFmtId="0" fontId="5" fillId="0" borderId="0" xfId="2" applyAlignment="1"/>
    <xf numFmtId="0" fontId="10" fillId="0" borderId="0" xfId="0" applyFont="1" applyAlignment="1">
      <alignment wrapText="1"/>
    </xf>
    <xf numFmtId="0" fontId="4" fillId="4" borderId="0" xfId="0" applyFont="1" applyFill="1" applyAlignment="1">
      <alignment horizontal="left"/>
    </xf>
    <xf numFmtId="0" fontId="0" fillId="4" borderId="0" xfId="0" applyFill="1"/>
    <xf numFmtId="0" fontId="0" fillId="4" borderId="0" xfId="0" applyFill="1" applyAlignment="1">
      <alignment wrapText="1"/>
    </xf>
    <xf numFmtId="0" fontId="0" fillId="0" borderId="0" xfId="0" applyAlignment="1">
      <alignment horizontal="left" vertical="top"/>
    </xf>
    <xf numFmtId="0" fontId="10" fillId="4" borderId="0" xfId="0" applyFont="1" applyFill="1" applyAlignment="1">
      <alignment horizontal="left"/>
    </xf>
    <xf numFmtId="0" fontId="10" fillId="4" borderId="0" xfId="0" applyFont="1" applyFill="1" applyAlignment="1">
      <alignment wrapText="1"/>
    </xf>
    <xf numFmtId="0" fontId="12" fillId="4" borderId="0" xfId="0" applyFont="1" applyFill="1" applyAlignment="1">
      <alignment wrapText="1"/>
    </xf>
    <xf numFmtId="0" fontId="16" fillId="0" borderId="0" xfId="0" applyFont="1"/>
    <xf numFmtId="0" fontId="16" fillId="0" borderId="0" xfId="0" applyFont="1" applyAlignment="1">
      <alignment wrapText="1"/>
    </xf>
    <xf numFmtId="0" fontId="17" fillId="0" borderId="2" xfId="2" applyFont="1" applyFill="1" applyBorder="1" applyAlignment="1">
      <alignment wrapText="1"/>
    </xf>
    <xf numFmtId="0" fontId="16" fillId="0" borderId="0" xfId="0" applyFont="1" applyAlignment="1">
      <alignment vertical="top" wrapText="1"/>
    </xf>
    <xf numFmtId="0" fontId="17" fillId="0" borderId="0" xfId="2" applyFont="1" applyFill="1" applyAlignment="1">
      <alignment wrapText="1"/>
    </xf>
    <xf numFmtId="0" fontId="16" fillId="4" borderId="0" xfId="0" applyFont="1" applyFill="1"/>
    <xf numFmtId="0" fontId="16" fillId="4" borderId="0" xfId="0" applyFont="1" applyFill="1" applyAlignment="1">
      <alignment wrapText="1"/>
    </xf>
    <xf numFmtId="0" fontId="16" fillId="0" borderId="0" xfId="0" applyFont="1" applyAlignment="1">
      <alignment vertical="center" wrapText="1"/>
    </xf>
    <xf numFmtId="0" fontId="16" fillId="0" borderId="2" xfId="0" applyFont="1" applyBorder="1" applyAlignment="1">
      <alignment wrapText="1"/>
    </xf>
    <xf numFmtId="0" fontId="14" fillId="0" borderId="0" xfId="0" applyFont="1" applyAlignment="1">
      <alignment wrapText="1"/>
    </xf>
    <xf numFmtId="0" fontId="4" fillId="4" borderId="0" xfId="0" applyFont="1" applyFill="1" applyAlignment="1">
      <alignment horizontal="left" wrapText="1"/>
    </xf>
    <xf numFmtId="0" fontId="20" fillId="0" borderId="0" xfId="7" applyFont="1"/>
    <xf numFmtId="0" fontId="20" fillId="0" borderId="0" xfId="7" applyFont="1" applyAlignment="1">
      <alignment horizontal="center"/>
    </xf>
    <xf numFmtId="0" fontId="20" fillId="5" borderId="0" xfId="7" applyFont="1" applyFill="1"/>
    <xf numFmtId="0" fontId="20" fillId="5" borderId="0" xfId="7" applyFont="1" applyFill="1" applyAlignment="1">
      <alignment horizontal="center"/>
    </xf>
    <xf numFmtId="0" fontId="22" fillId="0" borderId="0" xfId="0" applyFont="1"/>
    <xf numFmtId="0" fontId="14" fillId="0" borderId="0" xfId="0" applyFont="1" applyAlignment="1">
      <alignment horizontal="left"/>
    </xf>
    <xf numFmtId="0" fontId="14" fillId="0" borderId="0" xfId="0" applyFont="1" applyAlignment="1">
      <alignment horizontal="left" wrapText="1"/>
    </xf>
    <xf numFmtId="0" fontId="14" fillId="0" borderId="0" xfId="7" applyFont="1"/>
    <xf numFmtId="0" fontId="14" fillId="0" borderId="0" xfId="7" applyFont="1" applyAlignment="1">
      <alignment horizontal="center"/>
    </xf>
    <xf numFmtId="0" fontId="5" fillId="0" borderId="0" xfId="6" applyFont="1"/>
    <xf numFmtId="0" fontId="23" fillId="0" borderId="0" xfId="7" applyFont="1"/>
    <xf numFmtId="0" fontId="14" fillId="0" borderId="0" xfId="7" quotePrefix="1" applyFont="1"/>
    <xf numFmtId="0" fontId="14" fillId="4" borderId="0" xfId="7" applyFont="1" applyFill="1"/>
    <xf numFmtId="49" fontId="14" fillId="0" borderId="0" xfId="7" applyNumberFormat="1" applyFont="1"/>
    <xf numFmtId="49" fontId="14" fillId="0" borderId="0" xfId="7" quotePrefix="1" applyNumberFormat="1" applyFont="1"/>
    <xf numFmtId="0" fontId="21" fillId="0" borderId="0" xfId="7" applyFont="1"/>
    <xf numFmtId="0" fontId="14" fillId="6" borderId="6" xfId="7" applyFont="1" applyFill="1" applyBorder="1" applyAlignment="1">
      <alignment horizontal="center"/>
    </xf>
    <xf numFmtId="0" fontId="14" fillId="6" borderId="6" xfId="7" applyFont="1" applyFill="1" applyBorder="1"/>
    <xf numFmtId="0" fontId="14" fillId="0" borderId="0" xfId="7" applyFont="1" applyAlignment="1">
      <alignment vertical="center"/>
    </xf>
    <xf numFmtId="0" fontId="14" fillId="4" borderId="0" xfId="0" applyFont="1" applyFill="1"/>
    <xf numFmtId="0" fontId="14" fillId="4" borderId="0" xfId="0" applyFont="1" applyFill="1" applyAlignment="1">
      <alignment horizontal="left"/>
    </xf>
    <xf numFmtId="0" fontId="14" fillId="4" borderId="0" xfId="0" applyFont="1" applyFill="1" applyAlignment="1">
      <alignment horizontal="left" wrapText="1"/>
    </xf>
    <xf numFmtId="0" fontId="5" fillId="0" borderId="2" xfId="2" applyFill="1" applyBorder="1" applyAlignment="1">
      <alignment wrapText="1"/>
    </xf>
    <xf numFmtId="0" fontId="14" fillId="0" borderId="3" xfId="0" applyFont="1" applyBorder="1"/>
    <xf numFmtId="0" fontId="14" fillId="0" borderId="2" xfId="0" applyFont="1" applyBorder="1" applyAlignment="1">
      <alignment wrapText="1"/>
    </xf>
    <xf numFmtId="0" fontId="14" fillId="0" borderId="4" xfId="0" applyFont="1" applyBorder="1"/>
    <xf numFmtId="0" fontId="14" fillId="0" borderId="5" xfId="0" applyFont="1" applyBorder="1" applyAlignment="1">
      <alignment wrapText="1"/>
    </xf>
    <xf numFmtId="0" fontId="16" fillId="0" borderId="0" xfId="0" applyFont="1" applyAlignment="1">
      <alignment horizontal="left"/>
    </xf>
    <xf numFmtId="0" fontId="16" fillId="0" borderId="0" xfId="0" applyFont="1" applyAlignment="1">
      <alignment horizontal="left" wrapText="1"/>
    </xf>
    <xf numFmtId="0" fontId="16" fillId="0" borderId="2" xfId="0" applyFont="1" applyBorder="1" applyAlignment="1">
      <alignment horizontal="left"/>
    </xf>
    <xf numFmtId="0" fontId="16" fillId="0" borderId="2" xfId="0" applyFont="1" applyBorder="1" applyAlignment="1">
      <alignment horizontal="left" wrapText="1"/>
    </xf>
    <xf numFmtId="0" fontId="16" fillId="0" borderId="5" xfId="0" applyFont="1" applyBorder="1" applyAlignment="1">
      <alignment horizontal="left"/>
    </xf>
    <xf numFmtId="0" fontId="16" fillId="0" borderId="5" xfId="0" applyFont="1" applyBorder="1" applyAlignment="1">
      <alignment horizontal="left" wrapText="1"/>
    </xf>
    <xf numFmtId="0" fontId="14" fillId="0" borderId="5" xfId="2" applyFont="1" applyFill="1" applyBorder="1" applyAlignment="1">
      <alignment wrapText="1"/>
    </xf>
    <xf numFmtId="0" fontId="16" fillId="4" borderId="0" xfId="0" applyFont="1" applyFill="1" applyAlignment="1">
      <alignment horizontal="left"/>
    </xf>
    <xf numFmtId="0" fontId="16" fillId="4" borderId="0" xfId="0" applyFont="1" applyFill="1" applyAlignment="1">
      <alignment horizontal="left" wrapText="1"/>
    </xf>
    <xf numFmtId="0" fontId="14" fillId="4" borderId="0" xfId="0" applyFont="1" applyFill="1" applyAlignment="1">
      <alignment wrapText="1"/>
    </xf>
    <xf numFmtId="0" fontId="5" fillId="0" borderId="0" xfId="2" applyFill="1" applyAlignment="1">
      <alignment wrapText="1"/>
    </xf>
    <xf numFmtId="0" fontId="14" fillId="0" borderId="0" xfId="0" applyFont="1" applyAlignment="1">
      <alignment vertical="center"/>
    </xf>
    <xf numFmtId="0" fontId="14" fillId="0" borderId="0" xfId="0" applyFont="1" applyAlignment="1">
      <alignment vertical="center" wrapText="1"/>
    </xf>
    <xf numFmtId="0" fontId="14" fillId="0" borderId="0" xfId="0" applyFont="1" applyAlignment="1">
      <alignment vertical="top" wrapText="1"/>
    </xf>
    <xf numFmtId="0" fontId="16" fillId="0" borderId="2" xfId="0" applyFont="1" applyBorder="1"/>
    <xf numFmtId="0" fontId="16" fillId="0" borderId="0" xfId="0" applyFont="1" applyAlignment="1">
      <alignment vertical="center"/>
    </xf>
    <xf numFmtId="49" fontId="16" fillId="4" borderId="0" xfId="0" applyNumberFormat="1" applyFont="1" applyFill="1" applyAlignment="1">
      <alignment horizontal="left"/>
    </xf>
    <xf numFmtId="0" fontId="5" fillId="0" borderId="0" xfId="2" applyBorder="1" applyAlignment="1">
      <alignment wrapText="1"/>
    </xf>
    <xf numFmtId="0" fontId="14" fillId="7" borderId="0" xfId="0" applyFont="1" applyFill="1"/>
    <xf numFmtId="0" fontId="4" fillId="0" borderId="0" xfId="0" applyFont="1" applyFill="1" applyAlignment="1">
      <alignment horizontal="left"/>
    </xf>
  </cellXfs>
  <cellStyles count="8">
    <cellStyle name="Encabezado 4" xfId="1" builtinId="19"/>
    <cellStyle name="Hipervínculo" xfId="2" builtinId="8"/>
    <cellStyle name="Hipervínculo 2" xfId="6" xr:uid="{9B0374FC-C852-4281-9F37-0A075804DD41}"/>
    <cellStyle name="Normal" xfId="0" builtinId="0"/>
    <cellStyle name="Normal 2" xfId="5" xr:uid="{66F6FDA7-9E30-41FE-A5AE-2C4B0D5DF370}"/>
    <cellStyle name="Normal 3" xfId="7" xr:uid="{4ECFA5BD-5367-4B3E-B683-D082D60EE4D6}"/>
    <cellStyle name="Normal_CATALOGOS" xfId="3" xr:uid="{00000000-0005-0000-0000-000003000000}"/>
    <cellStyle name="Normal_CATALOGS" xfId="4" xr:uid="{00000000-0005-0000-0000-000004000000}"/>
  </cellStyles>
  <dxfs count="140">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theme="0"/>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vertAlign val="baseline"/>
        <sz val="1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name val="Calibri"/>
        <family val="2"/>
        <scheme val="minor"/>
      </font>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bottom" textRotation="0" wrapText="0" indent="0" justifyLastLine="0" shrinkToFit="0" readingOrder="0"/>
    </dxf>
    <dxf>
      <font>
        <strike val="0"/>
        <outline val="0"/>
        <shadow val="0"/>
        <vertAlign val="baseline"/>
        <sz val="1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vertAlign val="baseline"/>
        <sz val="1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strike val="0"/>
        <outline val="0"/>
        <shadow val="0"/>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vertAlign val="baseline"/>
        <sz val="11"/>
        <name val="Calibri"/>
        <family val="2"/>
        <scheme val="minor"/>
      </font>
      <fill>
        <patternFill patternType="none">
          <bgColor auto="1"/>
        </patternFill>
      </fill>
    </dxf>
    <dxf>
      <font>
        <strike val="0"/>
        <outline val="0"/>
        <shadow val="0"/>
        <vertAlign val="baseline"/>
        <sz val="11"/>
        <name val="Calibri"/>
        <family val="2"/>
        <scheme val="minor"/>
      </font>
      <fill>
        <patternFill patternType="none">
          <bgColor auto="1"/>
        </patternFill>
      </fill>
    </dxf>
    <dxf>
      <font>
        <strike val="0"/>
        <outline val="0"/>
        <shadow val="0"/>
        <vertAlign val="baseline"/>
        <sz val="11"/>
        <name val="Calibri"/>
        <family val="2"/>
        <scheme val="minor"/>
      </font>
    </dxf>
    <dxf>
      <alignment horizontal="general" vertical="bottom" textRotation="0" wrapText="1" indent="0" justifyLastLine="0" shrinkToFit="0" readingOrder="0"/>
    </dxf>
    <dxf>
      <font>
        <strike val="0"/>
        <outline val="0"/>
        <shadow val="0"/>
        <u val="none"/>
        <vertAlign val="baseline"/>
        <sz val="10"/>
        <color theme="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sz val="10"/>
        <color auto="1"/>
      </font>
      <fill>
        <patternFill patternType="none">
          <fgColor indexed="64"/>
          <bgColor indexed="65"/>
        </patternFill>
      </fill>
      <alignment horizontal="general" vertical="bottom" textRotation="0" wrapText="1" indent="0" justifyLastLine="0" shrinkToFit="0" readingOrder="0"/>
    </dxf>
    <dxf>
      <font>
        <sz val="10"/>
        <color auto="1"/>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left" vertical="bottom" textRotation="0" wrapText="0" indent="0" justifyLastLine="0" shrinkToFit="0" readingOrder="0"/>
    </dxf>
    <dxf>
      <font>
        <b val="0"/>
        <sz val="10"/>
        <color auto="1"/>
      </font>
      <fill>
        <patternFill patternType="none">
          <fgColor indexed="64"/>
          <bgColor indexed="65"/>
        </patternFill>
      </fill>
      <alignment horizontal="left" vertical="bottom" textRotation="0" wrapText="0" indent="0" justifyLastLine="0" shrinkToFit="0" readingOrder="0"/>
    </dxf>
    <dxf>
      <font>
        <strike val="0"/>
        <outline val="0"/>
        <shadow val="0"/>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alignment horizontal="general"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b val="0"/>
        <strike val="0"/>
        <outline val="0"/>
        <shadow val="0"/>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vertAlign val="baseline"/>
        <sz val="11"/>
        <name val="Calibri"/>
        <family val="2"/>
        <scheme val="minor"/>
      </font>
      <numFmt numFmtId="0" formatCode="General"/>
      <fill>
        <patternFill patternType="none">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strike val="0"/>
        <outline val="0"/>
        <shadow val="0"/>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vertAlign val="baseline"/>
        <sz val="11"/>
        <name val="Calibri"/>
        <family val="2"/>
        <scheme val="minor"/>
      </font>
      <fill>
        <patternFill patternType="none">
          <bgColor auto="1"/>
        </patternFill>
      </fill>
    </dxf>
    <dxf>
      <font>
        <strike val="0"/>
        <outline val="0"/>
        <shadow val="0"/>
        <vertAlign val="baseline"/>
        <sz val="11"/>
        <name val="Calibri"/>
        <family val="2"/>
        <scheme val="minor"/>
      </font>
      <fill>
        <patternFill patternType="none">
          <bgColor auto="1"/>
        </patternFill>
      </fill>
    </dxf>
    <dxf>
      <font>
        <strike val="0"/>
        <outline val="0"/>
        <shadow val="0"/>
        <vertAlign val="baseline"/>
        <sz val="11"/>
        <name val="Calibri"/>
        <family val="2"/>
        <scheme val="minor"/>
      </font>
      <fill>
        <patternFill patternType="none">
          <bgColor auto="1"/>
        </patternFill>
      </fill>
    </dxf>
    <dxf>
      <font>
        <strike val="0"/>
        <outline val="0"/>
        <shadow val="0"/>
        <vertAlign val="baseline"/>
        <sz val="11"/>
        <color auto="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numFmt numFmtId="0" formatCode="General"/>
      <fill>
        <patternFill patternType="none">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vertAlign val="baseline"/>
        <sz val="11"/>
        <color auto="1"/>
        <name val="Calibri"/>
        <family val="2"/>
        <scheme val="minor"/>
      </font>
      <fill>
        <patternFill patternType="none">
          <bgColor auto="1"/>
        </patternFill>
      </fill>
    </dxf>
    <dxf>
      <font>
        <strike val="0"/>
        <outline val="0"/>
        <shadow val="0"/>
        <vertAlign val="baseline"/>
        <sz val="11"/>
        <color auto="1"/>
        <name val="Calibri"/>
        <family val="2"/>
        <scheme val="minor"/>
      </font>
      <fill>
        <patternFill patternType="none">
          <bgColor auto="1"/>
        </patternFill>
      </fill>
    </dxf>
    <dxf>
      <font>
        <strike val="0"/>
        <outline val="0"/>
        <shadow val="0"/>
        <vertAlign val="baseline"/>
        <sz val="11"/>
        <name val="Calibri"/>
        <family val="2"/>
        <scheme val="minor"/>
      </font>
    </dxf>
    <dxf>
      <font>
        <strike val="0"/>
        <outline val="0"/>
        <shadow val="0"/>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strike val="0"/>
        <outline val="0"/>
        <shadow val="0"/>
        <vertAlign val="baseline"/>
        <sz val="11"/>
        <color auto="1"/>
        <name val="Calibri"/>
        <family val="2"/>
        <scheme val="minor"/>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vertAlign val="baseline"/>
        <sz val="11"/>
        <color auto="1"/>
        <name val="Calibri"/>
        <family val="2"/>
        <scheme val="minor"/>
      </font>
      <fill>
        <patternFill patternType="none">
          <fgColor indexed="64"/>
          <bgColor auto="1"/>
        </patternFill>
      </fill>
    </dxf>
    <dxf>
      <font>
        <strike val="0"/>
        <outline val="0"/>
        <shadow val="0"/>
        <vertAlign val="baseline"/>
        <sz val="11"/>
        <color auto="1"/>
        <name val="Calibri"/>
        <family val="2"/>
        <scheme val="minor"/>
      </font>
      <fill>
        <patternFill patternType="none">
          <fgColor indexed="64"/>
          <bgColor auto="1"/>
        </patternFill>
      </fill>
    </dxf>
    <dxf>
      <font>
        <strike val="0"/>
        <outline val="0"/>
        <shadow val="0"/>
        <vertAlign val="baseline"/>
        <sz val="11"/>
        <name val="Calibri"/>
        <family val="2"/>
        <scheme val="minor"/>
      </font>
      <fill>
        <patternFill patternType="none">
          <fgColor indexed="64"/>
          <bgColor auto="1"/>
        </patternFill>
      </fill>
    </dxf>
    <dxf>
      <font>
        <strike val="0"/>
        <outline val="0"/>
        <shadow val="0"/>
        <vertAlign val="baseline"/>
        <sz val="11"/>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alignment horizontal="general"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indexed="65"/>
        </patternFill>
      </fill>
      <alignment horizontal="left" vertical="bottom" textRotation="0" wrapText="1" indent="0" justifyLastLine="0" shrinkToFit="0" readingOrder="0"/>
    </dxf>
    <dxf>
      <font>
        <strike val="0"/>
        <outline val="0"/>
        <shadow val="0"/>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b val="0"/>
        <strike val="0"/>
        <outline val="0"/>
        <shadow val="0"/>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2457105" displayName="Table2457105" ref="A6:I31" totalsRowShown="0" headerRowDxfId="139" dataDxfId="138">
  <autoFilter ref="A6:I31" xr:uid="{00000000-0009-0000-0100-000004000000}"/>
  <tableColumns count="9">
    <tableColumn id="1" xr3:uid="{00000000-0010-0000-0100-000001000000}" name="Orden" dataDxfId="137"/>
    <tableColumn id="2" xr3:uid="{00000000-0010-0000-0100-000002000000}" name="Nombre" dataDxfId="136"/>
    <tableColumn id="12" xr3:uid="{00000000-0010-0000-0100-00000C000000}" name="Tipo" dataDxfId="135"/>
    <tableColumn id="11" xr3:uid="{00000000-0010-0000-0100-00000B000000}" name="Longitud" dataDxfId="134"/>
    <tableColumn id="4" xr3:uid="{00000000-0010-0000-0100-000004000000}" name="Uso" dataDxfId="133"/>
    <tableColumn id="5" xr3:uid="{00000000-0010-0000-0100-000005000000}" name="Descripcion" dataDxfId="132"/>
    <tableColumn id="6" xr3:uid="{00000000-0010-0000-0100-000006000000}" name="Validacion" dataDxfId="131"/>
    <tableColumn id="7" xr3:uid="{00000000-0010-0000-0100-000007000000}" name="Catalogo" dataDxfId="130"/>
    <tableColumn id="13" xr3:uid="{00000000-0010-0000-0100-00000D000000}" name="Comentario BW" dataDxfId="12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245710" displayName="Table245710" ref="A6:I72" totalsRowShown="0" headerRowDxfId="128" dataDxfId="127">
  <autoFilter ref="A6:I72" xr:uid="{00000000-0009-0000-0100-000001000000}"/>
  <tableColumns count="9">
    <tableColumn id="1" xr3:uid="{00000000-0010-0000-0200-000001000000}" name="Orden" dataDxfId="126"/>
    <tableColumn id="9" xr3:uid="{00000000-0010-0000-0200-000009000000}" name="Nombre" dataDxfId="125"/>
    <tableColumn id="11" xr3:uid="{00000000-0010-0000-0200-00000B000000}" name="Tipo" dataDxfId="124"/>
    <tableColumn id="12" xr3:uid="{00000000-0010-0000-0200-00000C000000}" name="Longitud" dataDxfId="123"/>
    <tableColumn id="4" xr3:uid="{00000000-0010-0000-0200-000004000000}" name="Uso" dataDxfId="122"/>
    <tableColumn id="5" xr3:uid="{00000000-0010-0000-0200-000005000000}" name="Descripcion" dataDxfId="121"/>
    <tableColumn id="6" xr3:uid="{00000000-0010-0000-0200-000006000000}" name="Validacion" dataDxfId="120">
      <calculatedColumnFormula>PROPER(Table245710[[#This Row],[Descripcion]])</calculatedColumnFormula>
    </tableColumn>
    <tableColumn id="7" xr3:uid="{00000000-0010-0000-0200-000007000000}" name="Catalogo" dataDxfId="119"/>
    <tableColumn id="13" xr3:uid="{00000000-0010-0000-0200-00000D000000}" name="Comentario BW" dataDxfId="118"/>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Table24571011" displayName="Table24571011" ref="A6:I46" totalsRowShown="0" headerRowDxfId="117" dataDxfId="116">
  <autoFilter ref="A6:I46" xr:uid="{00000000-0009-0000-0100-00000A000000}"/>
  <tableColumns count="9">
    <tableColumn id="1" xr3:uid="{00000000-0010-0000-0300-000001000000}" name="Orden" dataDxfId="115"/>
    <tableColumn id="9" xr3:uid="{00000000-0010-0000-0300-000009000000}" name="Nombre" dataDxfId="114"/>
    <tableColumn id="11" xr3:uid="{00000000-0010-0000-0300-00000B000000}" name="Tipo" dataDxfId="113"/>
    <tableColumn id="12" xr3:uid="{00000000-0010-0000-0300-00000C000000}" name="Longitud" dataDxfId="112"/>
    <tableColumn id="4" xr3:uid="{00000000-0010-0000-0300-000004000000}" name="Uso" dataDxfId="111"/>
    <tableColumn id="5" xr3:uid="{00000000-0010-0000-0300-000005000000}" name="Descripcion" dataDxfId="110"/>
    <tableColumn id="6" xr3:uid="{00000000-0010-0000-0300-000006000000}" name="Validacion" dataDxfId="109">
      <calculatedColumnFormula>PROPER(Table24571011[[#This Row],[Descripcion]])</calculatedColumnFormula>
    </tableColumn>
    <tableColumn id="7" xr3:uid="{00000000-0010-0000-0300-000007000000}" name="Catalogo" dataDxfId="108"/>
    <tableColumn id="13" xr3:uid="{00000000-0010-0000-0300-00000D000000}" name="Comentario BW" dataDxfId="10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457106" displayName="Table2457106" ref="A6:I17" totalsRowShown="0" headerRowDxfId="106" dataDxfId="105">
  <autoFilter ref="A6:I17" xr:uid="{00000000-0009-0000-0100-000005000000}"/>
  <tableColumns count="9">
    <tableColumn id="1" xr3:uid="{00000000-0010-0000-0400-000001000000}" name="Orden" dataDxfId="104"/>
    <tableColumn id="2" xr3:uid="{00000000-0010-0000-0400-000002000000}" name="Nombre" dataDxfId="103"/>
    <tableColumn id="3" xr3:uid="{00000000-0010-0000-0400-000003000000}" name="Tipo" dataDxfId="102"/>
    <tableColumn id="8" xr3:uid="{00000000-0010-0000-0400-000008000000}" name="Longitud" dataDxfId="101"/>
    <tableColumn id="4" xr3:uid="{00000000-0010-0000-0400-000004000000}" name="Uso" dataDxfId="100"/>
    <tableColumn id="5" xr3:uid="{00000000-0010-0000-0400-000005000000}" name="Descripcion" dataDxfId="99"/>
    <tableColumn id="6" xr3:uid="{00000000-0010-0000-0400-000006000000}" name="Validacion" dataDxfId="98"/>
    <tableColumn id="7" xr3:uid="{00000000-0010-0000-0400-000007000000}" name="Catalogo" dataDxfId="97"/>
    <tableColumn id="13" xr3:uid="{00000000-0010-0000-0400-00000D000000}" name="Comentario BW" dataDxfId="9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245710910" displayName="Table245710910" ref="A6:I18" totalsRowShown="0" headerRowDxfId="95" dataDxfId="94">
  <autoFilter ref="A6:I18" xr:uid="{00000000-0009-0000-0100-000009000000}"/>
  <tableColumns count="9">
    <tableColumn id="1" xr3:uid="{00000000-0010-0000-0500-000001000000}" name="Orden" dataDxfId="93"/>
    <tableColumn id="2" xr3:uid="{00000000-0010-0000-0500-000002000000}" name="Nombre" dataDxfId="92"/>
    <tableColumn id="3" xr3:uid="{00000000-0010-0000-0500-000003000000}" name="Tipo" dataDxfId="91"/>
    <tableColumn id="8" xr3:uid="{00000000-0010-0000-0500-000008000000}" name="Longitud" dataDxfId="90"/>
    <tableColumn id="4" xr3:uid="{00000000-0010-0000-0500-000004000000}" name="Uso" dataDxfId="89"/>
    <tableColumn id="5" xr3:uid="{00000000-0010-0000-0500-000005000000}" name="Descripcion" dataDxfId="88"/>
    <tableColumn id="6" xr3:uid="{00000000-0010-0000-0500-000006000000}" name="Validacion" dataDxfId="87"/>
    <tableColumn id="7" xr3:uid="{00000000-0010-0000-0500-000007000000}" name="Catalogo" dataDxfId="86"/>
    <tableColumn id="13" xr3:uid="{00000000-0010-0000-0500-00000D000000}" name="Comentario BW" dataDxfId="85"/>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2457109" displayName="Table2457109" ref="A6:I15" totalsRowShown="0">
  <tableColumns count="9">
    <tableColumn id="1" xr3:uid="{00000000-0010-0000-0600-000001000000}" name="Orden"/>
    <tableColumn id="2" xr3:uid="{00000000-0010-0000-0600-000002000000}" name="Nombre" dataDxfId="84"/>
    <tableColumn id="3" xr3:uid="{00000000-0010-0000-0600-000003000000}" name="Tipo" dataDxfId="83"/>
    <tableColumn id="8" xr3:uid="{00000000-0010-0000-0600-000008000000}" name="Longitud" dataDxfId="82"/>
    <tableColumn id="4" xr3:uid="{00000000-0010-0000-0600-000004000000}" name="Uso" dataDxfId="81"/>
    <tableColumn id="5" xr3:uid="{00000000-0010-0000-0600-000005000000}" name="Descripcion" dataDxfId="80"/>
    <tableColumn id="6" xr3:uid="{00000000-0010-0000-0600-000006000000}" name="Validacion" dataDxfId="79"/>
    <tableColumn id="7" xr3:uid="{00000000-0010-0000-0600-000007000000}" name="Catalogo" dataDxfId="78"/>
    <tableColumn id="13" xr3:uid="{00000000-0010-0000-0600-00000D000000}" name="Comentario BW" dataDxfId="77"/>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e245710912" displayName="Table245710912" ref="A6:I16" totalsRowShown="0" headerRowDxfId="76" dataDxfId="75">
  <autoFilter ref="A6:I16" xr:uid="{00000000-0009-0000-0100-00000B000000}"/>
  <tableColumns count="9">
    <tableColumn id="1" xr3:uid="{00000000-0010-0000-0700-000001000000}" name="Orden" dataDxfId="74"/>
    <tableColumn id="2" xr3:uid="{00000000-0010-0000-0700-000002000000}" name="Nombre" dataDxfId="73"/>
    <tableColumn id="3" xr3:uid="{00000000-0010-0000-0700-000003000000}" name="Tipo" dataDxfId="72"/>
    <tableColumn id="8" xr3:uid="{00000000-0010-0000-0700-000008000000}" name="Longitud" dataDxfId="71"/>
    <tableColumn id="4" xr3:uid="{00000000-0010-0000-0700-000004000000}" name="Uso" dataDxfId="70"/>
    <tableColumn id="5" xr3:uid="{00000000-0010-0000-0700-000005000000}" name="Descripcion" dataDxfId="69"/>
    <tableColumn id="6" xr3:uid="{00000000-0010-0000-0700-000006000000}" name="Validacion" dataDxfId="68"/>
    <tableColumn id="7" xr3:uid="{00000000-0010-0000-0700-000007000000}" name="Catalogo" dataDxfId="67"/>
    <tableColumn id="13" xr3:uid="{00000000-0010-0000-0700-00000D000000}" name="Comentario BW" dataDxfId="66"/>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7393F7-AFB5-47B3-90A7-362E5849E761}" name="Table2" displayName="Table2" ref="A6:I103" totalsRowShown="0">
  <tableColumns count="9">
    <tableColumn id="1" xr3:uid="{7A53A298-1AB0-4812-9D41-C1BED0DF1992}" name="Orden"/>
    <tableColumn id="2" xr3:uid="{84ABB228-8EDD-4258-909C-C364CC667669}" name="Nombre" dataDxfId="65"/>
    <tableColumn id="3" xr3:uid="{C6C49A44-516D-42E8-BA1B-AEF813F7D546}" name="Tipo" dataDxfId="64"/>
    <tableColumn id="4" xr3:uid="{85364972-6BEB-4BB5-B5A8-CBFE62773657}" name="Longitud" dataDxfId="63"/>
    <tableColumn id="5" xr3:uid="{6AFC1BDB-2166-41AE-A4CB-2831E5D4D3D8}" name="Uso" dataDxfId="62"/>
    <tableColumn id="6" xr3:uid="{0F1061D9-26D8-4450-A891-7472D86C8623}" name="Descripcion" dataDxfId="61"/>
    <tableColumn id="7" xr3:uid="{ACC30947-8828-48F6-B1AE-2CE56B71E1B2}" name="Validacion" dataDxfId="60"/>
    <tableColumn id="8" xr3:uid="{B7CD53D2-A4D9-4904-BF6B-B0277964EF26}" name="Catalogo" dataDxfId="59"/>
    <tableColumn id="9" xr3:uid="{1A50AEFB-9EE8-425C-8C4B-9A80CCDAD0F6}" name="Comentario BW" dataDxfId="58"/>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4C5147-9B53-472B-A94E-394768F696C0}" name="Table6" displayName="Table6" ref="A6:I40" totalsRowShown="0" headerRowDxfId="57" dataDxfId="56">
  <tableColumns count="9">
    <tableColumn id="1" xr3:uid="{24166568-3F2D-4D37-BDA0-DF6D89FD5950}" name="Orden" dataDxfId="55"/>
    <tableColumn id="2" xr3:uid="{BA7A9B3B-26BF-4DDD-9204-4434F27945F1}" name="Nombre" dataDxfId="54"/>
    <tableColumn id="3" xr3:uid="{BA38D5D8-4C08-4A9B-80E9-D53D53482400}" name="Tipo" dataDxfId="53"/>
    <tableColumn id="4" xr3:uid="{F2688D70-D8E9-41EE-B734-80F38D1D09E9}" name="Longitud" dataDxfId="52"/>
    <tableColumn id="5" xr3:uid="{187F8D35-188E-4D1F-B6C5-DBD29DD102AC}" name="Uso" dataDxfId="51"/>
    <tableColumn id="6" xr3:uid="{0369F871-EBB0-4DB6-9103-46914E5F9EFC}" name="Descripcion" dataDxfId="50"/>
    <tableColumn id="7" xr3:uid="{4C1F5B5D-15EB-4D5D-8609-928AFE1258DD}" name="Validacion" dataDxfId="49"/>
    <tableColumn id="8" xr3:uid="{FC4773A8-1CFF-4C5F-93A1-7895C93DA7A8}" name="Catalogo" dataDxfId="48"/>
    <tableColumn id="9" xr3:uid="{3BCF38E9-0979-442D-93DA-AF004E7009B2}" name="Comentario BW" dataDxfId="47"/>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FF2198-71AD-4010-84B7-04EA98A40A03}" name="Table7" displayName="Table7" ref="A6:I34" totalsRowShown="0" headerRowDxfId="46" dataDxfId="45">
  <tableColumns count="9">
    <tableColumn id="1" xr3:uid="{1A704B37-8568-4935-9A4C-CC7C192E23AD}" name="Orden" dataDxfId="44"/>
    <tableColumn id="2" xr3:uid="{A6D50199-6592-44BE-A3A7-8EED02742C99}" name="Nombre" dataDxfId="43"/>
    <tableColumn id="3" xr3:uid="{C487186B-D8F5-4A9B-AC12-DD58F08C7147}" name="Tipo" dataDxfId="42"/>
    <tableColumn id="4" xr3:uid="{83823DCF-499F-4C11-A8A8-9FE2FFD8A287}" name="Longitud" dataDxfId="41"/>
    <tableColumn id="5" xr3:uid="{9E659445-54F4-45B8-A81C-B3C8F6694B86}" name="Uso" dataDxfId="40"/>
    <tableColumn id="6" xr3:uid="{99669CA6-847B-4FDE-89C2-2A2F36073C3F}" name="Descripcion" dataDxfId="39"/>
    <tableColumn id="7" xr3:uid="{ECE45E43-716A-4775-B5C0-4F5280663672}" name="Validacion" dataDxfId="38"/>
    <tableColumn id="8" xr3:uid="{237AB61F-930A-410F-9B36-B171FBCC3822}" name="Catalogo" dataDxfId="37"/>
    <tableColumn id="9" xr3:uid="{44C21339-88DF-45DE-81BA-2BDBEAE369E9}" name="Comentario BW" dataDxfId="36"/>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992A719-1AD9-4D3A-83AD-0985F033D96A}" name="Table1" displayName="Table1" ref="A9:P26" totalsRowShown="0" headerRowDxfId="35" dataDxfId="34">
  <tableColumns count="16">
    <tableColumn id="1" xr3:uid="{6337845E-E985-498F-A4F9-EC55343DE873}" name="LAYOUT" dataDxfId="33" dataCellStyle="Normal 3"/>
    <tableColumn id="2" xr3:uid="{79D6DC1E-1F87-47CA-989B-80D0369C9B15}" name="ORDEN" dataDxfId="32"/>
    <tableColumn id="3" xr3:uid="{E5B2C270-8C89-46ED-A3D8-581E6FDAA307}" name="LLAVE" dataDxfId="31"/>
    <tableColumn id="4" xr3:uid="{C7FA3588-596F-4C86-8B5C-F40562B1BB7B}" name="NOMBRE_CAMPO" dataDxfId="30"/>
    <tableColumn id="5" xr3:uid="{32F7FCD8-D48A-4EE0-8D0B-6CFA445BE1F2}" name="TIPO DATO" dataDxfId="29"/>
    <tableColumn id="6" xr3:uid="{F17A45E9-3D5B-439D-B838-C99D97B5CA42}" name="FORMATO" dataDxfId="28"/>
    <tableColumn id="7" xr3:uid="{698095BB-5EA4-45CC-9E31-8B4011E8C627}" name="OBLIGATORIO" dataDxfId="27"/>
    <tableColumn id="8" xr3:uid="{14978AAD-7D89-42AE-8EE0-77DA88A3164D}" name="VALIDACION" dataDxfId="26"/>
    <tableColumn id="9" xr3:uid="{5A1B9EE9-1EB1-4798-8159-92EE7A740813}" name="CATALOGO" dataDxfId="25"/>
    <tableColumn id="10" xr3:uid="{5EAACF26-7DD4-4BE2-8D6D-4CA441270E8C}" name="USO" dataDxfId="24"/>
    <tableColumn id="11" xr3:uid="{F75672FA-3257-40E6-B848-E8542DA97A8D}" name="COLUMNA REPORTE APLICA" dataDxfId="23"/>
    <tableColumn id="12" xr3:uid="{7CF2B7DA-0E43-4DE1-982B-740234AF47D2}" name="DESCRIPCION" dataDxfId="22"/>
    <tableColumn id="13" xr3:uid="{B4191FE2-8E00-422E-9CDC-7240D8ABD4A4}" name="DESCRIPCION INGLES" dataDxfId="21"/>
    <tableColumn id="14" xr3:uid="{0F9DE77F-129B-497D-BB7D-926B1CED6FD3}" name="OBSERVACIONES" dataDxfId="20"/>
    <tableColumn id="15" xr3:uid="{F96F8B44-280E-4FE9-87B6-9A6EFE5F204C}" name="VALIDEZ INFORMACION" dataDxfId="19"/>
    <tableColumn id="16" xr3:uid="{A042FD93-26AA-411A-BB28-43C495E96221}" name="FUENTE" dataDxfId="18"/>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EF90910-592A-4771-80BD-927BCB9ECE24}" name="Table13" displayName="Table13" ref="A9:P26" totalsRowShown="0" headerRowDxfId="17" dataDxfId="16">
  <tableColumns count="16">
    <tableColumn id="1" xr3:uid="{552581EC-2836-4AEB-B5E6-C069A49285EC}" name="LAYOUT" dataDxfId="15" dataCellStyle="Normal 3"/>
    <tableColumn id="2" xr3:uid="{AEA36FD3-C741-4242-9786-99A56964A077}" name="ORDEN" dataDxfId="14"/>
    <tableColumn id="3" xr3:uid="{26E06DCB-3C6B-45F3-ACD1-3A805096000B}" name="LLAVE" dataDxfId="13"/>
    <tableColumn id="4" xr3:uid="{02927057-0A4B-43D8-92ED-D6271A4499E4}" name="NOMBRE_CAMPO" dataDxfId="12"/>
    <tableColumn id="5" xr3:uid="{3B9C73D3-2959-4C58-885D-CA788BE277D4}" name="TIPO DATO" dataDxfId="11"/>
    <tableColumn id="6" xr3:uid="{A970E7D1-8A4F-4D51-BADA-AE2AFF83E5F3}" name="FORMATO" dataDxfId="10"/>
    <tableColumn id="7" xr3:uid="{60D2FF50-F6C8-43C7-B50A-991C45BA5EBE}" name="OBLIGATORIO" dataDxfId="9"/>
    <tableColumn id="8" xr3:uid="{FC73F339-D34D-439F-BF78-4AB7E6A95451}" name="VALIDACION" dataDxfId="8"/>
    <tableColumn id="9" xr3:uid="{01D53EAF-311F-4270-9CB9-F6968C14B6CB}" name="CATALOGO" dataDxfId="7"/>
    <tableColumn id="10" xr3:uid="{A537F175-85BC-4A82-AC38-74B408BB72E5}" name="USO" dataDxfId="6"/>
    <tableColumn id="11" xr3:uid="{9D46B454-636F-4931-8723-BF320C523E2E}" name="COLUMNA REPORTE APLICA" dataDxfId="5"/>
    <tableColumn id="12" xr3:uid="{A9F3966B-EA89-4295-9CF2-1D34656DCBE3}" name="DESCRIPCION" dataDxfId="4"/>
    <tableColumn id="13" xr3:uid="{E5B57736-126D-4CE4-BFD0-D54DB35C4462}" name="DESCRIPCION INGLES" dataDxfId="3"/>
    <tableColumn id="14" xr3:uid="{ACC94BAD-19CA-4572-916F-3F95019A898C}" name="OBSERVACIONES" dataDxfId="2"/>
    <tableColumn id="15" xr3:uid="{7779F5FE-AE3B-442F-85D7-1F6DA5759939}" name="VALIDEZ INFORMACION" dataDxfId="1"/>
    <tableColumn id="16" xr3:uid="{8E54E87A-DF85-4E7D-8C98-354672AF568A}" name="FUENT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zoomScale="80" zoomScaleNormal="80" workbookViewId="0">
      <selection activeCell="B40" sqref="B40"/>
    </sheetView>
  </sheetViews>
  <sheetFormatPr baseColWidth="10" defaultColWidth="9.140625" defaultRowHeight="15" x14ac:dyDescent="0.25"/>
  <cols>
    <col min="1" max="1" width="17.5703125" style="18" bestFit="1" customWidth="1"/>
    <col min="2" max="2" width="18.85546875" style="18" customWidth="1"/>
    <col min="3" max="4" width="14.85546875" style="18" customWidth="1"/>
    <col min="5" max="5" width="18.85546875" style="18" bestFit="1" customWidth="1"/>
    <col min="6" max="6" width="29.140625" style="18" customWidth="1"/>
    <col min="7" max="7" width="21.5703125" style="18" bestFit="1" customWidth="1"/>
    <col min="8" max="8" width="19.42578125" style="18" customWidth="1"/>
    <col min="9" max="10" width="17.42578125" style="18" bestFit="1" customWidth="1"/>
    <col min="11" max="16384" width="9.140625" style="18"/>
  </cols>
  <sheetData>
    <row r="1" spans="1:9" x14ac:dyDescent="0.25">
      <c r="A1" s="1" t="s">
        <v>12</v>
      </c>
      <c r="B1" s="28" t="s">
        <v>3443</v>
      </c>
    </row>
    <row r="2" spans="1:9" x14ac:dyDescent="0.25">
      <c r="A2" s="1" t="s">
        <v>4023</v>
      </c>
      <c r="B2" s="28" t="s">
        <v>4024</v>
      </c>
    </row>
    <row r="3" spans="1:9" x14ac:dyDescent="0.25">
      <c r="A3" s="1" t="s">
        <v>0</v>
      </c>
      <c r="B3" s="28" t="s">
        <v>3529</v>
      </c>
    </row>
    <row r="4" spans="1:9" x14ac:dyDescent="0.25">
      <c r="A4" s="1" t="s">
        <v>1</v>
      </c>
      <c r="B4" s="28" t="s">
        <v>3444</v>
      </c>
    </row>
    <row r="5" spans="1:9" ht="41.25" customHeight="1" x14ac:dyDescent="0.25">
      <c r="A5" s="1"/>
      <c r="B5" s="43" t="s">
        <v>3546</v>
      </c>
    </row>
    <row r="6" spans="1:9" x14ac:dyDescent="0.25">
      <c r="A6" s="18" t="s">
        <v>2</v>
      </c>
      <c r="B6" s="18" t="s">
        <v>3</v>
      </c>
      <c r="C6" s="18" t="s">
        <v>4</v>
      </c>
      <c r="D6" s="18" t="s">
        <v>13</v>
      </c>
      <c r="E6" s="18" t="s">
        <v>1</v>
      </c>
      <c r="F6" s="18" t="s">
        <v>0</v>
      </c>
      <c r="G6" s="18" t="s">
        <v>14</v>
      </c>
      <c r="H6" s="18" t="s">
        <v>5</v>
      </c>
      <c r="I6" s="18" t="s">
        <v>6</v>
      </c>
    </row>
    <row r="7" spans="1:9" x14ac:dyDescent="0.25">
      <c r="A7" s="18">
        <v>1</v>
      </c>
      <c r="B7" s="66" t="s">
        <v>8</v>
      </c>
      <c r="C7" s="66" t="s">
        <v>7</v>
      </c>
      <c r="D7" s="66">
        <v>1</v>
      </c>
      <c r="E7" s="66" t="s">
        <v>3453</v>
      </c>
      <c r="F7" s="67" t="s">
        <v>17</v>
      </c>
      <c r="G7" s="37" t="s">
        <v>4014</v>
      </c>
      <c r="H7" s="37"/>
      <c r="I7" s="37"/>
    </row>
    <row r="8" spans="1:9" x14ac:dyDescent="0.25">
      <c r="A8" s="18">
        <v>2</v>
      </c>
      <c r="B8" s="66" t="s">
        <v>51</v>
      </c>
      <c r="C8" s="66" t="s">
        <v>7</v>
      </c>
      <c r="D8" s="66">
        <v>1</v>
      </c>
      <c r="E8" s="66" t="s">
        <v>3550</v>
      </c>
      <c r="F8" s="67" t="s">
        <v>52</v>
      </c>
      <c r="G8" s="37" t="s">
        <v>13</v>
      </c>
      <c r="H8" s="37"/>
      <c r="I8" s="37"/>
    </row>
    <row r="9" spans="1:9" x14ac:dyDescent="0.25">
      <c r="A9" s="18">
        <v>3</v>
      </c>
      <c r="B9" s="66" t="s">
        <v>53</v>
      </c>
      <c r="C9" s="66" t="s">
        <v>7</v>
      </c>
      <c r="D9" s="66">
        <v>6</v>
      </c>
      <c r="E9" s="66" t="s">
        <v>3550</v>
      </c>
      <c r="F9" s="67" t="s">
        <v>3404</v>
      </c>
      <c r="G9" s="18" t="s">
        <v>4017</v>
      </c>
      <c r="H9" s="83"/>
      <c r="I9" s="37"/>
    </row>
    <row r="10" spans="1:9" x14ac:dyDescent="0.25">
      <c r="A10" s="18">
        <v>4</v>
      </c>
      <c r="B10" s="66" t="s">
        <v>9</v>
      </c>
      <c r="C10" s="66" t="s">
        <v>7</v>
      </c>
      <c r="D10" s="66">
        <v>3</v>
      </c>
      <c r="E10" s="66" t="s">
        <v>3453</v>
      </c>
      <c r="F10" s="67" t="s">
        <v>19</v>
      </c>
      <c r="G10" s="18" t="s">
        <v>4017</v>
      </c>
      <c r="H10" s="83" t="str">
        <f>CATALOGOS!A996</f>
        <v>MERCADO</v>
      </c>
      <c r="I10" s="37"/>
    </row>
    <row r="11" spans="1:9" x14ac:dyDescent="0.25">
      <c r="A11" s="18">
        <v>5</v>
      </c>
      <c r="B11" s="66" t="s">
        <v>3403</v>
      </c>
      <c r="C11" s="66" t="s">
        <v>15</v>
      </c>
      <c r="D11" s="66" t="s">
        <v>4037</v>
      </c>
      <c r="E11" s="66" t="s">
        <v>3550</v>
      </c>
      <c r="F11" s="67" t="s">
        <v>3402</v>
      </c>
      <c r="G11" s="18" t="s">
        <v>4018</v>
      </c>
      <c r="H11" s="78"/>
      <c r="I11" s="79"/>
    </row>
    <row r="12" spans="1:9" x14ac:dyDescent="0.25">
      <c r="A12" s="18">
        <v>6</v>
      </c>
      <c r="B12" s="66" t="s">
        <v>3417</v>
      </c>
      <c r="C12" s="66" t="s">
        <v>7</v>
      </c>
      <c r="D12" s="66">
        <v>1</v>
      </c>
      <c r="E12" s="66" t="s">
        <v>3453</v>
      </c>
      <c r="F12" s="67" t="s">
        <v>3405</v>
      </c>
      <c r="G12" s="18" t="s">
        <v>13</v>
      </c>
      <c r="H12" s="37"/>
      <c r="I12" s="37"/>
    </row>
    <row r="13" spans="1:9" x14ac:dyDescent="0.25">
      <c r="A13" s="18">
        <v>7</v>
      </c>
      <c r="B13" s="66" t="s">
        <v>20</v>
      </c>
      <c r="C13" s="66" t="s">
        <v>7</v>
      </c>
      <c r="D13" s="66">
        <v>20</v>
      </c>
      <c r="E13" s="66" t="s">
        <v>3453</v>
      </c>
      <c r="F13" s="67" t="s">
        <v>3406</v>
      </c>
      <c r="G13" s="18" t="s">
        <v>4017</v>
      </c>
      <c r="H13" s="83" t="str">
        <f>CATALOGOS!A1110</f>
        <v>PIZARRA</v>
      </c>
      <c r="I13" s="37"/>
    </row>
    <row r="14" spans="1:9" x14ac:dyDescent="0.25">
      <c r="A14" s="18">
        <v>8</v>
      </c>
      <c r="B14" s="66" t="s">
        <v>22</v>
      </c>
      <c r="C14" s="66" t="s">
        <v>7</v>
      </c>
      <c r="D14" s="66">
        <v>2</v>
      </c>
      <c r="E14" s="66" t="s">
        <v>3453</v>
      </c>
      <c r="F14" s="67" t="s">
        <v>3407</v>
      </c>
      <c r="G14" s="18" t="s">
        <v>4017</v>
      </c>
      <c r="H14" s="14" t="str">
        <f>CATALOGOS!A1089</f>
        <v>OBJETIVO</v>
      </c>
      <c r="I14" s="37"/>
    </row>
    <row r="15" spans="1:9" x14ac:dyDescent="0.25">
      <c r="A15" s="18">
        <v>9</v>
      </c>
      <c r="B15" s="66" t="s">
        <v>23</v>
      </c>
      <c r="C15" s="66" t="s">
        <v>24</v>
      </c>
      <c r="D15" s="66">
        <v>6</v>
      </c>
      <c r="E15" s="66" t="s">
        <v>3453</v>
      </c>
      <c r="F15" s="67" t="s">
        <v>26</v>
      </c>
      <c r="G15" s="18" t="s">
        <v>4019</v>
      </c>
      <c r="H15" s="37"/>
      <c r="I15" s="37"/>
    </row>
    <row r="16" spans="1:9" ht="30" x14ac:dyDescent="0.25">
      <c r="A16" s="18">
        <v>10</v>
      </c>
      <c r="B16" s="66" t="s">
        <v>3433</v>
      </c>
      <c r="C16" s="66" t="s">
        <v>24</v>
      </c>
      <c r="D16" s="66" t="s">
        <v>3411</v>
      </c>
      <c r="E16" s="66" t="s">
        <v>3550</v>
      </c>
      <c r="F16" s="67" t="s">
        <v>3445</v>
      </c>
      <c r="G16" s="37" t="s">
        <v>4020</v>
      </c>
      <c r="H16" s="37"/>
      <c r="I16" s="37"/>
    </row>
    <row r="17" spans="1:9" x14ac:dyDescent="0.25">
      <c r="A17" s="18">
        <v>11</v>
      </c>
      <c r="B17" s="66" t="s">
        <v>3425</v>
      </c>
      <c r="C17" s="66" t="s">
        <v>24</v>
      </c>
      <c r="D17" s="66">
        <v>15</v>
      </c>
      <c r="E17" s="66" t="s">
        <v>3453</v>
      </c>
      <c r="F17" s="67" t="s">
        <v>3446</v>
      </c>
      <c r="G17" s="37" t="s">
        <v>4019</v>
      </c>
      <c r="H17" s="37"/>
      <c r="I17" s="37"/>
    </row>
    <row r="18" spans="1:9" x14ac:dyDescent="0.25">
      <c r="A18" s="18">
        <v>12</v>
      </c>
      <c r="B18" s="66" t="s">
        <v>3426</v>
      </c>
      <c r="C18" s="66" t="s">
        <v>24</v>
      </c>
      <c r="D18" s="66">
        <v>3</v>
      </c>
      <c r="E18" s="66" t="s">
        <v>3453</v>
      </c>
      <c r="F18" s="67" t="s">
        <v>3447</v>
      </c>
      <c r="G18" s="37" t="s">
        <v>4014</v>
      </c>
      <c r="H18" s="14" t="s">
        <v>4051</v>
      </c>
      <c r="I18" s="37"/>
    </row>
    <row r="19" spans="1:9" ht="30" x14ac:dyDescent="0.25">
      <c r="A19" s="18">
        <v>13</v>
      </c>
      <c r="B19" s="66" t="s">
        <v>32</v>
      </c>
      <c r="C19" s="66" t="s">
        <v>7</v>
      </c>
      <c r="D19" s="66">
        <v>34</v>
      </c>
      <c r="E19" s="66" t="s">
        <v>3550</v>
      </c>
      <c r="F19" s="67" t="s">
        <v>3448</v>
      </c>
      <c r="G19" s="37" t="s">
        <v>4021</v>
      </c>
      <c r="H19" s="37"/>
      <c r="I19" s="37" t="s">
        <v>4010</v>
      </c>
    </row>
    <row r="20" spans="1:9" x14ac:dyDescent="0.25">
      <c r="A20" s="18">
        <v>14</v>
      </c>
      <c r="B20" s="66" t="s">
        <v>10</v>
      </c>
      <c r="C20" s="66" t="s">
        <v>7</v>
      </c>
      <c r="D20" s="66">
        <v>6</v>
      </c>
      <c r="E20" s="66" t="s">
        <v>3453</v>
      </c>
      <c r="F20" s="67" t="s">
        <v>41</v>
      </c>
      <c r="G20" s="37" t="s">
        <v>4014</v>
      </c>
      <c r="H20" s="14" t="str">
        <f>CATALOGOS!A6</f>
        <v>BROKER</v>
      </c>
      <c r="I20" s="37"/>
    </row>
    <row r="21" spans="1:9" x14ac:dyDescent="0.25">
      <c r="A21" s="18">
        <v>15</v>
      </c>
      <c r="B21" s="66" t="s">
        <v>54</v>
      </c>
      <c r="C21" s="66" t="s">
        <v>7</v>
      </c>
      <c r="D21" s="66">
        <v>6</v>
      </c>
      <c r="E21" s="66" t="s">
        <v>3453</v>
      </c>
      <c r="F21" s="67" t="s">
        <v>3449</v>
      </c>
      <c r="G21" s="37" t="s">
        <v>4014</v>
      </c>
      <c r="H21" s="14" t="str">
        <f>CATALOGOS!A2429</f>
        <v>OPER_FACILIT</v>
      </c>
      <c r="I21" s="37"/>
    </row>
    <row r="22" spans="1:9" ht="30" x14ac:dyDescent="0.25">
      <c r="A22" s="18">
        <v>16</v>
      </c>
      <c r="B22" s="66" t="s">
        <v>42</v>
      </c>
      <c r="C22" s="66" t="s">
        <v>24</v>
      </c>
      <c r="D22" s="66">
        <v>2</v>
      </c>
      <c r="E22" s="66" t="s">
        <v>3453</v>
      </c>
      <c r="F22" s="67" t="s">
        <v>3450</v>
      </c>
      <c r="G22" s="37" t="s">
        <v>4022</v>
      </c>
      <c r="H22" s="14" t="str">
        <f>CATALOGOS!A134</f>
        <v>CAM_COMP</v>
      </c>
      <c r="I22" s="37"/>
    </row>
    <row r="23" spans="1:9" x14ac:dyDescent="0.25">
      <c r="A23" s="18">
        <v>17</v>
      </c>
      <c r="B23" s="66" t="s">
        <v>3439</v>
      </c>
      <c r="C23" s="66" t="s">
        <v>24</v>
      </c>
      <c r="D23" s="66" t="s">
        <v>3454</v>
      </c>
      <c r="E23" s="66" t="s">
        <v>3453</v>
      </c>
      <c r="F23" s="67" t="s">
        <v>3451</v>
      </c>
      <c r="G23" s="37" t="s">
        <v>4020</v>
      </c>
      <c r="H23" s="37"/>
      <c r="I23" s="37"/>
    </row>
    <row r="24" spans="1:9" x14ac:dyDescent="0.25">
      <c r="A24" s="18">
        <v>18</v>
      </c>
      <c r="B24" s="66" t="s">
        <v>34</v>
      </c>
      <c r="C24" s="66" t="s">
        <v>7</v>
      </c>
      <c r="D24" s="66">
        <v>5</v>
      </c>
      <c r="E24" s="66" t="s">
        <v>3550</v>
      </c>
      <c r="F24" s="67" t="s">
        <v>3452</v>
      </c>
      <c r="G24" s="37" t="s">
        <v>4014</v>
      </c>
      <c r="H24" s="37"/>
      <c r="I24" s="37"/>
    </row>
    <row r="25" spans="1:9" ht="30" x14ac:dyDescent="0.25">
      <c r="A25" s="18">
        <v>24</v>
      </c>
      <c r="B25" s="66" t="s">
        <v>3547</v>
      </c>
      <c r="C25" s="66" t="s">
        <v>15</v>
      </c>
      <c r="D25" s="66" t="s">
        <v>4037</v>
      </c>
      <c r="E25" s="66" t="s">
        <v>3554</v>
      </c>
      <c r="F25" s="67" t="s">
        <v>3551</v>
      </c>
      <c r="G25" s="37" t="s">
        <v>4018</v>
      </c>
      <c r="H25" s="37"/>
      <c r="I25" s="37"/>
    </row>
    <row r="26" spans="1:9" ht="30" x14ac:dyDescent="0.25">
      <c r="A26" s="18">
        <v>26</v>
      </c>
      <c r="B26" s="66" t="s">
        <v>3548</v>
      </c>
      <c r="C26" s="66" t="s">
        <v>24</v>
      </c>
      <c r="D26" s="66">
        <v>15</v>
      </c>
      <c r="E26" s="66" t="s">
        <v>3554</v>
      </c>
      <c r="F26" s="67" t="s">
        <v>3552</v>
      </c>
      <c r="G26" s="37" t="s">
        <v>4019</v>
      </c>
      <c r="H26" s="37"/>
      <c r="I26" s="37"/>
    </row>
    <row r="27" spans="1:9" ht="30" x14ac:dyDescent="0.25">
      <c r="A27" s="18">
        <v>27</v>
      </c>
      <c r="B27" s="66" t="s">
        <v>3549</v>
      </c>
      <c r="C27" s="66" t="s">
        <v>24</v>
      </c>
      <c r="D27" s="66">
        <v>3</v>
      </c>
      <c r="E27" s="66" t="s">
        <v>3554</v>
      </c>
      <c r="F27" s="67" t="s">
        <v>3553</v>
      </c>
      <c r="G27" s="37" t="s">
        <v>4014</v>
      </c>
      <c r="H27" s="14" t="s">
        <v>4051</v>
      </c>
      <c r="I27" s="37"/>
    </row>
    <row r="28" spans="1:9" x14ac:dyDescent="0.25">
      <c r="A28" s="18">
        <v>28</v>
      </c>
      <c r="B28" s="66" t="s">
        <v>3746</v>
      </c>
      <c r="C28" s="66" t="s">
        <v>7</v>
      </c>
      <c r="D28" s="66">
        <v>52</v>
      </c>
      <c r="E28" s="66" t="s">
        <v>3965</v>
      </c>
      <c r="F28" s="67" t="s">
        <v>3966</v>
      </c>
      <c r="G28" s="37" t="s">
        <v>4021</v>
      </c>
      <c r="H28" s="37"/>
      <c r="I28" s="37"/>
    </row>
    <row r="29" spans="1:9" ht="30" x14ac:dyDescent="0.25">
      <c r="A29" s="18">
        <v>29</v>
      </c>
      <c r="B29" s="66" t="s">
        <v>4038</v>
      </c>
      <c r="C29" s="66" t="s">
        <v>24</v>
      </c>
      <c r="D29" s="66" t="s">
        <v>4040</v>
      </c>
      <c r="E29" s="66" t="s">
        <v>3554</v>
      </c>
      <c r="F29" s="67" t="s">
        <v>4042</v>
      </c>
      <c r="G29" s="37"/>
      <c r="H29" s="37"/>
      <c r="I29" s="37"/>
    </row>
    <row r="30" spans="1:9" x14ac:dyDescent="0.25">
      <c r="A30" s="18">
        <v>30</v>
      </c>
      <c r="B30" s="66" t="s">
        <v>4039</v>
      </c>
      <c r="C30" s="66" t="s">
        <v>24</v>
      </c>
      <c r="D30" s="66" t="s">
        <v>4041</v>
      </c>
      <c r="E30" s="66" t="s">
        <v>3554</v>
      </c>
      <c r="F30" s="67" t="s">
        <v>4043</v>
      </c>
      <c r="G30" s="37"/>
      <c r="H30" s="37"/>
      <c r="I30" s="37"/>
    </row>
    <row r="31" spans="1:9" ht="30" x14ac:dyDescent="0.25">
      <c r="A31" s="58">
        <v>31</v>
      </c>
      <c r="B31" s="73" t="s">
        <v>4049</v>
      </c>
      <c r="C31" s="73" t="s">
        <v>15</v>
      </c>
      <c r="D31" s="82" t="s">
        <v>4037</v>
      </c>
      <c r="E31" s="74"/>
      <c r="F31" s="34" t="s">
        <v>4050</v>
      </c>
      <c r="G31" s="75"/>
      <c r="H31" s="75"/>
      <c r="I31" s="75"/>
    </row>
  </sheetData>
  <hyperlinks>
    <hyperlink ref="H10" location="CATALOGOS!A41061" display="CATALOGOS!A41061" xr:uid="{00000000-0004-0000-0100-000001000000}"/>
    <hyperlink ref="H13" location="CATALOGOS!A41175" display="CATALOGOS!A41175" xr:uid="{00000000-0004-0000-0100-000002000000}"/>
    <hyperlink ref="H14" location="CATALOGOS!A41154" display="CATALOGOS!A41154" xr:uid="{00000000-0004-0000-0100-000003000000}"/>
    <hyperlink ref="H18" location="CATALOGOS!A41084" display="CATALOGOS!A41084" xr:uid="{00000000-0004-0000-0100-000004000000}"/>
    <hyperlink ref="H20" location="CATALOGOS!A7" display="CATALOGOS!A7" xr:uid="{00000000-0004-0000-0100-000005000000}"/>
    <hyperlink ref="H21" location="CATALOGOS!A42494" display="CATALOGOS!A42494" xr:uid="{00000000-0004-0000-0100-000006000000}"/>
    <hyperlink ref="H22" location="CATALOGOS!A135" display="CATALOGOS!A135" xr:uid="{00000000-0004-0000-0100-000007000000}"/>
    <hyperlink ref="H27" location="CATALOGOS!A41084" display="CATALOGOS!A41084" xr:uid="{E98BA7B1-10A4-4E3A-819E-71DA50407071}"/>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2"/>
  <sheetViews>
    <sheetView topLeftCell="A41" zoomScale="80" zoomScaleNormal="110" workbookViewId="0">
      <selection activeCell="E71" sqref="E71"/>
    </sheetView>
  </sheetViews>
  <sheetFormatPr baseColWidth="10" defaultColWidth="9.140625" defaultRowHeight="15" x14ac:dyDescent="0.25"/>
  <cols>
    <col min="1" max="1" width="18" style="18" bestFit="1" customWidth="1"/>
    <col min="2" max="2" width="18.85546875" style="18" customWidth="1"/>
    <col min="3" max="4" width="14.85546875" style="18" customWidth="1"/>
    <col min="5" max="5" width="30.28515625" style="18" customWidth="1"/>
    <col min="6" max="6" width="37.7109375" style="18" customWidth="1"/>
    <col min="7" max="7" width="19" style="18" customWidth="1"/>
    <col min="8" max="8" width="21.140625" style="18" customWidth="1"/>
    <col min="9" max="9" width="20.42578125" style="18" customWidth="1"/>
    <col min="10" max="10" width="17.42578125" style="18" bestFit="1" customWidth="1"/>
    <col min="11" max="11" width="25.140625" style="18" bestFit="1" customWidth="1"/>
    <col min="12" max="12" width="14.7109375" style="18" customWidth="1"/>
    <col min="13" max="13" width="9.140625" style="18"/>
    <col min="14" max="14" width="21.28515625" style="18" customWidth="1"/>
    <col min="15" max="16384" width="9.140625" style="18"/>
  </cols>
  <sheetData>
    <row r="1" spans="1:9" x14ac:dyDescent="0.25">
      <c r="A1" s="1" t="s">
        <v>12</v>
      </c>
      <c r="B1" s="28" t="s">
        <v>3561</v>
      </c>
    </row>
    <row r="2" spans="1:9" x14ac:dyDescent="0.25">
      <c r="A2" s="1" t="s">
        <v>4023</v>
      </c>
      <c r="B2" s="28" t="s">
        <v>4024</v>
      </c>
    </row>
    <row r="3" spans="1:9" x14ac:dyDescent="0.25">
      <c r="A3" s="1" t="s">
        <v>0</v>
      </c>
      <c r="B3" s="28" t="s">
        <v>3530</v>
      </c>
    </row>
    <row r="4" spans="1:9" x14ac:dyDescent="0.25">
      <c r="A4" s="1" t="s">
        <v>1</v>
      </c>
      <c r="B4" s="28" t="s">
        <v>3562</v>
      </c>
    </row>
    <row r="5" spans="1:9" ht="41.25" customHeight="1" x14ac:dyDescent="0.25">
      <c r="A5" s="1"/>
      <c r="B5" s="43" t="s">
        <v>3557</v>
      </c>
    </row>
    <row r="6" spans="1:9" x14ac:dyDescent="0.25">
      <c r="A6" s="18" t="s">
        <v>2</v>
      </c>
      <c r="B6" s="18" t="s">
        <v>3</v>
      </c>
      <c r="C6" s="18" t="s">
        <v>4</v>
      </c>
      <c r="D6" s="18" t="s">
        <v>13</v>
      </c>
      <c r="E6" s="18" t="s">
        <v>1</v>
      </c>
      <c r="F6" s="18" t="s">
        <v>0</v>
      </c>
      <c r="G6" s="18" t="s">
        <v>14</v>
      </c>
      <c r="H6" s="18" t="s">
        <v>5</v>
      </c>
      <c r="I6" s="18" t="s">
        <v>6</v>
      </c>
    </row>
    <row r="7" spans="1:9" x14ac:dyDescent="0.25">
      <c r="A7" s="28">
        <v>1</v>
      </c>
      <c r="B7" s="66" t="s">
        <v>8</v>
      </c>
      <c r="C7" s="66" t="s">
        <v>7</v>
      </c>
      <c r="D7" s="66">
        <v>1</v>
      </c>
      <c r="E7" s="66" t="s">
        <v>3461</v>
      </c>
      <c r="F7" s="66" t="s">
        <v>3462</v>
      </c>
      <c r="G7" s="29" t="s">
        <v>4014</v>
      </c>
      <c r="H7" s="29"/>
      <c r="I7" s="29"/>
    </row>
    <row r="8" spans="1:9" x14ac:dyDescent="0.25">
      <c r="A8" s="28">
        <v>2</v>
      </c>
      <c r="B8" s="66" t="s">
        <v>3413</v>
      </c>
      <c r="C8" s="66" t="s">
        <v>7</v>
      </c>
      <c r="D8" s="66">
        <v>6</v>
      </c>
      <c r="E8" s="66" t="s">
        <v>4027</v>
      </c>
      <c r="F8" s="66" t="s">
        <v>3463</v>
      </c>
      <c r="G8" s="29" t="s">
        <v>4014</v>
      </c>
      <c r="H8" s="30" t="s">
        <v>60</v>
      </c>
      <c r="I8" s="29"/>
    </row>
    <row r="9" spans="1:9" x14ac:dyDescent="0.25">
      <c r="A9" s="28">
        <v>3</v>
      </c>
      <c r="B9" s="66" t="s">
        <v>3403</v>
      </c>
      <c r="C9" s="66" t="s">
        <v>15</v>
      </c>
      <c r="D9" s="66" t="s">
        <v>4037</v>
      </c>
      <c r="E9" s="66" t="s">
        <v>3555</v>
      </c>
      <c r="F9" s="66" t="s">
        <v>3464</v>
      </c>
      <c r="G9" s="29" t="s">
        <v>4018</v>
      </c>
      <c r="H9" s="29"/>
      <c r="I9" s="29"/>
    </row>
    <row r="10" spans="1:9" x14ac:dyDescent="0.25">
      <c r="A10" s="28">
        <v>4</v>
      </c>
      <c r="B10" s="66" t="s">
        <v>3414</v>
      </c>
      <c r="C10" s="66" t="s">
        <v>15</v>
      </c>
      <c r="D10" s="66" t="s">
        <v>4037</v>
      </c>
      <c r="E10" s="66" t="s">
        <v>3461</v>
      </c>
      <c r="F10" s="66" t="s">
        <v>3465</v>
      </c>
      <c r="G10" s="29" t="s">
        <v>4018</v>
      </c>
      <c r="H10" s="29"/>
      <c r="I10" s="29"/>
    </row>
    <row r="11" spans="1:9" x14ac:dyDescent="0.25">
      <c r="A11" s="81">
        <v>5</v>
      </c>
      <c r="B11" s="66" t="s">
        <v>3415</v>
      </c>
      <c r="C11" s="66" t="s">
        <v>15</v>
      </c>
      <c r="D11" s="66" t="s">
        <v>4037</v>
      </c>
      <c r="E11" s="66" t="s">
        <v>4036</v>
      </c>
      <c r="F11" s="66" t="s">
        <v>3466</v>
      </c>
      <c r="G11" s="29" t="s">
        <v>4018</v>
      </c>
      <c r="H11" s="35"/>
      <c r="I11" s="31"/>
    </row>
    <row r="12" spans="1:9" x14ac:dyDescent="0.25">
      <c r="A12" s="28">
        <v>6</v>
      </c>
      <c r="B12" s="66" t="s">
        <v>3416</v>
      </c>
      <c r="C12" s="66" t="s">
        <v>24</v>
      </c>
      <c r="D12" s="66">
        <v>2</v>
      </c>
      <c r="E12" s="66" t="s">
        <v>3461</v>
      </c>
      <c r="F12" s="66" t="s">
        <v>3467</v>
      </c>
      <c r="G12" s="29" t="s">
        <v>4019</v>
      </c>
      <c r="H12" s="29"/>
      <c r="I12" s="29"/>
    </row>
    <row r="13" spans="1:9" x14ac:dyDescent="0.25">
      <c r="A13" s="28">
        <v>7</v>
      </c>
      <c r="B13" s="66" t="s">
        <v>3417</v>
      </c>
      <c r="C13" s="66" t="s">
        <v>7</v>
      </c>
      <c r="D13" s="66">
        <v>1</v>
      </c>
      <c r="E13" s="66" t="s">
        <v>4027</v>
      </c>
      <c r="F13" s="66" t="s">
        <v>3468</v>
      </c>
      <c r="G13" s="29" t="s">
        <v>13</v>
      </c>
      <c r="H13" s="29"/>
      <c r="I13" s="29"/>
    </row>
    <row r="14" spans="1:9" x14ac:dyDescent="0.25">
      <c r="A14" s="28">
        <v>8</v>
      </c>
      <c r="B14" s="66" t="s">
        <v>3418</v>
      </c>
      <c r="C14" s="66" t="s">
        <v>7</v>
      </c>
      <c r="D14" s="66">
        <v>1</v>
      </c>
      <c r="E14" s="66" t="s">
        <v>4027</v>
      </c>
      <c r="F14" s="66" t="s">
        <v>3469</v>
      </c>
      <c r="G14" s="29" t="s">
        <v>13</v>
      </c>
      <c r="H14" s="28"/>
      <c r="I14" s="29"/>
    </row>
    <row r="15" spans="1:9" x14ac:dyDescent="0.25">
      <c r="A15" s="28">
        <v>9</v>
      </c>
      <c r="B15" s="66" t="s">
        <v>3419</v>
      </c>
      <c r="C15" s="66" t="s">
        <v>7</v>
      </c>
      <c r="D15" s="66">
        <v>1</v>
      </c>
      <c r="E15" s="66" t="s">
        <v>3461</v>
      </c>
      <c r="F15" s="66" t="s">
        <v>3470</v>
      </c>
      <c r="G15" s="29" t="s">
        <v>13</v>
      </c>
      <c r="H15" s="29"/>
      <c r="I15" s="29"/>
    </row>
    <row r="16" spans="1:9" x14ac:dyDescent="0.25">
      <c r="A16" s="28">
        <v>10</v>
      </c>
      <c r="B16" s="66" t="s">
        <v>22</v>
      </c>
      <c r="C16" s="66" t="s">
        <v>7</v>
      </c>
      <c r="D16" s="66">
        <v>2</v>
      </c>
      <c r="E16" s="66" t="s">
        <v>3461</v>
      </c>
      <c r="F16" s="66" t="s">
        <v>3471</v>
      </c>
      <c r="G16" s="29" t="s">
        <v>4014</v>
      </c>
      <c r="H16" s="30" t="s">
        <v>22</v>
      </c>
      <c r="I16" s="29"/>
    </row>
    <row r="17" spans="1:9" x14ac:dyDescent="0.25">
      <c r="A17" s="28">
        <v>11</v>
      </c>
      <c r="B17" s="66" t="s">
        <v>3420</v>
      </c>
      <c r="C17" s="66" t="s">
        <v>24</v>
      </c>
      <c r="D17" s="66">
        <v>15</v>
      </c>
      <c r="E17" s="66" t="s">
        <v>4027</v>
      </c>
      <c r="F17" s="66" t="s">
        <v>3472</v>
      </c>
      <c r="G17" s="29" t="s">
        <v>4019</v>
      </c>
      <c r="H17" s="29"/>
      <c r="I17" s="29"/>
    </row>
    <row r="18" spans="1:9" x14ac:dyDescent="0.25">
      <c r="A18" s="81">
        <v>12</v>
      </c>
      <c r="B18" s="66" t="s">
        <v>3421</v>
      </c>
      <c r="C18" s="66" t="s">
        <v>24</v>
      </c>
      <c r="D18" s="66">
        <v>3</v>
      </c>
      <c r="E18" s="66" t="s">
        <v>4027</v>
      </c>
      <c r="F18" s="66" t="s">
        <v>3473</v>
      </c>
      <c r="G18" s="29" t="s">
        <v>4014</v>
      </c>
      <c r="H18" s="30" t="s">
        <v>4051</v>
      </c>
      <c r="I18" s="29"/>
    </row>
    <row r="19" spans="1:9" x14ac:dyDescent="0.25">
      <c r="A19" s="28">
        <v>13</v>
      </c>
      <c r="B19" s="66" t="s">
        <v>27</v>
      </c>
      <c r="C19" s="66" t="s">
        <v>7</v>
      </c>
      <c r="D19" s="66">
        <v>1</v>
      </c>
      <c r="E19" s="66" t="s">
        <v>4048</v>
      </c>
      <c r="F19" s="66" t="s">
        <v>3474</v>
      </c>
      <c r="G19" s="29" t="s">
        <v>13</v>
      </c>
      <c r="H19" s="29"/>
      <c r="I19" s="29"/>
    </row>
    <row r="20" spans="1:9" x14ac:dyDescent="0.25">
      <c r="A20" s="28">
        <v>14</v>
      </c>
      <c r="B20" s="66" t="s">
        <v>3422</v>
      </c>
      <c r="C20" s="66" t="s">
        <v>24</v>
      </c>
      <c r="D20" s="66">
        <v>3</v>
      </c>
      <c r="E20" s="66" t="s">
        <v>4027</v>
      </c>
      <c r="F20" s="66" t="s">
        <v>3475</v>
      </c>
      <c r="G20" s="29" t="s">
        <v>4014</v>
      </c>
      <c r="H20" s="30" t="s">
        <v>4051</v>
      </c>
      <c r="I20" s="29"/>
    </row>
    <row r="21" spans="1:9" x14ac:dyDescent="0.25">
      <c r="A21" s="28">
        <v>15</v>
      </c>
      <c r="B21" s="66" t="s">
        <v>3423</v>
      </c>
      <c r="C21" s="66" t="s">
        <v>7</v>
      </c>
      <c r="D21" s="66">
        <v>1</v>
      </c>
      <c r="E21" s="66" t="s">
        <v>3461</v>
      </c>
      <c r="F21" s="66" t="s">
        <v>3476</v>
      </c>
      <c r="G21" s="29" t="s">
        <v>13</v>
      </c>
      <c r="H21" s="29"/>
      <c r="I21" s="29"/>
    </row>
    <row r="22" spans="1:9" x14ac:dyDescent="0.25">
      <c r="A22" s="28">
        <v>16</v>
      </c>
      <c r="B22" s="66" t="s">
        <v>3424</v>
      </c>
      <c r="C22" s="66" t="s">
        <v>24</v>
      </c>
      <c r="D22" s="66" t="s">
        <v>3411</v>
      </c>
      <c r="E22" s="66" t="s">
        <v>3461</v>
      </c>
      <c r="F22" s="66" t="s">
        <v>3477</v>
      </c>
      <c r="G22" s="29" t="s">
        <v>4020</v>
      </c>
      <c r="H22" s="29"/>
      <c r="I22" s="29"/>
    </row>
    <row r="23" spans="1:9" x14ac:dyDescent="0.25">
      <c r="A23" s="28">
        <v>17</v>
      </c>
      <c r="B23" s="66" t="s">
        <v>3425</v>
      </c>
      <c r="C23" s="66" t="s">
        <v>24</v>
      </c>
      <c r="D23" s="66">
        <v>15</v>
      </c>
      <c r="E23" s="66" t="s">
        <v>3461</v>
      </c>
      <c r="F23" s="66" t="s">
        <v>3478</v>
      </c>
      <c r="G23" s="29" t="s">
        <v>4019</v>
      </c>
      <c r="H23" s="29"/>
      <c r="I23" s="29"/>
    </row>
    <row r="24" spans="1:9" x14ac:dyDescent="0.25">
      <c r="A24" s="28">
        <v>18</v>
      </c>
      <c r="B24" s="66" t="s">
        <v>3426</v>
      </c>
      <c r="C24" s="66" t="s">
        <v>24</v>
      </c>
      <c r="D24" s="66">
        <v>3</v>
      </c>
      <c r="E24" s="66" t="s">
        <v>3461</v>
      </c>
      <c r="F24" s="66" t="s">
        <v>3479</v>
      </c>
      <c r="G24" s="29" t="s">
        <v>4014</v>
      </c>
      <c r="H24" s="30" t="s">
        <v>4051</v>
      </c>
      <c r="I24" s="29"/>
    </row>
    <row r="25" spans="1:9" x14ac:dyDescent="0.25">
      <c r="A25" s="81">
        <v>19</v>
      </c>
      <c r="B25" s="66" t="s">
        <v>3427</v>
      </c>
      <c r="C25" s="66" t="s">
        <v>15</v>
      </c>
      <c r="D25" s="66" t="s">
        <v>4037</v>
      </c>
      <c r="E25" s="66" t="s">
        <v>3461</v>
      </c>
      <c r="F25" s="66" t="s">
        <v>3480</v>
      </c>
      <c r="G25" s="29" t="s">
        <v>4018</v>
      </c>
      <c r="H25" s="29"/>
      <c r="I25" s="29"/>
    </row>
    <row r="26" spans="1:9" x14ac:dyDescent="0.25">
      <c r="A26" s="28">
        <v>20</v>
      </c>
      <c r="B26" s="66" t="s">
        <v>55</v>
      </c>
      <c r="C26" s="66" t="s">
        <v>24</v>
      </c>
      <c r="D26" s="66">
        <v>2</v>
      </c>
      <c r="E26" s="66" t="s">
        <v>3461</v>
      </c>
      <c r="F26" s="66" t="s">
        <v>3481</v>
      </c>
      <c r="G26" s="29" t="s">
        <v>4014</v>
      </c>
      <c r="H26" s="32" t="str">
        <f>CATALOGOS!A2470</f>
        <v>PAQ_ESTRUCT</v>
      </c>
      <c r="I26" s="29"/>
    </row>
    <row r="27" spans="1:9" x14ac:dyDescent="0.25">
      <c r="A27" s="28">
        <v>21</v>
      </c>
      <c r="B27" s="66" t="s">
        <v>56</v>
      </c>
      <c r="C27" s="66" t="s">
        <v>7</v>
      </c>
      <c r="D27" s="66">
        <v>20</v>
      </c>
      <c r="E27" s="66" t="s">
        <v>3461</v>
      </c>
      <c r="F27" s="66" t="s">
        <v>3482</v>
      </c>
      <c r="G27" s="29" t="s">
        <v>13</v>
      </c>
      <c r="H27" s="29"/>
      <c r="I27" s="29"/>
    </row>
    <row r="28" spans="1:9" x14ac:dyDescent="0.25">
      <c r="A28" s="28">
        <v>22</v>
      </c>
      <c r="B28" s="66" t="s">
        <v>57</v>
      </c>
      <c r="C28" s="66" t="s">
        <v>24</v>
      </c>
      <c r="D28" s="66">
        <v>3</v>
      </c>
      <c r="E28" s="66" t="s">
        <v>3461</v>
      </c>
      <c r="F28" s="66" t="s">
        <v>3483</v>
      </c>
      <c r="G28" s="29" t="s">
        <v>13</v>
      </c>
      <c r="H28" s="29"/>
      <c r="I28" s="29"/>
    </row>
    <row r="29" spans="1:9" x14ac:dyDescent="0.25">
      <c r="A29" s="28">
        <v>23</v>
      </c>
      <c r="B29" s="66" t="s">
        <v>28</v>
      </c>
      <c r="C29" s="66" t="s">
        <v>7</v>
      </c>
      <c r="D29" s="66">
        <v>3</v>
      </c>
      <c r="E29" s="66" t="s">
        <v>4048</v>
      </c>
      <c r="F29" s="66" t="s">
        <v>3484</v>
      </c>
      <c r="G29" s="29" t="s">
        <v>4014</v>
      </c>
      <c r="H29" s="32" t="str">
        <f>CATALOGOS!A2094</f>
        <v>SUBY</v>
      </c>
      <c r="I29" s="29"/>
    </row>
    <row r="30" spans="1:9" x14ac:dyDescent="0.25">
      <c r="A30" s="28">
        <v>24</v>
      </c>
      <c r="B30" s="66" t="s">
        <v>11</v>
      </c>
      <c r="C30" s="66" t="s">
        <v>7</v>
      </c>
      <c r="D30" s="66">
        <v>20</v>
      </c>
      <c r="E30" s="66" t="s">
        <v>4048</v>
      </c>
      <c r="F30" s="66" t="s">
        <v>3485</v>
      </c>
      <c r="G30" s="29" t="s">
        <v>4014</v>
      </c>
      <c r="H30" s="32" t="str">
        <f>CATALOGOS!A566</f>
        <v>CVE_TIT</v>
      </c>
      <c r="I30" s="29"/>
    </row>
    <row r="31" spans="1:9" x14ac:dyDescent="0.25">
      <c r="A31" s="28">
        <v>25</v>
      </c>
      <c r="B31" s="66" t="s">
        <v>3428</v>
      </c>
      <c r="C31" s="66" t="s">
        <v>24</v>
      </c>
      <c r="D31" s="66">
        <v>3</v>
      </c>
      <c r="E31" s="66" t="s">
        <v>3461</v>
      </c>
      <c r="F31" s="66" t="s">
        <v>3486</v>
      </c>
      <c r="G31" s="29" t="s">
        <v>4019</v>
      </c>
      <c r="H31" s="29"/>
      <c r="I31" s="29"/>
    </row>
    <row r="32" spans="1:9" x14ac:dyDescent="0.25">
      <c r="A32" s="81">
        <v>26</v>
      </c>
      <c r="B32" s="66" t="s">
        <v>3429</v>
      </c>
      <c r="C32" s="66" t="s">
        <v>24</v>
      </c>
      <c r="D32" s="66">
        <v>3</v>
      </c>
      <c r="E32" s="66" t="s">
        <v>3461</v>
      </c>
      <c r="F32" s="66" t="s">
        <v>3487</v>
      </c>
      <c r="G32" s="29" t="s">
        <v>4019</v>
      </c>
      <c r="H32" s="29"/>
      <c r="I32" s="29"/>
    </row>
    <row r="33" spans="1:9" x14ac:dyDescent="0.25">
      <c r="A33" s="28">
        <v>27</v>
      </c>
      <c r="B33" s="66" t="s">
        <v>3430</v>
      </c>
      <c r="C33" s="66" t="s">
        <v>24</v>
      </c>
      <c r="D33" s="66">
        <v>3</v>
      </c>
      <c r="E33" s="66" t="s">
        <v>4027</v>
      </c>
      <c r="F33" s="66" t="s">
        <v>3488</v>
      </c>
      <c r="G33" s="29" t="s">
        <v>4019</v>
      </c>
      <c r="H33" s="29"/>
      <c r="I33" s="29"/>
    </row>
    <row r="34" spans="1:9" x14ac:dyDescent="0.25">
      <c r="A34" s="28">
        <v>28</v>
      </c>
      <c r="B34" s="66" t="s">
        <v>3410</v>
      </c>
      <c r="C34" s="66" t="s">
        <v>7</v>
      </c>
      <c r="D34" s="66">
        <v>34</v>
      </c>
      <c r="E34" s="66" t="s">
        <v>3461</v>
      </c>
      <c r="F34" s="66" t="s">
        <v>3489</v>
      </c>
      <c r="G34" s="29" t="s">
        <v>13</v>
      </c>
      <c r="H34" s="29"/>
      <c r="I34" s="29"/>
    </row>
    <row r="35" spans="1:9" x14ac:dyDescent="0.25">
      <c r="A35" s="28">
        <v>29</v>
      </c>
      <c r="B35" s="66" t="s">
        <v>3431</v>
      </c>
      <c r="C35" s="66" t="s">
        <v>24</v>
      </c>
      <c r="D35" s="66">
        <v>9</v>
      </c>
      <c r="E35" s="66" t="s">
        <v>3461</v>
      </c>
      <c r="F35" s="66" t="s">
        <v>3490</v>
      </c>
      <c r="G35" s="29" t="s">
        <v>13</v>
      </c>
      <c r="H35" s="29"/>
      <c r="I35" s="29"/>
    </row>
    <row r="36" spans="1:9" x14ac:dyDescent="0.25">
      <c r="A36" s="28">
        <v>30</v>
      </c>
      <c r="B36" s="66" t="s">
        <v>3432</v>
      </c>
      <c r="C36" s="66" t="s">
        <v>24</v>
      </c>
      <c r="D36" s="66">
        <v>3</v>
      </c>
      <c r="E36" s="66" t="s">
        <v>3461</v>
      </c>
      <c r="F36" s="66" t="s">
        <v>3491</v>
      </c>
      <c r="G36" s="29" t="s">
        <v>4014</v>
      </c>
      <c r="H36" s="30" t="s">
        <v>4051</v>
      </c>
      <c r="I36" s="29"/>
    </row>
    <row r="37" spans="1:9" x14ac:dyDescent="0.25">
      <c r="A37" s="28">
        <v>31</v>
      </c>
      <c r="B37" s="66" t="s">
        <v>3433</v>
      </c>
      <c r="C37" s="66" t="s">
        <v>24</v>
      </c>
      <c r="D37" s="66" t="s">
        <v>3411</v>
      </c>
      <c r="E37" s="66" t="s">
        <v>3556</v>
      </c>
      <c r="F37" s="66" t="s">
        <v>3492</v>
      </c>
      <c r="G37" s="29" t="s">
        <v>4020</v>
      </c>
      <c r="H37" s="29"/>
      <c r="I37" s="29"/>
    </row>
    <row r="38" spans="1:9" x14ac:dyDescent="0.25">
      <c r="A38" s="28">
        <v>32</v>
      </c>
      <c r="B38" s="66" t="s">
        <v>3434</v>
      </c>
      <c r="C38" s="66" t="s">
        <v>24</v>
      </c>
      <c r="D38" s="66">
        <v>3</v>
      </c>
      <c r="E38" s="66" t="s">
        <v>3461</v>
      </c>
      <c r="F38" s="66" t="s">
        <v>3493</v>
      </c>
      <c r="G38" s="29" t="s">
        <v>4014</v>
      </c>
      <c r="H38" s="30" t="s">
        <v>4051</v>
      </c>
      <c r="I38" s="29"/>
    </row>
    <row r="39" spans="1:9" x14ac:dyDescent="0.25">
      <c r="A39" s="81">
        <v>33</v>
      </c>
      <c r="B39" s="66" t="s">
        <v>3435</v>
      </c>
      <c r="C39" s="66" t="s">
        <v>24</v>
      </c>
      <c r="D39" s="66" t="s">
        <v>3411</v>
      </c>
      <c r="E39" s="66" t="s">
        <v>3461</v>
      </c>
      <c r="F39" s="66" t="s">
        <v>3494</v>
      </c>
      <c r="G39" s="29" t="s">
        <v>4020</v>
      </c>
      <c r="H39" s="29"/>
      <c r="I39" s="29"/>
    </row>
    <row r="40" spans="1:9" x14ac:dyDescent="0.25">
      <c r="A40" s="28">
        <v>34</v>
      </c>
      <c r="B40" s="66" t="s">
        <v>3436</v>
      </c>
      <c r="C40" s="66" t="s">
        <v>24</v>
      </c>
      <c r="D40" s="66" t="s">
        <v>3411</v>
      </c>
      <c r="E40" s="66" t="s">
        <v>3461</v>
      </c>
      <c r="F40" s="66" t="s">
        <v>3495</v>
      </c>
      <c r="G40" s="29" t="s">
        <v>4020</v>
      </c>
      <c r="H40" s="29"/>
      <c r="I40" s="29"/>
    </row>
    <row r="41" spans="1:9" x14ac:dyDescent="0.25">
      <c r="A41" s="28">
        <v>35</v>
      </c>
      <c r="B41" s="66" t="s">
        <v>3437</v>
      </c>
      <c r="C41" s="66" t="s">
        <v>7</v>
      </c>
      <c r="D41" s="66">
        <v>1</v>
      </c>
      <c r="E41" s="66" t="s">
        <v>3461</v>
      </c>
      <c r="F41" s="66" t="s">
        <v>3496</v>
      </c>
      <c r="G41" s="29" t="s">
        <v>13</v>
      </c>
      <c r="H41" s="29"/>
      <c r="I41" s="29"/>
    </row>
    <row r="42" spans="1:9" x14ac:dyDescent="0.25">
      <c r="A42" s="28">
        <v>36</v>
      </c>
      <c r="B42" s="66" t="s">
        <v>37</v>
      </c>
      <c r="C42" s="66" t="s">
        <v>7</v>
      </c>
      <c r="D42" s="66">
        <v>2</v>
      </c>
      <c r="E42" s="66" t="s">
        <v>4027</v>
      </c>
      <c r="F42" s="66" t="s">
        <v>3497</v>
      </c>
      <c r="G42" s="29" t="s">
        <v>4014</v>
      </c>
      <c r="H42" s="32" t="str">
        <f>CATALOGOS!A2231</f>
        <v>TIP_DER</v>
      </c>
      <c r="I42" s="29"/>
    </row>
    <row r="43" spans="1:9" x14ac:dyDescent="0.25">
      <c r="A43" s="28">
        <v>37</v>
      </c>
      <c r="B43" s="66" t="s">
        <v>3438</v>
      </c>
      <c r="C43" s="66" t="s">
        <v>7</v>
      </c>
      <c r="D43" s="66">
        <v>1</v>
      </c>
      <c r="E43" s="66" t="s">
        <v>3461</v>
      </c>
      <c r="F43" s="66" t="s">
        <v>3498</v>
      </c>
      <c r="G43" s="29" t="s">
        <v>13</v>
      </c>
      <c r="H43" s="29"/>
      <c r="I43" s="29"/>
    </row>
    <row r="44" spans="1:9" x14ac:dyDescent="0.25">
      <c r="A44" s="28">
        <v>38</v>
      </c>
      <c r="B44" s="66" t="s">
        <v>40</v>
      </c>
      <c r="C44" s="66" t="s">
        <v>24</v>
      </c>
      <c r="D44" s="66">
        <v>2</v>
      </c>
      <c r="E44" s="66" t="s">
        <v>3461</v>
      </c>
      <c r="F44" s="66" t="s">
        <v>3499</v>
      </c>
      <c r="G44" s="29" t="s">
        <v>4014</v>
      </c>
      <c r="H44" s="30" t="str">
        <f>CATALOGOS!A1074</f>
        <v>NEG_PLAT</v>
      </c>
      <c r="I44" s="29"/>
    </row>
    <row r="45" spans="1:9" x14ac:dyDescent="0.25">
      <c r="A45" s="28">
        <v>39</v>
      </c>
      <c r="B45" s="66" t="s">
        <v>10</v>
      </c>
      <c r="C45" s="66" t="s">
        <v>7</v>
      </c>
      <c r="D45" s="66">
        <v>6</v>
      </c>
      <c r="E45" s="66" t="s">
        <v>3461</v>
      </c>
      <c r="F45" s="66" t="s">
        <v>3500</v>
      </c>
      <c r="G45" s="29" t="s">
        <v>4014</v>
      </c>
      <c r="H45" s="29" t="s">
        <v>40</v>
      </c>
      <c r="I45" s="29"/>
    </row>
    <row r="46" spans="1:9" x14ac:dyDescent="0.25">
      <c r="A46" s="81">
        <v>40</v>
      </c>
      <c r="B46" s="66" t="s">
        <v>42</v>
      </c>
      <c r="C46" s="66" t="s">
        <v>24</v>
      </c>
      <c r="D46" s="66">
        <v>2</v>
      </c>
      <c r="E46" s="66" t="s">
        <v>3461</v>
      </c>
      <c r="F46" s="66" t="s">
        <v>3501</v>
      </c>
      <c r="G46" s="29" t="s">
        <v>4014</v>
      </c>
      <c r="H46" s="30" t="s">
        <v>63</v>
      </c>
      <c r="I46" s="29"/>
    </row>
    <row r="47" spans="1:9" x14ac:dyDescent="0.25">
      <c r="A47" s="28">
        <v>41</v>
      </c>
      <c r="B47" s="66" t="s">
        <v>43</v>
      </c>
      <c r="C47" s="66" t="s">
        <v>7</v>
      </c>
      <c r="D47" s="66">
        <v>6</v>
      </c>
      <c r="E47" s="66" t="s">
        <v>3461</v>
      </c>
      <c r="F47" s="66" t="s">
        <v>3502</v>
      </c>
      <c r="G47" s="29" t="s">
        <v>4014</v>
      </c>
      <c r="H47" s="30" t="s">
        <v>60</v>
      </c>
      <c r="I47" s="29"/>
    </row>
    <row r="48" spans="1:9" x14ac:dyDescent="0.25">
      <c r="A48" s="28">
        <v>42</v>
      </c>
      <c r="B48" s="66" t="s">
        <v>44</v>
      </c>
      <c r="C48" s="66" t="s">
        <v>7</v>
      </c>
      <c r="D48" s="66">
        <v>34</v>
      </c>
      <c r="E48" s="66" t="s">
        <v>3461</v>
      </c>
      <c r="F48" s="66" t="s">
        <v>3503</v>
      </c>
      <c r="G48" s="29" t="s">
        <v>13</v>
      </c>
      <c r="H48" s="29"/>
      <c r="I48" s="29"/>
    </row>
    <row r="49" spans="1:9" x14ac:dyDescent="0.25">
      <c r="A49" s="28">
        <v>43</v>
      </c>
      <c r="B49" s="66" t="s">
        <v>3439</v>
      </c>
      <c r="C49" s="66" t="s">
        <v>24</v>
      </c>
      <c r="D49" s="66" t="s">
        <v>3454</v>
      </c>
      <c r="E49" s="66" t="s">
        <v>4027</v>
      </c>
      <c r="F49" s="66" t="s">
        <v>3504</v>
      </c>
      <c r="G49" s="29" t="s">
        <v>4020</v>
      </c>
      <c r="H49" s="29"/>
      <c r="I49" s="29"/>
    </row>
    <row r="50" spans="1:9" ht="45" x14ac:dyDescent="0.25">
      <c r="A50" s="28">
        <v>44</v>
      </c>
      <c r="B50" s="66" t="s">
        <v>32</v>
      </c>
      <c r="C50" s="66" t="s">
        <v>7</v>
      </c>
      <c r="D50" s="66">
        <v>34</v>
      </c>
      <c r="E50" s="66" t="s">
        <v>3555</v>
      </c>
      <c r="F50" s="66" t="s">
        <v>3505</v>
      </c>
      <c r="G50" s="29" t="s">
        <v>4021</v>
      </c>
      <c r="H50" s="29"/>
      <c r="I50" s="29" t="s">
        <v>4011</v>
      </c>
    </row>
    <row r="51" spans="1:9" x14ac:dyDescent="0.25">
      <c r="A51" s="28">
        <v>45</v>
      </c>
      <c r="B51" s="66" t="s">
        <v>3455</v>
      </c>
      <c r="C51" s="66" t="s">
        <v>15</v>
      </c>
      <c r="D51" s="66" t="s">
        <v>4037</v>
      </c>
      <c r="E51" s="66" t="s">
        <v>3460</v>
      </c>
      <c r="F51" s="66" t="s">
        <v>3506</v>
      </c>
      <c r="G51" s="29" t="s">
        <v>4018</v>
      </c>
      <c r="H51" s="29"/>
      <c r="I51" s="29"/>
    </row>
    <row r="52" spans="1:9" x14ac:dyDescent="0.25">
      <c r="A52" s="28">
        <v>46</v>
      </c>
      <c r="B52" s="66" t="s">
        <v>3456</v>
      </c>
      <c r="C52" s="66" t="s">
        <v>15</v>
      </c>
      <c r="D52" s="66" t="s">
        <v>4037</v>
      </c>
      <c r="E52" s="66" t="s">
        <v>3460</v>
      </c>
      <c r="F52" s="66" t="s">
        <v>3507</v>
      </c>
      <c r="G52" s="29" t="s">
        <v>4018</v>
      </c>
      <c r="H52" s="28"/>
      <c r="I52" s="29"/>
    </row>
    <row r="53" spans="1:9" x14ac:dyDescent="0.25">
      <c r="A53" s="81">
        <v>47</v>
      </c>
      <c r="B53" s="66" t="s">
        <v>3457</v>
      </c>
      <c r="C53" s="66" t="s">
        <v>7</v>
      </c>
      <c r="D53" s="66">
        <v>1</v>
      </c>
      <c r="E53" s="66" t="s">
        <v>3460</v>
      </c>
      <c r="F53" s="66" t="s">
        <v>3508</v>
      </c>
      <c r="G53" s="29" t="s">
        <v>13</v>
      </c>
      <c r="H53" s="29"/>
      <c r="I53" s="29"/>
    </row>
    <row r="54" spans="1:9" x14ac:dyDescent="0.25">
      <c r="A54" s="28">
        <v>48</v>
      </c>
      <c r="B54" s="66" t="s">
        <v>45</v>
      </c>
      <c r="C54" s="66" t="s">
        <v>24</v>
      </c>
      <c r="D54" s="66">
        <v>15</v>
      </c>
      <c r="E54" s="66" t="s">
        <v>3460</v>
      </c>
      <c r="F54" s="66" t="s">
        <v>3509</v>
      </c>
      <c r="G54" s="29" t="s">
        <v>4019</v>
      </c>
      <c r="H54" s="29"/>
      <c r="I54" s="29"/>
    </row>
    <row r="55" spans="1:9" x14ac:dyDescent="0.25">
      <c r="A55" s="28">
        <v>49</v>
      </c>
      <c r="B55" s="66" t="s">
        <v>46</v>
      </c>
      <c r="C55" s="66" t="s">
        <v>24</v>
      </c>
      <c r="D55" s="66">
        <v>3</v>
      </c>
      <c r="E55" s="66" t="s">
        <v>3460</v>
      </c>
      <c r="F55" s="66" t="s">
        <v>3510</v>
      </c>
      <c r="G55" s="29" t="s">
        <v>4014</v>
      </c>
      <c r="H55" s="30" t="s">
        <v>4051</v>
      </c>
      <c r="I55" s="29"/>
    </row>
    <row r="56" spans="1:9" x14ac:dyDescent="0.25">
      <c r="A56" s="28">
        <v>50</v>
      </c>
      <c r="B56" s="66" t="s">
        <v>3458</v>
      </c>
      <c r="C56" s="66" t="s">
        <v>24</v>
      </c>
      <c r="D56" s="66">
        <v>15</v>
      </c>
      <c r="E56" s="66" t="s">
        <v>3460</v>
      </c>
      <c r="F56" s="66" t="s">
        <v>3511</v>
      </c>
      <c r="G56" s="29" t="s">
        <v>4019</v>
      </c>
      <c r="H56" s="29"/>
      <c r="I56" s="29"/>
    </row>
    <row r="57" spans="1:9" x14ac:dyDescent="0.25">
      <c r="A57" s="28">
        <v>51</v>
      </c>
      <c r="B57" s="66" t="s">
        <v>3459</v>
      </c>
      <c r="C57" s="66" t="s">
        <v>7</v>
      </c>
      <c r="D57" s="66">
        <v>1</v>
      </c>
      <c r="E57" s="66" t="s">
        <v>3460</v>
      </c>
      <c r="F57" s="66" t="s">
        <v>3512</v>
      </c>
      <c r="G57" s="29" t="s">
        <v>13</v>
      </c>
      <c r="H57" s="29"/>
      <c r="I57" s="29"/>
    </row>
    <row r="58" spans="1:9" x14ac:dyDescent="0.25">
      <c r="A58" s="28">
        <v>52</v>
      </c>
      <c r="B58" s="66" t="s">
        <v>48</v>
      </c>
      <c r="C58" s="66" t="s">
        <v>24</v>
      </c>
      <c r="D58" s="66">
        <v>1</v>
      </c>
      <c r="E58" s="66" t="s">
        <v>3460</v>
      </c>
      <c r="F58" s="66" t="s">
        <v>3513</v>
      </c>
      <c r="G58" s="29" t="s">
        <v>4014</v>
      </c>
      <c r="H58" s="32" t="str">
        <f>CATALOGOS!A1062</f>
        <v>MOT_VENA</v>
      </c>
      <c r="I58" s="29"/>
    </row>
    <row r="59" spans="1:9" x14ac:dyDescent="0.25">
      <c r="A59" s="28">
        <v>53</v>
      </c>
      <c r="B59" s="66" t="s">
        <v>49</v>
      </c>
      <c r="C59" s="66" t="s">
        <v>7</v>
      </c>
      <c r="D59" s="66">
        <v>2</v>
      </c>
      <c r="E59" s="66" t="s">
        <v>3460</v>
      </c>
      <c r="F59" s="66" t="s">
        <v>3514</v>
      </c>
      <c r="G59" s="29" t="s">
        <v>13</v>
      </c>
      <c r="H59" s="29"/>
      <c r="I59" s="29"/>
    </row>
    <row r="60" spans="1:9" x14ac:dyDescent="0.25">
      <c r="A60" s="81">
        <v>54</v>
      </c>
      <c r="B60" s="66" t="s">
        <v>50</v>
      </c>
      <c r="C60" s="66" t="s">
        <v>7</v>
      </c>
      <c r="D60" s="66">
        <v>34</v>
      </c>
      <c r="E60" s="66" t="s">
        <v>3460</v>
      </c>
      <c r="F60" s="66" t="s">
        <v>3515</v>
      </c>
      <c r="G60" s="29" t="s">
        <v>13</v>
      </c>
      <c r="H60" s="29"/>
      <c r="I60" s="29"/>
    </row>
    <row r="61" spans="1:9" x14ac:dyDescent="0.25">
      <c r="A61" s="28">
        <v>55</v>
      </c>
      <c r="B61" s="66" t="s">
        <v>51</v>
      </c>
      <c r="C61" s="66" t="s">
        <v>7</v>
      </c>
      <c r="D61" s="66">
        <v>1</v>
      </c>
      <c r="E61" s="66" t="s">
        <v>3554</v>
      </c>
      <c r="F61" s="66" t="s">
        <v>3519</v>
      </c>
      <c r="G61" s="29" t="s">
        <v>13</v>
      </c>
      <c r="H61" s="29"/>
      <c r="I61" s="29"/>
    </row>
    <row r="62" spans="1:9" x14ac:dyDescent="0.25">
      <c r="A62" s="28">
        <v>56</v>
      </c>
      <c r="B62" s="66" t="s">
        <v>53</v>
      </c>
      <c r="C62" s="66" t="s">
        <v>7</v>
      </c>
      <c r="D62" s="66">
        <v>6</v>
      </c>
      <c r="E62" s="66" t="s">
        <v>3554</v>
      </c>
      <c r="F62" s="66" t="s">
        <v>3520</v>
      </c>
      <c r="G62" s="29" t="s">
        <v>13</v>
      </c>
      <c r="H62" s="29"/>
      <c r="I62" s="29"/>
    </row>
    <row r="63" spans="1:9" x14ac:dyDescent="0.25">
      <c r="A63" s="28">
        <v>57</v>
      </c>
      <c r="B63" s="66" t="s">
        <v>3547</v>
      </c>
      <c r="C63" s="66" t="s">
        <v>15</v>
      </c>
      <c r="D63" s="66" t="s">
        <v>4037</v>
      </c>
      <c r="E63" s="66" t="s">
        <v>3554</v>
      </c>
      <c r="F63" s="66" t="s">
        <v>3551</v>
      </c>
      <c r="G63" s="29" t="s">
        <v>4018</v>
      </c>
      <c r="H63" s="29"/>
      <c r="I63" s="29"/>
    </row>
    <row r="64" spans="1:9" x14ac:dyDescent="0.25">
      <c r="A64" s="28">
        <v>58</v>
      </c>
      <c r="B64" s="66" t="s">
        <v>3548</v>
      </c>
      <c r="C64" s="66" t="s">
        <v>24</v>
      </c>
      <c r="D64" s="66">
        <v>15</v>
      </c>
      <c r="E64" s="66" t="s">
        <v>3554</v>
      </c>
      <c r="F64" s="66" t="s">
        <v>3552</v>
      </c>
      <c r="G64" s="29" t="s">
        <v>4019</v>
      </c>
      <c r="H64" s="29"/>
      <c r="I64" s="29"/>
    </row>
    <row r="65" spans="1:9" x14ac:dyDescent="0.25">
      <c r="A65" s="28">
        <v>59</v>
      </c>
      <c r="B65" s="66" t="s">
        <v>3549</v>
      </c>
      <c r="C65" s="66" t="s">
        <v>24</v>
      </c>
      <c r="D65" s="66">
        <v>3</v>
      </c>
      <c r="E65" s="66" t="s">
        <v>3554</v>
      </c>
      <c r="F65" s="66" t="s">
        <v>3553</v>
      </c>
      <c r="G65" s="29" t="s">
        <v>4014</v>
      </c>
      <c r="H65" s="30" t="s">
        <v>4051</v>
      </c>
      <c r="I65" s="29"/>
    </row>
    <row r="66" spans="1:9" x14ac:dyDescent="0.25">
      <c r="A66" s="28">
        <v>60</v>
      </c>
      <c r="B66" s="66" t="s">
        <v>34</v>
      </c>
      <c r="C66" s="66" t="s">
        <v>7</v>
      </c>
      <c r="D66" s="66">
        <v>5</v>
      </c>
      <c r="E66" s="66" t="s">
        <v>3555</v>
      </c>
      <c r="F66" s="66" t="s">
        <v>3452</v>
      </c>
      <c r="G66" s="29" t="str">
        <f>PROPER(Table245710[[#This Row],[Descripcion]])</f>
        <v>Modifica</v>
      </c>
      <c r="H66" s="29"/>
      <c r="I66" s="29"/>
    </row>
    <row r="67" spans="1:9" x14ac:dyDescent="0.25">
      <c r="A67" s="28">
        <v>61</v>
      </c>
      <c r="B67" s="66" t="s">
        <v>4006</v>
      </c>
      <c r="C67" s="66" t="s">
        <v>3687</v>
      </c>
      <c r="D67" s="66">
        <v>52</v>
      </c>
      <c r="E67" s="66" t="s">
        <v>4007</v>
      </c>
      <c r="F67" s="66" t="s">
        <v>4008</v>
      </c>
      <c r="G67" s="29" t="s">
        <v>4021</v>
      </c>
      <c r="H67" s="29"/>
      <c r="I67" s="29"/>
    </row>
    <row r="68" spans="1:9" ht="16.5" customHeight="1" x14ac:dyDescent="0.25">
      <c r="A68" s="28">
        <v>62</v>
      </c>
      <c r="B68" s="66" t="s">
        <v>3685</v>
      </c>
      <c r="C68" s="66" t="s">
        <v>3687</v>
      </c>
      <c r="D68" s="66">
        <v>52</v>
      </c>
      <c r="E68" s="66" t="s">
        <v>4052</v>
      </c>
      <c r="F68" s="66" t="s">
        <v>3967</v>
      </c>
      <c r="G68" s="29" t="s">
        <v>4021</v>
      </c>
      <c r="H68" s="29"/>
      <c r="I68" s="29"/>
    </row>
    <row r="69" spans="1:9" ht="45" x14ac:dyDescent="0.25">
      <c r="A69" s="28">
        <v>63</v>
      </c>
      <c r="B69" s="66" t="s">
        <v>4038</v>
      </c>
      <c r="C69" s="66" t="s">
        <v>24</v>
      </c>
      <c r="D69" s="66" t="s">
        <v>4040</v>
      </c>
      <c r="E69" s="66" t="s">
        <v>3554</v>
      </c>
      <c r="F69" s="66" t="s">
        <v>4042</v>
      </c>
      <c r="G69" s="29" t="str">
        <f>PROPER(Table245710[[#This Row],[Descripcion]])</f>
        <v>Valor Del Subyacente Para El Ejercicio</v>
      </c>
      <c r="H69" s="29"/>
      <c r="I69" s="29"/>
    </row>
    <row r="70" spans="1:9" ht="30" x14ac:dyDescent="0.25">
      <c r="A70" s="28">
        <v>64</v>
      </c>
      <c r="B70" s="66" t="s">
        <v>4039</v>
      </c>
      <c r="C70" s="66" t="s">
        <v>24</v>
      </c>
      <c r="D70" s="66" t="s">
        <v>4041</v>
      </c>
      <c r="E70" s="66" t="s">
        <v>3554</v>
      </c>
      <c r="F70" s="66" t="s">
        <v>4043</v>
      </c>
      <c r="G70" s="29" t="str">
        <f>PROPER(Table245710[[#This Row],[Descripcion]])</f>
        <v>Importe Ejercido Parcial</v>
      </c>
      <c r="H70" s="29"/>
      <c r="I70" s="29"/>
    </row>
    <row r="71" spans="1:9" x14ac:dyDescent="0.25">
      <c r="A71" s="33">
        <v>65</v>
      </c>
      <c r="B71" s="73" t="s">
        <v>4053</v>
      </c>
      <c r="C71" s="73" t="s">
        <v>7</v>
      </c>
      <c r="D71" s="73">
        <v>12</v>
      </c>
      <c r="E71" s="73" t="s">
        <v>4161</v>
      </c>
      <c r="F71" s="73" t="s">
        <v>4054</v>
      </c>
      <c r="G71" s="34" t="s">
        <v>4021</v>
      </c>
      <c r="H71" s="34"/>
      <c r="I71" s="34"/>
    </row>
    <row r="72" spans="1:9" x14ac:dyDescent="0.25">
      <c r="A72" s="33">
        <v>66</v>
      </c>
      <c r="B72" s="73" t="s">
        <v>4049</v>
      </c>
      <c r="C72" s="73" t="s">
        <v>15</v>
      </c>
      <c r="D72" s="82" t="s">
        <v>4037</v>
      </c>
      <c r="E72" s="73"/>
      <c r="F72" s="73" t="s">
        <v>4050</v>
      </c>
      <c r="G72" s="34"/>
      <c r="H72" s="34"/>
      <c r="I72" s="34"/>
    </row>
  </sheetData>
  <hyperlinks>
    <hyperlink ref="H8" location="CATALOGOS!A165" display="CATALOGOS!A165" xr:uid="{00000000-0004-0000-0200-000000000000}"/>
    <hyperlink ref="H16" location="CATALOGOS!A41154" display="CATALOGOS!A41154" xr:uid="{00000000-0004-0000-0200-000001000000}"/>
    <hyperlink ref="H18" location="CATALOGOS!A41084" display="CATALOGOS!A41084" xr:uid="{00000000-0004-0000-0200-000002000000}"/>
    <hyperlink ref="H26" location="CATALOGOS!A42535" display="CATALOGOS!A42535" xr:uid="{00000000-0004-0000-0200-000009000000}"/>
    <hyperlink ref="H29" location="CATALOGOS!A42159" display="CATALOGOS!A42159" xr:uid="{00000000-0004-0000-0200-00000A000000}"/>
    <hyperlink ref="H30" location="CATALOGOS!A40631" display="CATALOGOS!A40631" xr:uid="{00000000-0004-0000-0200-00000B000000}"/>
    <hyperlink ref="H42" location="CATALOGOS!A42296" display="CATALOGOS!A42296" xr:uid="{00000000-0004-0000-0200-00000C000000}"/>
    <hyperlink ref="H44" location="CATALOGOS!A41139" display="CATALOGOS!A41139" xr:uid="{00000000-0004-0000-0200-00000D000000}"/>
    <hyperlink ref="H45" location="CATALOGOS!A7" display="CATALOGOS!A7" xr:uid="{00000000-0004-0000-0200-00000E000000}"/>
    <hyperlink ref="H46" location="CATALOGOS!A135" display="CATALOGOS!A135" xr:uid="{00000000-0004-0000-0200-00000F000000}"/>
    <hyperlink ref="H47" location="CATALOGOS!A165" display="CATALOGOS!A165" xr:uid="{00000000-0004-0000-0200-000010000000}"/>
    <hyperlink ref="H58" location="CATALOGOS!A41127" display="CATALOGOS!A41127" xr:uid="{00000000-0004-0000-0200-000011000000}"/>
    <hyperlink ref="H20" location="CATALOGOS!A41084" display="CATALOGOS!A41084" xr:uid="{DD39AD70-EC22-4EAB-A66A-D6EDEED6C2BF}"/>
    <hyperlink ref="H24" location="CATALOGOS!A41084" display="CATALOGOS!A41084" xr:uid="{5DA22EA3-9AC9-4043-AF09-E132D458BFF2}"/>
    <hyperlink ref="H36" location="CATALOGOS!A41084" display="CATALOGOS!A41084" xr:uid="{760CCB58-60A4-4A71-8B59-BAD9A8122CC7}"/>
    <hyperlink ref="H38" location="CATALOGOS!A41084" display="CATALOGOS!A41084" xr:uid="{7F8D4B96-0E2F-4282-9AF8-EF29385D0835}"/>
    <hyperlink ref="H55" location="CATALOGOS!A41084" display="CATALOGOS!A41084" xr:uid="{22C4647C-B89F-4E63-8B69-E9F38809767D}"/>
    <hyperlink ref="H65" location="CATALOGOS!A41084" display="CATALOGOS!A41084" xr:uid="{D5B35FC5-3486-4506-B850-533007BC6A58}"/>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
  <sheetViews>
    <sheetView topLeftCell="A30" zoomScale="90" zoomScaleNormal="90" workbookViewId="0">
      <selection activeCell="C18" sqref="C18"/>
    </sheetView>
  </sheetViews>
  <sheetFormatPr baseColWidth="10" defaultColWidth="9.140625" defaultRowHeight="15" x14ac:dyDescent="0.25"/>
  <cols>
    <col min="1" max="1" width="18.28515625" style="18" bestFit="1" customWidth="1"/>
    <col min="2" max="2" width="25" style="18" customWidth="1"/>
    <col min="3" max="4" width="14.85546875" style="18" customWidth="1"/>
    <col min="5" max="5" width="18.85546875" style="18" bestFit="1" customWidth="1"/>
    <col min="6" max="6" width="65.85546875" style="18" customWidth="1"/>
    <col min="7" max="7" width="13.140625" style="18" customWidth="1"/>
    <col min="8" max="8" width="16.5703125" style="18" customWidth="1"/>
    <col min="9" max="9" width="35.140625" style="18" customWidth="1"/>
    <col min="10" max="10" width="17.42578125" style="18" bestFit="1" customWidth="1"/>
    <col min="11" max="11" width="25.140625" style="18" bestFit="1" customWidth="1"/>
    <col min="12" max="12" width="22" style="18" customWidth="1"/>
    <col min="13" max="13" width="9.140625" style="18"/>
    <col min="14" max="14" width="18.85546875" style="18" customWidth="1"/>
    <col min="15" max="16384" width="9.140625" style="18"/>
  </cols>
  <sheetData>
    <row r="1" spans="1:9" x14ac:dyDescent="0.25">
      <c r="A1" s="1" t="s">
        <v>12</v>
      </c>
      <c r="B1" s="28" t="s">
        <v>3516</v>
      </c>
    </row>
    <row r="2" spans="1:9" x14ac:dyDescent="0.25">
      <c r="A2" s="1" t="s">
        <v>4023</v>
      </c>
      <c r="B2" s="28" t="s">
        <v>4024</v>
      </c>
    </row>
    <row r="3" spans="1:9" x14ac:dyDescent="0.25">
      <c r="A3" s="1" t="s">
        <v>0</v>
      </c>
      <c r="B3" s="28" t="s">
        <v>3531</v>
      </c>
    </row>
    <row r="4" spans="1:9" x14ac:dyDescent="0.25">
      <c r="A4" s="1" t="s">
        <v>1</v>
      </c>
      <c r="B4" s="28" t="s">
        <v>3517</v>
      </c>
    </row>
    <row r="5" spans="1:9" ht="35.25" customHeight="1" x14ac:dyDescent="0.25">
      <c r="A5" s="1"/>
      <c r="B5" s="43" t="s">
        <v>3560</v>
      </c>
    </row>
    <row r="6" spans="1:9" x14ac:dyDescent="0.25">
      <c r="A6" s="18" t="s">
        <v>2</v>
      </c>
      <c r="B6" s="18" t="s">
        <v>3</v>
      </c>
      <c r="C6" s="18" t="s">
        <v>4</v>
      </c>
      <c r="D6" s="18" t="s">
        <v>13</v>
      </c>
      <c r="E6" s="18" t="s">
        <v>1</v>
      </c>
      <c r="F6" s="18" t="s">
        <v>0</v>
      </c>
      <c r="G6" s="18" t="s">
        <v>14</v>
      </c>
      <c r="H6" s="18" t="s">
        <v>5</v>
      </c>
      <c r="I6" s="18" t="s">
        <v>6</v>
      </c>
    </row>
    <row r="7" spans="1:9" ht="30" x14ac:dyDescent="0.25">
      <c r="A7" s="28">
        <v>1</v>
      </c>
      <c r="B7" s="66" t="s">
        <v>8</v>
      </c>
      <c r="C7" s="66" t="s">
        <v>7</v>
      </c>
      <c r="D7" s="66">
        <v>1</v>
      </c>
      <c r="E7" s="66" t="s">
        <v>3518</v>
      </c>
      <c r="F7" s="66" t="s">
        <v>3462</v>
      </c>
      <c r="G7" s="29" t="s">
        <v>4014</v>
      </c>
      <c r="H7" s="29"/>
      <c r="I7" s="29"/>
    </row>
    <row r="8" spans="1:9" x14ac:dyDescent="0.25">
      <c r="A8" s="28">
        <f>+A7+1</f>
        <v>2</v>
      </c>
      <c r="B8" s="66" t="s">
        <v>51</v>
      </c>
      <c r="C8" s="66" t="s">
        <v>7</v>
      </c>
      <c r="D8" s="66">
        <v>1</v>
      </c>
      <c r="E8" s="66" t="s">
        <v>3558</v>
      </c>
      <c r="F8" s="66" t="s">
        <v>3519</v>
      </c>
      <c r="G8" s="29" t="s">
        <v>13</v>
      </c>
      <c r="H8" s="28"/>
      <c r="I8" s="29"/>
    </row>
    <row r="9" spans="1:9" ht="30" x14ac:dyDescent="0.25">
      <c r="A9" s="28">
        <f t="shared" ref="A9:A46" si="0">+A8+1</f>
        <v>3</v>
      </c>
      <c r="B9" s="66" t="s">
        <v>53</v>
      </c>
      <c r="C9" s="66" t="s">
        <v>7</v>
      </c>
      <c r="D9" s="66">
        <v>6</v>
      </c>
      <c r="E9" s="66" t="s">
        <v>3559</v>
      </c>
      <c r="F9" s="66" t="s">
        <v>3520</v>
      </c>
      <c r="G9" s="29" t="s">
        <v>4014</v>
      </c>
      <c r="H9" s="30" t="s">
        <v>60</v>
      </c>
      <c r="I9" s="29"/>
    </row>
    <row r="10" spans="1:9" ht="30" x14ac:dyDescent="0.25">
      <c r="A10" s="28">
        <f t="shared" si="0"/>
        <v>4</v>
      </c>
      <c r="B10" s="66" t="s">
        <v>3413</v>
      </c>
      <c r="C10" s="66" t="s">
        <v>7</v>
      </c>
      <c r="D10" s="66">
        <v>6</v>
      </c>
      <c r="E10" s="66" t="s">
        <v>4029</v>
      </c>
      <c r="F10" s="66" t="s">
        <v>3463</v>
      </c>
      <c r="G10" s="29" t="s">
        <v>4014</v>
      </c>
      <c r="H10" s="30" t="s">
        <v>60</v>
      </c>
      <c r="I10" s="29"/>
    </row>
    <row r="11" spans="1:9" x14ac:dyDescent="0.25">
      <c r="A11" s="28">
        <f t="shared" si="0"/>
        <v>5</v>
      </c>
      <c r="B11" s="66" t="s">
        <v>15</v>
      </c>
      <c r="C11" s="66" t="s">
        <v>15</v>
      </c>
      <c r="D11" s="66" t="s">
        <v>4037</v>
      </c>
      <c r="E11" s="66" t="s">
        <v>4035</v>
      </c>
      <c r="F11" s="66" t="s">
        <v>3521</v>
      </c>
      <c r="G11" s="35" t="s">
        <v>4018</v>
      </c>
      <c r="H11" s="35"/>
      <c r="I11" s="31"/>
    </row>
    <row r="12" spans="1:9" x14ac:dyDescent="0.25">
      <c r="A12" s="28">
        <f t="shared" si="0"/>
        <v>6</v>
      </c>
      <c r="B12" s="66" t="s">
        <v>3440</v>
      </c>
      <c r="C12" s="66" t="s">
        <v>15</v>
      </c>
      <c r="D12" s="66" t="s">
        <v>4037</v>
      </c>
      <c r="E12" s="66" t="s">
        <v>4029</v>
      </c>
      <c r="F12" s="66" t="s">
        <v>3522</v>
      </c>
      <c r="G12" s="35" t="s">
        <v>4018</v>
      </c>
      <c r="H12" s="29"/>
      <c r="I12" s="29"/>
    </row>
    <row r="13" spans="1:9" ht="60" x14ac:dyDescent="0.25">
      <c r="A13" s="28">
        <f t="shared" si="0"/>
        <v>7</v>
      </c>
      <c r="B13" s="66" t="s">
        <v>3417</v>
      </c>
      <c r="C13" s="66" t="s">
        <v>7</v>
      </c>
      <c r="D13" s="66">
        <v>1</v>
      </c>
      <c r="E13" s="66" t="s">
        <v>4029</v>
      </c>
      <c r="F13" s="66" t="s">
        <v>3468</v>
      </c>
      <c r="G13" s="29" t="s">
        <v>13</v>
      </c>
      <c r="H13" s="29"/>
      <c r="I13" s="29" t="s">
        <v>4025</v>
      </c>
    </row>
    <row r="14" spans="1:9" ht="30" x14ac:dyDescent="0.25">
      <c r="A14" s="28">
        <f t="shared" si="0"/>
        <v>8</v>
      </c>
      <c r="B14" s="66" t="s">
        <v>11</v>
      </c>
      <c r="C14" s="66" t="s">
        <v>7</v>
      </c>
      <c r="D14" s="66">
        <v>20</v>
      </c>
      <c r="E14" s="66" t="s">
        <v>3518</v>
      </c>
      <c r="F14" s="66" t="s">
        <v>3523</v>
      </c>
      <c r="G14" s="29" t="s">
        <v>4014</v>
      </c>
      <c r="H14" s="28" t="s">
        <v>3602</v>
      </c>
      <c r="I14" s="29" t="s">
        <v>3684</v>
      </c>
    </row>
    <row r="15" spans="1:9" ht="30" x14ac:dyDescent="0.25">
      <c r="A15" s="28">
        <f t="shared" si="0"/>
        <v>9</v>
      </c>
      <c r="B15" s="66" t="s">
        <v>22</v>
      </c>
      <c r="C15" s="66" t="s">
        <v>7</v>
      </c>
      <c r="D15" s="66">
        <v>2</v>
      </c>
      <c r="E15" s="66" t="s">
        <v>3518</v>
      </c>
      <c r="F15" s="66" t="s">
        <v>3471</v>
      </c>
      <c r="G15" s="29" t="s">
        <v>4014</v>
      </c>
      <c r="H15" s="30" t="s">
        <v>22</v>
      </c>
      <c r="I15" s="29"/>
    </row>
    <row r="16" spans="1:9" x14ac:dyDescent="0.25">
      <c r="A16" s="28">
        <f t="shared" si="0"/>
        <v>10</v>
      </c>
      <c r="B16" s="66" t="s">
        <v>3441</v>
      </c>
      <c r="C16" s="66" t="s">
        <v>24</v>
      </c>
      <c r="D16" s="66">
        <v>9</v>
      </c>
      <c r="E16" s="66" t="s">
        <v>3518</v>
      </c>
      <c r="F16" s="66" t="s">
        <v>3524</v>
      </c>
      <c r="G16" s="29" t="s">
        <v>13</v>
      </c>
      <c r="H16" s="29"/>
      <c r="I16" s="29"/>
    </row>
    <row r="17" spans="1:9" ht="30" x14ac:dyDescent="0.25">
      <c r="A17" s="28">
        <f t="shared" si="0"/>
        <v>11</v>
      </c>
      <c r="B17" s="66" t="s">
        <v>3425</v>
      </c>
      <c r="C17" s="66" t="s">
        <v>24</v>
      </c>
      <c r="D17" s="66">
        <v>15</v>
      </c>
      <c r="E17" s="66" t="s">
        <v>3518</v>
      </c>
      <c r="F17" s="66" t="s">
        <v>3478</v>
      </c>
      <c r="G17" s="29" t="s">
        <v>4019</v>
      </c>
      <c r="H17" s="29"/>
      <c r="I17" s="29"/>
    </row>
    <row r="18" spans="1:9" ht="30" x14ac:dyDescent="0.25">
      <c r="A18" s="28">
        <f t="shared" si="0"/>
        <v>12</v>
      </c>
      <c r="B18" s="66" t="s">
        <v>3426</v>
      </c>
      <c r="C18" s="66" t="s">
        <v>24</v>
      </c>
      <c r="D18" s="66">
        <v>3</v>
      </c>
      <c r="E18" s="66" t="s">
        <v>4029</v>
      </c>
      <c r="F18" s="66" t="s">
        <v>3479</v>
      </c>
      <c r="G18" s="29" t="s">
        <v>4014</v>
      </c>
      <c r="H18" s="30" t="s">
        <v>4051</v>
      </c>
      <c r="I18" s="29"/>
    </row>
    <row r="19" spans="1:9" ht="30" x14ac:dyDescent="0.25">
      <c r="A19" s="28">
        <f t="shared" si="0"/>
        <v>13</v>
      </c>
      <c r="B19" s="66" t="s">
        <v>40</v>
      </c>
      <c r="C19" s="66" t="s">
        <v>24</v>
      </c>
      <c r="D19" s="66">
        <v>2</v>
      </c>
      <c r="E19" s="66" t="s">
        <v>3518</v>
      </c>
      <c r="F19" s="66" t="s">
        <v>3499</v>
      </c>
      <c r="G19" s="29" t="s">
        <v>4014</v>
      </c>
      <c r="H19" s="30" t="s">
        <v>62</v>
      </c>
      <c r="I19" s="29"/>
    </row>
    <row r="20" spans="1:9" ht="30" x14ac:dyDescent="0.25">
      <c r="A20" s="28">
        <f t="shared" si="0"/>
        <v>14</v>
      </c>
      <c r="B20" s="66" t="s">
        <v>10</v>
      </c>
      <c r="C20" s="66" t="s">
        <v>7</v>
      </c>
      <c r="D20" s="66">
        <v>6</v>
      </c>
      <c r="E20" s="66" t="s">
        <v>3518</v>
      </c>
      <c r="F20" s="66" t="s">
        <v>3500</v>
      </c>
      <c r="G20" s="29" t="s">
        <v>4014</v>
      </c>
      <c r="H20" s="30" t="s">
        <v>40</v>
      </c>
      <c r="I20" s="29"/>
    </row>
    <row r="21" spans="1:9" ht="30" x14ac:dyDescent="0.25">
      <c r="A21" s="28">
        <f t="shared" si="0"/>
        <v>15</v>
      </c>
      <c r="B21" s="66" t="s">
        <v>42</v>
      </c>
      <c r="C21" s="66" t="s">
        <v>24</v>
      </c>
      <c r="D21" s="66">
        <v>2</v>
      </c>
      <c r="E21" s="66" t="s">
        <v>3518</v>
      </c>
      <c r="F21" s="66" t="s">
        <v>3501</v>
      </c>
      <c r="G21" s="29" t="s">
        <v>4014</v>
      </c>
      <c r="H21" s="30" t="s">
        <v>63</v>
      </c>
      <c r="I21" s="29"/>
    </row>
    <row r="22" spans="1:9" x14ac:dyDescent="0.25">
      <c r="A22" s="28">
        <f t="shared" si="0"/>
        <v>16</v>
      </c>
      <c r="B22" s="66" t="s">
        <v>44</v>
      </c>
      <c r="C22" s="66" t="s">
        <v>7</v>
      </c>
      <c r="D22" s="66">
        <v>20</v>
      </c>
      <c r="E22" s="66" t="s">
        <v>3518</v>
      </c>
      <c r="F22" s="66" t="s">
        <v>3503</v>
      </c>
      <c r="G22" s="29" t="s">
        <v>13</v>
      </c>
      <c r="H22" s="29"/>
      <c r="I22" s="29"/>
    </row>
    <row r="23" spans="1:9" x14ac:dyDescent="0.25">
      <c r="A23" s="28">
        <f t="shared" si="0"/>
        <v>17</v>
      </c>
      <c r="B23" s="66" t="s">
        <v>3439</v>
      </c>
      <c r="C23" s="66" t="s">
        <v>24</v>
      </c>
      <c r="D23" s="66" t="s">
        <v>3454</v>
      </c>
      <c r="E23" s="66" t="s">
        <v>3518</v>
      </c>
      <c r="F23" s="66" t="s">
        <v>3504</v>
      </c>
      <c r="G23" s="29" t="s">
        <v>13</v>
      </c>
      <c r="H23" s="29"/>
      <c r="I23" s="29"/>
    </row>
    <row r="24" spans="1:9" ht="30" x14ac:dyDescent="0.25">
      <c r="A24" s="28">
        <f t="shared" si="0"/>
        <v>18</v>
      </c>
      <c r="B24" s="66" t="s">
        <v>32</v>
      </c>
      <c r="C24" s="66" t="s">
        <v>7</v>
      </c>
      <c r="D24" s="66">
        <v>34</v>
      </c>
      <c r="E24" s="66" t="s">
        <v>4035</v>
      </c>
      <c r="F24" s="66" t="s">
        <v>3505</v>
      </c>
      <c r="G24" s="29" t="s">
        <v>4021</v>
      </c>
      <c r="H24" s="29"/>
      <c r="I24" s="29" t="s">
        <v>4015</v>
      </c>
    </row>
    <row r="25" spans="1:9" x14ac:dyDescent="0.25">
      <c r="A25" s="28">
        <f t="shared" si="0"/>
        <v>19</v>
      </c>
      <c r="B25" s="66" t="s">
        <v>3442</v>
      </c>
      <c r="C25" s="66" t="s">
        <v>7</v>
      </c>
      <c r="D25" s="66">
        <v>34</v>
      </c>
      <c r="E25" s="66" t="s">
        <v>3518</v>
      </c>
      <c r="F25" s="66" t="s">
        <v>3525</v>
      </c>
      <c r="G25" s="29" t="s">
        <v>13</v>
      </c>
      <c r="H25" s="29"/>
      <c r="I25" s="29"/>
    </row>
    <row r="26" spans="1:9" x14ac:dyDescent="0.25">
      <c r="A26" s="28">
        <f t="shared" si="0"/>
        <v>20</v>
      </c>
      <c r="B26" s="66" t="s">
        <v>3455</v>
      </c>
      <c r="C26" s="66" t="s">
        <v>15</v>
      </c>
      <c r="D26" s="66" t="s">
        <v>4037</v>
      </c>
      <c r="E26" s="66" t="s">
        <v>3460</v>
      </c>
      <c r="F26" s="66" t="s">
        <v>3506</v>
      </c>
      <c r="G26" s="29" t="s">
        <v>4018</v>
      </c>
      <c r="H26" s="29"/>
      <c r="I26" s="29"/>
    </row>
    <row r="27" spans="1:9" x14ac:dyDescent="0.25">
      <c r="A27" s="28">
        <f t="shared" si="0"/>
        <v>21</v>
      </c>
      <c r="B27" s="66" t="s">
        <v>3456</v>
      </c>
      <c r="C27" s="66" t="s">
        <v>15</v>
      </c>
      <c r="D27" s="66" t="s">
        <v>4037</v>
      </c>
      <c r="E27" s="66" t="s">
        <v>3460</v>
      </c>
      <c r="F27" s="66" t="s">
        <v>3507</v>
      </c>
      <c r="G27" s="29" t="s">
        <v>4018</v>
      </c>
      <c r="H27" s="29"/>
      <c r="I27" s="29"/>
    </row>
    <row r="28" spans="1:9" x14ac:dyDescent="0.25">
      <c r="A28" s="28">
        <f t="shared" si="0"/>
        <v>22</v>
      </c>
      <c r="B28" s="66" t="s">
        <v>3457</v>
      </c>
      <c r="C28" s="66" t="s">
        <v>7</v>
      </c>
      <c r="D28" s="66">
        <v>1</v>
      </c>
      <c r="E28" s="66" t="s">
        <v>3460</v>
      </c>
      <c r="F28" s="66" t="s">
        <v>3508</v>
      </c>
      <c r="G28" s="29"/>
      <c r="H28" s="29"/>
      <c r="I28" s="29"/>
    </row>
    <row r="29" spans="1:9" ht="30" x14ac:dyDescent="0.25">
      <c r="A29" s="28">
        <f t="shared" si="0"/>
        <v>23</v>
      </c>
      <c r="B29" s="66" t="s">
        <v>45</v>
      </c>
      <c r="C29" s="66" t="s">
        <v>24</v>
      </c>
      <c r="D29" s="66">
        <v>15</v>
      </c>
      <c r="E29" s="66" t="s">
        <v>3460</v>
      </c>
      <c r="F29" s="66" t="s">
        <v>3509</v>
      </c>
      <c r="G29" s="29" t="s">
        <v>4019</v>
      </c>
      <c r="H29" s="29"/>
      <c r="I29" s="29"/>
    </row>
    <row r="30" spans="1:9" ht="30" x14ac:dyDescent="0.25">
      <c r="A30" s="28">
        <f t="shared" si="0"/>
        <v>24</v>
      </c>
      <c r="B30" s="66" t="s">
        <v>46</v>
      </c>
      <c r="C30" s="66" t="s">
        <v>24</v>
      </c>
      <c r="D30" s="66">
        <v>3</v>
      </c>
      <c r="E30" s="66" t="s">
        <v>3460</v>
      </c>
      <c r="F30" s="66" t="s">
        <v>3510</v>
      </c>
      <c r="G30" s="29" t="s">
        <v>4014</v>
      </c>
      <c r="H30" s="30" t="s">
        <v>4051</v>
      </c>
      <c r="I30" s="29"/>
    </row>
    <row r="31" spans="1:9" ht="30" x14ac:dyDescent="0.25">
      <c r="A31" s="28">
        <f t="shared" si="0"/>
        <v>25</v>
      </c>
      <c r="B31" s="66" t="s">
        <v>3458</v>
      </c>
      <c r="C31" s="66" t="s">
        <v>24</v>
      </c>
      <c r="D31" s="66">
        <v>15</v>
      </c>
      <c r="E31" s="66" t="s">
        <v>3460</v>
      </c>
      <c r="F31" s="66" t="s">
        <v>3511</v>
      </c>
      <c r="G31" s="29" t="s">
        <v>4019</v>
      </c>
      <c r="H31" s="29"/>
      <c r="I31" s="29"/>
    </row>
    <row r="32" spans="1:9" x14ac:dyDescent="0.25">
      <c r="A32" s="28">
        <f t="shared" si="0"/>
        <v>26</v>
      </c>
      <c r="B32" s="66" t="s">
        <v>3459</v>
      </c>
      <c r="C32" s="66" t="s">
        <v>7</v>
      </c>
      <c r="D32" s="66">
        <v>1</v>
      </c>
      <c r="E32" s="66" t="s">
        <v>3460</v>
      </c>
      <c r="F32" s="66" t="s">
        <v>3512</v>
      </c>
      <c r="G32" s="29" t="s">
        <v>13</v>
      </c>
      <c r="H32" s="29"/>
      <c r="I32" s="29"/>
    </row>
    <row r="33" spans="1:9" ht="30" x14ac:dyDescent="0.25">
      <c r="A33" s="28">
        <f t="shared" si="0"/>
        <v>27</v>
      </c>
      <c r="B33" s="66" t="s">
        <v>48</v>
      </c>
      <c r="C33" s="66" t="s">
        <v>24</v>
      </c>
      <c r="D33" s="66">
        <v>1</v>
      </c>
      <c r="E33" s="66" t="s">
        <v>3460</v>
      </c>
      <c r="F33" s="66" t="s">
        <v>3513</v>
      </c>
      <c r="G33" s="29" t="s">
        <v>4014</v>
      </c>
      <c r="H33" s="32" t="s">
        <v>48</v>
      </c>
      <c r="I33" s="29"/>
    </row>
    <row r="34" spans="1:9" x14ac:dyDescent="0.25">
      <c r="A34" s="28">
        <f t="shared" si="0"/>
        <v>28</v>
      </c>
      <c r="B34" s="66" t="s">
        <v>49</v>
      </c>
      <c r="C34" s="66" t="s">
        <v>7</v>
      </c>
      <c r="D34" s="66">
        <v>2</v>
      </c>
      <c r="E34" s="66" t="s">
        <v>3460</v>
      </c>
      <c r="F34" s="66" t="s">
        <v>3514</v>
      </c>
      <c r="G34" s="29" t="s">
        <v>13</v>
      </c>
      <c r="H34" s="29"/>
      <c r="I34" s="29"/>
    </row>
    <row r="35" spans="1:9" x14ac:dyDescent="0.25">
      <c r="A35" s="28">
        <f t="shared" si="0"/>
        <v>29</v>
      </c>
      <c r="B35" s="66" t="s">
        <v>50</v>
      </c>
      <c r="C35" s="66" t="s">
        <v>7</v>
      </c>
      <c r="D35" s="66">
        <v>34</v>
      </c>
      <c r="E35" s="66" t="s">
        <v>3460</v>
      </c>
      <c r="F35" s="66" t="s">
        <v>3515</v>
      </c>
      <c r="G35" s="29" t="s">
        <v>13</v>
      </c>
      <c r="H35" s="29"/>
      <c r="I35" s="29"/>
    </row>
    <row r="36" spans="1:9" x14ac:dyDescent="0.25">
      <c r="A36" s="28">
        <f t="shared" si="0"/>
        <v>30</v>
      </c>
      <c r="B36" s="66" t="s">
        <v>3547</v>
      </c>
      <c r="C36" s="66" t="s">
        <v>15</v>
      </c>
      <c r="D36" s="66" t="s">
        <v>4037</v>
      </c>
      <c r="E36" s="66" t="s">
        <v>3554</v>
      </c>
      <c r="F36" s="66" t="s">
        <v>3551</v>
      </c>
      <c r="G36" s="29" t="s">
        <v>4018</v>
      </c>
      <c r="H36" s="29"/>
      <c r="I36" s="29"/>
    </row>
    <row r="37" spans="1:9" x14ac:dyDescent="0.25">
      <c r="A37" s="28">
        <f t="shared" si="0"/>
        <v>31</v>
      </c>
      <c r="B37" s="66" t="s">
        <v>3433</v>
      </c>
      <c r="C37" s="66" t="s">
        <v>24</v>
      </c>
      <c r="D37" s="66" t="s">
        <v>3411</v>
      </c>
      <c r="E37" s="66" t="s">
        <v>3554</v>
      </c>
      <c r="F37" s="66" t="s">
        <v>3492</v>
      </c>
      <c r="G37" s="29" t="s">
        <v>4020</v>
      </c>
      <c r="H37" s="29"/>
      <c r="I37" s="29"/>
    </row>
    <row r="38" spans="1:9" ht="30" x14ac:dyDescent="0.25">
      <c r="A38" s="28">
        <f t="shared" si="0"/>
        <v>32</v>
      </c>
      <c r="B38" s="66" t="s">
        <v>3548</v>
      </c>
      <c r="C38" s="66" t="s">
        <v>24</v>
      </c>
      <c r="D38" s="66">
        <v>15</v>
      </c>
      <c r="E38" s="66" t="s">
        <v>3554</v>
      </c>
      <c r="F38" s="66" t="s">
        <v>3552</v>
      </c>
      <c r="G38" s="29" t="s">
        <v>4019</v>
      </c>
      <c r="H38" s="29"/>
      <c r="I38" s="29"/>
    </row>
    <row r="39" spans="1:9" ht="30" x14ac:dyDescent="0.25">
      <c r="A39" s="28">
        <f t="shared" si="0"/>
        <v>33</v>
      </c>
      <c r="B39" s="66" t="s">
        <v>3549</v>
      </c>
      <c r="C39" s="66" t="s">
        <v>24</v>
      </c>
      <c r="D39" s="66">
        <v>3</v>
      </c>
      <c r="E39" s="66" t="s">
        <v>3554</v>
      </c>
      <c r="F39" s="66" t="s">
        <v>3553</v>
      </c>
      <c r="G39" s="29" t="s">
        <v>4014</v>
      </c>
      <c r="H39" s="30" t="s">
        <v>4051</v>
      </c>
      <c r="I39" s="29"/>
    </row>
    <row r="40" spans="1:9" x14ac:dyDescent="0.25">
      <c r="A40" s="28">
        <f t="shared" si="0"/>
        <v>34</v>
      </c>
      <c r="B40" s="66" t="s">
        <v>34</v>
      </c>
      <c r="C40" s="66" t="s">
        <v>7</v>
      </c>
      <c r="D40" s="66">
        <v>5</v>
      </c>
      <c r="E40" s="66" t="s">
        <v>3559</v>
      </c>
      <c r="F40" s="66" t="s">
        <v>3452</v>
      </c>
      <c r="G40" s="29" t="s">
        <v>13</v>
      </c>
      <c r="H40" s="29"/>
      <c r="I40" s="29"/>
    </row>
    <row r="41" spans="1:9" x14ac:dyDescent="0.25">
      <c r="A41" s="28">
        <f t="shared" si="0"/>
        <v>35</v>
      </c>
      <c r="B41" s="68" t="s">
        <v>3418</v>
      </c>
      <c r="C41" s="68" t="s">
        <v>7</v>
      </c>
      <c r="D41" s="68">
        <v>1</v>
      </c>
      <c r="E41" s="68" t="s">
        <v>4026</v>
      </c>
      <c r="F41" s="68" t="s">
        <v>3469</v>
      </c>
      <c r="G41" s="36" t="s">
        <v>13</v>
      </c>
      <c r="H41" s="80"/>
      <c r="I41" s="29"/>
    </row>
    <row r="42" spans="1:9" ht="30" x14ac:dyDescent="0.25">
      <c r="A42" s="28">
        <f t="shared" si="0"/>
        <v>36</v>
      </c>
      <c r="B42" s="68" t="s">
        <v>3430</v>
      </c>
      <c r="C42" s="68" t="s">
        <v>24</v>
      </c>
      <c r="D42" s="68">
        <v>3</v>
      </c>
      <c r="E42" s="68" t="s">
        <v>4026</v>
      </c>
      <c r="F42" s="68" t="s">
        <v>3488</v>
      </c>
      <c r="G42" s="36" t="s">
        <v>4019</v>
      </c>
      <c r="H42" s="36"/>
      <c r="I42" s="29"/>
    </row>
    <row r="43" spans="1:9" ht="30" x14ac:dyDescent="0.25">
      <c r="A43" s="28">
        <f t="shared" si="0"/>
        <v>37</v>
      </c>
      <c r="B43" s="68" t="s">
        <v>37</v>
      </c>
      <c r="C43" s="68" t="s">
        <v>7</v>
      </c>
      <c r="D43" s="68">
        <v>2</v>
      </c>
      <c r="E43" s="68" t="s">
        <v>4026</v>
      </c>
      <c r="F43" s="68" t="s">
        <v>3497</v>
      </c>
      <c r="G43" s="36" t="s">
        <v>4014</v>
      </c>
      <c r="H43" s="30" t="s">
        <v>37</v>
      </c>
      <c r="I43" s="29"/>
    </row>
    <row r="44" spans="1:9" x14ac:dyDescent="0.25">
      <c r="A44" s="28">
        <f t="shared" si="0"/>
        <v>38</v>
      </c>
      <c r="B44" s="66" t="s">
        <v>4044</v>
      </c>
      <c r="C44" s="66" t="s">
        <v>24</v>
      </c>
      <c r="D44" s="66" t="s">
        <v>4040</v>
      </c>
      <c r="E44" s="66" t="s">
        <v>3554</v>
      </c>
      <c r="F44" s="66" t="s">
        <v>4045</v>
      </c>
      <c r="G44" s="29"/>
      <c r="H44" s="29"/>
      <c r="I44" s="29"/>
    </row>
    <row r="45" spans="1:9" x14ac:dyDescent="0.25">
      <c r="A45" s="28">
        <f t="shared" si="0"/>
        <v>39</v>
      </c>
      <c r="B45" s="66" t="s">
        <v>4046</v>
      </c>
      <c r="C45" s="66" t="s">
        <v>24</v>
      </c>
      <c r="D45" s="66" t="s">
        <v>4041</v>
      </c>
      <c r="E45" s="66" t="s">
        <v>3554</v>
      </c>
      <c r="F45" s="66" t="s">
        <v>4047</v>
      </c>
      <c r="G45" s="29"/>
      <c r="H45" s="29"/>
      <c r="I45" s="29"/>
    </row>
    <row r="46" spans="1:9" ht="75" x14ac:dyDescent="0.25">
      <c r="A46" s="33">
        <f t="shared" si="0"/>
        <v>40</v>
      </c>
      <c r="B46" s="73" t="s">
        <v>4049</v>
      </c>
      <c r="C46" s="73" t="s">
        <v>15</v>
      </c>
      <c r="D46" s="73" t="s">
        <v>4037</v>
      </c>
      <c r="E46" s="73"/>
      <c r="F46" s="73" t="s">
        <v>4050</v>
      </c>
      <c r="G46" s="34" t="str">
        <f>PROPER(Table24571011[[#This Row],[Descripcion]])</f>
        <v>Fecha A La Que Corresponde La Información</v>
      </c>
      <c r="H46" s="34"/>
      <c r="I46" s="34"/>
    </row>
  </sheetData>
  <hyperlinks>
    <hyperlink ref="H9:H10" location="CATALOGOS!A165" display="CATALOGOS!A165" xr:uid="{00000000-0004-0000-0300-000000000000}"/>
    <hyperlink ref="H15" location="CATALOGOS!A41154" display="CATALOGOS!A41154" xr:uid="{00000000-0004-0000-0300-000001000000}"/>
    <hyperlink ref="H18" location="CATALOGOS!A41084" display="CATALOGOS!A41084" xr:uid="{00000000-0004-0000-0300-000004000000}"/>
    <hyperlink ref="H19" location="CATALOGOS!A41139" display="CATALOGOS!A41139" xr:uid="{00000000-0004-0000-0300-000005000000}"/>
    <hyperlink ref="H20" location="CATALOGOS!A7" display="CATALOGOS!A7" xr:uid="{00000000-0004-0000-0300-000006000000}"/>
    <hyperlink ref="H21" location="CATALOGOS!A135" display="CATALOGOS!A135" xr:uid="{00000000-0004-0000-0300-000007000000}"/>
    <hyperlink ref="H33" location="CATALOGOS!A41127" display="CATALOGOS!A41127" xr:uid="{00000000-0004-0000-0300-000008000000}"/>
    <hyperlink ref="H43" location="CATALOGOS!A42296" display="CATALOGOS!A42296" xr:uid="{7FF9C347-684B-4917-8B5F-5D285D540672}"/>
    <hyperlink ref="H30" location="CATALOGOS!A41084" display="CATALOGOS!A41084" xr:uid="{EAB04A60-92B8-4C43-850D-58E5D19075A5}"/>
    <hyperlink ref="H39" location="CATALOGOS!A41084" display="CATALOGOS!A41084" xr:uid="{BC945FE3-5741-4655-BE6B-C26F0C273027}"/>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zoomScale="85" zoomScaleNormal="85" workbookViewId="0">
      <selection activeCell="B7" sqref="B7:B17"/>
    </sheetView>
  </sheetViews>
  <sheetFormatPr baseColWidth="10" defaultColWidth="9.140625" defaultRowHeight="15" x14ac:dyDescent="0.25"/>
  <cols>
    <col min="1" max="1" width="17.5703125" style="18" bestFit="1" customWidth="1"/>
    <col min="2" max="2" width="18.85546875" style="18" customWidth="1"/>
    <col min="3" max="3" width="14.85546875" style="18" bestFit="1" customWidth="1"/>
    <col min="4" max="4" width="14.85546875" style="18" customWidth="1"/>
    <col min="5" max="5" width="18.85546875" style="18" bestFit="1" customWidth="1"/>
    <col min="6" max="6" width="55.140625" style="18" bestFit="1" customWidth="1"/>
    <col min="7" max="7" width="12.5703125" style="18" bestFit="1" customWidth="1"/>
    <col min="8" max="8" width="20.42578125" style="18" customWidth="1"/>
    <col min="9" max="9" width="17.42578125" style="18" bestFit="1" customWidth="1"/>
    <col min="10" max="16384" width="9.140625" style="18"/>
  </cols>
  <sheetData>
    <row r="1" spans="1:9" x14ac:dyDescent="0.25">
      <c r="A1" s="1" t="s">
        <v>12</v>
      </c>
      <c r="B1" s="28" t="s">
        <v>3545</v>
      </c>
    </row>
    <row r="2" spans="1:9" x14ac:dyDescent="0.25">
      <c r="A2" s="1" t="s">
        <v>4023</v>
      </c>
      <c r="B2" s="28" t="s">
        <v>4024</v>
      </c>
    </row>
    <row r="3" spans="1:9" x14ac:dyDescent="0.25">
      <c r="A3" s="1" t="s">
        <v>0</v>
      </c>
      <c r="B3" s="28" t="s">
        <v>3527</v>
      </c>
    </row>
    <row r="4" spans="1:9" x14ac:dyDescent="0.25">
      <c r="A4" s="1" t="s">
        <v>1</v>
      </c>
      <c r="B4" s="28" t="s">
        <v>3528</v>
      </c>
    </row>
    <row r="5" spans="1:9" ht="41.25" customHeight="1" x14ac:dyDescent="0.25">
      <c r="A5" s="1"/>
      <c r="B5" s="43" t="s">
        <v>3526</v>
      </c>
    </row>
    <row r="6" spans="1:9" x14ac:dyDescent="0.25">
      <c r="A6" s="18" t="s">
        <v>2</v>
      </c>
      <c r="B6" s="18" t="s">
        <v>3</v>
      </c>
      <c r="C6" s="18" t="s">
        <v>4</v>
      </c>
      <c r="D6" s="18" t="s">
        <v>13</v>
      </c>
      <c r="E6" s="18" t="s">
        <v>1</v>
      </c>
      <c r="F6" s="18" t="s">
        <v>0</v>
      </c>
      <c r="G6" s="18" t="s">
        <v>14</v>
      </c>
      <c r="H6" s="18" t="s">
        <v>5</v>
      </c>
      <c r="I6" s="18" t="s">
        <v>6</v>
      </c>
    </row>
    <row r="7" spans="1:9" ht="30" x14ac:dyDescent="0.25">
      <c r="A7" s="18">
        <v>1</v>
      </c>
      <c r="B7" s="66" t="s">
        <v>3408</v>
      </c>
      <c r="C7" s="66" t="s">
        <v>7</v>
      </c>
      <c r="D7" s="66">
        <v>6</v>
      </c>
      <c r="E7" s="66" t="s">
        <v>3539</v>
      </c>
      <c r="F7" s="67" t="s">
        <v>3463</v>
      </c>
      <c r="G7" s="37" t="s">
        <v>4014</v>
      </c>
      <c r="H7" s="61" t="s">
        <v>60</v>
      </c>
      <c r="I7" s="37"/>
    </row>
    <row r="8" spans="1:9" x14ac:dyDescent="0.25">
      <c r="A8" s="18">
        <v>2</v>
      </c>
      <c r="B8" s="66" t="s">
        <v>15</v>
      </c>
      <c r="C8" s="66" t="s">
        <v>15</v>
      </c>
      <c r="D8" s="66" t="s">
        <v>4037</v>
      </c>
      <c r="E8" s="66" t="s">
        <v>3539</v>
      </c>
      <c r="F8" s="67" t="s">
        <v>3464</v>
      </c>
      <c r="G8" s="37" t="s">
        <v>4018</v>
      </c>
      <c r="H8" s="37"/>
      <c r="I8" s="37"/>
    </row>
    <row r="9" spans="1:9" ht="30" x14ac:dyDescent="0.25">
      <c r="A9" s="18">
        <v>3</v>
      </c>
      <c r="B9" s="66" t="s">
        <v>3409</v>
      </c>
      <c r="C9" s="66" t="s">
        <v>7</v>
      </c>
      <c r="D9" s="66">
        <v>34</v>
      </c>
      <c r="E9" s="66" t="s">
        <v>3539</v>
      </c>
      <c r="F9" s="67" t="s">
        <v>3505</v>
      </c>
      <c r="G9" s="37" t="s">
        <v>4021</v>
      </c>
      <c r="H9" s="37"/>
      <c r="I9" s="37" t="s">
        <v>4012</v>
      </c>
    </row>
    <row r="10" spans="1:9" x14ac:dyDescent="0.25">
      <c r="A10" s="18">
        <v>4</v>
      </c>
      <c r="B10" s="66" t="s">
        <v>3532</v>
      </c>
      <c r="C10" s="66" t="s">
        <v>24</v>
      </c>
      <c r="D10" s="66">
        <v>3</v>
      </c>
      <c r="E10" s="66" t="s">
        <v>3539</v>
      </c>
      <c r="F10" s="67" t="s">
        <v>3540</v>
      </c>
      <c r="G10" s="37" t="s">
        <v>13</v>
      </c>
      <c r="H10" s="37"/>
      <c r="I10" s="37"/>
    </row>
    <row r="11" spans="1:9" ht="30" x14ac:dyDescent="0.25">
      <c r="A11" s="77">
        <v>5</v>
      </c>
      <c r="B11" s="66" t="s">
        <v>3533</v>
      </c>
      <c r="C11" s="66" t="s">
        <v>24</v>
      </c>
      <c r="D11" s="66">
        <v>15</v>
      </c>
      <c r="E11" s="66" t="s">
        <v>3539</v>
      </c>
      <c r="F11" s="67" t="s">
        <v>3541</v>
      </c>
      <c r="G11" s="78" t="s">
        <v>4019</v>
      </c>
      <c r="H11" s="78"/>
      <c r="I11" s="79"/>
    </row>
    <row r="12" spans="1:9" x14ac:dyDescent="0.25">
      <c r="A12" s="18">
        <v>6</v>
      </c>
      <c r="B12" s="66" t="s">
        <v>3534</v>
      </c>
      <c r="C12" s="66" t="s">
        <v>15</v>
      </c>
      <c r="D12" s="66" t="s">
        <v>4037</v>
      </c>
      <c r="E12" s="66" t="s">
        <v>3539</v>
      </c>
      <c r="F12" s="67" t="s">
        <v>3542</v>
      </c>
      <c r="G12" s="37" t="s">
        <v>4018</v>
      </c>
      <c r="H12" s="37"/>
      <c r="I12" s="37"/>
    </row>
    <row r="13" spans="1:9" x14ac:dyDescent="0.25">
      <c r="A13" s="18">
        <v>7</v>
      </c>
      <c r="B13" s="66" t="s">
        <v>3535</v>
      </c>
      <c r="C13" s="66" t="s">
        <v>15</v>
      </c>
      <c r="D13" s="66" t="s">
        <v>4037</v>
      </c>
      <c r="E13" s="66" t="s">
        <v>3539</v>
      </c>
      <c r="F13" s="67" t="s">
        <v>3543</v>
      </c>
      <c r="G13" s="37" t="s">
        <v>4018</v>
      </c>
      <c r="H13" s="37"/>
      <c r="I13" s="37"/>
    </row>
    <row r="14" spans="1:9" ht="30" x14ac:dyDescent="0.25">
      <c r="A14" s="18">
        <v>8</v>
      </c>
      <c r="B14" s="66" t="s">
        <v>3536</v>
      </c>
      <c r="C14" s="66" t="s">
        <v>7</v>
      </c>
      <c r="D14" s="66">
        <v>3</v>
      </c>
      <c r="E14" s="66" t="s">
        <v>3539</v>
      </c>
      <c r="F14" s="67" t="s">
        <v>3484</v>
      </c>
      <c r="G14" s="37" t="s">
        <v>4014</v>
      </c>
      <c r="H14" s="76" t="s">
        <v>28</v>
      </c>
      <c r="I14" s="37"/>
    </row>
    <row r="15" spans="1:9" ht="30" x14ac:dyDescent="0.25">
      <c r="A15" s="18">
        <v>9</v>
      </c>
      <c r="B15" s="66" t="s">
        <v>3537</v>
      </c>
      <c r="C15" s="66" t="s">
        <v>7</v>
      </c>
      <c r="D15" s="66">
        <v>20</v>
      </c>
      <c r="E15" s="66" t="s">
        <v>3539</v>
      </c>
      <c r="F15" s="67" t="s">
        <v>3544</v>
      </c>
      <c r="G15" s="37" t="s">
        <v>4014</v>
      </c>
      <c r="H15" s="76" t="s">
        <v>11</v>
      </c>
      <c r="I15" s="37"/>
    </row>
    <row r="16" spans="1:9" x14ac:dyDescent="0.25">
      <c r="A16" s="18">
        <v>10</v>
      </c>
      <c r="B16" s="66" t="s">
        <v>3538</v>
      </c>
      <c r="C16" s="66" t="s">
        <v>24</v>
      </c>
      <c r="D16" s="66" t="s">
        <v>3411</v>
      </c>
      <c r="E16" s="66" t="s">
        <v>3539</v>
      </c>
      <c r="F16" s="67" t="s">
        <v>3492</v>
      </c>
      <c r="G16" s="37" t="s">
        <v>4020</v>
      </c>
      <c r="H16" s="37"/>
      <c r="I16" s="37"/>
    </row>
    <row r="17" spans="1:9" ht="75" x14ac:dyDescent="0.25">
      <c r="A17" s="58">
        <v>11</v>
      </c>
      <c r="B17" s="73" t="s">
        <v>4049</v>
      </c>
      <c r="C17" s="73" t="s">
        <v>15</v>
      </c>
      <c r="D17" s="73" t="s">
        <v>4037</v>
      </c>
      <c r="E17" s="73"/>
      <c r="F17" s="74" t="s">
        <v>4050</v>
      </c>
      <c r="G17" s="75" t="s">
        <v>4055</v>
      </c>
      <c r="H17" s="75"/>
      <c r="I17" s="75"/>
    </row>
  </sheetData>
  <hyperlinks>
    <hyperlink ref="H15" location="CATALOGOS!A40631" display="CATALOGOS!A40631" xr:uid="{00000000-0004-0000-0400-000000000000}"/>
    <hyperlink ref="H14" location="CATALOGOS!A42159" display="CATALOGOS!A42159" xr:uid="{00000000-0004-0000-0400-000001000000}"/>
    <hyperlink ref="H7" location="CATALOGOS!A165" display="CATALOGOS!A165" xr:uid="{00000000-0004-0000-0400-000002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zoomScale="70" zoomScaleNormal="70" workbookViewId="0">
      <selection activeCell="F25" sqref="F25"/>
    </sheetView>
  </sheetViews>
  <sheetFormatPr baseColWidth="10" defaultColWidth="9.140625" defaultRowHeight="15" x14ac:dyDescent="0.25"/>
  <cols>
    <col min="1" max="1" width="17.5703125" style="18" bestFit="1" customWidth="1"/>
    <col min="2" max="2" width="18.85546875" style="18" customWidth="1"/>
    <col min="3" max="3" width="14.85546875" style="18" bestFit="1" customWidth="1"/>
    <col min="4" max="4" width="14.85546875" style="18" customWidth="1"/>
    <col min="5" max="5" width="18.85546875" style="18" bestFit="1" customWidth="1"/>
    <col min="6" max="6" width="60.140625" style="18" bestFit="1" customWidth="1"/>
    <col min="7" max="7" width="12.5703125" style="18" bestFit="1" customWidth="1"/>
    <col min="8" max="8" width="23" style="18" customWidth="1"/>
    <col min="9" max="9" width="102.42578125" style="18" customWidth="1"/>
    <col min="10" max="16384" width="9.140625" style="18"/>
  </cols>
  <sheetData>
    <row r="1" spans="1:9" x14ac:dyDescent="0.25">
      <c r="A1" s="1" t="s">
        <v>12</v>
      </c>
      <c r="B1" s="28" t="s">
        <v>3578</v>
      </c>
    </row>
    <row r="2" spans="1:9" x14ac:dyDescent="0.25">
      <c r="A2" s="1" t="s">
        <v>4023</v>
      </c>
      <c r="B2" s="28" t="s">
        <v>4024</v>
      </c>
    </row>
    <row r="3" spans="1:9" x14ac:dyDescent="0.25">
      <c r="A3" s="1" t="s">
        <v>0</v>
      </c>
      <c r="B3" s="28" t="s">
        <v>3579</v>
      </c>
    </row>
    <row r="4" spans="1:9" x14ac:dyDescent="0.25">
      <c r="A4" s="1" t="s">
        <v>1</v>
      </c>
      <c r="B4" s="28" t="s">
        <v>3580</v>
      </c>
    </row>
    <row r="5" spans="1:9" ht="41.25" customHeight="1" x14ac:dyDescent="0.25">
      <c r="A5" s="1"/>
      <c r="B5" s="43" t="s">
        <v>3581</v>
      </c>
    </row>
    <row r="6" spans="1:9" x14ac:dyDescent="0.25">
      <c r="A6" s="18" t="s">
        <v>2</v>
      </c>
      <c r="B6" s="18" t="s">
        <v>3</v>
      </c>
      <c r="C6" s="18" t="s">
        <v>4</v>
      </c>
      <c r="D6" s="18" t="s">
        <v>13</v>
      </c>
      <c r="E6" s="18" t="s">
        <v>1</v>
      </c>
      <c r="F6" s="18" t="s">
        <v>0</v>
      </c>
      <c r="G6" s="18" t="s">
        <v>14</v>
      </c>
      <c r="H6" s="18" t="s">
        <v>5</v>
      </c>
      <c r="I6" s="18" t="s">
        <v>6</v>
      </c>
    </row>
    <row r="7" spans="1:9" ht="30" x14ac:dyDescent="0.25">
      <c r="A7" s="18">
        <v>1</v>
      </c>
      <c r="B7" s="66" t="s">
        <v>53</v>
      </c>
      <c r="C7" s="66" t="s">
        <v>7</v>
      </c>
      <c r="D7" s="66">
        <v>6</v>
      </c>
      <c r="E7" s="66" t="s">
        <v>3577</v>
      </c>
      <c r="F7" s="67" t="s">
        <v>3520</v>
      </c>
      <c r="G7" s="37" t="s">
        <v>4014</v>
      </c>
      <c r="H7" s="61" t="s">
        <v>60</v>
      </c>
      <c r="I7" s="37"/>
    </row>
    <row r="8" spans="1:9" x14ac:dyDescent="0.25">
      <c r="A8" s="18">
        <v>2</v>
      </c>
      <c r="B8" s="66" t="s">
        <v>3417</v>
      </c>
      <c r="C8" s="66" t="s">
        <v>7</v>
      </c>
      <c r="D8" s="66">
        <v>1</v>
      </c>
      <c r="E8" s="66" t="s">
        <v>3577</v>
      </c>
      <c r="F8" s="67" t="s">
        <v>3568</v>
      </c>
      <c r="G8" s="37" t="s">
        <v>13</v>
      </c>
      <c r="H8" s="37"/>
      <c r="I8" s="37"/>
    </row>
    <row r="9" spans="1:9" ht="30" x14ac:dyDescent="0.25">
      <c r="A9" s="18">
        <v>3</v>
      </c>
      <c r="B9" s="66" t="s">
        <v>20</v>
      </c>
      <c r="C9" s="66" t="s">
        <v>7</v>
      </c>
      <c r="D9" s="66">
        <v>20</v>
      </c>
      <c r="E9" s="66" t="s">
        <v>3577</v>
      </c>
      <c r="F9" s="67" t="s">
        <v>3569</v>
      </c>
      <c r="G9" s="37" t="s">
        <v>4014</v>
      </c>
      <c r="H9" s="76" t="str">
        <f>CATALOGOS!A1110</f>
        <v>PIZARRA</v>
      </c>
      <c r="I9" s="37"/>
    </row>
    <row r="10" spans="1:9" ht="30" x14ac:dyDescent="0.25">
      <c r="A10" s="18">
        <v>4</v>
      </c>
      <c r="B10" s="66" t="s">
        <v>10</v>
      </c>
      <c r="C10" s="66" t="s">
        <v>7</v>
      </c>
      <c r="D10" s="66">
        <v>6</v>
      </c>
      <c r="E10" s="66" t="s">
        <v>3577</v>
      </c>
      <c r="F10" s="67" t="s">
        <v>3570</v>
      </c>
      <c r="G10" s="37" t="s">
        <v>4014</v>
      </c>
      <c r="H10" s="61" t="s">
        <v>40</v>
      </c>
      <c r="I10" s="37"/>
    </row>
    <row r="11" spans="1:9" x14ac:dyDescent="0.25">
      <c r="A11" s="18">
        <v>5</v>
      </c>
      <c r="B11" s="66" t="s">
        <v>3412</v>
      </c>
      <c r="C11" s="66" t="s">
        <v>24</v>
      </c>
      <c r="D11" s="66">
        <v>6</v>
      </c>
      <c r="E11" s="66" t="s">
        <v>3577</v>
      </c>
      <c r="F11" s="67" t="s">
        <v>3571</v>
      </c>
      <c r="G11" s="37" t="s">
        <v>13</v>
      </c>
      <c r="H11" s="37"/>
      <c r="I11" s="37"/>
    </row>
    <row r="12" spans="1:9" ht="30" x14ac:dyDescent="0.25">
      <c r="A12" s="18">
        <v>6</v>
      </c>
      <c r="B12" s="66" t="s">
        <v>3563</v>
      </c>
      <c r="C12" s="66" t="s">
        <v>7</v>
      </c>
      <c r="D12" s="66">
        <v>1</v>
      </c>
      <c r="E12" s="66" t="s">
        <v>3577</v>
      </c>
      <c r="F12" s="67" t="s">
        <v>3572</v>
      </c>
      <c r="G12" s="37" t="s">
        <v>13</v>
      </c>
      <c r="H12" s="37"/>
      <c r="I12" s="37"/>
    </row>
    <row r="13" spans="1:9" x14ac:dyDescent="0.25">
      <c r="A13" s="18">
        <v>7</v>
      </c>
      <c r="B13" s="66" t="s">
        <v>3564</v>
      </c>
      <c r="C13" s="66" t="s">
        <v>24</v>
      </c>
      <c r="D13" s="66" t="s">
        <v>3576</v>
      </c>
      <c r="E13" s="66" t="s">
        <v>3577</v>
      </c>
      <c r="F13" s="67" t="s">
        <v>3573</v>
      </c>
      <c r="G13" s="37" t="s">
        <v>4020</v>
      </c>
      <c r="H13" s="37"/>
      <c r="I13" s="37"/>
    </row>
    <row r="14" spans="1:9" x14ac:dyDescent="0.25">
      <c r="A14" s="18">
        <v>8</v>
      </c>
      <c r="B14" s="66" t="s">
        <v>3565</v>
      </c>
      <c r="C14" s="66" t="s">
        <v>24</v>
      </c>
      <c r="D14" s="66" t="s">
        <v>3576</v>
      </c>
      <c r="E14" s="66" t="s">
        <v>3577</v>
      </c>
      <c r="F14" s="67" t="s">
        <v>3504</v>
      </c>
      <c r="G14" s="37" t="s">
        <v>4020</v>
      </c>
      <c r="H14" s="37"/>
      <c r="I14" s="37"/>
    </row>
    <row r="15" spans="1:9" ht="30" x14ac:dyDescent="0.25">
      <c r="A15" s="18">
        <v>9</v>
      </c>
      <c r="B15" s="66" t="s">
        <v>3566</v>
      </c>
      <c r="C15" s="66" t="s">
        <v>24</v>
      </c>
      <c r="D15" s="66">
        <v>15</v>
      </c>
      <c r="E15" s="66" t="s">
        <v>3577</v>
      </c>
      <c r="F15" s="67" t="s">
        <v>3574</v>
      </c>
      <c r="G15" s="37" t="s">
        <v>4019</v>
      </c>
      <c r="H15" s="37"/>
      <c r="I15" s="37"/>
    </row>
    <row r="16" spans="1:9" x14ac:dyDescent="0.25">
      <c r="A16" s="18">
        <v>10</v>
      </c>
      <c r="B16" s="66" t="s">
        <v>3567</v>
      </c>
      <c r="C16" s="66" t="s">
        <v>7</v>
      </c>
      <c r="D16" s="66">
        <v>20</v>
      </c>
      <c r="E16" s="66" t="s">
        <v>3577</v>
      </c>
      <c r="F16" s="67" t="s">
        <v>3575</v>
      </c>
      <c r="G16" s="37" t="s">
        <v>13</v>
      </c>
      <c r="H16" s="37"/>
      <c r="I16" s="37"/>
    </row>
    <row r="17" spans="1:9" customFormat="1" ht="30" x14ac:dyDescent="0.25">
      <c r="A17" s="22">
        <v>11</v>
      </c>
      <c r="B17" s="21" t="s">
        <v>32</v>
      </c>
      <c r="C17" s="21" t="s">
        <v>7</v>
      </c>
      <c r="D17" s="21">
        <v>34</v>
      </c>
      <c r="E17" s="73"/>
      <c r="F17" s="26" t="s">
        <v>3505</v>
      </c>
      <c r="G17" s="23" t="s">
        <v>4021</v>
      </c>
      <c r="H17" s="27"/>
      <c r="I17" s="23" t="s">
        <v>4160</v>
      </c>
    </row>
    <row r="18" spans="1:9" ht="75" x14ac:dyDescent="0.25">
      <c r="A18" s="58">
        <v>12</v>
      </c>
      <c r="B18" s="73" t="s">
        <v>4049</v>
      </c>
      <c r="C18" s="73" t="s">
        <v>15</v>
      </c>
      <c r="D18" s="73" t="s">
        <v>4037</v>
      </c>
      <c r="E18" s="73"/>
      <c r="F18" s="74" t="s">
        <v>4050</v>
      </c>
      <c r="G18" s="75" t="s">
        <v>4055</v>
      </c>
      <c r="H18" s="75"/>
      <c r="I18" s="75"/>
    </row>
  </sheetData>
  <hyperlinks>
    <hyperlink ref="H7" location="CATALOGOS!A165" display="CATALOGOS!A165" xr:uid="{00000000-0004-0000-0500-000000000000}"/>
    <hyperlink ref="H10" location="CATALOGOS!A7" display="CATALOGOS!A7" xr:uid="{00000000-0004-0000-0500-000001000000}"/>
    <hyperlink ref="H9" location="CATALOGOS!A41175" display="CATALOGOS!A41175" xr:uid="{00000000-0004-0000-0500-000002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
  <sheetViews>
    <sheetView zoomScale="70" zoomScaleNormal="70" workbookViewId="0">
      <selection activeCell="F21" sqref="F21"/>
    </sheetView>
  </sheetViews>
  <sheetFormatPr baseColWidth="10" defaultColWidth="9.140625" defaultRowHeight="15" x14ac:dyDescent="0.25"/>
  <cols>
    <col min="1" max="1" width="17.5703125" bestFit="1" customWidth="1"/>
    <col min="2" max="2" width="18.85546875" customWidth="1"/>
    <col min="3" max="3" width="14.85546875" bestFit="1" customWidth="1"/>
    <col min="4" max="4" width="14.85546875" customWidth="1"/>
    <col min="5" max="5" width="18.85546875" bestFit="1" customWidth="1"/>
    <col min="6" max="6" width="23.85546875" customWidth="1"/>
    <col min="7" max="7" width="12.5703125" bestFit="1" customWidth="1"/>
    <col min="8" max="8" width="29.85546875" customWidth="1"/>
    <col min="9" max="9" width="102.42578125" customWidth="1"/>
  </cols>
  <sheetData>
    <row r="1" spans="1:9" x14ac:dyDescent="0.25">
      <c r="A1" s="1" t="s">
        <v>12</v>
      </c>
      <c r="B1" s="4" t="s">
        <v>3589</v>
      </c>
    </row>
    <row r="2" spans="1:9" x14ac:dyDescent="0.25">
      <c r="A2" s="1" t="s">
        <v>4023</v>
      </c>
      <c r="B2" s="4" t="s">
        <v>4024</v>
      </c>
    </row>
    <row r="3" spans="1:9" x14ac:dyDescent="0.25">
      <c r="A3" s="1" t="s">
        <v>0</v>
      </c>
      <c r="B3" s="4" t="s">
        <v>3594</v>
      </c>
    </row>
    <row r="4" spans="1:9" x14ac:dyDescent="0.25">
      <c r="A4" s="1" t="s">
        <v>1</v>
      </c>
      <c r="B4" s="4" t="s">
        <v>3595</v>
      </c>
    </row>
    <row r="5" spans="1:9" ht="41.25" customHeight="1" x14ac:dyDescent="0.25">
      <c r="A5" s="1"/>
      <c r="B5" s="3" t="s">
        <v>3593</v>
      </c>
    </row>
    <row r="6" spans="1:9" x14ac:dyDescent="0.25">
      <c r="A6" t="s">
        <v>2</v>
      </c>
      <c r="B6" t="s">
        <v>3</v>
      </c>
      <c r="C6" t="s">
        <v>4</v>
      </c>
      <c r="D6" t="s">
        <v>13</v>
      </c>
      <c r="E6" t="s">
        <v>1</v>
      </c>
      <c r="F6" t="s">
        <v>0</v>
      </c>
      <c r="G6" t="s">
        <v>14</v>
      </c>
      <c r="H6" t="s">
        <v>5</v>
      </c>
      <c r="I6" t="s">
        <v>6</v>
      </c>
    </row>
    <row r="7" spans="1:9" ht="30" x14ac:dyDescent="0.25">
      <c r="A7">
        <v>1</v>
      </c>
      <c r="B7" s="5" t="s">
        <v>32</v>
      </c>
      <c r="C7" s="5" t="s">
        <v>7</v>
      </c>
      <c r="D7" s="5">
        <v>34</v>
      </c>
      <c r="E7" s="13" t="s">
        <v>3588</v>
      </c>
      <c r="F7" s="20" t="s">
        <v>3505</v>
      </c>
      <c r="G7" s="2" t="s">
        <v>4021</v>
      </c>
      <c r="H7" s="15"/>
      <c r="I7" s="2"/>
    </row>
    <row r="8" spans="1:9" ht="26.25" x14ac:dyDescent="0.25">
      <c r="A8">
        <v>2</v>
      </c>
      <c r="B8" s="5" t="s">
        <v>3564</v>
      </c>
      <c r="C8" s="5" t="s">
        <v>24</v>
      </c>
      <c r="D8" s="5" t="s">
        <v>3576</v>
      </c>
      <c r="E8" s="13" t="s">
        <v>3588</v>
      </c>
      <c r="F8" s="20" t="s">
        <v>3573</v>
      </c>
      <c r="G8" s="2" t="s">
        <v>4020</v>
      </c>
      <c r="H8" s="15"/>
      <c r="I8" s="2"/>
    </row>
    <row r="9" spans="1:9" x14ac:dyDescent="0.25">
      <c r="A9">
        <v>3</v>
      </c>
      <c r="B9" s="5" t="s">
        <v>3565</v>
      </c>
      <c r="C9" s="5" t="s">
        <v>24</v>
      </c>
      <c r="D9" s="5" t="s">
        <v>3454</v>
      </c>
      <c r="E9" s="13" t="s">
        <v>4033</v>
      </c>
      <c r="F9" s="20" t="s">
        <v>3504</v>
      </c>
      <c r="G9" s="2" t="s">
        <v>4020</v>
      </c>
      <c r="H9" s="15"/>
      <c r="I9" s="2"/>
    </row>
    <row r="10" spans="1:9" ht="39" x14ac:dyDescent="0.25">
      <c r="A10">
        <v>4</v>
      </c>
      <c r="B10" s="5" t="s">
        <v>3563</v>
      </c>
      <c r="C10" s="5" t="s">
        <v>7</v>
      </c>
      <c r="D10" s="5">
        <v>1</v>
      </c>
      <c r="E10" s="13" t="s">
        <v>3588</v>
      </c>
      <c r="F10" s="20" t="s">
        <v>3584</v>
      </c>
      <c r="G10" s="2" t="s">
        <v>13</v>
      </c>
      <c r="H10" s="15"/>
      <c r="I10" s="2"/>
    </row>
    <row r="11" spans="1:9" ht="39" x14ac:dyDescent="0.25">
      <c r="A11">
        <v>5</v>
      </c>
      <c r="B11" s="5" t="s">
        <v>3582</v>
      </c>
      <c r="C11" s="5" t="s">
        <v>7</v>
      </c>
      <c r="D11" s="5">
        <v>20</v>
      </c>
      <c r="E11" s="13" t="s">
        <v>3588</v>
      </c>
      <c r="F11" s="20" t="s">
        <v>3586</v>
      </c>
      <c r="G11" s="2" t="s">
        <v>13</v>
      </c>
      <c r="H11" s="15"/>
      <c r="I11" s="2"/>
    </row>
    <row r="12" spans="1:9" ht="51.75" x14ac:dyDescent="0.25">
      <c r="A12">
        <v>6</v>
      </c>
      <c r="B12" s="5" t="s">
        <v>3583</v>
      </c>
      <c r="C12" s="5" t="s">
        <v>24</v>
      </c>
      <c r="D12" s="5">
        <v>3</v>
      </c>
      <c r="E12" s="13" t="s">
        <v>3588</v>
      </c>
      <c r="F12" s="20" t="s">
        <v>3587</v>
      </c>
      <c r="G12" s="2" t="s">
        <v>13</v>
      </c>
      <c r="H12" s="15"/>
      <c r="I12" s="2"/>
    </row>
    <row r="13" spans="1:9" ht="39" x14ac:dyDescent="0.25">
      <c r="A13">
        <v>7</v>
      </c>
      <c r="B13" s="5" t="s">
        <v>3566</v>
      </c>
      <c r="C13" s="5" t="s">
        <v>24</v>
      </c>
      <c r="D13" s="5">
        <v>15</v>
      </c>
      <c r="E13" s="13" t="s">
        <v>3588</v>
      </c>
      <c r="F13" s="20" t="s">
        <v>3574</v>
      </c>
      <c r="G13" s="2" t="s">
        <v>4019</v>
      </c>
      <c r="H13" s="15"/>
      <c r="I13" s="2"/>
    </row>
    <row r="14" spans="1:9" ht="39" x14ac:dyDescent="0.25">
      <c r="A14">
        <v>8</v>
      </c>
      <c r="B14" s="5" t="s">
        <v>3567</v>
      </c>
      <c r="C14" s="5" t="s">
        <v>7</v>
      </c>
      <c r="D14" s="5">
        <v>20</v>
      </c>
      <c r="E14" s="13" t="s">
        <v>3588</v>
      </c>
      <c r="F14" s="20" t="s">
        <v>3585</v>
      </c>
      <c r="G14" s="2" t="s">
        <v>13</v>
      </c>
      <c r="H14" s="15"/>
      <c r="I14" s="2"/>
    </row>
    <row r="15" spans="1:9" ht="26.25" x14ac:dyDescent="0.25">
      <c r="A15" s="22">
        <v>9</v>
      </c>
      <c r="B15" s="25" t="s">
        <v>4049</v>
      </c>
      <c r="C15" s="21" t="s">
        <v>15</v>
      </c>
      <c r="D15" s="21" t="s">
        <v>4037</v>
      </c>
      <c r="E15" s="25"/>
      <c r="F15" s="26" t="s">
        <v>4050</v>
      </c>
      <c r="G15" s="23"/>
      <c r="H15" s="27"/>
      <c r="I15" s="23"/>
    </row>
    <row r="21" spans="11:12" x14ac:dyDescent="0.25">
      <c r="K21" s="24"/>
      <c r="L21" s="24"/>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zoomScale="85" zoomScaleNormal="85" workbookViewId="0">
      <selection activeCell="F16" sqref="F16"/>
    </sheetView>
  </sheetViews>
  <sheetFormatPr baseColWidth="10" defaultColWidth="9.140625" defaultRowHeight="15" x14ac:dyDescent="0.25"/>
  <cols>
    <col min="1" max="1" width="17.5703125" style="18" bestFit="1" customWidth="1"/>
    <col min="2" max="2" width="18.85546875" style="18" customWidth="1"/>
    <col min="3" max="3" width="14.85546875" style="18" bestFit="1" customWidth="1"/>
    <col min="4" max="4" width="14.85546875" style="18" customWidth="1"/>
    <col min="5" max="5" width="18.85546875" style="18" bestFit="1" customWidth="1"/>
    <col min="6" max="6" width="69.85546875" style="18" bestFit="1" customWidth="1"/>
    <col min="7" max="7" width="12.5703125" style="18" bestFit="1" customWidth="1"/>
    <col min="8" max="8" width="18.5703125" style="18" customWidth="1"/>
    <col min="9" max="9" width="62.5703125" style="18" customWidth="1"/>
    <col min="10" max="16384" width="9.140625" style="18"/>
  </cols>
  <sheetData>
    <row r="1" spans="1:9" x14ac:dyDescent="0.25">
      <c r="A1" s="1" t="s">
        <v>12</v>
      </c>
      <c r="B1" s="28" t="s">
        <v>3590</v>
      </c>
    </row>
    <row r="2" spans="1:9" x14ac:dyDescent="0.25">
      <c r="A2" s="1" t="s">
        <v>4023</v>
      </c>
      <c r="B2" s="28" t="s">
        <v>4024</v>
      </c>
    </row>
    <row r="3" spans="1:9" x14ac:dyDescent="0.25">
      <c r="A3" s="1" t="s">
        <v>0</v>
      </c>
      <c r="B3" s="28" t="s">
        <v>3591</v>
      </c>
    </row>
    <row r="4" spans="1:9" x14ac:dyDescent="0.25">
      <c r="A4" s="1" t="s">
        <v>1</v>
      </c>
      <c r="B4" s="28" t="s">
        <v>3592</v>
      </c>
    </row>
    <row r="5" spans="1:9" ht="41.25" customHeight="1" x14ac:dyDescent="0.25">
      <c r="A5" s="1"/>
      <c r="B5" s="43" t="s">
        <v>3596</v>
      </c>
    </row>
    <row r="6" spans="1:9" x14ac:dyDescent="0.25">
      <c r="A6" s="18" t="s">
        <v>2</v>
      </c>
      <c r="B6" s="18" t="s">
        <v>3</v>
      </c>
      <c r="C6" s="18" t="s">
        <v>4</v>
      </c>
      <c r="D6" s="18" t="s">
        <v>13</v>
      </c>
      <c r="E6" s="18" t="s">
        <v>1</v>
      </c>
      <c r="F6" s="18" t="s">
        <v>0</v>
      </c>
      <c r="G6" s="18" t="s">
        <v>14</v>
      </c>
      <c r="H6" s="18" t="s">
        <v>5</v>
      </c>
      <c r="I6" s="18" t="s">
        <v>6</v>
      </c>
    </row>
    <row r="7" spans="1:9" ht="30" x14ac:dyDescent="0.25">
      <c r="A7" s="18">
        <v>1</v>
      </c>
      <c r="B7" s="66" t="s">
        <v>53</v>
      </c>
      <c r="C7" s="66" t="s">
        <v>7</v>
      </c>
      <c r="D7" s="66">
        <v>6</v>
      </c>
      <c r="E7" s="66"/>
      <c r="F7" s="67" t="s">
        <v>3520</v>
      </c>
      <c r="G7" s="37" t="s">
        <v>4014</v>
      </c>
      <c r="H7" s="61" t="s">
        <v>60</v>
      </c>
      <c r="I7" s="37"/>
    </row>
    <row r="8" spans="1:9" x14ac:dyDescent="0.25">
      <c r="A8" s="18">
        <v>2</v>
      </c>
      <c r="B8" s="66" t="s">
        <v>3597</v>
      </c>
      <c r="C8" s="66" t="s">
        <v>24</v>
      </c>
      <c r="D8" s="66">
        <v>6</v>
      </c>
      <c r="E8" s="66"/>
      <c r="F8" s="67" t="s">
        <v>3599</v>
      </c>
      <c r="G8" s="37" t="s">
        <v>13</v>
      </c>
      <c r="H8" s="37"/>
      <c r="I8" s="37"/>
    </row>
    <row r="9" spans="1:9" x14ac:dyDescent="0.25">
      <c r="A9" s="18">
        <v>3</v>
      </c>
      <c r="B9" s="66" t="s">
        <v>3598</v>
      </c>
      <c r="C9" s="66" t="s">
        <v>24</v>
      </c>
      <c r="D9" s="66">
        <v>15</v>
      </c>
      <c r="E9" s="66"/>
      <c r="F9" s="67" t="s">
        <v>3600</v>
      </c>
      <c r="G9" s="37" t="s">
        <v>13</v>
      </c>
      <c r="H9" s="37"/>
      <c r="I9" s="37"/>
    </row>
    <row r="10" spans="1:9" x14ac:dyDescent="0.25">
      <c r="A10" s="18">
        <v>4</v>
      </c>
      <c r="B10" s="66" t="s">
        <v>3564</v>
      </c>
      <c r="C10" s="66" t="s">
        <v>24</v>
      </c>
      <c r="D10" s="66" t="s">
        <v>3576</v>
      </c>
      <c r="E10" s="66"/>
      <c r="F10" s="67" t="s">
        <v>3573</v>
      </c>
      <c r="G10" s="37" t="s">
        <v>4020</v>
      </c>
      <c r="H10" s="37"/>
      <c r="I10" s="37"/>
    </row>
    <row r="11" spans="1:9" x14ac:dyDescent="0.25">
      <c r="A11" s="18">
        <v>5</v>
      </c>
      <c r="B11" s="66" t="s">
        <v>3565</v>
      </c>
      <c r="C11" s="66" t="s">
        <v>24</v>
      </c>
      <c r="D11" s="66" t="s">
        <v>3454</v>
      </c>
      <c r="E11" s="68" t="s">
        <v>4026</v>
      </c>
      <c r="F11" s="67" t="s">
        <v>3504</v>
      </c>
      <c r="G11" s="37" t="s">
        <v>4020</v>
      </c>
      <c r="H11" s="37"/>
      <c r="I11" s="37"/>
    </row>
    <row r="12" spans="1:9" ht="30" x14ac:dyDescent="0.25">
      <c r="A12" s="18">
        <v>6</v>
      </c>
      <c r="B12" s="66" t="s">
        <v>3566</v>
      </c>
      <c r="C12" s="66" t="s">
        <v>24</v>
      </c>
      <c r="D12" s="66">
        <v>15</v>
      </c>
      <c r="E12" s="66"/>
      <c r="F12" s="67" t="s">
        <v>3601</v>
      </c>
      <c r="G12" s="37" t="s">
        <v>4019</v>
      </c>
      <c r="H12" s="37"/>
      <c r="I12" s="37"/>
    </row>
    <row r="13" spans="1:9" ht="30" x14ac:dyDescent="0.25">
      <c r="A13" s="18">
        <v>7</v>
      </c>
      <c r="B13" s="66" t="s">
        <v>32</v>
      </c>
      <c r="C13" s="66" t="s">
        <v>7</v>
      </c>
      <c r="D13" s="66">
        <v>34</v>
      </c>
      <c r="E13" s="68" t="s">
        <v>4026</v>
      </c>
      <c r="F13" s="29" t="s">
        <v>3505</v>
      </c>
      <c r="G13" s="37" t="s">
        <v>4021</v>
      </c>
      <c r="H13" s="37"/>
      <c r="I13" s="37" t="s">
        <v>4034</v>
      </c>
    </row>
    <row r="14" spans="1:9" x14ac:dyDescent="0.25">
      <c r="A14" s="62">
        <v>8</v>
      </c>
      <c r="B14" s="68" t="s">
        <v>4028</v>
      </c>
      <c r="C14" s="68" t="s">
        <v>24</v>
      </c>
      <c r="D14" s="66">
        <v>15</v>
      </c>
      <c r="E14" s="68" t="s">
        <v>4026</v>
      </c>
      <c r="F14" s="69" t="s">
        <v>4028</v>
      </c>
      <c r="G14" s="63" t="s">
        <v>4030</v>
      </c>
      <c r="H14" s="63"/>
      <c r="I14" s="63"/>
    </row>
    <row r="15" spans="1:9" ht="30" x14ac:dyDescent="0.25">
      <c r="A15" s="64">
        <v>9</v>
      </c>
      <c r="B15" s="70" t="s">
        <v>4031</v>
      </c>
      <c r="C15" s="70" t="s">
        <v>7</v>
      </c>
      <c r="D15" s="66">
        <v>3</v>
      </c>
      <c r="E15" s="70" t="s">
        <v>4026</v>
      </c>
      <c r="F15" s="71" t="s">
        <v>4032</v>
      </c>
      <c r="G15" s="65" t="s">
        <v>4017</v>
      </c>
      <c r="H15" s="72" t="s">
        <v>58</v>
      </c>
      <c r="I15" s="65"/>
    </row>
    <row r="16" spans="1:9" ht="75" x14ac:dyDescent="0.25">
      <c r="A16" s="58">
        <v>10</v>
      </c>
      <c r="B16" s="73" t="s">
        <v>4049</v>
      </c>
      <c r="C16" s="73" t="s">
        <v>15</v>
      </c>
      <c r="D16" s="73" t="s">
        <v>4037</v>
      </c>
      <c r="E16" s="73"/>
      <c r="F16" s="74" t="s">
        <v>4050</v>
      </c>
      <c r="G16" s="75" t="s">
        <v>4055</v>
      </c>
      <c r="H16" s="75"/>
      <c r="I16" s="75"/>
    </row>
  </sheetData>
  <hyperlinks>
    <hyperlink ref="H7" location="CATALOGOS!A165" display="CATALOGOS!A165" xr:uid="{00000000-0004-0000-0700-000000000000}"/>
    <hyperlink ref="H15" location="CATALOGOS!A41084" display="CATALOGOS!A41084" xr:uid="{16B18157-3D1A-4946-B8AB-7E2D490C6C75}"/>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6D73-DAEE-462E-B78A-8861DC089AEC}">
  <dimension ref="A1:I103"/>
  <sheetViews>
    <sheetView tabSelected="1" zoomScaleNormal="100" workbookViewId="0"/>
  </sheetViews>
  <sheetFormatPr baseColWidth="10" defaultColWidth="9.140625" defaultRowHeight="15" x14ac:dyDescent="0.25"/>
  <cols>
    <col min="1" max="1" width="17.5703125" bestFit="1" customWidth="1"/>
    <col min="2" max="2" width="12.42578125" customWidth="1"/>
    <col min="3" max="3" width="13.5703125" customWidth="1"/>
    <col min="4" max="4" width="13.7109375" customWidth="1"/>
    <col min="5" max="5" width="31.7109375" customWidth="1"/>
    <col min="6" max="6" width="37.85546875" customWidth="1"/>
    <col min="7" max="7" width="11.7109375" customWidth="1"/>
    <col min="8" max="8" width="14.7109375" customWidth="1"/>
    <col min="9" max="9" width="16.28515625" customWidth="1"/>
  </cols>
  <sheetData>
    <row r="1" spans="1:9" x14ac:dyDescent="0.25">
      <c r="A1" s="1" t="s">
        <v>12</v>
      </c>
      <c r="B1" s="4" t="s">
        <v>3743</v>
      </c>
    </row>
    <row r="2" spans="1:9" x14ac:dyDescent="0.25">
      <c r="A2" s="1" t="s">
        <v>4023</v>
      </c>
      <c r="B2" s="4" t="s">
        <v>4024</v>
      </c>
    </row>
    <row r="3" spans="1:9" x14ac:dyDescent="0.25">
      <c r="A3" s="1" t="s">
        <v>0</v>
      </c>
      <c r="B3" s="4" t="s">
        <v>3745</v>
      </c>
    </row>
    <row r="4" spans="1:9" x14ac:dyDescent="0.25">
      <c r="A4" s="1" t="s">
        <v>1</v>
      </c>
      <c r="B4" s="4" t="s">
        <v>3744</v>
      </c>
    </row>
    <row r="5" spans="1:9" x14ac:dyDescent="0.25">
      <c r="A5" s="1"/>
      <c r="B5" s="3" t="s">
        <v>3688</v>
      </c>
    </row>
    <row r="6" spans="1:9" x14ac:dyDescent="0.25">
      <c r="A6" t="s">
        <v>2</v>
      </c>
      <c r="B6" t="s">
        <v>3</v>
      </c>
      <c r="C6" t="s">
        <v>4</v>
      </c>
      <c r="D6" t="s">
        <v>13</v>
      </c>
      <c r="E6" t="s">
        <v>1</v>
      </c>
      <c r="F6" t="s">
        <v>0</v>
      </c>
      <c r="G6" t="s">
        <v>14</v>
      </c>
      <c r="H6" t="s">
        <v>5</v>
      </c>
      <c r="I6" t="s">
        <v>6</v>
      </c>
    </row>
    <row r="7" spans="1:9" ht="30" x14ac:dyDescent="0.25">
      <c r="A7">
        <v>1</v>
      </c>
      <c r="B7" s="5" t="s">
        <v>3693</v>
      </c>
      <c r="C7" s="5" t="s">
        <v>7</v>
      </c>
      <c r="D7" s="5">
        <v>1</v>
      </c>
      <c r="E7" s="5" t="s">
        <v>3691</v>
      </c>
      <c r="F7" s="5" t="s">
        <v>3694</v>
      </c>
      <c r="G7" s="2" t="s">
        <v>4014</v>
      </c>
      <c r="H7" s="19" t="str">
        <f>CATALOGOS!A$1099</f>
        <v>OFICINA</v>
      </c>
      <c r="I7" s="2"/>
    </row>
    <row r="8" spans="1:9" ht="30" x14ac:dyDescent="0.25">
      <c r="A8">
        <f>+A7+1</f>
        <v>2</v>
      </c>
      <c r="B8" s="5" t="s">
        <v>3695</v>
      </c>
      <c r="C8" s="5" t="s">
        <v>7</v>
      </c>
      <c r="D8" s="5">
        <v>20</v>
      </c>
      <c r="E8" s="5" t="s">
        <v>3691</v>
      </c>
      <c r="F8" s="5" t="s">
        <v>3689</v>
      </c>
      <c r="G8" s="2" t="s">
        <v>4014</v>
      </c>
      <c r="H8" s="5" t="s">
        <v>3690</v>
      </c>
      <c r="I8" s="2"/>
    </row>
    <row r="9" spans="1:9" ht="30" x14ac:dyDescent="0.25">
      <c r="A9">
        <f t="shared" ref="A9:A72" si="0">+A8+1</f>
        <v>3</v>
      </c>
      <c r="B9" s="5" t="s">
        <v>3696</v>
      </c>
      <c r="C9" s="5" t="s">
        <v>7</v>
      </c>
      <c r="D9" s="5">
        <v>20</v>
      </c>
      <c r="E9" s="5" t="s">
        <v>3691</v>
      </c>
      <c r="F9" s="5" t="s">
        <v>3697</v>
      </c>
      <c r="G9" s="2" t="s">
        <v>4014</v>
      </c>
      <c r="H9" s="14"/>
      <c r="I9" s="2"/>
    </row>
    <row r="10" spans="1:9" x14ac:dyDescent="0.25">
      <c r="A10">
        <f t="shared" si="0"/>
        <v>4</v>
      </c>
      <c r="B10" s="5" t="s">
        <v>3698</v>
      </c>
      <c r="C10" s="5" t="s">
        <v>3701</v>
      </c>
      <c r="D10" s="5" t="s">
        <v>3702</v>
      </c>
      <c r="E10" s="5" t="s">
        <v>3691</v>
      </c>
      <c r="F10" s="5" t="s">
        <v>3699</v>
      </c>
      <c r="G10" s="2" t="s">
        <v>4018</v>
      </c>
      <c r="H10" s="5" t="s">
        <v>3700</v>
      </c>
      <c r="I10" s="2"/>
    </row>
    <row r="11" spans="1:9" x14ac:dyDescent="0.25">
      <c r="A11">
        <f t="shared" si="0"/>
        <v>5</v>
      </c>
      <c r="B11" s="5" t="s">
        <v>3703</v>
      </c>
      <c r="C11" s="5" t="s">
        <v>3701</v>
      </c>
      <c r="D11" s="5" t="s">
        <v>3702</v>
      </c>
      <c r="E11" s="5" t="s">
        <v>3691</v>
      </c>
      <c r="F11" s="5" t="s">
        <v>3704</v>
      </c>
      <c r="G11" s="2" t="s">
        <v>4018</v>
      </c>
      <c r="H11" s="5" t="s">
        <v>3700</v>
      </c>
      <c r="I11" s="2"/>
    </row>
    <row r="12" spans="1:9" x14ac:dyDescent="0.25">
      <c r="A12">
        <f t="shared" si="0"/>
        <v>6</v>
      </c>
      <c r="B12" s="5" t="s">
        <v>3705</v>
      </c>
      <c r="C12" s="5" t="s">
        <v>3701</v>
      </c>
      <c r="D12" s="5" t="s">
        <v>3702</v>
      </c>
      <c r="E12" s="5" t="s">
        <v>3691</v>
      </c>
      <c r="F12" s="5" t="s">
        <v>3706</v>
      </c>
      <c r="G12" s="2" t="s">
        <v>4018</v>
      </c>
      <c r="H12" s="5" t="s">
        <v>3700</v>
      </c>
      <c r="I12" s="2"/>
    </row>
    <row r="13" spans="1:9" ht="30" x14ac:dyDescent="0.25">
      <c r="A13">
        <f t="shared" si="0"/>
        <v>7</v>
      </c>
      <c r="B13" s="5" t="s">
        <v>3707</v>
      </c>
      <c r="C13" s="5" t="s">
        <v>3710</v>
      </c>
      <c r="D13" s="5" t="s">
        <v>3711</v>
      </c>
      <c r="E13" s="5" t="s">
        <v>3691</v>
      </c>
      <c r="F13" s="5" t="s">
        <v>3708</v>
      </c>
      <c r="G13" s="2" t="s">
        <v>4014</v>
      </c>
      <c r="H13" s="5" t="s">
        <v>3709</v>
      </c>
      <c r="I13" s="2"/>
    </row>
    <row r="14" spans="1:9" x14ac:dyDescent="0.25">
      <c r="A14">
        <f t="shared" si="0"/>
        <v>8</v>
      </c>
      <c r="B14" s="5" t="s">
        <v>3712</v>
      </c>
      <c r="C14" s="5" t="s">
        <v>3710</v>
      </c>
      <c r="D14" s="5" t="s">
        <v>3711</v>
      </c>
      <c r="E14" s="5" t="s">
        <v>3691</v>
      </c>
      <c r="F14" s="5" t="s">
        <v>3713</v>
      </c>
      <c r="G14" s="2" t="s">
        <v>13</v>
      </c>
      <c r="H14" s="5" t="s">
        <v>3700</v>
      </c>
      <c r="I14" s="2"/>
    </row>
    <row r="15" spans="1:9" x14ac:dyDescent="0.25">
      <c r="A15">
        <f t="shared" si="0"/>
        <v>9</v>
      </c>
      <c r="B15" s="5" t="s">
        <v>3714</v>
      </c>
      <c r="C15" s="5" t="s">
        <v>7</v>
      </c>
      <c r="D15" s="5">
        <v>1</v>
      </c>
      <c r="E15" s="5" t="s">
        <v>3691</v>
      </c>
      <c r="F15" s="5" t="s">
        <v>3715</v>
      </c>
      <c r="G15" s="2" t="s">
        <v>13</v>
      </c>
      <c r="H15" s="5" t="s">
        <v>3700</v>
      </c>
      <c r="I15" s="2"/>
    </row>
    <row r="16" spans="1:9" x14ac:dyDescent="0.25">
      <c r="A16">
        <f t="shared" si="0"/>
        <v>10</v>
      </c>
      <c r="B16" s="5" t="s">
        <v>3716</v>
      </c>
      <c r="C16" s="5" t="s">
        <v>7</v>
      </c>
      <c r="D16" s="5">
        <v>2</v>
      </c>
      <c r="E16" s="5" t="s">
        <v>3691</v>
      </c>
      <c r="F16" s="5" t="s">
        <v>3717</v>
      </c>
      <c r="G16" s="2" t="s">
        <v>13</v>
      </c>
      <c r="H16" s="5" t="s">
        <v>3700</v>
      </c>
      <c r="I16" s="2"/>
    </row>
    <row r="17" spans="1:9" x14ac:dyDescent="0.25">
      <c r="A17">
        <f t="shared" si="0"/>
        <v>11</v>
      </c>
      <c r="B17" s="5" t="s">
        <v>3718</v>
      </c>
      <c r="C17" s="5" t="s">
        <v>7</v>
      </c>
      <c r="D17" s="5">
        <v>2</v>
      </c>
      <c r="E17" s="5" t="s">
        <v>3691</v>
      </c>
      <c r="F17" s="5" t="s">
        <v>3719</v>
      </c>
      <c r="G17" s="2" t="s">
        <v>13</v>
      </c>
      <c r="H17" s="5" t="s">
        <v>3700</v>
      </c>
      <c r="I17" s="2"/>
    </row>
    <row r="18" spans="1:9" x14ac:dyDescent="0.25">
      <c r="A18">
        <f t="shared" si="0"/>
        <v>12</v>
      </c>
      <c r="B18" s="5" t="s">
        <v>3720</v>
      </c>
      <c r="C18" s="5" t="s">
        <v>7</v>
      </c>
      <c r="D18" s="5">
        <v>1</v>
      </c>
      <c r="E18" s="5" t="s">
        <v>3691</v>
      </c>
      <c r="F18" s="5" t="s">
        <v>3721</v>
      </c>
      <c r="G18" s="2" t="s">
        <v>13</v>
      </c>
      <c r="H18" s="5" t="s">
        <v>3700</v>
      </c>
      <c r="I18" s="2"/>
    </row>
    <row r="19" spans="1:9" ht="30" x14ac:dyDescent="0.25">
      <c r="A19">
        <f t="shared" si="0"/>
        <v>13</v>
      </c>
      <c r="B19" s="5" t="s">
        <v>3722</v>
      </c>
      <c r="C19" s="5" t="s">
        <v>7</v>
      </c>
      <c r="D19" s="5">
        <v>2</v>
      </c>
      <c r="E19" s="5" t="s">
        <v>3691</v>
      </c>
      <c r="F19" s="5" t="s">
        <v>3723</v>
      </c>
      <c r="G19" s="2" t="s">
        <v>4014</v>
      </c>
      <c r="H19" s="5" t="s">
        <v>22</v>
      </c>
      <c r="I19" s="2"/>
    </row>
    <row r="20" spans="1:9" ht="30" x14ac:dyDescent="0.25">
      <c r="A20">
        <f t="shared" si="0"/>
        <v>14</v>
      </c>
      <c r="B20" s="5" t="s">
        <v>3724</v>
      </c>
      <c r="C20" s="5" t="s">
        <v>3710</v>
      </c>
      <c r="D20" s="5" t="s">
        <v>3726</v>
      </c>
      <c r="E20" s="5" t="s">
        <v>3691</v>
      </c>
      <c r="F20" s="5" t="s">
        <v>3725</v>
      </c>
      <c r="G20" s="2" t="s">
        <v>4019</v>
      </c>
      <c r="H20" s="5" t="s">
        <v>3700</v>
      </c>
      <c r="I20" s="2"/>
    </row>
    <row r="21" spans="1:9" ht="30" x14ac:dyDescent="0.25">
      <c r="A21">
        <f t="shared" si="0"/>
        <v>15</v>
      </c>
      <c r="B21" s="5" t="s">
        <v>3727</v>
      </c>
      <c r="C21" s="5" t="s">
        <v>3710</v>
      </c>
      <c r="D21" s="5" t="s">
        <v>3729</v>
      </c>
      <c r="E21" s="5" t="s">
        <v>3691</v>
      </c>
      <c r="F21" s="5" t="s">
        <v>3728</v>
      </c>
      <c r="G21" s="2" t="s">
        <v>4014</v>
      </c>
      <c r="H21" s="14" t="s">
        <v>4051</v>
      </c>
      <c r="I21" s="2"/>
    </row>
    <row r="22" spans="1:9" x14ac:dyDescent="0.25">
      <c r="A22">
        <f t="shared" si="0"/>
        <v>16</v>
      </c>
      <c r="B22" s="5" t="s">
        <v>3730</v>
      </c>
      <c r="C22" s="5" t="s">
        <v>7</v>
      </c>
      <c r="D22" s="5">
        <v>1</v>
      </c>
      <c r="E22" s="5" t="s">
        <v>3691</v>
      </c>
      <c r="F22" s="5" t="s">
        <v>3731</v>
      </c>
      <c r="G22" s="2" t="s">
        <v>13</v>
      </c>
      <c r="H22" s="5" t="s">
        <v>3700</v>
      </c>
      <c r="I22" s="2"/>
    </row>
    <row r="23" spans="1:9" ht="30" x14ac:dyDescent="0.25">
      <c r="A23">
        <f t="shared" si="0"/>
        <v>17</v>
      </c>
      <c r="B23" s="5" t="s">
        <v>3732</v>
      </c>
      <c r="C23" s="5" t="s">
        <v>3710</v>
      </c>
      <c r="D23" s="5" t="s">
        <v>3729</v>
      </c>
      <c r="E23" s="5" t="s">
        <v>3691</v>
      </c>
      <c r="F23" s="5" t="s">
        <v>3733</v>
      </c>
      <c r="G23" s="2" t="s">
        <v>4014</v>
      </c>
      <c r="H23" s="14" t="s">
        <v>4051</v>
      </c>
      <c r="I23" s="2"/>
    </row>
    <row r="24" spans="1:9" x14ac:dyDescent="0.25">
      <c r="A24">
        <f t="shared" si="0"/>
        <v>18</v>
      </c>
      <c r="B24" s="5" t="s">
        <v>3734</v>
      </c>
      <c r="C24" s="5" t="s">
        <v>3701</v>
      </c>
      <c r="D24" s="5" t="s">
        <v>3702</v>
      </c>
      <c r="E24" s="5" t="s">
        <v>3691</v>
      </c>
      <c r="F24" s="5" t="s">
        <v>3735</v>
      </c>
      <c r="G24" s="2" t="s">
        <v>4018</v>
      </c>
      <c r="H24" s="5" t="s">
        <v>3700</v>
      </c>
      <c r="I24" s="2"/>
    </row>
    <row r="25" spans="1:9" x14ac:dyDescent="0.25">
      <c r="A25">
        <f t="shared" si="0"/>
        <v>19</v>
      </c>
      <c r="B25" s="5" t="s">
        <v>3736</v>
      </c>
      <c r="C25" s="5" t="s">
        <v>3701</v>
      </c>
      <c r="D25" s="5" t="s">
        <v>3702</v>
      </c>
      <c r="E25" s="5" t="s">
        <v>3691</v>
      </c>
      <c r="F25" s="5" t="s">
        <v>3737</v>
      </c>
      <c r="G25" s="2" t="s">
        <v>4018</v>
      </c>
      <c r="H25" s="5" t="s">
        <v>3700</v>
      </c>
      <c r="I25" s="2"/>
    </row>
    <row r="26" spans="1:9" ht="30" x14ac:dyDescent="0.25">
      <c r="A26">
        <f t="shared" si="0"/>
        <v>20</v>
      </c>
      <c r="B26" s="5" t="s">
        <v>3738</v>
      </c>
      <c r="C26" s="5" t="s">
        <v>7</v>
      </c>
      <c r="D26" s="5">
        <v>2</v>
      </c>
      <c r="E26" s="5" t="s">
        <v>3691</v>
      </c>
      <c r="F26" s="5" t="s">
        <v>3739</v>
      </c>
      <c r="G26" s="2" t="s">
        <v>4014</v>
      </c>
      <c r="H26" s="14" t="str">
        <f>CATALOGOS!A2512</f>
        <v>DIAS_INHABILES</v>
      </c>
      <c r="I26" s="2"/>
    </row>
    <row r="27" spans="1:9" x14ac:dyDescent="0.25">
      <c r="A27">
        <f t="shared" si="0"/>
        <v>21</v>
      </c>
      <c r="B27" s="5" t="s">
        <v>3741</v>
      </c>
      <c r="C27" s="5" t="s">
        <v>3710</v>
      </c>
      <c r="D27" s="5" t="s">
        <v>3729</v>
      </c>
      <c r="E27" s="5" t="s">
        <v>3691</v>
      </c>
      <c r="F27" s="5" t="s">
        <v>3742</v>
      </c>
      <c r="G27" s="2" t="s">
        <v>13</v>
      </c>
      <c r="H27" s="15"/>
      <c r="I27" s="2"/>
    </row>
    <row r="28" spans="1:9" x14ac:dyDescent="0.25">
      <c r="A28">
        <f t="shared" si="0"/>
        <v>22</v>
      </c>
      <c r="B28" s="5" t="s">
        <v>3748</v>
      </c>
      <c r="C28" s="5" t="s">
        <v>3710</v>
      </c>
      <c r="D28" s="5" t="s">
        <v>3729</v>
      </c>
      <c r="E28" s="5" t="s">
        <v>3691</v>
      </c>
      <c r="F28" s="5" t="s">
        <v>3749</v>
      </c>
      <c r="G28" s="2" t="s">
        <v>13</v>
      </c>
      <c r="H28" s="5" t="s">
        <v>3700</v>
      </c>
      <c r="I28" s="2"/>
    </row>
    <row r="29" spans="1:9" ht="30" x14ac:dyDescent="0.25">
      <c r="A29">
        <f t="shared" si="0"/>
        <v>23</v>
      </c>
      <c r="B29" s="5" t="s">
        <v>3750</v>
      </c>
      <c r="C29" s="5" t="s">
        <v>7</v>
      </c>
      <c r="D29" s="5">
        <v>20</v>
      </c>
      <c r="E29" s="5" t="s">
        <v>3691</v>
      </c>
      <c r="F29" s="5" t="s">
        <v>3751</v>
      </c>
      <c r="G29" s="2" t="s">
        <v>4014</v>
      </c>
      <c r="H29" s="5" t="s">
        <v>3752</v>
      </c>
      <c r="I29" s="2"/>
    </row>
    <row r="30" spans="1:9" x14ac:dyDescent="0.25">
      <c r="A30">
        <f t="shared" si="0"/>
        <v>24</v>
      </c>
      <c r="B30" s="5" t="s">
        <v>3753</v>
      </c>
      <c r="C30" s="5" t="s">
        <v>3710</v>
      </c>
      <c r="D30" s="5" t="s">
        <v>3729</v>
      </c>
      <c r="E30" s="5" t="s">
        <v>3691</v>
      </c>
      <c r="F30" s="5" t="s">
        <v>3754</v>
      </c>
      <c r="G30" s="2" t="s">
        <v>13</v>
      </c>
      <c r="H30" s="5" t="s">
        <v>3700</v>
      </c>
      <c r="I30" s="2"/>
    </row>
    <row r="31" spans="1:9" x14ac:dyDescent="0.25">
      <c r="A31">
        <f t="shared" si="0"/>
        <v>25</v>
      </c>
      <c r="B31" s="5" t="s">
        <v>3755</v>
      </c>
      <c r="C31" s="5" t="s">
        <v>3692</v>
      </c>
      <c r="D31" s="5">
        <v>1</v>
      </c>
      <c r="E31" s="5" t="s">
        <v>3691</v>
      </c>
      <c r="F31" s="5" t="s">
        <v>3756</v>
      </c>
      <c r="G31" s="2" t="s">
        <v>13</v>
      </c>
      <c r="H31" s="5" t="s">
        <v>3700</v>
      </c>
      <c r="I31" s="2"/>
    </row>
    <row r="32" spans="1:9" ht="30" x14ac:dyDescent="0.25">
      <c r="A32">
        <f t="shared" si="0"/>
        <v>26</v>
      </c>
      <c r="B32" s="5" t="s">
        <v>3757</v>
      </c>
      <c r="C32" s="5" t="s">
        <v>3692</v>
      </c>
      <c r="D32" s="5">
        <v>3</v>
      </c>
      <c r="E32" s="5" t="s">
        <v>3691</v>
      </c>
      <c r="F32" s="5" t="s">
        <v>3758</v>
      </c>
      <c r="G32" s="2" t="s">
        <v>4014</v>
      </c>
      <c r="H32" s="14" t="str">
        <f>CATALOGOS!A2525</f>
        <v>MOD_TASA</v>
      </c>
      <c r="I32" s="2"/>
    </row>
    <row r="33" spans="1:9" x14ac:dyDescent="0.25">
      <c r="A33">
        <f t="shared" si="0"/>
        <v>27</v>
      </c>
      <c r="B33" s="5" t="s">
        <v>3759</v>
      </c>
      <c r="C33" s="5" t="s">
        <v>3710</v>
      </c>
      <c r="D33" s="5" t="s">
        <v>3761</v>
      </c>
      <c r="E33" s="5" t="s">
        <v>3691</v>
      </c>
      <c r="F33" s="5" t="s">
        <v>3760</v>
      </c>
      <c r="G33" s="2" t="s">
        <v>13</v>
      </c>
      <c r="H33" s="5" t="s">
        <v>3700</v>
      </c>
      <c r="I33" s="2"/>
    </row>
    <row r="34" spans="1:9" x14ac:dyDescent="0.25">
      <c r="A34">
        <f t="shared" si="0"/>
        <v>28</v>
      </c>
      <c r="B34" s="5" t="s">
        <v>3762</v>
      </c>
      <c r="C34" s="5" t="s">
        <v>3710</v>
      </c>
      <c r="D34" s="5" t="s">
        <v>3761</v>
      </c>
      <c r="E34" s="5" t="s">
        <v>3691</v>
      </c>
      <c r="F34" s="5" t="s">
        <v>3763</v>
      </c>
      <c r="G34" s="2" t="s">
        <v>13</v>
      </c>
      <c r="H34" s="5" t="s">
        <v>3700</v>
      </c>
      <c r="I34" s="2"/>
    </row>
    <row r="35" spans="1:9" x14ac:dyDescent="0.25">
      <c r="A35">
        <f t="shared" si="0"/>
        <v>29</v>
      </c>
      <c r="B35" s="5" t="s">
        <v>3764</v>
      </c>
      <c r="C35" s="5" t="s">
        <v>3710</v>
      </c>
      <c r="D35" s="5" t="s">
        <v>3761</v>
      </c>
      <c r="E35" s="5" t="s">
        <v>3691</v>
      </c>
      <c r="F35" s="5" t="s">
        <v>3765</v>
      </c>
      <c r="G35" s="2"/>
      <c r="H35" s="5" t="s">
        <v>3700</v>
      </c>
      <c r="I35" s="2"/>
    </row>
    <row r="36" spans="1:9" ht="30" x14ac:dyDescent="0.25">
      <c r="A36">
        <f t="shared" si="0"/>
        <v>30</v>
      </c>
      <c r="B36" s="5" t="s">
        <v>3766</v>
      </c>
      <c r="C36" s="5" t="s">
        <v>3710</v>
      </c>
      <c r="D36" s="5" t="s">
        <v>3711</v>
      </c>
      <c r="E36" s="5" t="s">
        <v>3691</v>
      </c>
      <c r="F36" s="5" t="s">
        <v>3767</v>
      </c>
      <c r="G36" s="2" t="s">
        <v>4014</v>
      </c>
      <c r="H36" s="5" t="s">
        <v>3768</v>
      </c>
      <c r="I36" s="2"/>
    </row>
    <row r="37" spans="1:9" ht="30" x14ac:dyDescent="0.25">
      <c r="A37">
        <f t="shared" si="0"/>
        <v>31</v>
      </c>
      <c r="B37" s="5" t="s">
        <v>3769</v>
      </c>
      <c r="C37" s="5" t="s">
        <v>3710</v>
      </c>
      <c r="D37" s="5" t="s">
        <v>3711</v>
      </c>
      <c r="E37" s="5" t="s">
        <v>3691</v>
      </c>
      <c r="F37" s="5" t="s">
        <v>3770</v>
      </c>
      <c r="G37" s="2" t="s">
        <v>4014</v>
      </c>
      <c r="H37" s="5" t="s">
        <v>3768</v>
      </c>
      <c r="I37" s="2"/>
    </row>
    <row r="38" spans="1:9" x14ac:dyDescent="0.25">
      <c r="A38">
        <f t="shared" si="0"/>
        <v>32</v>
      </c>
      <c r="B38" s="5" t="s">
        <v>3771</v>
      </c>
      <c r="C38" s="5" t="s">
        <v>3710</v>
      </c>
      <c r="D38" s="5" t="s">
        <v>3761</v>
      </c>
      <c r="E38" s="5" t="s">
        <v>3691</v>
      </c>
      <c r="F38" s="5" t="s">
        <v>3772</v>
      </c>
      <c r="G38" s="2" t="s">
        <v>13</v>
      </c>
      <c r="H38" s="5" t="s">
        <v>3700</v>
      </c>
      <c r="I38" s="2"/>
    </row>
    <row r="39" spans="1:9" x14ac:dyDescent="0.25">
      <c r="A39">
        <f t="shared" si="0"/>
        <v>33</v>
      </c>
      <c r="B39" s="5" t="s">
        <v>3773</v>
      </c>
      <c r="C39" s="5" t="s">
        <v>3710</v>
      </c>
      <c r="D39" s="5" t="s">
        <v>3761</v>
      </c>
      <c r="E39" s="5" t="s">
        <v>3691</v>
      </c>
      <c r="F39" s="5" t="s">
        <v>3774</v>
      </c>
      <c r="G39" s="2" t="s">
        <v>4020</v>
      </c>
      <c r="H39" s="5" t="s">
        <v>3700</v>
      </c>
      <c r="I39" s="2"/>
    </row>
    <row r="40" spans="1:9" x14ac:dyDescent="0.25">
      <c r="A40">
        <f t="shared" si="0"/>
        <v>34</v>
      </c>
      <c r="B40" s="5" t="s">
        <v>3775</v>
      </c>
      <c r="C40" s="5" t="s">
        <v>3710</v>
      </c>
      <c r="D40" s="5" t="s">
        <v>3761</v>
      </c>
      <c r="E40" s="5" t="s">
        <v>3691</v>
      </c>
      <c r="F40" s="5" t="s">
        <v>3776</v>
      </c>
      <c r="G40" s="2" t="s">
        <v>4020</v>
      </c>
      <c r="H40" s="5" t="s">
        <v>3700</v>
      </c>
      <c r="I40" s="2"/>
    </row>
    <row r="41" spans="1:9" x14ac:dyDescent="0.25">
      <c r="A41">
        <f t="shared" si="0"/>
        <v>35</v>
      </c>
      <c r="B41" s="5" t="s">
        <v>3777</v>
      </c>
      <c r="C41" s="5" t="s">
        <v>3710</v>
      </c>
      <c r="D41" s="5" t="s">
        <v>3761</v>
      </c>
      <c r="E41" s="5" t="s">
        <v>3691</v>
      </c>
      <c r="F41" s="5" t="s">
        <v>3778</v>
      </c>
      <c r="G41" s="2" t="s">
        <v>4020</v>
      </c>
      <c r="H41" s="5" t="s">
        <v>3700</v>
      </c>
      <c r="I41" s="2"/>
    </row>
    <row r="42" spans="1:9" x14ac:dyDescent="0.25">
      <c r="A42">
        <f t="shared" si="0"/>
        <v>36</v>
      </c>
      <c r="B42" s="5" t="s">
        <v>3779</v>
      </c>
      <c r="C42" s="5" t="s">
        <v>3692</v>
      </c>
      <c r="D42" s="5">
        <v>1</v>
      </c>
      <c r="E42" s="5" t="s">
        <v>3691</v>
      </c>
      <c r="F42" s="5" t="s">
        <v>3780</v>
      </c>
      <c r="G42" s="2" t="s">
        <v>13</v>
      </c>
      <c r="H42" s="5" t="s">
        <v>3700</v>
      </c>
      <c r="I42" s="2"/>
    </row>
    <row r="43" spans="1:9" ht="30" x14ac:dyDescent="0.25">
      <c r="A43">
        <f t="shared" si="0"/>
        <v>37</v>
      </c>
      <c r="B43" s="5" t="s">
        <v>3781</v>
      </c>
      <c r="C43" s="5" t="s">
        <v>3710</v>
      </c>
      <c r="D43" s="5" t="s">
        <v>3711</v>
      </c>
      <c r="E43" s="5" t="s">
        <v>3691</v>
      </c>
      <c r="F43" s="5" t="s">
        <v>3782</v>
      </c>
      <c r="G43" s="2" t="s">
        <v>4014</v>
      </c>
      <c r="H43" s="5" t="s">
        <v>3783</v>
      </c>
      <c r="I43" s="2"/>
    </row>
    <row r="44" spans="1:9" x14ac:dyDescent="0.25">
      <c r="A44">
        <f t="shared" si="0"/>
        <v>38</v>
      </c>
      <c r="B44" s="5" t="s">
        <v>3784</v>
      </c>
      <c r="C44" s="5" t="s">
        <v>3710</v>
      </c>
      <c r="D44" s="5" t="s">
        <v>3711</v>
      </c>
      <c r="E44" s="5" t="s">
        <v>3691</v>
      </c>
      <c r="F44" s="5" t="s">
        <v>3785</v>
      </c>
      <c r="G44" s="2" t="s">
        <v>13</v>
      </c>
      <c r="H44" s="5" t="s">
        <v>3700</v>
      </c>
      <c r="I44" s="2"/>
    </row>
    <row r="45" spans="1:9" x14ac:dyDescent="0.25">
      <c r="A45">
        <f t="shared" si="0"/>
        <v>39</v>
      </c>
      <c r="B45" s="5" t="s">
        <v>3786</v>
      </c>
      <c r="C45" s="5" t="s">
        <v>3740</v>
      </c>
      <c r="D45" s="5">
        <v>1</v>
      </c>
      <c r="E45" s="5" t="s">
        <v>3691</v>
      </c>
      <c r="F45" s="5" t="s">
        <v>3787</v>
      </c>
      <c r="G45" s="2" t="s">
        <v>13</v>
      </c>
      <c r="H45" s="5" t="s">
        <v>3700</v>
      </c>
      <c r="I45" s="2"/>
    </row>
    <row r="46" spans="1:9" x14ac:dyDescent="0.25">
      <c r="A46">
        <f t="shared" si="0"/>
        <v>40</v>
      </c>
      <c r="B46" s="5" t="s">
        <v>3788</v>
      </c>
      <c r="C46" s="5" t="s">
        <v>3710</v>
      </c>
      <c r="D46" s="5" t="s">
        <v>3790</v>
      </c>
      <c r="E46" s="5" t="s">
        <v>3691</v>
      </c>
      <c r="F46" s="5" t="s">
        <v>3789</v>
      </c>
      <c r="G46" s="2" t="s">
        <v>4020</v>
      </c>
      <c r="H46" s="5" t="s">
        <v>3700</v>
      </c>
      <c r="I46" s="2"/>
    </row>
    <row r="47" spans="1:9" x14ac:dyDescent="0.25">
      <c r="A47">
        <f t="shared" si="0"/>
        <v>41</v>
      </c>
      <c r="B47" s="5" t="s">
        <v>3791</v>
      </c>
      <c r="C47" s="5" t="s">
        <v>3710</v>
      </c>
      <c r="D47" s="5" t="s">
        <v>3726</v>
      </c>
      <c r="E47" s="5" t="s">
        <v>3691</v>
      </c>
      <c r="F47" s="5" t="s">
        <v>3792</v>
      </c>
      <c r="G47" s="2" t="s">
        <v>4020</v>
      </c>
      <c r="H47" s="5" t="s">
        <v>3700</v>
      </c>
      <c r="I47" s="2"/>
    </row>
    <row r="48" spans="1:9" ht="30" x14ac:dyDescent="0.25">
      <c r="A48">
        <f t="shared" si="0"/>
        <v>42</v>
      </c>
      <c r="B48" s="5" t="s">
        <v>3793</v>
      </c>
      <c r="C48" s="5" t="s">
        <v>3710</v>
      </c>
      <c r="D48" s="5" t="s">
        <v>3729</v>
      </c>
      <c r="E48" s="5" t="s">
        <v>3691</v>
      </c>
      <c r="F48" s="5" t="s">
        <v>3794</v>
      </c>
      <c r="G48" s="2" t="s">
        <v>4014</v>
      </c>
      <c r="H48" s="14" t="s">
        <v>4051</v>
      </c>
      <c r="I48" s="2"/>
    </row>
    <row r="49" spans="1:9" x14ac:dyDescent="0.25">
      <c r="A49">
        <f t="shared" si="0"/>
        <v>43</v>
      </c>
      <c r="B49" s="5" t="s">
        <v>3795</v>
      </c>
      <c r="C49" s="5" t="s">
        <v>3701</v>
      </c>
      <c r="D49" s="5" t="s">
        <v>3702</v>
      </c>
      <c r="E49" s="5" t="s">
        <v>3691</v>
      </c>
      <c r="F49" s="5" t="s">
        <v>3796</v>
      </c>
      <c r="G49" s="2" t="s">
        <v>4018</v>
      </c>
      <c r="H49" s="5" t="s">
        <v>3700</v>
      </c>
      <c r="I49" s="2"/>
    </row>
    <row r="50" spans="1:9" ht="30" x14ac:dyDescent="0.25">
      <c r="A50">
        <f t="shared" si="0"/>
        <v>44</v>
      </c>
      <c r="B50" s="5" t="s">
        <v>3797</v>
      </c>
      <c r="C50" s="5" t="s">
        <v>3710</v>
      </c>
      <c r="D50" s="5" t="s">
        <v>3711</v>
      </c>
      <c r="E50" s="5" t="s">
        <v>3691</v>
      </c>
      <c r="F50" s="5" t="s">
        <v>3798</v>
      </c>
      <c r="G50" s="2" t="s">
        <v>4014</v>
      </c>
      <c r="H50" s="14" t="str">
        <f>CATALOGOS!A2470</f>
        <v>PAQ_ESTRUCT</v>
      </c>
      <c r="I50" s="2"/>
    </row>
    <row r="51" spans="1:9" x14ac:dyDescent="0.25">
      <c r="A51">
        <f t="shared" si="0"/>
        <v>45</v>
      </c>
      <c r="B51" s="5" t="s">
        <v>3799</v>
      </c>
      <c r="C51" s="5" t="s">
        <v>3687</v>
      </c>
      <c r="D51" s="5">
        <v>35</v>
      </c>
      <c r="E51" s="5" t="s">
        <v>3691</v>
      </c>
      <c r="F51" s="5" t="s">
        <v>3800</v>
      </c>
      <c r="G51" s="2" t="s">
        <v>13</v>
      </c>
      <c r="H51" s="5" t="s">
        <v>3700</v>
      </c>
      <c r="I51" s="2"/>
    </row>
    <row r="52" spans="1:9" x14ac:dyDescent="0.25">
      <c r="A52">
        <f t="shared" si="0"/>
        <v>46</v>
      </c>
      <c r="B52" s="5" t="s">
        <v>3801</v>
      </c>
      <c r="C52" s="5" t="s">
        <v>3710</v>
      </c>
      <c r="D52" s="5" t="s">
        <v>3729</v>
      </c>
      <c r="E52" s="5" t="s">
        <v>3691</v>
      </c>
      <c r="F52" s="5" t="s">
        <v>3802</v>
      </c>
      <c r="G52" s="2" t="s">
        <v>13</v>
      </c>
      <c r="H52" s="5" t="s">
        <v>3700</v>
      </c>
      <c r="I52" s="2"/>
    </row>
    <row r="53" spans="1:9" ht="30" x14ac:dyDescent="0.25">
      <c r="A53">
        <f t="shared" si="0"/>
        <v>47</v>
      </c>
      <c r="B53" s="5" t="s">
        <v>3803</v>
      </c>
      <c r="C53" s="5" t="s">
        <v>3692</v>
      </c>
      <c r="D53" s="5">
        <v>2</v>
      </c>
      <c r="E53" s="5" t="s">
        <v>3691</v>
      </c>
      <c r="F53" s="5" t="s">
        <v>3804</v>
      </c>
      <c r="G53" s="2" t="s">
        <v>4014</v>
      </c>
      <c r="H53" s="14" t="str">
        <f>CATALOGOS!A2231</f>
        <v>TIP_DER</v>
      </c>
      <c r="I53" s="2"/>
    </row>
    <row r="54" spans="1:9" ht="30" x14ac:dyDescent="0.25">
      <c r="A54">
        <f t="shared" si="0"/>
        <v>48</v>
      </c>
      <c r="B54" s="5" t="s">
        <v>3805</v>
      </c>
      <c r="C54" s="5" t="s">
        <v>3692</v>
      </c>
      <c r="D54" s="5">
        <v>3</v>
      </c>
      <c r="E54" s="5" t="s">
        <v>3691</v>
      </c>
      <c r="F54" s="5" t="s">
        <v>3806</v>
      </c>
      <c r="G54" s="2" t="s">
        <v>4014</v>
      </c>
      <c r="H54" s="14" t="str">
        <f>CATALOGOS!A$2094</f>
        <v>SUBY</v>
      </c>
      <c r="I54" s="2"/>
    </row>
    <row r="55" spans="1:9" ht="30" x14ac:dyDescent="0.25">
      <c r="A55">
        <f t="shared" si="0"/>
        <v>49</v>
      </c>
      <c r="B55" s="5" t="s">
        <v>3808</v>
      </c>
      <c r="C55" s="5" t="s">
        <v>3687</v>
      </c>
      <c r="D55" s="5">
        <v>20</v>
      </c>
      <c r="E55" s="5" t="s">
        <v>3691</v>
      </c>
      <c r="F55" s="5" t="s">
        <v>3809</v>
      </c>
      <c r="G55" s="2" t="s">
        <v>4014</v>
      </c>
      <c r="H55" s="14" t="str">
        <f>CATALOGOS!A$566</f>
        <v>CVE_TIT</v>
      </c>
      <c r="I55" s="2"/>
    </row>
    <row r="56" spans="1:9" ht="30" x14ac:dyDescent="0.25">
      <c r="A56">
        <f t="shared" si="0"/>
        <v>50</v>
      </c>
      <c r="B56" s="5" t="s">
        <v>3810</v>
      </c>
      <c r="C56" s="5" t="s">
        <v>3710</v>
      </c>
      <c r="D56" s="5" t="s">
        <v>3729</v>
      </c>
      <c r="E56" s="5" t="s">
        <v>3691</v>
      </c>
      <c r="F56" s="5" t="s">
        <v>3811</v>
      </c>
      <c r="G56" s="2" t="s">
        <v>4014</v>
      </c>
      <c r="H56" s="14" t="s">
        <v>4051</v>
      </c>
      <c r="I56" s="2"/>
    </row>
    <row r="57" spans="1:9" x14ac:dyDescent="0.25">
      <c r="A57">
        <f t="shared" si="0"/>
        <v>51</v>
      </c>
      <c r="B57" s="5" t="s">
        <v>3812</v>
      </c>
      <c r="C57" s="5" t="s">
        <v>3710</v>
      </c>
      <c r="D57" s="5" t="s">
        <v>3729</v>
      </c>
      <c r="E57" s="5" t="s">
        <v>3691</v>
      </c>
      <c r="F57" s="5" t="s">
        <v>3813</v>
      </c>
      <c r="G57" s="2" t="s">
        <v>13</v>
      </c>
      <c r="H57" s="5" t="s">
        <v>3700</v>
      </c>
      <c r="I57" s="2"/>
    </row>
    <row r="58" spans="1:9" x14ac:dyDescent="0.25">
      <c r="A58">
        <f t="shared" si="0"/>
        <v>52</v>
      </c>
      <c r="B58" s="5" t="s">
        <v>3814</v>
      </c>
      <c r="C58" s="5" t="s">
        <v>3710</v>
      </c>
      <c r="D58" s="5" t="s">
        <v>3729</v>
      </c>
      <c r="E58" s="5" t="s">
        <v>3691</v>
      </c>
      <c r="F58" s="5" t="s">
        <v>3815</v>
      </c>
      <c r="G58" s="2" t="s">
        <v>13</v>
      </c>
      <c r="H58" s="5" t="s">
        <v>3700</v>
      </c>
      <c r="I58" s="2"/>
    </row>
    <row r="59" spans="1:9" x14ac:dyDescent="0.25">
      <c r="A59">
        <f t="shared" si="0"/>
        <v>53</v>
      </c>
      <c r="B59" s="5" t="s">
        <v>3816</v>
      </c>
      <c r="C59" s="5" t="s">
        <v>3710</v>
      </c>
      <c r="D59" s="5" t="s">
        <v>3729</v>
      </c>
      <c r="E59" s="5" t="s">
        <v>3691</v>
      </c>
      <c r="F59" s="5" t="s">
        <v>3817</v>
      </c>
      <c r="G59" s="2" t="s">
        <v>13</v>
      </c>
      <c r="H59" s="5" t="s">
        <v>3700</v>
      </c>
      <c r="I59" s="2"/>
    </row>
    <row r="60" spans="1:9" x14ac:dyDescent="0.25">
      <c r="A60">
        <f t="shared" si="0"/>
        <v>54</v>
      </c>
      <c r="B60" s="5" t="s">
        <v>3818</v>
      </c>
      <c r="C60" s="5" t="s">
        <v>3687</v>
      </c>
      <c r="D60" s="5">
        <v>34</v>
      </c>
      <c r="E60" s="5" t="s">
        <v>3691</v>
      </c>
      <c r="F60" s="5" t="s">
        <v>3819</v>
      </c>
      <c r="G60" s="2" t="s">
        <v>13</v>
      </c>
      <c r="H60" s="5" t="s">
        <v>3700</v>
      </c>
      <c r="I60" s="2"/>
    </row>
    <row r="61" spans="1:9" x14ac:dyDescent="0.25">
      <c r="A61">
        <f t="shared" si="0"/>
        <v>55</v>
      </c>
      <c r="B61" s="5" t="s">
        <v>3820</v>
      </c>
      <c r="C61" s="5" t="s">
        <v>3710</v>
      </c>
      <c r="D61" s="5">
        <v>1</v>
      </c>
      <c r="E61" s="5" t="s">
        <v>3691</v>
      </c>
      <c r="F61" s="5" t="s">
        <v>3821</v>
      </c>
      <c r="G61" s="2" t="s">
        <v>13</v>
      </c>
      <c r="H61" s="5" t="s">
        <v>3700</v>
      </c>
      <c r="I61" s="2"/>
    </row>
    <row r="62" spans="1:9" x14ac:dyDescent="0.25">
      <c r="A62">
        <f t="shared" si="0"/>
        <v>56</v>
      </c>
      <c r="B62" s="5" t="s">
        <v>3822</v>
      </c>
      <c r="C62" s="5" t="s">
        <v>3710</v>
      </c>
      <c r="D62" s="5" t="s">
        <v>3824</v>
      </c>
      <c r="E62" s="5" t="s">
        <v>3691</v>
      </c>
      <c r="F62" s="5" t="s">
        <v>3823</v>
      </c>
      <c r="G62" s="2" t="s">
        <v>13</v>
      </c>
      <c r="H62" s="5" t="s">
        <v>3700</v>
      </c>
      <c r="I62" s="2"/>
    </row>
    <row r="63" spans="1:9" ht="30" x14ac:dyDescent="0.25">
      <c r="A63">
        <f t="shared" si="0"/>
        <v>57</v>
      </c>
      <c r="B63" s="5" t="s">
        <v>3825</v>
      </c>
      <c r="C63" s="5" t="s">
        <v>3710</v>
      </c>
      <c r="D63" s="5" t="s">
        <v>3729</v>
      </c>
      <c r="E63" s="5" t="s">
        <v>3691</v>
      </c>
      <c r="F63" s="5" t="s">
        <v>3826</v>
      </c>
      <c r="G63" s="2" t="s">
        <v>4014</v>
      </c>
      <c r="H63" s="14" t="s">
        <v>4051</v>
      </c>
      <c r="I63" s="2"/>
    </row>
    <row r="64" spans="1:9" x14ac:dyDescent="0.25">
      <c r="A64">
        <f t="shared" si="0"/>
        <v>58</v>
      </c>
      <c r="B64" s="5" t="s">
        <v>3827</v>
      </c>
      <c r="C64" s="5" t="s">
        <v>3710</v>
      </c>
      <c r="D64" s="5" t="s">
        <v>3829</v>
      </c>
      <c r="E64" s="5" t="s">
        <v>3691</v>
      </c>
      <c r="F64" s="5" t="s">
        <v>3828</v>
      </c>
      <c r="G64" s="2" t="s">
        <v>4020</v>
      </c>
      <c r="H64" s="5" t="s">
        <v>3700</v>
      </c>
      <c r="I64" s="2"/>
    </row>
    <row r="65" spans="1:9" ht="30" x14ac:dyDescent="0.25">
      <c r="A65">
        <f t="shared" si="0"/>
        <v>59</v>
      </c>
      <c r="B65" s="5" t="s">
        <v>3830</v>
      </c>
      <c r="C65" s="5" t="s">
        <v>3710</v>
      </c>
      <c r="D65" s="5" t="s">
        <v>3711</v>
      </c>
      <c r="E65" s="5" t="s">
        <v>3691</v>
      </c>
      <c r="F65" s="5" t="s">
        <v>3831</v>
      </c>
      <c r="G65" s="2" t="s">
        <v>4014</v>
      </c>
      <c r="H65" s="5" t="s">
        <v>3832</v>
      </c>
      <c r="I65" s="2"/>
    </row>
    <row r="66" spans="1:9" ht="30" x14ac:dyDescent="0.25">
      <c r="A66">
        <f t="shared" si="0"/>
        <v>60</v>
      </c>
      <c r="B66" s="5" t="s">
        <v>3833</v>
      </c>
      <c r="C66" s="5" t="s">
        <v>3710</v>
      </c>
      <c r="D66" s="5" t="s">
        <v>3729</v>
      </c>
      <c r="E66" s="5" t="s">
        <v>3691</v>
      </c>
      <c r="F66" s="5" t="s">
        <v>3834</v>
      </c>
      <c r="G66" s="2" t="s">
        <v>4014</v>
      </c>
      <c r="H66" s="14" t="s">
        <v>4051</v>
      </c>
      <c r="I66" s="2"/>
    </row>
    <row r="67" spans="1:9" ht="30" x14ac:dyDescent="0.25">
      <c r="A67">
        <f t="shared" si="0"/>
        <v>61</v>
      </c>
      <c r="B67" s="5" t="s">
        <v>3835</v>
      </c>
      <c r="C67" s="5" t="s">
        <v>3710</v>
      </c>
      <c r="D67" s="5" t="s">
        <v>3711</v>
      </c>
      <c r="E67" s="5" t="s">
        <v>3691</v>
      </c>
      <c r="F67" s="5" t="s">
        <v>3836</v>
      </c>
      <c r="G67" s="2" t="s">
        <v>4014</v>
      </c>
      <c r="H67" s="5" t="s">
        <v>3837</v>
      </c>
      <c r="I67" s="2"/>
    </row>
    <row r="68" spans="1:9" x14ac:dyDescent="0.25">
      <c r="A68">
        <f t="shared" si="0"/>
        <v>62</v>
      </c>
      <c r="B68" s="5" t="s">
        <v>3838</v>
      </c>
      <c r="C68" s="5" t="s">
        <v>3710</v>
      </c>
      <c r="D68" s="5" t="s">
        <v>3729</v>
      </c>
      <c r="E68" s="5" t="s">
        <v>3691</v>
      </c>
      <c r="F68" s="5" t="s">
        <v>3815</v>
      </c>
      <c r="G68" s="2" t="s">
        <v>13</v>
      </c>
      <c r="H68" s="5" t="s">
        <v>3700</v>
      </c>
      <c r="I68" s="2"/>
    </row>
    <row r="69" spans="1:9" x14ac:dyDescent="0.25">
      <c r="A69">
        <f t="shared" si="0"/>
        <v>63</v>
      </c>
      <c r="B69" s="5" t="s">
        <v>3839</v>
      </c>
      <c r="C69" s="5" t="s">
        <v>3710</v>
      </c>
      <c r="D69" s="5" t="s">
        <v>3829</v>
      </c>
      <c r="E69" s="5" t="s">
        <v>3691</v>
      </c>
      <c r="F69" s="5" t="s">
        <v>3840</v>
      </c>
      <c r="G69" s="2" t="s">
        <v>4020</v>
      </c>
      <c r="H69" s="5" t="s">
        <v>3700</v>
      </c>
      <c r="I69" s="2"/>
    </row>
    <row r="70" spans="1:9" ht="30" x14ac:dyDescent="0.25">
      <c r="A70">
        <f t="shared" si="0"/>
        <v>64</v>
      </c>
      <c r="B70" s="5" t="s">
        <v>3841</v>
      </c>
      <c r="C70" s="5" t="s">
        <v>3710</v>
      </c>
      <c r="D70" s="5" t="s">
        <v>3711</v>
      </c>
      <c r="E70" s="5" t="s">
        <v>3691</v>
      </c>
      <c r="F70" s="5" t="s">
        <v>3842</v>
      </c>
      <c r="G70" s="2" t="s">
        <v>4014</v>
      </c>
      <c r="H70" s="5" t="s">
        <v>3832</v>
      </c>
      <c r="I70" s="2"/>
    </row>
    <row r="71" spans="1:9" ht="30" x14ac:dyDescent="0.25">
      <c r="A71">
        <f t="shared" si="0"/>
        <v>65</v>
      </c>
      <c r="B71" s="5" t="s">
        <v>3843</v>
      </c>
      <c r="C71" s="5" t="s">
        <v>3710</v>
      </c>
      <c r="D71" s="5" t="s">
        <v>3729</v>
      </c>
      <c r="E71" s="5" t="s">
        <v>3691</v>
      </c>
      <c r="F71" s="5" t="s">
        <v>3834</v>
      </c>
      <c r="G71" s="2" t="s">
        <v>4014</v>
      </c>
      <c r="H71" s="14" t="s">
        <v>4051</v>
      </c>
      <c r="I71" s="2"/>
    </row>
    <row r="72" spans="1:9" ht="30" x14ac:dyDescent="0.25">
      <c r="A72">
        <f t="shared" si="0"/>
        <v>66</v>
      </c>
      <c r="B72" s="5" t="s">
        <v>3844</v>
      </c>
      <c r="C72" s="5" t="s">
        <v>3710</v>
      </c>
      <c r="D72" s="5" t="s">
        <v>3711</v>
      </c>
      <c r="E72" s="5" t="s">
        <v>3691</v>
      </c>
      <c r="F72" s="5" t="s">
        <v>3845</v>
      </c>
      <c r="G72" s="2" t="s">
        <v>4014</v>
      </c>
      <c r="H72" s="5" t="s">
        <v>3837</v>
      </c>
      <c r="I72" s="2"/>
    </row>
    <row r="73" spans="1:9" x14ac:dyDescent="0.25">
      <c r="A73">
        <f t="shared" ref="A73:A103" si="1">+A72+1</f>
        <v>67</v>
      </c>
      <c r="B73" s="5" t="s">
        <v>3846</v>
      </c>
      <c r="C73" s="5" t="s">
        <v>3710</v>
      </c>
      <c r="D73" s="5" t="s">
        <v>3729</v>
      </c>
      <c r="E73" s="5" t="s">
        <v>3691</v>
      </c>
      <c r="F73" s="5" t="s">
        <v>3815</v>
      </c>
      <c r="G73" s="2" t="s">
        <v>13</v>
      </c>
      <c r="H73" s="5" t="s">
        <v>3700</v>
      </c>
      <c r="I73" s="2"/>
    </row>
    <row r="74" spans="1:9" x14ac:dyDescent="0.25">
      <c r="A74">
        <f t="shared" si="1"/>
        <v>68</v>
      </c>
      <c r="B74" s="5" t="s">
        <v>3847</v>
      </c>
      <c r="C74" s="5" t="s">
        <v>3710</v>
      </c>
      <c r="D74" s="5" t="s">
        <v>3829</v>
      </c>
      <c r="E74" s="5" t="s">
        <v>3691</v>
      </c>
      <c r="F74" s="5" t="s">
        <v>3848</v>
      </c>
      <c r="G74" s="2" t="s">
        <v>4020</v>
      </c>
      <c r="H74" s="5" t="s">
        <v>3700</v>
      </c>
      <c r="I74" s="2"/>
    </row>
    <row r="75" spans="1:9" x14ac:dyDescent="0.25">
      <c r="A75">
        <f t="shared" si="1"/>
        <v>69</v>
      </c>
      <c r="B75" s="5" t="s">
        <v>3849</v>
      </c>
      <c r="C75" s="5" t="s">
        <v>3710</v>
      </c>
      <c r="D75" s="5" t="s">
        <v>3829</v>
      </c>
      <c r="E75" s="5" t="s">
        <v>3691</v>
      </c>
      <c r="F75" s="5" t="s">
        <v>3850</v>
      </c>
      <c r="G75" s="2" t="s">
        <v>4020</v>
      </c>
      <c r="H75" s="5" t="s">
        <v>3700</v>
      </c>
      <c r="I75" s="2"/>
    </row>
    <row r="76" spans="1:9" x14ac:dyDescent="0.25">
      <c r="A76">
        <f t="shared" si="1"/>
        <v>70</v>
      </c>
      <c r="B76" s="5" t="s">
        <v>3851</v>
      </c>
      <c r="C76" s="5" t="s">
        <v>3710</v>
      </c>
      <c r="D76" s="5" t="s">
        <v>3829</v>
      </c>
      <c r="E76" s="5" t="s">
        <v>3691</v>
      </c>
      <c r="F76" s="5" t="s">
        <v>3852</v>
      </c>
      <c r="G76" s="2" t="s">
        <v>4020</v>
      </c>
      <c r="H76" s="5" t="s">
        <v>3700</v>
      </c>
      <c r="I76" s="2"/>
    </row>
    <row r="77" spans="1:9" ht="30" x14ac:dyDescent="0.25">
      <c r="A77">
        <f t="shared" si="1"/>
        <v>71</v>
      </c>
      <c r="B77" s="5" t="s">
        <v>3853</v>
      </c>
      <c r="C77" s="5" t="s">
        <v>3692</v>
      </c>
      <c r="D77" s="5">
        <v>6</v>
      </c>
      <c r="E77" s="5" t="s">
        <v>3691</v>
      </c>
      <c r="F77" s="5" t="s">
        <v>3854</v>
      </c>
      <c r="G77" s="2" t="s">
        <v>4014</v>
      </c>
      <c r="H77" s="5" t="s">
        <v>3855</v>
      </c>
      <c r="I77" s="2"/>
    </row>
    <row r="78" spans="1:9" x14ac:dyDescent="0.25">
      <c r="A78">
        <f t="shared" si="1"/>
        <v>72</v>
      </c>
      <c r="B78" s="5" t="s">
        <v>3856</v>
      </c>
      <c r="C78" s="5" t="s">
        <v>3710</v>
      </c>
      <c r="D78" s="5" t="s">
        <v>3729</v>
      </c>
      <c r="E78" s="5" t="s">
        <v>3691</v>
      </c>
      <c r="F78" s="5" t="s">
        <v>3857</v>
      </c>
      <c r="G78" s="2" t="s">
        <v>13</v>
      </c>
      <c r="H78" s="5" t="s">
        <v>3700</v>
      </c>
      <c r="I78" s="2"/>
    </row>
    <row r="79" spans="1:9" x14ac:dyDescent="0.25">
      <c r="A79">
        <f t="shared" si="1"/>
        <v>73</v>
      </c>
      <c r="B79" s="5" t="s">
        <v>3858</v>
      </c>
      <c r="C79" s="5" t="s">
        <v>3701</v>
      </c>
      <c r="D79" s="5" t="s">
        <v>3702</v>
      </c>
      <c r="E79" s="5" t="s">
        <v>3691</v>
      </c>
      <c r="F79" s="5" t="s">
        <v>3859</v>
      </c>
      <c r="G79" s="2" t="s">
        <v>4018</v>
      </c>
      <c r="H79" s="5" t="s">
        <v>3700</v>
      </c>
      <c r="I79" s="2"/>
    </row>
    <row r="80" spans="1:9" x14ac:dyDescent="0.25">
      <c r="A80">
        <f t="shared" si="1"/>
        <v>74</v>
      </c>
      <c r="B80" s="5" t="s">
        <v>3860</v>
      </c>
      <c r="C80" s="5" t="s">
        <v>3701</v>
      </c>
      <c r="D80" s="5" t="s">
        <v>3702</v>
      </c>
      <c r="E80" s="5" t="s">
        <v>3691</v>
      </c>
      <c r="F80" s="5" t="s">
        <v>3861</v>
      </c>
      <c r="G80" s="2" t="s">
        <v>4018</v>
      </c>
      <c r="H80" s="5" t="s">
        <v>3700</v>
      </c>
      <c r="I80" s="2"/>
    </row>
    <row r="81" spans="1:9" x14ac:dyDescent="0.25">
      <c r="A81">
        <f t="shared" si="1"/>
        <v>75</v>
      </c>
      <c r="B81" s="5" t="s">
        <v>3862</v>
      </c>
      <c r="C81" s="5" t="s">
        <v>3710</v>
      </c>
      <c r="D81" s="5" t="s">
        <v>3829</v>
      </c>
      <c r="E81" s="5" t="s">
        <v>3691</v>
      </c>
      <c r="F81" s="5" t="s">
        <v>3863</v>
      </c>
      <c r="G81" s="2" t="s">
        <v>4020</v>
      </c>
      <c r="H81" s="5" t="s">
        <v>3700</v>
      </c>
      <c r="I81" s="2"/>
    </row>
    <row r="82" spans="1:9" x14ac:dyDescent="0.25">
      <c r="A82">
        <f t="shared" si="1"/>
        <v>76</v>
      </c>
      <c r="B82" s="5" t="s">
        <v>3864</v>
      </c>
      <c r="C82" s="5" t="s">
        <v>3710</v>
      </c>
      <c r="D82" s="5" t="s">
        <v>3829</v>
      </c>
      <c r="E82" s="5" t="s">
        <v>3691</v>
      </c>
      <c r="F82" s="5" t="s">
        <v>3865</v>
      </c>
      <c r="G82" s="2" t="s">
        <v>4020</v>
      </c>
      <c r="H82" s="5" t="s">
        <v>3700</v>
      </c>
      <c r="I82" s="2"/>
    </row>
    <row r="83" spans="1:9" ht="30" x14ac:dyDescent="0.25">
      <c r="A83">
        <f t="shared" si="1"/>
        <v>77</v>
      </c>
      <c r="B83" s="5" t="s">
        <v>3866</v>
      </c>
      <c r="C83" s="5" t="s">
        <v>3692</v>
      </c>
      <c r="D83" s="5">
        <v>6</v>
      </c>
      <c r="E83" s="5" t="s">
        <v>3691</v>
      </c>
      <c r="F83" s="5" t="s">
        <v>3867</v>
      </c>
      <c r="G83" s="2" t="s">
        <v>4014</v>
      </c>
      <c r="H83" s="5" t="s">
        <v>3855</v>
      </c>
      <c r="I83" s="2"/>
    </row>
    <row r="84" spans="1:9" x14ac:dyDescent="0.25">
      <c r="A84">
        <f t="shared" si="1"/>
        <v>78</v>
      </c>
      <c r="B84" s="5" t="s">
        <v>3868</v>
      </c>
      <c r="C84" s="5" t="s">
        <v>3710</v>
      </c>
      <c r="D84" s="5" t="s">
        <v>3729</v>
      </c>
      <c r="E84" s="5" t="s">
        <v>3691</v>
      </c>
      <c r="F84" s="5" t="s">
        <v>3857</v>
      </c>
      <c r="G84" s="2" t="s">
        <v>13</v>
      </c>
      <c r="H84" s="5" t="s">
        <v>3700</v>
      </c>
      <c r="I84" s="2"/>
    </row>
    <row r="85" spans="1:9" x14ac:dyDescent="0.25">
      <c r="A85">
        <f t="shared" si="1"/>
        <v>79</v>
      </c>
      <c r="B85" s="5" t="s">
        <v>3869</v>
      </c>
      <c r="C85" s="5" t="s">
        <v>3701</v>
      </c>
      <c r="D85" s="5" t="s">
        <v>3702</v>
      </c>
      <c r="E85" s="5" t="s">
        <v>3691</v>
      </c>
      <c r="F85" s="5" t="s">
        <v>3870</v>
      </c>
      <c r="G85" s="2" t="s">
        <v>4018</v>
      </c>
      <c r="H85" s="5" t="s">
        <v>3700</v>
      </c>
      <c r="I85" s="2"/>
    </row>
    <row r="86" spans="1:9" x14ac:dyDescent="0.25">
      <c r="A86">
        <f t="shared" si="1"/>
        <v>80</v>
      </c>
      <c r="B86" s="5" t="s">
        <v>3871</v>
      </c>
      <c r="C86" s="5" t="s">
        <v>3701</v>
      </c>
      <c r="D86" s="5" t="s">
        <v>3702</v>
      </c>
      <c r="E86" s="5" t="s">
        <v>3691</v>
      </c>
      <c r="F86" s="5" t="s">
        <v>3872</v>
      </c>
      <c r="G86" s="2" t="s">
        <v>4018</v>
      </c>
      <c r="H86" s="5" t="s">
        <v>3700</v>
      </c>
      <c r="I86" s="2"/>
    </row>
    <row r="87" spans="1:9" x14ac:dyDescent="0.25">
      <c r="A87">
        <f t="shared" si="1"/>
        <v>81</v>
      </c>
      <c r="B87" s="5" t="s">
        <v>3873</v>
      </c>
      <c r="C87" s="5" t="s">
        <v>3710</v>
      </c>
      <c r="D87" s="5" t="s">
        <v>3761</v>
      </c>
      <c r="E87" s="5" t="s">
        <v>3691</v>
      </c>
      <c r="F87" s="5" t="s">
        <v>3873</v>
      </c>
      <c r="G87" s="2" t="s">
        <v>4020</v>
      </c>
      <c r="H87" s="5" t="s">
        <v>3700</v>
      </c>
      <c r="I87" s="2"/>
    </row>
    <row r="88" spans="1:9" x14ac:dyDescent="0.25">
      <c r="A88">
        <f t="shared" si="1"/>
        <v>82</v>
      </c>
      <c r="B88" s="5" t="s">
        <v>3874</v>
      </c>
      <c r="C88" s="5" t="s">
        <v>3692</v>
      </c>
      <c r="D88" s="5">
        <v>2</v>
      </c>
      <c r="E88" s="5" t="s">
        <v>3691</v>
      </c>
      <c r="F88" s="5" t="s">
        <v>3874</v>
      </c>
      <c r="G88" s="2" t="s">
        <v>13</v>
      </c>
      <c r="H88" s="5" t="s">
        <v>3700</v>
      </c>
      <c r="I88" s="2"/>
    </row>
    <row r="89" spans="1:9" x14ac:dyDescent="0.25">
      <c r="A89">
        <f t="shared" si="1"/>
        <v>83</v>
      </c>
      <c r="B89" s="5" t="s">
        <v>3875</v>
      </c>
      <c r="C89" s="5" t="s">
        <v>3692</v>
      </c>
      <c r="D89" s="5">
        <v>1</v>
      </c>
      <c r="E89" s="5" t="s">
        <v>3691</v>
      </c>
      <c r="F89" s="5" t="s">
        <v>3876</v>
      </c>
      <c r="G89" s="2" t="s">
        <v>13</v>
      </c>
      <c r="H89" s="5" t="s">
        <v>3700</v>
      </c>
      <c r="I89" s="2"/>
    </row>
    <row r="90" spans="1:9" ht="30" x14ac:dyDescent="0.25">
      <c r="A90">
        <f t="shared" si="1"/>
        <v>84</v>
      </c>
      <c r="B90" s="5" t="s">
        <v>3877</v>
      </c>
      <c r="C90" s="5" t="s">
        <v>3710</v>
      </c>
      <c r="D90" s="5" t="s">
        <v>3711</v>
      </c>
      <c r="E90" s="5" t="s">
        <v>3691</v>
      </c>
      <c r="F90" s="5" t="s">
        <v>3878</v>
      </c>
      <c r="G90" s="2" t="s">
        <v>4014</v>
      </c>
      <c r="H90" s="14" t="str">
        <f>CATALOGOS!A$6</f>
        <v>BROKER</v>
      </c>
      <c r="I90" s="2"/>
    </row>
    <row r="91" spans="1:9" ht="30" x14ac:dyDescent="0.25">
      <c r="A91">
        <f t="shared" si="1"/>
        <v>85</v>
      </c>
      <c r="B91" s="5" t="s">
        <v>3879</v>
      </c>
      <c r="C91" s="5" t="s">
        <v>3740</v>
      </c>
      <c r="D91" s="5">
        <v>6</v>
      </c>
      <c r="E91" s="5" t="s">
        <v>3691</v>
      </c>
      <c r="F91" s="5" t="s">
        <v>3880</v>
      </c>
      <c r="G91" s="2" t="s">
        <v>4014</v>
      </c>
      <c r="H91" s="14" t="str">
        <f>CATALOGOS!A$6</f>
        <v>BROKER</v>
      </c>
      <c r="I91" s="2"/>
    </row>
    <row r="92" spans="1:9" ht="30" x14ac:dyDescent="0.25">
      <c r="A92">
        <f t="shared" si="1"/>
        <v>86</v>
      </c>
      <c r="B92" s="5" t="s">
        <v>3881</v>
      </c>
      <c r="C92" s="5" t="s">
        <v>3710</v>
      </c>
      <c r="D92" s="5" t="s">
        <v>3711</v>
      </c>
      <c r="E92" s="5" t="s">
        <v>3691</v>
      </c>
      <c r="F92" s="5" t="s">
        <v>3882</v>
      </c>
      <c r="G92" s="2" t="s">
        <v>4014</v>
      </c>
      <c r="H92" s="14" t="s">
        <v>63</v>
      </c>
      <c r="I92" s="2"/>
    </row>
    <row r="93" spans="1:9" ht="30" x14ac:dyDescent="0.25">
      <c r="A93">
        <f t="shared" si="1"/>
        <v>87</v>
      </c>
      <c r="B93" s="5" t="s">
        <v>3883</v>
      </c>
      <c r="C93" s="5" t="s">
        <v>3710</v>
      </c>
      <c r="D93" s="5" t="s">
        <v>3711</v>
      </c>
      <c r="E93" s="5" t="s">
        <v>3691</v>
      </c>
      <c r="F93" s="5" t="s">
        <v>3884</v>
      </c>
      <c r="G93" s="2" t="s">
        <v>4014</v>
      </c>
      <c r="H93" s="2"/>
      <c r="I93" s="2"/>
    </row>
    <row r="94" spans="1:9" ht="30" x14ac:dyDescent="0.25">
      <c r="A94">
        <f t="shared" si="1"/>
        <v>88</v>
      </c>
      <c r="B94" s="5" t="s">
        <v>3885</v>
      </c>
      <c r="C94" s="5" t="s">
        <v>3740</v>
      </c>
      <c r="D94" s="5">
        <v>6</v>
      </c>
      <c r="E94" s="5" t="s">
        <v>3691</v>
      </c>
      <c r="F94" s="5" t="s">
        <v>3886</v>
      </c>
      <c r="G94" s="2" t="s">
        <v>4014</v>
      </c>
      <c r="H94" s="19" t="e">
        <f>CATALOGOS!#REF!</f>
        <v>#REF!</v>
      </c>
      <c r="I94" s="2"/>
    </row>
    <row r="95" spans="1:9" x14ac:dyDescent="0.25">
      <c r="A95">
        <f t="shared" si="1"/>
        <v>89</v>
      </c>
      <c r="B95" s="5" t="s">
        <v>3686</v>
      </c>
      <c r="C95" s="5" t="s">
        <v>3687</v>
      </c>
      <c r="D95" s="5">
        <v>12</v>
      </c>
      <c r="E95" s="5" t="s">
        <v>3691</v>
      </c>
      <c r="F95" s="5" t="s">
        <v>3887</v>
      </c>
      <c r="G95" s="2" t="s">
        <v>13</v>
      </c>
      <c r="H95" s="5" t="s">
        <v>3700</v>
      </c>
      <c r="I95" s="2"/>
    </row>
    <row r="96" spans="1:9" x14ac:dyDescent="0.25">
      <c r="A96">
        <f t="shared" si="1"/>
        <v>90</v>
      </c>
      <c r="B96" s="5" t="s">
        <v>3888</v>
      </c>
      <c r="C96" s="5" t="s">
        <v>3710</v>
      </c>
      <c r="D96" s="5" t="s">
        <v>3726</v>
      </c>
      <c r="E96" s="5" t="s">
        <v>3691</v>
      </c>
      <c r="F96" s="5" t="s">
        <v>3889</v>
      </c>
      <c r="G96" s="2" t="s">
        <v>4020</v>
      </c>
      <c r="H96" s="5" t="s">
        <v>3700</v>
      </c>
      <c r="I96" s="2"/>
    </row>
    <row r="97" spans="1:9" x14ac:dyDescent="0.25">
      <c r="A97">
        <f t="shared" si="1"/>
        <v>91</v>
      </c>
      <c r="B97" s="5" t="s">
        <v>3890</v>
      </c>
      <c r="C97" s="5" t="s">
        <v>3710</v>
      </c>
      <c r="D97" s="5" t="s">
        <v>3761</v>
      </c>
      <c r="E97" s="5" t="s">
        <v>3691</v>
      </c>
      <c r="F97" s="5" t="s">
        <v>3891</v>
      </c>
      <c r="G97" s="2" t="s">
        <v>4020</v>
      </c>
      <c r="H97" s="5" t="s">
        <v>3700</v>
      </c>
      <c r="I97" s="2"/>
    </row>
    <row r="98" spans="1:9" x14ac:dyDescent="0.25">
      <c r="A98">
        <f t="shared" si="1"/>
        <v>92</v>
      </c>
      <c r="B98" s="5" t="s">
        <v>3892</v>
      </c>
      <c r="C98" s="5" t="s">
        <v>3687</v>
      </c>
      <c r="D98" s="5">
        <v>34</v>
      </c>
      <c r="E98" s="5" t="s">
        <v>3691</v>
      </c>
      <c r="F98" s="5" t="s">
        <v>3893</v>
      </c>
      <c r="G98" s="2" t="s">
        <v>13</v>
      </c>
      <c r="H98" s="5" t="s">
        <v>3700</v>
      </c>
      <c r="I98" s="2"/>
    </row>
    <row r="99" spans="1:9" x14ac:dyDescent="0.25">
      <c r="A99">
        <f t="shared" si="1"/>
        <v>93</v>
      </c>
      <c r="B99" s="5" t="s">
        <v>3894</v>
      </c>
      <c r="C99" s="5" t="s">
        <v>3687</v>
      </c>
      <c r="D99" s="5">
        <v>52</v>
      </c>
      <c r="E99" s="5" t="s">
        <v>3691</v>
      </c>
      <c r="F99" s="5" t="s">
        <v>3819</v>
      </c>
      <c r="G99" s="2" t="s">
        <v>13</v>
      </c>
      <c r="H99" s="5" t="s">
        <v>3700</v>
      </c>
      <c r="I99" s="2"/>
    </row>
    <row r="100" spans="1:9" ht="45" x14ac:dyDescent="0.25">
      <c r="A100">
        <f t="shared" si="1"/>
        <v>94</v>
      </c>
      <c r="B100" s="5" t="s">
        <v>3895</v>
      </c>
      <c r="C100" s="5" t="s">
        <v>3687</v>
      </c>
      <c r="D100" s="5">
        <v>52</v>
      </c>
      <c r="E100" s="5" t="s">
        <v>3691</v>
      </c>
      <c r="F100" s="5" t="s">
        <v>4009</v>
      </c>
      <c r="G100" s="2" t="s">
        <v>4021</v>
      </c>
      <c r="H100" s="5" t="s">
        <v>3700</v>
      </c>
      <c r="I100" s="2" t="s">
        <v>4013</v>
      </c>
    </row>
    <row r="101" spans="1:9" ht="30" x14ac:dyDescent="0.25">
      <c r="A101">
        <f t="shared" si="1"/>
        <v>95</v>
      </c>
      <c r="B101" s="5" t="s">
        <v>3746</v>
      </c>
      <c r="C101" s="5" t="s">
        <v>3687</v>
      </c>
      <c r="D101" s="17">
        <v>52</v>
      </c>
      <c r="E101" s="5" t="s">
        <v>3968</v>
      </c>
      <c r="F101" s="5" t="s">
        <v>3747</v>
      </c>
      <c r="G101" s="2" t="s">
        <v>4021</v>
      </c>
      <c r="H101" s="15"/>
      <c r="I101" s="2"/>
    </row>
    <row r="102" spans="1:9" x14ac:dyDescent="0.25">
      <c r="A102">
        <f t="shared" si="1"/>
        <v>96</v>
      </c>
      <c r="B102" s="85" t="s">
        <v>34</v>
      </c>
      <c r="C102" s="5" t="s">
        <v>7</v>
      </c>
      <c r="D102" s="5">
        <v>5</v>
      </c>
      <c r="E102" s="5" t="s">
        <v>3691</v>
      </c>
      <c r="F102" s="6" t="s">
        <v>3452</v>
      </c>
      <c r="G102" s="6" t="s">
        <v>3452</v>
      </c>
      <c r="H102" s="15"/>
      <c r="I102" s="2"/>
    </row>
    <row r="103" spans="1:9" x14ac:dyDescent="0.25">
      <c r="A103" s="22">
        <f t="shared" si="1"/>
        <v>97</v>
      </c>
      <c r="B103" s="21" t="s">
        <v>4049</v>
      </c>
      <c r="C103" s="21" t="s">
        <v>15</v>
      </c>
      <c r="D103" s="21" t="s">
        <v>4037</v>
      </c>
      <c r="E103" s="21"/>
      <c r="F103" s="38" t="s">
        <v>4050</v>
      </c>
      <c r="G103" s="23"/>
      <c r="H103" s="27"/>
      <c r="I103" s="23"/>
    </row>
  </sheetData>
  <hyperlinks>
    <hyperlink ref="H50" location="CATALOGOS!A42535" display="CATALOGOS!A42535" xr:uid="{45E40F99-F17F-4228-A46C-CBFB7651B945}"/>
    <hyperlink ref="H53" location="CATALOGOS!A42159" display="CATALOGOS!A42159" xr:uid="{44960E54-A67A-4D93-B71B-56369C316462}"/>
    <hyperlink ref="H54" location="CATALOGOS!A42296" display="CATALOGOS!A42296" xr:uid="{BD8D38AF-1518-404A-9243-0B6651ED275F}"/>
    <hyperlink ref="H55" location="CATALOGOS!A40631" display="CATALOGOS!A40631" xr:uid="{00A297D5-F1F0-4C89-9F27-DF5F02382535}"/>
    <hyperlink ref="H21" location="CATALOGOS!A40631" display="CATALOGOS!A40631" xr:uid="{AA010307-29B1-44F1-8352-3D08F2DCF3A2}"/>
    <hyperlink ref="H32" location="CATALOGOS!A40631" display="CATALOGOS!A40631" xr:uid="{5FA72431-405E-4C2E-BB3F-F2619F198F5E}"/>
    <hyperlink ref="H26" location="CATALOGOS!A40631" display="CATALOGOS!A40631" xr:uid="{E7C2791D-CFAE-4278-BCAC-AE2B6F34168F}"/>
    <hyperlink ref="H7" location="CATALOGOS!A40631" display="CATALOGOS!A40631" xr:uid="{059F8B7F-F7D4-4DBC-AA5F-625101E5AD50}"/>
    <hyperlink ref="H90" location="CATALOGOS!A40631" display="CATALOGOS!A40631" xr:uid="{4D86B432-FE26-46C2-9337-2782F343D4DD}"/>
    <hyperlink ref="H91" location="CATALOGOS!A40631" display="CATALOGOS!A40631" xr:uid="{94333FC2-CBB0-4176-A176-160B9C22008E}"/>
    <hyperlink ref="H92" location="CATALOGOS!A135" display="CATALOGOS!A135" xr:uid="{B868FEE0-992A-412C-B325-DD991B99BE1B}"/>
    <hyperlink ref="H94" location="CATALOGOS!A40631" display="CATALOGOS!A40631" xr:uid="{275CD1A8-A9A2-4804-921E-FD2DA660B53C}"/>
    <hyperlink ref="H23" location="CATALOGOS!A40631" display="CATALOGOS!A40631" xr:uid="{01E377D3-908A-499F-B968-DF729C55962F}"/>
    <hyperlink ref="H48" location="CATALOGOS!A40631" display="CATALOGOS!A40631" xr:uid="{466D0ED3-0E9A-48C0-B354-150450F3A7FE}"/>
    <hyperlink ref="H56" location="CATALOGOS!A40631" display="CATALOGOS!A40631" xr:uid="{BA21F851-C836-4F48-AF4D-D7520FABEA49}"/>
    <hyperlink ref="H63" location="CATALOGOS!A40631" display="CATALOGOS!A40631" xr:uid="{4874C18C-BA3F-43E2-99A0-275A38B034FB}"/>
    <hyperlink ref="H66" location="CATALOGOS!A40631" display="CATALOGOS!A40631" xr:uid="{B86A2BF3-FF1C-44EE-8794-29DB874C16E8}"/>
    <hyperlink ref="H71" location="CATALOGOS!A40631" display="CATALOGOS!A40631" xr:uid="{6182A3DF-B1EC-4D11-86CD-DF624D1DA93B}"/>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92B4-5A0B-4E98-9BB5-FBC8C2206E70}">
  <dimension ref="A1:I42"/>
  <sheetViews>
    <sheetView topLeftCell="A13" workbookViewId="0">
      <selection activeCell="G46" sqref="G46"/>
    </sheetView>
  </sheetViews>
  <sheetFormatPr baseColWidth="10" defaultColWidth="9.140625" defaultRowHeight="15" x14ac:dyDescent="0.25"/>
  <cols>
    <col min="1" max="1" width="17.5703125" style="18" bestFit="1" customWidth="1"/>
    <col min="2" max="2" width="14.42578125" style="18" customWidth="1"/>
    <col min="3" max="3" width="11.140625" style="18" customWidth="1"/>
    <col min="4" max="4" width="14.28515625" style="18" customWidth="1"/>
    <col min="5" max="5" width="13.85546875" style="18" customWidth="1"/>
    <col min="6" max="6" width="23" style="18" customWidth="1"/>
    <col min="7" max="7" width="11.7109375" style="18" customWidth="1"/>
    <col min="8" max="8" width="10.28515625" style="18" customWidth="1"/>
    <col min="9" max="9" width="16.28515625" style="18" customWidth="1"/>
    <col min="10" max="16384" width="9.140625" style="18"/>
  </cols>
  <sheetData>
    <row r="1" spans="1:9" x14ac:dyDescent="0.25">
      <c r="A1" s="1" t="s">
        <v>12</v>
      </c>
      <c r="B1" s="28" t="s">
        <v>3969</v>
      </c>
    </row>
    <row r="2" spans="1:9" x14ac:dyDescent="0.25">
      <c r="A2" s="1" t="s">
        <v>4023</v>
      </c>
      <c r="B2" s="28" t="s">
        <v>4024</v>
      </c>
    </row>
    <row r="3" spans="1:9" x14ac:dyDescent="0.25">
      <c r="A3" s="1" t="s">
        <v>0</v>
      </c>
      <c r="B3" s="28" t="s">
        <v>3970</v>
      </c>
    </row>
    <row r="4" spans="1:9" x14ac:dyDescent="0.25">
      <c r="A4" s="1" t="s">
        <v>1</v>
      </c>
      <c r="B4" s="28" t="s">
        <v>3971</v>
      </c>
    </row>
    <row r="5" spans="1:9" x14ac:dyDescent="0.25">
      <c r="A5" s="1"/>
      <c r="B5" s="43" t="s">
        <v>3972</v>
      </c>
    </row>
    <row r="6" spans="1:9" x14ac:dyDescent="0.25">
      <c r="A6" s="18" t="s">
        <v>2</v>
      </c>
      <c r="B6" s="18" t="s">
        <v>3</v>
      </c>
      <c r="C6" s="18" t="s">
        <v>4</v>
      </c>
      <c r="D6" s="18" t="s">
        <v>13</v>
      </c>
      <c r="E6" s="18" t="s">
        <v>1</v>
      </c>
      <c r="F6" s="18" t="s">
        <v>0</v>
      </c>
      <c r="G6" s="18" t="s">
        <v>14</v>
      </c>
      <c r="H6" s="18" t="s">
        <v>5</v>
      </c>
      <c r="I6" s="18" t="s">
        <v>6</v>
      </c>
    </row>
    <row r="7" spans="1:9" x14ac:dyDescent="0.25">
      <c r="A7" s="18">
        <v>1</v>
      </c>
      <c r="B7" s="18" t="s">
        <v>3701</v>
      </c>
      <c r="C7" s="18" t="s">
        <v>3701</v>
      </c>
      <c r="D7" s="18" t="s">
        <v>3702</v>
      </c>
      <c r="E7" s="18" t="s">
        <v>3914</v>
      </c>
      <c r="F7" s="18" t="s">
        <v>3699</v>
      </c>
      <c r="G7" s="18" t="s">
        <v>4018</v>
      </c>
      <c r="H7" s="18" t="s">
        <v>3700</v>
      </c>
    </row>
    <row r="8" spans="1:9" x14ac:dyDescent="0.25">
      <c r="A8" s="18">
        <f>+A7+1</f>
        <v>2</v>
      </c>
      <c r="B8" s="18" t="s">
        <v>3895</v>
      </c>
      <c r="C8" s="18" t="s">
        <v>7</v>
      </c>
      <c r="D8" s="18">
        <v>52</v>
      </c>
      <c r="E8" s="18" t="s">
        <v>3914</v>
      </c>
      <c r="F8" s="18" t="s">
        <v>3896</v>
      </c>
      <c r="G8" s="18" t="s">
        <v>4021</v>
      </c>
      <c r="H8" s="18" t="s">
        <v>3700</v>
      </c>
      <c r="I8" s="18" t="s">
        <v>4016</v>
      </c>
    </row>
    <row r="9" spans="1:9" x14ac:dyDescent="0.25">
      <c r="A9" s="18">
        <f t="shared" ref="A9:A40" si="0">+A8+1</f>
        <v>3</v>
      </c>
      <c r="B9" s="18" t="s">
        <v>3897</v>
      </c>
      <c r="C9" s="18" t="s">
        <v>3710</v>
      </c>
      <c r="D9" s="18" t="s">
        <v>3729</v>
      </c>
      <c r="E9" s="18" t="s">
        <v>3914</v>
      </c>
      <c r="F9" s="18" t="s">
        <v>3898</v>
      </c>
      <c r="G9" s="18" t="s">
        <v>13</v>
      </c>
      <c r="H9" s="18" t="s">
        <v>3700</v>
      </c>
    </row>
    <row r="10" spans="1:9" x14ac:dyDescent="0.25">
      <c r="A10" s="18">
        <f t="shared" si="0"/>
        <v>4</v>
      </c>
      <c r="B10" s="18" t="s">
        <v>3899</v>
      </c>
      <c r="C10" s="18" t="s">
        <v>3710</v>
      </c>
      <c r="D10" s="18" t="s">
        <v>3726</v>
      </c>
      <c r="E10" s="18" t="s">
        <v>3914</v>
      </c>
      <c r="F10" s="18" t="s">
        <v>3900</v>
      </c>
      <c r="G10" s="18" t="s">
        <v>4020</v>
      </c>
      <c r="H10" s="18" t="s">
        <v>3700</v>
      </c>
    </row>
    <row r="11" spans="1:9" x14ac:dyDescent="0.25">
      <c r="A11" s="18">
        <f t="shared" si="0"/>
        <v>5</v>
      </c>
      <c r="B11" s="18" t="s">
        <v>3901</v>
      </c>
      <c r="C11" s="18" t="s">
        <v>3701</v>
      </c>
      <c r="D11" s="18" t="s">
        <v>3702</v>
      </c>
      <c r="E11" s="18" t="s">
        <v>3914</v>
      </c>
      <c r="F11" s="18" t="s">
        <v>3704</v>
      </c>
      <c r="G11" s="18" t="s">
        <v>4018</v>
      </c>
      <c r="H11" s="18" t="s">
        <v>3700</v>
      </c>
    </row>
    <row r="12" spans="1:9" x14ac:dyDescent="0.25">
      <c r="A12" s="18">
        <f t="shared" si="0"/>
        <v>6</v>
      </c>
      <c r="B12" s="18" t="s">
        <v>3902</v>
      </c>
      <c r="C12" s="18" t="s">
        <v>3701</v>
      </c>
      <c r="D12" s="18" t="s">
        <v>3702</v>
      </c>
      <c r="E12" s="18" t="s">
        <v>3914</v>
      </c>
      <c r="F12" s="18" t="s">
        <v>3903</v>
      </c>
      <c r="G12" s="18" t="s">
        <v>4018</v>
      </c>
      <c r="H12" s="18" t="s">
        <v>3700</v>
      </c>
    </row>
    <row r="13" spans="1:9" x14ac:dyDescent="0.25">
      <c r="A13" s="18">
        <f t="shared" si="0"/>
        <v>7</v>
      </c>
      <c r="B13" s="18" t="s">
        <v>3712</v>
      </c>
      <c r="C13" s="18" t="s">
        <v>3710</v>
      </c>
      <c r="D13" s="18" t="s">
        <v>3711</v>
      </c>
      <c r="E13" s="18" t="s">
        <v>3914</v>
      </c>
      <c r="F13" s="18" t="s">
        <v>3713</v>
      </c>
      <c r="G13" s="18" t="s">
        <v>13</v>
      </c>
      <c r="H13" s="18" t="s">
        <v>3700</v>
      </c>
    </row>
    <row r="14" spans="1:9" x14ac:dyDescent="0.25">
      <c r="A14" s="18">
        <f t="shared" si="0"/>
        <v>8</v>
      </c>
      <c r="B14" s="18" t="s">
        <v>3771</v>
      </c>
      <c r="C14" s="18" t="s">
        <v>3710</v>
      </c>
      <c r="D14" s="18" t="s">
        <v>3761</v>
      </c>
      <c r="E14" s="18" t="s">
        <v>3914</v>
      </c>
      <c r="F14" s="18" t="s">
        <v>3904</v>
      </c>
      <c r="G14" s="18" t="s">
        <v>4020</v>
      </c>
      <c r="H14" s="18" t="s">
        <v>3700</v>
      </c>
    </row>
    <row r="15" spans="1:9" x14ac:dyDescent="0.25">
      <c r="A15" s="18">
        <f t="shared" si="0"/>
        <v>9</v>
      </c>
      <c r="B15" s="18" t="s">
        <v>3773</v>
      </c>
      <c r="C15" s="18" t="s">
        <v>3710</v>
      </c>
      <c r="D15" s="18" t="s">
        <v>3761</v>
      </c>
      <c r="E15" s="18" t="s">
        <v>3914</v>
      </c>
      <c r="F15" s="18" t="s">
        <v>3774</v>
      </c>
      <c r="G15" s="18" t="s">
        <v>4020</v>
      </c>
      <c r="H15" s="18" t="s">
        <v>3700</v>
      </c>
    </row>
    <row r="16" spans="1:9" x14ac:dyDescent="0.25">
      <c r="A16" s="18">
        <f t="shared" si="0"/>
        <v>10</v>
      </c>
      <c r="B16" s="18" t="s">
        <v>3779</v>
      </c>
      <c r="C16" s="18" t="s">
        <v>7</v>
      </c>
      <c r="D16" s="18">
        <v>1</v>
      </c>
      <c r="E16" s="18" t="s">
        <v>3914</v>
      </c>
      <c r="F16" s="18" t="s">
        <v>3780</v>
      </c>
      <c r="G16" s="18" t="s">
        <v>13</v>
      </c>
      <c r="H16" s="18" t="s">
        <v>3700</v>
      </c>
    </row>
    <row r="17" spans="1:8" x14ac:dyDescent="0.25">
      <c r="A17" s="18">
        <f t="shared" si="0"/>
        <v>11</v>
      </c>
      <c r="B17" s="18" t="s">
        <v>3905</v>
      </c>
      <c r="C17" s="18" t="s">
        <v>7</v>
      </c>
      <c r="D17" s="18">
        <v>3</v>
      </c>
      <c r="E17" s="18" t="s">
        <v>3914</v>
      </c>
      <c r="F17" s="18" t="s">
        <v>3806</v>
      </c>
      <c r="G17" s="18" t="s">
        <v>4014</v>
      </c>
      <c r="H17" s="18" t="s">
        <v>3807</v>
      </c>
    </row>
    <row r="18" spans="1:8" x14ac:dyDescent="0.25">
      <c r="A18" s="18">
        <f t="shared" si="0"/>
        <v>12</v>
      </c>
      <c r="B18" s="18" t="s">
        <v>3906</v>
      </c>
      <c r="C18" s="18" t="s">
        <v>7</v>
      </c>
      <c r="D18" s="18">
        <v>20</v>
      </c>
      <c r="E18" s="18" t="s">
        <v>3914</v>
      </c>
      <c r="F18" s="18" t="s">
        <v>3809</v>
      </c>
      <c r="G18" s="18" t="s">
        <v>4014</v>
      </c>
      <c r="H18" s="18" t="s">
        <v>3752</v>
      </c>
    </row>
    <row r="19" spans="1:8" x14ac:dyDescent="0.25">
      <c r="A19" s="18">
        <f t="shared" si="0"/>
        <v>13</v>
      </c>
      <c r="B19" s="18" t="s">
        <v>3907</v>
      </c>
      <c r="C19" s="18" t="s">
        <v>3710</v>
      </c>
      <c r="D19" s="18" t="s">
        <v>3829</v>
      </c>
      <c r="E19" s="18" t="s">
        <v>3914</v>
      </c>
      <c r="F19" s="18" t="s">
        <v>3828</v>
      </c>
      <c r="G19" s="18" t="s">
        <v>4020</v>
      </c>
      <c r="H19" s="18" t="s">
        <v>3700</v>
      </c>
    </row>
    <row r="20" spans="1:8" x14ac:dyDescent="0.25">
      <c r="A20" s="18">
        <f t="shared" si="0"/>
        <v>14</v>
      </c>
      <c r="B20" s="18" t="s">
        <v>3849</v>
      </c>
      <c r="C20" s="18" t="s">
        <v>3710</v>
      </c>
      <c r="D20" s="18" t="s">
        <v>3829</v>
      </c>
      <c r="E20" s="18" t="s">
        <v>3914</v>
      </c>
      <c r="F20" s="18" t="s">
        <v>3850</v>
      </c>
      <c r="G20" s="18" t="s">
        <v>4020</v>
      </c>
      <c r="H20" s="18" t="s">
        <v>3700</v>
      </c>
    </row>
    <row r="21" spans="1:8" x14ac:dyDescent="0.25">
      <c r="A21" s="18">
        <f t="shared" si="0"/>
        <v>15</v>
      </c>
      <c r="B21" s="18" t="s">
        <v>3851</v>
      </c>
      <c r="C21" s="18" t="s">
        <v>3710</v>
      </c>
      <c r="D21" s="18" t="s">
        <v>3829</v>
      </c>
      <c r="E21" s="18" t="s">
        <v>3914</v>
      </c>
      <c r="F21" s="18" t="s">
        <v>3852</v>
      </c>
      <c r="G21" s="18" t="s">
        <v>4020</v>
      </c>
      <c r="H21" s="18" t="s">
        <v>3700</v>
      </c>
    </row>
    <row r="22" spans="1:8" x14ac:dyDescent="0.25">
      <c r="A22" s="18">
        <f t="shared" si="0"/>
        <v>16</v>
      </c>
      <c r="B22" s="18" t="s">
        <v>3853</v>
      </c>
      <c r="C22" s="18" t="s">
        <v>7</v>
      </c>
      <c r="D22" s="18">
        <v>6</v>
      </c>
      <c r="E22" s="18" t="s">
        <v>3914</v>
      </c>
      <c r="F22" s="18" t="s">
        <v>3854</v>
      </c>
      <c r="G22" s="18" t="s">
        <v>4014</v>
      </c>
      <c r="H22" s="18" t="s">
        <v>3855</v>
      </c>
    </row>
    <row r="23" spans="1:8" x14ac:dyDescent="0.25">
      <c r="A23" s="18">
        <f t="shared" si="0"/>
        <v>17</v>
      </c>
      <c r="B23" s="18" t="s">
        <v>3858</v>
      </c>
      <c r="C23" s="18" t="s">
        <v>3701</v>
      </c>
      <c r="D23" s="18" t="s">
        <v>3702</v>
      </c>
      <c r="E23" s="18" t="s">
        <v>3914</v>
      </c>
      <c r="F23" s="18" t="s">
        <v>3859</v>
      </c>
      <c r="G23" s="18" t="s">
        <v>4018</v>
      </c>
      <c r="H23" s="18" t="s">
        <v>3700</v>
      </c>
    </row>
    <row r="24" spans="1:8" x14ac:dyDescent="0.25">
      <c r="A24" s="18">
        <f t="shared" si="0"/>
        <v>18</v>
      </c>
      <c r="B24" s="18" t="s">
        <v>3860</v>
      </c>
      <c r="C24" s="18" t="s">
        <v>3701</v>
      </c>
      <c r="D24" s="18" t="s">
        <v>3702</v>
      </c>
      <c r="E24" s="18" t="s">
        <v>3914</v>
      </c>
      <c r="F24" s="18" t="s">
        <v>3861</v>
      </c>
      <c r="G24" s="18" t="s">
        <v>4018</v>
      </c>
      <c r="H24" s="18" t="s">
        <v>3700</v>
      </c>
    </row>
    <row r="25" spans="1:8" x14ac:dyDescent="0.25">
      <c r="A25" s="18">
        <f t="shared" si="0"/>
        <v>19</v>
      </c>
      <c r="B25" s="18" t="s">
        <v>3908</v>
      </c>
      <c r="C25" s="18" t="s">
        <v>3710</v>
      </c>
      <c r="D25" s="18" t="s">
        <v>3829</v>
      </c>
      <c r="E25" s="18" t="s">
        <v>3914</v>
      </c>
      <c r="F25" s="18" t="s">
        <v>3840</v>
      </c>
      <c r="G25" s="18" t="s">
        <v>4020</v>
      </c>
      <c r="H25" s="18" t="s">
        <v>3700</v>
      </c>
    </row>
    <row r="26" spans="1:8" x14ac:dyDescent="0.25">
      <c r="A26" s="18">
        <f t="shared" si="0"/>
        <v>20</v>
      </c>
      <c r="B26" s="18" t="s">
        <v>3862</v>
      </c>
      <c r="C26" s="18" t="s">
        <v>3710</v>
      </c>
      <c r="D26" s="18" t="s">
        <v>3829</v>
      </c>
      <c r="E26" s="18" t="s">
        <v>3914</v>
      </c>
      <c r="F26" s="18" t="s">
        <v>3863</v>
      </c>
      <c r="G26" s="18" t="s">
        <v>4020</v>
      </c>
      <c r="H26" s="18" t="s">
        <v>3700</v>
      </c>
    </row>
    <row r="27" spans="1:8" x14ac:dyDescent="0.25">
      <c r="A27" s="18">
        <f t="shared" si="0"/>
        <v>21</v>
      </c>
      <c r="B27" s="18" t="s">
        <v>3864</v>
      </c>
      <c r="C27" s="18" t="s">
        <v>3710</v>
      </c>
      <c r="D27" s="18" t="s">
        <v>3829</v>
      </c>
      <c r="E27" s="18" t="s">
        <v>3914</v>
      </c>
      <c r="F27" s="18" t="s">
        <v>3865</v>
      </c>
      <c r="G27" s="18" t="s">
        <v>4020</v>
      </c>
      <c r="H27" s="18" t="s">
        <v>3700</v>
      </c>
    </row>
    <row r="28" spans="1:8" x14ac:dyDescent="0.25">
      <c r="A28" s="18">
        <f t="shared" si="0"/>
        <v>22</v>
      </c>
      <c r="B28" s="18" t="s">
        <v>3866</v>
      </c>
      <c r="C28" s="18" t="s">
        <v>7</v>
      </c>
      <c r="D28" s="18">
        <v>6</v>
      </c>
      <c r="E28" s="18" t="s">
        <v>3914</v>
      </c>
      <c r="F28" s="18" t="s">
        <v>3867</v>
      </c>
      <c r="G28" s="18" t="s">
        <v>4014</v>
      </c>
      <c r="H28" s="18" t="s">
        <v>3855</v>
      </c>
    </row>
    <row r="29" spans="1:8" x14ac:dyDescent="0.25">
      <c r="A29" s="18">
        <f t="shared" si="0"/>
        <v>23</v>
      </c>
      <c r="B29" s="18" t="s">
        <v>3869</v>
      </c>
      <c r="C29" s="18" t="s">
        <v>3701</v>
      </c>
      <c r="D29" s="18" t="s">
        <v>3702</v>
      </c>
      <c r="E29" s="18" t="s">
        <v>3914</v>
      </c>
      <c r="F29" s="18" t="s">
        <v>3870</v>
      </c>
      <c r="G29" s="18" t="s">
        <v>4018</v>
      </c>
      <c r="H29" s="18" t="s">
        <v>3700</v>
      </c>
    </row>
    <row r="30" spans="1:8" x14ac:dyDescent="0.25">
      <c r="A30" s="18">
        <f t="shared" si="0"/>
        <v>24</v>
      </c>
      <c r="B30" s="18" t="s">
        <v>3871</v>
      </c>
      <c r="C30" s="18" t="s">
        <v>3701</v>
      </c>
      <c r="D30" s="18" t="s">
        <v>3702</v>
      </c>
      <c r="E30" s="18" t="s">
        <v>3914</v>
      </c>
      <c r="F30" s="18" t="s">
        <v>3872</v>
      </c>
      <c r="G30" s="18" t="s">
        <v>4018</v>
      </c>
      <c r="H30" s="18" t="s">
        <v>3700</v>
      </c>
    </row>
    <row r="31" spans="1:8" x14ac:dyDescent="0.25">
      <c r="A31" s="18">
        <f t="shared" si="0"/>
        <v>25</v>
      </c>
      <c r="B31" s="18" t="s">
        <v>3909</v>
      </c>
      <c r="C31" s="18" t="s">
        <v>3710</v>
      </c>
      <c r="D31" s="18" t="s">
        <v>3761</v>
      </c>
      <c r="E31" s="18" t="s">
        <v>3914</v>
      </c>
      <c r="F31" s="18" t="s">
        <v>3873</v>
      </c>
      <c r="G31" s="18" t="s">
        <v>4020</v>
      </c>
      <c r="H31" s="18" t="s">
        <v>3700</v>
      </c>
    </row>
    <row r="32" spans="1:8" x14ac:dyDescent="0.25">
      <c r="A32" s="18">
        <f t="shared" si="0"/>
        <v>26</v>
      </c>
      <c r="B32" s="18" t="s">
        <v>3874</v>
      </c>
      <c r="C32" s="18" t="s">
        <v>7</v>
      </c>
      <c r="D32" s="18">
        <v>2</v>
      </c>
      <c r="E32" s="18" t="s">
        <v>3914</v>
      </c>
      <c r="F32" s="18" t="s">
        <v>3874</v>
      </c>
      <c r="G32" s="18" t="s">
        <v>13</v>
      </c>
      <c r="H32" s="18" t="s">
        <v>3700</v>
      </c>
    </row>
    <row r="33" spans="1:9" x14ac:dyDescent="0.25">
      <c r="A33" s="18">
        <f t="shared" si="0"/>
        <v>27</v>
      </c>
      <c r="B33" s="18" t="s">
        <v>3734</v>
      </c>
      <c r="C33" s="18" t="s">
        <v>3701</v>
      </c>
      <c r="D33" s="18" t="s">
        <v>3702</v>
      </c>
      <c r="E33" s="18" t="s">
        <v>3914</v>
      </c>
      <c r="F33" s="18" t="s">
        <v>3910</v>
      </c>
      <c r="G33" s="18" t="s">
        <v>4018</v>
      </c>
      <c r="H33" s="18" t="s">
        <v>3700</v>
      </c>
    </row>
    <row r="34" spans="1:9" x14ac:dyDescent="0.25">
      <c r="A34" s="18">
        <f t="shared" si="0"/>
        <v>28</v>
      </c>
      <c r="B34" s="18" t="s">
        <v>3736</v>
      </c>
      <c r="C34" s="18" t="s">
        <v>3701</v>
      </c>
      <c r="D34" s="18" t="s">
        <v>3702</v>
      </c>
      <c r="E34" s="18" t="s">
        <v>3914</v>
      </c>
      <c r="F34" s="18" t="s">
        <v>3911</v>
      </c>
      <c r="G34" s="18" t="s">
        <v>4018</v>
      </c>
      <c r="H34" s="18" t="s">
        <v>3700</v>
      </c>
    </row>
    <row r="35" spans="1:9" x14ac:dyDescent="0.25">
      <c r="A35" s="18">
        <f t="shared" si="0"/>
        <v>29</v>
      </c>
      <c r="B35" s="18" t="s">
        <v>3759</v>
      </c>
      <c r="C35" s="18" t="s">
        <v>3710</v>
      </c>
      <c r="D35" s="18" t="s">
        <v>3761</v>
      </c>
      <c r="E35" s="18" t="s">
        <v>3914</v>
      </c>
      <c r="F35" s="18" t="s">
        <v>3760</v>
      </c>
      <c r="G35" s="18" t="s">
        <v>4020</v>
      </c>
      <c r="H35" s="18" t="s">
        <v>3700</v>
      </c>
    </row>
    <row r="36" spans="1:9" x14ac:dyDescent="0.25">
      <c r="A36" s="18">
        <f t="shared" si="0"/>
        <v>30</v>
      </c>
      <c r="B36" s="18" t="s">
        <v>3762</v>
      </c>
      <c r="C36" s="18" t="s">
        <v>3710</v>
      </c>
      <c r="D36" s="18" t="s">
        <v>3761</v>
      </c>
      <c r="E36" s="18" t="s">
        <v>3914</v>
      </c>
      <c r="F36" s="18" t="s">
        <v>3763</v>
      </c>
      <c r="G36" s="18" t="s">
        <v>4020</v>
      </c>
      <c r="H36" s="18" t="s">
        <v>3700</v>
      </c>
    </row>
    <row r="37" spans="1:9" x14ac:dyDescent="0.25">
      <c r="A37" s="18">
        <f t="shared" si="0"/>
        <v>31</v>
      </c>
      <c r="B37" s="18" t="s">
        <v>3764</v>
      </c>
      <c r="C37" s="18" t="s">
        <v>3710</v>
      </c>
      <c r="D37" s="18" t="s">
        <v>3761</v>
      </c>
      <c r="E37" s="18" t="s">
        <v>3914</v>
      </c>
      <c r="F37" s="18" t="s">
        <v>3765</v>
      </c>
      <c r="G37" s="18" t="s">
        <v>4020</v>
      </c>
      <c r="H37" s="18" t="s">
        <v>3700</v>
      </c>
    </row>
    <row r="38" spans="1:9" x14ac:dyDescent="0.25">
      <c r="A38" s="18">
        <f t="shared" si="0"/>
        <v>32</v>
      </c>
      <c r="B38" s="18" t="s">
        <v>3912</v>
      </c>
      <c r="C38" s="18" t="s">
        <v>7</v>
      </c>
      <c r="D38" s="18">
        <v>20</v>
      </c>
      <c r="E38" s="18" t="s">
        <v>3914</v>
      </c>
      <c r="F38" s="18" t="s">
        <v>3689</v>
      </c>
      <c r="G38" s="18" t="s">
        <v>13</v>
      </c>
      <c r="H38" s="18" t="s">
        <v>3700</v>
      </c>
    </row>
    <row r="39" spans="1:9" x14ac:dyDescent="0.25">
      <c r="A39" s="18">
        <f t="shared" si="0"/>
        <v>33</v>
      </c>
      <c r="B39" s="18" t="s">
        <v>3791</v>
      </c>
      <c r="C39" s="18" t="s">
        <v>3710</v>
      </c>
      <c r="D39" s="18" t="s">
        <v>3726</v>
      </c>
      <c r="E39" s="18" t="s">
        <v>3914</v>
      </c>
      <c r="F39" s="18" t="s">
        <v>3913</v>
      </c>
      <c r="G39" s="18" t="s">
        <v>4020</v>
      </c>
      <c r="H39" s="18" t="s">
        <v>3700</v>
      </c>
    </row>
    <row r="40" spans="1:9" ht="45" x14ac:dyDescent="0.25">
      <c r="A40" s="58">
        <f t="shared" si="0"/>
        <v>34</v>
      </c>
      <c r="B40" s="59" t="s">
        <v>4049</v>
      </c>
      <c r="C40" s="59" t="s">
        <v>15</v>
      </c>
      <c r="D40" s="59" t="s">
        <v>4037</v>
      </c>
      <c r="E40" s="59"/>
      <c r="F40" s="60" t="s">
        <v>4050</v>
      </c>
      <c r="G40" s="58"/>
      <c r="H40" s="58"/>
      <c r="I40" s="58"/>
    </row>
    <row r="42" spans="1:9" x14ac:dyDescent="0.25">
      <c r="B42" s="84" t="s">
        <v>3746</v>
      </c>
      <c r="C42" s="84" t="s">
        <v>4159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9BBF-F9AB-4D24-B612-5658A82E422C}">
  <dimension ref="A1:I36"/>
  <sheetViews>
    <sheetView topLeftCell="A7" workbookViewId="0">
      <selection activeCell="B36" sqref="B36"/>
    </sheetView>
  </sheetViews>
  <sheetFormatPr baseColWidth="10" defaultColWidth="9.140625" defaultRowHeight="15" x14ac:dyDescent="0.25"/>
  <cols>
    <col min="1" max="1" width="17.5703125" style="18" bestFit="1" customWidth="1"/>
    <col min="2" max="2" width="12.140625" style="18" customWidth="1"/>
    <col min="3" max="3" width="13.42578125" style="18" customWidth="1"/>
    <col min="4" max="4" width="11.85546875" style="18" customWidth="1"/>
    <col min="5" max="5" width="9.140625" style="18"/>
    <col min="6" max="6" width="22.42578125" style="18" customWidth="1"/>
    <col min="7" max="7" width="11.7109375" style="18" customWidth="1"/>
    <col min="8" max="8" width="10.28515625" style="18" customWidth="1"/>
    <col min="9" max="9" width="16.28515625" style="18" customWidth="1"/>
    <col min="10" max="16384" width="9.140625" style="18"/>
  </cols>
  <sheetData>
    <row r="1" spans="1:9" x14ac:dyDescent="0.25">
      <c r="A1" s="1" t="s">
        <v>12</v>
      </c>
      <c r="B1" s="28" t="s">
        <v>3973</v>
      </c>
    </row>
    <row r="2" spans="1:9" x14ac:dyDescent="0.25">
      <c r="A2" s="1" t="s">
        <v>4023</v>
      </c>
      <c r="B2" s="28" t="s">
        <v>4024</v>
      </c>
    </row>
    <row r="3" spans="1:9" x14ac:dyDescent="0.25">
      <c r="A3" s="1" t="s">
        <v>0</v>
      </c>
      <c r="B3" s="28" t="s">
        <v>3974</v>
      </c>
    </row>
    <row r="4" spans="1:9" x14ac:dyDescent="0.25">
      <c r="A4" s="1" t="s">
        <v>1</v>
      </c>
      <c r="B4" s="28" t="s">
        <v>3975</v>
      </c>
    </row>
    <row r="5" spans="1:9" x14ac:dyDescent="0.25">
      <c r="A5" s="1"/>
      <c r="B5" s="43" t="s">
        <v>3976</v>
      </c>
    </row>
    <row r="6" spans="1:9" x14ac:dyDescent="0.25">
      <c r="A6" s="18" t="s">
        <v>2</v>
      </c>
      <c r="B6" s="18" t="s">
        <v>3</v>
      </c>
      <c r="C6" s="18" t="s">
        <v>4</v>
      </c>
      <c r="D6" s="18" t="s">
        <v>13</v>
      </c>
      <c r="E6" s="18" t="s">
        <v>1</v>
      </c>
      <c r="F6" s="18" t="s">
        <v>0</v>
      </c>
      <c r="G6" s="18" t="s">
        <v>14</v>
      </c>
      <c r="H6" s="18" t="s">
        <v>5</v>
      </c>
      <c r="I6" s="18" t="s">
        <v>6</v>
      </c>
    </row>
    <row r="7" spans="1:9" x14ac:dyDescent="0.25">
      <c r="A7" s="18">
        <v>1</v>
      </c>
      <c r="B7" s="18" t="s">
        <v>3698</v>
      </c>
      <c r="C7" s="18" t="s">
        <v>3701</v>
      </c>
      <c r="D7" s="18" t="s">
        <v>3702</v>
      </c>
      <c r="E7" s="18" t="s">
        <v>3964</v>
      </c>
      <c r="F7" s="18" t="s">
        <v>3699</v>
      </c>
      <c r="G7" s="18" t="s">
        <v>4018</v>
      </c>
      <c r="H7" s="18" t="s">
        <v>3700</v>
      </c>
    </row>
    <row r="8" spans="1:9" x14ac:dyDescent="0.25">
      <c r="A8" s="18">
        <v>2</v>
      </c>
      <c r="B8" s="18" t="s">
        <v>3915</v>
      </c>
      <c r="C8" s="18" t="s">
        <v>3701</v>
      </c>
      <c r="D8" s="18" t="s">
        <v>3702</v>
      </c>
      <c r="E8" s="18" t="s">
        <v>3964</v>
      </c>
      <c r="F8" s="18" t="s">
        <v>3916</v>
      </c>
      <c r="G8" s="18" t="s">
        <v>4018</v>
      </c>
      <c r="H8" s="18" t="s">
        <v>3700</v>
      </c>
    </row>
    <row r="9" spans="1:9" x14ac:dyDescent="0.25">
      <c r="A9" s="18">
        <v>3</v>
      </c>
      <c r="B9" s="18" t="s">
        <v>3695</v>
      </c>
      <c r="C9" s="18" t="s">
        <v>7</v>
      </c>
      <c r="D9" s="44">
        <v>20</v>
      </c>
      <c r="E9" s="18" t="s">
        <v>3964</v>
      </c>
      <c r="F9" s="18" t="s">
        <v>3689</v>
      </c>
      <c r="G9" s="18" t="s">
        <v>4014</v>
      </c>
      <c r="H9" s="18" t="s">
        <v>3690</v>
      </c>
    </row>
    <row r="10" spans="1:9" x14ac:dyDescent="0.25">
      <c r="A10" s="18">
        <v>4</v>
      </c>
      <c r="B10" s="18" t="s">
        <v>3895</v>
      </c>
      <c r="C10" s="18" t="s">
        <v>7</v>
      </c>
      <c r="D10" s="44">
        <v>52</v>
      </c>
      <c r="E10" s="18" t="s">
        <v>3964</v>
      </c>
      <c r="F10" s="18" t="s">
        <v>3917</v>
      </c>
      <c r="G10" s="18" t="s">
        <v>4021</v>
      </c>
      <c r="H10" s="18" t="s">
        <v>3700</v>
      </c>
      <c r="I10" s="18" t="s">
        <v>4016</v>
      </c>
    </row>
    <row r="11" spans="1:9" x14ac:dyDescent="0.25">
      <c r="A11" s="18">
        <v>5</v>
      </c>
      <c r="B11" s="18" t="s">
        <v>3918</v>
      </c>
      <c r="C11" s="18" t="s">
        <v>3692</v>
      </c>
      <c r="D11" s="44">
        <v>2</v>
      </c>
      <c r="E11" s="18" t="s">
        <v>3964</v>
      </c>
      <c r="F11" s="18" t="s">
        <v>3723</v>
      </c>
      <c r="G11" s="18" t="s">
        <v>4014</v>
      </c>
      <c r="H11" s="14" t="s">
        <v>22</v>
      </c>
    </row>
    <row r="12" spans="1:9" x14ac:dyDescent="0.25">
      <c r="A12" s="18">
        <v>6</v>
      </c>
      <c r="B12" s="18" t="s">
        <v>3919</v>
      </c>
      <c r="C12" s="18" t="s">
        <v>3692</v>
      </c>
      <c r="D12" s="44">
        <v>1</v>
      </c>
      <c r="E12" s="18" t="s">
        <v>3964</v>
      </c>
      <c r="F12" s="18" t="s">
        <v>3920</v>
      </c>
      <c r="G12" s="18" t="s">
        <v>13</v>
      </c>
      <c r="H12" s="18" t="s">
        <v>3700</v>
      </c>
    </row>
    <row r="13" spans="1:9" x14ac:dyDescent="0.25">
      <c r="A13" s="18">
        <v>7</v>
      </c>
      <c r="B13" s="18" t="s">
        <v>3921</v>
      </c>
      <c r="C13" s="18" t="s">
        <v>3710</v>
      </c>
      <c r="D13" s="44" t="s">
        <v>3761</v>
      </c>
      <c r="E13" s="18" t="s">
        <v>3964</v>
      </c>
      <c r="F13" s="18" t="s">
        <v>3922</v>
      </c>
      <c r="G13" s="18" t="s">
        <v>4020</v>
      </c>
      <c r="H13" s="18" t="s">
        <v>3700</v>
      </c>
    </row>
    <row r="14" spans="1:9" x14ac:dyDescent="0.25">
      <c r="A14" s="18">
        <v>8</v>
      </c>
      <c r="B14" s="18" t="s">
        <v>3923</v>
      </c>
      <c r="C14" s="18" t="s">
        <v>3710</v>
      </c>
      <c r="D14" s="44" t="s">
        <v>3726</v>
      </c>
      <c r="E14" s="18" t="s">
        <v>3964</v>
      </c>
      <c r="F14" s="18" t="s">
        <v>3889</v>
      </c>
      <c r="G14" s="18" t="s">
        <v>4020</v>
      </c>
      <c r="H14" s="18" t="s">
        <v>3700</v>
      </c>
    </row>
    <row r="15" spans="1:9" x14ac:dyDescent="0.25">
      <c r="A15" s="18">
        <v>9</v>
      </c>
      <c r="B15" s="18" t="s">
        <v>3924</v>
      </c>
      <c r="C15" s="18" t="s">
        <v>3710</v>
      </c>
      <c r="D15" s="44" t="s">
        <v>3729</v>
      </c>
      <c r="E15" s="18" t="s">
        <v>3964</v>
      </c>
      <c r="F15" s="18" t="s">
        <v>3925</v>
      </c>
      <c r="G15" s="18" t="s">
        <v>4014</v>
      </c>
      <c r="H15" s="14" t="str">
        <f>CATALOGOS!A$1019</f>
        <v>MONEDA</v>
      </c>
    </row>
    <row r="16" spans="1:9" x14ac:dyDescent="0.25">
      <c r="A16" s="18">
        <v>10</v>
      </c>
      <c r="B16" s="18" t="s">
        <v>3926</v>
      </c>
      <c r="C16" s="18" t="s">
        <v>3710</v>
      </c>
      <c r="D16" s="44" t="s">
        <v>3726</v>
      </c>
      <c r="E16" s="18" t="s">
        <v>3964</v>
      </c>
      <c r="F16" s="18" t="s">
        <v>3927</v>
      </c>
      <c r="G16" s="18" t="s">
        <v>4020</v>
      </c>
      <c r="H16" s="18" t="s">
        <v>3700</v>
      </c>
    </row>
    <row r="17" spans="1:8" x14ac:dyDescent="0.25">
      <c r="A17" s="18">
        <v>11</v>
      </c>
      <c r="B17" s="18" t="s">
        <v>3928</v>
      </c>
      <c r="C17" s="18" t="s">
        <v>3710</v>
      </c>
      <c r="D17" s="44" t="s">
        <v>3726</v>
      </c>
      <c r="E17" s="18" t="s">
        <v>3964</v>
      </c>
      <c r="F17" s="18" t="s">
        <v>3929</v>
      </c>
      <c r="G17" s="18" t="s">
        <v>4020</v>
      </c>
      <c r="H17" s="18" t="s">
        <v>3700</v>
      </c>
    </row>
    <row r="18" spans="1:8" x14ac:dyDescent="0.25">
      <c r="A18" s="18">
        <v>12</v>
      </c>
      <c r="B18" s="18" t="s">
        <v>3930</v>
      </c>
      <c r="C18" s="18" t="s">
        <v>3710</v>
      </c>
      <c r="D18" s="44" t="s">
        <v>3726</v>
      </c>
      <c r="E18" s="18" t="s">
        <v>3964</v>
      </c>
      <c r="F18" s="18" t="s">
        <v>3931</v>
      </c>
      <c r="G18" s="18" t="s">
        <v>4020</v>
      </c>
      <c r="H18" s="18" t="s">
        <v>3700</v>
      </c>
    </row>
    <row r="19" spans="1:8" x14ac:dyDescent="0.25">
      <c r="A19" s="18">
        <v>13</v>
      </c>
      <c r="B19" s="18" t="s">
        <v>3932</v>
      </c>
      <c r="C19" s="18" t="s">
        <v>7</v>
      </c>
      <c r="D19" s="44">
        <v>20</v>
      </c>
      <c r="E19" s="18" t="s">
        <v>3964</v>
      </c>
      <c r="F19" s="18" t="s">
        <v>3933</v>
      </c>
      <c r="G19" s="18" t="s">
        <v>4014</v>
      </c>
      <c r="H19" s="18" t="s">
        <v>3934</v>
      </c>
    </row>
    <row r="20" spans="1:8" x14ac:dyDescent="0.25">
      <c r="A20" s="18">
        <v>14</v>
      </c>
      <c r="B20" s="18" t="s">
        <v>3935</v>
      </c>
      <c r="C20" s="18" t="s">
        <v>3710</v>
      </c>
      <c r="D20" s="44" t="s">
        <v>3726</v>
      </c>
      <c r="E20" s="18" t="s">
        <v>3964</v>
      </c>
      <c r="F20" s="18" t="s">
        <v>3936</v>
      </c>
      <c r="G20" s="18" t="s">
        <v>4020</v>
      </c>
      <c r="H20" s="18" t="s">
        <v>3700</v>
      </c>
    </row>
    <row r="21" spans="1:8" x14ac:dyDescent="0.25">
      <c r="A21" s="18">
        <v>15</v>
      </c>
      <c r="B21" s="18" t="s">
        <v>3937</v>
      </c>
      <c r="C21" s="18" t="s">
        <v>7</v>
      </c>
      <c r="D21" s="44">
        <v>20</v>
      </c>
      <c r="E21" s="18" t="s">
        <v>3964</v>
      </c>
      <c r="F21" s="18" t="s">
        <v>3938</v>
      </c>
      <c r="G21" s="18" t="s">
        <v>4014</v>
      </c>
      <c r="H21" s="18" t="s">
        <v>3934</v>
      </c>
    </row>
    <row r="22" spans="1:8" x14ac:dyDescent="0.25">
      <c r="A22" s="18">
        <v>16</v>
      </c>
      <c r="B22" s="18" t="s">
        <v>3939</v>
      </c>
      <c r="C22" s="18" t="s">
        <v>3710</v>
      </c>
      <c r="D22" s="44" t="s">
        <v>3726</v>
      </c>
      <c r="E22" s="18" t="s">
        <v>3964</v>
      </c>
      <c r="F22" s="18" t="s">
        <v>3940</v>
      </c>
      <c r="G22" s="18" t="s">
        <v>4020</v>
      </c>
      <c r="H22" s="18" t="s">
        <v>3700</v>
      </c>
    </row>
    <row r="23" spans="1:8" x14ac:dyDescent="0.25">
      <c r="A23" s="18">
        <v>17</v>
      </c>
      <c r="B23" s="18" t="s">
        <v>3941</v>
      </c>
      <c r="C23" s="18" t="s">
        <v>7</v>
      </c>
      <c r="D23" s="44">
        <v>20</v>
      </c>
      <c r="E23" s="18" t="s">
        <v>3964</v>
      </c>
      <c r="F23" s="18" t="s">
        <v>3942</v>
      </c>
      <c r="G23" s="18" t="s">
        <v>4014</v>
      </c>
      <c r="H23" s="18" t="s">
        <v>3934</v>
      </c>
    </row>
    <row r="24" spans="1:8" x14ac:dyDescent="0.25">
      <c r="A24" s="18">
        <v>18</v>
      </c>
      <c r="B24" s="18" t="s">
        <v>3943</v>
      </c>
      <c r="C24" s="18" t="s">
        <v>3710</v>
      </c>
      <c r="D24" s="44" t="s">
        <v>3829</v>
      </c>
      <c r="E24" s="18" t="s">
        <v>3964</v>
      </c>
      <c r="F24" s="18" t="s">
        <v>3944</v>
      </c>
      <c r="G24" s="18" t="s">
        <v>4020</v>
      </c>
      <c r="H24" s="18" t="s">
        <v>3700</v>
      </c>
    </row>
    <row r="25" spans="1:8" x14ac:dyDescent="0.25">
      <c r="A25" s="18">
        <v>19</v>
      </c>
      <c r="B25" s="18" t="s">
        <v>3945</v>
      </c>
      <c r="C25" s="18" t="s">
        <v>3740</v>
      </c>
      <c r="D25" s="44">
        <v>1</v>
      </c>
      <c r="E25" s="18" t="s">
        <v>3964</v>
      </c>
      <c r="F25" s="18" t="s">
        <v>3946</v>
      </c>
      <c r="G25" s="18" t="s">
        <v>13</v>
      </c>
      <c r="H25" s="18" t="s">
        <v>3700</v>
      </c>
    </row>
    <row r="26" spans="1:8" x14ac:dyDescent="0.25">
      <c r="A26" s="18">
        <v>20</v>
      </c>
      <c r="B26" s="18" t="s">
        <v>3947</v>
      </c>
      <c r="C26" s="18" t="s">
        <v>7</v>
      </c>
      <c r="D26" s="44">
        <v>34</v>
      </c>
      <c r="E26" s="18" t="s">
        <v>3964</v>
      </c>
      <c r="F26" s="18" t="s">
        <v>3948</v>
      </c>
      <c r="G26" s="18" t="s">
        <v>4014</v>
      </c>
      <c r="H26" s="18" t="s">
        <v>3949</v>
      </c>
    </row>
    <row r="27" spans="1:8" x14ac:dyDescent="0.25">
      <c r="A27" s="18">
        <v>21</v>
      </c>
      <c r="B27" s="18" t="s">
        <v>3950</v>
      </c>
      <c r="C27" s="18" t="s">
        <v>7</v>
      </c>
      <c r="D27" s="44">
        <v>34</v>
      </c>
      <c r="E27" s="18" t="s">
        <v>3964</v>
      </c>
      <c r="F27" s="18" t="s">
        <v>3951</v>
      </c>
      <c r="G27" s="18" t="s">
        <v>4014</v>
      </c>
      <c r="H27" s="18" t="s">
        <v>3949</v>
      </c>
    </row>
    <row r="28" spans="1:8" x14ac:dyDescent="0.25">
      <c r="A28" s="18">
        <v>22</v>
      </c>
      <c r="B28" s="18" t="s">
        <v>3952</v>
      </c>
      <c r="C28" s="18" t="s">
        <v>7</v>
      </c>
      <c r="D28" s="44">
        <v>34</v>
      </c>
      <c r="E28" s="18" t="s">
        <v>3964</v>
      </c>
      <c r="F28" s="18" t="s">
        <v>3953</v>
      </c>
      <c r="G28" s="18" t="s">
        <v>4014</v>
      </c>
      <c r="H28" s="18" t="s">
        <v>3949</v>
      </c>
    </row>
    <row r="29" spans="1:8" x14ac:dyDescent="0.25">
      <c r="A29" s="18">
        <v>23</v>
      </c>
      <c r="B29" s="18" t="s">
        <v>3954</v>
      </c>
      <c r="C29" s="18" t="s">
        <v>3740</v>
      </c>
      <c r="D29" s="44">
        <v>1</v>
      </c>
      <c r="E29" s="18" t="s">
        <v>3964</v>
      </c>
      <c r="F29" s="18" t="s">
        <v>3955</v>
      </c>
      <c r="G29" s="18" t="s">
        <v>13</v>
      </c>
      <c r="H29" s="18" t="s">
        <v>3700</v>
      </c>
    </row>
    <row r="30" spans="1:8" x14ac:dyDescent="0.25">
      <c r="A30" s="18">
        <v>24</v>
      </c>
      <c r="B30" s="18" t="s">
        <v>3956</v>
      </c>
      <c r="C30" s="18" t="s">
        <v>7</v>
      </c>
      <c r="D30" s="44">
        <v>35</v>
      </c>
      <c r="E30" s="18" t="s">
        <v>3964</v>
      </c>
      <c r="F30" s="18" t="s">
        <v>3957</v>
      </c>
      <c r="G30" s="18" t="s">
        <v>13</v>
      </c>
      <c r="H30" s="18" t="s">
        <v>3700</v>
      </c>
    </row>
    <row r="31" spans="1:8" x14ac:dyDescent="0.25">
      <c r="A31" s="18">
        <v>25</v>
      </c>
      <c r="B31" s="18" t="s">
        <v>3958</v>
      </c>
      <c r="C31" s="18" t="s">
        <v>3710</v>
      </c>
      <c r="D31" s="44" t="s">
        <v>3729</v>
      </c>
      <c r="E31" s="18" t="s">
        <v>3964</v>
      </c>
      <c r="F31" s="18" t="s">
        <v>3959</v>
      </c>
      <c r="G31" s="18" t="s">
        <v>13</v>
      </c>
      <c r="H31" s="18" t="s">
        <v>3700</v>
      </c>
    </row>
    <row r="32" spans="1:8" x14ac:dyDescent="0.25">
      <c r="A32" s="18">
        <v>26</v>
      </c>
      <c r="B32" s="18" t="s">
        <v>3960</v>
      </c>
      <c r="C32" s="18" t="s">
        <v>3710</v>
      </c>
      <c r="D32" s="44" t="s">
        <v>3726</v>
      </c>
      <c r="E32" s="18" t="s">
        <v>3964</v>
      </c>
      <c r="F32" s="18" t="s">
        <v>3961</v>
      </c>
      <c r="G32" s="18" t="s">
        <v>4020</v>
      </c>
      <c r="H32" s="18" t="s">
        <v>3700</v>
      </c>
    </row>
    <row r="33" spans="1:8" x14ac:dyDescent="0.25">
      <c r="A33" s="18">
        <v>27</v>
      </c>
      <c r="B33" s="18" t="s">
        <v>3962</v>
      </c>
      <c r="C33" s="18" t="s">
        <v>7</v>
      </c>
      <c r="D33" s="44">
        <v>20</v>
      </c>
      <c r="E33" s="18" t="s">
        <v>3964</v>
      </c>
      <c r="F33" s="18" t="s">
        <v>3963</v>
      </c>
      <c r="G33" s="18" t="s">
        <v>13</v>
      </c>
      <c r="H33" s="18" t="s">
        <v>3700</v>
      </c>
    </row>
    <row r="34" spans="1:8" ht="45" x14ac:dyDescent="0.25">
      <c r="A34" s="18">
        <v>28</v>
      </c>
      <c r="B34" s="44" t="s">
        <v>4049</v>
      </c>
      <c r="C34" s="44" t="s">
        <v>15</v>
      </c>
      <c r="D34" s="44" t="s">
        <v>4037</v>
      </c>
      <c r="E34" s="44"/>
      <c r="F34" s="45" t="s">
        <v>4050</v>
      </c>
    </row>
    <row r="36" spans="1:8" x14ac:dyDescent="0.25">
      <c r="B36" s="84" t="s">
        <v>3746</v>
      </c>
      <c r="C36" s="84" t="s">
        <v>4159</v>
      </c>
    </row>
  </sheetData>
  <hyperlinks>
    <hyperlink ref="H11" location="CATALOGOS!A41154" display="CATALOGOS!A41154" xr:uid="{814DFF38-C4C2-496D-B34A-FC9AD9BDE09F}"/>
    <hyperlink ref="H15" location="CATALOGOS!A40631" display="CATALOGOS!A40631" xr:uid="{993F4DD0-CABE-48B1-9F5D-491CFB688A83}"/>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6442-2B68-4E92-A2E5-4BFFDB71312C}">
  <dimension ref="A1:P30"/>
  <sheetViews>
    <sheetView workbookViewId="0">
      <selection activeCell="I37" sqref="I37"/>
    </sheetView>
  </sheetViews>
  <sheetFormatPr baseColWidth="10" defaultColWidth="11.42578125" defaultRowHeight="15" x14ac:dyDescent="0.25"/>
  <cols>
    <col min="1" max="1" width="12.5703125" style="46" customWidth="1"/>
    <col min="2" max="3" width="11.42578125" style="46"/>
    <col min="4" max="4" width="21.85546875" style="46" customWidth="1"/>
    <col min="5" max="5" width="15.5703125" style="46" customWidth="1"/>
    <col min="6" max="6" width="14.7109375" style="46" customWidth="1"/>
    <col min="7" max="7" width="18.85546875" style="46" customWidth="1"/>
    <col min="8" max="8" width="17" style="46" customWidth="1"/>
    <col min="9" max="9" width="15.85546875" style="46" customWidth="1"/>
    <col min="10" max="10" width="11.42578125" style="46"/>
    <col min="11" max="11" width="11.42578125" style="46" customWidth="1"/>
    <col min="12" max="12" width="17.85546875" style="46" customWidth="1"/>
    <col min="13" max="13" width="25.7109375" style="46" customWidth="1"/>
    <col min="14" max="14" width="21.85546875" style="46" customWidth="1"/>
    <col min="15" max="15" width="28.140625" style="46" customWidth="1"/>
    <col min="16" max="16384" width="11.42578125" style="46"/>
  </cols>
  <sheetData>
    <row r="1" spans="1:16" x14ac:dyDescent="0.25">
      <c r="A1" s="1" t="s">
        <v>12</v>
      </c>
      <c r="B1" s="28" t="s">
        <v>4151</v>
      </c>
      <c r="J1" s="47"/>
      <c r="K1" s="47"/>
    </row>
    <row r="2" spans="1:16" x14ac:dyDescent="0.25">
      <c r="A2" s="1" t="s">
        <v>4023</v>
      </c>
      <c r="B2" s="28" t="s">
        <v>4024</v>
      </c>
      <c r="J2" s="47"/>
      <c r="K2" s="47"/>
    </row>
    <row r="3" spans="1:16" x14ac:dyDescent="0.25">
      <c r="A3" s="1" t="s">
        <v>0</v>
      </c>
      <c r="B3" s="28" t="s">
        <v>4152</v>
      </c>
      <c r="J3" s="47"/>
      <c r="K3" s="47"/>
    </row>
    <row r="4" spans="1:16" x14ac:dyDescent="0.25">
      <c r="A4" s="1" t="s">
        <v>1</v>
      </c>
      <c r="B4" s="28" t="s">
        <v>4153</v>
      </c>
      <c r="J4" s="47"/>
      <c r="K4" s="47"/>
    </row>
    <row r="5" spans="1:16" x14ac:dyDescent="0.25">
      <c r="A5" s="48"/>
      <c r="J5" s="47"/>
      <c r="K5" s="47"/>
    </row>
    <row r="6" spans="1:16" x14ac:dyDescent="0.25">
      <c r="A6" s="48"/>
      <c r="J6" s="47"/>
      <c r="K6" s="47"/>
    </row>
    <row r="7" spans="1:16" x14ac:dyDescent="0.25">
      <c r="A7" s="49" t="s">
        <v>4056</v>
      </c>
      <c r="J7" s="47"/>
      <c r="K7" s="47"/>
    </row>
    <row r="8" spans="1:16" x14ac:dyDescent="0.25">
      <c r="J8" s="47"/>
      <c r="K8" s="47"/>
    </row>
    <row r="9" spans="1:16" x14ac:dyDescent="0.25">
      <c r="A9" s="39" t="s">
        <v>4057</v>
      </c>
      <c r="B9" s="39" t="s">
        <v>4058</v>
      </c>
      <c r="C9" s="39" t="s">
        <v>4059</v>
      </c>
      <c r="D9" s="39" t="s">
        <v>4060</v>
      </c>
      <c r="E9" s="39" t="s">
        <v>4061</v>
      </c>
      <c r="F9" s="39" t="s">
        <v>4062</v>
      </c>
      <c r="G9" s="39" t="s">
        <v>4063</v>
      </c>
      <c r="H9" s="39" t="s">
        <v>4064</v>
      </c>
      <c r="I9" s="39" t="s">
        <v>4065</v>
      </c>
      <c r="J9" s="40" t="s">
        <v>4066</v>
      </c>
      <c r="K9" s="40" t="s">
        <v>4067</v>
      </c>
      <c r="L9" s="39" t="s">
        <v>66</v>
      </c>
      <c r="M9" s="39" t="s">
        <v>4068</v>
      </c>
      <c r="N9" s="39" t="s">
        <v>4069</v>
      </c>
      <c r="O9" s="39" t="s">
        <v>4070</v>
      </c>
      <c r="P9" s="39" t="s">
        <v>4071</v>
      </c>
    </row>
    <row r="10" spans="1:16" s="51" customFormat="1" x14ac:dyDescent="0.25">
      <c r="A10" s="46" t="s">
        <v>4154</v>
      </c>
      <c r="B10" s="46">
        <v>1</v>
      </c>
      <c r="C10" s="46" t="s">
        <v>4073</v>
      </c>
      <c r="D10" s="46" t="s">
        <v>4074</v>
      </c>
      <c r="E10" s="46" t="s">
        <v>7</v>
      </c>
      <c r="F10" s="50" t="s">
        <v>21</v>
      </c>
      <c r="G10" s="46" t="s">
        <v>4073</v>
      </c>
      <c r="H10" s="46" t="s">
        <v>5</v>
      </c>
      <c r="I10" s="46" t="s">
        <v>4075</v>
      </c>
      <c r="J10" s="47" t="s">
        <v>4072</v>
      </c>
      <c r="K10" s="46">
        <v>1</v>
      </c>
      <c r="L10" s="46" t="s">
        <v>4076</v>
      </c>
      <c r="M10" s="46"/>
      <c r="N10" s="46"/>
      <c r="O10" s="46" t="s">
        <v>4077</v>
      </c>
      <c r="P10" s="46" t="s">
        <v>4077</v>
      </c>
    </row>
    <row r="11" spans="1:16" x14ac:dyDescent="0.25">
      <c r="A11" s="46" t="s">
        <v>4154</v>
      </c>
      <c r="B11" s="46">
        <v>2</v>
      </c>
      <c r="C11" s="46" t="s">
        <v>4073</v>
      </c>
      <c r="D11" s="46" t="s">
        <v>4078</v>
      </c>
      <c r="E11" s="46" t="s">
        <v>7</v>
      </c>
      <c r="F11" s="50" t="s">
        <v>21</v>
      </c>
      <c r="G11" s="46" t="s">
        <v>4073</v>
      </c>
      <c r="H11" s="46" t="s">
        <v>5</v>
      </c>
      <c r="I11" s="46" t="s">
        <v>4075</v>
      </c>
      <c r="J11" s="47" t="s">
        <v>4072</v>
      </c>
      <c r="K11" s="46">
        <v>3</v>
      </c>
      <c r="L11" s="46" t="s">
        <v>4079</v>
      </c>
    </row>
    <row r="12" spans="1:16" x14ac:dyDescent="0.25">
      <c r="A12" s="46" t="s">
        <v>4154</v>
      </c>
      <c r="B12" s="46">
        <v>3</v>
      </c>
      <c r="C12" s="46" t="s">
        <v>4073</v>
      </c>
      <c r="D12" s="46" t="s">
        <v>4080</v>
      </c>
      <c r="E12" s="46" t="s">
        <v>4081</v>
      </c>
      <c r="F12" s="52" t="s">
        <v>4082</v>
      </c>
      <c r="G12" s="46" t="s">
        <v>4073</v>
      </c>
      <c r="J12" s="47" t="s">
        <v>4072</v>
      </c>
      <c r="K12" s="46">
        <v>4</v>
      </c>
      <c r="L12" s="46" t="s">
        <v>4083</v>
      </c>
    </row>
    <row r="13" spans="1:16" x14ac:dyDescent="0.25">
      <c r="A13" s="46" t="s">
        <v>4154</v>
      </c>
      <c r="B13" s="46">
        <v>4</v>
      </c>
      <c r="C13" s="46" t="s">
        <v>68</v>
      </c>
      <c r="D13" s="46" t="s">
        <v>4084</v>
      </c>
      <c r="E13" s="46" t="s">
        <v>7</v>
      </c>
      <c r="F13" s="53" t="s">
        <v>29</v>
      </c>
      <c r="G13" s="46" t="s">
        <v>4073</v>
      </c>
      <c r="J13" s="47" t="s">
        <v>4072</v>
      </c>
      <c r="K13" s="46">
        <v>5</v>
      </c>
      <c r="L13" s="46" t="s">
        <v>4085</v>
      </c>
      <c r="P13" s="46" t="s">
        <v>4077</v>
      </c>
    </row>
    <row r="14" spans="1:16" x14ac:dyDescent="0.25">
      <c r="A14" s="46" t="s">
        <v>4154</v>
      </c>
      <c r="B14" s="46">
        <v>5</v>
      </c>
      <c r="C14" s="46" t="s">
        <v>68</v>
      </c>
      <c r="D14" s="46" t="s">
        <v>4086</v>
      </c>
      <c r="E14" s="46" t="s">
        <v>4081</v>
      </c>
      <c r="F14" s="52" t="s">
        <v>4087</v>
      </c>
      <c r="G14" s="46" t="s">
        <v>4073</v>
      </c>
      <c r="J14" s="47" t="s">
        <v>4072</v>
      </c>
      <c r="K14" s="46">
        <v>6</v>
      </c>
      <c r="L14" s="46" t="s">
        <v>4088</v>
      </c>
      <c r="P14" s="46" t="s">
        <v>4077</v>
      </c>
    </row>
    <row r="15" spans="1:16" x14ac:dyDescent="0.25">
      <c r="A15" s="46" t="s">
        <v>4154</v>
      </c>
      <c r="B15" s="46">
        <v>6</v>
      </c>
      <c r="C15" s="46" t="s">
        <v>68</v>
      </c>
      <c r="D15" s="46" t="s">
        <v>3433</v>
      </c>
      <c r="E15" s="46" t="s">
        <v>4081</v>
      </c>
      <c r="F15" s="52" t="s">
        <v>4040</v>
      </c>
      <c r="G15" s="46" t="s">
        <v>4073</v>
      </c>
      <c r="J15" s="47" t="s">
        <v>4072</v>
      </c>
      <c r="K15" s="46">
        <v>7</v>
      </c>
      <c r="L15" s="46" t="s">
        <v>4089</v>
      </c>
    </row>
    <row r="16" spans="1:16" x14ac:dyDescent="0.25">
      <c r="A16" s="46" t="s">
        <v>4154</v>
      </c>
      <c r="B16" s="46">
        <v>7</v>
      </c>
      <c r="C16" s="46" t="s">
        <v>68</v>
      </c>
      <c r="D16" s="46" t="s">
        <v>4090</v>
      </c>
      <c r="E16" s="46" t="s">
        <v>4081</v>
      </c>
      <c r="F16" s="52" t="s">
        <v>4091</v>
      </c>
      <c r="G16" s="46" t="s">
        <v>4073</v>
      </c>
      <c r="H16" s="46" t="s">
        <v>5</v>
      </c>
      <c r="I16" s="46" t="s">
        <v>4092</v>
      </c>
      <c r="J16" s="47" t="s">
        <v>4072</v>
      </c>
      <c r="K16" s="46">
        <v>8</v>
      </c>
      <c r="L16" s="46" t="s">
        <v>4093</v>
      </c>
    </row>
    <row r="17" spans="1:16" x14ac:dyDescent="0.25">
      <c r="A17" s="46" t="s">
        <v>4154</v>
      </c>
      <c r="B17" s="46">
        <v>8</v>
      </c>
      <c r="C17" s="46" t="s">
        <v>68</v>
      </c>
      <c r="D17" s="46" t="s">
        <v>3434</v>
      </c>
      <c r="E17" s="46" t="s">
        <v>4081</v>
      </c>
      <c r="F17" s="52" t="s">
        <v>4082</v>
      </c>
      <c r="G17" s="46" t="s">
        <v>4073</v>
      </c>
      <c r="H17" s="46" t="s">
        <v>5</v>
      </c>
      <c r="I17" s="54" t="s">
        <v>4094</v>
      </c>
      <c r="J17" s="47" t="s">
        <v>4072</v>
      </c>
      <c r="K17" s="46">
        <v>9</v>
      </c>
      <c r="L17" s="46" t="s">
        <v>4095</v>
      </c>
    </row>
    <row r="18" spans="1:16" x14ac:dyDescent="0.25">
      <c r="A18" s="46" t="s">
        <v>4154</v>
      </c>
      <c r="B18" s="46">
        <v>9</v>
      </c>
      <c r="C18" s="46" t="s">
        <v>68</v>
      </c>
      <c r="D18" s="46" t="s">
        <v>4096</v>
      </c>
      <c r="E18" s="46" t="s">
        <v>4081</v>
      </c>
      <c r="F18" s="52" t="s">
        <v>4040</v>
      </c>
      <c r="G18" s="46" t="s">
        <v>4073</v>
      </c>
      <c r="J18" s="47" t="s">
        <v>4072</v>
      </c>
      <c r="K18" s="46">
        <v>10</v>
      </c>
      <c r="L18" s="46" t="s">
        <v>4097</v>
      </c>
    </row>
    <row r="19" spans="1:16" x14ac:dyDescent="0.25">
      <c r="A19" s="46" t="s">
        <v>4154</v>
      </c>
      <c r="B19" s="46">
        <v>10</v>
      </c>
      <c r="C19" s="46" t="s">
        <v>68</v>
      </c>
      <c r="D19" s="46" t="s">
        <v>4098</v>
      </c>
      <c r="E19" s="46" t="s">
        <v>4081</v>
      </c>
      <c r="F19" s="52" t="s">
        <v>4091</v>
      </c>
      <c r="G19" s="46" t="s">
        <v>4073</v>
      </c>
      <c r="H19" s="46" t="s">
        <v>5</v>
      </c>
      <c r="I19" s="46" t="s">
        <v>4099</v>
      </c>
      <c r="J19" s="47" t="s">
        <v>4072</v>
      </c>
      <c r="K19" s="46">
        <v>11</v>
      </c>
      <c r="L19" s="46" t="s">
        <v>4100</v>
      </c>
    </row>
    <row r="20" spans="1:16" x14ac:dyDescent="0.25">
      <c r="A20" s="46" t="s">
        <v>4154</v>
      </c>
      <c r="B20" s="46">
        <v>11</v>
      </c>
      <c r="C20" s="46" t="s">
        <v>68</v>
      </c>
      <c r="D20" s="46" t="s">
        <v>4101</v>
      </c>
      <c r="E20" s="46" t="s">
        <v>4081</v>
      </c>
      <c r="F20" s="52" t="s">
        <v>4091</v>
      </c>
      <c r="G20" s="46" t="s">
        <v>4073</v>
      </c>
      <c r="H20" s="46" t="s">
        <v>5</v>
      </c>
      <c r="I20" s="46" t="s">
        <v>4102</v>
      </c>
      <c r="J20" s="47" t="s">
        <v>4072</v>
      </c>
      <c r="K20" s="46">
        <v>12</v>
      </c>
      <c r="L20" s="46" t="s">
        <v>4103</v>
      </c>
    </row>
    <row r="21" spans="1:16" x14ac:dyDescent="0.25">
      <c r="A21" s="46" t="s">
        <v>4154</v>
      </c>
      <c r="B21" s="46">
        <v>12</v>
      </c>
      <c r="C21" s="46" t="s">
        <v>68</v>
      </c>
      <c r="D21" s="46" t="s">
        <v>4104</v>
      </c>
      <c r="E21" s="46" t="s">
        <v>4081</v>
      </c>
      <c r="F21" s="52" t="s">
        <v>4087</v>
      </c>
      <c r="G21" s="46" t="s">
        <v>4073</v>
      </c>
      <c r="J21" s="47" t="s">
        <v>4072</v>
      </c>
      <c r="K21" s="46">
        <v>13</v>
      </c>
      <c r="L21" s="46" t="s">
        <v>4105</v>
      </c>
    </row>
    <row r="22" spans="1:16" x14ac:dyDescent="0.25">
      <c r="A22" s="46" t="s">
        <v>4154</v>
      </c>
      <c r="B22" s="46">
        <v>13</v>
      </c>
      <c r="C22" s="46" t="s">
        <v>68</v>
      </c>
      <c r="D22" s="46" t="s">
        <v>3435</v>
      </c>
      <c r="E22" s="46" t="s">
        <v>4081</v>
      </c>
      <c r="F22" s="52" t="s">
        <v>4040</v>
      </c>
      <c r="G22" s="46" t="s">
        <v>4073</v>
      </c>
      <c r="J22" s="47" t="s">
        <v>4072</v>
      </c>
      <c r="K22" s="46">
        <v>14</v>
      </c>
      <c r="L22" s="46" t="s">
        <v>4106</v>
      </c>
    </row>
    <row r="23" spans="1:16" x14ac:dyDescent="0.25">
      <c r="A23" s="46" t="s">
        <v>4154</v>
      </c>
      <c r="B23" s="46">
        <v>14</v>
      </c>
      <c r="C23" s="46" t="s">
        <v>68</v>
      </c>
      <c r="D23" s="46" t="s">
        <v>3436</v>
      </c>
      <c r="E23" s="46" t="s">
        <v>4081</v>
      </c>
      <c r="F23" s="52" t="s">
        <v>4040</v>
      </c>
      <c r="G23" s="46" t="s">
        <v>4073</v>
      </c>
      <c r="J23" s="47" t="s">
        <v>4072</v>
      </c>
      <c r="K23" s="46">
        <v>15</v>
      </c>
      <c r="L23" s="46" t="s">
        <v>4107</v>
      </c>
    </row>
    <row r="24" spans="1:16" x14ac:dyDescent="0.25">
      <c r="A24" s="46" t="s">
        <v>4154</v>
      </c>
      <c r="B24" s="46">
        <v>15</v>
      </c>
      <c r="C24" s="46" t="s">
        <v>68</v>
      </c>
      <c r="D24" s="46" t="s">
        <v>3437</v>
      </c>
      <c r="E24" s="46" t="s">
        <v>7</v>
      </c>
      <c r="F24" s="53" t="s">
        <v>30</v>
      </c>
      <c r="G24" s="46" t="s">
        <v>4073</v>
      </c>
      <c r="H24" s="46" t="s">
        <v>5</v>
      </c>
      <c r="I24" s="46" t="s">
        <v>4108</v>
      </c>
      <c r="J24" s="47" t="s">
        <v>4072</v>
      </c>
      <c r="K24" s="46">
        <v>16</v>
      </c>
      <c r="L24" s="46" t="s">
        <v>4109</v>
      </c>
    </row>
    <row r="25" spans="1:16" x14ac:dyDescent="0.25">
      <c r="A25" s="46" t="s">
        <v>4154</v>
      </c>
      <c r="B25" s="46">
        <v>16</v>
      </c>
      <c r="C25" s="46" t="s">
        <v>68</v>
      </c>
      <c r="D25" s="46" t="s">
        <v>4110</v>
      </c>
      <c r="E25" s="46" t="s">
        <v>4081</v>
      </c>
      <c r="F25" s="52" t="s">
        <v>4082</v>
      </c>
      <c r="G25" s="46" t="s">
        <v>4073</v>
      </c>
      <c r="J25" s="47" t="s">
        <v>4072</v>
      </c>
      <c r="K25" s="46">
        <v>17</v>
      </c>
      <c r="L25" s="46" t="s">
        <v>4111</v>
      </c>
    </row>
    <row r="26" spans="1:16" x14ac:dyDescent="0.25">
      <c r="A26" s="46" t="s">
        <v>4154</v>
      </c>
      <c r="B26" s="46">
        <v>17</v>
      </c>
      <c r="C26" s="46" t="s">
        <v>68</v>
      </c>
      <c r="D26" s="46" t="s">
        <v>4112</v>
      </c>
      <c r="E26" s="46" t="s">
        <v>15</v>
      </c>
      <c r="F26" s="52" t="s">
        <v>4037</v>
      </c>
      <c r="G26" s="46" t="s">
        <v>4073</v>
      </c>
      <c r="J26" s="47" t="s">
        <v>4072</v>
      </c>
      <c r="K26" s="47"/>
      <c r="L26" s="46" t="s">
        <v>4050</v>
      </c>
    </row>
    <row r="28" spans="1:16" x14ac:dyDescent="0.25">
      <c r="A28" s="46" t="s">
        <v>4113</v>
      </c>
    </row>
    <row r="29" spans="1:16" x14ac:dyDescent="0.25">
      <c r="A29" s="41" t="s">
        <v>4057</v>
      </c>
      <c r="B29" s="41" t="s">
        <v>4058</v>
      </c>
      <c r="C29" s="41" t="s">
        <v>4059</v>
      </c>
      <c r="D29" s="41" t="s">
        <v>4060</v>
      </c>
      <c r="E29" s="41" t="s">
        <v>4061</v>
      </c>
      <c r="F29" s="41" t="s">
        <v>4062</v>
      </c>
      <c r="G29" s="41" t="s">
        <v>4063</v>
      </c>
      <c r="H29" s="41" t="s">
        <v>4064</v>
      </c>
      <c r="I29" s="41" t="s">
        <v>4065</v>
      </c>
      <c r="J29" s="42" t="s">
        <v>4066</v>
      </c>
      <c r="K29" s="42" t="s">
        <v>4067</v>
      </c>
      <c r="L29" s="41" t="s">
        <v>66</v>
      </c>
      <c r="M29" s="41" t="s">
        <v>4068</v>
      </c>
      <c r="N29" s="41" t="s">
        <v>4069</v>
      </c>
      <c r="O29" s="41" t="s">
        <v>4070</v>
      </c>
      <c r="P29" s="41" t="s">
        <v>4071</v>
      </c>
    </row>
    <row r="30" spans="1:16" x14ac:dyDescent="0.25">
      <c r="A30" s="46" t="s">
        <v>4072</v>
      </c>
      <c r="B30" s="46">
        <v>2</v>
      </c>
      <c r="C30" s="46" t="s">
        <v>68</v>
      </c>
      <c r="D30" s="46" t="s">
        <v>4114</v>
      </c>
      <c r="E30" s="46" t="s">
        <v>7</v>
      </c>
      <c r="F30" s="52" t="s">
        <v>4115</v>
      </c>
      <c r="G30" s="46" t="s">
        <v>4073</v>
      </c>
      <c r="H30" s="46" t="s">
        <v>4077</v>
      </c>
      <c r="J30" s="55" t="s">
        <v>4072</v>
      </c>
      <c r="K30" s="47">
        <v>5</v>
      </c>
      <c r="L30" s="46" t="s">
        <v>4116</v>
      </c>
      <c r="O30" s="46" t="s">
        <v>4077</v>
      </c>
      <c r="P30" s="46" t="s">
        <v>4077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F6B69-5DBA-4A57-9167-CB987B4C3C4E}">
  <dimension ref="A1:P34"/>
  <sheetViews>
    <sheetView workbookViewId="0">
      <selection activeCell="H34" sqref="H34"/>
    </sheetView>
  </sheetViews>
  <sheetFormatPr baseColWidth="10" defaultColWidth="11.42578125" defaultRowHeight="15" x14ac:dyDescent="0.25"/>
  <cols>
    <col min="1" max="1" width="12.5703125" style="46" customWidth="1"/>
    <col min="2" max="3" width="11.42578125" style="46"/>
    <col min="4" max="4" width="21.85546875" style="46" customWidth="1"/>
    <col min="5" max="5" width="15.5703125" style="46" customWidth="1"/>
    <col min="6" max="6" width="14.7109375" style="46" customWidth="1"/>
    <col min="7" max="7" width="18.85546875" style="46" customWidth="1"/>
    <col min="8" max="8" width="17" style="46" customWidth="1"/>
    <col min="9" max="9" width="15.85546875" style="46" customWidth="1"/>
    <col min="10" max="10" width="11.42578125" style="46"/>
    <col min="11" max="11" width="32.7109375" style="46" customWidth="1"/>
    <col min="12" max="12" width="17.85546875" style="46" customWidth="1"/>
    <col min="13" max="13" width="25.7109375" style="46" customWidth="1"/>
    <col min="14" max="14" width="21.85546875" style="46" customWidth="1"/>
    <col min="15" max="15" width="28.140625" style="46" customWidth="1"/>
    <col min="16" max="16384" width="11.42578125" style="46"/>
  </cols>
  <sheetData>
    <row r="1" spans="1:16" x14ac:dyDescent="0.25">
      <c r="A1" s="1" t="s">
        <v>12</v>
      </c>
      <c r="B1" s="28" t="s">
        <v>4155</v>
      </c>
      <c r="J1" s="47"/>
      <c r="K1" s="47"/>
    </row>
    <row r="2" spans="1:16" x14ac:dyDescent="0.25">
      <c r="A2" s="1" t="s">
        <v>4023</v>
      </c>
      <c r="B2" s="28" t="s">
        <v>4024</v>
      </c>
      <c r="J2" s="47"/>
      <c r="K2" s="47"/>
    </row>
    <row r="3" spans="1:16" x14ac:dyDescent="0.25">
      <c r="A3" s="1" t="s">
        <v>0</v>
      </c>
      <c r="B3" s="28" t="s">
        <v>4156</v>
      </c>
      <c r="J3" s="47"/>
      <c r="K3" s="47"/>
    </row>
    <row r="4" spans="1:16" x14ac:dyDescent="0.25">
      <c r="A4" s="1" t="s">
        <v>1</v>
      </c>
      <c r="B4" s="28" t="s">
        <v>4157</v>
      </c>
      <c r="J4" s="47"/>
      <c r="K4" s="47"/>
    </row>
    <row r="5" spans="1:16" x14ac:dyDescent="0.25">
      <c r="A5" s="48"/>
      <c r="J5" s="47"/>
      <c r="K5" s="47"/>
    </row>
    <row r="6" spans="1:16" x14ac:dyDescent="0.25">
      <c r="A6" s="48"/>
      <c r="J6" s="47"/>
      <c r="K6" s="47"/>
    </row>
    <row r="7" spans="1:16" x14ac:dyDescent="0.25">
      <c r="A7" s="49" t="s">
        <v>4117</v>
      </c>
      <c r="J7" s="47"/>
      <c r="K7" s="47"/>
    </row>
    <row r="8" spans="1:16" x14ac:dyDescent="0.25">
      <c r="J8" s="47"/>
      <c r="K8" s="47"/>
    </row>
    <row r="9" spans="1:16" x14ac:dyDescent="0.25">
      <c r="A9" s="39" t="s">
        <v>4057</v>
      </c>
      <c r="B9" s="39" t="s">
        <v>4058</v>
      </c>
      <c r="C9" s="39" t="s">
        <v>4059</v>
      </c>
      <c r="D9" s="39" t="s">
        <v>4060</v>
      </c>
      <c r="E9" s="39" t="s">
        <v>4061</v>
      </c>
      <c r="F9" s="39" t="s">
        <v>4062</v>
      </c>
      <c r="G9" s="39" t="s">
        <v>4063</v>
      </c>
      <c r="H9" s="39" t="s">
        <v>4064</v>
      </c>
      <c r="I9" s="39" t="s">
        <v>4065</v>
      </c>
      <c r="J9" s="40" t="s">
        <v>4066</v>
      </c>
      <c r="K9" s="40" t="s">
        <v>4067</v>
      </c>
      <c r="L9" s="39" t="s">
        <v>66</v>
      </c>
      <c r="M9" s="39" t="s">
        <v>4068</v>
      </c>
      <c r="N9" s="39" t="s">
        <v>4069</v>
      </c>
      <c r="O9" s="39" t="s">
        <v>4070</v>
      </c>
      <c r="P9" s="39" t="s">
        <v>4071</v>
      </c>
    </row>
    <row r="10" spans="1:16" s="51" customFormat="1" x14ac:dyDescent="0.25">
      <c r="A10" s="46" t="s">
        <v>4158</v>
      </c>
      <c r="B10" s="46">
        <v>1</v>
      </c>
      <c r="C10" s="46" t="s">
        <v>4073</v>
      </c>
      <c r="D10" s="46" t="s">
        <v>3403</v>
      </c>
      <c r="E10" s="46" t="s">
        <v>15</v>
      </c>
      <c r="F10" s="52" t="s">
        <v>4037</v>
      </c>
      <c r="G10" s="46" t="s">
        <v>4073</v>
      </c>
      <c r="H10" s="46"/>
      <c r="I10" s="46"/>
      <c r="J10" s="47" t="s">
        <v>4118</v>
      </c>
      <c r="K10" s="46">
        <v>2</v>
      </c>
      <c r="L10" s="46" t="s">
        <v>4119</v>
      </c>
      <c r="M10" s="46"/>
      <c r="N10" s="46"/>
      <c r="O10" s="46" t="s">
        <v>4077</v>
      </c>
      <c r="P10" s="46" t="s">
        <v>4077</v>
      </c>
    </row>
    <row r="11" spans="1:16" x14ac:dyDescent="0.25">
      <c r="A11" s="46" t="s">
        <v>4158</v>
      </c>
      <c r="B11" s="46">
        <v>2</v>
      </c>
      <c r="C11" s="46" t="s">
        <v>4073</v>
      </c>
      <c r="D11" s="46" t="s">
        <v>4120</v>
      </c>
      <c r="E11" s="46" t="s">
        <v>15</v>
      </c>
      <c r="F11" s="52" t="s">
        <v>4037</v>
      </c>
      <c r="G11" s="46" t="s">
        <v>4073</v>
      </c>
      <c r="J11" s="47" t="s">
        <v>4118</v>
      </c>
      <c r="K11" s="46">
        <v>3</v>
      </c>
      <c r="L11" s="46" t="s">
        <v>4121</v>
      </c>
    </row>
    <row r="12" spans="1:16" x14ac:dyDescent="0.25">
      <c r="A12" s="46" t="s">
        <v>4158</v>
      </c>
      <c r="B12" s="46">
        <v>3</v>
      </c>
      <c r="C12" s="46" t="s">
        <v>4073</v>
      </c>
      <c r="D12" s="46" t="s">
        <v>32</v>
      </c>
      <c r="E12" s="46" t="s">
        <v>7</v>
      </c>
      <c r="F12" s="53" t="s">
        <v>3192</v>
      </c>
      <c r="G12" s="46" t="s">
        <v>4073</v>
      </c>
      <c r="J12" s="47" t="s">
        <v>4118</v>
      </c>
      <c r="K12" s="46">
        <v>4</v>
      </c>
      <c r="L12" s="46" t="s">
        <v>4122</v>
      </c>
    </row>
    <row r="13" spans="1:16" x14ac:dyDescent="0.25">
      <c r="A13" s="46" t="s">
        <v>4158</v>
      </c>
      <c r="B13" s="46">
        <v>4</v>
      </c>
      <c r="C13" s="46" t="s">
        <v>68</v>
      </c>
      <c r="D13" s="46" t="s">
        <v>4123</v>
      </c>
      <c r="E13" s="46" t="s">
        <v>4081</v>
      </c>
      <c r="F13" s="53" t="s">
        <v>4082</v>
      </c>
      <c r="G13" s="46" t="s">
        <v>4073</v>
      </c>
      <c r="J13" s="47" t="s">
        <v>4118</v>
      </c>
      <c r="K13" s="46">
        <v>5</v>
      </c>
      <c r="L13" s="46" t="s">
        <v>4124</v>
      </c>
      <c r="P13" s="46" t="s">
        <v>4077</v>
      </c>
    </row>
    <row r="14" spans="1:16" x14ac:dyDescent="0.25">
      <c r="A14" s="46" t="s">
        <v>4158</v>
      </c>
      <c r="B14" s="46">
        <v>5</v>
      </c>
      <c r="C14" s="46" t="s">
        <v>68</v>
      </c>
      <c r="D14" s="46" t="s">
        <v>4125</v>
      </c>
      <c r="E14" s="46" t="s">
        <v>7</v>
      </c>
      <c r="F14" s="53" t="s">
        <v>18</v>
      </c>
      <c r="G14" s="46" t="s">
        <v>4073</v>
      </c>
      <c r="H14" s="46" t="s">
        <v>5</v>
      </c>
      <c r="I14" s="46" t="s">
        <v>4126</v>
      </c>
      <c r="J14" s="47" t="s">
        <v>4118</v>
      </c>
      <c r="K14" s="46">
        <v>6</v>
      </c>
      <c r="L14" s="46" t="s">
        <v>4127</v>
      </c>
      <c r="P14" s="46" t="s">
        <v>4077</v>
      </c>
    </row>
    <row r="15" spans="1:16" x14ac:dyDescent="0.25">
      <c r="A15" s="46" t="s">
        <v>4158</v>
      </c>
      <c r="B15" s="46">
        <v>6</v>
      </c>
      <c r="C15" s="46" t="s">
        <v>68</v>
      </c>
      <c r="D15" s="46" t="s">
        <v>4078</v>
      </c>
      <c r="E15" s="46" t="s">
        <v>7</v>
      </c>
      <c r="F15" s="53" t="s">
        <v>21</v>
      </c>
      <c r="G15" s="46" t="s">
        <v>4073</v>
      </c>
      <c r="H15" s="46" t="s">
        <v>5</v>
      </c>
      <c r="I15" s="46" t="s">
        <v>4128</v>
      </c>
      <c r="J15" s="47" t="s">
        <v>4118</v>
      </c>
      <c r="K15" s="46">
        <v>7</v>
      </c>
      <c r="L15" s="46" t="s">
        <v>4079</v>
      </c>
    </row>
    <row r="16" spans="1:16" x14ac:dyDescent="0.25">
      <c r="A16" s="46" t="s">
        <v>4158</v>
      </c>
      <c r="B16" s="46">
        <v>7</v>
      </c>
      <c r="C16" s="46" t="s">
        <v>68</v>
      </c>
      <c r="D16" s="46" t="s">
        <v>15</v>
      </c>
      <c r="E16" s="46" t="s">
        <v>15</v>
      </c>
      <c r="F16" s="52" t="s">
        <v>4037</v>
      </c>
      <c r="G16" s="46" t="s">
        <v>4073</v>
      </c>
      <c r="J16" s="47" t="s">
        <v>4118</v>
      </c>
      <c r="K16" s="46">
        <v>8</v>
      </c>
      <c r="L16" s="46" t="s">
        <v>4129</v>
      </c>
    </row>
    <row r="17" spans="1:16" x14ac:dyDescent="0.25">
      <c r="A17" s="46" t="s">
        <v>4158</v>
      </c>
      <c r="B17" s="46">
        <v>8</v>
      </c>
      <c r="C17" s="46" t="s">
        <v>68</v>
      </c>
      <c r="D17" s="46" t="s">
        <v>4130</v>
      </c>
      <c r="E17" s="46" t="s">
        <v>4081</v>
      </c>
      <c r="F17" s="52" t="s">
        <v>4131</v>
      </c>
      <c r="G17" s="46" t="s">
        <v>68</v>
      </c>
      <c r="J17" s="47" t="s">
        <v>4118</v>
      </c>
      <c r="K17" s="46">
        <v>9</v>
      </c>
      <c r="L17" s="46" t="s">
        <v>4132</v>
      </c>
    </row>
    <row r="18" spans="1:16" x14ac:dyDescent="0.25">
      <c r="A18" s="46" t="s">
        <v>4158</v>
      </c>
      <c r="B18" s="46">
        <v>9</v>
      </c>
      <c r="C18" s="46" t="s">
        <v>68</v>
      </c>
      <c r="D18" s="46" t="s">
        <v>4133</v>
      </c>
      <c r="E18" s="46" t="s">
        <v>7</v>
      </c>
      <c r="F18" s="53" t="s">
        <v>29</v>
      </c>
      <c r="G18" s="46" t="s">
        <v>68</v>
      </c>
      <c r="H18" s="46" t="s">
        <v>5</v>
      </c>
      <c r="I18" s="46" t="s">
        <v>4134</v>
      </c>
      <c r="J18" s="47" t="s">
        <v>4118</v>
      </c>
      <c r="K18" s="46">
        <v>10</v>
      </c>
      <c r="L18" s="46" t="s">
        <v>4135</v>
      </c>
    </row>
    <row r="19" spans="1:16" x14ac:dyDescent="0.25">
      <c r="A19" s="46" t="s">
        <v>4158</v>
      </c>
      <c r="B19" s="46">
        <v>10</v>
      </c>
      <c r="C19" s="46" t="s">
        <v>68</v>
      </c>
      <c r="D19" s="46" t="s">
        <v>4136</v>
      </c>
      <c r="E19" s="46" t="s">
        <v>4081</v>
      </c>
      <c r="F19" s="52" t="s">
        <v>4041</v>
      </c>
      <c r="G19" s="46" t="s">
        <v>4073</v>
      </c>
      <c r="J19" s="47" t="s">
        <v>4118</v>
      </c>
      <c r="K19" s="46">
        <v>11</v>
      </c>
      <c r="L19" s="46" t="s">
        <v>4137</v>
      </c>
    </row>
    <row r="20" spans="1:16" x14ac:dyDescent="0.25">
      <c r="A20" s="46" t="s">
        <v>4158</v>
      </c>
      <c r="B20" s="46">
        <v>11</v>
      </c>
      <c r="C20" s="46" t="s">
        <v>68</v>
      </c>
      <c r="D20" s="46" t="s">
        <v>4138</v>
      </c>
      <c r="E20" s="46" t="s">
        <v>4081</v>
      </c>
      <c r="F20" s="52" t="s">
        <v>4082</v>
      </c>
      <c r="G20" s="46" t="s">
        <v>4073</v>
      </c>
      <c r="H20" s="46" t="s">
        <v>5</v>
      </c>
      <c r="I20" s="54" t="s">
        <v>4094</v>
      </c>
      <c r="J20" s="47" t="s">
        <v>4118</v>
      </c>
      <c r="K20" s="46">
        <v>12</v>
      </c>
      <c r="L20" s="46" t="s">
        <v>4139</v>
      </c>
    </row>
    <row r="21" spans="1:16" x14ac:dyDescent="0.25">
      <c r="A21" s="46" t="s">
        <v>4158</v>
      </c>
      <c r="B21" s="46">
        <v>12</v>
      </c>
      <c r="C21" s="46" t="s">
        <v>68</v>
      </c>
      <c r="D21" s="46" t="s">
        <v>4140</v>
      </c>
      <c r="E21" s="46" t="s">
        <v>4081</v>
      </c>
      <c r="F21" s="52" t="s">
        <v>4041</v>
      </c>
      <c r="G21" s="46" t="s">
        <v>4073</v>
      </c>
      <c r="J21" s="47" t="s">
        <v>4118</v>
      </c>
      <c r="K21" s="46">
        <v>13</v>
      </c>
      <c r="L21" s="46" t="s">
        <v>4141</v>
      </c>
    </row>
    <row r="22" spans="1:16" x14ac:dyDescent="0.25">
      <c r="A22" s="46" t="s">
        <v>4158</v>
      </c>
      <c r="B22" s="46">
        <v>13</v>
      </c>
      <c r="C22" s="46" t="s">
        <v>68</v>
      </c>
      <c r="D22" s="46" t="s">
        <v>4142</v>
      </c>
      <c r="E22" s="46" t="s">
        <v>4081</v>
      </c>
      <c r="F22" s="52" t="s">
        <v>4082</v>
      </c>
      <c r="G22" s="46" t="s">
        <v>4073</v>
      </c>
      <c r="H22" s="46" t="s">
        <v>5</v>
      </c>
      <c r="I22" s="54" t="s">
        <v>4094</v>
      </c>
      <c r="J22" s="47" t="s">
        <v>4118</v>
      </c>
      <c r="K22" s="46">
        <v>14</v>
      </c>
      <c r="L22" s="46" t="s">
        <v>4143</v>
      </c>
    </row>
    <row r="23" spans="1:16" x14ac:dyDescent="0.25">
      <c r="A23" s="46" t="s">
        <v>4158</v>
      </c>
      <c r="B23" s="46">
        <v>14</v>
      </c>
      <c r="C23" s="46" t="s">
        <v>68</v>
      </c>
      <c r="D23" s="46" t="s">
        <v>4144</v>
      </c>
      <c r="E23" s="46" t="s">
        <v>4081</v>
      </c>
      <c r="F23" s="52" t="s">
        <v>4041</v>
      </c>
      <c r="G23" s="46" t="s">
        <v>4073</v>
      </c>
      <c r="J23" s="47" t="s">
        <v>4118</v>
      </c>
      <c r="K23" s="46">
        <v>15</v>
      </c>
      <c r="L23" s="46" t="s">
        <v>4145</v>
      </c>
    </row>
    <row r="24" spans="1:16" x14ac:dyDescent="0.25">
      <c r="A24" s="46" t="s">
        <v>4158</v>
      </c>
      <c r="B24" s="46">
        <v>15</v>
      </c>
      <c r="C24" s="46" t="s">
        <v>68</v>
      </c>
      <c r="D24" s="46" t="s">
        <v>4146</v>
      </c>
      <c r="E24" s="46" t="s">
        <v>4081</v>
      </c>
      <c r="F24" s="53" t="s">
        <v>4082</v>
      </c>
      <c r="G24" s="46" t="s">
        <v>4073</v>
      </c>
      <c r="H24" s="46" t="s">
        <v>5</v>
      </c>
      <c r="I24" s="54" t="s">
        <v>4051</v>
      </c>
      <c r="J24" s="47" t="s">
        <v>4118</v>
      </c>
      <c r="K24" s="46">
        <v>16</v>
      </c>
      <c r="L24" s="46" t="s">
        <v>4147</v>
      </c>
    </row>
    <row r="25" spans="1:16" x14ac:dyDescent="0.25">
      <c r="A25" s="46" t="s">
        <v>4158</v>
      </c>
      <c r="B25" s="46">
        <v>16</v>
      </c>
      <c r="C25" s="46" t="s">
        <v>68</v>
      </c>
      <c r="D25" s="46" t="s">
        <v>4038</v>
      </c>
      <c r="E25" s="46" t="s">
        <v>4081</v>
      </c>
      <c r="F25" s="52" t="s">
        <v>4041</v>
      </c>
      <c r="G25" s="46" t="s">
        <v>4073</v>
      </c>
      <c r="J25" s="47" t="s">
        <v>4118</v>
      </c>
      <c r="K25" s="46">
        <v>17</v>
      </c>
      <c r="L25" s="46" t="s">
        <v>4148</v>
      </c>
    </row>
    <row r="26" spans="1:16" x14ac:dyDescent="0.25">
      <c r="A26" s="46" t="s">
        <v>4158</v>
      </c>
      <c r="B26" s="46">
        <v>17</v>
      </c>
      <c r="C26" s="46" t="s">
        <v>68</v>
      </c>
      <c r="D26" s="46" t="s">
        <v>4112</v>
      </c>
      <c r="E26" s="46" t="s">
        <v>15</v>
      </c>
      <c r="F26" s="52" t="s">
        <v>4037</v>
      </c>
      <c r="G26" s="46" t="s">
        <v>4073</v>
      </c>
      <c r="J26" s="47" t="s">
        <v>4118</v>
      </c>
      <c r="K26" s="47"/>
      <c r="L26" s="46" t="s">
        <v>4050</v>
      </c>
    </row>
    <row r="29" spans="1:16" x14ac:dyDescent="0.25">
      <c r="A29" s="46" t="s">
        <v>4113</v>
      </c>
    </row>
    <row r="30" spans="1:16" x14ac:dyDescent="0.25">
      <c r="A30" s="41" t="s">
        <v>4057</v>
      </c>
      <c r="B30" s="41" t="s">
        <v>4058</v>
      </c>
      <c r="C30" s="41" t="s">
        <v>4059</v>
      </c>
      <c r="D30" s="41" t="s">
        <v>4060</v>
      </c>
      <c r="E30" s="41" t="s">
        <v>4061</v>
      </c>
      <c r="F30" s="41" t="s">
        <v>4062</v>
      </c>
      <c r="G30" s="41" t="s">
        <v>4063</v>
      </c>
      <c r="H30" s="41" t="s">
        <v>4064</v>
      </c>
      <c r="I30" s="41" t="s">
        <v>4065</v>
      </c>
      <c r="J30" s="42" t="s">
        <v>4066</v>
      </c>
      <c r="K30" s="42" t="s">
        <v>4067</v>
      </c>
      <c r="L30" s="41" t="s">
        <v>66</v>
      </c>
      <c r="M30" s="41" t="s">
        <v>4068</v>
      </c>
      <c r="N30" s="41" t="s">
        <v>4069</v>
      </c>
      <c r="O30" s="41" t="s">
        <v>4070</v>
      </c>
      <c r="P30" s="41" t="s">
        <v>4071</v>
      </c>
    </row>
    <row r="31" spans="1:16" x14ac:dyDescent="0.25">
      <c r="A31" s="46" t="s">
        <v>4072</v>
      </c>
      <c r="B31" s="46">
        <v>1</v>
      </c>
      <c r="C31" s="46" t="s">
        <v>68</v>
      </c>
      <c r="D31" s="46" t="s">
        <v>4114</v>
      </c>
      <c r="E31" s="46" t="s">
        <v>7</v>
      </c>
      <c r="F31" s="52" t="s">
        <v>4115</v>
      </c>
      <c r="G31" s="46" t="s">
        <v>4073</v>
      </c>
      <c r="H31" s="46" t="s">
        <v>4077</v>
      </c>
      <c r="J31" s="55" t="s">
        <v>4118</v>
      </c>
      <c r="K31" s="47">
        <v>1</v>
      </c>
      <c r="L31" s="46" t="s">
        <v>4116</v>
      </c>
      <c r="O31" s="46" t="s">
        <v>4077</v>
      </c>
      <c r="P31" s="46" t="s">
        <v>4077</v>
      </c>
    </row>
    <row r="32" spans="1:16" x14ac:dyDescent="0.25">
      <c r="A32" s="46" t="s">
        <v>4072</v>
      </c>
      <c r="B32" s="46">
        <v>2</v>
      </c>
      <c r="C32" s="46" t="s">
        <v>68</v>
      </c>
      <c r="D32" s="56" t="s">
        <v>4149</v>
      </c>
      <c r="E32" s="46" t="s">
        <v>7</v>
      </c>
      <c r="F32" s="52" t="s">
        <v>4115</v>
      </c>
      <c r="G32" s="46" t="s">
        <v>4073</v>
      </c>
      <c r="H32" s="46" t="s">
        <v>4077</v>
      </c>
      <c r="J32" s="55" t="s">
        <v>4118</v>
      </c>
      <c r="K32" s="47">
        <v>18</v>
      </c>
      <c r="L32" s="46" t="s">
        <v>4150</v>
      </c>
      <c r="O32" s="46" t="s">
        <v>4077</v>
      </c>
      <c r="P32" s="46" t="s">
        <v>4077</v>
      </c>
    </row>
    <row r="34" spans="11:11" x14ac:dyDescent="0.25">
      <c r="K34" s="57"/>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533"/>
  <sheetViews>
    <sheetView zoomScale="85" zoomScaleNormal="85" workbookViewId="0"/>
  </sheetViews>
  <sheetFormatPr baseColWidth="10" defaultColWidth="8.7109375" defaultRowHeight="15" x14ac:dyDescent="0.25"/>
  <cols>
    <col min="1" max="1" width="24.140625" bestFit="1" customWidth="1"/>
    <col min="2" max="2" width="90.5703125" customWidth="1"/>
    <col min="5" max="5" width="9.140625" style="16"/>
    <col min="257" max="257" width="16.140625" customWidth="1"/>
    <col min="258" max="258" width="66.85546875" customWidth="1"/>
    <col min="513" max="513" width="16.140625" customWidth="1"/>
    <col min="514" max="514" width="66.85546875" customWidth="1"/>
    <col min="769" max="769" width="16.140625" customWidth="1"/>
    <col min="770" max="770" width="66.85546875" customWidth="1"/>
    <col min="1025" max="1025" width="16.140625" customWidth="1"/>
    <col min="1026" max="1026" width="66.85546875" customWidth="1"/>
    <col min="1281" max="1281" width="16.140625" customWidth="1"/>
    <col min="1282" max="1282" width="66.85546875" customWidth="1"/>
    <col min="1537" max="1537" width="16.140625" customWidth="1"/>
    <col min="1538" max="1538" width="66.85546875" customWidth="1"/>
    <col min="1793" max="1793" width="16.140625" customWidth="1"/>
    <col min="1794" max="1794" width="66.85546875" customWidth="1"/>
    <col min="2049" max="2049" width="16.140625" customWidth="1"/>
    <col min="2050" max="2050" width="66.85546875" customWidth="1"/>
    <col min="2305" max="2305" width="16.140625" customWidth="1"/>
    <col min="2306" max="2306" width="66.85546875" customWidth="1"/>
    <col min="2561" max="2561" width="16.140625" customWidth="1"/>
    <col min="2562" max="2562" width="66.85546875" customWidth="1"/>
    <col min="2817" max="2817" width="16.140625" customWidth="1"/>
    <col min="2818" max="2818" width="66.85546875" customWidth="1"/>
    <col min="3073" max="3073" width="16.140625" customWidth="1"/>
    <col min="3074" max="3074" width="66.85546875" customWidth="1"/>
    <col min="3329" max="3329" width="16.140625" customWidth="1"/>
    <col min="3330" max="3330" width="66.85546875" customWidth="1"/>
    <col min="3585" max="3585" width="16.140625" customWidth="1"/>
    <col min="3586" max="3586" width="66.85546875" customWidth="1"/>
    <col min="3841" max="3841" width="16.140625" customWidth="1"/>
    <col min="3842" max="3842" width="66.85546875" customWidth="1"/>
    <col min="4097" max="4097" width="16.140625" customWidth="1"/>
    <col min="4098" max="4098" width="66.85546875" customWidth="1"/>
    <col min="4353" max="4353" width="16.140625" customWidth="1"/>
    <col min="4354" max="4354" width="66.85546875" customWidth="1"/>
    <col min="4609" max="4609" width="16.140625" customWidth="1"/>
    <col min="4610" max="4610" width="66.85546875" customWidth="1"/>
    <col min="4865" max="4865" width="16.140625" customWidth="1"/>
    <col min="4866" max="4866" width="66.85546875" customWidth="1"/>
    <col min="5121" max="5121" width="16.140625" customWidth="1"/>
    <col min="5122" max="5122" width="66.85546875" customWidth="1"/>
    <col min="5377" max="5377" width="16.140625" customWidth="1"/>
    <col min="5378" max="5378" width="66.85546875" customWidth="1"/>
    <col min="5633" max="5633" width="16.140625" customWidth="1"/>
    <col min="5634" max="5634" width="66.85546875" customWidth="1"/>
    <col min="5889" max="5889" width="16.140625" customWidth="1"/>
    <col min="5890" max="5890" width="66.85546875" customWidth="1"/>
    <col min="6145" max="6145" width="16.140625" customWidth="1"/>
    <col min="6146" max="6146" width="66.85546875" customWidth="1"/>
    <col min="6401" max="6401" width="16.140625" customWidth="1"/>
    <col min="6402" max="6402" width="66.85546875" customWidth="1"/>
    <col min="6657" max="6657" width="16.140625" customWidth="1"/>
    <col min="6658" max="6658" width="66.85546875" customWidth="1"/>
    <col min="6913" max="6913" width="16.140625" customWidth="1"/>
    <col min="6914" max="6914" width="66.85546875" customWidth="1"/>
    <col min="7169" max="7169" width="16.140625" customWidth="1"/>
    <col min="7170" max="7170" width="66.85546875" customWidth="1"/>
    <col min="7425" max="7425" width="16.140625" customWidth="1"/>
    <col min="7426" max="7426" width="66.85546875" customWidth="1"/>
    <col min="7681" max="7681" width="16.140625" customWidth="1"/>
    <col min="7682" max="7682" width="66.85546875" customWidth="1"/>
    <col min="7937" max="7937" width="16.140625" customWidth="1"/>
    <col min="7938" max="7938" width="66.85546875" customWidth="1"/>
    <col min="8193" max="8193" width="16.140625" customWidth="1"/>
    <col min="8194" max="8194" width="66.85546875" customWidth="1"/>
    <col min="8449" max="8449" width="16.140625" customWidth="1"/>
    <col min="8450" max="8450" width="66.85546875" customWidth="1"/>
    <col min="8705" max="8705" width="16.140625" customWidth="1"/>
    <col min="8706" max="8706" width="66.85546875" customWidth="1"/>
    <col min="8961" max="8961" width="16.140625" customWidth="1"/>
    <col min="8962" max="8962" width="66.85546875" customWidth="1"/>
    <col min="9217" max="9217" width="16.140625" customWidth="1"/>
    <col min="9218" max="9218" width="66.85546875" customWidth="1"/>
    <col min="9473" max="9473" width="16.140625" customWidth="1"/>
    <col min="9474" max="9474" width="66.85546875" customWidth="1"/>
    <col min="9729" max="9729" width="16.140625" customWidth="1"/>
    <col min="9730" max="9730" width="66.85546875" customWidth="1"/>
    <col min="9985" max="9985" width="16.140625" customWidth="1"/>
    <col min="9986" max="9986" width="66.85546875" customWidth="1"/>
    <col min="10241" max="10241" width="16.140625" customWidth="1"/>
    <col min="10242" max="10242" width="66.85546875" customWidth="1"/>
    <col min="10497" max="10497" width="16.140625" customWidth="1"/>
    <col min="10498" max="10498" width="66.85546875" customWidth="1"/>
    <col min="10753" max="10753" width="16.140625" customWidth="1"/>
    <col min="10754" max="10754" width="66.85546875" customWidth="1"/>
    <col min="11009" max="11009" width="16.140625" customWidth="1"/>
    <col min="11010" max="11010" width="66.85546875" customWidth="1"/>
    <col min="11265" max="11265" width="16.140625" customWidth="1"/>
    <col min="11266" max="11266" width="66.85546875" customWidth="1"/>
    <col min="11521" max="11521" width="16.140625" customWidth="1"/>
    <col min="11522" max="11522" width="66.85546875" customWidth="1"/>
    <col min="11777" max="11777" width="16.140625" customWidth="1"/>
    <col min="11778" max="11778" width="66.85546875" customWidth="1"/>
    <col min="12033" max="12033" width="16.140625" customWidth="1"/>
    <col min="12034" max="12034" width="66.85546875" customWidth="1"/>
    <col min="12289" max="12289" width="16.140625" customWidth="1"/>
    <col min="12290" max="12290" width="66.85546875" customWidth="1"/>
    <col min="12545" max="12545" width="16.140625" customWidth="1"/>
    <col min="12546" max="12546" width="66.85546875" customWidth="1"/>
    <col min="12801" max="12801" width="16.140625" customWidth="1"/>
    <col min="12802" max="12802" width="66.85546875" customWidth="1"/>
    <col min="13057" max="13057" width="16.140625" customWidth="1"/>
    <col min="13058" max="13058" width="66.85546875" customWidth="1"/>
    <col min="13313" max="13313" width="16.140625" customWidth="1"/>
    <col min="13314" max="13314" width="66.85546875" customWidth="1"/>
    <col min="13569" max="13569" width="16.140625" customWidth="1"/>
    <col min="13570" max="13570" width="66.85546875" customWidth="1"/>
    <col min="13825" max="13825" width="16.140625" customWidth="1"/>
    <col min="13826" max="13826" width="66.85546875" customWidth="1"/>
    <col min="14081" max="14081" width="16.140625" customWidth="1"/>
    <col min="14082" max="14082" width="66.85546875" customWidth="1"/>
    <col min="14337" max="14337" width="16.140625" customWidth="1"/>
    <col min="14338" max="14338" width="66.85546875" customWidth="1"/>
    <col min="14593" max="14593" width="16.140625" customWidth="1"/>
    <col min="14594" max="14594" width="66.85546875" customWidth="1"/>
    <col min="14849" max="14849" width="16.140625" customWidth="1"/>
    <col min="14850" max="14850" width="66.85546875" customWidth="1"/>
    <col min="15105" max="15105" width="16.140625" customWidth="1"/>
    <col min="15106" max="15106" width="66.85546875" customWidth="1"/>
    <col min="15361" max="15361" width="16.140625" customWidth="1"/>
    <col min="15362" max="15362" width="66.85546875" customWidth="1"/>
    <col min="15617" max="15617" width="16.140625" customWidth="1"/>
    <col min="15618" max="15618" width="66.85546875" customWidth="1"/>
    <col min="15873" max="15873" width="16.140625" customWidth="1"/>
    <col min="15874" max="15874" width="66.85546875" customWidth="1"/>
    <col min="16129" max="16129" width="16.140625" customWidth="1"/>
    <col min="16130" max="16130" width="66.85546875" customWidth="1"/>
  </cols>
  <sheetData>
    <row r="1" spans="1:5" ht="18.75" x14ac:dyDescent="0.3">
      <c r="A1" s="9" t="s">
        <v>61</v>
      </c>
      <c r="B1" s="9"/>
      <c r="C1" s="7" t="s">
        <v>64</v>
      </c>
      <c r="E1" s="16">
        <v>1</v>
      </c>
    </row>
    <row r="2" spans="1:5" x14ac:dyDescent="0.25">
      <c r="A2" s="10" t="s">
        <v>65</v>
      </c>
      <c r="B2" s="10" t="s">
        <v>66</v>
      </c>
    </row>
    <row r="3" spans="1:5" x14ac:dyDescent="0.25">
      <c r="A3" t="s">
        <v>67</v>
      </c>
      <c r="B3" t="s">
        <v>68</v>
      </c>
    </row>
    <row r="4" spans="1:5" x14ac:dyDescent="0.25">
      <c r="A4" t="s">
        <v>69</v>
      </c>
      <c r="B4" t="s">
        <v>70</v>
      </c>
    </row>
    <row r="6" spans="1:5" ht="18.75" x14ac:dyDescent="0.3">
      <c r="A6" s="9" t="s">
        <v>40</v>
      </c>
      <c r="B6" s="9"/>
      <c r="C6" s="7" t="s">
        <v>64</v>
      </c>
      <c r="E6" s="16">
        <v>2</v>
      </c>
    </row>
    <row r="7" spans="1:5" x14ac:dyDescent="0.25">
      <c r="A7" s="10" t="s">
        <v>65</v>
      </c>
      <c r="B7" s="10" t="s">
        <v>66</v>
      </c>
    </row>
    <row r="8" spans="1:5" x14ac:dyDescent="0.25">
      <c r="A8" s="11" t="s">
        <v>71</v>
      </c>
      <c r="B8" s="11" t="s">
        <v>72</v>
      </c>
      <c r="C8" s="8"/>
    </row>
    <row r="9" spans="1:5" x14ac:dyDescent="0.25">
      <c r="A9" s="11" t="s">
        <v>73</v>
      </c>
      <c r="B9" s="11" t="s">
        <v>74</v>
      </c>
      <c r="C9" s="8"/>
    </row>
    <row r="10" spans="1:5" x14ac:dyDescent="0.25">
      <c r="A10" s="11" t="s">
        <v>75</v>
      </c>
      <c r="B10" s="11" t="s">
        <v>76</v>
      </c>
      <c r="C10" s="8"/>
    </row>
    <row r="11" spans="1:5" x14ac:dyDescent="0.25">
      <c r="A11" s="11" t="s">
        <v>77</v>
      </c>
      <c r="B11" s="11" t="s">
        <v>78</v>
      </c>
      <c r="C11" s="8"/>
    </row>
    <row r="12" spans="1:5" x14ac:dyDescent="0.25">
      <c r="A12" s="11" t="s">
        <v>79</v>
      </c>
      <c r="B12" s="11" t="s">
        <v>80</v>
      </c>
      <c r="C12" s="8"/>
    </row>
    <row r="13" spans="1:5" x14ac:dyDescent="0.25">
      <c r="A13" s="11" t="s">
        <v>81</v>
      </c>
      <c r="B13" s="11" t="s">
        <v>82</v>
      </c>
      <c r="C13" s="8"/>
    </row>
    <row r="14" spans="1:5" x14ac:dyDescent="0.25">
      <c r="A14" s="11" t="s">
        <v>83</v>
      </c>
      <c r="B14" s="11" t="s">
        <v>84</v>
      </c>
      <c r="C14" s="8"/>
    </row>
    <row r="15" spans="1:5" x14ac:dyDescent="0.25">
      <c r="A15" s="11" t="s">
        <v>85</v>
      </c>
      <c r="B15" s="11" t="s">
        <v>86</v>
      </c>
      <c r="C15" s="8"/>
    </row>
    <row r="16" spans="1:5" x14ac:dyDescent="0.25">
      <c r="A16" s="11" t="s">
        <v>87</v>
      </c>
      <c r="B16" s="11" t="s">
        <v>88</v>
      </c>
      <c r="C16" s="8"/>
    </row>
    <row r="17" spans="1:3" x14ac:dyDescent="0.25">
      <c r="A17" s="11" t="s">
        <v>89</v>
      </c>
      <c r="B17" s="11" t="s">
        <v>90</v>
      </c>
      <c r="C17" s="8"/>
    </row>
    <row r="18" spans="1:3" x14ac:dyDescent="0.25">
      <c r="A18" s="11" t="s">
        <v>91</v>
      </c>
      <c r="B18" s="11" t="s">
        <v>92</v>
      </c>
      <c r="C18" s="8"/>
    </row>
    <row r="19" spans="1:3" x14ac:dyDescent="0.25">
      <c r="A19" s="11" t="s">
        <v>93</v>
      </c>
      <c r="B19" s="11" t="s">
        <v>94</v>
      </c>
      <c r="C19" s="8"/>
    </row>
    <row r="20" spans="1:3" x14ac:dyDescent="0.25">
      <c r="A20" s="11" t="s">
        <v>95</v>
      </c>
      <c r="B20" s="11" t="s">
        <v>96</v>
      </c>
      <c r="C20" s="8"/>
    </row>
    <row r="21" spans="1:3" x14ac:dyDescent="0.25">
      <c r="A21" s="11" t="s">
        <v>97</v>
      </c>
      <c r="B21" s="11" t="s">
        <v>98</v>
      </c>
      <c r="C21" s="8"/>
    </row>
    <row r="22" spans="1:3" x14ac:dyDescent="0.25">
      <c r="A22" s="11" t="s">
        <v>99</v>
      </c>
      <c r="B22" s="11" t="s">
        <v>100</v>
      </c>
      <c r="C22" s="8"/>
    </row>
    <row r="23" spans="1:3" x14ac:dyDescent="0.25">
      <c r="A23" s="11" t="s">
        <v>101</v>
      </c>
      <c r="B23" s="11" t="s">
        <v>102</v>
      </c>
      <c r="C23" s="8"/>
    </row>
    <row r="24" spans="1:3" x14ac:dyDescent="0.25">
      <c r="A24" s="11" t="s">
        <v>103</v>
      </c>
      <c r="B24" s="11" t="s">
        <v>104</v>
      </c>
      <c r="C24" s="8"/>
    </row>
    <row r="25" spans="1:3" x14ac:dyDescent="0.25">
      <c r="A25" s="11" t="s">
        <v>105</v>
      </c>
      <c r="B25" s="11" t="s">
        <v>106</v>
      </c>
      <c r="C25" s="8"/>
    </row>
    <row r="26" spans="1:3" x14ac:dyDescent="0.25">
      <c r="A26" s="11" t="s">
        <v>107</v>
      </c>
      <c r="B26" s="11" t="s">
        <v>108</v>
      </c>
      <c r="C26" s="8"/>
    </row>
    <row r="27" spans="1:3" x14ac:dyDescent="0.25">
      <c r="A27" s="11" t="s">
        <v>109</v>
      </c>
      <c r="B27" s="11" t="s">
        <v>110</v>
      </c>
      <c r="C27" s="8"/>
    </row>
    <row r="28" spans="1:3" x14ac:dyDescent="0.25">
      <c r="A28" s="11" t="s">
        <v>111</v>
      </c>
      <c r="B28" s="11" t="s">
        <v>112</v>
      </c>
      <c r="C28" s="8"/>
    </row>
    <row r="29" spans="1:3" x14ac:dyDescent="0.25">
      <c r="A29" s="11" t="s">
        <v>113</v>
      </c>
      <c r="B29" s="11" t="s">
        <v>114</v>
      </c>
      <c r="C29" s="8"/>
    </row>
    <row r="30" spans="1:3" x14ac:dyDescent="0.25">
      <c r="A30" s="11" t="s">
        <v>115</v>
      </c>
      <c r="B30" s="11" t="s">
        <v>116</v>
      </c>
      <c r="C30" s="8"/>
    </row>
    <row r="31" spans="1:3" x14ac:dyDescent="0.25">
      <c r="A31" s="11" t="s">
        <v>117</v>
      </c>
      <c r="B31" s="11" t="s">
        <v>118</v>
      </c>
      <c r="C31" s="8"/>
    </row>
    <row r="32" spans="1:3" x14ac:dyDescent="0.25">
      <c r="A32" s="11" t="s">
        <v>119</v>
      </c>
      <c r="B32" s="11" t="s">
        <v>120</v>
      </c>
      <c r="C32" s="8"/>
    </row>
    <row r="33" spans="1:3" x14ac:dyDescent="0.25">
      <c r="A33" s="11" t="s">
        <v>121</v>
      </c>
      <c r="B33" s="11" t="s">
        <v>122</v>
      </c>
      <c r="C33" s="8"/>
    </row>
    <row r="34" spans="1:3" x14ac:dyDescent="0.25">
      <c r="A34" s="11" t="s">
        <v>123</v>
      </c>
      <c r="B34" s="11" t="s">
        <v>124</v>
      </c>
      <c r="C34" s="8"/>
    </row>
    <row r="35" spans="1:3" x14ac:dyDescent="0.25">
      <c r="A35" s="11" t="s">
        <v>125</v>
      </c>
      <c r="B35" s="11" t="s">
        <v>126</v>
      </c>
      <c r="C35" s="8"/>
    </row>
    <row r="36" spans="1:3" x14ac:dyDescent="0.25">
      <c r="A36" s="11" t="s">
        <v>127</v>
      </c>
      <c r="B36" s="11" t="s">
        <v>128</v>
      </c>
      <c r="C36" s="8"/>
    </row>
    <row r="37" spans="1:3" x14ac:dyDescent="0.25">
      <c r="A37" s="11" t="s">
        <v>129</v>
      </c>
      <c r="B37" s="11" t="s">
        <v>130</v>
      </c>
      <c r="C37" s="8"/>
    </row>
    <row r="38" spans="1:3" x14ac:dyDescent="0.25">
      <c r="A38" s="11" t="s">
        <v>131</v>
      </c>
      <c r="B38" s="11" t="s">
        <v>132</v>
      </c>
      <c r="C38" s="8"/>
    </row>
    <row r="39" spans="1:3" x14ac:dyDescent="0.25">
      <c r="A39" s="11" t="s">
        <v>133</v>
      </c>
      <c r="B39" s="11" t="s">
        <v>134</v>
      </c>
      <c r="C39" s="8"/>
    </row>
    <row r="40" spans="1:3" x14ac:dyDescent="0.25">
      <c r="A40" s="11" t="s">
        <v>135</v>
      </c>
      <c r="B40" s="11" t="s">
        <v>136</v>
      </c>
      <c r="C40" s="8"/>
    </row>
    <row r="41" spans="1:3" x14ac:dyDescent="0.25">
      <c r="A41" s="11" t="s">
        <v>137</v>
      </c>
      <c r="B41" s="11" t="s">
        <v>138</v>
      </c>
      <c r="C41" s="8"/>
    </row>
    <row r="42" spans="1:3" x14ac:dyDescent="0.25">
      <c r="A42" s="11" t="s">
        <v>139</v>
      </c>
      <c r="B42" s="11" t="s">
        <v>140</v>
      </c>
      <c r="C42" s="8"/>
    </row>
    <row r="43" spans="1:3" x14ac:dyDescent="0.25">
      <c r="A43" s="11" t="s">
        <v>141</v>
      </c>
      <c r="B43" s="11" t="s">
        <v>142</v>
      </c>
      <c r="C43" s="8"/>
    </row>
    <row r="44" spans="1:3" x14ac:dyDescent="0.25">
      <c r="A44" s="11" t="s">
        <v>143</v>
      </c>
      <c r="B44" s="11" t="s">
        <v>144</v>
      </c>
      <c r="C44" s="8"/>
    </row>
    <row r="45" spans="1:3" x14ac:dyDescent="0.25">
      <c r="A45" s="11" t="s">
        <v>145</v>
      </c>
      <c r="B45" s="11" t="s">
        <v>146</v>
      </c>
      <c r="C45" s="8"/>
    </row>
    <row r="46" spans="1:3" x14ac:dyDescent="0.25">
      <c r="A46" s="11" t="s">
        <v>147</v>
      </c>
      <c r="B46" s="11" t="s">
        <v>148</v>
      </c>
      <c r="C46" s="8"/>
    </row>
    <row r="47" spans="1:3" x14ac:dyDescent="0.25">
      <c r="A47" s="11" t="s">
        <v>149</v>
      </c>
      <c r="B47" s="11" t="s">
        <v>150</v>
      </c>
      <c r="C47" s="8"/>
    </row>
    <row r="48" spans="1:3" x14ac:dyDescent="0.25">
      <c r="A48" s="11" t="s">
        <v>151</v>
      </c>
      <c r="B48" s="11" t="s">
        <v>152</v>
      </c>
      <c r="C48" s="8"/>
    </row>
    <row r="49" spans="1:3" x14ac:dyDescent="0.25">
      <c r="A49" s="11" t="s">
        <v>153</v>
      </c>
      <c r="B49" s="11" t="s">
        <v>154</v>
      </c>
      <c r="C49" s="8"/>
    </row>
    <row r="50" spans="1:3" x14ac:dyDescent="0.25">
      <c r="A50" s="11" t="s">
        <v>155</v>
      </c>
      <c r="B50" s="11" t="s">
        <v>156</v>
      </c>
      <c r="C50" s="8"/>
    </row>
    <row r="51" spans="1:3" x14ac:dyDescent="0.25">
      <c r="A51" s="11" t="s">
        <v>157</v>
      </c>
      <c r="B51" s="11" t="s">
        <v>158</v>
      </c>
      <c r="C51" s="8"/>
    </row>
    <row r="52" spans="1:3" x14ac:dyDescent="0.25">
      <c r="A52" s="11" t="s">
        <v>159</v>
      </c>
      <c r="B52" s="11" t="s">
        <v>160</v>
      </c>
      <c r="C52" s="8"/>
    </row>
    <row r="53" spans="1:3" x14ac:dyDescent="0.25">
      <c r="A53" s="11" t="s">
        <v>161</v>
      </c>
      <c r="B53" s="11" t="s">
        <v>162</v>
      </c>
      <c r="C53" s="8"/>
    </row>
    <row r="54" spans="1:3" x14ac:dyDescent="0.25">
      <c r="A54" s="11" t="s">
        <v>163</v>
      </c>
      <c r="B54" s="11" t="s">
        <v>164</v>
      </c>
      <c r="C54" s="8"/>
    </row>
    <row r="55" spans="1:3" x14ac:dyDescent="0.25">
      <c r="A55" s="11" t="s">
        <v>165</v>
      </c>
      <c r="B55" s="11" t="s">
        <v>166</v>
      </c>
      <c r="C55" s="8"/>
    </row>
    <row r="56" spans="1:3" x14ac:dyDescent="0.25">
      <c r="A56" s="11" t="s">
        <v>167</v>
      </c>
      <c r="B56" s="11" t="s">
        <v>168</v>
      </c>
      <c r="C56" s="8"/>
    </row>
    <row r="57" spans="1:3" x14ac:dyDescent="0.25">
      <c r="A57" s="11" t="s">
        <v>169</v>
      </c>
      <c r="B57" s="11" t="s">
        <v>170</v>
      </c>
      <c r="C57" s="8"/>
    </row>
    <row r="58" spans="1:3" x14ac:dyDescent="0.25">
      <c r="A58" s="11" t="s">
        <v>171</v>
      </c>
      <c r="B58" s="11" t="s">
        <v>172</v>
      </c>
      <c r="C58" s="8"/>
    </row>
    <row r="59" spans="1:3" x14ac:dyDescent="0.25">
      <c r="A59" s="11" t="s">
        <v>173</v>
      </c>
      <c r="B59" s="11" t="s">
        <v>174</v>
      </c>
      <c r="C59" s="8"/>
    </row>
    <row r="60" spans="1:3" x14ac:dyDescent="0.25">
      <c r="A60" s="11" t="s">
        <v>175</v>
      </c>
      <c r="B60" s="11" t="s">
        <v>176</v>
      </c>
      <c r="C60" s="8"/>
    </row>
    <row r="61" spans="1:3" x14ac:dyDescent="0.25">
      <c r="A61" s="11" t="s">
        <v>177</v>
      </c>
      <c r="B61" s="11" t="s">
        <v>178</v>
      </c>
      <c r="C61" s="8"/>
    </row>
    <row r="62" spans="1:3" x14ac:dyDescent="0.25">
      <c r="A62" s="11" t="s">
        <v>179</v>
      </c>
      <c r="B62" s="11" t="s">
        <v>180</v>
      </c>
      <c r="C62" s="8"/>
    </row>
    <row r="63" spans="1:3" x14ac:dyDescent="0.25">
      <c r="A63" s="11" t="s">
        <v>181</v>
      </c>
      <c r="B63" s="11" t="s">
        <v>182</v>
      </c>
      <c r="C63" s="8"/>
    </row>
    <row r="64" spans="1:3" x14ac:dyDescent="0.25">
      <c r="A64" s="11" t="s">
        <v>183</v>
      </c>
      <c r="B64" s="11" t="s">
        <v>184</v>
      </c>
      <c r="C64" s="8"/>
    </row>
    <row r="65" spans="1:3" x14ac:dyDescent="0.25">
      <c r="A65" s="11" t="s">
        <v>185</v>
      </c>
      <c r="B65" s="11" t="s">
        <v>186</v>
      </c>
      <c r="C65" s="8"/>
    </row>
    <row r="66" spans="1:3" x14ac:dyDescent="0.25">
      <c r="A66" s="11" t="s">
        <v>187</v>
      </c>
      <c r="B66" s="11" t="s">
        <v>188</v>
      </c>
      <c r="C66" s="8"/>
    </row>
    <row r="67" spans="1:3" x14ac:dyDescent="0.25">
      <c r="A67" s="11" t="s">
        <v>189</v>
      </c>
      <c r="B67" s="11" t="s">
        <v>190</v>
      </c>
      <c r="C67" s="8"/>
    </row>
    <row r="68" spans="1:3" x14ac:dyDescent="0.25">
      <c r="A68" s="11" t="s">
        <v>191</v>
      </c>
      <c r="B68" s="11" t="s">
        <v>192</v>
      </c>
      <c r="C68" s="8"/>
    </row>
    <row r="69" spans="1:3" x14ac:dyDescent="0.25">
      <c r="A69" s="11" t="s">
        <v>193</v>
      </c>
      <c r="B69" s="11" t="s">
        <v>194</v>
      </c>
      <c r="C69" s="8"/>
    </row>
    <row r="70" spans="1:3" x14ac:dyDescent="0.25">
      <c r="A70" s="11" t="s">
        <v>195</v>
      </c>
      <c r="B70" s="11" t="s">
        <v>196</v>
      </c>
      <c r="C70" s="8"/>
    </row>
    <row r="71" spans="1:3" x14ac:dyDescent="0.25">
      <c r="A71" s="11" t="s">
        <v>197</v>
      </c>
      <c r="B71" s="11" t="s">
        <v>198</v>
      </c>
      <c r="C71" s="8"/>
    </row>
    <row r="72" spans="1:3" x14ac:dyDescent="0.25">
      <c r="A72" s="11" t="s">
        <v>199</v>
      </c>
      <c r="B72" s="11" t="s">
        <v>200</v>
      </c>
      <c r="C72" s="8"/>
    </row>
    <row r="73" spans="1:3" x14ac:dyDescent="0.25">
      <c r="A73" s="11" t="s">
        <v>201</v>
      </c>
      <c r="B73" s="11" t="s">
        <v>92</v>
      </c>
      <c r="C73" s="8"/>
    </row>
    <row r="74" spans="1:3" x14ac:dyDescent="0.25">
      <c r="A74" s="11" t="s">
        <v>202</v>
      </c>
      <c r="B74" s="11" t="s">
        <v>94</v>
      </c>
      <c r="C74" s="8"/>
    </row>
    <row r="75" spans="1:3" x14ac:dyDescent="0.25">
      <c r="A75" s="11" t="s">
        <v>203</v>
      </c>
      <c r="B75" s="11" t="s">
        <v>96</v>
      </c>
      <c r="C75" s="8"/>
    </row>
    <row r="76" spans="1:3" x14ac:dyDescent="0.25">
      <c r="A76" s="11" t="s">
        <v>204</v>
      </c>
      <c r="B76" s="11" t="s">
        <v>98</v>
      </c>
      <c r="C76" s="8"/>
    </row>
    <row r="77" spans="1:3" x14ac:dyDescent="0.25">
      <c r="A77" s="11" t="s">
        <v>205</v>
      </c>
      <c r="B77" s="11" t="s">
        <v>100</v>
      </c>
      <c r="C77" s="8"/>
    </row>
    <row r="78" spans="1:3" x14ac:dyDescent="0.25">
      <c r="A78" s="11" t="s">
        <v>206</v>
      </c>
      <c r="B78" s="11" t="s">
        <v>102</v>
      </c>
      <c r="C78" s="8"/>
    </row>
    <row r="79" spans="1:3" x14ac:dyDescent="0.25">
      <c r="A79" s="11" t="s">
        <v>207</v>
      </c>
      <c r="B79" s="11" t="s">
        <v>104</v>
      </c>
      <c r="C79" s="8"/>
    </row>
    <row r="80" spans="1:3" x14ac:dyDescent="0.25">
      <c r="A80" s="11" t="s">
        <v>208</v>
      </c>
      <c r="B80" s="11" t="s">
        <v>209</v>
      </c>
      <c r="C80" s="8"/>
    </row>
    <row r="81" spans="1:3" x14ac:dyDescent="0.25">
      <c r="A81" s="11" t="s">
        <v>210</v>
      </c>
      <c r="B81" s="11" t="s">
        <v>106</v>
      </c>
      <c r="C81" s="8"/>
    </row>
    <row r="82" spans="1:3" x14ac:dyDescent="0.25">
      <c r="A82" s="11" t="s">
        <v>211</v>
      </c>
      <c r="B82" s="11" t="s">
        <v>108</v>
      </c>
      <c r="C82" s="8"/>
    </row>
    <row r="83" spans="1:3" x14ac:dyDescent="0.25">
      <c r="A83" s="11" t="s">
        <v>212</v>
      </c>
      <c r="B83" s="11" t="s">
        <v>213</v>
      </c>
      <c r="C83" s="8"/>
    </row>
    <row r="84" spans="1:3" x14ac:dyDescent="0.25">
      <c r="A84" s="11" t="s">
        <v>214</v>
      </c>
      <c r="B84" s="11" t="s">
        <v>112</v>
      </c>
      <c r="C84" s="8"/>
    </row>
    <row r="85" spans="1:3" x14ac:dyDescent="0.25">
      <c r="A85" s="11" t="s">
        <v>215</v>
      </c>
      <c r="B85" s="11" t="s">
        <v>114</v>
      </c>
      <c r="C85" s="8"/>
    </row>
    <row r="86" spans="1:3" x14ac:dyDescent="0.25">
      <c r="A86" s="11" t="s">
        <v>216</v>
      </c>
      <c r="B86" s="11" t="s">
        <v>116</v>
      </c>
      <c r="C86" s="8"/>
    </row>
    <row r="87" spans="1:3" x14ac:dyDescent="0.25">
      <c r="A87" s="11" t="s">
        <v>217</v>
      </c>
      <c r="B87" s="11" t="s">
        <v>218</v>
      </c>
      <c r="C87" s="8"/>
    </row>
    <row r="88" spans="1:3" x14ac:dyDescent="0.25">
      <c r="A88" s="11" t="s">
        <v>219</v>
      </c>
      <c r="B88" s="11" t="s">
        <v>118</v>
      </c>
      <c r="C88" s="8"/>
    </row>
    <row r="89" spans="1:3" x14ac:dyDescent="0.25">
      <c r="A89" s="11" t="s">
        <v>220</v>
      </c>
      <c r="B89" s="11" t="s">
        <v>120</v>
      </c>
      <c r="C89" s="8"/>
    </row>
    <row r="90" spans="1:3" x14ac:dyDescent="0.25">
      <c r="A90" s="11" t="s">
        <v>221</v>
      </c>
      <c r="B90" s="11" t="s">
        <v>122</v>
      </c>
      <c r="C90" s="8"/>
    </row>
    <row r="91" spans="1:3" x14ac:dyDescent="0.25">
      <c r="A91" s="11" t="s">
        <v>222</v>
      </c>
      <c r="B91" s="11" t="s">
        <v>124</v>
      </c>
      <c r="C91" s="8"/>
    </row>
    <row r="92" spans="1:3" x14ac:dyDescent="0.25">
      <c r="A92" s="11" t="s">
        <v>223</v>
      </c>
      <c r="B92" s="11" t="s">
        <v>126</v>
      </c>
      <c r="C92" s="8"/>
    </row>
    <row r="93" spans="1:3" x14ac:dyDescent="0.25">
      <c r="A93" s="11" t="s">
        <v>224</v>
      </c>
      <c r="B93" s="11" t="s">
        <v>128</v>
      </c>
      <c r="C93" s="8"/>
    </row>
    <row r="94" spans="1:3" x14ac:dyDescent="0.25">
      <c r="A94" s="11" t="s">
        <v>225</v>
      </c>
      <c r="B94" s="11" t="s">
        <v>130</v>
      </c>
      <c r="C94" s="8"/>
    </row>
    <row r="95" spans="1:3" x14ac:dyDescent="0.25">
      <c r="A95" s="11" t="s">
        <v>226</v>
      </c>
      <c r="B95" s="11" t="s">
        <v>132</v>
      </c>
      <c r="C95" s="8"/>
    </row>
    <row r="96" spans="1:3" x14ac:dyDescent="0.25">
      <c r="A96" s="11" t="s">
        <v>227</v>
      </c>
      <c r="B96" s="11" t="s">
        <v>134</v>
      </c>
      <c r="C96" s="8"/>
    </row>
    <row r="97" spans="1:3" x14ac:dyDescent="0.25">
      <c r="A97" s="11" t="s">
        <v>228</v>
      </c>
      <c r="B97" s="11" t="s">
        <v>136</v>
      </c>
      <c r="C97" s="8"/>
    </row>
    <row r="98" spans="1:3" x14ac:dyDescent="0.25">
      <c r="A98" s="11" t="s">
        <v>229</v>
      </c>
      <c r="B98" s="11" t="s">
        <v>138</v>
      </c>
      <c r="C98" s="8"/>
    </row>
    <row r="99" spans="1:3" x14ac:dyDescent="0.25">
      <c r="A99" s="11" t="s">
        <v>230</v>
      </c>
      <c r="B99" s="11" t="s">
        <v>140</v>
      </c>
      <c r="C99" s="8"/>
    </row>
    <row r="100" spans="1:3" x14ac:dyDescent="0.25">
      <c r="A100" s="11" t="s">
        <v>231</v>
      </c>
      <c r="B100" s="11" t="s">
        <v>142</v>
      </c>
      <c r="C100" s="8"/>
    </row>
    <row r="101" spans="1:3" x14ac:dyDescent="0.25">
      <c r="A101" s="11" t="s">
        <v>232</v>
      </c>
      <c r="B101" s="11" t="s">
        <v>144</v>
      </c>
      <c r="C101" s="8"/>
    </row>
    <row r="102" spans="1:3" x14ac:dyDescent="0.25">
      <c r="A102" s="11" t="s">
        <v>233</v>
      </c>
      <c r="B102" s="11" t="s">
        <v>146</v>
      </c>
      <c r="C102" s="8"/>
    </row>
    <row r="103" spans="1:3" x14ac:dyDescent="0.25">
      <c r="A103" s="11" t="s">
        <v>234</v>
      </c>
      <c r="B103" s="11" t="s">
        <v>148</v>
      </c>
      <c r="C103" s="8"/>
    </row>
    <row r="104" spans="1:3" x14ac:dyDescent="0.25">
      <c r="A104" s="11" t="s">
        <v>235</v>
      </c>
      <c r="B104" s="11" t="s">
        <v>236</v>
      </c>
      <c r="C104" s="8"/>
    </row>
    <row r="105" spans="1:3" x14ac:dyDescent="0.25">
      <c r="A105" s="11" t="s">
        <v>237</v>
      </c>
      <c r="B105" s="11" t="s">
        <v>150</v>
      </c>
      <c r="C105" s="8"/>
    </row>
    <row r="106" spans="1:3" x14ac:dyDescent="0.25">
      <c r="A106" s="11" t="s">
        <v>238</v>
      </c>
      <c r="B106" s="11" t="s">
        <v>152</v>
      </c>
      <c r="C106" s="8"/>
    </row>
    <row r="107" spans="1:3" x14ac:dyDescent="0.25">
      <c r="A107" s="11" t="s">
        <v>239</v>
      </c>
      <c r="B107" s="11" t="s">
        <v>154</v>
      </c>
      <c r="C107" s="8"/>
    </row>
    <row r="108" spans="1:3" x14ac:dyDescent="0.25">
      <c r="A108" s="11" t="s">
        <v>240</v>
      </c>
      <c r="B108" s="11" t="s">
        <v>156</v>
      </c>
      <c r="C108" s="8"/>
    </row>
    <row r="109" spans="1:3" x14ac:dyDescent="0.25">
      <c r="A109" s="11" t="s">
        <v>241</v>
      </c>
      <c r="B109" s="11" t="s">
        <v>158</v>
      </c>
      <c r="C109" s="8"/>
    </row>
    <row r="110" spans="1:3" x14ac:dyDescent="0.25">
      <c r="A110" s="11" t="s">
        <v>242</v>
      </c>
      <c r="B110" s="11" t="s">
        <v>160</v>
      </c>
      <c r="C110" s="8"/>
    </row>
    <row r="111" spans="1:3" x14ac:dyDescent="0.25">
      <c r="A111" s="11" t="s">
        <v>243</v>
      </c>
      <c r="B111" s="11" t="s">
        <v>162</v>
      </c>
      <c r="C111" s="8"/>
    </row>
    <row r="112" spans="1:3" x14ac:dyDescent="0.25">
      <c r="A112" s="11" t="s">
        <v>244</v>
      </c>
      <c r="B112" s="11" t="s">
        <v>164</v>
      </c>
      <c r="C112" s="8"/>
    </row>
    <row r="113" spans="1:3" x14ac:dyDescent="0.25">
      <c r="A113" s="11" t="s">
        <v>245</v>
      </c>
      <c r="B113" s="11" t="s">
        <v>166</v>
      </c>
      <c r="C113" s="8"/>
    </row>
    <row r="114" spans="1:3" x14ac:dyDescent="0.25">
      <c r="A114" s="11" t="s">
        <v>246</v>
      </c>
      <c r="B114" s="11" t="s">
        <v>168</v>
      </c>
      <c r="C114" s="8"/>
    </row>
    <row r="115" spans="1:3" x14ac:dyDescent="0.25">
      <c r="A115" s="11" t="s">
        <v>247</v>
      </c>
      <c r="B115" s="11" t="s">
        <v>170</v>
      </c>
      <c r="C115" s="8"/>
    </row>
    <row r="116" spans="1:3" x14ac:dyDescent="0.25">
      <c r="A116" s="11" t="s">
        <v>248</v>
      </c>
      <c r="B116" s="11" t="s">
        <v>172</v>
      </c>
      <c r="C116" s="8"/>
    </row>
    <row r="117" spans="1:3" x14ac:dyDescent="0.25">
      <c r="A117" s="11" t="s">
        <v>249</v>
      </c>
      <c r="B117" s="11" t="s">
        <v>250</v>
      </c>
      <c r="C117" s="8"/>
    </row>
    <row r="118" spans="1:3" x14ac:dyDescent="0.25">
      <c r="A118" s="11" t="s">
        <v>251</v>
      </c>
      <c r="B118" s="11" t="s">
        <v>174</v>
      </c>
      <c r="C118" s="8"/>
    </row>
    <row r="119" spans="1:3" x14ac:dyDescent="0.25">
      <c r="A119" s="11" t="s">
        <v>252</v>
      </c>
      <c r="B119" s="11" t="s">
        <v>176</v>
      </c>
      <c r="C119" s="8"/>
    </row>
    <row r="120" spans="1:3" x14ac:dyDescent="0.25">
      <c r="A120" s="11" t="s">
        <v>253</v>
      </c>
      <c r="B120" s="11" t="s">
        <v>178</v>
      </c>
      <c r="C120" s="8"/>
    </row>
    <row r="121" spans="1:3" x14ac:dyDescent="0.25">
      <c r="A121" s="11" t="s">
        <v>254</v>
      </c>
      <c r="B121" s="11" t="s">
        <v>180</v>
      </c>
      <c r="C121" s="8"/>
    </row>
    <row r="122" spans="1:3" x14ac:dyDescent="0.25">
      <c r="A122" s="11" t="s">
        <v>255</v>
      </c>
      <c r="B122" s="11" t="s">
        <v>182</v>
      </c>
      <c r="C122" s="8"/>
    </row>
    <row r="123" spans="1:3" x14ac:dyDescent="0.25">
      <c r="A123" s="11" t="s">
        <v>256</v>
      </c>
      <c r="B123" s="11" t="s">
        <v>184</v>
      </c>
      <c r="C123" s="8"/>
    </row>
    <row r="124" spans="1:3" x14ac:dyDescent="0.25">
      <c r="A124" s="11" t="s">
        <v>257</v>
      </c>
      <c r="B124" s="11" t="s">
        <v>258</v>
      </c>
      <c r="C124" s="8"/>
    </row>
    <row r="125" spans="1:3" x14ac:dyDescent="0.25">
      <c r="A125" s="11" t="s">
        <v>259</v>
      </c>
      <c r="B125" s="11" t="s">
        <v>186</v>
      </c>
      <c r="C125" s="8"/>
    </row>
    <row r="126" spans="1:3" x14ac:dyDescent="0.25">
      <c r="A126" s="11" t="s">
        <v>260</v>
      </c>
      <c r="B126" s="11" t="s">
        <v>188</v>
      </c>
      <c r="C126" s="8"/>
    </row>
    <row r="127" spans="1:3" x14ac:dyDescent="0.25">
      <c r="A127" s="11" t="s">
        <v>261</v>
      </c>
      <c r="B127" s="11" t="s">
        <v>190</v>
      </c>
      <c r="C127" s="8"/>
    </row>
    <row r="128" spans="1:3" x14ac:dyDescent="0.25">
      <c r="A128" s="11" t="s">
        <v>262</v>
      </c>
      <c r="B128" s="11" t="s">
        <v>192</v>
      </c>
      <c r="C128" s="8"/>
    </row>
    <row r="129" spans="1:5" x14ac:dyDescent="0.25">
      <c r="A129" s="11" t="s">
        <v>263</v>
      </c>
      <c r="B129" s="11" t="s">
        <v>194</v>
      </c>
      <c r="C129" s="8"/>
    </row>
    <row r="130" spans="1:5" x14ac:dyDescent="0.25">
      <c r="A130" s="11" t="s">
        <v>264</v>
      </c>
      <c r="B130" s="11" t="s">
        <v>196</v>
      </c>
      <c r="C130" s="8"/>
    </row>
    <row r="131" spans="1:5" x14ac:dyDescent="0.25">
      <c r="A131" s="11" t="s">
        <v>265</v>
      </c>
      <c r="B131" s="11" t="s">
        <v>198</v>
      </c>
      <c r="C131" s="8"/>
    </row>
    <row r="132" spans="1:5" x14ac:dyDescent="0.25">
      <c r="A132" s="11" t="s">
        <v>266</v>
      </c>
      <c r="B132" s="11" t="s">
        <v>200</v>
      </c>
      <c r="C132" s="8"/>
    </row>
    <row r="133" spans="1:5" x14ac:dyDescent="0.25">
      <c r="A133" s="11"/>
      <c r="B133" s="11"/>
      <c r="C133" s="8"/>
    </row>
    <row r="134" spans="1:5" ht="18.75" x14ac:dyDescent="0.3">
      <c r="A134" s="9" t="s">
        <v>63</v>
      </c>
      <c r="B134" s="9"/>
      <c r="C134" s="7" t="s">
        <v>64</v>
      </c>
      <c r="E134" s="16">
        <v>3</v>
      </c>
    </row>
    <row r="135" spans="1:5" x14ac:dyDescent="0.25">
      <c r="A135" s="10" t="s">
        <v>65</v>
      </c>
      <c r="B135" s="10" t="s">
        <v>66</v>
      </c>
    </row>
    <row r="136" spans="1:5" x14ac:dyDescent="0.25">
      <c r="A136" s="11" t="s">
        <v>16</v>
      </c>
      <c r="B136" s="11" t="s">
        <v>267</v>
      </c>
      <c r="C136" s="8"/>
    </row>
    <row r="137" spans="1:5" x14ac:dyDescent="0.25">
      <c r="A137" s="11" t="s">
        <v>268</v>
      </c>
      <c r="B137" s="11" t="s">
        <v>269</v>
      </c>
      <c r="C137" s="8"/>
    </row>
    <row r="138" spans="1:5" x14ac:dyDescent="0.25">
      <c r="A138" s="11" t="s">
        <v>270</v>
      </c>
      <c r="B138" s="11" t="s">
        <v>271</v>
      </c>
      <c r="C138" s="8"/>
    </row>
    <row r="139" spans="1:5" x14ac:dyDescent="0.25">
      <c r="A139" s="11" t="s">
        <v>272</v>
      </c>
      <c r="B139" s="11" t="s">
        <v>273</v>
      </c>
      <c r="C139" s="8"/>
    </row>
    <row r="140" spans="1:5" x14ac:dyDescent="0.25">
      <c r="A140" s="11" t="s">
        <v>25</v>
      </c>
      <c r="B140" s="11" t="s">
        <v>274</v>
      </c>
      <c r="C140" s="8"/>
    </row>
    <row r="141" spans="1:5" x14ac:dyDescent="0.25">
      <c r="A141" s="11" t="s">
        <v>275</v>
      </c>
      <c r="B141" s="11" t="s">
        <v>276</v>
      </c>
      <c r="C141" s="8"/>
    </row>
    <row r="142" spans="1:5" x14ac:dyDescent="0.25">
      <c r="A142" s="11" t="s">
        <v>277</v>
      </c>
      <c r="B142" s="11" t="s">
        <v>278</v>
      </c>
      <c r="C142" s="8"/>
    </row>
    <row r="143" spans="1:5" x14ac:dyDescent="0.25">
      <c r="A143" s="11" t="s">
        <v>279</v>
      </c>
      <c r="B143" s="11" t="s">
        <v>280</v>
      </c>
      <c r="C143" s="8"/>
    </row>
    <row r="144" spans="1:5" x14ac:dyDescent="0.25">
      <c r="A144" s="11" t="s">
        <v>281</v>
      </c>
      <c r="B144" s="11" t="s">
        <v>282</v>
      </c>
      <c r="C144" s="8"/>
    </row>
    <row r="145" spans="1:3" x14ac:dyDescent="0.25">
      <c r="A145" s="11" t="s">
        <v>283</v>
      </c>
      <c r="B145" s="11" t="s">
        <v>284</v>
      </c>
      <c r="C145" s="8"/>
    </row>
    <row r="146" spans="1:3" x14ac:dyDescent="0.25">
      <c r="A146" s="11" t="s">
        <v>285</v>
      </c>
      <c r="B146" s="11" t="s">
        <v>286</v>
      </c>
      <c r="C146" s="8"/>
    </row>
    <row r="147" spans="1:3" x14ac:dyDescent="0.25">
      <c r="A147" s="11" t="s">
        <v>29</v>
      </c>
      <c r="B147" s="11" t="s">
        <v>287</v>
      </c>
      <c r="C147" s="8"/>
    </row>
    <row r="148" spans="1:3" x14ac:dyDescent="0.25">
      <c r="A148" s="11" t="s">
        <v>21</v>
      </c>
      <c r="B148" s="11" t="s">
        <v>288</v>
      </c>
      <c r="C148" s="8"/>
    </row>
    <row r="149" spans="1:3" x14ac:dyDescent="0.25">
      <c r="A149" s="11" t="s">
        <v>289</v>
      </c>
      <c r="B149" s="11" t="s">
        <v>290</v>
      </c>
      <c r="C149" s="8"/>
    </row>
    <row r="150" spans="1:3" x14ac:dyDescent="0.25">
      <c r="A150" s="11" t="s">
        <v>31</v>
      </c>
      <c r="B150" s="11" t="s">
        <v>291</v>
      </c>
      <c r="C150" s="8"/>
    </row>
    <row r="151" spans="1:3" x14ac:dyDescent="0.25">
      <c r="A151" s="11" t="s">
        <v>292</v>
      </c>
      <c r="B151" s="11" t="s">
        <v>293</v>
      </c>
      <c r="C151" s="8"/>
    </row>
    <row r="152" spans="1:3" x14ac:dyDescent="0.25">
      <c r="A152" s="11" t="s">
        <v>294</v>
      </c>
      <c r="B152" s="11" t="s">
        <v>295</v>
      </c>
      <c r="C152" s="8"/>
    </row>
    <row r="153" spans="1:3" x14ac:dyDescent="0.25">
      <c r="A153" s="11" t="s">
        <v>296</v>
      </c>
      <c r="B153" s="11" t="s">
        <v>297</v>
      </c>
      <c r="C153" s="8"/>
    </row>
    <row r="154" spans="1:3" x14ac:dyDescent="0.25">
      <c r="A154" s="11" t="s">
        <v>33</v>
      </c>
      <c r="B154" s="11" t="s">
        <v>298</v>
      </c>
      <c r="C154" s="8"/>
    </row>
    <row r="155" spans="1:3" x14ac:dyDescent="0.25">
      <c r="A155" s="11" t="s">
        <v>299</v>
      </c>
      <c r="B155" s="11" t="s">
        <v>300</v>
      </c>
      <c r="C155" s="8"/>
    </row>
    <row r="156" spans="1:3" x14ac:dyDescent="0.25">
      <c r="A156" s="11" t="s">
        <v>18</v>
      </c>
      <c r="B156" s="11" t="s">
        <v>287</v>
      </c>
      <c r="C156" s="8"/>
    </row>
    <row r="157" spans="1:3" x14ac:dyDescent="0.25">
      <c r="A157" s="11" t="s">
        <v>301</v>
      </c>
      <c r="B157" s="11" t="s">
        <v>302</v>
      </c>
      <c r="C157" s="8"/>
    </row>
    <row r="158" spans="1:3" x14ac:dyDescent="0.25">
      <c r="A158" s="11" t="s">
        <v>36</v>
      </c>
      <c r="B158" s="11" t="s">
        <v>303</v>
      </c>
      <c r="C158" s="8"/>
    </row>
    <row r="159" spans="1:3" x14ac:dyDescent="0.25">
      <c r="A159" s="11" t="s">
        <v>30</v>
      </c>
      <c r="B159" s="11" t="s">
        <v>304</v>
      </c>
      <c r="C159" s="8"/>
    </row>
    <row r="160" spans="1:3" x14ac:dyDescent="0.25">
      <c r="A160" s="11" t="s">
        <v>305</v>
      </c>
      <c r="B160" s="11" t="s">
        <v>306</v>
      </c>
      <c r="C160" s="8"/>
    </row>
    <row r="161" spans="1:5" x14ac:dyDescent="0.25">
      <c r="A161" s="11" t="s">
        <v>307</v>
      </c>
      <c r="B161" s="11" t="s">
        <v>308</v>
      </c>
      <c r="C161" s="8"/>
    </row>
    <row r="162" spans="1:5" x14ac:dyDescent="0.25">
      <c r="A162" s="11" t="s">
        <v>309</v>
      </c>
      <c r="B162" s="11" t="s">
        <v>310</v>
      </c>
      <c r="C162" s="8"/>
    </row>
    <row r="163" spans="1:5" x14ac:dyDescent="0.25">
      <c r="A163" s="11"/>
      <c r="B163" s="11"/>
      <c r="C163" s="8"/>
    </row>
    <row r="164" spans="1:5" x14ac:dyDescent="0.25">
      <c r="A164" s="11"/>
      <c r="B164" s="11"/>
      <c r="C164" s="8"/>
    </row>
    <row r="165" spans="1:5" ht="18.75" x14ac:dyDescent="0.3">
      <c r="A165" s="9" t="s">
        <v>348</v>
      </c>
      <c r="B165" s="9"/>
      <c r="C165" s="7" t="s">
        <v>64</v>
      </c>
      <c r="E165" s="16">
        <v>5</v>
      </c>
    </row>
    <row r="166" spans="1:5" x14ac:dyDescent="0.25">
      <c r="A166" s="10" t="s">
        <v>65</v>
      </c>
      <c r="B166" s="10" t="s">
        <v>66</v>
      </c>
    </row>
    <row r="167" spans="1:5" x14ac:dyDescent="0.25">
      <c r="A167" s="11" t="s">
        <v>349</v>
      </c>
      <c r="B167" s="11" t="s">
        <v>350</v>
      </c>
      <c r="C167" s="8"/>
    </row>
    <row r="168" spans="1:5" x14ac:dyDescent="0.25">
      <c r="A168" s="11" t="s">
        <v>351</v>
      </c>
      <c r="B168" s="11" t="s">
        <v>352</v>
      </c>
      <c r="C168" s="8"/>
    </row>
    <row r="169" spans="1:5" x14ac:dyDescent="0.25">
      <c r="A169" s="11" t="s">
        <v>353</v>
      </c>
      <c r="B169" s="11" t="s">
        <v>354</v>
      </c>
      <c r="C169" s="8"/>
    </row>
    <row r="170" spans="1:5" x14ac:dyDescent="0.25">
      <c r="A170" s="11" t="s">
        <v>355</v>
      </c>
      <c r="B170" s="11" t="s">
        <v>356</v>
      </c>
      <c r="C170" s="8"/>
    </row>
    <row r="171" spans="1:5" x14ac:dyDescent="0.25">
      <c r="A171" s="11" t="s">
        <v>357</v>
      </c>
      <c r="B171" s="11" t="s">
        <v>358</v>
      </c>
      <c r="C171" s="8"/>
    </row>
    <row r="172" spans="1:5" x14ac:dyDescent="0.25">
      <c r="A172" s="11" t="s">
        <v>359</v>
      </c>
      <c r="B172" s="11" t="s">
        <v>360</v>
      </c>
      <c r="C172" s="8"/>
    </row>
    <row r="173" spans="1:5" x14ac:dyDescent="0.25">
      <c r="A173" s="11" t="s">
        <v>361</v>
      </c>
      <c r="B173" s="11" t="s">
        <v>362</v>
      </c>
      <c r="C173" s="8"/>
    </row>
    <row r="174" spans="1:5" x14ac:dyDescent="0.25">
      <c r="A174" s="11" t="s">
        <v>363</v>
      </c>
      <c r="B174" s="11" t="s">
        <v>364</v>
      </c>
      <c r="C174" s="8"/>
    </row>
    <row r="175" spans="1:5" x14ac:dyDescent="0.25">
      <c r="A175" s="11" t="s">
        <v>365</v>
      </c>
      <c r="B175" s="11" t="s">
        <v>366</v>
      </c>
      <c r="C175" s="8"/>
    </row>
    <row r="176" spans="1:5" x14ac:dyDescent="0.25">
      <c r="A176" s="11" t="s">
        <v>367</v>
      </c>
      <c r="B176" s="11" t="s">
        <v>368</v>
      </c>
      <c r="C176" s="8"/>
    </row>
    <row r="177" spans="1:3" x14ac:dyDescent="0.25">
      <c r="A177" s="11" t="s">
        <v>369</v>
      </c>
      <c r="B177" s="11" t="s">
        <v>370</v>
      </c>
      <c r="C177" s="8"/>
    </row>
    <row r="178" spans="1:3" x14ac:dyDescent="0.25">
      <c r="A178" s="11" t="s">
        <v>371</v>
      </c>
      <c r="B178" s="11" t="s">
        <v>372</v>
      </c>
      <c r="C178" s="8"/>
    </row>
    <row r="179" spans="1:3" x14ac:dyDescent="0.25">
      <c r="A179" s="11" t="s">
        <v>373</v>
      </c>
      <c r="B179" s="11" t="s">
        <v>374</v>
      </c>
      <c r="C179" s="8"/>
    </row>
    <row r="180" spans="1:3" x14ac:dyDescent="0.25">
      <c r="A180" s="11" t="s">
        <v>375</v>
      </c>
      <c r="B180" s="11" t="s">
        <v>376</v>
      </c>
      <c r="C180" s="8"/>
    </row>
    <row r="181" spans="1:3" x14ac:dyDescent="0.25">
      <c r="A181" s="11" t="s">
        <v>377</v>
      </c>
      <c r="B181" s="11" t="s">
        <v>378</v>
      </c>
      <c r="C181" s="8"/>
    </row>
    <row r="182" spans="1:3" x14ac:dyDescent="0.25">
      <c r="A182" s="11" t="s">
        <v>379</v>
      </c>
      <c r="B182" s="11" t="s">
        <v>380</v>
      </c>
      <c r="C182" s="8"/>
    </row>
    <row r="183" spans="1:3" x14ac:dyDescent="0.25">
      <c r="A183" s="11" t="s">
        <v>381</v>
      </c>
      <c r="B183" s="11" t="s">
        <v>382</v>
      </c>
      <c r="C183" s="8"/>
    </row>
    <row r="184" spans="1:3" x14ac:dyDescent="0.25">
      <c r="A184" s="11" t="s">
        <v>383</v>
      </c>
      <c r="B184" s="11" t="s">
        <v>384</v>
      </c>
      <c r="C184" s="8"/>
    </row>
    <row r="185" spans="1:3" x14ac:dyDescent="0.25">
      <c r="A185" s="11" t="s">
        <v>385</v>
      </c>
      <c r="B185" s="11" t="s">
        <v>386</v>
      </c>
      <c r="C185" s="8"/>
    </row>
    <row r="186" spans="1:3" x14ac:dyDescent="0.25">
      <c r="A186" s="11" t="s">
        <v>387</v>
      </c>
      <c r="B186" s="11" t="s">
        <v>388</v>
      </c>
      <c r="C186" s="8"/>
    </row>
    <row r="187" spans="1:3" x14ac:dyDescent="0.25">
      <c r="A187" s="11" t="s">
        <v>389</v>
      </c>
      <c r="B187" s="11" t="s">
        <v>390</v>
      </c>
      <c r="C187" s="8"/>
    </row>
    <row r="188" spans="1:3" x14ac:dyDescent="0.25">
      <c r="A188" s="11" t="s">
        <v>391</v>
      </c>
      <c r="B188" s="11" t="s">
        <v>392</v>
      </c>
      <c r="C188" s="8"/>
    </row>
    <row r="189" spans="1:3" x14ac:dyDescent="0.25">
      <c r="A189" s="11" t="s">
        <v>393</v>
      </c>
      <c r="B189" s="11" t="s">
        <v>394</v>
      </c>
      <c r="C189" s="8"/>
    </row>
    <row r="190" spans="1:3" x14ac:dyDescent="0.25">
      <c r="A190" s="11" t="s">
        <v>395</v>
      </c>
      <c r="B190" s="11" t="s">
        <v>396</v>
      </c>
      <c r="C190" s="8"/>
    </row>
    <row r="191" spans="1:3" x14ac:dyDescent="0.25">
      <c r="A191" s="11" t="s">
        <v>397</v>
      </c>
      <c r="B191" s="11" t="s">
        <v>398</v>
      </c>
      <c r="C191" s="8"/>
    </row>
    <row r="192" spans="1:3" x14ac:dyDescent="0.25">
      <c r="A192" s="11" t="s">
        <v>399</v>
      </c>
      <c r="B192" s="11" t="s">
        <v>400</v>
      </c>
      <c r="C192" s="8"/>
    </row>
    <row r="193" spans="1:3" x14ac:dyDescent="0.25">
      <c r="A193" s="11" t="s">
        <v>401</v>
      </c>
      <c r="B193" s="11" t="s">
        <v>402</v>
      </c>
      <c r="C193" s="8"/>
    </row>
    <row r="194" spans="1:3" x14ac:dyDescent="0.25">
      <c r="A194" s="11" t="s">
        <v>403</v>
      </c>
      <c r="B194" s="11" t="s">
        <v>404</v>
      </c>
      <c r="C194" s="8"/>
    </row>
    <row r="195" spans="1:3" x14ac:dyDescent="0.25">
      <c r="A195" s="11" t="s">
        <v>405</v>
      </c>
      <c r="B195" s="11" t="s">
        <v>406</v>
      </c>
      <c r="C195" s="8"/>
    </row>
    <row r="196" spans="1:3" x14ac:dyDescent="0.25">
      <c r="A196" s="11" t="s">
        <v>407</v>
      </c>
      <c r="B196" s="11" t="s">
        <v>408</v>
      </c>
      <c r="C196" s="8"/>
    </row>
    <row r="197" spans="1:3" x14ac:dyDescent="0.25">
      <c r="A197" s="11" t="s">
        <v>409</v>
      </c>
      <c r="B197" s="11" t="s">
        <v>410</v>
      </c>
      <c r="C197" s="8"/>
    </row>
    <row r="198" spans="1:3" x14ac:dyDescent="0.25">
      <c r="A198" s="11" t="s">
        <v>411</v>
      </c>
      <c r="B198" s="11" t="s">
        <v>412</v>
      </c>
      <c r="C198" s="8"/>
    </row>
    <row r="199" spans="1:3" x14ac:dyDescent="0.25">
      <c r="A199" s="11" t="s">
        <v>413</v>
      </c>
      <c r="B199" s="11" t="s">
        <v>414</v>
      </c>
      <c r="C199" s="8"/>
    </row>
    <row r="200" spans="1:3" x14ac:dyDescent="0.25">
      <c r="A200" s="11" t="s">
        <v>415</v>
      </c>
      <c r="B200" s="11" t="s">
        <v>416</v>
      </c>
      <c r="C200" s="8"/>
    </row>
    <row r="201" spans="1:3" x14ac:dyDescent="0.25">
      <c r="A201" s="11" t="s">
        <v>417</v>
      </c>
      <c r="B201" s="11" t="s">
        <v>418</v>
      </c>
      <c r="C201" s="8"/>
    </row>
    <row r="202" spans="1:3" x14ac:dyDescent="0.25">
      <c r="A202" s="11" t="s">
        <v>419</v>
      </c>
      <c r="B202" s="11" t="s">
        <v>420</v>
      </c>
      <c r="C202" s="8"/>
    </row>
    <row r="203" spans="1:3" x14ac:dyDescent="0.25">
      <c r="A203" s="11" t="s">
        <v>421</v>
      </c>
      <c r="B203" s="11" t="s">
        <v>422</v>
      </c>
      <c r="C203" s="8"/>
    </row>
    <row r="204" spans="1:3" x14ac:dyDescent="0.25">
      <c r="A204" s="11" t="s">
        <v>423</v>
      </c>
      <c r="B204" s="11" t="s">
        <v>424</v>
      </c>
      <c r="C204" s="8"/>
    </row>
    <row r="205" spans="1:3" x14ac:dyDescent="0.25">
      <c r="A205" s="11" t="s">
        <v>425</v>
      </c>
      <c r="B205" s="11" t="s">
        <v>426</v>
      </c>
      <c r="C205" s="8"/>
    </row>
    <row r="206" spans="1:3" x14ac:dyDescent="0.25">
      <c r="A206" s="11" t="s">
        <v>427</v>
      </c>
      <c r="B206" s="11" t="s">
        <v>428</v>
      </c>
      <c r="C206" s="8"/>
    </row>
    <row r="207" spans="1:3" x14ac:dyDescent="0.25">
      <c r="A207" s="11" t="s">
        <v>429</v>
      </c>
      <c r="B207" s="11" t="s">
        <v>430</v>
      </c>
      <c r="C207" s="8"/>
    </row>
    <row r="208" spans="1:3" x14ac:dyDescent="0.25">
      <c r="A208" s="11" t="s">
        <v>431</v>
      </c>
      <c r="B208" s="11" t="s">
        <v>432</v>
      </c>
      <c r="C208" s="8"/>
    </row>
    <row r="209" spans="1:3" x14ac:dyDescent="0.25">
      <c r="A209" s="11" t="s">
        <v>433</v>
      </c>
      <c r="B209" s="11" t="s">
        <v>434</v>
      </c>
      <c r="C209" s="8"/>
    </row>
    <row r="210" spans="1:3" x14ac:dyDescent="0.25">
      <c r="A210" s="11" t="s">
        <v>435</v>
      </c>
      <c r="B210" s="11" t="s">
        <v>436</v>
      </c>
      <c r="C210" s="8"/>
    </row>
    <row r="211" spans="1:3" x14ac:dyDescent="0.25">
      <c r="A211" s="11" t="s">
        <v>437</v>
      </c>
      <c r="B211" s="11" t="s">
        <v>438</v>
      </c>
      <c r="C211" s="8"/>
    </row>
    <row r="212" spans="1:3" x14ac:dyDescent="0.25">
      <c r="A212" s="11" t="s">
        <v>439</v>
      </c>
      <c r="B212" s="11" t="s">
        <v>440</v>
      </c>
      <c r="C212" s="8"/>
    </row>
    <row r="213" spans="1:3" x14ac:dyDescent="0.25">
      <c r="A213" s="11" t="s">
        <v>441</v>
      </c>
      <c r="B213" s="11" t="s">
        <v>442</v>
      </c>
      <c r="C213" s="8"/>
    </row>
    <row r="214" spans="1:3" x14ac:dyDescent="0.25">
      <c r="A214" s="11" t="s">
        <v>443</v>
      </c>
      <c r="B214" s="11" t="s">
        <v>444</v>
      </c>
      <c r="C214" s="8"/>
    </row>
    <row r="215" spans="1:3" x14ac:dyDescent="0.25">
      <c r="A215" s="11" t="s">
        <v>445</v>
      </c>
      <c r="B215" s="11" t="s">
        <v>446</v>
      </c>
      <c r="C215" s="8"/>
    </row>
    <row r="216" spans="1:3" x14ac:dyDescent="0.25">
      <c r="A216" s="11" t="s">
        <v>447</v>
      </c>
      <c r="B216" s="11" t="s">
        <v>448</v>
      </c>
      <c r="C216" s="8"/>
    </row>
    <row r="217" spans="1:3" x14ac:dyDescent="0.25">
      <c r="A217" s="11" t="s">
        <v>449</v>
      </c>
      <c r="B217" s="11" t="s">
        <v>450</v>
      </c>
      <c r="C217" s="8"/>
    </row>
    <row r="218" spans="1:3" x14ac:dyDescent="0.25">
      <c r="A218" s="11" t="s">
        <v>451</v>
      </c>
      <c r="B218" s="11" t="s">
        <v>452</v>
      </c>
      <c r="C218" s="8"/>
    </row>
    <row r="219" spans="1:3" x14ac:dyDescent="0.25">
      <c r="A219" s="11" t="s">
        <v>453</v>
      </c>
      <c r="B219" s="11" t="s">
        <v>454</v>
      </c>
      <c r="C219" s="8"/>
    </row>
    <row r="220" spans="1:3" x14ac:dyDescent="0.25">
      <c r="A220" s="11" t="s">
        <v>455</v>
      </c>
      <c r="B220" s="11" t="s">
        <v>456</v>
      </c>
      <c r="C220" s="8"/>
    </row>
    <row r="221" spans="1:3" x14ac:dyDescent="0.25">
      <c r="A221" s="11" t="s">
        <v>457</v>
      </c>
      <c r="B221" s="11" t="s">
        <v>458</v>
      </c>
      <c r="C221" s="8"/>
    </row>
    <row r="222" spans="1:3" x14ac:dyDescent="0.25">
      <c r="A222" s="11" t="s">
        <v>459</v>
      </c>
      <c r="B222" s="11" t="s">
        <v>460</v>
      </c>
      <c r="C222" s="8"/>
    </row>
    <row r="223" spans="1:3" x14ac:dyDescent="0.25">
      <c r="A223" s="11" t="s">
        <v>461</v>
      </c>
      <c r="B223" s="11" t="s">
        <v>462</v>
      </c>
      <c r="C223" s="8"/>
    </row>
    <row r="224" spans="1:3" x14ac:dyDescent="0.25">
      <c r="A224" s="11" t="s">
        <v>463</v>
      </c>
      <c r="B224" s="11" t="s">
        <v>464</v>
      </c>
      <c r="C224" s="8"/>
    </row>
    <row r="225" spans="1:3" x14ac:dyDescent="0.25">
      <c r="A225" s="11" t="s">
        <v>465</v>
      </c>
      <c r="B225" s="11" t="s">
        <v>466</v>
      </c>
      <c r="C225" s="8"/>
    </row>
    <row r="226" spans="1:3" x14ac:dyDescent="0.25">
      <c r="A226" s="11" t="s">
        <v>467</v>
      </c>
      <c r="B226" s="11" t="s">
        <v>468</v>
      </c>
      <c r="C226" s="8"/>
    </row>
    <row r="227" spans="1:3" x14ac:dyDescent="0.25">
      <c r="A227" s="11" t="s">
        <v>469</v>
      </c>
      <c r="B227" s="11" t="s">
        <v>344</v>
      </c>
      <c r="C227" s="8"/>
    </row>
    <row r="228" spans="1:3" x14ac:dyDescent="0.25">
      <c r="A228" s="11" t="s">
        <v>470</v>
      </c>
      <c r="B228" s="11" t="s">
        <v>471</v>
      </c>
      <c r="C228" s="8"/>
    </row>
    <row r="229" spans="1:3" x14ac:dyDescent="0.25">
      <c r="A229" s="11" t="s">
        <v>472</v>
      </c>
      <c r="B229" s="11" t="s">
        <v>473</v>
      </c>
      <c r="C229" s="8"/>
    </row>
    <row r="230" spans="1:3" x14ac:dyDescent="0.25">
      <c r="A230" s="11" t="s">
        <v>474</v>
      </c>
      <c r="B230" s="11" t="s">
        <v>475</v>
      </c>
      <c r="C230" s="8"/>
    </row>
    <row r="231" spans="1:3" x14ac:dyDescent="0.25">
      <c r="A231" s="11" t="s">
        <v>476</v>
      </c>
      <c r="B231" s="11" t="s">
        <v>477</v>
      </c>
      <c r="C231" s="8"/>
    </row>
    <row r="232" spans="1:3" x14ac:dyDescent="0.25">
      <c r="A232" s="11" t="s">
        <v>478</v>
      </c>
      <c r="B232" s="11" t="s">
        <v>479</v>
      </c>
      <c r="C232" s="8"/>
    </row>
    <row r="233" spans="1:3" x14ac:dyDescent="0.25">
      <c r="A233" s="11" t="s">
        <v>480</v>
      </c>
      <c r="B233" s="11" t="s">
        <v>481</v>
      </c>
      <c r="C233" s="8"/>
    </row>
    <row r="234" spans="1:3" x14ac:dyDescent="0.25">
      <c r="A234" s="11" t="s">
        <v>482</v>
      </c>
      <c r="B234" s="11" t="s">
        <v>483</v>
      </c>
      <c r="C234" s="8"/>
    </row>
    <row r="235" spans="1:3" x14ac:dyDescent="0.25">
      <c r="A235" s="11" t="s">
        <v>484</v>
      </c>
      <c r="B235" s="11" t="s">
        <v>485</v>
      </c>
      <c r="C235" s="8"/>
    </row>
    <row r="236" spans="1:3" x14ac:dyDescent="0.25">
      <c r="A236" s="11" t="s">
        <v>486</v>
      </c>
      <c r="B236" s="11" t="s">
        <v>487</v>
      </c>
      <c r="C236" s="8"/>
    </row>
    <row r="237" spans="1:3" x14ac:dyDescent="0.25">
      <c r="A237" s="11" t="s">
        <v>488</v>
      </c>
      <c r="B237" s="11" t="s">
        <v>489</v>
      </c>
      <c r="C237" s="8"/>
    </row>
    <row r="238" spans="1:3" x14ac:dyDescent="0.25">
      <c r="A238" s="11" t="s">
        <v>490</v>
      </c>
      <c r="B238" s="11" t="s">
        <v>491</v>
      </c>
      <c r="C238" s="8"/>
    </row>
    <row r="239" spans="1:3" x14ac:dyDescent="0.25">
      <c r="A239" s="11" t="s">
        <v>492</v>
      </c>
      <c r="B239" s="11" t="s">
        <v>493</v>
      </c>
      <c r="C239" s="8"/>
    </row>
    <row r="240" spans="1:3" x14ac:dyDescent="0.25">
      <c r="A240" s="11" t="s">
        <v>494</v>
      </c>
      <c r="B240" s="11" t="s">
        <v>495</v>
      </c>
      <c r="C240" s="8"/>
    </row>
    <row r="241" spans="1:3" x14ac:dyDescent="0.25">
      <c r="A241" s="11" t="s">
        <v>496</v>
      </c>
      <c r="B241" s="11" t="s">
        <v>497</v>
      </c>
      <c r="C241" s="8"/>
    </row>
    <row r="242" spans="1:3" x14ac:dyDescent="0.25">
      <c r="A242" s="11" t="s">
        <v>498</v>
      </c>
      <c r="B242" s="11" t="s">
        <v>499</v>
      </c>
      <c r="C242" s="8"/>
    </row>
    <row r="243" spans="1:3" x14ac:dyDescent="0.25">
      <c r="A243" s="11" t="s">
        <v>500</v>
      </c>
      <c r="B243" s="11" t="s">
        <v>501</v>
      </c>
      <c r="C243" s="8"/>
    </row>
    <row r="244" spans="1:3" x14ac:dyDescent="0.25">
      <c r="A244" s="11" t="s">
        <v>502</v>
      </c>
      <c r="B244" s="11" t="s">
        <v>503</v>
      </c>
      <c r="C244" s="8"/>
    </row>
    <row r="245" spans="1:3" x14ac:dyDescent="0.25">
      <c r="A245" s="11" t="s">
        <v>504</v>
      </c>
      <c r="B245" s="11" t="s">
        <v>505</v>
      </c>
      <c r="C245" s="8"/>
    </row>
    <row r="246" spans="1:3" x14ac:dyDescent="0.25">
      <c r="A246" s="11" t="s">
        <v>506</v>
      </c>
      <c r="B246" s="11" t="s">
        <v>507</v>
      </c>
      <c r="C246" s="8"/>
    </row>
    <row r="247" spans="1:3" x14ac:dyDescent="0.25">
      <c r="A247" s="11" t="s">
        <v>508</v>
      </c>
      <c r="B247" s="11" t="s">
        <v>509</v>
      </c>
      <c r="C247" s="8"/>
    </row>
    <row r="248" spans="1:3" x14ac:dyDescent="0.25">
      <c r="A248" s="11" t="s">
        <v>510</v>
      </c>
      <c r="B248" s="11" t="s">
        <v>511</v>
      </c>
      <c r="C248" s="8"/>
    </row>
    <row r="249" spans="1:3" x14ac:dyDescent="0.25">
      <c r="A249" s="11" t="s">
        <v>512</v>
      </c>
      <c r="B249" s="11" t="s">
        <v>513</v>
      </c>
      <c r="C249" s="8"/>
    </row>
    <row r="250" spans="1:3" x14ac:dyDescent="0.25">
      <c r="A250" s="11" t="s">
        <v>514</v>
      </c>
      <c r="B250" s="11" t="s">
        <v>515</v>
      </c>
      <c r="C250" s="8"/>
    </row>
    <row r="251" spans="1:3" x14ac:dyDescent="0.25">
      <c r="A251" s="11" t="s">
        <v>516</v>
      </c>
      <c r="B251" s="11" t="s">
        <v>517</v>
      </c>
      <c r="C251" s="8"/>
    </row>
    <row r="252" spans="1:3" x14ac:dyDescent="0.25">
      <c r="A252" s="11" t="s">
        <v>518</v>
      </c>
      <c r="B252" s="11" t="s">
        <v>519</v>
      </c>
      <c r="C252" s="8"/>
    </row>
    <row r="253" spans="1:3" x14ac:dyDescent="0.25">
      <c r="A253" s="11" t="s">
        <v>520</v>
      </c>
      <c r="B253" s="11" t="s">
        <v>521</v>
      </c>
      <c r="C253" s="8"/>
    </row>
    <row r="254" spans="1:3" x14ac:dyDescent="0.25">
      <c r="A254" s="11" t="s">
        <v>522</v>
      </c>
      <c r="B254" s="11" t="s">
        <v>523</v>
      </c>
      <c r="C254" s="8"/>
    </row>
    <row r="255" spans="1:3" x14ac:dyDescent="0.25">
      <c r="A255" s="11" t="s">
        <v>524</v>
      </c>
      <c r="B255" s="11" t="s">
        <v>525</v>
      </c>
      <c r="C255" s="8"/>
    </row>
    <row r="256" spans="1:3" x14ac:dyDescent="0.25">
      <c r="A256" s="11" t="s">
        <v>526</v>
      </c>
      <c r="B256" s="11" t="s">
        <v>527</v>
      </c>
      <c r="C256" s="8"/>
    </row>
    <row r="257" spans="1:3" x14ac:dyDescent="0.25">
      <c r="A257" s="11" t="s">
        <v>528</v>
      </c>
      <c r="B257" s="11" t="s">
        <v>529</v>
      </c>
      <c r="C257" s="8"/>
    </row>
    <row r="258" spans="1:3" x14ac:dyDescent="0.25">
      <c r="A258" s="11" t="s">
        <v>530</v>
      </c>
      <c r="B258" s="11" t="s">
        <v>531</v>
      </c>
      <c r="C258" s="8"/>
    </row>
    <row r="259" spans="1:3" x14ac:dyDescent="0.25">
      <c r="A259" s="11" t="s">
        <v>532</v>
      </c>
      <c r="B259" s="11" t="s">
        <v>533</v>
      </c>
      <c r="C259" s="8"/>
    </row>
    <row r="260" spans="1:3" x14ac:dyDescent="0.25">
      <c r="A260" s="11" t="s">
        <v>534</v>
      </c>
      <c r="B260" s="11" t="s">
        <v>535</v>
      </c>
      <c r="C260" s="8"/>
    </row>
    <row r="261" spans="1:3" x14ac:dyDescent="0.25">
      <c r="A261" s="11" t="s">
        <v>536</v>
      </c>
      <c r="B261" s="11" t="s">
        <v>537</v>
      </c>
      <c r="C261" s="8"/>
    </row>
    <row r="262" spans="1:3" x14ac:dyDescent="0.25">
      <c r="A262" s="11" t="s">
        <v>538</v>
      </c>
      <c r="B262" s="11" t="s">
        <v>539</v>
      </c>
      <c r="C262" s="8"/>
    </row>
    <row r="263" spans="1:3" x14ac:dyDescent="0.25">
      <c r="A263" s="11" t="s">
        <v>540</v>
      </c>
      <c r="B263" s="11" t="s">
        <v>541</v>
      </c>
      <c r="C263" s="8"/>
    </row>
    <row r="264" spans="1:3" x14ac:dyDescent="0.25">
      <c r="A264" s="11" t="s">
        <v>542</v>
      </c>
      <c r="B264" s="11" t="s">
        <v>543</v>
      </c>
      <c r="C264" s="8"/>
    </row>
    <row r="265" spans="1:3" x14ac:dyDescent="0.25">
      <c r="A265" s="11" t="s">
        <v>544</v>
      </c>
      <c r="B265" s="11" t="s">
        <v>545</v>
      </c>
      <c r="C265" s="8"/>
    </row>
    <row r="266" spans="1:3" x14ac:dyDescent="0.25">
      <c r="A266" s="11" t="s">
        <v>546</v>
      </c>
      <c r="B266" s="11" t="s">
        <v>547</v>
      </c>
      <c r="C266" s="8"/>
    </row>
    <row r="267" spans="1:3" x14ac:dyDescent="0.25">
      <c r="A267" s="11" t="s">
        <v>548</v>
      </c>
      <c r="B267" s="11" t="s">
        <v>549</v>
      </c>
      <c r="C267" s="8"/>
    </row>
    <row r="268" spans="1:3" x14ac:dyDescent="0.25">
      <c r="A268" s="11" t="s">
        <v>550</v>
      </c>
      <c r="B268" s="11" t="s">
        <v>551</v>
      </c>
      <c r="C268" s="8"/>
    </row>
    <row r="269" spans="1:3" x14ac:dyDescent="0.25">
      <c r="A269" s="11" t="s">
        <v>552</v>
      </c>
      <c r="B269" s="11" t="s">
        <v>553</v>
      </c>
      <c r="C269" s="8"/>
    </row>
    <row r="270" spans="1:3" x14ac:dyDescent="0.25">
      <c r="A270" s="11" t="s">
        <v>554</v>
      </c>
      <c r="B270" s="11" t="s">
        <v>555</v>
      </c>
      <c r="C270" s="8"/>
    </row>
    <row r="271" spans="1:3" x14ac:dyDescent="0.25">
      <c r="A271" s="11" t="s">
        <v>556</v>
      </c>
      <c r="B271" s="11" t="s">
        <v>557</v>
      </c>
      <c r="C271" s="8"/>
    </row>
    <row r="272" spans="1:3" x14ac:dyDescent="0.25">
      <c r="A272" s="11" t="s">
        <v>558</v>
      </c>
      <c r="B272" s="11" t="s">
        <v>559</v>
      </c>
      <c r="C272" s="8"/>
    </row>
    <row r="273" spans="1:3" x14ac:dyDescent="0.25">
      <c r="A273" s="11" t="s">
        <v>560</v>
      </c>
      <c r="B273" s="11" t="s">
        <v>561</v>
      </c>
      <c r="C273" s="8"/>
    </row>
    <row r="274" spans="1:3" x14ac:dyDescent="0.25">
      <c r="A274" s="11" t="s">
        <v>562</v>
      </c>
      <c r="B274" s="11" t="s">
        <v>563</v>
      </c>
      <c r="C274" s="8"/>
    </row>
    <row r="275" spans="1:3" x14ac:dyDescent="0.25">
      <c r="A275" s="11" t="s">
        <v>564</v>
      </c>
      <c r="B275" s="11" t="s">
        <v>565</v>
      </c>
      <c r="C275" s="8"/>
    </row>
    <row r="276" spans="1:3" x14ac:dyDescent="0.25">
      <c r="A276" s="11" t="s">
        <v>566</v>
      </c>
      <c r="B276" s="11" t="s">
        <v>567</v>
      </c>
      <c r="C276" s="8"/>
    </row>
    <row r="277" spans="1:3" x14ac:dyDescent="0.25">
      <c r="A277" s="11" t="s">
        <v>568</v>
      </c>
      <c r="B277" s="11" t="s">
        <v>569</v>
      </c>
      <c r="C277" s="8"/>
    </row>
    <row r="278" spans="1:3" x14ac:dyDescent="0.25">
      <c r="A278" s="11" t="s">
        <v>570</v>
      </c>
      <c r="B278" s="11" t="s">
        <v>571</v>
      </c>
      <c r="C278" s="8"/>
    </row>
    <row r="279" spans="1:3" x14ac:dyDescent="0.25">
      <c r="A279" s="11" t="s">
        <v>572</v>
      </c>
      <c r="B279" s="11" t="s">
        <v>573</v>
      </c>
      <c r="C279" s="8"/>
    </row>
    <row r="280" spans="1:3" x14ac:dyDescent="0.25">
      <c r="A280" s="11" t="s">
        <v>574</v>
      </c>
      <c r="B280" s="11" t="s">
        <v>575</v>
      </c>
      <c r="C280" s="8"/>
    </row>
    <row r="281" spans="1:3" x14ac:dyDescent="0.25">
      <c r="A281" s="11" t="s">
        <v>576</v>
      </c>
      <c r="B281" s="11" t="s">
        <v>577</v>
      </c>
      <c r="C281" s="8"/>
    </row>
    <row r="282" spans="1:3" x14ac:dyDescent="0.25">
      <c r="A282" s="11" t="s">
        <v>578</v>
      </c>
      <c r="B282" s="11" t="s">
        <v>579</v>
      </c>
      <c r="C282" s="8"/>
    </row>
    <row r="283" spans="1:3" x14ac:dyDescent="0.25">
      <c r="A283" s="11" t="s">
        <v>580</v>
      </c>
      <c r="B283" s="11" t="s">
        <v>581</v>
      </c>
      <c r="C283" s="8"/>
    </row>
    <row r="284" spans="1:3" x14ac:dyDescent="0.25">
      <c r="A284" s="11" t="s">
        <v>582</v>
      </c>
      <c r="B284" s="11" t="s">
        <v>583</v>
      </c>
      <c r="C284" s="8"/>
    </row>
    <row r="285" spans="1:3" x14ac:dyDescent="0.25">
      <c r="A285" s="11" t="s">
        <v>584</v>
      </c>
      <c r="B285" s="11" t="s">
        <v>585</v>
      </c>
      <c r="C285" s="8"/>
    </row>
    <row r="286" spans="1:3" x14ac:dyDescent="0.25">
      <c r="A286" s="11" t="s">
        <v>586</v>
      </c>
      <c r="B286" s="11" t="s">
        <v>587</v>
      </c>
      <c r="C286" s="8"/>
    </row>
    <row r="287" spans="1:3" x14ac:dyDescent="0.25">
      <c r="A287" s="11" t="s">
        <v>588</v>
      </c>
      <c r="B287" s="11" t="s">
        <v>589</v>
      </c>
      <c r="C287" s="8"/>
    </row>
    <row r="288" spans="1:3" x14ac:dyDescent="0.25">
      <c r="A288" s="11" t="s">
        <v>590</v>
      </c>
      <c r="B288" s="11" t="s">
        <v>591</v>
      </c>
      <c r="C288" s="8"/>
    </row>
    <row r="289" spans="1:3" x14ac:dyDescent="0.25">
      <c r="A289" s="11" t="s">
        <v>592</v>
      </c>
      <c r="B289" s="11" t="s">
        <v>593</v>
      </c>
      <c r="C289" s="8"/>
    </row>
    <row r="290" spans="1:3" x14ac:dyDescent="0.25">
      <c r="A290" s="11" t="s">
        <v>594</v>
      </c>
      <c r="B290" s="11" t="s">
        <v>595</v>
      </c>
      <c r="C290" s="8"/>
    </row>
    <row r="291" spans="1:3" x14ac:dyDescent="0.25">
      <c r="A291" s="11" t="s">
        <v>596</v>
      </c>
      <c r="B291" s="11" t="s">
        <v>597</v>
      </c>
      <c r="C291" s="8"/>
    </row>
    <row r="292" spans="1:3" x14ac:dyDescent="0.25">
      <c r="A292" s="11" t="s">
        <v>598</v>
      </c>
      <c r="B292" s="11" t="s">
        <v>599</v>
      </c>
      <c r="C292" s="8"/>
    </row>
    <row r="293" spans="1:3" x14ac:dyDescent="0.25">
      <c r="A293" s="11" t="s">
        <v>600</v>
      </c>
      <c r="B293" s="11" t="s">
        <v>601</v>
      </c>
      <c r="C293" s="8"/>
    </row>
    <row r="294" spans="1:3" x14ac:dyDescent="0.25">
      <c r="A294" s="11" t="s">
        <v>602</v>
      </c>
      <c r="B294" s="11" t="s">
        <v>603</v>
      </c>
      <c r="C294" s="8"/>
    </row>
    <row r="295" spans="1:3" x14ac:dyDescent="0.25">
      <c r="A295" s="11" t="s">
        <v>604</v>
      </c>
      <c r="B295" s="11" t="s">
        <v>605</v>
      </c>
      <c r="C295" s="8"/>
    </row>
    <row r="296" spans="1:3" x14ac:dyDescent="0.25">
      <c r="A296" s="11" t="s">
        <v>606</v>
      </c>
      <c r="B296" s="11" t="s">
        <v>607</v>
      </c>
      <c r="C296" s="8"/>
    </row>
    <row r="297" spans="1:3" x14ac:dyDescent="0.25">
      <c r="A297" s="11" t="s">
        <v>608</v>
      </c>
      <c r="B297" s="11" t="s">
        <v>609</v>
      </c>
      <c r="C297" s="8"/>
    </row>
    <row r="298" spans="1:3" x14ac:dyDescent="0.25">
      <c r="A298" s="11" t="s">
        <v>610</v>
      </c>
      <c r="B298" s="11" t="s">
        <v>611</v>
      </c>
      <c r="C298" s="8"/>
    </row>
    <row r="299" spans="1:3" x14ac:dyDescent="0.25">
      <c r="A299" s="11" t="s">
        <v>612</v>
      </c>
      <c r="B299" s="11" t="s">
        <v>613</v>
      </c>
      <c r="C299" s="8"/>
    </row>
    <row r="300" spans="1:3" x14ac:dyDescent="0.25">
      <c r="A300" s="11" t="s">
        <v>614</v>
      </c>
      <c r="B300" s="11" t="s">
        <v>615</v>
      </c>
      <c r="C300" s="8"/>
    </row>
    <row r="301" spans="1:3" x14ac:dyDescent="0.25">
      <c r="A301" s="11" t="s">
        <v>616</v>
      </c>
      <c r="B301" s="11" t="s">
        <v>617</v>
      </c>
      <c r="C301" s="8"/>
    </row>
    <row r="302" spans="1:3" x14ac:dyDescent="0.25">
      <c r="A302" s="11" t="s">
        <v>618</v>
      </c>
      <c r="B302" s="11" t="s">
        <v>619</v>
      </c>
      <c r="C302" s="8"/>
    </row>
    <row r="303" spans="1:3" x14ac:dyDescent="0.25">
      <c r="A303" s="11" t="s">
        <v>620</v>
      </c>
      <c r="B303" s="11" t="s">
        <v>621</v>
      </c>
      <c r="C303" s="8"/>
    </row>
    <row r="304" spans="1:3" x14ac:dyDescent="0.25">
      <c r="A304" s="11" t="s">
        <v>622</v>
      </c>
      <c r="B304" s="11" t="s">
        <v>623</v>
      </c>
      <c r="C304" s="8"/>
    </row>
    <row r="305" spans="1:3" x14ac:dyDescent="0.25">
      <c r="A305" s="11" t="s">
        <v>624</v>
      </c>
      <c r="B305" s="11" t="s">
        <v>625</v>
      </c>
      <c r="C305" s="8"/>
    </row>
    <row r="306" spans="1:3" x14ac:dyDescent="0.25">
      <c r="A306" s="11" t="s">
        <v>626</v>
      </c>
      <c r="B306" s="11" t="s">
        <v>627</v>
      </c>
      <c r="C306" s="8"/>
    </row>
    <row r="307" spans="1:3" x14ac:dyDescent="0.25">
      <c r="A307" s="11" t="s">
        <v>628</v>
      </c>
      <c r="B307" s="11" t="s">
        <v>629</v>
      </c>
      <c r="C307" s="8"/>
    </row>
    <row r="308" spans="1:3" x14ac:dyDescent="0.25">
      <c r="A308" s="11" t="s">
        <v>630</v>
      </c>
      <c r="B308" s="11" t="s">
        <v>631</v>
      </c>
      <c r="C308" s="8"/>
    </row>
    <row r="309" spans="1:3" x14ac:dyDescent="0.25">
      <c r="A309" s="11" t="s">
        <v>632</v>
      </c>
      <c r="B309" s="11" t="s">
        <v>633</v>
      </c>
      <c r="C309" s="8"/>
    </row>
    <row r="310" spans="1:3" x14ac:dyDescent="0.25">
      <c r="A310" s="11" t="s">
        <v>634</v>
      </c>
      <c r="B310" s="11" t="s">
        <v>635</v>
      </c>
      <c r="C310" s="8"/>
    </row>
    <row r="311" spans="1:3" x14ac:dyDescent="0.25">
      <c r="A311" s="11" t="s">
        <v>636</v>
      </c>
      <c r="B311" s="11" t="s">
        <v>637</v>
      </c>
      <c r="C311" s="8"/>
    </row>
    <row r="312" spans="1:3" x14ac:dyDescent="0.25">
      <c r="A312" s="11" t="s">
        <v>638</v>
      </c>
      <c r="B312" s="11" t="s">
        <v>639</v>
      </c>
      <c r="C312" s="8"/>
    </row>
    <row r="313" spans="1:3" x14ac:dyDescent="0.25">
      <c r="A313" s="11" t="s">
        <v>640</v>
      </c>
      <c r="B313" s="11" t="s">
        <v>641</v>
      </c>
      <c r="C313" s="8"/>
    </row>
    <row r="314" spans="1:3" x14ac:dyDescent="0.25">
      <c r="A314" s="11" t="s">
        <v>642</v>
      </c>
      <c r="B314" s="11" t="s">
        <v>643</v>
      </c>
      <c r="C314" s="8"/>
    </row>
    <row r="315" spans="1:3" x14ac:dyDescent="0.25">
      <c r="A315" s="11" t="s">
        <v>644</v>
      </c>
      <c r="B315" s="11" t="s">
        <v>645</v>
      </c>
      <c r="C315" s="8"/>
    </row>
    <row r="316" spans="1:3" x14ac:dyDescent="0.25">
      <c r="A316" s="11" t="s">
        <v>646</v>
      </c>
      <c r="B316" s="11" t="s">
        <v>647</v>
      </c>
      <c r="C316" s="8"/>
    </row>
    <row r="317" spans="1:3" x14ac:dyDescent="0.25">
      <c r="A317" s="11" t="s">
        <v>648</v>
      </c>
      <c r="B317" s="11" t="s">
        <v>649</v>
      </c>
      <c r="C317" s="8"/>
    </row>
    <row r="318" spans="1:3" x14ac:dyDescent="0.25">
      <c r="A318" s="11" t="s">
        <v>650</v>
      </c>
      <c r="B318" s="11" t="s">
        <v>651</v>
      </c>
      <c r="C318" s="8"/>
    </row>
    <row r="319" spans="1:3" x14ac:dyDescent="0.25">
      <c r="A319" s="11" t="s">
        <v>652</v>
      </c>
      <c r="B319" s="11" t="s">
        <v>653</v>
      </c>
      <c r="C319" s="8"/>
    </row>
    <row r="320" spans="1:3" x14ac:dyDescent="0.25">
      <c r="A320" s="11" t="s">
        <v>654</v>
      </c>
      <c r="B320" s="11" t="s">
        <v>655</v>
      </c>
      <c r="C320" s="8"/>
    </row>
    <row r="321" spans="1:3" x14ac:dyDescent="0.25">
      <c r="A321" s="11" t="s">
        <v>656</v>
      </c>
      <c r="B321" s="11" t="s">
        <v>657</v>
      </c>
      <c r="C321" s="8"/>
    </row>
    <row r="322" spans="1:3" x14ac:dyDescent="0.25">
      <c r="A322" s="11" t="s">
        <v>658</v>
      </c>
      <c r="B322" s="11" t="s">
        <v>659</v>
      </c>
      <c r="C322" s="8"/>
    </row>
    <row r="323" spans="1:3" x14ac:dyDescent="0.25">
      <c r="A323" s="11" t="s">
        <v>660</v>
      </c>
      <c r="B323" s="11" t="s">
        <v>661</v>
      </c>
      <c r="C323" s="8"/>
    </row>
    <row r="324" spans="1:3" x14ac:dyDescent="0.25">
      <c r="A324" s="11" t="s">
        <v>662</v>
      </c>
      <c r="B324" s="11" t="s">
        <v>663</v>
      </c>
      <c r="C324" s="8"/>
    </row>
    <row r="325" spans="1:3" x14ac:dyDescent="0.25">
      <c r="A325" s="11" t="s">
        <v>664</v>
      </c>
      <c r="B325" s="11" t="s">
        <v>665</v>
      </c>
      <c r="C325" s="8"/>
    </row>
    <row r="326" spans="1:3" x14ac:dyDescent="0.25">
      <c r="A326" s="11" t="s">
        <v>666</v>
      </c>
      <c r="B326" s="11" t="s">
        <v>667</v>
      </c>
      <c r="C326" s="8"/>
    </row>
    <row r="327" spans="1:3" x14ac:dyDescent="0.25">
      <c r="A327" s="11" t="s">
        <v>668</v>
      </c>
      <c r="B327" s="11" t="s">
        <v>669</v>
      </c>
      <c r="C327" s="8"/>
    </row>
    <row r="328" spans="1:3" x14ac:dyDescent="0.25">
      <c r="A328" s="11" t="s">
        <v>670</v>
      </c>
      <c r="B328" s="11" t="s">
        <v>671</v>
      </c>
      <c r="C328" s="8"/>
    </row>
    <row r="329" spans="1:3" x14ac:dyDescent="0.25">
      <c r="A329" s="11" t="s">
        <v>672</v>
      </c>
      <c r="B329" s="11" t="s">
        <v>673</v>
      </c>
      <c r="C329" s="8"/>
    </row>
    <row r="330" spans="1:3" x14ac:dyDescent="0.25">
      <c r="A330" s="11" t="s">
        <v>674</v>
      </c>
      <c r="B330" s="11" t="s">
        <v>675</v>
      </c>
      <c r="C330" s="8"/>
    </row>
    <row r="331" spans="1:3" x14ac:dyDescent="0.25">
      <c r="A331" s="11" t="s">
        <v>676</v>
      </c>
      <c r="B331" s="11" t="s">
        <v>677</v>
      </c>
      <c r="C331" s="8"/>
    </row>
    <row r="332" spans="1:3" x14ac:dyDescent="0.25">
      <c r="A332" s="11" t="s">
        <v>678</v>
      </c>
      <c r="B332" s="11" t="s">
        <v>679</v>
      </c>
      <c r="C332" s="8"/>
    </row>
    <row r="333" spans="1:3" x14ac:dyDescent="0.25">
      <c r="A333" s="11" t="s">
        <v>680</v>
      </c>
      <c r="B333" s="11" t="s">
        <v>681</v>
      </c>
      <c r="C333" s="8"/>
    </row>
    <row r="334" spans="1:3" x14ac:dyDescent="0.25">
      <c r="A334" s="11" t="s">
        <v>682</v>
      </c>
      <c r="B334" s="11" t="s">
        <v>683</v>
      </c>
      <c r="C334" s="8"/>
    </row>
    <row r="335" spans="1:3" x14ac:dyDescent="0.25">
      <c r="A335" s="11" t="s">
        <v>684</v>
      </c>
      <c r="B335" s="11" t="s">
        <v>685</v>
      </c>
      <c r="C335" s="8"/>
    </row>
    <row r="336" spans="1:3" x14ac:dyDescent="0.25">
      <c r="A336" s="11" t="s">
        <v>686</v>
      </c>
      <c r="B336" s="11" t="s">
        <v>687</v>
      </c>
      <c r="C336" s="8"/>
    </row>
    <row r="337" spans="1:3" x14ac:dyDescent="0.25">
      <c r="A337" s="11" t="s">
        <v>688</v>
      </c>
      <c r="B337" s="11" t="s">
        <v>689</v>
      </c>
      <c r="C337" s="8"/>
    </row>
    <row r="338" spans="1:3" x14ac:dyDescent="0.25">
      <c r="A338" s="11" t="s">
        <v>690</v>
      </c>
      <c r="B338" s="11" t="s">
        <v>691</v>
      </c>
      <c r="C338" s="8"/>
    </row>
    <row r="339" spans="1:3" x14ac:dyDescent="0.25">
      <c r="A339" s="11" t="s">
        <v>692</v>
      </c>
      <c r="B339" s="11" t="s">
        <v>693</v>
      </c>
      <c r="C339" s="8"/>
    </row>
    <row r="340" spans="1:3" x14ac:dyDescent="0.25">
      <c r="A340" s="11" t="s">
        <v>694</v>
      </c>
      <c r="B340" s="11" t="s">
        <v>695</v>
      </c>
      <c r="C340" s="8"/>
    </row>
    <row r="341" spans="1:3" x14ac:dyDescent="0.25">
      <c r="A341" s="11" t="s">
        <v>696</v>
      </c>
      <c r="B341" s="11" t="s">
        <v>697</v>
      </c>
      <c r="C341" s="8"/>
    </row>
    <row r="342" spans="1:3" x14ac:dyDescent="0.25">
      <c r="A342" s="11" t="s">
        <v>698</v>
      </c>
      <c r="B342" s="11" t="s">
        <v>699</v>
      </c>
      <c r="C342" s="8"/>
    </row>
    <row r="343" spans="1:3" x14ac:dyDescent="0.25">
      <c r="A343" s="11" t="s">
        <v>700</v>
      </c>
      <c r="B343" s="11" t="s">
        <v>701</v>
      </c>
      <c r="C343" s="8"/>
    </row>
    <row r="344" spans="1:3" x14ac:dyDescent="0.25">
      <c r="A344" s="11" t="s">
        <v>702</v>
      </c>
      <c r="B344" s="11" t="s">
        <v>703</v>
      </c>
      <c r="C344" s="8"/>
    </row>
    <row r="345" spans="1:3" x14ac:dyDescent="0.25">
      <c r="A345" s="11" t="s">
        <v>704</v>
      </c>
      <c r="B345" s="11" t="s">
        <v>345</v>
      </c>
      <c r="C345" s="8"/>
    </row>
    <row r="346" spans="1:3" x14ac:dyDescent="0.25">
      <c r="A346" s="11" t="s">
        <v>705</v>
      </c>
      <c r="B346" s="11" t="s">
        <v>706</v>
      </c>
      <c r="C346" s="8"/>
    </row>
    <row r="347" spans="1:3" x14ac:dyDescent="0.25">
      <c r="A347" s="11" t="s">
        <v>707</v>
      </c>
      <c r="B347" s="11" t="s">
        <v>708</v>
      </c>
      <c r="C347" s="8"/>
    </row>
    <row r="348" spans="1:3" x14ac:dyDescent="0.25">
      <c r="A348" s="11" t="s">
        <v>709</v>
      </c>
      <c r="B348" s="11" t="s">
        <v>710</v>
      </c>
      <c r="C348" s="8"/>
    </row>
    <row r="349" spans="1:3" x14ac:dyDescent="0.25">
      <c r="A349" s="11" t="s">
        <v>711</v>
      </c>
      <c r="B349" s="11" t="s">
        <v>712</v>
      </c>
      <c r="C349" s="8"/>
    </row>
    <row r="350" spans="1:3" x14ac:dyDescent="0.25">
      <c r="A350" s="11" t="s">
        <v>713</v>
      </c>
      <c r="B350" s="11" t="s">
        <v>714</v>
      </c>
      <c r="C350" s="8"/>
    </row>
    <row r="351" spans="1:3" x14ac:dyDescent="0.25">
      <c r="A351" s="11" t="s">
        <v>715</v>
      </c>
      <c r="B351" s="11" t="s">
        <v>716</v>
      </c>
      <c r="C351" s="8"/>
    </row>
    <row r="352" spans="1:3" x14ac:dyDescent="0.25">
      <c r="A352" s="11" t="s">
        <v>717</v>
      </c>
      <c r="B352" s="11" t="s">
        <v>718</v>
      </c>
      <c r="C352" s="8"/>
    </row>
    <row r="353" spans="1:3" x14ac:dyDescent="0.25">
      <c r="A353" s="11" t="s">
        <v>719</v>
      </c>
      <c r="B353" s="11" t="s">
        <v>720</v>
      </c>
      <c r="C353" s="8"/>
    </row>
    <row r="354" spans="1:3" x14ac:dyDescent="0.25">
      <c r="A354" s="11" t="s">
        <v>721</v>
      </c>
      <c r="B354" s="11" t="s">
        <v>722</v>
      </c>
      <c r="C354" s="8"/>
    </row>
    <row r="355" spans="1:3" x14ac:dyDescent="0.25">
      <c r="A355" s="11" t="s">
        <v>723</v>
      </c>
      <c r="B355" s="11" t="s">
        <v>724</v>
      </c>
      <c r="C355" s="8"/>
    </row>
    <row r="356" spans="1:3" x14ac:dyDescent="0.25">
      <c r="A356" s="11" t="s">
        <v>725</v>
      </c>
      <c r="B356" s="11" t="s">
        <v>726</v>
      </c>
      <c r="C356" s="8"/>
    </row>
    <row r="357" spans="1:3" x14ac:dyDescent="0.25">
      <c r="A357" s="11" t="s">
        <v>727</v>
      </c>
      <c r="B357" s="11" t="s">
        <v>346</v>
      </c>
      <c r="C357" s="8"/>
    </row>
    <row r="358" spans="1:3" x14ac:dyDescent="0.25">
      <c r="A358" s="11" t="s">
        <v>728</v>
      </c>
      <c r="B358" s="11" t="s">
        <v>729</v>
      </c>
      <c r="C358" s="8"/>
    </row>
    <row r="359" spans="1:3" x14ac:dyDescent="0.25">
      <c r="A359" s="11" t="s">
        <v>730</v>
      </c>
      <c r="B359" s="11" t="s">
        <v>731</v>
      </c>
      <c r="C359" s="8"/>
    </row>
    <row r="360" spans="1:3" x14ac:dyDescent="0.25">
      <c r="A360" s="11" t="s">
        <v>732</v>
      </c>
      <c r="B360" s="11" t="s">
        <v>733</v>
      </c>
      <c r="C360" s="8"/>
    </row>
    <row r="361" spans="1:3" x14ac:dyDescent="0.25">
      <c r="A361" s="11" t="s">
        <v>734</v>
      </c>
      <c r="B361" s="11" t="s">
        <v>735</v>
      </c>
      <c r="C361" s="8"/>
    </row>
    <row r="362" spans="1:3" x14ac:dyDescent="0.25">
      <c r="A362" s="11" t="s">
        <v>736</v>
      </c>
      <c r="B362" s="11" t="s">
        <v>737</v>
      </c>
      <c r="C362" s="8"/>
    </row>
    <row r="363" spans="1:3" x14ac:dyDescent="0.25">
      <c r="A363" s="11" t="s">
        <v>738</v>
      </c>
      <c r="B363" s="11" t="s">
        <v>739</v>
      </c>
      <c r="C363" s="8"/>
    </row>
    <row r="364" spans="1:3" x14ac:dyDescent="0.25">
      <c r="A364" s="11" t="s">
        <v>740</v>
      </c>
      <c r="B364" s="11" t="s">
        <v>741</v>
      </c>
      <c r="C364" s="8"/>
    </row>
    <row r="365" spans="1:3" x14ac:dyDescent="0.25">
      <c r="A365" s="11" t="s">
        <v>742</v>
      </c>
      <c r="B365" s="11" t="s">
        <v>743</v>
      </c>
      <c r="C365" s="8"/>
    </row>
    <row r="366" spans="1:3" x14ac:dyDescent="0.25">
      <c r="A366" s="11" t="s">
        <v>744</v>
      </c>
      <c r="B366" s="11" t="s">
        <v>745</v>
      </c>
      <c r="C366" s="8"/>
    </row>
    <row r="367" spans="1:3" x14ac:dyDescent="0.25">
      <c r="A367" s="11" t="s">
        <v>746</v>
      </c>
      <c r="B367" s="11" t="s">
        <v>747</v>
      </c>
      <c r="C367" s="8"/>
    </row>
    <row r="368" spans="1:3" x14ac:dyDescent="0.25">
      <c r="A368" s="11" t="s">
        <v>748</v>
      </c>
      <c r="B368" s="11" t="s">
        <v>749</v>
      </c>
      <c r="C368" s="8"/>
    </row>
    <row r="369" spans="1:3" x14ac:dyDescent="0.25">
      <c r="A369" s="11" t="s">
        <v>750</v>
      </c>
      <c r="B369" s="11" t="s">
        <v>751</v>
      </c>
      <c r="C369" s="8"/>
    </row>
    <row r="370" spans="1:3" x14ac:dyDescent="0.25">
      <c r="A370" s="11" t="s">
        <v>752</v>
      </c>
      <c r="B370" s="11" t="s">
        <v>753</v>
      </c>
      <c r="C370" s="8"/>
    </row>
    <row r="371" spans="1:3" x14ac:dyDescent="0.25">
      <c r="A371" s="11" t="s">
        <v>754</v>
      </c>
      <c r="B371" s="11" t="s">
        <v>755</v>
      </c>
      <c r="C371" s="8"/>
    </row>
    <row r="372" spans="1:3" x14ac:dyDescent="0.25">
      <c r="A372" s="11" t="s">
        <v>756</v>
      </c>
      <c r="B372" s="11" t="s">
        <v>757</v>
      </c>
      <c r="C372" s="8"/>
    </row>
    <row r="373" spans="1:3" x14ac:dyDescent="0.25">
      <c r="A373" s="11" t="s">
        <v>758</v>
      </c>
      <c r="B373" s="11" t="s">
        <v>759</v>
      </c>
      <c r="C373" s="8"/>
    </row>
    <row r="374" spans="1:3" x14ac:dyDescent="0.25">
      <c r="A374" s="11" t="s">
        <v>760</v>
      </c>
      <c r="B374" s="11" t="s">
        <v>761</v>
      </c>
      <c r="C374" s="8"/>
    </row>
    <row r="375" spans="1:3" x14ac:dyDescent="0.25">
      <c r="A375" s="11" t="s">
        <v>762</v>
      </c>
      <c r="B375" s="11" t="s">
        <v>763</v>
      </c>
      <c r="C375" s="8"/>
    </row>
    <row r="376" spans="1:3" x14ac:dyDescent="0.25">
      <c r="A376" s="11" t="s">
        <v>764</v>
      </c>
      <c r="B376" s="11" t="s">
        <v>765</v>
      </c>
      <c r="C376" s="8"/>
    </row>
    <row r="377" spans="1:3" x14ac:dyDescent="0.25">
      <c r="A377" s="11" t="s">
        <v>766</v>
      </c>
      <c r="B377" s="11" t="s">
        <v>767</v>
      </c>
      <c r="C377" s="8"/>
    </row>
    <row r="378" spans="1:3" x14ac:dyDescent="0.25">
      <c r="A378" s="11" t="s">
        <v>768</v>
      </c>
      <c r="B378" s="11" t="s">
        <v>769</v>
      </c>
      <c r="C378" s="8"/>
    </row>
    <row r="379" spans="1:3" x14ac:dyDescent="0.25">
      <c r="A379" s="11" t="s">
        <v>770</v>
      </c>
      <c r="B379" s="11" t="s">
        <v>771</v>
      </c>
      <c r="C379" s="8"/>
    </row>
    <row r="380" spans="1:3" x14ac:dyDescent="0.25">
      <c r="A380" s="11" t="s">
        <v>772</v>
      </c>
      <c r="B380" s="11" t="s">
        <v>773</v>
      </c>
      <c r="C380" s="8"/>
    </row>
    <row r="381" spans="1:3" x14ac:dyDescent="0.25">
      <c r="A381" s="11" t="s">
        <v>774</v>
      </c>
      <c r="B381" s="11" t="s">
        <v>775</v>
      </c>
      <c r="C381" s="8"/>
    </row>
    <row r="382" spans="1:3" x14ac:dyDescent="0.25">
      <c r="A382" s="11" t="s">
        <v>776</v>
      </c>
      <c r="B382" s="11" t="s">
        <v>777</v>
      </c>
      <c r="C382" s="8"/>
    </row>
    <row r="383" spans="1:3" x14ac:dyDescent="0.25">
      <c r="A383" s="11" t="s">
        <v>778</v>
      </c>
      <c r="B383" s="11" t="s">
        <v>779</v>
      </c>
      <c r="C383" s="8"/>
    </row>
    <row r="384" spans="1:3" x14ac:dyDescent="0.25">
      <c r="A384" s="11" t="s">
        <v>780</v>
      </c>
      <c r="B384" s="11" t="s">
        <v>781</v>
      </c>
      <c r="C384" s="8"/>
    </row>
    <row r="385" spans="1:3" x14ac:dyDescent="0.25">
      <c r="A385" s="11" t="s">
        <v>782</v>
      </c>
      <c r="B385" s="11" t="s">
        <v>783</v>
      </c>
      <c r="C385" s="8"/>
    </row>
    <row r="386" spans="1:3" x14ac:dyDescent="0.25">
      <c r="A386" s="11" t="s">
        <v>784</v>
      </c>
      <c r="B386" s="11" t="s">
        <v>785</v>
      </c>
      <c r="C386" s="8"/>
    </row>
    <row r="387" spans="1:3" x14ac:dyDescent="0.25">
      <c r="A387" s="11" t="s">
        <v>786</v>
      </c>
      <c r="B387" s="11" t="s">
        <v>787</v>
      </c>
      <c r="C387" s="8"/>
    </row>
    <row r="388" spans="1:3" x14ac:dyDescent="0.25">
      <c r="A388" s="11" t="s">
        <v>788</v>
      </c>
      <c r="B388" s="11" t="s">
        <v>789</v>
      </c>
      <c r="C388" s="8"/>
    </row>
    <row r="389" spans="1:3" x14ac:dyDescent="0.25">
      <c r="A389" s="11" t="s">
        <v>790</v>
      </c>
      <c r="B389" s="11" t="s">
        <v>791</v>
      </c>
      <c r="C389" s="8"/>
    </row>
    <row r="390" spans="1:3" x14ac:dyDescent="0.25">
      <c r="A390" s="11" t="s">
        <v>792</v>
      </c>
      <c r="B390" s="11" t="s">
        <v>793</v>
      </c>
      <c r="C390" s="8"/>
    </row>
    <row r="391" spans="1:3" x14ac:dyDescent="0.25">
      <c r="A391" s="11" t="s">
        <v>794</v>
      </c>
      <c r="B391" s="11" t="s">
        <v>795</v>
      </c>
      <c r="C391" s="8"/>
    </row>
    <row r="392" spans="1:3" x14ac:dyDescent="0.25">
      <c r="A392" s="11" t="s">
        <v>796</v>
      </c>
      <c r="B392" s="11" t="s">
        <v>347</v>
      </c>
      <c r="C392" s="8"/>
    </row>
    <row r="393" spans="1:3" x14ac:dyDescent="0.25">
      <c r="A393" s="11" t="s">
        <v>797</v>
      </c>
      <c r="B393" s="11" t="s">
        <v>798</v>
      </c>
      <c r="C393" s="8"/>
    </row>
    <row r="394" spans="1:3" x14ac:dyDescent="0.25">
      <c r="A394" s="11" t="s">
        <v>799</v>
      </c>
      <c r="B394" s="11" t="s">
        <v>800</v>
      </c>
      <c r="C394" s="8"/>
    </row>
    <row r="395" spans="1:3" x14ac:dyDescent="0.25">
      <c r="A395" s="11" t="s">
        <v>801</v>
      </c>
      <c r="B395" s="11" t="s">
        <v>802</v>
      </c>
      <c r="C395" s="8"/>
    </row>
    <row r="396" spans="1:3" x14ac:dyDescent="0.25">
      <c r="A396" s="11" t="s">
        <v>803</v>
      </c>
      <c r="B396" s="11" t="s">
        <v>804</v>
      </c>
      <c r="C396" s="8"/>
    </row>
    <row r="397" spans="1:3" x14ac:dyDescent="0.25">
      <c r="A397" s="11" t="s">
        <v>805</v>
      </c>
      <c r="B397" s="11" t="s">
        <v>806</v>
      </c>
      <c r="C397" s="8"/>
    </row>
    <row r="398" spans="1:3" x14ac:dyDescent="0.25">
      <c r="A398" s="11" t="s">
        <v>807</v>
      </c>
      <c r="B398" s="11" t="s">
        <v>808</v>
      </c>
      <c r="C398" s="8"/>
    </row>
    <row r="399" spans="1:3" x14ac:dyDescent="0.25">
      <c r="A399" s="11" t="s">
        <v>809</v>
      </c>
      <c r="B399" s="11" t="s">
        <v>810</v>
      </c>
      <c r="C399" s="8"/>
    </row>
    <row r="400" spans="1:3" x14ac:dyDescent="0.25">
      <c r="A400" s="11" t="s">
        <v>811</v>
      </c>
      <c r="B400" s="11" t="s">
        <v>812</v>
      </c>
      <c r="C400" s="8"/>
    </row>
    <row r="401" spans="1:3" x14ac:dyDescent="0.25">
      <c r="A401" s="11" t="s">
        <v>813</v>
      </c>
      <c r="B401" s="11" t="s">
        <v>814</v>
      </c>
      <c r="C401" s="8"/>
    </row>
    <row r="402" spans="1:3" x14ac:dyDescent="0.25">
      <c r="A402" s="11" t="s">
        <v>815</v>
      </c>
      <c r="B402" s="11" t="s">
        <v>816</v>
      </c>
      <c r="C402" s="8"/>
    </row>
    <row r="403" spans="1:3" x14ac:dyDescent="0.25">
      <c r="A403" s="11" t="s">
        <v>817</v>
      </c>
      <c r="B403" s="11" t="s">
        <v>818</v>
      </c>
      <c r="C403" s="8"/>
    </row>
    <row r="404" spans="1:3" x14ac:dyDescent="0.25">
      <c r="A404" s="11" t="s">
        <v>819</v>
      </c>
      <c r="B404" s="11" t="s">
        <v>820</v>
      </c>
      <c r="C404" s="8"/>
    </row>
    <row r="405" spans="1:3" x14ac:dyDescent="0.25">
      <c r="A405" s="11" t="s">
        <v>821</v>
      </c>
      <c r="B405" s="11" t="s">
        <v>822</v>
      </c>
      <c r="C405" s="8"/>
    </row>
    <row r="406" spans="1:3" x14ac:dyDescent="0.25">
      <c r="A406" s="11" t="s">
        <v>823</v>
      </c>
      <c r="B406" s="11" t="s">
        <v>824</v>
      </c>
      <c r="C406" s="8"/>
    </row>
    <row r="407" spans="1:3" x14ac:dyDescent="0.25">
      <c r="A407" s="11" t="s">
        <v>825</v>
      </c>
      <c r="B407" s="11" t="s">
        <v>826</v>
      </c>
      <c r="C407" s="8"/>
    </row>
    <row r="408" spans="1:3" x14ac:dyDescent="0.25">
      <c r="A408" s="11" t="s">
        <v>827</v>
      </c>
      <c r="B408" s="11" t="s">
        <v>828</v>
      </c>
      <c r="C408" s="8"/>
    </row>
    <row r="409" spans="1:3" x14ac:dyDescent="0.25">
      <c r="A409" s="11" t="s">
        <v>829</v>
      </c>
      <c r="B409" s="11" t="s">
        <v>830</v>
      </c>
      <c r="C409" s="8"/>
    </row>
    <row r="410" spans="1:3" x14ac:dyDescent="0.25">
      <c r="A410" s="11" t="s">
        <v>831</v>
      </c>
      <c r="B410" s="11" t="s">
        <v>832</v>
      </c>
      <c r="C410" s="8"/>
    </row>
    <row r="411" spans="1:3" x14ac:dyDescent="0.25">
      <c r="A411" s="11" t="s">
        <v>833</v>
      </c>
      <c r="B411" s="11" t="s">
        <v>834</v>
      </c>
      <c r="C411" s="8"/>
    </row>
    <row r="412" spans="1:3" x14ac:dyDescent="0.25">
      <c r="A412" s="11" t="s">
        <v>835</v>
      </c>
      <c r="B412" s="11" t="s">
        <v>836</v>
      </c>
      <c r="C412" s="8"/>
    </row>
    <row r="413" spans="1:3" x14ac:dyDescent="0.25">
      <c r="A413" s="11" t="s">
        <v>837</v>
      </c>
      <c r="B413" s="11" t="s">
        <v>838</v>
      </c>
      <c r="C413" s="8"/>
    </row>
    <row r="414" spans="1:3" x14ac:dyDescent="0.25">
      <c r="A414" s="11" t="s">
        <v>839</v>
      </c>
      <c r="B414" s="11" t="s">
        <v>840</v>
      </c>
      <c r="C414" s="8"/>
    </row>
    <row r="415" spans="1:3" x14ac:dyDescent="0.25">
      <c r="A415" s="11" t="s">
        <v>841</v>
      </c>
      <c r="B415" s="11" t="s">
        <v>842</v>
      </c>
      <c r="C415" s="8"/>
    </row>
    <row r="416" spans="1:3" x14ac:dyDescent="0.25">
      <c r="A416" s="11"/>
      <c r="B416" s="11"/>
      <c r="C416" s="8"/>
    </row>
    <row r="417" spans="1:5" ht="18.75" x14ac:dyDescent="0.3">
      <c r="A417" s="9" t="s">
        <v>843</v>
      </c>
      <c r="B417" s="9"/>
      <c r="C417" s="7" t="s">
        <v>64</v>
      </c>
      <c r="E417" s="16">
        <v>6</v>
      </c>
    </row>
    <row r="418" spans="1:5" x14ac:dyDescent="0.25">
      <c r="A418" s="10" t="s">
        <v>65</v>
      </c>
      <c r="B418" s="10" t="s">
        <v>66</v>
      </c>
    </row>
    <row r="419" spans="1:5" x14ac:dyDescent="0.25">
      <c r="A419" s="11" t="s">
        <v>16</v>
      </c>
      <c r="B419" s="11" t="s">
        <v>844</v>
      </c>
      <c r="C419" s="8"/>
    </row>
    <row r="420" spans="1:5" x14ac:dyDescent="0.25">
      <c r="A420" s="11" t="s">
        <v>29</v>
      </c>
      <c r="B420" s="11" t="s">
        <v>845</v>
      </c>
      <c r="C420" s="8"/>
    </row>
    <row r="421" spans="1:5" x14ac:dyDescent="0.25">
      <c r="A421" s="11" t="s">
        <v>18</v>
      </c>
      <c r="B421" s="11" t="s">
        <v>846</v>
      </c>
      <c r="C421" s="8"/>
    </row>
    <row r="422" spans="1:5" x14ac:dyDescent="0.25">
      <c r="A422" s="11" t="s">
        <v>301</v>
      </c>
      <c r="B422" s="11" t="s">
        <v>847</v>
      </c>
      <c r="C422" s="8"/>
    </row>
    <row r="423" spans="1:5" x14ac:dyDescent="0.25">
      <c r="A423" s="11" t="s">
        <v>36</v>
      </c>
      <c r="B423" s="11" t="s">
        <v>848</v>
      </c>
      <c r="C423" s="8"/>
    </row>
    <row r="424" spans="1:5" x14ac:dyDescent="0.25">
      <c r="A424" s="11" t="s">
        <v>30</v>
      </c>
      <c r="B424" s="11" t="s">
        <v>849</v>
      </c>
      <c r="C424" s="8"/>
    </row>
    <row r="425" spans="1:5" x14ac:dyDescent="0.25">
      <c r="A425" s="11" t="s">
        <v>305</v>
      </c>
      <c r="B425" s="11" t="s">
        <v>850</v>
      </c>
      <c r="C425" s="8"/>
    </row>
    <row r="426" spans="1:5" x14ac:dyDescent="0.25">
      <c r="A426" s="11" t="s">
        <v>307</v>
      </c>
      <c r="B426" s="11" t="s">
        <v>851</v>
      </c>
      <c r="C426" s="8"/>
    </row>
    <row r="427" spans="1:5" x14ac:dyDescent="0.25">
      <c r="A427" s="11"/>
      <c r="B427" s="11"/>
      <c r="C427" s="8"/>
    </row>
    <row r="428" spans="1:5" ht="18.75" x14ac:dyDescent="0.3">
      <c r="A428" s="9" t="s">
        <v>852</v>
      </c>
      <c r="B428" s="9"/>
      <c r="C428" s="7" t="s">
        <v>64</v>
      </c>
      <c r="E428" s="16">
        <v>7</v>
      </c>
    </row>
    <row r="429" spans="1:5" x14ac:dyDescent="0.25">
      <c r="A429" s="10" t="s">
        <v>65</v>
      </c>
      <c r="B429" s="10" t="s">
        <v>66</v>
      </c>
    </row>
    <row r="430" spans="1:5" x14ac:dyDescent="0.25">
      <c r="A430" s="11" t="s">
        <v>853</v>
      </c>
      <c r="B430" s="11" t="s">
        <v>854</v>
      </c>
      <c r="C430" s="8"/>
    </row>
    <row r="431" spans="1:5" x14ac:dyDescent="0.25">
      <c r="A431" s="11" t="s">
        <v>855</v>
      </c>
      <c r="B431" s="11" t="s">
        <v>856</v>
      </c>
      <c r="C431" s="8"/>
    </row>
    <row r="432" spans="1:5" x14ac:dyDescent="0.25">
      <c r="A432" s="11" t="s">
        <v>857</v>
      </c>
      <c r="B432" s="11" t="s">
        <v>858</v>
      </c>
      <c r="C432" s="8"/>
    </row>
    <row r="433" spans="1:3" x14ac:dyDescent="0.25">
      <c r="A433" s="11" t="s">
        <v>859</v>
      </c>
      <c r="B433" s="11" t="s">
        <v>860</v>
      </c>
      <c r="C433" s="8"/>
    </row>
    <row r="434" spans="1:3" x14ac:dyDescent="0.25">
      <c r="A434" s="11" t="s">
        <v>861</v>
      </c>
      <c r="B434" s="11" t="s">
        <v>862</v>
      </c>
      <c r="C434" s="8"/>
    </row>
    <row r="435" spans="1:3" x14ac:dyDescent="0.25">
      <c r="A435" s="11" t="s">
        <v>863</v>
      </c>
      <c r="B435" s="11" t="s">
        <v>864</v>
      </c>
      <c r="C435" s="8"/>
    </row>
    <row r="436" spans="1:3" x14ac:dyDescent="0.25">
      <c r="A436" s="11" t="s">
        <v>865</v>
      </c>
      <c r="B436" s="11" t="s">
        <v>866</v>
      </c>
      <c r="C436" s="8"/>
    </row>
    <row r="437" spans="1:3" x14ac:dyDescent="0.25">
      <c r="A437" s="11" t="s">
        <v>867</v>
      </c>
      <c r="B437" s="11" t="s">
        <v>868</v>
      </c>
      <c r="C437" s="8"/>
    </row>
    <row r="438" spans="1:3" x14ac:dyDescent="0.25">
      <c r="A438" s="11" t="s">
        <v>869</v>
      </c>
      <c r="B438" s="11" t="s">
        <v>870</v>
      </c>
      <c r="C438" s="8"/>
    </row>
    <row r="439" spans="1:3" x14ac:dyDescent="0.25">
      <c r="A439" s="11" t="s">
        <v>871</v>
      </c>
      <c r="B439" s="11" t="s">
        <v>872</v>
      </c>
      <c r="C439" s="8"/>
    </row>
    <row r="440" spans="1:3" x14ac:dyDescent="0.25">
      <c r="A440" s="11" t="s">
        <v>873</v>
      </c>
      <c r="B440" s="11" t="s">
        <v>874</v>
      </c>
      <c r="C440" s="8"/>
    </row>
    <row r="441" spans="1:3" x14ac:dyDescent="0.25">
      <c r="A441" s="11" t="s">
        <v>875</v>
      </c>
      <c r="B441" s="11" t="s">
        <v>876</v>
      </c>
      <c r="C441" s="8"/>
    </row>
    <row r="442" spans="1:3" x14ac:dyDescent="0.25">
      <c r="A442" s="11" t="s">
        <v>877</v>
      </c>
      <c r="B442" s="11" t="s">
        <v>878</v>
      </c>
      <c r="C442" s="8"/>
    </row>
    <row r="443" spans="1:3" x14ac:dyDescent="0.25">
      <c r="A443" s="11" t="s">
        <v>879</v>
      </c>
      <c r="B443" s="11" t="s">
        <v>880</v>
      </c>
      <c r="C443" s="8"/>
    </row>
    <row r="444" spans="1:3" x14ac:dyDescent="0.25">
      <c r="A444" s="11" t="s">
        <v>881</v>
      </c>
      <c r="B444" s="11" t="s">
        <v>882</v>
      </c>
      <c r="C444" s="8"/>
    </row>
    <row r="445" spans="1:3" x14ac:dyDescent="0.25">
      <c r="A445" s="11" t="s">
        <v>883</v>
      </c>
      <c r="B445" s="11" t="s">
        <v>884</v>
      </c>
      <c r="C445" s="8"/>
    </row>
    <row r="446" spans="1:3" x14ac:dyDescent="0.25">
      <c r="A446" s="11" t="s">
        <v>885</v>
      </c>
      <c r="B446" s="11" t="s">
        <v>886</v>
      </c>
      <c r="C446" s="8"/>
    </row>
    <row r="447" spans="1:3" x14ac:dyDescent="0.25">
      <c r="A447" s="11" t="s">
        <v>887</v>
      </c>
      <c r="B447" s="11" t="s">
        <v>888</v>
      </c>
      <c r="C447" s="8"/>
    </row>
    <row r="448" spans="1:3" x14ac:dyDescent="0.25">
      <c r="A448" s="11" t="s">
        <v>889</v>
      </c>
      <c r="B448" s="11" t="s">
        <v>890</v>
      </c>
      <c r="C448" s="8"/>
    </row>
    <row r="449" spans="1:3" x14ac:dyDescent="0.25">
      <c r="A449" s="11" t="s">
        <v>891</v>
      </c>
      <c r="B449" s="11" t="s">
        <v>892</v>
      </c>
      <c r="C449" s="8"/>
    </row>
    <row r="450" spans="1:3" x14ac:dyDescent="0.25">
      <c r="A450" s="11" t="s">
        <v>893</v>
      </c>
      <c r="B450" s="11" t="s">
        <v>894</v>
      </c>
      <c r="C450" s="8"/>
    </row>
    <row r="451" spans="1:3" x14ac:dyDescent="0.25">
      <c r="A451" s="11" t="s">
        <v>895</v>
      </c>
      <c r="B451" s="11" t="s">
        <v>896</v>
      </c>
      <c r="C451" s="8"/>
    </row>
    <row r="452" spans="1:3" x14ac:dyDescent="0.25">
      <c r="A452" s="11" t="s">
        <v>897</v>
      </c>
      <c r="B452" s="11" t="s">
        <v>898</v>
      </c>
      <c r="C452" s="8"/>
    </row>
    <row r="453" spans="1:3" x14ac:dyDescent="0.25">
      <c r="A453" s="11" t="s">
        <v>899</v>
      </c>
      <c r="B453" s="11" t="s">
        <v>900</v>
      </c>
      <c r="C453" s="8"/>
    </row>
    <row r="454" spans="1:3" x14ac:dyDescent="0.25">
      <c r="A454" s="11" t="s">
        <v>901</v>
      </c>
      <c r="B454" s="11" t="s">
        <v>902</v>
      </c>
      <c r="C454" s="8"/>
    </row>
    <row r="455" spans="1:3" x14ac:dyDescent="0.25">
      <c r="A455" s="11" t="s">
        <v>903</v>
      </c>
      <c r="B455" s="11" t="s">
        <v>904</v>
      </c>
      <c r="C455" s="8"/>
    </row>
    <row r="456" spans="1:3" x14ac:dyDescent="0.25">
      <c r="A456" s="11" t="s">
        <v>905</v>
      </c>
      <c r="B456" s="11" t="s">
        <v>906</v>
      </c>
      <c r="C456" s="8"/>
    </row>
    <row r="457" spans="1:3" x14ac:dyDescent="0.25">
      <c r="A457" s="11" t="s">
        <v>907</v>
      </c>
      <c r="B457" s="11" t="s">
        <v>908</v>
      </c>
      <c r="C457" s="8"/>
    </row>
    <row r="458" spans="1:3" x14ac:dyDescent="0.25">
      <c r="A458" s="11" t="s">
        <v>909</v>
      </c>
      <c r="B458" s="11" t="s">
        <v>910</v>
      </c>
      <c r="C458" s="8"/>
    </row>
    <row r="459" spans="1:3" x14ac:dyDescent="0.25">
      <c r="A459" s="11" t="s">
        <v>911</v>
      </c>
      <c r="B459" s="11" t="s">
        <v>912</v>
      </c>
      <c r="C459" s="8"/>
    </row>
    <row r="460" spans="1:3" x14ac:dyDescent="0.25">
      <c r="A460" s="11" t="s">
        <v>913</v>
      </c>
      <c r="B460" s="11" t="s">
        <v>914</v>
      </c>
      <c r="C460" s="8"/>
    </row>
    <row r="461" spans="1:3" x14ac:dyDescent="0.25">
      <c r="A461" s="11" t="s">
        <v>915</v>
      </c>
      <c r="B461" s="11" t="s">
        <v>916</v>
      </c>
      <c r="C461" s="8"/>
    </row>
    <row r="462" spans="1:3" x14ac:dyDescent="0.25">
      <c r="A462" s="11" t="s">
        <v>917</v>
      </c>
      <c r="B462" s="11" t="s">
        <v>918</v>
      </c>
      <c r="C462" s="8"/>
    </row>
    <row r="463" spans="1:3" x14ac:dyDescent="0.25">
      <c r="A463" s="11" t="s">
        <v>919</v>
      </c>
      <c r="B463" s="11" t="s">
        <v>920</v>
      </c>
      <c r="C463" s="8"/>
    </row>
    <row r="464" spans="1:3" x14ac:dyDescent="0.25">
      <c r="A464" s="11" t="s">
        <v>921</v>
      </c>
      <c r="B464" s="11" t="s">
        <v>922</v>
      </c>
      <c r="C464" s="8"/>
    </row>
    <row r="465" spans="1:3" x14ac:dyDescent="0.25">
      <c r="A465" s="11" t="s">
        <v>923</v>
      </c>
      <c r="B465" s="11" t="s">
        <v>924</v>
      </c>
      <c r="C465" s="8"/>
    </row>
    <row r="466" spans="1:3" x14ac:dyDescent="0.25">
      <c r="A466" s="11" t="s">
        <v>925</v>
      </c>
      <c r="B466" s="11" t="s">
        <v>926</v>
      </c>
      <c r="C466" s="8"/>
    </row>
    <row r="467" spans="1:3" x14ac:dyDescent="0.25">
      <c r="A467" s="11" t="s">
        <v>927</v>
      </c>
      <c r="B467" s="11" t="s">
        <v>928</v>
      </c>
      <c r="C467" s="8"/>
    </row>
    <row r="468" spans="1:3" x14ac:dyDescent="0.25">
      <c r="A468" s="11" t="s">
        <v>929</v>
      </c>
      <c r="B468" s="11" t="s">
        <v>930</v>
      </c>
      <c r="C468" s="8"/>
    </row>
    <row r="469" spans="1:3" x14ac:dyDescent="0.25">
      <c r="A469" s="11" t="s">
        <v>931</v>
      </c>
      <c r="B469" s="11" t="s">
        <v>932</v>
      </c>
      <c r="C469" s="8"/>
    </row>
    <row r="470" spans="1:3" x14ac:dyDescent="0.25">
      <c r="A470" s="11" t="s">
        <v>933</v>
      </c>
      <c r="B470" s="11" t="s">
        <v>934</v>
      </c>
      <c r="C470" s="8"/>
    </row>
    <row r="471" spans="1:3" x14ac:dyDescent="0.25">
      <c r="A471" s="11" t="s">
        <v>935</v>
      </c>
      <c r="B471" s="11" t="s">
        <v>936</v>
      </c>
      <c r="C471" s="8"/>
    </row>
    <row r="472" spans="1:3" x14ac:dyDescent="0.25">
      <c r="A472" s="11" t="s">
        <v>937</v>
      </c>
      <c r="B472" s="11" t="s">
        <v>938</v>
      </c>
      <c r="C472" s="8"/>
    </row>
    <row r="473" spans="1:3" x14ac:dyDescent="0.25">
      <c r="A473" s="11" t="s">
        <v>939</v>
      </c>
      <c r="B473" s="11" t="s">
        <v>940</v>
      </c>
      <c r="C473" s="8"/>
    </row>
    <row r="474" spans="1:3" x14ac:dyDescent="0.25">
      <c r="A474" s="11" t="s">
        <v>941</v>
      </c>
      <c r="B474" s="11" t="s">
        <v>942</v>
      </c>
      <c r="C474" s="8"/>
    </row>
    <row r="475" spans="1:3" x14ac:dyDescent="0.25">
      <c r="A475" s="11" t="s">
        <v>943</v>
      </c>
      <c r="B475" s="11" t="s">
        <v>944</v>
      </c>
      <c r="C475" s="8"/>
    </row>
    <row r="476" spans="1:3" x14ac:dyDescent="0.25">
      <c r="A476" s="11" t="s">
        <v>945</v>
      </c>
      <c r="B476" s="11" t="s">
        <v>946</v>
      </c>
      <c r="C476" s="8"/>
    </row>
    <row r="477" spans="1:3" x14ac:dyDescent="0.25">
      <c r="A477" s="11" t="s">
        <v>947</v>
      </c>
      <c r="B477" s="11" t="s">
        <v>948</v>
      </c>
      <c r="C477" s="8"/>
    </row>
    <row r="478" spans="1:3" x14ac:dyDescent="0.25">
      <c r="A478" s="11" t="s">
        <v>949</v>
      </c>
      <c r="B478" s="11" t="s">
        <v>950</v>
      </c>
      <c r="C478" s="8"/>
    </row>
    <row r="479" spans="1:3" x14ac:dyDescent="0.25">
      <c r="A479" s="11" t="s">
        <v>951</v>
      </c>
      <c r="B479" s="11" t="s">
        <v>952</v>
      </c>
      <c r="C479" s="8"/>
    </row>
    <row r="480" spans="1:3" x14ac:dyDescent="0.25">
      <c r="A480" s="11" t="s">
        <v>953</v>
      </c>
      <c r="B480" s="11" t="s">
        <v>954</v>
      </c>
      <c r="C480" s="8"/>
    </row>
    <row r="481" spans="1:3" x14ac:dyDescent="0.25">
      <c r="A481" s="11" t="s">
        <v>955</v>
      </c>
      <c r="B481" s="11" t="s">
        <v>956</v>
      </c>
      <c r="C481" s="8"/>
    </row>
    <row r="482" spans="1:3" x14ac:dyDescent="0.25">
      <c r="A482" s="11" t="s">
        <v>957</v>
      </c>
      <c r="B482" s="11" t="s">
        <v>958</v>
      </c>
      <c r="C482" s="8"/>
    </row>
    <row r="483" spans="1:3" x14ac:dyDescent="0.25">
      <c r="A483" s="11" t="s">
        <v>959</v>
      </c>
      <c r="B483" s="11" t="s">
        <v>960</v>
      </c>
      <c r="C483" s="8"/>
    </row>
    <row r="484" spans="1:3" x14ac:dyDescent="0.25">
      <c r="A484" s="11" t="s">
        <v>961</v>
      </c>
      <c r="B484" s="11" t="s">
        <v>962</v>
      </c>
      <c r="C484" s="8"/>
    </row>
    <row r="485" spans="1:3" x14ac:dyDescent="0.25">
      <c r="A485" s="11" t="s">
        <v>963</v>
      </c>
      <c r="B485" s="11" t="s">
        <v>964</v>
      </c>
      <c r="C485" s="8"/>
    </row>
    <row r="486" spans="1:3" x14ac:dyDescent="0.25">
      <c r="A486" s="11" t="s">
        <v>965</v>
      </c>
      <c r="B486" s="11" t="s">
        <v>966</v>
      </c>
      <c r="C486" s="8"/>
    </row>
    <row r="487" spans="1:3" x14ac:dyDescent="0.25">
      <c r="A487" s="11" t="s">
        <v>967</v>
      </c>
      <c r="B487" s="11" t="s">
        <v>968</v>
      </c>
      <c r="C487" s="8"/>
    </row>
    <row r="488" spans="1:3" x14ac:dyDescent="0.25">
      <c r="A488" s="11" t="s">
        <v>969</v>
      </c>
      <c r="B488" s="11" t="s">
        <v>970</v>
      </c>
      <c r="C488" s="8"/>
    </row>
    <row r="489" spans="1:3" x14ac:dyDescent="0.25">
      <c r="A489" s="11" t="s">
        <v>971</v>
      </c>
      <c r="B489" s="11" t="s">
        <v>972</v>
      </c>
      <c r="C489" s="8"/>
    </row>
    <row r="490" spans="1:3" x14ac:dyDescent="0.25">
      <c r="A490" s="11" t="s">
        <v>973</v>
      </c>
      <c r="B490" s="11" t="s">
        <v>974</v>
      </c>
      <c r="C490" s="8"/>
    </row>
    <row r="491" spans="1:3" x14ac:dyDescent="0.25">
      <c r="A491" s="11" t="s">
        <v>975</v>
      </c>
      <c r="B491" s="11" t="s">
        <v>976</v>
      </c>
      <c r="C491" s="8"/>
    </row>
    <row r="492" spans="1:3" x14ac:dyDescent="0.25">
      <c r="A492" s="11" t="s">
        <v>977</v>
      </c>
      <c r="B492" s="11" t="s">
        <v>978</v>
      </c>
      <c r="C492" s="8"/>
    </row>
    <row r="493" spans="1:3" x14ac:dyDescent="0.25">
      <c r="A493" s="11" t="s">
        <v>979</v>
      </c>
      <c r="B493" s="11" t="s">
        <v>980</v>
      </c>
      <c r="C493" s="8"/>
    </row>
    <row r="494" spans="1:3" x14ac:dyDescent="0.25">
      <c r="A494" s="11" t="s">
        <v>981</v>
      </c>
      <c r="B494" s="11" t="s">
        <v>982</v>
      </c>
      <c r="C494" s="8"/>
    </row>
    <row r="495" spans="1:3" x14ac:dyDescent="0.25">
      <c r="A495" s="11" t="s">
        <v>983</v>
      </c>
      <c r="B495" s="11" t="s">
        <v>984</v>
      </c>
      <c r="C495" s="8"/>
    </row>
    <row r="496" spans="1:3" x14ac:dyDescent="0.25">
      <c r="A496" s="11" t="s">
        <v>985</v>
      </c>
      <c r="B496" s="11" t="s">
        <v>986</v>
      </c>
      <c r="C496" s="8"/>
    </row>
    <row r="497" spans="1:3" x14ac:dyDescent="0.25">
      <c r="A497" s="11" t="s">
        <v>987</v>
      </c>
      <c r="B497" s="11" t="s">
        <v>988</v>
      </c>
      <c r="C497" s="8"/>
    </row>
    <row r="498" spans="1:3" x14ac:dyDescent="0.25">
      <c r="A498" s="11" t="s">
        <v>989</v>
      </c>
      <c r="B498" s="11" t="s">
        <v>990</v>
      </c>
      <c r="C498" s="8"/>
    </row>
    <row r="499" spans="1:3" x14ac:dyDescent="0.25">
      <c r="A499" s="11" t="s">
        <v>991</v>
      </c>
      <c r="B499" s="11" t="s">
        <v>992</v>
      </c>
      <c r="C499" s="8"/>
    </row>
    <row r="500" spans="1:3" x14ac:dyDescent="0.25">
      <c r="A500" s="11" t="s">
        <v>993</v>
      </c>
      <c r="B500" s="11" t="s">
        <v>994</v>
      </c>
      <c r="C500" s="8"/>
    </row>
    <row r="501" spans="1:3" x14ac:dyDescent="0.25">
      <c r="A501" s="11" t="s">
        <v>995</v>
      </c>
      <c r="B501" s="11" t="s">
        <v>996</v>
      </c>
      <c r="C501" s="8"/>
    </row>
    <row r="502" spans="1:3" x14ac:dyDescent="0.25">
      <c r="A502" s="11" t="s">
        <v>997</v>
      </c>
      <c r="B502" s="11" t="s">
        <v>998</v>
      </c>
      <c r="C502" s="8"/>
    </row>
    <row r="503" spans="1:3" x14ac:dyDescent="0.25">
      <c r="A503" s="11" t="s">
        <v>999</v>
      </c>
      <c r="B503" s="11" t="s">
        <v>1000</v>
      </c>
      <c r="C503" s="8"/>
    </row>
    <row r="504" spans="1:3" x14ac:dyDescent="0.25">
      <c r="A504" s="11" t="s">
        <v>1001</v>
      </c>
      <c r="B504" s="11" t="s">
        <v>1002</v>
      </c>
      <c r="C504" s="8"/>
    </row>
    <row r="505" spans="1:3" x14ac:dyDescent="0.25">
      <c r="A505" s="11" t="s">
        <v>1003</v>
      </c>
      <c r="B505" s="11" t="s">
        <v>1004</v>
      </c>
      <c r="C505" s="8"/>
    </row>
    <row r="506" spans="1:3" x14ac:dyDescent="0.25">
      <c r="A506" s="11" t="s">
        <v>1005</v>
      </c>
      <c r="B506" s="11" t="s">
        <v>1006</v>
      </c>
      <c r="C506" s="8"/>
    </row>
    <row r="507" spans="1:3" x14ac:dyDescent="0.25">
      <c r="A507" s="11" t="s">
        <v>1007</v>
      </c>
      <c r="B507" s="11" t="s">
        <v>1008</v>
      </c>
      <c r="C507" s="8"/>
    </row>
    <row r="508" spans="1:3" x14ac:dyDescent="0.25">
      <c r="A508" s="11" t="s">
        <v>1009</v>
      </c>
      <c r="B508" s="11" t="s">
        <v>1010</v>
      </c>
      <c r="C508" s="8"/>
    </row>
    <row r="509" spans="1:3" x14ac:dyDescent="0.25">
      <c r="A509" s="11" t="s">
        <v>1011</v>
      </c>
      <c r="B509" s="11" t="s">
        <v>1012</v>
      </c>
      <c r="C509" s="8"/>
    </row>
    <row r="510" spans="1:3" x14ac:dyDescent="0.25">
      <c r="A510" s="11" t="s">
        <v>1013</v>
      </c>
      <c r="B510" s="11" t="s">
        <v>1014</v>
      </c>
      <c r="C510" s="8"/>
    </row>
    <row r="511" spans="1:3" x14ac:dyDescent="0.25">
      <c r="A511" s="11" t="s">
        <v>1015</v>
      </c>
      <c r="B511" s="11" t="s">
        <v>1016</v>
      </c>
      <c r="C511" s="8"/>
    </row>
    <row r="512" spans="1:3" x14ac:dyDescent="0.25">
      <c r="A512" s="11" t="s">
        <v>1017</v>
      </c>
      <c r="B512" s="11" t="s">
        <v>1018</v>
      </c>
      <c r="C512" s="8"/>
    </row>
    <row r="513" spans="1:3" x14ac:dyDescent="0.25">
      <c r="A513" s="11" t="s">
        <v>1019</v>
      </c>
      <c r="B513" s="11" t="s">
        <v>1020</v>
      </c>
      <c r="C513" s="8"/>
    </row>
    <row r="514" spans="1:3" x14ac:dyDescent="0.25">
      <c r="A514" s="11" t="s">
        <v>1021</v>
      </c>
      <c r="B514" s="11" t="s">
        <v>1022</v>
      </c>
      <c r="C514" s="8"/>
    </row>
    <row r="515" spans="1:3" x14ac:dyDescent="0.25">
      <c r="A515" s="11" t="s">
        <v>1023</v>
      </c>
      <c r="B515" s="11" t="s">
        <v>1024</v>
      </c>
      <c r="C515" s="8"/>
    </row>
    <row r="516" spans="1:3" x14ac:dyDescent="0.25">
      <c r="A516" s="11" t="s">
        <v>1025</v>
      </c>
      <c r="B516" s="11" t="s">
        <v>1026</v>
      </c>
      <c r="C516" s="8"/>
    </row>
    <row r="517" spans="1:3" x14ac:dyDescent="0.25">
      <c r="A517" s="11" t="s">
        <v>1027</v>
      </c>
      <c r="B517" s="11" t="s">
        <v>1028</v>
      </c>
      <c r="C517" s="8"/>
    </row>
    <row r="518" spans="1:3" x14ac:dyDescent="0.25">
      <c r="A518" s="11" t="s">
        <v>1029</v>
      </c>
      <c r="B518" s="11" t="s">
        <v>1030</v>
      </c>
      <c r="C518" s="8"/>
    </row>
    <row r="519" spans="1:3" x14ac:dyDescent="0.25">
      <c r="A519" s="11" t="s">
        <v>1031</v>
      </c>
      <c r="B519" s="11" t="s">
        <v>1032</v>
      </c>
      <c r="C519" s="8"/>
    </row>
    <row r="520" spans="1:3" x14ac:dyDescent="0.25">
      <c r="A520" s="11" t="s">
        <v>1033</v>
      </c>
      <c r="B520" s="11" t="s">
        <v>1034</v>
      </c>
      <c r="C520" s="8"/>
    </row>
    <row r="521" spans="1:3" x14ac:dyDescent="0.25">
      <c r="A521" s="11" t="s">
        <v>1035</v>
      </c>
      <c r="B521" s="11" t="s">
        <v>1036</v>
      </c>
      <c r="C521" s="8"/>
    </row>
    <row r="522" spans="1:3" x14ac:dyDescent="0.25">
      <c r="A522" s="11" t="s">
        <v>1037</v>
      </c>
      <c r="B522" s="11" t="s">
        <v>1038</v>
      </c>
      <c r="C522" s="8"/>
    </row>
    <row r="523" spans="1:3" x14ac:dyDescent="0.25">
      <c r="A523" s="11" t="s">
        <v>1039</v>
      </c>
      <c r="B523" s="11" t="s">
        <v>1040</v>
      </c>
      <c r="C523" s="8"/>
    </row>
    <row r="524" spans="1:3" x14ac:dyDescent="0.25">
      <c r="A524" s="11" t="s">
        <v>1041</v>
      </c>
      <c r="B524" s="11" t="s">
        <v>1042</v>
      </c>
      <c r="C524" s="8"/>
    </row>
    <row r="525" spans="1:3" x14ac:dyDescent="0.25">
      <c r="A525" s="11" t="s">
        <v>1043</v>
      </c>
      <c r="B525" s="11" t="s">
        <v>1044</v>
      </c>
      <c r="C525" s="8"/>
    </row>
    <row r="526" spans="1:3" x14ac:dyDescent="0.25">
      <c r="A526" s="11" t="s">
        <v>1045</v>
      </c>
      <c r="B526" s="11" t="s">
        <v>1046</v>
      </c>
      <c r="C526" s="8"/>
    </row>
    <row r="527" spans="1:3" x14ac:dyDescent="0.25">
      <c r="A527" s="11" t="s">
        <v>1047</v>
      </c>
      <c r="B527" s="11" t="s">
        <v>1048</v>
      </c>
      <c r="C527" s="8"/>
    </row>
    <row r="528" spans="1:3" x14ac:dyDescent="0.25">
      <c r="A528" s="11" t="s">
        <v>1049</v>
      </c>
      <c r="B528" s="11" t="s">
        <v>1050</v>
      </c>
      <c r="C528" s="8"/>
    </row>
    <row r="529" spans="1:3" x14ac:dyDescent="0.25">
      <c r="A529" s="11" t="s">
        <v>1051</v>
      </c>
      <c r="B529" s="11" t="s">
        <v>1052</v>
      </c>
      <c r="C529" s="8"/>
    </row>
    <row r="530" spans="1:3" x14ac:dyDescent="0.25">
      <c r="A530" s="11" t="s">
        <v>1053</v>
      </c>
      <c r="B530" s="11" t="s">
        <v>1054</v>
      </c>
      <c r="C530" s="8"/>
    </row>
    <row r="531" spans="1:3" x14ac:dyDescent="0.25">
      <c r="A531" s="11" t="s">
        <v>1055</v>
      </c>
      <c r="B531" s="11" t="s">
        <v>1056</v>
      </c>
      <c r="C531" s="8"/>
    </row>
    <row r="532" spans="1:3" x14ac:dyDescent="0.25">
      <c r="A532" s="11" t="s">
        <v>1057</v>
      </c>
      <c r="B532" s="11" t="s">
        <v>1058</v>
      </c>
      <c r="C532" s="8"/>
    </row>
    <row r="533" spans="1:3" x14ac:dyDescent="0.25">
      <c r="A533" s="11" t="s">
        <v>1059</v>
      </c>
      <c r="B533" s="11" t="s">
        <v>1060</v>
      </c>
      <c r="C533" s="8"/>
    </row>
    <row r="534" spans="1:3" x14ac:dyDescent="0.25">
      <c r="A534" s="11" t="s">
        <v>1061</v>
      </c>
      <c r="B534" s="11" t="s">
        <v>1062</v>
      </c>
      <c r="C534" s="8"/>
    </row>
    <row r="535" spans="1:3" x14ac:dyDescent="0.25">
      <c r="A535" s="11" t="s">
        <v>1063</v>
      </c>
      <c r="B535" s="11" t="s">
        <v>1064</v>
      </c>
      <c r="C535" s="8"/>
    </row>
    <row r="536" spans="1:3" x14ac:dyDescent="0.25">
      <c r="A536" s="11" t="s">
        <v>1065</v>
      </c>
      <c r="B536" s="11" t="s">
        <v>1066</v>
      </c>
      <c r="C536" s="8"/>
    </row>
    <row r="537" spans="1:3" x14ac:dyDescent="0.25">
      <c r="A537" s="11" t="s">
        <v>1067</v>
      </c>
      <c r="B537" s="11" t="s">
        <v>1068</v>
      </c>
      <c r="C537" s="8"/>
    </row>
    <row r="538" spans="1:3" x14ac:dyDescent="0.25">
      <c r="A538" s="11" t="s">
        <v>1069</v>
      </c>
      <c r="B538" s="11" t="s">
        <v>1070</v>
      </c>
      <c r="C538" s="8"/>
    </row>
    <row r="539" spans="1:3" x14ac:dyDescent="0.25">
      <c r="A539" s="11" t="s">
        <v>1071</v>
      </c>
      <c r="B539" s="11" t="s">
        <v>1072</v>
      </c>
      <c r="C539" s="8"/>
    </row>
    <row r="540" spans="1:3" x14ac:dyDescent="0.25">
      <c r="A540" s="11" t="s">
        <v>1073</v>
      </c>
      <c r="B540" s="11" t="s">
        <v>1074</v>
      </c>
      <c r="C540" s="8"/>
    </row>
    <row r="541" spans="1:3" x14ac:dyDescent="0.25">
      <c r="A541" s="11" t="s">
        <v>1075</v>
      </c>
      <c r="B541" s="11" t="s">
        <v>1076</v>
      </c>
      <c r="C541" s="8"/>
    </row>
    <row r="542" spans="1:3" x14ac:dyDescent="0.25">
      <c r="A542" s="11" t="s">
        <v>1077</v>
      </c>
      <c r="B542" s="11" t="s">
        <v>1078</v>
      </c>
      <c r="C542" s="8"/>
    </row>
    <row r="543" spans="1:3" x14ac:dyDescent="0.25">
      <c r="A543" s="11" t="s">
        <v>1079</v>
      </c>
      <c r="B543" s="11" t="s">
        <v>1080</v>
      </c>
      <c r="C543" s="8"/>
    </row>
    <row r="544" spans="1:3" x14ac:dyDescent="0.25">
      <c r="A544" s="11" t="s">
        <v>1081</v>
      </c>
      <c r="B544" s="11" t="s">
        <v>1082</v>
      </c>
      <c r="C544" s="8"/>
    </row>
    <row r="545" spans="1:5" x14ac:dyDescent="0.25">
      <c r="A545" s="11" t="s">
        <v>1083</v>
      </c>
      <c r="B545" s="11" t="s">
        <v>1084</v>
      </c>
      <c r="C545" s="8"/>
    </row>
    <row r="546" spans="1:5" x14ac:dyDescent="0.25">
      <c r="A546" s="11" t="s">
        <v>1085</v>
      </c>
      <c r="B546" s="11" t="s">
        <v>1086</v>
      </c>
      <c r="C546" s="8"/>
    </row>
    <row r="547" spans="1:5" x14ac:dyDescent="0.25">
      <c r="A547" s="11" t="s">
        <v>1087</v>
      </c>
      <c r="B547" s="11" t="s">
        <v>1088</v>
      </c>
      <c r="C547" s="8"/>
    </row>
    <row r="548" spans="1:5" x14ac:dyDescent="0.25">
      <c r="A548" s="11" t="s">
        <v>1089</v>
      </c>
      <c r="B548" s="11" t="s">
        <v>1090</v>
      </c>
      <c r="C548" s="8"/>
    </row>
    <row r="549" spans="1:5" x14ac:dyDescent="0.25">
      <c r="A549" s="11" t="s">
        <v>1091</v>
      </c>
      <c r="B549" s="11" t="s">
        <v>1092</v>
      </c>
      <c r="C549" s="8"/>
    </row>
    <row r="550" spans="1:5" x14ac:dyDescent="0.25">
      <c r="A550" s="11" t="s">
        <v>1093</v>
      </c>
      <c r="B550" s="11" t="s">
        <v>1094</v>
      </c>
      <c r="C550" s="8"/>
    </row>
    <row r="551" spans="1:5" x14ac:dyDescent="0.25">
      <c r="A551" s="11" t="s">
        <v>1095</v>
      </c>
      <c r="B551" s="11" t="s">
        <v>1096</v>
      </c>
      <c r="C551" s="8"/>
    </row>
    <row r="552" spans="1:5" x14ac:dyDescent="0.25">
      <c r="A552" s="11" t="s">
        <v>1097</v>
      </c>
      <c r="B552" s="11" t="s">
        <v>1098</v>
      </c>
      <c r="C552" s="8"/>
    </row>
    <row r="553" spans="1:5" x14ac:dyDescent="0.25">
      <c r="A553" s="11" t="s">
        <v>1099</v>
      </c>
      <c r="B553" s="11" t="s">
        <v>1100</v>
      </c>
      <c r="C553" s="8"/>
    </row>
    <row r="554" spans="1:5" x14ac:dyDescent="0.25">
      <c r="A554" s="11" t="s">
        <v>1101</v>
      </c>
      <c r="B554" s="11" t="s">
        <v>1102</v>
      </c>
      <c r="C554" s="8"/>
    </row>
    <row r="555" spans="1:5" x14ac:dyDescent="0.25">
      <c r="A555" s="11" t="s">
        <v>1103</v>
      </c>
      <c r="B555" s="11" t="s">
        <v>1104</v>
      </c>
      <c r="C555" s="8"/>
    </row>
    <row r="556" spans="1:5" x14ac:dyDescent="0.25">
      <c r="A556" s="11" t="s">
        <v>1105</v>
      </c>
      <c r="B556" s="11" t="s">
        <v>1106</v>
      </c>
      <c r="C556" s="8"/>
    </row>
    <row r="557" spans="1:5" x14ac:dyDescent="0.25">
      <c r="A557" s="11"/>
      <c r="B557" s="11"/>
      <c r="C557" s="8"/>
    </row>
    <row r="558" spans="1:5" ht="18.75" x14ac:dyDescent="0.3">
      <c r="A558" s="9" t="s">
        <v>1107</v>
      </c>
      <c r="B558" s="9"/>
      <c r="C558" s="7" t="s">
        <v>64</v>
      </c>
      <c r="E558" s="16">
        <v>8</v>
      </c>
    </row>
    <row r="559" spans="1:5" x14ac:dyDescent="0.25">
      <c r="A559" s="10" t="s">
        <v>65</v>
      </c>
      <c r="B559" s="10" t="s">
        <v>66</v>
      </c>
    </row>
    <row r="560" spans="1:5" x14ac:dyDescent="0.25">
      <c r="A560" s="11" t="s">
        <v>16</v>
      </c>
      <c r="B560" s="11" t="s">
        <v>1108</v>
      </c>
      <c r="C560" s="8"/>
    </row>
    <row r="561" spans="1:5" x14ac:dyDescent="0.25">
      <c r="A561" s="11" t="s">
        <v>29</v>
      </c>
      <c r="B561" s="11" t="s">
        <v>1109</v>
      </c>
      <c r="C561" s="8"/>
    </row>
    <row r="562" spans="1:5" x14ac:dyDescent="0.25">
      <c r="A562" s="11" t="s">
        <v>18</v>
      </c>
      <c r="B562" s="11" t="s">
        <v>1110</v>
      </c>
      <c r="C562" s="8"/>
    </row>
    <row r="563" spans="1:5" x14ac:dyDescent="0.25">
      <c r="A563" s="11" t="s">
        <v>301</v>
      </c>
      <c r="B563" s="11" t="s">
        <v>1111</v>
      </c>
      <c r="C563" s="8"/>
    </row>
    <row r="564" spans="1:5" x14ac:dyDescent="0.25">
      <c r="A564" s="11" t="s">
        <v>36</v>
      </c>
      <c r="B564" s="11" t="s">
        <v>1112</v>
      </c>
      <c r="C564" s="8"/>
    </row>
    <row r="565" spans="1:5" x14ac:dyDescent="0.25">
      <c r="A565" s="11"/>
      <c r="B565" s="11"/>
      <c r="C565" s="8"/>
    </row>
    <row r="566" spans="1:5" ht="18.75" x14ac:dyDescent="0.3">
      <c r="A566" s="9" t="s">
        <v>11</v>
      </c>
      <c r="B566" s="9"/>
      <c r="C566" s="7" t="s">
        <v>64</v>
      </c>
      <c r="E566" s="16">
        <v>9</v>
      </c>
    </row>
    <row r="567" spans="1:5" x14ac:dyDescent="0.25">
      <c r="A567" s="10" t="s">
        <v>65</v>
      </c>
      <c r="B567" s="10" t="s">
        <v>66</v>
      </c>
    </row>
    <row r="568" spans="1:5" x14ac:dyDescent="0.25">
      <c r="A568" s="11" t="s">
        <v>1113</v>
      </c>
      <c r="B568" s="11" t="s">
        <v>1114</v>
      </c>
      <c r="C568" s="8"/>
    </row>
    <row r="569" spans="1:5" x14ac:dyDescent="0.25">
      <c r="A569" s="11" t="s">
        <v>1115</v>
      </c>
      <c r="B569" s="11" t="s">
        <v>1116</v>
      </c>
      <c r="C569" s="8"/>
    </row>
    <row r="570" spans="1:5" x14ac:dyDescent="0.25">
      <c r="A570" s="11" t="s">
        <v>1117</v>
      </c>
      <c r="B570" s="11" t="s">
        <v>1118</v>
      </c>
      <c r="C570" s="8"/>
    </row>
    <row r="571" spans="1:5" x14ac:dyDescent="0.25">
      <c r="A571" s="11" t="s">
        <v>1119</v>
      </c>
      <c r="B571" s="11" t="s">
        <v>1120</v>
      </c>
      <c r="C571" s="8"/>
    </row>
    <row r="572" spans="1:5" x14ac:dyDescent="0.25">
      <c r="A572" s="11" t="s">
        <v>1121</v>
      </c>
      <c r="B572" s="11" t="s">
        <v>1122</v>
      </c>
      <c r="C572" s="8"/>
    </row>
    <row r="573" spans="1:5" x14ac:dyDescent="0.25">
      <c r="A573" s="11" t="s">
        <v>1123</v>
      </c>
      <c r="B573" s="11" t="s">
        <v>1124</v>
      </c>
      <c r="C573" s="8"/>
    </row>
    <row r="574" spans="1:5" x14ac:dyDescent="0.25">
      <c r="A574" s="11" t="s">
        <v>1125</v>
      </c>
      <c r="B574" s="11" t="s">
        <v>1126</v>
      </c>
      <c r="C574" s="8"/>
    </row>
    <row r="575" spans="1:5" x14ac:dyDescent="0.25">
      <c r="A575" s="11" t="s">
        <v>1127</v>
      </c>
      <c r="B575" s="11" t="s">
        <v>1128</v>
      </c>
      <c r="C575" s="8"/>
    </row>
    <row r="576" spans="1:5" x14ac:dyDescent="0.25">
      <c r="A576" s="11" t="s">
        <v>1129</v>
      </c>
      <c r="B576" s="11" t="s">
        <v>1130</v>
      </c>
      <c r="C576" s="8"/>
    </row>
    <row r="577" spans="1:3" x14ac:dyDescent="0.25">
      <c r="A577" s="11" t="s">
        <v>1131</v>
      </c>
      <c r="B577" s="11" t="s">
        <v>1132</v>
      </c>
      <c r="C577" s="8"/>
    </row>
    <row r="578" spans="1:3" x14ac:dyDescent="0.25">
      <c r="A578" s="11" t="s">
        <v>1133</v>
      </c>
      <c r="B578" s="11" t="s">
        <v>1134</v>
      </c>
      <c r="C578" s="8"/>
    </row>
    <row r="579" spans="1:3" x14ac:dyDescent="0.25">
      <c r="A579" s="11" t="s">
        <v>1135</v>
      </c>
      <c r="B579" s="11" t="s">
        <v>1136</v>
      </c>
      <c r="C579" s="8"/>
    </row>
    <row r="580" spans="1:3" x14ac:dyDescent="0.25">
      <c r="A580" s="11" t="s">
        <v>1137</v>
      </c>
      <c r="B580" s="11" t="s">
        <v>1138</v>
      </c>
      <c r="C580" s="8"/>
    </row>
    <row r="581" spans="1:3" x14ac:dyDescent="0.25">
      <c r="A581" s="11" t="s">
        <v>1139</v>
      </c>
      <c r="B581" s="11" t="s">
        <v>1140</v>
      </c>
      <c r="C581" s="8"/>
    </row>
    <row r="582" spans="1:3" x14ac:dyDescent="0.25">
      <c r="A582" s="11" t="s">
        <v>1141</v>
      </c>
      <c r="B582" s="11" t="s">
        <v>1142</v>
      </c>
      <c r="C582" s="8"/>
    </row>
    <row r="583" spans="1:3" x14ac:dyDescent="0.25">
      <c r="A583" s="11" t="s">
        <v>1143</v>
      </c>
      <c r="B583" s="11" t="s">
        <v>1144</v>
      </c>
      <c r="C583" s="8"/>
    </row>
    <row r="584" spans="1:3" x14ac:dyDescent="0.25">
      <c r="A584" s="11" t="s">
        <v>1145</v>
      </c>
      <c r="B584" s="11" t="s">
        <v>1146</v>
      </c>
      <c r="C584" s="8"/>
    </row>
    <row r="585" spans="1:3" x14ac:dyDescent="0.25">
      <c r="A585" s="11" t="s">
        <v>1147</v>
      </c>
      <c r="B585" s="11" t="s">
        <v>1148</v>
      </c>
      <c r="C585" s="8"/>
    </row>
    <row r="586" spans="1:3" x14ac:dyDescent="0.25">
      <c r="A586" s="11" t="s">
        <v>1149</v>
      </c>
      <c r="B586" s="11" t="s">
        <v>1150</v>
      </c>
      <c r="C586" s="8"/>
    </row>
    <row r="587" spans="1:3" x14ac:dyDescent="0.25">
      <c r="A587" s="11" t="s">
        <v>1151</v>
      </c>
      <c r="B587" s="11" t="s">
        <v>1152</v>
      </c>
      <c r="C587" s="8"/>
    </row>
    <row r="588" spans="1:3" x14ac:dyDescent="0.25">
      <c r="A588" s="11" t="s">
        <v>1153</v>
      </c>
      <c r="B588" s="11" t="s">
        <v>1154</v>
      </c>
      <c r="C588" s="8"/>
    </row>
    <row r="589" spans="1:3" x14ac:dyDescent="0.25">
      <c r="A589" s="11" t="s">
        <v>1155</v>
      </c>
      <c r="B589" s="11" t="s">
        <v>1156</v>
      </c>
      <c r="C589" s="8"/>
    </row>
    <row r="590" spans="1:3" x14ac:dyDescent="0.25">
      <c r="A590" s="11" t="s">
        <v>1157</v>
      </c>
      <c r="B590" s="11" t="s">
        <v>1158</v>
      </c>
      <c r="C590" s="8"/>
    </row>
    <row r="591" spans="1:3" x14ac:dyDescent="0.25">
      <c r="A591" s="11" t="s">
        <v>1159</v>
      </c>
      <c r="B591" s="11" t="s">
        <v>1160</v>
      </c>
      <c r="C591" s="8"/>
    </row>
    <row r="592" spans="1:3" x14ac:dyDescent="0.25">
      <c r="A592" s="11" t="s">
        <v>1161</v>
      </c>
      <c r="B592" s="11" t="s">
        <v>1162</v>
      </c>
      <c r="C592" s="8"/>
    </row>
    <row r="593" spans="1:3" x14ac:dyDescent="0.25">
      <c r="A593" s="11" t="s">
        <v>1163</v>
      </c>
      <c r="B593" s="11" t="s">
        <v>1164</v>
      </c>
      <c r="C593" s="8"/>
    </row>
    <row r="594" spans="1:3" x14ac:dyDescent="0.25">
      <c r="A594" s="11" t="s">
        <v>1165</v>
      </c>
      <c r="B594" s="11" t="s">
        <v>1166</v>
      </c>
      <c r="C594" s="8"/>
    </row>
    <row r="595" spans="1:3" x14ac:dyDescent="0.25">
      <c r="A595" s="11" t="s">
        <v>1167</v>
      </c>
      <c r="B595" s="11" t="s">
        <v>1168</v>
      </c>
      <c r="C595" s="8"/>
    </row>
    <row r="596" spans="1:3" x14ac:dyDescent="0.25">
      <c r="A596" s="11" t="s">
        <v>1169</v>
      </c>
      <c r="B596" s="11" t="s">
        <v>1170</v>
      </c>
      <c r="C596" s="8"/>
    </row>
    <row r="597" spans="1:3" x14ac:dyDescent="0.25">
      <c r="A597" s="11" t="s">
        <v>1171</v>
      </c>
      <c r="B597" s="11" t="s">
        <v>1172</v>
      </c>
      <c r="C597" s="8"/>
    </row>
    <row r="598" spans="1:3" x14ac:dyDescent="0.25">
      <c r="A598" s="11" t="s">
        <v>1173</v>
      </c>
      <c r="B598" s="11" t="s">
        <v>1174</v>
      </c>
      <c r="C598" s="8"/>
    </row>
    <row r="599" spans="1:3" x14ac:dyDescent="0.25">
      <c r="A599" s="11" t="s">
        <v>1175</v>
      </c>
      <c r="B599" s="11" t="s">
        <v>1176</v>
      </c>
      <c r="C599" s="8"/>
    </row>
    <row r="600" spans="1:3" x14ac:dyDescent="0.25">
      <c r="A600" s="11" t="s">
        <v>1177</v>
      </c>
      <c r="B600" s="11" t="s">
        <v>1178</v>
      </c>
      <c r="C600" s="8"/>
    </row>
    <row r="601" spans="1:3" x14ac:dyDescent="0.25">
      <c r="A601" s="11" t="s">
        <v>1179</v>
      </c>
      <c r="B601" s="11" t="s">
        <v>1180</v>
      </c>
      <c r="C601" s="8"/>
    </row>
    <row r="602" spans="1:3" x14ac:dyDescent="0.25">
      <c r="A602" s="11" t="s">
        <v>1181</v>
      </c>
      <c r="B602" s="11" t="s">
        <v>1182</v>
      </c>
      <c r="C602" s="8"/>
    </row>
    <row r="603" spans="1:3" x14ac:dyDescent="0.25">
      <c r="A603" s="11" t="s">
        <v>1183</v>
      </c>
      <c r="B603" s="11" t="s">
        <v>1184</v>
      </c>
      <c r="C603" s="8"/>
    </row>
    <row r="604" spans="1:3" x14ac:dyDescent="0.25">
      <c r="A604" s="11" t="s">
        <v>1185</v>
      </c>
      <c r="B604" s="11" t="s">
        <v>1186</v>
      </c>
      <c r="C604" s="8"/>
    </row>
    <row r="605" spans="1:3" x14ac:dyDescent="0.25">
      <c r="A605" s="11" t="s">
        <v>1187</v>
      </c>
      <c r="B605" s="11" t="s">
        <v>1188</v>
      </c>
      <c r="C605" s="8"/>
    </row>
    <row r="606" spans="1:3" x14ac:dyDescent="0.25">
      <c r="A606" s="11" t="s">
        <v>1189</v>
      </c>
      <c r="B606" s="11" t="s">
        <v>1190</v>
      </c>
      <c r="C606" s="8"/>
    </row>
    <row r="607" spans="1:3" x14ac:dyDescent="0.25">
      <c r="A607" s="11" t="s">
        <v>1191</v>
      </c>
      <c r="B607" s="11" t="s">
        <v>1192</v>
      </c>
      <c r="C607" s="8"/>
    </row>
    <row r="608" spans="1:3" x14ac:dyDescent="0.25">
      <c r="A608" s="11" t="s">
        <v>1193</v>
      </c>
      <c r="B608" s="11" t="s">
        <v>1194</v>
      </c>
      <c r="C608" s="8"/>
    </row>
    <row r="609" spans="1:3" x14ac:dyDescent="0.25">
      <c r="A609" s="11" t="s">
        <v>1195</v>
      </c>
      <c r="B609" s="11" t="s">
        <v>1196</v>
      </c>
      <c r="C609" s="8"/>
    </row>
    <row r="610" spans="1:3" x14ac:dyDescent="0.25">
      <c r="A610" s="11" t="s">
        <v>1197</v>
      </c>
      <c r="B610" s="11" t="s">
        <v>1198</v>
      </c>
      <c r="C610" s="8"/>
    </row>
    <row r="611" spans="1:3" x14ac:dyDescent="0.25">
      <c r="A611" s="11" t="s">
        <v>1199</v>
      </c>
      <c r="B611" s="11" t="s">
        <v>1200</v>
      </c>
      <c r="C611" s="8"/>
    </row>
    <row r="612" spans="1:3" x14ac:dyDescent="0.25">
      <c r="A612" s="11" t="s">
        <v>1201</v>
      </c>
      <c r="B612" s="11" t="s">
        <v>1202</v>
      </c>
      <c r="C612" s="8"/>
    </row>
    <row r="613" spans="1:3" x14ac:dyDescent="0.25">
      <c r="A613" s="11" t="s">
        <v>1203</v>
      </c>
      <c r="B613" s="11" t="s">
        <v>1204</v>
      </c>
      <c r="C613" s="8"/>
    </row>
    <row r="614" spans="1:3" x14ac:dyDescent="0.25">
      <c r="A614" s="11" t="s">
        <v>1205</v>
      </c>
      <c r="B614" s="11" t="s">
        <v>1206</v>
      </c>
      <c r="C614" s="8"/>
    </row>
    <row r="615" spans="1:3" x14ac:dyDescent="0.25">
      <c r="A615" s="11" t="s">
        <v>1207</v>
      </c>
      <c r="B615" s="11" t="s">
        <v>1208</v>
      </c>
      <c r="C615" s="8"/>
    </row>
    <row r="616" spans="1:3" x14ac:dyDescent="0.25">
      <c r="A616" s="11" t="s">
        <v>1209</v>
      </c>
      <c r="B616" s="11" t="s">
        <v>1210</v>
      </c>
      <c r="C616" s="8"/>
    </row>
    <row r="617" spans="1:3" x14ac:dyDescent="0.25">
      <c r="A617" s="11" t="s">
        <v>1211</v>
      </c>
      <c r="B617" s="11" t="s">
        <v>1212</v>
      </c>
      <c r="C617" s="8"/>
    </row>
    <row r="618" spans="1:3" x14ac:dyDescent="0.25">
      <c r="A618" s="11" t="s">
        <v>1213</v>
      </c>
      <c r="B618" s="11" t="s">
        <v>1214</v>
      </c>
      <c r="C618" s="8"/>
    </row>
    <row r="619" spans="1:3" x14ac:dyDescent="0.25">
      <c r="A619" s="11" t="s">
        <v>1215</v>
      </c>
      <c r="B619" s="11" t="s">
        <v>1216</v>
      </c>
      <c r="C619" s="8"/>
    </row>
    <row r="620" spans="1:3" x14ac:dyDescent="0.25">
      <c r="A620" s="11" t="s">
        <v>1217</v>
      </c>
      <c r="B620" s="11" t="s">
        <v>1218</v>
      </c>
      <c r="C620" s="8"/>
    </row>
    <row r="621" spans="1:3" x14ac:dyDescent="0.25">
      <c r="A621" s="11" t="s">
        <v>1219</v>
      </c>
      <c r="B621" s="11" t="s">
        <v>1220</v>
      </c>
      <c r="C621" s="8"/>
    </row>
    <row r="622" spans="1:3" x14ac:dyDescent="0.25">
      <c r="A622" s="11" t="s">
        <v>1221</v>
      </c>
      <c r="B622" s="11" t="s">
        <v>1222</v>
      </c>
      <c r="C622" s="8"/>
    </row>
    <row r="623" spans="1:3" x14ac:dyDescent="0.25">
      <c r="A623" s="11" t="s">
        <v>1223</v>
      </c>
      <c r="B623" s="11" t="s">
        <v>1224</v>
      </c>
      <c r="C623" s="8"/>
    </row>
    <row r="624" spans="1:3" x14ac:dyDescent="0.25">
      <c r="A624" s="11" t="s">
        <v>1225</v>
      </c>
      <c r="B624" s="11" t="s">
        <v>1226</v>
      </c>
      <c r="C624" s="8"/>
    </row>
    <row r="625" spans="1:3" x14ac:dyDescent="0.25">
      <c r="A625" s="11" t="s">
        <v>1227</v>
      </c>
      <c r="B625" s="11" t="s">
        <v>1228</v>
      </c>
      <c r="C625" s="8"/>
    </row>
    <row r="626" spans="1:3" x14ac:dyDescent="0.25">
      <c r="A626" s="11" t="s">
        <v>1229</v>
      </c>
      <c r="B626" s="11" t="s">
        <v>1230</v>
      </c>
      <c r="C626" s="8"/>
    </row>
    <row r="627" spans="1:3" x14ac:dyDescent="0.25">
      <c r="A627" s="11" t="s">
        <v>1231</v>
      </c>
      <c r="B627" s="11" t="s">
        <v>1232</v>
      </c>
      <c r="C627" s="8"/>
    </row>
    <row r="628" spans="1:3" x14ac:dyDescent="0.25">
      <c r="A628" s="11" t="s">
        <v>1233</v>
      </c>
      <c r="B628" s="11" t="s">
        <v>1234</v>
      </c>
      <c r="C628" s="8"/>
    </row>
    <row r="629" spans="1:3" x14ac:dyDescent="0.25">
      <c r="A629" s="11" t="s">
        <v>1235</v>
      </c>
      <c r="B629" s="11" t="s">
        <v>1236</v>
      </c>
      <c r="C629" s="8"/>
    </row>
    <row r="630" spans="1:3" x14ac:dyDescent="0.25">
      <c r="A630" s="11" t="s">
        <v>1237</v>
      </c>
      <c r="B630" s="11" t="s">
        <v>1238</v>
      </c>
      <c r="C630" s="8"/>
    </row>
    <row r="631" spans="1:3" x14ac:dyDescent="0.25">
      <c r="A631" s="11" t="s">
        <v>1239</v>
      </c>
      <c r="B631" s="11" t="s">
        <v>1240</v>
      </c>
      <c r="C631" s="8"/>
    </row>
    <row r="632" spans="1:3" x14ac:dyDescent="0.25">
      <c r="A632" s="11" t="s">
        <v>1241</v>
      </c>
      <c r="B632" s="11" t="s">
        <v>1242</v>
      </c>
      <c r="C632" s="8"/>
    </row>
    <row r="633" spans="1:3" x14ac:dyDescent="0.25">
      <c r="A633" s="11" t="s">
        <v>1243</v>
      </c>
      <c r="B633" s="11" t="s">
        <v>1244</v>
      </c>
      <c r="C633" s="8"/>
    </row>
    <row r="634" spans="1:3" x14ac:dyDescent="0.25">
      <c r="A634" s="11" t="s">
        <v>1245</v>
      </c>
      <c r="B634" s="11" t="s">
        <v>1246</v>
      </c>
      <c r="C634" s="8"/>
    </row>
    <row r="635" spans="1:3" x14ac:dyDescent="0.25">
      <c r="A635" s="11" t="s">
        <v>1247</v>
      </c>
      <c r="B635" s="11" t="s">
        <v>1248</v>
      </c>
      <c r="C635" s="8"/>
    </row>
    <row r="636" spans="1:3" x14ac:dyDescent="0.25">
      <c r="A636" s="11" t="s">
        <v>1249</v>
      </c>
      <c r="B636" s="11" t="s">
        <v>1250</v>
      </c>
      <c r="C636" s="8"/>
    </row>
    <row r="637" spans="1:3" x14ac:dyDescent="0.25">
      <c r="A637" s="11" t="s">
        <v>1251</v>
      </c>
      <c r="B637" s="11" t="s">
        <v>1252</v>
      </c>
      <c r="C637" s="8"/>
    </row>
    <row r="638" spans="1:3" x14ac:dyDescent="0.25">
      <c r="A638" s="11" t="s">
        <v>1253</v>
      </c>
      <c r="B638" s="11" t="s">
        <v>1254</v>
      </c>
      <c r="C638" s="8"/>
    </row>
    <row r="639" spans="1:3" x14ac:dyDescent="0.25">
      <c r="A639" s="11" t="s">
        <v>1255</v>
      </c>
      <c r="B639" s="11" t="s">
        <v>1256</v>
      </c>
      <c r="C639" s="8"/>
    </row>
    <row r="640" spans="1:3" x14ac:dyDescent="0.25">
      <c r="A640" s="11" t="s">
        <v>1257</v>
      </c>
      <c r="B640" s="11" t="s">
        <v>1258</v>
      </c>
      <c r="C640" s="8"/>
    </row>
    <row r="641" spans="1:3" x14ac:dyDescent="0.25">
      <c r="A641" s="11" t="s">
        <v>1259</v>
      </c>
      <c r="B641" s="11" t="s">
        <v>1260</v>
      </c>
      <c r="C641" s="8"/>
    </row>
    <row r="642" spans="1:3" x14ac:dyDescent="0.25">
      <c r="A642" s="11" t="s">
        <v>1261</v>
      </c>
      <c r="B642" s="11" t="s">
        <v>1262</v>
      </c>
      <c r="C642" s="8"/>
    </row>
    <row r="643" spans="1:3" x14ac:dyDescent="0.25">
      <c r="A643" s="11" t="s">
        <v>1263</v>
      </c>
      <c r="B643" s="11" t="s">
        <v>1264</v>
      </c>
      <c r="C643" s="8"/>
    </row>
    <row r="644" spans="1:3" x14ac:dyDescent="0.25">
      <c r="A644" s="11" t="s">
        <v>1265</v>
      </c>
      <c r="B644" s="11" t="s">
        <v>1266</v>
      </c>
      <c r="C644" s="8"/>
    </row>
    <row r="645" spans="1:3" x14ac:dyDescent="0.25">
      <c r="A645" s="11" t="s">
        <v>1267</v>
      </c>
      <c r="B645" s="11" t="s">
        <v>1268</v>
      </c>
      <c r="C645" s="8"/>
    </row>
    <row r="646" spans="1:3" x14ac:dyDescent="0.25">
      <c r="A646" s="11" t="s">
        <v>1269</v>
      </c>
      <c r="B646" s="11" t="s">
        <v>1270</v>
      </c>
      <c r="C646" s="8"/>
    </row>
    <row r="647" spans="1:3" x14ac:dyDescent="0.25">
      <c r="A647" s="11" t="s">
        <v>1271</v>
      </c>
      <c r="B647" s="11" t="s">
        <v>1272</v>
      </c>
      <c r="C647" s="8"/>
    </row>
    <row r="648" spans="1:3" x14ac:dyDescent="0.25">
      <c r="A648" s="11" t="s">
        <v>1273</v>
      </c>
      <c r="B648" s="11" t="s">
        <v>1274</v>
      </c>
      <c r="C648" s="8"/>
    </row>
    <row r="649" spans="1:3" x14ac:dyDescent="0.25">
      <c r="A649" s="11" t="s">
        <v>1275</v>
      </c>
      <c r="B649" s="11" t="s">
        <v>1276</v>
      </c>
      <c r="C649" s="8"/>
    </row>
    <row r="650" spans="1:3" x14ac:dyDescent="0.25">
      <c r="A650" s="11" t="s">
        <v>1277</v>
      </c>
      <c r="B650" s="11" t="s">
        <v>1278</v>
      </c>
      <c r="C650" s="8"/>
    </row>
    <row r="651" spans="1:3" x14ac:dyDescent="0.25">
      <c r="A651" s="11" t="s">
        <v>1279</v>
      </c>
      <c r="B651" s="11" t="s">
        <v>1280</v>
      </c>
      <c r="C651" s="8"/>
    </row>
    <row r="652" spans="1:3" x14ac:dyDescent="0.25">
      <c r="A652" s="11" t="s">
        <v>1281</v>
      </c>
      <c r="B652" s="11" t="s">
        <v>1282</v>
      </c>
      <c r="C652" s="8"/>
    </row>
    <row r="653" spans="1:3" x14ac:dyDescent="0.25">
      <c r="A653" s="11" t="s">
        <v>1283</v>
      </c>
      <c r="B653" s="11" t="s">
        <v>1284</v>
      </c>
      <c r="C653" s="8"/>
    </row>
    <row r="654" spans="1:3" x14ac:dyDescent="0.25">
      <c r="A654" s="11" t="s">
        <v>1285</v>
      </c>
      <c r="B654" s="11" t="s">
        <v>1286</v>
      </c>
      <c r="C654" s="8"/>
    </row>
    <row r="655" spans="1:3" x14ac:dyDescent="0.25">
      <c r="A655" s="11" t="s">
        <v>1287</v>
      </c>
      <c r="B655" s="11" t="s">
        <v>1288</v>
      </c>
      <c r="C655" s="8"/>
    </row>
    <row r="656" spans="1:3" x14ac:dyDescent="0.25">
      <c r="A656" s="11" t="s">
        <v>1289</v>
      </c>
      <c r="B656" s="11" t="s">
        <v>1290</v>
      </c>
      <c r="C656" s="8"/>
    </row>
    <row r="657" spans="1:3" x14ac:dyDescent="0.25">
      <c r="A657" s="11" t="s">
        <v>1291</v>
      </c>
      <c r="B657" s="11" t="s">
        <v>1290</v>
      </c>
      <c r="C657" s="8"/>
    </row>
    <row r="658" spans="1:3" x14ac:dyDescent="0.25">
      <c r="A658" s="11" t="s">
        <v>1292</v>
      </c>
      <c r="B658" s="11" t="s">
        <v>1290</v>
      </c>
      <c r="C658" s="8"/>
    </row>
    <row r="659" spans="1:3" x14ac:dyDescent="0.25">
      <c r="A659" s="11" t="s">
        <v>1293</v>
      </c>
      <c r="B659" s="11" t="s">
        <v>1290</v>
      </c>
      <c r="C659" s="8"/>
    </row>
    <row r="660" spans="1:3" x14ac:dyDescent="0.25">
      <c r="A660" s="11" t="s">
        <v>1294</v>
      </c>
      <c r="B660" s="11" t="s">
        <v>1295</v>
      </c>
      <c r="C660" s="8"/>
    </row>
    <row r="661" spans="1:3" x14ac:dyDescent="0.25">
      <c r="A661" s="11" t="s">
        <v>1296</v>
      </c>
      <c r="B661" s="11" t="s">
        <v>1297</v>
      </c>
      <c r="C661" s="8"/>
    </row>
    <row r="662" spans="1:3" x14ac:dyDescent="0.25">
      <c r="A662" s="11" t="s">
        <v>1298</v>
      </c>
      <c r="B662" s="11" t="s">
        <v>1299</v>
      </c>
      <c r="C662" s="8"/>
    </row>
    <row r="663" spans="1:3" x14ac:dyDescent="0.25">
      <c r="A663" s="11" t="s">
        <v>1300</v>
      </c>
      <c r="B663" s="11" t="s">
        <v>1299</v>
      </c>
      <c r="C663" s="8"/>
    </row>
    <row r="664" spans="1:3" x14ac:dyDescent="0.25">
      <c r="A664" s="11" t="s">
        <v>1301</v>
      </c>
      <c r="B664" s="11" t="s">
        <v>1302</v>
      </c>
      <c r="C664" s="8"/>
    </row>
    <row r="665" spans="1:3" x14ac:dyDescent="0.25">
      <c r="A665" s="11" t="s">
        <v>1303</v>
      </c>
      <c r="B665" s="11" t="s">
        <v>1304</v>
      </c>
      <c r="C665" s="8"/>
    </row>
    <row r="666" spans="1:3" x14ac:dyDescent="0.25">
      <c r="A666" s="11" t="s">
        <v>1305</v>
      </c>
      <c r="B666" s="11" t="s">
        <v>1306</v>
      </c>
      <c r="C666" s="8"/>
    </row>
    <row r="667" spans="1:3" x14ac:dyDescent="0.25">
      <c r="A667" s="11" t="s">
        <v>1307</v>
      </c>
      <c r="B667" s="11" t="s">
        <v>1308</v>
      </c>
      <c r="C667" s="8"/>
    </row>
    <row r="668" spans="1:3" x14ac:dyDescent="0.25">
      <c r="A668" s="11" t="s">
        <v>1309</v>
      </c>
      <c r="B668" s="11" t="s">
        <v>1310</v>
      </c>
      <c r="C668" s="8"/>
    </row>
    <row r="669" spans="1:3" x14ac:dyDescent="0.25">
      <c r="A669" s="11" t="s">
        <v>1311</v>
      </c>
      <c r="B669" s="11" t="s">
        <v>1312</v>
      </c>
      <c r="C669" s="8"/>
    </row>
    <row r="670" spans="1:3" x14ac:dyDescent="0.25">
      <c r="A670" s="11" t="s">
        <v>1313</v>
      </c>
      <c r="B670" s="11" t="s">
        <v>1312</v>
      </c>
      <c r="C670" s="8"/>
    </row>
    <row r="671" spans="1:3" x14ac:dyDescent="0.25">
      <c r="A671" s="11" t="s">
        <v>1314</v>
      </c>
      <c r="B671" s="11" t="s">
        <v>1312</v>
      </c>
      <c r="C671" s="8"/>
    </row>
    <row r="672" spans="1:3" x14ac:dyDescent="0.25">
      <c r="A672" s="11" t="s">
        <v>1315</v>
      </c>
      <c r="B672" s="11" t="s">
        <v>1312</v>
      </c>
      <c r="C672" s="8"/>
    </row>
    <row r="673" spans="1:3" x14ac:dyDescent="0.25">
      <c r="A673" s="11" t="s">
        <v>1316</v>
      </c>
      <c r="B673" s="11" t="s">
        <v>1312</v>
      </c>
      <c r="C673" s="8"/>
    </row>
    <row r="674" spans="1:3" x14ac:dyDescent="0.25">
      <c r="A674" s="11" t="s">
        <v>1317</v>
      </c>
      <c r="B674" s="11" t="s">
        <v>1312</v>
      </c>
      <c r="C674" s="8"/>
    </row>
    <row r="675" spans="1:3" x14ac:dyDescent="0.25">
      <c r="A675" s="11" t="s">
        <v>1318</v>
      </c>
      <c r="B675" s="11" t="s">
        <v>1312</v>
      </c>
      <c r="C675" s="8"/>
    </row>
    <row r="676" spans="1:3" x14ac:dyDescent="0.25">
      <c r="A676" s="11" t="s">
        <v>1319</v>
      </c>
      <c r="B676" s="11" t="s">
        <v>1312</v>
      </c>
      <c r="C676" s="8"/>
    </row>
    <row r="677" spans="1:3" x14ac:dyDescent="0.25">
      <c r="A677" s="11" t="s">
        <v>1320</v>
      </c>
      <c r="B677" s="11" t="s">
        <v>1312</v>
      </c>
      <c r="C677" s="8"/>
    </row>
    <row r="678" spans="1:3" x14ac:dyDescent="0.25">
      <c r="A678" s="11" t="s">
        <v>1321</v>
      </c>
      <c r="B678" s="11" t="s">
        <v>1312</v>
      </c>
      <c r="C678" s="8"/>
    </row>
    <row r="679" spans="1:3" x14ac:dyDescent="0.25">
      <c r="A679" s="11" t="s">
        <v>1322</v>
      </c>
      <c r="B679" s="11" t="s">
        <v>1312</v>
      </c>
      <c r="C679" s="8"/>
    </row>
    <row r="680" spans="1:3" x14ac:dyDescent="0.25">
      <c r="A680" s="11" t="s">
        <v>1323</v>
      </c>
      <c r="B680" s="11" t="s">
        <v>1324</v>
      </c>
      <c r="C680" s="8"/>
    </row>
    <row r="681" spans="1:3" x14ac:dyDescent="0.25">
      <c r="A681" s="11" t="s">
        <v>1325</v>
      </c>
      <c r="B681" s="11" t="s">
        <v>1324</v>
      </c>
      <c r="C681" s="8"/>
    </row>
    <row r="682" spans="1:3" x14ac:dyDescent="0.25">
      <c r="A682" s="11" t="s">
        <v>1326</v>
      </c>
      <c r="B682" s="11" t="s">
        <v>1324</v>
      </c>
      <c r="C682" s="8"/>
    </row>
    <row r="683" spans="1:3" x14ac:dyDescent="0.25">
      <c r="A683" s="11" t="s">
        <v>1327</v>
      </c>
      <c r="B683" s="11" t="s">
        <v>1324</v>
      </c>
      <c r="C683" s="8"/>
    </row>
    <row r="684" spans="1:3" x14ac:dyDescent="0.25">
      <c r="A684" s="11" t="s">
        <v>1328</v>
      </c>
      <c r="B684" s="11" t="s">
        <v>1324</v>
      </c>
      <c r="C684" s="8"/>
    </row>
    <row r="685" spans="1:3" x14ac:dyDescent="0.25">
      <c r="A685" s="11" t="s">
        <v>1329</v>
      </c>
      <c r="B685" s="11" t="s">
        <v>1324</v>
      </c>
      <c r="C685" s="8"/>
    </row>
    <row r="686" spans="1:3" x14ac:dyDescent="0.25">
      <c r="A686" s="11" t="s">
        <v>1330</v>
      </c>
      <c r="B686" s="11" t="s">
        <v>1324</v>
      </c>
      <c r="C686" s="8"/>
    </row>
    <row r="687" spans="1:3" x14ac:dyDescent="0.25">
      <c r="A687" s="11" t="s">
        <v>1331</v>
      </c>
      <c r="B687" s="11" t="s">
        <v>1332</v>
      </c>
      <c r="C687" s="8"/>
    </row>
    <row r="688" spans="1:3" x14ac:dyDescent="0.25">
      <c r="A688" s="11" t="s">
        <v>1333</v>
      </c>
      <c r="B688" s="11" t="s">
        <v>1332</v>
      </c>
      <c r="C688" s="8"/>
    </row>
    <row r="689" spans="1:3" x14ac:dyDescent="0.25">
      <c r="A689" s="11" t="s">
        <v>1334</v>
      </c>
      <c r="B689" s="11" t="s">
        <v>1332</v>
      </c>
      <c r="C689" s="8"/>
    </row>
    <row r="690" spans="1:3" x14ac:dyDescent="0.25">
      <c r="A690" s="11" t="s">
        <v>1335</v>
      </c>
      <c r="B690" s="11" t="s">
        <v>1336</v>
      </c>
      <c r="C690" s="8"/>
    </row>
    <row r="691" spans="1:3" x14ac:dyDescent="0.25">
      <c r="A691" s="11" t="s">
        <v>1337</v>
      </c>
      <c r="B691" s="11" t="s">
        <v>1338</v>
      </c>
      <c r="C691" s="8"/>
    </row>
    <row r="692" spans="1:3" x14ac:dyDescent="0.25">
      <c r="A692" s="11" t="s">
        <v>1339</v>
      </c>
      <c r="B692" s="11" t="s">
        <v>1340</v>
      </c>
      <c r="C692" s="8"/>
    </row>
    <row r="693" spans="1:3" x14ac:dyDescent="0.25">
      <c r="A693" s="11" t="s">
        <v>1341</v>
      </c>
      <c r="B693" s="11" t="s">
        <v>1342</v>
      </c>
      <c r="C693" s="8"/>
    </row>
    <row r="694" spans="1:3" x14ac:dyDescent="0.25">
      <c r="A694" s="11" t="s">
        <v>1343</v>
      </c>
      <c r="B694" s="11" t="s">
        <v>1344</v>
      </c>
      <c r="C694" s="8"/>
    </row>
    <row r="695" spans="1:3" x14ac:dyDescent="0.25">
      <c r="A695" s="11" t="s">
        <v>1345</v>
      </c>
      <c r="B695" s="11" t="s">
        <v>1346</v>
      </c>
      <c r="C695" s="8"/>
    </row>
    <row r="696" spans="1:3" x14ac:dyDescent="0.25">
      <c r="A696" s="11" t="s">
        <v>1347</v>
      </c>
      <c r="B696" s="11" t="s">
        <v>1348</v>
      </c>
      <c r="C696" s="8"/>
    </row>
    <row r="697" spans="1:3" x14ac:dyDescent="0.25">
      <c r="A697" s="11" t="s">
        <v>1349</v>
      </c>
      <c r="B697" s="11" t="s">
        <v>1350</v>
      </c>
      <c r="C697" s="8"/>
    </row>
    <row r="698" spans="1:3" x14ac:dyDescent="0.25">
      <c r="A698" s="11" t="s">
        <v>1351</v>
      </c>
      <c r="B698" s="11" t="s">
        <v>1352</v>
      </c>
      <c r="C698" s="8"/>
    </row>
    <row r="699" spans="1:3" x14ac:dyDescent="0.25">
      <c r="A699" s="11" t="s">
        <v>1353</v>
      </c>
      <c r="B699" s="11" t="s">
        <v>1354</v>
      </c>
      <c r="C699" s="8"/>
    </row>
    <row r="700" spans="1:3" x14ac:dyDescent="0.25">
      <c r="A700" s="11" t="s">
        <v>1355</v>
      </c>
      <c r="B700" s="11" t="s">
        <v>1356</v>
      </c>
      <c r="C700" s="8"/>
    </row>
    <row r="701" spans="1:3" x14ac:dyDescent="0.25">
      <c r="A701" s="11" t="s">
        <v>1357</v>
      </c>
      <c r="B701" s="11" t="s">
        <v>1358</v>
      </c>
      <c r="C701" s="8"/>
    </row>
    <row r="702" spans="1:3" x14ac:dyDescent="0.25">
      <c r="A702" s="11" t="s">
        <v>1359</v>
      </c>
      <c r="B702" s="11" t="s">
        <v>1360</v>
      </c>
      <c r="C702" s="8"/>
    </row>
    <row r="703" spans="1:3" x14ac:dyDescent="0.25">
      <c r="A703" s="11" t="s">
        <v>1361</v>
      </c>
      <c r="B703" s="11" t="s">
        <v>1362</v>
      </c>
      <c r="C703" s="8"/>
    </row>
    <row r="704" spans="1:3" x14ac:dyDescent="0.25">
      <c r="A704" s="11" t="s">
        <v>1363</v>
      </c>
      <c r="B704" s="11" t="s">
        <v>1364</v>
      </c>
      <c r="C704" s="8"/>
    </row>
    <row r="705" spans="1:3" x14ac:dyDescent="0.25">
      <c r="A705" s="11" t="s">
        <v>1365</v>
      </c>
      <c r="B705" s="11" t="s">
        <v>1366</v>
      </c>
      <c r="C705" s="8"/>
    </row>
    <row r="706" spans="1:3" x14ac:dyDescent="0.25">
      <c r="A706" s="11" t="s">
        <v>1367</v>
      </c>
      <c r="B706" s="11" t="s">
        <v>1368</v>
      </c>
      <c r="C706" s="8"/>
    </row>
    <row r="707" spans="1:3" x14ac:dyDescent="0.25">
      <c r="A707" s="11" t="s">
        <v>1369</v>
      </c>
      <c r="B707" s="11" t="s">
        <v>1370</v>
      </c>
      <c r="C707" s="8"/>
    </row>
    <row r="708" spans="1:3" x14ac:dyDescent="0.25">
      <c r="A708" s="11" t="s">
        <v>1371</v>
      </c>
      <c r="B708" s="11" t="s">
        <v>1372</v>
      </c>
      <c r="C708" s="8"/>
    </row>
    <row r="709" spans="1:3" x14ac:dyDescent="0.25">
      <c r="A709" s="11" t="s">
        <v>1373</v>
      </c>
      <c r="B709" s="11" t="s">
        <v>1374</v>
      </c>
      <c r="C709" s="8"/>
    </row>
    <row r="710" spans="1:3" x14ac:dyDescent="0.25">
      <c r="A710" s="11" t="s">
        <v>1375</v>
      </c>
      <c r="B710" s="11" t="s">
        <v>1376</v>
      </c>
      <c r="C710" s="8"/>
    </row>
    <row r="711" spans="1:3" x14ac:dyDescent="0.25">
      <c r="A711" s="11" t="s">
        <v>1377</v>
      </c>
      <c r="B711" s="11" t="s">
        <v>1378</v>
      </c>
      <c r="C711" s="8"/>
    </row>
    <row r="712" spans="1:3" x14ac:dyDescent="0.25">
      <c r="A712" s="11" t="s">
        <v>1379</v>
      </c>
      <c r="B712" s="11" t="s">
        <v>1380</v>
      </c>
      <c r="C712" s="8"/>
    </row>
    <row r="713" spans="1:3" x14ac:dyDescent="0.25">
      <c r="A713" s="11" t="s">
        <v>1381</v>
      </c>
      <c r="B713" s="11" t="s">
        <v>1382</v>
      </c>
      <c r="C713" s="8"/>
    </row>
    <row r="714" spans="1:3" x14ac:dyDescent="0.25">
      <c r="A714" s="11" t="s">
        <v>1383</v>
      </c>
      <c r="B714" s="11" t="s">
        <v>1384</v>
      </c>
      <c r="C714" s="8"/>
    </row>
    <row r="715" spans="1:3" x14ac:dyDescent="0.25">
      <c r="A715" s="11" t="s">
        <v>1385</v>
      </c>
      <c r="B715" s="11" t="s">
        <v>1386</v>
      </c>
      <c r="C715" s="8"/>
    </row>
    <row r="716" spans="1:3" x14ac:dyDescent="0.25">
      <c r="A716" s="11" t="s">
        <v>1387</v>
      </c>
      <c r="B716" s="11" t="s">
        <v>1388</v>
      </c>
      <c r="C716" s="8"/>
    </row>
    <row r="717" spans="1:3" x14ac:dyDescent="0.25">
      <c r="A717" s="11" t="s">
        <v>1389</v>
      </c>
      <c r="B717" s="11" t="s">
        <v>1390</v>
      </c>
      <c r="C717" s="8"/>
    </row>
    <row r="718" spans="1:3" x14ac:dyDescent="0.25">
      <c r="A718" s="11" t="s">
        <v>1391</v>
      </c>
      <c r="B718" s="11" t="s">
        <v>1392</v>
      </c>
      <c r="C718" s="8"/>
    </row>
    <row r="719" spans="1:3" x14ac:dyDescent="0.25">
      <c r="A719" s="11" t="s">
        <v>342</v>
      </c>
      <c r="B719" s="11" t="s">
        <v>1393</v>
      </c>
      <c r="C719" s="8"/>
    </row>
    <row r="720" spans="1:3" x14ac:dyDescent="0.25">
      <c r="A720" s="11" t="s">
        <v>1394</v>
      </c>
      <c r="B720" s="11" t="s">
        <v>1395</v>
      </c>
      <c r="C720" s="8"/>
    </row>
    <row r="721" spans="1:3" x14ac:dyDescent="0.25">
      <c r="A721" s="11" t="s">
        <v>1396</v>
      </c>
      <c r="B721" s="11" t="s">
        <v>1397</v>
      </c>
      <c r="C721" s="8"/>
    </row>
    <row r="722" spans="1:3" x14ac:dyDescent="0.25">
      <c r="A722" s="11" t="s">
        <v>1398</v>
      </c>
      <c r="B722" s="11" t="s">
        <v>1399</v>
      </c>
      <c r="C722" s="8"/>
    </row>
    <row r="723" spans="1:3" x14ac:dyDescent="0.25">
      <c r="A723" s="11" t="s">
        <v>1400</v>
      </c>
      <c r="B723" s="11" t="s">
        <v>1401</v>
      </c>
      <c r="C723" s="8"/>
    </row>
    <row r="724" spans="1:3" x14ac:dyDescent="0.25">
      <c r="A724" s="11" t="s">
        <v>1402</v>
      </c>
      <c r="B724" s="11" t="s">
        <v>1403</v>
      </c>
      <c r="C724" s="8"/>
    </row>
    <row r="725" spans="1:3" x14ac:dyDescent="0.25">
      <c r="A725" s="11" t="s">
        <v>1404</v>
      </c>
      <c r="B725" s="11" t="s">
        <v>1405</v>
      </c>
      <c r="C725" s="8"/>
    </row>
    <row r="726" spans="1:3" x14ac:dyDescent="0.25">
      <c r="A726" s="11" t="s">
        <v>1406</v>
      </c>
      <c r="B726" s="11" t="s">
        <v>1407</v>
      </c>
      <c r="C726" s="8"/>
    </row>
    <row r="727" spans="1:3" x14ac:dyDescent="0.25">
      <c r="A727" s="11" t="s">
        <v>1408</v>
      </c>
      <c r="B727" s="11" t="s">
        <v>1409</v>
      </c>
      <c r="C727" s="8"/>
    </row>
    <row r="728" spans="1:3" x14ac:dyDescent="0.25">
      <c r="A728" s="11" t="s">
        <v>1410</v>
      </c>
      <c r="B728" s="11" t="s">
        <v>1411</v>
      </c>
      <c r="C728" s="8"/>
    </row>
    <row r="729" spans="1:3" x14ac:dyDescent="0.25">
      <c r="A729" s="11" t="s">
        <v>1412</v>
      </c>
      <c r="B729" s="11" t="s">
        <v>1413</v>
      </c>
      <c r="C729" s="8"/>
    </row>
    <row r="730" spans="1:3" x14ac:dyDescent="0.25">
      <c r="A730" s="11" t="s">
        <v>1414</v>
      </c>
      <c r="B730" s="11" t="s">
        <v>1415</v>
      </c>
      <c r="C730" s="8"/>
    </row>
    <row r="731" spans="1:3" x14ac:dyDescent="0.25">
      <c r="A731" s="11" t="s">
        <v>1416</v>
      </c>
      <c r="B731" s="11" t="s">
        <v>1417</v>
      </c>
      <c r="C731" s="8"/>
    </row>
    <row r="732" spans="1:3" x14ac:dyDescent="0.25">
      <c r="A732" s="11" t="s">
        <v>1418</v>
      </c>
      <c r="B732" s="11" t="s">
        <v>1419</v>
      </c>
      <c r="C732" s="8"/>
    </row>
    <row r="733" spans="1:3" x14ac:dyDescent="0.25">
      <c r="A733" s="11" t="s">
        <v>1420</v>
      </c>
      <c r="B733" s="11" t="s">
        <v>1421</v>
      </c>
      <c r="C733" s="8"/>
    </row>
    <row r="734" spans="1:3" x14ac:dyDescent="0.25">
      <c r="A734" s="11" t="s">
        <v>1422</v>
      </c>
      <c r="B734" s="11" t="s">
        <v>1423</v>
      </c>
      <c r="C734" s="8"/>
    </row>
    <row r="735" spans="1:3" x14ac:dyDescent="0.25">
      <c r="A735" s="11" t="s">
        <v>1424</v>
      </c>
      <c r="B735" s="11" t="s">
        <v>1425</v>
      </c>
      <c r="C735" s="8"/>
    </row>
    <row r="736" spans="1:3" x14ac:dyDescent="0.25">
      <c r="A736" s="11" t="s">
        <v>1426</v>
      </c>
      <c r="B736" s="11" t="s">
        <v>1427</v>
      </c>
      <c r="C736" s="8"/>
    </row>
    <row r="737" spans="1:3" x14ac:dyDescent="0.25">
      <c r="A737" s="11" t="s">
        <v>1428</v>
      </c>
      <c r="B737" s="11" t="s">
        <v>1429</v>
      </c>
      <c r="C737" s="8"/>
    </row>
    <row r="738" spans="1:3" x14ac:dyDescent="0.25">
      <c r="A738" s="11" t="s">
        <v>1430</v>
      </c>
      <c r="B738" s="11" t="s">
        <v>1431</v>
      </c>
      <c r="C738" s="8"/>
    </row>
    <row r="739" spans="1:3" x14ac:dyDescent="0.25">
      <c r="A739" s="11" t="s">
        <v>1432</v>
      </c>
      <c r="B739" s="11" t="s">
        <v>1433</v>
      </c>
      <c r="C739" s="8"/>
    </row>
    <row r="740" spans="1:3" x14ac:dyDescent="0.25">
      <c r="A740" s="11" t="s">
        <v>1434</v>
      </c>
      <c r="B740" s="11" t="s">
        <v>1435</v>
      </c>
      <c r="C740" s="8"/>
    </row>
    <row r="741" spans="1:3" x14ac:dyDescent="0.25">
      <c r="A741" s="11" t="s">
        <v>1436</v>
      </c>
      <c r="B741" s="11" t="s">
        <v>1437</v>
      </c>
      <c r="C741" s="8"/>
    </row>
    <row r="742" spans="1:3" x14ac:dyDescent="0.25">
      <c r="A742" s="11" t="s">
        <v>1438</v>
      </c>
      <c r="B742" s="11" t="s">
        <v>1439</v>
      </c>
      <c r="C742" s="8"/>
    </row>
    <row r="743" spans="1:3" x14ac:dyDescent="0.25">
      <c r="A743" s="11" t="s">
        <v>1440</v>
      </c>
      <c r="B743" s="11" t="s">
        <v>1441</v>
      </c>
      <c r="C743" s="8"/>
    </row>
    <row r="744" spans="1:3" x14ac:dyDescent="0.25">
      <c r="A744" s="11" t="s">
        <v>1442</v>
      </c>
      <c r="B744" s="11" t="s">
        <v>1443</v>
      </c>
      <c r="C744" s="8"/>
    </row>
    <row r="745" spans="1:3" x14ac:dyDescent="0.25">
      <c r="A745" s="11" t="s">
        <v>1444</v>
      </c>
      <c r="B745" s="11" t="s">
        <v>1445</v>
      </c>
      <c r="C745" s="8"/>
    </row>
    <row r="746" spans="1:3" x14ac:dyDescent="0.25">
      <c r="A746" s="11" t="s">
        <v>1446</v>
      </c>
      <c r="B746" s="11" t="s">
        <v>1447</v>
      </c>
      <c r="C746" s="8"/>
    </row>
    <row r="747" spans="1:3" x14ac:dyDescent="0.25">
      <c r="A747" s="11" t="s">
        <v>1448</v>
      </c>
      <c r="B747" s="11" t="s">
        <v>1449</v>
      </c>
      <c r="C747" s="8"/>
    </row>
    <row r="748" spans="1:3" x14ac:dyDescent="0.25">
      <c r="A748" s="11" t="s">
        <v>1450</v>
      </c>
      <c r="B748" s="11" t="s">
        <v>1451</v>
      </c>
      <c r="C748" s="8"/>
    </row>
    <row r="749" spans="1:3" x14ac:dyDescent="0.25">
      <c r="A749" s="11" t="s">
        <v>1452</v>
      </c>
      <c r="B749" s="11" t="s">
        <v>1453</v>
      </c>
      <c r="C749" s="8"/>
    </row>
    <row r="750" spans="1:3" x14ac:dyDescent="0.25">
      <c r="A750" s="11" t="s">
        <v>1454</v>
      </c>
      <c r="B750" s="11" t="s">
        <v>1455</v>
      </c>
      <c r="C750" s="8"/>
    </row>
    <row r="751" spans="1:3" x14ac:dyDescent="0.25">
      <c r="A751" s="11" t="s">
        <v>1456</v>
      </c>
      <c r="B751" s="11" t="s">
        <v>1457</v>
      </c>
      <c r="C751" s="8"/>
    </row>
    <row r="752" spans="1:3" x14ac:dyDescent="0.25">
      <c r="A752" s="11" t="s">
        <v>1458</v>
      </c>
      <c r="B752" s="11" t="s">
        <v>1459</v>
      </c>
      <c r="C752" s="8"/>
    </row>
    <row r="753" spans="1:3" x14ac:dyDescent="0.25">
      <c r="A753" s="11" t="s">
        <v>1460</v>
      </c>
      <c r="B753" s="11" t="s">
        <v>1459</v>
      </c>
      <c r="C753" s="8"/>
    </row>
    <row r="754" spans="1:3" x14ac:dyDescent="0.25">
      <c r="A754" s="11" t="s">
        <v>1461</v>
      </c>
      <c r="B754" s="11" t="s">
        <v>1459</v>
      </c>
      <c r="C754" s="8"/>
    </row>
    <row r="755" spans="1:3" x14ac:dyDescent="0.25">
      <c r="A755" s="11" t="s">
        <v>1462</v>
      </c>
      <c r="B755" s="11" t="s">
        <v>1459</v>
      </c>
      <c r="C755" s="8"/>
    </row>
    <row r="756" spans="1:3" x14ac:dyDescent="0.25">
      <c r="A756" s="11" t="s">
        <v>1463</v>
      </c>
      <c r="B756" s="11" t="s">
        <v>1459</v>
      </c>
      <c r="C756" s="8"/>
    </row>
    <row r="757" spans="1:3" x14ac:dyDescent="0.25">
      <c r="A757" s="11" t="s">
        <v>1464</v>
      </c>
      <c r="B757" s="11" t="s">
        <v>1459</v>
      </c>
      <c r="C757" s="8"/>
    </row>
    <row r="758" spans="1:3" x14ac:dyDescent="0.25">
      <c r="A758" s="11" t="s">
        <v>1465</v>
      </c>
      <c r="B758" s="11" t="s">
        <v>1459</v>
      </c>
      <c r="C758" s="8"/>
    </row>
    <row r="759" spans="1:3" x14ac:dyDescent="0.25">
      <c r="A759" s="11" t="s">
        <v>1466</v>
      </c>
      <c r="B759" s="11" t="s">
        <v>1459</v>
      </c>
      <c r="C759" s="8"/>
    </row>
    <row r="760" spans="1:3" x14ac:dyDescent="0.25">
      <c r="A760" s="11" t="s">
        <v>1467</v>
      </c>
      <c r="B760" s="11" t="s">
        <v>1459</v>
      </c>
      <c r="C760" s="8"/>
    </row>
    <row r="761" spans="1:3" x14ac:dyDescent="0.25">
      <c r="A761" s="11" t="s">
        <v>1468</v>
      </c>
      <c r="B761" s="11" t="s">
        <v>1459</v>
      </c>
      <c r="C761" s="8"/>
    </row>
    <row r="762" spans="1:3" x14ac:dyDescent="0.25">
      <c r="A762" s="11" t="s">
        <v>1469</v>
      </c>
      <c r="B762" s="11" t="s">
        <v>1459</v>
      </c>
      <c r="C762" s="8"/>
    </row>
    <row r="763" spans="1:3" x14ac:dyDescent="0.25">
      <c r="A763" s="11" t="s">
        <v>1470</v>
      </c>
      <c r="B763" s="11" t="s">
        <v>1459</v>
      </c>
      <c r="C763" s="8"/>
    </row>
    <row r="764" spans="1:3" x14ac:dyDescent="0.25">
      <c r="A764" s="11" t="s">
        <v>1471</v>
      </c>
      <c r="B764" s="11" t="s">
        <v>1459</v>
      </c>
      <c r="C764" s="8"/>
    </row>
    <row r="765" spans="1:3" x14ac:dyDescent="0.25">
      <c r="A765" s="11" t="s">
        <v>1472</v>
      </c>
      <c r="B765" s="11" t="s">
        <v>1459</v>
      </c>
      <c r="C765" s="8"/>
    </row>
    <row r="766" spans="1:3" x14ac:dyDescent="0.25">
      <c r="A766" s="11" t="s">
        <v>1473</v>
      </c>
      <c r="B766" s="11" t="s">
        <v>1459</v>
      </c>
      <c r="C766" s="8"/>
    </row>
    <row r="767" spans="1:3" x14ac:dyDescent="0.25">
      <c r="A767" s="11" t="s">
        <v>1474</v>
      </c>
      <c r="B767" s="11" t="s">
        <v>1459</v>
      </c>
      <c r="C767" s="8"/>
    </row>
    <row r="768" spans="1:3" x14ac:dyDescent="0.25">
      <c r="A768" s="11" t="s">
        <v>1475</v>
      </c>
      <c r="B768" s="11" t="s">
        <v>1459</v>
      </c>
      <c r="C768" s="8"/>
    </row>
    <row r="769" spans="1:3" x14ac:dyDescent="0.25">
      <c r="A769" s="11" t="s">
        <v>1476</v>
      </c>
      <c r="B769" s="11" t="s">
        <v>1459</v>
      </c>
      <c r="C769" s="8"/>
    </row>
    <row r="770" spans="1:3" x14ac:dyDescent="0.25">
      <c r="A770" s="11" t="s">
        <v>1477</v>
      </c>
      <c r="B770" s="11" t="s">
        <v>1459</v>
      </c>
      <c r="C770" s="8"/>
    </row>
    <row r="771" spans="1:3" x14ac:dyDescent="0.25">
      <c r="A771" s="11" t="s">
        <v>1478</v>
      </c>
      <c r="B771" s="11" t="s">
        <v>1459</v>
      </c>
      <c r="C771" s="8"/>
    </row>
    <row r="772" spans="1:3" x14ac:dyDescent="0.25">
      <c r="A772" s="11" t="s">
        <v>1479</v>
      </c>
      <c r="B772" s="11" t="s">
        <v>1457</v>
      </c>
      <c r="C772" s="8"/>
    </row>
    <row r="773" spans="1:3" x14ac:dyDescent="0.25">
      <c r="A773" s="11" t="s">
        <v>1480</v>
      </c>
      <c r="B773" s="11" t="s">
        <v>1481</v>
      </c>
      <c r="C773" s="8"/>
    </row>
    <row r="774" spans="1:3" x14ac:dyDescent="0.25">
      <c r="A774" s="11" t="s">
        <v>1482</v>
      </c>
      <c r="B774" s="11" t="s">
        <v>1483</v>
      </c>
      <c r="C774" s="8"/>
    </row>
    <row r="775" spans="1:3" x14ac:dyDescent="0.25">
      <c r="A775" s="11" t="s">
        <v>1484</v>
      </c>
      <c r="B775" s="11" t="s">
        <v>1485</v>
      </c>
      <c r="C775" s="8"/>
    </row>
    <row r="776" spans="1:3" x14ac:dyDescent="0.25">
      <c r="A776" s="11" t="s">
        <v>1486</v>
      </c>
      <c r="B776" s="11" t="s">
        <v>1487</v>
      </c>
      <c r="C776" s="8"/>
    </row>
    <row r="777" spans="1:3" x14ac:dyDescent="0.25">
      <c r="A777" s="11" t="s">
        <v>1488</v>
      </c>
      <c r="B777" s="11" t="s">
        <v>1489</v>
      </c>
      <c r="C777" s="8"/>
    </row>
    <row r="778" spans="1:3" x14ac:dyDescent="0.25">
      <c r="A778" s="11" t="s">
        <v>1490</v>
      </c>
      <c r="B778" s="11" t="s">
        <v>1491</v>
      </c>
      <c r="C778" s="8"/>
    </row>
    <row r="779" spans="1:3" x14ac:dyDescent="0.25">
      <c r="A779" s="11" t="s">
        <v>1492</v>
      </c>
      <c r="B779" s="11" t="s">
        <v>1493</v>
      </c>
      <c r="C779" s="8"/>
    </row>
    <row r="780" spans="1:3" x14ac:dyDescent="0.25">
      <c r="A780" s="11" t="s">
        <v>1494</v>
      </c>
      <c r="B780" s="11" t="s">
        <v>1495</v>
      </c>
      <c r="C780" s="8"/>
    </row>
    <row r="781" spans="1:3" x14ac:dyDescent="0.25">
      <c r="A781" s="11" t="s">
        <v>1496</v>
      </c>
      <c r="B781" s="11" t="s">
        <v>1497</v>
      </c>
      <c r="C781" s="8"/>
    </row>
    <row r="782" spans="1:3" x14ac:dyDescent="0.25">
      <c r="A782" s="11" t="s">
        <v>1498</v>
      </c>
      <c r="B782" s="11" t="s">
        <v>1499</v>
      </c>
      <c r="C782" s="8"/>
    </row>
    <row r="783" spans="1:3" x14ac:dyDescent="0.25">
      <c r="A783" s="11" t="s">
        <v>1500</v>
      </c>
      <c r="B783" s="11" t="s">
        <v>1501</v>
      </c>
      <c r="C783" s="8"/>
    </row>
    <row r="784" spans="1:3" x14ac:dyDescent="0.25">
      <c r="A784" s="11" t="s">
        <v>1502</v>
      </c>
      <c r="B784" s="11" t="s">
        <v>1503</v>
      </c>
      <c r="C784" s="8"/>
    </row>
    <row r="785" spans="1:3" x14ac:dyDescent="0.25">
      <c r="A785" s="11" t="s">
        <v>1504</v>
      </c>
      <c r="B785" s="11" t="s">
        <v>1505</v>
      </c>
      <c r="C785" s="8"/>
    </row>
    <row r="786" spans="1:3" x14ac:dyDescent="0.25">
      <c r="A786" s="11" t="s">
        <v>1506</v>
      </c>
      <c r="B786" s="11" t="s">
        <v>1507</v>
      </c>
      <c r="C786" s="8"/>
    </row>
    <row r="787" spans="1:3" x14ac:dyDescent="0.25">
      <c r="A787" s="11" t="s">
        <v>1508</v>
      </c>
      <c r="B787" s="11" t="s">
        <v>1509</v>
      </c>
      <c r="C787" s="8"/>
    </row>
    <row r="788" spans="1:3" x14ac:dyDescent="0.25">
      <c r="A788" s="11" t="s">
        <v>1510</v>
      </c>
      <c r="B788" s="11" t="s">
        <v>1511</v>
      </c>
      <c r="C788" s="8"/>
    </row>
    <row r="789" spans="1:3" x14ac:dyDescent="0.25">
      <c r="A789" s="11" t="s">
        <v>1512</v>
      </c>
      <c r="B789" s="11" t="s">
        <v>1513</v>
      </c>
      <c r="C789" s="8"/>
    </row>
    <row r="790" spans="1:3" x14ac:dyDescent="0.25">
      <c r="A790" s="11" t="s">
        <v>1514</v>
      </c>
      <c r="B790" s="11" t="s">
        <v>1515</v>
      </c>
      <c r="C790" s="8"/>
    </row>
    <row r="791" spans="1:3" x14ac:dyDescent="0.25">
      <c r="A791" s="11" t="s">
        <v>1516</v>
      </c>
      <c r="B791" s="11" t="s">
        <v>1517</v>
      </c>
      <c r="C791" s="8"/>
    </row>
    <row r="792" spans="1:3" x14ac:dyDescent="0.25">
      <c r="A792" s="11" t="s">
        <v>1518</v>
      </c>
      <c r="B792" s="11" t="s">
        <v>1519</v>
      </c>
      <c r="C792" s="8"/>
    </row>
    <row r="793" spans="1:3" x14ac:dyDescent="0.25">
      <c r="A793" s="11" t="s">
        <v>1520</v>
      </c>
      <c r="B793" s="11" t="s">
        <v>1521</v>
      </c>
      <c r="C793" s="8"/>
    </row>
    <row r="794" spans="1:3" x14ac:dyDescent="0.25">
      <c r="A794" s="11" t="s">
        <v>1522</v>
      </c>
      <c r="B794" s="11" t="s">
        <v>1523</v>
      </c>
      <c r="C794" s="8"/>
    </row>
    <row r="795" spans="1:3" x14ac:dyDescent="0.25">
      <c r="A795" s="11" t="s">
        <v>1524</v>
      </c>
      <c r="B795" s="11" t="s">
        <v>1525</v>
      </c>
      <c r="C795" s="8"/>
    </row>
    <row r="796" spans="1:3" x14ac:dyDescent="0.25">
      <c r="A796" s="11" t="s">
        <v>1526</v>
      </c>
      <c r="B796" s="11" t="s">
        <v>1527</v>
      </c>
      <c r="C796" s="8"/>
    </row>
    <row r="797" spans="1:3" x14ac:dyDescent="0.25">
      <c r="A797" s="11" t="s">
        <v>1528</v>
      </c>
      <c r="B797" s="11" t="s">
        <v>1529</v>
      </c>
      <c r="C797" s="8"/>
    </row>
    <row r="798" spans="1:3" x14ac:dyDescent="0.25">
      <c r="A798" s="11" t="s">
        <v>1530</v>
      </c>
      <c r="B798" s="11" t="s">
        <v>1531</v>
      </c>
      <c r="C798" s="8"/>
    </row>
    <row r="799" spans="1:3" x14ac:dyDescent="0.25">
      <c r="A799" s="11" t="s">
        <v>1532</v>
      </c>
      <c r="B799" s="11" t="s">
        <v>1533</v>
      </c>
      <c r="C799" s="8"/>
    </row>
    <row r="800" spans="1:3" x14ac:dyDescent="0.25">
      <c r="A800" s="11" t="s">
        <v>1534</v>
      </c>
      <c r="B800" s="11" t="s">
        <v>1535</v>
      </c>
      <c r="C800" s="8"/>
    </row>
    <row r="801" spans="1:3" x14ac:dyDescent="0.25">
      <c r="A801" s="11" t="s">
        <v>1536</v>
      </c>
      <c r="B801" s="11" t="s">
        <v>1537</v>
      </c>
      <c r="C801" s="8"/>
    </row>
    <row r="802" spans="1:3" x14ac:dyDescent="0.25">
      <c r="A802" s="11" t="s">
        <v>1538</v>
      </c>
      <c r="B802" s="11" t="s">
        <v>1539</v>
      </c>
      <c r="C802" s="8"/>
    </row>
    <row r="803" spans="1:3" x14ac:dyDescent="0.25">
      <c r="A803" s="11" t="s">
        <v>1540</v>
      </c>
      <c r="B803" s="11" t="s">
        <v>1541</v>
      </c>
      <c r="C803" s="8"/>
    </row>
    <row r="804" spans="1:3" x14ac:dyDescent="0.25">
      <c r="A804" s="11" t="s">
        <v>1542</v>
      </c>
      <c r="B804" s="11" t="s">
        <v>1543</v>
      </c>
      <c r="C804" s="8"/>
    </row>
    <row r="805" spans="1:3" x14ac:dyDescent="0.25">
      <c r="A805" s="11" t="s">
        <v>1544</v>
      </c>
      <c r="B805" s="11" t="s">
        <v>1545</v>
      </c>
      <c r="C805" s="8"/>
    </row>
    <row r="806" spans="1:3" x14ac:dyDescent="0.25">
      <c r="A806" s="11" t="s">
        <v>1546</v>
      </c>
      <c r="B806" s="11" t="s">
        <v>1547</v>
      </c>
      <c r="C806" s="8"/>
    </row>
    <row r="807" spans="1:3" x14ac:dyDescent="0.25">
      <c r="A807" s="11" t="s">
        <v>1548</v>
      </c>
      <c r="B807" s="11" t="s">
        <v>1549</v>
      </c>
      <c r="C807" s="8"/>
    </row>
    <row r="808" spans="1:3" x14ac:dyDescent="0.25">
      <c r="A808" s="11" t="s">
        <v>1550</v>
      </c>
      <c r="B808" s="11" t="s">
        <v>1551</v>
      </c>
      <c r="C808" s="8"/>
    </row>
    <row r="809" spans="1:3" x14ac:dyDescent="0.25">
      <c r="A809" s="11" t="s">
        <v>1552</v>
      </c>
      <c r="B809" s="11" t="s">
        <v>1553</v>
      </c>
      <c r="C809" s="8"/>
    </row>
    <row r="810" spans="1:3" x14ac:dyDescent="0.25">
      <c r="A810" s="11" t="s">
        <v>1554</v>
      </c>
      <c r="B810" s="11" t="s">
        <v>1555</v>
      </c>
      <c r="C810" s="8"/>
    </row>
    <row r="811" spans="1:3" x14ac:dyDescent="0.25">
      <c r="A811" s="11" t="s">
        <v>1556</v>
      </c>
      <c r="B811" s="11" t="s">
        <v>1557</v>
      </c>
      <c r="C811" s="8"/>
    </row>
    <row r="812" spans="1:3" x14ac:dyDescent="0.25">
      <c r="A812" s="11" t="s">
        <v>1558</v>
      </c>
      <c r="B812" s="11" t="s">
        <v>1559</v>
      </c>
      <c r="C812" s="8"/>
    </row>
    <row r="813" spans="1:3" x14ac:dyDescent="0.25">
      <c r="A813" s="11" t="s">
        <v>1560</v>
      </c>
      <c r="B813" s="11" t="s">
        <v>1561</v>
      </c>
      <c r="C813" s="8"/>
    </row>
    <row r="814" spans="1:3" x14ac:dyDescent="0.25">
      <c r="A814" s="11" t="s">
        <v>1562</v>
      </c>
      <c r="B814" s="11" t="s">
        <v>1563</v>
      </c>
      <c r="C814" s="8"/>
    </row>
    <row r="815" spans="1:3" x14ac:dyDescent="0.25">
      <c r="A815" s="11" t="s">
        <v>1564</v>
      </c>
      <c r="B815" s="11" t="s">
        <v>1565</v>
      </c>
      <c r="C815" s="8"/>
    </row>
    <row r="816" spans="1:3" x14ac:dyDescent="0.25">
      <c r="A816" s="11" t="s">
        <v>1566</v>
      </c>
      <c r="B816" s="11" t="s">
        <v>1567</v>
      </c>
      <c r="C816" s="8"/>
    </row>
    <row r="817" spans="1:3" x14ac:dyDescent="0.25">
      <c r="A817" s="11" t="s">
        <v>1568</v>
      </c>
      <c r="B817" s="11" t="s">
        <v>1569</v>
      </c>
      <c r="C817" s="8"/>
    </row>
    <row r="818" spans="1:3" x14ac:dyDescent="0.25">
      <c r="A818" s="11" t="s">
        <v>1570</v>
      </c>
      <c r="B818" s="11" t="s">
        <v>1571</v>
      </c>
      <c r="C818" s="8"/>
    </row>
    <row r="819" spans="1:3" x14ac:dyDescent="0.25">
      <c r="A819" s="11" t="s">
        <v>666</v>
      </c>
      <c r="B819" s="11" t="s">
        <v>1572</v>
      </c>
      <c r="C819" s="8"/>
    </row>
    <row r="820" spans="1:3" x14ac:dyDescent="0.25">
      <c r="A820" s="11" t="s">
        <v>1573</v>
      </c>
      <c r="B820" s="11" t="s">
        <v>1574</v>
      </c>
      <c r="C820" s="8"/>
    </row>
    <row r="821" spans="1:3" x14ac:dyDescent="0.25">
      <c r="A821" s="11" t="s">
        <v>1575</v>
      </c>
      <c r="B821" s="11" t="s">
        <v>1576</v>
      </c>
      <c r="C821" s="8"/>
    </row>
    <row r="822" spans="1:3" x14ac:dyDescent="0.25">
      <c r="A822" s="11" t="s">
        <v>1577</v>
      </c>
      <c r="B822" s="11" t="s">
        <v>1578</v>
      </c>
      <c r="C822" s="8"/>
    </row>
    <row r="823" spans="1:3" x14ac:dyDescent="0.25">
      <c r="A823" s="11" t="s">
        <v>1579</v>
      </c>
      <c r="B823" s="11" t="s">
        <v>1580</v>
      </c>
      <c r="C823" s="8"/>
    </row>
    <row r="824" spans="1:3" x14ac:dyDescent="0.25">
      <c r="A824" s="11" t="s">
        <v>1581</v>
      </c>
      <c r="B824" s="11" t="s">
        <v>1582</v>
      </c>
      <c r="C824" s="8"/>
    </row>
    <row r="825" spans="1:3" x14ac:dyDescent="0.25">
      <c r="A825" s="11" t="s">
        <v>1583</v>
      </c>
      <c r="B825" s="11" t="s">
        <v>1584</v>
      </c>
      <c r="C825" s="8"/>
    </row>
    <row r="826" spans="1:3" x14ac:dyDescent="0.25">
      <c r="A826" s="11" t="s">
        <v>1585</v>
      </c>
      <c r="B826" s="11" t="s">
        <v>1586</v>
      </c>
      <c r="C826" s="8"/>
    </row>
    <row r="827" spans="1:3" x14ac:dyDescent="0.25">
      <c r="A827" s="11" t="s">
        <v>1587</v>
      </c>
      <c r="B827" s="11" t="s">
        <v>1588</v>
      </c>
      <c r="C827" s="8"/>
    </row>
    <row r="828" spans="1:3" x14ac:dyDescent="0.25">
      <c r="A828" s="11" t="s">
        <v>1589</v>
      </c>
      <c r="B828" s="11" t="s">
        <v>1590</v>
      </c>
      <c r="C828" s="8"/>
    </row>
    <row r="829" spans="1:3" x14ac:dyDescent="0.25">
      <c r="A829" s="11" t="s">
        <v>1591</v>
      </c>
      <c r="B829" s="11" t="s">
        <v>1592</v>
      </c>
      <c r="C829" s="8"/>
    </row>
    <row r="830" spans="1:3" x14ac:dyDescent="0.25">
      <c r="A830" s="11" t="s">
        <v>1593</v>
      </c>
      <c r="B830" s="11" t="s">
        <v>1594</v>
      </c>
      <c r="C830" s="8"/>
    </row>
    <row r="831" spans="1:3" x14ac:dyDescent="0.25">
      <c r="A831" s="11" t="s">
        <v>1595</v>
      </c>
      <c r="B831" s="11" t="s">
        <v>1596</v>
      </c>
      <c r="C831" s="8"/>
    </row>
    <row r="832" spans="1:3" x14ac:dyDescent="0.25">
      <c r="A832" s="11" t="s">
        <v>1597</v>
      </c>
      <c r="B832" s="11" t="s">
        <v>1598</v>
      </c>
      <c r="C832" s="8"/>
    </row>
    <row r="833" spans="1:3" x14ac:dyDescent="0.25">
      <c r="A833" s="11" t="s">
        <v>1599</v>
      </c>
      <c r="B833" s="11" t="s">
        <v>1600</v>
      </c>
      <c r="C833" s="8"/>
    </row>
    <row r="834" spans="1:3" x14ac:dyDescent="0.25">
      <c r="A834" s="11" t="s">
        <v>1601</v>
      </c>
      <c r="B834" s="11" t="s">
        <v>1602</v>
      </c>
      <c r="C834" s="8"/>
    </row>
    <row r="835" spans="1:3" x14ac:dyDescent="0.25">
      <c r="A835" s="11" t="s">
        <v>1603</v>
      </c>
      <c r="B835" s="11" t="s">
        <v>1604</v>
      </c>
      <c r="C835" s="8"/>
    </row>
    <row r="836" spans="1:3" x14ac:dyDescent="0.25">
      <c r="A836" s="11" t="s">
        <v>1605</v>
      </c>
      <c r="B836" s="11" t="s">
        <v>1606</v>
      </c>
      <c r="C836" s="8"/>
    </row>
    <row r="837" spans="1:3" x14ac:dyDescent="0.25">
      <c r="A837" s="11" t="s">
        <v>1607</v>
      </c>
      <c r="B837" s="11" t="s">
        <v>1608</v>
      </c>
      <c r="C837" s="8"/>
    </row>
    <row r="838" spans="1:3" x14ac:dyDescent="0.25">
      <c r="A838" s="11" t="s">
        <v>1609</v>
      </c>
      <c r="B838" s="11" t="s">
        <v>1610</v>
      </c>
      <c r="C838" s="8"/>
    </row>
    <row r="839" spans="1:3" x14ac:dyDescent="0.25">
      <c r="A839" s="11" t="s">
        <v>1611</v>
      </c>
      <c r="B839" s="11" t="s">
        <v>1612</v>
      </c>
      <c r="C839" s="8"/>
    </row>
    <row r="840" spans="1:3" x14ac:dyDescent="0.25">
      <c r="A840" s="11" t="s">
        <v>1613</v>
      </c>
      <c r="B840" s="11" t="s">
        <v>1614</v>
      </c>
      <c r="C840" s="8"/>
    </row>
    <row r="841" spans="1:3" x14ac:dyDescent="0.25">
      <c r="A841" s="11" t="s">
        <v>1615</v>
      </c>
      <c r="B841" s="11" t="s">
        <v>1616</v>
      </c>
      <c r="C841" s="8"/>
    </row>
    <row r="842" spans="1:3" x14ac:dyDescent="0.25">
      <c r="A842" s="11" t="s">
        <v>1617</v>
      </c>
      <c r="B842" s="11" t="s">
        <v>1618</v>
      </c>
      <c r="C842" s="8"/>
    </row>
    <row r="843" spans="1:3" x14ac:dyDescent="0.25">
      <c r="A843" s="11" t="s">
        <v>1619</v>
      </c>
      <c r="B843" s="11" t="s">
        <v>1620</v>
      </c>
      <c r="C843" s="8"/>
    </row>
    <row r="844" spans="1:3" x14ac:dyDescent="0.25">
      <c r="A844" s="11" t="s">
        <v>1621</v>
      </c>
      <c r="B844" s="11" t="s">
        <v>1622</v>
      </c>
      <c r="C844" s="8"/>
    </row>
    <row r="845" spans="1:3" x14ac:dyDescent="0.25">
      <c r="A845" s="11" t="s">
        <v>1623</v>
      </c>
      <c r="B845" s="11" t="s">
        <v>1624</v>
      </c>
      <c r="C845" s="8"/>
    </row>
    <row r="846" spans="1:3" x14ac:dyDescent="0.25">
      <c r="A846" s="11" t="s">
        <v>1625</v>
      </c>
      <c r="B846" s="11" t="s">
        <v>1626</v>
      </c>
      <c r="C846" s="8"/>
    </row>
    <row r="847" spans="1:3" x14ac:dyDescent="0.25">
      <c r="A847" s="11" t="s">
        <v>1627</v>
      </c>
      <c r="B847" s="11" t="s">
        <v>1628</v>
      </c>
      <c r="C847" s="8"/>
    </row>
    <row r="848" spans="1:3" x14ac:dyDescent="0.25">
      <c r="A848" s="11" t="s">
        <v>1629</v>
      </c>
      <c r="B848" s="11" t="s">
        <v>1630</v>
      </c>
      <c r="C848" s="8"/>
    </row>
    <row r="849" spans="1:3" x14ac:dyDescent="0.25">
      <c r="A849" s="11" t="s">
        <v>1631</v>
      </c>
      <c r="B849" s="11" t="s">
        <v>1632</v>
      </c>
      <c r="C849" s="8"/>
    </row>
    <row r="850" spans="1:3" x14ac:dyDescent="0.25">
      <c r="A850" s="11" t="s">
        <v>1633</v>
      </c>
      <c r="B850" s="11" t="s">
        <v>1634</v>
      </c>
      <c r="C850" s="8"/>
    </row>
    <row r="851" spans="1:3" x14ac:dyDescent="0.25">
      <c r="A851" s="11" t="s">
        <v>1635</v>
      </c>
      <c r="B851" s="11" t="s">
        <v>1636</v>
      </c>
      <c r="C851" s="8"/>
    </row>
    <row r="852" spans="1:3" x14ac:dyDescent="0.25">
      <c r="A852" s="11" t="s">
        <v>1637</v>
      </c>
      <c r="B852" s="11" t="s">
        <v>1638</v>
      </c>
      <c r="C852" s="8"/>
    </row>
    <row r="853" spans="1:3" x14ac:dyDescent="0.25">
      <c r="A853" s="11" t="s">
        <v>1639</v>
      </c>
      <c r="B853" s="11" t="s">
        <v>1640</v>
      </c>
      <c r="C853" s="8"/>
    </row>
    <row r="854" spans="1:3" x14ac:dyDescent="0.25">
      <c r="A854" s="11" t="s">
        <v>1641</v>
      </c>
      <c r="B854" s="11" t="s">
        <v>1642</v>
      </c>
      <c r="C854" s="8"/>
    </row>
    <row r="855" spans="1:3" x14ac:dyDescent="0.25">
      <c r="A855" s="11" t="s">
        <v>1643</v>
      </c>
      <c r="B855" s="11" t="s">
        <v>1644</v>
      </c>
      <c r="C855" s="8"/>
    </row>
    <row r="856" spans="1:3" x14ac:dyDescent="0.25">
      <c r="A856" s="11" t="s">
        <v>1645</v>
      </c>
      <c r="B856" s="11" t="s">
        <v>1646</v>
      </c>
      <c r="C856" s="8"/>
    </row>
    <row r="857" spans="1:3" x14ac:dyDescent="0.25">
      <c r="A857" s="11" t="s">
        <v>1647</v>
      </c>
      <c r="B857" s="11" t="s">
        <v>1648</v>
      </c>
      <c r="C857" s="8"/>
    </row>
    <row r="858" spans="1:3" x14ac:dyDescent="0.25">
      <c r="A858" s="11" t="s">
        <v>1649</v>
      </c>
      <c r="B858" s="11" t="s">
        <v>1650</v>
      </c>
      <c r="C858" s="8"/>
    </row>
    <row r="859" spans="1:3" x14ac:dyDescent="0.25">
      <c r="A859" s="11" t="s">
        <v>1651</v>
      </c>
      <c r="B859" s="11" t="s">
        <v>1652</v>
      </c>
      <c r="C859" s="8"/>
    </row>
    <row r="860" spans="1:3" x14ac:dyDescent="0.25">
      <c r="A860" s="11" t="s">
        <v>1653</v>
      </c>
      <c r="B860" s="11" t="s">
        <v>1654</v>
      </c>
      <c r="C860" s="8"/>
    </row>
    <row r="861" spans="1:3" x14ac:dyDescent="0.25">
      <c r="A861" s="11" t="s">
        <v>1655</v>
      </c>
      <c r="B861" s="11" t="s">
        <v>1656</v>
      </c>
      <c r="C861" s="8"/>
    </row>
    <row r="862" spans="1:3" x14ac:dyDescent="0.25">
      <c r="A862" s="11" t="s">
        <v>1657</v>
      </c>
      <c r="B862" s="11" t="s">
        <v>1658</v>
      </c>
      <c r="C862" s="8"/>
    </row>
    <row r="863" spans="1:3" x14ac:dyDescent="0.25">
      <c r="A863" s="11" t="s">
        <v>1659</v>
      </c>
      <c r="B863" s="11" t="s">
        <v>1660</v>
      </c>
      <c r="C863" s="8"/>
    </row>
    <row r="864" spans="1:3" x14ac:dyDescent="0.25">
      <c r="A864" s="11" t="s">
        <v>1661</v>
      </c>
      <c r="B864" s="11" t="s">
        <v>1662</v>
      </c>
      <c r="C864" s="8"/>
    </row>
    <row r="865" spans="1:3" x14ac:dyDescent="0.25">
      <c r="A865" s="11" t="s">
        <v>1663</v>
      </c>
      <c r="B865" s="11" t="s">
        <v>1664</v>
      </c>
      <c r="C865" s="8"/>
    </row>
    <row r="866" spans="1:3" x14ac:dyDescent="0.25">
      <c r="A866" s="11" t="s">
        <v>1665</v>
      </c>
      <c r="B866" s="11" t="s">
        <v>1666</v>
      </c>
      <c r="C866" s="8"/>
    </row>
    <row r="867" spans="1:3" x14ac:dyDescent="0.25">
      <c r="A867" s="11" t="s">
        <v>1667</v>
      </c>
      <c r="B867" s="11" t="s">
        <v>1668</v>
      </c>
      <c r="C867" s="8"/>
    </row>
    <row r="868" spans="1:3" x14ac:dyDescent="0.25">
      <c r="A868" s="11" t="s">
        <v>1669</v>
      </c>
      <c r="B868" s="11" t="s">
        <v>1670</v>
      </c>
      <c r="C868" s="8"/>
    </row>
    <row r="869" spans="1:3" x14ac:dyDescent="0.25">
      <c r="A869" s="11" t="s">
        <v>1671</v>
      </c>
      <c r="B869" s="11" t="s">
        <v>1672</v>
      </c>
      <c r="C869" s="8"/>
    </row>
    <row r="870" spans="1:3" x14ac:dyDescent="0.25">
      <c r="A870" s="11" t="s">
        <v>1673</v>
      </c>
      <c r="B870" s="11" t="s">
        <v>1674</v>
      </c>
      <c r="C870" s="8"/>
    </row>
    <row r="871" spans="1:3" x14ac:dyDescent="0.25">
      <c r="A871" s="11" t="s">
        <v>1675</v>
      </c>
      <c r="B871" s="11" t="s">
        <v>1676</v>
      </c>
      <c r="C871" s="8"/>
    </row>
    <row r="872" spans="1:3" x14ac:dyDescent="0.25">
      <c r="A872" s="11" t="s">
        <v>1677</v>
      </c>
      <c r="B872" s="11" t="s">
        <v>1678</v>
      </c>
      <c r="C872" s="8"/>
    </row>
    <row r="873" spans="1:3" x14ac:dyDescent="0.25">
      <c r="A873" s="11" t="s">
        <v>1679</v>
      </c>
      <c r="B873" s="11" t="s">
        <v>1680</v>
      </c>
      <c r="C873" s="8"/>
    </row>
    <row r="874" spans="1:3" x14ac:dyDescent="0.25">
      <c r="A874" s="11" t="s">
        <v>1681</v>
      </c>
      <c r="B874" s="11" t="s">
        <v>1682</v>
      </c>
      <c r="C874" s="8"/>
    </row>
    <row r="875" spans="1:3" x14ac:dyDescent="0.25">
      <c r="A875" s="11" t="s">
        <v>1683</v>
      </c>
      <c r="B875" s="11" t="s">
        <v>1684</v>
      </c>
      <c r="C875" s="8"/>
    </row>
    <row r="876" spans="1:3" x14ac:dyDescent="0.25">
      <c r="A876" s="11" t="s">
        <v>1685</v>
      </c>
      <c r="B876" s="11" t="s">
        <v>1686</v>
      </c>
      <c r="C876" s="8"/>
    </row>
    <row r="877" spans="1:3" x14ac:dyDescent="0.25">
      <c r="A877" s="11" t="s">
        <v>1687</v>
      </c>
      <c r="B877" s="11" t="s">
        <v>1688</v>
      </c>
      <c r="C877" s="8"/>
    </row>
    <row r="878" spans="1:3" x14ac:dyDescent="0.25">
      <c r="A878" s="11" t="s">
        <v>1689</v>
      </c>
      <c r="B878" s="11" t="s">
        <v>1690</v>
      </c>
      <c r="C878" s="8"/>
    </row>
    <row r="879" spans="1:3" x14ac:dyDescent="0.25">
      <c r="A879" s="11" t="s">
        <v>1691</v>
      </c>
      <c r="B879" s="11" t="s">
        <v>1692</v>
      </c>
      <c r="C879" s="8"/>
    </row>
    <row r="880" spans="1:3" x14ac:dyDescent="0.25">
      <c r="A880" s="11" t="s">
        <v>1693</v>
      </c>
      <c r="B880" s="11" t="s">
        <v>1694</v>
      </c>
      <c r="C880" s="8"/>
    </row>
    <row r="881" spans="1:3" x14ac:dyDescent="0.25">
      <c r="A881" s="11" t="s">
        <v>1695</v>
      </c>
      <c r="B881" s="11" t="s">
        <v>1696</v>
      </c>
      <c r="C881" s="8"/>
    </row>
    <row r="882" spans="1:3" x14ac:dyDescent="0.25">
      <c r="A882" s="11" t="s">
        <v>1697</v>
      </c>
      <c r="B882" s="11" t="s">
        <v>1698</v>
      </c>
      <c r="C882" s="8"/>
    </row>
    <row r="883" spans="1:3" x14ac:dyDescent="0.25">
      <c r="A883" s="11" t="s">
        <v>1699</v>
      </c>
      <c r="B883" s="11" t="s">
        <v>1700</v>
      </c>
      <c r="C883" s="8"/>
    </row>
    <row r="884" spans="1:3" x14ac:dyDescent="0.25">
      <c r="A884" s="11" t="s">
        <v>1701</v>
      </c>
      <c r="B884" s="11" t="s">
        <v>1702</v>
      </c>
      <c r="C884" s="8"/>
    </row>
    <row r="885" spans="1:3" x14ac:dyDescent="0.25">
      <c r="A885" s="11" t="s">
        <v>1703</v>
      </c>
      <c r="B885" s="11" t="s">
        <v>1704</v>
      </c>
      <c r="C885" s="8"/>
    </row>
    <row r="886" spans="1:3" x14ac:dyDescent="0.25">
      <c r="A886" s="11" t="s">
        <v>1705</v>
      </c>
      <c r="B886" s="11" t="s">
        <v>1706</v>
      </c>
      <c r="C886" s="8"/>
    </row>
    <row r="887" spans="1:3" x14ac:dyDescent="0.25">
      <c r="A887" s="11" t="s">
        <v>1707</v>
      </c>
      <c r="B887" s="11" t="s">
        <v>1708</v>
      </c>
      <c r="C887" s="8"/>
    </row>
    <row r="888" spans="1:3" x14ac:dyDescent="0.25">
      <c r="A888" s="11" t="s">
        <v>1709</v>
      </c>
      <c r="B888" s="11" t="s">
        <v>1710</v>
      </c>
      <c r="C888" s="8"/>
    </row>
    <row r="889" spans="1:3" x14ac:dyDescent="0.25">
      <c r="A889" s="11" t="s">
        <v>1711</v>
      </c>
      <c r="B889" s="11" t="s">
        <v>1712</v>
      </c>
      <c r="C889" s="8"/>
    </row>
    <row r="890" spans="1:3" x14ac:dyDescent="0.25">
      <c r="A890" s="11" t="s">
        <v>1713</v>
      </c>
      <c r="B890" s="11" t="s">
        <v>1714</v>
      </c>
      <c r="C890" s="8"/>
    </row>
    <row r="891" spans="1:3" x14ac:dyDescent="0.25">
      <c r="A891" s="11" t="s">
        <v>1715</v>
      </c>
      <c r="B891" s="11" t="s">
        <v>1716</v>
      </c>
      <c r="C891" s="8"/>
    </row>
    <row r="892" spans="1:3" x14ac:dyDescent="0.25">
      <c r="A892" s="11" t="s">
        <v>1717</v>
      </c>
      <c r="B892" s="11" t="s">
        <v>1718</v>
      </c>
      <c r="C892" s="8"/>
    </row>
    <row r="893" spans="1:3" x14ac:dyDescent="0.25">
      <c r="A893" s="11" t="s">
        <v>1719</v>
      </c>
      <c r="B893" s="11" t="s">
        <v>1720</v>
      </c>
      <c r="C893" s="8"/>
    </row>
    <row r="894" spans="1:3" x14ac:dyDescent="0.25">
      <c r="A894" s="11" t="s">
        <v>1721</v>
      </c>
      <c r="B894" s="11" t="s">
        <v>1722</v>
      </c>
      <c r="C894" s="8"/>
    </row>
    <row r="895" spans="1:3" x14ac:dyDescent="0.25">
      <c r="A895" s="11" t="s">
        <v>1723</v>
      </c>
      <c r="B895" s="11" t="s">
        <v>1724</v>
      </c>
      <c r="C895" s="8"/>
    </row>
    <row r="896" spans="1:3" x14ac:dyDescent="0.25">
      <c r="A896" s="11" t="s">
        <v>1725</v>
      </c>
      <c r="B896" s="11" t="s">
        <v>1726</v>
      </c>
      <c r="C896" s="8"/>
    </row>
    <row r="897" spans="1:3" x14ac:dyDescent="0.25">
      <c r="A897" s="11" t="s">
        <v>1727</v>
      </c>
      <c r="B897" s="11" t="s">
        <v>1728</v>
      </c>
      <c r="C897" s="8"/>
    </row>
    <row r="898" spans="1:3" x14ac:dyDescent="0.25">
      <c r="A898" s="11" t="s">
        <v>1729</v>
      </c>
      <c r="B898" s="11" t="s">
        <v>1730</v>
      </c>
      <c r="C898" s="8"/>
    </row>
    <row r="899" spans="1:3" x14ac:dyDescent="0.25">
      <c r="A899" s="11" t="s">
        <v>1731</v>
      </c>
      <c r="B899" s="11" t="s">
        <v>1732</v>
      </c>
      <c r="C899" s="8"/>
    </row>
    <row r="900" spans="1:3" x14ac:dyDescent="0.25">
      <c r="A900" s="11" t="s">
        <v>1733</v>
      </c>
      <c r="B900" s="11" t="s">
        <v>1734</v>
      </c>
      <c r="C900" s="8"/>
    </row>
    <row r="901" spans="1:3" x14ac:dyDescent="0.25">
      <c r="A901" s="11" t="s">
        <v>1735</v>
      </c>
      <c r="B901" s="11" t="s">
        <v>1736</v>
      </c>
      <c r="C901" s="8"/>
    </row>
    <row r="902" spans="1:3" x14ac:dyDescent="0.25">
      <c r="A902" s="11" t="s">
        <v>1737</v>
      </c>
      <c r="B902" s="11" t="s">
        <v>1738</v>
      </c>
      <c r="C902" s="8"/>
    </row>
    <row r="903" spans="1:3" x14ac:dyDescent="0.25">
      <c r="A903" s="11" t="s">
        <v>1739</v>
      </c>
      <c r="B903" s="11" t="s">
        <v>1740</v>
      </c>
      <c r="C903" s="8"/>
    </row>
    <row r="904" spans="1:3" x14ac:dyDescent="0.25">
      <c r="A904" s="11" t="s">
        <v>1741</v>
      </c>
      <c r="B904" s="11" t="s">
        <v>1742</v>
      </c>
      <c r="C904" s="8"/>
    </row>
    <row r="905" spans="1:3" x14ac:dyDescent="0.25">
      <c r="A905" s="11" t="s">
        <v>1743</v>
      </c>
      <c r="B905" s="11" t="s">
        <v>1744</v>
      </c>
      <c r="C905" s="8"/>
    </row>
    <row r="906" spans="1:3" x14ac:dyDescent="0.25">
      <c r="A906" s="11" t="s">
        <v>1745</v>
      </c>
      <c r="B906" s="11" t="s">
        <v>1746</v>
      </c>
      <c r="C906" s="8"/>
    </row>
    <row r="907" spans="1:3" x14ac:dyDescent="0.25">
      <c r="A907" s="11" t="s">
        <v>1747</v>
      </c>
      <c r="B907" s="11" t="s">
        <v>1748</v>
      </c>
      <c r="C907" s="8"/>
    </row>
    <row r="908" spans="1:3" x14ac:dyDescent="0.25">
      <c r="A908" s="11" t="s">
        <v>1749</v>
      </c>
      <c r="B908" s="11" t="s">
        <v>1750</v>
      </c>
      <c r="C908" s="8"/>
    </row>
    <row r="909" spans="1:3" x14ac:dyDescent="0.25">
      <c r="A909" s="11" t="s">
        <v>1751</v>
      </c>
      <c r="B909" s="11" t="s">
        <v>1752</v>
      </c>
      <c r="C909" s="8"/>
    </row>
    <row r="910" spans="1:3" x14ac:dyDescent="0.25">
      <c r="A910" s="11" t="s">
        <v>1753</v>
      </c>
      <c r="B910" s="11" t="s">
        <v>1754</v>
      </c>
      <c r="C910" s="8"/>
    </row>
    <row r="911" spans="1:3" x14ac:dyDescent="0.25">
      <c r="A911" s="11" t="s">
        <v>1755</v>
      </c>
      <c r="B911" s="11" t="s">
        <v>1756</v>
      </c>
      <c r="C911" s="8"/>
    </row>
    <row r="912" spans="1:3" x14ac:dyDescent="0.25">
      <c r="A912" s="11" t="s">
        <v>1757</v>
      </c>
      <c r="B912" s="11" t="s">
        <v>1758</v>
      </c>
      <c r="C912" s="8"/>
    </row>
    <row r="913" spans="1:3" x14ac:dyDescent="0.25">
      <c r="A913" s="11" t="s">
        <v>1759</v>
      </c>
      <c r="B913" s="11" t="s">
        <v>1760</v>
      </c>
      <c r="C913" s="8"/>
    </row>
    <row r="914" spans="1:3" x14ac:dyDescent="0.25">
      <c r="A914" s="11" t="s">
        <v>1761</v>
      </c>
      <c r="B914" s="11" t="s">
        <v>1762</v>
      </c>
      <c r="C914" s="8"/>
    </row>
    <row r="915" spans="1:3" x14ac:dyDescent="0.25">
      <c r="A915" s="11" t="s">
        <v>1763</v>
      </c>
      <c r="B915" s="11" t="s">
        <v>1764</v>
      </c>
      <c r="C915" s="8"/>
    </row>
    <row r="916" spans="1:3" x14ac:dyDescent="0.25">
      <c r="A916" s="11" t="s">
        <v>1765</v>
      </c>
      <c r="B916" s="11" t="s">
        <v>1766</v>
      </c>
      <c r="C916" s="8"/>
    </row>
    <row r="917" spans="1:3" x14ac:dyDescent="0.25">
      <c r="A917" s="11" t="s">
        <v>1767</v>
      </c>
      <c r="B917" s="11" t="s">
        <v>1768</v>
      </c>
      <c r="C917" s="8"/>
    </row>
    <row r="918" spans="1:3" x14ac:dyDescent="0.25">
      <c r="A918" s="11" t="s">
        <v>1769</v>
      </c>
      <c r="B918" s="11" t="s">
        <v>1770</v>
      </c>
      <c r="C918" s="8"/>
    </row>
    <row r="919" spans="1:3" x14ac:dyDescent="0.25">
      <c r="A919" s="11" t="s">
        <v>1771</v>
      </c>
      <c r="B919" s="11" t="s">
        <v>1772</v>
      </c>
      <c r="C919" s="8"/>
    </row>
    <row r="920" spans="1:3" x14ac:dyDescent="0.25">
      <c r="A920" s="11" t="s">
        <v>1773</v>
      </c>
      <c r="B920" s="11" t="s">
        <v>1774</v>
      </c>
      <c r="C920" s="8"/>
    </row>
    <row r="921" spans="1:3" x14ac:dyDescent="0.25">
      <c r="A921" s="11" t="s">
        <v>1775</v>
      </c>
      <c r="B921" s="11" t="s">
        <v>1776</v>
      </c>
      <c r="C921" s="8"/>
    </row>
    <row r="922" spans="1:3" x14ac:dyDescent="0.25">
      <c r="A922" s="11" t="s">
        <v>1777</v>
      </c>
      <c r="B922" s="11" t="s">
        <v>1778</v>
      </c>
      <c r="C922" s="8"/>
    </row>
    <row r="923" spans="1:3" x14ac:dyDescent="0.25">
      <c r="A923" s="11" t="s">
        <v>1779</v>
      </c>
      <c r="B923" s="11" t="s">
        <v>1780</v>
      </c>
      <c r="C923" s="8"/>
    </row>
    <row r="924" spans="1:3" x14ac:dyDescent="0.25">
      <c r="A924" s="11" t="s">
        <v>1781</v>
      </c>
      <c r="B924" s="11" t="s">
        <v>1782</v>
      </c>
      <c r="C924" s="8"/>
    </row>
    <row r="925" spans="1:3" x14ac:dyDescent="0.25">
      <c r="A925" s="11" t="s">
        <v>1783</v>
      </c>
      <c r="B925" s="11" t="s">
        <v>1784</v>
      </c>
      <c r="C925" s="8"/>
    </row>
    <row r="926" spans="1:3" x14ac:dyDescent="0.25">
      <c r="A926" s="11" t="s">
        <v>1785</v>
      </c>
      <c r="B926" s="11" t="s">
        <v>1786</v>
      </c>
      <c r="C926" s="8"/>
    </row>
    <row r="927" spans="1:3" x14ac:dyDescent="0.25">
      <c r="A927" s="11" t="s">
        <v>1787</v>
      </c>
      <c r="B927" s="11" t="s">
        <v>1788</v>
      </c>
      <c r="C927" s="8"/>
    </row>
    <row r="928" spans="1:3" x14ac:dyDescent="0.25">
      <c r="A928" s="11" t="s">
        <v>1789</v>
      </c>
      <c r="B928" s="11" t="s">
        <v>1790</v>
      </c>
      <c r="C928" s="8"/>
    </row>
    <row r="929" spans="1:3" x14ac:dyDescent="0.25">
      <c r="A929" s="11" t="s">
        <v>1791</v>
      </c>
      <c r="B929" s="11" t="s">
        <v>1792</v>
      </c>
      <c r="C929" s="8"/>
    </row>
    <row r="930" spans="1:3" x14ac:dyDescent="0.25">
      <c r="A930" s="11" t="s">
        <v>1793</v>
      </c>
      <c r="B930" s="11" t="s">
        <v>1794</v>
      </c>
      <c r="C930" s="8"/>
    </row>
    <row r="931" spans="1:3" x14ac:dyDescent="0.25">
      <c r="A931" s="11" t="s">
        <v>1795</v>
      </c>
      <c r="B931" s="11" t="s">
        <v>1796</v>
      </c>
      <c r="C931" s="8"/>
    </row>
    <row r="932" spans="1:3" x14ac:dyDescent="0.25">
      <c r="A932" s="11" t="s">
        <v>1797</v>
      </c>
      <c r="B932" s="11" t="s">
        <v>1798</v>
      </c>
      <c r="C932" s="8"/>
    </row>
    <row r="933" spans="1:3" x14ac:dyDescent="0.25">
      <c r="A933" s="11" t="s">
        <v>1799</v>
      </c>
      <c r="B933" s="11" t="s">
        <v>1800</v>
      </c>
      <c r="C933" s="8"/>
    </row>
    <row r="934" spans="1:3" x14ac:dyDescent="0.25">
      <c r="A934" s="11" t="s">
        <v>1801</v>
      </c>
      <c r="B934" s="11" t="s">
        <v>1802</v>
      </c>
      <c r="C934" s="8"/>
    </row>
    <row r="935" spans="1:3" x14ac:dyDescent="0.25">
      <c r="A935" s="11" t="s">
        <v>1803</v>
      </c>
      <c r="B935" s="11" t="s">
        <v>1804</v>
      </c>
      <c r="C935" s="8"/>
    </row>
    <row r="936" spans="1:3" x14ac:dyDescent="0.25">
      <c r="A936" s="11" t="s">
        <v>1805</v>
      </c>
      <c r="B936" s="11" t="s">
        <v>1806</v>
      </c>
      <c r="C936" s="8"/>
    </row>
    <row r="937" spans="1:3" x14ac:dyDescent="0.25">
      <c r="A937" s="11" t="s">
        <v>1807</v>
      </c>
      <c r="B937" s="11" t="s">
        <v>1808</v>
      </c>
      <c r="C937" s="8"/>
    </row>
    <row r="938" spans="1:3" x14ac:dyDescent="0.25">
      <c r="A938" s="11" t="s">
        <v>1809</v>
      </c>
      <c r="B938" s="11" t="s">
        <v>1810</v>
      </c>
      <c r="C938" s="8"/>
    </row>
    <row r="939" spans="1:3" x14ac:dyDescent="0.25">
      <c r="A939" s="11" t="s">
        <v>1811</v>
      </c>
      <c r="B939" s="11" t="s">
        <v>1812</v>
      </c>
      <c r="C939" s="8"/>
    </row>
    <row r="940" spans="1:3" x14ac:dyDescent="0.25">
      <c r="A940" s="11" t="s">
        <v>1813</v>
      </c>
      <c r="B940" s="11" t="s">
        <v>1814</v>
      </c>
      <c r="C940" s="8"/>
    </row>
    <row r="941" spans="1:3" x14ac:dyDescent="0.25">
      <c r="A941" s="11" t="s">
        <v>1815</v>
      </c>
      <c r="B941" s="11" t="s">
        <v>1816</v>
      </c>
      <c r="C941" s="8"/>
    </row>
    <row r="942" spans="1:3" x14ac:dyDescent="0.25">
      <c r="A942" s="11" t="s">
        <v>1817</v>
      </c>
      <c r="B942" s="11" t="s">
        <v>1818</v>
      </c>
      <c r="C942" s="8"/>
    </row>
    <row r="943" spans="1:3" x14ac:dyDescent="0.25">
      <c r="A943" s="11" t="s">
        <v>1819</v>
      </c>
      <c r="B943" s="11" t="s">
        <v>1820</v>
      </c>
      <c r="C943" s="8"/>
    </row>
    <row r="944" spans="1:3" x14ac:dyDescent="0.25">
      <c r="A944" s="11" t="s">
        <v>1821</v>
      </c>
      <c r="B944" s="11" t="s">
        <v>1822</v>
      </c>
      <c r="C944" s="8"/>
    </row>
    <row r="945" spans="1:3" x14ac:dyDescent="0.25">
      <c r="A945" s="11" t="s">
        <v>1823</v>
      </c>
      <c r="B945" s="11" t="s">
        <v>1824</v>
      </c>
      <c r="C945" s="8"/>
    </row>
    <row r="946" spans="1:3" x14ac:dyDescent="0.25">
      <c r="A946" s="11" t="s">
        <v>1825</v>
      </c>
      <c r="B946" s="11" t="s">
        <v>1826</v>
      </c>
      <c r="C946" s="8"/>
    </row>
    <row r="947" spans="1:3" x14ac:dyDescent="0.25">
      <c r="A947" s="11" t="s">
        <v>1827</v>
      </c>
      <c r="B947" s="11" t="s">
        <v>1828</v>
      </c>
      <c r="C947" s="8"/>
    </row>
    <row r="948" spans="1:3" x14ac:dyDescent="0.25">
      <c r="A948" s="11" t="s">
        <v>1829</v>
      </c>
      <c r="B948" s="11" t="s">
        <v>1830</v>
      </c>
      <c r="C948" s="8"/>
    </row>
    <row r="949" spans="1:3" x14ac:dyDescent="0.25">
      <c r="A949" s="11" t="s">
        <v>1831</v>
      </c>
      <c r="B949" s="11" t="s">
        <v>1832</v>
      </c>
      <c r="C949" s="8"/>
    </row>
    <row r="950" spans="1:3" x14ac:dyDescent="0.25">
      <c r="A950" s="11" t="s">
        <v>1833</v>
      </c>
      <c r="B950" s="11" t="s">
        <v>1834</v>
      </c>
      <c r="C950" s="8"/>
    </row>
    <row r="951" spans="1:3" x14ac:dyDescent="0.25">
      <c r="A951" s="11" t="s">
        <v>1835</v>
      </c>
      <c r="B951" s="11" t="s">
        <v>1836</v>
      </c>
      <c r="C951" s="8"/>
    </row>
    <row r="952" spans="1:3" x14ac:dyDescent="0.25">
      <c r="A952" s="11" t="s">
        <v>1837</v>
      </c>
      <c r="B952" s="11" t="s">
        <v>1838</v>
      </c>
      <c r="C952" s="8"/>
    </row>
    <row r="953" spans="1:3" x14ac:dyDescent="0.25">
      <c r="A953" s="11" t="s">
        <v>1839</v>
      </c>
      <c r="B953" s="11" t="s">
        <v>1840</v>
      </c>
      <c r="C953" s="8"/>
    </row>
    <row r="954" spans="1:3" x14ac:dyDescent="0.25">
      <c r="A954" s="11" t="s">
        <v>1841</v>
      </c>
      <c r="B954" s="11" t="s">
        <v>1842</v>
      </c>
      <c r="C954" s="8"/>
    </row>
    <row r="955" spans="1:3" x14ac:dyDescent="0.25">
      <c r="A955" s="11" t="s">
        <v>1843</v>
      </c>
      <c r="B955" s="11" t="s">
        <v>1844</v>
      </c>
      <c r="C955" s="8"/>
    </row>
    <row r="956" spans="1:3" x14ac:dyDescent="0.25">
      <c r="A956" s="11" t="s">
        <v>1845</v>
      </c>
      <c r="B956" s="11" t="s">
        <v>1846</v>
      </c>
      <c r="C956" s="8"/>
    </row>
    <row r="957" spans="1:3" x14ac:dyDescent="0.25">
      <c r="A957" s="11" t="s">
        <v>1847</v>
      </c>
      <c r="B957" s="11" t="s">
        <v>1848</v>
      </c>
      <c r="C957" s="8"/>
    </row>
    <row r="958" spans="1:3" x14ac:dyDescent="0.25">
      <c r="A958" s="11" t="s">
        <v>1849</v>
      </c>
      <c r="B958" s="11" t="s">
        <v>1850</v>
      </c>
      <c r="C958" s="8"/>
    </row>
    <row r="959" spans="1:3" x14ac:dyDescent="0.25">
      <c r="A959" s="11" t="s">
        <v>1851</v>
      </c>
      <c r="B959" s="11" t="s">
        <v>1852</v>
      </c>
      <c r="C959" s="8"/>
    </row>
    <row r="960" spans="1:3" x14ac:dyDescent="0.25">
      <c r="A960" s="11" t="s">
        <v>1853</v>
      </c>
      <c r="B960" s="11" t="s">
        <v>1854</v>
      </c>
      <c r="C960" s="8"/>
    </row>
    <row r="961" spans="1:3" x14ac:dyDescent="0.25">
      <c r="A961" s="11" t="s">
        <v>1855</v>
      </c>
      <c r="B961" s="11" t="s">
        <v>1856</v>
      </c>
      <c r="C961" s="8"/>
    </row>
    <row r="962" spans="1:3" x14ac:dyDescent="0.25">
      <c r="A962" s="11" t="s">
        <v>1857</v>
      </c>
      <c r="B962" s="11" t="s">
        <v>1858</v>
      </c>
      <c r="C962" s="8"/>
    </row>
    <row r="963" spans="1:3" x14ac:dyDescent="0.25">
      <c r="A963" s="11" t="s">
        <v>1859</v>
      </c>
      <c r="B963" s="11" t="s">
        <v>1860</v>
      </c>
      <c r="C963" s="8"/>
    </row>
    <row r="964" spans="1:3" x14ac:dyDescent="0.25">
      <c r="A964" s="11" t="s">
        <v>1861</v>
      </c>
      <c r="B964" s="11" t="s">
        <v>1862</v>
      </c>
      <c r="C964" s="8"/>
    </row>
    <row r="965" spans="1:3" x14ac:dyDescent="0.25">
      <c r="A965" s="11" t="s">
        <v>1863</v>
      </c>
      <c r="B965" s="11" t="s">
        <v>1864</v>
      </c>
      <c r="C965" s="8"/>
    </row>
    <row r="966" spans="1:3" x14ac:dyDescent="0.25">
      <c r="A966" s="11" t="s">
        <v>1865</v>
      </c>
      <c r="B966" s="11" t="s">
        <v>1866</v>
      </c>
      <c r="C966" s="8"/>
    </row>
    <row r="967" spans="1:3" x14ac:dyDescent="0.25">
      <c r="A967" s="11" t="s">
        <v>1867</v>
      </c>
      <c r="B967" s="11" t="s">
        <v>1868</v>
      </c>
      <c r="C967" s="8"/>
    </row>
    <row r="968" spans="1:3" x14ac:dyDescent="0.25">
      <c r="A968" s="11" t="s">
        <v>1869</v>
      </c>
      <c r="B968" s="11" t="s">
        <v>1870</v>
      </c>
      <c r="C968" s="8"/>
    </row>
    <row r="969" spans="1:3" x14ac:dyDescent="0.25">
      <c r="A969" s="11" t="s">
        <v>1871</v>
      </c>
      <c r="B969" s="11" t="s">
        <v>1872</v>
      </c>
      <c r="C969" s="8"/>
    </row>
    <row r="970" spans="1:3" x14ac:dyDescent="0.25">
      <c r="A970" s="11" t="s">
        <v>1873</v>
      </c>
      <c r="B970" s="11" t="s">
        <v>1874</v>
      </c>
      <c r="C970" s="8"/>
    </row>
    <row r="971" spans="1:3" x14ac:dyDescent="0.25">
      <c r="A971" s="11" t="s">
        <v>1875</v>
      </c>
      <c r="B971" s="11" t="s">
        <v>1876</v>
      </c>
      <c r="C971" s="8"/>
    </row>
    <row r="972" spans="1:3" x14ac:dyDescent="0.25">
      <c r="A972" s="11" t="s">
        <v>1877</v>
      </c>
      <c r="B972" s="11" t="s">
        <v>1878</v>
      </c>
      <c r="C972" s="8"/>
    </row>
    <row r="973" spans="1:3" x14ac:dyDescent="0.25">
      <c r="A973" s="11" t="s">
        <v>1879</v>
      </c>
      <c r="B973" s="11" t="s">
        <v>1880</v>
      </c>
      <c r="C973" s="8"/>
    </row>
    <row r="974" spans="1:3" x14ac:dyDescent="0.25">
      <c r="A974" s="11" t="s">
        <v>1881</v>
      </c>
      <c r="B974" s="11" t="s">
        <v>1882</v>
      </c>
      <c r="C974" s="8"/>
    </row>
    <row r="975" spans="1:3" x14ac:dyDescent="0.25">
      <c r="A975" s="11" t="s">
        <v>1883</v>
      </c>
      <c r="B975" s="11" t="s">
        <v>1884</v>
      </c>
      <c r="C975" s="8"/>
    </row>
    <row r="976" spans="1:3" x14ac:dyDescent="0.25">
      <c r="A976" s="11" t="s">
        <v>1885</v>
      </c>
      <c r="B976" s="11" t="s">
        <v>1886</v>
      </c>
      <c r="C976" s="8"/>
    </row>
    <row r="977" spans="1:5" x14ac:dyDescent="0.25">
      <c r="A977" s="11" t="s">
        <v>1887</v>
      </c>
      <c r="B977" s="11" t="s">
        <v>1888</v>
      </c>
      <c r="C977" s="8"/>
    </row>
    <row r="978" spans="1:5" x14ac:dyDescent="0.25">
      <c r="A978" s="11" t="s">
        <v>1889</v>
      </c>
      <c r="B978" s="11" t="s">
        <v>1890</v>
      </c>
      <c r="C978" s="8"/>
    </row>
    <row r="979" spans="1:5" x14ac:dyDescent="0.25">
      <c r="A979" s="11" t="s">
        <v>1891</v>
      </c>
      <c r="B979" s="11" t="s">
        <v>1892</v>
      </c>
      <c r="C979" s="8"/>
    </row>
    <row r="980" spans="1:5" x14ac:dyDescent="0.25">
      <c r="A980" s="11" t="s">
        <v>1893</v>
      </c>
      <c r="B980" s="11" t="s">
        <v>1894</v>
      </c>
      <c r="C980" s="8"/>
    </row>
    <row r="981" spans="1:5" x14ac:dyDescent="0.25">
      <c r="A981" s="11" t="s">
        <v>1895</v>
      </c>
      <c r="B981" s="11" t="s">
        <v>1896</v>
      </c>
      <c r="C981" s="8"/>
    </row>
    <row r="982" spans="1:5" x14ac:dyDescent="0.25">
      <c r="A982" s="11" t="s">
        <v>1897</v>
      </c>
      <c r="B982" s="11" t="s">
        <v>1898</v>
      </c>
      <c r="C982" s="8"/>
    </row>
    <row r="983" spans="1:5" x14ac:dyDescent="0.25">
      <c r="A983" s="11"/>
      <c r="B983" s="11"/>
      <c r="C983" s="8"/>
    </row>
    <row r="984" spans="1:5" ht="18.75" x14ac:dyDescent="0.3">
      <c r="A984" s="9" t="s">
        <v>1899</v>
      </c>
      <c r="B984" s="9"/>
      <c r="C984" s="7" t="s">
        <v>64</v>
      </c>
      <c r="E984" s="16">
        <v>10</v>
      </c>
    </row>
    <row r="985" spans="1:5" x14ac:dyDescent="0.25">
      <c r="A985" s="10" t="s">
        <v>65</v>
      </c>
      <c r="B985" s="10" t="s">
        <v>66</v>
      </c>
    </row>
    <row r="986" spans="1:5" x14ac:dyDescent="0.25">
      <c r="A986" s="11" t="s">
        <v>16</v>
      </c>
      <c r="B986" s="11" t="s">
        <v>1900</v>
      </c>
      <c r="C986" s="8"/>
    </row>
    <row r="987" spans="1:5" x14ac:dyDescent="0.25">
      <c r="A987" s="11" t="s">
        <v>29</v>
      </c>
      <c r="B987" s="11" t="s">
        <v>1901</v>
      </c>
      <c r="C987" s="8"/>
    </row>
    <row r="988" spans="1:5" x14ac:dyDescent="0.25">
      <c r="A988" s="11" t="s">
        <v>18</v>
      </c>
      <c r="B988" s="11" t="s">
        <v>1902</v>
      </c>
      <c r="C988" s="8"/>
    </row>
    <row r="989" spans="1:5" x14ac:dyDescent="0.25">
      <c r="A989" s="11"/>
      <c r="B989" s="11"/>
      <c r="C989" s="8"/>
    </row>
    <row r="990" spans="1:5" ht="18.75" x14ac:dyDescent="0.3">
      <c r="A990" s="9" t="s">
        <v>27</v>
      </c>
      <c r="B990" s="9"/>
      <c r="C990" s="7" t="s">
        <v>64</v>
      </c>
      <c r="E990" s="16">
        <v>11</v>
      </c>
    </row>
    <row r="991" spans="1:5" x14ac:dyDescent="0.25">
      <c r="A991" s="10" t="s">
        <v>65</v>
      </c>
      <c r="B991" s="10" t="s">
        <v>66</v>
      </c>
    </row>
    <row r="992" spans="1:5" x14ac:dyDescent="0.25">
      <c r="A992" s="11" t="s">
        <v>1903</v>
      </c>
      <c r="B992" s="11" t="s">
        <v>1904</v>
      </c>
    </row>
    <row r="993" spans="1:5" x14ac:dyDescent="0.25">
      <c r="A993" s="11" t="s">
        <v>1905</v>
      </c>
      <c r="B993" s="11" t="s">
        <v>1906</v>
      </c>
    </row>
    <row r="994" spans="1:5" x14ac:dyDescent="0.25">
      <c r="A994" s="11" t="s">
        <v>69</v>
      </c>
      <c r="B994" s="11" t="s">
        <v>1907</v>
      </c>
      <c r="C994" s="8"/>
    </row>
    <row r="995" spans="1:5" x14ac:dyDescent="0.25">
      <c r="A995" s="11"/>
      <c r="B995" s="11"/>
      <c r="C995" s="8"/>
    </row>
    <row r="996" spans="1:5" ht="18.75" x14ac:dyDescent="0.3">
      <c r="A996" s="9" t="s">
        <v>9</v>
      </c>
      <c r="B996" s="9"/>
      <c r="C996" s="7" t="s">
        <v>64</v>
      </c>
      <c r="E996" s="16">
        <v>12</v>
      </c>
    </row>
    <row r="997" spans="1:5" x14ac:dyDescent="0.25">
      <c r="A997" s="10" t="s">
        <v>65</v>
      </c>
      <c r="B997" s="10" t="s">
        <v>66</v>
      </c>
    </row>
    <row r="998" spans="1:5" x14ac:dyDescent="0.25">
      <c r="A998" s="11" t="s">
        <v>1908</v>
      </c>
      <c r="B998" s="11" t="s">
        <v>1909</v>
      </c>
    </row>
    <row r="999" spans="1:5" x14ac:dyDescent="0.25">
      <c r="A999" s="11" t="s">
        <v>1910</v>
      </c>
      <c r="B999" s="11" t="s">
        <v>1911</v>
      </c>
    </row>
    <row r="1000" spans="1:5" x14ac:dyDescent="0.25">
      <c r="A1000" s="11" t="s">
        <v>1912</v>
      </c>
      <c r="B1000" s="11" t="s">
        <v>1913</v>
      </c>
    </row>
    <row r="1001" spans="1:5" x14ac:dyDescent="0.25">
      <c r="A1001" s="11" t="s">
        <v>1914</v>
      </c>
      <c r="B1001" s="11" t="s">
        <v>1915</v>
      </c>
    </row>
    <row r="1002" spans="1:5" x14ac:dyDescent="0.25">
      <c r="A1002" s="11" t="s">
        <v>1916</v>
      </c>
      <c r="B1002" s="11" t="s">
        <v>343</v>
      </c>
    </row>
    <row r="1003" spans="1:5" x14ac:dyDescent="0.25">
      <c r="A1003" s="11" t="s">
        <v>1917</v>
      </c>
      <c r="B1003" s="11" t="s">
        <v>1918</v>
      </c>
    </row>
    <row r="1004" spans="1:5" x14ac:dyDescent="0.25">
      <c r="A1004" s="11" t="s">
        <v>1919</v>
      </c>
      <c r="B1004" s="11" t="s">
        <v>1920</v>
      </c>
    </row>
    <row r="1005" spans="1:5" x14ac:dyDescent="0.25">
      <c r="A1005" s="11" t="s">
        <v>1921</v>
      </c>
      <c r="B1005" s="11" t="s">
        <v>1922</v>
      </c>
    </row>
    <row r="1006" spans="1:5" x14ac:dyDescent="0.25">
      <c r="A1006" s="11" t="s">
        <v>1923</v>
      </c>
      <c r="B1006" s="11" t="s">
        <v>1924</v>
      </c>
    </row>
    <row r="1007" spans="1:5" x14ac:dyDescent="0.25">
      <c r="A1007" s="11" t="s">
        <v>1925</v>
      </c>
      <c r="B1007" s="11" t="s">
        <v>1926</v>
      </c>
    </row>
    <row r="1008" spans="1:5" x14ac:dyDescent="0.25">
      <c r="A1008" s="11" t="s">
        <v>1927</v>
      </c>
      <c r="B1008" s="11" t="s">
        <v>1928</v>
      </c>
    </row>
    <row r="1009" spans="1:5" x14ac:dyDescent="0.25">
      <c r="A1009" s="11" t="s">
        <v>1929</v>
      </c>
      <c r="B1009" s="11" t="s">
        <v>1930</v>
      </c>
    </row>
    <row r="1010" spans="1:5" x14ac:dyDescent="0.25">
      <c r="A1010" s="11"/>
      <c r="B1010" s="11"/>
      <c r="C1010" s="8"/>
    </row>
    <row r="1011" spans="1:5" ht="18.75" x14ac:dyDescent="0.3">
      <c r="A1011" s="9" t="s">
        <v>34</v>
      </c>
      <c r="B1011" s="9"/>
      <c r="C1011" s="7" t="s">
        <v>64</v>
      </c>
      <c r="E1011" s="16">
        <v>13</v>
      </c>
    </row>
    <row r="1012" spans="1:5" x14ac:dyDescent="0.25">
      <c r="A1012" s="10" t="s">
        <v>65</v>
      </c>
      <c r="B1012" s="10" t="s">
        <v>66</v>
      </c>
    </row>
    <row r="1013" spans="1:5" x14ac:dyDescent="0.25">
      <c r="A1013" s="11" t="s">
        <v>363</v>
      </c>
      <c r="B1013" s="11" t="s">
        <v>1931</v>
      </c>
    </row>
    <row r="1014" spans="1:5" x14ac:dyDescent="0.25">
      <c r="A1014" s="11" t="s">
        <v>369</v>
      </c>
      <c r="B1014" s="11" t="s">
        <v>1932</v>
      </c>
    </row>
    <row r="1015" spans="1:5" x14ac:dyDescent="0.25">
      <c r="A1015" s="11" t="s">
        <v>395</v>
      </c>
      <c r="B1015" s="11" t="s">
        <v>1933</v>
      </c>
    </row>
    <row r="1016" spans="1:5" x14ac:dyDescent="0.25">
      <c r="A1016" s="11" t="s">
        <v>411</v>
      </c>
      <c r="B1016" s="11" t="s">
        <v>1934</v>
      </c>
    </row>
    <row r="1017" spans="1:5" x14ac:dyDescent="0.25">
      <c r="A1017" s="11" t="s">
        <v>423</v>
      </c>
      <c r="B1017" s="11" t="s">
        <v>1935</v>
      </c>
    </row>
    <row r="1018" spans="1:5" x14ac:dyDescent="0.25">
      <c r="A1018" s="11"/>
      <c r="B1018" s="11"/>
      <c r="C1018" s="8"/>
    </row>
    <row r="1019" spans="1:5" ht="18.75" x14ac:dyDescent="0.3">
      <c r="A1019" s="9" t="s">
        <v>58</v>
      </c>
      <c r="B1019" s="9"/>
      <c r="C1019" s="7" t="s">
        <v>64</v>
      </c>
      <c r="E1019" s="16">
        <v>14</v>
      </c>
    </row>
    <row r="1020" spans="1:5" x14ac:dyDescent="0.25">
      <c r="A1020" s="10" t="s">
        <v>65</v>
      </c>
      <c r="B1020" s="10" t="s">
        <v>66</v>
      </c>
    </row>
    <row r="1021" spans="1:5" x14ac:dyDescent="0.25">
      <c r="A1021" s="11" t="s">
        <v>1936</v>
      </c>
      <c r="B1021" s="11" t="s">
        <v>1937</v>
      </c>
    </row>
    <row r="1022" spans="1:5" x14ac:dyDescent="0.25">
      <c r="A1022" s="11" t="s">
        <v>1938</v>
      </c>
      <c r="B1022" s="11" t="s">
        <v>1939</v>
      </c>
    </row>
    <row r="1023" spans="1:5" x14ac:dyDescent="0.25">
      <c r="A1023" s="11" t="s">
        <v>1940</v>
      </c>
      <c r="B1023" s="11" t="s">
        <v>1941</v>
      </c>
    </row>
    <row r="1024" spans="1:5" x14ac:dyDescent="0.25">
      <c r="A1024" s="11" t="s">
        <v>1942</v>
      </c>
      <c r="B1024" s="11" t="s">
        <v>1943</v>
      </c>
    </row>
    <row r="1025" spans="1:2" x14ac:dyDescent="0.25">
      <c r="A1025" s="11" t="s">
        <v>1944</v>
      </c>
      <c r="B1025" s="11" t="s">
        <v>1945</v>
      </c>
    </row>
    <row r="1026" spans="1:2" x14ac:dyDescent="0.25">
      <c r="A1026" s="11" t="s">
        <v>1946</v>
      </c>
      <c r="B1026" s="11" t="s">
        <v>1947</v>
      </c>
    </row>
    <row r="1027" spans="1:2" x14ac:dyDescent="0.25">
      <c r="A1027" s="11" t="s">
        <v>1948</v>
      </c>
      <c r="B1027" s="11" t="s">
        <v>1949</v>
      </c>
    </row>
    <row r="1028" spans="1:2" x14ac:dyDescent="0.25">
      <c r="A1028" s="11" t="s">
        <v>1950</v>
      </c>
      <c r="B1028" s="11" t="s">
        <v>1951</v>
      </c>
    </row>
    <row r="1029" spans="1:2" x14ac:dyDescent="0.25">
      <c r="A1029" s="11" t="s">
        <v>1952</v>
      </c>
      <c r="B1029" s="11" t="s">
        <v>1953</v>
      </c>
    </row>
    <row r="1030" spans="1:2" x14ac:dyDescent="0.25">
      <c r="A1030" s="11" t="s">
        <v>1954</v>
      </c>
      <c r="B1030" s="11" t="s">
        <v>1955</v>
      </c>
    </row>
    <row r="1031" spans="1:2" x14ac:dyDescent="0.25">
      <c r="A1031" s="11" t="s">
        <v>1956</v>
      </c>
      <c r="B1031" s="11" t="s">
        <v>1957</v>
      </c>
    </row>
    <row r="1032" spans="1:2" x14ac:dyDescent="0.25">
      <c r="A1032" s="11" t="s">
        <v>1958</v>
      </c>
      <c r="B1032" s="11" t="s">
        <v>1959</v>
      </c>
    </row>
    <row r="1033" spans="1:2" x14ac:dyDescent="0.25">
      <c r="A1033" s="11" t="s">
        <v>1960</v>
      </c>
      <c r="B1033" s="11" t="s">
        <v>1961</v>
      </c>
    </row>
    <row r="1034" spans="1:2" x14ac:dyDescent="0.25">
      <c r="A1034" s="11" t="s">
        <v>1962</v>
      </c>
      <c r="B1034" s="11" t="s">
        <v>1963</v>
      </c>
    </row>
    <row r="1035" spans="1:2" x14ac:dyDescent="0.25">
      <c r="A1035" s="11" t="s">
        <v>1964</v>
      </c>
      <c r="B1035" s="11" t="s">
        <v>1965</v>
      </c>
    </row>
    <row r="1036" spans="1:2" x14ac:dyDescent="0.25">
      <c r="A1036" s="11" t="s">
        <v>1966</v>
      </c>
      <c r="B1036" s="11" t="s">
        <v>1967</v>
      </c>
    </row>
    <row r="1037" spans="1:2" x14ac:dyDescent="0.25">
      <c r="A1037" s="11" t="s">
        <v>1968</v>
      </c>
      <c r="B1037" s="11" t="s">
        <v>1969</v>
      </c>
    </row>
    <row r="1038" spans="1:2" x14ac:dyDescent="0.25">
      <c r="A1038" s="11" t="s">
        <v>1970</v>
      </c>
      <c r="B1038" s="11" t="s">
        <v>1971</v>
      </c>
    </row>
    <row r="1039" spans="1:2" x14ac:dyDescent="0.25">
      <c r="A1039" s="11" t="s">
        <v>1972</v>
      </c>
      <c r="B1039" s="11" t="s">
        <v>1973</v>
      </c>
    </row>
    <row r="1040" spans="1:2" x14ac:dyDescent="0.25">
      <c r="A1040" s="11" t="s">
        <v>1974</v>
      </c>
      <c r="B1040" s="11" t="s">
        <v>1975</v>
      </c>
    </row>
    <row r="1041" spans="1:2" x14ac:dyDescent="0.25">
      <c r="A1041" s="11" t="s">
        <v>1976</v>
      </c>
      <c r="B1041" s="11" t="s">
        <v>1977</v>
      </c>
    </row>
    <row r="1042" spans="1:2" x14ac:dyDescent="0.25">
      <c r="A1042" s="11" t="s">
        <v>1978</v>
      </c>
      <c r="B1042" s="11" t="s">
        <v>1979</v>
      </c>
    </row>
    <row r="1043" spans="1:2" x14ac:dyDescent="0.25">
      <c r="A1043" s="11" t="s">
        <v>1980</v>
      </c>
      <c r="B1043" s="11" t="s">
        <v>1981</v>
      </c>
    </row>
    <row r="1044" spans="1:2" x14ac:dyDescent="0.25">
      <c r="A1044" s="11" t="s">
        <v>1982</v>
      </c>
      <c r="B1044" s="11" t="s">
        <v>1983</v>
      </c>
    </row>
    <row r="1045" spans="1:2" x14ac:dyDescent="0.25">
      <c r="A1045" s="11" t="s">
        <v>1984</v>
      </c>
      <c r="B1045" s="11" t="s">
        <v>1985</v>
      </c>
    </row>
    <row r="1046" spans="1:2" x14ac:dyDescent="0.25">
      <c r="A1046" s="11" t="s">
        <v>1986</v>
      </c>
      <c r="B1046" s="11" t="s">
        <v>1572</v>
      </c>
    </row>
    <row r="1047" spans="1:2" x14ac:dyDescent="0.25">
      <c r="A1047" s="11" t="s">
        <v>1987</v>
      </c>
      <c r="B1047" s="11" t="s">
        <v>1988</v>
      </c>
    </row>
    <row r="1048" spans="1:2" x14ac:dyDescent="0.25">
      <c r="A1048" s="11" t="s">
        <v>1989</v>
      </c>
      <c r="B1048" s="11" t="s">
        <v>1990</v>
      </c>
    </row>
    <row r="1049" spans="1:2" x14ac:dyDescent="0.25">
      <c r="A1049" s="11" t="s">
        <v>1991</v>
      </c>
      <c r="B1049" s="11" t="s">
        <v>1992</v>
      </c>
    </row>
    <row r="1050" spans="1:2" x14ac:dyDescent="0.25">
      <c r="A1050" s="11" t="s">
        <v>1993</v>
      </c>
      <c r="B1050" s="11" t="s">
        <v>1994</v>
      </c>
    </row>
    <row r="1051" spans="1:2" x14ac:dyDescent="0.25">
      <c r="A1051" s="11" t="s">
        <v>1995</v>
      </c>
      <c r="B1051" s="11" t="s">
        <v>1996</v>
      </c>
    </row>
    <row r="1052" spans="1:2" x14ac:dyDescent="0.25">
      <c r="A1052" s="11" t="s">
        <v>1997</v>
      </c>
      <c r="B1052" s="11" t="s">
        <v>1998</v>
      </c>
    </row>
    <row r="1053" spans="1:2" x14ac:dyDescent="0.25">
      <c r="A1053" s="11" t="s">
        <v>1999</v>
      </c>
      <c r="B1053" s="11" t="s">
        <v>2000</v>
      </c>
    </row>
    <row r="1054" spans="1:2" x14ac:dyDescent="0.25">
      <c r="A1054" s="11" t="s">
        <v>2001</v>
      </c>
      <c r="B1054" s="11" t="s">
        <v>2002</v>
      </c>
    </row>
    <row r="1055" spans="1:2" x14ac:dyDescent="0.25">
      <c r="A1055" s="11" t="s">
        <v>2003</v>
      </c>
      <c r="B1055" s="11" t="s">
        <v>2004</v>
      </c>
    </row>
    <row r="1056" spans="1:2" x14ac:dyDescent="0.25">
      <c r="A1056" s="11" t="s">
        <v>2005</v>
      </c>
      <c r="B1056" s="11" t="s">
        <v>2006</v>
      </c>
    </row>
    <row r="1057" spans="1:5" x14ac:dyDescent="0.25">
      <c r="A1057" s="11" t="s">
        <v>2007</v>
      </c>
      <c r="B1057" s="11" t="s">
        <v>2008</v>
      </c>
    </row>
    <row r="1058" spans="1:5" x14ac:dyDescent="0.25">
      <c r="A1058" s="11" t="s">
        <v>2009</v>
      </c>
      <c r="B1058" s="11" t="s">
        <v>2010</v>
      </c>
    </row>
    <row r="1059" spans="1:5" x14ac:dyDescent="0.25">
      <c r="A1059" s="11" t="s">
        <v>2011</v>
      </c>
      <c r="B1059" s="11" t="s">
        <v>2012</v>
      </c>
    </row>
    <row r="1060" spans="1:5" x14ac:dyDescent="0.25">
      <c r="A1060" s="11" t="s">
        <v>2013</v>
      </c>
      <c r="B1060" s="11" t="s">
        <v>2014</v>
      </c>
    </row>
    <row r="1061" spans="1:5" x14ac:dyDescent="0.25">
      <c r="A1061" s="11"/>
      <c r="B1061" s="11"/>
      <c r="C1061" s="8"/>
    </row>
    <row r="1062" spans="1:5" ht="18.75" x14ac:dyDescent="0.3">
      <c r="A1062" s="9" t="s">
        <v>48</v>
      </c>
      <c r="B1062" s="9"/>
      <c r="C1062" s="7" t="s">
        <v>64</v>
      </c>
      <c r="E1062" s="16">
        <v>15</v>
      </c>
    </row>
    <row r="1063" spans="1:5" x14ac:dyDescent="0.25">
      <c r="A1063" s="10" t="s">
        <v>65</v>
      </c>
      <c r="B1063" s="10" t="s">
        <v>66</v>
      </c>
    </row>
    <row r="1064" spans="1:5" x14ac:dyDescent="0.25">
      <c r="A1064" s="11" t="s">
        <v>16</v>
      </c>
      <c r="B1064" s="11" t="s">
        <v>2015</v>
      </c>
      <c r="C1064" s="8"/>
    </row>
    <row r="1065" spans="1:5" x14ac:dyDescent="0.25">
      <c r="A1065" s="11" t="s">
        <v>29</v>
      </c>
      <c r="B1065" s="11" t="s">
        <v>2016</v>
      </c>
      <c r="C1065" s="8"/>
    </row>
    <row r="1066" spans="1:5" x14ac:dyDescent="0.25">
      <c r="A1066" s="11" t="s">
        <v>18</v>
      </c>
      <c r="B1066" s="11" t="s">
        <v>2017</v>
      </c>
      <c r="C1066" s="8"/>
    </row>
    <row r="1067" spans="1:5" x14ac:dyDescent="0.25">
      <c r="A1067" s="11" t="s">
        <v>301</v>
      </c>
      <c r="B1067" s="11" t="s">
        <v>2018</v>
      </c>
      <c r="C1067" s="8"/>
    </row>
    <row r="1068" spans="1:5" x14ac:dyDescent="0.25">
      <c r="A1068" s="11" t="s">
        <v>36</v>
      </c>
      <c r="B1068" s="11" t="s">
        <v>2019</v>
      </c>
      <c r="C1068" s="8"/>
    </row>
    <row r="1069" spans="1:5" x14ac:dyDescent="0.25">
      <c r="A1069" s="11" t="s">
        <v>30</v>
      </c>
      <c r="B1069" s="11" t="s">
        <v>2020</v>
      </c>
      <c r="C1069" s="8"/>
    </row>
    <row r="1070" spans="1:5" x14ac:dyDescent="0.25">
      <c r="A1070" s="11" t="s">
        <v>305</v>
      </c>
      <c r="B1070" s="11" t="s">
        <v>2021</v>
      </c>
      <c r="C1070" s="8"/>
    </row>
    <row r="1071" spans="1:5" x14ac:dyDescent="0.25">
      <c r="A1071" s="11" t="s">
        <v>307</v>
      </c>
      <c r="B1071" s="11" t="s">
        <v>2022</v>
      </c>
      <c r="C1071" s="8"/>
    </row>
    <row r="1072" spans="1:5" x14ac:dyDescent="0.25">
      <c r="A1072" s="11" t="s">
        <v>309</v>
      </c>
      <c r="B1072" s="11" t="s">
        <v>2023</v>
      </c>
      <c r="C1072" s="8"/>
    </row>
    <row r="1073" spans="1:5" x14ac:dyDescent="0.25">
      <c r="A1073" s="11"/>
      <c r="B1073" s="11"/>
      <c r="C1073" s="8"/>
    </row>
    <row r="1074" spans="1:5" ht="18.75" x14ac:dyDescent="0.3">
      <c r="A1074" s="9" t="s">
        <v>62</v>
      </c>
      <c r="B1074" s="9"/>
      <c r="C1074" s="7" t="s">
        <v>64</v>
      </c>
      <c r="E1074" s="16">
        <v>16</v>
      </c>
    </row>
    <row r="1075" spans="1:5" x14ac:dyDescent="0.25">
      <c r="A1075" s="10" t="s">
        <v>65</v>
      </c>
      <c r="B1075" s="10" t="s">
        <v>66</v>
      </c>
    </row>
    <row r="1076" spans="1:5" x14ac:dyDescent="0.25">
      <c r="A1076" s="11" t="s">
        <v>16</v>
      </c>
      <c r="B1076" s="11" t="s">
        <v>2024</v>
      </c>
      <c r="C1076" s="8"/>
    </row>
    <row r="1077" spans="1:5" x14ac:dyDescent="0.25">
      <c r="A1077" s="11" t="s">
        <v>268</v>
      </c>
      <c r="B1077" s="11" t="s">
        <v>2025</v>
      </c>
      <c r="C1077" s="8"/>
    </row>
    <row r="1078" spans="1:5" x14ac:dyDescent="0.25">
      <c r="A1078" s="11" t="s">
        <v>270</v>
      </c>
      <c r="B1078" s="11" t="s">
        <v>2026</v>
      </c>
      <c r="C1078" s="8"/>
    </row>
    <row r="1079" spans="1:5" x14ac:dyDescent="0.25">
      <c r="A1079" s="11" t="s">
        <v>272</v>
      </c>
      <c r="B1079" s="11" t="s">
        <v>2027</v>
      </c>
      <c r="C1079" s="8"/>
    </row>
    <row r="1080" spans="1:5" x14ac:dyDescent="0.25">
      <c r="A1080" s="11" t="s">
        <v>25</v>
      </c>
      <c r="B1080" s="11" t="s">
        <v>2028</v>
      </c>
      <c r="C1080" s="8"/>
    </row>
    <row r="1081" spans="1:5" x14ac:dyDescent="0.25">
      <c r="A1081" s="11" t="s">
        <v>29</v>
      </c>
      <c r="B1081" s="11" t="s">
        <v>2029</v>
      </c>
      <c r="C1081" s="8"/>
    </row>
    <row r="1082" spans="1:5" x14ac:dyDescent="0.25">
      <c r="A1082" s="11" t="s">
        <v>18</v>
      </c>
      <c r="B1082" s="11" t="s">
        <v>2030</v>
      </c>
      <c r="C1082" s="8"/>
    </row>
    <row r="1083" spans="1:5" x14ac:dyDescent="0.25">
      <c r="A1083" s="11" t="s">
        <v>301</v>
      </c>
      <c r="B1083" s="11" t="s">
        <v>2031</v>
      </c>
      <c r="C1083" s="8"/>
    </row>
    <row r="1084" spans="1:5" x14ac:dyDescent="0.25">
      <c r="A1084" s="11" t="s">
        <v>36</v>
      </c>
      <c r="B1084" s="11" t="s">
        <v>2032</v>
      </c>
      <c r="C1084" s="8"/>
    </row>
    <row r="1085" spans="1:5" x14ac:dyDescent="0.25">
      <c r="A1085" s="11" t="s">
        <v>30</v>
      </c>
      <c r="B1085" s="11" t="s">
        <v>2033</v>
      </c>
      <c r="C1085" s="8"/>
    </row>
    <row r="1086" spans="1:5" x14ac:dyDescent="0.25">
      <c r="A1086" s="11" t="s">
        <v>305</v>
      </c>
      <c r="B1086" s="11" t="s">
        <v>2034</v>
      </c>
      <c r="C1086" s="8"/>
    </row>
    <row r="1087" spans="1:5" x14ac:dyDescent="0.25">
      <c r="A1087" t="s">
        <v>2035</v>
      </c>
      <c r="B1087" t="s">
        <v>2036</v>
      </c>
    </row>
    <row r="1088" spans="1:5" x14ac:dyDescent="0.25">
      <c r="A1088" s="11"/>
      <c r="B1088" s="11"/>
      <c r="C1088" s="8"/>
    </row>
    <row r="1089" spans="1:5" ht="18.75" x14ac:dyDescent="0.3">
      <c r="A1089" s="9" t="s">
        <v>22</v>
      </c>
      <c r="B1089" s="9"/>
      <c r="C1089" s="7" t="s">
        <v>64</v>
      </c>
      <c r="E1089" s="16">
        <v>17</v>
      </c>
    </row>
    <row r="1090" spans="1:5" x14ac:dyDescent="0.25">
      <c r="A1090" s="10" t="s">
        <v>65</v>
      </c>
      <c r="B1090" s="10" t="s">
        <v>66</v>
      </c>
    </row>
    <row r="1091" spans="1:5" x14ac:dyDescent="0.25">
      <c r="A1091" t="s">
        <v>423</v>
      </c>
      <c r="B1091" t="s">
        <v>2037</v>
      </c>
    </row>
    <row r="1092" spans="1:5" x14ac:dyDescent="0.25">
      <c r="A1092" t="s">
        <v>425</v>
      </c>
      <c r="B1092" t="s">
        <v>2038</v>
      </c>
    </row>
    <row r="1093" spans="1:5" x14ac:dyDescent="0.25">
      <c r="A1093" t="s">
        <v>2039</v>
      </c>
      <c r="B1093" t="s">
        <v>2040</v>
      </c>
    </row>
    <row r="1094" spans="1:5" x14ac:dyDescent="0.25">
      <c r="A1094" t="s">
        <v>2041</v>
      </c>
      <c r="B1094" t="s">
        <v>2042</v>
      </c>
    </row>
    <row r="1095" spans="1:5" x14ac:dyDescent="0.25">
      <c r="A1095" t="s">
        <v>453</v>
      </c>
      <c r="B1095" t="s">
        <v>2043</v>
      </c>
    </row>
    <row r="1096" spans="1:5" x14ac:dyDescent="0.25">
      <c r="A1096" t="s">
        <v>574</v>
      </c>
      <c r="B1096" t="s">
        <v>2044</v>
      </c>
    </row>
    <row r="1097" spans="1:5" x14ac:dyDescent="0.25">
      <c r="A1097" t="s">
        <v>670</v>
      </c>
      <c r="B1097" t="s">
        <v>2045</v>
      </c>
    </row>
    <row r="1098" spans="1:5" x14ac:dyDescent="0.25">
      <c r="A1098" s="11"/>
      <c r="B1098" s="11"/>
      <c r="C1098" s="8"/>
    </row>
    <row r="1099" spans="1:5" ht="18.75" x14ac:dyDescent="0.3">
      <c r="A1099" s="9" t="s">
        <v>8</v>
      </c>
      <c r="B1099" s="9"/>
      <c r="C1099" s="7" t="s">
        <v>64</v>
      </c>
      <c r="E1099" s="16">
        <v>18</v>
      </c>
    </row>
    <row r="1100" spans="1:5" x14ac:dyDescent="0.25">
      <c r="A1100" s="10" t="s">
        <v>65</v>
      </c>
      <c r="B1100" s="10" t="s">
        <v>66</v>
      </c>
    </row>
    <row r="1101" spans="1:5" x14ac:dyDescent="0.25">
      <c r="A1101" t="s">
        <v>2046</v>
      </c>
      <c r="B1101" t="s">
        <v>2047</v>
      </c>
    </row>
    <row r="1102" spans="1:5" x14ac:dyDescent="0.25">
      <c r="A1102" t="s">
        <v>2048</v>
      </c>
      <c r="B1102" t="s">
        <v>2049</v>
      </c>
    </row>
    <row r="1103" spans="1:5" x14ac:dyDescent="0.25">
      <c r="A1103" s="11"/>
      <c r="B1103" s="11"/>
      <c r="C1103" s="8"/>
    </row>
    <row r="1104" spans="1:5" ht="18.75" x14ac:dyDescent="0.3">
      <c r="A1104" s="9" t="s">
        <v>47</v>
      </c>
      <c r="B1104" s="9"/>
      <c r="C1104" s="7" t="s">
        <v>64</v>
      </c>
      <c r="E1104" s="16">
        <v>19</v>
      </c>
    </row>
    <row r="1105" spans="1:5" x14ac:dyDescent="0.25">
      <c r="A1105" s="10" t="s">
        <v>65</v>
      </c>
      <c r="B1105" s="10" t="s">
        <v>66</v>
      </c>
    </row>
    <row r="1106" spans="1:5" x14ac:dyDescent="0.25">
      <c r="A1106" s="8" t="s">
        <v>67</v>
      </c>
      <c r="B1106" s="8" t="s">
        <v>2050</v>
      </c>
      <c r="C1106" s="8"/>
    </row>
    <row r="1107" spans="1:5" x14ac:dyDescent="0.25">
      <c r="A1107" t="s">
        <v>2051</v>
      </c>
      <c r="B1107" t="s">
        <v>2052</v>
      </c>
    </row>
    <row r="1108" spans="1:5" x14ac:dyDescent="0.25">
      <c r="A1108" t="s">
        <v>2048</v>
      </c>
      <c r="B1108" t="s">
        <v>2053</v>
      </c>
    </row>
    <row r="1109" spans="1:5" x14ac:dyDescent="0.25">
      <c r="A1109" s="8"/>
      <c r="B1109" s="8"/>
      <c r="C1109" s="8"/>
    </row>
    <row r="1110" spans="1:5" ht="18.75" x14ac:dyDescent="0.3">
      <c r="A1110" s="9" t="s">
        <v>20</v>
      </c>
      <c r="B1110" s="9"/>
      <c r="C1110" s="7" t="s">
        <v>64</v>
      </c>
      <c r="E1110" s="16">
        <v>20</v>
      </c>
    </row>
    <row r="1111" spans="1:5" x14ac:dyDescent="0.25">
      <c r="A1111" s="10" t="s">
        <v>65</v>
      </c>
      <c r="B1111" s="10" t="s">
        <v>66</v>
      </c>
    </row>
    <row r="1112" spans="1:5" x14ac:dyDescent="0.25">
      <c r="A1112" s="8" t="s">
        <v>2054</v>
      </c>
      <c r="B1112" t="s">
        <v>2055</v>
      </c>
      <c r="C1112" s="8"/>
    </row>
    <row r="1113" spans="1:5" x14ac:dyDescent="0.25">
      <c r="A1113" t="s">
        <v>2056</v>
      </c>
      <c r="B1113" t="s">
        <v>2055</v>
      </c>
    </row>
    <row r="1114" spans="1:5" x14ac:dyDescent="0.25">
      <c r="A1114" t="s">
        <v>2057</v>
      </c>
      <c r="B1114" t="s">
        <v>2055</v>
      </c>
    </row>
    <row r="1115" spans="1:5" x14ac:dyDescent="0.25">
      <c r="A1115" t="s">
        <v>2058</v>
      </c>
      <c r="B1115" t="s">
        <v>2055</v>
      </c>
    </row>
    <row r="1116" spans="1:5" x14ac:dyDescent="0.25">
      <c r="A1116" t="s">
        <v>2059</v>
      </c>
      <c r="B1116" t="s">
        <v>2055</v>
      </c>
    </row>
    <row r="1117" spans="1:5" x14ac:dyDescent="0.25">
      <c r="A1117" t="s">
        <v>2060</v>
      </c>
      <c r="B1117" t="s">
        <v>2055</v>
      </c>
    </row>
    <row r="1118" spans="1:5" x14ac:dyDescent="0.25">
      <c r="A1118" t="s">
        <v>2061</v>
      </c>
      <c r="B1118" t="s">
        <v>2055</v>
      </c>
    </row>
    <row r="1119" spans="1:5" x14ac:dyDescent="0.25">
      <c r="A1119" t="s">
        <v>2062</v>
      </c>
      <c r="B1119" t="s">
        <v>2055</v>
      </c>
    </row>
    <row r="1120" spans="1:5" x14ac:dyDescent="0.25">
      <c r="A1120" t="s">
        <v>2063</v>
      </c>
      <c r="B1120" t="s">
        <v>2055</v>
      </c>
    </row>
    <row r="1121" spans="1:2" x14ac:dyDescent="0.25">
      <c r="A1121" t="s">
        <v>2064</v>
      </c>
      <c r="B1121" t="s">
        <v>2055</v>
      </c>
    </row>
    <row r="1122" spans="1:2" x14ac:dyDescent="0.25">
      <c r="A1122" t="s">
        <v>2065</v>
      </c>
      <c r="B1122" t="s">
        <v>2055</v>
      </c>
    </row>
    <row r="1123" spans="1:2" x14ac:dyDescent="0.25">
      <c r="A1123" t="s">
        <v>2066</v>
      </c>
      <c r="B1123" t="s">
        <v>2055</v>
      </c>
    </row>
    <row r="1124" spans="1:2" x14ac:dyDescent="0.25">
      <c r="A1124" t="s">
        <v>2067</v>
      </c>
      <c r="B1124" t="s">
        <v>2055</v>
      </c>
    </row>
    <row r="1125" spans="1:2" x14ac:dyDescent="0.25">
      <c r="A1125" t="s">
        <v>2068</v>
      </c>
      <c r="B1125" t="s">
        <v>2055</v>
      </c>
    </row>
    <row r="1126" spans="1:2" x14ac:dyDescent="0.25">
      <c r="A1126" t="s">
        <v>2069</v>
      </c>
      <c r="B1126" t="s">
        <v>2055</v>
      </c>
    </row>
    <row r="1127" spans="1:2" x14ac:dyDescent="0.25">
      <c r="A1127" t="s">
        <v>2070</v>
      </c>
      <c r="B1127" t="s">
        <v>2055</v>
      </c>
    </row>
    <row r="1128" spans="1:2" x14ac:dyDescent="0.25">
      <c r="A1128" t="s">
        <v>2071</v>
      </c>
      <c r="B1128" t="s">
        <v>2055</v>
      </c>
    </row>
    <row r="1129" spans="1:2" x14ac:dyDescent="0.25">
      <c r="A1129" t="s">
        <v>2072</v>
      </c>
      <c r="B1129" t="s">
        <v>2055</v>
      </c>
    </row>
    <row r="1130" spans="1:2" x14ac:dyDescent="0.25">
      <c r="A1130" t="s">
        <v>2073</v>
      </c>
      <c r="B1130" t="s">
        <v>2055</v>
      </c>
    </row>
    <row r="1131" spans="1:2" x14ac:dyDescent="0.25">
      <c r="A1131" t="s">
        <v>2074</v>
      </c>
      <c r="B1131" t="s">
        <v>2055</v>
      </c>
    </row>
    <row r="1132" spans="1:2" x14ac:dyDescent="0.25">
      <c r="A1132" t="s">
        <v>2075</v>
      </c>
      <c r="B1132" t="s">
        <v>2055</v>
      </c>
    </row>
    <row r="1133" spans="1:2" x14ac:dyDescent="0.25">
      <c r="A1133" t="s">
        <v>2076</v>
      </c>
      <c r="B1133" t="s">
        <v>2055</v>
      </c>
    </row>
    <row r="1134" spans="1:2" x14ac:dyDescent="0.25">
      <c r="A1134" t="s">
        <v>2077</v>
      </c>
      <c r="B1134" t="s">
        <v>2055</v>
      </c>
    </row>
    <row r="1135" spans="1:2" x14ac:dyDescent="0.25">
      <c r="A1135" t="s">
        <v>2078</v>
      </c>
      <c r="B1135" t="s">
        <v>2079</v>
      </c>
    </row>
    <row r="1136" spans="1:2" x14ac:dyDescent="0.25">
      <c r="A1136" t="s">
        <v>2080</v>
      </c>
      <c r="B1136" t="s">
        <v>2079</v>
      </c>
    </row>
    <row r="1137" spans="1:2" x14ac:dyDescent="0.25">
      <c r="A1137" t="s">
        <v>2081</v>
      </c>
      <c r="B1137" t="s">
        <v>2079</v>
      </c>
    </row>
    <row r="1138" spans="1:2" x14ac:dyDescent="0.25">
      <c r="A1138" t="s">
        <v>2082</v>
      </c>
      <c r="B1138" t="s">
        <v>2079</v>
      </c>
    </row>
    <row r="1139" spans="1:2" x14ac:dyDescent="0.25">
      <c r="A1139" t="s">
        <v>2083</v>
      </c>
      <c r="B1139" t="s">
        <v>2079</v>
      </c>
    </row>
    <row r="1140" spans="1:2" x14ac:dyDescent="0.25">
      <c r="A1140" t="s">
        <v>2084</v>
      </c>
      <c r="B1140" t="s">
        <v>2079</v>
      </c>
    </row>
    <row r="1141" spans="1:2" x14ac:dyDescent="0.25">
      <c r="A1141" t="s">
        <v>2085</v>
      </c>
      <c r="B1141" t="s">
        <v>2086</v>
      </c>
    </row>
    <row r="1142" spans="1:2" x14ac:dyDescent="0.25">
      <c r="A1142" t="s">
        <v>2087</v>
      </c>
      <c r="B1142" t="s">
        <v>2086</v>
      </c>
    </row>
    <row r="1143" spans="1:2" x14ac:dyDescent="0.25">
      <c r="A1143" t="s">
        <v>2088</v>
      </c>
      <c r="B1143" t="s">
        <v>2086</v>
      </c>
    </row>
    <row r="1144" spans="1:2" x14ac:dyDescent="0.25">
      <c r="A1144" t="s">
        <v>2089</v>
      </c>
      <c r="B1144" t="s">
        <v>2086</v>
      </c>
    </row>
    <row r="1145" spans="1:2" x14ac:dyDescent="0.25">
      <c r="A1145" t="s">
        <v>2090</v>
      </c>
      <c r="B1145" t="s">
        <v>2086</v>
      </c>
    </row>
    <row r="1146" spans="1:2" x14ac:dyDescent="0.25">
      <c r="A1146" t="s">
        <v>2091</v>
      </c>
      <c r="B1146" t="s">
        <v>2086</v>
      </c>
    </row>
    <row r="1147" spans="1:2" x14ac:dyDescent="0.25">
      <c r="A1147" t="s">
        <v>2092</v>
      </c>
      <c r="B1147" t="s">
        <v>2086</v>
      </c>
    </row>
    <row r="1148" spans="1:2" x14ac:dyDescent="0.25">
      <c r="A1148" t="s">
        <v>2093</v>
      </c>
      <c r="B1148" t="s">
        <v>2086</v>
      </c>
    </row>
    <row r="1149" spans="1:2" x14ac:dyDescent="0.25">
      <c r="A1149" t="s">
        <v>2094</v>
      </c>
      <c r="B1149" t="s">
        <v>2086</v>
      </c>
    </row>
    <row r="1150" spans="1:2" x14ac:dyDescent="0.25">
      <c r="A1150" t="s">
        <v>2095</v>
      </c>
      <c r="B1150" t="s">
        <v>2086</v>
      </c>
    </row>
    <row r="1151" spans="1:2" x14ac:dyDescent="0.25">
      <c r="A1151" t="s">
        <v>2096</v>
      </c>
      <c r="B1151" t="s">
        <v>2086</v>
      </c>
    </row>
    <row r="1152" spans="1:2" x14ac:dyDescent="0.25">
      <c r="A1152" t="s">
        <v>2097</v>
      </c>
      <c r="B1152" t="s">
        <v>2086</v>
      </c>
    </row>
    <row r="1153" spans="1:2" x14ac:dyDescent="0.25">
      <c r="A1153" t="s">
        <v>2098</v>
      </c>
      <c r="B1153" t="s">
        <v>2099</v>
      </c>
    </row>
    <row r="1154" spans="1:2" x14ac:dyDescent="0.25">
      <c r="A1154" t="s">
        <v>2100</v>
      </c>
      <c r="B1154" t="s">
        <v>2099</v>
      </c>
    </row>
    <row r="1155" spans="1:2" x14ac:dyDescent="0.25">
      <c r="A1155" t="s">
        <v>2101</v>
      </c>
      <c r="B1155" t="s">
        <v>2099</v>
      </c>
    </row>
    <row r="1156" spans="1:2" x14ac:dyDescent="0.25">
      <c r="A1156" t="s">
        <v>2102</v>
      </c>
      <c r="B1156" t="s">
        <v>2099</v>
      </c>
    </row>
    <row r="1157" spans="1:2" x14ac:dyDescent="0.25">
      <c r="A1157" t="s">
        <v>2103</v>
      </c>
      <c r="B1157" t="s">
        <v>2099</v>
      </c>
    </row>
    <row r="1158" spans="1:2" x14ac:dyDescent="0.25">
      <c r="A1158" t="s">
        <v>2104</v>
      </c>
      <c r="B1158" t="s">
        <v>2099</v>
      </c>
    </row>
    <row r="1159" spans="1:2" x14ac:dyDescent="0.25">
      <c r="A1159" t="s">
        <v>2105</v>
      </c>
      <c r="B1159" t="s">
        <v>2099</v>
      </c>
    </row>
    <row r="1160" spans="1:2" x14ac:dyDescent="0.25">
      <c r="A1160" t="s">
        <v>2106</v>
      </c>
      <c r="B1160" t="s">
        <v>2099</v>
      </c>
    </row>
    <row r="1161" spans="1:2" x14ac:dyDescent="0.25">
      <c r="A1161" t="s">
        <v>2107</v>
      </c>
      <c r="B1161" t="s">
        <v>2099</v>
      </c>
    </row>
    <row r="1162" spans="1:2" x14ac:dyDescent="0.25">
      <c r="A1162" t="s">
        <v>2108</v>
      </c>
      <c r="B1162" t="s">
        <v>2099</v>
      </c>
    </row>
    <row r="1163" spans="1:2" x14ac:dyDescent="0.25">
      <c r="A1163" t="s">
        <v>2109</v>
      </c>
      <c r="B1163" t="s">
        <v>2099</v>
      </c>
    </row>
    <row r="1164" spans="1:2" x14ac:dyDescent="0.25">
      <c r="A1164" t="s">
        <v>2110</v>
      </c>
      <c r="B1164" t="s">
        <v>2099</v>
      </c>
    </row>
    <row r="1165" spans="1:2" x14ac:dyDescent="0.25">
      <c r="A1165" t="s">
        <v>2111</v>
      </c>
      <c r="B1165" t="s">
        <v>2086</v>
      </c>
    </row>
    <row r="1166" spans="1:2" x14ac:dyDescent="0.25">
      <c r="A1166" t="s">
        <v>2112</v>
      </c>
      <c r="B1166" t="s">
        <v>2086</v>
      </c>
    </row>
    <row r="1167" spans="1:2" x14ac:dyDescent="0.25">
      <c r="A1167" t="s">
        <v>2113</v>
      </c>
      <c r="B1167" t="s">
        <v>2086</v>
      </c>
    </row>
    <row r="1168" spans="1:2" x14ac:dyDescent="0.25">
      <c r="A1168" t="s">
        <v>2114</v>
      </c>
      <c r="B1168" t="s">
        <v>2086</v>
      </c>
    </row>
    <row r="1169" spans="1:2" x14ac:dyDescent="0.25">
      <c r="A1169" t="s">
        <v>2115</v>
      </c>
      <c r="B1169" t="s">
        <v>2086</v>
      </c>
    </row>
    <row r="1170" spans="1:2" x14ac:dyDescent="0.25">
      <c r="A1170" t="s">
        <v>2116</v>
      </c>
      <c r="B1170" t="s">
        <v>2086</v>
      </c>
    </row>
    <row r="1171" spans="1:2" x14ac:dyDescent="0.25">
      <c r="A1171" t="s">
        <v>2117</v>
      </c>
      <c r="B1171" t="s">
        <v>2086</v>
      </c>
    </row>
    <row r="1172" spans="1:2" x14ac:dyDescent="0.25">
      <c r="A1172" t="s">
        <v>2118</v>
      </c>
      <c r="B1172" t="s">
        <v>2086</v>
      </c>
    </row>
    <row r="1173" spans="1:2" x14ac:dyDescent="0.25">
      <c r="A1173" t="s">
        <v>2119</v>
      </c>
      <c r="B1173" t="s">
        <v>2055</v>
      </c>
    </row>
    <row r="1174" spans="1:2" x14ac:dyDescent="0.25">
      <c r="A1174" t="s">
        <v>2120</v>
      </c>
      <c r="B1174" t="s">
        <v>2055</v>
      </c>
    </row>
    <row r="1175" spans="1:2" x14ac:dyDescent="0.25">
      <c r="A1175" t="s">
        <v>2121</v>
      </c>
      <c r="B1175" t="s">
        <v>2055</v>
      </c>
    </row>
    <row r="1176" spans="1:2" x14ac:dyDescent="0.25">
      <c r="A1176" t="s">
        <v>2122</v>
      </c>
      <c r="B1176" t="s">
        <v>2055</v>
      </c>
    </row>
    <row r="1177" spans="1:2" x14ac:dyDescent="0.25">
      <c r="A1177" t="s">
        <v>2123</v>
      </c>
      <c r="B1177" t="s">
        <v>2055</v>
      </c>
    </row>
    <row r="1178" spans="1:2" x14ac:dyDescent="0.25">
      <c r="A1178" t="s">
        <v>2124</v>
      </c>
      <c r="B1178" t="s">
        <v>2055</v>
      </c>
    </row>
    <row r="1179" spans="1:2" x14ac:dyDescent="0.25">
      <c r="A1179" t="s">
        <v>2125</v>
      </c>
      <c r="B1179" t="s">
        <v>2055</v>
      </c>
    </row>
    <row r="1180" spans="1:2" x14ac:dyDescent="0.25">
      <c r="A1180" t="s">
        <v>2126</v>
      </c>
      <c r="B1180" t="s">
        <v>2055</v>
      </c>
    </row>
    <row r="1181" spans="1:2" x14ac:dyDescent="0.25">
      <c r="A1181" t="s">
        <v>2127</v>
      </c>
      <c r="B1181" t="s">
        <v>2055</v>
      </c>
    </row>
    <row r="1182" spans="1:2" x14ac:dyDescent="0.25">
      <c r="A1182" t="s">
        <v>2128</v>
      </c>
      <c r="B1182" t="s">
        <v>2055</v>
      </c>
    </row>
    <row r="1183" spans="1:2" x14ac:dyDescent="0.25">
      <c r="A1183" t="s">
        <v>2129</v>
      </c>
      <c r="B1183" t="s">
        <v>2055</v>
      </c>
    </row>
    <row r="1184" spans="1:2" x14ac:dyDescent="0.25">
      <c r="A1184" t="s">
        <v>2130</v>
      </c>
      <c r="B1184" t="s">
        <v>2055</v>
      </c>
    </row>
    <row r="1185" spans="1:2" x14ac:dyDescent="0.25">
      <c r="A1185" t="s">
        <v>2131</v>
      </c>
      <c r="B1185" t="s">
        <v>2055</v>
      </c>
    </row>
    <row r="1186" spans="1:2" x14ac:dyDescent="0.25">
      <c r="A1186" t="s">
        <v>2132</v>
      </c>
      <c r="B1186" t="s">
        <v>2055</v>
      </c>
    </row>
    <row r="1187" spans="1:2" x14ac:dyDescent="0.25">
      <c r="A1187" t="s">
        <v>2133</v>
      </c>
      <c r="B1187" t="s">
        <v>2055</v>
      </c>
    </row>
    <row r="1188" spans="1:2" x14ac:dyDescent="0.25">
      <c r="A1188" t="s">
        <v>2134</v>
      </c>
      <c r="B1188" t="s">
        <v>2055</v>
      </c>
    </row>
    <row r="1189" spans="1:2" x14ac:dyDescent="0.25">
      <c r="A1189" t="s">
        <v>2135</v>
      </c>
      <c r="B1189" t="s">
        <v>2055</v>
      </c>
    </row>
    <row r="1190" spans="1:2" x14ac:dyDescent="0.25">
      <c r="A1190" t="s">
        <v>2136</v>
      </c>
      <c r="B1190" t="s">
        <v>2055</v>
      </c>
    </row>
    <row r="1191" spans="1:2" x14ac:dyDescent="0.25">
      <c r="A1191" t="s">
        <v>2137</v>
      </c>
      <c r="B1191" t="s">
        <v>2055</v>
      </c>
    </row>
    <row r="1192" spans="1:2" x14ac:dyDescent="0.25">
      <c r="A1192" t="s">
        <v>2138</v>
      </c>
      <c r="B1192" t="s">
        <v>2055</v>
      </c>
    </row>
    <row r="1193" spans="1:2" x14ac:dyDescent="0.25">
      <c r="A1193" t="s">
        <v>2139</v>
      </c>
      <c r="B1193" t="s">
        <v>2055</v>
      </c>
    </row>
    <row r="1194" spans="1:2" x14ac:dyDescent="0.25">
      <c r="A1194" t="s">
        <v>2140</v>
      </c>
      <c r="B1194" t="s">
        <v>2055</v>
      </c>
    </row>
    <row r="1195" spans="1:2" x14ac:dyDescent="0.25">
      <c r="A1195" t="s">
        <v>2141</v>
      </c>
      <c r="B1195" t="s">
        <v>2055</v>
      </c>
    </row>
    <row r="1196" spans="1:2" x14ac:dyDescent="0.25">
      <c r="A1196" t="s">
        <v>2142</v>
      </c>
      <c r="B1196" t="s">
        <v>2055</v>
      </c>
    </row>
    <row r="1197" spans="1:2" x14ac:dyDescent="0.25">
      <c r="A1197" t="s">
        <v>2143</v>
      </c>
      <c r="B1197" t="s">
        <v>2055</v>
      </c>
    </row>
    <row r="1198" spans="1:2" x14ac:dyDescent="0.25">
      <c r="A1198" t="s">
        <v>2144</v>
      </c>
      <c r="B1198" t="s">
        <v>2055</v>
      </c>
    </row>
    <row r="1199" spans="1:2" x14ac:dyDescent="0.25">
      <c r="A1199" t="s">
        <v>2145</v>
      </c>
      <c r="B1199" t="s">
        <v>2055</v>
      </c>
    </row>
    <row r="1200" spans="1:2" x14ac:dyDescent="0.25">
      <c r="A1200" t="s">
        <v>2146</v>
      </c>
      <c r="B1200" t="s">
        <v>2055</v>
      </c>
    </row>
    <row r="1201" spans="1:2" x14ac:dyDescent="0.25">
      <c r="A1201" t="s">
        <v>2147</v>
      </c>
      <c r="B1201" t="s">
        <v>2055</v>
      </c>
    </row>
    <row r="1202" spans="1:2" x14ac:dyDescent="0.25">
      <c r="A1202" t="s">
        <v>2148</v>
      </c>
      <c r="B1202" t="s">
        <v>2055</v>
      </c>
    </row>
    <row r="1203" spans="1:2" x14ac:dyDescent="0.25">
      <c r="A1203" t="s">
        <v>2149</v>
      </c>
      <c r="B1203" t="s">
        <v>2055</v>
      </c>
    </row>
    <row r="1204" spans="1:2" x14ac:dyDescent="0.25">
      <c r="A1204" t="s">
        <v>2150</v>
      </c>
      <c r="B1204" t="s">
        <v>2055</v>
      </c>
    </row>
    <row r="1205" spans="1:2" x14ac:dyDescent="0.25">
      <c r="A1205" t="s">
        <v>2151</v>
      </c>
      <c r="B1205" t="s">
        <v>2055</v>
      </c>
    </row>
    <row r="1206" spans="1:2" x14ac:dyDescent="0.25">
      <c r="A1206" t="s">
        <v>2152</v>
      </c>
      <c r="B1206" t="s">
        <v>2055</v>
      </c>
    </row>
    <row r="1207" spans="1:2" x14ac:dyDescent="0.25">
      <c r="A1207" t="s">
        <v>2153</v>
      </c>
      <c r="B1207" t="s">
        <v>2055</v>
      </c>
    </row>
    <row r="1208" spans="1:2" x14ac:dyDescent="0.25">
      <c r="A1208" t="s">
        <v>2154</v>
      </c>
      <c r="B1208" t="s">
        <v>2055</v>
      </c>
    </row>
    <row r="1209" spans="1:2" x14ac:dyDescent="0.25">
      <c r="A1209" t="s">
        <v>2155</v>
      </c>
      <c r="B1209" t="s">
        <v>2055</v>
      </c>
    </row>
    <row r="1210" spans="1:2" x14ac:dyDescent="0.25">
      <c r="A1210" t="s">
        <v>2156</v>
      </c>
      <c r="B1210" t="s">
        <v>2055</v>
      </c>
    </row>
    <row r="1211" spans="1:2" x14ac:dyDescent="0.25">
      <c r="A1211" t="s">
        <v>2157</v>
      </c>
      <c r="B1211" t="s">
        <v>2055</v>
      </c>
    </row>
    <row r="1212" spans="1:2" x14ac:dyDescent="0.25">
      <c r="A1212" t="s">
        <v>2158</v>
      </c>
      <c r="B1212" t="s">
        <v>2055</v>
      </c>
    </row>
    <row r="1213" spans="1:2" x14ac:dyDescent="0.25">
      <c r="A1213" t="s">
        <v>2159</v>
      </c>
      <c r="B1213" t="s">
        <v>2160</v>
      </c>
    </row>
    <row r="1214" spans="1:2" x14ac:dyDescent="0.25">
      <c r="A1214" t="s">
        <v>2161</v>
      </c>
      <c r="B1214" t="s">
        <v>2160</v>
      </c>
    </row>
    <row r="1215" spans="1:2" x14ac:dyDescent="0.25">
      <c r="A1215" t="s">
        <v>2162</v>
      </c>
      <c r="B1215" t="s">
        <v>2160</v>
      </c>
    </row>
    <row r="1216" spans="1:2" x14ac:dyDescent="0.25">
      <c r="A1216" t="s">
        <v>2163</v>
      </c>
      <c r="B1216" t="s">
        <v>2160</v>
      </c>
    </row>
    <row r="1217" spans="1:2" x14ac:dyDescent="0.25">
      <c r="A1217" t="s">
        <v>2164</v>
      </c>
      <c r="B1217" t="s">
        <v>2160</v>
      </c>
    </row>
    <row r="1218" spans="1:2" x14ac:dyDescent="0.25">
      <c r="A1218" t="s">
        <v>2165</v>
      </c>
      <c r="B1218" t="s">
        <v>2160</v>
      </c>
    </row>
    <row r="1219" spans="1:2" x14ac:dyDescent="0.25">
      <c r="A1219" t="s">
        <v>2166</v>
      </c>
      <c r="B1219" t="s">
        <v>2160</v>
      </c>
    </row>
    <row r="1220" spans="1:2" x14ac:dyDescent="0.25">
      <c r="A1220" t="s">
        <v>2167</v>
      </c>
      <c r="B1220" t="s">
        <v>2160</v>
      </c>
    </row>
    <row r="1221" spans="1:2" x14ac:dyDescent="0.25">
      <c r="A1221" t="s">
        <v>2168</v>
      </c>
      <c r="B1221" t="s">
        <v>2160</v>
      </c>
    </row>
    <row r="1222" spans="1:2" x14ac:dyDescent="0.25">
      <c r="A1222" t="s">
        <v>2169</v>
      </c>
      <c r="B1222" t="s">
        <v>2160</v>
      </c>
    </row>
    <row r="1223" spans="1:2" x14ac:dyDescent="0.25">
      <c r="A1223" t="s">
        <v>2170</v>
      </c>
      <c r="B1223" t="s">
        <v>2160</v>
      </c>
    </row>
    <row r="1224" spans="1:2" x14ac:dyDescent="0.25">
      <c r="A1224" t="s">
        <v>2171</v>
      </c>
      <c r="B1224" t="s">
        <v>2160</v>
      </c>
    </row>
    <row r="1225" spans="1:2" x14ac:dyDescent="0.25">
      <c r="A1225" t="s">
        <v>2172</v>
      </c>
      <c r="B1225" t="s">
        <v>2160</v>
      </c>
    </row>
    <row r="1226" spans="1:2" x14ac:dyDescent="0.25">
      <c r="A1226" t="s">
        <v>2173</v>
      </c>
      <c r="B1226" t="s">
        <v>2160</v>
      </c>
    </row>
    <row r="1227" spans="1:2" x14ac:dyDescent="0.25">
      <c r="A1227" t="s">
        <v>2174</v>
      </c>
      <c r="B1227" t="s">
        <v>2160</v>
      </c>
    </row>
    <row r="1228" spans="1:2" x14ac:dyDescent="0.25">
      <c r="A1228" t="s">
        <v>2175</v>
      </c>
      <c r="B1228" t="s">
        <v>2176</v>
      </c>
    </row>
    <row r="1229" spans="1:2" x14ac:dyDescent="0.25">
      <c r="A1229" t="s">
        <v>2177</v>
      </c>
      <c r="B1229" t="s">
        <v>2176</v>
      </c>
    </row>
    <row r="1230" spans="1:2" x14ac:dyDescent="0.25">
      <c r="A1230" t="s">
        <v>2178</v>
      </c>
      <c r="B1230" t="s">
        <v>2176</v>
      </c>
    </row>
    <row r="1231" spans="1:2" x14ac:dyDescent="0.25">
      <c r="A1231" t="s">
        <v>2179</v>
      </c>
      <c r="B1231" t="s">
        <v>2176</v>
      </c>
    </row>
    <row r="1232" spans="1:2" x14ac:dyDescent="0.25">
      <c r="A1232" t="s">
        <v>2180</v>
      </c>
      <c r="B1232" t="s">
        <v>2176</v>
      </c>
    </row>
    <row r="1233" spans="1:2" x14ac:dyDescent="0.25">
      <c r="A1233" t="s">
        <v>2181</v>
      </c>
      <c r="B1233" t="s">
        <v>2176</v>
      </c>
    </row>
    <row r="1234" spans="1:2" x14ac:dyDescent="0.25">
      <c r="A1234" t="s">
        <v>2182</v>
      </c>
      <c r="B1234" t="s">
        <v>2176</v>
      </c>
    </row>
    <row r="1235" spans="1:2" x14ac:dyDescent="0.25">
      <c r="A1235" t="s">
        <v>2183</v>
      </c>
      <c r="B1235" t="s">
        <v>2176</v>
      </c>
    </row>
    <row r="1236" spans="1:2" x14ac:dyDescent="0.25">
      <c r="A1236" t="s">
        <v>2184</v>
      </c>
      <c r="B1236" t="s">
        <v>2176</v>
      </c>
    </row>
    <row r="1237" spans="1:2" x14ac:dyDescent="0.25">
      <c r="A1237" t="s">
        <v>2185</v>
      </c>
      <c r="B1237" t="s">
        <v>2176</v>
      </c>
    </row>
    <row r="1238" spans="1:2" x14ac:dyDescent="0.25">
      <c r="A1238" t="s">
        <v>2186</v>
      </c>
      <c r="B1238" t="s">
        <v>2176</v>
      </c>
    </row>
    <row r="1239" spans="1:2" x14ac:dyDescent="0.25">
      <c r="A1239" t="s">
        <v>2187</v>
      </c>
      <c r="B1239" t="s">
        <v>2176</v>
      </c>
    </row>
    <row r="1240" spans="1:2" x14ac:dyDescent="0.25">
      <c r="A1240" t="s">
        <v>2188</v>
      </c>
      <c r="B1240" t="s">
        <v>2176</v>
      </c>
    </row>
    <row r="1241" spans="1:2" x14ac:dyDescent="0.25">
      <c r="A1241" t="s">
        <v>2189</v>
      </c>
      <c r="B1241" t="s">
        <v>2176</v>
      </c>
    </row>
    <row r="1242" spans="1:2" x14ac:dyDescent="0.25">
      <c r="A1242" t="s">
        <v>2190</v>
      </c>
      <c r="B1242" t="s">
        <v>2176</v>
      </c>
    </row>
    <row r="1243" spans="1:2" x14ac:dyDescent="0.25">
      <c r="A1243" t="s">
        <v>2191</v>
      </c>
      <c r="B1243" t="s">
        <v>2176</v>
      </c>
    </row>
    <row r="1244" spans="1:2" x14ac:dyDescent="0.25">
      <c r="A1244" t="s">
        <v>2192</v>
      </c>
      <c r="B1244" t="s">
        <v>2176</v>
      </c>
    </row>
    <row r="1245" spans="1:2" x14ac:dyDescent="0.25">
      <c r="A1245" t="s">
        <v>2193</v>
      </c>
      <c r="B1245" t="s">
        <v>2176</v>
      </c>
    </row>
    <row r="1246" spans="1:2" x14ac:dyDescent="0.25">
      <c r="A1246" t="s">
        <v>2194</v>
      </c>
      <c r="B1246" t="s">
        <v>2176</v>
      </c>
    </row>
    <row r="1247" spans="1:2" x14ac:dyDescent="0.25">
      <c r="A1247" t="s">
        <v>2195</v>
      </c>
      <c r="B1247" t="s">
        <v>2176</v>
      </c>
    </row>
    <row r="1248" spans="1:2" x14ac:dyDescent="0.25">
      <c r="A1248" t="s">
        <v>2196</v>
      </c>
      <c r="B1248" t="s">
        <v>2176</v>
      </c>
    </row>
    <row r="1249" spans="1:2" x14ac:dyDescent="0.25">
      <c r="A1249" t="s">
        <v>2197</v>
      </c>
      <c r="B1249" t="s">
        <v>2176</v>
      </c>
    </row>
    <row r="1250" spans="1:2" x14ac:dyDescent="0.25">
      <c r="A1250" t="s">
        <v>2198</v>
      </c>
      <c r="B1250" t="s">
        <v>2176</v>
      </c>
    </row>
    <row r="1251" spans="1:2" x14ac:dyDescent="0.25">
      <c r="A1251" t="s">
        <v>2199</v>
      </c>
      <c r="B1251" t="s">
        <v>2160</v>
      </c>
    </row>
    <row r="1252" spans="1:2" x14ac:dyDescent="0.25">
      <c r="A1252" t="s">
        <v>2200</v>
      </c>
      <c r="B1252" t="s">
        <v>2160</v>
      </c>
    </row>
    <row r="1253" spans="1:2" x14ac:dyDescent="0.25">
      <c r="A1253" t="s">
        <v>2201</v>
      </c>
      <c r="B1253" t="s">
        <v>2160</v>
      </c>
    </row>
    <row r="1254" spans="1:2" x14ac:dyDescent="0.25">
      <c r="A1254" t="s">
        <v>2202</v>
      </c>
      <c r="B1254" t="s">
        <v>2160</v>
      </c>
    </row>
    <row r="1255" spans="1:2" x14ac:dyDescent="0.25">
      <c r="A1255" t="s">
        <v>2203</v>
      </c>
      <c r="B1255" t="s">
        <v>2160</v>
      </c>
    </row>
    <row r="1256" spans="1:2" x14ac:dyDescent="0.25">
      <c r="A1256" t="s">
        <v>2204</v>
      </c>
      <c r="B1256" t="s">
        <v>2160</v>
      </c>
    </row>
    <row r="1257" spans="1:2" x14ac:dyDescent="0.25">
      <c r="A1257" t="s">
        <v>2205</v>
      </c>
      <c r="B1257" t="s">
        <v>2055</v>
      </c>
    </row>
    <row r="1258" spans="1:2" x14ac:dyDescent="0.25">
      <c r="A1258" t="s">
        <v>2206</v>
      </c>
      <c r="B1258" t="s">
        <v>2055</v>
      </c>
    </row>
    <row r="1259" spans="1:2" x14ac:dyDescent="0.25">
      <c r="A1259" t="s">
        <v>2207</v>
      </c>
      <c r="B1259" t="s">
        <v>2055</v>
      </c>
    </row>
    <row r="1260" spans="1:2" x14ac:dyDescent="0.25">
      <c r="A1260" t="s">
        <v>2208</v>
      </c>
      <c r="B1260" t="s">
        <v>2055</v>
      </c>
    </row>
    <row r="1261" spans="1:2" x14ac:dyDescent="0.25">
      <c r="A1261" t="s">
        <v>2209</v>
      </c>
      <c r="B1261" t="s">
        <v>2055</v>
      </c>
    </row>
    <row r="1262" spans="1:2" x14ac:dyDescent="0.25">
      <c r="A1262" t="s">
        <v>2210</v>
      </c>
      <c r="B1262" t="s">
        <v>2055</v>
      </c>
    </row>
    <row r="1263" spans="1:2" x14ac:dyDescent="0.25">
      <c r="A1263" t="s">
        <v>2211</v>
      </c>
      <c r="B1263" t="s">
        <v>2055</v>
      </c>
    </row>
    <row r="1264" spans="1:2" x14ac:dyDescent="0.25">
      <c r="A1264" t="s">
        <v>2212</v>
      </c>
      <c r="B1264" t="s">
        <v>2055</v>
      </c>
    </row>
    <row r="1265" spans="1:2" x14ac:dyDescent="0.25">
      <c r="A1265" t="s">
        <v>2213</v>
      </c>
      <c r="B1265" t="s">
        <v>2055</v>
      </c>
    </row>
    <row r="1266" spans="1:2" x14ac:dyDescent="0.25">
      <c r="A1266" t="s">
        <v>2214</v>
      </c>
      <c r="B1266" t="s">
        <v>2055</v>
      </c>
    </row>
    <row r="1267" spans="1:2" x14ac:dyDescent="0.25">
      <c r="A1267" t="s">
        <v>2215</v>
      </c>
      <c r="B1267" t="s">
        <v>2055</v>
      </c>
    </row>
    <row r="1268" spans="1:2" x14ac:dyDescent="0.25">
      <c r="A1268" t="s">
        <v>2216</v>
      </c>
      <c r="B1268" t="s">
        <v>2055</v>
      </c>
    </row>
    <row r="1269" spans="1:2" x14ac:dyDescent="0.25">
      <c r="A1269" t="s">
        <v>2217</v>
      </c>
      <c r="B1269" t="s">
        <v>2160</v>
      </c>
    </row>
    <row r="1270" spans="1:2" x14ac:dyDescent="0.25">
      <c r="A1270" t="s">
        <v>2218</v>
      </c>
      <c r="B1270" t="s">
        <v>2160</v>
      </c>
    </row>
    <row r="1271" spans="1:2" x14ac:dyDescent="0.25">
      <c r="A1271" t="s">
        <v>2219</v>
      </c>
      <c r="B1271" t="s">
        <v>2160</v>
      </c>
    </row>
    <row r="1272" spans="1:2" x14ac:dyDescent="0.25">
      <c r="A1272" t="s">
        <v>2220</v>
      </c>
      <c r="B1272" t="s">
        <v>2055</v>
      </c>
    </row>
    <row r="1273" spans="1:2" x14ac:dyDescent="0.25">
      <c r="A1273" t="s">
        <v>2221</v>
      </c>
      <c r="B1273" t="s">
        <v>2055</v>
      </c>
    </row>
    <row r="1274" spans="1:2" x14ac:dyDescent="0.25">
      <c r="A1274" t="s">
        <v>2222</v>
      </c>
      <c r="B1274" t="s">
        <v>2055</v>
      </c>
    </row>
    <row r="1275" spans="1:2" x14ac:dyDescent="0.25">
      <c r="A1275" t="s">
        <v>2223</v>
      </c>
      <c r="B1275" t="s">
        <v>2055</v>
      </c>
    </row>
    <row r="1276" spans="1:2" x14ac:dyDescent="0.25">
      <c r="A1276" t="s">
        <v>2224</v>
      </c>
      <c r="B1276" t="s">
        <v>2055</v>
      </c>
    </row>
    <row r="1277" spans="1:2" x14ac:dyDescent="0.25">
      <c r="A1277" t="s">
        <v>2225</v>
      </c>
      <c r="B1277" t="s">
        <v>2055</v>
      </c>
    </row>
    <row r="1278" spans="1:2" x14ac:dyDescent="0.25">
      <c r="A1278" t="s">
        <v>2226</v>
      </c>
      <c r="B1278" t="s">
        <v>2055</v>
      </c>
    </row>
    <row r="1279" spans="1:2" x14ac:dyDescent="0.25">
      <c r="A1279" t="s">
        <v>2227</v>
      </c>
      <c r="B1279" t="s">
        <v>2055</v>
      </c>
    </row>
    <row r="1280" spans="1:2" x14ac:dyDescent="0.25">
      <c r="A1280" t="s">
        <v>2228</v>
      </c>
      <c r="B1280" t="s">
        <v>2055</v>
      </c>
    </row>
    <row r="1281" spans="1:2" x14ac:dyDescent="0.25">
      <c r="A1281" t="s">
        <v>2229</v>
      </c>
      <c r="B1281" t="s">
        <v>2055</v>
      </c>
    </row>
    <row r="1282" spans="1:2" x14ac:dyDescent="0.25">
      <c r="A1282" t="s">
        <v>2230</v>
      </c>
      <c r="B1282" t="s">
        <v>2055</v>
      </c>
    </row>
    <row r="1283" spans="1:2" x14ac:dyDescent="0.25">
      <c r="A1283" t="s">
        <v>2231</v>
      </c>
      <c r="B1283" t="s">
        <v>2055</v>
      </c>
    </row>
    <row r="1284" spans="1:2" x14ac:dyDescent="0.25">
      <c r="A1284" t="s">
        <v>2232</v>
      </c>
      <c r="B1284" t="s">
        <v>2055</v>
      </c>
    </row>
    <row r="1285" spans="1:2" x14ac:dyDescent="0.25">
      <c r="A1285" t="s">
        <v>2233</v>
      </c>
      <c r="B1285" t="s">
        <v>2055</v>
      </c>
    </row>
    <row r="1286" spans="1:2" x14ac:dyDescent="0.25">
      <c r="A1286" t="s">
        <v>2234</v>
      </c>
      <c r="B1286" t="s">
        <v>2055</v>
      </c>
    </row>
    <row r="1287" spans="1:2" x14ac:dyDescent="0.25">
      <c r="A1287" t="s">
        <v>2235</v>
      </c>
      <c r="B1287" t="s">
        <v>2055</v>
      </c>
    </row>
    <row r="1288" spans="1:2" x14ac:dyDescent="0.25">
      <c r="A1288" t="s">
        <v>2236</v>
      </c>
      <c r="B1288" t="s">
        <v>2055</v>
      </c>
    </row>
    <row r="1289" spans="1:2" x14ac:dyDescent="0.25">
      <c r="A1289" t="s">
        <v>2237</v>
      </c>
      <c r="B1289" t="s">
        <v>2055</v>
      </c>
    </row>
    <row r="1290" spans="1:2" x14ac:dyDescent="0.25">
      <c r="A1290" t="s">
        <v>2238</v>
      </c>
      <c r="B1290" t="s">
        <v>2055</v>
      </c>
    </row>
    <row r="1291" spans="1:2" x14ac:dyDescent="0.25">
      <c r="A1291" t="s">
        <v>2239</v>
      </c>
      <c r="B1291" t="s">
        <v>2055</v>
      </c>
    </row>
    <row r="1292" spans="1:2" x14ac:dyDescent="0.25">
      <c r="A1292" t="s">
        <v>2240</v>
      </c>
      <c r="B1292" t="s">
        <v>2055</v>
      </c>
    </row>
    <row r="1293" spans="1:2" x14ac:dyDescent="0.25">
      <c r="A1293" t="s">
        <v>2241</v>
      </c>
      <c r="B1293" t="s">
        <v>2055</v>
      </c>
    </row>
    <row r="1294" spans="1:2" x14ac:dyDescent="0.25">
      <c r="A1294" t="s">
        <v>2242</v>
      </c>
      <c r="B1294" t="s">
        <v>2055</v>
      </c>
    </row>
    <row r="1295" spans="1:2" x14ac:dyDescent="0.25">
      <c r="A1295" t="s">
        <v>2243</v>
      </c>
      <c r="B1295" t="s">
        <v>2055</v>
      </c>
    </row>
    <row r="1296" spans="1:2" x14ac:dyDescent="0.25">
      <c r="A1296" t="s">
        <v>2244</v>
      </c>
      <c r="B1296" t="s">
        <v>2055</v>
      </c>
    </row>
    <row r="1297" spans="1:2" x14ac:dyDescent="0.25">
      <c r="A1297" t="s">
        <v>2245</v>
      </c>
      <c r="B1297" t="s">
        <v>2055</v>
      </c>
    </row>
    <row r="1298" spans="1:2" x14ac:dyDescent="0.25">
      <c r="A1298" t="s">
        <v>2246</v>
      </c>
      <c r="B1298" t="s">
        <v>2055</v>
      </c>
    </row>
    <row r="1299" spans="1:2" x14ac:dyDescent="0.25">
      <c r="A1299" t="s">
        <v>2247</v>
      </c>
      <c r="B1299" t="s">
        <v>2055</v>
      </c>
    </row>
    <row r="1300" spans="1:2" x14ac:dyDescent="0.25">
      <c r="A1300" t="s">
        <v>2248</v>
      </c>
      <c r="B1300" t="s">
        <v>2055</v>
      </c>
    </row>
    <row r="1301" spans="1:2" x14ac:dyDescent="0.25">
      <c r="A1301" t="s">
        <v>2249</v>
      </c>
      <c r="B1301" t="s">
        <v>2055</v>
      </c>
    </row>
    <row r="1302" spans="1:2" x14ac:dyDescent="0.25">
      <c r="A1302" t="s">
        <v>2250</v>
      </c>
      <c r="B1302" t="s">
        <v>2055</v>
      </c>
    </row>
    <row r="1303" spans="1:2" x14ac:dyDescent="0.25">
      <c r="A1303" t="s">
        <v>2251</v>
      </c>
      <c r="B1303" t="s">
        <v>2055</v>
      </c>
    </row>
    <row r="1304" spans="1:2" x14ac:dyDescent="0.25">
      <c r="A1304" t="s">
        <v>2252</v>
      </c>
      <c r="B1304" t="s">
        <v>2055</v>
      </c>
    </row>
    <row r="1305" spans="1:2" x14ac:dyDescent="0.25">
      <c r="A1305" t="s">
        <v>2253</v>
      </c>
      <c r="B1305" t="s">
        <v>2055</v>
      </c>
    </row>
    <row r="1306" spans="1:2" x14ac:dyDescent="0.25">
      <c r="A1306" t="s">
        <v>2254</v>
      </c>
      <c r="B1306" t="s">
        <v>2055</v>
      </c>
    </row>
    <row r="1307" spans="1:2" x14ac:dyDescent="0.25">
      <c r="A1307" t="s">
        <v>2255</v>
      </c>
      <c r="B1307" t="s">
        <v>2055</v>
      </c>
    </row>
    <row r="1308" spans="1:2" x14ac:dyDescent="0.25">
      <c r="A1308" t="s">
        <v>2256</v>
      </c>
      <c r="B1308" t="s">
        <v>2055</v>
      </c>
    </row>
    <row r="1309" spans="1:2" x14ac:dyDescent="0.25">
      <c r="A1309" t="s">
        <v>2257</v>
      </c>
      <c r="B1309" t="s">
        <v>2055</v>
      </c>
    </row>
    <row r="1310" spans="1:2" x14ac:dyDescent="0.25">
      <c r="A1310" t="s">
        <v>2258</v>
      </c>
      <c r="B1310" t="s">
        <v>2055</v>
      </c>
    </row>
    <row r="1311" spans="1:2" x14ac:dyDescent="0.25">
      <c r="A1311" t="s">
        <v>2259</v>
      </c>
      <c r="B1311" t="s">
        <v>2055</v>
      </c>
    </row>
    <row r="1312" spans="1:2" x14ac:dyDescent="0.25">
      <c r="A1312" t="s">
        <v>2260</v>
      </c>
      <c r="B1312" t="s">
        <v>2055</v>
      </c>
    </row>
    <row r="1313" spans="1:2" x14ac:dyDescent="0.25">
      <c r="A1313" t="s">
        <v>2261</v>
      </c>
      <c r="B1313" t="s">
        <v>2055</v>
      </c>
    </row>
    <row r="1314" spans="1:2" x14ac:dyDescent="0.25">
      <c r="A1314" t="s">
        <v>2262</v>
      </c>
      <c r="B1314" t="s">
        <v>2055</v>
      </c>
    </row>
    <row r="1315" spans="1:2" x14ac:dyDescent="0.25">
      <c r="A1315" t="s">
        <v>2263</v>
      </c>
      <c r="B1315" t="s">
        <v>2055</v>
      </c>
    </row>
    <row r="1316" spans="1:2" x14ac:dyDescent="0.25">
      <c r="A1316" t="s">
        <v>2264</v>
      </c>
      <c r="B1316" t="s">
        <v>2055</v>
      </c>
    </row>
    <row r="1317" spans="1:2" x14ac:dyDescent="0.25">
      <c r="A1317" t="s">
        <v>2265</v>
      </c>
      <c r="B1317" t="s">
        <v>2055</v>
      </c>
    </row>
    <row r="1318" spans="1:2" x14ac:dyDescent="0.25">
      <c r="A1318" t="s">
        <v>2266</v>
      </c>
      <c r="B1318" t="s">
        <v>2055</v>
      </c>
    </row>
    <row r="1319" spans="1:2" x14ac:dyDescent="0.25">
      <c r="A1319" t="s">
        <v>2267</v>
      </c>
      <c r="B1319" t="s">
        <v>2055</v>
      </c>
    </row>
    <row r="1320" spans="1:2" x14ac:dyDescent="0.25">
      <c r="A1320" t="s">
        <v>2268</v>
      </c>
      <c r="B1320" t="s">
        <v>2055</v>
      </c>
    </row>
    <row r="1321" spans="1:2" x14ac:dyDescent="0.25">
      <c r="A1321" t="s">
        <v>2269</v>
      </c>
      <c r="B1321" t="s">
        <v>2055</v>
      </c>
    </row>
    <row r="1322" spans="1:2" x14ac:dyDescent="0.25">
      <c r="A1322" t="s">
        <v>2270</v>
      </c>
      <c r="B1322" t="s">
        <v>2055</v>
      </c>
    </row>
    <row r="1323" spans="1:2" x14ac:dyDescent="0.25">
      <c r="A1323" t="s">
        <v>2271</v>
      </c>
      <c r="B1323" t="s">
        <v>2055</v>
      </c>
    </row>
    <row r="1324" spans="1:2" x14ac:dyDescent="0.25">
      <c r="A1324" t="s">
        <v>2272</v>
      </c>
      <c r="B1324" t="s">
        <v>2055</v>
      </c>
    </row>
    <row r="1325" spans="1:2" x14ac:dyDescent="0.25">
      <c r="A1325" t="s">
        <v>2273</v>
      </c>
      <c r="B1325" t="s">
        <v>2055</v>
      </c>
    </row>
    <row r="1326" spans="1:2" x14ac:dyDescent="0.25">
      <c r="A1326" t="s">
        <v>2274</v>
      </c>
      <c r="B1326" t="s">
        <v>2055</v>
      </c>
    </row>
    <row r="1327" spans="1:2" x14ac:dyDescent="0.25">
      <c r="A1327" t="s">
        <v>2275</v>
      </c>
      <c r="B1327" t="s">
        <v>2055</v>
      </c>
    </row>
    <row r="1328" spans="1:2" x14ac:dyDescent="0.25">
      <c r="A1328" t="s">
        <v>2276</v>
      </c>
      <c r="B1328" t="s">
        <v>2055</v>
      </c>
    </row>
    <row r="1329" spans="1:2" x14ac:dyDescent="0.25">
      <c r="A1329" t="s">
        <v>2277</v>
      </c>
      <c r="B1329" t="s">
        <v>2055</v>
      </c>
    </row>
    <row r="1330" spans="1:2" x14ac:dyDescent="0.25">
      <c r="A1330" t="s">
        <v>2278</v>
      </c>
      <c r="B1330" t="s">
        <v>2055</v>
      </c>
    </row>
    <row r="1331" spans="1:2" x14ac:dyDescent="0.25">
      <c r="A1331" t="s">
        <v>2279</v>
      </c>
      <c r="B1331" t="s">
        <v>2055</v>
      </c>
    </row>
    <row r="1332" spans="1:2" x14ac:dyDescent="0.25">
      <c r="A1332" t="s">
        <v>2280</v>
      </c>
      <c r="B1332" t="s">
        <v>2055</v>
      </c>
    </row>
    <row r="1333" spans="1:2" x14ac:dyDescent="0.25">
      <c r="A1333" t="s">
        <v>2281</v>
      </c>
      <c r="B1333" t="s">
        <v>2055</v>
      </c>
    </row>
    <row r="1334" spans="1:2" x14ac:dyDescent="0.25">
      <c r="A1334" t="s">
        <v>2282</v>
      </c>
      <c r="B1334" t="s">
        <v>2055</v>
      </c>
    </row>
    <row r="1335" spans="1:2" x14ac:dyDescent="0.25">
      <c r="A1335" t="s">
        <v>2283</v>
      </c>
      <c r="B1335" t="s">
        <v>2055</v>
      </c>
    </row>
    <row r="1336" spans="1:2" x14ac:dyDescent="0.25">
      <c r="A1336" t="s">
        <v>2284</v>
      </c>
      <c r="B1336" t="s">
        <v>2055</v>
      </c>
    </row>
    <row r="1337" spans="1:2" x14ac:dyDescent="0.25">
      <c r="A1337" t="s">
        <v>2285</v>
      </c>
      <c r="B1337" t="s">
        <v>2055</v>
      </c>
    </row>
    <row r="1338" spans="1:2" x14ac:dyDescent="0.25">
      <c r="A1338" t="s">
        <v>2286</v>
      </c>
      <c r="B1338" t="s">
        <v>2055</v>
      </c>
    </row>
    <row r="1339" spans="1:2" x14ac:dyDescent="0.25">
      <c r="A1339" t="s">
        <v>2287</v>
      </c>
      <c r="B1339" t="s">
        <v>2055</v>
      </c>
    </row>
    <row r="1340" spans="1:2" x14ac:dyDescent="0.25">
      <c r="A1340" t="s">
        <v>2288</v>
      </c>
      <c r="B1340" t="s">
        <v>2055</v>
      </c>
    </row>
    <row r="1341" spans="1:2" x14ac:dyDescent="0.25">
      <c r="A1341" t="s">
        <v>2289</v>
      </c>
      <c r="B1341" t="s">
        <v>2055</v>
      </c>
    </row>
    <row r="1342" spans="1:2" x14ac:dyDescent="0.25">
      <c r="A1342" t="s">
        <v>2290</v>
      </c>
      <c r="B1342" t="s">
        <v>2055</v>
      </c>
    </row>
    <row r="1343" spans="1:2" x14ac:dyDescent="0.25">
      <c r="A1343" t="s">
        <v>2291</v>
      </c>
      <c r="B1343" t="s">
        <v>2055</v>
      </c>
    </row>
    <row r="1344" spans="1:2" x14ac:dyDescent="0.25">
      <c r="A1344" t="s">
        <v>2292</v>
      </c>
      <c r="B1344" t="s">
        <v>2055</v>
      </c>
    </row>
    <row r="1345" spans="1:2" x14ac:dyDescent="0.25">
      <c r="A1345" t="s">
        <v>2293</v>
      </c>
      <c r="B1345" t="s">
        <v>2055</v>
      </c>
    </row>
    <row r="1346" spans="1:2" x14ac:dyDescent="0.25">
      <c r="A1346" t="s">
        <v>2294</v>
      </c>
      <c r="B1346" t="s">
        <v>2055</v>
      </c>
    </row>
    <row r="1347" spans="1:2" x14ac:dyDescent="0.25">
      <c r="A1347" t="s">
        <v>2295</v>
      </c>
      <c r="B1347" t="s">
        <v>2055</v>
      </c>
    </row>
    <row r="1348" spans="1:2" x14ac:dyDescent="0.25">
      <c r="A1348" t="s">
        <v>2296</v>
      </c>
      <c r="B1348" t="s">
        <v>2055</v>
      </c>
    </row>
    <row r="1349" spans="1:2" x14ac:dyDescent="0.25">
      <c r="A1349" t="s">
        <v>2297</v>
      </c>
      <c r="B1349" t="s">
        <v>2055</v>
      </c>
    </row>
    <row r="1350" spans="1:2" x14ac:dyDescent="0.25">
      <c r="A1350" t="s">
        <v>2298</v>
      </c>
      <c r="B1350" t="s">
        <v>2055</v>
      </c>
    </row>
    <row r="1351" spans="1:2" x14ac:dyDescent="0.25">
      <c r="A1351" t="s">
        <v>2299</v>
      </c>
      <c r="B1351" t="s">
        <v>2055</v>
      </c>
    </row>
    <row r="1352" spans="1:2" x14ac:dyDescent="0.25">
      <c r="A1352" t="s">
        <v>2300</v>
      </c>
      <c r="B1352" t="s">
        <v>2055</v>
      </c>
    </row>
    <row r="1353" spans="1:2" x14ac:dyDescent="0.25">
      <c r="A1353" t="s">
        <v>2301</v>
      </c>
      <c r="B1353" t="s">
        <v>2055</v>
      </c>
    </row>
    <row r="1354" spans="1:2" x14ac:dyDescent="0.25">
      <c r="A1354" t="s">
        <v>2302</v>
      </c>
      <c r="B1354" t="s">
        <v>2055</v>
      </c>
    </row>
    <row r="1355" spans="1:2" x14ac:dyDescent="0.25">
      <c r="A1355" t="s">
        <v>2303</v>
      </c>
      <c r="B1355" t="s">
        <v>2055</v>
      </c>
    </row>
    <row r="1356" spans="1:2" x14ac:dyDescent="0.25">
      <c r="A1356" t="s">
        <v>2304</v>
      </c>
      <c r="B1356" t="s">
        <v>2055</v>
      </c>
    </row>
    <row r="1357" spans="1:2" x14ac:dyDescent="0.25">
      <c r="A1357" t="s">
        <v>2305</v>
      </c>
      <c r="B1357" t="s">
        <v>2055</v>
      </c>
    </row>
    <row r="1358" spans="1:2" x14ac:dyDescent="0.25">
      <c r="A1358" t="s">
        <v>2306</v>
      </c>
      <c r="B1358" t="s">
        <v>2055</v>
      </c>
    </row>
    <row r="1359" spans="1:2" x14ac:dyDescent="0.25">
      <c r="A1359" t="s">
        <v>2307</v>
      </c>
      <c r="B1359" t="s">
        <v>2055</v>
      </c>
    </row>
    <row r="1360" spans="1:2" x14ac:dyDescent="0.25">
      <c r="A1360" t="s">
        <v>2308</v>
      </c>
      <c r="B1360" t="s">
        <v>2055</v>
      </c>
    </row>
    <row r="1361" spans="1:2" x14ac:dyDescent="0.25">
      <c r="A1361" t="s">
        <v>2309</v>
      </c>
      <c r="B1361" t="s">
        <v>2055</v>
      </c>
    </row>
    <row r="1362" spans="1:2" x14ac:dyDescent="0.25">
      <c r="A1362" t="s">
        <v>2310</v>
      </c>
      <c r="B1362" t="s">
        <v>2055</v>
      </c>
    </row>
    <row r="1363" spans="1:2" x14ac:dyDescent="0.25">
      <c r="A1363" t="s">
        <v>2311</v>
      </c>
      <c r="B1363" t="s">
        <v>2055</v>
      </c>
    </row>
    <row r="1364" spans="1:2" x14ac:dyDescent="0.25">
      <c r="A1364" t="s">
        <v>2312</v>
      </c>
      <c r="B1364" t="s">
        <v>2055</v>
      </c>
    </row>
    <row r="1365" spans="1:2" x14ac:dyDescent="0.25">
      <c r="A1365" t="s">
        <v>2313</v>
      </c>
      <c r="B1365" t="s">
        <v>2055</v>
      </c>
    </row>
    <row r="1366" spans="1:2" x14ac:dyDescent="0.25">
      <c r="A1366" t="s">
        <v>2314</v>
      </c>
      <c r="B1366" t="s">
        <v>2055</v>
      </c>
    </row>
    <row r="1367" spans="1:2" x14ac:dyDescent="0.25">
      <c r="A1367" t="s">
        <v>2315</v>
      </c>
      <c r="B1367" t="s">
        <v>2055</v>
      </c>
    </row>
    <row r="1368" spans="1:2" x14ac:dyDescent="0.25">
      <c r="A1368" t="s">
        <v>2316</v>
      </c>
      <c r="B1368" t="s">
        <v>2055</v>
      </c>
    </row>
    <row r="1369" spans="1:2" x14ac:dyDescent="0.25">
      <c r="A1369" t="s">
        <v>2317</v>
      </c>
      <c r="B1369" t="s">
        <v>2055</v>
      </c>
    </row>
    <row r="1370" spans="1:2" x14ac:dyDescent="0.25">
      <c r="A1370" t="s">
        <v>2318</v>
      </c>
      <c r="B1370" t="s">
        <v>2055</v>
      </c>
    </row>
    <row r="1371" spans="1:2" x14ac:dyDescent="0.25">
      <c r="A1371" t="s">
        <v>2319</v>
      </c>
      <c r="B1371" t="s">
        <v>2055</v>
      </c>
    </row>
    <row r="1372" spans="1:2" x14ac:dyDescent="0.25">
      <c r="A1372" t="s">
        <v>2320</v>
      </c>
      <c r="B1372" t="s">
        <v>2055</v>
      </c>
    </row>
    <row r="1373" spans="1:2" x14ac:dyDescent="0.25">
      <c r="A1373" t="s">
        <v>2321</v>
      </c>
      <c r="B1373" t="s">
        <v>2055</v>
      </c>
    </row>
    <row r="1374" spans="1:2" x14ac:dyDescent="0.25">
      <c r="A1374" t="s">
        <v>2322</v>
      </c>
      <c r="B1374" t="s">
        <v>2055</v>
      </c>
    </row>
    <row r="1375" spans="1:2" x14ac:dyDescent="0.25">
      <c r="A1375" t="s">
        <v>2323</v>
      </c>
      <c r="B1375" t="s">
        <v>2055</v>
      </c>
    </row>
    <row r="1376" spans="1:2" x14ac:dyDescent="0.25">
      <c r="A1376" t="s">
        <v>2324</v>
      </c>
      <c r="B1376" t="s">
        <v>2055</v>
      </c>
    </row>
    <row r="1377" spans="1:2" x14ac:dyDescent="0.25">
      <c r="A1377" t="s">
        <v>2325</v>
      </c>
      <c r="B1377" t="s">
        <v>2055</v>
      </c>
    </row>
    <row r="1378" spans="1:2" x14ac:dyDescent="0.25">
      <c r="A1378" t="s">
        <v>2326</v>
      </c>
      <c r="B1378" t="s">
        <v>2055</v>
      </c>
    </row>
    <row r="1379" spans="1:2" x14ac:dyDescent="0.25">
      <c r="A1379" t="s">
        <v>2327</v>
      </c>
      <c r="B1379" t="s">
        <v>2055</v>
      </c>
    </row>
    <row r="1380" spans="1:2" x14ac:dyDescent="0.25">
      <c r="A1380" t="s">
        <v>2328</v>
      </c>
      <c r="B1380" t="s">
        <v>2055</v>
      </c>
    </row>
    <row r="1381" spans="1:2" x14ac:dyDescent="0.25">
      <c r="A1381" t="s">
        <v>2329</v>
      </c>
      <c r="B1381" t="s">
        <v>2055</v>
      </c>
    </row>
    <row r="1382" spans="1:2" x14ac:dyDescent="0.25">
      <c r="A1382" t="s">
        <v>2330</v>
      </c>
      <c r="B1382" t="s">
        <v>2055</v>
      </c>
    </row>
    <row r="1383" spans="1:2" x14ac:dyDescent="0.25">
      <c r="A1383" t="s">
        <v>2331</v>
      </c>
      <c r="B1383" t="s">
        <v>2055</v>
      </c>
    </row>
    <row r="1384" spans="1:2" x14ac:dyDescent="0.25">
      <c r="A1384" t="s">
        <v>2332</v>
      </c>
      <c r="B1384" t="s">
        <v>2055</v>
      </c>
    </row>
    <row r="1385" spans="1:2" x14ac:dyDescent="0.25">
      <c r="A1385" t="s">
        <v>2333</v>
      </c>
      <c r="B1385" t="s">
        <v>2055</v>
      </c>
    </row>
    <row r="1386" spans="1:2" x14ac:dyDescent="0.25">
      <c r="A1386" t="s">
        <v>2334</v>
      </c>
      <c r="B1386" t="s">
        <v>2055</v>
      </c>
    </row>
    <row r="1387" spans="1:2" x14ac:dyDescent="0.25">
      <c r="A1387" t="s">
        <v>2335</v>
      </c>
      <c r="B1387" t="s">
        <v>2055</v>
      </c>
    </row>
    <row r="1388" spans="1:2" x14ac:dyDescent="0.25">
      <c r="A1388" t="s">
        <v>2336</v>
      </c>
      <c r="B1388" t="s">
        <v>2055</v>
      </c>
    </row>
    <row r="1389" spans="1:2" x14ac:dyDescent="0.25">
      <c r="A1389" t="s">
        <v>2337</v>
      </c>
      <c r="B1389" t="s">
        <v>2055</v>
      </c>
    </row>
    <row r="1390" spans="1:2" x14ac:dyDescent="0.25">
      <c r="A1390" t="s">
        <v>2338</v>
      </c>
      <c r="B1390" t="s">
        <v>2055</v>
      </c>
    </row>
    <row r="1391" spans="1:2" x14ac:dyDescent="0.25">
      <c r="A1391" t="s">
        <v>2339</v>
      </c>
      <c r="B1391" t="s">
        <v>2055</v>
      </c>
    </row>
    <row r="1392" spans="1:2" x14ac:dyDescent="0.25">
      <c r="A1392" t="s">
        <v>2340</v>
      </c>
      <c r="B1392" t="s">
        <v>2055</v>
      </c>
    </row>
    <row r="1393" spans="1:2" x14ac:dyDescent="0.25">
      <c r="A1393" t="s">
        <v>2341</v>
      </c>
      <c r="B1393" t="s">
        <v>2055</v>
      </c>
    </row>
    <row r="1394" spans="1:2" x14ac:dyDescent="0.25">
      <c r="A1394" t="s">
        <v>2342</v>
      </c>
      <c r="B1394" t="s">
        <v>2055</v>
      </c>
    </row>
    <row r="1395" spans="1:2" x14ac:dyDescent="0.25">
      <c r="A1395" t="s">
        <v>2343</v>
      </c>
      <c r="B1395" t="s">
        <v>2055</v>
      </c>
    </row>
    <row r="1396" spans="1:2" x14ac:dyDescent="0.25">
      <c r="A1396" t="s">
        <v>2344</v>
      </c>
      <c r="B1396" t="s">
        <v>2055</v>
      </c>
    </row>
    <row r="1397" spans="1:2" x14ac:dyDescent="0.25">
      <c r="A1397" t="s">
        <v>2345</v>
      </c>
      <c r="B1397" t="s">
        <v>2055</v>
      </c>
    </row>
    <row r="1398" spans="1:2" x14ac:dyDescent="0.25">
      <c r="A1398" t="s">
        <v>2346</v>
      </c>
      <c r="B1398" t="s">
        <v>2055</v>
      </c>
    </row>
    <row r="1399" spans="1:2" x14ac:dyDescent="0.25">
      <c r="A1399" t="s">
        <v>2347</v>
      </c>
      <c r="B1399" t="s">
        <v>2055</v>
      </c>
    </row>
    <row r="1400" spans="1:2" x14ac:dyDescent="0.25">
      <c r="A1400" t="s">
        <v>2348</v>
      </c>
      <c r="B1400" t="s">
        <v>2055</v>
      </c>
    </row>
    <row r="1401" spans="1:2" x14ac:dyDescent="0.25">
      <c r="A1401" t="s">
        <v>2349</v>
      </c>
      <c r="B1401" t="s">
        <v>2099</v>
      </c>
    </row>
    <row r="1402" spans="1:2" x14ac:dyDescent="0.25">
      <c r="A1402" t="s">
        <v>2350</v>
      </c>
      <c r="B1402" t="s">
        <v>2099</v>
      </c>
    </row>
    <row r="1403" spans="1:2" x14ac:dyDescent="0.25">
      <c r="A1403" t="s">
        <v>2351</v>
      </c>
      <c r="B1403" t="s">
        <v>2099</v>
      </c>
    </row>
    <row r="1404" spans="1:2" x14ac:dyDescent="0.25">
      <c r="A1404" t="s">
        <v>2352</v>
      </c>
      <c r="B1404" t="s">
        <v>2099</v>
      </c>
    </row>
    <row r="1405" spans="1:2" x14ac:dyDescent="0.25">
      <c r="A1405" t="s">
        <v>2353</v>
      </c>
      <c r="B1405" t="s">
        <v>2099</v>
      </c>
    </row>
    <row r="1406" spans="1:2" x14ac:dyDescent="0.25">
      <c r="A1406" t="s">
        <v>2354</v>
      </c>
      <c r="B1406" t="s">
        <v>2086</v>
      </c>
    </row>
    <row r="1407" spans="1:2" x14ac:dyDescent="0.25">
      <c r="A1407" t="s">
        <v>2355</v>
      </c>
      <c r="B1407" t="s">
        <v>2086</v>
      </c>
    </row>
    <row r="1408" spans="1:2" x14ac:dyDescent="0.25">
      <c r="A1408" t="s">
        <v>2356</v>
      </c>
      <c r="B1408" t="s">
        <v>2086</v>
      </c>
    </row>
    <row r="1409" spans="1:2" x14ac:dyDescent="0.25">
      <c r="A1409" t="s">
        <v>2357</v>
      </c>
      <c r="B1409" t="s">
        <v>2086</v>
      </c>
    </row>
    <row r="1410" spans="1:2" x14ac:dyDescent="0.25">
      <c r="A1410" t="s">
        <v>2358</v>
      </c>
      <c r="B1410" t="s">
        <v>2086</v>
      </c>
    </row>
    <row r="1411" spans="1:2" x14ac:dyDescent="0.25">
      <c r="A1411" t="s">
        <v>2359</v>
      </c>
      <c r="B1411" t="s">
        <v>2086</v>
      </c>
    </row>
    <row r="1412" spans="1:2" x14ac:dyDescent="0.25">
      <c r="A1412" t="s">
        <v>2360</v>
      </c>
      <c r="B1412" t="s">
        <v>2086</v>
      </c>
    </row>
    <row r="1413" spans="1:2" x14ac:dyDescent="0.25">
      <c r="A1413" t="s">
        <v>2361</v>
      </c>
      <c r="B1413" t="s">
        <v>2086</v>
      </c>
    </row>
    <row r="1414" spans="1:2" x14ac:dyDescent="0.25">
      <c r="A1414" t="s">
        <v>2362</v>
      </c>
      <c r="B1414" t="s">
        <v>2086</v>
      </c>
    </row>
    <row r="1415" spans="1:2" x14ac:dyDescent="0.25">
      <c r="A1415" t="s">
        <v>2363</v>
      </c>
      <c r="B1415" t="s">
        <v>2086</v>
      </c>
    </row>
    <row r="1416" spans="1:2" x14ac:dyDescent="0.25">
      <c r="A1416" t="s">
        <v>2364</v>
      </c>
      <c r="B1416" t="s">
        <v>2086</v>
      </c>
    </row>
    <row r="1417" spans="1:2" x14ac:dyDescent="0.25">
      <c r="A1417" t="s">
        <v>2365</v>
      </c>
      <c r="B1417" t="s">
        <v>2086</v>
      </c>
    </row>
    <row r="1418" spans="1:2" x14ac:dyDescent="0.25">
      <c r="A1418" t="s">
        <v>2366</v>
      </c>
      <c r="B1418" t="s">
        <v>2086</v>
      </c>
    </row>
    <row r="1419" spans="1:2" x14ac:dyDescent="0.25">
      <c r="A1419" t="s">
        <v>2367</v>
      </c>
      <c r="B1419" t="s">
        <v>2086</v>
      </c>
    </row>
    <row r="1420" spans="1:2" x14ac:dyDescent="0.25">
      <c r="A1420" t="s">
        <v>2368</v>
      </c>
      <c r="B1420" t="s">
        <v>2086</v>
      </c>
    </row>
    <row r="1421" spans="1:2" x14ac:dyDescent="0.25">
      <c r="A1421" t="s">
        <v>2369</v>
      </c>
      <c r="B1421" t="s">
        <v>2086</v>
      </c>
    </row>
    <row r="1422" spans="1:2" x14ac:dyDescent="0.25">
      <c r="A1422" t="s">
        <v>2370</v>
      </c>
      <c r="B1422" t="s">
        <v>2086</v>
      </c>
    </row>
    <row r="1423" spans="1:2" x14ac:dyDescent="0.25">
      <c r="A1423" t="s">
        <v>2371</v>
      </c>
      <c r="B1423" t="s">
        <v>2086</v>
      </c>
    </row>
    <row r="1424" spans="1:2" x14ac:dyDescent="0.25">
      <c r="A1424" t="s">
        <v>2372</v>
      </c>
      <c r="B1424" t="s">
        <v>2086</v>
      </c>
    </row>
    <row r="1425" spans="1:2" x14ac:dyDescent="0.25">
      <c r="A1425" t="s">
        <v>2373</v>
      </c>
      <c r="B1425" t="s">
        <v>2086</v>
      </c>
    </row>
    <row r="1426" spans="1:2" x14ac:dyDescent="0.25">
      <c r="A1426" t="s">
        <v>2374</v>
      </c>
      <c r="B1426" t="s">
        <v>2086</v>
      </c>
    </row>
    <row r="1427" spans="1:2" x14ac:dyDescent="0.25">
      <c r="A1427" t="s">
        <v>2375</v>
      </c>
      <c r="B1427" t="s">
        <v>2086</v>
      </c>
    </row>
    <row r="1428" spans="1:2" x14ac:dyDescent="0.25">
      <c r="A1428" t="s">
        <v>2376</v>
      </c>
      <c r="B1428" t="s">
        <v>2086</v>
      </c>
    </row>
    <row r="1429" spans="1:2" x14ac:dyDescent="0.25">
      <c r="A1429" t="s">
        <v>2377</v>
      </c>
      <c r="B1429" t="s">
        <v>2086</v>
      </c>
    </row>
    <row r="1430" spans="1:2" x14ac:dyDescent="0.25">
      <c r="A1430" t="s">
        <v>2378</v>
      </c>
      <c r="B1430" t="s">
        <v>2086</v>
      </c>
    </row>
    <row r="1431" spans="1:2" x14ac:dyDescent="0.25">
      <c r="A1431" t="s">
        <v>2379</v>
      </c>
      <c r="B1431" t="s">
        <v>2086</v>
      </c>
    </row>
    <row r="1432" spans="1:2" x14ac:dyDescent="0.25">
      <c r="A1432" t="s">
        <v>2380</v>
      </c>
      <c r="B1432" t="s">
        <v>2086</v>
      </c>
    </row>
    <row r="1433" spans="1:2" x14ac:dyDescent="0.25">
      <c r="A1433" t="s">
        <v>2381</v>
      </c>
      <c r="B1433" t="s">
        <v>2086</v>
      </c>
    </row>
    <row r="1434" spans="1:2" x14ac:dyDescent="0.25">
      <c r="A1434" t="s">
        <v>2382</v>
      </c>
      <c r="B1434" t="s">
        <v>2086</v>
      </c>
    </row>
    <row r="1435" spans="1:2" x14ac:dyDescent="0.25">
      <c r="A1435" t="s">
        <v>2383</v>
      </c>
      <c r="B1435" t="s">
        <v>2086</v>
      </c>
    </row>
    <row r="1436" spans="1:2" x14ac:dyDescent="0.25">
      <c r="A1436" t="s">
        <v>2384</v>
      </c>
      <c r="B1436" t="s">
        <v>2086</v>
      </c>
    </row>
    <row r="1437" spans="1:2" x14ac:dyDescent="0.25">
      <c r="A1437" t="s">
        <v>2385</v>
      </c>
      <c r="B1437" t="s">
        <v>2086</v>
      </c>
    </row>
    <row r="1438" spans="1:2" x14ac:dyDescent="0.25">
      <c r="A1438" t="s">
        <v>2386</v>
      </c>
      <c r="B1438" t="s">
        <v>2086</v>
      </c>
    </row>
    <row r="1439" spans="1:2" x14ac:dyDescent="0.25">
      <c r="A1439" t="s">
        <v>2387</v>
      </c>
      <c r="B1439" t="s">
        <v>2086</v>
      </c>
    </row>
    <row r="1440" spans="1:2" x14ac:dyDescent="0.25">
      <c r="A1440" t="s">
        <v>2388</v>
      </c>
      <c r="B1440" t="s">
        <v>2086</v>
      </c>
    </row>
    <row r="1441" spans="1:2" x14ac:dyDescent="0.25">
      <c r="A1441" t="s">
        <v>2389</v>
      </c>
      <c r="B1441" t="s">
        <v>2086</v>
      </c>
    </row>
    <row r="1442" spans="1:2" x14ac:dyDescent="0.25">
      <c r="A1442" t="s">
        <v>2390</v>
      </c>
      <c r="B1442" t="s">
        <v>2086</v>
      </c>
    </row>
    <row r="1443" spans="1:2" x14ac:dyDescent="0.25">
      <c r="A1443" t="s">
        <v>2391</v>
      </c>
      <c r="B1443" t="s">
        <v>2055</v>
      </c>
    </row>
    <row r="1444" spans="1:2" x14ac:dyDescent="0.25">
      <c r="A1444" t="s">
        <v>2392</v>
      </c>
      <c r="B1444" t="s">
        <v>2055</v>
      </c>
    </row>
    <row r="1445" spans="1:2" x14ac:dyDescent="0.25">
      <c r="A1445" t="s">
        <v>2393</v>
      </c>
      <c r="B1445" t="s">
        <v>2055</v>
      </c>
    </row>
    <row r="1446" spans="1:2" x14ac:dyDescent="0.25">
      <c r="A1446" t="s">
        <v>2394</v>
      </c>
      <c r="B1446" t="s">
        <v>2055</v>
      </c>
    </row>
    <row r="1447" spans="1:2" x14ac:dyDescent="0.25">
      <c r="A1447" t="s">
        <v>2395</v>
      </c>
      <c r="B1447" t="s">
        <v>2055</v>
      </c>
    </row>
    <row r="1448" spans="1:2" x14ac:dyDescent="0.25">
      <c r="A1448" t="s">
        <v>2396</v>
      </c>
      <c r="B1448" t="s">
        <v>2055</v>
      </c>
    </row>
    <row r="1449" spans="1:2" x14ac:dyDescent="0.25">
      <c r="A1449" t="s">
        <v>2397</v>
      </c>
      <c r="B1449" t="s">
        <v>2055</v>
      </c>
    </row>
    <row r="1450" spans="1:2" x14ac:dyDescent="0.25">
      <c r="A1450" t="s">
        <v>2398</v>
      </c>
      <c r="B1450" t="s">
        <v>2055</v>
      </c>
    </row>
    <row r="1451" spans="1:2" x14ac:dyDescent="0.25">
      <c r="A1451" t="s">
        <v>2399</v>
      </c>
      <c r="B1451" t="s">
        <v>2055</v>
      </c>
    </row>
    <row r="1452" spans="1:2" x14ac:dyDescent="0.25">
      <c r="A1452" t="s">
        <v>2400</v>
      </c>
      <c r="B1452" t="s">
        <v>2055</v>
      </c>
    </row>
    <row r="1453" spans="1:2" x14ac:dyDescent="0.25">
      <c r="A1453" t="s">
        <v>2401</v>
      </c>
      <c r="B1453" t="s">
        <v>2055</v>
      </c>
    </row>
    <row r="1454" spans="1:2" x14ac:dyDescent="0.25">
      <c r="A1454" t="s">
        <v>2402</v>
      </c>
      <c r="B1454" t="s">
        <v>2055</v>
      </c>
    </row>
    <row r="1455" spans="1:2" x14ac:dyDescent="0.25">
      <c r="A1455" t="s">
        <v>2403</v>
      </c>
      <c r="B1455" t="s">
        <v>2055</v>
      </c>
    </row>
    <row r="1456" spans="1:2" x14ac:dyDescent="0.25">
      <c r="A1456" t="s">
        <v>2404</v>
      </c>
      <c r="B1456" t="s">
        <v>2055</v>
      </c>
    </row>
    <row r="1457" spans="1:2" x14ac:dyDescent="0.25">
      <c r="A1457" t="s">
        <v>2405</v>
      </c>
      <c r="B1457" t="s">
        <v>2055</v>
      </c>
    </row>
    <row r="1458" spans="1:2" x14ac:dyDescent="0.25">
      <c r="A1458" t="s">
        <v>2406</v>
      </c>
      <c r="B1458" t="s">
        <v>2055</v>
      </c>
    </row>
    <row r="1459" spans="1:2" x14ac:dyDescent="0.25">
      <c r="A1459" t="s">
        <v>2407</v>
      </c>
      <c r="B1459" t="s">
        <v>2055</v>
      </c>
    </row>
    <row r="1460" spans="1:2" x14ac:dyDescent="0.25">
      <c r="A1460" t="s">
        <v>2408</v>
      </c>
      <c r="B1460" t="s">
        <v>2055</v>
      </c>
    </row>
    <row r="1461" spans="1:2" x14ac:dyDescent="0.25">
      <c r="A1461" t="s">
        <v>2409</v>
      </c>
      <c r="B1461" t="s">
        <v>2055</v>
      </c>
    </row>
    <row r="1462" spans="1:2" x14ac:dyDescent="0.25">
      <c r="A1462" t="s">
        <v>2410</v>
      </c>
      <c r="B1462" t="s">
        <v>2055</v>
      </c>
    </row>
    <row r="1463" spans="1:2" x14ac:dyDescent="0.25">
      <c r="A1463" t="s">
        <v>2411</v>
      </c>
      <c r="B1463" t="s">
        <v>2055</v>
      </c>
    </row>
    <row r="1464" spans="1:2" x14ac:dyDescent="0.25">
      <c r="A1464" t="s">
        <v>2412</v>
      </c>
      <c r="B1464" t="s">
        <v>2055</v>
      </c>
    </row>
    <row r="1465" spans="1:2" x14ac:dyDescent="0.25">
      <c r="A1465" t="s">
        <v>2413</v>
      </c>
      <c r="B1465" t="s">
        <v>2055</v>
      </c>
    </row>
    <row r="1466" spans="1:2" x14ac:dyDescent="0.25">
      <c r="A1466" t="s">
        <v>2414</v>
      </c>
      <c r="B1466" t="s">
        <v>2055</v>
      </c>
    </row>
    <row r="1467" spans="1:2" x14ac:dyDescent="0.25">
      <c r="A1467" t="s">
        <v>2415</v>
      </c>
      <c r="B1467" t="s">
        <v>2055</v>
      </c>
    </row>
    <row r="1468" spans="1:2" x14ac:dyDescent="0.25">
      <c r="A1468" t="s">
        <v>2416</v>
      </c>
      <c r="B1468" t="s">
        <v>2055</v>
      </c>
    </row>
    <row r="1469" spans="1:2" x14ac:dyDescent="0.25">
      <c r="A1469" t="s">
        <v>2417</v>
      </c>
      <c r="B1469" t="s">
        <v>2055</v>
      </c>
    </row>
    <row r="1470" spans="1:2" x14ac:dyDescent="0.25">
      <c r="A1470" t="s">
        <v>2418</v>
      </c>
      <c r="B1470" t="s">
        <v>2055</v>
      </c>
    </row>
    <row r="1471" spans="1:2" x14ac:dyDescent="0.25">
      <c r="A1471" t="s">
        <v>2419</v>
      </c>
      <c r="B1471" t="s">
        <v>2055</v>
      </c>
    </row>
    <row r="1472" spans="1:2" x14ac:dyDescent="0.25">
      <c r="A1472" t="s">
        <v>2420</v>
      </c>
      <c r="B1472" t="s">
        <v>2055</v>
      </c>
    </row>
    <row r="1473" spans="1:2" x14ac:dyDescent="0.25">
      <c r="A1473" t="s">
        <v>2421</v>
      </c>
      <c r="B1473" t="s">
        <v>2055</v>
      </c>
    </row>
    <row r="1474" spans="1:2" x14ac:dyDescent="0.25">
      <c r="A1474" t="s">
        <v>2422</v>
      </c>
      <c r="B1474" t="s">
        <v>2055</v>
      </c>
    </row>
    <row r="1475" spans="1:2" x14ac:dyDescent="0.25">
      <c r="A1475" t="s">
        <v>2423</v>
      </c>
      <c r="B1475" t="s">
        <v>2055</v>
      </c>
    </row>
    <row r="1476" spans="1:2" x14ac:dyDescent="0.25">
      <c r="A1476" t="s">
        <v>2424</v>
      </c>
      <c r="B1476" t="s">
        <v>2055</v>
      </c>
    </row>
    <row r="1477" spans="1:2" x14ac:dyDescent="0.25">
      <c r="A1477" t="s">
        <v>2425</v>
      </c>
      <c r="B1477" t="s">
        <v>2055</v>
      </c>
    </row>
    <row r="1478" spans="1:2" x14ac:dyDescent="0.25">
      <c r="A1478" t="s">
        <v>2426</v>
      </c>
      <c r="B1478" t="s">
        <v>2055</v>
      </c>
    </row>
    <row r="1479" spans="1:2" x14ac:dyDescent="0.25">
      <c r="A1479" t="s">
        <v>2427</v>
      </c>
      <c r="B1479" t="s">
        <v>2055</v>
      </c>
    </row>
    <row r="1480" spans="1:2" x14ac:dyDescent="0.25">
      <c r="A1480" t="s">
        <v>2428</v>
      </c>
      <c r="B1480" t="s">
        <v>2099</v>
      </c>
    </row>
    <row r="1481" spans="1:2" x14ac:dyDescent="0.25">
      <c r="A1481" t="s">
        <v>2429</v>
      </c>
      <c r="B1481" t="s">
        <v>2099</v>
      </c>
    </row>
    <row r="1482" spans="1:2" x14ac:dyDescent="0.25">
      <c r="A1482" t="s">
        <v>2430</v>
      </c>
      <c r="B1482" t="s">
        <v>2099</v>
      </c>
    </row>
    <row r="1483" spans="1:2" x14ac:dyDescent="0.25">
      <c r="A1483" t="s">
        <v>2431</v>
      </c>
      <c r="B1483" t="s">
        <v>2099</v>
      </c>
    </row>
    <row r="1484" spans="1:2" x14ac:dyDescent="0.25">
      <c r="A1484" t="s">
        <v>2432</v>
      </c>
      <c r="B1484" t="s">
        <v>2099</v>
      </c>
    </row>
    <row r="1485" spans="1:2" x14ac:dyDescent="0.25">
      <c r="A1485" t="s">
        <v>2433</v>
      </c>
      <c r="B1485" t="s">
        <v>2099</v>
      </c>
    </row>
    <row r="1486" spans="1:2" x14ac:dyDescent="0.25">
      <c r="A1486" t="s">
        <v>2434</v>
      </c>
      <c r="B1486" t="s">
        <v>2099</v>
      </c>
    </row>
    <row r="1487" spans="1:2" x14ac:dyDescent="0.25">
      <c r="A1487" t="s">
        <v>2435</v>
      </c>
      <c r="B1487" t="s">
        <v>2099</v>
      </c>
    </row>
    <row r="1488" spans="1:2" x14ac:dyDescent="0.25">
      <c r="A1488" t="s">
        <v>2436</v>
      </c>
      <c r="B1488" t="s">
        <v>2099</v>
      </c>
    </row>
    <row r="1489" spans="1:2" x14ac:dyDescent="0.25">
      <c r="A1489" t="s">
        <v>2437</v>
      </c>
      <c r="B1489" t="s">
        <v>2099</v>
      </c>
    </row>
    <row r="1490" spans="1:2" x14ac:dyDescent="0.25">
      <c r="A1490" t="s">
        <v>2438</v>
      </c>
      <c r="B1490" t="s">
        <v>2099</v>
      </c>
    </row>
    <row r="1491" spans="1:2" x14ac:dyDescent="0.25">
      <c r="A1491" t="s">
        <v>2439</v>
      </c>
      <c r="B1491" t="s">
        <v>2099</v>
      </c>
    </row>
    <row r="1492" spans="1:2" x14ac:dyDescent="0.25">
      <c r="A1492" t="s">
        <v>2440</v>
      </c>
      <c r="B1492" t="s">
        <v>2099</v>
      </c>
    </row>
    <row r="1493" spans="1:2" x14ac:dyDescent="0.25">
      <c r="A1493" t="s">
        <v>2441</v>
      </c>
      <c r="B1493" t="s">
        <v>2099</v>
      </c>
    </row>
    <row r="1494" spans="1:2" x14ac:dyDescent="0.25">
      <c r="A1494" t="s">
        <v>2442</v>
      </c>
      <c r="B1494" t="s">
        <v>2099</v>
      </c>
    </row>
    <row r="1495" spans="1:2" x14ac:dyDescent="0.25">
      <c r="A1495" t="s">
        <v>2443</v>
      </c>
      <c r="B1495" t="s">
        <v>2099</v>
      </c>
    </row>
    <row r="1496" spans="1:2" x14ac:dyDescent="0.25">
      <c r="A1496" t="s">
        <v>2444</v>
      </c>
      <c r="B1496" t="s">
        <v>2099</v>
      </c>
    </row>
    <row r="1497" spans="1:2" x14ac:dyDescent="0.25">
      <c r="A1497" t="s">
        <v>2445</v>
      </c>
      <c r="B1497" t="s">
        <v>2099</v>
      </c>
    </row>
    <row r="1498" spans="1:2" x14ac:dyDescent="0.25">
      <c r="A1498" t="s">
        <v>2446</v>
      </c>
      <c r="B1498" t="s">
        <v>2099</v>
      </c>
    </row>
    <row r="1499" spans="1:2" x14ac:dyDescent="0.25">
      <c r="A1499" t="s">
        <v>2447</v>
      </c>
      <c r="B1499" t="s">
        <v>2099</v>
      </c>
    </row>
    <row r="1500" spans="1:2" x14ac:dyDescent="0.25">
      <c r="A1500" t="s">
        <v>2448</v>
      </c>
      <c r="B1500" t="s">
        <v>2099</v>
      </c>
    </row>
    <row r="1501" spans="1:2" x14ac:dyDescent="0.25">
      <c r="A1501" t="s">
        <v>2449</v>
      </c>
      <c r="B1501" t="s">
        <v>2099</v>
      </c>
    </row>
    <row r="1502" spans="1:2" x14ac:dyDescent="0.25">
      <c r="A1502" t="s">
        <v>2450</v>
      </c>
      <c r="B1502" t="s">
        <v>2099</v>
      </c>
    </row>
    <row r="1503" spans="1:2" x14ac:dyDescent="0.25">
      <c r="A1503" t="s">
        <v>2451</v>
      </c>
      <c r="B1503" t="s">
        <v>2099</v>
      </c>
    </row>
    <row r="1504" spans="1:2" x14ac:dyDescent="0.25">
      <c r="A1504" t="s">
        <v>2452</v>
      </c>
      <c r="B1504" t="s">
        <v>2099</v>
      </c>
    </row>
    <row r="1505" spans="1:2" x14ac:dyDescent="0.25">
      <c r="A1505" t="s">
        <v>2453</v>
      </c>
      <c r="B1505" t="s">
        <v>2055</v>
      </c>
    </row>
    <row r="1506" spans="1:2" x14ac:dyDescent="0.25">
      <c r="A1506" t="s">
        <v>2454</v>
      </c>
      <c r="B1506" t="s">
        <v>2055</v>
      </c>
    </row>
    <row r="1507" spans="1:2" x14ac:dyDescent="0.25">
      <c r="A1507" t="s">
        <v>2455</v>
      </c>
      <c r="B1507" t="s">
        <v>2055</v>
      </c>
    </row>
    <row r="1508" spans="1:2" x14ac:dyDescent="0.25">
      <c r="A1508" t="s">
        <v>2456</v>
      </c>
      <c r="B1508" t="s">
        <v>2055</v>
      </c>
    </row>
    <row r="1509" spans="1:2" x14ac:dyDescent="0.25">
      <c r="A1509" t="s">
        <v>2457</v>
      </c>
      <c r="B1509" t="s">
        <v>2055</v>
      </c>
    </row>
    <row r="1510" spans="1:2" x14ac:dyDescent="0.25">
      <c r="A1510" t="s">
        <v>2458</v>
      </c>
      <c r="B1510" t="s">
        <v>2055</v>
      </c>
    </row>
    <row r="1511" spans="1:2" x14ac:dyDescent="0.25">
      <c r="A1511" t="s">
        <v>2459</v>
      </c>
      <c r="B1511" t="s">
        <v>2055</v>
      </c>
    </row>
    <row r="1512" spans="1:2" x14ac:dyDescent="0.25">
      <c r="A1512" t="s">
        <v>2460</v>
      </c>
      <c r="B1512" t="s">
        <v>2055</v>
      </c>
    </row>
    <row r="1513" spans="1:2" x14ac:dyDescent="0.25">
      <c r="A1513" t="s">
        <v>2461</v>
      </c>
      <c r="B1513" t="s">
        <v>2055</v>
      </c>
    </row>
    <row r="1514" spans="1:2" x14ac:dyDescent="0.25">
      <c r="A1514" t="s">
        <v>2462</v>
      </c>
      <c r="B1514" t="s">
        <v>2055</v>
      </c>
    </row>
    <row r="1515" spans="1:2" x14ac:dyDescent="0.25">
      <c r="A1515" t="s">
        <v>2463</v>
      </c>
      <c r="B1515" t="s">
        <v>2055</v>
      </c>
    </row>
    <row r="1516" spans="1:2" x14ac:dyDescent="0.25">
      <c r="A1516" t="s">
        <v>2464</v>
      </c>
      <c r="B1516" t="s">
        <v>2055</v>
      </c>
    </row>
    <row r="1517" spans="1:2" x14ac:dyDescent="0.25">
      <c r="A1517" t="s">
        <v>2465</v>
      </c>
      <c r="B1517" t="s">
        <v>2055</v>
      </c>
    </row>
    <row r="1518" spans="1:2" x14ac:dyDescent="0.25">
      <c r="A1518" t="s">
        <v>2466</v>
      </c>
      <c r="B1518" t="s">
        <v>2055</v>
      </c>
    </row>
    <row r="1519" spans="1:2" x14ac:dyDescent="0.25">
      <c r="A1519" t="s">
        <v>2467</v>
      </c>
      <c r="B1519" t="s">
        <v>2055</v>
      </c>
    </row>
    <row r="1520" spans="1:2" x14ac:dyDescent="0.25">
      <c r="A1520" t="s">
        <v>2468</v>
      </c>
      <c r="B1520" t="s">
        <v>2055</v>
      </c>
    </row>
    <row r="1521" spans="1:2" x14ac:dyDescent="0.25">
      <c r="A1521" t="s">
        <v>2469</v>
      </c>
      <c r="B1521" t="s">
        <v>2055</v>
      </c>
    </row>
    <row r="1522" spans="1:2" x14ac:dyDescent="0.25">
      <c r="A1522" t="s">
        <v>2470</v>
      </c>
      <c r="B1522" t="s">
        <v>2055</v>
      </c>
    </row>
    <row r="1523" spans="1:2" x14ac:dyDescent="0.25">
      <c r="A1523" t="s">
        <v>2471</v>
      </c>
      <c r="B1523" t="s">
        <v>2055</v>
      </c>
    </row>
    <row r="1524" spans="1:2" x14ac:dyDescent="0.25">
      <c r="A1524" t="s">
        <v>2472</v>
      </c>
      <c r="B1524" t="s">
        <v>2055</v>
      </c>
    </row>
    <row r="1525" spans="1:2" x14ac:dyDescent="0.25">
      <c r="A1525" t="s">
        <v>2473</v>
      </c>
      <c r="B1525" t="s">
        <v>2055</v>
      </c>
    </row>
    <row r="1526" spans="1:2" x14ac:dyDescent="0.25">
      <c r="A1526" t="s">
        <v>2474</v>
      </c>
      <c r="B1526" t="s">
        <v>2055</v>
      </c>
    </row>
    <row r="1527" spans="1:2" x14ac:dyDescent="0.25">
      <c r="A1527" t="s">
        <v>2475</v>
      </c>
      <c r="B1527" t="s">
        <v>2055</v>
      </c>
    </row>
    <row r="1528" spans="1:2" x14ac:dyDescent="0.25">
      <c r="A1528" t="s">
        <v>2476</v>
      </c>
      <c r="B1528" t="s">
        <v>2055</v>
      </c>
    </row>
    <row r="1529" spans="1:2" x14ac:dyDescent="0.25">
      <c r="A1529" t="s">
        <v>2477</v>
      </c>
      <c r="B1529" t="s">
        <v>2055</v>
      </c>
    </row>
    <row r="1530" spans="1:2" x14ac:dyDescent="0.25">
      <c r="A1530" t="s">
        <v>2478</v>
      </c>
      <c r="B1530" t="s">
        <v>2055</v>
      </c>
    </row>
    <row r="1531" spans="1:2" x14ac:dyDescent="0.25">
      <c r="A1531" t="s">
        <v>2479</v>
      </c>
      <c r="B1531" t="s">
        <v>2055</v>
      </c>
    </row>
    <row r="1532" spans="1:2" x14ac:dyDescent="0.25">
      <c r="A1532" t="s">
        <v>2480</v>
      </c>
      <c r="B1532" t="s">
        <v>2055</v>
      </c>
    </row>
    <row r="1533" spans="1:2" x14ac:dyDescent="0.25">
      <c r="A1533" t="s">
        <v>2481</v>
      </c>
      <c r="B1533" t="s">
        <v>2055</v>
      </c>
    </row>
    <row r="1534" spans="1:2" x14ac:dyDescent="0.25">
      <c r="A1534" t="s">
        <v>2482</v>
      </c>
      <c r="B1534" t="s">
        <v>2099</v>
      </c>
    </row>
    <row r="1535" spans="1:2" x14ac:dyDescent="0.25">
      <c r="A1535" t="s">
        <v>2483</v>
      </c>
      <c r="B1535" t="s">
        <v>2099</v>
      </c>
    </row>
    <row r="1536" spans="1:2" x14ac:dyDescent="0.25">
      <c r="A1536" t="s">
        <v>2484</v>
      </c>
      <c r="B1536" t="s">
        <v>2099</v>
      </c>
    </row>
    <row r="1537" spans="1:2" x14ac:dyDescent="0.25">
      <c r="A1537" t="s">
        <v>2485</v>
      </c>
      <c r="B1537" t="s">
        <v>2099</v>
      </c>
    </row>
    <row r="1538" spans="1:2" x14ac:dyDescent="0.25">
      <c r="A1538" t="s">
        <v>2486</v>
      </c>
      <c r="B1538" t="s">
        <v>2099</v>
      </c>
    </row>
    <row r="1539" spans="1:2" x14ac:dyDescent="0.25">
      <c r="A1539" t="s">
        <v>2487</v>
      </c>
      <c r="B1539" t="s">
        <v>2055</v>
      </c>
    </row>
    <row r="1540" spans="1:2" x14ac:dyDescent="0.25">
      <c r="A1540" t="s">
        <v>2488</v>
      </c>
      <c r="B1540" t="s">
        <v>2055</v>
      </c>
    </row>
    <row r="1541" spans="1:2" x14ac:dyDescent="0.25">
      <c r="A1541" t="s">
        <v>2489</v>
      </c>
      <c r="B1541" t="s">
        <v>2055</v>
      </c>
    </row>
    <row r="1542" spans="1:2" x14ac:dyDescent="0.25">
      <c r="A1542" t="s">
        <v>2490</v>
      </c>
      <c r="B1542" t="s">
        <v>2055</v>
      </c>
    </row>
    <row r="1543" spans="1:2" x14ac:dyDescent="0.25">
      <c r="A1543" t="s">
        <v>2491</v>
      </c>
      <c r="B1543" t="s">
        <v>2055</v>
      </c>
    </row>
    <row r="1544" spans="1:2" x14ac:dyDescent="0.25">
      <c r="A1544" t="s">
        <v>2492</v>
      </c>
      <c r="B1544" t="s">
        <v>2055</v>
      </c>
    </row>
    <row r="1545" spans="1:2" x14ac:dyDescent="0.25">
      <c r="A1545" t="s">
        <v>2493</v>
      </c>
      <c r="B1545" t="s">
        <v>2055</v>
      </c>
    </row>
    <row r="1546" spans="1:2" x14ac:dyDescent="0.25">
      <c r="A1546" t="s">
        <v>2494</v>
      </c>
      <c r="B1546" t="s">
        <v>2055</v>
      </c>
    </row>
    <row r="1547" spans="1:2" x14ac:dyDescent="0.25">
      <c r="A1547" t="s">
        <v>2495</v>
      </c>
      <c r="B1547" t="s">
        <v>2055</v>
      </c>
    </row>
    <row r="1548" spans="1:2" x14ac:dyDescent="0.25">
      <c r="A1548" t="s">
        <v>2496</v>
      </c>
      <c r="B1548" t="s">
        <v>2055</v>
      </c>
    </row>
    <row r="1549" spans="1:2" x14ac:dyDescent="0.25">
      <c r="A1549" t="s">
        <v>2497</v>
      </c>
      <c r="B1549" t="s">
        <v>2055</v>
      </c>
    </row>
    <row r="1550" spans="1:2" x14ac:dyDescent="0.25">
      <c r="A1550" t="s">
        <v>2498</v>
      </c>
      <c r="B1550" t="s">
        <v>2055</v>
      </c>
    </row>
    <row r="1551" spans="1:2" x14ac:dyDescent="0.25">
      <c r="A1551" t="s">
        <v>2499</v>
      </c>
      <c r="B1551" t="s">
        <v>2055</v>
      </c>
    </row>
    <row r="1552" spans="1:2" x14ac:dyDescent="0.25">
      <c r="A1552" t="s">
        <v>2500</v>
      </c>
      <c r="B1552" t="s">
        <v>2055</v>
      </c>
    </row>
    <row r="1553" spans="1:2" x14ac:dyDescent="0.25">
      <c r="A1553" t="s">
        <v>2501</v>
      </c>
      <c r="B1553" t="s">
        <v>2055</v>
      </c>
    </row>
    <row r="1554" spans="1:2" x14ac:dyDescent="0.25">
      <c r="A1554" t="s">
        <v>2502</v>
      </c>
      <c r="B1554" t="s">
        <v>2055</v>
      </c>
    </row>
    <row r="1555" spans="1:2" x14ac:dyDescent="0.25">
      <c r="A1555" t="s">
        <v>2503</v>
      </c>
      <c r="B1555" t="s">
        <v>2055</v>
      </c>
    </row>
    <row r="1556" spans="1:2" x14ac:dyDescent="0.25">
      <c r="A1556" t="s">
        <v>2504</v>
      </c>
      <c r="B1556" t="s">
        <v>2055</v>
      </c>
    </row>
    <row r="1557" spans="1:2" x14ac:dyDescent="0.25">
      <c r="A1557" t="s">
        <v>2505</v>
      </c>
      <c r="B1557" t="s">
        <v>2055</v>
      </c>
    </row>
    <row r="1558" spans="1:2" x14ac:dyDescent="0.25">
      <c r="A1558" t="s">
        <v>2506</v>
      </c>
      <c r="B1558" t="s">
        <v>2055</v>
      </c>
    </row>
    <row r="1559" spans="1:2" x14ac:dyDescent="0.25">
      <c r="A1559" t="s">
        <v>2507</v>
      </c>
      <c r="B1559" t="s">
        <v>2055</v>
      </c>
    </row>
    <row r="1560" spans="1:2" x14ac:dyDescent="0.25">
      <c r="A1560" t="s">
        <v>2508</v>
      </c>
      <c r="B1560" t="s">
        <v>2055</v>
      </c>
    </row>
    <row r="1561" spans="1:2" x14ac:dyDescent="0.25">
      <c r="A1561" t="s">
        <v>2509</v>
      </c>
      <c r="B1561" t="s">
        <v>2055</v>
      </c>
    </row>
    <row r="1562" spans="1:2" x14ac:dyDescent="0.25">
      <c r="A1562" t="s">
        <v>2510</v>
      </c>
      <c r="B1562" t="s">
        <v>2055</v>
      </c>
    </row>
    <row r="1563" spans="1:2" x14ac:dyDescent="0.25">
      <c r="A1563" t="s">
        <v>2511</v>
      </c>
      <c r="B1563" t="s">
        <v>2079</v>
      </c>
    </row>
    <row r="1564" spans="1:2" x14ac:dyDescent="0.25">
      <c r="A1564" t="s">
        <v>2512</v>
      </c>
      <c r="B1564" t="s">
        <v>2079</v>
      </c>
    </row>
    <row r="1565" spans="1:2" x14ac:dyDescent="0.25">
      <c r="A1565" t="s">
        <v>2513</v>
      </c>
      <c r="B1565" t="s">
        <v>2079</v>
      </c>
    </row>
    <row r="1566" spans="1:2" x14ac:dyDescent="0.25">
      <c r="A1566" t="s">
        <v>2514</v>
      </c>
      <c r="B1566" t="s">
        <v>2079</v>
      </c>
    </row>
    <row r="1567" spans="1:2" x14ac:dyDescent="0.25">
      <c r="A1567" t="s">
        <v>2515</v>
      </c>
      <c r="B1567" t="s">
        <v>2079</v>
      </c>
    </row>
    <row r="1568" spans="1:2" x14ac:dyDescent="0.25">
      <c r="A1568" t="s">
        <v>2516</v>
      </c>
      <c r="B1568" t="s">
        <v>2079</v>
      </c>
    </row>
    <row r="1569" spans="1:2" x14ac:dyDescent="0.25">
      <c r="A1569" t="s">
        <v>2517</v>
      </c>
      <c r="B1569" t="s">
        <v>2079</v>
      </c>
    </row>
    <row r="1570" spans="1:2" x14ac:dyDescent="0.25">
      <c r="A1570" t="s">
        <v>2518</v>
      </c>
      <c r="B1570" t="s">
        <v>2079</v>
      </c>
    </row>
    <row r="1571" spans="1:2" x14ac:dyDescent="0.25">
      <c r="A1571" t="s">
        <v>2519</v>
      </c>
      <c r="B1571" t="s">
        <v>2099</v>
      </c>
    </row>
    <row r="1572" spans="1:2" x14ac:dyDescent="0.25">
      <c r="A1572" t="s">
        <v>2520</v>
      </c>
      <c r="B1572" t="s">
        <v>2099</v>
      </c>
    </row>
    <row r="1573" spans="1:2" x14ac:dyDescent="0.25">
      <c r="A1573" t="s">
        <v>2521</v>
      </c>
      <c r="B1573" t="s">
        <v>2099</v>
      </c>
    </row>
    <row r="1574" spans="1:2" x14ac:dyDescent="0.25">
      <c r="A1574" t="s">
        <v>2522</v>
      </c>
      <c r="B1574" t="s">
        <v>2099</v>
      </c>
    </row>
    <row r="1575" spans="1:2" x14ac:dyDescent="0.25">
      <c r="A1575" t="s">
        <v>2523</v>
      </c>
      <c r="B1575" t="s">
        <v>2099</v>
      </c>
    </row>
    <row r="1576" spans="1:2" x14ac:dyDescent="0.25">
      <c r="A1576" t="s">
        <v>2524</v>
      </c>
      <c r="B1576" t="s">
        <v>2099</v>
      </c>
    </row>
    <row r="1577" spans="1:2" x14ac:dyDescent="0.25">
      <c r="A1577" t="s">
        <v>2525</v>
      </c>
      <c r="B1577" t="s">
        <v>2099</v>
      </c>
    </row>
    <row r="1578" spans="1:2" x14ac:dyDescent="0.25">
      <c r="A1578" t="s">
        <v>2526</v>
      </c>
      <c r="B1578" t="s">
        <v>2099</v>
      </c>
    </row>
    <row r="1579" spans="1:2" x14ac:dyDescent="0.25">
      <c r="A1579" t="s">
        <v>2527</v>
      </c>
      <c r="B1579" t="s">
        <v>2099</v>
      </c>
    </row>
    <row r="1580" spans="1:2" x14ac:dyDescent="0.25">
      <c r="A1580" t="s">
        <v>2528</v>
      </c>
      <c r="B1580" t="s">
        <v>2099</v>
      </c>
    </row>
    <row r="1581" spans="1:2" x14ac:dyDescent="0.25">
      <c r="A1581" t="s">
        <v>2529</v>
      </c>
      <c r="B1581" t="s">
        <v>2099</v>
      </c>
    </row>
    <row r="1582" spans="1:2" x14ac:dyDescent="0.25">
      <c r="A1582" t="s">
        <v>2530</v>
      </c>
      <c r="B1582" t="s">
        <v>2099</v>
      </c>
    </row>
    <row r="1583" spans="1:2" x14ac:dyDescent="0.25">
      <c r="A1583" t="s">
        <v>2531</v>
      </c>
      <c r="B1583" t="s">
        <v>2099</v>
      </c>
    </row>
    <row r="1584" spans="1:2" x14ac:dyDescent="0.25">
      <c r="A1584" t="s">
        <v>2532</v>
      </c>
      <c r="B1584" t="s">
        <v>2099</v>
      </c>
    </row>
    <row r="1585" spans="1:2" x14ac:dyDescent="0.25">
      <c r="A1585" t="s">
        <v>2533</v>
      </c>
      <c r="B1585" t="s">
        <v>2099</v>
      </c>
    </row>
    <row r="1586" spans="1:2" x14ac:dyDescent="0.25">
      <c r="A1586" t="s">
        <v>2534</v>
      </c>
      <c r="B1586" t="s">
        <v>2099</v>
      </c>
    </row>
    <row r="1587" spans="1:2" x14ac:dyDescent="0.25">
      <c r="A1587" t="s">
        <v>2535</v>
      </c>
      <c r="B1587" t="s">
        <v>2099</v>
      </c>
    </row>
    <row r="1588" spans="1:2" x14ac:dyDescent="0.25">
      <c r="A1588" t="s">
        <v>2536</v>
      </c>
      <c r="B1588" t="s">
        <v>2099</v>
      </c>
    </row>
    <row r="1589" spans="1:2" x14ac:dyDescent="0.25">
      <c r="A1589" t="s">
        <v>2537</v>
      </c>
      <c r="B1589" t="s">
        <v>2079</v>
      </c>
    </row>
    <row r="1590" spans="1:2" x14ac:dyDescent="0.25">
      <c r="A1590" t="s">
        <v>2538</v>
      </c>
      <c r="B1590" t="s">
        <v>2079</v>
      </c>
    </row>
    <row r="1591" spans="1:2" x14ac:dyDescent="0.25">
      <c r="A1591" t="s">
        <v>2539</v>
      </c>
      <c r="B1591" t="s">
        <v>2079</v>
      </c>
    </row>
    <row r="1592" spans="1:2" x14ac:dyDescent="0.25">
      <c r="A1592" t="s">
        <v>2540</v>
      </c>
      <c r="B1592" t="s">
        <v>2079</v>
      </c>
    </row>
    <row r="1593" spans="1:2" x14ac:dyDescent="0.25">
      <c r="A1593" t="s">
        <v>2541</v>
      </c>
      <c r="B1593" t="s">
        <v>2079</v>
      </c>
    </row>
    <row r="1594" spans="1:2" x14ac:dyDescent="0.25">
      <c r="A1594" t="s">
        <v>2542</v>
      </c>
      <c r="B1594" t="s">
        <v>2079</v>
      </c>
    </row>
    <row r="1595" spans="1:2" x14ac:dyDescent="0.25">
      <c r="A1595" t="s">
        <v>2543</v>
      </c>
      <c r="B1595" t="s">
        <v>2055</v>
      </c>
    </row>
    <row r="1596" spans="1:2" x14ac:dyDescent="0.25">
      <c r="A1596" t="s">
        <v>2544</v>
      </c>
      <c r="B1596" t="s">
        <v>2055</v>
      </c>
    </row>
    <row r="1597" spans="1:2" x14ac:dyDescent="0.25">
      <c r="A1597" t="s">
        <v>2545</v>
      </c>
      <c r="B1597" t="s">
        <v>2055</v>
      </c>
    </row>
    <row r="1598" spans="1:2" x14ac:dyDescent="0.25">
      <c r="A1598" t="s">
        <v>2546</v>
      </c>
      <c r="B1598" t="s">
        <v>2055</v>
      </c>
    </row>
    <row r="1599" spans="1:2" x14ac:dyDescent="0.25">
      <c r="A1599" t="s">
        <v>2547</v>
      </c>
      <c r="B1599" t="s">
        <v>2055</v>
      </c>
    </row>
    <row r="1600" spans="1:2" x14ac:dyDescent="0.25">
      <c r="A1600" t="s">
        <v>2548</v>
      </c>
      <c r="B1600" t="s">
        <v>2055</v>
      </c>
    </row>
    <row r="1601" spans="1:2" x14ac:dyDescent="0.25">
      <c r="A1601" t="s">
        <v>2549</v>
      </c>
      <c r="B1601" t="s">
        <v>2055</v>
      </c>
    </row>
    <row r="1602" spans="1:2" x14ac:dyDescent="0.25">
      <c r="A1602" t="s">
        <v>2550</v>
      </c>
      <c r="B1602" t="s">
        <v>2055</v>
      </c>
    </row>
    <row r="1603" spans="1:2" x14ac:dyDescent="0.25">
      <c r="A1603" t="s">
        <v>2551</v>
      </c>
      <c r="B1603" t="s">
        <v>2055</v>
      </c>
    </row>
    <row r="1604" spans="1:2" x14ac:dyDescent="0.25">
      <c r="A1604" t="s">
        <v>2552</v>
      </c>
      <c r="B1604" t="s">
        <v>2055</v>
      </c>
    </row>
    <row r="1605" spans="1:2" x14ac:dyDescent="0.25">
      <c r="A1605" t="s">
        <v>2553</v>
      </c>
      <c r="B1605" t="s">
        <v>2055</v>
      </c>
    </row>
    <row r="1606" spans="1:2" x14ac:dyDescent="0.25">
      <c r="A1606" t="s">
        <v>2554</v>
      </c>
      <c r="B1606" t="s">
        <v>2055</v>
      </c>
    </row>
    <row r="1607" spans="1:2" x14ac:dyDescent="0.25">
      <c r="A1607" t="s">
        <v>2555</v>
      </c>
      <c r="B1607" t="s">
        <v>2556</v>
      </c>
    </row>
    <row r="1608" spans="1:2" x14ac:dyDescent="0.25">
      <c r="A1608" t="s">
        <v>2557</v>
      </c>
      <c r="B1608" t="s">
        <v>2556</v>
      </c>
    </row>
    <row r="1609" spans="1:2" x14ac:dyDescent="0.25">
      <c r="A1609" t="s">
        <v>2558</v>
      </c>
      <c r="B1609" t="s">
        <v>2556</v>
      </c>
    </row>
    <row r="1610" spans="1:2" x14ac:dyDescent="0.25">
      <c r="A1610" t="s">
        <v>2559</v>
      </c>
      <c r="B1610" t="s">
        <v>2556</v>
      </c>
    </row>
    <row r="1611" spans="1:2" x14ac:dyDescent="0.25">
      <c r="A1611" t="s">
        <v>2560</v>
      </c>
      <c r="B1611" t="s">
        <v>2556</v>
      </c>
    </row>
    <row r="1612" spans="1:2" x14ac:dyDescent="0.25">
      <c r="A1612" t="s">
        <v>2561</v>
      </c>
      <c r="B1612" t="s">
        <v>2556</v>
      </c>
    </row>
    <row r="1613" spans="1:2" x14ac:dyDescent="0.25">
      <c r="A1613" t="s">
        <v>2562</v>
      </c>
      <c r="B1613" t="s">
        <v>2556</v>
      </c>
    </row>
    <row r="1614" spans="1:2" x14ac:dyDescent="0.25">
      <c r="A1614" t="s">
        <v>2563</v>
      </c>
      <c r="B1614" t="s">
        <v>2556</v>
      </c>
    </row>
    <row r="1615" spans="1:2" x14ac:dyDescent="0.25">
      <c r="A1615" t="s">
        <v>2564</v>
      </c>
      <c r="B1615" t="s">
        <v>2556</v>
      </c>
    </row>
    <row r="1616" spans="1:2" x14ac:dyDescent="0.25">
      <c r="A1616" t="s">
        <v>2565</v>
      </c>
      <c r="B1616" t="s">
        <v>2556</v>
      </c>
    </row>
    <row r="1617" spans="1:2" x14ac:dyDescent="0.25">
      <c r="A1617" t="s">
        <v>2566</v>
      </c>
      <c r="B1617" t="s">
        <v>2556</v>
      </c>
    </row>
    <row r="1618" spans="1:2" x14ac:dyDescent="0.25">
      <c r="A1618" t="s">
        <v>2567</v>
      </c>
      <c r="B1618" t="s">
        <v>2556</v>
      </c>
    </row>
    <row r="1619" spans="1:2" x14ac:dyDescent="0.25">
      <c r="A1619" t="s">
        <v>2568</v>
      </c>
      <c r="B1619" t="s">
        <v>2556</v>
      </c>
    </row>
    <row r="1620" spans="1:2" x14ac:dyDescent="0.25">
      <c r="A1620" t="s">
        <v>2569</v>
      </c>
      <c r="B1620" t="s">
        <v>2556</v>
      </c>
    </row>
    <row r="1621" spans="1:2" x14ac:dyDescent="0.25">
      <c r="A1621" t="s">
        <v>2570</v>
      </c>
      <c r="B1621" t="s">
        <v>2556</v>
      </c>
    </row>
    <row r="1622" spans="1:2" x14ac:dyDescent="0.25">
      <c r="A1622" t="s">
        <v>2571</v>
      </c>
      <c r="B1622" t="s">
        <v>2556</v>
      </c>
    </row>
    <row r="1623" spans="1:2" x14ac:dyDescent="0.25">
      <c r="A1623" t="s">
        <v>2572</v>
      </c>
      <c r="B1623" t="s">
        <v>2055</v>
      </c>
    </row>
    <row r="1624" spans="1:2" x14ac:dyDescent="0.25">
      <c r="A1624" t="s">
        <v>2573</v>
      </c>
      <c r="B1624" t="s">
        <v>2055</v>
      </c>
    </row>
    <row r="1625" spans="1:2" x14ac:dyDescent="0.25">
      <c r="A1625" t="s">
        <v>2574</v>
      </c>
      <c r="B1625" t="s">
        <v>2055</v>
      </c>
    </row>
    <row r="1626" spans="1:2" x14ac:dyDescent="0.25">
      <c r="A1626" t="s">
        <v>2575</v>
      </c>
      <c r="B1626" t="s">
        <v>2055</v>
      </c>
    </row>
    <row r="1627" spans="1:2" x14ac:dyDescent="0.25">
      <c r="A1627" t="s">
        <v>2576</v>
      </c>
      <c r="B1627" t="s">
        <v>2055</v>
      </c>
    </row>
    <row r="1628" spans="1:2" x14ac:dyDescent="0.25">
      <c r="A1628" t="s">
        <v>2577</v>
      </c>
      <c r="B1628" t="s">
        <v>2556</v>
      </c>
    </row>
    <row r="1629" spans="1:2" x14ac:dyDescent="0.25">
      <c r="A1629" t="s">
        <v>2578</v>
      </c>
      <c r="B1629" t="s">
        <v>2556</v>
      </c>
    </row>
    <row r="1630" spans="1:2" x14ac:dyDescent="0.25">
      <c r="A1630" t="s">
        <v>2579</v>
      </c>
      <c r="B1630" t="s">
        <v>2556</v>
      </c>
    </row>
    <row r="1631" spans="1:2" x14ac:dyDescent="0.25">
      <c r="A1631" t="s">
        <v>2580</v>
      </c>
      <c r="B1631" t="s">
        <v>2556</v>
      </c>
    </row>
    <row r="1632" spans="1:2" x14ac:dyDescent="0.25">
      <c r="A1632" t="s">
        <v>2581</v>
      </c>
      <c r="B1632" t="s">
        <v>2556</v>
      </c>
    </row>
    <row r="1633" spans="1:2" x14ac:dyDescent="0.25">
      <c r="A1633" t="s">
        <v>2582</v>
      </c>
      <c r="B1633" t="s">
        <v>2556</v>
      </c>
    </row>
    <row r="1634" spans="1:2" x14ac:dyDescent="0.25">
      <c r="A1634" t="s">
        <v>2583</v>
      </c>
      <c r="B1634" t="s">
        <v>2556</v>
      </c>
    </row>
    <row r="1635" spans="1:2" x14ac:dyDescent="0.25">
      <c r="A1635" t="s">
        <v>2584</v>
      </c>
      <c r="B1635" t="s">
        <v>2556</v>
      </c>
    </row>
    <row r="1636" spans="1:2" x14ac:dyDescent="0.25">
      <c r="A1636" t="s">
        <v>2585</v>
      </c>
      <c r="B1636" t="s">
        <v>2556</v>
      </c>
    </row>
    <row r="1637" spans="1:2" x14ac:dyDescent="0.25">
      <c r="A1637" t="s">
        <v>2586</v>
      </c>
      <c r="B1637" t="s">
        <v>2556</v>
      </c>
    </row>
    <row r="1638" spans="1:2" x14ac:dyDescent="0.25">
      <c r="A1638" t="s">
        <v>2587</v>
      </c>
      <c r="B1638" t="s">
        <v>2556</v>
      </c>
    </row>
    <row r="1639" spans="1:2" x14ac:dyDescent="0.25">
      <c r="A1639" t="s">
        <v>2588</v>
      </c>
      <c r="B1639" t="s">
        <v>2556</v>
      </c>
    </row>
    <row r="1640" spans="1:2" x14ac:dyDescent="0.25">
      <c r="A1640" t="s">
        <v>2589</v>
      </c>
      <c r="B1640" t="s">
        <v>2556</v>
      </c>
    </row>
    <row r="1641" spans="1:2" x14ac:dyDescent="0.25">
      <c r="A1641" t="s">
        <v>2590</v>
      </c>
      <c r="B1641" t="s">
        <v>2556</v>
      </c>
    </row>
    <row r="1642" spans="1:2" x14ac:dyDescent="0.25">
      <c r="A1642" t="s">
        <v>2591</v>
      </c>
      <c r="B1642" t="s">
        <v>2556</v>
      </c>
    </row>
    <row r="1643" spans="1:2" x14ac:dyDescent="0.25">
      <c r="A1643" t="s">
        <v>2592</v>
      </c>
      <c r="B1643" t="s">
        <v>2556</v>
      </c>
    </row>
    <row r="1644" spans="1:2" x14ac:dyDescent="0.25">
      <c r="A1644" t="s">
        <v>2593</v>
      </c>
      <c r="B1644" t="s">
        <v>2556</v>
      </c>
    </row>
    <row r="1645" spans="1:2" x14ac:dyDescent="0.25">
      <c r="A1645" t="s">
        <v>2594</v>
      </c>
      <c r="B1645" t="s">
        <v>2556</v>
      </c>
    </row>
    <row r="1646" spans="1:2" x14ac:dyDescent="0.25">
      <c r="A1646" t="s">
        <v>2595</v>
      </c>
      <c r="B1646" t="s">
        <v>2556</v>
      </c>
    </row>
    <row r="1647" spans="1:2" x14ac:dyDescent="0.25">
      <c r="A1647" t="s">
        <v>2596</v>
      </c>
      <c r="B1647" t="s">
        <v>2556</v>
      </c>
    </row>
    <row r="1648" spans="1:2" x14ac:dyDescent="0.25">
      <c r="A1648" t="s">
        <v>2597</v>
      </c>
      <c r="B1648" t="s">
        <v>2556</v>
      </c>
    </row>
    <row r="1649" spans="1:2" x14ac:dyDescent="0.25">
      <c r="A1649" t="s">
        <v>2598</v>
      </c>
      <c r="B1649" t="s">
        <v>2556</v>
      </c>
    </row>
    <row r="1650" spans="1:2" x14ac:dyDescent="0.25">
      <c r="A1650" t="s">
        <v>2599</v>
      </c>
      <c r="B1650" t="s">
        <v>2556</v>
      </c>
    </row>
    <row r="1651" spans="1:2" x14ac:dyDescent="0.25">
      <c r="A1651" t="s">
        <v>2600</v>
      </c>
      <c r="B1651" t="s">
        <v>2556</v>
      </c>
    </row>
    <row r="1652" spans="1:2" x14ac:dyDescent="0.25">
      <c r="A1652" t="s">
        <v>2601</v>
      </c>
      <c r="B1652" t="s">
        <v>2055</v>
      </c>
    </row>
    <row r="1653" spans="1:2" x14ac:dyDescent="0.25">
      <c r="A1653" t="s">
        <v>2602</v>
      </c>
      <c r="B1653" t="s">
        <v>2055</v>
      </c>
    </row>
    <row r="1654" spans="1:2" x14ac:dyDescent="0.25">
      <c r="A1654" t="s">
        <v>2603</v>
      </c>
      <c r="B1654" t="s">
        <v>2055</v>
      </c>
    </row>
    <row r="1655" spans="1:2" x14ac:dyDescent="0.25">
      <c r="A1655" t="s">
        <v>2604</v>
      </c>
      <c r="B1655" t="s">
        <v>2055</v>
      </c>
    </row>
    <row r="1656" spans="1:2" x14ac:dyDescent="0.25">
      <c r="A1656" t="s">
        <v>2605</v>
      </c>
      <c r="B1656" t="s">
        <v>2055</v>
      </c>
    </row>
    <row r="1657" spans="1:2" x14ac:dyDescent="0.25">
      <c r="A1657" t="s">
        <v>2606</v>
      </c>
      <c r="B1657" t="s">
        <v>2055</v>
      </c>
    </row>
    <row r="1658" spans="1:2" x14ac:dyDescent="0.25">
      <c r="A1658" t="s">
        <v>2607</v>
      </c>
      <c r="B1658" t="s">
        <v>2055</v>
      </c>
    </row>
    <row r="1659" spans="1:2" x14ac:dyDescent="0.25">
      <c r="A1659" t="s">
        <v>2608</v>
      </c>
      <c r="B1659" t="s">
        <v>2055</v>
      </c>
    </row>
    <row r="1660" spans="1:2" x14ac:dyDescent="0.25">
      <c r="A1660" t="s">
        <v>2609</v>
      </c>
      <c r="B1660" t="s">
        <v>2055</v>
      </c>
    </row>
    <row r="1661" spans="1:2" x14ac:dyDescent="0.25">
      <c r="A1661" t="s">
        <v>2610</v>
      </c>
      <c r="B1661" t="s">
        <v>2055</v>
      </c>
    </row>
    <row r="1662" spans="1:2" x14ac:dyDescent="0.25">
      <c r="A1662" t="s">
        <v>2611</v>
      </c>
      <c r="B1662" t="s">
        <v>2086</v>
      </c>
    </row>
    <row r="1663" spans="1:2" x14ac:dyDescent="0.25">
      <c r="A1663" t="s">
        <v>2612</v>
      </c>
      <c r="B1663" t="s">
        <v>2086</v>
      </c>
    </row>
    <row r="1664" spans="1:2" x14ac:dyDescent="0.25">
      <c r="A1664" t="s">
        <v>2613</v>
      </c>
      <c r="B1664" t="s">
        <v>2086</v>
      </c>
    </row>
    <row r="1665" spans="1:2" x14ac:dyDescent="0.25">
      <c r="A1665" t="s">
        <v>2614</v>
      </c>
      <c r="B1665" t="s">
        <v>2086</v>
      </c>
    </row>
    <row r="1666" spans="1:2" x14ac:dyDescent="0.25">
      <c r="A1666" t="s">
        <v>2615</v>
      </c>
      <c r="B1666" t="s">
        <v>2086</v>
      </c>
    </row>
    <row r="1667" spans="1:2" x14ac:dyDescent="0.25">
      <c r="A1667" t="s">
        <v>2616</v>
      </c>
      <c r="B1667" t="s">
        <v>2086</v>
      </c>
    </row>
    <row r="1668" spans="1:2" x14ac:dyDescent="0.25">
      <c r="A1668" t="s">
        <v>2617</v>
      </c>
      <c r="B1668" t="s">
        <v>2086</v>
      </c>
    </row>
    <row r="1669" spans="1:2" x14ac:dyDescent="0.25">
      <c r="A1669" t="s">
        <v>2618</v>
      </c>
      <c r="B1669" t="s">
        <v>2086</v>
      </c>
    </row>
    <row r="1670" spans="1:2" x14ac:dyDescent="0.25">
      <c r="A1670" t="s">
        <v>2619</v>
      </c>
      <c r="B1670" t="s">
        <v>2086</v>
      </c>
    </row>
    <row r="1671" spans="1:2" x14ac:dyDescent="0.25">
      <c r="A1671" t="s">
        <v>2620</v>
      </c>
      <c r="B1671" t="s">
        <v>2086</v>
      </c>
    </row>
    <row r="1672" spans="1:2" x14ac:dyDescent="0.25">
      <c r="A1672" t="s">
        <v>2621</v>
      </c>
      <c r="B1672" t="s">
        <v>2086</v>
      </c>
    </row>
    <row r="1673" spans="1:2" x14ac:dyDescent="0.25">
      <c r="A1673" t="s">
        <v>2622</v>
      </c>
      <c r="B1673" t="s">
        <v>2086</v>
      </c>
    </row>
    <row r="1674" spans="1:2" x14ac:dyDescent="0.25">
      <c r="A1674" t="s">
        <v>2623</v>
      </c>
      <c r="B1674" t="s">
        <v>2086</v>
      </c>
    </row>
    <row r="1675" spans="1:2" x14ac:dyDescent="0.25">
      <c r="A1675" t="s">
        <v>2624</v>
      </c>
      <c r="B1675" t="s">
        <v>2086</v>
      </c>
    </row>
    <row r="1676" spans="1:2" x14ac:dyDescent="0.25">
      <c r="A1676" t="s">
        <v>2625</v>
      </c>
      <c r="B1676" t="s">
        <v>2086</v>
      </c>
    </row>
    <row r="1677" spans="1:2" x14ac:dyDescent="0.25">
      <c r="A1677" t="s">
        <v>2626</v>
      </c>
      <c r="B1677" t="s">
        <v>2086</v>
      </c>
    </row>
    <row r="1678" spans="1:2" x14ac:dyDescent="0.25">
      <c r="A1678" t="s">
        <v>2627</v>
      </c>
      <c r="B1678" t="s">
        <v>2086</v>
      </c>
    </row>
    <row r="1679" spans="1:2" x14ac:dyDescent="0.25">
      <c r="A1679" t="s">
        <v>2628</v>
      </c>
      <c r="B1679" t="s">
        <v>2086</v>
      </c>
    </row>
    <row r="1680" spans="1:2" x14ac:dyDescent="0.25">
      <c r="A1680" t="s">
        <v>2629</v>
      </c>
      <c r="B1680" t="s">
        <v>2086</v>
      </c>
    </row>
    <row r="1681" spans="1:2" x14ac:dyDescent="0.25">
      <c r="A1681" t="s">
        <v>2630</v>
      </c>
      <c r="B1681" t="s">
        <v>2086</v>
      </c>
    </row>
    <row r="1682" spans="1:2" x14ac:dyDescent="0.25">
      <c r="A1682" t="s">
        <v>2631</v>
      </c>
      <c r="B1682" t="s">
        <v>2086</v>
      </c>
    </row>
    <row r="1683" spans="1:2" x14ac:dyDescent="0.25">
      <c r="A1683" t="s">
        <v>2632</v>
      </c>
      <c r="B1683" t="s">
        <v>2160</v>
      </c>
    </row>
    <row r="1684" spans="1:2" x14ac:dyDescent="0.25">
      <c r="A1684" t="s">
        <v>2633</v>
      </c>
      <c r="B1684" t="s">
        <v>2160</v>
      </c>
    </row>
    <row r="1685" spans="1:2" x14ac:dyDescent="0.25">
      <c r="A1685" t="s">
        <v>2634</v>
      </c>
      <c r="B1685" t="s">
        <v>2160</v>
      </c>
    </row>
    <row r="1686" spans="1:2" x14ac:dyDescent="0.25">
      <c r="A1686" t="s">
        <v>2635</v>
      </c>
      <c r="B1686" t="s">
        <v>2160</v>
      </c>
    </row>
    <row r="1687" spans="1:2" x14ac:dyDescent="0.25">
      <c r="A1687" t="s">
        <v>2636</v>
      </c>
      <c r="B1687" t="s">
        <v>2160</v>
      </c>
    </row>
    <row r="1688" spans="1:2" x14ac:dyDescent="0.25">
      <c r="A1688" t="s">
        <v>2637</v>
      </c>
      <c r="B1688" t="s">
        <v>2160</v>
      </c>
    </row>
    <row r="1689" spans="1:2" x14ac:dyDescent="0.25">
      <c r="A1689" t="s">
        <v>2638</v>
      </c>
      <c r="B1689" t="s">
        <v>2160</v>
      </c>
    </row>
    <row r="1690" spans="1:2" x14ac:dyDescent="0.25">
      <c r="A1690" t="s">
        <v>2639</v>
      </c>
      <c r="B1690" t="s">
        <v>2160</v>
      </c>
    </row>
    <row r="1691" spans="1:2" x14ac:dyDescent="0.25">
      <c r="A1691" t="s">
        <v>2640</v>
      </c>
      <c r="B1691" t="s">
        <v>2160</v>
      </c>
    </row>
    <row r="1692" spans="1:2" x14ac:dyDescent="0.25">
      <c r="A1692" t="s">
        <v>2641</v>
      </c>
      <c r="B1692" t="s">
        <v>2160</v>
      </c>
    </row>
    <row r="1693" spans="1:2" x14ac:dyDescent="0.25">
      <c r="A1693" t="s">
        <v>2642</v>
      </c>
      <c r="B1693" t="s">
        <v>2055</v>
      </c>
    </row>
    <row r="1694" spans="1:2" x14ac:dyDescent="0.25">
      <c r="A1694" t="s">
        <v>2643</v>
      </c>
      <c r="B1694" t="s">
        <v>2055</v>
      </c>
    </row>
    <row r="1695" spans="1:2" x14ac:dyDescent="0.25">
      <c r="A1695" t="s">
        <v>2644</v>
      </c>
      <c r="B1695" t="s">
        <v>2055</v>
      </c>
    </row>
    <row r="1696" spans="1:2" x14ac:dyDescent="0.25">
      <c r="A1696" t="s">
        <v>2645</v>
      </c>
      <c r="B1696" t="s">
        <v>2055</v>
      </c>
    </row>
    <row r="1697" spans="1:2" x14ac:dyDescent="0.25">
      <c r="A1697" t="s">
        <v>2646</v>
      </c>
      <c r="B1697" t="s">
        <v>2055</v>
      </c>
    </row>
    <row r="1698" spans="1:2" x14ac:dyDescent="0.25">
      <c r="A1698" t="s">
        <v>2647</v>
      </c>
      <c r="B1698" t="s">
        <v>2055</v>
      </c>
    </row>
    <row r="1699" spans="1:2" x14ac:dyDescent="0.25">
      <c r="A1699" t="s">
        <v>2648</v>
      </c>
      <c r="B1699" t="s">
        <v>2055</v>
      </c>
    </row>
    <row r="1700" spans="1:2" x14ac:dyDescent="0.25">
      <c r="A1700" t="s">
        <v>2649</v>
      </c>
      <c r="B1700" t="s">
        <v>2055</v>
      </c>
    </row>
    <row r="1701" spans="1:2" x14ac:dyDescent="0.25">
      <c r="A1701" t="s">
        <v>2650</v>
      </c>
      <c r="B1701" t="s">
        <v>2055</v>
      </c>
    </row>
    <row r="1702" spans="1:2" x14ac:dyDescent="0.25">
      <c r="A1702" t="s">
        <v>2651</v>
      </c>
      <c r="B1702" t="s">
        <v>2055</v>
      </c>
    </row>
    <row r="1703" spans="1:2" x14ac:dyDescent="0.25">
      <c r="A1703" t="s">
        <v>2652</v>
      </c>
      <c r="B1703" t="s">
        <v>2055</v>
      </c>
    </row>
    <row r="1704" spans="1:2" x14ac:dyDescent="0.25">
      <c r="A1704" t="s">
        <v>2653</v>
      </c>
      <c r="B1704" t="s">
        <v>2055</v>
      </c>
    </row>
    <row r="1705" spans="1:2" x14ac:dyDescent="0.25">
      <c r="A1705" t="s">
        <v>2654</v>
      </c>
      <c r="B1705" t="s">
        <v>2055</v>
      </c>
    </row>
    <row r="1706" spans="1:2" x14ac:dyDescent="0.25">
      <c r="A1706" t="s">
        <v>2655</v>
      </c>
      <c r="B1706" t="s">
        <v>2055</v>
      </c>
    </row>
    <row r="1707" spans="1:2" x14ac:dyDescent="0.25">
      <c r="A1707" t="s">
        <v>2656</v>
      </c>
      <c r="B1707" t="s">
        <v>2055</v>
      </c>
    </row>
    <row r="1708" spans="1:2" x14ac:dyDescent="0.25">
      <c r="A1708" t="s">
        <v>2657</v>
      </c>
      <c r="B1708" t="s">
        <v>2055</v>
      </c>
    </row>
    <row r="1709" spans="1:2" x14ac:dyDescent="0.25">
      <c r="A1709" t="s">
        <v>2658</v>
      </c>
      <c r="B1709" t="s">
        <v>2055</v>
      </c>
    </row>
    <row r="1710" spans="1:2" x14ac:dyDescent="0.25">
      <c r="A1710" t="s">
        <v>2659</v>
      </c>
      <c r="B1710" t="s">
        <v>2055</v>
      </c>
    </row>
    <row r="1711" spans="1:2" x14ac:dyDescent="0.25">
      <c r="A1711" t="s">
        <v>2660</v>
      </c>
      <c r="B1711" t="s">
        <v>2055</v>
      </c>
    </row>
    <row r="1712" spans="1:2" x14ac:dyDescent="0.25">
      <c r="A1712" t="s">
        <v>2661</v>
      </c>
      <c r="B1712" t="s">
        <v>2055</v>
      </c>
    </row>
    <row r="1713" spans="1:2" x14ac:dyDescent="0.25">
      <c r="A1713" t="s">
        <v>2662</v>
      </c>
      <c r="B1713" t="s">
        <v>2055</v>
      </c>
    </row>
    <row r="1714" spans="1:2" x14ac:dyDescent="0.25">
      <c r="A1714" t="s">
        <v>2663</v>
      </c>
      <c r="B1714" t="s">
        <v>2055</v>
      </c>
    </row>
    <row r="1715" spans="1:2" x14ac:dyDescent="0.25">
      <c r="A1715" t="s">
        <v>2664</v>
      </c>
      <c r="B1715" t="s">
        <v>2055</v>
      </c>
    </row>
    <row r="1716" spans="1:2" x14ac:dyDescent="0.25">
      <c r="A1716" t="s">
        <v>2665</v>
      </c>
      <c r="B1716" t="s">
        <v>2055</v>
      </c>
    </row>
    <row r="1717" spans="1:2" x14ac:dyDescent="0.25">
      <c r="A1717" t="s">
        <v>2666</v>
      </c>
      <c r="B1717" t="s">
        <v>2055</v>
      </c>
    </row>
    <row r="1718" spans="1:2" x14ac:dyDescent="0.25">
      <c r="A1718" t="s">
        <v>2667</v>
      </c>
      <c r="B1718" t="s">
        <v>2055</v>
      </c>
    </row>
    <row r="1719" spans="1:2" x14ac:dyDescent="0.25">
      <c r="A1719" t="s">
        <v>2668</v>
      </c>
      <c r="B1719" t="s">
        <v>2055</v>
      </c>
    </row>
    <row r="1720" spans="1:2" x14ac:dyDescent="0.25">
      <c r="A1720" t="s">
        <v>2669</v>
      </c>
      <c r="B1720" t="s">
        <v>2055</v>
      </c>
    </row>
    <row r="1721" spans="1:2" x14ac:dyDescent="0.25">
      <c r="A1721" t="s">
        <v>2670</v>
      </c>
      <c r="B1721" t="s">
        <v>2055</v>
      </c>
    </row>
    <row r="1722" spans="1:2" x14ac:dyDescent="0.25">
      <c r="A1722" t="s">
        <v>2671</v>
      </c>
      <c r="B1722" t="s">
        <v>2055</v>
      </c>
    </row>
    <row r="1723" spans="1:2" x14ac:dyDescent="0.25">
      <c r="A1723" t="s">
        <v>2672</v>
      </c>
      <c r="B1723" t="s">
        <v>2055</v>
      </c>
    </row>
    <row r="1724" spans="1:2" x14ac:dyDescent="0.25">
      <c r="A1724" t="s">
        <v>2673</v>
      </c>
      <c r="B1724" t="s">
        <v>2055</v>
      </c>
    </row>
    <row r="1725" spans="1:2" x14ac:dyDescent="0.25">
      <c r="A1725" t="s">
        <v>2674</v>
      </c>
      <c r="B1725" t="s">
        <v>2055</v>
      </c>
    </row>
    <row r="1726" spans="1:2" x14ac:dyDescent="0.25">
      <c r="A1726" t="s">
        <v>2675</v>
      </c>
      <c r="B1726" t="s">
        <v>2055</v>
      </c>
    </row>
    <row r="1727" spans="1:2" x14ac:dyDescent="0.25">
      <c r="A1727" t="s">
        <v>2676</v>
      </c>
      <c r="B1727" t="s">
        <v>2055</v>
      </c>
    </row>
    <row r="1728" spans="1:2" x14ac:dyDescent="0.25">
      <c r="A1728" t="s">
        <v>2677</v>
      </c>
      <c r="B1728" t="s">
        <v>2055</v>
      </c>
    </row>
    <row r="1729" spans="1:2" x14ac:dyDescent="0.25">
      <c r="A1729" t="s">
        <v>2678</v>
      </c>
      <c r="B1729" t="s">
        <v>2055</v>
      </c>
    </row>
    <row r="1730" spans="1:2" x14ac:dyDescent="0.25">
      <c r="A1730" t="s">
        <v>2679</v>
      </c>
      <c r="B1730" t="s">
        <v>2055</v>
      </c>
    </row>
    <row r="1731" spans="1:2" x14ac:dyDescent="0.25">
      <c r="A1731" t="s">
        <v>2680</v>
      </c>
      <c r="B1731" t="s">
        <v>2055</v>
      </c>
    </row>
    <row r="1732" spans="1:2" x14ac:dyDescent="0.25">
      <c r="A1732" t="s">
        <v>2681</v>
      </c>
      <c r="B1732" t="s">
        <v>2055</v>
      </c>
    </row>
    <row r="1733" spans="1:2" x14ac:dyDescent="0.25">
      <c r="A1733" t="s">
        <v>2682</v>
      </c>
      <c r="B1733" t="s">
        <v>2055</v>
      </c>
    </row>
    <row r="1734" spans="1:2" x14ac:dyDescent="0.25">
      <c r="A1734" t="s">
        <v>2683</v>
      </c>
      <c r="B1734" t="s">
        <v>2055</v>
      </c>
    </row>
    <row r="1735" spans="1:2" x14ac:dyDescent="0.25">
      <c r="A1735" t="s">
        <v>2684</v>
      </c>
      <c r="B1735" t="s">
        <v>2055</v>
      </c>
    </row>
    <row r="1736" spans="1:2" x14ac:dyDescent="0.25">
      <c r="A1736" t="s">
        <v>2685</v>
      </c>
      <c r="B1736" t="s">
        <v>2055</v>
      </c>
    </row>
    <row r="1737" spans="1:2" x14ac:dyDescent="0.25">
      <c r="A1737" t="s">
        <v>2686</v>
      </c>
      <c r="B1737" t="s">
        <v>2055</v>
      </c>
    </row>
    <row r="1738" spans="1:2" x14ac:dyDescent="0.25">
      <c r="A1738" t="s">
        <v>2687</v>
      </c>
      <c r="B1738" t="s">
        <v>2055</v>
      </c>
    </row>
    <row r="1739" spans="1:2" x14ac:dyDescent="0.25">
      <c r="A1739" t="s">
        <v>2688</v>
      </c>
      <c r="B1739" t="s">
        <v>2055</v>
      </c>
    </row>
    <row r="1740" spans="1:2" x14ac:dyDescent="0.25">
      <c r="A1740" t="s">
        <v>2689</v>
      </c>
      <c r="B1740" t="s">
        <v>2055</v>
      </c>
    </row>
    <row r="1741" spans="1:2" x14ac:dyDescent="0.25">
      <c r="A1741" t="s">
        <v>2690</v>
      </c>
      <c r="B1741" t="s">
        <v>2055</v>
      </c>
    </row>
    <row r="1742" spans="1:2" x14ac:dyDescent="0.25">
      <c r="A1742" t="s">
        <v>2691</v>
      </c>
      <c r="B1742" t="s">
        <v>2055</v>
      </c>
    </row>
    <row r="1743" spans="1:2" x14ac:dyDescent="0.25">
      <c r="A1743" t="s">
        <v>2692</v>
      </c>
      <c r="B1743" t="s">
        <v>2099</v>
      </c>
    </row>
    <row r="1744" spans="1:2" x14ac:dyDescent="0.25">
      <c r="A1744" t="s">
        <v>2693</v>
      </c>
      <c r="B1744" t="s">
        <v>2099</v>
      </c>
    </row>
    <row r="1745" spans="1:2" x14ac:dyDescent="0.25">
      <c r="A1745" t="s">
        <v>2694</v>
      </c>
      <c r="B1745" t="s">
        <v>2099</v>
      </c>
    </row>
    <row r="1746" spans="1:2" x14ac:dyDescent="0.25">
      <c r="A1746" t="s">
        <v>2695</v>
      </c>
      <c r="B1746" t="s">
        <v>2099</v>
      </c>
    </row>
    <row r="1747" spans="1:2" x14ac:dyDescent="0.25">
      <c r="A1747" t="s">
        <v>2696</v>
      </c>
      <c r="B1747" t="s">
        <v>2099</v>
      </c>
    </row>
    <row r="1748" spans="1:2" x14ac:dyDescent="0.25">
      <c r="A1748" t="s">
        <v>2697</v>
      </c>
      <c r="B1748" t="s">
        <v>2099</v>
      </c>
    </row>
    <row r="1749" spans="1:2" x14ac:dyDescent="0.25">
      <c r="A1749" t="s">
        <v>2698</v>
      </c>
      <c r="B1749" t="s">
        <v>2099</v>
      </c>
    </row>
    <row r="1750" spans="1:2" x14ac:dyDescent="0.25">
      <c r="A1750" t="s">
        <v>2699</v>
      </c>
      <c r="B1750" t="s">
        <v>2099</v>
      </c>
    </row>
    <row r="1751" spans="1:2" x14ac:dyDescent="0.25">
      <c r="A1751" t="s">
        <v>2700</v>
      </c>
      <c r="B1751" t="s">
        <v>2099</v>
      </c>
    </row>
    <row r="1752" spans="1:2" x14ac:dyDescent="0.25">
      <c r="A1752" t="s">
        <v>2701</v>
      </c>
      <c r="B1752" t="s">
        <v>2099</v>
      </c>
    </row>
    <row r="1753" spans="1:2" x14ac:dyDescent="0.25">
      <c r="A1753" t="s">
        <v>2702</v>
      </c>
      <c r="B1753" t="s">
        <v>2099</v>
      </c>
    </row>
    <row r="1754" spans="1:2" x14ac:dyDescent="0.25">
      <c r="A1754" t="s">
        <v>2703</v>
      </c>
      <c r="B1754" t="s">
        <v>2099</v>
      </c>
    </row>
    <row r="1755" spans="1:2" x14ac:dyDescent="0.25">
      <c r="A1755" t="s">
        <v>2704</v>
      </c>
      <c r="B1755" t="s">
        <v>2099</v>
      </c>
    </row>
    <row r="1756" spans="1:2" x14ac:dyDescent="0.25">
      <c r="A1756" t="s">
        <v>2705</v>
      </c>
      <c r="B1756" t="s">
        <v>2099</v>
      </c>
    </row>
    <row r="1757" spans="1:2" x14ac:dyDescent="0.25">
      <c r="A1757" t="s">
        <v>2706</v>
      </c>
      <c r="B1757" t="s">
        <v>2099</v>
      </c>
    </row>
    <row r="1758" spans="1:2" x14ac:dyDescent="0.25">
      <c r="A1758" t="s">
        <v>2707</v>
      </c>
      <c r="B1758" t="s">
        <v>2099</v>
      </c>
    </row>
    <row r="1759" spans="1:2" x14ac:dyDescent="0.25">
      <c r="A1759" t="s">
        <v>2708</v>
      </c>
      <c r="B1759" t="s">
        <v>2099</v>
      </c>
    </row>
    <row r="1760" spans="1:2" x14ac:dyDescent="0.25">
      <c r="A1760" t="s">
        <v>2709</v>
      </c>
      <c r="B1760" t="s">
        <v>2055</v>
      </c>
    </row>
    <row r="1761" spans="1:2" x14ac:dyDescent="0.25">
      <c r="A1761" t="s">
        <v>2710</v>
      </c>
      <c r="B1761" t="s">
        <v>2055</v>
      </c>
    </row>
    <row r="1762" spans="1:2" x14ac:dyDescent="0.25">
      <c r="A1762" t="s">
        <v>2711</v>
      </c>
      <c r="B1762" t="s">
        <v>2055</v>
      </c>
    </row>
    <row r="1763" spans="1:2" x14ac:dyDescent="0.25">
      <c r="A1763" t="s">
        <v>2712</v>
      </c>
      <c r="B1763" t="s">
        <v>2055</v>
      </c>
    </row>
    <row r="1764" spans="1:2" x14ac:dyDescent="0.25">
      <c r="A1764" t="s">
        <v>2713</v>
      </c>
      <c r="B1764" t="s">
        <v>2055</v>
      </c>
    </row>
    <row r="1765" spans="1:2" x14ac:dyDescent="0.25">
      <c r="A1765" t="s">
        <v>2714</v>
      </c>
      <c r="B1765" t="s">
        <v>2099</v>
      </c>
    </row>
    <row r="1766" spans="1:2" x14ac:dyDescent="0.25">
      <c r="A1766" t="s">
        <v>2715</v>
      </c>
      <c r="B1766" t="s">
        <v>2099</v>
      </c>
    </row>
    <row r="1767" spans="1:2" x14ac:dyDescent="0.25">
      <c r="A1767" t="s">
        <v>2716</v>
      </c>
      <c r="B1767" t="s">
        <v>2099</v>
      </c>
    </row>
    <row r="1768" spans="1:2" x14ac:dyDescent="0.25">
      <c r="A1768" t="s">
        <v>2717</v>
      </c>
      <c r="B1768" t="s">
        <v>2086</v>
      </c>
    </row>
    <row r="1769" spans="1:2" x14ac:dyDescent="0.25">
      <c r="A1769" t="s">
        <v>2718</v>
      </c>
      <c r="B1769" t="s">
        <v>2086</v>
      </c>
    </row>
    <row r="1770" spans="1:2" x14ac:dyDescent="0.25">
      <c r="A1770" t="s">
        <v>2719</v>
      </c>
      <c r="B1770" t="s">
        <v>2086</v>
      </c>
    </row>
    <row r="1771" spans="1:2" x14ac:dyDescent="0.25">
      <c r="A1771" t="s">
        <v>2720</v>
      </c>
      <c r="B1771" t="s">
        <v>2086</v>
      </c>
    </row>
    <row r="1772" spans="1:2" x14ac:dyDescent="0.25">
      <c r="A1772" t="s">
        <v>2721</v>
      </c>
      <c r="B1772" t="s">
        <v>2086</v>
      </c>
    </row>
    <row r="1773" spans="1:2" x14ac:dyDescent="0.25">
      <c r="A1773" t="s">
        <v>2722</v>
      </c>
      <c r="B1773" t="s">
        <v>2086</v>
      </c>
    </row>
    <row r="1774" spans="1:2" x14ac:dyDescent="0.25">
      <c r="A1774" t="s">
        <v>2723</v>
      </c>
      <c r="B1774" t="s">
        <v>2086</v>
      </c>
    </row>
    <row r="1775" spans="1:2" x14ac:dyDescent="0.25">
      <c r="A1775" t="s">
        <v>2724</v>
      </c>
      <c r="B1775" t="s">
        <v>2086</v>
      </c>
    </row>
    <row r="1776" spans="1:2" x14ac:dyDescent="0.25">
      <c r="A1776" t="s">
        <v>2725</v>
      </c>
      <c r="B1776" t="s">
        <v>2086</v>
      </c>
    </row>
    <row r="1777" spans="1:2" x14ac:dyDescent="0.25">
      <c r="A1777" t="s">
        <v>2726</v>
      </c>
      <c r="B1777" t="s">
        <v>2086</v>
      </c>
    </row>
    <row r="1778" spans="1:2" x14ac:dyDescent="0.25">
      <c r="A1778" t="s">
        <v>2727</v>
      </c>
      <c r="B1778" t="s">
        <v>2086</v>
      </c>
    </row>
    <row r="1779" spans="1:2" x14ac:dyDescent="0.25">
      <c r="A1779" t="s">
        <v>2728</v>
      </c>
      <c r="B1779" t="s">
        <v>2086</v>
      </c>
    </row>
    <row r="1780" spans="1:2" x14ac:dyDescent="0.25">
      <c r="A1780" t="s">
        <v>2729</v>
      </c>
      <c r="B1780" t="s">
        <v>2086</v>
      </c>
    </row>
    <row r="1781" spans="1:2" x14ac:dyDescent="0.25">
      <c r="A1781" t="s">
        <v>2730</v>
      </c>
      <c r="B1781" t="s">
        <v>2086</v>
      </c>
    </row>
    <row r="1782" spans="1:2" x14ac:dyDescent="0.25">
      <c r="A1782" t="s">
        <v>2731</v>
      </c>
      <c r="B1782" t="s">
        <v>2086</v>
      </c>
    </row>
    <row r="1783" spans="1:2" x14ac:dyDescent="0.25">
      <c r="A1783" t="s">
        <v>2732</v>
      </c>
      <c r="B1783" t="s">
        <v>2086</v>
      </c>
    </row>
    <row r="1784" spans="1:2" x14ac:dyDescent="0.25">
      <c r="A1784" t="s">
        <v>2733</v>
      </c>
      <c r="B1784" t="s">
        <v>2086</v>
      </c>
    </row>
    <row r="1785" spans="1:2" x14ac:dyDescent="0.25">
      <c r="A1785" t="s">
        <v>2734</v>
      </c>
      <c r="B1785" t="s">
        <v>2086</v>
      </c>
    </row>
    <row r="1786" spans="1:2" x14ac:dyDescent="0.25">
      <c r="A1786" t="s">
        <v>2735</v>
      </c>
      <c r="B1786" t="s">
        <v>2086</v>
      </c>
    </row>
    <row r="1787" spans="1:2" x14ac:dyDescent="0.25">
      <c r="A1787" t="s">
        <v>2736</v>
      </c>
      <c r="B1787" t="s">
        <v>2086</v>
      </c>
    </row>
    <row r="1788" spans="1:2" x14ac:dyDescent="0.25">
      <c r="A1788" t="s">
        <v>2737</v>
      </c>
      <c r="B1788" t="s">
        <v>2099</v>
      </c>
    </row>
    <row r="1789" spans="1:2" x14ac:dyDescent="0.25">
      <c r="A1789" t="s">
        <v>2738</v>
      </c>
      <c r="B1789" t="s">
        <v>2099</v>
      </c>
    </row>
    <row r="1790" spans="1:2" x14ac:dyDescent="0.25">
      <c r="A1790" t="s">
        <v>2739</v>
      </c>
      <c r="B1790" t="s">
        <v>2099</v>
      </c>
    </row>
    <row r="1791" spans="1:2" x14ac:dyDescent="0.25">
      <c r="A1791" t="s">
        <v>2740</v>
      </c>
      <c r="B1791" t="s">
        <v>2099</v>
      </c>
    </row>
    <row r="1792" spans="1:2" x14ac:dyDescent="0.25">
      <c r="A1792" t="s">
        <v>2741</v>
      </c>
      <c r="B1792" t="s">
        <v>2099</v>
      </c>
    </row>
    <row r="1793" spans="1:2" x14ac:dyDescent="0.25">
      <c r="A1793" t="s">
        <v>2742</v>
      </c>
      <c r="B1793" t="s">
        <v>2099</v>
      </c>
    </row>
    <row r="1794" spans="1:2" x14ac:dyDescent="0.25">
      <c r="A1794" t="s">
        <v>2743</v>
      </c>
      <c r="B1794" t="s">
        <v>2086</v>
      </c>
    </row>
    <row r="1795" spans="1:2" x14ac:dyDescent="0.25">
      <c r="A1795" t="s">
        <v>2744</v>
      </c>
      <c r="B1795" t="s">
        <v>2086</v>
      </c>
    </row>
    <row r="1796" spans="1:2" x14ac:dyDescent="0.25">
      <c r="A1796" t="s">
        <v>2745</v>
      </c>
      <c r="B1796" t="s">
        <v>2086</v>
      </c>
    </row>
    <row r="1797" spans="1:2" x14ac:dyDescent="0.25">
      <c r="A1797" t="s">
        <v>2746</v>
      </c>
      <c r="B1797" t="s">
        <v>2086</v>
      </c>
    </row>
    <row r="1798" spans="1:2" x14ac:dyDescent="0.25">
      <c r="A1798" t="s">
        <v>2747</v>
      </c>
      <c r="B1798" t="s">
        <v>2086</v>
      </c>
    </row>
    <row r="1799" spans="1:2" x14ac:dyDescent="0.25">
      <c r="A1799" t="s">
        <v>2748</v>
      </c>
      <c r="B1799" t="s">
        <v>2086</v>
      </c>
    </row>
    <row r="1800" spans="1:2" x14ac:dyDescent="0.25">
      <c r="A1800" t="s">
        <v>2749</v>
      </c>
      <c r="B1800" t="s">
        <v>2086</v>
      </c>
    </row>
    <row r="1801" spans="1:2" x14ac:dyDescent="0.25">
      <c r="A1801" t="s">
        <v>2750</v>
      </c>
      <c r="B1801" t="s">
        <v>2086</v>
      </c>
    </row>
    <row r="1802" spans="1:2" x14ac:dyDescent="0.25">
      <c r="A1802" t="s">
        <v>2751</v>
      </c>
      <c r="B1802" t="s">
        <v>2086</v>
      </c>
    </row>
    <row r="1803" spans="1:2" x14ac:dyDescent="0.25">
      <c r="A1803" t="s">
        <v>2752</v>
      </c>
      <c r="B1803" t="s">
        <v>2086</v>
      </c>
    </row>
    <row r="1804" spans="1:2" x14ac:dyDescent="0.25">
      <c r="A1804" t="s">
        <v>2753</v>
      </c>
      <c r="B1804" t="s">
        <v>2086</v>
      </c>
    </row>
    <row r="1805" spans="1:2" x14ac:dyDescent="0.25">
      <c r="A1805" t="s">
        <v>2754</v>
      </c>
      <c r="B1805" t="s">
        <v>2086</v>
      </c>
    </row>
    <row r="1806" spans="1:2" x14ac:dyDescent="0.25">
      <c r="A1806" t="s">
        <v>2755</v>
      </c>
      <c r="B1806" t="s">
        <v>2176</v>
      </c>
    </row>
    <row r="1807" spans="1:2" x14ac:dyDescent="0.25">
      <c r="A1807" t="s">
        <v>2756</v>
      </c>
      <c r="B1807" t="s">
        <v>2176</v>
      </c>
    </row>
    <row r="1808" spans="1:2" x14ac:dyDescent="0.25">
      <c r="A1808" t="s">
        <v>2757</v>
      </c>
      <c r="B1808" t="s">
        <v>2176</v>
      </c>
    </row>
    <row r="1809" spans="1:2" x14ac:dyDescent="0.25">
      <c r="A1809" t="s">
        <v>2758</v>
      </c>
      <c r="B1809" t="s">
        <v>2176</v>
      </c>
    </row>
    <row r="1810" spans="1:2" x14ac:dyDescent="0.25">
      <c r="A1810" t="s">
        <v>2759</v>
      </c>
      <c r="B1810" t="s">
        <v>2176</v>
      </c>
    </row>
    <row r="1811" spans="1:2" x14ac:dyDescent="0.25">
      <c r="A1811" t="s">
        <v>2760</v>
      </c>
      <c r="B1811" t="s">
        <v>2176</v>
      </c>
    </row>
    <row r="1812" spans="1:2" x14ac:dyDescent="0.25">
      <c r="A1812" t="s">
        <v>2761</v>
      </c>
      <c r="B1812" t="s">
        <v>2176</v>
      </c>
    </row>
    <row r="1813" spans="1:2" x14ac:dyDescent="0.25">
      <c r="A1813" t="s">
        <v>2762</v>
      </c>
      <c r="B1813" t="s">
        <v>2176</v>
      </c>
    </row>
    <row r="1814" spans="1:2" x14ac:dyDescent="0.25">
      <c r="A1814" t="s">
        <v>2763</v>
      </c>
      <c r="B1814" t="s">
        <v>2176</v>
      </c>
    </row>
    <row r="1815" spans="1:2" x14ac:dyDescent="0.25">
      <c r="A1815" t="s">
        <v>2764</v>
      </c>
      <c r="B1815" t="s">
        <v>2176</v>
      </c>
    </row>
    <row r="1816" spans="1:2" x14ac:dyDescent="0.25">
      <c r="A1816" t="s">
        <v>2765</v>
      </c>
      <c r="B1816" t="s">
        <v>2176</v>
      </c>
    </row>
    <row r="1817" spans="1:2" x14ac:dyDescent="0.25">
      <c r="A1817" t="s">
        <v>2766</v>
      </c>
      <c r="B1817" t="s">
        <v>2176</v>
      </c>
    </row>
    <row r="1818" spans="1:2" x14ac:dyDescent="0.25">
      <c r="A1818" t="s">
        <v>2767</v>
      </c>
      <c r="B1818" t="s">
        <v>2176</v>
      </c>
    </row>
    <row r="1819" spans="1:2" x14ac:dyDescent="0.25">
      <c r="A1819" t="s">
        <v>2768</v>
      </c>
      <c r="B1819" t="s">
        <v>2176</v>
      </c>
    </row>
    <row r="1820" spans="1:2" x14ac:dyDescent="0.25">
      <c r="A1820" t="s">
        <v>2769</v>
      </c>
      <c r="B1820" t="s">
        <v>2176</v>
      </c>
    </row>
    <row r="1821" spans="1:2" x14ac:dyDescent="0.25">
      <c r="A1821" t="s">
        <v>2770</v>
      </c>
      <c r="B1821" t="s">
        <v>2176</v>
      </c>
    </row>
    <row r="1822" spans="1:2" x14ac:dyDescent="0.25">
      <c r="A1822" t="s">
        <v>2771</v>
      </c>
      <c r="B1822" t="s">
        <v>2176</v>
      </c>
    </row>
    <row r="1823" spans="1:2" x14ac:dyDescent="0.25">
      <c r="A1823" t="s">
        <v>2772</v>
      </c>
      <c r="B1823" t="s">
        <v>2176</v>
      </c>
    </row>
    <row r="1824" spans="1:2" x14ac:dyDescent="0.25">
      <c r="A1824" t="s">
        <v>2773</v>
      </c>
      <c r="B1824" t="s">
        <v>2176</v>
      </c>
    </row>
    <row r="1825" spans="1:2" x14ac:dyDescent="0.25">
      <c r="A1825" t="s">
        <v>2774</v>
      </c>
      <c r="B1825" t="s">
        <v>2176</v>
      </c>
    </row>
    <row r="1826" spans="1:2" x14ac:dyDescent="0.25">
      <c r="A1826" t="s">
        <v>2775</v>
      </c>
      <c r="B1826" t="s">
        <v>2176</v>
      </c>
    </row>
    <row r="1827" spans="1:2" x14ac:dyDescent="0.25">
      <c r="A1827" t="s">
        <v>2776</v>
      </c>
      <c r="B1827" t="s">
        <v>2176</v>
      </c>
    </row>
    <row r="1828" spans="1:2" x14ac:dyDescent="0.25">
      <c r="A1828" t="s">
        <v>2777</v>
      </c>
      <c r="B1828" t="s">
        <v>2176</v>
      </c>
    </row>
    <row r="1829" spans="1:2" x14ac:dyDescent="0.25">
      <c r="A1829" t="s">
        <v>2778</v>
      </c>
      <c r="B1829" t="s">
        <v>2099</v>
      </c>
    </row>
    <row r="1830" spans="1:2" x14ac:dyDescent="0.25">
      <c r="A1830" t="s">
        <v>2779</v>
      </c>
      <c r="B1830" t="s">
        <v>2099</v>
      </c>
    </row>
    <row r="1831" spans="1:2" x14ac:dyDescent="0.25">
      <c r="A1831" t="s">
        <v>2780</v>
      </c>
      <c r="B1831" t="s">
        <v>2099</v>
      </c>
    </row>
    <row r="1832" spans="1:2" x14ac:dyDescent="0.25">
      <c r="A1832" t="s">
        <v>2781</v>
      </c>
      <c r="B1832" t="s">
        <v>2099</v>
      </c>
    </row>
    <row r="1833" spans="1:2" x14ac:dyDescent="0.25">
      <c r="A1833" t="s">
        <v>2782</v>
      </c>
      <c r="B1833" t="s">
        <v>2099</v>
      </c>
    </row>
    <row r="1834" spans="1:2" x14ac:dyDescent="0.25">
      <c r="A1834" t="s">
        <v>2783</v>
      </c>
      <c r="B1834" t="s">
        <v>2099</v>
      </c>
    </row>
    <row r="1835" spans="1:2" x14ac:dyDescent="0.25">
      <c r="A1835" t="s">
        <v>2784</v>
      </c>
      <c r="B1835" t="s">
        <v>2099</v>
      </c>
    </row>
    <row r="1836" spans="1:2" x14ac:dyDescent="0.25">
      <c r="A1836" t="s">
        <v>2785</v>
      </c>
      <c r="B1836" t="s">
        <v>2099</v>
      </c>
    </row>
    <row r="1837" spans="1:2" x14ac:dyDescent="0.25">
      <c r="A1837" t="s">
        <v>2786</v>
      </c>
      <c r="B1837" t="s">
        <v>2099</v>
      </c>
    </row>
    <row r="1838" spans="1:2" x14ac:dyDescent="0.25">
      <c r="A1838" t="s">
        <v>2787</v>
      </c>
      <c r="B1838" t="s">
        <v>2099</v>
      </c>
    </row>
    <row r="1839" spans="1:2" x14ac:dyDescent="0.25">
      <c r="A1839" t="s">
        <v>2788</v>
      </c>
      <c r="B1839" t="s">
        <v>2099</v>
      </c>
    </row>
    <row r="1840" spans="1:2" x14ac:dyDescent="0.25">
      <c r="A1840" t="s">
        <v>2789</v>
      </c>
      <c r="B1840" t="s">
        <v>2556</v>
      </c>
    </row>
    <row r="1841" spans="1:2" x14ac:dyDescent="0.25">
      <c r="A1841" t="s">
        <v>2790</v>
      </c>
      <c r="B1841" t="s">
        <v>2556</v>
      </c>
    </row>
    <row r="1842" spans="1:2" x14ac:dyDescent="0.25">
      <c r="A1842" t="s">
        <v>2791</v>
      </c>
      <c r="B1842" t="s">
        <v>2556</v>
      </c>
    </row>
    <row r="1843" spans="1:2" x14ac:dyDescent="0.25">
      <c r="A1843" t="s">
        <v>2792</v>
      </c>
      <c r="B1843" t="s">
        <v>2556</v>
      </c>
    </row>
    <row r="1844" spans="1:2" x14ac:dyDescent="0.25">
      <c r="A1844" t="s">
        <v>2793</v>
      </c>
      <c r="B1844" t="s">
        <v>2556</v>
      </c>
    </row>
    <row r="1845" spans="1:2" x14ac:dyDescent="0.25">
      <c r="A1845" t="s">
        <v>2794</v>
      </c>
      <c r="B1845" t="s">
        <v>2556</v>
      </c>
    </row>
    <row r="1846" spans="1:2" x14ac:dyDescent="0.25">
      <c r="A1846" t="s">
        <v>2795</v>
      </c>
      <c r="B1846" t="s">
        <v>2556</v>
      </c>
    </row>
    <row r="1847" spans="1:2" x14ac:dyDescent="0.25">
      <c r="A1847" t="s">
        <v>2796</v>
      </c>
      <c r="B1847" t="s">
        <v>2556</v>
      </c>
    </row>
    <row r="1848" spans="1:2" x14ac:dyDescent="0.25">
      <c r="A1848" t="s">
        <v>2797</v>
      </c>
      <c r="B1848" t="s">
        <v>2556</v>
      </c>
    </row>
    <row r="1849" spans="1:2" x14ac:dyDescent="0.25">
      <c r="A1849" t="s">
        <v>2798</v>
      </c>
      <c r="B1849" t="s">
        <v>2556</v>
      </c>
    </row>
    <row r="1850" spans="1:2" x14ac:dyDescent="0.25">
      <c r="A1850" t="s">
        <v>2799</v>
      </c>
      <c r="B1850" t="s">
        <v>2556</v>
      </c>
    </row>
    <row r="1851" spans="1:2" x14ac:dyDescent="0.25">
      <c r="A1851" t="s">
        <v>2800</v>
      </c>
      <c r="B1851" t="s">
        <v>2556</v>
      </c>
    </row>
    <row r="1852" spans="1:2" x14ac:dyDescent="0.25">
      <c r="A1852" t="s">
        <v>2801</v>
      </c>
      <c r="B1852" t="s">
        <v>2556</v>
      </c>
    </row>
    <row r="1853" spans="1:2" x14ac:dyDescent="0.25">
      <c r="A1853" t="s">
        <v>2802</v>
      </c>
      <c r="B1853" t="s">
        <v>2556</v>
      </c>
    </row>
    <row r="1854" spans="1:2" x14ac:dyDescent="0.25">
      <c r="A1854" t="s">
        <v>2803</v>
      </c>
      <c r="B1854" t="s">
        <v>2556</v>
      </c>
    </row>
    <row r="1855" spans="1:2" x14ac:dyDescent="0.25">
      <c r="A1855" t="s">
        <v>2804</v>
      </c>
      <c r="B1855" t="s">
        <v>2556</v>
      </c>
    </row>
    <row r="1856" spans="1:2" x14ac:dyDescent="0.25">
      <c r="A1856" t="s">
        <v>2805</v>
      </c>
      <c r="B1856" t="s">
        <v>2556</v>
      </c>
    </row>
    <row r="1857" spans="1:2" x14ac:dyDescent="0.25">
      <c r="A1857" t="s">
        <v>2806</v>
      </c>
      <c r="B1857" t="s">
        <v>2556</v>
      </c>
    </row>
    <row r="1858" spans="1:2" x14ac:dyDescent="0.25">
      <c r="A1858" t="s">
        <v>2807</v>
      </c>
      <c r="B1858" t="s">
        <v>2556</v>
      </c>
    </row>
    <row r="1859" spans="1:2" x14ac:dyDescent="0.25">
      <c r="A1859" t="s">
        <v>2808</v>
      </c>
      <c r="B1859" t="s">
        <v>2556</v>
      </c>
    </row>
    <row r="1860" spans="1:2" x14ac:dyDescent="0.25">
      <c r="A1860" t="s">
        <v>2809</v>
      </c>
      <c r="B1860" t="s">
        <v>2556</v>
      </c>
    </row>
    <row r="1861" spans="1:2" x14ac:dyDescent="0.25">
      <c r="A1861" t="s">
        <v>2810</v>
      </c>
      <c r="B1861" t="s">
        <v>2556</v>
      </c>
    </row>
    <row r="1862" spans="1:2" x14ac:dyDescent="0.25">
      <c r="A1862" t="s">
        <v>2811</v>
      </c>
      <c r="B1862" t="s">
        <v>2556</v>
      </c>
    </row>
    <row r="1863" spans="1:2" x14ac:dyDescent="0.25">
      <c r="A1863" t="s">
        <v>2812</v>
      </c>
      <c r="B1863" t="s">
        <v>2556</v>
      </c>
    </row>
    <row r="1864" spans="1:2" x14ac:dyDescent="0.25">
      <c r="A1864" t="s">
        <v>2813</v>
      </c>
      <c r="B1864" t="s">
        <v>2086</v>
      </c>
    </row>
    <row r="1865" spans="1:2" x14ac:dyDescent="0.25">
      <c r="A1865" t="s">
        <v>2814</v>
      </c>
      <c r="B1865" t="s">
        <v>2086</v>
      </c>
    </row>
    <row r="1866" spans="1:2" x14ac:dyDescent="0.25">
      <c r="A1866" t="s">
        <v>2815</v>
      </c>
      <c r="B1866" t="s">
        <v>2086</v>
      </c>
    </row>
    <row r="1867" spans="1:2" x14ac:dyDescent="0.25">
      <c r="A1867" t="s">
        <v>2816</v>
      </c>
      <c r="B1867" t="s">
        <v>2086</v>
      </c>
    </row>
    <row r="1868" spans="1:2" x14ac:dyDescent="0.25">
      <c r="A1868" t="s">
        <v>2817</v>
      </c>
      <c r="B1868" t="s">
        <v>2086</v>
      </c>
    </row>
    <row r="1869" spans="1:2" x14ac:dyDescent="0.25">
      <c r="A1869" t="s">
        <v>2818</v>
      </c>
      <c r="B1869" t="s">
        <v>2086</v>
      </c>
    </row>
    <row r="1870" spans="1:2" x14ac:dyDescent="0.25">
      <c r="A1870" t="s">
        <v>2819</v>
      </c>
      <c r="B1870" t="s">
        <v>2086</v>
      </c>
    </row>
    <row r="1871" spans="1:2" x14ac:dyDescent="0.25">
      <c r="A1871" t="s">
        <v>2820</v>
      </c>
      <c r="B1871" t="s">
        <v>2086</v>
      </c>
    </row>
    <row r="1872" spans="1:2" x14ac:dyDescent="0.25">
      <c r="A1872" t="s">
        <v>2821</v>
      </c>
      <c r="B1872" t="s">
        <v>2086</v>
      </c>
    </row>
    <row r="1873" spans="1:2" x14ac:dyDescent="0.25">
      <c r="A1873" t="s">
        <v>2822</v>
      </c>
      <c r="B1873" t="s">
        <v>2086</v>
      </c>
    </row>
    <row r="1874" spans="1:2" x14ac:dyDescent="0.25">
      <c r="A1874" t="s">
        <v>2823</v>
      </c>
      <c r="B1874" t="s">
        <v>2086</v>
      </c>
    </row>
    <row r="1875" spans="1:2" x14ac:dyDescent="0.25">
      <c r="A1875" t="s">
        <v>2824</v>
      </c>
      <c r="B1875" t="s">
        <v>2086</v>
      </c>
    </row>
    <row r="1876" spans="1:2" x14ac:dyDescent="0.25">
      <c r="A1876" t="s">
        <v>2825</v>
      </c>
      <c r="B1876" t="s">
        <v>2086</v>
      </c>
    </row>
    <row r="1877" spans="1:2" x14ac:dyDescent="0.25">
      <c r="A1877" t="s">
        <v>2826</v>
      </c>
      <c r="B1877" t="s">
        <v>2086</v>
      </c>
    </row>
    <row r="1878" spans="1:2" x14ac:dyDescent="0.25">
      <c r="A1878" t="s">
        <v>2827</v>
      </c>
      <c r="B1878" t="s">
        <v>2086</v>
      </c>
    </row>
    <row r="1879" spans="1:2" x14ac:dyDescent="0.25">
      <c r="A1879" t="s">
        <v>2828</v>
      </c>
      <c r="B1879" t="s">
        <v>2086</v>
      </c>
    </row>
    <row r="1880" spans="1:2" x14ac:dyDescent="0.25">
      <c r="A1880" t="s">
        <v>2829</v>
      </c>
      <c r="B1880" t="s">
        <v>2086</v>
      </c>
    </row>
    <row r="1881" spans="1:2" x14ac:dyDescent="0.25">
      <c r="A1881" t="s">
        <v>2830</v>
      </c>
      <c r="B1881" t="s">
        <v>2086</v>
      </c>
    </row>
    <row r="1882" spans="1:2" x14ac:dyDescent="0.25">
      <c r="A1882" t="s">
        <v>2831</v>
      </c>
      <c r="B1882" t="s">
        <v>2086</v>
      </c>
    </row>
    <row r="1883" spans="1:2" x14ac:dyDescent="0.25">
      <c r="A1883" t="s">
        <v>2832</v>
      </c>
      <c r="B1883" t="s">
        <v>2086</v>
      </c>
    </row>
    <row r="1884" spans="1:2" x14ac:dyDescent="0.25">
      <c r="A1884" t="s">
        <v>2833</v>
      </c>
      <c r="B1884" t="s">
        <v>2086</v>
      </c>
    </row>
    <row r="1885" spans="1:2" x14ac:dyDescent="0.25">
      <c r="A1885" t="s">
        <v>2834</v>
      </c>
      <c r="B1885" t="s">
        <v>2086</v>
      </c>
    </row>
    <row r="1886" spans="1:2" x14ac:dyDescent="0.25">
      <c r="A1886" t="s">
        <v>2835</v>
      </c>
      <c r="B1886" t="s">
        <v>2086</v>
      </c>
    </row>
    <row r="1887" spans="1:2" x14ac:dyDescent="0.25">
      <c r="A1887" t="s">
        <v>2836</v>
      </c>
      <c r="B1887" t="s">
        <v>2086</v>
      </c>
    </row>
    <row r="1888" spans="1:2" x14ac:dyDescent="0.25">
      <c r="A1888" t="s">
        <v>2837</v>
      </c>
      <c r="B1888" t="s">
        <v>2086</v>
      </c>
    </row>
    <row r="1889" spans="1:2" x14ac:dyDescent="0.25">
      <c r="A1889" t="s">
        <v>2838</v>
      </c>
      <c r="B1889" t="s">
        <v>2086</v>
      </c>
    </row>
    <row r="1890" spans="1:2" x14ac:dyDescent="0.25">
      <c r="A1890" t="s">
        <v>2839</v>
      </c>
      <c r="B1890" t="s">
        <v>2086</v>
      </c>
    </row>
    <row r="1891" spans="1:2" x14ac:dyDescent="0.25">
      <c r="A1891" t="s">
        <v>2840</v>
      </c>
      <c r="B1891" t="s">
        <v>2086</v>
      </c>
    </row>
    <row r="1892" spans="1:2" x14ac:dyDescent="0.25">
      <c r="A1892" t="s">
        <v>2841</v>
      </c>
      <c r="B1892" t="s">
        <v>2556</v>
      </c>
    </row>
    <row r="1893" spans="1:2" x14ac:dyDescent="0.25">
      <c r="A1893" t="s">
        <v>2842</v>
      </c>
      <c r="B1893" t="s">
        <v>2556</v>
      </c>
    </row>
    <row r="1894" spans="1:2" x14ac:dyDescent="0.25">
      <c r="A1894" t="s">
        <v>2843</v>
      </c>
      <c r="B1894" t="s">
        <v>2556</v>
      </c>
    </row>
    <row r="1895" spans="1:2" x14ac:dyDescent="0.25">
      <c r="A1895" t="s">
        <v>2844</v>
      </c>
      <c r="B1895" t="s">
        <v>2556</v>
      </c>
    </row>
    <row r="1896" spans="1:2" x14ac:dyDescent="0.25">
      <c r="A1896" t="s">
        <v>2845</v>
      </c>
      <c r="B1896" t="s">
        <v>2556</v>
      </c>
    </row>
    <row r="1897" spans="1:2" x14ac:dyDescent="0.25">
      <c r="A1897" t="s">
        <v>2846</v>
      </c>
      <c r="B1897" t="s">
        <v>2556</v>
      </c>
    </row>
    <row r="1898" spans="1:2" x14ac:dyDescent="0.25">
      <c r="A1898" t="s">
        <v>2847</v>
      </c>
      <c r="B1898" t="s">
        <v>2556</v>
      </c>
    </row>
    <row r="1899" spans="1:2" x14ac:dyDescent="0.25">
      <c r="A1899" t="s">
        <v>2848</v>
      </c>
      <c r="B1899" t="s">
        <v>2556</v>
      </c>
    </row>
    <row r="1900" spans="1:2" x14ac:dyDescent="0.25">
      <c r="A1900" t="s">
        <v>2849</v>
      </c>
      <c r="B1900" t="s">
        <v>2556</v>
      </c>
    </row>
    <row r="1901" spans="1:2" x14ac:dyDescent="0.25">
      <c r="A1901" t="s">
        <v>2850</v>
      </c>
      <c r="B1901" t="s">
        <v>2556</v>
      </c>
    </row>
    <row r="1902" spans="1:2" x14ac:dyDescent="0.25">
      <c r="A1902" t="s">
        <v>2851</v>
      </c>
      <c r="B1902" t="s">
        <v>2556</v>
      </c>
    </row>
    <row r="1903" spans="1:2" x14ac:dyDescent="0.25">
      <c r="A1903" t="s">
        <v>2852</v>
      </c>
      <c r="B1903" t="s">
        <v>2556</v>
      </c>
    </row>
    <row r="1904" spans="1:2" x14ac:dyDescent="0.25">
      <c r="A1904" t="s">
        <v>2853</v>
      </c>
      <c r="B1904" t="s">
        <v>2556</v>
      </c>
    </row>
    <row r="1905" spans="1:2" x14ac:dyDescent="0.25">
      <c r="A1905" t="s">
        <v>2854</v>
      </c>
      <c r="B1905" t="s">
        <v>2556</v>
      </c>
    </row>
    <row r="1906" spans="1:2" x14ac:dyDescent="0.25">
      <c r="A1906" t="s">
        <v>2855</v>
      </c>
      <c r="B1906" t="s">
        <v>2556</v>
      </c>
    </row>
    <row r="1907" spans="1:2" x14ac:dyDescent="0.25">
      <c r="A1907" t="s">
        <v>2856</v>
      </c>
      <c r="B1907" t="s">
        <v>2556</v>
      </c>
    </row>
    <row r="1908" spans="1:2" x14ac:dyDescent="0.25">
      <c r="A1908" t="s">
        <v>2857</v>
      </c>
      <c r="B1908" t="s">
        <v>2556</v>
      </c>
    </row>
    <row r="1909" spans="1:2" x14ac:dyDescent="0.25">
      <c r="A1909" t="s">
        <v>2858</v>
      </c>
      <c r="B1909" t="s">
        <v>2556</v>
      </c>
    </row>
    <row r="1910" spans="1:2" x14ac:dyDescent="0.25">
      <c r="A1910" t="s">
        <v>2859</v>
      </c>
      <c r="B1910" t="s">
        <v>2556</v>
      </c>
    </row>
    <row r="1911" spans="1:2" x14ac:dyDescent="0.25">
      <c r="A1911" t="s">
        <v>2860</v>
      </c>
      <c r="B1911" t="s">
        <v>2556</v>
      </c>
    </row>
    <row r="1912" spans="1:2" x14ac:dyDescent="0.25">
      <c r="A1912" t="s">
        <v>2861</v>
      </c>
      <c r="B1912" t="s">
        <v>2556</v>
      </c>
    </row>
    <row r="1913" spans="1:2" x14ac:dyDescent="0.25">
      <c r="A1913" t="s">
        <v>2862</v>
      </c>
      <c r="B1913" t="s">
        <v>2556</v>
      </c>
    </row>
    <row r="1914" spans="1:2" x14ac:dyDescent="0.25">
      <c r="A1914" t="s">
        <v>2863</v>
      </c>
      <c r="B1914" t="s">
        <v>2556</v>
      </c>
    </row>
    <row r="1915" spans="1:2" x14ac:dyDescent="0.25">
      <c r="A1915" t="s">
        <v>2864</v>
      </c>
      <c r="B1915" t="s">
        <v>2556</v>
      </c>
    </row>
    <row r="1916" spans="1:2" x14ac:dyDescent="0.25">
      <c r="A1916" t="s">
        <v>2865</v>
      </c>
      <c r="B1916" t="s">
        <v>2099</v>
      </c>
    </row>
    <row r="1917" spans="1:2" x14ac:dyDescent="0.25">
      <c r="A1917" t="s">
        <v>2866</v>
      </c>
      <c r="B1917" t="s">
        <v>2099</v>
      </c>
    </row>
    <row r="1918" spans="1:2" x14ac:dyDescent="0.25">
      <c r="A1918" t="s">
        <v>2867</v>
      </c>
      <c r="B1918" t="s">
        <v>2099</v>
      </c>
    </row>
    <row r="1919" spans="1:2" x14ac:dyDescent="0.25">
      <c r="A1919" t="s">
        <v>2868</v>
      </c>
      <c r="B1919" t="s">
        <v>2099</v>
      </c>
    </row>
    <row r="1920" spans="1:2" x14ac:dyDescent="0.25">
      <c r="A1920" t="s">
        <v>2869</v>
      </c>
      <c r="B1920" t="s">
        <v>2099</v>
      </c>
    </row>
    <row r="1921" spans="1:2" x14ac:dyDescent="0.25">
      <c r="A1921" t="s">
        <v>2870</v>
      </c>
      <c r="B1921" t="s">
        <v>2099</v>
      </c>
    </row>
    <row r="1922" spans="1:2" x14ac:dyDescent="0.25">
      <c r="A1922" t="s">
        <v>2871</v>
      </c>
      <c r="B1922" t="s">
        <v>2099</v>
      </c>
    </row>
    <row r="1923" spans="1:2" x14ac:dyDescent="0.25">
      <c r="A1923" t="s">
        <v>2872</v>
      </c>
      <c r="B1923" t="s">
        <v>2099</v>
      </c>
    </row>
    <row r="1924" spans="1:2" x14ac:dyDescent="0.25">
      <c r="A1924" t="s">
        <v>2873</v>
      </c>
      <c r="B1924" t="s">
        <v>2099</v>
      </c>
    </row>
    <row r="1925" spans="1:2" x14ac:dyDescent="0.25">
      <c r="A1925" t="s">
        <v>2874</v>
      </c>
      <c r="B1925" t="s">
        <v>2099</v>
      </c>
    </row>
    <row r="1926" spans="1:2" x14ac:dyDescent="0.25">
      <c r="A1926" t="s">
        <v>2875</v>
      </c>
      <c r="B1926" t="s">
        <v>2099</v>
      </c>
    </row>
    <row r="1927" spans="1:2" x14ac:dyDescent="0.25">
      <c r="A1927" t="s">
        <v>2876</v>
      </c>
      <c r="B1927" t="s">
        <v>2099</v>
      </c>
    </row>
    <row r="1928" spans="1:2" x14ac:dyDescent="0.25">
      <c r="A1928" t="s">
        <v>2877</v>
      </c>
      <c r="B1928" t="s">
        <v>2055</v>
      </c>
    </row>
    <row r="1929" spans="1:2" x14ac:dyDescent="0.25">
      <c r="A1929" t="s">
        <v>2878</v>
      </c>
      <c r="B1929" t="s">
        <v>2055</v>
      </c>
    </row>
    <row r="1930" spans="1:2" x14ac:dyDescent="0.25">
      <c r="A1930" t="s">
        <v>2879</v>
      </c>
      <c r="B1930" t="s">
        <v>2055</v>
      </c>
    </row>
    <row r="1931" spans="1:2" x14ac:dyDescent="0.25">
      <c r="A1931" t="s">
        <v>2880</v>
      </c>
      <c r="B1931" t="s">
        <v>2055</v>
      </c>
    </row>
    <row r="1932" spans="1:2" x14ac:dyDescent="0.25">
      <c r="A1932" t="s">
        <v>2881</v>
      </c>
      <c r="B1932" t="s">
        <v>2055</v>
      </c>
    </row>
    <row r="1933" spans="1:2" x14ac:dyDescent="0.25">
      <c r="A1933" t="s">
        <v>2882</v>
      </c>
      <c r="B1933" t="s">
        <v>2055</v>
      </c>
    </row>
    <row r="1934" spans="1:2" x14ac:dyDescent="0.25">
      <c r="A1934" t="s">
        <v>2883</v>
      </c>
      <c r="B1934" t="s">
        <v>2055</v>
      </c>
    </row>
    <row r="1935" spans="1:2" x14ac:dyDescent="0.25">
      <c r="A1935" t="s">
        <v>2884</v>
      </c>
      <c r="B1935" t="s">
        <v>2055</v>
      </c>
    </row>
    <row r="1936" spans="1:2" x14ac:dyDescent="0.25">
      <c r="A1936" t="s">
        <v>2885</v>
      </c>
      <c r="B1936" t="s">
        <v>2055</v>
      </c>
    </row>
    <row r="1937" spans="1:2" x14ac:dyDescent="0.25">
      <c r="A1937" t="s">
        <v>2886</v>
      </c>
      <c r="B1937" t="s">
        <v>2055</v>
      </c>
    </row>
    <row r="1938" spans="1:2" x14ac:dyDescent="0.25">
      <c r="A1938" t="s">
        <v>2887</v>
      </c>
      <c r="B1938" t="s">
        <v>2055</v>
      </c>
    </row>
    <row r="1939" spans="1:2" x14ac:dyDescent="0.25">
      <c r="A1939" t="s">
        <v>2888</v>
      </c>
      <c r="B1939" t="s">
        <v>2055</v>
      </c>
    </row>
    <row r="1940" spans="1:2" x14ac:dyDescent="0.25">
      <c r="A1940" t="s">
        <v>2889</v>
      </c>
      <c r="B1940" t="s">
        <v>2055</v>
      </c>
    </row>
    <row r="1941" spans="1:2" x14ac:dyDescent="0.25">
      <c r="A1941" t="s">
        <v>2890</v>
      </c>
      <c r="B1941" t="s">
        <v>2055</v>
      </c>
    </row>
    <row r="1942" spans="1:2" x14ac:dyDescent="0.25">
      <c r="A1942" t="s">
        <v>2891</v>
      </c>
      <c r="B1942" t="s">
        <v>2055</v>
      </c>
    </row>
    <row r="1943" spans="1:2" x14ac:dyDescent="0.25">
      <c r="A1943" t="s">
        <v>2892</v>
      </c>
      <c r="B1943" t="s">
        <v>2055</v>
      </c>
    </row>
    <row r="1944" spans="1:2" x14ac:dyDescent="0.25">
      <c r="A1944" t="s">
        <v>2893</v>
      </c>
      <c r="B1944" t="s">
        <v>2055</v>
      </c>
    </row>
    <row r="1945" spans="1:2" x14ac:dyDescent="0.25">
      <c r="A1945" t="s">
        <v>2894</v>
      </c>
      <c r="B1945" t="s">
        <v>2055</v>
      </c>
    </row>
    <row r="1946" spans="1:2" x14ac:dyDescent="0.25">
      <c r="A1946" t="s">
        <v>2895</v>
      </c>
      <c r="B1946" t="s">
        <v>2055</v>
      </c>
    </row>
    <row r="1947" spans="1:2" x14ac:dyDescent="0.25">
      <c r="A1947" t="s">
        <v>2896</v>
      </c>
      <c r="B1947" t="s">
        <v>2055</v>
      </c>
    </row>
    <row r="1948" spans="1:2" x14ac:dyDescent="0.25">
      <c r="A1948" t="s">
        <v>2897</v>
      </c>
      <c r="B1948" t="s">
        <v>2055</v>
      </c>
    </row>
    <row r="1949" spans="1:2" x14ac:dyDescent="0.25">
      <c r="A1949" t="s">
        <v>2898</v>
      </c>
      <c r="B1949" t="s">
        <v>2055</v>
      </c>
    </row>
    <row r="1950" spans="1:2" x14ac:dyDescent="0.25">
      <c r="A1950" t="s">
        <v>2899</v>
      </c>
      <c r="B1950" t="s">
        <v>2055</v>
      </c>
    </row>
    <row r="1951" spans="1:2" x14ac:dyDescent="0.25">
      <c r="A1951" t="s">
        <v>2900</v>
      </c>
      <c r="B1951" t="s">
        <v>2055</v>
      </c>
    </row>
    <row r="1952" spans="1:2" x14ac:dyDescent="0.25">
      <c r="A1952" t="s">
        <v>2901</v>
      </c>
      <c r="B1952" t="s">
        <v>2055</v>
      </c>
    </row>
    <row r="1953" spans="1:2" x14ac:dyDescent="0.25">
      <c r="A1953" t="s">
        <v>2902</v>
      </c>
      <c r="B1953" t="s">
        <v>2055</v>
      </c>
    </row>
    <row r="1954" spans="1:2" x14ac:dyDescent="0.25">
      <c r="A1954" t="s">
        <v>2903</v>
      </c>
      <c r="B1954" t="s">
        <v>2055</v>
      </c>
    </row>
    <row r="1955" spans="1:2" x14ac:dyDescent="0.25">
      <c r="A1955" t="s">
        <v>2904</v>
      </c>
      <c r="B1955" t="s">
        <v>2055</v>
      </c>
    </row>
    <row r="1956" spans="1:2" x14ac:dyDescent="0.25">
      <c r="A1956" t="s">
        <v>2905</v>
      </c>
      <c r="B1956" t="s">
        <v>2055</v>
      </c>
    </row>
    <row r="1957" spans="1:2" x14ac:dyDescent="0.25">
      <c r="A1957" t="s">
        <v>2906</v>
      </c>
      <c r="B1957" t="s">
        <v>2055</v>
      </c>
    </row>
    <row r="1958" spans="1:2" x14ac:dyDescent="0.25">
      <c r="A1958" t="s">
        <v>2907</v>
      </c>
      <c r="B1958" t="s">
        <v>2055</v>
      </c>
    </row>
    <row r="1959" spans="1:2" x14ac:dyDescent="0.25">
      <c r="A1959" t="s">
        <v>2908</v>
      </c>
      <c r="B1959" t="s">
        <v>2055</v>
      </c>
    </row>
    <row r="1960" spans="1:2" x14ac:dyDescent="0.25">
      <c r="A1960" t="s">
        <v>2909</v>
      </c>
      <c r="B1960" t="s">
        <v>2055</v>
      </c>
    </row>
    <row r="1961" spans="1:2" x14ac:dyDescent="0.25">
      <c r="A1961" t="s">
        <v>2910</v>
      </c>
      <c r="B1961" t="s">
        <v>2055</v>
      </c>
    </row>
    <row r="1962" spans="1:2" x14ac:dyDescent="0.25">
      <c r="A1962" t="s">
        <v>2911</v>
      </c>
      <c r="B1962" t="s">
        <v>2055</v>
      </c>
    </row>
    <row r="1963" spans="1:2" x14ac:dyDescent="0.25">
      <c r="A1963" t="s">
        <v>2912</v>
      </c>
      <c r="B1963" t="s">
        <v>2055</v>
      </c>
    </row>
    <row r="1964" spans="1:2" x14ac:dyDescent="0.25">
      <c r="A1964" t="s">
        <v>2913</v>
      </c>
      <c r="B1964" t="s">
        <v>2055</v>
      </c>
    </row>
    <row r="1965" spans="1:2" x14ac:dyDescent="0.25">
      <c r="A1965" t="s">
        <v>2914</v>
      </c>
      <c r="B1965" t="s">
        <v>2055</v>
      </c>
    </row>
    <row r="1966" spans="1:2" x14ac:dyDescent="0.25">
      <c r="A1966" t="s">
        <v>2915</v>
      </c>
      <c r="B1966" t="s">
        <v>2055</v>
      </c>
    </row>
    <row r="1967" spans="1:2" x14ac:dyDescent="0.25">
      <c r="A1967" t="s">
        <v>2916</v>
      </c>
      <c r="B1967" t="s">
        <v>2055</v>
      </c>
    </row>
    <row r="1968" spans="1:2" x14ac:dyDescent="0.25">
      <c r="A1968" t="s">
        <v>2917</v>
      </c>
      <c r="B1968" t="s">
        <v>2055</v>
      </c>
    </row>
    <row r="1969" spans="1:2" x14ac:dyDescent="0.25">
      <c r="A1969" t="s">
        <v>2918</v>
      </c>
      <c r="B1969" t="s">
        <v>2055</v>
      </c>
    </row>
    <row r="1970" spans="1:2" x14ac:dyDescent="0.25">
      <c r="A1970" t="s">
        <v>2919</v>
      </c>
      <c r="B1970" t="s">
        <v>2055</v>
      </c>
    </row>
    <row r="1971" spans="1:2" x14ac:dyDescent="0.25">
      <c r="A1971" t="s">
        <v>2920</v>
      </c>
      <c r="B1971" t="s">
        <v>2055</v>
      </c>
    </row>
    <row r="1972" spans="1:2" x14ac:dyDescent="0.25">
      <c r="A1972" t="s">
        <v>2921</v>
      </c>
      <c r="B1972" t="s">
        <v>2055</v>
      </c>
    </row>
    <row r="1973" spans="1:2" x14ac:dyDescent="0.25">
      <c r="A1973" t="s">
        <v>2922</v>
      </c>
      <c r="B1973" t="s">
        <v>2055</v>
      </c>
    </row>
    <row r="1974" spans="1:2" x14ac:dyDescent="0.25">
      <c r="A1974" t="s">
        <v>2923</v>
      </c>
      <c r="B1974" t="s">
        <v>2055</v>
      </c>
    </row>
    <row r="1975" spans="1:2" x14ac:dyDescent="0.25">
      <c r="A1975" t="s">
        <v>2924</v>
      </c>
      <c r="B1975" t="s">
        <v>2055</v>
      </c>
    </row>
    <row r="1976" spans="1:2" x14ac:dyDescent="0.25">
      <c r="A1976" t="s">
        <v>2925</v>
      </c>
      <c r="B1976" t="s">
        <v>2055</v>
      </c>
    </row>
    <row r="1977" spans="1:2" x14ac:dyDescent="0.25">
      <c r="A1977" t="s">
        <v>2926</v>
      </c>
      <c r="B1977" t="s">
        <v>2055</v>
      </c>
    </row>
    <row r="1978" spans="1:2" x14ac:dyDescent="0.25">
      <c r="A1978" t="s">
        <v>2927</v>
      </c>
      <c r="B1978" t="s">
        <v>2055</v>
      </c>
    </row>
    <row r="1979" spans="1:2" x14ac:dyDescent="0.25">
      <c r="A1979" t="s">
        <v>2928</v>
      </c>
      <c r="B1979" t="s">
        <v>2055</v>
      </c>
    </row>
    <row r="1980" spans="1:2" x14ac:dyDescent="0.25">
      <c r="A1980" t="s">
        <v>2929</v>
      </c>
      <c r="B1980" t="s">
        <v>2055</v>
      </c>
    </row>
    <row r="1981" spans="1:2" x14ac:dyDescent="0.25">
      <c r="A1981" t="s">
        <v>2930</v>
      </c>
      <c r="B1981" t="s">
        <v>2055</v>
      </c>
    </row>
    <row r="1982" spans="1:2" x14ac:dyDescent="0.25">
      <c r="A1982" t="s">
        <v>2931</v>
      </c>
      <c r="B1982" t="s">
        <v>2055</v>
      </c>
    </row>
    <row r="1983" spans="1:2" x14ac:dyDescent="0.25">
      <c r="A1983" t="s">
        <v>2932</v>
      </c>
      <c r="B1983" t="s">
        <v>2055</v>
      </c>
    </row>
    <row r="1984" spans="1:2" x14ac:dyDescent="0.25">
      <c r="A1984" t="s">
        <v>2933</v>
      </c>
      <c r="B1984" t="s">
        <v>2055</v>
      </c>
    </row>
    <row r="1985" spans="1:2" x14ac:dyDescent="0.25">
      <c r="A1985" t="s">
        <v>2934</v>
      </c>
      <c r="B1985" t="s">
        <v>2055</v>
      </c>
    </row>
    <row r="1986" spans="1:2" x14ac:dyDescent="0.25">
      <c r="A1986" t="s">
        <v>2935</v>
      </c>
      <c r="B1986" t="s">
        <v>2055</v>
      </c>
    </row>
    <row r="1987" spans="1:2" x14ac:dyDescent="0.25">
      <c r="A1987" t="s">
        <v>2936</v>
      </c>
      <c r="B1987" t="s">
        <v>2055</v>
      </c>
    </row>
    <row r="1988" spans="1:2" x14ac:dyDescent="0.25">
      <c r="A1988" t="s">
        <v>2937</v>
      </c>
      <c r="B1988" t="s">
        <v>2055</v>
      </c>
    </row>
    <row r="1989" spans="1:2" x14ac:dyDescent="0.25">
      <c r="A1989" t="s">
        <v>2938</v>
      </c>
      <c r="B1989" t="s">
        <v>2055</v>
      </c>
    </row>
    <row r="1990" spans="1:2" x14ac:dyDescent="0.25">
      <c r="A1990" t="s">
        <v>2939</v>
      </c>
      <c r="B1990" t="s">
        <v>2055</v>
      </c>
    </row>
    <row r="1991" spans="1:2" x14ac:dyDescent="0.25">
      <c r="A1991" t="s">
        <v>2940</v>
      </c>
      <c r="B1991" t="s">
        <v>2099</v>
      </c>
    </row>
    <row r="1992" spans="1:2" x14ac:dyDescent="0.25">
      <c r="A1992" t="s">
        <v>2941</v>
      </c>
      <c r="B1992" t="s">
        <v>2099</v>
      </c>
    </row>
    <row r="1993" spans="1:2" x14ac:dyDescent="0.25">
      <c r="A1993" t="s">
        <v>2942</v>
      </c>
      <c r="B1993" t="s">
        <v>2099</v>
      </c>
    </row>
    <row r="1994" spans="1:2" x14ac:dyDescent="0.25">
      <c r="A1994" t="s">
        <v>2943</v>
      </c>
      <c r="B1994" t="s">
        <v>2099</v>
      </c>
    </row>
    <row r="1995" spans="1:2" x14ac:dyDescent="0.25">
      <c r="A1995" t="s">
        <v>2944</v>
      </c>
      <c r="B1995" t="s">
        <v>2079</v>
      </c>
    </row>
    <row r="1996" spans="1:2" x14ac:dyDescent="0.25">
      <c r="A1996" t="s">
        <v>2945</v>
      </c>
      <c r="B1996" t="s">
        <v>2079</v>
      </c>
    </row>
    <row r="1997" spans="1:2" x14ac:dyDescent="0.25">
      <c r="A1997" t="s">
        <v>2946</v>
      </c>
      <c r="B1997" t="s">
        <v>2079</v>
      </c>
    </row>
    <row r="1998" spans="1:2" x14ac:dyDescent="0.25">
      <c r="A1998" t="s">
        <v>2947</v>
      </c>
      <c r="B1998" t="s">
        <v>2079</v>
      </c>
    </row>
    <row r="1999" spans="1:2" x14ac:dyDescent="0.25">
      <c r="A1999" t="s">
        <v>2948</v>
      </c>
      <c r="B1999" t="s">
        <v>2079</v>
      </c>
    </row>
    <row r="2000" spans="1:2" x14ac:dyDescent="0.25">
      <c r="A2000" t="s">
        <v>2949</v>
      </c>
      <c r="B2000" t="s">
        <v>2079</v>
      </c>
    </row>
    <row r="2001" spans="1:2" x14ac:dyDescent="0.25">
      <c r="A2001" t="s">
        <v>2950</v>
      </c>
      <c r="B2001" t="s">
        <v>2099</v>
      </c>
    </row>
    <row r="2002" spans="1:2" x14ac:dyDescent="0.25">
      <c r="A2002" t="s">
        <v>2951</v>
      </c>
      <c r="B2002" t="s">
        <v>2099</v>
      </c>
    </row>
    <row r="2003" spans="1:2" x14ac:dyDescent="0.25">
      <c r="A2003" t="s">
        <v>2952</v>
      </c>
      <c r="B2003" t="s">
        <v>2099</v>
      </c>
    </row>
    <row r="2004" spans="1:2" x14ac:dyDescent="0.25">
      <c r="A2004" t="s">
        <v>2953</v>
      </c>
      <c r="B2004" t="s">
        <v>2099</v>
      </c>
    </row>
    <row r="2005" spans="1:2" x14ac:dyDescent="0.25">
      <c r="A2005" t="s">
        <v>2954</v>
      </c>
      <c r="B2005" t="s">
        <v>2099</v>
      </c>
    </row>
    <row r="2006" spans="1:2" x14ac:dyDescent="0.25">
      <c r="A2006" t="s">
        <v>2955</v>
      </c>
      <c r="B2006" t="s">
        <v>2099</v>
      </c>
    </row>
    <row r="2007" spans="1:2" x14ac:dyDescent="0.25">
      <c r="A2007" t="s">
        <v>2956</v>
      </c>
      <c r="B2007" t="s">
        <v>2099</v>
      </c>
    </row>
    <row r="2008" spans="1:2" x14ac:dyDescent="0.25">
      <c r="A2008" t="s">
        <v>2957</v>
      </c>
      <c r="B2008" t="s">
        <v>2099</v>
      </c>
    </row>
    <row r="2009" spans="1:2" x14ac:dyDescent="0.25">
      <c r="A2009" t="s">
        <v>2958</v>
      </c>
      <c r="B2009" t="s">
        <v>2099</v>
      </c>
    </row>
    <row r="2010" spans="1:2" x14ac:dyDescent="0.25">
      <c r="A2010" t="s">
        <v>2959</v>
      </c>
      <c r="B2010" t="s">
        <v>2099</v>
      </c>
    </row>
    <row r="2011" spans="1:2" x14ac:dyDescent="0.25">
      <c r="A2011" t="s">
        <v>2960</v>
      </c>
      <c r="B2011" t="s">
        <v>2099</v>
      </c>
    </row>
    <row r="2012" spans="1:2" x14ac:dyDescent="0.25">
      <c r="A2012" t="s">
        <v>2961</v>
      </c>
      <c r="B2012" t="s">
        <v>2099</v>
      </c>
    </row>
    <row r="2013" spans="1:2" x14ac:dyDescent="0.25">
      <c r="A2013" t="s">
        <v>2962</v>
      </c>
      <c r="B2013" t="s">
        <v>2079</v>
      </c>
    </row>
    <row r="2014" spans="1:2" x14ac:dyDescent="0.25">
      <c r="A2014" t="s">
        <v>2963</v>
      </c>
      <c r="B2014" t="s">
        <v>2079</v>
      </c>
    </row>
    <row r="2015" spans="1:2" x14ac:dyDescent="0.25">
      <c r="A2015" t="s">
        <v>2964</v>
      </c>
      <c r="B2015" t="s">
        <v>2079</v>
      </c>
    </row>
    <row r="2016" spans="1:2" x14ac:dyDescent="0.25">
      <c r="A2016" t="s">
        <v>2965</v>
      </c>
      <c r="B2016" t="s">
        <v>2079</v>
      </c>
    </row>
    <row r="2017" spans="1:2" x14ac:dyDescent="0.25">
      <c r="A2017" t="s">
        <v>2966</v>
      </c>
      <c r="B2017" t="s">
        <v>2079</v>
      </c>
    </row>
    <row r="2018" spans="1:2" x14ac:dyDescent="0.25">
      <c r="A2018" t="s">
        <v>2967</v>
      </c>
      <c r="B2018" t="s">
        <v>2079</v>
      </c>
    </row>
    <row r="2019" spans="1:2" x14ac:dyDescent="0.25">
      <c r="A2019" t="s">
        <v>2968</v>
      </c>
      <c r="B2019" t="s">
        <v>2079</v>
      </c>
    </row>
    <row r="2020" spans="1:2" x14ac:dyDescent="0.25">
      <c r="A2020" t="s">
        <v>2969</v>
      </c>
      <c r="B2020" t="s">
        <v>2079</v>
      </c>
    </row>
    <row r="2021" spans="1:2" x14ac:dyDescent="0.25">
      <c r="A2021" t="s">
        <v>2970</v>
      </c>
      <c r="B2021" t="s">
        <v>2079</v>
      </c>
    </row>
    <row r="2022" spans="1:2" x14ac:dyDescent="0.25">
      <c r="A2022" t="s">
        <v>2971</v>
      </c>
      <c r="B2022" t="s">
        <v>2079</v>
      </c>
    </row>
    <row r="2023" spans="1:2" x14ac:dyDescent="0.25">
      <c r="A2023" t="s">
        <v>2972</v>
      </c>
      <c r="B2023" t="s">
        <v>2086</v>
      </c>
    </row>
    <row r="2024" spans="1:2" x14ac:dyDescent="0.25">
      <c r="A2024" t="s">
        <v>2973</v>
      </c>
      <c r="B2024" t="s">
        <v>2086</v>
      </c>
    </row>
    <row r="2025" spans="1:2" x14ac:dyDescent="0.25">
      <c r="A2025" t="s">
        <v>2974</v>
      </c>
      <c r="B2025" t="s">
        <v>2086</v>
      </c>
    </row>
    <row r="2026" spans="1:2" x14ac:dyDescent="0.25">
      <c r="A2026" t="s">
        <v>2975</v>
      </c>
      <c r="B2026" t="s">
        <v>2086</v>
      </c>
    </row>
    <row r="2027" spans="1:2" x14ac:dyDescent="0.25">
      <c r="A2027" t="s">
        <v>2976</v>
      </c>
      <c r="B2027" t="s">
        <v>2086</v>
      </c>
    </row>
    <row r="2028" spans="1:2" x14ac:dyDescent="0.25">
      <c r="A2028" t="s">
        <v>2977</v>
      </c>
      <c r="B2028" t="s">
        <v>2086</v>
      </c>
    </row>
    <row r="2029" spans="1:2" x14ac:dyDescent="0.25">
      <c r="A2029" t="s">
        <v>2978</v>
      </c>
      <c r="B2029" t="s">
        <v>2086</v>
      </c>
    </row>
    <row r="2030" spans="1:2" x14ac:dyDescent="0.25">
      <c r="A2030" t="s">
        <v>2979</v>
      </c>
      <c r="B2030" t="s">
        <v>2086</v>
      </c>
    </row>
    <row r="2031" spans="1:2" x14ac:dyDescent="0.25">
      <c r="A2031" t="s">
        <v>2980</v>
      </c>
      <c r="B2031" t="s">
        <v>2086</v>
      </c>
    </row>
    <row r="2032" spans="1:2" x14ac:dyDescent="0.25">
      <c r="A2032" t="s">
        <v>2981</v>
      </c>
      <c r="B2032" t="s">
        <v>2086</v>
      </c>
    </row>
    <row r="2033" spans="1:2" x14ac:dyDescent="0.25">
      <c r="A2033" t="s">
        <v>2982</v>
      </c>
      <c r="B2033" t="s">
        <v>2086</v>
      </c>
    </row>
    <row r="2034" spans="1:2" x14ac:dyDescent="0.25">
      <c r="A2034" t="s">
        <v>2983</v>
      </c>
      <c r="B2034" t="s">
        <v>2086</v>
      </c>
    </row>
    <row r="2035" spans="1:2" x14ac:dyDescent="0.25">
      <c r="A2035" t="s">
        <v>2984</v>
      </c>
      <c r="B2035" t="s">
        <v>2086</v>
      </c>
    </row>
    <row r="2036" spans="1:2" x14ac:dyDescent="0.25">
      <c r="A2036" t="s">
        <v>2985</v>
      </c>
      <c r="B2036" t="s">
        <v>2086</v>
      </c>
    </row>
    <row r="2037" spans="1:2" x14ac:dyDescent="0.25">
      <c r="A2037" t="s">
        <v>2986</v>
      </c>
      <c r="B2037" t="s">
        <v>2086</v>
      </c>
    </row>
    <row r="2038" spans="1:2" x14ac:dyDescent="0.25">
      <c r="A2038" t="s">
        <v>2987</v>
      </c>
      <c r="B2038" t="s">
        <v>2086</v>
      </c>
    </row>
    <row r="2039" spans="1:2" x14ac:dyDescent="0.25">
      <c r="A2039" t="s">
        <v>2988</v>
      </c>
      <c r="B2039" t="s">
        <v>2086</v>
      </c>
    </row>
    <row r="2040" spans="1:2" x14ac:dyDescent="0.25">
      <c r="A2040" t="s">
        <v>2989</v>
      </c>
      <c r="B2040" t="s">
        <v>2086</v>
      </c>
    </row>
    <row r="2041" spans="1:2" x14ac:dyDescent="0.25">
      <c r="A2041" t="s">
        <v>2990</v>
      </c>
      <c r="B2041" t="s">
        <v>2086</v>
      </c>
    </row>
    <row r="2042" spans="1:2" x14ac:dyDescent="0.25">
      <c r="A2042" t="s">
        <v>2991</v>
      </c>
      <c r="B2042" t="s">
        <v>2086</v>
      </c>
    </row>
    <row r="2043" spans="1:2" x14ac:dyDescent="0.25">
      <c r="A2043" t="s">
        <v>2992</v>
      </c>
      <c r="B2043" t="s">
        <v>2086</v>
      </c>
    </row>
    <row r="2044" spans="1:2" x14ac:dyDescent="0.25">
      <c r="A2044" t="s">
        <v>2993</v>
      </c>
      <c r="B2044" t="s">
        <v>2086</v>
      </c>
    </row>
    <row r="2045" spans="1:2" x14ac:dyDescent="0.25">
      <c r="A2045" t="s">
        <v>2994</v>
      </c>
      <c r="B2045" t="s">
        <v>2086</v>
      </c>
    </row>
    <row r="2046" spans="1:2" x14ac:dyDescent="0.25">
      <c r="A2046" t="s">
        <v>2995</v>
      </c>
      <c r="B2046" t="s">
        <v>2086</v>
      </c>
    </row>
    <row r="2047" spans="1:2" x14ac:dyDescent="0.25">
      <c r="A2047" t="s">
        <v>2996</v>
      </c>
      <c r="B2047" t="s">
        <v>2086</v>
      </c>
    </row>
    <row r="2048" spans="1:2" x14ac:dyDescent="0.25">
      <c r="A2048" t="s">
        <v>2997</v>
      </c>
      <c r="B2048" t="s">
        <v>2086</v>
      </c>
    </row>
    <row r="2049" spans="1:2" x14ac:dyDescent="0.25">
      <c r="A2049" t="s">
        <v>2998</v>
      </c>
      <c r="B2049" t="s">
        <v>2086</v>
      </c>
    </row>
    <row r="2050" spans="1:2" x14ac:dyDescent="0.25">
      <c r="A2050" t="s">
        <v>2999</v>
      </c>
      <c r="B2050" t="s">
        <v>2086</v>
      </c>
    </row>
    <row r="2051" spans="1:2" x14ac:dyDescent="0.25">
      <c r="A2051" t="s">
        <v>3000</v>
      </c>
      <c r="B2051" t="s">
        <v>2086</v>
      </c>
    </row>
    <row r="2052" spans="1:2" x14ac:dyDescent="0.25">
      <c r="A2052" t="s">
        <v>3001</v>
      </c>
      <c r="B2052" t="s">
        <v>2086</v>
      </c>
    </row>
    <row r="2053" spans="1:2" x14ac:dyDescent="0.25">
      <c r="A2053" t="s">
        <v>3002</v>
      </c>
      <c r="B2053" t="s">
        <v>2086</v>
      </c>
    </row>
    <row r="2054" spans="1:2" x14ac:dyDescent="0.25">
      <c r="A2054" t="s">
        <v>3003</v>
      </c>
      <c r="B2054" t="s">
        <v>2086</v>
      </c>
    </row>
    <row r="2055" spans="1:2" x14ac:dyDescent="0.25">
      <c r="A2055" t="s">
        <v>3004</v>
      </c>
      <c r="B2055" t="s">
        <v>2086</v>
      </c>
    </row>
    <row r="2056" spans="1:2" x14ac:dyDescent="0.25">
      <c r="A2056" t="s">
        <v>3005</v>
      </c>
      <c r="B2056" t="s">
        <v>2079</v>
      </c>
    </row>
    <row r="2057" spans="1:2" x14ac:dyDescent="0.25">
      <c r="A2057" t="s">
        <v>3006</v>
      </c>
      <c r="B2057" t="s">
        <v>2079</v>
      </c>
    </row>
    <row r="2058" spans="1:2" x14ac:dyDescent="0.25">
      <c r="A2058" t="s">
        <v>3007</v>
      </c>
      <c r="B2058" t="s">
        <v>2079</v>
      </c>
    </row>
    <row r="2059" spans="1:2" x14ac:dyDescent="0.25">
      <c r="A2059" t="s">
        <v>3008</v>
      </c>
      <c r="B2059" t="s">
        <v>2079</v>
      </c>
    </row>
    <row r="2060" spans="1:2" x14ac:dyDescent="0.25">
      <c r="A2060" t="s">
        <v>3009</v>
      </c>
      <c r="B2060" t="s">
        <v>2099</v>
      </c>
    </row>
    <row r="2061" spans="1:2" x14ac:dyDescent="0.25">
      <c r="A2061" t="s">
        <v>3010</v>
      </c>
      <c r="B2061" t="s">
        <v>2099</v>
      </c>
    </row>
    <row r="2062" spans="1:2" x14ac:dyDescent="0.25">
      <c r="A2062" t="s">
        <v>3011</v>
      </c>
      <c r="B2062" t="s">
        <v>2099</v>
      </c>
    </row>
    <row r="2063" spans="1:2" x14ac:dyDescent="0.25">
      <c r="A2063" t="s">
        <v>3012</v>
      </c>
      <c r="B2063" t="s">
        <v>2099</v>
      </c>
    </row>
    <row r="2064" spans="1:2" x14ac:dyDescent="0.25">
      <c r="A2064" t="s">
        <v>3013</v>
      </c>
      <c r="B2064" t="s">
        <v>2099</v>
      </c>
    </row>
    <row r="2065" spans="1:2" x14ac:dyDescent="0.25">
      <c r="A2065" t="s">
        <v>3014</v>
      </c>
      <c r="B2065" t="s">
        <v>2160</v>
      </c>
    </row>
    <row r="2066" spans="1:2" x14ac:dyDescent="0.25">
      <c r="A2066" t="s">
        <v>3015</v>
      </c>
      <c r="B2066" t="s">
        <v>2160</v>
      </c>
    </row>
    <row r="2067" spans="1:2" x14ac:dyDescent="0.25">
      <c r="A2067" t="s">
        <v>3016</v>
      </c>
      <c r="B2067" t="s">
        <v>2160</v>
      </c>
    </row>
    <row r="2068" spans="1:2" x14ac:dyDescent="0.25">
      <c r="A2068" t="s">
        <v>3017</v>
      </c>
      <c r="B2068" t="s">
        <v>2160</v>
      </c>
    </row>
    <row r="2069" spans="1:2" x14ac:dyDescent="0.25">
      <c r="A2069" t="s">
        <v>3018</v>
      </c>
      <c r="B2069" t="s">
        <v>2160</v>
      </c>
    </row>
    <row r="2070" spans="1:2" x14ac:dyDescent="0.25">
      <c r="A2070" t="s">
        <v>3019</v>
      </c>
      <c r="B2070" t="s">
        <v>2160</v>
      </c>
    </row>
    <row r="2071" spans="1:2" x14ac:dyDescent="0.25">
      <c r="A2071" t="s">
        <v>3020</v>
      </c>
      <c r="B2071" t="s">
        <v>2160</v>
      </c>
    </row>
    <row r="2072" spans="1:2" x14ac:dyDescent="0.25">
      <c r="A2072" t="s">
        <v>3021</v>
      </c>
      <c r="B2072" t="s">
        <v>2160</v>
      </c>
    </row>
    <row r="2073" spans="1:2" x14ac:dyDescent="0.25">
      <c r="A2073" t="s">
        <v>3022</v>
      </c>
      <c r="B2073" t="s">
        <v>2160</v>
      </c>
    </row>
    <row r="2074" spans="1:2" x14ac:dyDescent="0.25">
      <c r="A2074" t="s">
        <v>3023</v>
      </c>
      <c r="B2074" t="s">
        <v>2160</v>
      </c>
    </row>
    <row r="2075" spans="1:2" x14ac:dyDescent="0.25">
      <c r="A2075" t="s">
        <v>3024</v>
      </c>
      <c r="B2075" t="s">
        <v>2099</v>
      </c>
    </row>
    <row r="2076" spans="1:2" x14ac:dyDescent="0.25">
      <c r="A2076" t="s">
        <v>3025</v>
      </c>
      <c r="B2076" t="s">
        <v>2099</v>
      </c>
    </row>
    <row r="2077" spans="1:2" x14ac:dyDescent="0.25">
      <c r="A2077" t="s">
        <v>3026</v>
      </c>
      <c r="B2077" t="s">
        <v>2099</v>
      </c>
    </row>
    <row r="2078" spans="1:2" x14ac:dyDescent="0.25">
      <c r="A2078" t="s">
        <v>3027</v>
      </c>
      <c r="B2078" t="s">
        <v>2099</v>
      </c>
    </row>
    <row r="2079" spans="1:2" x14ac:dyDescent="0.25">
      <c r="A2079" t="s">
        <v>3028</v>
      </c>
      <c r="B2079" t="s">
        <v>2099</v>
      </c>
    </row>
    <row r="2080" spans="1:2" x14ac:dyDescent="0.25">
      <c r="A2080" t="s">
        <v>3029</v>
      </c>
      <c r="B2080" t="s">
        <v>2099</v>
      </c>
    </row>
    <row r="2081" spans="1:5" x14ac:dyDescent="0.25">
      <c r="A2081" t="s">
        <v>3030</v>
      </c>
      <c r="B2081" t="s">
        <v>2099</v>
      </c>
    </row>
    <row r="2082" spans="1:5" x14ac:dyDescent="0.25">
      <c r="A2082" t="s">
        <v>3031</v>
      </c>
      <c r="B2082" t="s">
        <v>2099</v>
      </c>
    </row>
    <row r="2083" spans="1:5" x14ac:dyDescent="0.25">
      <c r="A2083" s="8"/>
      <c r="B2083" s="8"/>
      <c r="C2083" s="8"/>
    </row>
    <row r="2084" spans="1:5" ht="18.75" x14ac:dyDescent="0.3">
      <c r="A2084" s="9" t="s">
        <v>3032</v>
      </c>
      <c r="B2084" s="9"/>
      <c r="C2084" s="7" t="s">
        <v>64</v>
      </c>
      <c r="E2084" s="16">
        <v>21</v>
      </c>
    </row>
    <row r="2085" spans="1:5" x14ac:dyDescent="0.25">
      <c r="A2085" s="10" t="s">
        <v>65</v>
      </c>
      <c r="B2085" s="10" t="s">
        <v>66</v>
      </c>
    </row>
    <row r="2086" spans="1:5" x14ac:dyDescent="0.25">
      <c r="A2086" s="11" t="s">
        <v>2051</v>
      </c>
      <c r="B2086" s="11" t="s">
        <v>3033</v>
      </c>
    </row>
    <row r="2087" spans="1:5" x14ac:dyDescent="0.25">
      <c r="A2087" s="11" t="s">
        <v>2048</v>
      </c>
      <c r="B2087" s="11" t="s">
        <v>3034</v>
      </c>
    </row>
    <row r="2088" spans="1:5" x14ac:dyDescent="0.25">
      <c r="A2088" s="11"/>
      <c r="B2088" s="11"/>
      <c r="C2088" s="8"/>
    </row>
    <row r="2089" spans="1:5" ht="18.75" x14ac:dyDescent="0.3">
      <c r="A2089" s="9" t="s">
        <v>35</v>
      </c>
      <c r="B2089" s="9"/>
      <c r="C2089" s="7" t="s">
        <v>64</v>
      </c>
      <c r="E2089" s="16">
        <v>22</v>
      </c>
    </row>
    <row r="2090" spans="1:5" x14ac:dyDescent="0.25">
      <c r="A2090" s="10" t="s">
        <v>65</v>
      </c>
      <c r="B2090" s="10" t="s">
        <v>66</v>
      </c>
    </row>
    <row r="2091" spans="1:5" x14ac:dyDescent="0.25">
      <c r="A2091" s="11" t="s">
        <v>3035</v>
      </c>
      <c r="B2091" s="11" t="s">
        <v>3036</v>
      </c>
    </row>
    <row r="2092" spans="1:5" x14ac:dyDescent="0.25">
      <c r="A2092" s="11" t="s">
        <v>3037</v>
      </c>
      <c r="B2092" s="11" t="s">
        <v>3038</v>
      </c>
    </row>
    <row r="2093" spans="1:5" x14ac:dyDescent="0.25">
      <c r="A2093" s="11"/>
      <c r="B2093" s="11"/>
      <c r="C2093" s="8"/>
    </row>
    <row r="2094" spans="1:5" ht="18.75" x14ac:dyDescent="0.3">
      <c r="A2094" s="9" t="s">
        <v>28</v>
      </c>
      <c r="B2094" s="9"/>
      <c r="C2094" s="7" t="s">
        <v>64</v>
      </c>
      <c r="E2094" s="16">
        <v>23</v>
      </c>
    </row>
    <row r="2095" spans="1:5" x14ac:dyDescent="0.25">
      <c r="A2095" s="10" t="s">
        <v>65</v>
      </c>
      <c r="B2095" s="10" t="s">
        <v>66</v>
      </c>
    </row>
    <row r="2096" spans="1:5" x14ac:dyDescent="0.25">
      <c r="A2096" s="11" t="s">
        <v>3039</v>
      </c>
      <c r="B2096" s="11" t="s">
        <v>1949</v>
      </c>
    </row>
    <row r="2097" spans="1:2" x14ac:dyDescent="0.25">
      <c r="A2097" s="11" t="s">
        <v>3040</v>
      </c>
      <c r="B2097" s="11" t="s">
        <v>1953</v>
      </c>
    </row>
    <row r="2098" spans="1:2" x14ac:dyDescent="0.25">
      <c r="A2098" s="11" t="s">
        <v>3041</v>
      </c>
      <c r="B2098" s="11" t="s">
        <v>1955</v>
      </c>
    </row>
    <row r="2099" spans="1:2" x14ac:dyDescent="0.25">
      <c r="A2099" s="11" t="s">
        <v>3042</v>
      </c>
      <c r="B2099" s="11" t="s">
        <v>1957</v>
      </c>
    </row>
    <row r="2100" spans="1:2" x14ac:dyDescent="0.25">
      <c r="A2100" s="11" t="s">
        <v>3043</v>
      </c>
      <c r="B2100" s="11" t="s">
        <v>1959</v>
      </c>
    </row>
    <row r="2101" spans="1:2" x14ac:dyDescent="0.25">
      <c r="A2101" s="11" t="s">
        <v>3044</v>
      </c>
      <c r="B2101" s="11" t="s">
        <v>1961</v>
      </c>
    </row>
    <row r="2102" spans="1:2" x14ac:dyDescent="0.25">
      <c r="A2102" s="11" t="s">
        <v>3045</v>
      </c>
      <c r="B2102" s="11" t="s">
        <v>1939</v>
      </c>
    </row>
    <row r="2103" spans="1:2" x14ac:dyDescent="0.25">
      <c r="A2103" s="11" t="s">
        <v>3046</v>
      </c>
      <c r="B2103" s="11" t="s">
        <v>1967</v>
      </c>
    </row>
    <row r="2104" spans="1:2" x14ac:dyDescent="0.25">
      <c r="A2104" s="11" t="s">
        <v>3047</v>
      </c>
      <c r="B2104" s="11" t="s">
        <v>1969</v>
      </c>
    </row>
    <row r="2105" spans="1:2" x14ac:dyDescent="0.25">
      <c r="A2105" s="11" t="s">
        <v>3048</v>
      </c>
      <c r="B2105" s="11" t="s">
        <v>1971</v>
      </c>
    </row>
    <row r="2106" spans="1:2" x14ac:dyDescent="0.25">
      <c r="A2106" s="11" t="s">
        <v>3049</v>
      </c>
      <c r="B2106" s="11" t="s">
        <v>1977</v>
      </c>
    </row>
    <row r="2107" spans="1:2" x14ac:dyDescent="0.25">
      <c r="A2107" s="11" t="s">
        <v>3050</v>
      </c>
      <c r="B2107" s="11" t="s">
        <v>1941</v>
      </c>
    </row>
    <row r="2108" spans="1:2" x14ac:dyDescent="0.25">
      <c r="A2108" s="11" t="s">
        <v>3051</v>
      </c>
      <c r="B2108" s="11" t="s">
        <v>1973</v>
      </c>
    </row>
    <row r="2109" spans="1:2" x14ac:dyDescent="0.25">
      <c r="A2109" s="11" t="s">
        <v>3052</v>
      </c>
      <c r="B2109" s="11" t="s">
        <v>1975</v>
      </c>
    </row>
    <row r="2110" spans="1:2" x14ac:dyDescent="0.25">
      <c r="A2110" s="11" t="s">
        <v>3053</v>
      </c>
      <c r="B2110" s="11" t="s">
        <v>1979</v>
      </c>
    </row>
    <row r="2111" spans="1:2" x14ac:dyDescent="0.25">
      <c r="A2111" s="11" t="s">
        <v>3054</v>
      </c>
      <c r="B2111" s="11" t="s">
        <v>1981</v>
      </c>
    </row>
    <row r="2112" spans="1:2" x14ac:dyDescent="0.25">
      <c r="A2112" s="11" t="s">
        <v>981</v>
      </c>
      <c r="B2112" s="11" t="s">
        <v>1983</v>
      </c>
    </row>
    <row r="2113" spans="1:2" x14ac:dyDescent="0.25">
      <c r="A2113" s="11" t="s">
        <v>3055</v>
      </c>
      <c r="B2113" s="11" t="s">
        <v>1990</v>
      </c>
    </row>
    <row r="2114" spans="1:2" x14ac:dyDescent="0.25">
      <c r="A2114" s="11" t="s">
        <v>3056</v>
      </c>
      <c r="B2114" s="11" t="s">
        <v>1988</v>
      </c>
    </row>
    <row r="2115" spans="1:2" x14ac:dyDescent="0.25">
      <c r="A2115" s="11" t="s">
        <v>3057</v>
      </c>
      <c r="B2115" s="11" t="s">
        <v>1992</v>
      </c>
    </row>
    <row r="2116" spans="1:2" x14ac:dyDescent="0.25">
      <c r="A2116" s="11" t="s">
        <v>3058</v>
      </c>
      <c r="B2116" s="11" t="s">
        <v>1996</v>
      </c>
    </row>
    <row r="2117" spans="1:2" x14ac:dyDescent="0.25">
      <c r="A2117" s="11" t="s">
        <v>3059</v>
      </c>
      <c r="B2117" s="11" t="s">
        <v>2000</v>
      </c>
    </row>
    <row r="2118" spans="1:2" x14ac:dyDescent="0.25">
      <c r="A2118" s="11" t="s">
        <v>3060</v>
      </c>
      <c r="B2118" s="11" t="s">
        <v>2014</v>
      </c>
    </row>
    <row r="2119" spans="1:2" x14ac:dyDescent="0.25">
      <c r="A2119" s="11" t="s">
        <v>3061</v>
      </c>
      <c r="B2119" s="11" t="s">
        <v>1998</v>
      </c>
    </row>
    <row r="2120" spans="1:2" x14ac:dyDescent="0.25">
      <c r="A2120" s="11" t="s">
        <v>3062</v>
      </c>
      <c r="B2120" s="11" t="s">
        <v>1951</v>
      </c>
    </row>
    <row r="2121" spans="1:2" x14ac:dyDescent="0.25">
      <c r="A2121" s="11" t="s">
        <v>3063</v>
      </c>
      <c r="B2121" s="11" t="s">
        <v>2004</v>
      </c>
    </row>
    <row r="2122" spans="1:2" x14ac:dyDescent="0.25">
      <c r="A2122" s="11" t="s">
        <v>3064</v>
      </c>
      <c r="B2122" s="11" t="s">
        <v>1937</v>
      </c>
    </row>
    <row r="2123" spans="1:2" x14ac:dyDescent="0.25">
      <c r="A2123" s="11" t="s">
        <v>3065</v>
      </c>
      <c r="B2123" s="11" t="s">
        <v>1943</v>
      </c>
    </row>
    <row r="2124" spans="1:2" x14ac:dyDescent="0.25">
      <c r="A2124" s="11" t="s">
        <v>3066</v>
      </c>
      <c r="B2124" s="11" t="s">
        <v>1945</v>
      </c>
    </row>
    <row r="2125" spans="1:2" x14ac:dyDescent="0.25">
      <c r="A2125" s="11" t="s">
        <v>3067</v>
      </c>
      <c r="B2125" s="11" t="s">
        <v>1965</v>
      </c>
    </row>
    <row r="2126" spans="1:2" x14ac:dyDescent="0.25">
      <c r="A2126" s="11" t="s">
        <v>3068</v>
      </c>
      <c r="B2126" s="11" t="s">
        <v>2010</v>
      </c>
    </row>
    <row r="2127" spans="1:2" x14ac:dyDescent="0.25">
      <c r="A2127" s="11" t="s">
        <v>3069</v>
      </c>
      <c r="B2127" s="11" t="s">
        <v>2012</v>
      </c>
    </row>
    <row r="2128" spans="1:2" x14ac:dyDescent="0.25">
      <c r="A2128" s="11" t="s">
        <v>3070</v>
      </c>
      <c r="B2128" s="11" t="s">
        <v>2006</v>
      </c>
    </row>
    <row r="2129" spans="1:2" x14ac:dyDescent="0.25">
      <c r="A2129" s="11" t="s">
        <v>3071</v>
      </c>
      <c r="B2129" s="11" t="s">
        <v>1963</v>
      </c>
    </row>
    <row r="2130" spans="1:2" x14ac:dyDescent="0.25">
      <c r="A2130" s="11" t="s">
        <v>3072</v>
      </c>
      <c r="B2130" s="11" t="s">
        <v>1985</v>
      </c>
    </row>
    <row r="2131" spans="1:2" x14ac:dyDescent="0.25">
      <c r="A2131" s="11" t="s">
        <v>3073</v>
      </c>
      <c r="B2131" s="11" t="s">
        <v>1994</v>
      </c>
    </row>
    <row r="2132" spans="1:2" x14ac:dyDescent="0.25">
      <c r="A2132" s="11" t="s">
        <v>3074</v>
      </c>
      <c r="B2132" s="11" t="s">
        <v>1947</v>
      </c>
    </row>
    <row r="2133" spans="1:2" x14ac:dyDescent="0.25">
      <c r="A2133" s="11" t="s">
        <v>3075</v>
      </c>
      <c r="B2133" s="11" t="s">
        <v>2008</v>
      </c>
    </row>
    <row r="2134" spans="1:2" x14ac:dyDescent="0.25">
      <c r="A2134" s="11" t="s">
        <v>3076</v>
      </c>
      <c r="B2134" s="11" t="s">
        <v>3077</v>
      </c>
    </row>
    <row r="2135" spans="1:2" x14ac:dyDescent="0.25">
      <c r="A2135" s="11" t="s">
        <v>3078</v>
      </c>
      <c r="B2135" s="11" t="s">
        <v>3079</v>
      </c>
    </row>
    <row r="2136" spans="1:2" x14ac:dyDescent="0.25">
      <c r="A2136" s="11" t="s">
        <v>3080</v>
      </c>
      <c r="B2136" s="11" t="s">
        <v>3081</v>
      </c>
    </row>
    <row r="2137" spans="1:2" x14ac:dyDescent="0.25">
      <c r="A2137" s="11" t="s">
        <v>3082</v>
      </c>
      <c r="B2137" s="11" t="s">
        <v>3083</v>
      </c>
    </row>
    <row r="2138" spans="1:2" x14ac:dyDescent="0.25">
      <c r="A2138" s="11" t="s">
        <v>3084</v>
      </c>
      <c r="B2138" s="11" t="s">
        <v>3085</v>
      </c>
    </row>
    <row r="2139" spans="1:2" x14ac:dyDescent="0.25">
      <c r="A2139" s="11" t="s">
        <v>3086</v>
      </c>
      <c r="B2139" s="11" t="s">
        <v>3087</v>
      </c>
    </row>
    <row r="2140" spans="1:2" x14ac:dyDescent="0.25">
      <c r="A2140" s="11" t="s">
        <v>3088</v>
      </c>
      <c r="B2140" s="11" t="s">
        <v>3089</v>
      </c>
    </row>
    <row r="2141" spans="1:2" x14ac:dyDescent="0.25">
      <c r="A2141" s="11" t="s">
        <v>3090</v>
      </c>
      <c r="B2141" s="11" t="s">
        <v>3091</v>
      </c>
    </row>
    <row r="2142" spans="1:2" x14ac:dyDescent="0.25">
      <c r="A2142" s="11" t="s">
        <v>1914</v>
      </c>
      <c r="B2142" s="11" t="s">
        <v>3092</v>
      </c>
    </row>
    <row r="2143" spans="1:2" x14ac:dyDescent="0.25">
      <c r="A2143" s="11" t="s">
        <v>3093</v>
      </c>
      <c r="B2143" s="11" t="s">
        <v>3094</v>
      </c>
    </row>
    <row r="2144" spans="1:2" x14ac:dyDescent="0.25">
      <c r="A2144" s="11" t="s">
        <v>3095</v>
      </c>
      <c r="B2144" s="11" t="s">
        <v>3096</v>
      </c>
    </row>
    <row r="2145" spans="1:2" x14ac:dyDescent="0.25">
      <c r="A2145" s="11" t="s">
        <v>3097</v>
      </c>
      <c r="B2145" s="11" t="s">
        <v>3098</v>
      </c>
    </row>
    <row r="2146" spans="1:2" x14ac:dyDescent="0.25">
      <c r="A2146" s="11" t="s">
        <v>3099</v>
      </c>
      <c r="B2146" s="11" t="s">
        <v>3100</v>
      </c>
    </row>
    <row r="2147" spans="1:2" x14ac:dyDescent="0.25">
      <c r="A2147" s="11" t="s">
        <v>3101</v>
      </c>
      <c r="B2147" s="11" t="s">
        <v>3102</v>
      </c>
    </row>
    <row r="2148" spans="1:2" x14ac:dyDescent="0.25">
      <c r="A2148" s="11" t="s">
        <v>3103</v>
      </c>
      <c r="B2148" s="11" t="s">
        <v>3104</v>
      </c>
    </row>
    <row r="2149" spans="1:2" x14ac:dyDescent="0.25">
      <c r="A2149" s="11" t="s">
        <v>3105</v>
      </c>
      <c r="B2149" s="11" t="s">
        <v>3106</v>
      </c>
    </row>
    <row r="2150" spans="1:2" x14ac:dyDescent="0.25">
      <c r="A2150" s="11" t="s">
        <v>3107</v>
      </c>
      <c r="B2150" s="11" t="s">
        <v>3108</v>
      </c>
    </row>
    <row r="2151" spans="1:2" x14ac:dyDescent="0.25">
      <c r="A2151" s="11" t="s">
        <v>3109</v>
      </c>
      <c r="B2151" s="11" t="s">
        <v>3110</v>
      </c>
    </row>
    <row r="2152" spans="1:2" x14ac:dyDescent="0.25">
      <c r="A2152" s="11" t="s">
        <v>3111</v>
      </c>
      <c r="B2152" s="11" t="s">
        <v>3112</v>
      </c>
    </row>
    <row r="2153" spans="1:2" x14ac:dyDescent="0.25">
      <c r="A2153" s="11" t="s">
        <v>3113</v>
      </c>
      <c r="B2153" s="11" t="s">
        <v>3114</v>
      </c>
    </row>
    <row r="2154" spans="1:2" x14ac:dyDescent="0.25">
      <c r="A2154" s="11" t="s">
        <v>3115</v>
      </c>
      <c r="B2154" s="11" t="s">
        <v>3116</v>
      </c>
    </row>
    <row r="2155" spans="1:2" x14ac:dyDescent="0.25">
      <c r="A2155" s="11" t="s">
        <v>3117</v>
      </c>
      <c r="B2155" s="11" t="s">
        <v>3118</v>
      </c>
    </row>
    <row r="2156" spans="1:2" x14ac:dyDescent="0.25">
      <c r="A2156" s="11" t="s">
        <v>3119</v>
      </c>
      <c r="B2156" s="11" t="s">
        <v>3120</v>
      </c>
    </row>
    <row r="2157" spans="1:2" x14ac:dyDescent="0.25">
      <c r="A2157" s="11" t="s">
        <v>3121</v>
      </c>
      <c r="B2157" s="11" t="s">
        <v>3122</v>
      </c>
    </row>
    <row r="2158" spans="1:2" x14ac:dyDescent="0.25">
      <c r="A2158" s="11" t="s">
        <v>3123</v>
      </c>
      <c r="B2158" s="11" t="s">
        <v>3124</v>
      </c>
    </row>
    <row r="2159" spans="1:2" x14ac:dyDescent="0.25">
      <c r="A2159" s="11" t="s">
        <v>3125</v>
      </c>
      <c r="B2159" s="11" t="s">
        <v>3126</v>
      </c>
    </row>
    <row r="2160" spans="1:2" x14ac:dyDescent="0.25">
      <c r="A2160" s="11" t="s">
        <v>3127</v>
      </c>
      <c r="B2160" s="11" t="s">
        <v>3128</v>
      </c>
    </row>
    <row r="2161" spans="1:5" x14ac:dyDescent="0.25">
      <c r="A2161" s="11" t="s">
        <v>3129</v>
      </c>
      <c r="B2161" s="11" t="s">
        <v>3130</v>
      </c>
    </row>
    <row r="2162" spans="1:5" x14ac:dyDescent="0.25">
      <c r="A2162" s="11" t="s">
        <v>3131</v>
      </c>
      <c r="B2162" s="11" t="s">
        <v>3132</v>
      </c>
    </row>
    <row r="2163" spans="1:5" x14ac:dyDescent="0.25">
      <c r="A2163" s="11" t="s">
        <v>3133</v>
      </c>
      <c r="B2163" s="11" t="s">
        <v>3134</v>
      </c>
    </row>
    <row r="2164" spans="1:5" x14ac:dyDescent="0.25">
      <c r="A2164" s="11" t="s">
        <v>3135</v>
      </c>
      <c r="B2164" s="11" t="s">
        <v>3136</v>
      </c>
    </row>
    <row r="2165" spans="1:5" x14ac:dyDescent="0.25">
      <c r="A2165" s="11" t="s">
        <v>2001</v>
      </c>
      <c r="B2165" s="11" t="s">
        <v>3137</v>
      </c>
    </row>
    <row r="2166" spans="1:5" x14ac:dyDescent="0.25">
      <c r="A2166" s="11" t="s">
        <v>3138</v>
      </c>
      <c r="B2166" s="11" t="s">
        <v>3139</v>
      </c>
    </row>
    <row r="2167" spans="1:5" x14ac:dyDescent="0.25">
      <c r="A2167" s="11" t="s">
        <v>3140</v>
      </c>
      <c r="B2167" s="11" t="s">
        <v>3141</v>
      </c>
    </row>
    <row r="2168" spans="1:5" x14ac:dyDescent="0.25">
      <c r="A2168" s="11" t="s">
        <v>3142</v>
      </c>
      <c r="B2168" s="11" t="s">
        <v>3143</v>
      </c>
    </row>
    <row r="2169" spans="1:5" x14ac:dyDescent="0.25">
      <c r="A2169" s="11" t="s">
        <v>3144</v>
      </c>
      <c r="B2169" s="11" t="s">
        <v>3145</v>
      </c>
    </row>
    <row r="2170" spans="1:5" x14ac:dyDescent="0.25">
      <c r="A2170" s="11" t="s">
        <v>3146</v>
      </c>
      <c r="B2170" s="11" t="s">
        <v>3147</v>
      </c>
    </row>
    <row r="2171" spans="1:5" x14ac:dyDescent="0.25">
      <c r="A2171" s="11" t="s">
        <v>3148</v>
      </c>
      <c r="B2171" s="11" t="s">
        <v>3149</v>
      </c>
    </row>
    <row r="2172" spans="1:5" x14ac:dyDescent="0.25">
      <c r="A2172" s="11" t="s">
        <v>3150</v>
      </c>
      <c r="B2172" s="11" t="s">
        <v>3151</v>
      </c>
    </row>
    <row r="2173" spans="1:5" x14ac:dyDescent="0.25">
      <c r="A2173" s="11" t="s">
        <v>3152</v>
      </c>
      <c r="B2173" s="11" t="s">
        <v>3153</v>
      </c>
    </row>
    <row r="2174" spans="1:5" x14ac:dyDescent="0.25">
      <c r="A2174" s="11" t="s">
        <v>3154</v>
      </c>
      <c r="B2174" s="11" t="s">
        <v>3155</v>
      </c>
    </row>
    <row r="2175" spans="1:5" x14ac:dyDescent="0.25">
      <c r="A2175" s="11"/>
      <c r="B2175" s="11"/>
      <c r="C2175" s="8"/>
    </row>
    <row r="2176" spans="1:5" ht="18.75" x14ac:dyDescent="0.3">
      <c r="A2176" s="9" t="s">
        <v>39</v>
      </c>
      <c r="B2176" s="9"/>
      <c r="C2176" s="7" t="s">
        <v>64</v>
      </c>
      <c r="E2176" s="16">
        <v>24</v>
      </c>
    </row>
    <row r="2177" spans="1:5" x14ac:dyDescent="0.25">
      <c r="A2177" s="10" t="s">
        <v>65</v>
      </c>
      <c r="B2177" s="10" t="s">
        <v>66</v>
      </c>
    </row>
    <row r="2178" spans="1:5" x14ac:dyDescent="0.25">
      <c r="A2178" s="11" t="s">
        <v>3156</v>
      </c>
      <c r="B2178" s="11" t="s">
        <v>3157</v>
      </c>
    </row>
    <row r="2179" spans="1:5" x14ac:dyDescent="0.25">
      <c r="A2179" s="11" t="s">
        <v>1905</v>
      </c>
      <c r="B2179" s="11" t="s">
        <v>3158</v>
      </c>
    </row>
    <row r="2180" spans="1:5" x14ac:dyDescent="0.25">
      <c r="A2180" s="11" t="s">
        <v>67</v>
      </c>
      <c r="B2180" s="11" t="s">
        <v>3159</v>
      </c>
      <c r="C2180" s="8"/>
    </row>
    <row r="2181" spans="1:5" x14ac:dyDescent="0.25">
      <c r="A2181" s="11"/>
      <c r="B2181" s="11"/>
      <c r="C2181" s="8"/>
    </row>
    <row r="2182" spans="1:5" ht="18.75" x14ac:dyDescent="0.3">
      <c r="A2182" s="9" t="s">
        <v>59</v>
      </c>
      <c r="B2182" s="9"/>
      <c r="C2182" s="7" t="s">
        <v>64</v>
      </c>
      <c r="E2182" s="16">
        <v>25</v>
      </c>
    </row>
    <row r="2183" spans="1:5" x14ac:dyDescent="0.25">
      <c r="A2183" s="10" t="s">
        <v>65</v>
      </c>
      <c r="B2183" s="10" t="s">
        <v>66</v>
      </c>
    </row>
    <row r="2184" spans="1:5" x14ac:dyDescent="0.25">
      <c r="A2184" s="11" t="s">
        <v>16</v>
      </c>
      <c r="B2184" s="11" t="s">
        <v>3160</v>
      </c>
      <c r="C2184" s="8"/>
    </row>
    <row r="2185" spans="1:5" x14ac:dyDescent="0.25">
      <c r="A2185" s="11" t="s">
        <v>268</v>
      </c>
      <c r="B2185" s="11" t="s">
        <v>3161</v>
      </c>
      <c r="C2185" s="8"/>
    </row>
    <row r="2186" spans="1:5" x14ac:dyDescent="0.25">
      <c r="A2186" s="11" t="s">
        <v>270</v>
      </c>
      <c r="B2186" s="11" t="s">
        <v>3162</v>
      </c>
      <c r="C2186" s="8"/>
    </row>
    <row r="2187" spans="1:5" x14ac:dyDescent="0.25">
      <c r="A2187" s="11" t="s">
        <v>272</v>
      </c>
      <c r="B2187" s="11" t="s">
        <v>3163</v>
      </c>
      <c r="C2187" s="8"/>
    </row>
    <row r="2188" spans="1:5" x14ac:dyDescent="0.25">
      <c r="A2188" s="11" t="s">
        <v>25</v>
      </c>
      <c r="B2188" s="11" t="s">
        <v>3164</v>
      </c>
      <c r="C2188" s="8"/>
    </row>
    <row r="2189" spans="1:5" x14ac:dyDescent="0.25">
      <c r="A2189" s="11" t="s">
        <v>275</v>
      </c>
      <c r="B2189" s="11" t="s">
        <v>3165</v>
      </c>
      <c r="C2189" s="8"/>
    </row>
    <row r="2190" spans="1:5" x14ac:dyDescent="0.25">
      <c r="A2190" s="11" t="s">
        <v>277</v>
      </c>
      <c r="B2190" s="11" t="s">
        <v>3166</v>
      </c>
      <c r="C2190" s="8"/>
    </row>
    <row r="2191" spans="1:5" x14ac:dyDescent="0.25">
      <c r="A2191" s="11" t="s">
        <v>279</v>
      </c>
      <c r="B2191" s="11" t="s">
        <v>3167</v>
      </c>
      <c r="C2191" s="8"/>
    </row>
    <row r="2192" spans="1:5" x14ac:dyDescent="0.25">
      <c r="A2192" s="11" t="s">
        <v>281</v>
      </c>
      <c r="B2192" s="11" t="s">
        <v>3168</v>
      </c>
      <c r="C2192" s="8"/>
    </row>
    <row r="2193" spans="1:3" x14ac:dyDescent="0.25">
      <c r="A2193" s="11" t="s">
        <v>283</v>
      </c>
      <c r="B2193" s="11" t="s">
        <v>3169</v>
      </c>
      <c r="C2193" s="8"/>
    </row>
    <row r="2194" spans="1:3" x14ac:dyDescent="0.25">
      <c r="A2194" s="11" t="s">
        <v>285</v>
      </c>
      <c r="B2194" s="11" t="s">
        <v>3170</v>
      </c>
      <c r="C2194" s="8"/>
    </row>
    <row r="2195" spans="1:3" x14ac:dyDescent="0.25">
      <c r="A2195" s="11" t="s">
        <v>29</v>
      </c>
      <c r="B2195" s="11" t="s">
        <v>3171</v>
      </c>
      <c r="C2195" s="8"/>
    </row>
    <row r="2196" spans="1:3" x14ac:dyDescent="0.25">
      <c r="A2196" s="11" t="s">
        <v>21</v>
      </c>
      <c r="B2196" s="11" t="s">
        <v>3172</v>
      </c>
      <c r="C2196" s="8"/>
    </row>
    <row r="2197" spans="1:3" x14ac:dyDescent="0.25">
      <c r="A2197" s="11" t="s">
        <v>289</v>
      </c>
      <c r="B2197" s="11" t="s">
        <v>3173</v>
      </c>
      <c r="C2197" s="8"/>
    </row>
    <row r="2198" spans="1:3" x14ac:dyDescent="0.25">
      <c r="A2198" s="11" t="s">
        <v>31</v>
      </c>
      <c r="B2198" s="11" t="s">
        <v>3174</v>
      </c>
      <c r="C2198" s="8"/>
    </row>
    <row r="2199" spans="1:3" x14ac:dyDescent="0.25">
      <c r="A2199" s="11" t="s">
        <v>292</v>
      </c>
      <c r="B2199" s="11" t="s">
        <v>3175</v>
      </c>
      <c r="C2199" s="8"/>
    </row>
    <row r="2200" spans="1:3" x14ac:dyDescent="0.25">
      <c r="A2200" s="11" t="s">
        <v>294</v>
      </c>
      <c r="B2200" s="11" t="s">
        <v>3176</v>
      </c>
      <c r="C2200" s="8"/>
    </row>
    <row r="2201" spans="1:3" x14ac:dyDescent="0.25">
      <c r="A2201" s="11" t="s">
        <v>296</v>
      </c>
      <c r="B2201" s="11" t="s">
        <v>3177</v>
      </c>
      <c r="C2201" s="8"/>
    </row>
    <row r="2202" spans="1:3" x14ac:dyDescent="0.25">
      <c r="A2202" s="11" t="s">
        <v>33</v>
      </c>
      <c r="B2202" s="11" t="s">
        <v>3178</v>
      </c>
      <c r="C2202" s="8"/>
    </row>
    <row r="2203" spans="1:3" x14ac:dyDescent="0.25">
      <c r="A2203" s="11" t="s">
        <v>299</v>
      </c>
      <c r="B2203" s="11" t="s">
        <v>3179</v>
      </c>
      <c r="C2203" s="8"/>
    </row>
    <row r="2204" spans="1:3" x14ac:dyDescent="0.25">
      <c r="A2204" s="11" t="s">
        <v>3180</v>
      </c>
      <c r="B2204" s="11" t="s">
        <v>3181</v>
      </c>
    </row>
    <row r="2205" spans="1:3" x14ac:dyDescent="0.25">
      <c r="A2205" s="11" t="s">
        <v>3182</v>
      </c>
      <c r="B2205" s="11" t="s">
        <v>3183</v>
      </c>
    </row>
    <row r="2206" spans="1:3" x14ac:dyDescent="0.25">
      <c r="A2206" s="11" t="s">
        <v>18</v>
      </c>
      <c r="B2206" s="11" t="s">
        <v>3184</v>
      </c>
      <c r="C2206" s="8"/>
    </row>
    <row r="2207" spans="1:3" x14ac:dyDescent="0.25">
      <c r="A2207" s="11" t="s">
        <v>3185</v>
      </c>
      <c r="B2207" s="11" t="s">
        <v>3186</v>
      </c>
    </row>
    <row r="2208" spans="1:3" x14ac:dyDescent="0.25">
      <c r="A2208" s="11" t="s">
        <v>3187</v>
      </c>
      <c r="B2208" s="11" t="s">
        <v>3188</v>
      </c>
    </row>
    <row r="2209" spans="1:3" x14ac:dyDescent="0.25">
      <c r="A2209" s="11" t="s">
        <v>3045</v>
      </c>
      <c r="B2209" s="11" t="s">
        <v>3189</v>
      </c>
    </row>
    <row r="2210" spans="1:3" x14ac:dyDescent="0.25">
      <c r="A2210" s="11" t="s">
        <v>3190</v>
      </c>
      <c r="B2210" s="11" t="s">
        <v>3191</v>
      </c>
    </row>
    <row r="2211" spans="1:3" x14ac:dyDescent="0.25">
      <c r="A2211" s="11" t="s">
        <v>3192</v>
      </c>
      <c r="B2211" s="11" t="s">
        <v>3193</v>
      </c>
    </row>
    <row r="2212" spans="1:3" x14ac:dyDescent="0.25">
      <c r="A2212" s="11" t="s">
        <v>3194</v>
      </c>
      <c r="B2212" s="11" t="s">
        <v>3195</v>
      </c>
    </row>
    <row r="2213" spans="1:3" x14ac:dyDescent="0.25">
      <c r="A2213" s="11" t="s">
        <v>3050</v>
      </c>
      <c r="B2213" s="11" t="s">
        <v>3196</v>
      </c>
    </row>
    <row r="2214" spans="1:3" x14ac:dyDescent="0.25">
      <c r="A2214" s="11" t="s">
        <v>3197</v>
      </c>
      <c r="B2214" s="11" t="s">
        <v>3198</v>
      </c>
    </row>
    <row r="2215" spans="1:3" x14ac:dyDescent="0.25">
      <c r="A2215" s="11" t="s">
        <v>3199</v>
      </c>
      <c r="B2215" s="11" t="s">
        <v>3200</v>
      </c>
    </row>
    <row r="2216" spans="1:3" x14ac:dyDescent="0.25">
      <c r="A2216" s="11" t="s">
        <v>3201</v>
      </c>
      <c r="B2216" s="11" t="s">
        <v>3202</v>
      </c>
    </row>
    <row r="2217" spans="1:3" x14ac:dyDescent="0.25">
      <c r="A2217" s="11" t="s">
        <v>301</v>
      </c>
      <c r="B2217" s="11" t="s">
        <v>3203</v>
      </c>
      <c r="C2217" s="8"/>
    </row>
    <row r="2218" spans="1:3" x14ac:dyDescent="0.25">
      <c r="A2218" s="11" t="s">
        <v>3204</v>
      </c>
      <c r="B2218" s="11" t="s">
        <v>3205</v>
      </c>
    </row>
    <row r="2219" spans="1:3" x14ac:dyDescent="0.25">
      <c r="A2219" s="11" t="s">
        <v>3206</v>
      </c>
      <c r="B2219" s="11" t="s">
        <v>3207</v>
      </c>
    </row>
    <row r="2220" spans="1:3" x14ac:dyDescent="0.25">
      <c r="A2220" s="11" t="s">
        <v>3208</v>
      </c>
      <c r="B2220" s="11" t="s">
        <v>3209</v>
      </c>
    </row>
    <row r="2221" spans="1:3" x14ac:dyDescent="0.25">
      <c r="A2221" s="11" t="s">
        <v>3210</v>
      </c>
      <c r="B2221" s="11" t="s">
        <v>3211</v>
      </c>
    </row>
    <row r="2222" spans="1:3" x14ac:dyDescent="0.25">
      <c r="A2222" s="11" t="s">
        <v>3212</v>
      </c>
      <c r="B2222" s="11" t="s">
        <v>3213</v>
      </c>
    </row>
    <row r="2223" spans="1:3" x14ac:dyDescent="0.25">
      <c r="A2223" s="11" t="s">
        <v>3214</v>
      </c>
      <c r="B2223" s="11" t="s">
        <v>3215</v>
      </c>
    </row>
    <row r="2224" spans="1:3" x14ac:dyDescent="0.25">
      <c r="A2224" s="11" t="s">
        <v>3216</v>
      </c>
      <c r="B2224" s="11" t="s">
        <v>3217</v>
      </c>
    </row>
    <row r="2225" spans="1:5" x14ac:dyDescent="0.25">
      <c r="A2225" s="11" t="s">
        <v>36</v>
      </c>
      <c r="B2225" s="11" t="s">
        <v>3218</v>
      </c>
      <c r="C2225" s="8"/>
    </row>
    <row r="2226" spans="1:5" x14ac:dyDescent="0.25">
      <c r="A2226" s="11" t="s">
        <v>30</v>
      </c>
      <c r="B2226" s="11" t="s">
        <v>3219</v>
      </c>
      <c r="C2226" s="8"/>
    </row>
    <row r="2227" spans="1:5" x14ac:dyDescent="0.25">
      <c r="A2227" s="11" t="s">
        <v>305</v>
      </c>
      <c r="B2227" s="11" t="s">
        <v>3220</v>
      </c>
      <c r="C2227" s="8"/>
    </row>
    <row r="2228" spans="1:5" x14ac:dyDescent="0.25">
      <c r="A2228" s="11" t="s">
        <v>307</v>
      </c>
      <c r="B2228" s="11" t="s">
        <v>3221</v>
      </c>
      <c r="C2228" s="8"/>
    </row>
    <row r="2229" spans="1:5" x14ac:dyDescent="0.25">
      <c r="A2229" s="11" t="s">
        <v>309</v>
      </c>
      <c r="B2229" s="11" t="s">
        <v>3222</v>
      </c>
      <c r="C2229" s="8"/>
    </row>
    <row r="2230" spans="1:5" x14ac:dyDescent="0.25">
      <c r="A2230" s="11"/>
      <c r="B2230" s="11"/>
      <c r="C2230" s="8"/>
    </row>
    <row r="2231" spans="1:5" ht="18.75" x14ac:dyDescent="0.3">
      <c r="A2231" s="9" t="s">
        <v>37</v>
      </c>
      <c r="B2231" s="9"/>
      <c r="C2231" s="7" t="s">
        <v>64</v>
      </c>
      <c r="E2231" s="16">
        <v>26</v>
      </c>
    </row>
    <row r="2232" spans="1:5" x14ac:dyDescent="0.25">
      <c r="A2232" s="10" t="s">
        <v>65</v>
      </c>
      <c r="B2232" s="10" t="s">
        <v>66</v>
      </c>
    </row>
    <row r="2233" spans="1:5" x14ac:dyDescent="0.25">
      <c r="A2233" s="11" t="s">
        <v>16</v>
      </c>
      <c r="B2233" s="11" t="s">
        <v>3223</v>
      </c>
      <c r="C2233" s="8"/>
    </row>
    <row r="2234" spans="1:5" x14ac:dyDescent="0.25">
      <c r="A2234" s="11" t="s">
        <v>268</v>
      </c>
      <c r="B2234" s="11" t="s">
        <v>3224</v>
      </c>
      <c r="C2234" s="8"/>
    </row>
    <row r="2235" spans="1:5" x14ac:dyDescent="0.25">
      <c r="A2235" s="11" t="s">
        <v>270</v>
      </c>
      <c r="B2235" s="11" t="s">
        <v>3225</v>
      </c>
      <c r="C2235" s="8"/>
    </row>
    <row r="2236" spans="1:5" x14ac:dyDescent="0.25">
      <c r="A2236" s="11" t="s">
        <v>272</v>
      </c>
      <c r="B2236" s="11" t="s">
        <v>3226</v>
      </c>
      <c r="C2236" s="8"/>
    </row>
    <row r="2237" spans="1:5" x14ac:dyDescent="0.25">
      <c r="A2237" s="11" t="s">
        <v>25</v>
      </c>
      <c r="B2237" s="11" t="s">
        <v>3227</v>
      </c>
      <c r="C2237" s="8"/>
    </row>
    <row r="2238" spans="1:5" x14ac:dyDescent="0.25">
      <c r="A2238" s="11" t="s">
        <v>275</v>
      </c>
      <c r="B2238" s="11" t="s">
        <v>3228</v>
      </c>
      <c r="C2238" s="8"/>
    </row>
    <row r="2239" spans="1:5" x14ac:dyDescent="0.25">
      <c r="A2239" s="11" t="s">
        <v>277</v>
      </c>
      <c r="B2239" s="11" t="s">
        <v>3229</v>
      </c>
      <c r="C2239" s="8"/>
    </row>
    <row r="2240" spans="1:5" x14ac:dyDescent="0.25">
      <c r="A2240" s="11" t="s">
        <v>279</v>
      </c>
      <c r="B2240" s="11" t="s">
        <v>3230</v>
      </c>
      <c r="C2240" s="8"/>
    </row>
    <row r="2241" spans="1:3" x14ac:dyDescent="0.25">
      <c r="A2241" s="11" t="s">
        <v>281</v>
      </c>
      <c r="B2241" s="11" t="s">
        <v>3231</v>
      </c>
      <c r="C2241" s="8"/>
    </row>
    <row r="2242" spans="1:3" x14ac:dyDescent="0.25">
      <c r="A2242" s="11" t="s">
        <v>283</v>
      </c>
      <c r="B2242" s="11" t="s">
        <v>3232</v>
      </c>
      <c r="C2242" s="8"/>
    </row>
    <row r="2243" spans="1:3" x14ac:dyDescent="0.25">
      <c r="A2243" s="11" t="s">
        <v>285</v>
      </c>
      <c r="B2243" s="11" t="s">
        <v>3233</v>
      </c>
      <c r="C2243" s="8"/>
    </row>
    <row r="2244" spans="1:3" x14ac:dyDescent="0.25">
      <c r="A2244" s="11" t="s">
        <v>29</v>
      </c>
      <c r="B2244" s="11" t="s">
        <v>3234</v>
      </c>
      <c r="C2244" s="8"/>
    </row>
    <row r="2245" spans="1:3" x14ac:dyDescent="0.25">
      <c r="A2245" s="11" t="s">
        <v>21</v>
      </c>
      <c r="B2245" s="11" t="s">
        <v>3235</v>
      </c>
      <c r="C2245" s="8"/>
    </row>
    <row r="2246" spans="1:3" x14ac:dyDescent="0.25">
      <c r="A2246" s="11" t="s">
        <v>289</v>
      </c>
      <c r="B2246" s="11" t="s">
        <v>3236</v>
      </c>
      <c r="C2246" s="8"/>
    </row>
    <row r="2247" spans="1:3" x14ac:dyDescent="0.25">
      <c r="A2247" s="11" t="s">
        <v>31</v>
      </c>
      <c r="B2247" s="11" t="s">
        <v>3237</v>
      </c>
      <c r="C2247" s="8"/>
    </row>
    <row r="2248" spans="1:3" x14ac:dyDescent="0.25">
      <c r="A2248" s="11" t="s">
        <v>292</v>
      </c>
      <c r="B2248" s="11" t="s">
        <v>3238</v>
      </c>
      <c r="C2248" s="8"/>
    </row>
    <row r="2249" spans="1:3" x14ac:dyDescent="0.25">
      <c r="A2249" s="11" t="s">
        <v>294</v>
      </c>
      <c r="B2249" s="11" t="s">
        <v>3239</v>
      </c>
      <c r="C2249" s="8"/>
    </row>
    <row r="2250" spans="1:3" x14ac:dyDescent="0.25">
      <c r="A2250" s="11" t="s">
        <v>296</v>
      </c>
      <c r="B2250" s="11" t="s">
        <v>3240</v>
      </c>
      <c r="C2250" s="8"/>
    </row>
    <row r="2251" spans="1:3" x14ac:dyDescent="0.25">
      <c r="A2251" s="11" t="s">
        <v>33</v>
      </c>
      <c r="B2251" s="11" t="s">
        <v>3241</v>
      </c>
      <c r="C2251" s="8"/>
    </row>
    <row r="2252" spans="1:3" x14ac:dyDescent="0.25">
      <c r="A2252" s="11" t="s">
        <v>299</v>
      </c>
      <c r="B2252" s="11" t="s">
        <v>3242</v>
      </c>
      <c r="C2252" s="8"/>
    </row>
    <row r="2253" spans="1:3" x14ac:dyDescent="0.25">
      <c r="A2253" s="11" t="s">
        <v>3180</v>
      </c>
      <c r="B2253" s="11" t="s">
        <v>3243</v>
      </c>
    </row>
    <row r="2254" spans="1:3" x14ac:dyDescent="0.25">
      <c r="A2254" s="11" t="s">
        <v>3182</v>
      </c>
      <c r="B2254" s="11" t="s">
        <v>3244</v>
      </c>
    </row>
    <row r="2255" spans="1:3" x14ac:dyDescent="0.25">
      <c r="A2255" s="11" t="s">
        <v>18</v>
      </c>
      <c r="B2255" s="11" t="s">
        <v>3245</v>
      </c>
      <c r="C2255" s="8"/>
    </row>
    <row r="2256" spans="1:3" x14ac:dyDescent="0.25">
      <c r="A2256" s="11" t="s">
        <v>3185</v>
      </c>
      <c r="B2256" s="11" t="s">
        <v>3246</v>
      </c>
    </row>
    <row r="2257" spans="1:3" x14ac:dyDescent="0.25">
      <c r="A2257" s="11" t="s">
        <v>3187</v>
      </c>
      <c r="B2257" s="11" t="s">
        <v>3247</v>
      </c>
    </row>
    <row r="2258" spans="1:3" x14ac:dyDescent="0.25">
      <c r="A2258" s="11" t="s">
        <v>3045</v>
      </c>
      <c r="B2258" s="11" t="s">
        <v>3248</v>
      </c>
    </row>
    <row r="2259" spans="1:3" x14ac:dyDescent="0.25">
      <c r="A2259" s="11" t="s">
        <v>3190</v>
      </c>
      <c r="B2259" s="11" t="s">
        <v>3249</v>
      </c>
    </row>
    <row r="2260" spans="1:3" x14ac:dyDescent="0.25">
      <c r="A2260" s="11" t="s">
        <v>3192</v>
      </c>
      <c r="B2260" s="11" t="s">
        <v>3250</v>
      </c>
    </row>
    <row r="2261" spans="1:3" x14ac:dyDescent="0.25">
      <c r="A2261" s="11" t="s">
        <v>3194</v>
      </c>
      <c r="B2261" s="11" t="s">
        <v>3251</v>
      </c>
    </row>
    <row r="2262" spans="1:3" x14ac:dyDescent="0.25">
      <c r="A2262" s="11" t="s">
        <v>3050</v>
      </c>
      <c r="B2262" s="11" t="s">
        <v>3252</v>
      </c>
    </row>
    <row r="2263" spans="1:3" x14ac:dyDescent="0.25">
      <c r="A2263" s="11" t="s">
        <v>3197</v>
      </c>
      <c r="B2263" s="11" t="s">
        <v>3253</v>
      </c>
    </row>
    <row r="2264" spans="1:3" x14ac:dyDescent="0.25">
      <c r="A2264" s="11" t="s">
        <v>3199</v>
      </c>
      <c r="B2264" s="11" t="s">
        <v>3254</v>
      </c>
    </row>
    <row r="2265" spans="1:3" x14ac:dyDescent="0.25">
      <c r="A2265" s="11" t="s">
        <v>3201</v>
      </c>
      <c r="B2265" s="11" t="s">
        <v>3255</v>
      </c>
    </row>
    <row r="2266" spans="1:3" x14ac:dyDescent="0.25">
      <c r="A2266" s="11" t="s">
        <v>301</v>
      </c>
      <c r="B2266" s="11" t="s">
        <v>3256</v>
      </c>
      <c r="C2266" s="8"/>
    </row>
    <row r="2267" spans="1:3" x14ac:dyDescent="0.25">
      <c r="A2267" s="11" t="s">
        <v>3204</v>
      </c>
      <c r="B2267" s="11" t="s">
        <v>3257</v>
      </c>
    </row>
    <row r="2268" spans="1:3" x14ac:dyDescent="0.25">
      <c r="A2268" s="11" t="s">
        <v>3206</v>
      </c>
      <c r="B2268" s="11" t="s">
        <v>3258</v>
      </c>
    </row>
    <row r="2269" spans="1:3" x14ac:dyDescent="0.25">
      <c r="A2269" s="11" t="s">
        <v>3208</v>
      </c>
      <c r="B2269" s="11" t="s">
        <v>3259</v>
      </c>
    </row>
    <row r="2270" spans="1:3" x14ac:dyDescent="0.25">
      <c r="A2270" s="11" t="s">
        <v>3210</v>
      </c>
      <c r="B2270" s="11" t="s">
        <v>3260</v>
      </c>
    </row>
    <row r="2271" spans="1:3" x14ac:dyDescent="0.25">
      <c r="A2271" s="11" t="s">
        <v>3212</v>
      </c>
      <c r="B2271" s="11" t="s">
        <v>3261</v>
      </c>
    </row>
    <row r="2272" spans="1:3" x14ac:dyDescent="0.25">
      <c r="A2272" s="11" t="s">
        <v>3214</v>
      </c>
      <c r="B2272" s="11" t="s">
        <v>3262</v>
      </c>
    </row>
    <row r="2273" spans="1:5" x14ac:dyDescent="0.25">
      <c r="A2273" s="11" t="s">
        <v>3216</v>
      </c>
      <c r="B2273" s="11" t="s">
        <v>3263</v>
      </c>
    </row>
    <row r="2274" spans="1:5" x14ac:dyDescent="0.25">
      <c r="A2274" s="11" t="s">
        <v>3264</v>
      </c>
      <c r="B2274" s="11" t="s">
        <v>3265</v>
      </c>
    </row>
    <row r="2275" spans="1:5" x14ac:dyDescent="0.25">
      <c r="A2275" s="11" t="s">
        <v>36</v>
      </c>
      <c r="B2275" s="11" t="s">
        <v>3266</v>
      </c>
      <c r="C2275" s="8"/>
    </row>
    <row r="2276" spans="1:5" x14ac:dyDescent="0.25">
      <c r="A2276" s="11" t="s">
        <v>30</v>
      </c>
      <c r="B2276" s="11" t="s">
        <v>3267</v>
      </c>
      <c r="C2276" s="8"/>
    </row>
    <row r="2277" spans="1:5" x14ac:dyDescent="0.25">
      <c r="A2277" s="11" t="s">
        <v>305</v>
      </c>
      <c r="B2277" s="11" t="s">
        <v>3268</v>
      </c>
      <c r="C2277" s="8"/>
    </row>
    <row r="2278" spans="1:5" x14ac:dyDescent="0.25">
      <c r="A2278" s="11" t="s">
        <v>307</v>
      </c>
      <c r="B2278" s="11" t="s">
        <v>3269</v>
      </c>
      <c r="C2278" s="8"/>
    </row>
    <row r="2279" spans="1:5" x14ac:dyDescent="0.25">
      <c r="A2279" s="11" t="s">
        <v>309</v>
      </c>
      <c r="B2279" s="11" t="s">
        <v>3270</v>
      </c>
      <c r="C2279" s="8"/>
    </row>
    <row r="2280" spans="1:5" x14ac:dyDescent="0.25">
      <c r="A2280" s="11"/>
      <c r="B2280" s="11"/>
      <c r="C2280" s="8"/>
    </row>
    <row r="2281" spans="1:5" ht="18.75" x14ac:dyDescent="0.3">
      <c r="A2281" s="9" t="s">
        <v>3271</v>
      </c>
      <c r="B2281" s="9"/>
      <c r="C2281" s="7" t="s">
        <v>64</v>
      </c>
      <c r="E2281" s="16">
        <v>27</v>
      </c>
    </row>
    <row r="2282" spans="1:5" x14ac:dyDescent="0.25">
      <c r="A2282" s="10" t="s">
        <v>65</v>
      </c>
      <c r="B2282" s="10" t="s">
        <v>66</v>
      </c>
    </row>
    <row r="2283" spans="1:5" x14ac:dyDescent="0.25">
      <c r="A2283" s="11" t="s">
        <v>16</v>
      </c>
      <c r="B2283" s="11" t="s">
        <v>3272</v>
      </c>
      <c r="C2283" s="8"/>
    </row>
    <row r="2284" spans="1:5" x14ac:dyDescent="0.25">
      <c r="A2284" s="11" t="s">
        <v>29</v>
      </c>
      <c r="B2284" s="11" t="s">
        <v>3273</v>
      </c>
      <c r="C2284" s="8"/>
    </row>
    <row r="2285" spans="1:5" x14ac:dyDescent="0.25">
      <c r="A2285" s="11" t="s">
        <v>18</v>
      </c>
      <c r="B2285" s="11" t="s">
        <v>3274</v>
      </c>
      <c r="C2285" s="8"/>
    </row>
    <row r="2286" spans="1:5" x14ac:dyDescent="0.25">
      <c r="A2286" s="11" t="s">
        <v>301</v>
      </c>
      <c r="B2286" s="11" t="s">
        <v>3275</v>
      </c>
      <c r="C2286" s="8"/>
    </row>
    <row r="2287" spans="1:5" x14ac:dyDescent="0.25">
      <c r="A2287" s="11" t="s">
        <v>36</v>
      </c>
      <c r="B2287" s="11" t="s">
        <v>3276</v>
      </c>
      <c r="C2287" s="8"/>
    </row>
    <row r="2288" spans="1:5" x14ac:dyDescent="0.25">
      <c r="A2288" s="11" t="s">
        <v>30</v>
      </c>
      <c r="B2288" s="11" t="s">
        <v>3277</v>
      </c>
      <c r="C2288" s="8"/>
    </row>
    <row r="2289" spans="1:5" x14ac:dyDescent="0.25">
      <c r="A2289" s="11" t="s">
        <v>309</v>
      </c>
      <c r="B2289" s="11" t="s">
        <v>3278</v>
      </c>
      <c r="C2289" s="8"/>
    </row>
    <row r="2290" spans="1:5" x14ac:dyDescent="0.25">
      <c r="A2290" s="11"/>
      <c r="B2290" s="11"/>
      <c r="C2290" s="8"/>
    </row>
    <row r="2291" spans="1:5" ht="18.75" x14ac:dyDescent="0.3">
      <c r="A2291" s="9" t="s">
        <v>3279</v>
      </c>
      <c r="B2291" s="9"/>
      <c r="C2291" s="7" t="s">
        <v>64</v>
      </c>
      <c r="E2291" s="16">
        <v>28</v>
      </c>
    </row>
    <row r="2292" spans="1:5" x14ac:dyDescent="0.25">
      <c r="A2292" s="10" t="s">
        <v>65</v>
      </c>
      <c r="B2292" s="10" t="s">
        <v>66</v>
      </c>
    </row>
    <row r="2293" spans="1:5" x14ac:dyDescent="0.25">
      <c r="A2293" s="11" t="s">
        <v>16</v>
      </c>
      <c r="B2293" s="11" t="s">
        <v>3280</v>
      </c>
      <c r="C2293" s="8"/>
    </row>
    <row r="2294" spans="1:5" x14ac:dyDescent="0.25">
      <c r="A2294" s="11" t="s">
        <v>29</v>
      </c>
      <c r="B2294" s="11" t="s">
        <v>3281</v>
      </c>
      <c r="C2294" s="8"/>
    </row>
    <row r="2295" spans="1:5" x14ac:dyDescent="0.25">
      <c r="A2295" s="11" t="s">
        <v>18</v>
      </c>
      <c r="B2295" s="11" t="s">
        <v>3282</v>
      </c>
      <c r="C2295" s="8"/>
    </row>
    <row r="2296" spans="1:5" x14ac:dyDescent="0.25">
      <c r="A2296" s="11"/>
      <c r="B2296" s="11"/>
      <c r="C2296" s="8"/>
    </row>
    <row r="2297" spans="1:5" ht="18.75" x14ac:dyDescent="0.3">
      <c r="A2297" s="9" t="s">
        <v>38</v>
      </c>
      <c r="B2297" s="9"/>
      <c r="C2297" s="7" t="s">
        <v>64</v>
      </c>
      <c r="E2297" s="16">
        <v>29</v>
      </c>
    </row>
    <row r="2298" spans="1:5" x14ac:dyDescent="0.25">
      <c r="A2298" s="10" t="s">
        <v>65</v>
      </c>
      <c r="B2298" s="10" t="s">
        <v>66</v>
      </c>
    </row>
    <row r="2299" spans="1:5" ht="18.75" x14ac:dyDescent="0.3">
      <c r="A2299" s="9" t="s">
        <v>2046</v>
      </c>
      <c r="B2299" s="9" t="s">
        <v>3283</v>
      </c>
    </row>
    <row r="2300" spans="1:5" ht="18.75" x14ac:dyDescent="0.3">
      <c r="A2300" s="9" t="s">
        <v>3284</v>
      </c>
      <c r="B2300" s="9" t="s">
        <v>3285</v>
      </c>
    </row>
    <row r="2301" spans="1:5" x14ac:dyDescent="0.25">
      <c r="A2301" s="11"/>
      <c r="B2301" s="11"/>
      <c r="C2301" s="8"/>
    </row>
    <row r="2302" spans="1:5" ht="18.75" x14ac:dyDescent="0.3">
      <c r="A2302" s="9" t="s">
        <v>3286</v>
      </c>
      <c r="B2302" s="9"/>
      <c r="C2302" s="7" t="s">
        <v>64</v>
      </c>
      <c r="E2302" s="16">
        <v>30</v>
      </c>
    </row>
    <row r="2303" spans="1:5" x14ac:dyDescent="0.25">
      <c r="A2303" s="10" t="s">
        <v>65</v>
      </c>
      <c r="B2303" s="10" t="s">
        <v>66</v>
      </c>
    </row>
    <row r="2304" spans="1:5" x14ac:dyDescent="0.25">
      <c r="A2304" s="11" t="s">
        <v>16</v>
      </c>
      <c r="B2304" s="11" t="s">
        <v>3287</v>
      </c>
      <c r="C2304" s="8"/>
    </row>
    <row r="2305" spans="1:5" x14ac:dyDescent="0.25">
      <c r="A2305" s="11" t="s">
        <v>268</v>
      </c>
      <c r="B2305" s="11" t="s">
        <v>3288</v>
      </c>
      <c r="C2305" s="8"/>
    </row>
    <row r="2306" spans="1:5" x14ac:dyDescent="0.25">
      <c r="A2306" s="11" t="s">
        <v>29</v>
      </c>
      <c r="B2306" s="11" t="s">
        <v>3289</v>
      </c>
      <c r="C2306" s="8"/>
    </row>
    <row r="2307" spans="1:5" x14ac:dyDescent="0.25">
      <c r="A2307" s="11" t="s">
        <v>18</v>
      </c>
      <c r="B2307" s="11" t="s">
        <v>3290</v>
      </c>
      <c r="C2307" s="8"/>
    </row>
    <row r="2308" spans="1:5" x14ac:dyDescent="0.25">
      <c r="A2308" s="11" t="s">
        <v>301</v>
      </c>
      <c r="B2308" s="11" t="s">
        <v>3291</v>
      </c>
      <c r="C2308" s="8"/>
    </row>
    <row r="2309" spans="1:5" x14ac:dyDescent="0.25">
      <c r="A2309" s="11" t="s">
        <v>36</v>
      </c>
      <c r="B2309" s="11" t="s">
        <v>3292</v>
      </c>
      <c r="C2309" s="8"/>
    </row>
    <row r="2310" spans="1:5" x14ac:dyDescent="0.25">
      <c r="A2310" s="11" t="s">
        <v>30</v>
      </c>
      <c r="B2310" s="11" t="s">
        <v>3293</v>
      </c>
      <c r="C2310" s="8"/>
    </row>
    <row r="2311" spans="1:5" x14ac:dyDescent="0.25">
      <c r="A2311" s="11" t="s">
        <v>305</v>
      </c>
      <c r="B2311" s="11" t="s">
        <v>3294</v>
      </c>
      <c r="C2311" s="8"/>
    </row>
    <row r="2312" spans="1:5" x14ac:dyDescent="0.25">
      <c r="A2312" s="11" t="s">
        <v>309</v>
      </c>
      <c r="B2312" s="11" t="s">
        <v>3295</v>
      </c>
      <c r="C2312" s="8"/>
    </row>
    <row r="2313" spans="1:5" x14ac:dyDescent="0.25">
      <c r="A2313" s="11"/>
      <c r="B2313" s="11"/>
      <c r="C2313" s="8"/>
    </row>
    <row r="2314" spans="1:5" ht="18.75" x14ac:dyDescent="0.3">
      <c r="A2314" s="9" t="s">
        <v>3296</v>
      </c>
      <c r="B2314" s="9"/>
      <c r="C2314" s="7" t="s">
        <v>64</v>
      </c>
      <c r="E2314" s="16">
        <v>31</v>
      </c>
    </row>
    <row r="2315" spans="1:5" x14ac:dyDescent="0.25">
      <c r="A2315" s="10" t="s">
        <v>65</v>
      </c>
      <c r="B2315" s="10" t="s">
        <v>66</v>
      </c>
    </row>
    <row r="2316" spans="1:5" x14ac:dyDescent="0.25">
      <c r="A2316" s="11" t="s">
        <v>16</v>
      </c>
      <c r="B2316" s="11" t="s">
        <v>3297</v>
      </c>
      <c r="C2316" s="8"/>
    </row>
    <row r="2317" spans="1:5" x14ac:dyDescent="0.25">
      <c r="A2317" s="11" t="s">
        <v>268</v>
      </c>
      <c r="B2317" s="11" t="s">
        <v>3298</v>
      </c>
      <c r="C2317" s="8"/>
    </row>
    <row r="2318" spans="1:5" x14ac:dyDescent="0.25">
      <c r="A2318" s="11" t="s">
        <v>270</v>
      </c>
      <c r="B2318" s="11" t="s">
        <v>3299</v>
      </c>
      <c r="C2318" s="8"/>
    </row>
    <row r="2319" spans="1:5" x14ac:dyDescent="0.25">
      <c r="A2319" s="11" t="s">
        <v>272</v>
      </c>
      <c r="B2319" s="11" t="s">
        <v>3300</v>
      </c>
      <c r="C2319" s="8"/>
    </row>
    <row r="2320" spans="1:5" x14ac:dyDescent="0.25">
      <c r="A2320" s="11" t="s">
        <v>25</v>
      </c>
      <c r="B2320" s="11" t="s">
        <v>3301</v>
      </c>
      <c r="C2320" s="8"/>
    </row>
    <row r="2321" spans="1:3" x14ac:dyDescent="0.25">
      <c r="A2321" s="11" t="s">
        <v>275</v>
      </c>
      <c r="B2321" s="11" t="s">
        <v>3302</v>
      </c>
      <c r="C2321" s="8"/>
    </row>
    <row r="2322" spans="1:3" x14ac:dyDescent="0.25">
      <c r="A2322" s="11" t="s">
        <v>277</v>
      </c>
      <c r="B2322" s="11" t="s">
        <v>3303</v>
      </c>
      <c r="C2322" s="8"/>
    </row>
    <row r="2323" spans="1:3" x14ac:dyDescent="0.25">
      <c r="A2323" s="11" t="s">
        <v>279</v>
      </c>
      <c r="B2323" s="11" t="s">
        <v>3304</v>
      </c>
      <c r="C2323" s="8"/>
    </row>
    <row r="2324" spans="1:3" x14ac:dyDescent="0.25">
      <c r="A2324" s="11" t="s">
        <v>281</v>
      </c>
      <c r="B2324" s="11" t="s">
        <v>3305</v>
      </c>
      <c r="C2324" s="8"/>
    </row>
    <row r="2325" spans="1:3" x14ac:dyDescent="0.25">
      <c r="A2325" s="11" t="s">
        <v>283</v>
      </c>
      <c r="B2325" s="11" t="s">
        <v>3306</v>
      </c>
      <c r="C2325" s="8"/>
    </row>
    <row r="2326" spans="1:3" x14ac:dyDescent="0.25">
      <c r="A2326" s="11" t="s">
        <v>285</v>
      </c>
      <c r="B2326" s="11" t="s">
        <v>3307</v>
      </c>
      <c r="C2326" s="8"/>
    </row>
    <row r="2327" spans="1:3" x14ac:dyDescent="0.25">
      <c r="A2327" s="11" t="s">
        <v>21</v>
      </c>
      <c r="B2327" s="11" t="s">
        <v>3308</v>
      </c>
      <c r="C2327" s="8"/>
    </row>
    <row r="2328" spans="1:3" x14ac:dyDescent="0.25">
      <c r="A2328" s="11" t="s">
        <v>289</v>
      </c>
      <c r="B2328" s="11" t="s">
        <v>3309</v>
      </c>
      <c r="C2328" s="8"/>
    </row>
    <row r="2329" spans="1:3" x14ac:dyDescent="0.25">
      <c r="A2329" s="11" t="s">
        <v>294</v>
      </c>
      <c r="B2329" s="11" t="s">
        <v>3310</v>
      </c>
      <c r="C2329" s="8"/>
    </row>
    <row r="2330" spans="1:3" x14ac:dyDescent="0.25">
      <c r="A2330" s="11" t="s">
        <v>296</v>
      </c>
      <c r="B2330" s="11" t="s">
        <v>3311</v>
      </c>
      <c r="C2330" s="8"/>
    </row>
    <row r="2331" spans="1:3" x14ac:dyDescent="0.25">
      <c r="A2331" s="11" t="s">
        <v>33</v>
      </c>
      <c r="B2331" s="11" t="s">
        <v>3312</v>
      </c>
      <c r="C2331" s="8"/>
    </row>
    <row r="2332" spans="1:3" x14ac:dyDescent="0.25">
      <c r="A2332" s="11" t="s">
        <v>299</v>
      </c>
      <c r="B2332" s="11" t="s">
        <v>3313</v>
      </c>
      <c r="C2332" s="8"/>
    </row>
    <row r="2333" spans="1:3" x14ac:dyDescent="0.25">
      <c r="A2333" s="11" t="s">
        <v>3180</v>
      </c>
      <c r="B2333" s="11" t="s">
        <v>3314</v>
      </c>
    </row>
    <row r="2334" spans="1:3" x14ac:dyDescent="0.25">
      <c r="A2334" s="11" t="s">
        <v>3182</v>
      </c>
      <c r="B2334" s="11" t="s">
        <v>3315</v>
      </c>
    </row>
    <row r="2335" spans="1:3" x14ac:dyDescent="0.25">
      <c r="A2335" s="11" t="s">
        <v>3185</v>
      </c>
      <c r="B2335" s="11" t="s">
        <v>3316</v>
      </c>
    </row>
    <row r="2336" spans="1:3" x14ac:dyDescent="0.25">
      <c r="A2336" s="11" t="s">
        <v>3187</v>
      </c>
      <c r="B2336" s="11" t="s">
        <v>3317</v>
      </c>
    </row>
    <row r="2337" spans="1:3" x14ac:dyDescent="0.25">
      <c r="A2337" s="11" t="s">
        <v>3197</v>
      </c>
      <c r="B2337" s="11" t="s">
        <v>3318</v>
      </c>
    </row>
    <row r="2338" spans="1:3" x14ac:dyDescent="0.25">
      <c r="A2338" s="11" t="s">
        <v>3199</v>
      </c>
      <c r="B2338" s="11" t="s">
        <v>3319</v>
      </c>
    </row>
    <row r="2339" spans="1:3" x14ac:dyDescent="0.25">
      <c r="A2339" s="11" t="s">
        <v>3201</v>
      </c>
      <c r="B2339" s="11" t="s">
        <v>1018</v>
      </c>
    </row>
    <row r="2340" spans="1:3" x14ac:dyDescent="0.25">
      <c r="A2340" s="11" t="s">
        <v>301</v>
      </c>
      <c r="B2340" s="11" t="s">
        <v>1012</v>
      </c>
      <c r="C2340" s="8"/>
    </row>
    <row r="2341" spans="1:3" x14ac:dyDescent="0.25">
      <c r="A2341" s="11" t="s">
        <v>3204</v>
      </c>
      <c r="B2341" s="11" t="s">
        <v>3320</v>
      </c>
    </row>
    <row r="2342" spans="1:3" x14ac:dyDescent="0.25">
      <c r="A2342" s="11" t="s">
        <v>3206</v>
      </c>
      <c r="B2342" s="11" t="s">
        <v>3321</v>
      </c>
    </row>
    <row r="2343" spans="1:3" x14ac:dyDescent="0.25">
      <c r="A2343" s="11" t="s">
        <v>3208</v>
      </c>
      <c r="B2343" s="11" t="s">
        <v>3322</v>
      </c>
    </row>
    <row r="2344" spans="1:3" x14ac:dyDescent="0.25">
      <c r="A2344" s="11" t="s">
        <v>3210</v>
      </c>
      <c r="B2344" s="11" t="s">
        <v>3323</v>
      </c>
    </row>
    <row r="2345" spans="1:3" x14ac:dyDescent="0.25">
      <c r="A2345" s="11" t="s">
        <v>3212</v>
      </c>
      <c r="B2345" s="11" t="s">
        <v>3324</v>
      </c>
    </row>
    <row r="2346" spans="1:3" x14ac:dyDescent="0.25">
      <c r="A2346" s="11" t="s">
        <v>3214</v>
      </c>
      <c r="B2346" s="11" t="s">
        <v>3325</v>
      </c>
    </row>
    <row r="2347" spans="1:3" x14ac:dyDescent="0.25">
      <c r="A2347" s="11" t="s">
        <v>3216</v>
      </c>
      <c r="B2347" s="11" t="s">
        <v>3326</v>
      </c>
    </row>
    <row r="2348" spans="1:3" x14ac:dyDescent="0.25">
      <c r="A2348" s="11" t="s">
        <v>3264</v>
      </c>
      <c r="B2348" s="11" t="s">
        <v>3327</v>
      </c>
    </row>
    <row r="2349" spans="1:3" x14ac:dyDescent="0.25">
      <c r="A2349" s="11" t="s">
        <v>3328</v>
      </c>
      <c r="B2349" s="11" t="s">
        <v>3329</v>
      </c>
    </row>
    <row r="2350" spans="1:3" x14ac:dyDescent="0.25">
      <c r="A2350" s="11" t="s">
        <v>36</v>
      </c>
      <c r="B2350" s="11" t="s">
        <v>1014</v>
      </c>
      <c r="C2350" s="8"/>
    </row>
    <row r="2351" spans="1:3" x14ac:dyDescent="0.25">
      <c r="A2351" s="11" t="s">
        <v>3330</v>
      </c>
      <c r="B2351" s="11" t="s">
        <v>3331</v>
      </c>
    </row>
    <row r="2352" spans="1:3" x14ac:dyDescent="0.25">
      <c r="A2352" s="11" t="s">
        <v>3332</v>
      </c>
      <c r="B2352" s="11" t="s">
        <v>3333</v>
      </c>
    </row>
    <row r="2353" spans="1:5" x14ac:dyDescent="0.25">
      <c r="A2353" s="11" t="s">
        <v>3334</v>
      </c>
      <c r="B2353" s="11" t="s">
        <v>3335</v>
      </c>
    </row>
    <row r="2354" spans="1:5" x14ac:dyDescent="0.25">
      <c r="A2354" s="11" t="s">
        <v>3336</v>
      </c>
      <c r="B2354" s="11" t="s">
        <v>3337</v>
      </c>
    </row>
    <row r="2355" spans="1:5" x14ac:dyDescent="0.25">
      <c r="A2355" s="11" t="s">
        <v>3338</v>
      </c>
      <c r="B2355" s="11" t="s">
        <v>3339</v>
      </c>
    </row>
    <row r="2356" spans="1:5" x14ac:dyDescent="0.25">
      <c r="A2356" s="11" t="s">
        <v>3340</v>
      </c>
      <c r="B2356" s="11" t="s">
        <v>3341</v>
      </c>
    </row>
    <row r="2357" spans="1:5" x14ac:dyDescent="0.25">
      <c r="A2357" s="11" t="s">
        <v>30</v>
      </c>
      <c r="B2357" s="11" t="s">
        <v>1040</v>
      </c>
      <c r="C2357" s="8"/>
    </row>
    <row r="2358" spans="1:5" x14ac:dyDescent="0.25">
      <c r="A2358" s="11" t="s">
        <v>305</v>
      </c>
      <c r="B2358" s="11" t="s">
        <v>1042</v>
      </c>
      <c r="C2358" s="8"/>
    </row>
    <row r="2359" spans="1:5" x14ac:dyDescent="0.25">
      <c r="A2359" s="11" t="s">
        <v>307</v>
      </c>
      <c r="B2359" s="11" t="s">
        <v>3342</v>
      </c>
      <c r="C2359" s="8"/>
    </row>
    <row r="2360" spans="1:5" x14ac:dyDescent="0.25">
      <c r="A2360" s="11" t="s">
        <v>309</v>
      </c>
      <c r="B2360" s="11" t="s">
        <v>3343</v>
      </c>
      <c r="C2360" s="8"/>
    </row>
    <row r="2361" spans="1:5" x14ac:dyDescent="0.25">
      <c r="A2361" s="11"/>
      <c r="B2361" s="11"/>
      <c r="C2361" s="8"/>
    </row>
    <row r="2362" spans="1:5" ht="18.75" x14ac:dyDescent="0.3">
      <c r="A2362" s="9" t="s">
        <v>3344</v>
      </c>
      <c r="B2362" s="9"/>
      <c r="C2362" s="7" t="s">
        <v>64</v>
      </c>
      <c r="E2362" s="16">
        <v>32</v>
      </c>
    </row>
    <row r="2363" spans="1:5" x14ac:dyDescent="0.25">
      <c r="A2363" s="10" t="s">
        <v>65</v>
      </c>
      <c r="B2363" s="10" t="s">
        <v>66</v>
      </c>
    </row>
    <row r="2364" spans="1:5" x14ac:dyDescent="0.25">
      <c r="A2364" s="11" t="s">
        <v>16</v>
      </c>
      <c r="B2364" s="11" t="s">
        <v>3345</v>
      </c>
      <c r="C2364" s="8"/>
    </row>
    <row r="2365" spans="1:5" x14ac:dyDescent="0.25">
      <c r="A2365" s="11" t="s">
        <v>29</v>
      </c>
      <c r="B2365" s="11" t="s">
        <v>3346</v>
      </c>
      <c r="C2365" s="8"/>
    </row>
    <row r="2366" spans="1:5" x14ac:dyDescent="0.25">
      <c r="A2366" s="11"/>
      <c r="B2366" s="11"/>
      <c r="C2366" s="8"/>
    </row>
    <row r="2367" spans="1:5" ht="18.75" x14ac:dyDescent="0.3">
      <c r="A2367" s="9" t="s">
        <v>3347</v>
      </c>
      <c r="B2367" s="9"/>
      <c r="C2367" s="7" t="s">
        <v>64</v>
      </c>
      <c r="E2367" s="16">
        <v>33</v>
      </c>
    </row>
    <row r="2368" spans="1:5" x14ac:dyDescent="0.25">
      <c r="A2368" s="10" t="s">
        <v>65</v>
      </c>
      <c r="B2368" s="10" t="s">
        <v>66</v>
      </c>
    </row>
    <row r="2369" spans="1:5" x14ac:dyDescent="0.25">
      <c r="A2369" s="11" t="s">
        <v>16</v>
      </c>
      <c r="B2369" s="11" t="s">
        <v>3348</v>
      </c>
      <c r="C2369" s="8"/>
    </row>
    <row r="2370" spans="1:5" x14ac:dyDescent="0.25">
      <c r="A2370" s="11" t="s">
        <v>29</v>
      </c>
      <c r="B2370" s="11" t="s">
        <v>3349</v>
      </c>
      <c r="C2370" s="8"/>
    </row>
    <row r="2371" spans="1:5" x14ac:dyDescent="0.25">
      <c r="A2371" s="11" t="s">
        <v>18</v>
      </c>
      <c r="B2371" s="11" t="s">
        <v>3350</v>
      </c>
      <c r="C2371" s="8"/>
    </row>
    <row r="2372" spans="1:5" x14ac:dyDescent="0.25">
      <c r="A2372" s="11"/>
      <c r="B2372" s="11"/>
      <c r="C2372" s="8"/>
    </row>
    <row r="2373" spans="1:5" ht="18.75" x14ac:dyDescent="0.3">
      <c r="A2373" s="9" t="s">
        <v>3351</v>
      </c>
      <c r="B2373" s="9"/>
      <c r="C2373" s="7" t="s">
        <v>64</v>
      </c>
      <c r="E2373" s="16">
        <v>34</v>
      </c>
    </row>
    <row r="2374" spans="1:5" x14ac:dyDescent="0.25">
      <c r="A2374" s="10" t="s">
        <v>65</v>
      </c>
      <c r="B2374" s="10" t="s">
        <v>66</v>
      </c>
    </row>
    <row r="2375" spans="1:5" x14ac:dyDescent="0.25">
      <c r="A2375" s="11" t="s">
        <v>16</v>
      </c>
      <c r="B2375" s="11" t="s">
        <v>3352</v>
      </c>
      <c r="C2375" s="8"/>
    </row>
    <row r="2376" spans="1:5" x14ac:dyDescent="0.25">
      <c r="A2376" s="11" t="s">
        <v>29</v>
      </c>
      <c r="B2376" s="11" t="s">
        <v>3353</v>
      </c>
      <c r="C2376" s="8"/>
    </row>
    <row r="2377" spans="1:5" x14ac:dyDescent="0.25">
      <c r="A2377" s="11"/>
      <c r="B2377" s="11"/>
      <c r="C2377" s="8"/>
    </row>
    <row r="2378" spans="1:5" ht="18.75" x14ac:dyDescent="0.3">
      <c r="A2378" s="9" t="s">
        <v>3354</v>
      </c>
      <c r="B2378" s="9"/>
      <c r="C2378" s="7" t="s">
        <v>64</v>
      </c>
      <c r="E2378" s="16">
        <v>35</v>
      </c>
    </row>
    <row r="2379" spans="1:5" x14ac:dyDescent="0.25">
      <c r="A2379" s="10" t="s">
        <v>65</v>
      </c>
      <c r="B2379" s="10" t="s">
        <v>66</v>
      </c>
    </row>
    <row r="2380" spans="1:5" x14ac:dyDescent="0.25">
      <c r="A2380" s="11" t="s">
        <v>16</v>
      </c>
      <c r="B2380" s="11" t="s">
        <v>3355</v>
      </c>
      <c r="C2380" s="8"/>
    </row>
    <row r="2381" spans="1:5" x14ac:dyDescent="0.25">
      <c r="A2381" s="11" t="s">
        <v>268</v>
      </c>
      <c r="B2381" s="11" t="s">
        <v>3356</v>
      </c>
      <c r="C2381" s="8"/>
    </row>
    <row r="2382" spans="1:5" x14ac:dyDescent="0.25">
      <c r="A2382" s="11" t="s">
        <v>270</v>
      </c>
      <c r="B2382" s="11" t="s">
        <v>3357</v>
      </c>
      <c r="C2382" s="8"/>
    </row>
    <row r="2383" spans="1:5" x14ac:dyDescent="0.25">
      <c r="A2383" s="11" t="s">
        <v>272</v>
      </c>
      <c r="B2383" s="11" t="s">
        <v>3358</v>
      </c>
      <c r="C2383" s="8"/>
    </row>
    <row r="2384" spans="1:5" x14ac:dyDescent="0.25">
      <c r="A2384" s="11" t="s">
        <v>25</v>
      </c>
      <c r="B2384" s="11" t="s">
        <v>3359</v>
      </c>
      <c r="C2384" s="8"/>
    </row>
    <row r="2385" spans="1:3" x14ac:dyDescent="0.25">
      <c r="A2385" s="11" t="s">
        <v>275</v>
      </c>
      <c r="B2385" s="11" t="s">
        <v>3360</v>
      </c>
      <c r="C2385" s="8"/>
    </row>
    <row r="2386" spans="1:3" x14ac:dyDescent="0.25">
      <c r="A2386" s="11" t="s">
        <v>277</v>
      </c>
      <c r="B2386" s="11" t="s">
        <v>3361</v>
      </c>
      <c r="C2386" s="8"/>
    </row>
    <row r="2387" spans="1:3" x14ac:dyDescent="0.25">
      <c r="A2387" s="11" t="s">
        <v>279</v>
      </c>
      <c r="B2387" s="11" t="s">
        <v>3362</v>
      </c>
      <c r="C2387" s="8"/>
    </row>
    <row r="2388" spans="1:3" x14ac:dyDescent="0.25">
      <c r="A2388" s="11" t="s">
        <v>281</v>
      </c>
      <c r="B2388" s="11" t="s">
        <v>3363</v>
      </c>
      <c r="C2388" s="8"/>
    </row>
    <row r="2389" spans="1:3" x14ac:dyDescent="0.25">
      <c r="A2389" s="11" t="s">
        <v>283</v>
      </c>
      <c r="B2389" s="11" t="s">
        <v>3364</v>
      </c>
      <c r="C2389" s="8"/>
    </row>
    <row r="2390" spans="1:3" x14ac:dyDescent="0.25">
      <c r="A2390" s="11" t="s">
        <v>285</v>
      </c>
      <c r="B2390" s="11" t="s">
        <v>3365</v>
      </c>
      <c r="C2390" s="8"/>
    </row>
    <row r="2391" spans="1:3" x14ac:dyDescent="0.25">
      <c r="A2391" s="11" t="s">
        <v>29</v>
      </c>
      <c r="B2391" s="11" t="s">
        <v>3366</v>
      </c>
      <c r="C2391" s="8"/>
    </row>
    <row r="2392" spans="1:3" x14ac:dyDescent="0.25">
      <c r="A2392" s="11" t="s">
        <v>18</v>
      </c>
      <c r="B2392" s="11" t="s">
        <v>3367</v>
      </c>
      <c r="C2392" s="8"/>
    </row>
    <row r="2393" spans="1:3" x14ac:dyDescent="0.25">
      <c r="A2393" s="11" t="s">
        <v>3187</v>
      </c>
      <c r="B2393" s="11" t="s">
        <v>3368</v>
      </c>
    </row>
    <row r="2394" spans="1:3" x14ac:dyDescent="0.25">
      <c r="A2394" s="11" t="s">
        <v>3045</v>
      </c>
      <c r="B2394" s="11" t="s">
        <v>3369</v>
      </c>
    </row>
    <row r="2395" spans="1:3" x14ac:dyDescent="0.25">
      <c r="A2395" s="11" t="s">
        <v>3190</v>
      </c>
      <c r="B2395" s="11" t="s">
        <v>3370</v>
      </c>
    </row>
    <row r="2396" spans="1:3" x14ac:dyDescent="0.25">
      <c r="A2396" s="11" t="s">
        <v>3192</v>
      </c>
      <c r="B2396" s="11" t="s">
        <v>3371</v>
      </c>
    </row>
    <row r="2397" spans="1:3" x14ac:dyDescent="0.25">
      <c r="A2397" s="11" t="s">
        <v>3194</v>
      </c>
      <c r="B2397" s="11" t="s">
        <v>3372</v>
      </c>
    </row>
    <row r="2398" spans="1:3" x14ac:dyDescent="0.25">
      <c r="A2398" s="11" t="s">
        <v>3050</v>
      </c>
      <c r="B2398" s="11" t="s">
        <v>3373</v>
      </c>
    </row>
    <row r="2399" spans="1:3" x14ac:dyDescent="0.25">
      <c r="A2399" s="11" t="s">
        <v>3197</v>
      </c>
      <c r="B2399" s="11" t="s">
        <v>3374</v>
      </c>
    </row>
    <row r="2400" spans="1:3" x14ac:dyDescent="0.25">
      <c r="A2400" s="11" t="s">
        <v>3199</v>
      </c>
      <c r="B2400" s="11" t="s">
        <v>3375</v>
      </c>
    </row>
    <row r="2401" spans="1:5" x14ac:dyDescent="0.25">
      <c r="A2401" s="11" t="s">
        <v>3201</v>
      </c>
      <c r="B2401" s="11" t="s">
        <v>3376</v>
      </c>
    </row>
    <row r="2402" spans="1:5" x14ac:dyDescent="0.25">
      <c r="A2402" s="11" t="s">
        <v>301</v>
      </c>
      <c r="B2402" s="11" t="s">
        <v>3377</v>
      </c>
      <c r="C2402" s="8"/>
    </row>
    <row r="2403" spans="1:5" x14ac:dyDescent="0.25">
      <c r="A2403" s="11" t="s">
        <v>36</v>
      </c>
      <c r="B2403" s="11" t="s">
        <v>3378</v>
      </c>
      <c r="C2403" s="8"/>
    </row>
    <row r="2404" spans="1:5" x14ac:dyDescent="0.25">
      <c r="A2404" s="11" t="s">
        <v>30</v>
      </c>
      <c r="B2404" s="11" t="s">
        <v>3379</v>
      </c>
      <c r="C2404" s="8"/>
    </row>
    <row r="2405" spans="1:5" x14ac:dyDescent="0.25">
      <c r="A2405" s="11" t="s">
        <v>305</v>
      </c>
      <c r="B2405" s="11" t="s">
        <v>3380</v>
      </c>
      <c r="C2405" s="8"/>
    </row>
    <row r="2406" spans="1:5" x14ac:dyDescent="0.25">
      <c r="A2406" s="11" t="s">
        <v>307</v>
      </c>
      <c r="B2406" s="11" t="s">
        <v>3381</v>
      </c>
      <c r="C2406" s="8"/>
    </row>
    <row r="2407" spans="1:5" x14ac:dyDescent="0.25">
      <c r="A2407" s="11" t="s">
        <v>309</v>
      </c>
      <c r="B2407" s="11" t="s">
        <v>3382</v>
      </c>
      <c r="C2407" s="8"/>
    </row>
    <row r="2408" spans="1:5" x14ac:dyDescent="0.25">
      <c r="A2408" s="11" t="s">
        <v>3383</v>
      </c>
      <c r="B2408" s="11" t="s">
        <v>1572</v>
      </c>
    </row>
    <row r="2409" spans="1:5" x14ac:dyDescent="0.25">
      <c r="A2409" s="11"/>
      <c r="B2409" s="11"/>
      <c r="C2409" s="8"/>
    </row>
    <row r="2410" spans="1:5" ht="18.75" x14ac:dyDescent="0.3">
      <c r="A2410" s="9" t="s">
        <v>49</v>
      </c>
      <c r="B2410" s="9"/>
      <c r="C2410" s="7" t="s">
        <v>64</v>
      </c>
      <c r="E2410" s="16">
        <v>36</v>
      </c>
    </row>
    <row r="2411" spans="1:5" x14ac:dyDescent="0.25">
      <c r="A2411" s="10" t="s">
        <v>65</v>
      </c>
      <c r="B2411" s="10" t="s">
        <v>66</v>
      </c>
    </row>
    <row r="2412" spans="1:5" x14ac:dyDescent="0.25">
      <c r="A2412" t="s">
        <v>427</v>
      </c>
      <c r="B2412" t="s">
        <v>3384</v>
      </c>
    </row>
    <row r="2413" spans="1:5" x14ac:dyDescent="0.25">
      <c r="A2413" t="s">
        <v>3385</v>
      </c>
      <c r="B2413" t="s">
        <v>3386</v>
      </c>
    </row>
    <row r="2414" spans="1:5" x14ac:dyDescent="0.25">
      <c r="A2414" t="s">
        <v>3387</v>
      </c>
      <c r="B2414" t="s">
        <v>3388</v>
      </c>
    </row>
    <row r="2415" spans="1:5" x14ac:dyDescent="0.25">
      <c r="A2415" t="s">
        <v>3389</v>
      </c>
      <c r="B2415" t="s">
        <v>3390</v>
      </c>
    </row>
    <row r="2416" spans="1:5" x14ac:dyDescent="0.25">
      <c r="A2416" t="s">
        <v>3391</v>
      </c>
      <c r="B2416" t="s">
        <v>3392</v>
      </c>
    </row>
    <row r="2418" spans="1:5" ht="18.75" x14ac:dyDescent="0.3">
      <c r="A2418" s="9" t="s">
        <v>3393</v>
      </c>
      <c r="B2418" s="9"/>
      <c r="C2418" s="7" t="s">
        <v>64</v>
      </c>
      <c r="E2418" s="16">
        <v>37</v>
      </c>
    </row>
    <row r="2419" spans="1:5" x14ac:dyDescent="0.25">
      <c r="A2419" s="12" t="s">
        <v>65</v>
      </c>
      <c r="B2419" s="12" t="s">
        <v>66</v>
      </c>
    </row>
    <row r="2420" spans="1:5" x14ac:dyDescent="0.25">
      <c r="A2420" t="s">
        <v>16</v>
      </c>
      <c r="B2420" t="s">
        <v>3394</v>
      </c>
    </row>
    <row r="2421" spans="1:5" x14ac:dyDescent="0.25">
      <c r="A2421" t="s">
        <v>29</v>
      </c>
      <c r="B2421" t="s">
        <v>3395</v>
      </c>
    </row>
    <row r="2422" spans="1:5" x14ac:dyDescent="0.25">
      <c r="A2422" t="s">
        <v>18</v>
      </c>
      <c r="B2422" t="s">
        <v>3396</v>
      </c>
    </row>
    <row r="2423" spans="1:5" x14ac:dyDescent="0.25">
      <c r="A2423" t="s">
        <v>301</v>
      </c>
      <c r="B2423" t="s">
        <v>3397</v>
      </c>
    </row>
    <row r="2424" spans="1:5" x14ac:dyDescent="0.25">
      <c r="A2424" t="s">
        <v>36</v>
      </c>
      <c r="B2424" t="s">
        <v>3398</v>
      </c>
    </row>
    <row r="2425" spans="1:5" x14ac:dyDescent="0.25">
      <c r="A2425" t="s">
        <v>30</v>
      </c>
      <c r="B2425" t="s">
        <v>3399</v>
      </c>
    </row>
    <row r="2426" spans="1:5" x14ac:dyDescent="0.25">
      <c r="A2426" t="s">
        <v>305</v>
      </c>
      <c r="B2426" t="s">
        <v>3400</v>
      </c>
    </row>
    <row r="2427" spans="1:5" x14ac:dyDescent="0.25">
      <c r="A2427" t="s">
        <v>307</v>
      </c>
      <c r="B2427" t="s">
        <v>3401</v>
      </c>
    </row>
    <row r="2429" spans="1:5" ht="18.75" x14ac:dyDescent="0.3">
      <c r="A2429" s="9" t="s">
        <v>3644</v>
      </c>
      <c r="B2429" s="9"/>
      <c r="C2429" s="7" t="s">
        <v>64</v>
      </c>
    </row>
    <row r="2430" spans="1:5" x14ac:dyDescent="0.25">
      <c r="A2430" s="12" t="s">
        <v>65</v>
      </c>
      <c r="B2430" s="12" t="s">
        <v>66</v>
      </c>
    </row>
    <row r="2431" spans="1:5" x14ac:dyDescent="0.25">
      <c r="A2431" t="s">
        <v>3603</v>
      </c>
      <c r="B2431" t="s">
        <v>3604</v>
      </c>
    </row>
    <row r="2432" spans="1:5" x14ac:dyDescent="0.25">
      <c r="A2432">
        <v>76035</v>
      </c>
      <c r="B2432" t="s">
        <v>3605</v>
      </c>
    </row>
    <row r="2433" spans="1:2" x14ac:dyDescent="0.25">
      <c r="A2433" t="s">
        <v>333</v>
      </c>
      <c r="B2433" t="s">
        <v>3606</v>
      </c>
    </row>
    <row r="2434" spans="1:2" x14ac:dyDescent="0.25">
      <c r="A2434" t="s">
        <v>335</v>
      </c>
      <c r="B2434" t="s">
        <v>3607</v>
      </c>
    </row>
    <row r="2435" spans="1:2" x14ac:dyDescent="0.25">
      <c r="A2435" t="s">
        <v>336</v>
      </c>
      <c r="B2435" t="s">
        <v>337</v>
      </c>
    </row>
    <row r="2436" spans="1:2" x14ac:dyDescent="0.25">
      <c r="A2436" t="s">
        <v>338</v>
      </c>
      <c r="B2436" t="s">
        <v>3608</v>
      </c>
    </row>
    <row r="2437" spans="1:2" x14ac:dyDescent="0.25">
      <c r="A2437" t="s">
        <v>339</v>
      </c>
      <c r="B2437" t="s">
        <v>3609</v>
      </c>
    </row>
    <row r="2438" spans="1:2" x14ac:dyDescent="0.25">
      <c r="A2438" t="s">
        <v>341</v>
      </c>
      <c r="B2438" t="s">
        <v>3610</v>
      </c>
    </row>
    <row r="2439" spans="1:2" x14ac:dyDescent="0.25">
      <c r="A2439" t="s">
        <v>3611</v>
      </c>
      <c r="B2439" t="s">
        <v>3612</v>
      </c>
    </row>
    <row r="2440" spans="1:2" x14ac:dyDescent="0.25">
      <c r="A2440" t="s">
        <v>3613</v>
      </c>
      <c r="B2440" t="s">
        <v>3614</v>
      </c>
    </row>
    <row r="2441" spans="1:2" x14ac:dyDescent="0.25">
      <c r="A2441" t="s">
        <v>311</v>
      </c>
      <c r="B2441" t="s">
        <v>3615</v>
      </c>
    </row>
    <row r="2442" spans="1:2" x14ac:dyDescent="0.25">
      <c r="A2442" t="s">
        <v>3616</v>
      </c>
      <c r="B2442" t="s">
        <v>3617</v>
      </c>
    </row>
    <row r="2443" spans="1:2" x14ac:dyDescent="0.25">
      <c r="A2443" t="s">
        <v>3618</v>
      </c>
      <c r="B2443" t="s">
        <v>3619</v>
      </c>
    </row>
    <row r="2444" spans="1:2" x14ac:dyDescent="0.25">
      <c r="A2444" t="s">
        <v>312</v>
      </c>
      <c r="B2444" t="s">
        <v>3620</v>
      </c>
    </row>
    <row r="2445" spans="1:2" x14ac:dyDescent="0.25">
      <c r="A2445" t="s">
        <v>313</v>
      </c>
      <c r="B2445" t="s">
        <v>3621</v>
      </c>
    </row>
    <row r="2446" spans="1:2" x14ac:dyDescent="0.25">
      <c r="A2446" t="s">
        <v>314</v>
      </c>
      <c r="B2446" t="s">
        <v>3622</v>
      </c>
    </row>
    <row r="2447" spans="1:2" x14ac:dyDescent="0.25">
      <c r="A2447" t="s">
        <v>315</v>
      </c>
      <c r="B2447" t="s">
        <v>3623</v>
      </c>
    </row>
    <row r="2448" spans="1:2" x14ac:dyDescent="0.25">
      <c r="A2448" t="s">
        <v>316</v>
      </c>
      <c r="B2448" t="s">
        <v>3624</v>
      </c>
    </row>
    <row r="2449" spans="1:2" x14ac:dyDescent="0.25">
      <c r="A2449" t="s">
        <v>317</v>
      </c>
      <c r="B2449" t="s">
        <v>3625</v>
      </c>
    </row>
    <row r="2450" spans="1:2" x14ac:dyDescent="0.25">
      <c r="A2450" t="s">
        <v>318</v>
      </c>
      <c r="B2450" t="s">
        <v>3626</v>
      </c>
    </row>
    <row r="2451" spans="1:2" x14ac:dyDescent="0.25">
      <c r="A2451" t="s">
        <v>3627</v>
      </c>
      <c r="B2451" t="s">
        <v>3628</v>
      </c>
    </row>
    <row r="2452" spans="1:2" x14ac:dyDescent="0.25">
      <c r="A2452" t="s">
        <v>319</v>
      </c>
      <c r="B2452" t="s">
        <v>3629</v>
      </c>
    </row>
    <row r="2453" spans="1:2" x14ac:dyDescent="0.25">
      <c r="A2453" t="s">
        <v>320</v>
      </c>
      <c r="B2453" t="s">
        <v>3630</v>
      </c>
    </row>
    <row r="2454" spans="1:2" x14ac:dyDescent="0.25">
      <c r="A2454" t="s">
        <v>321</v>
      </c>
      <c r="B2454" t="s">
        <v>3631</v>
      </c>
    </row>
    <row r="2455" spans="1:2" x14ac:dyDescent="0.25">
      <c r="A2455" t="s">
        <v>322</v>
      </c>
      <c r="B2455" t="s">
        <v>3632</v>
      </c>
    </row>
    <row r="2456" spans="1:2" x14ac:dyDescent="0.25">
      <c r="A2456" t="s">
        <v>323</v>
      </c>
      <c r="B2456" t="s">
        <v>3633</v>
      </c>
    </row>
    <row r="2457" spans="1:2" x14ac:dyDescent="0.25">
      <c r="A2457" t="s">
        <v>324</v>
      </c>
      <c r="B2457" t="s">
        <v>3634</v>
      </c>
    </row>
    <row r="2458" spans="1:2" x14ac:dyDescent="0.25">
      <c r="A2458" t="s">
        <v>325</v>
      </c>
      <c r="B2458" t="s">
        <v>3635</v>
      </c>
    </row>
    <row r="2459" spans="1:2" x14ac:dyDescent="0.25">
      <c r="A2459" t="s">
        <v>326</v>
      </c>
      <c r="B2459" t="s">
        <v>3636</v>
      </c>
    </row>
    <row r="2460" spans="1:2" x14ac:dyDescent="0.25">
      <c r="A2460" t="s">
        <v>327</v>
      </c>
      <c r="B2460" t="s">
        <v>328</v>
      </c>
    </row>
    <row r="2461" spans="1:2" x14ac:dyDescent="0.25">
      <c r="A2461" t="s">
        <v>329</v>
      </c>
      <c r="B2461" t="s">
        <v>2024</v>
      </c>
    </row>
    <row r="2462" spans="1:2" x14ac:dyDescent="0.25">
      <c r="A2462" t="s">
        <v>330</v>
      </c>
      <c r="B2462" t="s">
        <v>3637</v>
      </c>
    </row>
    <row r="2463" spans="1:2" x14ac:dyDescent="0.25">
      <c r="A2463" t="s">
        <v>331</v>
      </c>
      <c r="B2463" t="s">
        <v>3638</v>
      </c>
    </row>
    <row r="2464" spans="1:2" x14ac:dyDescent="0.25">
      <c r="A2464" t="s">
        <v>332</v>
      </c>
      <c r="B2464" t="s">
        <v>3639</v>
      </c>
    </row>
    <row r="2465" spans="1:3" x14ac:dyDescent="0.25">
      <c r="A2465" t="s">
        <v>3640</v>
      </c>
      <c r="B2465" t="s">
        <v>3641</v>
      </c>
    </row>
    <row r="2466" spans="1:3" x14ac:dyDescent="0.25">
      <c r="A2466" t="s">
        <v>334</v>
      </c>
      <c r="B2466" t="s">
        <v>3642</v>
      </c>
    </row>
    <row r="2467" spans="1:3" x14ac:dyDescent="0.25">
      <c r="A2467" t="s">
        <v>340</v>
      </c>
      <c r="B2467" t="s">
        <v>3643</v>
      </c>
    </row>
    <row r="2470" spans="1:3" ht="18.75" x14ac:dyDescent="0.3">
      <c r="A2470" s="9" t="s">
        <v>3683</v>
      </c>
      <c r="B2470" s="9"/>
      <c r="C2470" s="7" t="s">
        <v>64</v>
      </c>
    </row>
    <row r="2471" spans="1:3" x14ac:dyDescent="0.25">
      <c r="A2471" s="10" t="s">
        <v>65</v>
      </c>
      <c r="B2471" s="10" t="s">
        <v>66</v>
      </c>
    </row>
    <row r="2472" spans="1:3" x14ac:dyDescent="0.25">
      <c r="A2472">
        <v>1</v>
      </c>
      <c r="B2472" t="s">
        <v>3645</v>
      </c>
    </row>
    <row r="2473" spans="1:3" x14ac:dyDescent="0.25">
      <c r="A2473">
        <v>2</v>
      </c>
      <c r="B2473" t="s">
        <v>3646</v>
      </c>
    </row>
    <row r="2474" spans="1:3" x14ac:dyDescent="0.25">
      <c r="A2474">
        <v>3</v>
      </c>
      <c r="B2474" t="s">
        <v>3647</v>
      </c>
    </row>
    <row r="2475" spans="1:3" x14ac:dyDescent="0.25">
      <c r="A2475">
        <v>4</v>
      </c>
      <c r="B2475" t="s">
        <v>3648</v>
      </c>
    </row>
    <row r="2476" spans="1:3" x14ac:dyDescent="0.25">
      <c r="A2476">
        <v>5</v>
      </c>
      <c r="B2476" t="s">
        <v>3649</v>
      </c>
    </row>
    <row r="2477" spans="1:3" x14ac:dyDescent="0.25">
      <c r="A2477">
        <v>6</v>
      </c>
      <c r="B2477" t="s">
        <v>3650</v>
      </c>
    </row>
    <row r="2478" spans="1:3" x14ac:dyDescent="0.25">
      <c r="A2478">
        <v>7</v>
      </c>
      <c r="B2478" t="s">
        <v>3651</v>
      </c>
    </row>
    <row r="2479" spans="1:3" x14ac:dyDescent="0.25">
      <c r="A2479">
        <v>8</v>
      </c>
      <c r="B2479" t="s">
        <v>3652</v>
      </c>
    </row>
    <row r="2480" spans="1:3" x14ac:dyDescent="0.25">
      <c r="A2480">
        <v>9</v>
      </c>
      <c r="B2480" t="s">
        <v>3653</v>
      </c>
    </row>
    <row r="2481" spans="1:2" x14ac:dyDescent="0.25">
      <c r="A2481">
        <v>10</v>
      </c>
      <c r="B2481" t="s">
        <v>3654</v>
      </c>
    </row>
    <row r="2482" spans="1:2" x14ac:dyDescent="0.25">
      <c r="A2482">
        <v>11</v>
      </c>
      <c r="B2482" t="s">
        <v>3655</v>
      </c>
    </row>
    <row r="2483" spans="1:2" x14ac:dyDescent="0.25">
      <c r="A2483">
        <v>12</v>
      </c>
      <c r="B2483" t="s">
        <v>3656</v>
      </c>
    </row>
    <row r="2484" spans="1:2" x14ac:dyDescent="0.25">
      <c r="A2484">
        <v>13</v>
      </c>
      <c r="B2484" t="s">
        <v>3657</v>
      </c>
    </row>
    <row r="2485" spans="1:2" x14ac:dyDescent="0.25">
      <c r="A2485">
        <v>14</v>
      </c>
      <c r="B2485" t="s">
        <v>3658</v>
      </c>
    </row>
    <row r="2486" spans="1:2" x14ac:dyDescent="0.25">
      <c r="A2486">
        <v>15</v>
      </c>
      <c r="B2486" t="s">
        <v>3659</v>
      </c>
    </row>
    <row r="2487" spans="1:2" x14ac:dyDescent="0.25">
      <c r="A2487">
        <v>16</v>
      </c>
      <c r="B2487" t="s">
        <v>3660</v>
      </c>
    </row>
    <row r="2488" spans="1:2" x14ac:dyDescent="0.25">
      <c r="A2488">
        <v>17</v>
      </c>
      <c r="B2488" t="s">
        <v>3661</v>
      </c>
    </row>
    <row r="2489" spans="1:2" x14ac:dyDescent="0.25">
      <c r="A2489">
        <v>18</v>
      </c>
      <c r="B2489" t="s">
        <v>3662</v>
      </c>
    </row>
    <row r="2490" spans="1:2" x14ac:dyDescent="0.25">
      <c r="A2490">
        <v>19</v>
      </c>
      <c r="B2490" t="s">
        <v>3663</v>
      </c>
    </row>
    <row r="2491" spans="1:2" x14ac:dyDescent="0.25">
      <c r="A2491">
        <v>20</v>
      </c>
      <c r="B2491" t="s">
        <v>3664</v>
      </c>
    </row>
    <row r="2492" spans="1:2" x14ac:dyDescent="0.25">
      <c r="A2492">
        <v>21</v>
      </c>
      <c r="B2492" t="s">
        <v>3665</v>
      </c>
    </row>
    <row r="2493" spans="1:2" x14ac:dyDescent="0.25">
      <c r="A2493">
        <v>22</v>
      </c>
      <c r="B2493" t="s">
        <v>3666</v>
      </c>
    </row>
    <row r="2494" spans="1:2" x14ac:dyDescent="0.25">
      <c r="A2494">
        <v>23</v>
      </c>
      <c r="B2494" t="s">
        <v>3667</v>
      </c>
    </row>
    <row r="2495" spans="1:2" x14ac:dyDescent="0.25">
      <c r="A2495">
        <v>24</v>
      </c>
      <c r="B2495" t="s">
        <v>3668</v>
      </c>
    </row>
    <row r="2496" spans="1:2" x14ac:dyDescent="0.25">
      <c r="A2496">
        <v>25</v>
      </c>
      <c r="B2496" t="s">
        <v>3669</v>
      </c>
    </row>
    <row r="2497" spans="1:3" x14ac:dyDescent="0.25">
      <c r="A2497">
        <v>26</v>
      </c>
      <c r="B2497" t="s">
        <v>3670</v>
      </c>
    </row>
    <row r="2498" spans="1:3" x14ac:dyDescent="0.25">
      <c r="A2498">
        <v>28</v>
      </c>
      <c r="B2498" t="s">
        <v>3671</v>
      </c>
    </row>
    <row r="2499" spans="1:3" x14ac:dyDescent="0.25">
      <c r="A2499">
        <v>29</v>
      </c>
      <c r="B2499" t="s">
        <v>3651</v>
      </c>
    </row>
    <row r="2500" spans="1:3" x14ac:dyDescent="0.25">
      <c r="A2500">
        <v>40</v>
      </c>
      <c r="B2500" t="s">
        <v>3672</v>
      </c>
    </row>
    <row r="2501" spans="1:3" x14ac:dyDescent="0.25">
      <c r="A2501">
        <v>41</v>
      </c>
      <c r="B2501" t="s">
        <v>3673</v>
      </c>
    </row>
    <row r="2502" spans="1:3" x14ac:dyDescent="0.25">
      <c r="A2502">
        <v>42</v>
      </c>
      <c r="B2502" t="s">
        <v>3674</v>
      </c>
    </row>
    <row r="2503" spans="1:3" x14ac:dyDescent="0.25">
      <c r="A2503">
        <v>43</v>
      </c>
      <c r="B2503" t="s">
        <v>3675</v>
      </c>
    </row>
    <row r="2504" spans="1:3" x14ac:dyDescent="0.25">
      <c r="A2504">
        <v>44</v>
      </c>
      <c r="B2504" t="s">
        <v>3676</v>
      </c>
    </row>
    <row r="2505" spans="1:3" x14ac:dyDescent="0.25">
      <c r="A2505">
        <v>45</v>
      </c>
      <c r="B2505" t="s">
        <v>3677</v>
      </c>
    </row>
    <row r="2506" spans="1:3" x14ac:dyDescent="0.25">
      <c r="A2506">
        <v>46</v>
      </c>
      <c r="B2506" t="s">
        <v>3678</v>
      </c>
    </row>
    <row r="2507" spans="1:3" x14ac:dyDescent="0.25">
      <c r="A2507">
        <v>47</v>
      </c>
      <c r="B2507" t="s">
        <v>3679</v>
      </c>
    </row>
    <row r="2508" spans="1:3" x14ac:dyDescent="0.25">
      <c r="A2508">
        <v>48</v>
      </c>
      <c r="B2508" t="s">
        <v>3680</v>
      </c>
    </row>
    <row r="2509" spans="1:3" x14ac:dyDescent="0.25">
      <c r="A2509">
        <v>49</v>
      </c>
      <c r="B2509" t="s">
        <v>3681</v>
      </c>
    </row>
    <row r="2510" spans="1:3" x14ac:dyDescent="0.25">
      <c r="A2510">
        <v>90</v>
      </c>
      <c r="B2510" t="s">
        <v>3682</v>
      </c>
    </row>
    <row r="2512" spans="1:3" ht="18.75" x14ac:dyDescent="0.3">
      <c r="A2512" s="9" t="s">
        <v>3977</v>
      </c>
      <c r="B2512" s="9"/>
      <c r="C2512" s="7" t="s">
        <v>64</v>
      </c>
    </row>
    <row r="2513" spans="1:3" x14ac:dyDescent="0.25">
      <c r="A2513" s="10" t="s">
        <v>65</v>
      </c>
      <c r="B2513" s="10" t="s">
        <v>66</v>
      </c>
    </row>
    <row r="2514" spans="1:3" x14ac:dyDescent="0.25">
      <c r="A2514" t="s">
        <v>628</v>
      </c>
      <c r="B2514" t="s">
        <v>3982</v>
      </c>
    </row>
    <row r="2515" spans="1:3" x14ac:dyDescent="0.25">
      <c r="A2515" t="s">
        <v>3978</v>
      </c>
      <c r="B2515" t="s">
        <v>3983</v>
      </c>
    </row>
    <row r="2516" spans="1:3" x14ac:dyDescent="0.25">
      <c r="A2516" t="s">
        <v>3979</v>
      </c>
      <c r="B2516" t="s">
        <v>3984</v>
      </c>
    </row>
    <row r="2517" spans="1:3" x14ac:dyDescent="0.25">
      <c r="A2517" t="s">
        <v>705</v>
      </c>
      <c r="B2517" t="s">
        <v>3985</v>
      </c>
    </row>
    <row r="2518" spans="1:3" x14ac:dyDescent="0.25">
      <c r="A2518" t="s">
        <v>644</v>
      </c>
      <c r="B2518" t="s">
        <v>3986</v>
      </c>
    </row>
    <row r="2519" spans="1:3" x14ac:dyDescent="0.25">
      <c r="A2519" t="s">
        <v>361</v>
      </c>
      <c r="B2519" t="s">
        <v>3987</v>
      </c>
    </row>
    <row r="2520" spans="1:3" x14ac:dyDescent="0.25">
      <c r="A2520" t="s">
        <v>620</v>
      </c>
      <c r="B2520" t="s">
        <v>3988</v>
      </c>
    </row>
    <row r="2521" spans="1:3" x14ac:dyDescent="0.25">
      <c r="A2521" t="s">
        <v>3980</v>
      </c>
      <c r="B2521" t="s">
        <v>3989</v>
      </c>
    </row>
    <row r="2522" spans="1:3" x14ac:dyDescent="0.25">
      <c r="A2522" t="s">
        <v>692</v>
      </c>
      <c r="B2522" t="s">
        <v>3990</v>
      </c>
    </row>
    <row r="2523" spans="1:3" x14ac:dyDescent="0.25">
      <c r="A2523" t="s">
        <v>3981</v>
      </c>
      <c r="B2523" t="s">
        <v>3991</v>
      </c>
    </row>
    <row r="2525" spans="1:3" ht="18.75" x14ac:dyDescent="0.3">
      <c r="A2525" s="9" t="s">
        <v>3992</v>
      </c>
      <c r="B2525" s="9"/>
      <c r="C2525" s="7" t="s">
        <v>64</v>
      </c>
    </row>
    <row r="2526" spans="1:3" x14ac:dyDescent="0.25">
      <c r="A2526" s="10" t="s">
        <v>65</v>
      </c>
      <c r="B2526" s="10" t="s">
        <v>66</v>
      </c>
    </row>
    <row r="2527" spans="1:3" x14ac:dyDescent="0.25">
      <c r="A2527" t="s">
        <v>3993</v>
      </c>
      <c r="B2527" t="s">
        <v>3994</v>
      </c>
    </row>
    <row r="2528" spans="1:3" x14ac:dyDescent="0.25">
      <c r="A2528" t="s">
        <v>3995</v>
      </c>
      <c r="B2528" t="s">
        <v>3996</v>
      </c>
    </row>
    <row r="2529" spans="1:2" x14ac:dyDescent="0.25">
      <c r="A2529" t="s">
        <v>3997</v>
      </c>
      <c r="B2529" t="s">
        <v>3998</v>
      </c>
    </row>
    <row r="2530" spans="1:2" x14ac:dyDescent="0.25">
      <c r="A2530" t="s">
        <v>3999</v>
      </c>
      <c r="B2530" t="s">
        <v>4000</v>
      </c>
    </row>
    <row r="2531" spans="1:2" x14ac:dyDescent="0.25">
      <c r="A2531" t="s">
        <v>4001</v>
      </c>
      <c r="B2531" t="s">
        <v>4002</v>
      </c>
    </row>
    <row r="2532" spans="1:2" x14ac:dyDescent="0.25">
      <c r="A2532" t="s">
        <v>4003</v>
      </c>
      <c r="B2532" t="s">
        <v>4004</v>
      </c>
    </row>
    <row r="2533" spans="1:2" x14ac:dyDescent="0.25">
      <c r="A2533" t="s">
        <v>666</v>
      </c>
      <c r="B2533" t="s">
        <v>4005</v>
      </c>
    </row>
  </sheetData>
  <autoFilter ref="A1:B2533" xr:uid="{00000000-0001-0000-0800-000000000000}"/>
  <hyperlinks>
    <hyperlink ref="C1" location="INDEX!A1" display="regresar" xr:uid="{00000000-0004-0000-0800-000000000000}"/>
    <hyperlink ref="C6" location="INDEX!A1" display="regresar" xr:uid="{00000000-0004-0000-0800-000001000000}"/>
    <hyperlink ref="C134" location="INDEX!A1" display="regresar" xr:uid="{00000000-0004-0000-0800-000002000000}"/>
    <hyperlink ref="C165" location="INDEX!A1" display="regresar" xr:uid="{00000000-0004-0000-0800-000004000000}"/>
    <hyperlink ref="C417" location="INDEX!A1" display="regresar" xr:uid="{00000000-0004-0000-0800-000005000000}"/>
    <hyperlink ref="C428" location="INDEX!A1" display="regresar" xr:uid="{00000000-0004-0000-0800-000006000000}"/>
    <hyperlink ref="C558" location="INDEX!A1" display="regresar" xr:uid="{00000000-0004-0000-0800-000007000000}"/>
    <hyperlink ref="C566" location="INDEX!A1" display="regresar" xr:uid="{00000000-0004-0000-0800-000008000000}"/>
    <hyperlink ref="C984" location="INDEX!A1" display="regresar" xr:uid="{00000000-0004-0000-0800-000009000000}"/>
    <hyperlink ref="C990" location="INDEX!A1" display="regresar" xr:uid="{00000000-0004-0000-0800-00000A000000}"/>
    <hyperlink ref="C996" location="INDEX!A1" display="regresar" xr:uid="{00000000-0004-0000-0800-00000B000000}"/>
    <hyperlink ref="C1011" location="INDEX!A1" display="regresar" xr:uid="{00000000-0004-0000-0800-00000C000000}"/>
    <hyperlink ref="C1019" location="INDEX!A1" display="regresar" xr:uid="{00000000-0004-0000-0800-00000D000000}"/>
    <hyperlink ref="C1062" location="INDEX!A1" display="regresar" xr:uid="{00000000-0004-0000-0800-00000E000000}"/>
    <hyperlink ref="C1074" location="INDEX!A1" display="regresar" xr:uid="{00000000-0004-0000-0800-00000F000000}"/>
    <hyperlink ref="C1089" location="INDEX!A1" display="regresar" xr:uid="{00000000-0004-0000-0800-000010000000}"/>
    <hyperlink ref="C1099" location="INDEX!A1" display="regresar" xr:uid="{00000000-0004-0000-0800-000011000000}"/>
    <hyperlink ref="C1104" location="INDEX!A1" display="regresar" xr:uid="{00000000-0004-0000-0800-000012000000}"/>
    <hyperlink ref="C1110" location="INDEX!A1" display="regresar" xr:uid="{00000000-0004-0000-0800-000013000000}"/>
    <hyperlink ref="C2084" location="INDEX!A1" display="regresar" xr:uid="{00000000-0004-0000-0800-000014000000}"/>
    <hyperlink ref="C2089" location="INDEX!A1" display="regresar" xr:uid="{00000000-0004-0000-0800-000015000000}"/>
    <hyperlink ref="C2094" location="INDEX!A1" display="regresar" xr:uid="{00000000-0004-0000-0800-000016000000}"/>
    <hyperlink ref="C2176" location="INDEX!A1" display="regresar" xr:uid="{00000000-0004-0000-0800-000017000000}"/>
    <hyperlink ref="C2182" location="INDEX!A1" display="regresar" xr:uid="{00000000-0004-0000-0800-000018000000}"/>
    <hyperlink ref="C2231" location="INDEX!A1" display="regresar" xr:uid="{00000000-0004-0000-0800-000019000000}"/>
    <hyperlink ref="C2281" location="INDEX!A1" display="regresar" xr:uid="{00000000-0004-0000-0800-00001A000000}"/>
    <hyperlink ref="C2291" location="INDEX!A1" display="regresar" xr:uid="{00000000-0004-0000-0800-00001B000000}"/>
    <hyperlink ref="C2297" location="INDEX!A1" display="regresar" xr:uid="{00000000-0004-0000-0800-00001C000000}"/>
    <hyperlink ref="C2302" location="INDEX!A1" display="regresar" xr:uid="{00000000-0004-0000-0800-00001D000000}"/>
    <hyperlink ref="C2314" location="INDEX!A1" display="regresar" xr:uid="{00000000-0004-0000-0800-00001E000000}"/>
    <hyperlink ref="C2362" location="INDEX!A1" display="regresar" xr:uid="{00000000-0004-0000-0800-00001F000000}"/>
    <hyperlink ref="C2367" location="INDEX!A1" display="regresar" xr:uid="{00000000-0004-0000-0800-000020000000}"/>
    <hyperlink ref="C2373" location="INDEX!A1" display="regresar" xr:uid="{00000000-0004-0000-0800-000021000000}"/>
    <hyperlink ref="C2378" location="INDEX!A1" display="regresar" xr:uid="{00000000-0004-0000-0800-000022000000}"/>
    <hyperlink ref="C2410" location="INDEX!A1" display="regresar" xr:uid="{00000000-0004-0000-0800-000023000000}"/>
    <hyperlink ref="C2418" location="INDEX!A1" display="regresar" xr:uid="{00000000-0004-0000-0800-000024000000}"/>
    <hyperlink ref="C2429" location="INDEX!A1" display="regresar" xr:uid="{00000000-0004-0000-0800-000025000000}"/>
    <hyperlink ref="C2470" location="INDEX!A1" display="regresar" xr:uid="{00000000-0004-0000-0800-000026000000}"/>
    <hyperlink ref="C2512" location="INDEX!A1" display="regresar" xr:uid="{CF2FB45D-1E27-47CF-B64C-8FE57C6DAD0F}"/>
    <hyperlink ref="C2525" location="INDEX!A1" display="regresar" xr:uid="{7C7170EE-933C-4915-96E5-F18DBF9F12A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751D1150-4E09-447E-B0A6-386FABDDEB9D}"/>
</file>

<file path=customXml/itemProps2.xml><?xml version="1.0" encoding="utf-8"?>
<ds:datastoreItem xmlns:ds="http://schemas.openxmlformats.org/officeDocument/2006/customXml" ds:itemID="{AD19DDA3-3EC9-4120-BBDE-86C8F992CE83}"/>
</file>

<file path=customXml/itemProps3.xml><?xml version="1.0" encoding="utf-8"?>
<ds:datastoreItem xmlns:ds="http://schemas.openxmlformats.org/officeDocument/2006/customXml" ds:itemID="{434898A5-0B3F-46A4-9377-D961CEF133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OPTO_I</vt:lpstr>
      <vt:lpstr>OPTO_II</vt:lpstr>
      <vt:lpstr>OPTO_III</vt:lpstr>
      <vt:lpstr>OPTO_II_COM</vt:lpstr>
      <vt:lpstr>OPTO_MEREC_CONVO</vt:lpstr>
      <vt:lpstr>OPTO_CONVO</vt:lpstr>
      <vt:lpstr>OPTO_OPC_TIT_CONVO</vt:lpstr>
      <vt:lpstr>OPTO IX</vt:lpstr>
      <vt:lpstr>OPTO_IX_COM</vt:lpstr>
      <vt:lpstr>OPTO X</vt:lpstr>
      <vt:lpstr>LAYOUT OPTO XI</vt:lpstr>
      <vt:lpstr>LAYOUT OPTO XII</vt:lpstr>
      <vt:lpstr>CATALOGOS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Padilla</dc:creator>
  <cp:lastModifiedBy>Giovanni Nuñez</cp:lastModifiedBy>
  <dcterms:created xsi:type="dcterms:W3CDTF">2014-12-19T16:24:35Z</dcterms:created>
  <dcterms:modified xsi:type="dcterms:W3CDTF">2025-10-02T15:17:47Z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