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ionquieroconfianza-my.sharepoint.com/personal/martin_tejada_ion_com_mx/Documents/AdmonProyecto/Reportes Regulatorios/UNE/"/>
    </mc:Choice>
  </mc:AlternateContent>
  <xr:revisionPtr revIDLastSave="4" documentId="8_{747F3C77-A601-4A0A-971E-3E7A3CBF1A46}" xr6:coauthVersionLast="47" xr6:coauthVersionMax="47" xr10:uidLastSave="{0D7FFF71-0085-439D-B1C2-1D782532E144}"/>
  <bookViews>
    <workbookView xWindow="-120" yWindow="-120" windowWidth="20730" windowHeight="11040" xr2:uid="{EB3201AD-7C32-469A-AF52-AB3CBA9DE3F3}"/>
  </bookViews>
  <sheets>
    <sheet name="RECLAMACIONES" sheetId="2" r:id="rId1"/>
    <sheet name="CATALOGOS" sheetId="3" r:id="rId2"/>
    <sheet name="Hoja1" sheetId="1" r:id="rId3"/>
  </sheets>
  <definedNames>
    <definedName name="_xlnm._FilterDatabase" localSheetId="0" hidden="1">RECLAMACIONES!$A$3:$T$42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3" i="3" l="1"/>
  <c r="D82" i="3"/>
  <c r="D76" i="3"/>
  <c r="D75" i="3"/>
  <c r="D70" i="3"/>
  <c r="D69" i="3"/>
  <c r="D43" i="3"/>
  <c r="D42" i="3"/>
  <c r="D8" i="3"/>
  <c r="D2" i="3"/>
  <c r="D23" i="3"/>
  <c r="D22" i="3"/>
  <c r="D7" i="3"/>
  <c r="D1" i="3"/>
  <c r="D93" i="3"/>
  <c r="D92" i="3"/>
  <c r="D91" i="3"/>
  <c r="D90" i="3"/>
  <c r="D89" i="3"/>
  <c r="D88" i="3"/>
  <c r="D87" i="3"/>
  <c r="D86" i="3"/>
  <c r="D85" i="3"/>
  <c r="D84" i="3"/>
  <c r="D79" i="3"/>
  <c r="D78" i="3"/>
  <c r="D77" i="3"/>
  <c r="D73" i="3"/>
  <c r="D72" i="3"/>
  <c r="D71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19" i="3"/>
  <c r="D18" i="3"/>
  <c r="D17" i="3"/>
  <c r="D16" i="3"/>
  <c r="D15" i="3"/>
  <c r="D14" i="3"/>
  <c r="D13" i="3"/>
  <c r="D12" i="3"/>
  <c r="D11" i="3"/>
  <c r="D10" i="3"/>
  <c r="D9" i="3"/>
  <c r="D5" i="3"/>
  <c r="D4" i="3"/>
  <c r="D3" i="3"/>
</calcChain>
</file>

<file path=xl/sharedStrings.xml><?xml version="1.0" encoding="utf-8"?>
<sst xmlns="http://schemas.openxmlformats.org/spreadsheetml/2006/main" count="453" uniqueCount="246">
  <si>
    <t>INFORMACION LAYOUT</t>
  </si>
  <si>
    <t>INFORMACION BUSINESS CASE</t>
  </si>
  <si>
    <t>EXTRACCION HUBSPOT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</si>
  <si>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</si>
  <si>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</si>
  <si>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</si>
  <si>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</si>
  <si>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</si>
  <si>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</si>
  <si>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</si>
  <si>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</si>
  <si>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</si>
  <si>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RECLAMACIONES</t>
  </si>
  <si>
    <t>CAC</t>
  </si>
  <si>
    <t>UNE</t>
  </si>
  <si>
    <t>Si</t>
  </si>
  <si>
    <t>ID_RECLAMACION</t>
  </si>
  <si>
    <t>TEXTO</t>
  </si>
  <si>
    <t>22</t>
  </si>
  <si>
    <t>No Repetidos</t>
  </si>
  <si>
    <t>FOLIO</t>
  </si>
  <si>
    <t>se solicito consecutivo | TI valida</t>
  </si>
  <si>
    <t>No</t>
  </si>
  <si>
    <t>FECHA_RECLAMACION</t>
  </si>
  <si>
    <t>FECHA</t>
  </si>
  <si>
    <t>8</t>
  </si>
  <si>
    <t>FECHA DE RECEPCION</t>
  </si>
  <si>
    <t>fecha de alta en hubspot | TI valida</t>
  </si>
  <si>
    <t>FECHA_EVENTO</t>
  </si>
  <si>
    <t>= FECHA_RECLAMACION</t>
  </si>
  <si>
    <t>ID_CUENTA</t>
  </si>
  <si>
    <t>18</t>
  </si>
  <si>
    <t>Número de crédito</t>
  </si>
  <si>
    <t>ok</t>
  </si>
  <si>
    <t>PRODUCTO</t>
  </si>
  <si>
    <t>NUMERICO</t>
  </si>
  <si>
    <t>3,0</t>
  </si>
  <si>
    <t>Catalogo</t>
  </si>
  <si>
    <t>Producto Financiero</t>
  </si>
  <si>
    <t>PRODUCTO Y/O SERVICIO (EN SU CASO)</t>
  </si>
  <si>
    <t>Catálogo, registros sombreados en verde</t>
  </si>
  <si>
    <t>CANAL_EVENTO</t>
  </si>
  <si>
    <t>3</t>
  </si>
  <si>
    <t>Canales</t>
  </si>
  <si>
    <t>MOTIVO_RECLAMACION</t>
  </si>
  <si>
    <t>Motivo Reclamacion</t>
  </si>
  <si>
    <t>CAUSA</t>
  </si>
  <si>
    <t>Captación (reclamaciones)</t>
  </si>
  <si>
    <t>Mapeo Vs resultados del combo</t>
  </si>
  <si>
    <t>Crédito (reclamaciones)</t>
  </si>
  <si>
    <t>IMPORTE_RECLAMACION</t>
  </si>
  <si>
    <t>17,2</t>
  </si>
  <si>
    <t>IMPORTE RECALMADO</t>
  </si>
  <si>
    <t>ESTAUTS_RECLAMACION</t>
  </si>
  <si>
    <t>Estado de Reclamacion</t>
  </si>
  <si>
    <t>ESTADO DE CONCLUIDO O PENDIENTE</t>
  </si>
  <si>
    <t>validar si se solicitó MR | Catálogo, registros sombreados en verde</t>
  </si>
  <si>
    <t>SENTIDO_RESOLUCION</t>
  </si>
  <si>
    <t>Resolucion</t>
  </si>
  <si>
    <t>FECHA_RESOLUCION</t>
  </si>
  <si>
    <t>FECHA DE RESOLUCION</t>
  </si>
  <si>
    <t>fecha de baja en hubspot | TI valida</t>
  </si>
  <si>
    <t>CAUSA_RESOLUCION</t>
  </si>
  <si>
    <t>Causa de Resolucion</t>
  </si>
  <si>
    <t>IMPORTE_ABONADO_CLIENTE</t>
  </si>
  <si>
    <t>16,2</t>
  </si>
  <si>
    <t>Solo aplica si existe resolución</t>
  </si>
  <si>
    <t>IMPORTE QUE SE RESTITUYO AL USUARIO</t>
  </si>
  <si>
    <t>FECHA_ABONO_CLIENTE</t>
  </si>
  <si>
    <t>FECHA EN QUE SE RESTITUYO EL IMPORTE AL USUARIO</t>
  </si>
  <si>
    <t>IMPORTE_RECUPERADO</t>
  </si>
  <si>
    <t>nulo</t>
  </si>
  <si>
    <t>IMPORTE_QUEBRANTO</t>
  </si>
  <si>
    <t>ORIGEN_RECLAMACION</t>
  </si>
  <si>
    <t>Origen de la Reclamacion</t>
  </si>
  <si>
    <t>MEDIO DE RECEPCION</t>
  </si>
  <si>
    <t>CAC = INSTITUCION / UNE = UNE</t>
  </si>
  <si>
    <t>FECHA_INFO</t>
  </si>
  <si>
    <t>FECHA REPORTE</t>
  </si>
  <si>
    <t>FIN DE REPORTE</t>
  </si>
  <si>
    <t>FECHA DE NOTIFICACION AL USUARIO</t>
  </si>
  <si>
    <t>Asunto del ticket (CAC)</t>
  </si>
  <si>
    <t>Detalle de la solicitud</t>
  </si>
  <si>
    <t>ENTIDAD FEDERATIVA</t>
  </si>
  <si>
    <t>Detalle de la consulta</t>
  </si>
  <si>
    <t>Correo</t>
  </si>
  <si>
    <t>CODIGO POSTAL</t>
  </si>
  <si>
    <t>Carga de documento pdf</t>
  </si>
  <si>
    <t>Nombre</t>
  </si>
  <si>
    <t>MUNICIPIO</t>
  </si>
  <si>
    <t>Apellidos</t>
  </si>
  <si>
    <t>Reclamaciones</t>
  </si>
  <si>
    <t>Aclaraciones</t>
  </si>
  <si>
    <t>Nombre del ticket</t>
  </si>
  <si>
    <t>Captación (aclaraciones)</t>
  </si>
  <si>
    <t>Conversion Date</t>
  </si>
  <si>
    <t>Crédito (aclaraciones)</t>
  </si>
  <si>
    <t>Conversion Page</t>
  </si>
  <si>
    <t>Consultas</t>
  </si>
  <si>
    <t>Conversion Title</t>
  </si>
  <si>
    <t>Captación (consultas)</t>
  </si>
  <si>
    <t>Contact first name</t>
  </si>
  <si>
    <t>Crédito (consultas)</t>
  </si>
  <si>
    <t>Contact last name</t>
  </si>
  <si>
    <t>Contact email</t>
  </si>
  <si>
    <t>Contact ID</t>
  </si>
  <si>
    <t>Clave</t>
  </si>
  <si>
    <t>Descripcion</t>
  </si>
  <si>
    <t>Institucion</t>
  </si>
  <si>
    <t>CONDUSEF</t>
  </si>
  <si>
    <t>Cuentas de Depósitos a la Vista</t>
  </si>
  <si>
    <t>CAPTACION</t>
  </si>
  <si>
    <t>Valores e Instrumentos de Inversión</t>
  </si>
  <si>
    <t>Tarjeta de Débito</t>
  </si>
  <si>
    <t>Tarjeta de Crédito</t>
  </si>
  <si>
    <t>Tarjeta Prepagada</t>
  </si>
  <si>
    <t>Cuentas de Nómina</t>
  </si>
  <si>
    <t>Crédito Hipotecario</t>
  </si>
  <si>
    <t>CREDITO</t>
  </si>
  <si>
    <t>Crédito Automotriz</t>
  </si>
  <si>
    <t>Crédito de Nómina</t>
  </si>
  <si>
    <t>Crédito al Consumo</t>
  </si>
  <si>
    <t>Crédito Personal</t>
  </si>
  <si>
    <t>Operaciones por Internet Personas Físicas</t>
  </si>
  <si>
    <t>Operaciones por Internet Personas Morales</t>
  </si>
  <si>
    <t>Comercio por Internet</t>
  </si>
  <si>
    <t>Banca por Teléfono</t>
  </si>
  <si>
    <t>Comercio por Teléfono</t>
  </si>
  <si>
    <t>Cajeros Automáticos</t>
  </si>
  <si>
    <t>Terminal Punto de Venta</t>
  </si>
  <si>
    <t>Sucursales</t>
  </si>
  <si>
    <t>Corresponsales</t>
  </si>
  <si>
    <t>Pagos por Celular</t>
  </si>
  <si>
    <t>Banca Móvil</t>
  </si>
  <si>
    <t>Movimiento Generado por el Banco</t>
  </si>
  <si>
    <t>Otros Bancos</t>
  </si>
  <si>
    <t>Servicio de Adquirencia</t>
  </si>
  <si>
    <t>Por Definir
Cuando la Institución se encuentra en proceso de identificar el canal por el cual se realizó la operación y no se ha emitido una resolución del caso.</t>
  </si>
  <si>
    <t>Cargo No Reconocido por Consumos Efectuados</t>
  </si>
  <si>
    <t>Cobro No Reconocido de Comisión por Manejo de Cuenta</t>
  </si>
  <si>
    <t>Cobro No Reconocido de Intereses Ordinarios y/o Moratorios</t>
  </si>
  <si>
    <t>Cobro No Reconocido por Comisiones por Disposiciones de Efectivo</t>
  </si>
  <si>
    <t>Cobro No Reconocido por Otras Comisiones</t>
  </si>
  <si>
    <t>Depósito No Acreditado</t>
  </si>
  <si>
    <t>Devolución No Aplicada</t>
  </si>
  <si>
    <t>Inconformidad de Rendimientos o Capital Pagados</t>
  </si>
  <si>
    <t>Inconformidad por Alteración de Pagarés</t>
  </si>
  <si>
    <t>No Entrega Cantidad Solicitada</t>
  </si>
  <si>
    <t>Pago Automático Mal Aplicado Total o Parcialmente (domiciliaciones)</t>
  </si>
  <si>
    <t>Pago No Acreditado</t>
  </si>
  <si>
    <t>Transferencia No Reconocida</t>
  </si>
  <si>
    <t>Retiro No Reconocido</t>
  </si>
  <si>
    <t>Cheques Mal Negociados</t>
  </si>
  <si>
    <t>Producto No Reconocido</t>
  </si>
  <si>
    <t>Error Operativo del Banco</t>
  </si>
  <si>
    <t>Error Operativo del Cliente</t>
  </si>
  <si>
    <t>Cobro No Reconocido de Impuestos y Otros Cargos</t>
  </si>
  <si>
    <t>Transferencia No Acreditada</t>
  </si>
  <si>
    <t>Cargos por Servicios de Adquirencia</t>
  </si>
  <si>
    <t>Abonos por Servicios de Adquirencia</t>
  </si>
  <si>
    <t>Por Definir
Cuando la Institución se encuentra en proceso de identificar el motivo de la reclamación del cliente y aún no se ha emitido una resolución del caso, o bien, no existe información suficiente para clasificar el motivo de la reclamación.</t>
  </si>
  <si>
    <t>Pendiente</t>
  </si>
  <si>
    <t>Concluida</t>
  </si>
  <si>
    <t>Concluida en reapertura</t>
  </si>
  <si>
    <t>Procedente</t>
  </si>
  <si>
    <t>Improcedente</t>
  </si>
  <si>
    <t>Cliente Desistió</t>
  </si>
  <si>
    <t>Falta Documentación del Cliente</t>
  </si>
  <si>
    <t>Plazo Vencido al Cliente</t>
  </si>
  <si>
    <t>Reclamación Reportada en Más de Una Ocasión</t>
  </si>
  <si>
    <t>Evidencia a Favor del Banco</t>
  </si>
  <si>
    <t>Por Normativa</t>
  </si>
  <si>
    <t>Evidencia a Favor del Cliente</t>
  </si>
  <si>
    <t>Plazo Vencido al Banco</t>
  </si>
  <si>
    <t>Por Política Interna</t>
  </si>
  <si>
    <t>CAPTACION/CREDITO</t>
  </si>
  <si>
    <t>CAC/UNE</t>
  </si>
  <si>
    <t>101 - Cuentas de Depósitos a la Vista</t>
  </si>
  <si>
    <t>201 - Operaciones por Internet Personas Físicas</t>
  </si>
  <si>
    <t>301 - Cargo No Reconocido por Consumos Efectuados</t>
  </si>
  <si>
    <t>.</t>
  </si>
  <si>
    <t>401 - Pendiente</t>
  </si>
  <si>
    <t>501 - Procedente</t>
  </si>
  <si>
    <t>601 - Cliente Desistió</t>
  </si>
  <si>
    <t>701 - Institucion</t>
  </si>
  <si>
    <t>102 - Valores e Instrumentos de Inversión</t>
  </si>
  <si>
    <t>202 - Operaciones por Internet Personas Morales</t>
  </si>
  <si>
    <t>302 - Cobro No Reconocido de Comisión por Manejo de Cuenta</t>
  </si>
  <si>
    <t>402 - Concluida</t>
  </si>
  <si>
    <t>502 - Improcedente</t>
  </si>
  <si>
    <t>602 - Falta Documentación del Cliente</t>
  </si>
  <si>
    <t>702 - UNE</t>
  </si>
  <si>
    <t>103 - Tarjeta de Débito</t>
  </si>
  <si>
    <t>203 - Comercio por Internet</t>
  </si>
  <si>
    <t>303 - Cobro No Reconocido de Intereses Ordinarios y/o Moratorios</t>
  </si>
  <si>
    <t>403 - Concluida en reapertura</t>
  </si>
  <si>
    <t>503 - Pendiente</t>
  </si>
  <si>
    <t>603 - Plazo Vencido al Cliente</t>
  </si>
  <si>
    <t>703 - CONDUSEF</t>
  </si>
  <si>
    <t>104 - Tarjeta de Crédito</t>
  </si>
  <si>
    <t>204 - Banca por Teléfono</t>
  </si>
  <si>
    <t>304 - Cobro No Reconocido por Comisiones por Disposiciones de Efectivo</t>
  </si>
  <si>
    <t>604 - Reclamación Reportada en Más de Una Ocasión</t>
  </si>
  <si>
    <t>105 - Tarjeta Prepagada</t>
  </si>
  <si>
    <t>205 - Comercio por Teléfono</t>
  </si>
  <si>
    <t>305 - Cobro No Reconocido por Otras Comisiones</t>
  </si>
  <si>
    <t>605 - Evidencia a Favor del Banco</t>
  </si>
  <si>
    <t>106 - Cuentas de Nómina</t>
  </si>
  <si>
    <t>206 - Cajeros Automáticos</t>
  </si>
  <si>
    <t>306 - Depósito No Acreditado</t>
  </si>
  <si>
    <t>650 - Por Normativa</t>
  </si>
  <si>
    <t>107 - Crédito Hipotecario</t>
  </si>
  <si>
    <t>207 - Terminal Punto de Venta</t>
  </si>
  <si>
    <t>307 - Devolución No Aplicada</t>
  </si>
  <si>
    <t>651 - Evidencia a Favor del Cliente</t>
  </si>
  <si>
    <t>108 - Crédito Automotriz</t>
  </si>
  <si>
    <t>208 - Sucursales</t>
  </si>
  <si>
    <t>308 - Inconformidad de Rendimientos o Capital Pagados</t>
  </si>
  <si>
    <t>652 - Plazo Vencido al Banco</t>
  </si>
  <si>
    <t>109 - Crédito de Nómina</t>
  </si>
  <si>
    <t>209 - Corresponsales</t>
  </si>
  <si>
    <t>309 - Inconformidad por Alteración de Pagarés</t>
  </si>
  <si>
    <t>653 - Por Política Interna</t>
  </si>
  <si>
    <t>110 - Crédito al Consumo</t>
  </si>
  <si>
    <t>210 - Pagos por Celular</t>
  </si>
  <si>
    <t>310 - No Entrega Cantidad Solicitada</t>
  </si>
  <si>
    <t>654 - Pendiente</t>
  </si>
  <si>
    <t>111 - Crédito Personal</t>
  </si>
  <si>
    <t>211 - Banca Móvil</t>
  </si>
  <si>
    <t>311 - Pago Automático Mal Aplicado Total o Parcialmente (domiciliaciones)</t>
  </si>
  <si>
    <t>212 - Movimiento Generado por el Banco</t>
  </si>
  <si>
    <t>312 - Pago No Acreditado</t>
  </si>
  <si>
    <t>213 - Otros Bancos</t>
  </si>
  <si>
    <t>313 - Transferencia No Reconocida</t>
  </si>
  <si>
    <t>214 - Servicio de Adquirencia</t>
  </si>
  <si>
    <t>314 - Retiro No Reconocido</t>
  </si>
  <si>
    <t>290 - Por Definir
Cuando la Institución se encuentra en proceso de identificar el canal por el cual se realizó la operación y no se ha emitido una resolución del caso.</t>
  </si>
  <si>
    <t>315 - Cheques Mal Negociados</t>
  </si>
  <si>
    <t>316 - Producto No Reconocido</t>
  </si>
  <si>
    <t>317 - Error Operativo del Banco</t>
  </si>
  <si>
    <t>318 - Error Operativo del Cliente</t>
  </si>
  <si>
    <t>319 - Cobro No Reconocido de Impuestos y Otros Cargos</t>
  </si>
  <si>
    <t>320 - Transferencia No Acreditada</t>
  </si>
  <si>
    <t>321 - Cargos por Servicios de Adquirencia</t>
  </si>
  <si>
    <t>322 - Abonos por Servicios de Adquirencia</t>
  </si>
  <si>
    <t>390 - Por Definir
Cuando la Institución se encuentra en proceso de identificar el motivo de la reclamación del cliente y aún no se ha emitido una resolución del caso, o bien, no existe información suficiente para clasificar el motivo de la reclamación.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</si>
</sst>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0"/>
      <name val="Calibri (Body)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1" applyFont="1"/>
    <xf numFmtId="0" fontId="1" fillId="0" borderId="0" xfId="1" applyAlignment="1">
      <alignment wrapText="1"/>
    </xf>
    <xf numFmtId="0" fontId="1" fillId="2" borderId="0" xfId="1" applyFill="1" applyAlignment="1">
      <alignment wrapText="1"/>
    </xf>
    <xf numFmtId="0" fontId="0" fillId="0" borderId="0" xfId="0" applyAlignment="1">
      <alignment horizontal="center"/>
    </xf>
    <xf numFmtId="0" fontId="2" fillId="0" borderId="0" xfId="1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0" fillId="0" borderId="0" xfId="0" applyAlignment="1">
      <alignment vertical="top"/>
    </xf>
    <xf numFmtId="0" fontId="2" fillId="3" borderId="1" xfId="0" applyFont="1" applyFill="1" applyBorder="1"/>
    <xf numFmtId="0" fontId="0" fillId="4" borderId="1" xfId="0" applyFill="1" applyBorder="1"/>
    <xf numFmtId="0" fontId="0" fillId="0" borderId="1" xfId="0" applyBorder="1"/>
    <xf numFmtId="0" fontId="0" fillId="0" borderId="1" xfId="0" quotePrefix="1" applyBorder="1"/>
    <xf numFmtId="0" fontId="0" fillId="4" borderId="1" xfId="0" quotePrefix="1" applyFill="1" applyBorder="1"/>
    <xf numFmtId="0" fontId="0" fillId="2" borderId="1" xfId="0" applyFill="1" applyBorder="1"/>
    <xf numFmtId="0" fontId="0" fillId="2" borderId="1" xfId="0" quotePrefix="1" applyFill="1" applyBorder="1"/>
    <xf numFmtId="0" fontId="0" fillId="4" borderId="2" xfId="0" applyFill="1" applyBorder="1"/>
    <xf numFmtId="0" fontId="0" fillId="0" borderId="2" xfId="0" applyBorder="1"/>
    <xf numFmtId="0" fontId="0" fillId="4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2" borderId="2" xfId="0" applyFill="1" applyBorder="1"/>
    <xf numFmtId="0" fontId="2" fillId="3" borderId="2" xfId="0" applyFont="1" applyFill="1" applyBorder="1"/>
    <xf numFmtId="0" fontId="1" fillId="0" borderId="0" xfId="1" applyAlignment="1">
      <alignment horizontal="left" vertical="top"/>
    </xf>
    <xf numFmtId="0" fontId="1" fillId="0" borderId="0" xfId="1"/>
    <xf numFmtId="0" fontId="1" fillId="0" borderId="0" xfId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8" borderId="0" xfId="0" applyFill="1"/>
    <xf numFmtId="0" fontId="3" fillId="8" borderId="0" xfId="0" applyFont="1" applyFill="1" applyAlignment="1">
      <alignment horizontal="left"/>
    </xf>
    <xf numFmtId="0" fontId="3" fillId="8" borderId="0" xfId="0" applyFont="1" applyFill="1" applyAlignment="1">
      <alignment horizontal="left" vertical="center"/>
    </xf>
    <xf numFmtId="0" fontId="0" fillId="9" borderId="0" xfId="0" applyFill="1"/>
    <xf numFmtId="0" fontId="5" fillId="9" borderId="0" xfId="0" applyFont="1" applyFill="1"/>
    <xf numFmtId="0" fontId="0" fillId="0" borderId="0" xfId="0" quotePrefix="1"/>
    <xf numFmtId="0" fontId="1" fillId="10" borderId="0" xfId="1" applyFill="1" applyAlignment="1">
      <alignment horizontal="center" vertical="center"/>
    </xf>
    <xf numFmtId="0" fontId="1" fillId="10" borderId="0" xfId="1" applyFill="1"/>
    <xf numFmtId="0" fontId="1" fillId="10" borderId="0" xfId="1" applyFill="1" applyAlignment="1">
      <alignment horizontal="left" vertical="top"/>
    </xf>
    <xf numFmtId="0" fontId="7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 xr:uid="{53AFA163-842B-426E-8B4F-B01BE33B483A}"/>
  </cellStyles>
  <dxfs count="14"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</dxf>
    <dxf>
      <alignment horizontal="general" vertical="bottom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219075</xdr:colOff>
      <xdr:row>19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45FE439-7F71-F4FC-825C-BA660D17F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0500"/>
          <a:ext cx="13630275" cy="3467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77A8C9-FECE-4477-B7B4-D3F15F19C925}" name="Table2" displayName="Table2" ref="A2:B5" totalsRowShown="0">
  <autoFilter ref="A2:B5" xr:uid="{C8C6D0F9-5D2A-9940-9149-1A6387C6C4B8}"/>
  <tableColumns count="2">
    <tableColumn id="1" xr3:uid="{C65CDB81-7DA5-4280-8458-8B197250D430}" name="Clave" dataDxfId="13"/>
    <tableColumn id="2" xr3:uid="{528E2852-A22A-41E9-A09A-F23817C9506B}" name="Descripcion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1F1022-63FC-45AD-BBDD-2713B0504C1F}" name="Table3" displayName="Table3" ref="A8:B19" totalsRowShown="0">
  <autoFilter ref="A8:B19" xr:uid="{AD4AC1A2-4928-2344-B9C9-E1996A4BCFEB}"/>
  <tableColumns count="2">
    <tableColumn id="1" xr3:uid="{943B887A-F570-4523-A603-63F4A8021D50}" name="Clave" dataDxfId="12"/>
    <tableColumn id="2" xr3:uid="{98787767-086B-4086-AB6F-DD61DB5A5CF7}" name="Descripcion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165040-6E08-4C23-A656-F3675D3B8F52}" name="Table4" displayName="Table4" ref="A23:B38" totalsRowShown="0">
  <autoFilter ref="A23:B38" xr:uid="{E27A4973-B533-0644-B027-21FA67DC43B8}"/>
  <tableColumns count="2">
    <tableColumn id="1" xr3:uid="{9E465171-BF46-47A6-921A-85D7AB366416}" name="Clave" dataDxfId="11"/>
    <tableColumn id="2" xr3:uid="{EBF2E990-625B-4A32-BD2E-7ADE250C1653}" name="Descripcion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BF5791-80DD-40B7-AEED-82F86C01D10E}" name="Table5" displayName="Table5" ref="A43:B66" totalsRowShown="0">
  <autoFilter ref="A43:B66" xr:uid="{EB052991-F38B-1049-AB37-DF17C796D9B4}"/>
  <tableColumns count="2">
    <tableColumn id="1" xr3:uid="{BD8511C1-BEDC-494A-848C-0D2457F0352E}" name="Clave" dataDxfId="10"/>
    <tableColumn id="2" xr3:uid="{112CCDB6-65EB-45A4-ACD3-0B0BB81DBAD3}" name="Descripcion" dataDxfId="9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627C231-48D0-4931-8204-65E39B02BF67}" name="Table6" displayName="Table6" ref="A70:B73" totalsRowShown="0" dataDxfId="8">
  <autoFilter ref="A70:B73" xr:uid="{FAB64280-7C16-AF47-865D-1F04EC4BC7E1}"/>
  <tableColumns count="2">
    <tableColumn id="1" xr3:uid="{128B1CFC-0B4F-4B29-94C7-1812D61D2F80}" name="Clave" dataDxfId="7"/>
    <tableColumn id="2" xr3:uid="{6A33A355-734D-46C5-9D18-E2A0C67AF295}" name="Descripcion" dataDxfId="6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4FE05C3-C31A-4DDD-9182-736D991728BF}" name="Table7" displayName="Table7" ref="A76:B79" totalsRowShown="0" dataDxfId="5">
  <autoFilter ref="A76:B79" xr:uid="{50A42B1C-7EFD-134A-86DA-F73E76109A34}"/>
  <tableColumns count="2">
    <tableColumn id="1" xr3:uid="{77F6E7AE-762E-4322-99F1-C4905DBFE9C6}" name="Clave" dataDxfId="4"/>
    <tableColumn id="2" xr3:uid="{A9720AE3-D8FE-4AD9-82BC-524306F134C4}" name="Descripcion" dataDxfId="3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75FF7A5-85DB-4B55-A35C-1A0168A8B247}" name="Table8" displayName="Table8" ref="A83:B93" totalsRowShown="0" dataDxfId="2">
  <autoFilter ref="A83:B93" xr:uid="{96BA8D00-A8FD-334C-B590-8D557906BA58}"/>
  <tableColumns count="2">
    <tableColumn id="1" xr3:uid="{EE1B6B7F-E854-4474-BA60-09BE82FB6B6A}" name="Clave" dataDxfId="1"/>
    <tableColumn id="2" xr3:uid="{CDF9A2B4-3DB6-4BCC-B3AD-C2EE05DEFAE0}" name="Descripcion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31FE7-5919-4F03-8272-FFEDB3F75E54}">
  <dimension ref="A1:U42"/>
  <sheetViews>
    <sheetView tabSelected="1" workbookViewId="0">
      <pane ySplit="1" topLeftCell="A2" activePane="bottomLeft" state="frozen"/>
      <selection pane="bottomLeft" activeCell="R4" sqref="R4"/>
    </sheetView>
  </sheetViews>
  <sheetFormatPr defaultColWidth="11.42578125" defaultRowHeight="15" outlineLevelCol="1"/>
  <cols>
    <col min="4" max="4" width="27" bestFit="1" customWidth="1"/>
    <col min="9" max="9" width="23.42578125" bestFit="1" customWidth="1"/>
    <col min="10" max="10" width="0.5703125" customWidth="1"/>
    <col min="11" max="11" width="32.140625" bestFit="1" customWidth="1" outlineLevel="1"/>
    <col min="12" max="12" width="1.85546875" hidden="1" customWidth="1" outlineLevel="1"/>
    <col min="13" max="13" width="43.42578125" bestFit="1" customWidth="1" outlineLevel="1"/>
    <col min="14" max="14" width="3.28515625" bestFit="1" customWidth="1" outlineLevel="1"/>
    <col min="15" max="15" width="0.5703125" hidden="1" customWidth="1" outlineLevel="1"/>
    <col min="16" max="16" width="3.28515625" bestFit="1" customWidth="1" outlineLevel="1"/>
    <col min="17" max="17" width="22.5703125" bestFit="1" customWidth="1" outlineLevel="1"/>
    <col min="18" max="18" width="4.5703125" hidden="1" customWidth="1" outlineLevel="1"/>
    <col min="19" max="19" width="3.28515625" bestFit="1" customWidth="1" outlineLevel="1"/>
    <col min="20" max="20" width="24.7109375" bestFit="1" customWidth="1" outlineLevel="1"/>
    <col min="21" max="21" width="59" bestFit="1" customWidth="1"/>
  </cols>
  <sheetData>
    <row r="1" spans="1:21" ht="18.75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37"/>
      <c r="K1" s="44" t="s">
        <v>1</v>
      </c>
      <c r="L1" s="44"/>
      <c r="M1" s="44"/>
      <c r="O1" s="37"/>
      <c r="P1" s="45" t="s">
        <v>2</v>
      </c>
      <c r="Q1" s="45"/>
      <c r="R1" s="45"/>
      <c r="S1" s="45"/>
      <c r="T1" s="45"/>
    </row>
    <row r="2" spans="1:21">
      <c r="J2" s="37"/>
      <c r="O2" s="37"/>
    </row>
    <row r="3" spans="1:21">
      <c r="A3" s="24" t="s">
        <v>3</v>
      </c>
      <c r="B3" s="12" t="s">
        <v>4</v>
      </c>
      <c r="C3" s="12" t="s">
        <v>5</v>
      </c>
      <c r="D3" s="12" t="s">
        <v>6</v>
      </c>
      <c r="E3" s="12" t="s">
        <v>7</v>
      </c>
      <c r="F3" s="12" t="s">
        <v>8</v>
      </c>
      <c r="G3" s="12" t="s">
        <v>9</v>
      </c>
      <c r="H3" s="12" t="s">
        <v>10</v>
      </c>
      <c r="I3" s="12" t="s">
        <v>11</v>
      </c>
      <c r="J3" s="37"/>
      <c r="M3" s="32" t="s">
        <v>12</v>
      </c>
      <c r="O3" s="37"/>
      <c r="P3" s="46" t="s">
        <v>13</v>
      </c>
      <c r="Q3" s="46"/>
      <c r="R3" s="33"/>
      <c r="S3" s="46" t="s">
        <v>14</v>
      </c>
      <c r="T3" s="46"/>
    </row>
    <row r="4" spans="1:21">
      <c r="A4" s="19" t="s">
        <v>12</v>
      </c>
      <c r="B4" s="13">
        <v>1</v>
      </c>
      <c r="C4" s="13" t="s">
        <v>15</v>
      </c>
      <c r="D4" s="13" t="s">
        <v>16</v>
      </c>
      <c r="E4" s="13" t="s">
        <v>17</v>
      </c>
      <c r="F4" s="13" t="s">
        <v>18</v>
      </c>
      <c r="G4" s="13" t="s">
        <v>15</v>
      </c>
      <c r="H4" s="13" t="s">
        <v>19</v>
      </c>
      <c r="I4" s="13"/>
      <c r="J4" s="37"/>
      <c r="K4" s="28" t="s">
        <v>20</v>
      </c>
      <c r="L4" s="29"/>
      <c r="M4" s="29" t="s">
        <v>20</v>
      </c>
      <c r="N4">
        <v>1</v>
      </c>
      <c r="O4" s="37"/>
      <c r="P4" s="34"/>
      <c r="Q4" s="34"/>
      <c r="R4" s="34"/>
      <c r="S4" s="34"/>
      <c r="T4" s="34"/>
      <c r="U4" t="s">
        <v>21</v>
      </c>
    </row>
    <row r="5" spans="1:21">
      <c r="A5" s="20" t="s">
        <v>12</v>
      </c>
      <c r="B5" s="14">
        <v>2</v>
      </c>
      <c r="C5" s="14" t="s">
        <v>22</v>
      </c>
      <c r="D5" s="14" t="s">
        <v>23</v>
      </c>
      <c r="E5" s="14" t="s">
        <v>24</v>
      </c>
      <c r="F5" s="14" t="s">
        <v>25</v>
      </c>
      <c r="G5" s="14" t="s">
        <v>15</v>
      </c>
      <c r="H5" s="14"/>
      <c r="I5" s="14"/>
      <c r="J5" s="37"/>
      <c r="K5" s="28" t="s">
        <v>26</v>
      </c>
      <c r="L5" s="29"/>
      <c r="M5" s="28" t="s">
        <v>26</v>
      </c>
      <c r="N5">
        <v>6</v>
      </c>
      <c r="O5" s="37"/>
      <c r="P5" s="34"/>
      <c r="Q5" s="34"/>
      <c r="R5" s="34"/>
      <c r="S5" s="34"/>
      <c r="T5" s="34"/>
      <c r="U5" t="s">
        <v>27</v>
      </c>
    </row>
    <row r="6" spans="1:21">
      <c r="A6" s="19" t="s">
        <v>12</v>
      </c>
      <c r="B6" s="13">
        <v>3</v>
      </c>
      <c r="C6" s="13" t="s">
        <v>22</v>
      </c>
      <c r="D6" s="13" t="s">
        <v>28</v>
      </c>
      <c r="E6" s="13" t="s">
        <v>24</v>
      </c>
      <c r="F6" s="13" t="s">
        <v>25</v>
      </c>
      <c r="G6" s="13" t="s">
        <v>15</v>
      </c>
      <c r="H6" s="13"/>
      <c r="I6" s="13"/>
      <c r="J6" s="37"/>
      <c r="K6" s="34"/>
      <c r="L6" s="34"/>
      <c r="M6" s="34"/>
      <c r="N6" s="34"/>
      <c r="O6" s="37"/>
      <c r="P6" s="34"/>
      <c r="Q6" s="34"/>
      <c r="R6" s="34"/>
      <c r="S6" s="34"/>
      <c r="T6" s="34"/>
      <c r="U6" s="39" t="s">
        <v>29</v>
      </c>
    </row>
    <row r="7" spans="1:21">
      <c r="A7" s="20" t="s">
        <v>12</v>
      </c>
      <c r="B7" s="14">
        <v>4</v>
      </c>
      <c r="C7" s="14" t="s">
        <v>22</v>
      </c>
      <c r="D7" s="14" t="s">
        <v>30</v>
      </c>
      <c r="E7" s="14" t="s">
        <v>17</v>
      </c>
      <c r="F7" s="15" t="s">
        <v>31</v>
      </c>
      <c r="G7" s="14" t="s">
        <v>15</v>
      </c>
      <c r="H7" s="14"/>
      <c r="I7" s="14"/>
      <c r="J7" s="37"/>
      <c r="K7" s="34"/>
      <c r="L7" s="34"/>
      <c r="M7" s="34"/>
      <c r="N7" s="34"/>
      <c r="O7" s="37"/>
      <c r="P7">
        <v>1</v>
      </c>
      <c r="Q7" t="s">
        <v>32</v>
      </c>
      <c r="S7">
        <v>1</v>
      </c>
      <c r="T7" t="s">
        <v>32</v>
      </c>
      <c r="U7" t="s">
        <v>33</v>
      </c>
    </row>
    <row r="8" spans="1:21">
      <c r="A8" s="19" t="s">
        <v>12</v>
      </c>
      <c r="B8" s="13">
        <v>5</v>
      </c>
      <c r="C8" s="13" t="s">
        <v>22</v>
      </c>
      <c r="D8" s="13" t="s">
        <v>34</v>
      </c>
      <c r="E8" s="13" t="s">
        <v>35</v>
      </c>
      <c r="F8" s="16" t="s">
        <v>36</v>
      </c>
      <c r="G8" s="13" t="s">
        <v>15</v>
      </c>
      <c r="H8" s="13" t="s">
        <v>37</v>
      </c>
      <c r="I8" s="21" t="s">
        <v>38</v>
      </c>
      <c r="J8" s="37"/>
      <c r="K8" s="28" t="s">
        <v>39</v>
      </c>
      <c r="L8" s="29"/>
      <c r="M8" s="28" t="s">
        <v>39</v>
      </c>
      <c r="N8">
        <v>8</v>
      </c>
      <c r="O8" s="37"/>
      <c r="P8" s="34"/>
      <c r="Q8" s="34"/>
      <c r="R8" s="34"/>
      <c r="S8" s="34"/>
      <c r="T8" s="34"/>
      <c r="U8" t="s">
        <v>40</v>
      </c>
    </row>
    <row r="9" spans="1:21">
      <c r="A9" s="20" t="s">
        <v>12</v>
      </c>
      <c r="B9" s="14">
        <v>6</v>
      </c>
      <c r="C9" s="14" t="s">
        <v>22</v>
      </c>
      <c r="D9" s="14" t="s">
        <v>41</v>
      </c>
      <c r="E9" s="14" t="s">
        <v>17</v>
      </c>
      <c r="F9" s="14" t="s">
        <v>42</v>
      </c>
      <c r="G9" s="14" t="s">
        <v>15</v>
      </c>
      <c r="H9" s="14" t="s">
        <v>37</v>
      </c>
      <c r="I9" s="22" t="s">
        <v>43</v>
      </c>
      <c r="J9" s="37"/>
      <c r="K9" s="34"/>
      <c r="L9" s="34"/>
      <c r="M9" s="34"/>
      <c r="N9" s="34"/>
      <c r="O9" s="37"/>
      <c r="P9" s="34"/>
      <c r="Q9" s="34"/>
      <c r="R9" s="34"/>
      <c r="S9" s="34"/>
      <c r="T9" s="34"/>
      <c r="U9" t="s">
        <v>40</v>
      </c>
    </row>
    <row r="10" spans="1:21">
      <c r="A10" s="19" t="s">
        <v>12</v>
      </c>
      <c r="B10" s="13">
        <v>7</v>
      </c>
      <c r="C10" s="13" t="s">
        <v>22</v>
      </c>
      <c r="D10" s="13" t="s">
        <v>44</v>
      </c>
      <c r="E10" s="13" t="s">
        <v>17</v>
      </c>
      <c r="F10" s="13" t="s">
        <v>42</v>
      </c>
      <c r="G10" s="13" t="s">
        <v>15</v>
      </c>
      <c r="H10" s="13" t="s">
        <v>37</v>
      </c>
      <c r="I10" s="21" t="s">
        <v>45</v>
      </c>
      <c r="J10" s="37"/>
      <c r="K10" s="28" t="s">
        <v>46</v>
      </c>
      <c r="L10" s="29"/>
      <c r="M10" s="28" t="s">
        <v>46</v>
      </c>
      <c r="N10">
        <v>9</v>
      </c>
      <c r="O10" s="37"/>
      <c r="P10" s="34"/>
      <c r="Q10" s="34"/>
      <c r="R10" s="34"/>
      <c r="S10">
        <v>7</v>
      </c>
      <c r="T10" t="s">
        <v>47</v>
      </c>
      <c r="U10" t="s">
        <v>48</v>
      </c>
    </row>
    <row r="11" spans="1:21">
      <c r="A11" s="19"/>
      <c r="B11" s="13"/>
      <c r="C11" s="13"/>
      <c r="D11" s="13"/>
      <c r="E11" s="13"/>
      <c r="F11" s="13"/>
      <c r="G11" s="13"/>
      <c r="H11" s="13"/>
      <c r="I11" s="21"/>
      <c r="J11" s="37"/>
      <c r="K11" s="36"/>
      <c r="L11" s="35"/>
      <c r="M11" s="36"/>
      <c r="N11" s="34"/>
      <c r="O11" s="37"/>
      <c r="P11" s="34"/>
      <c r="Q11" s="34"/>
      <c r="R11" s="34"/>
      <c r="S11">
        <v>8</v>
      </c>
      <c r="T11" t="s">
        <v>49</v>
      </c>
    </row>
    <row r="12" spans="1:21">
      <c r="A12" s="20" t="s">
        <v>12</v>
      </c>
      <c r="B12" s="14">
        <v>8</v>
      </c>
      <c r="C12" s="14" t="s">
        <v>22</v>
      </c>
      <c r="D12" s="14" t="s">
        <v>50</v>
      </c>
      <c r="E12" s="14" t="s">
        <v>35</v>
      </c>
      <c r="F12" s="14" t="s">
        <v>51</v>
      </c>
      <c r="G12" s="14" t="s">
        <v>15</v>
      </c>
      <c r="H12" s="14"/>
      <c r="I12" s="14"/>
      <c r="J12" s="37"/>
      <c r="K12" s="35"/>
      <c r="L12" s="29"/>
      <c r="M12" s="28" t="s">
        <v>52</v>
      </c>
      <c r="N12">
        <v>10</v>
      </c>
      <c r="O12" s="37"/>
      <c r="P12" s="34"/>
      <c r="Q12" s="34"/>
      <c r="R12" s="34"/>
      <c r="S12" s="34"/>
      <c r="T12" s="34"/>
      <c r="U12" t="s">
        <v>40</v>
      </c>
    </row>
    <row r="13" spans="1:21">
      <c r="A13" s="19" t="s">
        <v>12</v>
      </c>
      <c r="B13" s="13">
        <v>9</v>
      </c>
      <c r="C13" s="13" t="s">
        <v>22</v>
      </c>
      <c r="D13" s="13" t="s">
        <v>53</v>
      </c>
      <c r="E13" s="13" t="s">
        <v>35</v>
      </c>
      <c r="F13" s="13" t="s">
        <v>42</v>
      </c>
      <c r="G13" s="13" t="s">
        <v>15</v>
      </c>
      <c r="H13" s="13" t="s">
        <v>37</v>
      </c>
      <c r="I13" s="21" t="s">
        <v>54</v>
      </c>
      <c r="J13" s="37"/>
      <c r="K13" s="28" t="s">
        <v>55</v>
      </c>
      <c r="L13" s="29"/>
      <c r="M13" s="28" t="s">
        <v>55</v>
      </c>
      <c r="N13">
        <v>2</v>
      </c>
      <c r="O13" s="37"/>
      <c r="P13" s="34"/>
      <c r="Q13" s="34"/>
      <c r="R13" s="34"/>
      <c r="S13" s="34"/>
      <c r="T13" s="34"/>
      <c r="U13" t="s">
        <v>56</v>
      </c>
    </row>
    <row r="14" spans="1:21">
      <c r="A14" s="20" t="s">
        <v>12</v>
      </c>
      <c r="B14" s="14">
        <v>10</v>
      </c>
      <c r="C14" s="14" t="s">
        <v>22</v>
      </c>
      <c r="D14" s="14" t="s">
        <v>57</v>
      </c>
      <c r="E14" s="14" t="s">
        <v>35</v>
      </c>
      <c r="F14" s="14" t="s">
        <v>42</v>
      </c>
      <c r="G14" s="14" t="s">
        <v>22</v>
      </c>
      <c r="H14" s="14" t="s">
        <v>37</v>
      </c>
      <c r="I14" s="22" t="s">
        <v>58</v>
      </c>
      <c r="J14" s="37"/>
      <c r="K14" s="34"/>
      <c r="L14" s="34"/>
      <c r="M14" s="34"/>
      <c r="N14" s="34"/>
      <c r="O14" s="37"/>
      <c r="P14" s="34"/>
      <c r="Q14" s="34"/>
      <c r="R14" s="34"/>
      <c r="S14" s="34"/>
      <c r="T14" s="34"/>
      <c r="U14" t="s">
        <v>56</v>
      </c>
    </row>
    <row r="15" spans="1:21">
      <c r="A15" s="19" t="s">
        <v>12</v>
      </c>
      <c r="B15" s="13">
        <v>11</v>
      </c>
      <c r="C15" s="13" t="s">
        <v>22</v>
      </c>
      <c r="D15" s="13" t="s">
        <v>59</v>
      </c>
      <c r="E15" s="13" t="s">
        <v>24</v>
      </c>
      <c r="F15" s="13" t="s">
        <v>25</v>
      </c>
      <c r="G15" s="13" t="s">
        <v>22</v>
      </c>
      <c r="H15" s="13"/>
      <c r="I15" s="13"/>
      <c r="J15" s="37"/>
      <c r="K15" s="28" t="s">
        <v>60</v>
      </c>
      <c r="L15" s="29"/>
      <c r="M15" s="28" t="s">
        <v>60</v>
      </c>
      <c r="N15">
        <v>3</v>
      </c>
      <c r="O15" s="37"/>
      <c r="P15" s="34"/>
      <c r="Q15" s="34"/>
      <c r="R15" s="34"/>
      <c r="S15" s="34"/>
      <c r="T15" s="34"/>
      <c r="U15" t="s">
        <v>61</v>
      </c>
    </row>
    <row r="16" spans="1:21">
      <c r="A16" s="20" t="s">
        <v>12</v>
      </c>
      <c r="B16" s="14">
        <v>12</v>
      </c>
      <c r="C16" s="14" t="s">
        <v>22</v>
      </c>
      <c r="D16" s="14" t="s">
        <v>62</v>
      </c>
      <c r="E16" s="14" t="s">
        <v>17</v>
      </c>
      <c r="F16" s="15" t="s">
        <v>42</v>
      </c>
      <c r="G16" s="14" t="s">
        <v>22</v>
      </c>
      <c r="H16" s="14" t="s">
        <v>37</v>
      </c>
      <c r="I16" s="22" t="s">
        <v>63</v>
      </c>
      <c r="J16" s="37"/>
      <c r="K16" s="34"/>
      <c r="L16" s="34"/>
      <c r="M16" s="34"/>
      <c r="N16" s="34"/>
      <c r="O16" s="37"/>
      <c r="P16" s="34"/>
      <c r="Q16" s="34"/>
      <c r="R16" s="34"/>
      <c r="S16" s="34"/>
      <c r="T16" s="34"/>
      <c r="U16" t="s">
        <v>40</v>
      </c>
    </row>
    <row r="17" spans="1:21">
      <c r="A17" s="19" t="s">
        <v>12</v>
      </c>
      <c r="B17" s="13">
        <v>13</v>
      </c>
      <c r="C17" s="13" t="s">
        <v>22</v>
      </c>
      <c r="D17" s="13" t="s">
        <v>64</v>
      </c>
      <c r="E17" s="13" t="s">
        <v>35</v>
      </c>
      <c r="F17" s="13" t="s">
        <v>65</v>
      </c>
      <c r="G17" s="13" t="s">
        <v>22</v>
      </c>
      <c r="H17" s="13" t="s">
        <v>66</v>
      </c>
      <c r="I17" s="13"/>
      <c r="J17" s="37"/>
      <c r="K17" s="35"/>
      <c r="L17" s="29"/>
      <c r="M17" s="28" t="s">
        <v>67</v>
      </c>
      <c r="N17">
        <v>11</v>
      </c>
      <c r="O17" s="37"/>
      <c r="P17" s="34"/>
      <c r="Q17" s="34"/>
      <c r="R17" s="34"/>
      <c r="S17" s="34"/>
      <c r="T17" s="34"/>
      <c r="U17" t="s">
        <v>56</v>
      </c>
    </row>
    <row r="18" spans="1:21">
      <c r="A18" s="20" t="s">
        <v>12</v>
      </c>
      <c r="B18" s="14">
        <v>14</v>
      </c>
      <c r="C18" s="14" t="s">
        <v>22</v>
      </c>
      <c r="D18" s="14" t="s">
        <v>68</v>
      </c>
      <c r="E18" s="14" t="s">
        <v>24</v>
      </c>
      <c r="F18" s="14" t="s">
        <v>25</v>
      </c>
      <c r="G18" s="14" t="s">
        <v>22</v>
      </c>
      <c r="H18" s="14" t="s">
        <v>66</v>
      </c>
      <c r="I18" s="14"/>
      <c r="J18" s="37"/>
      <c r="K18" s="35"/>
      <c r="L18" s="29"/>
      <c r="M18" s="28" t="s">
        <v>69</v>
      </c>
      <c r="N18">
        <v>12</v>
      </c>
      <c r="O18" s="37"/>
      <c r="P18" s="34"/>
      <c r="Q18" s="34"/>
      <c r="R18" s="34"/>
      <c r="S18" s="34"/>
      <c r="T18" s="34"/>
      <c r="U18" t="s">
        <v>40</v>
      </c>
    </row>
    <row r="19" spans="1:21">
      <c r="A19" s="19" t="s">
        <v>12</v>
      </c>
      <c r="B19" s="13">
        <v>15</v>
      </c>
      <c r="C19" s="13" t="s">
        <v>22</v>
      </c>
      <c r="D19" s="13" t="s">
        <v>70</v>
      </c>
      <c r="E19" s="13" t="s">
        <v>35</v>
      </c>
      <c r="F19" s="13" t="s">
        <v>65</v>
      </c>
      <c r="G19" s="13" t="s">
        <v>22</v>
      </c>
      <c r="H19" s="13" t="s">
        <v>66</v>
      </c>
      <c r="I19" s="13"/>
      <c r="J19" s="37"/>
      <c r="K19" s="34"/>
      <c r="L19" s="34"/>
      <c r="M19" s="34"/>
      <c r="N19" s="34"/>
      <c r="O19" s="37"/>
      <c r="P19" s="34"/>
      <c r="Q19" s="34"/>
      <c r="R19" s="34"/>
      <c r="S19" s="34"/>
      <c r="T19" s="34"/>
      <c r="U19" t="s">
        <v>71</v>
      </c>
    </row>
    <row r="20" spans="1:21">
      <c r="A20" s="20" t="s">
        <v>12</v>
      </c>
      <c r="B20" s="14">
        <v>16</v>
      </c>
      <c r="C20" s="14" t="s">
        <v>22</v>
      </c>
      <c r="D20" s="14" t="s">
        <v>72</v>
      </c>
      <c r="E20" s="14" t="s">
        <v>35</v>
      </c>
      <c r="F20" s="14" t="s">
        <v>65</v>
      </c>
      <c r="G20" s="14" t="s">
        <v>22</v>
      </c>
      <c r="H20" s="14" t="s">
        <v>66</v>
      </c>
      <c r="I20" s="14"/>
      <c r="J20" s="37"/>
      <c r="K20" s="34"/>
      <c r="L20" s="34"/>
      <c r="M20" s="34"/>
      <c r="N20" s="34"/>
      <c r="O20" s="37"/>
      <c r="P20" s="34"/>
      <c r="Q20" s="34"/>
      <c r="R20" s="34"/>
      <c r="S20" s="34"/>
      <c r="T20" s="34"/>
      <c r="U20" t="s">
        <v>71</v>
      </c>
    </row>
    <row r="21" spans="1:21">
      <c r="A21" s="19" t="s">
        <v>12</v>
      </c>
      <c r="B21" s="13">
        <v>17</v>
      </c>
      <c r="C21" s="13" t="s">
        <v>22</v>
      </c>
      <c r="D21" s="13" t="s">
        <v>73</v>
      </c>
      <c r="E21" s="13" t="s">
        <v>17</v>
      </c>
      <c r="F21" s="16" t="s">
        <v>42</v>
      </c>
      <c r="G21" s="13" t="s">
        <v>22</v>
      </c>
      <c r="H21" s="13" t="s">
        <v>37</v>
      </c>
      <c r="I21" s="21" t="s">
        <v>74</v>
      </c>
      <c r="J21" s="37"/>
      <c r="K21" s="28" t="s">
        <v>75</v>
      </c>
      <c r="L21" s="29"/>
      <c r="M21" s="28" t="s">
        <v>75</v>
      </c>
      <c r="N21">
        <v>7</v>
      </c>
      <c r="O21" s="37"/>
      <c r="P21" s="34"/>
      <c r="Q21" s="34"/>
      <c r="R21" s="34"/>
      <c r="S21" s="34"/>
      <c r="T21" s="34"/>
      <c r="U21" t="s">
        <v>76</v>
      </c>
    </row>
    <row r="22" spans="1:21">
      <c r="A22" s="23" t="s">
        <v>12</v>
      </c>
      <c r="B22" s="17">
        <v>18</v>
      </c>
      <c r="C22" s="17" t="s">
        <v>22</v>
      </c>
      <c r="D22" s="17" t="s">
        <v>77</v>
      </c>
      <c r="E22" s="17" t="s">
        <v>24</v>
      </c>
      <c r="F22" s="18" t="s">
        <v>25</v>
      </c>
      <c r="G22" s="17" t="s">
        <v>22</v>
      </c>
      <c r="H22" s="17"/>
      <c r="I22" s="17"/>
      <c r="J22" s="37"/>
      <c r="K22" s="34"/>
      <c r="L22" s="34"/>
      <c r="M22" s="34"/>
      <c r="N22" s="34"/>
      <c r="O22" s="37"/>
      <c r="P22" s="34"/>
      <c r="Q22" s="34"/>
      <c r="R22" s="34"/>
      <c r="S22" s="34"/>
      <c r="T22" s="34"/>
      <c r="U22" t="s">
        <v>78</v>
      </c>
    </row>
    <row r="23" spans="1:21" ht="15.75">
      <c r="A23" s="38" t="s">
        <v>79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</row>
    <row r="24" spans="1:21">
      <c r="J24" s="37"/>
      <c r="K24" s="28" t="s">
        <v>80</v>
      </c>
      <c r="L24" s="29"/>
      <c r="M24" s="28" t="s">
        <v>80</v>
      </c>
      <c r="N24">
        <v>4</v>
      </c>
      <c r="O24" s="37"/>
      <c r="P24">
        <v>2</v>
      </c>
      <c r="Q24" t="s">
        <v>81</v>
      </c>
      <c r="S24">
        <v>2</v>
      </c>
      <c r="T24" t="s">
        <v>82</v>
      </c>
    </row>
    <row r="25" spans="1:21">
      <c r="J25" s="37"/>
      <c r="K25" s="28" t="s">
        <v>83</v>
      </c>
      <c r="L25" s="29"/>
      <c r="M25" s="28" t="s">
        <v>83</v>
      </c>
      <c r="N25">
        <v>5</v>
      </c>
      <c r="O25" s="37"/>
      <c r="P25">
        <v>3</v>
      </c>
      <c r="Q25" t="s">
        <v>84</v>
      </c>
      <c r="S25">
        <v>3</v>
      </c>
      <c r="T25" t="s">
        <v>85</v>
      </c>
    </row>
    <row r="26" spans="1:21">
      <c r="J26" s="37"/>
      <c r="K26" s="28" t="s">
        <v>86</v>
      </c>
      <c r="L26" s="29"/>
      <c r="M26" s="28" t="s">
        <v>86</v>
      </c>
      <c r="N26">
        <v>13</v>
      </c>
      <c r="O26" s="37"/>
      <c r="P26">
        <v>4</v>
      </c>
      <c r="Q26" t="s">
        <v>87</v>
      </c>
      <c r="S26">
        <v>4</v>
      </c>
      <c r="T26" t="s">
        <v>88</v>
      </c>
    </row>
    <row r="27" spans="1:21">
      <c r="J27" s="37"/>
      <c r="K27" s="30" t="s">
        <v>89</v>
      </c>
      <c r="L27" s="31"/>
      <c r="M27" s="30" t="s">
        <v>89</v>
      </c>
      <c r="N27">
        <v>14</v>
      </c>
      <c r="O27" s="37"/>
      <c r="P27">
        <v>5</v>
      </c>
      <c r="Q27" t="s">
        <v>85</v>
      </c>
      <c r="S27">
        <v>5</v>
      </c>
      <c r="T27" t="s">
        <v>90</v>
      </c>
    </row>
    <row r="28" spans="1:21">
      <c r="J28" s="37"/>
      <c r="O28" s="37"/>
      <c r="P28">
        <v>6</v>
      </c>
      <c r="Q28" t="s">
        <v>88</v>
      </c>
      <c r="S28">
        <v>6</v>
      </c>
      <c r="T28" t="s">
        <v>91</v>
      </c>
    </row>
    <row r="29" spans="1:21">
      <c r="O29" s="37"/>
      <c r="P29">
        <v>7</v>
      </c>
      <c r="Q29" t="s">
        <v>90</v>
      </c>
      <c r="S29">
        <v>9</v>
      </c>
      <c r="T29" t="s">
        <v>92</v>
      </c>
    </row>
    <row r="30" spans="1:21">
      <c r="O30" s="37"/>
      <c r="P30">
        <v>8</v>
      </c>
      <c r="Q30" t="s">
        <v>93</v>
      </c>
      <c r="S30">
        <v>10</v>
      </c>
      <c r="T30" t="s">
        <v>94</v>
      </c>
    </row>
    <row r="31" spans="1:21">
      <c r="O31" s="37"/>
      <c r="P31">
        <v>9</v>
      </c>
      <c r="Q31" t="s">
        <v>95</v>
      </c>
      <c r="S31">
        <v>11</v>
      </c>
      <c r="T31" t="s">
        <v>96</v>
      </c>
    </row>
    <row r="32" spans="1:21">
      <c r="O32" s="37"/>
      <c r="P32">
        <v>10</v>
      </c>
      <c r="Q32" t="s">
        <v>97</v>
      </c>
      <c r="S32">
        <v>12</v>
      </c>
      <c r="T32" t="s">
        <v>98</v>
      </c>
    </row>
    <row r="33" spans="15:20">
      <c r="O33" s="37"/>
      <c r="P33">
        <v>11</v>
      </c>
      <c r="Q33" t="s">
        <v>99</v>
      </c>
      <c r="S33">
        <v>13</v>
      </c>
      <c r="T33" t="s">
        <v>100</v>
      </c>
    </row>
    <row r="34" spans="15:20">
      <c r="O34" s="37"/>
      <c r="P34">
        <v>12</v>
      </c>
      <c r="Q34" t="s">
        <v>101</v>
      </c>
      <c r="S34">
        <v>14</v>
      </c>
      <c r="T34" t="s">
        <v>102</v>
      </c>
    </row>
    <row r="35" spans="15:20">
      <c r="O35" s="37"/>
      <c r="P35">
        <v>13</v>
      </c>
      <c r="Q35" t="s">
        <v>103</v>
      </c>
      <c r="S35">
        <v>15</v>
      </c>
      <c r="T35" t="s">
        <v>93</v>
      </c>
    </row>
    <row r="36" spans="15:20">
      <c r="O36" s="37"/>
      <c r="P36">
        <v>14</v>
      </c>
      <c r="Q36" t="s">
        <v>104</v>
      </c>
      <c r="S36">
        <v>16</v>
      </c>
      <c r="T36" t="s">
        <v>95</v>
      </c>
    </row>
    <row r="37" spans="15:20">
      <c r="O37" s="37"/>
      <c r="P37">
        <v>15</v>
      </c>
      <c r="Q37" t="s">
        <v>105</v>
      </c>
      <c r="S37">
        <v>17</v>
      </c>
      <c r="T37" t="s">
        <v>97</v>
      </c>
    </row>
    <row r="38" spans="15:20">
      <c r="O38" s="37"/>
      <c r="S38">
        <v>18</v>
      </c>
      <c r="T38" t="s">
        <v>99</v>
      </c>
    </row>
    <row r="39" spans="15:20">
      <c r="O39" s="37"/>
      <c r="S39">
        <v>19</v>
      </c>
      <c r="T39" t="s">
        <v>101</v>
      </c>
    </row>
    <row r="40" spans="15:20">
      <c r="O40" s="37"/>
      <c r="S40">
        <v>20</v>
      </c>
      <c r="T40" t="s">
        <v>103</v>
      </c>
    </row>
    <row r="41" spans="15:20">
      <c r="O41" s="37"/>
      <c r="S41">
        <v>21</v>
      </c>
      <c r="T41" t="s">
        <v>104</v>
      </c>
    </row>
    <row r="42" spans="15:20">
      <c r="O42" s="37"/>
      <c r="S42">
        <v>22</v>
      </c>
      <c r="T42" t="s">
        <v>105</v>
      </c>
    </row>
  </sheetData>
  <mergeCells count="5">
    <mergeCell ref="A1:I1"/>
    <mergeCell ref="K1:M1"/>
    <mergeCell ref="P1:T1"/>
    <mergeCell ref="P3:Q3"/>
    <mergeCell ref="S3:T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9BA442BC-2663-4C1C-8DA5-D6EF38CDAF77}">
          <x14:formula1>
            <xm:f>CATALOGOS!$D$7:$D$19</xm:f>
          </x14:formula1>
          <xm:sqref>I8</xm:sqref>
        </x14:dataValidation>
        <x14:dataValidation type="list" allowBlank="1" showInputMessage="1" showErrorMessage="1" xr:uid="{32E4643D-AD41-4289-A9EC-95BADEB48FC9}">
          <x14:formula1>
            <xm:f>CATALOGOS!$D$22:$D$38</xm:f>
          </x14:formula1>
          <xm:sqref>I9</xm:sqref>
        </x14:dataValidation>
        <x14:dataValidation type="list" allowBlank="1" showInputMessage="1" showErrorMessage="1" xr:uid="{DECA626F-84AF-4021-97A6-ADA4E01DDB0C}">
          <x14:formula1>
            <xm:f>CATALOGOS!$D$42:$D$66</xm:f>
          </x14:formula1>
          <xm:sqref>I10:I11</xm:sqref>
        </x14:dataValidation>
        <x14:dataValidation type="list" allowBlank="1" showInputMessage="1" showErrorMessage="1" xr:uid="{99901D14-A167-4452-91EF-DD72E21EBE14}">
          <x14:formula1>
            <xm:f>CATALOGOS!$D$69:$D$73</xm:f>
          </x14:formula1>
          <xm:sqref>I13</xm:sqref>
        </x14:dataValidation>
        <x14:dataValidation type="list" allowBlank="1" showInputMessage="1" showErrorMessage="1" xr:uid="{5433F2AA-FEDB-4AD6-8586-15E58715F9D1}">
          <x14:formula1>
            <xm:f>CATALOGOS!$D$75:$D$79</xm:f>
          </x14:formula1>
          <xm:sqref>I14</xm:sqref>
        </x14:dataValidation>
        <x14:dataValidation type="list" allowBlank="1" showInputMessage="1" showErrorMessage="1" xr:uid="{0B8E77A1-F6C7-4075-92A1-49594D5774AB}">
          <x14:formula1>
            <xm:f>CATALOGOS!$D$82:$D$93</xm:f>
          </x14:formula1>
          <xm:sqref>I16</xm:sqref>
        </x14:dataValidation>
        <x14:dataValidation type="list" allowBlank="1" showInputMessage="1" showErrorMessage="1" xr:uid="{DB5BFD71-44A8-4A9D-9F15-8BD94ECEFBCE}">
          <x14:formula1>
            <xm:f>CATALOGOS!$D$1:$D$5</xm:f>
          </x14:formula1>
          <xm:sqref>I21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1EC1A-5E58-4B6F-B85D-0BA21E923FA9}">
  <dimension ref="A1:D93"/>
  <sheetViews>
    <sheetView workbookViewId="0">
      <selection activeCell="C3" sqref="C3"/>
    </sheetView>
  </sheetViews>
  <sheetFormatPr defaultColWidth="10.42578125" defaultRowHeight="15.75"/>
  <cols>
    <col min="1" max="1" width="12.42578125" style="25" customWidth="1"/>
    <col min="2" max="2" width="47.5703125" style="26" customWidth="1"/>
    <col min="3" max="16384" width="10.42578125" style="26"/>
  </cols>
  <sheetData>
    <row r="1" spans="1:4">
      <c r="A1" s="25" t="s">
        <v>74</v>
      </c>
      <c r="D1" s="26" t="str">
        <f>A1</f>
        <v>Origen de la Reclamacion</v>
      </c>
    </row>
    <row r="2" spans="1:4">
      <c r="A2" s="27" t="s">
        <v>106</v>
      </c>
      <c r="B2" s="26" t="s">
        <v>107</v>
      </c>
      <c r="D2" s="26" t="str">
        <f>A2</f>
        <v>Clave</v>
      </c>
    </row>
    <row r="3" spans="1:4">
      <c r="A3" s="40">
        <v>701</v>
      </c>
      <c r="B3" s="41" t="s">
        <v>108</v>
      </c>
      <c r="C3" s="26" t="s">
        <v>13</v>
      </c>
      <c r="D3" s="26" t="str">
        <f>CONCATENATE(Table2[[#This Row],[Clave]]," - ",Table2[[#This Row],[Descripcion]])</f>
        <v>701 - Institucion</v>
      </c>
    </row>
    <row r="4" spans="1:4">
      <c r="A4" s="40">
        <v>702</v>
      </c>
      <c r="B4" s="41" t="s">
        <v>14</v>
      </c>
      <c r="C4" s="26" t="s">
        <v>14</v>
      </c>
      <c r="D4" s="26" t="str">
        <f>CONCATENATE(Table2[[#This Row],[Clave]]," - ",Table2[[#This Row],[Descripcion]])</f>
        <v>702 - UNE</v>
      </c>
    </row>
    <row r="5" spans="1:4">
      <c r="A5" s="27">
        <v>703</v>
      </c>
      <c r="B5" s="26" t="s">
        <v>109</v>
      </c>
      <c r="D5" s="26" t="str">
        <f>CONCATENATE(Table2[[#This Row],[Clave]]," - ",Table2[[#This Row],[Descripcion]])</f>
        <v>703 - CONDUSEF</v>
      </c>
    </row>
    <row r="6" spans="1:4">
      <c r="A6" s="27"/>
    </row>
    <row r="7" spans="1:4">
      <c r="A7" s="25" t="s">
        <v>38</v>
      </c>
      <c r="D7" s="26" t="str">
        <f>A7</f>
        <v>Producto Financiero</v>
      </c>
    </row>
    <row r="8" spans="1:4">
      <c r="A8" s="27" t="s">
        <v>106</v>
      </c>
      <c r="B8" s="26" t="s">
        <v>107</v>
      </c>
      <c r="D8" s="26" t="str">
        <f>A8</f>
        <v>Clave</v>
      </c>
    </row>
    <row r="9" spans="1:4">
      <c r="A9" s="40">
        <v>101</v>
      </c>
      <c r="B9" s="41" t="s">
        <v>110</v>
      </c>
      <c r="C9" s="26" t="s">
        <v>111</v>
      </c>
      <c r="D9" s="26" t="str">
        <f>CONCATENATE(Table3[[#This Row],[Clave]]," - ",Table3[[#This Row],[Descripcion]])</f>
        <v>101 - Cuentas de Depósitos a la Vista</v>
      </c>
    </row>
    <row r="10" spans="1:4">
      <c r="A10" s="27">
        <v>102</v>
      </c>
      <c r="B10" s="26" t="s">
        <v>112</v>
      </c>
      <c r="D10" s="26" t="str">
        <f>CONCATENATE(Table3[[#This Row],[Clave]]," - ",Table3[[#This Row],[Descripcion]])</f>
        <v>102 - Valores e Instrumentos de Inversión</v>
      </c>
    </row>
    <row r="11" spans="1:4">
      <c r="A11" s="27">
        <v>103</v>
      </c>
      <c r="B11" s="26" t="s">
        <v>113</v>
      </c>
      <c r="D11" s="26" t="str">
        <f>CONCATENATE(Table3[[#This Row],[Clave]]," - ",Table3[[#This Row],[Descripcion]])</f>
        <v>103 - Tarjeta de Débito</v>
      </c>
    </row>
    <row r="12" spans="1:4">
      <c r="A12" s="27">
        <v>104</v>
      </c>
      <c r="B12" s="26" t="s">
        <v>114</v>
      </c>
      <c r="D12" s="26" t="str">
        <f>CONCATENATE(Table3[[#This Row],[Clave]]," - ",Table3[[#This Row],[Descripcion]])</f>
        <v>104 - Tarjeta de Crédito</v>
      </c>
    </row>
    <row r="13" spans="1:4">
      <c r="A13" s="27">
        <v>105</v>
      </c>
      <c r="B13" s="26" t="s">
        <v>115</v>
      </c>
      <c r="D13" s="26" t="str">
        <f>CONCATENATE(Table3[[#This Row],[Clave]]," - ",Table3[[#This Row],[Descripcion]])</f>
        <v>105 - Tarjeta Prepagada</v>
      </c>
    </row>
    <row r="14" spans="1:4">
      <c r="A14" s="27">
        <v>106</v>
      </c>
      <c r="B14" s="26" t="s">
        <v>116</v>
      </c>
      <c r="D14" s="26" t="str">
        <f>CONCATENATE(Table3[[#This Row],[Clave]]," - ",Table3[[#This Row],[Descripcion]])</f>
        <v>106 - Cuentas de Nómina</v>
      </c>
    </row>
    <row r="15" spans="1:4">
      <c r="A15" s="40">
        <v>107</v>
      </c>
      <c r="B15" s="41" t="s">
        <v>117</v>
      </c>
      <c r="C15" s="26" t="s">
        <v>118</v>
      </c>
      <c r="D15" s="26" t="str">
        <f>CONCATENATE(Table3[[#This Row],[Clave]]," - ",Table3[[#This Row],[Descripcion]])</f>
        <v>107 - Crédito Hipotecario</v>
      </c>
    </row>
    <row r="16" spans="1:4">
      <c r="A16" s="27">
        <v>108</v>
      </c>
      <c r="B16" s="26" t="s">
        <v>119</v>
      </c>
      <c r="D16" s="26" t="str">
        <f>CONCATENATE(Table3[[#This Row],[Clave]]," - ",Table3[[#This Row],[Descripcion]])</f>
        <v>108 - Crédito Automotriz</v>
      </c>
    </row>
    <row r="17" spans="1:4">
      <c r="A17" s="27">
        <v>109</v>
      </c>
      <c r="B17" s="26" t="s">
        <v>120</v>
      </c>
      <c r="D17" s="26" t="str">
        <f>CONCATENATE(Table3[[#This Row],[Clave]]," - ",Table3[[#This Row],[Descripcion]])</f>
        <v>109 - Crédito de Nómina</v>
      </c>
    </row>
    <row r="18" spans="1:4">
      <c r="A18" s="27">
        <v>110</v>
      </c>
      <c r="B18" s="26" t="s">
        <v>121</v>
      </c>
      <c r="D18" s="26" t="str">
        <f>CONCATENATE(Table3[[#This Row],[Clave]]," - ",Table3[[#This Row],[Descripcion]])</f>
        <v>110 - Crédito al Consumo</v>
      </c>
    </row>
    <row r="19" spans="1:4">
      <c r="A19" s="27">
        <v>111</v>
      </c>
      <c r="B19" s="26" t="s">
        <v>122</v>
      </c>
      <c r="D19" s="26" t="str">
        <f>CONCATENATE(Table3[[#This Row],[Clave]]," - ",Table3[[#This Row],[Descripcion]])</f>
        <v>111 - Crédito Personal</v>
      </c>
    </row>
    <row r="20" spans="1:4">
      <c r="A20" s="27"/>
    </row>
    <row r="21" spans="1:4">
      <c r="A21" s="27"/>
    </row>
    <row r="22" spans="1:4">
      <c r="A22" s="25" t="s">
        <v>43</v>
      </c>
      <c r="D22" s="26" t="str">
        <f>A22</f>
        <v>Canales</v>
      </c>
    </row>
    <row r="23" spans="1:4">
      <c r="A23" s="27" t="s">
        <v>106</v>
      </c>
      <c r="B23" s="26" t="s">
        <v>107</v>
      </c>
      <c r="D23" s="26" t="str">
        <f>A23</f>
        <v>Clave</v>
      </c>
    </row>
    <row r="24" spans="1:4">
      <c r="A24" s="40">
        <v>201</v>
      </c>
      <c r="B24" s="41" t="s">
        <v>123</v>
      </c>
      <c r="D24" s="26" t="str">
        <f>CONCATENATE(Table4[[#This Row],[Clave]]," - ",Table4[[#This Row],[Descripcion]])</f>
        <v>201 - Operaciones por Internet Personas Físicas</v>
      </c>
    </row>
    <row r="25" spans="1:4">
      <c r="A25" s="40">
        <v>202</v>
      </c>
      <c r="B25" s="41" t="s">
        <v>124</v>
      </c>
      <c r="D25" s="26" t="str">
        <f>CONCATENATE(Table4[[#This Row],[Clave]]," - ",Table4[[#This Row],[Descripcion]])</f>
        <v>202 - Operaciones por Internet Personas Morales</v>
      </c>
    </row>
    <row r="26" spans="1:4">
      <c r="A26" s="27">
        <v>203</v>
      </c>
      <c r="B26" s="26" t="s">
        <v>125</v>
      </c>
      <c r="D26" s="26" t="str">
        <f>CONCATENATE(Table4[[#This Row],[Clave]]," - ",Table4[[#This Row],[Descripcion]])</f>
        <v>203 - Comercio por Internet</v>
      </c>
    </row>
    <row r="27" spans="1:4">
      <c r="A27" s="27">
        <v>204</v>
      </c>
      <c r="B27" s="26" t="s">
        <v>126</v>
      </c>
      <c r="D27" s="26" t="str">
        <f>CONCATENATE(Table4[[#This Row],[Clave]]," - ",Table4[[#This Row],[Descripcion]])</f>
        <v>204 - Banca por Teléfono</v>
      </c>
    </row>
    <row r="28" spans="1:4">
      <c r="A28" s="27">
        <v>205</v>
      </c>
      <c r="B28" s="26" t="s">
        <v>127</v>
      </c>
      <c r="D28" s="26" t="str">
        <f>CONCATENATE(Table4[[#This Row],[Clave]]," - ",Table4[[#This Row],[Descripcion]])</f>
        <v>205 - Comercio por Teléfono</v>
      </c>
    </row>
    <row r="29" spans="1:4">
      <c r="A29" s="27">
        <v>206</v>
      </c>
      <c r="B29" s="26" t="s">
        <v>128</v>
      </c>
      <c r="D29" s="26" t="str">
        <f>CONCATENATE(Table4[[#This Row],[Clave]]," - ",Table4[[#This Row],[Descripcion]])</f>
        <v>206 - Cajeros Automáticos</v>
      </c>
    </row>
    <row r="30" spans="1:4">
      <c r="A30" s="27">
        <v>207</v>
      </c>
      <c r="B30" s="26" t="s">
        <v>129</v>
      </c>
      <c r="D30" s="26" t="str">
        <f>CONCATENATE(Table4[[#This Row],[Clave]]," - ",Table4[[#This Row],[Descripcion]])</f>
        <v>207 - Terminal Punto de Venta</v>
      </c>
    </row>
    <row r="31" spans="1:4">
      <c r="A31" s="27">
        <v>208</v>
      </c>
      <c r="B31" s="26" t="s">
        <v>130</v>
      </c>
      <c r="D31" s="26" t="str">
        <f>CONCATENATE(Table4[[#This Row],[Clave]]," - ",Table4[[#This Row],[Descripcion]])</f>
        <v>208 - Sucursales</v>
      </c>
    </row>
    <row r="32" spans="1:4">
      <c r="A32" s="27">
        <v>209</v>
      </c>
      <c r="B32" s="26" t="s">
        <v>131</v>
      </c>
      <c r="D32" s="26" t="str">
        <f>CONCATENATE(Table4[[#This Row],[Clave]]," - ",Table4[[#This Row],[Descripcion]])</f>
        <v>209 - Corresponsales</v>
      </c>
    </row>
    <row r="33" spans="1:4">
      <c r="A33" s="27">
        <v>210</v>
      </c>
      <c r="B33" s="26" t="s">
        <v>132</v>
      </c>
      <c r="D33" s="26" t="str">
        <f>CONCATENATE(Table4[[#This Row],[Clave]]," - ",Table4[[#This Row],[Descripcion]])</f>
        <v>210 - Pagos por Celular</v>
      </c>
    </row>
    <row r="34" spans="1:4">
      <c r="A34" s="27">
        <v>211</v>
      </c>
      <c r="B34" s="26" t="s">
        <v>133</v>
      </c>
      <c r="D34" s="26" t="str">
        <f>CONCATENATE(Table4[[#This Row],[Clave]]," - ",Table4[[#This Row],[Descripcion]])</f>
        <v>211 - Banca Móvil</v>
      </c>
    </row>
    <row r="35" spans="1:4">
      <c r="A35" s="40">
        <v>212</v>
      </c>
      <c r="B35" s="41" t="s">
        <v>134</v>
      </c>
      <c r="D35" s="26" t="str">
        <f>CONCATENATE(Table4[[#This Row],[Clave]]," - ",Table4[[#This Row],[Descripcion]])</f>
        <v>212 - Movimiento Generado por el Banco</v>
      </c>
    </row>
    <row r="36" spans="1:4">
      <c r="A36" s="27">
        <v>213</v>
      </c>
      <c r="B36" s="26" t="s">
        <v>135</v>
      </c>
      <c r="D36" s="26" t="str">
        <f>CONCATENATE(Table4[[#This Row],[Clave]]," - ",Table4[[#This Row],[Descripcion]])</f>
        <v>213 - Otros Bancos</v>
      </c>
    </row>
    <row r="37" spans="1:4">
      <c r="A37" s="27">
        <v>214</v>
      </c>
      <c r="B37" s="26" t="s">
        <v>136</v>
      </c>
      <c r="D37" s="26" t="str">
        <f>CONCATENATE(Table4[[#This Row],[Clave]]," - ",Table4[[#This Row],[Descripcion]])</f>
        <v>214 - Servicio de Adquirencia</v>
      </c>
    </row>
    <row r="38" spans="1:4">
      <c r="A38" s="27">
        <v>290</v>
      </c>
      <c r="B38" s="25" t="s">
        <v>137</v>
      </c>
      <c r="D38" s="26" t="str">
        <f>CONCATENATE(Table4[[#This Row],[Clave]]," - ",Table4[[#This Row],[Descripcion]])</f>
        <v>290 - Por Definir
Cuando la Institución se encuentra en proceso de identificar el canal por el cual se realizó la operación y no se ha emitido una resolución del caso.</v>
      </c>
    </row>
    <row r="39" spans="1:4">
      <c r="A39" s="27"/>
    </row>
    <row r="42" spans="1:4">
      <c r="A42" s="25" t="s">
        <v>45</v>
      </c>
      <c r="D42" s="26" t="str">
        <f>A42</f>
        <v>Motivo Reclamacion</v>
      </c>
    </row>
    <row r="43" spans="1:4">
      <c r="A43" s="25" t="s">
        <v>106</v>
      </c>
      <c r="B43" s="26" t="s">
        <v>107</v>
      </c>
      <c r="D43" s="26" t="str">
        <f>A43</f>
        <v>Clave</v>
      </c>
    </row>
    <row r="44" spans="1:4">
      <c r="A44" s="25">
        <v>301</v>
      </c>
      <c r="B44" s="26" t="s">
        <v>138</v>
      </c>
      <c r="D44" s="26" t="str">
        <f>CONCATENATE(Table5[[#This Row],[Clave]]," - ",Table5[[#This Row],[Descripcion]])</f>
        <v>301 - Cargo No Reconocido por Consumos Efectuados</v>
      </c>
    </row>
    <row r="45" spans="1:4">
      <c r="A45" s="42">
        <v>302</v>
      </c>
      <c r="B45" s="41" t="s">
        <v>139</v>
      </c>
      <c r="D45" s="26" t="str">
        <f>CONCATENATE(Table5[[#This Row],[Clave]]," - ",Table5[[#This Row],[Descripcion]])</f>
        <v>302 - Cobro No Reconocido de Comisión por Manejo de Cuenta</v>
      </c>
    </row>
    <row r="46" spans="1:4">
      <c r="A46" s="42">
        <v>303</v>
      </c>
      <c r="B46" s="41" t="s">
        <v>140</v>
      </c>
      <c r="D46" s="26" t="str">
        <f>CONCATENATE(Table5[[#This Row],[Clave]]," - ",Table5[[#This Row],[Descripcion]])</f>
        <v>303 - Cobro No Reconocido de Intereses Ordinarios y/o Moratorios</v>
      </c>
    </row>
    <row r="47" spans="1:4">
      <c r="A47" s="25">
        <v>304</v>
      </c>
      <c r="B47" s="26" t="s">
        <v>141</v>
      </c>
      <c r="D47" s="26" t="str">
        <f>CONCATENATE(Table5[[#This Row],[Clave]]," - ",Table5[[#This Row],[Descripcion]])</f>
        <v>304 - Cobro No Reconocido por Comisiones por Disposiciones de Efectivo</v>
      </c>
    </row>
    <row r="48" spans="1:4">
      <c r="A48" s="42">
        <v>305</v>
      </c>
      <c r="B48" s="41" t="s">
        <v>142</v>
      </c>
      <c r="D48" s="26" t="str">
        <f>CONCATENATE(Table5[[#This Row],[Clave]]," - ",Table5[[#This Row],[Descripcion]])</f>
        <v>305 - Cobro No Reconocido por Otras Comisiones</v>
      </c>
    </row>
    <row r="49" spans="1:4">
      <c r="A49" s="42">
        <v>306</v>
      </c>
      <c r="B49" s="41" t="s">
        <v>143</v>
      </c>
      <c r="D49" s="26" t="str">
        <f>CONCATENATE(Table5[[#This Row],[Clave]]," - ",Table5[[#This Row],[Descripcion]])</f>
        <v>306 - Depósito No Acreditado</v>
      </c>
    </row>
    <row r="50" spans="1:4">
      <c r="A50" s="42">
        <v>307</v>
      </c>
      <c r="B50" s="41" t="s">
        <v>144</v>
      </c>
      <c r="D50" s="26" t="str">
        <f>CONCATENATE(Table5[[#This Row],[Clave]]," - ",Table5[[#This Row],[Descripcion]])</f>
        <v>307 - Devolución No Aplicada</v>
      </c>
    </row>
    <row r="51" spans="1:4">
      <c r="A51" s="42">
        <v>308</v>
      </c>
      <c r="B51" s="41" t="s">
        <v>145</v>
      </c>
      <c r="D51" s="26" t="str">
        <f>CONCATENATE(Table5[[#This Row],[Clave]]," - ",Table5[[#This Row],[Descripcion]])</f>
        <v>308 - Inconformidad de Rendimientos o Capital Pagados</v>
      </c>
    </row>
    <row r="52" spans="1:4">
      <c r="A52" s="25">
        <v>309</v>
      </c>
      <c r="B52" s="26" t="s">
        <v>146</v>
      </c>
      <c r="D52" s="26" t="str">
        <f>CONCATENATE(Table5[[#This Row],[Clave]]," - ",Table5[[#This Row],[Descripcion]])</f>
        <v>309 - Inconformidad por Alteración de Pagarés</v>
      </c>
    </row>
    <row r="53" spans="1:4">
      <c r="A53" s="25">
        <v>310</v>
      </c>
      <c r="B53" s="26" t="s">
        <v>147</v>
      </c>
      <c r="D53" s="26" t="str">
        <f>CONCATENATE(Table5[[#This Row],[Clave]]," - ",Table5[[#This Row],[Descripcion]])</f>
        <v>310 - No Entrega Cantidad Solicitada</v>
      </c>
    </row>
    <row r="54" spans="1:4">
      <c r="A54" s="25">
        <v>311</v>
      </c>
      <c r="B54" s="26" t="s">
        <v>148</v>
      </c>
      <c r="D54" s="26" t="str">
        <f>CONCATENATE(Table5[[#This Row],[Clave]]," - ",Table5[[#This Row],[Descripcion]])</f>
        <v>311 - Pago Automático Mal Aplicado Total o Parcialmente (domiciliaciones)</v>
      </c>
    </row>
    <row r="55" spans="1:4">
      <c r="A55" s="42">
        <v>312</v>
      </c>
      <c r="B55" s="41" t="s">
        <v>149</v>
      </c>
      <c r="D55" s="26" t="str">
        <f>CONCATENATE(Table5[[#This Row],[Clave]]," - ",Table5[[#This Row],[Descripcion]])</f>
        <v>312 - Pago No Acreditado</v>
      </c>
    </row>
    <row r="56" spans="1:4">
      <c r="A56" s="42">
        <v>313</v>
      </c>
      <c r="B56" s="41" t="s">
        <v>150</v>
      </c>
      <c r="D56" s="26" t="str">
        <f>CONCATENATE(Table5[[#This Row],[Clave]]," - ",Table5[[#This Row],[Descripcion]])</f>
        <v>313 - Transferencia No Reconocida</v>
      </c>
    </row>
    <row r="57" spans="1:4">
      <c r="A57" s="25">
        <v>314</v>
      </c>
      <c r="B57" s="26" t="s">
        <v>151</v>
      </c>
      <c r="D57" s="26" t="str">
        <f>CONCATENATE(Table5[[#This Row],[Clave]]," - ",Table5[[#This Row],[Descripcion]])</f>
        <v>314 - Retiro No Reconocido</v>
      </c>
    </row>
    <row r="58" spans="1:4">
      <c r="A58" s="25">
        <v>315</v>
      </c>
      <c r="B58" s="26" t="s">
        <v>152</v>
      </c>
      <c r="D58" s="26" t="str">
        <f>CONCATENATE(Table5[[#This Row],[Clave]]," - ",Table5[[#This Row],[Descripcion]])</f>
        <v>315 - Cheques Mal Negociados</v>
      </c>
    </row>
    <row r="59" spans="1:4">
      <c r="A59" s="42">
        <v>316</v>
      </c>
      <c r="B59" s="41" t="s">
        <v>153</v>
      </c>
      <c r="D59" s="26" t="str">
        <f>CONCATENATE(Table5[[#This Row],[Clave]]," - ",Table5[[#This Row],[Descripcion]])</f>
        <v>316 - Producto No Reconocido</v>
      </c>
    </row>
    <row r="60" spans="1:4">
      <c r="A60" s="42">
        <v>317</v>
      </c>
      <c r="B60" s="41" t="s">
        <v>154</v>
      </c>
      <c r="D60" s="26" t="str">
        <f>CONCATENATE(Table5[[#This Row],[Clave]]," - ",Table5[[#This Row],[Descripcion]])</f>
        <v>317 - Error Operativo del Banco</v>
      </c>
    </row>
    <row r="61" spans="1:4">
      <c r="A61" s="42">
        <v>318</v>
      </c>
      <c r="B61" s="41" t="s">
        <v>155</v>
      </c>
      <c r="D61" s="26" t="str">
        <f>CONCATENATE(Table5[[#This Row],[Clave]]," - ",Table5[[#This Row],[Descripcion]])</f>
        <v>318 - Error Operativo del Cliente</v>
      </c>
    </row>
    <row r="62" spans="1:4">
      <c r="A62" s="25">
        <v>319</v>
      </c>
      <c r="B62" s="26" t="s">
        <v>156</v>
      </c>
      <c r="D62" s="26" t="str">
        <f>CONCATENATE(Table5[[#This Row],[Clave]]," - ",Table5[[#This Row],[Descripcion]])</f>
        <v>319 - Cobro No Reconocido de Impuestos y Otros Cargos</v>
      </c>
    </row>
    <row r="63" spans="1:4">
      <c r="A63" s="25">
        <v>320</v>
      </c>
      <c r="B63" s="26" t="s">
        <v>157</v>
      </c>
      <c r="D63" s="26" t="str">
        <f>CONCATENATE(Table5[[#This Row],[Clave]]," - ",Table5[[#This Row],[Descripcion]])</f>
        <v>320 - Transferencia No Acreditada</v>
      </c>
    </row>
    <row r="64" spans="1:4">
      <c r="A64" s="25">
        <v>321</v>
      </c>
      <c r="B64" s="26" t="s">
        <v>158</v>
      </c>
      <c r="D64" s="26" t="str">
        <f>CONCATENATE(Table5[[#This Row],[Clave]]," - ",Table5[[#This Row],[Descripcion]])</f>
        <v>321 - Cargos por Servicios de Adquirencia</v>
      </c>
    </row>
    <row r="65" spans="1:4">
      <c r="A65" s="25">
        <v>322</v>
      </c>
      <c r="B65" s="26" t="s">
        <v>159</v>
      </c>
      <c r="D65" s="26" t="str">
        <f>CONCATENATE(Table5[[#This Row],[Clave]]," - ",Table5[[#This Row],[Descripcion]])</f>
        <v>322 - Abonos por Servicios de Adquirencia</v>
      </c>
    </row>
    <row r="66" spans="1:4">
      <c r="A66" s="42">
        <v>390</v>
      </c>
      <c r="B66" s="41" t="s">
        <v>160</v>
      </c>
      <c r="D66" s="26" t="str">
        <f>CONCATENATE(Table5[[#This Row],[Clave]]," - ",Table5[[#This Row],[Descripcion]])</f>
        <v>390 - Por Definir
Cuando la Institución se encuentra en proceso de identificar el motivo de la reclamación del cliente y aún no se ha emitido una resolución del caso, o bien, no existe información suficiente para clasificar el motivo de la reclamación.</v>
      </c>
    </row>
    <row r="69" spans="1:4">
      <c r="A69" s="25" t="s">
        <v>54</v>
      </c>
      <c r="D69" s="26" t="str">
        <f>A69</f>
        <v>Estado de Reclamacion</v>
      </c>
    </row>
    <row r="70" spans="1:4">
      <c r="A70" s="25" t="s">
        <v>106</v>
      </c>
      <c r="B70" s="26" t="s">
        <v>107</v>
      </c>
      <c r="D70" s="26" t="str">
        <f>Table6[[#Headers],[Clave]]</f>
        <v>Clave</v>
      </c>
    </row>
    <row r="71" spans="1:4">
      <c r="A71" s="42">
        <v>401</v>
      </c>
      <c r="B71" s="41" t="s">
        <v>161</v>
      </c>
      <c r="D71" s="26" t="str">
        <f>CONCATENATE(Table6[[#This Row],[Clave]]," - ",Table6[[#This Row],[Descripcion]])</f>
        <v>401 - Pendiente</v>
      </c>
    </row>
    <row r="72" spans="1:4">
      <c r="A72" s="42">
        <v>402</v>
      </c>
      <c r="B72" s="41" t="s">
        <v>162</v>
      </c>
      <c r="D72" s="26" t="str">
        <f>CONCATENATE(Table6[[#This Row],[Clave]]," - ",Table6[[#This Row],[Descripcion]])</f>
        <v>402 - Concluida</v>
      </c>
    </row>
    <row r="73" spans="1:4">
      <c r="A73" s="42">
        <v>403</v>
      </c>
      <c r="B73" s="41" t="s">
        <v>163</v>
      </c>
      <c r="D73" s="26" t="str">
        <f>CONCATENATE(Table6[[#This Row],[Clave]]," - ",Table6[[#This Row],[Descripcion]])</f>
        <v>403 - Concluida en reapertura</v>
      </c>
    </row>
    <row r="75" spans="1:4">
      <c r="A75" s="25" t="s">
        <v>58</v>
      </c>
      <c r="D75" s="26" t="str">
        <f t="shared" ref="D75:D76" si="0">A75</f>
        <v>Resolucion</v>
      </c>
    </row>
    <row r="76" spans="1:4">
      <c r="A76" s="25" t="s">
        <v>106</v>
      </c>
      <c r="B76" s="26" t="s">
        <v>107</v>
      </c>
      <c r="D76" s="26" t="str">
        <f t="shared" si="0"/>
        <v>Clave</v>
      </c>
    </row>
    <row r="77" spans="1:4">
      <c r="A77" s="42">
        <v>501</v>
      </c>
      <c r="B77" s="41" t="s">
        <v>164</v>
      </c>
      <c r="D77" s="26" t="str">
        <f>CONCATENATE(Table7[[#This Row],[Clave]]," - ",Table7[[#This Row],[Descripcion]])</f>
        <v>501 - Procedente</v>
      </c>
    </row>
    <row r="78" spans="1:4">
      <c r="A78" s="42">
        <v>502</v>
      </c>
      <c r="B78" s="41" t="s">
        <v>165</v>
      </c>
      <c r="D78" s="26" t="str">
        <f>CONCATENATE(Table7[[#This Row],[Clave]]," - ",Table7[[#This Row],[Descripcion]])</f>
        <v>502 - Improcedente</v>
      </c>
    </row>
    <row r="79" spans="1:4">
      <c r="A79" s="42">
        <v>503</v>
      </c>
      <c r="B79" s="41" t="s">
        <v>161</v>
      </c>
      <c r="D79" s="26" t="str">
        <f>CONCATENATE(Table7[[#This Row],[Clave]]," - ",Table7[[#This Row],[Descripcion]])</f>
        <v>503 - Pendiente</v>
      </c>
    </row>
    <row r="82" spans="1:4">
      <c r="A82" s="25" t="s">
        <v>63</v>
      </c>
      <c r="D82" s="26" t="str">
        <f t="shared" ref="D82:D83" si="1">A82</f>
        <v>Causa de Resolucion</v>
      </c>
    </row>
    <row r="83" spans="1:4">
      <c r="A83" s="25" t="s">
        <v>106</v>
      </c>
      <c r="B83" s="26" t="s">
        <v>107</v>
      </c>
      <c r="D83" s="26" t="str">
        <f t="shared" si="1"/>
        <v>Clave</v>
      </c>
    </row>
    <row r="84" spans="1:4">
      <c r="A84" s="42">
        <v>601</v>
      </c>
      <c r="B84" s="41" t="s">
        <v>166</v>
      </c>
      <c r="D84" s="26" t="str">
        <f>CONCATENATE(Table8[[#This Row],[Clave]]," - ",Table8[[#This Row],[Descripcion]])</f>
        <v>601 - Cliente Desistió</v>
      </c>
    </row>
    <row r="85" spans="1:4">
      <c r="A85" s="42">
        <v>602</v>
      </c>
      <c r="B85" s="41" t="s">
        <v>167</v>
      </c>
      <c r="D85" s="26" t="str">
        <f>CONCATENATE(Table8[[#This Row],[Clave]]," - ",Table8[[#This Row],[Descripcion]])</f>
        <v>602 - Falta Documentación del Cliente</v>
      </c>
    </row>
    <row r="86" spans="1:4">
      <c r="A86" s="42">
        <v>603</v>
      </c>
      <c r="B86" s="41" t="s">
        <v>168</v>
      </c>
      <c r="D86" s="26" t="str">
        <f>CONCATENATE(Table8[[#This Row],[Clave]]," - ",Table8[[#This Row],[Descripcion]])</f>
        <v>603 - Plazo Vencido al Cliente</v>
      </c>
    </row>
    <row r="87" spans="1:4">
      <c r="A87" s="42">
        <v>604</v>
      </c>
      <c r="B87" s="41" t="s">
        <v>169</v>
      </c>
      <c r="D87" s="26" t="str">
        <f>CONCATENATE(Table8[[#This Row],[Clave]]," - ",Table8[[#This Row],[Descripcion]])</f>
        <v>604 - Reclamación Reportada en Más de Una Ocasión</v>
      </c>
    </row>
    <row r="88" spans="1:4">
      <c r="A88" s="42">
        <v>605</v>
      </c>
      <c r="B88" s="41" t="s">
        <v>170</v>
      </c>
      <c r="D88" s="26" t="str">
        <f>CONCATENATE(Table8[[#This Row],[Clave]]," - ",Table8[[#This Row],[Descripcion]])</f>
        <v>605 - Evidencia a Favor del Banco</v>
      </c>
    </row>
    <row r="89" spans="1:4">
      <c r="A89" s="42">
        <v>650</v>
      </c>
      <c r="B89" s="41" t="s">
        <v>171</v>
      </c>
      <c r="D89" s="26" t="str">
        <f>CONCATENATE(Table8[[#This Row],[Clave]]," - ",Table8[[#This Row],[Descripcion]])</f>
        <v>650 - Por Normativa</v>
      </c>
    </row>
    <row r="90" spans="1:4">
      <c r="A90" s="42">
        <v>651</v>
      </c>
      <c r="B90" s="41" t="s">
        <v>172</v>
      </c>
      <c r="D90" s="26" t="str">
        <f>CONCATENATE(Table8[[#This Row],[Clave]]," - ",Table8[[#This Row],[Descripcion]])</f>
        <v>651 - Evidencia a Favor del Cliente</v>
      </c>
    </row>
    <row r="91" spans="1:4">
      <c r="A91" s="42">
        <v>652</v>
      </c>
      <c r="B91" s="41" t="s">
        <v>173</v>
      </c>
      <c r="D91" s="26" t="str">
        <f>CONCATENATE(Table8[[#This Row],[Clave]]," - ",Table8[[#This Row],[Descripcion]])</f>
        <v>652 - Plazo Vencido al Banco</v>
      </c>
    </row>
    <row r="92" spans="1:4">
      <c r="A92" s="42">
        <v>653</v>
      </c>
      <c r="B92" s="41" t="s">
        <v>174</v>
      </c>
      <c r="D92" s="26" t="str">
        <f>CONCATENATE(Table8[[#This Row],[Clave]]," - ",Table8[[#This Row],[Descripcion]])</f>
        <v>653 - Por Política Interna</v>
      </c>
    </row>
    <row r="93" spans="1:4">
      <c r="A93" s="42">
        <v>654</v>
      </c>
      <c r="B93" s="41" t="s">
        <v>161</v>
      </c>
      <c r="D93" s="26" t="str">
        <f>CONCATENATE(Table8[[#This Row],[Clave]]," - ",Table8[[#This Row],[Descripcion]])</f>
        <v>654 - Pendiente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B6F79-FEF1-455C-A6AB-FB848DAC02A9}">
  <dimension ref="B20:S54"/>
  <sheetViews>
    <sheetView topLeftCell="B22" workbookViewId="0">
      <selection activeCell="G31" sqref="G31"/>
    </sheetView>
  </sheetViews>
  <sheetFormatPr defaultColWidth="11.42578125" defaultRowHeight="15"/>
  <cols>
    <col min="2" max="13" width="25.140625" customWidth="1"/>
    <col min="14" max="14" width="30.28515625" customWidth="1"/>
    <col min="15" max="19" width="25.140625" customWidth="1"/>
  </cols>
  <sheetData>
    <row r="20" spans="2:19">
      <c r="B20">
        <v>1</v>
      </c>
      <c r="C20">
        <v>2</v>
      </c>
      <c r="D20">
        <v>3</v>
      </c>
      <c r="E20">
        <v>4</v>
      </c>
      <c r="F20">
        <v>5</v>
      </c>
      <c r="G20">
        <v>6</v>
      </c>
      <c r="H20">
        <v>7</v>
      </c>
      <c r="I20">
        <v>8</v>
      </c>
      <c r="J20">
        <v>9</v>
      </c>
      <c r="K20">
        <v>10</v>
      </c>
      <c r="L20">
        <v>11</v>
      </c>
      <c r="M20">
        <v>12</v>
      </c>
      <c r="N20">
        <v>13</v>
      </c>
      <c r="O20">
        <v>14</v>
      </c>
    </row>
    <row r="21" spans="2:19" ht="27">
      <c r="B21" s="8" t="s">
        <v>20</v>
      </c>
      <c r="C21" s="8" t="s">
        <v>55</v>
      </c>
      <c r="D21" s="8" t="s">
        <v>60</v>
      </c>
      <c r="E21" s="8" t="s">
        <v>80</v>
      </c>
      <c r="F21" s="8" t="s">
        <v>83</v>
      </c>
      <c r="G21" s="8" t="s">
        <v>26</v>
      </c>
      <c r="H21" s="8" t="s">
        <v>75</v>
      </c>
      <c r="I21" s="8" t="s">
        <v>39</v>
      </c>
      <c r="J21" s="8" t="s">
        <v>46</v>
      </c>
      <c r="K21" s="9"/>
      <c r="L21" s="9"/>
      <c r="M21" s="9"/>
      <c r="N21" s="8" t="s">
        <v>86</v>
      </c>
      <c r="O21" s="2" t="s">
        <v>89</v>
      </c>
    </row>
    <row r="22" spans="2:19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2:19" s="6" customFormat="1" ht="27">
      <c r="B23" s="10" t="s">
        <v>20</v>
      </c>
      <c r="C23" s="8" t="s">
        <v>55</v>
      </c>
      <c r="D23" s="8" t="s">
        <v>60</v>
      </c>
      <c r="E23" s="8" t="s">
        <v>80</v>
      </c>
      <c r="F23" s="8" t="s">
        <v>83</v>
      </c>
      <c r="G23" s="8" t="s">
        <v>26</v>
      </c>
      <c r="H23" s="8" t="s">
        <v>75</v>
      </c>
      <c r="I23" s="8" t="s">
        <v>39</v>
      </c>
      <c r="J23" s="8" t="s">
        <v>46</v>
      </c>
      <c r="K23" s="8" t="s">
        <v>52</v>
      </c>
      <c r="L23" s="8" t="s">
        <v>67</v>
      </c>
      <c r="M23" s="8" t="s">
        <v>69</v>
      </c>
      <c r="N23" s="8" t="s">
        <v>86</v>
      </c>
      <c r="O23" s="2" t="s">
        <v>89</v>
      </c>
      <c r="S23" s="7" t="s">
        <v>6</v>
      </c>
    </row>
    <row r="24" spans="2:19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S24" s="3"/>
    </row>
    <row r="26" spans="2:19" ht="15.75">
      <c r="B26" s="4" t="s">
        <v>16</v>
      </c>
      <c r="C26" s="4" t="s">
        <v>23</v>
      </c>
      <c r="D26" s="4" t="s">
        <v>28</v>
      </c>
      <c r="E26" s="4" t="s">
        <v>30</v>
      </c>
      <c r="F26" s="4" t="s">
        <v>34</v>
      </c>
      <c r="G26" s="4" t="s">
        <v>41</v>
      </c>
      <c r="H26" s="4" t="s">
        <v>44</v>
      </c>
      <c r="I26" s="4" t="s">
        <v>50</v>
      </c>
      <c r="J26" s="4" t="s">
        <v>53</v>
      </c>
      <c r="K26" s="4" t="s">
        <v>57</v>
      </c>
      <c r="L26" s="4" t="s">
        <v>59</v>
      </c>
      <c r="M26" s="4" t="s">
        <v>62</v>
      </c>
      <c r="N26" s="4" t="s">
        <v>64</v>
      </c>
      <c r="O26" s="4" t="s">
        <v>68</v>
      </c>
      <c r="P26" s="4" t="s">
        <v>70</v>
      </c>
      <c r="Q26" s="4" t="s">
        <v>72</v>
      </c>
      <c r="R26" s="4" t="s">
        <v>73</v>
      </c>
      <c r="S26" s="5" t="s">
        <v>77</v>
      </c>
    </row>
    <row r="27" spans="2:19">
      <c r="B27">
        <v>1</v>
      </c>
      <c r="C27">
        <v>2</v>
      </c>
      <c r="D27">
        <v>3</v>
      </c>
      <c r="E27">
        <v>4</v>
      </c>
      <c r="F27">
        <v>5</v>
      </c>
      <c r="G27">
        <v>6</v>
      </c>
      <c r="H27">
        <v>7</v>
      </c>
      <c r="I27">
        <v>8</v>
      </c>
      <c r="J27">
        <v>9</v>
      </c>
      <c r="K27">
        <v>10</v>
      </c>
      <c r="L27">
        <v>11</v>
      </c>
      <c r="M27">
        <v>12</v>
      </c>
      <c r="N27">
        <v>13</v>
      </c>
      <c r="O27">
        <v>14</v>
      </c>
      <c r="P27">
        <v>15</v>
      </c>
      <c r="Q27">
        <v>16</v>
      </c>
      <c r="R27">
        <v>17</v>
      </c>
      <c r="S27">
        <v>18</v>
      </c>
    </row>
    <row r="29" spans="2:19">
      <c r="B29">
        <v>1</v>
      </c>
      <c r="C29">
        <v>6</v>
      </c>
      <c r="H29">
        <v>9</v>
      </c>
      <c r="I29">
        <v>10</v>
      </c>
      <c r="K29">
        <v>2</v>
      </c>
      <c r="N29">
        <v>11</v>
      </c>
      <c r="O29">
        <v>12</v>
      </c>
    </row>
    <row r="31" spans="2:19">
      <c r="F31" t="s">
        <v>175</v>
      </c>
      <c r="G31" t="s">
        <v>176</v>
      </c>
    </row>
    <row r="32" spans="2:19">
      <c r="F32" t="s">
        <v>177</v>
      </c>
      <c r="G32" t="s">
        <v>178</v>
      </c>
      <c r="H32" t="s">
        <v>179</v>
      </c>
      <c r="I32" s="11" t="s">
        <v>180</v>
      </c>
      <c r="J32" t="s">
        <v>181</v>
      </c>
      <c r="K32" t="s">
        <v>182</v>
      </c>
      <c r="M32" t="s">
        <v>183</v>
      </c>
      <c r="R32" t="s">
        <v>184</v>
      </c>
    </row>
    <row r="33" spans="6:18">
      <c r="F33" t="s">
        <v>185</v>
      </c>
      <c r="G33" t="s">
        <v>186</v>
      </c>
      <c r="H33" t="s">
        <v>187</v>
      </c>
      <c r="I33" s="11" t="s">
        <v>180</v>
      </c>
      <c r="J33" t="s">
        <v>188</v>
      </c>
      <c r="K33" t="s">
        <v>189</v>
      </c>
      <c r="M33" t="s">
        <v>190</v>
      </c>
      <c r="R33" t="s">
        <v>191</v>
      </c>
    </row>
    <row r="34" spans="6:18">
      <c r="F34" t="s">
        <v>192</v>
      </c>
      <c r="G34" t="s">
        <v>193</v>
      </c>
      <c r="H34" t="s">
        <v>194</v>
      </c>
      <c r="I34" s="11" t="s">
        <v>180</v>
      </c>
      <c r="J34" t="s">
        <v>195</v>
      </c>
      <c r="K34" t="s">
        <v>196</v>
      </c>
      <c r="M34" t="s">
        <v>197</v>
      </c>
      <c r="R34" t="s">
        <v>198</v>
      </c>
    </row>
    <row r="35" spans="6:18">
      <c r="F35" t="s">
        <v>199</v>
      </c>
      <c r="G35" t="s">
        <v>200</v>
      </c>
      <c r="H35" t="s">
        <v>201</v>
      </c>
      <c r="I35" s="11" t="s">
        <v>180</v>
      </c>
      <c r="M35" t="s">
        <v>202</v>
      </c>
    </row>
    <row r="36" spans="6:18">
      <c r="F36" t="s">
        <v>203</v>
      </c>
      <c r="G36" t="s">
        <v>204</v>
      </c>
      <c r="H36" t="s">
        <v>205</v>
      </c>
      <c r="I36" s="11" t="s">
        <v>180</v>
      </c>
      <c r="M36" t="s">
        <v>206</v>
      </c>
    </row>
    <row r="37" spans="6:18">
      <c r="F37" t="s">
        <v>207</v>
      </c>
      <c r="G37" t="s">
        <v>208</v>
      </c>
      <c r="H37" t="s">
        <v>209</v>
      </c>
      <c r="I37" s="11" t="s">
        <v>180</v>
      </c>
      <c r="M37" t="s">
        <v>210</v>
      </c>
    </row>
    <row r="38" spans="6:18">
      <c r="F38" t="s">
        <v>211</v>
      </c>
      <c r="G38" t="s">
        <v>212</v>
      </c>
      <c r="H38" t="s">
        <v>213</v>
      </c>
      <c r="I38" s="11" t="s">
        <v>180</v>
      </c>
      <c r="M38" t="s">
        <v>214</v>
      </c>
    </row>
    <row r="39" spans="6:18">
      <c r="F39" t="s">
        <v>215</v>
      </c>
      <c r="G39" t="s">
        <v>216</v>
      </c>
      <c r="H39" t="s">
        <v>217</v>
      </c>
      <c r="I39" s="11" t="s">
        <v>180</v>
      </c>
      <c r="M39" t="s">
        <v>218</v>
      </c>
    </row>
    <row r="40" spans="6:18">
      <c r="F40" t="s">
        <v>219</v>
      </c>
      <c r="G40" t="s">
        <v>220</v>
      </c>
      <c r="H40" t="s">
        <v>221</v>
      </c>
      <c r="I40" s="11" t="s">
        <v>180</v>
      </c>
      <c r="M40" t="s">
        <v>222</v>
      </c>
    </row>
    <row r="41" spans="6:18">
      <c r="F41" t="s">
        <v>223</v>
      </c>
      <c r="G41" t="s">
        <v>224</v>
      </c>
      <c r="H41" t="s">
        <v>225</v>
      </c>
      <c r="I41" s="11" t="s">
        <v>180</v>
      </c>
      <c r="M41" t="s">
        <v>226</v>
      </c>
    </row>
    <row r="42" spans="6:18">
      <c r="F42" t="s">
        <v>227</v>
      </c>
      <c r="G42" t="s">
        <v>228</v>
      </c>
      <c r="H42" t="s">
        <v>229</v>
      </c>
      <c r="I42" s="11" t="s">
        <v>180</v>
      </c>
    </row>
    <row r="43" spans="6:18">
      <c r="G43" t="s">
        <v>230</v>
      </c>
      <c r="H43" t="s">
        <v>231</v>
      </c>
      <c r="I43" s="11" t="s">
        <v>180</v>
      </c>
    </row>
    <row r="44" spans="6:18">
      <c r="G44" t="s">
        <v>232</v>
      </c>
      <c r="H44" t="s">
        <v>233</v>
      </c>
      <c r="I44" s="11" t="s">
        <v>180</v>
      </c>
    </row>
    <row r="45" spans="6:18">
      <c r="G45" t="s">
        <v>234</v>
      </c>
      <c r="H45" t="s">
        <v>235</v>
      </c>
      <c r="I45" s="11" t="s">
        <v>180</v>
      </c>
    </row>
    <row r="46" spans="6:18">
      <c r="G46" t="s">
        <v>236</v>
      </c>
      <c r="H46" t="s">
        <v>237</v>
      </c>
      <c r="I46" s="11" t="s">
        <v>180</v>
      </c>
    </row>
    <row r="47" spans="6:18">
      <c r="H47" t="s">
        <v>238</v>
      </c>
      <c r="I47" s="11" t="s">
        <v>180</v>
      </c>
    </row>
    <row r="48" spans="6:18">
      <c r="H48" t="s">
        <v>239</v>
      </c>
      <c r="I48" s="11" t="s">
        <v>180</v>
      </c>
    </row>
    <row r="49" spans="8:9">
      <c r="H49" t="s">
        <v>240</v>
      </c>
      <c r="I49" s="11" t="s">
        <v>180</v>
      </c>
    </row>
    <row r="50" spans="8:9">
      <c r="H50" t="s">
        <v>241</v>
      </c>
      <c r="I50" s="11" t="s">
        <v>180</v>
      </c>
    </row>
    <row r="51" spans="8:9">
      <c r="H51" t="s">
        <v>242</v>
      </c>
      <c r="I51" s="11" t="s">
        <v>180</v>
      </c>
    </row>
    <row r="52" spans="8:9">
      <c r="H52" t="s">
        <v>243</v>
      </c>
      <c r="I52" s="11" t="s">
        <v>180</v>
      </c>
    </row>
    <row r="53" spans="8:9">
      <c r="H53" t="s">
        <v>244</v>
      </c>
      <c r="I53" s="11" t="s">
        <v>180</v>
      </c>
    </row>
    <row r="54" spans="8:9">
      <c r="H54" t="s">
        <v>245</v>
      </c>
      <c r="I54" s="11" t="s">
        <v>180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9A5ED5-8AD2-4A0F-ABF8-0C2337C7D28A}"/>
</file>

<file path=customXml/itemProps2.xml><?xml version="1.0" encoding="utf-8"?>
<ds:datastoreItem xmlns:ds="http://schemas.openxmlformats.org/officeDocument/2006/customXml" ds:itemID="{5E7AC516-E585-4EA9-9C53-82749EB91BE1}"/>
</file>

<file path=customXml/itemProps3.xml><?xml version="1.0" encoding="utf-8"?>
<ds:datastoreItem xmlns:ds="http://schemas.openxmlformats.org/officeDocument/2006/customXml" ds:itemID="{49E41538-7357-4F72-A243-9B4C2EC330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Martín Tejada Aguilar</dc:creator>
  <cp:keywords/>
  <dc:description/>
  <cp:lastModifiedBy>Edgar Rojas Flores</cp:lastModifiedBy>
  <cp:revision/>
  <dcterms:created xsi:type="dcterms:W3CDTF">2025-11-26T23:08:57Z</dcterms:created>
  <dcterms:modified xsi:type="dcterms:W3CDTF">2026-03-12T18:51:16Z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