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pivotCache/pivotCacheDefinition5.xml" ContentType="application/vnd.openxmlformats-officedocument.spreadsheetml.pivotCacheDefinition+xml"/>
  <Override PartName="/xl/pivotCache/pivotCacheRecords5.xml" ContentType="application/vnd.openxmlformats-officedocument.spreadsheetml.pivotCacheRecords+xml"/>
  <Override PartName="/xl/pivotCache/pivotCacheDefinition6.xml" ContentType="application/vnd.openxmlformats-officedocument.spreadsheetml.pivotCacheDefinition+xml"/>
  <Override PartName="/xl/pivotCache/pivotCacheRecords6.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tables/table2.xml" ContentType="application/vnd.openxmlformats-officedocument.spreadsheetml.table+xml"/>
  <Override PartName="/xl/comments1.xml" ContentType="application/vnd.openxmlformats-officedocument.spreadsheetml.comments+xml"/>
  <Override PartName="/xl/tables/table3.xml" ContentType="application/vnd.openxmlformats-officedocument.spreadsheetml.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pivotTables/pivotTable9.xml" ContentType="application/vnd.openxmlformats-officedocument.spreadsheetml.pivotTable+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10.xml" ContentType="application/vnd.openxmlformats-officedocument.spreadsheetml.pivotTable+xml"/>
  <Override PartName="/xl/drawings/drawing3.xml" ContentType="application/vnd.openxmlformats-officedocument.drawing+xml"/>
  <Override PartName="/xl/comments5.xml" ContentType="application/vnd.openxmlformats-officedocument.spreadsheetml.comments+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omments6.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17"/>
  <workbookPr/>
  <mc:AlternateContent xmlns:mc="http://schemas.openxmlformats.org/markup-compatibility/2006">
    <mc:Choice Requires="x15">
      <x15ac:absPath xmlns:x15ac="http://schemas.microsoft.com/office/spreadsheetml/2010/11/ac" url="https://ionquieroconfianza.sharepoint.com/sites/ImplementacinReportesRegulatorios/Documentos compartidos/Documentación/Seguimiento PMO/"/>
    </mc:Choice>
  </mc:AlternateContent>
  <xr:revisionPtr revIDLastSave="5080" documentId="13_ncr:1_{07785DF8-465F-492C-8806-760FD91F360A}" xr6:coauthVersionLast="47" xr6:coauthVersionMax="47" xr10:uidLastSave="{4E7A48C9-956E-43C5-92C6-2CB5C86B3D02}"/>
  <bookViews>
    <workbookView xWindow="-120" yWindow="-120" windowWidth="20730" windowHeight="11040" tabRatio="728" firstSheet="11" activeTab="11" xr2:uid="{00000000-000D-0000-FFFF-FFFF00000000}"/>
  </bookViews>
  <sheets>
    <sheet name="pendientes27102025" sheetId="71" r:id="rId1"/>
    <sheet name="Detalle1" sheetId="111" r:id="rId2"/>
    <sheet name="Tesoreria" sheetId="77" r:id="rId3"/>
    <sheet name="Detalle2" sheetId="112" r:id="rId4"/>
    <sheet name="Detalle3" sheetId="115" r:id="rId5"/>
    <sheet name="PRESENTACION" sheetId="95" r:id="rId6"/>
    <sheet name="Resumen Original" sheetId="90" r:id="rId7"/>
    <sheet name="PendContab20260120" sheetId="93" r:id="rId8"/>
    <sheet name="Resumen" sheetId="30" r:id="rId9"/>
    <sheet name="Relacion  (2)" sheetId="107" state="hidden" r:id="rId10"/>
    <sheet name="Relacion  fechas" sheetId="105" state="hidden" r:id="rId11"/>
    <sheet name="Relacion " sheetId="1" r:id="rId12"/>
    <sheet name="revisar" sheetId="109" r:id="rId13"/>
    <sheet name="Plan de Trabajo" sheetId="114" r:id="rId14"/>
    <sheet name="Hoja1" sheetId="116" r:id="rId15"/>
    <sheet name="Hoja3" sheetId="74" r:id="rId16"/>
    <sheet name="STATUS RI" sheetId="110" r:id="rId17"/>
    <sheet name="Catalogos" sheetId="13" r:id="rId18"/>
    <sheet name="av.map Riesgos y Teso" sheetId="113" r:id="rId19"/>
    <sheet name="Pendientes Ops" sheetId="72" r:id="rId20"/>
  </sheets>
  <externalReferences>
    <externalReference r:id="rId21"/>
  </externalReferences>
  <definedNames>
    <definedName name="_xlnm._FilterDatabase" localSheetId="18" hidden="1">'av.map Riesgos y Teso'!$A$2:$I$2</definedName>
    <definedName name="_xlnm._FilterDatabase" localSheetId="14" hidden="1">Hoja1!$B$2:$L$203</definedName>
    <definedName name="_xlnm._FilterDatabase" localSheetId="19" hidden="1">'Pendientes Ops'!$A$1:$G$19</definedName>
    <definedName name="_xlnm._FilterDatabase" localSheetId="13" hidden="1">'Plan de Trabajo'!$B$1:$L$1802</definedName>
    <definedName name="_xlnm._FilterDatabase" localSheetId="11" hidden="1">'Relacion '!$A$4:$EV$205</definedName>
    <definedName name="_xlnm._FilterDatabase" localSheetId="9" hidden="1">'Relacion  (2)'!$A$2:$AY$204</definedName>
    <definedName name="_xlnm._FilterDatabase" localSheetId="10" hidden="1">'Relacion  fechas'!$A$3:$BP$206</definedName>
    <definedName name="_xlnm._FilterDatabase" localSheetId="2" hidden="1">Tesoreria!$A$1:$E$21</definedName>
    <definedName name="_xlnm.Criteria" localSheetId="11">'Relacion '!$Y$5:$Z$24</definedName>
    <definedName name="_xlnm.Criteria" localSheetId="9">'Relacion  (2)'!$V$3:$W$22</definedName>
    <definedName name="_xlnm.Criteria" localSheetId="10">'Relacion  fechas'!$BO$3:$BP$22</definedName>
    <definedName name="Owner" localSheetId="13">[1]Catalogos!$B$2:$B$9</definedName>
    <definedName name="Owner">Catalogos!$B$2:$B$9</definedName>
    <definedName name="Sts_2" localSheetId="13">[1]Catalogos!$G$2:$G$6</definedName>
    <definedName name="Sts_2">Catalogos!$G$2:$G$6</definedName>
    <definedName name="StsAct" localSheetId="13">[1]Catalogos!$D$2:$D$11</definedName>
    <definedName name="StsAct">Catalogos!$D$2:$D$11</definedName>
  </definedNames>
  <calcPr calcId="191028"/>
  <pivotCaches>
    <pivotCache cacheId="129" r:id="rId22"/>
    <pivotCache cacheId="130" r:id="rId23"/>
    <pivotCache cacheId="131" r:id="rId24"/>
    <pivotCache cacheId="132" r:id="rId25"/>
    <pivotCache cacheId="133" r:id="rId26"/>
    <pivotCache cacheId="134" r:id="rId27"/>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L5" i="1" l="1"/>
  <c r="AM5" i="1" s="1"/>
  <c r="AL6" i="1"/>
  <c r="AM6" i="1" s="1"/>
  <c r="N7" i="1"/>
  <c r="AL7" i="1"/>
  <c r="AM7" i="1" s="1"/>
  <c r="N8" i="1"/>
  <c r="AL8" i="1"/>
  <c r="AM8" i="1" s="1"/>
  <c r="N9" i="1"/>
  <c r="AL9" i="1"/>
  <c r="AM9" i="1" s="1"/>
  <c r="N10" i="1"/>
  <c r="AL10" i="1"/>
  <c r="AM10" i="1" s="1"/>
  <c r="AL11" i="1"/>
  <c r="AM11" i="1" s="1"/>
  <c r="AL12" i="1"/>
  <c r="AM12" i="1" s="1"/>
  <c r="AL13" i="1"/>
  <c r="AM13" i="1" s="1"/>
  <c r="AL14" i="1"/>
  <c r="AM14" i="1" s="1"/>
  <c r="AL15" i="1"/>
  <c r="AM15" i="1" s="1"/>
  <c r="AL16" i="1"/>
  <c r="AM16" i="1" s="1"/>
  <c r="AL17" i="1"/>
  <c r="AM17" i="1" s="1"/>
  <c r="N19" i="1"/>
  <c r="AL19" i="1"/>
  <c r="AM19" i="1" s="1"/>
  <c r="N20" i="1"/>
  <c r="AL20" i="1"/>
  <c r="AM20" i="1" s="1"/>
  <c r="N21" i="1"/>
  <c r="N22" i="1"/>
  <c r="N23" i="1"/>
  <c r="N24" i="1"/>
  <c r="N25" i="1"/>
  <c r="N26" i="1"/>
  <c r="N28" i="1"/>
  <c r="AL28" i="1"/>
  <c r="AM28" i="1" s="1"/>
  <c r="AL29" i="1"/>
  <c r="AM29" i="1" s="1"/>
  <c r="AL30" i="1"/>
  <c r="AM30" i="1" s="1"/>
  <c r="AL31" i="1"/>
  <c r="AM31" i="1" s="1"/>
  <c r="N32" i="1"/>
  <c r="AL32" i="1"/>
  <c r="AM32" i="1" s="1"/>
  <c r="AL34" i="1"/>
  <c r="AM34" i="1" s="1"/>
  <c r="N36" i="1"/>
  <c r="AL36" i="1"/>
  <c r="AM36" i="1" s="1"/>
  <c r="N37" i="1"/>
  <c r="AL37" i="1"/>
  <c r="AM37" i="1" s="1"/>
  <c r="AL38" i="1"/>
  <c r="AM38" i="1" s="1"/>
  <c r="N39" i="1"/>
  <c r="AL39" i="1"/>
  <c r="AM39" i="1" s="1"/>
  <c r="N40" i="1"/>
  <c r="AL40" i="1"/>
  <c r="AM40" i="1" s="1"/>
  <c r="AL41" i="1"/>
  <c r="AM41" i="1" s="1"/>
  <c r="AL42" i="1"/>
  <c r="AM42" i="1" s="1"/>
  <c r="N43" i="1"/>
  <c r="AL43" i="1"/>
  <c r="AM43" i="1" s="1"/>
  <c r="AL44" i="1"/>
  <c r="AM44" i="1" s="1"/>
  <c r="N45" i="1"/>
  <c r="AL45" i="1"/>
  <c r="AM45" i="1" s="1"/>
  <c r="N46" i="1"/>
  <c r="AL46" i="1"/>
  <c r="AM46" i="1" s="1"/>
  <c r="AL47" i="1"/>
  <c r="AM47" i="1" s="1"/>
  <c r="N48" i="1"/>
  <c r="AL48" i="1"/>
  <c r="AM48" i="1" s="1"/>
  <c r="AL49" i="1"/>
  <c r="AM49" i="1" s="1"/>
  <c r="N50" i="1"/>
  <c r="AL50" i="1"/>
  <c r="AM50" i="1" s="1"/>
  <c r="AL51" i="1"/>
  <c r="AM51" i="1" s="1"/>
  <c r="AL53" i="1"/>
  <c r="AM53" i="1" s="1"/>
  <c r="N54" i="1"/>
  <c r="AL54" i="1"/>
  <c r="AM54" i="1" s="1"/>
  <c r="AL55" i="1"/>
  <c r="AM55" i="1" s="1"/>
  <c r="AL56" i="1"/>
  <c r="AM56" i="1"/>
  <c r="AL57" i="1"/>
  <c r="AM57" i="1" s="1"/>
  <c r="N58" i="1"/>
  <c r="AL58" i="1"/>
  <c r="AM58" i="1" s="1"/>
  <c r="N59" i="1"/>
  <c r="AL59" i="1"/>
  <c r="AM59" i="1" s="1"/>
  <c r="N60" i="1"/>
  <c r="AL60" i="1"/>
  <c r="AM60" i="1" s="1"/>
  <c r="N61" i="1"/>
  <c r="AL61" i="1"/>
  <c r="AM61" i="1" s="1"/>
  <c r="AL62" i="1"/>
  <c r="AM62" i="1" s="1"/>
  <c r="AL63" i="1"/>
  <c r="AM63" i="1" s="1"/>
  <c r="AL64" i="1"/>
  <c r="AM64" i="1" s="1"/>
  <c r="AL65" i="1"/>
  <c r="AM65" i="1" s="1"/>
  <c r="AL66" i="1"/>
  <c r="AM66" i="1" s="1"/>
  <c r="AL67" i="1"/>
  <c r="AM67" i="1" s="1"/>
  <c r="N68" i="1"/>
  <c r="AL68" i="1"/>
  <c r="AM68" i="1" s="1"/>
  <c r="AL69" i="1"/>
  <c r="AM69" i="1" s="1"/>
  <c r="AL70" i="1"/>
  <c r="AM70" i="1" s="1"/>
  <c r="N71" i="1"/>
  <c r="AL71" i="1"/>
  <c r="AM71" i="1" s="1"/>
  <c r="AL75" i="1"/>
  <c r="AM75" i="1" s="1"/>
  <c r="N76" i="1"/>
  <c r="AL76" i="1"/>
  <c r="AM76" i="1" s="1"/>
  <c r="AL81" i="1"/>
  <c r="AM81" i="1" s="1"/>
  <c r="AL82" i="1"/>
  <c r="AM82" i="1" s="1"/>
  <c r="AJ85" i="1"/>
  <c r="AK85" i="1" s="1"/>
  <c r="AL86" i="1"/>
  <c r="AM86" i="1" s="1"/>
  <c r="AL87" i="1"/>
  <c r="AM87" i="1" s="1"/>
  <c r="AL88" i="1"/>
  <c r="AM88" i="1" s="1"/>
  <c r="N91" i="1"/>
  <c r="AL91" i="1"/>
  <c r="AM91" i="1" s="1"/>
  <c r="AL92" i="1"/>
  <c r="AM92" i="1" s="1"/>
  <c r="AL93" i="1"/>
  <c r="AM93" i="1" s="1"/>
  <c r="AL94" i="1"/>
  <c r="AM94" i="1" s="1"/>
  <c r="AL95" i="1"/>
  <c r="AM95" i="1" s="1"/>
  <c r="AL96" i="1"/>
  <c r="AM96" i="1" s="1"/>
  <c r="AL97" i="1"/>
  <c r="AM97" i="1" s="1"/>
  <c r="AL98" i="1"/>
  <c r="AM98" i="1"/>
  <c r="AL99" i="1"/>
  <c r="AM99" i="1" s="1"/>
  <c r="AL100" i="1"/>
  <c r="AM100" i="1" s="1"/>
  <c r="AL101" i="1"/>
  <c r="AM101" i="1" s="1"/>
  <c r="AL104" i="1"/>
  <c r="AM104" i="1" s="1"/>
  <c r="AL105" i="1"/>
  <c r="AM105" i="1" s="1"/>
  <c r="AL108" i="1"/>
  <c r="AM108" i="1"/>
  <c r="AL110" i="1"/>
  <c r="AM110" i="1" s="1"/>
  <c r="AL113" i="1"/>
  <c r="AM113" i="1" s="1"/>
  <c r="AL115" i="1"/>
  <c r="AM115" i="1" s="1"/>
  <c r="AL116" i="1"/>
  <c r="AM116" i="1" s="1"/>
  <c r="AL117" i="1"/>
  <c r="AM117" i="1" s="1"/>
  <c r="AL118" i="1"/>
  <c r="AM118" i="1" s="1"/>
  <c r="AL122" i="1"/>
  <c r="AM122" i="1" s="1"/>
  <c r="AL123" i="1"/>
  <c r="AM123" i="1" s="1"/>
  <c r="AL124" i="1"/>
  <c r="AM124" i="1" s="1"/>
  <c r="AL125" i="1"/>
  <c r="AM125" i="1" s="1"/>
  <c r="AL126" i="1"/>
  <c r="AM126" i="1" s="1"/>
  <c r="AL127" i="1"/>
  <c r="AM127" i="1" s="1"/>
  <c r="N128" i="1"/>
  <c r="AL128" i="1"/>
  <c r="AM128" i="1" s="1"/>
  <c r="N129" i="1"/>
  <c r="AL129" i="1"/>
  <c r="AM129" i="1" s="1"/>
  <c r="AL130" i="1"/>
  <c r="AM130" i="1" s="1"/>
  <c r="AL131" i="1"/>
  <c r="AM131" i="1" s="1"/>
  <c r="AL132" i="1"/>
  <c r="AM132" i="1" s="1"/>
  <c r="N133" i="1"/>
  <c r="AL133" i="1"/>
  <c r="AM133" i="1" s="1"/>
  <c r="N134" i="1"/>
  <c r="AL134" i="1"/>
  <c r="AM134" i="1" s="1"/>
  <c r="AL135" i="1"/>
  <c r="AM135" i="1" s="1"/>
  <c r="AL136" i="1"/>
  <c r="AM136" i="1"/>
  <c r="AL137" i="1"/>
  <c r="AM137" i="1" s="1"/>
  <c r="N138" i="1"/>
  <c r="AL138" i="1"/>
  <c r="AM138" i="1" s="1"/>
  <c r="AL139" i="1"/>
  <c r="AM139" i="1" s="1"/>
  <c r="N140" i="1"/>
  <c r="AL140" i="1"/>
  <c r="AM140" i="1" s="1"/>
  <c r="N142" i="1"/>
  <c r="AL142" i="1"/>
  <c r="AM142" i="1" s="1"/>
  <c r="AL143" i="1"/>
  <c r="AM143" i="1" s="1"/>
  <c r="N144" i="1"/>
  <c r="AL144" i="1"/>
  <c r="AM144" i="1" s="1"/>
  <c r="AL145" i="1"/>
  <c r="AM145" i="1" s="1"/>
  <c r="AL147" i="1"/>
  <c r="AM147" i="1" s="1"/>
  <c r="AL148" i="1"/>
  <c r="AM148" i="1" s="1"/>
  <c r="AL150" i="1"/>
  <c r="AM150" i="1"/>
  <c r="AL151" i="1"/>
  <c r="AM151" i="1" s="1"/>
  <c r="AL152" i="1"/>
  <c r="AM152" i="1" s="1"/>
  <c r="AL153" i="1"/>
  <c r="AM153" i="1" s="1"/>
  <c r="AL154" i="1"/>
  <c r="AM154" i="1" s="1"/>
  <c r="N155" i="1"/>
  <c r="AL155" i="1"/>
  <c r="AM155" i="1" s="1"/>
  <c r="AL156" i="1"/>
  <c r="AM156" i="1" s="1"/>
  <c r="N157" i="1"/>
  <c r="AL157" i="1"/>
  <c r="AM157" i="1" s="1"/>
  <c r="AL158" i="1"/>
  <c r="AM158" i="1" s="1"/>
  <c r="N161" i="1"/>
  <c r="AL161" i="1"/>
  <c r="AM161" i="1" s="1"/>
  <c r="N162" i="1"/>
  <c r="AL162" i="1"/>
  <c r="AM162" i="1" s="1"/>
  <c r="AL163" i="1"/>
  <c r="AM163" i="1" s="1"/>
  <c r="AL164" i="1"/>
  <c r="AM164" i="1" s="1"/>
  <c r="AL165" i="1"/>
  <c r="AM165" i="1" s="1"/>
  <c r="AL166" i="1"/>
  <c r="AM166" i="1" s="1"/>
  <c r="AL167" i="1"/>
  <c r="AM167" i="1" s="1"/>
  <c r="AL168" i="1"/>
  <c r="AM168" i="1" s="1"/>
  <c r="AL169" i="1"/>
  <c r="AM169" i="1" s="1"/>
  <c r="AL170" i="1"/>
  <c r="AM170" i="1" s="1"/>
  <c r="AL171" i="1"/>
  <c r="AM171" i="1" s="1"/>
  <c r="AL172" i="1"/>
  <c r="AM172" i="1" s="1"/>
  <c r="AL173" i="1"/>
  <c r="AM173" i="1" s="1"/>
  <c r="AL174" i="1"/>
  <c r="AM174" i="1" s="1"/>
  <c r="AL175" i="1"/>
  <c r="AM175" i="1" s="1"/>
  <c r="AL176" i="1"/>
  <c r="AM176" i="1" s="1"/>
  <c r="AL177" i="1"/>
  <c r="AM177" i="1" s="1"/>
  <c r="AL178" i="1"/>
  <c r="AM178" i="1" s="1"/>
  <c r="AL179" i="1"/>
  <c r="AM179" i="1" s="1"/>
  <c r="AL180" i="1"/>
  <c r="AM180" i="1" s="1"/>
  <c r="AL181" i="1"/>
  <c r="AM181" i="1" s="1"/>
  <c r="AL182" i="1"/>
  <c r="AM182" i="1" s="1"/>
  <c r="AL183" i="1"/>
  <c r="AM183" i="1" s="1"/>
  <c r="AL184" i="1"/>
  <c r="AM184" i="1" s="1"/>
  <c r="AL185" i="1"/>
  <c r="AM185" i="1" s="1"/>
  <c r="AL186" i="1"/>
  <c r="AM186" i="1" s="1"/>
  <c r="AL187" i="1"/>
  <c r="AM187" i="1" s="1"/>
  <c r="AL188" i="1"/>
  <c r="AM188" i="1" s="1"/>
  <c r="AL189" i="1"/>
  <c r="AM189" i="1" s="1"/>
  <c r="AL190" i="1"/>
  <c r="AM190" i="1" s="1"/>
  <c r="AL191" i="1"/>
  <c r="AM191" i="1" s="1"/>
  <c r="AL192" i="1"/>
  <c r="AM192" i="1" s="1"/>
  <c r="AL193" i="1"/>
  <c r="AM193" i="1" s="1"/>
  <c r="AL194" i="1"/>
  <c r="AM194" i="1" s="1"/>
  <c r="AL195" i="1"/>
  <c r="AM195" i="1" s="1"/>
  <c r="AL196" i="1"/>
  <c r="AM196" i="1" s="1"/>
  <c r="AL197" i="1"/>
  <c r="AM197" i="1" s="1"/>
  <c r="AL198" i="1"/>
  <c r="AM198" i="1"/>
  <c r="AL199" i="1"/>
  <c r="AM199" i="1" s="1"/>
  <c r="AL200" i="1"/>
  <c r="AM200" i="1" s="1"/>
  <c r="H12" i="114" a="1"/>
  <c r="H12" i="114" s="1"/>
  <c r="H6" i="114" a="1"/>
  <c r="H6" i="114" s="1"/>
  <c r="L203" i="116"/>
  <c r="K203" i="116"/>
  <c r="J203" i="116"/>
  <c r="I203" i="116"/>
  <c r="H203" i="116"/>
  <c r="G203" i="116" a="1"/>
  <c r="G203" i="116" s="1"/>
  <c r="F203" i="116" a="1"/>
  <c r="F203" i="116" s="1"/>
  <c r="D203" i="116"/>
  <c r="L202" i="116"/>
  <c r="K202" i="116"/>
  <c r="J202" i="116"/>
  <c r="G202" i="116" a="1"/>
  <c r="G202" i="116" s="1"/>
  <c r="F202" i="116" a="1"/>
  <c r="F202" i="116" s="1"/>
  <c r="D202" i="116"/>
  <c r="L201" i="116"/>
  <c r="K201" i="116"/>
  <c r="J201" i="116"/>
  <c r="G201" i="116" a="1"/>
  <c r="G201" i="116" s="1"/>
  <c r="F201" i="116" a="1"/>
  <c r="F201" i="116" s="1"/>
  <c r="D201" i="116"/>
  <c r="L200" i="116"/>
  <c r="K200" i="116"/>
  <c r="J200" i="116"/>
  <c r="G200" i="116" a="1"/>
  <c r="G200" i="116" s="1"/>
  <c r="F200" i="116" a="1"/>
  <c r="F200" i="116" s="1"/>
  <c r="D200" i="116"/>
  <c r="L199" i="116"/>
  <c r="K199" i="116"/>
  <c r="J199" i="116"/>
  <c r="G199" i="116" a="1"/>
  <c r="G199" i="116" s="1"/>
  <c r="F199" i="116" a="1"/>
  <c r="F199" i="116" s="1"/>
  <c r="D199" i="116"/>
  <c r="L198" i="116"/>
  <c r="K198" i="116"/>
  <c r="J198" i="116"/>
  <c r="G198" i="116" a="1"/>
  <c r="G198" i="116" s="1"/>
  <c r="F198" i="116" a="1"/>
  <c r="F198" i="116" s="1"/>
  <c r="D198" i="116"/>
  <c r="L197" i="116"/>
  <c r="K197" i="116"/>
  <c r="J197" i="116"/>
  <c r="G197" i="116" a="1"/>
  <c r="G197" i="116" s="1"/>
  <c r="F197" i="116" a="1"/>
  <c r="F197" i="116" s="1"/>
  <c r="D197" i="116"/>
  <c r="L196" i="116"/>
  <c r="K196" i="116"/>
  <c r="J196" i="116"/>
  <c r="G196" i="116" a="1"/>
  <c r="G196" i="116" s="1"/>
  <c r="F196" i="116" a="1"/>
  <c r="F196" i="116" s="1"/>
  <c r="D196" i="116"/>
  <c r="L195" i="116"/>
  <c r="K195" i="116"/>
  <c r="J195" i="116"/>
  <c r="D195" i="116"/>
  <c r="L194" i="116"/>
  <c r="K194" i="116"/>
  <c r="J194" i="116"/>
  <c r="D194" i="116"/>
  <c r="L193" i="116"/>
  <c r="K193" i="116"/>
  <c r="J193" i="116"/>
  <c r="D193" i="116"/>
  <c r="L192" i="116"/>
  <c r="K192" i="116"/>
  <c r="J192" i="116"/>
  <c r="D192" i="116"/>
  <c r="L191" i="116"/>
  <c r="K191" i="116"/>
  <c r="J191" i="116"/>
  <c r="D191" i="116"/>
  <c r="L190" i="116"/>
  <c r="K190" i="116"/>
  <c r="J190" i="116"/>
  <c r="D190" i="116"/>
  <c r="L189" i="116"/>
  <c r="K189" i="116"/>
  <c r="J189" i="116"/>
  <c r="D189" i="116"/>
  <c r="L188" i="116"/>
  <c r="K188" i="116"/>
  <c r="J188" i="116"/>
  <c r="D188" i="116"/>
  <c r="L187" i="116"/>
  <c r="K187" i="116"/>
  <c r="J187" i="116"/>
  <c r="D187" i="116"/>
  <c r="L186" i="116"/>
  <c r="K186" i="116"/>
  <c r="J186" i="116"/>
  <c r="D186" i="116"/>
  <c r="L185" i="116"/>
  <c r="K185" i="116"/>
  <c r="J185" i="116"/>
  <c r="D185" i="116"/>
  <c r="L184" i="116"/>
  <c r="K184" i="116"/>
  <c r="J184" i="116"/>
  <c r="D184" i="116"/>
  <c r="L183" i="116"/>
  <c r="K183" i="116"/>
  <c r="J183" i="116"/>
  <c r="D183" i="116"/>
  <c r="L182" i="116"/>
  <c r="K182" i="116"/>
  <c r="J182" i="116"/>
  <c r="D182" i="116"/>
  <c r="L181" i="116"/>
  <c r="K181" i="116"/>
  <c r="J181" i="116"/>
  <c r="D181" i="116"/>
  <c r="L180" i="116"/>
  <c r="K180" i="116"/>
  <c r="J180" i="116"/>
  <c r="D180" i="116"/>
  <c r="L179" i="116"/>
  <c r="K179" i="116"/>
  <c r="J179" i="116"/>
  <c r="D179" i="116"/>
  <c r="L178" i="116"/>
  <c r="K178" i="116"/>
  <c r="J178" i="116"/>
  <c r="D178" i="116"/>
  <c r="L177" i="116"/>
  <c r="K177" i="116"/>
  <c r="J177" i="116"/>
  <c r="D177" i="116"/>
  <c r="L176" i="116"/>
  <c r="K176" i="116"/>
  <c r="J176" i="116"/>
  <c r="D176" i="116"/>
  <c r="L175" i="116"/>
  <c r="K175" i="116"/>
  <c r="J175" i="116"/>
  <c r="D175" i="116"/>
  <c r="L174" i="116"/>
  <c r="K174" i="116"/>
  <c r="J174" i="116"/>
  <c r="D174" i="116"/>
  <c r="L173" i="116"/>
  <c r="K173" i="116"/>
  <c r="J173" i="116"/>
  <c r="D173" i="116"/>
  <c r="L172" i="116"/>
  <c r="K172" i="116"/>
  <c r="J172" i="116"/>
  <c r="D172" i="116"/>
  <c r="L171" i="116"/>
  <c r="K171" i="116"/>
  <c r="J171" i="116"/>
  <c r="D171" i="116"/>
  <c r="L170" i="116"/>
  <c r="K170" i="116"/>
  <c r="J170" i="116"/>
  <c r="D170" i="116"/>
  <c r="L169" i="116"/>
  <c r="K169" i="116"/>
  <c r="J169" i="116"/>
  <c r="D169" i="116"/>
  <c r="L168" i="116"/>
  <c r="K168" i="116"/>
  <c r="J168" i="116"/>
  <c r="D168" i="116"/>
  <c r="L167" i="116"/>
  <c r="K167" i="116"/>
  <c r="J167" i="116"/>
  <c r="D167" i="116"/>
  <c r="L166" i="116"/>
  <c r="K166" i="116"/>
  <c r="J166" i="116"/>
  <c r="D166" i="116"/>
  <c r="L165" i="116"/>
  <c r="K165" i="116"/>
  <c r="J165" i="116"/>
  <c r="D165" i="116"/>
  <c r="L164" i="116"/>
  <c r="K164" i="116"/>
  <c r="J164" i="116"/>
  <c r="D164" i="116"/>
  <c r="L163" i="116"/>
  <c r="K163" i="116"/>
  <c r="J163" i="116"/>
  <c r="D163" i="116"/>
  <c r="L162" i="116"/>
  <c r="K162" i="116"/>
  <c r="J162" i="116"/>
  <c r="D162" i="116"/>
  <c r="L161" i="116"/>
  <c r="K161" i="116"/>
  <c r="J161" i="116"/>
  <c r="D161" i="116"/>
  <c r="L160" i="116"/>
  <c r="K160" i="116"/>
  <c r="J160" i="116"/>
  <c r="D160" i="116"/>
  <c r="L159" i="116"/>
  <c r="K159" i="116"/>
  <c r="J159" i="116"/>
  <c r="D159" i="116"/>
  <c r="L158" i="116"/>
  <c r="K158" i="116"/>
  <c r="J158" i="116"/>
  <c r="D158" i="116"/>
  <c r="L157" i="116"/>
  <c r="K157" i="116"/>
  <c r="J157" i="116"/>
  <c r="D157" i="116"/>
  <c r="L156" i="116"/>
  <c r="K156" i="116"/>
  <c r="J156" i="116"/>
  <c r="D156" i="116"/>
  <c r="L155" i="116"/>
  <c r="K155" i="116"/>
  <c r="J155" i="116"/>
  <c r="D155" i="116"/>
  <c r="L154" i="116"/>
  <c r="K154" i="116"/>
  <c r="J154" i="116"/>
  <c r="D154" i="116"/>
  <c r="L153" i="116"/>
  <c r="K153" i="116"/>
  <c r="J153" i="116"/>
  <c r="D153" i="116"/>
  <c r="L152" i="116"/>
  <c r="K152" i="116"/>
  <c r="J152" i="116"/>
  <c r="D152" i="116"/>
  <c r="L151" i="116"/>
  <c r="K151" i="116"/>
  <c r="J151" i="116"/>
  <c r="G151" i="116" a="1"/>
  <c r="G151" i="116" s="1"/>
  <c r="F151" i="116" a="1"/>
  <c r="F151" i="116" s="1"/>
  <c r="E151" i="116"/>
  <c r="D151" i="116"/>
  <c r="L150" i="116"/>
  <c r="K150" i="116"/>
  <c r="J150" i="116"/>
  <c r="G150" i="116" a="1"/>
  <c r="G150" i="116" s="1"/>
  <c r="F150" i="116" a="1"/>
  <c r="F150" i="116" s="1"/>
  <c r="D150" i="116"/>
  <c r="L149" i="116"/>
  <c r="K149" i="116"/>
  <c r="J149" i="116"/>
  <c r="D149" i="116"/>
  <c r="L148" i="116"/>
  <c r="K148" i="116"/>
  <c r="J148" i="116"/>
  <c r="D148" i="116"/>
  <c r="L147" i="116"/>
  <c r="K147" i="116"/>
  <c r="J147" i="116"/>
  <c r="D147" i="116"/>
  <c r="L146" i="116"/>
  <c r="K146" i="116"/>
  <c r="J146" i="116"/>
  <c r="D146" i="116"/>
  <c r="L145" i="116"/>
  <c r="K145" i="116"/>
  <c r="J145" i="116"/>
  <c r="D145" i="116"/>
  <c r="L144" i="116"/>
  <c r="K144" i="116"/>
  <c r="J144" i="116"/>
  <c r="D144" i="116"/>
  <c r="L143" i="116"/>
  <c r="K143" i="116"/>
  <c r="J143" i="116"/>
  <c r="D143" i="116"/>
  <c r="L142" i="116"/>
  <c r="K142" i="116"/>
  <c r="J142" i="116"/>
  <c r="D142" i="116"/>
  <c r="L141" i="116"/>
  <c r="K141" i="116"/>
  <c r="J141" i="116"/>
  <c r="D141" i="116"/>
  <c r="L140" i="116"/>
  <c r="K140" i="116"/>
  <c r="J140" i="116"/>
  <c r="D140" i="116"/>
  <c r="L139" i="116"/>
  <c r="K139" i="116"/>
  <c r="J139" i="116"/>
  <c r="D139" i="116"/>
  <c r="L138" i="116"/>
  <c r="K138" i="116"/>
  <c r="J138" i="116"/>
  <c r="D138" i="116"/>
  <c r="L137" i="116"/>
  <c r="K137" i="116"/>
  <c r="J137" i="116"/>
  <c r="D137" i="116"/>
  <c r="L136" i="116"/>
  <c r="K136" i="116"/>
  <c r="J136" i="116"/>
  <c r="D136" i="116"/>
  <c r="L135" i="116"/>
  <c r="K135" i="116"/>
  <c r="J135" i="116"/>
  <c r="D135" i="116"/>
  <c r="L134" i="116"/>
  <c r="K134" i="116"/>
  <c r="J134" i="116"/>
  <c r="D134" i="116"/>
  <c r="L133" i="116"/>
  <c r="K133" i="116"/>
  <c r="J133" i="116"/>
  <c r="D133" i="116"/>
  <c r="L132" i="116"/>
  <c r="K132" i="116"/>
  <c r="J132" i="116"/>
  <c r="D132" i="116"/>
  <c r="L131" i="116"/>
  <c r="K131" i="116"/>
  <c r="J131" i="116"/>
  <c r="D131" i="116"/>
  <c r="L130" i="116"/>
  <c r="K130" i="116"/>
  <c r="J130" i="116"/>
  <c r="D130" i="116"/>
  <c r="L129" i="116"/>
  <c r="K129" i="116"/>
  <c r="J129" i="116"/>
  <c r="D129" i="116"/>
  <c r="L128" i="116"/>
  <c r="K128" i="116"/>
  <c r="J128" i="116"/>
  <c r="D128" i="116"/>
  <c r="L127" i="116"/>
  <c r="K127" i="116"/>
  <c r="J127" i="116"/>
  <c r="D127" i="116"/>
  <c r="L126" i="116"/>
  <c r="K126" i="116"/>
  <c r="J126" i="116"/>
  <c r="D126" i="116"/>
  <c r="L125" i="116"/>
  <c r="K125" i="116"/>
  <c r="J125" i="116"/>
  <c r="D125" i="116"/>
  <c r="L124" i="116"/>
  <c r="K124" i="116"/>
  <c r="J124" i="116"/>
  <c r="D124" i="116"/>
  <c r="L123" i="116"/>
  <c r="K123" i="116"/>
  <c r="J123" i="116"/>
  <c r="D123" i="116"/>
  <c r="L122" i="116"/>
  <c r="K122" i="116"/>
  <c r="J122" i="116"/>
  <c r="D122" i="116"/>
  <c r="L121" i="116"/>
  <c r="K121" i="116"/>
  <c r="J121" i="116"/>
  <c r="D121" i="116"/>
  <c r="L120" i="116"/>
  <c r="K120" i="116"/>
  <c r="J120" i="116"/>
  <c r="D120" i="116"/>
  <c r="L119" i="116"/>
  <c r="K119" i="116"/>
  <c r="J119" i="116"/>
  <c r="D119" i="116"/>
  <c r="L118" i="116"/>
  <c r="K118" i="116"/>
  <c r="J118" i="116"/>
  <c r="D118" i="116"/>
  <c r="L117" i="116"/>
  <c r="K117" i="116"/>
  <c r="J117" i="116"/>
  <c r="D117" i="116"/>
  <c r="L116" i="116"/>
  <c r="K116" i="116"/>
  <c r="J116" i="116"/>
  <c r="G116" i="116" a="1"/>
  <c r="G116" i="116" s="1"/>
  <c r="F116" i="116" a="1"/>
  <c r="F116" i="116" s="1"/>
  <c r="D116" i="116"/>
  <c r="L115" i="116"/>
  <c r="K115" i="116"/>
  <c r="J115" i="116"/>
  <c r="G115" i="116" a="1"/>
  <c r="G115" i="116" s="1"/>
  <c r="F115" i="116" a="1"/>
  <c r="F115" i="116" s="1"/>
  <c r="D115" i="116"/>
  <c r="L114" i="116"/>
  <c r="K114" i="116"/>
  <c r="J114" i="116"/>
  <c r="G114" i="116" a="1"/>
  <c r="G114" i="116" s="1"/>
  <c r="F114" i="116" a="1"/>
  <c r="F114" i="116" s="1"/>
  <c r="D114" i="116"/>
  <c r="L113" i="116"/>
  <c r="K113" i="116"/>
  <c r="J113" i="116"/>
  <c r="D113" i="116"/>
  <c r="L112" i="116"/>
  <c r="K112" i="116"/>
  <c r="J112" i="116"/>
  <c r="D112" i="116"/>
  <c r="L111" i="116"/>
  <c r="K111" i="116"/>
  <c r="J111" i="116"/>
  <c r="D111" i="116"/>
  <c r="L110" i="116"/>
  <c r="K110" i="116"/>
  <c r="J110" i="116"/>
  <c r="D110" i="116"/>
  <c r="L109" i="116"/>
  <c r="K109" i="116"/>
  <c r="J109" i="116"/>
  <c r="G109" i="116" a="1"/>
  <c r="G109" i="116" s="1"/>
  <c r="F109" i="116" a="1"/>
  <c r="F109" i="116" s="1"/>
  <c r="D109" i="116"/>
  <c r="L108" i="116"/>
  <c r="K108" i="116"/>
  <c r="J108" i="116"/>
  <c r="G108" i="116" a="1"/>
  <c r="G108" i="116" s="1"/>
  <c r="F108" i="116" a="1"/>
  <c r="F108" i="116" s="1"/>
  <c r="D108" i="116"/>
  <c r="L107" i="116"/>
  <c r="K107" i="116"/>
  <c r="J107" i="116"/>
  <c r="G107" i="116" a="1"/>
  <c r="G107" i="116" s="1"/>
  <c r="F107" i="116" a="1"/>
  <c r="F107" i="116" s="1"/>
  <c r="D107" i="116"/>
  <c r="L106" i="116"/>
  <c r="K106" i="116"/>
  <c r="J106" i="116"/>
  <c r="G106" i="116" a="1"/>
  <c r="G106" i="116" s="1"/>
  <c r="F106" i="116" a="1"/>
  <c r="F106" i="116" s="1"/>
  <c r="D106" i="116"/>
  <c r="L105" i="116"/>
  <c r="K105" i="116"/>
  <c r="J105" i="116"/>
  <c r="G105" i="116" a="1"/>
  <c r="G105" i="116" s="1"/>
  <c r="F105" i="116" a="1"/>
  <c r="F105" i="116" s="1"/>
  <c r="D105" i="116"/>
  <c r="L104" i="116"/>
  <c r="K104" i="116"/>
  <c r="J104" i="116"/>
  <c r="G104" i="116" a="1"/>
  <c r="G104" i="116" s="1"/>
  <c r="F104" i="116" a="1"/>
  <c r="F104" i="116" s="1"/>
  <c r="D104" i="116"/>
  <c r="L103" i="116"/>
  <c r="K103" i="116"/>
  <c r="J103" i="116"/>
  <c r="D103" i="116"/>
  <c r="L102" i="116"/>
  <c r="K102" i="116"/>
  <c r="J102" i="116"/>
  <c r="D102" i="116"/>
  <c r="L101" i="116"/>
  <c r="K101" i="116"/>
  <c r="J101" i="116"/>
  <c r="G101" i="116" a="1"/>
  <c r="G101" i="116" s="1"/>
  <c r="F101" i="116" a="1"/>
  <c r="F101" i="116" s="1"/>
  <c r="D101" i="116"/>
  <c r="L100" i="116"/>
  <c r="K100" i="116"/>
  <c r="J100" i="116"/>
  <c r="G100" i="116" a="1"/>
  <c r="G100" i="116" s="1"/>
  <c r="F100" i="116" a="1"/>
  <c r="F100" i="116" s="1"/>
  <c r="E100" i="116" s="1"/>
  <c r="D100" i="116"/>
  <c r="L99" i="116"/>
  <c r="K99" i="116"/>
  <c r="J99" i="116"/>
  <c r="G99" i="116" a="1"/>
  <c r="G99" i="116" s="1"/>
  <c r="F99" i="116" a="1"/>
  <c r="F99" i="116" s="1"/>
  <c r="D99" i="116"/>
  <c r="L98" i="116"/>
  <c r="K98" i="116"/>
  <c r="J98" i="116"/>
  <c r="D98" i="116"/>
  <c r="L97" i="116"/>
  <c r="K97" i="116"/>
  <c r="J97" i="116"/>
  <c r="G97" i="116" a="1"/>
  <c r="G97" i="116" s="1"/>
  <c r="F97" i="116" a="1"/>
  <c r="F97" i="116" s="1"/>
  <c r="D97" i="116"/>
  <c r="L96" i="116"/>
  <c r="K96" i="116"/>
  <c r="J96" i="116"/>
  <c r="D96" i="116"/>
  <c r="L95" i="116"/>
  <c r="K95" i="116"/>
  <c r="J95" i="116"/>
  <c r="G95" i="116" a="1"/>
  <c r="G95" i="116" s="1"/>
  <c r="F95" i="116" a="1"/>
  <c r="F95" i="116" s="1"/>
  <c r="D95" i="116"/>
  <c r="L94" i="116"/>
  <c r="K94" i="116"/>
  <c r="J94" i="116"/>
  <c r="G94" i="116" a="1"/>
  <c r="G94" i="116" s="1"/>
  <c r="F94" i="116" a="1"/>
  <c r="F94" i="116" s="1"/>
  <c r="D94" i="116"/>
  <c r="L93" i="116"/>
  <c r="K93" i="116"/>
  <c r="J93" i="116"/>
  <c r="G93" i="116" a="1"/>
  <c r="G93" i="116" s="1"/>
  <c r="F93" i="116" a="1"/>
  <c r="F93" i="116" s="1"/>
  <c r="D93" i="116"/>
  <c r="L92" i="116"/>
  <c r="K92" i="116"/>
  <c r="J92" i="116"/>
  <c r="G92" i="116" a="1"/>
  <c r="G92" i="116" s="1"/>
  <c r="F92" i="116" a="1"/>
  <c r="F92" i="116" s="1"/>
  <c r="D92" i="116"/>
  <c r="L91" i="116"/>
  <c r="K91" i="116"/>
  <c r="J91" i="116"/>
  <c r="G91" i="116" a="1"/>
  <c r="G91" i="116" s="1"/>
  <c r="F91" i="116" a="1"/>
  <c r="F91" i="116" s="1"/>
  <c r="D91" i="116"/>
  <c r="L90" i="116"/>
  <c r="K90" i="116"/>
  <c r="J90" i="116"/>
  <c r="G90" i="116" a="1"/>
  <c r="G90" i="116" s="1"/>
  <c r="F90" i="116" a="1"/>
  <c r="F90" i="116" s="1"/>
  <c r="D90" i="116"/>
  <c r="L89" i="116"/>
  <c r="K89" i="116"/>
  <c r="J89" i="116"/>
  <c r="D89" i="116"/>
  <c r="L88" i="116"/>
  <c r="K88" i="116"/>
  <c r="J88" i="116"/>
  <c r="G88" i="116" a="1"/>
  <c r="G88" i="116" s="1"/>
  <c r="F88" i="116" a="1"/>
  <c r="F88" i="116" s="1"/>
  <c r="D88" i="116"/>
  <c r="L87" i="116"/>
  <c r="K87" i="116"/>
  <c r="J87" i="116"/>
  <c r="G87" i="116" a="1"/>
  <c r="G87" i="116" s="1"/>
  <c r="F87" i="116" a="1"/>
  <c r="F87" i="116" s="1"/>
  <c r="D87" i="116"/>
  <c r="L86" i="116"/>
  <c r="K86" i="116"/>
  <c r="J86" i="116"/>
  <c r="D86" i="116"/>
  <c r="L85" i="116"/>
  <c r="K85" i="116"/>
  <c r="J85" i="116"/>
  <c r="D85" i="116"/>
  <c r="L84" i="116"/>
  <c r="K84" i="116"/>
  <c r="J84" i="116"/>
  <c r="D84" i="116"/>
  <c r="L83" i="116"/>
  <c r="K83" i="116"/>
  <c r="J83" i="116"/>
  <c r="D83" i="116"/>
  <c r="L82" i="116"/>
  <c r="K82" i="116"/>
  <c r="J82" i="116"/>
  <c r="D82" i="116"/>
  <c r="L81" i="116"/>
  <c r="K81" i="116"/>
  <c r="J81" i="116"/>
  <c r="G81" i="116" a="1"/>
  <c r="G81" i="116" s="1"/>
  <c r="F81" i="116" a="1"/>
  <c r="F81" i="116" s="1"/>
  <c r="D81" i="116"/>
  <c r="L80" i="116"/>
  <c r="K80" i="116"/>
  <c r="J80" i="116"/>
  <c r="D80" i="116"/>
  <c r="L79" i="116"/>
  <c r="K79" i="116"/>
  <c r="J79" i="116"/>
  <c r="D79" i="116"/>
  <c r="L78" i="116"/>
  <c r="K78" i="116"/>
  <c r="J78" i="116"/>
  <c r="G78" i="116" a="1"/>
  <c r="G78" i="116" s="1"/>
  <c r="F78" i="116" a="1"/>
  <c r="F78" i="116" s="1"/>
  <c r="D78" i="116"/>
  <c r="L77" i="116"/>
  <c r="K77" i="116"/>
  <c r="J77" i="116"/>
  <c r="D77" i="116"/>
  <c r="L76" i="116"/>
  <c r="K76" i="116"/>
  <c r="J76" i="116"/>
  <c r="G76" i="116" a="1"/>
  <c r="G76" i="116" s="1"/>
  <c r="F76" i="116" a="1"/>
  <c r="F76" i="116" s="1"/>
  <c r="D76" i="116"/>
  <c r="L75" i="116"/>
  <c r="K75" i="116"/>
  <c r="J75" i="116"/>
  <c r="G75" i="116" a="1"/>
  <c r="G75" i="116" s="1"/>
  <c r="F75" i="116" a="1"/>
  <c r="F75" i="116" s="1"/>
  <c r="D75" i="116"/>
  <c r="L74" i="116"/>
  <c r="K74" i="116"/>
  <c r="J74" i="116"/>
  <c r="G74" i="116" a="1"/>
  <c r="G74" i="116" s="1"/>
  <c r="F74" i="116" a="1"/>
  <c r="F74" i="116" s="1"/>
  <c r="D74" i="116"/>
  <c r="L73" i="116"/>
  <c r="K73" i="116"/>
  <c r="J73" i="116"/>
  <c r="D73" i="116"/>
  <c r="L72" i="116"/>
  <c r="K72" i="116"/>
  <c r="J72" i="116"/>
  <c r="G72" i="116" a="1"/>
  <c r="G72" i="116" s="1"/>
  <c r="F72" i="116" a="1"/>
  <c r="F72" i="116" s="1"/>
  <c r="D72" i="116"/>
  <c r="L71" i="116"/>
  <c r="K71" i="116"/>
  <c r="J71" i="116"/>
  <c r="D71" i="116"/>
  <c r="L70" i="116"/>
  <c r="K70" i="116"/>
  <c r="J70" i="116"/>
  <c r="G70" i="116" a="1"/>
  <c r="G70" i="116" s="1"/>
  <c r="F70" i="116" a="1"/>
  <c r="F70" i="116" s="1"/>
  <c r="D70" i="116"/>
  <c r="L69" i="116"/>
  <c r="K69" i="116"/>
  <c r="J69" i="116"/>
  <c r="D69" i="116"/>
  <c r="L68" i="116"/>
  <c r="K68" i="116"/>
  <c r="J68" i="116"/>
  <c r="G68" i="116" a="1"/>
  <c r="G68" i="116" s="1"/>
  <c r="F68" i="116" a="1"/>
  <c r="F68" i="116" s="1"/>
  <c r="D68" i="116"/>
  <c r="L67" i="116"/>
  <c r="K67" i="116"/>
  <c r="J67" i="116"/>
  <c r="D67" i="116"/>
  <c r="L66" i="116"/>
  <c r="K66" i="116"/>
  <c r="J66" i="116"/>
  <c r="D66" i="116"/>
  <c r="L65" i="116"/>
  <c r="K65" i="116"/>
  <c r="J65" i="116"/>
  <c r="D65" i="116"/>
  <c r="L64" i="116"/>
  <c r="K64" i="116"/>
  <c r="J64" i="116"/>
  <c r="D64" i="116"/>
  <c r="L63" i="116"/>
  <c r="K63" i="116"/>
  <c r="J63" i="116"/>
  <c r="D63" i="116"/>
  <c r="L62" i="116"/>
  <c r="K62" i="116"/>
  <c r="J62" i="116"/>
  <c r="D62" i="116"/>
  <c r="L61" i="116"/>
  <c r="K61" i="116"/>
  <c r="J61" i="116"/>
  <c r="D61" i="116"/>
  <c r="L60" i="116"/>
  <c r="K60" i="116"/>
  <c r="J60" i="116"/>
  <c r="D60" i="116"/>
  <c r="L59" i="116"/>
  <c r="K59" i="116"/>
  <c r="J59" i="116"/>
  <c r="D59" i="116"/>
  <c r="L58" i="116"/>
  <c r="K58" i="116"/>
  <c r="J58" i="116"/>
  <c r="D58" i="116"/>
  <c r="L57" i="116"/>
  <c r="K57" i="116"/>
  <c r="J57" i="116"/>
  <c r="D57" i="116"/>
  <c r="L56" i="116"/>
  <c r="K56" i="116"/>
  <c r="J56" i="116"/>
  <c r="D56" i="116"/>
  <c r="L55" i="116"/>
  <c r="K55" i="116"/>
  <c r="J55" i="116"/>
  <c r="D55" i="116"/>
  <c r="L54" i="116"/>
  <c r="K54" i="116"/>
  <c r="J54" i="116"/>
  <c r="D54" i="116"/>
  <c r="L53" i="116"/>
  <c r="K53" i="116"/>
  <c r="J53" i="116"/>
  <c r="G53" i="116" a="1"/>
  <c r="G53" i="116" s="1"/>
  <c r="F53" i="116" a="1"/>
  <c r="F53" i="116" s="1"/>
  <c r="D53" i="116"/>
  <c r="L52" i="116"/>
  <c r="K52" i="116"/>
  <c r="J52" i="116"/>
  <c r="D52" i="116"/>
  <c r="L51" i="116"/>
  <c r="K51" i="116"/>
  <c r="J51" i="116"/>
  <c r="D51" i="116"/>
  <c r="L50" i="116"/>
  <c r="K50" i="116"/>
  <c r="J50" i="116"/>
  <c r="D50" i="116"/>
  <c r="L49" i="116"/>
  <c r="K49" i="116"/>
  <c r="J49" i="116"/>
  <c r="D49" i="116"/>
  <c r="L48" i="116"/>
  <c r="K48" i="116"/>
  <c r="J48" i="116"/>
  <c r="D48" i="116"/>
  <c r="L47" i="116"/>
  <c r="K47" i="116"/>
  <c r="J47" i="116"/>
  <c r="D47" i="116"/>
  <c r="L46" i="116"/>
  <c r="K46" i="116"/>
  <c r="J46" i="116"/>
  <c r="D46" i="116"/>
  <c r="L45" i="116"/>
  <c r="K45" i="116"/>
  <c r="J45" i="116"/>
  <c r="D45" i="116"/>
  <c r="L44" i="116"/>
  <c r="K44" i="116"/>
  <c r="J44" i="116"/>
  <c r="D44" i="116"/>
  <c r="L43" i="116"/>
  <c r="K43" i="116"/>
  <c r="J43" i="116"/>
  <c r="D43" i="116"/>
  <c r="L42" i="116"/>
  <c r="K42" i="116"/>
  <c r="J42" i="116"/>
  <c r="D42" i="116"/>
  <c r="L41" i="116"/>
  <c r="K41" i="116"/>
  <c r="J41" i="116"/>
  <c r="G41" i="116" a="1"/>
  <c r="G41" i="116" s="1"/>
  <c r="F41" i="116" a="1"/>
  <c r="F41" i="116" s="1"/>
  <c r="D41" i="116"/>
  <c r="L40" i="116"/>
  <c r="K40" i="116"/>
  <c r="J40" i="116"/>
  <c r="D40" i="116"/>
  <c r="L39" i="116"/>
  <c r="K39" i="116"/>
  <c r="J39" i="116"/>
  <c r="D39" i="116"/>
  <c r="L38" i="116"/>
  <c r="K38" i="116"/>
  <c r="J38" i="116"/>
  <c r="D38" i="116"/>
  <c r="L37" i="116"/>
  <c r="K37" i="116"/>
  <c r="J37" i="116"/>
  <c r="D37" i="116"/>
  <c r="L36" i="116"/>
  <c r="K36" i="116"/>
  <c r="J36" i="116"/>
  <c r="D36" i="116"/>
  <c r="L35" i="116"/>
  <c r="K35" i="116"/>
  <c r="J35" i="116"/>
  <c r="D35" i="116"/>
  <c r="L34" i="116"/>
  <c r="K34" i="116"/>
  <c r="J34" i="116"/>
  <c r="D34" i="116"/>
  <c r="L33" i="116"/>
  <c r="K33" i="116"/>
  <c r="J33" i="116"/>
  <c r="G33" i="116" a="1"/>
  <c r="G33" i="116" s="1"/>
  <c r="F33" i="116" a="1"/>
  <c r="F33" i="116" s="1"/>
  <c r="D33" i="116"/>
  <c r="L32" i="116"/>
  <c r="K32" i="116"/>
  <c r="J32" i="116"/>
  <c r="D32" i="116"/>
  <c r="L31" i="116"/>
  <c r="K31" i="116"/>
  <c r="J31" i="116"/>
  <c r="G31" i="116" a="1"/>
  <c r="G31" i="116" s="1"/>
  <c r="F31" i="116" a="1"/>
  <c r="F31" i="116" s="1"/>
  <c r="D31" i="116"/>
  <c r="L30" i="116"/>
  <c r="K30" i="116"/>
  <c r="J30" i="116"/>
  <c r="D30" i="116"/>
  <c r="L29" i="116"/>
  <c r="K29" i="116"/>
  <c r="J29" i="116"/>
  <c r="D29" i="116"/>
  <c r="L28" i="116"/>
  <c r="K28" i="116"/>
  <c r="J28" i="116"/>
  <c r="D28" i="116"/>
  <c r="L27" i="116"/>
  <c r="K27" i="116"/>
  <c r="J27" i="116"/>
  <c r="D27" i="116"/>
  <c r="L26" i="116"/>
  <c r="K26" i="116"/>
  <c r="J26" i="116"/>
  <c r="D26" i="116"/>
  <c r="L25" i="116"/>
  <c r="K25" i="116"/>
  <c r="J25" i="116"/>
  <c r="D25" i="116"/>
  <c r="L24" i="116"/>
  <c r="K24" i="116"/>
  <c r="J24" i="116"/>
  <c r="D24" i="116"/>
  <c r="L23" i="116"/>
  <c r="K23" i="116"/>
  <c r="J23" i="116"/>
  <c r="D23" i="116"/>
  <c r="L22" i="116"/>
  <c r="K22" i="116"/>
  <c r="J22" i="116"/>
  <c r="D22" i="116"/>
  <c r="L21" i="116"/>
  <c r="K21" i="116"/>
  <c r="J21" i="116"/>
  <c r="D21" i="116"/>
  <c r="L20" i="116"/>
  <c r="K20" i="116"/>
  <c r="J20" i="116"/>
  <c r="D20" i="116"/>
  <c r="L19" i="116"/>
  <c r="K19" i="116"/>
  <c r="J19" i="116"/>
  <c r="D19" i="116"/>
  <c r="L18" i="116"/>
  <c r="K18" i="116"/>
  <c r="J18" i="116"/>
  <c r="D18" i="116"/>
  <c r="L17" i="116"/>
  <c r="K17" i="116"/>
  <c r="J17" i="116"/>
  <c r="D17" i="116"/>
  <c r="L16" i="116"/>
  <c r="K16" i="116"/>
  <c r="J16" i="116"/>
  <c r="D16" i="116"/>
  <c r="L15" i="116"/>
  <c r="K15" i="116"/>
  <c r="J15" i="116"/>
  <c r="D15" i="116"/>
  <c r="L14" i="116"/>
  <c r="K14" i="116"/>
  <c r="J14" i="116"/>
  <c r="D14" i="116"/>
  <c r="L13" i="116"/>
  <c r="K13" i="116"/>
  <c r="J13" i="116"/>
  <c r="D13" i="116"/>
  <c r="L12" i="116"/>
  <c r="K12" i="116"/>
  <c r="J12" i="116"/>
  <c r="D12" i="116"/>
  <c r="L11" i="116"/>
  <c r="K11" i="116"/>
  <c r="J11" i="116"/>
  <c r="D11" i="116"/>
  <c r="L10" i="116"/>
  <c r="K10" i="116"/>
  <c r="J10" i="116"/>
  <c r="D10" i="116"/>
  <c r="L9" i="116"/>
  <c r="K9" i="116"/>
  <c r="J9" i="116"/>
  <c r="D9" i="116"/>
  <c r="L8" i="116"/>
  <c r="K8" i="116"/>
  <c r="J8" i="116"/>
  <c r="D8" i="116"/>
  <c r="L7" i="116"/>
  <c r="K7" i="116"/>
  <c r="J7" i="116"/>
  <c r="D7" i="116"/>
  <c r="L6" i="116"/>
  <c r="K6" i="116"/>
  <c r="J6" i="116"/>
  <c r="D6" i="116"/>
  <c r="L5" i="116"/>
  <c r="K5" i="116"/>
  <c r="J5" i="116"/>
  <c r="D5" i="116"/>
  <c r="L4" i="116"/>
  <c r="K4" i="116"/>
  <c r="J4" i="116"/>
  <c r="D4" i="116"/>
  <c r="L3" i="116"/>
  <c r="K3" i="116"/>
  <c r="J3" i="116"/>
  <c r="D3" i="116"/>
  <c r="K1802" i="114"/>
  <c r="K1793" i="114"/>
  <c r="K1784" i="114"/>
  <c r="K1775" i="114"/>
  <c r="K1766" i="114"/>
  <c r="K1757" i="114"/>
  <c r="K1748" i="114"/>
  <c r="K1739" i="114"/>
  <c r="K1730" i="114"/>
  <c r="K1721" i="114"/>
  <c r="K1712" i="114"/>
  <c r="K1703" i="114"/>
  <c r="K1694" i="114"/>
  <c r="K1685" i="114"/>
  <c r="K1676" i="114"/>
  <c r="K1667" i="114"/>
  <c r="K1658" i="114"/>
  <c r="K1649" i="114"/>
  <c r="K1640" i="114"/>
  <c r="K1631" i="114"/>
  <c r="K1622" i="114"/>
  <c r="K1613" i="114"/>
  <c r="K1604" i="114"/>
  <c r="K1595" i="114"/>
  <c r="K1586" i="114"/>
  <c r="K1577" i="114"/>
  <c r="K1568" i="114"/>
  <c r="K1559" i="114"/>
  <c r="K1550" i="114"/>
  <c r="K1541" i="114"/>
  <c r="K1532" i="114"/>
  <c r="K1523" i="114"/>
  <c r="K1514" i="114"/>
  <c r="K1505" i="114"/>
  <c r="K1496" i="114"/>
  <c r="K1487" i="114"/>
  <c r="K1478" i="114"/>
  <c r="K1469" i="114"/>
  <c r="K1460" i="114"/>
  <c r="K1451" i="114"/>
  <c r="K1442" i="114"/>
  <c r="K1433" i="114"/>
  <c r="K1424" i="114"/>
  <c r="K1415" i="114"/>
  <c r="K1406" i="114"/>
  <c r="K1397" i="114"/>
  <c r="K1388" i="114"/>
  <c r="K1379" i="114"/>
  <c r="K1370" i="114"/>
  <c r="K1361" i="114"/>
  <c r="K1352" i="114"/>
  <c r="K1343" i="114"/>
  <c r="K1334" i="114"/>
  <c r="K1325" i="114"/>
  <c r="K1316" i="114"/>
  <c r="K1307" i="114"/>
  <c r="K1298" i="114"/>
  <c r="K1289" i="114"/>
  <c r="K1280" i="114"/>
  <c r="K1271" i="114"/>
  <c r="K1262" i="114"/>
  <c r="K1253" i="114"/>
  <c r="K1244" i="114"/>
  <c r="K1235" i="114"/>
  <c r="K1226" i="114"/>
  <c r="K1217" i="114"/>
  <c r="K1208" i="114"/>
  <c r="K1199" i="114"/>
  <c r="K1190" i="114"/>
  <c r="K1181" i="114"/>
  <c r="K1172" i="114"/>
  <c r="K1163" i="114"/>
  <c r="K1154" i="114"/>
  <c r="K1145" i="114"/>
  <c r="K1136" i="114"/>
  <c r="K1127" i="114"/>
  <c r="K1118" i="114"/>
  <c r="K1109" i="114"/>
  <c r="K1100" i="114"/>
  <c r="K1091" i="114"/>
  <c r="K1082" i="114"/>
  <c r="K1073" i="114"/>
  <c r="K1064" i="114"/>
  <c r="K1055" i="114"/>
  <c r="K1046" i="114"/>
  <c r="K1037" i="114"/>
  <c r="K1028" i="114"/>
  <c r="K1019" i="114"/>
  <c r="K1010" i="114"/>
  <c r="K1001" i="114"/>
  <c r="K992" i="114"/>
  <c r="K983" i="114"/>
  <c r="K974" i="114"/>
  <c r="K965" i="114"/>
  <c r="K956" i="114"/>
  <c r="K947" i="114"/>
  <c r="K938" i="114"/>
  <c r="K929" i="114"/>
  <c r="K920" i="114"/>
  <c r="K911" i="114"/>
  <c r="K902" i="114"/>
  <c r="K893" i="114"/>
  <c r="K884" i="114"/>
  <c r="K875" i="114"/>
  <c r="K866" i="114"/>
  <c r="K857" i="114"/>
  <c r="K848" i="114"/>
  <c r="K839" i="114"/>
  <c r="K830" i="114"/>
  <c r="K821" i="114"/>
  <c r="K812" i="114"/>
  <c r="K803" i="114"/>
  <c r="K794" i="114"/>
  <c r="K785" i="114"/>
  <c r="K776" i="114"/>
  <c r="K767" i="114"/>
  <c r="K758" i="114"/>
  <c r="K749" i="114"/>
  <c r="K740" i="114"/>
  <c r="K731" i="114"/>
  <c r="K722" i="114"/>
  <c r="K713" i="114"/>
  <c r="K704" i="114"/>
  <c r="K695" i="114"/>
  <c r="K686" i="114"/>
  <c r="K677" i="114"/>
  <c r="K668" i="114"/>
  <c r="K659" i="114"/>
  <c r="K650" i="114"/>
  <c r="K641" i="114"/>
  <c r="K632" i="114"/>
  <c r="K623" i="114"/>
  <c r="K614" i="114"/>
  <c r="K605" i="114"/>
  <c r="K596" i="114"/>
  <c r="K587" i="114"/>
  <c r="K578" i="114"/>
  <c r="K569" i="114"/>
  <c r="K560" i="114"/>
  <c r="K551" i="114"/>
  <c r="K542" i="114"/>
  <c r="K533" i="114"/>
  <c r="K524" i="114"/>
  <c r="K515" i="114"/>
  <c r="K506" i="114"/>
  <c r="K497" i="114"/>
  <c r="K488" i="114"/>
  <c r="K479" i="114"/>
  <c r="K470" i="114"/>
  <c r="K461" i="114"/>
  <c r="K452" i="114"/>
  <c r="K443" i="114"/>
  <c r="K434" i="114"/>
  <c r="K425" i="114"/>
  <c r="K416" i="114"/>
  <c r="K407" i="114"/>
  <c r="K398" i="114"/>
  <c r="K389" i="114"/>
  <c r="K380" i="114"/>
  <c r="K371" i="114"/>
  <c r="K362" i="114"/>
  <c r="K353" i="114"/>
  <c r="K344" i="114"/>
  <c r="K335" i="114"/>
  <c r="K326" i="114"/>
  <c r="K317" i="114"/>
  <c r="K308" i="114"/>
  <c r="K299" i="114"/>
  <c r="K290" i="114"/>
  <c r="K281" i="114"/>
  <c r="K272" i="114"/>
  <c r="K263" i="114"/>
  <c r="K254" i="114"/>
  <c r="K245" i="114"/>
  <c r="K236" i="114"/>
  <c r="K227" i="114"/>
  <c r="K218" i="114"/>
  <c r="K209" i="114"/>
  <c r="K200" i="114"/>
  <c r="K191" i="114"/>
  <c r="K182" i="114"/>
  <c r="K173" i="114"/>
  <c r="K164" i="114"/>
  <c r="K155" i="114"/>
  <c r="K146" i="114"/>
  <c r="K137" i="114"/>
  <c r="K128" i="114"/>
  <c r="K119" i="114"/>
  <c r="K110" i="114"/>
  <c r="K101" i="114"/>
  <c r="K92" i="114"/>
  <c r="K83" i="114"/>
  <c r="K74" i="114"/>
  <c r="K65" i="114"/>
  <c r="K56" i="114"/>
  <c r="K47" i="114"/>
  <c r="K38" i="114"/>
  <c r="K29" i="114"/>
  <c r="K20" i="114"/>
  <c r="K11" i="114"/>
  <c r="K2" i="114"/>
  <c r="J2" i="114"/>
  <c r="J1802" i="114"/>
  <c r="J1793" i="114"/>
  <c r="J1784" i="114"/>
  <c r="J1775" i="114"/>
  <c r="J1766" i="114"/>
  <c r="J1757" i="114"/>
  <c r="J1748" i="114"/>
  <c r="J1739" i="114"/>
  <c r="J1730" i="114"/>
  <c r="J1721" i="114"/>
  <c r="J1712" i="114"/>
  <c r="J1703" i="114"/>
  <c r="J1694" i="114"/>
  <c r="J1685" i="114"/>
  <c r="J1676" i="114"/>
  <c r="J1667" i="114"/>
  <c r="J1658" i="114"/>
  <c r="J1649" i="114"/>
  <c r="J1640" i="114"/>
  <c r="J1631" i="114"/>
  <c r="J1622" i="114"/>
  <c r="J1613" i="114"/>
  <c r="J1604" i="114"/>
  <c r="J1595" i="114"/>
  <c r="J1586" i="114"/>
  <c r="J1577" i="114"/>
  <c r="J1568" i="114"/>
  <c r="J1559" i="114"/>
  <c r="J1550" i="114"/>
  <c r="J1541" i="114"/>
  <c r="J1532" i="114"/>
  <c r="J1523" i="114"/>
  <c r="J1514" i="114"/>
  <c r="J1505" i="114"/>
  <c r="J1496" i="114"/>
  <c r="J1487" i="114"/>
  <c r="J1478" i="114"/>
  <c r="J1469" i="114"/>
  <c r="J1460" i="114"/>
  <c r="J1451" i="114"/>
  <c r="J1442" i="114"/>
  <c r="J1433" i="114"/>
  <c r="J1424" i="114"/>
  <c r="J1415" i="114"/>
  <c r="J1406" i="114"/>
  <c r="J1397" i="114"/>
  <c r="J1388" i="114"/>
  <c r="J1379" i="114"/>
  <c r="J1370" i="114"/>
  <c r="J1361" i="114"/>
  <c r="J1352" i="114"/>
  <c r="J1343" i="114"/>
  <c r="J1334" i="114"/>
  <c r="J1325" i="114"/>
  <c r="J1316" i="114"/>
  <c r="J1307" i="114"/>
  <c r="J1298" i="114"/>
  <c r="J1289" i="114"/>
  <c r="J1280" i="114"/>
  <c r="J1271" i="114"/>
  <c r="J1262" i="114"/>
  <c r="J1253" i="114"/>
  <c r="J1244" i="114"/>
  <c r="J1235" i="114"/>
  <c r="J1226" i="114"/>
  <c r="J1217" i="114"/>
  <c r="J1208" i="114"/>
  <c r="J1199" i="114"/>
  <c r="J1190" i="114"/>
  <c r="J1181" i="114"/>
  <c r="J1172" i="114"/>
  <c r="J1163" i="114"/>
  <c r="J1154" i="114"/>
  <c r="J1145" i="114"/>
  <c r="J1136" i="114"/>
  <c r="J1127" i="114"/>
  <c r="J1118" i="114"/>
  <c r="J1109" i="114"/>
  <c r="J1100" i="114"/>
  <c r="J1091" i="114"/>
  <c r="J1082" i="114"/>
  <c r="J1073" i="114"/>
  <c r="J1064" i="114"/>
  <c r="J1055" i="114"/>
  <c r="J1046" i="114"/>
  <c r="J1037" i="114"/>
  <c r="J1028" i="114"/>
  <c r="J1019" i="114"/>
  <c r="J1010" i="114"/>
  <c r="J1001" i="114"/>
  <c r="J992" i="114"/>
  <c r="J983" i="114"/>
  <c r="J974" i="114"/>
  <c r="J965" i="114"/>
  <c r="J956" i="114"/>
  <c r="J947" i="114"/>
  <c r="J938" i="114"/>
  <c r="J929" i="114"/>
  <c r="J920" i="114"/>
  <c r="J911" i="114"/>
  <c r="J902" i="114"/>
  <c r="J893" i="114"/>
  <c r="J884" i="114"/>
  <c r="J875" i="114"/>
  <c r="J866" i="114"/>
  <c r="J857" i="114"/>
  <c r="J848" i="114"/>
  <c r="J839" i="114"/>
  <c r="J830" i="114"/>
  <c r="J821" i="114"/>
  <c r="J812" i="114"/>
  <c r="J803" i="114"/>
  <c r="J794" i="114"/>
  <c r="J785" i="114"/>
  <c r="J776" i="114"/>
  <c r="J767" i="114"/>
  <c r="J758" i="114"/>
  <c r="J749" i="114"/>
  <c r="J740" i="114"/>
  <c r="J731" i="114"/>
  <c r="J722" i="114"/>
  <c r="J713" i="114"/>
  <c r="J704" i="114"/>
  <c r="J695" i="114"/>
  <c r="J686" i="114"/>
  <c r="J677" i="114"/>
  <c r="J668" i="114"/>
  <c r="J659" i="114"/>
  <c r="J650" i="114"/>
  <c r="J641" i="114"/>
  <c r="J632" i="114"/>
  <c r="J623" i="114"/>
  <c r="J614" i="114"/>
  <c r="J605" i="114"/>
  <c r="J596" i="114"/>
  <c r="J587" i="114"/>
  <c r="J578" i="114"/>
  <c r="J569" i="114"/>
  <c r="J560" i="114"/>
  <c r="J551" i="114"/>
  <c r="J542" i="114"/>
  <c r="J533" i="114"/>
  <c r="J524" i="114"/>
  <c r="J515" i="114"/>
  <c r="J506" i="114"/>
  <c r="J497" i="114"/>
  <c r="J488" i="114"/>
  <c r="J479" i="114"/>
  <c r="J470" i="114"/>
  <c r="J461" i="114"/>
  <c r="J452" i="114"/>
  <c r="J443" i="114"/>
  <c r="J434" i="114"/>
  <c r="J425" i="114"/>
  <c r="J416" i="114"/>
  <c r="J407" i="114"/>
  <c r="J398" i="114"/>
  <c r="J389" i="114"/>
  <c r="J380" i="114"/>
  <c r="J371" i="114"/>
  <c r="J362" i="114"/>
  <c r="J353" i="114"/>
  <c r="J344" i="114"/>
  <c r="J335" i="114"/>
  <c r="J326" i="114"/>
  <c r="J317" i="114"/>
  <c r="J308" i="114"/>
  <c r="J299" i="114"/>
  <c r="J290" i="114"/>
  <c r="J281" i="114"/>
  <c r="J272" i="114"/>
  <c r="J263" i="114"/>
  <c r="J254" i="114"/>
  <c r="J245" i="114"/>
  <c r="J236" i="114"/>
  <c r="J227" i="114"/>
  <c r="J218" i="114"/>
  <c r="J209" i="114"/>
  <c r="J200" i="114"/>
  <c r="J191" i="114"/>
  <c r="J182" i="114"/>
  <c r="J173" i="114"/>
  <c r="J164" i="114"/>
  <c r="J155" i="114"/>
  <c r="J146" i="114"/>
  <c r="J137" i="114"/>
  <c r="J128" i="114"/>
  <c r="J119" i="114"/>
  <c r="J110" i="114"/>
  <c r="J101" i="114"/>
  <c r="J92" i="114"/>
  <c r="J83" i="114"/>
  <c r="J74" i="114"/>
  <c r="J65" i="114"/>
  <c r="J56" i="114"/>
  <c r="J47" i="114"/>
  <c r="J38" i="114"/>
  <c r="J29" i="114"/>
  <c r="J20" i="114"/>
  <c r="J11" i="114"/>
  <c r="D38" i="110"/>
  <c r="E38" i="110"/>
  <c r="F38" i="110" s="1"/>
  <c r="D39" i="110"/>
  <c r="E39" i="110"/>
  <c r="F39" i="110" s="1"/>
  <c r="D40" i="110"/>
  <c r="E40" i="110"/>
  <c r="G40" i="110" s="1"/>
  <c r="D41" i="110"/>
  <c r="E41" i="110"/>
  <c r="F41" i="110" s="1"/>
  <c r="D42" i="110"/>
  <c r="E42" i="110"/>
  <c r="F42" i="110" s="1"/>
  <c r="G42" i="110" s="1"/>
  <c r="H42" i="110" s="1"/>
  <c r="D43" i="110"/>
  <c r="E43" i="110"/>
  <c r="F43" i="110" s="1"/>
  <c r="D44" i="110"/>
  <c r="D45" i="110"/>
  <c r="E45" i="110"/>
  <c r="F45" i="110" s="1"/>
  <c r="D46" i="110"/>
  <c r="E46" i="110"/>
  <c r="F46" i="110" s="1"/>
  <c r="D47" i="110"/>
  <c r="E47" i="110"/>
  <c r="F47" i="110" s="1"/>
  <c r="G47" i="110" s="1"/>
  <c r="D48" i="110"/>
  <c r="E48" i="110"/>
  <c r="F48" i="110" s="1"/>
  <c r="D37" i="110"/>
  <c r="E19" i="110"/>
  <c r="F19" i="110" s="1"/>
  <c r="E20" i="110"/>
  <c r="E21" i="110"/>
  <c r="E22" i="110"/>
  <c r="F22" i="110" s="1"/>
  <c r="E23" i="110"/>
  <c r="E24" i="110"/>
  <c r="E26" i="110"/>
  <c r="E27" i="110"/>
  <c r="E28" i="110"/>
  <c r="F28" i="110" s="1"/>
  <c r="E29" i="110"/>
  <c r="D19" i="110"/>
  <c r="D20" i="110"/>
  <c r="D21" i="110"/>
  <c r="D22" i="110"/>
  <c r="D23" i="110"/>
  <c r="D24" i="110"/>
  <c r="D25" i="110"/>
  <c r="D26" i="110"/>
  <c r="D27" i="110"/>
  <c r="D28" i="110"/>
  <c r="D29" i="110"/>
  <c r="D18" i="110"/>
  <c r="E4" i="110"/>
  <c r="F4" i="110"/>
  <c r="G4" i="110"/>
  <c r="H4" i="110"/>
  <c r="I4" i="110"/>
  <c r="J4" i="110"/>
  <c r="K4" i="110"/>
  <c r="L4" i="110"/>
  <c r="M4" i="110"/>
  <c r="N4" i="110"/>
  <c r="O4" i="110"/>
  <c r="E5" i="110"/>
  <c r="F5" i="110"/>
  <c r="G5" i="110"/>
  <c r="H5" i="110"/>
  <c r="I5" i="110"/>
  <c r="J5" i="110"/>
  <c r="K5" i="110"/>
  <c r="L5" i="110"/>
  <c r="M5" i="110"/>
  <c r="N5" i="110"/>
  <c r="O5" i="110"/>
  <c r="E6" i="110"/>
  <c r="F6" i="110"/>
  <c r="G6" i="110"/>
  <c r="H6" i="110"/>
  <c r="I6" i="110"/>
  <c r="J6" i="110"/>
  <c r="K6" i="110"/>
  <c r="L6" i="110"/>
  <c r="M6" i="110"/>
  <c r="N6" i="110"/>
  <c r="O6" i="110"/>
  <c r="E7" i="110"/>
  <c r="F7" i="110"/>
  <c r="G7" i="110"/>
  <c r="H7" i="110"/>
  <c r="I7" i="110"/>
  <c r="J7" i="110"/>
  <c r="K7" i="110"/>
  <c r="L7" i="110"/>
  <c r="M7" i="110"/>
  <c r="N7" i="110"/>
  <c r="O7" i="110"/>
  <c r="E8" i="110"/>
  <c r="F8" i="110"/>
  <c r="G8" i="110"/>
  <c r="H8" i="110"/>
  <c r="I8" i="110"/>
  <c r="J8" i="110"/>
  <c r="K8" i="110"/>
  <c r="L8" i="110"/>
  <c r="M8" i="110"/>
  <c r="N8" i="110"/>
  <c r="O8" i="110"/>
  <c r="E9" i="110"/>
  <c r="F9" i="110"/>
  <c r="G9" i="110"/>
  <c r="H9" i="110"/>
  <c r="I9" i="110"/>
  <c r="J9" i="110"/>
  <c r="K9" i="110"/>
  <c r="L9" i="110"/>
  <c r="M9" i="110"/>
  <c r="N9" i="110"/>
  <c r="O9" i="110"/>
  <c r="E10" i="110"/>
  <c r="F10" i="110"/>
  <c r="G10" i="110"/>
  <c r="H10" i="110"/>
  <c r="I10" i="110"/>
  <c r="J10" i="110"/>
  <c r="K10" i="110"/>
  <c r="L10" i="110"/>
  <c r="M10" i="110"/>
  <c r="N10" i="110"/>
  <c r="O10" i="110"/>
  <c r="E11" i="110"/>
  <c r="F11" i="110"/>
  <c r="G11" i="110"/>
  <c r="H11" i="110"/>
  <c r="I11" i="110"/>
  <c r="J11" i="110"/>
  <c r="K11" i="110"/>
  <c r="L11" i="110"/>
  <c r="M11" i="110"/>
  <c r="N11" i="110"/>
  <c r="O11" i="110"/>
  <c r="D5" i="110"/>
  <c r="D6" i="110"/>
  <c r="D7" i="110"/>
  <c r="D8" i="110"/>
  <c r="D9" i="110"/>
  <c r="D10" i="110"/>
  <c r="D11" i="110"/>
  <c r="D4" i="110"/>
  <c r="H1810" i="114" a="1"/>
  <c r="H1810" i="114" s="1"/>
  <c r="G1810" i="114" a="1"/>
  <c r="G1810" i="114" s="1"/>
  <c r="I1810" i="114" s="1"/>
  <c r="F1810" i="114" a="1"/>
  <c r="F1810" i="114" s="1"/>
  <c r="D1810" i="114"/>
  <c r="H1809" i="114" a="1"/>
  <c r="H1809" i="114" s="1"/>
  <c r="G1809" i="114" a="1"/>
  <c r="G1809" i="114" s="1"/>
  <c r="I1809" i="114" s="1"/>
  <c r="F1809" i="114" a="1"/>
  <c r="F1809" i="114" s="1"/>
  <c r="D1809" i="114"/>
  <c r="H1808" i="114" a="1"/>
  <c r="H1808" i="114" s="1"/>
  <c r="G1808" i="114" a="1"/>
  <c r="G1808" i="114" s="1"/>
  <c r="I1808" i="114" s="1"/>
  <c r="F1808" i="114" a="1"/>
  <c r="F1808" i="114" s="1"/>
  <c r="D1808" i="114"/>
  <c r="H1807" i="114" a="1"/>
  <c r="H1807" i="114" s="1"/>
  <c r="G1807" i="114" a="1"/>
  <c r="G1807" i="114" s="1"/>
  <c r="I1807" i="114" s="1"/>
  <c r="F1807" i="114" a="1"/>
  <c r="F1807" i="114" s="1"/>
  <c r="D1807" i="114"/>
  <c r="G1806" i="114" a="1"/>
  <c r="G1806" i="114" s="1"/>
  <c r="I1806" i="114" s="1"/>
  <c r="F1806" i="114" a="1"/>
  <c r="F1806" i="114" s="1"/>
  <c r="D1806" i="114"/>
  <c r="H1805" i="114" a="1"/>
  <c r="H1805" i="114" s="1"/>
  <c r="G1805" i="114" a="1"/>
  <c r="G1805" i="114" s="1"/>
  <c r="I1805" i="114" s="1"/>
  <c r="F1805" i="114" a="1"/>
  <c r="F1805" i="114" s="1"/>
  <c r="D1805" i="114"/>
  <c r="G1804" i="114" a="1"/>
  <c r="G1804" i="114" s="1"/>
  <c r="I1804" i="114" s="1"/>
  <c r="F1804" i="114" a="1"/>
  <c r="F1804" i="114" s="1"/>
  <c r="D1804" i="114"/>
  <c r="H1803" i="114" a="1"/>
  <c r="H1803" i="114" s="1"/>
  <c r="G1803" i="114" a="1"/>
  <c r="G1803" i="114" s="1"/>
  <c r="I1803" i="114" s="1"/>
  <c r="F1803" i="114" a="1"/>
  <c r="F1803" i="114" s="1"/>
  <c r="D1803" i="114"/>
  <c r="H1801" i="114" a="1"/>
  <c r="H1801" i="114" s="1"/>
  <c r="G1801" i="114" a="1"/>
  <c r="G1801" i="114" s="1"/>
  <c r="I1801" i="114" s="1"/>
  <c r="F1801" i="114" a="1"/>
  <c r="F1801" i="114" s="1"/>
  <c r="D1801" i="114"/>
  <c r="H1800" i="114" a="1"/>
  <c r="H1800" i="114" s="1"/>
  <c r="G1800" i="114" a="1"/>
  <c r="G1800" i="114" s="1"/>
  <c r="I1800" i="114" s="1"/>
  <c r="F1800" i="114" a="1"/>
  <c r="F1800" i="114" s="1"/>
  <c r="D1800" i="114"/>
  <c r="H1799" i="114" a="1"/>
  <c r="H1799" i="114" s="1"/>
  <c r="G1799" i="114" a="1"/>
  <c r="G1799" i="114" s="1"/>
  <c r="I1799" i="114" s="1"/>
  <c r="F1799" i="114" a="1"/>
  <c r="F1799" i="114" s="1"/>
  <c r="D1799" i="114"/>
  <c r="H1798" i="114" a="1"/>
  <c r="H1798" i="114" s="1"/>
  <c r="G1798" i="114" a="1"/>
  <c r="G1798" i="114" s="1"/>
  <c r="I1798" i="114" s="1"/>
  <c r="F1798" i="114" a="1"/>
  <c r="F1798" i="114" s="1"/>
  <c r="D1798" i="114"/>
  <c r="H1797" i="114" a="1"/>
  <c r="H1797" i="114" s="1"/>
  <c r="G1797" i="114" a="1"/>
  <c r="G1797" i="114" s="1"/>
  <c r="I1797" i="114" s="1"/>
  <c r="F1797" i="114" a="1"/>
  <c r="F1797" i="114" s="1"/>
  <c r="D1797" i="114"/>
  <c r="H1796" i="114" a="1"/>
  <c r="H1796" i="114" s="1"/>
  <c r="G1796" i="114" a="1"/>
  <c r="G1796" i="114" s="1"/>
  <c r="I1796" i="114" s="1"/>
  <c r="F1796" i="114" a="1"/>
  <c r="F1796" i="114" s="1"/>
  <c r="D1796" i="114"/>
  <c r="H1795" i="114" a="1"/>
  <c r="H1795" i="114" s="1"/>
  <c r="G1795" i="114" a="1"/>
  <c r="G1795" i="114" s="1"/>
  <c r="I1795" i="114" s="1"/>
  <c r="F1795" i="114" a="1"/>
  <c r="F1795" i="114" s="1"/>
  <c r="D1795" i="114"/>
  <c r="H1794" i="114" a="1"/>
  <c r="H1794" i="114" s="1"/>
  <c r="G1794" i="114" a="1"/>
  <c r="G1794" i="114" s="1"/>
  <c r="I1794" i="114" s="1"/>
  <c r="F1794" i="114" a="1"/>
  <c r="F1794" i="114" s="1"/>
  <c r="D1794" i="114"/>
  <c r="H1792" i="114" a="1"/>
  <c r="H1792" i="114" s="1"/>
  <c r="G1792" i="114" a="1"/>
  <c r="G1792" i="114" s="1"/>
  <c r="I1792" i="114" s="1"/>
  <c r="F1792" i="114" a="1"/>
  <c r="F1792" i="114" s="1"/>
  <c r="D1792" i="114"/>
  <c r="H1791" i="114" a="1"/>
  <c r="H1791" i="114" s="1"/>
  <c r="G1791" i="114" a="1"/>
  <c r="G1791" i="114" s="1"/>
  <c r="I1791" i="114" s="1"/>
  <c r="F1791" i="114" a="1"/>
  <c r="F1791" i="114" s="1"/>
  <c r="D1791" i="114"/>
  <c r="H1790" i="114" a="1"/>
  <c r="H1790" i="114" s="1"/>
  <c r="G1790" i="114" a="1"/>
  <c r="G1790" i="114" s="1"/>
  <c r="I1790" i="114" s="1"/>
  <c r="F1790" i="114" a="1"/>
  <c r="F1790" i="114" s="1"/>
  <c r="D1790" i="114"/>
  <c r="H1789" i="114" a="1"/>
  <c r="H1789" i="114" s="1"/>
  <c r="G1789" i="114" a="1"/>
  <c r="G1789" i="114" s="1"/>
  <c r="I1789" i="114" s="1"/>
  <c r="F1789" i="114" a="1"/>
  <c r="F1789" i="114" s="1"/>
  <c r="D1789" i="114"/>
  <c r="H1788" i="114" a="1"/>
  <c r="H1788" i="114" s="1"/>
  <c r="G1788" i="114" a="1"/>
  <c r="G1788" i="114" s="1"/>
  <c r="I1788" i="114" s="1"/>
  <c r="F1788" i="114" a="1"/>
  <c r="F1788" i="114" s="1"/>
  <c r="D1788" i="114"/>
  <c r="H1787" i="114" a="1"/>
  <c r="H1787" i="114" s="1"/>
  <c r="G1787" i="114" a="1"/>
  <c r="G1787" i="114" s="1"/>
  <c r="I1787" i="114" s="1"/>
  <c r="F1787" i="114" a="1"/>
  <c r="F1787" i="114" s="1"/>
  <c r="D1787" i="114"/>
  <c r="H1786" i="114" a="1"/>
  <c r="H1786" i="114" s="1"/>
  <c r="G1786" i="114" a="1"/>
  <c r="G1786" i="114" s="1"/>
  <c r="I1786" i="114" s="1"/>
  <c r="F1786" i="114" a="1"/>
  <c r="F1786" i="114" s="1"/>
  <c r="D1786" i="114"/>
  <c r="H1785" i="114" a="1"/>
  <c r="H1785" i="114" s="1"/>
  <c r="G1785" i="114" a="1"/>
  <c r="G1785" i="114" s="1"/>
  <c r="I1785" i="114" s="1"/>
  <c r="F1785" i="114" a="1"/>
  <c r="F1785" i="114" s="1"/>
  <c r="D1785" i="114"/>
  <c r="H1783" i="114" a="1"/>
  <c r="H1783" i="114" s="1"/>
  <c r="G1783" i="114" a="1"/>
  <c r="G1783" i="114" s="1"/>
  <c r="I1783" i="114" s="1"/>
  <c r="F1783" i="114" a="1"/>
  <c r="F1783" i="114" s="1"/>
  <c r="D1783" i="114"/>
  <c r="H1782" i="114" a="1"/>
  <c r="H1782" i="114" s="1"/>
  <c r="G1782" i="114" a="1"/>
  <c r="G1782" i="114" s="1"/>
  <c r="I1782" i="114" s="1"/>
  <c r="F1782" i="114" a="1"/>
  <c r="F1782" i="114" s="1"/>
  <c r="D1782" i="114"/>
  <c r="H1781" i="114" a="1"/>
  <c r="H1781" i="114" s="1"/>
  <c r="G1781" i="114" a="1"/>
  <c r="G1781" i="114" s="1"/>
  <c r="I1781" i="114" s="1"/>
  <c r="F1781" i="114" a="1"/>
  <c r="F1781" i="114" s="1"/>
  <c r="D1781" i="114"/>
  <c r="H1780" i="114" a="1"/>
  <c r="H1780" i="114" s="1"/>
  <c r="G1780" i="114" a="1"/>
  <c r="G1780" i="114" s="1"/>
  <c r="I1780" i="114" s="1"/>
  <c r="F1780" i="114" a="1"/>
  <c r="F1780" i="114" s="1"/>
  <c r="D1780" i="114"/>
  <c r="H1779" i="114" a="1"/>
  <c r="H1779" i="114" s="1"/>
  <c r="G1779" i="114" a="1"/>
  <c r="G1779" i="114" s="1"/>
  <c r="F1779" i="114" a="1"/>
  <c r="F1779" i="114" s="1"/>
  <c r="D1779" i="114"/>
  <c r="H1778" i="114" a="1"/>
  <c r="H1778" i="114" s="1"/>
  <c r="G1778" i="114" a="1"/>
  <c r="G1778" i="114" s="1"/>
  <c r="I1778" i="114" s="1"/>
  <c r="F1778" i="114" a="1"/>
  <c r="F1778" i="114" s="1"/>
  <c r="D1778" i="114"/>
  <c r="H1777" i="114" a="1"/>
  <c r="H1777" i="114" s="1"/>
  <c r="G1777" i="114" a="1"/>
  <c r="G1777" i="114" s="1"/>
  <c r="I1777" i="114" s="1"/>
  <c r="F1777" i="114" a="1"/>
  <c r="F1777" i="114" s="1"/>
  <c r="D1777" i="114"/>
  <c r="H1776" i="114" a="1"/>
  <c r="H1776" i="114" s="1"/>
  <c r="G1776" i="114" a="1"/>
  <c r="G1776" i="114" s="1"/>
  <c r="I1776" i="114" s="1"/>
  <c r="F1776" i="114" a="1"/>
  <c r="F1776" i="114" s="1"/>
  <c r="D1776" i="114"/>
  <c r="H1774" i="114" a="1"/>
  <c r="H1774" i="114" s="1"/>
  <c r="G1774" i="114" a="1"/>
  <c r="G1774" i="114" s="1"/>
  <c r="I1774" i="114" s="1"/>
  <c r="F1774" i="114" a="1"/>
  <c r="F1774" i="114" s="1"/>
  <c r="D1774" i="114"/>
  <c r="H1773" i="114" a="1"/>
  <c r="H1773" i="114" s="1"/>
  <c r="G1773" i="114" a="1"/>
  <c r="G1773" i="114" s="1"/>
  <c r="I1773" i="114" s="1"/>
  <c r="F1773" i="114" a="1"/>
  <c r="F1773" i="114" s="1"/>
  <c r="D1773" i="114"/>
  <c r="H1772" i="114" a="1"/>
  <c r="H1772" i="114" s="1"/>
  <c r="G1772" i="114" a="1"/>
  <c r="G1772" i="114" s="1"/>
  <c r="I1772" i="114" s="1"/>
  <c r="F1772" i="114" a="1"/>
  <c r="F1772" i="114" s="1"/>
  <c r="D1772" i="114"/>
  <c r="H1771" i="114" a="1"/>
  <c r="H1771" i="114" s="1"/>
  <c r="G1771" i="114" a="1"/>
  <c r="G1771" i="114" s="1"/>
  <c r="I1771" i="114" s="1"/>
  <c r="F1771" i="114" a="1"/>
  <c r="F1771" i="114" s="1"/>
  <c r="D1771" i="114"/>
  <c r="H1770" i="114" a="1"/>
  <c r="H1770" i="114" s="1"/>
  <c r="G1770" i="114" a="1"/>
  <c r="G1770" i="114" s="1"/>
  <c r="I1770" i="114" s="1"/>
  <c r="F1770" i="114" a="1"/>
  <c r="F1770" i="114" s="1"/>
  <c r="D1770" i="114"/>
  <c r="H1769" i="114" a="1"/>
  <c r="H1769" i="114" s="1"/>
  <c r="G1769" i="114" a="1"/>
  <c r="G1769" i="114" s="1"/>
  <c r="F1769" i="114" a="1"/>
  <c r="F1769" i="114" s="1"/>
  <c r="D1769" i="114"/>
  <c r="H1768" i="114" a="1"/>
  <c r="H1768" i="114" s="1"/>
  <c r="G1768" i="114" a="1"/>
  <c r="G1768" i="114" s="1"/>
  <c r="I1768" i="114" s="1"/>
  <c r="F1768" i="114" a="1"/>
  <c r="F1768" i="114" s="1"/>
  <c r="D1768" i="114"/>
  <c r="H1767" i="114" a="1"/>
  <c r="H1767" i="114" s="1"/>
  <c r="G1767" i="114" a="1"/>
  <c r="G1767" i="114" s="1"/>
  <c r="I1767" i="114" s="1"/>
  <c r="F1767" i="114" a="1"/>
  <c r="F1767" i="114" s="1"/>
  <c r="D1767" i="114"/>
  <c r="H1765" i="114" a="1"/>
  <c r="H1765" i="114" s="1"/>
  <c r="G1765" i="114" a="1"/>
  <c r="G1765" i="114" s="1"/>
  <c r="I1765" i="114" s="1"/>
  <c r="F1765" i="114" a="1"/>
  <c r="F1765" i="114" s="1"/>
  <c r="D1765" i="114"/>
  <c r="H1764" i="114" a="1"/>
  <c r="H1764" i="114" s="1"/>
  <c r="G1764" i="114" a="1"/>
  <c r="G1764" i="114" s="1"/>
  <c r="I1764" i="114" s="1"/>
  <c r="F1764" i="114" a="1"/>
  <c r="F1764" i="114" s="1"/>
  <c r="D1764" i="114"/>
  <c r="H1763" i="114" a="1"/>
  <c r="H1763" i="114" s="1"/>
  <c r="G1763" i="114" a="1"/>
  <c r="G1763" i="114" s="1"/>
  <c r="I1763" i="114" s="1"/>
  <c r="F1763" i="114" a="1"/>
  <c r="F1763" i="114" s="1"/>
  <c r="D1763" i="114"/>
  <c r="H1762" i="114" a="1"/>
  <c r="H1762" i="114" s="1"/>
  <c r="G1762" i="114" a="1"/>
  <c r="G1762" i="114" s="1"/>
  <c r="I1762" i="114" s="1"/>
  <c r="F1762" i="114" a="1"/>
  <c r="F1762" i="114" s="1"/>
  <c r="D1762" i="114"/>
  <c r="H1761" i="114" a="1"/>
  <c r="H1761" i="114" s="1"/>
  <c r="G1761" i="114" a="1"/>
  <c r="G1761" i="114" s="1"/>
  <c r="I1761" i="114" s="1"/>
  <c r="F1761" i="114" a="1"/>
  <c r="F1761" i="114" s="1"/>
  <c r="D1761" i="114"/>
  <c r="H1760" i="114" a="1"/>
  <c r="H1760" i="114" s="1"/>
  <c r="G1760" i="114" a="1"/>
  <c r="G1760" i="114" s="1"/>
  <c r="I1760" i="114" s="1"/>
  <c r="F1760" i="114" a="1"/>
  <c r="F1760" i="114" s="1"/>
  <c r="D1760" i="114"/>
  <c r="H1759" i="114" a="1"/>
  <c r="H1759" i="114" s="1"/>
  <c r="G1759" i="114" a="1"/>
  <c r="G1759" i="114" s="1"/>
  <c r="F1759" i="114" a="1"/>
  <c r="F1759" i="114" s="1"/>
  <c r="D1759" i="114"/>
  <c r="H1758" i="114" a="1"/>
  <c r="H1758" i="114" s="1"/>
  <c r="G1758" i="114" a="1"/>
  <c r="G1758" i="114" s="1"/>
  <c r="I1758" i="114" s="1"/>
  <c r="F1758" i="114" a="1"/>
  <c r="F1758" i="114" s="1"/>
  <c r="D1758" i="114"/>
  <c r="H1756" i="114" a="1"/>
  <c r="H1756" i="114" s="1"/>
  <c r="G1756" i="114" a="1"/>
  <c r="G1756" i="114" s="1"/>
  <c r="I1756" i="114" s="1"/>
  <c r="F1756" i="114" a="1"/>
  <c r="F1756" i="114" s="1"/>
  <c r="D1756" i="114"/>
  <c r="H1755" i="114" a="1"/>
  <c r="H1755" i="114" s="1"/>
  <c r="G1755" i="114" a="1"/>
  <c r="G1755" i="114" s="1"/>
  <c r="I1755" i="114" s="1"/>
  <c r="F1755" i="114" a="1"/>
  <c r="F1755" i="114" s="1"/>
  <c r="D1755" i="114"/>
  <c r="H1754" i="114" a="1"/>
  <c r="H1754" i="114" s="1"/>
  <c r="G1754" i="114" a="1"/>
  <c r="G1754" i="114" s="1"/>
  <c r="I1754" i="114" s="1"/>
  <c r="F1754" i="114" a="1"/>
  <c r="F1754" i="114" s="1"/>
  <c r="D1754" i="114"/>
  <c r="H1753" i="114" a="1"/>
  <c r="H1753" i="114" s="1"/>
  <c r="G1753" i="114" a="1"/>
  <c r="G1753" i="114" s="1"/>
  <c r="I1753" i="114" s="1"/>
  <c r="F1753" i="114" a="1"/>
  <c r="F1753" i="114" s="1"/>
  <c r="D1753" i="114"/>
  <c r="H1752" i="114" a="1"/>
  <c r="H1752" i="114" s="1"/>
  <c r="G1752" i="114" a="1"/>
  <c r="G1752" i="114" s="1"/>
  <c r="I1752" i="114" s="1"/>
  <c r="F1752" i="114" a="1"/>
  <c r="F1752" i="114" s="1"/>
  <c r="D1752" i="114"/>
  <c r="H1751" i="114" a="1"/>
  <c r="H1751" i="114" s="1"/>
  <c r="G1751" i="114" a="1"/>
  <c r="G1751" i="114" s="1"/>
  <c r="I1751" i="114" s="1"/>
  <c r="F1751" i="114" a="1"/>
  <c r="F1751" i="114" s="1"/>
  <c r="D1751" i="114"/>
  <c r="H1750" i="114" a="1"/>
  <c r="H1750" i="114" s="1"/>
  <c r="G1750" i="114" a="1"/>
  <c r="G1750" i="114" s="1"/>
  <c r="I1750" i="114" s="1"/>
  <c r="F1750" i="114" a="1"/>
  <c r="F1750" i="114" s="1"/>
  <c r="D1750" i="114"/>
  <c r="H1749" i="114" a="1"/>
  <c r="H1749" i="114" s="1"/>
  <c r="G1749" i="114" a="1"/>
  <c r="G1749" i="114" s="1"/>
  <c r="I1749" i="114" s="1"/>
  <c r="F1749" i="114" a="1"/>
  <c r="F1749" i="114" s="1"/>
  <c r="D1749" i="114"/>
  <c r="H1747" i="114" a="1"/>
  <c r="H1747" i="114" s="1"/>
  <c r="G1747" i="114" a="1"/>
  <c r="G1747" i="114" s="1"/>
  <c r="I1747" i="114" s="1"/>
  <c r="F1747" i="114" a="1"/>
  <c r="F1747" i="114" s="1"/>
  <c r="D1747" i="114"/>
  <c r="H1746" i="114" a="1"/>
  <c r="H1746" i="114" s="1"/>
  <c r="G1746" i="114" a="1"/>
  <c r="G1746" i="114" s="1"/>
  <c r="I1746" i="114" s="1"/>
  <c r="F1746" i="114" a="1"/>
  <c r="F1746" i="114" s="1"/>
  <c r="D1746" i="114"/>
  <c r="H1745" i="114" a="1"/>
  <c r="H1745" i="114" s="1"/>
  <c r="G1745" i="114" a="1"/>
  <c r="G1745" i="114" s="1"/>
  <c r="I1745" i="114" s="1"/>
  <c r="F1745" i="114" a="1"/>
  <c r="F1745" i="114" s="1"/>
  <c r="D1745" i="114"/>
  <c r="H1744" i="114" a="1"/>
  <c r="H1744" i="114" s="1"/>
  <c r="G1744" i="114" a="1"/>
  <c r="G1744" i="114" s="1"/>
  <c r="I1744" i="114" s="1"/>
  <c r="F1744" i="114" a="1"/>
  <c r="F1744" i="114" s="1"/>
  <c r="D1744" i="114"/>
  <c r="H1743" i="114" a="1"/>
  <c r="H1743" i="114" s="1"/>
  <c r="G1743" i="114" a="1"/>
  <c r="G1743" i="114" s="1"/>
  <c r="I1743" i="114" s="1"/>
  <c r="F1743" i="114" a="1"/>
  <c r="F1743" i="114" s="1"/>
  <c r="D1743" i="114"/>
  <c r="H1742" i="114" a="1"/>
  <c r="H1742" i="114" s="1"/>
  <c r="G1742" i="114" a="1"/>
  <c r="G1742" i="114" s="1"/>
  <c r="I1742" i="114" s="1"/>
  <c r="F1742" i="114" a="1"/>
  <c r="F1742" i="114" s="1"/>
  <c r="D1742" i="114"/>
  <c r="G1741" i="114" a="1"/>
  <c r="G1741" i="114" s="1"/>
  <c r="I1741" i="114" s="1"/>
  <c r="F1741" i="114" a="1"/>
  <c r="F1741" i="114" s="1"/>
  <c r="D1741" i="114"/>
  <c r="H1740" i="114" a="1"/>
  <c r="H1740" i="114" s="1"/>
  <c r="G1740" i="114" a="1"/>
  <c r="G1740" i="114" s="1"/>
  <c r="I1740" i="114" s="1"/>
  <c r="F1740" i="114" a="1"/>
  <c r="F1740" i="114" s="1"/>
  <c r="D1740" i="114"/>
  <c r="H1738" i="114" a="1"/>
  <c r="H1738" i="114" s="1"/>
  <c r="D1738" i="114"/>
  <c r="H1737" i="114" a="1"/>
  <c r="H1737" i="114" s="1"/>
  <c r="G1737" i="114" a="1"/>
  <c r="G1737" i="114" s="1"/>
  <c r="I1737" i="114" s="1"/>
  <c r="F1737" i="114" a="1"/>
  <c r="F1737" i="114" s="1"/>
  <c r="D1737" i="114"/>
  <c r="H1736" i="114" a="1"/>
  <c r="H1736" i="114" s="1"/>
  <c r="G1736" i="114" a="1"/>
  <c r="G1736" i="114" s="1"/>
  <c r="I1736" i="114" s="1"/>
  <c r="F1736" i="114" a="1"/>
  <c r="F1736" i="114" s="1"/>
  <c r="D1736" i="114"/>
  <c r="H1735" i="114" a="1"/>
  <c r="H1735" i="114" s="1"/>
  <c r="G1735" i="114" a="1"/>
  <c r="G1735" i="114" s="1"/>
  <c r="I1735" i="114" s="1"/>
  <c r="F1735" i="114" a="1"/>
  <c r="F1735" i="114" s="1"/>
  <c r="D1735" i="114"/>
  <c r="H1734" i="114" a="1"/>
  <c r="H1734" i="114" s="1"/>
  <c r="G1734" i="114" a="1"/>
  <c r="G1734" i="114" s="1"/>
  <c r="I1734" i="114" s="1"/>
  <c r="F1734" i="114" a="1"/>
  <c r="F1734" i="114" s="1"/>
  <c r="D1734" i="114"/>
  <c r="H1733" i="114" a="1"/>
  <c r="H1733" i="114" s="1"/>
  <c r="G1733" i="114" a="1"/>
  <c r="G1733" i="114" s="1"/>
  <c r="I1733" i="114" s="1"/>
  <c r="F1733" i="114" a="1"/>
  <c r="F1733" i="114" s="1"/>
  <c r="D1733" i="114"/>
  <c r="H1732" i="114" a="1"/>
  <c r="H1732" i="114" s="1"/>
  <c r="G1732" i="114" a="1"/>
  <c r="G1732" i="114" s="1"/>
  <c r="I1732" i="114" s="1"/>
  <c r="F1732" i="114" a="1"/>
  <c r="F1732" i="114" s="1"/>
  <c r="D1732" i="114"/>
  <c r="H1731" i="114" a="1"/>
  <c r="H1731" i="114" s="1"/>
  <c r="G1731" i="114" a="1"/>
  <c r="G1731" i="114" s="1"/>
  <c r="I1731" i="114" s="1"/>
  <c r="F1731" i="114" a="1"/>
  <c r="F1731" i="114" s="1"/>
  <c r="D1731" i="114"/>
  <c r="H372" i="114" a="1"/>
  <c r="H372" i="114" s="1"/>
  <c r="H379" i="114" a="1"/>
  <c r="H379" i="114" s="1"/>
  <c r="H378" i="114" a="1"/>
  <c r="H378" i="114" s="1"/>
  <c r="H377" i="114" a="1"/>
  <c r="H377" i="114" s="1"/>
  <c r="H376" i="114" a="1"/>
  <c r="H376" i="114" s="1"/>
  <c r="H375" i="114" a="1"/>
  <c r="H375" i="114" s="1"/>
  <c r="H374" i="114" a="1"/>
  <c r="H374" i="114" s="1"/>
  <c r="H373" i="114" a="1"/>
  <c r="H373" i="114" s="1"/>
  <c r="L1802" i="114"/>
  <c r="L1793" i="114"/>
  <c r="L1784" i="114"/>
  <c r="L1775" i="114"/>
  <c r="L1766" i="114"/>
  <c r="L1757" i="114"/>
  <c r="L1748" i="114"/>
  <c r="L1739" i="114"/>
  <c r="L1730" i="114"/>
  <c r="L1721" i="114"/>
  <c r="L1712" i="114"/>
  <c r="L1703" i="114"/>
  <c r="L1694" i="114"/>
  <c r="L1685" i="114"/>
  <c r="L1676" i="114"/>
  <c r="L1667" i="114"/>
  <c r="L1658" i="114"/>
  <c r="L1649" i="114"/>
  <c r="L1640" i="114"/>
  <c r="L1631" i="114"/>
  <c r="L1622" i="114"/>
  <c r="L1613" i="114"/>
  <c r="L1604" i="114"/>
  <c r="L1595" i="114"/>
  <c r="L1586" i="114"/>
  <c r="L1577" i="114"/>
  <c r="L1568" i="114"/>
  <c r="L1559" i="114"/>
  <c r="L1550" i="114"/>
  <c r="L1541" i="114"/>
  <c r="L1532" i="114"/>
  <c r="L1523" i="114"/>
  <c r="L1514" i="114"/>
  <c r="L1505" i="114"/>
  <c r="L1496" i="114"/>
  <c r="L1487" i="114"/>
  <c r="L1478" i="114"/>
  <c r="L1469" i="114"/>
  <c r="L1460" i="114"/>
  <c r="L1451" i="114"/>
  <c r="L1442" i="114"/>
  <c r="L1433" i="114"/>
  <c r="L1424" i="114"/>
  <c r="L1415" i="114"/>
  <c r="L1406" i="114"/>
  <c r="L1397" i="114"/>
  <c r="L1388" i="114"/>
  <c r="L1379" i="114"/>
  <c r="L1370" i="114"/>
  <c r="L1361" i="114"/>
  <c r="L1352" i="114"/>
  <c r="L1343" i="114"/>
  <c r="L1334" i="114"/>
  <c r="L1325" i="114"/>
  <c r="L1316" i="114"/>
  <c r="L1307" i="114"/>
  <c r="L1298" i="114"/>
  <c r="L1289" i="114"/>
  <c r="L1280" i="114"/>
  <c r="L1271" i="114"/>
  <c r="L1262" i="114"/>
  <c r="L1253" i="114"/>
  <c r="L1244" i="114"/>
  <c r="L1235" i="114"/>
  <c r="L1226" i="114"/>
  <c r="L1217" i="114"/>
  <c r="L1208" i="114"/>
  <c r="L1199" i="114"/>
  <c r="L1190" i="114"/>
  <c r="L1181" i="114"/>
  <c r="L1172" i="114"/>
  <c r="L1163" i="114"/>
  <c r="L1154" i="114"/>
  <c r="L1145" i="114"/>
  <c r="L1136" i="114"/>
  <c r="L1127" i="114"/>
  <c r="L1118" i="114"/>
  <c r="L1109" i="114"/>
  <c r="L1100" i="114"/>
  <c r="L1091" i="114"/>
  <c r="L1082" i="114"/>
  <c r="L1073" i="114"/>
  <c r="L1064" i="114"/>
  <c r="L1055" i="114"/>
  <c r="L1046" i="114"/>
  <c r="L1037" i="114"/>
  <c r="L1028" i="114"/>
  <c r="L1019" i="114"/>
  <c r="L1010" i="114"/>
  <c r="L1001" i="114"/>
  <c r="L992" i="114"/>
  <c r="L983" i="114"/>
  <c r="L974" i="114"/>
  <c r="L965" i="114"/>
  <c r="L956" i="114"/>
  <c r="L947" i="114"/>
  <c r="L938" i="114"/>
  <c r="L929" i="114"/>
  <c r="L920" i="114"/>
  <c r="L911" i="114"/>
  <c r="L902" i="114"/>
  <c r="L893" i="114"/>
  <c r="L884" i="114"/>
  <c r="L875" i="114"/>
  <c r="L866" i="114"/>
  <c r="L857" i="114"/>
  <c r="L848" i="114"/>
  <c r="L839" i="114"/>
  <c r="L830" i="114"/>
  <c r="L821" i="114"/>
  <c r="L812" i="114"/>
  <c r="L803" i="114"/>
  <c r="L794" i="114"/>
  <c r="L785" i="114"/>
  <c r="L776" i="114"/>
  <c r="L767" i="114"/>
  <c r="L758" i="114"/>
  <c r="L749" i="114"/>
  <c r="L740" i="114"/>
  <c r="L731" i="114"/>
  <c r="L722" i="114"/>
  <c r="L713" i="114"/>
  <c r="L704" i="114"/>
  <c r="L695" i="114"/>
  <c r="L686" i="114"/>
  <c r="L677" i="114"/>
  <c r="L668" i="114"/>
  <c r="L659" i="114"/>
  <c r="L650" i="114"/>
  <c r="L641" i="114"/>
  <c r="L632" i="114"/>
  <c r="L623" i="114"/>
  <c r="L614" i="114"/>
  <c r="L605" i="114"/>
  <c r="L596" i="114"/>
  <c r="L587" i="114"/>
  <c r="L578" i="114"/>
  <c r="L569" i="114"/>
  <c r="L560" i="114"/>
  <c r="L551" i="114"/>
  <c r="L542" i="114"/>
  <c r="L533" i="114"/>
  <c r="L524" i="114"/>
  <c r="L515" i="114"/>
  <c r="L506" i="114"/>
  <c r="L497" i="114"/>
  <c r="L488" i="114"/>
  <c r="L479" i="114"/>
  <c r="L470" i="114"/>
  <c r="L461" i="114"/>
  <c r="L452" i="114"/>
  <c r="L443" i="114"/>
  <c r="L434" i="114"/>
  <c r="L425" i="114"/>
  <c r="L416" i="114"/>
  <c r="L407" i="114"/>
  <c r="L398" i="114"/>
  <c r="L389" i="114"/>
  <c r="L380" i="114"/>
  <c r="L371" i="114"/>
  <c r="L362" i="114"/>
  <c r="L353" i="114"/>
  <c r="L344" i="114"/>
  <c r="L335" i="114"/>
  <c r="L326" i="114"/>
  <c r="L317" i="114"/>
  <c r="L308" i="114"/>
  <c r="L299" i="114"/>
  <c r="L290" i="114"/>
  <c r="L281" i="114"/>
  <c r="L272" i="114"/>
  <c r="L263" i="114"/>
  <c r="L254" i="114"/>
  <c r="L245" i="114"/>
  <c r="L236" i="114"/>
  <c r="L227" i="114"/>
  <c r="L218" i="114"/>
  <c r="L209" i="114"/>
  <c r="L200" i="114"/>
  <c r="L191" i="114"/>
  <c r="L182" i="114"/>
  <c r="L173" i="114"/>
  <c r="L164" i="114"/>
  <c r="L155" i="114"/>
  <c r="L146" i="114"/>
  <c r="L137" i="114"/>
  <c r="L128" i="114"/>
  <c r="L119" i="114"/>
  <c r="L110" i="114"/>
  <c r="L101" i="114"/>
  <c r="L92" i="114"/>
  <c r="L83" i="114"/>
  <c r="L74" i="114"/>
  <c r="L65" i="114"/>
  <c r="L56" i="114"/>
  <c r="L47" i="114"/>
  <c r="L38" i="114"/>
  <c r="L29" i="114"/>
  <c r="L20" i="114"/>
  <c r="L11" i="114"/>
  <c r="L2" i="114"/>
  <c r="H14" i="114" a="1"/>
  <c r="H14" i="114" s="1"/>
  <c r="D947" i="114"/>
  <c r="D1729" i="114"/>
  <c r="D1728" i="114"/>
  <c r="D1727" i="114"/>
  <c r="D1726" i="114"/>
  <c r="D1725" i="114"/>
  <c r="D1724" i="114"/>
  <c r="D1723" i="114"/>
  <c r="D1722" i="114"/>
  <c r="D938" i="114"/>
  <c r="D1720" i="114"/>
  <c r="D1719" i="114"/>
  <c r="D1718" i="114"/>
  <c r="D1717" i="114"/>
  <c r="D1716" i="114"/>
  <c r="D1715" i="114"/>
  <c r="D1714" i="114"/>
  <c r="D1713" i="114"/>
  <c r="D929" i="114"/>
  <c r="D1711" i="114"/>
  <c r="D1710" i="114"/>
  <c r="D1709" i="114"/>
  <c r="D1708" i="114"/>
  <c r="D1707" i="114"/>
  <c r="D1706" i="114"/>
  <c r="D1705" i="114"/>
  <c r="D1704" i="114"/>
  <c r="D920" i="114"/>
  <c r="D884" i="114"/>
  <c r="D1702" i="114"/>
  <c r="D1701" i="114"/>
  <c r="D1700" i="114"/>
  <c r="D1699" i="114"/>
  <c r="D1698" i="114"/>
  <c r="D1697" i="114"/>
  <c r="D1696" i="114"/>
  <c r="D1695" i="114"/>
  <c r="D1694" i="114"/>
  <c r="D1693" i="114"/>
  <c r="D1692" i="114"/>
  <c r="D1691" i="114"/>
  <c r="D1690" i="114"/>
  <c r="D1689" i="114"/>
  <c r="D1688" i="114"/>
  <c r="D1687" i="114"/>
  <c r="D1686" i="114"/>
  <c r="D1685" i="114"/>
  <c r="D1684" i="114"/>
  <c r="D1683" i="114"/>
  <c r="D1682" i="114"/>
  <c r="D1681" i="114"/>
  <c r="D1680" i="114"/>
  <c r="D1679" i="114"/>
  <c r="D1678" i="114"/>
  <c r="D1677" i="114"/>
  <c r="D1676" i="114"/>
  <c r="D1675" i="114"/>
  <c r="D1674" i="114"/>
  <c r="D1673" i="114"/>
  <c r="D1672" i="114"/>
  <c r="D1671" i="114"/>
  <c r="D1670" i="114"/>
  <c r="D1669" i="114"/>
  <c r="D1668" i="114"/>
  <c r="D1667" i="114"/>
  <c r="D1666" i="114"/>
  <c r="D1665" i="114"/>
  <c r="D1664" i="114"/>
  <c r="D1663" i="114"/>
  <c r="D1662" i="114"/>
  <c r="D1661" i="114"/>
  <c r="D1660" i="114"/>
  <c r="D1659" i="114"/>
  <c r="D1658" i="114"/>
  <c r="D1657" i="114"/>
  <c r="D1656" i="114"/>
  <c r="D1655" i="114"/>
  <c r="D1654" i="114"/>
  <c r="D1653" i="114"/>
  <c r="D1652" i="114"/>
  <c r="D1651" i="114"/>
  <c r="D1650" i="114"/>
  <c r="D1649" i="114"/>
  <c r="D1648" i="114"/>
  <c r="D1647" i="114"/>
  <c r="D1646" i="114"/>
  <c r="D1645" i="114"/>
  <c r="D1644" i="114"/>
  <c r="D1643" i="114"/>
  <c r="D1642" i="114"/>
  <c r="D1641" i="114"/>
  <c r="D1640" i="114"/>
  <c r="D1639" i="114"/>
  <c r="D1638" i="114"/>
  <c r="D1637" i="114"/>
  <c r="D1636" i="114"/>
  <c r="D1635" i="114"/>
  <c r="D1634" i="114"/>
  <c r="D1633" i="114"/>
  <c r="D1632" i="114"/>
  <c r="D1631" i="114"/>
  <c r="D1630" i="114"/>
  <c r="D1629" i="114"/>
  <c r="D1628" i="114"/>
  <c r="D1627" i="114"/>
  <c r="D1626" i="114"/>
  <c r="D1625" i="114"/>
  <c r="D1624" i="114"/>
  <c r="D1623" i="114"/>
  <c r="D1622" i="114"/>
  <c r="D1621" i="114"/>
  <c r="D1620" i="114"/>
  <c r="D1619" i="114"/>
  <c r="D1618" i="114"/>
  <c r="D1617" i="114"/>
  <c r="D1616" i="114"/>
  <c r="D1615" i="114"/>
  <c r="D1614" i="114"/>
  <c r="D1613" i="114"/>
  <c r="D1612" i="114"/>
  <c r="D1611" i="114"/>
  <c r="D1610" i="114"/>
  <c r="D1609" i="114"/>
  <c r="D1608" i="114"/>
  <c r="D1607" i="114"/>
  <c r="D1606" i="114"/>
  <c r="D1605" i="114"/>
  <c r="D1604" i="114"/>
  <c r="D1603" i="114"/>
  <c r="D1602" i="114"/>
  <c r="D1601" i="114"/>
  <c r="D1600" i="114"/>
  <c r="D1599" i="114"/>
  <c r="D1598" i="114"/>
  <c r="D1597" i="114"/>
  <c r="D1596" i="114"/>
  <c r="D1595" i="114"/>
  <c r="D1594" i="114"/>
  <c r="D1593" i="114"/>
  <c r="D1592" i="114"/>
  <c r="D1591" i="114"/>
  <c r="D1590" i="114"/>
  <c r="D1589" i="114"/>
  <c r="D1588" i="114"/>
  <c r="D1587" i="114"/>
  <c r="D1586" i="114"/>
  <c r="D1585" i="114"/>
  <c r="D1584" i="114"/>
  <c r="D1583" i="114"/>
  <c r="D1582" i="114"/>
  <c r="D1581" i="114"/>
  <c r="D1580" i="114"/>
  <c r="D1579" i="114"/>
  <c r="D1578" i="114"/>
  <c r="D1577" i="114"/>
  <c r="D1576" i="114"/>
  <c r="D1575" i="114"/>
  <c r="D1574" i="114"/>
  <c r="D1573" i="114"/>
  <c r="D1572" i="114"/>
  <c r="D1571" i="114"/>
  <c r="D1570" i="114"/>
  <c r="D1569" i="114"/>
  <c r="D1568" i="114"/>
  <c r="D1567" i="114"/>
  <c r="D1566" i="114"/>
  <c r="D1565" i="114"/>
  <c r="D1564" i="114"/>
  <c r="D1563" i="114"/>
  <c r="D1562" i="114"/>
  <c r="D1561" i="114"/>
  <c r="D1560" i="114"/>
  <c r="D1559" i="114"/>
  <c r="D1558" i="114"/>
  <c r="D1557" i="114"/>
  <c r="D1556" i="114"/>
  <c r="D1555" i="114"/>
  <c r="D1554" i="114"/>
  <c r="D1553" i="114"/>
  <c r="D1552" i="114"/>
  <c r="D1551" i="114"/>
  <c r="D1550" i="114"/>
  <c r="D1549" i="114"/>
  <c r="D1548" i="114"/>
  <c r="D1547" i="114"/>
  <c r="D1546" i="114"/>
  <c r="D1545" i="114"/>
  <c r="D1544" i="114"/>
  <c r="D1543" i="114"/>
  <c r="D1542" i="114"/>
  <c r="D1541" i="114"/>
  <c r="D1540" i="114"/>
  <c r="D1539" i="114"/>
  <c r="D1538" i="114"/>
  <c r="D1537" i="114"/>
  <c r="D1536" i="114"/>
  <c r="D1535" i="114"/>
  <c r="D1534" i="114"/>
  <c r="D1533" i="114"/>
  <c r="D1532" i="114"/>
  <c r="D1531" i="114"/>
  <c r="D1530" i="114"/>
  <c r="D1529" i="114"/>
  <c r="D1528" i="114"/>
  <c r="D1527" i="114"/>
  <c r="D1526" i="114"/>
  <c r="D1525" i="114"/>
  <c r="D1524" i="114"/>
  <c r="D1523" i="114"/>
  <c r="D1522" i="114"/>
  <c r="D1521" i="114"/>
  <c r="D1520" i="114"/>
  <c r="D1519" i="114"/>
  <c r="D1518" i="114"/>
  <c r="D1517" i="114"/>
  <c r="D1516" i="114"/>
  <c r="D1515" i="114"/>
  <c r="D1514" i="114"/>
  <c r="D1513" i="114"/>
  <c r="D1512" i="114"/>
  <c r="D1511" i="114"/>
  <c r="D1510" i="114"/>
  <c r="D1509" i="114"/>
  <c r="D1508" i="114"/>
  <c r="D1507" i="114"/>
  <c r="D1506" i="114"/>
  <c r="D1505" i="114"/>
  <c r="D1504" i="114"/>
  <c r="D1503" i="114"/>
  <c r="D1502" i="114"/>
  <c r="D1501" i="114"/>
  <c r="D1500" i="114"/>
  <c r="D1499" i="114"/>
  <c r="D1498" i="114"/>
  <c r="D1497" i="114"/>
  <c r="D1496" i="114"/>
  <c r="D1495" i="114"/>
  <c r="D1494" i="114"/>
  <c r="D1493" i="114"/>
  <c r="D1492" i="114"/>
  <c r="D1491" i="114"/>
  <c r="D1490" i="114"/>
  <c r="D1489" i="114"/>
  <c r="D1488" i="114"/>
  <c r="D1487" i="114"/>
  <c r="D1486" i="114"/>
  <c r="D1485" i="114"/>
  <c r="D1484" i="114"/>
  <c r="D1483" i="114"/>
  <c r="D1482" i="114"/>
  <c r="D1481" i="114"/>
  <c r="D1480" i="114"/>
  <c r="D1479" i="114"/>
  <c r="D1478" i="114"/>
  <c r="D1477" i="114"/>
  <c r="D1476" i="114"/>
  <c r="D1475" i="114"/>
  <c r="D1474" i="114"/>
  <c r="D1473" i="114"/>
  <c r="D1472" i="114"/>
  <c r="D1471" i="114"/>
  <c r="D1470" i="114"/>
  <c r="D1469" i="114"/>
  <c r="D1468" i="114"/>
  <c r="D1467" i="114"/>
  <c r="D1466" i="114"/>
  <c r="D1465" i="114"/>
  <c r="D1464" i="114"/>
  <c r="D1463" i="114"/>
  <c r="D1462" i="114"/>
  <c r="D1461" i="114"/>
  <c r="D1460" i="114"/>
  <c r="D1459" i="114"/>
  <c r="D1458" i="114"/>
  <c r="D1457" i="114"/>
  <c r="D1456" i="114"/>
  <c r="D1455" i="114"/>
  <c r="D1454" i="114"/>
  <c r="D1453" i="114"/>
  <c r="D1452" i="114"/>
  <c r="D1451" i="114"/>
  <c r="D1450" i="114"/>
  <c r="D1449" i="114"/>
  <c r="D1448" i="114"/>
  <c r="D1447" i="114"/>
  <c r="D1446" i="114"/>
  <c r="D1445" i="114"/>
  <c r="D1444" i="114"/>
  <c r="D1443" i="114"/>
  <c r="D1442" i="114"/>
  <c r="D1441" i="114"/>
  <c r="D1440" i="114"/>
  <c r="D1439" i="114"/>
  <c r="D1438" i="114"/>
  <c r="D1437" i="114"/>
  <c r="D1436" i="114"/>
  <c r="D1435" i="114"/>
  <c r="D1434" i="114"/>
  <c r="D1433" i="114"/>
  <c r="D1432" i="114"/>
  <c r="D1431" i="114"/>
  <c r="D1430" i="114"/>
  <c r="D1429" i="114"/>
  <c r="D1428" i="114"/>
  <c r="D1427" i="114"/>
  <c r="D1426" i="114"/>
  <c r="D1425" i="114"/>
  <c r="D1424" i="114"/>
  <c r="D1423" i="114"/>
  <c r="D1422" i="114"/>
  <c r="D1421" i="114"/>
  <c r="D1420" i="114"/>
  <c r="D1419" i="114"/>
  <c r="D1418" i="114"/>
  <c r="D1417" i="114"/>
  <c r="D1416" i="114"/>
  <c r="D1415" i="114"/>
  <c r="D1414" i="114"/>
  <c r="D1413" i="114"/>
  <c r="D1412" i="114"/>
  <c r="D1411" i="114"/>
  <c r="D1410" i="114"/>
  <c r="D1409" i="114"/>
  <c r="D1408" i="114"/>
  <c r="D1407" i="114"/>
  <c r="D1406" i="114"/>
  <c r="D1405" i="114"/>
  <c r="D1404" i="114"/>
  <c r="D1403" i="114"/>
  <c r="D1402" i="114"/>
  <c r="D1401" i="114"/>
  <c r="D1400" i="114"/>
  <c r="D1399" i="114"/>
  <c r="D1398" i="114"/>
  <c r="D1397" i="114"/>
  <c r="D1396" i="114"/>
  <c r="D1395" i="114"/>
  <c r="D1394" i="114"/>
  <c r="D1393" i="114"/>
  <c r="D1392" i="114"/>
  <c r="D1391" i="114"/>
  <c r="D1390" i="114"/>
  <c r="D1389" i="114"/>
  <c r="D1388" i="114"/>
  <c r="D1387" i="114"/>
  <c r="D1386" i="114"/>
  <c r="D1385" i="114"/>
  <c r="D1384" i="114"/>
  <c r="D1383" i="114"/>
  <c r="D1382" i="114"/>
  <c r="D1381" i="114"/>
  <c r="D1380" i="114"/>
  <c r="D1379" i="114"/>
  <c r="D1378" i="114"/>
  <c r="D1377" i="114"/>
  <c r="D1376" i="114"/>
  <c r="D1375" i="114"/>
  <c r="D1374" i="114"/>
  <c r="D1373" i="114"/>
  <c r="D1372" i="114"/>
  <c r="D1371" i="114"/>
  <c r="D1370" i="114"/>
  <c r="D1369" i="114"/>
  <c r="D1368" i="114"/>
  <c r="D1367" i="114"/>
  <c r="D1366" i="114"/>
  <c r="D1365" i="114"/>
  <c r="D1364" i="114"/>
  <c r="D1363" i="114"/>
  <c r="D1362" i="114"/>
  <c r="D1361" i="114"/>
  <c r="D1360" i="114"/>
  <c r="D1359" i="114"/>
  <c r="D1358" i="114"/>
  <c r="D1357" i="114"/>
  <c r="D1356" i="114"/>
  <c r="D1355" i="114"/>
  <c r="D1354" i="114"/>
  <c r="D1353" i="114"/>
  <c r="D1352" i="114"/>
  <c r="D1351" i="114"/>
  <c r="D1350" i="114"/>
  <c r="D1349" i="114"/>
  <c r="D1348" i="114"/>
  <c r="D1347" i="114"/>
  <c r="D1346" i="114"/>
  <c r="D1345" i="114"/>
  <c r="D1344" i="114"/>
  <c r="D1343" i="114"/>
  <c r="D1342" i="114"/>
  <c r="D1341" i="114"/>
  <c r="D1340" i="114"/>
  <c r="D1339" i="114"/>
  <c r="D1338" i="114"/>
  <c r="D1337" i="114"/>
  <c r="D1336" i="114"/>
  <c r="D1335" i="114"/>
  <c r="D1334" i="114"/>
  <c r="D1333" i="114"/>
  <c r="D1332" i="114"/>
  <c r="D1331" i="114"/>
  <c r="D1330" i="114"/>
  <c r="D1329" i="114"/>
  <c r="D1328" i="114"/>
  <c r="D1327" i="114"/>
  <c r="D1326" i="114"/>
  <c r="D1325" i="114"/>
  <c r="D1324" i="114"/>
  <c r="D1323" i="114"/>
  <c r="D1322" i="114"/>
  <c r="D1321" i="114"/>
  <c r="D1320" i="114"/>
  <c r="D1319" i="114"/>
  <c r="D1318" i="114"/>
  <c r="D1317" i="114"/>
  <c r="D1316" i="114"/>
  <c r="D1315" i="114"/>
  <c r="D1314" i="114"/>
  <c r="D1313" i="114"/>
  <c r="D1312" i="114"/>
  <c r="D1311" i="114"/>
  <c r="D1310" i="114"/>
  <c r="D1309" i="114"/>
  <c r="D1308" i="114"/>
  <c r="D1307" i="114"/>
  <c r="D1306" i="114"/>
  <c r="D1305" i="114"/>
  <c r="D1304" i="114"/>
  <c r="D1303" i="114"/>
  <c r="D1302" i="114"/>
  <c r="D1301" i="114"/>
  <c r="D1300" i="114"/>
  <c r="D1299" i="114"/>
  <c r="D1298" i="114"/>
  <c r="D1297" i="114"/>
  <c r="D1296" i="114"/>
  <c r="D1295" i="114"/>
  <c r="D1294" i="114"/>
  <c r="D1293" i="114"/>
  <c r="D1292" i="114"/>
  <c r="D1291" i="114"/>
  <c r="D1290" i="114"/>
  <c r="D1289" i="114"/>
  <c r="D1288" i="114"/>
  <c r="D1287" i="114"/>
  <c r="D1286" i="114"/>
  <c r="D1285" i="114"/>
  <c r="D1284" i="114"/>
  <c r="D1283" i="114"/>
  <c r="D1282" i="114"/>
  <c r="D1281" i="114"/>
  <c r="D1280" i="114"/>
  <c r="D1279" i="114"/>
  <c r="D1278" i="114"/>
  <c r="D1277" i="114"/>
  <c r="D1276" i="114"/>
  <c r="D1275" i="114"/>
  <c r="D1274" i="114"/>
  <c r="D1273" i="114"/>
  <c r="D1272" i="114"/>
  <c r="D1271" i="114"/>
  <c r="D1270" i="114"/>
  <c r="D1269" i="114"/>
  <c r="D1268" i="114"/>
  <c r="D1267" i="114"/>
  <c r="D1266" i="114"/>
  <c r="D1265" i="114"/>
  <c r="D1264" i="114"/>
  <c r="D1263" i="114"/>
  <c r="D1262" i="114"/>
  <c r="D1261" i="114"/>
  <c r="D1260" i="114"/>
  <c r="D1259" i="114"/>
  <c r="D1258" i="114"/>
  <c r="D1257" i="114"/>
  <c r="D1256" i="114"/>
  <c r="D1255" i="114"/>
  <c r="D1254" i="114"/>
  <c r="D1253" i="114"/>
  <c r="D1252" i="114"/>
  <c r="D1251" i="114"/>
  <c r="D1250" i="114"/>
  <c r="D1249" i="114"/>
  <c r="D1248" i="114"/>
  <c r="D1247" i="114"/>
  <c r="D1246" i="114"/>
  <c r="D1245" i="114"/>
  <c r="D1244" i="114"/>
  <c r="D875" i="114"/>
  <c r="D1243" i="114"/>
  <c r="D1242" i="114"/>
  <c r="D1241" i="114"/>
  <c r="D1240" i="114"/>
  <c r="D1239" i="114"/>
  <c r="D1238" i="114"/>
  <c r="D1237" i="114"/>
  <c r="D1236" i="114"/>
  <c r="D1235" i="114"/>
  <c r="D1234" i="114"/>
  <c r="D1233" i="114"/>
  <c r="D1232" i="114"/>
  <c r="D1231" i="114"/>
  <c r="D1230" i="114"/>
  <c r="D1229" i="114"/>
  <c r="D1228" i="114"/>
  <c r="D1227" i="114"/>
  <c r="D1226" i="114"/>
  <c r="D866" i="114"/>
  <c r="D1225" i="114"/>
  <c r="D1224" i="114"/>
  <c r="D1223" i="114"/>
  <c r="D1222" i="114"/>
  <c r="D1221" i="114"/>
  <c r="D1220" i="114"/>
  <c r="D1219" i="114"/>
  <c r="D1218" i="114"/>
  <c r="D1217" i="114"/>
  <c r="D1216" i="114"/>
  <c r="D1215" i="114"/>
  <c r="D1214" i="114"/>
  <c r="D1213" i="114"/>
  <c r="D1212" i="114"/>
  <c r="D1211" i="114"/>
  <c r="D1210" i="114"/>
  <c r="D1209" i="114"/>
  <c r="D1208" i="114"/>
  <c r="D1207" i="114"/>
  <c r="D1206" i="114"/>
  <c r="D1205" i="114"/>
  <c r="D1204" i="114"/>
  <c r="D1203" i="114"/>
  <c r="D1202" i="114"/>
  <c r="D1201" i="114"/>
  <c r="D1200" i="114"/>
  <c r="D1199" i="114"/>
  <c r="D857" i="114"/>
  <c r="D848" i="114"/>
  <c r="D1198" i="114"/>
  <c r="D1197" i="114"/>
  <c r="D1196" i="114"/>
  <c r="D1195" i="114"/>
  <c r="D1194" i="114"/>
  <c r="D1193" i="114"/>
  <c r="D1192" i="114"/>
  <c r="D1191" i="114"/>
  <c r="D1190" i="114"/>
  <c r="D1189" i="114"/>
  <c r="D1188" i="114"/>
  <c r="D1187" i="114"/>
  <c r="D1186" i="114"/>
  <c r="D1185" i="114"/>
  <c r="D1184" i="114"/>
  <c r="D1183" i="114"/>
  <c r="D1182" i="114"/>
  <c r="D1181" i="114"/>
  <c r="D1180" i="114"/>
  <c r="D1179" i="114"/>
  <c r="D1178" i="114"/>
  <c r="D1177" i="114"/>
  <c r="D1176" i="114"/>
  <c r="D1175" i="114"/>
  <c r="D1174" i="114"/>
  <c r="D1173" i="114"/>
  <c r="D1172" i="114"/>
  <c r="D1171" i="114"/>
  <c r="D1170" i="114"/>
  <c r="D1169" i="114"/>
  <c r="D1168" i="114"/>
  <c r="D1167" i="114"/>
  <c r="D1166" i="114"/>
  <c r="D1165" i="114"/>
  <c r="D1164" i="114"/>
  <c r="D1163" i="114"/>
  <c r="D1162" i="114"/>
  <c r="D1161" i="114"/>
  <c r="D1160" i="114"/>
  <c r="D1159" i="114"/>
  <c r="D1158" i="114"/>
  <c r="D1157" i="114"/>
  <c r="D1156" i="114"/>
  <c r="D1155" i="114"/>
  <c r="D1154" i="114"/>
  <c r="D1153" i="114"/>
  <c r="D1152" i="114"/>
  <c r="D1151" i="114"/>
  <c r="D1150" i="114"/>
  <c r="D1149" i="114"/>
  <c r="D1148" i="114"/>
  <c r="D1147" i="114"/>
  <c r="D1146" i="114"/>
  <c r="D1145" i="114"/>
  <c r="D1144" i="114"/>
  <c r="D1143" i="114"/>
  <c r="D1142" i="114"/>
  <c r="D1141" i="114"/>
  <c r="D1140" i="114"/>
  <c r="D1139" i="114"/>
  <c r="D1138" i="114"/>
  <c r="D1137" i="114"/>
  <c r="D1136" i="114"/>
  <c r="D1135" i="114"/>
  <c r="D1134" i="114"/>
  <c r="D1133" i="114"/>
  <c r="D1132" i="114"/>
  <c r="D1131" i="114"/>
  <c r="D1130" i="114"/>
  <c r="D1129" i="114"/>
  <c r="D1128" i="114"/>
  <c r="D1127" i="114"/>
  <c r="D1126" i="114"/>
  <c r="D1125" i="114"/>
  <c r="D1124" i="114"/>
  <c r="D1123" i="114"/>
  <c r="D1122" i="114"/>
  <c r="D1121" i="114"/>
  <c r="D1120" i="114"/>
  <c r="D1119" i="114"/>
  <c r="D1118" i="114"/>
  <c r="D1117" i="114"/>
  <c r="D1116" i="114"/>
  <c r="D1115" i="114"/>
  <c r="D1114" i="114"/>
  <c r="D1113" i="114"/>
  <c r="D1112" i="114"/>
  <c r="D1111" i="114"/>
  <c r="D1110" i="114"/>
  <c r="D1109" i="114"/>
  <c r="D1108" i="114"/>
  <c r="D1107" i="114"/>
  <c r="D1106" i="114"/>
  <c r="D1105" i="114"/>
  <c r="D1104" i="114"/>
  <c r="D1103" i="114"/>
  <c r="D1102" i="114"/>
  <c r="D1101" i="114"/>
  <c r="D1100" i="114"/>
  <c r="D1099" i="114"/>
  <c r="D1098" i="114"/>
  <c r="D1097" i="114"/>
  <c r="D1096" i="114"/>
  <c r="D1095" i="114"/>
  <c r="D1094" i="114"/>
  <c r="D1093" i="114"/>
  <c r="D1092" i="114"/>
  <c r="D1091" i="114"/>
  <c r="D1090" i="114"/>
  <c r="D1089" i="114"/>
  <c r="D1088" i="114"/>
  <c r="D1087" i="114"/>
  <c r="D1086" i="114"/>
  <c r="D1085" i="114"/>
  <c r="D1084" i="114"/>
  <c r="D1083" i="114"/>
  <c r="D1082" i="114"/>
  <c r="D1081" i="114"/>
  <c r="D1080" i="114"/>
  <c r="D1079" i="114"/>
  <c r="D1078" i="114"/>
  <c r="D1077" i="114"/>
  <c r="D1076" i="114"/>
  <c r="D1075" i="114"/>
  <c r="D1074" i="114"/>
  <c r="D1073" i="114"/>
  <c r="D1072" i="114"/>
  <c r="D1071" i="114"/>
  <c r="D1070" i="114"/>
  <c r="D1069" i="114"/>
  <c r="D1068" i="114"/>
  <c r="D1067" i="114"/>
  <c r="D1066" i="114"/>
  <c r="D1065" i="114"/>
  <c r="D1064" i="114"/>
  <c r="D1063" i="114"/>
  <c r="D1062" i="114"/>
  <c r="D1061" i="114"/>
  <c r="D1060" i="114"/>
  <c r="D1059" i="114"/>
  <c r="D1058" i="114"/>
  <c r="D1057" i="114"/>
  <c r="D1056" i="114"/>
  <c r="D1055" i="114"/>
  <c r="D1054" i="114"/>
  <c r="D1053" i="114"/>
  <c r="D1052" i="114"/>
  <c r="D1051" i="114"/>
  <c r="D1050" i="114"/>
  <c r="D1049" i="114"/>
  <c r="D1048" i="114"/>
  <c r="D1047" i="114"/>
  <c r="D1046" i="114"/>
  <c r="D1045" i="114"/>
  <c r="D1044" i="114"/>
  <c r="D1043" i="114"/>
  <c r="D1042" i="114"/>
  <c r="D1041" i="114"/>
  <c r="D1040" i="114"/>
  <c r="D1039" i="114"/>
  <c r="D1038" i="114"/>
  <c r="D1037" i="114"/>
  <c r="D1036" i="114"/>
  <c r="D1035" i="114"/>
  <c r="D1034" i="114"/>
  <c r="D1033" i="114"/>
  <c r="D1032" i="114"/>
  <c r="D1031" i="114"/>
  <c r="D1030" i="114"/>
  <c r="D1029" i="114"/>
  <c r="D1028" i="114"/>
  <c r="D1027" i="114"/>
  <c r="D1026" i="114"/>
  <c r="D1025" i="114"/>
  <c r="D1024" i="114"/>
  <c r="D1023" i="114"/>
  <c r="D1022" i="114"/>
  <c r="D1021" i="114"/>
  <c r="D1020" i="114"/>
  <c r="D1019" i="114"/>
  <c r="D1018" i="114"/>
  <c r="D1017" i="114"/>
  <c r="D1016" i="114"/>
  <c r="D1015" i="114"/>
  <c r="D1014" i="114"/>
  <c r="D1013" i="114"/>
  <c r="D1012" i="114"/>
  <c r="D1011" i="114"/>
  <c r="D1010" i="114"/>
  <c r="D1009" i="114"/>
  <c r="D1008" i="114"/>
  <c r="D1007" i="114"/>
  <c r="D1006" i="114"/>
  <c r="D1005" i="114"/>
  <c r="D1004" i="114"/>
  <c r="D1003" i="114"/>
  <c r="D1002" i="114"/>
  <c r="D1001" i="114"/>
  <c r="D1000" i="114"/>
  <c r="D999" i="114"/>
  <c r="D998" i="114"/>
  <c r="D997" i="114"/>
  <c r="D996" i="114"/>
  <c r="D995" i="114"/>
  <c r="D994" i="114"/>
  <c r="D993" i="114"/>
  <c r="D992" i="114"/>
  <c r="D991" i="114"/>
  <c r="D990" i="114"/>
  <c r="D989" i="114"/>
  <c r="D988" i="114"/>
  <c r="D987" i="114"/>
  <c r="D986" i="114"/>
  <c r="D985" i="114"/>
  <c r="D984" i="114"/>
  <c r="D983" i="114"/>
  <c r="D982" i="114"/>
  <c r="D981" i="114"/>
  <c r="D980" i="114"/>
  <c r="D979" i="114"/>
  <c r="D978" i="114"/>
  <c r="D977" i="114"/>
  <c r="D976" i="114"/>
  <c r="D975" i="114"/>
  <c r="D974" i="114"/>
  <c r="D973" i="114"/>
  <c r="D972" i="114"/>
  <c r="D971" i="114"/>
  <c r="D970" i="114"/>
  <c r="D969" i="114"/>
  <c r="D968" i="114"/>
  <c r="D967" i="114"/>
  <c r="D966" i="114"/>
  <c r="D965" i="114"/>
  <c r="D964" i="114"/>
  <c r="D963" i="114"/>
  <c r="D962" i="114"/>
  <c r="D961" i="114"/>
  <c r="D960" i="114"/>
  <c r="D959" i="114"/>
  <c r="D958" i="114"/>
  <c r="D957" i="114"/>
  <c r="D956" i="114"/>
  <c r="D839" i="114"/>
  <c r="D830" i="114"/>
  <c r="D821" i="114"/>
  <c r="D955" i="114"/>
  <c r="D954" i="114"/>
  <c r="D953" i="114"/>
  <c r="D952" i="114"/>
  <c r="D951" i="114"/>
  <c r="D950" i="114"/>
  <c r="D949" i="114"/>
  <c r="D948" i="114"/>
  <c r="D191" i="114"/>
  <c r="D946" i="114"/>
  <c r="D945" i="114"/>
  <c r="D944" i="114"/>
  <c r="D943" i="114"/>
  <c r="D942" i="114"/>
  <c r="D941" i="114"/>
  <c r="D940" i="114"/>
  <c r="D939" i="114"/>
  <c r="D812" i="114"/>
  <c r="D937" i="114"/>
  <c r="D936" i="114"/>
  <c r="D935" i="114"/>
  <c r="D934" i="114"/>
  <c r="D933" i="114"/>
  <c r="D932" i="114"/>
  <c r="D931" i="114"/>
  <c r="D930" i="114"/>
  <c r="D182" i="114"/>
  <c r="D928" i="114"/>
  <c r="D927" i="114"/>
  <c r="D926" i="114"/>
  <c r="D925" i="114"/>
  <c r="D924" i="114"/>
  <c r="D923" i="114"/>
  <c r="D922" i="114"/>
  <c r="D921" i="114"/>
  <c r="D803" i="114"/>
  <c r="D919" i="114"/>
  <c r="D918" i="114"/>
  <c r="D917" i="114"/>
  <c r="D916" i="114"/>
  <c r="D915" i="114"/>
  <c r="D914" i="114"/>
  <c r="D913" i="114"/>
  <c r="D912" i="114"/>
  <c r="D911" i="114"/>
  <c r="D910" i="114"/>
  <c r="D909" i="114"/>
  <c r="D908" i="114"/>
  <c r="D907" i="114"/>
  <c r="D906" i="114"/>
  <c r="D905" i="114"/>
  <c r="D904" i="114"/>
  <c r="D903" i="114"/>
  <c r="D902" i="114"/>
  <c r="D901" i="114"/>
  <c r="D900" i="114"/>
  <c r="D899" i="114"/>
  <c r="D898" i="114"/>
  <c r="D897" i="114"/>
  <c r="D896" i="114"/>
  <c r="D895" i="114"/>
  <c r="D894" i="114"/>
  <c r="D893" i="114"/>
  <c r="D892" i="114"/>
  <c r="D891" i="114"/>
  <c r="D890" i="114"/>
  <c r="D889" i="114"/>
  <c r="D888" i="114"/>
  <c r="D887" i="114"/>
  <c r="D886" i="114"/>
  <c r="D885" i="114"/>
  <c r="D794" i="114"/>
  <c r="D883" i="114"/>
  <c r="D882" i="114"/>
  <c r="D881" i="114"/>
  <c r="D880" i="114"/>
  <c r="D879" i="114"/>
  <c r="D878" i="114"/>
  <c r="D877" i="114"/>
  <c r="D876" i="114"/>
  <c r="D785" i="114"/>
  <c r="D874" i="114"/>
  <c r="D873" i="114"/>
  <c r="D872" i="114"/>
  <c r="D871" i="114"/>
  <c r="D870" i="114"/>
  <c r="D869" i="114"/>
  <c r="D868" i="114"/>
  <c r="D867" i="114"/>
  <c r="D776" i="114"/>
  <c r="D865" i="114"/>
  <c r="D864" i="114"/>
  <c r="D863" i="114"/>
  <c r="D862" i="114"/>
  <c r="D861" i="114"/>
  <c r="D860" i="114"/>
  <c r="D859" i="114"/>
  <c r="D858" i="114"/>
  <c r="D173" i="114"/>
  <c r="D856" i="114"/>
  <c r="D855" i="114"/>
  <c r="D854" i="114"/>
  <c r="D853" i="114"/>
  <c r="D852" i="114"/>
  <c r="D851" i="114"/>
  <c r="D850" i="114"/>
  <c r="D849" i="114"/>
  <c r="D713" i="114"/>
  <c r="D847" i="114"/>
  <c r="D846" i="114"/>
  <c r="D845" i="114"/>
  <c r="D844" i="114"/>
  <c r="D843" i="114"/>
  <c r="D842" i="114"/>
  <c r="D841" i="114"/>
  <c r="D840" i="114"/>
  <c r="D164" i="114"/>
  <c r="D838" i="114"/>
  <c r="D837" i="114"/>
  <c r="D836" i="114"/>
  <c r="D835" i="114"/>
  <c r="D834" i="114"/>
  <c r="D833" i="114"/>
  <c r="D832" i="114"/>
  <c r="D831" i="114"/>
  <c r="D155" i="114"/>
  <c r="D829" i="114"/>
  <c r="D828" i="114"/>
  <c r="D827" i="114"/>
  <c r="D826" i="114"/>
  <c r="D825" i="114"/>
  <c r="D824" i="114"/>
  <c r="D823" i="114"/>
  <c r="D822" i="114"/>
  <c r="D146" i="114"/>
  <c r="D820" i="114"/>
  <c r="D819" i="114"/>
  <c r="D818" i="114"/>
  <c r="D817" i="114"/>
  <c r="D816" i="114"/>
  <c r="D815" i="114"/>
  <c r="D814" i="114"/>
  <c r="D813" i="114"/>
  <c r="D119" i="114"/>
  <c r="D811" i="114"/>
  <c r="D810" i="114"/>
  <c r="D809" i="114"/>
  <c r="D808" i="114"/>
  <c r="D807" i="114"/>
  <c r="D806" i="114"/>
  <c r="D805" i="114"/>
  <c r="D804" i="114"/>
  <c r="D110" i="114"/>
  <c r="D802" i="114"/>
  <c r="D801" i="114"/>
  <c r="D800" i="114"/>
  <c r="D799" i="114"/>
  <c r="D798" i="114"/>
  <c r="D797" i="114"/>
  <c r="D796" i="114"/>
  <c r="D795" i="114"/>
  <c r="D101" i="114"/>
  <c r="D793" i="114"/>
  <c r="D792" i="114"/>
  <c r="D791" i="114"/>
  <c r="D790" i="114"/>
  <c r="D789" i="114"/>
  <c r="D788" i="114"/>
  <c r="D787" i="114"/>
  <c r="D786" i="114"/>
  <c r="D92" i="114"/>
  <c r="D784" i="114"/>
  <c r="D783" i="114"/>
  <c r="D782" i="114"/>
  <c r="D781" i="114"/>
  <c r="D780" i="114"/>
  <c r="D779" i="114"/>
  <c r="D778" i="114"/>
  <c r="D777" i="114"/>
  <c r="D668" i="114"/>
  <c r="D775" i="114"/>
  <c r="D774" i="114"/>
  <c r="D773" i="114"/>
  <c r="D772" i="114"/>
  <c r="D771" i="114"/>
  <c r="D770" i="114"/>
  <c r="D769" i="114"/>
  <c r="D768" i="114"/>
  <c r="D767" i="114"/>
  <c r="D766" i="114"/>
  <c r="D765" i="114"/>
  <c r="D764" i="114"/>
  <c r="D763" i="114"/>
  <c r="D762" i="114"/>
  <c r="D761" i="114"/>
  <c r="D760" i="114"/>
  <c r="D759" i="114"/>
  <c r="D758" i="114"/>
  <c r="D757" i="114"/>
  <c r="D756" i="114"/>
  <c r="D755" i="114"/>
  <c r="D754" i="114"/>
  <c r="D753" i="114"/>
  <c r="D752" i="114"/>
  <c r="D751" i="114"/>
  <c r="D750" i="114"/>
  <c r="D749" i="114"/>
  <c r="D748" i="114"/>
  <c r="D747" i="114"/>
  <c r="D746" i="114"/>
  <c r="D745" i="114"/>
  <c r="D744" i="114"/>
  <c r="D743" i="114"/>
  <c r="D742" i="114"/>
  <c r="D741" i="114"/>
  <c r="D740" i="114"/>
  <c r="D739" i="114"/>
  <c r="D738" i="114"/>
  <c r="D737" i="114"/>
  <c r="D736" i="114"/>
  <c r="D735" i="114"/>
  <c r="D734" i="114"/>
  <c r="D733" i="114"/>
  <c r="D732" i="114"/>
  <c r="D731" i="114"/>
  <c r="D730" i="114"/>
  <c r="D729" i="114"/>
  <c r="D728" i="114"/>
  <c r="D727" i="114"/>
  <c r="D726" i="114"/>
  <c r="D725" i="114"/>
  <c r="D724" i="114"/>
  <c r="D723" i="114"/>
  <c r="D722" i="114"/>
  <c r="D721" i="114"/>
  <c r="D720" i="114"/>
  <c r="D719" i="114"/>
  <c r="D718" i="114"/>
  <c r="D717" i="114"/>
  <c r="D716" i="114"/>
  <c r="D715" i="114"/>
  <c r="D714" i="114"/>
  <c r="D659" i="114"/>
  <c r="D712" i="114"/>
  <c r="D711" i="114"/>
  <c r="D710" i="114"/>
  <c r="D709" i="114"/>
  <c r="D708" i="114"/>
  <c r="D707" i="114"/>
  <c r="D706" i="114"/>
  <c r="D705" i="114"/>
  <c r="D704" i="114"/>
  <c r="D703" i="114"/>
  <c r="D702" i="114"/>
  <c r="D701" i="114"/>
  <c r="D700" i="114"/>
  <c r="D699" i="114"/>
  <c r="D698" i="114"/>
  <c r="D697" i="114"/>
  <c r="D696" i="114"/>
  <c r="D695" i="114"/>
  <c r="D694" i="114"/>
  <c r="D693" i="114"/>
  <c r="D692" i="114"/>
  <c r="D691" i="114"/>
  <c r="D690" i="114"/>
  <c r="D689" i="114"/>
  <c r="D688" i="114"/>
  <c r="D687" i="114"/>
  <c r="D686" i="114"/>
  <c r="D685" i="114"/>
  <c r="D684" i="114"/>
  <c r="D683" i="114"/>
  <c r="D682" i="114"/>
  <c r="D681" i="114"/>
  <c r="D680" i="114"/>
  <c r="D679" i="114"/>
  <c r="D678" i="114"/>
  <c r="D677" i="114"/>
  <c r="D676" i="114"/>
  <c r="D675" i="114"/>
  <c r="D674" i="114"/>
  <c r="D673" i="114"/>
  <c r="D672" i="114"/>
  <c r="D671" i="114"/>
  <c r="D670" i="114"/>
  <c r="D669" i="114"/>
  <c r="D650" i="114"/>
  <c r="D667" i="114"/>
  <c r="D666" i="114"/>
  <c r="D665" i="114"/>
  <c r="D664" i="114"/>
  <c r="D663" i="114"/>
  <c r="D662" i="114"/>
  <c r="D661" i="114"/>
  <c r="D660" i="114"/>
  <c r="D641" i="114"/>
  <c r="D658" i="114"/>
  <c r="D657" i="114"/>
  <c r="D656" i="114"/>
  <c r="D655" i="114"/>
  <c r="D654" i="114"/>
  <c r="D653" i="114"/>
  <c r="D652" i="114"/>
  <c r="D651" i="114"/>
  <c r="D623" i="114"/>
  <c r="D649" i="114"/>
  <c r="D648" i="114"/>
  <c r="D647" i="114"/>
  <c r="D646" i="114"/>
  <c r="D645" i="114"/>
  <c r="D644" i="114"/>
  <c r="D643" i="114"/>
  <c r="D642" i="114"/>
  <c r="D614" i="114"/>
  <c r="D640" i="114"/>
  <c r="D639" i="114"/>
  <c r="D638" i="114"/>
  <c r="D637" i="114"/>
  <c r="D636" i="114"/>
  <c r="D635" i="114"/>
  <c r="D634" i="114"/>
  <c r="D633" i="114"/>
  <c r="D632" i="114"/>
  <c r="D631" i="114"/>
  <c r="D630" i="114"/>
  <c r="D629" i="114"/>
  <c r="D628" i="114"/>
  <c r="D627" i="114"/>
  <c r="D626" i="114"/>
  <c r="D625" i="114"/>
  <c r="D624" i="114"/>
  <c r="D605" i="114"/>
  <c r="D622" i="114"/>
  <c r="D621" i="114"/>
  <c r="D620" i="114"/>
  <c r="D619" i="114"/>
  <c r="D618" i="114"/>
  <c r="D617" i="114"/>
  <c r="D616" i="114"/>
  <c r="D615" i="114"/>
  <c r="D587" i="114"/>
  <c r="D613" i="114"/>
  <c r="D612" i="114"/>
  <c r="D611" i="114"/>
  <c r="D610" i="114"/>
  <c r="D609" i="114"/>
  <c r="D608" i="114"/>
  <c r="D607" i="114"/>
  <c r="D606" i="114"/>
  <c r="D452" i="114"/>
  <c r="D604" i="114"/>
  <c r="D603" i="114"/>
  <c r="D602" i="114"/>
  <c r="D601" i="114"/>
  <c r="D600" i="114"/>
  <c r="D599" i="114"/>
  <c r="D598" i="114"/>
  <c r="D597" i="114"/>
  <c r="D596" i="114"/>
  <c r="D595" i="114"/>
  <c r="D594" i="114"/>
  <c r="D593" i="114"/>
  <c r="D592" i="114"/>
  <c r="D591" i="114"/>
  <c r="D590" i="114"/>
  <c r="D589" i="114"/>
  <c r="D588" i="114"/>
  <c r="D389" i="114"/>
  <c r="D586" i="114"/>
  <c r="D585" i="114"/>
  <c r="D584" i="114"/>
  <c r="D583" i="114"/>
  <c r="D582" i="114"/>
  <c r="D581" i="114"/>
  <c r="D580" i="114"/>
  <c r="D579" i="114"/>
  <c r="D578" i="114"/>
  <c r="D577" i="114"/>
  <c r="D576" i="114"/>
  <c r="D575" i="114"/>
  <c r="D574" i="114"/>
  <c r="D573" i="114"/>
  <c r="D572" i="114"/>
  <c r="D571" i="114"/>
  <c r="D570" i="114"/>
  <c r="D569" i="114"/>
  <c r="D568" i="114"/>
  <c r="D567" i="114"/>
  <c r="D566" i="114"/>
  <c r="D565" i="114"/>
  <c r="D564" i="114"/>
  <c r="D563" i="114"/>
  <c r="D562" i="114"/>
  <c r="D561" i="114"/>
  <c r="D560" i="114"/>
  <c r="D559" i="114"/>
  <c r="D558" i="114"/>
  <c r="D557" i="114"/>
  <c r="D556" i="114"/>
  <c r="D555" i="114"/>
  <c r="D554" i="114"/>
  <c r="D553" i="114"/>
  <c r="D552" i="114"/>
  <c r="D551" i="114"/>
  <c r="D550" i="114"/>
  <c r="D549" i="114"/>
  <c r="D548" i="114"/>
  <c r="D547" i="114"/>
  <c r="D546" i="114"/>
  <c r="D545" i="114"/>
  <c r="D544" i="114"/>
  <c r="D543" i="114"/>
  <c r="D542" i="114"/>
  <c r="D541" i="114"/>
  <c r="D540" i="114"/>
  <c r="D539" i="114"/>
  <c r="D538" i="114"/>
  <c r="D537" i="114"/>
  <c r="D536" i="114"/>
  <c r="D535" i="114"/>
  <c r="D534" i="114"/>
  <c r="D533" i="114"/>
  <c r="D532" i="114"/>
  <c r="D531" i="114"/>
  <c r="D530" i="114"/>
  <c r="D529" i="114"/>
  <c r="D528" i="114"/>
  <c r="D527" i="114"/>
  <c r="D526" i="114"/>
  <c r="D525" i="114"/>
  <c r="D524" i="114"/>
  <c r="D523" i="114"/>
  <c r="D522" i="114"/>
  <c r="D521" i="114"/>
  <c r="D520" i="114"/>
  <c r="D519" i="114"/>
  <c r="D518" i="114"/>
  <c r="D517" i="114"/>
  <c r="D516" i="114"/>
  <c r="D515" i="114"/>
  <c r="D514" i="114"/>
  <c r="D513" i="114"/>
  <c r="D512" i="114"/>
  <c r="D511" i="114"/>
  <c r="D510" i="114"/>
  <c r="D509" i="114"/>
  <c r="D508" i="114"/>
  <c r="D507" i="114"/>
  <c r="D506" i="114"/>
  <c r="D505" i="114"/>
  <c r="D504" i="114"/>
  <c r="D503" i="114"/>
  <c r="D502" i="114"/>
  <c r="D501" i="114"/>
  <c r="D500" i="114"/>
  <c r="D499" i="114"/>
  <c r="D498" i="114"/>
  <c r="D497" i="114"/>
  <c r="D496" i="114"/>
  <c r="D495" i="114"/>
  <c r="D494" i="114"/>
  <c r="D493" i="114"/>
  <c r="D492" i="114"/>
  <c r="D491" i="114"/>
  <c r="D490" i="114"/>
  <c r="D489" i="114"/>
  <c r="D488" i="114"/>
  <c r="D487" i="114"/>
  <c r="D486" i="114"/>
  <c r="D485" i="114"/>
  <c r="D484" i="114"/>
  <c r="D483" i="114"/>
  <c r="D482" i="114"/>
  <c r="D481" i="114"/>
  <c r="D480" i="114"/>
  <c r="D479" i="114"/>
  <c r="D478" i="114"/>
  <c r="D477" i="114"/>
  <c r="D476" i="114"/>
  <c r="D475" i="114"/>
  <c r="D474" i="114"/>
  <c r="D473" i="114"/>
  <c r="D472" i="114"/>
  <c r="D471" i="114"/>
  <c r="D470" i="114"/>
  <c r="D469" i="114"/>
  <c r="D468" i="114"/>
  <c r="D467" i="114"/>
  <c r="D466" i="114"/>
  <c r="D465" i="114"/>
  <c r="D464" i="114"/>
  <c r="D463" i="114"/>
  <c r="D462" i="114"/>
  <c r="D461" i="114"/>
  <c r="D460" i="114"/>
  <c r="D459" i="114"/>
  <c r="D458" i="114"/>
  <c r="D457" i="114"/>
  <c r="D456" i="114"/>
  <c r="D455" i="114"/>
  <c r="D454" i="114"/>
  <c r="D453" i="114"/>
  <c r="D371" i="114"/>
  <c r="D451" i="114"/>
  <c r="D450" i="114"/>
  <c r="D449" i="114"/>
  <c r="D448" i="114"/>
  <c r="D447" i="114"/>
  <c r="D446" i="114"/>
  <c r="D445" i="114"/>
  <c r="D444" i="114"/>
  <c r="D443" i="114"/>
  <c r="D442" i="114"/>
  <c r="D441" i="114"/>
  <c r="D440" i="114"/>
  <c r="D439" i="114"/>
  <c r="D438" i="114"/>
  <c r="D437" i="114"/>
  <c r="D436" i="114"/>
  <c r="D435" i="114"/>
  <c r="D434" i="114"/>
  <c r="D433" i="114"/>
  <c r="D432" i="114"/>
  <c r="D431" i="114"/>
  <c r="D430" i="114"/>
  <c r="D429" i="114"/>
  <c r="D428" i="114"/>
  <c r="D427" i="114"/>
  <c r="D426" i="114"/>
  <c r="D425" i="114"/>
  <c r="D424" i="114"/>
  <c r="D423" i="114"/>
  <c r="D422" i="114"/>
  <c r="D421" i="114"/>
  <c r="D420" i="114"/>
  <c r="D419" i="114"/>
  <c r="D418" i="114"/>
  <c r="D417" i="114"/>
  <c r="D416" i="114"/>
  <c r="D415" i="114"/>
  <c r="D414" i="114"/>
  <c r="D413" i="114"/>
  <c r="D412" i="114"/>
  <c r="D411" i="114"/>
  <c r="D410" i="114"/>
  <c r="D409" i="114"/>
  <c r="D408" i="114"/>
  <c r="D407" i="114"/>
  <c r="D406" i="114"/>
  <c r="D405" i="114"/>
  <c r="D404" i="114"/>
  <c r="D403" i="114"/>
  <c r="D402" i="114"/>
  <c r="D401" i="114"/>
  <c r="D400" i="114"/>
  <c r="D399" i="114"/>
  <c r="D398" i="114"/>
  <c r="D397" i="114"/>
  <c r="D396" i="114"/>
  <c r="D395" i="114"/>
  <c r="D394" i="114"/>
  <c r="D393" i="114"/>
  <c r="D392" i="114"/>
  <c r="D391" i="114"/>
  <c r="D390" i="114"/>
  <c r="D83" i="114"/>
  <c r="D388" i="114"/>
  <c r="D387" i="114"/>
  <c r="D386" i="114"/>
  <c r="D385" i="114"/>
  <c r="D384" i="114"/>
  <c r="D383" i="114"/>
  <c r="D382" i="114"/>
  <c r="D381" i="114"/>
  <c r="D380" i="114"/>
  <c r="D379" i="114"/>
  <c r="D378" i="114"/>
  <c r="D377" i="114"/>
  <c r="D376" i="114"/>
  <c r="D375" i="114"/>
  <c r="D374" i="114"/>
  <c r="D373" i="114"/>
  <c r="D372" i="114"/>
  <c r="D74" i="114"/>
  <c r="D370" i="114"/>
  <c r="D369" i="114"/>
  <c r="D368" i="114"/>
  <c r="D367" i="114"/>
  <c r="D366" i="114"/>
  <c r="D365" i="114"/>
  <c r="D364" i="114"/>
  <c r="D363" i="114"/>
  <c r="D65" i="114"/>
  <c r="D361" i="114"/>
  <c r="D360" i="114"/>
  <c r="D359" i="114"/>
  <c r="D358" i="114"/>
  <c r="D357" i="114"/>
  <c r="D356" i="114"/>
  <c r="D355" i="114"/>
  <c r="D354" i="114"/>
  <c r="D353" i="114"/>
  <c r="D352" i="114"/>
  <c r="D351" i="114"/>
  <c r="D350" i="114"/>
  <c r="D349" i="114"/>
  <c r="D348" i="114"/>
  <c r="D347" i="114"/>
  <c r="D346" i="114"/>
  <c r="D345" i="114"/>
  <c r="D344" i="114"/>
  <c r="D343" i="114"/>
  <c r="D342" i="114"/>
  <c r="D341" i="114"/>
  <c r="D340" i="114"/>
  <c r="D339" i="114"/>
  <c r="D338" i="114"/>
  <c r="D337" i="114"/>
  <c r="D336" i="114"/>
  <c r="D335" i="114"/>
  <c r="D334" i="114"/>
  <c r="D333" i="114"/>
  <c r="D332" i="114"/>
  <c r="D331" i="114"/>
  <c r="D330" i="114"/>
  <c r="D329" i="114"/>
  <c r="D328" i="114"/>
  <c r="D327" i="114"/>
  <c r="D326" i="114"/>
  <c r="D325" i="114"/>
  <c r="D324" i="114"/>
  <c r="D323" i="114"/>
  <c r="D322" i="114"/>
  <c r="D321" i="114"/>
  <c r="D320" i="114"/>
  <c r="D319" i="114"/>
  <c r="D318" i="114"/>
  <c r="D317" i="114"/>
  <c r="D316" i="114"/>
  <c r="D315" i="114"/>
  <c r="D314" i="114"/>
  <c r="D313" i="114"/>
  <c r="D312" i="114"/>
  <c r="D311" i="114"/>
  <c r="D310" i="114"/>
  <c r="D309" i="114"/>
  <c r="D308" i="114"/>
  <c r="D307" i="114"/>
  <c r="D306" i="114"/>
  <c r="D305" i="114"/>
  <c r="D304" i="114"/>
  <c r="D303" i="114"/>
  <c r="D302" i="114"/>
  <c r="D301" i="114"/>
  <c r="D300" i="114"/>
  <c r="D299" i="114"/>
  <c r="D298" i="114"/>
  <c r="D297" i="114"/>
  <c r="D296" i="114"/>
  <c r="D295" i="114"/>
  <c r="D294" i="114"/>
  <c r="D293" i="114"/>
  <c r="D292" i="114"/>
  <c r="D291" i="114"/>
  <c r="D290" i="114"/>
  <c r="D289" i="114"/>
  <c r="D288" i="114"/>
  <c r="D287" i="114"/>
  <c r="D286" i="114"/>
  <c r="D285" i="114"/>
  <c r="D284" i="114"/>
  <c r="D283" i="114"/>
  <c r="D282" i="114"/>
  <c r="D281" i="114"/>
  <c r="D280" i="114"/>
  <c r="D279" i="114"/>
  <c r="D278" i="114"/>
  <c r="D277" i="114"/>
  <c r="D276" i="114"/>
  <c r="D275" i="114"/>
  <c r="D274" i="114"/>
  <c r="D273" i="114"/>
  <c r="D272" i="114"/>
  <c r="D271" i="114"/>
  <c r="D270" i="114"/>
  <c r="D269" i="114"/>
  <c r="D268" i="114"/>
  <c r="D267" i="114"/>
  <c r="D266" i="114"/>
  <c r="D265" i="114"/>
  <c r="D264" i="114"/>
  <c r="D263" i="114"/>
  <c r="D262" i="114"/>
  <c r="D261" i="114"/>
  <c r="D260" i="114"/>
  <c r="D259" i="114"/>
  <c r="D258" i="114"/>
  <c r="D257" i="114"/>
  <c r="D256" i="114"/>
  <c r="D255" i="114"/>
  <c r="D254" i="114"/>
  <c r="D253" i="114"/>
  <c r="D252" i="114"/>
  <c r="D251" i="114"/>
  <c r="D250" i="114"/>
  <c r="D249" i="114"/>
  <c r="D248" i="114"/>
  <c r="D247" i="114"/>
  <c r="D246" i="114"/>
  <c r="D245" i="114"/>
  <c r="D244" i="114"/>
  <c r="D243" i="114"/>
  <c r="D242" i="114"/>
  <c r="D241" i="114"/>
  <c r="D240" i="114"/>
  <c r="D239" i="114"/>
  <c r="D238" i="114"/>
  <c r="D237" i="114"/>
  <c r="D236" i="114"/>
  <c r="D235" i="114"/>
  <c r="D234" i="114"/>
  <c r="D233" i="114"/>
  <c r="D232" i="114"/>
  <c r="D231" i="114"/>
  <c r="D230" i="114"/>
  <c r="D229" i="114"/>
  <c r="D228" i="114"/>
  <c r="D227" i="114"/>
  <c r="D226" i="114"/>
  <c r="D225" i="114"/>
  <c r="D224" i="114"/>
  <c r="D223" i="114"/>
  <c r="D222" i="114"/>
  <c r="D221" i="114"/>
  <c r="D220" i="114"/>
  <c r="D219" i="114"/>
  <c r="D218" i="114"/>
  <c r="D217" i="114"/>
  <c r="D216" i="114"/>
  <c r="D215" i="114"/>
  <c r="D214" i="114"/>
  <c r="D213" i="114"/>
  <c r="D212" i="114"/>
  <c r="D211" i="114"/>
  <c r="D210" i="114"/>
  <c r="D209" i="114"/>
  <c r="D208" i="114"/>
  <c r="D207" i="114"/>
  <c r="D206" i="114"/>
  <c r="D205" i="114"/>
  <c r="D204" i="114"/>
  <c r="D203" i="114"/>
  <c r="D202" i="114"/>
  <c r="D201" i="114"/>
  <c r="D1802" i="114"/>
  <c r="D199" i="114"/>
  <c r="D198" i="114"/>
  <c r="D197" i="114"/>
  <c r="D196" i="114"/>
  <c r="D195" i="114"/>
  <c r="D194" i="114"/>
  <c r="D193" i="114"/>
  <c r="D192" i="114"/>
  <c r="D1793" i="114"/>
  <c r="D190" i="114"/>
  <c r="D189" i="114"/>
  <c r="D188" i="114"/>
  <c r="D187" i="114"/>
  <c r="D186" i="114"/>
  <c r="D185" i="114"/>
  <c r="D184" i="114"/>
  <c r="D183" i="114"/>
  <c r="D1784" i="114"/>
  <c r="D181" i="114"/>
  <c r="D180" i="114"/>
  <c r="D179" i="114"/>
  <c r="D178" i="114"/>
  <c r="D177" i="114"/>
  <c r="D176" i="114"/>
  <c r="D175" i="114"/>
  <c r="D174" i="114"/>
  <c r="D1775" i="114"/>
  <c r="D172" i="114"/>
  <c r="D171" i="114"/>
  <c r="D170" i="114"/>
  <c r="D169" i="114"/>
  <c r="D168" i="114"/>
  <c r="D167" i="114"/>
  <c r="D166" i="114"/>
  <c r="D165" i="114"/>
  <c r="D1766" i="114"/>
  <c r="D163" i="114"/>
  <c r="D162" i="114"/>
  <c r="D161" i="114"/>
  <c r="D160" i="114"/>
  <c r="D159" i="114"/>
  <c r="D158" i="114"/>
  <c r="D157" i="114"/>
  <c r="D156" i="114"/>
  <c r="D1757" i="114"/>
  <c r="D154" i="114"/>
  <c r="D153" i="114"/>
  <c r="D152" i="114"/>
  <c r="D151" i="114"/>
  <c r="D150" i="114"/>
  <c r="D149" i="114"/>
  <c r="D148" i="114"/>
  <c r="D147" i="114"/>
  <c r="D1748" i="114"/>
  <c r="D145" i="114"/>
  <c r="D144" i="114"/>
  <c r="D143" i="114"/>
  <c r="D142" i="114"/>
  <c r="D141" i="114"/>
  <c r="D140" i="114"/>
  <c r="D139" i="114"/>
  <c r="D138" i="114"/>
  <c r="D137" i="114"/>
  <c r="D136" i="114"/>
  <c r="D135" i="114"/>
  <c r="D134" i="114"/>
  <c r="D133" i="114"/>
  <c r="D132" i="114"/>
  <c r="D131" i="114"/>
  <c r="D130" i="114"/>
  <c r="D129" i="114"/>
  <c r="D128" i="114"/>
  <c r="D127" i="114"/>
  <c r="D126" i="114"/>
  <c r="D125" i="114"/>
  <c r="D124" i="114"/>
  <c r="D123" i="114"/>
  <c r="D122" i="114"/>
  <c r="D121" i="114"/>
  <c r="D120" i="114"/>
  <c r="D1739" i="114"/>
  <c r="D118" i="114"/>
  <c r="D117" i="114"/>
  <c r="D116" i="114"/>
  <c r="D115" i="114"/>
  <c r="D114" i="114"/>
  <c r="D113" i="114"/>
  <c r="D112" i="114"/>
  <c r="D111" i="114"/>
  <c r="D1730" i="114"/>
  <c r="D109" i="114"/>
  <c r="D108" i="114"/>
  <c r="D107" i="114"/>
  <c r="D106" i="114"/>
  <c r="D105" i="114"/>
  <c r="D104" i="114"/>
  <c r="D103" i="114"/>
  <c r="D102" i="114"/>
  <c r="D1721" i="114"/>
  <c r="D100" i="114"/>
  <c r="D99" i="114"/>
  <c r="D98" i="114"/>
  <c r="D97" i="114"/>
  <c r="D96" i="114"/>
  <c r="D95" i="114"/>
  <c r="D94" i="114"/>
  <c r="D93" i="114"/>
  <c r="D56" i="114"/>
  <c r="D91" i="114"/>
  <c r="D90" i="114"/>
  <c r="D89" i="114"/>
  <c r="D88" i="114"/>
  <c r="D87" i="114"/>
  <c r="D86" i="114"/>
  <c r="D85" i="114"/>
  <c r="D84" i="114"/>
  <c r="D362" i="114"/>
  <c r="D82" i="114"/>
  <c r="D81" i="114"/>
  <c r="D80" i="114"/>
  <c r="D79" i="114"/>
  <c r="D78" i="114"/>
  <c r="D77" i="114"/>
  <c r="D76" i="114"/>
  <c r="D75" i="114"/>
  <c r="D200" i="114"/>
  <c r="D73" i="114"/>
  <c r="D72" i="114"/>
  <c r="D71" i="114"/>
  <c r="D70" i="114"/>
  <c r="D69" i="114"/>
  <c r="D68" i="114"/>
  <c r="D67" i="114"/>
  <c r="D66" i="114"/>
  <c r="D2" i="114"/>
  <c r="D64" i="114"/>
  <c r="D63" i="114"/>
  <c r="D62" i="114"/>
  <c r="D61" i="114"/>
  <c r="D60" i="114"/>
  <c r="D59" i="114"/>
  <c r="D58" i="114"/>
  <c r="D57" i="114"/>
  <c r="D1712" i="114"/>
  <c r="D55" i="114"/>
  <c r="D54" i="114"/>
  <c r="D53" i="114"/>
  <c r="D52" i="114"/>
  <c r="D51" i="114"/>
  <c r="D50" i="114"/>
  <c r="D49" i="114"/>
  <c r="D48" i="114"/>
  <c r="D47" i="114"/>
  <c r="D46" i="114"/>
  <c r="D45" i="114"/>
  <c r="D44" i="114"/>
  <c r="D43" i="114"/>
  <c r="D42" i="114"/>
  <c r="D41" i="114"/>
  <c r="D40" i="114"/>
  <c r="D39" i="114"/>
  <c r="D38" i="114"/>
  <c r="D37" i="114"/>
  <c r="D36" i="114"/>
  <c r="D35" i="114"/>
  <c r="D34" i="114"/>
  <c r="D33" i="114"/>
  <c r="D32" i="114"/>
  <c r="D31" i="114"/>
  <c r="D30" i="114"/>
  <c r="D29" i="114"/>
  <c r="D28" i="114"/>
  <c r="D27" i="114"/>
  <c r="D26" i="114"/>
  <c r="D25" i="114"/>
  <c r="D24" i="114"/>
  <c r="D23" i="114"/>
  <c r="D22" i="114"/>
  <c r="D21" i="114"/>
  <c r="D20" i="114"/>
  <c r="D19" i="114"/>
  <c r="D18" i="114"/>
  <c r="D17" i="114"/>
  <c r="D16" i="114"/>
  <c r="D15" i="114"/>
  <c r="D14" i="114"/>
  <c r="D13" i="114"/>
  <c r="D12" i="114"/>
  <c r="D11" i="114"/>
  <c r="F12" i="114" a="1"/>
  <c r="F12" i="114" s="1"/>
  <c r="G12" i="114" a="1"/>
  <c r="G12" i="114" s="1"/>
  <c r="I12" i="114" s="1"/>
  <c r="F13" i="114" a="1"/>
  <c r="F13" i="114" s="1"/>
  <c r="G13" i="114" a="1"/>
  <c r="G13" i="114" s="1"/>
  <c r="I13" i="114" s="1"/>
  <c r="H13" i="114" a="1"/>
  <c r="H13" i="114" s="1"/>
  <c r="F14" i="114" a="1"/>
  <c r="F14" i="114" s="1"/>
  <c r="G14" i="114" a="1"/>
  <c r="G14" i="114" s="1"/>
  <c r="I14" i="114" s="1"/>
  <c r="F15" i="114" a="1"/>
  <c r="F15" i="114" s="1"/>
  <c r="G15" i="114" a="1"/>
  <c r="G15" i="114" s="1"/>
  <c r="I15" i="114" s="1"/>
  <c r="H15" i="114" a="1"/>
  <c r="H15" i="114" s="1"/>
  <c r="F16" i="114" a="1"/>
  <c r="F16" i="114" s="1"/>
  <c r="G16" i="114" a="1"/>
  <c r="G16" i="114" s="1"/>
  <c r="I16" i="114" s="1"/>
  <c r="H16" i="114" a="1"/>
  <c r="H16" i="114" s="1"/>
  <c r="F17" i="114" a="1"/>
  <c r="F17" i="114" s="1"/>
  <c r="G17" i="114" a="1"/>
  <c r="G17" i="114" s="1"/>
  <c r="I17" i="114" s="1"/>
  <c r="H17" i="114" a="1"/>
  <c r="H17" i="114" s="1"/>
  <c r="F18" i="114" a="1"/>
  <c r="F18" i="114" s="1"/>
  <c r="G18" i="114" a="1"/>
  <c r="G18" i="114" s="1"/>
  <c r="I18" i="114" s="1"/>
  <c r="H18" i="114" a="1"/>
  <c r="H18" i="114" s="1"/>
  <c r="H19" i="114" a="1"/>
  <c r="H19" i="114" s="1"/>
  <c r="F21" i="114" a="1"/>
  <c r="F21" i="114" s="1"/>
  <c r="G21" i="114" a="1"/>
  <c r="G21" i="114" s="1"/>
  <c r="I21" i="114" s="1"/>
  <c r="H21" i="114" a="1"/>
  <c r="H21" i="114" s="1"/>
  <c r="F22" i="114" a="1"/>
  <c r="F22" i="114" s="1"/>
  <c r="G22" i="114" a="1"/>
  <c r="G22" i="114" s="1"/>
  <c r="I22" i="114" s="1"/>
  <c r="H22" i="114" a="1"/>
  <c r="H22" i="114" s="1"/>
  <c r="F23" i="114" a="1"/>
  <c r="F23" i="114" s="1"/>
  <c r="G23" i="114" a="1"/>
  <c r="G23" i="114" s="1"/>
  <c r="I23" i="114" s="1"/>
  <c r="H23" i="114" a="1"/>
  <c r="H23" i="114" s="1"/>
  <c r="F24" i="114" a="1"/>
  <c r="F24" i="114" s="1"/>
  <c r="G24" i="114" a="1"/>
  <c r="G24" i="114" s="1"/>
  <c r="I24" i="114" s="1"/>
  <c r="H24" i="114" a="1"/>
  <c r="H24" i="114" s="1"/>
  <c r="F25" i="114" a="1"/>
  <c r="F25" i="114" s="1"/>
  <c r="G25" i="114" a="1"/>
  <c r="G25" i="114" s="1"/>
  <c r="I25" i="114" s="1"/>
  <c r="H25" i="114" a="1"/>
  <c r="H25" i="114" s="1"/>
  <c r="F26" i="114" a="1"/>
  <c r="F26" i="114" s="1"/>
  <c r="G26" i="114" a="1"/>
  <c r="G26" i="114" s="1"/>
  <c r="I26" i="114" s="1"/>
  <c r="H26" i="114" a="1"/>
  <c r="H26" i="114" s="1"/>
  <c r="F27" i="114" a="1"/>
  <c r="F27" i="114" s="1"/>
  <c r="G27" i="114" a="1"/>
  <c r="G27" i="114" s="1"/>
  <c r="I27" i="114" s="1"/>
  <c r="H27" i="114" a="1"/>
  <c r="H27" i="114" s="1"/>
  <c r="H28" i="114" a="1"/>
  <c r="H28" i="114" s="1"/>
  <c r="F30" i="114" a="1"/>
  <c r="F30" i="114" s="1"/>
  <c r="G30" i="114" a="1"/>
  <c r="G30" i="114" s="1"/>
  <c r="I30" i="114" s="1"/>
  <c r="H30" i="114" a="1"/>
  <c r="H30" i="114" s="1"/>
  <c r="F31" i="114" a="1"/>
  <c r="F31" i="114" s="1"/>
  <c r="G31" i="114" a="1"/>
  <c r="G31" i="114" s="1"/>
  <c r="I31" i="114" s="1"/>
  <c r="H31" i="114" a="1"/>
  <c r="H31" i="114" s="1"/>
  <c r="F32" i="114" a="1"/>
  <c r="F32" i="114" s="1"/>
  <c r="G32" i="114" a="1"/>
  <c r="G32" i="114" s="1"/>
  <c r="I32" i="114" s="1"/>
  <c r="H32" i="114" a="1"/>
  <c r="H32" i="114" s="1"/>
  <c r="F33" i="114" a="1"/>
  <c r="F33" i="114" s="1"/>
  <c r="G33" i="114" a="1"/>
  <c r="G33" i="114" s="1"/>
  <c r="I33" i="114" s="1"/>
  <c r="H33" i="114" a="1"/>
  <c r="H33" i="114" s="1"/>
  <c r="F34" i="114" a="1"/>
  <c r="F34" i="114" s="1"/>
  <c r="G34" i="114" a="1"/>
  <c r="G34" i="114" s="1"/>
  <c r="I34" i="114" s="1"/>
  <c r="H34" i="114" a="1"/>
  <c r="H34" i="114" s="1"/>
  <c r="F35" i="114" a="1"/>
  <c r="F35" i="114" s="1"/>
  <c r="G35" i="114" a="1"/>
  <c r="G35" i="114" s="1"/>
  <c r="I35" i="114" s="1"/>
  <c r="H35" i="114" a="1"/>
  <c r="H35" i="114" s="1"/>
  <c r="F36" i="114" a="1"/>
  <c r="F36" i="114" s="1"/>
  <c r="G36" i="114" a="1"/>
  <c r="G36" i="114" s="1"/>
  <c r="I36" i="114" s="1"/>
  <c r="H36" i="114" a="1"/>
  <c r="H36" i="114" s="1"/>
  <c r="H37" i="114" a="1"/>
  <c r="H37" i="114" s="1"/>
  <c r="F39" i="114" a="1"/>
  <c r="F39" i="114" s="1"/>
  <c r="G39" i="114" a="1"/>
  <c r="G39" i="114" s="1"/>
  <c r="I39" i="114" s="1"/>
  <c r="H39" i="114" a="1"/>
  <c r="H39" i="114" s="1"/>
  <c r="F40" i="114" a="1"/>
  <c r="F40" i="114" s="1"/>
  <c r="G40" i="114" a="1"/>
  <c r="G40" i="114" s="1"/>
  <c r="I40" i="114" s="1"/>
  <c r="H40" i="114" a="1"/>
  <c r="H40" i="114" s="1"/>
  <c r="F41" i="114" a="1"/>
  <c r="F41" i="114" s="1"/>
  <c r="G41" i="114" a="1"/>
  <c r="G41" i="114" s="1"/>
  <c r="I41" i="114" s="1"/>
  <c r="H41" i="114" a="1"/>
  <c r="H41" i="114" s="1"/>
  <c r="F42" i="114" a="1"/>
  <c r="F42" i="114" s="1"/>
  <c r="G42" i="114" a="1"/>
  <c r="G42" i="114" s="1"/>
  <c r="I42" i="114" s="1"/>
  <c r="H42" i="114" a="1"/>
  <c r="H42" i="114" s="1"/>
  <c r="F43" i="114" a="1"/>
  <c r="F43" i="114" s="1"/>
  <c r="G43" i="114" a="1"/>
  <c r="G43" i="114" s="1"/>
  <c r="I43" i="114" s="1"/>
  <c r="H43" i="114" a="1"/>
  <c r="H43" i="114" s="1"/>
  <c r="F44" i="114" a="1"/>
  <c r="F44" i="114" s="1"/>
  <c r="G44" i="114" a="1"/>
  <c r="G44" i="114" s="1"/>
  <c r="I44" i="114" s="1"/>
  <c r="H44" i="114" a="1"/>
  <c r="H44" i="114" s="1"/>
  <c r="F45" i="114" a="1"/>
  <c r="F45" i="114" s="1"/>
  <c r="G45" i="114" a="1"/>
  <c r="G45" i="114" s="1"/>
  <c r="I45" i="114" s="1"/>
  <c r="H45" i="114" a="1"/>
  <c r="H45" i="114" s="1"/>
  <c r="H46" i="114" a="1"/>
  <c r="H46" i="114" s="1"/>
  <c r="F48" i="114" a="1"/>
  <c r="F48" i="114" s="1"/>
  <c r="G48" i="114" a="1"/>
  <c r="G48" i="114" s="1"/>
  <c r="I48" i="114" s="1"/>
  <c r="H48" i="114" a="1"/>
  <c r="H48" i="114" s="1"/>
  <c r="F49" i="114" a="1"/>
  <c r="F49" i="114" s="1"/>
  <c r="G49" i="114" a="1"/>
  <c r="G49" i="114" s="1"/>
  <c r="I49" i="114" s="1"/>
  <c r="H49" i="114" a="1"/>
  <c r="H49" i="114" s="1"/>
  <c r="F50" i="114" a="1"/>
  <c r="F50" i="114" s="1"/>
  <c r="G50" i="114" a="1"/>
  <c r="G50" i="114" s="1"/>
  <c r="I50" i="114" s="1"/>
  <c r="H50" i="114" a="1"/>
  <c r="H50" i="114" s="1"/>
  <c r="F51" i="114" a="1"/>
  <c r="F51" i="114" s="1"/>
  <c r="G51" i="114" a="1"/>
  <c r="G51" i="114" s="1"/>
  <c r="I51" i="114" s="1"/>
  <c r="H51" i="114" a="1"/>
  <c r="H51" i="114" s="1"/>
  <c r="F52" i="114" a="1"/>
  <c r="F52" i="114" s="1"/>
  <c r="G52" i="114" a="1"/>
  <c r="G52" i="114" s="1"/>
  <c r="I52" i="114" s="1"/>
  <c r="H52" i="114" a="1"/>
  <c r="H52" i="114" s="1"/>
  <c r="F53" i="114" a="1"/>
  <c r="F53" i="114" s="1"/>
  <c r="G53" i="114" a="1"/>
  <c r="G53" i="114" s="1"/>
  <c r="I53" i="114" s="1"/>
  <c r="H53" i="114" a="1"/>
  <c r="H53" i="114" s="1"/>
  <c r="F54" i="114" a="1"/>
  <c r="F54" i="114" s="1"/>
  <c r="G54" i="114" a="1"/>
  <c r="G54" i="114" s="1"/>
  <c r="I54" i="114" s="1"/>
  <c r="H54" i="114" a="1"/>
  <c r="H54" i="114" s="1"/>
  <c r="H55" i="114" a="1"/>
  <c r="H55" i="114" s="1"/>
  <c r="F57" i="114" a="1"/>
  <c r="F57" i="114" s="1"/>
  <c r="G57" i="114" a="1"/>
  <c r="G57" i="114" s="1"/>
  <c r="I57" i="114" s="1"/>
  <c r="H57" i="114" a="1"/>
  <c r="H57" i="114" s="1"/>
  <c r="F58" i="114" a="1"/>
  <c r="F58" i="114" s="1"/>
  <c r="G58" i="114" a="1"/>
  <c r="G58" i="114" s="1"/>
  <c r="I58" i="114" s="1"/>
  <c r="H58" i="114" a="1"/>
  <c r="H58" i="114" s="1"/>
  <c r="F59" i="114" a="1"/>
  <c r="F59" i="114" s="1"/>
  <c r="G59" i="114" a="1"/>
  <c r="G59" i="114" s="1"/>
  <c r="I59" i="114" s="1"/>
  <c r="H59" i="114" a="1"/>
  <c r="H59" i="114" s="1"/>
  <c r="F60" i="114" a="1"/>
  <c r="F60" i="114" s="1"/>
  <c r="G60" i="114" a="1"/>
  <c r="G60" i="114" s="1"/>
  <c r="I60" i="114" s="1"/>
  <c r="H60" i="114" a="1"/>
  <c r="H60" i="114" s="1"/>
  <c r="F61" i="114" a="1"/>
  <c r="F61" i="114" s="1"/>
  <c r="G61" i="114" a="1"/>
  <c r="G61" i="114" s="1"/>
  <c r="I61" i="114" s="1"/>
  <c r="H61" i="114" a="1"/>
  <c r="H61" i="114" s="1"/>
  <c r="F62" i="114" a="1"/>
  <c r="F62" i="114" s="1"/>
  <c r="G62" i="114" a="1"/>
  <c r="G62" i="114" s="1"/>
  <c r="I62" i="114" s="1"/>
  <c r="H62" i="114" a="1"/>
  <c r="H62" i="114" s="1"/>
  <c r="F63" i="114" a="1"/>
  <c r="F63" i="114" s="1"/>
  <c r="G63" i="114" a="1"/>
  <c r="G63" i="114" s="1"/>
  <c r="I63" i="114" s="1"/>
  <c r="H63" i="114" a="1"/>
  <c r="H63" i="114" s="1"/>
  <c r="H64" i="114" a="1"/>
  <c r="H64" i="114" s="1"/>
  <c r="F66" i="114" a="1"/>
  <c r="F66" i="114" s="1"/>
  <c r="G66" i="114" a="1"/>
  <c r="G66" i="114" s="1"/>
  <c r="I66" i="114" s="1"/>
  <c r="H66" i="114" a="1"/>
  <c r="H66" i="114" s="1"/>
  <c r="F67" i="114" a="1"/>
  <c r="F67" i="114" s="1"/>
  <c r="G67" i="114" a="1"/>
  <c r="G67" i="114" s="1"/>
  <c r="I67" i="114" s="1"/>
  <c r="H67" i="114" a="1"/>
  <c r="H67" i="114" s="1"/>
  <c r="F68" i="114" a="1"/>
  <c r="F68" i="114" s="1"/>
  <c r="G68" i="114" a="1"/>
  <c r="G68" i="114" s="1"/>
  <c r="I68" i="114" s="1"/>
  <c r="H68" i="114" a="1"/>
  <c r="H68" i="114" s="1"/>
  <c r="F69" i="114" a="1"/>
  <c r="F69" i="114" s="1"/>
  <c r="G69" i="114" a="1"/>
  <c r="G69" i="114" s="1"/>
  <c r="I69" i="114" s="1"/>
  <c r="H69" i="114" a="1"/>
  <c r="H69" i="114" s="1"/>
  <c r="F70" i="114" a="1"/>
  <c r="F70" i="114" s="1"/>
  <c r="G70" i="114" a="1"/>
  <c r="G70" i="114" s="1"/>
  <c r="I70" i="114" s="1"/>
  <c r="H70" i="114" a="1"/>
  <c r="H70" i="114" s="1"/>
  <c r="F71" i="114" a="1"/>
  <c r="F71" i="114" s="1"/>
  <c r="G71" i="114" a="1"/>
  <c r="G71" i="114" s="1"/>
  <c r="I71" i="114" s="1"/>
  <c r="H71" i="114" a="1"/>
  <c r="H71" i="114" s="1"/>
  <c r="F72" i="114" a="1"/>
  <c r="F72" i="114" s="1"/>
  <c r="G72" i="114" a="1"/>
  <c r="G72" i="114" s="1"/>
  <c r="I72" i="114" s="1"/>
  <c r="H72" i="114" a="1"/>
  <c r="H72" i="114" s="1"/>
  <c r="H73" i="114" a="1"/>
  <c r="H73" i="114" s="1"/>
  <c r="F75" i="114" a="1"/>
  <c r="F75" i="114" s="1"/>
  <c r="G75" i="114" a="1"/>
  <c r="G75" i="114" s="1"/>
  <c r="I75" i="114" s="1"/>
  <c r="H75" i="114" a="1"/>
  <c r="H75" i="114" s="1"/>
  <c r="F76" i="114" a="1"/>
  <c r="F76" i="114" s="1"/>
  <c r="G76" i="114" a="1"/>
  <c r="G76" i="114" s="1"/>
  <c r="I76" i="114" s="1"/>
  <c r="H76" i="114" a="1"/>
  <c r="H76" i="114" s="1"/>
  <c r="F77" i="114" a="1"/>
  <c r="F77" i="114" s="1"/>
  <c r="G77" i="114" a="1"/>
  <c r="G77" i="114" s="1"/>
  <c r="I77" i="114" s="1"/>
  <c r="H77" i="114" a="1"/>
  <c r="H77" i="114" s="1"/>
  <c r="F78" i="114" a="1"/>
  <c r="F78" i="114" s="1"/>
  <c r="G78" i="114" a="1"/>
  <c r="G78" i="114" s="1"/>
  <c r="I78" i="114" s="1"/>
  <c r="H78" i="114" a="1"/>
  <c r="H78" i="114" s="1"/>
  <c r="F79" i="114" a="1"/>
  <c r="F79" i="114" s="1"/>
  <c r="G79" i="114" a="1"/>
  <c r="G79" i="114" s="1"/>
  <c r="I79" i="114" s="1"/>
  <c r="H79" i="114" a="1"/>
  <c r="H79" i="114" s="1"/>
  <c r="F80" i="114" a="1"/>
  <c r="F80" i="114" s="1"/>
  <c r="G80" i="114" a="1"/>
  <c r="G80" i="114" s="1"/>
  <c r="I80" i="114" s="1"/>
  <c r="H80" i="114" a="1"/>
  <c r="H80" i="114" s="1"/>
  <c r="F81" i="114" a="1"/>
  <c r="F81" i="114" s="1"/>
  <c r="G81" i="114" a="1"/>
  <c r="G81" i="114" s="1"/>
  <c r="I81" i="114" s="1"/>
  <c r="H81" i="114" a="1"/>
  <c r="H81" i="114" s="1"/>
  <c r="H82" i="114" a="1"/>
  <c r="H82" i="114" s="1"/>
  <c r="F84" i="114" a="1"/>
  <c r="F84" i="114" s="1"/>
  <c r="G84" i="114" a="1"/>
  <c r="G84" i="114" s="1"/>
  <c r="I84" i="114" s="1"/>
  <c r="H84" i="114" a="1"/>
  <c r="H84" i="114" s="1"/>
  <c r="F85" i="114" a="1"/>
  <c r="F85" i="114" s="1"/>
  <c r="G85" i="114" a="1"/>
  <c r="G85" i="114" s="1"/>
  <c r="I85" i="114" s="1"/>
  <c r="H85" i="114" a="1"/>
  <c r="H85" i="114" s="1"/>
  <c r="F86" i="114" a="1"/>
  <c r="F86" i="114" s="1"/>
  <c r="G86" i="114" a="1"/>
  <c r="G86" i="114" s="1"/>
  <c r="I86" i="114" s="1"/>
  <c r="H86" i="114" a="1"/>
  <c r="H86" i="114" s="1"/>
  <c r="F87" i="114" a="1"/>
  <c r="F87" i="114" s="1"/>
  <c r="G87" i="114" a="1"/>
  <c r="G87" i="114" s="1"/>
  <c r="I87" i="114" s="1"/>
  <c r="H87" i="114" a="1"/>
  <c r="H87" i="114" s="1"/>
  <c r="F88" i="114" a="1"/>
  <c r="F88" i="114" s="1"/>
  <c r="G88" i="114" a="1"/>
  <c r="G88" i="114" s="1"/>
  <c r="I88" i="114" s="1"/>
  <c r="H88" i="114" a="1"/>
  <c r="H88" i="114" s="1"/>
  <c r="F89" i="114" a="1"/>
  <c r="F89" i="114" s="1"/>
  <c r="G89" i="114" a="1"/>
  <c r="G89" i="114" s="1"/>
  <c r="I89" i="114" s="1"/>
  <c r="H89" i="114" a="1"/>
  <c r="H89" i="114" s="1"/>
  <c r="F90" i="114" a="1"/>
  <c r="F90" i="114" s="1"/>
  <c r="G90" i="114" a="1"/>
  <c r="G90" i="114" s="1"/>
  <c r="I90" i="114" s="1"/>
  <c r="H90" i="114" a="1"/>
  <c r="H90" i="114" s="1"/>
  <c r="H91" i="114" a="1"/>
  <c r="H91" i="114" s="1"/>
  <c r="F93" i="114" a="1"/>
  <c r="F93" i="114" s="1"/>
  <c r="G93" i="114" a="1"/>
  <c r="G93" i="114" s="1"/>
  <c r="I93" i="114" s="1"/>
  <c r="H93" i="114" a="1"/>
  <c r="H93" i="114" s="1"/>
  <c r="F94" i="114" a="1"/>
  <c r="F94" i="114" s="1"/>
  <c r="G94" i="114" a="1"/>
  <c r="G94" i="114" s="1"/>
  <c r="I94" i="114" s="1"/>
  <c r="H94" i="114" a="1"/>
  <c r="H94" i="114" s="1"/>
  <c r="F95" i="114" a="1"/>
  <c r="F95" i="114" s="1"/>
  <c r="G95" i="114" a="1"/>
  <c r="G95" i="114" s="1"/>
  <c r="I95" i="114" s="1"/>
  <c r="H95" i="114" a="1"/>
  <c r="H95" i="114" s="1"/>
  <c r="F96" i="114" a="1"/>
  <c r="F96" i="114" s="1"/>
  <c r="G96" i="114" a="1"/>
  <c r="G96" i="114" s="1"/>
  <c r="I96" i="114" s="1"/>
  <c r="H96" i="114" a="1"/>
  <c r="H96" i="114" s="1"/>
  <c r="F97" i="114" a="1"/>
  <c r="F97" i="114" s="1"/>
  <c r="G97" i="114" a="1"/>
  <c r="G97" i="114" s="1"/>
  <c r="I97" i="114" s="1"/>
  <c r="H97" i="114" a="1"/>
  <c r="H97" i="114" s="1"/>
  <c r="F98" i="114" a="1"/>
  <c r="F98" i="114" s="1"/>
  <c r="G98" i="114" a="1"/>
  <c r="G98" i="114" s="1"/>
  <c r="I98" i="114" s="1"/>
  <c r="H98" i="114" a="1"/>
  <c r="H98" i="114" s="1"/>
  <c r="F99" i="114" a="1"/>
  <c r="F99" i="114" s="1"/>
  <c r="G99" i="114" a="1"/>
  <c r="G99" i="114" s="1"/>
  <c r="I99" i="114" s="1"/>
  <c r="H99" i="114" a="1"/>
  <c r="H99" i="114" s="1"/>
  <c r="H100" i="114" a="1"/>
  <c r="H100" i="114" s="1"/>
  <c r="F102" i="114" a="1"/>
  <c r="F102" i="114" s="1"/>
  <c r="G102" i="114" a="1"/>
  <c r="G102" i="114" s="1"/>
  <c r="I102" i="114" s="1"/>
  <c r="H102" i="114" a="1"/>
  <c r="H102" i="114" s="1"/>
  <c r="F103" i="114" a="1"/>
  <c r="F103" i="114" s="1"/>
  <c r="G103" i="114" a="1"/>
  <c r="G103" i="114" s="1"/>
  <c r="I103" i="114" s="1"/>
  <c r="H103" i="114" a="1"/>
  <c r="H103" i="114" s="1"/>
  <c r="F104" i="114" a="1"/>
  <c r="F104" i="114" s="1"/>
  <c r="G104" i="114" a="1"/>
  <c r="G104" i="114" s="1"/>
  <c r="I104" i="114" s="1"/>
  <c r="H104" i="114" a="1"/>
  <c r="H104" i="114" s="1"/>
  <c r="F105" i="114" a="1"/>
  <c r="F105" i="114" s="1"/>
  <c r="G105" i="114" a="1"/>
  <c r="G105" i="114" s="1"/>
  <c r="I105" i="114" s="1"/>
  <c r="H105" i="114" a="1"/>
  <c r="H105" i="114" s="1"/>
  <c r="F106" i="114" a="1"/>
  <c r="F106" i="114" s="1"/>
  <c r="G106" i="114" a="1"/>
  <c r="G106" i="114" s="1"/>
  <c r="I106" i="114" s="1"/>
  <c r="H106" i="114" a="1"/>
  <c r="H106" i="114" s="1"/>
  <c r="F107" i="114" a="1"/>
  <c r="F107" i="114" s="1"/>
  <c r="G107" i="114" a="1"/>
  <c r="G107" i="114" s="1"/>
  <c r="I107" i="114" s="1"/>
  <c r="H107" i="114" a="1"/>
  <c r="H107" i="114" s="1"/>
  <c r="F108" i="114" a="1"/>
  <c r="F108" i="114" s="1"/>
  <c r="G108" i="114" a="1"/>
  <c r="G108" i="114" s="1"/>
  <c r="I108" i="114" s="1"/>
  <c r="H108" i="114" a="1"/>
  <c r="H108" i="114" s="1"/>
  <c r="H109" i="114" a="1"/>
  <c r="H109" i="114" s="1"/>
  <c r="F111" i="114" a="1"/>
  <c r="F111" i="114" s="1"/>
  <c r="G111" i="114" a="1"/>
  <c r="G111" i="114" s="1"/>
  <c r="I111" i="114" s="1"/>
  <c r="H111" i="114" a="1"/>
  <c r="H111" i="114" s="1"/>
  <c r="F112" i="114" a="1"/>
  <c r="F112" i="114" s="1"/>
  <c r="G112" i="114" a="1"/>
  <c r="G112" i="114" s="1"/>
  <c r="I112" i="114" s="1"/>
  <c r="H112" i="114" a="1"/>
  <c r="H112" i="114" s="1"/>
  <c r="F113" i="114" a="1"/>
  <c r="F113" i="114" s="1"/>
  <c r="G113" i="114" a="1"/>
  <c r="G113" i="114" s="1"/>
  <c r="I113" i="114" s="1"/>
  <c r="H113" i="114" a="1"/>
  <c r="H113" i="114" s="1"/>
  <c r="F114" i="114" a="1"/>
  <c r="F114" i="114" s="1"/>
  <c r="G114" i="114" a="1"/>
  <c r="G114" i="114" s="1"/>
  <c r="I114" i="114" s="1"/>
  <c r="H114" i="114" a="1"/>
  <c r="H114" i="114" s="1"/>
  <c r="F115" i="114" a="1"/>
  <c r="F115" i="114" s="1"/>
  <c r="G115" i="114" a="1"/>
  <c r="G115" i="114" s="1"/>
  <c r="I115" i="114" s="1"/>
  <c r="H115" i="114" a="1"/>
  <c r="H115" i="114" s="1"/>
  <c r="F116" i="114" a="1"/>
  <c r="F116" i="114" s="1"/>
  <c r="G116" i="114" a="1"/>
  <c r="G116" i="114" s="1"/>
  <c r="I116" i="114" s="1"/>
  <c r="H116" i="114" a="1"/>
  <c r="H116" i="114" s="1"/>
  <c r="F117" i="114" a="1"/>
  <c r="F117" i="114" s="1"/>
  <c r="G117" i="114" a="1"/>
  <c r="G117" i="114" s="1"/>
  <c r="I117" i="114" s="1"/>
  <c r="H117" i="114" a="1"/>
  <c r="H117" i="114" s="1"/>
  <c r="H118" i="114" a="1"/>
  <c r="H118" i="114" s="1"/>
  <c r="F120" i="114" a="1"/>
  <c r="F120" i="114" s="1"/>
  <c r="G120" i="114" a="1"/>
  <c r="G120" i="114" s="1"/>
  <c r="I120" i="114" s="1"/>
  <c r="H120" i="114" a="1"/>
  <c r="H120" i="114" s="1"/>
  <c r="F121" i="114" a="1"/>
  <c r="F121" i="114" s="1"/>
  <c r="G121" i="114" a="1"/>
  <c r="G121" i="114" s="1"/>
  <c r="I121" i="114" s="1"/>
  <c r="F122" i="114" a="1"/>
  <c r="F122" i="114" s="1"/>
  <c r="G122" i="114" a="1"/>
  <c r="G122" i="114" s="1"/>
  <c r="I122" i="114" s="1"/>
  <c r="H122" i="114" a="1"/>
  <c r="H122" i="114" s="1"/>
  <c r="F123" i="114" a="1"/>
  <c r="F123" i="114" s="1"/>
  <c r="G123" i="114" a="1"/>
  <c r="G123" i="114" s="1"/>
  <c r="I123" i="114" s="1"/>
  <c r="H123" i="114" a="1"/>
  <c r="H123" i="114" s="1"/>
  <c r="F124" i="114" a="1"/>
  <c r="F124" i="114" s="1"/>
  <c r="G124" i="114" a="1"/>
  <c r="G124" i="114" s="1"/>
  <c r="I124" i="114" s="1"/>
  <c r="H124" i="114" a="1"/>
  <c r="H124" i="114" s="1"/>
  <c r="F125" i="114" a="1"/>
  <c r="F125" i="114" s="1"/>
  <c r="G125" i="114" a="1"/>
  <c r="G125" i="114" s="1"/>
  <c r="I125" i="114" s="1"/>
  <c r="H125" i="114" a="1"/>
  <c r="H125" i="114" s="1"/>
  <c r="F126" i="114" a="1"/>
  <c r="F126" i="114" s="1"/>
  <c r="G126" i="114" a="1"/>
  <c r="G126" i="114" s="1"/>
  <c r="I126" i="114" s="1"/>
  <c r="H126" i="114" a="1"/>
  <c r="H126" i="114" s="1"/>
  <c r="H127" i="114" a="1"/>
  <c r="H127" i="114" s="1"/>
  <c r="F129" i="114" a="1"/>
  <c r="F129" i="114" s="1"/>
  <c r="G129" i="114" a="1"/>
  <c r="G129" i="114" s="1"/>
  <c r="I129" i="114" s="1"/>
  <c r="H129" i="114" a="1"/>
  <c r="H129" i="114" s="1"/>
  <c r="F130" i="114" a="1"/>
  <c r="F130" i="114" s="1"/>
  <c r="G130" i="114" a="1"/>
  <c r="G130" i="114" s="1"/>
  <c r="I130" i="114" s="1"/>
  <c r="H130" i="114" a="1"/>
  <c r="H130" i="114" s="1"/>
  <c r="F131" i="114" a="1"/>
  <c r="F131" i="114" s="1"/>
  <c r="G131" i="114" a="1"/>
  <c r="G131" i="114" s="1"/>
  <c r="I131" i="114" s="1"/>
  <c r="H131" i="114" a="1"/>
  <c r="H131" i="114" s="1"/>
  <c r="F132" i="114" a="1"/>
  <c r="F132" i="114" s="1"/>
  <c r="G132" i="114" a="1"/>
  <c r="G132" i="114" s="1"/>
  <c r="I132" i="114" s="1"/>
  <c r="H132" i="114" a="1"/>
  <c r="H132" i="114" s="1"/>
  <c r="F133" i="114" a="1"/>
  <c r="F133" i="114" s="1"/>
  <c r="G133" i="114" a="1"/>
  <c r="G133" i="114" s="1"/>
  <c r="I133" i="114" s="1"/>
  <c r="H133" i="114" a="1"/>
  <c r="H133" i="114" s="1"/>
  <c r="F134" i="114" a="1"/>
  <c r="F134" i="114" s="1"/>
  <c r="G134" i="114" a="1"/>
  <c r="G134" i="114" s="1"/>
  <c r="I134" i="114" s="1"/>
  <c r="H134" i="114" a="1"/>
  <c r="H134" i="114" s="1"/>
  <c r="F135" i="114" a="1"/>
  <c r="F135" i="114" s="1"/>
  <c r="G135" i="114" a="1"/>
  <c r="G135" i="114" s="1"/>
  <c r="I135" i="114" s="1"/>
  <c r="H135" i="114" a="1"/>
  <c r="H135" i="114" s="1"/>
  <c r="H136" i="114" a="1"/>
  <c r="H136" i="114" s="1"/>
  <c r="F138" i="114" a="1"/>
  <c r="F138" i="114" s="1"/>
  <c r="G138" i="114" a="1"/>
  <c r="G138" i="114" s="1"/>
  <c r="I138" i="114" s="1"/>
  <c r="H138" i="114" a="1"/>
  <c r="H138" i="114" s="1"/>
  <c r="F139" i="114" a="1"/>
  <c r="F139" i="114" s="1"/>
  <c r="G139" i="114" a="1"/>
  <c r="G139" i="114" s="1"/>
  <c r="I139" i="114" s="1"/>
  <c r="H139" i="114" a="1"/>
  <c r="H139" i="114" s="1"/>
  <c r="F140" i="114" a="1"/>
  <c r="F140" i="114" s="1"/>
  <c r="G140" i="114" a="1"/>
  <c r="G140" i="114" s="1"/>
  <c r="I140" i="114" s="1"/>
  <c r="H140" i="114" a="1"/>
  <c r="H140" i="114" s="1"/>
  <c r="F141" i="114" a="1"/>
  <c r="F141" i="114" s="1"/>
  <c r="G141" i="114" a="1"/>
  <c r="G141" i="114" s="1"/>
  <c r="I141" i="114" s="1"/>
  <c r="H141" i="114" a="1"/>
  <c r="H141" i="114" s="1"/>
  <c r="F142" i="114" a="1"/>
  <c r="F142" i="114" s="1"/>
  <c r="G142" i="114" a="1"/>
  <c r="G142" i="114" s="1"/>
  <c r="I142" i="114" s="1"/>
  <c r="H142" i="114" a="1"/>
  <c r="H142" i="114" s="1"/>
  <c r="F143" i="114" a="1"/>
  <c r="F143" i="114" s="1"/>
  <c r="G143" i="114" a="1"/>
  <c r="G143" i="114" s="1"/>
  <c r="I143" i="114" s="1"/>
  <c r="H143" i="114" a="1"/>
  <c r="H143" i="114" s="1"/>
  <c r="F144" i="114" a="1"/>
  <c r="F144" i="114" s="1"/>
  <c r="G144" i="114" a="1"/>
  <c r="G144" i="114" s="1"/>
  <c r="I144" i="114" s="1"/>
  <c r="H144" i="114" a="1"/>
  <c r="H144" i="114" s="1"/>
  <c r="H145" i="114" a="1"/>
  <c r="H145" i="114" s="1"/>
  <c r="F147" i="114" a="1"/>
  <c r="F147" i="114" s="1"/>
  <c r="G147" i="114" a="1"/>
  <c r="G147" i="114" s="1"/>
  <c r="I147" i="114" s="1"/>
  <c r="H147" i="114" a="1"/>
  <c r="H147" i="114" s="1"/>
  <c r="F148" i="114" a="1"/>
  <c r="F148" i="114" s="1"/>
  <c r="G148" i="114" a="1"/>
  <c r="G148" i="114" s="1"/>
  <c r="I148" i="114" s="1"/>
  <c r="H148" i="114" a="1"/>
  <c r="H148" i="114" s="1"/>
  <c r="F149" i="114" a="1"/>
  <c r="F149" i="114" s="1"/>
  <c r="G149" i="114" a="1"/>
  <c r="G149" i="114" s="1"/>
  <c r="I149" i="114" s="1"/>
  <c r="H149" i="114" a="1"/>
  <c r="H149" i="114" s="1"/>
  <c r="F150" i="114" a="1"/>
  <c r="F150" i="114" s="1"/>
  <c r="G150" i="114" a="1"/>
  <c r="G150" i="114" s="1"/>
  <c r="I150" i="114" s="1"/>
  <c r="H150" i="114" a="1"/>
  <c r="H150" i="114" s="1"/>
  <c r="F151" i="114" a="1"/>
  <c r="F151" i="114" s="1"/>
  <c r="G151" i="114" a="1"/>
  <c r="G151" i="114" s="1"/>
  <c r="I151" i="114" s="1"/>
  <c r="H151" i="114" a="1"/>
  <c r="H151" i="114" s="1"/>
  <c r="F152" i="114" a="1"/>
  <c r="F152" i="114" s="1"/>
  <c r="G152" i="114" a="1"/>
  <c r="G152" i="114" s="1"/>
  <c r="I152" i="114" s="1"/>
  <c r="H152" i="114" a="1"/>
  <c r="H152" i="114" s="1"/>
  <c r="F153" i="114" a="1"/>
  <c r="F153" i="114" s="1"/>
  <c r="G153" i="114" a="1"/>
  <c r="G153" i="114" s="1"/>
  <c r="I153" i="114" s="1"/>
  <c r="H153" i="114" a="1"/>
  <c r="H153" i="114" s="1"/>
  <c r="H154" i="114" a="1"/>
  <c r="H154" i="114" s="1"/>
  <c r="F156" i="114" a="1"/>
  <c r="F156" i="114" s="1"/>
  <c r="G156" i="114" a="1"/>
  <c r="G156" i="114" s="1"/>
  <c r="I156" i="114" s="1"/>
  <c r="H156" i="114" a="1"/>
  <c r="H156" i="114" s="1"/>
  <c r="F157" i="114" a="1"/>
  <c r="F157" i="114" s="1"/>
  <c r="G157" i="114" a="1"/>
  <c r="G157" i="114" s="1"/>
  <c r="I157" i="114" s="1"/>
  <c r="H157" i="114" a="1"/>
  <c r="H157" i="114" s="1"/>
  <c r="F158" i="114" a="1"/>
  <c r="F158" i="114" s="1"/>
  <c r="G158" i="114" a="1"/>
  <c r="G158" i="114" s="1"/>
  <c r="I158" i="114" s="1"/>
  <c r="H158" i="114" a="1"/>
  <c r="H158" i="114" s="1"/>
  <c r="F159" i="114" a="1"/>
  <c r="F159" i="114" s="1"/>
  <c r="G159" i="114" a="1"/>
  <c r="G159" i="114" s="1"/>
  <c r="I159" i="114" s="1"/>
  <c r="H159" i="114" a="1"/>
  <c r="H159" i="114" s="1"/>
  <c r="F160" i="114" a="1"/>
  <c r="F160" i="114" s="1"/>
  <c r="G160" i="114" a="1"/>
  <c r="G160" i="114" s="1"/>
  <c r="I160" i="114" s="1"/>
  <c r="H160" i="114" a="1"/>
  <c r="H160" i="114" s="1"/>
  <c r="F161" i="114" a="1"/>
  <c r="F161" i="114" s="1"/>
  <c r="G161" i="114" a="1"/>
  <c r="G161" i="114" s="1"/>
  <c r="I161" i="114" s="1"/>
  <c r="H161" i="114" a="1"/>
  <c r="H161" i="114" s="1"/>
  <c r="F162" i="114" a="1"/>
  <c r="F162" i="114" s="1"/>
  <c r="G162" i="114" a="1"/>
  <c r="G162" i="114" s="1"/>
  <c r="I162" i="114" s="1"/>
  <c r="H162" i="114" a="1"/>
  <c r="H162" i="114" s="1"/>
  <c r="H163" i="114" a="1"/>
  <c r="H163" i="114" s="1"/>
  <c r="F165" i="114" a="1"/>
  <c r="F165" i="114" s="1"/>
  <c r="G165" i="114" a="1"/>
  <c r="G165" i="114" s="1"/>
  <c r="I165" i="114" s="1"/>
  <c r="H165" i="114" a="1"/>
  <c r="H165" i="114" s="1"/>
  <c r="F166" i="114" a="1"/>
  <c r="F166" i="114" s="1"/>
  <c r="G166" i="114" a="1"/>
  <c r="G166" i="114" s="1"/>
  <c r="I166" i="114" s="1"/>
  <c r="H166" i="114" a="1"/>
  <c r="H166" i="114" s="1"/>
  <c r="F167" i="114" a="1"/>
  <c r="F167" i="114" s="1"/>
  <c r="G167" i="114" a="1"/>
  <c r="G167" i="114" s="1"/>
  <c r="I167" i="114" s="1"/>
  <c r="H167" i="114" a="1"/>
  <c r="H167" i="114" s="1"/>
  <c r="F168" i="114" a="1"/>
  <c r="F168" i="114" s="1"/>
  <c r="G168" i="114" a="1"/>
  <c r="G168" i="114" s="1"/>
  <c r="I168" i="114" s="1"/>
  <c r="H168" i="114" a="1"/>
  <c r="H168" i="114" s="1"/>
  <c r="F169" i="114" a="1"/>
  <c r="F169" i="114" s="1"/>
  <c r="G169" i="114" a="1"/>
  <c r="G169" i="114" s="1"/>
  <c r="I169" i="114" s="1"/>
  <c r="H169" i="114" a="1"/>
  <c r="H169" i="114" s="1"/>
  <c r="F170" i="114" a="1"/>
  <c r="F170" i="114" s="1"/>
  <c r="G170" i="114" a="1"/>
  <c r="G170" i="114" s="1"/>
  <c r="I170" i="114" s="1"/>
  <c r="H170" i="114" a="1"/>
  <c r="H170" i="114" s="1"/>
  <c r="F171" i="114" a="1"/>
  <c r="F171" i="114" s="1"/>
  <c r="G171" i="114" a="1"/>
  <c r="G171" i="114" s="1"/>
  <c r="I171" i="114" s="1"/>
  <c r="H171" i="114" a="1"/>
  <c r="H171" i="114" s="1"/>
  <c r="H172" i="114" a="1"/>
  <c r="H172" i="114" s="1"/>
  <c r="F174" i="114" a="1"/>
  <c r="F174" i="114" s="1"/>
  <c r="G174" i="114" a="1"/>
  <c r="G174" i="114" s="1"/>
  <c r="I174" i="114" s="1"/>
  <c r="H174" i="114" a="1"/>
  <c r="H174" i="114" s="1"/>
  <c r="F175" i="114" a="1"/>
  <c r="F175" i="114" s="1"/>
  <c r="G175" i="114" a="1"/>
  <c r="G175" i="114" s="1"/>
  <c r="I175" i="114" s="1"/>
  <c r="H175" i="114" a="1"/>
  <c r="H175" i="114" s="1"/>
  <c r="F176" i="114" a="1"/>
  <c r="F176" i="114" s="1"/>
  <c r="G176" i="114" a="1"/>
  <c r="G176" i="114" s="1"/>
  <c r="I176" i="114" s="1"/>
  <c r="H176" i="114" a="1"/>
  <c r="H176" i="114" s="1"/>
  <c r="F177" i="114" a="1"/>
  <c r="F177" i="114" s="1"/>
  <c r="G177" i="114" a="1"/>
  <c r="G177" i="114" s="1"/>
  <c r="I177" i="114" s="1"/>
  <c r="H177" i="114" a="1"/>
  <c r="H177" i="114" s="1"/>
  <c r="F178" i="114" a="1"/>
  <c r="F178" i="114" s="1"/>
  <c r="G178" i="114" a="1"/>
  <c r="G178" i="114" s="1"/>
  <c r="I178" i="114" s="1"/>
  <c r="H178" i="114" a="1"/>
  <c r="H178" i="114" s="1"/>
  <c r="F179" i="114" a="1"/>
  <c r="F179" i="114" s="1"/>
  <c r="G179" i="114" a="1"/>
  <c r="G179" i="114" s="1"/>
  <c r="I179" i="114" s="1"/>
  <c r="H179" i="114" a="1"/>
  <c r="H179" i="114" s="1"/>
  <c r="F180" i="114" a="1"/>
  <c r="F180" i="114" s="1"/>
  <c r="G180" i="114" a="1"/>
  <c r="G180" i="114" s="1"/>
  <c r="I180" i="114" s="1"/>
  <c r="H180" i="114" a="1"/>
  <c r="H180" i="114" s="1"/>
  <c r="H181" i="114" a="1"/>
  <c r="H181" i="114" s="1"/>
  <c r="F183" i="114" a="1"/>
  <c r="F183" i="114" s="1"/>
  <c r="G183" i="114" a="1"/>
  <c r="G183" i="114" s="1"/>
  <c r="I183" i="114" s="1"/>
  <c r="H183" i="114" a="1"/>
  <c r="H183" i="114" s="1"/>
  <c r="F184" i="114" a="1"/>
  <c r="F184" i="114" s="1"/>
  <c r="G184" i="114" a="1"/>
  <c r="G184" i="114" s="1"/>
  <c r="I184" i="114" s="1"/>
  <c r="H184" i="114" a="1"/>
  <c r="H184" i="114" s="1"/>
  <c r="F185" i="114" a="1"/>
  <c r="F185" i="114" s="1"/>
  <c r="G185" i="114" a="1"/>
  <c r="G185" i="114" s="1"/>
  <c r="I185" i="114" s="1"/>
  <c r="H185" i="114" a="1"/>
  <c r="H185" i="114" s="1"/>
  <c r="F186" i="114" a="1"/>
  <c r="F186" i="114" s="1"/>
  <c r="G186" i="114" a="1"/>
  <c r="G186" i="114" s="1"/>
  <c r="I186" i="114" s="1"/>
  <c r="H186" i="114" a="1"/>
  <c r="H186" i="114" s="1"/>
  <c r="F187" i="114" a="1"/>
  <c r="F187" i="114" s="1"/>
  <c r="G187" i="114" a="1"/>
  <c r="G187" i="114" s="1"/>
  <c r="I187" i="114" s="1"/>
  <c r="H187" i="114" a="1"/>
  <c r="H187" i="114" s="1"/>
  <c r="F188" i="114" a="1"/>
  <c r="F188" i="114" s="1"/>
  <c r="G188" i="114" a="1"/>
  <c r="G188" i="114" s="1"/>
  <c r="I188" i="114" s="1"/>
  <c r="H188" i="114" a="1"/>
  <c r="H188" i="114" s="1"/>
  <c r="F189" i="114" a="1"/>
  <c r="F189" i="114" s="1"/>
  <c r="G189" i="114" a="1"/>
  <c r="G189" i="114" s="1"/>
  <c r="I189" i="114" s="1"/>
  <c r="H189" i="114" a="1"/>
  <c r="H189" i="114" s="1"/>
  <c r="H190" i="114" a="1"/>
  <c r="H190" i="114" s="1"/>
  <c r="F192" i="114" a="1"/>
  <c r="F192" i="114" s="1"/>
  <c r="G192" i="114" a="1"/>
  <c r="G192" i="114" s="1"/>
  <c r="I192" i="114" s="1"/>
  <c r="H192" i="114" a="1"/>
  <c r="H192" i="114" s="1"/>
  <c r="F193" i="114" a="1"/>
  <c r="F193" i="114" s="1"/>
  <c r="G193" i="114" a="1"/>
  <c r="G193" i="114" s="1"/>
  <c r="I193" i="114" s="1"/>
  <c r="H193" i="114" a="1"/>
  <c r="H193" i="114" s="1"/>
  <c r="F194" i="114" a="1"/>
  <c r="F194" i="114" s="1"/>
  <c r="G194" i="114" a="1"/>
  <c r="G194" i="114" s="1"/>
  <c r="I194" i="114" s="1"/>
  <c r="H194" i="114" a="1"/>
  <c r="H194" i="114" s="1"/>
  <c r="F195" i="114" a="1"/>
  <c r="F195" i="114" s="1"/>
  <c r="G195" i="114" a="1"/>
  <c r="G195" i="114" s="1"/>
  <c r="I195" i="114" s="1"/>
  <c r="H195" i="114" a="1"/>
  <c r="H195" i="114" s="1"/>
  <c r="F196" i="114" a="1"/>
  <c r="F196" i="114" s="1"/>
  <c r="G196" i="114" a="1"/>
  <c r="G196" i="114" s="1"/>
  <c r="I196" i="114" s="1"/>
  <c r="H196" i="114" a="1"/>
  <c r="H196" i="114" s="1"/>
  <c r="F197" i="114" a="1"/>
  <c r="F197" i="114" s="1"/>
  <c r="G197" i="114" a="1"/>
  <c r="G197" i="114" s="1"/>
  <c r="I197" i="114" s="1"/>
  <c r="H197" i="114" a="1"/>
  <c r="H197" i="114" s="1"/>
  <c r="F198" i="114" a="1"/>
  <c r="F198" i="114" s="1"/>
  <c r="G198" i="114" a="1"/>
  <c r="G198" i="114" s="1"/>
  <c r="I198" i="114" s="1"/>
  <c r="H198" i="114" a="1"/>
  <c r="H198" i="114" s="1"/>
  <c r="H199" i="114" a="1"/>
  <c r="H199" i="114" s="1"/>
  <c r="F201" i="114" a="1"/>
  <c r="F201" i="114" s="1"/>
  <c r="G201" i="114" a="1"/>
  <c r="G201" i="114" s="1"/>
  <c r="I201" i="114" s="1"/>
  <c r="H201" i="114" a="1"/>
  <c r="H201" i="114" s="1"/>
  <c r="F202" i="114" a="1"/>
  <c r="F202" i="114" s="1"/>
  <c r="G202" i="114" a="1"/>
  <c r="G202" i="114" s="1"/>
  <c r="I202" i="114" s="1"/>
  <c r="F203" i="114" a="1"/>
  <c r="F203" i="114" s="1"/>
  <c r="G203" i="114" a="1"/>
  <c r="G203" i="114" s="1"/>
  <c r="I203" i="114" s="1"/>
  <c r="H203" i="114" a="1"/>
  <c r="H203" i="114" s="1"/>
  <c r="F204" i="114" a="1"/>
  <c r="F204" i="114" s="1"/>
  <c r="G204" i="114" a="1"/>
  <c r="G204" i="114" s="1"/>
  <c r="I204" i="114" s="1"/>
  <c r="H204" i="114" a="1"/>
  <c r="H204" i="114" s="1"/>
  <c r="F205" i="114" a="1"/>
  <c r="F205" i="114" s="1"/>
  <c r="G205" i="114" a="1"/>
  <c r="G205" i="114" s="1"/>
  <c r="I205" i="114" s="1"/>
  <c r="H205" i="114" a="1"/>
  <c r="H205" i="114" s="1"/>
  <c r="F206" i="114" a="1"/>
  <c r="F206" i="114" s="1"/>
  <c r="G206" i="114" a="1"/>
  <c r="G206" i="114" s="1"/>
  <c r="I206" i="114" s="1"/>
  <c r="H206" i="114" a="1"/>
  <c r="H206" i="114" s="1"/>
  <c r="F207" i="114" a="1"/>
  <c r="F207" i="114" s="1"/>
  <c r="G207" i="114" a="1"/>
  <c r="G207" i="114" s="1"/>
  <c r="I207" i="114" s="1"/>
  <c r="H207" i="114" a="1"/>
  <c r="H207" i="114" s="1"/>
  <c r="H208" i="114" a="1"/>
  <c r="H208" i="114" s="1"/>
  <c r="F210" i="114" a="1"/>
  <c r="F210" i="114" s="1"/>
  <c r="G210" i="114" a="1"/>
  <c r="G210" i="114" s="1"/>
  <c r="I210" i="114" s="1"/>
  <c r="H210" i="114" a="1"/>
  <c r="H210" i="114" s="1"/>
  <c r="F211" i="114" a="1"/>
  <c r="F211" i="114" s="1"/>
  <c r="G211" i="114" a="1"/>
  <c r="G211" i="114" s="1"/>
  <c r="I211" i="114" s="1"/>
  <c r="H211" i="114" a="1"/>
  <c r="H211" i="114" s="1"/>
  <c r="F212" i="114" a="1"/>
  <c r="F212" i="114" s="1"/>
  <c r="G212" i="114" a="1"/>
  <c r="G212" i="114" s="1"/>
  <c r="I212" i="114" s="1"/>
  <c r="H212" i="114" a="1"/>
  <c r="H212" i="114" s="1"/>
  <c r="F213" i="114" a="1"/>
  <c r="F213" i="114" s="1"/>
  <c r="G213" i="114" a="1"/>
  <c r="G213" i="114" s="1"/>
  <c r="I213" i="114" s="1"/>
  <c r="H213" i="114" a="1"/>
  <c r="H213" i="114" s="1"/>
  <c r="F214" i="114" a="1"/>
  <c r="F214" i="114" s="1"/>
  <c r="G214" i="114" a="1"/>
  <c r="G214" i="114" s="1"/>
  <c r="I214" i="114" s="1"/>
  <c r="H214" i="114" a="1"/>
  <c r="H214" i="114" s="1"/>
  <c r="F215" i="114" a="1"/>
  <c r="F215" i="114" s="1"/>
  <c r="G215" i="114" a="1"/>
  <c r="G215" i="114" s="1"/>
  <c r="I215" i="114" s="1"/>
  <c r="H215" i="114" a="1"/>
  <c r="H215" i="114" s="1"/>
  <c r="F216" i="114" a="1"/>
  <c r="F216" i="114" s="1"/>
  <c r="G216" i="114" a="1"/>
  <c r="G216" i="114" s="1"/>
  <c r="I216" i="114" s="1"/>
  <c r="H216" i="114" a="1"/>
  <c r="H216" i="114" s="1"/>
  <c r="H217" i="114" a="1"/>
  <c r="H217" i="114" s="1"/>
  <c r="F219" i="114" a="1"/>
  <c r="F219" i="114" s="1"/>
  <c r="G219" i="114" a="1"/>
  <c r="G219" i="114" s="1"/>
  <c r="I219" i="114" s="1"/>
  <c r="H219" i="114" a="1"/>
  <c r="H219" i="114" s="1"/>
  <c r="F220" i="114" a="1"/>
  <c r="F220" i="114" s="1"/>
  <c r="G220" i="114" a="1"/>
  <c r="G220" i="114" s="1"/>
  <c r="I220" i="114" s="1"/>
  <c r="H220" i="114" a="1"/>
  <c r="H220" i="114" s="1"/>
  <c r="F221" i="114" a="1"/>
  <c r="F221" i="114" s="1"/>
  <c r="G221" i="114" a="1"/>
  <c r="G221" i="114" s="1"/>
  <c r="I221" i="114" s="1"/>
  <c r="H221" i="114" a="1"/>
  <c r="H221" i="114" s="1"/>
  <c r="F222" i="114" a="1"/>
  <c r="F222" i="114" s="1"/>
  <c r="G222" i="114" a="1"/>
  <c r="G222" i="114" s="1"/>
  <c r="I222" i="114" s="1"/>
  <c r="H222" i="114" a="1"/>
  <c r="H222" i="114" s="1"/>
  <c r="F223" i="114" a="1"/>
  <c r="F223" i="114" s="1"/>
  <c r="G223" i="114" a="1"/>
  <c r="G223" i="114" s="1"/>
  <c r="I223" i="114" s="1"/>
  <c r="H223" i="114" a="1"/>
  <c r="H223" i="114" s="1"/>
  <c r="F224" i="114" a="1"/>
  <c r="F224" i="114" s="1"/>
  <c r="G224" i="114" a="1"/>
  <c r="G224" i="114" s="1"/>
  <c r="I224" i="114" s="1"/>
  <c r="H224" i="114" a="1"/>
  <c r="H224" i="114" s="1"/>
  <c r="F225" i="114" a="1"/>
  <c r="F225" i="114" s="1"/>
  <c r="G225" i="114" a="1"/>
  <c r="G225" i="114" s="1"/>
  <c r="I225" i="114" s="1"/>
  <c r="H225" i="114" a="1"/>
  <c r="H225" i="114" s="1"/>
  <c r="H226" i="114" a="1"/>
  <c r="H226" i="114" s="1"/>
  <c r="F228" i="114" a="1"/>
  <c r="F228" i="114" s="1"/>
  <c r="G228" i="114" a="1"/>
  <c r="G228" i="114" s="1"/>
  <c r="I228" i="114" s="1"/>
  <c r="H228" i="114" a="1"/>
  <c r="H228" i="114" s="1"/>
  <c r="F229" i="114" a="1"/>
  <c r="F229" i="114" s="1"/>
  <c r="G229" i="114" a="1"/>
  <c r="G229" i="114" s="1"/>
  <c r="I229" i="114" s="1"/>
  <c r="H229" i="114" a="1"/>
  <c r="H229" i="114" s="1"/>
  <c r="F230" i="114" a="1"/>
  <c r="F230" i="114" s="1"/>
  <c r="G230" i="114" a="1"/>
  <c r="G230" i="114" s="1"/>
  <c r="I230" i="114" s="1"/>
  <c r="H230" i="114" a="1"/>
  <c r="H230" i="114" s="1"/>
  <c r="F231" i="114" a="1"/>
  <c r="F231" i="114" s="1"/>
  <c r="G231" i="114" a="1"/>
  <c r="G231" i="114" s="1"/>
  <c r="I231" i="114" s="1"/>
  <c r="H231" i="114" a="1"/>
  <c r="H231" i="114" s="1"/>
  <c r="F232" i="114" a="1"/>
  <c r="F232" i="114" s="1"/>
  <c r="G232" i="114" a="1"/>
  <c r="G232" i="114" s="1"/>
  <c r="I232" i="114" s="1"/>
  <c r="H232" i="114" a="1"/>
  <c r="H232" i="114" s="1"/>
  <c r="F233" i="114" a="1"/>
  <c r="F233" i="114" s="1"/>
  <c r="G233" i="114" a="1"/>
  <c r="G233" i="114" s="1"/>
  <c r="I233" i="114" s="1"/>
  <c r="H233" i="114" a="1"/>
  <c r="H233" i="114" s="1"/>
  <c r="F234" i="114" a="1"/>
  <c r="F234" i="114" s="1"/>
  <c r="G234" i="114" a="1"/>
  <c r="G234" i="114" s="1"/>
  <c r="I234" i="114" s="1"/>
  <c r="H234" i="114" a="1"/>
  <c r="H234" i="114" s="1"/>
  <c r="H235" i="114" a="1"/>
  <c r="H235" i="114" s="1"/>
  <c r="F237" i="114" a="1"/>
  <c r="F237" i="114" s="1"/>
  <c r="G237" i="114" a="1"/>
  <c r="G237" i="114" s="1"/>
  <c r="I237" i="114" s="1"/>
  <c r="H237" i="114" a="1"/>
  <c r="H237" i="114" s="1"/>
  <c r="F238" i="114" a="1"/>
  <c r="F238" i="114" s="1"/>
  <c r="G238" i="114" a="1"/>
  <c r="G238" i="114" s="1"/>
  <c r="I238" i="114" s="1"/>
  <c r="H238" i="114" a="1"/>
  <c r="H238" i="114" s="1"/>
  <c r="F239" i="114" a="1"/>
  <c r="F239" i="114" s="1"/>
  <c r="G239" i="114" a="1"/>
  <c r="G239" i="114" s="1"/>
  <c r="I239" i="114" s="1"/>
  <c r="H239" i="114" a="1"/>
  <c r="H239" i="114" s="1"/>
  <c r="F240" i="114" a="1"/>
  <c r="F240" i="114" s="1"/>
  <c r="G240" i="114" a="1"/>
  <c r="G240" i="114" s="1"/>
  <c r="I240" i="114" s="1"/>
  <c r="H240" i="114" a="1"/>
  <c r="H240" i="114" s="1"/>
  <c r="F241" i="114" a="1"/>
  <c r="F241" i="114" s="1"/>
  <c r="G241" i="114" a="1"/>
  <c r="G241" i="114" s="1"/>
  <c r="I241" i="114" s="1"/>
  <c r="H241" i="114" a="1"/>
  <c r="H241" i="114" s="1"/>
  <c r="F242" i="114" a="1"/>
  <c r="F242" i="114" s="1"/>
  <c r="G242" i="114" a="1"/>
  <c r="G242" i="114" s="1"/>
  <c r="I242" i="114" s="1"/>
  <c r="H242" i="114" a="1"/>
  <c r="H242" i="114" s="1"/>
  <c r="F243" i="114" a="1"/>
  <c r="F243" i="114" s="1"/>
  <c r="G243" i="114" a="1"/>
  <c r="G243" i="114" s="1"/>
  <c r="I243" i="114" s="1"/>
  <c r="H243" i="114" a="1"/>
  <c r="H243" i="114" s="1"/>
  <c r="H244" i="114" a="1"/>
  <c r="H244" i="114" s="1"/>
  <c r="F246" i="114" a="1"/>
  <c r="F246" i="114" s="1"/>
  <c r="G246" i="114" a="1"/>
  <c r="G246" i="114" s="1"/>
  <c r="I246" i="114" s="1"/>
  <c r="H246" i="114" a="1"/>
  <c r="H246" i="114" s="1"/>
  <c r="F247" i="114" a="1"/>
  <c r="F247" i="114" s="1"/>
  <c r="G247" i="114" a="1"/>
  <c r="G247" i="114" s="1"/>
  <c r="I247" i="114" s="1"/>
  <c r="H247" i="114" a="1"/>
  <c r="H247" i="114" s="1"/>
  <c r="F248" i="114" a="1"/>
  <c r="F248" i="114" s="1"/>
  <c r="G248" i="114" a="1"/>
  <c r="G248" i="114" s="1"/>
  <c r="I248" i="114" s="1"/>
  <c r="H248" i="114" a="1"/>
  <c r="H248" i="114" s="1"/>
  <c r="F249" i="114" a="1"/>
  <c r="F249" i="114" s="1"/>
  <c r="G249" i="114" a="1"/>
  <c r="G249" i="114" s="1"/>
  <c r="I249" i="114" s="1"/>
  <c r="H249" i="114" a="1"/>
  <c r="H249" i="114" s="1"/>
  <c r="F250" i="114" a="1"/>
  <c r="F250" i="114" s="1"/>
  <c r="G250" i="114" a="1"/>
  <c r="G250" i="114" s="1"/>
  <c r="I250" i="114" s="1"/>
  <c r="H250" i="114" a="1"/>
  <c r="H250" i="114" s="1"/>
  <c r="F251" i="114" a="1"/>
  <c r="F251" i="114" s="1"/>
  <c r="G251" i="114" a="1"/>
  <c r="G251" i="114" s="1"/>
  <c r="I251" i="114" s="1"/>
  <c r="H251" i="114" a="1"/>
  <c r="H251" i="114" s="1"/>
  <c r="F252" i="114" a="1"/>
  <c r="F252" i="114" s="1"/>
  <c r="G252" i="114" a="1"/>
  <c r="G252" i="114" s="1"/>
  <c r="I252" i="114" s="1"/>
  <c r="H252" i="114" a="1"/>
  <c r="H252" i="114" s="1"/>
  <c r="H253" i="114" a="1"/>
  <c r="H253" i="114" s="1"/>
  <c r="F255" i="114" a="1"/>
  <c r="F255" i="114" s="1"/>
  <c r="G255" i="114" a="1"/>
  <c r="G255" i="114" s="1"/>
  <c r="I255" i="114" s="1"/>
  <c r="H255" i="114" a="1"/>
  <c r="H255" i="114" s="1"/>
  <c r="F256" i="114" a="1"/>
  <c r="F256" i="114" s="1"/>
  <c r="G256" i="114" a="1"/>
  <c r="G256" i="114" s="1"/>
  <c r="I256" i="114" s="1"/>
  <c r="H256" i="114" a="1"/>
  <c r="H256" i="114" s="1"/>
  <c r="F257" i="114" a="1"/>
  <c r="F257" i="114" s="1"/>
  <c r="G257" i="114" a="1"/>
  <c r="G257" i="114" s="1"/>
  <c r="I257" i="114" s="1"/>
  <c r="H257" i="114" a="1"/>
  <c r="H257" i="114" s="1"/>
  <c r="F258" i="114" a="1"/>
  <c r="F258" i="114" s="1"/>
  <c r="G258" i="114" a="1"/>
  <c r="G258" i="114" s="1"/>
  <c r="I258" i="114" s="1"/>
  <c r="H258" i="114" a="1"/>
  <c r="H258" i="114" s="1"/>
  <c r="F259" i="114" a="1"/>
  <c r="F259" i="114" s="1"/>
  <c r="G259" i="114" a="1"/>
  <c r="G259" i="114" s="1"/>
  <c r="I259" i="114" s="1"/>
  <c r="H259" i="114" a="1"/>
  <c r="H259" i="114" s="1"/>
  <c r="F260" i="114" a="1"/>
  <c r="F260" i="114" s="1"/>
  <c r="G260" i="114" a="1"/>
  <c r="G260" i="114" s="1"/>
  <c r="I260" i="114" s="1"/>
  <c r="H260" i="114" a="1"/>
  <c r="H260" i="114" s="1"/>
  <c r="F261" i="114" a="1"/>
  <c r="F261" i="114" s="1"/>
  <c r="G261" i="114" a="1"/>
  <c r="G261" i="114" s="1"/>
  <c r="I261" i="114" s="1"/>
  <c r="H261" i="114" a="1"/>
  <c r="H261" i="114" s="1"/>
  <c r="H262" i="114" a="1"/>
  <c r="H262" i="114" s="1"/>
  <c r="F264" i="114" a="1"/>
  <c r="F264" i="114" s="1"/>
  <c r="G264" i="114" a="1"/>
  <c r="G264" i="114" s="1"/>
  <c r="I264" i="114" s="1"/>
  <c r="H264" i="114" a="1"/>
  <c r="H264" i="114" s="1"/>
  <c r="F265" i="114" a="1"/>
  <c r="F265" i="114" s="1"/>
  <c r="G265" i="114" a="1"/>
  <c r="G265" i="114" s="1"/>
  <c r="I265" i="114" s="1"/>
  <c r="H265" i="114" a="1"/>
  <c r="H265" i="114" s="1"/>
  <c r="F266" i="114" a="1"/>
  <c r="F266" i="114" s="1"/>
  <c r="G266" i="114" a="1"/>
  <c r="G266" i="114" s="1"/>
  <c r="I266" i="114" s="1"/>
  <c r="H266" i="114" a="1"/>
  <c r="H266" i="114" s="1"/>
  <c r="F267" i="114" a="1"/>
  <c r="F267" i="114" s="1"/>
  <c r="G267" i="114" a="1"/>
  <c r="G267" i="114" s="1"/>
  <c r="I267" i="114" s="1"/>
  <c r="H267" i="114" a="1"/>
  <c r="H267" i="114" s="1"/>
  <c r="F268" i="114" a="1"/>
  <c r="F268" i="114" s="1"/>
  <c r="G268" i="114" a="1"/>
  <c r="G268" i="114" s="1"/>
  <c r="I268" i="114" s="1"/>
  <c r="H268" i="114" a="1"/>
  <c r="H268" i="114" s="1"/>
  <c r="F269" i="114" a="1"/>
  <c r="F269" i="114" s="1"/>
  <c r="G269" i="114" a="1"/>
  <c r="G269" i="114" s="1"/>
  <c r="I269" i="114" s="1"/>
  <c r="H269" i="114" a="1"/>
  <c r="H269" i="114" s="1"/>
  <c r="F270" i="114" a="1"/>
  <c r="F270" i="114" s="1"/>
  <c r="G270" i="114" a="1"/>
  <c r="G270" i="114" s="1"/>
  <c r="I270" i="114" s="1"/>
  <c r="H270" i="114" a="1"/>
  <c r="H270" i="114" s="1"/>
  <c r="H271" i="114" a="1"/>
  <c r="H271" i="114" s="1"/>
  <c r="F273" i="114" a="1"/>
  <c r="F273" i="114" s="1"/>
  <c r="G273" i="114" a="1"/>
  <c r="G273" i="114" s="1"/>
  <c r="I273" i="114" s="1"/>
  <c r="H273" i="114" a="1"/>
  <c r="H273" i="114" s="1"/>
  <c r="F274" i="114" a="1"/>
  <c r="F274" i="114" s="1"/>
  <c r="G274" i="114" a="1"/>
  <c r="G274" i="114" s="1"/>
  <c r="I274" i="114" s="1"/>
  <c r="F275" i="114" a="1"/>
  <c r="F275" i="114" s="1"/>
  <c r="G275" i="114" a="1"/>
  <c r="G275" i="114" s="1"/>
  <c r="I275" i="114" s="1"/>
  <c r="H275" i="114" a="1"/>
  <c r="H275" i="114" s="1"/>
  <c r="F276" i="114" a="1"/>
  <c r="F276" i="114" s="1"/>
  <c r="G276" i="114" a="1"/>
  <c r="G276" i="114" s="1"/>
  <c r="I276" i="114" s="1"/>
  <c r="H276" i="114" a="1"/>
  <c r="H276" i="114" s="1"/>
  <c r="F277" i="114" a="1"/>
  <c r="F277" i="114" s="1"/>
  <c r="G277" i="114" a="1"/>
  <c r="G277" i="114" s="1"/>
  <c r="I277" i="114" s="1"/>
  <c r="H277" i="114" a="1"/>
  <c r="H277" i="114" s="1"/>
  <c r="F278" i="114" a="1"/>
  <c r="F278" i="114" s="1"/>
  <c r="G278" i="114" a="1"/>
  <c r="G278" i="114" s="1"/>
  <c r="I278" i="114" s="1"/>
  <c r="H278" i="114" a="1"/>
  <c r="H278" i="114" s="1"/>
  <c r="F279" i="114" a="1"/>
  <c r="F279" i="114" s="1"/>
  <c r="G279" i="114" a="1"/>
  <c r="G279" i="114" s="1"/>
  <c r="I279" i="114" s="1"/>
  <c r="H279" i="114" a="1"/>
  <c r="H279" i="114" s="1"/>
  <c r="H280" i="114" a="1"/>
  <c r="H280" i="114" s="1"/>
  <c r="F282" i="114" a="1"/>
  <c r="F282" i="114" s="1"/>
  <c r="G282" i="114" a="1"/>
  <c r="G282" i="114" s="1"/>
  <c r="I282" i="114" s="1"/>
  <c r="H282" i="114" a="1"/>
  <c r="H282" i="114" s="1"/>
  <c r="F283" i="114" a="1"/>
  <c r="F283" i="114" s="1"/>
  <c r="G283" i="114" a="1"/>
  <c r="G283" i="114" s="1"/>
  <c r="I283" i="114" s="1"/>
  <c r="H283" i="114" a="1"/>
  <c r="H283" i="114" s="1"/>
  <c r="F284" i="114" a="1"/>
  <c r="F284" i="114" s="1"/>
  <c r="G284" i="114" a="1"/>
  <c r="G284" i="114" s="1"/>
  <c r="I284" i="114" s="1"/>
  <c r="H284" i="114" a="1"/>
  <c r="H284" i="114" s="1"/>
  <c r="F285" i="114" a="1"/>
  <c r="F285" i="114" s="1"/>
  <c r="G285" i="114" a="1"/>
  <c r="G285" i="114" s="1"/>
  <c r="I285" i="114" s="1"/>
  <c r="H285" i="114" a="1"/>
  <c r="H285" i="114" s="1"/>
  <c r="F286" i="114" a="1"/>
  <c r="F286" i="114" s="1"/>
  <c r="G286" i="114" a="1"/>
  <c r="G286" i="114" s="1"/>
  <c r="I286" i="114" s="1"/>
  <c r="H286" i="114" a="1"/>
  <c r="H286" i="114" s="1"/>
  <c r="F287" i="114" a="1"/>
  <c r="F287" i="114" s="1"/>
  <c r="G287" i="114" a="1"/>
  <c r="G287" i="114" s="1"/>
  <c r="I287" i="114" s="1"/>
  <c r="H287" i="114" a="1"/>
  <c r="H287" i="114" s="1"/>
  <c r="F288" i="114" a="1"/>
  <c r="F288" i="114" s="1"/>
  <c r="G288" i="114" a="1"/>
  <c r="G288" i="114" s="1"/>
  <c r="I288" i="114" s="1"/>
  <c r="H288" i="114" a="1"/>
  <c r="H288" i="114" s="1"/>
  <c r="H289" i="114" a="1"/>
  <c r="H289" i="114" s="1"/>
  <c r="F291" i="114" a="1"/>
  <c r="F291" i="114" s="1"/>
  <c r="G291" i="114" a="1"/>
  <c r="G291" i="114" s="1"/>
  <c r="I291" i="114" s="1"/>
  <c r="H291" i="114" a="1"/>
  <c r="H291" i="114" s="1"/>
  <c r="F292" i="114" a="1"/>
  <c r="F292" i="114" s="1"/>
  <c r="G292" i="114" a="1"/>
  <c r="G292" i="114" s="1"/>
  <c r="I292" i="114" s="1"/>
  <c r="H292" i="114" a="1"/>
  <c r="H292" i="114" s="1"/>
  <c r="F293" i="114" a="1"/>
  <c r="F293" i="114" s="1"/>
  <c r="G293" i="114" a="1"/>
  <c r="G293" i="114" s="1"/>
  <c r="I293" i="114" s="1"/>
  <c r="H293" i="114" a="1"/>
  <c r="H293" i="114" s="1"/>
  <c r="F294" i="114" a="1"/>
  <c r="F294" i="114" s="1"/>
  <c r="G294" i="114" a="1"/>
  <c r="G294" i="114" s="1"/>
  <c r="I294" i="114" s="1"/>
  <c r="H294" i="114" a="1"/>
  <c r="H294" i="114" s="1"/>
  <c r="F295" i="114" a="1"/>
  <c r="F295" i="114" s="1"/>
  <c r="G295" i="114" a="1"/>
  <c r="G295" i="114" s="1"/>
  <c r="I295" i="114" s="1"/>
  <c r="H295" i="114" a="1"/>
  <c r="H295" i="114" s="1"/>
  <c r="F296" i="114" a="1"/>
  <c r="F296" i="114" s="1"/>
  <c r="G296" i="114" a="1"/>
  <c r="G296" i="114" s="1"/>
  <c r="I296" i="114" s="1"/>
  <c r="H296" i="114" a="1"/>
  <c r="H296" i="114" s="1"/>
  <c r="F297" i="114" a="1"/>
  <c r="F297" i="114" s="1"/>
  <c r="G297" i="114" a="1"/>
  <c r="G297" i="114" s="1"/>
  <c r="I297" i="114" s="1"/>
  <c r="H297" i="114" a="1"/>
  <c r="H297" i="114" s="1"/>
  <c r="H298" i="114" a="1"/>
  <c r="H298" i="114" s="1"/>
  <c r="F300" i="114" a="1"/>
  <c r="F300" i="114" s="1"/>
  <c r="G300" i="114" a="1"/>
  <c r="G300" i="114" s="1"/>
  <c r="I300" i="114" s="1"/>
  <c r="H300" i="114" a="1"/>
  <c r="H300" i="114" s="1"/>
  <c r="F301" i="114" a="1"/>
  <c r="F301" i="114" s="1"/>
  <c r="G301" i="114" a="1"/>
  <c r="G301" i="114" s="1"/>
  <c r="I301" i="114" s="1"/>
  <c r="H301" i="114" a="1"/>
  <c r="H301" i="114" s="1"/>
  <c r="F302" i="114" a="1"/>
  <c r="F302" i="114" s="1"/>
  <c r="G302" i="114" a="1"/>
  <c r="G302" i="114" s="1"/>
  <c r="I302" i="114" s="1"/>
  <c r="H302" i="114" a="1"/>
  <c r="H302" i="114" s="1"/>
  <c r="F303" i="114" a="1"/>
  <c r="F303" i="114" s="1"/>
  <c r="G303" i="114" a="1"/>
  <c r="G303" i="114" s="1"/>
  <c r="I303" i="114" s="1"/>
  <c r="H303" i="114" a="1"/>
  <c r="H303" i="114" s="1"/>
  <c r="F304" i="114" a="1"/>
  <c r="F304" i="114" s="1"/>
  <c r="G304" i="114" a="1"/>
  <c r="G304" i="114" s="1"/>
  <c r="I304" i="114" s="1"/>
  <c r="H304" i="114" a="1"/>
  <c r="H304" i="114" s="1"/>
  <c r="F305" i="114" a="1"/>
  <c r="F305" i="114" s="1"/>
  <c r="G305" i="114" a="1"/>
  <c r="G305" i="114" s="1"/>
  <c r="I305" i="114" s="1"/>
  <c r="H305" i="114" a="1"/>
  <c r="H305" i="114" s="1"/>
  <c r="F306" i="114" a="1"/>
  <c r="F306" i="114" s="1"/>
  <c r="G306" i="114" a="1"/>
  <c r="G306" i="114" s="1"/>
  <c r="I306" i="114" s="1"/>
  <c r="H306" i="114" a="1"/>
  <c r="H306" i="114" s="1"/>
  <c r="H307" i="114" a="1"/>
  <c r="H307" i="114" s="1"/>
  <c r="F309" i="114" a="1"/>
  <c r="F309" i="114" s="1"/>
  <c r="G309" i="114" a="1"/>
  <c r="G309" i="114" s="1"/>
  <c r="I309" i="114" s="1"/>
  <c r="H309" i="114" a="1"/>
  <c r="H309" i="114" s="1"/>
  <c r="F310" i="114" a="1"/>
  <c r="F310" i="114" s="1"/>
  <c r="G310" i="114" a="1"/>
  <c r="G310" i="114" s="1"/>
  <c r="I310" i="114" s="1"/>
  <c r="H310" i="114" a="1"/>
  <c r="H310" i="114" s="1"/>
  <c r="F311" i="114" a="1"/>
  <c r="F311" i="114" s="1"/>
  <c r="G311" i="114" a="1"/>
  <c r="G311" i="114" s="1"/>
  <c r="I311" i="114" s="1"/>
  <c r="H311" i="114" a="1"/>
  <c r="H311" i="114" s="1"/>
  <c r="F312" i="114" a="1"/>
  <c r="F312" i="114" s="1"/>
  <c r="G312" i="114" a="1"/>
  <c r="G312" i="114" s="1"/>
  <c r="I312" i="114" s="1"/>
  <c r="H312" i="114" a="1"/>
  <c r="H312" i="114" s="1"/>
  <c r="F313" i="114" a="1"/>
  <c r="F313" i="114" s="1"/>
  <c r="G313" i="114" a="1"/>
  <c r="G313" i="114" s="1"/>
  <c r="I313" i="114" s="1"/>
  <c r="H313" i="114" a="1"/>
  <c r="H313" i="114" s="1"/>
  <c r="F314" i="114" a="1"/>
  <c r="F314" i="114" s="1"/>
  <c r="G314" i="114" a="1"/>
  <c r="G314" i="114" s="1"/>
  <c r="I314" i="114" s="1"/>
  <c r="H314" i="114" a="1"/>
  <c r="H314" i="114" s="1"/>
  <c r="F315" i="114" a="1"/>
  <c r="F315" i="114" s="1"/>
  <c r="G315" i="114" a="1"/>
  <c r="G315" i="114" s="1"/>
  <c r="I315" i="114" s="1"/>
  <c r="H315" i="114" a="1"/>
  <c r="H315" i="114" s="1"/>
  <c r="H316" i="114" a="1"/>
  <c r="H316" i="114" s="1"/>
  <c r="F318" i="114" a="1"/>
  <c r="F318" i="114" s="1"/>
  <c r="G318" i="114" a="1"/>
  <c r="G318" i="114" s="1"/>
  <c r="I318" i="114" s="1"/>
  <c r="H318" i="114" a="1"/>
  <c r="H318" i="114" s="1"/>
  <c r="F319" i="114" a="1"/>
  <c r="F319" i="114" s="1"/>
  <c r="G319" i="114" a="1"/>
  <c r="G319" i="114" s="1"/>
  <c r="I319" i="114" s="1"/>
  <c r="H319" i="114" a="1"/>
  <c r="H319" i="114" s="1"/>
  <c r="F320" i="114" a="1"/>
  <c r="F320" i="114" s="1"/>
  <c r="G320" i="114" a="1"/>
  <c r="G320" i="114" s="1"/>
  <c r="I320" i="114" s="1"/>
  <c r="H320" i="114" a="1"/>
  <c r="H320" i="114" s="1"/>
  <c r="F321" i="114" a="1"/>
  <c r="F321" i="114" s="1"/>
  <c r="G321" i="114" a="1"/>
  <c r="G321" i="114" s="1"/>
  <c r="I321" i="114" s="1"/>
  <c r="H321" i="114" a="1"/>
  <c r="H321" i="114" s="1"/>
  <c r="F322" i="114" a="1"/>
  <c r="F322" i="114" s="1"/>
  <c r="G322" i="114" a="1"/>
  <c r="G322" i="114" s="1"/>
  <c r="I322" i="114" s="1"/>
  <c r="H322" i="114" a="1"/>
  <c r="H322" i="114" s="1"/>
  <c r="F323" i="114" a="1"/>
  <c r="F323" i="114" s="1"/>
  <c r="G323" i="114" a="1"/>
  <c r="G323" i="114" s="1"/>
  <c r="I323" i="114" s="1"/>
  <c r="H323" i="114" a="1"/>
  <c r="H323" i="114" s="1"/>
  <c r="F324" i="114" a="1"/>
  <c r="F324" i="114" s="1"/>
  <c r="G324" i="114" a="1"/>
  <c r="G324" i="114" s="1"/>
  <c r="I324" i="114" s="1"/>
  <c r="H324" i="114" a="1"/>
  <c r="H324" i="114" s="1"/>
  <c r="H325" i="114" a="1"/>
  <c r="H325" i="114" s="1"/>
  <c r="F327" i="114" a="1"/>
  <c r="F327" i="114" s="1"/>
  <c r="G327" i="114" a="1"/>
  <c r="G327" i="114" s="1"/>
  <c r="I327" i="114" s="1"/>
  <c r="H327" i="114" a="1"/>
  <c r="H327" i="114" s="1"/>
  <c r="F328" i="114" a="1"/>
  <c r="F328" i="114" s="1"/>
  <c r="G328" i="114" a="1"/>
  <c r="G328" i="114" s="1"/>
  <c r="I328" i="114" s="1"/>
  <c r="H328" i="114" a="1"/>
  <c r="H328" i="114" s="1"/>
  <c r="F329" i="114" a="1"/>
  <c r="F329" i="114" s="1"/>
  <c r="G329" i="114" a="1"/>
  <c r="G329" i="114" s="1"/>
  <c r="I329" i="114" s="1"/>
  <c r="H329" i="114" a="1"/>
  <c r="H329" i="114" s="1"/>
  <c r="F330" i="114" a="1"/>
  <c r="F330" i="114" s="1"/>
  <c r="G330" i="114" a="1"/>
  <c r="G330" i="114" s="1"/>
  <c r="I330" i="114" s="1"/>
  <c r="H330" i="114" a="1"/>
  <c r="H330" i="114" s="1"/>
  <c r="F331" i="114" a="1"/>
  <c r="F331" i="114" s="1"/>
  <c r="G331" i="114" a="1"/>
  <c r="G331" i="114" s="1"/>
  <c r="I331" i="114" s="1"/>
  <c r="H331" i="114" a="1"/>
  <c r="H331" i="114" s="1"/>
  <c r="F332" i="114" a="1"/>
  <c r="F332" i="114" s="1"/>
  <c r="G332" i="114" a="1"/>
  <c r="G332" i="114" s="1"/>
  <c r="I332" i="114" s="1"/>
  <c r="H332" i="114" a="1"/>
  <c r="H332" i="114" s="1"/>
  <c r="F333" i="114" a="1"/>
  <c r="F333" i="114" s="1"/>
  <c r="G333" i="114" a="1"/>
  <c r="G333" i="114" s="1"/>
  <c r="I333" i="114" s="1"/>
  <c r="H333" i="114" a="1"/>
  <c r="H333" i="114" s="1"/>
  <c r="H334" i="114" a="1"/>
  <c r="H334" i="114" s="1"/>
  <c r="F336" i="114" a="1"/>
  <c r="F336" i="114" s="1"/>
  <c r="G336" i="114" a="1"/>
  <c r="G336" i="114" s="1"/>
  <c r="I336" i="114" s="1"/>
  <c r="H336" i="114" a="1"/>
  <c r="H336" i="114" s="1"/>
  <c r="F337" i="114" a="1"/>
  <c r="F337" i="114" s="1"/>
  <c r="G337" i="114" a="1"/>
  <c r="G337" i="114" s="1"/>
  <c r="I337" i="114" s="1"/>
  <c r="H337" i="114" a="1"/>
  <c r="H337" i="114" s="1"/>
  <c r="F338" i="114" a="1"/>
  <c r="F338" i="114" s="1"/>
  <c r="G338" i="114" a="1"/>
  <c r="G338" i="114" s="1"/>
  <c r="I338" i="114" s="1"/>
  <c r="H338" i="114" a="1"/>
  <c r="H338" i="114" s="1"/>
  <c r="F339" i="114" a="1"/>
  <c r="F339" i="114" s="1"/>
  <c r="G339" i="114" a="1"/>
  <c r="G339" i="114" s="1"/>
  <c r="I339" i="114" s="1"/>
  <c r="H339" i="114" a="1"/>
  <c r="H339" i="114" s="1"/>
  <c r="F340" i="114" a="1"/>
  <c r="F340" i="114" s="1"/>
  <c r="G340" i="114" a="1"/>
  <c r="G340" i="114" s="1"/>
  <c r="I340" i="114" s="1"/>
  <c r="H340" i="114" a="1"/>
  <c r="H340" i="114" s="1"/>
  <c r="F341" i="114" a="1"/>
  <c r="F341" i="114" s="1"/>
  <c r="G341" i="114" a="1"/>
  <c r="G341" i="114" s="1"/>
  <c r="I341" i="114" s="1"/>
  <c r="H341" i="114" a="1"/>
  <c r="H341" i="114" s="1"/>
  <c r="F342" i="114" a="1"/>
  <c r="F342" i="114" s="1"/>
  <c r="G342" i="114" a="1"/>
  <c r="G342" i="114" s="1"/>
  <c r="I342" i="114" s="1"/>
  <c r="H342" i="114" a="1"/>
  <c r="H342" i="114" s="1"/>
  <c r="H343" i="114" a="1"/>
  <c r="H343" i="114" s="1"/>
  <c r="F345" i="114" a="1"/>
  <c r="F345" i="114" s="1"/>
  <c r="G345" i="114" a="1"/>
  <c r="G345" i="114" s="1"/>
  <c r="I345" i="114" s="1"/>
  <c r="H345" i="114" a="1"/>
  <c r="H345" i="114" s="1"/>
  <c r="F346" i="114" a="1"/>
  <c r="F346" i="114" s="1"/>
  <c r="G346" i="114" a="1"/>
  <c r="G346" i="114" s="1"/>
  <c r="I346" i="114" s="1"/>
  <c r="H346" i="114" a="1"/>
  <c r="H346" i="114" s="1"/>
  <c r="F347" i="114" a="1"/>
  <c r="F347" i="114" s="1"/>
  <c r="G347" i="114" a="1"/>
  <c r="G347" i="114" s="1"/>
  <c r="I347" i="114" s="1"/>
  <c r="H347" i="114" a="1"/>
  <c r="H347" i="114" s="1"/>
  <c r="F348" i="114" a="1"/>
  <c r="F348" i="114" s="1"/>
  <c r="G348" i="114" a="1"/>
  <c r="G348" i="114" s="1"/>
  <c r="I348" i="114" s="1"/>
  <c r="H348" i="114" a="1"/>
  <c r="H348" i="114" s="1"/>
  <c r="F349" i="114" a="1"/>
  <c r="F349" i="114" s="1"/>
  <c r="G349" i="114" a="1"/>
  <c r="G349" i="114" s="1"/>
  <c r="I349" i="114" s="1"/>
  <c r="H349" i="114" a="1"/>
  <c r="H349" i="114" s="1"/>
  <c r="F350" i="114" a="1"/>
  <c r="F350" i="114" s="1"/>
  <c r="G350" i="114" a="1"/>
  <c r="G350" i="114" s="1"/>
  <c r="I350" i="114" s="1"/>
  <c r="H350" i="114" a="1"/>
  <c r="H350" i="114" s="1"/>
  <c r="F351" i="114" a="1"/>
  <c r="F351" i="114" s="1"/>
  <c r="G351" i="114" a="1"/>
  <c r="G351" i="114" s="1"/>
  <c r="I351" i="114" s="1"/>
  <c r="H351" i="114" a="1"/>
  <c r="H351" i="114" s="1"/>
  <c r="H352" i="114" a="1"/>
  <c r="H352" i="114" s="1"/>
  <c r="F354" i="114" a="1"/>
  <c r="F354" i="114" s="1"/>
  <c r="G354" i="114" a="1"/>
  <c r="G354" i="114" s="1"/>
  <c r="I354" i="114" s="1"/>
  <c r="H354" i="114" a="1"/>
  <c r="H354" i="114" s="1"/>
  <c r="F355" i="114" a="1"/>
  <c r="F355" i="114" s="1"/>
  <c r="G355" i="114" a="1"/>
  <c r="G355" i="114" s="1"/>
  <c r="I355" i="114" s="1"/>
  <c r="H355" i="114" a="1"/>
  <c r="H355" i="114" s="1"/>
  <c r="F356" i="114" a="1"/>
  <c r="F356" i="114" s="1"/>
  <c r="G356" i="114" a="1"/>
  <c r="G356" i="114" s="1"/>
  <c r="I356" i="114" s="1"/>
  <c r="H356" i="114" a="1"/>
  <c r="H356" i="114" s="1"/>
  <c r="F357" i="114" a="1"/>
  <c r="F357" i="114" s="1"/>
  <c r="G357" i="114" a="1"/>
  <c r="G357" i="114" s="1"/>
  <c r="I357" i="114" s="1"/>
  <c r="H357" i="114" a="1"/>
  <c r="H357" i="114" s="1"/>
  <c r="F358" i="114" a="1"/>
  <c r="F358" i="114" s="1"/>
  <c r="G358" i="114" a="1"/>
  <c r="G358" i="114" s="1"/>
  <c r="I358" i="114" s="1"/>
  <c r="H358" i="114" a="1"/>
  <c r="H358" i="114" s="1"/>
  <c r="F359" i="114" a="1"/>
  <c r="F359" i="114" s="1"/>
  <c r="G359" i="114" a="1"/>
  <c r="G359" i="114" s="1"/>
  <c r="I359" i="114" s="1"/>
  <c r="H359" i="114" a="1"/>
  <c r="H359" i="114" s="1"/>
  <c r="F360" i="114" a="1"/>
  <c r="F360" i="114" s="1"/>
  <c r="G360" i="114" a="1"/>
  <c r="G360" i="114" s="1"/>
  <c r="I360" i="114" s="1"/>
  <c r="H360" i="114" a="1"/>
  <c r="H360" i="114" s="1"/>
  <c r="H361" i="114" a="1"/>
  <c r="H361" i="114" s="1"/>
  <c r="F363" i="114" a="1"/>
  <c r="F363" i="114" s="1"/>
  <c r="G363" i="114" a="1"/>
  <c r="G363" i="114" s="1"/>
  <c r="I363" i="114" s="1"/>
  <c r="H363" i="114" a="1"/>
  <c r="H363" i="114" s="1"/>
  <c r="F364" i="114" a="1"/>
  <c r="F364" i="114" s="1"/>
  <c r="G364" i="114" a="1"/>
  <c r="G364" i="114" s="1"/>
  <c r="I364" i="114" s="1"/>
  <c r="H364" i="114" a="1"/>
  <c r="H364" i="114" s="1"/>
  <c r="F365" i="114" a="1"/>
  <c r="F365" i="114" s="1"/>
  <c r="G365" i="114" a="1"/>
  <c r="G365" i="114" s="1"/>
  <c r="I365" i="114" s="1"/>
  <c r="H365" i="114" a="1"/>
  <c r="H365" i="114" s="1"/>
  <c r="F366" i="114" a="1"/>
  <c r="F366" i="114" s="1"/>
  <c r="G366" i="114" a="1"/>
  <c r="G366" i="114" s="1"/>
  <c r="I366" i="114" s="1"/>
  <c r="H366" i="114" a="1"/>
  <c r="H366" i="114" s="1"/>
  <c r="F367" i="114" a="1"/>
  <c r="F367" i="114" s="1"/>
  <c r="G367" i="114" a="1"/>
  <c r="G367" i="114" s="1"/>
  <c r="I367" i="114" s="1"/>
  <c r="H367" i="114" a="1"/>
  <c r="H367" i="114" s="1"/>
  <c r="F368" i="114" a="1"/>
  <c r="F368" i="114" s="1"/>
  <c r="G368" i="114" a="1"/>
  <c r="G368" i="114" s="1"/>
  <c r="I368" i="114" s="1"/>
  <c r="H368" i="114" a="1"/>
  <c r="H368" i="114" s="1"/>
  <c r="F369" i="114" a="1"/>
  <c r="F369" i="114" s="1"/>
  <c r="G369" i="114" a="1"/>
  <c r="G369" i="114" s="1"/>
  <c r="I369" i="114" s="1"/>
  <c r="H369" i="114" a="1"/>
  <c r="H369" i="114" s="1"/>
  <c r="H370" i="114" a="1"/>
  <c r="H370" i="114" s="1"/>
  <c r="F372" i="114" a="1"/>
  <c r="F372" i="114" s="1"/>
  <c r="G372" i="114" a="1"/>
  <c r="G372" i="114" s="1"/>
  <c r="I372" i="114" s="1"/>
  <c r="F373" i="114" a="1"/>
  <c r="F373" i="114" s="1"/>
  <c r="G373" i="114" a="1"/>
  <c r="G373" i="114" s="1"/>
  <c r="I373" i="114" s="1"/>
  <c r="F374" i="114" a="1"/>
  <c r="F374" i="114" s="1"/>
  <c r="G374" i="114" a="1"/>
  <c r="G374" i="114" s="1"/>
  <c r="I374" i="114" s="1"/>
  <c r="F375" i="114" a="1"/>
  <c r="F375" i="114" s="1"/>
  <c r="G375" i="114" a="1"/>
  <c r="G375" i="114" s="1"/>
  <c r="I375" i="114" s="1"/>
  <c r="F376" i="114" a="1"/>
  <c r="F376" i="114" s="1"/>
  <c r="G376" i="114" a="1"/>
  <c r="G376" i="114" s="1"/>
  <c r="I376" i="114" s="1"/>
  <c r="F377" i="114" a="1"/>
  <c r="F377" i="114" s="1"/>
  <c r="G377" i="114" a="1"/>
  <c r="G377" i="114" s="1"/>
  <c r="I377" i="114" s="1"/>
  <c r="F378" i="114" a="1"/>
  <c r="F378" i="114" s="1"/>
  <c r="G378" i="114" a="1"/>
  <c r="G378" i="114" s="1"/>
  <c r="I378" i="114" s="1"/>
  <c r="F381" i="114" a="1"/>
  <c r="F381" i="114" s="1"/>
  <c r="G381" i="114" a="1"/>
  <c r="G381" i="114" s="1"/>
  <c r="I381" i="114" s="1"/>
  <c r="H381" i="114" a="1"/>
  <c r="H381" i="114" s="1"/>
  <c r="F382" i="114" a="1"/>
  <c r="F382" i="114" s="1"/>
  <c r="G382" i="114" a="1"/>
  <c r="G382" i="114" s="1"/>
  <c r="I382" i="114" s="1"/>
  <c r="H382" i="114" a="1"/>
  <c r="H382" i="114" s="1"/>
  <c r="F383" i="114" a="1"/>
  <c r="F383" i="114" s="1"/>
  <c r="G383" i="114" a="1"/>
  <c r="G383" i="114" s="1"/>
  <c r="I383" i="114" s="1"/>
  <c r="H383" i="114" a="1"/>
  <c r="H383" i="114" s="1"/>
  <c r="F384" i="114" a="1"/>
  <c r="F384" i="114" s="1"/>
  <c r="G384" i="114" a="1"/>
  <c r="G384" i="114" s="1"/>
  <c r="I384" i="114" s="1"/>
  <c r="H384" i="114" a="1"/>
  <c r="H384" i="114" s="1"/>
  <c r="F385" i="114" a="1"/>
  <c r="F385" i="114" s="1"/>
  <c r="G385" i="114" a="1"/>
  <c r="G385" i="114" s="1"/>
  <c r="I385" i="114" s="1"/>
  <c r="H385" i="114" a="1"/>
  <c r="H385" i="114" s="1"/>
  <c r="F386" i="114" a="1"/>
  <c r="F386" i="114" s="1"/>
  <c r="G386" i="114" a="1"/>
  <c r="G386" i="114" s="1"/>
  <c r="I386" i="114" s="1"/>
  <c r="H386" i="114" a="1"/>
  <c r="H386" i="114" s="1"/>
  <c r="F387" i="114" a="1"/>
  <c r="F387" i="114" s="1"/>
  <c r="G387" i="114" a="1"/>
  <c r="G387" i="114" s="1"/>
  <c r="I387" i="114" s="1"/>
  <c r="H387" i="114" a="1"/>
  <c r="H387" i="114" s="1"/>
  <c r="H388" i="114" a="1"/>
  <c r="H388" i="114" s="1"/>
  <c r="F390" i="114" a="1"/>
  <c r="F390" i="114" s="1"/>
  <c r="G390" i="114" a="1"/>
  <c r="G390" i="114" s="1"/>
  <c r="I390" i="114" s="1"/>
  <c r="H390" i="114" a="1"/>
  <c r="H390" i="114" s="1"/>
  <c r="F391" i="114" a="1"/>
  <c r="F391" i="114" s="1"/>
  <c r="G391" i="114" a="1"/>
  <c r="G391" i="114" s="1"/>
  <c r="I391" i="114" s="1"/>
  <c r="H391" i="114" a="1"/>
  <c r="H391" i="114" s="1"/>
  <c r="F392" i="114" a="1"/>
  <c r="F392" i="114" s="1"/>
  <c r="G392" i="114" a="1"/>
  <c r="G392" i="114" s="1"/>
  <c r="I392" i="114" s="1"/>
  <c r="H392" i="114" a="1"/>
  <c r="H392" i="114" s="1"/>
  <c r="F393" i="114" a="1"/>
  <c r="F393" i="114" s="1"/>
  <c r="G393" i="114" a="1"/>
  <c r="G393" i="114" s="1"/>
  <c r="I393" i="114" s="1"/>
  <c r="H393" i="114" a="1"/>
  <c r="H393" i="114" s="1"/>
  <c r="F394" i="114" a="1"/>
  <c r="F394" i="114" s="1"/>
  <c r="G394" i="114" a="1"/>
  <c r="G394" i="114" s="1"/>
  <c r="I394" i="114" s="1"/>
  <c r="H394" i="114" a="1"/>
  <c r="H394" i="114" s="1"/>
  <c r="F395" i="114" a="1"/>
  <c r="F395" i="114" s="1"/>
  <c r="G395" i="114" a="1"/>
  <c r="G395" i="114" s="1"/>
  <c r="I395" i="114" s="1"/>
  <c r="H395" i="114" a="1"/>
  <c r="H395" i="114" s="1"/>
  <c r="F396" i="114" a="1"/>
  <c r="F396" i="114" s="1"/>
  <c r="G396" i="114" a="1"/>
  <c r="G396" i="114" s="1"/>
  <c r="I396" i="114" s="1"/>
  <c r="H396" i="114" a="1"/>
  <c r="H396" i="114" s="1"/>
  <c r="H397" i="114" a="1"/>
  <c r="H397" i="114" s="1"/>
  <c r="F399" i="114" a="1"/>
  <c r="F399" i="114" s="1"/>
  <c r="G399" i="114" a="1"/>
  <c r="G399" i="114" s="1"/>
  <c r="I399" i="114" s="1"/>
  <c r="H399" i="114" a="1"/>
  <c r="H399" i="114" s="1"/>
  <c r="F400" i="114" a="1"/>
  <c r="F400" i="114" s="1"/>
  <c r="G400" i="114" a="1"/>
  <c r="G400" i="114" s="1"/>
  <c r="I400" i="114" s="1"/>
  <c r="H400" i="114" a="1"/>
  <c r="H400" i="114" s="1"/>
  <c r="F401" i="114" a="1"/>
  <c r="F401" i="114" s="1"/>
  <c r="G401" i="114" a="1"/>
  <c r="G401" i="114" s="1"/>
  <c r="I401" i="114" s="1"/>
  <c r="H401" i="114" a="1"/>
  <c r="H401" i="114" s="1"/>
  <c r="F402" i="114" a="1"/>
  <c r="F402" i="114" s="1"/>
  <c r="G402" i="114" a="1"/>
  <c r="G402" i="114" s="1"/>
  <c r="I402" i="114" s="1"/>
  <c r="H402" i="114" a="1"/>
  <c r="H402" i="114" s="1"/>
  <c r="F403" i="114" a="1"/>
  <c r="F403" i="114" s="1"/>
  <c r="G403" i="114" a="1"/>
  <c r="G403" i="114" s="1"/>
  <c r="I403" i="114" s="1"/>
  <c r="H403" i="114" a="1"/>
  <c r="H403" i="114" s="1"/>
  <c r="F404" i="114" a="1"/>
  <c r="F404" i="114" s="1"/>
  <c r="G404" i="114" a="1"/>
  <c r="G404" i="114" s="1"/>
  <c r="I404" i="114" s="1"/>
  <c r="H404" i="114" a="1"/>
  <c r="H404" i="114" s="1"/>
  <c r="F405" i="114" a="1"/>
  <c r="F405" i="114" s="1"/>
  <c r="G405" i="114" a="1"/>
  <c r="G405" i="114" s="1"/>
  <c r="I405" i="114" s="1"/>
  <c r="H405" i="114" a="1"/>
  <c r="H405" i="114" s="1"/>
  <c r="H406" i="114" a="1"/>
  <c r="H406" i="114" s="1"/>
  <c r="F408" i="114" a="1"/>
  <c r="F408" i="114" s="1"/>
  <c r="G408" i="114" a="1"/>
  <c r="G408" i="114" s="1"/>
  <c r="I408" i="114" s="1"/>
  <c r="H408" i="114" a="1"/>
  <c r="H408" i="114" s="1"/>
  <c r="F409" i="114" a="1"/>
  <c r="F409" i="114" s="1"/>
  <c r="G409" i="114" a="1"/>
  <c r="G409" i="114" s="1"/>
  <c r="I409" i="114" s="1"/>
  <c r="H409" i="114" a="1"/>
  <c r="H409" i="114" s="1"/>
  <c r="F410" i="114" a="1"/>
  <c r="F410" i="114" s="1"/>
  <c r="G410" i="114" a="1"/>
  <c r="G410" i="114" s="1"/>
  <c r="I410" i="114" s="1"/>
  <c r="H410" i="114" a="1"/>
  <c r="H410" i="114" s="1"/>
  <c r="F411" i="114" a="1"/>
  <c r="F411" i="114" s="1"/>
  <c r="G411" i="114" a="1"/>
  <c r="G411" i="114" s="1"/>
  <c r="I411" i="114" s="1"/>
  <c r="H411" i="114" a="1"/>
  <c r="H411" i="114" s="1"/>
  <c r="F412" i="114" a="1"/>
  <c r="F412" i="114" s="1"/>
  <c r="G412" i="114" a="1"/>
  <c r="G412" i="114" s="1"/>
  <c r="I412" i="114" s="1"/>
  <c r="H412" i="114" a="1"/>
  <c r="H412" i="114" s="1"/>
  <c r="F413" i="114" a="1"/>
  <c r="F413" i="114" s="1"/>
  <c r="G413" i="114" a="1"/>
  <c r="G413" i="114" s="1"/>
  <c r="I413" i="114" s="1"/>
  <c r="H413" i="114" a="1"/>
  <c r="H413" i="114" s="1"/>
  <c r="F414" i="114" a="1"/>
  <c r="F414" i="114" s="1"/>
  <c r="G414" i="114" a="1"/>
  <c r="G414" i="114" s="1"/>
  <c r="I414" i="114" s="1"/>
  <c r="H414" i="114" a="1"/>
  <c r="H414" i="114" s="1"/>
  <c r="H415" i="114" a="1"/>
  <c r="H415" i="114" s="1"/>
  <c r="F417" i="114" a="1"/>
  <c r="F417" i="114" s="1"/>
  <c r="G417" i="114" a="1"/>
  <c r="G417" i="114" s="1"/>
  <c r="I417" i="114" s="1"/>
  <c r="H417" i="114" a="1"/>
  <c r="H417" i="114" s="1"/>
  <c r="F418" i="114" a="1"/>
  <c r="F418" i="114" s="1"/>
  <c r="G418" i="114" a="1"/>
  <c r="G418" i="114" s="1"/>
  <c r="I418" i="114" s="1"/>
  <c r="H418" i="114" a="1"/>
  <c r="H418" i="114" s="1"/>
  <c r="F419" i="114" a="1"/>
  <c r="F419" i="114" s="1"/>
  <c r="G419" i="114" a="1"/>
  <c r="G419" i="114" s="1"/>
  <c r="I419" i="114" s="1"/>
  <c r="H419" i="114" a="1"/>
  <c r="H419" i="114" s="1"/>
  <c r="F420" i="114" a="1"/>
  <c r="F420" i="114" s="1"/>
  <c r="G420" i="114" a="1"/>
  <c r="G420" i="114" s="1"/>
  <c r="I420" i="114" s="1"/>
  <c r="H420" i="114" a="1"/>
  <c r="H420" i="114" s="1"/>
  <c r="F421" i="114" a="1"/>
  <c r="F421" i="114" s="1"/>
  <c r="G421" i="114" a="1"/>
  <c r="G421" i="114" s="1"/>
  <c r="I421" i="114" s="1"/>
  <c r="H421" i="114" a="1"/>
  <c r="H421" i="114" s="1"/>
  <c r="F422" i="114" a="1"/>
  <c r="F422" i="114" s="1"/>
  <c r="G422" i="114" a="1"/>
  <c r="G422" i="114" s="1"/>
  <c r="I422" i="114" s="1"/>
  <c r="H422" i="114" a="1"/>
  <c r="H422" i="114" s="1"/>
  <c r="F423" i="114" a="1"/>
  <c r="F423" i="114" s="1"/>
  <c r="G423" i="114" a="1"/>
  <c r="G423" i="114" s="1"/>
  <c r="I423" i="114" s="1"/>
  <c r="H423" i="114" a="1"/>
  <c r="H423" i="114" s="1"/>
  <c r="H424" i="114" a="1"/>
  <c r="H424" i="114" s="1"/>
  <c r="F426" i="114" a="1"/>
  <c r="F426" i="114" s="1"/>
  <c r="G426" i="114" a="1"/>
  <c r="G426" i="114" s="1"/>
  <c r="I426" i="114" s="1"/>
  <c r="H426" i="114" a="1"/>
  <c r="H426" i="114" s="1"/>
  <c r="F427" i="114" a="1"/>
  <c r="F427" i="114" s="1"/>
  <c r="G427" i="114" a="1"/>
  <c r="G427" i="114" s="1"/>
  <c r="I427" i="114" s="1"/>
  <c r="H427" i="114" a="1"/>
  <c r="H427" i="114" s="1"/>
  <c r="F428" i="114" a="1"/>
  <c r="F428" i="114" s="1"/>
  <c r="G428" i="114" a="1"/>
  <c r="G428" i="114" s="1"/>
  <c r="I428" i="114" s="1"/>
  <c r="H428" i="114" a="1"/>
  <c r="H428" i="114" s="1"/>
  <c r="F429" i="114" a="1"/>
  <c r="F429" i="114" s="1"/>
  <c r="G429" i="114" a="1"/>
  <c r="G429" i="114" s="1"/>
  <c r="I429" i="114" s="1"/>
  <c r="H429" i="114" a="1"/>
  <c r="H429" i="114" s="1"/>
  <c r="F430" i="114" a="1"/>
  <c r="F430" i="114" s="1"/>
  <c r="G430" i="114" a="1"/>
  <c r="G430" i="114" s="1"/>
  <c r="I430" i="114" s="1"/>
  <c r="H430" i="114" a="1"/>
  <c r="H430" i="114" s="1"/>
  <c r="F431" i="114" a="1"/>
  <c r="F431" i="114" s="1"/>
  <c r="G431" i="114" a="1"/>
  <c r="G431" i="114" s="1"/>
  <c r="I431" i="114" s="1"/>
  <c r="H431" i="114" a="1"/>
  <c r="H431" i="114" s="1"/>
  <c r="F432" i="114" a="1"/>
  <c r="F432" i="114" s="1"/>
  <c r="G432" i="114" a="1"/>
  <c r="G432" i="114" s="1"/>
  <c r="I432" i="114" s="1"/>
  <c r="H432" i="114" a="1"/>
  <c r="H432" i="114" s="1"/>
  <c r="H433" i="114" a="1"/>
  <c r="H433" i="114" s="1"/>
  <c r="F435" i="114" a="1"/>
  <c r="F435" i="114" s="1"/>
  <c r="G435" i="114" a="1"/>
  <c r="G435" i="114" s="1"/>
  <c r="I435" i="114" s="1"/>
  <c r="H435" i="114" a="1"/>
  <c r="H435" i="114" s="1"/>
  <c r="F436" i="114" a="1"/>
  <c r="F436" i="114" s="1"/>
  <c r="G436" i="114" a="1"/>
  <c r="G436" i="114" s="1"/>
  <c r="I436" i="114" s="1"/>
  <c r="H436" i="114" a="1"/>
  <c r="H436" i="114" s="1"/>
  <c r="F437" i="114" a="1"/>
  <c r="F437" i="114" s="1"/>
  <c r="G437" i="114" a="1"/>
  <c r="G437" i="114" s="1"/>
  <c r="I437" i="114" s="1"/>
  <c r="H437" i="114" a="1"/>
  <c r="H437" i="114" s="1"/>
  <c r="F438" i="114" a="1"/>
  <c r="F438" i="114" s="1"/>
  <c r="G438" i="114" a="1"/>
  <c r="G438" i="114" s="1"/>
  <c r="I438" i="114" s="1"/>
  <c r="H438" i="114" a="1"/>
  <c r="H438" i="114" s="1"/>
  <c r="F439" i="114" a="1"/>
  <c r="F439" i="114" s="1"/>
  <c r="G439" i="114" a="1"/>
  <c r="G439" i="114" s="1"/>
  <c r="I439" i="114" s="1"/>
  <c r="H439" i="114" a="1"/>
  <c r="H439" i="114" s="1"/>
  <c r="F440" i="114" a="1"/>
  <c r="F440" i="114" s="1"/>
  <c r="G440" i="114" a="1"/>
  <c r="G440" i="114" s="1"/>
  <c r="I440" i="114" s="1"/>
  <c r="H440" i="114" a="1"/>
  <c r="H440" i="114" s="1"/>
  <c r="F441" i="114" a="1"/>
  <c r="F441" i="114" s="1"/>
  <c r="G441" i="114" a="1"/>
  <c r="G441" i="114" s="1"/>
  <c r="I441" i="114" s="1"/>
  <c r="H441" i="114" a="1"/>
  <c r="H441" i="114" s="1"/>
  <c r="H442" i="114" a="1"/>
  <c r="H442" i="114" s="1"/>
  <c r="F444" i="114" a="1"/>
  <c r="F444" i="114" s="1"/>
  <c r="G444" i="114" a="1"/>
  <c r="G444" i="114" s="1"/>
  <c r="I444" i="114" s="1"/>
  <c r="H444" i="114" a="1"/>
  <c r="H444" i="114" s="1"/>
  <c r="F445" i="114" a="1"/>
  <c r="F445" i="114" s="1"/>
  <c r="G445" i="114" a="1"/>
  <c r="G445" i="114" s="1"/>
  <c r="I445" i="114" s="1"/>
  <c r="H445" i="114" a="1"/>
  <c r="H445" i="114" s="1"/>
  <c r="F446" i="114" a="1"/>
  <c r="F446" i="114" s="1"/>
  <c r="G446" i="114" a="1"/>
  <c r="G446" i="114" s="1"/>
  <c r="I446" i="114" s="1"/>
  <c r="H446" i="114" a="1"/>
  <c r="H446" i="114" s="1"/>
  <c r="F447" i="114" a="1"/>
  <c r="F447" i="114" s="1"/>
  <c r="G447" i="114" a="1"/>
  <c r="G447" i="114" s="1"/>
  <c r="I447" i="114" s="1"/>
  <c r="H447" i="114" a="1"/>
  <c r="H447" i="114" s="1"/>
  <c r="F448" i="114" a="1"/>
  <c r="F448" i="114" s="1"/>
  <c r="G448" i="114" a="1"/>
  <c r="G448" i="114" s="1"/>
  <c r="I448" i="114" s="1"/>
  <c r="H448" i="114" a="1"/>
  <c r="H448" i="114" s="1"/>
  <c r="F449" i="114" a="1"/>
  <c r="F449" i="114" s="1"/>
  <c r="G449" i="114" a="1"/>
  <c r="G449" i="114" s="1"/>
  <c r="I449" i="114" s="1"/>
  <c r="H449" i="114" a="1"/>
  <c r="H449" i="114" s="1"/>
  <c r="F450" i="114" a="1"/>
  <c r="F450" i="114" s="1"/>
  <c r="G450" i="114" a="1"/>
  <c r="G450" i="114" s="1"/>
  <c r="I450" i="114" s="1"/>
  <c r="H450" i="114" a="1"/>
  <c r="H450" i="114" s="1"/>
  <c r="H451" i="114" a="1"/>
  <c r="H451" i="114" s="1"/>
  <c r="F453" i="114" a="1"/>
  <c r="F453" i="114" s="1"/>
  <c r="G453" i="114" a="1"/>
  <c r="G453" i="114" s="1"/>
  <c r="I453" i="114" s="1"/>
  <c r="H453" i="114" a="1"/>
  <c r="H453" i="114" s="1"/>
  <c r="F454" i="114" a="1"/>
  <c r="F454" i="114" s="1"/>
  <c r="G454" i="114" a="1"/>
  <c r="G454" i="114" s="1"/>
  <c r="I454" i="114" s="1"/>
  <c r="F455" i="114" a="1"/>
  <c r="F455" i="114" s="1"/>
  <c r="G455" i="114" a="1"/>
  <c r="G455" i="114" s="1"/>
  <c r="I455" i="114" s="1"/>
  <c r="H455" i="114" a="1"/>
  <c r="H455" i="114" s="1"/>
  <c r="F456" i="114" a="1"/>
  <c r="F456" i="114" s="1"/>
  <c r="G456" i="114" a="1"/>
  <c r="G456" i="114" s="1"/>
  <c r="I456" i="114" s="1"/>
  <c r="F457" i="114" a="1"/>
  <c r="F457" i="114" s="1"/>
  <c r="G457" i="114" a="1"/>
  <c r="G457" i="114" s="1"/>
  <c r="I457" i="114" s="1"/>
  <c r="H457" i="114" a="1"/>
  <c r="H457" i="114" s="1"/>
  <c r="F458" i="114" a="1"/>
  <c r="F458" i="114" s="1"/>
  <c r="G458" i="114" a="1"/>
  <c r="G458" i="114" s="1"/>
  <c r="I458" i="114" s="1"/>
  <c r="H458" i="114" a="1"/>
  <c r="H458" i="114" s="1"/>
  <c r="F459" i="114" a="1"/>
  <c r="F459" i="114" s="1"/>
  <c r="G459" i="114" a="1"/>
  <c r="G459" i="114" s="1"/>
  <c r="I459" i="114" s="1"/>
  <c r="H459" i="114" a="1"/>
  <c r="H459" i="114" s="1"/>
  <c r="H460" i="114" a="1"/>
  <c r="H460" i="114" s="1"/>
  <c r="F462" i="114" a="1"/>
  <c r="F462" i="114" s="1"/>
  <c r="G462" i="114" a="1"/>
  <c r="G462" i="114" s="1"/>
  <c r="I462" i="114" s="1"/>
  <c r="H462" i="114" a="1"/>
  <c r="H462" i="114" s="1"/>
  <c r="F463" i="114" a="1"/>
  <c r="F463" i="114" s="1"/>
  <c r="G463" i="114" a="1"/>
  <c r="G463" i="114" s="1"/>
  <c r="I463" i="114" s="1"/>
  <c r="H463" i="114" a="1"/>
  <c r="H463" i="114" s="1"/>
  <c r="F464" i="114" a="1"/>
  <c r="F464" i="114" s="1"/>
  <c r="G464" i="114" a="1"/>
  <c r="G464" i="114" s="1"/>
  <c r="I464" i="114" s="1"/>
  <c r="H464" i="114" a="1"/>
  <c r="H464" i="114" s="1"/>
  <c r="F465" i="114" a="1"/>
  <c r="F465" i="114" s="1"/>
  <c r="G465" i="114" a="1"/>
  <c r="G465" i="114" s="1"/>
  <c r="I465" i="114" s="1"/>
  <c r="H465" i="114" a="1"/>
  <c r="H465" i="114" s="1"/>
  <c r="F466" i="114" a="1"/>
  <c r="F466" i="114" s="1"/>
  <c r="G466" i="114" a="1"/>
  <c r="G466" i="114" s="1"/>
  <c r="I466" i="114" s="1"/>
  <c r="H466" i="114" a="1"/>
  <c r="H466" i="114" s="1"/>
  <c r="F467" i="114" a="1"/>
  <c r="F467" i="114" s="1"/>
  <c r="G467" i="114" a="1"/>
  <c r="G467" i="114" s="1"/>
  <c r="I467" i="114" s="1"/>
  <c r="H467" i="114" a="1"/>
  <c r="H467" i="114" s="1"/>
  <c r="F468" i="114" a="1"/>
  <c r="F468" i="114" s="1"/>
  <c r="G468" i="114" a="1"/>
  <c r="G468" i="114" s="1"/>
  <c r="I468" i="114" s="1"/>
  <c r="H468" i="114" a="1"/>
  <c r="H468" i="114" s="1"/>
  <c r="H469" i="114" a="1"/>
  <c r="H469" i="114" s="1"/>
  <c r="F471" i="114" a="1"/>
  <c r="F471" i="114" s="1"/>
  <c r="G471" i="114" a="1"/>
  <c r="G471" i="114" s="1"/>
  <c r="I471" i="114" s="1"/>
  <c r="H471" i="114" a="1"/>
  <c r="H471" i="114" s="1"/>
  <c r="F472" i="114" a="1"/>
  <c r="F472" i="114" s="1"/>
  <c r="G472" i="114" a="1"/>
  <c r="G472" i="114" s="1"/>
  <c r="I472" i="114" s="1"/>
  <c r="H472" i="114" a="1"/>
  <c r="H472" i="114" s="1"/>
  <c r="F473" i="114" a="1"/>
  <c r="F473" i="114" s="1"/>
  <c r="G473" i="114" a="1"/>
  <c r="G473" i="114" s="1"/>
  <c r="I473" i="114" s="1"/>
  <c r="H473" i="114" a="1"/>
  <c r="H473" i="114" s="1"/>
  <c r="F474" i="114" a="1"/>
  <c r="F474" i="114" s="1"/>
  <c r="G474" i="114" a="1"/>
  <c r="G474" i="114" s="1"/>
  <c r="I474" i="114" s="1"/>
  <c r="H474" i="114" a="1"/>
  <c r="H474" i="114" s="1"/>
  <c r="F475" i="114" a="1"/>
  <c r="F475" i="114" s="1"/>
  <c r="G475" i="114" a="1"/>
  <c r="G475" i="114" s="1"/>
  <c r="I475" i="114" s="1"/>
  <c r="H475" i="114" a="1"/>
  <c r="H475" i="114" s="1"/>
  <c r="F476" i="114" a="1"/>
  <c r="F476" i="114" s="1"/>
  <c r="G476" i="114" a="1"/>
  <c r="G476" i="114" s="1"/>
  <c r="I476" i="114" s="1"/>
  <c r="H476" i="114" a="1"/>
  <c r="H476" i="114" s="1"/>
  <c r="F477" i="114" a="1"/>
  <c r="F477" i="114" s="1"/>
  <c r="G477" i="114" a="1"/>
  <c r="G477" i="114" s="1"/>
  <c r="I477" i="114" s="1"/>
  <c r="H477" i="114" a="1"/>
  <c r="H477" i="114" s="1"/>
  <c r="H478" i="114" a="1"/>
  <c r="H478" i="114" s="1"/>
  <c r="F480" i="114" a="1"/>
  <c r="F480" i="114" s="1"/>
  <c r="G480" i="114" a="1"/>
  <c r="G480" i="114" s="1"/>
  <c r="I480" i="114" s="1"/>
  <c r="H480" i="114" a="1"/>
  <c r="H480" i="114" s="1"/>
  <c r="F481" i="114" a="1"/>
  <c r="F481" i="114" s="1"/>
  <c r="G481" i="114" a="1"/>
  <c r="G481" i="114" s="1"/>
  <c r="I481" i="114" s="1"/>
  <c r="H481" i="114" a="1"/>
  <c r="H481" i="114" s="1"/>
  <c r="F482" i="114" a="1"/>
  <c r="F482" i="114" s="1"/>
  <c r="G482" i="114" a="1"/>
  <c r="G482" i="114" s="1"/>
  <c r="I482" i="114" s="1"/>
  <c r="H482" i="114" a="1"/>
  <c r="H482" i="114" s="1"/>
  <c r="F483" i="114" a="1"/>
  <c r="F483" i="114" s="1"/>
  <c r="G483" i="114" a="1"/>
  <c r="G483" i="114" s="1"/>
  <c r="I483" i="114" s="1"/>
  <c r="H483" i="114" a="1"/>
  <c r="H483" i="114" s="1"/>
  <c r="F484" i="114" a="1"/>
  <c r="F484" i="114" s="1"/>
  <c r="G484" i="114" a="1"/>
  <c r="G484" i="114" s="1"/>
  <c r="I484" i="114" s="1"/>
  <c r="H484" i="114" a="1"/>
  <c r="H484" i="114" s="1"/>
  <c r="F485" i="114" a="1"/>
  <c r="F485" i="114" s="1"/>
  <c r="G485" i="114" a="1"/>
  <c r="G485" i="114" s="1"/>
  <c r="I485" i="114" s="1"/>
  <c r="H485" i="114" a="1"/>
  <c r="H485" i="114" s="1"/>
  <c r="F486" i="114" a="1"/>
  <c r="F486" i="114" s="1"/>
  <c r="G486" i="114" a="1"/>
  <c r="G486" i="114" s="1"/>
  <c r="I486" i="114" s="1"/>
  <c r="H486" i="114" a="1"/>
  <c r="H486" i="114" s="1"/>
  <c r="H487" i="114" a="1"/>
  <c r="H487" i="114" s="1"/>
  <c r="F489" i="114" a="1"/>
  <c r="F489" i="114" s="1"/>
  <c r="G489" i="114" a="1"/>
  <c r="G489" i="114" s="1"/>
  <c r="I489" i="114" s="1"/>
  <c r="H489" i="114" a="1"/>
  <c r="H489" i="114" s="1"/>
  <c r="F490" i="114" a="1"/>
  <c r="F490" i="114" s="1"/>
  <c r="G490" i="114" a="1"/>
  <c r="G490" i="114" s="1"/>
  <c r="I490" i="114" s="1"/>
  <c r="H490" i="114" a="1"/>
  <c r="H490" i="114" s="1"/>
  <c r="F491" i="114" a="1"/>
  <c r="F491" i="114" s="1"/>
  <c r="G491" i="114" a="1"/>
  <c r="G491" i="114" s="1"/>
  <c r="I491" i="114" s="1"/>
  <c r="H491" i="114" a="1"/>
  <c r="H491" i="114" s="1"/>
  <c r="F492" i="114" a="1"/>
  <c r="F492" i="114" s="1"/>
  <c r="G492" i="114" a="1"/>
  <c r="G492" i="114" s="1"/>
  <c r="I492" i="114" s="1"/>
  <c r="H492" i="114" a="1"/>
  <c r="H492" i="114" s="1"/>
  <c r="F493" i="114" a="1"/>
  <c r="F493" i="114" s="1"/>
  <c r="G493" i="114" a="1"/>
  <c r="G493" i="114" s="1"/>
  <c r="I493" i="114" s="1"/>
  <c r="H493" i="114" a="1"/>
  <c r="H493" i="114" s="1"/>
  <c r="F494" i="114" a="1"/>
  <c r="F494" i="114" s="1"/>
  <c r="G494" i="114" a="1"/>
  <c r="G494" i="114" s="1"/>
  <c r="I494" i="114" s="1"/>
  <c r="H494" i="114" a="1"/>
  <c r="H494" i="114" s="1"/>
  <c r="F495" i="114" a="1"/>
  <c r="F495" i="114" s="1"/>
  <c r="G495" i="114" a="1"/>
  <c r="G495" i="114" s="1"/>
  <c r="I495" i="114" s="1"/>
  <c r="H495" i="114" a="1"/>
  <c r="H495" i="114" s="1"/>
  <c r="H496" i="114" a="1"/>
  <c r="H496" i="114" s="1"/>
  <c r="F498" i="114" a="1"/>
  <c r="F498" i="114" s="1"/>
  <c r="G498" i="114" a="1"/>
  <c r="G498" i="114" s="1"/>
  <c r="I498" i="114" s="1"/>
  <c r="H498" i="114" a="1"/>
  <c r="H498" i="114" s="1"/>
  <c r="F499" i="114" a="1"/>
  <c r="F499" i="114" s="1"/>
  <c r="G499" i="114" a="1"/>
  <c r="G499" i="114" s="1"/>
  <c r="I499" i="114" s="1"/>
  <c r="H499" i="114" a="1"/>
  <c r="H499" i="114" s="1"/>
  <c r="F500" i="114" a="1"/>
  <c r="F500" i="114" s="1"/>
  <c r="G500" i="114" a="1"/>
  <c r="G500" i="114" s="1"/>
  <c r="I500" i="114" s="1"/>
  <c r="H500" i="114" a="1"/>
  <c r="H500" i="114" s="1"/>
  <c r="F501" i="114" a="1"/>
  <c r="F501" i="114" s="1"/>
  <c r="G501" i="114" a="1"/>
  <c r="G501" i="114" s="1"/>
  <c r="I501" i="114" s="1"/>
  <c r="H501" i="114" a="1"/>
  <c r="H501" i="114" s="1"/>
  <c r="F502" i="114" a="1"/>
  <c r="F502" i="114" s="1"/>
  <c r="G502" i="114" a="1"/>
  <c r="G502" i="114" s="1"/>
  <c r="I502" i="114" s="1"/>
  <c r="H502" i="114" a="1"/>
  <c r="H502" i="114" s="1"/>
  <c r="F503" i="114" a="1"/>
  <c r="F503" i="114" s="1"/>
  <c r="G503" i="114" a="1"/>
  <c r="G503" i="114" s="1"/>
  <c r="I503" i="114" s="1"/>
  <c r="H503" i="114" a="1"/>
  <c r="H503" i="114" s="1"/>
  <c r="F504" i="114" a="1"/>
  <c r="F504" i="114" s="1"/>
  <c r="G504" i="114" a="1"/>
  <c r="G504" i="114" s="1"/>
  <c r="I504" i="114" s="1"/>
  <c r="H504" i="114" a="1"/>
  <c r="H504" i="114" s="1"/>
  <c r="H505" i="114" a="1"/>
  <c r="H505" i="114" s="1"/>
  <c r="F507" i="114" a="1"/>
  <c r="F507" i="114" s="1"/>
  <c r="G507" i="114" a="1"/>
  <c r="G507" i="114" s="1"/>
  <c r="I507" i="114" s="1"/>
  <c r="H507" i="114" a="1"/>
  <c r="H507" i="114" s="1"/>
  <c r="F508" i="114" a="1"/>
  <c r="F508" i="114" s="1"/>
  <c r="G508" i="114" a="1"/>
  <c r="G508" i="114" s="1"/>
  <c r="I508" i="114" s="1"/>
  <c r="H508" i="114" a="1"/>
  <c r="H508" i="114" s="1"/>
  <c r="F509" i="114" a="1"/>
  <c r="F509" i="114" s="1"/>
  <c r="G509" i="114" a="1"/>
  <c r="G509" i="114" s="1"/>
  <c r="I509" i="114" s="1"/>
  <c r="H509" i="114" a="1"/>
  <c r="H509" i="114" s="1"/>
  <c r="F510" i="114" a="1"/>
  <c r="F510" i="114" s="1"/>
  <c r="G510" i="114" a="1"/>
  <c r="G510" i="114" s="1"/>
  <c r="I510" i="114" s="1"/>
  <c r="H510" i="114" a="1"/>
  <c r="H510" i="114" s="1"/>
  <c r="F511" i="114" a="1"/>
  <c r="F511" i="114" s="1"/>
  <c r="G511" i="114" a="1"/>
  <c r="G511" i="114" s="1"/>
  <c r="I511" i="114" s="1"/>
  <c r="H511" i="114" a="1"/>
  <c r="H511" i="114" s="1"/>
  <c r="F512" i="114" a="1"/>
  <c r="F512" i="114" s="1"/>
  <c r="G512" i="114" a="1"/>
  <c r="G512" i="114" s="1"/>
  <c r="I512" i="114" s="1"/>
  <c r="H512" i="114" a="1"/>
  <c r="H512" i="114" s="1"/>
  <c r="F513" i="114" a="1"/>
  <c r="F513" i="114" s="1"/>
  <c r="G513" i="114" a="1"/>
  <c r="G513" i="114" s="1"/>
  <c r="I513" i="114" s="1"/>
  <c r="H513" i="114" a="1"/>
  <c r="H513" i="114" s="1"/>
  <c r="H514" i="114" a="1"/>
  <c r="H514" i="114" s="1"/>
  <c r="F516" i="114" a="1"/>
  <c r="F516" i="114" s="1"/>
  <c r="G516" i="114" a="1"/>
  <c r="G516" i="114" s="1"/>
  <c r="I516" i="114" s="1"/>
  <c r="H516" i="114" a="1"/>
  <c r="H516" i="114" s="1"/>
  <c r="F517" i="114" a="1"/>
  <c r="F517" i="114" s="1"/>
  <c r="G517" i="114" a="1"/>
  <c r="G517" i="114" s="1"/>
  <c r="I517" i="114" s="1"/>
  <c r="H517" i="114" a="1"/>
  <c r="H517" i="114" s="1"/>
  <c r="F518" i="114" a="1"/>
  <c r="F518" i="114" s="1"/>
  <c r="G518" i="114" a="1"/>
  <c r="G518" i="114" s="1"/>
  <c r="I518" i="114" s="1"/>
  <c r="H518" i="114" a="1"/>
  <c r="H518" i="114" s="1"/>
  <c r="F519" i="114" a="1"/>
  <c r="F519" i="114" s="1"/>
  <c r="G519" i="114" a="1"/>
  <c r="G519" i="114" s="1"/>
  <c r="I519" i="114" s="1"/>
  <c r="H519" i="114" a="1"/>
  <c r="H519" i="114" s="1"/>
  <c r="F520" i="114" a="1"/>
  <c r="F520" i="114" s="1"/>
  <c r="G520" i="114" a="1"/>
  <c r="G520" i="114" s="1"/>
  <c r="I520" i="114" s="1"/>
  <c r="H520" i="114" a="1"/>
  <c r="H520" i="114" s="1"/>
  <c r="F521" i="114" a="1"/>
  <c r="F521" i="114" s="1"/>
  <c r="G521" i="114" a="1"/>
  <c r="G521" i="114" s="1"/>
  <c r="I521" i="114" s="1"/>
  <c r="H521" i="114" a="1"/>
  <c r="H521" i="114" s="1"/>
  <c r="F522" i="114" a="1"/>
  <c r="F522" i="114" s="1"/>
  <c r="G522" i="114" a="1"/>
  <c r="G522" i="114" s="1"/>
  <c r="I522" i="114" s="1"/>
  <c r="H522" i="114" a="1"/>
  <c r="H522" i="114" s="1"/>
  <c r="H523" i="114" a="1"/>
  <c r="H523" i="114" s="1"/>
  <c r="F525" i="114" a="1"/>
  <c r="F525" i="114" s="1"/>
  <c r="G525" i="114" a="1"/>
  <c r="G525" i="114" s="1"/>
  <c r="I525" i="114" s="1"/>
  <c r="H525" i="114" a="1"/>
  <c r="H525" i="114" s="1"/>
  <c r="F526" i="114" a="1"/>
  <c r="F526" i="114" s="1"/>
  <c r="G526" i="114" a="1"/>
  <c r="G526" i="114" s="1"/>
  <c r="I526" i="114" s="1"/>
  <c r="H526" i="114" a="1"/>
  <c r="H526" i="114" s="1"/>
  <c r="F527" i="114" a="1"/>
  <c r="F527" i="114" s="1"/>
  <c r="G527" i="114" a="1"/>
  <c r="G527" i="114" s="1"/>
  <c r="I527" i="114" s="1"/>
  <c r="H527" i="114" a="1"/>
  <c r="H527" i="114" s="1"/>
  <c r="F528" i="114" a="1"/>
  <c r="F528" i="114" s="1"/>
  <c r="G528" i="114" a="1"/>
  <c r="G528" i="114" s="1"/>
  <c r="I528" i="114" s="1"/>
  <c r="H528" i="114" a="1"/>
  <c r="H528" i="114" s="1"/>
  <c r="F529" i="114" a="1"/>
  <c r="F529" i="114" s="1"/>
  <c r="G529" i="114" a="1"/>
  <c r="G529" i="114" s="1"/>
  <c r="I529" i="114" s="1"/>
  <c r="H529" i="114" a="1"/>
  <c r="H529" i="114" s="1"/>
  <c r="F530" i="114" a="1"/>
  <c r="F530" i="114" s="1"/>
  <c r="G530" i="114" a="1"/>
  <c r="G530" i="114" s="1"/>
  <c r="I530" i="114" s="1"/>
  <c r="H530" i="114" a="1"/>
  <c r="H530" i="114" s="1"/>
  <c r="F531" i="114" a="1"/>
  <c r="F531" i="114" s="1"/>
  <c r="G531" i="114" a="1"/>
  <c r="G531" i="114" s="1"/>
  <c r="I531" i="114" s="1"/>
  <c r="H531" i="114" a="1"/>
  <c r="H531" i="114" s="1"/>
  <c r="H532" i="114" a="1"/>
  <c r="H532" i="114" s="1"/>
  <c r="F534" i="114" a="1"/>
  <c r="F534" i="114" s="1"/>
  <c r="G534" i="114" a="1"/>
  <c r="G534" i="114" s="1"/>
  <c r="I534" i="114" s="1"/>
  <c r="H534" i="114" a="1"/>
  <c r="H534" i="114" s="1"/>
  <c r="F535" i="114" a="1"/>
  <c r="F535" i="114" s="1"/>
  <c r="G535" i="114" a="1"/>
  <c r="G535" i="114" s="1"/>
  <c r="I535" i="114" s="1"/>
  <c r="H535" i="114" a="1"/>
  <c r="H535" i="114" s="1"/>
  <c r="F536" i="114" a="1"/>
  <c r="F536" i="114" s="1"/>
  <c r="G536" i="114" a="1"/>
  <c r="G536" i="114" s="1"/>
  <c r="I536" i="114" s="1"/>
  <c r="H536" i="114" a="1"/>
  <c r="H536" i="114" s="1"/>
  <c r="F537" i="114" a="1"/>
  <c r="F537" i="114" s="1"/>
  <c r="G537" i="114" a="1"/>
  <c r="G537" i="114" s="1"/>
  <c r="I537" i="114" s="1"/>
  <c r="H537" i="114" a="1"/>
  <c r="H537" i="114" s="1"/>
  <c r="F538" i="114" a="1"/>
  <c r="F538" i="114" s="1"/>
  <c r="G538" i="114" a="1"/>
  <c r="G538" i="114" s="1"/>
  <c r="I538" i="114" s="1"/>
  <c r="H538" i="114" a="1"/>
  <c r="H538" i="114" s="1"/>
  <c r="F539" i="114" a="1"/>
  <c r="F539" i="114" s="1"/>
  <c r="G539" i="114" a="1"/>
  <c r="G539" i="114" s="1"/>
  <c r="I539" i="114" s="1"/>
  <c r="H539" i="114" a="1"/>
  <c r="H539" i="114" s="1"/>
  <c r="F540" i="114" a="1"/>
  <c r="F540" i="114" s="1"/>
  <c r="G540" i="114" a="1"/>
  <c r="G540" i="114" s="1"/>
  <c r="I540" i="114" s="1"/>
  <c r="H540" i="114" a="1"/>
  <c r="H540" i="114" s="1"/>
  <c r="H541" i="114" a="1"/>
  <c r="H541" i="114" s="1"/>
  <c r="F543" i="114" a="1"/>
  <c r="F543" i="114" s="1"/>
  <c r="G543" i="114" a="1"/>
  <c r="G543" i="114" s="1"/>
  <c r="I543" i="114" s="1"/>
  <c r="H543" i="114" a="1"/>
  <c r="H543" i="114" s="1"/>
  <c r="F544" i="114" a="1"/>
  <c r="F544" i="114" s="1"/>
  <c r="G544" i="114" a="1"/>
  <c r="G544" i="114" s="1"/>
  <c r="I544" i="114" s="1"/>
  <c r="H544" i="114" a="1"/>
  <c r="H544" i="114" s="1"/>
  <c r="F545" i="114" a="1"/>
  <c r="F545" i="114" s="1"/>
  <c r="G545" i="114" a="1"/>
  <c r="G545" i="114" s="1"/>
  <c r="I545" i="114" s="1"/>
  <c r="H545" i="114" a="1"/>
  <c r="H545" i="114" s="1"/>
  <c r="F546" i="114" a="1"/>
  <c r="F546" i="114" s="1"/>
  <c r="G546" i="114" a="1"/>
  <c r="G546" i="114" s="1"/>
  <c r="I546" i="114" s="1"/>
  <c r="H546" i="114" a="1"/>
  <c r="H546" i="114" s="1"/>
  <c r="F547" i="114" a="1"/>
  <c r="F547" i="114" s="1"/>
  <c r="G547" i="114" a="1"/>
  <c r="G547" i="114" s="1"/>
  <c r="I547" i="114" s="1"/>
  <c r="H547" i="114" a="1"/>
  <c r="H547" i="114" s="1"/>
  <c r="F548" i="114" a="1"/>
  <c r="F548" i="114" s="1"/>
  <c r="G548" i="114" a="1"/>
  <c r="G548" i="114" s="1"/>
  <c r="I548" i="114" s="1"/>
  <c r="H548" i="114" a="1"/>
  <c r="H548" i="114" s="1"/>
  <c r="F549" i="114" a="1"/>
  <c r="F549" i="114" s="1"/>
  <c r="G549" i="114" a="1"/>
  <c r="G549" i="114" s="1"/>
  <c r="I549" i="114" s="1"/>
  <c r="H549" i="114" a="1"/>
  <c r="H549" i="114" s="1"/>
  <c r="H550" i="114" a="1"/>
  <c r="H550" i="114" s="1"/>
  <c r="F552" i="114" a="1"/>
  <c r="F552" i="114" s="1"/>
  <c r="G552" i="114" a="1"/>
  <c r="G552" i="114" s="1"/>
  <c r="I552" i="114" s="1"/>
  <c r="H552" i="114" a="1"/>
  <c r="H552" i="114" s="1"/>
  <c r="F553" i="114" a="1"/>
  <c r="F553" i="114" s="1"/>
  <c r="G553" i="114" a="1"/>
  <c r="G553" i="114" s="1"/>
  <c r="I553" i="114" s="1"/>
  <c r="H553" i="114" a="1"/>
  <c r="H553" i="114" s="1"/>
  <c r="F554" i="114" a="1"/>
  <c r="F554" i="114" s="1"/>
  <c r="G554" i="114" a="1"/>
  <c r="G554" i="114" s="1"/>
  <c r="I554" i="114" s="1"/>
  <c r="H554" i="114" a="1"/>
  <c r="H554" i="114" s="1"/>
  <c r="F555" i="114" a="1"/>
  <c r="F555" i="114" s="1"/>
  <c r="G555" i="114" a="1"/>
  <c r="G555" i="114" s="1"/>
  <c r="I555" i="114" s="1"/>
  <c r="H555" i="114" a="1"/>
  <c r="H555" i="114" s="1"/>
  <c r="F556" i="114" a="1"/>
  <c r="F556" i="114" s="1"/>
  <c r="G556" i="114" a="1"/>
  <c r="G556" i="114" s="1"/>
  <c r="I556" i="114" s="1"/>
  <c r="H556" i="114" a="1"/>
  <c r="H556" i="114" s="1"/>
  <c r="F557" i="114" a="1"/>
  <c r="F557" i="114" s="1"/>
  <c r="G557" i="114" a="1"/>
  <c r="G557" i="114" s="1"/>
  <c r="I557" i="114" s="1"/>
  <c r="H557" i="114" a="1"/>
  <c r="H557" i="114" s="1"/>
  <c r="F558" i="114" a="1"/>
  <c r="F558" i="114" s="1"/>
  <c r="G558" i="114" a="1"/>
  <c r="G558" i="114" s="1"/>
  <c r="I558" i="114" s="1"/>
  <c r="H558" i="114" a="1"/>
  <c r="H558" i="114" s="1"/>
  <c r="H559" i="114" a="1"/>
  <c r="H559" i="114" s="1"/>
  <c r="F561" i="114" a="1"/>
  <c r="F561" i="114" s="1"/>
  <c r="G561" i="114" a="1"/>
  <c r="G561" i="114" s="1"/>
  <c r="I561" i="114" s="1"/>
  <c r="H561" i="114" a="1"/>
  <c r="H561" i="114" s="1"/>
  <c r="F562" i="114" a="1"/>
  <c r="F562" i="114" s="1"/>
  <c r="G562" i="114" a="1"/>
  <c r="G562" i="114" s="1"/>
  <c r="I562" i="114" s="1"/>
  <c r="H562" i="114" a="1"/>
  <c r="H562" i="114" s="1"/>
  <c r="F563" i="114" a="1"/>
  <c r="F563" i="114" s="1"/>
  <c r="G563" i="114" a="1"/>
  <c r="G563" i="114" s="1"/>
  <c r="I563" i="114" s="1"/>
  <c r="H563" i="114" a="1"/>
  <c r="H563" i="114" s="1"/>
  <c r="F564" i="114" a="1"/>
  <c r="F564" i="114" s="1"/>
  <c r="G564" i="114" a="1"/>
  <c r="G564" i="114" s="1"/>
  <c r="I564" i="114" s="1"/>
  <c r="H564" i="114" a="1"/>
  <c r="H564" i="114" s="1"/>
  <c r="F565" i="114" a="1"/>
  <c r="F565" i="114" s="1"/>
  <c r="G565" i="114" a="1"/>
  <c r="G565" i="114" s="1"/>
  <c r="I565" i="114" s="1"/>
  <c r="H565" i="114" a="1"/>
  <c r="H565" i="114" s="1"/>
  <c r="F566" i="114" a="1"/>
  <c r="F566" i="114" s="1"/>
  <c r="G566" i="114" a="1"/>
  <c r="G566" i="114" s="1"/>
  <c r="I566" i="114" s="1"/>
  <c r="H566" i="114" a="1"/>
  <c r="H566" i="114" s="1"/>
  <c r="F567" i="114" a="1"/>
  <c r="F567" i="114" s="1"/>
  <c r="G567" i="114" a="1"/>
  <c r="G567" i="114" s="1"/>
  <c r="I567" i="114" s="1"/>
  <c r="H567" i="114" a="1"/>
  <c r="H567" i="114" s="1"/>
  <c r="H568" i="114" a="1"/>
  <c r="H568" i="114" s="1"/>
  <c r="F570" i="114" a="1"/>
  <c r="F570" i="114" s="1"/>
  <c r="G570" i="114" a="1"/>
  <c r="G570" i="114" s="1"/>
  <c r="I570" i="114" s="1"/>
  <c r="H570" i="114" a="1"/>
  <c r="H570" i="114" s="1"/>
  <c r="F571" i="114" a="1"/>
  <c r="F571" i="114" s="1"/>
  <c r="G571" i="114" a="1"/>
  <c r="G571" i="114" s="1"/>
  <c r="I571" i="114" s="1"/>
  <c r="H571" i="114" a="1"/>
  <c r="H571" i="114" s="1"/>
  <c r="F572" i="114" a="1"/>
  <c r="F572" i="114" s="1"/>
  <c r="G572" i="114" a="1"/>
  <c r="G572" i="114" s="1"/>
  <c r="I572" i="114" s="1"/>
  <c r="H572" i="114" a="1"/>
  <c r="H572" i="114" s="1"/>
  <c r="F573" i="114" a="1"/>
  <c r="F573" i="114" s="1"/>
  <c r="G573" i="114" a="1"/>
  <c r="G573" i="114" s="1"/>
  <c r="I573" i="114" s="1"/>
  <c r="H573" i="114" a="1"/>
  <c r="H573" i="114" s="1"/>
  <c r="F574" i="114" a="1"/>
  <c r="F574" i="114" s="1"/>
  <c r="G574" i="114" a="1"/>
  <c r="G574" i="114" s="1"/>
  <c r="I574" i="114" s="1"/>
  <c r="H574" i="114" a="1"/>
  <c r="H574" i="114" s="1"/>
  <c r="F575" i="114" a="1"/>
  <c r="F575" i="114" s="1"/>
  <c r="G575" i="114" a="1"/>
  <c r="G575" i="114" s="1"/>
  <c r="I575" i="114" s="1"/>
  <c r="H575" i="114" a="1"/>
  <c r="H575" i="114" s="1"/>
  <c r="F576" i="114" a="1"/>
  <c r="F576" i="114" s="1"/>
  <c r="G576" i="114" a="1"/>
  <c r="G576" i="114" s="1"/>
  <c r="I576" i="114" s="1"/>
  <c r="H576" i="114" a="1"/>
  <c r="H576" i="114" s="1"/>
  <c r="H577" i="114" a="1"/>
  <c r="H577" i="114" s="1"/>
  <c r="F579" i="114" a="1"/>
  <c r="F579" i="114" s="1"/>
  <c r="G579" i="114" a="1"/>
  <c r="G579" i="114" s="1"/>
  <c r="I579" i="114" s="1"/>
  <c r="H579" i="114" a="1"/>
  <c r="H579" i="114" s="1"/>
  <c r="F580" i="114" a="1"/>
  <c r="F580" i="114" s="1"/>
  <c r="G580" i="114" a="1"/>
  <c r="G580" i="114" s="1"/>
  <c r="I580" i="114" s="1"/>
  <c r="H580" i="114" a="1"/>
  <c r="H580" i="114" s="1"/>
  <c r="F581" i="114" a="1"/>
  <c r="F581" i="114" s="1"/>
  <c r="G581" i="114" a="1"/>
  <c r="G581" i="114" s="1"/>
  <c r="I581" i="114" s="1"/>
  <c r="H581" i="114" a="1"/>
  <c r="H581" i="114" s="1"/>
  <c r="F582" i="114" a="1"/>
  <c r="F582" i="114" s="1"/>
  <c r="G582" i="114" a="1"/>
  <c r="G582" i="114" s="1"/>
  <c r="I582" i="114" s="1"/>
  <c r="H582" i="114" a="1"/>
  <c r="H582" i="114" s="1"/>
  <c r="F583" i="114" a="1"/>
  <c r="F583" i="114" s="1"/>
  <c r="G583" i="114" a="1"/>
  <c r="G583" i="114" s="1"/>
  <c r="I583" i="114" s="1"/>
  <c r="H583" i="114" a="1"/>
  <c r="H583" i="114" s="1"/>
  <c r="F584" i="114" a="1"/>
  <c r="F584" i="114" s="1"/>
  <c r="G584" i="114" a="1"/>
  <c r="G584" i="114" s="1"/>
  <c r="I584" i="114" s="1"/>
  <c r="H584" i="114" a="1"/>
  <c r="H584" i="114" s="1"/>
  <c r="F585" i="114" a="1"/>
  <c r="F585" i="114" s="1"/>
  <c r="G585" i="114" a="1"/>
  <c r="G585" i="114" s="1"/>
  <c r="I585" i="114" s="1"/>
  <c r="H585" i="114" a="1"/>
  <c r="H585" i="114" s="1"/>
  <c r="H586" i="114" a="1"/>
  <c r="H586" i="114" s="1"/>
  <c r="F588" i="114" a="1"/>
  <c r="F588" i="114" s="1"/>
  <c r="G588" i="114" a="1"/>
  <c r="G588" i="114" s="1"/>
  <c r="I588" i="114" s="1"/>
  <c r="H588" i="114" a="1"/>
  <c r="H588" i="114" s="1"/>
  <c r="F589" i="114" a="1"/>
  <c r="F589" i="114" s="1"/>
  <c r="G589" i="114" a="1"/>
  <c r="G589" i="114" s="1"/>
  <c r="I589" i="114" s="1"/>
  <c r="F590" i="114" a="1"/>
  <c r="F590" i="114" s="1"/>
  <c r="G590" i="114" a="1"/>
  <c r="G590" i="114" s="1"/>
  <c r="I590" i="114" s="1"/>
  <c r="H590" i="114" a="1"/>
  <c r="H590" i="114" s="1"/>
  <c r="F591" i="114" a="1"/>
  <c r="F591" i="114" s="1"/>
  <c r="G591" i="114" a="1"/>
  <c r="G591" i="114" s="1"/>
  <c r="I591" i="114" s="1"/>
  <c r="H591" i="114" a="1"/>
  <c r="H591" i="114" s="1"/>
  <c r="F592" i="114" a="1"/>
  <c r="F592" i="114" s="1"/>
  <c r="G592" i="114" a="1"/>
  <c r="G592" i="114" s="1"/>
  <c r="I592" i="114" s="1"/>
  <c r="H592" i="114" a="1"/>
  <c r="H592" i="114" s="1"/>
  <c r="F593" i="114" a="1"/>
  <c r="F593" i="114" s="1"/>
  <c r="G593" i="114" a="1"/>
  <c r="G593" i="114" s="1"/>
  <c r="I593" i="114" s="1"/>
  <c r="H593" i="114" a="1"/>
  <c r="H593" i="114" s="1"/>
  <c r="F594" i="114" a="1"/>
  <c r="F594" i="114" s="1"/>
  <c r="G594" i="114" a="1"/>
  <c r="G594" i="114" s="1"/>
  <c r="I594" i="114" s="1"/>
  <c r="H594" i="114" a="1"/>
  <c r="H594" i="114" s="1"/>
  <c r="H595" i="114" a="1"/>
  <c r="H595" i="114" s="1"/>
  <c r="F597" i="114" a="1"/>
  <c r="F597" i="114" s="1"/>
  <c r="G597" i="114" a="1"/>
  <c r="G597" i="114" s="1"/>
  <c r="I597" i="114" s="1"/>
  <c r="H597" i="114" a="1"/>
  <c r="H597" i="114" s="1"/>
  <c r="F598" i="114" a="1"/>
  <c r="F598" i="114" s="1"/>
  <c r="G598" i="114" a="1"/>
  <c r="G598" i="114" s="1"/>
  <c r="I598" i="114" s="1"/>
  <c r="H598" i="114" a="1"/>
  <c r="H598" i="114" s="1"/>
  <c r="F599" i="114" a="1"/>
  <c r="F599" i="114" s="1"/>
  <c r="G599" i="114" a="1"/>
  <c r="G599" i="114" s="1"/>
  <c r="I599" i="114" s="1"/>
  <c r="H599" i="114" a="1"/>
  <c r="H599" i="114" s="1"/>
  <c r="F600" i="114" a="1"/>
  <c r="F600" i="114" s="1"/>
  <c r="G600" i="114" a="1"/>
  <c r="G600" i="114" s="1"/>
  <c r="I600" i="114" s="1"/>
  <c r="H600" i="114" a="1"/>
  <c r="H600" i="114" s="1"/>
  <c r="F601" i="114" a="1"/>
  <c r="F601" i="114" s="1"/>
  <c r="G601" i="114" a="1"/>
  <c r="G601" i="114" s="1"/>
  <c r="I601" i="114" s="1"/>
  <c r="H601" i="114" a="1"/>
  <c r="H601" i="114" s="1"/>
  <c r="F602" i="114" a="1"/>
  <c r="F602" i="114" s="1"/>
  <c r="G602" i="114" a="1"/>
  <c r="G602" i="114" s="1"/>
  <c r="I602" i="114" s="1"/>
  <c r="H602" i="114" a="1"/>
  <c r="H602" i="114" s="1"/>
  <c r="F603" i="114" a="1"/>
  <c r="F603" i="114" s="1"/>
  <c r="G603" i="114" a="1"/>
  <c r="G603" i="114" s="1"/>
  <c r="I603" i="114" s="1"/>
  <c r="H603" i="114" a="1"/>
  <c r="H603" i="114" s="1"/>
  <c r="H604" i="114" a="1"/>
  <c r="H604" i="114" s="1"/>
  <c r="F606" i="114" a="1"/>
  <c r="F606" i="114" s="1"/>
  <c r="G606" i="114" a="1"/>
  <c r="G606" i="114" s="1"/>
  <c r="I606" i="114" s="1"/>
  <c r="H606" i="114" a="1"/>
  <c r="H606" i="114" s="1"/>
  <c r="F607" i="114" a="1"/>
  <c r="F607" i="114" s="1"/>
  <c r="G607" i="114" a="1"/>
  <c r="G607" i="114" s="1"/>
  <c r="I607" i="114" s="1"/>
  <c r="F608" i="114" a="1"/>
  <c r="F608" i="114" s="1"/>
  <c r="G608" i="114" a="1"/>
  <c r="G608" i="114" s="1"/>
  <c r="I608" i="114" s="1"/>
  <c r="H608" i="114" a="1"/>
  <c r="H608" i="114" s="1"/>
  <c r="F609" i="114" a="1"/>
  <c r="F609" i="114" s="1"/>
  <c r="G609" i="114" a="1"/>
  <c r="G609" i="114" s="1"/>
  <c r="I609" i="114" s="1"/>
  <c r="F610" i="114" a="1"/>
  <c r="F610" i="114" s="1"/>
  <c r="G610" i="114" a="1"/>
  <c r="G610" i="114" s="1"/>
  <c r="I610" i="114" s="1"/>
  <c r="H610" i="114" a="1"/>
  <c r="H610" i="114" s="1"/>
  <c r="F611" i="114" a="1"/>
  <c r="F611" i="114" s="1"/>
  <c r="G611" i="114" a="1"/>
  <c r="G611" i="114" s="1"/>
  <c r="I611" i="114" s="1"/>
  <c r="H611" i="114" a="1"/>
  <c r="H611" i="114" s="1"/>
  <c r="F612" i="114" a="1"/>
  <c r="F612" i="114" s="1"/>
  <c r="G612" i="114" a="1"/>
  <c r="G612" i="114" s="1"/>
  <c r="I612" i="114" s="1"/>
  <c r="H612" i="114" a="1"/>
  <c r="H612" i="114" s="1"/>
  <c r="H613" i="114" a="1"/>
  <c r="H613" i="114" s="1"/>
  <c r="F615" i="114" a="1"/>
  <c r="F615" i="114" s="1"/>
  <c r="G615" i="114" a="1"/>
  <c r="G615" i="114" s="1"/>
  <c r="I615" i="114" s="1"/>
  <c r="H615" i="114" a="1"/>
  <c r="H615" i="114" s="1"/>
  <c r="F616" i="114" a="1"/>
  <c r="F616" i="114" s="1"/>
  <c r="G616" i="114" a="1"/>
  <c r="G616" i="114" s="1"/>
  <c r="I616" i="114" s="1"/>
  <c r="F617" i="114" a="1"/>
  <c r="F617" i="114" s="1"/>
  <c r="G617" i="114" a="1"/>
  <c r="G617" i="114" s="1"/>
  <c r="I617" i="114" s="1"/>
  <c r="H617" i="114" a="1"/>
  <c r="H617" i="114" s="1"/>
  <c r="F618" i="114" a="1"/>
  <c r="F618" i="114" s="1"/>
  <c r="G618" i="114" a="1"/>
  <c r="G618" i="114" s="1"/>
  <c r="I618" i="114" s="1"/>
  <c r="H618" i="114" a="1"/>
  <c r="H618" i="114" s="1"/>
  <c r="F619" i="114" a="1"/>
  <c r="F619" i="114" s="1"/>
  <c r="G619" i="114" a="1"/>
  <c r="G619" i="114" s="1"/>
  <c r="I619" i="114" s="1"/>
  <c r="H619" i="114" a="1"/>
  <c r="H619" i="114" s="1"/>
  <c r="F620" i="114" a="1"/>
  <c r="F620" i="114" s="1"/>
  <c r="G620" i="114" a="1"/>
  <c r="G620" i="114" s="1"/>
  <c r="I620" i="114" s="1"/>
  <c r="H620" i="114" a="1"/>
  <c r="H620" i="114" s="1"/>
  <c r="F621" i="114" a="1"/>
  <c r="F621" i="114" s="1"/>
  <c r="G621" i="114" a="1"/>
  <c r="G621" i="114" s="1"/>
  <c r="I621" i="114" s="1"/>
  <c r="H621" i="114" a="1"/>
  <c r="H621" i="114" s="1"/>
  <c r="H622" i="114" a="1"/>
  <c r="H622" i="114" s="1"/>
  <c r="F624" i="114" a="1"/>
  <c r="F624" i="114" s="1"/>
  <c r="G624" i="114" a="1"/>
  <c r="G624" i="114" s="1"/>
  <c r="I624" i="114" s="1"/>
  <c r="H624" i="114" a="1"/>
  <c r="H624" i="114" s="1"/>
  <c r="F625" i="114" a="1"/>
  <c r="F625" i="114" s="1"/>
  <c r="G625" i="114" a="1"/>
  <c r="G625" i="114" s="1"/>
  <c r="I625" i="114" s="1"/>
  <c r="F626" i="114" a="1"/>
  <c r="F626" i="114" s="1"/>
  <c r="G626" i="114" a="1"/>
  <c r="G626" i="114" s="1"/>
  <c r="I626" i="114" s="1"/>
  <c r="H626" i="114" a="1"/>
  <c r="H626" i="114" s="1"/>
  <c r="F627" i="114" a="1"/>
  <c r="F627" i="114" s="1"/>
  <c r="G627" i="114" a="1"/>
  <c r="G627" i="114" s="1"/>
  <c r="I627" i="114" s="1"/>
  <c r="H627" i="114" a="1"/>
  <c r="H627" i="114" s="1"/>
  <c r="F628" i="114" a="1"/>
  <c r="F628" i="114" s="1"/>
  <c r="G628" i="114" a="1"/>
  <c r="G628" i="114" s="1"/>
  <c r="I628" i="114" s="1"/>
  <c r="H628" i="114" a="1"/>
  <c r="H628" i="114" s="1"/>
  <c r="F629" i="114" a="1"/>
  <c r="F629" i="114" s="1"/>
  <c r="G629" i="114" a="1"/>
  <c r="G629" i="114" s="1"/>
  <c r="I629" i="114" s="1"/>
  <c r="H629" i="114" a="1"/>
  <c r="H629" i="114" s="1"/>
  <c r="F630" i="114" a="1"/>
  <c r="F630" i="114" s="1"/>
  <c r="G630" i="114" a="1"/>
  <c r="G630" i="114" s="1"/>
  <c r="I630" i="114" s="1"/>
  <c r="H630" i="114" a="1"/>
  <c r="H630" i="114" s="1"/>
  <c r="H631" i="114" a="1"/>
  <c r="H631" i="114" s="1"/>
  <c r="F633" i="114" a="1"/>
  <c r="F633" i="114" s="1"/>
  <c r="G633" i="114" a="1"/>
  <c r="G633" i="114" s="1"/>
  <c r="I633" i="114" s="1"/>
  <c r="H633" i="114" a="1"/>
  <c r="H633" i="114" s="1"/>
  <c r="F634" i="114" a="1"/>
  <c r="F634" i="114" s="1"/>
  <c r="G634" i="114" a="1"/>
  <c r="G634" i="114" s="1"/>
  <c r="I634" i="114" s="1"/>
  <c r="H634" i="114" a="1"/>
  <c r="H634" i="114" s="1"/>
  <c r="F635" i="114" a="1"/>
  <c r="F635" i="114" s="1"/>
  <c r="G635" i="114" a="1"/>
  <c r="G635" i="114" s="1"/>
  <c r="I635" i="114" s="1"/>
  <c r="H635" i="114" a="1"/>
  <c r="H635" i="114" s="1"/>
  <c r="F636" i="114" a="1"/>
  <c r="F636" i="114" s="1"/>
  <c r="G636" i="114" a="1"/>
  <c r="G636" i="114" s="1"/>
  <c r="I636" i="114" s="1"/>
  <c r="H636" i="114" a="1"/>
  <c r="H636" i="114" s="1"/>
  <c r="F637" i="114" a="1"/>
  <c r="F637" i="114" s="1"/>
  <c r="G637" i="114" a="1"/>
  <c r="G637" i="114" s="1"/>
  <c r="I637" i="114" s="1"/>
  <c r="H637" i="114" a="1"/>
  <c r="H637" i="114" s="1"/>
  <c r="F638" i="114" a="1"/>
  <c r="F638" i="114" s="1"/>
  <c r="G638" i="114" a="1"/>
  <c r="G638" i="114" s="1"/>
  <c r="I638" i="114" s="1"/>
  <c r="H638" i="114" a="1"/>
  <c r="H638" i="114" s="1"/>
  <c r="F639" i="114" a="1"/>
  <c r="F639" i="114" s="1"/>
  <c r="G639" i="114" a="1"/>
  <c r="G639" i="114" s="1"/>
  <c r="I639" i="114" s="1"/>
  <c r="H639" i="114" a="1"/>
  <c r="H639" i="114" s="1"/>
  <c r="H640" i="114" a="1"/>
  <c r="H640" i="114" s="1"/>
  <c r="F642" i="114" a="1"/>
  <c r="F642" i="114" s="1"/>
  <c r="G642" i="114" a="1"/>
  <c r="G642" i="114" s="1"/>
  <c r="I642" i="114" s="1"/>
  <c r="H642" i="114" a="1"/>
  <c r="H642" i="114" s="1"/>
  <c r="F643" i="114" a="1"/>
  <c r="F643" i="114" s="1"/>
  <c r="G643" i="114" a="1"/>
  <c r="G643" i="114" s="1"/>
  <c r="I643" i="114" s="1"/>
  <c r="F644" i="114" a="1"/>
  <c r="F644" i="114" s="1"/>
  <c r="G644" i="114" a="1"/>
  <c r="G644" i="114" s="1"/>
  <c r="I644" i="114" s="1"/>
  <c r="H644" i="114" a="1"/>
  <c r="H644" i="114" s="1"/>
  <c r="F645" i="114" a="1"/>
  <c r="F645" i="114" s="1"/>
  <c r="G645" i="114" a="1"/>
  <c r="G645" i="114" s="1"/>
  <c r="I645" i="114" s="1"/>
  <c r="H645" i="114" a="1"/>
  <c r="H645" i="114" s="1"/>
  <c r="F646" i="114" a="1"/>
  <c r="F646" i="114" s="1"/>
  <c r="G646" i="114" a="1"/>
  <c r="G646" i="114" s="1"/>
  <c r="I646" i="114" s="1"/>
  <c r="H646" i="114" a="1"/>
  <c r="H646" i="114" s="1"/>
  <c r="F647" i="114" a="1"/>
  <c r="F647" i="114" s="1"/>
  <c r="G647" i="114" a="1"/>
  <c r="G647" i="114" s="1"/>
  <c r="I647" i="114" s="1"/>
  <c r="H647" i="114" a="1"/>
  <c r="H647" i="114" s="1"/>
  <c r="F648" i="114" a="1"/>
  <c r="F648" i="114" s="1"/>
  <c r="G648" i="114" a="1"/>
  <c r="G648" i="114" s="1"/>
  <c r="I648" i="114" s="1"/>
  <c r="H648" i="114" a="1"/>
  <c r="H648" i="114" s="1"/>
  <c r="H649" i="114" a="1"/>
  <c r="H649" i="114" s="1"/>
  <c r="F651" i="114" a="1"/>
  <c r="F651" i="114" s="1"/>
  <c r="G651" i="114" a="1"/>
  <c r="G651" i="114" s="1"/>
  <c r="I651" i="114" s="1"/>
  <c r="H651" i="114" a="1"/>
  <c r="H651" i="114" s="1"/>
  <c r="F652" i="114" a="1"/>
  <c r="F652" i="114" s="1"/>
  <c r="G652" i="114" a="1"/>
  <c r="G652" i="114" s="1"/>
  <c r="I652" i="114" s="1"/>
  <c r="F653" i="114" a="1"/>
  <c r="F653" i="114" s="1"/>
  <c r="G653" i="114" a="1"/>
  <c r="G653" i="114" s="1"/>
  <c r="I653" i="114" s="1"/>
  <c r="H653" i="114" a="1"/>
  <c r="H653" i="114" s="1"/>
  <c r="F654" i="114" a="1"/>
  <c r="F654" i="114" s="1"/>
  <c r="G654" i="114" a="1"/>
  <c r="G654" i="114" s="1"/>
  <c r="I654" i="114" s="1"/>
  <c r="H654" i="114" a="1"/>
  <c r="H654" i="114" s="1"/>
  <c r="F655" i="114" a="1"/>
  <c r="F655" i="114" s="1"/>
  <c r="G655" i="114" a="1"/>
  <c r="G655" i="114" s="1"/>
  <c r="I655" i="114" s="1"/>
  <c r="H655" i="114" a="1"/>
  <c r="H655" i="114" s="1"/>
  <c r="F656" i="114" a="1"/>
  <c r="F656" i="114" s="1"/>
  <c r="G656" i="114" a="1"/>
  <c r="G656" i="114" s="1"/>
  <c r="I656" i="114" s="1"/>
  <c r="H656" i="114" a="1"/>
  <c r="H656" i="114" s="1"/>
  <c r="F657" i="114" a="1"/>
  <c r="F657" i="114" s="1"/>
  <c r="G657" i="114" a="1"/>
  <c r="G657" i="114" s="1"/>
  <c r="I657" i="114" s="1"/>
  <c r="H657" i="114" a="1"/>
  <c r="H657" i="114" s="1"/>
  <c r="H658" i="114" a="1"/>
  <c r="H658" i="114" s="1"/>
  <c r="F660" i="114" a="1"/>
  <c r="F660" i="114" s="1"/>
  <c r="G660" i="114" a="1"/>
  <c r="G660" i="114" s="1"/>
  <c r="I660" i="114" s="1"/>
  <c r="H660" i="114" a="1"/>
  <c r="H660" i="114" s="1"/>
  <c r="F661" i="114" a="1"/>
  <c r="F661" i="114" s="1"/>
  <c r="G661" i="114" a="1"/>
  <c r="G661" i="114" s="1"/>
  <c r="I661" i="114" s="1"/>
  <c r="F662" i="114" a="1"/>
  <c r="F662" i="114" s="1"/>
  <c r="G662" i="114" a="1"/>
  <c r="G662" i="114" s="1"/>
  <c r="I662" i="114" s="1"/>
  <c r="H662" i="114" a="1"/>
  <c r="H662" i="114" s="1"/>
  <c r="F663" i="114" a="1"/>
  <c r="F663" i="114" s="1"/>
  <c r="G663" i="114" a="1"/>
  <c r="G663" i="114" s="1"/>
  <c r="I663" i="114" s="1"/>
  <c r="H663" i="114" a="1"/>
  <c r="H663" i="114" s="1"/>
  <c r="F664" i="114" a="1"/>
  <c r="F664" i="114" s="1"/>
  <c r="G664" i="114" a="1"/>
  <c r="G664" i="114" s="1"/>
  <c r="I664" i="114" s="1"/>
  <c r="H664" i="114" a="1"/>
  <c r="H664" i="114" s="1"/>
  <c r="F665" i="114" a="1"/>
  <c r="F665" i="114" s="1"/>
  <c r="G665" i="114" a="1"/>
  <c r="G665" i="114" s="1"/>
  <c r="I665" i="114" s="1"/>
  <c r="H665" i="114" a="1"/>
  <c r="H665" i="114" s="1"/>
  <c r="F666" i="114" a="1"/>
  <c r="F666" i="114" s="1"/>
  <c r="G666" i="114" a="1"/>
  <c r="G666" i="114" s="1"/>
  <c r="I666" i="114" s="1"/>
  <c r="H666" i="114" a="1"/>
  <c r="H666" i="114" s="1"/>
  <c r="H667" i="114" a="1"/>
  <c r="H667" i="114" s="1"/>
  <c r="F669" i="114" a="1"/>
  <c r="F669" i="114" s="1"/>
  <c r="G669" i="114" a="1"/>
  <c r="G669" i="114" s="1"/>
  <c r="I669" i="114" s="1"/>
  <c r="H669" i="114" a="1"/>
  <c r="H669" i="114" s="1"/>
  <c r="F670" i="114" a="1"/>
  <c r="F670" i="114" s="1"/>
  <c r="G670" i="114" a="1"/>
  <c r="G670" i="114" s="1"/>
  <c r="I670" i="114" s="1"/>
  <c r="F671" i="114" a="1"/>
  <c r="F671" i="114" s="1"/>
  <c r="G671" i="114" a="1"/>
  <c r="G671" i="114" s="1"/>
  <c r="I671" i="114" s="1"/>
  <c r="H671" i="114" a="1"/>
  <c r="H671" i="114" s="1"/>
  <c r="F672" i="114" a="1"/>
  <c r="F672" i="114" s="1"/>
  <c r="G672" i="114" a="1"/>
  <c r="G672" i="114" s="1"/>
  <c r="I672" i="114" s="1"/>
  <c r="H672" i="114" a="1"/>
  <c r="H672" i="114" s="1"/>
  <c r="F673" i="114" a="1"/>
  <c r="F673" i="114" s="1"/>
  <c r="G673" i="114" a="1"/>
  <c r="G673" i="114" s="1"/>
  <c r="I673" i="114" s="1"/>
  <c r="H673" i="114" a="1"/>
  <c r="H673" i="114" s="1"/>
  <c r="F674" i="114" a="1"/>
  <c r="F674" i="114" s="1"/>
  <c r="G674" i="114" a="1"/>
  <c r="G674" i="114" s="1"/>
  <c r="I674" i="114" s="1"/>
  <c r="H674" i="114" a="1"/>
  <c r="H674" i="114" s="1"/>
  <c r="F675" i="114" a="1"/>
  <c r="F675" i="114" s="1"/>
  <c r="G675" i="114" a="1"/>
  <c r="G675" i="114" s="1"/>
  <c r="I675" i="114" s="1"/>
  <c r="H675" i="114" a="1"/>
  <c r="H675" i="114" s="1"/>
  <c r="H676" i="114" a="1"/>
  <c r="H676" i="114" s="1"/>
  <c r="F678" i="114" a="1"/>
  <c r="F678" i="114" s="1"/>
  <c r="G678" i="114" a="1"/>
  <c r="G678" i="114" s="1"/>
  <c r="I678" i="114" s="1"/>
  <c r="H678" i="114" a="1"/>
  <c r="H678" i="114" s="1"/>
  <c r="F679" i="114" a="1"/>
  <c r="F679" i="114" s="1"/>
  <c r="G679" i="114" a="1"/>
  <c r="G679" i="114" s="1"/>
  <c r="I679" i="114" s="1"/>
  <c r="H679" i="114" a="1"/>
  <c r="H679" i="114" s="1"/>
  <c r="F680" i="114" a="1"/>
  <c r="F680" i="114" s="1"/>
  <c r="G680" i="114" a="1"/>
  <c r="G680" i="114" s="1"/>
  <c r="I680" i="114" s="1"/>
  <c r="H680" i="114" a="1"/>
  <c r="H680" i="114" s="1"/>
  <c r="F681" i="114" a="1"/>
  <c r="F681" i="114" s="1"/>
  <c r="G681" i="114" a="1"/>
  <c r="G681" i="114" s="1"/>
  <c r="I681" i="114" s="1"/>
  <c r="H681" i="114" a="1"/>
  <c r="H681" i="114" s="1"/>
  <c r="F682" i="114" a="1"/>
  <c r="F682" i="114" s="1"/>
  <c r="G682" i="114" a="1"/>
  <c r="G682" i="114" s="1"/>
  <c r="I682" i="114" s="1"/>
  <c r="H682" i="114" a="1"/>
  <c r="H682" i="114" s="1"/>
  <c r="F683" i="114" a="1"/>
  <c r="F683" i="114" s="1"/>
  <c r="G683" i="114" a="1"/>
  <c r="G683" i="114" s="1"/>
  <c r="I683" i="114" s="1"/>
  <c r="H683" i="114" a="1"/>
  <c r="H683" i="114" s="1"/>
  <c r="F684" i="114" a="1"/>
  <c r="F684" i="114" s="1"/>
  <c r="G684" i="114" a="1"/>
  <c r="G684" i="114" s="1"/>
  <c r="I684" i="114" s="1"/>
  <c r="H684" i="114" a="1"/>
  <c r="H684" i="114" s="1"/>
  <c r="H685" i="114" a="1"/>
  <c r="H685" i="114" s="1"/>
  <c r="F687" i="114" a="1"/>
  <c r="F687" i="114" s="1"/>
  <c r="G687" i="114" a="1"/>
  <c r="G687" i="114" s="1"/>
  <c r="I687" i="114" s="1"/>
  <c r="H687" i="114" a="1"/>
  <c r="H687" i="114" s="1"/>
  <c r="F688" i="114" a="1"/>
  <c r="F688" i="114" s="1"/>
  <c r="G688" i="114" a="1"/>
  <c r="G688" i="114" s="1"/>
  <c r="I688" i="114" s="1"/>
  <c r="H688" i="114" a="1"/>
  <c r="H688" i="114" s="1"/>
  <c r="F689" i="114" a="1"/>
  <c r="F689" i="114" s="1"/>
  <c r="G689" i="114" a="1"/>
  <c r="G689" i="114" s="1"/>
  <c r="I689" i="114" s="1"/>
  <c r="H689" i="114" a="1"/>
  <c r="H689" i="114" s="1"/>
  <c r="F690" i="114" a="1"/>
  <c r="F690" i="114" s="1"/>
  <c r="G690" i="114" a="1"/>
  <c r="G690" i="114" s="1"/>
  <c r="I690" i="114" s="1"/>
  <c r="H690" i="114" a="1"/>
  <c r="H690" i="114" s="1"/>
  <c r="F691" i="114" a="1"/>
  <c r="F691" i="114" s="1"/>
  <c r="G691" i="114" a="1"/>
  <c r="G691" i="114" s="1"/>
  <c r="I691" i="114" s="1"/>
  <c r="H691" i="114" a="1"/>
  <c r="H691" i="114" s="1"/>
  <c r="F692" i="114" a="1"/>
  <c r="F692" i="114" s="1"/>
  <c r="G692" i="114" a="1"/>
  <c r="G692" i="114" s="1"/>
  <c r="I692" i="114" s="1"/>
  <c r="H692" i="114" a="1"/>
  <c r="H692" i="114" s="1"/>
  <c r="F693" i="114" a="1"/>
  <c r="F693" i="114" s="1"/>
  <c r="G693" i="114" a="1"/>
  <c r="G693" i="114" s="1"/>
  <c r="I693" i="114" s="1"/>
  <c r="H693" i="114" a="1"/>
  <c r="H693" i="114" s="1"/>
  <c r="H694" i="114" a="1"/>
  <c r="H694" i="114" s="1"/>
  <c r="F696" i="114" a="1"/>
  <c r="F696" i="114" s="1"/>
  <c r="G696" i="114" a="1"/>
  <c r="G696" i="114" s="1"/>
  <c r="I696" i="114" s="1"/>
  <c r="H696" i="114" a="1"/>
  <c r="H696" i="114" s="1"/>
  <c r="F697" i="114" a="1"/>
  <c r="F697" i="114" s="1"/>
  <c r="G697" i="114" a="1"/>
  <c r="G697" i="114" s="1"/>
  <c r="I697" i="114" s="1"/>
  <c r="H697" i="114" a="1"/>
  <c r="H697" i="114" s="1"/>
  <c r="F698" i="114" a="1"/>
  <c r="F698" i="114" s="1"/>
  <c r="G698" i="114" a="1"/>
  <c r="G698" i="114" s="1"/>
  <c r="I698" i="114" s="1"/>
  <c r="H698" i="114" a="1"/>
  <c r="H698" i="114" s="1"/>
  <c r="F699" i="114" a="1"/>
  <c r="F699" i="114" s="1"/>
  <c r="G699" i="114" a="1"/>
  <c r="G699" i="114" s="1"/>
  <c r="I699" i="114" s="1"/>
  <c r="H699" i="114" a="1"/>
  <c r="H699" i="114" s="1"/>
  <c r="F700" i="114" a="1"/>
  <c r="F700" i="114" s="1"/>
  <c r="G700" i="114" a="1"/>
  <c r="G700" i="114" s="1"/>
  <c r="I700" i="114" s="1"/>
  <c r="H700" i="114" a="1"/>
  <c r="H700" i="114" s="1"/>
  <c r="F701" i="114" a="1"/>
  <c r="F701" i="114" s="1"/>
  <c r="G701" i="114" a="1"/>
  <c r="G701" i="114" s="1"/>
  <c r="I701" i="114" s="1"/>
  <c r="H701" i="114" a="1"/>
  <c r="H701" i="114" s="1"/>
  <c r="F702" i="114" a="1"/>
  <c r="F702" i="114" s="1"/>
  <c r="G702" i="114" a="1"/>
  <c r="G702" i="114" s="1"/>
  <c r="I702" i="114" s="1"/>
  <c r="H702" i="114" a="1"/>
  <c r="H702" i="114" s="1"/>
  <c r="H703" i="114" a="1"/>
  <c r="H703" i="114" s="1"/>
  <c r="F705" i="114" a="1"/>
  <c r="F705" i="114" s="1"/>
  <c r="G705" i="114" a="1"/>
  <c r="G705" i="114" s="1"/>
  <c r="I705" i="114" s="1"/>
  <c r="H705" i="114" a="1"/>
  <c r="H705" i="114" s="1"/>
  <c r="F706" i="114" a="1"/>
  <c r="F706" i="114" s="1"/>
  <c r="G706" i="114" a="1"/>
  <c r="G706" i="114" s="1"/>
  <c r="I706" i="114" s="1"/>
  <c r="H706" i="114" a="1"/>
  <c r="H706" i="114" s="1"/>
  <c r="F707" i="114" a="1"/>
  <c r="F707" i="114" s="1"/>
  <c r="G707" i="114" a="1"/>
  <c r="G707" i="114" s="1"/>
  <c r="I707" i="114" s="1"/>
  <c r="H707" i="114" a="1"/>
  <c r="H707" i="114" s="1"/>
  <c r="F708" i="114" a="1"/>
  <c r="F708" i="114" s="1"/>
  <c r="G708" i="114" a="1"/>
  <c r="G708" i="114" s="1"/>
  <c r="I708" i="114" s="1"/>
  <c r="H708" i="114" a="1"/>
  <c r="H708" i="114" s="1"/>
  <c r="F709" i="114" a="1"/>
  <c r="F709" i="114" s="1"/>
  <c r="G709" i="114" a="1"/>
  <c r="G709" i="114" s="1"/>
  <c r="I709" i="114" s="1"/>
  <c r="H709" i="114" a="1"/>
  <c r="H709" i="114" s="1"/>
  <c r="F710" i="114" a="1"/>
  <c r="F710" i="114" s="1"/>
  <c r="G710" i="114" a="1"/>
  <c r="G710" i="114" s="1"/>
  <c r="I710" i="114" s="1"/>
  <c r="H710" i="114" a="1"/>
  <c r="H710" i="114" s="1"/>
  <c r="F711" i="114" a="1"/>
  <c r="F711" i="114" s="1"/>
  <c r="G711" i="114" a="1"/>
  <c r="G711" i="114" s="1"/>
  <c r="I711" i="114" s="1"/>
  <c r="H711" i="114" a="1"/>
  <c r="H711" i="114" s="1"/>
  <c r="H712" i="114" a="1"/>
  <c r="H712" i="114" s="1"/>
  <c r="F714" i="114" a="1"/>
  <c r="F714" i="114" s="1"/>
  <c r="G714" i="114" a="1"/>
  <c r="G714" i="114" s="1"/>
  <c r="I714" i="114" s="1"/>
  <c r="H714" i="114" a="1"/>
  <c r="H714" i="114" s="1"/>
  <c r="F715" i="114" a="1"/>
  <c r="F715" i="114" s="1"/>
  <c r="G715" i="114" a="1"/>
  <c r="G715" i="114" s="1"/>
  <c r="I715" i="114" s="1"/>
  <c r="F716" i="114" a="1"/>
  <c r="F716" i="114" s="1"/>
  <c r="G716" i="114" a="1"/>
  <c r="G716" i="114" s="1"/>
  <c r="I716" i="114" s="1"/>
  <c r="F717" i="114" a="1"/>
  <c r="F717" i="114" s="1"/>
  <c r="G717" i="114" a="1"/>
  <c r="G717" i="114" s="1"/>
  <c r="I717" i="114" s="1"/>
  <c r="F718" i="114" a="1"/>
  <c r="F718" i="114" s="1"/>
  <c r="G718" i="114" a="1"/>
  <c r="G718" i="114" s="1"/>
  <c r="I718" i="114" s="1"/>
  <c r="H718" i="114" a="1"/>
  <c r="H718" i="114" s="1"/>
  <c r="F719" i="114" a="1"/>
  <c r="F719" i="114" s="1"/>
  <c r="G719" i="114" a="1"/>
  <c r="G719" i="114" s="1"/>
  <c r="I719" i="114" s="1"/>
  <c r="H719" i="114" a="1"/>
  <c r="H719" i="114" s="1"/>
  <c r="F720" i="114" a="1"/>
  <c r="F720" i="114" s="1"/>
  <c r="G720" i="114" a="1"/>
  <c r="G720" i="114" s="1"/>
  <c r="I720" i="114" s="1"/>
  <c r="H720" i="114" a="1"/>
  <c r="H720" i="114" s="1"/>
  <c r="H721" i="114" a="1"/>
  <c r="H721" i="114" s="1"/>
  <c r="F723" i="114" a="1"/>
  <c r="F723" i="114" s="1"/>
  <c r="G723" i="114" a="1"/>
  <c r="G723" i="114" s="1"/>
  <c r="I723" i="114" s="1"/>
  <c r="H723" i="114" a="1"/>
  <c r="H723" i="114" s="1"/>
  <c r="F724" i="114" a="1"/>
  <c r="F724" i="114" s="1"/>
  <c r="G724" i="114" a="1"/>
  <c r="G724" i="114" s="1"/>
  <c r="I724" i="114" s="1"/>
  <c r="H724" i="114" a="1"/>
  <c r="H724" i="114" s="1"/>
  <c r="F725" i="114" a="1"/>
  <c r="F725" i="114" s="1"/>
  <c r="G725" i="114" a="1"/>
  <c r="G725" i="114" s="1"/>
  <c r="I725" i="114" s="1"/>
  <c r="H725" i="114" a="1"/>
  <c r="H725" i="114" s="1"/>
  <c r="F726" i="114" a="1"/>
  <c r="F726" i="114" s="1"/>
  <c r="G726" i="114" a="1"/>
  <c r="G726" i="114" s="1"/>
  <c r="I726" i="114" s="1"/>
  <c r="H726" i="114" a="1"/>
  <c r="H726" i="114" s="1"/>
  <c r="F727" i="114" a="1"/>
  <c r="F727" i="114" s="1"/>
  <c r="G727" i="114" a="1"/>
  <c r="G727" i="114" s="1"/>
  <c r="I727" i="114" s="1"/>
  <c r="H727" i="114" a="1"/>
  <c r="H727" i="114" s="1"/>
  <c r="F728" i="114" a="1"/>
  <c r="F728" i="114" s="1"/>
  <c r="G728" i="114" a="1"/>
  <c r="G728" i="114" s="1"/>
  <c r="I728" i="114" s="1"/>
  <c r="H728" i="114" a="1"/>
  <c r="H728" i="114" s="1"/>
  <c r="H729" i="114" a="1"/>
  <c r="H729" i="114" s="1"/>
  <c r="H730" i="114" a="1"/>
  <c r="H730" i="114" s="1"/>
  <c r="F732" i="114" a="1"/>
  <c r="F732" i="114" s="1"/>
  <c r="G732" i="114" a="1"/>
  <c r="G732" i="114" s="1"/>
  <c r="I732" i="114" s="1"/>
  <c r="H732" i="114" a="1"/>
  <c r="H732" i="114" s="1"/>
  <c r="F733" i="114" a="1"/>
  <c r="F733" i="114" s="1"/>
  <c r="G733" i="114" a="1"/>
  <c r="G733" i="114" s="1"/>
  <c r="I733" i="114" s="1"/>
  <c r="H733" i="114" a="1"/>
  <c r="H733" i="114" s="1"/>
  <c r="F734" i="114" a="1"/>
  <c r="F734" i="114" s="1"/>
  <c r="G734" i="114" a="1"/>
  <c r="G734" i="114" s="1"/>
  <c r="I734" i="114" s="1"/>
  <c r="H734" i="114" a="1"/>
  <c r="H734" i="114" s="1"/>
  <c r="F735" i="114" a="1"/>
  <c r="F735" i="114" s="1"/>
  <c r="G735" i="114" a="1"/>
  <c r="G735" i="114" s="1"/>
  <c r="I735" i="114" s="1"/>
  <c r="H735" i="114" a="1"/>
  <c r="H735" i="114" s="1"/>
  <c r="F736" i="114" a="1"/>
  <c r="F736" i="114" s="1"/>
  <c r="G736" i="114" a="1"/>
  <c r="G736" i="114" s="1"/>
  <c r="I736" i="114" s="1"/>
  <c r="H736" i="114" a="1"/>
  <c r="H736" i="114" s="1"/>
  <c r="F737" i="114" a="1"/>
  <c r="F737" i="114" s="1"/>
  <c r="G737" i="114" a="1"/>
  <c r="G737" i="114" s="1"/>
  <c r="I737" i="114" s="1"/>
  <c r="H737" i="114" a="1"/>
  <c r="H737" i="114" s="1"/>
  <c r="F738" i="114" a="1"/>
  <c r="F738" i="114" s="1"/>
  <c r="G738" i="114" a="1"/>
  <c r="G738" i="114" s="1"/>
  <c r="I738" i="114" s="1"/>
  <c r="H738" i="114" a="1"/>
  <c r="H738" i="114" s="1"/>
  <c r="H739" i="114" a="1"/>
  <c r="H739" i="114" s="1"/>
  <c r="F741" i="114" a="1"/>
  <c r="F741" i="114" s="1"/>
  <c r="G741" i="114" a="1"/>
  <c r="G741" i="114" s="1"/>
  <c r="I741" i="114" s="1"/>
  <c r="H741" i="114" a="1"/>
  <c r="H741" i="114" s="1"/>
  <c r="F742" i="114" a="1"/>
  <c r="F742" i="114" s="1"/>
  <c r="G742" i="114" a="1"/>
  <c r="G742" i="114" s="1"/>
  <c r="I742" i="114" s="1"/>
  <c r="F743" i="114" a="1"/>
  <c r="F743" i="114" s="1"/>
  <c r="G743" i="114" a="1"/>
  <c r="G743" i="114" s="1"/>
  <c r="I743" i="114" s="1"/>
  <c r="F744" i="114" a="1"/>
  <c r="F744" i="114" s="1"/>
  <c r="G744" i="114" a="1"/>
  <c r="G744" i="114" s="1"/>
  <c r="I744" i="114" s="1"/>
  <c r="F745" i="114" a="1"/>
  <c r="F745" i="114" s="1"/>
  <c r="G745" i="114" a="1"/>
  <c r="G745" i="114" s="1"/>
  <c r="I745" i="114" s="1"/>
  <c r="H745" i="114" a="1"/>
  <c r="H745" i="114" s="1"/>
  <c r="F746" i="114" a="1"/>
  <c r="F746" i="114" s="1"/>
  <c r="G746" i="114" a="1"/>
  <c r="G746" i="114" s="1"/>
  <c r="I746" i="114" s="1"/>
  <c r="H746" i="114" a="1"/>
  <c r="H746" i="114" s="1"/>
  <c r="F747" i="114" a="1"/>
  <c r="F747" i="114" s="1"/>
  <c r="G747" i="114" a="1"/>
  <c r="G747" i="114" s="1"/>
  <c r="I747" i="114" s="1"/>
  <c r="H747" i="114" a="1"/>
  <c r="H747" i="114" s="1"/>
  <c r="H748" i="114" a="1"/>
  <c r="H748" i="114" s="1"/>
  <c r="F750" i="114" a="1"/>
  <c r="F750" i="114" s="1"/>
  <c r="G750" i="114" a="1"/>
  <c r="G750" i="114" s="1"/>
  <c r="I750" i="114" s="1"/>
  <c r="H750" i="114" a="1"/>
  <c r="H750" i="114" s="1"/>
  <c r="F751" i="114" a="1"/>
  <c r="F751" i="114" s="1"/>
  <c r="G751" i="114" a="1"/>
  <c r="G751" i="114" s="1"/>
  <c r="I751" i="114" s="1"/>
  <c r="H751" i="114" a="1"/>
  <c r="H751" i="114" s="1"/>
  <c r="F752" i="114" a="1"/>
  <c r="F752" i="114" s="1"/>
  <c r="G752" i="114" a="1"/>
  <c r="G752" i="114" s="1"/>
  <c r="I752" i="114" s="1"/>
  <c r="H752" i="114" a="1"/>
  <c r="H752" i="114" s="1"/>
  <c r="F753" i="114" a="1"/>
  <c r="F753" i="114" s="1"/>
  <c r="G753" i="114" a="1"/>
  <c r="G753" i="114" s="1"/>
  <c r="I753" i="114" s="1"/>
  <c r="H753" i="114" a="1"/>
  <c r="H753" i="114" s="1"/>
  <c r="F754" i="114" a="1"/>
  <c r="F754" i="114" s="1"/>
  <c r="G754" i="114" a="1"/>
  <c r="G754" i="114" s="1"/>
  <c r="I754" i="114" s="1"/>
  <c r="H754" i="114" a="1"/>
  <c r="H754" i="114" s="1"/>
  <c r="F755" i="114" a="1"/>
  <c r="F755" i="114" s="1"/>
  <c r="G755" i="114" a="1"/>
  <c r="G755" i="114" s="1"/>
  <c r="I755" i="114" s="1"/>
  <c r="H755" i="114" a="1"/>
  <c r="H755" i="114" s="1"/>
  <c r="F756" i="114" a="1"/>
  <c r="F756" i="114" s="1"/>
  <c r="G756" i="114" a="1"/>
  <c r="G756" i="114" s="1"/>
  <c r="I756" i="114" s="1"/>
  <c r="H756" i="114" a="1"/>
  <c r="H756" i="114" s="1"/>
  <c r="H757" i="114" a="1"/>
  <c r="H757" i="114" s="1"/>
  <c r="F759" i="114" a="1"/>
  <c r="F759" i="114" s="1"/>
  <c r="G759" i="114" a="1"/>
  <c r="G759" i="114" s="1"/>
  <c r="I759" i="114" s="1"/>
  <c r="H759" i="114" a="1"/>
  <c r="H759" i="114" s="1"/>
  <c r="F760" i="114" a="1"/>
  <c r="F760" i="114" s="1"/>
  <c r="G760" i="114" a="1"/>
  <c r="G760" i="114" s="1"/>
  <c r="I760" i="114" s="1"/>
  <c r="H760" i="114" a="1"/>
  <c r="H760" i="114" s="1"/>
  <c r="F761" i="114" a="1"/>
  <c r="F761" i="114" s="1"/>
  <c r="G761" i="114" a="1"/>
  <c r="G761" i="114" s="1"/>
  <c r="I761" i="114" s="1"/>
  <c r="H761" i="114" a="1"/>
  <c r="H761" i="114" s="1"/>
  <c r="F762" i="114" a="1"/>
  <c r="F762" i="114" s="1"/>
  <c r="G762" i="114" a="1"/>
  <c r="G762" i="114" s="1"/>
  <c r="I762" i="114" s="1"/>
  <c r="H762" i="114" a="1"/>
  <c r="H762" i="114" s="1"/>
  <c r="F763" i="114" a="1"/>
  <c r="F763" i="114" s="1"/>
  <c r="G763" i="114" a="1"/>
  <c r="G763" i="114" s="1"/>
  <c r="I763" i="114" s="1"/>
  <c r="H763" i="114" a="1"/>
  <c r="H763" i="114" s="1"/>
  <c r="F764" i="114" a="1"/>
  <c r="F764" i="114" s="1"/>
  <c r="G764" i="114" a="1"/>
  <c r="G764" i="114" s="1"/>
  <c r="I764" i="114" s="1"/>
  <c r="H764" i="114" a="1"/>
  <c r="H764" i="114" s="1"/>
  <c r="F765" i="114" a="1"/>
  <c r="F765" i="114" s="1"/>
  <c r="G765" i="114" a="1"/>
  <c r="G765" i="114" s="1"/>
  <c r="I765" i="114" s="1"/>
  <c r="H765" i="114" a="1"/>
  <c r="H765" i="114" s="1"/>
  <c r="H766" i="114" a="1"/>
  <c r="H766" i="114" s="1"/>
  <c r="F768" i="114" a="1"/>
  <c r="F768" i="114" s="1"/>
  <c r="G768" i="114" a="1"/>
  <c r="G768" i="114" s="1"/>
  <c r="I768" i="114" s="1"/>
  <c r="H768" i="114" a="1"/>
  <c r="H768" i="114" s="1"/>
  <c r="F769" i="114" a="1"/>
  <c r="F769" i="114" s="1"/>
  <c r="G769" i="114" a="1"/>
  <c r="G769" i="114" s="1"/>
  <c r="I769" i="114" s="1"/>
  <c r="F770" i="114" a="1"/>
  <c r="F770" i="114" s="1"/>
  <c r="G770" i="114" a="1"/>
  <c r="G770" i="114" s="1"/>
  <c r="I770" i="114" s="1"/>
  <c r="H770" i="114" a="1"/>
  <c r="H770" i="114" s="1"/>
  <c r="F771" i="114" a="1"/>
  <c r="F771" i="114" s="1"/>
  <c r="G771" i="114" a="1"/>
  <c r="G771" i="114" s="1"/>
  <c r="I771" i="114" s="1"/>
  <c r="H771" i="114" a="1"/>
  <c r="H771" i="114" s="1"/>
  <c r="F772" i="114" a="1"/>
  <c r="F772" i="114" s="1"/>
  <c r="G772" i="114" a="1"/>
  <c r="G772" i="114" s="1"/>
  <c r="I772" i="114" s="1"/>
  <c r="H772" i="114" a="1"/>
  <c r="H772" i="114" s="1"/>
  <c r="F773" i="114" a="1"/>
  <c r="F773" i="114" s="1"/>
  <c r="G773" i="114" a="1"/>
  <c r="G773" i="114" s="1"/>
  <c r="I773" i="114" s="1"/>
  <c r="H773" i="114" a="1"/>
  <c r="H773" i="114" s="1"/>
  <c r="F774" i="114" a="1"/>
  <c r="F774" i="114" s="1"/>
  <c r="G774" i="114" a="1"/>
  <c r="G774" i="114" s="1"/>
  <c r="I774" i="114" s="1"/>
  <c r="H774" i="114" a="1"/>
  <c r="H774" i="114" s="1"/>
  <c r="H775" i="114" a="1"/>
  <c r="H775" i="114" s="1"/>
  <c r="F777" i="114" a="1"/>
  <c r="F777" i="114" s="1"/>
  <c r="G777" i="114" a="1"/>
  <c r="G777" i="114" s="1"/>
  <c r="I777" i="114" s="1"/>
  <c r="H777" i="114" a="1"/>
  <c r="H777" i="114" s="1"/>
  <c r="F778" i="114" a="1"/>
  <c r="F778" i="114" s="1"/>
  <c r="G778" i="114" a="1"/>
  <c r="G778" i="114" s="1"/>
  <c r="I778" i="114" s="1"/>
  <c r="F779" i="114" a="1"/>
  <c r="F779" i="114" s="1"/>
  <c r="G779" i="114" a="1"/>
  <c r="G779" i="114" s="1"/>
  <c r="I779" i="114" s="1"/>
  <c r="F780" i="114" a="1"/>
  <c r="F780" i="114" s="1"/>
  <c r="G780" i="114" a="1"/>
  <c r="G780" i="114" s="1"/>
  <c r="I780" i="114" s="1"/>
  <c r="F781" i="114" a="1"/>
  <c r="F781" i="114" s="1"/>
  <c r="G781" i="114" a="1"/>
  <c r="G781" i="114" s="1"/>
  <c r="I781" i="114" s="1"/>
  <c r="H781" i="114" a="1"/>
  <c r="H781" i="114" s="1"/>
  <c r="F782" i="114" a="1"/>
  <c r="F782" i="114" s="1"/>
  <c r="G782" i="114" a="1"/>
  <c r="G782" i="114" s="1"/>
  <c r="I782" i="114" s="1"/>
  <c r="H782" i="114" a="1"/>
  <c r="H782" i="114" s="1"/>
  <c r="F783" i="114" a="1"/>
  <c r="F783" i="114" s="1"/>
  <c r="G783" i="114" a="1"/>
  <c r="G783" i="114" s="1"/>
  <c r="I783" i="114" s="1"/>
  <c r="H783" i="114" a="1"/>
  <c r="H783" i="114" s="1"/>
  <c r="H784" i="114" a="1"/>
  <c r="H784" i="114" s="1"/>
  <c r="F786" i="114" a="1"/>
  <c r="F786" i="114" s="1"/>
  <c r="G786" i="114" a="1"/>
  <c r="G786" i="114" s="1"/>
  <c r="I786" i="114" s="1"/>
  <c r="H786" i="114" a="1"/>
  <c r="H786" i="114" s="1"/>
  <c r="F787" i="114" a="1"/>
  <c r="F787" i="114" s="1"/>
  <c r="G787" i="114" a="1"/>
  <c r="G787" i="114" s="1"/>
  <c r="I787" i="114" s="1"/>
  <c r="F788" i="114" a="1"/>
  <c r="F788" i="114" s="1"/>
  <c r="G788" i="114" a="1"/>
  <c r="G788" i="114" s="1"/>
  <c r="I788" i="114" s="1"/>
  <c r="H788" i="114" a="1"/>
  <c r="H788" i="114" s="1"/>
  <c r="F789" i="114" a="1"/>
  <c r="F789" i="114" s="1"/>
  <c r="G789" i="114" a="1"/>
  <c r="G789" i="114" s="1"/>
  <c r="I789" i="114" s="1"/>
  <c r="H789" i="114" a="1"/>
  <c r="H789" i="114" s="1"/>
  <c r="F790" i="114" a="1"/>
  <c r="F790" i="114" s="1"/>
  <c r="G790" i="114" a="1"/>
  <c r="G790" i="114" s="1"/>
  <c r="I790" i="114" s="1"/>
  <c r="H790" i="114" a="1"/>
  <c r="H790" i="114" s="1"/>
  <c r="F791" i="114" a="1"/>
  <c r="F791" i="114" s="1"/>
  <c r="G791" i="114" a="1"/>
  <c r="G791" i="114" s="1"/>
  <c r="I791" i="114" s="1"/>
  <c r="H791" i="114" a="1"/>
  <c r="H791" i="114" s="1"/>
  <c r="F792" i="114" a="1"/>
  <c r="F792" i="114" s="1"/>
  <c r="G792" i="114" a="1"/>
  <c r="G792" i="114" s="1"/>
  <c r="I792" i="114" s="1"/>
  <c r="H792" i="114" a="1"/>
  <c r="H792" i="114" s="1"/>
  <c r="H793" i="114" a="1"/>
  <c r="H793" i="114" s="1"/>
  <c r="F795" i="114" a="1"/>
  <c r="F795" i="114" s="1"/>
  <c r="G795" i="114" a="1"/>
  <c r="G795" i="114" s="1"/>
  <c r="I795" i="114" s="1"/>
  <c r="H795" i="114" a="1"/>
  <c r="H795" i="114" s="1"/>
  <c r="F796" i="114" a="1"/>
  <c r="F796" i="114" s="1"/>
  <c r="G796" i="114" a="1"/>
  <c r="G796" i="114" s="1"/>
  <c r="I796" i="114" s="1"/>
  <c r="F797" i="114" a="1"/>
  <c r="F797" i="114" s="1"/>
  <c r="G797" i="114" a="1"/>
  <c r="G797" i="114" s="1"/>
  <c r="I797" i="114" s="1"/>
  <c r="H797" i="114" a="1"/>
  <c r="H797" i="114" s="1"/>
  <c r="F798" i="114" a="1"/>
  <c r="F798" i="114" s="1"/>
  <c r="G798" i="114" a="1"/>
  <c r="G798" i="114" s="1"/>
  <c r="I798" i="114" s="1"/>
  <c r="H798" i="114" a="1"/>
  <c r="H798" i="114" s="1"/>
  <c r="F799" i="114" a="1"/>
  <c r="F799" i="114" s="1"/>
  <c r="G799" i="114" a="1"/>
  <c r="G799" i="114" s="1"/>
  <c r="I799" i="114" s="1"/>
  <c r="H799" i="114" a="1"/>
  <c r="H799" i="114" s="1"/>
  <c r="F800" i="114" a="1"/>
  <c r="F800" i="114" s="1"/>
  <c r="G800" i="114" a="1"/>
  <c r="G800" i="114" s="1"/>
  <c r="I800" i="114" s="1"/>
  <c r="H800" i="114" a="1"/>
  <c r="H800" i="114" s="1"/>
  <c r="F801" i="114" a="1"/>
  <c r="F801" i="114" s="1"/>
  <c r="G801" i="114" a="1"/>
  <c r="G801" i="114" s="1"/>
  <c r="I801" i="114" s="1"/>
  <c r="H801" i="114" a="1"/>
  <c r="H801" i="114" s="1"/>
  <c r="H802" i="114" a="1"/>
  <c r="H802" i="114" s="1"/>
  <c r="F804" i="114" a="1"/>
  <c r="F804" i="114" s="1"/>
  <c r="G804" i="114" a="1"/>
  <c r="G804" i="114" s="1"/>
  <c r="I804" i="114" s="1"/>
  <c r="H804" i="114" a="1"/>
  <c r="H804" i="114" s="1"/>
  <c r="F805" i="114" a="1"/>
  <c r="F805" i="114" s="1"/>
  <c r="G805" i="114" a="1"/>
  <c r="G805" i="114" s="1"/>
  <c r="I805" i="114" s="1"/>
  <c r="F806" i="114" a="1"/>
  <c r="F806" i="114" s="1"/>
  <c r="G806" i="114" a="1"/>
  <c r="G806" i="114" s="1"/>
  <c r="I806" i="114" s="1"/>
  <c r="H806" i="114" a="1"/>
  <c r="H806" i="114" s="1"/>
  <c r="F807" i="114" a="1"/>
  <c r="F807" i="114" s="1"/>
  <c r="G807" i="114" a="1"/>
  <c r="G807" i="114" s="1"/>
  <c r="I807" i="114" s="1"/>
  <c r="H807" i="114" a="1"/>
  <c r="H807" i="114" s="1"/>
  <c r="F808" i="114" a="1"/>
  <c r="F808" i="114" s="1"/>
  <c r="G808" i="114" a="1"/>
  <c r="G808" i="114" s="1"/>
  <c r="I808" i="114" s="1"/>
  <c r="H808" i="114" a="1"/>
  <c r="H808" i="114" s="1"/>
  <c r="F809" i="114" a="1"/>
  <c r="F809" i="114" s="1"/>
  <c r="G809" i="114" a="1"/>
  <c r="G809" i="114" s="1"/>
  <c r="I809" i="114" s="1"/>
  <c r="H809" i="114" a="1"/>
  <c r="H809" i="114" s="1"/>
  <c r="F810" i="114" a="1"/>
  <c r="F810" i="114" s="1"/>
  <c r="G810" i="114" a="1"/>
  <c r="G810" i="114" s="1"/>
  <c r="I810" i="114" s="1"/>
  <c r="H810" i="114" a="1"/>
  <c r="H810" i="114" s="1"/>
  <c r="H811" i="114" a="1"/>
  <c r="H811" i="114" s="1"/>
  <c r="F813" i="114" a="1"/>
  <c r="F813" i="114" s="1"/>
  <c r="G813" i="114" a="1"/>
  <c r="G813" i="114" s="1"/>
  <c r="I813" i="114" s="1"/>
  <c r="H813" i="114" a="1"/>
  <c r="H813" i="114" s="1"/>
  <c r="F814" i="114" a="1"/>
  <c r="F814" i="114" s="1"/>
  <c r="G814" i="114" a="1"/>
  <c r="G814" i="114" s="1"/>
  <c r="I814" i="114" s="1"/>
  <c r="F815" i="114" a="1"/>
  <c r="F815" i="114" s="1"/>
  <c r="G815" i="114" a="1"/>
  <c r="G815" i="114" s="1"/>
  <c r="I815" i="114" s="1"/>
  <c r="H815" i="114" a="1"/>
  <c r="H815" i="114" s="1"/>
  <c r="F816" i="114" a="1"/>
  <c r="F816" i="114" s="1"/>
  <c r="G816" i="114" a="1"/>
  <c r="G816" i="114" s="1"/>
  <c r="I816" i="114" s="1"/>
  <c r="H816" i="114" a="1"/>
  <c r="H816" i="114" s="1"/>
  <c r="F817" i="114" a="1"/>
  <c r="F817" i="114" s="1"/>
  <c r="G817" i="114" a="1"/>
  <c r="G817" i="114" s="1"/>
  <c r="I817" i="114" s="1"/>
  <c r="H817" i="114" a="1"/>
  <c r="H817" i="114" s="1"/>
  <c r="F818" i="114" a="1"/>
  <c r="F818" i="114" s="1"/>
  <c r="G818" i="114" a="1"/>
  <c r="G818" i="114" s="1"/>
  <c r="I818" i="114" s="1"/>
  <c r="H818" i="114" a="1"/>
  <c r="H818" i="114" s="1"/>
  <c r="F819" i="114" a="1"/>
  <c r="F819" i="114" s="1"/>
  <c r="G819" i="114" a="1"/>
  <c r="G819" i="114" s="1"/>
  <c r="I819" i="114" s="1"/>
  <c r="H819" i="114" a="1"/>
  <c r="H819" i="114" s="1"/>
  <c r="H820" i="114" a="1"/>
  <c r="H820" i="114" s="1"/>
  <c r="F822" i="114" a="1"/>
  <c r="F822" i="114" s="1"/>
  <c r="G822" i="114" a="1"/>
  <c r="G822" i="114" s="1"/>
  <c r="I822" i="114" s="1"/>
  <c r="H822" i="114" a="1"/>
  <c r="H822" i="114" s="1"/>
  <c r="F823" i="114" a="1"/>
  <c r="F823" i="114" s="1"/>
  <c r="G823" i="114" a="1"/>
  <c r="G823" i="114" s="1"/>
  <c r="I823" i="114" s="1"/>
  <c r="F824" i="114" a="1"/>
  <c r="F824" i="114" s="1"/>
  <c r="G824" i="114" a="1"/>
  <c r="G824" i="114" s="1"/>
  <c r="I824" i="114" s="1"/>
  <c r="H824" i="114" a="1"/>
  <c r="H824" i="114" s="1"/>
  <c r="F825" i="114" a="1"/>
  <c r="F825" i="114" s="1"/>
  <c r="G825" i="114" a="1"/>
  <c r="G825" i="114" s="1"/>
  <c r="I825" i="114" s="1"/>
  <c r="H825" i="114" a="1"/>
  <c r="H825" i="114" s="1"/>
  <c r="F826" i="114" a="1"/>
  <c r="F826" i="114" s="1"/>
  <c r="G826" i="114" a="1"/>
  <c r="G826" i="114" s="1"/>
  <c r="I826" i="114" s="1"/>
  <c r="H826" i="114" a="1"/>
  <c r="H826" i="114" s="1"/>
  <c r="F827" i="114" a="1"/>
  <c r="F827" i="114" s="1"/>
  <c r="G827" i="114" a="1"/>
  <c r="G827" i="114" s="1"/>
  <c r="I827" i="114" s="1"/>
  <c r="H827" i="114" a="1"/>
  <c r="H827" i="114" s="1"/>
  <c r="F828" i="114" a="1"/>
  <c r="F828" i="114" s="1"/>
  <c r="G828" i="114" a="1"/>
  <c r="G828" i="114" s="1"/>
  <c r="I828" i="114" s="1"/>
  <c r="H828" i="114" a="1"/>
  <c r="H828" i="114" s="1"/>
  <c r="H829" i="114" a="1"/>
  <c r="H829" i="114" s="1"/>
  <c r="F831" i="114" a="1"/>
  <c r="F831" i="114" s="1"/>
  <c r="G831" i="114" a="1"/>
  <c r="G831" i="114" s="1"/>
  <c r="I831" i="114" s="1"/>
  <c r="H831" i="114" a="1"/>
  <c r="H831" i="114" s="1"/>
  <c r="F832" i="114" a="1"/>
  <c r="F832" i="114" s="1"/>
  <c r="G832" i="114" a="1"/>
  <c r="G832" i="114" s="1"/>
  <c r="I832" i="114" s="1"/>
  <c r="F833" i="114" a="1"/>
  <c r="F833" i="114" s="1"/>
  <c r="G833" i="114" a="1"/>
  <c r="G833" i="114" s="1"/>
  <c r="I833" i="114" s="1"/>
  <c r="H833" i="114" a="1"/>
  <c r="H833" i="114" s="1"/>
  <c r="F834" i="114" a="1"/>
  <c r="F834" i="114" s="1"/>
  <c r="G834" i="114" a="1"/>
  <c r="G834" i="114" s="1"/>
  <c r="I834" i="114" s="1"/>
  <c r="H834" i="114" a="1"/>
  <c r="H834" i="114" s="1"/>
  <c r="F835" i="114" a="1"/>
  <c r="F835" i="114" s="1"/>
  <c r="G835" i="114" a="1"/>
  <c r="G835" i="114" s="1"/>
  <c r="I835" i="114" s="1"/>
  <c r="H835" i="114" a="1"/>
  <c r="H835" i="114" s="1"/>
  <c r="F836" i="114" a="1"/>
  <c r="F836" i="114" s="1"/>
  <c r="G836" i="114" a="1"/>
  <c r="G836" i="114" s="1"/>
  <c r="I836" i="114" s="1"/>
  <c r="H836" i="114" a="1"/>
  <c r="H836" i="114" s="1"/>
  <c r="F837" i="114" a="1"/>
  <c r="F837" i="114" s="1"/>
  <c r="G837" i="114" a="1"/>
  <c r="G837" i="114" s="1"/>
  <c r="I837" i="114" s="1"/>
  <c r="H837" i="114" a="1"/>
  <c r="H837" i="114" s="1"/>
  <c r="H838" i="114" a="1"/>
  <c r="H838" i="114" s="1"/>
  <c r="F840" i="114" a="1"/>
  <c r="F840" i="114" s="1"/>
  <c r="G840" i="114" a="1"/>
  <c r="G840" i="114" s="1"/>
  <c r="I840" i="114" s="1"/>
  <c r="H840" i="114" a="1"/>
  <c r="H840" i="114" s="1"/>
  <c r="F841" i="114" a="1"/>
  <c r="F841" i="114" s="1"/>
  <c r="G841" i="114" a="1"/>
  <c r="G841" i="114" s="1"/>
  <c r="I841" i="114" s="1"/>
  <c r="H841" i="114" a="1"/>
  <c r="H841" i="114" s="1"/>
  <c r="F842" i="114" a="1"/>
  <c r="F842" i="114" s="1"/>
  <c r="G842" i="114" a="1"/>
  <c r="G842" i="114" s="1"/>
  <c r="I842" i="114" s="1"/>
  <c r="H842" i="114" a="1"/>
  <c r="H842" i="114" s="1"/>
  <c r="F843" i="114" a="1"/>
  <c r="F843" i="114" s="1"/>
  <c r="G843" i="114" a="1"/>
  <c r="G843" i="114" s="1"/>
  <c r="I843" i="114" s="1"/>
  <c r="H843" i="114" a="1"/>
  <c r="H843" i="114" s="1"/>
  <c r="F844" i="114" a="1"/>
  <c r="F844" i="114" s="1"/>
  <c r="G844" i="114" a="1"/>
  <c r="G844" i="114" s="1"/>
  <c r="I844" i="114" s="1"/>
  <c r="H844" i="114" a="1"/>
  <c r="H844" i="114" s="1"/>
  <c r="F845" i="114" a="1"/>
  <c r="F845" i="114" s="1"/>
  <c r="G845" i="114" a="1"/>
  <c r="G845" i="114" s="1"/>
  <c r="I845" i="114" s="1"/>
  <c r="H845" i="114" a="1"/>
  <c r="H845" i="114" s="1"/>
  <c r="F846" i="114" a="1"/>
  <c r="F846" i="114" s="1"/>
  <c r="G846" i="114" a="1"/>
  <c r="G846" i="114" s="1"/>
  <c r="I846" i="114" s="1"/>
  <c r="H846" i="114" a="1"/>
  <c r="H846" i="114" s="1"/>
  <c r="H847" i="114" a="1"/>
  <c r="H847" i="114" s="1"/>
  <c r="F849" i="114" a="1"/>
  <c r="F849" i="114" s="1"/>
  <c r="G849" i="114" a="1"/>
  <c r="G849" i="114" s="1"/>
  <c r="I849" i="114" s="1"/>
  <c r="H849" i="114" a="1"/>
  <c r="H849" i="114" s="1"/>
  <c r="F850" i="114" a="1"/>
  <c r="F850" i="114" s="1"/>
  <c r="G850" i="114" a="1"/>
  <c r="G850" i="114" s="1"/>
  <c r="I850" i="114" s="1"/>
  <c r="F851" i="114" a="1"/>
  <c r="F851" i="114" s="1"/>
  <c r="G851" i="114" a="1"/>
  <c r="G851" i="114" s="1"/>
  <c r="I851" i="114" s="1"/>
  <c r="H851" i="114" a="1"/>
  <c r="H851" i="114" s="1"/>
  <c r="F852" i="114" a="1"/>
  <c r="F852" i="114" s="1"/>
  <c r="G852" i="114" a="1"/>
  <c r="G852" i="114" s="1"/>
  <c r="I852" i="114" s="1"/>
  <c r="H852" i="114" a="1"/>
  <c r="H852" i="114" s="1"/>
  <c r="F853" i="114" a="1"/>
  <c r="F853" i="114" s="1"/>
  <c r="G853" i="114" a="1"/>
  <c r="G853" i="114" s="1"/>
  <c r="I853" i="114" s="1"/>
  <c r="H853" i="114" a="1"/>
  <c r="H853" i="114" s="1"/>
  <c r="F854" i="114" a="1"/>
  <c r="F854" i="114" s="1"/>
  <c r="G854" i="114" a="1"/>
  <c r="G854" i="114" s="1"/>
  <c r="I854" i="114" s="1"/>
  <c r="H854" i="114" a="1"/>
  <c r="H854" i="114" s="1"/>
  <c r="F855" i="114" a="1"/>
  <c r="F855" i="114" s="1"/>
  <c r="G855" i="114" a="1"/>
  <c r="G855" i="114" s="1"/>
  <c r="I855" i="114" s="1"/>
  <c r="H855" i="114" a="1"/>
  <c r="H855" i="114" s="1"/>
  <c r="H856" i="114" a="1"/>
  <c r="H856" i="114" s="1"/>
  <c r="F858" i="114" a="1"/>
  <c r="F858" i="114" s="1"/>
  <c r="G858" i="114" a="1"/>
  <c r="G858" i="114" s="1"/>
  <c r="I858" i="114" s="1"/>
  <c r="H858" i="114" a="1"/>
  <c r="H858" i="114" s="1"/>
  <c r="F859" i="114" a="1"/>
  <c r="F859" i="114" s="1"/>
  <c r="G859" i="114" a="1"/>
  <c r="G859" i="114" s="1"/>
  <c r="I859" i="114" s="1"/>
  <c r="H859" i="114" a="1"/>
  <c r="H859" i="114" s="1"/>
  <c r="F860" i="114" a="1"/>
  <c r="F860" i="114" s="1"/>
  <c r="G860" i="114" a="1"/>
  <c r="G860" i="114" s="1"/>
  <c r="I860" i="114" s="1"/>
  <c r="H860" i="114" a="1"/>
  <c r="H860" i="114" s="1"/>
  <c r="F861" i="114" a="1"/>
  <c r="F861" i="114" s="1"/>
  <c r="G861" i="114" a="1"/>
  <c r="G861" i="114" s="1"/>
  <c r="I861" i="114" s="1"/>
  <c r="H861" i="114" a="1"/>
  <c r="H861" i="114" s="1"/>
  <c r="F862" i="114" a="1"/>
  <c r="F862" i="114" s="1"/>
  <c r="G862" i="114" a="1"/>
  <c r="G862" i="114" s="1"/>
  <c r="I862" i="114" s="1"/>
  <c r="H862" i="114" a="1"/>
  <c r="H862" i="114" s="1"/>
  <c r="F863" i="114" a="1"/>
  <c r="F863" i="114" s="1"/>
  <c r="G863" i="114" a="1"/>
  <c r="G863" i="114" s="1"/>
  <c r="I863" i="114" s="1"/>
  <c r="H863" i="114" a="1"/>
  <c r="H863" i="114" s="1"/>
  <c r="F864" i="114" a="1"/>
  <c r="F864" i="114" s="1"/>
  <c r="G864" i="114" a="1"/>
  <c r="G864" i="114" s="1"/>
  <c r="I864" i="114" s="1"/>
  <c r="H864" i="114" a="1"/>
  <c r="H864" i="114" s="1"/>
  <c r="H865" i="114" a="1"/>
  <c r="H865" i="114" s="1"/>
  <c r="F867" i="114" a="1"/>
  <c r="F867" i="114" s="1"/>
  <c r="G867" i="114" a="1"/>
  <c r="G867" i="114" s="1"/>
  <c r="I867" i="114" s="1"/>
  <c r="H867" i="114" a="1"/>
  <c r="H867" i="114" s="1"/>
  <c r="F868" i="114" a="1"/>
  <c r="F868" i="114" s="1"/>
  <c r="G868" i="114" a="1"/>
  <c r="G868" i="114" s="1"/>
  <c r="I868" i="114" s="1"/>
  <c r="F869" i="114" a="1"/>
  <c r="F869" i="114" s="1"/>
  <c r="G869" i="114" a="1"/>
  <c r="G869" i="114" s="1"/>
  <c r="I869" i="114" s="1"/>
  <c r="H869" i="114" a="1"/>
  <c r="H869" i="114" s="1"/>
  <c r="F870" i="114" a="1"/>
  <c r="F870" i="114" s="1"/>
  <c r="G870" i="114" a="1"/>
  <c r="G870" i="114" s="1"/>
  <c r="I870" i="114" s="1"/>
  <c r="H870" i="114" a="1"/>
  <c r="H870" i="114" s="1"/>
  <c r="F871" i="114" a="1"/>
  <c r="F871" i="114" s="1"/>
  <c r="G871" i="114" a="1"/>
  <c r="G871" i="114" s="1"/>
  <c r="I871" i="114" s="1"/>
  <c r="H871" i="114" a="1"/>
  <c r="H871" i="114" s="1"/>
  <c r="F872" i="114" a="1"/>
  <c r="F872" i="114" s="1"/>
  <c r="G872" i="114" a="1"/>
  <c r="G872" i="114" s="1"/>
  <c r="I872" i="114" s="1"/>
  <c r="H872" i="114" a="1"/>
  <c r="H872" i="114" s="1"/>
  <c r="F873" i="114" a="1"/>
  <c r="F873" i="114" s="1"/>
  <c r="G873" i="114" a="1"/>
  <c r="G873" i="114" s="1"/>
  <c r="I873" i="114" s="1"/>
  <c r="H873" i="114" a="1"/>
  <c r="H873" i="114" s="1"/>
  <c r="H874" i="114" a="1"/>
  <c r="H874" i="114" s="1"/>
  <c r="F876" i="114" a="1"/>
  <c r="F876" i="114" s="1"/>
  <c r="G876" i="114" a="1"/>
  <c r="G876" i="114" s="1"/>
  <c r="I876" i="114" s="1"/>
  <c r="H876" i="114" a="1"/>
  <c r="H876" i="114" s="1"/>
  <c r="F877" i="114" a="1"/>
  <c r="F877" i="114" s="1"/>
  <c r="G877" i="114" a="1"/>
  <c r="G877" i="114" s="1"/>
  <c r="I877" i="114" s="1"/>
  <c r="F878" i="114" a="1"/>
  <c r="F878" i="114" s="1"/>
  <c r="G878" i="114" a="1"/>
  <c r="G878" i="114" s="1"/>
  <c r="I878" i="114" s="1"/>
  <c r="H878" i="114" a="1"/>
  <c r="H878" i="114" s="1"/>
  <c r="F879" i="114" a="1"/>
  <c r="F879" i="114" s="1"/>
  <c r="G879" i="114" a="1"/>
  <c r="G879" i="114" s="1"/>
  <c r="I879" i="114" s="1"/>
  <c r="H879" i="114" a="1"/>
  <c r="H879" i="114" s="1"/>
  <c r="F880" i="114" a="1"/>
  <c r="F880" i="114" s="1"/>
  <c r="G880" i="114" a="1"/>
  <c r="G880" i="114" s="1"/>
  <c r="I880" i="114" s="1"/>
  <c r="H880" i="114" a="1"/>
  <c r="H880" i="114" s="1"/>
  <c r="F881" i="114" a="1"/>
  <c r="F881" i="114" s="1"/>
  <c r="G881" i="114" a="1"/>
  <c r="G881" i="114" s="1"/>
  <c r="I881" i="114" s="1"/>
  <c r="H881" i="114" a="1"/>
  <c r="H881" i="114" s="1"/>
  <c r="F882" i="114" a="1"/>
  <c r="F882" i="114" s="1"/>
  <c r="G882" i="114" a="1"/>
  <c r="G882" i="114" s="1"/>
  <c r="I882" i="114" s="1"/>
  <c r="H882" i="114" a="1"/>
  <c r="H882" i="114" s="1"/>
  <c r="H883" i="114" a="1"/>
  <c r="H883" i="114" s="1"/>
  <c r="F885" i="114" a="1"/>
  <c r="F885" i="114" s="1"/>
  <c r="G885" i="114" a="1"/>
  <c r="G885" i="114" s="1"/>
  <c r="I885" i="114" s="1"/>
  <c r="H885" i="114" a="1"/>
  <c r="H885" i="114" s="1"/>
  <c r="F886" i="114" a="1"/>
  <c r="F886" i="114" s="1"/>
  <c r="G886" i="114" a="1"/>
  <c r="G886" i="114" s="1"/>
  <c r="I886" i="114" s="1"/>
  <c r="F887" i="114" a="1"/>
  <c r="F887" i="114" s="1"/>
  <c r="G887" i="114" a="1"/>
  <c r="G887" i="114" s="1"/>
  <c r="I887" i="114" s="1"/>
  <c r="H887" i="114" a="1"/>
  <c r="H887" i="114" s="1"/>
  <c r="F888" i="114" a="1"/>
  <c r="F888" i="114" s="1"/>
  <c r="G888" i="114" a="1"/>
  <c r="G888" i="114" s="1"/>
  <c r="I888" i="114" s="1"/>
  <c r="H888" i="114" a="1"/>
  <c r="H888" i="114" s="1"/>
  <c r="F889" i="114" a="1"/>
  <c r="F889" i="114" s="1"/>
  <c r="G889" i="114" a="1"/>
  <c r="G889" i="114" s="1"/>
  <c r="I889" i="114" s="1"/>
  <c r="H889" i="114" a="1"/>
  <c r="H889" i="114" s="1"/>
  <c r="F890" i="114" a="1"/>
  <c r="F890" i="114" s="1"/>
  <c r="G890" i="114" a="1"/>
  <c r="G890" i="114" s="1"/>
  <c r="I890" i="114" s="1"/>
  <c r="H890" i="114" a="1"/>
  <c r="H890" i="114" s="1"/>
  <c r="F891" i="114" a="1"/>
  <c r="F891" i="114" s="1"/>
  <c r="G891" i="114" a="1"/>
  <c r="G891" i="114" s="1"/>
  <c r="I891" i="114" s="1"/>
  <c r="H891" i="114" a="1"/>
  <c r="H891" i="114" s="1"/>
  <c r="H892" i="114" a="1"/>
  <c r="H892" i="114" s="1"/>
  <c r="F894" i="114" a="1"/>
  <c r="F894" i="114" s="1"/>
  <c r="G894" i="114" a="1"/>
  <c r="G894" i="114" s="1"/>
  <c r="I894" i="114" s="1"/>
  <c r="H894" i="114" a="1"/>
  <c r="H894" i="114" s="1"/>
  <c r="F895" i="114" a="1"/>
  <c r="F895" i="114" s="1"/>
  <c r="G895" i="114" a="1"/>
  <c r="G895" i="114" s="1"/>
  <c r="I895" i="114" s="1"/>
  <c r="H895" i="114" a="1"/>
  <c r="H895" i="114" s="1"/>
  <c r="F896" i="114" a="1"/>
  <c r="F896" i="114" s="1"/>
  <c r="G896" i="114" a="1"/>
  <c r="G896" i="114" s="1"/>
  <c r="I896" i="114" s="1"/>
  <c r="H896" i="114" a="1"/>
  <c r="H896" i="114" s="1"/>
  <c r="F897" i="114" a="1"/>
  <c r="F897" i="114" s="1"/>
  <c r="G897" i="114" a="1"/>
  <c r="G897" i="114" s="1"/>
  <c r="I897" i="114" s="1"/>
  <c r="H897" i="114" a="1"/>
  <c r="H897" i="114" s="1"/>
  <c r="F898" i="114" a="1"/>
  <c r="F898" i="114" s="1"/>
  <c r="G898" i="114" a="1"/>
  <c r="G898" i="114" s="1"/>
  <c r="I898" i="114" s="1"/>
  <c r="H898" i="114" a="1"/>
  <c r="H898" i="114" s="1"/>
  <c r="F899" i="114" a="1"/>
  <c r="F899" i="114" s="1"/>
  <c r="G899" i="114" a="1"/>
  <c r="G899" i="114" s="1"/>
  <c r="I899" i="114" s="1"/>
  <c r="H899" i="114" a="1"/>
  <c r="H899" i="114" s="1"/>
  <c r="F900" i="114" a="1"/>
  <c r="F900" i="114" s="1"/>
  <c r="G900" i="114" a="1"/>
  <c r="G900" i="114" s="1"/>
  <c r="I900" i="114" s="1"/>
  <c r="H900" i="114" a="1"/>
  <c r="H900" i="114" s="1"/>
  <c r="H901" i="114" a="1"/>
  <c r="H901" i="114" s="1"/>
  <c r="F903" i="114" a="1"/>
  <c r="F903" i="114" s="1"/>
  <c r="G903" i="114" a="1"/>
  <c r="G903" i="114" s="1"/>
  <c r="I903" i="114" s="1"/>
  <c r="H903" i="114" a="1"/>
  <c r="H903" i="114" s="1"/>
  <c r="F904" i="114" a="1"/>
  <c r="F904" i="114" s="1"/>
  <c r="G904" i="114" a="1"/>
  <c r="G904" i="114" s="1"/>
  <c r="I904" i="114" s="1"/>
  <c r="H904" i="114" a="1"/>
  <c r="H904" i="114" s="1"/>
  <c r="F905" i="114" a="1"/>
  <c r="F905" i="114" s="1"/>
  <c r="G905" i="114" a="1"/>
  <c r="G905" i="114" s="1"/>
  <c r="I905" i="114" s="1"/>
  <c r="H905" i="114" a="1"/>
  <c r="H905" i="114" s="1"/>
  <c r="F906" i="114" a="1"/>
  <c r="F906" i="114" s="1"/>
  <c r="G906" i="114" a="1"/>
  <c r="G906" i="114" s="1"/>
  <c r="I906" i="114" s="1"/>
  <c r="H906" i="114" a="1"/>
  <c r="H906" i="114" s="1"/>
  <c r="F907" i="114" a="1"/>
  <c r="F907" i="114" s="1"/>
  <c r="G907" i="114" a="1"/>
  <c r="G907" i="114" s="1"/>
  <c r="I907" i="114" s="1"/>
  <c r="H907" i="114" a="1"/>
  <c r="H907" i="114" s="1"/>
  <c r="F908" i="114" a="1"/>
  <c r="F908" i="114" s="1"/>
  <c r="G908" i="114" a="1"/>
  <c r="G908" i="114" s="1"/>
  <c r="I908" i="114" s="1"/>
  <c r="H908" i="114" a="1"/>
  <c r="H908" i="114" s="1"/>
  <c r="F909" i="114" a="1"/>
  <c r="F909" i="114" s="1"/>
  <c r="G909" i="114" a="1"/>
  <c r="G909" i="114" s="1"/>
  <c r="I909" i="114" s="1"/>
  <c r="H909" i="114" a="1"/>
  <c r="H909" i="114" s="1"/>
  <c r="H910" i="114" a="1"/>
  <c r="H910" i="114" s="1"/>
  <c r="F912" i="114" a="1"/>
  <c r="F912" i="114" s="1"/>
  <c r="G912" i="114" a="1"/>
  <c r="G912" i="114" s="1"/>
  <c r="I912" i="114" s="1"/>
  <c r="H912" i="114" a="1"/>
  <c r="H912" i="114" s="1"/>
  <c r="F913" i="114" a="1"/>
  <c r="F913" i="114" s="1"/>
  <c r="G913" i="114" a="1"/>
  <c r="G913" i="114" s="1"/>
  <c r="I913" i="114" s="1"/>
  <c r="F914" i="114" a="1"/>
  <c r="F914" i="114" s="1"/>
  <c r="G914" i="114" a="1"/>
  <c r="G914" i="114" s="1"/>
  <c r="I914" i="114" s="1"/>
  <c r="H914" i="114" a="1"/>
  <c r="H914" i="114" s="1"/>
  <c r="F915" i="114" a="1"/>
  <c r="F915" i="114" s="1"/>
  <c r="G915" i="114" a="1"/>
  <c r="G915" i="114" s="1"/>
  <c r="I915" i="114" s="1"/>
  <c r="H915" i="114" a="1"/>
  <c r="H915" i="114" s="1"/>
  <c r="F916" i="114" a="1"/>
  <c r="F916" i="114" s="1"/>
  <c r="G916" i="114" a="1"/>
  <c r="G916" i="114" s="1"/>
  <c r="I916" i="114" s="1"/>
  <c r="H916" i="114" a="1"/>
  <c r="H916" i="114" s="1"/>
  <c r="F917" i="114" a="1"/>
  <c r="F917" i="114" s="1"/>
  <c r="G917" i="114" a="1"/>
  <c r="G917" i="114" s="1"/>
  <c r="I917" i="114" s="1"/>
  <c r="H917" i="114" a="1"/>
  <c r="H917" i="114" s="1"/>
  <c r="F918" i="114" a="1"/>
  <c r="F918" i="114" s="1"/>
  <c r="G918" i="114" a="1"/>
  <c r="G918" i="114" s="1"/>
  <c r="I918" i="114" s="1"/>
  <c r="H918" i="114" a="1"/>
  <c r="H918" i="114" s="1"/>
  <c r="H919" i="114" a="1"/>
  <c r="H919" i="114" s="1"/>
  <c r="F921" i="114" a="1"/>
  <c r="F921" i="114" s="1"/>
  <c r="G921" i="114" a="1"/>
  <c r="G921" i="114" s="1"/>
  <c r="I921" i="114" s="1"/>
  <c r="H921" i="114" a="1"/>
  <c r="H921" i="114" s="1"/>
  <c r="F922" i="114" a="1"/>
  <c r="F922" i="114" s="1"/>
  <c r="G922" i="114" a="1"/>
  <c r="G922" i="114" s="1"/>
  <c r="I922" i="114" s="1"/>
  <c r="F923" i="114" a="1"/>
  <c r="F923" i="114" s="1"/>
  <c r="G923" i="114" a="1"/>
  <c r="G923" i="114" s="1"/>
  <c r="I923" i="114" s="1"/>
  <c r="H923" i="114" a="1"/>
  <c r="H923" i="114" s="1"/>
  <c r="F924" i="114" a="1"/>
  <c r="F924" i="114" s="1"/>
  <c r="G924" i="114" a="1"/>
  <c r="G924" i="114" s="1"/>
  <c r="I924" i="114" s="1"/>
  <c r="H924" i="114" a="1"/>
  <c r="H924" i="114" s="1"/>
  <c r="F925" i="114" a="1"/>
  <c r="F925" i="114" s="1"/>
  <c r="G925" i="114" a="1"/>
  <c r="G925" i="114" s="1"/>
  <c r="I925" i="114" s="1"/>
  <c r="H925" i="114" a="1"/>
  <c r="H925" i="114" s="1"/>
  <c r="F926" i="114" a="1"/>
  <c r="F926" i="114" s="1"/>
  <c r="G926" i="114" a="1"/>
  <c r="G926" i="114" s="1"/>
  <c r="I926" i="114" s="1"/>
  <c r="H926" i="114" a="1"/>
  <c r="H926" i="114" s="1"/>
  <c r="F927" i="114" a="1"/>
  <c r="F927" i="114" s="1"/>
  <c r="G927" i="114" a="1"/>
  <c r="G927" i="114" s="1"/>
  <c r="I927" i="114" s="1"/>
  <c r="H927" i="114" a="1"/>
  <c r="H927" i="114" s="1"/>
  <c r="H928" i="114" a="1"/>
  <c r="H928" i="114" s="1"/>
  <c r="F930" i="114" a="1"/>
  <c r="F930" i="114" s="1"/>
  <c r="G930" i="114" a="1"/>
  <c r="G930" i="114" s="1"/>
  <c r="I930" i="114" s="1"/>
  <c r="H930" i="114" a="1"/>
  <c r="H930" i="114" s="1"/>
  <c r="F931" i="114" a="1"/>
  <c r="F931" i="114" s="1"/>
  <c r="G931" i="114" a="1"/>
  <c r="G931" i="114" s="1"/>
  <c r="I931" i="114" s="1"/>
  <c r="F932" i="114" a="1"/>
  <c r="F932" i="114" s="1"/>
  <c r="G932" i="114" a="1"/>
  <c r="G932" i="114" s="1"/>
  <c r="I932" i="114" s="1"/>
  <c r="H932" i="114" a="1"/>
  <c r="H932" i="114" s="1"/>
  <c r="F933" i="114" a="1"/>
  <c r="F933" i="114" s="1"/>
  <c r="G933" i="114" a="1"/>
  <c r="G933" i="114" s="1"/>
  <c r="I933" i="114" s="1"/>
  <c r="H933" i="114" a="1"/>
  <c r="H933" i="114" s="1"/>
  <c r="F934" i="114" a="1"/>
  <c r="F934" i="114" s="1"/>
  <c r="G934" i="114" a="1"/>
  <c r="G934" i="114" s="1"/>
  <c r="I934" i="114" s="1"/>
  <c r="H934" i="114" a="1"/>
  <c r="H934" i="114" s="1"/>
  <c r="F935" i="114" a="1"/>
  <c r="F935" i="114" s="1"/>
  <c r="G935" i="114" a="1"/>
  <c r="G935" i="114" s="1"/>
  <c r="I935" i="114" s="1"/>
  <c r="H935" i="114" a="1"/>
  <c r="H935" i="114" s="1"/>
  <c r="F936" i="114" a="1"/>
  <c r="F936" i="114" s="1"/>
  <c r="G936" i="114" a="1"/>
  <c r="G936" i="114" s="1"/>
  <c r="I936" i="114" s="1"/>
  <c r="H936" i="114" a="1"/>
  <c r="H936" i="114" s="1"/>
  <c r="H937" i="114" a="1"/>
  <c r="H937" i="114" s="1"/>
  <c r="F939" i="114" a="1"/>
  <c r="F939" i="114" s="1"/>
  <c r="G939" i="114" a="1"/>
  <c r="G939" i="114" s="1"/>
  <c r="I939" i="114" s="1"/>
  <c r="H939" i="114" a="1"/>
  <c r="H939" i="114" s="1"/>
  <c r="F940" i="114" a="1"/>
  <c r="F940" i="114" s="1"/>
  <c r="G940" i="114" a="1"/>
  <c r="G940" i="114" s="1"/>
  <c r="I940" i="114" s="1"/>
  <c r="F941" i="114" a="1"/>
  <c r="F941" i="114" s="1"/>
  <c r="G941" i="114" a="1"/>
  <c r="G941" i="114" s="1"/>
  <c r="I941" i="114" s="1"/>
  <c r="H941" i="114" a="1"/>
  <c r="H941" i="114" s="1"/>
  <c r="F942" i="114" a="1"/>
  <c r="F942" i="114" s="1"/>
  <c r="G942" i="114" a="1"/>
  <c r="G942" i="114" s="1"/>
  <c r="I942" i="114" s="1"/>
  <c r="H942" i="114" a="1"/>
  <c r="H942" i="114" s="1"/>
  <c r="F943" i="114" a="1"/>
  <c r="F943" i="114" s="1"/>
  <c r="G943" i="114" a="1"/>
  <c r="G943" i="114" s="1"/>
  <c r="I943" i="114" s="1"/>
  <c r="H943" i="114" a="1"/>
  <c r="H943" i="114" s="1"/>
  <c r="F944" i="114" a="1"/>
  <c r="F944" i="114" s="1"/>
  <c r="G944" i="114" a="1"/>
  <c r="G944" i="114" s="1"/>
  <c r="I944" i="114" s="1"/>
  <c r="H944" i="114" a="1"/>
  <c r="H944" i="114" s="1"/>
  <c r="F945" i="114" a="1"/>
  <c r="F945" i="114" s="1"/>
  <c r="G945" i="114" a="1"/>
  <c r="G945" i="114" s="1"/>
  <c r="I945" i="114" s="1"/>
  <c r="H945" i="114" a="1"/>
  <c r="H945" i="114" s="1"/>
  <c r="H946" i="114" a="1"/>
  <c r="H946" i="114" s="1"/>
  <c r="F948" i="114" a="1"/>
  <c r="F948" i="114" s="1"/>
  <c r="G948" i="114" a="1"/>
  <c r="G948" i="114" s="1"/>
  <c r="I948" i="114" s="1"/>
  <c r="H948" i="114" a="1"/>
  <c r="H948" i="114" s="1"/>
  <c r="F949" i="114" a="1"/>
  <c r="F949" i="114" s="1"/>
  <c r="G949" i="114" a="1"/>
  <c r="G949" i="114" s="1"/>
  <c r="I949" i="114" s="1"/>
  <c r="F950" i="114" a="1"/>
  <c r="F950" i="114" s="1"/>
  <c r="G950" i="114" a="1"/>
  <c r="G950" i="114" s="1"/>
  <c r="I950" i="114" s="1"/>
  <c r="H950" i="114" a="1"/>
  <c r="H950" i="114" s="1"/>
  <c r="F951" i="114" a="1"/>
  <c r="F951" i="114" s="1"/>
  <c r="G951" i="114" a="1"/>
  <c r="G951" i="114" s="1"/>
  <c r="I951" i="114" s="1"/>
  <c r="H951" i="114" a="1"/>
  <c r="H951" i="114" s="1"/>
  <c r="F952" i="114" a="1"/>
  <c r="F952" i="114" s="1"/>
  <c r="G952" i="114" a="1"/>
  <c r="G952" i="114" s="1"/>
  <c r="I952" i="114" s="1"/>
  <c r="H952" i="114" a="1"/>
  <c r="H952" i="114" s="1"/>
  <c r="F953" i="114" a="1"/>
  <c r="F953" i="114" s="1"/>
  <c r="G953" i="114" a="1"/>
  <c r="G953" i="114" s="1"/>
  <c r="I953" i="114" s="1"/>
  <c r="H953" i="114" a="1"/>
  <c r="H953" i="114" s="1"/>
  <c r="F954" i="114" a="1"/>
  <c r="F954" i="114" s="1"/>
  <c r="G954" i="114" a="1"/>
  <c r="G954" i="114" s="1"/>
  <c r="I954" i="114" s="1"/>
  <c r="H954" i="114" a="1"/>
  <c r="H954" i="114" s="1"/>
  <c r="H955" i="114" a="1"/>
  <c r="H955" i="114" s="1"/>
  <c r="F957" i="114" a="1"/>
  <c r="F957" i="114" s="1"/>
  <c r="G957" i="114" a="1"/>
  <c r="G957" i="114" s="1"/>
  <c r="I957" i="114" s="1"/>
  <c r="H957" i="114" a="1"/>
  <c r="H957" i="114" s="1"/>
  <c r="F958" i="114" a="1"/>
  <c r="F958" i="114" s="1"/>
  <c r="G958" i="114" a="1"/>
  <c r="G958" i="114" s="1"/>
  <c r="I958" i="114" s="1"/>
  <c r="F959" i="114" a="1"/>
  <c r="F959" i="114" s="1"/>
  <c r="G959" i="114" a="1"/>
  <c r="G959" i="114" s="1"/>
  <c r="I959" i="114" s="1"/>
  <c r="H959" i="114" a="1"/>
  <c r="H959" i="114" s="1"/>
  <c r="F960" i="114" a="1"/>
  <c r="F960" i="114" s="1"/>
  <c r="G960" i="114" a="1"/>
  <c r="G960" i="114" s="1"/>
  <c r="I960" i="114" s="1"/>
  <c r="H960" i="114" a="1"/>
  <c r="H960" i="114" s="1"/>
  <c r="F961" i="114" a="1"/>
  <c r="F961" i="114" s="1"/>
  <c r="G961" i="114" a="1"/>
  <c r="G961" i="114" s="1"/>
  <c r="I961" i="114" s="1"/>
  <c r="H961" i="114" a="1"/>
  <c r="H961" i="114" s="1"/>
  <c r="F962" i="114" a="1"/>
  <c r="F962" i="114" s="1"/>
  <c r="G962" i="114" a="1"/>
  <c r="G962" i="114" s="1"/>
  <c r="I962" i="114" s="1"/>
  <c r="H962" i="114" a="1"/>
  <c r="H962" i="114" s="1"/>
  <c r="F963" i="114" a="1"/>
  <c r="F963" i="114" s="1"/>
  <c r="G963" i="114" a="1"/>
  <c r="G963" i="114" s="1"/>
  <c r="I963" i="114" s="1"/>
  <c r="H963" i="114" a="1"/>
  <c r="H963" i="114" s="1"/>
  <c r="H964" i="114" a="1"/>
  <c r="H964" i="114" s="1"/>
  <c r="F966" i="114" a="1"/>
  <c r="F966" i="114" s="1"/>
  <c r="G966" i="114" a="1"/>
  <c r="G966" i="114" s="1"/>
  <c r="I966" i="114" s="1"/>
  <c r="H966" i="114" a="1"/>
  <c r="H966" i="114" s="1"/>
  <c r="F967" i="114" a="1"/>
  <c r="F967" i="114" s="1"/>
  <c r="G967" i="114" a="1"/>
  <c r="G967" i="114" s="1"/>
  <c r="I967" i="114" s="1"/>
  <c r="H967" i="114" a="1"/>
  <c r="H967" i="114" s="1"/>
  <c r="F968" i="114" a="1"/>
  <c r="F968" i="114" s="1"/>
  <c r="G968" i="114" a="1"/>
  <c r="G968" i="114" s="1"/>
  <c r="I968" i="114" s="1"/>
  <c r="H968" i="114" a="1"/>
  <c r="H968" i="114" s="1"/>
  <c r="F969" i="114" a="1"/>
  <c r="F969" i="114" s="1"/>
  <c r="G969" i="114" a="1"/>
  <c r="G969" i="114" s="1"/>
  <c r="I969" i="114" s="1"/>
  <c r="H969" i="114" a="1"/>
  <c r="H969" i="114" s="1"/>
  <c r="F970" i="114" a="1"/>
  <c r="F970" i="114" s="1"/>
  <c r="G970" i="114" a="1"/>
  <c r="G970" i="114" s="1"/>
  <c r="I970" i="114" s="1"/>
  <c r="H970" i="114" a="1"/>
  <c r="H970" i="114" s="1"/>
  <c r="F971" i="114" a="1"/>
  <c r="F971" i="114" s="1"/>
  <c r="G971" i="114" a="1"/>
  <c r="G971" i="114" s="1"/>
  <c r="I971" i="114" s="1"/>
  <c r="H971" i="114" a="1"/>
  <c r="H971" i="114" s="1"/>
  <c r="F972" i="114" a="1"/>
  <c r="F972" i="114" s="1"/>
  <c r="G972" i="114" a="1"/>
  <c r="G972" i="114" s="1"/>
  <c r="I972" i="114" s="1"/>
  <c r="H972" i="114" a="1"/>
  <c r="H972" i="114" s="1"/>
  <c r="H973" i="114" a="1"/>
  <c r="H973" i="114" s="1"/>
  <c r="F975" i="114" a="1"/>
  <c r="F975" i="114" s="1"/>
  <c r="G975" i="114" a="1"/>
  <c r="G975" i="114" s="1"/>
  <c r="I975" i="114" s="1"/>
  <c r="H975" i="114" a="1"/>
  <c r="H975" i="114" s="1"/>
  <c r="F976" i="114" a="1"/>
  <c r="F976" i="114" s="1"/>
  <c r="G976" i="114" a="1"/>
  <c r="G976" i="114" s="1"/>
  <c r="I976" i="114" s="1"/>
  <c r="H976" i="114" a="1"/>
  <c r="H976" i="114" s="1"/>
  <c r="F977" i="114" a="1"/>
  <c r="F977" i="114" s="1"/>
  <c r="G977" i="114" a="1"/>
  <c r="G977" i="114" s="1"/>
  <c r="I977" i="114" s="1"/>
  <c r="H977" i="114" a="1"/>
  <c r="H977" i="114" s="1"/>
  <c r="F978" i="114" a="1"/>
  <c r="F978" i="114" s="1"/>
  <c r="G978" i="114" a="1"/>
  <c r="G978" i="114" s="1"/>
  <c r="I978" i="114" s="1"/>
  <c r="H978" i="114" a="1"/>
  <c r="H978" i="114" s="1"/>
  <c r="F979" i="114" a="1"/>
  <c r="F979" i="114" s="1"/>
  <c r="G979" i="114" a="1"/>
  <c r="G979" i="114" s="1"/>
  <c r="I979" i="114" s="1"/>
  <c r="H979" i="114" a="1"/>
  <c r="H979" i="114" s="1"/>
  <c r="F980" i="114" a="1"/>
  <c r="F980" i="114" s="1"/>
  <c r="G980" i="114" a="1"/>
  <c r="G980" i="114" s="1"/>
  <c r="I980" i="114" s="1"/>
  <c r="H980" i="114" a="1"/>
  <c r="H980" i="114" s="1"/>
  <c r="F981" i="114" a="1"/>
  <c r="F981" i="114" s="1"/>
  <c r="G981" i="114" a="1"/>
  <c r="G981" i="114" s="1"/>
  <c r="I981" i="114" s="1"/>
  <c r="H981" i="114" a="1"/>
  <c r="H981" i="114" s="1"/>
  <c r="H982" i="114" a="1"/>
  <c r="H982" i="114" s="1"/>
  <c r="F984" i="114" a="1"/>
  <c r="F984" i="114" s="1"/>
  <c r="G984" i="114" a="1"/>
  <c r="G984" i="114" s="1"/>
  <c r="I984" i="114" s="1"/>
  <c r="H984" i="114" a="1"/>
  <c r="H984" i="114" s="1"/>
  <c r="F985" i="114" a="1"/>
  <c r="F985" i="114" s="1"/>
  <c r="G985" i="114" a="1"/>
  <c r="G985" i="114" s="1"/>
  <c r="I985" i="114" s="1"/>
  <c r="H985" i="114" a="1"/>
  <c r="H985" i="114" s="1"/>
  <c r="F986" i="114" a="1"/>
  <c r="F986" i="114" s="1"/>
  <c r="G986" i="114" a="1"/>
  <c r="G986" i="114" s="1"/>
  <c r="I986" i="114" s="1"/>
  <c r="H986" i="114" a="1"/>
  <c r="H986" i="114" s="1"/>
  <c r="F987" i="114" a="1"/>
  <c r="F987" i="114" s="1"/>
  <c r="G987" i="114" a="1"/>
  <c r="G987" i="114" s="1"/>
  <c r="I987" i="114" s="1"/>
  <c r="H987" i="114" a="1"/>
  <c r="H987" i="114" s="1"/>
  <c r="F988" i="114" a="1"/>
  <c r="F988" i="114" s="1"/>
  <c r="G988" i="114" a="1"/>
  <c r="G988" i="114" s="1"/>
  <c r="I988" i="114" s="1"/>
  <c r="H988" i="114" a="1"/>
  <c r="H988" i="114" s="1"/>
  <c r="F989" i="114" a="1"/>
  <c r="F989" i="114" s="1"/>
  <c r="G989" i="114" a="1"/>
  <c r="G989" i="114" s="1"/>
  <c r="I989" i="114" s="1"/>
  <c r="H989" i="114" a="1"/>
  <c r="H989" i="114" s="1"/>
  <c r="F990" i="114" a="1"/>
  <c r="F990" i="114" s="1"/>
  <c r="G990" i="114" a="1"/>
  <c r="G990" i="114" s="1"/>
  <c r="I990" i="114" s="1"/>
  <c r="H990" i="114" a="1"/>
  <c r="H990" i="114" s="1"/>
  <c r="H991" i="114" a="1"/>
  <c r="H991" i="114" s="1"/>
  <c r="F993" i="114" a="1"/>
  <c r="F993" i="114" s="1"/>
  <c r="G993" i="114" a="1"/>
  <c r="G993" i="114" s="1"/>
  <c r="I993" i="114" s="1"/>
  <c r="H993" i="114" a="1"/>
  <c r="H993" i="114" s="1"/>
  <c r="F994" i="114" a="1"/>
  <c r="F994" i="114" s="1"/>
  <c r="G994" i="114" a="1"/>
  <c r="G994" i="114" s="1"/>
  <c r="I994" i="114" s="1"/>
  <c r="H994" i="114" a="1"/>
  <c r="H994" i="114" s="1"/>
  <c r="F995" i="114" a="1"/>
  <c r="F995" i="114" s="1"/>
  <c r="G995" i="114" a="1"/>
  <c r="G995" i="114" s="1"/>
  <c r="I995" i="114" s="1"/>
  <c r="H995" i="114" a="1"/>
  <c r="H995" i="114" s="1"/>
  <c r="F996" i="114" a="1"/>
  <c r="F996" i="114" s="1"/>
  <c r="G996" i="114" a="1"/>
  <c r="G996" i="114" s="1"/>
  <c r="I996" i="114" s="1"/>
  <c r="H996" i="114" a="1"/>
  <c r="H996" i="114" s="1"/>
  <c r="F997" i="114" a="1"/>
  <c r="F997" i="114" s="1"/>
  <c r="G997" i="114" a="1"/>
  <c r="G997" i="114" s="1"/>
  <c r="I997" i="114" s="1"/>
  <c r="H997" i="114" a="1"/>
  <c r="H997" i="114" s="1"/>
  <c r="F998" i="114" a="1"/>
  <c r="F998" i="114" s="1"/>
  <c r="G998" i="114" a="1"/>
  <c r="G998" i="114" s="1"/>
  <c r="I998" i="114" s="1"/>
  <c r="H998" i="114" a="1"/>
  <c r="H998" i="114" s="1"/>
  <c r="F999" i="114" a="1"/>
  <c r="F999" i="114" s="1"/>
  <c r="G999" i="114" a="1"/>
  <c r="G999" i="114" s="1"/>
  <c r="I999" i="114" s="1"/>
  <c r="H999" i="114" a="1"/>
  <c r="H999" i="114" s="1"/>
  <c r="H1000" i="114" a="1"/>
  <c r="H1000" i="114" s="1"/>
  <c r="F1002" i="114" a="1"/>
  <c r="F1002" i="114" s="1"/>
  <c r="G1002" i="114" a="1"/>
  <c r="G1002" i="114" s="1"/>
  <c r="I1002" i="114" s="1"/>
  <c r="H1002" i="114" a="1"/>
  <c r="H1002" i="114" s="1"/>
  <c r="F1003" i="114" a="1"/>
  <c r="F1003" i="114" s="1"/>
  <c r="G1003" i="114" a="1"/>
  <c r="G1003" i="114" s="1"/>
  <c r="I1003" i="114" s="1"/>
  <c r="H1003" i="114" a="1"/>
  <c r="H1003" i="114" s="1"/>
  <c r="F1004" i="114" a="1"/>
  <c r="F1004" i="114" s="1"/>
  <c r="G1004" i="114" a="1"/>
  <c r="G1004" i="114" s="1"/>
  <c r="I1004" i="114" s="1"/>
  <c r="H1004" i="114" a="1"/>
  <c r="H1004" i="114" s="1"/>
  <c r="F1005" i="114" a="1"/>
  <c r="F1005" i="114" s="1"/>
  <c r="G1005" i="114" a="1"/>
  <c r="G1005" i="114" s="1"/>
  <c r="I1005" i="114" s="1"/>
  <c r="H1005" i="114" a="1"/>
  <c r="H1005" i="114" s="1"/>
  <c r="F1006" i="114" a="1"/>
  <c r="F1006" i="114" s="1"/>
  <c r="G1006" i="114" a="1"/>
  <c r="G1006" i="114" s="1"/>
  <c r="I1006" i="114" s="1"/>
  <c r="H1006" i="114" a="1"/>
  <c r="H1006" i="114" s="1"/>
  <c r="F1007" i="114" a="1"/>
  <c r="F1007" i="114" s="1"/>
  <c r="G1007" i="114" a="1"/>
  <c r="G1007" i="114" s="1"/>
  <c r="I1007" i="114" s="1"/>
  <c r="H1007" i="114" a="1"/>
  <c r="H1007" i="114" s="1"/>
  <c r="F1008" i="114" a="1"/>
  <c r="F1008" i="114" s="1"/>
  <c r="G1008" i="114" a="1"/>
  <c r="G1008" i="114" s="1"/>
  <c r="I1008" i="114" s="1"/>
  <c r="H1008" i="114" a="1"/>
  <c r="H1008" i="114" s="1"/>
  <c r="H1009" i="114" a="1"/>
  <c r="H1009" i="114" s="1"/>
  <c r="F1011" i="114" a="1"/>
  <c r="F1011" i="114" s="1"/>
  <c r="G1011" i="114" a="1"/>
  <c r="G1011" i="114" s="1"/>
  <c r="I1011" i="114" s="1"/>
  <c r="H1011" i="114" a="1"/>
  <c r="H1011" i="114" s="1"/>
  <c r="F1012" i="114" a="1"/>
  <c r="F1012" i="114" s="1"/>
  <c r="G1012" i="114" a="1"/>
  <c r="G1012" i="114" s="1"/>
  <c r="I1012" i="114" s="1"/>
  <c r="H1012" i="114" a="1"/>
  <c r="H1012" i="114" s="1"/>
  <c r="F1013" i="114" a="1"/>
  <c r="F1013" i="114" s="1"/>
  <c r="G1013" i="114" a="1"/>
  <c r="G1013" i="114" s="1"/>
  <c r="I1013" i="114" s="1"/>
  <c r="H1013" i="114" a="1"/>
  <c r="H1013" i="114" s="1"/>
  <c r="F1014" i="114" a="1"/>
  <c r="F1014" i="114" s="1"/>
  <c r="G1014" i="114" a="1"/>
  <c r="G1014" i="114" s="1"/>
  <c r="I1014" i="114" s="1"/>
  <c r="H1014" i="114" a="1"/>
  <c r="H1014" i="114" s="1"/>
  <c r="F1015" i="114" a="1"/>
  <c r="F1015" i="114" s="1"/>
  <c r="G1015" i="114" a="1"/>
  <c r="G1015" i="114" s="1"/>
  <c r="I1015" i="114" s="1"/>
  <c r="H1015" i="114" a="1"/>
  <c r="H1015" i="114" s="1"/>
  <c r="F1016" i="114" a="1"/>
  <c r="F1016" i="114" s="1"/>
  <c r="G1016" i="114" a="1"/>
  <c r="G1016" i="114" s="1"/>
  <c r="I1016" i="114" s="1"/>
  <c r="H1016" i="114" a="1"/>
  <c r="H1016" i="114" s="1"/>
  <c r="F1017" i="114" a="1"/>
  <c r="F1017" i="114" s="1"/>
  <c r="G1017" i="114" a="1"/>
  <c r="G1017" i="114" s="1"/>
  <c r="I1017" i="114" s="1"/>
  <c r="H1017" i="114" a="1"/>
  <c r="H1017" i="114" s="1"/>
  <c r="H1018" i="114" a="1"/>
  <c r="H1018" i="114" s="1"/>
  <c r="F1020" i="114" a="1"/>
  <c r="F1020" i="114" s="1"/>
  <c r="G1020" i="114" a="1"/>
  <c r="G1020" i="114" s="1"/>
  <c r="I1020" i="114" s="1"/>
  <c r="H1020" i="114" a="1"/>
  <c r="H1020" i="114" s="1"/>
  <c r="F1021" i="114" a="1"/>
  <c r="F1021" i="114" s="1"/>
  <c r="G1021" i="114" a="1"/>
  <c r="G1021" i="114" s="1"/>
  <c r="I1021" i="114" s="1"/>
  <c r="H1021" i="114" a="1"/>
  <c r="H1021" i="114" s="1"/>
  <c r="F1022" i="114" a="1"/>
  <c r="F1022" i="114" s="1"/>
  <c r="G1022" i="114" a="1"/>
  <c r="G1022" i="114" s="1"/>
  <c r="I1022" i="114" s="1"/>
  <c r="H1022" i="114" a="1"/>
  <c r="H1022" i="114" s="1"/>
  <c r="F1023" i="114" a="1"/>
  <c r="F1023" i="114" s="1"/>
  <c r="G1023" i="114" a="1"/>
  <c r="G1023" i="114" s="1"/>
  <c r="I1023" i="114" s="1"/>
  <c r="H1023" i="114" a="1"/>
  <c r="H1023" i="114" s="1"/>
  <c r="F1024" i="114" a="1"/>
  <c r="F1024" i="114" s="1"/>
  <c r="G1024" i="114" a="1"/>
  <c r="G1024" i="114" s="1"/>
  <c r="I1024" i="114" s="1"/>
  <c r="H1024" i="114" a="1"/>
  <c r="H1024" i="114" s="1"/>
  <c r="F1025" i="114" a="1"/>
  <c r="F1025" i="114" s="1"/>
  <c r="G1025" i="114" a="1"/>
  <c r="G1025" i="114" s="1"/>
  <c r="I1025" i="114" s="1"/>
  <c r="H1025" i="114" a="1"/>
  <c r="H1025" i="114" s="1"/>
  <c r="F1026" i="114" a="1"/>
  <c r="F1026" i="114" s="1"/>
  <c r="G1026" i="114" a="1"/>
  <c r="G1026" i="114" s="1"/>
  <c r="I1026" i="114" s="1"/>
  <c r="H1026" i="114" a="1"/>
  <c r="H1026" i="114" s="1"/>
  <c r="H1027" i="114" a="1"/>
  <c r="H1027" i="114" s="1"/>
  <c r="F1029" i="114" a="1"/>
  <c r="F1029" i="114" s="1"/>
  <c r="G1029" i="114" a="1"/>
  <c r="G1029" i="114" s="1"/>
  <c r="I1029" i="114" s="1"/>
  <c r="H1029" i="114" a="1"/>
  <c r="H1029" i="114" s="1"/>
  <c r="F1030" i="114" a="1"/>
  <c r="F1030" i="114" s="1"/>
  <c r="G1030" i="114" a="1"/>
  <c r="G1030" i="114" s="1"/>
  <c r="I1030" i="114" s="1"/>
  <c r="H1030" i="114" a="1"/>
  <c r="H1030" i="114" s="1"/>
  <c r="F1031" i="114" a="1"/>
  <c r="F1031" i="114" s="1"/>
  <c r="G1031" i="114" a="1"/>
  <c r="G1031" i="114" s="1"/>
  <c r="I1031" i="114" s="1"/>
  <c r="H1031" i="114" a="1"/>
  <c r="H1031" i="114" s="1"/>
  <c r="F1032" i="114" a="1"/>
  <c r="F1032" i="114" s="1"/>
  <c r="G1032" i="114" a="1"/>
  <c r="G1032" i="114" s="1"/>
  <c r="I1032" i="114" s="1"/>
  <c r="H1032" i="114" a="1"/>
  <c r="H1032" i="114" s="1"/>
  <c r="F1033" i="114" a="1"/>
  <c r="F1033" i="114" s="1"/>
  <c r="G1033" i="114" a="1"/>
  <c r="G1033" i="114" s="1"/>
  <c r="I1033" i="114" s="1"/>
  <c r="H1033" i="114" a="1"/>
  <c r="H1033" i="114" s="1"/>
  <c r="F1034" i="114" a="1"/>
  <c r="F1034" i="114" s="1"/>
  <c r="G1034" i="114" a="1"/>
  <c r="G1034" i="114" s="1"/>
  <c r="I1034" i="114" s="1"/>
  <c r="H1034" i="114" a="1"/>
  <c r="H1034" i="114" s="1"/>
  <c r="F1035" i="114" a="1"/>
  <c r="F1035" i="114" s="1"/>
  <c r="G1035" i="114" a="1"/>
  <c r="G1035" i="114" s="1"/>
  <c r="I1035" i="114" s="1"/>
  <c r="H1035" i="114" a="1"/>
  <c r="H1035" i="114" s="1"/>
  <c r="H1036" i="114" a="1"/>
  <c r="H1036" i="114" s="1"/>
  <c r="F1038" i="114" a="1"/>
  <c r="F1038" i="114" s="1"/>
  <c r="G1038" i="114" a="1"/>
  <c r="G1038" i="114" s="1"/>
  <c r="I1038" i="114" s="1"/>
  <c r="H1038" i="114" a="1"/>
  <c r="H1038" i="114" s="1"/>
  <c r="F1039" i="114" a="1"/>
  <c r="F1039" i="114" s="1"/>
  <c r="G1039" i="114" a="1"/>
  <c r="G1039" i="114" s="1"/>
  <c r="I1039" i="114" s="1"/>
  <c r="H1039" i="114" a="1"/>
  <c r="H1039" i="114" s="1"/>
  <c r="F1040" i="114" a="1"/>
  <c r="F1040" i="114" s="1"/>
  <c r="G1040" i="114" a="1"/>
  <c r="G1040" i="114" s="1"/>
  <c r="I1040" i="114" s="1"/>
  <c r="H1040" i="114" a="1"/>
  <c r="H1040" i="114" s="1"/>
  <c r="F1041" i="114" a="1"/>
  <c r="F1041" i="114" s="1"/>
  <c r="G1041" i="114" a="1"/>
  <c r="G1041" i="114" s="1"/>
  <c r="I1041" i="114" s="1"/>
  <c r="H1041" i="114" a="1"/>
  <c r="H1041" i="114" s="1"/>
  <c r="F1042" i="114" a="1"/>
  <c r="F1042" i="114" s="1"/>
  <c r="G1042" i="114" a="1"/>
  <c r="G1042" i="114" s="1"/>
  <c r="I1042" i="114" s="1"/>
  <c r="H1042" i="114" a="1"/>
  <c r="H1042" i="114" s="1"/>
  <c r="F1043" i="114" a="1"/>
  <c r="F1043" i="114" s="1"/>
  <c r="G1043" i="114" a="1"/>
  <c r="G1043" i="114" s="1"/>
  <c r="I1043" i="114" s="1"/>
  <c r="H1043" i="114" a="1"/>
  <c r="H1043" i="114" s="1"/>
  <c r="F1044" i="114" a="1"/>
  <c r="F1044" i="114" s="1"/>
  <c r="G1044" i="114" a="1"/>
  <c r="G1044" i="114" s="1"/>
  <c r="I1044" i="114" s="1"/>
  <c r="H1044" i="114" a="1"/>
  <c r="H1044" i="114" s="1"/>
  <c r="H1045" i="114" a="1"/>
  <c r="H1045" i="114" s="1"/>
  <c r="F1047" i="114" a="1"/>
  <c r="F1047" i="114" s="1"/>
  <c r="G1047" i="114" a="1"/>
  <c r="G1047" i="114" s="1"/>
  <c r="I1047" i="114" s="1"/>
  <c r="H1047" i="114" a="1"/>
  <c r="H1047" i="114" s="1"/>
  <c r="F1048" i="114" a="1"/>
  <c r="F1048" i="114" s="1"/>
  <c r="G1048" i="114" a="1"/>
  <c r="G1048" i="114" s="1"/>
  <c r="I1048" i="114" s="1"/>
  <c r="H1048" i="114" a="1"/>
  <c r="H1048" i="114" s="1"/>
  <c r="F1049" i="114" a="1"/>
  <c r="F1049" i="114" s="1"/>
  <c r="G1049" i="114" a="1"/>
  <c r="G1049" i="114" s="1"/>
  <c r="I1049" i="114" s="1"/>
  <c r="H1049" i="114" a="1"/>
  <c r="H1049" i="114" s="1"/>
  <c r="F1050" i="114" a="1"/>
  <c r="F1050" i="114" s="1"/>
  <c r="G1050" i="114" a="1"/>
  <c r="G1050" i="114" s="1"/>
  <c r="I1050" i="114" s="1"/>
  <c r="H1050" i="114" a="1"/>
  <c r="H1050" i="114" s="1"/>
  <c r="F1051" i="114" a="1"/>
  <c r="F1051" i="114" s="1"/>
  <c r="G1051" i="114" a="1"/>
  <c r="G1051" i="114" s="1"/>
  <c r="I1051" i="114" s="1"/>
  <c r="H1051" i="114" a="1"/>
  <c r="H1051" i="114" s="1"/>
  <c r="F1052" i="114" a="1"/>
  <c r="F1052" i="114" s="1"/>
  <c r="G1052" i="114" a="1"/>
  <c r="G1052" i="114" s="1"/>
  <c r="I1052" i="114" s="1"/>
  <c r="H1052" i="114" a="1"/>
  <c r="H1052" i="114" s="1"/>
  <c r="F1053" i="114" a="1"/>
  <c r="F1053" i="114" s="1"/>
  <c r="G1053" i="114" a="1"/>
  <c r="G1053" i="114" s="1"/>
  <c r="I1053" i="114" s="1"/>
  <c r="H1053" i="114" a="1"/>
  <c r="H1053" i="114" s="1"/>
  <c r="H1054" i="114" a="1"/>
  <c r="H1054" i="114" s="1"/>
  <c r="F1056" i="114" a="1"/>
  <c r="F1056" i="114" s="1"/>
  <c r="G1056" i="114" a="1"/>
  <c r="G1056" i="114" s="1"/>
  <c r="I1056" i="114" s="1"/>
  <c r="H1056" i="114" a="1"/>
  <c r="H1056" i="114" s="1"/>
  <c r="F1057" i="114" a="1"/>
  <c r="F1057" i="114" s="1"/>
  <c r="G1057" i="114" a="1"/>
  <c r="G1057" i="114" s="1"/>
  <c r="I1057" i="114" s="1"/>
  <c r="H1057" i="114" a="1"/>
  <c r="H1057" i="114" s="1"/>
  <c r="F1058" i="114" a="1"/>
  <c r="F1058" i="114" s="1"/>
  <c r="G1058" i="114" a="1"/>
  <c r="G1058" i="114" s="1"/>
  <c r="I1058" i="114" s="1"/>
  <c r="H1058" i="114" a="1"/>
  <c r="H1058" i="114" s="1"/>
  <c r="F1059" i="114" a="1"/>
  <c r="F1059" i="114" s="1"/>
  <c r="G1059" i="114" a="1"/>
  <c r="G1059" i="114" s="1"/>
  <c r="I1059" i="114" s="1"/>
  <c r="H1059" i="114" a="1"/>
  <c r="H1059" i="114" s="1"/>
  <c r="F1060" i="114" a="1"/>
  <c r="F1060" i="114" s="1"/>
  <c r="G1060" i="114" a="1"/>
  <c r="G1060" i="114" s="1"/>
  <c r="I1060" i="114" s="1"/>
  <c r="H1060" i="114" a="1"/>
  <c r="H1060" i="114" s="1"/>
  <c r="F1061" i="114" a="1"/>
  <c r="F1061" i="114" s="1"/>
  <c r="G1061" i="114" a="1"/>
  <c r="G1061" i="114" s="1"/>
  <c r="I1061" i="114" s="1"/>
  <c r="H1061" i="114" a="1"/>
  <c r="H1061" i="114" s="1"/>
  <c r="F1062" i="114" a="1"/>
  <c r="F1062" i="114" s="1"/>
  <c r="G1062" i="114" a="1"/>
  <c r="G1062" i="114" s="1"/>
  <c r="I1062" i="114" s="1"/>
  <c r="H1062" i="114" a="1"/>
  <c r="H1062" i="114" s="1"/>
  <c r="H1063" i="114" a="1"/>
  <c r="H1063" i="114" s="1"/>
  <c r="F1065" i="114" a="1"/>
  <c r="F1065" i="114" s="1"/>
  <c r="G1065" i="114" a="1"/>
  <c r="G1065" i="114" s="1"/>
  <c r="I1065" i="114" s="1"/>
  <c r="H1065" i="114" a="1"/>
  <c r="H1065" i="114" s="1"/>
  <c r="F1066" i="114" a="1"/>
  <c r="F1066" i="114" s="1"/>
  <c r="G1066" i="114" a="1"/>
  <c r="G1066" i="114" s="1"/>
  <c r="I1066" i="114" s="1"/>
  <c r="H1066" i="114" a="1"/>
  <c r="H1066" i="114" s="1"/>
  <c r="F1067" i="114" a="1"/>
  <c r="F1067" i="114" s="1"/>
  <c r="G1067" i="114" a="1"/>
  <c r="G1067" i="114" s="1"/>
  <c r="I1067" i="114" s="1"/>
  <c r="H1067" i="114" a="1"/>
  <c r="H1067" i="114" s="1"/>
  <c r="F1068" i="114" a="1"/>
  <c r="F1068" i="114" s="1"/>
  <c r="G1068" i="114" a="1"/>
  <c r="G1068" i="114" s="1"/>
  <c r="I1068" i="114" s="1"/>
  <c r="H1068" i="114" a="1"/>
  <c r="H1068" i="114" s="1"/>
  <c r="F1069" i="114" a="1"/>
  <c r="F1069" i="114" s="1"/>
  <c r="G1069" i="114" a="1"/>
  <c r="G1069" i="114" s="1"/>
  <c r="I1069" i="114" s="1"/>
  <c r="H1069" i="114" a="1"/>
  <c r="H1069" i="114" s="1"/>
  <c r="F1070" i="114" a="1"/>
  <c r="F1070" i="114" s="1"/>
  <c r="G1070" i="114" a="1"/>
  <c r="G1070" i="114" s="1"/>
  <c r="I1070" i="114" s="1"/>
  <c r="H1070" i="114" a="1"/>
  <c r="H1070" i="114" s="1"/>
  <c r="F1071" i="114" a="1"/>
  <c r="F1071" i="114" s="1"/>
  <c r="G1071" i="114" a="1"/>
  <c r="G1071" i="114" s="1"/>
  <c r="I1071" i="114" s="1"/>
  <c r="H1071" i="114" a="1"/>
  <c r="H1071" i="114" s="1"/>
  <c r="H1072" i="114" a="1"/>
  <c r="H1072" i="114" s="1"/>
  <c r="F1074" i="114" a="1"/>
  <c r="F1074" i="114" s="1"/>
  <c r="G1074" i="114" a="1"/>
  <c r="G1074" i="114" s="1"/>
  <c r="I1074" i="114" s="1"/>
  <c r="H1074" i="114" a="1"/>
  <c r="H1074" i="114" s="1"/>
  <c r="F1075" i="114" a="1"/>
  <c r="F1075" i="114" s="1"/>
  <c r="G1075" i="114" a="1"/>
  <c r="G1075" i="114" s="1"/>
  <c r="I1075" i="114" s="1"/>
  <c r="H1075" i="114" a="1"/>
  <c r="H1075" i="114" s="1"/>
  <c r="F1076" i="114" a="1"/>
  <c r="F1076" i="114" s="1"/>
  <c r="G1076" i="114" a="1"/>
  <c r="G1076" i="114" s="1"/>
  <c r="I1076" i="114" s="1"/>
  <c r="H1076" i="114" a="1"/>
  <c r="H1076" i="114" s="1"/>
  <c r="F1077" i="114" a="1"/>
  <c r="F1077" i="114" s="1"/>
  <c r="G1077" i="114" a="1"/>
  <c r="G1077" i="114" s="1"/>
  <c r="I1077" i="114" s="1"/>
  <c r="H1077" i="114" a="1"/>
  <c r="H1077" i="114" s="1"/>
  <c r="F1078" i="114" a="1"/>
  <c r="F1078" i="114" s="1"/>
  <c r="G1078" i="114" a="1"/>
  <c r="G1078" i="114" s="1"/>
  <c r="I1078" i="114" s="1"/>
  <c r="H1078" i="114" a="1"/>
  <c r="H1078" i="114" s="1"/>
  <c r="F1079" i="114" a="1"/>
  <c r="F1079" i="114" s="1"/>
  <c r="G1079" i="114" a="1"/>
  <c r="G1079" i="114" s="1"/>
  <c r="I1079" i="114" s="1"/>
  <c r="H1079" i="114" a="1"/>
  <c r="H1079" i="114" s="1"/>
  <c r="F1080" i="114" a="1"/>
  <c r="F1080" i="114" s="1"/>
  <c r="G1080" i="114" a="1"/>
  <c r="G1080" i="114" s="1"/>
  <c r="I1080" i="114" s="1"/>
  <c r="H1080" i="114" a="1"/>
  <c r="H1080" i="114" s="1"/>
  <c r="H1081" i="114" a="1"/>
  <c r="H1081" i="114" s="1"/>
  <c r="F1083" i="114" a="1"/>
  <c r="F1083" i="114" s="1"/>
  <c r="G1083" i="114" a="1"/>
  <c r="G1083" i="114" s="1"/>
  <c r="I1083" i="114" s="1"/>
  <c r="H1083" i="114" a="1"/>
  <c r="H1083" i="114" s="1"/>
  <c r="F1084" i="114" a="1"/>
  <c r="F1084" i="114" s="1"/>
  <c r="G1084" i="114" a="1"/>
  <c r="G1084" i="114" s="1"/>
  <c r="I1084" i="114" s="1"/>
  <c r="H1084" i="114" a="1"/>
  <c r="H1084" i="114" s="1"/>
  <c r="F1085" i="114" a="1"/>
  <c r="F1085" i="114" s="1"/>
  <c r="G1085" i="114" a="1"/>
  <c r="G1085" i="114" s="1"/>
  <c r="I1085" i="114" s="1"/>
  <c r="H1085" i="114" a="1"/>
  <c r="H1085" i="114" s="1"/>
  <c r="F1086" i="114" a="1"/>
  <c r="F1086" i="114" s="1"/>
  <c r="G1086" i="114" a="1"/>
  <c r="G1086" i="114" s="1"/>
  <c r="I1086" i="114" s="1"/>
  <c r="H1086" i="114" a="1"/>
  <c r="H1086" i="114" s="1"/>
  <c r="F1087" i="114" a="1"/>
  <c r="F1087" i="114" s="1"/>
  <c r="G1087" i="114" a="1"/>
  <c r="G1087" i="114" s="1"/>
  <c r="I1087" i="114" s="1"/>
  <c r="H1087" i="114" a="1"/>
  <c r="H1087" i="114" s="1"/>
  <c r="F1088" i="114" a="1"/>
  <c r="F1088" i="114" s="1"/>
  <c r="G1088" i="114" a="1"/>
  <c r="G1088" i="114" s="1"/>
  <c r="I1088" i="114" s="1"/>
  <c r="H1088" i="114" a="1"/>
  <c r="H1088" i="114" s="1"/>
  <c r="F1089" i="114" a="1"/>
  <c r="F1089" i="114" s="1"/>
  <c r="G1089" i="114" a="1"/>
  <c r="G1089" i="114" s="1"/>
  <c r="I1089" i="114" s="1"/>
  <c r="H1089" i="114" a="1"/>
  <c r="H1089" i="114" s="1"/>
  <c r="H1090" i="114" a="1"/>
  <c r="H1090" i="114" s="1"/>
  <c r="F1092" i="114" a="1"/>
  <c r="F1092" i="114" s="1"/>
  <c r="G1092" i="114" a="1"/>
  <c r="G1092" i="114" s="1"/>
  <c r="I1092" i="114" s="1"/>
  <c r="H1092" i="114" a="1"/>
  <c r="H1092" i="114" s="1"/>
  <c r="F1093" i="114" a="1"/>
  <c r="F1093" i="114" s="1"/>
  <c r="G1093" i="114" a="1"/>
  <c r="G1093" i="114" s="1"/>
  <c r="I1093" i="114" s="1"/>
  <c r="H1093" i="114" a="1"/>
  <c r="H1093" i="114" s="1"/>
  <c r="F1094" i="114" a="1"/>
  <c r="F1094" i="114" s="1"/>
  <c r="G1094" i="114" a="1"/>
  <c r="G1094" i="114" s="1"/>
  <c r="I1094" i="114" s="1"/>
  <c r="H1094" i="114" a="1"/>
  <c r="H1094" i="114" s="1"/>
  <c r="F1095" i="114" a="1"/>
  <c r="F1095" i="114" s="1"/>
  <c r="G1095" i="114" a="1"/>
  <c r="G1095" i="114" s="1"/>
  <c r="I1095" i="114" s="1"/>
  <c r="H1095" i="114" a="1"/>
  <c r="H1095" i="114" s="1"/>
  <c r="F1096" i="114" a="1"/>
  <c r="F1096" i="114" s="1"/>
  <c r="G1096" i="114" a="1"/>
  <c r="G1096" i="114" s="1"/>
  <c r="I1096" i="114" s="1"/>
  <c r="H1096" i="114" a="1"/>
  <c r="H1096" i="114" s="1"/>
  <c r="F1097" i="114" a="1"/>
  <c r="F1097" i="114" s="1"/>
  <c r="G1097" i="114" a="1"/>
  <c r="G1097" i="114" s="1"/>
  <c r="I1097" i="114" s="1"/>
  <c r="H1097" i="114" a="1"/>
  <c r="H1097" i="114" s="1"/>
  <c r="F1098" i="114" a="1"/>
  <c r="F1098" i="114" s="1"/>
  <c r="G1098" i="114" a="1"/>
  <c r="G1098" i="114" s="1"/>
  <c r="I1098" i="114" s="1"/>
  <c r="H1098" i="114" a="1"/>
  <c r="H1098" i="114" s="1"/>
  <c r="H1099" i="114" a="1"/>
  <c r="H1099" i="114" s="1"/>
  <c r="F1101" i="114" a="1"/>
  <c r="F1101" i="114" s="1"/>
  <c r="G1101" i="114" a="1"/>
  <c r="G1101" i="114" s="1"/>
  <c r="I1101" i="114" s="1"/>
  <c r="H1101" i="114" a="1"/>
  <c r="H1101" i="114" s="1"/>
  <c r="F1102" i="114" a="1"/>
  <c r="F1102" i="114" s="1"/>
  <c r="G1102" i="114" a="1"/>
  <c r="G1102" i="114" s="1"/>
  <c r="I1102" i="114" s="1"/>
  <c r="H1102" i="114" a="1"/>
  <c r="H1102" i="114" s="1"/>
  <c r="F1103" i="114" a="1"/>
  <c r="F1103" i="114" s="1"/>
  <c r="G1103" i="114" a="1"/>
  <c r="G1103" i="114" s="1"/>
  <c r="I1103" i="114" s="1"/>
  <c r="H1103" i="114" a="1"/>
  <c r="H1103" i="114" s="1"/>
  <c r="F1104" i="114" a="1"/>
  <c r="F1104" i="114" s="1"/>
  <c r="G1104" i="114" a="1"/>
  <c r="G1104" i="114" s="1"/>
  <c r="I1104" i="114" s="1"/>
  <c r="H1104" i="114" a="1"/>
  <c r="H1104" i="114" s="1"/>
  <c r="F1105" i="114" a="1"/>
  <c r="F1105" i="114" s="1"/>
  <c r="G1105" i="114" a="1"/>
  <c r="G1105" i="114" s="1"/>
  <c r="I1105" i="114" s="1"/>
  <c r="H1105" i="114" a="1"/>
  <c r="H1105" i="114" s="1"/>
  <c r="F1106" i="114" a="1"/>
  <c r="F1106" i="114" s="1"/>
  <c r="G1106" i="114" a="1"/>
  <c r="G1106" i="114" s="1"/>
  <c r="I1106" i="114" s="1"/>
  <c r="H1106" i="114" a="1"/>
  <c r="H1106" i="114" s="1"/>
  <c r="F1107" i="114" a="1"/>
  <c r="F1107" i="114" s="1"/>
  <c r="G1107" i="114" a="1"/>
  <c r="G1107" i="114" s="1"/>
  <c r="I1107" i="114" s="1"/>
  <c r="H1107" i="114" a="1"/>
  <c r="H1107" i="114" s="1"/>
  <c r="H1108" i="114" a="1"/>
  <c r="H1108" i="114" s="1"/>
  <c r="F1110" i="114" a="1"/>
  <c r="F1110" i="114" s="1"/>
  <c r="G1110" i="114" a="1"/>
  <c r="G1110" i="114" s="1"/>
  <c r="I1110" i="114" s="1"/>
  <c r="H1110" i="114" a="1"/>
  <c r="H1110" i="114" s="1"/>
  <c r="F1111" i="114" a="1"/>
  <c r="F1111" i="114" s="1"/>
  <c r="G1111" i="114" a="1"/>
  <c r="G1111" i="114" s="1"/>
  <c r="I1111" i="114" s="1"/>
  <c r="H1111" i="114" a="1"/>
  <c r="H1111" i="114" s="1"/>
  <c r="F1112" i="114" a="1"/>
  <c r="F1112" i="114" s="1"/>
  <c r="G1112" i="114" a="1"/>
  <c r="G1112" i="114" s="1"/>
  <c r="I1112" i="114" s="1"/>
  <c r="H1112" i="114" a="1"/>
  <c r="H1112" i="114" s="1"/>
  <c r="F1113" i="114" a="1"/>
  <c r="F1113" i="114" s="1"/>
  <c r="G1113" i="114" a="1"/>
  <c r="G1113" i="114" s="1"/>
  <c r="I1113" i="114" s="1"/>
  <c r="H1113" i="114" a="1"/>
  <c r="H1113" i="114" s="1"/>
  <c r="F1114" i="114" a="1"/>
  <c r="F1114" i="114" s="1"/>
  <c r="G1114" i="114" a="1"/>
  <c r="G1114" i="114" s="1"/>
  <c r="I1114" i="114" s="1"/>
  <c r="H1114" i="114" a="1"/>
  <c r="H1114" i="114" s="1"/>
  <c r="F1115" i="114" a="1"/>
  <c r="F1115" i="114" s="1"/>
  <c r="G1115" i="114" a="1"/>
  <c r="G1115" i="114" s="1"/>
  <c r="I1115" i="114" s="1"/>
  <c r="H1115" i="114" a="1"/>
  <c r="H1115" i="114" s="1"/>
  <c r="F1116" i="114" a="1"/>
  <c r="F1116" i="114" s="1"/>
  <c r="G1116" i="114" a="1"/>
  <c r="G1116" i="114" s="1"/>
  <c r="I1116" i="114" s="1"/>
  <c r="H1116" i="114" a="1"/>
  <c r="H1116" i="114" s="1"/>
  <c r="H1117" i="114" a="1"/>
  <c r="H1117" i="114" s="1"/>
  <c r="F1119" i="114" a="1"/>
  <c r="F1119" i="114" s="1"/>
  <c r="G1119" i="114" a="1"/>
  <c r="G1119" i="114" s="1"/>
  <c r="I1119" i="114" s="1"/>
  <c r="H1119" i="114" a="1"/>
  <c r="H1119" i="114" s="1"/>
  <c r="F1120" i="114" a="1"/>
  <c r="F1120" i="114" s="1"/>
  <c r="G1120" i="114" a="1"/>
  <c r="G1120" i="114" s="1"/>
  <c r="I1120" i="114" s="1"/>
  <c r="H1120" i="114" a="1"/>
  <c r="H1120" i="114" s="1"/>
  <c r="F1121" i="114" a="1"/>
  <c r="F1121" i="114" s="1"/>
  <c r="G1121" i="114" a="1"/>
  <c r="G1121" i="114" s="1"/>
  <c r="I1121" i="114" s="1"/>
  <c r="H1121" i="114" a="1"/>
  <c r="H1121" i="114" s="1"/>
  <c r="F1122" i="114" a="1"/>
  <c r="F1122" i="114" s="1"/>
  <c r="G1122" i="114" a="1"/>
  <c r="G1122" i="114" s="1"/>
  <c r="I1122" i="114" s="1"/>
  <c r="H1122" i="114" a="1"/>
  <c r="H1122" i="114" s="1"/>
  <c r="F1123" i="114" a="1"/>
  <c r="F1123" i="114" s="1"/>
  <c r="G1123" i="114" a="1"/>
  <c r="G1123" i="114" s="1"/>
  <c r="I1123" i="114" s="1"/>
  <c r="H1123" i="114" a="1"/>
  <c r="H1123" i="114" s="1"/>
  <c r="F1124" i="114" a="1"/>
  <c r="F1124" i="114" s="1"/>
  <c r="G1124" i="114" a="1"/>
  <c r="G1124" i="114" s="1"/>
  <c r="I1124" i="114" s="1"/>
  <c r="H1124" i="114" a="1"/>
  <c r="H1124" i="114" s="1"/>
  <c r="F1125" i="114" a="1"/>
  <c r="F1125" i="114" s="1"/>
  <c r="G1125" i="114" a="1"/>
  <c r="G1125" i="114" s="1"/>
  <c r="I1125" i="114" s="1"/>
  <c r="H1125" i="114" a="1"/>
  <c r="H1125" i="114" s="1"/>
  <c r="H1126" i="114" a="1"/>
  <c r="H1126" i="114" s="1"/>
  <c r="F1128" i="114" a="1"/>
  <c r="F1128" i="114" s="1"/>
  <c r="G1128" i="114" a="1"/>
  <c r="G1128" i="114" s="1"/>
  <c r="I1128" i="114" s="1"/>
  <c r="H1128" i="114" a="1"/>
  <c r="H1128" i="114" s="1"/>
  <c r="F1129" i="114" a="1"/>
  <c r="F1129" i="114" s="1"/>
  <c r="G1129" i="114" a="1"/>
  <c r="G1129" i="114" s="1"/>
  <c r="I1129" i="114" s="1"/>
  <c r="H1129" i="114" a="1"/>
  <c r="H1129" i="114" s="1"/>
  <c r="F1130" i="114" a="1"/>
  <c r="F1130" i="114" s="1"/>
  <c r="G1130" i="114" a="1"/>
  <c r="G1130" i="114" s="1"/>
  <c r="I1130" i="114" s="1"/>
  <c r="H1130" i="114" a="1"/>
  <c r="H1130" i="114" s="1"/>
  <c r="F1131" i="114" a="1"/>
  <c r="F1131" i="114" s="1"/>
  <c r="G1131" i="114" a="1"/>
  <c r="G1131" i="114" s="1"/>
  <c r="I1131" i="114" s="1"/>
  <c r="H1131" i="114" a="1"/>
  <c r="H1131" i="114" s="1"/>
  <c r="F1132" i="114" a="1"/>
  <c r="F1132" i="114" s="1"/>
  <c r="G1132" i="114" a="1"/>
  <c r="G1132" i="114" s="1"/>
  <c r="I1132" i="114" s="1"/>
  <c r="H1132" i="114" a="1"/>
  <c r="H1132" i="114" s="1"/>
  <c r="F1133" i="114" a="1"/>
  <c r="F1133" i="114" s="1"/>
  <c r="G1133" i="114" a="1"/>
  <c r="G1133" i="114" s="1"/>
  <c r="I1133" i="114" s="1"/>
  <c r="H1133" i="114" a="1"/>
  <c r="H1133" i="114" s="1"/>
  <c r="F1134" i="114" a="1"/>
  <c r="F1134" i="114" s="1"/>
  <c r="G1134" i="114" a="1"/>
  <c r="G1134" i="114" s="1"/>
  <c r="I1134" i="114" s="1"/>
  <c r="H1134" i="114" a="1"/>
  <c r="H1134" i="114" s="1"/>
  <c r="H1135" i="114" a="1"/>
  <c r="H1135" i="114" s="1"/>
  <c r="F1137" i="114" a="1"/>
  <c r="F1137" i="114" s="1"/>
  <c r="G1137" i="114" a="1"/>
  <c r="G1137" i="114" s="1"/>
  <c r="I1137" i="114" s="1"/>
  <c r="H1137" i="114" a="1"/>
  <c r="H1137" i="114" s="1"/>
  <c r="F1138" i="114" a="1"/>
  <c r="F1138" i="114" s="1"/>
  <c r="G1138" i="114" a="1"/>
  <c r="G1138" i="114" s="1"/>
  <c r="I1138" i="114" s="1"/>
  <c r="H1138" i="114" a="1"/>
  <c r="H1138" i="114" s="1"/>
  <c r="F1139" i="114" a="1"/>
  <c r="F1139" i="114" s="1"/>
  <c r="G1139" i="114" a="1"/>
  <c r="G1139" i="114" s="1"/>
  <c r="I1139" i="114" s="1"/>
  <c r="H1139" i="114" a="1"/>
  <c r="H1139" i="114" s="1"/>
  <c r="F1140" i="114" a="1"/>
  <c r="F1140" i="114" s="1"/>
  <c r="G1140" i="114" a="1"/>
  <c r="G1140" i="114" s="1"/>
  <c r="I1140" i="114" s="1"/>
  <c r="H1140" i="114" a="1"/>
  <c r="H1140" i="114" s="1"/>
  <c r="F1141" i="114" a="1"/>
  <c r="F1141" i="114" s="1"/>
  <c r="G1141" i="114" a="1"/>
  <c r="G1141" i="114" s="1"/>
  <c r="I1141" i="114" s="1"/>
  <c r="H1141" i="114" a="1"/>
  <c r="H1141" i="114" s="1"/>
  <c r="F1142" i="114" a="1"/>
  <c r="F1142" i="114" s="1"/>
  <c r="G1142" i="114" a="1"/>
  <c r="G1142" i="114" s="1"/>
  <c r="I1142" i="114" s="1"/>
  <c r="H1142" i="114" a="1"/>
  <c r="H1142" i="114" s="1"/>
  <c r="F1143" i="114" a="1"/>
  <c r="F1143" i="114" s="1"/>
  <c r="G1143" i="114" a="1"/>
  <c r="G1143" i="114" s="1"/>
  <c r="I1143" i="114" s="1"/>
  <c r="H1143" i="114" a="1"/>
  <c r="H1143" i="114" s="1"/>
  <c r="H1144" i="114" a="1"/>
  <c r="H1144" i="114" s="1"/>
  <c r="F1146" i="114" a="1"/>
  <c r="F1146" i="114" s="1"/>
  <c r="G1146" i="114" a="1"/>
  <c r="G1146" i="114" s="1"/>
  <c r="I1146" i="114" s="1"/>
  <c r="H1146" i="114" a="1"/>
  <c r="H1146" i="114" s="1"/>
  <c r="F1147" i="114" a="1"/>
  <c r="F1147" i="114" s="1"/>
  <c r="G1147" i="114" a="1"/>
  <c r="G1147" i="114" s="1"/>
  <c r="I1147" i="114" s="1"/>
  <c r="H1147" i="114" a="1"/>
  <c r="H1147" i="114" s="1"/>
  <c r="F1148" i="114" a="1"/>
  <c r="F1148" i="114" s="1"/>
  <c r="G1148" i="114" a="1"/>
  <c r="G1148" i="114" s="1"/>
  <c r="I1148" i="114" s="1"/>
  <c r="H1148" i="114" a="1"/>
  <c r="H1148" i="114" s="1"/>
  <c r="F1149" i="114" a="1"/>
  <c r="F1149" i="114" s="1"/>
  <c r="G1149" i="114" a="1"/>
  <c r="G1149" i="114" s="1"/>
  <c r="I1149" i="114" s="1"/>
  <c r="H1149" i="114" a="1"/>
  <c r="H1149" i="114" s="1"/>
  <c r="F1150" i="114" a="1"/>
  <c r="F1150" i="114" s="1"/>
  <c r="G1150" i="114" a="1"/>
  <c r="G1150" i="114" s="1"/>
  <c r="I1150" i="114" s="1"/>
  <c r="H1150" i="114" a="1"/>
  <c r="H1150" i="114" s="1"/>
  <c r="F1151" i="114" a="1"/>
  <c r="F1151" i="114" s="1"/>
  <c r="G1151" i="114" a="1"/>
  <c r="G1151" i="114" s="1"/>
  <c r="I1151" i="114" s="1"/>
  <c r="H1151" i="114" a="1"/>
  <c r="H1151" i="114" s="1"/>
  <c r="F1152" i="114" a="1"/>
  <c r="F1152" i="114" s="1"/>
  <c r="G1152" i="114" a="1"/>
  <c r="G1152" i="114" s="1"/>
  <c r="I1152" i="114" s="1"/>
  <c r="H1152" i="114" a="1"/>
  <c r="H1152" i="114" s="1"/>
  <c r="H1153" i="114" a="1"/>
  <c r="H1153" i="114" s="1"/>
  <c r="F1155" i="114" a="1"/>
  <c r="F1155" i="114" s="1"/>
  <c r="G1155" i="114" a="1"/>
  <c r="G1155" i="114" s="1"/>
  <c r="I1155" i="114" s="1"/>
  <c r="H1155" i="114" a="1"/>
  <c r="H1155" i="114" s="1"/>
  <c r="F1156" i="114" a="1"/>
  <c r="F1156" i="114" s="1"/>
  <c r="G1156" i="114" a="1"/>
  <c r="G1156" i="114" s="1"/>
  <c r="I1156" i="114" s="1"/>
  <c r="H1156" i="114" a="1"/>
  <c r="H1156" i="114" s="1"/>
  <c r="F1157" i="114" a="1"/>
  <c r="F1157" i="114" s="1"/>
  <c r="G1157" i="114" a="1"/>
  <c r="G1157" i="114" s="1"/>
  <c r="I1157" i="114" s="1"/>
  <c r="H1157" i="114" a="1"/>
  <c r="H1157" i="114" s="1"/>
  <c r="F1158" i="114" a="1"/>
  <c r="F1158" i="114" s="1"/>
  <c r="G1158" i="114" a="1"/>
  <c r="G1158" i="114" s="1"/>
  <c r="I1158" i="114" s="1"/>
  <c r="H1158" i="114" a="1"/>
  <c r="H1158" i="114" s="1"/>
  <c r="F1159" i="114" a="1"/>
  <c r="F1159" i="114" s="1"/>
  <c r="G1159" i="114" a="1"/>
  <c r="G1159" i="114" s="1"/>
  <c r="I1159" i="114" s="1"/>
  <c r="H1159" i="114" a="1"/>
  <c r="H1159" i="114" s="1"/>
  <c r="F1160" i="114" a="1"/>
  <c r="F1160" i="114" s="1"/>
  <c r="G1160" i="114" a="1"/>
  <c r="G1160" i="114" s="1"/>
  <c r="I1160" i="114" s="1"/>
  <c r="H1160" i="114" a="1"/>
  <c r="H1160" i="114" s="1"/>
  <c r="F1161" i="114" a="1"/>
  <c r="F1161" i="114" s="1"/>
  <c r="G1161" i="114" a="1"/>
  <c r="G1161" i="114" s="1"/>
  <c r="I1161" i="114" s="1"/>
  <c r="H1161" i="114" a="1"/>
  <c r="H1161" i="114" s="1"/>
  <c r="H1162" i="114" a="1"/>
  <c r="H1162" i="114" s="1"/>
  <c r="F1164" i="114" a="1"/>
  <c r="F1164" i="114" s="1"/>
  <c r="G1164" i="114" a="1"/>
  <c r="G1164" i="114" s="1"/>
  <c r="I1164" i="114" s="1"/>
  <c r="H1164" i="114" a="1"/>
  <c r="H1164" i="114" s="1"/>
  <c r="F1165" i="114" a="1"/>
  <c r="F1165" i="114" s="1"/>
  <c r="G1165" i="114" a="1"/>
  <c r="G1165" i="114" s="1"/>
  <c r="I1165" i="114" s="1"/>
  <c r="H1165" i="114" a="1"/>
  <c r="H1165" i="114" s="1"/>
  <c r="F1166" i="114" a="1"/>
  <c r="F1166" i="114" s="1"/>
  <c r="G1166" i="114" a="1"/>
  <c r="G1166" i="114" s="1"/>
  <c r="I1166" i="114" s="1"/>
  <c r="H1166" i="114" a="1"/>
  <c r="H1166" i="114" s="1"/>
  <c r="F1167" i="114" a="1"/>
  <c r="F1167" i="114" s="1"/>
  <c r="G1167" i="114" a="1"/>
  <c r="G1167" i="114" s="1"/>
  <c r="I1167" i="114" s="1"/>
  <c r="H1167" i="114" a="1"/>
  <c r="H1167" i="114" s="1"/>
  <c r="F1168" i="114" a="1"/>
  <c r="F1168" i="114" s="1"/>
  <c r="G1168" i="114" a="1"/>
  <c r="G1168" i="114" s="1"/>
  <c r="I1168" i="114" s="1"/>
  <c r="H1168" i="114" a="1"/>
  <c r="H1168" i="114" s="1"/>
  <c r="F1169" i="114" a="1"/>
  <c r="F1169" i="114" s="1"/>
  <c r="G1169" i="114" a="1"/>
  <c r="G1169" i="114" s="1"/>
  <c r="I1169" i="114" s="1"/>
  <c r="H1169" i="114" a="1"/>
  <c r="H1169" i="114" s="1"/>
  <c r="F1170" i="114" a="1"/>
  <c r="F1170" i="114" s="1"/>
  <c r="G1170" i="114" a="1"/>
  <c r="G1170" i="114" s="1"/>
  <c r="I1170" i="114" s="1"/>
  <c r="H1170" i="114" a="1"/>
  <c r="H1170" i="114" s="1"/>
  <c r="H1171" i="114" a="1"/>
  <c r="H1171" i="114" s="1"/>
  <c r="F1173" i="114" a="1"/>
  <c r="F1173" i="114" s="1"/>
  <c r="G1173" i="114" a="1"/>
  <c r="G1173" i="114" s="1"/>
  <c r="I1173" i="114" s="1"/>
  <c r="H1173" i="114" a="1"/>
  <c r="H1173" i="114" s="1"/>
  <c r="F1174" i="114" a="1"/>
  <c r="F1174" i="114" s="1"/>
  <c r="G1174" i="114" a="1"/>
  <c r="G1174" i="114" s="1"/>
  <c r="I1174" i="114" s="1"/>
  <c r="H1174" i="114" a="1"/>
  <c r="H1174" i="114" s="1"/>
  <c r="F1175" i="114" a="1"/>
  <c r="F1175" i="114" s="1"/>
  <c r="G1175" i="114" a="1"/>
  <c r="G1175" i="114" s="1"/>
  <c r="I1175" i="114" s="1"/>
  <c r="H1175" i="114" a="1"/>
  <c r="H1175" i="114" s="1"/>
  <c r="F1176" i="114" a="1"/>
  <c r="F1176" i="114" s="1"/>
  <c r="G1176" i="114" a="1"/>
  <c r="G1176" i="114" s="1"/>
  <c r="I1176" i="114" s="1"/>
  <c r="H1176" i="114" a="1"/>
  <c r="H1176" i="114" s="1"/>
  <c r="F1177" i="114" a="1"/>
  <c r="F1177" i="114" s="1"/>
  <c r="G1177" i="114" a="1"/>
  <c r="G1177" i="114" s="1"/>
  <c r="I1177" i="114" s="1"/>
  <c r="H1177" i="114" a="1"/>
  <c r="H1177" i="114" s="1"/>
  <c r="F1178" i="114" a="1"/>
  <c r="F1178" i="114" s="1"/>
  <c r="G1178" i="114" a="1"/>
  <c r="G1178" i="114" s="1"/>
  <c r="I1178" i="114" s="1"/>
  <c r="H1178" i="114" a="1"/>
  <c r="H1178" i="114" s="1"/>
  <c r="F1179" i="114" a="1"/>
  <c r="F1179" i="114" s="1"/>
  <c r="G1179" i="114" a="1"/>
  <c r="G1179" i="114" s="1"/>
  <c r="I1179" i="114" s="1"/>
  <c r="H1179" i="114" a="1"/>
  <c r="H1179" i="114" s="1"/>
  <c r="H1180" i="114" a="1"/>
  <c r="H1180" i="114" s="1"/>
  <c r="F1182" i="114" a="1"/>
  <c r="F1182" i="114" s="1"/>
  <c r="G1182" i="114" a="1"/>
  <c r="G1182" i="114" s="1"/>
  <c r="I1182" i="114" s="1"/>
  <c r="H1182" i="114" a="1"/>
  <c r="H1182" i="114" s="1"/>
  <c r="F1183" i="114" a="1"/>
  <c r="F1183" i="114" s="1"/>
  <c r="G1183" i="114" a="1"/>
  <c r="G1183" i="114" s="1"/>
  <c r="I1183" i="114" s="1"/>
  <c r="H1183" i="114" a="1"/>
  <c r="H1183" i="114" s="1"/>
  <c r="F1184" i="114" a="1"/>
  <c r="F1184" i="114" s="1"/>
  <c r="G1184" i="114" a="1"/>
  <c r="G1184" i="114" s="1"/>
  <c r="I1184" i="114" s="1"/>
  <c r="H1184" i="114" a="1"/>
  <c r="H1184" i="114" s="1"/>
  <c r="F1185" i="114" a="1"/>
  <c r="F1185" i="114" s="1"/>
  <c r="G1185" i="114" a="1"/>
  <c r="G1185" i="114" s="1"/>
  <c r="I1185" i="114" s="1"/>
  <c r="H1185" i="114" a="1"/>
  <c r="H1185" i="114" s="1"/>
  <c r="F1186" i="114" a="1"/>
  <c r="F1186" i="114" s="1"/>
  <c r="G1186" i="114" a="1"/>
  <c r="G1186" i="114" s="1"/>
  <c r="I1186" i="114" s="1"/>
  <c r="H1186" i="114" a="1"/>
  <c r="H1186" i="114" s="1"/>
  <c r="F1187" i="114" a="1"/>
  <c r="F1187" i="114" s="1"/>
  <c r="G1187" i="114" a="1"/>
  <c r="G1187" i="114" s="1"/>
  <c r="I1187" i="114" s="1"/>
  <c r="H1187" i="114" a="1"/>
  <c r="H1187" i="114" s="1"/>
  <c r="F1188" i="114" a="1"/>
  <c r="F1188" i="114" s="1"/>
  <c r="G1188" i="114" a="1"/>
  <c r="G1188" i="114" s="1"/>
  <c r="I1188" i="114" s="1"/>
  <c r="H1188" i="114" a="1"/>
  <c r="H1188" i="114" s="1"/>
  <c r="H1189" i="114" a="1"/>
  <c r="H1189" i="114" s="1"/>
  <c r="F1191" i="114" a="1"/>
  <c r="F1191" i="114" s="1"/>
  <c r="G1191" i="114" a="1"/>
  <c r="G1191" i="114" s="1"/>
  <c r="I1191" i="114" s="1"/>
  <c r="H1191" i="114" a="1"/>
  <c r="H1191" i="114" s="1"/>
  <c r="F1192" i="114" a="1"/>
  <c r="F1192" i="114" s="1"/>
  <c r="G1192" i="114" a="1"/>
  <c r="G1192" i="114" s="1"/>
  <c r="I1192" i="114" s="1"/>
  <c r="H1192" i="114" a="1"/>
  <c r="H1192" i="114" s="1"/>
  <c r="F1193" i="114" a="1"/>
  <c r="F1193" i="114" s="1"/>
  <c r="G1193" i="114" a="1"/>
  <c r="G1193" i="114" s="1"/>
  <c r="I1193" i="114" s="1"/>
  <c r="H1193" i="114" a="1"/>
  <c r="H1193" i="114" s="1"/>
  <c r="F1194" i="114" a="1"/>
  <c r="F1194" i="114" s="1"/>
  <c r="G1194" i="114" a="1"/>
  <c r="G1194" i="114" s="1"/>
  <c r="I1194" i="114" s="1"/>
  <c r="H1194" i="114" a="1"/>
  <c r="H1194" i="114" s="1"/>
  <c r="F1195" i="114" a="1"/>
  <c r="F1195" i="114" s="1"/>
  <c r="G1195" i="114" a="1"/>
  <c r="G1195" i="114" s="1"/>
  <c r="I1195" i="114" s="1"/>
  <c r="H1195" i="114" a="1"/>
  <c r="H1195" i="114" s="1"/>
  <c r="F1196" i="114" a="1"/>
  <c r="F1196" i="114" s="1"/>
  <c r="G1196" i="114" a="1"/>
  <c r="G1196" i="114" s="1"/>
  <c r="I1196" i="114" s="1"/>
  <c r="H1196" i="114" a="1"/>
  <c r="H1196" i="114" s="1"/>
  <c r="F1197" i="114" a="1"/>
  <c r="F1197" i="114" s="1"/>
  <c r="G1197" i="114" a="1"/>
  <c r="G1197" i="114" s="1"/>
  <c r="I1197" i="114" s="1"/>
  <c r="H1197" i="114" a="1"/>
  <c r="H1197" i="114" s="1"/>
  <c r="H1198" i="114" a="1"/>
  <c r="H1198" i="114" s="1"/>
  <c r="F1200" i="114" a="1"/>
  <c r="F1200" i="114" s="1"/>
  <c r="G1200" i="114" a="1"/>
  <c r="G1200" i="114" s="1"/>
  <c r="I1200" i="114" s="1"/>
  <c r="H1200" i="114" a="1"/>
  <c r="H1200" i="114" s="1"/>
  <c r="F1201" i="114" a="1"/>
  <c r="F1201" i="114" s="1"/>
  <c r="G1201" i="114" a="1"/>
  <c r="G1201" i="114" s="1"/>
  <c r="I1201" i="114" s="1"/>
  <c r="H1201" i="114" a="1"/>
  <c r="H1201" i="114" s="1"/>
  <c r="F1202" i="114" a="1"/>
  <c r="F1202" i="114" s="1"/>
  <c r="G1202" i="114" a="1"/>
  <c r="G1202" i="114" s="1"/>
  <c r="I1202" i="114" s="1"/>
  <c r="H1202" i="114" a="1"/>
  <c r="H1202" i="114" s="1"/>
  <c r="F1203" i="114" a="1"/>
  <c r="F1203" i="114" s="1"/>
  <c r="G1203" i="114" a="1"/>
  <c r="G1203" i="114" s="1"/>
  <c r="I1203" i="114" s="1"/>
  <c r="H1203" i="114" a="1"/>
  <c r="H1203" i="114" s="1"/>
  <c r="F1204" i="114" a="1"/>
  <c r="F1204" i="114" s="1"/>
  <c r="G1204" i="114" a="1"/>
  <c r="G1204" i="114" s="1"/>
  <c r="I1204" i="114" s="1"/>
  <c r="H1204" i="114" a="1"/>
  <c r="H1204" i="114" s="1"/>
  <c r="F1205" i="114" a="1"/>
  <c r="F1205" i="114" s="1"/>
  <c r="G1205" i="114" a="1"/>
  <c r="G1205" i="114" s="1"/>
  <c r="I1205" i="114" s="1"/>
  <c r="H1205" i="114" a="1"/>
  <c r="H1205" i="114" s="1"/>
  <c r="F1206" i="114" a="1"/>
  <c r="F1206" i="114" s="1"/>
  <c r="G1206" i="114" a="1"/>
  <c r="G1206" i="114" s="1"/>
  <c r="I1206" i="114" s="1"/>
  <c r="H1206" i="114" a="1"/>
  <c r="H1206" i="114" s="1"/>
  <c r="H1207" i="114" a="1"/>
  <c r="H1207" i="114" s="1"/>
  <c r="F1209" i="114" a="1"/>
  <c r="F1209" i="114" s="1"/>
  <c r="G1209" i="114" a="1"/>
  <c r="G1209" i="114" s="1"/>
  <c r="I1209" i="114" s="1"/>
  <c r="H1209" i="114" a="1"/>
  <c r="H1209" i="114" s="1"/>
  <c r="F1210" i="114" a="1"/>
  <c r="F1210" i="114" s="1"/>
  <c r="G1210" i="114" a="1"/>
  <c r="G1210" i="114" s="1"/>
  <c r="I1210" i="114" s="1"/>
  <c r="H1210" i="114" a="1"/>
  <c r="H1210" i="114" s="1"/>
  <c r="F1211" i="114" a="1"/>
  <c r="F1211" i="114" s="1"/>
  <c r="G1211" i="114" a="1"/>
  <c r="G1211" i="114" s="1"/>
  <c r="I1211" i="114" s="1"/>
  <c r="H1211" i="114" a="1"/>
  <c r="H1211" i="114" s="1"/>
  <c r="F1212" i="114" a="1"/>
  <c r="F1212" i="114" s="1"/>
  <c r="G1212" i="114" a="1"/>
  <c r="G1212" i="114" s="1"/>
  <c r="I1212" i="114" s="1"/>
  <c r="H1212" i="114" a="1"/>
  <c r="H1212" i="114" s="1"/>
  <c r="F1213" i="114" a="1"/>
  <c r="F1213" i="114" s="1"/>
  <c r="G1213" i="114" a="1"/>
  <c r="G1213" i="114" s="1"/>
  <c r="I1213" i="114" s="1"/>
  <c r="H1213" i="114" a="1"/>
  <c r="H1213" i="114" s="1"/>
  <c r="F1214" i="114" a="1"/>
  <c r="F1214" i="114" s="1"/>
  <c r="G1214" i="114" a="1"/>
  <c r="G1214" i="114" s="1"/>
  <c r="I1214" i="114" s="1"/>
  <c r="H1214" i="114" a="1"/>
  <c r="H1214" i="114" s="1"/>
  <c r="F1215" i="114" a="1"/>
  <c r="F1215" i="114" s="1"/>
  <c r="G1215" i="114" a="1"/>
  <c r="G1215" i="114" s="1"/>
  <c r="I1215" i="114" s="1"/>
  <c r="H1215" i="114" a="1"/>
  <c r="H1215" i="114" s="1"/>
  <c r="H1216" i="114" a="1"/>
  <c r="H1216" i="114" s="1"/>
  <c r="F1218" i="114" a="1"/>
  <c r="F1218" i="114" s="1"/>
  <c r="G1218" i="114" a="1"/>
  <c r="G1218" i="114" s="1"/>
  <c r="I1218" i="114" s="1"/>
  <c r="H1218" i="114" a="1"/>
  <c r="H1218" i="114" s="1"/>
  <c r="F1219" i="114" a="1"/>
  <c r="F1219" i="114" s="1"/>
  <c r="G1219" i="114" a="1"/>
  <c r="G1219" i="114" s="1"/>
  <c r="I1219" i="114" s="1"/>
  <c r="H1219" i="114" a="1"/>
  <c r="H1219" i="114" s="1"/>
  <c r="F1220" i="114" a="1"/>
  <c r="F1220" i="114" s="1"/>
  <c r="G1220" i="114" a="1"/>
  <c r="G1220" i="114" s="1"/>
  <c r="I1220" i="114" s="1"/>
  <c r="H1220" i="114" a="1"/>
  <c r="H1220" i="114" s="1"/>
  <c r="F1221" i="114" a="1"/>
  <c r="F1221" i="114" s="1"/>
  <c r="G1221" i="114" a="1"/>
  <c r="G1221" i="114" s="1"/>
  <c r="I1221" i="114" s="1"/>
  <c r="H1221" i="114" a="1"/>
  <c r="H1221" i="114" s="1"/>
  <c r="F1222" i="114" a="1"/>
  <c r="F1222" i="114" s="1"/>
  <c r="G1222" i="114" a="1"/>
  <c r="G1222" i="114" s="1"/>
  <c r="I1222" i="114" s="1"/>
  <c r="H1222" i="114" a="1"/>
  <c r="H1222" i="114" s="1"/>
  <c r="F1223" i="114" a="1"/>
  <c r="F1223" i="114" s="1"/>
  <c r="G1223" i="114" a="1"/>
  <c r="G1223" i="114" s="1"/>
  <c r="I1223" i="114" s="1"/>
  <c r="H1223" i="114" a="1"/>
  <c r="H1223" i="114" s="1"/>
  <c r="F1224" i="114" a="1"/>
  <c r="F1224" i="114" s="1"/>
  <c r="G1224" i="114" a="1"/>
  <c r="G1224" i="114" s="1"/>
  <c r="I1224" i="114" s="1"/>
  <c r="H1224" i="114" a="1"/>
  <c r="H1224" i="114" s="1"/>
  <c r="H1225" i="114" a="1"/>
  <c r="H1225" i="114" s="1"/>
  <c r="F1227" i="114" a="1"/>
  <c r="F1227" i="114" s="1"/>
  <c r="G1227" i="114" a="1"/>
  <c r="G1227" i="114" s="1"/>
  <c r="I1227" i="114" s="1"/>
  <c r="H1227" i="114" a="1"/>
  <c r="H1227" i="114" s="1"/>
  <c r="F1228" i="114" a="1"/>
  <c r="F1228" i="114" s="1"/>
  <c r="G1228" i="114" a="1"/>
  <c r="G1228" i="114" s="1"/>
  <c r="I1228" i="114" s="1"/>
  <c r="F1229" i="114" a="1"/>
  <c r="F1229" i="114" s="1"/>
  <c r="G1229" i="114" a="1"/>
  <c r="G1229" i="114" s="1"/>
  <c r="I1229" i="114" s="1"/>
  <c r="H1229" i="114" a="1"/>
  <c r="H1229" i="114" s="1"/>
  <c r="F1230" i="114" a="1"/>
  <c r="F1230" i="114" s="1"/>
  <c r="G1230" i="114" a="1"/>
  <c r="G1230" i="114" s="1"/>
  <c r="I1230" i="114" s="1"/>
  <c r="H1230" i="114" a="1"/>
  <c r="H1230" i="114" s="1"/>
  <c r="F1231" i="114" a="1"/>
  <c r="F1231" i="114" s="1"/>
  <c r="G1231" i="114" a="1"/>
  <c r="G1231" i="114" s="1"/>
  <c r="I1231" i="114" s="1"/>
  <c r="H1231" i="114" a="1"/>
  <c r="H1231" i="114" s="1"/>
  <c r="F1232" i="114" a="1"/>
  <c r="F1232" i="114" s="1"/>
  <c r="G1232" i="114" a="1"/>
  <c r="G1232" i="114" s="1"/>
  <c r="I1232" i="114" s="1"/>
  <c r="H1232" i="114" a="1"/>
  <c r="H1232" i="114" s="1"/>
  <c r="F1233" i="114" a="1"/>
  <c r="F1233" i="114" s="1"/>
  <c r="G1233" i="114" a="1"/>
  <c r="G1233" i="114" s="1"/>
  <c r="I1233" i="114" s="1"/>
  <c r="H1233" i="114" a="1"/>
  <c r="H1233" i="114" s="1"/>
  <c r="H1234" i="114" a="1"/>
  <c r="H1234" i="114" s="1"/>
  <c r="F1236" i="114" a="1"/>
  <c r="F1236" i="114" s="1"/>
  <c r="G1236" i="114" a="1"/>
  <c r="G1236" i="114" s="1"/>
  <c r="I1236" i="114" s="1"/>
  <c r="H1236" i="114" a="1"/>
  <c r="H1236" i="114" s="1"/>
  <c r="F1237" i="114" a="1"/>
  <c r="F1237" i="114" s="1"/>
  <c r="G1237" i="114" a="1"/>
  <c r="G1237" i="114" s="1"/>
  <c r="I1237" i="114" s="1"/>
  <c r="F1238" i="114" a="1"/>
  <c r="F1238" i="114" s="1"/>
  <c r="G1238" i="114" a="1"/>
  <c r="G1238" i="114" s="1"/>
  <c r="I1238" i="114" s="1"/>
  <c r="H1238" i="114" a="1"/>
  <c r="H1238" i="114" s="1"/>
  <c r="F1239" i="114" a="1"/>
  <c r="F1239" i="114" s="1"/>
  <c r="G1239" i="114" a="1"/>
  <c r="G1239" i="114" s="1"/>
  <c r="I1239" i="114" s="1"/>
  <c r="H1239" i="114" a="1"/>
  <c r="H1239" i="114" s="1"/>
  <c r="F1240" i="114" a="1"/>
  <c r="F1240" i="114" s="1"/>
  <c r="G1240" i="114" a="1"/>
  <c r="G1240" i="114" s="1"/>
  <c r="I1240" i="114" s="1"/>
  <c r="H1240" i="114" a="1"/>
  <c r="H1240" i="114" s="1"/>
  <c r="F1241" i="114" a="1"/>
  <c r="F1241" i="114" s="1"/>
  <c r="G1241" i="114" a="1"/>
  <c r="G1241" i="114" s="1"/>
  <c r="I1241" i="114" s="1"/>
  <c r="H1241" i="114" a="1"/>
  <c r="H1241" i="114" s="1"/>
  <c r="F1242" i="114" a="1"/>
  <c r="F1242" i="114" s="1"/>
  <c r="G1242" i="114" a="1"/>
  <c r="G1242" i="114" s="1"/>
  <c r="I1242" i="114" s="1"/>
  <c r="H1242" i="114" a="1"/>
  <c r="H1242" i="114" s="1"/>
  <c r="H1243" i="114" a="1"/>
  <c r="H1243" i="114" s="1"/>
  <c r="F1245" i="114" a="1"/>
  <c r="F1245" i="114" s="1"/>
  <c r="G1245" i="114" a="1"/>
  <c r="G1245" i="114" s="1"/>
  <c r="I1245" i="114" s="1"/>
  <c r="H1245" i="114" a="1"/>
  <c r="H1245" i="114" s="1"/>
  <c r="F1246" i="114" a="1"/>
  <c r="F1246" i="114" s="1"/>
  <c r="G1246" i="114" a="1"/>
  <c r="G1246" i="114" s="1"/>
  <c r="I1246" i="114" s="1"/>
  <c r="H1246" i="114" a="1"/>
  <c r="H1246" i="114" s="1"/>
  <c r="F1247" i="114" a="1"/>
  <c r="F1247" i="114" s="1"/>
  <c r="G1247" i="114" a="1"/>
  <c r="G1247" i="114" s="1"/>
  <c r="I1247" i="114" s="1"/>
  <c r="H1247" i="114" a="1"/>
  <c r="H1247" i="114" s="1"/>
  <c r="F1248" i="114" a="1"/>
  <c r="F1248" i="114" s="1"/>
  <c r="G1248" i="114" a="1"/>
  <c r="G1248" i="114" s="1"/>
  <c r="I1248" i="114" s="1"/>
  <c r="H1248" i="114" a="1"/>
  <c r="H1248" i="114" s="1"/>
  <c r="F1249" i="114" a="1"/>
  <c r="F1249" i="114" s="1"/>
  <c r="G1249" i="114" a="1"/>
  <c r="G1249" i="114" s="1"/>
  <c r="I1249" i="114" s="1"/>
  <c r="H1249" i="114" a="1"/>
  <c r="H1249" i="114" s="1"/>
  <c r="F1250" i="114" a="1"/>
  <c r="F1250" i="114" s="1"/>
  <c r="G1250" i="114" a="1"/>
  <c r="G1250" i="114" s="1"/>
  <c r="I1250" i="114" s="1"/>
  <c r="H1250" i="114" a="1"/>
  <c r="H1250" i="114" s="1"/>
  <c r="F1251" i="114" a="1"/>
  <c r="F1251" i="114" s="1"/>
  <c r="G1251" i="114" a="1"/>
  <c r="G1251" i="114" s="1"/>
  <c r="I1251" i="114" s="1"/>
  <c r="H1251" i="114" a="1"/>
  <c r="H1251" i="114" s="1"/>
  <c r="H1252" i="114" a="1"/>
  <c r="H1252" i="114" s="1"/>
  <c r="F1254" i="114" a="1"/>
  <c r="F1254" i="114" s="1"/>
  <c r="G1254" i="114" a="1"/>
  <c r="G1254" i="114" s="1"/>
  <c r="I1254" i="114" s="1"/>
  <c r="H1254" i="114" a="1"/>
  <c r="H1254" i="114" s="1"/>
  <c r="F1255" i="114" a="1"/>
  <c r="F1255" i="114" s="1"/>
  <c r="G1255" i="114" a="1"/>
  <c r="G1255" i="114" s="1"/>
  <c r="I1255" i="114" s="1"/>
  <c r="H1255" i="114" a="1"/>
  <c r="H1255" i="114" s="1"/>
  <c r="F1256" i="114" a="1"/>
  <c r="F1256" i="114" s="1"/>
  <c r="G1256" i="114" a="1"/>
  <c r="G1256" i="114" s="1"/>
  <c r="I1256" i="114" s="1"/>
  <c r="H1256" i="114" a="1"/>
  <c r="H1256" i="114" s="1"/>
  <c r="F1257" i="114" a="1"/>
  <c r="F1257" i="114" s="1"/>
  <c r="G1257" i="114" a="1"/>
  <c r="G1257" i="114" s="1"/>
  <c r="I1257" i="114" s="1"/>
  <c r="H1257" i="114" a="1"/>
  <c r="H1257" i="114" s="1"/>
  <c r="F1258" i="114" a="1"/>
  <c r="F1258" i="114" s="1"/>
  <c r="G1258" i="114" a="1"/>
  <c r="G1258" i="114" s="1"/>
  <c r="I1258" i="114" s="1"/>
  <c r="H1258" i="114" a="1"/>
  <c r="H1258" i="114" s="1"/>
  <c r="F1259" i="114" a="1"/>
  <c r="F1259" i="114" s="1"/>
  <c r="G1259" i="114" a="1"/>
  <c r="G1259" i="114" s="1"/>
  <c r="I1259" i="114" s="1"/>
  <c r="H1259" i="114" a="1"/>
  <c r="H1259" i="114" s="1"/>
  <c r="F1260" i="114" a="1"/>
  <c r="F1260" i="114" s="1"/>
  <c r="G1260" i="114" a="1"/>
  <c r="G1260" i="114" s="1"/>
  <c r="I1260" i="114" s="1"/>
  <c r="H1260" i="114" a="1"/>
  <c r="H1260" i="114" s="1"/>
  <c r="H1261" i="114" a="1"/>
  <c r="H1261" i="114" s="1"/>
  <c r="F1263" i="114" a="1"/>
  <c r="F1263" i="114" s="1"/>
  <c r="G1263" i="114" a="1"/>
  <c r="G1263" i="114" s="1"/>
  <c r="I1263" i="114" s="1"/>
  <c r="H1263" i="114" a="1"/>
  <c r="H1263" i="114" s="1"/>
  <c r="F1264" i="114" a="1"/>
  <c r="F1264" i="114" s="1"/>
  <c r="G1264" i="114" a="1"/>
  <c r="G1264" i="114" s="1"/>
  <c r="I1264" i="114" s="1"/>
  <c r="H1264" i="114" a="1"/>
  <c r="H1264" i="114" s="1"/>
  <c r="F1265" i="114" a="1"/>
  <c r="F1265" i="114" s="1"/>
  <c r="G1265" i="114" a="1"/>
  <c r="G1265" i="114" s="1"/>
  <c r="I1265" i="114" s="1"/>
  <c r="H1265" i="114" a="1"/>
  <c r="H1265" i="114" s="1"/>
  <c r="F1266" i="114" a="1"/>
  <c r="F1266" i="114" s="1"/>
  <c r="G1266" i="114" a="1"/>
  <c r="G1266" i="114" s="1"/>
  <c r="I1266" i="114" s="1"/>
  <c r="H1266" i="114" a="1"/>
  <c r="H1266" i="114" s="1"/>
  <c r="F1267" i="114" a="1"/>
  <c r="F1267" i="114" s="1"/>
  <c r="G1267" i="114" a="1"/>
  <c r="G1267" i="114" s="1"/>
  <c r="I1267" i="114" s="1"/>
  <c r="H1267" i="114" a="1"/>
  <c r="H1267" i="114" s="1"/>
  <c r="F1268" i="114" a="1"/>
  <c r="F1268" i="114" s="1"/>
  <c r="G1268" i="114" a="1"/>
  <c r="G1268" i="114" s="1"/>
  <c r="I1268" i="114" s="1"/>
  <c r="H1268" i="114" a="1"/>
  <c r="H1268" i="114" s="1"/>
  <c r="F1269" i="114" a="1"/>
  <c r="F1269" i="114" s="1"/>
  <c r="G1269" i="114" a="1"/>
  <c r="G1269" i="114" s="1"/>
  <c r="I1269" i="114" s="1"/>
  <c r="H1269" i="114" a="1"/>
  <c r="H1269" i="114" s="1"/>
  <c r="H1270" i="114" a="1"/>
  <c r="H1270" i="114" s="1"/>
  <c r="F1272" i="114" a="1"/>
  <c r="F1272" i="114" s="1"/>
  <c r="G1272" i="114" a="1"/>
  <c r="G1272" i="114" s="1"/>
  <c r="I1272" i="114" s="1"/>
  <c r="H1272" i="114" a="1"/>
  <c r="H1272" i="114" s="1"/>
  <c r="F1273" i="114" a="1"/>
  <c r="F1273" i="114" s="1"/>
  <c r="G1273" i="114" a="1"/>
  <c r="G1273" i="114" s="1"/>
  <c r="I1273" i="114" s="1"/>
  <c r="H1273" i="114" a="1"/>
  <c r="H1273" i="114" s="1"/>
  <c r="F1274" i="114" a="1"/>
  <c r="F1274" i="114" s="1"/>
  <c r="G1274" i="114" a="1"/>
  <c r="G1274" i="114" s="1"/>
  <c r="I1274" i="114" s="1"/>
  <c r="H1274" i="114" a="1"/>
  <c r="H1274" i="114" s="1"/>
  <c r="F1275" i="114" a="1"/>
  <c r="F1275" i="114" s="1"/>
  <c r="G1275" i="114" a="1"/>
  <c r="G1275" i="114" s="1"/>
  <c r="I1275" i="114" s="1"/>
  <c r="H1275" i="114" a="1"/>
  <c r="H1275" i="114" s="1"/>
  <c r="F1276" i="114" a="1"/>
  <c r="F1276" i="114" s="1"/>
  <c r="G1276" i="114" a="1"/>
  <c r="G1276" i="114" s="1"/>
  <c r="I1276" i="114" s="1"/>
  <c r="H1276" i="114" a="1"/>
  <c r="H1276" i="114" s="1"/>
  <c r="F1277" i="114" a="1"/>
  <c r="F1277" i="114" s="1"/>
  <c r="G1277" i="114" a="1"/>
  <c r="G1277" i="114" s="1"/>
  <c r="I1277" i="114" s="1"/>
  <c r="H1277" i="114" a="1"/>
  <c r="H1277" i="114" s="1"/>
  <c r="F1278" i="114" a="1"/>
  <c r="F1278" i="114" s="1"/>
  <c r="G1278" i="114" a="1"/>
  <c r="G1278" i="114" s="1"/>
  <c r="I1278" i="114" s="1"/>
  <c r="H1278" i="114" a="1"/>
  <c r="H1278" i="114" s="1"/>
  <c r="H1279" i="114" a="1"/>
  <c r="H1279" i="114" s="1"/>
  <c r="F1281" i="114" a="1"/>
  <c r="F1281" i="114" s="1"/>
  <c r="G1281" i="114" a="1"/>
  <c r="G1281" i="114" s="1"/>
  <c r="I1281" i="114" s="1"/>
  <c r="H1281" i="114" a="1"/>
  <c r="H1281" i="114" s="1"/>
  <c r="F1282" i="114" a="1"/>
  <c r="F1282" i="114" s="1"/>
  <c r="G1282" i="114" a="1"/>
  <c r="G1282" i="114" s="1"/>
  <c r="I1282" i="114" s="1"/>
  <c r="H1282" i="114" a="1"/>
  <c r="H1282" i="114" s="1"/>
  <c r="F1283" i="114" a="1"/>
  <c r="F1283" i="114" s="1"/>
  <c r="G1283" i="114" a="1"/>
  <c r="G1283" i="114" s="1"/>
  <c r="I1283" i="114" s="1"/>
  <c r="H1283" i="114" a="1"/>
  <c r="H1283" i="114" s="1"/>
  <c r="F1284" i="114" a="1"/>
  <c r="F1284" i="114" s="1"/>
  <c r="G1284" i="114" a="1"/>
  <c r="G1284" i="114" s="1"/>
  <c r="I1284" i="114" s="1"/>
  <c r="H1284" i="114" a="1"/>
  <c r="H1284" i="114" s="1"/>
  <c r="F1285" i="114" a="1"/>
  <c r="F1285" i="114" s="1"/>
  <c r="G1285" i="114" a="1"/>
  <c r="G1285" i="114" s="1"/>
  <c r="I1285" i="114" s="1"/>
  <c r="H1285" i="114" a="1"/>
  <c r="H1285" i="114" s="1"/>
  <c r="F1286" i="114" a="1"/>
  <c r="F1286" i="114" s="1"/>
  <c r="G1286" i="114" a="1"/>
  <c r="G1286" i="114" s="1"/>
  <c r="I1286" i="114" s="1"/>
  <c r="H1286" i="114" a="1"/>
  <c r="H1286" i="114" s="1"/>
  <c r="F1287" i="114" a="1"/>
  <c r="F1287" i="114" s="1"/>
  <c r="G1287" i="114" a="1"/>
  <c r="G1287" i="114" s="1"/>
  <c r="I1287" i="114" s="1"/>
  <c r="H1287" i="114" a="1"/>
  <c r="H1287" i="114" s="1"/>
  <c r="H1288" i="114" a="1"/>
  <c r="H1288" i="114" s="1"/>
  <c r="F1290" i="114" a="1"/>
  <c r="F1290" i="114" s="1"/>
  <c r="G1290" i="114" a="1"/>
  <c r="G1290" i="114" s="1"/>
  <c r="I1290" i="114" s="1"/>
  <c r="H1290" i="114" a="1"/>
  <c r="H1290" i="114" s="1"/>
  <c r="F1291" i="114" a="1"/>
  <c r="F1291" i="114" s="1"/>
  <c r="G1291" i="114" a="1"/>
  <c r="G1291" i="114" s="1"/>
  <c r="I1291" i="114" s="1"/>
  <c r="H1291" i="114" a="1"/>
  <c r="H1291" i="114" s="1"/>
  <c r="F1292" i="114" a="1"/>
  <c r="F1292" i="114" s="1"/>
  <c r="G1292" i="114" a="1"/>
  <c r="G1292" i="114" s="1"/>
  <c r="I1292" i="114" s="1"/>
  <c r="H1292" i="114" a="1"/>
  <c r="H1292" i="114" s="1"/>
  <c r="F1293" i="114" a="1"/>
  <c r="F1293" i="114" s="1"/>
  <c r="G1293" i="114" a="1"/>
  <c r="G1293" i="114" s="1"/>
  <c r="I1293" i="114" s="1"/>
  <c r="H1293" i="114" a="1"/>
  <c r="H1293" i="114" s="1"/>
  <c r="F1294" i="114" a="1"/>
  <c r="F1294" i="114" s="1"/>
  <c r="G1294" i="114" a="1"/>
  <c r="G1294" i="114" s="1"/>
  <c r="I1294" i="114" s="1"/>
  <c r="H1294" i="114" a="1"/>
  <c r="H1294" i="114" s="1"/>
  <c r="F1295" i="114" a="1"/>
  <c r="F1295" i="114" s="1"/>
  <c r="G1295" i="114" a="1"/>
  <c r="G1295" i="114" s="1"/>
  <c r="I1295" i="114" s="1"/>
  <c r="H1295" i="114" a="1"/>
  <c r="H1295" i="114" s="1"/>
  <c r="F1296" i="114" a="1"/>
  <c r="F1296" i="114" s="1"/>
  <c r="G1296" i="114" a="1"/>
  <c r="G1296" i="114" s="1"/>
  <c r="I1296" i="114" s="1"/>
  <c r="H1296" i="114" a="1"/>
  <c r="H1296" i="114" s="1"/>
  <c r="H1297" i="114" a="1"/>
  <c r="H1297" i="114" s="1"/>
  <c r="F1299" i="114" a="1"/>
  <c r="F1299" i="114" s="1"/>
  <c r="G1299" i="114" a="1"/>
  <c r="G1299" i="114" s="1"/>
  <c r="I1299" i="114" s="1"/>
  <c r="H1299" i="114" a="1"/>
  <c r="H1299" i="114" s="1"/>
  <c r="F1300" i="114" a="1"/>
  <c r="F1300" i="114" s="1"/>
  <c r="G1300" i="114" a="1"/>
  <c r="G1300" i="114" s="1"/>
  <c r="I1300" i="114" s="1"/>
  <c r="H1300" i="114" a="1"/>
  <c r="H1300" i="114" s="1"/>
  <c r="F1301" i="114" a="1"/>
  <c r="F1301" i="114" s="1"/>
  <c r="G1301" i="114" a="1"/>
  <c r="G1301" i="114" s="1"/>
  <c r="I1301" i="114" s="1"/>
  <c r="H1301" i="114" a="1"/>
  <c r="H1301" i="114" s="1"/>
  <c r="F1302" i="114" a="1"/>
  <c r="F1302" i="114" s="1"/>
  <c r="G1302" i="114" a="1"/>
  <c r="G1302" i="114" s="1"/>
  <c r="I1302" i="114" s="1"/>
  <c r="H1302" i="114" a="1"/>
  <c r="H1302" i="114" s="1"/>
  <c r="F1303" i="114" a="1"/>
  <c r="F1303" i="114" s="1"/>
  <c r="G1303" i="114" a="1"/>
  <c r="G1303" i="114" s="1"/>
  <c r="I1303" i="114" s="1"/>
  <c r="H1303" i="114" a="1"/>
  <c r="H1303" i="114" s="1"/>
  <c r="F1304" i="114" a="1"/>
  <c r="F1304" i="114" s="1"/>
  <c r="G1304" i="114" a="1"/>
  <c r="G1304" i="114" s="1"/>
  <c r="I1304" i="114" s="1"/>
  <c r="H1304" i="114" a="1"/>
  <c r="H1304" i="114" s="1"/>
  <c r="F1305" i="114" a="1"/>
  <c r="F1305" i="114" s="1"/>
  <c r="G1305" i="114" a="1"/>
  <c r="G1305" i="114" s="1"/>
  <c r="I1305" i="114" s="1"/>
  <c r="H1305" i="114" a="1"/>
  <c r="H1305" i="114" s="1"/>
  <c r="H1306" i="114" a="1"/>
  <c r="H1306" i="114" s="1"/>
  <c r="F1308" i="114" a="1"/>
  <c r="F1308" i="114" s="1"/>
  <c r="G1308" i="114" a="1"/>
  <c r="G1308" i="114" s="1"/>
  <c r="I1308" i="114" s="1"/>
  <c r="H1308" i="114" a="1"/>
  <c r="H1308" i="114" s="1"/>
  <c r="F1309" i="114" a="1"/>
  <c r="F1309" i="114" s="1"/>
  <c r="G1309" i="114" a="1"/>
  <c r="G1309" i="114" s="1"/>
  <c r="I1309" i="114" s="1"/>
  <c r="H1309" i="114" a="1"/>
  <c r="H1309" i="114" s="1"/>
  <c r="F1310" i="114" a="1"/>
  <c r="F1310" i="114" s="1"/>
  <c r="G1310" i="114" a="1"/>
  <c r="G1310" i="114" s="1"/>
  <c r="I1310" i="114" s="1"/>
  <c r="H1310" i="114" a="1"/>
  <c r="H1310" i="114" s="1"/>
  <c r="F1311" i="114" a="1"/>
  <c r="F1311" i="114" s="1"/>
  <c r="G1311" i="114" a="1"/>
  <c r="G1311" i="114" s="1"/>
  <c r="I1311" i="114" s="1"/>
  <c r="H1311" i="114" a="1"/>
  <c r="H1311" i="114" s="1"/>
  <c r="F1312" i="114" a="1"/>
  <c r="F1312" i="114" s="1"/>
  <c r="G1312" i="114" a="1"/>
  <c r="G1312" i="114" s="1"/>
  <c r="I1312" i="114" s="1"/>
  <c r="H1312" i="114" a="1"/>
  <c r="H1312" i="114" s="1"/>
  <c r="F1313" i="114" a="1"/>
  <c r="F1313" i="114" s="1"/>
  <c r="G1313" i="114" a="1"/>
  <c r="G1313" i="114" s="1"/>
  <c r="I1313" i="114" s="1"/>
  <c r="H1313" i="114" a="1"/>
  <c r="H1313" i="114" s="1"/>
  <c r="F1314" i="114" a="1"/>
  <c r="F1314" i="114" s="1"/>
  <c r="G1314" i="114" a="1"/>
  <c r="G1314" i="114" s="1"/>
  <c r="I1314" i="114" s="1"/>
  <c r="H1314" i="114" a="1"/>
  <c r="H1314" i="114" s="1"/>
  <c r="H1315" i="114" a="1"/>
  <c r="H1315" i="114" s="1"/>
  <c r="F1317" i="114" a="1"/>
  <c r="F1317" i="114" s="1"/>
  <c r="G1317" i="114" a="1"/>
  <c r="G1317" i="114" s="1"/>
  <c r="I1317" i="114" s="1"/>
  <c r="H1317" i="114" a="1"/>
  <c r="H1317" i="114" s="1"/>
  <c r="F1318" i="114" a="1"/>
  <c r="F1318" i="114" s="1"/>
  <c r="G1318" i="114" a="1"/>
  <c r="G1318" i="114" s="1"/>
  <c r="I1318" i="114" s="1"/>
  <c r="H1318" i="114" a="1"/>
  <c r="H1318" i="114" s="1"/>
  <c r="F1319" i="114" a="1"/>
  <c r="F1319" i="114" s="1"/>
  <c r="G1319" i="114" a="1"/>
  <c r="G1319" i="114" s="1"/>
  <c r="I1319" i="114" s="1"/>
  <c r="H1319" i="114" a="1"/>
  <c r="H1319" i="114" s="1"/>
  <c r="F1320" i="114" a="1"/>
  <c r="F1320" i="114" s="1"/>
  <c r="G1320" i="114" a="1"/>
  <c r="G1320" i="114" s="1"/>
  <c r="I1320" i="114" s="1"/>
  <c r="H1320" i="114" a="1"/>
  <c r="H1320" i="114" s="1"/>
  <c r="F1321" i="114" a="1"/>
  <c r="F1321" i="114" s="1"/>
  <c r="G1321" i="114" a="1"/>
  <c r="G1321" i="114" s="1"/>
  <c r="I1321" i="114" s="1"/>
  <c r="H1321" i="114" a="1"/>
  <c r="H1321" i="114" s="1"/>
  <c r="F1322" i="114" a="1"/>
  <c r="F1322" i="114" s="1"/>
  <c r="G1322" i="114" a="1"/>
  <c r="G1322" i="114" s="1"/>
  <c r="I1322" i="114" s="1"/>
  <c r="H1322" i="114" a="1"/>
  <c r="H1322" i="114" s="1"/>
  <c r="F1323" i="114" a="1"/>
  <c r="F1323" i="114" s="1"/>
  <c r="G1323" i="114" a="1"/>
  <c r="G1323" i="114" s="1"/>
  <c r="I1323" i="114" s="1"/>
  <c r="H1323" i="114" a="1"/>
  <c r="H1323" i="114" s="1"/>
  <c r="H1324" i="114" a="1"/>
  <c r="H1324" i="114" s="1"/>
  <c r="F1326" i="114" a="1"/>
  <c r="F1326" i="114" s="1"/>
  <c r="G1326" i="114" a="1"/>
  <c r="G1326" i="114" s="1"/>
  <c r="I1326" i="114" s="1"/>
  <c r="H1326" i="114" a="1"/>
  <c r="H1326" i="114" s="1"/>
  <c r="F1327" i="114" a="1"/>
  <c r="F1327" i="114" s="1"/>
  <c r="G1327" i="114" a="1"/>
  <c r="G1327" i="114" s="1"/>
  <c r="I1327" i="114" s="1"/>
  <c r="H1327" i="114" a="1"/>
  <c r="H1327" i="114" s="1"/>
  <c r="F1328" i="114" a="1"/>
  <c r="F1328" i="114" s="1"/>
  <c r="G1328" i="114" a="1"/>
  <c r="G1328" i="114" s="1"/>
  <c r="I1328" i="114" s="1"/>
  <c r="H1328" i="114" a="1"/>
  <c r="H1328" i="114" s="1"/>
  <c r="F1329" i="114" a="1"/>
  <c r="F1329" i="114" s="1"/>
  <c r="G1329" i="114" a="1"/>
  <c r="G1329" i="114" s="1"/>
  <c r="I1329" i="114" s="1"/>
  <c r="H1329" i="114" a="1"/>
  <c r="H1329" i="114" s="1"/>
  <c r="F1330" i="114" a="1"/>
  <c r="F1330" i="114" s="1"/>
  <c r="G1330" i="114" a="1"/>
  <c r="G1330" i="114" s="1"/>
  <c r="I1330" i="114" s="1"/>
  <c r="H1330" i="114" a="1"/>
  <c r="H1330" i="114" s="1"/>
  <c r="F1331" i="114" a="1"/>
  <c r="F1331" i="114" s="1"/>
  <c r="G1331" i="114" a="1"/>
  <c r="G1331" i="114" s="1"/>
  <c r="I1331" i="114" s="1"/>
  <c r="H1331" i="114" a="1"/>
  <c r="H1331" i="114" s="1"/>
  <c r="F1332" i="114" a="1"/>
  <c r="F1332" i="114" s="1"/>
  <c r="G1332" i="114" a="1"/>
  <c r="G1332" i="114" s="1"/>
  <c r="I1332" i="114" s="1"/>
  <c r="H1332" i="114" a="1"/>
  <c r="H1332" i="114" s="1"/>
  <c r="H1333" i="114" a="1"/>
  <c r="H1333" i="114" s="1"/>
  <c r="F1335" i="114" a="1"/>
  <c r="F1335" i="114" s="1"/>
  <c r="G1335" i="114" a="1"/>
  <c r="G1335" i="114" s="1"/>
  <c r="I1335" i="114" s="1"/>
  <c r="H1335" i="114" a="1"/>
  <c r="H1335" i="114" s="1"/>
  <c r="F1336" i="114" a="1"/>
  <c r="F1336" i="114" s="1"/>
  <c r="G1336" i="114" a="1"/>
  <c r="G1336" i="114" s="1"/>
  <c r="I1336" i="114" s="1"/>
  <c r="H1336" i="114" a="1"/>
  <c r="H1336" i="114" s="1"/>
  <c r="F1337" i="114" a="1"/>
  <c r="F1337" i="114" s="1"/>
  <c r="G1337" i="114" a="1"/>
  <c r="G1337" i="114" s="1"/>
  <c r="I1337" i="114" s="1"/>
  <c r="H1337" i="114" a="1"/>
  <c r="H1337" i="114" s="1"/>
  <c r="F1338" i="114" a="1"/>
  <c r="F1338" i="114" s="1"/>
  <c r="G1338" i="114" a="1"/>
  <c r="G1338" i="114" s="1"/>
  <c r="I1338" i="114" s="1"/>
  <c r="H1338" i="114" a="1"/>
  <c r="H1338" i="114" s="1"/>
  <c r="F1339" i="114" a="1"/>
  <c r="F1339" i="114" s="1"/>
  <c r="G1339" i="114" a="1"/>
  <c r="G1339" i="114" s="1"/>
  <c r="I1339" i="114" s="1"/>
  <c r="H1339" i="114" a="1"/>
  <c r="H1339" i="114" s="1"/>
  <c r="F1340" i="114" a="1"/>
  <c r="F1340" i="114" s="1"/>
  <c r="G1340" i="114" a="1"/>
  <c r="G1340" i="114" s="1"/>
  <c r="I1340" i="114" s="1"/>
  <c r="H1340" i="114" a="1"/>
  <c r="H1340" i="114" s="1"/>
  <c r="F1341" i="114" a="1"/>
  <c r="F1341" i="114" s="1"/>
  <c r="G1341" i="114" a="1"/>
  <c r="G1341" i="114" s="1"/>
  <c r="I1341" i="114" s="1"/>
  <c r="H1341" i="114" a="1"/>
  <c r="H1341" i="114" s="1"/>
  <c r="H1342" i="114" a="1"/>
  <c r="H1342" i="114" s="1"/>
  <c r="F1344" i="114" a="1"/>
  <c r="F1344" i="114" s="1"/>
  <c r="G1344" i="114" a="1"/>
  <c r="G1344" i="114" s="1"/>
  <c r="I1344" i="114" s="1"/>
  <c r="H1344" i="114" a="1"/>
  <c r="H1344" i="114" s="1"/>
  <c r="F1345" i="114" a="1"/>
  <c r="F1345" i="114" s="1"/>
  <c r="G1345" i="114" a="1"/>
  <c r="G1345" i="114" s="1"/>
  <c r="I1345" i="114" s="1"/>
  <c r="H1345" i="114" a="1"/>
  <c r="H1345" i="114" s="1"/>
  <c r="F1346" i="114" a="1"/>
  <c r="F1346" i="114" s="1"/>
  <c r="G1346" i="114" a="1"/>
  <c r="G1346" i="114" s="1"/>
  <c r="I1346" i="114" s="1"/>
  <c r="H1346" i="114" a="1"/>
  <c r="H1346" i="114" s="1"/>
  <c r="F1347" i="114" a="1"/>
  <c r="F1347" i="114" s="1"/>
  <c r="G1347" i="114" a="1"/>
  <c r="G1347" i="114" s="1"/>
  <c r="I1347" i="114" s="1"/>
  <c r="H1347" i="114" a="1"/>
  <c r="H1347" i="114" s="1"/>
  <c r="F1348" i="114" a="1"/>
  <c r="F1348" i="114" s="1"/>
  <c r="G1348" i="114" a="1"/>
  <c r="G1348" i="114" s="1"/>
  <c r="I1348" i="114" s="1"/>
  <c r="H1348" i="114" a="1"/>
  <c r="H1348" i="114" s="1"/>
  <c r="F1349" i="114" a="1"/>
  <c r="F1349" i="114" s="1"/>
  <c r="G1349" i="114" a="1"/>
  <c r="G1349" i="114" s="1"/>
  <c r="I1349" i="114" s="1"/>
  <c r="H1349" i="114" a="1"/>
  <c r="H1349" i="114" s="1"/>
  <c r="F1350" i="114" a="1"/>
  <c r="F1350" i="114" s="1"/>
  <c r="G1350" i="114" a="1"/>
  <c r="G1350" i="114" s="1"/>
  <c r="I1350" i="114" s="1"/>
  <c r="H1350" i="114" a="1"/>
  <c r="H1350" i="114" s="1"/>
  <c r="H1351" i="114" a="1"/>
  <c r="H1351" i="114" s="1"/>
  <c r="F1353" i="114" a="1"/>
  <c r="F1353" i="114" s="1"/>
  <c r="G1353" i="114" a="1"/>
  <c r="G1353" i="114" s="1"/>
  <c r="I1353" i="114" s="1"/>
  <c r="H1353" i="114" a="1"/>
  <c r="H1353" i="114" s="1"/>
  <c r="F1354" i="114" a="1"/>
  <c r="F1354" i="114" s="1"/>
  <c r="G1354" i="114" a="1"/>
  <c r="G1354" i="114" s="1"/>
  <c r="I1354" i="114" s="1"/>
  <c r="H1354" i="114" a="1"/>
  <c r="H1354" i="114" s="1"/>
  <c r="F1355" i="114" a="1"/>
  <c r="F1355" i="114" s="1"/>
  <c r="G1355" i="114" a="1"/>
  <c r="G1355" i="114" s="1"/>
  <c r="I1355" i="114" s="1"/>
  <c r="H1355" i="114" a="1"/>
  <c r="H1355" i="114" s="1"/>
  <c r="F1356" i="114" a="1"/>
  <c r="F1356" i="114" s="1"/>
  <c r="G1356" i="114" a="1"/>
  <c r="G1356" i="114" s="1"/>
  <c r="I1356" i="114" s="1"/>
  <c r="H1356" i="114" a="1"/>
  <c r="H1356" i="114" s="1"/>
  <c r="F1357" i="114" a="1"/>
  <c r="F1357" i="114" s="1"/>
  <c r="G1357" i="114" a="1"/>
  <c r="G1357" i="114" s="1"/>
  <c r="I1357" i="114" s="1"/>
  <c r="H1357" i="114" a="1"/>
  <c r="H1357" i="114" s="1"/>
  <c r="F1358" i="114" a="1"/>
  <c r="F1358" i="114" s="1"/>
  <c r="G1358" i="114" a="1"/>
  <c r="G1358" i="114" s="1"/>
  <c r="I1358" i="114" s="1"/>
  <c r="H1358" i="114" a="1"/>
  <c r="H1358" i="114" s="1"/>
  <c r="F1359" i="114" a="1"/>
  <c r="F1359" i="114" s="1"/>
  <c r="G1359" i="114" a="1"/>
  <c r="G1359" i="114" s="1"/>
  <c r="I1359" i="114" s="1"/>
  <c r="H1359" i="114" a="1"/>
  <c r="H1359" i="114" s="1"/>
  <c r="H1360" i="114" a="1"/>
  <c r="H1360" i="114" s="1"/>
  <c r="F1362" i="114" a="1"/>
  <c r="F1362" i="114" s="1"/>
  <c r="G1362" i="114" a="1"/>
  <c r="G1362" i="114" s="1"/>
  <c r="I1362" i="114" s="1"/>
  <c r="H1362" i="114" a="1"/>
  <c r="H1362" i="114" s="1"/>
  <c r="F1363" i="114" a="1"/>
  <c r="F1363" i="114" s="1"/>
  <c r="G1363" i="114" a="1"/>
  <c r="G1363" i="114" s="1"/>
  <c r="I1363" i="114" s="1"/>
  <c r="H1363" i="114" a="1"/>
  <c r="H1363" i="114" s="1"/>
  <c r="F1364" i="114" a="1"/>
  <c r="F1364" i="114" s="1"/>
  <c r="G1364" i="114" a="1"/>
  <c r="G1364" i="114" s="1"/>
  <c r="I1364" i="114" s="1"/>
  <c r="H1364" i="114" a="1"/>
  <c r="H1364" i="114" s="1"/>
  <c r="F1365" i="114" a="1"/>
  <c r="F1365" i="114" s="1"/>
  <c r="G1365" i="114" a="1"/>
  <c r="G1365" i="114" s="1"/>
  <c r="I1365" i="114" s="1"/>
  <c r="H1365" i="114" a="1"/>
  <c r="H1365" i="114" s="1"/>
  <c r="F1366" i="114" a="1"/>
  <c r="F1366" i="114" s="1"/>
  <c r="G1366" i="114" a="1"/>
  <c r="G1366" i="114" s="1"/>
  <c r="I1366" i="114" s="1"/>
  <c r="H1366" i="114" a="1"/>
  <c r="H1366" i="114" s="1"/>
  <c r="F1367" i="114" a="1"/>
  <c r="F1367" i="114" s="1"/>
  <c r="G1367" i="114" a="1"/>
  <c r="G1367" i="114" s="1"/>
  <c r="I1367" i="114" s="1"/>
  <c r="H1367" i="114" a="1"/>
  <c r="H1367" i="114" s="1"/>
  <c r="F1368" i="114" a="1"/>
  <c r="F1368" i="114" s="1"/>
  <c r="G1368" i="114" a="1"/>
  <c r="G1368" i="114" s="1"/>
  <c r="I1368" i="114" s="1"/>
  <c r="H1368" i="114" a="1"/>
  <c r="H1368" i="114" s="1"/>
  <c r="H1369" i="114" a="1"/>
  <c r="H1369" i="114" s="1"/>
  <c r="F1371" i="114" a="1"/>
  <c r="F1371" i="114" s="1"/>
  <c r="G1371" i="114" a="1"/>
  <c r="G1371" i="114" s="1"/>
  <c r="I1371" i="114" s="1"/>
  <c r="H1371" i="114" a="1"/>
  <c r="H1371" i="114" s="1"/>
  <c r="F1372" i="114" a="1"/>
  <c r="F1372" i="114" s="1"/>
  <c r="G1372" i="114" a="1"/>
  <c r="G1372" i="114" s="1"/>
  <c r="I1372" i="114" s="1"/>
  <c r="H1372" i="114" a="1"/>
  <c r="H1372" i="114" s="1"/>
  <c r="F1373" i="114" a="1"/>
  <c r="F1373" i="114" s="1"/>
  <c r="G1373" i="114" a="1"/>
  <c r="G1373" i="114" s="1"/>
  <c r="I1373" i="114" s="1"/>
  <c r="H1373" i="114" a="1"/>
  <c r="H1373" i="114" s="1"/>
  <c r="F1374" i="114" a="1"/>
  <c r="F1374" i="114" s="1"/>
  <c r="G1374" i="114" a="1"/>
  <c r="G1374" i="114" s="1"/>
  <c r="I1374" i="114" s="1"/>
  <c r="H1374" i="114" a="1"/>
  <c r="H1374" i="114" s="1"/>
  <c r="F1375" i="114" a="1"/>
  <c r="F1375" i="114" s="1"/>
  <c r="G1375" i="114" a="1"/>
  <c r="G1375" i="114" s="1"/>
  <c r="I1375" i="114" s="1"/>
  <c r="H1375" i="114" a="1"/>
  <c r="H1375" i="114" s="1"/>
  <c r="F1376" i="114" a="1"/>
  <c r="F1376" i="114" s="1"/>
  <c r="G1376" i="114" a="1"/>
  <c r="G1376" i="114" s="1"/>
  <c r="I1376" i="114" s="1"/>
  <c r="H1376" i="114" a="1"/>
  <c r="H1376" i="114" s="1"/>
  <c r="F1377" i="114" a="1"/>
  <c r="F1377" i="114" s="1"/>
  <c r="G1377" i="114" a="1"/>
  <c r="G1377" i="114" s="1"/>
  <c r="I1377" i="114" s="1"/>
  <c r="H1377" i="114" a="1"/>
  <c r="H1377" i="114" s="1"/>
  <c r="H1378" i="114" a="1"/>
  <c r="H1378" i="114" s="1"/>
  <c r="F1380" i="114" a="1"/>
  <c r="F1380" i="114" s="1"/>
  <c r="G1380" i="114" a="1"/>
  <c r="G1380" i="114" s="1"/>
  <c r="I1380" i="114" s="1"/>
  <c r="H1380" i="114" a="1"/>
  <c r="H1380" i="114" s="1"/>
  <c r="F1381" i="114" a="1"/>
  <c r="F1381" i="114" s="1"/>
  <c r="G1381" i="114" a="1"/>
  <c r="G1381" i="114" s="1"/>
  <c r="I1381" i="114" s="1"/>
  <c r="H1381" i="114" a="1"/>
  <c r="H1381" i="114" s="1"/>
  <c r="F1382" i="114" a="1"/>
  <c r="F1382" i="114" s="1"/>
  <c r="G1382" i="114" a="1"/>
  <c r="G1382" i="114" s="1"/>
  <c r="I1382" i="114" s="1"/>
  <c r="H1382" i="114" a="1"/>
  <c r="H1382" i="114" s="1"/>
  <c r="F1383" i="114" a="1"/>
  <c r="F1383" i="114" s="1"/>
  <c r="G1383" i="114" a="1"/>
  <c r="G1383" i="114" s="1"/>
  <c r="I1383" i="114" s="1"/>
  <c r="H1383" i="114" a="1"/>
  <c r="H1383" i="114" s="1"/>
  <c r="F1384" i="114" a="1"/>
  <c r="F1384" i="114" s="1"/>
  <c r="G1384" i="114" a="1"/>
  <c r="G1384" i="114" s="1"/>
  <c r="I1384" i="114" s="1"/>
  <c r="H1384" i="114" a="1"/>
  <c r="H1384" i="114" s="1"/>
  <c r="F1385" i="114" a="1"/>
  <c r="F1385" i="114" s="1"/>
  <c r="G1385" i="114" a="1"/>
  <c r="G1385" i="114" s="1"/>
  <c r="I1385" i="114" s="1"/>
  <c r="H1385" i="114" a="1"/>
  <c r="H1385" i="114" s="1"/>
  <c r="F1386" i="114" a="1"/>
  <c r="F1386" i="114" s="1"/>
  <c r="G1386" i="114" a="1"/>
  <c r="G1386" i="114" s="1"/>
  <c r="I1386" i="114" s="1"/>
  <c r="H1386" i="114" a="1"/>
  <c r="H1386" i="114" s="1"/>
  <c r="H1387" i="114" a="1"/>
  <c r="H1387" i="114" s="1"/>
  <c r="F1389" i="114" a="1"/>
  <c r="F1389" i="114" s="1"/>
  <c r="G1389" i="114" a="1"/>
  <c r="G1389" i="114" s="1"/>
  <c r="I1389" i="114" s="1"/>
  <c r="H1389" i="114" a="1"/>
  <c r="H1389" i="114" s="1"/>
  <c r="F1390" i="114" a="1"/>
  <c r="F1390" i="114" s="1"/>
  <c r="G1390" i="114" a="1"/>
  <c r="G1390" i="114" s="1"/>
  <c r="I1390" i="114" s="1"/>
  <c r="H1390" i="114" a="1"/>
  <c r="H1390" i="114" s="1"/>
  <c r="F1391" i="114" a="1"/>
  <c r="F1391" i="114" s="1"/>
  <c r="G1391" i="114" a="1"/>
  <c r="G1391" i="114" s="1"/>
  <c r="I1391" i="114" s="1"/>
  <c r="H1391" i="114" a="1"/>
  <c r="H1391" i="114" s="1"/>
  <c r="F1392" i="114" a="1"/>
  <c r="F1392" i="114" s="1"/>
  <c r="G1392" i="114" a="1"/>
  <c r="G1392" i="114" s="1"/>
  <c r="I1392" i="114" s="1"/>
  <c r="H1392" i="114" a="1"/>
  <c r="H1392" i="114" s="1"/>
  <c r="F1393" i="114" a="1"/>
  <c r="F1393" i="114" s="1"/>
  <c r="G1393" i="114" a="1"/>
  <c r="G1393" i="114" s="1"/>
  <c r="I1393" i="114" s="1"/>
  <c r="H1393" i="114" a="1"/>
  <c r="H1393" i="114" s="1"/>
  <c r="F1394" i="114" a="1"/>
  <c r="F1394" i="114" s="1"/>
  <c r="G1394" i="114" a="1"/>
  <c r="G1394" i="114" s="1"/>
  <c r="I1394" i="114" s="1"/>
  <c r="H1394" i="114" a="1"/>
  <c r="H1394" i="114" s="1"/>
  <c r="F1395" i="114" a="1"/>
  <c r="F1395" i="114" s="1"/>
  <c r="G1395" i="114" a="1"/>
  <c r="G1395" i="114" s="1"/>
  <c r="I1395" i="114" s="1"/>
  <c r="H1395" i="114" a="1"/>
  <c r="H1395" i="114" s="1"/>
  <c r="H1396" i="114" a="1"/>
  <c r="H1396" i="114" s="1"/>
  <c r="F1398" i="114" a="1"/>
  <c r="F1398" i="114" s="1"/>
  <c r="G1398" i="114" a="1"/>
  <c r="G1398" i="114" s="1"/>
  <c r="I1398" i="114" s="1"/>
  <c r="H1398" i="114" a="1"/>
  <c r="H1398" i="114" s="1"/>
  <c r="F1399" i="114" a="1"/>
  <c r="F1399" i="114" s="1"/>
  <c r="G1399" i="114" a="1"/>
  <c r="G1399" i="114" s="1"/>
  <c r="I1399" i="114" s="1"/>
  <c r="H1399" i="114" a="1"/>
  <c r="H1399" i="114" s="1"/>
  <c r="F1400" i="114" a="1"/>
  <c r="F1400" i="114" s="1"/>
  <c r="G1400" i="114" a="1"/>
  <c r="G1400" i="114" s="1"/>
  <c r="I1400" i="114" s="1"/>
  <c r="H1400" i="114" a="1"/>
  <c r="H1400" i="114" s="1"/>
  <c r="F1401" i="114" a="1"/>
  <c r="F1401" i="114" s="1"/>
  <c r="G1401" i="114" a="1"/>
  <c r="G1401" i="114" s="1"/>
  <c r="I1401" i="114" s="1"/>
  <c r="H1401" i="114" a="1"/>
  <c r="H1401" i="114" s="1"/>
  <c r="F1402" i="114" a="1"/>
  <c r="F1402" i="114" s="1"/>
  <c r="G1402" i="114" a="1"/>
  <c r="G1402" i="114" s="1"/>
  <c r="I1402" i="114" s="1"/>
  <c r="H1402" i="114" a="1"/>
  <c r="H1402" i="114" s="1"/>
  <c r="F1403" i="114" a="1"/>
  <c r="F1403" i="114" s="1"/>
  <c r="G1403" i="114" a="1"/>
  <c r="G1403" i="114" s="1"/>
  <c r="I1403" i="114" s="1"/>
  <c r="H1403" i="114" a="1"/>
  <c r="H1403" i="114" s="1"/>
  <c r="F1404" i="114" a="1"/>
  <c r="F1404" i="114" s="1"/>
  <c r="G1404" i="114" a="1"/>
  <c r="G1404" i="114" s="1"/>
  <c r="I1404" i="114" s="1"/>
  <c r="H1404" i="114" a="1"/>
  <c r="H1404" i="114" s="1"/>
  <c r="H1405" i="114" a="1"/>
  <c r="H1405" i="114" s="1"/>
  <c r="F1407" i="114" a="1"/>
  <c r="F1407" i="114" s="1"/>
  <c r="G1407" i="114" a="1"/>
  <c r="G1407" i="114" s="1"/>
  <c r="I1407" i="114" s="1"/>
  <c r="H1407" i="114" a="1"/>
  <c r="H1407" i="114" s="1"/>
  <c r="F1408" i="114" a="1"/>
  <c r="F1408" i="114" s="1"/>
  <c r="G1408" i="114" a="1"/>
  <c r="G1408" i="114" s="1"/>
  <c r="I1408" i="114" s="1"/>
  <c r="H1408" i="114" a="1"/>
  <c r="H1408" i="114" s="1"/>
  <c r="F1409" i="114" a="1"/>
  <c r="F1409" i="114" s="1"/>
  <c r="G1409" i="114" a="1"/>
  <c r="G1409" i="114" s="1"/>
  <c r="I1409" i="114" s="1"/>
  <c r="H1409" i="114" a="1"/>
  <c r="H1409" i="114" s="1"/>
  <c r="F1410" i="114" a="1"/>
  <c r="F1410" i="114" s="1"/>
  <c r="G1410" i="114" a="1"/>
  <c r="G1410" i="114" s="1"/>
  <c r="I1410" i="114" s="1"/>
  <c r="H1410" i="114" a="1"/>
  <c r="H1410" i="114" s="1"/>
  <c r="F1411" i="114" a="1"/>
  <c r="F1411" i="114" s="1"/>
  <c r="G1411" i="114" a="1"/>
  <c r="G1411" i="114" s="1"/>
  <c r="I1411" i="114" s="1"/>
  <c r="H1411" i="114" a="1"/>
  <c r="H1411" i="114" s="1"/>
  <c r="F1412" i="114" a="1"/>
  <c r="F1412" i="114" s="1"/>
  <c r="G1412" i="114" a="1"/>
  <c r="G1412" i="114" s="1"/>
  <c r="I1412" i="114" s="1"/>
  <c r="H1412" i="114" a="1"/>
  <c r="H1412" i="114" s="1"/>
  <c r="F1413" i="114" a="1"/>
  <c r="F1413" i="114" s="1"/>
  <c r="G1413" i="114" a="1"/>
  <c r="G1413" i="114" s="1"/>
  <c r="I1413" i="114" s="1"/>
  <c r="H1413" i="114" a="1"/>
  <c r="H1413" i="114" s="1"/>
  <c r="H1414" i="114" a="1"/>
  <c r="H1414" i="114" s="1"/>
  <c r="F1416" i="114" a="1"/>
  <c r="F1416" i="114" s="1"/>
  <c r="G1416" i="114" a="1"/>
  <c r="G1416" i="114" s="1"/>
  <c r="I1416" i="114" s="1"/>
  <c r="H1416" i="114" a="1"/>
  <c r="H1416" i="114" s="1"/>
  <c r="F1417" i="114" a="1"/>
  <c r="F1417" i="114" s="1"/>
  <c r="G1417" i="114" a="1"/>
  <c r="G1417" i="114" s="1"/>
  <c r="I1417" i="114" s="1"/>
  <c r="H1417" i="114" a="1"/>
  <c r="H1417" i="114" s="1"/>
  <c r="F1418" i="114" a="1"/>
  <c r="F1418" i="114" s="1"/>
  <c r="G1418" i="114" a="1"/>
  <c r="G1418" i="114" s="1"/>
  <c r="I1418" i="114" s="1"/>
  <c r="H1418" i="114" a="1"/>
  <c r="H1418" i="114" s="1"/>
  <c r="F1419" i="114" a="1"/>
  <c r="F1419" i="114" s="1"/>
  <c r="G1419" i="114" a="1"/>
  <c r="G1419" i="114" s="1"/>
  <c r="I1419" i="114" s="1"/>
  <c r="H1419" i="114" a="1"/>
  <c r="H1419" i="114" s="1"/>
  <c r="F1420" i="114" a="1"/>
  <c r="F1420" i="114" s="1"/>
  <c r="G1420" i="114" a="1"/>
  <c r="G1420" i="114" s="1"/>
  <c r="I1420" i="114" s="1"/>
  <c r="H1420" i="114" a="1"/>
  <c r="H1420" i="114" s="1"/>
  <c r="F1421" i="114" a="1"/>
  <c r="F1421" i="114" s="1"/>
  <c r="G1421" i="114" a="1"/>
  <c r="G1421" i="114" s="1"/>
  <c r="I1421" i="114" s="1"/>
  <c r="H1421" i="114" a="1"/>
  <c r="H1421" i="114" s="1"/>
  <c r="F1422" i="114" a="1"/>
  <c r="F1422" i="114" s="1"/>
  <c r="G1422" i="114" a="1"/>
  <c r="G1422" i="114" s="1"/>
  <c r="I1422" i="114" s="1"/>
  <c r="H1422" i="114" a="1"/>
  <c r="H1422" i="114" s="1"/>
  <c r="H1423" i="114" a="1"/>
  <c r="H1423" i="114" s="1"/>
  <c r="F1425" i="114" a="1"/>
  <c r="F1425" i="114" s="1"/>
  <c r="G1425" i="114" a="1"/>
  <c r="G1425" i="114" s="1"/>
  <c r="I1425" i="114" s="1"/>
  <c r="H1425" i="114" a="1"/>
  <c r="H1425" i="114" s="1"/>
  <c r="F1426" i="114" a="1"/>
  <c r="F1426" i="114" s="1"/>
  <c r="G1426" i="114" a="1"/>
  <c r="G1426" i="114" s="1"/>
  <c r="I1426" i="114" s="1"/>
  <c r="H1426" i="114" a="1"/>
  <c r="H1426" i="114" s="1"/>
  <c r="F1427" i="114" a="1"/>
  <c r="F1427" i="114" s="1"/>
  <c r="G1427" i="114" a="1"/>
  <c r="G1427" i="114" s="1"/>
  <c r="I1427" i="114" s="1"/>
  <c r="H1427" i="114" a="1"/>
  <c r="H1427" i="114" s="1"/>
  <c r="F1428" i="114" a="1"/>
  <c r="F1428" i="114" s="1"/>
  <c r="G1428" i="114" a="1"/>
  <c r="G1428" i="114" s="1"/>
  <c r="I1428" i="114" s="1"/>
  <c r="H1428" i="114" a="1"/>
  <c r="H1428" i="114" s="1"/>
  <c r="F1429" i="114" a="1"/>
  <c r="F1429" i="114" s="1"/>
  <c r="G1429" i="114" a="1"/>
  <c r="G1429" i="114" s="1"/>
  <c r="I1429" i="114" s="1"/>
  <c r="H1429" i="114" a="1"/>
  <c r="H1429" i="114" s="1"/>
  <c r="F1430" i="114" a="1"/>
  <c r="F1430" i="114" s="1"/>
  <c r="G1430" i="114" a="1"/>
  <c r="G1430" i="114" s="1"/>
  <c r="I1430" i="114" s="1"/>
  <c r="H1430" i="114" a="1"/>
  <c r="H1430" i="114" s="1"/>
  <c r="F1431" i="114" a="1"/>
  <c r="F1431" i="114" s="1"/>
  <c r="G1431" i="114" a="1"/>
  <c r="G1431" i="114" s="1"/>
  <c r="I1431" i="114" s="1"/>
  <c r="H1431" i="114" a="1"/>
  <c r="H1431" i="114" s="1"/>
  <c r="H1432" i="114" a="1"/>
  <c r="H1432" i="114" s="1"/>
  <c r="F1434" i="114" a="1"/>
  <c r="F1434" i="114" s="1"/>
  <c r="G1434" i="114" a="1"/>
  <c r="G1434" i="114" s="1"/>
  <c r="I1434" i="114" s="1"/>
  <c r="H1434" i="114" a="1"/>
  <c r="H1434" i="114" s="1"/>
  <c r="F1435" i="114" a="1"/>
  <c r="F1435" i="114" s="1"/>
  <c r="G1435" i="114" a="1"/>
  <c r="G1435" i="114" s="1"/>
  <c r="I1435" i="114" s="1"/>
  <c r="H1435" i="114" a="1"/>
  <c r="H1435" i="114" s="1"/>
  <c r="F1436" i="114" a="1"/>
  <c r="F1436" i="114" s="1"/>
  <c r="G1436" i="114" a="1"/>
  <c r="G1436" i="114" s="1"/>
  <c r="I1436" i="114" s="1"/>
  <c r="H1436" i="114" a="1"/>
  <c r="H1436" i="114" s="1"/>
  <c r="F1437" i="114" a="1"/>
  <c r="F1437" i="114" s="1"/>
  <c r="G1437" i="114" a="1"/>
  <c r="G1437" i="114" s="1"/>
  <c r="I1437" i="114" s="1"/>
  <c r="H1437" i="114" a="1"/>
  <c r="H1437" i="114" s="1"/>
  <c r="F1438" i="114" a="1"/>
  <c r="F1438" i="114" s="1"/>
  <c r="G1438" i="114" a="1"/>
  <c r="G1438" i="114" s="1"/>
  <c r="I1438" i="114" s="1"/>
  <c r="H1438" i="114" a="1"/>
  <c r="H1438" i="114" s="1"/>
  <c r="F1439" i="114" a="1"/>
  <c r="F1439" i="114" s="1"/>
  <c r="G1439" i="114" a="1"/>
  <c r="G1439" i="114" s="1"/>
  <c r="I1439" i="114" s="1"/>
  <c r="H1439" i="114" a="1"/>
  <c r="H1439" i="114" s="1"/>
  <c r="F1440" i="114" a="1"/>
  <c r="F1440" i="114" s="1"/>
  <c r="G1440" i="114" a="1"/>
  <c r="G1440" i="114" s="1"/>
  <c r="I1440" i="114" s="1"/>
  <c r="H1440" i="114" a="1"/>
  <c r="H1440" i="114" s="1"/>
  <c r="H1441" i="114" a="1"/>
  <c r="H1441" i="114" s="1"/>
  <c r="F1443" i="114" a="1"/>
  <c r="F1443" i="114" s="1"/>
  <c r="G1443" i="114" a="1"/>
  <c r="G1443" i="114" s="1"/>
  <c r="I1443" i="114" s="1"/>
  <c r="H1443" i="114" a="1"/>
  <c r="H1443" i="114" s="1"/>
  <c r="F1444" i="114" a="1"/>
  <c r="F1444" i="114" s="1"/>
  <c r="G1444" i="114" a="1"/>
  <c r="G1444" i="114" s="1"/>
  <c r="I1444" i="114" s="1"/>
  <c r="H1444" i="114" a="1"/>
  <c r="H1444" i="114" s="1"/>
  <c r="F1445" i="114" a="1"/>
  <c r="F1445" i="114" s="1"/>
  <c r="G1445" i="114" a="1"/>
  <c r="G1445" i="114" s="1"/>
  <c r="I1445" i="114" s="1"/>
  <c r="H1445" i="114" a="1"/>
  <c r="H1445" i="114" s="1"/>
  <c r="F1446" i="114" a="1"/>
  <c r="F1446" i="114" s="1"/>
  <c r="G1446" i="114" a="1"/>
  <c r="G1446" i="114" s="1"/>
  <c r="I1446" i="114" s="1"/>
  <c r="H1446" i="114" a="1"/>
  <c r="H1446" i="114" s="1"/>
  <c r="F1447" i="114" a="1"/>
  <c r="F1447" i="114" s="1"/>
  <c r="G1447" i="114" a="1"/>
  <c r="G1447" i="114" s="1"/>
  <c r="I1447" i="114" s="1"/>
  <c r="H1447" i="114" a="1"/>
  <c r="H1447" i="114" s="1"/>
  <c r="F1448" i="114" a="1"/>
  <c r="F1448" i="114" s="1"/>
  <c r="G1448" i="114" a="1"/>
  <c r="G1448" i="114" s="1"/>
  <c r="I1448" i="114" s="1"/>
  <c r="H1448" i="114" a="1"/>
  <c r="H1448" i="114" s="1"/>
  <c r="F1449" i="114" a="1"/>
  <c r="F1449" i="114" s="1"/>
  <c r="G1449" i="114" a="1"/>
  <c r="G1449" i="114" s="1"/>
  <c r="I1449" i="114" s="1"/>
  <c r="H1449" i="114" a="1"/>
  <c r="H1449" i="114" s="1"/>
  <c r="H1450" i="114" a="1"/>
  <c r="H1450" i="114" s="1"/>
  <c r="F1452" i="114" a="1"/>
  <c r="F1452" i="114" s="1"/>
  <c r="G1452" i="114" a="1"/>
  <c r="G1452" i="114" s="1"/>
  <c r="I1452" i="114" s="1"/>
  <c r="H1452" i="114" a="1"/>
  <c r="H1452" i="114" s="1"/>
  <c r="F1453" i="114" a="1"/>
  <c r="F1453" i="114" s="1"/>
  <c r="G1453" i="114" a="1"/>
  <c r="G1453" i="114" s="1"/>
  <c r="I1453" i="114" s="1"/>
  <c r="H1453" i="114" a="1"/>
  <c r="H1453" i="114" s="1"/>
  <c r="F1454" i="114" a="1"/>
  <c r="F1454" i="114" s="1"/>
  <c r="G1454" i="114" a="1"/>
  <c r="G1454" i="114" s="1"/>
  <c r="I1454" i="114" s="1"/>
  <c r="H1454" i="114" a="1"/>
  <c r="H1454" i="114" s="1"/>
  <c r="F1455" i="114" a="1"/>
  <c r="F1455" i="114" s="1"/>
  <c r="G1455" i="114" a="1"/>
  <c r="G1455" i="114" s="1"/>
  <c r="I1455" i="114" s="1"/>
  <c r="H1455" i="114" a="1"/>
  <c r="H1455" i="114" s="1"/>
  <c r="F1456" i="114" a="1"/>
  <c r="F1456" i="114" s="1"/>
  <c r="G1456" i="114" a="1"/>
  <c r="G1456" i="114" s="1"/>
  <c r="I1456" i="114" s="1"/>
  <c r="H1456" i="114" a="1"/>
  <c r="H1456" i="114" s="1"/>
  <c r="F1457" i="114" a="1"/>
  <c r="F1457" i="114" s="1"/>
  <c r="G1457" i="114" a="1"/>
  <c r="G1457" i="114" s="1"/>
  <c r="I1457" i="114" s="1"/>
  <c r="H1457" i="114" a="1"/>
  <c r="H1457" i="114" s="1"/>
  <c r="F1458" i="114" a="1"/>
  <c r="F1458" i="114" s="1"/>
  <c r="G1458" i="114" a="1"/>
  <c r="G1458" i="114" s="1"/>
  <c r="I1458" i="114" s="1"/>
  <c r="H1458" i="114" a="1"/>
  <c r="H1458" i="114" s="1"/>
  <c r="H1459" i="114" a="1"/>
  <c r="H1459" i="114" s="1"/>
  <c r="F1461" i="114" a="1"/>
  <c r="F1461" i="114" s="1"/>
  <c r="G1461" i="114" a="1"/>
  <c r="G1461" i="114" s="1"/>
  <c r="I1461" i="114" s="1"/>
  <c r="H1461" i="114" a="1"/>
  <c r="H1461" i="114" s="1"/>
  <c r="F1462" i="114" a="1"/>
  <c r="F1462" i="114" s="1"/>
  <c r="G1462" i="114" a="1"/>
  <c r="G1462" i="114" s="1"/>
  <c r="I1462" i="114" s="1"/>
  <c r="H1462" i="114" a="1"/>
  <c r="H1462" i="114" s="1"/>
  <c r="F1463" i="114" a="1"/>
  <c r="F1463" i="114" s="1"/>
  <c r="G1463" i="114" a="1"/>
  <c r="G1463" i="114" s="1"/>
  <c r="I1463" i="114" s="1"/>
  <c r="H1463" i="114" a="1"/>
  <c r="H1463" i="114" s="1"/>
  <c r="F1464" i="114" a="1"/>
  <c r="F1464" i="114" s="1"/>
  <c r="G1464" i="114" a="1"/>
  <c r="G1464" i="114" s="1"/>
  <c r="I1464" i="114" s="1"/>
  <c r="H1464" i="114" a="1"/>
  <c r="H1464" i="114" s="1"/>
  <c r="F1465" i="114" a="1"/>
  <c r="F1465" i="114" s="1"/>
  <c r="G1465" i="114" a="1"/>
  <c r="G1465" i="114" s="1"/>
  <c r="I1465" i="114" s="1"/>
  <c r="H1465" i="114" a="1"/>
  <c r="H1465" i="114" s="1"/>
  <c r="F1466" i="114" a="1"/>
  <c r="F1466" i="114" s="1"/>
  <c r="G1466" i="114" a="1"/>
  <c r="G1466" i="114" s="1"/>
  <c r="I1466" i="114" s="1"/>
  <c r="H1466" i="114" a="1"/>
  <c r="H1466" i="114" s="1"/>
  <c r="F1467" i="114" a="1"/>
  <c r="F1467" i="114" s="1"/>
  <c r="G1467" i="114" a="1"/>
  <c r="G1467" i="114" s="1"/>
  <c r="I1467" i="114" s="1"/>
  <c r="H1467" i="114" a="1"/>
  <c r="H1467" i="114" s="1"/>
  <c r="H1468" i="114" a="1"/>
  <c r="H1468" i="114" s="1"/>
  <c r="F1470" i="114" a="1"/>
  <c r="F1470" i="114" s="1"/>
  <c r="G1470" i="114" a="1"/>
  <c r="G1470" i="114" s="1"/>
  <c r="I1470" i="114" s="1"/>
  <c r="H1470" i="114" a="1"/>
  <c r="H1470" i="114" s="1"/>
  <c r="F1471" i="114" a="1"/>
  <c r="F1471" i="114" s="1"/>
  <c r="G1471" i="114" a="1"/>
  <c r="G1471" i="114" s="1"/>
  <c r="I1471" i="114" s="1"/>
  <c r="H1471" i="114" a="1"/>
  <c r="H1471" i="114" s="1"/>
  <c r="F1472" i="114" a="1"/>
  <c r="F1472" i="114" s="1"/>
  <c r="G1472" i="114" a="1"/>
  <c r="G1472" i="114" s="1"/>
  <c r="I1472" i="114" s="1"/>
  <c r="H1472" i="114" a="1"/>
  <c r="H1472" i="114" s="1"/>
  <c r="F1473" i="114" a="1"/>
  <c r="F1473" i="114" s="1"/>
  <c r="G1473" i="114" a="1"/>
  <c r="G1473" i="114" s="1"/>
  <c r="I1473" i="114" s="1"/>
  <c r="H1473" i="114" a="1"/>
  <c r="H1473" i="114" s="1"/>
  <c r="F1474" i="114" a="1"/>
  <c r="F1474" i="114" s="1"/>
  <c r="G1474" i="114" a="1"/>
  <c r="G1474" i="114" s="1"/>
  <c r="I1474" i="114" s="1"/>
  <c r="H1474" i="114" a="1"/>
  <c r="H1474" i="114" s="1"/>
  <c r="F1475" i="114" a="1"/>
  <c r="F1475" i="114" s="1"/>
  <c r="G1475" i="114" a="1"/>
  <c r="G1475" i="114" s="1"/>
  <c r="I1475" i="114" s="1"/>
  <c r="H1475" i="114" a="1"/>
  <c r="H1475" i="114" s="1"/>
  <c r="F1476" i="114" a="1"/>
  <c r="F1476" i="114" s="1"/>
  <c r="G1476" i="114" a="1"/>
  <c r="G1476" i="114" s="1"/>
  <c r="I1476" i="114" s="1"/>
  <c r="H1476" i="114" a="1"/>
  <c r="H1476" i="114" s="1"/>
  <c r="H1477" i="114" a="1"/>
  <c r="H1477" i="114" s="1"/>
  <c r="F1479" i="114" a="1"/>
  <c r="F1479" i="114" s="1"/>
  <c r="G1479" i="114" a="1"/>
  <c r="G1479" i="114" s="1"/>
  <c r="I1479" i="114" s="1"/>
  <c r="H1479" i="114" a="1"/>
  <c r="H1479" i="114" s="1"/>
  <c r="F1480" i="114" a="1"/>
  <c r="F1480" i="114" s="1"/>
  <c r="G1480" i="114" a="1"/>
  <c r="G1480" i="114" s="1"/>
  <c r="I1480" i="114" s="1"/>
  <c r="H1480" i="114" a="1"/>
  <c r="H1480" i="114" s="1"/>
  <c r="F1481" i="114" a="1"/>
  <c r="F1481" i="114" s="1"/>
  <c r="G1481" i="114" a="1"/>
  <c r="G1481" i="114" s="1"/>
  <c r="I1481" i="114" s="1"/>
  <c r="H1481" i="114" a="1"/>
  <c r="H1481" i="114" s="1"/>
  <c r="F1482" i="114" a="1"/>
  <c r="F1482" i="114" s="1"/>
  <c r="G1482" i="114" a="1"/>
  <c r="G1482" i="114" s="1"/>
  <c r="I1482" i="114" s="1"/>
  <c r="H1482" i="114" a="1"/>
  <c r="H1482" i="114" s="1"/>
  <c r="F1483" i="114" a="1"/>
  <c r="F1483" i="114" s="1"/>
  <c r="G1483" i="114" a="1"/>
  <c r="G1483" i="114" s="1"/>
  <c r="I1483" i="114" s="1"/>
  <c r="H1483" i="114" a="1"/>
  <c r="H1483" i="114" s="1"/>
  <c r="F1484" i="114" a="1"/>
  <c r="F1484" i="114" s="1"/>
  <c r="G1484" i="114" a="1"/>
  <c r="G1484" i="114" s="1"/>
  <c r="I1484" i="114" s="1"/>
  <c r="H1484" i="114" a="1"/>
  <c r="H1484" i="114" s="1"/>
  <c r="F1485" i="114" a="1"/>
  <c r="F1485" i="114" s="1"/>
  <c r="G1485" i="114" a="1"/>
  <c r="G1485" i="114" s="1"/>
  <c r="I1485" i="114" s="1"/>
  <c r="H1485" i="114" a="1"/>
  <c r="H1485" i="114" s="1"/>
  <c r="H1486" i="114" a="1"/>
  <c r="H1486" i="114" s="1"/>
  <c r="F1488" i="114" a="1"/>
  <c r="F1488" i="114" s="1"/>
  <c r="G1488" i="114" a="1"/>
  <c r="G1488" i="114" s="1"/>
  <c r="I1488" i="114" s="1"/>
  <c r="H1488" i="114" a="1"/>
  <c r="H1488" i="114" s="1"/>
  <c r="F1489" i="114" a="1"/>
  <c r="F1489" i="114" s="1"/>
  <c r="G1489" i="114" a="1"/>
  <c r="G1489" i="114" s="1"/>
  <c r="I1489" i="114" s="1"/>
  <c r="H1489" i="114" a="1"/>
  <c r="H1489" i="114" s="1"/>
  <c r="F1490" i="114" a="1"/>
  <c r="F1490" i="114" s="1"/>
  <c r="G1490" i="114" a="1"/>
  <c r="G1490" i="114" s="1"/>
  <c r="I1490" i="114" s="1"/>
  <c r="H1490" i="114" a="1"/>
  <c r="H1490" i="114" s="1"/>
  <c r="F1491" i="114" a="1"/>
  <c r="F1491" i="114" s="1"/>
  <c r="G1491" i="114" a="1"/>
  <c r="G1491" i="114" s="1"/>
  <c r="I1491" i="114" s="1"/>
  <c r="H1491" i="114" a="1"/>
  <c r="H1491" i="114" s="1"/>
  <c r="F1492" i="114" a="1"/>
  <c r="F1492" i="114" s="1"/>
  <c r="G1492" i="114" a="1"/>
  <c r="G1492" i="114" s="1"/>
  <c r="I1492" i="114" s="1"/>
  <c r="H1492" i="114" a="1"/>
  <c r="H1492" i="114" s="1"/>
  <c r="F1493" i="114" a="1"/>
  <c r="F1493" i="114" s="1"/>
  <c r="G1493" i="114" a="1"/>
  <c r="G1493" i="114" s="1"/>
  <c r="I1493" i="114" s="1"/>
  <c r="H1493" i="114" a="1"/>
  <c r="H1493" i="114" s="1"/>
  <c r="F1494" i="114" a="1"/>
  <c r="F1494" i="114" s="1"/>
  <c r="G1494" i="114" a="1"/>
  <c r="G1494" i="114" s="1"/>
  <c r="I1494" i="114" s="1"/>
  <c r="H1494" i="114" a="1"/>
  <c r="H1494" i="114" s="1"/>
  <c r="H1495" i="114" a="1"/>
  <c r="H1495" i="114" s="1"/>
  <c r="F1497" i="114" a="1"/>
  <c r="F1497" i="114" s="1"/>
  <c r="G1497" i="114" a="1"/>
  <c r="G1497" i="114" s="1"/>
  <c r="I1497" i="114" s="1"/>
  <c r="H1497" i="114" a="1"/>
  <c r="H1497" i="114" s="1"/>
  <c r="F1498" i="114" a="1"/>
  <c r="F1498" i="114" s="1"/>
  <c r="G1498" i="114" a="1"/>
  <c r="G1498" i="114" s="1"/>
  <c r="I1498" i="114" s="1"/>
  <c r="H1498" i="114" a="1"/>
  <c r="H1498" i="114" s="1"/>
  <c r="F1499" i="114" a="1"/>
  <c r="F1499" i="114" s="1"/>
  <c r="G1499" i="114" a="1"/>
  <c r="G1499" i="114" s="1"/>
  <c r="I1499" i="114" s="1"/>
  <c r="H1499" i="114" a="1"/>
  <c r="H1499" i="114" s="1"/>
  <c r="F1500" i="114" a="1"/>
  <c r="F1500" i="114" s="1"/>
  <c r="G1500" i="114" a="1"/>
  <c r="G1500" i="114" s="1"/>
  <c r="I1500" i="114" s="1"/>
  <c r="H1500" i="114" a="1"/>
  <c r="H1500" i="114" s="1"/>
  <c r="F1501" i="114" a="1"/>
  <c r="F1501" i="114" s="1"/>
  <c r="G1501" i="114" a="1"/>
  <c r="G1501" i="114" s="1"/>
  <c r="I1501" i="114" s="1"/>
  <c r="H1501" i="114" a="1"/>
  <c r="H1501" i="114" s="1"/>
  <c r="F1502" i="114" a="1"/>
  <c r="F1502" i="114" s="1"/>
  <c r="G1502" i="114" a="1"/>
  <c r="G1502" i="114" s="1"/>
  <c r="I1502" i="114" s="1"/>
  <c r="H1502" i="114" a="1"/>
  <c r="H1502" i="114" s="1"/>
  <c r="F1503" i="114" a="1"/>
  <c r="F1503" i="114" s="1"/>
  <c r="G1503" i="114" a="1"/>
  <c r="G1503" i="114" s="1"/>
  <c r="I1503" i="114" s="1"/>
  <c r="H1503" i="114" a="1"/>
  <c r="H1503" i="114" s="1"/>
  <c r="H1504" i="114" a="1"/>
  <c r="H1504" i="114" s="1"/>
  <c r="F1506" i="114" a="1"/>
  <c r="F1506" i="114" s="1"/>
  <c r="G1506" i="114" a="1"/>
  <c r="G1506" i="114" s="1"/>
  <c r="I1506" i="114" s="1"/>
  <c r="H1506" i="114" a="1"/>
  <c r="H1506" i="114" s="1"/>
  <c r="F1507" i="114" a="1"/>
  <c r="F1507" i="114" s="1"/>
  <c r="G1507" i="114" a="1"/>
  <c r="G1507" i="114" s="1"/>
  <c r="I1507" i="114" s="1"/>
  <c r="H1507" i="114" a="1"/>
  <c r="H1507" i="114" s="1"/>
  <c r="F1508" i="114" a="1"/>
  <c r="F1508" i="114" s="1"/>
  <c r="G1508" i="114" a="1"/>
  <c r="G1508" i="114" s="1"/>
  <c r="I1508" i="114" s="1"/>
  <c r="H1508" i="114" a="1"/>
  <c r="H1508" i="114" s="1"/>
  <c r="F1509" i="114" a="1"/>
  <c r="F1509" i="114" s="1"/>
  <c r="G1509" i="114" a="1"/>
  <c r="G1509" i="114" s="1"/>
  <c r="I1509" i="114" s="1"/>
  <c r="H1509" i="114" a="1"/>
  <c r="H1509" i="114" s="1"/>
  <c r="F1510" i="114" a="1"/>
  <c r="F1510" i="114" s="1"/>
  <c r="G1510" i="114" a="1"/>
  <c r="G1510" i="114" s="1"/>
  <c r="I1510" i="114" s="1"/>
  <c r="H1510" i="114" a="1"/>
  <c r="H1510" i="114" s="1"/>
  <c r="F1511" i="114" a="1"/>
  <c r="F1511" i="114" s="1"/>
  <c r="G1511" i="114" a="1"/>
  <c r="G1511" i="114" s="1"/>
  <c r="I1511" i="114" s="1"/>
  <c r="H1511" i="114" a="1"/>
  <c r="H1511" i="114" s="1"/>
  <c r="F1512" i="114" a="1"/>
  <c r="F1512" i="114" s="1"/>
  <c r="G1512" i="114" a="1"/>
  <c r="G1512" i="114" s="1"/>
  <c r="I1512" i="114" s="1"/>
  <c r="H1512" i="114" a="1"/>
  <c r="H1512" i="114" s="1"/>
  <c r="H1513" i="114" a="1"/>
  <c r="H1513" i="114" s="1"/>
  <c r="F1515" i="114" a="1"/>
  <c r="F1515" i="114" s="1"/>
  <c r="G1515" i="114" a="1"/>
  <c r="G1515" i="114" s="1"/>
  <c r="I1515" i="114" s="1"/>
  <c r="H1515" i="114" a="1"/>
  <c r="H1515" i="114" s="1"/>
  <c r="F1516" i="114" a="1"/>
  <c r="F1516" i="114" s="1"/>
  <c r="G1516" i="114" a="1"/>
  <c r="G1516" i="114" s="1"/>
  <c r="I1516" i="114" s="1"/>
  <c r="H1516" i="114" a="1"/>
  <c r="H1516" i="114" s="1"/>
  <c r="F1517" i="114" a="1"/>
  <c r="F1517" i="114" s="1"/>
  <c r="G1517" i="114" a="1"/>
  <c r="G1517" i="114" s="1"/>
  <c r="I1517" i="114" s="1"/>
  <c r="H1517" i="114" a="1"/>
  <c r="H1517" i="114" s="1"/>
  <c r="F1518" i="114" a="1"/>
  <c r="F1518" i="114" s="1"/>
  <c r="G1518" i="114" a="1"/>
  <c r="G1518" i="114" s="1"/>
  <c r="I1518" i="114" s="1"/>
  <c r="H1518" i="114" a="1"/>
  <c r="H1518" i="114" s="1"/>
  <c r="F1519" i="114" a="1"/>
  <c r="F1519" i="114" s="1"/>
  <c r="G1519" i="114" a="1"/>
  <c r="G1519" i="114" s="1"/>
  <c r="I1519" i="114" s="1"/>
  <c r="H1519" i="114" a="1"/>
  <c r="H1519" i="114" s="1"/>
  <c r="F1520" i="114" a="1"/>
  <c r="F1520" i="114" s="1"/>
  <c r="G1520" i="114" a="1"/>
  <c r="G1520" i="114" s="1"/>
  <c r="I1520" i="114" s="1"/>
  <c r="H1520" i="114" a="1"/>
  <c r="H1520" i="114" s="1"/>
  <c r="F1521" i="114" a="1"/>
  <c r="F1521" i="114" s="1"/>
  <c r="G1521" i="114" a="1"/>
  <c r="G1521" i="114" s="1"/>
  <c r="I1521" i="114" s="1"/>
  <c r="H1521" i="114" a="1"/>
  <c r="H1521" i="114" s="1"/>
  <c r="H1522" i="114" a="1"/>
  <c r="H1522" i="114" s="1"/>
  <c r="F1524" i="114" a="1"/>
  <c r="F1524" i="114" s="1"/>
  <c r="G1524" i="114" a="1"/>
  <c r="G1524" i="114" s="1"/>
  <c r="I1524" i="114" s="1"/>
  <c r="H1524" i="114" a="1"/>
  <c r="H1524" i="114" s="1"/>
  <c r="F1525" i="114" a="1"/>
  <c r="F1525" i="114" s="1"/>
  <c r="G1525" i="114" a="1"/>
  <c r="G1525" i="114" s="1"/>
  <c r="I1525" i="114" s="1"/>
  <c r="H1525" i="114" a="1"/>
  <c r="H1525" i="114" s="1"/>
  <c r="F1526" i="114" a="1"/>
  <c r="F1526" i="114" s="1"/>
  <c r="G1526" i="114" a="1"/>
  <c r="G1526" i="114" s="1"/>
  <c r="I1526" i="114" s="1"/>
  <c r="H1526" i="114" a="1"/>
  <c r="H1526" i="114" s="1"/>
  <c r="F1527" i="114" a="1"/>
  <c r="F1527" i="114" s="1"/>
  <c r="G1527" i="114" a="1"/>
  <c r="G1527" i="114" s="1"/>
  <c r="I1527" i="114" s="1"/>
  <c r="H1527" i="114" a="1"/>
  <c r="H1527" i="114" s="1"/>
  <c r="F1528" i="114" a="1"/>
  <c r="F1528" i="114" s="1"/>
  <c r="G1528" i="114" a="1"/>
  <c r="G1528" i="114" s="1"/>
  <c r="I1528" i="114" s="1"/>
  <c r="H1528" i="114" a="1"/>
  <c r="H1528" i="114" s="1"/>
  <c r="F1529" i="114" a="1"/>
  <c r="F1529" i="114" s="1"/>
  <c r="G1529" i="114" a="1"/>
  <c r="G1529" i="114" s="1"/>
  <c r="I1529" i="114" s="1"/>
  <c r="H1529" i="114" a="1"/>
  <c r="H1529" i="114" s="1"/>
  <c r="F1530" i="114" a="1"/>
  <c r="F1530" i="114" s="1"/>
  <c r="G1530" i="114" a="1"/>
  <c r="G1530" i="114" s="1"/>
  <c r="I1530" i="114" s="1"/>
  <c r="H1530" i="114" a="1"/>
  <c r="H1530" i="114" s="1"/>
  <c r="H1531" i="114" a="1"/>
  <c r="H1531" i="114" s="1"/>
  <c r="F1533" i="114" a="1"/>
  <c r="F1533" i="114" s="1"/>
  <c r="G1533" i="114" a="1"/>
  <c r="G1533" i="114" s="1"/>
  <c r="I1533" i="114" s="1"/>
  <c r="H1533" i="114" a="1"/>
  <c r="H1533" i="114" s="1"/>
  <c r="F1534" i="114" a="1"/>
  <c r="F1534" i="114" s="1"/>
  <c r="G1534" i="114" a="1"/>
  <c r="G1534" i="114" s="1"/>
  <c r="I1534" i="114" s="1"/>
  <c r="H1534" i="114" a="1"/>
  <c r="H1534" i="114" s="1"/>
  <c r="F1535" i="114" a="1"/>
  <c r="F1535" i="114" s="1"/>
  <c r="G1535" i="114" a="1"/>
  <c r="G1535" i="114" s="1"/>
  <c r="I1535" i="114" s="1"/>
  <c r="H1535" i="114" a="1"/>
  <c r="H1535" i="114" s="1"/>
  <c r="F1536" i="114" a="1"/>
  <c r="F1536" i="114" s="1"/>
  <c r="G1536" i="114" a="1"/>
  <c r="G1536" i="114" s="1"/>
  <c r="I1536" i="114" s="1"/>
  <c r="H1536" i="114" a="1"/>
  <c r="H1536" i="114" s="1"/>
  <c r="F1537" i="114" a="1"/>
  <c r="F1537" i="114" s="1"/>
  <c r="G1537" i="114" a="1"/>
  <c r="G1537" i="114" s="1"/>
  <c r="I1537" i="114" s="1"/>
  <c r="H1537" i="114" a="1"/>
  <c r="H1537" i="114" s="1"/>
  <c r="F1538" i="114" a="1"/>
  <c r="F1538" i="114" s="1"/>
  <c r="G1538" i="114" a="1"/>
  <c r="G1538" i="114" s="1"/>
  <c r="I1538" i="114" s="1"/>
  <c r="H1538" i="114" a="1"/>
  <c r="H1538" i="114" s="1"/>
  <c r="F1539" i="114" a="1"/>
  <c r="F1539" i="114" s="1"/>
  <c r="G1539" i="114" a="1"/>
  <c r="G1539" i="114" s="1"/>
  <c r="I1539" i="114" s="1"/>
  <c r="H1539" i="114" a="1"/>
  <c r="H1539" i="114" s="1"/>
  <c r="H1540" i="114" a="1"/>
  <c r="H1540" i="114" s="1"/>
  <c r="F1542" i="114" a="1"/>
  <c r="F1542" i="114" s="1"/>
  <c r="G1542" i="114" a="1"/>
  <c r="G1542" i="114" s="1"/>
  <c r="I1542" i="114" s="1"/>
  <c r="H1542" i="114" a="1"/>
  <c r="H1542" i="114" s="1"/>
  <c r="F1543" i="114" a="1"/>
  <c r="F1543" i="114" s="1"/>
  <c r="G1543" i="114" a="1"/>
  <c r="G1543" i="114" s="1"/>
  <c r="I1543" i="114" s="1"/>
  <c r="H1543" i="114" a="1"/>
  <c r="H1543" i="114" s="1"/>
  <c r="F1544" i="114" a="1"/>
  <c r="F1544" i="114" s="1"/>
  <c r="G1544" i="114" a="1"/>
  <c r="G1544" i="114" s="1"/>
  <c r="I1544" i="114" s="1"/>
  <c r="H1544" i="114" a="1"/>
  <c r="H1544" i="114" s="1"/>
  <c r="F1545" i="114" a="1"/>
  <c r="F1545" i="114" s="1"/>
  <c r="G1545" i="114" a="1"/>
  <c r="G1545" i="114" s="1"/>
  <c r="I1545" i="114" s="1"/>
  <c r="H1545" i="114" a="1"/>
  <c r="H1545" i="114" s="1"/>
  <c r="F1546" i="114" a="1"/>
  <c r="F1546" i="114" s="1"/>
  <c r="G1546" i="114" a="1"/>
  <c r="G1546" i="114" s="1"/>
  <c r="I1546" i="114" s="1"/>
  <c r="H1546" i="114" a="1"/>
  <c r="H1546" i="114" s="1"/>
  <c r="F1547" i="114" a="1"/>
  <c r="F1547" i="114" s="1"/>
  <c r="G1547" i="114" a="1"/>
  <c r="G1547" i="114" s="1"/>
  <c r="I1547" i="114" s="1"/>
  <c r="H1547" i="114" a="1"/>
  <c r="H1547" i="114" s="1"/>
  <c r="F1548" i="114" a="1"/>
  <c r="F1548" i="114" s="1"/>
  <c r="G1548" i="114" a="1"/>
  <c r="G1548" i="114" s="1"/>
  <c r="I1548" i="114" s="1"/>
  <c r="H1548" i="114" a="1"/>
  <c r="H1548" i="114" s="1"/>
  <c r="H1549" i="114" a="1"/>
  <c r="H1549" i="114" s="1"/>
  <c r="F1551" i="114" a="1"/>
  <c r="F1551" i="114" s="1"/>
  <c r="G1551" i="114" a="1"/>
  <c r="G1551" i="114" s="1"/>
  <c r="I1551" i="114" s="1"/>
  <c r="H1551" i="114" a="1"/>
  <c r="H1551" i="114" s="1"/>
  <c r="F1552" i="114" a="1"/>
  <c r="F1552" i="114" s="1"/>
  <c r="G1552" i="114" a="1"/>
  <c r="G1552" i="114" s="1"/>
  <c r="I1552" i="114" s="1"/>
  <c r="H1552" i="114" a="1"/>
  <c r="H1552" i="114" s="1"/>
  <c r="F1553" i="114" a="1"/>
  <c r="F1553" i="114" s="1"/>
  <c r="G1553" i="114" a="1"/>
  <c r="G1553" i="114" s="1"/>
  <c r="I1553" i="114" s="1"/>
  <c r="H1553" i="114" a="1"/>
  <c r="H1553" i="114" s="1"/>
  <c r="F1554" i="114" a="1"/>
  <c r="F1554" i="114" s="1"/>
  <c r="G1554" i="114" a="1"/>
  <c r="G1554" i="114" s="1"/>
  <c r="I1554" i="114" s="1"/>
  <c r="H1554" i="114" a="1"/>
  <c r="H1554" i="114" s="1"/>
  <c r="F1555" i="114" a="1"/>
  <c r="F1555" i="114" s="1"/>
  <c r="G1555" i="114" a="1"/>
  <c r="G1555" i="114" s="1"/>
  <c r="I1555" i="114" s="1"/>
  <c r="H1555" i="114" a="1"/>
  <c r="H1555" i="114" s="1"/>
  <c r="F1556" i="114" a="1"/>
  <c r="F1556" i="114" s="1"/>
  <c r="G1556" i="114" a="1"/>
  <c r="G1556" i="114" s="1"/>
  <c r="I1556" i="114" s="1"/>
  <c r="H1556" i="114" a="1"/>
  <c r="H1556" i="114" s="1"/>
  <c r="F1557" i="114" a="1"/>
  <c r="F1557" i="114" s="1"/>
  <c r="G1557" i="114" a="1"/>
  <c r="G1557" i="114" s="1"/>
  <c r="I1557" i="114" s="1"/>
  <c r="H1557" i="114" a="1"/>
  <c r="H1557" i="114" s="1"/>
  <c r="H1558" i="114" a="1"/>
  <c r="H1558" i="114" s="1"/>
  <c r="F1560" i="114" a="1"/>
  <c r="F1560" i="114" s="1"/>
  <c r="G1560" i="114" a="1"/>
  <c r="G1560" i="114" s="1"/>
  <c r="I1560" i="114" s="1"/>
  <c r="H1560" i="114" a="1"/>
  <c r="H1560" i="114" s="1"/>
  <c r="F1561" i="114" a="1"/>
  <c r="F1561" i="114" s="1"/>
  <c r="G1561" i="114" a="1"/>
  <c r="G1561" i="114" s="1"/>
  <c r="I1561" i="114" s="1"/>
  <c r="H1561" i="114" a="1"/>
  <c r="H1561" i="114" s="1"/>
  <c r="F1562" i="114" a="1"/>
  <c r="F1562" i="114" s="1"/>
  <c r="G1562" i="114" a="1"/>
  <c r="G1562" i="114" s="1"/>
  <c r="I1562" i="114" s="1"/>
  <c r="H1562" i="114" a="1"/>
  <c r="H1562" i="114" s="1"/>
  <c r="F1563" i="114" a="1"/>
  <c r="F1563" i="114" s="1"/>
  <c r="G1563" i="114" a="1"/>
  <c r="G1563" i="114" s="1"/>
  <c r="I1563" i="114" s="1"/>
  <c r="H1563" i="114" a="1"/>
  <c r="H1563" i="114" s="1"/>
  <c r="F1564" i="114" a="1"/>
  <c r="F1564" i="114" s="1"/>
  <c r="G1564" i="114" a="1"/>
  <c r="G1564" i="114" s="1"/>
  <c r="I1564" i="114" s="1"/>
  <c r="H1564" i="114" a="1"/>
  <c r="H1564" i="114" s="1"/>
  <c r="F1565" i="114" a="1"/>
  <c r="F1565" i="114" s="1"/>
  <c r="G1565" i="114" a="1"/>
  <c r="G1565" i="114" s="1"/>
  <c r="I1565" i="114" s="1"/>
  <c r="H1565" i="114" a="1"/>
  <c r="H1565" i="114" s="1"/>
  <c r="F1566" i="114" a="1"/>
  <c r="F1566" i="114" s="1"/>
  <c r="G1566" i="114" a="1"/>
  <c r="G1566" i="114" s="1"/>
  <c r="I1566" i="114" s="1"/>
  <c r="H1566" i="114" a="1"/>
  <c r="H1566" i="114" s="1"/>
  <c r="H1567" i="114" a="1"/>
  <c r="H1567" i="114" s="1"/>
  <c r="F1569" i="114" a="1"/>
  <c r="F1569" i="114" s="1"/>
  <c r="G1569" i="114" a="1"/>
  <c r="G1569" i="114" s="1"/>
  <c r="I1569" i="114" s="1"/>
  <c r="H1569" i="114" a="1"/>
  <c r="H1569" i="114" s="1"/>
  <c r="F1570" i="114" a="1"/>
  <c r="F1570" i="114" s="1"/>
  <c r="G1570" i="114" a="1"/>
  <c r="G1570" i="114" s="1"/>
  <c r="I1570" i="114" s="1"/>
  <c r="H1570" i="114" a="1"/>
  <c r="H1570" i="114" s="1"/>
  <c r="F1571" i="114" a="1"/>
  <c r="F1571" i="114" s="1"/>
  <c r="G1571" i="114" a="1"/>
  <c r="G1571" i="114" s="1"/>
  <c r="I1571" i="114" s="1"/>
  <c r="H1571" i="114" a="1"/>
  <c r="H1571" i="114" s="1"/>
  <c r="F1572" i="114" a="1"/>
  <c r="F1572" i="114" s="1"/>
  <c r="G1572" i="114" a="1"/>
  <c r="G1572" i="114" s="1"/>
  <c r="I1572" i="114" s="1"/>
  <c r="H1572" i="114" a="1"/>
  <c r="H1572" i="114" s="1"/>
  <c r="F1573" i="114" a="1"/>
  <c r="F1573" i="114" s="1"/>
  <c r="G1573" i="114" a="1"/>
  <c r="G1573" i="114" s="1"/>
  <c r="I1573" i="114" s="1"/>
  <c r="H1573" i="114" a="1"/>
  <c r="H1573" i="114" s="1"/>
  <c r="F1574" i="114" a="1"/>
  <c r="F1574" i="114" s="1"/>
  <c r="G1574" i="114" a="1"/>
  <c r="G1574" i="114" s="1"/>
  <c r="I1574" i="114" s="1"/>
  <c r="H1574" i="114" a="1"/>
  <c r="H1574" i="114" s="1"/>
  <c r="F1575" i="114" a="1"/>
  <c r="F1575" i="114" s="1"/>
  <c r="G1575" i="114" a="1"/>
  <c r="G1575" i="114" s="1"/>
  <c r="I1575" i="114" s="1"/>
  <c r="H1575" i="114" a="1"/>
  <c r="H1575" i="114" s="1"/>
  <c r="H1576" i="114" a="1"/>
  <c r="H1576" i="114" s="1"/>
  <c r="F1578" i="114" a="1"/>
  <c r="F1578" i="114" s="1"/>
  <c r="G1578" i="114" a="1"/>
  <c r="G1578" i="114" s="1"/>
  <c r="I1578" i="114" s="1"/>
  <c r="H1578" i="114" a="1"/>
  <c r="H1578" i="114" s="1"/>
  <c r="F1579" i="114" a="1"/>
  <c r="F1579" i="114" s="1"/>
  <c r="G1579" i="114" a="1"/>
  <c r="G1579" i="114" s="1"/>
  <c r="I1579" i="114" s="1"/>
  <c r="H1579" i="114" a="1"/>
  <c r="H1579" i="114" s="1"/>
  <c r="F1580" i="114" a="1"/>
  <c r="F1580" i="114" s="1"/>
  <c r="G1580" i="114" a="1"/>
  <c r="G1580" i="114" s="1"/>
  <c r="I1580" i="114" s="1"/>
  <c r="H1580" i="114" a="1"/>
  <c r="H1580" i="114" s="1"/>
  <c r="F1581" i="114" a="1"/>
  <c r="F1581" i="114" s="1"/>
  <c r="G1581" i="114" a="1"/>
  <c r="G1581" i="114" s="1"/>
  <c r="I1581" i="114" s="1"/>
  <c r="H1581" i="114" a="1"/>
  <c r="H1581" i="114" s="1"/>
  <c r="F1582" i="114" a="1"/>
  <c r="F1582" i="114" s="1"/>
  <c r="G1582" i="114" a="1"/>
  <c r="G1582" i="114" s="1"/>
  <c r="I1582" i="114" s="1"/>
  <c r="H1582" i="114" a="1"/>
  <c r="H1582" i="114" s="1"/>
  <c r="F1583" i="114" a="1"/>
  <c r="F1583" i="114" s="1"/>
  <c r="G1583" i="114" a="1"/>
  <c r="G1583" i="114" s="1"/>
  <c r="I1583" i="114" s="1"/>
  <c r="H1583" i="114" a="1"/>
  <c r="H1583" i="114" s="1"/>
  <c r="F1584" i="114" a="1"/>
  <c r="F1584" i="114" s="1"/>
  <c r="G1584" i="114" a="1"/>
  <c r="G1584" i="114" s="1"/>
  <c r="I1584" i="114" s="1"/>
  <c r="H1584" i="114" a="1"/>
  <c r="H1584" i="114" s="1"/>
  <c r="H1585" i="114" a="1"/>
  <c r="H1585" i="114" s="1"/>
  <c r="F1587" i="114" a="1"/>
  <c r="F1587" i="114" s="1"/>
  <c r="G1587" i="114" a="1"/>
  <c r="G1587" i="114" s="1"/>
  <c r="I1587" i="114" s="1"/>
  <c r="H1587" i="114" a="1"/>
  <c r="H1587" i="114" s="1"/>
  <c r="F1588" i="114" a="1"/>
  <c r="F1588" i="114" s="1"/>
  <c r="G1588" i="114" a="1"/>
  <c r="G1588" i="114" s="1"/>
  <c r="I1588" i="114" s="1"/>
  <c r="H1588" i="114" a="1"/>
  <c r="H1588" i="114" s="1"/>
  <c r="F1589" i="114" a="1"/>
  <c r="F1589" i="114" s="1"/>
  <c r="G1589" i="114" a="1"/>
  <c r="G1589" i="114" s="1"/>
  <c r="I1589" i="114" s="1"/>
  <c r="H1589" i="114" a="1"/>
  <c r="H1589" i="114" s="1"/>
  <c r="F1590" i="114" a="1"/>
  <c r="F1590" i="114" s="1"/>
  <c r="G1590" i="114" a="1"/>
  <c r="G1590" i="114" s="1"/>
  <c r="I1590" i="114" s="1"/>
  <c r="H1590" i="114" a="1"/>
  <c r="H1590" i="114" s="1"/>
  <c r="F1591" i="114" a="1"/>
  <c r="F1591" i="114" s="1"/>
  <c r="G1591" i="114" a="1"/>
  <c r="G1591" i="114" s="1"/>
  <c r="I1591" i="114" s="1"/>
  <c r="H1591" i="114" a="1"/>
  <c r="H1591" i="114" s="1"/>
  <c r="F1592" i="114" a="1"/>
  <c r="F1592" i="114" s="1"/>
  <c r="G1592" i="114" a="1"/>
  <c r="G1592" i="114" s="1"/>
  <c r="I1592" i="114" s="1"/>
  <c r="H1592" i="114" a="1"/>
  <c r="H1592" i="114" s="1"/>
  <c r="F1593" i="114" a="1"/>
  <c r="F1593" i="114" s="1"/>
  <c r="G1593" i="114" a="1"/>
  <c r="G1593" i="114" s="1"/>
  <c r="I1593" i="114" s="1"/>
  <c r="H1593" i="114" a="1"/>
  <c r="H1593" i="114" s="1"/>
  <c r="H1594" i="114" a="1"/>
  <c r="H1594" i="114" s="1"/>
  <c r="F1596" i="114" a="1"/>
  <c r="F1596" i="114" s="1"/>
  <c r="G1596" i="114" a="1"/>
  <c r="G1596" i="114" s="1"/>
  <c r="I1596" i="114" s="1"/>
  <c r="H1596" i="114" a="1"/>
  <c r="H1596" i="114" s="1"/>
  <c r="F1597" i="114" a="1"/>
  <c r="F1597" i="114" s="1"/>
  <c r="G1597" i="114" a="1"/>
  <c r="G1597" i="114" s="1"/>
  <c r="I1597" i="114" s="1"/>
  <c r="H1597" i="114" a="1"/>
  <c r="H1597" i="114" s="1"/>
  <c r="F1598" i="114" a="1"/>
  <c r="F1598" i="114" s="1"/>
  <c r="G1598" i="114" a="1"/>
  <c r="G1598" i="114" s="1"/>
  <c r="I1598" i="114" s="1"/>
  <c r="H1598" i="114" a="1"/>
  <c r="H1598" i="114" s="1"/>
  <c r="F1599" i="114" a="1"/>
  <c r="F1599" i="114" s="1"/>
  <c r="G1599" i="114" a="1"/>
  <c r="G1599" i="114" s="1"/>
  <c r="I1599" i="114" s="1"/>
  <c r="H1599" i="114" a="1"/>
  <c r="H1599" i="114" s="1"/>
  <c r="F1600" i="114" a="1"/>
  <c r="F1600" i="114" s="1"/>
  <c r="G1600" i="114" a="1"/>
  <c r="G1600" i="114" s="1"/>
  <c r="I1600" i="114" s="1"/>
  <c r="H1600" i="114" a="1"/>
  <c r="H1600" i="114" s="1"/>
  <c r="F1601" i="114" a="1"/>
  <c r="F1601" i="114" s="1"/>
  <c r="G1601" i="114" a="1"/>
  <c r="G1601" i="114" s="1"/>
  <c r="I1601" i="114" s="1"/>
  <c r="H1601" i="114" a="1"/>
  <c r="H1601" i="114" s="1"/>
  <c r="F1602" i="114" a="1"/>
  <c r="F1602" i="114" s="1"/>
  <c r="G1602" i="114" a="1"/>
  <c r="G1602" i="114" s="1"/>
  <c r="I1602" i="114" s="1"/>
  <c r="H1602" i="114" a="1"/>
  <c r="H1602" i="114" s="1"/>
  <c r="H1603" i="114" a="1"/>
  <c r="H1603" i="114" s="1"/>
  <c r="F1605" i="114" a="1"/>
  <c r="F1605" i="114" s="1"/>
  <c r="G1605" i="114" a="1"/>
  <c r="G1605" i="114" s="1"/>
  <c r="I1605" i="114" s="1"/>
  <c r="H1605" i="114" a="1"/>
  <c r="H1605" i="114" s="1"/>
  <c r="F1606" i="114" a="1"/>
  <c r="F1606" i="114" s="1"/>
  <c r="G1606" i="114" a="1"/>
  <c r="G1606" i="114" s="1"/>
  <c r="I1606" i="114" s="1"/>
  <c r="H1606" i="114" a="1"/>
  <c r="H1606" i="114" s="1"/>
  <c r="F1607" i="114" a="1"/>
  <c r="F1607" i="114" s="1"/>
  <c r="G1607" i="114" a="1"/>
  <c r="G1607" i="114" s="1"/>
  <c r="I1607" i="114" s="1"/>
  <c r="H1607" i="114" a="1"/>
  <c r="H1607" i="114" s="1"/>
  <c r="F1608" i="114" a="1"/>
  <c r="F1608" i="114" s="1"/>
  <c r="G1608" i="114" a="1"/>
  <c r="G1608" i="114" s="1"/>
  <c r="I1608" i="114" s="1"/>
  <c r="H1608" i="114" a="1"/>
  <c r="H1608" i="114" s="1"/>
  <c r="F1609" i="114" a="1"/>
  <c r="F1609" i="114" s="1"/>
  <c r="G1609" i="114" a="1"/>
  <c r="G1609" i="114" s="1"/>
  <c r="I1609" i="114" s="1"/>
  <c r="H1609" i="114" a="1"/>
  <c r="H1609" i="114" s="1"/>
  <c r="F1610" i="114" a="1"/>
  <c r="F1610" i="114" s="1"/>
  <c r="G1610" i="114" a="1"/>
  <c r="G1610" i="114" s="1"/>
  <c r="I1610" i="114" s="1"/>
  <c r="H1610" i="114" a="1"/>
  <c r="H1610" i="114" s="1"/>
  <c r="F1611" i="114" a="1"/>
  <c r="F1611" i="114" s="1"/>
  <c r="G1611" i="114" a="1"/>
  <c r="G1611" i="114" s="1"/>
  <c r="I1611" i="114" s="1"/>
  <c r="H1611" i="114" a="1"/>
  <c r="H1611" i="114" s="1"/>
  <c r="H1612" i="114" a="1"/>
  <c r="H1612" i="114" s="1"/>
  <c r="F1614" i="114" a="1"/>
  <c r="F1614" i="114" s="1"/>
  <c r="G1614" i="114" a="1"/>
  <c r="G1614" i="114" s="1"/>
  <c r="I1614" i="114" s="1"/>
  <c r="H1614" i="114" a="1"/>
  <c r="H1614" i="114" s="1"/>
  <c r="F1615" i="114" a="1"/>
  <c r="F1615" i="114" s="1"/>
  <c r="G1615" i="114" a="1"/>
  <c r="G1615" i="114" s="1"/>
  <c r="I1615" i="114" s="1"/>
  <c r="H1615" i="114" a="1"/>
  <c r="H1615" i="114" s="1"/>
  <c r="F1616" i="114" a="1"/>
  <c r="F1616" i="114" s="1"/>
  <c r="G1616" i="114" a="1"/>
  <c r="G1616" i="114" s="1"/>
  <c r="I1616" i="114" s="1"/>
  <c r="H1616" i="114" a="1"/>
  <c r="H1616" i="114" s="1"/>
  <c r="F1617" i="114" a="1"/>
  <c r="F1617" i="114" s="1"/>
  <c r="G1617" i="114" a="1"/>
  <c r="G1617" i="114" s="1"/>
  <c r="I1617" i="114" s="1"/>
  <c r="H1617" i="114" a="1"/>
  <c r="H1617" i="114" s="1"/>
  <c r="F1618" i="114" a="1"/>
  <c r="F1618" i="114" s="1"/>
  <c r="G1618" i="114" a="1"/>
  <c r="G1618" i="114" s="1"/>
  <c r="I1618" i="114" s="1"/>
  <c r="H1618" i="114" a="1"/>
  <c r="H1618" i="114" s="1"/>
  <c r="F1619" i="114" a="1"/>
  <c r="F1619" i="114" s="1"/>
  <c r="G1619" i="114" a="1"/>
  <c r="G1619" i="114" s="1"/>
  <c r="I1619" i="114" s="1"/>
  <c r="H1619" i="114" a="1"/>
  <c r="H1619" i="114" s="1"/>
  <c r="F1620" i="114" a="1"/>
  <c r="F1620" i="114" s="1"/>
  <c r="G1620" i="114" a="1"/>
  <c r="G1620" i="114" s="1"/>
  <c r="I1620" i="114" s="1"/>
  <c r="H1620" i="114" a="1"/>
  <c r="H1620" i="114" s="1"/>
  <c r="H1621" i="114" a="1"/>
  <c r="H1621" i="114" s="1"/>
  <c r="F1623" i="114" a="1"/>
  <c r="F1623" i="114" s="1"/>
  <c r="G1623" i="114" a="1"/>
  <c r="G1623" i="114" s="1"/>
  <c r="I1623" i="114" s="1"/>
  <c r="H1623" i="114" a="1"/>
  <c r="H1623" i="114" s="1"/>
  <c r="F1624" i="114" a="1"/>
  <c r="F1624" i="114" s="1"/>
  <c r="G1624" i="114" a="1"/>
  <c r="G1624" i="114" s="1"/>
  <c r="I1624" i="114" s="1"/>
  <c r="H1624" i="114" a="1"/>
  <c r="H1624" i="114" s="1"/>
  <c r="F1625" i="114" a="1"/>
  <c r="F1625" i="114" s="1"/>
  <c r="G1625" i="114" a="1"/>
  <c r="G1625" i="114" s="1"/>
  <c r="I1625" i="114" s="1"/>
  <c r="H1625" i="114" a="1"/>
  <c r="H1625" i="114" s="1"/>
  <c r="F1626" i="114" a="1"/>
  <c r="F1626" i="114" s="1"/>
  <c r="G1626" i="114" a="1"/>
  <c r="G1626" i="114" s="1"/>
  <c r="I1626" i="114" s="1"/>
  <c r="H1626" i="114" a="1"/>
  <c r="H1626" i="114" s="1"/>
  <c r="F1627" i="114" a="1"/>
  <c r="F1627" i="114" s="1"/>
  <c r="G1627" i="114" a="1"/>
  <c r="G1627" i="114" s="1"/>
  <c r="I1627" i="114" s="1"/>
  <c r="H1627" i="114" a="1"/>
  <c r="H1627" i="114" s="1"/>
  <c r="F1628" i="114" a="1"/>
  <c r="F1628" i="114" s="1"/>
  <c r="G1628" i="114" a="1"/>
  <c r="G1628" i="114" s="1"/>
  <c r="I1628" i="114" s="1"/>
  <c r="H1628" i="114" a="1"/>
  <c r="H1628" i="114" s="1"/>
  <c r="F1629" i="114" a="1"/>
  <c r="F1629" i="114" s="1"/>
  <c r="G1629" i="114" a="1"/>
  <c r="G1629" i="114" s="1"/>
  <c r="I1629" i="114" s="1"/>
  <c r="H1629" i="114" a="1"/>
  <c r="H1629" i="114" s="1"/>
  <c r="H1630" i="114" a="1"/>
  <c r="H1630" i="114" s="1"/>
  <c r="F1632" i="114" a="1"/>
  <c r="F1632" i="114" s="1"/>
  <c r="G1632" i="114" a="1"/>
  <c r="G1632" i="114" s="1"/>
  <c r="I1632" i="114" s="1"/>
  <c r="H1632" i="114" a="1"/>
  <c r="H1632" i="114" s="1"/>
  <c r="F1633" i="114" a="1"/>
  <c r="F1633" i="114" s="1"/>
  <c r="G1633" i="114" a="1"/>
  <c r="G1633" i="114" s="1"/>
  <c r="I1633" i="114" s="1"/>
  <c r="H1633" i="114" a="1"/>
  <c r="H1633" i="114" s="1"/>
  <c r="F1634" i="114" a="1"/>
  <c r="F1634" i="114" s="1"/>
  <c r="G1634" i="114" a="1"/>
  <c r="G1634" i="114" s="1"/>
  <c r="I1634" i="114" s="1"/>
  <c r="H1634" i="114" a="1"/>
  <c r="H1634" i="114" s="1"/>
  <c r="F1635" i="114" a="1"/>
  <c r="F1635" i="114" s="1"/>
  <c r="G1635" i="114" a="1"/>
  <c r="G1635" i="114" s="1"/>
  <c r="I1635" i="114" s="1"/>
  <c r="H1635" i="114" a="1"/>
  <c r="H1635" i="114" s="1"/>
  <c r="F1636" i="114" a="1"/>
  <c r="F1636" i="114" s="1"/>
  <c r="G1636" i="114" a="1"/>
  <c r="G1636" i="114" s="1"/>
  <c r="I1636" i="114" s="1"/>
  <c r="H1636" i="114" a="1"/>
  <c r="H1636" i="114" s="1"/>
  <c r="F1637" i="114" a="1"/>
  <c r="F1637" i="114" s="1"/>
  <c r="G1637" i="114" a="1"/>
  <c r="G1637" i="114" s="1"/>
  <c r="I1637" i="114" s="1"/>
  <c r="H1637" i="114" a="1"/>
  <c r="H1637" i="114" s="1"/>
  <c r="F1638" i="114" a="1"/>
  <c r="F1638" i="114" s="1"/>
  <c r="G1638" i="114" a="1"/>
  <c r="G1638" i="114" s="1"/>
  <c r="I1638" i="114" s="1"/>
  <c r="H1638" i="114" a="1"/>
  <c r="H1638" i="114" s="1"/>
  <c r="H1639" i="114" a="1"/>
  <c r="H1639" i="114" s="1"/>
  <c r="F1641" i="114" a="1"/>
  <c r="F1641" i="114" s="1"/>
  <c r="G1641" i="114" a="1"/>
  <c r="G1641" i="114" s="1"/>
  <c r="I1641" i="114" s="1"/>
  <c r="H1641" i="114" a="1"/>
  <c r="H1641" i="114" s="1"/>
  <c r="F1642" i="114" a="1"/>
  <c r="F1642" i="114" s="1"/>
  <c r="G1642" i="114" a="1"/>
  <c r="G1642" i="114" s="1"/>
  <c r="I1642" i="114" s="1"/>
  <c r="H1642" i="114" a="1"/>
  <c r="H1642" i="114" s="1"/>
  <c r="F1643" i="114" a="1"/>
  <c r="F1643" i="114" s="1"/>
  <c r="G1643" i="114" a="1"/>
  <c r="G1643" i="114" s="1"/>
  <c r="I1643" i="114" s="1"/>
  <c r="H1643" i="114" a="1"/>
  <c r="H1643" i="114" s="1"/>
  <c r="F1644" i="114" a="1"/>
  <c r="F1644" i="114" s="1"/>
  <c r="G1644" i="114" a="1"/>
  <c r="G1644" i="114" s="1"/>
  <c r="I1644" i="114" s="1"/>
  <c r="H1644" i="114" a="1"/>
  <c r="H1644" i="114" s="1"/>
  <c r="F1645" i="114" a="1"/>
  <c r="F1645" i="114" s="1"/>
  <c r="G1645" i="114" a="1"/>
  <c r="G1645" i="114" s="1"/>
  <c r="I1645" i="114" s="1"/>
  <c r="H1645" i="114" a="1"/>
  <c r="H1645" i="114" s="1"/>
  <c r="F1646" i="114" a="1"/>
  <c r="F1646" i="114" s="1"/>
  <c r="G1646" i="114" a="1"/>
  <c r="G1646" i="114" s="1"/>
  <c r="I1646" i="114" s="1"/>
  <c r="H1646" i="114" a="1"/>
  <c r="H1646" i="114" s="1"/>
  <c r="F1647" i="114" a="1"/>
  <c r="F1647" i="114" s="1"/>
  <c r="G1647" i="114" a="1"/>
  <c r="G1647" i="114" s="1"/>
  <c r="I1647" i="114" s="1"/>
  <c r="H1647" i="114" a="1"/>
  <c r="H1647" i="114" s="1"/>
  <c r="H1648" i="114" a="1"/>
  <c r="H1648" i="114" s="1"/>
  <c r="F1650" i="114" a="1"/>
  <c r="F1650" i="114" s="1"/>
  <c r="G1650" i="114" a="1"/>
  <c r="G1650" i="114" s="1"/>
  <c r="I1650" i="114" s="1"/>
  <c r="H1650" i="114" a="1"/>
  <c r="H1650" i="114" s="1"/>
  <c r="F1651" i="114" a="1"/>
  <c r="F1651" i="114" s="1"/>
  <c r="G1651" i="114" a="1"/>
  <c r="G1651" i="114" s="1"/>
  <c r="I1651" i="114" s="1"/>
  <c r="H1651" i="114" a="1"/>
  <c r="H1651" i="114" s="1"/>
  <c r="F1652" i="114" a="1"/>
  <c r="F1652" i="114" s="1"/>
  <c r="G1652" i="114" a="1"/>
  <c r="G1652" i="114" s="1"/>
  <c r="I1652" i="114" s="1"/>
  <c r="H1652" i="114" a="1"/>
  <c r="H1652" i="114" s="1"/>
  <c r="F1653" i="114" a="1"/>
  <c r="F1653" i="114" s="1"/>
  <c r="G1653" i="114" a="1"/>
  <c r="G1653" i="114" s="1"/>
  <c r="I1653" i="114" s="1"/>
  <c r="H1653" i="114" a="1"/>
  <c r="H1653" i="114" s="1"/>
  <c r="F1654" i="114" a="1"/>
  <c r="F1654" i="114" s="1"/>
  <c r="G1654" i="114" a="1"/>
  <c r="G1654" i="114" s="1"/>
  <c r="I1654" i="114" s="1"/>
  <c r="H1654" i="114" a="1"/>
  <c r="H1654" i="114" s="1"/>
  <c r="F1655" i="114" a="1"/>
  <c r="F1655" i="114" s="1"/>
  <c r="G1655" i="114" a="1"/>
  <c r="G1655" i="114" s="1"/>
  <c r="I1655" i="114" s="1"/>
  <c r="H1655" i="114" a="1"/>
  <c r="H1655" i="114" s="1"/>
  <c r="F1656" i="114" a="1"/>
  <c r="F1656" i="114" s="1"/>
  <c r="G1656" i="114" a="1"/>
  <c r="G1656" i="114" s="1"/>
  <c r="I1656" i="114" s="1"/>
  <c r="H1656" i="114" a="1"/>
  <c r="H1656" i="114" s="1"/>
  <c r="H1657" i="114" a="1"/>
  <c r="H1657" i="114" s="1"/>
  <c r="F1659" i="114" a="1"/>
  <c r="F1659" i="114" s="1"/>
  <c r="G1659" i="114" a="1"/>
  <c r="G1659" i="114" s="1"/>
  <c r="I1659" i="114" s="1"/>
  <c r="H1659" i="114" a="1"/>
  <c r="H1659" i="114" s="1"/>
  <c r="F1660" i="114" a="1"/>
  <c r="F1660" i="114" s="1"/>
  <c r="G1660" i="114" a="1"/>
  <c r="G1660" i="114" s="1"/>
  <c r="I1660" i="114" s="1"/>
  <c r="H1660" i="114" a="1"/>
  <c r="H1660" i="114" s="1"/>
  <c r="F1661" i="114" a="1"/>
  <c r="F1661" i="114" s="1"/>
  <c r="G1661" i="114" a="1"/>
  <c r="G1661" i="114" s="1"/>
  <c r="I1661" i="114" s="1"/>
  <c r="H1661" i="114" a="1"/>
  <c r="H1661" i="114" s="1"/>
  <c r="F1662" i="114" a="1"/>
  <c r="F1662" i="114" s="1"/>
  <c r="G1662" i="114" a="1"/>
  <c r="G1662" i="114" s="1"/>
  <c r="I1662" i="114" s="1"/>
  <c r="H1662" i="114" a="1"/>
  <c r="H1662" i="114" s="1"/>
  <c r="F1663" i="114" a="1"/>
  <c r="F1663" i="114" s="1"/>
  <c r="G1663" i="114" a="1"/>
  <c r="G1663" i="114" s="1"/>
  <c r="I1663" i="114" s="1"/>
  <c r="H1663" i="114" a="1"/>
  <c r="H1663" i="114" s="1"/>
  <c r="F1664" i="114" a="1"/>
  <c r="F1664" i="114" s="1"/>
  <c r="G1664" i="114" a="1"/>
  <c r="G1664" i="114" s="1"/>
  <c r="I1664" i="114" s="1"/>
  <c r="H1664" i="114" a="1"/>
  <c r="H1664" i="114" s="1"/>
  <c r="F1665" i="114" a="1"/>
  <c r="F1665" i="114" s="1"/>
  <c r="G1665" i="114" a="1"/>
  <c r="G1665" i="114" s="1"/>
  <c r="I1665" i="114" s="1"/>
  <c r="H1665" i="114" a="1"/>
  <c r="H1665" i="114" s="1"/>
  <c r="H1666" i="114" a="1"/>
  <c r="H1666" i="114" s="1"/>
  <c r="F1668" i="114" a="1"/>
  <c r="F1668" i="114" s="1"/>
  <c r="G1668" i="114" a="1"/>
  <c r="G1668" i="114" s="1"/>
  <c r="I1668" i="114" s="1"/>
  <c r="H1668" i="114" a="1"/>
  <c r="H1668" i="114" s="1"/>
  <c r="F1669" i="114" a="1"/>
  <c r="F1669" i="114" s="1"/>
  <c r="G1669" i="114" a="1"/>
  <c r="G1669" i="114" s="1"/>
  <c r="I1669" i="114" s="1"/>
  <c r="H1669" i="114" a="1"/>
  <c r="H1669" i="114" s="1"/>
  <c r="F1670" i="114" a="1"/>
  <c r="F1670" i="114" s="1"/>
  <c r="G1670" i="114" a="1"/>
  <c r="G1670" i="114" s="1"/>
  <c r="I1670" i="114" s="1"/>
  <c r="H1670" i="114" a="1"/>
  <c r="H1670" i="114" s="1"/>
  <c r="F1671" i="114" a="1"/>
  <c r="F1671" i="114" s="1"/>
  <c r="G1671" i="114" a="1"/>
  <c r="G1671" i="114" s="1"/>
  <c r="I1671" i="114" s="1"/>
  <c r="H1671" i="114" a="1"/>
  <c r="H1671" i="114" s="1"/>
  <c r="F1672" i="114" a="1"/>
  <c r="F1672" i="114" s="1"/>
  <c r="G1672" i="114" a="1"/>
  <c r="G1672" i="114" s="1"/>
  <c r="I1672" i="114" s="1"/>
  <c r="H1672" i="114" a="1"/>
  <c r="H1672" i="114" s="1"/>
  <c r="F1673" i="114" a="1"/>
  <c r="F1673" i="114" s="1"/>
  <c r="G1673" i="114" a="1"/>
  <c r="G1673" i="114" s="1"/>
  <c r="I1673" i="114" s="1"/>
  <c r="H1673" i="114" a="1"/>
  <c r="H1673" i="114" s="1"/>
  <c r="F1674" i="114" a="1"/>
  <c r="F1674" i="114" s="1"/>
  <c r="G1674" i="114" a="1"/>
  <c r="G1674" i="114" s="1"/>
  <c r="I1674" i="114" s="1"/>
  <c r="H1674" i="114" a="1"/>
  <c r="H1674" i="114" s="1"/>
  <c r="H1675" i="114" a="1"/>
  <c r="H1675" i="114" s="1"/>
  <c r="F1677" i="114" a="1"/>
  <c r="F1677" i="114" s="1"/>
  <c r="G1677" i="114" a="1"/>
  <c r="G1677" i="114" s="1"/>
  <c r="I1677" i="114" s="1"/>
  <c r="H1677" i="114" a="1"/>
  <c r="H1677" i="114" s="1"/>
  <c r="F1678" i="114" a="1"/>
  <c r="F1678" i="114" s="1"/>
  <c r="G1678" i="114" a="1"/>
  <c r="G1678" i="114" s="1"/>
  <c r="I1678" i="114" s="1"/>
  <c r="H1678" i="114" a="1"/>
  <c r="H1678" i="114" s="1"/>
  <c r="F1679" i="114" a="1"/>
  <c r="F1679" i="114" s="1"/>
  <c r="G1679" i="114" a="1"/>
  <c r="G1679" i="114" s="1"/>
  <c r="I1679" i="114" s="1"/>
  <c r="H1679" i="114" a="1"/>
  <c r="H1679" i="114" s="1"/>
  <c r="F1680" i="114" a="1"/>
  <c r="F1680" i="114" s="1"/>
  <c r="G1680" i="114" a="1"/>
  <c r="G1680" i="114" s="1"/>
  <c r="I1680" i="114" s="1"/>
  <c r="H1680" i="114" a="1"/>
  <c r="H1680" i="114" s="1"/>
  <c r="F1681" i="114" a="1"/>
  <c r="F1681" i="114" s="1"/>
  <c r="G1681" i="114" a="1"/>
  <c r="G1681" i="114" s="1"/>
  <c r="I1681" i="114" s="1"/>
  <c r="H1681" i="114" a="1"/>
  <c r="H1681" i="114" s="1"/>
  <c r="F1682" i="114" a="1"/>
  <c r="F1682" i="114" s="1"/>
  <c r="G1682" i="114" a="1"/>
  <c r="G1682" i="114" s="1"/>
  <c r="I1682" i="114" s="1"/>
  <c r="H1682" i="114" a="1"/>
  <c r="H1682" i="114" s="1"/>
  <c r="F1683" i="114" a="1"/>
  <c r="F1683" i="114" s="1"/>
  <c r="G1683" i="114" a="1"/>
  <c r="G1683" i="114" s="1"/>
  <c r="I1683" i="114" s="1"/>
  <c r="H1683" i="114" a="1"/>
  <c r="H1683" i="114" s="1"/>
  <c r="H1684" i="114" a="1"/>
  <c r="H1684" i="114" s="1"/>
  <c r="F1686" i="114" a="1"/>
  <c r="F1686" i="114" s="1"/>
  <c r="G1686" i="114" a="1"/>
  <c r="G1686" i="114" s="1"/>
  <c r="I1686" i="114" s="1"/>
  <c r="H1686" i="114" a="1"/>
  <c r="H1686" i="114" s="1"/>
  <c r="F1687" i="114" a="1"/>
  <c r="F1687" i="114" s="1"/>
  <c r="G1687" i="114" a="1"/>
  <c r="G1687" i="114" s="1"/>
  <c r="I1687" i="114" s="1"/>
  <c r="H1687" i="114" a="1"/>
  <c r="H1687" i="114" s="1"/>
  <c r="F1688" i="114" a="1"/>
  <c r="F1688" i="114" s="1"/>
  <c r="G1688" i="114" a="1"/>
  <c r="G1688" i="114" s="1"/>
  <c r="I1688" i="114" s="1"/>
  <c r="H1688" i="114" a="1"/>
  <c r="H1688" i="114" s="1"/>
  <c r="F1689" i="114" a="1"/>
  <c r="F1689" i="114" s="1"/>
  <c r="G1689" i="114" a="1"/>
  <c r="G1689" i="114" s="1"/>
  <c r="I1689" i="114" s="1"/>
  <c r="H1689" i="114" a="1"/>
  <c r="H1689" i="114" s="1"/>
  <c r="F1690" i="114" a="1"/>
  <c r="F1690" i="114" s="1"/>
  <c r="G1690" i="114" a="1"/>
  <c r="G1690" i="114" s="1"/>
  <c r="I1690" i="114" s="1"/>
  <c r="H1690" i="114" a="1"/>
  <c r="H1690" i="114" s="1"/>
  <c r="F1691" i="114" a="1"/>
  <c r="F1691" i="114" s="1"/>
  <c r="G1691" i="114" a="1"/>
  <c r="G1691" i="114" s="1"/>
  <c r="I1691" i="114" s="1"/>
  <c r="H1691" i="114" a="1"/>
  <c r="H1691" i="114" s="1"/>
  <c r="F1692" i="114" a="1"/>
  <c r="F1692" i="114" s="1"/>
  <c r="G1692" i="114" a="1"/>
  <c r="G1692" i="114" s="1"/>
  <c r="I1692" i="114" s="1"/>
  <c r="H1692" i="114" a="1"/>
  <c r="H1692" i="114" s="1"/>
  <c r="H1693" i="114" a="1"/>
  <c r="H1693" i="114" s="1"/>
  <c r="F1695" i="114" a="1"/>
  <c r="F1695" i="114" s="1"/>
  <c r="G1695" i="114" a="1"/>
  <c r="G1695" i="114" s="1"/>
  <c r="I1695" i="114" s="1"/>
  <c r="H1695" i="114" a="1"/>
  <c r="H1695" i="114" s="1"/>
  <c r="F1696" i="114" a="1"/>
  <c r="F1696" i="114" s="1"/>
  <c r="G1696" i="114" a="1"/>
  <c r="G1696" i="114" s="1"/>
  <c r="I1696" i="114" s="1"/>
  <c r="H1696" i="114" a="1"/>
  <c r="H1696" i="114" s="1"/>
  <c r="F1697" i="114" a="1"/>
  <c r="F1697" i="114" s="1"/>
  <c r="G1697" i="114" a="1"/>
  <c r="G1697" i="114" s="1"/>
  <c r="I1697" i="114" s="1"/>
  <c r="H1697" i="114" a="1"/>
  <c r="H1697" i="114" s="1"/>
  <c r="F1698" i="114" a="1"/>
  <c r="F1698" i="114" s="1"/>
  <c r="G1698" i="114" a="1"/>
  <c r="G1698" i="114" s="1"/>
  <c r="I1698" i="114" s="1"/>
  <c r="H1698" i="114" a="1"/>
  <c r="H1698" i="114" s="1"/>
  <c r="F1699" i="114" a="1"/>
  <c r="F1699" i="114" s="1"/>
  <c r="G1699" i="114" a="1"/>
  <c r="G1699" i="114" s="1"/>
  <c r="I1699" i="114" s="1"/>
  <c r="H1699" i="114" a="1"/>
  <c r="H1699" i="114" s="1"/>
  <c r="F1700" i="114" a="1"/>
  <c r="F1700" i="114" s="1"/>
  <c r="G1700" i="114" a="1"/>
  <c r="G1700" i="114" s="1"/>
  <c r="I1700" i="114" s="1"/>
  <c r="H1700" i="114" a="1"/>
  <c r="H1700" i="114" s="1"/>
  <c r="F1701" i="114" a="1"/>
  <c r="F1701" i="114" s="1"/>
  <c r="G1701" i="114" a="1"/>
  <c r="G1701" i="114" s="1"/>
  <c r="I1701" i="114" s="1"/>
  <c r="H1701" i="114" a="1"/>
  <c r="H1701" i="114" s="1"/>
  <c r="H1702" i="114" a="1"/>
  <c r="H1702" i="114" s="1"/>
  <c r="F1704" i="114" a="1"/>
  <c r="F1704" i="114" s="1"/>
  <c r="G1704" i="114" a="1"/>
  <c r="G1704" i="114" s="1"/>
  <c r="I1704" i="114" s="1"/>
  <c r="H1704" i="114" a="1"/>
  <c r="H1704" i="114" s="1"/>
  <c r="F1705" i="114" a="1"/>
  <c r="F1705" i="114" s="1"/>
  <c r="G1705" i="114" a="1"/>
  <c r="G1705" i="114" s="1"/>
  <c r="I1705" i="114" s="1"/>
  <c r="F1706" i="114" a="1"/>
  <c r="F1706" i="114" s="1"/>
  <c r="G1706" i="114" a="1"/>
  <c r="G1706" i="114" s="1"/>
  <c r="I1706" i="114" s="1"/>
  <c r="H1706" i="114" a="1"/>
  <c r="H1706" i="114" s="1"/>
  <c r="F1707" i="114" a="1"/>
  <c r="F1707" i="114" s="1"/>
  <c r="G1707" i="114" a="1"/>
  <c r="G1707" i="114" s="1"/>
  <c r="I1707" i="114" s="1"/>
  <c r="H1707" i="114" a="1"/>
  <c r="H1707" i="114" s="1"/>
  <c r="F1708" i="114" a="1"/>
  <c r="F1708" i="114" s="1"/>
  <c r="G1708" i="114" a="1"/>
  <c r="G1708" i="114" s="1"/>
  <c r="I1708" i="114" s="1"/>
  <c r="H1708" i="114" a="1"/>
  <c r="H1708" i="114" s="1"/>
  <c r="F1709" i="114" a="1"/>
  <c r="F1709" i="114" s="1"/>
  <c r="G1709" i="114" a="1"/>
  <c r="G1709" i="114" s="1"/>
  <c r="I1709" i="114" s="1"/>
  <c r="H1709" i="114" a="1"/>
  <c r="H1709" i="114" s="1"/>
  <c r="F1710" i="114" a="1"/>
  <c r="F1710" i="114" s="1"/>
  <c r="G1710" i="114" a="1"/>
  <c r="G1710" i="114" s="1"/>
  <c r="I1710" i="114" s="1"/>
  <c r="H1710" i="114" a="1"/>
  <c r="H1710" i="114" s="1"/>
  <c r="H1711" i="114" a="1"/>
  <c r="H1711" i="114" s="1"/>
  <c r="F1713" i="114" a="1"/>
  <c r="F1713" i="114" s="1"/>
  <c r="G1713" i="114" a="1"/>
  <c r="G1713" i="114" s="1"/>
  <c r="I1713" i="114" s="1"/>
  <c r="H1713" i="114" a="1"/>
  <c r="H1713" i="114" s="1"/>
  <c r="F1714" i="114" a="1"/>
  <c r="F1714" i="114" s="1"/>
  <c r="G1714" i="114" a="1"/>
  <c r="G1714" i="114" s="1"/>
  <c r="I1714" i="114" s="1"/>
  <c r="F1715" i="114" a="1"/>
  <c r="F1715" i="114" s="1"/>
  <c r="G1715" i="114" a="1"/>
  <c r="G1715" i="114" s="1"/>
  <c r="I1715" i="114" s="1"/>
  <c r="H1715" i="114" a="1"/>
  <c r="H1715" i="114" s="1"/>
  <c r="F1716" i="114" a="1"/>
  <c r="F1716" i="114" s="1"/>
  <c r="G1716" i="114" a="1"/>
  <c r="G1716" i="114" s="1"/>
  <c r="I1716" i="114" s="1"/>
  <c r="H1716" i="114" a="1"/>
  <c r="H1716" i="114" s="1"/>
  <c r="F1717" i="114" a="1"/>
  <c r="F1717" i="114" s="1"/>
  <c r="G1717" i="114" a="1"/>
  <c r="G1717" i="114" s="1"/>
  <c r="I1717" i="114" s="1"/>
  <c r="H1717" i="114" a="1"/>
  <c r="H1717" i="114" s="1"/>
  <c r="F1718" i="114" a="1"/>
  <c r="F1718" i="114" s="1"/>
  <c r="G1718" i="114" a="1"/>
  <c r="G1718" i="114" s="1"/>
  <c r="I1718" i="114" s="1"/>
  <c r="H1718" i="114" a="1"/>
  <c r="H1718" i="114" s="1"/>
  <c r="F1719" i="114" a="1"/>
  <c r="F1719" i="114" s="1"/>
  <c r="G1719" i="114" a="1"/>
  <c r="G1719" i="114" s="1"/>
  <c r="I1719" i="114" s="1"/>
  <c r="H1719" i="114" a="1"/>
  <c r="H1719" i="114" s="1"/>
  <c r="H1720" i="114" a="1"/>
  <c r="H1720" i="114" s="1"/>
  <c r="F1722" i="114" a="1"/>
  <c r="F1722" i="114" s="1"/>
  <c r="G1722" i="114" a="1"/>
  <c r="G1722" i="114" s="1"/>
  <c r="I1722" i="114" s="1"/>
  <c r="H1722" i="114" a="1"/>
  <c r="H1722" i="114" s="1"/>
  <c r="F1723" i="114" a="1"/>
  <c r="F1723" i="114" s="1"/>
  <c r="G1723" i="114" a="1"/>
  <c r="G1723" i="114" s="1"/>
  <c r="I1723" i="114" s="1"/>
  <c r="F1724" i="114" a="1"/>
  <c r="F1724" i="114" s="1"/>
  <c r="G1724" i="114" a="1"/>
  <c r="G1724" i="114" s="1"/>
  <c r="I1724" i="114" s="1"/>
  <c r="H1724" i="114" a="1"/>
  <c r="H1724" i="114" s="1"/>
  <c r="F1725" i="114" a="1"/>
  <c r="F1725" i="114" s="1"/>
  <c r="G1725" i="114" a="1"/>
  <c r="G1725" i="114" s="1"/>
  <c r="I1725" i="114" s="1"/>
  <c r="H1725" i="114" a="1"/>
  <c r="H1725" i="114" s="1"/>
  <c r="F1726" i="114" a="1"/>
  <c r="F1726" i="114" s="1"/>
  <c r="G1726" i="114" a="1"/>
  <c r="G1726" i="114" s="1"/>
  <c r="I1726" i="114" s="1"/>
  <c r="H1726" i="114" a="1"/>
  <c r="H1726" i="114" s="1"/>
  <c r="F1727" i="114" a="1"/>
  <c r="F1727" i="114" s="1"/>
  <c r="G1727" i="114" a="1"/>
  <c r="G1727" i="114" s="1"/>
  <c r="I1727" i="114" s="1"/>
  <c r="H1727" i="114" a="1"/>
  <c r="H1727" i="114" s="1"/>
  <c r="F1728" i="114" a="1"/>
  <c r="F1728" i="114" s="1"/>
  <c r="G1728" i="114" a="1"/>
  <c r="G1728" i="114" s="1"/>
  <c r="I1728" i="114" s="1"/>
  <c r="H1728" i="114" a="1"/>
  <c r="H1728" i="114" s="1"/>
  <c r="H1729" i="114" a="1"/>
  <c r="H1729" i="114" s="1"/>
  <c r="D1703" i="114"/>
  <c r="H10" i="114" a="1"/>
  <c r="H10" i="114" s="1"/>
  <c r="H9" i="114" a="1"/>
  <c r="H9" i="114" s="1"/>
  <c r="H8" i="114" a="1"/>
  <c r="H8" i="114" s="1"/>
  <c r="H7" i="114" a="1"/>
  <c r="H7" i="114" s="1"/>
  <c r="H5" i="114" a="1"/>
  <c r="H5" i="114" s="1"/>
  <c r="H4" i="114" a="1"/>
  <c r="H4" i="114" s="1"/>
  <c r="H3" i="114" a="1"/>
  <c r="H3" i="114" s="1"/>
  <c r="G9" i="114" a="1"/>
  <c r="G9" i="114" s="1"/>
  <c r="I9" i="114" s="1"/>
  <c r="G8" i="114" a="1"/>
  <c r="G8" i="114" s="1"/>
  <c r="I8" i="114" s="1"/>
  <c r="G7" i="114" a="1"/>
  <c r="G7" i="114" s="1"/>
  <c r="I7" i="114" s="1"/>
  <c r="G6" i="114" a="1"/>
  <c r="G6" i="114" s="1"/>
  <c r="I6" i="114" s="1"/>
  <c r="G5" i="114" a="1"/>
  <c r="G5" i="114" s="1"/>
  <c r="I5" i="114" s="1"/>
  <c r="G4" i="114" a="1"/>
  <c r="G4" i="114" s="1"/>
  <c r="I4" i="114" s="1"/>
  <c r="G3" i="114" a="1"/>
  <c r="G3" i="114" s="1"/>
  <c r="I3" i="114" s="1"/>
  <c r="F9" i="114" a="1"/>
  <c r="F9" i="114" s="1"/>
  <c r="F8" i="114" a="1"/>
  <c r="F8" i="114" s="1"/>
  <c r="F7" i="114" a="1"/>
  <c r="F7" i="114" s="1"/>
  <c r="F6" i="114" a="1"/>
  <c r="F6" i="114" s="1"/>
  <c r="F5" i="114" a="1"/>
  <c r="F5" i="114" s="1"/>
  <c r="F4" i="114" a="1"/>
  <c r="F4" i="114" s="1"/>
  <c r="F3" i="114" a="1"/>
  <c r="F3" i="114" s="1"/>
  <c r="H456" i="114" a="1"/>
  <c r="H456" i="114" s="1"/>
  <c r="I20" i="113"/>
  <c r="H780" i="114" a="1"/>
  <c r="H780" i="114" s="1"/>
  <c r="H1237" i="114" a="1"/>
  <c r="H1237" i="114" s="1"/>
  <c r="H1228" i="114" a="1"/>
  <c r="H1228" i="114" s="1"/>
  <c r="H913" i="114" a="1"/>
  <c r="H913" i="114" s="1"/>
  <c r="I38" i="113"/>
  <c r="I37" i="113"/>
  <c r="I36" i="113"/>
  <c r="I35" i="113"/>
  <c r="I34" i="113"/>
  <c r="H949" i="114" s="1" a="1"/>
  <c r="H949" i="114" s="1"/>
  <c r="I33" i="113"/>
  <c r="H1723" i="114" s="1" a="1"/>
  <c r="H1723" i="114" s="1"/>
  <c r="I32" i="113"/>
  <c r="I31" i="113"/>
  <c r="H1705" i="114" s="1" a="1"/>
  <c r="H1705" i="114" s="1"/>
  <c r="I30" i="113"/>
  <c r="I29" i="113"/>
  <c r="I28" i="113"/>
  <c r="I27" i="113"/>
  <c r="I26" i="113"/>
  <c r="I25" i="113"/>
  <c r="I24" i="113"/>
  <c r="I23" i="113"/>
  <c r="I22" i="113"/>
  <c r="I21" i="113"/>
  <c r="I19" i="113"/>
  <c r="I18" i="113"/>
  <c r="H769" i="114" s="1" a="1"/>
  <c r="H769" i="114" s="1"/>
  <c r="I17" i="113"/>
  <c r="H744" i="114" s="1" a="1"/>
  <c r="H744" i="114" s="1"/>
  <c r="I16" i="113"/>
  <c r="H715" i="114" s="1" a="1"/>
  <c r="H715" i="114" s="1"/>
  <c r="I15" i="113"/>
  <c r="H670" i="114" s="1" a="1"/>
  <c r="H670" i="114" s="1"/>
  <c r="I14" i="113"/>
  <c r="I13" i="113"/>
  <c r="I12" i="113"/>
  <c r="H609" i="114" s="1" a="1"/>
  <c r="H609" i="114" s="1"/>
  <c r="I11" i="113"/>
  <c r="I10" i="113"/>
  <c r="I9" i="113"/>
  <c r="H1806" i="114" s="1" a="1"/>
  <c r="H1806" i="114" s="1"/>
  <c r="I8" i="113"/>
  <c r="I7" i="113"/>
  <c r="I6" i="113"/>
  <c r="I5" i="113"/>
  <c r="H958" i="114" s="1" a="1"/>
  <c r="H958" i="114" s="1"/>
  <c r="I4" i="113"/>
  <c r="I3" i="113"/>
  <c r="H274" i="114" s="1" a="1"/>
  <c r="H274" i="114" s="1"/>
  <c r="E31" i="116" l="1"/>
  <c r="E93" i="116"/>
  <c r="E99" i="116"/>
  <c r="E109" i="116"/>
  <c r="E70" i="116"/>
  <c r="E76" i="116"/>
  <c r="E81" i="116"/>
  <c r="E91" i="116"/>
  <c r="E203" i="116"/>
  <c r="E196" i="116"/>
  <c r="E88" i="116"/>
  <c r="E78" i="116"/>
  <c r="E87" i="116"/>
  <c r="E94" i="116"/>
  <c r="E97" i="116"/>
  <c r="E115" i="116"/>
  <c r="E150" i="116"/>
  <c r="E33" i="116"/>
  <c r="E106" i="116"/>
  <c r="E197" i="116"/>
  <c r="AL85" i="1"/>
  <c r="AM85" i="1" s="1"/>
  <c r="F729" i="114" a="1"/>
  <c r="F729" i="114" s="1"/>
  <c r="G729" i="114" a="1"/>
  <c r="G729" i="114" s="1"/>
  <c r="I729" i="114" s="1"/>
  <c r="H38" i="110"/>
  <c r="E200" i="116"/>
  <c r="H40" i="110"/>
  <c r="G38" i="110"/>
  <c r="F40" i="110"/>
  <c r="E72" i="116"/>
  <c r="E75" i="116"/>
  <c r="E105" i="116"/>
  <c r="E114" i="116"/>
  <c r="E199" i="116"/>
  <c r="H41" i="110"/>
  <c r="E90" i="116"/>
  <c r="E198" i="116"/>
  <c r="E202" i="116"/>
  <c r="G41" i="110"/>
  <c r="H39" i="110"/>
  <c r="E108" i="116"/>
  <c r="E201" i="116"/>
  <c r="E41" i="116"/>
  <c r="E53" i="116"/>
  <c r="E68" i="116"/>
  <c r="E74" i="116"/>
  <c r="E92" i="116"/>
  <c r="E95" i="116"/>
  <c r="E101" i="116"/>
  <c r="E104" i="116"/>
  <c r="E107" i="116"/>
  <c r="E116" i="116"/>
  <c r="G39" i="110"/>
  <c r="E1809" i="114"/>
  <c r="E1806" i="114"/>
  <c r="E1749" i="114"/>
  <c r="E1752" i="114"/>
  <c r="E1776" i="114"/>
  <c r="E1782" i="114"/>
  <c r="E1786" i="114"/>
  <c r="E1789" i="114"/>
  <c r="E1792" i="114"/>
  <c r="E1796" i="114"/>
  <c r="E1795" i="114"/>
  <c r="E1798" i="114"/>
  <c r="G43" i="110"/>
  <c r="H43" i="110" s="1"/>
  <c r="I43" i="110" s="1"/>
  <c r="J43" i="110" s="1"/>
  <c r="E1801" i="114"/>
  <c r="F12" i="110"/>
  <c r="E1800" i="114"/>
  <c r="E1804" i="114"/>
  <c r="E1805" i="114"/>
  <c r="E1736" i="114"/>
  <c r="E1743" i="114"/>
  <c r="E1760" i="114"/>
  <c r="E1763" i="114"/>
  <c r="E1770" i="114"/>
  <c r="E1773" i="114"/>
  <c r="E1780" i="114"/>
  <c r="E1787" i="114"/>
  <c r="E1790" i="114"/>
  <c r="E1807" i="114"/>
  <c r="O12" i="110"/>
  <c r="L12" i="110"/>
  <c r="I12" i="110"/>
  <c r="E1810" i="114"/>
  <c r="D12" i="110"/>
  <c r="N12" i="110"/>
  <c r="K12" i="110"/>
  <c r="H12" i="110"/>
  <c r="E12" i="110"/>
  <c r="E1808" i="114"/>
  <c r="M12" i="110"/>
  <c r="J12" i="110"/>
  <c r="G12" i="110"/>
  <c r="E1732" i="114"/>
  <c r="E1745" i="114"/>
  <c r="H1748" i="114"/>
  <c r="H197" i="116" s="1"/>
  <c r="E1788" i="114"/>
  <c r="E1799" i="114"/>
  <c r="E1803" i="114"/>
  <c r="I1802" i="114"/>
  <c r="E1797" i="114"/>
  <c r="E1755" i="114"/>
  <c r="E1791" i="114"/>
  <c r="E1794" i="114"/>
  <c r="H1793" i="114"/>
  <c r="H202" i="116" s="1"/>
  <c r="E18" i="110"/>
  <c r="F18" i="110" s="1"/>
  <c r="E1740" i="114"/>
  <c r="E1753" i="114"/>
  <c r="E1762" i="114"/>
  <c r="E1765" i="114"/>
  <c r="E1772" i="114"/>
  <c r="H1775" i="114"/>
  <c r="H200" i="116" s="1"/>
  <c r="G28" i="110"/>
  <c r="H28" i="110" s="1"/>
  <c r="G22" i="110"/>
  <c r="H22" i="110" s="1"/>
  <c r="F192" i="116" a="1"/>
  <c r="F192" i="116" s="1"/>
  <c r="G34" i="116" a="1"/>
  <c r="G34" i="116" s="1"/>
  <c r="G9" i="116" a="1"/>
  <c r="G9" i="116" s="1"/>
  <c r="G50" i="116" a="1"/>
  <c r="G50" i="116" s="1"/>
  <c r="G11" i="116" a="1"/>
  <c r="G11" i="116" s="1"/>
  <c r="G14" i="116" a="1"/>
  <c r="G14" i="116" s="1"/>
  <c r="G19" i="116" a="1"/>
  <c r="G19" i="116" s="1"/>
  <c r="G82" i="116" a="1"/>
  <c r="G82" i="116" s="1"/>
  <c r="G24" i="116" a="1"/>
  <c r="G24" i="116" s="1"/>
  <c r="G140" i="116" a="1"/>
  <c r="G140" i="116" s="1"/>
  <c r="G60" i="116" a="1"/>
  <c r="G60" i="116" s="1"/>
  <c r="G112" i="116" a="1"/>
  <c r="G112" i="116" s="1"/>
  <c r="G126" i="116" a="1"/>
  <c r="G126" i="116" s="1"/>
  <c r="G134" i="116" a="1"/>
  <c r="G134" i="116" s="1"/>
  <c r="F35" i="116" a="1"/>
  <c r="F35" i="116" s="1"/>
  <c r="F36" i="116" a="1"/>
  <c r="F36" i="116" s="1"/>
  <c r="F73" i="116" a="1"/>
  <c r="F73" i="116" s="1"/>
  <c r="F12" i="116" a="1"/>
  <c r="F12" i="116" s="1"/>
  <c r="F15" i="116" a="1"/>
  <c r="F15" i="116" s="1"/>
  <c r="F20" i="116" a="1"/>
  <c r="F20" i="116" s="1"/>
  <c r="F22" i="116" a="1"/>
  <c r="F22" i="116" s="1"/>
  <c r="F44" i="116" a="1"/>
  <c r="F44" i="116" s="1"/>
  <c r="F47" i="116" a="1"/>
  <c r="F47" i="116" s="1"/>
  <c r="F65" i="116" a="1"/>
  <c r="F65" i="116" s="1"/>
  <c r="F120" i="116" a="1"/>
  <c r="F120" i="116" s="1"/>
  <c r="F127" i="116" a="1"/>
  <c r="F127" i="116" s="1"/>
  <c r="I1784" i="114"/>
  <c r="I201" i="116" s="1"/>
  <c r="E25" i="110"/>
  <c r="F25" i="110" s="1"/>
  <c r="F29" i="110"/>
  <c r="G29" i="110" s="1"/>
  <c r="F27" i="110"/>
  <c r="G27" i="110" s="1"/>
  <c r="F26" i="110"/>
  <c r="G26" i="110" s="1"/>
  <c r="F24" i="110"/>
  <c r="G24" i="110" s="1"/>
  <c r="H24" i="110" s="1"/>
  <c r="F23" i="110"/>
  <c r="G23" i="110" s="1"/>
  <c r="F21" i="110"/>
  <c r="G21" i="110" s="1"/>
  <c r="F20" i="110"/>
  <c r="G20" i="110" s="1"/>
  <c r="G17" i="116" a="1"/>
  <c r="G17" i="116" s="1"/>
  <c r="G3" i="116" a="1"/>
  <c r="G3" i="116" s="1"/>
  <c r="G37" i="116" a="1"/>
  <c r="G37" i="116" s="1"/>
  <c r="G10" i="116" a="1"/>
  <c r="G10" i="116" s="1"/>
  <c r="G13" i="116" a="1"/>
  <c r="G13" i="116" s="1"/>
  <c r="G16" i="116" a="1"/>
  <c r="G16" i="116" s="1"/>
  <c r="G21" i="116" a="1"/>
  <c r="G21" i="116" s="1"/>
  <c r="G23" i="116" a="1"/>
  <c r="G23" i="116" s="1"/>
  <c r="F49" i="116" a="1"/>
  <c r="F49" i="116" s="1"/>
  <c r="F83" i="116" a="1"/>
  <c r="F83" i="116" s="1"/>
  <c r="F125" i="116" a="1"/>
  <c r="F125" i="116" s="1"/>
  <c r="F130" i="116" a="1"/>
  <c r="F130" i="116" s="1"/>
  <c r="E1783" i="114"/>
  <c r="H1784" i="114"/>
  <c r="H201" i="116" s="1"/>
  <c r="I1793" i="114"/>
  <c r="I202" i="116" s="1"/>
  <c r="H29" i="110"/>
  <c r="H23" i="110"/>
  <c r="H742" i="114" a="1"/>
  <c r="H742" i="114" s="1"/>
  <c r="E44" i="110"/>
  <c r="F44" i="110" s="1"/>
  <c r="H779" i="114" a="1"/>
  <c r="H779" i="114" s="1"/>
  <c r="E37" i="110"/>
  <c r="F37" i="110" s="1"/>
  <c r="G19" i="110"/>
  <c r="H19" i="110" s="1"/>
  <c r="I1759" i="114"/>
  <c r="I1757" i="114" s="1"/>
  <c r="I198" i="116" s="1"/>
  <c r="E1759" i="114"/>
  <c r="E1735" i="114"/>
  <c r="I1769" i="114"/>
  <c r="I1766" i="114" s="1"/>
  <c r="I199" i="116" s="1"/>
  <c r="E1769" i="114"/>
  <c r="H371" i="114"/>
  <c r="H44" i="116" s="1"/>
  <c r="E1742" i="114"/>
  <c r="I1748" i="114"/>
  <c r="I197" i="116" s="1"/>
  <c r="E1750" i="114"/>
  <c r="I1779" i="114"/>
  <c r="I1775" i="114" s="1"/>
  <c r="I200" i="116" s="1"/>
  <c r="E1779" i="114"/>
  <c r="H1766" i="114"/>
  <c r="H199" i="116" s="1"/>
  <c r="E1733" i="114"/>
  <c r="I1739" i="114"/>
  <c r="I196" i="116" s="1"/>
  <c r="E1746" i="114"/>
  <c r="E1756" i="114"/>
  <c r="H1757" i="114"/>
  <c r="H198" i="116" s="1"/>
  <c r="E1767" i="114"/>
  <c r="E1777" i="114"/>
  <c r="G45" i="110"/>
  <c r="H45" i="110" s="1"/>
  <c r="I45" i="110" s="1"/>
  <c r="J45" i="110" s="1"/>
  <c r="G48" i="110"/>
  <c r="H48" i="110" s="1"/>
  <c r="H47" i="110"/>
  <c r="G46" i="110"/>
  <c r="H716" i="114" a="1"/>
  <c r="H716" i="114" s="1"/>
  <c r="H717" i="114" a="1"/>
  <c r="H717" i="114" s="1"/>
  <c r="H121" i="114" a="1"/>
  <c r="H121" i="114" s="1"/>
  <c r="H119" i="114" s="1"/>
  <c r="H16" i="116" s="1"/>
  <c r="H1741" i="114" a="1"/>
  <c r="H1741" i="114" s="1"/>
  <c r="H1739" i="114" s="1"/>
  <c r="H196" i="116" s="1"/>
  <c r="H202" i="114" a="1"/>
  <c r="H202" i="114" s="1"/>
  <c r="H200" i="114" s="1"/>
  <c r="H25" i="116" s="1"/>
  <c r="H1804" i="114" a="1"/>
  <c r="H1804" i="114" s="1"/>
  <c r="H1802" i="114" s="1"/>
  <c r="E1731" i="114"/>
  <c r="E1734" i="114"/>
  <c r="E1737" i="114"/>
  <c r="E1741" i="114"/>
  <c r="E1744" i="114"/>
  <c r="E1747" i="114"/>
  <c r="E1751" i="114"/>
  <c r="E1754" i="114"/>
  <c r="E1758" i="114"/>
  <c r="E1761" i="114"/>
  <c r="E1764" i="114"/>
  <c r="E1768" i="114"/>
  <c r="E1771" i="114"/>
  <c r="E1774" i="114"/>
  <c r="E1778" i="114"/>
  <c r="E1781" i="114"/>
  <c r="E1785" i="114"/>
  <c r="H1730" i="114"/>
  <c r="H195" i="116" s="1"/>
  <c r="H743" i="114" a="1"/>
  <c r="H743" i="114" s="1"/>
  <c r="H850" i="114" a="1"/>
  <c r="H850" i="114" s="1"/>
  <c r="H848" i="114" s="1"/>
  <c r="H97" i="116" s="1"/>
  <c r="H625" i="114" a="1"/>
  <c r="H625" i="114" s="1"/>
  <c r="H623" i="114" s="1"/>
  <c r="H72" i="116" s="1"/>
  <c r="H1714" i="114" a="1"/>
  <c r="H1714" i="114" s="1"/>
  <c r="H1712" i="114" s="1"/>
  <c r="H193" i="116" s="1"/>
  <c r="H931" i="114" a="1"/>
  <c r="H931" i="114" s="1"/>
  <c r="H929" i="114" s="1"/>
  <c r="H106" i="116" s="1"/>
  <c r="H886" i="114" a="1"/>
  <c r="H886" i="114" s="1"/>
  <c r="H884" i="114" s="1"/>
  <c r="H101" i="116" s="1"/>
  <c r="H796" i="114" a="1"/>
  <c r="H796" i="114" s="1"/>
  <c r="H794" i="114" s="1"/>
  <c r="H91" i="116" s="1"/>
  <c r="H823" i="114" a="1"/>
  <c r="H823" i="114" s="1"/>
  <c r="H821" i="114" s="1"/>
  <c r="H94" i="116" s="1"/>
  <c r="H652" i="114" a="1"/>
  <c r="H652" i="114" s="1"/>
  <c r="H650" i="114" s="1"/>
  <c r="H75" i="116" s="1"/>
  <c r="H922" i="114" a="1"/>
  <c r="H922" i="114" s="1"/>
  <c r="H920" i="114" s="1"/>
  <c r="H105" i="116" s="1"/>
  <c r="H805" i="114" a="1"/>
  <c r="H805" i="114" s="1"/>
  <c r="H803" i="114" s="1"/>
  <c r="H92" i="116" s="1"/>
  <c r="H832" i="114" a="1"/>
  <c r="H832" i="114" s="1"/>
  <c r="H830" i="114" s="1"/>
  <c r="H95" i="116" s="1"/>
  <c r="H616" i="114" a="1"/>
  <c r="H616" i="114" s="1"/>
  <c r="H614" i="114" s="1"/>
  <c r="H71" i="116" s="1"/>
  <c r="H589" i="114" a="1"/>
  <c r="H589" i="114" s="1"/>
  <c r="H587" i="114" s="1"/>
  <c r="H68" i="116" s="1"/>
  <c r="H661" i="114" a="1"/>
  <c r="H661" i="114" s="1"/>
  <c r="H659" i="114" s="1"/>
  <c r="H76" i="116" s="1"/>
  <c r="H643" i="114" a="1"/>
  <c r="H643" i="114" s="1"/>
  <c r="H641" i="114" s="1"/>
  <c r="H74" i="116" s="1"/>
  <c r="H877" i="114" a="1"/>
  <c r="H877" i="114" s="1"/>
  <c r="H875" i="114" s="1"/>
  <c r="H100" i="116" s="1"/>
  <c r="H787" i="114" a="1"/>
  <c r="H787" i="114" s="1"/>
  <c r="H785" i="114" s="1"/>
  <c r="H90" i="116" s="1"/>
  <c r="H940" i="114" a="1"/>
  <c r="H940" i="114" s="1"/>
  <c r="H938" i="114" s="1"/>
  <c r="H107" i="116" s="1"/>
  <c r="H814" i="114" a="1"/>
  <c r="H814" i="114" s="1"/>
  <c r="H812" i="114" s="1"/>
  <c r="H93" i="116" s="1"/>
  <c r="H868" i="114" a="1"/>
  <c r="H868" i="114" s="1"/>
  <c r="H866" i="114" s="1"/>
  <c r="H99" i="116" s="1"/>
  <c r="H778" i="114" a="1"/>
  <c r="H778" i="114" s="1"/>
  <c r="H607" i="114" a="1"/>
  <c r="H607" i="114" s="1"/>
  <c r="H605" i="114" s="1"/>
  <c r="H70" i="116" s="1"/>
  <c r="H454" i="114" a="1"/>
  <c r="H454" i="114" s="1"/>
  <c r="H452" i="114" s="1"/>
  <c r="H53" i="116" s="1"/>
  <c r="F1721" i="114" a="1"/>
  <c r="F1721" i="114" s="1"/>
  <c r="G56" i="114" a="1"/>
  <c r="G56" i="114" s="1"/>
  <c r="F1630" i="114" a="1"/>
  <c r="F1630" i="114" s="1"/>
  <c r="F1775" i="114" a="1"/>
  <c r="F1775" i="114" s="1"/>
  <c r="F262" i="114" a="1"/>
  <c r="F262" i="114" s="1"/>
  <c r="G1586" i="114" a="1"/>
  <c r="G1586" i="114" s="1"/>
  <c r="F803" i="114" a="1"/>
  <c r="F803" i="114" s="1"/>
  <c r="G523" i="114" a="1"/>
  <c r="G523" i="114" s="1"/>
  <c r="I523" i="114" s="1"/>
  <c r="I515" i="114" s="1"/>
  <c r="I60" i="116" s="1"/>
  <c r="G361" i="114" a="1"/>
  <c r="G361" i="114" s="1"/>
  <c r="I361" i="114" s="1"/>
  <c r="I353" i="114" s="1"/>
  <c r="I42" i="116" s="1"/>
  <c r="F334" i="114" a="1"/>
  <c r="F334" i="114" s="1"/>
  <c r="F307" i="114" a="1"/>
  <c r="F307" i="114" s="1"/>
  <c r="G280" i="114" a="1"/>
  <c r="G280" i="114" s="1"/>
  <c r="I280" i="114" s="1"/>
  <c r="I272" i="114" s="1"/>
  <c r="I33" i="116" s="1"/>
  <c r="G506" i="114" a="1"/>
  <c r="G506" i="114" s="1"/>
  <c r="G487" i="114" a="1"/>
  <c r="G487" i="114" s="1"/>
  <c r="I487" i="114" s="1"/>
  <c r="I479" i="114" s="1"/>
  <c r="I56" i="116" s="1"/>
  <c r="G425" i="114" a="1"/>
  <c r="G425" i="114" s="1"/>
  <c r="G128" i="114" a="1"/>
  <c r="G128" i="114" s="1"/>
  <c r="E1543" i="114"/>
  <c r="E771" i="114"/>
  <c r="E1174" i="114"/>
  <c r="E1142" i="114"/>
  <c r="E1152" i="114"/>
  <c r="E1038" i="114"/>
  <c r="E961" i="114"/>
  <c r="E431" i="114"/>
  <c r="E1679" i="114"/>
  <c r="E87" i="114"/>
  <c r="E166" i="114"/>
  <c r="E598" i="114"/>
  <c r="E521" i="114"/>
  <c r="E474" i="114"/>
  <c r="E169" i="114"/>
  <c r="E14" i="114"/>
  <c r="E1363" i="114"/>
  <c r="E807" i="114"/>
  <c r="E657" i="114"/>
  <c r="E939" i="114"/>
  <c r="E1323" i="114"/>
  <c r="E1058" i="114"/>
  <c r="E819" i="114"/>
  <c r="E121" i="114"/>
  <c r="E1727" i="114"/>
  <c r="E151" i="114"/>
  <c r="E1422" i="114"/>
  <c r="E835" i="114"/>
  <c r="E792" i="114"/>
  <c r="E579" i="114"/>
  <c r="E324" i="114"/>
  <c r="E1627" i="114"/>
  <c r="E1167" i="114"/>
  <c r="E1031" i="114"/>
  <c r="E422" i="114"/>
  <c r="E270" i="114"/>
  <c r="E147" i="114"/>
  <c r="E1177" i="114"/>
  <c r="E778" i="114"/>
  <c r="E240" i="114"/>
  <c r="E232" i="114"/>
  <c r="E221" i="114"/>
  <c r="E1111" i="114"/>
  <c r="E507" i="114"/>
  <c r="E267" i="114"/>
  <c r="E116" i="114"/>
  <c r="E1437" i="114"/>
  <c r="E1521" i="114"/>
  <c r="E34" i="114"/>
  <c r="E1390" i="114"/>
  <c r="E1680" i="114"/>
  <c r="E1494" i="114"/>
  <c r="E1247" i="114"/>
  <c r="E1165" i="114"/>
  <c r="E1115" i="114"/>
  <c r="E1014" i="114"/>
  <c r="E314" i="114"/>
  <c r="E231" i="114"/>
  <c r="E201" i="114"/>
  <c r="E1088" i="114"/>
  <c r="E662" i="114"/>
  <c r="E436" i="114"/>
  <c r="E300" i="114"/>
  <c r="E1589" i="114"/>
  <c r="E1542" i="114"/>
  <c r="E1389" i="114"/>
  <c r="E1358" i="114"/>
  <c r="E1110" i="114"/>
  <c r="E1017" i="114"/>
  <c r="E864" i="114"/>
  <c r="E612" i="114"/>
  <c r="E585" i="114"/>
  <c r="E112" i="114"/>
  <c r="E94" i="114"/>
  <c r="E548" i="114"/>
  <c r="E197" i="114"/>
  <c r="E456" i="114"/>
  <c r="E1426" i="114"/>
  <c r="E1034" i="114"/>
  <c r="E1600" i="114"/>
  <c r="E1137" i="114"/>
  <c r="E998" i="114"/>
  <c r="E903" i="114"/>
  <c r="E611" i="114"/>
  <c r="E369" i="114"/>
  <c r="E129" i="114"/>
  <c r="E1610" i="114"/>
  <c r="E763" i="114"/>
  <c r="E1242" i="114"/>
  <c r="E1633" i="114"/>
  <c r="E1502" i="114"/>
  <c r="E1416" i="114"/>
  <c r="E1404" i="114"/>
  <c r="E1227" i="114"/>
  <c r="E1157" i="114"/>
  <c r="E1052" i="114"/>
  <c r="E752" i="114"/>
  <c r="E688" i="114"/>
  <c r="E563" i="114"/>
  <c r="E518" i="114"/>
  <c r="E458" i="114"/>
  <c r="E364" i="114"/>
  <c r="E279" i="114"/>
  <c r="E252" i="114"/>
  <c r="E215" i="114"/>
  <c r="E1611" i="114"/>
  <c r="E1562" i="114"/>
  <c r="E1430" i="114"/>
  <c r="E1151" i="114"/>
  <c r="E1095" i="114"/>
  <c r="E797" i="114"/>
  <c r="E626" i="114"/>
  <c r="E1053" i="114"/>
  <c r="E1104" i="114"/>
  <c r="E886" i="114"/>
  <c r="E1534" i="114"/>
  <c r="E1381" i="114"/>
  <c r="E1147" i="114"/>
  <c r="E1484" i="114"/>
  <c r="E1353" i="114"/>
  <c r="E1295" i="114"/>
  <c r="E1282" i="114"/>
  <c r="E1122" i="114"/>
  <c r="E1094" i="114"/>
  <c r="E1089" i="114"/>
  <c r="E878" i="114"/>
  <c r="E480" i="114"/>
  <c r="E477" i="114"/>
  <c r="E1690" i="114"/>
  <c r="E1593" i="114"/>
  <c r="E1467" i="114"/>
  <c r="E1402" i="114"/>
  <c r="E1258" i="114"/>
  <c r="E445" i="114"/>
  <c r="E378" i="114"/>
  <c r="E363" i="114"/>
  <c r="E148" i="114"/>
  <c r="E49" i="114"/>
  <c r="E1706" i="114"/>
  <c r="E1678" i="114"/>
  <c r="E1607" i="114"/>
  <c r="E1602" i="114"/>
  <c r="E1474" i="114"/>
  <c r="E1302" i="114"/>
  <c r="E1040" i="114"/>
  <c r="E988" i="114"/>
  <c r="E922" i="114"/>
  <c r="E831" i="114"/>
  <c r="E606" i="114"/>
  <c r="E450" i="114"/>
  <c r="E405" i="114"/>
  <c r="E337" i="114"/>
  <c r="E306" i="114"/>
  <c r="E69" i="114"/>
  <c r="E51" i="114"/>
  <c r="E1642" i="114"/>
  <c r="E1285" i="114"/>
  <c r="E1552" i="114"/>
  <c r="E135" i="114"/>
  <c r="E130" i="114"/>
  <c r="E90" i="114"/>
  <c r="E1506" i="114"/>
  <c r="E1296" i="114"/>
  <c r="E1138" i="114"/>
  <c r="E1113" i="114"/>
  <c r="E1057" i="114"/>
  <c r="E977" i="114"/>
  <c r="E715" i="114"/>
  <c r="E702" i="114"/>
  <c r="E639" i="114"/>
  <c r="E600" i="114"/>
  <c r="E484" i="114"/>
  <c r="E1722" i="114"/>
  <c r="E1682" i="114"/>
  <c r="E1650" i="114"/>
  <c r="E1588" i="114"/>
  <c r="E1516" i="114"/>
  <c r="E1332" i="114"/>
  <c r="E1283" i="114"/>
  <c r="E1214" i="114"/>
  <c r="E1209" i="114"/>
  <c r="E1128" i="114"/>
  <c r="E1030" i="114"/>
  <c r="E960" i="114"/>
  <c r="E958" i="114"/>
  <c r="E921" i="114"/>
  <c r="E879" i="114"/>
  <c r="E756" i="114"/>
  <c r="E357" i="114"/>
  <c r="E336" i="114"/>
  <c r="E27" i="114"/>
  <c r="E1436" i="114"/>
  <c r="E1269" i="114"/>
  <c r="E1120" i="114"/>
  <c r="E951" i="114"/>
  <c r="E907" i="114"/>
  <c r="E777" i="114"/>
  <c r="E764" i="114"/>
  <c r="E692" i="114"/>
  <c r="E665" i="114"/>
  <c r="E589" i="114"/>
  <c r="E511" i="114"/>
  <c r="E493" i="114"/>
  <c r="E475" i="114"/>
  <c r="E462" i="114"/>
  <c r="E219" i="114"/>
  <c r="E216" i="114"/>
  <c r="E211" i="114"/>
  <c r="E153" i="114"/>
  <c r="E1689" i="114"/>
  <c r="E1525" i="114"/>
  <c r="E1507" i="114"/>
  <c r="E1465" i="114"/>
  <c r="E1456" i="114"/>
  <c r="E1449" i="114"/>
  <c r="E1377" i="114"/>
  <c r="E1116" i="114"/>
  <c r="E1106" i="114"/>
  <c r="E1102" i="114"/>
  <c r="E1068" i="114"/>
  <c r="E1065" i="114"/>
  <c r="E1051" i="114"/>
  <c r="E975" i="114"/>
  <c r="E906" i="114"/>
  <c r="E746" i="114"/>
  <c r="E738" i="114"/>
  <c r="E652" i="114"/>
  <c r="E629" i="114"/>
  <c r="E601" i="114"/>
  <c r="E554" i="114"/>
  <c r="E528" i="114"/>
  <c r="E393" i="114"/>
  <c r="E269" i="114"/>
  <c r="E246" i="114"/>
  <c r="E238" i="114"/>
  <c r="E210" i="114"/>
  <c r="E152" i="114"/>
  <c r="E150" i="114"/>
  <c r="E57" i="114"/>
  <c r="E1614" i="114"/>
  <c r="E1476" i="114"/>
  <c r="E1472" i="114"/>
  <c r="E1470" i="114"/>
  <c r="E1420" i="114"/>
  <c r="E1408" i="114"/>
  <c r="E1394" i="114"/>
  <c r="E1375" i="114"/>
  <c r="E1356" i="114"/>
  <c r="E1346" i="114"/>
  <c r="E1266" i="114"/>
  <c r="E1146" i="114"/>
  <c r="E1093" i="114"/>
  <c r="E1077" i="114"/>
  <c r="E1050" i="114"/>
  <c r="E1023" i="114"/>
  <c r="E1005" i="114"/>
  <c r="E918" i="114"/>
  <c r="E885" i="114"/>
  <c r="E619" i="114"/>
  <c r="E1597" i="114"/>
  <c r="E1533" i="114"/>
  <c r="E1529" i="114"/>
  <c r="E1499" i="114"/>
  <c r="E1480" i="114"/>
  <c r="E1464" i="114"/>
  <c r="E1453" i="114"/>
  <c r="E1440" i="114"/>
  <c r="E1438" i="114"/>
  <c r="E1429" i="114"/>
  <c r="E1401" i="114"/>
  <c r="E1350" i="114"/>
  <c r="E1268" i="114"/>
  <c r="E959" i="114"/>
  <c r="E654" i="114"/>
  <c r="E1643" i="114"/>
  <c r="E1624" i="114"/>
  <c r="E1510" i="114"/>
  <c r="E1488" i="114"/>
  <c r="E1455" i="114"/>
  <c r="E1444" i="114"/>
  <c r="E1413" i="114"/>
  <c r="E1398" i="114"/>
  <c r="E1362" i="114"/>
  <c r="E1345" i="114"/>
  <c r="E1335" i="114"/>
  <c r="E1311" i="114"/>
  <c r="E828" i="114"/>
  <c r="E354" i="114"/>
  <c r="E351" i="114"/>
  <c r="E328" i="114"/>
  <c r="H947" i="114"/>
  <c r="H108" i="116" s="1"/>
  <c r="E1723" i="114"/>
  <c r="E1473" i="114"/>
  <c r="E1457" i="114"/>
  <c r="E1435" i="114"/>
  <c r="E1359" i="114"/>
  <c r="E1303" i="114"/>
  <c r="E1161" i="114"/>
  <c r="E1159" i="114"/>
  <c r="E1083" i="114"/>
  <c r="E966" i="114"/>
  <c r="E931" i="114"/>
  <c r="E1672" i="114"/>
  <c r="E1596" i="114"/>
  <c r="E1705" i="114"/>
  <c r="E1699" i="114"/>
  <c r="E1654" i="114"/>
  <c r="E1638" i="114"/>
  <c r="E1509" i="114"/>
  <c r="E1489" i="114"/>
  <c r="E1483" i="114"/>
  <c r="E1479" i="114"/>
  <c r="E1222" i="114"/>
  <c r="E1139" i="114"/>
  <c r="E1132" i="114"/>
  <c r="E1663" i="114"/>
  <c r="E1590" i="114"/>
  <c r="E1481" i="114"/>
  <c r="H1001" i="114"/>
  <c r="H114" i="116" s="1"/>
  <c r="E1276" i="114"/>
  <c r="E1215" i="114"/>
  <c r="E1119" i="114"/>
  <c r="E1105" i="114"/>
  <c r="E1041" i="114"/>
  <c r="E1039" i="114"/>
  <c r="E1021" i="114"/>
  <c r="E978" i="114"/>
  <c r="E943" i="114"/>
  <c r="E826" i="114"/>
  <c r="E705" i="114"/>
  <c r="E509" i="114"/>
  <c r="E463" i="114"/>
  <c r="E1237" i="114"/>
  <c r="E1230" i="114"/>
  <c r="E1221" i="114"/>
  <c r="E1219" i="114"/>
  <c r="E1206" i="114"/>
  <c r="E1197" i="114"/>
  <c r="E1195" i="114"/>
  <c r="E1182" i="114"/>
  <c r="E1141" i="114"/>
  <c r="E1121" i="114"/>
  <c r="E1097" i="114"/>
  <c r="E1062" i="114"/>
  <c r="E1032" i="114"/>
  <c r="E1025" i="114"/>
  <c r="E989" i="114"/>
  <c r="E942" i="114"/>
  <c r="E926" i="114"/>
  <c r="E854" i="114"/>
  <c r="E707" i="114"/>
  <c r="E570" i="114"/>
  <c r="E526" i="114"/>
  <c r="E385" i="114"/>
  <c r="E338" i="114"/>
  <c r="E293" i="114"/>
  <c r="E202" i="114"/>
  <c r="E1085" i="114"/>
  <c r="E1016" i="114"/>
  <c r="E490" i="114"/>
  <c r="E421" i="114"/>
  <c r="E356" i="114"/>
  <c r="E1409" i="114"/>
  <c r="E1310" i="114"/>
  <c r="E1305" i="114"/>
  <c r="E1293" i="114"/>
  <c r="E1275" i="114"/>
  <c r="E1259" i="114"/>
  <c r="E1254" i="114"/>
  <c r="E1228" i="114"/>
  <c r="E1194" i="114"/>
  <c r="E1169" i="114"/>
  <c r="E1150" i="114"/>
  <c r="E1125" i="114"/>
  <c r="E1074" i="114"/>
  <c r="E1012" i="114"/>
  <c r="E1008" i="114"/>
  <c r="E997" i="114"/>
  <c r="E419" i="114"/>
  <c r="E1061" i="114"/>
  <c r="E751" i="114"/>
  <c r="E645" i="114"/>
  <c r="E454" i="114"/>
  <c r="E233" i="114"/>
  <c r="E174" i="114"/>
  <c r="E62" i="114"/>
  <c r="E1098" i="114"/>
  <c r="E1092" i="114"/>
  <c r="E1086" i="114"/>
  <c r="E1059" i="114"/>
  <c r="E1047" i="114"/>
  <c r="E994" i="114"/>
  <c r="E909" i="114"/>
  <c r="E900" i="114"/>
  <c r="E868" i="114"/>
  <c r="E822" i="114"/>
  <c r="E538" i="114"/>
  <c r="E377" i="114"/>
  <c r="E365" i="114"/>
  <c r="E183" i="114"/>
  <c r="E492" i="114"/>
  <c r="E411" i="114"/>
  <c r="E383" i="114"/>
  <c r="E315" i="114"/>
  <c r="E143" i="114"/>
  <c r="E89" i="114"/>
  <c r="E85" i="114"/>
  <c r="E67" i="114"/>
  <c r="E53" i="114"/>
  <c r="E39" i="114"/>
  <c r="E799" i="114"/>
  <c r="E790" i="114"/>
  <c r="E770" i="114"/>
  <c r="E729" i="114"/>
  <c r="E709" i="114"/>
  <c r="E679" i="114"/>
  <c r="E670" i="114"/>
  <c r="E663" i="114"/>
  <c r="E651" i="114"/>
  <c r="E582" i="114"/>
  <c r="E565" i="114"/>
  <c r="E555" i="114"/>
  <c r="E547" i="114"/>
  <c r="E535" i="114"/>
  <c r="E360" i="114"/>
  <c r="E330" i="114"/>
  <c r="E287" i="114"/>
  <c r="E274" i="114"/>
  <c r="E242" i="114"/>
  <c r="E171" i="114"/>
  <c r="E142" i="114"/>
  <c r="E113" i="114"/>
  <c r="E99" i="114"/>
  <c r="E97" i="114"/>
  <c r="E70" i="114"/>
  <c r="E48" i="114"/>
  <c r="E35" i="114"/>
  <c r="E836" i="114"/>
  <c r="E786" i="114"/>
  <c r="E744" i="114"/>
  <c r="E742" i="114"/>
  <c r="E693" i="114"/>
  <c r="E636" i="114"/>
  <c r="E627" i="114"/>
  <c r="E562" i="114"/>
  <c r="E522" i="114"/>
  <c r="E382" i="114"/>
  <c r="E347" i="114"/>
  <c r="E321" i="114"/>
  <c r="E310" i="114"/>
  <c r="E278" i="114"/>
  <c r="E162" i="114"/>
  <c r="E144" i="114"/>
  <c r="E115" i="114"/>
  <c r="E111" i="114"/>
  <c r="E93" i="114"/>
  <c r="E84" i="114"/>
  <c r="E68" i="114"/>
  <c r="E849" i="114"/>
  <c r="E800" i="114"/>
  <c r="E783" i="114"/>
  <c r="E510" i="114"/>
  <c r="E292" i="114"/>
  <c r="E273" i="114"/>
  <c r="E251" i="114"/>
  <c r="E12" i="114"/>
  <c r="E804" i="114"/>
  <c r="E741" i="114"/>
  <c r="E708" i="114"/>
  <c r="E706" i="114"/>
  <c r="E671" i="114"/>
  <c r="E646" i="114"/>
  <c r="E590" i="114"/>
  <c r="E489" i="114"/>
  <c r="E453" i="114"/>
  <c r="E410" i="114"/>
  <c r="E350" i="114"/>
  <c r="E222" i="114"/>
  <c r="E186" i="114"/>
  <c r="E179" i="114"/>
  <c r="E132" i="114"/>
  <c r="E827" i="114"/>
  <c r="E817" i="114"/>
  <c r="E815" i="114"/>
  <c r="E597" i="114"/>
  <c r="E499" i="114"/>
  <c r="E486" i="114"/>
  <c r="E420" i="114"/>
  <c r="E399" i="114"/>
  <c r="E322" i="114"/>
  <c r="H263" i="114"/>
  <c r="H32" i="116" s="1"/>
  <c r="E224" i="114"/>
  <c r="E212" i="114"/>
  <c r="E205" i="114"/>
  <c r="E203" i="114"/>
  <c r="E107" i="114"/>
  <c r="E1713" i="114"/>
  <c r="E1704" i="114"/>
  <c r="E1695" i="114"/>
  <c r="E1482" i="114"/>
  <c r="E1726" i="114"/>
  <c r="E1719" i="114"/>
  <c r="E1708" i="114"/>
  <c r="E1691" i="114"/>
  <c r="E1629" i="114"/>
  <c r="E1625" i="114"/>
  <c r="E1544" i="114"/>
  <c r="E1724" i="114"/>
  <c r="E1715" i="114"/>
  <c r="E1674" i="114"/>
  <c r="E1665" i="114"/>
  <c r="E1698" i="114"/>
  <c r="E1696" i="114"/>
  <c r="E1687" i="114"/>
  <c r="E1683" i="114"/>
  <c r="E1670" i="114"/>
  <c r="E1605" i="114"/>
  <c r="E1583" i="114"/>
  <c r="E1578" i="114"/>
  <c r="E1501" i="114"/>
  <c r="E1492" i="114"/>
  <c r="E1490" i="114"/>
  <c r="E1475" i="114"/>
  <c r="E1417" i="114"/>
  <c r="E1518" i="114"/>
  <c r="E1446" i="114"/>
  <c r="H1406" i="114"/>
  <c r="H159" i="116" s="1"/>
  <c r="H1271" i="114"/>
  <c r="H144" i="116" s="1"/>
  <c r="E1239" i="114"/>
  <c r="E1725" i="114"/>
  <c r="E1697" i="114"/>
  <c r="E1692" i="114"/>
  <c r="E1620" i="114"/>
  <c r="E1580" i="114"/>
  <c r="H1505" i="114"/>
  <c r="H170" i="116" s="1"/>
  <c r="E1707" i="114"/>
  <c r="E1714" i="114"/>
  <c r="E1710" i="114"/>
  <c r="E1686" i="114"/>
  <c r="E1681" i="114"/>
  <c r="E1669" i="114"/>
  <c r="E1641" i="114"/>
  <c r="E1636" i="114"/>
  <c r="E1569" i="114"/>
  <c r="E1551" i="114"/>
  <c r="E1485" i="114"/>
  <c r="E1461" i="114"/>
  <c r="E1425" i="114"/>
  <c r="E1728" i="114"/>
  <c r="E1717" i="114"/>
  <c r="E1701" i="114"/>
  <c r="E1688" i="114"/>
  <c r="E1656" i="114"/>
  <c r="E1652" i="114"/>
  <c r="E1634" i="114"/>
  <c r="H1622" i="114"/>
  <c r="H183" i="116" s="1"/>
  <c r="E1573" i="114"/>
  <c r="E1571" i="114"/>
  <c r="E1528" i="114"/>
  <c r="E1673" i="114"/>
  <c r="E1662" i="114"/>
  <c r="E1651" i="114"/>
  <c r="E1647" i="114"/>
  <c r="E1619" i="114"/>
  <c r="E1609" i="114"/>
  <c r="E1587" i="114"/>
  <c r="E1539" i="114"/>
  <c r="E1530" i="114"/>
  <c r="E1498" i="114"/>
  <c r="E1434" i="114"/>
  <c r="E1418" i="114"/>
  <c r="E1392" i="114"/>
  <c r="E1300" i="114"/>
  <c r="H1280" i="114"/>
  <c r="H145" i="116" s="1"/>
  <c r="E1257" i="114"/>
  <c r="E1204" i="114"/>
  <c r="E1187" i="114"/>
  <c r="E1178" i="114"/>
  <c r="E1661" i="114"/>
  <c r="E1645" i="114"/>
  <c r="E1632" i="114"/>
  <c r="E1618" i="114"/>
  <c r="E1615" i="114"/>
  <c r="E1566" i="114"/>
  <c r="E1561" i="114"/>
  <c r="E1554" i="114"/>
  <c r="E1547" i="114"/>
  <c r="E1519" i="114"/>
  <c r="E1466" i="114"/>
  <c r="E1447" i="114"/>
  <c r="E1419" i="114"/>
  <c r="E1391" i="114"/>
  <c r="E1365" i="114"/>
  <c r="E1355" i="114"/>
  <c r="E1341" i="114"/>
  <c r="E1336" i="114"/>
  <c r="E1241" i="114"/>
  <c r="E1212" i="114"/>
  <c r="E1608" i="114"/>
  <c r="E1598" i="114"/>
  <c r="E1591" i="114"/>
  <c r="E1564" i="114"/>
  <c r="E1557" i="114"/>
  <c r="E1545" i="114"/>
  <c r="E1526" i="114"/>
  <c r="E1458" i="114"/>
  <c r="E1445" i="114"/>
  <c r="E1443" i="114"/>
  <c r="E1439" i="114"/>
  <c r="E1367" i="114"/>
  <c r="E1304" i="114"/>
  <c r="E1278" i="114"/>
  <c r="E1232" i="114"/>
  <c r="E1143" i="114"/>
  <c r="E1668" i="114"/>
  <c r="E1628" i="114"/>
  <c r="E1601" i="114"/>
  <c r="E1584" i="114"/>
  <c r="E1582" i="114"/>
  <c r="E1579" i="114"/>
  <c r="E1537" i="114"/>
  <c r="E1524" i="114"/>
  <c r="E1508" i="114"/>
  <c r="E1500" i="114"/>
  <c r="E1497" i="114"/>
  <c r="E1471" i="114"/>
  <c r="E1462" i="114"/>
  <c r="E1454" i="114"/>
  <c r="E1412" i="114"/>
  <c r="E1403" i="114"/>
  <c r="E1372" i="114"/>
  <c r="E1349" i="114"/>
  <c r="E1309" i="114"/>
  <c r="E1205" i="114"/>
  <c r="E1659" i="114"/>
  <c r="E1637" i="114"/>
  <c r="E1623" i="114"/>
  <c r="H1595" i="114"/>
  <c r="H180" i="116" s="1"/>
  <c r="E1575" i="114"/>
  <c r="E1572" i="114"/>
  <c r="E1560" i="114"/>
  <c r="E1555" i="114"/>
  <c r="E1553" i="114"/>
  <c r="H1550" i="114"/>
  <c r="H175" i="116" s="1"/>
  <c r="H1532" i="114"/>
  <c r="H173" i="116" s="1"/>
  <c r="E1431" i="114"/>
  <c r="E1196" i="114"/>
  <c r="E1677" i="114"/>
  <c r="E1644" i="114"/>
  <c r="E1626" i="114"/>
  <c r="E1616" i="114"/>
  <c r="E1565" i="114"/>
  <c r="E1538" i="114"/>
  <c r="E1536" i="114"/>
  <c r="E1535" i="114"/>
  <c r="E1515" i="114"/>
  <c r="E1511" i="114"/>
  <c r="E1491" i="114"/>
  <c r="E1463" i="114"/>
  <c r="E1448" i="114"/>
  <c r="E1427" i="114"/>
  <c r="E1384" i="114"/>
  <c r="E1382" i="114"/>
  <c r="E1376" i="114"/>
  <c r="E1374" i="114"/>
  <c r="E1368" i="114"/>
  <c r="E1364" i="114"/>
  <c r="E1318" i="114"/>
  <c r="E1286" i="114"/>
  <c r="E1273" i="114"/>
  <c r="E1264" i="114"/>
  <c r="E1250" i="114"/>
  <c r="E1246" i="114"/>
  <c r="E1231" i="114"/>
  <c r="E1183" i="114"/>
  <c r="E1328" i="114"/>
  <c r="E1277" i="114"/>
  <c r="E1265" i="114"/>
  <c r="E1223" i="114"/>
  <c r="H857" i="114"/>
  <c r="H98" i="116" s="1"/>
  <c r="E1124" i="114"/>
  <c r="E980" i="114"/>
  <c r="E1421" i="114"/>
  <c r="E1411" i="114"/>
  <c r="E1395" i="114"/>
  <c r="H1388" i="114"/>
  <c r="H157" i="116" s="1"/>
  <c r="E1380" i="114"/>
  <c r="E1373" i="114"/>
  <c r="E1354" i="114"/>
  <c r="E1348" i="114"/>
  <c r="E1339" i="114"/>
  <c r="E1337" i="114"/>
  <c r="E1329" i="114"/>
  <c r="E1321" i="114"/>
  <c r="E1319" i="114"/>
  <c r="E1317" i="114"/>
  <c r="E1313" i="114"/>
  <c r="E1291" i="114"/>
  <c r="E1176" i="114"/>
  <c r="E1107" i="114"/>
  <c r="E1084" i="114"/>
  <c r="E1004" i="114"/>
  <c r="E944" i="114"/>
  <c r="E1383" i="114"/>
  <c r="H1361" i="114"/>
  <c r="H154" i="116" s="1"/>
  <c r="E1357" i="114"/>
  <c r="E1344" i="114"/>
  <c r="E1331" i="114"/>
  <c r="E1201" i="114"/>
  <c r="E1130" i="114"/>
  <c r="E1112" i="114"/>
  <c r="E1035" i="114"/>
  <c r="E971" i="114"/>
  <c r="E953" i="114"/>
  <c r="E949" i="114"/>
  <c r="E935" i="114"/>
  <c r="E924" i="114"/>
  <c r="E1347" i="114"/>
  <c r="E1312" i="114"/>
  <c r="E1290" i="114"/>
  <c r="E1210" i="114"/>
  <c r="H1172" i="114"/>
  <c r="H133" i="116" s="1"/>
  <c r="H1154" i="114"/>
  <c r="H131" i="116" s="1"/>
  <c r="E1140" i="114"/>
  <c r="H965" i="114"/>
  <c r="H110" i="116" s="1"/>
  <c r="E895" i="114"/>
  <c r="E1322" i="114"/>
  <c r="H1244" i="114"/>
  <c r="H141" i="116" s="1"/>
  <c r="E1248" i="114"/>
  <c r="E1240" i="114"/>
  <c r="E1200" i="114"/>
  <c r="E1192" i="114"/>
  <c r="E1079" i="114"/>
  <c r="E1067" i="114"/>
  <c r="E1043" i="114"/>
  <c r="E987" i="114"/>
  <c r="E1338" i="114"/>
  <c r="E1330" i="114"/>
  <c r="E1320" i="114"/>
  <c r="E1301" i="114"/>
  <c r="E1272" i="114"/>
  <c r="E1255" i="114"/>
  <c r="E1251" i="114"/>
  <c r="E1203" i="114"/>
  <c r="E1185" i="114"/>
  <c r="H956" i="114"/>
  <c r="H109" i="116" s="1"/>
  <c r="E940" i="114"/>
  <c r="H1145" i="114"/>
  <c r="H130" i="116" s="1"/>
  <c r="E1133" i="114"/>
  <c r="E1101" i="114"/>
  <c r="H1091" i="114"/>
  <c r="H124" i="116" s="1"/>
  <c r="E1044" i="114"/>
  <c r="E1026" i="114"/>
  <c r="E1024" i="114"/>
  <c r="E1011" i="114"/>
  <c r="E1002" i="114"/>
  <c r="E993" i="114"/>
  <c r="E948" i="114"/>
  <c r="E908" i="114"/>
  <c r="E834" i="114"/>
  <c r="E1175" i="114"/>
  <c r="E1168" i="114"/>
  <c r="E1160" i="114"/>
  <c r="E1158" i="114"/>
  <c r="E1156" i="114"/>
  <c r="E1131" i="114"/>
  <c r="E1129" i="114"/>
  <c r="E1075" i="114"/>
  <c r="H1028" i="114"/>
  <c r="H117" i="116" s="1"/>
  <c r="E996" i="114"/>
  <c r="E941" i="114"/>
  <c r="E927" i="114"/>
  <c r="E897" i="114"/>
  <c r="E774" i="114"/>
  <c r="E750" i="114"/>
  <c r="E985" i="114"/>
  <c r="E967" i="114"/>
  <c r="E913" i="114"/>
  <c r="E899" i="114"/>
  <c r="E890" i="114"/>
  <c r="E871" i="114"/>
  <c r="E837" i="114"/>
  <c r="E813" i="114"/>
  <c r="E396" i="114"/>
  <c r="E1071" i="114"/>
  <c r="E1069" i="114"/>
  <c r="E1022" i="114"/>
  <c r="E1003" i="114"/>
  <c r="E979" i="114"/>
  <c r="E972" i="114"/>
  <c r="E957" i="114"/>
  <c r="E934" i="114"/>
  <c r="E905" i="114"/>
  <c r="E841" i="114"/>
  <c r="E736" i="114"/>
  <c r="E714" i="114"/>
  <c r="E1155" i="114"/>
  <c r="E1123" i="114"/>
  <c r="E1103" i="114"/>
  <c r="E1096" i="114"/>
  <c r="E995" i="114"/>
  <c r="E968" i="114"/>
  <c r="E914" i="114"/>
  <c r="E898" i="114"/>
  <c r="E843" i="114"/>
  <c r="H668" i="114"/>
  <c r="H77" i="116" s="1"/>
  <c r="E716" i="114"/>
  <c r="E701" i="114"/>
  <c r="E687" i="114"/>
  <c r="E642" i="114"/>
  <c r="E1087" i="114"/>
  <c r="E1076" i="114"/>
  <c r="E1033" i="114"/>
  <c r="E1015" i="114"/>
  <c r="E1007" i="114"/>
  <c r="E933" i="114"/>
  <c r="E930" i="114"/>
  <c r="E923" i="114"/>
  <c r="E917" i="114"/>
  <c r="E915" i="114"/>
  <c r="E876" i="114"/>
  <c r="E872" i="114"/>
  <c r="E870" i="114"/>
  <c r="E805" i="114"/>
  <c r="E780" i="114"/>
  <c r="E734" i="114"/>
  <c r="E696" i="114"/>
  <c r="E661" i="114"/>
  <c r="E638" i="114"/>
  <c r="E621" i="114"/>
  <c r="E615" i="114"/>
  <c r="E531" i="114"/>
  <c r="E485" i="114"/>
  <c r="E439" i="114"/>
  <c r="E429" i="114"/>
  <c r="H164" i="114"/>
  <c r="H21" i="116" s="1"/>
  <c r="E814" i="114"/>
  <c r="E809" i="114"/>
  <c r="E806" i="114"/>
  <c r="E772" i="114"/>
  <c r="E765" i="114"/>
  <c r="E760" i="114"/>
  <c r="E723" i="114"/>
  <c r="E680" i="114"/>
  <c r="E656" i="114"/>
  <c r="E512" i="114"/>
  <c r="E432" i="114"/>
  <c r="E408" i="114"/>
  <c r="E376" i="114"/>
  <c r="E894" i="114"/>
  <c r="E860" i="114"/>
  <c r="E788" i="114"/>
  <c r="E773" i="114"/>
  <c r="E769" i="114"/>
  <c r="H749" i="114"/>
  <c r="H86" i="116" s="1"/>
  <c r="E753" i="114"/>
  <c r="E745" i="114"/>
  <c r="E743" i="114"/>
  <c r="E737" i="114"/>
  <c r="E728" i="114"/>
  <c r="E699" i="114"/>
  <c r="E697" i="114"/>
  <c r="E673" i="114"/>
  <c r="E664" i="114"/>
  <c r="E537" i="114"/>
  <c r="E504" i="114"/>
  <c r="E482" i="114"/>
  <c r="E472" i="114"/>
  <c r="E468" i="114"/>
  <c r="E323" i="114"/>
  <c r="E877" i="114"/>
  <c r="E850" i="114"/>
  <c r="E842" i="114"/>
  <c r="H92" i="114"/>
  <c r="H13" i="116" s="1"/>
  <c r="E735" i="114"/>
  <c r="E726" i="114"/>
  <c r="E690" i="114"/>
  <c r="E643" i="114"/>
  <c r="E592" i="114"/>
  <c r="E446" i="114"/>
  <c r="E438" i="114"/>
  <c r="E867" i="114"/>
  <c r="E863" i="114"/>
  <c r="E787" i="114"/>
  <c r="E781" i="114"/>
  <c r="E768" i="114"/>
  <c r="E761" i="114"/>
  <c r="E733" i="114"/>
  <c r="E599" i="114"/>
  <c r="E401" i="114"/>
  <c r="E346" i="114"/>
  <c r="E861" i="114"/>
  <c r="E810" i="114"/>
  <c r="E801" i="114"/>
  <c r="E798" i="114"/>
  <c r="E779" i="114"/>
  <c r="E727" i="114"/>
  <c r="E720" i="114"/>
  <c r="E700" i="114"/>
  <c r="E576" i="114"/>
  <c r="E566" i="114"/>
  <c r="E564" i="114"/>
  <c r="E556" i="114"/>
  <c r="E552" i="114"/>
  <c r="E536" i="114"/>
  <c r="E530" i="114"/>
  <c r="E519" i="114"/>
  <c r="E503" i="114"/>
  <c r="E465" i="114"/>
  <c r="E455" i="114"/>
  <c r="H443" i="114"/>
  <c r="H52" i="116" s="1"/>
  <c r="E437" i="114"/>
  <c r="E413" i="114"/>
  <c r="E404" i="114"/>
  <c r="E394" i="114"/>
  <c r="E374" i="114"/>
  <c r="E368" i="114"/>
  <c r="E358" i="114"/>
  <c r="E349" i="114"/>
  <c r="E341" i="114"/>
  <c r="E318" i="114"/>
  <c r="E213" i="114"/>
  <c r="E78" i="114"/>
  <c r="E41" i="114"/>
  <c r="E635" i="114"/>
  <c r="E620" i="114"/>
  <c r="E617" i="114"/>
  <c r="E588" i="114"/>
  <c r="E584" i="114"/>
  <c r="E574" i="114"/>
  <c r="E525" i="114"/>
  <c r="E449" i="114"/>
  <c r="E444" i="114"/>
  <c r="E430" i="114"/>
  <c r="E423" i="114"/>
  <c r="E392" i="114"/>
  <c r="H344" i="114"/>
  <c r="H41" i="116" s="1"/>
  <c r="E260" i="114"/>
  <c r="H236" i="114"/>
  <c r="H29" i="116" s="1"/>
  <c r="E625" i="114"/>
  <c r="E593" i="114"/>
  <c r="E549" i="114"/>
  <c r="E520" i="114"/>
  <c r="E517" i="114"/>
  <c r="E501" i="114"/>
  <c r="E494" i="114"/>
  <c r="E483" i="114"/>
  <c r="E481" i="114"/>
  <c r="E466" i="114"/>
  <c r="E440" i="114"/>
  <c r="E414" i="114"/>
  <c r="E402" i="114"/>
  <c r="E384" i="114"/>
  <c r="E375" i="114"/>
  <c r="E359" i="114"/>
  <c r="E329" i="114"/>
  <c r="E40" i="114"/>
  <c r="E698" i="114"/>
  <c r="E672" i="114"/>
  <c r="E666" i="114"/>
  <c r="E634" i="114"/>
  <c r="E591" i="114"/>
  <c r="E583" i="114"/>
  <c r="E561" i="114"/>
  <c r="E557" i="114"/>
  <c r="E529" i="114"/>
  <c r="E527" i="114"/>
  <c r="E513" i="114"/>
  <c r="E508" i="114"/>
  <c r="E471" i="114"/>
  <c r="E467" i="114"/>
  <c r="E447" i="114"/>
  <c r="E428" i="114"/>
  <c r="E412" i="114"/>
  <c r="E331" i="114"/>
  <c r="E285" i="114"/>
  <c r="E257" i="114"/>
  <c r="E188" i="114"/>
  <c r="E678" i="114"/>
  <c r="E647" i="114"/>
  <c r="H524" i="114"/>
  <c r="H61" i="116" s="1"/>
  <c r="E476" i="114"/>
  <c r="E459" i="114"/>
  <c r="H425" i="114"/>
  <c r="H50" i="116" s="1"/>
  <c r="E400" i="114"/>
  <c r="E391" i="114"/>
  <c r="E628" i="114"/>
  <c r="E581" i="114"/>
  <c r="E540" i="114"/>
  <c r="E427" i="114"/>
  <c r="E355" i="114"/>
  <c r="E348" i="114"/>
  <c r="H299" i="114"/>
  <c r="H36" i="116" s="1"/>
  <c r="E265" i="114"/>
  <c r="E340" i="114"/>
  <c r="E80" i="114"/>
  <c r="E275" i="114"/>
  <c r="E259" i="114"/>
  <c r="E234" i="114"/>
  <c r="E214" i="114"/>
  <c r="E195" i="114"/>
  <c r="E157" i="114"/>
  <c r="H56" i="114"/>
  <c r="H9" i="116" s="1"/>
  <c r="E61" i="114"/>
  <c r="E43" i="114"/>
  <c r="E32" i="114"/>
  <c r="E25" i="114"/>
  <c r="E18" i="114"/>
  <c r="E13" i="114"/>
  <c r="E114" i="114"/>
  <c r="E105" i="114"/>
  <c r="E71" i="114"/>
  <c r="E50" i="114"/>
  <c r="H38" i="114"/>
  <c r="H7" i="116" s="1"/>
  <c r="E305" i="114"/>
  <c r="E297" i="114"/>
  <c r="H290" i="114"/>
  <c r="H35" i="116" s="1"/>
  <c r="E288" i="114"/>
  <c r="E268" i="114"/>
  <c r="E241" i="114"/>
  <c r="E230" i="114"/>
  <c r="E193" i="114"/>
  <c r="E187" i="114"/>
  <c r="E180" i="114"/>
  <c r="E149" i="114"/>
  <c r="E133" i="114"/>
  <c r="E108" i="114"/>
  <c r="E106" i="114"/>
  <c r="E23" i="114"/>
  <c r="E319" i="114"/>
  <c r="E313" i="114"/>
  <c r="E311" i="114"/>
  <c r="E301" i="114"/>
  <c r="E258" i="114"/>
  <c r="E220" i="114"/>
  <c r="E207" i="114"/>
  <c r="E158" i="114"/>
  <c r="E156" i="114"/>
  <c r="E122" i="114"/>
  <c r="E120" i="114"/>
  <c r="E21" i="114"/>
  <c r="E161" i="114"/>
  <c r="E139" i="114"/>
  <c r="E86" i="114"/>
  <c r="E79" i="114"/>
  <c r="E77" i="114"/>
  <c r="E72" i="114"/>
  <c r="E63" i="114"/>
  <c r="E33" i="114"/>
  <c r="E31" i="114"/>
  <c r="E26" i="114"/>
  <c r="E286" i="114"/>
  <c r="H272" i="114"/>
  <c r="H33" i="116" s="1"/>
  <c r="E277" i="114"/>
  <c r="E237" i="114"/>
  <c r="E223" i="114"/>
  <c r="E196" i="114"/>
  <c r="E194" i="114"/>
  <c r="E192" i="114"/>
  <c r="E123" i="114"/>
  <c r="E42" i="114"/>
  <c r="E36" i="114"/>
  <c r="E1664" i="114"/>
  <c r="E1653" i="114"/>
  <c r="E1635" i="114"/>
  <c r="E1599" i="114"/>
  <c r="E1592" i="114"/>
  <c r="E1546" i="114"/>
  <c r="E1527" i="114"/>
  <c r="H1667" i="114"/>
  <c r="H188" i="116" s="1"/>
  <c r="H1613" i="114"/>
  <c r="H182" i="116" s="1"/>
  <c r="H1604" i="114"/>
  <c r="H181" i="116" s="1"/>
  <c r="E1570" i="114"/>
  <c r="H1559" i="114"/>
  <c r="H176" i="116" s="1"/>
  <c r="H1541" i="114"/>
  <c r="H174" i="116" s="1"/>
  <c r="E1655" i="114"/>
  <c r="E1548" i="114"/>
  <c r="E1700" i="114"/>
  <c r="E1671" i="114"/>
  <c r="E1660" i="114"/>
  <c r="H1649" i="114"/>
  <c r="H186" i="116" s="1"/>
  <c r="E1617" i="114"/>
  <c r="E1563" i="114"/>
  <c r="E1556" i="114"/>
  <c r="H1523" i="114"/>
  <c r="H172" i="116" s="1"/>
  <c r="E1646" i="114"/>
  <c r="H1631" i="114"/>
  <c r="H184" i="116" s="1"/>
  <c r="E1606" i="114"/>
  <c r="H1658" i="114"/>
  <c r="H187" i="116" s="1"/>
  <c r="H1640" i="114"/>
  <c r="H185" i="116" s="1"/>
  <c r="H1577" i="114"/>
  <c r="H178" i="116" s="1"/>
  <c r="H1568" i="114"/>
  <c r="H177" i="116" s="1"/>
  <c r="E1718" i="114"/>
  <c r="E1709" i="114"/>
  <c r="H1694" i="114"/>
  <c r="H191" i="116" s="1"/>
  <c r="H1685" i="114"/>
  <c r="H190" i="116" s="1"/>
  <c r="E1581" i="114"/>
  <c r="E1512" i="114"/>
  <c r="E1716" i="114"/>
  <c r="H1676" i="114"/>
  <c r="H189" i="116" s="1"/>
  <c r="H1586" i="114"/>
  <c r="H179" i="116" s="1"/>
  <c r="E1574" i="114"/>
  <c r="H1514" i="114"/>
  <c r="H171" i="116" s="1"/>
  <c r="H1496" i="114"/>
  <c r="H169" i="116" s="1"/>
  <c r="H1469" i="114"/>
  <c r="H166" i="116" s="1"/>
  <c r="H1397" i="114"/>
  <c r="H158" i="116" s="1"/>
  <c r="H1370" i="114"/>
  <c r="H155" i="116" s="1"/>
  <c r="H1316" i="114"/>
  <c r="H149" i="116" s="1"/>
  <c r="H1460" i="114"/>
  <c r="H165" i="116" s="1"/>
  <c r="H1451" i="114"/>
  <c r="H164" i="116" s="1"/>
  <c r="H1424" i="114"/>
  <c r="H161" i="116" s="1"/>
  <c r="E1399" i="114"/>
  <c r="E1393" i="114"/>
  <c r="E1366" i="114"/>
  <c r="E1327" i="114"/>
  <c r="H1487" i="114"/>
  <c r="H168" i="116" s="1"/>
  <c r="E1385" i="114"/>
  <c r="H1343" i="114"/>
  <c r="H152" i="116" s="1"/>
  <c r="E1520" i="114"/>
  <c r="E1517" i="114"/>
  <c r="E1503" i="114"/>
  <c r="H1325" i="114"/>
  <c r="H150" i="116" s="1"/>
  <c r="H1298" i="114"/>
  <c r="H147" i="116" s="1"/>
  <c r="H1415" i="114"/>
  <c r="H160" i="116" s="1"/>
  <c r="H1379" i="114"/>
  <c r="H156" i="116" s="1"/>
  <c r="E1340" i="114"/>
  <c r="H1307" i="114"/>
  <c r="H148" i="116" s="1"/>
  <c r="E1493" i="114"/>
  <c r="E1452" i="114"/>
  <c r="H1442" i="114"/>
  <c r="H163" i="116" s="1"/>
  <c r="E1428" i="114"/>
  <c r="H1352" i="114"/>
  <c r="H153" i="116" s="1"/>
  <c r="H1334" i="114"/>
  <c r="H151" i="116" s="1"/>
  <c r="E1326" i="114"/>
  <c r="H1478" i="114"/>
  <c r="H167" i="116" s="1"/>
  <c r="H1433" i="114"/>
  <c r="H162" i="116" s="1"/>
  <c r="E1410" i="114"/>
  <c r="E1236" i="114"/>
  <c r="E1218" i="114"/>
  <c r="E1213" i="114"/>
  <c r="E1191" i="114"/>
  <c r="E1164" i="114"/>
  <c r="H983" i="114"/>
  <c r="H112" i="116" s="1"/>
  <c r="H1262" i="114"/>
  <c r="H143" i="116" s="1"/>
  <c r="H1109" i="114"/>
  <c r="H126" i="116" s="1"/>
  <c r="E1407" i="114"/>
  <c r="E1308" i="114"/>
  <c r="E1260" i="114"/>
  <c r="H1208" i="114"/>
  <c r="H137" i="116" s="1"/>
  <c r="E1186" i="114"/>
  <c r="E1173" i="114"/>
  <c r="E1148" i="114"/>
  <c r="E1134" i="114"/>
  <c r="E1070" i="114"/>
  <c r="H1037" i="114"/>
  <c r="H118" i="116" s="1"/>
  <c r="E981" i="114"/>
  <c r="E962" i="114"/>
  <c r="E954" i="114"/>
  <c r="H677" i="114"/>
  <c r="H78" i="116" s="1"/>
  <c r="E1274" i="114"/>
  <c r="E1263" i="114"/>
  <c r="E1229" i="114"/>
  <c r="H1226" i="114"/>
  <c r="H139" i="116" s="1"/>
  <c r="E1211" i="114"/>
  <c r="E1184" i="114"/>
  <c r="H1181" i="114"/>
  <c r="H134" i="116" s="1"/>
  <c r="E1179" i="114"/>
  <c r="H1118" i="114"/>
  <c r="H127" i="116" s="1"/>
  <c r="E1020" i="114"/>
  <c r="E990" i="114"/>
  <c r="E1294" i="114"/>
  <c r="H1136" i="114"/>
  <c r="H129" i="116" s="1"/>
  <c r="H992" i="114"/>
  <c r="H113" i="116" s="1"/>
  <c r="E1314" i="114"/>
  <c r="E1245" i="114"/>
  <c r="E1220" i="114"/>
  <c r="H1217" i="114"/>
  <c r="H138" i="116" s="1"/>
  <c r="E1166" i="114"/>
  <c r="H1163" i="114"/>
  <c r="H132" i="116" s="1"/>
  <c r="E1060" i="114"/>
  <c r="E1006" i="114"/>
  <c r="E1299" i="114"/>
  <c r="E1256" i="114"/>
  <c r="H1253" i="114"/>
  <c r="H142" i="116" s="1"/>
  <c r="H1235" i="114"/>
  <c r="H140" i="116" s="1"/>
  <c r="H1190" i="114"/>
  <c r="H135" i="116" s="1"/>
  <c r="H1082" i="114"/>
  <c r="H123" i="116" s="1"/>
  <c r="E1080" i="114"/>
  <c r="H1073" i="114"/>
  <c r="H122" i="116" s="1"/>
  <c r="E1400" i="114"/>
  <c r="E1386" i="114"/>
  <c r="E1371" i="114"/>
  <c r="E1292" i="114"/>
  <c r="H1289" i="114"/>
  <c r="H146" i="116" s="1"/>
  <c r="E1287" i="114"/>
  <c r="E1284" i="114"/>
  <c r="E1281" i="114"/>
  <c r="E1267" i="114"/>
  <c r="E1249" i="114"/>
  <c r="E1238" i="114"/>
  <c r="E1233" i="114"/>
  <c r="E1224" i="114"/>
  <c r="E1202" i="114"/>
  <c r="H1199" i="114"/>
  <c r="H136" i="116" s="1"/>
  <c r="E1193" i="114"/>
  <c r="E1188" i="114"/>
  <c r="E1170" i="114"/>
  <c r="E1149" i="114"/>
  <c r="H1127" i="114"/>
  <c r="H128" i="116" s="1"/>
  <c r="H1100" i="114"/>
  <c r="H125" i="116" s="1"/>
  <c r="E1078" i="114"/>
  <c r="H1055" i="114"/>
  <c r="H120" i="116" s="1"/>
  <c r="E1013" i="114"/>
  <c r="H974" i="114"/>
  <c r="H111" i="116" s="1"/>
  <c r="E969" i="114"/>
  <c r="H839" i="114"/>
  <c r="H96" i="116" s="1"/>
  <c r="E1114" i="114"/>
  <c r="E1066" i="114"/>
  <c r="E1048" i="114"/>
  <c r="E1042" i="114"/>
  <c r="E986" i="114"/>
  <c r="E970" i="114"/>
  <c r="E936" i="114"/>
  <c r="H911" i="114"/>
  <c r="H104" i="116" s="1"/>
  <c r="H893" i="114"/>
  <c r="H102" i="116" s="1"/>
  <c r="E1056" i="114"/>
  <c r="E1029" i="114"/>
  <c r="E984" i="114"/>
  <c r="E952" i="114"/>
  <c r="E916" i="114"/>
  <c r="H1064" i="114"/>
  <c r="H121" i="116" s="1"/>
  <c r="H1046" i="114"/>
  <c r="H119" i="116" s="1"/>
  <c r="E999" i="114"/>
  <c r="E963" i="114"/>
  <c r="H902" i="114"/>
  <c r="H103" i="116" s="1"/>
  <c r="E1049" i="114"/>
  <c r="E976" i="114"/>
  <c r="E945" i="114"/>
  <c r="H1019" i="114"/>
  <c r="H116" i="116" s="1"/>
  <c r="H1010" i="114"/>
  <c r="H115" i="116" s="1"/>
  <c r="E950" i="114"/>
  <c r="H191" i="114"/>
  <c r="H24" i="116" s="1"/>
  <c r="E932" i="114"/>
  <c r="H182" i="114"/>
  <c r="H23" i="116" s="1"/>
  <c r="E925" i="114"/>
  <c r="E912" i="114"/>
  <c r="E896" i="114"/>
  <c r="E891" i="114"/>
  <c r="E869" i="114"/>
  <c r="E862" i="114"/>
  <c r="H173" i="114"/>
  <c r="H22" i="116" s="1"/>
  <c r="E855" i="114"/>
  <c r="E846" i="114"/>
  <c r="E844" i="114"/>
  <c r="E795" i="114"/>
  <c r="E904" i="114"/>
  <c r="E889" i="114"/>
  <c r="E887" i="114"/>
  <c r="E882" i="114"/>
  <c r="E880" i="114"/>
  <c r="E858" i="114"/>
  <c r="E853" i="114"/>
  <c r="E851" i="114"/>
  <c r="H146" i="114"/>
  <c r="H19" i="116" s="1"/>
  <c r="E823" i="114"/>
  <c r="E789" i="114"/>
  <c r="H767" i="114"/>
  <c r="H88" i="116" s="1"/>
  <c r="E607" i="114"/>
  <c r="H47" i="114"/>
  <c r="H8" i="116" s="1"/>
  <c r="E873" i="114"/>
  <c r="E816" i="114"/>
  <c r="E808" i="114"/>
  <c r="E684" i="114"/>
  <c r="H632" i="114"/>
  <c r="H73" i="116" s="1"/>
  <c r="E845" i="114"/>
  <c r="E840" i="114"/>
  <c r="H110" i="114"/>
  <c r="H15" i="116" s="1"/>
  <c r="E782" i="114"/>
  <c r="E724" i="114"/>
  <c r="E833" i="114"/>
  <c r="H686" i="114"/>
  <c r="H79" i="116" s="1"/>
  <c r="E648" i="114"/>
  <c r="E888" i="114"/>
  <c r="E881" i="114"/>
  <c r="E859" i="114"/>
  <c r="E852" i="114"/>
  <c r="E711" i="114"/>
  <c r="E675" i="114"/>
  <c r="H560" i="114"/>
  <c r="H65" i="116" s="1"/>
  <c r="H704" i="114"/>
  <c r="H81" i="116" s="1"/>
  <c r="E718" i="114"/>
  <c r="E618" i="114"/>
  <c r="E832" i="114"/>
  <c r="E818" i="114"/>
  <c r="E796" i="114"/>
  <c r="E759" i="114"/>
  <c r="H731" i="114"/>
  <c r="H84" i="116" s="1"/>
  <c r="E719" i="114"/>
  <c r="E717" i="114"/>
  <c r="H695" i="114"/>
  <c r="H80" i="116" s="1"/>
  <c r="E682" i="114"/>
  <c r="E669" i="114"/>
  <c r="E655" i="114"/>
  <c r="E387" i="114"/>
  <c r="H380" i="114"/>
  <c r="H45" i="116" s="1"/>
  <c r="E762" i="114"/>
  <c r="E754" i="114"/>
  <c r="H722" i="114"/>
  <c r="H83" i="116" s="1"/>
  <c r="E710" i="114"/>
  <c r="E691" i="114"/>
  <c r="E674" i="114"/>
  <c r="E660" i="114"/>
  <c r="E553" i="114"/>
  <c r="H155" i="114"/>
  <c r="H20" i="116" s="1"/>
  <c r="E824" i="114"/>
  <c r="H101" i="114"/>
  <c r="H14" i="116" s="1"/>
  <c r="E689" i="114"/>
  <c r="E653" i="114"/>
  <c r="E633" i="114"/>
  <c r="H596" i="114"/>
  <c r="H69" i="116" s="1"/>
  <c r="E571" i="114"/>
  <c r="E683" i="114"/>
  <c r="E681" i="114"/>
  <c r="E825" i="114"/>
  <c r="E791" i="114"/>
  <c r="H758" i="114"/>
  <c r="H87" i="116" s="1"/>
  <c r="E755" i="114"/>
  <c r="E747" i="114"/>
  <c r="E732" i="114"/>
  <c r="E725" i="114"/>
  <c r="H497" i="114"/>
  <c r="H58" i="116" s="1"/>
  <c r="E609" i="114"/>
  <c r="H542" i="114"/>
  <c r="H63" i="116" s="1"/>
  <c r="H533" i="114"/>
  <c r="H62" i="116" s="1"/>
  <c r="H488" i="114"/>
  <c r="H57" i="116" s="1"/>
  <c r="E630" i="114"/>
  <c r="E602" i="114"/>
  <c r="E594" i="114"/>
  <c r="E575" i="114"/>
  <c r="E573" i="114"/>
  <c r="E558" i="114"/>
  <c r="H551" i="114"/>
  <c r="H64" i="116" s="1"/>
  <c r="E545" i="114"/>
  <c r="E543" i="114"/>
  <c r="E500" i="114"/>
  <c r="H83" i="114"/>
  <c r="H12" i="116" s="1"/>
  <c r="E637" i="114"/>
  <c r="E624" i="114"/>
  <c r="E616" i="114"/>
  <c r="E610" i="114"/>
  <c r="E567" i="114"/>
  <c r="E644" i="114"/>
  <c r="E608" i="114"/>
  <c r="E580" i="114"/>
  <c r="H569" i="114"/>
  <c r="H66" i="116" s="1"/>
  <c r="E539" i="114"/>
  <c r="E498" i="114"/>
  <c r="H461" i="114"/>
  <c r="H54" i="116" s="1"/>
  <c r="H389" i="114"/>
  <c r="H46" i="116" s="1"/>
  <c r="H578" i="114"/>
  <c r="H67" i="116" s="1"/>
  <c r="H515" i="114"/>
  <c r="H60" i="116" s="1"/>
  <c r="E491" i="114"/>
  <c r="H479" i="114"/>
  <c r="H56" i="116" s="1"/>
  <c r="E603" i="114"/>
  <c r="E572" i="114"/>
  <c r="E546" i="114"/>
  <c r="E544" i="114"/>
  <c r="E302" i="114"/>
  <c r="E372" i="114"/>
  <c r="E295" i="114"/>
  <c r="E516" i="114"/>
  <c r="E502" i="114"/>
  <c r="E495" i="114"/>
  <c r="E464" i="114"/>
  <c r="E448" i="114"/>
  <c r="E426" i="114"/>
  <c r="E332" i="114"/>
  <c r="H326" i="114"/>
  <c r="H39" i="116" s="1"/>
  <c r="E327" i="114"/>
  <c r="H434" i="114"/>
  <c r="H51" i="116" s="1"/>
  <c r="H398" i="114"/>
  <c r="H47" i="116" s="1"/>
  <c r="E390" i="114"/>
  <c r="H281" i="114"/>
  <c r="H34" i="116" s="1"/>
  <c r="H506" i="114"/>
  <c r="H59" i="116" s="1"/>
  <c r="E386" i="114"/>
  <c r="E534" i="114"/>
  <c r="H470" i="114"/>
  <c r="H55" i="116" s="1"/>
  <c r="E418" i="114"/>
  <c r="E403" i="114"/>
  <c r="H65" i="114"/>
  <c r="H10" i="116" s="1"/>
  <c r="E339" i="114"/>
  <c r="E284" i="114"/>
  <c r="E473" i="114"/>
  <c r="E457" i="114"/>
  <c r="E441" i="114"/>
  <c r="E435" i="114"/>
  <c r="H416" i="114"/>
  <c r="H49" i="116" s="1"/>
  <c r="E333" i="114"/>
  <c r="H407" i="114"/>
  <c r="H48" i="116" s="1"/>
  <c r="E381" i="114"/>
  <c r="H74" i="114"/>
  <c r="H11" i="116" s="1"/>
  <c r="E312" i="114"/>
  <c r="E255" i="114"/>
  <c r="E395" i="114"/>
  <c r="E366" i="114"/>
  <c r="E342" i="114"/>
  <c r="H317" i="114"/>
  <c r="H38" i="116" s="1"/>
  <c r="H308" i="114"/>
  <c r="H37" i="116" s="1"/>
  <c r="E304" i="114"/>
  <c r="E417" i="114"/>
  <c r="E282" i="114"/>
  <c r="H353" i="114"/>
  <c r="H42" i="116" s="1"/>
  <c r="E345" i="114"/>
  <c r="H335" i="114"/>
  <c r="H40" i="116" s="1"/>
  <c r="E320" i="114"/>
  <c r="E309" i="114"/>
  <c r="E409" i="114"/>
  <c r="E373" i="114"/>
  <c r="E296" i="114"/>
  <c r="E291" i="114"/>
  <c r="E229" i="114"/>
  <c r="E185" i="114"/>
  <c r="E178" i="114"/>
  <c r="E367" i="114"/>
  <c r="E303" i="114"/>
  <c r="E294" i="114"/>
  <c r="E283" i="114"/>
  <c r="E276" i="114"/>
  <c r="H227" i="114"/>
  <c r="H28" i="116" s="1"/>
  <c r="E264" i="114"/>
  <c r="H254" i="114"/>
  <c r="H31" i="116" s="1"/>
  <c r="E184" i="114"/>
  <c r="E175" i="114"/>
  <c r="E167" i="114"/>
  <c r="H29" i="114"/>
  <c r="H6" i="116" s="1"/>
  <c r="E249" i="114"/>
  <c r="E247" i="114"/>
  <c r="E243" i="114"/>
  <c r="E225" i="114"/>
  <c r="H218" i="114"/>
  <c r="H27" i="116" s="1"/>
  <c r="E206" i="114"/>
  <c r="E204" i="114"/>
  <c r="E176" i="114"/>
  <c r="E168" i="114"/>
  <c r="E165" i="114"/>
  <c r="H128" i="114"/>
  <c r="H17" i="116" s="1"/>
  <c r="E117" i="114"/>
  <c r="E95" i="114"/>
  <c r="H11" i="114"/>
  <c r="H4" i="116" s="1"/>
  <c r="E170" i="114"/>
  <c r="E16" i="114"/>
  <c r="H245" i="114"/>
  <c r="H30" i="116" s="1"/>
  <c r="E189" i="114"/>
  <c r="H137" i="114"/>
  <c r="H18" i="116" s="1"/>
  <c r="E261" i="114"/>
  <c r="E250" i="114"/>
  <c r="E248" i="114"/>
  <c r="E239" i="114"/>
  <c r="E228" i="114"/>
  <c r="E198" i="114"/>
  <c r="E159" i="114"/>
  <c r="H362" i="114"/>
  <c r="H43" i="116" s="1"/>
  <c r="E24" i="114"/>
  <c r="E266" i="114"/>
  <c r="E256" i="114"/>
  <c r="H209" i="114"/>
  <c r="H26" i="116" s="1"/>
  <c r="E177" i="114"/>
  <c r="E140" i="114"/>
  <c r="E125" i="114"/>
  <c r="E103" i="114"/>
  <c r="E81" i="114"/>
  <c r="E75" i="114"/>
  <c r="E59" i="114"/>
  <c r="E54" i="114"/>
  <c r="E44" i="114"/>
  <c r="E141" i="114"/>
  <c r="E134" i="114"/>
  <c r="E131" i="114"/>
  <c r="E98" i="114"/>
  <c r="E60" i="114"/>
  <c r="E52" i="114"/>
  <c r="E160" i="114"/>
  <c r="E138" i="114"/>
  <c r="E96" i="114"/>
  <c r="E76" i="114"/>
  <c r="E22" i="114"/>
  <c r="E17" i="114"/>
  <c r="E126" i="114"/>
  <c r="E104" i="114"/>
  <c r="H2" i="114"/>
  <c r="H3" i="116" s="1"/>
  <c r="E58" i="114"/>
  <c r="E45" i="114"/>
  <c r="E30" i="114"/>
  <c r="H1721" i="114"/>
  <c r="H194" i="116" s="1"/>
  <c r="E88" i="114"/>
  <c r="E66" i="114"/>
  <c r="H20" i="114"/>
  <c r="H5" i="116" s="1"/>
  <c r="E15" i="114"/>
  <c r="E124" i="114"/>
  <c r="E102" i="114"/>
  <c r="H1703" i="114"/>
  <c r="H192" i="116" s="1"/>
  <c r="G180" i="116" a="1"/>
  <c r="G180" i="116" s="1"/>
  <c r="F173" i="116" a="1"/>
  <c r="F173" i="116" s="1"/>
  <c r="F165" i="116" a="1"/>
  <c r="F165" i="116" s="1"/>
  <c r="G142" i="116" a="1"/>
  <c r="G142" i="116" s="1"/>
  <c r="G122" i="116" a="1"/>
  <c r="G122" i="116" s="1"/>
  <c r="F69" i="116" a="1"/>
  <c r="F69" i="116" s="1"/>
  <c r="F28" i="116" a="1"/>
  <c r="F28" i="116" s="1"/>
  <c r="F28" i="114" a="1"/>
  <c r="F28" i="114" s="1"/>
  <c r="G1703" i="114" a="1"/>
  <c r="G1703" i="114" s="1"/>
  <c r="F1703" i="114" a="1"/>
  <c r="F1703" i="114" s="1"/>
  <c r="F174" i="116" a="1"/>
  <c r="F174" i="116" s="1"/>
  <c r="G158" i="116" a="1"/>
  <c r="G158" i="116" s="1"/>
  <c r="G86" i="116" a="1"/>
  <c r="G86" i="116" s="1"/>
  <c r="F62" i="116" a="1"/>
  <c r="F62" i="116" s="1"/>
  <c r="G55" i="116" a="1"/>
  <c r="G55" i="116" s="1"/>
  <c r="F152" i="116" a="1"/>
  <c r="F152" i="116" s="1"/>
  <c r="F138" i="116" a="1"/>
  <c r="F138" i="116" s="1"/>
  <c r="F132" i="116" a="1"/>
  <c r="F132" i="116" s="1"/>
  <c r="G928" i="114" a="1"/>
  <c r="G928" i="114" s="1"/>
  <c r="I928" i="114" s="1"/>
  <c r="I920" i="114" s="1"/>
  <c r="I105" i="116" s="1"/>
  <c r="F185" i="116" a="1"/>
  <c r="F185" i="116" s="1"/>
  <c r="F164" i="116" a="1"/>
  <c r="F164" i="116" s="1"/>
  <c r="F156" i="116" a="1"/>
  <c r="F156" i="116" s="1"/>
  <c r="F141" i="116" a="1"/>
  <c r="F141" i="116" s="1"/>
  <c r="F121" i="116" a="1"/>
  <c r="F121" i="116" s="1"/>
  <c r="G118" i="114" a="1"/>
  <c r="G118" i="114" s="1"/>
  <c r="I118" i="114" s="1"/>
  <c r="I110" i="114" s="1"/>
  <c r="I15" i="116" s="1"/>
  <c r="G148" i="116" a="1"/>
  <c r="G148" i="116" s="1"/>
  <c r="F191" i="116" a="1"/>
  <c r="F191" i="116" s="1"/>
  <c r="F162" i="116" a="1"/>
  <c r="F162" i="116" s="1"/>
  <c r="G135" i="116" a="1"/>
  <c r="G135" i="116" s="1"/>
  <c r="G71" i="116" a="1"/>
  <c r="G71" i="116" s="1"/>
  <c r="F118" i="116" a="1"/>
  <c r="F118" i="116" s="1"/>
  <c r="G110" i="116" a="1"/>
  <c r="G110" i="116" s="1"/>
  <c r="F77" i="116" a="1"/>
  <c r="F77" i="116" s="1"/>
  <c r="G189" i="116" a="1"/>
  <c r="G189" i="116" s="1"/>
  <c r="G168" i="116" a="1"/>
  <c r="G168" i="116" s="1"/>
  <c r="F29" i="116" a="1"/>
  <c r="F29" i="116" s="1"/>
  <c r="E8" i="114"/>
  <c r="E4" i="114"/>
  <c r="E6" i="114"/>
  <c r="E5" i="114"/>
  <c r="E3" i="114"/>
  <c r="E7" i="114"/>
  <c r="E9" i="114"/>
  <c r="I41" i="110"/>
  <c r="J41" i="110" s="1"/>
  <c r="D49" i="110"/>
  <c r="P9" i="110"/>
  <c r="P10" i="110"/>
  <c r="P6" i="110"/>
  <c r="D30" i="110"/>
  <c r="P8" i="110"/>
  <c r="P7" i="110"/>
  <c r="P4" i="110"/>
  <c r="P5" i="110"/>
  <c r="R5" i="110" s="1"/>
  <c r="P11" i="110"/>
  <c r="C46" i="95"/>
  <c r="C49" i="95" s="1"/>
  <c r="BM204" i="105"/>
  <c r="BL204" i="105"/>
  <c r="BK204" i="105"/>
  <c r="BJ204" i="105"/>
  <c r="BI204" i="105"/>
  <c r="BH204" i="105"/>
  <c r="BM203" i="105"/>
  <c r="BL203" i="105"/>
  <c r="BK203" i="105"/>
  <c r="BJ203" i="105"/>
  <c r="BI203" i="105"/>
  <c r="BH203" i="105"/>
  <c r="BM202" i="105"/>
  <c r="BL202" i="105"/>
  <c r="BK202" i="105"/>
  <c r="BJ202" i="105"/>
  <c r="BI202" i="105"/>
  <c r="BH202" i="105"/>
  <c r="BM201" i="105"/>
  <c r="BL201" i="105"/>
  <c r="BK201" i="105"/>
  <c r="BJ201" i="105"/>
  <c r="BI201" i="105"/>
  <c r="BH201" i="105"/>
  <c r="BM200" i="105"/>
  <c r="BL200" i="105"/>
  <c r="BK200" i="105"/>
  <c r="BJ200" i="105"/>
  <c r="BI200" i="105"/>
  <c r="BH200" i="105"/>
  <c r="BM199" i="105"/>
  <c r="BL199" i="105"/>
  <c r="BK199" i="105"/>
  <c r="BJ199" i="105"/>
  <c r="BI199" i="105"/>
  <c r="BH199" i="105"/>
  <c r="BM198" i="105"/>
  <c r="BL198" i="105"/>
  <c r="BK198" i="105"/>
  <c r="BJ198" i="105"/>
  <c r="BI198" i="105"/>
  <c r="BH198" i="105"/>
  <c r="BM197" i="105"/>
  <c r="BL197" i="105"/>
  <c r="BK197" i="105"/>
  <c r="BJ197" i="105"/>
  <c r="BI197" i="105"/>
  <c r="BH197" i="105"/>
  <c r="BM196" i="105"/>
  <c r="BL196" i="105"/>
  <c r="BK196" i="105"/>
  <c r="BJ196" i="105"/>
  <c r="BI196" i="105"/>
  <c r="BH196" i="105"/>
  <c r="BM195" i="105"/>
  <c r="BL195" i="105"/>
  <c r="BK195" i="105"/>
  <c r="BJ195" i="105"/>
  <c r="BI195" i="105"/>
  <c r="BH195" i="105"/>
  <c r="BM194" i="105"/>
  <c r="BL194" i="105"/>
  <c r="BK194" i="105"/>
  <c r="BJ194" i="105"/>
  <c r="BI194" i="105"/>
  <c r="BH194" i="105"/>
  <c r="BM193" i="105"/>
  <c r="BL193" i="105"/>
  <c r="BK193" i="105"/>
  <c r="BJ193" i="105"/>
  <c r="BI193" i="105"/>
  <c r="BH193" i="105"/>
  <c r="BM192" i="105"/>
  <c r="BL192" i="105"/>
  <c r="BK192" i="105"/>
  <c r="BJ192" i="105"/>
  <c r="BI192" i="105"/>
  <c r="BH192" i="105"/>
  <c r="BM191" i="105"/>
  <c r="BL191" i="105"/>
  <c r="BK191" i="105"/>
  <c r="BJ191" i="105"/>
  <c r="BI191" i="105"/>
  <c r="BH191" i="105"/>
  <c r="BM190" i="105"/>
  <c r="BL190" i="105"/>
  <c r="BK190" i="105"/>
  <c r="BJ190" i="105"/>
  <c r="BI190" i="105"/>
  <c r="BH190" i="105"/>
  <c r="BM189" i="105"/>
  <c r="BL189" i="105"/>
  <c r="BK189" i="105"/>
  <c r="BJ189" i="105"/>
  <c r="BI189" i="105"/>
  <c r="BH189" i="105"/>
  <c r="BM188" i="105"/>
  <c r="BL188" i="105"/>
  <c r="BK188" i="105"/>
  <c r="BJ188" i="105"/>
  <c r="BI188" i="105"/>
  <c r="BH188" i="105"/>
  <c r="BM187" i="105"/>
  <c r="BL187" i="105"/>
  <c r="BK187" i="105"/>
  <c r="BJ187" i="105"/>
  <c r="BI187" i="105"/>
  <c r="BH187" i="105"/>
  <c r="BM186" i="105"/>
  <c r="BL186" i="105"/>
  <c r="BK186" i="105"/>
  <c r="BJ186" i="105"/>
  <c r="BI186" i="105"/>
  <c r="BH186" i="105"/>
  <c r="BM185" i="105"/>
  <c r="BL185" i="105"/>
  <c r="BK185" i="105"/>
  <c r="BJ185" i="105"/>
  <c r="BI185" i="105"/>
  <c r="BH185" i="105"/>
  <c r="BM184" i="105"/>
  <c r="BL184" i="105"/>
  <c r="BK184" i="105"/>
  <c r="BJ184" i="105"/>
  <c r="BI184" i="105"/>
  <c r="BH184" i="105"/>
  <c r="BM183" i="105"/>
  <c r="BL183" i="105"/>
  <c r="BK183" i="105"/>
  <c r="BJ183" i="105"/>
  <c r="BI183" i="105"/>
  <c r="BH183" i="105"/>
  <c r="BM182" i="105"/>
  <c r="BL182" i="105"/>
  <c r="BK182" i="105"/>
  <c r="BJ182" i="105"/>
  <c r="BI182" i="105"/>
  <c r="BH182" i="105"/>
  <c r="BM181" i="105"/>
  <c r="BL181" i="105"/>
  <c r="BK181" i="105"/>
  <c r="BJ181" i="105"/>
  <c r="BI181" i="105"/>
  <c r="BH181" i="105"/>
  <c r="BM180" i="105"/>
  <c r="BL180" i="105"/>
  <c r="BK180" i="105"/>
  <c r="BJ180" i="105"/>
  <c r="BI180" i="105"/>
  <c r="BH180" i="105"/>
  <c r="BM179" i="105"/>
  <c r="BL179" i="105"/>
  <c r="BK179" i="105"/>
  <c r="BJ179" i="105"/>
  <c r="BI179" i="105"/>
  <c r="BH179" i="105"/>
  <c r="BM178" i="105"/>
  <c r="BL178" i="105"/>
  <c r="BK178" i="105"/>
  <c r="BJ178" i="105"/>
  <c r="BI178" i="105"/>
  <c r="BH178" i="105"/>
  <c r="BM177" i="105"/>
  <c r="BL177" i="105"/>
  <c r="BK177" i="105"/>
  <c r="BJ177" i="105"/>
  <c r="BI177" i="105"/>
  <c r="BH177" i="105"/>
  <c r="BM176" i="105"/>
  <c r="BL176" i="105"/>
  <c r="BK176" i="105"/>
  <c r="BJ176" i="105"/>
  <c r="BI176" i="105"/>
  <c r="BH176" i="105"/>
  <c r="BM175" i="105"/>
  <c r="BL175" i="105"/>
  <c r="BK175" i="105"/>
  <c r="BJ175" i="105"/>
  <c r="BI175" i="105"/>
  <c r="BH175" i="105"/>
  <c r="BM174" i="105"/>
  <c r="BL174" i="105"/>
  <c r="BK174" i="105"/>
  <c r="BJ174" i="105"/>
  <c r="BI174" i="105"/>
  <c r="BH174" i="105"/>
  <c r="BM173" i="105"/>
  <c r="BL173" i="105"/>
  <c r="BK173" i="105"/>
  <c r="BJ173" i="105"/>
  <c r="BI173" i="105"/>
  <c r="BH173" i="105"/>
  <c r="BM172" i="105"/>
  <c r="BL172" i="105"/>
  <c r="BK172" i="105"/>
  <c r="BJ172" i="105"/>
  <c r="BI172" i="105"/>
  <c r="BH172" i="105"/>
  <c r="BM171" i="105"/>
  <c r="BL171" i="105"/>
  <c r="BK171" i="105"/>
  <c r="BJ171" i="105"/>
  <c r="BI171" i="105"/>
  <c r="BH171" i="105"/>
  <c r="BM170" i="105"/>
  <c r="BL170" i="105"/>
  <c r="BK170" i="105"/>
  <c r="BJ170" i="105"/>
  <c r="BI170" i="105"/>
  <c r="BH170" i="105"/>
  <c r="BM169" i="105"/>
  <c r="BL169" i="105"/>
  <c r="BK169" i="105"/>
  <c r="BJ169" i="105"/>
  <c r="BI169" i="105"/>
  <c r="BH169" i="105"/>
  <c r="BM168" i="105"/>
  <c r="BL168" i="105"/>
  <c r="BK168" i="105"/>
  <c r="BJ168" i="105"/>
  <c r="BI168" i="105"/>
  <c r="BH168" i="105"/>
  <c r="BM167" i="105"/>
  <c r="BL167" i="105"/>
  <c r="BK167" i="105"/>
  <c r="BJ167" i="105"/>
  <c r="BI167" i="105"/>
  <c r="BH167" i="105"/>
  <c r="BM166" i="105"/>
  <c r="BL166" i="105"/>
  <c r="BK166" i="105"/>
  <c r="BJ166" i="105"/>
  <c r="BI166" i="105"/>
  <c r="BH166" i="105"/>
  <c r="BM165" i="105"/>
  <c r="BL165" i="105"/>
  <c r="BK165" i="105"/>
  <c r="BJ165" i="105"/>
  <c r="BI165" i="105"/>
  <c r="BH165" i="105"/>
  <c r="BM164" i="105"/>
  <c r="BL164" i="105"/>
  <c r="BK164" i="105"/>
  <c r="BJ164" i="105"/>
  <c r="BI164" i="105"/>
  <c r="BH164" i="105"/>
  <c r="BM163" i="105"/>
  <c r="BL163" i="105"/>
  <c r="BK163" i="105"/>
  <c r="BJ163" i="105"/>
  <c r="BI163" i="105"/>
  <c r="BH163" i="105"/>
  <c r="BM162" i="105"/>
  <c r="BL162" i="105"/>
  <c r="BK162" i="105"/>
  <c r="BJ162" i="105"/>
  <c r="BI162" i="105"/>
  <c r="BH162" i="105"/>
  <c r="BM159" i="105"/>
  <c r="BL159" i="105"/>
  <c r="BK159" i="105"/>
  <c r="BJ159" i="105"/>
  <c r="BI159" i="105"/>
  <c r="BH159" i="105"/>
  <c r="BM158" i="105"/>
  <c r="BL158" i="105"/>
  <c r="BK158" i="105"/>
  <c r="BJ158" i="105"/>
  <c r="BI158" i="105"/>
  <c r="BH158" i="105"/>
  <c r="BM157" i="105"/>
  <c r="BL157" i="105"/>
  <c r="BK157" i="105"/>
  <c r="BJ157" i="105"/>
  <c r="BI157" i="105"/>
  <c r="BH157" i="105"/>
  <c r="BM155" i="105"/>
  <c r="BL155" i="105"/>
  <c r="BK155" i="105"/>
  <c r="BJ155" i="105"/>
  <c r="BI155" i="105"/>
  <c r="BH155" i="105"/>
  <c r="BM153" i="105"/>
  <c r="BL153" i="105"/>
  <c r="BK153" i="105"/>
  <c r="BJ153" i="105"/>
  <c r="BI153" i="105"/>
  <c r="BH153" i="105"/>
  <c r="BM152" i="105"/>
  <c r="BL152" i="105"/>
  <c r="BK152" i="105"/>
  <c r="BJ152" i="105"/>
  <c r="BI152" i="105"/>
  <c r="BH152" i="105"/>
  <c r="BM151" i="105"/>
  <c r="BL151" i="105"/>
  <c r="BK151" i="105"/>
  <c r="BJ151" i="105"/>
  <c r="BI151" i="105"/>
  <c r="BH151" i="105"/>
  <c r="BM150" i="105"/>
  <c r="BL150" i="105"/>
  <c r="BK150" i="105"/>
  <c r="BJ150" i="105"/>
  <c r="BI150" i="105"/>
  <c r="BH150" i="105"/>
  <c r="BM149" i="105"/>
  <c r="BL149" i="105"/>
  <c r="BK149" i="105"/>
  <c r="BJ149" i="105"/>
  <c r="BI149" i="105"/>
  <c r="BH149" i="105"/>
  <c r="BM148" i="105"/>
  <c r="BL148" i="105"/>
  <c r="BK148" i="105"/>
  <c r="BJ148" i="105"/>
  <c r="BI148" i="105"/>
  <c r="BH148" i="105"/>
  <c r="BM147" i="105"/>
  <c r="BL147" i="105"/>
  <c r="BK147" i="105"/>
  <c r="BJ147" i="105"/>
  <c r="BI147" i="105"/>
  <c r="BH147" i="105"/>
  <c r="BM146" i="105"/>
  <c r="BL146" i="105"/>
  <c r="BK146" i="105"/>
  <c r="BJ146" i="105"/>
  <c r="BI146" i="105"/>
  <c r="BH146" i="105"/>
  <c r="BM145" i="105"/>
  <c r="BL145" i="105"/>
  <c r="BK145" i="105"/>
  <c r="BJ145" i="105"/>
  <c r="BI145" i="105"/>
  <c r="BH145" i="105"/>
  <c r="BM144" i="105"/>
  <c r="BL144" i="105"/>
  <c r="BK144" i="105"/>
  <c r="BJ144" i="105"/>
  <c r="BI144" i="105"/>
  <c r="BH144" i="105"/>
  <c r="BM142" i="105"/>
  <c r="BL142" i="105"/>
  <c r="BK142" i="105"/>
  <c r="BJ142" i="105"/>
  <c r="BI142" i="105"/>
  <c r="BH142" i="105"/>
  <c r="BM140" i="105"/>
  <c r="BL140" i="105"/>
  <c r="BK140" i="105"/>
  <c r="BJ140" i="105"/>
  <c r="BI140" i="105"/>
  <c r="BH140" i="105"/>
  <c r="BM138" i="105"/>
  <c r="BL138" i="105"/>
  <c r="BK138" i="105"/>
  <c r="BJ138" i="105"/>
  <c r="BI138" i="105"/>
  <c r="BH138" i="105"/>
  <c r="BM136" i="105"/>
  <c r="BL136" i="105"/>
  <c r="BK136" i="105"/>
  <c r="BJ136" i="105"/>
  <c r="BI136" i="105"/>
  <c r="BH136" i="105"/>
  <c r="BM135" i="105"/>
  <c r="BL135" i="105"/>
  <c r="BK135" i="105"/>
  <c r="BJ135" i="105"/>
  <c r="BI135" i="105"/>
  <c r="BH135" i="105"/>
  <c r="BM134" i="105"/>
  <c r="BL134" i="105"/>
  <c r="BK134" i="105"/>
  <c r="BJ134" i="105"/>
  <c r="BI134" i="105"/>
  <c r="BH134" i="105"/>
  <c r="BM131" i="105"/>
  <c r="BL131" i="105"/>
  <c r="BK131" i="105"/>
  <c r="BJ131" i="105"/>
  <c r="BI131" i="105"/>
  <c r="BH131" i="105"/>
  <c r="BM130" i="105"/>
  <c r="BL130" i="105"/>
  <c r="BK130" i="105"/>
  <c r="BJ130" i="105"/>
  <c r="BI130" i="105"/>
  <c r="BH130" i="105"/>
  <c r="BM129" i="105"/>
  <c r="BL129" i="105"/>
  <c r="BK129" i="105"/>
  <c r="BJ129" i="105"/>
  <c r="BI129" i="105"/>
  <c r="BH129" i="105"/>
  <c r="BM126" i="105"/>
  <c r="BL126" i="105"/>
  <c r="BK126" i="105"/>
  <c r="BJ126" i="105"/>
  <c r="BI126" i="105"/>
  <c r="BH126" i="105"/>
  <c r="BM125" i="105"/>
  <c r="BL125" i="105"/>
  <c r="BK125" i="105"/>
  <c r="BJ125" i="105"/>
  <c r="BI125" i="105"/>
  <c r="BH125" i="105"/>
  <c r="BM124" i="105"/>
  <c r="BL124" i="105"/>
  <c r="BK124" i="105"/>
  <c r="BJ124" i="105"/>
  <c r="BI124" i="105"/>
  <c r="BH124" i="105"/>
  <c r="BM123" i="105"/>
  <c r="BL123" i="105"/>
  <c r="BK123" i="105"/>
  <c r="BJ123" i="105"/>
  <c r="BI123" i="105"/>
  <c r="BH123" i="105"/>
  <c r="BM122" i="105"/>
  <c r="BL122" i="105"/>
  <c r="BK122" i="105"/>
  <c r="BJ122" i="105"/>
  <c r="BI122" i="105"/>
  <c r="BH122" i="105"/>
  <c r="BM121" i="105"/>
  <c r="BL121" i="105"/>
  <c r="BK121" i="105"/>
  <c r="BJ121" i="105"/>
  <c r="BI121" i="105"/>
  <c r="BH121" i="105"/>
  <c r="BM120" i="105"/>
  <c r="BL120" i="105"/>
  <c r="BK120" i="105"/>
  <c r="BJ120" i="105"/>
  <c r="BI120" i="105"/>
  <c r="BH120" i="105"/>
  <c r="BM119" i="105"/>
  <c r="BL119" i="105"/>
  <c r="BK119" i="105"/>
  <c r="BJ119" i="105"/>
  <c r="BI119" i="105"/>
  <c r="BH119" i="105"/>
  <c r="BM118" i="105"/>
  <c r="BL118" i="105"/>
  <c r="BK118" i="105"/>
  <c r="BJ118" i="105"/>
  <c r="BI118" i="105"/>
  <c r="BH118" i="105"/>
  <c r="BM117" i="105"/>
  <c r="BL117" i="105"/>
  <c r="BK117" i="105"/>
  <c r="BJ117" i="105"/>
  <c r="BI117" i="105"/>
  <c r="BH117" i="105"/>
  <c r="BM116" i="105"/>
  <c r="BL116" i="105"/>
  <c r="BK116" i="105"/>
  <c r="BJ116" i="105"/>
  <c r="BI116" i="105"/>
  <c r="BH116" i="105"/>
  <c r="BM115" i="105"/>
  <c r="BL115" i="105"/>
  <c r="BK115" i="105"/>
  <c r="BJ115" i="105"/>
  <c r="BI115" i="105"/>
  <c r="BH115" i="105"/>
  <c r="BM114" i="105"/>
  <c r="BL114" i="105"/>
  <c r="BK114" i="105"/>
  <c r="BJ114" i="105"/>
  <c r="BI114" i="105"/>
  <c r="BH114" i="105"/>
  <c r="BM113" i="105"/>
  <c r="BL113" i="105"/>
  <c r="BK113" i="105"/>
  <c r="BJ113" i="105"/>
  <c r="BI113" i="105"/>
  <c r="BH113" i="105"/>
  <c r="BM112" i="105"/>
  <c r="BL112" i="105"/>
  <c r="BK112" i="105"/>
  <c r="BJ112" i="105"/>
  <c r="BI112" i="105"/>
  <c r="BH112" i="105"/>
  <c r="BM111" i="105"/>
  <c r="BL111" i="105"/>
  <c r="BK111" i="105"/>
  <c r="BJ111" i="105"/>
  <c r="BI111" i="105"/>
  <c r="BH111" i="105"/>
  <c r="BM110" i="105"/>
  <c r="BL110" i="105"/>
  <c r="BK110" i="105"/>
  <c r="BJ110" i="105"/>
  <c r="BI110" i="105"/>
  <c r="BH110" i="105"/>
  <c r="BM109" i="105"/>
  <c r="BL109" i="105"/>
  <c r="BK109" i="105"/>
  <c r="BJ109" i="105"/>
  <c r="BI109" i="105"/>
  <c r="BH109" i="105"/>
  <c r="BM108" i="105"/>
  <c r="BL108" i="105"/>
  <c r="BK108" i="105"/>
  <c r="BJ108" i="105"/>
  <c r="BI108" i="105"/>
  <c r="BH108" i="105"/>
  <c r="BM107" i="105"/>
  <c r="BL107" i="105"/>
  <c r="BK107" i="105"/>
  <c r="BJ107" i="105"/>
  <c r="BI107" i="105"/>
  <c r="BH107" i="105"/>
  <c r="BM106" i="105"/>
  <c r="BL106" i="105"/>
  <c r="BK106" i="105"/>
  <c r="BJ106" i="105"/>
  <c r="BI106" i="105"/>
  <c r="BH106" i="105"/>
  <c r="BM105" i="105"/>
  <c r="BL105" i="105"/>
  <c r="BK105" i="105"/>
  <c r="BJ105" i="105"/>
  <c r="BI105" i="105"/>
  <c r="BH105" i="105"/>
  <c r="BM104" i="105"/>
  <c r="BL104" i="105"/>
  <c r="BK104" i="105"/>
  <c r="BJ104" i="105"/>
  <c r="BI104" i="105"/>
  <c r="BH104" i="105"/>
  <c r="BM103" i="105"/>
  <c r="BL103" i="105"/>
  <c r="BK103" i="105"/>
  <c r="BJ103" i="105"/>
  <c r="BI103" i="105"/>
  <c r="BH103" i="105"/>
  <c r="BM102" i="105"/>
  <c r="BL102" i="105"/>
  <c r="BK102" i="105"/>
  <c r="BJ102" i="105"/>
  <c r="BI102" i="105"/>
  <c r="BH102" i="105"/>
  <c r="BM101" i="105"/>
  <c r="BL101" i="105"/>
  <c r="BK101" i="105"/>
  <c r="BJ101" i="105"/>
  <c r="BI101" i="105"/>
  <c r="BH101" i="105"/>
  <c r="BM100" i="105"/>
  <c r="BL100" i="105"/>
  <c r="BK100" i="105"/>
  <c r="BJ100" i="105"/>
  <c r="BI100" i="105"/>
  <c r="BH100" i="105"/>
  <c r="BM99" i="105"/>
  <c r="BL99" i="105"/>
  <c r="BK99" i="105"/>
  <c r="BJ99" i="105"/>
  <c r="BI99" i="105"/>
  <c r="BH99" i="105"/>
  <c r="BM98" i="105"/>
  <c r="BL98" i="105"/>
  <c r="BK98" i="105"/>
  <c r="BJ98" i="105"/>
  <c r="BI98" i="105"/>
  <c r="BH98" i="105"/>
  <c r="BM97" i="105"/>
  <c r="BL97" i="105"/>
  <c r="BK97" i="105"/>
  <c r="BJ97" i="105"/>
  <c r="BI97" i="105"/>
  <c r="BH97" i="105"/>
  <c r="BM96" i="105"/>
  <c r="BL96" i="105"/>
  <c r="BK96" i="105"/>
  <c r="BJ96" i="105"/>
  <c r="BI96" i="105"/>
  <c r="BH96" i="105"/>
  <c r="BM95" i="105"/>
  <c r="BL95" i="105"/>
  <c r="BK95" i="105"/>
  <c r="BJ95" i="105"/>
  <c r="BI95" i="105"/>
  <c r="BH95" i="105"/>
  <c r="BM94" i="105"/>
  <c r="BL94" i="105"/>
  <c r="BK94" i="105"/>
  <c r="BJ94" i="105"/>
  <c r="BI94" i="105"/>
  <c r="BH94" i="105"/>
  <c r="BM93" i="105"/>
  <c r="BL93" i="105"/>
  <c r="BK93" i="105"/>
  <c r="BJ93" i="105"/>
  <c r="BI93" i="105"/>
  <c r="BH93" i="105"/>
  <c r="BM92" i="105"/>
  <c r="BL92" i="105"/>
  <c r="BK92" i="105"/>
  <c r="BJ92" i="105"/>
  <c r="BI92" i="105"/>
  <c r="BH92" i="105"/>
  <c r="BM91" i="105"/>
  <c r="BL91" i="105"/>
  <c r="BK91" i="105"/>
  <c r="BJ91" i="105"/>
  <c r="BI91" i="105"/>
  <c r="BH91" i="105"/>
  <c r="BM89" i="105"/>
  <c r="BL89" i="105"/>
  <c r="BK89" i="105"/>
  <c r="BJ89" i="105"/>
  <c r="BI89" i="105"/>
  <c r="BH89" i="105"/>
  <c r="BM88" i="105"/>
  <c r="BL88" i="105"/>
  <c r="BK88" i="105"/>
  <c r="BJ88" i="105"/>
  <c r="BI88" i="105"/>
  <c r="BH88" i="105"/>
  <c r="BM87" i="105"/>
  <c r="BL87" i="105"/>
  <c r="BK87" i="105"/>
  <c r="BJ87" i="105"/>
  <c r="BI87" i="105"/>
  <c r="BH87" i="105"/>
  <c r="BM86" i="105"/>
  <c r="BL86" i="105"/>
  <c r="BK86" i="105"/>
  <c r="BJ86" i="105"/>
  <c r="BI86" i="105"/>
  <c r="BH86" i="105"/>
  <c r="BM85" i="105"/>
  <c r="BL85" i="105"/>
  <c r="BK85" i="105"/>
  <c r="BJ85" i="105"/>
  <c r="BI85" i="105"/>
  <c r="BH85" i="105"/>
  <c r="BM84" i="105"/>
  <c r="BL84" i="105"/>
  <c r="BK84" i="105"/>
  <c r="BJ84" i="105"/>
  <c r="BI84" i="105"/>
  <c r="BH84" i="105"/>
  <c r="BM83" i="105"/>
  <c r="BL83" i="105"/>
  <c r="BK83" i="105"/>
  <c r="BJ83" i="105"/>
  <c r="BI83" i="105"/>
  <c r="BH83" i="105"/>
  <c r="BM82" i="105"/>
  <c r="BL82" i="105"/>
  <c r="BK82" i="105"/>
  <c r="BJ82" i="105"/>
  <c r="BI82" i="105"/>
  <c r="BH82" i="105"/>
  <c r="BM81" i="105"/>
  <c r="BL81" i="105"/>
  <c r="BK81" i="105"/>
  <c r="BJ81" i="105"/>
  <c r="BI81" i="105"/>
  <c r="BH81" i="105"/>
  <c r="BM80" i="105"/>
  <c r="BL80" i="105"/>
  <c r="BK80" i="105"/>
  <c r="BJ80" i="105"/>
  <c r="BI80" i="105"/>
  <c r="BH80" i="105"/>
  <c r="BM79" i="105"/>
  <c r="BL79" i="105"/>
  <c r="BK79" i="105"/>
  <c r="BJ79" i="105"/>
  <c r="BI79" i="105"/>
  <c r="BH79" i="105"/>
  <c r="BM78" i="105"/>
  <c r="BL78" i="105"/>
  <c r="BK78" i="105"/>
  <c r="BJ78" i="105"/>
  <c r="BI78" i="105"/>
  <c r="BH78" i="105"/>
  <c r="BM77" i="105"/>
  <c r="BL77" i="105"/>
  <c r="BK77" i="105"/>
  <c r="BJ77" i="105"/>
  <c r="BI77" i="105"/>
  <c r="BH77" i="105"/>
  <c r="BM76" i="105"/>
  <c r="BL76" i="105"/>
  <c r="BK76" i="105"/>
  <c r="BJ76" i="105"/>
  <c r="BI76" i="105"/>
  <c r="BH76" i="105"/>
  <c r="BM73" i="105"/>
  <c r="BL73" i="105"/>
  <c r="BK73" i="105"/>
  <c r="BJ73" i="105"/>
  <c r="BI73" i="105"/>
  <c r="BH73" i="105"/>
  <c r="BM72" i="105"/>
  <c r="BL72" i="105"/>
  <c r="BK72" i="105"/>
  <c r="BJ72" i="105"/>
  <c r="BI72" i="105"/>
  <c r="BH72" i="105"/>
  <c r="BM71" i="105"/>
  <c r="BL71" i="105"/>
  <c r="BK71" i="105"/>
  <c r="BJ71" i="105"/>
  <c r="BI71" i="105"/>
  <c r="BH71" i="105"/>
  <c r="BM70" i="105"/>
  <c r="BL70" i="105"/>
  <c r="BK70" i="105"/>
  <c r="BJ70" i="105"/>
  <c r="BI70" i="105"/>
  <c r="BH70" i="105"/>
  <c r="BM69" i="105"/>
  <c r="BL69" i="105"/>
  <c r="BK69" i="105"/>
  <c r="BJ69" i="105"/>
  <c r="BI69" i="105"/>
  <c r="BH69" i="105"/>
  <c r="BM68" i="105"/>
  <c r="BL68" i="105"/>
  <c r="BK68" i="105"/>
  <c r="BJ68" i="105"/>
  <c r="BI68" i="105"/>
  <c r="BH68" i="105"/>
  <c r="BM66" i="105"/>
  <c r="BL66" i="105"/>
  <c r="BK66" i="105"/>
  <c r="BJ66" i="105"/>
  <c r="BI66" i="105"/>
  <c r="BH66" i="105"/>
  <c r="BM65" i="105"/>
  <c r="BL65" i="105"/>
  <c r="BK65" i="105"/>
  <c r="BJ65" i="105"/>
  <c r="BI65" i="105"/>
  <c r="BH65" i="105"/>
  <c r="BM63" i="105"/>
  <c r="BL63" i="105"/>
  <c r="BK63" i="105"/>
  <c r="BJ63" i="105"/>
  <c r="BI63" i="105"/>
  <c r="BH63" i="105"/>
  <c r="BM62" i="105"/>
  <c r="BL62" i="105"/>
  <c r="BK62" i="105"/>
  <c r="BJ62" i="105"/>
  <c r="BI62" i="105"/>
  <c r="BH62" i="105"/>
  <c r="BM61" i="105"/>
  <c r="BL61" i="105"/>
  <c r="BK61" i="105"/>
  <c r="BJ61" i="105"/>
  <c r="BI61" i="105"/>
  <c r="BH61" i="105"/>
  <c r="BM56" i="105"/>
  <c r="BL56" i="105"/>
  <c r="BK56" i="105"/>
  <c r="BJ56" i="105"/>
  <c r="BI56" i="105"/>
  <c r="BH56" i="105"/>
  <c r="BM55" i="105"/>
  <c r="BL55" i="105"/>
  <c r="BK55" i="105"/>
  <c r="BJ55" i="105"/>
  <c r="BI55" i="105"/>
  <c r="BH55" i="105"/>
  <c r="BM54" i="105"/>
  <c r="BL54" i="105"/>
  <c r="BK54" i="105"/>
  <c r="BJ54" i="105"/>
  <c r="BI54" i="105"/>
  <c r="BH54" i="105"/>
  <c r="BM52" i="105"/>
  <c r="BL52" i="105"/>
  <c r="BK52" i="105"/>
  <c r="BJ52" i="105"/>
  <c r="BI52" i="105"/>
  <c r="BH52" i="105"/>
  <c r="BM51" i="105"/>
  <c r="BL51" i="105"/>
  <c r="BK51" i="105"/>
  <c r="BJ51" i="105"/>
  <c r="BI51" i="105"/>
  <c r="BH51" i="105"/>
  <c r="BM50" i="105"/>
  <c r="BL50" i="105"/>
  <c r="BK50" i="105"/>
  <c r="BJ50" i="105"/>
  <c r="BI50" i="105"/>
  <c r="BH50" i="105"/>
  <c r="BM48" i="105"/>
  <c r="BL48" i="105"/>
  <c r="BK48" i="105"/>
  <c r="BJ48" i="105"/>
  <c r="BI48" i="105"/>
  <c r="BH48" i="105"/>
  <c r="BM46" i="105"/>
  <c r="BL46" i="105"/>
  <c r="BK46" i="105"/>
  <c r="BJ46" i="105"/>
  <c r="BI46" i="105"/>
  <c r="BH46" i="105"/>
  <c r="BM43" i="105"/>
  <c r="BL43" i="105"/>
  <c r="BK43" i="105"/>
  <c r="BJ43" i="105"/>
  <c r="BI43" i="105"/>
  <c r="BH43" i="105"/>
  <c r="BM42" i="105"/>
  <c r="BL42" i="105"/>
  <c r="BK42" i="105"/>
  <c r="BJ42" i="105"/>
  <c r="BI42" i="105"/>
  <c r="BH42" i="105"/>
  <c r="BM41" i="105"/>
  <c r="BL41" i="105"/>
  <c r="BK41" i="105"/>
  <c r="BJ41" i="105"/>
  <c r="BI41" i="105"/>
  <c r="BH41" i="105"/>
  <c r="BM40" i="105"/>
  <c r="BL40" i="105"/>
  <c r="BK40" i="105"/>
  <c r="BJ40" i="105"/>
  <c r="BI40" i="105"/>
  <c r="BH40" i="105"/>
  <c r="BM39" i="105"/>
  <c r="BL39" i="105"/>
  <c r="BK39" i="105"/>
  <c r="BJ39" i="105"/>
  <c r="BI39" i="105"/>
  <c r="BH39" i="105"/>
  <c r="BM34" i="105"/>
  <c r="BL34" i="105"/>
  <c r="BK34" i="105"/>
  <c r="BJ34" i="105"/>
  <c r="BI34" i="105"/>
  <c r="BH34" i="105"/>
  <c r="BM33" i="105"/>
  <c r="BL33" i="105"/>
  <c r="BK33" i="105"/>
  <c r="BJ33" i="105"/>
  <c r="BI33" i="105"/>
  <c r="BH33" i="105"/>
  <c r="BM32" i="105"/>
  <c r="BL32" i="105"/>
  <c r="BK32" i="105"/>
  <c r="BJ32" i="105"/>
  <c r="BI32" i="105"/>
  <c r="BH32" i="105"/>
  <c r="BM30" i="105"/>
  <c r="BL30" i="105"/>
  <c r="BK30" i="105"/>
  <c r="BJ30" i="105"/>
  <c r="BI30" i="105"/>
  <c r="BH30" i="105"/>
  <c r="BM29" i="105"/>
  <c r="BL29" i="105"/>
  <c r="BK29" i="105"/>
  <c r="BJ29" i="105"/>
  <c r="BI29" i="105"/>
  <c r="BH29" i="105"/>
  <c r="BM28" i="105"/>
  <c r="BL28" i="105"/>
  <c r="BK28" i="105"/>
  <c r="BJ28" i="105"/>
  <c r="BI28" i="105"/>
  <c r="BH28" i="105"/>
  <c r="BM26" i="105"/>
  <c r="BL26" i="105"/>
  <c r="BK26" i="105"/>
  <c r="BJ26" i="105"/>
  <c r="BI26" i="105"/>
  <c r="BH26" i="105"/>
  <c r="BM17" i="105"/>
  <c r="BL17" i="105"/>
  <c r="BK17" i="105"/>
  <c r="BJ17" i="105"/>
  <c r="BI17" i="105"/>
  <c r="BH17" i="105"/>
  <c r="BM16" i="105"/>
  <c r="BL16" i="105"/>
  <c r="BK16" i="105"/>
  <c r="BJ16" i="105"/>
  <c r="BI16" i="105"/>
  <c r="BH16" i="105"/>
  <c r="BM15" i="105"/>
  <c r="BL15" i="105"/>
  <c r="BK15" i="105"/>
  <c r="BJ15" i="105"/>
  <c r="BI15" i="105"/>
  <c r="BH15" i="105"/>
  <c r="BM14" i="105"/>
  <c r="BL14" i="105"/>
  <c r="BK14" i="105"/>
  <c r="BJ14" i="105"/>
  <c r="BI14" i="105"/>
  <c r="BH14" i="105"/>
  <c r="BM13" i="105"/>
  <c r="BL13" i="105"/>
  <c r="BK13" i="105"/>
  <c r="BJ13" i="105"/>
  <c r="BI13" i="105"/>
  <c r="BH13" i="105"/>
  <c r="BM12" i="105"/>
  <c r="BL12" i="105"/>
  <c r="BK12" i="105"/>
  <c r="BJ12" i="105"/>
  <c r="BI12" i="105"/>
  <c r="BH12" i="105"/>
  <c r="BM11" i="105"/>
  <c r="BL11" i="105"/>
  <c r="BK11" i="105"/>
  <c r="BJ11" i="105"/>
  <c r="BI11" i="105"/>
  <c r="BH11" i="105"/>
  <c r="BM10" i="105"/>
  <c r="BL10" i="105"/>
  <c r="BK10" i="105"/>
  <c r="BJ10" i="105"/>
  <c r="BI10" i="105"/>
  <c r="BH10" i="105"/>
  <c r="BM7" i="105"/>
  <c r="BL7" i="105"/>
  <c r="BK7" i="105"/>
  <c r="BJ7" i="105"/>
  <c r="BI7" i="105"/>
  <c r="BH7" i="105"/>
  <c r="BM5" i="105"/>
  <c r="BL5" i="105"/>
  <c r="BK5" i="105"/>
  <c r="BJ5" i="105"/>
  <c r="BI5" i="105"/>
  <c r="BH5" i="105"/>
  <c r="BH4" i="105"/>
  <c r="BM4" i="105"/>
  <c r="BL4" i="105"/>
  <c r="BK4" i="105"/>
  <c r="BJ4" i="105"/>
  <c r="BI4" i="105"/>
  <c r="BA32" i="105"/>
  <c r="BF204" i="105"/>
  <c r="BE204" i="105"/>
  <c r="BD204" i="105"/>
  <c r="BC204" i="105"/>
  <c r="BB204" i="105"/>
  <c r="BA204" i="105"/>
  <c r="AZ204" i="105"/>
  <c r="BF203" i="105"/>
  <c r="BE203" i="105"/>
  <c r="BD203" i="105"/>
  <c r="BC203" i="105"/>
  <c r="BB203" i="105"/>
  <c r="BA203" i="105"/>
  <c r="AZ203" i="105"/>
  <c r="BF202" i="105"/>
  <c r="BE202" i="105"/>
  <c r="BD202" i="105"/>
  <c r="BC202" i="105"/>
  <c r="BB202" i="105"/>
  <c r="BA202" i="105"/>
  <c r="AZ202" i="105"/>
  <c r="BF201" i="105"/>
  <c r="BE201" i="105"/>
  <c r="BD201" i="105"/>
  <c r="BC201" i="105"/>
  <c r="BB201" i="105"/>
  <c r="BA201" i="105"/>
  <c r="AZ201" i="105"/>
  <c r="BF200" i="105"/>
  <c r="BE200" i="105"/>
  <c r="BD200" i="105"/>
  <c r="BC200" i="105"/>
  <c r="BB200" i="105"/>
  <c r="BA200" i="105"/>
  <c r="AZ200" i="105"/>
  <c r="BF199" i="105"/>
  <c r="BE199" i="105"/>
  <c r="BD199" i="105"/>
  <c r="BC199" i="105"/>
  <c r="BB199" i="105"/>
  <c r="BA199" i="105"/>
  <c r="AZ199" i="105"/>
  <c r="BF198" i="105"/>
  <c r="BE198" i="105"/>
  <c r="BD198" i="105"/>
  <c r="BC198" i="105"/>
  <c r="BB198" i="105"/>
  <c r="BA198" i="105"/>
  <c r="AZ198" i="105"/>
  <c r="BF197" i="105"/>
  <c r="BE197" i="105"/>
  <c r="BD197" i="105"/>
  <c r="BC197" i="105"/>
  <c r="BB197" i="105"/>
  <c r="BA197" i="105"/>
  <c r="AZ197" i="105"/>
  <c r="BF196" i="105"/>
  <c r="BE196" i="105"/>
  <c r="BD196" i="105"/>
  <c r="BC196" i="105"/>
  <c r="BB196" i="105"/>
  <c r="BA196" i="105"/>
  <c r="AZ196" i="105"/>
  <c r="BF195" i="105"/>
  <c r="BE195" i="105"/>
  <c r="BD195" i="105"/>
  <c r="BC195" i="105"/>
  <c r="BB195" i="105"/>
  <c r="BA195" i="105"/>
  <c r="AZ195" i="105"/>
  <c r="BF194" i="105"/>
  <c r="BE194" i="105"/>
  <c r="BD194" i="105"/>
  <c r="BC194" i="105"/>
  <c r="BB194" i="105"/>
  <c r="BA194" i="105"/>
  <c r="AZ194" i="105"/>
  <c r="BF193" i="105"/>
  <c r="BE193" i="105"/>
  <c r="BD193" i="105"/>
  <c r="BC193" i="105"/>
  <c r="BB193" i="105"/>
  <c r="BA193" i="105"/>
  <c r="AZ193" i="105"/>
  <c r="BF192" i="105"/>
  <c r="BE192" i="105"/>
  <c r="BD192" i="105"/>
  <c r="BC192" i="105"/>
  <c r="BB192" i="105"/>
  <c r="BA192" i="105"/>
  <c r="AZ192" i="105"/>
  <c r="BF191" i="105"/>
  <c r="BE191" i="105"/>
  <c r="BD191" i="105"/>
  <c r="BC191" i="105"/>
  <c r="BB191" i="105"/>
  <c r="BA191" i="105"/>
  <c r="AZ191" i="105"/>
  <c r="BF190" i="105"/>
  <c r="BE190" i="105"/>
  <c r="BD190" i="105"/>
  <c r="BC190" i="105"/>
  <c r="BB190" i="105"/>
  <c r="BA190" i="105"/>
  <c r="AZ190" i="105"/>
  <c r="BF189" i="105"/>
  <c r="BE189" i="105"/>
  <c r="BD189" i="105"/>
  <c r="BC189" i="105"/>
  <c r="BB189" i="105"/>
  <c r="BA189" i="105"/>
  <c r="AZ189" i="105"/>
  <c r="BF188" i="105"/>
  <c r="BE188" i="105"/>
  <c r="BD188" i="105"/>
  <c r="BC188" i="105"/>
  <c r="BB188" i="105"/>
  <c r="BA188" i="105"/>
  <c r="AZ188" i="105"/>
  <c r="BF187" i="105"/>
  <c r="BE187" i="105"/>
  <c r="BD187" i="105"/>
  <c r="BC187" i="105"/>
  <c r="BB187" i="105"/>
  <c r="BA187" i="105"/>
  <c r="AZ187" i="105"/>
  <c r="BF186" i="105"/>
  <c r="BE186" i="105"/>
  <c r="BD186" i="105"/>
  <c r="BC186" i="105"/>
  <c r="BB186" i="105"/>
  <c r="BA186" i="105"/>
  <c r="AZ186" i="105"/>
  <c r="BF185" i="105"/>
  <c r="BE185" i="105"/>
  <c r="BD185" i="105"/>
  <c r="BC185" i="105"/>
  <c r="BB185" i="105"/>
  <c r="BA185" i="105"/>
  <c r="AZ185" i="105"/>
  <c r="BF184" i="105"/>
  <c r="BE184" i="105"/>
  <c r="BD184" i="105"/>
  <c r="BC184" i="105"/>
  <c r="BB184" i="105"/>
  <c r="BA184" i="105"/>
  <c r="AZ184" i="105"/>
  <c r="BF183" i="105"/>
  <c r="BE183" i="105"/>
  <c r="BD183" i="105"/>
  <c r="BC183" i="105"/>
  <c r="BB183" i="105"/>
  <c r="BA183" i="105"/>
  <c r="AZ183" i="105"/>
  <c r="BF182" i="105"/>
  <c r="BE182" i="105"/>
  <c r="BD182" i="105"/>
  <c r="BC182" i="105"/>
  <c r="BB182" i="105"/>
  <c r="BA182" i="105"/>
  <c r="AZ182" i="105"/>
  <c r="BF181" i="105"/>
  <c r="BE181" i="105"/>
  <c r="BD181" i="105"/>
  <c r="BC181" i="105"/>
  <c r="BB181" i="105"/>
  <c r="BA181" i="105"/>
  <c r="AZ181" i="105"/>
  <c r="BF180" i="105"/>
  <c r="BE180" i="105"/>
  <c r="BD180" i="105"/>
  <c r="BC180" i="105"/>
  <c r="BB180" i="105"/>
  <c r="BA180" i="105"/>
  <c r="AZ180" i="105"/>
  <c r="BF179" i="105"/>
  <c r="BE179" i="105"/>
  <c r="BD179" i="105"/>
  <c r="BC179" i="105"/>
  <c r="BB179" i="105"/>
  <c r="BA179" i="105"/>
  <c r="AZ179" i="105"/>
  <c r="BF178" i="105"/>
  <c r="BE178" i="105"/>
  <c r="BD178" i="105"/>
  <c r="BC178" i="105"/>
  <c r="BB178" i="105"/>
  <c r="BA178" i="105"/>
  <c r="AZ178" i="105"/>
  <c r="BF177" i="105"/>
  <c r="BE177" i="105"/>
  <c r="BD177" i="105"/>
  <c r="BC177" i="105"/>
  <c r="BB177" i="105"/>
  <c r="BA177" i="105"/>
  <c r="AZ177" i="105"/>
  <c r="BF176" i="105"/>
  <c r="BE176" i="105"/>
  <c r="BD176" i="105"/>
  <c r="BC176" i="105"/>
  <c r="BB176" i="105"/>
  <c r="BA176" i="105"/>
  <c r="AZ176" i="105"/>
  <c r="BF175" i="105"/>
  <c r="BE175" i="105"/>
  <c r="BD175" i="105"/>
  <c r="BC175" i="105"/>
  <c r="BB175" i="105"/>
  <c r="BA175" i="105"/>
  <c r="AZ175" i="105"/>
  <c r="BF174" i="105"/>
  <c r="BE174" i="105"/>
  <c r="BD174" i="105"/>
  <c r="BC174" i="105"/>
  <c r="BB174" i="105"/>
  <c r="BA174" i="105"/>
  <c r="AZ174" i="105"/>
  <c r="BF173" i="105"/>
  <c r="BE173" i="105"/>
  <c r="BD173" i="105"/>
  <c r="BC173" i="105"/>
  <c r="BB173" i="105"/>
  <c r="BA173" i="105"/>
  <c r="AZ173" i="105"/>
  <c r="BF172" i="105"/>
  <c r="BE172" i="105"/>
  <c r="BD172" i="105"/>
  <c r="BC172" i="105"/>
  <c r="BB172" i="105"/>
  <c r="BA172" i="105"/>
  <c r="AZ172" i="105"/>
  <c r="BF171" i="105"/>
  <c r="BE171" i="105"/>
  <c r="BD171" i="105"/>
  <c r="BC171" i="105"/>
  <c r="BB171" i="105"/>
  <c r="BA171" i="105"/>
  <c r="AZ171" i="105"/>
  <c r="BF170" i="105"/>
  <c r="BE170" i="105"/>
  <c r="BD170" i="105"/>
  <c r="BC170" i="105"/>
  <c r="BB170" i="105"/>
  <c r="BA170" i="105"/>
  <c r="AZ170" i="105"/>
  <c r="BF169" i="105"/>
  <c r="BE169" i="105"/>
  <c r="BD169" i="105"/>
  <c r="BC169" i="105"/>
  <c r="BB169" i="105"/>
  <c r="BA169" i="105"/>
  <c r="AZ169" i="105"/>
  <c r="BF168" i="105"/>
  <c r="BE168" i="105"/>
  <c r="BD168" i="105"/>
  <c r="BC168" i="105"/>
  <c r="BB168" i="105"/>
  <c r="BA168" i="105"/>
  <c r="AZ168" i="105"/>
  <c r="BF167" i="105"/>
  <c r="BE167" i="105"/>
  <c r="BD167" i="105"/>
  <c r="BC167" i="105"/>
  <c r="BB167" i="105"/>
  <c r="BA167" i="105"/>
  <c r="AZ167" i="105"/>
  <c r="BF166" i="105"/>
  <c r="BE166" i="105"/>
  <c r="BD166" i="105"/>
  <c r="BC166" i="105"/>
  <c r="BB166" i="105"/>
  <c r="BA166" i="105"/>
  <c r="AZ166" i="105"/>
  <c r="BF165" i="105"/>
  <c r="BE165" i="105"/>
  <c r="BD165" i="105"/>
  <c r="BC165" i="105"/>
  <c r="BB165" i="105"/>
  <c r="BA165" i="105"/>
  <c r="AZ165" i="105"/>
  <c r="BF164" i="105"/>
  <c r="BE164" i="105"/>
  <c r="BD164" i="105"/>
  <c r="BC164" i="105"/>
  <c r="BB164" i="105"/>
  <c r="BA164" i="105"/>
  <c r="AZ164" i="105"/>
  <c r="BF163" i="105"/>
  <c r="BE163" i="105"/>
  <c r="BD163" i="105"/>
  <c r="BC163" i="105"/>
  <c r="BB163" i="105"/>
  <c r="BA163" i="105"/>
  <c r="AZ163" i="105"/>
  <c r="BF162" i="105"/>
  <c r="BE162" i="105"/>
  <c r="BD162" i="105"/>
  <c r="BC162" i="105"/>
  <c r="BB162" i="105"/>
  <c r="BA162" i="105"/>
  <c r="AZ162" i="105"/>
  <c r="BF159" i="105"/>
  <c r="BE159" i="105"/>
  <c r="BD159" i="105"/>
  <c r="BC159" i="105"/>
  <c r="BB159" i="105"/>
  <c r="BA159" i="105"/>
  <c r="AZ159" i="105"/>
  <c r="BF158" i="105"/>
  <c r="BE158" i="105"/>
  <c r="BD158" i="105"/>
  <c r="BC158" i="105"/>
  <c r="BB158" i="105"/>
  <c r="BA158" i="105"/>
  <c r="AZ158" i="105"/>
  <c r="BF157" i="105"/>
  <c r="BE157" i="105"/>
  <c r="BD157" i="105"/>
  <c r="BC157" i="105"/>
  <c r="BB157" i="105"/>
  <c r="BA157" i="105"/>
  <c r="AZ157" i="105"/>
  <c r="BF155" i="105"/>
  <c r="BE155" i="105"/>
  <c r="BD155" i="105"/>
  <c r="BC155" i="105"/>
  <c r="BB155" i="105"/>
  <c r="BA155" i="105"/>
  <c r="AZ155" i="105"/>
  <c r="BF153" i="105"/>
  <c r="BE153" i="105"/>
  <c r="BD153" i="105"/>
  <c r="BC153" i="105"/>
  <c r="BB153" i="105"/>
  <c r="BA153" i="105"/>
  <c r="AZ153" i="105"/>
  <c r="BF152" i="105"/>
  <c r="BE152" i="105"/>
  <c r="BD152" i="105"/>
  <c r="BC152" i="105"/>
  <c r="BB152" i="105"/>
  <c r="BA152" i="105"/>
  <c r="AZ152" i="105"/>
  <c r="BF151" i="105"/>
  <c r="BE151" i="105"/>
  <c r="BD151" i="105"/>
  <c r="BC151" i="105"/>
  <c r="BB151" i="105"/>
  <c r="BA151" i="105"/>
  <c r="AZ151" i="105"/>
  <c r="BF150" i="105"/>
  <c r="BE150" i="105"/>
  <c r="BD150" i="105"/>
  <c r="BC150" i="105"/>
  <c r="BB150" i="105"/>
  <c r="BA150" i="105"/>
  <c r="AZ150" i="105"/>
  <c r="BF149" i="105"/>
  <c r="BE149" i="105"/>
  <c r="BD149" i="105"/>
  <c r="BC149" i="105"/>
  <c r="BB149" i="105"/>
  <c r="BA149" i="105"/>
  <c r="AZ149" i="105"/>
  <c r="BF148" i="105"/>
  <c r="BE148" i="105"/>
  <c r="BD148" i="105"/>
  <c r="BC148" i="105"/>
  <c r="BB148" i="105"/>
  <c r="BA148" i="105"/>
  <c r="AZ148" i="105"/>
  <c r="BF147" i="105"/>
  <c r="BE147" i="105"/>
  <c r="BD147" i="105"/>
  <c r="BC147" i="105"/>
  <c r="BB147" i="105"/>
  <c r="BA147" i="105"/>
  <c r="AZ147" i="105"/>
  <c r="BF146" i="105"/>
  <c r="BE146" i="105"/>
  <c r="BD146" i="105"/>
  <c r="BC146" i="105"/>
  <c r="BB146" i="105"/>
  <c r="BA146" i="105"/>
  <c r="AZ146" i="105"/>
  <c r="BF145" i="105"/>
  <c r="BE145" i="105"/>
  <c r="BD145" i="105"/>
  <c r="BC145" i="105"/>
  <c r="BB145" i="105"/>
  <c r="BA145" i="105"/>
  <c r="AZ145" i="105"/>
  <c r="BF144" i="105"/>
  <c r="BE144" i="105"/>
  <c r="BD144" i="105"/>
  <c r="BC144" i="105"/>
  <c r="BB144" i="105"/>
  <c r="BA144" i="105"/>
  <c r="AZ144" i="105"/>
  <c r="BF142" i="105"/>
  <c r="BE142" i="105"/>
  <c r="BD142" i="105"/>
  <c r="BC142" i="105"/>
  <c r="BB142" i="105"/>
  <c r="BA142" i="105"/>
  <c r="AZ142" i="105"/>
  <c r="BF140" i="105"/>
  <c r="BE140" i="105"/>
  <c r="BD140" i="105"/>
  <c r="BC140" i="105"/>
  <c r="BB140" i="105"/>
  <c r="BA140" i="105"/>
  <c r="AZ140" i="105"/>
  <c r="BF138" i="105"/>
  <c r="BE138" i="105"/>
  <c r="BD138" i="105"/>
  <c r="BC138" i="105"/>
  <c r="BB138" i="105"/>
  <c r="BA138" i="105"/>
  <c r="AZ138" i="105"/>
  <c r="BF136" i="105"/>
  <c r="BE136" i="105"/>
  <c r="BD136" i="105"/>
  <c r="BC136" i="105"/>
  <c r="BB136" i="105"/>
  <c r="BA136" i="105"/>
  <c r="AZ136" i="105"/>
  <c r="BF135" i="105"/>
  <c r="BE135" i="105"/>
  <c r="BD135" i="105"/>
  <c r="BC135" i="105"/>
  <c r="BB135" i="105"/>
  <c r="BA135" i="105"/>
  <c r="AZ135" i="105"/>
  <c r="BF134" i="105"/>
  <c r="BE134" i="105"/>
  <c r="BD134" i="105"/>
  <c r="BC134" i="105"/>
  <c r="BB134" i="105"/>
  <c r="BA134" i="105"/>
  <c r="AZ134" i="105"/>
  <c r="BF131" i="105"/>
  <c r="BE131" i="105"/>
  <c r="BD131" i="105"/>
  <c r="BC131" i="105"/>
  <c r="BB131" i="105"/>
  <c r="BA131" i="105"/>
  <c r="AZ131" i="105"/>
  <c r="BF130" i="105"/>
  <c r="BE130" i="105"/>
  <c r="BD130" i="105"/>
  <c r="BC130" i="105"/>
  <c r="BB130" i="105"/>
  <c r="BA130" i="105"/>
  <c r="AZ130" i="105"/>
  <c r="BF129" i="105"/>
  <c r="BE129" i="105"/>
  <c r="BD129" i="105"/>
  <c r="BC129" i="105"/>
  <c r="BB129" i="105"/>
  <c r="BA129" i="105"/>
  <c r="AZ129" i="105"/>
  <c r="BF126" i="105"/>
  <c r="BE126" i="105"/>
  <c r="BD126" i="105"/>
  <c r="BC126" i="105"/>
  <c r="BB126" i="105"/>
  <c r="BA126" i="105"/>
  <c r="AZ126" i="105"/>
  <c r="BF125" i="105"/>
  <c r="BE125" i="105"/>
  <c r="BD125" i="105"/>
  <c r="BC125" i="105"/>
  <c r="BB125" i="105"/>
  <c r="BA125" i="105"/>
  <c r="AZ125" i="105"/>
  <c r="BF124" i="105"/>
  <c r="BE124" i="105"/>
  <c r="BD124" i="105"/>
  <c r="BC124" i="105"/>
  <c r="BB124" i="105"/>
  <c r="BA124" i="105"/>
  <c r="AZ124" i="105"/>
  <c r="BF123" i="105"/>
  <c r="BE123" i="105"/>
  <c r="BD123" i="105"/>
  <c r="BC123" i="105"/>
  <c r="BB123" i="105"/>
  <c r="BA123" i="105"/>
  <c r="AZ123" i="105"/>
  <c r="BF122" i="105"/>
  <c r="BE122" i="105"/>
  <c r="BD122" i="105"/>
  <c r="BC122" i="105"/>
  <c r="BB122" i="105"/>
  <c r="BA122" i="105"/>
  <c r="AZ122" i="105"/>
  <c r="BF121" i="105"/>
  <c r="BE121" i="105"/>
  <c r="BD121" i="105"/>
  <c r="BC121" i="105"/>
  <c r="BB121" i="105"/>
  <c r="BA121" i="105"/>
  <c r="AZ121" i="105"/>
  <c r="BF120" i="105"/>
  <c r="BE120" i="105"/>
  <c r="BD120" i="105"/>
  <c r="BC120" i="105"/>
  <c r="BB120" i="105"/>
  <c r="BA120" i="105"/>
  <c r="AZ120" i="105"/>
  <c r="BF119" i="105"/>
  <c r="BE119" i="105"/>
  <c r="BD119" i="105"/>
  <c r="BC119" i="105"/>
  <c r="BB119" i="105"/>
  <c r="BA119" i="105"/>
  <c r="AZ119" i="105"/>
  <c r="BF118" i="105"/>
  <c r="BE118" i="105"/>
  <c r="BD118" i="105"/>
  <c r="BC118" i="105"/>
  <c r="BB118" i="105"/>
  <c r="BA118" i="105"/>
  <c r="AZ118" i="105"/>
  <c r="BF117" i="105"/>
  <c r="BE117" i="105"/>
  <c r="BD117" i="105"/>
  <c r="BC117" i="105"/>
  <c r="BB117" i="105"/>
  <c r="BA117" i="105"/>
  <c r="AZ117" i="105"/>
  <c r="BF116" i="105"/>
  <c r="BE116" i="105"/>
  <c r="BD116" i="105"/>
  <c r="BC116" i="105"/>
  <c r="BB116" i="105"/>
  <c r="BA116" i="105"/>
  <c r="AZ116" i="105"/>
  <c r="BF115" i="105"/>
  <c r="BE115" i="105"/>
  <c r="BD115" i="105"/>
  <c r="BC115" i="105"/>
  <c r="BB115" i="105"/>
  <c r="BA115" i="105"/>
  <c r="AZ115" i="105"/>
  <c r="BF114" i="105"/>
  <c r="BE114" i="105"/>
  <c r="BD114" i="105"/>
  <c r="BC114" i="105"/>
  <c r="BB114" i="105"/>
  <c r="BA114" i="105"/>
  <c r="AZ114" i="105"/>
  <c r="BF113" i="105"/>
  <c r="BE113" i="105"/>
  <c r="BD113" i="105"/>
  <c r="BC113" i="105"/>
  <c r="BB113" i="105"/>
  <c r="BA113" i="105"/>
  <c r="AZ113" i="105"/>
  <c r="BF112" i="105"/>
  <c r="BE112" i="105"/>
  <c r="BD112" i="105"/>
  <c r="BC112" i="105"/>
  <c r="BB112" i="105"/>
  <c r="BA112" i="105"/>
  <c r="AZ112" i="105"/>
  <c r="BF111" i="105"/>
  <c r="BE111" i="105"/>
  <c r="BD111" i="105"/>
  <c r="BC111" i="105"/>
  <c r="BB111" i="105"/>
  <c r="BA111" i="105"/>
  <c r="AZ111" i="105"/>
  <c r="BF110" i="105"/>
  <c r="BE110" i="105"/>
  <c r="BD110" i="105"/>
  <c r="BC110" i="105"/>
  <c r="BB110" i="105"/>
  <c r="BA110" i="105"/>
  <c r="AZ110" i="105"/>
  <c r="BF109" i="105"/>
  <c r="BE109" i="105"/>
  <c r="BD109" i="105"/>
  <c r="BC109" i="105"/>
  <c r="BB109" i="105"/>
  <c r="BA109" i="105"/>
  <c r="AZ109" i="105"/>
  <c r="BF108" i="105"/>
  <c r="BE108" i="105"/>
  <c r="BD108" i="105"/>
  <c r="BC108" i="105"/>
  <c r="BB108" i="105"/>
  <c r="BA108" i="105"/>
  <c r="AZ108" i="105"/>
  <c r="BF107" i="105"/>
  <c r="BE107" i="105"/>
  <c r="BD107" i="105"/>
  <c r="BC107" i="105"/>
  <c r="BB107" i="105"/>
  <c r="BA107" i="105"/>
  <c r="AZ107" i="105"/>
  <c r="BF106" i="105"/>
  <c r="BE106" i="105"/>
  <c r="BD106" i="105"/>
  <c r="BC106" i="105"/>
  <c r="BB106" i="105"/>
  <c r="BA106" i="105"/>
  <c r="AZ106" i="105"/>
  <c r="BF105" i="105"/>
  <c r="BE105" i="105"/>
  <c r="BD105" i="105"/>
  <c r="BC105" i="105"/>
  <c r="BB105" i="105"/>
  <c r="BA105" i="105"/>
  <c r="AZ105" i="105"/>
  <c r="BF104" i="105"/>
  <c r="BE104" i="105"/>
  <c r="BD104" i="105"/>
  <c r="BC104" i="105"/>
  <c r="BB104" i="105"/>
  <c r="BA104" i="105"/>
  <c r="AZ104" i="105"/>
  <c r="BF103" i="105"/>
  <c r="BE103" i="105"/>
  <c r="BD103" i="105"/>
  <c r="BC103" i="105"/>
  <c r="BB103" i="105"/>
  <c r="BA103" i="105"/>
  <c r="AZ103" i="105"/>
  <c r="BF102" i="105"/>
  <c r="BE102" i="105"/>
  <c r="BD102" i="105"/>
  <c r="BC102" i="105"/>
  <c r="BB102" i="105"/>
  <c r="BA102" i="105"/>
  <c r="AZ102" i="105"/>
  <c r="BF101" i="105"/>
  <c r="BE101" i="105"/>
  <c r="BD101" i="105"/>
  <c r="BC101" i="105"/>
  <c r="BB101" i="105"/>
  <c r="BA101" i="105"/>
  <c r="AZ101" i="105"/>
  <c r="BF100" i="105"/>
  <c r="BE100" i="105"/>
  <c r="BD100" i="105"/>
  <c r="BC100" i="105"/>
  <c r="BB100" i="105"/>
  <c r="BA100" i="105"/>
  <c r="AZ100" i="105"/>
  <c r="BF99" i="105"/>
  <c r="BE99" i="105"/>
  <c r="BD99" i="105"/>
  <c r="BC99" i="105"/>
  <c r="BB99" i="105"/>
  <c r="BA99" i="105"/>
  <c r="AZ99" i="105"/>
  <c r="BF98" i="105"/>
  <c r="BE98" i="105"/>
  <c r="BD98" i="105"/>
  <c r="BC98" i="105"/>
  <c r="BB98" i="105"/>
  <c r="BA98" i="105"/>
  <c r="AZ98" i="105"/>
  <c r="BF97" i="105"/>
  <c r="BE97" i="105"/>
  <c r="BD97" i="105"/>
  <c r="BC97" i="105"/>
  <c r="BB97" i="105"/>
  <c r="BA97" i="105"/>
  <c r="AZ97" i="105"/>
  <c r="BF96" i="105"/>
  <c r="BE96" i="105"/>
  <c r="BD96" i="105"/>
  <c r="BC96" i="105"/>
  <c r="BB96" i="105"/>
  <c r="BA96" i="105"/>
  <c r="AZ96" i="105"/>
  <c r="BF95" i="105"/>
  <c r="BE95" i="105"/>
  <c r="BD95" i="105"/>
  <c r="BC95" i="105"/>
  <c r="BB95" i="105"/>
  <c r="BA95" i="105"/>
  <c r="AZ95" i="105"/>
  <c r="BF94" i="105"/>
  <c r="BE94" i="105"/>
  <c r="BD94" i="105"/>
  <c r="BC94" i="105"/>
  <c r="BB94" i="105"/>
  <c r="BA94" i="105"/>
  <c r="AZ94" i="105"/>
  <c r="BF93" i="105"/>
  <c r="BE93" i="105"/>
  <c r="BD93" i="105"/>
  <c r="BC93" i="105"/>
  <c r="BB93" i="105"/>
  <c r="BA93" i="105"/>
  <c r="AZ93" i="105"/>
  <c r="BF92" i="105"/>
  <c r="BE92" i="105"/>
  <c r="BD92" i="105"/>
  <c r="BC92" i="105"/>
  <c r="BB92" i="105"/>
  <c r="BA92" i="105"/>
  <c r="AZ92" i="105"/>
  <c r="BF91" i="105"/>
  <c r="BE91" i="105"/>
  <c r="BD91" i="105"/>
  <c r="BC91" i="105"/>
  <c r="BB91" i="105"/>
  <c r="BA91" i="105"/>
  <c r="AZ91" i="105"/>
  <c r="BF89" i="105"/>
  <c r="BE89" i="105"/>
  <c r="BD89" i="105"/>
  <c r="BC89" i="105"/>
  <c r="BB89" i="105"/>
  <c r="BA89" i="105"/>
  <c r="AZ89" i="105"/>
  <c r="BF88" i="105"/>
  <c r="BE88" i="105"/>
  <c r="BD88" i="105"/>
  <c r="BC88" i="105"/>
  <c r="BB88" i="105"/>
  <c r="BA88" i="105"/>
  <c r="AZ88" i="105"/>
  <c r="BF87" i="105"/>
  <c r="BE87" i="105"/>
  <c r="BD87" i="105"/>
  <c r="BC87" i="105"/>
  <c r="BB87" i="105"/>
  <c r="BA87" i="105"/>
  <c r="AZ87" i="105"/>
  <c r="BF86" i="105"/>
  <c r="BE86" i="105"/>
  <c r="BD86" i="105"/>
  <c r="BC86" i="105"/>
  <c r="BB86" i="105"/>
  <c r="BA86" i="105"/>
  <c r="AZ86" i="105"/>
  <c r="BF85" i="105"/>
  <c r="BE85" i="105"/>
  <c r="BD85" i="105"/>
  <c r="BC85" i="105"/>
  <c r="BB85" i="105"/>
  <c r="BA85" i="105"/>
  <c r="AZ85" i="105"/>
  <c r="BF84" i="105"/>
  <c r="BE84" i="105"/>
  <c r="BD84" i="105"/>
  <c r="BC84" i="105"/>
  <c r="BB84" i="105"/>
  <c r="BA84" i="105"/>
  <c r="AZ84" i="105"/>
  <c r="BF83" i="105"/>
  <c r="BE83" i="105"/>
  <c r="BD83" i="105"/>
  <c r="BC83" i="105"/>
  <c r="BB83" i="105"/>
  <c r="BA83" i="105"/>
  <c r="AZ83" i="105"/>
  <c r="BF82" i="105"/>
  <c r="BE82" i="105"/>
  <c r="BD82" i="105"/>
  <c r="BC82" i="105"/>
  <c r="BB82" i="105"/>
  <c r="BA82" i="105"/>
  <c r="AZ82" i="105"/>
  <c r="BF81" i="105"/>
  <c r="BE81" i="105"/>
  <c r="BD81" i="105"/>
  <c r="BC81" i="105"/>
  <c r="BB81" i="105"/>
  <c r="BA81" i="105"/>
  <c r="AZ81" i="105"/>
  <c r="BF80" i="105"/>
  <c r="BE80" i="105"/>
  <c r="BD80" i="105"/>
  <c r="BC80" i="105"/>
  <c r="BB80" i="105"/>
  <c r="BA80" i="105"/>
  <c r="AZ80" i="105"/>
  <c r="BF79" i="105"/>
  <c r="BE79" i="105"/>
  <c r="BD79" i="105"/>
  <c r="BC79" i="105"/>
  <c r="BB79" i="105"/>
  <c r="BA79" i="105"/>
  <c r="AZ79" i="105"/>
  <c r="BF78" i="105"/>
  <c r="BE78" i="105"/>
  <c r="BD78" i="105"/>
  <c r="BC78" i="105"/>
  <c r="BB78" i="105"/>
  <c r="BA78" i="105"/>
  <c r="AZ78" i="105"/>
  <c r="BF77" i="105"/>
  <c r="BE77" i="105"/>
  <c r="BD77" i="105"/>
  <c r="BC77" i="105"/>
  <c r="BB77" i="105"/>
  <c r="BA77" i="105"/>
  <c r="AZ77" i="105"/>
  <c r="BF76" i="105"/>
  <c r="BE76" i="105"/>
  <c r="BD76" i="105"/>
  <c r="BC76" i="105"/>
  <c r="BB76" i="105"/>
  <c r="BA76" i="105"/>
  <c r="AZ76" i="105"/>
  <c r="BF73" i="105"/>
  <c r="BE73" i="105"/>
  <c r="BD73" i="105"/>
  <c r="BC73" i="105"/>
  <c r="BB73" i="105"/>
  <c r="BA73" i="105"/>
  <c r="AZ73" i="105"/>
  <c r="BF72" i="105"/>
  <c r="BE72" i="105"/>
  <c r="BD72" i="105"/>
  <c r="BC72" i="105"/>
  <c r="BB72" i="105"/>
  <c r="BA72" i="105"/>
  <c r="AZ72" i="105"/>
  <c r="BF71" i="105"/>
  <c r="BE71" i="105"/>
  <c r="BD71" i="105"/>
  <c r="BC71" i="105"/>
  <c r="BB71" i="105"/>
  <c r="BA71" i="105"/>
  <c r="AZ71" i="105"/>
  <c r="BF70" i="105"/>
  <c r="BE70" i="105"/>
  <c r="BD70" i="105"/>
  <c r="BC70" i="105"/>
  <c r="BB70" i="105"/>
  <c r="BA70" i="105"/>
  <c r="AZ70" i="105"/>
  <c r="BF69" i="105"/>
  <c r="BE69" i="105"/>
  <c r="BD69" i="105"/>
  <c r="BC69" i="105"/>
  <c r="BB69" i="105"/>
  <c r="BA69" i="105"/>
  <c r="AZ69" i="105"/>
  <c r="BF68" i="105"/>
  <c r="BE68" i="105"/>
  <c r="BD68" i="105"/>
  <c r="BC68" i="105"/>
  <c r="BB68" i="105"/>
  <c r="BA68" i="105"/>
  <c r="AZ68" i="105"/>
  <c r="BF66" i="105"/>
  <c r="BE66" i="105"/>
  <c r="BD66" i="105"/>
  <c r="BC66" i="105"/>
  <c r="BB66" i="105"/>
  <c r="BA66" i="105"/>
  <c r="AZ66" i="105"/>
  <c r="BF65" i="105"/>
  <c r="BE65" i="105"/>
  <c r="BD65" i="105"/>
  <c r="BC65" i="105"/>
  <c r="BB65" i="105"/>
  <c r="BA65" i="105"/>
  <c r="AZ65" i="105"/>
  <c r="BF63" i="105"/>
  <c r="BE63" i="105"/>
  <c r="BD63" i="105"/>
  <c r="BC63" i="105"/>
  <c r="BB63" i="105"/>
  <c r="BA63" i="105"/>
  <c r="AZ63" i="105"/>
  <c r="BF62" i="105"/>
  <c r="BE62" i="105"/>
  <c r="BD62" i="105"/>
  <c r="BC62" i="105"/>
  <c r="BB62" i="105"/>
  <c r="BA62" i="105"/>
  <c r="AZ62" i="105"/>
  <c r="BF61" i="105"/>
  <c r="BE61" i="105"/>
  <c r="BD61" i="105"/>
  <c r="BC61" i="105"/>
  <c r="BB61" i="105"/>
  <c r="BA61" i="105"/>
  <c r="AZ61" i="105"/>
  <c r="BF56" i="105"/>
  <c r="BE56" i="105"/>
  <c r="BD56" i="105"/>
  <c r="BC56" i="105"/>
  <c r="BB56" i="105"/>
  <c r="BA56" i="105"/>
  <c r="AZ56" i="105"/>
  <c r="BF55" i="105"/>
  <c r="BE55" i="105"/>
  <c r="BD55" i="105"/>
  <c r="BC55" i="105"/>
  <c r="BB55" i="105"/>
  <c r="BA55" i="105"/>
  <c r="AZ55" i="105"/>
  <c r="BF54" i="105"/>
  <c r="BE54" i="105"/>
  <c r="BD54" i="105"/>
  <c r="BC54" i="105"/>
  <c r="BB54" i="105"/>
  <c r="BA54" i="105"/>
  <c r="AZ54" i="105"/>
  <c r="BF52" i="105"/>
  <c r="BE52" i="105"/>
  <c r="BD52" i="105"/>
  <c r="BC52" i="105"/>
  <c r="BB52" i="105"/>
  <c r="BA52" i="105"/>
  <c r="AZ52" i="105"/>
  <c r="BF51" i="105"/>
  <c r="BE51" i="105"/>
  <c r="BD51" i="105"/>
  <c r="BC51" i="105"/>
  <c r="BB51" i="105"/>
  <c r="BA51" i="105"/>
  <c r="AZ51" i="105"/>
  <c r="BF50" i="105"/>
  <c r="BE50" i="105"/>
  <c r="BD50" i="105"/>
  <c r="BC50" i="105"/>
  <c r="BB50" i="105"/>
  <c r="BA50" i="105"/>
  <c r="AZ50" i="105"/>
  <c r="BF48" i="105"/>
  <c r="BE48" i="105"/>
  <c r="BD48" i="105"/>
  <c r="BC48" i="105"/>
  <c r="BB48" i="105"/>
  <c r="BA48" i="105"/>
  <c r="AZ48" i="105"/>
  <c r="BF46" i="105"/>
  <c r="BE46" i="105"/>
  <c r="BD46" i="105"/>
  <c r="BC46" i="105"/>
  <c r="BB46" i="105"/>
  <c r="BA46" i="105"/>
  <c r="AZ46" i="105"/>
  <c r="BF43" i="105"/>
  <c r="BE43" i="105"/>
  <c r="BD43" i="105"/>
  <c r="BC43" i="105"/>
  <c r="BB43" i="105"/>
  <c r="BA43" i="105"/>
  <c r="AZ43" i="105"/>
  <c r="BF42" i="105"/>
  <c r="BE42" i="105"/>
  <c r="BD42" i="105"/>
  <c r="BC42" i="105"/>
  <c r="BB42" i="105"/>
  <c r="BA42" i="105"/>
  <c r="AZ42" i="105"/>
  <c r="BF41" i="105"/>
  <c r="BE41" i="105"/>
  <c r="BD41" i="105"/>
  <c r="BC41" i="105"/>
  <c r="BB41" i="105"/>
  <c r="BA41" i="105"/>
  <c r="AZ41" i="105"/>
  <c r="BF40" i="105"/>
  <c r="BE40" i="105"/>
  <c r="BD40" i="105"/>
  <c r="BC40" i="105"/>
  <c r="BB40" i="105"/>
  <c r="BA40" i="105"/>
  <c r="AZ40" i="105"/>
  <c r="BF39" i="105"/>
  <c r="BE39" i="105"/>
  <c r="BD39" i="105"/>
  <c r="BC39" i="105"/>
  <c r="BB39" i="105"/>
  <c r="BA39" i="105"/>
  <c r="AZ39" i="105"/>
  <c r="BF34" i="105"/>
  <c r="BE34" i="105"/>
  <c r="BD34" i="105"/>
  <c r="BC34" i="105"/>
  <c r="BB34" i="105"/>
  <c r="BA34" i="105"/>
  <c r="AZ34" i="105"/>
  <c r="BF33" i="105"/>
  <c r="BE33" i="105"/>
  <c r="BD33" i="105"/>
  <c r="BC33" i="105"/>
  <c r="BB33" i="105"/>
  <c r="BA33" i="105"/>
  <c r="AZ33" i="105"/>
  <c r="BF32" i="105"/>
  <c r="BE32" i="105"/>
  <c r="BD32" i="105"/>
  <c r="BC32" i="105"/>
  <c r="BB32" i="105"/>
  <c r="AZ32" i="105"/>
  <c r="BF30" i="105"/>
  <c r="BE30" i="105"/>
  <c r="BD30" i="105"/>
  <c r="BC30" i="105"/>
  <c r="BB30" i="105"/>
  <c r="BA30" i="105"/>
  <c r="AZ30" i="105"/>
  <c r="BF29" i="105"/>
  <c r="BE29" i="105"/>
  <c r="BD29" i="105"/>
  <c r="BC29" i="105"/>
  <c r="BB29" i="105"/>
  <c r="BA29" i="105"/>
  <c r="AZ29" i="105"/>
  <c r="BF28" i="105"/>
  <c r="BE28" i="105"/>
  <c r="BD28" i="105"/>
  <c r="BC28" i="105"/>
  <c r="BB28" i="105"/>
  <c r="BA28" i="105"/>
  <c r="AZ28" i="105"/>
  <c r="BF26" i="105"/>
  <c r="BE26" i="105"/>
  <c r="BD26" i="105"/>
  <c r="BC26" i="105"/>
  <c r="BB26" i="105"/>
  <c r="BA26" i="105"/>
  <c r="AZ26" i="105"/>
  <c r="BF17" i="105"/>
  <c r="BE17" i="105"/>
  <c r="BD17" i="105"/>
  <c r="BC17" i="105"/>
  <c r="BB17" i="105"/>
  <c r="BA17" i="105"/>
  <c r="AZ17" i="105"/>
  <c r="BF16" i="105"/>
  <c r="BE16" i="105"/>
  <c r="BD16" i="105"/>
  <c r="BC16" i="105"/>
  <c r="BB16" i="105"/>
  <c r="BA16" i="105"/>
  <c r="AZ16" i="105"/>
  <c r="BF15" i="105"/>
  <c r="BE15" i="105"/>
  <c r="BD15" i="105"/>
  <c r="BC15" i="105"/>
  <c r="BB15" i="105"/>
  <c r="BA15" i="105"/>
  <c r="AZ15" i="105"/>
  <c r="BF14" i="105"/>
  <c r="BE14" i="105"/>
  <c r="BD14" i="105"/>
  <c r="BC14" i="105"/>
  <c r="BB14" i="105"/>
  <c r="BA14" i="105"/>
  <c r="AZ14" i="105"/>
  <c r="BF13" i="105"/>
  <c r="BE13" i="105"/>
  <c r="BD13" i="105"/>
  <c r="BC13" i="105"/>
  <c r="BB13" i="105"/>
  <c r="BA13" i="105"/>
  <c r="AZ13" i="105"/>
  <c r="BF12" i="105"/>
  <c r="BE12" i="105"/>
  <c r="BD12" i="105"/>
  <c r="BC12" i="105"/>
  <c r="BB12" i="105"/>
  <c r="BA12" i="105"/>
  <c r="AZ12" i="105"/>
  <c r="BF11" i="105"/>
  <c r="BE11" i="105"/>
  <c r="BD11" i="105"/>
  <c r="BC11" i="105"/>
  <c r="BB11" i="105"/>
  <c r="BA11" i="105"/>
  <c r="AZ11" i="105"/>
  <c r="BF10" i="105"/>
  <c r="BE10" i="105"/>
  <c r="BD10" i="105"/>
  <c r="BC10" i="105"/>
  <c r="BB10" i="105"/>
  <c r="BA10" i="105"/>
  <c r="AZ10" i="105"/>
  <c r="BF7" i="105"/>
  <c r="BE7" i="105"/>
  <c r="BD7" i="105"/>
  <c r="BC7" i="105"/>
  <c r="BB7" i="105"/>
  <c r="BA7" i="105"/>
  <c r="AZ7" i="105"/>
  <c r="BF5" i="105"/>
  <c r="BE5" i="105"/>
  <c r="BD5" i="105"/>
  <c r="BC5" i="105"/>
  <c r="BB5" i="105"/>
  <c r="BA5" i="105"/>
  <c r="AZ5" i="105"/>
  <c r="BF4" i="105"/>
  <c r="BE4" i="105"/>
  <c r="BD4" i="105"/>
  <c r="BC4" i="105"/>
  <c r="BB4" i="105"/>
  <c r="BA4" i="105"/>
  <c r="AZ4" i="105"/>
  <c r="AV206" i="105"/>
  <c r="AT206" i="105"/>
  <c r="AR206" i="105"/>
  <c r="AP206" i="105"/>
  <c r="AN206" i="105"/>
  <c r="AX206" i="105"/>
  <c r="I17" i="30"/>
  <c r="G25" i="110" l="1"/>
  <c r="H25" i="110" s="1"/>
  <c r="H18" i="110"/>
  <c r="G74" i="114" a="1"/>
  <c r="G74" i="114" s="1"/>
  <c r="G18" i="110"/>
  <c r="F9" i="116" a="1"/>
  <c r="F9" i="116" s="1"/>
  <c r="G192" i="116" a="1"/>
  <c r="G192" i="116" s="1"/>
  <c r="E192" i="116" s="1"/>
  <c r="G308" i="114" a="1"/>
  <c r="G308" i="114" s="1"/>
  <c r="F2" i="114" a="1"/>
  <c r="F2" i="114" s="1"/>
  <c r="F65" i="114" a="1"/>
  <c r="F65" i="114" s="1"/>
  <c r="F13" i="116" a="1"/>
  <c r="F13" i="116" s="1"/>
  <c r="E13" i="116" s="1"/>
  <c r="F37" i="116" a="1"/>
  <c r="F37" i="116" s="1"/>
  <c r="E37" i="116" s="1"/>
  <c r="F23" i="116" a="1"/>
  <c r="F23" i="116" s="1"/>
  <c r="E23" i="116" s="1"/>
  <c r="F16" i="116" a="1"/>
  <c r="F16" i="116" s="1"/>
  <c r="E16" i="116" s="1"/>
  <c r="H21" i="110"/>
  <c r="H27" i="110"/>
  <c r="H776" i="114"/>
  <c r="H89" i="116" s="1"/>
  <c r="H740" i="114"/>
  <c r="H85" i="116" s="1"/>
  <c r="H26" i="110"/>
  <c r="F3" i="116" a="1"/>
  <c r="F3" i="116" s="1"/>
  <c r="E3" i="116" s="1"/>
  <c r="F21" i="116" a="1"/>
  <c r="F21" i="116" s="1"/>
  <c r="E21" i="116" s="1"/>
  <c r="F10" i="116" a="1"/>
  <c r="F10" i="116" s="1"/>
  <c r="E10" i="116" s="1"/>
  <c r="F17" i="116" a="1"/>
  <c r="F17" i="116" s="1"/>
  <c r="E17" i="116" s="1"/>
  <c r="F112" i="116" a="1"/>
  <c r="F112" i="116" s="1"/>
  <c r="F140" i="116" a="1"/>
  <c r="F140" i="116" s="1"/>
  <c r="E140" i="116" s="1"/>
  <c r="H713" i="114"/>
  <c r="H82" i="116" s="1"/>
  <c r="F126" i="116" a="1"/>
  <c r="F126" i="116" s="1"/>
  <c r="E126" i="116" s="1"/>
  <c r="F14" i="116" a="1"/>
  <c r="F14" i="116" s="1"/>
  <c r="F50" i="116" a="1"/>
  <c r="F50" i="116" s="1"/>
  <c r="F24" i="116" a="1"/>
  <c r="F24" i="116" s="1"/>
  <c r="E24" i="116" s="1"/>
  <c r="F19" i="116" a="1"/>
  <c r="F19" i="116" s="1"/>
  <c r="E19" i="116" s="1"/>
  <c r="G62" i="116" a="1"/>
  <c r="G62" i="116" s="1"/>
  <c r="E62" i="116" s="1"/>
  <c r="G141" i="116" a="1"/>
  <c r="G141" i="116" s="1"/>
  <c r="E141" i="116" s="1"/>
  <c r="F179" i="116" a="1"/>
  <c r="F179" i="116" s="1"/>
  <c r="G39" i="116" a="1"/>
  <c r="G39" i="116" s="1"/>
  <c r="F122" i="116" a="1"/>
  <c r="F122" i="116" s="1"/>
  <c r="E122" i="116" s="1"/>
  <c r="G174" i="116" a="1"/>
  <c r="G174" i="116" s="1"/>
  <c r="E174" i="116" s="1"/>
  <c r="P12" i="110"/>
  <c r="Q9" i="110"/>
  <c r="F5" i="116" a="1"/>
  <c r="F5" i="116" s="1"/>
  <c r="F86" i="116" a="1"/>
  <c r="F86" i="116" s="1"/>
  <c r="E86" i="116" s="1"/>
  <c r="F158" i="116" a="1"/>
  <c r="F158" i="116" s="1"/>
  <c r="G185" i="116" a="1"/>
  <c r="G185" i="116" s="1"/>
  <c r="E185" i="116" s="1"/>
  <c r="F71" i="116" a="1"/>
  <c r="F71" i="116" s="1"/>
  <c r="G132" i="116" a="1"/>
  <c r="G132" i="116" s="1"/>
  <c r="E132" i="116" s="1"/>
  <c r="G29" i="116" a="1"/>
  <c r="G29" i="116" s="1"/>
  <c r="E29" i="116" s="1"/>
  <c r="F135" i="116" a="1"/>
  <c r="F135" i="116" s="1"/>
  <c r="G164" i="116" a="1"/>
  <c r="G164" i="116" s="1"/>
  <c r="E164" i="116" s="1"/>
  <c r="F194" i="116" a="1"/>
  <c r="F194" i="116" s="1"/>
  <c r="G77" i="116" a="1"/>
  <c r="G77" i="116" s="1"/>
  <c r="E77" i="116" s="1"/>
  <c r="G156" i="116" a="1"/>
  <c r="G156" i="116" s="1"/>
  <c r="E156" i="116" s="1"/>
  <c r="F134" i="116" a="1"/>
  <c r="F134" i="116" s="1"/>
  <c r="F60" i="116" a="1"/>
  <c r="F60" i="116" s="1"/>
  <c r="F82" i="116" a="1"/>
  <c r="F82" i="116" s="1"/>
  <c r="E82" i="116" s="1"/>
  <c r="F11" i="116" a="1"/>
  <c r="F11" i="116" s="1"/>
  <c r="F34" i="116" a="1"/>
  <c r="F34" i="116" s="1"/>
  <c r="G44" i="110"/>
  <c r="H44" i="110" s="1"/>
  <c r="I44" i="110" s="1"/>
  <c r="J44" i="110" s="1"/>
  <c r="G80" i="116" a="1"/>
  <c r="G80" i="116" s="1"/>
  <c r="F80" i="116" a="1"/>
  <c r="F80" i="116" s="1"/>
  <c r="G145" i="116" a="1"/>
  <c r="G145" i="116" s="1"/>
  <c r="F145" i="116" a="1"/>
  <c r="F145" i="116" s="1"/>
  <c r="G146" i="116" a="1"/>
  <c r="G146" i="116" s="1"/>
  <c r="F146" i="116" a="1"/>
  <c r="F146" i="116" s="1"/>
  <c r="G176" i="116" a="1"/>
  <c r="G176" i="116" s="1"/>
  <c r="F176" i="116" a="1"/>
  <c r="F176" i="116" s="1"/>
  <c r="F66" i="116" a="1"/>
  <c r="F66" i="116" s="1"/>
  <c r="G66" i="116" a="1"/>
  <c r="G66" i="116" s="1"/>
  <c r="F119" i="116" a="1"/>
  <c r="F119" i="116" s="1"/>
  <c r="G119" i="116" a="1"/>
  <c r="G119" i="116" s="1"/>
  <c r="G67" i="116" a="1"/>
  <c r="G67" i="116" s="1"/>
  <c r="F67" i="116" a="1"/>
  <c r="F67" i="116" s="1"/>
  <c r="G171" i="116" a="1"/>
  <c r="G171" i="116" s="1"/>
  <c r="F171" i="116" a="1"/>
  <c r="F171" i="116" s="1"/>
  <c r="F26" i="116" a="1"/>
  <c r="F26" i="116" s="1"/>
  <c r="G26" i="116" a="1"/>
  <c r="G26" i="116" s="1"/>
  <c r="G129" i="116" a="1"/>
  <c r="G129" i="116" s="1"/>
  <c r="F129" i="116" a="1"/>
  <c r="F129" i="116" s="1"/>
  <c r="G149" i="116" a="1"/>
  <c r="G149" i="116" s="1"/>
  <c r="F149" i="116" a="1"/>
  <c r="F149" i="116" s="1"/>
  <c r="F172" i="116" a="1"/>
  <c r="F172" i="116" s="1"/>
  <c r="G172" i="116" a="1"/>
  <c r="G172" i="116" s="1"/>
  <c r="G79" i="116" a="1"/>
  <c r="G79" i="116" s="1"/>
  <c r="F79" i="116" a="1"/>
  <c r="F79" i="116" s="1"/>
  <c r="G124" i="116" a="1"/>
  <c r="G124" i="116" s="1"/>
  <c r="F124" i="116" a="1"/>
  <c r="F124" i="116" s="1"/>
  <c r="G144" i="116" a="1"/>
  <c r="G144" i="116" s="1"/>
  <c r="F144" i="116" a="1"/>
  <c r="F144" i="116" s="1"/>
  <c r="G167" i="116" a="1"/>
  <c r="G167" i="116" s="1"/>
  <c r="F167" i="116" a="1"/>
  <c r="F167" i="116" s="1"/>
  <c r="G102" i="116" a="1"/>
  <c r="G102" i="116" s="1"/>
  <c r="F102" i="116" a="1"/>
  <c r="F102" i="116" s="1"/>
  <c r="F137" i="116" a="1"/>
  <c r="F137" i="116" s="1"/>
  <c r="G137" i="116" a="1"/>
  <c r="G137" i="116" s="1"/>
  <c r="G166" i="116" a="1"/>
  <c r="G166" i="116" s="1"/>
  <c r="F166" i="116" a="1"/>
  <c r="F166" i="116" s="1"/>
  <c r="G27" i="116" a="1"/>
  <c r="G27" i="116" s="1"/>
  <c r="F27" i="116" a="1"/>
  <c r="F27" i="116" s="1"/>
  <c r="G186" i="116" a="1"/>
  <c r="G186" i="116" s="1"/>
  <c r="F186" i="116" a="1"/>
  <c r="F186" i="116" s="1"/>
  <c r="G85" i="116" a="1"/>
  <c r="G85" i="116" s="1"/>
  <c r="F85" i="116" a="1"/>
  <c r="F85" i="116" s="1"/>
  <c r="F362" i="114" a="1"/>
  <c r="F362" i="114" s="1"/>
  <c r="G43" i="116" a="1"/>
  <c r="G43" i="116" s="1"/>
  <c r="F43" i="116" a="1"/>
  <c r="F43" i="116" s="1"/>
  <c r="F496" i="114" a="1"/>
  <c r="F496" i="114" s="1"/>
  <c r="F57" i="116" a="1"/>
  <c r="F57" i="116" s="1"/>
  <c r="G57" i="116" a="1"/>
  <c r="G57" i="116" s="1"/>
  <c r="G47" i="114" a="1"/>
  <c r="G47" i="114" s="1"/>
  <c r="F8" i="116" a="1"/>
  <c r="F8" i="116" s="1"/>
  <c r="G8" i="116" a="1"/>
  <c r="G8" i="116" s="1"/>
  <c r="G200" i="114" a="1"/>
  <c r="G200" i="114" s="1"/>
  <c r="G25" i="116" a="1"/>
  <c r="G25" i="116" s="1"/>
  <c r="F25" i="116" a="1"/>
  <c r="F25" i="116" s="1"/>
  <c r="F195" i="116" a="1"/>
  <c r="F195" i="116" s="1"/>
  <c r="G195" i="116" a="1"/>
  <c r="G195" i="116" s="1"/>
  <c r="F117" i="116" a="1"/>
  <c r="F117" i="116" s="1"/>
  <c r="G117" i="116" a="1"/>
  <c r="G117" i="116" s="1"/>
  <c r="F153" i="116" a="1"/>
  <c r="F153" i="116" s="1"/>
  <c r="G153" i="116" a="1"/>
  <c r="G153" i="116" s="1"/>
  <c r="G175" i="116" a="1"/>
  <c r="G175" i="116" s="1"/>
  <c r="F175" i="116" a="1"/>
  <c r="F175" i="116" s="1"/>
  <c r="G58" i="116" a="1"/>
  <c r="G58" i="116" s="1"/>
  <c r="F58" i="116" a="1"/>
  <c r="F58" i="116" s="1"/>
  <c r="G161" i="116" a="1"/>
  <c r="G161" i="116" s="1"/>
  <c r="F161" i="116" a="1"/>
  <c r="F161" i="116" s="1"/>
  <c r="F190" i="116" a="1"/>
  <c r="F190" i="116" s="1"/>
  <c r="G190" i="116" a="1"/>
  <c r="G190" i="116" s="1"/>
  <c r="F170" i="116" a="1"/>
  <c r="F170" i="116" s="1"/>
  <c r="G170" i="116" a="1"/>
  <c r="G170" i="116" s="1"/>
  <c r="G32" i="116" a="1"/>
  <c r="G32" i="116" s="1"/>
  <c r="F32" i="116" a="1"/>
  <c r="F32" i="116" s="1"/>
  <c r="F89" i="116" a="1"/>
  <c r="F89" i="116" s="1"/>
  <c r="G89" i="116" a="1"/>
  <c r="G89" i="116" s="1"/>
  <c r="F155" i="116" a="1"/>
  <c r="F155" i="116" s="1"/>
  <c r="G155" i="116" a="1"/>
  <c r="G155" i="116" s="1"/>
  <c r="G178" i="116" a="1"/>
  <c r="G178" i="116" s="1"/>
  <c r="F178" i="116" a="1"/>
  <c r="F178" i="116" s="1"/>
  <c r="F46" i="116" a="1"/>
  <c r="F46" i="116" s="1"/>
  <c r="G46" i="116" a="1"/>
  <c r="G46" i="116" s="1"/>
  <c r="G113" i="116" a="1"/>
  <c r="G113" i="116" s="1"/>
  <c r="F113" i="116" a="1"/>
  <c r="F113" i="116" s="1"/>
  <c r="G98" i="116" a="1"/>
  <c r="G98" i="116" s="1"/>
  <c r="F98" i="116" a="1"/>
  <c r="F98" i="116" s="1"/>
  <c r="G103" i="116" a="1"/>
  <c r="G103" i="116" s="1"/>
  <c r="F103" i="116" a="1"/>
  <c r="F103" i="116" s="1"/>
  <c r="F181" i="116" a="1"/>
  <c r="F181" i="116" s="1"/>
  <c r="G181" i="116" a="1"/>
  <c r="G181" i="116" s="1"/>
  <c r="G123" i="116" a="1"/>
  <c r="G123" i="116" s="1"/>
  <c r="F123" i="116" a="1"/>
  <c r="F123" i="116" s="1"/>
  <c r="F143" i="116" a="1"/>
  <c r="F143" i="116" s="1"/>
  <c r="G143" i="116" a="1"/>
  <c r="G143" i="116" s="1"/>
  <c r="F40" i="116" a="1"/>
  <c r="F40" i="116" s="1"/>
  <c r="G40" i="116" a="1"/>
  <c r="G40" i="116" s="1"/>
  <c r="G54" i="116" a="1"/>
  <c r="G54" i="116" s="1"/>
  <c r="F54" i="116" a="1"/>
  <c r="F54" i="116" s="1"/>
  <c r="G157" i="116" a="1"/>
  <c r="G157" i="116" s="1"/>
  <c r="F157" i="116" a="1"/>
  <c r="F157" i="116" s="1"/>
  <c r="F137" i="114" a="1"/>
  <c r="F137" i="114" s="1"/>
  <c r="G18" i="116" a="1"/>
  <c r="G18" i="116" s="1"/>
  <c r="F18" i="116" a="1"/>
  <c r="F18" i="116" s="1"/>
  <c r="F388" i="114" a="1"/>
  <c r="F388" i="114" s="1"/>
  <c r="G45" i="116" a="1"/>
  <c r="G45" i="116" s="1"/>
  <c r="F45" i="116" a="1"/>
  <c r="F45" i="116" s="1"/>
  <c r="G443" i="114" a="1"/>
  <c r="G443" i="114" s="1"/>
  <c r="F52" i="116" a="1"/>
  <c r="F52" i="116" s="1"/>
  <c r="G52" i="116" a="1"/>
  <c r="G52" i="116" s="1"/>
  <c r="F532" i="114" a="1"/>
  <c r="F532" i="114" s="1"/>
  <c r="G61" i="116" a="1"/>
  <c r="G61" i="116" s="1"/>
  <c r="F61" i="116" a="1"/>
  <c r="F61" i="116" s="1"/>
  <c r="F29" i="114" a="1"/>
  <c r="F29" i="114" s="1"/>
  <c r="G6" i="116" a="1"/>
  <c r="G6" i="116" s="1"/>
  <c r="F6" i="116" a="1"/>
  <c r="F6" i="116" s="1"/>
  <c r="F1712" i="114" a="1"/>
  <c r="F1712" i="114" s="1"/>
  <c r="G193" i="116" a="1"/>
  <c r="G193" i="116" s="1"/>
  <c r="F193" i="116" a="1"/>
  <c r="F193" i="116" s="1"/>
  <c r="G1361" i="114" a="1"/>
  <c r="G1361" i="114" s="1"/>
  <c r="F154" i="116" a="1"/>
  <c r="F154" i="116" s="1"/>
  <c r="G154" i="116" a="1"/>
  <c r="G154" i="116" s="1"/>
  <c r="F133" i="116" a="1"/>
  <c r="F133" i="116" s="1"/>
  <c r="G133" i="116" a="1"/>
  <c r="G133" i="116" s="1"/>
  <c r="G160" i="116" a="1"/>
  <c r="G160" i="116" s="1"/>
  <c r="F160" i="116" a="1"/>
  <c r="F160" i="116" s="1"/>
  <c r="G182" i="116" a="1"/>
  <c r="G182" i="116" s="1"/>
  <c r="F182" i="116" a="1"/>
  <c r="F182" i="116" s="1"/>
  <c r="G139" i="116" a="1"/>
  <c r="G139" i="116" s="1"/>
  <c r="F139" i="116" a="1"/>
  <c r="F139" i="116" s="1"/>
  <c r="G169" i="116" a="1"/>
  <c r="G169" i="116" s="1"/>
  <c r="F169" i="116" a="1"/>
  <c r="F169" i="116" s="1"/>
  <c r="G51" i="116" a="1"/>
  <c r="G51" i="116" s="1"/>
  <c r="F51" i="116" a="1"/>
  <c r="F51" i="116" s="1"/>
  <c r="G111" i="116" a="1"/>
  <c r="G111" i="116" s="1"/>
  <c r="F111" i="116" a="1"/>
  <c r="F111" i="116" s="1"/>
  <c r="G147" i="116" a="1"/>
  <c r="G147" i="116" s="1"/>
  <c r="F147" i="116" a="1"/>
  <c r="F147" i="116" s="1"/>
  <c r="F177" i="116" a="1"/>
  <c r="F177" i="116" s="1"/>
  <c r="G177" i="116" a="1"/>
  <c r="G177" i="116" s="1"/>
  <c r="F38" i="116" a="1"/>
  <c r="F38" i="116" s="1"/>
  <c r="G38" i="116" a="1"/>
  <c r="G38" i="116" s="1"/>
  <c r="F128" i="116" a="1"/>
  <c r="F128" i="116" s="1"/>
  <c r="G128" i="116" a="1"/>
  <c r="G128" i="116" s="1"/>
  <c r="F163" i="116" a="1"/>
  <c r="F163" i="116" s="1"/>
  <c r="G163" i="116" a="1"/>
  <c r="G163" i="116" s="1"/>
  <c r="G184" i="116" a="1"/>
  <c r="G184" i="116" s="1"/>
  <c r="F184" i="116" a="1"/>
  <c r="F184" i="116" s="1"/>
  <c r="F84" i="116" a="1"/>
  <c r="F84" i="116" s="1"/>
  <c r="G84" i="116" a="1"/>
  <c r="G84" i="116" s="1"/>
  <c r="G96" i="116" a="1"/>
  <c r="G96" i="116" s="1"/>
  <c r="F96" i="116" a="1"/>
  <c r="F96" i="116" s="1"/>
  <c r="G159" i="116" a="1"/>
  <c r="G159" i="116" s="1"/>
  <c r="F159" i="116" a="1"/>
  <c r="F159" i="116" s="1"/>
  <c r="F188" i="116" a="1"/>
  <c r="F188" i="116" s="1"/>
  <c r="G188" i="116" a="1"/>
  <c r="G188" i="116" s="1"/>
  <c r="G131" i="116" a="1"/>
  <c r="G131" i="116" s="1"/>
  <c r="F131" i="116" a="1"/>
  <c r="F131" i="116" s="1"/>
  <c r="G11" i="114" a="1"/>
  <c r="G11" i="114" s="1"/>
  <c r="F4" i="116" a="1"/>
  <c r="F4" i="116" s="1"/>
  <c r="G4" i="116" a="1"/>
  <c r="G4" i="116" s="1"/>
  <c r="G136" i="116" a="1"/>
  <c r="G136" i="116" s="1"/>
  <c r="F136" i="116" a="1"/>
  <c r="F136" i="116" s="1"/>
  <c r="G187" i="116" a="1"/>
  <c r="G187" i="116" s="1"/>
  <c r="F187" i="116" a="1"/>
  <c r="F187" i="116" s="1"/>
  <c r="G253" i="114" a="1"/>
  <c r="G253" i="114" s="1"/>
  <c r="I253" i="114" s="1"/>
  <c r="I245" i="114" s="1"/>
  <c r="I30" i="116" s="1"/>
  <c r="G30" i="116" a="1"/>
  <c r="G30" i="116" s="1"/>
  <c r="F30" i="116" a="1"/>
  <c r="F30" i="116" s="1"/>
  <c r="F415" i="114" a="1"/>
  <c r="F415" i="114" s="1"/>
  <c r="G48" i="116" a="1"/>
  <c r="G48" i="116" s="1"/>
  <c r="F48" i="116" a="1"/>
  <c r="F48" i="116" s="1"/>
  <c r="F550" i="114" a="1"/>
  <c r="F550" i="114" s="1"/>
  <c r="G63" i="116" a="1"/>
  <c r="G63" i="116" s="1"/>
  <c r="F63" i="116" a="1"/>
  <c r="F63" i="116" s="1"/>
  <c r="G551" i="114" a="1"/>
  <c r="G551" i="114" s="1"/>
  <c r="G64" i="116" a="1"/>
  <c r="G64" i="116" s="1"/>
  <c r="F64" i="116" a="1"/>
  <c r="F64" i="116" s="1"/>
  <c r="G38" i="114" a="1"/>
  <c r="G38" i="114" s="1"/>
  <c r="G7" i="116" a="1"/>
  <c r="G7" i="116" s="1"/>
  <c r="F7" i="116" a="1"/>
  <c r="F7" i="116" s="1"/>
  <c r="G42" i="116" a="1"/>
  <c r="G42" i="116" s="1"/>
  <c r="G69" i="116" a="1"/>
  <c r="G69" i="116" s="1"/>
  <c r="E69" i="116" s="1"/>
  <c r="F110" i="116" a="1"/>
  <c r="F110" i="116" s="1"/>
  <c r="E110" i="116" s="1"/>
  <c r="G121" i="116" a="1"/>
  <c r="G121" i="116" s="1"/>
  <c r="E121" i="116" s="1"/>
  <c r="G152" i="116" a="1"/>
  <c r="G152" i="116" s="1"/>
  <c r="E152" i="116" s="1"/>
  <c r="G173" i="116" a="1"/>
  <c r="G173" i="116" s="1"/>
  <c r="E173" i="116" s="1"/>
  <c r="G191" i="116" a="1"/>
  <c r="G191" i="116" s="1"/>
  <c r="E191" i="116" s="1"/>
  <c r="F39" i="116" a="1"/>
  <c r="F39" i="116" s="1"/>
  <c r="G59" i="116" a="1"/>
  <c r="G59" i="116" s="1"/>
  <c r="G118" i="116" a="1"/>
  <c r="G118" i="116" s="1"/>
  <c r="E118" i="116" s="1"/>
  <c r="G138" i="116" a="1"/>
  <c r="G138" i="116" s="1"/>
  <c r="E138" i="116" s="1"/>
  <c r="G162" i="116" a="1"/>
  <c r="G162" i="116" s="1"/>
  <c r="E162" i="116" s="1"/>
  <c r="G183" i="116" a="1"/>
  <c r="G183" i="116" s="1"/>
  <c r="G37" i="110"/>
  <c r="H37" i="110" s="1"/>
  <c r="H20" i="110"/>
  <c r="G130" i="116" a="1"/>
  <c r="G130" i="116" s="1"/>
  <c r="E130" i="116" s="1"/>
  <c r="G125" i="116" a="1"/>
  <c r="G125" i="116" s="1"/>
  <c r="E125" i="116" s="1"/>
  <c r="G83" i="116" a="1"/>
  <c r="G83" i="116" s="1"/>
  <c r="E83" i="116" s="1"/>
  <c r="G49" i="116" a="1"/>
  <c r="G49" i="116" s="1"/>
  <c r="E49" i="116" s="1"/>
  <c r="G28" i="116" a="1"/>
  <c r="G28" i="116" s="1"/>
  <c r="E28" i="116" s="1"/>
  <c r="F142" i="116" a="1"/>
  <c r="F142" i="116" s="1"/>
  <c r="E142" i="116" s="1"/>
  <c r="G165" i="116" a="1"/>
  <c r="G165" i="116" s="1"/>
  <c r="E165" i="116" s="1"/>
  <c r="F189" i="116" a="1"/>
  <c r="F189" i="116" s="1"/>
  <c r="E189" i="116" s="1"/>
  <c r="F55" i="116" a="1"/>
  <c r="F55" i="116" s="1"/>
  <c r="E55" i="116" s="1"/>
  <c r="E135" i="116"/>
  <c r="E158" i="116"/>
  <c r="E71" i="116"/>
  <c r="F148" i="116" a="1"/>
  <c r="F148" i="116" s="1"/>
  <c r="E148" i="116" s="1"/>
  <c r="F168" i="116" a="1"/>
  <c r="F168" i="116" s="1"/>
  <c r="E168" i="116" s="1"/>
  <c r="F56" i="116" a="1"/>
  <c r="F56" i="116" s="1"/>
  <c r="F180" i="116" a="1"/>
  <c r="F180" i="116" s="1"/>
  <c r="E180" i="116" s="1"/>
  <c r="G5" i="116" a="1"/>
  <c r="G5" i="116" s="1"/>
  <c r="E5" i="116" s="1"/>
  <c r="F42" i="116" a="1"/>
  <c r="F42" i="116" s="1"/>
  <c r="G179" i="116" a="1"/>
  <c r="G179" i="116" s="1"/>
  <c r="G194" i="116" a="1"/>
  <c r="G194" i="116" s="1"/>
  <c r="F59" i="116" a="1"/>
  <c r="F59" i="116" s="1"/>
  <c r="F183" i="116" a="1"/>
  <c r="F183" i="116" s="1"/>
  <c r="G56" i="116" a="1"/>
  <c r="G56" i="116" s="1"/>
  <c r="G127" i="116" a="1"/>
  <c r="G127" i="116" s="1"/>
  <c r="E127" i="116" s="1"/>
  <c r="G120" i="116" a="1"/>
  <c r="G120" i="116" s="1"/>
  <c r="E120" i="116" s="1"/>
  <c r="G65" i="116" a="1"/>
  <c r="G65" i="116" s="1"/>
  <c r="E65" i="116" s="1"/>
  <c r="G47" i="116" a="1"/>
  <c r="G47" i="116" s="1"/>
  <c r="E47" i="116" s="1"/>
  <c r="G44" i="116" a="1"/>
  <c r="G44" i="116" s="1"/>
  <c r="E44" i="116" s="1"/>
  <c r="G22" i="116" a="1"/>
  <c r="G22" i="116" s="1"/>
  <c r="E22" i="116" s="1"/>
  <c r="G20" i="116" a="1"/>
  <c r="G20" i="116" s="1"/>
  <c r="E20" i="116" s="1"/>
  <c r="G15" i="116" a="1"/>
  <c r="G15" i="116" s="1"/>
  <c r="E15" i="116" s="1"/>
  <c r="G12" i="116" a="1"/>
  <c r="G12" i="116" s="1"/>
  <c r="E12" i="116" s="1"/>
  <c r="G73" i="116" a="1"/>
  <c r="G73" i="116" s="1"/>
  <c r="E73" i="116" s="1"/>
  <c r="G36" i="116" a="1"/>
  <c r="G36" i="116" s="1"/>
  <c r="E36" i="116" s="1"/>
  <c r="G35" i="116" a="1"/>
  <c r="G35" i="116" s="1"/>
  <c r="E35" i="116" s="1"/>
  <c r="E134" i="116"/>
  <c r="E112" i="116"/>
  <c r="E60" i="116"/>
  <c r="E14" i="116"/>
  <c r="E11" i="116"/>
  <c r="E50" i="116"/>
  <c r="E9" i="116"/>
  <c r="E34" i="116"/>
  <c r="H1813" i="114"/>
  <c r="H46" i="110"/>
  <c r="I46" i="110" s="1"/>
  <c r="J46" i="110" s="1"/>
  <c r="F1730" i="114" a="1"/>
  <c r="F1730" i="114" s="1"/>
  <c r="G1738" i="114" a="1"/>
  <c r="G1738" i="114" s="1"/>
  <c r="I1738" i="114" s="1"/>
  <c r="I1730" i="114" s="1"/>
  <c r="I195" i="116" s="1"/>
  <c r="F1738" i="114" a="1"/>
  <c r="F1738" i="114" s="1"/>
  <c r="E49" i="110"/>
  <c r="E50" i="110" s="1"/>
  <c r="F10" i="114" a="1"/>
  <c r="F10" i="114" s="1"/>
  <c r="F1361" i="114" a="1"/>
  <c r="F1361" i="114" s="1"/>
  <c r="G10" i="114" a="1"/>
  <c r="G10" i="114" s="1"/>
  <c r="I10" i="114" s="1"/>
  <c r="I2" i="114" s="1"/>
  <c r="I3" i="116" s="1"/>
  <c r="F1369" i="114" a="1"/>
  <c r="F1369" i="114" s="1"/>
  <c r="G1369" i="114" a="1"/>
  <c r="G1369" i="114" s="1"/>
  <c r="I1369" i="114" s="1"/>
  <c r="I1361" i="114" s="1"/>
  <c r="I154" i="116" s="1"/>
  <c r="G1622" i="114" a="1"/>
  <c r="G1622" i="114" s="1"/>
  <c r="G1630" i="114" a="1"/>
  <c r="G1630" i="114" s="1"/>
  <c r="F82" i="114" a="1"/>
  <c r="F82" i="114" s="1"/>
  <c r="G2" i="114" a="1"/>
  <c r="G2" i="114" s="1"/>
  <c r="F118" i="114" a="1"/>
  <c r="F118" i="114" s="1"/>
  <c r="E118" i="114" s="1"/>
  <c r="G208" i="114" a="1"/>
  <c r="G208" i="114" s="1"/>
  <c r="I208" i="114" s="1"/>
  <c r="I200" i="114" s="1"/>
  <c r="I25" i="116" s="1"/>
  <c r="G1730" i="114" a="1"/>
  <c r="G1730" i="114" s="1"/>
  <c r="G1594" i="114" a="1"/>
  <c r="G1594" i="114" s="1"/>
  <c r="I1594" i="114" s="1"/>
  <c r="I1586" i="114" s="1"/>
  <c r="I179" i="116" s="1"/>
  <c r="F73" i="114" a="1"/>
  <c r="F73" i="114" s="1"/>
  <c r="F460" i="114" a="1"/>
  <c r="F460" i="114" s="1"/>
  <c r="F380" i="114" a="1"/>
  <c r="F380" i="114" s="1"/>
  <c r="F199" i="114" a="1"/>
  <c r="F199" i="114" s="1"/>
  <c r="F299" i="114" a="1"/>
  <c r="F299" i="114" s="1"/>
  <c r="F1622" i="114" a="1"/>
  <c r="F1622" i="114" s="1"/>
  <c r="G127" i="114" a="1"/>
  <c r="G127" i="114" s="1"/>
  <c r="I127" i="114" s="1"/>
  <c r="I119" i="114" s="1"/>
  <c r="I16" i="116" s="1"/>
  <c r="G73" i="114" a="1"/>
  <c r="G73" i="114" s="1"/>
  <c r="I73" i="114" s="1"/>
  <c r="I65" i="114" s="1"/>
  <c r="I10" i="116" s="1"/>
  <c r="F253" i="114" a="1"/>
  <c r="F253" i="114" s="1"/>
  <c r="F370" i="114" a="1"/>
  <c r="F370" i="114" s="1"/>
  <c r="F245" i="114" a="1"/>
  <c r="F245" i="114" s="1"/>
  <c r="G299" i="114" a="1"/>
  <c r="G299" i="114" s="1"/>
  <c r="F127" i="114" a="1"/>
  <c r="F127" i="114" s="1"/>
  <c r="F443" i="114" a="1"/>
  <c r="F443" i="114" s="1"/>
  <c r="F280" i="114" a="1"/>
  <c r="F280" i="114" s="1"/>
  <c r="E280" i="114" s="1"/>
  <c r="G307" i="114" a="1"/>
  <c r="G307" i="114" s="1"/>
  <c r="G334" i="114" a="1"/>
  <c r="G334" i="114" s="1"/>
  <c r="G451" i="114" a="1"/>
  <c r="G451" i="114" s="1"/>
  <c r="I451" i="114" s="1"/>
  <c r="I443" i="114" s="1"/>
  <c r="I52" i="116" s="1"/>
  <c r="G532" i="114" a="1"/>
  <c r="G532" i="114" s="1"/>
  <c r="F514" i="114" a="1"/>
  <c r="F514" i="114" s="1"/>
  <c r="F1793" i="114" a="1"/>
  <c r="F1793" i="114" s="1"/>
  <c r="G245" i="114" a="1"/>
  <c r="G245" i="114" s="1"/>
  <c r="F326" i="114" a="1"/>
  <c r="F326" i="114" s="1"/>
  <c r="G803" i="114" a="1"/>
  <c r="G803" i="114" s="1"/>
  <c r="E803" i="114" s="1"/>
  <c r="G524" i="114" a="1"/>
  <c r="G524" i="114" s="1"/>
  <c r="G559" i="114" a="1"/>
  <c r="G559" i="114" s="1"/>
  <c r="I559" i="114" s="1"/>
  <c r="I551" i="114" s="1"/>
  <c r="I64" i="116" s="1"/>
  <c r="F524" i="114" a="1"/>
  <c r="F524" i="114" s="1"/>
  <c r="F487" i="114" a="1"/>
  <c r="F487" i="114" s="1"/>
  <c r="E487" i="114" s="1"/>
  <c r="G181" i="114" a="1"/>
  <c r="G181" i="114" s="1"/>
  <c r="I181" i="114" s="1"/>
  <c r="I173" i="114" s="1"/>
  <c r="I22" i="116" s="1"/>
  <c r="F37" i="114" a="1"/>
  <c r="F37" i="114" s="1"/>
  <c r="F928" i="114" a="1"/>
  <c r="F928" i="114" s="1"/>
  <c r="E928" i="114" s="1"/>
  <c r="F451" i="114" a="1"/>
  <c r="F451" i="114" s="1"/>
  <c r="F38" i="114" a="1"/>
  <c r="F38" i="114" s="1"/>
  <c r="F208" i="114" a="1"/>
  <c r="F208" i="114" s="1"/>
  <c r="G46" i="114" a="1"/>
  <c r="G46" i="114" s="1"/>
  <c r="I46" i="114" s="1"/>
  <c r="I38" i="114" s="1"/>
  <c r="I7" i="116" s="1"/>
  <c r="G479" i="114" a="1"/>
  <c r="G479" i="114" s="1"/>
  <c r="G550" i="114" a="1"/>
  <c r="G550" i="114" s="1"/>
  <c r="G262" i="114" a="1"/>
  <c r="G262" i="114" s="1"/>
  <c r="F559" i="114" a="1"/>
  <c r="F559" i="114" s="1"/>
  <c r="F551" i="114" a="1"/>
  <c r="F551" i="114" s="1"/>
  <c r="G29" i="114" a="1"/>
  <c r="G29" i="114" s="1"/>
  <c r="F46" i="114" a="1"/>
  <c r="F46" i="114" s="1"/>
  <c r="G371" i="114" a="1"/>
  <c r="G371" i="114" s="1"/>
  <c r="G460" i="114" a="1"/>
  <c r="G460" i="114" s="1"/>
  <c r="I460" i="114" s="1"/>
  <c r="I452" i="114" s="1"/>
  <c r="I53" i="116" s="1"/>
  <c r="G514" i="114" a="1"/>
  <c r="G514" i="114" s="1"/>
  <c r="I514" i="114" s="1"/>
  <c r="I506" i="114" s="1"/>
  <c r="I59" i="116" s="1"/>
  <c r="G415" i="114" a="1"/>
  <c r="G415" i="114" s="1"/>
  <c r="F64" i="114" a="1"/>
  <c r="F64" i="114" s="1"/>
  <c r="F109" i="114" a="1"/>
  <c r="F109" i="114" s="1"/>
  <c r="F136" i="114" a="1"/>
  <c r="F136" i="114" s="1"/>
  <c r="G433" i="114" a="1"/>
  <c r="G433" i="114" s="1"/>
  <c r="I433" i="114" s="1"/>
  <c r="I425" i="114" s="1"/>
  <c r="I50" i="116" s="1"/>
  <c r="F371" i="114" a="1"/>
  <c r="F371" i="114" s="1"/>
  <c r="F506" i="114" a="1"/>
  <c r="F506" i="114" s="1"/>
  <c r="E506" i="114" s="1"/>
  <c r="F353" i="114" a="1"/>
  <c r="F353" i="114" s="1"/>
  <c r="F407" i="114" a="1"/>
  <c r="F407" i="114" s="1"/>
  <c r="G65" i="114" a="1"/>
  <c r="G65" i="114" s="1"/>
  <c r="E65" i="114" s="1"/>
  <c r="G1739" i="114" a="1"/>
  <c r="G1739" i="114" s="1"/>
  <c r="F1802" i="114" a="1"/>
  <c r="F1802" i="114" s="1"/>
  <c r="F308" i="114" a="1"/>
  <c r="F308" i="114" s="1"/>
  <c r="E308" i="114" s="1"/>
  <c r="F55" i="114" a="1"/>
  <c r="F55" i="114" s="1"/>
  <c r="G1712" i="114" a="1"/>
  <c r="G1712" i="114" s="1"/>
  <c r="F100" i="114" a="1"/>
  <c r="F100" i="114" s="1"/>
  <c r="G1721" i="114" a="1"/>
  <c r="G1721" i="114" s="1"/>
  <c r="E1721" i="114" s="1"/>
  <c r="F128" i="114" a="1"/>
  <c r="F128" i="114" s="1"/>
  <c r="E128" i="114" s="1"/>
  <c r="F74" i="114" a="1"/>
  <c r="F74" i="114" s="1"/>
  <c r="E74" i="114" s="1"/>
  <c r="F479" i="114" a="1"/>
  <c r="F479" i="114" s="1"/>
  <c r="F145" i="114" a="1"/>
  <c r="F145" i="114" s="1"/>
  <c r="G272" i="114" a="1"/>
  <c r="G272" i="114" s="1"/>
  <c r="F361" i="114" a="1"/>
  <c r="F361" i="114" s="1"/>
  <c r="E361" i="114" s="1"/>
  <c r="F488" i="114" a="1"/>
  <c r="F488" i="114" s="1"/>
  <c r="G316" i="114" a="1"/>
  <c r="G316" i="114" s="1"/>
  <c r="I316" i="114" s="1"/>
  <c r="I308" i="114" s="1"/>
  <c r="I37" i="116" s="1"/>
  <c r="F316" i="114" a="1"/>
  <c r="F316" i="114" s="1"/>
  <c r="F181" i="114" a="1"/>
  <c r="F181" i="114" s="1"/>
  <c r="G19" i="114" a="1"/>
  <c r="G19" i="114" s="1"/>
  <c r="I19" i="114" s="1"/>
  <c r="I11" i="114" s="1"/>
  <c r="I4" i="116" s="1"/>
  <c r="F11" i="114" a="1"/>
  <c r="F11" i="114" s="1"/>
  <c r="G20" i="114" a="1"/>
  <c r="G20" i="114" s="1"/>
  <c r="G55" i="114" a="1"/>
  <c r="G55" i="114" s="1"/>
  <c r="I55" i="114" s="1"/>
  <c r="I47" i="114" s="1"/>
  <c r="I8" i="116" s="1"/>
  <c r="F47" i="114" a="1"/>
  <c r="F47" i="114" s="1"/>
  <c r="G82" i="114" a="1"/>
  <c r="G82" i="114" s="1"/>
  <c r="I82" i="114" s="1"/>
  <c r="I74" i="114" s="1"/>
  <c r="I11" i="116" s="1"/>
  <c r="F200" i="114" a="1"/>
  <c r="F200" i="114" s="1"/>
  <c r="E200" i="114" s="1"/>
  <c r="F91" i="114" a="1"/>
  <c r="F91" i="114" s="1"/>
  <c r="G100" i="114" a="1"/>
  <c r="G100" i="114" s="1"/>
  <c r="I100" i="114" s="1"/>
  <c r="I92" i="114" s="1"/>
  <c r="I13" i="116" s="1"/>
  <c r="F56" i="114" a="1"/>
  <c r="F56" i="114" s="1"/>
  <c r="E56" i="114" s="1"/>
  <c r="F19" i="114" a="1"/>
  <c r="F19" i="114" s="1"/>
  <c r="G28" i="114" a="1"/>
  <c r="G28" i="114" s="1"/>
  <c r="F20" i="114" a="1"/>
  <c r="F20" i="114" s="1"/>
  <c r="G362" i="114" a="1"/>
  <c r="G362" i="114" s="1"/>
  <c r="F379" i="114" a="1"/>
  <c r="F379" i="114" s="1"/>
  <c r="G136" i="114" a="1"/>
  <c r="G136" i="114" s="1"/>
  <c r="I136" i="114" s="1"/>
  <c r="I128" i="114" s="1"/>
  <c r="I17" i="116" s="1"/>
  <c r="G379" i="114" a="1"/>
  <c r="G379" i="114" s="1"/>
  <c r="I379" i="114" s="1"/>
  <c r="I371" i="114" s="1"/>
  <c r="I44" i="116" s="1"/>
  <c r="G145" i="114" a="1"/>
  <c r="G145" i="114" s="1"/>
  <c r="I145" i="114" s="1"/>
  <c r="I137" i="114" s="1"/>
  <c r="I18" i="116" s="1"/>
  <c r="F272" i="114" a="1"/>
  <c r="F272" i="114" s="1"/>
  <c r="G388" i="114" a="1"/>
  <c r="G388" i="114" s="1"/>
  <c r="F523" i="114" a="1"/>
  <c r="F523" i="114" s="1"/>
  <c r="E523" i="114" s="1"/>
  <c r="G1775" i="114" a="1"/>
  <c r="G1775" i="114" s="1"/>
  <c r="E1775" i="114" s="1"/>
  <c r="G37" i="114" a="1"/>
  <c r="G37" i="114" s="1"/>
  <c r="I37" i="114" s="1"/>
  <c r="I29" i="114" s="1"/>
  <c r="I6" i="116" s="1"/>
  <c r="G64" i="114" a="1"/>
  <c r="G64" i="114" s="1"/>
  <c r="I64" i="114" s="1"/>
  <c r="I56" i="114" s="1"/>
  <c r="I9" i="116" s="1"/>
  <c r="G91" i="114" a="1"/>
  <c r="G91" i="114" s="1"/>
  <c r="I91" i="114" s="1"/>
  <c r="I83" i="114" s="1"/>
  <c r="I12" i="116" s="1"/>
  <c r="G109" i="114" a="1"/>
  <c r="G109" i="114" s="1"/>
  <c r="I109" i="114" s="1"/>
  <c r="I101" i="114" s="1"/>
  <c r="I14" i="116" s="1"/>
  <c r="G236" i="114" a="1"/>
  <c r="G236" i="114" s="1"/>
  <c r="F244" i="114" a="1"/>
  <c r="F244" i="114" s="1"/>
  <c r="F236" i="114" a="1"/>
  <c r="F236" i="114" s="1"/>
  <c r="G244" i="114" a="1"/>
  <c r="G244" i="114" s="1"/>
  <c r="I244" i="114" s="1"/>
  <c r="I236" i="114" s="1"/>
  <c r="I29" i="116" s="1"/>
  <c r="F767" i="114" a="1"/>
  <c r="F767" i="114" s="1"/>
  <c r="G775" i="114" a="1"/>
  <c r="G775" i="114" s="1"/>
  <c r="I775" i="114" s="1"/>
  <c r="I767" i="114" s="1"/>
  <c r="I88" i="116" s="1"/>
  <c r="F775" i="114" a="1"/>
  <c r="F775" i="114" s="1"/>
  <c r="G767" i="114" a="1"/>
  <c r="G767" i="114" s="1"/>
  <c r="G1028" i="114" a="1"/>
  <c r="G1028" i="114" s="1"/>
  <c r="F1036" i="114" a="1"/>
  <c r="F1036" i="114" s="1"/>
  <c r="G1036" i="114" a="1"/>
  <c r="G1036" i="114" s="1"/>
  <c r="I1036" i="114" s="1"/>
  <c r="I1028" i="114" s="1"/>
  <c r="I117" i="116" s="1"/>
  <c r="F1028" i="114" a="1"/>
  <c r="F1028" i="114" s="1"/>
  <c r="F1288" i="114" a="1"/>
  <c r="F1288" i="114" s="1"/>
  <c r="G1288" i="114" a="1"/>
  <c r="G1288" i="114" s="1"/>
  <c r="I1288" i="114" s="1"/>
  <c r="I1280" i="114" s="1"/>
  <c r="I145" i="116" s="1"/>
  <c r="F1280" i="114" a="1"/>
  <c r="F1280" i="114" s="1"/>
  <c r="G1280" i="114" a="1"/>
  <c r="G1280" i="114" s="1"/>
  <c r="F1558" i="114" a="1"/>
  <c r="F1558" i="114" s="1"/>
  <c r="G1550" i="114" a="1"/>
  <c r="G1550" i="114" s="1"/>
  <c r="F1550" i="114" a="1"/>
  <c r="F1550" i="114" s="1"/>
  <c r="G1558" i="114" a="1"/>
  <c r="G1558" i="114" s="1"/>
  <c r="I1558" i="114" s="1"/>
  <c r="I1550" i="114" s="1"/>
  <c r="I175" i="116" s="1"/>
  <c r="F568" i="114" a="1"/>
  <c r="F568" i="114" s="1"/>
  <c r="F560" i="114" a="1"/>
  <c r="F560" i="114" s="1"/>
  <c r="G568" i="114" a="1"/>
  <c r="G568" i="114" s="1"/>
  <c r="I568" i="114" s="1"/>
  <c r="I560" i="114" s="1"/>
  <c r="I65" i="116" s="1"/>
  <c r="G560" i="114" a="1"/>
  <c r="G560" i="114" s="1"/>
  <c r="F713" i="114" a="1"/>
  <c r="F713" i="114" s="1"/>
  <c r="G856" i="114" a="1"/>
  <c r="G856" i="114" s="1"/>
  <c r="I856" i="114" s="1"/>
  <c r="I848" i="114" s="1"/>
  <c r="I97" i="116" s="1"/>
  <c r="F856" i="114" a="1"/>
  <c r="F856" i="114" s="1"/>
  <c r="G713" i="114" a="1"/>
  <c r="G713" i="114" s="1"/>
  <c r="F1189" i="114" a="1"/>
  <c r="F1189" i="114" s="1"/>
  <c r="G1189" i="114" a="1"/>
  <c r="G1189" i="114" s="1"/>
  <c r="I1189" i="114" s="1"/>
  <c r="I1181" i="114" s="1"/>
  <c r="I134" i="116" s="1"/>
  <c r="G1181" i="114" a="1"/>
  <c r="G1181" i="114" s="1"/>
  <c r="F1181" i="114" a="1"/>
  <c r="F1181" i="114" s="1"/>
  <c r="F1504" i="114" a="1"/>
  <c r="F1504" i="114" s="1"/>
  <c r="G1496" i="114" a="1"/>
  <c r="G1496" i="114" s="1"/>
  <c r="F1496" i="114" a="1"/>
  <c r="F1496" i="114" s="1"/>
  <c r="G1504" i="114" a="1"/>
  <c r="G1504" i="114" s="1"/>
  <c r="I1504" i="114" s="1"/>
  <c r="I1496" i="114" s="1"/>
  <c r="I169" i="116" s="1"/>
  <c r="G577" i="114" a="1"/>
  <c r="G577" i="114" s="1"/>
  <c r="I577" i="114" s="1"/>
  <c r="I569" i="114" s="1"/>
  <c r="I66" i="116" s="1"/>
  <c r="G569" i="114" a="1"/>
  <c r="G569" i="114" s="1"/>
  <c r="F569" i="114" a="1"/>
  <c r="F569" i="114" s="1"/>
  <c r="F577" i="114" a="1"/>
  <c r="F577" i="114" s="1"/>
  <c r="G865" i="114" a="1"/>
  <c r="G865" i="114" s="1"/>
  <c r="I865" i="114" s="1"/>
  <c r="I857" i="114" s="1"/>
  <c r="I98" i="116" s="1"/>
  <c r="F173" i="114" a="1"/>
  <c r="F173" i="114" s="1"/>
  <c r="G173" i="114" a="1"/>
  <c r="G173" i="114" s="1"/>
  <c r="F865" i="114" a="1"/>
  <c r="F865" i="114" s="1"/>
  <c r="G1118" i="114" a="1"/>
  <c r="G1118" i="114" s="1"/>
  <c r="F1118" i="114" a="1"/>
  <c r="F1118" i="114" s="1"/>
  <c r="G1126" i="114" a="1"/>
  <c r="G1126" i="114" s="1"/>
  <c r="I1126" i="114" s="1"/>
  <c r="I1118" i="114" s="1"/>
  <c r="I127" i="116" s="1"/>
  <c r="F1126" i="114" a="1"/>
  <c r="F1126" i="114" s="1"/>
  <c r="G1433" i="114" a="1"/>
  <c r="G1433" i="114" s="1"/>
  <c r="F1441" i="114" a="1"/>
  <c r="F1441" i="114" s="1"/>
  <c r="F1433" i="114" a="1"/>
  <c r="F1433" i="114" s="1"/>
  <c r="G1441" i="114" a="1"/>
  <c r="G1441" i="114" s="1"/>
  <c r="I1441" i="114" s="1"/>
  <c r="I1433" i="114" s="1"/>
  <c r="I162" i="116" s="1"/>
  <c r="F271" i="114" a="1"/>
  <c r="F271" i="114" s="1"/>
  <c r="G271" i="114" a="1"/>
  <c r="G271" i="114" s="1"/>
  <c r="I271" i="114" s="1"/>
  <c r="I263" i="114" s="1"/>
  <c r="I32" i="116" s="1"/>
  <c r="G263" i="114" a="1"/>
  <c r="G263" i="114" s="1"/>
  <c r="F263" i="114" a="1"/>
  <c r="F263" i="114" s="1"/>
  <c r="F722" i="114" a="1"/>
  <c r="F722" i="114" s="1"/>
  <c r="F730" i="114" a="1"/>
  <c r="F730" i="114" s="1"/>
  <c r="G730" i="114" a="1"/>
  <c r="G730" i="114" s="1"/>
  <c r="I730" i="114" s="1"/>
  <c r="I722" i="114" s="1"/>
  <c r="I83" i="116" s="1"/>
  <c r="G722" i="114" a="1"/>
  <c r="G722" i="114" s="1"/>
  <c r="G983" i="114" a="1"/>
  <c r="G983" i="114" s="1"/>
  <c r="F991" i="114" a="1"/>
  <c r="F991" i="114" s="1"/>
  <c r="F983" i="114" a="1"/>
  <c r="F983" i="114" s="1"/>
  <c r="G991" i="114" a="1"/>
  <c r="G991" i="114" s="1"/>
  <c r="I991" i="114" s="1"/>
  <c r="I983" i="114" s="1"/>
  <c r="I112" i="116" s="1"/>
  <c r="G875" i="114" a="1"/>
  <c r="G875" i="114" s="1"/>
  <c r="F875" i="114" a="1"/>
  <c r="F875" i="114" s="1"/>
  <c r="F1522" i="114" a="1"/>
  <c r="F1522" i="114" s="1"/>
  <c r="G1514" i="114" a="1"/>
  <c r="G1514" i="114" s="1"/>
  <c r="G1522" i="114" a="1"/>
  <c r="G1522" i="114" s="1"/>
  <c r="I1522" i="114" s="1"/>
  <c r="I1514" i="114" s="1"/>
  <c r="I171" i="116" s="1"/>
  <c r="F1514" i="114" a="1"/>
  <c r="F1514" i="114" s="1"/>
  <c r="F154" i="114" a="1"/>
  <c r="F154" i="114" s="1"/>
  <c r="F1748" i="114" a="1"/>
  <c r="F1748" i="114" s="1"/>
  <c r="G1748" i="114" a="1"/>
  <c r="G1748" i="114" s="1"/>
  <c r="G154" i="114" a="1"/>
  <c r="G154" i="114" s="1"/>
  <c r="I154" i="114" s="1"/>
  <c r="I146" i="114" s="1"/>
  <c r="I19" i="116" s="1"/>
  <c r="F731" i="114" a="1"/>
  <c r="F731" i="114" s="1"/>
  <c r="G739" i="114" a="1"/>
  <c r="G739" i="114" s="1"/>
  <c r="I739" i="114" s="1"/>
  <c r="I731" i="114" s="1"/>
  <c r="I84" i="116" s="1"/>
  <c r="F739" i="114" a="1"/>
  <c r="F739" i="114" s="1"/>
  <c r="G731" i="114" a="1"/>
  <c r="G731" i="114" s="1"/>
  <c r="F992" i="114" a="1"/>
  <c r="F992" i="114" s="1"/>
  <c r="F1000" i="114" a="1"/>
  <c r="F1000" i="114" s="1"/>
  <c r="G992" i="114" a="1"/>
  <c r="G992" i="114" s="1"/>
  <c r="G1000" i="114" a="1"/>
  <c r="G1000" i="114" s="1"/>
  <c r="I1000" i="114" s="1"/>
  <c r="I992" i="114" s="1"/>
  <c r="I113" i="116" s="1"/>
  <c r="F1244" i="114" a="1"/>
  <c r="F1244" i="114" s="1"/>
  <c r="G1252" i="114" a="1"/>
  <c r="G1252" i="114" s="1"/>
  <c r="I1252" i="114" s="1"/>
  <c r="I1244" i="114" s="1"/>
  <c r="I141" i="116" s="1"/>
  <c r="G1244" i="114" a="1"/>
  <c r="G1244" i="114" s="1"/>
  <c r="F1252" i="114" a="1"/>
  <c r="F1252" i="114" s="1"/>
  <c r="G1523" i="114" a="1"/>
  <c r="G1523" i="114" s="1"/>
  <c r="F1531" i="114" a="1"/>
  <c r="F1531" i="114" s="1"/>
  <c r="F1523" i="114" a="1"/>
  <c r="F1523" i="114" s="1"/>
  <c r="G1531" i="114" a="1"/>
  <c r="G1531" i="114" s="1"/>
  <c r="I1531" i="114" s="1"/>
  <c r="I1523" i="114" s="1"/>
  <c r="I172" i="116" s="1"/>
  <c r="G587" i="114" a="1"/>
  <c r="G587" i="114" s="1"/>
  <c r="F587" i="114" a="1"/>
  <c r="F587" i="114" s="1"/>
  <c r="G622" i="114" a="1"/>
  <c r="G622" i="114" s="1"/>
  <c r="I622" i="114" s="1"/>
  <c r="I614" i="114" s="1"/>
  <c r="I71" i="116" s="1"/>
  <c r="F622" i="114" a="1"/>
  <c r="F622" i="114" s="1"/>
  <c r="F910" i="114" a="1"/>
  <c r="F910" i="114" s="1"/>
  <c r="G902" i="114" a="1"/>
  <c r="G902" i="114" s="1"/>
  <c r="F902" i="114" a="1"/>
  <c r="F902" i="114" s="1"/>
  <c r="G910" i="114" a="1"/>
  <c r="G910" i="114" s="1"/>
  <c r="I910" i="114" s="1"/>
  <c r="I902" i="114" s="1"/>
  <c r="I103" i="116" s="1"/>
  <c r="G1171" i="114" a="1"/>
  <c r="G1171" i="114" s="1"/>
  <c r="I1171" i="114" s="1"/>
  <c r="I1163" i="114" s="1"/>
  <c r="I132" i="116" s="1"/>
  <c r="F1171" i="114" a="1"/>
  <c r="F1171" i="114" s="1"/>
  <c r="G1163" i="114" a="1"/>
  <c r="G1163" i="114" s="1"/>
  <c r="F1163" i="114" a="1"/>
  <c r="F1163" i="114" s="1"/>
  <c r="F1406" i="114" a="1"/>
  <c r="F1406" i="114" s="1"/>
  <c r="G1414" i="114" a="1"/>
  <c r="G1414" i="114" s="1"/>
  <c r="I1414" i="114" s="1"/>
  <c r="I1406" i="114" s="1"/>
  <c r="I159" i="116" s="1"/>
  <c r="G1406" i="114" a="1"/>
  <c r="G1406" i="114" s="1"/>
  <c r="F1414" i="114" a="1"/>
  <c r="F1414" i="114" s="1"/>
  <c r="G947" i="114" a="1"/>
  <c r="G947" i="114" s="1"/>
  <c r="F947" i="114" a="1"/>
  <c r="F947" i="114" s="1"/>
  <c r="G452" i="114" a="1"/>
  <c r="G452" i="114" s="1"/>
  <c r="F613" i="114" a="1"/>
  <c r="F613" i="114" s="1"/>
  <c r="F452" i="114" a="1"/>
  <c r="F452" i="114" s="1"/>
  <c r="G613" i="114" a="1"/>
  <c r="G613" i="114" s="1"/>
  <c r="I613" i="114" s="1"/>
  <c r="I605" i="114" s="1"/>
  <c r="I70" i="116" s="1"/>
  <c r="G893" i="114" a="1"/>
  <c r="G893" i="114" s="1"/>
  <c r="F901" i="114" a="1"/>
  <c r="F901" i="114" s="1"/>
  <c r="G901" i="114" a="1"/>
  <c r="G901" i="114" s="1"/>
  <c r="I901" i="114" s="1"/>
  <c r="I893" i="114" s="1"/>
  <c r="I102" i="116" s="1"/>
  <c r="F893" i="114" a="1"/>
  <c r="F893" i="114" s="1"/>
  <c r="F1154" i="114" a="1"/>
  <c r="F1154" i="114" s="1"/>
  <c r="F1162" i="114" a="1"/>
  <c r="F1162" i="114" s="1"/>
  <c r="G1154" i="114" a="1"/>
  <c r="G1154" i="114" s="1"/>
  <c r="G1162" i="114" a="1"/>
  <c r="G1162" i="114" s="1"/>
  <c r="I1162" i="114" s="1"/>
  <c r="I1154" i="114" s="1"/>
  <c r="I131" i="116" s="1"/>
  <c r="F1397" i="114" a="1"/>
  <c r="F1397" i="114" s="1"/>
  <c r="F1405" i="114" a="1"/>
  <c r="F1405" i="114" s="1"/>
  <c r="G1405" i="114" a="1"/>
  <c r="G1405" i="114" s="1"/>
  <c r="I1405" i="114" s="1"/>
  <c r="I1397" i="114" s="1"/>
  <c r="I158" i="116" s="1"/>
  <c r="G1397" i="114" a="1"/>
  <c r="G1397" i="114" s="1"/>
  <c r="F163" i="114" a="1"/>
  <c r="F163" i="114" s="1"/>
  <c r="G1757" i="114" a="1"/>
  <c r="G1757" i="114" s="1"/>
  <c r="F1757" i="114" a="1"/>
  <c r="F1757" i="114" s="1"/>
  <c r="G163" i="114" a="1"/>
  <c r="G163" i="114" s="1"/>
  <c r="I163" i="114" s="1"/>
  <c r="I155" i="114" s="1"/>
  <c r="I20" i="116" s="1"/>
  <c r="F335" i="114" a="1"/>
  <c r="F335" i="114" s="1"/>
  <c r="G335" i="114" a="1"/>
  <c r="G335" i="114" s="1"/>
  <c r="F343" i="114" a="1"/>
  <c r="F343" i="114" s="1"/>
  <c r="G343" i="114" a="1"/>
  <c r="G343" i="114" s="1"/>
  <c r="I343" i="114" s="1"/>
  <c r="I335" i="114" s="1"/>
  <c r="I40" i="116" s="1"/>
  <c r="F929" i="114" a="1"/>
  <c r="F929" i="114" s="1"/>
  <c r="F1720" i="114" a="1"/>
  <c r="F1720" i="114" s="1"/>
  <c r="G929" i="114" a="1"/>
  <c r="G929" i="114" s="1"/>
  <c r="G1720" i="114" a="1"/>
  <c r="G1720" i="114" s="1"/>
  <c r="I1720" i="114" s="1"/>
  <c r="I1712" i="114" s="1"/>
  <c r="I193" i="116" s="1"/>
  <c r="F676" i="114" a="1"/>
  <c r="F676" i="114" s="1"/>
  <c r="G676" i="114" a="1"/>
  <c r="G676" i="114" s="1"/>
  <c r="I676" i="114" s="1"/>
  <c r="I668" i="114" s="1"/>
  <c r="I77" i="116" s="1"/>
  <c r="G650" i="114" a="1"/>
  <c r="G650" i="114" s="1"/>
  <c r="F650" i="114" a="1"/>
  <c r="F650" i="114" s="1"/>
  <c r="F821" i="114" a="1"/>
  <c r="F821" i="114" s="1"/>
  <c r="G821" i="114" a="1"/>
  <c r="G821" i="114" s="1"/>
  <c r="G1207" i="114" a="1"/>
  <c r="G1207" i="114" s="1"/>
  <c r="I1207" i="114" s="1"/>
  <c r="I1199" i="114" s="1"/>
  <c r="I136" i="116" s="1"/>
  <c r="F1207" i="114" a="1"/>
  <c r="F1207" i="114" s="1"/>
  <c r="F1199" i="114" a="1"/>
  <c r="F1199" i="114" s="1"/>
  <c r="G1199" i="114" a="1"/>
  <c r="G1199" i="114" s="1"/>
  <c r="F1468" i="114" a="1"/>
  <c r="F1468" i="114" s="1"/>
  <c r="F1460" i="114" a="1"/>
  <c r="F1460" i="114" s="1"/>
  <c r="G1460" i="114" a="1"/>
  <c r="G1460" i="114" s="1"/>
  <c r="G1468" i="114" a="1"/>
  <c r="G1468" i="114" s="1"/>
  <c r="I1468" i="114" s="1"/>
  <c r="I1460" i="114" s="1"/>
  <c r="I165" i="116" s="1"/>
  <c r="G416" i="114" a="1"/>
  <c r="G416" i="114" s="1"/>
  <c r="F424" i="114" a="1"/>
  <c r="F424" i="114" s="1"/>
  <c r="G424" i="114" a="1"/>
  <c r="G424" i="114" s="1"/>
  <c r="I424" i="114" s="1"/>
  <c r="I416" i="114" s="1"/>
  <c r="I49" i="116" s="1"/>
  <c r="F416" i="114" a="1"/>
  <c r="F416" i="114" s="1"/>
  <c r="G164" i="114" a="1"/>
  <c r="G164" i="114" s="1"/>
  <c r="F164" i="114" a="1"/>
  <c r="F164" i="114" s="1"/>
  <c r="F847" i="114" a="1"/>
  <c r="F847" i="114" s="1"/>
  <c r="G847" i="114" a="1"/>
  <c r="G847" i="114" s="1"/>
  <c r="I847" i="114" s="1"/>
  <c r="I839" i="114" s="1"/>
  <c r="I96" i="116" s="1"/>
  <c r="F1108" i="114" a="1"/>
  <c r="F1108" i="114" s="1"/>
  <c r="G1108" i="114" a="1"/>
  <c r="G1108" i="114" s="1"/>
  <c r="I1108" i="114" s="1"/>
  <c r="I1100" i="114" s="1"/>
  <c r="I125" i="116" s="1"/>
  <c r="G1100" i="114" a="1"/>
  <c r="G1100" i="114" s="1"/>
  <c r="F1100" i="114" a="1"/>
  <c r="F1100" i="114" s="1"/>
  <c r="F1360" i="114" a="1"/>
  <c r="F1360" i="114" s="1"/>
  <c r="F1352" i="114" a="1"/>
  <c r="F1352" i="114" s="1"/>
  <c r="G1360" i="114" a="1"/>
  <c r="G1360" i="114" s="1"/>
  <c r="I1360" i="114" s="1"/>
  <c r="I1352" i="114" s="1"/>
  <c r="I153" i="116" s="1"/>
  <c r="G1352" i="114" a="1"/>
  <c r="G1352" i="114" s="1"/>
  <c r="G1621" i="114" a="1"/>
  <c r="G1621" i="114" s="1"/>
  <c r="I1621" i="114" s="1"/>
  <c r="I1613" i="114" s="1"/>
  <c r="I182" i="116" s="1"/>
  <c r="F1621" i="114" a="1"/>
  <c r="F1621" i="114" s="1"/>
  <c r="G1613" i="114" a="1"/>
  <c r="G1613" i="114" s="1"/>
  <c r="F1613" i="114" a="1"/>
  <c r="F1613" i="114" s="1"/>
  <c r="F640" i="114" a="1"/>
  <c r="F640" i="114" s="1"/>
  <c r="G640" i="114" a="1"/>
  <c r="G640" i="114" s="1"/>
  <c r="I640" i="114" s="1"/>
  <c r="I632" i="114" s="1"/>
  <c r="I73" i="116" s="1"/>
  <c r="G632" i="114" a="1"/>
  <c r="G632" i="114" s="1"/>
  <c r="F632" i="114" a="1"/>
  <c r="F632" i="114" s="1"/>
  <c r="G973" i="114" a="1"/>
  <c r="G973" i="114" s="1"/>
  <c r="I973" i="114" s="1"/>
  <c r="I965" i="114" s="1"/>
  <c r="I110" i="116" s="1"/>
  <c r="F965" i="114" a="1"/>
  <c r="F965" i="114" s="1"/>
  <c r="G965" i="114" a="1"/>
  <c r="G965" i="114" s="1"/>
  <c r="F973" i="114" a="1"/>
  <c r="F973" i="114" s="1"/>
  <c r="F1226" i="114" a="1"/>
  <c r="F1226" i="114" s="1"/>
  <c r="G1234" i="114" a="1"/>
  <c r="G1234" i="114" s="1"/>
  <c r="I1234" i="114" s="1"/>
  <c r="I1226" i="114" s="1"/>
  <c r="I139" i="116" s="1"/>
  <c r="G1226" i="114" a="1"/>
  <c r="G1226" i="114" s="1"/>
  <c r="F1234" i="114" a="1"/>
  <c r="F1234" i="114" s="1"/>
  <c r="F1559" i="114" a="1"/>
  <c r="F1559" i="114" s="1"/>
  <c r="G1567" i="114" a="1"/>
  <c r="G1567" i="114" s="1"/>
  <c r="I1567" i="114" s="1"/>
  <c r="I1559" i="114" s="1"/>
  <c r="I176" i="116" s="1"/>
  <c r="G1559" i="114" a="1"/>
  <c r="G1559" i="114" s="1"/>
  <c r="F1567" i="114" a="1"/>
  <c r="F1567" i="114" s="1"/>
  <c r="G614" i="114" a="1"/>
  <c r="G614" i="114" s="1"/>
  <c r="F614" i="114" a="1"/>
  <c r="F614" i="114" s="1"/>
  <c r="G649" i="114" a="1"/>
  <c r="G649" i="114" s="1"/>
  <c r="I649" i="114" s="1"/>
  <c r="I641" i="114" s="1"/>
  <c r="I74" i="116" s="1"/>
  <c r="F649" i="114" a="1"/>
  <c r="F649" i="114" s="1"/>
  <c r="F937" i="114" a="1"/>
  <c r="F937" i="114" s="1"/>
  <c r="F182" i="114" a="1"/>
  <c r="F182" i="114" s="1"/>
  <c r="G937" i="114" a="1"/>
  <c r="G937" i="114" s="1"/>
  <c r="I937" i="114" s="1"/>
  <c r="I929" i="114" s="1"/>
  <c r="I106" i="116" s="1"/>
  <c r="G182" i="114" a="1"/>
  <c r="G182" i="114" s="1"/>
  <c r="G1190" i="114" a="1"/>
  <c r="G1190" i="114" s="1"/>
  <c r="G1198" i="114" a="1"/>
  <c r="G1198" i="114" s="1"/>
  <c r="I1198" i="114" s="1"/>
  <c r="I1190" i="114" s="1"/>
  <c r="I135" i="116" s="1"/>
  <c r="F1190" i="114" a="1"/>
  <c r="F1190" i="114" s="1"/>
  <c r="F1198" i="114" a="1"/>
  <c r="F1198" i="114" s="1"/>
  <c r="F1513" i="114" a="1"/>
  <c r="F1513" i="114" s="1"/>
  <c r="F1505" i="114" a="1"/>
  <c r="F1505" i="114" s="1"/>
  <c r="G1505" i="114" a="1"/>
  <c r="G1505" i="114" s="1"/>
  <c r="G1513" i="114" a="1"/>
  <c r="G1513" i="114" s="1"/>
  <c r="I1513" i="114" s="1"/>
  <c r="I1505" i="114" s="1"/>
  <c r="I170" i="116" s="1"/>
  <c r="F325" i="114" a="1"/>
  <c r="F325" i="114" s="1"/>
  <c r="G317" i="114" a="1"/>
  <c r="G317" i="114" s="1"/>
  <c r="F317" i="114" a="1"/>
  <c r="F317" i="114" s="1"/>
  <c r="G325" i="114" a="1"/>
  <c r="G325" i="114" s="1"/>
  <c r="I325" i="114" s="1"/>
  <c r="I317" i="114" s="1"/>
  <c r="I38" i="116" s="1"/>
  <c r="G101" i="114" a="1"/>
  <c r="G101" i="114" s="1"/>
  <c r="F802" i="114" a="1"/>
  <c r="F802" i="114" s="1"/>
  <c r="F101" i="114" a="1"/>
  <c r="F101" i="114" s="1"/>
  <c r="G802" i="114" a="1"/>
  <c r="G802" i="114" s="1"/>
  <c r="I802" i="114" s="1"/>
  <c r="I794" i="114" s="1"/>
  <c r="I91" i="116" s="1"/>
  <c r="G1063" i="114" a="1"/>
  <c r="G1063" i="114" s="1"/>
  <c r="I1063" i="114" s="1"/>
  <c r="I1055" i="114" s="1"/>
  <c r="I120" i="116" s="1"/>
  <c r="G1055" i="114" a="1"/>
  <c r="G1055" i="114" s="1"/>
  <c r="F1063" i="114" a="1"/>
  <c r="F1063" i="114" s="1"/>
  <c r="F1055" i="114" a="1"/>
  <c r="F1055" i="114" s="1"/>
  <c r="G1315" i="114" a="1"/>
  <c r="G1315" i="114" s="1"/>
  <c r="I1315" i="114" s="1"/>
  <c r="I1307" i="114" s="1"/>
  <c r="I148" i="116" s="1"/>
  <c r="F1307" i="114" a="1"/>
  <c r="F1307" i="114" s="1"/>
  <c r="F1315" i="114" a="1"/>
  <c r="F1315" i="114" s="1"/>
  <c r="G1307" i="114" a="1"/>
  <c r="G1307" i="114" s="1"/>
  <c r="F1585" i="114" a="1"/>
  <c r="F1585" i="114" s="1"/>
  <c r="G1577" i="114" a="1"/>
  <c r="G1577" i="114" s="1"/>
  <c r="G1585" i="114" a="1"/>
  <c r="G1585" i="114" s="1"/>
  <c r="I1585" i="114" s="1"/>
  <c r="I1577" i="114" s="1"/>
  <c r="I178" i="116" s="1"/>
  <c r="F1577" i="114" a="1"/>
  <c r="F1577" i="114" s="1"/>
  <c r="G209" i="114" a="1"/>
  <c r="G209" i="114" s="1"/>
  <c r="F209" i="114" a="1"/>
  <c r="F209" i="114" s="1"/>
  <c r="G217" i="114" a="1"/>
  <c r="G217" i="114" s="1"/>
  <c r="I217" i="114" s="1"/>
  <c r="I209" i="114" s="1"/>
  <c r="I26" i="116" s="1"/>
  <c r="F217" i="114" a="1"/>
  <c r="F217" i="114" s="1"/>
  <c r="F110" i="114" a="1"/>
  <c r="F110" i="114" s="1"/>
  <c r="F811" i="114" a="1"/>
  <c r="F811" i="114" s="1"/>
  <c r="G811" i="114" a="1"/>
  <c r="G811" i="114" s="1"/>
  <c r="I811" i="114" s="1"/>
  <c r="I803" i="114" s="1"/>
  <c r="I92" i="116" s="1"/>
  <c r="G110" i="114" a="1"/>
  <c r="G110" i="114" s="1"/>
  <c r="F1064" i="114" a="1"/>
  <c r="F1064" i="114" s="1"/>
  <c r="G1072" i="114" a="1"/>
  <c r="G1072" i="114" s="1"/>
  <c r="I1072" i="114" s="1"/>
  <c r="I1064" i="114" s="1"/>
  <c r="I121" i="116" s="1"/>
  <c r="G1064" i="114" a="1"/>
  <c r="G1064" i="114" s="1"/>
  <c r="F1072" i="114" a="1"/>
  <c r="F1072" i="114" s="1"/>
  <c r="G1324" i="114" a="1"/>
  <c r="G1324" i="114" s="1"/>
  <c r="I1324" i="114" s="1"/>
  <c r="I1316" i="114" s="1"/>
  <c r="I149" i="116" s="1"/>
  <c r="F1324" i="114" a="1"/>
  <c r="F1324" i="114" s="1"/>
  <c r="F1316" i="114" a="1"/>
  <c r="F1316" i="114" s="1"/>
  <c r="G1316" i="114" a="1"/>
  <c r="G1316" i="114" s="1"/>
  <c r="F1640" i="114" a="1"/>
  <c r="F1640" i="114" s="1"/>
  <c r="G1648" i="114" a="1"/>
  <c r="G1648" i="114" s="1"/>
  <c r="I1648" i="114" s="1"/>
  <c r="I1640" i="114" s="1"/>
  <c r="I185" i="116" s="1"/>
  <c r="G1640" i="114" a="1"/>
  <c r="G1640" i="114" s="1"/>
  <c r="F1648" i="114" a="1"/>
  <c r="F1648" i="114" s="1"/>
  <c r="F694" i="114" a="1"/>
  <c r="F694" i="114" s="1"/>
  <c r="G686" i="114" a="1"/>
  <c r="G686" i="114" s="1"/>
  <c r="F686" i="114" a="1"/>
  <c r="F686" i="114" s="1"/>
  <c r="G694" i="114" a="1"/>
  <c r="G694" i="114" s="1"/>
  <c r="I694" i="114" s="1"/>
  <c r="I686" i="114" s="1"/>
  <c r="I79" i="116" s="1"/>
  <c r="G839" i="114" a="1"/>
  <c r="G839" i="114" s="1"/>
  <c r="F839" i="114" a="1"/>
  <c r="F839" i="114" s="1"/>
  <c r="F1217" i="114" a="1"/>
  <c r="F1217" i="114" s="1"/>
  <c r="F1225" i="114" a="1"/>
  <c r="F1225" i="114" s="1"/>
  <c r="G1217" i="114" a="1"/>
  <c r="G1217" i="114" s="1"/>
  <c r="G1225" i="114" a="1"/>
  <c r="G1225" i="114" s="1"/>
  <c r="I1225" i="114" s="1"/>
  <c r="I1217" i="114" s="1"/>
  <c r="I138" i="116" s="1"/>
  <c r="F1478" i="114" a="1"/>
  <c r="F1478" i="114" s="1"/>
  <c r="G1478" i="114" a="1"/>
  <c r="G1478" i="114" s="1"/>
  <c r="F1486" i="114" a="1"/>
  <c r="F1486" i="114" s="1"/>
  <c r="G1486" i="114" a="1"/>
  <c r="G1486" i="114" s="1"/>
  <c r="I1486" i="114" s="1"/>
  <c r="I1478" i="114" s="1"/>
  <c r="I167" i="116" s="1"/>
  <c r="F406" i="114" a="1"/>
  <c r="F406" i="114" s="1"/>
  <c r="F398" i="114" a="1"/>
  <c r="F398" i="114" s="1"/>
  <c r="G406" i="114" a="1"/>
  <c r="G406" i="114" s="1"/>
  <c r="I406" i="114" s="1"/>
  <c r="I398" i="114" s="1"/>
  <c r="I47" i="116" s="1"/>
  <c r="G398" i="114" a="1"/>
  <c r="G398" i="114" s="1"/>
  <c r="G677" i="114" a="1"/>
  <c r="G677" i="114" s="1"/>
  <c r="F685" i="114" a="1"/>
  <c r="F685" i="114" s="1"/>
  <c r="G685" i="114" a="1"/>
  <c r="G685" i="114" s="1"/>
  <c r="I685" i="114" s="1"/>
  <c r="I677" i="114" s="1"/>
  <c r="I78" i="116" s="1"/>
  <c r="F677" i="114" a="1"/>
  <c r="F677" i="114" s="1"/>
  <c r="F830" i="114" a="1"/>
  <c r="F830" i="114" s="1"/>
  <c r="G830" i="114" a="1"/>
  <c r="G830" i="114" s="1"/>
  <c r="G1208" i="114" a="1"/>
  <c r="G1208" i="114" s="1"/>
  <c r="F1208" i="114" a="1"/>
  <c r="F1208" i="114" s="1"/>
  <c r="F1216" i="114" a="1"/>
  <c r="F1216" i="114" s="1"/>
  <c r="G1216" i="114" a="1"/>
  <c r="G1216" i="114" s="1"/>
  <c r="I1216" i="114" s="1"/>
  <c r="I1208" i="114" s="1"/>
  <c r="I137" i="116" s="1"/>
  <c r="G1469" i="114" a="1"/>
  <c r="G1469" i="114" s="1"/>
  <c r="F1477" i="114" a="1"/>
  <c r="F1477" i="114" s="1"/>
  <c r="F1469" i="114" a="1"/>
  <c r="F1469" i="114" s="1"/>
  <c r="G1477" i="114" a="1"/>
  <c r="G1477" i="114" s="1"/>
  <c r="I1477" i="114" s="1"/>
  <c r="I1469" i="114" s="1"/>
  <c r="I166" i="116" s="1"/>
  <c r="F218" i="114" a="1"/>
  <c r="F218" i="114" s="1"/>
  <c r="G218" i="114" a="1"/>
  <c r="G218" i="114" s="1"/>
  <c r="F226" i="114" a="1"/>
  <c r="F226" i="114" s="1"/>
  <c r="G226" i="114" a="1"/>
  <c r="G226" i="114" s="1"/>
  <c r="I226" i="114" s="1"/>
  <c r="I218" i="114" s="1"/>
  <c r="I27" i="116" s="1"/>
  <c r="F172" i="114" a="1"/>
  <c r="F172" i="114" s="1"/>
  <c r="G1766" i="114" a="1"/>
  <c r="G1766" i="114" s="1"/>
  <c r="G172" i="114" a="1"/>
  <c r="G172" i="114" s="1"/>
  <c r="I172" i="114" s="1"/>
  <c r="I164" i="114" s="1"/>
  <c r="I21" i="116" s="1"/>
  <c r="F1766" i="114" a="1"/>
  <c r="F1766" i="114" s="1"/>
  <c r="F83" i="114" a="1"/>
  <c r="F83" i="114" s="1"/>
  <c r="F397" i="114" a="1"/>
  <c r="F397" i="114" s="1"/>
  <c r="G83" i="114" a="1"/>
  <c r="G83" i="114" s="1"/>
  <c r="G397" i="114" a="1"/>
  <c r="G397" i="114" s="1"/>
  <c r="I397" i="114" s="1"/>
  <c r="I389" i="114" s="1"/>
  <c r="I46" i="116" s="1"/>
  <c r="F740" i="114" a="1"/>
  <c r="F740" i="114" s="1"/>
  <c r="G748" i="114" a="1"/>
  <c r="G748" i="114" s="1"/>
  <c r="I748" i="114" s="1"/>
  <c r="I740" i="114" s="1"/>
  <c r="I85" i="116" s="1"/>
  <c r="G740" i="114" a="1"/>
  <c r="G740" i="114" s="1"/>
  <c r="F748" i="114" a="1"/>
  <c r="F748" i="114" s="1"/>
  <c r="F1001" i="114" a="1"/>
  <c r="F1001" i="114" s="1"/>
  <c r="F1009" i="114" a="1"/>
  <c r="F1009" i="114" s="1"/>
  <c r="G1001" i="114" a="1"/>
  <c r="G1001" i="114" s="1"/>
  <c r="G1009" i="114" a="1"/>
  <c r="G1009" i="114" s="1"/>
  <c r="I1009" i="114" s="1"/>
  <c r="I1001" i="114" s="1"/>
  <c r="I114" i="116" s="1"/>
  <c r="F1253" i="114" a="1"/>
  <c r="F1253" i="114" s="1"/>
  <c r="F1261" i="114" a="1"/>
  <c r="F1261" i="114" s="1"/>
  <c r="G1261" i="114" a="1"/>
  <c r="G1261" i="114" s="1"/>
  <c r="I1261" i="114" s="1"/>
  <c r="I1253" i="114" s="1"/>
  <c r="I142" i="116" s="1"/>
  <c r="G1253" i="114" a="1"/>
  <c r="G1253" i="114" s="1"/>
  <c r="G1540" i="114" a="1"/>
  <c r="G1540" i="114" s="1"/>
  <c r="I1540" i="114" s="1"/>
  <c r="I1532" i="114" s="1"/>
  <c r="I173" i="116" s="1"/>
  <c r="F1540" i="114" a="1"/>
  <c r="F1540" i="114" s="1"/>
  <c r="G1532" i="114" a="1"/>
  <c r="G1532" i="114" s="1"/>
  <c r="F1532" i="114" a="1"/>
  <c r="F1532" i="114" s="1"/>
  <c r="F605" i="114" a="1"/>
  <c r="F605" i="114" s="1"/>
  <c r="F631" i="114" a="1"/>
  <c r="F631" i="114" s="1"/>
  <c r="G605" i="114" a="1"/>
  <c r="G605" i="114" s="1"/>
  <c r="G631" i="114" a="1"/>
  <c r="G631" i="114" s="1"/>
  <c r="I631" i="114" s="1"/>
  <c r="I623" i="114" s="1"/>
  <c r="I72" i="116" s="1"/>
  <c r="F911" i="114" a="1"/>
  <c r="F911" i="114" s="1"/>
  <c r="F919" i="114" a="1"/>
  <c r="F919" i="114" s="1"/>
  <c r="G911" i="114" a="1"/>
  <c r="G911" i="114" s="1"/>
  <c r="G919" i="114" a="1"/>
  <c r="G919" i="114" s="1"/>
  <c r="I919" i="114" s="1"/>
  <c r="I911" i="114" s="1"/>
  <c r="I104" i="116" s="1"/>
  <c r="F1172" i="114" a="1"/>
  <c r="F1172" i="114" s="1"/>
  <c r="G1180" i="114" a="1"/>
  <c r="G1180" i="114" s="1"/>
  <c r="I1180" i="114" s="1"/>
  <c r="I1172" i="114" s="1"/>
  <c r="I133" i="116" s="1"/>
  <c r="G1172" i="114" a="1"/>
  <c r="G1172" i="114" s="1"/>
  <c r="F1180" i="114" a="1"/>
  <c r="F1180" i="114" s="1"/>
  <c r="G1415" i="114" a="1"/>
  <c r="G1415" i="114" s="1"/>
  <c r="F1423" i="114" a="1"/>
  <c r="F1423" i="114" s="1"/>
  <c r="F1415" i="114" a="1"/>
  <c r="F1415" i="114" s="1"/>
  <c r="G1423" i="114" a="1"/>
  <c r="G1423" i="114" s="1"/>
  <c r="I1423" i="114" s="1"/>
  <c r="I1415" i="114" s="1"/>
  <c r="I160" i="116" s="1"/>
  <c r="G1676" i="114" a="1"/>
  <c r="G1676" i="114" s="1"/>
  <c r="F1676" i="114" a="1"/>
  <c r="F1676" i="114" s="1"/>
  <c r="G1684" i="114" a="1"/>
  <c r="G1684" i="114" s="1"/>
  <c r="I1684" i="114" s="1"/>
  <c r="I1676" i="114" s="1"/>
  <c r="I189" i="116" s="1"/>
  <c r="F1684" i="114" a="1"/>
  <c r="F1684" i="114" s="1"/>
  <c r="G712" i="114" a="1"/>
  <c r="G712" i="114" s="1"/>
  <c r="I712" i="114" s="1"/>
  <c r="I704" i="114" s="1"/>
  <c r="I81" i="116" s="1"/>
  <c r="F712" i="114" a="1"/>
  <c r="F712" i="114" s="1"/>
  <c r="F704" i="114" a="1"/>
  <c r="F704" i="114" s="1"/>
  <c r="G704" i="114" a="1"/>
  <c r="G704" i="114" s="1"/>
  <c r="F1037" i="114" a="1"/>
  <c r="F1037" i="114" s="1"/>
  <c r="G1045" i="114" a="1"/>
  <c r="G1045" i="114" s="1"/>
  <c r="I1045" i="114" s="1"/>
  <c r="I1037" i="114" s="1"/>
  <c r="I118" i="116" s="1"/>
  <c r="F1045" i="114" a="1"/>
  <c r="F1045" i="114" s="1"/>
  <c r="G1037" i="114" a="1"/>
  <c r="G1037" i="114" s="1"/>
  <c r="G1289" i="114" a="1"/>
  <c r="G1289" i="114" s="1"/>
  <c r="F1297" i="114" a="1"/>
  <c r="F1297" i="114" s="1"/>
  <c r="G1297" i="114" a="1"/>
  <c r="G1297" i="114" s="1"/>
  <c r="I1297" i="114" s="1"/>
  <c r="I1289" i="114" s="1"/>
  <c r="I146" i="116" s="1"/>
  <c r="F1289" i="114" a="1"/>
  <c r="F1289" i="114" s="1"/>
  <c r="G1685" i="114" a="1"/>
  <c r="G1685" i="114" s="1"/>
  <c r="F1693" i="114" a="1"/>
  <c r="F1693" i="114" s="1"/>
  <c r="F1685" i="114" a="1"/>
  <c r="F1685" i="114" s="1"/>
  <c r="G1693" i="114" a="1"/>
  <c r="G1693" i="114" s="1"/>
  <c r="I1693" i="114" s="1"/>
  <c r="I1685" i="114" s="1"/>
  <c r="I190" i="116" s="1"/>
  <c r="F721" i="114" a="1"/>
  <c r="F721" i="114" s="1"/>
  <c r="F659" i="114" a="1"/>
  <c r="F659" i="114" s="1"/>
  <c r="G721" i="114" a="1"/>
  <c r="G721" i="114" s="1"/>
  <c r="I721" i="114" s="1"/>
  <c r="I713" i="114" s="1"/>
  <c r="I82" i="116" s="1"/>
  <c r="G659" i="114" a="1"/>
  <c r="G659" i="114" s="1"/>
  <c r="G982" i="114" a="1"/>
  <c r="G982" i="114" s="1"/>
  <c r="I982" i="114" s="1"/>
  <c r="I974" i="114" s="1"/>
  <c r="I111" i="116" s="1"/>
  <c r="F974" i="114" a="1"/>
  <c r="F974" i="114" s="1"/>
  <c r="G974" i="114" a="1"/>
  <c r="G974" i="114" s="1"/>
  <c r="F982" i="114" a="1"/>
  <c r="F982" i="114" s="1"/>
  <c r="G1243" i="114" a="1"/>
  <c r="G1243" i="114" s="1"/>
  <c r="I1243" i="114" s="1"/>
  <c r="I1235" i="114" s="1"/>
  <c r="I140" i="116" s="1"/>
  <c r="G1235" i="114" a="1"/>
  <c r="G1235" i="114" s="1"/>
  <c r="F1235" i="114" a="1"/>
  <c r="F1235" i="114" s="1"/>
  <c r="F1243" i="114" a="1"/>
  <c r="F1243" i="114" s="1"/>
  <c r="G1568" i="114" a="1"/>
  <c r="G1568" i="114" s="1"/>
  <c r="G1576" i="114" a="1"/>
  <c r="G1576" i="114" s="1"/>
  <c r="I1576" i="114" s="1"/>
  <c r="I1568" i="114" s="1"/>
  <c r="I177" i="116" s="1"/>
  <c r="F1576" i="114" a="1"/>
  <c r="F1576" i="114" s="1"/>
  <c r="F1568" i="114" a="1"/>
  <c r="F1568" i="114" s="1"/>
  <c r="F578" i="114" a="1"/>
  <c r="F578" i="114" s="1"/>
  <c r="G578" i="114" a="1"/>
  <c r="G578" i="114" s="1"/>
  <c r="F586" i="114" a="1"/>
  <c r="F586" i="114" s="1"/>
  <c r="G586" i="114" a="1"/>
  <c r="G586" i="114" s="1"/>
  <c r="I586" i="114" s="1"/>
  <c r="I578" i="114" s="1"/>
  <c r="I67" i="116" s="1"/>
  <c r="G874" i="114" a="1"/>
  <c r="G874" i="114" s="1"/>
  <c r="I874" i="114" s="1"/>
  <c r="I866" i="114" s="1"/>
  <c r="I99" i="116" s="1"/>
  <c r="F776" i="114" a="1"/>
  <c r="F776" i="114" s="1"/>
  <c r="G776" i="114" a="1"/>
  <c r="G776" i="114" s="1"/>
  <c r="F874" i="114" a="1"/>
  <c r="F874" i="114" s="1"/>
  <c r="G1135" i="114" a="1"/>
  <c r="G1135" i="114" s="1"/>
  <c r="I1135" i="114" s="1"/>
  <c r="I1127" i="114" s="1"/>
  <c r="I128" i="116" s="1"/>
  <c r="F1127" i="114" a="1"/>
  <c r="F1127" i="114" s="1"/>
  <c r="G1127" i="114" a="1"/>
  <c r="G1127" i="114" s="1"/>
  <c r="F1135" i="114" a="1"/>
  <c r="F1135" i="114" s="1"/>
  <c r="G1378" i="114" a="1"/>
  <c r="G1378" i="114" s="1"/>
  <c r="I1378" i="114" s="1"/>
  <c r="I1370" i="114" s="1"/>
  <c r="I155" i="116" s="1"/>
  <c r="F1370" i="114" a="1"/>
  <c r="F1370" i="114" s="1"/>
  <c r="G1370" i="114" a="1"/>
  <c r="G1370" i="114" s="1"/>
  <c r="F1378" i="114" a="1"/>
  <c r="F1378" i="114" s="1"/>
  <c r="F1639" i="114" a="1"/>
  <c r="F1639" i="114" s="1"/>
  <c r="G1631" i="114" a="1"/>
  <c r="G1631" i="114" s="1"/>
  <c r="F1631" i="114" a="1"/>
  <c r="F1631" i="114" s="1"/>
  <c r="G1639" i="114" a="1"/>
  <c r="G1639" i="114" s="1"/>
  <c r="I1639" i="114" s="1"/>
  <c r="I1631" i="114" s="1"/>
  <c r="I184" i="116" s="1"/>
  <c r="F595" i="114" a="1"/>
  <c r="F595" i="114" s="1"/>
  <c r="F389" i="114" a="1"/>
  <c r="F389" i="114" s="1"/>
  <c r="G595" i="114" a="1"/>
  <c r="G595" i="114" s="1"/>
  <c r="I595" i="114" s="1"/>
  <c r="I587" i="114" s="1"/>
  <c r="I68" i="116" s="1"/>
  <c r="G389" i="114" a="1"/>
  <c r="G389" i="114" s="1"/>
  <c r="F785" i="114" a="1"/>
  <c r="F785" i="114" s="1"/>
  <c r="G883" i="114" a="1"/>
  <c r="G883" i="114" s="1"/>
  <c r="I883" i="114" s="1"/>
  <c r="I875" i="114" s="1"/>
  <c r="I100" i="116" s="1"/>
  <c r="G785" i="114" a="1"/>
  <c r="G785" i="114" s="1"/>
  <c r="F883" i="114" a="1"/>
  <c r="F883" i="114" s="1"/>
  <c r="F1144" i="114" a="1"/>
  <c r="F1144" i="114" s="1"/>
  <c r="F1136" i="114" a="1"/>
  <c r="F1136" i="114" s="1"/>
  <c r="G1144" i="114" a="1"/>
  <c r="G1144" i="114" s="1"/>
  <c r="I1144" i="114" s="1"/>
  <c r="I1136" i="114" s="1"/>
  <c r="I129" i="116" s="1"/>
  <c r="G1136" i="114" a="1"/>
  <c r="G1136" i="114" s="1"/>
  <c r="F1387" i="114" a="1"/>
  <c r="F1387" i="114" s="1"/>
  <c r="F1379" i="114" a="1"/>
  <c r="F1379" i="114" s="1"/>
  <c r="G1387" i="114" a="1"/>
  <c r="G1387" i="114" s="1"/>
  <c r="I1387" i="114" s="1"/>
  <c r="I1379" i="114" s="1"/>
  <c r="I156" i="116" s="1"/>
  <c r="G1379" i="114" a="1"/>
  <c r="G1379" i="114" s="1"/>
  <c r="F1711" i="114" a="1"/>
  <c r="F1711" i="114" s="1"/>
  <c r="G920" i="114" a="1"/>
  <c r="G920" i="114" s="1"/>
  <c r="F920" i="114" a="1"/>
  <c r="F920" i="114" s="1"/>
  <c r="G1711" i="114" a="1"/>
  <c r="G1711" i="114" s="1"/>
  <c r="I1711" i="114" s="1"/>
  <c r="I1703" i="114" s="1"/>
  <c r="I192" i="116" s="1"/>
  <c r="G766" i="114" a="1"/>
  <c r="G766" i="114" s="1"/>
  <c r="I766" i="114" s="1"/>
  <c r="I758" i="114" s="1"/>
  <c r="I87" i="116" s="1"/>
  <c r="F758" i="114" a="1"/>
  <c r="F758" i="114" s="1"/>
  <c r="G758" i="114" a="1"/>
  <c r="G758" i="114" s="1"/>
  <c r="F766" i="114" a="1"/>
  <c r="F766" i="114" s="1"/>
  <c r="F1027" i="114" a="1"/>
  <c r="F1027" i="114" s="1"/>
  <c r="G1027" i="114" a="1"/>
  <c r="G1027" i="114" s="1"/>
  <c r="I1027" i="114" s="1"/>
  <c r="I1019" i="114" s="1"/>
  <c r="I116" i="116" s="1"/>
  <c r="G1019" i="114" a="1"/>
  <c r="G1019" i="114" s="1"/>
  <c r="F1019" i="114" a="1"/>
  <c r="F1019" i="114" s="1"/>
  <c r="G1279" i="114" a="1"/>
  <c r="G1279" i="114" s="1"/>
  <c r="I1279" i="114" s="1"/>
  <c r="I1271" i="114" s="1"/>
  <c r="I144" i="116" s="1"/>
  <c r="G1271" i="114" a="1"/>
  <c r="G1271" i="114" s="1"/>
  <c r="F1279" i="114" a="1"/>
  <c r="F1279" i="114" s="1"/>
  <c r="F1271" i="114" a="1"/>
  <c r="F1271" i="114" s="1"/>
  <c r="G1604" i="114" a="1"/>
  <c r="G1604" i="114" s="1"/>
  <c r="F1612" i="114" a="1"/>
  <c r="F1612" i="114" s="1"/>
  <c r="F1604" i="114" a="1"/>
  <c r="F1604" i="114" s="1"/>
  <c r="G1612" i="114" a="1"/>
  <c r="G1612" i="114" s="1"/>
  <c r="I1612" i="114" s="1"/>
  <c r="I1604" i="114" s="1"/>
  <c r="I181" i="116" s="1"/>
  <c r="F470" i="114" a="1"/>
  <c r="F470" i="114" s="1"/>
  <c r="G478" i="114" a="1"/>
  <c r="G478" i="114" s="1"/>
  <c r="I478" i="114" s="1"/>
  <c r="I470" i="114" s="1"/>
  <c r="I55" i="116" s="1"/>
  <c r="F478" i="114" a="1"/>
  <c r="F478" i="114" s="1"/>
  <c r="G470" i="114" a="1"/>
  <c r="G470" i="114" s="1"/>
  <c r="F757" i="114" a="1"/>
  <c r="F757" i="114" s="1"/>
  <c r="G757" i="114" a="1"/>
  <c r="G757" i="114" s="1"/>
  <c r="I757" i="114" s="1"/>
  <c r="I749" i="114" s="1"/>
  <c r="I86" i="116" s="1"/>
  <c r="G749" i="114" a="1"/>
  <c r="G749" i="114" s="1"/>
  <c r="F749" i="114" a="1"/>
  <c r="F749" i="114" s="1"/>
  <c r="F1018" i="114" a="1"/>
  <c r="F1018" i="114" s="1"/>
  <c r="F1010" i="114" a="1"/>
  <c r="F1010" i="114" s="1"/>
  <c r="G1018" i="114" a="1"/>
  <c r="G1018" i="114" s="1"/>
  <c r="I1018" i="114" s="1"/>
  <c r="I1010" i="114" s="1"/>
  <c r="I115" i="116" s="1"/>
  <c r="G1010" i="114" a="1"/>
  <c r="G1010" i="114" s="1"/>
  <c r="G1262" i="114" a="1"/>
  <c r="G1262" i="114" s="1"/>
  <c r="G1270" i="114" a="1"/>
  <c r="G1270" i="114" s="1"/>
  <c r="I1270" i="114" s="1"/>
  <c r="I1262" i="114" s="1"/>
  <c r="I143" i="116" s="1"/>
  <c r="F1270" i="114" a="1"/>
  <c r="F1270" i="114" s="1"/>
  <c r="F1262" i="114" a="1"/>
  <c r="F1262" i="114" s="1"/>
  <c r="G1541" i="114" a="1"/>
  <c r="G1541" i="114" s="1"/>
  <c r="F1541" i="114" a="1"/>
  <c r="F1541" i="114" s="1"/>
  <c r="F1549" i="114" a="1"/>
  <c r="F1549" i="114" s="1"/>
  <c r="G1549" i="114" a="1"/>
  <c r="G1549" i="114" s="1"/>
  <c r="I1549" i="114" s="1"/>
  <c r="I1541" i="114" s="1"/>
  <c r="I174" i="116" s="1"/>
  <c r="G289" i="114" a="1"/>
  <c r="G289" i="114" s="1"/>
  <c r="I289" i="114" s="1"/>
  <c r="I281" i="114" s="1"/>
  <c r="I34" i="116" s="1"/>
  <c r="F289" i="114" a="1"/>
  <c r="F289" i="114" s="1"/>
  <c r="F281" i="114" a="1"/>
  <c r="F281" i="114" s="1"/>
  <c r="G281" i="114" a="1"/>
  <c r="G281" i="114" s="1"/>
  <c r="G227" i="114" a="1"/>
  <c r="G227" i="114" s="1"/>
  <c r="G235" i="114" a="1"/>
  <c r="G235" i="114" s="1"/>
  <c r="I235" i="114" s="1"/>
  <c r="I227" i="114" s="1"/>
  <c r="I28" i="116" s="1"/>
  <c r="F235" i="114" a="1"/>
  <c r="F235" i="114" s="1"/>
  <c r="F227" i="114" a="1"/>
  <c r="F227" i="114" s="1"/>
  <c r="F469" i="114" a="1"/>
  <c r="F469" i="114" s="1"/>
  <c r="G461" i="114" a="1"/>
  <c r="G461" i="114" s="1"/>
  <c r="G469" i="114" a="1"/>
  <c r="G469" i="114" s="1"/>
  <c r="I469" i="114" s="1"/>
  <c r="I461" i="114" s="1"/>
  <c r="I54" i="116" s="1"/>
  <c r="F461" i="114" a="1"/>
  <c r="F461" i="114" s="1"/>
  <c r="F820" i="114" a="1"/>
  <c r="F820" i="114" s="1"/>
  <c r="G119" i="114" a="1"/>
  <c r="G119" i="114" s="1"/>
  <c r="F119" i="114" a="1"/>
  <c r="F119" i="114" s="1"/>
  <c r="G820" i="114" a="1"/>
  <c r="G820" i="114" s="1"/>
  <c r="I820" i="114" s="1"/>
  <c r="I812" i="114" s="1"/>
  <c r="I93" i="116" s="1"/>
  <c r="F1073" i="114" a="1"/>
  <c r="F1073" i="114" s="1"/>
  <c r="F1081" i="114" a="1"/>
  <c r="F1081" i="114" s="1"/>
  <c r="G1073" i="114" a="1"/>
  <c r="G1073" i="114" s="1"/>
  <c r="G1081" i="114" a="1"/>
  <c r="G1081" i="114" s="1"/>
  <c r="I1081" i="114" s="1"/>
  <c r="I1073" i="114" s="1"/>
  <c r="I122" i="116" s="1"/>
  <c r="F1325" i="114" a="1"/>
  <c r="F1325" i="114" s="1"/>
  <c r="G1333" i="114" a="1"/>
  <c r="G1333" i="114" s="1"/>
  <c r="I1333" i="114" s="1"/>
  <c r="I1325" i="114" s="1"/>
  <c r="I150" i="116" s="1"/>
  <c r="G1325" i="114" a="1"/>
  <c r="G1325" i="114" s="1"/>
  <c r="F1333" i="114" a="1"/>
  <c r="F1333" i="114" s="1"/>
  <c r="F1603" i="114" a="1"/>
  <c r="F1603" i="114" s="1"/>
  <c r="G1603" i="114" a="1"/>
  <c r="G1603" i="114" s="1"/>
  <c r="I1603" i="114" s="1"/>
  <c r="I1595" i="114" s="1"/>
  <c r="I180" i="116" s="1"/>
  <c r="G1595" i="114" a="1"/>
  <c r="G1595" i="114" s="1"/>
  <c r="F1595" i="114" a="1"/>
  <c r="F1595" i="114" s="1"/>
  <c r="G190" i="114" a="1"/>
  <c r="G190" i="114" s="1"/>
  <c r="I190" i="114" s="1"/>
  <c r="I182" i="114" s="1"/>
  <c r="I23" i="116" s="1"/>
  <c r="F190" i="114" a="1"/>
  <c r="F190" i="114" s="1"/>
  <c r="G1784" i="114" a="1"/>
  <c r="G1784" i="114" s="1"/>
  <c r="F1784" i="114" a="1"/>
  <c r="F1784" i="114" s="1"/>
  <c r="G703" i="114" a="1"/>
  <c r="G703" i="114" s="1"/>
  <c r="I703" i="114" s="1"/>
  <c r="I695" i="114" s="1"/>
  <c r="I80" i="116" s="1"/>
  <c r="F695" i="114" a="1"/>
  <c r="F695" i="114" s="1"/>
  <c r="F703" i="114" a="1"/>
  <c r="F703" i="114" s="1"/>
  <c r="G695" i="114" a="1"/>
  <c r="G695" i="114" s="1"/>
  <c r="F956" i="114" a="1"/>
  <c r="F956" i="114" s="1"/>
  <c r="G964" i="114" a="1"/>
  <c r="G964" i="114" s="1"/>
  <c r="I964" i="114" s="1"/>
  <c r="I956" i="114" s="1"/>
  <c r="I109" i="116" s="1"/>
  <c r="F964" i="114" a="1"/>
  <c r="F964" i="114" s="1"/>
  <c r="G956" i="114" a="1"/>
  <c r="G956" i="114" s="1"/>
  <c r="F866" i="114" a="1"/>
  <c r="F866" i="114" s="1"/>
  <c r="G866" i="114" a="1"/>
  <c r="G866" i="114" s="1"/>
  <c r="F1495" i="114" a="1"/>
  <c r="F1495" i="114" s="1"/>
  <c r="F1487" i="114" a="1"/>
  <c r="F1487" i="114" s="1"/>
  <c r="G1495" i="114" a="1"/>
  <c r="G1495" i="114" s="1"/>
  <c r="I1495" i="114" s="1"/>
  <c r="I1487" i="114" s="1"/>
  <c r="I168" i="116" s="1"/>
  <c r="G1487" i="114" a="1"/>
  <c r="G1487" i="114" s="1"/>
  <c r="F497" i="114" a="1"/>
  <c r="F497" i="114" s="1"/>
  <c r="F505" i="114" a="1"/>
  <c r="F505" i="114" s="1"/>
  <c r="G505" i="114" a="1"/>
  <c r="G505" i="114" s="1"/>
  <c r="I505" i="114" s="1"/>
  <c r="I497" i="114" s="1"/>
  <c r="I58" i="116" s="1"/>
  <c r="G497" i="114" a="1"/>
  <c r="G497" i="114" s="1"/>
  <c r="G784" i="114" a="1"/>
  <c r="G784" i="114" s="1"/>
  <c r="I784" i="114" s="1"/>
  <c r="I776" i="114" s="1"/>
  <c r="I89" i="116" s="1"/>
  <c r="F668" i="114" a="1"/>
  <c r="F668" i="114" s="1"/>
  <c r="F784" i="114" a="1"/>
  <c r="F784" i="114" s="1"/>
  <c r="G668" i="114" a="1"/>
  <c r="G668" i="114" s="1"/>
  <c r="F1117" i="114" a="1"/>
  <c r="F1117" i="114" s="1"/>
  <c r="G1117" i="114" a="1"/>
  <c r="G1117" i="114" s="1"/>
  <c r="I1117" i="114" s="1"/>
  <c r="I1109" i="114" s="1"/>
  <c r="I126" i="116" s="1"/>
  <c r="F1109" i="114" a="1"/>
  <c r="F1109" i="114" s="1"/>
  <c r="G1109" i="114" a="1"/>
  <c r="G1109" i="114" s="1"/>
  <c r="G1432" i="114" a="1"/>
  <c r="G1432" i="114" s="1"/>
  <c r="I1432" i="114" s="1"/>
  <c r="I1424" i="114" s="1"/>
  <c r="I161" i="116" s="1"/>
  <c r="G1424" i="114" a="1"/>
  <c r="G1424" i="114" s="1"/>
  <c r="F1432" i="114" a="1"/>
  <c r="F1432" i="114" s="1"/>
  <c r="F1424" i="114" a="1"/>
  <c r="F1424" i="114" s="1"/>
  <c r="G442" i="114" a="1"/>
  <c r="G442" i="114" s="1"/>
  <c r="I442" i="114" s="1"/>
  <c r="I434" i="114" s="1"/>
  <c r="I51" i="116" s="1"/>
  <c r="G434" i="114" a="1"/>
  <c r="G434" i="114" s="1"/>
  <c r="F442" i="114" a="1"/>
  <c r="F442" i="114" s="1"/>
  <c r="F434" i="114" a="1"/>
  <c r="F434" i="114" s="1"/>
  <c r="F793" i="114" a="1"/>
  <c r="F793" i="114" s="1"/>
  <c r="F92" i="114" a="1"/>
  <c r="F92" i="114" s="1"/>
  <c r="G793" i="114" a="1"/>
  <c r="G793" i="114" s="1"/>
  <c r="I793" i="114" s="1"/>
  <c r="I785" i="114" s="1"/>
  <c r="I90" i="116" s="1"/>
  <c r="G92" i="114" a="1"/>
  <c r="G92" i="114" s="1"/>
  <c r="G1054" i="114" a="1"/>
  <c r="G1054" i="114" s="1"/>
  <c r="I1054" i="114" s="1"/>
  <c r="I1046" i="114" s="1"/>
  <c r="I119" i="116" s="1"/>
  <c r="F1046" i="114" a="1"/>
  <c r="F1046" i="114" s="1"/>
  <c r="G1046" i="114" a="1"/>
  <c r="G1046" i="114" s="1"/>
  <c r="F1054" i="114" a="1"/>
  <c r="F1054" i="114" s="1"/>
  <c r="G1306" i="114" a="1"/>
  <c r="G1306" i="114" s="1"/>
  <c r="I1306" i="114" s="1"/>
  <c r="I1298" i="114" s="1"/>
  <c r="I147" i="116" s="1"/>
  <c r="G1298" i="114" a="1"/>
  <c r="G1298" i="114" s="1"/>
  <c r="F1306" i="114" a="1"/>
  <c r="F1306" i="114" s="1"/>
  <c r="F1298" i="114" a="1"/>
  <c r="F1298" i="114" s="1"/>
  <c r="G1702" i="114" a="1"/>
  <c r="G1702" i="114" s="1"/>
  <c r="I1702" i="114" s="1"/>
  <c r="I1694" i="114" s="1"/>
  <c r="I191" i="116" s="1"/>
  <c r="F1702" i="114" a="1"/>
  <c r="F1702" i="114" s="1"/>
  <c r="G1694" i="114" a="1"/>
  <c r="G1694" i="114" s="1"/>
  <c r="F1694" i="114" a="1"/>
  <c r="F1694" i="114" s="1"/>
  <c r="F623" i="114" a="1"/>
  <c r="F623" i="114" s="1"/>
  <c r="G623" i="114" a="1"/>
  <c r="G623" i="114" s="1"/>
  <c r="G658" i="114" a="1"/>
  <c r="G658" i="114" s="1"/>
  <c r="I658" i="114" s="1"/>
  <c r="I650" i="114" s="1"/>
  <c r="I75" i="116" s="1"/>
  <c r="F658" i="114" a="1"/>
  <c r="F658" i="114" s="1"/>
  <c r="G946" i="114" a="1"/>
  <c r="G946" i="114" s="1"/>
  <c r="I946" i="114" s="1"/>
  <c r="I938" i="114" s="1"/>
  <c r="I107" i="116" s="1"/>
  <c r="F946" i="114" a="1"/>
  <c r="F946" i="114" s="1"/>
  <c r="G812" i="114" a="1"/>
  <c r="G812" i="114" s="1"/>
  <c r="F812" i="114" a="1"/>
  <c r="F812" i="114" s="1"/>
  <c r="G848" i="114" a="1"/>
  <c r="G848" i="114" s="1"/>
  <c r="F848" i="114" a="1"/>
  <c r="F848" i="114" s="1"/>
  <c r="G1442" i="114" a="1"/>
  <c r="G1442" i="114" s="1"/>
  <c r="F1450" i="114" a="1"/>
  <c r="F1450" i="114" s="1"/>
  <c r="F1442" i="114" a="1"/>
  <c r="F1442" i="114" s="1"/>
  <c r="G1450" i="114" a="1"/>
  <c r="G1450" i="114" s="1"/>
  <c r="I1450" i="114" s="1"/>
  <c r="I1442" i="114" s="1"/>
  <c r="I163" i="116" s="1"/>
  <c r="G884" i="114" a="1"/>
  <c r="G884" i="114" s="1"/>
  <c r="F884" i="114" a="1"/>
  <c r="F884" i="114" s="1"/>
  <c r="F667" i="114" a="1"/>
  <c r="F667" i="114" s="1"/>
  <c r="G641" i="114" a="1"/>
  <c r="G641" i="114" s="1"/>
  <c r="F641" i="114" a="1"/>
  <c r="F641" i="114" s="1"/>
  <c r="G667" i="114" a="1"/>
  <c r="G667" i="114" s="1"/>
  <c r="I667" i="114" s="1"/>
  <c r="I659" i="114" s="1"/>
  <c r="I76" i="116" s="1"/>
  <c r="G955" i="114" a="1"/>
  <c r="G955" i="114" s="1"/>
  <c r="I955" i="114" s="1"/>
  <c r="I947" i="114" s="1"/>
  <c r="I108" i="116" s="1"/>
  <c r="F955" i="114" a="1"/>
  <c r="F955" i="114" s="1"/>
  <c r="F191" i="114" a="1"/>
  <c r="F191" i="114" s="1"/>
  <c r="G191" i="114" a="1"/>
  <c r="G191" i="114" s="1"/>
  <c r="F857" i="114" a="1"/>
  <c r="F857" i="114" s="1"/>
  <c r="G857" i="114" a="1"/>
  <c r="G857" i="114" s="1"/>
  <c r="G1459" i="114" a="1"/>
  <c r="G1459" i="114" s="1"/>
  <c r="I1459" i="114" s="1"/>
  <c r="I1451" i="114" s="1"/>
  <c r="I164" i="116" s="1"/>
  <c r="F1451" i="114" a="1"/>
  <c r="F1451" i="114" s="1"/>
  <c r="F1459" i="114" a="1"/>
  <c r="F1459" i="114" s="1"/>
  <c r="G1451" i="114" a="1"/>
  <c r="G1451" i="114" s="1"/>
  <c r="G290" i="114" a="1"/>
  <c r="G290" i="114" s="1"/>
  <c r="F298" i="114" a="1"/>
  <c r="F298" i="114" s="1"/>
  <c r="F290" i="114" a="1"/>
  <c r="F290" i="114" s="1"/>
  <c r="G298" i="114" a="1"/>
  <c r="G298" i="114" s="1"/>
  <c r="I298" i="114" s="1"/>
  <c r="I290" i="114" s="1"/>
  <c r="I35" i="116" s="1"/>
  <c r="F838" i="114" a="1"/>
  <c r="F838" i="114" s="1"/>
  <c r="G838" i="114" a="1"/>
  <c r="G838" i="114" s="1"/>
  <c r="I838" i="114" s="1"/>
  <c r="I830" i="114" s="1"/>
  <c r="I95" i="116" s="1"/>
  <c r="F155" i="114" a="1"/>
  <c r="F155" i="114" s="1"/>
  <c r="G155" i="114" a="1"/>
  <c r="G155" i="114" s="1"/>
  <c r="G1091" i="114" a="1"/>
  <c r="G1091" i="114" s="1"/>
  <c r="F1099" i="114" a="1"/>
  <c r="F1099" i="114" s="1"/>
  <c r="F1091" i="114" a="1"/>
  <c r="F1091" i="114" s="1"/>
  <c r="G1099" i="114" a="1"/>
  <c r="G1099" i="114" s="1"/>
  <c r="I1099" i="114" s="1"/>
  <c r="I1091" i="114" s="1"/>
  <c r="I124" i="116" s="1"/>
  <c r="F1343" i="114" a="1"/>
  <c r="F1343" i="114" s="1"/>
  <c r="F1351" i="114" a="1"/>
  <c r="F1351" i="114" s="1"/>
  <c r="G1343" i="114" a="1"/>
  <c r="G1343" i="114" s="1"/>
  <c r="G1351" i="114" a="1"/>
  <c r="G1351" i="114" s="1"/>
  <c r="I1351" i="114" s="1"/>
  <c r="I1343" i="114" s="1"/>
  <c r="I152" i="116" s="1"/>
  <c r="F1675" i="114" a="1"/>
  <c r="F1675" i="114" s="1"/>
  <c r="F1667" i="114" a="1"/>
  <c r="F1667" i="114" s="1"/>
  <c r="G1667" i="114" a="1"/>
  <c r="G1667" i="114" s="1"/>
  <c r="G1675" i="114" a="1"/>
  <c r="G1675" i="114" s="1"/>
  <c r="I1675" i="114" s="1"/>
  <c r="I1667" i="114" s="1"/>
  <c r="I188" i="116" s="1"/>
  <c r="G533" i="114" a="1"/>
  <c r="G533" i="114" s="1"/>
  <c r="F541" i="114" a="1"/>
  <c r="F541" i="114" s="1"/>
  <c r="F533" i="114" a="1"/>
  <c r="F533" i="114" s="1"/>
  <c r="G541" i="114" a="1"/>
  <c r="G541" i="114" s="1"/>
  <c r="I541" i="114" s="1"/>
  <c r="I533" i="114" s="1"/>
  <c r="I62" i="116" s="1"/>
  <c r="F829" i="114" a="1"/>
  <c r="F829" i="114" s="1"/>
  <c r="F146" i="114" a="1"/>
  <c r="F146" i="114" s="1"/>
  <c r="G829" i="114" a="1"/>
  <c r="G829" i="114" s="1"/>
  <c r="I829" i="114" s="1"/>
  <c r="I821" i="114" s="1"/>
  <c r="I94" i="116" s="1"/>
  <c r="G146" i="114" a="1"/>
  <c r="G146" i="114" s="1"/>
  <c r="F1082" i="114" a="1"/>
  <c r="F1082" i="114" s="1"/>
  <c r="G1082" i="114" a="1"/>
  <c r="G1082" i="114" s="1"/>
  <c r="G1090" i="114" a="1"/>
  <c r="G1090" i="114" s="1"/>
  <c r="I1090" i="114" s="1"/>
  <c r="I1082" i="114" s="1"/>
  <c r="I123" i="116" s="1"/>
  <c r="F1090" i="114" a="1"/>
  <c r="F1090" i="114" s="1"/>
  <c r="F1334" i="114" a="1"/>
  <c r="F1334" i="114" s="1"/>
  <c r="F1342" i="114" a="1"/>
  <c r="F1342" i="114" s="1"/>
  <c r="G1334" i="114" a="1"/>
  <c r="G1334" i="114" s="1"/>
  <c r="G1342" i="114" a="1"/>
  <c r="G1342" i="114" s="1"/>
  <c r="I1342" i="114" s="1"/>
  <c r="I1334" i="114" s="1"/>
  <c r="I151" i="116" s="1"/>
  <c r="G352" i="114" a="1"/>
  <c r="G352" i="114" s="1"/>
  <c r="I352" i="114" s="1"/>
  <c r="I344" i="114" s="1"/>
  <c r="I41" i="116" s="1"/>
  <c r="F352" i="114" a="1"/>
  <c r="F352" i="114" s="1"/>
  <c r="F344" i="114" a="1"/>
  <c r="F344" i="114" s="1"/>
  <c r="G344" i="114" a="1"/>
  <c r="G344" i="114" s="1"/>
  <c r="G1649" i="114" a="1"/>
  <c r="G1649" i="114" s="1"/>
  <c r="F1649" i="114" a="1"/>
  <c r="F1649" i="114" s="1"/>
  <c r="G1657" i="114" a="1"/>
  <c r="G1657" i="114" s="1"/>
  <c r="I1657" i="114" s="1"/>
  <c r="I1649" i="114" s="1"/>
  <c r="I186" i="116" s="1"/>
  <c r="F1657" i="114" a="1"/>
  <c r="F1657" i="114" s="1"/>
  <c r="F596" i="114" a="1"/>
  <c r="F596" i="114" s="1"/>
  <c r="G604" i="114" a="1"/>
  <c r="G604" i="114" s="1"/>
  <c r="I604" i="114" s="1"/>
  <c r="I596" i="114" s="1"/>
  <c r="I69" i="116" s="1"/>
  <c r="G596" i="114" a="1"/>
  <c r="G596" i="114" s="1"/>
  <c r="F604" i="114" a="1"/>
  <c r="F604" i="114" s="1"/>
  <c r="F794" i="114" a="1"/>
  <c r="F794" i="114" s="1"/>
  <c r="F892" i="114" a="1"/>
  <c r="F892" i="114" s="1"/>
  <c r="G892" i="114" a="1"/>
  <c r="G892" i="114" s="1"/>
  <c r="I892" i="114" s="1"/>
  <c r="I884" i="114" s="1"/>
  <c r="I101" i="116" s="1"/>
  <c r="G794" i="114" a="1"/>
  <c r="G794" i="114" s="1"/>
  <c r="F1145" i="114" a="1"/>
  <c r="F1145" i="114" s="1"/>
  <c r="G1153" i="114" a="1"/>
  <c r="G1153" i="114" s="1"/>
  <c r="I1153" i="114" s="1"/>
  <c r="I1145" i="114" s="1"/>
  <c r="I130" i="116" s="1"/>
  <c r="G1145" i="114" a="1"/>
  <c r="G1145" i="114" s="1"/>
  <c r="F1153" i="114" a="1"/>
  <c r="F1153" i="114" s="1"/>
  <c r="G1388" i="114" a="1"/>
  <c r="G1388" i="114" s="1"/>
  <c r="F1396" i="114" a="1"/>
  <c r="F1396" i="114" s="1"/>
  <c r="F1388" i="114" a="1"/>
  <c r="F1388" i="114" s="1"/>
  <c r="G1396" i="114" a="1"/>
  <c r="G1396" i="114" s="1"/>
  <c r="I1396" i="114" s="1"/>
  <c r="I1388" i="114" s="1"/>
  <c r="I157" i="116" s="1"/>
  <c r="F1666" i="114" a="1"/>
  <c r="F1666" i="114" s="1"/>
  <c r="G1658" i="114" a="1"/>
  <c r="G1658" i="114" s="1"/>
  <c r="F1658" i="114" a="1"/>
  <c r="F1658" i="114" s="1"/>
  <c r="G1666" i="114" a="1"/>
  <c r="G1666" i="114" s="1"/>
  <c r="I1666" i="114" s="1"/>
  <c r="I1658" i="114" s="1"/>
  <c r="I187" i="116" s="1"/>
  <c r="F425" i="114" a="1"/>
  <c r="F425" i="114" s="1"/>
  <c r="E425" i="114" s="1"/>
  <c r="G137" i="114" a="1"/>
  <c r="G137" i="114" s="1"/>
  <c r="E137" i="114" s="1"/>
  <c r="G1793" i="114" a="1"/>
  <c r="G1793" i="114" s="1"/>
  <c r="G326" i="114" a="1"/>
  <c r="G326" i="114" s="1"/>
  <c r="G353" i="114" a="1"/>
  <c r="G353" i="114" s="1"/>
  <c r="G380" i="114" a="1"/>
  <c r="G380" i="114" s="1"/>
  <c r="G407" i="114" a="1"/>
  <c r="G407" i="114" s="1"/>
  <c r="G488" i="114" a="1"/>
  <c r="G488" i="114" s="1"/>
  <c r="G515" i="114" a="1"/>
  <c r="G515" i="114" s="1"/>
  <c r="G542" i="114" a="1"/>
  <c r="G542" i="114" s="1"/>
  <c r="F1729" i="114" a="1"/>
  <c r="F1729" i="114" s="1"/>
  <c r="G938" i="114" a="1"/>
  <c r="G938" i="114" s="1"/>
  <c r="F938" i="114" a="1"/>
  <c r="F938" i="114" s="1"/>
  <c r="G1729" i="114" a="1"/>
  <c r="G1729" i="114" s="1"/>
  <c r="I1729" i="114" s="1"/>
  <c r="I1721" i="114" s="1"/>
  <c r="I194" i="116" s="1"/>
  <c r="F433" i="114" a="1"/>
  <c r="F433" i="114" s="1"/>
  <c r="G199" i="114" a="1"/>
  <c r="G199" i="114" s="1"/>
  <c r="G496" i="114" a="1"/>
  <c r="G496" i="114" s="1"/>
  <c r="F515" i="114" a="1"/>
  <c r="F515" i="114" s="1"/>
  <c r="F542" i="114" a="1"/>
  <c r="F542" i="114" s="1"/>
  <c r="F254" i="114" a="1"/>
  <c r="F254" i="114" s="1"/>
  <c r="G254" i="114" a="1"/>
  <c r="G254" i="114" s="1"/>
  <c r="G370" i="114" a="1"/>
  <c r="G370" i="114" s="1"/>
  <c r="F1739" i="114" a="1"/>
  <c r="F1739" i="114" s="1"/>
  <c r="G1802" i="114" a="1"/>
  <c r="G1802" i="114" s="1"/>
  <c r="F1594" i="114" a="1"/>
  <c r="F1594" i="114" s="1"/>
  <c r="F1586" i="114" a="1"/>
  <c r="F1586" i="114" s="1"/>
  <c r="E1586" i="114" s="1"/>
  <c r="E30" i="110"/>
  <c r="E31" i="110" s="1"/>
  <c r="F49" i="110"/>
  <c r="F50" i="110" s="1"/>
  <c r="I40" i="110"/>
  <c r="J40" i="110" s="1"/>
  <c r="I38" i="110"/>
  <c r="J38" i="110" s="1"/>
  <c r="I48" i="110"/>
  <c r="J48" i="110" s="1"/>
  <c r="I42" i="110"/>
  <c r="J42" i="110" s="1"/>
  <c r="F30" i="110"/>
  <c r="F31" i="110" s="1"/>
  <c r="BF207" i="105"/>
  <c r="BC207" i="105"/>
  <c r="BA208" i="105"/>
  <c r="BB208" i="105"/>
  <c r="BD207" i="105"/>
  <c r="AZ208" i="105"/>
  <c r="BE207" i="105"/>
  <c r="BC208" i="105"/>
  <c r="AZ207" i="105"/>
  <c r="BD208" i="105"/>
  <c r="BE208" i="105"/>
  <c r="BF208" i="105"/>
  <c r="BA207" i="105"/>
  <c r="BB207" i="105"/>
  <c r="B15" i="95"/>
  <c r="G18" i="30"/>
  <c r="G21" i="30" s="1"/>
  <c r="P13" i="90"/>
  <c r="Q12" i="90"/>
  <c r="P12" i="90"/>
  <c r="Q11" i="90"/>
  <c r="P11" i="90"/>
  <c r="Q10" i="90"/>
  <c r="P10" i="90"/>
  <c r="Q9" i="90"/>
  <c r="P9" i="90"/>
  <c r="Q8" i="90"/>
  <c r="P8" i="90"/>
  <c r="Q7" i="90"/>
  <c r="P7" i="90"/>
  <c r="Q6" i="90"/>
  <c r="P6" i="90"/>
  <c r="Q5" i="90"/>
  <c r="P5" i="90"/>
  <c r="M24" i="77"/>
  <c r="O22" i="77"/>
  <c r="B16" i="95"/>
  <c r="E208" i="114" l="1"/>
  <c r="E194" i="116"/>
  <c r="E2" i="114"/>
  <c r="E1739" i="114"/>
  <c r="E353" i="114"/>
  <c r="E59" i="116"/>
  <c r="E380" i="114"/>
  <c r="E488" i="114"/>
  <c r="E179" i="116"/>
  <c r="E39" i="116"/>
  <c r="E362" i="114"/>
  <c r="E1712" i="114"/>
  <c r="E183" i="116"/>
  <c r="E42" i="116"/>
  <c r="E47" i="114"/>
  <c r="E1361" i="114"/>
  <c r="E48" i="116"/>
  <c r="E136" i="116"/>
  <c r="E188" i="116"/>
  <c r="E128" i="116"/>
  <c r="E177" i="116"/>
  <c r="E133" i="116"/>
  <c r="E193" i="116"/>
  <c r="E45" i="116"/>
  <c r="E54" i="116"/>
  <c r="E98" i="116"/>
  <c r="E32" i="116"/>
  <c r="E58" i="116"/>
  <c r="E186" i="116"/>
  <c r="E166" i="116"/>
  <c r="E102" i="116"/>
  <c r="E144" i="116"/>
  <c r="E79" i="116"/>
  <c r="E149" i="116"/>
  <c r="E67" i="116"/>
  <c r="E146" i="116"/>
  <c r="E80" i="116"/>
  <c r="E63" i="116"/>
  <c r="E131" i="116"/>
  <c r="E159" i="116"/>
  <c r="E147" i="116"/>
  <c r="E51" i="116"/>
  <c r="E139" i="116"/>
  <c r="E160" i="116"/>
  <c r="E1054" i="114"/>
  <c r="E865" i="114"/>
  <c r="E577" i="114"/>
  <c r="E1028" i="114"/>
  <c r="E1730" i="114"/>
  <c r="E443" i="114"/>
  <c r="E64" i="116"/>
  <c r="E187" i="116"/>
  <c r="E61" i="116"/>
  <c r="E157" i="116"/>
  <c r="E123" i="116"/>
  <c r="E103" i="116"/>
  <c r="E113" i="116"/>
  <c r="E178" i="116"/>
  <c r="E161" i="116"/>
  <c r="E175" i="116"/>
  <c r="E25" i="116"/>
  <c r="E85" i="116"/>
  <c r="E27" i="116"/>
  <c r="E167" i="116"/>
  <c r="E124" i="116"/>
  <c r="E129" i="116"/>
  <c r="E171" i="116"/>
  <c r="E176" i="116"/>
  <c r="E145" i="116"/>
  <c r="E29" i="114"/>
  <c r="E38" i="114"/>
  <c r="E127" i="114"/>
  <c r="E253" i="114"/>
  <c r="E84" i="116"/>
  <c r="E163" i="116"/>
  <c r="E38" i="116"/>
  <c r="E154" i="116"/>
  <c r="E52" i="116"/>
  <c r="E8" i="116"/>
  <c r="E11" i="114"/>
  <c r="E143" i="116"/>
  <c r="E181" i="116"/>
  <c r="E46" i="116"/>
  <c r="E155" i="116"/>
  <c r="E190" i="116"/>
  <c r="E153" i="116"/>
  <c r="E195" i="116"/>
  <c r="E57" i="116"/>
  <c r="E26" i="116"/>
  <c r="E66" i="116"/>
  <c r="E227" i="114"/>
  <c r="E433" i="114"/>
  <c r="E551" i="114"/>
  <c r="E56" i="116"/>
  <c r="E7" i="116"/>
  <c r="E30" i="116"/>
  <c r="E4" i="116"/>
  <c r="E96" i="116"/>
  <c r="E184" i="116"/>
  <c r="E111" i="116"/>
  <c r="E169" i="116"/>
  <c r="E182" i="116"/>
  <c r="E6" i="116"/>
  <c r="E18" i="116"/>
  <c r="E40" i="116"/>
  <c r="E89" i="116"/>
  <c r="E170" i="116"/>
  <c r="E117" i="116"/>
  <c r="E43" i="116"/>
  <c r="E137" i="116"/>
  <c r="E172" i="116"/>
  <c r="E119" i="116"/>
  <c r="E1738" i="114"/>
  <c r="E370" i="114"/>
  <c r="I370" i="114"/>
  <c r="I362" i="114" s="1"/>
  <c r="I43" i="116" s="1"/>
  <c r="E496" i="114"/>
  <c r="I496" i="114"/>
  <c r="I488" i="114" s="1"/>
  <c r="I57" i="116" s="1"/>
  <c r="E199" i="114"/>
  <c r="I199" i="114"/>
  <c r="I191" i="114" s="1"/>
  <c r="I24" i="116" s="1"/>
  <c r="E388" i="114"/>
  <c r="I388" i="114"/>
  <c r="I380" i="114" s="1"/>
  <c r="I45" i="116" s="1"/>
  <c r="E28" i="114"/>
  <c r="I28" i="114"/>
  <c r="I20" i="114" s="1"/>
  <c r="I5" i="116" s="1"/>
  <c r="E415" i="114"/>
  <c r="I415" i="114"/>
  <c r="I407" i="114" s="1"/>
  <c r="I48" i="116" s="1"/>
  <c r="E262" i="114"/>
  <c r="I262" i="114"/>
  <c r="I254" i="114" s="1"/>
  <c r="I31" i="116" s="1"/>
  <c r="E550" i="114"/>
  <c r="I550" i="114"/>
  <c r="I542" i="114" s="1"/>
  <c r="I63" i="116" s="1"/>
  <c r="E532" i="114"/>
  <c r="I532" i="114"/>
  <c r="I524" i="114" s="1"/>
  <c r="I61" i="116" s="1"/>
  <c r="E334" i="114"/>
  <c r="I334" i="114"/>
  <c r="I326" i="114" s="1"/>
  <c r="I39" i="116" s="1"/>
  <c r="E307" i="114"/>
  <c r="I307" i="114"/>
  <c r="I299" i="114" s="1"/>
  <c r="I36" i="116" s="1"/>
  <c r="E1630" i="114"/>
  <c r="I1630" i="114"/>
  <c r="I1622" i="114" s="1"/>
  <c r="I183" i="116" s="1"/>
  <c r="E848" i="114"/>
  <c r="E875" i="114"/>
  <c r="E100" i="114"/>
  <c r="E515" i="114"/>
  <c r="E55" i="114"/>
  <c r="E10" i="114"/>
  <c r="E479" i="114"/>
  <c r="E407" i="114"/>
  <c r="E326" i="114"/>
  <c r="E1802" i="114"/>
  <c r="E181" i="114"/>
  <c r="E460" i="114"/>
  <c r="E1262" i="114"/>
  <c r="E1622" i="114"/>
  <c r="E82" i="114"/>
  <c r="E272" i="114"/>
  <c r="E136" i="114"/>
  <c r="E1369" i="114"/>
  <c r="E1594" i="114"/>
  <c r="E37" i="114"/>
  <c r="E1793" i="114"/>
  <c r="E559" i="114"/>
  <c r="E245" i="114"/>
  <c r="E514" i="114"/>
  <c r="E299" i="114"/>
  <c r="E524" i="114"/>
  <c r="E73" i="114"/>
  <c r="E109" i="114"/>
  <c r="E451" i="114"/>
  <c r="E46" i="114"/>
  <c r="E1514" i="114"/>
  <c r="E983" i="114"/>
  <c r="E1433" i="114"/>
  <c r="E19" i="114"/>
  <c r="E371" i="114"/>
  <c r="E1388" i="114"/>
  <c r="E1414" i="114"/>
  <c r="E1550" i="114"/>
  <c r="E775" i="114"/>
  <c r="E64" i="114"/>
  <c r="E335" i="114"/>
  <c r="E1649" i="114"/>
  <c r="E884" i="114"/>
  <c r="E946" i="114"/>
  <c r="E1694" i="114"/>
  <c r="E793" i="114"/>
  <c r="E1495" i="114"/>
  <c r="E190" i="114"/>
  <c r="E1325" i="114"/>
  <c r="E1081" i="114"/>
  <c r="E469" i="114"/>
  <c r="E749" i="114"/>
  <c r="E1379" i="114"/>
  <c r="E785" i="114"/>
  <c r="E389" i="114"/>
  <c r="E659" i="114"/>
  <c r="E1423" i="114"/>
  <c r="E911" i="114"/>
  <c r="E631" i="114"/>
  <c r="E1009" i="114"/>
  <c r="E83" i="114"/>
  <c r="E398" i="114"/>
  <c r="E1217" i="114"/>
  <c r="E1640" i="114"/>
  <c r="E937" i="114"/>
  <c r="E1226" i="114"/>
  <c r="E1352" i="114"/>
  <c r="E173" i="114"/>
  <c r="E1396" i="114"/>
  <c r="E1342" i="114"/>
  <c r="E541" i="114"/>
  <c r="E1099" i="114"/>
  <c r="E1451" i="114"/>
  <c r="E658" i="114"/>
  <c r="E1702" i="114"/>
  <c r="E92" i="114"/>
  <c r="E1487" i="114"/>
  <c r="E695" i="114"/>
  <c r="E1595" i="114"/>
  <c r="E1541" i="114"/>
  <c r="E1018" i="114"/>
  <c r="E1144" i="114"/>
  <c r="E1370" i="114"/>
  <c r="E974" i="114"/>
  <c r="E1297" i="114"/>
  <c r="E1676" i="114"/>
  <c r="E1172" i="114"/>
  <c r="E919" i="114"/>
  <c r="E1261" i="114"/>
  <c r="E740" i="114"/>
  <c r="E397" i="114"/>
  <c r="E1477" i="114"/>
  <c r="E1216" i="114"/>
  <c r="E685" i="114"/>
  <c r="E1478" i="114"/>
  <c r="E1225" i="114"/>
  <c r="E1316" i="114"/>
  <c r="E1064" i="114"/>
  <c r="E811" i="114"/>
  <c r="E1585" i="114"/>
  <c r="E1307" i="114"/>
  <c r="E182" i="114"/>
  <c r="E1559" i="114"/>
  <c r="E640" i="114"/>
  <c r="E1108" i="114"/>
  <c r="E676" i="114"/>
  <c r="E1720" i="114"/>
  <c r="E343" i="114"/>
  <c r="E613" i="114"/>
  <c r="E1163" i="114"/>
  <c r="E1748" i="114"/>
  <c r="E263" i="114"/>
  <c r="E1496" i="114"/>
  <c r="E1181" i="114"/>
  <c r="E1189" i="114"/>
  <c r="E1639" i="114"/>
  <c r="E830" i="114"/>
  <c r="E694" i="114"/>
  <c r="E1468" i="114"/>
  <c r="E163" i="114"/>
  <c r="E379" i="114"/>
  <c r="E145" i="114"/>
  <c r="E254" i="114"/>
  <c r="E1667" i="114"/>
  <c r="E857" i="114"/>
  <c r="E1711" i="114"/>
  <c r="E1127" i="114"/>
  <c r="E704" i="114"/>
  <c r="E1253" i="114"/>
  <c r="E226" i="114"/>
  <c r="E1486" i="114"/>
  <c r="E110" i="114"/>
  <c r="E325" i="114"/>
  <c r="E929" i="114"/>
  <c r="E1757" i="114"/>
  <c r="E1397" i="114"/>
  <c r="E1162" i="114"/>
  <c r="E587" i="114"/>
  <c r="E1252" i="114"/>
  <c r="E1244" i="114"/>
  <c r="E730" i="114"/>
  <c r="E1118" i="114"/>
  <c r="E1288" i="114"/>
  <c r="E1036" i="114"/>
  <c r="E892" i="114"/>
  <c r="E1657" i="114"/>
  <c r="E352" i="114"/>
  <c r="E1090" i="114"/>
  <c r="E146" i="114"/>
  <c r="E533" i="114"/>
  <c r="E1351" i="114"/>
  <c r="E1091" i="114"/>
  <c r="E298" i="114"/>
  <c r="E955" i="114"/>
  <c r="E1450" i="114"/>
  <c r="E812" i="114"/>
  <c r="E1046" i="114"/>
  <c r="E505" i="114"/>
  <c r="E866" i="114"/>
  <c r="E1784" i="114"/>
  <c r="E1073" i="114"/>
  <c r="E289" i="114"/>
  <c r="E1010" i="114"/>
  <c r="E1612" i="114"/>
  <c r="E1019" i="114"/>
  <c r="E758" i="114"/>
  <c r="E1387" i="114"/>
  <c r="E1136" i="114"/>
  <c r="E595" i="114"/>
  <c r="E776" i="114"/>
  <c r="E586" i="114"/>
  <c r="E721" i="114"/>
  <c r="E1693" i="114"/>
  <c r="E1037" i="114"/>
  <c r="E712" i="114"/>
  <c r="E605" i="114"/>
  <c r="E1540" i="114"/>
  <c r="E1001" i="114"/>
  <c r="E172" i="114"/>
  <c r="E406" i="114"/>
  <c r="E802" i="114"/>
  <c r="E317" i="114"/>
  <c r="E1513" i="114"/>
  <c r="E1360" i="114"/>
  <c r="E847" i="114"/>
  <c r="E1199" i="114"/>
  <c r="E821" i="114"/>
  <c r="E1154" i="114"/>
  <c r="E1406" i="114"/>
  <c r="E1171" i="114"/>
  <c r="E622" i="114"/>
  <c r="E992" i="114"/>
  <c r="E1522" i="114"/>
  <c r="E1126" i="114"/>
  <c r="E569" i="114"/>
  <c r="E856" i="114"/>
  <c r="E568" i="114"/>
  <c r="E236" i="114"/>
  <c r="E20" i="114"/>
  <c r="E91" i="114"/>
  <c r="E316" i="114"/>
  <c r="E938" i="114"/>
  <c r="E1666" i="114"/>
  <c r="E1145" i="114"/>
  <c r="E794" i="114"/>
  <c r="E596" i="114"/>
  <c r="E1334" i="114"/>
  <c r="E1082" i="114"/>
  <c r="E829" i="114"/>
  <c r="E1675" i="114"/>
  <c r="E1343" i="114"/>
  <c r="E838" i="114"/>
  <c r="E667" i="114"/>
  <c r="E623" i="114"/>
  <c r="E1117" i="114"/>
  <c r="E497" i="114"/>
  <c r="E956" i="114"/>
  <c r="E1603" i="114"/>
  <c r="E820" i="114"/>
  <c r="E757" i="114"/>
  <c r="E470" i="114"/>
  <c r="E1027" i="114"/>
  <c r="E578" i="114"/>
  <c r="E218" i="114"/>
  <c r="E1153" i="114"/>
  <c r="E604" i="114"/>
  <c r="E1298" i="114"/>
  <c r="E434" i="114"/>
  <c r="E1424" i="114"/>
  <c r="E668" i="114"/>
  <c r="E1333" i="114"/>
  <c r="E461" i="114"/>
  <c r="E1271" i="114"/>
  <c r="E766" i="114"/>
  <c r="E883" i="114"/>
  <c r="E1378" i="114"/>
  <c r="E1135" i="114"/>
  <c r="E874" i="114"/>
  <c r="E1568" i="114"/>
  <c r="E1243" i="114"/>
  <c r="E982" i="114"/>
  <c r="E1289" i="114"/>
  <c r="E1684" i="114"/>
  <c r="E1180" i="114"/>
  <c r="E1532" i="114"/>
  <c r="E748" i="114"/>
  <c r="E1766" i="114"/>
  <c r="E677" i="114"/>
  <c r="E1648" i="114"/>
  <c r="E1072" i="114"/>
  <c r="E217" i="114"/>
  <c r="E1577" i="114"/>
  <c r="E1055" i="114"/>
  <c r="E1198" i="114"/>
  <c r="E649" i="114"/>
  <c r="E1567" i="114"/>
  <c r="E1234" i="114"/>
  <c r="E973" i="114"/>
  <c r="E632" i="114"/>
  <c r="E1613" i="114"/>
  <c r="E1100" i="114"/>
  <c r="E416" i="114"/>
  <c r="E650" i="114"/>
  <c r="E893" i="114"/>
  <c r="E947" i="114"/>
  <c r="E902" i="114"/>
  <c r="E1523" i="114"/>
  <c r="E739" i="114"/>
  <c r="E1280" i="114"/>
  <c r="E542" i="114"/>
  <c r="E1729" i="114"/>
  <c r="E1658" i="114"/>
  <c r="E344" i="114"/>
  <c r="E155" i="114"/>
  <c r="E290" i="114"/>
  <c r="E1459" i="114"/>
  <c r="E191" i="114"/>
  <c r="E641" i="114"/>
  <c r="E1442" i="114"/>
  <c r="E1306" i="114"/>
  <c r="E442" i="114"/>
  <c r="E1432" i="114"/>
  <c r="E1109" i="114"/>
  <c r="E784" i="114"/>
  <c r="E964" i="114"/>
  <c r="E703" i="114"/>
  <c r="E119" i="114"/>
  <c r="E235" i="114"/>
  <c r="E281" i="114"/>
  <c r="E1549" i="114"/>
  <c r="E1270" i="114"/>
  <c r="E478" i="114"/>
  <c r="E1604" i="114"/>
  <c r="E1279" i="114"/>
  <c r="E920" i="114"/>
  <c r="E1631" i="114"/>
  <c r="E1576" i="114"/>
  <c r="E1235" i="114"/>
  <c r="E1685" i="114"/>
  <c r="E1045" i="114"/>
  <c r="E1415" i="114"/>
  <c r="E1469" i="114"/>
  <c r="E686" i="114"/>
  <c r="E1315" i="114"/>
  <c r="E1063" i="114"/>
  <c r="E101" i="114"/>
  <c r="E1190" i="114"/>
  <c r="E452" i="114"/>
  <c r="E1531" i="114"/>
  <c r="E1000" i="114"/>
  <c r="E991" i="114"/>
  <c r="E1441" i="114"/>
  <c r="E560" i="114"/>
  <c r="E244" i="114"/>
  <c r="E1208" i="114"/>
  <c r="E839" i="114"/>
  <c r="E1324" i="114"/>
  <c r="E209" i="114"/>
  <c r="E1505" i="114"/>
  <c r="E614" i="114"/>
  <c r="E965" i="114"/>
  <c r="E1621" i="114"/>
  <c r="E164" i="114"/>
  <c r="E424" i="114"/>
  <c r="E1460" i="114"/>
  <c r="E1207" i="114"/>
  <c r="E1405" i="114"/>
  <c r="E901" i="114"/>
  <c r="E910" i="114"/>
  <c r="E731" i="114"/>
  <c r="E154" i="114"/>
  <c r="E722" i="114"/>
  <c r="E271" i="114"/>
  <c r="E1504" i="114"/>
  <c r="E713" i="114"/>
  <c r="E1558" i="114"/>
  <c r="E767" i="114"/>
  <c r="I39" i="110"/>
  <c r="J39" i="110" s="1"/>
  <c r="I47" i="110"/>
  <c r="J47" i="110" s="1"/>
  <c r="H49" i="110"/>
  <c r="H50" i="110" s="1"/>
  <c r="I37" i="110"/>
  <c r="G49" i="110"/>
  <c r="G50" i="110" s="1"/>
  <c r="I19" i="110"/>
  <c r="J19" i="110" s="1"/>
  <c r="I25" i="110"/>
  <c r="J25" i="110" s="1"/>
  <c r="I18" i="110"/>
  <c r="J18" i="110" s="1"/>
  <c r="I21" i="110"/>
  <c r="J21" i="110" s="1"/>
  <c r="I24" i="110"/>
  <c r="J24" i="110" s="1"/>
  <c r="I26" i="110"/>
  <c r="J26" i="110" s="1"/>
  <c r="I29" i="110"/>
  <c r="J29" i="110" s="1"/>
  <c r="I27" i="110"/>
  <c r="J27" i="110" s="1"/>
  <c r="I22" i="110"/>
  <c r="J22" i="110" s="1"/>
  <c r="I23" i="110"/>
  <c r="J23" i="110" s="1"/>
  <c r="I28" i="110"/>
  <c r="J28" i="110" s="1"/>
  <c r="I20" i="110"/>
  <c r="J20" i="110" s="1"/>
  <c r="Q13" i="90"/>
  <c r="Q15" i="90"/>
  <c r="O24" i="77"/>
  <c r="I1813" i="114" l="1"/>
  <c r="I49" i="110"/>
  <c r="D50" i="110" s="1"/>
  <c r="J37" i="110"/>
  <c r="J49" i="110" s="1"/>
  <c r="G30" i="110"/>
  <c r="G31" i="110" s="1"/>
  <c r="J30" i="110"/>
  <c r="I30" i="110"/>
  <c r="H30" i="110"/>
  <c r="H31" i="110" s="1"/>
  <c r="Q24" i="77"/>
  <c r="P24" i="77"/>
  <c r="O25" i="77"/>
  <c r="E1703" i="114"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Gricelda Rodríguez Sánchez</author>
  </authors>
  <commentList>
    <comment ref="G4" authorId="0" shapeId="0" xr:uid="{AF3E3B9D-8444-4E71-A0A9-7EB43551B34F}">
      <text>
        <r>
          <rPr>
            <sz val="11"/>
            <color theme="1"/>
            <rFont val="Aptos Narrow"/>
            <family val="2"/>
            <scheme val="minor"/>
          </rPr>
          <t>Gricelda Rodríguez Sánchez:
1202Confirmar que se puede descargar de ATOM</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Sharon Dayan Rivera Martínez</author>
  </authors>
  <commentList>
    <comment ref="B5" authorId="0" shapeId="0" xr:uid="{CC95BC3B-CA76-47DD-8A47-5497F5367E8F}">
      <text>
        <r>
          <rPr>
            <b/>
            <sz val="9"/>
            <color indexed="81"/>
            <rFont val="Tahoma"/>
            <family val="2"/>
          </rPr>
          <t>Sharon Dayan Rivera Martínez:</t>
        </r>
        <r>
          <rPr>
            <sz val="9"/>
            <color indexed="81"/>
            <rFont val="Tahoma"/>
            <family val="2"/>
          </rPr>
          <t xml:space="preserve">
UBICACION DE PUNTOS DE TRANSACC</t>
        </r>
      </text>
    </comment>
    <comment ref="B30" authorId="0" shapeId="0" xr:uid="{18A23197-FE95-41CE-953A-0B54F6F40C49}">
      <text>
        <r>
          <rPr>
            <b/>
            <sz val="9"/>
            <color indexed="81"/>
            <rFont val="Tahoma"/>
            <family val="2"/>
          </rPr>
          <t>Sharon Dayan Rivera Martínez:</t>
        </r>
        <r>
          <rPr>
            <sz val="9"/>
            <color indexed="81"/>
            <rFont val="Tahoma"/>
            <family val="2"/>
          </rPr>
          <t xml:space="preserve">
Reclamaciones Bursatiles
</t>
        </r>
      </text>
    </comment>
    <comment ref="B32" authorId="0" shapeId="0" xr:uid="{13162121-7187-4939-A3FA-A5BC4DC4F685}">
      <text>
        <r>
          <rPr>
            <b/>
            <sz val="9"/>
            <color indexed="81"/>
            <rFont val="Tahoma"/>
            <family val="2"/>
          </rPr>
          <t>Sharon Dayan Rivera Martínez:</t>
        </r>
        <r>
          <rPr>
            <sz val="9"/>
            <color indexed="81"/>
            <rFont val="Tahoma"/>
            <family val="2"/>
          </rPr>
          <t xml:space="preserve">
Información de Pagos anticipados y Cargos diferidos por plazo</t>
        </r>
      </text>
    </comment>
    <comment ref="B33" authorId="0" shapeId="0" xr:uid="{E942828A-EB35-4A88-95DF-4053E31B439B}">
      <text>
        <r>
          <rPr>
            <b/>
            <sz val="9"/>
            <color indexed="81"/>
            <rFont val="Tahoma"/>
            <family val="2"/>
          </rPr>
          <t>Sharon Dayan Rivera Martínez:</t>
        </r>
        <r>
          <rPr>
            <sz val="9"/>
            <color indexed="81"/>
            <rFont val="Tahoma"/>
            <family val="2"/>
          </rPr>
          <t xml:space="preserve">
Calculados</t>
        </r>
      </text>
    </comment>
    <comment ref="B51" authorId="0" shapeId="0" xr:uid="{ADF00756-294F-44E7-9C0B-569D673A76F0}">
      <text>
        <r>
          <rPr>
            <b/>
            <sz val="9"/>
            <color indexed="81"/>
            <rFont val="Tahoma"/>
            <family val="2"/>
          </rPr>
          <t>Sharon Dayan Rivera Martínez:</t>
        </r>
        <r>
          <rPr>
            <sz val="9"/>
            <color indexed="81"/>
            <rFont val="Tahoma"/>
            <family val="2"/>
          </rPr>
          <t xml:space="preserve">
Información de Pagos anticipados y Cargos diferidos por plazo</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Sharon Dayan Rivera Martínez</author>
  </authors>
  <commentList>
    <comment ref="B6" authorId="0" shapeId="0" xr:uid="{0BA2248D-7186-4A8B-8460-92B72FFE293C}">
      <text>
        <r>
          <rPr>
            <b/>
            <sz val="9"/>
            <color indexed="81"/>
            <rFont val="Tahoma"/>
            <family val="2"/>
          </rPr>
          <t>Sharon Dayan Rivera Martínez:</t>
        </r>
        <r>
          <rPr>
            <sz val="9"/>
            <color indexed="81"/>
            <rFont val="Tahoma"/>
            <family val="2"/>
          </rPr>
          <t xml:space="preserve">
UBICACION DE PUNTOS DE TRANSACC</t>
        </r>
      </text>
    </comment>
    <comment ref="B31" authorId="0" shapeId="0" xr:uid="{999D163A-4F2B-48AC-882E-C9CA21934973}">
      <text>
        <r>
          <rPr>
            <b/>
            <sz val="9"/>
            <color indexed="81"/>
            <rFont val="Tahoma"/>
            <family val="2"/>
          </rPr>
          <t>Sharon Dayan Rivera Martínez:</t>
        </r>
        <r>
          <rPr>
            <sz val="9"/>
            <color indexed="81"/>
            <rFont val="Tahoma"/>
            <family val="2"/>
          </rPr>
          <t xml:space="preserve">
Reclamaciones Bursatiles
</t>
        </r>
      </text>
    </comment>
    <comment ref="B33" authorId="0" shapeId="0" xr:uid="{585BD8A8-79E1-46BE-9210-2429B54AE615}">
      <text>
        <r>
          <rPr>
            <b/>
            <sz val="9"/>
            <color indexed="81"/>
            <rFont val="Tahoma"/>
            <family val="2"/>
          </rPr>
          <t>Sharon Dayan Rivera Martínez:</t>
        </r>
        <r>
          <rPr>
            <sz val="9"/>
            <color indexed="81"/>
            <rFont val="Tahoma"/>
            <family val="2"/>
          </rPr>
          <t xml:space="preserve">
Información de Pagos anticipados y Cargos diferidos por plazo</t>
        </r>
      </text>
    </comment>
    <comment ref="B34" authorId="0" shapeId="0" xr:uid="{E65B4BD0-DA1D-4A65-BD75-38E1C6108617}">
      <text>
        <r>
          <rPr>
            <b/>
            <sz val="9"/>
            <color indexed="81"/>
            <rFont val="Tahoma"/>
            <family val="2"/>
          </rPr>
          <t>Sharon Dayan Rivera Martínez:</t>
        </r>
        <r>
          <rPr>
            <sz val="9"/>
            <color indexed="81"/>
            <rFont val="Tahoma"/>
            <family val="2"/>
          </rPr>
          <t xml:space="preserve">
Calculados</t>
        </r>
      </text>
    </comment>
    <comment ref="B52" authorId="0" shapeId="0" xr:uid="{22DC8026-4EFA-43E1-8215-B6BC7807C62F}">
      <text>
        <r>
          <rPr>
            <b/>
            <sz val="9"/>
            <color indexed="81"/>
            <rFont val="Tahoma"/>
            <family val="2"/>
          </rPr>
          <t>Sharon Dayan Rivera Martínez:</t>
        </r>
        <r>
          <rPr>
            <sz val="9"/>
            <color indexed="81"/>
            <rFont val="Tahoma"/>
            <family val="2"/>
          </rPr>
          <t xml:space="preserve">
Información de Pagos anticipados y Cargos diferidos por plazo</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Gricelda Rodríguez Sánchez</author>
  </authors>
  <commentList>
    <comment ref="C28" authorId="0" shapeId="0" xr:uid="{3BAB64CA-0B55-4AD8-B4C4-C1A7E699A2B9}">
      <text>
        <r>
          <rPr>
            <sz val="11"/>
            <color theme="1"/>
            <rFont val="Aptos Narrow"/>
            <family val="2"/>
            <scheme val="minor"/>
          </rPr>
          <t xml:space="preserve">Gricelda Rodríguez Sánchez:
23Feb26 Luis mando correo 22Feb26 dónde manda relación, indicando que este LayOut se definio desde 21Nov24 que no aplica este LayOut </t>
        </r>
      </text>
    </comment>
    <comment ref="C68" authorId="0" shapeId="0" xr:uid="{68B799DA-1450-49D9-B8FD-1AE0868F0C09}">
      <text>
        <r>
          <rPr>
            <sz val="11"/>
            <color theme="1"/>
            <rFont val="Aptos Narrow"/>
            <family val="2"/>
            <scheme val="minor"/>
          </rPr>
          <t xml:space="preserve">Gricelda Rodríguez Sánchez:
23Feb26 el 23Feb26 Luis Alberto mando correo indicando que en su momento se definió desde el 21Nov26 este LayOut no aplica pero que fue entregado un TXT, el correo no indica quién entregó el TXT  </t>
        </r>
      </text>
    </comment>
    <comment ref="E75" authorId="0" shapeId="0" xr:uid="{F090F75A-D2EA-4C40-B64F-30F3BE3C6FE1}">
      <text>
        <r>
          <rPr>
            <sz val="11"/>
            <color theme="1"/>
            <rFont val="Aptos Narrow"/>
            <family val="2"/>
            <scheme val="minor"/>
          </rPr>
          <t>Gricelda Rodríguez Sánchez:
Preguntar nuevamente a Erik el estatus de este, si es de Jenn?</t>
        </r>
      </text>
    </comment>
    <comment ref="C161" authorId="0" shapeId="0" xr:uid="{6BE53A56-7B48-4D56-9B4F-2035E952952F}">
      <text>
        <r>
          <rPr>
            <sz val="11"/>
            <color theme="1"/>
            <rFont val="Aptos Narrow"/>
            <family val="2"/>
            <scheme val="minor"/>
          </rPr>
          <t>Gricelda Rodríguez Sánchez:
Gricelda Rodríguez Sánchez:
23Feb26 el 23Feb26 Luis Alberto mando correo indicando que en su momento se definió desde el 21Nov26 este LayOut no aplica</t>
        </r>
      </text>
    </comment>
    <comment ref="C162" authorId="0" shapeId="0" xr:uid="{2A1A7E53-8F8A-4E36-ADAD-60F9BFCB2533}">
      <text>
        <r>
          <rPr>
            <sz val="11"/>
            <color theme="1"/>
            <rFont val="Aptos Narrow"/>
            <family val="2"/>
            <scheme val="minor"/>
          </rPr>
          <t xml:space="preserve">Gricelda Rodríguez Sánchez:
Gricelda Rodríguez Sánchez:
23Feb26 el 23Feb26 Luis Alberto mando correo indicando que en su momento se definió desde el 21Nov26 este LayOut no aplica </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Sharon Dayan Rivera Martínez</author>
  </authors>
  <commentList>
    <comment ref="L51" authorId="0" shapeId="0" xr:uid="{7395FF77-8878-479F-AD3D-7D0B4F8DA811}">
      <text>
        <r>
          <rPr>
            <b/>
            <sz val="9"/>
            <color indexed="81"/>
            <rFont val="Tahoma"/>
            <family val="2"/>
          </rPr>
          <t>Sharon Dayan Rivera Martínez:</t>
        </r>
        <r>
          <rPr>
            <sz val="9"/>
            <color indexed="81"/>
            <rFont val="Tahoma"/>
            <family val="2"/>
          </rPr>
          <t xml:space="preserve">
Reclamaciones Bursatiles
</t>
        </r>
      </text>
    </comment>
    <comment ref="L52" authorId="0" shapeId="0" xr:uid="{5946DB1E-24D7-4182-8C30-5BC0468695EB}">
      <text>
        <r>
          <rPr>
            <b/>
            <sz val="9"/>
            <color indexed="81"/>
            <rFont val="Tahoma"/>
            <family val="2"/>
          </rPr>
          <t>Sharon Dayan Rivera Martínez:</t>
        </r>
        <r>
          <rPr>
            <sz val="9"/>
            <color indexed="81"/>
            <rFont val="Tahoma"/>
            <family val="2"/>
          </rPr>
          <t xml:space="preserve">
Información de Pagos anticipados y Cargos diferidos por plazo</t>
        </r>
      </text>
    </comment>
    <comment ref="E58" authorId="0" shapeId="0" xr:uid="{E86E17A7-B9DC-4489-8F36-49BE617DD736}">
      <text>
        <r>
          <rPr>
            <b/>
            <sz val="9"/>
            <color indexed="81"/>
            <rFont val="Tahoma"/>
            <family val="2"/>
          </rPr>
          <t>Sharon Dayan Rivera Martínez:</t>
        </r>
        <r>
          <rPr>
            <sz val="9"/>
            <color indexed="81"/>
            <rFont val="Tahoma"/>
            <family val="2"/>
          </rPr>
          <t xml:space="preserve">
Información de Pagos anticipados y Cargos diferidos por plazo</t>
        </r>
      </text>
    </comment>
    <comment ref="L69" authorId="0" shapeId="0" xr:uid="{3BCD3FCC-B8BB-4FFA-A7AE-58002048BF57}">
      <text>
        <r>
          <rPr>
            <b/>
            <sz val="9"/>
            <color indexed="81"/>
            <rFont val="Tahoma"/>
            <family val="2"/>
          </rPr>
          <t>Sharon Dayan Rivera Martínez:</t>
        </r>
        <r>
          <rPr>
            <sz val="9"/>
            <color indexed="81"/>
            <rFont val="Tahoma"/>
            <family val="2"/>
          </rPr>
          <t xml:space="preserve">
Información de Pagos anticipados y Cargos diferidos por plazo</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Sharon Dayan Rivera Martínez</author>
  </authors>
  <commentList>
    <comment ref="A3" authorId="0" shapeId="0" xr:uid="{3DFDB690-725A-4A28-BD7C-73BFB817EF65}">
      <text>
        <r>
          <rPr>
            <b/>
            <sz val="9"/>
            <color indexed="81"/>
            <rFont val="Tahoma"/>
            <family val="2"/>
          </rPr>
          <t>Sharon Dayan Rivera Martínez:</t>
        </r>
        <r>
          <rPr>
            <sz val="9"/>
            <color indexed="81"/>
            <rFont val="Tahoma"/>
            <family val="2"/>
          </rPr>
          <t xml:space="preserve">
Calculados</t>
        </r>
      </text>
    </comment>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RICHVALUE" minSupportedVersion="120000" copy="1" pasteAll="1" pasteValues="1" merge="1" splitFirst="1" rowColShift="1" clearFormats="1" clearComments="1" assign="1" coerce="1"/>
    <metadataType name="XLDAPR" minSupportedVersion="120000" copy="1" pasteAll="1" pasteValues="1" merge="1" splitFirst="1" rowColShift="1" clearFormats="1" clearComments="1" assign="1" coerce="1" cellMeta="1"/>
  </metadataTypes>
  <futureMetadata name="XLRICHVALUE" count="2">
    <bk>
      <extLst>
        <ext uri="{3e2802c4-a4d2-4d8b-9148-e3be6c30e623}">
          <xlrd:rvb i="0"/>
        </ext>
      </extLst>
    </bk>
    <bk>
      <extLst>
        <ext uri="{3e2802c4-a4d2-4d8b-9148-e3be6c30e623}">
          <xlrd:rvb i="1"/>
        </ext>
      </extLst>
    </bk>
  </futureMetadata>
  <futureMetadata name="XLDAPR" count="1">
    <bk>
      <extLst>
        <ext uri="{bdbb8cdc-fa1e-496e-a857-3c3f30c029c3}">
          <xda:dynamicArrayProperties fDynamic="1" fCollapsed="0"/>
        </ext>
      </extLst>
    </bk>
  </futureMetadata>
  <cellMetadata count="1">
    <bk>
      <rc t="2" v="0"/>
    </bk>
  </cellMetadata>
  <valueMetadata count="2">
    <bk>
      <rc t="1" v="0"/>
    </bk>
    <bk>
      <rc t="1" v="1"/>
    </bk>
  </valueMetadata>
</metadata>
</file>

<file path=xl/sharedStrings.xml><?xml version="1.0" encoding="utf-8"?>
<sst xmlns="http://schemas.openxmlformats.org/spreadsheetml/2006/main" count="14941" uniqueCount="1076">
  <si>
    <t>Area</t>
  </si>
  <si>
    <t>Reporte</t>
  </si>
  <si>
    <t>Pendiente</t>
  </si>
  <si>
    <t>Observaciones</t>
  </si>
  <si>
    <t>Riesgos</t>
  </si>
  <si>
    <t>CFEN</t>
  </si>
  <si>
    <t>Mapeo</t>
  </si>
  <si>
    <t>Reunión oct 27</t>
  </si>
  <si>
    <t>R35</t>
  </si>
  <si>
    <t>PORCENTAJE_GARANTIA_PERSONAL</t>
  </si>
  <si>
    <t>Validación campos</t>
  </si>
  <si>
    <t>PORCENTAJE_GARANTIA</t>
  </si>
  <si>
    <t>PRELACION_GAR</t>
  </si>
  <si>
    <t>R-0419</t>
  </si>
  <si>
    <t>Revisión</t>
  </si>
  <si>
    <t>Generar reunión Contabilidad para definir responsable</t>
  </si>
  <si>
    <t>Contabilidad</t>
  </si>
  <si>
    <t>R-0420</t>
  </si>
  <si>
    <t>Operaciones recabó información falta solicitar info a Contabilidad*</t>
  </si>
  <si>
    <t>IPAB</t>
  </si>
  <si>
    <t>Pendiente de recibir el mapeo del layout</t>
  </si>
  <si>
    <t>ACM II_ADIC</t>
  </si>
  <si>
    <t>Validacion Usuario</t>
  </si>
  <si>
    <t>Pendiente de recibir retroalimentación sobre layouts desarrollados</t>
  </si>
  <si>
    <t>ACM II-Mapeo</t>
  </si>
  <si>
    <t>CATALOGO MINIMO</t>
  </si>
  <si>
    <t>CONCILIACIONES</t>
  </si>
  <si>
    <t>INVERSIONES PERMANENTES</t>
  </si>
  <si>
    <t>Detalles para Rprts - Azure: 03. DESARROLLO</t>
  </si>
  <si>
    <t>Carpeta</t>
  </si>
  <si>
    <t>Responsable</t>
  </si>
  <si>
    <t>Azure</t>
  </si>
  <si>
    <t>Pestañas</t>
  </si>
  <si>
    <t>Layout</t>
  </si>
  <si>
    <t>Estatus</t>
  </si>
  <si>
    <t>Comentarios</t>
  </si>
  <si>
    <t>Revision VoBo Usuario</t>
  </si>
  <si>
    <t>Actualizacion</t>
  </si>
  <si>
    <t>EstatusAct</t>
  </si>
  <si>
    <t>Sts2</t>
  </si>
  <si>
    <t>Desarrollo</t>
  </si>
  <si>
    <t>AreaApoyo</t>
  </si>
  <si>
    <t>Obs Add</t>
  </si>
  <si>
    <t>Obs Add2</t>
  </si>
  <si>
    <t>NO APLICA</t>
  </si>
  <si>
    <t>MOTIVO</t>
  </si>
  <si>
    <t>Cartera</t>
  </si>
  <si>
    <t>Operaciones Captacion y credito</t>
  </si>
  <si>
    <t>Luis Alberto</t>
  </si>
  <si>
    <t>03. DESARROLLO</t>
  </si>
  <si>
    <t>CLIENTES_POR_PRODUCTO</t>
  </si>
  <si>
    <t>R2450_51_52_CLIENTES POR PRODUCTO_V0.5 -- R2450 - R2451 - R2452 (CREDITO) (1)</t>
  </si>
  <si>
    <t>Listo</t>
  </si>
  <si>
    <t>Ntt, ya se reviso txt por usuario VoBo</t>
  </si>
  <si>
    <t>Estructura</t>
  </si>
  <si>
    <t>DES-Desarrollo Txt</t>
  </si>
  <si>
    <t>Validar</t>
  </si>
  <si>
    <t>Interno</t>
  </si>
  <si>
    <t>TI</t>
  </si>
  <si>
    <t>2a vuelta US</t>
  </si>
  <si>
    <t>Integrar en un layout captación y crédito</t>
  </si>
  <si>
    <t>Operaciones Credito</t>
  </si>
  <si>
    <t>CONSUMO</t>
  </si>
  <si>
    <t>V1.05_Credito_IFRS9_Consumo_Completo VF (2)</t>
  </si>
  <si>
    <t>Se tiene la estructura construida y se integraron los datos con los que se cuenta, aun no se cuenta con todo el universo(Fuentes externas</t>
  </si>
  <si>
    <t>CREDITO</t>
  </si>
  <si>
    <t>V1.05_Layouts CREDITO Bancos IFRS (Comercial) (1)</t>
  </si>
  <si>
    <t>Operativos</t>
  </si>
  <si>
    <t>Operaciones Captacion</t>
  </si>
  <si>
    <t>TITULARES GARANTIZADOS</t>
  </si>
  <si>
    <t>R2423_IFRS9_Titulares_Garantizados_V0.4 -- R2423</t>
  </si>
  <si>
    <t>No mapeado</t>
  </si>
  <si>
    <t>NTT</t>
  </si>
  <si>
    <t>Ext NTT</t>
  </si>
  <si>
    <t>Externo</t>
  </si>
  <si>
    <t>Operaciones</t>
  </si>
  <si>
    <t>CREDITO_GARANTIA</t>
  </si>
  <si>
    <t>PORCENTAJE_GARANTIA | Tiene Un campo x validar Riesgos</t>
  </si>
  <si>
    <t>CREDITO_GARANTIA_PERSONAL</t>
  </si>
  <si>
    <t>PORCENTAJE_GARANTIA_PERS | Tiene Un campo x validar Riesgos</t>
  </si>
  <si>
    <t>Captacion</t>
  </si>
  <si>
    <t>ENT_CAJA_CAPTACION</t>
  </si>
  <si>
    <t>Layout CCV BW -- CCV</t>
  </si>
  <si>
    <t>Estructura y universo</t>
  </si>
  <si>
    <t>Validar con usuario si aplican</t>
  </si>
  <si>
    <t>Se menciona a NTT</t>
  </si>
  <si>
    <t>FILE_CAPTACION</t>
  </si>
  <si>
    <t>Layout Captacion_V3 -- CRI - R08 - OCIM_II</t>
  </si>
  <si>
    <t>Ntt, ya se reviso txt por usuario VoBo Estructura</t>
  </si>
  <si>
    <t>20260108 -- NTT franja fronteriza en cero ION reenvió catalogo</t>
  </si>
  <si>
    <t>Se requiera info actualizada congelando sistema para validacion</t>
  </si>
  <si>
    <t>Riesgo por aparente error en catálogo de Tipo Operación</t>
  </si>
  <si>
    <t>Adicionales</t>
  </si>
  <si>
    <t>Tesorería </t>
  </si>
  <si>
    <t>Eduardo Cabral</t>
  </si>
  <si>
    <t>FILE_CONTRAPARTES</t>
  </si>
  <si>
    <t>Layout_CONTRAPARTES_v5 -- CONTRAPARTES</t>
  </si>
  <si>
    <t>Modulo de tesoreria</t>
  </si>
  <si>
    <t>Int Tesoreria</t>
  </si>
  <si>
    <t>Tesoreria</t>
  </si>
  <si>
    <t>FILE_OCIM_I</t>
  </si>
  <si>
    <t>Layout OCIM_Diario_V1 -- OCIMN_I - OCIME_I</t>
  </si>
  <si>
    <t>NA</t>
  </si>
  <si>
    <t>Estaba identificado con NA</t>
  </si>
  <si>
    <t>FILE_OCIM_II</t>
  </si>
  <si>
    <t>Layout OCIM_II_Activas_V3 -- OCIMN_II - OCIME_II</t>
  </si>
  <si>
    <t>FILE_SISPAGOS</t>
  </si>
  <si>
    <t>Layout SISPAGOS BW -- SISPAGOS</t>
  </si>
  <si>
    <t>FT_TPA</t>
  </si>
  <si>
    <t>Layout TPA BW_v2 -- TPA</t>
  </si>
  <si>
    <t>VoBo sobre estructura</t>
  </si>
  <si>
    <t>GARANTIA</t>
  </si>
  <si>
    <t>Se tiene la estructura construida y se integraron los datos con los que se cuenta, aun no se cuenta con todo el universo(Fuentes externas Pantalla comercial)</t>
  </si>
  <si>
    <t>PRELACION_GAR campo pendiente MAPEO | US revisa info restante</t>
  </si>
  <si>
    <t>HIPOTECARIO</t>
  </si>
  <si>
    <t>V1.05_Layouts CREDITO Bancos IFRS (Hipotecario Simplificado) (1)- HIPOTECARIO</t>
  </si>
  <si>
    <t>LINEA CREDITO</t>
  </si>
  <si>
    <t>PAGOS_EXIGIBLES</t>
  </si>
  <si>
    <t>PERSONA</t>
  </si>
  <si>
    <t>Se tiene la estructura construida y se integraron los datos con los que se cuenta, aun no se cuenta con todo el universo(Fuentes externas Pantalla comercial y cualitativa individual)</t>
  </si>
  <si>
    <t>PRODUCTOS CAPTACION CNBV</t>
  </si>
  <si>
    <t>R2421_Prod Cap -- R2421</t>
  </si>
  <si>
    <t xml:space="preserve">Este TXT ya fue entregado por NTT el 28/05 y te pase la guía para bajarlo de Transat el 27/10/25. Aún no lo conectan a ATOM. </t>
  </si>
  <si>
    <t xml:space="preserve">Ramon Jaimes </t>
  </si>
  <si>
    <t>R04A_MOV_419</t>
  </si>
  <si>
    <t>V1.01_Credito_IFRS9_R04A -- A0411 - A0417 - A0419 - A0420 - A0424 -  R04A_MOV_419</t>
  </si>
  <si>
    <t>Mapeado incompleto</t>
  </si>
  <si>
    <t>Reasignado a Contabilidad</t>
  </si>
  <si>
    <t>R04A_SALDOS</t>
  </si>
  <si>
    <t>V1.01_Credito_IFRS9_R04A -- A0411 - A0417 - A0419 - A0420 - A0424</t>
  </si>
  <si>
    <t>R2441_42</t>
  </si>
  <si>
    <t>Layout R2441_42_V2 --R2441 - R2442</t>
  </si>
  <si>
    <t xml:space="preserve">Este TXT ya fue entregado por NTT el 16/06 y te pase la guía para bajarlo de Transat el 27/10/25. Aún no lo conectan a ATOM. </t>
  </si>
  <si>
    <t>Producto</t>
  </si>
  <si>
    <t>Claudia Barroso</t>
  </si>
  <si>
    <t>RECO</t>
  </si>
  <si>
    <t>Layout RECO BW -- RECO</t>
  </si>
  <si>
    <t>Se reasignó a Prodcuto | estaba identificado como VoBo Usuario</t>
  </si>
  <si>
    <t>Validar la parte de captación NTT para integrar en un solo reporte</t>
  </si>
  <si>
    <t>LAYOUT</t>
  </si>
  <si>
    <t>REPORTES</t>
  </si>
  <si>
    <t>AREA</t>
  </si>
  <si>
    <t>ESTATUS</t>
  </si>
  <si>
    <t>BLOQUE</t>
  </si>
  <si>
    <t>CONTRAPARTES</t>
  </si>
  <si>
    <t>Tesorería</t>
  </si>
  <si>
    <t>NTT Responde no lo va a tener | faltan datos de contrapartes | probablemente manual</t>
  </si>
  <si>
    <t>CVT</t>
  </si>
  <si>
    <t>MN ME</t>
  </si>
  <si>
    <t>LAYOUTs</t>
  </si>
  <si>
    <t>Sts</t>
  </si>
  <si>
    <t>OFF</t>
  </si>
  <si>
    <t>Validacion</t>
  </si>
  <si>
    <t>OK Estructura</t>
  </si>
  <si>
    <t>Bajaware</t>
  </si>
  <si>
    <t>En Cero</t>
  </si>
  <si>
    <t xml:space="preserve">Total </t>
  </si>
  <si>
    <t>OPTO</t>
  </si>
  <si>
    <t>REPORTOS</t>
  </si>
  <si>
    <t>Reportos CDA</t>
  </si>
  <si>
    <t>Finanzas</t>
  </si>
  <si>
    <t>SWAPS</t>
  </si>
  <si>
    <t>Operaciones - Captacion</t>
  </si>
  <si>
    <t>TENENCIA</t>
  </si>
  <si>
    <t>GARANTÍAS</t>
  </si>
  <si>
    <t>LID</t>
  </si>
  <si>
    <t>OCIMN</t>
  </si>
  <si>
    <t>ACLME</t>
  </si>
  <si>
    <t>ACM</t>
  </si>
  <si>
    <t>CRI</t>
  </si>
  <si>
    <t>FE</t>
  </si>
  <si>
    <t>GL</t>
  </si>
  <si>
    <t>ML</t>
  </si>
  <si>
    <t>RC'S</t>
  </si>
  <si>
    <t>XVA</t>
  </si>
  <si>
    <t>TPA</t>
  </si>
  <si>
    <t>R03</t>
  </si>
  <si>
    <t xml:space="preserve">Ntt, ya se reviso txt por usuario VoBo | Gris dará aviso a Claudia para su Validación y VoBo </t>
  </si>
  <si>
    <t>0212 Confrimar si se puede descargar de ATOM, para avisar a usuario para su validación 
Se tiene la estructura construida y se integraron los datos con los que se cuenta, aun no se cuenta con todo el universo(Fuentes externas</t>
  </si>
  <si>
    <t>0212 Se debe revisar estatus correcto ya que no se encuentra en Desarrollo 
NTT</t>
  </si>
  <si>
    <t>0212 Generar la lista de todos los LayOuts que se requiere llenar con información de NTT ( todo lo que se genere NTT del Bucket para asegurar que se tiene contemplado por desarrllo)
Ntt, ya se reviso txt por usuario VoBo</t>
  </si>
  <si>
    <t xml:space="preserve">Ntt, ya se reviso txt por usuario VoBo Estructura (sólo se consume para guardarlos del lado de desarrollo) | ya se encuentran disponibles en ATOM, si son reportes por periodos. </t>
  </si>
  <si>
    <t xml:space="preserve">Modulo de tesoreria | Se requiere terminar ciclo completo para Usuario pueda realizar las pruebas </t>
  </si>
  <si>
    <t>Vacío</t>
  </si>
  <si>
    <t>Gris compartirá LayOut para que se genere la estructura</t>
  </si>
  <si>
    <t xml:space="preserve">Vacío </t>
  </si>
  <si>
    <t xml:space="preserve">Modulo de tesoreria | Gris deberá compartir LayOut a Desarrollo </t>
  </si>
  <si>
    <t>0212 Se debe vaidar de que fecha se puede hacer la prueba de extración área de Desarrollo | 0213
Se tiene la estructura construida y se integraron los datos con los que se cuenta, aun no se cuenta con todo el universo(Fuentes externas Pantalla comercial)</t>
  </si>
  <si>
    <t>0212 
Se tiene la estructura construida y se integraron los datos con los que se cuenta, aun no se cuenta con todo el universo(Fuentes externas</t>
  </si>
  <si>
    <t>0212 Se debe vaidar de que fecha se puede hacer la prueba de extración área de Desarrollo | 0213
Se tiene la estructura construida y se integraron los datos con los que se cuenta, aun no se cuenta con todo el universo(Fuentes externas Pantalla comercial y cualitativa)</t>
  </si>
  <si>
    <t>0212 Gris, Revisar con Jenny si NTT ya lo tiene Mapeado 
NTT</t>
  </si>
  <si>
    <t xml:space="preserve">0212 Gris Revisar las notas de Martín para trazabilidad o darselo a Ramón para complemento de Mapeo | Carlo me envía correo de lo que se tiene documentado </t>
  </si>
  <si>
    <t>0212 Confrimar si se puede descargar de ATOM, para avisar a usuario para su validación 
Se tiene la estructura construida y se integraron los datos con los que se cuenta, aun no se cuenta con todo el universo (Fuentes externas</t>
  </si>
  <si>
    <t>Ntt, ya se reviso txt por usuario VoBo la parte de NTT | el complemento interno se Desarrollo trabajará para concluirlo | Deadline ? | Gris asigna tarea en Azure para complementar el LayOut con información de excel proporcionada por Usuario (Claudia)</t>
  </si>
  <si>
    <t>Detalles de Rprts - Azure: 02. MAPEO</t>
  </si>
  <si>
    <t>02. MAPEO</t>
  </si>
  <si>
    <t>VENC_ANT_REPORTOS</t>
  </si>
  <si>
    <t>Layout_REPORTOS_MN_ME_V7_2024 -- REPORTOS</t>
  </si>
  <si>
    <t>US-Mapeo</t>
  </si>
  <si>
    <t>Layout_REPORTOS_MN_ME_V7 -- REPORTOS</t>
  </si>
  <si>
    <t>modif nomb layout</t>
  </si>
  <si>
    <t>Arturo Angeles</t>
  </si>
  <si>
    <t>USUARIOS NO CLIENTES BE</t>
  </si>
  <si>
    <t>R1522_USUARIOS NO CLIENTES BE_V0.4 -- R15 1522</t>
  </si>
  <si>
    <t>LAYOUT Seccion A Cat Lineas</t>
  </si>
  <si>
    <t xml:space="preserve"> LAYOUT LID V4</t>
  </si>
  <si>
    <t>Reporte habilitado en 2025 no contemplado en scope original</t>
  </si>
  <si>
    <t>Int Tesoreria Add</t>
  </si>
  <si>
    <t>LAYOUT Seccion 5 Lineas de Cre</t>
  </si>
  <si>
    <t>LAYOUT LID CORRESPONSALES</t>
  </si>
  <si>
    <t>LAYOUT LID LIQUIDACIONES</t>
  </si>
  <si>
    <t>Layout_SWAPS_V9 -- SWAPS</t>
  </si>
  <si>
    <t>Layout_SWAPS_V9.1 -- SWAPS</t>
  </si>
  <si>
    <t>LAYOUT Seccion 1 LDID</t>
  </si>
  <si>
    <t>SWAP_IV_COM</t>
  </si>
  <si>
    <t>Alex valida con Eduardo</t>
  </si>
  <si>
    <t>SWAP_IV</t>
  </si>
  <si>
    <t>Situacion Finaciera</t>
  </si>
  <si>
    <t>LAYOUT_ACM_II V0.1 -- R01</t>
  </si>
  <si>
    <t xml:space="preserve">Revision de txt por parte del usuario </t>
  </si>
  <si>
    <t>Info de credito enviada para Vobo, falta Mapeo Info Tesoreria</t>
  </si>
  <si>
    <t>SWAP_FLUJOS</t>
  </si>
  <si>
    <t>SWAP_CUOTAS_INT</t>
  </si>
  <si>
    <t>SWAP_CONVO</t>
  </si>
  <si>
    <t>CANASTA_REPORTOS</t>
  </si>
  <si>
    <t>Homero Sanchez</t>
  </si>
  <si>
    <t>CARGA INICIAL IN-MIN</t>
  </si>
  <si>
    <t>LAYOUT CARGA INICIAL IN_MIN - Calculo Riesgo Operacional</t>
  </si>
  <si>
    <t>Se reliza una solo carga, indica el usuario se debe relizar hasta la ejecucion con Bajware</t>
  </si>
  <si>
    <t>Reporte inicial Riesgos integrará 36 meses al momento de reporte</t>
  </si>
  <si>
    <t>x</t>
  </si>
  <si>
    <t>no se necesita mapeo Riesgos emite info completa -- Historico una sola carga, depende funcionalidad al 100. promedio movil | ingresos netos sin dependencias</t>
  </si>
  <si>
    <t>CARGA INICIAL PI-MIN</t>
  </si>
  <si>
    <t>LAYOUT CARGA INICIAL PI_MIN - Calculo Riesgo Operacional</t>
  </si>
  <si>
    <t>Dep otra Area</t>
  </si>
  <si>
    <t>dependencia con Conta | perdidas operativas revisa Riesgos/Contabilidad</t>
  </si>
  <si>
    <t>Liquidez</t>
  </si>
  <si>
    <t>CF_ESP</t>
  </si>
  <si>
    <t>Layout CF_V3</t>
  </si>
  <si>
    <t>** Nota: Bajaware incluye el Layout de CF Concentración de Fondeo y ya no existe en el portal de Banxico, favor de confirmar con ellos, era un reporte semanal y mensual que combina Captación Tradicional e Interbancaria, similar al CRI **</t>
  </si>
  <si>
    <t>Confirma Bajaware que se continua vigente  la secc 1</t>
  </si>
  <si>
    <t>Cambio Nombre pestaña</t>
  </si>
  <si>
    <t>xxx Validar con Captación</t>
  </si>
  <si>
    <t>ENT_CUOTAS_IPAB_DEF</t>
  </si>
  <si>
    <t>Layout IPAB_V3 - IPAB</t>
  </si>
  <si>
    <t>Por iniciar</t>
  </si>
  <si>
    <t>Se requiere recepcion de requerimiento y Excel. (Usuario)</t>
  </si>
  <si>
    <t>FILE_ACLME</t>
  </si>
  <si>
    <t>Layout_ACLME_SECCION_I_V_v3 -- ACLME</t>
  </si>
  <si>
    <t>FILE_ACLME_AJUSTES_DDMMAA</t>
  </si>
  <si>
    <t>ACLME_Ajustes_V3 -- ACLME</t>
  </si>
  <si>
    <t>REPORTOS_MNME</t>
  </si>
  <si>
    <t>FILE_ACLME_CONCEPTOSFIJOS_DDMMAA</t>
  </si>
  <si>
    <t>Layout_ACLME_ConceptosFijos_v3 -- ACLME</t>
  </si>
  <si>
    <t>FILE_CFEN</t>
  </si>
  <si>
    <t>LAYOUT CFEN-3</t>
  </si>
  <si>
    <t xml:space="preserve">Se esta relizando ampeado por parte del usuario </t>
  </si>
  <si>
    <t>Falta info de Contabilidad Anexo 1 O</t>
  </si>
  <si>
    <t>Tesoreria/Contabilidad</t>
  </si>
  <si>
    <t>Mercados</t>
  </si>
  <si>
    <t>FILE_CVT_TRP</t>
  </si>
  <si>
    <t>Layout_CVT_TRP_V2</t>
  </si>
  <si>
    <t>FILE_FUT_CONVAL</t>
  </si>
  <si>
    <t>Layout OFF_FX_V7 -- OFF</t>
  </si>
  <si>
    <t>FILE_GARANTIAS_II</t>
  </si>
  <si>
    <t>Layout_Garantias_V1 - GARANTIAS</t>
  </si>
  <si>
    <t>No es Scope iniical RMC, asignado a Tesoreria</t>
  </si>
  <si>
    <t>UNE</t>
  </si>
  <si>
    <t>Martin Roman</t>
  </si>
  <si>
    <t>RECLAMACIONES</t>
  </si>
  <si>
    <t>LAYOUT R27_V1 -- R27 - 2701</t>
  </si>
  <si>
    <t>FILE_GARANTIAS_IV</t>
  </si>
  <si>
    <t>R35_1</t>
  </si>
  <si>
    <t>Layout R35_1 -- R35</t>
  </si>
  <si>
    <t>Se tiene que realizar una vez migrado a Banco | se puede mapear la cartera de creditos -- Riesgos  / Exp Valores Transac -- Tesoreria</t>
  </si>
  <si>
    <t>FILE_ML</t>
  </si>
  <si>
    <t>Layout ML-4 -- ML</t>
  </si>
  <si>
    <t>FILE_OFF_CONVAL</t>
  </si>
  <si>
    <t>FILE_OFF_FX_DDMMAA</t>
  </si>
  <si>
    <t>FILE_OPTO_CONVO</t>
  </si>
  <si>
    <t>Layout_OPTO_V3 -- OPTO</t>
  </si>
  <si>
    <t>puede que no se opere como covertura</t>
  </si>
  <si>
    <t>FILE_OPTO_II</t>
  </si>
  <si>
    <t>R2431</t>
  </si>
  <si>
    <t>Layout R2431_V4 -- R24 C2431</t>
  </si>
  <si>
    <t>•	El 18/12/24 le indicamos al PMO que este Layout no correspondía a Operaciones. 
•	Nuevamente en la reunión del 23/07/25 volvimos a pedir que lo asignaran y el acuerdo fue el siguiente: "Contabilidad se lleva a revisar el Layout y si hacen faltan campos se investiga lo que hace falta. Tanto crédito como captación", Sharon le iba a dar seguimiento. 
•	Es urgente que lo asignen, anexo minuta del 23/07/25.</t>
  </si>
  <si>
    <t>Asignado a Captación</t>
  </si>
  <si>
    <t>El Layout R24 Serie C, no le corresponde a Operaciones, solicita información de partes relacionadas que nosotros no tenemos, favor de revisar a fondo y determinar qué área lo debe llenar.</t>
  </si>
  <si>
    <t>FILE_TENENCIA_PRECIO</t>
  </si>
  <si>
    <t>CORE_LayoutTenenciaAdicional_v3.2 -- TENENCIA</t>
  </si>
  <si>
    <t>R04A_MOV_420_24</t>
  </si>
  <si>
    <t>V1.01_Credito_IFRS9_R04A -- A0411 - A0417 - A0419 - A0420 - A0424 -  R04A_MOV_420_24</t>
  </si>
  <si>
    <t>Falta info de Contabilidad</t>
  </si>
  <si>
    <t>FILE_TIPOCAMBIO_DIARIO</t>
  </si>
  <si>
    <t>Layout_Tipos de Cambio Diario_v2 -- ACLME</t>
  </si>
  <si>
    <t>FT_ACLME_X</t>
  </si>
  <si>
    <t>Layout ACLME_X_V1 -- ACLME</t>
  </si>
  <si>
    <t>FT_CVT</t>
  </si>
  <si>
    <t>Layout_CVT_MN_ME_V3 -- CVT - RCs - TENENCIA</t>
  </si>
  <si>
    <t>FT_CVT_IN</t>
  </si>
  <si>
    <t>Layout_CVT_IN_V2 -- CVT</t>
  </si>
  <si>
    <t>FT_CVT_TR</t>
  </si>
  <si>
    <t>Layout_CVT_TR_V2</t>
  </si>
  <si>
    <t>FT_REPORTOS</t>
  </si>
  <si>
    <t>Layout_REPORTOS_MN_ME_V3</t>
  </si>
  <si>
    <t>FT_REPORTOS_CDA</t>
  </si>
  <si>
    <t>Layout_REPORTOS_CDA -- REPORTOS</t>
  </si>
  <si>
    <t>Marcados originalmente como NA</t>
  </si>
  <si>
    <t>FT_TENENCIA</t>
  </si>
  <si>
    <t>LayoutTenencia_V2 -- TENENCIA - REPORTOS</t>
  </si>
  <si>
    <t>MODIF_TASAPREMIO</t>
  </si>
  <si>
    <t>OPERACIONES DE CLIENTES BE</t>
  </si>
  <si>
    <t>R1523_24_OPERACIONES DE CLIENTES BE_V0.4 -- R15 1523 1524</t>
  </si>
  <si>
    <t>(Varios elementos)</t>
  </si>
  <si>
    <t>AZURE</t>
  </si>
  <si>
    <t>Etiquetas de fila</t>
  </si>
  <si>
    <t>Cuenta de Carpeta</t>
  </si>
  <si>
    <t>CERRADA</t>
  </si>
  <si>
    <t>RCS QUE SI DEBEMOS ENVIAR</t>
  </si>
  <si>
    <t>INCLUYE LOS DE NTT</t>
  </si>
  <si>
    <t>05. VOBO US</t>
  </si>
  <si>
    <t xml:space="preserve">06. BW-EJECUCION </t>
  </si>
  <si>
    <t>01. ASIGNA</t>
  </si>
  <si>
    <t>LO TRABAJA BAJAWARE</t>
  </si>
  <si>
    <t>04. VALIDA US</t>
  </si>
  <si>
    <t>ASIGNACION AREA</t>
  </si>
  <si>
    <t>Total general</t>
  </si>
  <si>
    <t>MAPEO</t>
  </si>
  <si>
    <t>VOBO  US BW</t>
  </si>
  <si>
    <t>DESARROLLO</t>
  </si>
  <si>
    <t>VALIDACION</t>
  </si>
  <si>
    <t>VO BO USUARIO</t>
  </si>
  <si>
    <t>SIN TOMAR ENCUENTA BAJAWARE</t>
  </si>
  <si>
    <t>Val</t>
  </si>
  <si>
    <t>Rprts</t>
  </si>
  <si>
    <t>Porc</t>
  </si>
  <si>
    <t>Total Rprts</t>
  </si>
  <si>
    <t>Total Porc</t>
  </si>
  <si>
    <t>BajaWare</t>
  </si>
  <si>
    <t>US-VoBo</t>
  </si>
  <si>
    <t>BW-Ejecucion</t>
  </si>
  <si>
    <t>Valida Areas</t>
  </si>
  <si>
    <t>US-Validación Txt</t>
  </si>
  <si>
    <t>envío vacios</t>
  </si>
  <si>
    <t>na aplica</t>
  </si>
  <si>
    <t>Distribución</t>
  </si>
  <si>
    <t xml:space="preserve">Responsable </t>
  </si>
  <si>
    <t>Backlog</t>
  </si>
  <si>
    <t>Mapeo Usuario</t>
  </si>
  <si>
    <t>Txt en Desarrollo</t>
  </si>
  <si>
    <t>Validacion Txt  Usuario</t>
  </si>
  <si>
    <t>VoBo Usuario</t>
  </si>
  <si>
    <t>% Avance</t>
  </si>
  <si>
    <t>% Total</t>
  </si>
  <si>
    <t xml:space="preserve">Area </t>
  </si>
  <si>
    <t xml:space="preserve">    Estatus</t>
  </si>
  <si>
    <t>Riesgos y tesoreria</t>
  </si>
  <si>
    <t>TBD</t>
  </si>
  <si>
    <t>Detalles para NumReportes - AreaApoyo: Contabilidad, EstatusAct: US-Validación Txt</t>
  </si>
  <si>
    <t>Entrega</t>
  </si>
  <si>
    <t>R01_Catalogo Minimo --R01 - R10 - R12 - R13</t>
  </si>
  <si>
    <t>Archivo Txt enviado,  comentarios pendientes</t>
  </si>
  <si>
    <t>miercoles 28</t>
  </si>
  <si>
    <t>Archivo TXT de Credito enviado, comentarios pendientes
Mapeo pendiente cuentas Tesorería</t>
  </si>
  <si>
    <t>lunes 26 rev</t>
  </si>
  <si>
    <t>Mapeo Pendiente</t>
  </si>
  <si>
    <t>viernes 30</t>
  </si>
  <si>
    <t>Falta integrar informacion Contable</t>
  </si>
  <si>
    <t>Contabilidad Falta info Capital FundamentalAnexo 1 O</t>
  </si>
  <si>
    <t>NumReportes</t>
  </si>
  <si>
    <t>Envío Vacio</t>
  </si>
  <si>
    <t>total en presentacion</t>
  </si>
  <si>
    <r>
      <rPr>
        <b/>
        <sz val="10"/>
        <color theme="1"/>
        <rFont val="Aptos Narrow"/>
        <family val="2"/>
        <scheme val="minor"/>
      </rPr>
      <t xml:space="preserve">  i</t>
    </r>
    <r>
      <rPr>
        <sz val="10"/>
        <color theme="1"/>
        <rFont val="Aptos Narrow"/>
        <family val="2"/>
        <scheme val="minor"/>
      </rPr>
      <t>: En validacion con BW, si proceden (productos que no se operan y reporte dado de baja en portal BANXICO)</t>
    </r>
  </si>
  <si>
    <r>
      <rPr>
        <b/>
        <sz val="10"/>
        <color theme="1"/>
        <rFont val="Aptos Narrow"/>
        <family val="2"/>
        <scheme val="minor"/>
      </rPr>
      <t xml:space="preserve"> ii</t>
    </r>
    <r>
      <rPr>
        <sz val="10"/>
        <color theme="1"/>
        <rFont val="Aptos Narrow"/>
        <family val="2"/>
        <scheme val="minor"/>
      </rPr>
      <t>: Corresponde a 2 reportes</t>
    </r>
  </si>
  <si>
    <r>
      <rPr>
        <b/>
        <sz val="10"/>
        <color theme="1"/>
        <rFont val="Aptos Narrow"/>
        <family val="2"/>
        <scheme val="minor"/>
      </rPr>
      <t>iii</t>
    </r>
    <r>
      <rPr>
        <sz val="10"/>
        <color theme="1"/>
        <rFont val="Aptos Narrow"/>
        <family val="2"/>
        <scheme val="minor"/>
      </rPr>
      <t>: La mayoria se ataca con el reporte de transacciones</t>
    </r>
  </si>
  <si>
    <r>
      <rPr>
        <b/>
        <sz val="10"/>
        <color theme="1"/>
        <rFont val="Aptos Narrow"/>
        <family val="2"/>
        <scheme val="minor"/>
      </rPr>
      <t>iv</t>
    </r>
    <r>
      <rPr>
        <sz val="10"/>
        <color theme="1"/>
        <rFont val="Aptos Narrow"/>
        <family val="2"/>
        <scheme val="minor"/>
      </rPr>
      <t>: 10 generacion automática Bajaware</t>
    </r>
  </si>
  <si>
    <r>
      <rPr>
        <b/>
        <sz val="10"/>
        <color theme="1"/>
        <rFont val="Aptos Narrow"/>
        <family val="2"/>
        <scheme val="minor"/>
      </rPr>
      <t xml:space="preserve"> v</t>
    </r>
    <r>
      <rPr>
        <sz val="10"/>
        <color theme="1"/>
        <rFont val="Aptos Narrow"/>
        <family val="2"/>
        <scheme val="minor"/>
      </rPr>
      <t>: 1 campo en validacion de cada reporte con Riesgos</t>
    </r>
  </si>
  <si>
    <t>VALIDACION US</t>
  </si>
  <si>
    <t>VOBO LAYOUT</t>
  </si>
  <si>
    <t>EJECUCION BW</t>
  </si>
  <si>
    <t>VOBO EJECUCION</t>
  </si>
  <si>
    <t>FEBRERO</t>
  </si>
  <si>
    <t>MARZO</t>
  </si>
  <si>
    <t>ABRIL</t>
  </si>
  <si>
    <t>MAYO</t>
  </si>
  <si>
    <t>Motivo No APLICA</t>
  </si>
  <si>
    <t>#</t>
  </si>
  <si>
    <t>INICIO</t>
  </si>
  <si>
    <t>FIN</t>
  </si>
  <si>
    <t>02 - 0 6</t>
  </si>
  <si>
    <t>09 - 13</t>
  </si>
  <si>
    <t>16 - 20</t>
  </si>
  <si>
    <t>23 -  27</t>
  </si>
  <si>
    <t>30 -  03</t>
  </si>
  <si>
    <t>06 - 10</t>
  </si>
  <si>
    <t>13 - 17</t>
  </si>
  <si>
    <t>20 - 24</t>
  </si>
  <si>
    <t>27 - 01</t>
  </si>
  <si>
    <t>04 - 08</t>
  </si>
  <si>
    <t>11 - 15</t>
  </si>
  <si>
    <t>18 - 22</t>
  </si>
  <si>
    <t>25 - 29</t>
  </si>
  <si>
    <t>UBICACION DE PUNTOS DE TRANSACC</t>
  </si>
  <si>
    <t>R2443_Ubicacion - R2443</t>
  </si>
  <si>
    <r>
      <t xml:space="preserve">Acuerdo con Erika el </t>
    </r>
    <r>
      <rPr>
        <b/>
        <sz val="11"/>
        <color rgb="FF000000"/>
        <rFont val="Aptos"/>
        <family val="2"/>
      </rPr>
      <t>18/12/24</t>
    </r>
    <r>
      <rPr>
        <sz val="11"/>
        <color rgb="FF000000"/>
        <rFont val="Aptos"/>
        <family val="2"/>
      </rPr>
      <t xml:space="preserve">. No aplica en este momento, porque no tendremos nada de lo que solicita. </t>
    </r>
  </si>
  <si>
    <t>No aplica</t>
  </si>
  <si>
    <t xml:space="preserve">Este reporte recaba información respecto a la ubicación geográfica de las sucursales, módulos, cajeros automáticos, terminales punto de venta y comisionistas a través de las cuales los usuarios de los servicios financieros realizan las transacciones. </t>
  </si>
  <si>
    <t>TADESCOM_BAJAS</t>
  </si>
  <si>
    <t>Layout TADESCOM -- TADESCOM</t>
  </si>
  <si>
    <t>TADESCOM_ALTAS</t>
  </si>
  <si>
    <t>SWAP_MEREC_CONVO</t>
  </si>
  <si>
    <t>Layout_SWAPS_V9.1 -- SWAPS - 1. ENT_SWAP_MEREC_CONVO</t>
  </si>
  <si>
    <t>SWAP_I</t>
  </si>
  <si>
    <t>SUCURSALES</t>
  </si>
  <si>
    <t>R2422_Sucursales -- R2422</t>
  </si>
  <si>
    <t>Se refiere a tarjetas, ATM, TPVs, y No. de personal, no tenemos esos datos actualmente, por lo que consideramos que no nos aplica actualmente, pero debemos cerrarlo en conjunto.</t>
  </si>
  <si>
    <t>SEGUROS NOMINA Y PERS</t>
  </si>
  <si>
    <t>CUP -- CUP</t>
  </si>
  <si>
    <t>SECCION 2E</t>
  </si>
  <si>
    <t>Layouts Garantias de Liquidez -- GL</t>
  </si>
  <si>
    <t>Calificaciones Otorgadas (No aplica confirma Denisse)</t>
  </si>
  <si>
    <t>Comentario Bajaware: Si no cuentan con las operaciones a las que se refiere ese layout, no es necesario llenarlo. Sin embargo, si Banxico da de alta el producto en el portal de Espifnet, tendrían que enviarlo vacío.</t>
  </si>
  <si>
    <t>SECCION 2D</t>
  </si>
  <si>
    <t xml:space="preserve">Inmuebles </t>
  </si>
  <si>
    <t>Finanzas/Contabilidad/WO</t>
  </si>
  <si>
    <t>SECCION 2C</t>
  </si>
  <si>
    <t>Acciones</t>
  </si>
  <si>
    <t>SECCION 2B</t>
  </si>
  <si>
    <t>Cartera de Créditos</t>
  </si>
  <si>
    <t>SECCION 2A</t>
  </si>
  <si>
    <t>Cartera de Valores</t>
  </si>
  <si>
    <t>SECCION 1</t>
  </si>
  <si>
    <t>Layouts Garantias de Liquidez</t>
  </si>
  <si>
    <t>Financiamiento</t>
  </si>
  <si>
    <t>REL_CONSUMO_GARANTIA</t>
  </si>
  <si>
    <t>VOBO US</t>
  </si>
  <si>
    <t>Registro Gral Prd</t>
  </si>
  <si>
    <t>VoBo Dado por el usuario (No se cuenta con informacion)</t>
  </si>
  <si>
    <t>RECLASIFICACIONES</t>
  </si>
  <si>
    <t>R10_RECLASIFICACIONES -- R10</t>
  </si>
  <si>
    <t>Duda US ¿Cuál sería la mecánica para la generación de este reporte?</t>
  </si>
  <si>
    <t>RECLAMACIONES BURSATILES BM</t>
  </si>
  <si>
    <t>R2711_ReclamacionesB_V0.4</t>
  </si>
  <si>
    <t>Estaba asiugnado a NTT</t>
  </si>
  <si>
    <t>R36_PAGOS_ANT_CARGOS_DIF</t>
  </si>
  <si>
    <t>V1.00_R3601_CARGOS_DIF_PAGOS_ANTICIPADOS -- R36 3601</t>
  </si>
  <si>
    <t>R26OPE</t>
  </si>
  <si>
    <t>R26 Comisionistas -- R26 2610 2611 2612 2616</t>
  </si>
  <si>
    <t>Actualmente no tenemos comisionistas, esta información no se puede generar por el momento, nosotros decimos que no nos aplica, pero debemos cerrarlo en conjunto.</t>
  </si>
  <si>
    <t>R26_MODULO</t>
  </si>
  <si>
    <t>R26 Comisionistas -- R26 2610 2611 2612 2615</t>
  </si>
  <si>
    <t>R26_COMISIONISTA</t>
  </si>
  <si>
    <t>R26 Comisionistas -- R26 2610 2611 2612 2614</t>
  </si>
  <si>
    <t>R26_ADMINISTRADOR</t>
  </si>
  <si>
    <t>R26 Comisionistas -- R26 2610 2611 2612 2613</t>
  </si>
  <si>
    <t>R03 E-0305 ÓRDENES</t>
  </si>
  <si>
    <t>layout R03-0304-0305 E BM -- R04</t>
  </si>
  <si>
    <t>Hace referencia a operaciones con clientes, las cuales no se llevarán a cabo</t>
  </si>
  <si>
    <t>R03 E-0304 ASIGNACIONES BM</t>
  </si>
  <si>
    <t>layout R03-0304-0305 E BM -- R03</t>
  </si>
  <si>
    <t>PRESTAMO DE VALORES</t>
  </si>
  <si>
    <t>PRESTAMO DE VALORES_V0.1 -- PRESTAMOS</t>
  </si>
  <si>
    <t>No Aplica</t>
  </si>
  <si>
    <t>No habrá Prestamos en Valores</t>
  </si>
  <si>
    <t>PENALIZACIONES NOMINA Y PERS</t>
  </si>
  <si>
    <t>OperacionesOEMN</t>
  </si>
  <si>
    <t>LayoutOEMN_v3</t>
  </si>
  <si>
    <t>No  se realizaran operaciones en efectivo</t>
  </si>
  <si>
    <t>Comentario Bajaware: Con respecto a lo que comentas sobre la falta de operaciones en traslado y manejo de efectivo, no sería necesario enviar el layout; sin embargo, de acuerdo con el artículo 48 de la LIC, éste debe presentarse vacío.</t>
  </si>
  <si>
    <t>Moratoria CNR</t>
  </si>
  <si>
    <t xml:space="preserve">BW-EJECUCION </t>
  </si>
  <si>
    <t>MERCANCIAS_RC</t>
  </si>
  <si>
    <t>LAYOUT MERCANCIAS_RCS -- RC17</t>
  </si>
  <si>
    <t>Lo trabaja Bajaware</t>
  </si>
  <si>
    <t>Ext Bajaware</t>
  </si>
  <si>
    <t>MDEF_SUC Y CAJAS GRALES</t>
  </si>
  <si>
    <t>Layouts MDEF -- MDEF</t>
  </si>
  <si>
    <t>MDEF_CAJEROS PROPIOS</t>
  </si>
  <si>
    <t>MDEF_CAJEROS EXTERNOS</t>
  </si>
  <si>
    <t>MDEF_BOVEDAS PROPIAS</t>
  </si>
  <si>
    <t>MDEF_BOVEDAS EXTERNAS</t>
  </si>
  <si>
    <t>R1230_Contables_IFRS9_Inversiones_Permanentes_V1</t>
  </si>
  <si>
    <t>Excel confirmado como fuente</t>
  </si>
  <si>
    <t>Validar estructura de archivos Excel para que sea igual a columnas tablas destino</t>
  </si>
  <si>
    <t>Complementar archivo cofiguracion Lambda con estructura tablas</t>
  </si>
  <si>
    <t>INTEGRACION ACCIONARIA</t>
  </si>
  <si>
    <t>R1411_INT. ACC -- R1411</t>
  </si>
  <si>
    <t>Falta VoBo ultima Modif decimales col 13</t>
  </si>
  <si>
    <t>INFIMP</t>
  </si>
  <si>
    <t>Layout INFIMP -- INFIMP</t>
  </si>
  <si>
    <t>IMPUESTOS</t>
  </si>
  <si>
    <t>R07_Imp Dif -- R07</t>
  </si>
  <si>
    <t>GARANTIA_CONSUMO</t>
  </si>
  <si>
    <t>ASIGNA</t>
  </si>
  <si>
    <t>GAMMA_VEGA</t>
  </si>
  <si>
    <t>LAYOUT GAMMA_VEGA_V2 -- RC18</t>
  </si>
  <si>
    <t>FT_R2911</t>
  </si>
  <si>
    <t>Layout R29 V2 -- R2911</t>
  </si>
  <si>
    <r>
      <t xml:space="preserve">Acuerdo con Erika el </t>
    </r>
    <r>
      <rPr>
        <b/>
        <sz val="11"/>
        <color theme="1"/>
        <rFont val="Aptos Narrow"/>
        <family val="2"/>
        <scheme val="minor"/>
      </rPr>
      <t>18/12/24</t>
    </r>
    <r>
      <rPr>
        <sz val="11"/>
        <color theme="1"/>
        <rFont val="Aptos Narrow"/>
        <family val="2"/>
        <scheme val="minor"/>
      </rPr>
      <t>. No aplica en este momento por que este Layout es a la medida, por cada caso, con información de contraloría, en Transact no tendremos nada.</t>
    </r>
  </si>
  <si>
    <t xml:space="preserve">Operaciones señala que este Layout es exclusivo de captación, no entendemos porque lo marcan que aplica para crédito //No trabajado por NTT. No vemos de donde obtener esta información del sistema actual ni futuro. El reporte nos pide la información de requerimientos de aseguramientos solicitados por la autoridad ministerial, hacendaria, fiscal, judicial o laboral; así como los datos del titular y cotitular a quién se aplicará el requerimiento y de la cuenta de nómina, mercado abierto u otra modalidad. Debemos ver en conjunto primero que área tiene los datos y segundo si nos aplicará o no. </t>
  </si>
  <si>
    <t>FT_PAC_II</t>
  </si>
  <si>
    <t>Layout_PACII_V1 -- PAC</t>
  </si>
  <si>
    <t>Layout_PACII_V1 -- PAC RC05</t>
  </si>
  <si>
    <t>nombre layout modifcado</t>
  </si>
  <si>
    <t>FLUJOS Y VARIACIONES</t>
  </si>
  <si>
    <t>R13A_FLUJOS Y VARIACIONES -- R13A</t>
  </si>
  <si>
    <t>US envía Difs 20250901</t>
  </si>
  <si>
    <t>FILE_TITULOS_DEUDA</t>
  </si>
  <si>
    <t>LAYOUTS_RCS_v2 -- RC01 - RC03 - RC04 - RC07 - RC08 - RC02 - RC06A</t>
  </si>
  <si>
    <t>FILE_RC19_INSUMO</t>
  </si>
  <si>
    <t>FILE_RC08_INT_ACC</t>
  </si>
  <si>
    <t>FILE_RC06A_DERIVADOS_TEMP</t>
  </si>
  <si>
    <t>FILE_RC_CTACOB_INSUMO</t>
  </si>
  <si>
    <t>FILE_R01_PAGOS_ANT</t>
  </si>
  <si>
    <t>LAYOUTS_RCS_v5</t>
  </si>
  <si>
    <t>FILE_PAC_I</t>
  </si>
  <si>
    <t>Layout_PACI_V2 -- PAC</t>
  </si>
  <si>
    <t>FILE_OPTO_X</t>
  </si>
  <si>
    <t>FILE_OPTO_VIII_CONVO</t>
  </si>
  <si>
    <t>FILE_OPTO_MEREC_CONVO</t>
  </si>
  <si>
    <t>FILE_OPTO_IX_COM</t>
  </si>
  <si>
    <t>FILE_OPTO_IX</t>
  </si>
  <si>
    <t>FILE_OPTO_III</t>
  </si>
  <si>
    <t>FILE_OPTO_II_COM</t>
  </si>
  <si>
    <t>FILE_OPTO_I</t>
  </si>
  <si>
    <t>FILE_GARANTIAS_III</t>
  </si>
  <si>
    <t>FILE_GARANTIAS_I</t>
  </si>
  <si>
    <t>FILE_CARTERA_LINEA</t>
  </si>
  <si>
    <t>FILE_CARTERA</t>
  </si>
  <si>
    <t>FILE_ACLME_OPE_VIG</t>
  </si>
  <si>
    <t>EVENTOS ROP</t>
  </si>
  <si>
    <t>R2812_EVENTOS ROP_V0.4 -- R2812</t>
  </si>
  <si>
    <t>20250829 Us envía Obs</t>
  </si>
  <si>
    <t>2 vuelta</t>
  </si>
  <si>
    <t>Est Prod Deposito</t>
  </si>
  <si>
    <t>ELIMINACIONES</t>
  </si>
  <si>
    <t>R12_ELIMINACIONES -- R12A</t>
  </si>
  <si>
    <t>Info en caso de Subsidiarias /Valida Estructura</t>
  </si>
  <si>
    <t>Elegibilidad Deposito</t>
  </si>
  <si>
    <t>Elegibilidad CNR</t>
  </si>
  <si>
    <t>DIN PERSONAL</t>
  </si>
  <si>
    <t>CORRESPONSALES NOMINA Y PERS</t>
  </si>
  <si>
    <t>COREM</t>
  </si>
  <si>
    <t>Layout_COREM -- COREM</t>
  </si>
  <si>
    <t>CONSOLIDACION</t>
  </si>
  <si>
    <t>R12_CONSOLIDACION -- R12A</t>
  </si>
  <si>
    <r>
      <t>Estructura</t>
    </r>
    <r>
      <rPr>
        <strike/>
        <sz val="11"/>
        <color rgb="FFFF0000"/>
        <rFont val="Aptos Narrow"/>
        <family val="2"/>
        <scheme val="minor"/>
      </rPr>
      <t xml:space="preserve"> y universo</t>
    </r>
  </si>
  <si>
    <t>US otorga VoBo</t>
  </si>
  <si>
    <t>R32_Conciliaciones -- R3211</t>
  </si>
  <si>
    <t>COMISIONES NOMINA Y PERS</t>
  </si>
  <si>
    <t>CIP</t>
  </si>
  <si>
    <t>CIP1 -- CIP</t>
  </si>
  <si>
    <t>CE_ENG</t>
  </si>
  <si>
    <t>Layout CF_V2</t>
  </si>
  <si>
    <t>Confirma Bajaware que se elimina la secc 2</t>
  </si>
  <si>
    <t>Se elimino la secc 2</t>
  </si>
  <si>
    <t>VALIDA US</t>
  </si>
  <si>
    <t>CAT PERSONAL</t>
  </si>
  <si>
    <t>CARTERA_RC_ADIC</t>
  </si>
  <si>
    <t>LAYOUT_CARTERA_RC_ADIC --RC01 - RC03 - RC04 - RC08 - RC15</t>
  </si>
  <si>
    <t>CARTERA_2BIS17</t>
  </si>
  <si>
    <t>LAYOUT_RC08A_MAPEOS -- RC01 - RC03 - RC04 - RC07 - RC08 - RC15 - RC19</t>
  </si>
  <si>
    <t>BIENES ADJUDICADOS</t>
  </si>
  <si>
    <t>R06_Bienes Adj -- R06</t>
  </si>
  <si>
    <t>Base Operativa CNR</t>
  </si>
  <si>
    <t>BALANZA</t>
  </si>
  <si>
    <t>ANEXO 22</t>
  </si>
  <si>
    <t>Antes asignada a Operaciones</t>
  </si>
  <si>
    <t>ANEXO 21</t>
  </si>
  <si>
    <t>ANEXO 20</t>
  </si>
  <si>
    <t>ANEXO 19</t>
  </si>
  <si>
    <t>Se tiene la estructura construida y se integraron los datos con los que se cuenta, aun no se cuenta con todo el universo(Fuentes externas Pantalla comercial, cierre comercial, proyeccion de flujos)</t>
  </si>
  <si>
    <t>ANEXO 18</t>
  </si>
  <si>
    <t>ALTA Y SEGUIMIENTO ROP</t>
  </si>
  <si>
    <t>R2811_13_ALTA Y SEGUIMIENTO ROP -- R2811 - R2813</t>
  </si>
  <si>
    <t>ACLARACIONESCR</t>
  </si>
  <si>
    <t>ACLARACIONESCNR</t>
  </si>
  <si>
    <t>EST Registro General de Product -- Vivienda V1</t>
  </si>
  <si>
    <t>CUP - Vivienda V1</t>
  </si>
  <si>
    <t>Layout adicionado productos de Crédito</t>
  </si>
  <si>
    <t>EST Hipo -- Vivienda V1</t>
  </si>
  <si>
    <t>Base Operativa Hipo -- Vivienda V1</t>
  </si>
  <si>
    <t>Elegibilidad Hipo -- Vivienda V1</t>
  </si>
  <si>
    <t>MORATORIA Hipo -- Vivienda V1</t>
  </si>
  <si>
    <t>COMISIONES Hipo -- Vivienda V1</t>
  </si>
  <si>
    <t>PENALIZACIONES Hipo -- Vivienda V1</t>
  </si>
  <si>
    <t>PENALIZACIONES Hipo (2) -- Vivienda V1</t>
  </si>
  <si>
    <t>SEGUROS Hipo -- Vivienda V1</t>
  </si>
  <si>
    <t>CAT Hipo -- Vivienda V1</t>
  </si>
  <si>
    <t>EST Registro General de Product -- Crédito de Liquidez</t>
  </si>
  <si>
    <t>CUP - Crédito de Liquidez</t>
  </si>
  <si>
    <t>EST Hipo -- Crédito de Liquidez</t>
  </si>
  <si>
    <t>Base Operativa Hipo -- Crédito de Liquidez</t>
  </si>
  <si>
    <t>Elegibilidad Hipo -- Crédito de Liquidez</t>
  </si>
  <si>
    <t>MORATORIA Hipo -- Crédito de Liquidez</t>
  </si>
  <si>
    <t>COMISIONES Hipo -- Crédito de Liquidez</t>
  </si>
  <si>
    <t>PENALIZACIONES Hipo -- Crédito de Liquidez</t>
  </si>
  <si>
    <t>PENALIZACIONES Hipo (2) -- Crédito de Liquidez</t>
  </si>
  <si>
    <t>SEGUROS Hipo -- Crédito de Liquidez</t>
  </si>
  <si>
    <t>CAT Hipo -- Crédito de Liquidez</t>
  </si>
  <si>
    <t>EST Empresarial -- Oficinas y locales</t>
  </si>
  <si>
    <t>CUP - Oficinas y locales</t>
  </si>
  <si>
    <t>EST Empresarial -- PYME Inmuebles</t>
  </si>
  <si>
    <t>CUP - PYME Inmuebles</t>
  </si>
  <si>
    <t>EST Empresarial -- Pyme Liquidez</t>
  </si>
  <si>
    <t>CUP - Pyme Liquidez</t>
  </si>
  <si>
    <t>EST Registro General de Product -- Terrenos</t>
  </si>
  <si>
    <t>CUP - Terrenos</t>
  </si>
  <si>
    <t>EST Hipo -- Terrenos</t>
  </si>
  <si>
    <t>Base Operativa Hipo -- Terrenos</t>
  </si>
  <si>
    <t>Elegibilidad Hipo -- Terrenos</t>
  </si>
  <si>
    <t>MORATORIA Hipo -- Terrenos</t>
  </si>
  <si>
    <t>COMISIONES Hipo -- Terrenos</t>
  </si>
  <si>
    <t>PENALIZACIONES Hipo -- Terrenos</t>
  </si>
  <si>
    <t>PENALIZACIONES Hipo (2) -- Terrenos</t>
  </si>
  <si>
    <t>SEGUROS Hipo -- Terrenos</t>
  </si>
  <si>
    <t>CAT Hipo -- Terrenos</t>
  </si>
  <si>
    <t>EST Empresarial -- Crédito de Liquidez</t>
  </si>
  <si>
    <t>Crédito de Liquidez</t>
  </si>
  <si>
    <t>EST Empresarial -- Crédito Puente</t>
  </si>
  <si>
    <t>Crédito Puente</t>
  </si>
  <si>
    <t>EST Empresarial -- Empr. Revolvente</t>
  </si>
  <si>
    <t>Empr. Revolvente</t>
  </si>
  <si>
    <t>EST Empresarial -- Credito Simple</t>
  </si>
  <si>
    <t>Credito Simple</t>
  </si>
  <si>
    <t>LAYOUT XVS</t>
  </si>
  <si>
    <t>LOYOUT XVA</t>
  </si>
  <si>
    <t>Se integra información mediante excel</t>
  </si>
  <si>
    <t>20260107 -- Riesgos -- Entrego archivo de Excel</t>
  </si>
  <si>
    <t>Modificacion nombre layout</t>
  </si>
  <si>
    <t xml:space="preserve">No lo tenemos asignado a Operaciones en la matriz inicial de regulatorios del 05/09/24.  </t>
  </si>
  <si>
    <t>No  se realizaran operaciones en efectivo vañidar si aplica</t>
  </si>
  <si>
    <t>Todas</t>
  </si>
  <si>
    <t>EST Registro General de Product</t>
  </si>
  <si>
    <t>EST Hipo</t>
  </si>
  <si>
    <t>Base Operativa Hipo</t>
  </si>
  <si>
    <t>Elegibilidad Hipo</t>
  </si>
  <si>
    <t>MORATORIA Hipo</t>
  </si>
  <si>
    <t>COMISIONES Hipo</t>
  </si>
  <si>
    <t>PENALIZACIONES Hipo</t>
  </si>
  <si>
    <t>PENALIZACIONES Hipo (2)</t>
  </si>
  <si>
    <t>SEGUROS Hipo</t>
  </si>
  <si>
    <t>CAT Hipo</t>
  </si>
  <si>
    <t>EST Empresarial</t>
  </si>
  <si>
    <t>.</t>
  </si>
  <si>
    <t>Bajaware | Negocio</t>
  </si>
  <si>
    <t>Negocio | Rocha Mendoza</t>
  </si>
  <si>
    <t xml:space="preserve">Desarrollo (NTT, Lunaro, ION Desarrollo) </t>
  </si>
  <si>
    <t>Negocio valida en ATOM | extracciones Transact</t>
  </si>
  <si>
    <t>Negocio</t>
  </si>
  <si>
    <t xml:space="preserve">Desarrollo </t>
  </si>
  <si>
    <t xml:space="preserve">2 semanas </t>
  </si>
  <si>
    <t xml:space="preserve">1 semana </t>
  </si>
  <si>
    <t xml:space="preserve">3 días </t>
  </si>
  <si>
    <t>01. ASIGNACION AREA</t>
  </si>
  <si>
    <t>07. VALIDACIÓN BAJAWARE</t>
  </si>
  <si>
    <t>08. CERRADA</t>
  </si>
  <si>
    <t>Owner</t>
  </si>
  <si>
    <t xml:space="preserve">Fase </t>
  </si>
  <si>
    <t>Nombres en ATOM (No. y nombre que asigno Desarrollo)</t>
  </si>
  <si>
    <t>SIGUIENTES PASOS</t>
  </si>
  <si>
    <t>Paquete Valida Desarrollo en BW</t>
  </si>
  <si>
    <t>PARTICIPA</t>
  </si>
  <si>
    <t>FECHA ACTUALIZADA</t>
  </si>
  <si>
    <t>123_ENT_REPORTOS_VENC_ANT_Diaria</t>
  </si>
  <si>
    <t>13Mzo23 Gris manda correo a Ale para que valide sólo estructura irá en vacío 
07Abr26 Alejandro R. informó a Gris que este LayOut irá sólo la estructura, gris informa a Erik y Carlos por correo y asigna tarea en Azure y cambia estatus de MAPEO a DESARROLLO 
06Abr26 Se envío correo de entrega TXT de NTT, 07Abr26 Alejandro Romero mandó correo que validará se encuentra copiado Ed. 
19Feb26 Solicitar VoBo a Usuario, Correo, para que quede autorizado
1. Revisar fecha de entrega de mapeo
2. Solicitar fecha de integración de Reporte de Transacciones</t>
  </si>
  <si>
    <t>1. Tesorería (Alejandro)
2. PM (Jennifer)</t>
  </si>
  <si>
    <t>X</t>
  </si>
  <si>
    <t>114_ENT_R15_1522_Trimestral</t>
  </si>
  <si>
    <t xml:space="preserve">NTT </t>
  </si>
  <si>
    <t>19Mzo26 Gris manda recordatorio por correo a Arturo de que debe entregar el BRD a Jenny para que NTT genere el reporte, se solicitó fecha de entrega, Desarrollo informa que ya se encuentra la estructura lista. 
25/02 Arturo me indico por chat que concluyo el mapeo, Gricelda Manda correo para confirmación y asignación a desarrollo por Azure
1. Revisar mapeo de la información (Usuarios Banca electrónica)</t>
  </si>
  <si>
    <t>1. Captacion (Arturo)</t>
  </si>
  <si>
    <t>56_ENT_UBICACIÓN_DE_PUNTOS_DE_TRANSACCION_Trimestral</t>
  </si>
  <si>
    <t>1. Configurar tablas vacias para envío a Desarrollo
2. Actualmente marcadas como cerradas habilitar en Desarrollo cuando inicie</t>
  </si>
  <si>
    <t>1. Desarrollo (Erick/Carlos
2. PM (Gris)</t>
  </si>
  <si>
    <t>58_ENT_SUCURSALES_Mensual</t>
  </si>
  <si>
    <t>118_R26_OPERACIONES_Mensual</t>
  </si>
  <si>
    <t>117_R26_MODULO_Mensual</t>
  </si>
  <si>
    <t>154_ENT_SWAPS_Diaria</t>
  </si>
  <si>
    <t>30Mzo26 Gris mandó mensaje a Eduardo Cabral, Homero y Alex con copia a Eduardo Santiago para preguntar estatus real 
1. Revisar mapeo de la informacion
2. Solicitar fecha de integración de Reporte de Transacciones</t>
  </si>
  <si>
    <t>1. Tesoreria (Alejandro)
2. PM (Jennifer)</t>
  </si>
  <si>
    <t>PENDIENTE</t>
  </si>
  <si>
    <t>21_ENT_SWAPS_CONVO_Diaria</t>
  </si>
  <si>
    <t>No se opera en Mercados Reconocidos</t>
  </si>
  <si>
    <t>156_ENT_SWAP_IV_COM_Diaria</t>
  </si>
  <si>
    <t>30Mzo26 Gris mandó mensaje a Eduardo Cabral, Homero y Alex con copia a Eduardo Santiago para preguntar estatus real 
1. Revisar mapeo de la informacion
2. Alejandro revisa con Eduardo si aplican estas operación o se manda vacio el reporte</t>
  </si>
  <si>
    <t>1. Tesoreria (Alejandro)
2. Tesoreria (Alejandro)</t>
  </si>
  <si>
    <t>155_ENT_SWAP_IV_Diaria</t>
  </si>
  <si>
    <t>153_ENT_SWAP_I_Diaria</t>
  </si>
  <si>
    <t>157_ENT_SWAP_FLUJOS_Diaria</t>
  </si>
  <si>
    <t>24_ENT_SWAP_CUOTAS_INT_Diaria</t>
  </si>
  <si>
    <t>20_ENT_SWAP_MEREC_CONVO_Diaria</t>
  </si>
  <si>
    <r>
      <rPr>
        <sz val="11"/>
        <color rgb="FF000000"/>
        <rFont val="Aptos Narrow"/>
        <family val="2"/>
        <scheme val="minor"/>
      </rPr>
      <t xml:space="preserve">06Abr26 Se envío correo de entrega TXT de NTT, 07Abr26 Alejandro Romero mandó correo que validará se encuentra copiado Ed. 
1. Revisar mapeo de la informacion
2. Solicitar fecha de integración de Reporte de Transacciones
</t>
    </r>
    <r>
      <rPr>
        <sz val="11"/>
        <color rgb="FFFF0000"/>
        <rFont val="Aptos Narrow"/>
        <family val="2"/>
        <scheme val="minor"/>
      </rPr>
      <t>3. Realizar reunión Tesoreria / Riesgos / TI para el llenado de este reporte</t>
    </r>
    <r>
      <rPr>
        <sz val="11"/>
        <color rgb="FF000000"/>
        <rFont val="Aptos Narrow"/>
        <family val="2"/>
        <scheme val="minor"/>
      </rPr>
      <t xml:space="preserve"> </t>
    </r>
  </si>
  <si>
    <t>115_R26_COMISIONISTA_Mensual</t>
  </si>
  <si>
    <t>72_CUP_PERSONAL_SEG_Solo cuando hay nuevas contrapartes</t>
  </si>
  <si>
    <t>1. Solicitar confirmación del Usuarios  de que están enterados de que no aplica este reporte</t>
  </si>
  <si>
    <t>1. PM (Gricelda)</t>
  </si>
  <si>
    <t>205_ENT_SECCION_2E_Mensual</t>
  </si>
  <si>
    <t>NTT | Rocha</t>
  </si>
  <si>
    <t>01Abr26 Gris manda correo a Alex y RM para que revisen la actualización de LayOut que mandó BW
Gris cambio de sólo estructura Desarrollo a Mapeo, al revisar con usuarios comentaron que sí se tenían que Mapear
1. Configurar tablas vacias para envío a Desarrollo
2. Actualmente marcadas como cerradas habilitar en Desarrollo cuando inicie</t>
  </si>
  <si>
    <t>30Mzo2026 Gris subió archivo a repositorio Adiconales y mandó correo a involucrados incluyendo a RMC
27Mzo2026 Gris cambio las fechas de termino de fase de acuerdo a nuevas fechas reestimadas aprobadas en sesión Steerco del 24Mzo26</t>
  </si>
  <si>
    <t>204_ENT_SECCION_2D_Mensual</t>
  </si>
  <si>
    <t>203_ENT_SECCION_2C_Mensual</t>
  </si>
  <si>
    <t xml:space="preserve">30Mzo2026 Gris subió archivo a repositorio Adiconales y mandó correo a involucrados incluyendo a RMC
27Mzo2026 Gris cambio las fechas de termino de fase de acuerdo a nuevas fechas reestimadas aprobadas en sesión Steerco del 24Mzo26
</t>
  </si>
  <si>
    <t>202_ENT_SECCION_2B_Mensual</t>
  </si>
  <si>
    <t>201_ENT_SECCION_2A_Mensual</t>
  </si>
  <si>
    <t>200_ENT_SECCION_1_Mensual</t>
  </si>
  <si>
    <t>76_ENT_REPORTOS_MN_ME_Diaria</t>
  </si>
  <si>
    <r>
      <rPr>
        <sz val="11"/>
        <color rgb="FF000000"/>
        <rFont val="Aptos Narrow"/>
        <family val="2"/>
      </rPr>
      <t xml:space="preserve">06Abr26 Se envío correo de entrega TXT de NTT, 07Abr26 Alejandro Romero mandó correo que validará se encuentra copiado Ed. 
1. Revisar fecha de entrega de mapeo
2. Solicitar fecha de integración de Reporte de Transacciones
</t>
    </r>
    <r>
      <rPr>
        <sz val="11"/>
        <color rgb="FFFF0000"/>
        <rFont val="Aptos Narrow"/>
        <family val="2"/>
      </rPr>
      <t>3. Buscar el avance y continuar con el mapeo</t>
    </r>
  </si>
  <si>
    <t>3_ENT_REL_CONSUMO_GARANTIA_Mensual</t>
  </si>
  <si>
    <t>06. BW-EJECUCION</t>
  </si>
  <si>
    <t>63_CUP_REGGRAL_PROD_Solo cuando hay nuevas contrapartes</t>
  </si>
  <si>
    <t>1. Ejecutar en Bajaware en cuanto esté habilitado su sistema</t>
  </si>
  <si>
    <t xml:space="preserve">Paquete 1 </t>
  </si>
  <si>
    <t>1. PM (Gricelda)  / Bajaware (Francisco) / Usuarios</t>
  </si>
  <si>
    <t>106_RECO_Solo cuando hay nuevas contrapartes</t>
  </si>
  <si>
    <t>30Mzo26 Gris manda correo a Erik y Carlos Valicación BW
18Mzo26 Gris envía a Claudia por correo solicitud de validación de LayOut
09Mzo26 En espera de archivo de Claudia | Producto, Gris solicito 
1. En proceso deDesarrollo validar estatus</t>
  </si>
  <si>
    <t>Paquete 2</t>
  </si>
  <si>
    <t>1. Desarrollo (Carlos/Erik)</t>
  </si>
  <si>
    <t>Situación Financiera</t>
  </si>
  <si>
    <t>32_ENT_R10RECLASIFICACIONES_Mensual</t>
  </si>
  <si>
    <t>18Mzo26 Gris cambia estatus a 06. EJECUCIÓN BAJAWARE 
1. Ejecutar en Bajaware en cuanto esté habilitado su sistema</t>
  </si>
  <si>
    <t>116_R26_ADMINISTRADOR_Mensual</t>
  </si>
  <si>
    <t>128_ENT_RECLAMACIONES_Trimestral</t>
  </si>
  <si>
    <t>10Mzo26 Gris mandó mensaje a Matín Román con nuevo plan de trabajo con fecha término 29Junio, que contempla la selección de proveedor nuevo y la contratación en la fase de Mapeo 
01Abr26 Gris recibio mensaje por Teams de que Martín terminó el mapeo con el nuevo LayOut, se cambia a estatus Desarrollo pondré HUBSPOT, sin embargo se comentó que para este tema se debe revisar con Jenny si será Control de Cambios o nuevo Caso de Negocio | BRD 
1. Revisar con la UNE fecha de entrega del Control de Cambios a la pantalla de Aclaraciones y reclamaciones</t>
  </si>
  <si>
    <t>1. UNE (Matín)</t>
  </si>
  <si>
    <t>112_CARGOS DIFERIDOS_Mensual</t>
  </si>
  <si>
    <t>127_ENT_R35_3511_INSUMO_Mensual</t>
  </si>
  <si>
    <t>1. Validar con Riesgos la entrega hasta la autorizacion de la licencia (36 meses)</t>
  </si>
  <si>
    <t>1. Riesgos (Homero / Eduardo)</t>
  </si>
  <si>
    <t xml:space="preserve">27Mzo2026 Gris cambio las fechas de termino de fase de acuerdo a nuevas fechas reestimadas aprobadas en sesión Steerco del 24Mzo26
</t>
  </si>
  <si>
    <t>197_ENT_OPERACIONESOEMN_Mensual</t>
  </si>
  <si>
    <t>198_ENT_FT_R2911_Mensual</t>
  </si>
  <si>
    <t>57_ENT_TITULARES_GARANTIZADOS_Mensual</t>
  </si>
  <si>
    <t>06Abr26  (Luis comento a Gris NTTData entregó ay se encuentra en estatus VALIDA US 
31Mzo26 Gris mandó correo a Luis Alberto para que nos de fecha de término de Aclaraciónes, BW ya contestó 
19Mzo26 BW envía correo para aclaración de dudas de Luis Alberto
19Mzo26 Gris pregunta a Jenny cuando tendremos respuesta de NTT
Ya se entregó el desarrollo desde Junio 25 | Se requiere poner en ATOM para que usuario los valide | si es en ATOM se requiere que manden el nombre exacto para poder localizarlo para validarlo
1. Revisar el alojamiento de los archivos para subirlos a ATOM, porque no se recibión correo avisando la ejecución</t>
  </si>
  <si>
    <t>1. PM (Jennifer) / Desarrollo (Erik/Carlos)</t>
  </si>
  <si>
    <t>104_ENT_TADESCOM_BAJA_Mensual</t>
  </si>
  <si>
    <t>103_ENT_TADESCOM_ALTA_Mensual</t>
  </si>
  <si>
    <t xml:space="preserve">Contabilidad </t>
  </si>
  <si>
    <t>62_ENT_PARTES_RELACIONADAS_Mensual</t>
  </si>
  <si>
    <t>Asignado a Captación | Contabilidad | Crédito | Riesgo (Definir Owner)</t>
  </si>
  <si>
    <t>30Mzo26 Gris manda correo a Erik y Carlos Valicación BW
25mZO26 Ramón Jaimes envió VoBo. de TXT por correo el 25Mzo26, Gris registra 06. BW-EJECUCION
09Mzo26 Erik manda correo se liberó el LayOut | Gris manda correo a Ramón para su validación 
04Mar26 Gris cambia estado 03. Desarrollo | Ramón entregó Mapeo 
1. Revisar mapeo de la información (Partes relacionadas)
2. Revisar integración de información de crédito y captación</t>
  </si>
  <si>
    <t>1. Captacion (Arturo)
2. Captacion (Arturo) / Operaciones (Luis A.)</t>
  </si>
  <si>
    <t>9_ENT_R04A_SALDOS_Mensual</t>
  </si>
  <si>
    <t>1. Identificar faltantes para liberar reportes</t>
  </si>
  <si>
    <t>270226 Gris cambio estatus a Validación por Usuario ya que en correo Erik listado de liberados
1. Desarrollo (Carlos/Erik)</t>
  </si>
  <si>
    <t>POR DEFINIR</t>
  </si>
  <si>
    <t>26Feb26 Bajaware |  Gris preguntó a Martín quién aprobo que no aplica, la respuesta de Martín a Gricelda por WhatsApp fue que se decidio en una sesión que se tuvo con Captación, producto y operaciones. Gris comento a Luis y  contestó que on nosotros no lo vio a ese detalle, pero si el PMO ya determino que no aplica adelante, yo no podría decirte si aplica o no. En su caso quien te lo podría confirmar a detalle sería Bajawar
1. Solicitar confirmación del Usuarios  de que están enterados de que no aplica este reporte</t>
  </si>
  <si>
    <t>22_ENT_R04A_MOV_419_Mensual</t>
  </si>
  <si>
    <t>04Mzo26 Gris manda correo a Ramón para que valide TXT  | Correo que mandó Carlos Torres | Se cambia a estatus 04. VALIDA US 
1. Reporte en Desarrollo validar fecha de entrega</t>
  </si>
  <si>
    <t>1. Desarrollo (Erik/Carlos</t>
  </si>
  <si>
    <t>130_ENT_R03_ORDENES_Diaria</t>
  </si>
  <si>
    <t>04Mar26 Gris cambia de Desarrillo a Validación US
1. Configurar tablas vacias para envío a Desarrollo
2. Actualmente marcadas como cerradas habilitar en Desarrollo cuando inicie</t>
  </si>
  <si>
    <t>199_ENT_R03_E_0304_ASIGNACIONES_BM_Mensual</t>
  </si>
  <si>
    <t>60_ENT_USO_DE_SERVICIOS_Mensual</t>
  </si>
  <si>
    <t>06Abr26  (Luis comento a Gris NTTData entregó | regresa a mapeo de campos por que cuando se mapeo en inicio no estaba en estructura organizaciónal Tesorería, hoy se revisarán campos con tesorería y por tanto regresa a estatus de 03. VALIDA US 
19Mzo26 Gris pregunta a Jenny cuando tendremos respuesta de NTT
1. Revisar el alojamiento de los archivos para subirlos a ATOM, porque no se recibión correo avisando la ejecución
2. No hay información en Tabla Silver</t>
  </si>
  <si>
    <t>1. PM (Jennifer) / Desarrollo (Erik/Carlos)
2. Desarrollo (Erik/Carlos)</t>
  </si>
  <si>
    <t>119_ENT_PRESTAMOS_VALORES_Diaria</t>
  </si>
  <si>
    <t>10_ENT_PERSONA_Mensual</t>
  </si>
  <si>
    <t>19Mzo26 Gris mandó correo 13Mzo26 a Luis para validación de LayOut que entregó Desarrollo, en espera de VoBo o ajustes
1. Integrar informacion Histórica de la pantalla Comercial. Riesgos envío histórico de 2017 a la fecha. Correr el proceso para identificar el universo de créditos generados e identificar si es necesario el histórico total</t>
  </si>
  <si>
    <t>70_CUP_CNR_PENALIZACION_Solo cuando hay nuevas contrapartes</t>
  </si>
  <si>
    <t>4_PAGOS_EXIGIBLES_Mensual</t>
  </si>
  <si>
    <r>
      <rPr>
        <sz val="11"/>
        <color rgb="FF000000"/>
        <rFont val="Aptos Narrow"/>
        <family val="2"/>
        <scheme val="minor"/>
      </rPr>
      <t xml:space="preserve">
</t>
    </r>
    <r>
      <rPr>
        <sz val="11"/>
        <color rgb="FF000000"/>
        <rFont val="Aptos Narrow"/>
        <family val="2"/>
        <scheme val="minor"/>
      </rPr>
      <t>270226 Gris cambio estatus a Validación por Usuario ya que en correo Erik listado de liberados
1. Revisar estatus con el área de Desarrollo</t>
    </r>
  </si>
  <si>
    <t>1. Desarrollo (Erik/Carlos)</t>
  </si>
  <si>
    <t>23_ENT_R04A_MOV_420_24_Mensual</t>
  </si>
  <si>
    <t>Se depende de la sesión que el PMO iba a agendar con Contabilidad para cerrar el tema</t>
  </si>
  <si>
    <t>24Mzo16, Ramón aprobó, se mandará a 06. EJECUCION BW hoy 30Mzo26 Paquete 2 
1. Ya se recibió información de Oepraciones, falta que Contabilidad integre sus datos</t>
  </si>
  <si>
    <t>1. Contabilidad (Ramón)</t>
  </si>
  <si>
    <t>27Mzo2026 Gris cambio las fechas de termino de fase de acuerdo a nuevas fechas reestimadas aprobadas en sesión Steerco del 24Mzo26</t>
  </si>
  <si>
    <t>113_ENT_OPERACIONES_DE_CLIENTES_BE_Trimestral</t>
  </si>
  <si>
    <t>19Mzo26 Gris manda recordatorio por correo a Arturo de que debe entregar el BRD a Jenny para que NTT genere el reporte, se solicitó fecha de entrega, Desarrollo informa que ya se encuentra la estructura lista. 
25/02 Arturo me indico por chat que concluyo el mapeo, Gricelda Manda correo para confirmación y asignación a desarrollo por Azure
1. Revisar mapeo de la información (Clientes Banca electrónica)</t>
  </si>
  <si>
    <t>68_CUP_CNR_MORA_Solo cuando hay nuevas contrapartes</t>
  </si>
  <si>
    <t xml:space="preserve">04. VALIDA US </t>
  </si>
  <si>
    <t>124_ENT_REPORTOS_MODIF_TASAPREMIO_Diaria</t>
  </si>
  <si>
    <t>13Mzo23 Gris manda correo a Ale para que valide sólo estructura irá en vacío 
07Abr26 Alejandro R. informó a Gris que este LayOut irá sólo la estructura, gris informa a Erik y Carlos por correo y asigna tarea en Azure y cambia estatus de MAPEO a DESARROLLO
06Abr26 Este irá vacío se mandará se comunica a Desarrollo 
29Feb26 Gris mandó correo a Alejandro para validación, ya concluyó el desarrollo, en espera de VoBo. 
1. Revisar fecha de entrega de mapeo
2. Solicitar fecha de integración de Reporte de Transacciones</t>
  </si>
  <si>
    <t>134_ENT_RC17_MERCANCIAS_Mensual</t>
  </si>
  <si>
    <t>18Mzo26 Gris cambia estatus a 06. EJECUCIÓN BAJAWARE 
1. Reportes que se llenan directamente con el sistema de Bajaware y validar que se generen</t>
  </si>
  <si>
    <t>96_MDEF_SUC_CAJAS_Mensual</t>
  </si>
  <si>
    <t>01Abr26 Gris mandó correo a claudia para validación, es de los LayOut´s que sufrieron cambios (correo que mando BW), fue remapeado y Erik concluyo el desarrollo 31Mzo26
31Mzo26 Gris revisó con Desarrollo y en progreso el LayOut
30Mzo26 Se concluyó el remapeo, Claudia envió correo 27Mzo26, gris cambio estatus a desarrollo y asigno la tarea el 30Mzo26
25Mzo26 BW (Francisco) mandó correo 25Mzo26 informado que este LayOut había tenido cambios, Gris regresa a estarus 02. MAPEO y manda correo a Claudia para complementar el mapeo. 
1. Ejecutar en Bajaware en cuanto esté habilitado su sistema</t>
  </si>
  <si>
    <t>98_MDEF_CAJERO_PROPIO_Mensual</t>
  </si>
  <si>
    <t>97_MDEF_CAJERO_EXTERNO_Mensual</t>
  </si>
  <si>
    <t>100_MDEF_BOVEDA_PROPIA_Mensual</t>
  </si>
  <si>
    <t>99_MDEF_BOVEDA_EXTERNA_Mensual</t>
  </si>
  <si>
    <t>yo recuerdo que si iba a ser asi, como el insumo es uno de base y no se vuelve a cargar, solo iban a exportar esa info a base de datos y ya</t>
  </si>
  <si>
    <t>14_ENT_LINEACREDITO_Mensual</t>
  </si>
  <si>
    <t>19Mzo26 Gris mandó correo 13Mzo26 a Luis para validación de LayOut que entregó Desarrollo, en espera de VoBo o ajustes
09Mzo26 Se enviaron archivos por parte de Homero | Gabriel || Miguel 
1. Integrar informacion Histórica de la pantalla Comercial. Riesgos envío histórico de 2017 a la fecha. Correr el proceso para identificar el universo de créditos generados e identificar si es necesario el histórico total</t>
  </si>
  <si>
    <t>27_ENT_INVERSIONES_PERMANENTES_Mensual</t>
  </si>
  <si>
    <t>14Mzo26 Gris regreso a fase de 02. MAPEO por que se recibió correo de BW (francisco) que hay una nueva versión del Reporte (LayOut), Gris subió la nueva versión a la carpeta, Gris mandó correo a Ramón y a los directores para dar aviso y le entregó la nueva versión de reporte, correo: Re: Estatus pruebas BW | Contabilidad
18Mzo26 Gris cambia estatus a 06. EJECUCIÓN BAJAWARE 
1. Ejecutar en Bajaware en cuanto esté habilitado su sistema</t>
  </si>
  <si>
    <t>26_ENT_INTEGRACION_ACCIONARIA_Trimestral</t>
  </si>
  <si>
    <t>59_ENT_PRODUCTOS_CAPTACION_Mensual</t>
  </si>
  <si>
    <t>"06Abr26  (Luis comento a Gris NTTData entregó | regresa a mapeo de campos por que cuando se mapeo en inicio no estaba en estructura organizaciónal Tesorería, hoy se revisarán campos con tesorería y por tanto regresa a estatus de 03. VALIDA US 
19Mzo26 Gris pregunta a Jenny cuando tendremos respuesta de NTT
1. Revisar el alojamiento de los archivos para subirlos a ATOM, porque no se recibión correo avisando la ejecución
2. No hay información en Tabla Silver"
19Mzo26 BW envió correo para acparación de dudas de Luis 
19Mzo26 Gris revisa con Jenny si se encuentra ya estatus NTT
Ya se entregó el desarrollo desde Junio 25 | Se requiere poner en ATOM para que usuario los valide | si es en ATOM se requiere que manden el nombre exacto para poder localizarlo para validarlo
1. Revisar el alojamiento de los archivos para subirlos a ATOM, porque no se recibión correo avisando la ejecución</t>
  </si>
  <si>
    <t>1. PM (Jennifer) / Desarrollo (Erik/Carlos)
2. PM (Jennifer) / Desarrollo (Erik/Carlos)</t>
  </si>
  <si>
    <t>33_ENT_R07_Mensual</t>
  </si>
  <si>
    <t>25_ENT_HIPOTECARIO_Mensual</t>
  </si>
  <si>
    <t>19Mzo26 Gris manda correo a Luis para revisión solicitando Observaciones o en su caso VoBo. (Erik mandó correo de HIPOTECARIO desarrollo liberado)
270226 Gris cambio estatus a Validación por Usuario ya que en correo Erik mando listado de liberados
1. Identificar faltantes para liberar reportes</t>
  </si>
  <si>
    <t>2_ENT_GARANTIA_CONSUMO_Mensual</t>
  </si>
  <si>
    <t>8_ENT_GARANTIA_Mensual</t>
  </si>
  <si>
    <t>31Mzo26 Gris mandó correo a Luis para informar que puede vaidarlo, es LayOut que se incluye en pruebas DUMMY 
09Mzo26 Se enviaron archivos por parte de Homero | Gabriel || Miguel 
1. Revisar con Riesgos si se refiere al campo RELACIÓN del archivo de ALTAS</t>
  </si>
  <si>
    <t>1. Desarrollo (Carlos/Erik) / Riesgos (Homero,Gabriel)</t>
  </si>
  <si>
    <t>136_ENT_GAMMA_VEGA_Mensual</t>
  </si>
  <si>
    <t>30Mzo26 Gris mandó mensaje a Eduardo Cabral, Homero y Alex con copia a Eduardo Santiago para preguntar estatus real 
1. Revisar con las áreas de Tesorería y Riesgos la asignacion del Reporte</t>
  </si>
  <si>
    <t>1. Tesorería (Alejandro) / Riesgos (Homero / Eduardo)</t>
  </si>
  <si>
    <t>135_ENT_INFIMP_Trimestral</t>
  </si>
  <si>
    <t xml:space="preserve">75_ENT_TENENCIA_REPAD_Solo cuando hay nuevas contrapartes </t>
  </si>
  <si>
    <r>
      <rPr>
        <sz val="11"/>
        <color rgb="FF000000"/>
        <rFont val="Aptos Narrow"/>
        <family val="2"/>
        <scheme val="minor"/>
      </rPr>
      <t xml:space="preserve">07Abr26 Alejandro R. informó a Gris que este LayOut irá sólo la estructura, gris informa a Erik y Carlos por correo y asigna tarea en Azure y cambia estatus de MAPEO a DESARROLLO
1. Revisar fecha de entrega de mapeo
2. Solicitar fecha de integración de Reporte de Transacciones
</t>
    </r>
    <r>
      <rPr>
        <sz val="11"/>
        <color rgb="FFFF0000"/>
        <rFont val="Aptos Narrow"/>
        <family val="2"/>
        <scheme val="minor"/>
      </rPr>
      <t>3. Buscar el avance y continuar con el mapeo</t>
    </r>
  </si>
  <si>
    <t>06Abr26 Se envío correo de entrega TXT de NTT, 07Abr26 Alejandro Romero mandó correo que validará se encuentra copiado Ed. 
1. Revisar fecha de integracion de información manual
2. Solicitar fecha de integración de Reporte de Transacciones</t>
  </si>
  <si>
    <t>121_ENT_REPORTOS_MN_ME_Diaria</t>
  </si>
  <si>
    <t>06Abr26 Se envío correo de entrega TXT de NTT, 07Abr26 Alejandro Romero mandó correo que validará se encuentra copiado Ed. 
1. Revisar fecha de entrega de mapeo
2. Solicitar fecha de integración de Reporte de Transacciones
3. Buscar el avance y continuar con el mapeo</t>
  </si>
  <si>
    <t>102_ENT_TASAS_PASIVAS_Diaria</t>
  </si>
  <si>
    <t>Estructura | VoBo sobre estructura</t>
  </si>
  <si>
    <t>"06Abr26  (Luis comento a Gris NTTData entregó | regresa a mapeo de campos por que cuando se mapeo en inicio no estaba en estructura organizaciónal Tesorería, hoy se revisarán campos con tesorería y por tanto regresa a estatus de 03. VALIDA US 
19Mzo26 Gris Revisará nuevamente con Jenn
270226 Gris pregunto a Jenn por Teams lo que está trabajando NTT me pudes compartir el listado de los reportes (Nombre del reporte que esta trabajando NTT con el nombre del LayOut correspondiente) en espera de respuesta 
Ya se entregó el desarrollo desde Junio 25 | Se requiere poner en ATOM para que usuario los valide | si es en ATOM se requiere que manden el nombre exacto para poder localizarlo para validarlo
1. Revisar el alojamiento de los archivos para subirlos a ATOM, porque no se recibión correo avisando la ejecución</t>
  </si>
  <si>
    <t>78_PAC_II_Mensual</t>
  </si>
  <si>
    <t>81_CVT TR_Diaria</t>
  </si>
  <si>
    <t>1. Revisar fecha de entrega de mapeo
2. Solicitar fecha de integración de Reporte de Transacciones</t>
  </si>
  <si>
    <t>83_ENT_CVT_IN_Diaria</t>
  </si>
  <si>
    <t>82_ENT_CVT_MN_ME_Diaria</t>
  </si>
  <si>
    <t>Belem Alvarado</t>
  </si>
  <si>
    <t>137_ENT_ACLME_X_Diaria</t>
  </si>
  <si>
    <t>NTT | ROCHA</t>
  </si>
  <si>
    <t xml:space="preserve">1. Revisar mapeo de la información (ACLME)
</t>
  </si>
  <si>
    <t>29_ENT_FLUJOS_Trimestral</t>
  </si>
  <si>
    <t>06Abt26 Gris cambia fechas por impacto, hay una nueva versión de LayOut (Reporte), debido a que fue actualizado y BW nos hizo llegar la nueva version 
01Abr26 Gris manda correo a contabilidad para considerar remapeo por cambio de nueva versión, archivo que nos hizo llegar BW 
18Mzo26 Gris cambia estatus a 06. EJECUCIÓN BAJAWARE a 02. MAPEO
1. Ejecutar en Bajaware en cuanto esté habilitado su sistema</t>
  </si>
  <si>
    <t>42_ENT_TITULOS_DEUDA_Mensual</t>
  </si>
  <si>
    <t>120_ENT_TIPOCAMBIO_DIARIO_Diaria</t>
  </si>
  <si>
    <t>84_ENT_TENENCIA_PRECIO_Semanal</t>
  </si>
  <si>
    <t>1. Revisar fecha de entrega de mapeo de información
2. Solicitar fecha de integración de Reporte de Transacciones</t>
  </si>
  <si>
    <t>1.Tesoreria (Alejandro)
2. PM (Jennifer)</t>
  </si>
  <si>
    <t>105_SISPAGOS_IO_Trimestral</t>
  </si>
  <si>
    <t>100326 Luis mandó correo para comentar que en este LayOut no estaba en su momento contemplado Fraudes, y que Angelica como solución dará la información con un excel para complemento de campos que Fraudes debe dar, Desarrollo deberá hacer la integración de lo que Luis mande más lo que Angelica complementará en excel, BW | LayOut´s que tienen registro "Los trabaja Bajaware" en archivo maestro 
270226 Gris cambio estatus a Validación por Usuario ya que en correo Erik listado de liberados
Ya se entregó el desarrollo desde Junio 25 | Se requiere poner en ATOM para que usuario los valide | si es en ATOM se requiere que manden el nombre exacto para poder localizarlo para validarlo
1. Revisar el alojamiento de los archivos para subirlos a ATOM, porque no se recibión correo avisando la ejecución</t>
  </si>
  <si>
    <t>08. CERRADO</t>
  </si>
  <si>
    <t>49_ENT_RC19_INSUMO_Mensual</t>
  </si>
  <si>
    <t>21Abr26 Gris cambia a Cerrado ya que Eduardo Santiago mandó correo de que no aplica | Correo: RV: Duda Layout "LAYOUTS_RCS_v5" pestaña "FILE_RC19_INSUMO"
1. Validar si se envía vacio o no aplica</t>
  </si>
  <si>
    <t>1. Tesorería (Alejandro) / Captación (Arturo) / Riesgos (Homero/Eduardo)</t>
  </si>
  <si>
    <t>48_ENT_RC08_INT_ACC_Mensual</t>
  </si>
  <si>
    <t>31Mzo26 Gris cambia estado a VALIDA US, se mando liga para accesos para ATOM que Homero había solicitado | Fecha en que se libero al usuario por medio de correo de Gris 26Mzo26
20Mzo26 Eduardo Santiago mandó correo para avisar que este LayOut irá en blanco, sólo estructura, Gris solicita a Desarrollo atención 
Gris generó sesión y se acordó con HOmero, Eduard Santiago que este LayOut quedaba en riesgos como Owner
1. Revisar con las área de Tesorería | 200226_ Revisar con Bajaware</t>
  </si>
  <si>
    <t>1. Tesorería(Alejandro)</t>
  </si>
  <si>
    <t>46_ENT_RC06A_DERIVADOS_TEMP_Mensual</t>
  </si>
  <si>
    <t>50_ENT_RC_CTACOB_INSUMO_Mensual</t>
  </si>
  <si>
    <t>1. Se realizo consulta via correo a Bajaware para identificar que información requiere este reporte</t>
  </si>
  <si>
    <t>158_R01_PAGOS_ANT_Mensual</t>
  </si>
  <si>
    <t>Gris generó sesión y se acordó con HOmero, Eduard Santiago que este LayOut quedaba en riesgos como Owner
1. Revisar con las áreas de Tesorería y Operaciones la asignación del Reporte |  200226_ Revisar con Bajaware</t>
  </si>
  <si>
    <t>1. Tesorería(Alejandro) / Operaciones (Luis A.) / Riesgos (Homero/Eduardo)</t>
  </si>
  <si>
    <t>79_ENT_POSICION_ACCIONES_Mensual</t>
  </si>
  <si>
    <t>152_ENT_OPTO_X_Diaria</t>
  </si>
  <si>
    <t>No se operan Warrants</t>
  </si>
  <si>
    <t>147_ENT_OPTO_MEREC_CONVO_Diaria</t>
  </si>
  <si>
    <t>151_ENT_OPTO_IX_COM_Diaria</t>
  </si>
  <si>
    <t>150_ENT_OPTO_IX_Diaria</t>
  </si>
  <si>
    <t>145_ENT_OPTO_III_Diaria</t>
  </si>
  <si>
    <t>146_ENT_OPTO_II_COM_Diaria</t>
  </si>
  <si>
    <t>No  se operan paquete de opciones</t>
  </si>
  <si>
    <t>144_ENT_OPTO_II_Diaria</t>
  </si>
  <si>
    <t>020326 1. Configurar tablas vacias para envío a Desarrollo
| Se comentó en sesión que este irá en vacío, Gris envio correo a Alex del acuerdo,  
1. Revisar fecha de entrega de mapeo
2. Solicitar fecha de integración de Reporte de Transacciones</t>
  </si>
  <si>
    <t>143_ENT_OPTO_I_Diaria</t>
  </si>
  <si>
    <t>09Mzo26 Carlos envió correo de conclusión de desarrllo | Gris manda correo para que Eduardo Cabral valide estructura
1. Configurar tablas vacias para envío a Desarrollo
2. Actualmente marcadas como cerradas habilitar en Desarrollo cuando inicie</t>
  </si>
  <si>
    <t>148_ENT_OPTO_CONVO_Diaria</t>
  </si>
  <si>
    <t>30Mzo26 Gris mandó correo en dónde solicita a Alejandro la validación de LayOut que irá en vacío, sólo estructura
25Mzo26 Alex mandó correo informando que este layOut irá en vacío, sólo se desarrollará la estructura. Gris manda correo a Erik y Carlos y genera tarea en Azure 
1. Revisar mapeo de la informacion
2. Alejandro revisa con Eduardo si aplican estas operación o se manda vacio el reporte, probablemente no se operen como covertura
3. Solicitar fecha de integración de Reporte de Transacciones</t>
  </si>
  <si>
    <t>1. Tesoreria (Alejandro)
2. Tesoreria (Alejandro)
3. PM (Jennifer)</t>
  </si>
  <si>
    <t>131_ENT_OFF_CONVAL_Diaria</t>
  </si>
  <si>
    <t>133_ENT_OFF_Diaria</t>
  </si>
  <si>
    <t>107_ENT_OCIM_2_Diaria</t>
  </si>
  <si>
    <t>13Mzo26 Jen manda correo con duda de si es mensual o mensual | correo: Entrega de Archivos
06Abr26  (Luis comento a Gris NTTData entregó | regresa a mapeo de campos por que cuando se mapeo en inicio no estaba en estructura organizaciónal Tesorería, hoy se revisarán campos con tesorería y por tanto regresa a estatus de  03. VALIDA US  
19mZO23 Gris revisa con Jenny si se encuentra ya estatus NTT
1. Revisar el alojamiento de los archivos para subirlos a ATOM, porque no se recibión correo avisando la ejecución</t>
  </si>
  <si>
    <t>02 MAPEO</t>
  </si>
  <si>
    <t>108_ENT_OCIM_1_Diaria</t>
  </si>
  <si>
    <t>21Abr26 Gris cambia a estatus 02. MAPEO por complemento de mapeo, se genera BRD
06Abr26  (Luis comento a Gris NTTData entregó | regresa a mapeo de campos por que cuando se mapeo en inicio no estaba en estructura organizaciónal Tesorería, hoy se revisarán campos con tesorería y por tanto regresa a estatus de  03. VALIDA US   
19Mzo26 BW envió correo para aclaración de Luis del LayOut
19Mzo26 Gris revisa con Jenny si se encuentra ya estatus NTT
1. Revisar el alojamiento de los archivos para subirlos a ATOM, porque no se recibión correo avisando la ejecución
2. Desarrollo reporta tabla vacia</t>
  </si>
  <si>
    <t>91_ENT_ML_Diaria</t>
  </si>
  <si>
    <t>1. Revisar fecha de inicio y fin de mapeo</t>
  </si>
  <si>
    <t>142_ENT_GARANTIAS_IV_Semanal</t>
  </si>
  <si>
    <t>141_ENT_GARANTIAS_III_Semanal</t>
  </si>
  <si>
    <t>140_ENT_GARANTIAS_II_Semanal</t>
  </si>
  <si>
    <t>139_ENT_GARANTIAS_I_Semanal</t>
  </si>
  <si>
    <t>132_ENT_FUT_CONVAL_Diaria</t>
  </si>
  <si>
    <t>80_CVT TRP_Diaria</t>
  </si>
  <si>
    <t>51_ENT_CONTRAPARTES_Solo cuando hay nuevas contrapartes</t>
  </si>
  <si>
    <t>09Mzo26 Carlos envía correo que ya concluyó Desrrollo | Gris manda correo a Eduardo Cabral para VALIDACION US. 
1. En prcoeso de Desarrollo validar fecha de entrega
2. Solicitar fecha de integración de Reporte de Transacciones</t>
  </si>
  <si>
    <t>1. Desarrollo (Erick/Carlos)</t>
  </si>
  <si>
    <t>92_CFEN_Mensual</t>
  </si>
  <si>
    <t>Estructura y universo NTT | ROCHA</t>
  </si>
  <si>
    <t xml:space="preserve">1. Validar avance de mapeo de la información </t>
  </si>
  <si>
    <t>45_ENT_CARTERA_LINEA_Mensual</t>
  </si>
  <si>
    <t>44_ENT_CARTERA_Mensual</t>
  </si>
  <si>
    <t>110_ENT_CAPTACION_Mensual</t>
  </si>
  <si>
    <t>21Abr26 Gris cambió a estatus 02. MAPEO debido a que se complementa mapeo y hay otros involucrados, se madura BRD 
14Mzo26 Se generó un BRD complementario ya que en la revisión Tesorería y Finanzas debían información para completar el reporte | Luis está gestionando con Jenny el desarrollo de esos nuevos requerimientos
06Abr26  (Luis comento a Gris NTTData entregó | regresa a mapeo de campos por que cuando se mapeo en inicio no estaba en estructura organizaciónal Tesorería, hoy se revisarán campos con tesorería y por tanto regresa a estatus de  03. VALIDA US   
270226 Gris cambio estatus a Validación por Usuario ya que en correo Erik listado de liberados
Ya se entregó el desarrollo desde Junio 25 | Se requiere poner en ATOM para que usuario los valide | si es en ATOM se requiere que manden el nombre exacto para poder localizarlo para validarlo
1. Revisar el alojamiento de los archivos para subirlos a ATOM, porque no se recibión correo avisando la ejecución</t>
  </si>
  <si>
    <t>43_ENT_ACLME_OPE_VIG_Mensual</t>
  </si>
  <si>
    <t>126_ENT_ACLME_CONCEPTOSFIJOS_Diaria</t>
  </si>
  <si>
    <t>138_ENT_ACLME_AJUSTES_Diaria</t>
  </si>
  <si>
    <t>125_ENT_ACLME_Diaria</t>
  </si>
  <si>
    <t>39_ENT_EVENTOS_ROP_Anual</t>
  </si>
  <si>
    <t>64_CUP_VAR_PROD_DEPO_Solo cuando hay nuevas contrapartes</t>
  </si>
  <si>
    <t>38_ENT_CUOTAS_IPAB_DEF_Mensual</t>
  </si>
  <si>
    <t>08Abr26 Se mandó correo a Ramón de dudas que salieron por parte de Desarrollo | RE: RR IPAB
31Mzo26 Desarrollo manda correo de conclusión, Gris envía correo a Ramón para validación.
18Mzo26 Gris manda correo para dar continuidad a Desarrollo
10Mzo26 Ramón mandó correo indicando término de mapeo | 11Mzo16 Gricelda envío correo para desarrollo y asignó tarea en Azure 
1. Revisar fecha de entrega de mapeo de información</t>
  </si>
  <si>
    <t>109_ENT_CAJA_CAPTACION_Diaria</t>
  </si>
  <si>
    <t>Estructura y universoValidar con usuario si aplican</t>
  </si>
  <si>
    <t>13Mzo28 Jenni mandó correo para que se pueda extraer el TXT NTT Data correo: Entrega de archivos TXT para validación – RR
19Mzo26 BW envió corro para aclaración de dudas de Luis Alberto
270226 Gris cambio estatus a Validación por Usuario ya que en correo Erik listado de liberados
Ya se entregó el desarrollo desde Junio 25 | Se requiere poner en ATOM para que usuario los valide | si es en ATOM se requiere que manden el nombre exacto para poder localizarlo para validarlo
1. Revisar el alojamiento de los archivos para subirlos a ATOM, porque no se recibión correo avisando la ejecución</t>
  </si>
  <si>
    <t>30_ENT_ELIMINACIONES_Mensual</t>
  </si>
  <si>
    <t>65_CUP_REGELE_DEPO_Solo cuando hay nuevas contrapartes</t>
  </si>
  <si>
    <t>67_CUP_ELEGIBILIDAD_Solo cuando hay nuevas contrapartes</t>
  </si>
  <si>
    <t>73_CUP_DINPERSONAL_Solo cuando hay nuevas contrapartes</t>
  </si>
  <si>
    <t>12_ENT_REL_CREDITO_GARANTIA_PER_Mensual</t>
  </si>
  <si>
    <t>06Abr26 Luis Alberto valido estructura, se en cuentra al 100% para datos Dummy, falta validad la calidad de datos
270226 Gris cambio estatus a Validación por Usuario ya que en correo Erik listado de liberados
1. Riesgos confirma que el valor fijo será Cero, vlidar con desarrollo que asi esté mapeado</t>
  </si>
  <si>
    <t>11_ENT_REL_CREDITO_GARANTIA_Mensual</t>
  </si>
  <si>
    <t>06Abr26 Luis Alberto valido estructura, se en cuentra al 100% para datos Dummy, falta validad la calidad de datos
270226 Gris cambio estatus a Validación por Usuario ya que en correo Erik listado de liberados
1. Riesgos envió catálogo revisar como se identifica el tipo de prelacion y validar si así se definió el mapeo desde un inicio</t>
  </si>
  <si>
    <t>13_ENT_CREDITO_Mensual</t>
  </si>
  <si>
    <t>06Abr26 Luis Alberto valido estructura, se en cuentra al 100% para datos Dummy, falta validad la calidad de datos
19Mzo26 Gris mandó correo 13Mzo26 a Luis para validación de LayOut que entregó Desarrollo, en espera de VoBo o ajustes | 19Mzo, se liberó para pruebas Dummy por parte de Desaarrollo 
09Mzo26 Se enviaron archivos por parte de Homero | Gabriel || Miguel 
1. Identificar faltantes para liberar reportes</t>
  </si>
  <si>
    <t>71_CUP_CNR_CORRESPONSAL_Solo cuando hay nuevas contrapartes</t>
  </si>
  <si>
    <t>101_ENT_COREM_Anual</t>
  </si>
  <si>
    <t>1_ENT_CONSUMO_Mensual</t>
  </si>
  <si>
    <t>270226 Gris cambio estatus a Validación por Usuario ya que en correo Erik listado de liberados
1. Identificar faltantes para liberar reportes</t>
  </si>
  <si>
    <t>31_ENT_CONSOLIDACION_Mensual</t>
  </si>
  <si>
    <t>28_ENT_CONCILIACIONES_Trimestral</t>
  </si>
  <si>
    <t>69_CUP_CNR_COMISIONES_Solo cuando hay nuevas contrapartes</t>
  </si>
  <si>
    <t>7_ENT_CLIENTES_PRODUCTO_Trimestral</t>
  </si>
  <si>
    <t>14Mzo26 Gris cambió a VALIDA US, 
13Mzo26 Por la mañana Jenn mandó corroe a Luis corre: Entrega de archivos TXT para validación – RR, dará comentarios por la tarde Jenny 
06Abr26 Se revisó con Luis Alberto y NTT Data ya entregó lo que correponde de Operaciones el estatus para NTT Data se encuentra en Validación por US| Se comenta que Desarrollo tiene que desarrollar para Crédito. 
270226 Gris cambio estatus a Validación por Usuario ya que en correo Erik listado de liberados
Ya se entregó el desarrollo desde Junio 25 | Se requiere poner en ATOM para que usuario los valide | si es en ATOM se requiere que manden el nombre exacto para poder localizarlo para validarlo
1. Revisar el alojamiento de los archivos para subirlos a ATOM, porque no se recibión correo avisando la ejecución</t>
  </si>
  <si>
    <t>1. PM (Jennifer) / Desarrollo (Erik/Carlos)
2. PM (Jennifer) /  Produccion (Jorge)</t>
  </si>
  <si>
    <t>111_ENT_CIP_Anual</t>
  </si>
  <si>
    <t>93_ENT_CF_Semanal</t>
  </si>
  <si>
    <t>1. Revisar con Captación y Tesorería el owner
2. Solicitar fecha de integración de Reporte de Transacciones</t>
  </si>
  <si>
    <t>1. Captación (Arturo) / Tesoreria (Alejandro)
2. PM (Jennifer)</t>
  </si>
  <si>
    <t>94_ENT_CF_II_Semanal</t>
  </si>
  <si>
    <t>35_ENT_R01CATALOGO_MINIMO_Mensual</t>
  </si>
  <si>
    <t>31Mzo26 Gris manda correo y pot Team a Ramón para preguntar Estatus y así mismo pegunta Desarrollo en que estatus lo tienen ellos 
30Mzzo26 Gris reviso con Edgar y mandará correo para Validación 
1. Pendiente de recibir comentarios del Usuario</t>
  </si>
  <si>
    <t>74_CUP_CATPERSONAL_Solo cuando hay nuevas contrapartes</t>
  </si>
  <si>
    <t>52_ENT_CARTERA_RC_ADIC_Mensual</t>
  </si>
  <si>
    <t>41_ENT_CARTERA_RC08A_Mensual</t>
  </si>
  <si>
    <t xml:space="preserve">24Feb26 Se reasigna este LayOut a Luis, estaba asignado a tesorería y en revisión con Luis, Eduardo y Alex se determino que le correspondía a 
1. Se realizo consulta via correo a Bajaware para identificar que información requiere este reporte operaciones crédito </t>
  </si>
  <si>
    <t>Riesgos | Eduardo Santiago</t>
  </si>
  <si>
    <t>53_ENT_RC12IN_PI_MIN_Mensual</t>
  </si>
  <si>
    <t>09Mzo26 Carlos envió correo de liberación de desarrollo | Gris manda correo a Homero para 04. VALIDACION US 
04Mar26 Se entrego mapeo de Negocio y se asigna en Azure a Desarrollo 
1. Validar con Riesgos la entrega hasta la autorizacion de la licencia (36 meses)</t>
  </si>
  <si>
    <t>54_ENT_RC12IN_IN_MIN_Mensual</t>
  </si>
  <si>
    <t>09Mzo26 Carlos envió correo de liberación de desarrollo | Gris manda correo a Homero para su validación
Se reliza una solo carga, indica el usuario se debe relizar hasta la ejecucion con Bajware</t>
  </si>
  <si>
    <t>09Mzo26 Carlos envió correo de liberación de desarrollo | Gris manda correo a Homero para 04. VALIDACION US 
1. Validar con Riesgos la entrega hasta la autorizacion de la licencia (36 meses)</t>
  </si>
  <si>
    <t>122_ENT_REPORTOS_CANASTA_Diaria</t>
  </si>
  <si>
    <t>47_ENT_BIENES_ADJUDICADOS_Mensual</t>
  </si>
  <si>
    <t>66_CUP_BASEOPE_CNR_Solo cuando hay nuevas contrapartes</t>
  </si>
  <si>
    <t>19_ENT_ANEXO22_Mensual</t>
  </si>
  <si>
    <t>18_ENT_ANEXO21_Mensual</t>
  </si>
  <si>
    <t>17_ENT_ANEXO20_Mensual</t>
  </si>
  <si>
    <t>16_ENT_ANEXO19_Mensual</t>
  </si>
  <si>
    <t>15_ENT_ANEXO18_Mensual</t>
  </si>
  <si>
    <t>40_ENT_ALTA_Y_SEGUIMIENTO_ROP_Trimestral</t>
  </si>
  <si>
    <t>36_ENT_ACM_II_Mensual</t>
  </si>
  <si>
    <t>1. Revisar fecha de entrega de mapeo de información</t>
  </si>
  <si>
    <t>37_FILE_ACM_II_ADIC_Mensual</t>
  </si>
  <si>
    <t>6_ENT_CR_ACLARACIONES_Mensual</t>
  </si>
  <si>
    <t>5_ENT_CNR_ACLARACIONES_Mensual</t>
  </si>
  <si>
    <t>159_CUP_EST_REG_GEN_PROD_VIV_CRED_Solo cuando hay nuevas contrapartes</t>
  </si>
  <si>
    <t>18Mzo26 Se envió a Desarrollo primer paquete para Ejecución BW 
1. Ejecutar en Bajaware en cuanto esté habilitado su sistema</t>
  </si>
  <si>
    <t>162_CUP_EST_HIPO_VIV_CRED_Solo cuando hay nuevas contrapartes</t>
  </si>
  <si>
    <t>168_CUP_BASE_OP_HIPO_VIV_CRED_Solo cuando hay nuevas contrapartes</t>
  </si>
  <si>
    <t>171_CUP_ELEG_HIPO_VIV_CRED_Solo cuando hay nuevas contrapartes</t>
  </si>
  <si>
    <t>174_CUP_MORA_HIPO_VIV_CRED_Solo cuando hay nuevas contrapartes</t>
  </si>
  <si>
    <t>177_CUP_COM_HIPO_VIV_CRED_Solo cuando hay nuevas contrapartes</t>
  </si>
  <si>
    <t>180_CUP_PEN_HIPO_VIV_CRED_Solo cuando hay nuevas contrapartes</t>
  </si>
  <si>
    <t>183_CUP_PEN_HIPO_2_VIV_CRED_Solo cuando hay nuevas contrapartes</t>
  </si>
  <si>
    <t>186_CUP_SEG_HIPO_VIV_CRED_Solo cuando hay nuevas contrapartes</t>
  </si>
  <si>
    <t>189_CUP_CAT_HIPO_VIV_CRED_Solo cuando hay nuevas contrapartes</t>
  </si>
  <si>
    <t>160_CUP_EST_REG_GEN_PROD_CLIQ_CRED_Solo cuando hay nuevas contrapartes</t>
  </si>
  <si>
    <t>163_CUP_EST_HIPO_CLIQ_CRED_Solo cuando hay nuevas contrapartes</t>
  </si>
  <si>
    <t>169_CUP_BASE_OP_HIPO_CLIQ_CRED_Solo cuando hay nuevas contrapartes</t>
  </si>
  <si>
    <t>172_CUP_ELEG_HIPO_CLIQ_CRED_Solo cuando hay nuevas contrapartes</t>
  </si>
  <si>
    <t>175_CUP_MORA_HIPO_CLIQ_CRED_Solo cuando hay nuevas contrapartes</t>
  </si>
  <si>
    <t>178_CUP_COM_HIPO_CLIQ_CRED_Solo cuando hay nuevas contrapartes</t>
  </si>
  <si>
    <t>181_CUP_PEN_HIPO_CLIQ_CRED_Solo cuando hay nuevas contrapartes</t>
  </si>
  <si>
    <t>184_CUP_PEN_HIPO_2_CLIQ_CRED_Solo cuando hay nuevas contrapartes</t>
  </si>
  <si>
    <t>187_CUP_SEG_HIPO_CLIQ_CRED_Solo cuando hay nuevas contrapartes</t>
  </si>
  <si>
    <t>190_CUP_CAT_HIPO_CLIQ_CRED_Solo cuando hay nuevas contrapartes</t>
  </si>
  <si>
    <t>165_CUP_EST_EMP_OFI_CRED_Solo cuando hay nuevas contrapartes</t>
  </si>
  <si>
    <t>166_CUP_EST_EMP_PIN_CRED_Solo cuando hay nuevas contrapartes</t>
  </si>
  <si>
    <t>167_CUP_EST_EMP_PLIQ_CRED_Solo cuando hay nuevas contrapartes</t>
  </si>
  <si>
    <t>161_CUP_EST_REG_GEN_PROD_TERR_CRED_Solo cuando hay nuevas contrapartes</t>
  </si>
  <si>
    <t>164_CUP_EST_HIPO_TERR_CRED_Solo cuando hay nuevas contrapartes</t>
  </si>
  <si>
    <t>170_CUP_BASE_OP_HIPO_TERR_CRED_Solo cuando hay nuevas contrapartes</t>
  </si>
  <si>
    <t>173_CUP_ELEG_HIPO_TERR_CRED_Solo cuando hay nuevas contrapartes</t>
  </si>
  <si>
    <t>176_CUP_MORA_HIPO_TERR_CRED_Solo cuando hay nuevas contrapartes</t>
  </si>
  <si>
    <t>179_CUP_COM_HIPO_TERR_CRED_Solo cuando hay nuevas contrapartes</t>
  </si>
  <si>
    <t>182_CUP_PEN_HIPO_TERR_CRED_Solo cuando hay nuevas contrapartes</t>
  </si>
  <si>
    <t>185_CUP_PEN_HIPO_2_TERR_CRED_Solo cuando hay nuevas contrapartes</t>
  </si>
  <si>
    <t>188_CUP_SEG_HIPO_TERR_CRED_Solo cuando hay nuevas contrapartes</t>
  </si>
  <si>
    <t>191_CUP_CAT_HIPO_TERR_CRED_Solo cuando hay nuevas contrapartes</t>
  </si>
  <si>
    <t>192_EST_EMP_CISCO_CRED_Solo cuando hay nuevas contrapartes</t>
  </si>
  <si>
    <t>193_EST_EMP_PUE_CRED_Solo cuando hay nuevas contrapartes</t>
  </si>
  <si>
    <t>194_EST_EMP_REV_CRED_Solo cuando hay nuevas contrapartes</t>
  </si>
  <si>
    <t>195_EST_EMP_SIMP_CRED_Solo cuando hay nuevas contrapartes</t>
  </si>
  <si>
    <t>196_ENT_XVS_Mensual</t>
  </si>
  <si>
    <t>Estructura y universo | ROCHA</t>
  </si>
  <si>
    <t xml:space="preserve">Este reporte el 17 Mzo26 Erika mencionó que lo sacaramos de estimación al 30Jun26 | Se dará un tratamiento diferente </t>
  </si>
  <si>
    <t xml:space="preserve">BRD Complementario </t>
  </si>
  <si>
    <t xml:space="preserve">Estatus de los proyectos </t>
  </si>
  <si>
    <t>Sólo va estructura vacía (no llevan datos)</t>
  </si>
  <si>
    <t>No aplica para la operación (de los primeros productos que se van a ofrecer en ION)</t>
  </si>
  <si>
    <t>Mapeos Rocha Mendoza Compañía (RMC)</t>
  </si>
  <si>
    <t>-- GRIS -- CAMBIAR ESTATUS EN AZURE A CERRADO</t>
  </si>
  <si>
    <t>-- Y HABILITAR CONDO INICIE PROCESO DE DESARROLLO</t>
  </si>
  <si>
    <r>
      <t>Layout /</t>
    </r>
    <r>
      <rPr>
        <b/>
        <sz val="11"/>
        <color rgb="FFFFFFFF"/>
        <rFont val="Calibri"/>
        <family val="2"/>
      </rPr>
      <t xml:space="preserve"> Fase</t>
    </r>
  </si>
  <si>
    <t>LayOut</t>
  </si>
  <si>
    <t>Fase Actual</t>
  </si>
  <si>
    <t>Duración</t>
  </si>
  <si>
    <t>Inicio</t>
  </si>
  <si>
    <t>Fin</t>
  </si>
  <si>
    <t>% Avance Real</t>
  </si>
  <si>
    <t>% Avance Esperado</t>
  </si>
  <si>
    <t>RMC</t>
  </si>
  <si>
    <t>Cuenta de Area</t>
  </si>
  <si>
    <t>Cuenta de Pestañas</t>
  </si>
  <si>
    <t>Total</t>
  </si>
  <si>
    <t>Archivo</t>
  </si>
  <si>
    <t>Layout TPA BW_v2 – TPA</t>
  </si>
  <si>
    <t>Tesoreria y Operaciones</t>
  </si>
  <si>
    <t>No aplican o se ejecutarán de forma manual</t>
  </si>
  <si>
    <t>Procentaje de avance de mapeo</t>
  </si>
  <si>
    <t>STATUS MAPEO POR ÁREA</t>
  </si>
  <si>
    <t>TOTAL EN MAPEO</t>
  </si>
  <si>
    <t>&lt; =20%</t>
  </si>
  <si>
    <t>20% - 49%</t>
  </si>
  <si>
    <t>50% - 79%</t>
  </si>
  <si>
    <t>80% &lt;=</t>
  </si>
  <si>
    <t>Layout con porcentaje de mapeo asignado</t>
  </si>
  <si>
    <t>Dif</t>
  </si>
  <si>
    <t>Procentaje de avance de Desarrollo</t>
  </si>
  <si>
    <t>Descripcion</t>
  </si>
  <si>
    <t>Refencia</t>
  </si>
  <si>
    <t>Arturo Angeles Mendez</t>
  </si>
  <si>
    <t>Diego Antonio Ochoa Maynez</t>
  </si>
  <si>
    <t>Eduardo Cabral Ladron de Guevara</t>
  </si>
  <si>
    <t>Validacion Areas Participan</t>
  </si>
  <si>
    <t>Guadalupe Claudia Barroso Rueda</t>
  </si>
  <si>
    <t>Erika Patricia Acosto Padilla</t>
  </si>
  <si>
    <t>Falta Mapeo Usuario</t>
  </si>
  <si>
    <t>Ramon Manuel Jaimes Rangel</t>
  </si>
  <si>
    <t>Fernando Islas Aguilar</t>
  </si>
  <si>
    <t>Luis Alberto  Rodriguez Uriarte</t>
  </si>
  <si>
    <t>Benjamin Vicente Gonzalez</t>
  </si>
  <si>
    <t>Falta Validacion Txt  Usuario</t>
  </si>
  <si>
    <t>Alejandro Romero Reyes</t>
  </si>
  <si>
    <t>Homero Sanchez Santacruz</t>
  </si>
  <si>
    <t>Hector Ramiro Diaz Garcia</t>
  </si>
  <si>
    <t>Ejecucion Bajaware</t>
  </si>
  <si>
    <t>Eduardo Alberto Santiago Miranda</t>
  </si>
  <si>
    <t>Enviar vacio</t>
  </si>
  <si>
    <t>Martin Roman Ramirez</t>
  </si>
  <si>
    <t>Apoyo</t>
  </si>
  <si>
    <t>Erik Santamaria Marchan</t>
  </si>
  <si>
    <t>Daniel Rodriguez Cruz</t>
  </si>
  <si>
    <t>Carlos Torres Laguna</t>
  </si>
  <si>
    <t>Genera Bajaware</t>
  </si>
  <si>
    <t>Genera NTT</t>
  </si>
  <si>
    <t>Pendiente de Mapeo</t>
  </si>
  <si>
    <t>VoBo Otorgado por el Usuario</t>
  </si>
  <si>
    <t>En Validacion del Usuario</t>
  </si>
  <si>
    <t>Layout en Desarrollo</t>
  </si>
  <si>
    <t>Avance de mapeo</t>
  </si>
  <si>
    <t>1.- Entendimiento de concepto de catálogos. 40%</t>
  </si>
  <si>
    <t>2.- Identificación de fuente de información que alimenta el concepto 40% (Definición)</t>
  </si>
  <si>
    <t>3.- Cruce entre capo y reporte operativo (manual o automatizado, con conceptos y contabilidad). 15%</t>
  </si>
  <si>
    <t>4.- Entregable ha desarrollo. (Que Defina Daniel) 5% Vo.Bo. del área de Desarrollo del Mapeo.</t>
  </si>
  <si>
    <t>Área</t>
  </si>
  <si>
    <t>Comentarios Operaciones 11/11/25</t>
  </si>
  <si>
    <t xml:space="preserve">¿Motivo del porque se decidió que no aplica? </t>
  </si>
  <si>
    <t>Operaciones captación</t>
  </si>
  <si>
    <r>
      <t xml:space="preserve">Este reporte recaba información respecto a la ubicación geográfica de las sucursales, módulos, cajeros automáticos, terminales punto de venta y comisionistas a través de las cuales los usuarios de los servicios financieros realizan las transacciones. </t>
    </r>
    <r>
      <rPr>
        <b/>
        <sz val="11"/>
        <color rgb="FF000000"/>
        <rFont val="Aptos"/>
        <family val="2"/>
      </rPr>
      <t xml:space="preserve">VALIDAR CON BJ SI SE MANDA EN BLANCO O EN CEROS, O NO SE MANDA. </t>
    </r>
  </si>
  <si>
    <r>
      <t>Este TXT ya fue entregado por NTT el 16/06 y te pase la guía para bajarlo de Transat el 27/10/25.</t>
    </r>
    <r>
      <rPr>
        <sz val="11"/>
        <color rgb="FF000000"/>
        <rFont val="Aptos"/>
        <family val="2"/>
      </rPr>
      <t xml:space="preserve">  </t>
    </r>
    <r>
      <rPr>
        <b/>
        <sz val="11"/>
        <color rgb="FFFF0000"/>
        <rFont val="Aptos"/>
        <family val="2"/>
      </rPr>
      <t xml:space="preserve">Aún no lo conectan a ATOM.    </t>
    </r>
    <r>
      <rPr>
        <sz val="11"/>
        <color rgb="FF000000"/>
        <rFont val="Aptos"/>
        <family val="2"/>
      </rPr>
      <t xml:space="preserve">                                                                                                  Como te comenté para que este Layout se valide al 100 %, nos hace falta que liberen el BRD "Ajuste a titulares garantizados" el cual divide el catálogo tipo relación entidad en 2, para estos dos reportes:                                                                                                                     • </t>
    </r>
    <r>
      <rPr>
        <b/>
        <sz val="11"/>
        <color rgb="FF000000"/>
        <rFont val="Aptos"/>
        <family val="2"/>
      </rPr>
      <t>Personas relacionadas C2431 (RR por desarrollar, no se ha trabajado, responsable por definir).</t>
    </r>
  </si>
  <si>
    <r>
      <t xml:space="preserve">• </t>
    </r>
    <r>
      <rPr>
        <b/>
        <sz val="11"/>
        <color rgb="FF000000"/>
        <rFont val="Aptos"/>
        <family val="2"/>
      </rPr>
      <t>Titulares garantizados B2423 (RR responsabilidad de Operaciones).</t>
    </r>
    <r>
      <rPr>
        <sz val="11"/>
        <color rgb="FF000000"/>
        <rFont val="Aptos"/>
        <family val="2"/>
      </rPr>
      <t xml:space="preserve">  </t>
    </r>
  </si>
  <si>
    <r>
      <t xml:space="preserve">El BRD se entregó a NTT el </t>
    </r>
    <r>
      <rPr>
        <b/>
        <sz val="11"/>
        <color rgb="FF000000"/>
        <rFont val="Aptos"/>
        <family val="2"/>
      </rPr>
      <t>15 de Julio.</t>
    </r>
    <r>
      <rPr>
        <sz val="11"/>
        <color rgb="FF000000"/>
        <rFont val="Aptos"/>
        <family val="2"/>
      </rPr>
      <t xml:space="preserve"> Erika es quien sabe en qué estatus está el requerimiento. </t>
    </r>
  </si>
  <si>
    <r>
      <t xml:space="preserve">Acuerdo con Erika el </t>
    </r>
    <r>
      <rPr>
        <b/>
        <sz val="11"/>
        <color rgb="FF000000"/>
        <rFont val="Aptos"/>
        <family val="2"/>
      </rPr>
      <t>18/12/24.</t>
    </r>
    <r>
      <rPr>
        <sz val="11"/>
        <color rgb="FF000000"/>
        <rFont val="Aptos"/>
        <family val="2"/>
      </rPr>
      <t xml:space="preserve"> No aplica porque no tendremos sucursales.</t>
    </r>
  </si>
  <si>
    <r>
      <t xml:space="preserve">Se refiere a tarjetas, ATM, TPVs, y No. de personal, no tenemos esos datos actualmente, por lo que consideramos que no nos aplica actualmente, pero debemos cerrarlo en conjunto. </t>
    </r>
    <r>
      <rPr>
        <b/>
        <sz val="11"/>
        <color rgb="FF000000"/>
        <rFont val="Aptos"/>
        <family val="2"/>
      </rPr>
      <t>VALIDAR CON BJ SI SE MANDA EN BLANCO O EN CEROS, O NO SE MANDA</t>
    </r>
    <r>
      <rPr>
        <sz val="11"/>
        <color rgb="FF000000"/>
        <rFont val="Aptos"/>
        <family val="2"/>
      </rPr>
      <t xml:space="preserve">. </t>
    </r>
  </si>
  <si>
    <t xml:space="preserve">No lo tenemos asignado a Operaciones en la matriz inicial de regulatorios del 05/09/24.  </t>
  </si>
  <si>
    <r>
      <t xml:space="preserve">Acuerdo con Erika el </t>
    </r>
    <r>
      <rPr>
        <b/>
        <sz val="11"/>
        <color rgb="FF000000"/>
        <rFont val="Aptos"/>
        <family val="2"/>
      </rPr>
      <t>18/12/24.</t>
    </r>
    <r>
      <rPr>
        <sz val="11"/>
        <color rgb="FF000000"/>
        <rFont val="Aptos"/>
        <family val="2"/>
      </rPr>
      <t xml:space="preserve"> No aplica en este momento, porque no tendremos comisionistas</t>
    </r>
  </si>
  <si>
    <r>
      <t xml:space="preserve">Actualmente no tenemos comisionistas, esta información no se puede generar por el momento, nosotros decimos que no nos aplica, pero debemos cerrarlo en conjunto. </t>
    </r>
    <r>
      <rPr>
        <b/>
        <sz val="11"/>
        <color rgb="FF000000"/>
        <rFont val="Aptos"/>
        <family val="2"/>
      </rPr>
      <t>VALIDAR CON BJ SI SE MANDA EN BLANCO O EN CEROS, O NO SE MANDA.</t>
    </r>
  </si>
  <si>
    <r>
      <t xml:space="preserve">Este TXT ya fue entregado por NTT el 16/06 y te pase la guía para bajarlo de Transat el 27/10/25. </t>
    </r>
    <r>
      <rPr>
        <b/>
        <sz val="11"/>
        <color rgb="FFFF0000"/>
        <rFont val="Aptos Narrow"/>
        <family val="2"/>
      </rPr>
      <t xml:space="preserve">Aún no lo conectan a ATOM. </t>
    </r>
  </si>
  <si>
    <r>
      <t xml:space="preserve">El </t>
    </r>
    <r>
      <rPr>
        <b/>
        <sz val="11"/>
        <color rgb="FF000000"/>
        <rFont val="Aptos"/>
        <family val="2"/>
      </rPr>
      <t>18/12/24</t>
    </r>
    <r>
      <rPr>
        <sz val="11"/>
        <color rgb="FF000000"/>
        <rFont val="Aptos"/>
        <family val="2"/>
      </rPr>
      <t xml:space="preserve"> le indicamos al PMO que este Layout no correspondía a Operaciones.</t>
    </r>
  </si>
  <si>
    <r>
      <t xml:space="preserve">Nuevamente en la reunión del 23/07/25 volvimos a pedir que lo asignaran y el acuerdo fue el siguiente: </t>
    </r>
    <r>
      <rPr>
        <b/>
        <sz val="11"/>
        <color rgb="FF000000"/>
        <rFont val="Aptos Narrow"/>
        <family val="2"/>
      </rPr>
      <t>"Contabilidad se lleva a revisar el Layout y si hacen faltan campos se investiga lo que hace falta. Tanto crédito como captación"</t>
    </r>
    <r>
      <rPr>
        <sz val="11"/>
        <color rgb="FF000000"/>
        <rFont val="Aptos Narrow"/>
        <family val="2"/>
      </rPr>
      <t xml:space="preserve">, Sharon le iba a dar seguimiento. </t>
    </r>
  </si>
  <si>
    <t>Es urgente que lo asignen, anexo minuta del 23/07/25.</t>
  </si>
  <si>
    <r>
      <t xml:space="preserve">Este TXT ya fue entregado por NTT el 28/05 y te pase la guía para bajarlo de Transat el 27/10/25. </t>
    </r>
    <r>
      <rPr>
        <b/>
        <sz val="11"/>
        <color rgb="FFFF0000"/>
        <rFont val="Aptos Narrow"/>
        <family val="2"/>
      </rPr>
      <t xml:space="preserve">Aún no lo conectan a ATOM. </t>
    </r>
  </si>
  <si>
    <t>captación</t>
  </si>
  <si>
    <r>
      <t xml:space="preserve">Acuerdo con Erika el </t>
    </r>
    <r>
      <rPr>
        <b/>
        <sz val="11"/>
        <color rgb="FF000000"/>
        <rFont val="Aptos"/>
        <family val="2"/>
      </rPr>
      <t>18/12/24.</t>
    </r>
    <r>
      <rPr>
        <sz val="11"/>
        <color rgb="FF000000"/>
        <rFont val="Aptos"/>
        <family val="2"/>
      </rPr>
      <t xml:space="preserve"> No aplica en este momento por que este Layout es a la medida, por cada caso, con información de contraloría, en Transact no tendremos nada.</t>
    </r>
  </si>
  <si>
    <r>
      <t xml:space="preserve">Operaciones señala que este Layout es exclusivo de captación, no entendemos porque lo marcan que aplica para crédito //No trabajado por NTT. No vemos de donde obtener esta información del sistema actual ni futuro. El reporte nos pide la información de requerimientos de aseguramientos solicitados por la autoridad ministerial, hacendaria, fiscal, judicial o laboral; así como los datos del titular y cotitular a quién se aplicará el requerimiento y de la cuenta de nómina, mercado abierto u otra modalidad. Debemos ver en conjunto primero que área tiene los datos y segundo si nos aplicará o no. </t>
    </r>
    <r>
      <rPr>
        <b/>
        <sz val="11"/>
        <color rgb="FF000000"/>
        <rFont val="Aptos"/>
        <family val="2"/>
      </rPr>
      <t>VALIDAR CON BJ SI SE MANDA EN BLANCO O EN CEROS, O NO SE MANDA.</t>
    </r>
    <r>
      <rPr>
        <sz val="11"/>
        <color rgb="FF000000"/>
        <rFont val="Aptos"/>
        <family val="2"/>
      </rPr>
      <t xml:space="preserve">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</si>
</sst>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1">
    <numFmt numFmtId="164" formatCode="0&quot;**&quot;"/>
    <numFmt numFmtId="165" formatCode="0\ &quot;i&quot;"/>
    <numFmt numFmtId="166" formatCode="0&quot; ii&quot;"/>
    <numFmt numFmtId="167" formatCode="0&quot; iv&quot;"/>
    <numFmt numFmtId="168" formatCode="0&quot; iii&quot;"/>
    <numFmt numFmtId="169" formatCode="#\ &quot;iv&quot;"/>
    <numFmt numFmtId="170" formatCode="0\ &quot;v&quot;"/>
    <numFmt numFmtId="171" formatCode="0\ &quot;ii&quot;"/>
    <numFmt numFmtId="172" formatCode="0\ &quot;iii&quot;"/>
    <numFmt numFmtId="173" formatCode="0\ &quot;iv&quot;"/>
    <numFmt numFmtId="174" formatCode="yyyy\-mm\-dd"/>
  </numFmts>
  <fonts count="34">
    <font>
      <sz val="11"/>
      <color theme="1"/>
      <name val="Aptos Narrow"/>
      <family val="2"/>
      <scheme val="minor"/>
    </font>
    <font>
      <b/>
      <sz val="9"/>
      <color indexed="81"/>
      <name val="Tahoma"/>
      <family val="2"/>
    </font>
    <font>
      <sz val="9"/>
      <color indexed="81"/>
      <name val="Tahoma"/>
      <family val="2"/>
    </font>
    <font>
      <sz val="8"/>
      <name val="Aptos Narrow"/>
      <family val="2"/>
      <scheme val="minor"/>
    </font>
    <font>
      <b/>
      <sz val="11"/>
      <color theme="1"/>
      <name val="Aptos Narrow"/>
      <family val="2"/>
      <scheme val="minor"/>
    </font>
    <font>
      <strike/>
      <sz val="11"/>
      <color rgb="FFFF0000"/>
      <name val="Aptos Narrow"/>
      <family val="2"/>
      <scheme val="minor"/>
    </font>
    <font>
      <sz val="11"/>
      <color theme="1"/>
      <name val="Aptos Narrow"/>
      <family val="2"/>
      <scheme val="minor"/>
    </font>
    <font>
      <b/>
      <sz val="11"/>
      <color theme="0" tint="-4.9989318521683403E-2"/>
      <name val="Aptos Narrow"/>
      <family val="2"/>
      <scheme val="minor"/>
    </font>
    <font>
      <sz val="11"/>
      <color rgb="FF002060"/>
      <name val="Aptos Narrow"/>
      <family val="2"/>
      <scheme val="minor"/>
    </font>
    <font>
      <sz val="11"/>
      <color rgb="FF000000"/>
      <name val="Aptos"/>
      <family val="2"/>
    </font>
    <font>
      <b/>
      <sz val="11"/>
      <color rgb="FF000000"/>
      <name val="Aptos"/>
      <family val="2"/>
    </font>
    <font>
      <b/>
      <sz val="11"/>
      <color rgb="FFFFFFFF"/>
      <name val="Aptos Narrow"/>
      <family val="2"/>
    </font>
    <font>
      <sz val="11"/>
      <color rgb="FF000000"/>
      <name val="Aptos Narrow"/>
      <family val="2"/>
    </font>
    <font>
      <b/>
      <sz val="11"/>
      <color rgb="FF000000"/>
      <name val="Aptos Narrow"/>
      <family val="2"/>
    </font>
    <font>
      <b/>
      <sz val="11"/>
      <color rgb="FFFF0000"/>
      <name val="Aptos"/>
      <family val="2"/>
    </font>
    <font>
      <b/>
      <sz val="11"/>
      <color rgb="FFFF0000"/>
      <name val="Aptos Narrow"/>
      <family val="2"/>
    </font>
    <font>
      <b/>
      <sz val="12"/>
      <color rgb="FFFF0000"/>
      <name val="Aptos Narrow"/>
      <family val="2"/>
    </font>
    <font>
      <b/>
      <sz val="11"/>
      <color rgb="FFFF0000"/>
      <name val="Aptos Narrow"/>
      <family val="2"/>
      <scheme val="minor"/>
    </font>
    <font>
      <b/>
      <sz val="14"/>
      <color theme="1"/>
      <name val="Aptos Narrow"/>
      <family val="2"/>
      <scheme val="minor"/>
    </font>
    <font>
      <i/>
      <sz val="11"/>
      <color theme="1"/>
      <name val="Aptos Narrow"/>
      <family val="2"/>
      <scheme val="minor"/>
    </font>
    <font>
      <sz val="10"/>
      <color theme="1"/>
      <name val="Aptos Narrow"/>
      <family val="2"/>
      <scheme val="minor"/>
    </font>
    <font>
      <b/>
      <sz val="10"/>
      <color theme="1"/>
      <name val="Aptos Narrow"/>
      <family val="2"/>
      <scheme val="minor"/>
    </font>
    <font>
      <b/>
      <sz val="11"/>
      <color theme="0"/>
      <name val="Aptos Narrow"/>
      <family val="2"/>
      <scheme val="minor"/>
    </font>
    <font>
      <sz val="11"/>
      <color theme="0"/>
      <name val="Aptos Narrow"/>
      <family val="2"/>
      <scheme val="minor"/>
    </font>
    <font>
      <b/>
      <sz val="12"/>
      <color theme="0"/>
      <name val="Aptos Narrow"/>
      <family val="2"/>
      <scheme val="minor"/>
    </font>
    <font>
      <sz val="11"/>
      <color rgb="FF242424"/>
      <name val="Aptos Narrow"/>
      <family val="2"/>
    </font>
    <font>
      <b/>
      <sz val="11"/>
      <name val="Calibri"/>
      <family val="2"/>
    </font>
    <font>
      <b/>
      <sz val="11"/>
      <color rgb="FFFFFFFF"/>
      <name val="Calibri"/>
      <family val="2"/>
    </font>
    <font>
      <b/>
      <sz val="11"/>
      <color rgb="FF242424"/>
      <name val="Aptos Narrow"/>
      <family val="2"/>
    </font>
    <font>
      <sz val="11"/>
      <color rgb="FF000000"/>
      <name val="Aptos Narrow"/>
      <family val="2"/>
      <scheme val="minor"/>
    </font>
    <font>
      <sz val="11"/>
      <color theme="1"/>
      <name val="Aptos Narrow"/>
      <family val="2"/>
    </font>
    <font>
      <sz val="11"/>
      <color rgb="FFFF0000"/>
      <name val="Aptos Narrow"/>
      <family val="2"/>
    </font>
    <font>
      <sz val="11"/>
      <color rgb="FFFF0000"/>
      <name val="Aptos Narrow"/>
      <family val="2"/>
      <scheme val="minor"/>
    </font>
    <font>
      <b/>
      <sz val="12"/>
      <color rgb="FFFFFF00"/>
      <name val="Aptos Narrow"/>
      <family val="2"/>
      <scheme val="minor"/>
    </font>
  </fonts>
  <fills count="38">
    <fill>
      <patternFill patternType="none"/>
    </fill>
    <fill>
      <patternFill patternType="gray125"/>
    </fill>
    <fill>
      <patternFill patternType="solid">
        <fgColor rgb="FFFF0000"/>
        <bgColor indexed="64"/>
      </patternFill>
    </fill>
    <fill>
      <patternFill patternType="solid">
        <fgColor theme="1" tint="0.499984740745262"/>
        <bgColor indexed="64"/>
      </patternFill>
    </fill>
    <fill>
      <patternFill patternType="solid">
        <fgColor theme="0" tint="-4.9989318521683403E-2"/>
        <bgColor indexed="64"/>
      </patternFill>
    </fill>
    <fill>
      <patternFill patternType="solid">
        <fgColor rgb="FFFFFF00"/>
        <bgColor indexed="64"/>
      </patternFill>
    </fill>
    <fill>
      <patternFill patternType="solid">
        <fgColor theme="4" tint="0.79998168889431442"/>
        <bgColor theme="4" tint="0.79998168889431442"/>
      </patternFill>
    </fill>
    <fill>
      <patternFill patternType="solid">
        <fgColor theme="9" tint="0.59999389629810485"/>
        <bgColor indexed="64"/>
      </patternFill>
    </fill>
    <fill>
      <patternFill patternType="solid">
        <fgColor theme="1"/>
        <bgColor indexed="64"/>
      </patternFill>
    </fill>
    <fill>
      <patternFill patternType="solid">
        <fgColor theme="9"/>
        <bgColor indexed="64"/>
      </patternFill>
    </fill>
    <fill>
      <patternFill patternType="solid">
        <fgColor rgb="FF002060"/>
        <bgColor indexed="64"/>
      </patternFill>
    </fill>
    <fill>
      <patternFill patternType="solid">
        <fgColor rgb="FFFBE2D5"/>
        <bgColor indexed="64"/>
      </patternFill>
    </fill>
    <fill>
      <patternFill patternType="solid">
        <fgColor rgb="FFCAEDFB"/>
        <bgColor indexed="64"/>
      </patternFill>
    </fill>
    <fill>
      <patternFill patternType="solid">
        <fgColor rgb="FFE8E8E8"/>
        <bgColor indexed="64"/>
      </patternFill>
    </fill>
    <fill>
      <patternFill patternType="solid">
        <fgColor rgb="FFFFC000"/>
        <bgColor indexed="64"/>
      </patternFill>
    </fill>
    <fill>
      <patternFill patternType="solid">
        <fgColor rgb="FF92D050"/>
        <bgColor indexed="64"/>
      </patternFill>
    </fill>
    <fill>
      <patternFill patternType="solid">
        <fgColor rgb="FF00B0F0"/>
        <bgColor indexed="64"/>
      </patternFill>
    </fill>
    <fill>
      <patternFill patternType="solid">
        <fgColor theme="9" tint="0.79998168889431442"/>
        <bgColor indexed="64"/>
      </patternFill>
    </fill>
    <fill>
      <patternFill patternType="solid">
        <fgColor theme="4" tint="0.79998168889431442"/>
        <bgColor indexed="64"/>
      </patternFill>
    </fill>
    <fill>
      <patternFill patternType="solid">
        <fgColor rgb="FF0070C0"/>
        <bgColor indexed="64"/>
      </patternFill>
    </fill>
    <fill>
      <patternFill patternType="solid">
        <fgColor rgb="FFF5530B"/>
        <bgColor indexed="64"/>
      </patternFill>
    </fill>
    <fill>
      <patternFill patternType="solid">
        <fgColor theme="0"/>
        <bgColor indexed="64"/>
      </patternFill>
    </fill>
    <fill>
      <patternFill patternType="solid">
        <fgColor rgb="FFC00000"/>
        <bgColor indexed="64"/>
      </patternFill>
    </fill>
    <fill>
      <patternFill patternType="solid">
        <fgColor theme="9" tint="0.39997558519241921"/>
        <bgColor indexed="64"/>
      </patternFill>
    </fill>
    <fill>
      <patternFill patternType="solid">
        <fgColor theme="7" tint="-0.249977111117893"/>
        <bgColor indexed="64"/>
      </patternFill>
    </fill>
    <fill>
      <patternFill patternType="solid">
        <fgColor theme="8" tint="0.39997558519241921"/>
        <bgColor indexed="64"/>
      </patternFill>
    </fill>
    <fill>
      <patternFill patternType="solid">
        <fgColor rgb="FF99FF66"/>
        <bgColor indexed="64"/>
      </patternFill>
    </fill>
    <fill>
      <patternFill patternType="solid">
        <fgColor rgb="FF00B050"/>
        <bgColor indexed="64"/>
      </patternFill>
    </fill>
    <fill>
      <patternFill patternType="solid">
        <fgColor theme="4" tint="0.59999389629810485"/>
        <bgColor indexed="64"/>
      </patternFill>
    </fill>
    <fill>
      <patternFill patternType="solid">
        <fgColor theme="0" tint="-0.14999847407452621"/>
        <bgColor indexed="64"/>
      </patternFill>
    </fill>
    <fill>
      <patternFill patternType="solid">
        <fgColor theme="6" tint="0.39997558519241921"/>
        <bgColor indexed="64"/>
      </patternFill>
    </fill>
    <fill>
      <patternFill patternType="solid">
        <fgColor theme="8" tint="0.79998168889431442"/>
        <bgColor indexed="64"/>
      </patternFill>
    </fill>
    <fill>
      <patternFill patternType="solid">
        <fgColor rgb="FF99FF66"/>
        <bgColor rgb="FF000000"/>
      </patternFill>
    </fill>
    <fill>
      <patternFill patternType="solid">
        <fgColor rgb="FFD9E1F2"/>
      </patternFill>
    </fill>
    <fill>
      <patternFill patternType="solid">
        <fgColor rgb="FF1F4E79"/>
      </patternFill>
    </fill>
    <fill>
      <patternFill patternType="solid">
        <fgColor rgb="FF00B0F0"/>
        <bgColor rgb="FF000000"/>
      </patternFill>
    </fill>
    <fill>
      <patternFill patternType="solid">
        <fgColor rgb="FFFFC000"/>
        <bgColor rgb="FF000000"/>
      </patternFill>
    </fill>
    <fill>
      <patternFill patternType="solid">
        <fgColor rgb="FFF68616"/>
        <bgColor indexed="64"/>
      </patternFill>
    </fill>
  </fills>
  <borders count="71">
    <border>
      <left/>
      <right/>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right/>
      <top/>
      <bottom style="thin">
        <color theme="4" tint="0.39997558519241921"/>
      </bottom>
      <diagonal/>
    </border>
    <border>
      <left/>
      <right/>
      <top style="thin">
        <color theme="4" tint="0.39997558519241921"/>
      </top>
      <bottom/>
      <diagonal/>
    </border>
    <border>
      <left style="dotted">
        <color auto="1"/>
      </left>
      <right style="dotted">
        <color auto="1"/>
      </right>
      <top/>
      <bottom/>
      <diagonal/>
    </border>
    <border>
      <left style="dotted">
        <color auto="1"/>
      </left>
      <right/>
      <top/>
      <bottom/>
      <diagonal/>
    </border>
    <border>
      <left style="thin">
        <color indexed="64"/>
      </left>
      <right style="thin">
        <color indexed="64"/>
      </right>
      <top style="double">
        <color indexed="64"/>
      </top>
      <bottom/>
      <diagonal/>
    </border>
    <border>
      <left style="thin">
        <color indexed="64"/>
      </left>
      <right style="thin">
        <color indexed="64"/>
      </right>
      <top/>
      <bottom style="double">
        <color indexed="64"/>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style="medium">
        <color indexed="64"/>
      </left>
      <right style="medium">
        <color indexed="64"/>
      </right>
      <top/>
      <bottom/>
      <diagonal/>
    </border>
    <border>
      <left/>
      <right style="medium">
        <color indexed="64"/>
      </right>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rgb="FF000000"/>
      </bottom>
      <diagonal/>
    </border>
    <border>
      <left/>
      <right/>
      <top/>
      <bottom style="thin">
        <color rgb="FF00B0F0"/>
      </bottom>
      <diagonal/>
    </border>
    <border>
      <left/>
      <right/>
      <top style="thin">
        <color theme="4" tint="0.39997558519241921"/>
      </top>
      <bottom style="thin">
        <color theme="4" tint="0.39994506668294322"/>
      </bottom>
      <diagonal/>
    </border>
    <border>
      <left/>
      <right/>
      <top style="thin">
        <color theme="4" tint="0.39994506668294322"/>
      </top>
      <bottom style="thin">
        <color theme="4" tint="0.39994506668294322"/>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diagonal/>
    </border>
    <border>
      <left style="medium">
        <color indexed="64"/>
      </left>
      <right style="thin">
        <color indexed="64"/>
      </right>
      <top/>
      <bottom/>
      <diagonal/>
    </border>
    <border>
      <left style="thin">
        <color indexed="64"/>
      </left>
      <right style="medium">
        <color indexed="64"/>
      </right>
      <top style="hair">
        <color indexed="64"/>
      </top>
      <bottom style="hair">
        <color indexed="64"/>
      </bottom>
      <diagonal/>
    </border>
    <border>
      <left style="medium">
        <color indexed="64"/>
      </left>
      <right style="thin">
        <color indexed="64"/>
      </right>
      <top/>
      <bottom style="mediumDashed">
        <color indexed="64"/>
      </bottom>
      <diagonal/>
    </border>
    <border>
      <left style="thin">
        <color indexed="64"/>
      </left>
      <right style="medium">
        <color indexed="64"/>
      </right>
      <top style="hair">
        <color indexed="64"/>
      </top>
      <bottom style="mediumDashed">
        <color indexed="64"/>
      </bottom>
      <diagonal/>
    </border>
    <border>
      <left style="medium">
        <color indexed="64"/>
      </left>
      <right style="thin">
        <color indexed="64"/>
      </right>
      <top style="mediumDashed">
        <color indexed="64"/>
      </top>
      <bottom style="mediumDashed">
        <color indexed="64"/>
      </bottom>
      <diagonal/>
    </border>
    <border>
      <left style="thin">
        <color indexed="64"/>
      </left>
      <right style="medium">
        <color indexed="64"/>
      </right>
      <top style="mediumDashed">
        <color indexed="64"/>
      </top>
      <bottom style="mediumDashed">
        <color indexed="64"/>
      </bottom>
      <diagonal/>
    </border>
    <border>
      <left style="medium">
        <color indexed="64"/>
      </left>
      <right style="thin">
        <color indexed="64"/>
      </right>
      <top style="mediumDashed">
        <color indexed="64"/>
      </top>
      <bottom style="medium">
        <color indexed="64"/>
      </bottom>
      <diagonal/>
    </border>
    <border>
      <left style="thin">
        <color indexed="64"/>
      </left>
      <right style="medium">
        <color indexed="64"/>
      </right>
      <top style="mediumDashed">
        <color indexed="64"/>
      </top>
      <bottom style="medium">
        <color indexed="64"/>
      </bottom>
      <diagonal/>
    </border>
    <border>
      <left/>
      <right/>
      <top/>
      <bottom style="hair">
        <color auto="1"/>
      </bottom>
      <diagonal/>
    </border>
    <border>
      <left style="thin">
        <color auto="1"/>
      </left>
      <right style="thin">
        <color auto="1"/>
      </right>
      <top/>
      <bottom style="hair">
        <color auto="1"/>
      </bottom>
      <diagonal/>
    </border>
    <border>
      <left/>
      <right style="hair">
        <color auto="1"/>
      </right>
      <top style="hair">
        <color auto="1"/>
      </top>
      <bottom style="hair">
        <color auto="1"/>
      </bottom>
      <diagonal/>
    </border>
    <border>
      <left style="hair">
        <color auto="1"/>
      </left>
      <right style="hair">
        <color auto="1"/>
      </right>
      <top style="hair">
        <color auto="1"/>
      </top>
      <bottom style="hair">
        <color auto="1"/>
      </bottom>
      <diagonal/>
    </border>
    <border>
      <left style="hair">
        <color auto="1"/>
      </left>
      <right/>
      <top style="hair">
        <color auto="1"/>
      </top>
      <bottom style="hair">
        <color auto="1"/>
      </bottom>
      <diagonal/>
    </border>
    <border>
      <left/>
      <right style="hair">
        <color auto="1"/>
      </right>
      <top style="hair">
        <color auto="1"/>
      </top>
      <bottom style="thin">
        <color auto="1"/>
      </bottom>
      <diagonal/>
    </border>
    <border>
      <left style="hair">
        <color auto="1"/>
      </left>
      <right style="hair">
        <color auto="1"/>
      </right>
      <top style="hair">
        <color auto="1"/>
      </top>
      <bottom style="thin">
        <color auto="1"/>
      </bottom>
      <diagonal/>
    </border>
    <border>
      <left style="hair">
        <color auto="1"/>
      </left>
      <right/>
      <top style="hair">
        <color auto="1"/>
      </top>
      <bottom/>
      <diagonal/>
    </border>
    <border>
      <left style="hair">
        <color auto="1"/>
      </left>
      <right/>
      <top/>
      <bottom style="hair">
        <color auto="1"/>
      </bottom>
      <diagonal/>
    </border>
    <border>
      <left style="hair">
        <color auto="1"/>
      </left>
      <right style="hair">
        <color auto="1"/>
      </right>
      <top style="hair">
        <color auto="1"/>
      </top>
      <bottom/>
      <diagonal/>
    </border>
    <border>
      <left style="hair">
        <color auto="1"/>
      </left>
      <right style="hair">
        <color auto="1"/>
      </right>
      <top/>
      <bottom/>
      <diagonal/>
    </border>
    <border>
      <left style="hair">
        <color auto="1"/>
      </left>
      <right style="hair">
        <color auto="1"/>
      </right>
      <top/>
      <bottom style="thin">
        <color auto="1"/>
      </bottom>
      <diagonal/>
    </border>
    <border>
      <left style="hair">
        <color auto="1"/>
      </left>
      <right/>
      <top/>
      <bottom/>
      <diagonal/>
    </border>
    <border>
      <left style="hair">
        <color auto="1"/>
      </left>
      <right/>
      <top/>
      <bottom style="thin">
        <color auto="1"/>
      </bottom>
      <diagonal/>
    </border>
    <border>
      <left/>
      <right style="thin">
        <color auto="1"/>
      </right>
      <top/>
      <bottom style="hair">
        <color auto="1"/>
      </bottom>
      <diagonal/>
    </border>
    <border>
      <left style="thin">
        <color rgb="FF000000"/>
      </left>
      <right style="thin">
        <color rgb="FF000000"/>
      </right>
      <top style="thin">
        <color rgb="FF000000"/>
      </top>
      <bottom style="thin">
        <color rgb="FF000000"/>
      </bottom>
      <diagonal/>
    </border>
    <border>
      <left/>
      <right/>
      <top/>
      <bottom style="thin">
        <color rgb="FF000000"/>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style="thin">
        <color rgb="FF000000"/>
      </left>
      <right/>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indexed="64"/>
      </left>
      <right style="thin">
        <color indexed="64"/>
      </right>
      <top style="thin">
        <color indexed="64"/>
      </top>
      <bottom/>
      <diagonal/>
    </border>
    <border>
      <left style="thin">
        <color auto="1"/>
      </left>
      <right style="thin">
        <color auto="1"/>
      </right>
      <top style="thin">
        <color auto="1"/>
      </top>
      <bottom style="thin">
        <color auto="1"/>
      </bottom>
      <diagonal/>
    </border>
    <border>
      <left style="thin">
        <color indexed="64"/>
      </left>
      <right style="thin">
        <color indexed="64"/>
      </right>
      <top style="thin">
        <color indexed="64"/>
      </top>
      <bottom style="double">
        <color indexed="64"/>
      </bottom>
      <diagonal/>
    </border>
    <border>
      <left/>
      <right style="hair">
        <color auto="1"/>
      </right>
      <top style="thin">
        <color auto="1"/>
      </top>
      <bottom style="hair">
        <color auto="1"/>
      </bottom>
      <diagonal/>
    </border>
    <border>
      <left style="hair">
        <color auto="1"/>
      </left>
      <right style="hair">
        <color auto="1"/>
      </right>
      <top style="thin">
        <color auto="1"/>
      </top>
      <bottom style="hair">
        <color auto="1"/>
      </bottom>
      <diagonal/>
    </border>
    <border>
      <left style="hair">
        <color auto="1"/>
      </left>
      <right/>
      <top style="thin">
        <color auto="1"/>
      </top>
      <bottom style="hair">
        <color auto="1"/>
      </bottom>
      <diagonal/>
    </border>
    <border>
      <left style="thin">
        <color indexed="64"/>
      </left>
      <right style="medium">
        <color indexed="64"/>
      </right>
      <top style="thin">
        <color indexed="64"/>
      </top>
      <bottom style="hair">
        <color indexed="64"/>
      </bottom>
      <diagonal/>
    </border>
  </borders>
  <cellStyleXfs count="2">
    <xf numFmtId="0" fontId="0" fillId="0" borderId="0"/>
    <xf numFmtId="9" fontId="6" fillId="0" borderId="0" applyFont="0" applyFill="0" applyBorder="0" applyAlignment="0" applyProtection="0"/>
  </cellStyleXfs>
  <cellXfs count="341">
    <xf numFmtId="0" fontId="0" fillId="0" borderId="0" xfId="0"/>
    <xf numFmtId="0" fontId="0" fillId="0" borderId="0" xfId="0" applyAlignment="1">
      <alignment horizontal="left"/>
    </xf>
    <xf numFmtId="0" fontId="0" fillId="2" borderId="0" xfId="0" applyFill="1"/>
    <xf numFmtId="0" fontId="0" fillId="0" borderId="0" xfId="0" applyAlignment="1">
      <alignment vertical="center" wrapText="1"/>
    </xf>
    <xf numFmtId="0" fontId="0" fillId="0" borderId="0" xfId="0" applyAlignment="1">
      <alignment vertical="center"/>
    </xf>
    <xf numFmtId="0" fontId="0" fillId="3" borderId="0" xfId="0" applyFill="1" applyAlignment="1">
      <alignment horizontal="left"/>
    </xf>
    <xf numFmtId="0" fontId="0" fillId="0" borderId="0" xfId="0" pivotButton="1"/>
    <xf numFmtId="0" fontId="4" fillId="0" borderId="0" xfId="0" applyFont="1"/>
    <xf numFmtId="0" fontId="0" fillId="0" borderId="0" xfId="0" applyAlignment="1">
      <alignment horizontal="center"/>
    </xf>
    <xf numFmtId="0" fontId="0" fillId="0" borderId="0" xfId="0" applyAlignment="1">
      <alignment horizontal="left" indent="1"/>
    </xf>
    <xf numFmtId="0" fontId="4" fillId="4" borderId="0" xfId="0" applyFont="1" applyFill="1" applyAlignment="1">
      <alignment horizontal="left"/>
    </xf>
    <xf numFmtId="0" fontId="0" fillId="0" borderId="1" xfId="0" applyBorder="1"/>
    <xf numFmtId="0" fontId="0" fillId="0" borderId="2" xfId="0" applyBorder="1"/>
    <xf numFmtId="0" fontId="0" fillId="0" borderId="3" xfId="0" applyBorder="1"/>
    <xf numFmtId="0" fontId="0" fillId="0" borderId="4" xfId="0" applyBorder="1"/>
    <xf numFmtId="0" fontId="0" fillId="0" borderId="5" xfId="0" applyBorder="1"/>
    <xf numFmtId="0" fontId="0" fillId="0" borderId="6" xfId="0" applyBorder="1"/>
    <xf numFmtId="0" fontId="4" fillId="0" borderId="7" xfId="0" applyFont="1" applyBorder="1" applyAlignment="1">
      <alignment horizontal="left"/>
    </xf>
    <xf numFmtId="0" fontId="4" fillId="0" borderId="8" xfId="0" applyFont="1" applyBorder="1" applyAlignment="1">
      <alignment horizontal="left"/>
    </xf>
    <xf numFmtId="0" fontId="0" fillId="5" borderId="0" xfId="0" applyFill="1"/>
    <xf numFmtId="0" fontId="0" fillId="0" borderId="0" xfId="0" applyAlignment="1">
      <alignment horizontal="center" textRotation="45"/>
    </xf>
    <xf numFmtId="0" fontId="0" fillId="0" borderId="0" xfId="0" pivotButton="1" applyAlignment="1">
      <alignment horizontal="center"/>
    </xf>
    <xf numFmtId="0" fontId="4" fillId="6" borderId="9" xfId="0" applyFont="1" applyFill="1" applyBorder="1" applyAlignment="1">
      <alignment horizontal="center" textRotation="45"/>
    </xf>
    <xf numFmtId="9" fontId="0" fillId="0" borderId="0" xfId="1" applyFont="1" applyAlignment="1">
      <alignment horizontal="center"/>
    </xf>
    <xf numFmtId="0" fontId="4" fillId="6" borderId="0" xfId="0" applyFont="1" applyFill="1" applyAlignment="1">
      <alignment horizontal="center"/>
    </xf>
    <xf numFmtId="9" fontId="4" fillId="0" borderId="0" xfId="1" applyFont="1" applyAlignment="1">
      <alignment horizontal="center"/>
    </xf>
    <xf numFmtId="0" fontId="0" fillId="0" borderId="11" xfId="0" applyBorder="1" applyAlignment="1">
      <alignment horizontal="center" textRotation="45"/>
    </xf>
    <xf numFmtId="0" fontId="0" fillId="5" borderId="0" xfId="0" applyFill="1" applyAlignment="1">
      <alignment vertical="center" wrapText="1"/>
    </xf>
    <xf numFmtId="165" fontId="4" fillId="0" borderId="0" xfId="0" applyNumberFormat="1" applyFont="1" applyAlignment="1">
      <alignment horizontal="center"/>
    </xf>
    <xf numFmtId="166" fontId="4" fillId="0" borderId="0" xfId="0" applyNumberFormat="1" applyFont="1" applyAlignment="1">
      <alignment horizontal="center"/>
    </xf>
    <xf numFmtId="167" fontId="4" fillId="0" borderId="0" xfId="0" applyNumberFormat="1" applyFont="1" applyAlignment="1">
      <alignment horizontal="center"/>
    </xf>
    <xf numFmtId="0" fontId="0" fillId="7" borderId="12" xfId="0" applyFill="1" applyBorder="1" applyAlignment="1">
      <alignment horizontal="center" textRotation="45"/>
    </xf>
    <xf numFmtId="164" fontId="4" fillId="7" borderId="12" xfId="0" applyNumberFormat="1" applyFont="1" applyFill="1" applyBorder="1" applyAlignment="1">
      <alignment horizontal="center"/>
    </xf>
    <xf numFmtId="0" fontId="0" fillId="0" borderId="2" xfId="0" applyBorder="1" applyAlignment="1">
      <alignment horizontal="center" vertical="center"/>
    </xf>
    <xf numFmtId="0" fontId="0" fillId="0" borderId="2" xfId="0" applyBorder="1" applyAlignment="1">
      <alignment wrapText="1"/>
    </xf>
    <xf numFmtId="0" fontId="0" fillId="0" borderId="2" xfId="0" applyBorder="1" applyAlignment="1">
      <alignment vertical="top"/>
    </xf>
    <xf numFmtId="0" fontId="7" fillId="8" borderId="0" xfId="0" applyFont="1" applyFill="1" applyAlignment="1">
      <alignment horizontal="center"/>
    </xf>
    <xf numFmtId="0" fontId="0" fillId="5" borderId="0" xfId="0" applyFill="1" applyAlignment="1">
      <alignment wrapText="1"/>
    </xf>
    <xf numFmtId="0" fontId="4" fillId="6" borderId="9" xfId="0" applyFont="1" applyFill="1" applyBorder="1"/>
    <xf numFmtId="0" fontId="11" fillId="10" borderId="15" xfId="0" applyFont="1" applyFill="1" applyBorder="1" applyAlignment="1">
      <alignment horizontal="center" vertical="center" wrapText="1"/>
    </xf>
    <xf numFmtId="0" fontId="11" fillId="10" borderId="16" xfId="0" applyFont="1" applyFill="1" applyBorder="1" applyAlignment="1">
      <alignment horizontal="center" vertical="center" wrapText="1"/>
    </xf>
    <xf numFmtId="0" fontId="12" fillId="0" borderId="17" xfId="0" applyFont="1" applyBorder="1" applyAlignment="1">
      <alignment vertical="center" wrapText="1"/>
    </xf>
    <xf numFmtId="0" fontId="12" fillId="0" borderId="18" xfId="0" applyFont="1" applyBorder="1" applyAlignment="1">
      <alignment vertical="center" wrapText="1"/>
    </xf>
    <xf numFmtId="0" fontId="9" fillId="11" borderId="18" xfId="0" applyFont="1" applyFill="1" applyBorder="1" applyAlignment="1">
      <alignment vertical="center" wrapText="1"/>
    </xf>
    <xf numFmtId="0" fontId="10" fillId="12" borderId="20" xfId="0" applyFont="1" applyFill="1" applyBorder="1" applyAlignment="1">
      <alignment vertical="center" wrapText="1"/>
    </xf>
    <xf numFmtId="0" fontId="9" fillId="12" borderId="20" xfId="0" applyFont="1" applyFill="1" applyBorder="1" applyAlignment="1">
      <alignment vertical="center" wrapText="1"/>
    </xf>
    <xf numFmtId="0" fontId="9" fillId="12" borderId="18" xfId="0" applyFont="1" applyFill="1" applyBorder="1" applyAlignment="1">
      <alignment vertical="center" wrapText="1"/>
    </xf>
    <xf numFmtId="0" fontId="12" fillId="13" borderId="18" xfId="0" applyFont="1" applyFill="1" applyBorder="1" applyAlignment="1">
      <alignment vertical="center" wrapText="1"/>
    </xf>
    <xf numFmtId="0" fontId="13" fillId="12" borderId="18" xfId="0" applyFont="1" applyFill="1" applyBorder="1" applyAlignment="1">
      <alignment vertical="center" wrapText="1"/>
    </xf>
    <xf numFmtId="0" fontId="9" fillId="11" borderId="20" xfId="0" applyFont="1" applyFill="1" applyBorder="1" applyAlignment="1">
      <alignment horizontal="left" vertical="center" wrapText="1" indent="1"/>
    </xf>
    <xf numFmtId="0" fontId="16" fillId="11" borderId="20" xfId="0" applyFont="1" applyFill="1" applyBorder="1" applyAlignment="1">
      <alignment horizontal="left" vertical="center" wrapText="1" indent="1"/>
    </xf>
    <xf numFmtId="0" fontId="13" fillId="12" borderId="16" xfId="0" applyFont="1" applyFill="1" applyBorder="1" applyAlignment="1">
      <alignment vertical="center" wrapText="1"/>
    </xf>
    <xf numFmtId="0" fontId="12" fillId="0" borderId="16" xfId="0" applyFont="1" applyBorder="1" applyAlignment="1">
      <alignment vertical="center" wrapText="1"/>
    </xf>
    <xf numFmtId="0" fontId="14" fillId="5" borderId="0" xfId="0" applyFont="1" applyFill="1"/>
    <xf numFmtId="0" fontId="17" fillId="5" borderId="0" xfId="0" applyFont="1" applyFill="1"/>
    <xf numFmtId="0" fontId="13" fillId="0" borderId="18" xfId="0" applyFont="1" applyBorder="1" applyAlignment="1">
      <alignment vertical="center" wrapText="1"/>
    </xf>
    <xf numFmtId="0" fontId="4" fillId="0" borderId="9" xfId="0" applyFont="1" applyBorder="1"/>
    <xf numFmtId="0" fontId="0" fillId="0" borderId="23" xfId="0" applyBorder="1"/>
    <xf numFmtId="0" fontId="0" fillId="0" borderId="24" xfId="0" applyBorder="1"/>
    <xf numFmtId="0" fontId="0" fillId="0" borderId="25" xfId="0" applyBorder="1"/>
    <xf numFmtId="0" fontId="4" fillId="0" borderId="10" xfId="0" applyFont="1" applyBorder="1"/>
    <xf numFmtId="0" fontId="18" fillId="4" borderId="26" xfId="0" applyFont="1" applyFill="1" applyBorder="1" applyAlignment="1">
      <alignment horizontal="left"/>
    </xf>
    <xf numFmtId="0" fontId="18" fillId="4" borderId="27" xfId="0" applyFont="1" applyFill="1" applyBorder="1" applyAlignment="1">
      <alignment horizontal="left"/>
    </xf>
    <xf numFmtId="0" fontId="0" fillId="0" borderId="30" xfId="0" applyBorder="1"/>
    <xf numFmtId="0" fontId="0" fillId="0" borderId="32" xfId="0" applyBorder="1"/>
    <xf numFmtId="0" fontId="0" fillId="0" borderId="33" xfId="0" applyBorder="1"/>
    <xf numFmtId="0" fontId="0" fillId="0" borderId="34" xfId="0" applyBorder="1"/>
    <xf numFmtId="0" fontId="0" fillId="0" borderId="35" xfId="0" applyBorder="1"/>
    <xf numFmtId="0" fontId="0" fillId="0" borderId="36" xfId="0" applyBorder="1"/>
    <xf numFmtId="168" fontId="4" fillId="0" borderId="0" xfId="0" applyNumberFormat="1" applyFont="1" applyAlignment="1">
      <alignment horizontal="center"/>
    </xf>
    <xf numFmtId="0" fontId="8" fillId="0" borderId="0" xfId="0" applyFont="1"/>
    <xf numFmtId="9" fontId="4" fillId="6" borderId="0" xfId="1" applyFont="1" applyFill="1" applyBorder="1" applyAlignment="1">
      <alignment horizontal="center"/>
    </xf>
    <xf numFmtId="170" fontId="4" fillId="0" borderId="0" xfId="0" applyNumberFormat="1" applyFont="1" applyAlignment="1">
      <alignment horizontal="center"/>
    </xf>
    <xf numFmtId="0" fontId="0" fillId="14" borderId="0" xfId="0" applyFill="1"/>
    <xf numFmtId="0" fontId="0" fillId="14" borderId="0" xfId="0" applyFill="1" applyAlignment="1">
      <alignment vertical="center"/>
    </xf>
    <xf numFmtId="0" fontId="9" fillId="14" borderId="0" xfId="0" applyFont="1" applyFill="1"/>
    <xf numFmtId="0" fontId="0" fillId="14" borderId="0" xfId="0" applyFill="1" applyAlignment="1">
      <alignment vertical="center" wrapText="1"/>
    </xf>
    <xf numFmtId="0" fontId="14" fillId="14" borderId="0" xfId="0" applyFont="1" applyFill="1"/>
    <xf numFmtId="0" fontId="0" fillId="5" borderId="0" xfId="0" applyFill="1" applyAlignment="1">
      <alignment vertical="center"/>
    </xf>
    <xf numFmtId="0" fontId="0" fillId="0" borderId="11" xfId="0" applyBorder="1" applyAlignment="1">
      <alignment horizontal="center"/>
    </xf>
    <xf numFmtId="0" fontId="0" fillId="4" borderId="11" xfId="0" applyFill="1" applyBorder="1" applyAlignment="1">
      <alignment horizontal="center"/>
    </xf>
    <xf numFmtId="0" fontId="0" fillId="7" borderId="12" xfId="0" applyFill="1" applyBorder="1" applyAlignment="1">
      <alignment horizontal="center"/>
    </xf>
    <xf numFmtId="169" fontId="0" fillId="0" borderId="0" xfId="0" applyNumberFormat="1" applyAlignment="1">
      <alignment horizontal="center"/>
    </xf>
    <xf numFmtId="168" fontId="0" fillId="0" borderId="0" xfId="0" applyNumberFormat="1" applyAlignment="1">
      <alignment horizontal="center"/>
    </xf>
    <xf numFmtId="1" fontId="0" fillId="0" borderId="0" xfId="0" applyNumberFormat="1" applyAlignment="1">
      <alignment horizontal="center"/>
    </xf>
    <xf numFmtId="0" fontId="0" fillId="15" borderId="0" xfId="0" applyFill="1"/>
    <xf numFmtId="0" fontId="0" fillId="16" borderId="0" xfId="0" applyFill="1"/>
    <xf numFmtId="0" fontId="8" fillId="16" borderId="0" xfId="0" applyFont="1" applyFill="1"/>
    <xf numFmtId="0" fontId="0" fillId="18" borderId="0" xfId="0" applyFill="1"/>
    <xf numFmtId="0" fontId="0" fillId="17" borderId="1" xfId="0" applyFill="1" applyBorder="1" applyAlignment="1">
      <alignment horizontal="center" textRotation="45"/>
    </xf>
    <xf numFmtId="0" fontId="0" fillId="0" borderId="0" xfId="0" pivotButton="1" applyAlignment="1">
      <alignment vertical="center"/>
    </xf>
    <xf numFmtId="0" fontId="19" fillId="0" borderId="37" xfId="0" applyFont="1" applyBorder="1"/>
    <xf numFmtId="171" fontId="0" fillId="0" borderId="0" xfId="0" applyNumberFormat="1" applyAlignment="1">
      <alignment horizontal="center"/>
    </xf>
    <xf numFmtId="172" fontId="0" fillId="0" borderId="0" xfId="0" applyNumberFormat="1" applyAlignment="1">
      <alignment horizontal="center"/>
    </xf>
    <xf numFmtId="173" fontId="0" fillId="0" borderId="0" xfId="0" applyNumberFormat="1" applyAlignment="1">
      <alignment horizontal="center"/>
    </xf>
    <xf numFmtId="0" fontId="20" fillId="0" borderId="0" xfId="0" applyFont="1"/>
    <xf numFmtId="1" fontId="4" fillId="0" borderId="0" xfId="0" applyNumberFormat="1" applyFont="1" applyAlignment="1">
      <alignment horizontal="center"/>
    </xf>
    <xf numFmtId="0" fontId="0" fillId="0" borderId="39" xfId="0" applyBorder="1"/>
    <xf numFmtId="0" fontId="0" fillId="0" borderId="40" xfId="0" applyBorder="1"/>
    <xf numFmtId="0" fontId="0" fillId="0" borderId="41" xfId="0" applyBorder="1"/>
    <xf numFmtId="0" fontId="0" fillId="0" borderId="42" xfId="0" applyBorder="1"/>
    <xf numFmtId="0" fontId="0" fillId="0" borderId="43" xfId="0" applyBorder="1"/>
    <xf numFmtId="0" fontId="23" fillId="2" borderId="0" xfId="0" applyFont="1" applyFill="1"/>
    <xf numFmtId="0" fontId="0" fillId="20" borderId="0" xfId="0" applyFill="1"/>
    <xf numFmtId="0" fontId="23" fillId="14" borderId="0" xfId="0" applyFont="1" applyFill="1"/>
    <xf numFmtId="9" fontId="0" fillId="0" borderId="0" xfId="1" applyFont="1"/>
    <xf numFmtId="0" fontId="0" fillId="21" borderId="0" xfId="0" applyFill="1"/>
    <xf numFmtId="0" fontId="0" fillId="0" borderId="0" xfId="0" applyAlignment="1">
      <alignment horizontal="right"/>
    </xf>
    <xf numFmtId="0" fontId="0" fillId="22" borderId="0" xfId="0" applyFill="1"/>
    <xf numFmtId="0" fontId="0" fillId="23" borderId="0" xfId="0" applyFill="1"/>
    <xf numFmtId="0" fontId="0" fillId="24" borderId="0" xfId="0" applyFill="1"/>
    <xf numFmtId="0" fontId="0" fillId="25" borderId="0" xfId="0" applyFill="1"/>
    <xf numFmtId="0" fontId="0" fillId="26" borderId="0" xfId="0" applyFill="1"/>
    <xf numFmtId="14" fontId="0" fillId="0" borderId="0" xfId="0" applyNumberFormat="1"/>
    <xf numFmtId="4" fontId="0" fillId="0" borderId="0" xfId="0" applyNumberFormat="1"/>
    <xf numFmtId="9" fontId="0" fillId="0" borderId="0" xfId="0" applyNumberFormat="1" applyAlignment="1">
      <alignment horizontal="center"/>
    </xf>
    <xf numFmtId="0" fontId="20" fillId="0" borderId="0" xfId="0" quotePrefix="1" applyFont="1" applyAlignment="1">
      <alignment horizontal="left"/>
    </xf>
    <xf numFmtId="16" fontId="20" fillId="0" borderId="0" xfId="0" quotePrefix="1" applyNumberFormat="1" applyFont="1" applyAlignment="1">
      <alignment horizontal="left"/>
    </xf>
    <xf numFmtId="3" fontId="0" fillId="0" borderId="0" xfId="0" applyNumberFormat="1"/>
    <xf numFmtId="0" fontId="0" fillId="16" borderId="0" xfId="0" applyFill="1" applyAlignment="1">
      <alignment vertical="center"/>
    </xf>
    <xf numFmtId="0" fontId="9" fillId="16" borderId="0" xfId="0" applyFont="1" applyFill="1"/>
    <xf numFmtId="0" fontId="4" fillId="16" borderId="0" xfId="0" applyFont="1" applyFill="1"/>
    <xf numFmtId="0" fontId="0" fillId="0" borderId="0" xfId="0" applyAlignment="1">
      <alignment wrapText="1"/>
    </xf>
    <xf numFmtId="0" fontId="23" fillId="16" borderId="0" xfId="0" applyFont="1" applyFill="1"/>
    <xf numFmtId="0" fontId="0" fillId="15" borderId="4" xfId="0" applyFill="1" applyBorder="1" applyAlignment="1">
      <alignment horizontal="center" textRotation="45"/>
    </xf>
    <xf numFmtId="0" fontId="0" fillId="0" borderId="0" xfId="0" quotePrefix="1"/>
    <xf numFmtId="0" fontId="0" fillId="0" borderId="1" xfId="0" applyBorder="1" applyAlignment="1">
      <alignment horizontal="center"/>
    </xf>
    <xf numFmtId="0" fontId="0" fillId="0" borderId="4" xfId="0" applyBorder="1" applyAlignment="1">
      <alignment horizontal="center"/>
    </xf>
    <xf numFmtId="0" fontId="19" fillId="0" borderId="37" xfId="0" applyFont="1" applyBorder="1" applyAlignment="1">
      <alignment horizontal="center"/>
    </xf>
    <xf numFmtId="0" fontId="19" fillId="0" borderId="38" xfId="0" applyFont="1" applyBorder="1" applyAlignment="1">
      <alignment horizontal="center"/>
    </xf>
    <xf numFmtId="0" fontId="19" fillId="0" borderId="51" xfId="0" applyFont="1" applyBorder="1" applyAlignment="1">
      <alignment horizontal="center"/>
    </xf>
    <xf numFmtId="0" fontId="0" fillId="5" borderId="0" xfId="0" applyFill="1" applyAlignment="1">
      <alignment horizontal="center"/>
    </xf>
    <xf numFmtId="0" fontId="0" fillId="27" borderId="0" xfId="0" applyFill="1"/>
    <xf numFmtId="0" fontId="22" fillId="19" borderId="0" xfId="0" applyFont="1" applyFill="1" applyAlignment="1">
      <alignment horizontal="left"/>
    </xf>
    <xf numFmtId="9" fontId="0" fillId="0" borderId="0" xfId="0" applyNumberFormat="1"/>
    <xf numFmtId="0" fontId="4" fillId="0" borderId="53" xfId="0" applyFont="1" applyBorder="1"/>
    <xf numFmtId="0" fontId="0" fillId="0" borderId="52" xfId="0" applyBorder="1" applyAlignment="1">
      <alignment horizontal="center" wrapText="1"/>
    </xf>
    <xf numFmtId="0" fontId="0" fillId="0" borderId="52" xfId="0" applyBorder="1"/>
    <xf numFmtId="0" fontId="0" fillId="28" borderId="52" xfId="0" applyFill="1" applyBorder="1" applyAlignment="1">
      <alignment horizontal="center" vertical="center" wrapText="1"/>
    </xf>
    <xf numFmtId="0" fontId="0" fillId="28" borderId="52" xfId="0" applyFill="1" applyBorder="1"/>
    <xf numFmtId="0" fontId="4" fillId="0" borderId="52" xfId="0" applyFont="1" applyBorder="1" applyAlignment="1">
      <alignment horizontal="center"/>
    </xf>
    <xf numFmtId="0" fontId="4" fillId="0" borderId="52" xfId="0" applyFont="1" applyBorder="1" applyAlignment="1">
      <alignment horizontal="center" wrapText="1"/>
    </xf>
    <xf numFmtId="0" fontId="0" fillId="29" borderId="0" xfId="0" applyFill="1"/>
    <xf numFmtId="0" fontId="0" fillId="3" borderId="0" xfId="0" applyFill="1" applyAlignment="1">
      <alignment horizontal="left" vertical="center"/>
    </xf>
    <xf numFmtId="0" fontId="24" fillId="3" borderId="0" xfId="0" applyFont="1" applyFill="1" applyAlignment="1">
      <alignment horizontal="left"/>
    </xf>
    <xf numFmtId="16" fontId="24" fillId="3" borderId="0" xfId="0" quotePrefix="1" applyNumberFormat="1" applyFont="1" applyFill="1" applyAlignment="1">
      <alignment horizontal="left"/>
    </xf>
    <xf numFmtId="0" fontId="24" fillId="3" borderId="0" xfId="0" quotePrefix="1" applyFont="1" applyFill="1" applyAlignment="1">
      <alignment horizontal="left"/>
    </xf>
    <xf numFmtId="0" fontId="0" fillId="2" borderId="0" xfId="0" applyFill="1" applyAlignment="1">
      <alignment horizontal="center" vertical="center" wrapText="1"/>
    </xf>
    <xf numFmtId="0" fontId="0" fillId="14" borderId="0" xfId="0" applyFill="1" applyAlignment="1">
      <alignment horizontal="center" vertical="center" wrapText="1"/>
    </xf>
    <xf numFmtId="0" fontId="0" fillId="5" borderId="0" xfId="0" applyFill="1" applyAlignment="1">
      <alignment horizontal="center" vertical="center" wrapText="1"/>
    </xf>
    <xf numFmtId="0" fontId="0" fillId="26" borderId="0" xfId="0" applyFill="1" applyAlignment="1">
      <alignment horizontal="center" vertical="center" wrapText="1"/>
    </xf>
    <xf numFmtId="9" fontId="0" fillId="0" borderId="0" xfId="0" applyNumberFormat="1" applyAlignment="1">
      <alignment vertical="center" wrapText="1"/>
    </xf>
    <xf numFmtId="9" fontId="0" fillId="0" borderId="0" xfId="0" applyNumberFormat="1" applyAlignment="1">
      <alignment wrapText="1"/>
    </xf>
    <xf numFmtId="0" fontId="4" fillId="0" borderId="52" xfId="0" applyFont="1" applyBorder="1" applyAlignment="1">
      <alignment vertical="center"/>
    </xf>
    <xf numFmtId="0" fontId="4" fillId="0" borderId="52" xfId="0" applyFont="1" applyBorder="1" applyAlignment="1">
      <alignment vertical="center" wrapText="1"/>
    </xf>
    <xf numFmtId="0" fontId="0" fillId="28" borderId="57" xfId="0" applyFill="1" applyBorder="1" applyAlignment="1">
      <alignment horizontal="center" vertical="center" wrapText="1"/>
    </xf>
    <xf numFmtId="0" fontId="0" fillId="28" borderId="58" xfId="0" applyFill="1" applyBorder="1" applyAlignment="1">
      <alignment horizontal="center" vertical="center" wrapText="1"/>
    </xf>
    <xf numFmtId="0" fontId="4" fillId="0" borderId="0" xfId="0" applyFont="1" applyAlignment="1">
      <alignment horizontal="center" vertical="center" wrapText="1"/>
    </xf>
    <xf numFmtId="0" fontId="0" fillId="0" borderId="52" xfId="0" applyBorder="1" applyAlignment="1">
      <alignment horizontal="center" vertical="center" wrapText="1"/>
    </xf>
    <xf numFmtId="0" fontId="4" fillId="0" borderId="52" xfId="0" applyFont="1" applyBorder="1" applyAlignment="1">
      <alignment horizontal="center" vertical="center" wrapText="1"/>
    </xf>
    <xf numFmtId="0" fontId="0" fillId="29" borderId="52" xfId="0" applyFill="1" applyBorder="1" applyAlignment="1">
      <alignment horizontal="center" vertical="center" wrapText="1"/>
    </xf>
    <xf numFmtId="0" fontId="4" fillId="29" borderId="0" xfId="0" applyFont="1" applyFill="1" applyAlignment="1">
      <alignment horizontal="center" vertical="center" wrapText="1"/>
    </xf>
    <xf numFmtId="9" fontId="0" fillId="0" borderId="0" xfId="0" applyNumberFormat="1" applyAlignment="1">
      <alignment horizontal="center" vertical="center" wrapText="1"/>
    </xf>
    <xf numFmtId="0" fontId="0" fillId="29" borderId="0" xfId="0" applyFill="1" applyAlignment="1">
      <alignment horizontal="center" vertical="center"/>
    </xf>
    <xf numFmtId="9" fontId="0" fillId="29" borderId="0" xfId="0" applyNumberFormat="1" applyFill="1" applyAlignment="1">
      <alignment horizontal="center" vertical="center"/>
    </xf>
    <xf numFmtId="0" fontId="0" fillId="0" borderId="52" xfId="0" applyBorder="1" applyAlignment="1">
      <alignment vertical="center"/>
    </xf>
    <xf numFmtId="0" fontId="23" fillId="2" borderId="52" xfId="0" applyFont="1" applyFill="1" applyBorder="1"/>
    <xf numFmtId="0" fontId="0" fillId="0" borderId="52" xfId="0" applyBorder="1" applyAlignment="1">
      <alignment wrapText="1"/>
    </xf>
    <xf numFmtId="0" fontId="0" fillId="16" borderId="52" xfId="0" applyFill="1" applyBorder="1"/>
    <xf numFmtId="0" fontId="0" fillId="16" borderId="52" xfId="0" applyFill="1" applyBorder="1" applyAlignment="1">
      <alignment vertical="center"/>
    </xf>
    <xf numFmtId="0" fontId="4" fillId="16" borderId="52" xfId="0" applyFont="1" applyFill="1" applyBorder="1"/>
    <xf numFmtId="0" fontId="9" fillId="16" borderId="52" xfId="0" applyFont="1" applyFill="1" applyBorder="1"/>
    <xf numFmtId="0" fontId="0" fillId="14" borderId="52" xfId="0" applyFill="1" applyBorder="1"/>
    <xf numFmtId="0" fontId="0" fillId="14" borderId="52" xfId="0" applyFill="1" applyBorder="1" applyAlignment="1">
      <alignment vertical="center"/>
    </xf>
    <xf numFmtId="0" fontId="0" fillId="14" borderId="52" xfId="0" applyFill="1" applyBorder="1" applyAlignment="1">
      <alignment wrapText="1"/>
    </xf>
    <xf numFmtId="0" fontId="14" fillId="14" borderId="52" xfId="0" applyFont="1" applyFill="1" applyBorder="1"/>
    <xf numFmtId="0" fontId="0" fillId="5" borderId="52" xfId="0" applyFill="1" applyBorder="1"/>
    <xf numFmtId="0" fontId="0" fillId="5" borderId="52" xfId="0" applyFill="1" applyBorder="1" applyAlignment="1">
      <alignment wrapText="1"/>
    </xf>
    <xf numFmtId="0" fontId="14" fillId="0" borderId="52" xfId="0" applyFont="1" applyBorder="1"/>
    <xf numFmtId="0" fontId="0" fillId="15" borderId="52" xfId="0" applyFill="1" applyBorder="1"/>
    <xf numFmtId="0" fontId="8" fillId="0" borderId="52" xfId="0" applyFont="1" applyBorder="1"/>
    <xf numFmtId="0" fontId="8" fillId="0" borderId="52" xfId="0" applyFont="1" applyBorder="1" applyAlignment="1">
      <alignment wrapText="1"/>
    </xf>
    <xf numFmtId="0" fontId="0" fillId="21" borderId="52" xfId="0" applyFill="1" applyBorder="1"/>
    <xf numFmtId="0" fontId="0" fillId="31" borderId="52" xfId="0" applyFill="1" applyBorder="1"/>
    <xf numFmtId="0" fontId="25" fillId="0" borderId="0" xfId="0" applyFont="1"/>
    <xf numFmtId="0" fontId="0" fillId="14" borderId="59" xfId="0" applyFill="1" applyBorder="1"/>
    <xf numFmtId="0" fontId="0" fillId="14" borderId="59" xfId="0" applyFill="1" applyBorder="1" applyAlignment="1">
      <alignment vertical="center"/>
    </xf>
    <xf numFmtId="0" fontId="0" fillId="14" borderId="59" xfId="0" applyFill="1" applyBorder="1" applyAlignment="1">
      <alignment wrapText="1"/>
    </xf>
    <xf numFmtId="0" fontId="0" fillId="14" borderId="57" xfId="0" applyFill="1" applyBorder="1"/>
    <xf numFmtId="0" fontId="0" fillId="14" borderId="57" xfId="0" applyFill="1" applyBorder="1" applyAlignment="1">
      <alignment vertical="center"/>
    </xf>
    <xf numFmtId="0" fontId="0" fillId="14" borderId="57" xfId="0" applyFill="1" applyBorder="1" applyAlignment="1">
      <alignment wrapText="1"/>
    </xf>
    <xf numFmtId="10" fontId="0" fillId="0" borderId="0" xfId="0" applyNumberFormat="1" applyAlignment="1">
      <alignment horizontal="center"/>
    </xf>
    <xf numFmtId="0" fontId="4" fillId="0" borderId="52" xfId="0" applyFont="1" applyBorder="1"/>
    <xf numFmtId="0" fontId="25" fillId="0" borderId="52" xfId="0" applyFont="1" applyBorder="1"/>
    <xf numFmtId="0" fontId="28" fillId="0" borderId="52" xfId="0" applyFont="1" applyBorder="1"/>
    <xf numFmtId="0" fontId="0" fillId="31" borderId="0" xfId="0" applyFill="1"/>
    <xf numFmtId="0" fontId="12" fillId="0" borderId="52" xfId="0" applyFont="1" applyBorder="1"/>
    <xf numFmtId="0" fontId="0" fillId="0" borderId="58" xfId="0" applyBorder="1"/>
    <xf numFmtId="0" fontId="0" fillId="16" borderId="58" xfId="0" applyFill="1" applyBorder="1"/>
    <xf numFmtId="0" fontId="0" fillId="0" borderId="58" xfId="0" applyBorder="1" applyAlignment="1">
      <alignment wrapText="1"/>
    </xf>
    <xf numFmtId="0" fontId="0" fillId="14" borderId="58" xfId="0" applyFill="1" applyBorder="1" applyAlignment="1">
      <alignment wrapText="1"/>
    </xf>
    <xf numFmtId="0" fontId="0" fillId="14" borderId="60" xfId="0" applyFill="1" applyBorder="1" applyAlignment="1">
      <alignment wrapText="1"/>
    </xf>
    <xf numFmtId="0" fontId="0" fillId="14" borderId="61" xfId="0" applyFill="1" applyBorder="1" applyAlignment="1">
      <alignment wrapText="1"/>
    </xf>
    <xf numFmtId="0" fontId="8" fillId="0" borderId="58" xfId="0" applyFont="1" applyBorder="1" applyAlignment="1">
      <alignment wrapText="1"/>
    </xf>
    <xf numFmtId="0" fontId="0" fillId="14" borderId="58" xfId="0" applyFill="1" applyBorder="1"/>
    <xf numFmtId="0" fontId="12" fillId="16" borderId="52" xfId="0" applyFont="1" applyFill="1" applyBorder="1"/>
    <xf numFmtId="0" fontId="12" fillId="14" borderId="52" xfId="0" applyFont="1" applyFill="1" applyBorder="1"/>
    <xf numFmtId="14" fontId="0" fillId="0" borderId="52" xfId="0" applyNumberFormat="1" applyBorder="1"/>
    <xf numFmtId="14" fontId="0" fillId="0" borderId="59" xfId="0" applyNumberFormat="1" applyBorder="1"/>
    <xf numFmtId="14" fontId="0" fillId="0" borderId="57" xfId="0" applyNumberFormat="1" applyBorder="1"/>
    <xf numFmtId="14" fontId="4" fillId="0" borderId="52" xfId="0" applyNumberFormat="1" applyFont="1" applyBorder="1"/>
    <xf numFmtId="0" fontId="6" fillId="0" borderId="52" xfId="0" applyFont="1" applyBorder="1" applyAlignment="1">
      <alignment wrapText="1"/>
    </xf>
    <xf numFmtId="0" fontId="0" fillId="0" borderId="52" xfId="0" applyBorder="1" applyAlignment="1">
      <alignment vertical="top" wrapText="1"/>
    </xf>
    <xf numFmtId="0" fontId="0" fillId="0" borderId="52" xfId="0" applyBorder="1" applyAlignment="1">
      <alignment horizontal="left" vertical="top" wrapText="1"/>
    </xf>
    <xf numFmtId="0" fontId="0" fillId="0" borderId="59" xfId="0" applyBorder="1"/>
    <xf numFmtId="0" fontId="0" fillId="0" borderId="57" xfId="0" applyBorder="1"/>
    <xf numFmtId="0" fontId="0" fillId="0" borderId="0" xfId="0" applyAlignment="1">
      <alignment vertical="top"/>
    </xf>
    <xf numFmtId="0" fontId="0" fillId="0" borderId="52" xfId="0" applyBorder="1" applyAlignment="1">
      <alignment horizontal="center"/>
    </xf>
    <xf numFmtId="0" fontId="0" fillId="0" borderId="0" xfId="0" applyAlignment="1">
      <alignment horizontal="center" vertical="center"/>
    </xf>
    <xf numFmtId="0" fontId="0" fillId="0" borderId="52" xfId="0" applyBorder="1" applyAlignment="1">
      <alignment horizontal="center" vertical="center"/>
    </xf>
    <xf numFmtId="10" fontId="4" fillId="0" borderId="0" xfId="0" applyNumberFormat="1" applyFont="1" applyAlignment="1">
      <alignment horizontal="center"/>
    </xf>
    <xf numFmtId="0" fontId="0" fillId="0" borderId="65" xfId="0" applyBorder="1" applyAlignment="1">
      <alignment vertical="top"/>
    </xf>
    <xf numFmtId="0" fontId="0" fillId="0" borderId="64" xfId="0" applyBorder="1" applyAlignment="1">
      <alignment horizontal="center" vertical="center"/>
    </xf>
    <xf numFmtId="0" fontId="0" fillId="0" borderId="66" xfId="0" applyBorder="1" applyAlignment="1">
      <alignment vertical="top"/>
    </xf>
    <xf numFmtId="0" fontId="0" fillId="0" borderId="66" xfId="0" applyBorder="1" applyAlignment="1">
      <alignment horizontal="center" vertical="center"/>
    </xf>
    <xf numFmtId="0" fontId="0" fillId="0" borderId="66" xfId="0" applyBorder="1" applyAlignment="1">
      <alignment vertical="top" wrapText="1"/>
    </xf>
    <xf numFmtId="0" fontId="0" fillId="0" borderId="65" xfId="0" applyBorder="1" applyAlignment="1">
      <alignment wrapText="1"/>
    </xf>
    <xf numFmtId="0" fontId="0" fillId="9" borderId="65" xfId="0" applyFill="1" applyBorder="1" applyAlignment="1">
      <alignment vertical="top"/>
    </xf>
    <xf numFmtId="0" fontId="22" fillId="8" borderId="67" xfId="0" applyFont="1" applyFill="1" applyBorder="1"/>
    <xf numFmtId="0" fontId="22" fillId="8" borderId="68" xfId="0" applyFont="1" applyFill="1" applyBorder="1"/>
    <xf numFmtId="0" fontId="22" fillId="8" borderId="69" xfId="0" applyFont="1" applyFill="1" applyBorder="1"/>
    <xf numFmtId="0" fontId="27" fillId="34" borderId="65" xfId="0" applyFont="1" applyFill="1" applyBorder="1" applyAlignment="1">
      <alignment horizontal="center" vertical="center" wrapText="1"/>
    </xf>
    <xf numFmtId="0" fontId="26" fillId="33" borderId="65" xfId="0" applyFont="1" applyFill="1" applyBorder="1" applyAlignment="1">
      <alignment horizontal="left" vertical="center" wrapText="1"/>
    </xf>
    <xf numFmtId="1" fontId="26" fillId="33" borderId="65" xfId="0" applyNumberFormat="1" applyFont="1" applyFill="1" applyBorder="1" applyAlignment="1">
      <alignment horizontal="center" vertical="center" wrapText="1"/>
    </xf>
    <xf numFmtId="174" fontId="26" fillId="33" borderId="65" xfId="0" applyNumberFormat="1" applyFont="1" applyFill="1" applyBorder="1" applyAlignment="1">
      <alignment horizontal="center" vertical="center" wrapText="1"/>
    </xf>
    <xf numFmtId="10" fontId="26" fillId="33" borderId="65" xfId="0" applyNumberFormat="1" applyFont="1" applyFill="1" applyBorder="1" applyAlignment="1">
      <alignment horizontal="center" vertical="center" wrapText="1"/>
    </xf>
    <xf numFmtId="0" fontId="26" fillId="33" borderId="65" xfId="0" applyFont="1" applyFill="1" applyBorder="1" applyAlignment="1">
      <alignment horizontal="center" vertical="center" wrapText="1"/>
    </xf>
    <xf numFmtId="0" fontId="0" fillId="0" borderId="65" xfId="0" applyBorder="1" applyAlignment="1">
      <alignment horizontal="left" vertical="center" wrapText="1"/>
    </xf>
    <xf numFmtId="0" fontId="0" fillId="0" borderId="65" xfId="0" applyBorder="1" applyAlignment="1">
      <alignment horizontal="center" vertical="center" wrapText="1"/>
    </xf>
    <xf numFmtId="1" fontId="0" fillId="0" borderId="65" xfId="0" applyNumberFormat="1" applyBorder="1" applyAlignment="1">
      <alignment horizontal="center" vertical="center" wrapText="1"/>
    </xf>
    <xf numFmtId="174" fontId="0" fillId="0" borderId="65" xfId="0" applyNumberFormat="1" applyBorder="1" applyAlignment="1">
      <alignment horizontal="center" vertical="center" wrapText="1"/>
    </xf>
    <xf numFmtId="10" fontId="0" fillId="0" borderId="65" xfId="0" applyNumberFormat="1" applyBorder="1" applyAlignment="1">
      <alignment horizontal="center"/>
    </xf>
    <xf numFmtId="174" fontId="0" fillId="5" borderId="65" xfId="0" applyNumberFormat="1" applyFill="1" applyBorder="1" applyAlignment="1">
      <alignment horizontal="center" vertical="center" wrapText="1"/>
    </xf>
    <xf numFmtId="0" fontId="25" fillId="0" borderId="65" xfId="0" applyFont="1" applyBorder="1"/>
    <xf numFmtId="0" fontId="27" fillId="34" borderId="65" xfId="0" applyFont="1" applyFill="1" applyBorder="1" applyAlignment="1">
      <alignment horizontal="center" vertical="center"/>
    </xf>
    <xf numFmtId="0" fontId="26" fillId="33" borderId="65" xfId="0" applyFont="1" applyFill="1" applyBorder="1" applyAlignment="1">
      <alignment horizontal="left" vertical="center"/>
    </xf>
    <xf numFmtId="1" fontId="26" fillId="33" borderId="65" xfId="0" applyNumberFormat="1" applyFont="1" applyFill="1" applyBorder="1" applyAlignment="1">
      <alignment horizontal="center" vertical="center"/>
    </xf>
    <xf numFmtId="174" fontId="26" fillId="33" borderId="65" xfId="0" applyNumberFormat="1" applyFont="1" applyFill="1" applyBorder="1" applyAlignment="1">
      <alignment horizontal="center" vertical="center"/>
    </xf>
    <xf numFmtId="10" fontId="26" fillId="33" borderId="65" xfId="0" applyNumberFormat="1" applyFont="1" applyFill="1" applyBorder="1" applyAlignment="1">
      <alignment horizontal="center" vertical="center"/>
    </xf>
    <xf numFmtId="0" fontId="26" fillId="33" borderId="65" xfId="0" applyFont="1" applyFill="1" applyBorder="1" applyAlignment="1">
      <alignment horizontal="center" vertical="center"/>
    </xf>
    <xf numFmtId="0" fontId="4" fillId="0" borderId="65" xfId="0" applyFont="1" applyBorder="1"/>
    <xf numFmtId="0" fontId="0" fillId="0" borderId="70" xfId="0" applyBorder="1"/>
    <xf numFmtId="0" fontId="0" fillId="0" borderId="52" xfId="0" applyBorder="1" applyAlignment="1">
      <alignment vertical="top"/>
    </xf>
    <xf numFmtId="0" fontId="30" fillId="0" borderId="52" xfId="0" applyFont="1" applyBorder="1" applyAlignment="1">
      <alignment vertical="top"/>
    </xf>
    <xf numFmtId="0" fontId="0" fillId="26" borderId="52" xfId="0" applyFill="1" applyBorder="1"/>
    <xf numFmtId="0" fontId="29" fillId="0" borderId="52" xfId="0" applyFont="1" applyBorder="1"/>
    <xf numFmtId="0" fontId="30" fillId="0" borderId="52" xfId="0" applyFont="1" applyBorder="1"/>
    <xf numFmtId="0" fontId="24" fillId="3" borderId="52" xfId="0" applyFont="1" applyFill="1" applyBorder="1" applyAlignment="1">
      <alignment horizontal="left"/>
    </xf>
    <xf numFmtId="0" fontId="24" fillId="3" borderId="52" xfId="0" applyFont="1" applyFill="1" applyBorder="1" applyAlignment="1">
      <alignment horizontal="left" wrapText="1"/>
    </xf>
    <xf numFmtId="0" fontId="24" fillId="3" borderId="52" xfId="0" applyFont="1" applyFill="1" applyBorder="1" applyAlignment="1">
      <alignment horizontal="center"/>
    </xf>
    <xf numFmtId="0" fontId="24" fillId="3" borderId="52" xfId="0" applyFont="1" applyFill="1" applyBorder="1" applyAlignment="1">
      <alignment horizontal="center" wrapText="1"/>
    </xf>
    <xf numFmtId="0" fontId="23" fillId="2" borderId="57" xfId="0" applyFont="1" applyFill="1" applyBorder="1"/>
    <xf numFmtId="0" fontId="0" fillId="0" borderId="57" xfId="0" applyBorder="1" applyAlignment="1">
      <alignment wrapText="1"/>
    </xf>
    <xf numFmtId="0" fontId="0" fillId="0" borderId="57" xfId="0" applyBorder="1" applyAlignment="1">
      <alignment horizontal="center" vertical="center"/>
    </xf>
    <xf numFmtId="0" fontId="23" fillId="2" borderId="57" xfId="0" applyFont="1" applyFill="1" applyBorder="1" applyAlignment="1">
      <alignment wrapText="1"/>
    </xf>
    <xf numFmtId="0" fontId="0" fillId="16" borderId="57" xfId="0" applyFill="1" applyBorder="1" applyAlignment="1">
      <alignment wrapText="1"/>
    </xf>
    <xf numFmtId="0" fontId="0" fillId="16" borderId="61" xfId="0" applyFill="1" applyBorder="1" applyAlignment="1">
      <alignment wrapText="1"/>
    </xf>
    <xf numFmtId="0" fontId="12" fillId="16" borderId="57" xfId="0" applyFont="1" applyFill="1" applyBorder="1"/>
    <xf numFmtId="0" fontId="0" fillId="16" borderId="57" xfId="0" applyFill="1" applyBorder="1"/>
    <xf numFmtId="0" fontId="0" fillId="16" borderId="62" xfId="0" applyFill="1" applyBorder="1"/>
    <xf numFmtId="0" fontId="0" fillId="16" borderId="57" xfId="0" applyFill="1" applyBorder="1" applyAlignment="1">
      <alignment vertical="center" wrapText="1"/>
    </xf>
    <xf numFmtId="0" fontId="0" fillId="17" borderId="52" xfId="0" applyFill="1" applyBorder="1"/>
    <xf numFmtId="0" fontId="0" fillId="17" borderId="0" xfId="0" applyFill="1"/>
    <xf numFmtId="0" fontId="33" fillId="3" borderId="52" xfId="0" applyFont="1" applyFill="1" applyBorder="1" applyAlignment="1">
      <alignment horizontal="left"/>
    </xf>
    <xf numFmtId="0" fontId="0" fillId="20" borderId="52" xfId="0" applyFill="1" applyBorder="1"/>
    <xf numFmtId="0" fontId="0" fillId="20" borderId="52" xfId="0" applyFill="1" applyBorder="1" applyAlignment="1">
      <alignment vertical="center"/>
    </xf>
    <xf numFmtId="0" fontId="0" fillId="20" borderId="58" xfId="0" applyFill="1" applyBorder="1" applyAlignment="1">
      <alignment wrapText="1"/>
    </xf>
    <xf numFmtId="0" fontId="12" fillId="20" borderId="52" xfId="0" applyFont="1" applyFill="1" applyBorder="1"/>
    <xf numFmtId="0" fontId="0" fillId="37" borderId="52" xfId="0" applyFill="1" applyBorder="1"/>
    <xf numFmtId="0" fontId="0" fillId="37" borderId="52" xfId="0" applyFill="1" applyBorder="1" applyAlignment="1">
      <alignment vertical="center"/>
    </xf>
    <xf numFmtId="0" fontId="0" fillId="37" borderId="58" xfId="0" applyFill="1" applyBorder="1" applyAlignment="1">
      <alignment wrapText="1"/>
    </xf>
    <xf numFmtId="0" fontId="12" fillId="37" borderId="52" xfId="0" applyFont="1" applyFill="1" applyBorder="1"/>
    <xf numFmtId="0" fontId="12" fillId="16" borderId="57" xfId="0" applyFont="1" applyFill="1" applyBorder="1" applyAlignment="1">
      <alignment wrapText="1"/>
    </xf>
    <xf numFmtId="0" fontId="12" fillId="0" borderId="57" xfId="0" applyFont="1" applyBorder="1"/>
    <xf numFmtId="0" fontId="12" fillId="35" borderId="57" xfId="0" applyFont="1" applyFill="1" applyBorder="1"/>
    <xf numFmtId="0" fontId="6" fillId="0" borderId="52" xfId="0" applyFont="1" applyBorder="1"/>
    <xf numFmtId="0" fontId="12" fillId="36" borderId="57" xfId="0" applyFont="1" applyFill="1" applyBorder="1"/>
    <xf numFmtId="0" fontId="12" fillId="36" borderId="57" xfId="0" applyFont="1" applyFill="1" applyBorder="1" applyAlignment="1">
      <alignment wrapText="1"/>
    </xf>
    <xf numFmtId="0" fontId="12" fillId="20" borderId="57" xfId="0" applyFont="1" applyFill="1" applyBorder="1"/>
    <xf numFmtId="0" fontId="12" fillId="0" borderId="57" xfId="0" applyFont="1" applyBorder="1" applyAlignment="1">
      <alignment wrapText="1"/>
    </xf>
    <xf numFmtId="0" fontId="12" fillId="36" borderId="63" xfId="0" applyFont="1" applyFill="1" applyBorder="1"/>
    <xf numFmtId="0" fontId="12" fillId="14" borderId="57" xfId="0" applyFont="1" applyFill="1" applyBorder="1"/>
    <xf numFmtId="0" fontId="12" fillId="0" borderId="0" xfId="0" applyFont="1"/>
    <xf numFmtId="0" fontId="12" fillId="37" borderId="57" xfId="0" applyFont="1" applyFill="1" applyBorder="1"/>
    <xf numFmtId="10" fontId="27" fillId="34" borderId="65" xfId="0" applyNumberFormat="1" applyFont="1" applyFill="1" applyBorder="1" applyAlignment="1">
      <alignment horizontal="center" vertical="center" wrapText="1"/>
    </xf>
    <xf numFmtId="10" fontId="27" fillId="34" borderId="65" xfId="0" applyNumberFormat="1" applyFont="1" applyFill="1" applyBorder="1" applyAlignment="1">
      <alignment horizontal="center" vertical="center"/>
    </xf>
    <xf numFmtId="0" fontId="0" fillId="5" borderId="52" xfId="0" applyFill="1" applyBorder="1" applyAlignment="1">
      <alignment vertical="center"/>
    </xf>
    <xf numFmtId="0" fontId="12" fillId="0" borderId="0" xfId="0" applyFont="1" applyAlignment="1">
      <alignment horizontal="center" vertical="center"/>
    </xf>
    <xf numFmtId="0" fontId="12" fillId="32" borderId="0" xfId="0" applyFont="1" applyFill="1" applyAlignment="1">
      <alignment horizontal="center" vertical="center"/>
    </xf>
    <xf numFmtId="0" fontId="0" fillId="0" borderId="0" xfId="0" applyAlignment="1">
      <alignment horizontal="center"/>
    </xf>
    <xf numFmtId="0" fontId="0" fillId="0" borderId="64" xfId="0" applyBorder="1" applyAlignment="1">
      <alignment horizontal="center" vertical="top" wrapText="1"/>
    </xf>
    <xf numFmtId="0" fontId="0" fillId="0" borderId="1" xfId="0" applyBorder="1" applyAlignment="1">
      <alignment horizontal="center" vertical="top" wrapText="1"/>
    </xf>
    <xf numFmtId="0" fontId="0" fillId="0" borderId="2" xfId="0" applyBorder="1" applyAlignment="1">
      <alignment horizontal="center" vertical="top" wrapText="1"/>
    </xf>
    <xf numFmtId="0" fontId="0" fillId="0" borderId="13" xfId="0" applyBorder="1" applyAlignment="1">
      <alignment horizontal="center" vertical="center"/>
    </xf>
    <xf numFmtId="0" fontId="0" fillId="0" borderId="2" xfId="0" applyBorder="1" applyAlignment="1">
      <alignment horizontal="center" vertical="center"/>
    </xf>
    <xf numFmtId="0" fontId="0" fillId="0" borderId="13" xfId="0" applyBorder="1" applyAlignment="1">
      <alignment horizontal="center" vertical="top"/>
    </xf>
    <xf numFmtId="0" fontId="0" fillId="0" borderId="1" xfId="0" applyBorder="1" applyAlignment="1">
      <alignment horizontal="center" vertical="top"/>
    </xf>
    <xf numFmtId="0" fontId="0" fillId="0" borderId="2" xfId="0" applyBorder="1" applyAlignment="1">
      <alignment horizontal="center" vertical="top"/>
    </xf>
    <xf numFmtId="0" fontId="0" fillId="0" borderId="64" xfId="0" applyBorder="1" applyAlignment="1">
      <alignment horizontal="center" vertical="center"/>
    </xf>
    <xf numFmtId="0" fontId="0" fillId="0" borderId="1" xfId="0" applyBorder="1" applyAlignment="1">
      <alignment horizontal="center" vertical="center"/>
    </xf>
    <xf numFmtId="0" fontId="0" fillId="0" borderId="64" xfId="0" applyBorder="1" applyAlignment="1">
      <alignment horizontal="center" vertical="top"/>
    </xf>
    <xf numFmtId="0" fontId="0" fillId="0" borderId="14" xfId="0" applyBorder="1" applyAlignment="1">
      <alignment horizontal="center" vertical="top"/>
    </xf>
    <xf numFmtId="0" fontId="0" fillId="0" borderId="40" xfId="0" applyBorder="1" applyAlignment="1">
      <alignment vertical="center" wrapText="1"/>
    </xf>
    <xf numFmtId="0" fontId="0" fillId="0" borderId="40" xfId="0" applyBorder="1" applyAlignment="1">
      <alignment vertical="center"/>
    </xf>
    <xf numFmtId="0" fontId="0" fillId="0" borderId="40" xfId="0" applyBorder="1" applyAlignment="1">
      <alignment horizontal="left" vertical="center"/>
    </xf>
    <xf numFmtId="0" fontId="0" fillId="0" borderId="44" xfId="0" applyBorder="1" applyAlignment="1">
      <alignment horizontal="center" vertical="center"/>
    </xf>
    <xf numFmtId="0" fontId="0" fillId="0" borderId="45" xfId="0" applyBorder="1" applyAlignment="1">
      <alignment horizontal="center" vertical="center"/>
    </xf>
    <xf numFmtId="0" fontId="0" fillId="0" borderId="46" xfId="0" applyBorder="1" applyAlignment="1">
      <alignment horizontal="center" vertical="center"/>
    </xf>
    <xf numFmtId="0" fontId="0" fillId="0" borderId="47" xfId="0" applyBorder="1" applyAlignment="1">
      <alignment horizontal="center" vertical="center"/>
    </xf>
    <xf numFmtId="0" fontId="0" fillId="0" borderId="48" xfId="0" applyBorder="1" applyAlignment="1">
      <alignment horizontal="center" vertical="center"/>
    </xf>
    <xf numFmtId="0" fontId="0" fillId="0" borderId="49" xfId="0" applyBorder="1" applyAlignment="1">
      <alignment horizontal="center" vertical="center"/>
    </xf>
    <xf numFmtId="0" fontId="0" fillId="0" borderId="50" xfId="0" applyBorder="1" applyAlignment="1">
      <alignment horizontal="center" vertical="center"/>
    </xf>
    <xf numFmtId="9" fontId="4" fillId="17" borderId="54" xfId="0" applyNumberFormat="1" applyFont="1" applyFill="1" applyBorder="1" applyAlignment="1">
      <alignment horizontal="center" vertical="center" wrapText="1"/>
    </xf>
    <xf numFmtId="9" fontId="4" fillId="17" borderId="55" xfId="0" applyNumberFormat="1" applyFont="1" applyFill="1" applyBorder="1" applyAlignment="1">
      <alignment horizontal="center" vertical="center" wrapText="1"/>
    </xf>
    <xf numFmtId="9" fontId="4" fillId="17" borderId="56" xfId="0" applyNumberFormat="1" applyFont="1" applyFill="1" applyBorder="1" applyAlignment="1">
      <alignment horizontal="center" vertical="center" wrapText="1"/>
    </xf>
    <xf numFmtId="9" fontId="4" fillId="30" borderId="54" xfId="0" applyNumberFormat="1" applyFont="1" applyFill="1" applyBorder="1" applyAlignment="1">
      <alignment horizontal="center" vertical="center" wrapText="1"/>
    </xf>
    <xf numFmtId="9" fontId="4" fillId="30" borderId="55" xfId="0" applyNumberFormat="1" applyFont="1" applyFill="1" applyBorder="1" applyAlignment="1">
      <alignment horizontal="center" vertical="center" wrapText="1"/>
    </xf>
    <xf numFmtId="9" fontId="4" fillId="30" borderId="56" xfId="0" applyNumberFormat="1" applyFont="1" applyFill="1" applyBorder="1" applyAlignment="1">
      <alignment horizontal="center" vertical="center" wrapText="1"/>
    </xf>
    <xf numFmtId="0" fontId="0" fillId="0" borderId="28" xfId="0" applyBorder="1" applyAlignment="1">
      <alignment horizontal="left" vertical="top"/>
    </xf>
    <xf numFmtId="0" fontId="0" fillId="0" borderId="29" xfId="0" applyBorder="1" applyAlignment="1">
      <alignment horizontal="left" vertical="top"/>
    </xf>
    <xf numFmtId="0" fontId="0" fillId="0" borderId="31" xfId="0" applyBorder="1" applyAlignment="1">
      <alignment horizontal="left" vertical="top"/>
    </xf>
    <xf numFmtId="0" fontId="12" fillId="0" borderId="21" xfId="0" applyFont="1" applyBorder="1" applyAlignment="1">
      <alignment vertical="center" wrapText="1"/>
    </xf>
    <xf numFmtId="0" fontId="12" fillId="0" borderId="19" xfId="0" applyFont="1" applyBorder="1" applyAlignment="1">
      <alignment vertical="center" wrapText="1"/>
    </xf>
    <xf numFmtId="0" fontId="12" fillId="0" borderId="17" xfId="0" applyFont="1" applyBorder="1" applyAlignment="1">
      <alignment vertical="center" wrapText="1"/>
    </xf>
    <xf numFmtId="0" fontId="9" fillId="11" borderId="21" xfId="0" applyFont="1" applyFill="1" applyBorder="1" applyAlignment="1">
      <alignment vertical="center" wrapText="1"/>
    </xf>
    <xf numFmtId="0" fontId="9" fillId="11" borderId="19" xfId="0" applyFont="1" applyFill="1" applyBorder="1" applyAlignment="1">
      <alignment vertical="center" wrapText="1"/>
    </xf>
    <xf numFmtId="0" fontId="9" fillId="11" borderId="22" xfId="0" applyFont="1" applyFill="1" applyBorder="1" applyAlignment="1">
      <alignment vertical="center" wrapText="1"/>
    </xf>
    <xf numFmtId="0" fontId="9" fillId="11" borderId="17" xfId="0" applyFont="1" applyFill="1" applyBorder="1" applyAlignment="1">
      <alignment vertical="center" wrapText="1"/>
    </xf>
    <xf numFmtId="0" fontId="13" fillId="0" borderId="21" xfId="0" applyFont="1" applyBorder="1" applyAlignment="1">
      <alignment vertical="center" wrapText="1"/>
    </xf>
    <xf numFmtId="0" fontId="13" fillId="0" borderId="19" xfId="0" applyFont="1" applyBorder="1" applyAlignment="1">
      <alignment vertical="center" wrapText="1"/>
    </xf>
    <xf numFmtId="0" fontId="13" fillId="0" borderId="17" xfId="0" applyFont="1" applyBorder="1" applyAlignment="1">
      <alignment vertical="center" wrapText="1"/>
    </xf>
  </cellXfs>
  <cellStyles count="2">
    <cellStyle name="Normal" xfId="0" builtinId="0"/>
    <cellStyle name="Porcentaje" xfId="1" builtinId="5"/>
  </cellStyles>
  <dxfs count="96">
    <dxf>
      <fill>
        <patternFill>
          <bgColor theme="9" tint="0.39994506668294322"/>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theme="9" tint="0.39994506668294322"/>
        </patternFill>
      </fill>
    </dxf>
    <dxf>
      <alignment textRotation="45"/>
    </dxf>
    <dxf>
      <alignment textRotation="45"/>
    </dxf>
    <dxf>
      <alignment horizontal="center"/>
    </dxf>
    <dxf>
      <fill>
        <patternFill patternType="solid">
          <bgColor rgb="FFFFC000"/>
        </patternFill>
      </fill>
    </dxf>
    <dxf>
      <fill>
        <patternFill>
          <bgColor rgb="FF92D050"/>
        </patternFill>
      </fill>
    </dxf>
    <dxf>
      <fill>
        <patternFill patternType="solid">
          <bgColor theme="9" tint="0.79998168889431442"/>
        </patternFill>
      </fill>
    </dxf>
    <dxf>
      <border>
        <left style="thin">
          <color auto="1"/>
        </left>
        <right style="thin">
          <color auto="1"/>
        </right>
      </border>
    </dxf>
    <dxf>
      <border>
        <left style="thin">
          <color auto="1"/>
        </left>
        <right style="thin">
          <color auto="1"/>
        </right>
      </border>
    </dxf>
    <dxf>
      <border>
        <right style="thin">
          <color auto="1"/>
        </right>
      </border>
    </dxf>
    <dxf>
      <border>
        <right style="thin">
          <color auto="1"/>
        </right>
      </border>
    </dxf>
    <dxf>
      <alignment horizontal="center"/>
    </dxf>
    <dxf>
      <alignment horizontal="center"/>
    </dxf>
    <dxf>
      <alignment vertical="center"/>
    </dxf>
    <dxf>
      <border>
        <bottom style="hair">
          <color auto="1"/>
        </bottom>
      </border>
    </dxf>
    <dxf>
      <border>
        <bottom style="hair">
          <color auto="1"/>
        </bottom>
      </border>
    </dxf>
    <dxf>
      <font>
        <i/>
      </font>
    </dxf>
    <dxf>
      <font>
        <i/>
      </font>
    </dxf>
    <dxf>
      <numFmt numFmtId="165" formatCode="0\ &quot;i&quot;"/>
    </dxf>
    <dxf>
      <numFmt numFmtId="171" formatCode="0\ &quot;ii&quot;"/>
    </dxf>
    <dxf>
      <numFmt numFmtId="172" formatCode="0\ &quot;iii&quot;"/>
    </dxf>
    <dxf>
      <numFmt numFmtId="173" formatCode="0\ &quot;iv&quot;"/>
    </dxf>
    <dxf>
      <numFmt numFmtId="170" formatCode="0\ &quot;v&quot;"/>
    </dxf>
    <dxf>
      <font>
        <b/>
      </font>
    </dxf>
    <dxf>
      <fill>
        <patternFill patternType="solid">
          <bgColor rgb="FFFFFF00"/>
        </patternFill>
      </fill>
    </dxf>
    <dxf>
      <alignment horizontal="center"/>
    </dxf>
    <dxf>
      <alignment textRotation="45"/>
    </dxf>
    <dxf>
      <alignment textRotation="45"/>
    </dxf>
    <dxf>
      <alignment horizontal="center"/>
    </dxf>
    <dxf>
      <alignment horizontal="center"/>
    </dxf>
    <dxf>
      <alignment horizontal="center"/>
    </dxf>
    <dxf>
      <alignment horizontal="center"/>
    </dxf>
    <dxf>
      <alignment horizontal="center"/>
    </dxf>
    <dxf>
      <border>
        <left style="dotted">
          <color auto="1"/>
        </left>
        <right style="dotted">
          <color auto="1"/>
        </right>
      </border>
    </dxf>
    <dxf>
      <border>
        <left style="dotted">
          <color auto="1"/>
        </left>
      </border>
    </dxf>
    <dxf>
      <font>
        <b/>
      </font>
    </dxf>
    <dxf>
      <font>
        <b/>
      </font>
    </dxf>
    <dxf>
      <numFmt numFmtId="164" formatCode="0&quot;**&quot;"/>
    </dxf>
    <dxf>
      <fill>
        <patternFill patternType="solid">
          <bgColor theme="0" tint="-4.9989318521683403E-2"/>
        </patternFill>
      </fill>
    </dxf>
    <dxf>
      <fill>
        <patternFill patternType="solid">
          <bgColor theme="0" tint="-4.9989318521683403E-2"/>
        </patternFill>
      </fill>
    </dxf>
    <dxf>
      <font>
        <b/>
      </font>
      <numFmt numFmtId="175" formatCode="0&quot;*&quot;"/>
    </dxf>
    <dxf>
      <numFmt numFmtId="165" formatCode="0\ &quot;i&quot;"/>
    </dxf>
    <dxf>
      <font>
        <b/>
      </font>
    </dxf>
    <dxf>
      <numFmt numFmtId="166" formatCode="0&quot; ii&quot;"/>
    </dxf>
    <dxf>
      <numFmt numFmtId="176" formatCode="0&quot; v&quot;"/>
    </dxf>
    <dxf>
      <numFmt numFmtId="167" formatCode="0&quot; iv&quot;"/>
    </dxf>
    <dxf>
      <font>
        <b val="0"/>
        <i val="0"/>
        <strike val="0"/>
        <condense val="0"/>
        <extend val="0"/>
        <outline val="0"/>
        <shadow val="0"/>
        <u val="none"/>
        <vertAlign val="baseline"/>
        <sz val="11"/>
        <color theme="1"/>
        <name val="Aptos Narrow"/>
        <scheme val="minor"/>
      </font>
      <numFmt numFmtId="0" formatCode="General"/>
    </dxf>
    <dxf>
      <font>
        <b/>
      </font>
      <numFmt numFmtId="177" formatCode="0&quot;iii&quot;"/>
    </dxf>
    <dxf>
      <fill>
        <patternFill>
          <bgColor theme="9" tint="0.59999389629810485"/>
        </patternFill>
      </fill>
    </dxf>
    <dxf>
      <fill>
        <patternFill>
          <bgColor theme="9" tint="0.59999389629810485"/>
        </patternFill>
      </fill>
    </dxf>
    <dxf>
      <numFmt numFmtId="169" formatCode="#\ &quot;iv&quot;"/>
    </dxf>
    <dxf>
      <font>
        <b/>
      </font>
    </dxf>
    <dxf>
      <fill>
        <patternFill patternType="solid">
          <fgColor indexed="64"/>
          <bgColor theme="0" tint="-4.9989318521683403E-2"/>
        </patternFill>
      </fill>
    </dxf>
    <dxf>
      <font>
        <b val="0"/>
        <i val="0"/>
        <strike val="0"/>
        <condense val="0"/>
        <extend val="0"/>
        <outline val="0"/>
        <shadow val="0"/>
        <u val="none"/>
        <vertAlign val="baseline"/>
        <sz val="11"/>
        <color theme="1"/>
        <name val="Aptos Narrow"/>
        <scheme val="minor"/>
      </font>
      <numFmt numFmtId="0" formatCode="General"/>
    </dxf>
    <dxf>
      <font>
        <b val="0"/>
        <i val="0"/>
        <strike val="0"/>
        <condense val="0"/>
        <extend val="0"/>
        <outline val="0"/>
        <shadow val="0"/>
        <u val="none"/>
        <vertAlign val="baseline"/>
        <sz val="11"/>
        <color theme="1"/>
        <name val="Aptos Narrow"/>
        <scheme val="minor"/>
      </font>
    </dxf>
    <dxf>
      <font>
        <b val="0"/>
        <i val="0"/>
        <strike val="0"/>
        <condense val="0"/>
        <extend val="0"/>
        <outline val="0"/>
        <shadow val="0"/>
        <u val="none"/>
        <vertAlign val="baseline"/>
        <sz val="11"/>
        <color theme="1"/>
        <name val="Aptos Narrow"/>
        <scheme val="minor"/>
      </font>
    </dxf>
    <dxf>
      <font>
        <b/>
      </font>
      <numFmt numFmtId="166" formatCode="0&quot; ii&quot;"/>
    </dxf>
    <dxf>
      <numFmt numFmtId="168" formatCode="0&quot; iii&quot;"/>
    </dxf>
    <dxf>
      <font>
        <b/>
      </font>
      <numFmt numFmtId="168" formatCode="0&quot; iii&quot;"/>
    </dxf>
    <dxf>
      <font>
        <b/>
      </font>
      <numFmt numFmtId="168" formatCode="0&quot; iii&quot;"/>
    </dxf>
    <dxf>
      <numFmt numFmtId="167" formatCode="0&quot; iv&quot;"/>
    </dxf>
    <dxf>
      <font>
        <b val="0"/>
        <i val="0"/>
        <strike val="0"/>
        <condense val="0"/>
        <extend val="0"/>
        <outline val="0"/>
        <shadow val="0"/>
        <u val="none"/>
        <vertAlign val="baseline"/>
        <sz val="11"/>
        <color theme="1"/>
        <name val="Aptos Narrow"/>
        <scheme val="minor"/>
      </font>
    </dxf>
    <dxf>
      <font>
        <b val="0"/>
        <i val="0"/>
        <strike val="0"/>
        <condense val="0"/>
        <extend val="0"/>
        <outline val="0"/>
        <shadow val="0"/>
        <u val="none"/>
        <vertAlign val="baseline"/>
        <sz val="11"/>
        <color theme="1"/>
        <name val="Aptos Narrow"/>
        <scheme val="minor"/>
      </font>
    </dxf>
    <dxf>
      <numFmt numFmtId="1" formatCode="0"/>
    </dxf>
    <dxf>
      <font>
        <b/>
      </font>
    </dxf>
    <dxf>
      <numFmt numFmtId="170" formatCode="0\ &quot;v&quot;"/>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textRotation="0"/>
    </dxf>
    <dxf>
      <alignment textRotation="0"/>
    </dxf>
    <dxf>
      <alignment horizontal="center"/>
    </dxf>
    <dxf>
      <alignment textRotation="0"/>
    </dxf>
    <dxf>
      <alignment textRotation="0"/>
    </dxf>
  </dxfs>
  <tableStyles count="0" defaultTableStyle="TableStyleMedium2" defaultPivotStyle="PivotStyleLight16"/>
  <colors>
    <mruColors>
      <color rgb="FFF68616"/>
      <color rgb="FF99FF66"/>
      <color rgb="FFF5530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pivotCacheDefinition" Target="pivotCache/pivotCacheDefinition5.xml"/><Relationship Id="rId39" Type="http://schemas.openxmlformats.org/officeDocument/2006/relationships/customXml" Target="../customXml/item3.xml"/><Relationship Id="rId21" Type="http://schemas.openxmlformats.org/officeDocument/2006/relationships/externalLink" Target="externalLinks/externalLink1.xml"/><Relationship Id="rId34" Type="http://schemas.microsoft.com/office/2017/06/relationships/rdRichValueStructure" Target="richData/rdrichvaluestructure.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pivotCacheDefinition" Target="pivotCache/pivotCacheDefinition4.xml"/><Relationship Id="rId33" Type="http://schemas.microsoft.com/office/2017/06/relationships/rdRichValue" Target="richData/rdrichvalue.xml"/><Relationship Id="rId38"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pivotCacheDefinition" Target="pivotCache/pivotCacheDefinition3.xml"/><Relationship Id="rId32" Type="http://schemas.microsoft.com/office/2022/10/relationships/richValueRel" Target="richData/richValueRel.xml"/><Relationship Id="rId37" Type="http://schemas.openxmlformats.org/officeDocument/2006/relationships/customXml" Target="../customXml/item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pivotCacheDefinition" Target="pivotCache/pivotCacheDefinition2.xml"/><Relationship Id="rId28" Type="http://schemas.openxmlformats.org/officeDocument/2006/relationships/theme" Target="theme/theme1.xml"/><Relationship Id="rId36"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pivotCacheDefinition" Target="pivotCache/pivotCacheDefinition1.xml"/><Relationship Id="rId27" Type="http://schemas.openxmlformats.org/officeDocument/2006/relationships/pivotCacheDefinition" Target="pivotCache/pivotCacheDefinition6.xml"/><Relationship Id="rId30" Type="http://schemas.openxmlformats.org/officeDocument/2006/relationships/sharedStrings" Target="sharedStrings.xml"/><Relationship Id="rId35" Type="http://schemas.microsoft.com/office/2017/06/relationships/rdRichValueTypes" Target="richData/rdRichValueTypes.xml"/><Relationship Id="rId8" Type="http://schemas.openxmlformats.org/officeDocument/2006/relationships/worksheet" Target="worksheets/sheet8.xml"/><Relationship Id="rId3" Type="http://schemas.openxmlformats.org/officeDocument/2006/relationships/worksheet" Target="worksheets/sheet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pivotSource>
    <c:name>[Seguimiento Reportes Regulatorios.xlsx]Hoja1!Tabla dinámica1</c:name>
    <c:fmtId val="0"/>
  </c:pivotSource>
  <c:chart>
    <c:title>
      <c:tx>
        <c:rich>
          <a:bodyPr rot="0" spcFirstLastPara="1" vertOverflow="ellipsis" vert="horz" wrap="square" anchor="ctr" anchorCtr="1"/>
          <a:lstStyle/>
          <a:p>
            <a:pPr>
              <a:defRPr sz="2000" b="1" i="0" u="none" strike="noStrike" kern="1200" spc="0" baseline="0">
                <a:solidFill>
                  <a:srgbClr val="000000"/>
                </a:solidFill>
                <a:latin typeface="+mn-lt"/>
                <a:ea typeface="+mn-ea"/>
                <a:cs typeface="+mn-cs"/>
              </a:defRPr>
            </a:pPr>
            <a:r>
              <a:rPr lang="en-US"/>
              <a:t>Mapeo</a:t>
            </a:r>
          </a:p>
        </c:rich>
      </c:tx>
      <c:overlay val="0"/>
      <c:spPr>
        <a:noFill/>
        <a:ln>
          <a:noFill/>
        </a:ln>
        <a:effectLst/>
      </c:spPr>
      <c:txPr>
        <a:bodyPr rot="0" spcFirstLastPara="1" vertOverflow="ellipsis" vert="horz" wrap="square" anchor="ctr" anchorCtr="1"/>
        <a:lstStyle/>
        <a:p>
          <a:pPr>
            <a:defRPr sz="2000" b="1" i="0" u="none" strike="noStrike" kern="1200" spc="0" baseline="0">
              <a:solidFill>
                <a:srgbClr val="000000"/>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eparator> </c:separator>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eparator> </c:separator>
          <c:extLst>
            <c:ext xmlns:c15="http://schemas.microsoft.com/office/drawing/2012/chart" uri="{CE6537A1-D6FC-4f65-9D91-7224C49458BB}"/>
          </c:extLst>
        </c:dLbl>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s>
    <c:plotArea>
      <c:layout/>
      <c:pieChart>
        <c:varyColors val="1"/>
        <c:ser>
          <c:idx val="0"/>
          <c:order val="0"/>
          <c:tx>
            <c:strRef>
              <c:f>Hoja1!$O$3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4386-4246-B7CF-ABA7D646C181}"/>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4386-4246-B7CF-ABA7D646C181}"/>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4386-4246-B7CF-ABA7D646C181}"/>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4386-4246-B7CF-ABA7D646C181}"/>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4386-4246-B7CF-ABA7D646C181}"/>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4386-4246-B7CF-ABA7D646C181}"/>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eparator> </c:separator>
            <c:showLeaderLines val="0"/>
            <c:extLst>
              <c:ext xmlns:c15="http://schemas.microsoft.com/office/drawing/2012/chart" uri="{CE6537A1-D6FC-4f65-9D91-7224C49458BB}"/>
            </c:extLst>
          </c:dLbls>
          <c:cat>
            <c:strRef>
              <c:f>Hoja1!$N$4:$N$10</c:f>
              <c:strCache>
                <c:ptCount val="6"/>
                <c:pt idx="0">
                  <c:v>Contabilidad</c:v>
                </c:pt>
                <c:pt idx="1">
                  <c:v>Operaciones Captacion y credito</c:v>
                </c:pt>
                <c:pt idx="2">
                  <c:v>Riesgos</c:v>
                </c:pt>
                <c:pt idx="3">
                  <c:v>RMC</c:v>
                </c:pt>
                <c:pt idx="4">
                  <c:v>Tesorería </c:v>
                </c:pt>
                <c:pt idx="5">
                  <c:v>UNE</c:v>
                </c:pt>
              </c:strCache>
            </c:strRef>
          </c:cat>
          <c:val>
            <c:numRef>
              <c:f>Hoja1!$O$4:$O$10</c:f>
              <c:numCache>
                <c:formatCode>General</c:formatCode>
                <c:ptCount val="6"/>
                <c:pt idx="0">
                  <c:v>3</c:v>
                </c:pt>
                <c:pt idx="1">
                  <c:v>1</c:v>
                </c:pt>
                <c:pt idx="2">
                  <c:v>3</c:v>
                </c:pt>
                <c:pt idx="3">
                  <c:v>18</c:v>
                </c:pt>
                <c:pt idx="4">
                  <c:v>17</c:v>
                </c:pt>
                <c:pt idx="5">
                  <c:v>1</c:v>
                </c:pt>
              </c:numCache>
            </c:numRef>
          </c:val>
          <c:extLst>
            <c:ext xmlns:c16="http://schemas.microsoft.com/office/drawing/2014/chart" uri="{C3380CC4-5D6E-409C-BE32-E72D297353CC}">
              <c16:uniqueId val="{00000000-82D0-40AC-AADB-996301D8D86B}"/>
            </c:ext>
          </c:extLst>
        </c:ser>
        <c:dLbls>
          <c:showLegendKey val="0"/>
          <c:showVal val="0"/>
          <c:showCatName val="0"/>
          <c:showSerName val="0"/>
          <c:showPercent val="0"/>
          <c:showBubbleSize val="0"/>
          <c:showLeaderLines val="0"/>
        </c:dLbls>
        <c:firstSliceAng val="0"/>
      </c:pieChart>
      <c:spPr>
        <a:noFill/>
        <a:ln>
          <a:noFill/>
        </a:ln>
        <a:effectLst/>
      </c:spPr>
    </c:plotArea>
    <c:legend>
      <c:legendPos val="l"/>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Estatus de RRs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C1B1-4BFE-830A-4BABA3AB6D4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C1B1-4BFE-830A-4BABA3AB6D44}"/>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C1B1-4BFE-830A-4BABA3AB6D44}"/>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C1B1-4BFE-830A-4BABA3AB6D44}"/>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C1B1-4BFE-830A-4BABA3AB6D44}"/>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C1B1-4BFE-830A-4BABA3AB6D44}"/>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C1B1-4BFE-830A-4BABA3AB6D44}"/>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C1B1-4BFE-830A-4BABA3AB6D44}"/>
              </c:ext>
            </c:extLst>
          </c:dPt>
          <c:dLbls>
            <c:spPr>
              <a:solidFill>
                <a:srgbClr val="FFFFFF"/>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000000"/>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'STATUS RI'!$C$4:$C$11</c:f>
              <c:strCache>
                <c:ptCount val="8"/>
                <c:pt idx="0">
                  <c:v>01. ASIGNA</c:v>
                </c:pt>
                <c:pt idx="1">
                  <c:v>02. MAPEO</c:v>
                </c:pt>
                <c:pt idx="2">
                  <c:v>03. DESARROLLO</c:v>
                </c:pt>
                <c:pt idx="3">
                  <c:v>04. VALIDA US</c:v>
                </c:pt>
                <c:pt idx="4">
                  <c:v>05. VOBO US</c:v>
                </c:pt>
                <c:pt idx="5">
                  <c:v>06. BW-EJECUCION</c:v>
                </c:pt>
                <c:pt idx="6">
                  <c:v>07. VALIDACIÓN BAJAWARE</c:v>
                </c:pt>
                <c:pt idx="7">
                  <c:v>08. CERRADA</c:v>
                </c:pt>
              </c:strCache>
            </c:strRef>
          </c:cat>
          <c:val>
            <c:numRef>
              <c:f>'STATUS RI'!$P$4:$P$11</c:f>
              <c:numCache>
                <c:formatCode>General</c:formatCode>
                <c:ptCount val="8"/>
                <c:pt idx="0">
                  <c:v>0</c:v>
                </c:pt>
                <c:pt idx="1">
                  <c:v>48</c:v>
                </c:pt>
                <c:pt idx="2">
                  <c:v>1</c:v>
                </c:pt>
                <c:pt idx="3">
                  <c:v>47</c:v>
                </c:pt>
                <c:pt idx="4">
                  <c:v>0</c:v>
                </c:pt>
                <c:pt idx="5">
                  <c:v>65</c:v>
                </c:pt>
                <c:pt idx="6">
                  <c:v>6</c:v>
                </c:pt>
                <c:pt idx="7">
                  <c:v>27</c:v>
                </c:pt>
              </c:numCache>
            </c:numRef>
          </c:val>
          <c:extLst>
            <c:ext xmlns:c16="http://schemas.microsoft.com/office/drawing/2014/chart" uri="{C3380CC4-5D6E-409C-BE32-E72D297353CC}">
              <c16:uniqueId val="{00000000-8CBF-453C-BE30-E72117626333}"/>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3.png"/></Relationships>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editAs="oneCell">
    <xdr:from>
      <xdr:col>5</xdr:col>
      <xdr:colOff>644071</xdr:colOff>
      <xdr:row>0</xdr:row>
      <xdr:rowOff>0</xdr:rowOff>
    </xdr:from>
    <xdr:to>
      <xdr:col>9</xdr:col>
      <xdr:colOff>127000</xdr:colOff>
      <xdr:row>8</xdr:row>
      <xdr:rowOff>11225</xdr:rowOff>
    </xdr:to>
    <xdr:pic>
      <xdr:nvPicPr>
        <xdr:cNvPr id="2" name="Imagen 1" descr="Gráfico, Gráfico circular&#10;&#10;El contenido generado por IA puede ser incorrecto.">
          <a:extLst>
            <a:ext uri="{FF2B5EF4-FFF2-40B4-BE49-F238E27FC236}">
              <a16:creationId xmlns:a16="http://schemas.microsoft.com/office/drawing/2014/main" id="{D74B5D08-E071-9957-A231-11D15A7BEDA8}"/>
            </a:ext>
          </a:extLst>
        </xdr:cNvPr>
        <xdr:cNvPicPr>
          <a:picLocks noChangeAspect="1"/>
        </xdr:cNvPicPr>
      </xdr:nvPicPr>
      <xdr:blipFill>
        <a:blip xmlns:r="http://schemas.openxmlformats.org/officeDocument/2006/relationships" r:embed="rId1"/>
        <a:srcRect t="71646" r="526" b="-604"/>
        <a:stretch>
          <a:fillRect/>
        </a:stretch>
      </xdr:blipFill>
      <xdr:spPr>
        <a:xfrm>
          <a:off x="6422571" y="0"/>
          <a:ext cx="5288643" cy="153522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13</xdr:col>
      <xdr:colOff>238125</xdr:colOff>
      <xdr:row>12</xdr:row>
      <xdr:rowOff>152400</xdr:rowOff>
    </xdr:from>
    <xdr:to>
      <xdr:col>17</xdr:col>
      <xdr:colOff>628650</xdr:colOff>
      <xdr:row>22</xdr:row>
      <xdr:rowOff>38100</xdr:rowOff>
    </xdr:to>
    <xdr:graphicFrame macro="">
      <xdr:nvGraphicFramePr>
        <xdr:cNvPr id="3" name="Gráfico 1">
          <a:extLst>
            <a:ext uri="{FF2B5EF4-FFF2-40B4-BE49-F238E27FC236}">
              <a16:creationId xmlns:a16="http://schemas.microsoft.com/office/drawing/2014/main" id="{D46737BD-F85F-30EC-4125-5C1AA86BF52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12</xdr:col>
      <xdr:colOff>161925</xdr:colOff>
      <xdr:row>15</xdr:row>
      <xdr:rowOff>85725</xdr:rowOff>
    </xdr:from>
    <xdr:to>
      <xdr:col>21</xdr:col>
      <xdr:colOff>561975</xdr:colOff>
      <xdr:row>33</xdr:row>
      <xdr:rowOff>123825</xdr:rowOff>
    </xdr:to>
    <xdr:graphicFrame macro="">
      <xdr:nvGraphicFramePr>
        <xdr:cNvPr id="31" name="Gráfico 3">
          <a:extLst>
            <a:ext uri="{FF2B5EF4-FFF2-40B4-BE49-F238E27FC236}">
              <a16:creationId xmlns:a16="http://schemas.microsoft.com/office/drawing/2014/main" id="{E1E4D23D-F539-4FFE-CFDE-591A94347A7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edgar.rojas\Downloads\Seguimiento%20Reportes%20Regulatorios%20(1).xlsx" TargetMode="External"/><Relationship Id="rId1" Type="http://schemas.openxmlformats.org/officeDocument/2006/relationships/externalLinkPath" Target="file:///C:\Users\edgar.rojas\Downloads\Seguimiento%20Reportes%20Regulatorios%20(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pendientes27102025"/>
      <sheetName val="Tesoreria"/>
      <sheetName val="PendContab20260120"/>
      <sheetName val="Resumen Original"/>
      <sheetName val="Detalle1"/>
      <sheetName val="Detalle2"/>
      <sheetName val="PRESENTACION"/>
      <sheetName val="Resumen"/>
      <sheetName val="Relacion  (2)"/>
      <sheetName val="Relacion  fechas"/>
      <sheetName val="revisar"/>
      <sheetName val="Relacion "/>
      <sheetName val="Catalogos"/>
      <sheetName val="Pendientes Ops"/>
      <sheetName val="Hoja3"/>
      <sheetName val="STATUS RI"/>
      <sheetName val="av.map Riesgos y Teso"/>
      <sheetName val="Hoja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_rels/pivotCacheDefinition5.xml.rels><?xml version="1.0" encoding="UTF-8" standalone="yes"?>
<Relationships xmlns="http://schemas.openxmlformats.org/package/2006/relationships"><Relationship Id="rId1" Type="http://schemas.openxmlformats.org/officeDocument/2006/relationships/pivotCacheRecords" Target="pivotCacheRecords5.xml"/></Relationships>
</file>

<file path=xl/pivotCache/_rels/pivotCacheDefinition6.xml.rels><?xml version="1.0" encoding="UTF-8" standalone="yes"?>
<Relationships xmlns="http://schemas.openxmlformats.org/package/2006/relationships"><Relationship Id="rId1" Type="http://schemas.openxmlformats.org/officeDocument/2006/relationships/pivotCacheRecords" Target="pivotCacheRecords6.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artín Tejada Aguilar" refreshedDate="45905.374625694443" createdVersion="8" refreshedVersion="8" minRefreshableVersion="3" recordCount="158" xr:uid="{00000000-000A-0000-FFFF-FFFF00000000}">
  <cacheSource type="worksheet">
    <worksheetSource ref="A4:O162" sheet="Relacion "/>
  </cacheSource>
  <cacheFields count="14">
    <cacheField name="Carpeta" numFmtId="0">
      <sharedItems/>
    </cacheField>
    <cacheField name="Area" numFmtId="0">
      <sharedItems count="10">
        <s v="Contabilidad"/>
        <s v="Operaciones Captacion"/>
        <s v="Operaciones Captacion y credito"/>
        <s v="Operaciones Credito"/>
        <s v="Riesgos"/>
        <s v="Producto"/>
        <s v="Riesgos y tesoreria"/>
        <s v="Tesorería "/>
        <s v="TBD"/>
        <s v="UNE" u="1"/>
      </sharedItems>
    </cacheField>
    <cacheField name="Responsable" numFmtId="0">
      <sharedItems containsBlank="1" count="7">
        <s v="Ramon Jaimes "/>
        <s v="Luis Alberto"/>
        <s v="Homero Sanchez"/>
        <s v="Claudia Barroso"/>
        <s v="*Claudia Barroso"/>
        <s v="Eduardo Cabral"/>
        <m/>
      </sharedItems>
      <fieldGroup par="13"/>
    </cacheField>
    <cacheField name="Pestañas" numFmtId="0">
      <sharedItems/>
    </cacheField>
    <cacheField name="Layout" numFmtId="0">
      <sharedItems/>
    </cacheField>
    <cacheField name="Estatus" numFmtId="0">
      <sharedItems/>
    </cacheField>
    <cacheField name="Comentarios" numFmtId="0">
      <sharedItems containsBlank="1"/>
    </cacheField>
    <cacheField name="Revision VoBo Usuario" numFmtId="0">
      <sharedItems containsBlank="1"/>
    </cacheField>
    <cacheField name="Actualizacion" numFmtId="0">
      <sharedItems containsBlank="1"/>
    </cacheField>
    <cacheField name="EstatusAct" numFmtId="0">
      <sharedItems count="5">
        <s v="US-Mapeo"/>
        <s v="US-Validación Txt"/>
        <s v="US-VoBo"/>
        <s v="DES-Desarrollo Txt"/>
        <s v="Backlog"/>
      </sharedItems>
    </cacheField>
    <cacheField name="Sts2" numFmtId="0">
      <sharedItems containsBlank="1"/>
    </cacheField>
    <cacheField name="Desarrollo" numFmtId="0">
      <sharedItems count="3">
        <s v="Interno"/>
        <s v="NA"/>
        <s v="Externo"/>
      </sharedItems>
    </cacheField>
    <cacheField name="Obs Add" numFmtId="0">
      <sharedItems containsBlank="1"/>
    </cacheField>
    <cacheField name="Responsable2" numFmtId="0" databaseField="0">
      <fieldGroup base="2">
        <discretePr count="7">
          <x v="0"/>
          <x v="1"/>
          <x v="2"/>
          <x v="5"/>
          <x v="5"/>
          <x v="3"/>
          <x v="4"/>
        </discretePr>
        <groupItems count="6">
          <s v="Ramon Jaimes "/>
          <s v="Luis Alberto"/>
          <s v="Homero Sanchez"/>
          <s v="Eduardo Cabral"/>
          <m/>
          <s v="Grupo1"/>
        </groupItems>
      </fieldGroup>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artín Tejada Aguilar" refreshedDate="45988.802630671293" createdVersion="8" refreshedVersion="8" minRefreshableVersion="3" recordCount="9" xr:uid="{00000000-000A-0000-FFFF-FFFF02000000}">
  <cacheSource type="worksheet">
    <worksheetSource ref="C20:C29" sheet="Relacion  (2)"/>
  </cacheSource>
  <cacheFields count="2">
    <cacheField name="Pestañas" numFmtId="0">
      <sharedItems count="9">
        <s v="UBICACION DE PUNTOS DE TRANSACC"/>
        <s v="SUCURSALES"/>
        <s v="R26OPE"/>
        <s v="R26_MODULO"/>
        <s v="R26_COMISIONISTA"/>
        <s v="R26_ADMINISTRADOR"/>
        <s v="R03 E-0304 ASIGNACIONES BM"/>
        <s v="PRESTAMO DE VALORES"/>
        <s v="FT_R2911"/>
      </sharedItems>
    </cacheField>
    <cacheField name="Layout" numFmtId="0">
      <sharedItems count="9">
        <s v="R2443_Ubicacion - R2443"/>
        <s v="R2422_Sucursales -- R2422"/>
        <s v="R26 Comisionistas -- R26 2610 2611 2612 2616"/>
        <s v="R26 Comisionistas -- R26 2610 2611 2612 2615"/>
        <s v="R26 Comisionistas -- R26 2610 2611 2612 2614"/>
        <s v="R26 Comisionistas -- R26 2610 2611 2612 2613"/>
        <s v="layout R03-0304-0305 E BM -- R03"/>
        <s v="PRESTAMO DE VALORES_V0.1 -- PRESTAMOS"/>
        <s v="Layout R29 V2 -- R2911"/>
      </sharedItems>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artín Tejada Aguilar" refreshedDate="46034.860417824071" createdVersion="8" refreshedVersion="8" minRefreshableVersion="3" recordCount="195" xr:uid="{00000000-000A-0000-FFFF-FFFF03000000}">
  <cacheSource type="worksheet">
    <worksheetSource ref="A4:P199" sheet="Relacion "/>
  </cacheSource>
  <cacheFields count="15">
    <cacheField name="Carpeta" numFmtId="0">
      <sharedItems/>
    </cacheField>
    <cacheField name="Area" numFmtId="0">
      <sharedItems count="10">
        <s v="Tesorería "/>
        <s v="Producto"/>
        <s v="Operaciones Captacion"/>
        <s v="Operaciones Credito"/>
        <s v="Contabilidad"/>
        <s v="UNE"/>
        <s v="Riesgos"/>
        <s v="Operaciones Captacion y credito"/>
        <s v="Riesgos y tesoreria"/>
        <s v="Finanzas"/>
      </sharedItems>
    </cacheField>
    <cacheField name="Responsable" numFmtId="0">
      <sharedItems containsBlank="1" count="9">
        <s v="Eduardo Cabral"/>
        <s v="Arturo Angeles"/>
        <s v="Luis Alberto"/>
        <s v="Claudia Barroso"/>
        <s v="Ramon Jaimes "/>
        <s v="Martin Roman"/>
        <s v="Homero Sanchez"/>
        <s v="*Claudia Barroso" u="1"/>
        <m u="1"/>
      </sharedItems>
      <fieldGroup par="14"/>
    </cacheField>
    <cacheField name="Pestañas" numFmtId="0">
      <sharedItems/>
    </cacheField>
    <cacheField name="Layout" numFmtId="0">
      <sharedItems/>
    </cacheField>
    <cacheField name="Estatus" numFmtId="0">
      <sharedItems/>
    </cacheField>
    <cacheField name="Comentarios" numFmtId="0">
      <sharedItems containsBlank="1"/>
    </cacheField>
    <cacheField name="Revision VoBo Usuario" numFmtId="0">
      <sharedItems containsBlank="1"/>
    </cacheField>
    <cacheField name="Actualizacion" numFmtId="0">
      <sharedItems containsBlank="1" longText="1"/>
    </cacheField>
    <cacheField name="EstatusAct" numFmtId="0">
      <sharedItems count="5">
        <s v="US-Mapeo"/>
        <s v="Backlog"/>
        <s v="US-VoBo"/>
        <s v="DES-Desarrollo Txt"/>
        <s v="US-Validación Txt"/>
      </sharedItems>
    </cacheField>
    <cacheField name="Sts2" numFmtId="0">
      <sharedItems containsBlank="1"/>
    </cacheField>
    <cacheField name="Desarrollo" numFmtId="0">
      <sharedItems count="5">
        <s v="Int Tesoreria"/>
        <s v="Interno"/>
        <s v="NA"/>
        <s v="Externo"/>
        <s v="Int Tesoreria Add"/>
      </sharedItems>
    </cacheField>
    <cacheField name="Obs Add" numFmtId="0">
      <sharedItems containsBlank="1"/>
    </cacheField>
    <cacheField name="Obs Add2" numFmtId="0">
      <sharedItems containsBlank="1"/>
    </cacheField>
    <cacheField name="Responsable2" numFmtId="0" databaseField="0">
      <fieldGroup base="2">
        <discretePr count="9">
          <x v="3"/>
          <x v="7"/>
          <x v="1"/>
          <x v="5"/>
          <x v="0"/>
          <x v="6"/>
          <x v="2"/>
          <x v="5"/>
          <x v="4"/>
        </discretePr>
        <groupItems count="8">
          <s v="Ramon Jaimes "/>
          <s v="Luis Alberto"/>
          <s v="Homero Sanchez"/>
          <s v="Eduardo Cabral"/>
          <m/>
          <s v="Grupo1"/>
          <s v="Martin Roman"/>
          <s v="Arturo Angeles"/>
        </groupItems>
      </fieldGroup>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artín Tejada Aguilar" refreshedDate="46035.04543229167" createdVersion="8" refreshedVersion="8" minRefreshableVersion="3" recordCount="20" xr:uid="{00000000-000A-0000-FFFF-FFFF04000000}">
  <cacheSource type="worksheet">
    <worksheetSource ref="A1:D21" sheet="Tesoreria"/>
  </cacheSource>
  <cacheFields count="4">
    <cacheField name="LAYOUT" numFmtId="0">
      <sharedItems count="20">
        <s v="CONTRAPARTES"/>
        <s v="CVT"/>
        <s v="OFF"/>
        <s v="OPTO"/>
        <s v="REPORTOS"/>
        <s v="SWAPS"/>
        <s v="TENENCIA"/>
        <s v="OCIMN"/>
        <s v="ACLME"/>
        <s v="ACM"/>
        <s v="CRI"/>
        <s v="FE"/>
        <s v="GARANTÍAS"/>
        <s v="GL"/>
        <s v="LID"/>
        <s v="ML"/>
        <s v="RC'S"/>
        <s v="XVA"/>
        <s v="TPA"/>
        <s v="R03"/>
      </sharedItems>
    </cacheField>
    <cacheField name="REPORTES" numFmtId="0">
      <sharedItems containsSemiMixedTypes="0" containsString="0" containsNumber="1" containsInteger="1" minValue="1" maxValue="11"/>
    </cacheField>
    <cacheField name="AREA" numFmtId="0">
      <sharedItems count="5">
        <s v="Tesorería"/>
        <s v="Operaciones - Captacion"/>
        <s v="Finanzas"/>
        <s v="Contabilidad"/>
        <s v="Riesgos"/>
      </sharedItems>
    </cacheField>
    <cacheField name="ESTATUS" numFmtId="0">
      <sharedItems count="7">
        <s v="Mapeo"/>
        <s v="OK Estructura"/>
        <s v="Validacion"/>
        <s v="Bajaware"/>
        <s v="En Cero"/>
        <s v="Asignacion " u="1"/>
        <s v="Riesgos" u="1"/>
      </sharedItems>
    </cacheField>
  </cacheFields>
  <extLst>
    <ext xmlns:x14="http://schemas.microsoft.com/office/spreadsheetml/2009/9/main" uri="{725AE2AE-9491-48be-B2B4-4EB974FC3084}">
      <x14:pivotCacheDefinition/>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Gricelda Rodríguez Sánchez" refreshedDate="46058.643044444441" createdVersion="8" refreshedVersion="8" minRefreshableVersion="3" recordCount="201" xr:uid="{00000000-000A-0000-FFFF-FFFF09000000}">
  <cacheSource type="worksheet">
    <worksheetSource ref="A4:R205" sheet="Relacion "/>
  </cacheSource>
  <cacheFields count="18">
    <cacheField name="Carpeta" numFmtId="0">
      <sharedItems/>
    </cacheField>
    <cacheField name="Area" numFmtId="0">
      <sharedItems/>
    </cacheField>
    <cacheField name="Responsable" numFmtId="0">
      <sharedItems/>
    </cacheField>
    <cacheField name="Azure" numFmtId="0">
      <sharedItems containsBlank="1" count="14">
        <s v="02. MAPEO"/>
        <s v="CERRADA"/>
        <s v="03. DESARROLLO"/>
        <m/>
        <s v="05. VOBO US"/>
        <s v="06. BW-EJECUCION "/>
        <s v="01. ASIGNA"/>
        <s v="04. VALIDA US"/>
        <s v="MAPEO" u="1"/>
        <s v="DESARROLLO" u="1"/>
        <s v="VOBO US" u="1"/>
        <s v="BW-EJECUCION " u="1"/>
        <s v="ASIGNA" u="1"/>
        <s v="VALIDA US" u="1"/>
      </sharedItems>
    </cacheField>
    <cacheField name="Pestañas" numFmtId="0">
      <sharedItems/>
    </cacheField>
    <cacheField name="Layout" numFmtId="0">
      <sharedItems/>
    </cacheField>
    <cacheField name="Estatus" numFmtId="0">
      <sharedItems containsBlank="1"/>
    </cacheField>
    <cacheField name="Comentarios" numFmtId="0">
      <sharedItems containsBlank="1"/>
    </cacheField>
    <cacheField name="Revision VoBo Usuario" numFmtId="0">
      <sharedItems containsBlank="1"/>
    </cacheField>
    <cacheField name="Actualizacion" numFmtId="0">
      <sharedItems containsBlank="1" longText="1"/>
    </cacheField>
    <cacheField name="EstatusAct" numFmtId="0">
      <sharedItems containsBlank="1" count="9">
        <s v="US-Mapeo"/>
        <s v="Envío Vacio"/>
        <s v="DES-Desarrollo Txt"/>
        <s v="Backlog"/>
        <s v="US-VoBo"/>
        <s v="BW-Ejecucion"/>
        <s v="Valida Areas"/>
        <s v="US-Validación Txt"/>
        <m u="1"/>
      </sharedItems>
    </cacheField>
    <cacheField name="Sts2" numFmtId="0">
      <sharedItems containsBlank="1"/>
    </cacheField>
    <cacheField name="Desarrollo" numFmtId="0">
      <sharedItems count="5">
        <s v="Int Tesoreria"/>
        <s v="Interno"/>
        <s v="NA"/>
        <s v="Externo"/>
        <s v="Int Tesoreria Add"/>
      </sharedItems>
    </cacheField>
    <cacheField name="AreaApoyo" numFmtId="0">
      <sharedItems count="16">
        <s v="Tesoreria"/>
        <s v="Finanzas"/>
        <s v="NA"/>
        <s v="Operaciones"/>
        <s v="Producto"/>
        <s v="TI"/>
        <s v="Contabilidad"/>
        <s v="UNE"/>
        <s v="Riesgos"/>
        <s v="BajaWare"/>
        <s v="Tesoreria/Contabilidad"/>
        <s v="Todas" u="1"/>
        <s v="Finanzas/Contabilidad/WO" u="1"/>
        <s v="Financiamiento" u="1"/>
        <s v="Finanzas " u="1"/>
        <s v="Contabilida" u="1"/>
      </sharedItems>
    </cacheField>
    <cacheField name="Obs Add" numFmtId="0">
      <sharedItems containsBlank="1"/>
    </cacheField>
    <cacheField name="Obs Add2" numFmtId="0">
      <sharedItems containsBlank="1"/>
    </cacheField>
    <cacheField name="NO APLICA" numFmtId="0">
      <sharedItems containsBlank="1"/>
    </cacheField>
    <cacheField name="MOTIVO" numFmtId="0">
      <sharedItems containsBlank="1" longText="1"/>
    </cacheField>
  </cacheFields>
  <extLst>
    <ext xmlns:x14="http://schemas.microsoft.com/office/spreadsheetml/2009/9/main" uri="{725AE2AE-9491-48be-B2B4-4EB974FC3084}">
      <x14:pivotCacheDefinition/>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6111.863940625" createdVersion="8" refreshedVersion="8" minRefreshableVersion="3" recordCount="201" xr:uid="{A1A89F7D-476B-4B3C-8818-61DCAAB0C93A}">
  <cacheSource type="worksheet">
    <worksheetSource ref="B2:L203" sheet="Hoja1"/>
  </cacheSource>
  <cacheFields count="11">
    <cacheField name="Layout / Fase" numFmtId="0">
      <sharedItems/>
    </cacheField>
    <cacheField name="LayOut" numFmtId="0">
      <sharedItems/>
    </cacheField>
    <cacheField name="Fase Actual" numFmtId="0">
      <sharedItems count="6">
        <s v="04. VALIDA US"/>
        <s v="03. DESARROLLO"/>
        <s v="08. CERRADA"/>
        <s v="07. VALIDACIÓN BAJAWARE"/>
        <s v="06. BW-EJECUCION"/>
        <s v="02. MAPEO"/>
      </sharedItems>
    </cacheField>
    <cacheField name="Duración" numFmtId="1">
      <sharedItems containsSemiMixedTypes="0" containsString="0" containsNumber="1" containsInteger="1" minValue="92" maxValue="543"/>
    </cacheField>
    <cacheField name="Inicio" numFmtId="174">
      <sharedItems containsSemiMixedTypes="0" containsNonDate="0" containsDate="1" containsString="0" minDate="2025-01-02T00:00:00" maxDate="2026-02-04T00:00:00"/>
    </cacheField>
    <cacheField name="Fin" numFmtId="174">
      <sharedItems containsSemiMixedTypes="0" containsNonDate="0" containsDate="1" containsString="0" minDate="2026-03-28T00:00:00" maxDate="2026-06-30T00:00:00"/>
    </cacheField>
    <cacheField name="% Avance Real" numFmtId="10">
      <sharedItems containsMixedTypes="1" containsNumber="1" minValue="0.125" maxValue="1"/>
    </cacheField>
    <cacheField name="% Avance Esperado" numFmtId="10">
      <sharedItems containsMixedTypes="1" containsNumber="1" minValue="0.125" maxValue="1"/>
    </cacheField>
    <cacheField name="RMC" numFmtId="0">
      <sharedItems/>
    </cacheField>
    <cacheField name="Area" numFmtId="0">
      <sharedItems count="12">
        <s v="Tesorería "/>
        <s v="Captacion"/>
        <s v="Operaciones Captacion"/>
        <s v="Producto"/>
        <s v="Operaciones Credito"/>
        <s v="Contabilidad"/>
        <s v="UNE"/>
        <s v="Riesgos"/>
        <s v="Contabilidad "/>
        <s v="Operaciones Captacion y credito"/>
        <s v="Riesgos y tesoreria"/>
        <s v="RMC"/>
      </sharedItems>
    </cacheField>
    <cacheField name="Responsable" numFmtId="0">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8">
  <r>
    <s v="Situacion Finaciera"/>
    <x v="0"/>
    <x v="0"/>
    <s v="ENT_CUOTAS_IPAB_DEF"/>
    <s v="Layout IPAB_V3 - IPAB"/>
    <s v="Por iniciar"/>
    <s v="Se requiere recepcion de requerimiento y Excel. (Usuario)"/>
    <m/>
    <m/>
    <x v="0"/>
    <m/>
    <x v="0"/>
    <m/>
  </r>
  <r>
    <s v="Situacion Finaciera"/>
    <x v="0"/>
    <x v="0"/>
    <s v="ACM II-Mapeo"/>
    <s v="LAYOUT_ACM_II V0.1 -- R01"/>
    <s v="Listo"/>
    <s v="Revision de txt por parte del usuario "/>
    <s v="Estructura y universo"/>
    <m/>
    <x v="1"/>
    <m/>
    <x v="0"/>
    <m/>
  </r>
  <r>
    <s v="Situacion Finaciera"/>
    <x v="0"/>
    <x v="0"/>
    <s v="ACM II_ADIC"/>
    <s v="LAYOUT_ACM_II V0.1 -- R01"/>
    <s v="Listo"/>
    <s v="Revision de txt por parte del usuario "/>
    <s v="Estructura y universo"/>
    <m/>
    <x v="1"/>
    <m/>
    <x v="0"/>
    <m/>
  </r>
  <r>
    <s v="Situacion Finaciera"/>
    <x v="0"/>
    <x v="0"/>
    <s v="CATALOGO MINIMO"/>
    <s v="R01_Catalogo Minimo --R01 - R10 - R12 - R13"/>
    <s v="Listo"/>
    <s v="Revision de txt por parte del usuario "/>
    <s v="Estructura y universo"/>
    <m/>
    <x v="1"/>
    <m/>
    <x v="0"/>
    <m/>
  </r>
  <r>
    <s v="Situacion Finaciera"/>
    <x v="0"/>
    <x v="0"/>
    <s v="BIENES ADJUDICADOS"/>
    <s v="R06_Bienes Adj -- R06"/>
    <s v="Listo"/>
    <s v="Revision de txt por parte del usuario "/>
    <s v="Estructura y universo"/>
    <s v="US otorga VoBo"/>
    <x v="2"/>
    <m/>
    <x v="0"/>
    <m/>
  </r>
  <r>
    <s v="Situacion Finaciera"/>
    <x v="0"/>
    <x v="0"/>
    <s v="IMPUESTOS"/>
    <s v="R07_Imp Dif -- R07"/>
    <s v="Listo"/>
    <s v="Se requiere recepcion de requerimiento y Excel. (Usuario)"/>
    <m/>
    <s v="Duda US ¿Cuál sería la mecánica para la generación de este reporte?"/>
    <x v="2"/>
    <m/>
    <x v="0"/>
    <m/>
  </r>
  <r>
    <s v="Situacion Finaciera"/>
    <x v="0"/>
    <x v="0"/>
    <s v="RECLASIFICACIONES"/>
    <s v="R10_RECLASIFICACIONES -- R10"/>
    <s v="Listo"/>
    <s v="Revision de txt por parte del usuario "/>
    <s v="Estructura y universo"/>
    <s v="Duda US ¿Cuál sería la mecánica para la generación de este reporte?"/>
    <x v="2"/>
    <m/>
    <x v="0"/>
    <m/>
  </r>
  <r>
    <s v="Situacion Finaciera"/>
    <x v="0"/>
    <x v="0"/>
    <s v="CONSOLIDACION"/>
    <s v="R12_CONSOLIDACION -- R12A"/>
    <s v="Listo"/>
    <s v="Revision de txt por parte del usuario "/>
    <s v="Estructura y universo"/>
    <s v="US otorga VoBo"/>
    <x v="2"/>
    <m/>
    <x v="0"/>
    <s v="Info en caso de Subsidiarias /Valida Estructura"/>
  </r>
  <r>
    <s v="Situacion Finaciera"/>
    <x v="0"/>
    <x v="0"/>
    <s v="ELIMINACIONES"/>
    <s v="R12_ELIMINACIONES -- R12A"/>
    <s v="Por iniciar"/>
    <s v="Se requiere recepcion de requerimiento y Excel. (Usuario)"/>
    <m/>
    <s v="Validar con usuario si aplican"/>
    <x v="0"/>
    <s v="Validar"/>
    <x v="0"/>
    <m/>
  </r>
  <r>
    <s v="Situacion Finaciera"/>
    <x v="0"/>
    <x v="0"/>
    <s v="INVERSIONES PERMANENTES"/>
    <s v="R1230_Contables_IFRS9_Inversiones_Permanentes_V1"/>
    <s v="Por iniciar"/>
    <s v="Se requiere recepcion de requerimiento y Excel. (Usuario)"/>
    <m/>
    <s v="Validar con usuario si aplican"/>
    <x v="0"/>
    <s v="Validar"/>
    <x v="0"/>
    <m/>
  </r>
  <r>
    <s v="Situacion Finaciera"/>
    <x v="0"/>
    <x v="0"/>
    <s v="FLUJOS Y VARIACIONES"/>
    <s v="R13A_FLUJOS Y VARIACIONES -- R13A"/>
    <s v="Por iniciar"/>
    <s v="Se requiere recepcion de requerimiento y Excel. (Usuario)"/>
    <m/>
    <s v="US envía Difs 20250901"/>
    <x v="3"/>
    <m/>
    <x v="0"/>
    <m/>
  </r>
  <r>
    <s v="Situacion Finaciera"/>
    <x v="0"/>
    <x v="0"/>
    <s v="INTEGRACION ACCIONARIA"/>
    <s v="R1411_INT. ACC -- R1411"/>
    <s v="Listo"/>
    <s v="Revision de txt por parte del usuario "/>
    <s v="Estructura y universo"/>
    <s v="Falta VoBo ultima Modif decimales col 13"/>
    <x v="1"/>
    <m/>
    <x v="0"/>
    <m/>
  </r>
  <r>
    <s v="Situacion Finaciera"/>
    <x v="0"/>
    <x v="0"/>
    <s v="CONCILIACIONES"/>
    <s v="R32_Conciliaciones -- R3211"/>
    <s v="Por iniciar"/>
    <s v="Se requiere recepcion de requerimiento y Excel. (Usuario)"/>
    <m/>
    <s v="Validar con usuario si aplican"/>
    <x v="0"/>
    <s v="Validar"/>
    <x v="0"/>
    <m/>
  </r>
  <r>
    <s v="Adicionales"/>
    <x v="0"/>
    <x v="0"/>
    <s v="R36_PAGOS_ANT_CARGOS_DIF"/>
    <s v="V1.00_R3601_CARGOS_DIF_PAGOS_ANTICIPADOS -- R36 3601"/>
    <s v="Por iniciar"/>
    <s v="Se requiere recepcion de requerimiento y Excel. (Usuario)"/>
    <m/>
    <m/>
    <x v="3"/>
    <m/>
    <x v="0"/>
    <m/>
  </r>
  <r>
    <s v="Captacion"/>
    <x v="1"/>
    <x v="1"/>
    <s v="CIP"/>
    <s v="CIP1 -- CIP"/>
    <s v="NA"/>
    <s v="NA"/>
    <m/>
    <m/>
    <x v="4"/>
    <s v="NA"/>
    <x v="1"/>
    <m/>
  </r>
  <r>
    <s v="Captacion"/>
    <x v="1"/>
    <x v="1"/>
    <s v="FILE_CAPTACION"/>
    <s v="Layout Captacion_V3 -- CRI - R08 - OCIM_II"/>
    <s v="Listo"/>
    <s v="Ntt, ya se reviso txt por usuario VoBo"/>
    <s v="Estructura y universo"/>
    <s v="Validar con usuario si aplican"/>
    <x v="2"/>
    <s v="Validar"/>
    <x v="0"/>
    <s v="Se menciona a NTT"/>
  </r>
  <r>
    <s v="Captacion"/>
    <x v="1"/>
    <x v="1"/>
    <s v="ENT_CAJA_CAPTACION"/>
    <s v="Layout CCV BW -- CCV"/>
    <s v="Listo"/>
    <s v="Ntt, ya se reviso txt por usuario VoBo"/>
    <s v="Estructura y universo"/>
    <s v="Validar con usuario si aplican"/>
    <x v="2"/>
    <s v="Validar"/>
    <x v="0"/>
    <s v="Se menciona a NTT"/>
  </r>
  <r>
    <s v="Adicionales"/>
    <x v="1"/>
    <x v="1"/>
    <s v="INFIMP"/>
    <s v="Layout INFIMP -- INFIMP"/>
    <s v="NA"/>
    <s v="NA"/>
    <m/>
    <m/>
    <x v="4"/>
    <s v="NA"/>
    <x v="1"/>
    <m/>
  </r>
  <r>
    <s v="Captacion"/>
    <x v="1"/>
    <x v="1"/>
    <s v="FILE_OCIM_I"/>
    <s v="Layout OCIM_Diario_V1 -- OCIMN_I - OCIME_I"/>
    <s v="NA"/>
    <s v="NA"/>
    <m/>
    <m/>
    <x v="4"/>
    <s v="NA"/>
    <x v="1"/>
    <m/>
  </r>
  <r>
    <s v="Captacion"/>
    <x v="1"/>
    <x v="1"/>
    <s v="FILE_OCIM_II"/>
    <s v="Layout OCIM_II_Activas_V3 -- OCIMN_II - OCIME_II"/>
    <s v="NA"/>
    <s v="NA"/>
    <m/>
    <m/>
    <x v="4"/>
    <s v="NA"/>
    <x v="1"/>
    <m/>
  </r>
  <r>
    <s v="Operativos"/>
    <x v="1"/>
    <x v="1"/>
    <s v="R2431"/>
    <s v="Layout R2431_V4 -- R24 C2431"/>
    <s v="No mapeado"/>
    <s v="NTT"/>
    <m/>
    <m/>
    <x v="4"/>
    <s v="Ext NTT"/>
    <x v="2"/>
    <m/>
  </r>
  <r>
    <s v="Operativos"/>
    <x v="1"/>
    <x v="1"/>
    <s v="R2441_42"/>
    <s v="Layout R2441_42_V2 --R2441 - R2442"/>
    <s v="No mapeado"/>
    <s v="NTT"/>
    <m/>
    <m/>
    <x v="4"/>
    <s v="Ext NTT"/>
    <x v="2"/>
    <m/>
  </r>
  <r>
    <s v="Operativos"/>
    <x v="1"/>
    <x v="1"/>
    <s v="FT_R2911"/>
    <s v="Layout R29 V2 -- R2911"/>
    <s v="No mapeado"/>
    <s v="NTT"/>
    <m/>
    <m/>
    <x v="4"/>
    <s v="Ext NTT"/>
    <x v="2"/>
    <m/>
  </r>
  <r>
    <s v="Captacion"/>
    <x v="1"/>
    <x v="1"/>
    <s v="RECO"/>
    <s v="Layout RECO BW -- RECO"/>
    <s v="Listo"/>
    <s v="Ntt, ya se reviso txt por usuario VoBo"/>
    <s v="Estructura y universo"/>
    <s v="Validar con usuario si aplican"/>
    <x v="2"/>
    <s v="Validar"/>
    <x v="0"/>
    <s v="Se menciona a NTT"/>
  </r>
  <r>
    <s v="Captacion"/>
    <x v="1"/>
    <x v="1"/>
    <s v="FILE_SISPAGOS"/>
    <s v="Layout SISPAGOS BW -- SISPAGOS"/>
    <s v="Listo"/>
    <s v="Ntt, ya se reviso txt por usuario VoBo"/>
    <s v="Estructura y universo"/>
    <s v="Validar con usuario si aplican"/>
    <x v="2"/>
    <s v="Validar"/>
    <x v="0"/>
    <s v="Se menciona a NTT"/>
  </r>
  <r>
    <s v="Adicionales"/>
    <x v="1"/>
    <x v="1"/>
    <s v="TADESCOM_ALTAS"/>
    <s v="Layout TADESCOM -- TADESCOM"/>
    <s v="NA"/>
    <s v="NA"/>
    <m/>
    <m/>
    <x v="4"/>
    <s v="NA"/>
    <x v="1"/>
    <m/>
  </r>
  <r>
    <s v="Adicionales"/>
    <x v="1"/>
    <x v="1"/>
    <s v="TADESCOM_BAJAS"/>
    <s v="Layout TADESCOM -- TADESCOM"/>
    <s v="NA"/>
    <s v="NA"/>
    <m/>
    <m/>
    <x v="4"/>
    <s v="NA"/>
    <x v="1"/>
    <m/>
  </r>
  <r>
    <s v="Captacion"/>
    <x v="1"/>
    <x v="1"/>
    <s v="COREM"/>
    <s v="Layout_COREM -- COREM"/>
    <s v="NA"/>
    <s v="NA"/>
    <m/>
    <m/>
    <x v="4"/>
    <s v="NA"/>
    <x v="1"/>
    <m/>
  </r>
  <r>
    <s v="Captacion"/>
    <x v="1"/>
    <x v="1"/>
    <s v="OperacionesOEMN"/>
    <s v="LayoutOEMN_v3"/>
    <s v="No mapeado"/>
    <s v="NTT"/>
    <m/>
    <m/>
    <x v="4"/>
    <s v="Ext NTT"/>
    <x v="2"/>
    <m/>
  </r>
  <r>
    <s v="Operativos"/>
    <x v="1"/>
    <x v="1"/>
    <s v="PRODUCTOS CAPTACION CNBV"/>
    <s v="R2421_Prod Cap -- R2421"/>
    <s v="No mapeado"/>
    <s v="NTT"/>
    <m/>
    <m/>
    <x v="4"/>
    <s v="Ext NTT"/>
    <x v="2"/>
    <m/>
  </r>
  <r>
    <s v="Operativos"/>
    <x v="1"/>
    <x v="1"/>
    <s v="SUCURSALES"/>
    <s v="R2422_Sucursales -- R2422"/>
    <s v="No mapeado"/>
    <s v="NTT"/>
    <m/>
    <m/>
    <x v="4"/>
    <s v="Ext NTT"/>
    <x v="2"/>
    <m/>
  </r>
  <r>
    <s v="Operativos"/>
    <x v="1"/>
    <x v="1"/>
    <s v="TITULARES GARANTIZADOS"/>
    <s v="R2423_IFRS9_Titulares_Garantizados_V0.4 -- R2423"/>
    <s v="No mapeado"/>
    <s v="NTT"/>
    <m/>
    <m/>
    <x v="4"/>
    <s v="Ext NTT"/>
    <x v="2"/>
    <m/>
  </r>
  <r>
    <s v="Operativos"/>
    <x v="1"/>
    <x v="1"/>
    <s v="UBICACION DE PUNTOS DE TRANSACC"/>
    <s v="R2443_Ubicacion - R2443"/>
    <s v="No mapeado"/>
    <s v="NTT"/>
    <m/>
    <m/>
    <x v="4"/>
    <s v="Ext NTT"/>
    <x v="2"/>
    <m/>
  </r>
  <r>
    <s v="Adicionales"/>
    <x v="1"/>
    <x v="1"/>
    <s v="R26_ADMINISTRADOR"/>
    <s v="R26 Comisionistas -- R26 2610 2611 2612 2613"/>
    <s v="No mapeado"/>
    <s v="NTT"/>
    <m/>
    <m/>
    <x v="4"/>
    <s v="Ext NTT"/>
    <x v="2"/>
    <m/>
  </r>
  <r>
    <s v="Adicionales"/>
    <x v="1"/>
    <x v="1"/>
    <s v="R26_COMISIONISTA"/>
    <s v="R26 Comisionistas -- R26 2610 2611 2612 2614"/>
    <s v="No mapeado"/>
    <s v="NTT"/>
    <m/>
    <m/>
    <x v="4"/>
    <s v="Ext NTT"/>
    <x v="2"/>
    <m/>
  </r>
  <r>
    <s v="Adicionales"/>
    <x v="1"/>
    <x v="1"/>
    <s v="R26_MODULO"/>
    <s v="R26 Comisionistas -- R26 2610 2611 2612 2615"/>
    <s v="No mapeado"/>
    <s v="NTT"/>
    <m/>
    <m/>
    <x v="4"/>
    <s v="Ext NTT"/>
    <x v="2"/>
    <m/>
  </r>
  <r>
    <s v="Adicionales"/>
    <x v="1"/>
    <x v="1"/>
    <s v="R26OPE"/>
    <s v="R26 Comisionistas -- R26 2610 2611 2612 2616"/>
    <s v="No mapeado"/>
    <s v="NTT"/>
    <m/>
    <m/>
    <x v="4"/>
    <s v="Ext NTT"/>
    <x v="2"/>
    <m/>
  </r>
  <r>
    <s v="Operativos"/>
    <x v="1"/>
    <x v="1"/>
    <s v="RECLAMACIONES BURSATILES BM"/>
    <s v="R2711_ReclamacionesB_V0.4"/>
    <s v="No mapeado"/>
    <s v="NTT"/>
    <m/>
    <m/>
    <x v="4"/>
    <s v="Ext NTT"/>
    <x v="2"/>
    <m/>
  </r>
  <r>
    <s v="Cartera"/>
    <x v="2"/>
    <x v="1"/>
    <s v="R04A_MOV_419"/>
    <s v="V1.01_Credito_IFRS9_R04A -- A0411 - A0417 - A0419 - A0420 - A0424 -  R04A_MOV_419"/>
    <s v="Mapeado incompleto"/>
    <m/>
    <m/>
    <m/>
    <x v="0"/>
    <m/>
    <x v="0"/>
    <m/>
  </r>
  <r>
    <s v="Cartera"/>
    <x v="2"/>
    <x v="1"/>
    <s v="R04A_MOV_420_24"/>
    <s v="V1.01_Credito_IFRS9_R04A -- A0411 - A0417 - A0419 - A0420 - A0424 -  R04A_MOV_420_24"/>
    <s v="Mapeado incompleto"/>
    <m/>
    <m/>
    <m/>
    <x v="0"/>
    <m/>
    <x v="0"/>
    <m/>
  </r>
  <r>
    <s v="Cartera"/>
    <x v="2"/>
    <x v="1"/>
    <s v="CLIENTES_POR_PRODUCTO"/>
    <s v="R2450_51_52_CLIENTES POR PRODUCTO_V0.5 -- R2450 - R2451 - R2452 (CREDITO) (1)"/>
    <s v="Listo"/>
    <s v="Ntt, ya se reviso txt por usuario VoBo"/>
    <s v="Estructura y universo"/>
    <m/>
    <x v="1"/>
    <s v="Validar"/>
    <x v="0"/>
    <s v="Validar antes US-VoBo"/>
  </r>
  <r>
    <s v="Cartera"/>
    <x v="3"/>
    <x v="1"/>
    <s v="R04A_SALDOS"/>
    <s v="V1.01_Credito_IFRS9_R04A -- A0411 - A0417 - A0419 - A0420 - A0424"/>
    <s v="Listo"/>
    <s v="Se tiene la estructura construida y se integraron los datos con los que se cuenta, aun no se cuenta con todo el universo(Fuentes externas"/>
    <s v="Estructura"/>
    <m/>
    <x v="3"/>
    <m/>
    <x v="0"/>
    <m/>
  </r>
  <r>
    <s v="Cartera"/>
    <x v="3"/>
    <x v="1"/>
    <s v="CONSUMO"/>
    <s v="V1.05_Credito_IFRS9_Consumo_Completo VF (2)"/>
    <s v="Listo"/>
    <s v="Se tiene la estructura construida y se integraron los datos con los que se cuenta, aun no se cuenta con todo el universo(Fuentes externas"/>
    <s v="Estructura"/>
    <m/>
    <x v="3"/>
    <m/>
    <x v="0"/>
    <m/>
  </r>
  <r>
    <s v="Cartera"/>
    <x v="3"/>
    <x v="1"/>
    <s v="GARANTIA_CONSUMO"/>
    <s v="V1.05_Credito_IFRS9_Consumo_Completo VF (2)"/>
    <s v="NA"/>
    <s v="NA"/>
    <m/>
    <m/>
    <x v="4"/>
    <s v="NA"/>
    <x v="1"/>
    <m/>
  </r>
  <r>
    <s v="Cartera"/>
    <x v="3"/>
    <x v="1"/>
    <s v="REL_CONSUMO_GARANTIA"/>
    <s v="V1.05_Credito_IFRS9_Consumo_Completo VF (2)"/>
    <s v="NA"/>
    <s v="NA"/>
    <m/>
    <m/>
    <x v="4"/>
    <s v="NA"/>
    <x v="1"/>
    <m/>
  </r>
  <r>
    <s v="Cartera"/>
    <x v="3"/>
    <x v="1"/>
    <s v="PAGOS_EXIGIBLES"/>
    <s v="V1.05_Credito_IFRS9_Consumo_Completo VF (2)"/>
    <s v="Listo"/>
    <s v="Se tiene la estructura construida y se integraron los datos con los que se cuenta, aun no se cuenta con todo el universo(Fuentes externas"/>
    <s v="Estructura"/>
    <m/>
    <x v="3"/>
    <m/>
    <x v="0"/>
    <m/>
  </r>
  <r>
    <s v="Cartera"/>
    <x v="3"/>
    <x v="1"/>
    <s v="ACLARACIONESCNR"/>
    <s v="V1.05_Credito_IFRS9_Consumo_Completo VF (2)"/>
    <s v="NA"/>
    <s v="NA"/>
    <m/>
    <m/>
    <x v="4"/>
    <s v="NA"/>
    <x v="1"/>
    <m/>
  </r>
  <r>
    <s v="Cartera"/>
    <x v="3"/>
    <x v="1"/>
    <s v="ACLARACIONESCR"/>
    <s v="V1.05_Credito_IFRS9_Consumo_Completo VF (2)"/>
    <s v="NA"/>
    <s v="NA"/>
    <m/>
    <m/>
    <x v="4"/>
    <s v="NA"/>
    <x v="1"/>
    <m/>
  </r>
  <r>
    <s v="Cartera"/>
    <x v="3"/>
    <x v="1"/>
    <s v="GARANTIA"/>
    <s v="V1.05_Layouts CREDITO Bancos IFRS (Comercial) (1)"/>
    <s v="Listo"/>
    <s v="Se tiene la estructura construida y se integraron los datos con los que se cuenta, aun no se cuenta con todo el universo(Fuentes externas Pantalla comercial)"/>
    <s v="Estructura"/>
    <s v="PRELACION_GAR campo pendiente MAPEO | US revisa info restante"/>
    <x v="1"/>
    <m/>
    <x v="0"/>
    <m/>
  </r>
  <r>
    <s v="Cartera"/>
    <x v="3"/>
    <x v="1"/>
    <s v="PERSONA"/>
    <s v="V1.05_Layouts CREDITO Bancos IFRS (Comercial) (1)"/>
    <s v="Listo"/>
    <s v="Se tiene la estructura construida y se integraron los datos con los que se cuenta, aun no se cuenta con todo el universo(Fuentes externas Pantalla comercial y cualitativa individual)"/>
    <s v="Estructura"/>
    <m/>
    <x v="3"/>
    <m/>
    <x v="0"/>
    <m/>
  </r>
  <r>
    <s v="Cartera"/>
    <x v="3"/>
    <x v="1"/>
    <s v="CREDITO_GARANTIA"/>
    <s v="V1.05_Layouts CREDITO Bancos IFRS (Comercial) (1)"/>
    <s v="Listo"/>
    <s v="Se tiene la estructura construida y se integraron los datos con los que se cuenta, aun no se cuenta con todo el universo(Fuentes externas"/>
    <s v="Estructura"/>
    <s v="PORCENTAJE_GARANTIA | Tiene Un campo x validar Riesgos"/>
    <x v="1"/>
    <m/>
    <x v="0"/>
    <m/>
  </r>
  <r>
    <s v="Cartera"/>
    <x v="3"/>
    <x v="1"/>
    <s v="CREDITO_GARANTIA_PERSONAL"/>
    <s v="V1.05_Layouts CREDITO Bancos IFRS (Comercial) (1)"/>
    <s v="Listo"/>
    <s v="Se tiene la estructura construida y se integraron los datos con los que se cuenta, aun no se cuenta con todo el universo(Fuentes externas"/>
    <s v="Estructura"/>
    <s v="PORCENTAJE_GARANTIA_PERS | Tiene Un campo x validar Riesgos"/>
    <x v="1"/>
    <m/>
    <x v="0"/>
    <m/>
  </r>
  <r>
    <s v="Cartera"/>
    <x v="3"/>
    <x v="1"/>
    <s v="CREDITO"/>
    <s v="V1.05_Layouts CREDITO Bancos IFRS (Comercial) (1)"/>
    <s v="Listo"/>
    <s v="Se tiene la estructura construida y se integraron los datos con los que se cuenta, aun no se cuenta con todo el universo(Fuentes externas"/>
    <s v="Estructura"/>
    <m/>
    <x v="3"/>
    <m/>
    <x v="0"/>
    <m/>
  </r>
  <r>
    <s v="Cartera"/>
    <x v="3"/>
    <x v="1"/>
    <s v="LINEA CREDITO"/>
    <s v="V1.05_Layouts CREDITO Bancos IFRS (Comercial) (1)"/>
    <s v="Listo"/>
    <s v="Se tiene la estructura construida y se integraron los datos con los que se cuenta, aun no se cuenta con todo el universo(Fuentes externas Pantalla comercial)"/>
    <s v="Estructura"/>
    <m/>
    <x v="3"/>
    <m/>
    <x v="0"/>
    <m/>
  </r>
  <r>
    <s v="Cartera"/>
    <x v="3"/>
    <x v="1"/>
    <s v="ANEXO 18"/>
    <s v="V1.05_Layouts CREDITO Bancos IFRS (Comercial) (1)"/>
    <s v="NA"/>
    <s v="NA"/>
    <m/>
    <m/>
    <x v="4"/>
    <s v="NA"/>
    <x v="1"/>
    <m/>
  </r>
  <r>
    <s v="Cartera"/>
    <x v="4"/>
    <x v="2"/>
    <s v="ANEXO 19"/>
    <s v="V1.05_Layouts CREDITO Bancos IFRS (Comercial) (1)"/>
    <s v="Listo"/>
    <s v="Se tiene la estructura construida y se integraron los datos con los que se cuenta, aun no se cuenta con todo el universo(Fuentes externas Pantalla comercial, cierre comercial, proyeccion de flujos)"/>
    <s v="Estructura"/>
    <s v="20250829 Us envía Obs"/>
    <x v="3"/>
    <m/>
    <x v="0"/>
    <s v="Antes asignada a Operaciones"/>
  </r>
  <r>
    <s v="Cartera"/>
    <x v="3"/>
    <x v="1"/>
    <s v="ANEXO 20"/>
    <s v="V1.05_Layouts CREDITO Bancos IFRS (Comercial) (1)"/>
    <s v="NA"/>
    <s v="NA"/>
    <m/>
    <m/>
    <x v="4"/>
    <s v="NA"/>
    <x v="1"/>
    <m/>
  </r>
  <r>
    <s v="Cartera"/>
    <x v="4"/>
    <x v="2"/>
    <s v="ANEXO 21"/>
    <s v="V1.05_Layouts CREDITO Bancos IFRS (Comercial) (1)"/>
    <s v="Listo"/>
    <s v="Se tiene la estructura construida y se integraron los datos con los que se cuenta, aun no se cuenta con todo el universo(Fuentes externas Pantalla comercial)"/>
    <s v="Estructura"/>
    <s v="20250829 Us envía Obs"/>
    <x v="3"/>
    <m/>
    <x v="0"/>
    <s v="Antes asignada a Operaciones"/>
  </r>
  <r>
    <s v="Cartera"/>
    <x v="4"/>
    <x v="2"/>
    <s v="ANEXO 22"/>
    <s v="V1.05_Layouts CREDITO Bancos IFRS (Comercial) (1)"/>
    <s v="Listo"/>
    <s v="Se tiene la estructura construida y se integraron los datos con los que se cuenta, aun no se cuenta con todo el universo(Fuentes externas Pantalla comercial)"/>
    <s v="Estructura"/>
    <s v="20250829 Us envía Obs"/>
    <x v="3"/>
    <m/>
    <x v="0"/>
    <s v="Antes asignada a Operaciones"/>
  </r>
  <r>
    <s v="Cartera"/>
    <x v="3"/>
    <x v="1"/>
    <s v="HIPOTECARIO"/>
    <s v="V1.05_Layouts CREDITO Bancos IFRS (Hipotecario Simplificado) (1)- HIPOTECARIO"/>
    <s v="Listo"/>
    <s v="Se tiene la estructura construida y se integraron los datos con los que se cuenta, aun no se cuenta con todo el universo(Fuentes externas"/>
    <s v="Estructura"/>
    <m/>
    <x v="3"/>
    <m/>
    <x v="0"/>
    <m/>
  </r>
  <r>
    <s v="Operativos"/>
    <x v="5"/>
    <x v="3"/>
    <s v="Registro Gral Prd"/>
    <s v="CUP -- CUP"/>
    <s v="Listo"/>
    <s v="VoBo Dado por el usuario (No se cuenta con informacion)"/>
    <s v="Estructura"/>
    <m/>
    <x v="2"/>
    <m/>
    <x v="0"/>
    <m/>
  </r>
  <r>
    <s v="Operativos"/>
    <x v="5"/>
    <x v="3"/>
    <s v="Est Prod Deposito"/>
    <s v="CUP -- CUP"/>
    <s v="Listo"/>
    <s v="VoBo Dado por el usuario (No se cuenta con informacion)"/>
    <s v="Estructura"/>
    <m/>
    <x v="2"/>
    <m/>
    <x v="0"/>
    <m/>
  </r>
  <r>
    <s v="Operativos"/>
    <x v="5"/>
    <x v="3"/>
    <s v="Elegibilidad Deposito"/>
    <s v="CUP -- CUP"/>
    <s v="Listo"/>
    <s v="VoBo Dado por el usuario (No se cuenta con informacion)"/>
    <s v="Estructura"/>
    <m/>
    <x v="2"/>
    <m/>
    <x v="0"/>
    <m/>
  </r>
  <r>
    <s v="Operativos"/>
    <x v="5"/>
    <x v="3"/>
    <s v="Base Operativa CNR"/>
    <s v="CUP -- CUP"/>
    <s v="Listo"/>
    <s v="VoBo Dado por el usuario (No se cuenta con informacion)"/>
    <s v="Estructura"/>
    <m/>
    <x v="2"/>
    <m/>
    <x v="0"/>
    <m/>
  </r>
  <r>
    <s v="Operativos"/>
    <x v="5"/>
    <x v="3"/>
    <s v="Elegibilidad CNR"/>
    <s v="CUP -- CUP"/>
    <s v="NA"/>
    <s v="NA"/>
    <m/>
    <m/>
    <x v="4"/>
    <s v="NA"/>
    <x v="1"/>
    <m/>
  </r>
  <r>
    <s v="Operativos"/>
    <x v="5"/>
    <x v="3"/>
    <s v="Moratoria CNR"/>
    <s v="CUP -- CUP"/>
    <s v="NA"/>
    <s v="NA"/>
    <m/>
    <m/>
    <x v="4"/>
    <s v="NA"/>
    <x v="1"/>
    <m/>
  </r>
  <r>
    <s v="Operativos"/>
    <x v="5"/>
    <x v="3"/>
    <s v="COMISIONES NOMINA Y PERS"/>
    <s v="CUP -- CUP"/>
    <s v="NA"/>
    <s v="NA"/>
    <m/>
    <m/>
    <x v="4"/>
    <s v="NA"/>
    <x v="1"/>
    <m/>
  </r>
  <r>
    <s v="Operativos"/>
    <x v="5"/>
    <x v="3"/>
    <s v="PENALIZACIONES NOMINA Y PERS"/>
    <s v="CUP -- CUP"/>
    <s v="NA"/>
    <s v="NA"/>
    <m/>
    <m/>
    <x v="4"/>
    <s v="NA"/>
    <x v="1"/>
    <m/>
  </r>
  <r>
    <s v="Operativos"/>
    <x v="5"/>
    <x v="3"/>
    <s v="CORRESPONSALES NOMINA Y PERS"/>
    <s v="CUP -- CUP"/>
    <s v="NA"/>
    <s v="NA"/>
    <m/>
    <m/>
    <x v="4"/>
    <s v="NA"/>
    <x v="1"/>
    <m/>
  </r>
  <r>
    <s v="Operativos"/>
    <x v="5"/>
    <x v="3"/>
    <s v="SEGUROS NOMINA Y PERS"/>
    <s v="CUP -- CUP"/>
    <s v="NA"/>
    <s v="NA"/>
    <m/>
    <m/>
    <x v="4"/>
    <s v="NA"/>
    <x v="1"/>
    <m/>
  </r>
  <r>
    <s v="Operativos"/>
    <x v="5"/>
    <x v="3"/>
    <s v="DIN PERSONAL"/>
    <s v="CUP -- CUP"/>
    <s v="NA"/>
    <s v="NA"/>
    <m/>
    <m/>
    <x v="4"/>
    <s v="NA"/>
    <x v="1"/>
    <m/>
  </r>
  <r>
    <s v="Operativos"/>
    <x v="5"/>
    <x v="3"/>
    <s v="CAT PERSONAL"/>
    <s v="CUP -- CUP"/>
    <s v="NA"/>
    <s v="NA"/>
    <m/>
    <m/>
    <x v="4"/>
    <s v="NA"/>
    <x v="1"/>
    <m/>
  </r>
  <r>
    <s v="Captacion"/>
    <x v="5"/>
    <x v="3"/>
    <s v="MDEF_SUC Y CAJAS GRALES"/>
    <s v="Layouts MDEF -- MDEF"/>
    <s v="Listo"/>
    <s v="VoBo Dado por el usuario (No se cuenta con informacion)"/>
    <s v="Estructura"/>
    <m/>
    <x v="2"/>
    <m/>
    <x v="0"/>
    <m/>
  </r>
  <r>
    <s v="Captacion"/>
    <x v="5"/>
    <x v="3"/>
    <s v="MDEF_CAJEROS EXTERNOS"/>
    <s v="Layouts MDEF -- MDEF"/>
    <s v="NA"/>
    <s v="NA"/>
    <m/>
    <m/>
    <x v="4"/>
    <s v="NA"/>
    <x v="1"/>
    <m/>
  </r>
  <r>
    <s v="Captacion"/>
    <x v="5"/>
    <x v="3"/>
    <s v="MDEF_CAJEROS PROPIOS"/>
    <s v="Layouts MDEF -- MDEF"/>
    <s v="NA"/>
    <s v="NA"/>
    <m/>
    <m/>
    <x v="4"/>
    <s v="NA"/>
    <x v="1"/>
    <m/>
  </r>
  <r>
    <s v="Captacion"/>
    <x v="5"/>
    <x v="3"/>
    <s v="MDEF_BOVEDAS EXTERNAS"/>
    <s v="Layouts MDEF -- MDEF"/>
    <s v="NA"/>
    <s v="NA"/>
    <m/>
    <m/>
    <x v="4"/>
    <s v="NA"/>
    <x v="1"/>
    <m/>
  </r>
  <r>
    <s v="Captacion"/>
    <x v="5"/>
    <x v="3"/>
    <s v="MDEF_BOVEDAS PROPIAS"/>
    <s v="Layouts MDEF -- MDEF"/>
    <s v="NA"/>
    <s v="NA"/>
    <m/>
    <m/>
    <x v="4"/>
    <s v="NA"/>
    <x v="1"/>
    <m/>
  </r>
  <r>
    <s v="Adicionales"/>
    <x v="5"/>
    <x v="4"/>
    <s v="USUARIOS NO CLIENTES BE"/>
    <s v="R1522_USUARIOS NO CLIENTES BE_V0.4 -- R15 1522"/>
    <s v="No mapeado"/>
    <m/>
    <m/>
    <m/>
    <x v="0"/>
    <m/>
    <x v="0"/>
    <m/>
  </r>
  <r>
    <s v="Adicionales"/>
    <x v="5"/>
    <x v="4"/>
    <s v="OPERACIONES DE CLIENTES BE"/>
    <s v="R1523_24_OPERACIONES DE CLIENTES BE_V0.4 -- R15 1523 1524"/>
    <s v="No mapeado"/>
    <m/>
    <m/>
    <m/>
    <x v="0"/>
    <m/>
    <x v="0"/>
    <m/>
  </r>
  <r>
    <s v="Riesgos"/>
    <x v="4"/>
    <x v="2"/>
    <s v="CARGA INICIAL IN-MIN"/>
    <s v="LAYOUT CARGA INICIAL IN_MIN - Calculo Riesgo Operacional"/>
    <s v="No mapeado"/>
    <s v="Se reliza una solo carga, indica el usuario se debe relizar hasta la ejecucion con Bajware"/>
    <m/>
    <s v="Validar con US integracion"/>
    <x v="4"/>
    <s v="Validar"/>
    <x v="0"/>
    <s v="x"/>
  </r>
  <r>
    <s v="Riesgos"/>
    <x v="4"/>
    <x v="2"/>
    <s v="CARGA INICIAL PI-MIN"/>
    <s v="LAYOUT CARGA INICIAL PI_MIN - Calculo Riesgo Operacional"/>
    <s v="No mapeado"/>
    <s v="Se reliza una solo carga, indica el usuario se debe relizar hasta la ejecucion con Bajware"/>
    <m/>
    <s v="Validar con US integracion"/>
    <x v="4"/>
    <s v="Validar"/>
    <x v="0"/>
    <s v="Dep otra Area"/>
  </r>
  <r>
    <s v="Adicionales"/>
    <x v="4"/>
    <x v="2"/>
    <s v="FILE_CFEN"/>
    <s v="LAYOUT CFEN-3"/>
    <s v="No mapeado"/>
    <s v="Se esta relizando ampeado por parte del usuario "/>
    <s v="Estructura y universo"/>
    <m/>
    <x v="0"/>
    <m/>
    <x v="0"/>
    <s v="Dep otra Area"/>
  </r>
  <r>
    <s v="Adicionales"/>
    <x v="4"/>
    <x v="2"/>
    <s v="R35_1"/>
    <s v="Layout R35_1 -- R35"/>
    <s v="No mapeado"/>
    <s v="Se esta relizando ampeado por parte del usuario "/>
    <s v="Estructura y universo"/>
    <m/>
    <x v="0"/>
    <m/>
    <x v="0"/>
    <s v="Dep otra Area"/>
  </r>
  <r>
    <s v="Riesgos"/>
    <x v="4"/>
    <x v="2"/>
    <s v="CARTERA_RC_ADIC"/>
    <s v="LAYOUT_CARTERA_RC_ADIC --RC01 - RC03 - RC04 - RC08 - RC15"/>
    <s v="No mapeado"/>
    <s v="Lo trabaja Bajaware"/>
    <m/>
    <m/>
    <x v="4"/>
    <s v="Ext Bajaware"/>
    <x v="2"/>
    <m/>
  </r>
  <r>
    <s v="Riesgos"/>
    <x v="4"/>
    <x v="2"/>
    <s v="CARTERA_2BIS17"/>
    <s v="LAYOUT_RC08A_MAPEOS -- RC01 - RC03 - RC04 - RC07 - RC08 - RC15 - RC19"/>
    <s v="No mapeado"/>
    <s v="Lo trabaja Bajaware"/>
    <m/>
    <m/>
    <x v="4"/>
    <s v="Ext Bajaware"/>
    <x v="2"/>
    <m/>
  </r>
  <r>
    <s v="Riesgos"/>
    <x v="4"/>
    <x v="2"/>
    <s v="FILE_TITULOS_DEUDA"/>
    <s v="LAYOUTS_RCS_v2 -- RC01 - RC03 - RC04 - RC07 - RC08 - RC02 - RC06A"/>
    <s v="No mapeado"/>
    <s v="Lo trabaja Bajaware"/>
    <m/>
    <m/>
    <x v="4"/>
    <s v="Ext Bajaware"/>
    <x v="2"/>
    <m/>
  </r>
  <r>
    <s v="Riesgos"/>
    <x v="4"/>
    <x v="2"/>
    <s v="FILE_ACLME_OPE_VIG"/>
    <s v="LAYOUTS_RCS_v2 -- RC01 - RC03 - RC04 - RC07 - RC08 - RC02 - RC06A"/>
    <s v="No mapeado"/>
    <s v="Lo trabaja Bajaware"/>
    <m/>
    <m/>
    <x v="4"/>
    <s v="Ext Bajaware"/>
    <x v="2"/>
    <m/>
  </r>
  <r>
    <s v="Riesgos"/>
    <x v="4"/>
    <x v="2"/>
    <s v="FILE_CARTERA"/>
    <s v="LAYOUTS_RCS_v2 -- RC01 - RC03 - RC04 - RC07 - RC08 - RC02 - RC06A"/>
    <s v="No mapeado"/>
    <s v="Lo trabaja Bajaware"/>
    <m/>
    <m/>
    <x v="4"/>
    <s v="Ext Bajaware"/>
    <x v="2"/>
    <m/>
  </r>
  <r>
    <s v="Riesgos"/>
    <x v="4"/>
    <x v="2"/>
    <s v="FILE_CARTERA_LINEA"/>
    <s v="LAYOUTS_RCS_v2 -- RC01 - RC03 - RC04 - RC07 - RC08 - RC02 - RC06A"/>
    <s v="No mapeado"/>
    <s v="Lo trabaja Bajaware"/>
    <m/>
    <m/>
    <x v="4"/>
    <s v="Ext Bajaware"/>
    <x v="2"/>
    <m/>
  </r>
  <r>
    <s v="Riesgos"/>
    <x v="4"/>
    <x v="2"/>
    <s v="FILE_RC06A_DERIVADOS_TEMP"/>
    <s v="LAYOUTS_RCS_v2 -- RC01 - RC03 - RC04 - RC07 - RC08 - RC02 - RC06A"/>
    <s v="No mapeado"/>
    <s v="Lo trabaja Bajaware"/>
    <m/>
    <m/>
    <x v="4"/>
    <s v="Ext Bajaware"/>
    <x v="2"/>
    <m/>
  </r>
  <r>
    <s v="Riesgos"/>
    <x v="4"/>
    <x v="2"/>
    <s v="BALANZA"/>
    <s v="LAYOUTS_RCS_v2 -- RC01 - RC03 - RC04 - RC07 - RC08 - RC02 - RC06A"/>
    <s v="No mapeado"/>
    <s v="Lo trabaja Bajaware"/>
    <m/>
    <m/>
    <x v="4"/>
    <s v="Ext Bajaware"/>
    <x v="2"/>
    <m/>
  </r>
  <r>
    <s v="Riesgos"/>
    <x v="4"/>
    <x v="2"/>
    <s v="FILE_RC08_INT_ACC"/>
    <s v="LAYOUTS_RCS_v2 -- RC01 - RC03 - RC04 - RC07 - RC08 - RC02 - RC06A"/>
    <s v="No mapeado"/>
    <s v="Lo trabaja Bajaware"/>
    <m/>
    <m/>
    <x v="4"/>
    <s v="Ext Bajaware"/>
    <x v="2"/>
    <m/>
  </r>
  <r>
    <s v="Riesgos"/>
    <x v="4"/>
    <x v="2"/>
    <s v="FILE_RC19_INSUMO"/>
    <s v="LAYOUTS_RCS_v2 -- RC01 - RC03 - RC04 - RC07 - RC08 - RC02 - RC06A"/>
    <s v="No mapeado"/>
    <s v="Lo trabaja Bajaware"/>
    <m/>
    <m/>
    <x v="4"/>
    <s v="Ext Bajaware"/>
    <x v="2"/>
    <m/>
  </r>
  <r>
    <s v="Riesgos"/>
    <x v="4"/>
    <x v="2"/>
    <s v="FILE_RC_CTACOB_INSUMO"/>
    <s v="LAYOUTS_RCS_v2 -- RC01 - RC03 - RC04 - RC07 - RC08 - RC02 - RC06A"/>
    <s v="No mapeado"/>
    <s v="Lo trabaja Bajaware"/>
    <m/>
    <m/>
    <x v="4"/>
    <s v="Ext Bajaware"/>
    <x v="2"/>
    <m/>
  </r>
  <r>
    <s v="Adicionales"/>
    <x v="4"/>
    <x v="2"/>
    <s v="FILE_R01_PAGOS_ANT"/>
    <s v="LAYOUTS_RCS_v5"/>
    <s v="No mapeado"/>
    <s v="Lo trabaja Bajaware"/>
    <m/>
    <m/>
    <x v="4"/>
    <s v="Ext Bajaware"/>
    <x v="2"/>
    <m/>
  </r>
  <r>
    <s v="Riesgos"/>
    <x v="4"/>
    <x v="2"/>
    <s v="ALTA Y SEGUIMIENTO ROP"/>
    <s v="R2811_13_ALTA Y SEGUIMIENTO ROP -- R2811 - R2813"/>
    <s v="Listo"/>
    <s v="Revision de txt por parte del usuario "/>
    <s v="Estructura y universo"/>
    <s v="20250829 Us envía Obs"/>
    <x v="3"/>
    <m/>
    <x v="0"/>
    <s v="x"/>
  </r>
  <r>
    <s v="Riesgos"/>
    <x v="4"/>
    <x v="2"/>
    <s v="EVENTOS ROP"/>
    <s v="R2812_EVENTOS ROP_V0.4 -- R2812"/>
    <s v="Listo"/>
    <s v="Revision de txt por parte del usuario "/>
    <s v="Estructura y universo"/>
    <s v="20250829 Us envía Obs"/>
    <x v="3"/>
    <m/>
    <x v="0"/>
    <s v="x"/>
  </r>
  <r>
    <s v="Adicionales"/>
    <x v="6"/>
    <x v="2"/>
    <s v="GAMMA_VEGA"/>
    <s v="LAYOUT GAMMA_VEGA_V2 -- RC18"/>
    <s v="No mapeado"/>
    <s v="Lo trabaja Bajaware"/>
    <m/>
    <m/>
    <x v="4"/>
    <s v="Ext Bajaware"/>
    <x v="2"/>
    <m/>
  </r>
  <r>
    <s v="Adicionales"/>
    <x v="6"/>
    <x v="2"/>
    <s v="MERCANCIAS_RC"/>
    <s v="LAYOUT MERCANCIAS_RCS -- RC17"/>
    <s v="No mapeado"/>
    <s v="Lo trabaja Bajaware"/>
    <m/>
    <m/>
    <x v="4"/>
    <s v="Ext Bajaware"/>
    <x v="2"/>
    <m/>
  </r>
  <r>
    <s v="Adicionales"/>
    <x v="7"/>
    <x v="5"/>
    <s v="FILE_ACLME_AJUSTES_DDMMAA"/>
    <s v="ACLME_Ajustes_V3 -- ACLME"/>
    <s v="Pendiente"/>
    <s v="Modulo de tesoreria"/>
    <s v="NTT"/>
    <m/>
    <x v="4"/>
    <s v="Ext NTT"/>
    <x v="2"/>
    <m/>
  </r>
  <r>
    <s v="Mercados"/>
    <x v="7"/>
    <x v="5"/>
    <s v="FILE_TENENCIA_PRECIO"/>
    <s v="CORE_LayoutTenenciaAdicional_v3.2 -- TENENCIA"/>
    <s v="Pendiente"/>
    <s v="Modulo de tesoreria"/>
    <s v="NTT"/>
    <m/>
    <x v="4"/>
    <s v="Ext NTT"/>
    <x v="2"/>
    <m/>
  </r>
  <r>
    <s v="Adicionales"/>
    <x v="7"/>
    <x v="5"/>
    <s v="FT_ACLME_X"/>
    <s v="Layout ACLME_X_V1 -- ACLME"/>
    <s v="Pendiente"/>
    <s v="Modulo de tesoreria"/>
    <s v="NTT"/>
    <m/>
    <x v="4"/>
    <s v="Ext NTT"/>
    <x v="2"/>
    <m/>
  </r>
  <r>
    <s v="Liquidez"/>
    <x v="7"/>
    <x v="5"/>
    <s v="CF_ESP"/>
    <s v="Layout CF_V2"/>
    <s v="Pendiente"/>
    <s v="Modulo de tesoreria"/>
    <s v="NTT"/>
    <m/>
    <x v="4"/>
    <s v="Ext NTT"/>
    <x v="2"/>
    <m/>
  </r>
  <r>
    <s v="Liquidez"/>
    <x v="7"/>
    <x v="5"/>
    <s v="CE_ENG"/>
    <s v="Layout CF_V2"/>
    <s v="Pendiente"/>
    <s v="Modulo de tesoreria"/>
    <s v="NTT"/>
    <m/>
    <x v="4"/>
    <s v="Ext NTT"/>
    <x v="2"/>
    <m/>
  </r>
  <r>
    <s v="Liquidez"/>
    <x v="7"/>
    <x v="5"/>
    <s v="FILE_ML"/>
    <s v="Layout ML-4 -- ML"/>
    <s v="Pendiente"/>
    <s v="Modulo de tesoreria"/>
    <s v="NTT"/>
    <m/>
    <x v="4"/>
    <s v="Ext NTT"/>
    <x v="2"/>
    <m/>
  </r>
  <r>
    <s v="Adicionales"/>
    <x v="7"/>
    <x v="5"/>
    <s v="FILE_OFF_CONVAL"/>
    <s v="Layout OFF_FX_V7 -- OFF"/>
    <s v="Pendiente"/>
    <s v="Modulo de tesoreria"/>
    <s v="NTT"/>
    <m/>
    <x v="4"/>
    <s v="Ext NTT"/>
    <x v="2"/>
    <m/>
  </r>
  <r>
    <s v="Adicionales"/>
    <x v="7"/>
    <x v="5"/>
    <s v="FILE_FUT_CONVAL"/>
    <s v="Layout OFF_FX_V7 -- OFF"/>
    <s v="Pendiente"/>
    <s v="Modulo de tesoreria"/>
    <s v="NTT"/>
    <m/>
    <x v="4"/>
    <s v="Ext NTT"/>
    <x v="2"/>
    <m/>
  </r>
  <r>
    <s v="Adicionales"/>
    <x v="7"/>
    <x v="5"/>
    <s v="FILE_OFF_FX_DDMMAA"/>
    <s v="Layout OFF_FX_V7 -- OFF"/>
    <s v="Pendiente"/>
    <s v="Modulo de tesoreria"/>
    <s v="NTT"/>
    <m/>
    <x v="4"/>
    <s v="Ext NTT"/>
    <x v="2"/>
    <m/>
  </r>
  <r>
    <s v="Adicionales"/>
    <x v="7"/>
    <x v="5"/>
    <s v="R03 E-0304 ASIGNACIONES BM"/>
    <s v="layout R03-0304-0305 E BM -- R03"/>
    <s v="Pendiente"/>
    <s v="Modulo de tesoreria"/>
    <s v="NTT"/>
    <m/>
    <x v="4"/>
    <s v="Ext NTT"/>
    <x v="2"/>
    <m/>
  </r>
  <r>
    <s v="Adicionales"/>
    <x v="7"/>
    <x v="5"/>
    <s v="R03 E-0305 ÓRDENES"/>
    <s v="layout R03-0304-0305 E BM -- R04"/>
    <s v="Pendiente"/>
    <s v="Modulo de tesoreria"/>
    <s v="NTT"/>
    <m/>
    <x v="4"/>
    <s v="Ext NTT"/>
    <x v="2"/>
    <m/>
  </r>
  <r>
    <s v="Captacion"/>
    <x v="7"/>
    <x v="5"/>
    <s v="FT_TPA"/>
    <s v="Layout TPA BW_v2 -- TPA"/>
    <s v="Pendiente"/>
    <s v="Modulo de tesoreria"/>
    <s v="NTT"/>
    <m/>
    <x v="4"/>
    <s v="Ext NTT"/>
    <x v="2"/>
    <m/>
  </r>
  <r>
    <s v="Adicionales"/>
    <x v="7"/>
    <x v="5"/>
    <s v="FILE_ACLME_CONCEPTOSFIJOS_DDMMAA"/>
    <s v="Layout_ACLME_ConceptosFijos_v3 -- ACLME"/>
    <s v="Pendiente"/>
    <s v="Modulo de tesoreria"/>
    <s v="NTT"/>
    <m/>
    <x v="4"/>
    <s v="Ext NTT"/>
    <x v="2"/>
    <m/>
  </r>
  <r>
    <s v="Adicionales"/>
    <x v="7"/>
    <x v="5"/>
    <s v="FILE_ACLME"/>
    <s v="Layout_ACLME_SECCION_I_V_v3 -- ACLME"/>
    <s v="Pendiente"/>
    <s v="Modulo de tesoreria"/>
    <s v="NTT"/>
    <m/>
    <x v="4"/>
    <s v="Ext NTT"/>
    <x v="2"/>
    <m/>
  </r>
  <r>
    <s v="Adicionales"/>
    <x v="7"/>
    <x v="5"/>
    <s v="FILE_CONTRAPARTES"/>
    <s v="Layout_CONTRAPARTES_v5 -- CONTRAPARTES"/>
    <s v="Pendiente"/>
    <s v="Modulo de tesoreria"/>
    <s v="NTT"/>
    <m/>
    <x v="4"/>
    <s v="Ext NTT"/>
    <x v="2"/>
    <m/>
  </r>
  <r>
    <s v="Mercados"/>
    <x v="7"/>
    <x v="5"/>
    <s v="FT_CVT_IN"/>
    <s v="Layout_CVT_IN_V2 -- CVT"/>
    <s v="Pendiente"/>
    <s v="Modulo de tesoreria"/>
    <s v="NTT"/>
    <m/>
    <x v="4"/>
    <s v="Ext NTT"/>
    <x v="2"/>
    <m/>
  </r>
  <r>
    <s v="Mercados"/>
    <x v="7"/>
    <x v="5"/>
    <s v="FT_CVT"/>
    <s v="Layout_CVT_MN_ME_V3 -- CVT - RCs - TENENCIA"/>
    <s v="Pendiente"/>
    <s v="Modulo de tesoreria"/>
    <s v="NTT"/>
    <m/>
    <x v="4"/>
    <s v="Ext NTT"/>
    <x v="2"/>
    <m/>
  </r>
  <r>
    <s v="Mercados"/>
    <x v="7"/>
    <x v="5"/>
    <s v="FT_CVT_TR"/>
    <s v="Layout_CVT_TR_V2"/>
    <s v="Pendiente"/>
    <s v="Modulo de tesoreria"/>
    <s v="NTT"/>
    <m/>
    <x v="4"/>
    <s v="Ext NTT"/>
    <x v="2"/>
    <m/>
  </r>
  <r>
    <s v="Mercados"/>
    <x v="7"/>
    <x v="5"/>
    <s v="FILE_CVT_TRP"/>
    <s v="Layout_CVT_TRP_V2"/>
    <s v="Pendiente"/>
    <s v="Modulo de tesoreria"/>
    <s v="NTT"/>
    <m/>
    <x v="4"/>
    <s v="Ext NTT"/>
    <x v="2"/>
    <m/>
  </r>
  <r>
    <s v="Adicionales"/>
    <x v="7"/>
    <x v="5"/>
    <s v="FILE_GARANTIAS_I"/>
    <s v="Layout_Garantias_V1 - GARANTIAS"/>
    <s v="Pendiente"/>
    <s v="Modulo de tesoreria"/>
    <s v="NTT"/>
    <m/>
    <x v="4"/>
    <s v="Ext NTT"/>
    <x v="2"/>
    <m/>
  </r>
  <r>
    <s v="Adicionales"/>
    <x v="7"/>
    <x v="5"/>
    <s v="FILE_GARANTIAS_II"/>
    <s v="Layout_Garantias_V1 - GARANTIAS"/>
    <s v="Pendiente"/>
    <s v="Modulo de tesoreria"/>
    <s v="NTT"/>
    <m/>
    <x v="4"/>
    <s v="Ext NTT"/>
    <x v="2"/>
    <m/>
  </r>
  <r>
    <s v="Adicionales"/>
    <x v="7"/>
    <x v="5"/>
    <s v="FILE_GARANTIAS_III"/>
    <s v="Layout_Garantias_V1 - GARANTIAS"/>
    <s v="Pendiente"/>
    <s v="Modulo de tesoreria"/>
    <s v="NTT"/>
    <m/>
    <x v="4"/>
    <s v="Ext NTT"/>
    <x v="2"/>
    <m/>
  </r>
  <r>
    <s v="Adicionales"/>
    <x v="7"/>
    <x v="5"/>
    <s v="FILE_GARANTIAS_IV"/>
    <s v="Layout_Garantias_V1 - GARANTIAS"/>
    <s v="Pendiente"/>
    <s v="Modulo de tesoreria"/>
    <s v="NTT"/>
    <m/>
    <x v="4"/>
    <s v="Ext NTT"/>
    <x v="2"/>
    <m/>
  </r>
  <r>
    <s v="Adicionales"/>
    <x v="7"/>
    <x v="5"/>
    <s v="FILE_OPTO_I"/>
    <s v="Layout_OPTO_V3 -- OPTO"/>
    <s v="Pendiente"/>
    <s v="Modulo de tesoreria"/>
    <s v="NTT"/>
    <m/>
    <x v="4"/>
    <s v="Ext NTT"/>
    <x v="2"/>
    <m/>
  </r>
  <r>
    <s v="Adicionales"/>
    <x v="7"/>
    <x v="5"/>
    <s v="FILE_OPTO_II"/>
    <s v="Layout_OPTO_V3 -- OPTO"/>
    <s v="Pendiente"/>
    <s v="Modulo de tesoreria"/>
    <s v="NTT"/>
    <m/>
    <x v="4"/>
    <s v="Ext NTT"/>
    <x v="2"/>
    <m/>
  </r>
  <r>
    <s v="Adicionales"/>
    <x v="7"/>
    <x v="5"/>
    <s v="FILE_OPTO_III"/>
    <s v="Layout_OPTO_V3 -- OPTO"/>
    <s v="Pendiente"/>
    <s v="Modulo de tesoreria"/>
    <s v="NTT"/>
    <m/>
    <x v="4"/>
    <s v="Ext NTT"/>
    <x v="2"/>
    <m/>
  </r>
  <r>
    <s v="Adicionales"/>
    <x v="7"/>
    <x v="5"/>
    <s v="FILE_OPTO_II_COM"/>
    <s v="Layout_OPTO_V3 -- OPTO"/>
    <s v="Pendiente"/>
    <s v="Modulo de tesoreria"/>
    <s v="NTT"/>
    <m/>
    <x v="4"/>
    <s v="Ext NTT"/>
    <x v="2"/>
    <m/>
  </r>
  <r>
    <s v="Adicionales"/>
    <x v="7"/>
    <x v="5"/>
    <s v="FILE_OPTO_MEREC_CONVO"/>
    <s v="Layout_OPTO_V3 -- OPTO"/>
    <s v="Pendiente"/>
    <s v="Modulo de tesoreria"/>
    <s v="NTT"/>
    <m/>
    <x v="4"/>
    <s v="Ext NTT"/>
    <x v="2"/>
    <m/>
  </r>
  <r>
    <s v="Adicionales"/>
    <x v="7"/>
    <x v="5"/>
    <s v="FILE_OPTO_CONVO"/>
    <s v="Layout_OPTO_V3 -- OPTO"/>
    <s v="Pendiente"/>
    <s v="Modulo de tesoreria"/>
    <s v="NTT"/>
    <m/>
    <x v="4"/>
    <s v="Ext NTT"/>
    <x v="2"/>
    <m/>
  </r>
  <r>
    <s v="Adicionales"/>
    <x v="7"/>
    <x v="5"/>
    <s v="FILE_OPTO_VIII_CONVO"/>
    <s v="Layout_OPTO_V3 -- OPTO"/>
    <s v="NA"/>
    <s v="Modulo de tesoreria"/>
    <s v="NTT"/>
    <m/>
    <x v="4"/>
    <s v="Ext NTT"/>
    <x v="2"/>
    <m/>
  </r>
  <r>
    <s v="Adicionales"/>
    <x v="7"/>
    <x v="5"/>
    <s v="FILE_OPTO_IX"/>
    <s v="Layout_OPTO_V3 -- OPTO"/>
    <s v="NA"/>
    <s v="Modulo de tesoreria"/>
    <s v="NTT"/>
    <m/>
    <x v="4"/>
    <s v="Ext NTT"/>
    <x v="2"/>
    <m/>
  </r>
  <r>
    <s v="Adicionales"/>
    <x v="7"/>
    <x v="5"/>
    <s v="FILE_OPTO_IX_COM"/>
    <s v="Layout_OPTO_V3 -- OPTO"/>
    <s v="NA"/>
    <s v="Modulo de tesoreria"/>
    <s v="NTT"/>
    <m/>
    <x v="4"/>
    <s v="Ext NTT"/>
    <x v="2"/>
    <m/>
  </r>
  <r>
    <s v="Adicionales"/>
    <x v="7"/>
    <x v="5"/>
    <s v="FILE_OPTO_X"/>
    <s v="Layout_OPTO_V3 -- OPTO"/>
    <s v="NA"/>
    <s v="Modulo de tesoreria"/>
    <s v="NTT"/>
    <m/>
    <x v="4"/>
    <s v="Ext NTT"/>
    <x v="2"/>
    <m/>
  </r>
  <r>
    <s v="Mercados"/>
    <x v="7"/>
    <x v="5"/>
    <s v="FILE_PAC_I"/>
    <s v="Layout_PACI_V2 -- PAC"/>
    <s v="NA"/>
    <s v="Modulo de tesoreria"/>
    <s v="NTT"/>
    <m/>
    <x v="4"/>
    <s v="Ext NTT"/>
    <x v="2"/>
    <m/>
  </r>
  <r>
    <s v="Mercados"/>
    <x v="7"/>
    <x v="5"/>
    <s v="FT_PAC_II"/>
    <s v="Layout_PACII_V1 -- PAC"/>
    <s v="NA"/>
    <s v="Modulo de tesoreria"/>
    <s v="NTT"/>
    <m/>
    <x v="4"/>
    <s v="Ext NTT"/>
    <x v="2"/>
    <s v="Layout_PACII_V1 -- PAC RC05"/>
  </r>
  <r>
    <s v="Mercados"/>
    <x v="7"/>
    <x v="5"/>
    <s v="FT_REPORTOS_CDA"/>
    <s v="Layout_REPORTOS_CDA -- REPORTOS"/>
    <s v="NA"/>
    <s v="Modulo de tesoreria"/>
    <s v="NTT"/>
    <m/>
    <x v="4"/>
    <s v="Ext NTT"/>
    <x v="2"/>
    <m/>
  </r>
  <r>
    <s v="Mercados"/>
    <x v="7"/>
    <x v="5"/>
    <s v="FT_REPORTOS"/>
    <s v="Layout_REPORTOS_MN_ME_V3"/>
    <s v="Pendiente"/>
    <s v="Modulo de tesoreria"/>
    <s v="NTT"/>
    <m/>
    <x v="4"/>
    <s v="Ext NTT"/>
    <x v="2"/>
    <m/>
  </r>
  <r>
    <s v="Adicionales"/>
    <x v="7"/>
    <x v="5"/>
    <s v="REPORTOS_MNME"/>
    <s v="Layout_REPORTOS_MN_ME_V7_2024 -- REPORTOS"/>
    <s v="Pendiente"/>
    <s v="Modulo de tesoreria"/>
    <s v="NTT"/>
    <m/>
    <x v="4"/>
    <s v="Ext NTT"/>
    <x v="2"/>
    <s v="Layout_REPORTOS_MN_ME_V7 -- REPORTOS"/>
  </r>
  <r>
    <s v="Adicionales"/>
    <x v="7"/>
    <x v="5"/>
    <s v="CANASTA_REPORTOS"/>
    <s v="Layout_REPORTOS_MN_ME_V7_2024 -- REPORTOS"/>
    <s v="Pendiente"/>
    <s v="Modulo de tesoreria"/>
    <s v="NTT"/>
    <m/>
    <x v="4"/>
    <s v="Ext NTT"/>
    <x v="2"/>
    <s v="Layout_REPORTOS_MN_ME_V7 -- REPORTOS"/>
  </r>
  <r>
    <s v="Adicionales"/>
    <x v="7"/>
    <x v="5"/>
    <s v="VENC_ANT_REPORTOS"/>
    <s v="Layout_REPORTOS_MN_ME_V7_2024 -- REPORTOS"/>
    <s v="Pendiente"/>
    <s v="Modulo de tesoreria"/>
    <s v="NTT"/>
    <m/>
    <x v="4"/>
    <s v="Ext NTT"/>
    <x v="2"/>
    <s v="Layout_REPORTOS_MN_ME_V7 -- REPORTOS"/>
  </r>
  <r>
    <s v="Adicionales"/>
    <x v="7"/>
    <x v="5"/>
    <s v="MODIF_TASAPREMIO"/>
    <s v="Layout_REPORTOS_MN_ME_V7_2024 -- REPORTOS"/>
    <s v="Pendiente"/>
    <s v="Modulo de tesoreria"/>
    <s v="NTT"/>
    <m/>
    <x v="4"/>
    <s v="Ext NTT"/>
    <x v="2"/>
    <s v="Layout_REPORTOS_MN_ME_V7 -- REPORTOS"/>
  </r>
  <r>
    <s v="Adicionales"/>
    <x v="7"/>
    <x v="5"/>
    <s v="SWAP_CONVO"/>
    <s v="Layout_SWAPS_V9 -- SWAPS"/>
    <s v="Pendiente"/>
    <s v="Modulo de tesoreria"/>
    <s v="NTT"/>
    <m/>
    <x v="4"/>
    <s v="Ext NTT"/>
    <x v="2"/>
    <s v="Layout_SWAPS_V9.1 -- SWAPS"/>
  </r>
  <r>
    <s v="Adicionales"/>
    <x v="7"/>
    <x v="5"/>
    <s v="SWAP_CUOTAS_INT"/>
    <s v="Layout_SWAPS_V9 -- SWAPS"/>
    <s v="Pendiente"/>
    <s v="Modulo de tesoreria"/>
    <s v="NTT"/>
    <m/>
    <x v="4"/>
    <s v="Ext NTT"/>
    <x v="2"/>
    <s v="Layout_SWAPS_V9.1 -- SWAPS"/>
  </r>
  <r>
    <s v="Adicionales"/>
    <x v="7"/>
    <x v="5"/>
    <s v="SWAP_I"/>
    <s v="Layout_SWAPS_V9 -- SWAPS"/>
    <s v="Pendiente"/>
    <s v="Modulo de tesoreria"/>
    <s v="NTT"/>
    <m/>
    <x v="4"/>
    <s v="Ext NTT"/>
    <x v="2"/>
    <s v="Layout_SWAPS_V9.1 -- SWAPS"/>
  </r>
  <r>
    <s v="Adicionales"/>
    <x v="7"/>
    <x v="5"/>
    <s v="SWAPS"/>
    <s v="Layout_SWAPS_V9 -- SWAPS"/>
    <s v="Pendiente"/>
    <s v="Modulo de tesoreria"/>
    <s v="NTT"/>
    <m/>
    <x v="4"/>
    <s v="Ext NTT"/>
    <x v="2"/>
    <s v="Layout_SWAPS_V9.1 -- SWAPS"/>
  </r>
  <r>
    <s v="Adicionales"/>
    <x v="7"/>
    <x v="5"/>
    <s v="SWAP_IV"/>
    <s v="Layout_SWAPS_V9 -- SWAPS"/>
    <s v="Pendiente"/>
    <s v="Modulo de tesoreria"/>
    <s v="NTT"/>
    <m/>
    <x v="4"/>
    <s v="Ext NTT"/>
    <x v="2"/>
    <s v="Layout_SWAPS_V9.1 -- SWAPS"/>
  </r>
  <r>
    <s v="Adicionales"/>
    <x v="7"/>
    <x v="5"/>
    <s v="SWAP_IV_COM"/>
    <s v="Layout_SWAPS_V9 -- SWAPS"/>
    <s v="Pendiente"/>
    <s v="Modulo de tesoreria"/>
    <s v="NTT"/>
    <m/>
    <x v="4"/>
    <s v="Ext NTT"/>
    <x v="2"/>
    <s v="Layout_SWAPS_V9.1 -- SWAPS"/>
  </r>
  <r>
    <s v="Adicionales"/>
    <x v="7"/>
    <x v="5"/>
    <s v="SWAP_FLUJOS"/>
    <s v="Layout_SWAPS_V9 -- SWAPS"/>
    <s v="Pendiente"/>
    <s v="Modulo de tesoreria"/>
    <s v="NTT"/>
    <m/>
    <x v="4"/>
    <s v="Ext NTT"/>
    <x v="2"/>
    <s v="Layout_SWAPS_V9.1 -- SWAPS"/>
  </r>
  <r>
    <s v="Adicionales"/>
    <x v="7"/>
    <x v="5"/>
    <s v="SWAP_MEREC_CONVO"/>
    <s v="Layout_SWAPS_V9 -- SWAPS"/>
    <s v="Pendiente"/>
    <s v="Modulo de tesoreria"/>
    <s v="NTT"/>
    <m/>
    <x v="4"/>
    <s v="Ext NTT"/>
    <x v="2"/>
    <s v="Layout_SWAPS_V9.1 -- SWAPS - 1. ENT_SWAP_MEREC_CONVO"/>
  </r>
  <r>
    <s v="Adicionales"/>
    <x v="7"/>
    <x v="5"/>
    <s v="FILE_TIPOCAMBIO_DIARIO"/>
    <s v="Layout_Tipos de Cambio Diario_v2 -- ACLME"/>
    <s v="Pendiente"/>
    <s v="Modulo de tesoreria"/>
    <s v="NTT"/>
    <m/>
    <x v="4"/>
    <s v="Ext NTT"/>
    <x v="2"/>
    <m/>
  </r>
  <r>
    <s v="Adicionales"/>
    <x v="7"/>
    <x v="5"/>
    <s v="SECCION 1"/>
    <s v="Layouts Garantias de Liquidez -- GL"/>
    <s v="Pendiente"/>
    <s v="Modulo de tesoreria"/>
    <s v="NTT"/>
    <m/>
    <x v="4"/>
    <s v="Ext NTT"/>
    <x v="2"/>
    <s v="Layouts Garantias de Liquidez"/>
  </r>
  <r>
    <s v="Adicionales"/>
    <x v="7"/>
    <x v="5"/>
    <s v="SECCION 2A"/>
    <s v="Layouts Garantias de Liquidez -- GL"/>
    <s v="Pendiente"/>
    <s v="Modulo de tesoreria"/>
    <s v="NTT"/>
    <m/>
    <x v="4"/>
    <s v="Ext NTT"/>
    <x v="2"/>
    <s v="Layouts Garantias de Liquidez"/>
  </r>
  <r>
    <s v="Adicionales"/>
    <x v="7"/>
    <x v="5"/>
    <s v="SECCION 2B"/>
    <s v="Layouts Garantias de Liquidez -- GL"/>
    <s v="Pendiente"/>
    <s v="Modulo de tesoreria"/>
    <s v="NTT"/>
    <m/>
    <x v="4"/>
    <s v="Ext NTT"/>
    <x v="2"/>
    <s v="Layouts Garantias de Liquidez"/>
  </r>
  <r>
    <s v="Adicionales"/>
    <x v="7"/>
    <x v="5"/>
    <s v="SECCION 2C"/>
    <s v="Layouts Garantias de Liquidez -- GL"/>
    <s v="Pendiente"/>
    <s v="Modulo de tesoreria"/>
    <s v="NTT"/>
    <m/>
    <x v="4"/>
    <s v="Ext NTT"/>
    <x v="2"/>
    <s v="Layouts Garantias de Liquidez"/>
  </r>
  <r>
    <s v="Adicionales"/>
    <x v="7"/>
    <x v="5"/>
    <s v="SECCION 2D"/>
    <s v="Layouts Garantias de Liquidez -- GL"/>
    <s v="Pendiente"/>
    <s v="Modulo de tesoreria"/>
    <s v="NTT"/>
    <m/>
    <x v="4"/>
    <s v="Ext NTT"/>
    <x v="2"/>
    <s v="Layouts Garantias de Liquidez"/>
  </r>
  <r>
    <s v="Adicionales"/>
    <x v="7"/>
    <x v="5"/>
    <s v="SECCION 2E"/>
    <s v="Layouts Garantias de Liquidez -- GL"/>
    <s v="Pendiente"/>
    <s v="Modulo de tesoreria"/>
    <s v="NTT"/>
    <m/>
    <x v="4"/>
    <s v="Ext NTT"/>
    <x v="2"/>
    <s v="Layouts Garantias de Liquidez"/>
  </r>
  <r>
    <s v="Mercados"/>
    <x v="7"/>
    <x v="5"/>
    <s v="FT_TENENCIA"/>
    <s v="LayoutTenencia_V2 -- TENENCIA - REPORTOS"/>
    <s v="Pendiente"/>
    <s v="Modulo de tesoreria"/>
    <s v="NTT"/>
    <m/>
    <x v="4"/>
    <s v="Ext NTT"/>
    <x v="2"/>
    <m/>
  </r>
  <r>
    <s v="Adicionales"/>
    <x v="7"/>
    <x v="5"/>
    <s v="PRESTAMO DE VALORES"/>
    <s v="PRESTAMO DE VALORES_V0.1 -- PRESTAMOS"/>
    <s v="Pendiente"/>
    <s v="Modulo de tesoreria"/>
    <s v="NTT"/>
    <m/>
    <x v="4"/>
    <s v="Ext NTT"/>
    <x v="2"/>
    <m/>
  </r>
  <r>
    <s v="Adicionales"/>
    <x v="8"/>
    <x v="6"/>
    <s v="RECLAMACIONES"/>
    <s v="LAYOUT R27_V1 -- R27 - 2701"/>
    <s v="No mapeado"/>
    <m/>
    <m/>
    <m/>
    <x v="0"/>
    <m/>
    <x v="0"/>
    <m/>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
  <r>
    <x v="0"/>
    <x v="0"/>
  </r>
  <r>
    <x v="1"/>
    <x v="1"/>
  </r>
  <r>
    <x v="2"/>
    <x v="2"/>
  </r>
  <r>
    <x v="3"/>
    <x v="3"/>
  </r>
  <r>
    <x v="4"/>
    <x v="4"/>
  </r>
  <r>
    <x v="5"/>
    <x v="5"/>
  </r>
  <r>
    <x v="6"/>
    <x v="6"/>
  </r>
  <r>
    <x v="7"/>
    <x v="7"/>
  </r>
  <r>
    <x v="8"/>
    <x v="8"/>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95">
  <r>
    <s v="Adicionales"/>
    <x v="0"/>
    <x v="0"/>
    <s v="VENC_ANT_REPORTOS"/>
    <s v="Layout_REPORTOS_MN_ME_V7_2024 -- REPORTOS"/>
    <s v="Pendiente"/>
    <s v="Modulo de tesoreria"/>
    <s v="NTT"/>
    <m/>
    <x v="0"/>
    <s v="Ext NTT"/>
    <x v="0"/>
    <s v="Layout_REPORTOS_MN_ME_V7 -- REPORTOS"/>
    <s v="modif nomb layout"/>
  </r>
  <r>
    <s v="Adicionales"/>
    <x v="1"/>
    <x v="1"/>
    <s v="USUARIOS NO CLIENTES BE"/>
    <s v="R1522_USUARIOS NO CLIENTES BE_V0.4 -- R15 1522"/>
    <s v="No mapeado"/>
    <m/>
    <m/>
    <m/>
    <x v="0"/>
    <m/>
    <x v="1"/>
    <m/>
    <m/>
  </r>
  <r>
    <s v="Operativos"/>
    <x v="2"/>
    <x v="2"/>
    <s v="UBICACION DE PUNTOS DE TRANSACC"/>
    <s v="R2443_Ubicacion - R2443"/>
    <s v="No mapeado"/>
    <s v="NTT"/>
    <m/>
    <m/>
    <x v="1"/>
    <s v="NA"/>
    <x v="2"/>
    <s v="Acuerdo con Erika el 18/12/24. No aplica en este momento, porque no tendremos nada de lo que solicita. "/>
    <m/>
  </r>
  <r>
    <s v="Operativos"/>
    <x v="2"/>
    <x v="2"/>
    <s v="TITULARES GARANTIZADOS"/>
    <s v="R2423_IFRS9_Titulares_Garantizados_V0.4 -- R2423"/>
    <s v="No mapeado"/>
    <s v="NTT"/>
    <m/>
    <m/>
    <x v="1"/>
    <s v="Ext NTT"/>
    <x v="3"/>
    <m/>
    <m/>
  </r>
  <r>
    <s v="Adicionales"/>
    <x v="2"/>
    <x v="2"/>
    <s v="TADESCOM_BAJAS"/>
    <s v="Layout TADESCOM -- TADESCOM"/>
    <s v="NA"/>
    <s v="NA"/>
    <m/>
    <m/>
    <x v="1"/>
    <s v="NA"/>
    <x v="2"/>
    <m/>
    <m/>
  </r>
  <r>
    <s v="Adicionales"/>
    <x v="2"/>
    <x v="2"/>
    <s v="TADESCOM_ALTAS"/>
    <s v="Layout TADESCOM -- TADESCOM"/>
    <s v="NA"/>
    <s v="NA"/>
    <m/>
    <m/>
    <x v="1"/>
    <s v="NA"/>
    <x v="2"/>
    <m/>
    <m/>
  </r>
  <r>
    <s v="Adicionales"/>
    <x v="0"/>
    <x v="0"/>
    <s v="SWAPS"/>
    <s v="Layout_SWAPS_V9 -- SWAPS"/>
    <s v="Pendiente"/>
    <s v="Modulo de tesoreria"/>
    <s v="NTT"/>
    <m/>
    <x v="0"/>
    <s v="Ext NTT"/>
    <x v="0"/>
    <s v="Layout_SWAPS_V9.1 -- SWAPS"/>
    <s v="modif nomb layout"/>
  </r>
  <r>
    <s v="Adicionales"/>
    <x v="0"/>
    <x v="0"/>
    <s v="SWAP_MEREC_CONVO"/>
    <s v="Layout_SWAPS_V9 -- SWAPS"/>
    <s v="Pendiente"/>
    <s v="Modulo de tesoreria"/>
    <s v="NTT"/>
    <m/>
    <x v="0"/>
    <s v="Ext NTT"/>
    <x v="0"/>
    <s v="Layout_SWAPS_V9.1 -- SWAPS - 1. ENT_SWAP_MEREC_CONVO"/>
    <s v="modif nomb layout"/>
  </r>
  <r>
    <s v="Adicionales"/>
    <x v="0"/>
    <x v="0"/>
    <s v="SWAP_IV_COM"/>
    <s v="Layout_SWAPS_V9 -- SWAPS"/>
    <s v="Pendiente"/>
    <s v="Modulo de tesoreria"/>
    <s v="NTT"/>
    <m/>
    <x v="0"/>
    <s v="Ext NTT"/>
    <x v="0"/>
    <s v="Layout_SWAPS_V9.1 -- SWAPS"/>
    <s v="modif nomb layout"/>
  </r>
  <r>
    <s v="Adicionales"/>
    <x v="0"/>
    <x v="0"/>
    <s v="SWAP_IV"/>
    <s v="Layout_SWAPS_V9 -- SWAPS"/>
    <s v="Pendiente"/>
    <s v="Modulo de tesoreria"/>
    <s v="NTT"/>
    <m/>
    <x v="0"/>
    <s v="Ext NTT"/>
    <x v="0"/>
    <s v="Layout_SWAPS_V9.1 -- SWAPS"/>
    <s v="modif nomb layout"/>
  </r>
  <r>
    <s v="Adicionales"/>
    <x v="0"/>
    <x v="0"/>
    <s v="SWAP_I"/>
    <s v="Layout_SWAPS_V9 -- SWAPS"/>
    <s v="Pendiente"/>
    <s v="Modulo de tesoreria"/>
    <s v="NTT"/>
    <m/>
    <x v="0"/>
    <s v="Ext NTT"/>
    <x v="0"/>
    <s v="Layout_SWAPS_V9.1 -- SWAPS"/>
    <s v="modif nomb layout"/>
  </r>
  <r>
    <s v="Adicionales"/>
    <x v="0"/>
    <x v="0"/>
    <s v="SWAP_FLUJOS"/>
    <s v="Layout_SWAPS_V9 -- SWAPS"/>
    <s v="Pendiente"/>
    <s v="Modulo de tesoreria"/>
    <s v="NTT"/>
    <m/>
    <x v="0"/>
    <s v="Ext NTT"/>
    <x v="0"/>
    <s v="Layout_SWAPS_V9.1 -- SWAPS"/>
    <s v="modif nomb layout"/>
  </r>
  <r>
    <s v="Adicionales"/>
    <x v="0"/>
    <x v="0"/>
    <s v="SWAP_CUOTAS_INT"/>
    <s v="Layout_SWAPS_V9 -- SWAPS"/>
    <s v="Pendiente"/>
    <s v="Modulo de tesoreria"/>
    <s v="NTT"/>
    <m/>
    <x v="0"/>
    <s v="Ext NTT"/>
    <x v="0"/>
    <s v="Layout_SWAPS_V9.1 -- SWAPS"/>
    <s v="modif nomb layout"/>
  </r>
  <r>
    <s v="Adicionales"/>
    <x v="0"/>
    <x v="0"/>
    <s v="SWAP_CONVO"/>
    <s v="Layout_SWAPS_V9 -- SWAPS"/>
    <s v="Pendiente"/>
    <s v="Modulo de tesoreria"/>
    <s v="NTT"/>
    <m/>
    <x v="0"/>
    <s v="Ext NTT"/>
    <x v="0"/>
    <s v="Layout_SWAPS_V9.1 -- SWAPS"/>
    <s v="modif nomb layout"/>
  </r>
  <r>
    <s v="Operativos"/>
    <x v="2"/>
    <x v="2"/>
    <s v="SUCURSALES"/>
    <s v="R2422_Sucursales -- R2422"/>
    <s v="No mapeado"/>
    <s v="NTT"/>
    <m/>
    <m/>
    <x v="1"/>
    <s v="NA"/>
    <x v="2"/>
    <s v="Acuerdo con Erika el 18/12/24. No aplica en este momento, porque no tendremos nada de lo que solicita. "/>
    <m/>
  </r>
  <r>
    <s v="Operativos"/>
    <x v="1"/>
    <x v="3"/>
    <s v="SEGUROS NOMINA Y PERS"/>
    <s v="CUP -- CUP"/>
    <s v="NA"/>
    <s v="NA"/>
    <m/>
    <m/>
    <x v="1"/>
    <s v="NA"/>
    <x v="2"/>
    <m/>
    <m/>
  </r>
  <r>
    <s v="Adicionales"/>
    <x v="0"/>
    <x v="0"/>
    <s v="SECCION 2E"/>
    <s v="Layouts Garantias de Liquidez -- GL"/>
    <s v="Pendiente"/>
    <s v="Modulo de tesoreria"/>
    <s v="NTT"/>
    <m/>
    <x v="1"/>
    <s v="Ext NTT"/>
    <x v="4"/>
    <s v="Layouts Garantias de Liquidez"/>
    <s v="Modificacion nombre layout"/>
  </r>
  <r>
    <s v="Adicionales"/>
    <x v="0"/>
    <x v="0"/>
    <s v="SECCION 2D"/>
    <s v="Layouts Garantias de Liquidez -- GL"/>
    <s v="Pendiente"/>
    <s v="Modulo de tesoreria"/>
    <s v="NTT"/>
    <m/>
    <x v="1"/>
    <s v="Ext NTT"/>
    <x v="4"/>
    <s v="Layouts Garantias de Liquidez"/>
    <s v="Modificacion nombre layout"/>
  </r>
  <r>
    <s v="Adicionales"/>
    <x v="0"/>
    <x v="0"/>
    <s v="SECCION 2C"/>
    <s v="Layouts Garantias de Liquidez -- GL"/>
    <s v="Pendiente"/>
    <s v="Modulo de tesoreria"/>
    <s v="NTT"/>
    <m/>
    <x v="1"/>
    <s v="Ext NTT"/>
    <x v="4"/>
    <s v="Layouts Garantias de Liquidez"/>
    <s v="Modificacion nombre layout"/>
  </r>
  <r>
    <s v="Adicionales"/>
    <x v="0"/>
    <x v="0"/>
    <s v="SECCION 2B"/>
    <s v="Layouts Garantias de Liquidez -- GL"/>
    <s v="Pendiente"/>
    <s v="Modulo de tesoreria"/>
    <s v="NTT"/>
    <m/>
    <x v="1"/>
    <s v="Ext NTT"/>
    <x v="4"/>
    <s v="Layouts Garantias de Liquidez"/>
    <s v="Modificacion nombre layout"/>
  </r>
  <r>
    <s v="Adicionales"/>
    <x v="0"/>
    <x v="0"/>
    <s v="SECCION 2A"/>
    <s v="Layouts Garantias de Liquidez -- GL"/>
    <s v="Pendiente"/>
    <s v="Modulo de tesoreria"/>
    <s v="NTT"/>
    <m/>
    <x v="1"/>
    <s v="Ext NTT"/>
    <x v="4"/>
    <s v="Layouts Garantias de Liquidez"/>
    <s v="Modificacion nombre layout"/>
  </r>
  <r>
    <s v="Adicionales"/>
    <x v="0"/>
    <x v="0"/>
    <s v="SECCION 1"/>
    <s v="Layouts Garantias de Liquidez -- GL"/>
    <s v="Pendiente"/>
    <s v="Modulo de tesoreria"/>
    <s v="NTT"/>
    <m/>
    <x v="1"/>
    <s v="Ext NTT"/>
    <x v="4"/>
    <s v="Layouts Garantias de Liquidez"/>
    <s v="Modificacion nombre layout"/>
  </r>
  <r>
    <s v="Adicionales"/>
    <x v="0"/>
    <x v="0"/>
    <s v="REPORTOS_MNME"/>
    <s v="Layout_REPORTOS_MN_ME_V7_2024 -- REPORTOS"/>
    <s v="Pendiente"/>
    <s v="Modulo de tesoreria"/>
    <s v="NTT"/>
    <m/>
    <x v="0"/>
    <s v="Ext NTT"/>
    <x v="0"/>
    <s v="Layout_REPORTOS_MN_ME_V7 -- REPORTOS"/>
    <s v="modif nomb layout"/>
  </r>
  <r>
    <s v="Cartera"/>
    <x v="3"/>
    <x v="2"/>
    <s v="REL_CONSUMO_GARANTIA"/>
    <s v="V1.05_Credito_IFRS9_Consumo_Completo VF (2)"/>
    <s v="NA"/>
    <s v="NA"/>
    <m/>
    <m/>
    <x v="1"/>
    <s v="NA"/>
    <x v="2"/>
    <m/>
    <m/>
  </r>
  <r>
    <s v="Operativos"/>
    <x v="1"/>
    <x v="3"/>
    <s v="Registro Gral Prd"/>
    <s v="CUP -- CUP"/>
    <s v="Listo"/>
    <s v="VoBo Dado por el usuario (No se cuenta con informacion)"/>
    <s v="Estructura"/>
    <m/>
    <x v="2"/>
    <m/>
    <x v="1"/>
    <m/>
    <m/>
  </r>
  <r>
    <s v="Captacion"/>
    <x v="1"/>
    <x v="3"/>
    <s v="RECO"/>
    <s v="Layout RECO BW -- RECO"/>
    <s v="Listo"/>
    <s v="Ntt, ya se reviso txt por usuario VoBo"/>
    <s v="Estructura y universo"/>
    <s v="Se reasignó a Prodcuto | estaba identificado como VoBo Usuario"/>
    <x v="3"/>
    <m/>
    <x v="1"/>
    <s v="Se menciona a NTT"/>
    <s v="Validar la parte de captación NTT para integrar en un solo reporte"/>
  </r>
  <r>
    <s v="Situacion Finaciera"/>
    <x v="4"/>
    <x v="4"/>
    <s v="RECLASIFICACIONES"/>
    <s v="R10_RECLASIFICACIONES -- R10"/>
    <s v="Listo"/>
    <s v="Revision de txt por parte del usuario "/>
    <s v="Estructura y universo"/>
    <s v="Duda US ¿Cuál sería la mecánica para la generación de este reporte?"/>
    <x v="2"/>
    <m/>
    <x v="1"/>
    <m/>
    <m/>
  </r>
  <r>
    <s v="Operativos"/>
    <x v="2"/>
    <x v="2"/>
    <s v="RECLAMACIONES BURSATILES BM"/>
    <s v="R2711_ReclamacionesB_V0.4"/>
    <s v="NA"/>
    <s v="NA"/>
    <m/>
    <m/>
    <x v="1"/>
    <s v="NA"/>
    <x v="2"/>
    <s v="Estaba asiugnado a NTT"/>
    <m/>
  </r>
  <r>
    <s v="Adicionales"/>
    <x v="5"/>
    <x v="5"/>
    <s v="RECLAMACIONES"/>
    <s v="LAYOUT R27_V1 -- R27 - 2701"/>
    <s v="No mapeado"/>
    <m/>
    <m/>
    <m/>
    <x v="0"/>
    <m/>
    <x v="1"/>
    <m/>
    <m/>
  </r>
  <r>
    <s v="Adicionales"/>
    <x v="4"/>
    <x v="4"/>
    <s v="R36_PAGOS_ANT_CARGOS_DIF"/>
    <s v="V1.00_R3601_CARGOS_DIF_PAGOS_ANTICIPADOS -- R36 3601"/>
    <s v="Por iniciar"/>
    <s v="Se requiere recepcion de requerimiento y Excel. (Usuario)"/>
    <m/>
    <m/>
    <x v="2"/>
    <m/>
    <x v="1"/>
    <m/>
    <m/>
  </r>
  <r>
    <s v="Adicionales"/>
    <x v="6"/>
    <x v="6"/>
    <s v="R35_1"/>
    <s v="Layout R35_1 -- R35"/>
    <s v="No mapeado"/>
    <s v="Se esta relizando ampeado por parte del usuario "/>
    <s v="Estructura y universo"/>
    <m/>
    <x v="0"/>
    <m/>
    <x v="1"/>
    <s v="Dep otra Area"/>
    <s v="Se tiene que realizar una vez migrado a Banco | se puede mapear la cartera de creditos -- Riesgos  / Exp Valores Transac -- Tesoreria"/>
  </r>
  <r>
    <s v="Adicionales"/>
    <x v="2"/>
    <x v="2"/>
    <s v="R26OPE"/>
    <s v="R26 Comisionistas -- R26 2610 2611 2612 2616"/>
    <s v="No mapeado"/>
    <s v="NTT"/>
    <m/>
    <m/>
    <x v="1"/>
    <s v="NA"/>
    <x v="2"/>
    <s v="Acuerdo con Erika el 18/12/24. No aplica en este momento, porque no tendremos nada de lo que solicita. "/>
    <m/>
  </r>
  <r>
    <s v="Adicionales"/>
    <x v="2"/>
    <x v="2"/>
    <s v="R26_MODULO"/>
    <s v="R26 Comisionistas -- R26 2610 2611 2612 2615"/>
    <s v="No mapeado"/>
    <s v="NTT"/>
    <m/>
    <m/>
    <x v="1"/>
    <s v="NA"/>
    <x v="2"/>
    <s v="Acuerdo con Erika el 18/12/24. No aplica en este momento, porque no tendremos nada de lo que solicita. "/>
    <m/>
  </r>
  <r>
    <s v="Adicionales"/>
    <x v="2"/>
    <x v="2"/>
    <s v="R26_COMISIONISTA"/>
    <s v="R26 Comisionistas -- R26 2610 2611 2612 2614"/>
    <s v="No mapeado"/>
    <s v="NTT"/>
    <m/>
    <m/>
    <x v="1"/>
    <s v="NA"/>
    <x v="2"/>
    <s v="Acuerdo con Erika el 18/12/24. No aplica en este momento, porque no tendremos nada de lo que solicita. "/>
    <m/>
  </r>
  <r>
    <s v="Adicionales"/>
    <x v="2"/>
    <x v="2"/>
    <s v="R26_ADMINISTRADOR"/>
    <s v="R26 Comisionistas -- R26 2610 2611 2612 2613"/>
    <s v="No mapeado"/>
    <s v="NTT"/>
    <m/>
    <m/>
    <x v="1"/>
    <s v="NA"/>
    <x v="2"/>
    <s v="Acuerdo con Erika el 18/12/24. No aplica en este momento, porque no tendremos nada de lo que solicita. "/>
    <m/>
  </r>
  <r>
    <s v="Operativos"/>
    <x v="2"/>
    <x v="2"/>
    <s v="R2441_42"/>
    <s v="Layout R2441_42_V2 --R2441 - R2442"/>
    <s v="No mapeado"/>
    <s v="NTT"/>
    <m/>
    <m/>
    <x v="1"/>
    <s v="Ext NTT"/>
    <x v="3"/>
    <s v="Este TXT ya fue entregado por NTT el 16/06 y te pase la guía para bajarlo de Transat el 27/10/25. Aún no lo conectan a ATOM. "/>
    <m/>
  </r>
  <r>
    <s v="Operativos"/>
    <x v="2"/>
    <x v="1"/>
    <s v="R2431"/>
    <s v="Layout R2431_V4 -- R24 C2431"/>
    <s v="No mapeado"/>
    <s v="NTT"/>
    <m/>
    <s v="•_x0009_El 18/12/24 le indicamos al PMO que este Layout no correspondía a Operaciones. _x000a_•_x0009_Nuevamente en la reunión del 23/07/25 volvimos a pedir que lo asignaran y el acuerdo fue el siguiente: &quot;Contabilidad se lleva a revisar el Layout y si hacen faltan campos se investiga lo que hace falta. Tanto crédito como captación&quot;, Sharon le iba a dar seguimiento. _x000a_•_x0009_Es urgente que lo asignen, anexo minuta del 23/07/25."/>
    <x v="1"/>
    <s v="Ext NTT"/>
    <x v="3"/>
    <s v="URGE ASIGNAR"/>
    <s v="El Layout R24 Serie C, no le corresponde a Operaciones, solicita información de partes relacionadas que nosotros no tenemos, favor de revisar a fondo y determinar qué área lo debe llenar."/>
  </r>
  <r>
    <s v="Cartera"/>
    <x v="3"/>
    <x v="2"/>
    <s v="R04A_SALDOS"/>
    <s v="V1.01_Credito_IFRS9_R04A -- A0411 - A0417 - A0419 - A0420 - A0424"/>
    <s v="Listo"/>
    <s v="Se tiene la estructura construida y se integraron los datos con los que se cuenta, aun no se cuenta con todo el universo(Fuentes externas"/>
    <s v="Estructura"/>
    <m/>
    <x v="3"/>
    <m/>
    <x v="1"/>
    <m/>
    <m/>
  </r>
  <r>
    <s v="Cartera"/>
    <x v="7"/>
    <x v="2"/>
    <s v="R04A_MOV_420_24"/>
    <s v="V1.01_Credito_IFRS9_R04A -- A0411 - A0417 - A0419 - A0420 - A0424 -  R04A_MOV_420_24"/>
    <s v="Mapeado incompleto"/>
    <m/>
    <m/>
    <s v="Falta info de Contabilidad"/>
    <x v="0"/>
    <m/>
    <x v="1"/>
    <m/>
    <m/>
  </r>
  <r>
    <s v="Cartera"/>
    <x v="4"/>
    <x v="4"/>
    <s v="R04A_MOV_419"/>
    <s v="V1.01_Credito_IFRS9_R04A -- A0411 - A0417 - A0419 - A0420 - A0424 -  R04A_MOV_419"/>
    <s v="Mapeado incompleto"/>
    <m/>
    <m/>
    <s v="Reasignado a Contabilidad"/>
    <x v="0"/>
    <m/>
    <x v="1"/>
    <m/>
    <m/>
  </r>
  <r>
    <s v="Adicionales"/>
    <x v="0"/>
    <x v="0"/>
    <s v="R03 E-0305 ÓRDENES"/>
    <s v="layout R03-0304-0305 E BM -- R04"/>
    <s v="Pendiente"/>
    <s v="Modulo de tesoreria"/>
    <s v="NTT"/>
    <s v="Enviar en cero"/>
    <x v="1"/>
    <s v="Ext NTT"/>
    <x v="3"/>
    <m/>
    <m/>
  </r>
  <r>
    <s v="Adicionales"/>
    <x v="0"/>
    <x v="0"/>
    <s v="R03 E-0304 ASIGNACIONES BM"/>
    <s v="layout R03-0304-0305 E BM -- R03"/>
    <s v="Pendiente"/>
    <s v="Modulo de tesoreria"/>
    <s v="NTT"/>
    <m/>
    <x v="1"/>
    <s v="NA"/>
    <x v="2"/>
    <m/>
    <m/>
  </r>
  <r>
    <s v="Operativos"/>
    <x v="2"/>
    <x v="2"/>
    <s v="PRODUCTOS CAPTACION CNBV"/>
    <s v="R2421_Prod Cap -- R2421"/>
    <s v="No mapeado"/>
    <s v="NTT"/>
    <m/>
    <m/>
    <x v="1"/>
    <s v="Ext NTT"/>
    <x v="3"/>
    <s v="Este TXT ya fue entregado por NTT el 28/05 y te pase la guía para bajarlo de Transat el 27/10/25. Aún no lo conectan a ATOM. "/>
    <m/>
  </r>
  <r>
    <s v="Adicionales"/>
    <x v="0"/>
    <x v="0"/>
    <s v="PRESTAMO DE VALORES"/>
    <s v="PRESTAMO DE VALORES_V0.1 -- PRESTAMOS"/>
    <s v="Pendiente"/>
    <s v="Modulo de tesoreria"/>
    <s v="NTT"/>
    <m/>
    <x v="1"/>
    <s v="NA"/>
    <x v="2"/>
    <m/>
    <m/>
  </r>
  <r>
    <s v="Cartera"/>
    <x v="3"/>
    <x v="2"/>
    <s v="PERSONA"/>
    <s v="V1.05_Layouts CREDITO Bancos IFRS (Comercial) (1)"/>
    <s v="Listo"/>
    <s v="Se tiene la estructura construida y se integraron los datos con los que se cuenta, aun no se cuenta con todo el universo(Fuentes externas Pantalla comercial y cualitativa individual)"/>
    <s v="Estructura"/>
    <m/>
    <x v="3"/>
    <m/>
    <x v="1"/>
    <m/>
    <m/>
  </r>
  <r>
    <s v="Operativos"/>
    <x v="1"/>
    <x v="3"/>
    <s v="PENALIZACIONES NOMINA Y PERS"/>
    <s v="CUP -- CUP"/>
    <s v="NA"/>
    <s v="NA"/>
    <m/>
    <m/>
    <x v="1"/>
    <s v="NA"/>
    <x v="2"/>
    <m/>
    <m/>
  </r>
  <r>
    <s v="Cartera"/>
    <x v="3"/>
    <x v="2"/>
    <s v="PAGOS_EXIGIBLES"/>
    <s v="V1.05_Credito_IFRS9_Consumo_Completo VF (2)"/>
    <s v="Listo"/>
    <s v="Se tiene la estructura construida y se integraron los datos con los que se cuenta, aun no se cuenta con todo el universo(Fuentes externas"/>
    <s v="Estructura"/>
    <m/>
    <x v="3"/>
    <m/>
    <x v="1"/>
    <m/>
    <m/>
  </r>
  <r>
    <s v="Captacion"/>
    <x v="2"/>
    <x v="2"/>
    <s v="OperacionesOEMN"/>
    <s v="LayoutOEMN_v3"/>
    <s v="No mapeado"/>
    <s v="NTT"/>
    <m/>
    <s v="No lo tenemos asignado a Operaciones en la matriz inicial de regulatorios del 05/09/24.  "/>
    <x v="1"/>
    <s v="Ext NTT"/>
    <x v="3"/>
    <s v="URGE ASIGNAR"/>
    <m/>
  </r>
  <r>
    <s v="Adicionales"/>
    <x v="1"/>
    <x v="1"/>
    <s v="OPERACIONES DE CLIENTES BE"/>
    <s v="R1523_24_OPERACIONES DE CLIENTES BE_V0.4 -- R15 1523 1524"/>
    <s v="No mapeado"/>
    <m/>
    <m/>
    <m/>
    <x v="0"/>
    <m/>
    <x v="1"/>
    <m/>
    <m/>
  </r>
  <r>
    <s v="Operativos"/>
    <x v="1"/>
    <x v="3"/>
    <s v="Moratoria CNR"/>
    <s v="CUP -- CUP"/>
    <s v="NA"/>
    <s v="NA"/>
    <m/>
    <m/>
    <x v="1"/>
    <s v="NA"/>
    <x v="2"/>
    <m/>
    <m/>
  </r>
  <r>
    <s v="Adicionales"/>
    <x v="0"/>
    <x v="0"/>
    <s v="MODIF_TASAPREMIO"/>
    <s v="Layout_REPORTOS_MN_ME_V7_2024 -- REPORTOS"/>
    <s v="Pendiente"/>
    <s v="Modulo de tesoreria"/>
    <s v="NTT"/>
    <m/>
    <x v="0"/>
    <s v="Ext NTT"/>
    <x v="0"/>
    <s v="Layout_REPORTOS_MN_ME_V7 -- REPORTOS"/>
    <s v="modif nomb layout"/>
  </r>
  <r>
    <s v="Adicionales"/>
    <x v="8"/>
    <x v="6"/>
    <s v="MERCANCIAS_RC"/>
    <s v="LAYOUT MERCANCIAS_RCS -- RC17"/>
    <s v="No mapeado"/>
    <s v="Lo trabaja Bajaware"/>
    <m/>
    <m/>
    <x v="1"/>
    <s v="Ext Bajaware"/>
    <x v="3"/>
    <m/>
    <m/>
  </r>
  <r>
    <s v="Captacion"/>
    <x v="1"/>
    <x v="3"/>
    <s v="MDEF_SUC Y CAJAS GRALES"/>
    <s v="Layouts MDEF -- MDEF"/>
    <s v="Listo"/>
    <s v="VoBo Dado por el usuario (No se cuenta con informacion)"/>
    <s v="Estructura"/>
    <m/>
    <x v="2"/>
    <m/>
    <x v="1"/>
    <m/>
    <m/>
  </r>
  <r>
    <s v="Captacion"/>
    <x v="1"/>
    <x v="3"/>
    <s v="MDEF_CAJEROS PROPIOS"/>
    <s v="Layouts MDEF -- MDEF"/>
    <s v="NA"/>
    <s v="NA"/>
    <m/>
    <m/>
    <x v="1"/>
    <s v="NA"/>
    <x v="2"/>
    <m/>
    <m/>
  </r>
  <r>
    <s v="Captacion"/>
    <x v="1"/>
    <x v="3"/>
    <s v="MDEF_CAJEROS EXTERNOS"/>
    <s v="Layouts MDEF -- MDEF"/>
    <s v="NA"/>
    <s v="NA"/>
    <m/>
    <m/>
    <x v="1"/>
    <s v="NA"/>
    <x v="2"/>
    <m/>
    <m/>
  </r>
  <r>
    <s v="Captacion"/>
    <x v="1"/>
    <x v="3"/>
    <s v="MDEF_BOVEDAS PROPIAS"/>
    <s v="Layouts MDEF -- MDEF"/>
    <s v="NA"/>
    <s v="NA"/>
    <m/>
    <m/>
    <x v="1"/>
    <s v="NA"/>
    <x v="2"/>
    <m/>
    <m/>
  </r>
  <r>
    <s v="Captacion"/>
    <x v="1"/>
    <x v="3"/>
    <s v="MDEF_BOVEDAS EXTERNAS"/>
    <s v="Layouts MDEF -- MDEF"/>
    <s v="NA"/>
    <s v="NA"/>
    <m/>
    <m/>
    <x v="1"/>
    <s v="NA"/>
    <x v="2"/>
    <m/>
    <m/>
  </r>
  <r>
    <s v="Cartera"/>
    <x v="3"/>
    <x v="2"/>
    <s v="LINEA CREDITO"/>
    <s v="V1.05_Layouts CREDITO Bancos IFRS (Comercial) (1)"/>
    <s v="Listo"/>
    <s v="Se tiene la estructura construida y se integraron los datos con los que se cuenta, aun no se cuenta con todo el universo(Fuentes externas Pantalla comercial)"/>
    <s v="Estructura"/>
    <m/>
    <x v="3"/>
    <m/>
    <x v="1"/>
    <m/>
    <m/>
  </r>
  <r>
    <s v="Situacion Finaciera"/>
    <x v="4"/>
    <x v="4"/>
    <s v="INVERSIONES PERMANENTES"/>
    <s v="R1230_Contables_IFRS9_Inversiones_Permanentes_V1"/>
    <s v="Por iniciar"/>
    <s v="Se requiere recepcion de requerimiento y Excel. (Usuario)"/>
    <m/>
    <s v="Validar con usuario si aplican"/>
    <x v="4"/>
    <m/>
    <x v="1"/>
    <s v="Solo falta confirmación si la fuente es excel"/>
    <m/>
  </r>
  <r>
    <s v="Situacion Finaciera"/>
    <x v="4"/>
    <x v="4"/>
    <s v="INTEGRACION ACCIONARIA"/>
    <s v="R1411_INT. ACC -- R1411"/>
    <s v="Listo"/>
    <s v="Revision de txt por parte del usuario "/>
    <s v="Estructura y universo"/>
    <s v="Falta VoBo ultima Modif decimales col 13"/>
    <x v="2"/>
    <m/>
    <x v="1"/>
    <m/>
    <m/>
  </r>
  <r>
    <s v="Adicionales"/>
    <x v="2"/>
    <x v="2"/>
    <s v="INFIMP"/>
    <s v="Layout INFIMP -- INFIMP"/>
    <s v="NA"/>
    <s v="NA"/>
    <m/>
    <m/>
    <x v="1"/>
    <s v="NA"/>
    <x v="2"/>
    <m/>
    <m/>
  </r>
  <r>
    <s v="Situacion Finaciera"/>
    <x v="4"/>
    <x v="4"/>
    <s v="IMPUESTOS"/>
    <s v="R07_Imp Dif -- R07"/>
    <s v="Listo"/>
    <s v="Se requiere recepcion de requerimiento y Excel. (Usuario)"/>
    <m/>
    <s v="Duda US ¿Cuál sería la mecánica para la generación de este reporte?"/>
    <x v="2"/>
    <m/>
    <x v="1"/>
    <m/>
    <m/>
  </r>
  <r>
    <s v="Cartera"/>
    <x v="3"/>
    <x v="2"/>
    <s v="HIPOTECARIO"/>
    <s v="V1.05_Layouts CREDITO Bancos IFRS (Hipotecario Simplificado) (1)- HIPOTECARIO"/>
    <s v="Listo"/>
    <s v="Se tiene la estructura construida y se integraron los datos con los que se cuenta, aun no se cuenta con todo el universo(Fuentes externas"/>
    <s v="Estructura"/>
    <m/>
    <x v="3"/>
    <m/>
    <x v="1"/>
    <m/>
    <m/>
  </r>
  <r>
    <s v="Cartera"/>
    <x v="3"/>
    <x v="2"/>
    <s v="GARANTIA_CONSUMO"/>
    <s v="V1.05_Credito_IFRS9_Consumo_Completo VF (2)"/>
    <s v="NA"/>
    <s v="NA"/>
    <m/>
    <m/>
    <x v="1"/>
    <s v="NA"/>
    <x v="2"/>
    <m/>
    <m/>
  </r>
  <r>
    <s v="Cartera"/>
    <x v="3"/>
    <x v="2"/>
    <s v="GARANTIA"/>
    <s v="V1.05_Layouts CREDITO Bancos IFRS (Comercial) (1)"/>
    <s v="Listo"/>
    <s v="Se tiene la estructura construida y se integraron los datos con los que se cuenta, aun no se cuenta con todo el universo(Fuentes externas Pantalla comercial)"/>
    <s v="Estructura"/>
    <s v="PRELACION_GAR campo pendiente MAPEO | US revisa info restante"/>
    <x v="4"/>
    <m/>
    <x v="1"/>
    <s v="3a vuelta obs US"/>
    <m/>
  </r>
  <r>
    <s v="Adicionales"/>
    <x v="8"/>
    <x v="6"/>
    <s v="GAMMA_VEGA"/>
    <s v="LAYOUT GAMMA_VEGA_V2 -- RC18"/>
    <s v="No mapeado"/>
    <s v="Lo trabaja Bajaware"/>
    <m/>
    <m/>
    <x v="1"/>
    <s v="Ext Bajaware"/>
    <x v="3"/>
    <m/>
    <m/>
  </r>
  <r>
    <s v="Captacion"/>
    <x v="0"/>
    <x v="0"/>
    <s v="FT_TPA"/>
    <s v="Layout TPA BW_v2 -- TPA"/>
    <s v="Pendiente"/>
    <s v="Modulo de tesoreria"/>
    <s v="Estructura"/>
    <s v="VoBo sobre estructura"/>
    <x v="3"/>
    <s v="Ext NTT"/>
    <x v="1"/>
    <m/>
    <m/>
  </r>
  <r>
    <s v="Mercados"/>
    <x v="0"/>
    <x v="0"/>
    <s v="FT_TENENCIA"/>
    <s v="LayoutTenencia_V2 -- TENENCIA - REPORTOS"/>
    <s v="Pendiente"/>
    <s v="Modulo de tesoreria"/>
    <s v="NTT"/>
    <m/>
    <x v="0"/>
    <s v="Ext NTT"/>
    <x v="0"/>
    <m/>
    <m/>
  </r>
  <r>
    <s v="Mercados"/>
    <x v="0"/>
    <x v="0"/>
    <s v="FT_REPORTOS_CDA"/>
    <s v="Layout_REPORTOS_CDA -- REPORTOS"/>
    <s v="Pendiente"/>
    <s v="Modulo de tesoreria"/>
    <s v="NTT"/>
    <s v="Marcados originalmente como NA"/>
    <x v="0"/>
    <s v="Ext NTT"/>
    <x v="0"/>
    <m/>
    <m/>
  </r>
  <r>
    <s v="Mercados"/>
    <x v="0"/>
    <x v="0"/>
    <s v="FT_REPORTOS"/>
    <s v="Layout_REPORTOS_MN_ME_V3"/>
    <s v="Pendiente"/>
    <s v="Modulo de tesoreria"/>
    <s v="NTT"/>
    <m/>
    <x v="0"/>
    <s v="Ext NTT"/>
    <x v="0"/>
    <m/>
    <m/>
  </r>
  <r>
    <s v="Operativos"/>
    <x v="2"/>
    <x v="2"/>
    <s v="FT_R2911"/>
    <s v="Layout R29 V2 -- R2911"/>
    <s v="No mapeado"/>
    <s v="NTT"/>
    <m/>
    <m/>
    <x v="1"/>
    <s v="NA"/>
    <x v="2"/>
    <s v="Acuerdo con Erika el 18/12/24. No aplica en este momento por que este Layout es a la medida, por cada caso, con información de contraloría, en Transact no tendremos nada."/>
    <m/>
  </r>
  <r>
    <s v="Mercados"/>
    <x v="0"/>
    <x v="0"/>
    <s v="FT_PAC_II"/>
    <s v="Layout_PACII_V1 -- PAC"/>
    <s v="Pendiente"/>
    <s v="Modulo de tesoreria"/>
    <s v="NTT"/>
    <s v="Marcados originalmente como NA"/>
    <x v="1"/>
    <s v="Ext NTT"/>
    <x v="3"/>
    <s v="Layout_PACII_V1 -- PAC RC05"/>
    <s v="nombre layour modifcado"/>
  </r>
  <r>
    <s v="Mercados"/>
    <x v="0"/>
    <x v="0"/>
    <s v="FT_CVT_TR"/>
    <s v="Layout_CVT_TR_V2"/>
    <s v="Pendiente"/>
    <s v="Modulo de tesoreria"/>
    <s v="NTT"/>
    <m/>
    <x v="0"/>
    <s v="Ext NTT"/>
    <x v="0"/>
    <m/>
    <m/>
  </r>
  <r>
    <s v="Mercados"/>
    <x v="0"/>
    <x v="0"/>
    <s v="FT_CVT_IN"/>
    <s v="Layout_CVT_IN_V2 -- CVT"/>
    <s v="Pendiente"/>
    <s v="Modulo de tesoreria"/>
    <s v="NTT"/>
    <m/>
    <x v="0"/>
    <s v="Ext NTT"/>
    <x v="0"/>
    <m/>
    <m/>
  </r>
  <r>
    <s v="Mercados"/>
    <x v="0"/>
    <x v="0"/>
    <s v="FT_CVT"/>
    <s v="Layout_CVT_MN_ME_V3 -- CVT - RCs - TENENCIA"/>
    <s v="Pendiente"/>
    <s v="Modulo de tesoreria"/>
    <s v="NTT"/>
    <m/>
    <x v="0"/>
    <s v="Ext NTT"/>
    <x v="0"/>
    <m/>
    <m/>
  </r>
  <r>
    <s v="Adicionales"/>
    <x v="9"/>
    <x v="1"/>
    <s v="FT_ACLME_X"/>
    <s v="Layout ACLME_X_V1 -- ACLME"/>
    <s v="Pendiente"/>
    <s v="Modulo de tesoreria"/>
    <s v="NTT"/>
    <m/>
    <x v="1"/>
    <s v="Ext NTT"/>
    <x v="4"/>
    <m/>
    <m/>
  </r>
  <r>
    <s v="Situacion Finaciera"/>
    <x v="4"/>
    <x v="4"/>
    <s v="FLUJOS Y VARIACIONES"/>
    <s v="R13A_FLUJOS Y VARIACIONES -- R13A"/>
    <s v="Por iniciar"/>
    <s v="Se requiere recepcion de requerimiento y Excel. (Usuario)"/>
    <m/>
    <s v="US envía Difs 20250901"/>
    <x v="2"/>
    <m/>
    <x v="1"/>
    <m/>
    <m/>
  </r>
  <r>
    <s v="Riesgos"/>
    <x v="6"/>
    <x v="6"/>
    <s v="FILE_TITULOS_DEUDA"/>
    <s v="LAYOUTS_RCS_v2 -- RC01 - RC03 - RC04 - RC07 - RC08 - RC02 - RC06A"/>
    <s v="No mapeado"/>
    <s v="Lo trabaja Bajaware"/>
    <m/>
    <m/>
    <x v="1"/>
    <s v="Ext Bajaware"/>
    <x v="3"/>
    <m/>
    <m/>
  </r>
  <r>
    <s v="Adicionales"/>
    <x v="9"/>
    <x v="1"/>
    <s v="FILE_TIPOCAMBIO_DIARIO"/>
    <s v="Layout_Tipos de Cambio Diario_v2 -- ACLME"/>
    <s v="Pendiente"/>
    <s v="Modulo de tesoreria"/>
    <s v="NTT"/>
    <m/>
    <x v="1"/>
    <s v="Ext NTT"/>
    <x v="4"/>
    <m/>
    <m/>
  </r>
  <r>
    <s v="Mercados"/>
    <x v="0"/>
    <x v="0"/>
    <s v="FILE_TENENCIA_PRECIO"/>
    <s v="CORE_LayoutTenenciaAdicional_v3.2 -- TENENCIA"/>
    <s v="Pendiente"/>
    <s v="Modulo de tesoreria"/>
    <s v="NTT"/>
    <m/>
    <x v="0"/>
    <s v="Ext NTT"/>
    <x v="0"/>
    <m/>
    <m/>
  </r>
  <r>
    <s v="Captacion"/>
    <x v="2"/>
    <x v="2"/>
    <s v="FILE_SISPAGOS"/>
    <s v="Layout SISPAGOS BW -- SISPAGOS"/>
    <s v="Listo"/>
    <s v="Ntt, ya se reviso txt por usuario VoBo Estructura"/>
    <s v="Estructura y universo"/>
    <m/>
    <x v="3"/>
    <m/>
    <x v="1"/>
    <s v="Se requiera info actualizada congelando sistema para validacion"/>
    <m/>
  </r>
  <r>
    <s v="Riesgos"/>
    <x v="6"/>
    <x v="6"/>
    <s v="FILE_RC19_INSUMO"/>
    <s v="LAYOUTS_RCS_v2 -- RC01 - RC03 - RC04 - RC07 - RC08 - RC02 - RC06A"/>
    <s v="No mapeado"/>
    <s v="Lo trabaja Bajaware"/>
    <m/>
    <m/>
    <x v="1"/>
    <s v="Ext Bajaware"/>
    <x v="3"/>
    <m/>
    <m/>
  </r>
  <r>
    <s v="Riesgos"/>
    <x v="6"/>
    <x v="6"/>
    <s v="FILE_RC08_INT_ACC"/>
    <s v="LAYOUTS_RCS_v2 -- RC01 - RC03 - RC04 - RC07 - RC08 - RC02 - RC06A"/>
    <s v="No mapeado"/>
    <s v="Lo trabaja Bajaware"/>
    <m/>
    <m/>
    <x v="1"/>
    <s v="Ext Bajaware"/>
    <x v="3"/>
    <m/>
    <m/>
  </r>
  <r>
    <s v="Riesgos"/>
    <x v="6"/>
    <x v="6"/>
    <s v="FILE_RC06A_DERIVADOS_TEMP"/>
    <s v="LAYOUTS_RCS_v2 -- RC01 - RC03 - RC04 - RC07 - RC08 - RC02 - RC06A"/>
    <s v="No mapeado"/>
    <s v="Lo trabaja Bajaware"/>
    <m/>
    <m/>
    <x v="1"/>
    <s v="Ext Bajaware"/>
    <x v="3"/>
    <m/>
    <m/>
  </r>
  <r>
    <s v="Riesgos"/>
    <x v="6"/>
    <x v="6"/>
    <s v="FILE_RC_CTACOB_INSUMO"/>
    <s v="LAYOUTS_RCS_v2 -- RC01 - RC03 - RC04 - RC07 - RC08 - RC02 - RC06A"/>
    <s v="No mapeado"/>
    <s v="Lo trabaja Bajaware"/>
    <m/>
    <m/>
    <x v="1"/>
    <s v="Ext Bajaware"/>
    <x v="3"/>
    <m/>
    <m/>
  </r>
  <r>
    <s v="Adicionales"/>
    <x v="6"/>
    <x v="6"/>
    <s v="FILE_R01_PAGOS_ANT"/>
    <s v="LAYOUTS_RCS_v5"/>
    <s v="No mapeado"/>
    <s v="Lo trabaja Bajaware"/>
    <m/>
    <m/>
    <x v="1"/>
    <s v="Ext Bajaware"/>
    <x v="3"/>
    <m/>
    <m/>
  </r>
  <r>
    <s v="Mercados"/>
    <x v="0"/>
    <x v="0"/>
    <s v="FILE_PAC_I"/>
    <s v="Layout_PACI_V2 -- PAC"/>
    <s v="Pendiente"/>
    <s v="Modulo de tesoreria"/>
    <s v="NTT"/>
    <s v="Marcados originalmente como NA"/>
    <x v="1"/>
    <s v="Ext NTT"/>
    <x v="3"/>
    <m/>
    <m/>
  </r>
  <r>
    <s v="Adicionales"/>
    <x v="0"/>
    <x v="0"/>
    <s v="FILE_OPTO_X"/>
    <s v="Layout_OPTO_V3 -- OPTO"/>
    <s v="Pendiente"/>
    <s v="Modulo de tesoreria"/>
    <s v="NTT"/>
    <s v="Marcados originalmente como NA"/>
    <x v="0"/>
    <s v="Ext NTT"/>
    <x v="0"/>
    <m/>
    <m/>
  </r>
  <r>
    <s v="Adicionales"/>
    <x v="0"/>
    <x v="0"/>
    <s v="FILE_OPTO_VIII_CONVO"/>
    <s v="Layout_OPTO_V3 -- OPTO"/>
    <s v="Pendiente"/>
    <s v="Modulo de tesoreria"/>
    <s v="NTT"/>
    <s v="Marcados originalmente como NA"/>
    <x v="0"/>
    <s v="Ext NTT"/>
    <x v="0"/>
    <m/>
    <m/>
  </r>
  <r>
    <s v="Adicionales"/>
    <x v="0"/>
    <x v="0"/>
    <s v="FILE_OPTO_MEREC_CONVO"/>
    <s v="Layout_OPTO_V3 -- OPTO"/>
    <s v="Pendiente"/>
    <s v="Modulo de tesoreria"/>
    <s v="NTT"/>
    <m/>
    <x v="0"/>
    <s v="Ext NTT"/>
    <x v="0"/>
    <m/>
    <m/>
  </r>
  <r>
    <s v="Adicionales"/>
    <x v="0"/>
    <x v="0"/>
    <s v="FILE_OPTO_IX_COM"/>
    <s v="Layout_OPTO_V3 -- OPTO"/>
    <s v="Pendiente"/>
    <s v="Modulo de tesoreria"/>
    <s v="NTT"/>
    <s v="Marcados originalmente como NA"/>
    <x v="0"/>
    <s v="Ext NTT"/>
    <x v="0"/>
    <m/>
    <m/>
  </r>
  <r>
    <s v="Adicionales"/>
    <x v="0"/>
    <x v="0"/>
    <s v="FILE_OPTO_IX"/>
    <s v="Layout_OPTO_V3 -- OPTO"/>
    <s v="Pendiente"/>
    <s v="Modulo de tesoreria"/>
    <s v="NTT"/>
    <s v="Marcados originalmente como NA"/>
    <x v="0"/>
    <s v="Ext NTT"/>
    <x v="0"/>
    <m/>
    <m/>
  </r>
  <r>
    <s v="Adicionales"/>
    <x v="0"/>
    <x v="0"/>
    <s v="FILE_OPTO_III"/>
    <s v="Layout_OPTO_V3 -- OPTO"/>
    <s v="Pendiente"/>
    <s v="Modulo de tesoreria"/>
    <s v="NTT"/>
    <m/>
    <x v="0"/>
    <s v="Ext NTT"/>
    <x v="0"/>
    <m/>
    <m/>
  </r>
  <r>
    <s v="Adicionales"/>
    <x v="0"/>
    <x v="0"/>
    <s v="FILE_OPTO_II_COM"/>
    <s v="Layout_OPTO_V3 -- OPTO"/>
    <s v="Pendiente"/>
    <s v="Modulo de tesoreria"/>
    <s v="NTT"/>
    <m/>
    <x v="0"/>
    <s v="Ext NTT"/>
    <x v="0"/>
    <m/>
    <m/>
  </r>
  <r>
    <s v="Adicionales"/>
    <x v="0"/>
    <x v="0"/>
    <s v="FILE_OPTO_II"/>
    <s v="Layout_OPTO_V3 -- OPTO"/>
    <s v="Pendiente"/>
    <s v="Modulo de tesoreria"/>
    <s v="NTT"/>
    <m/>
    <x v="0"/>
    <s v="Ext NTT"/>
    <x v="0"/>
    <m/>
    <m/>
  </r>
  <r>
    <s v="Adicionales"/>
    <x v="0"/>
    <x v="0"/>
    <s v="FILE_OPTO_I"/>
    <s v="Layout_OPTO_V3 -- OPTO"/>
    <s v="Pendiente"/>
    <s v="Modulo de tesoreria"/>
    <s v="NTT"/>
    <m/>
    <x v="0"/>
    <s v="Ext NTT"/>
    <x v="0"/>
    <m/>
    <m/>
  </r>
  <r>
    <s v="Adicionales"/>
    <x v="0"/>
    <x v="0"/>
    <s v="FILE_OPTO_CONVO"/>
    <s v="Layout_OPTO_V3 -- OPTO"/>
    <s v="Pendiente"/>
    <s v="Modulo de tesoreria"/>
    <s v="NTT"/>
    <m/>
    <x v="0"/>
    <s v="Ext NTT"/>
    <x v="0"/>
    <m/>
    <m/>
  </r>
  <r>
    <s v="Adicionales"/>
    <x v="0"/>
    <x v="0"/>
    <s v="FILE_OFF_FX_DDMMAA"/>
    <s v="Layout OFF_FX_V7 -- OFF"/>
    <s v="Pendiente"/>
    <s v="Modulo de tesoreria"/>
    <s v="NTT"/>
    <m/>
    <x v="0"/>
    <s v="Ext NTT"/>
    <x v="0"/>
    <m/>
    <m/>
  </r>
  <r>
    <s v="Adicionales"/>
    <x v="0"/>
    <x v="0"/>
    <s v="FILE_OFF_CONVAL"/>
    <s v="Layout OFF_FX_V7 -- OFF"/>
    <s v="Pendiente"/>
    <s v="Modulo de tesoreria"/>
    <s v="NTT"/>
    <m/>
    <x v="0"/>
    <s v="Ext NTT"/>
    <x v="0"/>
    <m/>
    <m/>
  </r>
  <r>
    <s v="Captacion"/>
    <x v="2"/>
    <x v="2"/>
    <s v="FILE_OCIM_II"/>
    <s v="Layout OCIM_II_Activas_V3 -- OCIMN_II - OCIME_II"/>
    <s v="NA"/>
    <s v="NA"/>
    <m/>
    <m/>
    <x v="1"/>
    <s v="NA"/>
    <x v="2"/>
    <m/>
    <m/>
  </r>
  <r>
    <s v="Captacion"/>
    <x v="2"/>
    <x v="2"/>
    <s v="FILE_OCIM_I"/>
    <s v="Layout OCIM_Diario_V1 -- OCIMN_I - OCIME_I"/>
    <s v="NA"/>
    <s v="NA"/>
    <m/>
    <m/>
    <x v="1"/>
    <s v="NA"/>
    <x v="2"/>
    <m/>
    <m/>
  </r>
  <r>
    <s v="Liquidez"/>
    <x v="0"/>
    <x v="0"/>
    <s v="FILE_ML"/>
    <s v="Layout ML-4 -- ML"/>
    <s v="Pendiente"/>
    <s v="Modulo de tesoreria"/>
    <s v="NTT"/>
    <m/>
    <x v="1"/>
    <s v="Ext NTT"/>
    <x v="4"/>
    <m/>
    <m/>
  </r>
  <r>
    <s v="Adicionales"/>
    <x v="0"/>
    <x v="0"/>
    <s v="FILE_GARANTIAS_IV"/>
    <s v="Layout_Garantias_V1 - GARANTIAS"/>
    <s v="Pendiente"/>
    <s v="Modulo de tesoreria"/>
    <s v="NTT"/>
    <s v="No es Scope iniical RMC, asignado a Tesoreria"/>
    <x v="0"/>
    <s v="Ext NTT"/>
    <x v="4"/>
    <m/>
    <m/>
  </r>
  <r>
    <s v="Adicionales"/>
    <x v="0"/>
    <x v="0"/>
    <s v="FILE_GARANTIAS_III"/>
    <s v="Layout_Garantias_V1 - GARANTIAS"/>
    <s v="Pendiente"/>
    <s v="Modulo de tesoreria"/>
    <s v="NTT"/>
    <s v="No es Scope iniical RMC, asignado a Tesoreria"/>
    <x v="0"/>
    <s v="Ext NTT"/>
    <x v="4"/>
    <m/>
    <m/>
  </r>
  <r>
    <s v="Adicionales"/>
    <x v="0"/>
    <x v="0"/>
    <s v="FILE_GARANTIAS_II"/>
    <s v="Layout_Garantias_V1 - GARANTIAS"/>
    <s v="Pendiente"/>
    <s v="Modulo de tesoreria"/>
    <s v="NTT"/>
    <s v="No es Scope iniical RMC, asignado a Tesoreria"/>
    <x v="0"/>
    <s v="Ext NTT"/>
    <x v="4"/>
    <m/>
    <m/>
  </r>
  <r>
    <s v="Adicionales"/>
    <x v="0"/>
    <x v="0"/>
    <s v="FILE_GARANTIAS_I"/>
    <s v="Layout_Garantias_V1 - GARANTIAS"/>
    <s v="Pendiente"/>
    <s v="Modulo de tesoreria"/>
    <s v="NTT"/>
    <s v="No es Scope iniical RMC, asignado a Tesoreria"/>
    <x v="0"/>
    <s v="Ext NTT"/>
    <x v="4"/>
    <m/>
    <m/>
  </r>
  <r>
    <s v="Adicionales"/>
    <x v="0"/>
    <x v="0"/>
    <s v="FILE_FUT_CONVAL"/>
    <s v="Layout OFF_FX_V7 -- OFF"/>
    <s v="Pendiente"/>
    <s v="Modulo de tesoreria"/>
    <s v="NTT"/>
    <m/>
    <x v="0"/>
    <s v="Ext NTT"/>
    <x v="0"/>
    <m/>
    <m/>
  </r>
  <r>
    <s v="Mercados"/>
    <x v="0"/>
    <x v="0"/>
    <s v="FILE_CVT_TRP"/>
    <s v="Layout_CVT_TRP_V2"/>
    <s v="Pendiente"/>
    <s v="Modulo de tesoreria"/>
    <s v="NTT"/>
    <m/>
    <x v="0"/>
    <s v="Ext NTT"/>
    <x v="0"/>
    <m/>
    <m/>
  </r>
  <r>
    <s v="Adicionales"/>
    <x v="0"/>
    <x v="0"/>
    <s v="FILE_CONTRAPARTES"/>
    <s v="Layout_CONTRAPARTES_v5 -- CONTRAPARTES"/>
    <s v="Pendiente"/>
    <s v="Modulo de tesoreria"/>
    <s v="NTT"/>
    <m/>
    <x v="0"/>
    <s v="Ext NTT"/>
    <x v="0"/>
    <m/>
    <m/>
  </r>
  <r>
    <s v="Adicionales"/>
    <x v="6"/>
    <x v="6"/>
    <s v="FILE_CFEN"/>
    <s v="LAYOUT CFEN-3"/>
    <s v="No mapeado"/>
    <s v="Se esta relizando ampeado por parte del usuario "/>
    <s v="Estructura y universo"/>
    <m/>
    <x v="0"/>
    <m/>
    <x v="4"/>
    <s v="Dep otra Area"/>
    <s v="info del balance mucha cuentas se sacara info de los activos de cartera de credito, el resto / Tesoreria / Captacion / Riesgos --- solo Cartera de Credito"/>
  </r>
  <r>
    <s v="Riesgos"/>
    <x v="6"/>
    <x v="6"/>
    <s v="FILE_CARTERA_LINEA"/>
    <s v="LAYOUTS_RCS_v2 -- RC01 - RC03 - RC04 - RC07 - RC08 - RC02 - RC06A"/>
    <s v="No mapeado"/>
    <s v="Lo trabaja Bajaware"/>
    <m/>
    <m/>
    <x v="1"/>
    <s v="Ext Bajaware"/>
    <x v="3"/>
    <m/>
    <m/>
  </r>
  <r>
    <s v="Riesgos"/>
    <x v="6"/>
    <x v="6"/>
    <s v="FILE_CARTERA"/>
    <s v="LAYOUTS_RCS_v2 -- RC01 - RC03 - RC04 - RC07 - RC08 - RC02 - RC06A"/>
    <s v="No mapeado"/>
    <s v="Lo trabaja Bajaware"/>
    <m/>
    <m/>
    <x v="1"/>
    <s v="Ext Bajaware"/>
    <x v="3"/>
    <m/>
    <m/>
  </r>
  <r>
    <s v="Captacion"/>
    <x v="2"/>
    <x v="2"/>
    <s v="FILE_CAPTACION"/>
    <s v="Layout Captacion_V3 -- CRI - R08 - OCIM_II"/>
    <s v="Listo"/>
    <s v="Ntt, ya se reviso txt por usuario VoBo Estructura"/>
    <s v="Estructura y universo"/>
    <s v="20260108 -- NTT franja fronteriza en cero ION reenvió catalogo"/>
    <x v="3"/>
    <s v="Ext NTT"/>
    <x v="1"/>
    <s v="Se requiera info actualizada congelando sistema para validacion"/>
    <s v="Riesgo por aparente error en catálogo de Tipo Operación"/>
  </r>
  <r>
    <s v="Riesgos"/>
    <x v="6"/>
    <x v="6"/>
    <s v="FILE_ACLME_OPE_VIG"/>
    <s v="LAYOUTS_RCS_v2 -- RC01 - RC03 - RC04 - RC07 - RC08 - RC02 - RC06A"/>
    <s v="No mapeado"/>
    <s v="Lo trabaja Bajaware"/>
    <m/>
    <m/>
    <x v="1"/>
    <s v="Ext Bajaware"/>
    <x v="3"/>
    <m/>
    <m/>
  </r>
  <r>
    <s v="Adicionales"/>
    <x v="9"/>
    <x v="1"/>
    <s v="FILE_ACLME_CONCEPTOSFIJOS_DDMMAA"/>
    <s v="Layout_ACLME_ConceptosFijos_v3 -- ACLME"/>
    <s v="Pendiente"/>
    <s v="Modulo de tesoreria"/>
    <s v="NTT"/>
    <m/>
    <x v="1"/>
    <s v="Ext NTT"/>
    <x v="4"/>
    <m/>
    <m/>
  </r>
  <r>
    <s v="Adicionales"/>
    <x v="9"/>
    <x v="1"/>
    <s v="FILE_ACLME_AJUSTES_DDMMAA"/>
    <s v="ACLME_Ajustes_V3 -- ACLME"/>
    <s v="Pendiente"/>
    <s v="Modulo de tesoreria"/>
    <s v="NTT"/>
    <m/>
    <x v="1"/>
    <s v="Ext NTT"/>
    <x v="4"/>
    <s v="No se localiza catalog: CONCEPTOS_AJUSTES_ACLME"/>
    <m/>
  </r>
  <r>
    <s v="Adicionales"/>
    <x v="9"/>
    <x v="1"/>
    <s v="FILE_ACLME"/>
    <s v="Layout_ACLME_SECCION_I_V_v3 -- ACLME"/>
    <s v="Pendiente"/>
    <s v="Modulo de tesoreria"/>
    <s v="NTT"/>
    <m/>
    <x v="1"/>
    <s v="Ext NTT"/>
    <x v="4"/>
    <m/>
    <m/>
  </r>
  <r>
    <s v="Riesgos"/>
    <x v="6"/>
    <x v="6"/>
    <s v="EVENTOS ROP"/>
    <s v="R2812_EVENTOS ROP_V0.4 -- R2812"/>
    <s v="Listo"/>
    <s v="Revision de txt por parte del usuario "/>
    <s v="Estructura y universo"/>
    <s v="20250829 Us envía Obs"/>
    <x v="2"/>
    <m/>
    <x v="1"/>
    <s v="x"/>
    <s v="2 vuelta"/>
  </r>
  <r>
    <s v="Operativos"/>
    <x v="1"/>
    <x v="3"/>
    <s v="Est Prod Deposito"/>
    <s v="CUP -- CUP"/>
    <s v="Listo"/>
    <s v="VoBo Dado por el usuario (No se cuenta con informacion)"/>
    <s v="Estructura"/>
    <m/>
    <x v="2"/>
    <m/>
    <x v="1"/>
    <m/>
    <m/>
  </r>
  <r>
    <s v="Situacion Finaciera"/>
    <x v="4"/>
    <x v="4"/>
    <s v="ENT_CUOTAS_IPAB_DEF"/>
    <s v="Layout IPAB_V3 - IPAB"/>
    <s v="Por iniciar"/>
    <s v="Se requiere recepcion de requerimiento y Excel. (Usuario)"/>
    <m/>
    <m/>
    <x v="0"/>
    <m/>
    <x v="1"/>
    <m/>
    <m/>
  </r>
  <r>
    <s v="Captacion"/>
    <x v="2"/>
    <x v="2"/>
    <s v="ENT_CAJA_CAPTACION"/>
    <s v="Layout CCV BW -- CCV"/>
    <s v="Listo"/>
    <s v="Ntt, ya se reviso txt por usuario VoBo"/>
    <s v="Estructura y universo"/>
    <s v="Validar con usuario si aplican"/>
    <x v="2"/>
    <m/>
    <x v="1"/>
    <s v="Se menciona a NTT"/>
    <m/>
  </r>
  <r>
    <s v="Situacion Finaciera"/>
    <x v="4"/>
    <x v="4"/>
    <s v="ELIMINACIONES"/>
    <s v="R12_ELIMINACIONES -- R12A"/>
    <s v="Por iniciar"/>
    <s v="Se requiere recepcion de requerimiento y Excel. (Usuario)"/>
    <s v="Estructura"/>
    <s v="Validar con usuario si aplican"/>
    <x v="2"/>
    <m/>
    <x v="1"/>
    <s v="Info en caso de Subsidiarias /Valida Estructura"/>
    <m/>
  </r>
  <r>
    <s v="Operativos"/>
    <x v="1"/>
    <x v="3"/>
    <s v="Elegibilidad Deposito"/>
    <s v="CUP -- CUP"/>
    <s v="Listo"/>
    <s v="VoBo Dado por el usuario (No se cuenta con informacion)"/>
    <s v="Estructura"/>
    <m/>
    <x v="2"/>
    <m/>
    <x v="1"/>
    <m/>
    <m/>
  </r>
  <r>
    <s v="Operativos"/>
    <x v="1"/>
    <x v="3"/>
    <s v="Elegibilidad CNR"/>
    <s v="CUP -- CUP"/>
    <s v="NA"/>
    <s v="NA"/>
    <m/>
    <m/>
    <x v="1"/>
    <s v="NA"/>
    <x v="2"/>
    <m/>
    <m/>
  </r>
  <r>
    <s v="Operativos"/>
    <x v="1"/>
    <x v="3"/>
    <s v="DIN PERSONAL"/>
    <s v="CUP -- CUP"/>
    <s v="NA"/>
    <s v="NA"/>
    <m/>
    <m/>
    <x v="1"/>
    <s v="NA"/>
    <x v="2"/>
    <m/>
    <m/>
  </r>
  <r>
    <s v="Cartera"/>
    <x v="3"/>
    <x v="2"/>
    <s v="CREDITO_GARANTIA_PERSONAL"/>
    <s v="V1.05_Layouts CREDITO Bancos IFRS (Comercial) (1)"/>
    <s v="Listo"/>
    <s v="Se tiene la estructura construida y se integraron los datos con los que se cuenta, aun no se cuenta con todo el universo(Fuentes externas"/>
    <s v="Estructura"/>
    <s v="PORCENTAJE_GARANTIA_PERS | Tiene Un campo x validar Riesgos"/>
    <x v="4"/>
    <m/>
    <x v="1"/>
    <s v="3a vuelta obs US"/>
    <m/>
  </r>
  <r>
    <s v="Cartera"/>
    <x v="3"/>
    <x v="2"/>
    <s v="CREDITO_GARANTIA"/>
    <s v="V1.05_Layouts CREDITO Bancos IFRS (Comercial) (1)"/>
    <s v="Listo"/>
    <s v="Se tiene la estructura construida y se integraron los datos con los que se cuenta, aun no se cuenta con todo el universo(Fuentes externas"/>
    <s v="Estructura"/>
    <s v="PORCENTAJE_GARANTIA | Tiene Un campo x validar Riesgos"/>
    <x v="4"/>
    <m/>
    <x v="1"/>
    <s v="3a vuelta obs US"/>
    <m/>
  </r>
  <r>
    <s v="Cartera"/>
    <x v="3"/>
    <x v="2"/>
    <s v="CREDITO"/>
    <s v="V1.05_Layouts CREDITO Bancos IFRS (Comercial) (1)"/>
    <s v="Listo"/>
    <s v="Se tiene la estructura construida y se integraron los datos con los que se cuenta, aun no se cuenta con todo el universo(Fuentes externas"/>
    <s v="Estructura"/>
    <m/>
    <x v="3"/>
    <m/>
    <x v="1"/>
    <m/>
    <m/>
  </r>
  <r>
    <s v="Operativos"/>
    <x v="1"/>
    <x v="3"/>
    <s v="CORRESPONSALES NOMINA Y PERS"/>
    <s v="CUP -- CUP"/>
    <s v="NA"/>
    <s v="NA"/>
    <m/>
    <m/>
    <x v="1"/>
    <s v="NA"/>
    <x v="2"/>
    <m/>
    <m/>
  </r>
  <r>
    <s v="Captacion"/>
    <x v="2"/>
    <x v="2"/>
    <s v="COREM"/>
    <s v="Layout_COREM -- COREM"/>
    <s v="NA"/>
    <s v="NA"/>
    <m/>
    <m/>
    <x v="1"/>
    <s v="NA"/>
    <x v="2"/>
    <m/>
    <m/>
  </r>
  <r>
    <s v="Cartera"/>
    <x v="3"/>
    <x v="2"/>
    <s v="CONSUMO"/>
    <s v="V1.05_Credito_IFRS9_Consumo_Completo VF (2)"/>
    <s v="Listo"/>
    <s v="Se tiene la estructura construida y se integraron los datos con los que se cuenta, aun no se cuenta con todo el universo(Fuentes externas"/>
    <s v="Estructura"/>
    <m/>
    <x v="3"/>
    <m/>
    <x v="1"/>
    <m/>
    <m/>
  </r>
  <r>
    <s v="Situacion Finaciera"/>
    <x v="4"/>
    <x v="4"/>
    <s v="CONSOLIDACION"/>
    <s v="R12_CONSOLIDACION -- R12A"/>
    <s v="Listo"/>
    <s v="Revision de txt por parte del usuario "/>
    <s v="Estructura y universo"/>
    <s v="US otorga VoBo"/>
    <x v="2"/>
    <m/>
    <x v="1"/>
    <s v="Info en caso de Subsidiarias /Valida Estructura"/>
    <m/>
  </r>
  <r>
    <s v="Situacion Finaciera"/>
    <x v="4"/>
    <x v="4"/>
    <s v="CONCILIACIONES"/>
    <s v="R32_Conciliaciones -- R3211"/>
    <s v="Por iniciar"/>
    <s v="Se requiere recepcion de requerimiento y Excel. (Usuario)"/>
    <m/>
    <s v="Validar con usuario si aplican"/>
    <x v="4"/>
    <m/>
    <x v="1"/>
    <s v="Solo falta confirmación si la fuente es excel"/>
    <m/>
  </r>
  <r>
    <s v="Operativos"/>
    <x v="1"/>
    <x v="3"/>
    <s v="COMISIONES NOMINA Y PERS"/>
    <s v="CUP -- CUP"/>
    <s v="NA"/>
    <s v="NA"/>
    <m/>
    <m/>
    <x v="1"/>
    <s v="NA"/>
    <x v="2"/>
    <m/>
    <m/>
  </r>
  <r>
    <s v="Cartera"/>
    <x v="7"/>
    <x v="2"/>
    <s v="CLIENTES_POR_PRODUCTO"/>
    <s v="R2450_51_52_CLIENTES POR PRODUCTO_V0.5 -- R2450 - R2451 - R2452 (CREDITO) (1)"/>
    <s v="Listo"/>
    <s v="Ntt, ya se reviso txt por usuario VoBo"/>
    <s v="Estructura"/>
    <m/>
    <x v="3"/>
    <s v="Validar"/>
    <x v="1"/>
    <s v="2a vuelta US"/>
    <s v="Integrar en un layout captación y crédito"/>
  </r>
  <r>
    <s v="Captacion"/>
    <x v="2"/>
    <x v="2"/>
    <s v="CIP"/>
    <s v="CIP1 -- CIP"/>
    <s v="NA"/>
    <s v="NA"/>
    <m/>
    <m/>
    <x v="1"/>
    <s v="NA"/>
    <x v="2"/>
    <m/>
    <m/>
  </r>
  <r>
    <s v="Liquidez"/>
    <x v="0"/>
    <x v="0"/>
    <s v="CF_ESP"/>
    <s v="Layout CF_V2"/>
    <s v="Pendiente"/>
    <s v="Modulo de tesoreria"/>
    <s v="NTT"/>
    <m/>
    <x v="1"/>
    <s v="Ext NTT"/>
    <x v="3"/>
    <m/>
    <s v="Cambio Nombre pestaña"/>
  </r>
  <r>
    <s v="Liquidez"/>
    <x v="0"/>
    <x v="0"/>
    <s v="CE_ENG"/>
    <s v="Layout CF_V2"/>
    <s v="Pendiente"/>
    <s v="Modulo de tesoreria"/>
    <s v="NTT"/>
    <m/>
    <x v="1"/>
    <s v="Ext NTT"/>
    <x v="3"/>
    <m/>
    <s v="Cambio Nombre pestaña"/>
  </r>
  <r>
    <s v="Situacion Finaciera"/>
    <x v="4"/>
    <x v="4"/>
    <s v="CATALOGO MINIMO"/>
    <s v="R01_Catalogo Minimo --R01 - R10 - R12 - R13"/>
    <s v="Listo"/>
    <s v="Revision de txt por parte del usuario "/>
    <s v="Estructura y universo"/>
    <m/>
    <x v="4"/>
    <m/>
    <x v="1"/>
    <m/>
    <m/>
  </r>
  <r>
    <s v="Operativos"/>
    <x v="1"/>
    <x v="3"/>
    <s v="CAT PERSONAL"/>
    <s v="CUP -- CUP"/>
    <s v="NA"/>
    <s v="NA"/>
    <m/>
    <m/>
    <x v="1"/>
    <s v="NA"/>
    <x v="2"/>
    <m/>
    <m/>
  </r>
  <r>
    <s v="Riesgos"/>
    <x v="6"/>
    <x v="6"/>
    <s v="CARTERA_RC_ADIC"/>
    <s v="LAYOUT_CARTERA_RC_ADIC --RC01 - RC03 - RC04 - RC08 - RC15"/>
    <s v="No mapeado"/>
    <s v="Lo trabaja Bajaware"/>
    <m/>
    <m/>
    <x v="1"/>
    <s v="Ext Bajaware"/>
    <x v="3"/>
    <m/>
    <m/>
  </r>
  <r>
    <s v="Riesgos"/>
    <x v="6"/>
    <x v="6"/>
    <s v="CARTERA_2BIS17"/>
    <s v="LAYOUT_RC08A_MAPEOS -- RC01 - RC03 - RC04 - RC07 - RC08 - RC15 - RC19"/>
    <s v="No mapeado"/>
    <s v="Lo trabaja Bajaware"/>
    <m/>
    <m/>
    <x v="1"/>
    <s v="Ext Bajaware"/>
    <x v="3"/>
    <m/>
    <m/>
  </r>
  <r>
    <s v="Riesgos"/>
    <x v="6"/>
    <x v="6"/>
    <s v="CARGA INICIAL PI-MIN"/>
    <s v="LAYOUT CARGA INICIAL PI_MIN - Calculo Riesgo Operacional"/>
    <s v="No mapeado"/>
    <s v="Se reliza una solo carga, indica el usuario se debe relizar hasta la ejecucion con Bajware"/>
    <m/>
    <s v="Validar con US integracion"/>
    <x v="1"/>
    <s v="Validar"/>
    <x v="1"/>
    <s v="Dep otra Area"/>
    <s v="dependencia con Conta | perdidas operativas revisa Riesgos/Contabilidad"/>
  </r>
  <r>
    <s v="Riesgos"/>
    <x v="6"/>
    <x v="6"/>
    <s v="CARGA INICIAL IN-MIN"/>
    <s v="LAYOUT CARGA INICIAL IN_MIN - Calculo Riesgo Operacional"/>
    <s v="No mapeado"/>
    <s v="Se reliza una solo carga, indica el usuario se debe relizar hasta la ejecucion con Bajware"/>
    <m/>
    <s v="Validar con US integracion"/>
    <x v="1"/>
    <s v="Validar"/>
    <x v="1"/>
    <s v="x"/>
    <s v="no se necesita mapeo Riesgos emite info completa -- Historico una sola carga, depende funcionalidad al 100. promedio movil | ingresos netos sin dependencias"/>
  </r>
  <r>
    <s v="Adicionales"/>
    <x v="0"/>
    <x v="0"/>
    <s v="CANASTA_REPORTOS"/>
    <s v="Layout_REPORTOS_MN_ME_V7_2024 -- REPORTOS"/>
    <s v="Pendiente"/>
    <s v="Modulo de tesoreria"/>
    <s v="NTT"/>
    <m/>
    <x v="0"/>
    <s v="Ext NTT"/>
    <x v="0"/>
    <s v="Layout_REPORTOS_MN_ME_V7 -- REPORTOS"/>
    <s v="modif nomb layout"/>
  </r>
  <r>
    <s v="Situacion Finaciera"/>
    <x v="4"/>
    <x v="4"/>
    <s v="BIENES ADJUDICADOS"/>
    <s v="R06_Bienes Adj -- R06"/>
    <s v="Listo"/>
    <s v="Revision de txt por parte del usuario "/>
    <s v="Estructura y universo"/>
    <s v="US otorga VoBo"/>
    <x v="2"/>
    <m/>
    <x v="1"/>
    <m/>
    <m/>
  </r>
  <r>
    <s v="Operativos"/>
    <x v="1"/>
    <x v="3"/>
    <s v="Base Operativa CNR"/>
    <s v="CUP -- CUP"/>
    <s v="Listo"/>
    <s v="VoBo Dado por el usuario (No se cuenta con informacion)"/>
    <s v="Estructura"/>
    <m/>
    <x v="2"/>
    <m/>
    <x v="1"/>
    <m/>
    <m/>
  </r>
  <r>
    <s v="Riesgos"/>
    <x v="6"/>
    <x v="6"/>
    <s v="BALANZA"/>
    <s v="LAYOUTS_RCS_v2 -- RC01 - RC03 - RC04 - RC07 - RC08 - RC02 - RC06A"/>
    <s v="No mapeado"/>
    <s v="Lo trabaja Bajaware"/>
    <m/>
    <m/>
    <x v="1"/>
    <s v="Ext Bajaware"/>
    <x v="3"/>
    <m/>
    <m/>
  </r>
  <r>
    <s v="Cartera"/>
    <x v="6"/>
    <x v="6"/>
    <s v="ANEXO 22"/>
    <s v="V1.05_Layouts CREDITO Bancos IFRS (Comercial) (1)"/>
    <s v="Listo"/>
    <s v="Se tiene la estructura construida y se integraron los datos con los que se cuenta, aun no se cuenta con todo el universo(Fuentes externas Pantalla comercial)"/>
    <s v="Estructura"/>
    <s v="20250829 Us envía Obs"/>
    <x v="2"/>
    <m/>
    <x v="1"/>
    <s v="Antes asignada a Operaciones"/>
    <s v="2 vuelta"/>
  </r>
  <r>
    <s v="Cartera"/>
    <x v="6"/>
    <x v="6"/>
    <s v="ANEXO 21"/>
    <s v="V1.05_Layouts CREDITO Bancos IFRS (Comercial) (1)"/>
    <s v="Listo"/>
    <s v="Se tiene la estructura construida y se integraron los datos con los que se cuenta, aun no se cuenta con todo el universo(Fuentes externas Pantalla comercial)"/>
    <s v="Estructura"/>
    <s v="20250829 Us envía Obs"/>
    <x v="2"/>
    <m/>
    <x v="1"/>
    <s v="Antes asignada a Operaciones"/>
    <s v="2 vuelta"/>
  </r>
  <r>
    <s v="Cartera"/>
    <x v="3"/>
    <x v="2"/>
    <s v="ANEXO 20"/>
    <s v="V1.05_Layouts CREDITO Bancos IFRS (Comercial) (1)"/>
    <s v="NA"/>
    <s v="NA"/>
    <m/>
    <m/>
    <x v="1"/>
    <s v="NA"/>
    <x v="2"/>
    <m/>
    <m/>
  </r>
  <r>
    <s v="Cartera"/>
    <x v="6"/>
    <x v="6"/>
    <s v="ANEXO 19"/>
    <s v="V1.05_Layouts CREDITO Bancos IFRS (Comercial) (1)"/>
    <s v="Listo"/>
    <s v="Se tiene la estructura construida y se integraron los datos con los que se cuenta, aun no se cuenta con todo el universo(Fuentes externas Pantalla comercial, cierre comercial, proyeccion de flujos)"/>
    <s v="Estructura"/>
    <s v="20250829 Us envía Obs"/>
    <x v="2"/>
    <m/>
    <x v="1"/>
    <s v="Antes asignada a Operaciones"/>
    <s v="2 vuelta"/>
  </r>
  <r>
    <s v="Cartera"/>
    <x v="3"/>
    <x v="2"/>
    <s v="ANEXO 18"/>
    <s v="V1.05_Layouts CREDITO Bancos IFRS (Comercial) (1)"/>
    <s v="NA"/>
    <s v="NA"/>
    <m/>
    <m/>
    <x v="1"/>
    <s v="NA"/>
    <x v="2"/>
    <m/>
    <m/>
  </r>
  <r>
    <s v="Riesgos"/>
    <x v="6"/>
    <x v="6"/>
    <s v="ALTA Y SEGUIMIENTO ROP"/>
    <s v="R2811_13_ALTA Y SEGUIMIENTO ROP -- R2811 - R2813"/>
    <s v="Listo"/>
    <s v="Revision de txt por parte del usuario "/>
    <s v="Estructura y universo"/>
    <s v="20250829 Us envía Obs"/>
    <x v="2"/>
    <m/>
    <x v="1"/>
    <s v="x"/>
    <s v="2 vuelta"/>
  </r>
  <r>
    <s v="Situacion Finaciera"/>
    <x v="4"/>
    <x v="4"/>
    <s v="ACM II-Mapeo"/>
    <s v="LAYOUT_ACM_II V0.1 -- R01"/>
    <s v="Listo"/>
    <s v="Revision de txt por parte del usuario "/>
    <s v="Estructura y universo"/>
    <m/>
    <x v="4"/>
    <m/>
    <x v="1"/>
    <m/>
    <m/>
  </r>
  <r>
    <s v="Situacion Finaciera"/>
    <x v="4"/>
    <x v="4"/>
    <s v="ACM II_ADIC"/>
    <s v="LAYOUT_ACM_II V0.1 -- R01"/>
    <s v="Listo"/>
    <s v="Revision de txt por parte del usuario "/>
    <s v="Estructura y universo"/>
    <m/>
    <x v="4"/>
    <m/>
    <x v="1"/>
    <m/>
    <m/>
  </r>
  <r>
    <s v="Cartera"/>
    <x v="3"/>
    <x v="2"/>
    <s v="ACLARACIONESCR"/>
    <s v="V1.05_Credito_IFRS9_Consumo_Completo VF (2)"/>
    <s v="NA"/>
    <s v="NA"/>
    <m/>
    <m/>
    <x v="1"/>
    <s v="NA"/>
    <x v="2"/>
    <m/>
    <m/>
  </r>
  <r>
    <s v="Cartera"/>
    <x v="3"/>
    <x v="2"/>
    <s v="ACLARACIONESCNR"/>
    <s v="V1.05_Credito_IFRS9_Consumo_Completo VF (2)"/>
    <s v="NA"/>
    <s v="NA"/>
    <m/>
    <m/>
    <x v="1"/>
    <s v="NA"/>
    <x v="2"/>
    <m/>
    <m/>
  </r>
  <r>
    <s v="TBD"/>
    <x v="1"/>
    <x v="3"/>
    <s v="EST Registro General de Product"/>
    <s v="CUP - Vivienda V1"/>
    <s v="Listo"/>
    <s v="Layout adicionado productos de Crédito"/>
    <s v="Estructura"/>
    <m/>
    <x v="2"/>
    <m/>
    <x v="1"/>
    <m/>
    <m/>
  </r>
  <r>
    <s v="TBD"/>
    <x v="1"/>
    <x v="3"/>
    <s v="EST Hipo"/>
    <s v="CUP - Vivienda V1"/>
    <s v="Listo"/>
    <s v="Layout adicionado productos de Crédito"/>
    <s v="Estructura"/>
    <m/>
    <x v="2"/>
    <m/>
    <x v="1"/>
    <m/>
    <m/>
  </r>
  <r>
    <s v="TBD"/>
    <x v="1"/>
    <x v="3"/>
    <s v="Base Operativa Hipo"/>
    <s v="CUP - Vivienda V1"/>
    <s v="Listo"/>
    <s v="Layout adicionado productos de Crédito"/>
    <s v="Estructura"/>
    <m/>
    <x v="2"/>
    <m/>
    <x v="1"/>
    <m/>
    <m/>
  </r>
  <r>
    <s v="TBD"/>
    <x v="1"/>
    <x v="3"/>
    <s v="Elegibilidad Hipo"/>
    <s v="CUP - Vivienda V1"/>
    <s v="Listo"/>
    <s v="Layout adicionado productos de Crédito"/>
    <s v="Estructura"/>
    <m/>
    <x v="2"/>
    <m/>
    <x v="1"/>
    <m/>
    <m/>
  </r>
  <r>
    <s v="TBD"/>
    <x v="1"/>
    <x v="3"/>
    <s v="MORATORIA Hipo"/>
    <s v="CUP - Vivienda V1"/>
    <s v="Listo"/>
    <s v="Layout adicionado productos de Crédito"/>
    <s v="Estructura"/>
    <m/>
    <x v="2"/>
    <m/>
    <x v="1"/>
    <m/>
    <m/>
  </r>
  <r>
    <s v="TBD"/>
    <x v="1"/>
    <x v="3"/>
    <s v="COMISIONES Hipo"/>
    <s v="CUP - Vivienda V1"/>
    <s v="Listo"/>
    <s v="Layout adicionado productos de Crédito"/>
    <s v="Estructura"/>
    <m/>
    <x v="2"/>
    <m/>
    <x v="1"/>
    <m/>
    <m/>
  </r>
  <r>
    <s v="TBD"/>
    <x v="1"/>
    <x v="3"/>
    <s v="PENALIZACIONES Hipo"/>
    <s v="CUP - Vivienda V1"/>
    <s v="Listo"/>
    <s v="Layout adicionado productos de Crédito"/>
    <s v="Estructura"/>
    <m/>
    <x v="2"/>
    <m/>
    <x v="1"/>
    <m/>
    <m/>
  </r>
  <r>
    <s v="TBD"/>
    <x v="1"/>
    <x v="3"/>
    <s v="PENALIZACIONES Hipo (2)"/>
    <s v="CUP - Vivienda V1"/>
    <s v="Listo"/>
    <s v="Layout adicionado productos de Crédito"/>
    <s v="Estructura"/>
    <m/>
    <x v="2"/>
    <m/>
    <x v="1"/>
    <m/>
    <m/>
  </r>
  <r>
    <s v="TBD"/>
    <x v="1"/>
    <x v="3"/>
    <s v="SEGUROS Hipo"/>
    <s v="CUP - Vivienda V1"/>
    <s v="Listo"/>
    <s v="Layout adicionado productos de Crédito"/>
    <s v="Estructura"/>
    <m/>
    <x v="2"/>
    <m/>
    <x v="1"/>
    <m/>
    <m/>
  </r>
  <r>
    <s v="TBD"/>
    <x v="1"/>
    <x v="3"/>
    <s v="CAT Hipo"/>
    <s v="CUP - Vivienda V1"/>
    <s v="Listo"/>
    <s v="Layout adicionado productos de Crédito"/>
    <s v="Estructura"/>
    <m/>
    <x v="2"/>
    <m/>
    <x v="1"/>
    <m/>
    <m/>
  </r>
  <r>
    <s v="TBD"/>
    <x v="1"/>
    <x v="3"/>
    <s v="EST Registro General de Product"/>
    <s v="CUP - Crédito de Liquidez"/>
    <s v="Listo"/>
    <s v="Layout adicionado productos de Crédito"/>
    <s v="Estructura"/>
    <m/>
    <x v="2"/>
    <m/>
    <x v="1"/>
    <m/>
    <m/>
  </r>
  <r>
    <s v="TBD"/>
    <x v="1"/>
    <x v="3"/>
    <s v="EST Hipo"/>
    <s v="CUP - Crédito de Liquidez"/>
    <s v="Listo"/>
    <s v="Layout adicionado productos de Crédito"/>
    <s v="Estructura"/>
    <m/>
    <x v="2"/>
    <m/>
    <x v="1"/>
    <m/>
    <m/>
  </r>
  <r>
    <s v="TBD"/>
    <x v="1"/>
    <x v="3"/>
    <s v="Base Operativa Hipo"/>
    <s v="CUP - Crédito de Liquidez"/>
    <s v="Listo"/>
    <s v="Layout adicionado productos de Crédito"/>
    <s v="Estructura"/>
    <m/>
    <x v="2"/>
    <m/>
    <x v="1"/>
    <m/>
    <m/>
  </r>
  <r>
    <s v="TBD"/>
    <x v="1"/>
    <x v="3"/>
    <s v="Elegibilidad Hipo"/>
    <s v="CUP - Crédito de Liquidez"/>
    <s v="Listo"/>
    <s v="Layout adicionado productos de Crédito"/>
    <s v="Estructura"/>
    <m/>
    <x v="2"/>
    <m/>
    <x v="1"/>
    <m/>
    <m/>
  </r>
  <r>
    <s v="TBD"/>
    <x v="1"/>
    <x v="3"/>
    <s v="MORATORIA Hipo"/>
    <s v="CUP - Crédito de Liquidez"/>
    <s v="Listo"/>
    <s v="Layout adicionado productos de Crédito"/>
    <s v="Estructura"/>
    <m/>
    <x v="2"/>
    <m/>
    <x v="1"/>
    <m/>
    <m/>
  </r>
  <r>
    <s v="TBD"/>
    <x v="1"/>
    <x v="3"/>
    <s v="COMISIONES Hipo"/>
    <s v="CUP - Crédito de Liquidez"/>
    <s v="Listo"/>
    <s v="Layout adicionado productos de Crédito"/>
    <s v="Estructura"/>
    <m/>
    <x v="2"/>
    <m/>
    <x v="1"/>
    <m/>
    <m/>
  </r>
  <r>
    <s v="TBD"/>
    <x v="1"/>
    <x v="3"/>
    <s v="PENALIZACIONES Hipo"/>
    <s v="CUP - Crédito de Liquidez"/>
    <s v="Listo"/>
    <s v="Layout adicionado productos de Crédito"/>
    <s v="Estructura"/>
    <m/>
    <x v="2"/>
    <m/>
    <x v="1"/>
    <m/>
    <m/>
  </r>
  <r>
    <s v="TBD"/>
    <x v="1"/>
    <x v="3"/>
    <s v="PENALIZACIONES Hipo (2)"/>
    <s v="CUP - Crédito de Liquidez"/>
    <s v="Listo"/>
    <s v="Layout adicionado productos de Crédito"/>
    <s v="Estructura"/>
    <m/>
    <x v="2"/>
    <m/>
    <x v="1"/>
    <m/>
    <m/>
  </r>
  <r>
    <s v="TBD"/>
    <x v="1"/>
    <x v="3"/>
    <s v="SEGUROS Hipo"/>
    <s v="CUP - Crédito de Liquidez"/>
    <s v="Listo"/>
    <s v="Layout adicionado productos de Crédito"/>
    <s v="Estructura"/>
    <m/>
    <x v="2"/>
    <m/>
    <x v="1"/>
    <m/>
    <m/>
  </r>
  <r>
    <s v="TBD"/>
    <x v="1"/>
    <x v="3"/>
    <s v="CAT Hipo"/>
    <s v="CUP - Crédito de Liquidez"/>
    <s v="Listo"/>
    <s v="Layout adicionado productos de Crédito"/>
    <s v="Estructura"/>
    <m/>
    <x v="2"/>
    <m/>
    <x v="1"/>
    <m/>
    <m/>
  </r>
  <r>
    <s v="TBD"/>
    <x v="1"/>
    <x v="3"/>
    <s v="EST Empresarial"/>
    <s v="CUP - Oficinas y locales"/>
    <s v="Listo"/>
    <s v="Layout adicionado productos de Crédito"/>
    <s v="Estructura"/>
    <m/>
    <x v="2"/>
    <m/>
    <x v="1"/>
    <m/>
    <m/>
  </r>
  <r>
    <s v="TBD"/>
    <x v="1"/>
    <x v="3"/>
    <s v="EST Empresarial"/>
    <s v="CUP - PYME Inmuebles"/>
    <s v="Listo"/>
    <s v="Layout adicionado productos de Crédito"/>
    <s v="Estructura"/>
    <m/>
    <x v="2"/>
    <m/>
    <x v="1"/>
    <m/>
    <m/>
  </r>
  <r>
    <s v="TBD"/>
    <x v="1"/>
    <x v="3"/>
    <s v="EST Empresarial"/>
    <s v="CUP - Pyme Liquidez"/>
    <s v="Listo"/>
    <s v="Layout adicionado productos de Crédito"/>
    <s v="Estructura"/>
    <m/>
    <x v="2"/>
    <m/>
    <x v="1"/>
    <m/>
    <m/>
  </r>
  <r>
    <s v="TBD"/>
    <x v="1"/>
    <x v="3"/>
    <s v="EST Registro General de Product"/>
    <s v="CUP - Terrenos"/>
    <s v="Listo"/>
    <s v="Layout adicionado productos de Crédito"/>
    <s v="Estructura"/>
    <m/>
    <x v="2"/>
    <m/>
    <x v="1"/>
    <m/>
    <m/>
  </r>
  <r>
    <s v="TBD"/>
    <x v="1"/>
    <x v="3"/>
    <s v="EST Hipo"/>
    <s v="CUP - Terrenos"/>
    <s v="Listo"/>
    <s v="Layout adicionado productos de Crédito"/>
    <s v="Estructura"/>
    <m/>
    <x v="2"/>
    <m/>
    <x v="1"/>
    <m/>
    <m/>
  </r>
  <r>
    <s v="TBD"/>
    <x v="1"/>
    <x v="3"/>
    <s v="Base Operativa Hipo"/>
    <s v="CUP - Terrenos"/>
    <s v="Listo"/>
    <s v="Layout adicionado productos de Crédito"/>
    <s v="Estructura"/>
    <m/>
    <x v="2"/>
    <m/>
    <x v="1"/>
    <m/>
    <m/>
  </r>
  <r>
    <s v="TBD"/>
    <x v="1"/>
    <x v="3"/>
    <s v="Elegibilidad Hipo"/>
    <s v="CUP - Terrenos"/>
    <s v="Listo"/>
    <s v="Layout adicionado productos de Crédito"/>
    <s v="Estructura"/>
    <m/>
    <x v="2"/>
    <m/>
    <x v="1"/>
    <m/>
    <m/>
  </r>
  <r>
    <s v="TBD"/>
    <x v="1"/>
    <x v="3"/>
    <s v="MORATORIA Hipo"/>
    <s v="CUP - Terrenos"/>
    <s v="Listo"/>
    <s v="Layout adicionado productos de Crédito"/>
    <s v="Estructura"/>
    <m/>
    <x v="2"/>
    <m/>
    <x v="1"/>
    <m/>
    <m/>
  </r>
  <r>
    <s v="TBD"/>
    <x v="1"/>
    <x v="3"/>
    <s v="COMISIONES Hipo"/>
    <s v="CUP - Terrenos"/>
    <s v="Listo"/>
    <s v="Layout adicionado productos de Crédito"/>
    <s v="Estructura"/>
    <m/>
    <x v="2"/>
    <m/>
    <x v="1"/>
    <m/>
    <m/>
  </r>
  <r>
    <s v="TBD"/>
    <x v="1"/>
    <x v="3"/>
    <s v="PENALIZACIONES Hipo"/>
    <s v="CUP - Terrenos"/>
    <s v="Listo"/>
    <s v="Layout adicionado productos de Crédito"/>
    <s v="Estructura"/>
    <m/>
    <x v="2"/>
    <m/>
    <x v="1"/>
    <m/>
    <m/>
  </r>
  <r>
    <s v="TBD"/>
    <x v="1"/>
    <x v="3"/>
    <s v="PENALIZACIONES Hipo (2)"/>
    <s v="CUP - Terrenos"/>
    <s v="Listo"/>
    <s v="Layout adicionado productos de Crédito"/>
    <s v="Estructura"/>
    <m/>
    <x v="2"/>
    <m/>
    <x v="1"/>
    <m/>
    <m/>
  </r>
  <r>
    <s v="TBD"/>
    <x v="1"/>
    <x v="3"/>
    <s v="SEGUROS Hipo"/>
    <s v="CUP - Terrenos"/>
    <s v="Listo"/>
    <s v="Layout adicionado productos de Crédito"/>
    <s v="Estructura"/>
    <m/>
    <x v="2"/>
    <m/>
    <x v="1"/>
    <m/>
    <m/>
  </r>
  <r>
    <s v="TBD"/>
    <x v="1"/>
    <x v="3"/>
    <s v="CAT Hipo"/>
    <s v="CUP - Terrenos"/>
    <s v="Listo"/>
    <s v="Layout adicionado productos de Crédito"/>
    <s v="Estructura"/>
    <m/>
    <x v="2"/>
    <m/>
    <x v="1"/>
    <m/>
    <m/>
  </r>
  <r>
    <s v="TBD"/>
    <x v="1"/>
    <x v="3"/>
    <s v="EST Empresarial"/>
    <s v="Crédito de Liquidez"/>
    <s v="Listo"/>
    <s v="Layout adicionado productos de Crédito"/>
    <s v="Estructura"/>
    <m/>
    <x v="2"/>
    <m/>
    <x v="1"/>
    <m/>
    <m/>
  </r>
  <r>
    <s v="TBD"/>
    <x v="1"/>
    <x v="3"/>
    <s v="EST Empresarial"/>
    <s v="Crédito Puente"/>
    <s v="Listo"/>
    <s v="Layout adicionado productos de Crédito"/>
    <s v="Estructura"/>
    <m/>
    <x v="2"/>
    <m/>
    <x v="1"/>
    <m/>
    <m/>
  </r>
  <r>
    <s v="TBD"/>
    <x v="1"/>
    <x v="3"/>
    <s v="EST Empresarial"/>
    <s v="Empr. Revolvente"/>
    <s v="Listo"/>
    <s v="Layout adicionado productos de Crédito"/>
    <s v="Estructura"/>
    <m/>
    <x v="2"/>
    <m/>
    <x v="1"/>
    <m/>
    <m/>
  </r>
  <r>
    <s v="TBD"/>
    <x v="1"/>
    <x v="3"/>
    <s v="EST Empresarial"/>
    <s v="Credito Simple"/>
    <s v="Listo"/>
    <s v="Layout adicionado productos de Crédito"/>
    <s v="Estructura"/>
    <m/>
    <x v="2"/>
    <m/>
    <x v="1"/>
    <m/>
    <m/>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
  <r>
    <x v="0"/>
    <n v="1"/>
    <x v="0"/>
    <x v="0"/>
  </r>
  <r>
    <x v="1"/>
    <n v="4"/>
    <x v="0"/>
    <x v="0"/>
  </r>
  <r>
    <x v="2"/>
    <n v="3"/>
    <x v="0"/>
    <x v="0"/>
  </r>
  <r>
    <x v="3"/>
    <n v="10"/>
    <x v="0"/>
    <x v="0"/>
  </r>
  <r>
    <x v="4"/>
    <n v="7"/>
    <x v="0"/>
    <x v="0"/>
  </r>
  <r>
    <x v="5"/>
    <n v="8"/>
    <x v="0"/>
    <x v="0"/>
  </r>
  <r>
    <x v="6"/>
    <n v="2"/>
    <x v="0"/>
    <x v="0"/>
  </r>
  <r>
    <x v="7"/>
    <n v="3"/>
    <x v="1"/>
    <x v="1"/>
  </r>
  <r>
    <x v="8"/>
    <n v="5"/>
    <x v="2"/>
    <x v="2"/>
  </r>
  <r>
    <x v="9"/>
    <n v="2"/>
    <x v="3"/>
    <x v="0"/>
  </r>
  <r>
    <x v="10"/>
    <n v="1"/>
    <x v="1"/>
    <x v="1"/>
  </r>
  <r>
    <x v="11"/>
    <n v="1"/>
    <x v="4"/>
    <x v="0"/>
  </r>
  <r>
    <x v="12"/>
    <n v="4"/>
    <x v="0"/>
    <x v="0"/>
  </r>
  <r>
    <x v="13"/>
    <n v="6"/>
    <x v="4"/>
    <x v="2"/>
  </r>
  <r>
    <x v="14"/>
    <n v="1"/>
    <x v="0"/>
    <x v="0"/>
  </r>
  <r>
    <x v="15"/>
    <n v="1"/>
    <x v="4"/>
    <x v="2"/>
  </r>
  <r>
    <x v="16"/>
    <n v="11"/>
    <x v="4"/>
    <x v="3"/>
  </r>
  <r>
    <x v="17"/>
    <n v="1"/>
    <x v="4"/>
    <x v="0"/>
  </r>
  <r>
    <x v="18"/>
    <n v="1"/>
    <x v="1"/>
    <x v="1"/>
  </r>
  <r>
    <x v="19"/>
    <n v="2"/>
    <x v="0"/>
    <x v="4"/>
  </r>
</pivotCacheRecords>
</file>

<file path=xl/pivotCache/pivotCacheRecords5.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1">
  <r>
    <s v="Adicionales"/>
    <s v="Tesorería "/>
    <s v="Eduardo Cabral"/>
    <x v="0"/>
    <s v="VENC_ANT_REPORTOS"/>
    <s v="Layout_REPORTOS_MN_ME_V7_2024 -- REPORTOS"/>
    <s v="Pendiente"/>
    <s v="Modulo de tesoreria"/>
    <s v="NTT"/>
    <m/>
    <x v="0"/>
    <s v="Ext NTT"/>
    <x v="0"/>
    <x v="0"/>
    <s v="Layout_REPORTOS_MN_ME_V7 -- REPORTOS"/>
    <s v="modif nomb layout"/>
    <m/>
    <m/>
  </r>
  <r>
    <s v="Adicionales"/>
    <s v="Captacion"/>
    <s v="Arturo Angeles"/>
    <x v="0"/>
    <s v="USUARIOS NO CLIENTES BE"/>
    <s v="R1522_USUARIOS NO CLIENTES BE_V0.4 -- R15 1522"/>
    <s v="No mapeado"/>
    <m/>
    <m/>
    <m/>
    <x v="0"/>
    <m/>
    <x v="1"/>
    <x v="1"/>
    <m/>
    <m/>
    <m/>
    <m/>
  </r>
  <r>
    <s v="Operativos"/>
    <s v="Operaciones Captacion"/>
    <s v="Luis Alberto"/>
    <x v="1"/>
    <s v="UBICACION DE PUNTOS DE TRANSACC"/>
    <s v="R2443_Ubicacion - R2443"/>
    <s v="No mapeado"/>
    <s v="NTT"/>
    <m/>
    <m/>
    <x v="1"/>
    <s v="NA"/>
    <x v="2"/>
    <x v="2"/>
    <s v="Acuerdo con Erika el 18/12/24. No aplica en este momento, porque no tendremos nada de lo que solicita. "/>
    <m/>
    <s v="No aplica"/>
    <s v="Este reporte recaba información respecto a la ubicación geográfica de las sucursales, módulos, cajeros automáticos, terminales punto de venta y comisionistas a través de las cuales los usuarios de los servicios financieros realizan las transacciones. "/>
  </r>
  <r>
    <s v="Operativos"/>
    <s v="Operaciones Captacion"/>
    <s v="Luis Alberto"/>
    <x v="2"/>
    <s v="TITULARES GARANTIZADOS"/>
    <s v="R2423_IFRS9_Titulares_Garantizados_V0.4 -- R2423"/>
    <s v="No mapeado"/>
    <s v="NTT"/>
    <m/>
    <m/>
    <x v="2"/>
    <s v="Ext NTT"/>
    <x v="3"/>
    <x v="3"/>
    <m/>
    <m/>
    <m/>
    <m/>
  </r>
  <r>
    <s v="Adicionales"/>
    <s v="Operaciones Captacion"/>
    <s v="Luis Alberto"/>
    <x v="3"/>
    <s v="TADESCOM_BAJAS"/>
    <s v="Layout TADESCOM -- TADESCOM"/>
    <s v="NA"/>
    <s v="NA"/>
    <m/>
    <m/>
    <x v="3"/>
    <s v="NA"/>
    <x v="2"/>
    <x v="2"/>
    <m/>
    <m/>
    <s v="No aplica"/>
    <m/>
  </r>
  <r>
    <s v="Adicionales"/>
    <s v="Operaciones Captacion"/>
    <s v="Luis Alberto"/>
    <x v="3"/>
    <s v="TADESCOM_ALTAS"/>
    <s v="Layout TADESCOM -- TADESCOM"/>
    <s v="NA"/>
    <s v="NA"/>
    <m/>
    <m/>
    <x v="3"/>
    <s v="NA"/>
    <x v="2"/>
    <x v="2"/>
    <m/>
    <m/>
    <s v="No aplica"/>
    <m/>
  </r>
  <r>
    <s v="Adicionales"/>
    <s v="Tesorería "/>
    <s v="Eduardo Cabral"/>
    <x v="0"/>
    <s v="SWAPS"/>
    <s v="Layout_SWAPS_V9 -- SWAPS"/>
    <s v="Pendiente"/>
    <s v="Modulo de tesoreria"/>
    <s v="NTT"/>
    <m/>
    <x v="0"/>
    <s v="Ext NTT"/>
    <x v="0"/>
    <x v="0"/>
    <s v="Layout_SWAPS_V9.1 -- SWAPS"/>
    <s v="modif nomb layout"/>
    <m/>
    <m/>
  </r>
  <r>
    <s v="Adicionales"/>
    <s v="Tesorería "/>
    <s v="Eduardo Cabral"/>
    <x v="1"/>
    <s v="SWAP_MEREC_CONVO"/>
    <s v="Layout_SWAPS_V9 -- SWAPS"/>
    <s v="Pendiente"/>
    <s v="Modulo de tesoreria"/>
    <s v="NTT"/>
    <m/>
    <x v="1"/>
    <s v="Ext NTT"/>
    <x v="0"/>
    <x v="0"/>
    <s v="Layout_SWAPS_V9.1 -- SWAPS - 1. ENT_SWAP_MEREC_CONVO"/>
    <s v="modif nomb layout"/>
    <s v="No aplica"/>
    <s v="No se opera en Mercados Reconocidos"/>
  </r>
  <r>
    <s v="Adicionales"/>
    <s v="Tesorería "/>
    <s v="Eduardo Cabral"/>
    <x v="0"/>
    <s v="SWAP_IV_COM"/>
    <s v="Layout_SWAPS_V9 -- SWAPS"/>
    <s v="Pendiente"/>
    <s v="Modulo de tesoreria"/>
    <s v="NTT"/>
    <m/>
    <x v="0"/>
    <s v="Ext NTT"/>
    <x v="0"/>
    <x v="0"/>
    <s v="Layout_SWAPS_V9.1 -- SWAPS"/>
    <s v="modif nomb layout"/>
    <s v="Alex valida con Eduardo"/>
    <m/>
  </r>
  <r>
    <s v="Adicionales"/>
    <s v="Tesorería "/>
    <s v="Eduardo Cabral"/>
    <x v="0"/>
    <s v="SWAP_IV"/>
    <s v="Layout_SWAPS_V9 -- SWAPS"/>
    <s v="Pendiente"/>
    <s v="Modulo de tesoreria"/>
    <s v="NTT"/>
    <m/>
    <x v="0"/>
    <s v="Ext NTT"/>
    <x v="0"/>
    <x v="0"/>
    <s v="Layout_SWAPS_V9.1 -- SWAPS"/>
    <s v="modif nomb layout"/>
    <s v="Alex valida con Eduardo"/>
    <m/>
  </r>
  <r>
    <s v="Adicionales"/>
    <s v="Tesorería "/>
    <s v="Eduardo Cabral"/>
    <x v="1"/>
    <s v="SWAP_I"/>
    <s v="Layout_SWAPS_V9 -- SWAPS"/>
    <s v="Pendiente"/>
    <s v="Modulo de tesoreria"/>
    <s v="NTT"/>
    <m/>
    <x v="1"/>
    <s v="Ext NTT"/>
    <x v="0"/>
    <x v="0"/>
    <s v="Layout_SWAPS_V9.1 -- SWAPS"/>
    <s v="modif nomb layout"/>
    <s v="No aplica"/>
    <s v="No se opera en Mercados Reconocidos"/>
  </r>
  <r>
    <s v="Adicionales"/>
    <s v="Tesorería "/>
    <s v="Eduardo Cabral"/>
    <x v="0"/>
    <s v="SWAP_FLUJOS"/>
    <s v="Layout_SWAPS_V9 -- SWAPS"/>
    <s v="Pendiente"/>
    <s v="Modulo de tesoreria"/>
    <s v="NTT"/>
    <m/>
    <x v="0"/>
    <s v="Ext NTT"/>
    <x v="0"/>
    <x v="0"/>
    <s v="Layout_SWAPS_V9.1 -- SWAPS"/>
    <s v="modif nomb layout"/>
    <m/>
    <m/>
  </r>
  <r>
    <s v="Adicionales"/>
    <s v="Tesorería "/>
    <s v="Eduardo Cabral"/>
    <x v="0"/>
    <s v="SWAP_CUOTAS_INT"/>
    <s v="Layout_SWAPS_V9 -- SWAPS"/>
    <s v="Pendiente"/>
    <s v="Modulo de tesoreria"/>
    <s v="NTT"/>
    <m/>
    <x v="0"/>
    <s v="Ext NTT"/>
    <x v="0"/>
    <x v="0"/>
    <s v="Layout_SWAPS_V9.1 -- SWAPS"/>
    <s v="modif nomb layout"/>
    <m/>
    <m/>
  </r>
  <r>
    <s v="Adicionales"/>
    <s v="Tesorería "/>
    <s v="Eduardo Cabral"/>
    <x v="0"/>
    <s v="SWAP_CONVO"/>
    <s v="Layout_SWAPS_V9 -- SWAPS"/>
    <s v="Pendiente"/>
    <s v="Modulo de tesoreria"/>
    <s v="NTT"/>
    <m/>
    <x v="0"/>
    <s v="Ext NTT"/>
    <x v="0"/>
    <x v="0"/>
    <s v="Layout_SWAPS_V9.1 -- SWAPS"/>
    <s v="modif nomb layout"/>
    <m/>
    <m/>
  </r>
  <r>
    <s v="Operativos"/>
    <s v="Operaciones Captacion"/>
    <s v="Luis Alberto"/>
    <x v="1"/>
    <s v="SUCURSALES"/>
    <s v="R2422_Sucursales -- R2422"/>
    <s v="No mapeado"/>
    <s v="NTT"/>
    <m/>
    <m/>
    <x v="1"/>
    <s v="NA"/>
    <x v="2"/>
    <x v="2"/>
    <s v="Acuerdo con Erika el 18/12/24. No aplica en este momento, porque no tendremos nada de lo que solicita. "/>
    <m/>
    <s v="No aplica"/>
    <s v="Se refiere a tarjetas, ATM, TPVs, y No. de personal, no tenemos esos datos actualmente, por lo que consideramos que no nos aplica actualmente, pero debemos cerrarlo en conjunto."/>
  </r>
  <r>
    <s v="Operativos"/>
    <s v="Producto"/>
    <s v="Claudia Barroso"/>
    <x v="3"/>
    <s v="SEGUROS NOMINA Y PERS"/>
    <s v="CUP -- CUP"/>
    <s v="NA"/>
    <s v="NA"/>
    <m/>
    <m/>
    <x v="3"/>
    <s v="NA"/>
    <x v="2"/>
    <x v="2"/>
    <m/>
    <m/>
    <s v="No aplica"/>
    <m/>
  </r>
  <r>
    <s v="Adicionales"/>
    <s v="Tesorería "/>
    <s v="Eduardo Cabral"/>
    <x v="1"/>
    <s v="SECCION 2E"/>
    <s v="Layouts Garantias de Liquidez -- GL"/>
    <s v="Pendiente"/>
    <s v="Modulo de tesoreria"/>
    <s v="NTT"/>
    <m/>
    <x v="1"/>
    <s v="NA"/>
    <x v="2"/>
    <x v="2"/>
    <s v="Calificaciones Otorgadas (No aplica confirma Denisse)"/>
    <s v="Finanzas"/>
    <s v="No aplica"/>
    <s v="Comentario Bajaware: Si no cuentan con las operaciones a las que se refiere ese layout, no es necesario llenarlo. Sin embargo, si Banxico da de alta el producto en el portal de Espifnet, tendrían que enviarlo vacío."/>
  </r>
  <r>
    <s v="Adicionales"/>
    <s v="Tesorería "/>
    <s v="Eduardo Cabral"/>
    <x v="1"/>
    <s v="SECCION 2D"/>
    <s v="Layouts Garantias de Liquidez -- GL"/>
    <s v="Pendiente"/>
    <s v="Modulo de tesoreria"/>
    <s v="NTT"/>
    <m/>
    <x v="1"/>
    <s v="NA"/>
    <x v="2"/>
    <x v="2"/>
    <s v="Inmuebles "/>
    <s v="Finanzas/Contabilidad/WO"/>
    <s v="No aplica"/>
    <s v="Comentario Bajaware: Si no cuentan con las operaciones a las que se refiere ese layout, no es necesario llenarlo. Sin embargo, si Banxico da de alta el producto en el portal de Espifnet, tendrían que enviarlo vacío."/>
  </r>
  <r>
    <s v="Adicionales"/>
    <s v="Tesorería "/>
    <s v="Eduardo Cabral"/>
    <x v="1"/>
    <s v="SECCION 2C"/>
    <s v="Layouts Garantias de Liquidez -- GL"/>
    <s v="Pendiente"/>
    <s v="Modulo de tesoreria"/>
    <s v="NTT"/>
    <m/>
    <x v="1"/>
    <s v="NA"/>
    <x v="2"/>
    <x v="2"/>
    <s v="Acciones"/>
    <s v="Tesoreria"/>
    <s v="No aplica"/>
    <s v="Comentario Bajaware: Si no cuentan con las operaciones a las que se refiere ese layout, no es necesario llenarlo. Sin embargo, si Banxico da de alta el producto en el portal de Espifnet, tendrían que enviarlo vacío."/>
  </r>
  <r>
    <s v="Adicionales"/>
    <s v="Tesorería "/>
    <s v="Eduardo Cabral"/>
    <x v="1"/>
    <s v="SECCION 2B"/>
    <s v="Layouts Garantias de Liquidez -- GL"/>
    <s v="Pendiente"/>
    <s v="Modulo de tesoreria"/>
    <s v="NTT"/>
    <m/>
    <x v="1"/>
    <s v="NA"/>
    <x v="2"/>
    <x v="2"/>
    <s v="Cartera de Créditos"/>
    <s v="Operaciones"/>
    <s v="No aplica"/>
    <s v="Comentario Bajaware: Si no cuentan con las operaciones a las que se refiere ese layout, no es necesario llenarlo. Sin embargo, si Banxico da de alta el producto en el portal de Espifnet, tendrían que enviarlo vacío."/>
  </r>
  <r>
    <s v="Adicionales"/>
    <s v="Tesorería "/>
    <s v="Eduardo Cabral"/>
    <x v="1"/>
    <s v="SECCION 2A"/>
    <s v="Layouts Garantias de Liquidez -- GL"/>
    <s v="Pendiente"/>
    <s v="Modulo de tesoreria"/>
    <s v="NTT"/>
    <m/>
    <x v="1"/>
    <s v="NA"/>
    <x v="2"/>
    <x v="2"/>
    <s v="Cartera de Valores"/>
    <s v="Tesoreria"/>
    <s v="No aplica"/>
    <s v="Comentario Bajaware: Si no cuentan con las operaciones a las que se refiere ese layout, no es necesario llenarlo. Sin embargo, si Banxico da de alta el producto en el portal de Espifnet, tendrían que enviarlo vacío."/>
  </r>
  <r>
    <s v="Adicionales"/>
    <s v="Tesorería "/>
    <s v="Eduardo Cabral"/>
    <x v="1"/>
    <s v="SECCION 1"/>
    <s v="Layouts Garantias de Liquidez -- GL"/>
    <s v="Pendiente"/>
    <s v="Modulo de tesoreria"/>
    <s v="NTT"/>
    <m/>
    <x v="1"/>
    <s v="NA"/>
    <x v="2"/>
    <x v="2"/>
    <s v="Layouts Garantias de Liquidez"/>
    <s v="Financiamiento"/>
    <s v="No aplica"/>
    <s v="Comentario Bajaware: Si no cuentan con las operaciones a las que se refiere ese layout, no es necesario llenarlo. Sin embargo, si Banxico da de alta el producto en el portal de Espifnet, tendrían que enviarlo vacío."/>
  </r>
  <r>
    <s v="Adicionales"/>
    <s v="Tesorería "/>
    <s v="Eduardo Cabral"/>
    <x v="0"/>
    <s v="REPORTOS_MNME"/>
    <s v="Layout_REPORTOS_MN_ME_V7_2024 -- REPORTOS"/>
    <s v="Pendiente"/>
    <s v="Modulo de tesoreria"/>
    <s v="NTT"/>
    <m/>
    <x v="0"/>
    <s v="Ext NTT"/>
    <x v="0"/>
    <x v="0"/>
    <s v="Layout_REPORTOS_MN_ME_V7 -- REPORTOS"/>
    <s v="modif nomb layout"/>
    <m/>
    <m/>
  </r>
  <r>
    <s v="Cartera"/>
    <s v="Operaciones Credito"/>
    <s v="Luis Alberto"/>
    <x v="3"/>
    <s v="REL_CONSUMO_GARANTIA"/>
    <s v="V1.05_Credito_IFRS9_Consumo_Completo VF (2)"/>
    <s v="NA"/>
    <s v="NA"/>
    <m/>
    <m/>
    <x v="3"/>
    <s v="NA"/>
    <x v="2"/>
    <x v="2"/>
    <m/>
    <m/>
    <s v="No aplica"/>
    <m/>
  </r>
  <r>
    <s v="Operativos"/>
    <s v="Producto"/>
    <s v="Claudia Barroso"/>
    <x v="4"/>
    <s v="Registro Gral Prd"/>
    <s v="CUP -- CUP"/>
    <s v="Listo"/>
    <s v="VoBo Dado por el usuario (No se cuenta con informacion)"/>
    <s v="Estructura"/>
    <m/>
    <x v="4"/>
    <m/>
    <x v="1"/>
    <x v="4"/>
    <m/>
    <m/>
    <m/>
    <m/>
  </r>
  <r>
    <s v="Captacion"/>
    <s v="Producto"/>
    <s v="Claudia Barroso"/>
    <x v="2"/>
    <s v="RECO"/>
    <s v="Layout RECO BW -- RECO"/>
    <s v="Listo"/>
    <s v="Ntt, ya se reviso txt por usuario VoBo"/>
    <s v="Estructura y universo"/>
    <s v="Se reasignó a Prodcuto | estaba identificado como VoBo Usuario"/>
    <x v="2"/>
    <m/>
    <x v="1"/>
    <x v="5"/>
    <s v="Se menciona a NTT"/>
    <s v="Validar la parte de captación NTT para integrar en un solo reporte"/>
    <m/>
    <m/>
  </r>
  <r>
    <s v="Situacion Finaciera"/>
    <s v="Contabilidad"/>
    <s v="Ramon Jaimes "/>
    <x v="4"/>
    <s v="RECLASIFICACIONES"/>
    <s v="R10_RECLASIFICACIONES -- R10"/>
    <s v="Listo"/>
    <s v="Revision de txt por parte del usuario "/>
    <s v="Estructura y universo"/>
    <s v="Duda US ¿Cuál sería la mecánica para la generación de este reporte?"/>
    <x v="4"/>
    <m/>
    <x v="1"/>
    <x v="6"/>
    <m/>
    <m/>
    <m/>
    <m/>
  </r>
  <r>
    <s v="Operativos"/>
    <s v="Operaciones Captacion"/>
    <s v="Luis Alberto"/>
    <x v="1"/>
    <s v="RECLAMACIONES BURSATILES BM"/>
    <s v="R2711_ReclamacionesB_V0.4"/>
    <s v="NA"/>
    <s v="NA"/>
    <m/>
    <m/>
    <x v="3"/>
    <s v="NA"/>
    <x v="2"/>
    <x v="2"/>
    <s v="Estaba asiugnado a NTT"/>
    <m/>
    <s v="No aplica"/>
    <m/>
  </r>
  <r>
    <s v="Adicionales"/>
    <s v="UNE"/>
    <s v="Martin Roman"/>
    <x v="0"/>
    <s v="RECLAMACIONES"/>
    <s v="LAYOUT R27_V1 -- R27 - 2701"/>
    <s v="No mapeado"/>
    <m/>
    <m/>
    <m/>
    <x v="0"/>
    <m/>
    <x v="1"/>
    <x v="7"/>
    <m/>
    <m/>
    <m/>
    <m/>
  </r>
  <r>
    <s v="Adicionales"/>
    <s v="Contabilidad"/>
    <s v="Ramon Jaimes "/>
    <x v="4"/>
    <s v="R36_PAGOS_ANT_CARGOS_DIF"/>
    <s v="V1.00_R3601_CARGOS_DIF_PAGOS_ANTICIPADOS -- R36 3601"/>
    <s v="Por iniciar"/>
    <s v="Se requiere recepcion de requerimiento y Excel. (Usuario)"/>
    <m/>
    <m/>
    <x v="4"/>
    <m/>
    <x v="1"/>
    <x v="6"/>
    <m/>
    <m/>
    <m/>
    <m/>
  </r>
  <r>
    <s v="Adicionales"/>
    <s v="Riesgos"/>
    <s v="Homero Sanchez"/>
    <x v="0"/>
    <s v="R35_1"/>
    <s v="Layout R35_1 -- R35"/>
    <s v="No mapeado"/>
    <s v="Se tiene que realizar una vez migrado a Banco | se puede mapear la cartera de creditos -- Riesgos  / Exp Valores Transac -- Tesoreria"/>
    <s v="Estructura y universo"/>
    <m/>
    <x v="0"/>
    <m/>
    <x v="1"/>
    <x v="8"/>
    <m/>
    <m/>
    <m/>
    <m/>
  </r>
  <r>
    <s v="Adicionales"/>
    <s v="Operaciones Captacion"/>
    <s v="Luis Alberto"/>
    <x v="1"/>
    <s v="R26OPE"/>
    <s v="R26 Comisionistas -- R26 2610 2611 2612 2616"/>
    <s v="No mapeado"/>
    <s v="NTT"/>
    <m/>
    <m/>
    <x v="1"/>
    <s v="NA"/>
    <x v="2"/>
    <x v="2"/>
    <s v="Acuerdo con Erika el 18/12/24. No aplica en este momento, porque no tendremos nada de lo que solicita. "/>
    <m/>
    <s v="No aplica"/>
    <s v="Actualmente no tenemos comisionistas, esta información no se puede generar por el momento, nosotros decimos que no nos aplica, pero debemos cerrarlo en conjunto."/>
  </r>
  <r>
    <s v="Adicionales"/>
    <s v="Operaciones Captacion"/>
    <s v="Luis Alberto"/>
    <x v="1"/>
    <s v="R26_MODULO"/>
    <s v="R26 Comisionistas -- R26 2610 2611 2612 2615"/>
    <s v="No mapeado"/>
    <s v="NTT"/>
    <m/>
    <m/>
    <x v="1"/>
    <s v="NA"/>
    <x v="2"/>
    <x v="2"/>
    <s v="Acuerdo con Erika el 18/12/24. No aplica en este momento, porque no tendremos nada de lo que solicita. "/>
    <m/>
    <s v="No aplica"/>
    <s v="Actualmente no tenemos comisionistas, esta información no se puede generar por el momento, nosotros decimos que no nos aplica, pero debemos cerrarlo en conjunto."/>
  </r>
  <r>
    <s v="Adicionales"/>
    <s v="Operaciones Captacion"/>
    <s v="Luis Alberto"/>
    <x v="1"/>
    <s v="R26_COMISIONISTA"/>
    <s v="R26 Comisionistas -- R26 2610 2611 2612 2614"/>
    <s v="No mapeado"/>
    <s v="NTT"/>
    <m/>
    <m/>
    <x v="1"/>
    <s v="NA"/>
    <x v="2"/>
    <x v="2"/>
    <s v="Acuerdo con Erika el 18/12/24. No aplica en este momento, porque no tendremos nada de lo que solicita. "/>
    <m/>
    <s v="No aplica"/>
    <s v="Actualmente no tenemos comisionistas, esta información no se puede generar por el momento, nosotros decimos que no nos aplica, pero debemos cerrarlo en conjunto."/>
  </r>
  <r>
    <s v="Adicionales"/>
    <s v="Operaciones Captacion"/>
    <s v="Luis Alberto"/>
    <x v="1"/>
    <s v="R26_ADMINISTRADOR"/>
    <s v="R26 Comisionistas -- R26 2610 2611 2612 2613"/>
    <s v="No mapeado"/>
    <s v="NTT"/>
    <m/>
    <m/>
    <x v="1"/>
    <s v="NA"/>
    <x v="2"/>
    <x v="2"/>
    <s v="Acuerdo con Erika el 18/12/24. No aplica en este momento, porque no tendremos nada de lo que solicita. "/>
    <m/>
    <s v="No aplica"/>
    <s v="Actualmente no tenemos comisionistas, esta información no se puede generar por el momento, nosotros decimos que no nos aplica, pero debemos cerrarlo en conjunto."/>
  </r>
  <r>
    <s v="Operativos"/>
    <s v="Operaciones Captacion"/>
    <s v="Luis Alberto"/>
    <x v="2"/>
    <s v="R2441_42"/>
    <s v="Layout R2441_42_V2 --R2441 - R2442"/>
    <s v="No mapeado"/>
    <s v="NTT"/>
    <m/>
    <m/>
    <x v="2"/>
    <s v="Ext NTT"/>
    <x v="3"/>
    <x v="3"/>
    <s v="Este TXT ya fue entregado por NTT el 16/06 y te pase la guía para bajarlo de Transat el 27/10/25. Aún no lo conectan a ATOM. "/>
    <m/>
    <m/>
    <m/>
  </r>
  <r>
    <s v="Operativos"/>
    <s v="Operaciones Captacion"/>
    <s v="Arturo Angeles"/>
    <x v="0"/>
    <s v="R2431"/>
    <s v="Layout R2431_V4 -- R24 C2431"/>
    <s v="No mapeado"/>
    <s v="NTT"/>
    <m/>
    <s v="•_x0009_El 18/12/24 le indicamos al PMO que este Layout no correspondía a Operaciones. _x000a_•_x0009_Nuevamente en la reunión del 23/07/25 volvimos a pedir que lo asignaran y el acuerdo fue el siguiente: &quot;Contabilidad se lleva a revisar el Layout y si hacen faltan campos se investiga lo que hace falta. Tanto crédito como captación&quot;, Sharon le iba a dar seguimiento. _x000a_•_x0009_Es urgente que lo asignen, anexo minuta del 23/07/25."/>
    <x v="0"/>
    <s v="Ext NTT"/>
    <x v="3"/>
    <x v="1"/>
    <s v="Asignado a Captación"/>
    <s v="El Layout R24 Serie C, no le corresponde a Operaciones, solicita información de partes relacionadas que nosotros no tenemos, favor de revisar a fondo y determinar qué área lo debe llenar."/>
    <m/>
    <m/>
  </r>
  <r>
    <s v="Cartera"/>
    <s v="Operaciones Credito"/>
    <s v="Luis Alberto"/>
    <x v="2"/>
    <s v="R04A_SALDOS"/>
    <s v="V1.01_Credito_IFRS9_R04A -- A0411 - A0417 - A0419 - A0420 - A0424"/>
    <s v="Listo"/>
    <s v="Se tiene la estructura construida y se integraron los datos con los que se cuenta, aun no se cuenta con todo el universo(Fuentes externas"/>
    <s v="Estructura"/>
    <m/>
    <x v="2"/>
    <m/>
    <x v="1"/>
    <x v="5"/>
    <m/>
    <m/>
    <m/>
    <m/>
  </r>
  <r>
    <s v="Cartera"/>
    <s v="Operaciones Captacion y credito"/>
    <s v="Luis Alberto"/>
    <x v="0"/>
    <s v="R04A_MOV_420_24"/>
    <s v="V1.01_Credito_IFRS9_R04A -- A0411 - A0417 - A0419 - A0420 - A0424 -  R04A_MOV_420_24"/>
    <s v="Mapeado incompleto"/>
    <m/>
    <s v="Estructura y universo"/>
    <s v="Falta info de Contabilidad"/>
    <x v="0"/>
    <m/>
    <x v="1"/>
    <x v="6"/>
    <m/>
    <m/>
    <m/>
    <m/>
  </r>
  <r>
    <s v="Cartera"/>
    <s v="Contabilidad"/>
    <s v="Ramon Jaimes "/>
    <x v="2"/>
    <s v="R04A_MOV_419"/>
    <s v="V1.01_Credito_IFRS9_R04A -- A0411 - A0417 - A0419 - A0420 - A0424 -  R04A_MOV_419"/>
    <s v="Mapeado incompleto"/>
    <m/>
    <s v="Estructura y universo"/>
    <s v="Reasignado a Contabilidad"/>
    <x v="2"/>
    <m/>
    <x v="1"/>
    <x v="6"/>
    <m/>
    <m/>
    <m/>
    <m/>
  </r>
  <r>
    <s v="Adicionales"/>
    <s v="Tesorería "/>
    <s v="Eduardo Cabral"/>
    <x v="1"/>
    <s v="R03 E-0305 ÓRDENES"/>
    <s v="layout R03-0304-0305 E BM -- R04"/>
    <s v="Pendiente"/>
    <s v="Modulo de tesoreria"/>
    <s v="NTT"/>
    <m/>
    <x v="1"/>
    <s v="NA"/>
    <x v="2"/>
    <x v="2"/>
    <m/>
    <m/>
    <s v="No aplica"/>
    <s v="Hace referencia a operaciones con clientes, las cuales no se llevarán a cabo"/>
  </r>
  <r>
    <s v="Adicionales"/>
    <s v="Tesorería "/>
    <s v="Eduardo Cabral"/>
    <x v="1"/>
    <s v="R03 E-0304 ASIGNACIONES BM"/>
    <s v="layout R03-0304-0305 E BM -- R03"/>
    <s v="Pendiente"/>
    <s v="Modulo de tesoreria"/>
    <s v="NTT"/>
    <m/>
    <x v="1"/>
    <s v="NA"/>
    <x v="2"/>
    <x v="2"/>
    <m/>
    <m/>
    <s v="No aplica"/>
    <s v="Hace referencia a operaciones con clientes, las cuales no se llevarán a cabo"/>
  </r>
  <r>
    <s v="Operativos"/>
    <s v="Operaciones Captacion"/>
    <s v="Luis Alberto"/>
    <x v="2"/>
    <s v="PRODUCTOS CAPTACION CNBV"/>
    <s v="R2421_Prod Cap -- R2421"/>
    <s v="No mapeado"/>
    <s v="NTT"/>
    <m/>
    <m/>
    <x v="2"/>
    <s v="Ext NTT"/>
    <x v="3"/>
    <x v="3"/>
    <s v="Este TXT ya fue entregado por NTT el 28/05 y te pase la guía para bajarlo de Transat el 27/10/25. Aún no lo conectan a ATOM. "/>
    <m/>
    <m/>
    <m/>
  </r>
  <r>
    <s v="Adicionales"/>
    <s v="Tesorería "/>
    <s v="Eduardo Cabral"/>
    <x v="1"/>
    <s v="PRESTAMO DE VALORES"/>
    <s v="PRESTAMO DE VALORES_V0.1 -- PRESTAMOS"/>
    <s v="Pendiente"/>
    <s v="Modulo de tesoreria"/>
    <s v="NTT"/>
    <m/>
    <x v="1"/>
    <s v="NA"/>
    <x v="2"/>
    <x v="2"/>
    <m/>
    <m/>
    <s v="No aplica"/>
    <s v="No habrá Prestamos en Valores"/>
  </r>
  <r>
    <s v="Cartera"/>
    <s v="Operaciones Credito"/>
    <s v="Luis Alberto"/>
    <x v="2"/>
    <s v="PERSONA"/>
    <s v="V1.05_Layouts CREDITO Bancos IFRS (Comercial) (1)"/>
    <s v="Listo"/>
    <s v="Se tiene la estructura construida y se integraron los datos con los que se cuenta, aun no se cuenta con todo el universo(Fuentes externas Pantalla comercial y cualitativa individual)"/>
    <s v="Estructura"/>
    <m/>
    <x v="2"/>
    <m/>
    <x v="1"/>
    <x v="5"/>
    <m/>
    <m/>
    <m/>
    <m/>
  </r>
  <r>
    <s v="Operativos"/>
    <s v="Producto"/>
    <s v="Claudia Barroso"/>
    <x v="3"/>
    <s v="PENALIZACIONES NOMINA Y PERS"/>
    <s v="CUP -- CUP"/>
    <s v="NA"/>
    <s v="NA"/>
    <m/>
    <m/>
    <x v="3"/>
    <s v="NA"/>
    <x v="2"/>
    <x v="2"/>
    <m/>
    <m/>
    <s v="No aplica"/>
    <m/>
  </r>
  <r>
    <s v="Cartera"/>
    <s v="Operaciones Credito"/>
    <s v="Luis Alberto"/>
    <x v="2"/>
    <s v="PAGOS_EXIGIBLES"/>
    <s v="V1.05_Credito_IFRS9_Consumo_Completo VF (2)"/>
    <s v="Listo"/>
    <s v="Se tiene la estructura construida y se integraron los datos con los que se cuenta, aun no se cuenta con todo el universo(Fuentes externas"/>
    <s v="Estructura"/>
    <m/>
    <x v="2"/>
    <m/>
    <x v="1"/>
    <x v="5"/>
    <m/>
    <m/>
    <m/>
    <m/>
  </r>
  <r>
    <s v="Captacion"/>
    <s v="Operaciones Captacion"/>
    <s v="Arturo Angeles"/>
    <x v="1"/>
    <s v="OperacionesOEMN"/>
    <s v="LayoutOEMN_v3"/>
    <s v="No mapeado"/>
    <s v="NTT"/>
    <m/>
    <m/>
    <x v="1"/>
    <s v="NA"/>
    <x v="2"/>
    <x v="2"/>
    <s v="No  se realizaran operaciones en efectivo"/>
    <m/>
    <s v="No aplica"/>
    <s v="Comentario Bajaware: Con respecto a lo que comentas sobre la falta de operaciones en traslado y manejo de efectivo, no sería necesario enviar el layout; sin embargo, de acuerdo con el artículo 48 de la LIC, éste debe presentarse vacío."/>
  </r>
  <r>
    <s v="Adicionales"/>
    <s v="Captacion"/>
    <s v="Arturo Angeles"/>
    <x v="0"/>
    <s v="OPERACIONES DE CLIENTES BE"/>
    <s v="R1523_24_OPERACIONES DE CLIENTES BE_V0.4 -- R15 1523 1524"/>
    <s v="No mapeado"/>
    <m/>
    <m/>
    <m/>
    <x v="0"/>
    <m/>
    <x v="1"/>
    <x v="1"/>
    <m/>
    <m/>
    <m/>
    <m/>
  </r>
  <r>
    <s v="Operativos"/>
    <s v="Producto"/>
    <s v="Claudia Barroso"/>
    <x v="3"/>
    <s v="Moratoria CNR"/>
    <s v="CUP -- CUP"/>
    <s v="NA"/>
    <s v="NA"/>
    <m/>
    <m/>
    <x v="3"/>
    <s v="NA"/>
    <x v="2"/>
    <x v="2"/>
    <m/>
    <m/>
    <s v="No aplica"/>
    <m/>
  </r>
  <r>
    <s v="Adicionales"/>
    <s v="Tesorería "/>
    <s v="Eduardo Cabral"/>
    <x v="0"/>
    <s v="MODIF_TASAPREMIO"/>
    <s v="Layout_REPORTOS_MN_ME_V7_2024 -- REPORTOS"/>
    <s v="Pendiente"/>
    <s v="Modulo de tesoreria"/>
    <s v="NTT"/>
    <m/>
    <x v="0"/>
    <s v="Ext NTT"/>
    <x v="0"/>
    <x v="0"/>
    <s v="Layout_REPORTOS_MN_ME_V7 -- REPORTOS"/>
    <s v="modif nomb layout"/>
    <m/>
    <m/>
  </r>
  <r>
    <s v="Adicionales"/>
    <s v="Riesgos y tesoreria"/>
    <s v="Homero Sanchez"/>
    <x v="5"/>
    <s v="MERCANCIAS_RC"/>
    <s v="LAYOUT MERCANCIAS_RCS -- RC17"/>
    <s v="No mapeado"/>
    <s v="Lo trabaja Bajaware"/>
    <m/>
    <m/>
    <x v="5"/>
    <s v="Ext Bajaware"/>
    <x v="3"/>
    <x v="9"/>
    <m/>
    <m/>
    <m/>
    <m/>
  </r>
  <r>
    <s v="Captacion"/>
    <s v="Producto"/>
    <s v="Claudia Barroso"/>
    <x v="4"/>
    <s v="MDEF_SUC Y CAJAS GRALES"/>
    <s v="Layouts MDEF -- MDEF"/>
    <s v="Listo"/>
    <s v="VoBo Dado por el usuario (No se cuenta con informacion)"/>
    <s v="Estructura"/>
    <m/>
    <x v="4"/>
    <m/>
    <x v="1"/>
    <x v="4"/>
    <m/>
    <m/>
    <m/>
    <m/>
  </r>
  <r>
    <s v="Captacion"/>
    <s v="Producto"/>
    <s v="Claudia Barroso"/>
    <x v="3"/>
    <s v="MDEF_CAJEROS PROPIOS"/>
    <s v="Layouts MDEF -- MDEF"/>
    <s v="NA"/>
    <s v="NA"/>
    <m/>
    <m/>
    <x v="3"/>
    <s v="NA"/>
    <x v="2"/>
    <x v="2"/>
    <m/>
    <m/>
    <s v="No aplica"/>
    <m/>
  </r>
  <r>
    <s v="Captacion"/>
    <s v="Producto"/>
    <s v="Claudia Barroso"/>
    <x v="3"/>
    <s v="MDEF_CAJEROS EXTERNOS"/>
    <s v="Layouts MDEF -- MDEF"/>
    <s v="NA"/>
    <s v="NA"/>
    <m/>
    <m/>
    <x v="3"/>
    <s v="NA"/>
    <x v="2"/>
    <x v="2"/>
    <m/>
    <m/>
    <s v="No aplica"/>
    <m/>
  </r>
  <r>
    <s v="Captacion"/>
    <s v="Producto"/>
    <s v="Claudia Barroso"/>
    <x v="3"/>
    <s v="MDEF_BOVEDAS PROPIAS"/>
    <s v="Layouts MDEF -- MDEF"/>
    <s v="NA"/>
    <s v="NA"/>
    <m/>
    <m/>
    <x v="3"/>
    <s v="NA"/>
    <x v="2"/>
    <x v="2"/>
    <m/>
    <m/>
    <s v="No aplica"/>
    <m/>
  </r>
  <r>
    <s v="Captacion"/>
    <s v="Producto"/>
    <s v="Claudia Barroso"/>
    <x v="3"/>
    <s v="MDEF_BOVEDAS EXTERNAS"/>
    <s v="Layouts MDEF -- MDEF"/>
    <s v="NA"/>
    <s v="NA"/>
    <m/>
    <m/>
    <x v="3"/>
    <s v="NA"/>
    <x v="2"/>
    <x v="2"/>
    <m/>
    <m/>
    <s v="No aplica"/>
    <m/>
  </r>
  <r>
    <s v="Cartera"/>
    <s v="Operaciones Credito"/>
    <s v="Luis Alberto"/>
    <x v="2"/>
    <s v="LINEA CREDITO"/>
    <s v="V1.05_Layouts CREDITO Bancos IFRS (Comercial) (1)"/>
    <s v="Listo"/>
    <s v="Se tiene la estructura construida y se integraron los datos con los que se cuenta, aun no se cuenta con todo el universo(Fuentes externas Pantalla comercial)"/>
    <s v="Estructura"/>
    <m/>
    <x v="2"/>
    <m/>
    <x v="1"/>
    <x v="5"/>
    <m/>
    <m/>
    <m/>
    <m/>
  </r>
  <r>
    <s v="Situacion Finaciera"/>
    <s v="Contabilidad"/>
    <s v="Ramon Jaimes "/>
    <x v="4"/>
    <s v="INVERSIONES PERMANENTES"/>
    <s v="R1230_Contables_IFRS9_Inversiones_Permanentes_V1"/>
    <s v="Por iniciar"/>
    <s v="Se requiere recepcion de requerimiento y Excel. (Usuario)"/>
    <m/>
    <s v="Excel confirmado como fuente"/>
    <x v="4"/>
    <m/>
    <x v="1"/>
    <x v="6"/>
    <s v="Validar estructura de archivos Excel para que sea igual a columnas tablas destino"/>
    <s v="Complementar archivo cofiguracion Lambda con estructura tablas"/>
    <m/>
    <m/>
  </r>
  <r>
    <s v="Situacion Finaciera"/>
    <s v="Contabilidad"/>
    <s v="Ramon Jaimes "/>
    <x v="4"/>
    <s v="INTEGRACION ACCIONARIA"/>
    <s v="R1411_INT. ACC -- R1411"/>
    <s v="Listo"/>
    <s v="Revision de txt por parte del usuario "/>
    <s v="Estructura y universo"/>
    <s v="Falta VoBo ultima Modif decimales col 13"/>
    <x v="4"/>
    <m/>
    <x v="1"/>
    <x v="6"/>
    <m/>
    <m/>
    <m/>
    <m/>
  </r>
  <r>
    <s v="Adicionales"/>
    <s v="Operaciones Captacion"/>
    <s v="Luis Alberto"/>
    <x v="3"/>
    <s v="INFIMP"/>
    <s v="Layout INFIMP -- INFIMP"/>
    <s v="NA"/>
    <s v="NA"/>
    <m/>
    <m/>
    <x v="3"/>
    <s v="NA"/>
    <x v="2"/>
    <x v="2"/>
    <m/>
    <m/>
    <s v="No aplica"/>
    <m/>
  </r>
  <r>
    <s v="Situacion Finaciera"/>
    <s v="Contabilidad"/>
    <s v="Ramon Jaimes "/>
    <x v="4"/>
    <s v="IMPUESTOS"/>
    <s v="R07_Imp Dif -- R07"/>
    <s v="Listo"/>
    <s v="Se requiere recepcion de requerimiento y Excel. (Usuario)"/>
    <m/>
    <s v="Duda US ¿Cuál sería la mecánica para la generación de este reporte?"/>
    <x v="4"/>
    <m/>
    <x v="1"/>
    <x v="6"/>
    <m/>
    <m/>
    <m/>
    <m/>
  </r>
  <r>
    <s v="Cartera"/>
    <s v="Operaciones Credito"/>
    <s v="Luis Alberto"/>
    <x v="2"/>
    <s v="HIPOTECARIO"/>
    <s v="V1.05_Layouts CREDITO Bancos IFRS (Hipotecario Simplificado) (1)- HIPOTECARIO"/>
    <s v="Listo"/>
    <s v="Se tiene la estructura construida y se integraron los datos con los que se cuenta, aun no se cuenta con todo el universo(Fuentes externas"/>
    <s v="Estructura"/>
    <m/>
    <x v="2"/>
    <m/>
    <x v="1"/>
    <x v="5"/>
    <m/>
    <m/>
    <m/>
    <m/>
  </r>
  <r>
    <s v="Cartera"/>
    <s v="Operaciones Credito"/>
    <s v="Luis Alberto"/>
    <x v="3"/>
    <s v="GARANTIA_CONSUMO"/>
    <s v="V1.05_Credito_IFRS9_Consumo_Completo VF (2)"/>
    <s v="NA"/>
    <s v="NA"/>
    <m/>
    <m/>
    <x v="3"/>
    <s v="NA"/>
    <x v="2"/>
    <x v="2"/>
    <m/>
    <m/>
    <s v="No aplica"/>
    <m/>
  </r>
  <r>
    <s v="Cartera"/>
    <s v="Operaciones Credito"/>
    <s v="Luis Alberto"/>
    <x v="2"/>
    <s v="GARANTIA"/>
    <s v="V1.05_Layouts CREDITO Bancos IFRS (Comercial) (1)"/>
    <s v="Listo"/>
    <s v="Se tiene la estructura construida y se integraron los datos con los que se cuenta, aun no se cuenta con todo el universo(Fuentes externas Pantalla comercial)"/>
    <s v="Estructura"/>
    <s v="PRELACION_GAR campo pendiente MAPEO | US revisa info restante"/>
    <x v="2"/>
    <m/>
    <x v="1"/>
    <x v="8"/>
    <m/>
    <m/>
    <m/>
    <m/>
  </r>
  <r>
    <s v="Adicionales"/>
    <s v="Riesgos y tesoreria"/>
    <s v="Homero Sanchez"/>
    <x v="6"/>
    <s v="GAMMA_VEGA"/>
    <s v="LAYOUT GAMMA_VEGA_V2 -- RC18"/>
    <s v="No mapeado"/>
    <s v="Lo trabaja Bajaware"/>
    <m/>
    <m/>
    <x v="6"/>
    <s v="Ext Bajaware"/>
    <x v="1"/>
    <x v="8"/>
    <m/>
    <m/>
    <m/>
    <m/>
  </r>
  <r>
    <s v="Captacion"/>
    <s v="Operaciones Captacion"/>
    <s v="Luis Alberto"/>
    <x v="2"/>
    <s v="FT_TPA"/>
    <s v="Layout TPA BW_v2 -- TPA"/>
    <s v="Pendiente"/>
    <s v="Modulo de tesoreria"/>
    <s v="Estructura"/>
    <s v="VoBo sobre estructura"/>
    <x v="2"/>
    <s v="Ext NTT"/>
    <x v="1"/>
    <x v="5"/>
    <m/>
    <m/>
    <m/>
    <m/>
  </r>
  <r>
    <s v="Mercados"/>
    <s v="Tesorería "/>
    <s v="Eduardo Cabral"/>
    <x v="0"/>
    <s v="FT_TENENCIA"/>
    <s v="LayoutTenencia_V2 -- TENENCIA - REPORTOS"/>
    <s v="Pendiente"/>
    <s v="Modulo de tesoreria"/>
    <s v="NTT"/>
    <m/>
    <x v="0"/>
    <s v="Ext NTT"/>
    <x v="0"/>
    <x v="0"/>
    <m/>
    <m/>
    <m/>
    <m/>
  </r>
  <r>
    <s v="Mercados"/>
    <s v="Tesorería "/>
    <s v="Eduardo Cabral"/>
    <x v="0"/>
    <s v="FT_REPORTOS_CDA"/>
    <s v="Layout_REPORTOS_CDA -- REPORTOS"/>
    <s v="Pendiente"/>
    <s v="Modulo de tesoreria"/>
    <s v="NTT"/>
    <s v="Marcados originalmente como NA"/>
    <x v="0"/>
    <s v="Ext NTT"/>
    <x v="0"/>
    <x v="0"/>
    <m/>
    <m/>
    <m/>
    <m/>
  </r>
  <r>
    <s v="Mercados"/>
    <s v="Tesorería "/>
    <s v="Eduardo Cabral"/>
    <x v="0"/>
    <s v="FT_REPORTOS"/>
    <s v="Layout_REPORTOS_MN_ME_V3"/>
    <s v="Pendiente"/>
    <s v="Modulo de tesoreria"/>
    <s v="NTT"/>
    <m/>
    <x v="0"/>
    <s v="Ext NTT"/>
    <x v="0"/>
    <x v="0"/>
    <m/>
    <m/>
    <m/>
    <m/>
  </r>
  <r>
    <s v="Operativos"/>
    <s v="Operaciones Captacion"/>
    <s v="Luis Alberto"/>
    <x v="1"/>
    <s v="FT_R2911"/>
    <s v="Layout R29 V2 -- R2911"/>
    <s v="No mapeado"/>
    <s v="NTT"/>
    <m/>
    <m/>
    <x v="1"/>
    <s v="NA"/>
    <x v="2"/>
    <x v="2"/>
    <s v="Acuerdo con Erika el 18/12/24. No aplica en este momento por que este Layout es a la medida, por cada caso, con información de contraloría, en Transact no tendremos nada."/>
    <m/>
    <s v="No aplica"/>
    <s v="Operaciones señala que este Layout es exclusivo de captación, no entendemos porque lo marcan que aplica para crédito //No trabajado por NTT. No vemos de donde obtener esta información del sistema actual ni futuro. El reporte nos pide la información de requerimientos de aseguramientos solicitados por la autoridad ministerial, hacendaria, fiscal, judicial o laboral; así como los datos del titular y cotitular a quién se aplicará el requerimiento y de la cuenta de nómina, mercado abierto u otra modalidad. Debemos ver en conjunto primero que área tiene los datos y segundo si nos aplicará o no. "/>
  </r>
  <r>
    <s v="Mercados"/>
    <s v="Tesorería "/>
    <s v="Eduardo Cabral"/>
    <x v="1"/>
    <s v="FT_PAC_II"/>
    <s v="Layout_PACII_V1 -- PAC"/>
    <s v="NA"/>
    <s v="Modulo de tesoreria"/>
    <s v="NTT"/>
    <m/>
    <x v="3"/>
    <s v="NA"/>
    <x v="2"/>
    <x v="2"/>
    <s v="Layout_PACII_V1 -- PAC RC05"/>
    <s v="nombre layout modifcado"/>
    <s v="No aplica"/>
    <m/>
  </r>
  <r>
    <s v="Mercados"/>
    <s v="Tesorería "/>
    <s v="Eduardo Cabral"/>
    <x v="0"/>
    <s v="FT_CVT_TR"/>
    <s v="Layout_CVT_TR_V2"/>
    <s v="Pendiente"/>
    <s v="Modulo de tesoreria"/>
    <s v="NTT"/>
    <m/>
    <x v="0"/>
    <s v="Ext NTT"/>
    <x v="0"/>
    <x v="0"/>
    <m/>
    <m/>
    <m/>
    <m/>
  </r>
  <r>
    <s v="Mercados"/>
    <s v="Tesorería "/>
    <s v="Eduardo Cabral"/>
    <x v="0"/>
    <s v="FT_CVT_IN"/>
    <s v="Layout_CVT_IN_V2 -- CVT"/>
    <s v="Pendiente"/>
    <s v="Modulo de tesoreria"/>
    <s v="NTT"/>
    <m/>
    <x v="0"/>
    <s v="Ext NTT"/>
    <x v="0"/>
    <x v="0"/>
    <m/>
    <m/>
    <m/>
    <m/>
  </r>
  <r>
    <s v="Mercados"/>
    <s v="Tesorería "/>
    <s v="Eduardo Cabral"/>
    <x v="0"/>
    <s v="FT_CVT"/>
    <s v="Layout_CVT_MN_ME_V3 -- CVT - RCs - TENENCIA"/>
    <s v="Pendiente"/>
    <s v="Modulo de tesoreria"/>
    <s v="NTT"/>
    <m/>
    <x v="0"/>
    <s v="Ext NTT"/>
    <x v="0"/>
    <x v="0"/>
    <m/>
    <m/>
    <m/>
    <m/>
  </r>
  <r>
    <s v="Adicionales"/>
    <s v="Finanzas"/>
    <s v="Arturo Angeles"/>
    <x v="0"/>
    <s v="FT_ACLME_X"/>
    <s v="Layout ACLME_X_V1 -- ACLME"/>
    <s v="Pendiente"/>
    <s v="Modulo de tesoreria"/>
    <s v="NTT"/>
    <m/>
    <x v="0"/>
    <s v="Ext NTT"/>
    <x v="4"/>
    <x v="1"/>
    <m/>
    <m/>
    <m/>
    <m/>
  </r>
  <r>
    <s v="Situacion Finaciera"/>
    <s v="Contabilidad"/>
    <s v="Ramon Jaimes "/>
    <x v="4"/>
    <s v="FLUJOS Y VARIACIONES"/>
    <s v="R13A_FLUJOS Y VARIACIONES -- R13A"/>
    <s v="Por iniciar"/>
    <s v="Se requiere recepcion de requerimiento y Excel. (Usuario)"/>
    <m/>
    <s v="US envía Difs 20250901"/>
    <x v="4"/>
    <m/>
    <x v="1"/>
    <x v="6"/>
    <m/>
    <m/>
    <m/>
    <m/>
  </r>
  <r>
    <s v="Riesgos"/>
    <s v="Riesgos"/>
    <s v="Homero Sanchez"/>
    <x v="5"/>
    <s v="FILE_TITULOS_DEUDA"/>
    <s v="LAYOUTS_RCS_v2 -- RC01 - RC03 - RC04 - RC07 - RC08 - RC02 - RC06A"/>
    <s v="No mapeado"/>
    <s v="Lo trabaja Bajaware"/>
    <m/>
    <m/>
    <x v="5"/>
    <s v="Ext Bajaware"/>
    <x v="3"/>
    <x v="9"/>
    <m/>
    <m/>
    <m/>
    <m/>
  </r>
  <r>
    <s v="Adicionales"/>
    <s v="Finanzas"/>
    <s v="Arturo Angeles"/>
    <x v="0"/>
    <s v="FILE_TIPOCAMBIO_DIARIO"/>
    <s v="Layout_Tipos de Cambio Diario_v2 -- ACLME"/>
    <s v="Pendiente"/>
    <s v="Modulo de tesoreria"/>
    <s v="NTT"/>
    <m/>
    <x v="0"/>
    <s v="Ext NTT"/>
    <x v="4"/>
    <x v="1"/>
    <m/>
    <m/>
    <m/>
    <m/>
  </r>
  <r>
    <s v="Mercados"/>
    <s v="Tesorería "/>
    <s v="Eduardo Cabral"/>
    <x v="0"/>
    <s v="FILE_TENENCIA_PRECIO"/>
    <s v="CORE_LayoutTenenciaAdicional_v3.2 -- TENENCIA"/>
    <s v="Pendiente"/>
    <s v="Modulo de tesoreria"/>
    <s v="NTT"/>
    <m/>
    <x v="0"/>
    <s v="Ext NTT"/>
    <x v="0"/>
    <x v="0"/>
    <m/>
    <m/>
    <m/>
    <m/>
  </r>
  <r>
    <s v="Captacion"/>
    <s v="Operaciones Captacion"/>
    <s v="Luis Alberto"/>
    <x v="2"/>
    <s v="FILE_SISPAGOS"/>
    <s v="Layout SISPAGOS BW -- SISPAGOS"/>
    <s v="Listo"/>
    <s v="Ntt, ya se reviso txt por usuario VoBo Estructura"/>
    <s v="Estructura y universo"/>
    <m/>
    <x v="2"/>
    <s v="Ext NTT"/>
    <x v="1"/>
    <x v="5"/>
    <s v="Se requiera info actualizada congelando sistema para validacion"/>
    <m/>
    <m/>
    <m/>
  </r>
  <r>
    <s v="Riesgos"/>
    <s v="Riesgos"/>
    <s v="Homero Sanchez"/>
    <x v="6"/>
    <s v="FILE_RC19_INSUMO"/>
    <s v="LAYOUTS_RCS_v2 -- RC01 - RC03 - RC04 - RC07 - RC08 - RC02 - RC06A"/>
    <s v="No mapeado"/>
    <s v="Lo trabaja Bajaware"/>
    <m/>
    <m/>
    <x v="6"/>
    <s v="Ext Bajaware"/>
    <x v="1"/>
    <x v="8"/>
    <m/>
    <m/>
    <m/>
    <m/>
  </r>
  <r>
    <s v="Riesgos"/>
    <s v="Riesgos"/>
    <s v="Homero Sanchez"/>
    <x v="6"/>
    <s v="FILE_RC08_INT_ACC"/>
    <s v="LAYOUTS_RCS_v2 -- RC01 - RC03 - RC04 - RC07 - RC08 - RC02 - RC06A"/>
    <s v="No mapeado"/>
    <s v="Lo trabaja Bajaware"/>
    <m/>
    <m/>
    <x v="6"/>
    <s v="Ext Bajaware"/>
    <x v="1"/>
    <x v="8"/>
    <m/>
    <m/>
    <m/>
    <m/>
  </r>
  <r>
    <s v="Riesgos"/>
    <s v="Riesgos"/>
    <s v="Homero Sanchez"/>
    <x v="5"/>
    <s v="FILE_RC06A_DERIVADOS_TEMP"/>
    <s v="LAYOUTS_RCS_v2 -- RC01 - RC03 - RC04 - RC07 - RC08 - RC02 - RC06A"/>
    <s v="No mapeado"/>
    <s v="Lo trabaja Bajaware"/>
    <m/>
    <m/>
    <x v="5"/>
    <s v="Ext Bajaware"/>
    <x v="3"/>
    <x v="9"/>
    <m/>
    <m/>
    <m/>
    <m/>
  </r>
  <r>
    <s v="Riesgos"/>
    <s v="Riesgos"/>
    <s v="Homero Sanchez"/>
    <x v="6"/>
    <s v="FILE_RC_CTACOB_INSUMO"/>
    <s v="LAYOUTS_RCS_v2 -- RC01 - RC03 - RC04 - RC07 - RC08 - RC02 - RC06A"/>
    <s v="No mapeado"/>
    <s v="Lo trabaja Bajaware"/>
    <m/>
    <m/>
    <x v="6"/>
    <s v="Ext Bajaware"/>
    <x v="1"/>
    <x v="8"/>
    <m/>
    <m/>
    <m/>
    <m/>
  </r>
  <r>
    <s v="Adicionales"/>
    <s v="Riesgos"/>
    <s v="Homero Sanchez"/>
    <x v="6"/>
    <s v="FILE_R01_PAGOS_ANT"/>
    <s v="LAYOUTS_RCS_v5"/>
    <s v="No mapeado"/>
    <s v="Lo trabaja Bajaware"/>
    <m/>
    <m/>
    <x v="6"/>
    <s v="Ext Bajaware"/>
    <x v="1"/>
    <x v="8"/>
    <m/>
    <m/>
    <m/>
    <m/>
  </r>
  <r>
    <s v="Mercados"/>
    <s v="Tesorería "/>
    <s v="Eduardo Cabral"/>
    <x v="1"/>
    <s v="FILE_PAC_I"/>
    <s v="Layout_PACI_V2 -- PAC"/>
    <s v="NA"/>
    <s v="Modulo de tesoreria"/>
    <s v="NTT"/>
    <m/>
    <x v="3"/>
    <s v="NA"/>
    <x v="2"/>
    <x v="2"/>
    <m/>
    <m/>
    <s v="No aplica"/>
    <m/>
  </r>
  <r>
    <s v="Adicionales"/>
    <s v="Tesorería "/>
    <s v="Eduardo Cabral"/>
    <x v="1"/>
    <s v="FILE_OPTO_X"/>
    <s v="Layout_OPTO_V3 -- OPTO"/>
    <s v="Pendiente"/>
    <s v="Modulo de tesoreria"/>
    <s v="NTT"/>
    <s v="Marcados originalmente como NA"/>
    <x v="1"/>
    <s v="Ext NTT"/>
    <x v="0"/>
    <x v="0"/>
    <m/>
    <m/>
    <s v="No aplica"/>
    <s v="No se opera en Mercados Reconocidos"/>
  </r>
  <r>
    <s v="Adicionales"/>
    <s v="Tesorería "/>
    <s v="Eduardo Cabral"/>
    <x v="1"/>
    <s v="FILE_OPTO_VIII_CONVO"/>
    <s v="Layout_OPTO_V3 -- OPTO"/>
    <s v="Pendiente"/>
    <s v="Modulo de tesoreria"/>
    <s v="NTT"/>
    <s v="Marcados originalmente como NA"/>
    <x v="1"/>
    <s v="Ext NTT"/>
    <x v="0"/>
    <x v="0"/>
    <m/>
    <m/>
    <s v="No aplica"/>
    <s v="No se operan Warrants"/>
  </r>
  <r>
    <s v="Adicionales"/>
    <s v="Tesorería "/>
    <s v="Eduardo Cabral"/>
    <x v="1"/>
    <s v="FILE_OPTO_MEREC_CONVO"/>
    <s v="Layout_OPTO_V3 -- OPTO"/>
    <s v="Pendiente"/>
    <s v="Modulo de tesoreria"/>
    <s v="NTT"/>
    <m/>
    <x v="1"/>
    <s v="Ext NTT"/>
    <x v="0"/>
    <x v="0"/>
    <m/>
    <m/>
    <s v="No aplica"/>
    <s v="No se opera en Mercados Reconocidos"/>
  </r>
  <r>
    <s v="Adicionales"/>
    <s v="Tesorería "/>
    <s v="Eduardo Cabral"/>
    <x v="1"/>
    <s v="FILE_OPTO_IX_COM"/>
    <s v="Layout_OPTO_V3 -- OPTO"/>
    <s v="Pendiente"/>
    <s v="Modulo de tesoreria"/>
    <s v="NTT"/>
    <s v="Marcados originalmente como NA"/>
    <x v="1"/>
    <s v="Ext NTT"/>
    <x v="0"/>
    <x v="0"/>
    <m/>
    <m/>
    <s v="No aplica"/>
    <s v="No se opera en Mercados Reconocidos"/>
  </r>
  <r>
    <s v="Adicionales"/>
    <s v="Tesorería "/>
    <s v="Eduardo Cabral"/>
    <x v="1"/>
    <s v="FILE_OPTO_IX"/>
    <s v="Layout_OPTO_V3 -- OPTO"/>
    <s v="Pendiente"/>
    <s v="Modulo de tesoreria"/>
    <s v="NTT"/>
    <s v="Marcados originalmente como NA"/>
    <x v="1"/>
    <s v="Ext NTT"/>
    <x v="0"/>
    <x v="0"/>
    <m/>
    <m/>
    <s v="No aplica"/>
    <s v="No se opera en Mercados Reconocidos"/>
  </r>
  <r>
    <s v="Adicionales"/>
    <s v="Tesorería "/>
    <s v="Eduardo Cabral"/>
    <x v="1"/>
    <s v="FILE_OPTO_III"/>
    <s v="Layout_OPTO_V3 -- OPTO"/>
    <s v="Pendiente"/>
    <s v="Modulo de tesoreria"/>
    <s v="NTT"/>
    <m/>
    <x v="1"/>
    <s v="Ext NTT"/>
    <x v="0"/>
    <x v="0"/>
    <m/>
    <m/>
    <s v="No aplica"/>
    <s v="No se operan Warrants"/>
  </r>
  <r>
    <s v="Adicionales"/>
    <s v="Tesorería "/>
    <s v="Eduardo Cabral"/>
    <x v="1"/>
    <s v="FILE_OPTO_II_COM"/>
    <s v="Layout_OPTO_V3 -- OPTO"/>
    <s v="Pendiente"/>
    <s v="Modulo de tesoreria"/>
    <s v="NTT"/>
    <m/>
    <x v="1"/>
    <s v="Ext NTT"/>
    <x v="0"/>
    <x v="0"/>
    <m/>
    <m/>
    <s v="No aplica"/>
    <s v="No  se operan paquete de opciones"/>
  </r>
  <r>
    <s v="Adicionales"/>
    <s v="Tesorería "/>
    <s v="Eduardo Cabral"/>
    <x v="0"/>
    <s v="FILE_OPTO_II"/>
    <s v="Layout_OPTO_V3 -- OPTO"/>
    <s v="Pendiente"/>
    <s v="Modulo de tesoreria"/>
    <s v="NTT"/>
    <m/>
    <x v="0"/>
    <s v="Ext NTT"/>
    <x v="0"/>
    <x v="0"/>
    <m/>
    <m/>
    <m/>
    <m/>
  </r>
  <r>
    <s v="Adicionales"/>
    <s v="Tesorería "/>
    <s v="Eduardo Cabral"/>
    <x v="1"/>
    <s v="FILE_OPTO_I"/>
    <s v="Layout_OPTO_V3 -- OPTO"/>
    <s v="Pendiente"/>
    <s v="Modulo de tesoreria"/>
    <s v="NTT"/>
    <m/>
    <x v="1"/>
    <s v="Ext NTT"/>
    <x v="0"/>
    <x v="0"/>
    <m/>
    <m/>
    <s v="No aplica"/>
    <s v="No se opera en Mercados Reconocidos"/>
  </r>
  <r>
    <s v="Adicionales"/>
    <s v="Tesorería "/>
    <s v="Eduardo Cabral"/>
    <x v="0"/>
    <s v="FILE_OPTO_CONVO"/>
    <s v="Layout_OPTO_V3 -- OPTO"/>
    <s v="Pendiente"/>
    <s v="Modulo de tesoreria"/>
    <s v="NTT"/>
    <m/>
    <x v="0"/>
    <s v="Ext NTT"/>
    <x v="0"/>
    <x v="0"/>
    <m/>
    <m/>
    <s v="Alex valida con Eduardo"/>
    <s v="puede que no se opere como covertura"/>
  </r>
  <r>
    <s v="Adicionales"/>
    <s v="Tesorería "/>
    <s v="Eduardo Cabral"/>
    <x v="0"/>
    <s v="FILE_OFF_FX_DDMMAA"/>
    <s v="Layout OFF_FX_V7 -- OFF"/>
    <s v="Pendiente"/>
    <s v="Modulo de tesoreria"/>
    <s v="NTT"/>
    <m/>
    <x v="0"/>
    <s v="Ext NTT"/>
    <x v="0"/>
    <x v="0"/>
    <m/>
    <m/>
    <m/>
    <m/>
  </r>
  <r>
    <s v="Adicionales"/>
    <s v="Tesorería "/>
    <s v="Eduardo Cabral"/>
    <x v="0"/>
    <s v="FILE_OFF_CONVAL"/>
    <s v="Layout OFF_FX_V7 -- OFF"/>
    <s v="Pendiente"/>
    <s v="Modulo de tesoreria"/>
    <s v="NTT"/>
    <m/>
    <x v="0"/>
    <s v="Ext NTT"/>
    <x v="0"/>
    <x v="0"/>
    <m/>
    <m/>
    <m/>
    <m/>
  </r>
  <r>
    <s v="Captacion"/>
    <s v="Operaciones Captacion"/>
    <s v="Luis Alberto"/>
    <x v="2"/>
    <s v="FILE_OCIM_II"/>
    <s v="Layout OCIM_II_Activas_V3 -- OCIMN_II - OCIME_II"/>
    <s v="NA"/>
    <s v="NA"/>
    <m/>
    <s v="Estaba identificado con NA"/>
    <x v="2"/>
    <s v="Ext NTT"/>
    <x v="3"/>
    <x v="5"/>
    <m/>
    <m/>
    <m/>
    <m/>
  </r>
  <r>
    <s v="Captacion"/>
    <s v="Operaciones Captacion"/>
    <s v="Luis Alberto"/>
    <x v="2"/>
    <s v="FILE_OCIM_I"/>
    <s v="Layout OCIM_Diario_V1 -- OCIMN_I - OCIME_I"/>
    <s v="NA"/>
    <s v="NA"/>
    <m/>
    <s v="Estaba identificado con NA"/>
    <x v="2"/>
    <s v="Ext NTT"/>
    <x v="3"/>
    <x v="5"/>
    <m/>
    <m/>
    <m/>
    <m/>
  </r>
  <r>
    <s v="Liquidez"/>
    <s v="Riesgos"/>
    <s v="Homero Sanchez"/>
    <x v="0"/>
    <s v="FILE_ML"/>
    <s v="Layout ML-4 -- ML"/>
    <s v="Pendiente"/>
    <s v="Modulo de tesoreria"/>
    <s v="NTT"/>
    <m/>
    <x v="0"/>
    <s v="Ext NTT"/>
    <x v="4"/>
    <x v="8"/>
    <m/>
    <m/>
    <m/>
    <m/>
  </r>
  <r>
    <s v="Adicionales"/>
    <s v="Tesorería "/>
    <s v="Eduardo Cabral"/>
    <x v="0"/>
    <s v="FILE_GARANTIAS_IV"/>
    <s v="Layout_Garantias_V1 - GARANTIAS"/>
    <s v="Pendiente"/>
    <s v="Modulo de tesoreria"/>
    <s v="NTT"/>
    <s v="No es Scope iniical RMC, asignado a Tesoreria"/>
    <x v="0"/>
    <s v="Ext NTT"/>
    <x v="4"/>
    <x v="0"/>
    <m/>
    <m/>
    <m/>
    <m/>
  </r>
  <r>
    <s v="Adicionales"/>
    <s v="Tesorería "/>
    <s v="Eduardo Cabral"/>
    <x v="1"/>
    <s v="FILE_GARANTIAS_III"/>
    <s v="Layout_Garantias_V1 - GARANTIAS"/>
    <s v="Pendiente"/>
    <s v="Modulo de tesoreria"/>
    <s v="NTT"/>
    <s v="No es Scope iniical RMC, asignado a Tesoreria"/>
    <x v="1"/>
    <s v="Ext NTT"/>
    <x v="4"/>
    <x v="0"/>
    <m/>
    <m/>
    <s v="No aplica"/>
    <s v="No se opera en Mercados Reconocidos"/>
  </r>
  <r>
    <s v="Adicionales"/>
    <s v="Tesorería "/>
    <s v="Eduardo Cabral"/>
    <x v="0"/>
    <s v="FILE_GARANTIAS_II"/>
    <s v="Layout_Garantias_V1 - GARANTIAS"/>
    <s v="Pendiente"/>
    <s v="Modulo de tesoreria"/>
    <s v="NTT"/>
    <s v="No es Scope iniical RMC, asignado a Tesoreria"/>
    <x v="0"/>
    <s v="Ext NTT"/>
    <x v="4"/>
    <x v="0"/>
    <m/>
    <m/>
    <m/>
    <m/>
  </r>
  <r>
    <s v="Adicionales"/>
    <s v="Tesorería "/>
    <s v="Eduardo Cabral"/>
    <x v="1"/>
    <s v="FILE_GARANTIAS_I"/>
    <s v="Layout_Garantias_V1 - GARANTIAS"/>
    <s v="Pendiente"/>
    <s v="Modulo de tesoreria"/>
    <s v="NTT"/>
    <s v="No es Scope iniical RMC, asignado a Tesoreria"/>
    <x v="1"/>
    <s v="Ext NTT"/>
    <x v="4"/>
    <x v="0"/>
    <m/>
    <m/>
    <s v="No aplica"/>
    <s v="No se opera en Mercados Reconocidos"/>
  </r>
  <r>
    <s v="Adicionales"/>
    <s v="Tesorería "/>
    <s v="Eduardo Cabral"/>
    <x v="0"/>
    <s v="FILE_FUT_CONVAL"/>
    <s v="Layout OFF_FX_V7 -- OFF"/>
    <s v="Pendiente"/>
    <s v="Modulo de tesoreria"/>
    <s v="NTT"/>
    <m/>
    <x v="0"/>
    <s v="Ext NTT"/>
    <x v="0"/>
    <x v="0"/>
    <m/>
    <m/>
    <m/>
    <m/>
  </r>
  <r>
    <s v="Mercados"/>
    <s v="Tesorería "/>
    <s v="Eduardo Cabral"/>
    <x v="0"/>
    <s v="FILE_CVT_TRP"/>
    <s v="Layout_CVT_TRP_V2"/>
    <s v="Pendiente"/>
    <s v="Modulo de tesoreria"/>
    <s v="NTT"/>
    <m/>
    <x v="0"/>
    <s v="Ext NTT"/>
    <x v="0"/>
    <x v="0"/>
    <m/>
    <m/>
    <m/>
    <m/>
  </r>
  <r>
    <s v="Adicionales"/>
    <s v="Tesorería "/>
    <s v="Eduardo Cabral"/>
    <x v="2"/>
    <s v="FILE_CONTRAPARTES"/>
    <s v="Layout_CONTRAPARTES_v5 -- CONTRAPARTES"/>
    <s v="Pendiente"/>
    <s v="Modulo de tesoreria"/>
    <s v="NTT"/>
    <m/>
    <x v="2"/>
    <s v="Ext NTT"/>
    <x v="0"/>
    <x v="0"/>
    <m/>
    <m/>
    <m/>
    <m/>
  </r>
  <r>
    <s v="Adicionales"/>
    <s v="Riesgos"/>
    <s v="Homero Sanchez"/>
    <x v="0"/>
    <s v="FILE_CFEN"/>
    <s v="LAYOUT CFEN-3"/>
    <s v="No mapeado"/>
    <s v="Se esta relizando ampeado por parte del usuario "/>
    <s v="Estructura y universo"/>
    <s v="Falta info de Contabilidad Anexo 1 O"/>
    <x v="0"/>
    <m/>
    <x v="4"/>
    <x v="10"/>
    <s v="Dep otra Area"/>
    <m/>
    <m/>
    <m/>
  </r>
  <r>
    <s v="Riesgos"/>
    <s v="Riesgos"/>
    <s v="Homero Sanchez"/>
    <x v="5"/>
    <s v="FILE_CARTERA_LINEA"/>
    <s v="LAYOUTS_RCS_v2 -- RC01 - RC03 - RC04 - RC07 - RC08 - RC02 - RC06A"/>
    <s v="No mapeado"/>
    <s v="Lo trabaja Bajaware"/>
    <m/>
    <m/>
    <x v="5"/>
    <s v="Ext Bajaware"/>
    <x v="3"/>
    <x v="9"/>
    <m/>
    <m/>
    <m/>
    <m/>
  </r>
  <r>
    <s v="Riesgos"/>
    <s v="Riesgos"/>
    <s v="Homero Sanchez"/>
    <x v="5"/>
    <s v="FILE_CARTERA"/>
    <s v="LAYOUTS_RCS_v2 -- RC01 - RC03 - RC04 - RC07 - RC08 - RC02 - RC06A"/>
    <s v="No mapeado"/>
    <s v="Lo trabaja Bajaware"/>
    <m/>
    <m/>
    <x v="5"/>
    <s v="Ext Bajaware"/>
    <x v="3"/>
    <x v="9"/>
    <m/>
    <m/>
    <m/>
    <m/>
  </r>
  <r>
    <s v="Captacion"/>
    <s v="Operaciones Captacion"/>
    <s v="Luis Alberto"/>
    <x v="2"/>
    <s v="FILE_CAPTACION"/>
    <s v="Layout Captacion_V3 -- CRI - R08 - OCIM_II"/>
    <s v="Listo"/>
    <s v="Ntt, ya se reviso txt por usuario VoBo Estructura"/>
    <s v="Estructura y universo"/>
    <s v="20260108 -- NTT franja fronteriza en cero ION reenvió catalogo"/>
    <x v="2"/>
    <s v="Ext NTT"/>
    <x v="1"/>
    <x v="5"/>
    <s v="Se requiera info actualizada congelando sistema para validacion"/>
    <s v="Riesgo por aparente error en catálogo de Tipo Operación"/>
    <m/>
    <m/>
  </r>
  <r>
    <s v="Riesgos"/>
    <s v="Riesgos"/>
    <s v="Homero Sanchez"/>
    <x v="5"/>
    <s v="FILE_ACLME_OPE_VIG"/>
    <s v="LAYOUTS_RCS_v2 -- RC01 - RC03 - RC04 - RC07 - RC08 - RC02 - RC06A"/>
    <s v="No mapeado"/>
    <s v="Lo trabaja Bajaware"/>
    <m/>
    <m/>
    <x v="5"/>
    <s v="Ext Bajaware"/>
    <x v="3"/>
    <x v="9"/>
    <m/>
    <m/>
    <m/>
    <m/>
  </r>
  <r>
    <s v="Adicionales"/>
    <s v="Finanzas"/>
    <s v="Arturo Angeles"/>
    <x v="0"/>
    <s v="FILE_ACLME_CONCEPTOSFIJOS_DDMMAA"/>
    <s v="Layout_ACLME_ConceptosFijos_v3 -- ACLME"/>
    <s v="Pendiente"/>
    <s v="Modulo de tesoreria"/>
    <s v="NTT"/>
    <m/>
    <x v="0"/>
    <s v="Ext NTT"/>
    <x v="4"/>
    <x v="1"/>
    <m/>
    <m/>
    <m/>
    <m/>
  </r>
  <r>
    <s v="Adicionales"/>
    <s v="Finanzas"/>
    <s v="Arturo Angeles"/>
    <x v="0"/>
    <s v="FILE_ACLME_AJUSTES_DDMMAA"/>
    <s v="ACLME_Ajustes_V3 -- ACLME"/>
    <s v="Pendiente"/>
    <s v="Modulo de tesoreria"/>
    <s v="NTT"/>
    <m/>
    <x v="0"/>
    <s v="Ext NTT"/>
    <x v="4"/>
    <x v="1"/>
    <m/>
    <m/>
    <m/>
    <m/>
  </r>
  <r>
    <s v="Adicionales"/>
    <s v="Finanzas"/>
    <s v="Arturo Angeles"/>
    <x v="0"/>
    <s v="FILE_ACLME"/>
    <s v="Layout_ACLME_SECCION_I_V_v3 -- ACLME"/>
    <s v="Pendiente"/>
    <s v="Modulo de tesoreria"/>
    <s v="NTT"/>
    <m/>
    <x v="0"/>
    <s v="Ext NTT"/>
    <x v="4"/>
    <x v="1"/>
    <m/>
    <m/>
    <m/>
    <m/>
  </r>
  <r>
    <s v="Riesgos"/>
    <s v="Riesgos"/>
    <s v="Homero Sanchez"/>
    <x v="4"/>
    <s v="EVENTOS ROP"/>
    <s v="R2812_EVENTOS ROP_V0.4 -- R2812"/>
    <s v="Listo"/>
    <s v="Revision de txt por parte del usuario "/>
    <s v="Estructura y universo"/>
    <s v="20250829 Us envía Obs"/>
    <x v="4"/>
    <m/>
    <x v="1"/>
    <x v="8"/>
    <s v="x"/>
    <s v="2 vuelta"/>
    <m/>
    <m/>
  </r>
  <r>
    <s v="Operativos"/>
    <s v="Producto"/>
    <s v="Claudia Barroso"/>
    <x v="4"/>
    <s v="Est Prod Deposito"/>
    <s v="CUP -- CUP"/>
    <s v="Listo"/>
    <s v="VoBo Dado por el usuario (No se cuenta con informacion)"/>
    <s v="Estructura"/>
    <m/>
    <x v="4"/>
    <m/>
    <x v="1"/>
    <x v="4"/>
    <m/>
    <m/>
    <m/>
    <m/>
  </r>
  <r>
    <s v="Situacion Finaciera"/>
    <s v="Contabilidad"/>
    <s v="Ramon Jaimes "/>
    <x v="0"/>
    <s v="ENT_CUOTAS_IPAB_DEF"/>
    <s v="Layout IPAB_V3 - IPAB"/>
    <s v="Por iniciar"/>
    <s v="Se requiere recepcion de requerimiento y Excel. (Usuario)"/>
    <s v="Estructura y universo"/>
    <m/>
    <x v="0"/>
    <m/>
    <x v="1"/>
    <x v="6"/>
    <m/>
    <m/>
    <m/>
    <m/>
  </r>
  <r>
    <s v="Captacion"/>
    <s v="Operaciones Captacion"/>
    <s v="Luis Alberto"/>
    <x v="2"/>
    <s v="ENT_CAJA_CAPTACION"/>
    <s v="Layout CCV BW -- CCV"/>
    <s v="Listo"/>
    <s v="Ntt, ya se reviso txt por usuario VoBo"/>
    <s v="Estructura y universo"/>
    <s v="Validar con usuario si aplican"/>
    <x v="2"/>
    <s v="Ext NTT"/>
    <x v="1"/>
    <x v="3"/>
    <s v="Se menciona a NTT"/>
    <m/>
    <m/>
    <m/>
  </r>
  <r>
    <s v="Situacion Finaciera"/>
    <s v="Contabilidad"/>
    <s v="Ramon Jaimes "/>
    <x v="4"/>
    <s v="ELIMINACIONES"/>
    <s v="R12_ELIMINACIONES -- R12A"/>
    <s v="Por iniciar"/>
    <s v="Se requiere recepcion de requerimiento y Excel. (Usuario)"/>
    <s v="Estructura"/>
    <s v="Validar con usuario si aplican"/>
    <x v="4"/>
    <m/>
    <x v="1"/>
    <x v="6"/>
    <s v="Info en caso de Subsidiarias /Valida Estructura"/>
    <m/>
    <m/>
    <m/>
  </r>
  <r>
    <s v="Operativos"/>
    <s v="Producto"/>
    <s v="Claudia Barroso"/>
    <x v="4"/>
    <s v="Elegibilidad Deposito"/>
    <s v="CUP -- CUP"/>
    <s v="Listo"/>
    <s v="VoBo Dado por el usuario (No se cuenta con informacion)"/>
    <s v="Estructura"/>
    <m/>
    <x v="4"/>
    <m/>
    <x v="1"/>
    <x v="4"/>
    <m/>
    <m/>
    <m/>
    <m/>
  </r>
  <r>
    <s v="Operativos"/>
    <s v="Producto"/>
    <s v="Claudia Barroso"/>
    <x v="3"/>
    <s v="Elegibilidad CNR"/>
    <s v="CUP -- CUP"/>
    <s v="NA"/>
    <s v="NA"/>
    <m/>
    <m/>
    <x v="3"/>
    <s v="NA"/>
    <x v="2"/>
    <x v="2"/>
    <m/>
    <m/>
    <s v="No aplica"/>
    <m/>
  </r>
  <r>
    <s v="Operativos"/>
    <s v="Producto"/>
    <s v="Claudia Barroso"/>
    <x v="3"/>
    <s v="DIN PERSONAL"/>
    <s v="CUP -- CUP"/>
    <s v="NA"/>
    <s v="NA"/>
    <m/>
    <m/>
    <x v="3"/>
    <s v="NA"/>
    <x v="2"/>
    <x v="2"/>
    <m/>
    <m/>
    <s v="No aplica"/>
    <m/>
  </r>
  <r>
    <s v="Cartera"/>
    <s v="Operaciones Credito"/>
    <s v="Luis Alberto"/>
    <x v="2"/>
    <s v="CREDITO_GARANTIA_PERSONAL"/>
    <s v="V1.05_Layouts CREDITO Bancos IFRS (Comercial) (1)"/>
    <s v="Listo"/>
    <s v="Se tiene la estructura construida y se integraron los datos con los que se cuenta, aun no se cuenta con todo el universo(Fuentes externas"/>
    <s v="Estructura"/>
    <s v="PORCENTAJE_GARANTIA_PERS | Tiene Un campo x validar Riesgos"/>
    <x v="2"/>
    <m/>
    <x v="1"/>
    <x v="8"/>
    <m/>
    <m/>
    <m/>
    <m/>
  </r>
  <r>
    <s v="Cartera"/>
    <s v="Operaciones Credito"/>
    <s v="Luis Alberto"/>
    <x v="2"/>
    <s v="CREDITO_GARANTIA"/>
    <s v="V1.05_Layouts CREDITO Bancos IFRS (Comercial) (1)"/>
    <s v="Listo"/>
    <s v="Se tiene la estructura construida y se integraron los datos con los que se cuenta, aun no se cuenta con todo el universo(Fuentes externas"/>
    <s v="Estructura"/>
    <s v="PORCENTAJE_GARANTIA | Tiene Un campo x validar Riesgos"/>
    <x v="2"/>
    <m/>
    <x v="1"/>
    <x v="8"/>
    <m/>
    <m/>
    <m/>
    <m/>
  </r>
  <r>
    <s v="Cartera"/>
    <s v="Operaciones Credito"/>
    <s v="Luis Alberto"/>
    <x v="2"/>
    <s v="CREDITO"/>
    <s v="V1.05_Layouts CREDITO Bancos IFRS (Comercial) (1)"/>
    <s v="Listo"/>
    <s v="Se tiene la estructura construida y se integraron los datos con los que se cuenta, aun no se cuenta con todo el universo(Fuentes externas"/>
    <s v="Estructura"/>
    <m/>
    <x v="2"/>
    <m/>
    <x v="1"/>
    <x v="5"/>
    <m/>
    <m/>
    <m/>
    <m/>
  </r>
  <r>
    <s v="Operativos"/>
    <s v="Producto"/>
    <s v="Claudia Barroso"/>
    <x v="3"/>
    <s v="CORRESPONSALES NOMINA Y PERS"/>
    <s v="CUP -- CUP"/>
    <s v="NA"/>
    <s v="NA"/>
    <m/>
    <m/>
    <x v="3"/>
    <s v="NA"/>
    <x v="2"/>
    <x v="2"/>
    <m/>
    <m/>
    <s v="No aplica"/>
    <m/>
  </r>
  <r>
    <s v="Captacion"/>
    <s v="Operaciones Captacion"/>
    <s v="Luis Alberto"/>
    <x v="3"/>
    <s v="COREM"/>
    <s v="Layout_COREM -- COREM"/>
    <s v="NA"/>
    <s v="NA"/>
    <m/>
    <m/>
    <x v="3"/>
    <s v="NA"/>
    <x v="2"/>
    <x v="2"/>
    <m/>
    <m/>
    <s v="No aplica"/>
    <m/>
  </r>
  <r>
    <s v="Cartera"/>
    <s v="Operaciones Credito"/>
    <s v="Luis Alberto"/>
    <x v="2"/>
    <s v="CONSUMO"/>
    <s v="V1.05_Credito_IFRS9_Consumo_Completo VF (2)"/>
    <s v="Listo"/>
    <s v="Se tiene la estructura construida y se integraron los datos con los que se cuenta, aun no se cuenta con todo el universo(Fuentes externas"/>
    <s v="Estructura"/>
    <m/>
    <x v="2"/>
    <m/>
    <x v="1"/>
    <x v="5"/>
    <m/>
    <m/>
    <m/>
    <m/>
  </r>
  <r>
    <s v="Situacion Finaciera"/>
    <s v="Contabilidad"/>
    <s v="Ramon Jaimes "/>
    <x v="4"/>
    <s v="CONSOLIDACION"/>
    <s v="R12_CONSOLIDACION -- R12A"/>
    <s v="Listo"/>
    <s v="Revision de txt por parte del usuario "/>
    <s v="Estructura y universo"/>
    <s v="US otorga VoBo"/>
    <x v="4"/>
    <m/>
    <x v="1"/>
    <x v="6"/>
    <s v="Info en caso de Subsidiarias /Valida Estructura"/>
    <m/>
    <m/>
    <m/>
  </r>
  <r>
    <s v="Situacion Finaciera"/>
    <s v="Contabilidad"/>
    <s v="Ramon Jaimes "/>
    <x v="4"/>
    <s v="CONCILIACIONES"/>
    <s v="R32_Conciliaciones -- R3211"/>
    <s v="Por iniciar"/>
    <s v="Se requiere recepcion de requerimiento y Excel. (Usuario)"/>
    <m/>
    <s v="Excel confirmado como fuente"/>
    <x v="4"/>
    <m/>
    <x v="1"/>
    <x v="6"/>
    <s v="Validar estructura de archivos Excel para que sea igual a columnas tablas destino"/>
    <s v="Complementar archivo cofiguracion Lambda con estructura tablas"/>
    <m/>
    <m/>
  </r>
  <r>
    <s v="Operativos"/>
    <s v="Producto"/>
    <s v="Claudia Barroso"/>
    <x v="3"/>
    <s v="COMISIONES NOMINA Y PERS"/>
    <s v="CUP -- CUP"/>
    <s v="NA"/>
    <s v="NA"/>
    <m/>
    <m/>
    <x v="3"/>
    <s v="NA"/>
    <x v="2"/>
    <x v="2"/>
    <m/>
    <m/>
    <s v="No aplica"/>
    <m/>
  </r>
  <r>
    <s v="Cartera"/>
    <s v="Operaciones Captacion y credito"/>
    <s v="Luis Alberto"/>
    <x v="2"/>
    <s v="CLIENTES_POR_PRODUCTO"/>
    <s v="R2450_51_52_CLIENTES POR PRODUCTO_V0.5 -- R2450 - R2451 - R2452 (CREDITO) (1)"/>
    <s v="Listo"/>
    <s v="Ntt, ya se reviso txt por usuario VoBo"/>
    <s v="Estructura"/>
    <m/>
    <x v="2"/>
    <s v="Validar"/>
    <x v="1"/>
    <x v="5"/>
    <s v="2a vuelta US"/>
    <s v="Integrar en un layout captación y crédito"/>
    <m/>
    <m/>
  </r>
  <r>
    <s v="Captacion"/>
    <s v="Operaciones Captacion"/>
    <s v="Luis Alberto"/>
    <x v="3"/>
    <s v="CIP"/>
    <s v="CIP1 -- CIP"/>
    <s v="NA"/>
    <s v="NA"/>
    <m/>
    <m/>
    <x v="3"/>
    <s v="NA"/>
    <x v="2"/>
    <x v="2"/>
    <m/>
    <m/>
    <s v="No aplica"/>
    <m/>
  </r>
  <r>
    <s v="Liquidez"/>
    <s v="Tesorería "/>
    <s v="Eduardo Cabral"/>
    <x v="0"/>
    <s v="CF_ESP"/>
    <s v="Layout CF_V3"/>
    <s v="Pendiente"/>
    <s v="Modulo de tesoreria"/>
    <s v="NTT"/>
    <s v="** Nota: Bajaware incluye el Layout de CF Concentración de Fondeo y ya no existe en el portal de Banxico, favor de confirmar con ellos, era un reporte semanal y mensual que combina Captación Tradicional e Interbancaria, similar al CRI **"/>
    <x v="0"/>
    <s v="Ext NTT"/>
    <x v="0"/>
    <x v="0"/>
    <s v="Confirma Bajaware que se continua vigente  la secc 1"/>
    <s v="Cambio Nombre pestaña"/>
    <s v="xxx Validar con Captación"/>
    <m/>
  </r>
  <r>
    <s v="Liquidez"/>
    <s v="Tesorería "/>
    <s v="Eduardo Cabral"/>
    <x v="1"/>
    <s v="CE_ENG"/>
    <s v="Layout CF_V2"/>
    <s v="NA"/>
    <s v="Modulo de tesoreria"/>
    <s v="NTT"/>
    <s v="** Nota: Bajaware incluye el Layout de CF Concentración de Fondeo y ya no existe en el portal de Banxico, favor de confirmar con ellos, era un reporte semanal y mensual que combina Captación Tradicional e Interbancaria, similar al CRI **"/>
    <x v="3"/>
    <s v="NA"/>
    <x v="2"/>
    <x v="2"/>
    <s v="Confirma Bajaware que se elimina la secc 2"/>
    <s v="Cambio Nombre pestaña"/>
    <s v="No aplica"/>
    <s v="Se elimino la secc 2"/>
  </r>
  <r>
    <s v="Situacion Finaciera"/>
    <s v="Contabilidad"/>
    <s v="Ramon Jaimes "/>
    <x v="7"/>
    <s v="CATALOGO MINIMO"/>
    <s v="R01_Catalogo Minimo --R01 - R10 - R12 - R13"/>
    <s v="Listo"/>
    <s v="Revision de txt por parte del usuario "/>
    <s v="Estructura y universo"/>
    <m/>
    <x v="7"/>
    <m/>
    <x v="1"/>
    <x v="6"/>
    <m/>
    <m/>
    <m/>
    <m/>
  </r>
  <r>
    <s v="Operativos"/>
    <s v="Producto"/>
    <s v="Claudia Barroso"/>
    <x v="3"/>
    <s v="CAT PERSONAL"/>
    <s v="CUP -- CUP"/>
    <s v="NA"/>
    <s v="NA"/>
    <m/>
    <m/>
    <x v="3"/>
    <s v="NA"/>
    <x v="2"/>
    <x v="2"/>
    <m/>
    <m/>
    <s v="No aplica"/>
    <m/>
  </r>
  <r>
    <s v="Riesgos"/>
    <s v="Riesgos"/>
    <s v="Homero Sanchez"/>
    <x v="5"/>
    <s v="CARTERA_RC_ADIC"/>
    <s v="LAYOUT_CARTERA_RC_ADIC --RC01 - RC03 - RC04 - RC08 - RC15"/>
    <s v="No mapeado"/>
    <s v="Lo trabaja Bajaware"/>
    <m/>
    <m/>
    <x v="5"/>
    <s v="Ext Bajaware"/>
    <x v="3"/>
    <x v="9"/>
    <m/>
    <m/>
    <m/>
    <m/>
  </r>
  <r>
    <s v="Riesgos"/>
    <s v="Riesgos"/>
    <s v="Homero Sanchez"/>
    <x v="6"/>
    <s v="CARTERA_2BIS17"/>
    <s v="LAYOUT_RC08A_MAPEOS -- RC01 - RC03 - RC04 - RC07 - RC08 - RC15 - RC19"/>
    <s v="No mapeado"/>
    <s v="Lo trabaja Bajaware"/>
    <m/>
    <m/>
    <x v="6"/>
    <s v="Ext Bajaware"/>
    <x v="1"/>
    <x v="8"/>
    <m/>
    <m/>
    <m/>
    <m/>
  </r>
  <r>
    <s v="Riesgos"/>
    <s v="Riesgos"/>
    <s v="Homero Sanchez"/>
    <x v="0"/>
    <s v="CARGA INICIAL PI-MIN"/>
    <s v="LAYOUT CARGA INICIAL PI_MIN - Calculo Riesgo Operacional"/>
    <s v="No mapeado"/>
    <s v="Se reliza una solo carga, indica el usuario se debe relizar hasta la ejecucion con Bajware"/>
    <m/>
    <s v="Reporte inicial Riesgos integrará 36 meses al momento de reporte"/>
    <x v="0"/>
    <s v="Validar"/>
    <x v="1"/>
    <x v="8"/>
    <s v="Dep otra Area"/>
    <s v="dependencia con Conta | perdidas operativas revisa Riesgos/Contabilidad"/>
    <m/>
    <m/>
  </r>
  <r>
    <s v="Riesgos"/>
    <s v="Riesgos"/>
    <s v="Homero Sanchez"/>
    <x v="0"/>
    <s v="CARGA INICIAL IN-MIN"/>
    <s v="LAYOUT CARGA INICIAL IN_MIN - Calculo Riesgo Operacional"/>
    <s v="No mapeado"/>
    <s v="Se reliza una solo carga, indica el usuario se debe relizar hasta la ejecucion con Bajware"/>
    <m/>
    <s v="Reporte inicial Riesgos integrará 36 meses al momento de reporte"/>
    <x v="0"/>
    <s v="Validar"/>
    <x v="1"/>
    <x v="8"/>
    <s v="x"/>
    <s v="no se necesita mapeo Riesgos emite info completa -- Historico una sola carga, depende funcionalidad al 100. promedio movil | ingresos netos sin dependencias"/>
    <m/>
    <m/>
  </r>
  <r>
    <s v="Adicionales"/>
    <s v="Tesorería "/>
    <s v="Eduardo Cabral"/>
    <x v="0"/>
    <s v="CANASTA_REPORTOS"/>
    <s v="Layout_REPORTOS_MN_ME_V7_2024 -- REPORTOS"/>
    <s v="Pendiente"/>
    <s v="Modulo de tesoreria"/>
    <s v="NTT"/>
    <m/>
    <x v="0"/>
    <s v="Ext NTT"/>
    <x v="0"/>
    <x v="0"/>
    <s v="Layout_REPORTOS_MN_ME_V7 -- REPORTOS"/>
    <s v="modif nomb layout"/>
    <m/>
    <m/>
  </r>
  <r>
    <s v="Situacion Finaciera"/>
    <s v="Contabilidad"/>
    <s v="Ramon Jaimes "/>
    <x v="4"/>
    <s v="BIENES ADJUDICADOS"/>
    <s v="R06_Bienes Adj -- R06"/>
    <s v="Listo"/>
    <s v="Revision de txt por parte del usuario "/>
    <s v="Estructura y universo"/>
    <s v="US otorga VoBo"/>
    <x v="4"/>
    <m/>
    <x v="1"/>
    <x v="6"/>
    <m/>
    <m/>
    <m/>
    <m/>
  </r>
  <r>
    <s v="Operativos"/>
    <s v="Producto"/>
    <s v="Claudia Barroso"/>
    <x v="4"/>
    <s v="Base Operativa CNR"/>
    <s v="CUP -- CUP"/>
    <s v="Listo"/>
    <s v="VoBo Dado por el usuario (No se cuenta con informacion)"/>
    <s v="Estructura"/>
    <m/>
    <x v="4"/>
    <m/>
    <x v="1"/>
    <x v="4"/>
    <m/>
    <m/>
    <m/>
    <m/>
  </r>
  <r>
    <s v="Riesgos"/>
    <s v="Riesgos"/>
    <s v="Homero Sanchez"/>
    <x v="5"/>
    <s v="BALANZA"/>
    <s v="LAYOUTS_RCS_v2 -- RC01 - RC03 - RC04 - RC07 - RC08 - RC02 - RC06A"/>
    <s v="No mapeado"/>
    <s v="Lo trabaja Bajaware"/>
    <m/>
    <m/>
    <x v="5"/>
    <s v="Ext Bajaware"/>
    <x v="3"/>
    <x v="9"/>
    <m/>
    <m/>
    <m/>
    <m/>
  </r>
  <r>
    <s v="Cartera"/>
    <s v="Riesgos"/>
    <s v="Homero Sanchez"/>
    <x v="4"/>
    <s v="ANEXO 22"/>
    <s v="V1.05_Layouts CREDITO Bancos IFRS (Comercial) (1)"/>
    <s v="Listo"/>
    <s v="Se tiene la estructura construida y se integraron los datos con los que se cuenta, aun no se cuenta con todo el universo(Fuentes externas Pantalla comercial)"/>
    <s v="Estructura"/>
    <s v="20250829 Us envía Obs"/>
    <x v="4"/>
    <m/>
    <x v="1"/>
    <x v="8"/>
    <s v="Antes asignada a Operaciones"/>
    <s v="2 vuelta"/>
    <m/>
    <m/>
  </r>
  <r>
    <s v="Cartera"/>
    <s v="Riesgos"/>
    <s v="Homero Sanchez"/>
    <x v="4"/>
    <s v="ANEXO 21"/>
    <s v="V1.05_Layouts CREDITO Bancos IFRS (Comercial) (1)"/>
    <s v="Listo"/>
    <s v="Se tiene la estructura construida y se integraron los datos con los que se cuenta, aun no se cuenta con todo el universo(Fuentes externas Pantalla comercial)"/>
    <s v="Estructura"/>
    <s v="20250829 Us envía Obs"/>
    <x v="4"/>
    <m/>
    <x v="1"/>
    <x v="8"/>
    <s v="Antes asignada a Operaciones"/>
    <s v="2 vuelta"/>
    <m/>
    <m/>
  </r>
  <r>
    <s v="Cartera"/>
    <s v="Operaciones Credito"/>
    <s v="Luis Alberto"/>
    <x v="3"/>
    <s v="ANEXO 20"/>
    <s v="V1.05_Layouts CREDITO Bancos IFRS (Comercial) (1)"/>
    <s v="NA"/>
    <s v="NA"/>
    <m/>
    <m/>
    <x v="3"/>
    <s v="NA"/>
    <x v="2"/>
    <x v="2"/>
    <m/>
    <m/>
    <s v="No aplica"/>
    <m/>
  </r>
  <r>
    <s v="Cartera"/>
    <s v="Riesgos"/>
    <s v="Homero Sanchez"/>
    <x v="4"/>
    <s v="ANEXO 19"/>
    <s v="V1.05_Layouts CREDITO Bancos IFRS (Comercial) (1)"/>
    <s v="Listo"/>
    <s v="Se tiene la estructura construida y se integraron los datos con los que se cuenta, aun no se cuenta con todo el universo(Fuentes externas Pantalla comercial, cierre comercial, proyeccion de flujos)"/>
    <s v="Estructura"/>
    <s v="20250829 Us envía Obs"/>
    <x v="4"/>
    <m/>
    <x v="1"/>
    <x v="8"/>
    <s v="Antes asignada a Operaciones"/>
    <s v="2 vuelta"/>
    <m/>
    <m/>
  </r>
  <r>
    <s v="Cartera"/>
    <s v="Operaciones Credito"/>
    <s v="Luis Alberto"/>
    <x v="3"/>
    <s v="ANEXO 18"/>
    <s v="V1.05_Layouts CREDITO Bancos IFRS (Comercial) (1)"/>
    <s v="NA"/>
    <s v="NA"/>
    <m/>
    <m/>
    <x v="3"/>
    <s v="NA"/>
    <x v="2"/>
    <x v="2"/>
    <m/>
    <m/>
    <s v="No aplica"/>
    <m/>
  </r>
  <r>
    <s v="Riesgos"/>
    <s v="Riesgos"/>
    <s v="Homero Sanchez"/>
    <x v="4"/>
    <s v="ALTA Y SEGUIMIENTO ROP"/>
    <s v="R2811_13_ALTA Y SEGUIMIENTO ROP -- R2811 - R2813"/>
    <s v="Listo"/>
    <s v="Revision de txt por parte del usuario "/>
    <s v="Estructura y universo"/>
    <s v="20250829 Us envía Obs"/>
    <x v="4"/>
    <m/>
    <x v="1"/>
    <x v="8"/>
    <s v="x"/>
    <s v="2 vuelta"/>
    <m/>
    <m/>
  </r>
  <r>
    <s v="Situacion Finaciera"/>
    <s v="Contabilidad"/>
    <s v="Ramon Jaimes "/>
    <x v="0"/>
    <s v="ACM II-Mapeo"/>
    <s v="LAYOUT_ACM_II V0.1 -- R01"/>
    <s v="Listo"/>
    <s v="Revision de txt por parte del usuario "/>
    <s v="Estructura y universo"/>
    <s v="Info de credito enviada para Vobo, falta Mapeo Info Tesoreria"/>
    <x v="0"/>
    <m/>
    <x v="1"/>
    <x v="6"/>
    <m/>
    <m/>
    <m/>
    <m/>
  </r>
  <r>
    <s v="Situacion Finaciera"/>
    <s v="Contabilidad"/>
    <s v="Ramon Jaimes "/>
    <x v="0"/>
    <s v="ACM II_ADIC"/>
    <s v="LAYOUT_ACM_II V0.1 -- R01"/>
    <s v="Listo"/>
    <s v="Revision de txt por parte del usuario "/>
    <s v="Estructura y universo"/>
    <s v="Info de credito enviada para Vobo, falta Mapeo Info Tesoreria"/>
    <x v="0"/>
    <m/>
    <x v="1"/>
    <x v="6"/>
    <m/>
    <m/>
    <m/>
    <m/>
  </r>
  <r>
    <s v="Cartera"/>
    <s v="Operaciones Credito"/>
    <s v="Luis Alberto"/>
    <x v="3"/>
    <s v="ACLARACIONESCR"/>
    <s v="V1.05_Credito_IFRS9_Consumo_Completo VF (2)"/>
    <s v="NA"/>
    <s v="NA"/>
    <m/>
    <m/>
    <x v="3"/>
    <s v="NA"/>
    <x v="2"/>
    <x v="2"/>
    <m/>
    <m/>
    <s v="No aplica"/>
    <m/>
  </r>
  <r>
    <s v="Cartera"/>
    <s v="Operaciones Credito"/>
    <s v="Luis Alberto"/>
    <x v="3"/>
    <s v="ACLARACIONESCNR"/>
    <s v="V1.05_Credito_IFRS9_Consumo_Completo VF (2)"/>
    <s v="NA"/>
    <s v="NA"/>
    <m/>
    <m/>
    <x v="3"/>
    <s v="NA"/>
    <x v="2"/>
    <x v="2"/>
    <m/>
    <m/>
    <s v="No aplica"/>
    <m/>
  </r>
  <r>
    <s v="TBD"/>
    <s v="Producto"/>
    <s v="Claudia Barroso"/>
    <x v="4"/>
    <s v="EST Registro General de Product -- Vivienda V1"/>
    <s v="CUP - Vivienda V1"/>
    <s v="Listo"/>
    <s v="Layout adicionado productos de Crédito"/>
    <s v="Estructura"/>
    <m/>
    <x v="4"/>
    <m/>
    <x v="1"/>
    <x v="4"/>
    <m/>
    <m/>
    <m/>
    <m/>
  </r>
  <r>
    <s v="TBD"/>
    <s v="Producto"/>
    <s v="Claudia Barroso"/>
    <x v="4"/>
    <s v="EST Hipo -- Vivienda V1"/>
    <s v="CUP - Vivienda V1"/>
    <s v="Listo"/>
    <s v="Layout adicionado productos de Crédito"/>
    <s v="Estructura"/>
    <m/>
    <x v="4"/>
    <m/>
    <x v="1"/>
    <x v="4"/>
    <m/>
    <m/>
    <m/>
    <m/>
  </r>
  <r>
    <s v="TBD"/>
    <s v="Producto"/>
    <s v="Claudia Barroso"/>
    <x v="4"/>
    <s v="Base Operativa Hipo -- Vivienda V1"/>
    <s v="CUP - Vivienda V1"/>
    <s v="Listo"/>
    <s v="Layout adicionado productos de Crédito"/>
    <s v="Estructura"/>
    <m/>
    <x v="4"/>
    <m/>
    <x v="1"/>
    <x v="4"/>
    <m/>
    <m/>
    <m/>
    <m/>
  </r>
  <r>
    <s v="TBD"/>
    <s v="Producto"/>
    <s v="Claudia Barroso"/>
    <x v="4"/>
    <s v="Elegibilidad Hipo -- Vivienda V1"/>
    <s v="CUP - Vivienda V1"/>
    <s v="Listo"/>
    <s v="Layout adicionado productos de Crédito"/>
    <s v="Estructura"/>
    <m/>
    <x v="4"/>
    <m/>
    <x v="1"/>
    <x v="4"/>
    <m/>
    <m/>
    <m/>
    <m/>
  </r>
  <r>
    <s v="TBD"/>
    <s v="Producto"/>
    <s v="Claudia Barroso"/>
    <x v="4"/>
    <s v="MORATORIA Hipo -- Vivienda V1"/>
    <s v="CUP - Vivienda V1"/>
    <s v="Listo"/>
    <s v="Layout adicionado productos de Crédito"/>
    <s v="Estructura"/>
    <m/>
    <x v="4"/>
    <m/>
    <x v="1"/>
    <x v="4"/>
    <m/>
    <m/>
    <m/>
    <m/>
  </r>
  <r>
    <s v="TBD"/>
    <s v="Producto"/>
    <s v="Claudia Barroso"/>
    <x v="4"/>
    <s v="COMISIONES Hipo -- Vivienda V1"/>
    <s v="CUP - Vivienda V1"/>
    <s v="Listo"/>
    <s v="Layout adicionado productos de Crédito"/>
    <s v="Estructura"/>
    <m/>
    <x v="4"/>
    <m/>
    <x v="1"/>
    <x v="4"/>
    <m/>
    <m/>
    <m/>
    <m/>
  </r>
  <r>
    <s v="TBD"/>
    <s v="Producto"/>
    <s v="Claudia Barroso"/>
    <x v="4"/>
    <s v="PENALIZACIONES Hipo -- Vivienda V1"/>
    <s v="CUP - Vivienda V1"/>
    <s v="Listo"/>
    <s v="Layout adicionado productos de Crédito"/>
    <s v="Estructura"/>
    <m/>
    <x v="4"/>
    <m/>
    <x v="1"/>
    <x v="4"/>
    <m/>
    <m/>
    <m/>
    <m/>
  </r>
  <r>
    <s v="TBD"/>
    <s v="Producto"/>
    <s v="Claudia Barroso"/>
    <x v="4"/>
    <s v="PENALIZACIONES Hipo (2) -- Vivienda V1"/>
    <s v="CUP - Vivienda V1"/>
    <s v="Listo"/>
    <s v="Layout adicionado productos de Crédito"/>
    <s v="Estructura"/>
    <m/>
    <x v="4"/>
    <m/>
    <x v="1"/>
    <x v="4"/>
    <m/>
    <m/>
    <m/>
    <m/>
  </r>
  <r>
    <s v="TBD"/>
    <s v="Producto"/>
    <s v="Claudia Barroso"/>
    <x v="4"/>
    <s v="SEGUROS Hipo -- Vivienda V1"/>
    <s v="CUP - Vivienda V1"/>
    <s v="Listo"/>
    <s v="Layout adicionado productos de Crédito"/>
    <s v="Estructura"/>
    <m/>
    <x v="4"/>
    <m/>
    <x v="1"/>
    <x v="4"/>
    <m/>
    <m/>
    <m/>
    <m/>
  </r>
  <r>
    <s v="TBD"/>
    <s v="Producto"/>
    <s v="Claudia Barroso"/>
    <x v="4"/>
    <s v="CAT Hipo -- Vivienda V1"/>
    <s v="CUP - Vivienda V1"/>
    <s v="Listo"/>
    <s v="Layout adicionado productos de Crédito"/>
    <s v="Estructura"/>
    <m/>
    <x v="4"/>
    <m/>
    <x v="1"/>
    <x v="4"/>
    <m/>
    <m/>
    <m/>
    <m/>
  </r>
  <r>
    <s v="TBD"/>
    <s v="Producto"/>
    <s v="Claudia Barroso"/>
    <x v="4"/>
    <s v="EST Registro General de Product -- Crédito de Liquidez"/>
    <s v="CUP - Crédito de Liquidez"/>
    <s v="Listo"/>
    <s v="Layout adicionado productos de Crédito"/>
    <s v="Estructura"/>
    <m/>
    <x v="4"/>
    <m/>
    <x v="1"/>
    <x v="4"/>
    <m/>
    <m/>
    <m/>
    <m/>
  </r>
  <r>
    <s v="TBD"/>
    <s v="Producto"/>
    <s v="Claudia Barroso"/>
    <x v="4"/>
    <s v="EST Hipo -- Crédito de Liquidez"/>
    <s v="CUP - Crédito de Liquidez"/>
    <s v="Listo"/>
    <s v="Layout adicionado productos de Crédito"/>
    <s v="Estructura"/>
    <m/>
    <x v="4"/>
    <m/>
    <x v="1"/>
    <x v="4"/>
    <m/>
    <m/>
    <m/>
    <m/>
  </r>
  <r>
    <s v="TBD"/>
    <s v="Producto"/>
    <s v="Claudia Barroso"/>
    <x v="4"/>
    <s v="Base Operativa Hipo -- Crédito de Liquidez"/>
    <s v="CUP - Crédito de Liquidez"/>
    <s v="Listo"/>
    <s v="Layout adicionado productos de Crédito"/>
    <s v="Estructura"/>
    <m/>
    <x v="4"/>
    <m/>
    <x v="1"/>
    <x v="4"/>
    <m/>
    <m/>
    <m/>
    <m/>
  </r>
  <r>
    <s v="TBD"/>
    <s v="Producto"/>
    <s v="Claudia Barroso"/>
    <x v="4"/>
    <s v="Elegibilidad Hipo -- Crédito de Liquidez"/>
    <s v="CUP - Crédito de Liquidez"/>
    <s v="Listo"/>
    <s v="Layout adicionado productos de Crédito"/>
    <s v="Estructura"/>
    <m/>
    <x v="4"/>
    <m/>
    <x v="1"/>
    <x v="4"/>
    <m/>
    <m/>
    <m/>
    <m/>
  </r>
  <r>
    <s v="TBD"/>
    <s v="Producto"/>
    <s v="Claudia Barroso"/>
    <x v="4"/>
    <s v="MORATORIA Hipo -- Crédito de Liquidez"/>
    <s v="CUP - Crédito de Liquidez"/>
    <s v="Listo"/>
    <s v="Layout adicionado productos de Crédito"/>
    <s v="Estructura"/>
    <m/>
    <x v="4"/>
    <m/>
    <x v="1"/>
    <x v="4"/>
    <m/>
    <m/>
    <m/>
    <m/>
  </r>
  <r>
    <s v="TBD"/>
    <s v="Producto"/>
    <s v="Claudia Barroso"/>
    <x v="4"/>
    <s v="COMISIONES Hipo -- Crédito de Liquidez"/>
    <s v="CUP - Crédito de Liquidez"/>
    <s v="Listo"/>
    <s v="Layout adicionado productos de Crédito"/>
    <s v="Estructura"/>
    <m/>
    <x v="4"/>
    <m/>
    <x v="1"/>
    <x v="4"/>
    <m/>
    <m/>
    <m/>
    <m/>
  </r>
  <r>
    <s v="TBD"/>
    <s v="Producto"/>
    <s v="Claudia Barroso"/>
    <x v="4"/>
    <s v="PENALIZACIONES Hipo -- Crédito de Liquidez"/>
    <s v="CUP - Crédito de Liquidez"/>
    <s v="Listo"/>
    <s v="Layout adicionado productos de Crédito"/>
    <s v="Estructura"/>
    <m/>
    <x v="4"/>
    <m/>
    <x v="1"/>
    <x v="4"/>
    <m/>
    <m/>
    <m/>
    <m/>
  </r>
  <r>
    <s v="TBD"/>
    <s v="Producto"/>
    <s v="Claudia Barroso"/>
    <x v="4"/>
    <s v="PENALIZACIONES Hipo (2) -- Crédito de Liquidez"/>
    <s v="CUP - Crédito de Liquidez"/>
    <s v="Listo"/>
    <s v="Layout adicionado productos de Crédito"/>
    <s v="Estructura"/>
    <m/>
    <x v="4"/>
    <m/>
    <x v="1"/>
    <x v="4"/>
    <m/>
    <m/>
    <m/>
    <m/>
  </r>
  <r>
    <s v="TBD"/>
    <s v="Producto"/>
    <s v="Claudia Barroso"/>
    <x v="4"/>
    <s v="SEGUROS Hipo -- Crédito de Liquidez"/>
    <s v="CUP - Crédito de Liquidez"/>
    <s v="Listo"/>
    <s v="Layout adicionado productos de Crédito"/>
    <s v="Estructura"/>
    <m/>
    <x v="4"/>
    <m/>
    <x v="1"/>
    <x v="4"/>
    <m/>
    <m/>
    <m/>
    <m/>
  </r>
  <r>
    <s v="TBD"/>
    <s v="Producto"/>
    <s v="Claudia Barroso"/>
    <x v="4"/>
    <s v="CAT Hipo -- Crédito de Liquidez"/>
    <s v="CUP - Crédito de Liquidez"/>
    <s v="Listo"/>
    <s v="Layout adicionado productos de Crédito"/>
    <s v="Estructura"/>
    <m/>
    <x v="4"/>
    <m/>
    <x v="1"/>
    <x v="4"/>
    <m/>
    <m/>
    <m/>
    <m/>
  </r>
  <r>
    <s v="TBD"/>
    <s v="Producto"/>
    <s v="Claudia Barroso"/>
    <x v="4"/>
    <s v="EST Empresarial -- Oficinas y locales"/>
    <s v="CUP - Oficinas y locales"/>
    <s v="Listo"/>
    <s v="Layout adicionado productos de Crédito"/>
    <s v="Estructura"/>
    <m/>
    <x v="4"/>
    <m/>
    <x v="1"/>
    <x v="4"/>
    <m/>
    <m/>
    <m/>
    <m/>
  </r>
  <r>
    <s v="TBD"/>
    <s v="Producto"/>
    <s v="Claudia Barroso"/>
    <x v="4"/>
    <s v="EST Empresarial -- PYME Inmuebles"/>
    <s v="CUP - PYME Inmuebles"/>
    <s v="Listo"/>
    <s v="Layout adicionado productos de Crédito"/>
    <s v="Estructura"/>
    <m/>
    <x v="4"/>
    <m/>
    <x v="1"/>
    <x v="4"/>
    <m/>
    <m/>
    <m/>
    <m/>
  </r>
  <r>
    <s v="TBD"/>
    <s v="Producto"/>
    <s v="Claudia Barroso"/>
    <x v="4"/>
    <s v="EST Empresarial -- Pyme Liquidez"/>
    <s v="CUP - Pyme Liquidez"/>
    <s v="Listo"/>
    <s v="Layout adicionado productos de Crédito"/>
    <s v="Estructura"/>
    <m/>
    <x v="4"/>
    <m/>
    <x v="1"/>
    <x v="4"/>
    <m/>
    <m/>
    <m/>
    <m/>
  </r>
  <r>
    <s v="TBD"/>
    <s v="Producto"/>
    <s v="Claudia Barroso"/>
    <x v="4"/>
    <s v="EST Registro General de Product -- Terrenos"/>
    <s v="CUP - Terrenos"/>
    <s v="Listo"/>
    <s v="Layout adicionado productos de Crédito"/>
    <s v="Estructura"/>
    <m/>
    <x v="4"/>
    <m/>
    <x v="1"/>
    <x v="4"/>
    <m/>
    <m/>
    <m/>
    <m/>
  </r>
  <r>
    <s v="TBD"/>
    <s v="Producto"/>
    <s v="Claudia Barroso"/>
    <x v="4"/>
    <s v="EST Hipo -- Terrenos"/>
    <s v="CUP - Terrenos"/>
    <s v="Listo"/>
    <s v="Layout adicionado productos de Crédito"/>
    <s v="Estructura"/>
    <m/>
    <x v="4"/>
    <m/>
    <x v="1"/>
    <x v="4"/>
    <m/>
    <m/>
    <m/>
    <m/>
  </r>
  <r>
    <s v="TBD"/>
    <s v="Producto"/>
    <s v="Claudia Barroso"/>
    <x v="4"/>
    <s v="Base Operativa Hipo -- Terrenos"/>
    <s v="CUP - Terrenos"/>
    <s v="Listo"/>
    <s v="Layout adicionado productos de Crédito"/>
    <s v="Estructura"/>
    <m/>
    <x v="4"/>
    <m/>
    <x v="1"/>
    <x v="4"/>
    <m/>
    <m/>
    <m/>
    <m/>
  </r>
  <r>
    <s v="TBD"/>
    <s v="Producto"/>
    <s v="Claudia Barroso"/>
    <x v="4"/>
    <s v="Elegibilidad Hipo -- Terrenos"/>
    <s v="CUP - Terrenos"/>
    <s v="Listo"/>
    <s v="Layout adicionado productos de Crédito"/>
    <s v="Estructura"/>
    <m/>
    <x v="4"/>
    <m/>
    <x v="1"/>
    <x v="4"/>
    <m/>
    <m/>
    <m/>
    <m/>
  </r>
  <r>
    <s v="TBD"/>
    <s v="Producto"/>
    <s v="Claudia Barroso"/>
    <x v="4"/>
    <s v="MORATORIA Hipo -- Terrenos"/>
    <s v="CUP - Terrenos"/>
    <s v="Listo"/>
    <s v="Layout adicionado productos de Crédito"/>
    <s v="Estructura"/>
    <m/>
    <x v="4"/>
    <m/>
    <x v="1"/>
    <x v="4"/>
    <m/>
    <m/>
    <m/>
    <m/>
  </r>
  <r>
    <s v="TBD"/>
    <s v="Producto"/>
    <s v="Claudia Barroso"/>
    <x v="4"/>
    <s v="COMISIONES Hipo -- Terrenos"/>
    <s v="CUP - Terrenos"/>
    <s v="Listo"/>
    <s v="Layout adicionado productos de Crédito"/>
    <s v="Estructura"/>
    <m/>
    <x v="4"/>
    <m/>
    <x v="1"/>
    <x v="4"/>
    <m/>
    <m/>
    <m/>
    <m/>
  </r>
  <r>
    <s v="TBD"/>
    <s v="Producto"/>
    <s v="Claudia Barroso"/>
    <x v="4"/>
    <s v="PENALIZACIONES Hipo -- Terrenos"/>
    <s v="CUP - Terrenos"/>
    <s v="Listo"/>
    <s v="Layout adicionado productos de Crédito"/>
    <s v="Estructura"/>
    <m/>
    <x v="4"/>
    <m/>
    <x v="1"/>
    <x v="4"/>
    <m/>
    <m/>
    <m/>
    <m/>
  </r>
  <r>
    <s v="TBD"/>
    <s v="Producto"/>
    <s v="Claudia Barroso"/>
    <x v="4"/>
    <s v="PENALIZACIONES Hipo (2) -- Terrenos"/>
    <s v="CUP - Terrenos"/>
    <s v="Listo"/>
    <s v="Layout adicionado productos de Crédito"/>
    <s v="Estructura"/>
    <m/>
    <x v="4"/>
    <m/>
    <x v="1"/>
    <x v="4"/>
    <m/>
    <m/>
    <m/>
    <m/>
  </r>
  <r>
    <s v="TBD"/>
    <s v="Producto"/>
    <s v="Claudia Barroso"/>
    <x v="4"/>
    <s v="SEGUROS Hipo -- Terrenos"/>
    <s v="CUP - Terrenos"/>
    <s v="Listo"/>
    <s v="Layout adicionado productos de Crédito"/>
    <s v="Estructura"/>
    <m/>
    <x v="4"/>
    <m/>
    <x v="1"/>
    <x v="4"/>
    <m/>
    <m/>
    <m/>
    <m/>
  </r>
  <r>
    <s v="TBD"/>
    <s v="Producto"/>
    <s v="Claudia Barroso"/>
    <x v="4"/>
    <s v="CAT Hipo -- Terrenos"/>
    <s v="CUP - Terrenos"/>
    <s v="Listo"/>
    <s v="Layout adicionado productos de Crédito"/>
    <s v="Estructura"/>
    <m/>
    <x v="4"/>
    <m/>
    <x v="1"/>
    <x v="4"/>
    <m/>
    <m/>
    <m/>
    <m/>
  </r>
  <r>
    <s v="TBD"/>
    <s v="Producto"/>
    <s v="Claudia Barroso"/>
    <x v="4"/>
    <s v="EST Empresarial -- Crédito de Liquidez"/>
    <s v="Crédito de Liquidez"/>
    <s v="Listo"/>
    <s v="Layout adicionado productos de Crédito"/>
    <s v="Estructura"/>
    <m/>
    <x v="4"/>
    <m/>
    <x v="1"/>
    <x v="4"/>
    <m/>
    <m/>
    <m/>
    <m/>
  </r>
  <r>
    <s v="TBD"/>
    <s v="Producto"/>
    <s v="Claudia Barroso"/>
    <x v="4"/>
    <s v="EST Empresarial -- Crédito Puente"/>
    <s v="Crédito Puente"/>
    <s v="Listo"/>
    <s v="Layout adicionado productos de Crédito"/>
    <s v="Estructura"/>
    <m/>
    <x v="4"/>
    <m/>
    <x v="1"/>
    <x v="4"/>
    <m/>
    <m/>
    <m/>
    <m/>
  </r>
  <r>
    <s v="TBD"/>
    <s v="Producto"/>
    <s v="Claudia Barroso"/>
    <x v="4"/>
    <s v="EST Empresarial -- Empr. Revolvente"/>
    <s v="Empr. Revolvente"/>
    <s v="Listo"/>
    <s v="Layout adicionado productos de Crédito"/>
    <s v="Estructura"/>
    <m/>
    <x v="4"/>
    <m/>
    <x v="1"/>
    <x v="4"/>
    <m/>
    <m/>
    <m/>
    <m/>
  </r>
  <r>
    <s v="TBD"/>
    <s v="Producto"/>
    <s v="Claudia Barroso"/>
    <x v="4"/>
    <s v="EST Empresarial -- Credito Simple"/>
    <s v="Credito Simple"/>
    <s v="Listo"/>
    <s v="Layout adicionado productos de Crédito"/>
    <s v="Estructura"/>
    <m/>
    <x v="4"/>
    <m/>
    <x v="1"/>
    <x v="4"/>
    <m/>
    <m/>
    <m/>
    <m/>
  </r>
  <r>
    <s v="Riesgos"/>
    <s v="Riesgos"/>
    <s v="Homero Sanchez"/>
    <x v="4"/>
    <s v="LAYOUT XVS"/>
    <s v="LOYOUT XVA"/>
    <m/>
    <s v="Se integra información mediante excel"/>
    <s v="Estructura y universo"/>
    <s v="20260107 -- Riesgos -- Entrego archivo de Excel"/>
    <x v="4"/>
    <m/>
    <x v="4"/>
    <x v="8"/>
    <m/>
    <m/>
    <m/>
    <m/>
  </r>
  <r>
    <s v="Adicionales"/>
    <s v="Tesorería "/>
    <s v="Eduardo Cabral"/>
    <x v="0"/>
    <s v="LAYOUT Seccion 1 LDID"/>
    <s v=" LAYOUT LID V4"/>
    <m/>
    <s v="Reporte habilitado en 2025 no contemplado en scope original"/>
    <s v="Estructura y universo"/>
    <m/>
    <x v="0"/>
    <s v="Ext NTT"/>
    <x v="4"/>
    <x v="0"/>
    <m/>
    <m/>
    <m/>
    <m/>
  </r>
  <r>
    <s v="Adicionales"/>
    <s v="Tesorería "/>
    <s v="Eduardo Cabral"/>
    <x v="0"/>
    <s v="LAYOUT LID LIQUIDACIONES"/>
    <s v=" LAYOUT LID V4"/>
    <m/>
    <s v="Reporte habilitado en 2025 no contemplado en scope original"/>
    <s v="Estructura y universo"/>
    <m/>
    <x v="0"/>
    <s v="Ext NTT"/>
    <x v="4"/>
    <x v="0"/>
    <m/>
    <m/>
    <m/>
    <m/>
  </r>
  <r>
    <s v="Adicionales"/>
    <s v="Tesorería "/>
    <s v="Eduardo Cabral"/>
    <x v="0"/>
    <s v="LAYOUT LID CORRESPONSALES"/>
    <s v=" LAYOUT LID V4"/>
    <m/>
    <s v="Reporte habilitado en 2025 no contemplado en scope original"/>
    <s v="Estructura y universo"/>
    <m/>
    <x v="0"/>
    <s v="Ext NTT"/>
    <x v="4"/>
    <x v="0"/>
    <m/>
    <m/>
    <m/>
    <m/>
  </r>
  <r>
    <s v="Adicionales"/>
    <s v="Tesorería "/>
    <s v="Eduardo Cabral"/>
    <x v="0"/>
    <s v="LAYOUT Seccion 5 Lineas de Cre"/>
    <s v=" LAYOUT LID V4"/>
    <m/>
    <s v="Reporte habilitado en 2025 no contemplado en scope original"/>
    <s v="Estructura y universo"/>
    <m/>
    <x v="0"/>
    <s v="Ext NTT"/>
    <x v="4"/>
    <x v="0"/>
    <m/>
    <m/>
    <m/>
    <m/>
  </r>
  <r>
    <s v="Adicionales"/>
    <s v="Tesorería "/>
    <s v="Eduardo Cabral"/>
    <x v="0"/>
    <s v="LAYOUT Seccion A Cat Lineas"/>
    <s v=" LAYOUT LID V4"/>
    <m/>
    <s v="Reporte habilitado en 2025 no contemplado en scope original"/>
    <s v="Estructura y universo"/>
    <m/>
    <x v="0"/>
    <s v="Ext NTT"/>
    <x v="4"/>
    <x v="0"/>
    <m/>
    <m/>
    <m/>
    <m/>
  </r>
</pivotCacheRecords>
</file>

<file path=xl/pivotCache/pivotCacheRecords6.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1">
  <r>
    <s v="SWAP_MEREC_CONVO"/>
    <s v="Layout_SWAPS_V9 -- SWAPS"/>
    <x v="0"/>
    <n v="482"/>
    <d v="2025-01-02T00:00:00"/>
    <d v="2026-04-29T00:00:00"/>
    <n v="0.375"/>
    <n v="0.375"/>
    <s v="No"/>
    <x v="0"/>
    <s v="Eduardo Cabral"/>
  </r>
  <r>
    <s v="USUARIOS NO CLIENTES BE"/>
    <s v="R1522_USUARIOS NO CLIENTES BE_V0.4 -- R15 1522"/>
    <x v="1"/>
    <n v="134"/>
    <d v="2026-01-02T00:00:00"/>
    <d v="2026-05-16T00:00:00"/>
    <n v="0.25"/>
    <n v="0.375"/>
    <s v="No"/>
    <x v="1"/>
    <s v="Arturo Angeles"/>
  </r>
  <r>
    <s v="UBICACION DE PUNTOS DE TRANSACC"/>
    <s v="R2443_Ubicacion - R2443"/>
    <x v="0"/>
    <n v="482"/>
    <d v="2025-01-02T00:00:00"/>
    <d v="2026-04-29T00:00:00"/>
    <n v="0.375"/>
    <n v="0.375"/>
    <s v="No"/>
    <x v="2"/>
    <s v="Luis Alberto"/>
  </r>
  <r>
    <s v="TITULARES GARANTIZADOS"/>
    <s v="R2423_IFRS9_Titulares_Garantizados_V0.4 -- R2423"/>
    <x v="1"/>
    <n v="478"/>
    <d v="2025-01-02T00:00:00"/>
    <d v="2026-04-25T00:00:00"/>
    <n v="0.25"/>
    <n v="0.625"/>
    <s v="No"/>
    <x v="2"/>
    <s v="Luis Alberto"/>
  </r>
  <r>
    <s v="TADESCOM_BAJAS"/>
    <s v="Layout TADESCOM -- TADESCOM"/>
    <x v="2"/>
    <n v="450"/>
    <d v="2025-01-02T00:00:00"/>
    <d v="2026-03-28T00:00:00"/>
    <n v="1"/>
    <n v="1"/>
    <s v="No"/>
    <x v="2"/>
    <s v="Luis Alberto"/>
  </r>
  <r>
    <s v="TADESCOM_ALTAS"/>
    <s v="Layout TADESCOM -- TADESCOM"/>
    <x v="2"/>
    <n v="450"/>
    <d v="2025-01-02T00:00:00"/>
    <d v="2026-03-28T00:00:00"/>
    <n v="1"/>
    <n v="1"/>
    <s v="No"/>
    <x v="2"/>
    <s v="Luis Alberto"/>
  </r>
  <r>
    <s v="SWAP_I"/>
    <s v="Layout_SWAPS_V9 -- SWAPS"/>
    <x v="0"/>
    <n v="482"/>
    <d v="2025-01-02T00:00:00"/>
    <d v="2026-04-29T00:00:00"/>
    <n v="0.375"/>
    <n v="0.375"/>
    <s v="No"/>
    <x v="0"/>
    <s v="Eduardo Cabral"/>
  </r>
  <r>
    <s v="R03 E-0305 ÓRDENES"/>
    <s v="layout R03-0304-0305 E BM -- R04"/>
    <x v="0"/>
    <n v="482"/>
    <d v="2025-01-02T00:00:00"/>
    <d v="2026-04-29T00:00:00"/>
    <n v="0.375"/>
    <n v="0.375"/>
    <s v="No"/>
    <x v="0"/>
    <s v="Eduardo Cabral"/>
  </r>
  <r>
    <s v="R03 E-0304 ASIGNACIONES BM"/>
    <s v="layout R03-0304-0305 E BM -- R03"/>
    <x v="0"/>
    <n v="482"/>
    <d v="2025-01-02T00:00:00"/>
    <d v="2026-04-29T00:00:00"/>
    <n v="0.375"/>
    <n v="0.375"/>
    <s v="No"/>
    <x v="0"/>
    <s v="Eduardo Cabral"/>
  </r>
  <r>
    <s v="PRESTAMO DE VALORES"/>
    <s v="PRESTAMO DE VALORES_V0.1 -- PRESTAMOS"/>
    <x v="0"/>
    <n v="482"/>
    <d v="2025-01-02T00:00:00"/>
    <d v="2026-04-29T00:00:00"/>
    <n v="0.375"/>
    <n v="0.375"/>
    <s v="No"/>
    <x v="0"/>
    <s v="Eduardo Cabral"/>
  </r>
  <r>
    <s v="FILE_OPTO_X"/>
    <s v="Layout_OPTO_V3 -- OPTO"/>
    <x v="0"/>
    <n v="482"/>
    <d v="2025-01-02T00:00:00"/>
    <d v="2026-04-29T00:00:00"/>
    <n v="0.375"/>
    <n v="0.375"/>
    <s v="No"/>
    <x v="0"/>
    <s v="Eduardo Cabral"/>
  </r>
  <r>
    <s v="FILE_OPTO_VIII_CONVO"/>
    <s v="Layout_OPTO_V3 -- OPTO"/>
    <x v="0"/>
    <n v="482"/>
    <d v="2025-01-02T00:00:00"/>
    <d v="2026-04-29T00:00:00"/>
    <n v="0.375"/>
    <n v="0.375"/>
    <s v="No"/>
    <x v="0"/>
    <s v="Eduardo Cabral"/>
  </r>
  <r>
    <s v="FILE_OPTO_MEREC_CONVO"/>
    <s v="Layout_OPTO_V3 -- OPTO"/>
    <x v="0"/>
    <n v="482"/>
    <d v="2025-01-02T00:00:00"/>
    <d v="2026-04-29T00:00:00"/>
    <n v="0.375"/>
    <n v="0.375"/>
    <s v="No"/>
    <x v="0"/>
    <s v="Eduardo Cabral"/>
  </r>
  <r>
    <s v="FILE_OPTO_IX_COM"/>
    <s v="Layout_OPTO_V3 -- OPTO"/>
    <x v="0"/>
    <n v="482"/>
    <d v="2025-01-02T00:00:00"/>
    <d v="2026-04-29T00:00:00"/>
    <n v="0.375"/>
    <n v="0.375"/>
    <s v="No"/>
    <x v="0"/>
    <s v="Eduardo Cabral"/>
  </r>
  <r>
    <s v="SUCURSALES"/>
    <s v="R2422_Sucursales -- R2422"/>
    <x v="0"/>
    <n v="482"/>
    <d v="2025-01-02T00:00:00"/>
    <d v="2026-04-29T00:00:00"/>
    <n v="0.375"/>
    <n v="0.375"/>
    <s v="No"/>
    <x v="2"/>
    <s v="Luis Alberto"/>
  </r>
  <r>
    <s v="SEGUROS NOMINA Y PERS"/>
    <s v="CUP -- CUP"/>
    <x v="2"/>
    <n v="450"/>
    <d v="2025-01-02T00:00:00"/>
    <d v="2026-03-28T00:00:00"/>
    <n v="1"/>
    <n v="1"/>
    <s v="No"/>
    <x v="3"/>
    <s v="Claudia Barroso"/>
  </r>
  <r>
    <s v="FILE_OPTO_IX"/>
    <s v="Layout_OPTO_V3 -- OPTO"/>
    <x v="0"/>
    <n v="482"/>
    <d v="2025-01-02T00:00:00"/>
    <d v="2026-04-29T00:00:00"/>
    <n v="0.375"/>
    <n v="0.375"/>
    <s v="No"/>
    <x v="0"/>
    <s v="Eduardo Cabral"/>
  </r>
  <r>
    <s v="FILE_OPTO_III"/>
    <s v="Layout_OPTO_V3 -- OPTO"/>
    <x v="0"/>
    <n v="482"/>
    <d v="2025-01-02T00:00:00"/>
    <d v="2026-04-29T00:00:00"/>
    <n v="0.375"/>
    <n v="0.375"/>
    <s v="No"/>
    <x v="0"/>
    <s v="Eduardo Cabral"/>
  </r>
  <r>
    <s v="FILE_OPTO_II_COM"/>
    <s v="Layout_OPTO_V3 -- OPTO"/>
    <x v="0"/>
    <n v="482"/>
    <d v="2025-01-02T00:00:00"/>
    <d v="2026-04-29T00:00:00"/>
    <n v="0.375"/>
    <n v="0.375"/>
    <s v="No"/>
    <x v="0"/>
    <s v="Eduardo Cabral"/>
  </r>
  <r>
    <s v="FILE_OPTO_I"/>
    <s v="Layout_OPTO_V3 -- OPTO"/>
    <x v="0"/>
    <n v="482"/>
    <d v="2025-01-02T00:00:00"/>
    <d v="2026-04-29T00:00:00"/>
    <n v="0.375"/>
    <n v="0.375"/>
    <s v="No"/>
    <x v="0"/>
    <s v="Eduardo Cabral"/>
  </r>
  <r>
    <s v="FILE_GARANTIAS_III"/>
    <s v="Layout_Garantias_V1 - GARANTIAS"/>
    <x v="0"/>
    <n v="482"/>
    <d v="2025-01-02T00:00:00"/>
    <d v="2026-04-29T00:00:00"/>
    <n v="0.375"/>
    <n v="0.375"/>
    <s v="No"/>
    <x v="0"/>
    <s v="Eduardo Cabral"/>
  </r>
  <r>
    <s v="FILE_GARANTIAS_I"/>
    <s v="Layout_Garantias_V1 - GARANTIAS"/>
    <x v="0"/>
    <n v="482"/>
    <d v="2025-01-02T00:00:00"/>
    <d v="2026-04-29T00:00:00"/>
    <n v="0.375"/>
    <n v="0.375"/>
    <s v="No"/>
    <x v="0"/>
    <s v="Eduardo Cabral"/>
  </r>
  <r>
    <s v="SWAP_IV_COM"/>
    <s v="Layout_SWAPS_V9 -- SWAPS"/>
    <x v="3"/>
    <n v="513"/>
    <d v="2025-01-02T00:00:00"/>
    <d v="2026-05-30T00:00:00"/>
    <n v="0.75"/>
    <n v="0.25"/>
    <s v="No"/>
    <x v="0"/>
    <s v="Eduardo Cabral"/>
  </r>
  <r>
    <s v="REL_CONSUMO_GARANTIA"/>
    <s v="V1.05_Credito_IFRS9_Consumo_Completo VF (2)"/>
    <x v="2"/>
    <n v="450"/>
    <d v="2025-01-02T00:00:00"/>
    <d v="2026-03-28T00:00:00"/>
    <n v="1"/>
    <n v="1"/>
    <s v="No"/>
    <x v="4"/>
    <s v="Luis Alberto"/>
  </r>
  <r>
    <s v="Registro Gral Prd"/>
    <s v="CUP -- CUP"/>
    <x v="4"/>
    <n v="471"/>
    <d v="2025-01-02T00:00:00"/>
    <d v="2026-04-18T00:00:00"/>
    <n v="0.625"/>
    <n v="0.75"/>
    <s v="No"/>
    <x v="3"/>
    <s v="Claudia Barroso"/>
  </r>
  <r>
    <s v="RECO"/>
    <s v="Layout RECO BW -- RECO"/>
    <x v="4"/>
    <n v="471"/>
    <d v="2025-01-02T00:00:00"/>
    <d v="2026-04-18T00:00:00"/>
    <n v="0.75"/>
    <n v="0.625"/>
    <s v="No"/>
    <x v="3"/>
    <s v="Claudia Barroso"/>
  </r>
  <r>
    <s v="RECLASIFICACIONES"/>
    <s v="R10_RECLASIFICACIONES -- R10"/>
    <x v="4"/>
    <n v="106"/>
    <d v="2026-01-02T00:00:00"/>
    <d v="2026-04-18T00:00:00"/>
    <n v="0.75"/>
    <n v="0.75"/>
    <s v="No"/>
    <x v="5"/>
    <s v="Ramon Jaimes "/>
  </r>
  <r>
    <s v="RECLAMACIONES BURSATILES BM"/>
    <s v="R2711_ReclamacionesB_V0.4"/>
    <x v="2"/>
    <n v="450"/>
    <d v="2025-01-02T00:00:00"/>
    <d v="2026-03-28T00:00:00"/>
    <n v="1"/>
    <n v="1"/>
    <s v="No"/>
    <x v="2"/>
    <s v="Luis Alberto"/>
  </r>
  <r>
    <s v="RECLAMACIONES"/>
    <s v="LAYOUT R27_V1 -- R27 - 2701"/>
    <x v="5"/>
    <n v="516"/>
    <d v="2025-01-02T00:00:00"/>
    <d v="2026-06-02T00:00:00"/>
    <n v="0.125"/>
    <n v="0.125"/>
    <s v="No"/>
    <x v="6"/>
    <s v="Martin Roman"/>
  </r>
  <r>
    <s v="R36_PAGOS_ANT_CARGOS_DIF"/>
    <s v="V1.00_R3601_CARGOS_DIF_PAGOS_ANTICIPADOS -- R36 3601"/>
    <x v="4"/>
    <n v="106"/>
    <d v="2026-01-02T00:00:00"/>
    <d v="2026-04-18T00:00:00"/>
    <n v="0.75"/>
    <n v="0.75"/>
    <s v="No"/>
    <x v="5"/>
    <s v="Ramon Jaimes "/>
  </r>
  <r>
    <s v="R35_1"/>
    <s v="Layout R35_1 -- R35"/>
    <x v="5"/>
    <n v="523"/>
    <d v="2025-01-02T00:00:00"/>
    <d v="2026-06-09T00:00:00"/>
    <n v="0.22500000000000001"/>
    <n v="0.125"/>
    <s v="No"/>
    <x v="7"/>
    <s v="Homero Sanchez"/>
  </r>
  <r>
    <s v="R26OPE"/>
    <s v="R26 Comisionistas -- R26 2610 2611 2612 2616"/>
    <x v="0"/>
    <n v="482"/>
    <d v="2025-01-02T00:00:00"/>
    <d v="2026-04-29T00:00:00"/>
    <n v="0.375"/>
    <n v="0.375"/>
    <s v="No"/>
    <x v="2"/>
    <s v="Luis Alberto"/>
  </r>
  <r>
    <s v="R26_MODULO"/>
    <s v="R26 Comisionistas -- R26 2610 2611 2612 2615"/>
    <x v="0"/>
    <n v="482"/>
    <d v="2025-01-02T00:00:00"/>
    <d v="2026-04-29T00:00:00"/>
    <n v="0.375"/>
    <n v="0.375"/>
    <s v="No"/>
    <x v="2"/>
    <s v="Luis Alberto"/>
  </r>
  <r>
    <s v="R26_COMISIONISTA"/>
    <s v="R26 Comisionistas -- R26 2610 2611 2612 2614"/>
    <x v="0"/>
    <n v="482"/>
    <d v="2025-01-02T00:00:00"/>
    <d v="2026-04-29T00:00:00"/>
    <n v="0.375"/>
    <n v="0.375"/>
    <s v="No"/>
    <x v="2"/>
    <s v="Luis Alberto"/>
  </r>
  <r>
    <s v="R26_ADMINISTRADOR"/>
    <s v="R26 Comisionistas -- R26 2610 2611 2612 2613"/>
    <x v="0"/>
    <n v="482"/>
    <d v="2025-01-02T00:00:00"/>
    <d v="2026-04-29T00:00:00"/>
    <n v="0.375"/>
    <n v="0.375"/>
    <s v="No"/>
    <x v="2"/>
    <s v="Luis Alberto"/>
  </r>
  <r>
    <s v="R2441_42"/>
    <s v="Layout R2441_42_V2 --R2441 - R2442"/>
    <x v="1"/>
    <n v="478"/>
    <d v="2025-01-02T00:00:00"/>
    <d v="2026-04-25T00:00:00"/>
    <n v="0.25"/>
    <n v="0.625"/>
    <s v="No"/>
    <x v="2"/>
    <s v="Luis Alberto"/>
  </r>
  <r>
    <s v="R2431"/>
    <s v="Layout R2431_V4 -- R24 C2431"/>
    <x v="4"/>
    <n v="134"/>
    <d v="2026-01-02T00:00:00"/>
    <d v="2026-05-16T00:00:00"/>
    <n v="0.625"/>
    <n v="0.375"/>
    <s v="No"/>
    <x v="8"/>
    <s v="Ramon Jaimes "/>
  </r>
  <r>
    <s v="R04A_SALDOS"/>
    <s v="V1.01_Credito_IFRS9_R04A -- A0411 - A0417 - A0419 - A0420 - A0424"/>
    <x v="0"/>
    <n v="478"/>
    <d v="2025-01-02T00:00:00"/>
    <d v="2026-04-25T00:00:00"/>
    <n v="0.375"/>
    <n v="0.375"/>
    <s v="No"/>
    <x v="4"/>
    <s v="Luis Alberto"/>
  </r>
  <r>
    <s v="R04A_MOV_420_24"/>
    <s v="V1.01_Credito_IFRS9_R04A -- A0411 - A0417 - A0419 - A0420 - A0424 -  R04A_MOV_420_24"/>
    <x v="5"/>
    <n v="515"/>
    <d v="2025-01-02T00:00:00"/>
    <d v="2026-06-01T00:00:00"/>
    <n v="0.22500000000000001"/>
    <n v="0.125"/>
    <s v="No"/>
    <x v="9"/>
    <s v="Luis Alberto"/>
  </r>
  <r>
    <s v="R04A_MOV_419"/>
    <s v="V1.01_Credito_IFRS9_R04A -- A0411 - A0417 - A0419 - A0420 - A0424 -  R04A_MOV_419"/>
    <x v="4"/>
    <n v="109"/>
    <d v="2026-01-02T00:00:00"/>
    <d v="2026-04-21T00:00:00"/>
    <n v="0.625"/>
    <n v="0.625"/>
    <s v="No"/>
    <x v="5"/>
    <s v="Ramon Jaimes "/>
  </r>
  <r>
    <s v="SWAP_IV"/>
    <s v="Layout_SWAPS_V9 -- SWAPS"/>
    <x v="3"/>
    <n v="513"/>
    <d v="2025-01-02T00:00:00"/>
    <d v="2026-05-30T00:00:00"/>
    <n v="0.75"/>
    <n v="0.25"/>
    <s v="No"/>
    <x v="0"/>
    <s v="Eduardo Cabral"/>
  </r>
  <r>
    <s v="MODIF_TASAPREMIO"/>
    <s v="Layout_REPORTOS_MN_ME_V7_2024 -- REPORTOS"/>
    <x v="0"/>
    <n v="488"/>
    <d v="2025-01-02T00:00:00"/>
    <d v="2026-05-05T00:00:00"/>
    <n v="0.5"/>
    <n v="0.375"/>
    <s v="No"/>
    <x v="0"/>
    <s v="Eduardo Cabral"/>
  </r>
  <r>
    <s v="PRODUCTOS CAPTACION CNBV"/>
    <s v="R2421_Prod Cap -- R2421"/>
    <x v="1"/>
    <n v="478"/>
    <d v="2025-01-02T00:00:00"/>
    <d v="2026-04-25T00:00:00"/>
    <n v="0.25"/>
    <n v="0.625"/>
    <s v="No"/>
    <x v="2"/>
    <s v="Luis Alberto"/>
  </r>
  <r>
    <s v="GAMMA_VEGA"/>
    <s v="LAYOUT GAMMA_VEGA_V2 -- RC18"/>
    <x v="3"/>
    <n v="109"/>
    <d v="2026-02-03T00:00:00"/>
    <d v="2026-05-23T00:00:00"/>
    <n v="0.75"/>
    <n v="0.375"/>
    <s v="No"/>
    <x v="0"/>
    <s v="Eduardo Cabral"/>
  </r>
  <r>
    <s v="PERSONA"/>
    <s v="V1.05_Layouts CREDITO Bancos IFRS (Comercial) (1)"/>
    <x v="0"/>
    <n v="478"/>
    <d v="2025-01-02T00:00:00"/>
    <d v="2026-04-25T00:00:00"/>
    <n v="0.5"/>
    <n v="0.375"/>
    <s v="No"/>
    <x v="4"/>
    <s v="Luis Alberto"/>
  </r>
  <r>
    <s v="PENALIZACIONES NOMINA Y PERS"/>
    <s v="CUP -- CUP"/>
    <x v="2"/>
    <n v="450"/>
    <d v="2025-01-02T00:00:00"/>
    <d v="2026-03-28T00:00:00"/>
    <n v="1"/>
    <n v="1"/>
    <s v="No"/>
    <x v="3"/>
    <s v="Claudia Barroso"/>
  </r>
  <r>
    <s v="PAGOS_EXIGIBLES"/>
    <s v="V1.05_Credito_IFRS9_Consumo_Completo VF (2)"/>
    <x v="0"/>
    <n v="478"/>
    <d v="2025-01-02T00:00:00"/>
    <d v="2026-04-25T00:00:00"/>
    <n v="0.375"/>
    <n v="0.375"/>
    <s v="No"/>
    <x v="4"/>
    <s v="Luis Alberto"/>
  </r>
  <r>
    <s v="OperacionesOEMN"/>
    <s v="LayoutOEMN_v3"/>
    <x v="0"/>
    <n v="482"/>
    <d v="2025-01-02T00:00:00"/>
    <d v="2026-04-29T00:00:00"/>
    <n v="0.375"/>
    <n v="0.375"/>
    <s v="No"/>
    <x v="2"/>
    <s v="Arturo Angeles"/>
  </r>
  <r>
    <s v="OPERACIONES DE CLIENTES BE"/>
    <s v="R1523_24_OPERACIONES DE CLIENTES BE_V0.4 -- R15 1523 1524"/>
    <x v="1"/>
    <n v="134"/>
    <d v="2026-01-02T00:00:00"/>
    <d v="2026-05-16T00:00:00"/>
    <n v="0.25"/>
    <n v="0.375"/>
    <s v="No"/>
    <x v="1"/>
    <s v="Arturo Angeles"/>
  </r>
  <r>
    <s v="Moratoria CNR"/>
    <s v="CUP -- CUP"/>
    <x v="2"/>
    <n v="450"/>
    <d v="2025-01-02T00:00:00"/>
    <d v="2026-03-28T00:00:00"/>
    <n v="1"/>
    <n v="1"/>
    <s v="No"/>
    <x v="3"/>
    <s v="Claudia Barroso"/>
  </r>
  <r>
    <s v="FT_TENENCIA"/>
    <s v="LayoutTenencia_V2 -- TENENCIA - REPORTOS"/>
    <x v="5"/>
    <n v="537"/>
    <d v="2025-01-02T00:00:00"/>
    <d v="2026-06-23T00:00:00"/>
    <n v="0.22500000000000001"/>
    <n v="0.125"/>
    <s v="No"/>
    <x v="0"/>
    <s v="Eduardo Cabral"/>
  </r>
  <r>
    <s v="MERCANCIAS_RC"/>
    <s v="LAYOUT MERCANCIAS_RCS -- RC17"/>
    <x v="4"/>
    <n v="464"/>
    <d v="2025-01-02T00:00:00"/>
    <d v="2026-04-11T00:00:00"/>
    <n v="0.625"/>
    <n v="0.75"/>
    <s v="No"/>
    <x v="10"/>
    <s v="Homero Sanchez"/>
  </r>
  <r>
    <s v="MDEF_SUC Y CAJAS GRALES"/>
    <s v="Layouts MDEF -- MDEF"/>
    <x v="1"/>
    <n v="471"/>
    <d v="2025-01-02T00:00:00"/>
    <d v="2026-04-18T00:00:00"/>
    <n v="0.25"/>
    <n v="0.75"/>
    <s v="No"/>
    <x v="3"/>
    <s v="Claudia Barroso"/>
  </r>
  <r>
    <s v="MDEF_CAJEROS PROPIOS"/>
    <s v="Layouts MDEF -- MDEF"/>
    <x v="2"/>
    <n v="450"/>
    <d v="2025-01-02T00:00:00"/>
    <d v="2026-03-28T00:00:00"/>
    <n v="1"/>
    <n v="1"/>
    <s v="No"/>
    <x v="3"/>
    <s v="Claudia Barroso"/>
  </r>
  <r>
    <s v="MDEF_CAJEROS EXTERNOS"/>
    <s v="Layouts MDEF -- MDEF"/>
    <x v="2"/>
    <n v="450"/>
    <d v="2025-01-02T00:00:00"/>
    <d v="2026-03-28T00:00:00"/>
    <n v="1"/>
    <n v="1"/>
    <s v="No"/>
    <x v="3"/>
    <s v="Claudia Barroso"/>
  </r>
  <r>
    <s v="MDEF_BOVEDAS PROPIAS"/>
    <s v="Layouts MDEF -- MDEF"/>
    <x v="2"/>
    <n v="450"/>
    <d v="2025-01-02T00:00:00"/>
    <d v="2026-03-28T00:00:00"/>
    <n v="1"/>
    <n v="1"/>
    <s v="No"/>
    <x v="3"/>
    <s v="Claudia Barroso"/>
  </r>
  <r>
    <s v="MDEF_BOVEDAS EXTERNAS"/>
    <s v="Layouts MDEF -- MDEF"/>
    <x v="2"/>
    <n v="450"/>
    <d v="2025-01-02T00:00:00"/>
    <d v="2026-03-28T00:00:00"/>
    <n v="1"/>
    <n v="1"/>
    <s v="No"/>
    <x v="3"/>
    <s v="Claudia Barroso"/>
  </r>
  <r>
    <s v="LINEA CREDITO"/>
    <s v="V1.05_Layouts CREDITO Bancos IFRS (Comercial) (1)"/>
    <x v="0"/>
    <n v="478"/>
    <d v="2025-01-02T00:00:00"/>
    <d v="2026-04-25T00:00:00"/>
    <n v="0.5"/>
    <n v="0.375"/>
    <s v="No"/>
    <x v="4"/>
    <s v="Luis Alberto"/>
  </r>
  <r>
    <s v="INVERSIONES PERMANENTES"/>
    <s v="R1230_Contables_IFRS9_Inversiones_Permanentes_V1"/>
    <x v="4"/>
    <n v="92"/>
    <d v="2026-01-02T00:00:00"/>
    <d v="2026-04-04T00:00:00"/>
    <n v="0.75"/>
    <n v="0.75"/>
    <s v="No"/>
    <x v="5"/>
    <s v="Ramon Jaimes "/>
  </r>
  <r>
    <s v="INTEGRACION ACCIONARIA"/>
    <s v="R1411_INT. ACC -- R1411"/>
    <x v="4"/>
    <n v="106"/>
    <d v="2026-01-02T00:00:00"/>
    <d v="2026-04-18T00:00:00"/>
    <n v="0.65625"/>
    <n v="0.75"/>
    <s v="No"/>
    <x v="5"/>
    <s v="Ramon Jaimes "/>
  </r>
  <r>
    <s v="INFIMP"/>
    <s v="Layout INFIMP -- INFIMP"/>
    <x v="2"/>
    <n v="450"/>
    <d v="2025-01-02T00:00:00"/>
    <d v="2026-03-28T00:00:00"/>
    <n v="1"/>
    <n v="1"/>
    <s v="No"/>
    <x v="2"/>
    <s v="Luis Alberto"/>
  </r>
  <r>
    <s v="IMPUESTOS"/>
    <s v="R07_Imp Dif -- R07"/>
    <x v="4"/>
    <n v="106"/>
    <d v="2026-01-02T00:00:00"/>
    <d v="2026-04-18T00:00:00"/>
    <n v="0.625"/>
    <n v="0.75"/>
    <s v="No"/>
    <x v="5"/>
    <s v="Ramon Jaimes "/>
  </r>
  <r>
    <s v="HIPOTECARIO"/>
    <s v="V1.05_Layouts CREDITO Bancos IFRS (Hipotecario Simplificado) (1)- HIPOTECARIO"/>
    <x v="0"/>
    <n v="478"/>
    <d v="2025-01-02T00:00:00"/>
    <d v="2026-04-25T00:00:00"/>
    <n v="0.375"/>
    <n v="0.375"/>
    <s v="No"/>
    <x v="4"/>
    <s v="Luis Alberto"/>
  </r>
  <r>
    <s v="GARANTIA_CONSUMO"/>
    <s v="V1.05_Credito_IFRS9_Consumo_Completo VF (2)"/>
    <x v="2"/>
    <n v="450"/>
    <d v="2025-01-02T00:00:00"/>
    <d v="2026-03-28T00:00:00"/>
    <n v="1"/>
    <n v="1"/>
    <s v="No"/>
    <x v="4"/>
    <s v="Luis Alberto"/>
  </r>
  <r>
    <s v="GARANTIA"/>
    <s v="V1.05_Layouts CREDITO Bancos IFRS (Comercial) (1)"/>
    <x v="1"/>
    <n v="471"/>
    <d v="2025-01-02T00:00:00"/>
    <d v="2026-04-18T00:00:00"/>
    <n v="0.375"/>
    <n v="0.75"/>
    <s v="No"/>
    <x v="4"/>
    <s v="Luis Alberto"/>
  </r>
  <r>
    <s v="FT_REPORTOS_CDA"/>
    <s v="Layout_REPORTOS_CDA -- REPORTOS"/>
    <x v="5"/>
    <n v="537"/>
    <d v="2025-01-02T00:00:00"/>
    <d v="2026-06-23T00:00:00"/>
    <n v="0.22500000000000001"/>
    <n v="0.125"/>
    <s v="No"/>
    <x v="0"/>
    <s v="Eduardo Cabral"/>
  </r>
  <r>
    <s v="FT_TPA"/>
    <s v="Layout TPA BW_v2 -- TPA"/>
    <x v="1"/>
    <n v="478"/>
    <d v="2025-01-02T00:00:00"/>
    <d v="2026-04-25T00:00:00"/>
    <n v="0.25"/>
    <n v="0.625"/>
    <s v="No"/>
    <x v="2"/>
    <s v="Luis Alberto"/>
  </r>
  <r>
    <s v="FT_REPORTOS"/>
    <s v="Layout_REPORTOS_MN_ME_V3"/>
    <x v="5"/>
    <n v="537"/>
    <d v="2025-01-02T00:00:00"/>
    <d v="2026-06-23T00:00:00"/>
    <n v="0.22500000000000001"/>
    <n v="0.125"/>
    <s v="No"/>
    <x v="0"/>
    <s v="Eduardo Cabral"/>
  </r>
  <r>
    <s v="FT_PAC_II"/>
    <s v="Layout_PACII_V1 -- PAC"/>
    <x v="2"/>
    <n v="450"/>
    <d v="2025-01-02T00:00:00"/>
    <d v="2026-03-28T00:00:00"/>
    <n v="1"/>
    <n v="1"/>
    <s v="No"/>
    <x v="0"/>
    <s v="Eduardo Cabral"/>
  </r>
  <r>
    <s v="FT_CVT_TR"/>
    <s v="Layout_CVT_TR_V2"/>
    <x v="5"/>
    <n v="537"/>
    <d v="2025-01-02T00:00:00"/>
    <d v="2026-06-23T00:00:00"/>
    <n v="0.22500000000000001"/>
    <n v="0.125"/>
    <s v="No"/>
    <x v="0"/>
    <s v="Eduardo Cabral"/>
  </r>
  <r>
    <s v="FT_R2911"/>
    <s v="Layout R29 V2 -- R2911"/>
    <x v="0"/>
    <n v="482"/>
    <d v="2025-01-02T00:00:00"/>
    <d v="2026-04-29T00:00:00"/>
    <n v="0.375"/>
    <n v="0.375"/>
    <s v="No"/>
    <x v="2"/>
    <s v="Luis Alberto"/>
  </r>
  <r>
    <s v="FT_CVT_IN"/>
    <s v="Layout_CVT_IN_V2 -- CVT"/>
    <x v="5"/>
    <n v="537"/>
    <d v="2025-01-02T00:00:00"/>
    <d v="2026-06-23T00:00:00"/>
    <n v="0.22500000000000001"/>
    <n v="0.125"/>
    <s v="No"/>
    <x v="0"/>
    <s v="Eduardo Cabral"/>
  </r>
  <r>
    <s v="FT_CVT"/>
    <s v="Layout_CVT_MN_ME_V3 -- CVT - RCs - TENENCIA"/>
    <x v="5"/>
    <n v="537"/>
    <d v="2025-01-02T00:00:00"/>
    <d v="2026-06-23T00:00:00"/>
    <n v="0.22500000000000001"/>
    <n v="0.125"/>
    <s v="No"/>
    <x v="0"/>
    <s v="Eduardo Cabral"/>
  </r>
  <r>
    <s v="FILE_TENENCIA_PRECIO"/>
    <s v="CORE_LayoutTenenciaAdicional_v3.2 -- TENENCIA"/>
    <x v="5"/>
    <n v="537"/>
    <d v="2025-01-02T00:00:00"/>
    <d v="2026-06-23T00:00:00"/>
    <n v="0.22500000000000001"/>
    <n v="0.125"/>
    <s v="No"/>
    <x v="0"/>
    <s v="Eduardo Cabral"/>
  </r>
  <r>
    <s v="FILE_PAC_I"/>
    <s v="Layout_PACI_V2 -- PAC"/>
    <x v="2"/>
    <n v="450"/>
    <d v="2025-01-02T00:00:00"/>
    <d v="2026-03-28T00:00:00"/>
    <n v="1"/>
    <n v="1"/>
    <s v="No"/>
    <x v="0"/>
    <s v="Eduardo Cabral"/>
  </r>
  <r>
    <s v="FT_ACLME_X"/>
    <s v="Layout ACLME_X_V1 -- ACLME"/>
    <x v="5"/>
    <n v="543"/>
    <d v="2025-01-02T00:00:00"/>
    <d v="2026-06-29T00:00:00"/>
    <n v="0.125"/>
    <n v="0.125"/>
    <s v="Sí"/>
    <x v="11"/>
    <s v="Belem Alvarado"/>
  </r>
  <r>
    <s v="FLUJOS Y VARIACIONES"/>
    <s v="R13A_FLUJOS Y VARIACIONES -- R13A"/>
    <x v="4"/>
    <n v="106"/>
    <d v="2026-01-02T00:00:00"/>
    <d v="2026-04-18T00:00:00"/>
    <n v="0.75"/>
    <n v="0.75"/>
    <s v="No"/>
    <x v="5"/>
    <s v="Ramon Jaimes "/>
  </r>
  <r>
    <s v="FILE_TITULOS_DEUDA"/>
    <s v="LAYOUTS_RCS_v2 -- RC01 - RC03 - RC04 - RC07 - RC08 - RC02 - RC06A"/>
    <x v="4"/>
    <n v="464"/>
    <d v="2025-01-02T00:00:00"/>
    <d v="2026-04-11T00:00:00"/>
    <n v="0.625"/>
    <n v="0.75"/>
    <s v="No"/>
    <x v="7"/>
    <s v="Homero Sanchez"/>
  </r>
  <r>
    <s v="FILE_TIPOCAMBIO_DIARIO"/>
    <s v="Layout_Tipos de Cambio Diario_v2 -- ACLME"/>
    <x v="5"/>
    <n v="543"/>
    <d v="2025-01-02T00:00:00"/>
    <d v="2026-06-29T00:00:00"/>
    <n v="0.125"/>
    <n v="0.125"/>
    <s v="Sí"/>
    <x v="11"/>
    <s v="Belem Alvarado"/>
  </r>
  <r>
    <s v="FILE_OPTO_II"/>
    <s v="Layout_OPTO_V3 -- OPTO"/>
    <x v="0"/>
    <n v="482"/>
    <d v="2025-01-02T00:00:00"/>
    <d v="2026-04-29T00:00:00"/>
    <n v="0.375"/>
    <n v="0.375"/>
    <s v="No"/>
    <x v="0"/>
    <s v="Eduardo Cabral"/>
  </r>
  <r>
    <s v="FILE_SISPAGOS"/>
    <s v="Layout SISPAGOS BW -- SISPAGOS"/>
    <x v="0"/>
    <n v="478"/>
    <d v="2025-01-02T00:00:00"/>
    <d v="2026-04-25T00:00:00"/>
    <n v="0.375"/>
    <n v="0.375"/>
    <s v="No"/>
    <x v="2"/>
    <s v="Luis Alberto"/>
  </r>
  <r>
    <s v="FILE_RC19_INSUMO"/>
    <s v="LAYOUTS_RCS_v5"/>
    <x v="2"/>
    <n v="109"/>
    <d v="2026-02-03T00:00:00"/>
    <d v="2026-05-23T00:00:00"/>
    <n v="1"/>
    <n v="0.375"/>
    <s v="No"/>
    <x v="7"/>
    <s v="Homero Sanchez"/>
  </r>
  <r>
    <s v="FILE_RC08_INT_ACC"/>
    <s v="LAYOUTS_RCS_v5"/>
    <x v="1"/>
    <n v="109"/>
    <d v="2026-02-03T00:00:00"/>
    <d v="2026-05-23T00:00:00"/>
    <n v="0.25"/>
    <n v="0.375"/>
    <s v="No"/>
    <x v="7"/>
    <s v="Eduardo Cabral"/>
  </r>
  <r>
    <s v="FILE_RC06A_DERIVADOS_TEMP"/>
    <s v="LAYOUTS_RCS_v2 -- RC01 - RC03 - RC04 - RC07 - RC08 - RC02 - RC06A"/>
    <x v="4"/>
    <n v="464"/>
    <d v="2025-01-02T00:00:00"/>
    <d v="2026-04-11T00:00:00"/>
    <n v="0.625"/>
    <n v="0.75"/>
    <s v="No"/>
    <x v="7"/>
    <s v="Homero Sanchez"/>
  </r>
  <r>
    <s v="FILE_RC_CTACOB_INSUMO"/>
    <s v="LAYOUTS_RCS_v5"/>
    <x v="5"/>
    <n v="515"/>
    <d v="2025-01-02T00:00:00"/>
    <d v="2026-06-01T00:00:00"/>
    <n v="0.125"/>
    <n v="0.125"/>
    <s v="No"/>
    <x v="5"/>
    <s v="Ramon Jaimes "/>
  </r>
  <r>
    <s v="FILE_R01_PAGOS_ANT"/>
    <s v="LAYOUTS_RCS_v5"/>
    <x v="5"/>
    <n v="523"/>
    <d v="2025-01-02T00:00:00"/>
    <d v="2026-06-09T00:00:00"/>
    <n v="0.125"/>
    <n v="0.125"/>
    <s v="No"/>
    <x v="7"/>
    <s v="Homero Sanchez"/>
  </r>
  <r>
    <s v="FILE_OPTO_CONVO"/>
    <s v="Layout_OPTO_V3 -- OPTO"/>
    <x v="1"/>
    <n v="513"/>
    <d v="2025-01-02T00:00:00"/>
    <d v="2026-05-30T00:00:00"/>
    <n v="0.25"/>
    <n v="0.25"/>
    <s v="No"/>
    <x v="0"/>
    <s v="Eduardo Cabral"/>
  </r>
  <r>
    <s v="FILE_OFF_FX_DDMMAA"/>
    <s v="Layout OFF_FX_V7 -- OFF"/>
    <x v="5"/>
    <n v="537"/>
    <d v="2025-01-02T00:00:00"/>
    <d v="2026-06-23T00:00:00"/>
    <n v="0.125"/>
    <n v="0.125"/>
    <s v="No"/>
    <x v="0"/>
    <s v="Eduardo Cabral"/>
  </r>
  <r>
    <s v="FILE_OFF_CONVAL"/>
    <s v="Layout OFF_FX_V7 -- OFF"/>
    <x v="5"/>
    <n v="537"/>
    <d v="2025-01-02T00:00:00"/>
    <d v="2026-06-23T00:00:00"/>
    <n v="0.125"/>
    <n v="0.125"/>
    <s v="No"/>
    <x v="0"/>
    <s v="Eduardo Cabral"/>
  </r>
  <r>
    <s v="FILE_GARANTIAS_IV"/>
    <s v="Layout_Garantias_V1 - GARANTIAS"/>
    <x v="5"/>
    <n v="537"/>
    <d v="2025-01-02T00:00:00"/>
    <d v="2026-06-23T00:00:00"/>
    <n v="0.125"/>
    <n v="0.125"/>
    <s v="No"/>
    <x v="0"/>
    <s v="Eduardo Cabral"/>
  </r>
  <r>
    <s v="FILE_GARANTIAS_II"/>
    <s v="Layout_Garantias_V1 - GARANTIAS"/>
    <x v="5"/>
    <n v="537"/>
    <d v="2025-01-02T00:00:00"/>
    <d v="2026-06-23T00:00:00"/>
    <n v="0.125"/>
    <n v="0.125"/>
    <s v="No"/>
    <x v="0"/>
    <s v="Eduardo Cabral"/>
  </r>
  <r>
    <s v="FILE_FUT_CONVAL"/>
    <s v="Layout OFF_FX_V7 -- OFF"/>
    <x v="5"/>
    <n v="537"/>
    <d v="2025-01-02T00:00:00"/>
    <d v="2026-06-23T00:00:00"/>
    <n v="0.125"/>
    <n v="0.125"/>
    <s v="No"/>
    <x v="0"/>
    <s v="Eduardo Cabral"/>
  </r>
  <r>
    <s v="FILE_CVT_TRP"/>
    <s v="Layout_CVT_TRP_V2"/>
    <x v="5"/>
    <n v="537"/>
    <d v="2025-01-02T00:00:00"/>
    <d v="2026-06-23T00:00:00"/>
    <n v="0.125"/>
    <n v="0.125"/>
    <s v="No"/>
    <x v="0"/>
    <s v="Eduardo Cabral"/>
  </r>
  <r>
    <s v="FILE_CONTRAPARTES"/>
    <s v="Layout_CONTRAPARTES_v5 -- CONTRAPARTES"/>
    <x v="0"/>
    <n v="478"/>
    <d v="2025-01-02T00:00:00"/>
    <d v="2026-04-25T00:00:00"/>
    <n v="0.375"/>
    <n v="0.375"/>
    <s v="No"/>
    <x v="0"/>
    <s v="Eduardo Cabral"/>
  </r>
  <r>
    <s v="CF_ESP"/>
    <s v="Layout CF_V3"/>
    <x v="5"/>
    <n v="537"/>
    <d v="2025-01-02T00:00:00"/>
    <d v="2026-06-23T00:00:00"/>
    <n v="0.125"/>
    <n v="0.125"/>
    <s v="No"/>
    <x v="0"/>
    <s v="Eduardo Cabral"/>
  </r>
  <r>
    <s v="CE_ENG"/>
    <s v="Layout CF_V2"/>
    <x v="2"/>
    <n v="450"/>
    <d v="2025-01-02T00:00:00"/>
    <d v="2026-03-28T00:00:00"/>
    <n v="1"/>
    <n v="1"/>
    <s v="No"/>
    <x v="0"/>
    <s v="Eduardo Cabral"/>
  </r>
  <r>
    <s v="CARTERA_2BIS17"/>
    <s v="LAYOUT_RC08A_MAPEOS -- RC01 - RC03 - RC04 - RC07 - RC08 - RC15 - RC19"/>
    <x v="5"/>
    <n v="523"/>
    <d v="2025-01-02T00:00:00"/>
    <d v="2026-06-09T00:00:00"/>
    <n v="0.125"/>
    <n v="0.125"/>
    <s v="No"/>
    <x v="7"/>
    <s v="Homero Sanchez"/>
  </r>
  <r>
    <s v="CANASTA_REPORTOS"/>
    <s v="Layout_REPORTOS_MN_ME_V7_2024 -- REPORTOS"/>
    <x v="5"/>
    <n v="537"/>
    <d v="2025-01-02T00:00:00"/>
    <d v="2026-06-23T00:00:00"/>
    <n v="0.22500000000000001"/>
    <n v="0.125"/>
    <s v="No"/>
    <x v="0"/>
    <s v="Eduardo Cabral"/>
  </r>
  <r>
    <s v="LAYOUT Seccion 1 LDID"/>
    <s v=" LAYOUT LID V4"/>
    <x v="5"/>
    <n v="543"/>
    <d v="2025-01-02T00:00:00"/>
    <d v="2026-06-29T00:00:00"/>
    <n v="0.13500000000000001"/>
    <n v="0.125"/>
    <s v="Sí"/>
    <x v="11"/>
    <s v="Eduardo Cabral"/>
  </r>
  <r>
    <s v="FILE_OCIM_II"/>
    <s v="Layout OCIM_II_Activas_V3 -- OCIMN_II - OCIME_II"/>
    <x v="1"/>
    <n v="478"/>
    <d v="2025-01-02T00:00:00"/>
    <d v="2026-04-25T00:00:00"/>
    <n v="0.25"/>
    <n v="0.625"/>
    <s v="No"/>
    <x v="2"/>
    <s v="Luis Alberto"/>
  </r>
  <r>
    <s v="FILE_OCIM_I"/>
    <s v="Layout OCIM_Diario_V1 -- OCIMN_I - OCIME_I"/>
    <x v="1"/>
    <n v="478"/>
    <d v="2025-01-02T00:00:00"/>
    <d v="2026-04-25T00:00:00"/>
    <n v="0.25"/>
    <n v="0.625"/>
    <s v="No"/>
    <x v="2"/>
    <s v="Luis Alberto"/>
  </r>
  <r>
    <s v="FILE_ML"/>
    <s v="Layout ML-4 -- ML"/>
    <x v="5"/>
    <n v="543"/>
    <d v="2025-01-02T00:00:00"/>
    <d v="2026-06-29T00:00:00"/>
    <n v="0.14500000000000002"/>
    <n v="0.125"/>
    <s v="Sí"/>
    <x v="11"/>
    <s v="Homero Sanchez"/>
  </r>
  <r>
    <s v="LAYOUT LID LIQUIDACIONES"/>
    <s v=" LAYOUT LID V4"/>
    <x v="5"/>
    <n v="543"/>
    <d v="2025-01-02T00:00:00"/>
    <d v="2026-06-29T00:00:00"/>
    <n v="0.13500000000000001"/>
    <n v="0.125"/>
    <s v="Sí"/>
    <x v="11"/>
    <s v="Eduardo Cabral"/>
  </r>
  <r>
    <s v="LAYOUT LID CORRESPONSALES"/>
    <s v=" LAYOUT LID V4"/>
    <x v="5"/>
    <n v="543"/>
    <d v="2025-01-02T00:00:00"/>
    <d v="2026-06-29T00:00:00"/>
    <n v="0.13500000000000001"/>
    <n v="0.125"/>
    <s v="Sí"/>
    <x v="11"/>
    <s v="Eduardo Cabral"/>
  </r>
  <r>
    <s v="LAYOUT Seccion 5 Lineas de Cre"/>
    <s v=" LAYOUT LID V4"/>
    <x v="5"/>
    <n v="543"/>
    <d v="2025-01-02T00:00:00"/>
    <d v="2026-06-29T00:00:00"/>
    <n v="0.13500000000000001"/>
    <n v="0.125"/>
    <s v="Sí"/>
    <x v="11"/>
    <s v="Eduardo Cabral"/>
  </r>
  <r>
    <s v="LAYOUT Seccion A Cat Lineas"/>
    <s v=" LAYOUT LID V4"/>
    <x v="5"/>
    <n v="543"/>
    <d v="2025-01-02T00:00:00"/>
    <d v="2026-06-29T00:00:00"/>
    <n v="0.13500000000000001"/>
    <n v="0.125"/>
    <s v="Sí"/>
    <x v="11"/>
    <s v="Eduardo Cabral"/>
  </r>
  <r>
    <s v="FILE_CFEN"/>
    <s v="LAYOUT CFEN-3"/>
    <x v="5"/>
    <n v="543"/>
    <d v="2025-01-02T00:00:00"/>
    <d v="2026-06-29T00:00:00"/>
    <n v="0.14500000000000002"/>
    <n v="0.125"/>
    <s v="Sí"/>
    <x v="11"/>
    <s v="Homero Sanchez"/>
  </r>
  <r>
    <s v="FILE_CARTERA_LINEA"/>
    <s v="LAYOUTS_RCS_v2 -- RC01 - RC03 - RC04 - RC07 - RC08 - RC02 - RC06A"/>
    <x v="4"/>
    <n v="464"/>
    <d v="2025-01-02T00:00:00"/>
    <d v="2026-04-11T00:00:00"/>
    <n v="0.625"/>
    <n v="0.75"/>
    <s v="No"/>
    <x v="7"/>
    <s v="Homero Sanchez"/>
  </r>
  <r>
    <s v="FILE_CARTERA"/>
    <s v="LAYOUTS_RCS_v2 -- RC01 - RC03 - RC04 - RC07 - RC08 - RC02 - RC06A"/>
    <x v="4"/>
    <n v="464"/>
    <d v="2025-01-02T00:00:00"/>
    <d v="2026-04-11T00:00:00"/>
    <n v="0.625"/>
    <n v="0.75"/>
    <s v="No"/>
    <x v="7"/>
    <s v="Homero Sanchez"/>
  </r>
  <r>
    <s v="FILE_CAPTACION"/>
    <s v="Layout Captacion_V3 -- CRI - R08 - OCIM_II"/>
    <x v="0"/>
    <n v="478"/>
    <d v="2025-01-02T00:00:00"/>
    <d v="2026-04-25T00:00:00"/>
    <n v="0.375"/>
    <n v="0.375"/>
    <s v="No"/>
    <x v="2"/>
    <s v="Luis Alberto"/>
  </r>
  <r>
    <s v="FILE_ACLME_OPE_VIG"/>
    <s v="LAYOUTS_RCS_v2 -- RC01 - RC03 - RC04 - RC07 - RC08 - RC02 - RC06A"/>
    <x v="4"/>
    <n v="464"/>
    <d v="2025-01-02T00:00:00"/>
    <d v="2026-04-11T00:00:00"/>
    <n v="0.625"/>
    <n v="0.75"/>
    <s v="No"/>
    <x v="7"/>
    <s v="Homero Sanchez"/>
  </r>
  <r>
    <s v="FILE_ACLME_CONCEPTOSFIJOS_DDMMAA"/>
    <s v="Layout_ACLME_ConceptosFijos_v3 -- ACLME"/>
    <x v="5"/>
    <n v="543"/>
    <d v="2025-01-02T00:00:00"/>
    <d v="2026-06-29T00:00:00"/>
    <n v="0.125"/>
    <n v="0.125"/>
    <s v="Sí"/>
    <x v="11"/>
    <s v="Belem Alvarado"/>
  </r>
  <r>
    <s v="FILE_ACLME_AJUSTES_DDMMAA"/>
    <s v="ACLME_Ajustes_V3 -- ACLME"/>
    <x v="5"/>
    <n v="543"/>
    <d v="2025-01-02T00:00:00"/>
    <d v="2026-06-29T00:00:00"/>
    <n v="0.125"/>
    <n v="0.125"/>
    <s v="Sí"/>
    <x v="11"/>
    <s v="Belem Alvarado"/>
  </r>
  <r>
    <s v="FILE_ACLME"/>
    <s v="Layout_ACLME_SECCION_I_V_v3 -- ACLME"/>
    <x v="5"/>
    <n v="543"/>
    <d v="2025-01-02T00:00:00"/>
    <d v="2026-06-29T00:00:00"/>
    <n v="0.125"/>
    <n v="0.125"/>
    <s v="Sí"/>
    <x v="11"/>
    <s v="Belem Alvarado"/>
  </r>
  <r>
    <s v="EVENTOS ROP"/>
    <s v="R2812_EVENTOS ROP_V0.4 -- R2812"/>
    <x v="4"/>
    <n v="471"/>
    <d v="2025-01-02T00:00:00"/>
    <d v="2026-04-18T00:00:00"/>
    <n v="0.625"/>
    <n v="0.75"/>
    <s v="No"/>
    <x v="7"/>
    <s v="Homero Sanchez"/>
  </r>
  <r>
    <s v="Est Prod Deposito"/>
    <s v="CUP -- CUP"/>
    <x v="4"/>
    <n v="471"/>
    <d v="2025-01-02T00:00:00"/>
    <d v="2026-04-18T00:00:00"/>
    <n v="0.625"/>
    <n v="0.75"/>
    <s v="No"/>
    <x v="3"/>
    <s v="Claudia Barroso"/>
  </r>
  <r>
    <s v="ENT_CUOTAS_IPAB_DEF"/>
    <s v="Layout IPAB_V3 - IPAB"/>
    <x v="1"/>
    <n v="127"/>
    <d v="2026-01-02T00:00:00"/>
    <d v="2026-05-09T00:00:00"/>
    <n v="0.25"/>
    <n v="0.625"/>
    <s v="No"/>
    <x v="5"/>
    <s v="Ramon Jaimes "/>
  </r>
  <r>
    <s v="ENT_CAJA_CAPTACION"/>
    <s v="Layout CCV BW -- CCV"/>
    <x v="0"/>
    <n v="478"/>
    <d v="2025-01-02T00:00:00"/>
    <d v="2026-04-25T00:00:00"/>
    <n v="0.375"/>
    <n v="0.375"/>
    <s v="No"/>
    <x v="2"/>
    <s v="Luis Alberto"/>
  </r>
  <r>
    <s v="ELIMINACIONES"/>
    <s v="R12_ELIMINACIONES -- R12A"/>
    <x v="4"/>
    <n v="106"/>
    <d v="2026-01-02T00:00:00"/>
    <d v="2026-04-18T00:00:00"/>
    <n v="0.75"/>
    <n v="0.75"/>
    <s v="No"/>
    <x v="5"/>
    <s v="Ramon Jaimes "/>
  </r>
  <r>
    <s v="Elegibilidad Deposito"/>
    <s v="CUP -- CUP"/>
    <x v="4"/>
    <n v="471"/>
    <d v="2025-01-02T00:00:00"/>
    <d v="2026-04-18T00:00:00"/>
    <n v="0.625"/>
    <n v="0.75"/>
    <s v="No"/>
    <x v="3"/>
    <s v="Claudia Barroso"/>
  </r>
  <r>
    <s v="Elegibilidad CNR"/>
    <s v="CUP -- CUP"/>
    <x v="2"/>
    <n v="450"/>
    <d v="2025-01-02T00:00:00"/>
    <d v="2026-03-28T00:00:00"/>
    <n v="1"/>
    <n v="1"/>
    <s v="No"/>
    <x v="3"/>
    <s v="Claudia Barroso"/>
  </r>
  <r>
    <s v="DIN PERSONAL"/>
    <s v="CUP -- CUP"/>
    <x v="2"/>
    <n v="450"/>
    <d v="2025-01-02T00:00:00"/>
    <d v="2026-03-28T00:00:00"/>
    <n v="1"/>
    <n v="1"/>
    <s v="No"/>
    <x v="3"/>
    <s v="Claudia Barroso"/>
  </r>
  <r>
    <s v="CREDITO_GARANTIA_PERSONAL"/>
    <s v="V1.05_Layouts CREDITO Bancos IFRS (Comercial) (1)"/>
    <x v="0"/>
    <n v="478"/>
    <d v="2025-01-02T00:00:00"/>
    <d v="2026-04-25T00:00:00"/>
    <n v="0.375"/>
    <n v="0.375"/>
    <s v="No"/>
    <x v="4"/>
    <s v="Luis Alberto"/>
  </r>
  <r>
    <s v="CREDITO_GARANTIA"/>
    <s v="V1.05_Layouts CREDITO Bancos IFRS (Comercial) (1)"/>
    <x v="0"/>
    <n v="478"/>
    <d v="2025-01-02T00:00:00"/>
    <d v="2026-04-25T00:00:00"/>
    <n v="0.375"/>
    <n v="0.375"/>
    <s v="No"/>
    <x v="4"/>
    <s v="Luis Alberto"/>
  </r>
  <r>
    <s v="CREDITO"/>
    <s v="V1.05_Layouts CREDITO Bancos IFRS (Comercial) (1)"/>
    <x v="0"/>
    <n v="478"/>
    <d v="2025-01-02T00:00:00"/>
    <d v="2026-04-25T00:00:00"/>
    <n v="0.49375000000000002"/>
    <n v="0.375"/>
    <s v="No"/>
    <x v="4"/>
    <s v="Luis Alberto"/>
  </r>
  <r>
    <s v="CORRESPONSALES NOMINA Y PERS"/>
    <s v="CUP -- CUP"/>
    <x v="2"/>
    <n v="450"/>
    <d v="2025-01-02T00:00:00"/>
    <d v="2026-03-28T00:00:00"/>
    <n v="1"/>
    <n v="1"/>
    <s v="No"/>
    <x v="3"/>
    <s v="Claudia Barroso"/>
  </r>
  <r>
    <s v="COREM"/>
    <s v="Layout_COREM -- COREM"/>
    <x v="2"/>
    <n v="450"/>
    <d v="2025-01-02T00:00:00"/>
    <d v="2026-03-28T00:00:00"/>
    <n v="1"/>
    <n v="1"/>
    <s v="No"/>
    <x v="2"/>
    <s v="Luis Alberto"/>
  </r>
  <r>
    <s v="CONSUMO"/>
    <s v="V1.05_Credito_IFRS9_Consumo_Completo VF (2)"/>
    <x v="0"/>
    <n v="478"/>
    <d v="2025-01-02T00:00:00"/>
    <d v="2026-04-25T00:00:00"/>
    <n v="0.375"/>
    <n v="0.375"/>
    <s v="No"/>
    <x v="4"/>
    <s v="Luis Alberto"/>
  </r>
  <r>
    <s v="CONSOLIDACION"/>
    <s v="R12_CONSOLIDACION -- R12A"/>
    <x v="4"/>
    <n v="106"/>
    <d v="2026-01-02T00:00:00"/>
    <d v="2026-04-18T00:00:00"/>
    <n v="0.75"/>
    <n v="0.75"/>
    <s v="No"/>
    <x v="5"/>
    <s v="Ramon Jaimes "/>
  </r>
  <r>
    <s v="CONCILIACIONES"/>
    <s v="R32_Conciliaciones -- R3211"/>
    <x v="4"/>
    <n v="92"/>
    <d v="2026-01-02T00:00:00"/>
    <d v="2026-04-04T00:00:00"/>
    <n v="0.75"/>
    <n v="0.75"/>
    <s v="No"/>
    <x v="5"/>
    <s v="Ramon Jaimes "/>
  </r>
  <r>
    <s v="COMISIONES NOMINA Y PERS"/>
    <s v="CUP -- CUP"/>
    <x v="2"/>
    <n v="450"/>
    <d v="2025-01-02T00:00:00"/>
    <d v="2026-03-28T00:00:00"/>
    <n v="1"/>
    <n v="1"/>
    <s v="No"/>
    <x v="3"/>
    <s v="Claudia Barroso"/>
  </r>
  <r>
    <s v="CLIENTES_POR_PRODUCTO"/>
    <s v="R2450_51_52_CLIENTES POR PRODUCTO_V0.5 -- R2450 - R2451 - R2452 (CREDITO) (1)"/>
    <x v="0"/>
    <n v="478"/>
    <d v="2025-01-02T00:00:00"/>
    <d v="2026-04-25T00:00:00"/>
    <n v="0.375"/>
    <n v="0.375"/>
    <s v="No"/>
    <x v="9"/>
    <s v="Luis Alberto"/>
  </r>
  <r>
    <s v="CIP"/>
    <s v="CIP1 -- CIP"/>
    <x v="2"/>
    <n v="450"/>
    <d v="2025-01-02T00:00:00"/>
    <d v="2026-03-28T00:00:00"/>
    <n v="1"/>
    <n v="1"/>
    <s v="No"/>
    <x v="2"/>
    <s v="Luis Alberto"/>
  </r>
  <r>
    <s v="CATALOGO MINIMO"/>
    <s v="R01_Catalogo Minimo --R01 - R10 - R12 - R13"/>
    <x v="0"/>
    <n v="113"/>
    <d v="2026-01-02T00:00:00"/>
    <d v="2026-04-25T00:00:00"/>
    <n v="0.375"/>
    <n v="0.375"/>
    <s v="No"/>
    <x v="5"/>
    <s v="Ramon Jaimes "/>
  </r>
  <r>
    <s v="CAT PERSONAL"/>
    <s v="CUP -- CUP"/>
    <x v="2"/>
    <n v="450"/>
    <d v="2025-01-02T00:00:00"/>
    <d v="2026-03-28T00:00:00"/>
    <n v="1"/>
    <n v="1"/>
    <s v="No"/>
    <x v="3"/>
    <s v="Claudia Barroso"/>
  </r>
  <r>
    <s v="CARTERA_RC_ADIC"/>
    <s v="LAYOUT_CARTERA_RC_ADIC --RC01 - RC03 - RC04 - RC08 - RC15"/>
    <x v="4"/>
    <n v="464"/>
    <d v="2025-01-02T00:00:00"/>
    <d v="2026-04-11T00:00:00"/>
    <n v="0.625"/>
    <n v="0.75"/>
    <s v="No"/>
    <x v="7"/>
    <s v="Homero Sanchez"/>
  </r>
  <r>
    <s v="CARGA INICIAL PI-MIN"/>
    <s v="LAYOUT CARGA INICIAL PI_MIN - Calculo Riesgo Operacional"/>
    <x v="0"/>
    <n v="475"/>
    <d v="2025-01-02T00:00:00"/>
    <d v="2026-04-22T00:00:00"/>
    <n v="0.375"/>
    <n v="0.625"/>
    <s v="No"/>
    <x v="7"/>
    <s v="Homero Sanchez"/>
  </r>
  <r>
    <s v="CARGA INICIAL IN-MIN"/>
    <s v="LAYOUT CARGA INICIAL IN_MIN - Calculo Riesgo Operacional"/>
    <x v="0"/>
    <n v="475"/>
    <d v="2025-01-02T00:00:00"/>
    <d v="2026-04-22T00:00:00"/>
    <n v="0.375"/>
    <n v="0.625"/>
    <s v="No"/>
    <x v="7"/>
    <s v="Homero Sanchez"/>
  </r>
  <r>
    <s v="BIENES ADJUDICADOS"/>
    <s v="R06_Bienes Adj -- R06"/>
    <x v="4"/>
    <n v="106"/>
    <d v="2026-01-02T00:00:00"/>
    <d v="2026-04-18T00:00:00"/>
    <n v="0.75"/>
    <n v="0.75"/>
    <s v="No"/>
    <x v="5"/>
    <s v="Ramon Jaimes "/>
  </r>
  <r>
    <s v="Base Operativa CNR"/>
    <s v="CUP -- CUP"/>
    <x v="4"/>
    <n v="471"/>
    <d v="2025-01-02T00:00:00"/>
    <d v="2026-04-18T00:00:00"/>
    <n v="0.625"/>
    <n v="0.75"/>
    <s v="No"/>
    <x v="3"/>
    <s v="Claudia Barroso"/>
  </r>
  <r>
    <s v="BALANZA"/>
    <s v="LAYOUTS_RCS_v2 -- RC01 - RC03 - RC04 - RC07 - RC08 - RC02 - RC06A"/>
    <x v="4"/>
    <n v="464"/>
    <d v="2025-01-02T00:00:00"/>
    <d v="2026-04-11T00:00:00"/>
    <n v="0.625"/>
    <n v="0.75"/>
    <s v="No"/>
    <x v="7"/>
    <s v="Homero Sanchez"/>
  </r>
  <r>
    <s v="ANEXO 22"/>
    <s v="V1.05_Layouts CREDITO Bancos IFRS (Comercial) (1)"/>
    <x v="4"/>
    <n v="471"/>
    <d v="2025-01-02T00:00:00"/>
    <d v="2026-04-18T00:00:00"/>
    <n v="0.625"/>
    <n v="0.75"/>
    <s v="No"/>
    <x v="7"/>
    <s v="Homero Sanchez"/>
  </r>
  <r>
    <s v="ANEXO 21"/>
    <s v="V1.05_Layouts CREDITO Bancos IFRS (Comercial) (1)"/>
    <x v="4"/>
    <n v="471"/>
    <d v="2025-01-02T00:00:00"/>
    <d v="2026-04-18T00:00:00"/>
    <n v="0.625"/>
    <n v="0.75"/>
    <s v="No"/>
    <x v="7"/>
    <s v="Homero Sanchez"/>
  </r>
  <r>
    <s v="ANEXO 20"/>
    <s v="V1.05_Layouts CREDITO Bancos IFRS (Comercial) (1)"/>
    <x v="2"/>
    <n v="450"/>
    <d v="2025-01-02T00:00:00"/>
    <d v="2026-03-28T00:00:00"/>
    <n v="1"/>
    <n v="1"/>
    <s v="No"/>
    <x v="4"/>
    <s v="Luis Alberto"/>
  </r>
  <r>
    <s v="ANEXO 19"/>
    <s v="V1.05_Layouts CREDITO Bancos IFRS (Comercial) (1)"/>
    <x v="4"/>
    <n v="471"/>
    <d v="2025-01-02T00:00:00"/>
    <d v="2026-04-18T00:00:00"/>
    <n v="0.625"/>
    <n v="0.75"/>
    <s v="No"/>
    <x v="7"/>
    <s v="Homero Sanchez"/>
  </r>
  <r>
    <s v="ANEXO 18"/>
    <s v="V1.05_Layouts CREDITO Bancos IFRS (Comercial) (1)"/>
    <x v="2"/>
    <n v="450"/>
    <d v="2025-01-02T00:00:00"/>
    <d v="2026-03-28T00:00:00"/>
    <n v="1"/>
    <n v="1"/>
    <s v="No"/>
    <x v="4"/>
    <s v="Luis Alberto"/>
  </r>
  <r>
    <s v="ALTA Y SEGUIMIENTO ROP"/>
    <s v="R2811_13_ALTA Y SEGUIMIENTO ROP -- R2811 - R2813"/>
    <x v="4"/>
    <n v="471"/>
    <d v="2025-01-02T00:00:00"/>
    <d v="2026-04-18T00:00:00"/>
    <n v="0.625"/>
    <n v="0.75"/>
    <s v="No"/>
    <x v="7"/>
    <s v="Homero Sanchez"/>
  </r>
  <r>
    <s v="ACM II-Mapeo"/>
    <s v="LAYOUT_ACM_II V0.1 -- R01"/>
    <x v="5"/>
    <n v="515"/>
    <d v="2025-01-02T00:00:00"/>
    <d v="2026-06-01T00:00:00"/>
    <n v="0.125"/>
    <n v="0.125"/>
    <s v="No"/>
    <x v="5"/>
    <s v="Ramon Jaimes "/>
  </r>
  <r>
    <s v="ACM II_ADIC"/>
    <s v="LAYOUT_ACM_II V0.1 -- R01"/>
    <x v="5"/>
    <n v="515"/>
    <d v="2025-01-02T00:00:00"/>
    <d v="2026-06-01T00:00:00"/>
    <n v="0.125"/>
    <n v="0.125"/>
    <s v="No"/>
    <x v="5"/>
    <s v="Ramon Jaimes "/>
  </r>
  <r>
    <s v="ACLARACIONESCR"/>
    <s v="V1.05_Credito_IFRS9_Consumo_Completo VF (2)"/>
    <x v="2"/>
    <n v="450"/>
    <d v="2025-01-02T00:00:00"/>
    <d v="2026-03-28T00:00:00"/>
    <n v="1"/>
    <n v="1"/>
    <s v="No"/>
    <x v="4"/>
    <s v="Luis Alberto"/>
  </r>
  <r>
    <s v="ACLARACIONESCNR"/>
    <s v="V1.05_Credito_IFRS9_Consumo_Completo VF (2)"/>
    <x v="2"/>
    <n v="450"/>
    <d v="2025-01-02T00:00:00"/>
    <d v="2026-03-28T00:00:00"/>
    <n v="1"/>
    <n v="1"/>
    <s v="No"/>
    <x v="4"/>
    <s v="Luis Alberto"/>
  </r>
  <r>
    <s v="EST Registro General de Product -- Vivienda V1"/>
    <s v="CUP - Vivienda V1"/>
    <x v="4"/>
    <n v="471"/>
    <d v="2025-01-02T00:00:00"/>
    <d v="2026-04-18T00:00:00"/>
    <n v="0.625"/>
    <n v="0.75"/>
    <s v="No"/>
    <x v="3"/>
    <s v="Claudia Barroso"/>
  </r>
  <r>
    <s v="EST Hipo -- Vivienda V1"/>
    <s v="CUP - Vivienda V1"/>
    <x v="4"/>
    <n v="471"/>
    <d v="2025-01-02T00:00:00"/>
    <d v="2026-04-18T00:00:00"/>
    <n v="0.625"/>
    <n v="0.75"/>
    <s v="No"/>
    <x v="3"/>
    <s v="Claudia Barroso"/>
  </r>
  <r>
    <s v="Base Operativa Hipo -- Vivienda V1"/>
    <s v="CUP - Vivienda V1"/>
    <x v="4"/>
    <n v="471"/>
    <d v="2025-01-02T00:00:00"/>
    <d v="2026-04-18T00:00:00"/>
    <n v="0.625"/>
    <n v="0.75"/>
    <s v="No"/>
    <x v="3"/>
    <s v="Claudia Barroso"/>
  </r>
  <r>
    <s v="Elegibilidad Hipo -- Vivienda V1"/>
    <s v="CUP - Vivienda V1"/>
    <x v="4"/>
    <n v="471"/>
    <d v="2025-01-02T00:00:00"/>
    <d v="2026-04-18T00:00:00"/>
    <n v="0.625"/>
    <n v="0.75"/>
    <s v="No"/>
    <x v="3"/>
    <s v="Claudia Barroso"/>
  </r>
  <r>
    <s v="MORATORIA Hipo -- Vivienda V1"/>
    <s v="CUP - Vivienda V1"/>
    <x v="4"/>
    <n v="471"/>
    <d v="2025-01-02T00:00:00"/>
    <d v="2026-04-18T00:00:00"/>
    <n v="0.625"/>
    <n v="0.75"/>
    <s v="No"/>
    <x v="3"/>
    <s v="Claudia Barroso"/>
  </r>
  <r>
    <s v="COMISIONES Hipo -- Vivienda V1"/>
    <s v="CUP - Vivienda V1"/>
    <x v="4"/>
    <n v="471"/>
    <d v="2025-01-02T00:00:00"/>
    <d v="2026-04-18T00:00:00"/>
    <n v="0.625"/>
    <n v="0.75"/>
    <s v="No"/>
    <x v="3"/>
    <s v="Claudia Barroso"/>
  </r>
  <r>
    <s v="PENALIZACIONES Hipo -- Vivienda V1"/>
    <s v="CUP - Vivienda V1"/>
    <x v="4"/>
    <n v="471"/>
    <d v="2025-01-02T00:00:00"/>
    <d v="2026-04-18T00:00:00"/>
    <n v="0.625"/>
    <n v="0.75"/>
    <s v="No"/>
    <x v="3"/>
    <s v="Claudia Barroso"/>
  </r>
  <r>
    <s v="PENALIZACIONES Hipo (2) -- Vivienda V1"/>
    <s v="CUP - Vivienda V1"/>
    <x v="4"/>
    <n v="471"/>
    <d v="2025-01-02T00:00:00"/>
    <d v="2026-04-18T00:00:00"/>
    <n v="0.625"/>
    <n v="0.75"/>
    <s v="No"/>
    <x v="3"/>
    <s v="Claudia Barroso"/>
  </r>
  <r>
    <s v="SEGUROS Hipo -- Vivienda V1"/>
    <s v="CUP - Vivienda V1"/>
    <x v="4"/>
    <n v="471"/>
    <d v="2025-01-02T00:00:00"/>
    <d v="2026-04-18T00:00:00"/>
    <n v="0.625"/>
    <n v="0.75"/>
    <s v="No"/>
    <x v="3"/>
    <s v="Claudia Barroso"/>
  </r>
  <r>
    <s v="CAT Hipo -- Vivienda V1"/>
    <s v="CUP - Vivienda V1"/>
    <x v="4"/>
    <n v="471"/>
    <d v="2025-01-02T00:00:00"/>
    <d v="2026-04-18T00:00:00"/>
    <n v="0.625"/>
    <n v="0.75"/>
    <s v="No"/>
    <x v="3"/>
    <s v="Claudia Barroso"/>
  </r>
  <r>
    <s v="EST Registro General de Product -- Crédito de Liquidez"/>
    <s v="CUP - Crédito de Liquidez"/>
    <x v="4"/>
    <n v="471"/>
    <d v="2025-01-02T00:00:00"/>
    <d v="2026-04-18T00:00:00"/>
    <n v="0.625"/>
    <n v="0.75"/>
    <s v="No"/>
    <x v="3"/>
    <s v="Claudia Barroso"/>
  </r>
  <r>
    <s v="EST Hipo -- Crédito de Liquidez"/>
    <s v="CUP - Crédito de Liquidez"/>
    <x v="4"/>
    <n v="471"/>
    <d v="2025-01-02T00:00:00"/>
    <d v="2026-04-18T00:00:00"/>
    <n v="0.625"/>
    <n v="0.75"/>
    <s v="No"/>
    <x v="3"/>
    <s v="Claudia Barroso"/>
  </r>
  <r>
    <s v="Base Operativa Hipo -- Crédito de Liquidez"/>
    <s v="CUP - Crédito de Liquidez"/>
    <x v="4"/>
    <n v="471"/>
    <d v="2025-01-02T00:00:00"/>
    <d v="2026-04-18T00:00:00"/>
    <n v="0.625"/>
    <n v="0.75"/>
    <s v="No"/>
    <x v="3"/>
    <s v="Claudia Barroso"/>
  </r>
  <r>
    <s v="Elegibilidad Hipo -- Crédito de Liquidez"/>
    <s v="CUP - Crédito de Liquidez"/>
    <x v="4"/>
    <n v="471"/>
    <d v="2025-01-02T00:00:00"/>
    <d v="2026-04-18T00:00:00"/>
    <n v="0.625"/>
    <n v="0.75"/>
    <s v="No"/>
    <x v="3"/>
    <s v="Claudia Barroso"/>
  </r>
  <r>
    <s v="MORATORIA Hipo -- Crédito de Liquidez"/>
    <s v="CUP - Crédito de Liquidez"/>
    <x v="4"/>
    <n v="471"/>
    <d v="2025-01-02T00:00:00"/>
    <d v="2026-04-18T00:00:00"/>
    <n v="0.625"/>
    <n v="0.75"/>
    <s v="No"/>
    <x v="3"/>
    <s v="Claudia Barroso"/>
  </r>
  <r>
    <s v="COMISIONES Hipo -- Crédito de Liquidez"/>
    <s v="CUP - Crédito de Liquidez"/>
    <x v="4"/>
    <n v="471"/>
    <d v="2025-01-02T00:00:00"/>
    <d v="2026-04-18T00:00:00"/>
    <n v="0.625"/>
    <n v="0.75"/>
    <s v="No"/>
    <x v="3"/>
    <s v="Claudia Barroso"/>
  </r>
  <r>
    <s v="PENALIZACIONES Hipo -- Crédito de Liquidez"/>
    <s v="CUP - Crédito de Liquidez"/>
    <x v="4"/>
    <n v="471"/>
    <d v="2025-01-02T00:00:00"/>
    <d v="2026-04-18T00:00:00"/>
    <n v="0.625"/>
    <n v="0.75"/>
    <s v="No"/>
    <x v="3"/>
    <s v="Claudia Barroso"/>
  </r>
  <r>
    <s v="PENALIZACIONES Hipo (2) -- Crédito de Liquidez"/>
    <s v="CUP - Crédito de Liquidez"/>
    <x v="4"/>
    <n v="471"/>
    <d v="2025-01-02T00:00:00"/>
    <d v="2026-04-18T00:00:00"/>
    <n v="0.625"/>
    <n v="0.75"/>
    <s v="No"/>
    <x v="3"/>
    <s v="Claudia Barroso"/>
  </r>
  <r>
    <s v="SEGUROS Hipo -- Crédito de Liquidez"/>
    <s v="CUP - Crédito de Liquidez"/>
    <x v="4"/>
    <n v="471"/>
    <d v="2025-01-02T00:00:00"/>
    <d v="2026-04-18T00:00:00"/>
    <n v="0.625"/>
    <n v="0.75"/>
    <s v="No"/>
    <x v="3"/>
    <s v="Claudia Barroso"/>
  </r>
  <r>
    <s v="CAT Hipo -- Crédito de Liquidez"/>
    <s v="CUP - Crédito de Liquidez"/>
    <x v="4"/>
    <n v="471"/>
    <d v="2025-01-02T00:00:00"/>
    <d v="2026-04-18T00:00:00"/>
    <n v="0.625"/>
    <n v="0.75"/>
    <s v="No"/>
    <x v="3"/>
    <s v="Claudia Barroso"/>
  </r>
  <r>
    <s v="EST Empresarial -- Oficinas y locales"/>
    <s v="CUP - Oficinas y locales"/>
    <x v="4"/>
    <n v="471"/>
    <d v="2025-01-02T00:00:00"/>
    <d v="2026-04-18T00:00:00"/>
    <n v="0.625"/>
    <n v="0.75"/>
    <s v="No"/>
    <x v="3"/>
    <s v="Claudia Barroso"/>
  </r>
  <r>
    <s v="EST Empresarial -- PYME Inmuebles"/>
    <s v="CUP - PYME Inmuebles"/>
    <x v="4"/>
    <n v="471"/>
    <d v="2025-01-02T00:00:00"/>
    <d v="2026-04-18T00:00:00"/>
    <n v="0.625"/>
    <n v="0.75"/>
    <s v="No"/>
    <x v="3"/>
    <s v="Claudia Barroso"/>
  </r>
  <r>
    <s v="EST Empresarial -- Pyme Liquidez"/>
    <s v="CUP - Pyme Liquidez"/>
    <x v="4"/>
    <n v="471"/>
    <d v="2025-01-02T00:00:00"/>
    <d v="2026-04-18T00:00:00"/>
    <n v="0.625"/>
    <n v="0.75"/>
    <s v="No"/>
    <x v="3"/>
    <s v="Claudia Barroso"/>
  </r>
  <r>
    <s v="EST Registro General de Product -- Terrenos"/>
    <s v="CUP - Terrenos"/>
    <x v="4"/>
    <n v="471"/>
    <d v="2025-01-02T00:00:00"/>
    <d v="2026-04-18T00:00:00"/>
    <n v="0.625"/>
    <n v="0.75"/>
    <s v="No"/>
    <x v="3"/>
    <s v="Claudia Barroso"/>
  </r>
  <r>
    <s v="EST Hipo -- Terrenos"/>
    <s v="CUP - Terrenos"/>
    <x v="4"/>
    <n v="471"/>
    <d v="2025-01-02T00:00:00"/>
    <d v="2026-04-18T00:00:00"/>
    <n v="0.625"/>
    <n v="0.75"/>
    <s v="No"/>
    <x v="3"/>
    <s v="Claudia Barroso"/>
  </r>
  <r>
    <s v="Base Operativa Hipo -- Terrenos"/>
    <s v="CUP - Terrenos"/>
    <x v="4"/>
    <n v="471"/>
    <d v="2025-01-02T00:00:00"/>
    <d v="2026-04-18T00:00:00"/>
    <n v="0.625"/>
    <n v="0.75"/>
    <s v="No"/>
    <x v="3"/>
    <s v="Claudia Barroso"/>
  </r>
  <r>
    <s v="Elegibilidad Hipo -- Terrenos"/>
    <s v="CUP - Terrenos"/>
    <x v="4"/>
    <n v="471"/>
    <d v="2025-01-02T00:00:00"/>
    <d v="2026-04-18T00:00:00"/>
    <n v="0.625"/>
    <n v="0.75"/>
    <s v="No"/>
    <x v="3"/>
    <s v="Claudia Barroso"/>
  </r>
  <r>
    <s v="MORATORIA Hipo -- Terrenos"/>
    <s v="CUP - Terrenos"/>
    <x v="4"/>
    <n v="471"/>
    <d v="2025-01-02T00:00:00"/>
    <d v="2026-04-18T00:00:00"/>
    <n v="0.625"/>
    <n v="0.75"/>
    <s v="No"/>
    <x v="3"/>
    <s v="Claudia Barroso"/>
  </r>
  <r>
    <s v="COMISIONES Hipo -- Terrenos"/>
    <s v="CUP - Terrenos"/>
    <x v="4"/>
    <n v="471"/>
    <d v="2025-01-02T00:00:00"/>
    <d v="2026-04-18T00:00:00"/>
    <n v="0.625"/>
    <n v="0.75"/>
    <s v="No"/>
    <x v="3"/>
    <s v="Claudia Barroso"/>
  </r>
  <r>
    <s v="PENALIZACIONES Hipo -- Terrenos"/>
    <s v="CUP - Terrenos"/>
    <x v="4"/>
    <n v="471"/>
    <d v="2025-01-02T00:00:00"/>
    <d v="2026-04-18T00:00:00"/>
    <n v="0.625"/>
    <n v="0.75"/>
    <s v="No"/>
    <x v="3"/>
    <s v="Claudia Barroso"/>
  </r>
  <r>
    <s v="PENALIZACIONES Hipo (2) -- Terrenos"/>
    <s v="CUP - Terrenos"/>
    <x v="4"/>
    <n v="471"/>
    <d v="2025-01-02T00:00:00"/>
    <d v="2026-04-18T00:00:00"/>
    <n v="0.625"/>
    <n v="0.75"/>
    <s v="No"/>
    <x v="3"/>
    <s v="Claudia Barroso"/>
  </r>
  <r>
    <s v="SEGUROS Hipo -- Terrenos"/>
    <s v="CUP - Terrenos"/>
    <x v="4"/>
    <n v="471"/>
    <d v="2025-01-02T00:00:00"/>
    <d v="2026-04-18T00:00:00"/>
    <n v="0.625"/>
    <n v="0.75"/>
    <s v="No"/>
    <x v="3"/>
    <s v="Claudia Barroso"/>
  </r>
  <r>
    <s v="CAT Hipo -- Terrenos"/>
    <s v="CUP - Terrenos"/>
    <x v="4"/>
    <n v="471"/>
    <d v="2025-01-02T00:00:00"/>
    <d v="2026-04-18T00:00:00"/>
    <n v="0.625"/>
    <n v="0.75"/>
    <s v="No"/>
    <x v="3"/>
    <s v="Claudia Barroso"/>
  </r>
  <r>
    <s v="EST Empresarial -- Crédito de Liquidez"/>
    <s v="Crédito de Liquidez"/>
    <x v="4"/>
    <n v="471"/>
    <d v="2025-01-02T00:00:00"/>
    <d v="2026-04-18T00:00:00"/>
    <n v="0.625"/>
    <n v="0.75"/>
    <s v="No"/>
    <x v="3"/>
    <s v="Claudia Barroso"/>
  </r>
  <r>
    <s v="EST Empresarial -- Crédito Puente"/>
    <s v="Crédito Puente"/>
    <x v="4"/>
    <n v="471"/>
    <d v="2025-01-02T00:00:00"/>
    <d v="2026-04-18T00:00:00"/>
    <n v="0.625"/>
    <n v="0.75"/>
    <s v="No"/>
    <x v="3"/>
    <s v="Claudia Barroso"/>
  </r>
  <r>
    <s v="EST Empresarial -- Empr. Revolvente"/>
    <s v="Empr. Revolvente"/>
    <x v="4"/>
    <n v="471"/>
    <d v="2025-01-02T00:00:00"/>
    <d v="2026-04-18T00:00:00"/>
    <n v="0.625"/>
    <n v="0.75"/>
    <s v="No"/>
    <x v="3"/>
    <s v="Claudia Barroso"/>
  </r>
  <r>
    <s v="EST Empresarial -- Credito Simple"/>
    <s v="Credito Simple"/>
    <x v="4"/>
    <n v="471"/>
    <d v="2025-01-02T00:00:00"/>
    <d v="2026-04-18T00:00:00"/>
    <n v="0.625"/>
    <n v="0.75"/>
    <s v="No"/>
    <x v="3"/>
    <s v="Claudia Barroso"/>
  </r>
  <r>
    <s v="LAYOUT XVS"/>
    <s v="LOYOUT XVA"/>
    <x v="4"/>
    <n v="471"/>
    <d v="2025-01-02T00:00:00"/>
    <d v="2026-04-18T00:00:00"/>
    <n v="0.625"/>
    <n v="0.75"/>
    <s v="No"/>
    <x v="7"/>
    <s v="Homero Sanchez"/>
  </r>
  <r>
    <s v="VENC_ANT_REPORTOS"/>
    <s v="Layout_REPORTOS_MN_ME_V7_2024 -- REPORTOS"/>
    <x v="0"/>
    <n v="488"/>
    <d v="2025-01-02T00:00:00"/>
    <d v="2026-05-05T00:00:00"/>
    <n v="0.5"/>
    <n v="0.375"/>
    <s v="No"/>
    <x v="0"/>
    <s v="Eduardo Cabral"/>
  </r>
  <r>
    <s v="SWAPS"/>
    <s v="Layout_SWAPS_V9 -- SWAPS"/>
    <x v="3"/>
    <n v="513"/>
    <d v="2025-01-02T00:00:00"/>
    <d v="2026-05-30T00:00:00"/>
    <n v="0.75"/>
    <n v="0.25"/>
    <s v="No"/>
    <x v="0"/>
    <s v="Eduardo Cabral"/>
  </r>
  <r>
    <s v="SWAP_FLUJOS"/>
    <s v="Layout_SWAPS_V9 -- SWAPS"/>
    <x v="3"/>
    <n v="513"/>
    <d v="2025-01-02T00:00:00"/>
    <d v="2026-05-30T00:00:00"/>
    <n v="0.75"/>
    <n v="0.25"/>
    <s v="No"/>
    <x v="0"/>
    <s v="Eduardo Cabral"/>
  </r>
  <r>
    <s v="SWAP_CUOTAS_INT"/>
    <s v="Layout_SWAPS_V9 -- SWAPS"/>
    <x v="3"/>
    <n v="513"/>
    <d v="2025-01-02T00:00:00"/>
    <d v="2026-05-30T00:00:00"/>
    <n v="0.75"/>
    <n v="0.25"/>
    <s v="No"/>
    <x v="0"/>
    <s v="Eduardo Cabral"/>
  </r>
  <r>
    <s v="SWAP_CONVO"/>
    <s v="Layout_SWAPS_V9 -- SWAPS"/>
    <x v="5"/>
    <n v="537"/>
    <d v="2025-01-02T00:00:00"/>
    <d v="2026-06-23T00:00:00"/>
    <n v="0.22500000000000001"/>
    <n v="0.125"/>
    <s v="No"/>
    <x v="0"/>
    <s v="Eduardo Cabral"/>
  </r>
  <r>
    <s v="SECCION 2E"/>
    <s v="Layouts Garantias de Liquidez -- GL"/>
    <x v="5"/>
    <n v="543"/>
    <d v="2025-01-02T00:00:00"/>
    <d v="2026-06-29T00:00:00"/>
    <n v="0.13750000000000001"/>
    <n v="0.125"/>
    <s v="Sí"/>
    <x v="11"/>
    <s v="Eduardo Cabral"/>
  </r>
  <r>
    <s v="SECCION 2D"/>
    <s v="Layouts Garantias de Liquidez -- GL"/>
    <x v="5"/>
    <n v="543"/>
    <d v="2025-01-02T00:00:00"/>
    <d v="2026-06-29T00:00:00"/>
    <n v="0.13750000000000001"/>
    <n v="0.125"/>
    <s v="Sí"/>
    <x v="11"/>
    <s v="Eduardo Cabral"/>
  </r>
  <r>
    <s v="SECCION 2C"/>
    <s v="Layouts Garantias de Liquidez -- GL"/>
    <x v="5"/>
    <n v="543"/>
    <d v="2025-01-02T00:00:00"/>
    <d v="2026-06-29T00:00:00"/>
    <n v="0.13750000000000001"/>
    <n v="0.125"/>
    <s v="Sí"/>
    <x v="11"/>
    <s v="Eduardo Cabral"/>
  </r>
  <r>
    <s v="SECCION 2B"/>
    <s v="Layouts Garantias de Liquidez -- GL"/>
    <x v="5"/>
    <n v="543"/>
    <d v="2025-01-02T00:00:00"/>
    <d v="2026-06-29T00:00:00"/>
    <n v="0.13750000000000001"/>
    <n v="0.125"/>
    <s v="Sí"/>
    <x v="11"/>
    <s v="Eduardo Cabral"/>
  </r>
  <r>
    <s v="SECCION 2A"/>
    <s v="Layouts Garantias de Liquidez -- GL"/>
    <x v="5"/>
    <n v="543"/>
    <d v="2025-01-02T00:00:00"/>
    <d v="2026-06-29T00:00:00"/>
    <n v="0.13750000000000001"/>
    <n v="0.125"/>
    <s v="Sí"/>
    <x v="11"/>
    <s v="Eduardo Cabral"/>
  </r>
  <r>
    <s v="SECCION 1"/>
    <s v="Layouts Garantias de Liquidez -- GL"/>
    <x v="5"/>
    <n v="543"/>
    <d v="2025-01-02T00:00:00"/>
    <d v="2026-06-29T00:00:00"/>
    <n v="0.13750000000000001"/>
    <n v="0.125"/>
    <s v="Sí"/>
    <x v="11"/>
    <s v="Eduardo Cabral"/>
  </r>
  <r>
    <s v="REPORTOS_MNME"/>
    <s v="Layout_REPORTOS_MN_ME_V7_2024 -- REPORTOS"/>
    <x v="5"/>
    <n v="537"/>
    <d v="2025-01-02T00:00:00"/>
    <d v="2026-06-23T00:00:00"/>
    <e v="#DIV/0!"/>
    <e v="#DIV/0!"/>
    <s v="No"/>
    <x v="0"/>
    <s v="Eduardo Cabral"/>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300-000001000000}" name="TablaDinámica1" cacheId="132" applyNumberFormats="0" applyBorderFormats="0" applyFontFormats="0" applyPatternFormats="0" applyAlignmentFormats="0" applyWidthHeightFormats="1" dataCaption="Valores" grandTotalCaption="Total " updatedVersion="8" minRefreshableVersion="3" useAutoFormatting="1" itemPrintTitles="1" createdVersion="8" indent="0" outline="1" outlineData="1" multipleFieldFilters="0" rowHeaderCaption="Area" colHeaderCaption="Sts">
  <location ref="I3:O10" firstHeaderRow="1" firstDataRow="2" firstDataCol="1"/>
  <pivotFields count="4">
    <pivotField dataField="1" showAll="0"/>
    <pivotField name="REPORTES2" showAll="0"/>
    <pivotField axis="axisRow" showAll="0">
      <items count="6">
        <item x="3"/>
        <item x="2"/>
        <item x="1"/>
        <item x="4"/>
        <item x="0"/>
        <item t="default"/>
      </items>
    </pivotField>
    <pivotField axis="axisCol" showAll="0">
      <items count="8">
        <item m="1" x="5"/>
        <item x="2"/>
        <item x="0"/>
        <item x="1"/>
        <item x="3"/>
        <item x="4"/>
        <item m="1" x="6"/>
        <item t="default"/>
      </items>
    </pivotField>
  </pivotFields>
  <rowFields count="1">
    <field x="2"/>
  </rowFields>
  <rowItems count="6">
    <i>
      <x/>
    </i>
    <i>
      <x v="1"/>
    </i>
    <i>
      <x v="2"/>
    </i>
    <i>
      <x v="3"/>
    </i>
    <i>
      <x v="4"/>
    </i>
    <i t="grand">
      <x/>
    </i>
  </rowItems>
  <colFields count="1">
    <field x="3"/>
  </colFields>
  <colItems count="6">
    <i>
      <x v="1"/>
    </i>
    <i>
      <x v="2"/>
    </i>
    <i>
      <x v="3"/>
    </i>
    <i>
      <x v="4"/>
    </i>
    <i>
      <x v="5"/>
    </i>
    <i t="grand">
      <x/>
    </i>
  </colItems>
  <dataFields count="1">
    <dataField name="LAYOUTs" fld="0" subtotal="count" baseField="0" baseItem="0"/>
  </dataFields>
  <formats count="3">
    <format dxfId="93">
      <pivotArea outline="0" collapsedLevelsAreSubtotals="1" fieldPosition="0"/>
    </format>
    <format dxfId="94">
      <pivotArea dataOnly="0" labelOnly="1" fieldPosition="0">
        <references count="1">
          <reference field="3" count="0"/>
        </references>
      </pivotArea>
    </format>
    <format dxfId="95">
      <pivotArea dataOnly="0" labelOnly="1" grandCol="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300-000002000000}" name="TablaDinámica2" cacheId="132" applyNumberFormats="0" applyBorderFormats="0" applyFontFormats="0" applyPatternFormats="0" applyAlignmentFormats="0" applyWidthHeightFormats="1" dataCaption="Valores" grandTotalCaption="Total " updatedVersion="8" minRefreshableVersion="3" useAutoFormatting="1" itemPrintTitles="1" createdVersion="8" indent="0" outline="1" outlineData="1" multipleFieldFilters="0" rowHeaderCaption="Area" colHeaderCaption="Sts">
  <location ref="I12:O19" firstHeaderRow="1" firstDataRow="2" firstDataCol="1"/>
  <pivotFields count="4">
    <pivotField showAll="0"/>
    <pivotField name="REPORTES2" dataField="1" showAll="0"/>
    <pivotField axis="axisRow" showAll="0">
      <items count="6">
        <item x="3"/>
        <item x="2"/>
        <item x="1"/>
        <item x="4"/>
        <item x="0"/>
        <item t="default"/>
      </items>
    </pivotField>
    <pivotField axis="axisCol" showAll="0">
      <items count="8">
        <item m="1" x="5"/>
        <item x="2"/>
        <item x="0"/>
        <item x="1"/>
        <item x="3"/>
        <item x="4"/>
        <item m="1" x="6"/>
        <item t="default"/>
      </items>
    </pivotField>
  </pivotFields>
  <rowFields count="1">
    <field x="2"/>
  </rowFields>
  <rowItems count="6">
    <i>
      <x/>
    </i>
    <i>
      <x v="1"/>
    </i>
    <i>
      <x v="2"/>
    </i>
    <i>
      <x v="3"/>
    </i>
    <i>
      <x v="4"/>
    </i>
    <i t="grand">
      <x/>
    </i>
  </rowItems>
  <colFields count="1">
    <field x="3"/>
  </colFields>
  <colItems count="6">
    <i>
      <x v="1"/>
    </i>
    <i>
      <x v="2"/>
    </i>
    <i>
      <x v="3"/>
    </i>
    <i>
      <x v="4"/>
    </i>
    <i>
      <x v="5"/>
    </i>
    <i t="grand">
      <x/>
    </i>
  </colItems>
  <dataFields count="1">
    <dataField name="REPORTES" fld="1" baseField="0" baseItem="0"/>
  </dataFields>
  <formats count="3">
    <format dxfId="90">
      <pivotArea outline="0" collapsedLevelsAreSubtotals="1" fieldPosition="0"/>
    </format>
    <format dxfId="91">
      <pivotArea dataOnly="0" labelOnly="1" fieldPosition="0">
        <references count="1">
          <reference field="3" count="0"/>
        </references>
      </pivotArea>
    </format>
    <format dxfId="92">
      <pivotArea dataOnly="0" labelOnly="1" grandCol="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6DC3CE7-E39D-4FCC-8072-7FCF5A11C239}" name="TablaDinámica2" cacheId="133"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location ref="A3:B11" firstHeaderRow="1" firstDataRow="1" firstDataCol="1" rowPageCount="1" colPageCount="1"/>
  <pivotFields count="18">
    <pivotField dataField="1" showAll="0"/>
    <pivotField showAll="0"/>
    <pivotField showAll="0"/>
    <pivotField axis="axisRow" showAll="0">
      <items count="15">
        <item n="ASIGNACION AREA" m="1" x="12"/>
        <item n="MAPEO DE LAYOUT POR USUARIO" m="1" x="8"/>
        <item n="DESARROLLO DE EXTRACCION Y MAPEO TECNICO" m="1" x="9"/>
        <item n="VALIDACION DE LAYOUT POR USUARIO" m="1" x="13"/>
        <item n="VOBO DE USUARIO A LAYOUT GENERADO" m="1" x="10"/>
        <item x="3"/>
        <item x="1"/>
        <item m="1" x="11"/>
        <item x="0"/>
        <item x="2"/>
        <item x="4"/>
        <item x="5"/>
        <item x="6"/>
        <item x="7"/>
        <item t="default"/>
      </items>
    </pivotField>
    <pivotField showAll="0"/>
    <pivotField showAll="0"/>
    <pivotField showAll="0"/>
    <pivotField showAll="0"/>
    <pivotField showAll="0"/>
    <pivotField showAll="0"/>
    <pivotField showAll="0"/>
    <pivotField showAll="0"/>
    <pivotField axis="axisPage" multipleItemSelectionAllowed="1" showAll="0">
      <items count="6">
        <item x="3"/>
        <item x="0"/>
        <item x="4"/>
        <item x="1"/>
        <item h="1" x="2"/>
        <item t="default"/>
      </items>
    </pivotField>
    <pivotField showAll="0"/>
    <pivotField showAll="0"/>
    <pivotField showAll="0"/>
    <pivotField showAll="0"/>
    <pivotField showAll="0"/>
  </pivotFields>
  <rowFields count="1">
    <field x="3"/>
  </rowFields>
  <rowItems count="8">
    <i>
      <x v="6"/>
    </i>
    <i>
      <x v="8"/>
    </i>
    <i>
      <x v="9"/>
    </i>
    <i>
      <x v="10"/>
    </i>
    <i>
      <x v="11"/>
    </i>
    <i>
      <x v="12"/>
    </i>
    <i>
      <x v="13"/>
    </i>
    <i t="grand">
      <x/>
    </i>
  </rowItems>
  <colItems count="1">
    <i/>
  </colItems>
  <pageFields count="1">
    <pageField fld="12" hier="-1"/>
  </pageFields>
  <dataFields count="1">
    <dataField name="Cuenta de Carpeta"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29CF5AD-383F-4925-9731-8BB394272348}" name="TablaDinámica1" cacheId="133" applyNumberFormats="0" applyBorderFormats="0" applyFontFormats="0" applyPatternFormats="0" applyAlignmentFormats="0" applyWidthHeightFormats="1" dataCaption="Val" grandTotalCaption="Total " updatedVersion="8" minRefreshableVersion="3" useAutoFormatting="1" itemPrintTitles="1" createdVersion="8" indent="0" compact="0" compactData="0" gridDropZones="1" multipleFieldFilters="0">
  <location ref="A21:X30" firstHeaderRow="1" firstDataRow="3" firstDataCol="2"/>
  <pivotFields count="18">
    <pivotField dataField="1" compact="0" outline="0" showAll="0"/>
    <pivotField dataField="1" compact="0" outline="0" showAll="0"/>
    <pivotField compact="0" outline="0" showAll="0"/>
    <pivotField axis="axisRow" compact="0" outline="0" showAll="0" defaultSubtotal="0">
      <items count="14">
        <item m="1" x="12"/>
        <item m="1" x="8"/>
        <item m="1" x="9"/>
        <item m="1" x="13"/>
        <item m="1" x="10"/>
        <item m="1" x="11"/>
        <item x="1"/>
        <item x="3"/>
        <item x="0"/>
        <item x="2"/>
        <item x="4"/>
        <item x="5"/>
        <item x="6"/>
        <item x="7"/>
      </items>
    </pivotField>
    <pivotField compact="0" outline="0" showAll="0"/>
    <pivotField compact="0" outline="0" showAll="0"/>
    <pivotField compact="0" outline="0" showAll="0"/>
    <pivotField compact="0" outline="0" showAll="0"/>
    <pivotField compact="0" outline="0" showAll="0"/>
    <pivotField compact="0" outline="0" showAll="0"/>
    <pivotField axis="axisRow" compact="0" outline="0" showAll="0">
      <items count="10">
        <item h="1" x="3"/>
        <item x="2"/>
        <item x="0"/>
        <item x="7"/>
        <item x="4"/>
        <item x="6"/>
        <item m="1" x="8"/>
        <item x="5"/>
        <item h="1" x="1"/>
        <item t="default"/>
      </items>
    </pivotField>
    <pivotField compact="0" outline="0" showAll="0"/>
    <pivotField compact="0" outline="0" showAll="0"/>
    <pivotField axis="axisCol" compact="0" outline="0" showAll="0">
      <items count="17">
        <item x="9"/>
        <item m="1" x="15"/>
        <item x="6"/>
        <item m="1" x="13"/>
        <item x="1"/>
        <item m="1" x="14"/>
        <item m="1" x="12"/>
        <item x="2"/>
        <item x="3"/>
        <item x="4"/>
        <item x="8"/>
        <item x="0"/>
        <item x="10"/>
        <item x="5"/>
        <item m="1" x="11"/>
        <item x="7"/>
        <item t="default"/>
      </items>
    </pivotField>
    <pivotField compact="0" outline="0" showAll="0"/>
    <pivotField compact="0" outline="0" showAll="0"/>
    <pivotField compact="0" outline="0" showAll="0"/>
    <pivotField compact="0" outline="0" showAll="0"/>
  </pivotFields>
  <rowFields count="2">
    <field x="3"/>
    <field x="10"/>
  </rowFields>
  <rowItems count="7">
    <i>
      <x v="8"/>
      <x v="2"/>
    </i>
    <i>
      <x v="9"/>
      <x v="1"/>
    </i>
    <i>
      <x v="10"/>
      <x v="4"/>
    </i>
    <i>
      <x v="11"/>
      <x v="7"/>
    </i>
    <i>
      <x v="12"/>
      <x v="5"/>
    </i>
    <i>
      <x v="13"/>
      <x v="3"/>
    </i>
    <i t="grand">
      <x/>
    </i>
  </rowItems>
  <colFields count="2">
    <field x="-2"/>
    <field x="13"/>
  </colFields>
  <colItems count="22">
    <i>
      <x/>
      <x/>
    </i>
    <i r="1">
      <x v="2"/>
    </i>
    <i r="1">
      <x v="4"/>
    </i>
    <i r="1">
      <x v="8"/>
    </i>
    <i r="1">
      <x v="9"/>
    </i>
    <i r="1">
      <x v="10"/>
    </i>
    <i r="1">
      <x v="11"/>
    </i>
    <i r="1">
      <x v="12"/>
    </i>
    <i r="1">
      <x v="13"/>
    </i>
    <i r="1">
      <x v="15"/>
    </i>
    <i i="1">
      <x v="1"/>
      <x/>
    </i>
    <i r="1" i="1">
      <x v="2"/>
    </i>
    <i r="1" i="1">
      <x v="4"/>
    </i>
    <i r="1" i="1">
      <x v="8"/>
    </i>
    <i r="1" i="1">
      <x v="9"/>
    </i>
    <i r="1" i="1">
      <x v="10"/>
    </i>
    <i r="1" i="1">
      <x v="11"/>
    </i>
    <i r="1" i="1">
      <x v="12"/>
    </i>
    <i r="1" i="1">
      <x v="13"/>
    </i>
    <i r="1" i="1">
      <x v="15"/>
    </i>
    <i t="grand">
      <x/>
    </i>
    <i t="grand" i="1">
      <x/>
    </i>
  </colItems>
  <dataFields count="2">
    <dataField name="Rprts" fld="0" subtotal="count" baseField="0" baseItem="0"/>
    <dataField name="Porc" fld="1" subtotal="count" showDataAs="percentOfTotal" baseField="10" baseItem="3" numFmtId="9"/>
  </dataFields>
  <formats count="5">
    <format dxfId="85">
      <pivotArea outline="0" collapsedLevelsAreSubtotals="1" fieldPosition="0"/>
    </format>
    <format dxfId="86">
      <pivotArea field="13" dataOnly="0" labelOnly="1" grandCol="1" outline="0" axis="axisCol" fieldPosition="1">
        <references count="1">
          <reference field="4294967294" count="1" selected="0">
            <x v="0"/>
          </reference>
        </references>
      </pivotArea>
    </format>
    <format dxfId="87">
      <pivotArea field="13" dataOnly="0" labelOnly="1" grandCol="1" outline="0" axis="axisCol" fieldPosition="1">
        <references count="1">
          <reference field="4294967294" count="1" selected="0">
            <x v="1"/>
          </reference>
        </references>
      </pivotArea>
    </format>
    <format dxfId="88">
      <pivotArea dataOnly="0" labelOnly="1" outline="0" fieldPosition="0">
        <references count="2">
          <reference field="4294967294" count="1" selected="0">
            <x v="0"/>
          </reference>
          <reference field="13" count="11">
            <x v="0"/>
            <x v="2"/>
            <x v="4"/>
            <x v="8"/>
            <x v="9"/>
            <x v="10"/>
            <x v="11"/>
            <x v="12"/>
            <x v="13"/>
            <x v="14"/>
            <x v="15"/>
          </reference>
        </references>
      </pivotArea>
    </format>
    <format dxfId="89">
      <pivotArea dataOnly="0" labelOnly="1" outline="0" fieldPosition="0">
        <references count="2">
          <reference field="4294967294" count="1" selected="0">
            <x v="1"/>
          </reference>
          <reference field="13" count="11">
            <x v="0"/>
            <x v="2"/>
            <x v="4"/>
            <x v="8"/>
            <x v="9"/>
            <x v="10"/>
            <x v="11"/>
            <x v="12"/>
            <x v="13"/>
            <x v="14"/>
            <x v="15"/>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9FE086F-E4B1-4EFD-B97A-29F226A8469C}" name="TablaDinámica3" cacheId="133" applyNumberFormats="0" applyBorderFormats="0" applyFontFormats="0" applyPatternFormats="0" applyAlignmentFormats="0" applyWidthHeightFormats="1" dataCaption="Val" grandTotalCaption="Total " updatedVersion="8" minRefreshableVersion="3" useAutoFormatting="1" itemPrintTitles="1" createdVersion="8" indent="0" compact="0" compactData="0" gridDropZones="1" multipleFieldFilters="0">
  <location ref="A33:D41" firstHeaderRow="1" firstDataRow="2" firstDataCol="2"/>
  <pivotFields count="18">
    <pivotField dataField="1" compact="0" outline="0" showAll="0"/>
    <pivotField dataField="1" compact="0" outline="0" showAll="0"/>
    <pivotField compact="0" outline="0" showAll="0"/>
    <pivotField axis="axisRow" compact="0" outline="0" showAll="0" sortType="ascending" defaultSubtotal="0">
      <items count="14">
        <item x="6"/>
        <item sd="0" x="0"/>
        <item sd="0" x="2"/>
        <item x="7"/>
        <item x="4"/>
        <item x="5"/>
        <item m="1" x="12"/>
        <item m="1" x="11"/>
        <item x="1"/>
        <item m="1" x="9"/>
        <item m="1" x="8"/>
        <item m="1" x="13"/>
        <item m="1" x="10"/>
        <item x="3"/>
      </items>
    </pivotField>
    <pivotField compact="0" outline="0" showAll="0"/>
    <pivotField compact="0" outline="0" showAll="0"/>
    <pivotField compact="0" outline="0" showAll="0"/>
    <pivotField compact="0" outline="0" showAll="0"/>
    <pivotField compact="0" outline="0" showAll="0"/>
    <pivotField compact="0" outline="0" showAll="0"/>
    <pivotField axis="axisRow" compact="0" outline="0" showAll="0">
      <items count="10">
        <item h="1" x="3"/>
        <item x="2"/>
        <item x="0"/>
        <item x="7"/>
        <item x="4"/>
        <item x="6"/>
        <item m="1" x="8"/>
        <item x="5"/>
        <item h="1" x="1"/>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2">
    <field x="3"/>
    <field x="10"/>
  </rowFields>
  <rowItems count="7">
    <i>
      <x/>
      <x v="5"/>
    </i>
    <i>
      <x v="1"/>
    </i>
    <i>
      <x v="2"/>
    </i>
    <i>
      <x v="3"/>
      <x v="3"/>
    </i>
    <i>
      <x v="4"/>
      <x v="4"/>
    </i>
    <i>
      <x v="5"/>
      <x v="7"/>
    </i>
    <i t="grand">
      <x/>
    </i>
  </rowItems>
  <colFields count="1">
    <field x="-2"/>
  </colFields>
  <colItems count="2">
    <i>
      <x/>
    </i>
    <i i="1">
      <x v="1"/>
    </i>
  </colItems>
  <dataFields count="2">
    <dataField name="Rprts" fld="0" subtotal="count" baseField="0" baseItem="0"/>
    <dataField name="Porc" fld="1" subtotal="count" showDataAs="percentOfTotal" baseField="10" baseItem="3" numFmtId="9"/>
  </dataFields>
  <formats count="3">
    <format dxfId="82">
      <pivotArea outline="0" collapsedLevelsAreSubtotals="1" fieldPosition="0"/>
    </format>
    <format dxfId="83">
      <pivotArea field="13" dataOnly="0" labelOnly="1" outline="0">
        <references count="1">
          <reference field="4294967294" count="1" selected="0">
            <x v="0"/>
          </reference>
        </references>
      </pivotArea>
    </format>
    <format dxfId="84">
      <pivotArea field="13" dataOnly="0" labelOnly="1" outline="0">
        <references count="1">
          <reference field="4294967294" count="1" selected="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400-000003000000}" name="TablaDinámica1" cacheId="129" applyNumberFormats="0" applyBorderFormats="0" applyFontFormats="0" applyPatternFormats="0" applyAlignmentFormats="0" applyWidthHeightFormats="1" dataCaption="Valores" grandTotalCaption="Total " updatedVersion="8" minRefreshableVersion="3" useAutoFormatting="1" itemPrintTitles="1" createdVersion="8" indent="0" outline="1" outlineData="1" multipleFieldFilters="0" rowHeaderCaption="    Estatus" colHeaderCaption="Desarrollo">
  <location ref="B5:F36" firstHeaderRow="1" firstDataRow="2" firstDataCol="1"/>
  <pivotFields count="14">
    <pivotField dataField="1" showAll="0"/>
    <pivotField axis="axisRow" showAll="0">
      <items count="11">
        <item x="0"/>
        <item x="1"/>
        <item x="2"/>
        <item x="3"/>
        <item x="5"/>
        <item x="4"/>
        <item x="6"/>
        <item x="7"/>
        <item m="1" x="9"/>
        <item x="8"/>
        <item t="default"/>
      </items>
    </pivotField>
    <pivotField showAll="0">
      <items count="8">
        <item x="4"/>
        <item x="3"/>
        <item x="5"/>
        <item x="2"/>
        <item x="1"/>
        <item x="0"/>
        <item x="6"/>
        <item t="default"/>
      </items>
    </pivotField>
    <pivotField showAll="0"/>
    <pivotField showAll="0"/>
    <pivotField showAll="0"/>
    <pivotField showAll="0"/>
    <pivotField showAll="0"/>
    <pivotField showAll="0"/>
    <pivotField axis="axisRow" showAll="0">
      <items count="6">
        <item x="4"/>
        <item n="Mapeo Usuario" x="0"/>
        <item n="Validacion Txt  Usuario" x="1"/>
        <item n="VoBo Usuario" x="2"/>
        <item n="Txt en Desarrollo" x="3"/>
        <item t="default"/>
      </items>
    </pivotField>
    <pivotField showAll="0"/>
    <pivotField axis="axisCol" showAll="0">
      <items count="4">
        <item x="0"/>
        <item x="2"/>
        <item x="1"/>
        <item t="default"/>
      </items>
    </pivotField>
    <pivotField showAll="0"/>
    <pivotField showAll="0">
      <items count="7">
        <item x="5"/>
        <item x="3"/>
        <item x="2"/>
        <item x="1"/>
        <item x="0"/>
        <item x="4"/>
        <item t="default"/>
      </items>
    </pivotField>
  </pivotFields>
  <rowFields count="2">
    <field x="1"/>
    <field x="9"/>
  </rowFields>
  <rowItems count="30">
    <i>
      <x/>
    </i>
    <i r="1">
      <x v="1"/>
    </i>
    <i r="1">
      <x v="2"/>
    </i>
    <i r="1">
      <x v="3"/>
    </i>
    <i r="1">
      <x v="4"/>
    </i>
    <i>
      <x v="1"/>
    </i>
    <i r="1">
      <x/>
    </i>
    <i r="1">
      <x v="3"/>
    </i>
    <i>
      <x v="2"/>
    </i>
    <i r="1">
      <x v="1"/>
    </i>
    <i r="1">
      <x v="2"/>
    </i>
    <i>
      <x v="3"/>
    </i>
    <i r="1">
      <x/>
    </i>
    <i r="1">
      <x v="2"/>
    </i>
    <i r="1">
      <x v="4"/>
    </i>
    <i>
      <x v="4"/>
    </i>
    <i r="1">
      <x/>
    </i>
    <i r="1">
      <x v="1"/>
    </i>
    <i r="1">
      <x v="3"/>
    </i>
    <i>
      <x v="5"/>
    </i>
    <i r="1">
      <x/>
    </i>
    <i r="1">
      <x v="1"/>
    </i>
    <i r="1">
      <x v="4"/>
    </i>
    <i>
      <x v="6"/>
    </i>
    <i r="1">
      <x/>
    </i>
    <i>
      <x v="7"/>
    </i>
    <i r="1">
      <x/>
    </i>
    <i>
      <x v="9"/>
    </i>
    <i r="1">
      <x v="1"/>
    </i>
    <i t="grand">
      <x/>
    </i>
  </rowItems>
  <colFields count="1">
    <field x="11"/>
  </colFields>
  <colItems count="4">
    <i>
      <x/>
    </i>
    <i>
      <x v="1"/>
    </i>
    <i>
      <x v="2"/>
    </i>
    <i t="grand">
      <x/>
    </i>
  </colItems>
  <dataFields count="1">
    <dataField name="Area " fld="0" subtotal="count" baseField="0" baseItem="0"/>
  </dataFields>
  <formats count="4">
    <format dxfId="78">
      <pivotArea outline="0" collapsedLevelsAreSubtotals="1" fieldPosition="0"/>
    </format>
    <format dxfId="79">
      <pivotArea type="topRight" dataOnly="0" labelOnly="1" outline="0" fieldPosition="0"/>
    </format>
    <format dxfId="80">
      <pivotArea dataOnly="0" labelOnly="1" fieldPosition="0">
        <references count="1">
          <reference field="11" count="0"/>
        </references>
      </pivotArea>
    </format>
    <format dxfId="81">
      <pivotArea dataOnly="0" labelOnly="1" grandCol="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400-000004000000}" name="TablaDinámica2" cacheId="131" applyNumberFormats="0" applyBorderFormats="0" applyFontFormats="0" applyPatternFormats="0" applyAlignmentFormats="0" applyWidthHeightFormats="1" dataCaption="Valores" grandTotalCaption="Total " updatedVersion="8" minRefreshableVersion="3" useAutoFormatting="1" itemPrintTitles="1" createdVersion="8" indent="0" compact="0" compactData="0" gridDropZones="1" multipleFieldFilters="0" rowHeaderCaption="    Estatus" colHeaderCaption="Desarrollo">
  <location ref="H3:O14" firstHeaderRow="1" firstDataRow="2" firstDataCol="2" rowPageCount="1" colPageCount="1"/>
  <pivotFields count="15">
    <pivotField dataField="1" compact="0" outline="0" showAll="0"/>
    <pivotField axis="axisRow" compact="0" outline="0" showAll="0" defaultSubtotal="0">
      <items count="10">
        <item x="4"/>
        <item x="2"/>
        <item x="7"/>
        <item x="3"/>
        <item x="1"/>
        <item x="6"/>
        <item x="8"/>
        <item x="0"/>
        <item x="5"/>
        <item x="9"/>
      </items>
    </pivotField>
    <pivotField compact="0" outline="0" showAll="0" defaultSubtotal="0">
      <items count="9">
        <item m="1" x="7"/>
        <item x="3"/>
        <item x="0"/>
        <item x="6"/>
        <item x="2"/>
        <item x="4"/>
        <item m="1" x="8"/>
        <item x="5"/>
        <item x="1"/>
      </items>
    </pivotField>
    <pivotField compact="0" outline="0" showAll="0"/>
    <pivotField compact="0" outline="0" showAll="0"/>
    <pivotField compact="0" outline="0" showAll="0"/>
    <pivotField compact="0" outline="0" showAll="0"/>
    <pivotField compact="0" outline="0" showAll="0"/>
    <pivotField compact="0" outline="0" showAll="0"/>
    <pivotField axis="axisCol" compact="0" outline="0" showAll="0">
      <items count="6">
        <item x="1"/>
        <item n="Mapeo Usuario" x="0"/>
        <item n="Txt en Desarrollo" x="3"/>
        <item n="Validacion Txt  Usuario" x="4"/>
        <item n="VoBo Usuario" x="2"/>
        <item t="default"/>
      </items>
    </pivotField>
    <pivotField compact="0" outline="0" showAll="0"/>
    <pivotField axis="axisPage" compact="0" outline="0" showAll="0">
      <items count="6">
        <item x="1"/>
        <item x="3"/>
        <item x="2"/>
        <item x="0"/>
        <item x="4"/>
        <item t="default"/>
      </items>
    </pivotField>
    <pivotField compact="0" outline="0" showAll="0"/>
    <pivotField compact="0" outline="0" showAll="0"/>
    <pivotField name="Responsable " axis="axisRow" compact="0" outline="0" showAll="0" defaultSubtotal="0">
      <items count="8">
        <item n="Claudia Barroso" x="5"/>
        <item x="3"/>
        <item x="2"/>
        <item x="1"/>
        <item x="0"/>
        <item n="TBD" x="4"/>
        <item x="6"/>
        <item x="7"/>
      </items>
    </pivotField>
  </pivotFields>
  <rowFields count="2">
    <field x="14"/>
    <field x="1"/>
  </rowFields>
  <rowItems count="10">
    <i>
      <x/>
      <x v="4"/>
    </i>
    <i>
      <x v="1"/>
      <x v="7"/>
    </i>
    <i>
      <x v="2"/>
      <x v="5"/>
    </i>
    <i>
      <x v="3"/>
      <x v="1"/>
    </i>
    <i r="1">
      <x v="2"/>
    </i>
    <i r="1">
      <x v="3"/>
    </i>
    <i>
      <x v="4"/>
      <x/>
    </i>
    <i>
      <x v="6"/>
      <x v="8"/>
    </i>
    <i>
      <x v="7"/>
      <x v="4"/>
    </i>
    <i t="grand">
      <x/>
    </i>
  </rowItems>
  <colFields count="1">
    <field x="9"/>
  </colFields>
  <colItems count="6">
    <i>
      <x/>
    </i>
    <i>
      <x v="1"/>
    </i>
    <i>
      <x v="2"/>
    </i>
    <i>
      <x v="3"/>
    </i>
    <i>
      <x v="4"/>
    </i>
    <i t="grand">
      <x/>
    </i>
  </colItems>
  <pageFields count="1">
    <pageField fld="11" item="0" hier="-1"/>
  </pageFields>
  <dataFields count="1">
    <dataField name="Distribución" fld="0" subtotal="count" baseField="0" baseItem="0"/>
  </dataFields>
  <formats count="41">
    <format dxfId="37">
      <pivotArea dataOnly="0" labelOnly="1" fieldPosition="0">
        <references count="1">
          <reference field="11" count="0"/>
        </references>
      </pivotArea>
    </format>
    <format dxfId="38">
      <pivotArea dataOnly="0" labelOnly="1" outline="0" fieldPosition="0">
        <references count="1">
          <reference field="9" count="0"/>
        </references>
      </pivotArea>
    </format>
    <format dxfId="39">
      <pivotArea dataOnly="0" labelOnly="1" grandCol="1" outline="0" fieldPosition="0"/>
    </format>
    <format dxfId="40">
      <pivotArea outline="0" collapsedLevelsAreSubtotals="1" fieldPosition="0"/>
    </format>
    <format dxfId="41">
      <pivotArea field="9" type="button" dataOnly="0" labelOnly="1" outline="0" axis="axisCol" fieldPosition="0"/>
    </format>
    <format dxfId="42">
      <pivotArea type="topRight" dataOnly="0" labelOnly="1" outline="0" fieldPosition="0"/>
    </format>
    <format dxfId="43">
      <pivotArea dataOnly="0" labelOnly="1" outline="0" fieldPosition="0">
        <references count="1">
          <reference field="9" count="0"/>
        </references>
      </pivotArea>
    </format>
    <format dxfId="44">
      <pivotArea dataOnly="0" labelOnly="1" grandCol="1" outline="0" fieldPosition="0"/>
    </format>
    <format dxfId="45">
      <pivotArea field="11" dataOnly="0" grandCol="1" outline="0" axis="axisPage" fieldPosition="0">
        <references count="1">
          <reference field="11" count="1" selected="0">
            <x v="0"/>
          </reference>
        </references>
      </pivotArea>
    </format>
    <format dxfId="46">
      <pivotArea dataOnly="0" outline="0" fieldPosition="0">
        <references count="2">
          <reference field="9" count="1">
            <x v="4"/>
          </reference>
          <reference field="11" count="1" selected="0">
            <x v="0"/>
          </reference>
        </references>
      </pivotArea>
    </format>
    <format dxfId="47">
      <pivotArea outline="0" fieldPosition="0">
        <references count="3">
          <reference field="1" count="1" selected="0">
            <x v="2"/>
          </reference>
          <reference field="9" count="1" selected="0">
            <x v="4"/>
          </reference>
          <reference field="14" count="1" selected="0">
            <x v="3"/>
          </reference>
        </references>
      </pivotArea>
    </format>
    <format dxfId="48">
      <pivotArea outline="0" fieldPosition="0">
        <references count="3">
          <reference field="1" count="1" selected="0">
            <x v="3"/>
          </reference>
          <reference field="9" count="1" selected="0">
            <x v="2"/>
          </reference>
          <reference field="14" count="1" selected="0">
            <x v="3"/>
          </reference>
        </references>
      </pivotArea>
    </format>
    <format dxfId="49">
      <pivotArea outline="0" fieldPosition="0">
        <references count="3">
          <reference field="1" count="1" selected="0">
            <x v="2"/>
          </reference>
          <reference field="9" count="1" selected="0">
            <x v="4"/>
          </reference>
          <reference field="14" count="1" selected="0">
            <x v="3"/>
          </reference>
        </references>
      </pivotArea>
    </format>
    <format dxfId="50">
      <pivotArea outline="0" fieldPosition="0">
        <references count="3">
          <reference field="1" count="6" selected="0">
            <x v="0"/>
            <x v="1"/>
            <x v="2"/>
            <x v="3"/>
            <x v="4"/>
            <x v="5"/>
          </reference>
          <reference field="9" count="1" selected="0">
            <x v="4"/>
          </reference>
          <reference field="14" count="5" selected="0">
            <x v="0"/>
            <x v="2"/>
            <x v="3"/>
            <x v="4"/>
            <x v="5"/>
          </reference>
        </references>
      </pivotArea>
    </format>
    <format dxfId="51">
      <pivotArea field="14" grandCol="1" outline="0" axis="axisRow" fieldPosition="0">
        <references count="2">
          <reference field="1" count="6" selected="0">
            <x v="0"/>
            <x v="1"/>
            <x v="2"/>
            <x v="3"/>
            <x v="4"/>
            <x v="5"/>
          </reference>
          <reference field="14" count="5" selected="0">
            <x v="0"/>
            <x v="2"/>
            <x v="3"/>
            <x v="4"/>
            <x v="5"/>
          </reference>
        </references>
      </pivotArea>
    </format>
    <format dxfId="52">
      <pivotArea outline="0" fieldPosition="0">
        <references count="3">
          <reference field="1" count="1" selected="0">
            <x v="5"/>
          </reference>
          <reference field="9" count="1" selected="0">
            <x v="2"/>
          </reference>
          <reference field="14" count="1" selected="0">
            <x v="2"/>
          </reference>
        </references>
      </pivotArea>
    </format>
    <format dxfId="53">
      <pivotArea outline="0" fieldPosition="0">
        <references count="3">
          <reference field="1" count="1" selected="0">
            <x v="5"/>
          </reference>
          <reference field="9" count="1" selected="0">
            <x v="0"/>
          </reference>
          <reference field="14" count="1" selected="0">
            <x v="2"/>
          </reference>
        </references>
      </pivotArea>
    </format>
    <format dxfId="54">
      <pivotArea outline="0" fieldPosition="0">
        <references count="3">
          <reference field="1" count="1" selected="0">
            <x v="5"/>
          </reference>
          <reference field="9" count="1" selected="0">
            <x v="0"/>
          </reference>
          <reference field="14" count="1" selected="0">
            <x v="2"/>
          </reference>
        </references>
      </pivotArea>
    </format>
    <format dxfId="55">
      <pivotArea outline="0" fieldPosition="0">
        <references count="3">
          <reference field="1" count="1" selected="0">
            <x v="3"/>
          </reference>
          <reference field="9" count="1" selected="0">
            <x v="2"/>
          </reference>
          <reference field="14" count="1" selected="0">
            <x v="3"/>
          </reference>
        </references>
      </pivotArea>
    </format>
    <format dxfId="56">
      <pivotArea outline="0" fieldPosition="0">
        <references count="3">
          <reference field="1" count="1" selected="0">
            <x v="4"/>
          </reference>
          <reference field="9" count="1" selected="0">
            <x v="1"/>
          </reference>
          <reference field="14" count="1" selected="0">
            <x v="0"/>
          </reference>
        </references>
      </pivotArea>
    </format>
    <format dxfId="57">
      <pivotArea outline="0" fieldPosition="0">
        <references count="3">
          <reference field="1" count="1" selected="0">
            <x v="5"/>
          </reference>
          <reference field="9" count="1" selected="0">
            <x v="2"/>
          </reference>
          <reference field="14" count="1" selected="0">
            <x v="2"/>
          </reference>
        </references>
      </pivotArea>
    </format>
    <format dxfId="58">
      <pivotArea outline="0" fieldPosition="0">
        <references count="3">
          <reference field="1" count="1" selected="0">
            <x v="3"/>
          </reference>
          <reference field="9" count="1" selected="0">
            <x v="3"/>
          </reference>
          <reference field="14" count="1" selected="0">
            <x v="3"/>
          </reference>
        </references>
      </pivotArea>
    </format>
    <format dxfId="59">
      <pivotArea outline="0" fieldPosition="0">
        <references count="3">
          <reference field="1" count="1" selected="0">
            <x v="2"/>
          </reference>
          <reference field="9" count="1" selected="0">
            <x v="2"/>
          </reference>
          <reference field="14" count="1" selected="0">
            <x v="3"/>
          </reference>
        </references>
      </pivotArea>
    </format>
    <format dxfId="60">
      <pivotArea outline="0" fieldPosition="0">
        <references count="1">
          <reference field="9" count="1" selected="0">
            <x v="4"/>
          </reference>
        </references>
      </pivotArea>
    </format>
    <format dxfId="61">
      <pivotArea dataOnly="0" labelOnly="1" outline="0" fieldPosition="0">
        <references count="1">
          <reference field="9" count="1">
            <x v="4"/>
          </reference>
        </references>
      </pivotArea>
    </format>
    <format dxfId="62">
      <pivotArea outline="0" fieldPosition="0">
        <references count="3">
          <reference field="1" count="1" selected="0">
            <x v="4"/>
          </reference>
          <reference field="9" count="2" selected="0">
            <x v="1"/>
            <x v="2"/>
          </reference>
          <reference field="14" count="1" selected="0">
            <x v="0"/>
          </reference>
        </references>
      </pivotArea>
    </format>
    <format dxfId="63">
      <pivotArea outline="0" fieldPosition="0">
        <references count="3">
          <reference field="1" count="1" selected="0">
            <x v="4"/>
          </reference>
          <reference field="9" count="2" selected="0">
            <x v="1"/>
            <x v="2"/>
          </reference>
          <reference field="14" count="1" selected="0">
            <x v="0"/>
          </reference>
        </references>
      </pivotArea>
    </format>
    <format dxfId="64">
      <pivotArea field="14" grandCol="1" outline="0" axis="axisRow" fieldPosition="0">
        <references count="2">
          <reference field="1" count="1" selected="0">
            <x v="8"/>
          </reference>
          <reference field="14" count="1" selected="0">
            <x v="6"/>
          </reference>
        </references>
      </pivotArea>
    </format>
    <format dxfId="65">
      <pivotArea outline="0" fieldPosition="0">
        <references count="3">
          <reference field="1" count="1" selected="0">
            <x v="4"/>
          </reference>
          <reference field="9" count="1" selected="0">
            <x v="2"/>
          </reference>
          <reference field="14" count="1" selected="0">
            <x v="0"/>
          </reference>
        </references>
      </pivotArea>
    </format>
    <format dxfId="66">
      <pivotArea outline="0" fieldPosition="0">
        <references count="3">
          <reference field="1" count="1" selected="0">
            <x v="4"/>
          </reference>
          <reference field="9" count="1" selected="0">
            <x v="1"/>
          </reference>
          <reference field="14" count="1" selected="0">
            <x v="0"/>
          </reference>
        </references>
      </pivotArea>
    </format>
    <format dxfId="67">
      <pivotArea outline="0" fieldPosition="0">
        <references count="3">
          <reference field="1" count="1" selected="0">
            <x v="2"/>
          </reference>
          <reference field="9" count="1" selected="0">
            <x v="3"/>
          </reference>
          <reference field="14" count="1" selected="0">
            <x v="3"/>
          </reference>
        </references>
      </pivotArea>
    </format>
    <format dxfId="68">
      <pivotArea outline="0" fieldPosition="0">
        <references count="3">
          <reference field="1" count="1" selected="0">
            <x v="3"/>
          </reference>
          <reference field="9" count="1" selected="0">
            <x v="3"/>
          </reference>
          <reference field="14" count="1" selected="0">
            <x v="3"/>
          </reference>
        </references>
      </pivotArea>
    </format>
    <format dxfId="69">
      <pivotArea outline="0" fieldPosition="0">
        <references count="3">
          <reference field="1" count="1" selected="0">
            <x v="3"/>
          </reference>
          <reference field="9" count="1" selected="0">
            <x v="3"/>
          </reference>
          <reference field="14" count="1" selected="0">
            <x v="3"/>
          </reference>
        </references>
      </pivotArea>
    </format>
    <format dxfId="70">
      <pivotArea outline="0" fieldPosition="0">
        <references count="3">
          <reference field="1" count="1" selected="0">
            <x v="2"/>
          </reference>
          <reference field="9" count="1" selected="0">
            <x v="3"/>
          </reference>
          <reference field="14" count="1" selected="0">
            <x v="3"/>
          </reference>
        </references>
      </pivotArea>
    </format>
    <format dxfId="71">
      <pivotArea outline="0" fieldPosition="0">
        <references count="3">
          <reference field="1" count="1" selected="0">
            <x v="2"/>
          </reference>
          <reference field="9" count="1" selected="0">
            <x v="1"/>
          </reference>
          <reference field="14" count="1" selected="0">
            <x v="3"/>
          </reference>
        </references>
      </pivotArea>
    </format>
    <format dxfId="72">
      <pivotArea outline="0" fieldPosition="0">
        <references count="3">
          <reference field="1" count="1" selected="0">
            <x v="2"/>
          </reference>
          <reference field="9" count="1" selected="0">
            <x v="1"/>
          </reference>
          <reference field="14" count="1" selected="0">
            <x v="3"/>
          </reference>
        </references>
      </pivotArea>
    </format>
    <format dxfId="73">
      <pivotArea outline="0" fieldPosition="0">
        <references count="3">
          <reference field="1" count="1" selected="0">
            <x v="2"/>
          </reference>
          <reference field="9" count="1" selected="0">
            <x v="3"/>
          </reference>
          <reference field="14" count="1" selected="0">
            <x v="3"/>
          </reference>
        </references>
      </pivotArea>
    </format>
    <format dxfId="74">
      <pivotArea outline="0" fieldPosition="0">
        <references count="3">
          <reference field="1" count="1" selected="0">
            <x v="2"/>
          </reference>
          <reference field="9" count="1" selected="0">
            <x v="2"/>
          </reference>
          <reference field="14" count="1" selected="0">
            <x v="3"/>
          </reference>
        </references>
      </pivotArea>
    </format>
    <format dxfId="75">
      <pivotArea outline="0" fieldPosition="0">
        <references count="3">
          <reference field="1" count="1" selected="0">
            <x v="2"/>
          </reference>
          <reference field="9" count="1" selected="0">
            <x v="2"/>
          </reference>
          <reference field="14" count="1" selected="0">
            <x v="3"/>
          </reference>
        </references>
      </pivotArea>
    </format>
    <format dxfId="76">
      <pivotArea outline="0" fieldPosition="0">
        <references count="3">
          <reference field="1" count="1" selected="0">
            <x v="0"/>
          </reference>
          <reference field="9" count="1" selected="0">
            <x v="3"/>
          </reference>
          <reference field="14" count="1" selected="0">
            <x v="4"/>
          </reference>
        </references>
      </pivotArea>
    </format>
    <format dxfId="77">
      <pivotArea outline="0" fieldPosition="0">
        <references count="3">
          <reference field="1" count="1" selected="0">
            <x v="0"/>
          </reference>
          <reference field="9" count="1" selected="0">
            <x v="3"/>
          </reference>
          <reference field="14" count="1" selected="0">
            <x v="4"/>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700-000005000000}" name="TablaDinámica3" cacheId="133" applyNumberFormats="0" applyBorderFormats="0" applyFontFormats="0" applyPatternFormats="0" applyAlignmentFormats="0" applyWidthHeightFormats="1" dataCaption="Valores" updatedVersion="8" minRefreshableVersion="3" useAutoFormatting="1" itemPrintTitles="1" createdVersion="8" indent="0" compact="0" compactData="0" gridDropZones="1" multipleFieldFilters="0">
  <location ref="B2:J14" firstHeaderRow="1" firstDataRow="2" firstDataCol="1"/>
  <pivotFields count="18">
    <pivotField dataField="1" compact="0" outline="0" showAll="0"/>
    <pivotField compact="0" outline="0" showAll="0" defaultSubtota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axis="axisCol" compact="0" outline="0" showAll="0">
      <items count="10">
        <item x="3"/>
        <item x="6"/>
        <item x="0"/>
        <item x="2"/>
        <item x="7"/>
        <item x="4"/>
        <item m="1" x="8"/>
        <item x="5"/>
        <item x="1"/>
        <item t="default"/>
      </items>
    </pivotField>
    <pivotField compact="0" outline="0" showAll="0"/>
    <pivotField compact="0" outline="0" showAll="0"/>
    <pivotField axis="axisRow" compact="0" outline="0" showAll="0">
      <items count="17">
        <item x="9"/>
        <item m="1" x="15"/>
        <item x="6"/>
        <item m="1" x="13"/>
        <item x="1"/>
        <item m="1" x="14"/>
        <item m="1" x="12"/>
        <item h="1" x="2"/>
        <item x="3"/>
        <item x="4"/>
        <item x="8"/>
        <item x="0"/>
        <item x="5"/>
        <item m="1" x="11"/>
        <item x="7"/>
        <item x="10"/>
        <item t="default"/>
      </items>
    </pivotField>
    <pivotField compact="0" outline="0" showAll="0"/>
    <pivotField compact="0" outline="0" showAll="0"/>
    <pivotField compact="0" outline="0" showAll="0"/>
    <pivotField compact="0" outline="0" showAll="0"/>
  </pivotFields>
  <rowFields count="1">
    <field x="13"/>
  </rowFields>
  <rowItems count="11">
    <i>
      <x/>
    </i>
    <i>
      <x v="2"/>
    </i>
    <i>
      <x v="4"/>
    </i>
    <i>
      <x v="8"/>
    </i>
    <i>
      <x v="9"/>
    </i>
    <i>
      <x v="10"/>
    </i>
    <i>
      <x v="11"/>
    </i>
    <i>
      <x v="12"/>
    </i>
    <i>
      <x v="14"/>
    </i>
    <i>
      <x v="15"/>
    </i>
    <i t="grand">
      <x/>
    </i>
  </rowItems>
  <colFields count="1">
    <field x="10"/>
  </colFields>
  <colItems count="8">
    <i>
      <x v="1"/>
    </i>
    <i>
      <x v="2"/>
    </i>
    <i>
      <x v="3"/>
    </i>
    <i>
      <x v="4"/>
    </i>
    <i>
      <x v="5"/>
    </i>
    <i>
      <x v="7"/>
    </i>
    <i>
      <x v="8"/>
    </i>
    <i t="grand">
      <x/>
    </i>
  </colItems>
  <dataFields count="1">
    <dataField name="NumReportes" fld="0" subtotal="count" baseField="0" baseItem="0"/>
  </dataFields>
  <formats count="24">
    <format dxfId="13">
      <pivotArea dataOnly="0" labelOnly="1" fieldPosition="0">
        <references count="1">
          <reference field="10" count="0"/>
        </references>
      </pivotArea>
    </format>
    <format dxfId="14">
      <pivotArea dataOnly="0" labelOnly="1" grandCol="1" outline="0" fieldPosition="0"/>
    </format>
    <format dxfId="15">
      <pivotArea outline="0" collapsedLevelsAreSubtotals="1" fieldPosition="0"/>
    </format>
    <format dxfId="16">
      <pivotArea dataOnly="0" labelOnly="1" grandCol="1" outline="0" fieldPosition="0"/>
    </format>
    <format dxfId="17">
      <pivotArea dataOnly="0" labelOnly="1" grandCol="1" outline="0" fieldPosition="0"/>
    </format>
    <format dxfId="18">
      <pivotArea dataOnly="0" labelOnly="1" outline="0" fieldPosition="0">
        <references count="1">
          <reference field="10" count="1">
            <x v="5"/>
          </reference>
        </references>
      </pivotArea>
    </format>
    <format dxfId="19">
      <pivotArea outline="0" fieldPosition="0">
        <references count="1">
          <reference field="10" count="1" selected="0">
            <x v="5"/>
          </reference>
        </references>
      </pivotArea>
    </format>
    <format dxfId="20">
      <pivotArea dataOnly="0" labelOnly="1" outline="0" fieldPosition="0">
        <references count="1">
          <reference field="10" count="1">
            <x v="5"/>
          </reference>
        </references>
      </pivotArea>
    </format>
    <format dxfId="21">
      <pivotArea grandCol="1" outline="0" collapsedLevelsAreSubtotals="1" fieldPosition="0"/>
    </format>
    <format dxfId="22">
      <pivotArea dataOnly="0" labelOnly="1" grandCol="1" outline="0" fieldPosition="0"/>
    </format>
    <format dxfId="23">
      <pivotArea dataOnly="0" labelOnly="1" outline="0" fieldPosition="0">
        <references count="1">
          <reference field="10" count="0"/>
        </references>
      </pivotArea>
    </format>
    <format dxfId="24">
      <pivotArea dataOnly="0" labelOnly="1" grandCol="1" outline="0" fieldPosition="0"/>
    </format>
    <format dxfId="25">
      <pivotArea field="13" type="button" dataOnly="0" labelOnly="1" outline="0" axis="axisRow" fieldPosition="0"/>
    </format>
    <format dxfId="26">
      <pivotArea outline="0" fieldPosition="0">
        <references count="1">
          <reference field="13" count="1" selected="0">
            <x v="0"/>
          </reference>
        </references>
      </pivotArea>
    </format>
    <format dxfId="27">
      <pivotArea dataOnly="0" labelOnly="1" outline="0" fieldPosition="0">
        <references count="1">
          <reference field="13" count="1">
            <x v="0"/>
          </reference>
        </references>
      </pivotArea>
    </format>
    <format dxfId="28">
      <pivotArea outline="0" fieldPosition="0">
        <references count="1">
          <reference field="13" count="1" selected="0">
            <x v="0"/>
          </reference>
        </references>
      </pivotArea>
    </format>
    <format dxfId="29">
      <pivotArea dataOnly="0" labelOnly="1" outline="0" fieldPosition="0">
        <references count="1">
          <reference field="13" count="1">
            <x v="0"/>
          </reference>
        </references>
      </pivotArea>
    </format>
    <format dxfId="30">
      <pivotArea field="10" grandRow="1" outline="0" axis="axisCol" fieldPosition="0">
        <references count="1">
          <reference field="10" count="1" selected="0">
            <x v="0"/>
          </reference>
        </references>
      </pivotArea>
    </format>
    <format dxfId="31">
      <pivotArea field="10" grandRow="1" outline="0" axis="axisCol" fieldPosition="0">
        <references count="1">
          <reference field="10" count="1" selected="0">
            <x v="1"/>
          </reference>
        </references>
      </pivotArea>
    </format>
    <format dxfId="32">
      <pivotArea field="10" grandRow="1" outline="0" axis="axisCol" fieldPosition="0">
        <references count="1">
          <reference field="10" count="1" selected="0">
            <x v="2"/>
          </reference>
        </references>
      </pivotArea>
    </format>
    <format dxfId="33">
      <pivotArea field="10" grandRow="1" outline="0" axis="axisCol" fieldPosition="0">
        <references count="1">
          <reference field="10" count="1" selected="0">
            <x v="3"/>
          </reference>
        </references>
      </pivotArea>
    </format>
    <format dxfId="34">
      <pivotArea outline="0" fieldPosition="0">
        <references count="2">
          <reference field="10" count="1" selected="0">
            <x v="4"/>
          </reference>
          <reference field="13" count="1" selected="0">
            <x v="10"/>
          </reference>
        </references>
      </pivotArea>
    </format>
    <format dxfId="35">
      <pivotArea outline="0" fieldPosition="0">
        <references count="2">
          <reference field="10" count="1" selected="0">
            <x v="4"/>
          </reference>
          <reference field="13" count="1" selected="0">
            <x v="10"/>
          </reference>
        </references>
      </pivotArea>
    </format>
    <format dxfId="36">
      <pivotArea field="10" grandRow="1" outline="0" axis="axisCol" fieldPosition="0">
        <references count="1">
          <reference field="10" count="1" selected="0">
            <x v="8"/>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F9CD606B-BDBB-4F62-95CB-70F4344C79DB}" name="Tabla dinámica1" cacheId="134" applyNumberFormats="0" applyBorderFormats="0" applyFontFormats="0" applyPatternFormats="0" applyAlignmentFormats="0" applyWidthHeightFormats="1" dataCaption="Valores" updatedVersion="8" minRefreshableVersion="3" useAutoFormatting="1" itemPrintTitles="1" createdVersion="8" indent="0" compact="0" compactData="0" multipleFieldFilters="0" chartFormat="1">
  <location ref="N3:O10" firstHeaderRow="1" firstDataRow="1" firstDataCol="1" rowPageCount="1" colPageCount="1"/>
  <pivotFields count="11">
    <pivotField compact="0" outline="0" showAll="0"/>
    <pivotField compact="0" outline="0" showAll="0"/>
    <pivotField axis="axisPage" compact="0" outline="0" showAll="0">
      <items count="7">
        <item x="5"/>
        <item h="1" x="1"/>
        <item h="1" x="0"/>
        <item h="1" x="4"/>
        <item h="1" x="3"/>
        <item h="1" x="2"/>
        <item t="default"/>
      </items>
    </pivotField>
    <pivotField compact="0" numFmtId="1" outline="0" showAll="0"/>
    <pivotField compact="0" numFmtId="174" outline="0" showAll="0"/>
    <pivotField compact="0" numFmtId="174" outline="0" showAll="0"/>
    <pivotField compact="0" outline="0" showAll="0"/>
    <pivotField compact="0" outline="0" showAll="0"/>
    <pivotField compact="0" outline="0" showAll="0"/>
    <pivotField axis="axisRow" dataField="1" compact="0" outline="0" showAll="0">
      <items count="13">
        <item x="1"/>
        <item x="5"/>
        <item x="8"/>
        <item x="2"/>
        <item x="9"/>
        <item x="4"/>
        <item x="3"/>
        <item x="7"/>
        <item x="10"/>
        <item x="11"/>
        <item x="0"/>
        <item x="6"/>
        <item t="default"/>
      </items>
    </pivotField>
    <pivotField compact="0" outline="0" showAll="0"/>
  </pivotFields>
  <rowFields count="1">
    <field x="9"/>
  </rowFields>
  <rowItems count="7">
    <i>
      <x v="1"/>
    </i>
    <i>
      <x v="4"/>
    </i>
    <i>
      <x v="7"/>
    </i>
    <i>
      <x v="9"/>
    </i>
    <i>
      <x v="10"/>
    </i>
    <i>
      <x v="11"/>
    </i>
    <i t="grand">
      <x/>
    </i>
  </rowItems>
  <colItems count="1">
    <i/>
  </colItems>
  <pageFields count="1">
    <pageField fld="2" item="0" hier="-1"/>
  </pageFields>
  <dataFields count="1">
    <dataField name="Cuenta de Area" fld="9" subtotal="count" baseField="0" baseItem="0"/>
  </dataFields>
  <chartFormats count="7">
    <chartFormat chart="0" format="7" series="1">
      <pivotArea type="data" outline="0" fieldPosition="0">
        <references count="1">
          <reference field="4294967294" count="1" selected="0">
            <x v="0"/>
          </reference>
        </references>
      </pivotArea>
    </chartFormat>
    <chartFormat chart="0" format="8">
      <pivotArea type="data" outline="0" fieldPosition="0">
        <references count="2">
          <reference field="4294967294" count="1" selected="0">
            <x v="0"/>
          </reference>
          <reference field="9" count="1" selected="0">
            <x v="1"/>
          </reference>
        </references>
      </pivotArea>
    </chartFormat>
    <chartFormat chart="0" format="9">
      <pivotArea type="data" outline="0" fieldPosition="0">
        <references count="2">
          <reference field="4294967294" count="1" selected="0">
            <x v="0"/>
          </reference>
          <reference field="9" count="1" selected="0">
            <x v="4"/>
          </reference>
        </references>
      </pivotArea>
    </chartFormat>
    <chartFormat chart="0" format="10">
      <pivotArea type="data" outline="0" fieldPosition="0">
        <references count="2">
          <reference field="4294967294" count="1" selected="0">
            <x v="0"/>
          </reference>
          <reference field="9" count="1" selected="0">
            <x v="7"/>
          </reference>
        </references>
      </pivotArea>
    </chartFormat>
    <chartFormat chart="0" format="11">
      <pivotArea type="data" outline="0" fieldPosition="0">
        <references count="2">
          <reference field="4294967294" count="1" selected="0">
            <x v="0"/>
          </reference>
          <reference field="9" count="1" selected="0">
            <x v="9"/>
          </reference>
        </references>
      </pivotArea>
    </chartFormat>
    <chartFormat chart="0" format="12">
      <pivotArea type="data" outline="0" fieldPosition="0">
        <references count="2">
          <reference field="4294967294" count="1" selected="0">
            <x v="0"/>
          </reference>
          <reference field="9" count="1" selected="0">
            <x v="10"/>
          </reference>
        </references>
      </pivotArea>
    </chartFormat>
    <chartFormat chart="0" format="13">
      <pivotArea type="data" outline="0" fieldPosition="0">
        <references count="2">
          <reference field="4294967294" count="1" selected="0">
            <x v="0"/>
          </reference>
          <reference field="9" count="1" selected="0">
            <x v="1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00000000-0007-0000-0F00-000007000000}" name="TablaDinámica2" cacheId="130" applyNumberFormats="0" applyBorderFormats="0" applyFontFormats="0" applyPatternFormats="0" applyAlignmentFormats="0" applyWidthHeightFormats="1" dataCaption="Valores" updatedVersion="8" minRefreshableVersion="3" useAutoFormatting="1" itemPrintTitles="1" createdVersion="8" indent="0" compact="0" compactData="0" gridDropZones="1" multipleFieldFilters="0">
  <location ref="A3:C14" firstHeaderRow="2" firstDataRow="2" firstDataCol="2"/>
  <pivotFields count="2">
    <pivotField axis="axisRow" dataField="1" compact="0" outline="0" showAll="0">
      <items count="10">
        <item x="8"/>
        <item x="7"/>
        <item x="6"/>
        <item x="5"/>
        <item x="4"/>
        <item x="3"/>
        <item x="2"/>
        <item x="1"/>
        <item x="0"/>
        <item t="default"/>
      </items>
    </pivotField>
    <pivotField axis="axisRow" compact="0" outline="0" showAll="0" defaultSubtotal="0">
      <items count="9">
        <item x="6"/>
        <item x="8"/>
        <item x="7"/>
        <item x="1"/>
        <item x="0"/>
        <item x="5"/>
        <item x="4"/>
        <item x="3"/>
        <item x="2"/>
      </items>
    </pivotField>
  </pivotFields>
  <rowFields count="2">
    <field x="1"/>
    <field x="0"/>
  </rowFields>
  <rowItems count="10">
    <i>
      <x/>
      <x v="2"/>
    </i>
    <i>
      <x v="1"/>
      <x/>
    </i>
    <i>
      <x v="2"/>
      <x v="1"/>
    </i>
    <i>
      <x v="3"/>
      <x v="7"/>
    </i>
    <i>
      <x v="4"/>
      <x v="8"/>
    </i>
    <i>
      <x v="5"/>
      <x v="3"/>
    </i>
    <i>
      <x v="6"/>
      <x v="4"/>
    </i>
    <i>
      <x v="7"/>
      <x v="5"/>
    </i>
    <i>
      <x v="8"/>
      <x v="6"/>
    </i>
    <i t="grand">
      <x/>
    </i>
  </rowItems>
  <colItems count="1">
    <i/>
  </colItems>
  <dataFields count="1">
    <dataField name="Cuenta de Pestañas"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richData/_rels/richValueRel.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2">
  <rv s="0">
    <v>0</v>
    <v>5</v>
  </rv>
  <rv s="0">
    <v>1</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el r:id="rId2"/>
</richValueRel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F5074BD-D89E-47B5-9884-F553C7789A68}" name="Tabla1" displayName="Tabla1" ref="A3:R26" totalsRowShown="0">
  <autoFilter ref="A3:R26" xr:uid="{5F5074BD-D89E-47B5-9884-F553C7789A68}">
    <filterColumn colId="2">
      <filters>
        <filter val="Claudia Barroso"/>
      </filters>
    </filterColumn>
  </autoFilter>
  <tableColumns count="18">
    <tableColumn id="1" xr3:uid="{38D6606E-EFC9-4BD6-A1E3-1E77FAA5510C}" name="Carpeta"/>
    <tableColumn id="2" xr3:uid="{E1FBE4C5-AC81-4674-A6CD-E769655FE9FE}" name="Area"/>
    <tableColumn id="3" xr3:uid="{AE0303B4-3448-4915-B7A6-FF19AA0300C5}" name="Responsable"/>
    <tableColumn id="4" xr3:uid="{72FC94FB-A680-43EF-A5A3-86883D51F8A3}" name="Azure"/>
    <tableColumn id="5" xr3:uid="{C8F20D1D-9AF3-469F-92F0-A4A1E5DE7E02}" name="Pestañas"/>
    <tableColumn id="6" xr3:uid="{41EC193B-7F3A-451C-BED0-FE3AA07051D6}" name="Layout"/>
    <tableColumn id="7" xr3:uid="{B4158D72-14A6-4818-B905-DC811EC17BC2}" name="Estatus"/>
    <tableColumn id="8" xr3:uid="{CFC859C0-96D8-48C3-A4C5-79A5C89BF02B}" name="Comentarios"/>
    <tableColumn id="9" xr3:uid="{9BA92FFE-5FF8-43B2-B4F3-62AC438C8F33}" name="Revision VoBo Usuario"/>
    <tableColumn id="10" xr3:uid="{52065D88-45BA-4298-A2AA-0D2315B7AC52}" name="Actualizacion"/>
    <tableColumn id="11" xr3:uid="{EF38BEA2-B563-489E-93EB-D75DB306B180}" name="EstatusAct"/>
    <tableColumn id="12" xr3:uid="{2C5CB915-E7BB-47D9-811E-A62D5CEF9652}" name="Sts2"/>
    <tableColumn id="13" xr3:uid="{07CBE35D-06CF-477D-B4C9-272E692A95B0}" name="Desarrollo"/>
    <tableColumn id="14" xr3:uid="{A4EF89A5-7145-4EA3-85B4-DA34DC627EB2}" name="AreaApoyo"/>
    <tableColumn id="15" xr3:uid="{DC865EE0-9A85-42E5-AE69-E65D87B271FC}" name="Obs Add"/>
    <tableColumn id="16" xr3:uid="{CAD32230-919F-4E6C-A984-A28B02E66AA6}" name="Obs Add2"/>
    <tableColumn id="17" xr3:uid="{1BC6E013-42F4-4C90-9372-2073B12F7DB4}" name="NO APLICA"/>
    <tableColumn id="18" xr3:uid="{E776E765-4427-4CBB-BF11-C6A56AF18999}" name="MOTIVO"/>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554F2C5B-416D-4BDD-972C-927A6450889B}" name="Tabla2" displayName="Tabla2" ref="A3:R26" totalsRowShown="0">
  <autoFilter ref="A3:R26" xr:uid="{554F2C5B-416D-4BDD-972C-927A6450889B}"/>
  <tableColumns count="18">
    <tableColumn id="1" xr3:uid="{E0346A61-E739-451C-AF84-EBD5ED594872}" name="Carpeta"/>
    <tableColumn id="2" xr3:uid="{A00FFA07-90EE-40DD-8A66-D9C2780BD70D}" name="Area"/>
    <tableColumn id="3" xr3:uid="{180DD9D8-74EF-433B-B899-1E4913620EAE}" name="Responsable"/>
    <tableColumn id="4" xr3:uid="{843342C0-CFD4-4055-BFB4-98E79C7727DF}" name="Azure"/>
    <tableColumn id="5" xr3:uid="{AC9745FB-EC7E-4203-B6D8-3A3E8CEC7F90}" name="Pestañas"/>
    <tableColumn id="6" xr3:uid="{7DB2CEE7-FDD2-4F61-B620-791C955B1219}" name="Layout"/>
    <tableColumn id="7" xr3:uid="{12CEE6D5-7921-42AA-A82C-3640F8A5599B}" name="Estatus"/>
    <tableColumn id="8" xr3:uid="{7435B78B-69BA-48DE-8808-12C191CBEF9D}" name="Comentarios"/>
    <tableColumn id="9" xr3:uid="{E8D6B5FE-4BE5-4F3C-ABD3-508F98CDA697}" name="Revision VoBo Usuario"/>
    <tableColumn id="10" xr3:uid="{9F9842F5-B04F-421B-9857-C2C1CEC7C07B}" name="Actualizacion"/>
    <tableColumn id="11" xr3:uid="{A1AE00A3-4992-4C7C-BC0C-497ED642E082}" name="EstatusAct"/>
    <tableColumn id="12" xr3:uid="{20F13680-6227-4B96-884C-A46ADB514AF5}" name="Sts2"/>
    <tableColumn id="13" xr3:uid="{D53A1094-9953-40C4-BDA9-165AB4297FF6}" name="Desarrollo"/>
    <tableColumn id="14" xr3:uid="{DE7EC5F6-EACA-4EA0-BCC1-F5EF6EBA9518}" name="AreaApoyo"/>
    <tableColumn id="15" xr3:uid="{7D36B29E-C858-4512-AC22-804F45746E7B}" name="Obs Add"/>
    <tableColumn id="16" xr3:uid="{E829DD59-C954-4262-A723-B10F34788E04}" name="Obs Add2"/>
    <tableColumn id="17" xr3:uid="{5F5BAD49-0B79-4082-95B9-D418FC59A459}" name="NO APLICA"/>
    <tableColumn id="18" xr3:uid="{C9471CE2-6120-4E3F-9CD9-9288A813F235}" name="MOTIVO"/>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171DD46B-9490-437B-93EE-B39B24373525}" name="Tabla3" displayName="Tabla3" ref="A3:R52" totalsRowShown="0">
  <autoFilter ref="A3:R52" xr:uid="{171DD46B-9490-437B-93EE-B39B24373525}"/>
  <tableColumns count="18">
    <tableColumn id="1" xr3:uid="{1298E113-D2FD-4DB7-A347-9BDF61098B99}" name="Carpeta"/>
    <tableColumn id="2" xr3:uid="{86ED4EDD-5D2D-419E-BDCC-CC18F01FA679}" name="Area"/>
    <tableColumn id="3" xr3:uid="{C044B5CC-6A71-4B64-9F8E-55AE496F4E09}" name="Responsable"/>
    <tableColumn id="4" xr3:uid="{A582BE65-5AD6-4BEF-BACB-1278F447E9AA}" name="Azure"/>
    <tableColumn id="5" xr3:uid="{9962D422-924A-48FD-9B3E-27ECD7E345A9}" name="Pestañas"/>
    <tableColumn id="6" xr3:uid="{6A14B042-DA90-4A59-9D73-4868BA29F7B4}" name="Layout"/>
    <tableColumn id="7" xr3:uid="{5CFC3361-8204-4BBB-824D-546E428328CB}" name="Estatus"/>
    <tableColumn id="8" xr3:uid="{BE90649C-5924-47E0-8B29-A9E88155750C}" name="Comentarios"/>
    <tableColumn id="9" xr3:uid="{896912DE-44B1-459F-9C09-18E9528D379A}" name="Revision VoBo Usuario"/>
    <tableColumn id="10" xr3:uid="{3B4D899E-67CF-4D00-BA87-B67BED9632D0}" name="Actualizacion"/>
    <tableColumn id="11" xr3:uid="{11BA5D8A-70E9-4624-ABD2-2868DD558DBC}" name="EstatusAct"/>
    <tableColumn id="12" xr3:uid="{112ABB76-4B7D-4A68-A7C4-F4EF6F93B773}" name="Sts2"/>
    <tableColumn id="13" xr3:uid="{A563A11A-3651-4007-9D37-23B15ED38C90}" name="Desarrollo"/>
    <tableColumn id="14" xr3:uid="{DD45EB89-4666-47D0-893A-CA634BF74C91}" name="AreaApoyo"/>
    <tableColumn id="15" xr3:uid="{68C976DE-9398-435B-9DBB-E3C1FD2980A5}" name="Obs Add"/>
    <tableColumn id="16" xr3:uid="{1B792116-67BD-48E0-A93A-129AACC90D50}" name="Obs Add2"/>
    <tableColumn id="17" xr3:uid="{88759299-1B2B-4B58-A205-7F213349E9CA}" name="NO APLICA"/>
    <tableColumn id="18" xr3:uid="{6C320C9C-E2A9-4B63-87D0-244570B96B68}" name="MOTIVO"/>
  </tableColumns>
  <tableStyleInfo name="TableStyleMedium2" showFirstColumn="0" showLastColumn="0" showRowStripes="1" showColumnStripes="0"/>
</table>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table" Target="../tables/table2.xml"/><Relationship Id="rId1" Type="http://schemas.openxmlformats.org/officeDocument/2006/relationships/vmlDrawing" Target="../drawings/vmlDrawing1.vml"/></Relationships>
</file>

<file path=xl/worksheets/_rels/sheet5.xml.rels><?xml version="1.0" encoding="UTF-8" standalone="yes"?>
<Relationships xmlns="http://schemas.openxmlformats.org/package/2006/relationships"><Relationship Id="rId1" Type="http://schemas.openxmlformats.org/officeDocument/2006/relationships/table" Target="../tables/table3.xml"/></Relationships>
</file>

<file path=xl/worksheets/_rels/sheet6.xml.rels><?xml version="1.0" encoding="UTF-8" standalone="yes"?>
<Relationships xmlns="http://schemas.openxmlformats.org/package/2006/relationships"><Relationship Id="rId3" Type="http://schemas.openxmlformats.org/officeDocument/2006/relationships/pivotTable" Target="../pivotTables/pivotTable5.xml"/><Relationship Id="rId2" Type="http://schemas.openxmlformats.org/officeDocument/2006/relationships/pivotTable" Target="../pivotTables/pivotTable4.xml"/><Relationship Id="rId1" Type="http://schemas.openxmlformats.org/officeDocument/2006/relationships/pivotTable" Target="../pivotTables/pivotTable3.xml"/><Relationship Id="rId4" Type="http://schemas.openxmlformats.org/officeDocument/2006/relationships/drawing" Target="../drawings/drawing1.xml"/></Relationships>
</file>

<file path=xl/worksheets/_rels/sheet7.xml.rels><?xml version="1.0" encoding="UTF-8" standalone="yes"?>
<Relationships xmlns="http://schemas.openxmlformats.org/package/2006/relationships"><Relationship Id="rId2" Type="http://schemas.openxmlformats.org/officeDocument/2006/relationships/pivotTable" Target="../pivotTables/pivotTable7.xml"/><Relationship Id="rId1" Type="http://schemas.openxmlformats.org/officeDocument/2006/relationships/pivotTable" Target="../pivotTables/pivotTable6.xml"/></Relationships>
</file>

<file path=xl/worksheets/_rels/sheet9.xml.rels><?xml version="1.0" encoding="UTF-8" standalone="yes"?>
<Relationships xmlns="http://schemas.openxmlformats.org/package/2006/relationships"><Relationship Id="rId1" Type="http://schemas.openxmlformats.org/officeDocument/2006/relationships/pivotTable" Target="../pivotTables/pivotTable8.xml"/></Relationships>
</file>

<file path=xl/worksheets/_rels/sheet10.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11.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worksheets/_rels/sheet12.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9.xml"/></Relationships>
</file>

<file path=xl/worksheets/_rels/sheet16.xml.rels><?xml version="1.0" encoding="UTF-8" standalone="yes"?>
<Relationships xmlns="http://schemas.openxmlformats.org/package/2006/relationships"><Relationship Id="rId1" Type="http://schemas.openxmlformats.org/officeDocument/2006/relationships/pivotTable" Target="../pivotTables/pivotTable10.xml"/></Relationships>
</file>

<file path=xl/worksheets/_rels/sheet17.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drawing" Target="../drawings/drawing3.xml"/></Relationships>
</file>

<file path=xl/worksheets/_rels/sheet19.xml.rels><?xml version="1.0" encoding="UTF-8" standalone="yes"?>
<Relationships xmlns="http://schemas.openxmlformats.org/package/2006/relationships"><Relationship Id="rId2" Type="http://schemas.openxmlformats.org/officeDocument/2006/relationships/comments" Target="../comments6.xml"/><Relationship Id="rId1" Type="http://schemas.openxmlformats.org/officeDocument/2006/relationships/vmlDrawing" Target="../drawings/vmlDrawing6.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E15"/>
  <sheetViews>
    <sheetView showGridLines="0" topLeftCell="C1" workbookViewId="0">
      <selection activeCell="C21" sqref="C21"/>
    </sheetView>
  </sheetViews>
  <sheetFormatPr defaultColWidth="11.42578125" defaultRowHeight="15" outlineLevelRow="1"/>
  <cols>
    <col min="2" max="2" width="13.5703125" bestFit="1" customWidth="1"/>
    <col min="3" max="3" width="32.42578125" bestFit="1" customWidth="1"/>
    <col min="4" max="4" width="18.28515625" bestFit="1" customWidth="1"/>
    <col min="5" max="5" width="27.42578125" customWidth="1"/>
  </cols>
  <sheetData>
    <row r="2" spans="2:5">
      <c r="B2" s="36" t="s">
        <v>0</v>
      </c>
      <c r="C2" s="36" t="s">
        <v>1</v>
      </c>
      <c r="D2" s="36" t="s">
        <v>2</v>
      </c>
      <c r="E2" s="36" t="s">
        <v>3</v>
      </c>
    </row>
    <row r="3" spans="2:5" outlineLevel="1">
      <c r="B3" s="310" t="s">
        <v>4</v>
      </c>
      <c r="C3" s="221" t="s">
        <v>5</v>
      </c>
      <c r="D3" s="222" t="s">
        <v>6</v>
      </c>
      <c r="E3" s="310" t="s">
        <v>7</v>
      </c>
    </row>
    <row r="4" spans="2:5" outlineLevel="1">
      <c r="B4" s="306"/>
      <c r="C4" s="221" t="s">
        <v>8</v>
      </c>
      <c r="D4" s="33"/>
      <c r="E4" s="307"/>
    </row>
    <row r="5" spans="2:5" outlineLevel="1">
      <c r="B5" s="306"/>
      <c r="C5" s="221" t="s">
        <v>9</v>
      </c>
      <c r="D5" s="308" t="s">
        <v>10</v>
      </c>
      <c r="E5" s="310" t="s">
        <v>2</v>
      </c>
    </row>
    <row r="6" spans="2:5" outlineLevel="1">
      <c r="B6" s="306"/>
      <c r="C6" s="221" t="s">
        <v>11</v>
      </c>
      <c r="D6" s="309"/>
      <c r="E6" s="306"/>
    </row>
    <row r="7" spans="2:5" outlineLevel="1">
      <c r="B7" s="306"/>
      <c r="C7" s="221" t="s">
        <v>12</v>
      </c>
      <c r="D7" s="304"/>
      <c r="E7" s="307"/>
    </row>
    <row r="8" spans="2:5" ht="45.75" outlineLevel="1" thickBot="1">
      <c r="B8" s="311"/>
      <c r="C8" s="223" t="s">
        <v>13</v>
      </c>
      <c r="D8" s="224" t="s">
        <v>14</v>
      </c>
      <c r="E8" s="225" t="s">
        <v>15</v>
      </c>
    </row>
    <row r="9" spans="2:5" ht="45.75" thickTop="1">
      <c r="B9" s="305" t="s">
        <v>16</v>
      </c>
      <c r="C9" s="35" t="s">
        <v>17</v>
      </c>
      <c r="D9" s="303" t="s">
        <v>6</v>
      </c>
      <c r="E9" s="34" t="s">
        <v>18</v>
      </c>
    </row>
    <row r="10" spans="2:5" ht="30">
      <c r="B10" s="306"/>
      <c r="C10" s="221" t="s">
        <v>19</v>
      </c>
      <c r="D10" s="304"/>
      <c r="E10" s="226" t="s">
        <v>20</v>
      </c>
    </row>
    <row r="11" spans="2:5">
      <c r="B11" s="306"/>
      <c r="C11" s="221" t="s">
        <v>21</v>
      </c>
      <c r="D11" s="308" t="s">
        <v>22</v>
      </c>
      <c r="E11" s="300" t="s">
        <v>23</v>
      </c>
    </row>
    <row r="12" spans="2:5">
      <c r="B12" s="306"/>
      <c r="C12" s="221" t="s">
        <v>24</v>
      </c>
      <c r="D12" s="309"/>
      <c r="E12" s="301"/>
    </row>
    <row r="13" spans="2:5">
      <c r="B13" s="306"/>
      <c r="C13" s="221" t="s">
        <v>25</v>
      </c>
      <c r="D13" s="309"/>
      <c r="E13" s="301"/>
    </row>
    <row r="14" spans="2:5">
      <c r="B14" s="306"/>
      <c r="C14" s="227" t="s">
        <v>26</v>
      </c>
      <c r="D14" s="309"/>
      <c r="E14" s="301"/>
    </row>
    <row r="15" spans="2:5">
      <c r="B15" s="307"/>
      <c r="C15" s="227" t="s">
        <v>27</v>
      </c>
      <c r="D15" s="304"/>
      <c r="E15" s="302"/>
    </row>
  </sheetData>
  <mergeCells count="8">
    <mergeCell ref="E11:E15"/>
    <mergeCell ref="D9:D10"/>
    <mergeCell ref="B9:B15"/>
    <mergeCell ref="D11:D15"/>
    <mergeCell ref="B3:B8"/>
    <mergeCell ref="D5:D7"/>
    <mergeCell ref="E3:E4"/>
    <mergeCell ref="E5:E7"/>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AF5075-927F-4B41-B880-94D076DDC27D}">
  <dimension ref="A1:R26"/>
  <sheetViews>
    <sheetView workbookViewId="0">
      <selection activeCell="E26" sqref="E26"/>
    </sheetView>
  </sheetViews>
  <sheetFormatPr defaultColWidth="9.140625" defaultRowHeight="15"/>
  <cols>
    <col min="1" max="1" width="11.140625" bestFit="1" customWidth="1"/>
    <col min="2" max="2" width="29.5703125" bestFit="1" customWidth="1"/>
    <col min="3" max="3" width="15" bestFit="1" customWidth="1"/>
    <col min="4" max="4" width="26.85546875" customWidth="1"/>
    <col min="5" max="5" width="29.85546875" bestFit="1" customWidth="1"/>
    <col min="6" max="6" width="77.85546875" bestFit="1" customWidth="1"/>
    <col min="7" max="7" width="19.5703125" bestFit="1" customWidth="1"/>
    <col min="8" max="8" width="158.28515625" bestFit="1" customWidth="1"/>
    <col min="9" max="9" width="23.5703125" bestFit="1" customWidth="1"/>
    <col min="10" max="10" width="60.5703125" bestFit="1" customWidth="1"/>
    <col min="11" max="11" width="17.42578125" bestFit="1" customWidth="1"/>
    <col min="13" max="13" width="12.7109375" bestFit="1" customWidth="1"/>
    <col min="14" max="14" width="13" bestFit="1" customWidth="1"/>
    <col min="15" max="15" width="109" bestFit="1" customWidth="1"/>
    <col min="16" max="16" width="57.42578125" bestFit="1" customWidth="1"/>
    <col min="17" max="17" width="13" bestFit="1" customWidth="1"/>
    <col min="18" max="18" width="10.5703125" bestFit="1" customWidth="1"/>
  </cols>
  <sheetData>
    <row r="1" spans="1:18">
      <c r="A1" s="7" t="s">
        <v>28</v>
      </c>
    </row>
    <row r="3" spans="1:18">
      <c r="A3" t="s">
        <v>29</v>
      </c>
      <c r="B3" t="s">
        <v>0</v>
      </c>
      <c r="C3" t="s">
        <v>30</v>
      </c>
      <c r="D3" t="s">
        <v>31</v>
      </c>
      <c r="E3" t="s">
        <v>32</v>
      </c>
      <c r="F3" t="s">
        <v>33</v>
      </c>
      <c r="G3" t="s">
        <v>34</v>
      </c>
      <c r="H3" t="s">
        <v>35</v>
      </c>
      <c r="I3" t="s">
        <v>36</v>
      </c>
      <c r="J3" t="s">
        <v>37</v>
      </c>
      <c r="K3" t="s">
        <v>38</v>
      </c>
      <c r="L3" t="s">
        <v>39</v>
      </c>
      <c r="M3" t="s">
        <v>40</v>
      </c>
      <c r="N3" t="s">
        <v>41</v>
      </c>
      <c r="O3" t="s">
        <v>42</v>
      </c>
      <c r="P3" t="s">
        <v>43</v>
      </c>
      <c r="Q3" t="s">
        <v>44</v>
      </c>
      <c r="R3" t="s">
        <v>45</v>
      </c>
    </row>
    <row r="4" spans="1:18" hidden="1">
      <c r="A4" t="s">
        <v>46</v>
      </c>
      <c r="B4" t="s">
        <v>47</v>
      </c>
      <c r="C4" t="s">
        <v>48</v>
      </c>
      <c r="D4" t="s">
        <v>49</v>
      </c>
      <c r="E4" t="s">
        <v>50</v>
      </c>
      <c r="F4" t="s">
        <v>51</v>
      </c>
      <c r="G4" t="s">
        <v>52</v>
      </c>
      <c r="H4" t="s">
        <v>53</v>
      </c>
      <c r="I4" t="s">
        <v>54</v>
      </c>
      <c r="K4" t="s">
        <v>55</v>
      </c>
      <c r="L4" t="s">
        <v>56</v>
      </c>
      <c r="M4" t="s">
        <v>57</v>
      </c>
      <c r="N4" t="s">
        <v>58</v>
      </c>
      <c r="O4" t="s">
        <v>59</v>
      </c>
      <c r="P4" t="s">
        <v>60</v>
      </c>
    </row>
    <row r="5" spans="1:18" hidden="1">
      <c r="A5" t="s">
        <v>46</v>
      </c>
      <c r="B5" t="s">
        <v>61</v>
      </c>
      <c r="C5" t="s">
        <v>48</v>
      </c>
      <c r="D5" t="s">
        <v>49</v>
      </c>
      <c r="E5" t="s">
        <v>62</v>
      </c>
      <c r="F5" t="s">
        <v>63</v>
      </c>
      <c r="G5" t="s">
        <v>52</v>
      </c>
      <c r="H5" t="s">
        <v>64</v>
      </c>
      <c r="I5" t="s">
        <v>54</v>
      </c>
      <c r="K5" t="s">
        <v>55</v>
      </c>
      <c r="M5" t="s">
        <v>57</v>
      </c>
      <c r="N5" t="s">
        <v>58</v>
      </c>
    </row>
    <row r="6" spans="1:18" hidden="1">
      <c r="A6" t="s">
        <v>46</v>
      </c>
      <c r="B6" t="s">
        <v>61</v>
      </c>
      <c r="C6" t="s">
        <v>48</v>
      </c>
      <c r="D6" t="s">
        <v>49</v>
      </c>
      <c r="E6" t="s">
        <v>65</v>
      </c>
      <c r="F6" t="s">
        <v>66</v>
      </c>
      <c r="G6" t="s">
        <v>52</v>
      </c>
      <c r="H6" t="s">
        <v>64</v>
      </c>
      <c r="I6" t="s">
        <v>54</v>
      </c>
      <c r="K6" t="s">
        <v>55</v>
      </c>
      <c r="M6" t="s">
        <v>57</v>
      </c>
      <c r="N6" t="s">
        <v>58</v>
      </c>
    </row>
    <row r="7" spans="1:18" hidden="1">
      <c r="A7" t="s">
        <v>67</v>
      </c>
      <c r="B7" t="s">
        <v>68</v>
      </c>
      <c r="C7" t="s">
        <v>48</v>
      </c>
      <c r="D7" t="s">
        <v>49</v>
      </c>
      <c r="E7" t="s">
        <v>69</v>
      </c>
      <c r="F7" t="s">
        <v>70</v>
      </c>
      <c r="G7" t="s">
        <v>71</v>
      </c>
      <c r="H7" t="s">
        <v>72</v>
      </c>
      <c r="K7" t="s">
        <v>55</v>
      </c>
      <c r="L7" t="s">
        <v>73</v>
      </c>
      <c r="M7" t="s">
        <v>74</v>
      </c>
      <c r="N7" t="s">
        <v>75</v>
      </c>
    </row>
    <row r="8" spans="1:18" hidden="1">
      <c r="A8" t="s">
        <v>46</v>
      </c>
      <c r="B8" t="s">
        <v>61</v>
      </c>
      <c r="C8" t="s">
        <v>48</v>
      </c>
      <c r="D8" t="s">
        <v>49</v>
      </c>
      <c r="E8" t="s">
        <v>76</v>
      </c>
      <c r="F8" t="s">
        <v>66</v>
      </c>
      <c r="G8" t="s">
        <v>52</v>
      </c>
      <c r="H8" t="s">
        <v>64</v>
      </c>
      <c r="I8" t="s">
        <v>54</v>
      </c>
      <c r="J8" t="s">
        <v>77</v>
      </c>
      <c r="K8" t="s">
        <v>55</v>
      </c>
      <c r="M8" t="s">
        <v>57</v>
      </c>
      <c r="N8" t="s">
        <v>4</v>
      </c>
    </row>
    <row r="9" spans="1:18" hidden="1">
      <c r="A9" t="s">
        <v>46</v>
      </c>
      <c r="B9" t="s">
        <v>61</v>
      </c>
      <c r="C9" t="s">
        <v>48</v>
      </c>
      <c r="D9" t="s">
        <v>49</v>
      </c>
      <c r="E9" t="s">
        <v>78</v>
      </c>
      <c r="F9" t="s">
        <v>66</v>
      </c>
      <c r="G9" t="s">
        <v>52</v>
      </c>
      <c r="H9" t="s">
        <v>64</v>
      </c>
      <c r="I9" t="s">
        <v>54</v>
      </c>
      <c r="J9" t="s">
        <v>79</v>
      </c>
      <c r="K9" t="s">
        <v>55</v>
      </c>
      <c r="M9" t="s">
        <v>57</v>
      </c>
      <c r="N9" t="s">
        <v>4</v>
      </c>
    </row>
    <row r="10" spans="1:18" hidden="1">
      <c r="A10" t="s">
        <v>80</v>
      </c>
      <c r="B10" t="s">
        <v>68</v>
      </c>
      <c r="C10" t="s">
        <v>48</v>
      </c>
      <c r="D10" t="s">
        <v>49</v>
      </c>
      <c r="E10" t="s">
        <v>81</v>
      </c>
      <c r="F10" t="s">
        <v>82</v>
      </c>
      <c r="G10" t="s">
        <v>52</v>
      </c>
      <c r="H10" t="s">
        <v>53</v>
      </c>
      <c r="I10" t="s">
        <v>83</v>
      </c>
      <c r="J10" t="s">
        <v>84</v>
      </c>
      <c r="K10" t="s">
        <v>55</v>
      </c>
      <c r="L10" t="s">
        <v>73</v>
      </c>
      <c r="M10" t="s">
        <v>57</v>
      </c>
      <c r="N10" t="s">
        <v>75</v>
      </c>
      <c r="O10" t="s">
        <v>85</v>
      </c>
    </row>
    <row r="11" spans="1:18" hidden="1">
      <c r="A11" t="s">
        <v>80</v>
      </c>
      <c r="B11" t="s">
        <v>68</v>
      </c>
      <c r="C11" t="s">
        <v>48</v>
      </c>
      <c r="D11" t="s">
        <v>49</v>
      </c>
      <c r="E11" t="s">
        <v>86</v>
      </c>
      <c r="F11" t="s">
        <v>87</v>
      </c>
      <c r="G11" t="s">
        <v>52</v>
      </c>
      <c r="H11" t="s">
        <v>88</v>
      </c>
      <c r="I11" t="s">
        <v>83</v>
      </c>
      <c r="J11" t="s">
        <v>89</v>
      </c>
      <c r="K11" t="s">
        <v>55</v>
      </c>
      <c r="L11" t="s">
        <v>73</v>
      </c>
      <c r="M11" t="s">
        <v>57</v>
      </c>
      <c r="N11" t="s">
        <v>58</v>
      </c>
      <c r="O11" t="s">
        <v>90</v>
      </c>
      <c r="P11" t="s">
        <v>91</v>
      </c>
    </row>
    <row r="12" spans="1:18" hidden="1">
      <c r="A12" t="s">
        <v>92</v>
      </c>
      <c r="B12" t="s">
        <v>93</v>
      </c>
      <c r="C12" t="s">
        <v>94</v>
      </c>
      <c r="D12" t="s">
        <v>49</v>
      </c>
      <c r="E12" t="s">
        <v>95</v>
      </c>
      <c r="F12" t="s">
        <v>96</v>
      </c>
      <c r="G12" t="s">
        <v>2</v>
      </c>
      <c r="H12" t="s">
        <v>97</v>
      </c>
      <c r="I12" t="s">
        <v>72</v>
      </c>
      <c r="K12" t="s">
        <v>55</v>
      </c>
      <c r="L12" t="s">
        <v>73</v>
      </c>
      <c r="M12" t="s">
        <v>98</v>
      </c>
      <c r="N12" t="s">
        <v>99</v>
      </c>
    </row>
    <row r="13" spans="1:18" hidden="1">
      <c r="A13" t="s">
        <v>80</v>
      </c>
      <c r="B13" t="s">
        <v>68</v>
      </c>
      <c r="C13" t="s">
        <v>48</v>
      </c>
      <c r="D13" t="s">
        <v>49</v>
      </c>
      <c r="E13" t="s">
        <v>100</v>
      </c>
      <c r="F13" t="s">
        <v>101</v>
      </c>
      <c r="G13" t="s">
        <v>102</v>
      </c>
      <c r="H13" t="s">
        <v>102</v>
      </c>
      <c r="J13" t="s">
        <v>103</v>
      </c>
      <c r="K13" t="s">
        <v>55</v>
      </c>
      <c r="L13" t="s">
        <v>73</v>
      </c>
      <c r="M13" t="s">
        <v>74</v>
      </c>
      <c r="N13" t="s">
        <v>58</v>
      </c>
    </row>
    <row r="14" spans="1:18" hidden="1">
      <c r="A14" t="s">
        <v>80</v>
      </c>
      <c r="B14" t="s">
        <v>68</v>
      </c>
      <c r="C14" t="s">
        <v>48</v>
      </c>
      <c r="D14" t="s">
        <v>49</v>
      </c>
      <c r="E14" t="s">
        <v>104</v>
      </c>
      <c r="F14" t="s">
        <v>105</v>
      </c>
      <c r="G14" t="s">
        <v>102</v>
      </c>
      <c r="H14" t="s">
        <v>102</v>
      </c>
      <c r="J14" t="s">
        <v>103</v>
      </c>
      <c r="K14" t="s">
        <v>55</v>
      </c>
      <c r="L14" t="s">
        <v>73</v>
      </c>
      <c r="M14" t="s">
        <v>74</v>
      </c>
      <c r="N14" t="s">
        <v>58</v>
      </c>
    </row>
    <row r="15" spans="1:18" hidden="1">
      <c r="A15" t="s">
        <v>80</v>
      </c>
      <c r="B15" t="s">
        <v>68</v>
      </c>
      <c r="C15" t="s">
        <v>48</v>
      </c>
      <c r="D15" t="s">
        <v>49</v>
      </c>
      <c r="E15" t="s">
        <v>106</v>
      </c>
      <c r="F15" t="s">
        <v>107</v>
      </c>
      <c r="G15" t="s">
        <v>52</v>
      </c>
      <c r="H15" t="s">
        <v>88</v>
      </c>
      <c r="I15" t="s">
        <v>83</v>
      </c>
      <c r="K15" t="s">
        <v>55</v>
      </c>
      <c r="L15" t="s">
        <v>73</v>
      </c>
      <c r="M15" t="s">
        <v>57</v>
      </c>
      <c r="N15" t="s">
        <v>58</v>
      </c>
      <c r="O15" t="s">
        <v>90</v>
      </c>
    </row>
    <row r="16" spans="1:18" hidden="1">
      <c r="A16" t="s">
        <v>80</v>
      </c>
      <c r="B16" t="s">
        <v>68</v>
      </c>
      <c r="C16" t="s">
        <v>48</v>
      </c>
      <c r="D16" t="s">
        <v>49</v>
      </c>
      <c r="E16" t="s">
        <v>108</v>
      </c>
      <c r="F16" t="s">
        <v>109</v>
      </c>
      <c r="G16" t="s">
        <v>2</v>
      </c>
      <c r="H16" t="s">
        <v>97</v>
      </c>
      <c r="I16" t="s">
        <v>54</v>
      </c>
      <c r="J16" t="s">
        <v>110</v>
      </c>
      <c r="K16" t="s">
        <v>55</v>
      </c>
      <c r="L16" t="s">
        <v>73</v>
      </c>
      <c r="M16" t="s">
        <v>57</v>
      </c>
      <c r="N16" t="s">
        <v>58</v>
      </c>
    </row>
    <row r="17" spans="1:16" hidden="1">
      <c r="A17" t="s">
        <v>46</v>
      </c>
      <c r="B17" t="s">
        <v>61</v>
      </c>
      <c r="C17" t="s">
        <v>48</v>
      </c>
      <c r="D17" t="s">
        <v>49</v>
      </c>
      <c r="E17" t="s">
        <v>111</v>
      </c>
      <c r="F17" t="s">
        <v>66</v>
      </c>
      <c r="G17" t="s">
        <v>52</v>
      </c>
      <c r="H17" t="s">
        <v>112</v>
      </c>
      <c r="I17" t="s">
        <v>54</v>
      </c>
      <c r="J17" t="s">
        <v>113</v>
      </c>
      <c r="K17" t="s">
        <v>55</v>
      </c>
      <c r="M17" t="s">
        <v>57</v>
      </c>
      <c r="N17" t="s">
        <v>4</v>
      </c>
    </row>
    <row r="18" spans="1:16" hidden="1">
      <c r="A18" t="s">
        <v>46</v>
      </c>
      <c r="B18" t="s">
        <v>61</v>
      </c>
      <c r="C18" t="s">
        <v>48</v>
      </c>
      <c r="D18" t="s">
        <v>49</v>
      </c>
      <c r="E18" t="s">
        <v>114</v>
      </c>
      <c r="F18" t="s">
        <v>115</v>
      </c>
      <c r="G18" t="s">
        <v>52</v>
      </c>
      <c r="H18" t="s">
        <v>64</v>
      </c>
      <c r="I18" t="s">
        <v>54</v>
      </c>
      <c r="K18" t="s">
        <v>55</v>
      </c>
      <c r="M18" t="s">
        <v>57</v>
      </c>
      <c r="N18" t="s">
        <v>58</v>
      </c>
    </row>
    <row r="19" spans="1:16" hidden="1">
      <c r="A19" t="s">
        <v>46</v>
      </c>
      <c r="B19" t="s">
        <v>61</v>
      </c>
      <c r="C19" t="s">
        <v>48</v>
      </c>
      <c r="D19" t="s">
        <v>49</v>
      </c>
      <c r="E19" t="s">
        <v>116</v>
      </c>
      <c r="F19" t="s">
        <v>66</v>
      </c>
      <c r="G19" t="s">
        <v>52</v>
      </c>
      <c r="H19" t="s">
        <v>112</v>
      </c>
      <c r="I19" t="s">
        <v>54</v>
      </c>
      <c r="K19" t="s">
        <v>55</v>
      </c>
      <c r="M19" t="s">
        <v>57</v>
      </c>
      <c r="N19" t="s">
        <v>58</v>
      </c>
    </row>
    <row r="20" spans="1:16" hidden="1">
      <c r="A20" t="s">
        <v>46</v>
      </c>
      <c r="B20" t="s">
        <v>61</v>
      </c>
      <c r="C20" t="s">
        <v>48</v>
      </c>
      <c r="D20" t="s">
        <v>49</v>
      </c>
      <c r="E20" t="s">
        <v>117</v>
      </c>
      <c r="F20" t="s">
        <v>63</v>
      </c>
      <c r="G20" t="s">
        <v>52</v>
      </c>
      <c r="H20" t="s">
        <v>64</v>
      </c>
      <c r="I20" t="s">
        <v>54</v>
      </c>
      <c r="K20" t="s">
        <v>55</v>
      </c>
      <c r="M20" t="s">
        <v>57</v>
      </c>
      <c r="N20" t="s">
        <v>58</v>
      </c>
    </row>
    <row r="21" spans="1:16" hidden="1">
      <c r="A21" t="s">
        <v>46</v>
      </c>
      <c r="B21" t="s">
        <v>61</v>
      </c>
      <c r="C21" t="s">
        <v>48</v>
      </c>
      <c r="D21" t="s">
        <v>49</v>
      </c>
      <c r="E21" t="s">
        <v>118</v>
      </c>
      <c r="F21" t="s">
        <v>66</v>
      </c>
      <c r="G21" t="s">
        <v>52</v>
      </c>
      <c r="H21" t="s">
        <v>119</v>
      </c>
      <c r="I21" t="s">
        <v>54</v>
      </c>
      <c r="K21" t="s">
        <v>55</v>
      </c>
      <c r="M21" t="s">
        <v>57</v>
      </c>
      <c r="N21" t="s">
        <v>58</v>
      </c>
    </row>
    <row r="22" spans="1:16" hidden="1">
      <c r="A22" t="s">
        <v>67</v>
      </c>
      <c r="B22" t="s">
        <v>68</v>
      </c>
      <c r="C22" t="s">
        <v>48</v>
      </c>
      <c r="D22" t="s">
        <v>49</v>
      </c>
      <c r="E22" t="s">
        <v>120</v>
      </c>
      <c r="F22" t="s">
        <v>121</v>
      </c>
      <c r="G22" t="s">
        <v>71</v>
      </c>
      <c r="H22" t="s">
        <v>72</v>
      </c>
      <c r="K22" t="s">
        <v>55</v>
      </c>
      <c r="L22" t="s">
        <v>73</v>
      </c>
      <c r="M22" t="s">
        <v>74</v>
      </c>
      <c r="N22" t="s">
        <v>75</v>
      </c>
      <c r="O22" t="s">
        <v>122</v>
      </c>
    </row>
    <row r="23" spans="1:16" hidden="1">
      <c r="A23" t="s">
        <v>46</v>
      </c>
      <c r="B23" t="s">
        <v>16</v>
      </c>
      <c r="C23" t="s">
        <v>123</v>
      </c>
      <c r="D23" t="s">
        <v>49</v>
      </c>
      <c r="E23" t="s">
        <v>124</v>
      </c>
      <c r="F23" t="s">
        <v>125</v>
      </c>
      <c r="G23" t="s">
        <v>126</v>
      </c>
      <c r="I23" t="s">
        <v>83</v>
      </c>
      <c r="J23" t="s">
        <v>127</v>
      </c>
      <c r="K23" t="s">
        <v>55</v>
      </c>
      <c r="M23" t="s">
        <v>57</v>
      </c>
      <c r="N23" t="s">
        <v>16</v>
      </c>
    </row>
    <row r="24" spans="1:16" hidden="1">
      <c r="A24" t="s">
        <v>46</v>
      </c>
      <c r="B24" t="s">
        <v>61</v>
      </c>
      <c r="C24" t="s">
        <v>48</v>
      </c>
      <c r="D24" t="s">
        <v>49</v>
      </c>
      <c r="E24" t="s">
        <v>128</v>
      </c>
      <c r="F24" t="s">
        <v>129</v>
      </c>
      <c r="G24" t="s">
        <v>52</v>
      </c>
      <c r="H24" t="s">
        <v>64</v>
      </c>
      <c r="I24" t="s">
        <v>54</v>
      </c>
      <c r="K24" t="s">
        <v>55</v>
      </c>
      <c r="M24" t="s">
        <v>57</v>
      </c>
      <c r="N24" t="s">
        <v>58</v>
      </c>
    </row>
    <row r="25" spans="1:16" hidden="1">
      <c r="A25" t="s">
        <v>67</v>
      </c>
      <c r="B25" t="s">
        <v>68</v>
      </c>
      <c r="C25" t="s">
        <v>48</v>
      </c>
      <c r="D25" t="s">
        <v>49</v>
      </c>
      <c r="E25" t="s">
        <v>130</v>
      </c>
      <c r="F25" t="s">
        <v>131</v>
      </c>
      <c r="G25" t="s">
        <v>71</v>
      </c>
      <c r="H25" t="s">
        <v>72</v>
      </c>
      <c r="K25" t="s">
        <v>55</v>
      </c>
      <c r="L25" t="s">
        <v>73</v>
      </c>
      <c r="M25" t="s">
        <v>74</v>
      </c>
      <c r="N25" t="s">
        <v>75</v>
      </c>
      <c r="O25" t="s">
        <v>132</v>
      </c>
    </row>
    <row r="26" spans="1:16">
      <c r="A26" t="s">
        <v>80</v>
      </c>
      <c r="B26" t="s">
        <v>133</v>
      </c>
      <c r="C26" t="s">
        <v>134</v>
      </c>
      <c r="D26" t="s">
        <v>49</v>
      </c>
      <c r="E26" t="s">
        <v>135</v>
      </c>
      <c r="F26" t="s">
        <v>136</v>
      </c>
      <c r="G26" t="s">
        <v>52</v>
      </c>
      <c r="H26" t="s">
        <v>53</v>
      </c>
      <c r="I26" t="s">
        <v>83</v>
      </c>
      <c r="J26" t="s">
        <v>137</v>
      </c>
      <c r="K26" t="s">
        <v>55</v>
      </c>
      <c r="M26" t="s">
        <v>57</v>
      </c>
      <c r="N26" t="s">
        <v>58</v>
      </c>
      <c r="O26" t="s">
        <v>85</v>
      </c>
      <c r="P26" t="s">
        <v>138</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Q25"/>
  <sheetViews>
    <sheetView showGridLines="0" topLeftCell="B1" workbookViewId="0">
      <pane ySplit="1" topLeftCell="A2" activePane="bottomLeft" state="frozen"/>
      <selection pane="bottomLeft" activeCell="G15" sqref="G15"/>
    </sheetView>
  </sheetViews>
  <sheetFormatPr defaultColWidth="11.42578125" defaultRowHeight="15"/>
  <cols>
    <col min="1" max="1" width="17.85546875" bestFit="1" customWidth="1"/>
    <col min="2" max="2" width="17.85546875" customWidth="1"/>
    <col min="3" max="3" width="26.28515625" bestFit="1" customWidth="1"/>
    <col min="9" max="9" width="23.140625" bestFit="1" customWidth="1"/>
    <col min="10" max="10" width="10.28515625" bestFit="1" customWidth="1"/>
    <col min="11" max="11" width="7" bestFit="1" customWidth="1"/>
    <col min="12" max="12" width="13.28515625" bestFit="1" customWidth="1"/>
    <col min="13" max="13" width="9" bestFit="1" customWidth="1"/>
    <col min="14" max="14" width="8.140625" bestFit="1" customWidth="1"/>
    <col min="15" max="16" width="5.85546875" bestFit="1" customWidth="1"/>
    <col min="17" max="17" width="10.28515625" customWidth="1"/>
  </cols>
  <sheetData>
    <row r="1" spans="1:17" s="7" customFormat="1">
      <c r="A1" s="7" t="s">
        <v>139</v>
      </c>
      <c r="B1" s="7" t="s">
        <v>140</v>
      </c>
      <c r="C1" s="7" t="s">
        <v>141</v>
      </c>
      <c r="D1" s="7" t="s">
        <v>142</v>
      </c>
      <c r="E1" s="7" t="s">
        <v>143</v>
      </c>
      <c r="I1"/>
      <c r="J1"/>
      <c r="K1"/>
      <c r="L1"/>
      <c r="M1"/>
      <c r="N1"/>
      <c r="O1"/>
      <c r="P1"/>
      <c r="Q1"/>
    </row>
    <row r="2" spans="1:17">
      <c r="A2" t="s">
        <v>144</v>
      </c>
      <c r="B2">
        <v>1</v>
      </c>
      <c r="C2" t="s">
        <v>145</v>
      </c>
      <c r="D2" t="s">
        <v>6</v>
      </c>
      <c r="E2" t="s">
        <v>67</v>
      </c>
      <c r="F2" t="s">
        <v>144</v>
      </c>
      <c r="G2" t="s">
        <v>146</v>
      </c>
    </row>
    <row r="3" spans="1:17">
      <c r="A3" t="s">
        <v>147</v>
      </c>
      <c r="B3">
        <v>4</v>
      </c>
      <c r="C3" t="s">
        <v>145</v>
      </c>
      <c r="D3" t="s">
        <v>6</v>
      </c>
      <c r="E3" t="s">
        <v>67</v>
      </c>
      <c r="F3" t="s">
        <v>148</v>
      </c>
      <c r="I3" s="6" t="s">
        <v>149</v>
      </c>
      <c r="J3" s="6" t="s">
        <v>150</v>
      </c>
    </row>
    <row r="4" spans="1:17" ht="12.75" customHeight="1">
      <c r="A4" t="s">
        <v>151</v>
      </c>
      <c r="B4">
        <v>3</v>
      </c>
      <c r="C4" t="s">
        <v>145</v>
      </c>
      <c r="D4" t="s">
        <v>6</v>
      </c>
      <c r="E4" t="s">
        <v>67</v>
      </c>
      <c r="I4" s="6" t="s">
        <v>0</v>
      </c>
      <c r="J4" t="s">
        <v>152</v>
      </c>
      <c r="K4" t="s">
        <v>6</v>
      </c>
      <c r="L4" t="s">
        <v>153</v>
      </c>
      <c r="M4" t="s">
        <v>154</v>
      </c>
      <c r="N4" t="s">
        <v>155</v>
      </c>
      <c r="O4" t="s">
        <v>156</v>
      </c>
    </row>
    <row r="5" spans="1:17">
      <c r="A5" t="s">
        <v>157</v>
      </c>
      <c r="B5">
        <v>10</v>
      </c>
      <c r="C5" t="s">
        <v>145</v>
      </c>
      <c r="D5" t="s">
        <v>6</v>
      </c>
      <c r="E5" t="s">
        <v>67</v>
      </c>
      <c r="I5" s="1" t="s">
        <v>16</v>
      </c>
      <c r="J5" s="8"/>
      <c r="K5" s="8">
        <v>1</v>
      </c>
      <c r="L5" s="8"/>
      <c r="M5" s="8"/>
      <c r="N5" s="8"/>
      <c r="O5" s="8">
        <v>1</v>
      </c>
    </row>
    <row r="6" spans="1:17">
      <c r="A6" t="s">
        <v>158</v>
      </c>
      <c r="B6">
        <v>7</v>
      </c>
      <c r="C6" t="s">
        <v>145</v>
      </c>
      <c r="D6" t="s">
        <v>6</v>
      </c>
      <c r="E6" t="s">
        <v>67</v>
      </c>
      <c r="F6" t="s">
        <v>159</v>
      </c>
      <c r="I6" s="1" t="s">
        <v>160</v>
      </c>
      <c r="J6" s="8">
        <v>1</v>
      </c>
      <c r="K6" s="8"/>
      <c r="L6" s="8"/>
      <c r="M6" s="8"/>
      <c r="N6" s="8"/>
      <c r="O6" s="8">
        <v>1</v>
      </c>
    </row>
    <row r="7" spans="1:17">
      <c r="A7" t="s">
        <v>161</v>
      </c>
      <c r="B7">
        <v>8</v>
      </c>
      <c r="C7" t="s">
        <v>145</v>
      </c>
      <c r="D7" t="s">
        <v>6</v>
      </c>
      <c r="E7" t="s">
        <v>67</v>
      </c>
      <c r="I7" s="1" t="s">
        <v>162</v>
      </c>
      <c r="J7" s="8"/>
      <c r="K7" s="8"/>
      <c r="L7" s="8">
        <v>3</v>
      </c>
      <c r="M7" s="8"/>
      <c r="N7" s="8"/>
      <c r="O7" s="8">
        <v>3</v>
      </c>
    </row>
    <row r="8" spans="1:17">
      <c r="A8" t="s">
        <v>163</v>
      </c>
      <c r="B8">
        <v>2</v>
      </c>
      <c r="C8" t="s">
        <v>145</v>
      </c>
      <c r="D8" t="s">
        <v>6</v>
      </c>
      <c r="E8" t="s">
        <v>67</v>
      </c>
      <c r="I8" s="1" t="s">
        <v>4</v>
      </c>
      <c r="J8" s="8">
        <v>2</v>
      </c>
      <c r="K8" s="8">
        <v>2</v>
      </c>
      <c r="L8" s="8"/>
      <c r="M8" s="8">
        <v>1</v>
      </c>
      <c r="N8" s="8"/>
      <c r="O8" s="8">
        <v>5</v>
      </c>
    </row>
    <row r="9" spans="1:17">
      <c r="A9" t="s">
        <v>164</v>
      </c>
      <c r="B9">
        <v>4</v>
      </c>
      <c r="C9" t="s">
        <v>145</v>
      </c>
      <c r="D9" t="s">
        <v>6</v>
      </c>
      <c r="E9" t="s">
        <v>92</v>
      </c>
      <c r="I9" s="1" t="s">
        <v>145</v>
      </c>
      <c r="J9" s="8"/>
      <c r="K9" s="8">
        <v>9</v>
      </c>
      <c r="L9" s="8"/>
      <c r="M9" s="8"/>
      <c r="N9" s="8">
        <v>1</v>
      </c>
      <c r="O9" s="8">
        <v>10</v>
      </c>
    </row>
    <row r="10" spans="1:17">
      <c r="A10" t="s">
        <v>165</v>
      </c>
      <c r="B10">
        <v>1</v>
      </c>
      <c r="C10" t="s">
        <v>145</v>
      </c>
      <c r="D10" t="s">
        <v>6</v>
      </c>
      <c r="E10" t="s">
        <v>92</v>
      </c>
      <c r="I10" s="1" t="s">
        <v>156</v>
      </c>
      <c r="J10" s="8">
        <v>3</v>
      </c>
      <c r="K10" s="8">
        <v>12</v>
      </c>
      <c r="L10" s="8">
        <v>3</v>
      </c>
      <c r="M10" s="8">
        <v>1</v>
      </c>
      <c r="N10" s="8">
        <v>1</v>
      </c>
      <c r="O10" s="8">
        <v>20</v>
      </c>
    </row>
    <row r="11" spans="1:17">
      <c r="A11" t="s">
        <v>166</v>
      </c>
      <c r="B11">
        <v>3</v>
      </c>
      <c r="C11" t="s">
        <v>162</v>
      </c>
      <c r="D11" t="s">
        <v>153</v>
      </c>
      <c r="E11" t="s">
        <v>92</v>
      </c>
    </row>
    <row r="12" spans="1:17">
      <c r="A12" t="s">
        <v>167</v>
      </c>
      <c r="B12">
        <v>5</v>
      </c>
      <c r="C12" t="s">
        <v>160</v>
      </c>
      <c r="D12" t="s">
        <v>152</v>
      </c>
      <c r="E12" t="s">
        <v>92</v>
      </c>
      <c r="I12" s="6" t="s">
        <v>140</v>
      </c>
      <c r="J12" s="6" t="s">
        <v>150</v>
      </c>
    </row>
    <row r="13" spans="1:17" ht="16.5" customHeight="1">
      <c r="A13" t="s">
        <v>168</v>
      </c>
      <c r="B13">
        <v>2</v>
      </c>
      <c r="C13" t="s">
        <v>16</v>
      </c>
      <c r="D13" t="s">
        <v>6</v>
      </c>
      <c r="E13" t="s">
        <v>92</v>
      </c>
      <c r="I13" s="6" t="s">
        <v>0</v>
      </c>
      <c r="J13" t="s">
        <v>152</v>
      </c>
      <c r="K13" t="s">
        <v>6</v>
      </c>
      <c r="L13" t="s">
        <v>153</v>
      </c>
      <c r="M13" t="s">
        <v>154</v>
      </c>
      <c r="N13" t="s">
        <v>155</v>
      </c>
      <c r="O13" t="s">
        <v>156</v>
      </c>
    </row>
    <row r="14" spans="1:17">
      <c r="A14" t="s">
        <v>169</v>
      </c>
      <c r="B14">
        <v>1</v>
      </c>
      <c r="C14" t="s">
        <v>162</v>
      </c>
      <c r="D14" t="s">
        <v>153</v>
      </c>
      <c r="E14" t="s">
        <v>92</v>
      </c>
      <c r="I14" s="1" t="s">
        <v>16</v>
      </c>
      <c r="J14" s="8"/>
      <c r="K14" s="8">
        <v>2</v>
      </c>
      <c r="L14" s="8"/>
      <c r="M14" s="8"/>
      <c r="N14" s="8"/>
      <c r="O14" s="8">
        <v>2</v>
      </c>
    </row>
    <row r="15" spans="1:17">
      <c r="A15" t="s">
        <v>170</v>
      </c>
      <c r="B15">
        <v>1</v>
      </c>
      <c r="C15" t="s">
        <v>4</v>
      </c>
      <c r="D15" t="s">
        <v>6</v>
      </c>
      <c r="E15" t="s">
        <v>92</v>
      </c>
      <c r="I15" s="1" t="s">
        <v>160</v>
      </c>
      <c r="J15" s="8">
        <v>5</v>
      </c>
      <c r="K15" s="8"/>
      <c r="L15" s="8"/>
      <c r="M15" s="8"/>
      <c r="N15" s="8"/>
      <c r="O15" s="8">
        <v>5</v>
      </c>
    </row>
    <row r="16" spans="1:17">
      <c r="A16" t="s">
        <v>171</v>
      </c>
      <c r="B16">
        <v>6</v>
      </c>
      <c r="C16" t="s">
        <v>4</v>
      </c>
      <c r="D16" t="s">
        <v>6</v>
      </c>
      <c r="E16" t="s">
        <v>92</v>
      </c>
      <c r="I16" s="1" t="s">
        <v>162</v>
      </c>
      <c r="J16" s="8"/>
      <c r="K16" s="8"/>
      <c r="L16" s="8">
        <v>5</v>
      </c>
      <c r="M16" s="8"/>
      <c r="N16" s="8"/>
      <c r="O16" s="8">
        <v>5</v>
      </c>
    </row>
    <row r="17" spans="1:17">
      <c r="A17" t="s">
        <v>172</v>
      </c>
      <c r="B17">
        <v>1</v>
      </c>
      <c r="C17" t="s">
        <v>4</v>
      </c>
      <c r="D17" t="s">
        <v>6</v>
      </c>
      <c r="E17" t="s">
        <v>92</v>
      </c>
      <c r="I17" s="1" t="s">
        <v>4</v>
      </c>
      <c r="J17" s="8">
        <v>7</v>
      </c>
      <c r="K17" s="8">
        <v>2</v>
      </c>
      <c r="L17" s="8"/>
      <c r="M17" s="8">
        <v>11</v>
      </c>
      <c r="N17" s="8"/>
      <c r="O17" s="8">
        <v>20</v>
      </c>
    </row>
    <row r="18" spans="1:17">
      <c r="A18" t="s">
        <v>173</v>
      </c>
      <c r="B18">
        <v>11</v>
      </c>
      <c r="C18" t="s">
        <v>4</v>
      </c>
      <c r="D18" t="s">
        <v>154</v>
      </c>
      <c r="E18" t="s">
        <v>92</v>
      </c>
      <c r="I18" s="1" t="s">
        <v>145</v>
      </c>
      <c r="J18" s="8"/>
      <c r="K18" s="8">
        <v>40</v>
      </c>
      <c r="L18" s="8"/>
      <c r="M18" s="8"/>
      <c r="N18" s="8">
        <v>2</v>
      </c>
      <c r="O18" s="8">
        <v>42</v>
      </c>
    </row>
    <row r="19" spans="1:17">
      <c r="A19" t="s">
        <v>174</v>
      </c>
      <c r="B19">
        <v>1</v>
      </c>
      <c r="C19" t="s">
        <v>4</v>
      </c>
      <c r="D19" t="s">
        <v>6</v>
      </c>
      <c r="E19" t="s">
        <v>92</v>
      </c>
      <c r="I19" s="1" t="s">
        <v>156</v>
      </c>
      <c r="J19" s="8">
        <v>12</v>
      </c>
      <c r="K19" s="8">
        <v>44</v>
      </c>
      <c r="L19" s="8">
        <v>5</v>
      </c>
      <c r="M19" s="8">
        <v>11</v>
      </c>
      <c r="N19" s="8">
        <v>2</v>
      </c>
      <c r="O19" s="8">
        <v>74</v>
      </c>
    </row>
    <row r="20" spans="1:17">
      <c r="A20" t="s">
        <v>175</v>
      </c>
      <c r="B20">
        <v>1</v>
      </c>
      <c r="C20" t="s">
        <v>162</v>
      </c>
      <c r="D20" t="s">
        <v>153</v>
      </c>
      <c r="E20" t="s">
        <v>92</v>
      </c>
    </row>
    <row r="21" spans="1:17">
      <c r="A21" t="s">
        <v>176</v>
      </c>
      <c r="B21">
        <v>2</v>
      </c>
      <c r="C21" t="s">
        <v>145</v>
      </c>
      <c r="D21" t="s">
        <v>155</v>
      </c>
      <c r="E21" t="s">
        <v>92</v>
      </c>
      <c r="O21" s="8">
        <v>27</v>
      </c>
    </row>
    <row r="22" spans="1:17">
      <c r="O22">
        <f>+O21+GETPIVOTDATA("REPORTES2",$I$12)</f>
        <v>101</v>
      </c>
    </row>
    <row r="23" spans="1:17">
      <c r="O23" s="8">
        <v>3</v>
      </c>
    </row>
    <row r="24" spans="1:17">
      <c r="M24">
        <f>20*12</f>
        <v>240</v>
      </c>
      <c r="O24">
        <f>O22*O23</f>
        <v>303</v>
      </c>
      <c r="P24">
        <f>O24/2</f>
        <v>151.5</v>
      </c>
      <c r="Q24">
        <f>O24/4</f>
        <v>75.75</v>
      </c>
    </row>
    <row r="25" spans="1:17">
      <c r="O25">
        <f>O24-M24</f>
        <v>63</v>
      </c>
    </row>
  </sheetData>
  <autoFilter ref="A1:E21" xr:uid="{00000000-0009-0000-0000-000003000000}"/>
  <pageMargins left="0.7" right="0.7" top="0.75" bottom="0.75" header="0.3" footer="0.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DD55CE-14C6-46BB-BE3B-90A15C8A2E48}">
  <dimension ref="A1:R26"/>
  <sheetViews>
    <sheetView topLeftCell="D1" workbookViewId="0">
      <selection activeCell="H26" sqref="H26"/>
    </sheetView>
  </sheetViews>
  <sheetFormatPr defaultColWidth="9.140625" defaultRowHeight="15"/>
  <cols>
    <col min="1" max="1" width="11.140625" bestFit="1" customWidth="1"/>
    <col min="2" max="2" width="29.5703125" bestFit="1" customWidth="1"/>
    <col min="3" max="3" width="15" bestFit="1" customWidth="1"/>
    <col min="4" max="4" width="16.28515625" bestFit="1" customWidth="1"/>
    <col min="5" max="5" width="29.85546875" bestFit="1" customWidth="1"/>
    <col min="6" max="6" width="65.7109375" customWidth="1"/>
    <col min="7" max="7" width="18.5703125" customWidth="1"/>
    <col min="8" max="8" width="158.28515625" bestFit="1" customWidth="1"/>
    <col min="9" max="9" width="23.5703125" bestFit="1" customWidth="1"/>
    <col min="10" max="10" width="60.5703125" bestFit="1" customWidth="1"/>
    <col min="11" max="11" width="17.42578125" bestFit="1" customWidth="1"/>
    <col min="13" max="13" width="12.7109375" bestFit="1" customWidth="1"/>
    <col min="14" max="14" width="13" bestFit="1" customWidth="1"/>
    <col min="15" max="15" width="109" bestFit="1" customWidth="1"/>
    <col min="16" max="16" width="57.42578125" bestFit="1" customWidth="1"/>
    <col min="17" max="17" width="13" bestFit="1" customWidth="1"/>
    <col min="18" max="18" width="10.5703125" bestFit="1" customWidth="1"/>
  </cols>
  <sheetData>
    <row r="1" spans="1:18">
      <c r="A1" s="7" t="s">
        <v>28</v>
      </c>
    </row>
    <row r="3" spans="1:18">
      <c r="A3" t="s">
        <v>29</v>
      </c>
      <c r="B3" t="s">
        <v>0</v>
      </c>
      <c r="C3" t="s">
        <v>30</v>
      </c>
      <c r="D3" t="s">
        <v>31</v>
      </c>
      <c r="E3" t="s">
        <v>32</v>
      </c>
      <c r="F3" t="s">
        <v>33</v>
      </c>
      <c r="G3" t="s">
        <v>34</v>
      </c>
      <c r="H3" t="s">
        <v>35</v>
      </c>
      <c r="I3" t="s">
        <v>36</v>
      </c>
      <c r="J3" t="s">
        <v>37</v>
      </c>
      <c r="K3" t="s">
        <v>38</v>
      </c>
      <c r="L3" t="s">
        <v>39</v>
      </c>
      <c r="M3" t="s">
        <v>40</v>
      </c>
      <c r="N3" t="s">
        <v>41</v>
      </c>
      <c r="O3" t="s">
        <v>42</v>
      </c>
      <c r="P3" t="s">
        <v>43</v>
      </c>
      <c r="Q3" t="s">
        <v>44</v>
      </c>
      <c r="R3" t="s">
        <v>45</v>
      </c>
    </row>
    <row r="4" spans="1:18">
      <c r="A4" t="s">
        <v>46</v>
      </c>
      <c r="B4" t="s">
        <v>47</v>
      </c>
      <c r="C4" t="s">
        <v>48</v>
      </c>
      <c r="D4" t="s">
        <v>49</v>
      </c>
      <c r="E4" t="s">
        <v>50</v>
      </c>
      <c r="F4" t="s">
        <v>51</v>
      </c>
      <c r="G4" s="132" t="s">
        <v>52</v>
      </c>
      <c r="H4" t="s">
        <v>177</v>
      </c>
      <c r="I4" t="s">
        <v>54</v>
      </c>
      <c r="K4" t="s">
        <v>55</v>
      </c>
      <c r="L4" t="s">
        <v>56</v>
      </c>
      <c r="M4" t="s">
        <v>57</v>
      </c>
      <c r="N4" t="s">
        <v>58</v>
      </c>
      <c r="O4" t="s">
        <v>59</v>
      </c>
      <c r="P4" t="s">
        <v>60</v>
      </c>
    </row>
    <row r="5" spans="1:18" ht="30">
      <c r="A5" t="s">
        <v>46</v>
      </c>
      <c r="B5" t="s">
        <v>61</v>
      </c>
      <c r="C5" t="s">
        <v>48</v>
      </c>
      <c r="D5" t="s">
        <v>49</v>
      </c>
      <c r="E5" t="s">
        <v>62</v>
      </c>
      <c r="F5" t="s">
        <v>63</v>
      </c>
      <c r="G5" t="s">
        <v>52</v>
      </c>
      <c r="H5" s="122" t="s">
        <v>178</v>
      </c>
      <c r="I5" t="s">
        <v>54</v>
      </c>
      <c r="K5" t="s">
        <v>55</v>
      </c>
      <c r="M5" t="s">
        <v>57</v>
      </c>
      <c r="N5" t="s">
        <v>58</v>
      </c>
    </row>
    <row r="6" spans="1:18" ht="30">
      <c r="A6" t="s">
        <v>46</v>
      </c>
      <c r="B6" t="s">
        <v>61</v>
      </c>
      <c r="C6" t="s">
        <v>48</v>
      </c>
      <c r="D6" t="s">
        <v>49</v>
      </c>
      <c r="E6" t="s">
        <v>65</v>
      </c>
      <c r="F6" t="s">
        <v>66</v>
      </c>
      <c r="G6" t="s">
        <v>52</v>
      </c>
      <c r="H6" s="122" t="s">
        <v>178</v>
      </c>
      <c r="I6" t="s">
        <v>54</v>
      </c>
      <c r="K6" t="s">
        <v>55</v>
      </c>
      <c r="M6" t="s">
        <v>57</v>
      </c>
      <c r="N6" t="s">
        <v>58</v>
      </c>
    </row>
    <row r="7" spans="1:18" ht="30">
      <c r="A7" t="s">
        <v>67</v>
      </c>
      <c r="B7" t="s">
        <v>68</v>
      </c>
      <c r="C7" t="s">
        <v>48</v>
      </c>
      <c r="D7" t="s">
        <v>49</v>
      </c>
      <c r="E7" t="s">
        <v>69</v>
      </c>
      <c r="F7" t="s">
        <v>70</v>
      </c>
      <c r="G7" s="2" t="s">
        <v>71</v>
      </c>
      <c r="H7" s="122" t="s">
        <v>179</v>
      </c>
      <c r="K7" t="s">
        <v>55</v>
      </c>
      <c r="L7" t="s">
        <v>73</v>
      </c>
      <c r="M7" t="s">
        <v>74</v>
      </c>
      <c r="N7" t="s">
        <v>75</v>
      </c>
    </row>
    <row r="8" spans="1:18" ht="30">
      <c r="A8" t="s">
        <v>46</v>
      </c>
      <c r="B8" t="s">
        <v>61</v>
      </c>
      <c r="C8" t="s">
        <v>48</v>
      </c>
      <c r="D8" t="s">
        <v>49</v>
      </c>
      <c r="E8" t="s">
        <v>76</v>
      </c>
      <c r="F8" t="s">
        <v>66</v>
      </c>
      <c r="G8" t="s">
        <v>52</v>
      </c>
      <c r="H8" s="122" t="s">
        <v>178</v>
      </c>
      <c r="I8" t="s">
        <v>54</v>
      </c>
      <c r="J8" t="s">
        <v>77</v>
      </c>
      <c r="K8" t="s">
        <v>55</v>
      </c>
      <c r="M8" t="s">
        <v>57</v>
      </c>
      <c r="N8" t="s">
        <v>4</v>
      </c>
    </row>
    <row r="9" spans="1:18" ht="30">
      <c r="A9" t="s">
        <v>46</v>
      </c>
      <c r="B9" t="s">
        <v>61</v>
      </c>
      <c r="C9" t="s">
        <v>48</v>
      </c>
      <c r="D9" t="s">
        <v>49</v>
      </c>
      <c r="E9" t="s">
        <v>78</v>
      </c>
      <c r="F9" t="s">
        <v>66</v>
      </c>
      <c r="G9" t="s">
        <v>52</v>
      </c>
      <c r="H9" s="122" t="s">
        <v>178</v>
      </c>
      <c r="I9" t="s">
        <v>54</v>
      </c>
      <c r="J9" t="s">
        <v>79</v>
      </c>
      <c r="K9" t="s">
        <v>55</v>
      </c>
      <c r="M9" t="s">
        <v>57</v>
      </c>
      <c r="N9" t="s">
        <v>4</v>
      </c>
    </row>
    <row r="10" spans="1:18" ht="29.25" customHeight="1">
      <c r="A10" t="s">
        <v>80</v>
      </c>
      <c r="B10" t="s">
        <v>68</v>
      </c>
      <c r="C10" t="s">
        <v>48</v>
      </c>
      <c r="D10" t="s">
        <v>49</v>
      </c>
      <c r="E10" t="s">
        <v>81</v>
      </c>
      <c r="F10" t="s">
        <v>82</v>
      </c>
      <c r="G10" t="s">
        <v>52</v>
      </c>
      <c r="H10" s="122" t="s">
        <v>180</v>
      </c>
      <c r="I10" t="s">
        <v>83</v>
      </c>
      <c r="J10" t="s">
        <v>84</v>
      </c>
      <c r="K10" t="s">
        <v>55</v>
      </c>
      <c r="L10" t="s">
        <v>73</v>
      </c>
      <c r="M10" t="s">
        <v>57</v>
      </c>
      <c r="N10" t="s">
        <v>75</v>
      </c>
      <c r="O10" t="s">
        <v>85</v>
      </c>
    </row>
    <row r="11" spans="1:18">
      <c r="A11" t="s">
        <v>80</v>
      </c>
      <c r="B11" t="s">
        <v>68</v>
      </c>
      <c r="C11" t="s">
        <v>48</v>
      </c>
      <c r="D11" t="s">
        <v>49</v>
      </c>
      <c r="E11" t="s">
        <v>86</v>
      </c>
      <c r="F11" t="s">
        <v>87</v>
      </c>
      <c r="G11" t="s">
        <v>52</v>
      </c>
      <c r="H11" t="s">
        <v>181</v>
      </c>
      <c r="I11" t="s">
        <v>83</v>
      </c>
      <c r="J11" t="s">
        <v>89</v>
      </c>
      <c r="K11" t="s">
        <v>55</v>
      </c>
      <c r="L11" t="s">
        <v>73</v>
      </c>
      <c r="M11" t="s">
        <v>57</v>
      </c>
      <c r="N11" t="s">
        <v>58</v>
      </c>
      <c r="O11" t="s">
        <v>90</v>
      </c>
      <c r="P11" t="s">
        <v>91</v>
      </c>
    </row>
    <row r="12" spans="1:18">
      <c r="A12" t="s">
        <v>92</v>
      </c>
      <c r="B12" t="s">
        <v>93</v>
      </c>
      <c r="C12" t="s">
        <v>94</v>
      </c>
      <c r="D12" t="s">
        <v>49</v>
      </c>
      <c r="E12" t="s">
        <v>95</v>
      </c>
      <c r="F12" t="s">
        <v>96</v>
      </c>
      <c r="G12" t="s">
        <v>2</v>
      </c>
      <c r="H12" t="s">
        <v>182</v>
      </c>
      <c r="I12" t="s">
        <v>72</v>
      </c>
      <c r="K12" t="s">
        <v>55</v>
      </c>
      <c r="L12" t="s">
        <v>73</v>
      </c>
      <c r="M12" t="s">
        <v>98</v>
      </c>
      <c r="N12" t="s">
        <v>99</v>
      </c>
    </row>
    <row r="13" spans="1:18" s="86" customFormat="1">
      <c r="A13" s="86" t="s">
        <v>80</v>
      </c>
      <c r="B13" s="86" t="s">
        <v>68</v>
      </c>
      <c r="C13" s="86" t="s">
        <v>48</v>
      </c>
      <c r="D13" s="86" t="s">
        <v>49</v>
      </c>
      <c r="E13" s="86" t="s">
        <v>100</v>
      </c>
      <c r="F13" s="86" t="s">
        <v>101</v>
      </c>
      <c r="G13" s="86" t="s">
        <v>183</v>
      </c>
      <c r="H13" s="86" t="s">
        <v>184</v>
      </c>
      <c r="J13" s="86" t="s">
        <v>103</v>
      </c>
      <c r="K13" s="86" t="s">
        <v>55</v>
      </c>
      <c r="L13" s="86" t="s">
        <v>73</v>
      </c>
      <c r="M13" s="86" t="s">
        <v>74</v>
      </c>
      <c r="N13" s="86" t="s">
        <v>58</v>
      </c>
    </row>
    <row r="14" spans="1:18" s="86" customFormat="1">
      <c r="A14" s="86" t="s">
        <v>80</v>
      </c>
      <c r="B14" s="86" t="s">
        <v>68</v>
      </c>
      <c r="C14" s="86" t="s">
        <v>48</v>
      </c>
      <c r="D14" s="86" t="s">
        <v>49</v>
      </c>
      <c r="E14" s="86" t="s">
        <v>104</v>
      </c>
      <c r="F14" s="86" t="s">
        <v>105</v>
      </c>
      <c r="G14" s="86" t="s">
        <v>185</v>
      </c>
      <c r="H14" s="86" t="s">
        <v>184</v>
      </c>
      <c r="J14" s="86" t="s">
        <v>103</v>
      </c>
      <c r="K14" s="86" t="s">
        <v>55</v>
      </c>
      <c r="L14" s="86" t="s">
        <v>73</v>
      </c>
      <c r="M14" s="86" t="s">
        <v>74</v>
      </c>
      <c r="N14" s="86" t="s">
        <v>58</v>
      </c>
    </row>
    <row r="15" spans="1:18">
      <c r="A15" t="s">
        <v>80</v>
      </c>
      <c r="B15" t="s">
        <v>68</v>
      </c>
      <c r="C15" t="s">
        <v>48</v>
      </c>
      <c r="D15" t="s">
        <v>49</v>
      </c>
      <c r="E15" t="s">
        <v>106</v>
      </c>
      <c r="F15" t="s">
        <v>107</v>
      </c>
      <c r="G15" t="s">
        <v>52</v>
      </c>
      <c r="H15" t="s">
        <v>181</v>
      </c>
      <c r="I15" t="s">
        <v>83</v>
      </c>
      <c r="K15" t="s">
        <v>55</v>
      </c>
      <c r="L15" t="s">
        <v>73</v>
      </c>
      <c r="M15" t="s">
        <v>57</v>
      </c>
      <c r="N15" t="s">
        <v>58</v>
      </c>
      <c r="O15" t="s">
        <v>90</v>
      </c>
    </row>
    <row r="16" spans="1:18">
      <c r="A16" t="s">
        <v>80</v>
      </c>
      <c r="B16" t="s">
        <v>68</v>
      </c>
      <c r="C16" t="s">
        <v>48</v>
      </c>
      <c r="D16" t="s">
        <v>49</v>
      </c>
      <c r="E16" t="s">
        <v>108</v>
      </c>
      <c r="F16" t="s">
        <v>109</v>
      </c>
      <c r="G16" t="s">
        <v>2</v>
      </c>
      <c r="H16" t="s">
        <v>186</v>
      </c>
      <c r="I16" t="s">
        <v>54</v>
      </c>
      <c r="J16" t="s">
        <v>110</v>
      </c>
      <c r="K16" t="s">
        <v>55</v>
      </c>
      <c r="L16" t="s">
        <v>73</v>
      </c>
      <c r="M16" t="s">
        <v>57</v>
      </c>
      <c r="N16" t="s">
        <v>58</v>
      </c>
    </row>
    <row r="17" spans="1:16" ht="30">
      <c r="A17" t="s">
        <v>46</v>
      </c>
      <c r="B17" t="s">
        <v>61</v>
      </c>
      <c r="C17" t="s">
        <v>48</v>
      </c>
      <c r="D17" t="s">
        <v>49</v>
      </c>
      <c r="E17" t="s">
        <v>111</v>
      </c>
      <c r="F17" t="s">
        <v>66</v>
      </c>
      <c r="G17" t="s">
        <v>52</v>
      </c>
      <c r="H17" s="122" t="s">
        <v>187</v>
      </c>
      <c r="I17" t="s">
        <v>54</v>
      </c>
      <c r="J17" t="s">
        <v>113</v>
      </c>
      <c r="K17" t="s">
        <v>55</v>
      </c>
      <c r="M17" t="s">
        <v>57</v>
      </c>
      <c r="N17" t="s">
        <v>4</v>
      </c>
    </row>
    <row r="18" spans="1:16" ht="27.75" customHeight="1">
      <c r="A18" t="s">
        <v>46</v>
      </c>
      <c r="B18" t="s">
        <v>61</v>
      </c>
      <c r="C18" t="s">
        <v>48</v>
      </c>
      <c r="D18" t="s">
        <v>49</v>
      </c>
      <c r="E18" t="s">
        <v>114</v>
      </c>
      <c r="F18" t="s">
        <v>115</v>
      </c>
      <c r="G18" t="s">
        <v>52</v>
      </c>
      <c r="H18" s="122" t="s">
        <v>188</v>
      </c>
      <c r="I18" t="s">
        <v>54</v>
      </c>
      <c r="K18" t="s">
        <v>55</v>
      </c>
      <c r="M18" t="s">
        <v>57</v>
      </c>
      <c r="N18" t="s">
        <v>58</v>
      </c>
    </row>
    <row r="19" spans="1:16" ht="30">
      <c r="A19" t="s">
        <v>46</v>
      </c>
      <c r="B19" t="s">
        <v>61</v>
      </c>
      <c r="C19" t="s">
        <v>48</v>
      </c>
      <c r="D19" t="s">
        <v>49</v>
      </c>
      <c r="E19" t="s">
        <v>116</v>
      </c>
      <c r="F19" t="s">
        <v>66</v>
      </c>
      <c r="G19" t="s">
        <v>52</v>
      </c>
      <c r="H19" s="122" t="s">
        <v>187</v>
      </c>
      <c r="I19" t="s">
        <v>54</v>
      </c>
      <c r="K19" t="s">
        <v>55</v>
      </c>
      <c r="M19" t="s">
        <v>57</v>
      </c>
      <c r="N19" t="s">
        <v>58</v>
      </c>
    </row>
    <row r="20" spans="1:16" ht="30">
      <c r="A20" t="s">
        <v>46</v>
      </c>
      <c r="B20" t="s">
        <v>61</v>
      </c>
      <c r="C20" t="s">
        <v>48</v>
      </c>
      <c r="D20" t="s">
        <v>49</v>
      </c>
      <c r="E20" t="s">
        <v>117</v>
      </c>
      <c r="F20" t="s">
        <v>63</v>
      </c>
      <c r="G20" t="s">
        <v>52</v>
      </c>
      <c r="H20" s="122" t="s">
        <v>178</v>
      </c>
      <c r="I20" t="s">
        <v>54</v>
      </c>
      <c r="K20" t="s">
        <v>55</v>
      </c>
      <c r="M20" t="s">
        <v>57</v>
      </c>
      <c r="N20" t="s">
        <v>58</v>
      </c>
    </row>
    <row r="21" spans="1:16" ht="30">
      <c r="A21" t="s">
        <v>46</v>
      </c>
      <c r="B21" t="s">
        <v>61</v>
      </c>
      <c r="C21" t="s">
        <v>48</v>
      </c>
      <c r="D21" t="s">
        <v>49</v>
      </c>
      <c r="E21" t="s">
        <v>118</v>
      </c>
      <c r="F21" t="s">
        <v>66</v>
      </c>
      <c r="G21" t="s">
        <v>52</v>
      </c>
      <c r="H21" s="122" t="s">
        <v>189</v>
      </c>
      <c r="I21" t="s">
        <v>54</v>
      </c>
      <c r="K21" t="s">
        <v>55</v>
      </c>
      <c r="M21" t="s">
        <v>57</v>
      </c>
      <c r="N21" t="s">
        <v>58</v>
      </c>
    </row>
    <row r="22" spans="1:16" ht="30">
      <c r="A22" t="s">
        <v>67</v>
      </c>
      <c r="B22" t="s">
        <v>68</v>
      </c>
      <c r="C22" t="s">
        <v>48</v>
      </c>
      <c r="D22" t="s">
        <v>49</v>
      </c>
      <c r="E22" t="s">
        <v>120</v>
      </c>
      <c r="F22" t="s">
        <v>121</v>
      </c>
      <c r="G22" s="2" t="s">
        <v>71</v>
      </c>
      <c r="H22" s="122" t="s">
        <v>190</v>
      </c>
      <c r="K22" t="s">
        <v>55</v>
      </c>
      <c r="L22" t="s">
        <v>73</v>
      </c>
      <c r="M22" t="s">
        <v>74</v>
      </c>
      <c r="N22" t="s">
        <v>75</v>
      </c>
      <c r="O22" t="s">
        <v>122</v>
      </c>
    </row>
    <row r="23" spans="1:16">
      <c r="A23" t="s">
        <v>46</v>
      </c>
      <c r="B23" t="s">
        <v>16</v>
      </c>
      <c r="C23" t="s">
        <v>123</v>
      </c>
      <c r="D23" t="s">
        <v>49</v>
      </c>
      <c r="E23" t="s">
        <v>124</v>
      </c>
      <c r="F23" t="s">
        <v>125</v>
      </c>
      <c r="G23" s="2" t="s">
        <v>126</v>
      </c>
      <c r="H23" t="s">
        <v>191</v>
      </c>
      <c r="I23" t="s">
        <v>83</v>
      </c>
      <c r="J23" t="s">
        <v>127</v>
      </c>
      <c r="K23" t="s">
        <v>55</v>
      </c>
      <c r="M23" t="s">
        <v>57</v>
      </c>
      <c r="N23" t="s">
        <v>16</v>
      </c>
    </row>
    <row r="24" spans="1:16" ht="30">
      <c r="A24" t="s">
        <v>46</v>
      </c>
      <c r="B24" t="s">
        <v>61</v>
      </c>
      <c r="C24" t="s">
        <v>48</v>
      </c>
      <c r="D24" t="s">
        <v>49</v>
      </c>
      <c r="E24" t="s">
        <v>128</v>
      </c>
      <c r="F24" t="s">
        <v>129</v>
      </c>
      <c r="G24" t="s">
        <v>52</v>
      </c>
      <c r="H24" s="122" t="s">
        <v>192</v>
      </c>
      <c r="I24" t="s">
        <v>54</v>
      </c>
      <c r="K24" t="s">
        <v>55</v>
      </c>
      <c r="M24" t="s">
        <v>57</v>
      </c>
      <c r="N24" t="s">
        <v>58</v>
      </c>
    </row>
    <row r="25" spans="1:16" ht="30">
      <c r="A25" t="s">
        <v>67</v>
      </c>
      <c r="B25" t="s">
        <v>68</v>
      </c>
      <c r="C25" t="s">
        <v>48</v>
      </c>
      <c r="D25" t="s">
        <v>49</v>
      </c>
      <c r="E25" t="s">
        <v>130</v>
      </c>
      <c r="F25" t="s">
        <v>131</v>
      </c>
      <c r="G25" s="2" t="s">
        <v>71</v>
      </c>
      <c r="H25" s="122" t="s">
        <v>190</v>
      </c>
      <c r="K25" t="s">
        <v>55</v>
      </c>
      <c r="L25" t="s">
        <v>73</v>
      </c>
      <c r="M25" t="s">
        <v>74</v>
      </c>
      <c r="N25" t="s">
        <v>75</v>
      </c>
      <c r="O25" t="s">
        <v>132</v>
      </c>
    </row>
    <row r="26" spans="1:16" ht="27" customHeight="1">
      <c r="A26" t="s">
        <v>80</v>
      </c>
      <c r="B26" t="s">
        <v>133</v>
      </c>
      <c r="C26" t="s">
        <v>134</v>
      </c>
      <c r="D26" t="s">
        <v>49</v>
      </c>
      <c r="E26" t="s">
        <v>135</v>
      </c>
      <c r="F26" t="s">
        <v>136</v>
      </c>
      <c r="G26" t="s">
        <v>52</v>
      </c>
      <c r="H26" t="s">
        <v>193</v>
      </c>
      <c r="I26" t="s">
        <v>83</v>
      </c>
      <c r="J26" t="s">
        <v>137</v>
      </c>
      <c r="K26" t="s">
        <v>55</v>
      </c>
      <c r="M26" t="s">
        <v>57</v>
      </c>
      <c r="N26" t="s">
        <v>58</v>
      </c>
      <c r="O26" t="s">
        <v>85</v>
      </c>
      <c r="P26" t="s">
        <v>138</v>
      </c>
    </row>
  </sheetData>
  <pageMargins left="0.7" right="0.7" top="0.75" bottom="0.75" header="0.3" footer="0.3"/>
  <legacyDrawing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1A1D48-768B-4D53-A8B1-49E5F505B10F}">
  <dimension ref="A1:R52"/>
  <sheetViews>
    <sheetView workbookViewId="0">
      <selection activeCell="F2" sqref="F2"/>
    </sheetView>
  </sheetViews>
  <sheetFormatPr defaultColWidth="8.7109375" defaultRowHeight="15"/>
  <cols>
    <col min="1" max="1" width="17.7109375" bestFit="1" customWidth="1"/>
    <col min="2" max="2" width="29.5703125" bestFit="1" customWidth="1"/>
    <col min="3" max="3" width="15.85546875" bestFit="1" customWidth="1"/>
    <col min="4" max="4" width="10.5703125" bestFit="1" customWidth="1"/>
    <col min="5" max="5" width="38.5703125" bestFit="1" customWidth="1"/>
    <col min="6" max="6" width="81" bestFit="1" customWidth="1"/>
    <col min="7" max="7" width="19.5703125" bestFit="1" customWidth="1"/>
    <col min="8" max="8" width="116" bestFit="1" customWidth="1"/>
    <col min="9" max="9" width="23.5703125" bestFit="1" customWidth="1"/>
    <col min="10" max="10" width="209.5703125" bestFit="1" customWidth="1"/>
    <col min="11" max="11" width="13" bestFit="1" customWidth="1"/>
    <col min="13" max="13" width="15.5703125" bestFit="1" customWidth="1"/>
    <col min="14" max="14" width="21" bestFit="1" customWidth="1"/>
    <col min="15" max="15" width="47.5703125" bestFit="1" customWidth="1"/>
    <col min="16" max="16" width="164.7109375" bestFit="1" customWidth="1"/>
    <col min="17" max="17" width="23.42578125" bestFit="1" customWidth="1"/>
    <col min="18" max="18" width="35.140625" bestFit="1" customWidth="1"/>
  </cols>
  <sheetData>
    <row r="1" spans="1:18">
      <c r="A1" s="7" t="s">
        <v>194</v>
      </c>
    </row>
    <row r="3" spans="1:18">
      <c r="A3" t="s">
        <v>29</v>
      </c>
      <c r="B3" t="s">
        <v>0</v>
      </c>
      <c r="C3" t="s">
        <v>30</v>
      </c>
      <c r="D3" t="s">
        <v>31</v>
      </c>
      <c r="E3" t="s">
        <v>32</v>
      </c>
      <c r="F3" t="s">
        <v>33</v>
      </c>
      <c r="G3" t="s">
        <v>34</v>
      </c>
      <c r="H3" t="s">
        <v>35</v>
      </c>
      <c r="I3" t="s">
        <v>36</v>
      </c>
      <c r="J3" t="s">
        <v>37</v>
      </c>
      <c r="K3" t="s">
        <v>38</v>
      </c>
      <c r="L3" t="s">
        <v>39</v>
      </c>
      <c r="M3" t="s">
        <v>40</v>
      </c>
      <c r="N3" t="s">
        <v>41</v>
      </c>
      <c r="O3" t="s">
        <v>42</v>
      </c>
      <c r="P3" t="s">
        <v>43</v>
      </c>
      <c r="Q3" t="s">
        <v>44</v>
      </c>
      <c r="R3" t="s">
        <v>45</v>
      </c>
    </row>
    <row r="4" spans="1:18">
      <c r="A4" t="s">
        <v>92</v>
      </c>
      <c r="B4" t="s">
        <v>93</v>
      </c>
      <c r="C4" t="s">
        <v>94</v>
      </c>
      <c r="D4" t="s">
        <v>195</v>
      </c>
      <c r="E4" t="s">
        <v>196</v>
      </c>
      <c r="F4" t="s">
        <v>197</v>
      </c>
      <c r="G4" t="s">
        <v>2</v>
      </c>
      <c r="H4" t="s">
        <v>97</v>
      </c>
      <c r="I4" t="s">
        <v>72</v>
      </c>
      <c r="K4" t="s">
        <v>198</v>
      </c>
      <c r="L4" t="s">
        <v>73</v>
      </c>
      <c r="M4" t="s">
        <v>98</v>
      </c>
      <c r="N4" t="s">
        <v>99</v>
      </c>
      <c r="O4" t="s">
        <v>199</v>
      </c>
      <c r="P4" t="s">
        <v>200</v>
      </c>
    </row>
    <row r="5" spans="1:18">
      <c r="A5" t="s">
        <v>92</v>
      </c>
      <c r="B5" t="s">
        <v>80</v>
      </c>
      <c r="C5" t="s">
        <v>201</v>
      </c>
      <c r="D5" t="s">
        <v>195</v>
      </c>
      <c r="E5" t="s">
        <v>202</v>
      </c>
      <c r="F5" t="s">
        <v>203</v>
      </c>
      <c r="G5" t="s">
        <v>71</v>
      </c>
      <c r="K5" t="s">
        <v>198</v>
      </c>
      <c r="M5" t="s">
        <v>57</v>
      </c>
      <c r="N5" t="s">
        <v>160</v>
      </c>
    </row>
    <row r="6" spans="1:18">
      <c r="A6" t="s">
        <v>92</v>
      </c>
      <c r="B6" t="s">
        <v>93</v>
      </c>
      <c r="C6" t="s">
        <v>94</v>
      </c>
      <c r="D6" t="s">
        <v>195</v>
      </c>
      <c r="E6" t="s">
        <v>204</v>
      </c>
      <c r="F6" t="s">
        <v>205</v>
      </c>
      <c r="H6" t="s">
        <v>206</v>
      </c>
      <c r="I6" t="s">
        <v>83</v>
      </c>
      <c r="K6" t="s">
        <v>198</v>
      </c>
      <c r="L6" t="s">
        <v>73</v>
      </c>
      <c r="M6" t="s">
        <v>207</v>
      </c>
      <c r="N6" t="s">
        <v>99</v>
      </c>
    </row>
    <row r="7" spans="1:18">
      <c r="A7" t="s">
        <v>92</v>
      </c>
      <c r="B7" t="s">
        <v>93</v>
      </c>
      <c r="C7" t="s">
        <v>94</v>
      </c>
      <c r="D7" t="s">
        <v>195</v>
      </c>
      <c r="E7" t="s">
        <v>208</v>
      </c>
      <c r="F7" t="s">
        <v>205</v>
      </c>
      <c r="H7" t="s">
        <v>206</v>
      </c>
      <c r="I7" t="s">
        <v>83</v>
      </c>
      <c r="K7" t="s">
        <v>198</v>
      </c>
      <c r="L7" t="s">
        <v>73</v>
      </c>
      <c r="M7" t="s">
        <v>207</v>
      </c>
      <c r="N7" t="s">
        <v>99</v>
      </c>
    </row>
    <row r="8" spans="1:18">
      <c r="A8" t="s">
        <v>92</v>
      </c>
      <c r="B8" t="s">
        <v>93</v>
      </c>
      <c r="C8" t="s">
        <v>94</v>
      </c>
      <c r="D8" t="s">
        <v>195</v>
      </c>
      <c r="E8" t="s">
        <v>209</v>
      </c>
      <c r="F8" t="s">
        <v>205</v>
      </c>
      <c r="H8" t="s">
        <v>206</v>
      </c>
      <c r="I8" t="s">
        <v>83</v>
      </c>
      <c r="K8" t="s">
        <v>198</v>
      </c>
      <c r="L8" t="s">
        <v>73</v>
      </c>
      <c r="M8" t="s">
        <v>207</v>
      </c>
      <c r="N8" t="s">
        <v>99</v>
      </c>
    </row>
    <row r="9" spans="1:18">
      <c r="A9" t="s">
        <v>92</v>
      </c>
      <c r="B9" t="s">
        <v>93</v>
      </c>
      <c r="C9" t="s">
        <v>94</v>
      </c>
      <c r="D9" t="s">
        <v>195</v>
      </c>
      <c r="E9" t="s">
        <v>210</v>
      </c>
      <c r="F9" t="s">
        <v>205</v>
      </c>
      <c r="H9" t="s">
        <v>206</v>
      </c>
      <c r="I9" t="s">
        <v>83</v>
      </c>
      <c r="K9" t="s">
        <v>198</v>
      </c>
      <c r="L9" t="s">
        <v>73</v>
      </c>
      <c r="M9" t="s">
        <v>207</v>
      </c>
      <c r="N9" t="s">
        <v>99</v>
      </c>
    </row>
    <row r="10" spans="1:18">
      <c r="A10" t="s">
        <v>92</v>
      </c>
      <c r="B10" t="s">
        <v>93</v>
      </c>
      <c r="C10" t="s">
        <v>94</v>
      </c>
      <c r="D10" t="s">
        <v>195</v>
      </c>
      <c r="E10" t="s">
        <v>161</v>
      </c>
      <c r="F10" t="s">
        <v>211</v>
      </c>
      <c r="G10" t="s">
        <v>2</v>
      </c>
      <c r="H10" t="s">
        <v>97</v>
      </c>
      <c r="I10" t="s">
        <v>72</v>
      </c>
      <c r="K10" t="s">
        <v>198</v>
      </c>
      <c r="L10" t="s">
        <v>73</v>
      </c>
      <c r="M10" t="s">
        <v>98</v>
      </c>
      <c r="N10" t="s">
        <v>99</v>
      </c>
      <c r="O10" t="s">
        <v>212</v>
      </c>
      <c r="P10" t="s">
        <v>200</v>
      </c>
    </row>
    <row r="11" spans="1:18">
      <c r="A11" t="s">
        <v>92</v>
      </c>
      <c r="B11" t="s">
        <v>93</v>
      </c>
      <c r="C11" t="s">
        <v>94</v>
      </c>
      <c r="D11" t="s">
        <v>195</v>
      </c>
      <c r="E11" t="s">
        <v>213</v>
      </c>
      <c r="F11" t="s">
        <v>205</v>
      </c>
      <c r="H11" t="s">
        <v>206</v>
      </c>
      <c r="I11" t="s">
        <v>83</v>
      </c>
      <c r="K11" t="s">
        <v>198</v>
      </c>
      <c r="L11" t="s">
        <v>73</v>
      </c>
      <c r="M11" t="s">
        <v>207</v>
      </c>
      <c r="N11" t="s">
        <v>99</v>
      </c>
    </row>
    <row r="12" spans="1:18">
      <c r="A12" t="s">
        <v>92</v>
      </c>
      <c r="B12" t="s">
        <v>93</v>
      </c>
      <c r="C12" t="s">
        <v>94</v>
      </c>
      <c r="D12" t="s">
        <v>195</v>
      </c>
      <c r="E12" t="s">
        <v>214</v>
      </c>
      <c r="F12" t="s">
        <v>211</v>
      </c>
      <c r="G12" t="s">
        <v>2</v>
      </c>
      <c r="H12" t="s">
        <v>97</v>
      </c>
      <c r="I12" t="s">
        <v>72</v>
      </c>
      <c r="K12" t="s">
        <v>198</v>
      </c>
      <c r="L12" t="s">
        <v>73</v>
      </c>
      <c r="M12" t="s">
        <v>98</v>
      </c>
      <c r="N12" t="s">
        <v>99</v>
      </c>
      <c r="O12" t="s">
        <v>212</v>
      </c>
      <c r="P12" t="s">
        <v>200</v>
      </c>
      <c r="Q12" t="s">
        <v>215</v>
      </c>
    </row>
    <row r="13" spans="1:18">
      <c r="A13" t="s">
        <v>92</v>
      </c>
      <c r="B13" t="s">
        <v>93</v>
      </c>
      <c r="C13" t="s">
        <v>94</v>
      </c>
      <c r="D13" t="s">
        <v>195</v>
      </c>
      <c r="E13" t="s">
        <v>216</v>
      </c>
      <c r="F13" t="s">
        <v>211</v>
      </c>
      <c r="G13" t="s">
        <v>2</v>
      </c>
      <c r="H13" t="s">
        <v>97</v>
      </c>
      <c r="I13" t="s">
        <v>72</v>
      </c>
      <c r="K13" t="s">
        <v>198</v>
      </c>
      <c r="L13" t="s">
        <v>73</v>
      </c>
      <c r="M13" t="s">
        <v>98</v>
      </c>
      <c r="N13" t="s">
        <v>99</v>
      </c>
      <c r="O13" t="s">
        <v>212</v>
      </c>
      <c r="P13" t="s">
        <v>200</v>
      </c>
      <c r="Q13" t="s">
        <v>215</v>
      </c>
    </row>
    <row r="14" spans="1:18">
      <c r="A14" t="s">
        <v>217</v>
      </c>
      <c r="B14" t="s">
        <v>16</v>
      </c>
      <c r="C14" t="s">
        <v>123</v>
      </c>
      <c r="D14" t="s">
        <v>195</v>
      </c>
      <c r="E14" t="s">
        <v>21</v>
      </c>
      <c r="F14" t="s">
        <v>218</v>
      </c>
      <c r="G14" t="s">
        <v>52</v>
      </c>
      <c r="H14" t="s">
        <v>219</v>
      </c>
      <c r="I14" t="s">
        <v>83</v>
      </c>
      <c r="J14" t="s">
        <v>220</v>
      </c>
      <c r="K14" t="s">
        <v>198</v>
      </c>
      <c r="M14" t="s">
        <v>57</v>
      </c>
      <c r="N14" t="s">
        <v>16</v>
      </c>
    </row>
    <row r="15" spans="1:18">
      <c r="A15" t="s">
        <v>92</v>
      </c>
      <c r="B15" t="s">
        <v>93</v>
      </c>
      <c r="C15" t="s">
        <v>94</v>
      </c>
      <c r="D15" t="s">
        <v>195</v>
      </c>
      <c r="E15" t="s">
        <v>221</v>
      </c>
      <c r="F15" t="s">
        <v>211</v>
      </c>
      <c r="G15" t="s">
        <v>2</v>
      </c>
      <c r="H15" t="s">
        <v>97</v>
      </c>
      <c r="I15" t="s">
        <v>72</v>
      </c>
      <c r="K15" t="s">
        <v>198</v>
      </c>
      <c r="L15" t="s">
        <v>73</v>
      </c>
      <c r="M15" t="s">
        <v>98</v>
      </c>
      <c r="N15" t="s">
        <v>99</v>
      </c>
      <c r="O15" t="s">
        <v>212</v>
      </c>
      <c r="P15" t="s">
        <v>200</v>
      </c>
    </row>
    <row r="16" spans="1:18">
      <c r="A16" t="s">
        <v>92</v>
      </c>
      <c r="B16" t="s">
        <v>93</v>
      </c>
      <c r="C16" t="s">
        <v>94</v>
      </c>
      <c r="D16" t="s">
        <v>195</v>
      </c>
      <c r="E16" t="s">
        <v>222</v>
      </c>
      <c r="F16" t="s">
        <v>211</v>
      </c>
      <c r="G16" t="s">
        <v>2</v>
      </c>
      <c r="H16" t="s">
        <v>97</v>
      </c>
      <c r="I16" t="s">
        <v>72</v>
      </c>
      <c r="K16" t="s">
        <v>198</v>
      </c>
      <c r="L16" t="s">
        <v>73</v>
      </c>
      <c r="M16" t="s">
        <v>98</v>
      </c>
      <c r="N16" t="s">
        <v>99</v>
      </c>
      <c r="O16" t="s">
        <v>212</v>
      </c>
      <c r="P16" t="s">
        <v>200</v>
      </c>
    </row>
    <row r="17" spans="1:17">
      <c r="A17" t="s">
        <v>92</v>
      </c>
      <c r="B17" t="s">
        <v>93</v>
      </c>
      <c r="C17" t="s">
        <v>94</v>
      </c>
      <c r="D17" t="s">
        <v>195</v>
      </c>
      <c r="E17" t="s">
        <v>223</v>
      </c>
      <c r="F17" t="s">
        <v>211</v>
      </c>
      <c r="G17" t="s">
        <v>2</v>
      </c>
      <c r="H17" t="s">
        <v>97</v>
      </c>
      <c r="I17" t="s">
        <v>72</v>
      </c>
      <c r="K17" t="s">
        <v>198</v>
      </c>
      <c r="L17" t="s">
        <v>73</v>
      </c>
      <c r="M17" t="s">
        <v>98</v>
      </c>
      <c r="N17" t="s">
        <v>99</v>
      </c>
      <c r="O17" t="s">
        <v>212</v>
      </c>
      <c r="P17" t="s">
        <v>200</v>
      </c>
    </row>
    <row r="18" spans="1:17">
      <c r="A18" t="s">
        <v>217</v>
      </c>
      <c r="B18" t="s">
        <v>16</v>
      </c>
      <c r="C18" t="s">
        <v>123</v>
      </c>
      <c r="D18" t="s">
        <v>195</v>
      </c>
      <c r="E18" t="s">
        <v>24</v>
      </c>
      <c r="F18" t="s">
        <v>218</v>
      </c>
      <c r="G18" t="s">
        <v>52</v>
      </c>
      <c r="H18" t="s">
        <v>219</v>
      </c>
      <c r="I18" t="s">
        <v>83</v>
      </c>
      <c r="J18" t="s">
        <v>220</v>
      </c>
      <c r="K18" t="s">
        <v>198</v>
      </c>
      <c r="M18" t="s">
        <v>57</v>
      </c>
      <c r="N18" t="s">
        <v>16</v>
      </c>
    </row>
    <row r="19" spans="1:17">
      <c r="A19" t="s">
        <v>92</v>
      </c>
      <c r="B19" t="s">
        <v>93</v>
      </c>
      <c r="C19" t="s">
        <v>94</v>
      </c>
      <c r="D19" t="s">
        <v>195</v>
      </c>
      <c r="E19" t="s">
        <v>224</v>
      </c>
      <c r="F19" t="s">
        <v>197</v>
      </c>
      <c r="G19" t="s">
        <v>2</v>
      </c>
      <c r="H19" t="s">
        <v>97</v>
      </c>
      <c r="I19" t="s">
        <v>72</v>
      </c>
      <c r="K19" t="s">
        <v>198</v>
      </c>
      <c r="L19" t="s">
        <v>73</v>
      </c>
      <c r="M19" t="s">
        <v>98</v>
      </c>
      <c r="N19" t="s">
        <v>99</v>
      </c>
      <c r="O19" t="s">
        <v>199</v>
      </c>
      <c r="P19" t="s">
        <v>200</v>
      </c>
    </row>
    <row r="20" spans="1:17">
      <c r="A20" t="s">
        <v>4</v>
      </c>
      <c r="B20" t="s">
        <v>4</v>
      </c>
      <c r="C20" t="s">
        <v>225</v>
      </c>
      <c r="D20" t="s">
        <v>195</v>
      </c>
      <c r="E20" t="s">
        <v>226</v>
      </c>
      <c r="F20" t="s">
        <v>227</v>
      </c>
      <c r="G20" t="s">
        <v>71</v>
      </c>
      <c r="H20" t="s">
        <v>228</v>
      </c>
      <c r="J20" t="s">
        <v>229</v>
      </c>
      <c r="K20" t="s">
        <v>198</v>
      </c>
      <c r="L20" t="s">
        <v>56</v>
      </c>
      <c r="M20" t="s">
        <v>57</v>
      </c>
      <c r="N20" t="s">
        <v>4</v>
      </c>
      <c r="O20" t="s">
        <v>230</v>
      </c>
      <c r="P20" t="s">
        <v>231</v>
      </c>
    </row>
    <row r="21" spans="1:17">
      <c r="A21" t="s">
        <v>4</v>
      </c>
      <c r="B21" t="s">
        <v>4</v>
      </c>
      <c r="C21" t="s">
        <v>225</v>
      </c>
      <c r="D21" t="s">
        <v>195</v>
      </c>
      <c r="E21" t="s">
        <v>232</v>
      </c>
      <c r="F21" t="s">
        <v>233</v>
      </c>
      <c r="G21" t="s">
        <v>71</v>
      </c>
      <c r="H21" t="s">
        <v>228</v>
      </c>
      <c r="J21" t="s">
        <v>229</v>
      </c>
      <c r="K21" t="s">
        <v>198</v>
      </c>
      <c r="L21" t="s">
        <v>56</v>
      </c>
      <c r="M21" t="s">
        <v>57</v>
      </c>
      <c r="N21" t="s">
        <v>4</v>
      </c>
      <c r="O21" t="s">
        <v>234</v>
      </c>
      <c r="P21" t="s">
        <v>235</v>
      </c>
    </row>
    <row r="22" spans="1:17">
      <c r="A22" t="s">
        <v>236</v>
      </c>
      <c r="B22" t="s">
        <v>93</v>
      </c>
      <c r="C22" t="s">
        <v>94</v>
      </c>
      <c r="D22" t="s">
        <v>195</v>
      </c>
      <c r="E22" t="s">
        <v>237</v>
      </c>
      <c r="F22" t="s">
        <v>238</v>
      </c>
      <c r="G22" t="s">
        <v>2</v>
      </c>
      <c r="H22" t="s">
        <v>97</v>
      </c>
      <c r="I22" t="s">
        <v>72</v>
      </c>
      <c r="J22" t="s">
        <v>239</v>
      </c>
      <c r="K22" t="s">
        <v>198</v>
      </c>
      <c r="L22" t="s">
        <v>73</v>
      </c>
      <c r="M22" t="s">
        <v>98</v>
      </c>
      <c r="N22" t="s">
        <v>99</v>
      </c>
      <c r="O22" t="s">
        <v>240</v>
      </c>
      <c r="P22" t="s">
        <v>241</v>
      </c>
      <c r="Q22" t="s">
        <v>242</v>
      </c>
    </row>
    <row r="23" spans="1:17">
      <c r="A23" t="s">
        <v>217</v>
      </c>
      <c r="B23" t="s">
        <v>16</v>
      </c>
      <c r="C23" t="s">
        <v>123</v>
      </c>
      <c r="D23" t="s">
        <v>195</v>
      </c>
      <c r="E23" t="s">
        <v>243</v>
      </c>
      <c r="F23" t="s">
        <v>244</v>
      </c>
      <c r="G23" t="s">
        <v>245</v>
      </c>
      <c r="H23" t="s">
        <v>246</v>
      </c>
      <c r="I23" t="s">
        <v>83</v>
      </c>
      <c r="K23" t="s">
        <v>198</v>
      </c>
      <c r="M23" t="s">
        <v>57</v>
      </c>
      <c r="N23" t="s">
        <v>16</v>
      </c>
    </row>
    <row r="24" spans="1:17">
      <c r="A24" t="s">
        <v>92</v>
      </c>
      <c r="B24" t="s">
        <v>160</v>
      </c>
      <c r="C24" t="s">
        <v>201</v>
      </c>
      <c r="D24" t="s">
        <v>195</v>
      </c>
      <c r="E24" t="s">
        <v>247</v>
      </c>
      <c r="F24" t="s">
        <v>248</v>
      </c>
      <c r="G24" t="s">
        <v>2</v>
      </c>
      <c r="H24" t="s">
        <v>97</v>
      </c>
      <c r="I24" t="s">
        <v>72</v>
      </c>
      <c r="K24" t="s">
        <v>198</v>
      </c>
      <c r="L24" t="s">
        <v>73</v>
      </c>
      <c r="M24" t="s">
        <v>207</v>
      </c>
      <c r="N24" t="s">
        <v>160</v>
      </c>
    </row>
    <row r="25" spans="1:17">
      <c r="A25" t="s">
        <v>92</v>
      </c>
      <c r="B25" t="s">
        <v>160</v>
      </c>
      <c r="C25" t="s">
        <v>201</v>
      </c>
      <c r="D25" t="s">
        <v>195</v>
      </c>
      <c r="E25" t="s">
        <v>249</v>
      </c>
      <c r="F25" t="s">
        <v>250</v>
      </c>
      <c r="G25" t="s">
        <v>2</v>
      </c>
      <c r="H25" t="s">
        <v>97</v>
      </c>
      <c r="I25" t="s">
        <v>72</v>
      </c>
      <c r="K25" t="s">
        <v>198</v>
      </c>
      <c r="L25" t="s">
        <v>73</v>
      </c>
      <c r="M25" t="s">
        <v>207</v>
      </c>
      <c r="N25" t="s">
        <v>160</v>
      </c>
    </row>
    <row r="26" spans="1:17">
      <c r="A26" t="s">
        <v>92</v>
      </c>
      <c r="B26" t="s">
        <v>93</v>
      </c>
      <c r="C26" t="s">
        <v>94</v>
      </c>
      <c r="D26" t="s">
        <v>195</v>
      </c>
      <c r="E26" t="s">
        <v>251</v>
      </c>
      <c r="F26" t="s">
        <v>197</v>
      </c>
      <c r="G26" t="s">
        <v>2</v>
      </c>
      <c r="H26" t="s">
        <v>97</v>
      </c>
      <c r="I26" t="s">
        <v>72</v>
      </c>
      <c r="K26" t="s">
        <v>198</v>
      </c>
      <c r="L26" t="s">
        <v>73</v>
      </c>
      <c r="M26" t="s">
        <v>98</v>
      </c>
      <c r="N26" t="s">
        <v>99</v>
      </c>
      <c r="O26" t="s">
        <v>199</v>
      </c>
      <c r="P26" t="s">
        <v>200</v>
      </c>
    </row>
    <row r="27" spans="1:17">
      <c r="A27" t="s">
        <v>92</v>
      </c>
      <c r="B27" t="s">
        <v>160</v>
      </c>
      <c r="C27" t="s">
        <v>201</v>
      </c>
      <c r="D27" t="s">
        <v>195</v>
      </c>
      <c r="E27" t="s">
        <v>252</v>
      </c>
      <c r="F27" t="s">
        <v>253</v>
      </c>
      <c r="G27" t="s">
        <v>2</v>
      </c>
      <c r="H27" t="s">
        <v>97</v>
      </c>
      <c r="I27" t="s">
        <v>72</v>
      </c>
      <c r="K27" t="s">
        <v>198</v>
      </c>
      <c r="L27" t="s">
        <v>73</v>
      </c>
      <c r="M27" t="s">
        <v>207</v>
      </c>
      <c r="N27" t="s">
        <v>160</v>
      </c>
    </row>
    <row r="28" spans="1:17">
      <c r="A28" t="s">
        <v>92</v>
      </c>
      <c r="B28" t="s">
        <v>4</v>
      </c>
      <c r="C28" t="s">
        <v>225</v>
      </c>
      <c r="D28" t="s">
        <v>195</v>
      </c>
      <c r="E28" t="s">
        <v>254</v>
      </c>
      <c r="F28" t="s">
        <v>255</v>
      </c>
      <c r="G28" t="s">
        <v>71</v>
      </c>
      <c r="H28" t="s">
        <v>256</v>
      </c>
      <c r="I28" t="s">
        <v>83</v>
      </c>
      <c r="J28" t="s">
        <v>257</v>
      </c>
      <c r="K28" t="s">
        <v>198</v>
      </c>
      <c r="M28" t="s">
        <v>207</v>
      </c>
      <c r="N28" t="s">
        <v>258</v>
      </c>
      <c r="O28" t="s">
        <v>234</v>
      </c>
    </row>
    <row r="29" spans="1:17">
      <c r="A29" t="s">
        <v>259</v>
      </c>
      <c r="B29" t="s">
        <v>93</v>
      </c>
      <c r="C29" t="s">
        <v>94</v>
      </c>
      <c r="D29" t="s">
        <v>195</v>
      </c>
      <c r="E29" t="s">
        <v>260</v>
      </c>
      <c r="F29" t="s">
        <v>261</v>
      </c>
      <c r="G29" t="s">
        <v>2</v>
      </c>
      <c r="H29" t="s">
        <v>97</v>
      </c>
      <c r="I29" t="s">
        <v>72</v>
      </c>
      <c r="K29" t="s">
        <v>198</v>
      </c>
      <c r="L29" t="s">
        <v>73</v>
      </c>
      <c r="M29" t="s">
        <v>98</v>
      </c>
      <c r="N29" t="s">
        <v>99</v>
      </c>
    </row>
    <row r="30" spans="1:17">
      <c r="A30" t="s">
        <v>92</v>
      </c>
      <c r="B30" t="s">
        <v>93</v>
      </c>
      <c r="C30" t="s">
        <v>94</v>
      </c>
      <c r="D30" t="s">
        <v>195</v>
      </c>
      <c r="E30" t="s">
        <v>262</v>
      </c>
      <c r="F30" t="s">
        <v>263</v>
      </c>
      <c r="G30" t="s">
        <v>2</v>
      </c>
      <c r="H30" t="s">
        <v>97</v>
      </c>
      <c r="I30" t="s">
        <v>72</v>
      </c>
      <c r="K30" t="s">
        <v>198</v>
      </c>
      <c r="L30" t="s">
        <v>73</v>
      </c>
      <c r="M30" t="s">
        <v>98</v>
      </c>
      <c r="N30" t="s">
        <v>99</v>
      </c>
    </row>
    <row r="31" spans="1:17">
      <c r="A31" t="s">
        <v>92</v>
      </c>
      <c r="B31" t="s">
        <v>93</v>
      </c>
      <c r="C31" t="s">
        <v>94</v>
      </c>
      <c r="D31" t="s">
        <v>195</v>
      </c>
      <c r="E31" t="s">
        <v>264</v>
      </c>
      <c r="F31" t="s">
        <v>265</v>
      </c>
      <c r="G31" t="s">
        <v>2</v>
      </c>
      <c r="H31" t="s">
        <v>97</v>
      </c>
      <c r="I31" t="s">
        <v>72</v>
      </c>
      <c r="J31" t="s">
        <v>266</v>
      </c>
      <c r="K31" t="s">
        <v>198</v>
      </c>
      <c r="L31" t="s">
        <v>73</v>
      </c>
      <c r="M31" t="s">
        <v>207</v>
      </c>
      <c r="N31" t="s">
        <v>99</v>
      </c>
    </row>
    <row r="32" spans="1:17">
      <c r="A32" t="s">
        <v>92</v>
      </c>
      <c r="B32" t="s">
        <v>267</v>
      </c>
      <c r="C32" t="s">
        <v>268</v>
      </c>
      <c r="D32" t="s">
        <v>195</v>
      </c>
      <c r="E32" t="s">
        <v>269</v>
      </c>
      <c r="F32" t="s">
        <v>270</v>
      </c>
      <c r="G32" t="s">
        <v>71</v>
      </c>
      <c r="K32" t="s">
        <v>198</v>
      </c>
      <c r="M32" t="s">
        <v>57</v>
      </c>
      <c r="N32" t="s">
        <v>267</v>
      </c>
    </row>
    <row r="33" spans="1:18">
      <c r="A33" t="s">
        <v>92</v>
      </c>
      <c r="B33" t="s">
        <v>93</v>
      </c>
      <c r="C33" t="s">
        <v>94</v>
      </c>
      <c r="D33" t="s">
        <v>195</v>
      </c>
      <c r="E33" t="s">
        <v>271</v>
      </c>
      <c r="F33" t="s">
        <v>265</v>
      </c>
      <c r="G33" t="s">
        <v>2</v>
      </c>
      <c r="H33" t="s">
        <v>97</v>
      </c>
      <c r="I33" t="s">
        <v>72</v>
      </c>
      <c r="J33" t="s">
        <v>266</v>
      </c>
      <c r="K33" t="s">
        <v>198</v>
      </c>
      <c r="L33" t="s">
        <v>73</v>
      </c>
      <c r="M33" t="s">
        <v>207</v>
      </c>
      <c r="N33" t="s">
        <v>99</v>
      </c>
    </row>
    <row r="34" spans="1:18">
      <c r="A34" t="s">
        <v>92</v>
      </c>
      <c r="B34" t="s">
        <v>4</v>
      </c>
      <c r="C34" t="s">
        <v>225</v>
      </c>
      <c r="D34" t="s">
        <v>195</v>
      </c>
      <c r="E34" t="s">
        <v>272</v>
      </c>
      <c r="F34" t="s">
        <v>273</v>
      </c>
      <c r="G34" t="s">
        <v>71</v>
      </c>
      <c r="H34" t="s">
        <v>274</v>
      </c>
      <c r="I34" t="s">
        <v>83</v>
      </c>
      <c r="K34" t="s">
        <v>198</v>
      </c>
      <c r="M34" t="s">
        <v>57</v>
      </c>
      <c r="N34" t="s">
        <v>4</v>
      </c>
    </row>
    <row r="35" spans="1:18">
      <c r="A35" t="s">
        <v>236</v>
      </c>
      <c r="B35" t="s">
        <v>4</v>
      </c>
      <c r="C35" t="s">
        <v>225</v>
      </c>
      <c r="D35" t="s">
        <v>195</v>
      </c>
      <c r="E35" t="s">
        <v>275</v>
      </c>
      <c r="F35" t="s">
        <v>276</v>
      </c>
      <c r="G35" t="s">
        <v>2</v>
      </c>
      <c r="H35" t="s">
        <v>97</v>
      </c>
      <c r="I35" t="s">
        <v>72</v>
      </c>
      <c r="K35" t="s">
        <v>198</v>
      </c>
      <c r="L35" t="s">
        <v>73</v>
      </c>
      <c r="M35" t="s">
        <v>207</v>
      </c>
      <c r="N35" t="s">
        <v>4</v>
      </c>
    </row>
    <row r="36" spans="1:18">
      <c r="A36" t="s">
        <v>92</v>
      </c>
      <c r="B36" t="s">
        <v>93</v>
      </c>
      <c r="C36" t="s">
        <v>94</v>
      </c>
      <c r="D36" t="s">
        <v>195</v>
      </c>
      <c r="E36" t="s">
        <v>277</v>
      </c>
      <c r="F36" t="s">
        <v>263</v>
      </c>
      <c r="G36" t="s">
        <v>2</v>
      </c>
      <c r="H36" t="s">
        <v>97</v>
      </c>
      <c r="I36" t="s">
        <v>72</v>
      </c>
      <c r="K36" t="s">
        <v>198</v>
      </c>
      <c r="L36" t="s">
        <v>73</v>
      </c>
      <c r="M36" t="s">
        <v>98</v>
      </c>
      <c r="N36" t="s">
        <v>99</v>
      </c>
    </row>
    <row r="37" spans="1:18">
      <c r="A37" t="s">
        <v>92</v>
      </c>
      <c r="B37" t="s">
        <v>93</v>
      </c>
      <c r="C37" t="s">
        <v>94</v>
      </c>
      <c r="D37" t="s">
        <v>195</v>
      </c>
      <c r="E37" t="s">
        <v>278</v>
      </c>
      <c r="F37" t="s">
        <v>263</v>
      </c>
      <c r="G37" t="s">
        <v>2</v>
      </c>
      <c r="H37" t="s">
        <v>97</v>
      </c>
      <c r="I37" t="s">
        <v>72</v>
      </c>
      <c r="K37" t="s">
        <v>198</v>
      </c>
      <c r="L37" t="s">
        <v>73</v>
      </c>
      <c r="M37" t="s">
        <v>98</v>
      </c>
      <c r="N37" t="s">
        <v>99</v>
      </c>
    </row>
    <row r="38" spans="1:18">
      <c r="A38" t="s">
        <v>92</v>
      </c>
      <c r="B38" t="s">
        <v>93</v>
      </c>
      <c r="C38" t="s">
        <v>94</v>
      </c>
      <c r="D38" t="s">
        <v>195</v>
      </c>
      <c r="E38" t="s">
        <v>279</v>
      </c>
      <c r="F38" t="s">
        <v>280</v>
      </c>
      <c r="G38" t="s">
        <v>2</v>
      </c>
      <c r="H38" t="s">
        <v>97</v>
      </c>
      <c r="I38" t="s">
        <v>72</v>
      </c>
      <c r="K38" t="s">
        <v>198</v>
      </c>
      <c r="L38" t="s">
        <v>73</v>
      </c>
      <c r="M38" t="s">
        <v>98</v>
      </c>
      <c r="N38" t="s">
        <v>99</v>
      </c>
      <c r="Q38" t="s">
        <v>215</v>
      </c>
      <c r="R38" t="s">
        <v>281</v>
      </c>
    </row>
    <row r="39" spans="1:18">
      <c r="A39" t="s">
        <v>92</v>
      </c>
      <c r="B39" t="s">
        <v>93</v>
      </c>
      <c r="C39" t="s">
        <v>94</v>
      </c>
      <c r="D39" t="s">
        <v>195</v>
      </c>
      <c r="E39" t="s">
        <v>282</v>
      </c>
      <c r="F39" t="s">
        <v>280</v>
      </c>
      <c r="G39" t="s">
        <v>2</v>
      </c>
      <c r="H39" t="s">
        <v>97</v>
      </c>
      <c r="I39" t="s">
        <v>72</v>
      </c>
      <c r="K39" t="s">
        <v>198</v>
      </c>
      <c r="L39" t="s">
        <v>73</v>
      </c>
      <c r="M39" t="s">
        <v>98</v>
      </c>
      <c r="N39" t="s">
        <v>99</v>
      </c>
    </row>
    <row r="40" spans="1:18" ht="60">
      <c r="A40" t="s">
        <v>67</v>
      </c>
      <c r="B40" t="s">
        <v>68</v>
      </c>
      <c r="C40" t="s">
        <v>201</v>
      </c>
      <c r="D40" t="s">
        <v>195</v>
      </c>
      <c r="E40" t="s">
        <v>283</v>
      </c>
      <c r="F40" t="s">
        <v>284</v>
      </c>
      <c r="G40" t="s">
        <v>71</v>
      </c>
      <c r="H40" t="s">
        <v>72</v>
      </c>
      <c r="J40" s="122" t="s">
        <v>285</v>
      </c>
      <c r="K40" t="s">
        <v>198</v>
      </c>
      <c r="L40" t="s">
        <v>73</v>
      </c>
      <c r="M40" t="s">
        <v>74</v>
      </c>
      <c r="N40" t="s">
        <v>160</v>
      </c>
      <c r="O40" t="s">
        <v>286</v>
      </c>
      <c r="P40" t="s">
        <v>287</v>
      </c>
    </row>
    <row r="41" spans="1:18">
      <c r="A41" t="s">
        <v>259</v>
      </c>
      <c r="B41" t="s">
        <v>93</v>
      </c>
      <c r="C41" t="s">
        <v>94</v>
      </c>
      <c r="D41" t="s">
        <v>195</v>
      </c>
      <c r="E41" t="s">
        <v>288</v>
      </c>
      <c r="F41" t="s">
        <v>289</v>
      </c>
      <c r="G41" t="s">
        <v>2</v>
      </c>
      <c r="H41" t="s">
        <v>97</v>
      </c>
      <c r="I41" t="s">
        <v>72</v>
      </c>
      <c r="K41" t="s">
        <v>198</v>
      </c>
      <c r="L41" t="s">
        <v>73</v>
      </c>
      <c r="M41" t="s">
        <v>98</v>
      </c>
      <c r="N41" t="s">
        <v>99</v>
      </c>
    </row>
    <row r="42" spans="1:18">
      <c r="A42" t="s">
        <v>46</v>
      </c>
      <c r="B42" t="s">
        <v>47</v>
      </c>
      <c r="C42" t="s">
        <v>48</v>
      </c>
      <c r="D42" t="s">
        <v>195</v>
      </c>
      <c r="E42" t="s">
        <v>290</v>
      </c>
      <c r="F42" t="s">
        <v>291</v>
      </c>
      <c r="G42" t="s">
        <v>126</v>
      </c>
      <c r="I42" t="s">
        <v>83</v>
      </c>
      <c r="J42" t="s">
        <v>292</v>
      </c>
      <c r="K42" t="s">
        <v>198</v>
      </c>
      <c r="M42" t="s">
        <v>57</v>
      </c>
      <c r="N42" t="s">
        <v>16</v>
      </c>
    </row>
    <row r="43" spans="1:18">
      <c r="A43" t="s">
        <v>92</v>
      </c>
      <c r="B43" t="s">
        <v>160</v>
      </c>
      <c r="C43" t="s">
        <v>201</v>
      </c>
      <c r="D43" t="s">
        <v>195</v>
      </c>
      <c r="E43" t="s">
        <v>293</v>
      </c>
      <c r="F43" t="s">
        <v>294</v>
      </c>
      <c r="G43" t="s">
        <v>2</v>
      </c>
      <c r="H43" t="s">
        <v>97</v>
      </c>
      <c r="I43" t="s">
        <v>72</v>
      </c>
      <c r="K43" t="s">
        <v>198</v>
      </c>
      <c r="L43" t="s">
        <v>73</v>
      </c>
      <c r="M43" t="s">
        <v>207</v>
      </c>
      <c r="N43" t="s">
        <v>160</v>
      </c>
    </row>
    <row r="44" spans="1:18">
      <c r="A44" t="s">
        <v>92</v>
      </c>
      <c r="B44" t="s">
        <v>160</v>
      </c>
      <c r="C44" t="s">
        <v>201</v>
      </c>
      <c r="D44" t="s">
        <v>195</v>
      </c>
      <c r="E44" t="s">
        <v>295</v>
      </c>
      <c r="F44" t="s">
        <v>296</v>
      </c>
      <c r="G44" t="s">
        <v>2</v>
      </c>
      <c r="H44" t="s">
        <v>97</v>
      </c>
      <c r="I44" t="s">
        <v>72</v>
      </c>
      <c r="K44" t="s">
        <v>198</v>
      </c>
      <c r="L44" t="s">
        <v>73</v>
      </c>
      <c r="M44" t="s">
        <v>207</v>
      </c>
      <c r="N44" t="s">
        <v>160</v>
      </c>
    </row>
    <row r="45" spans="1:18">
      <c r="A45" t="s">
        <v>259</v>
      </c>
      <c r="B45" t="s">
        <v>93</v>
      </c>
      <c r="C45" t="s">
        <v>94</v>
      </c>
      <c r="D45" t="s">
        <v>195</v>
      </c>
      <c r="E45" t="s">
        <v>297</v>
      </c>
      <c r="F45" t="s">
        <v>298</v>
      </c>
      <c r="G45" t="s">
        <v>2</v>
      </c>
      <c r="H45" t="s">
        <v>97</v>
      </c>
      <c r="I45" t="s">
        <v>72</v>
      </c>
      <c r="K45" t="s">
        <v>198</v>
      </c>
      <c r="L45" t="s">
        <v>73</v>
      </c>
      <c r="M45" t="s">
        <v>98</v>
      </c>
      <c r="N45" t="s">
        <v>99</v>
      </c>
    </row>
    <row r="46" spans="1:18">
      <c r="A46" t="s">
        <v>259</v>
      </c>
      <c r="B46" t="s">
        <v>93</v>
      </c>
      <c r="C46" t="s">
        <v>94</v>
      </c>
      <c r="D46" t="s">
        <v>195</v>
      </c>
      <c r="E46" t="s">
        <v>299</v>
      </c>
      <c r="F46" t="s">
        <v>300</v>
      </c>
      <c r="G46" t="s">
        <v>2</v>
      </c>
      <c r="H46" t="s">
        <v>97</v>
      </c>
      <c r="I46" t="s">
        <v>72</v>
      </c>
      <c r="K46" t="s">
        <v>198</v>
      </c>
      <c r="L46" t="s">
        <v>73</v>
      </c>
      <c r="M46" t="s">
        <v>98</v>
      </c>
      <c r="N46" t="s">
        <v>99</v>
      </c>
    </row>
    <row r="47" spans="1:18">
      <c r="A47" t="s">
        <v>259</v>
      </c>
      <c r="B47" t="s">
        <v>93</v>
      </c>
      <c r="C47" t="s">
        <v>94</v>
      </c>
      <c r="D47" t="s">
        <v>195</v>
      </c>
      <c r="E47" t="s">
        <v>301</v>
      </c>
      <c r="F47" t="s">
        <v>302</v>
      </c>
      <c r="G47" t="s">
        <v>2</v>
      </c>
      <c r="H47" t="s">
        <v>97</v>
      </c>
      <c r="I47" t="s">
        <v>72</v>
      </c>
      <c r="K47" t="s">
        <v>198</v>
      </c>
      <c r="L47" t="s">
        <v>73</v>
      </c>
      <c r="M47" t="s">
        <v>98</v>
      </c>
      <c r="N47" t="s">
        <v>99</v>
      </c>
    </row>
    <row r="48" spans="1:18">
      <c r="A48" t="s">
        <v>259</v>
      </c>
      <c r="B48" t="s">
        <v>93</v>
      </c>
      <c r="C48" t="s">
        <v>94</v>
      </c>
      <c r="D48" t="s">
        <v>195</v>
      </c>
      <c r="E48" t="s">
        <v>303</v>
      </c>
      <c r="F48" t="s">
        <v>304</v>
      </c>
      <c r="G48" t="s">
        <v>2</v>
      </c>
      <c r="H48" t="s">
        <v>97</v>
      </c>
      <c r="I48" t="s">
        <v>72</v>
      </c>
      <c r="K48" t="s">
        <v>198</v>
      </c>
      <c r="L48" t="s">
        <v>73</v>
      </c>
      <c r="M48" t="s">
        <v>98</v>
      </c>
      <c r="N48" t="s">
        <v>99</v>
      </c>
    </row>
    <row r="49" spans="1:16">
      <c r="A49" t="s">
        <v>259</v>
      </c>
      <c r="B49" t="s">
        <v>93</v>
      </c>
      <c r="C49" t="s">
        <v>94</v>
      </c>
      <c r="D49" t="s">
        <v>195</v>
      </c>
      <c r="E49" t="s">
        <v>305</v>
      </c>
      <c r="F49" t="s">
        <v>306</v>
      </c>
      <c r="G49" t="s">
        <v>2</v>
      </c>
      <c r="H49" t="s">
        <v>97</v>
      </c>
      <c r="I49" t="s">
        <v>72</v>
      </c>
      <c r="J49" t="s">
        <v>307</v>
      </c>
      <c r="K49" t="s">
        <v>198</v>
      </c>
      <c r="L49" t="s">
        <v>73</v>
      </c>
      <c r="M49" t="s">
        <v>98</v>
      </c>
      <c r="N49" t="s">
        <v>99</v>
      </c>
    </row>
    <row r="50" spans="1:16">
      <c r="A50" t="s">
        <v>259</v>
      </c>
      <c r="B50" t="s">
        <v>93</v>
      </c>
      <c r="C50" t="s">
        <v>94</v>
      </c>
      <c r="D50" t="s">
        <v>195</v>
      </c>
      <c r="E50" t="s">
        <v>308</v>
      </c>
      <c r="F50" t="s">
        <v>309</v>
      </c>
      <c r="G50" t="s">
        <v>2</v>
      </c>
      <c r="H50" t="s">
        <v>97</v>
      </c>
      <c r="I50" t="s">
        <v>72</v>
      </c>
      <c r="K50" t="s">
        <v>198</v>
      </c>
      <c r="L50" t="s">
        <v>73</v>
      </c>
      <c r="M50" t="s">
        <v>98</v>
      </c>
      <c r="N50" t="s">
        <v>99</v>
      </c>
    </row>
    <row r="51" spans="1:16">
      <c r="A51" t="s">
        <v>92</v>
      </c>
      <c r="B51" t="s">
        <v>93</v>
      </c>
      <c r="C51" t="s">
        <v>94</v>
      </c>
      <c r="D51" t="s">
        <v>195</v>
      </c>
      <c r="E51" t="s">
        <v>310</v>
      </c>
      <c r="F51" t="s">
        <v>197</v>
      </c>
      <c r="G51" t="s">
        <v>2</v>
      </c>
      <c r="H51" t="s">
        <v>97</v>
      </c>
      <c r="I51" t="s">
        <v>72</v>
      </c>
      <c r="K51" t="s">
        <v>198</v>
      </c>
      <c r="L51" t="s">
        <v>73</v>
      </c>
      <c r="M51" t="s">
        <v>98</v>
      </c>
      <c r="N51" t="s">
        <v>99</v>
      </c>
      <c r="O51" t="s">
        <v>199</v>
      </c>
      <c r="P51" t="s">
        <v>200</v>
      </c>
    </row>
    <row r="52" spans="1:16">
      <c r="A52" t="s">
        <v>92</v>
      </c>
      <c r="B52" t="s">
        <v>80</v>
      </c>
      <c r="C52" t="s">
        <v>201</v>
      </c>
      <c r="D52" t="s">
        <v>195</v>
      </c>
      <c r="E52" t="s">
        <v>311</v>
      </c>
      <c r="F52" t="s">
        <v>312</v>
      </c>
      <c r="G52" t="s">
        <v>71</v>
      </c>
      <c r="K52" t="s">
        <v>198</v>
      </c>
      <c r="M52" t="s">
        <v>57</v>
      </c>
      <c r="N52" t="s">
        <v>160</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87E290-7BFA-42F6-91DC-E48302DEBA05}">
  <sheetPr>
    <tabColor rgb="FFFF0000"/>
  </sheetPr>
  <dimension ref="A1:X49"/>
  <sheetViews>
    <sheetView showGridLines="0" topLeftCell="A22" zoomScale="105" workbookViewId="0">
      <selection activeCell="F44" sqref="F44"/>
    </sheetView>
  </sheetViews>
  <sheetFormatPr defaultColWidth="11.42578125" defaultRowHeight="15"/>
  <cols>
    <col min="1" max="1" width="18" bestFit="1" customWidth="1"/>
    <col min="2" max="2" width="16" bestFit="1" customWidth="1"/>
    <col min="3" max="3" width="5.85546875" bestFit="1" customWidth="1"/>
    <col min="4" max="4" width="6" bestFit="1" customWidth="1"/>
    <col min="5" max="22" width="21.7109375" bestFit="1" customWidth="1"/>
    <col min="23" max="23" width="10.42578125" bestFit="1" customWidth="1"/>
    <col min="24" max="24" width="9.7109375" bestFit="1" customWidth="1"/>
    <col min="25" max="25" width="10.7109375" bestFit="1" customWidth="1"/>
    <col min="26" max="26" width="9.85546875" bestFit="1" customWidth="1"/>
  </cols>
  <sheetData>
    <row r="1" spans="1:8">
      <c r="A1" s="6" t="s">
        <v>40</v>
      </c>
      <c r="B1" t="s">
        <v>313</v>
      </c>
    </row>
    <row r="2" spans="1:8">
      <c r="E2" s="107" t="s">
        <v>314</v>
      </c>
    </row>
    <row r="3" spans="1:8">
      <c r="A3" s="6" t="s">
        <v>315</v>
      </c>
      <c r="B3" t="s">
        <v>316</v>
      </c>
    </row>
    <row r="4" spans="1:8">
      <c r="A4" s="1" t="s">
        <v>317</v>
      </c>
      <c r="B4">
        <v>12</v>
      </c>
      <c r="C4" t="s">
        <v>318</v>
      </c>
      <c r="E4">
        <v>7</v>
      </c>
    </row>
    <row r="5" spans="1:8">
      <c r="A5" s="1" t="s">
        <v>195</v>
      </c>
      <c r="B5">
        <v>49</v>
      </c>
      <c r="E5">
        <v>67</v>
      </c>
    </row>
    <row r="6" spans="1:8">
      <c r="A6" s="1" t="s">
        <v>49</v>
      </c>
      <c r="B6">
        <v>23</v>
      </c>
      <c r="C6" t="s">
        <v>319</v>
      </c>
      <c r="E6">
        <v>20</v>
      </c>
    </row>
    <row r="7" spans="1:8">
      <c r="A7" s="1" t="s">
        <v>320</v>
      </c>
      <c r="B7">
        <v>58</v>
      </c>
      <c r="E7">
        <v>2</v>
      </c>
    </row>
    <row r="8" spans="1:8">
      <c r="A8" s="1" t="s">
        <v>321</v>
      </c>
      <c r="B8">
        <v>8</v>
      </c>
      <c r="E8">
        <v>54</v>
      </c>
    </row>
    <row r="9" spans="1:8">
      <c r="A9" s="1" t="s">
        <v>322</v>
      </c>
      <c r="B9">
        <v>6</v>
      </c>
      <c r="C9" t="s">
        <v>323</v>
      </c>
    </row>
    <row r="10" spans="1:8">
      <c r="A10" s="1" t="s">
        <v>324</v>
      </c>
      <c r="B10">
        <v>1</v>
      </c>
      <c r="G10" s="108"/>
      <c r="H10" t="s">
        <v>325</v>
      </c>
    </row>
    <row r="11" spans="1:8">
      <c r="A11" s="1" t="s">
        <v>326</v>
      </c>
      <c r="B11">
        <v>157</v>
      </c>
      <c r="G11" s="112"/>
      <c r="H11" t="s">
        <v>327</v>
      </c>
    </row>
    <row r="12" spans="1:8">
      <c r="A12" s="1" t="s">
        <v>328</v>
      </c>
      <c r="G12" s="109"/>
      <c r="H12" t="s">
        <v>329</v>
      </c>
    </row>
    <row r="13" spans="1:8">
      <c r="G13" s="110"/>
      <c r="H13" t="s">
        <v>330</v>
      </c>
    </row>
    <row r="14" spans="1:8">
      <c r="G14" s="111"/>
      <c r="H14" t="s">
        <v>331</v>
      </c>
    </row>
    <row r="15" spans="1:8">
      <c r="B15" s="7">
        <f>SUM(B4:B8)</f>
        <v>150</v>
      </c>
      <c r="C15" t="s">
        <v>332</v>
      </c>
    </row>
    <row r="16" spans="1:8">
      <c r="B16" s="105" t="e">
        <f>GETPIVOTDATA("Carpeta",$A$3,"Azure","VOBO DE USUARIO A LAYOUT GENERADO")/B15</f>
        <v>#REF!</v>
      </c>
    </row>
    <row r="21" spans="1:24">
      <c r="C21" s="6" t="s">
        <v>333</v>
      </c>
      <c r="D21" s="6" t="s">
        <v>41</v>
      </c>
    </row>
    <row r="22" spans="1:24">
      <c r="C22" t="s">
        <v>334</v>
      </c>
      <c r="M22" t="s">
        <v>335</v>
      </c>
      <c r="W22" s="8" t="s">
        <v>336</v>
      </c>
      <c r="X22" s="8" t="s">
        <v>337</v>
      </c>
    </row>
    <row r="23" spans="1:24">
      <c r="A23" s="6" t="s">
        <v>31</v>
      </c>
      <c r="B23" s="6" t="s">
        <v>38</v>
      </c>
      <c r="C23" s="8" t="s">
        <v>338</v>
      </c>
      <c r="D23" s="8" t="s">
        <v>16</v>
      </c>
      <c r="E23" s="8" t="s">
        <v>160</v>
      </c>
      <c r="F23" s="8" t="s">
        <v>75</v>
      </c>
      <c r="G23" s="8" t="s">
        <v>133</v>
      </c>
      <c r="H23" s="8" t="s">
        <v>4</v>
      </c>
      <c r="I23" s="8" t="s">
        <v>99</v>
      </c>
      <c r="J23" s="8" t="s">
        <v>258</v>
      </c>
      <c r="K23" s="8" t="s">
        <v>58</v>
      </c>
      <c r="L23" s="8" t="s">
        <v>267</v>
      </c>
      <c r="M23" s="8" t="s">
        <v>338</v>
      </c>
      <c r="N23" s="8" t="s">
        <v>16</v>
      </c>
      <c r="O23" s="8" t="s">
        <v>160</v>
      </c>
      <c r="P23" s="8" t="s">
        <v>75</v>
      </c>
      <c r="Q23" s="8" t="s">
        <v>133</v>
      </c>
      <c r="R23" s="8" t="s">
        <v>4</v>
      </c>
      <c r="S23" s="8" t="s">
        <v>99</v>
      </c>
      <c r="T23" s="8" t="s">
        <v>258</v>
      </c>
      <c r="U23" s="8" t="s">
        <v>58</v>
      </c>
      <c r="V23" s="8" t="s">
        <v>267</v>
      </c>
      <c r="W23" s="8"/>
      <c r="X23" s="8"/>
    </row>
    <row r="24" spans="1:24">
      <c r="A24" t="s">
        <v>195</v>
      </c>
      <c r="B24" t="s">
        <v>198</v>
      </c>
      <c r="C24" s="8"/>
      <c r="D24" s="8">
        <v>4</v>
      </c>
      <c r="E24" s="8">
        <v>8</v>
      </c>
      <c r="F24" s="8"/>
      <c r="G24" s="8"/>
      <c r="H24" s="8">
        <v>4</v>
      </c>
      <c r="I24" s="8">
        <v>31</v>
      </c>
      <c r="J24" s="8">
        <v>1</v>
      </c>
      <c r="K24" s="8"/>
      <c r="L24" s="8">
        <v>1</v>
      </c>
      <c r="M24" s="115">
        <v>0</v>
      </c>
      <c r="N24" s="115">
        <v>2.7586206896551724E-2</v>
      </c>
      <c r="O24" s="115">
        <v>5.5172413793103448E-2</v>
      </c>
      <c r="P24" s="115">
        <v>0</v>
      </c>
      <c r="Q24" s="115">
        <v>0</v>
      </c>
      <c r="R24" s="115">
        <v>2.7586206896551724E-2</v>
      </c>
      <c r="S24" s="115">
        <v>0.21379310344827587</v>
      </c>
      <c r="T24" s="115">
        <v>6.8965517241379309E-3</v>
      </c>
      <c r="U24" s="115">
        <v>0</v>
      </c>
      <c r="V24" s="115">
        <v>6.8965517241379309E-3</v>
      </c>
      <c r="W24" s="8">
        <v>49</v>
      </c>
      <c r="X24" s="115">
        <v>0.33793103448275863</v>
      </c>
    </row>
    <row r="25" spans="1:24">
      <c r="A25" t="s">
        <v>49</v>
      </c>
      <c r="B25" t="s">
        <v>55</v>
      </c>
      <c r="C25" s="8"/>
      <c r="D25" s="8">
        <v>1</v>
      </c>
      <c r="E25" s="8"/>
      <c r="F25" s="8">
        <v>4</v>
      </c>
      <c r="G25" s="8"/>
      <c r="H25" s="8">
        <v>3</v>
      </c>
      <c r="I25" s="8">
        <v>1</v>
      </c>
      <c r="J25" s="8"/>
      <c r="K25" s="8">
        <v>14</v>
      </c>
      <c r="L25" s="8"/>
      <c r="M25" s="115">
        <v>0</v>
      </c>
      <c r="N25" s="115">
        <v>6.8965517241379309E-3</v>
      </c>
      <c r="O25" s="115">
        <v>0</v>
      </c>
      <c r="P25" s="115">
        <v>2.7586206896551724E-2</v>
      </c>
      <c r="Q25" s="115">
        <v>0</v>
      </c>
      <c r="R25" s="115">
        <v>2.0689655172413793E-2</v>
      </c>
      <c r="S25" s="115">
        <v>6.8965517241379309E-3</v>
      </c>
      <c r="T25" s="115">
        <v>0</v>
      </c>
      <c r="U25" s="115">
        <v>9.6551724137931033E-2</v>
      </c>
      <c r="V25" s="115">
        <v>0</v>
      </c>
      <c r="W25" s="8">
        <v>23</v>
      </c>
      <c r="X25" s="115">
        <v>0.15862068965517243</v>
      </c>
    </row>
    <row r="26" spans="1:24">
      <c r="A26" t="s">
        <v>320</v>
      </c>
      <c r="B26" t="s">
        <v>339</v>
      </c>
      <c r="C26" s="8"/>
      <c r="D26" s="8">
        <v>10</v>
      </c>
      <c r="E26" s="8"/>
      <c r="F26" s="8"/>
      <c r="G26" s="8">
        <v>42</v>
      </c>
      <c r="H26" s="8">
        <v>6</v>
      </c>
      <c r="I26" s="8"/>
      <c r="J26" s="8"/>
      <c r="K26" s="8"/>
      <c r="L26" s="8"/>
      <c r="M26" s="115">
        <v>0</v>
      </c>
      <c r="N26" s="115">
        <v>6.8965517241379309E-2</v>
      </c>
      <c r="O26" s="115">
        <v>0</v>
      </c>
      <c r="P26" s="115">
        <v>0</v>
      </c>
      <c r="Q26" s="115">
        <v>0.28965517241379313</v>
      </c>
      <c r="R26" s="115">
        <v>4.1379310344827586E-2</v>
      </c>
      <c r="S26" s="115">
        <v>0</v>
      </c>
      <c r="T26" s="115">
        <v>0</v>
      </c>
      <c r="U26" s="115">
        <v>0</v>
      </c>
      <c r="V26" s="115">
        <v>0</v>
      </c>
      <c r="W26" s="8">
        <v>58</v>
      </c>
      <c r="X26" s="115">
        <v>0.4</v>
      </c>
    </row>
    <row r="27" spans="1:24">
      <c r="A27" t="s">
        <v>321</v>
      </c>
      <c r="B27" t="s">
        <v>340</v>
      </c>
      <c r="C27" s="8">
        <v>8</v>
      </c>
      <c r="D27" s="8"/>
      <c r="E27" s="8"/>
      <c r="F27" s="8"/>
      <c r="G27" s="8"/>
      <c r="H27" s="8"/>
      <c r="I27" s="8"/>
      <c r="J27" s="8"/>
      <c r="K27" s="8"/>
      <c r="L27" s="8"/>
      <c r="M27" s="115">
        <v>5.5172413793103448E-2</v>
      </c>
      <c r="N27" s="115">
        <v>0</v>
      </c>
      <c r="O27" s="115">
        <v>0</v>
      </c>
      <c r="P27" s="115">
        <v>0</v>
      </c>
      <c r="Q27" s="115">
        <v>0</v>
      </c>
      <c r="R27" s="115">
        <v>0</v>
      </c>
      <c r="S27" s="115">
        <v>0</v>
      </c>
      <c r="T27" s="115">
        <v>0</v>
      </c>
      <c r="U27" s="115">
        <v>0</v>
      </c>
      <c r="V27" s="115">
        <v>0</v>
      </c>
      <c r="W27" s="8">
        <v>8</v>
      </c>
      <c r="X27" s="115">
        <v>5.5172413793103448E-2</v>
      </c>
    </row>
    <row r="28" spans="1:24">
      <c r="A28" t="s">
        <v>322</v>
      </c>
      <c r="B28" t="s">
        <v>341</v>
      </c>
      <c r="C28" s="8"/>
      <c r="D28" s="8"/>
      <c r="E28" s="8"/>
      <c r="F28" s="8"/>
      <c r="G28" s="8"/>
      <c r="H28" s="8">
        <v>6</v>
      </c>
      <c r="I28" s="8"/>
      <c r="J28" s="8"/>
      <c r="K28" s="8"/>
      <c r="L28" s="8"/>
      <c r="M28" s="115">
        <v>0</v>
      </c>
      <c r="N28" s="115">
        <v>0</v>
      </c>
      <c r="O28" s="115">
        <v>0</v>
      </c>
      <c r="P28" s="115">
        <v>0</v>
      </c>
      <c r="Q28" s="115">
        <v>0</v>
      </c>
      <c r="R28" s="115">
        <v>4.1379310344827586E-2</v>
      </c>
      <c r="S28" s="115">
        <v>0</v>
      </c>
      <c r="T28" s="115">
        <v>0</v>
      </c>
      <c r="U28" s="115">
        <v>0</v>
      </c>
      <c r="V28" s="115">
        <v>0</v>
      </c>
      <c r="W28" s="8">
        <v>6</v>
      </c>
      <c r="X28" s="115">
        <v>4.1379310344827586E-2</v>
      </c>
    </row>
    <row r="29" spans="1:24">
      <c r="A29" t="s">
        <v>324</v>
      </c>
      <c r="B29" t="s">
        <v>342</v>
      </c>
      <c r="C29" s="8"/>
      <c r="D29" s="8">
        <v>1</v>
      </c>
      <c r="E29" s="8"/>
      <c r="F29" s="8"/>
      <c r="G29" s="8"/>
      <c r="H29" s="8"/>
      <c r="I29" s="8"/>
      <c r="J29" s="8"/>
      <c r="K29" s="8"/>
      <c r="L29" s="8"/>
      <c r="M29" s="115">
        <v>0</v>
      </c>
      <c r="N29" s="115">
        <v>6.8965517241379309E-3</v>
      </c>
      <c r="O29" s="115">
        <v>0</v>
      </c>
      <c r="P29" s="115">
        <v>0</v>
      </c>
      <c r="Q29" s="115">
        <v>0</v>
      </c>
      <c r="R29" s="115">
        <v>0</v>
      </c>
      <c r="S29" s="115">
        <v>0</v>
      </c>
      <c r="T29" s="115">
        <v>0</v>
      </c>
      <c r="U29" s="115">
        <v>0</v>
      </c>
      <c r="V29" s="115">
        <v>0</v>
      </c>
      <c r="W29" s="8">
        <v>1</v>
      </c>
      <c r="X29" s="115">
        <v>6.8965517241379309E-3</v>
      </c>
    </row>
    <row r="30" spans="1:24">
      <c r="A30" t="s">
        <v>156</v>
      </c>
      <c r="C30" s="8">
        <v>8</v>
      </c>
      <c r="D30" s="8">
        <v>16</v>
      </c>
      <c r="E30" s="8">
        <v>8</v>
      </c>
      <c r="F30" s="8">
        <v>4</v>
      </c>
      <c r="G30" s="8">
        <v>42</v>
      </c>
      <c r="H30" s="8">
        <v>19</v>
      </c>
      <c r="I30" s="8">
        <v>32</v>
      </c>
      <c r="J30" s="8">
        <v>1</v>
      </c>
      <c r="K30" s="8">
        <v>14</v>
      </c>
      <c r="L30" s="8">
        <v>1</v>
      </c>
      <c r="M30" s="115">
        <v>5.5172413793103448E-2</v>
      </c>
      <c r="N30" s="115">
        <v>0.1103448275862069</v>
      </c>
      <c r="O30" s="115">
        <v>5.5172413793103448E-2</v>
      </c>
      <c r="P30" s="115">
        <v>2.7586206896551724E-2</v>
      </c>
      <c r="Q30" s="115">
        <v>0.28965517241379313</v>
      </c>
      <c r="R30" s="115">
        <v>0.1310344827586207</v>
      </c>
      <c r="S30" s="115">
        <v>0.22068965517241379</v>
      </c>
      <c r="T30" s="115">
        <v>6.8965517241379309E-3</v>
      </c>
      <c r="U30" s="115">
        <v>9.6551724137931033E-2</v>
      </c>
      <c r="V30" s="115">
        <v>6.8965517241379309E-3</v>
      </c>
      <c r="W30" s="8">
        <v>145</v>
      </c>
      <c r="X30" s="115">
        <v>1</v>
      </c>
    </row>
    <row r="33" spans="1:4">
      <c r="C33" s="6" t="s">
        <v>333</v>
      </c>
    </row>
    <row r="34" spans="1:4">
      <c r="A34" s="6" t="s">
        <v>31</v>
      </c>
      <c r="B34" s="6" t="s">
        <v>38</v>
      </c>
      <c r="C34" t="s">
        <v>334</v>
      </c>
      <c r="D34" t="s">
        <v>335</v>
      </c>
    </row>
    <row r="35" spans="1:4">
      <c r="A35" t="s">
        <v>322</v>
      </c>
      <c r="B35" t="s">
        <v>341</v>
      </c>
      <c r="C35" s="8">
        <v>6</v>
      </c>
      <c r="D35" s="115">
        <v>4.1379310344827586E-2</v>
      </c>
    </row>
    <row r="36" spans="1:4">
      <c r="A36" t="s">
        <v>195</v>
      </c>
      <c r="C36" s="8">
        <v>49</v>
      </c>
      <c r="D36" s="115">
        <v>0.33793103448275863</v>
      </c>
    </row>
    <row r="37" spans="1:4">
      <c r="A37" t="s">
        <v>49</v>
      </c>
      <c r="C37" s="8">
        <v>23</v>
      </c>
      <c r="D37" s="115">
        <v>0.15862068965517243</v>
      </c>
    </row>
    <row r="38" spans="1:4">
      <c r="A38" t="s">
        <v>324</v>
      </c>
      <c r="B38" t="s">
        <v>342</v>
      </c>
      <c r="C38" s="8">
        <v>1</v>
      </c>
      <c r="D38" s="115">
        <v>6.8965517241379309E-3</v>
      </c>
    </row>
    <row r="39" spans="1:4">
      <c r="A39" t="s">
        <v>320</v>
      </c>
      <c r="B39" t="s">
        <v>339</v>
      </c>
      <c r="C39" s="8">
        <v>58</v>
      </c>
      <c r="D39" s="115">
        <v>0.4</v>
      </c>
    </row>
    <row r="40" spans="1:4">
      <c r="A40" t="s">
        <v>321</v>
      </c>
      <c r="B40" t="s">
        <v>340</v>
      </c>
      <c r="C40" s="8">
        <v>8</v>
      </c>
      <c r="D40" s="115">
        <v>5.5172413793103448E-2</v>
      </c>
    </row>
    <row r="41" spans="1:4">
      <c r="A41" t="s">
        <v>156</v>
      </c>
      <c r="C41" s="8">
        <v>145</v>
      </c>
      <c r="D41" s="115">
        <v>1</v>
      </c>
    </row>
    <row r="43" spans="1:4">
      <c r="C43" s="8">
        <v>27</v>
      </c>
      <c r="D43" t="s">
        <v>343</v>
      </c>
    </row>
    <row r="44" spans="1:4">
      <c r="C44" s="8">
        <v>29</v>
      </c>
      <c r="D44" t="s">
        <v>344</v>
      </c>
    </row>
    <row r="46" spans="1:4">
      <c r="C46">
        <f>SUM(C41:C44)</f>
        <v>201</v>
      </c>
    </row>
    <row r="48" spans="1:4">
      <c r="C48">
        <v>195</v>
      </c>
    </row>
    <row r="49" spans="3:3">
      <c r="C49">
        <f>C46-C48</f>
        <v>6</v>
      </c>
    </row>
  </sheetData>
  <pageMargins left="0.7" right="0.7" top="0.75" bottom="0.75" header="0.3" footer="0.3"/>
  <drawing r:id="rId4"/>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FF0000"/>
  </sheetPr>
  <dimension ref="B1:S68"/>
  <sheetViews>
    <sheetView showGridLines="0" topLeftCell="A15" workbookViewId="0">
      <selection activeCell="I37" sqref="I37"/>
    </sheetView>
  </sheetViews>
  <sheetFormatPr defaultColWidth="11.42578125" defaultRowHeight="15"/>
  <cols>
    <col min="1" max="1" width="6.140625" customWidth="1"/>
    <col min="2" max="2" width="32.5703125" bestFit="1" customWidth="1"/>
    <col min="3" max="3" width="12.7109375" style="8" bestFit="1" customWidth="1"/>
    <col min="4" max="4" width="8" style="8" bestFit="1" customWidth="1"/>
    <col min="5" max="5" width="3.5703125" style="8" bestFit="1" customWidth="1"/>
    <col min="6" max="6" width="5.85546875" style="8" bestFit="1" customWidth="1"/>
    <col min="8" max="8" width="32.5703125" bestFit="1" customWidth="1"/>
    <col min="9" max="9" width="30" style="8" bestFit="1" customWidth="1"/>
    <col min="10" max="14" width="15.140625" style="8" bestFit="1" customWidth="1"/>
    <col min="15" max="16" width="5" style="8" bestFit="1" customWidth="1"/>
    <col min="17" max="17" width="6.5703125" style="8" bestFit="1" customWidth="1"/>
  </cols>
  <sheetData>
    <row r="1" spans="2:19">
      <c r="H1" s="6" t="s">
        <v>40</v>
      </c>
      <c r="I1" s="8" t="s">
        <v>57</v>
      </c>
    </row>
    <row r="3" spans="2:19">
      <c r="H3" s="6" t="s">
        <v>345</v>
      </c>
      <c r="I3"/>
      <c r="J3" s="21" t="s">
        <v>38</v>
      </c>
      <c r="P3" s="24"/>
      <c r="Q3" s="24"/>
      <c r="R3" s="24"/>
      <c r="S3" s="24"/>
    </row>
    <row r="4" spans="2:19" ht="88.5">
      <c r="H4" s="6" t="s">
        <v>346</v>
      </c>
      <c r="I4" s="6" t="s">
        <v>0</v>
      </c>
      <c r="J4" s="20" t="s">
        <v>347</v>
      </c>
      <c r="K4" s="20" t="s">
        <v>348</v>
      </c>
      <c r="L4" s="20" t="s">
        <v>349</v>
      </c>
      <c r="M4" s="20" t="s">
        <v>350</v>
      </c>
      <c r="N4" s="31" t="s">
        <v>351</v>
      </c>
      <c r="O4" s="26" t="s">
        <v>156</v>
      </c>
      <c r="P4" s="22" t="s">
        <v>352</v>
      </c>
      <c r="Q4" s="22" t="s">
        <v>353</v>
      </c>
    </row>
    <row r="5" spans="2:19">
      <c r="B5" t="s">
        <v>354</v>
      </c>
      <c r="C5" t="s">
        <v>40</v>
      </c>
      <c r="H5" t="s">
        <v>134</v>
      </c>
      <c r="I5" t="s">
        <v>133</v>
      </c>
      <c r="K5" s="82"/>
      <c r="L5" s="8">
        <v>1</v>
      </c>
      <c r="N5" s="81">
        <v>42</v>
      </c>
      <c r="O5" s="80">
        <v>43</v>
      </c>
      <c r="P5" s="23">
        <f>N5/O5</f>
        <v>0.97674418604651159</v>
      </c>
      <c r="Q5" s="23">
        <f t="shared" ref="Q5" si="0">O5/$O$13</f>
        <v>21.5</v>
      </c>
    </row>
    <row r="6" spans="2:19">
      <c r="B6" t="s">
        <v>355</v>
      </c>
      <c r="C6" s="8" t="s">
        <v>57</v>
      </c>
      <c r="D6" s="8" t="s">
        <v>74</v>
      </c>
      <c r="E6" s="8" t="s">
        <v>102</v>
      </c>
      <c r="F6" s="8" t="s">
        <v>156</v>
      </c>
      <c r="H6" t="s">
        <v>94</v>
      </c>
      <c r="I6" t="s">
        <v>93</v>
      </c>
      <c r="L6" s="8">
        <v>1</v>
      </c>
      <c r="N6" s="81"/>
      <c r="O6" s="79">
        <v>1</v>
      </c>
      <c r="P6" s="23">
        <f t="shared" ref="P6:P13" si="1">N6/O6</f>
        <v>0</v>
      </c>
      <c r="Q6" s="23">
        <f>O6/$O$13</f>
        <v>0.5</v>
      </c>
    </row>
    <row r="7" spans="2:19">
      <c r="B7" s="1" t="s">
        <v>16</v>
      </c>
      <c r="C7" s="8">
        <v>14</v>
      </c>
      <c r="F7" s="8">
        <v>14</v>
      </c>
      <c r="H7" t="s">
        <v>225</v>
      </c>
      <c r="I7" t="s">
        <v>4</v>
      </c>
      <c r="J7" s="28">
        <v>2</v>
      </c>
      <c r="K7" s="8">
        <v>1</v>
      </c>
      <c r="L7" s="30"/>
      <c r="N7" s="81">
        <v>5</v>
      </c>
      <c r="O7" s="80">
        <v>8</v>
      </c>
      <c r="P7" s="23">
        <f t="shared" si="1"/>
        <v>0.625</v>
      </c>
      <c r="Q7" s="23">
        <f t="shared" ref="Q7:Q12" si="2">O7/$O$13</f>
        <v>4</v>
      </c>
    </row>
    <row r="8" spans="2:19">
      <c r="B8" s="9" t="s">
        <v>348</v>
      </c>
      <c r="C8" s="8">
        <v>4</v>
      </c>
      <c r="F8" s="8">
        <v>4</v>
      </c>
      <c r="H8" t="s">
        <v>48</v>
      </c>
      <c r="I8" t="s">
        <v>68</v>
      </c>
      <c r="L8" s="8">
        <v>2</v>
      </c>
      <c r="N8" s="81">
        <v>1</v>
      </c>
      <c r="O8" s="80">
        <v>3</v>
      </c>
      <c r="P8" s="23">
        <f t="shared" si="1"/>
        <v>0.33333333333333331</v>
      </c>
      <c r="Q8" s="23">
        <f t="shared" si="2"/>
        <v>1.5</v>
      </c>
    </row>
    <row r="9" spans="2:19">
      <c r="B9" s="9" t="s">
        <v>350</v>
      </c>
      <c r="C9" s="8">
        <v>4</v>
      </c>
      <c r="F9" s="8">
        <v>4</v>
      </c>
      <c r="I9" t="s">
        <v>47</v>
      </c>
      <c r="K9" s="30">
        <v>1</v>
      </c>
      <c r="L9" s="84">
        <v>1</v>
      </c>
      <c r="M9" s="83"/>
      <c r="N9" s="32"/>
      <c r="O9" s="80">
        <v>2</v>
      </c>
      <c r="P9" s="23">
        <f t="shared" si="1"/>
        <v>0</v>
      </c>
      <c r="Q9" s="23">
        <f t="shared" si="2"/>
        <v>1</v>
      </c>
    </row>
    <row r="10" spans="2:19">
      <c r="B10" s="9" t="s">
        <v>351</v>
      </c>
      <c r="C10" s="8">
        <v>4</v>
      </c>
      <c r="F10" s="8">
        <v>4</v>
      </c>
      <c r="I10" t="s">
        <v>61</v>
      </c>
      <c r="L10" s="29">
        <v>7</v>
      </c>
      <c r="M10" s="69">
        <v>3</v>
      </c>
      <c r="N10" s="81"/>
      <c r="O10" s="80">
        <v>10</v>
      </c>
      <c r="P10" s="23">
        <f t="shared" si="1"/>
        <v>0</v>
      </c>
      <c r="Q10" s="23">
        <f t="shared" si="2"/>
        <v>5</v>
      </c>
    </row>
    <row r="11" spans="2:19">
      <c r="B11" s="9" t="s">
        <v>349</v>
      </c>
      <c r="C11" s="8">
        <v>2</v>
      </c>
      <c r="F11" s="8">
        <v>2</v>
      </c>
      <c r="H11" t="s">
        <v>123</v>
      </c>
      <c r="I11" t="s">
        <v>16</v>
      </c>
      <c r="K11" s="8">
        <v>2</v>
      </c>
      <c r="M11" s="72">
        <v>5</v>
      </c>
      <c r="N11" s="81">
        <v>8</v>
      </c>
      <c r="O11" s="80">
        <v>15</v>
      </c>
      <c r="P11" s="23">
        <f t="shared" si="1"/>
        <v>0.53333333333333333</v>
      </c>
      <c r="Q11" s="23">
        <f t="shared" si="2"/>
        <v>7.5</v>
      </c>
    </row>
    <row r="12" spans="2:19">
      <c r="B12" s="1" t="s">
        <v>68</v>
      </c>
      <c r="C12" s="8">
        <v>4</v>
      </c>
      <c r="D12" s="8">
        <v>13</v>
      </c>
      <c r="E12" s="8">
        <v>7</v>
      </c>
      <c r="F12" s="8">
        <v>24</v>
      </c>
      <c r="H12" t="s">
        <v>268</v>
      </c>
      <c r="I12" t="s">
        <v>267</v>
      </c>
      <c r="K12" s="8">
        <v>1</v>
      </c>
      <c r="N12" s="81"/>
      <c r="O12" s="80">
        <v>1</v>
      </c>
      <c r="P12" s="23">
        <f t="shared" si="1"/>
        <v>0</v>
      </c>
      <c r="Q12" s="23">
        <f t="shared" si="2"/>
        <v>0.5</v>
      </c>
    </row>
    <row r="13" spans="2:19">
      <c r="B13" s="9" t="s">
        <v>347</v>
      </c>
      <c r="D13" s="8">
        <v>13</v>
      </c>
      <c r="E13" s="8">
        <v>7</v>
      </c>
      <c r="F13" s="8">
        <v>20</v>
      </c>
      <c r="H13" t="s">
        <v>201</v>
      </c>
      <c r="I13" t="s">
        <v>133</v>
      </c>
      <c r="K13" s="8">
        <v>2</v>
      </c>
      <c r="N13" s="81"/>
      <c r="O13" s="79">
        <v>2</v>
      </c>
      <c r="P13" s="71">
        <f t="shared" si="1"/>
        <v>0</v>
      </c>
      <c r="Q13" s="71">
        <f>SUM(Q5:Q12)</f>
        <v>41.5</v>
      </c>
    </row>
    <row r="14" spans="2:19">
      <c r="B14" s="9" t="s">
        <v>351</v>
      </c>
      <c r="C14" s="8">
        <v>4</v>
      </c>
      <c r="F14" s="8">
        <v>4</v>
      </c>
      <c r="H14" t="s">
        <v>156</v>
      </c>
      <c r="I14"/>
      <c r="J14" s="8">
        <v>2</v>
      </c>
      <c r="K14" s="8">
        <v>7</v>
      </c>
      <c r="L14" s="8">
        <v>12</v>
      </c>
      <c r="M14" s="8">
        <v>8</v>
      </c>
      <c r="N14" s="81">
        <v>56</v>
      </c>
      <c r="O14" s="79">
        <v>85</v>
      </c>
    </row>
    <row r="15" spans="2:19">
      <c r="B15" s="1" t="s">
        <v>47</v>
      </c>
      <c r="C15" s="8">
        <v>3</v>
      </c>
      <c r="F15" s="8">
        <v>3</v>
      </c>
      <c r="I15"/>
      <c r="J15" s="25"/>
      <c r="K15" s="25"/>
      <c r="L15" s="25"/>
      <c r="M15" s="25"/>
      <c r="N15" s="25"/>
      <c r="Q15" s="25">
        <f>SUM(J15:P15)</f>
        <v>0</v>
      </c>
    </row>
    <row r="16" spans="2:19">
      <c r="B16" s="9" t="s">
        <v>348</v>
      </c>
      <c r="C16" s="8">
        <v>2</v>
      </c>
      <c r="F16" s="8">
        <v>2</v>
      </c>
      <c r="I16"/>
    </row>
    <row r="17" spans="2:17">
      <c r="B17" s="9" t="s">
        <v>350</v>
      </c>
      <c r="C17" s="8">
        <v>1</v>
      </c>
      <c r="F17" s="8">
        <v>1</v>
      </c>
      <c r="I17"/>
      <c r="Q17" s="23"/>
    </row>
    <row r="18" spans="2:17">
      <c r="B18" s="1" t="s">
        <v>61</v>
      </c>
      <c r="C18" s="8">
        <v>10</v>
      </c>
      <c r="E18" s="8">
        <v>6</v>
      </c>
      <c r="F18" s="8">
        <v>16</v>
      </c>
      <c r="I18"/>
      <c r="J18"/>
      <c r="K18"/>
      <c r="L18"/>
      <c r="M18"/>
      <c r="N18"/>
      <c r="O18"/>
      <c r="P18"/>
      <c r="Q18"/>
    </row>
    <row r="19" spans="2:17">
      <c r="B19" s="9" t="s">
        <v>347</v>
      </c>
      <c r="E19" s="8">
        <v>6</v>
      </c>
      <c r="F19" s="8">
        <v>6</v>
      </c>
      <c r="I19"/>
      <c r="J19"/>
      <c r="K19"/>
      <c r="L19"/>
      <c r="M19"/>
      <c r="N19"/>
      <c r="O19"/>
      <c r="P19"/>
      <c r="Q19"/>
    </row>
    <row r="20" spans="2:17">
      <c r="B20" s="9" t="s">
        <v>350</v>
      </c>
      <c r="C20" s="8">
        <v>3</v>
      </c>
      <c r="F20" s="8">
        <v>3</v>
      </c>
      <c r="I20"/>
      <c r="J20"/>
      <c r="K20"/>
      <c r="L20"/>
      <c r="M20"/>
      <c r="N20"/>
      <c r="O20"/>
      <c r="P20"/>
      <c r="Q20"/>
    </row>
    <row r="21" spans="2:17">
      <c r="B21" s="9" t="s">
        <v>349</v>
      </c>
      <c r="C21" s="8">
        <v>7</v>
      </c>
      <c r="F21" s="8">
        <v>7</v>
      </c>
      <c r="I21"/>
      <c r="J21"/>
      <c r="K21"/>
      <c r="L21"/>
      <c r="M21"/>
      <c r="N21"/>
      <c r="O21"/>
      <c r="P21"/>
      <c r="Q21"/>
    </row>
    <row r="22" spans="2:17">
      <c r="B22" s="1" t="s">
        <v>133</v>
      </c>
      <c r="C22" s="8">
        <v>7</v>
      </c>
      <c r="E22" s="8">
        <v>12</v>
      </c>
      <c r="F22" s="8">
        <v>19</v>
      </c>
      <c r="K22"/>
      <c r="L22"/>
      <c r="M22"/>
      <c r="N22"/>
      <c r="O22"/>
      <c r="P22"/>
      <c r="Q22"/>
    </row>
    <row r="23" spans="2:17">
      <c r="B23" s="9" t="s">
        <v>347</v>
      </c>
      <c r="E23" s="8">
        <v>12</v>
      </c>
      <c r="F23" s="8">
        <v>12</v>
      </c>
      <c r="I23"/>
      <c r="J23"/>
      <c r="K23"/>
      <c r="L23"/>
      <c r="M23"/>
      <c r="N23"/>
      <c r="O23"/>
      <c r="P23"/>
      <c r="Q23"/>
    </row>
    <row r="24" spans="2:17">
      <c r="B24" s="9" t="s">
        <v>348</v>
      </c>
      <c r="C24" s="8">
        <v>2</v>
      </c>
      <c r="F24" s="8">
        <v>2</v>
      </c>
      <c r="I24"/>
      <c r="J24"/>
      <c r="K24"/>
      <c r="L24"/>
      <c r="M24"/>
      <c r="N24"/>
      <c r="O24"/>
      <c r="P24"/>
      <c r="Q24"/>
    </row>
    <row r="25" spans="2:17">
      <c r="B25" s="9" t="s">
        <v>351</v>
      </c>
      <c r="C25" s="8">
        <v>5</v>
      </c>
      <c r="F25" s="8">
        <v>5</v>
      </c>
      <c r="I25"/>
      <c r="J25"/>
      <c r="K25"/>
      <c r="L25"/>
      <c r="M25"/>
      <c r="N25"/>
      <c r="O25"/>
      <c r="P25"/>
      <c r="Q25"/>
    </row>
    <row r="26" spans="2:17">
      <c r="B26" s="1" t="s">
        <v>4</v>
      </c>
      <c r="C26" s="8">
        <v>9</v>
      </c>
      <c r="D26" s="8">
        <v>12</v>
      </c>
      <c r="F26" s="8">
        <v>21</v>
      </c>
      <c r="I26"/>
      <c r="J26"/>
      <c r="K26"/>
      <c r="L26"/>
      <c r="M26"/>
      <c r="N26"/>
      <c r="O26"/>
      <c r="P26"/>
      <c r="Q26"/>
    </row>
    <row r="27" spans="2:17">
      <c r="B27" s="9" t="s">
        <v>347</v>
      </c>
      <c r="C27" s="8">
        <v>2</v>
      </c>
      <c r="D27" s="8">
        <v>12</v>
      </c>
      <c r="F27" s="8">
        <v>14</v>
      </c>
      <c r="I27"/>
      <c r="J27"/>
      <c r="K27"/>
      <c r="L27"/>
      <c r="M27"/>
      <c r="N27"/>
      <c r="O27"/>
      <c r="P27"/>
      <c r="Q27"/>
    </row>
    <row r="28" spans="2:17">
      <c r="B28" s="9" t="s">
        <v>348</v>
      </c>
      <c r="C28" s="8">
        <v>2</v>
      </c>
      <c r="F28" s="8">
        <v>2</v>
      </c>
      <c r="I28"/>
      <c r="J28"/>
      <c r="K28"/>
      <c r="L28"/>
      <c r="M28"/>
      <c r="N28"/>
      <c r="O28"/>
      <c r="P28"/>
      <c r="Q28"/>
    </row>
    <row r="29" spans="2:17">
      <c r="B29" s="9" t="s">
        <v>349</v>
      </c>
      <c r="C29" s="8">
        <v>5</v>
      </c>
      <c r="F29" s="8">
        <v>5</v>
      </c>
      <c r="I29"/>
      <c r="J29"/>
      <c r="K29"/>
      <c r="L29"/>
      <c r="M29"/>
      <c r="N29"/>
      <c r="O29"/>
      <c r="P29"/>
      <c r="Q29"/>
    </row>
    <row r="30" spans="2:17">
      <c r="B30" s="1" t="s">
        <v>356</v>
      </c>
      <c r="D30" s="8">
        <v>2</v>
      </c>
      <c r="F30" s="8">
        <v>2</v>
      </c>
      <c r="I30"/>
      <c r="J30"/>
      <c r="K30"/>
      <c r="L30"/>
      <c r="M30"/>
      <c r="N30"/>
      <c r="O30"/>
      <c r="P30"/>
      <c r="Q30"/>
    </row>
    <row r="31" spans="2:17">
      <c r="B31" s="9" t="s">
        <v>347</v>
      </c>
      <c r="D31" s="8">
        <v>2</v>
      </c>
      <c r="F31" s="8">
        <v>2</v>
      </c>
      <c r="I31"/>
      <c r="J31"/>
      <c r="K31"/>
      <c r="L31"/>
      <c r="M31"/>
      <c r="N31"/>
      <c r="O31"/>
      <c r="P31"/>
      <c r="Q31"/>
    </row>
    <row r="32" spans="2:17">
      <c r="B32" s="1" t="s">
        <v>93</v>
      </c>
      <c r="D32" s="8">
        <v>58</v>
      </c>
      <c r="F32" s="8">
        <v>58</v>
      </c>
      <c r="I32"/>
      <c r="J32"/>
      <c r="K32"/>
      <c r="L32"/>
      <c r="M32"/>
      <c r="N32"/>
      <c r="O32"/>
      <c r="P32"/>
      <c r="Q32"/>
    </row>
    <row r="33" spans="2:17">
      <c r="B33" s="9" t="s">
        <v>347</v>
      </c>
      <c r="D33" s="8">
        <v>58</v>
      </c>
      <c r="F33" s="8">
        <v>58</v>
      </c>
      <c r="I33"/>
      <c r="J33"/>
      <c r="K33"/>
      <c r="L33"/>
      <c r="M33"/>
      <c r="N33"/>
      <c r="O33"/>
      <c r="P33"/>
      <c r="Q33"/>
    </row>
    <row r="34" spans="2:17">
      <c r="B34" s="1" t="s">
        <v>357</v>
      </c>
      <c r="C34" s="8">
        <v>1</v>
      </c>
      <c r="F34" s="8">
        <v>1</v>
      </c>
      <c r="I34"/>
      <c r="J34"/>
      <c r="K34"/>
      <c r="L34"/>
      <c r="M34"/>
      <c r="N34"/>
      <c r="O34"/>
      <c r="P34"/>
      <c r="Q34"/>
    </row>
    <row r="35" spans="2:17">
      <c r="B35" s="9" t="s">
        <v>348</v>
      </c>
      <c r="C35" s="8">
        <v>1</v>
      </c>
      <c r="F35" s="8">
        <v>1</v>
      </c>
      <c r="I35"/>
      <c r="J35"/>
      <c r="K35"/>
      <c r="L35"/>
      <c r="M35"/>
      <c r="N35"/>
      <c r="O35"/>
      <c r="P35"/>
      <c r="Q35"/>
    </row>
    <row r="36" spans="2:17">
      <c r="B36" s="1" t="s">
        <v>156</v>
      </c>
      <c r="C36" s="8">
        <v>48</v>
      </c>
      <c r="D36" s="8">
        <v>85</v>
      </c>
      <c r="E36" s="8">
        <v>25</v>
      </c>
      <c r="F36" s="8">
        <v>158</v>
      </c>
      <c r="I36"/>
      <c r="J36"/>
      <c r="K36"/>
      <c r="L36"/>
      <c r="M36"/>
      <c r="N36"/>
      <c r="O36"/>
      <c r="P36"/>
      <c r="Q36"/>
    </row>
    <row r="37" spans="2:17">
      <c r="I37"/>
      <c r="J37"/>
      <c r="K37"/>
      <c r="L37"/>
      <c r="M37"/>
      <c r="N37"/>
      <c r="O37"/>
      <c r="P37"/>
      <c r="Q37"/>
    </row>
    <row r="38" spans="2:17">
      <c r="I38"/>
      <c r="J38"/>
      <c r="K38"/>
      <c r="L38"/>
      <c r="M38"/>
      <c r="N38"/>
      <c r="O38"/>
      <c r="P38"/>
      <c r="Q38"/>
    </row>
    <row r="39" spans="2:17">
      <c r="I39"/>
      <c r="J39"/>
      <c r="K39"/>
      <c r="L39"/>
      <c r="M39"/>
      <c r="N39"/>
      <c r="O39"/>
      <c r="P39"/>
      <c r="Q39"/>
    </row>
    <row r="40" spans="2:17">
      <c r="I40"/>
      <c r="J40"/>
      <c r="K40"/>
      <c r="L40"/>
      <c r="M40"/>
      <c r="N40"/>
      <c r="O40"/>
      <c r="P40"/>
      <c r="Q40"/>
    </row>
    <row r="41" spans="2:17">
      <c r="I41"/>
      <c r="J41"/>
      <c r="K41"/>
      <c r="L41"/>
      <c r="M41"/>
      <c r="N41"/>
      <c r="O41"/>
      <c r="P41"/>
      <c r="Q41"/>
    </row>
    <row r="42" spans="2:17">
      <c r="I42"/>
      <c r="J42"/>
      <c r="K42"/>
      <c r="L42"/>
      <c r="M42"/>
      <c r="N42"/>
      <c r="O42"/>
      <c r="P42"/>
      <c r="Q42"/>
    </row>
    <row r="43" spans="2:17">
      <c r="I43"/>
      <c r="J43"/>
      <c r="K43"/>
      <c r="L43"/>
      <c r="M43"/>
      <c r="N43"/>
      <c r="O43"/>
      <c r="P43"/>
      <c r="Q43"/>
    </row>
    <row r="44" spans="2:17">
      <c r="I44"/>
      <c r="J44"/>
      <c r="K44"/>
      <c r="L44"/>
      <c r="M44"/>
      <c r="N44"/>
      <c r="O44"/>
      <c r="P44"/>
      <c r="Q44"/>
    </row>
    <row r="45" spans="2:17">
      <c r="I45"/>
      <c r="J45"/>
      <c r="K45"/>
      <c r="L45"/>
      <c r="M45"/>
      <c r="N45"/>
      <c r="O45"/>
      <c r="P45"/>
      <c r="Q45"/>
    </row>
    <row r="46" spans="2:17">
      <c r="I46"/>
      <c r="J46"/>
      <c r="K46"/>
      <c r="L46"/>
      <c r="M46"/>
      <c r="N46"/>
      <c r="O46"/>
      <c r="P46"/>
      <c r="Q46"/>
    </row>
    <row r="47" spans="2:17">
      <c r="I47"/>
      <c r="J47"/>
      <c r="K47"/>
      <c r="L47"/>
      <c r="M47"/>
      <c r="N47"/>
      <c r="O47"/>
      <c r="P47"/>
      <c r="Q47"/>
    </row>
    <row r="48" spans="2:17">
      <c r="I48"/>
      <c r="J48"/>
      <c r="K48"/>
      <c r="L48"/>
      <c r="M48"/>
      <c r="N48"/>
      <c r="O48"/>
      <c r="P48"/>
      <c r="Q48"/>
    </row>
    <row r="49" spans="9:17">
      <c r="I49"/>
      <c r="J49"/>
      <c r="K49"/>
      <c r="L49"/>
      <c r="M49"/>
      <c r="N49"/>
      <c r="O49"/>
      <c r="P49"/>
      <c r="Q49"/>
    </row>
    <row r="50" spans="9:17">
      <c r="I50"/>
      <c r="J50"/>
      <c r="K50"/>
      <c r="L50"/>
      <c r="M50"/>
      <c r="N50"/>
      <c r="O50"/>
      <c r="P50"/>
      <c r="Q50"/>
    </row>
    <row r="51" spans="9:17">
      <c r="I51"/>
      <c r="J51"/>
      <c r="K51"/>
      <c r="L51"/>
      <c r="M51"/>
      <c r="N51"/>
      <c r="O51"/>
      <c r="P51"/>
      <c r="Q51"/>
    </row>
    <row r="52" spans="9:17">
      <c r="I52"/>
      <c r="J52"/>
      <c r="K52"/>
      <c r="L52"/>
      <c r="M52"/>
      <c r="N52"/>
      <c r="O52"/>
      <c r="P52"/>
      <c r="Q52"/>
    </row>
    <row r="53" spans="9:17">
      <c r="I53"/>
      <c r="J53"/>
      <c r="K53"/>
      <c r="L53"/>
      <c r="M53"/>
      <c r="N53"/>
      <c r="O53"/>
      <c r="P53"/>
      <c r="Q53"/>
    </row>
    <row r="54" spans="9:17">
      <c r="I54"/>
      <c r="J54"/>
      <c r="K54"/>
      <c r="L54"/>
      <c r="M54"/>
      <c r="N54"/>
      <c r="O54"/>
      <c r="P54"/>
      <c r="Q54"/>
    </row>
    <row r="55" spans="9:17">
      <c r="I55"/>
      <c r="J55"/>
      <c r="K55"/>
      <c r="L55"/>
      <c r="M55"/>
      <c r="N55"/>
      <c r="O55"/>
      <c r="P55"/>
      <c r="Q55"/>
    </row>
    <row r="56" spans="9:17">
      <c r="I56"/>
      <c r="J56"/>
      <c r="K56"/>
      <c r="L56"/>
      <c r="M56"/>
      <c r="N56"/>
      <c r="O56"/>
      <c r="P56"/>
      <c r="Q56"/>
    </row>
    <row r="57" spans="9:17">
      <c r="I57"/>
      <c r="J57"/>
      <c r="K57"/>
      <c r="L57"/>
      <c r="M57"/>
      <c r="N57"/>
      <c r="O57"/>
      <c r="P57"/>
      <c r="Q57"/>
    </row>
    <row r="58" spans="9:17">
      <c r="I58"/>
      <c r="J58"/>
      <c r="K58"/>
      <c r="L58"/>
      <c r="M58"/>
      <c r="N58"/>
      <c r="O58"/>
      <c r="P58"/>
      <c r="Q58"/>
    </row>
    <row r="59" spans="9:17">
      <c r="I59"/>
      <c r="J59"/>
      <c r="K59"/>
      <c r="L59"/>
      <c r="M59"/>
      <c r="N59"/>
      <c r="O59"/>
      <c r="P59"/>
      <c r="Q59"/>
    </row>
    <row r="60" spans="9:17">
      <c r="I60"/>
      <c r="J60"/>
      <c r="K60"/>
      <c r="L60"/>
      <c r="M60"/>
      <c r="N60"/>
      <c r="O60"/>
      <c r="P60"/>
      <c r="Q60"/>
    </row>
    <row r="61" spans="9:17">
      <c r="I61"/>
      <c r="J61"/>
      <c r="K61"/>
      <c r="L61"/>
      <c r="M61"/>
      <c r="N61"/>
      <c r="O61"/>
      <c r="P61"/>
      <c r="Q61"/>
    </row>
    <row r="62" spans="9:17">
      <c r="I62"/>
      <c r="J62"/>
      <c r="K62"/>
      <c r="L62"/>
      <c r="M62"/>
      <c r="N62"/>
      <c r="O62"/>
      <c r="P62"/>
      <c r="Q62"/>
    </row>
    <row r="63" spans="9:17">
      <c r="I63"/>
      <c r="J63"/>
      <c r="K63"/>
      <c r="L63"/>
      <c r="M63"/>
      <c r="N63"/>
      <c r="O63"/>
      <c r="P63"/>
      <c r="Q63"/>
    </row>
    <row r="64" spans="9:17">
      <c r="I64"/>
      <c r="J64"/>
      <c r="K64"/>
      <c r="L64"/>
      <c r="M64"/>
      <c r="N64"/>
      <c r="O64"/>
      <c r="P64"/>
      <c r="Q64"/>
    </row>
    <row r="65" spans="9:9">
      <c r="I65"/>
    </row>
    <row r="66" spans="9:9">
      <c r="I66"/>
    </row>
    <row r="67" spans="9:9">
      <c r="I67"/>
    </row>
    <row r="68" spans="9:9">
      <c r="I68"/>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FF0000"/>
  </sheetPr>
  <dimension ref="B3:F12"/>
  <sheetViews>
    <sheetView showGridLines="0" topLeftCell="B4" workbookViewId="0">
      <selection activeCell="E14" sqref="E14"/>
    </sheetView>
  </sheetViews>
  <sheetFormatPr defaultColWidth="11.42578125" defaultRowHeight="15"/>
  <cols>
    <col min="2" max="2" width="26.42578125" bestFit="1" customWidth="1"/>
    <col min="3" max="3" width="25.42578125" customWidth="1"/>
    <col min="4" max="4" width="51.42578125" customWidth="1"/>
    <col min="5" max="5" width="16.5703125" bestFit="1" customWidth="1"/>
    <col min="6" max="6" width="12.140625" bestFit="1" customWidth="1"/>
  </cols>
  <sheetData>
    <row r="3" spans="2:6">
      <c r="B3" s="7" t="s">
        <v>358</v>
      </c>
    </row>
    <row r="5" spans="2:6">
      <c r="B5" s="228" t="s">
        <v>32</v>
      </c>
      <c r="C5" s="229" t="s">
        <v>33</v>
      </c>
      <c r="D5" s="229" t="s">
        <v>37</v>
      </c>
      <c r="E5" s="229" t="s">
        <v>38</v>
      </c>
      <c r="F5" s="230" t="s">
        <v>359</v>
      </c>
    </row>
    <row r="6" spans="2:6">
      <c r="B6" s="97" t="s">
        <v>25</v>
      </c>
      <c r="C6" s="98" t="s">
        <v>360</v>
      </c>
      <c r="D6" s="98" t="s">
        <v>361</v>
      </c>
      <c r="E6" s="98" t="s">
        <v>342</v>
      </c>
      <c r="F6" s="99" t="s">
        <v>362</v>
      </c>
    </row>
    <row r="7" spans="2:6">
      <c r="B7" s="97" t="s">
        <v>21</v>
      </c>
      <c r="C7" s="98" t="s">
        <v>218</v>
      </c>
      <c r="D7" s="312" t="s">
        <v>363</v>
      </c>
      <c r="E7" s="317" t="s">
        <v>198</v>
      </c>
      <c r="F7" s="315" t="s">
        <v>364</v>
      </c>
    </row>
    <row r="8" spans="2:6">
      <c r="B8" s="97" t="s">
        <v>24</v>
      </c>
      <c r="C8" s="98" t="s">
        <v>218</v>
      </c>
      <c r="D8" s="313"/>
      <c r="E8" s="318"/>
      <c r="F8" s="316"/>
    </row>
    <row r="9" spans="2:6">
      <c r="B9" s="97" t="s">
        <v>243</v>
      </c>
      <c r="C9" s="98" t="s">
        <v>244</v>
      </c>
      <c r="D9" s="314" t="s">
        <v>365</v>
      </c>
      <c r="E9" s="318"/>
      <c r="F9" s="315" t="s">
        <v>366</v>
      </c>
    </row>
    <row r="10" spans="2:6">
      <c r="B10" s="97" t="s">
        <v>124</v>
      </c>
      <c r="C10" s="98" t="s">
        <v>125</v>
      </c>
      <c r="D10" s="314"/>
      <c r="E10" s="318"/>
      <c r="F10" s="320"/>
    </row>
    <row r="11" spans="2:6">
      <c r="B11" s="97" t="s">
        <v>290</v>
      </c>
      <c r="C11" s="98" t="s">
        <v>291</v>
      </c>
      <c r="D11" s="98" t="s">
        <v>367</v>
      </c>
      <c r="E11" s="318"/>
      <c r="F11" s="320"/>
    </row>
    <row r="12" spans="2:6">
      <c r="B12" s="100" t="s">
        <v>254</v>
      </c>
      <c r="C12" s="101" t="s">
        <v>255</v>
      </c>
      <c r="D12" s="101" t="s">
        <v>368</v>
      </c>
      <c r="E12" s="319"/>
      <c r="F12" s="321"/>
    </row>
  </sheetData>
  <mergeCells count="5">
    <mergeCell ref="D7:D8"/>
    <mergeCell ref="D9:D10"/>
    <mergeCell ref="F7:F8"/>
    <mergeCell ref="E7:E12"/>
    <mergeCell ref="F9:F12"/>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FF0000"/>
  </sheetPr>
  <dimension ref="B2:K23"/>
  <sheetViews>
    <sheetView showGridLines="0" topLeftCell="A12" zoomScale="70" zoomScaleNormal="70" workbookViewId="0">
      <selection activeCell="M18" sqref="M18"/>
    </sheetView>
  </sheetViews>
  <sheetFormatPr defaultColWidth="11.42578125" defaultRowHeight="15"/>
  <cols>
    <col min="1" max="1" width="4" customWidth="1"/>
    <col min="2" max="2" width="22.85546875" bestFit="1" customWidth="1"/>
    <col min="3" max="9" width="17.28515625" bestFit="1" customWidth="1"/>
    <col min="10" max="10" width="6" bestFit="1" customWidth="1"/>
    <col min="12" max="12" width="3.5703125" customWidth="1"/>
  </cols>
  <sheetData>
    <row r="2" spans="2:11">
      <c r="B2" s="6" t="s">
        <v>369</v>
      </c>
      <c r="C2" s="6" t="s">
        <v>38</v>
      </c>
      <c r="K2" s="88"/>
    </row>
    <row r="3" spans="2:11" ht="75.75">
      <c r="B3" s="90" t="s">
        <v>41</v>
      </c>
      <c r="C3" s="20" t="s">
        <v>341</v>
      </c>
      <c r="D3" s="20" t="s">
        <v>198</v>
      </c>
      <c r="E3" s="20" t="s">
        <v>55</v>
      </c>
      <c r="F3" s="20" t="s">
        <v>342</v>
      </c>
      <c r="G3" s="89" t="s">
        <v>339</v>
      </c>
      <c r="H3" s="20" t="s">
        <v>340</v>
      </c>
      <c r="I3" s="20" t="s">
        <v>370</v>
      </c>
      <c r="J3" s="124" t="s">
        <v>326</v>
      </c>
    </row>
    <row r="4" spans="2:11">
      <c r="B4" s="91" t="s">
        <v>338</v>
      </c>
      <c r="C4" s="128"/>
      <c r="D4" s="128"/>
      <c r="E4" s="128"/>
      <c r="F4" s="128"/>
      <c r="G4" s="129"/>
      <c r="H4" s="128">
        <v>8</v>
      </c>
      <c r="I4" s="128"/>
      <c r="J4" s="130">
        <v>8</v>
      </c>
    </row>
    <row r="5" spans="2:11">
      <c r="B5" t="s">
        <v>16</v>
      </c>
      <c r="C5" s="8"/>
      <c r="D5" s="8">
        <v>4</v>
      </c>
      <c r="E5" s="8">
        <v>1</v>
      </c>
      <c r="F5" s="8">
        <v>1</v>
      </c>
      <c r="G5" s="126">
        <v>10</v>
      </c>
      <c r="H5" s="8"/>
      <c r="I5" s="8"/>
      <c r="J5" s="127">
        <v>16</v>
      </c>
    </row>
    <row r="6" spans="2:11">
      <c r="B6" t="s">
        <v>160</v>
      </c>
      <c r="C6" s="8"/>
      <c r="D6" s="8">
        <v>8</v>
      </c>
      <c r="E6" s="8"/>
      <c r="F6" s="8"/>
      <c r="G6" s="126"/>
      <c r="H6" s="8"/>
      <c r="I6" s="8"/>
      <c r="J6" s="127">
        <v>8</v>
      </c>
    </row>
    <row r="7" spans="2:11">
      <c r="B7" t="s">
        <v>75</v>
      </c>
      <c r="C7" s="8"/>
      <c r="D7" s="8"/>
      <c r="E7" s="8">
        <v>4</v>
      </c>
      <c r="F7" s="8"/>
      <c r="G7" s="126"/>
      <c r="H7" s="8"/>
      <c r="I7" s="8"/>
      <c r="J7" s="127">
        <v>4</v>
      </c>
    </row>
    <row r="8" spans="2:11">
      <c r="B8" t="s">
        <v>133</v>
      </c>
      <c r="C8" s="8"/>
      <c r="D8" s="8"/>
      <c r="E8" s="8"/>
      <c r="F8" s="8"/>
      <c r="G8" s="126">
        <v>42</v>
      </c>
      <c r="H8" s="8"/>
      <c r="I8" s="8"/>
      <c r="J8" s="127">
        <v>42</v>
      </c>
    </row>
    <row r="9" spans="2:11">
      <c r="B9" t="s">
        <v>4</v>
      </c>
      <c r="C9" s="8">
        <v>6</v>
      </c>
      <c r="D9" s="8">
        <v>4</v>
      </c>
      <c r="E9" s="8">
        <v>3</v>
      </c>
      <c r="F9" s="72"/>
      <c r="G9" s="126">
        <v>6</v>
      </c>
      <c r="H9" s="8"/>
      <c r="I9" s="8"/>
      <c r="J9" s="127">
        <v>19</v>
      </c>
    </row>
    <row r="10" spans="2:11">
      <c r="B10" t="s">
        <v>99</v>
      </c>
      <c r="C10" s="8"/>
      <c r="D10" s="8">
        <v>31</v>
      </c>
      <c r="E10" s="8">
        <v>1</v>
      </c>
      <c r="F10" s="8"/>
      <c r="G10" s="126"/>
      <c r="H10" s="8"/>
      <c r="I10" s="8">
        <v>12</v>
      </c>
      <c r="J10" s="127">
        <v>44</v>
      </c>
    </row>
    <row r="11" spans="2:11">
      <c r="B11" t="s">
        <v>58</v>
      </c>
      <c r="C11" s="8"/>
      <c r="D11" s="8"/>
      <c r="E11" s="8">
        <v>14</v>
      </c>
      <c r="F11" s="8"/>
      <c r="G11" s="126"/>
      <c r="H11" s="8"/>
      <c r="I11" s="8"/>
      <c r="J11" s="127">
        <v>14</v>
      </c>
    </row>
    <row r="12" spans="2:11">
      <c r="B12" t="s">
        <v>267</v>
      </c>
      <c r="C12" s="8"/>
      <c r="D12" s="8">
        <v>1</v>
      </c>
      <c r="E12" s="8"/>
      <c r="F12" s="8"/>
      <c r="G12" s="126"/>
      <c r="H12" s="8"/>
      <c r="I12" s="8"/>
      <c r="J12" s="127">
        <v>1</v>
      </c>
    </row>
    <row r="13" spans="2:11">
      <c r="B13" t="s">
        <v>258</v>
      </c>
      <c r="C13" s="8"/>
      <c r="D13" s="8">
        <v>1</v>
      </c>
      <c r="E13" s="8"/>
      <c r="F13" s="8"/>
      <c r="G13" s="126"/>
      <c r="H13" s="8"/>
      <c r="I13" s="8"/>
      <c r="J13" s="127">
        <v>1</v>
      </c>
    </row>
    <row r="14" spans="2:11">
      <c r="B14" t="s">
        <v>326</v>
      </c>
      <c r="C14" s="92">
        <v>6</v>
      </c>
      <c r="D14" s="93">
        <v>49</v>
      </c>
      <c r="E14" s="94">
        <v>23</v>
      </c>
      <c r="F14" s="8">
        <v>1</v>
      </c>
      <c r="G14" s="126">
        <v>58</v>
      </c>
      <c r="H14" s="8">
        <v>8</v>
      </c>
      <c r="I14" s="131">
        <v>12</v>
      </c>
      <c r="J14" s="127">
        <v>157</v>
      </c>
    </row>
    <row r="16" spans="2:11">
      <c r="I16">
        <v>145</v>
      </c>
      <c r="J16" t="s">
        <v>371</v>
      </c>
    </row>
    <row r="17" spans="2:9">
      <c r="I17">
        <f>I16+GETPIVOTDATA("Carpeta",$B$2,"EstatusAct","Envío Vacio")</f>
        <v>157</v>
      </c>
    </row>
    <row r="18" spans="2:9">
      <c r="G18" s="96">
        <f>H17-E4</f>
        <v>0</v>
      </c>
    </row>
    <row r="19" spans="2:9">
      <c r="B19" s="95" t="s">
        <v>372</v>
      </c>
    </row>
    <row r="20" spans="2:9">
      <c r="B20" s="95" t="s">
        <v>373</v>
      </c>
    </row>
    <row r="21" spans="2:9">
      <c r="B21" s="95" t="s">
        <v>374</v>
      </c>
      <c r="G21" s="105" t="e">
        <f>G17/G18</f>
        <v>#DIV/0!</v>
      </c>
    </row>
    <row r="22" spans="2:9">
      <c r="B22" s="95" t="s">
        <v>375</v>
      </c>
    </row>
    <row r="23" spans="2:9">
      <c r="B23" s="95" t="s">
        <v>376</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539452-5A09-496D-85BD-4067F7F9390F}">
  <sheetPr filterMode="1">
    <tabColor rgb="FFFF0000"/>
  </sheetPr>
  <dimension ref="A1:AY206"/>
  <sheetViews>
    <sheetView zoomScale="80" zoomScaleNormal="80" workbookViewId="0">
      <pane ySplit="2" topLeftCell="A68" activePane="bottomLeft" state="frozen"/>
      <selection pane="bottomLeft" activeCell="D68" sqref="D68"/>
    </sheetView>
  </sheetViews>
  <sheetFormatPr defaultColWidth="11.42578125" defaultRowHeight="15" outlineLevelCol="1"/>
  <cols>
    <col min="1" max="1" width="18.28515625" bestFit="1" customWidth="1"/>
    <col min="2" max="2" width="27.85546875" bestFit="1" customWidth="1"/>
    <col min="3" max="3" width="14" customWidth="1"/>
    <col min="4" max="4" width="15.7109375" bestFit="1" customWidth="1"/>
    <col min="5" max="5" width="33" customWidth="1"/>
    <col min="6" max="6" width="73.85546875" customWidth="1"/>
    <col min="7" max="7" width="11.7109375" customWidth="1" outlineLevel="1"/>
    <col min="8" max="8" width="66.5703125" customWidth="1" outlineLevel="1"/>
    <col min="9" max="9" width="44.42578125" customWidth="1" outlineLevel="1"/>
    <col min="10" max="10" width="34.7109375" customWidth="1" outlineLevel="1"/>
    <col min="11" max="11" width="17.42578125" bestFit="1" customWidth="1"/>
    <col min="12" max="12" width="12.140625" bestFit="1" customWidth="1"/>
    <col min="13" max="13" width="16" bestFit="1" customWidth="1"/>
    <col min="14" max="14" width="16" customWidth="1"/>
    <col min="15" max="15" width="20" customWidth="1" outlineLevel="1"/>
    <col min="16" max="16" width="12.28515625" customWidth="1" outlineLevel="1"/>
    <col min="17" max="17" width="10.28515625" customWidth="1" outlineLevel="1"/>
    <col min="18" max="18" width="10" customWidth="1" outlineLevel="1"/>
    <col min="19" max="19" width="12.5703125" customWidth="1" outlineLevel="1"/>
    <col min="20" max="20" width="4.42578125" bestFit="1" customWidth="1"/>
    <col min="21" max="22" width="11.42578125" customWidth="1" outlineLevel="1"/>
    <col min="23" max="23" width="11.42578125" customWidth="1" outlineLevel="1" collapsed="1"/>
    <col min="24" max="24" width="11.42578125" customWidth="1" outlineLevel="1"/>
    <col min="25" max="25" width="11.42578125" customWidth="1" outlineLevel="1" collapsed="1"/>
    <col min="26" max="26" width="11.42578125" customWidth="1" outlineLevel="1"/>
    <col min="27" max="27" width="11.42578125" customWidth="1" outlineLevel="1" collapsed="1"/>
    <col min="28" max="28" width="11.42578125" customWidth="1" outlineLevel="1"/>
    <col min="29" max="29" width="11.42578125" customWidth="1" outlineLevel="1" collapsed="1"/>
    <col min="30" max="30" width="11.42578125" customWidth="1" outlineLevel="1"/>
    <col min="31" max="31" width="11.42578125" customWidth="1" outlineLevel="1" collapsed="1"/>
    <col min="32" max="32" width="11.42578125" customWidth="1" outlineLevel="1"/>
  </cols>
  <sheetData>
    <row r="1" spans="1:51">
      <c r="U1" s="299" t="s">
        <v>325</v>
      </c>
      <c r="V1" s="299"/>
      <c r="W1" s="299" t="s">
        <v>327</v>
      </c>
      <c r="X1" s="299"/>
      <c r="Y1" s="299" t="s">
        <v>329</v>
      </c>
      <c r="Z1" s="299"/>
      <c r="AA1" s="299" t="s">
        <v>377</v>
      </c>
      <c r="AB1" s="299"/>
      <c r="AC1" s="299" t="s">
        <v>378</v>
      </c>
      <c r="AD1" s="299"/>
      <c r="AE1" s="299" t="s">
        <v>379</v>
      </c>
      <c r="AF1" s="299"/>
      <c r="AG1" s="299" t="s">
        <v>380</v>
      </c>
      <c r="AH1" s="299"/>
      <c r="AI1" s="299" t="s">
        <v>381</v>
      </c>
      <c r="AJ1" s="299"/>
      <c r="AK1" s="299"/>
      <c r="AL1" s="299"/>
      <c r="AM1" s="299" t="s">
        <v>382</v>
      </c>
      <c r="AN1" s="299"/>
      <c r="AO1" s="299"/>
      <c r="AP1" s="299"/>
      <c r="AQ1" s="299" t="s">
        <v>383</v>
      </c>
      <c r="AR1" s="299"/>
      <c r="AS1" s="299"/>
      <c r="AT1" s="299"/>
      <c r="AU1" s="299"/>
      <c r="AV1" s="299" t="s">
        <v>384</v>
      </c>
      <c r="AW1" s="299"/>
      <c r="AX1" s="299"/>
      <c r="AY1" s="299"/>
    </row>
    <row r="2" spans="1:51" s="1" customFormat="1">
      <c r="A2" s="5" t="s">
        <v>29</v>
      </c>
      <c r="B2" s="5" t="s">
        <v>0</v>
      </c>
      <c r="C2" s="5" t="s">
        <v>30</v>
      </c>
      <c r="D2" s="133" t="s">
        <v>31</v>
      </c>
      <c r="E2" s="5" t="s">
        <v>32</v>
      </c>
      <c r="F2" s="5" t="s">
        <v>33</v>
      </c>
      <c r="G2" s="5" t="s">
        <v>34</v>
      </c>
      <c r="H2" s="5" t="s">
        <v>35</v>
      </c>
      <c r="I2" s="5" t="s">
        <v>36</v>
      </c>
      <c r="J2" s="10" t="s">
        <v>37</v>
      </c>
      <c r="K2" s="10" t="s">
        <v>38</v>
      </c>
      <c r="L2" s="10" t="s">
        <v>39</v>
      </c>
      <c r="M2" s="10" t="s">
        <v>40</v>
      </c>
      <c r="N2" s="10" t="s">
        <v>41</v>
      </c>
      <c r="O2" s="10" t="s">
        <v>42</v>
      </c>
      <c r="P2" s="1" t="s">
        <v>43</v>
      </c>
      <c r="Q2" s="1" t="s">
        <v>44</v>
      </c>
      <c r="R2" s="1" t="s">
        <v>385</v>
      </c>
      <c r="T2" s="1" t="s">
        <v>386</v>
      </c>
      <c r="U2" s="8" t="s">
        <v>387</v>
      </c>
      <c r="V2" s="8" t="s">
        <v>388</v>
      </c>
      <c r="W2" s="8" t="s">
        <v>387</v>
      </c>
      <c r="X2" s="8" t="s">
        <v>388</v>
      </c>
      <c r="Y2" s="8" t="s">
        <v>387</v>
      </c>
      <c r="Z2" s="8" t="s">
        <v>388</v>
      </c>
      <c r="AA2" s="8" t="s">
        <v>387</v>
      </c>
      <c r="AB2" s="8" t="s">
        <v>388</v>
      </c>
      <c r="AC2" s="8" t="s">
        <v>387</v>
      </c>
      <c r="AD2" s="8" t="s">
        <v>388</v>
      </c>
      <c r="AE2" s="8" t="s">
        <v>387</v>
      </c>
      <c r="AF2" s="8" t="s">
        <v>388</v>
      </c>
      <c r="AG2" s="8" t="s">
        <v>387</v>
      </c>
      <c r="AH2" s="8" t="s">
        <v>388</v>
      </c>
      <c r="AI2" s="117" t="s">
        <v>389</v>
      </c>
      <c r="AJ2" s="116" t="s">
        <v>390</v>
      </c>
      <c r="AK2" s="116" t="s">
        <v>391</v>
      </c>
      <c r="AL2" s="116" t="s">
        <v>392</v>
      </c>
      <c r="AM2" s="117" t="s">
        <v>389</v>
      </c>
      <c r="AN2" s="116" t="s">
        <v>390</v>
      </c>
      <c r="AO2" s="116" t="s">
        <v>391</v>
      </c>
      <c r="AP2" s="116" t="s">
        <v>392</v>
      </c>
      <c r="AQ2" s="116" t="s">
        <v>393</v>
      </c>
      <c r="AR2" s="116" t="s">
        <v>394</v>
      </c>
      <c r="AS2" s="116" t="s">
        <v>395</v>
      </c>
      <c r="AT2" s="116" t="s">
        <v>396</v>
      </c>
      <c r="AU2" s="116" t="s">
        <v>397</v>
      </c>
      <c r="AV2" s="116" t="s">
        <v>398</v>
      </c>
      <c r="AW2" s="116" t="s">
        <v>399</v>
      </c>
      <c r="AX2" s="116" t="s">
        <v>400</v>
      </c>
      <c r="AY2" s="116" t="s">
        <v>401</v>
      </c>
    </row>
    <row r="3" spans="1:51" hidden="1">
      <c r="A3" t="s">
        <v>92</v>
      </c>
      <c r="B3" s="4" t="s">
        <v>93</v>
      </c>
      <c r="C3" s="4" t="s">
        <v>94</v>
      </c>
      <c r="D3" s="102" t="s">
        <v>327</v>
      </c>
      <c r="E3" t="s">
        <v>196</v>
      </c>
      <c r="F3" t="s">
        <v>197</v>
      </c>
      <c r="G3" t="s">
        <v>2</v>
      </c>
      <c r="H3" t="s">
        <v>97</v>
      </c>
      <c r="I3" t="s">
        <v>72</v>
      </c>
      <c r="K3" t="s">
        <v>198</v>
      </c>
      <c r="L3" t="s">
        <v>73</v>
      </c>
      <c r="M3" t="s">
        <v>98</v>
      </c>
      <c r="N3" t="s">
        <v>99</v>
      </c>
      <c r="O3" t="s">
        <v>199</v>
      </c>
      <c r="P3" t="s">
        <v>200</v>
      </c>
      <c r="T3">
        <v>1</v>
      </c>
      <c r="W3" s="113">
        <v>46056</v>
      </c>
      <c r="X3" s="113">
        <v>46087</v>
      </c>
      <c r="Y3" s="113">
        <v>46083</v>
      </c>
      <c r="Z3" s="113">
        <v>46122</v>
      </c>
      <c r="AA3" s="113">
        <v>46111</v>
      </c>
      <c r="AB3" s="113">
        <v>46136</v>
      </c>
      <c r="AC3" s="113">
        <v>46118</v>
      </c>
      <c r="AD3" s="113">
        <v>46136</v>
      </c>
      <c r="AE3" s="113">
        <v>46125</v>
      </c>
      <c r="AF3" s="113">
        <v>46150</v>
      </c>
      <c r="AG3" s="113">
        <v>46139</v>
      </c>
      <c r="AH3" s="113">
        <v>46171</v>
      </c>
    </row>
    <row r="4" spans="1:51" hidden="1">
      <c r="A4" t="s">
        <v>92</v>
      </c>
      <c r="B4" t="s">
        <v>80</v>
      </c>
      <c r="C4" s="4" t="s">
        <v>201</v>
      </c>
      <c r="D4" s="102" t="s">
        <v>327</v>
      </c>
      <c r="E4" t="s">
        <v>202</v>
      </c>
      <c r="F4" t="s">
        <v>203</v>
      </c>
      <c r="G4" t="s">
        <v>71</v>
      </c>
      <c r="K4" t="s">
        <v>198</v>
      </c>
      <c r="M4" t="s">
        <v>57</v>
      </c>
      <c r="N4" t="s">
        <v>160</v>
      </c>
      <c r="T4">
        <v>2</v>
      </c>
      <c r="W4" s="113">
        <v>46056</v>
      </c>
      <c r="X4" s="113">
        <v>46080</v>
      </c>
      <c r="Y4" s="113">
        <v>46083</v>
      </c>
      <c r="Z4" s="113">
        <v>46108</v>
      </c>
      <c r="AA4" s="113">
        <v>46111</v>
      </c>
      <c r="AB4" s="113">
        <v>46122</v>
      </c>
      <c r="AC4" s="113">
        <v>46121</v>
      </c>
      <c r="AD4" s="113">
        <v>46122</v>
      </c>
      <c r="AE4" s="113">
        <v>46125</v>
      </c>
      <c r="AF4" s="113">
        <v>46143</v>
      </c>
      <c r="AG4" s="113">
        <v>46146</v>
      </c>
      <c r="AH4" s="113">
        <v>46157</v>
      </c>
    </row>
    <row r="5" spans="1:51" hidden="1">
      <c r="A5" s="86" t="s">
        <v>67</v>
      </c>
      <c r="B5" s="86" t="s">
        <v>68</v>
      </c>
      <c r="C5" s="119" t="s">
        <v>48</v>
      </c>
      <c r="D5" s="102" t="s">
        <v>317</v>
      </c>
      <c r="E5" s="86" t="s">
        <v>402</v>
      </c>
      <c r="F5" s="86" t="s">
        <v>403</v>
      </c>
      <c r="G5" s="86" t="s">
        <v>71</v>
      </c>
      <c r="H5" s="86" t="s">
        <v>72</v>
      </c>
      <c r="I5" s="86"/>
      <c r="J5" s="86"/>
      <c r="K5" s="86" t="s">
        <v>370</v>
      </c>
      <c r="L5" s="86" t="s">
        <v>102</v>
      </c>
      <c r="M5" s="86" t="s">
        <v>102</v>
      </c>
      <c r="N5" s="86" t="s">
        <v>102</v>
      </c>
      <c r="O5" s="120" t="s">
        <v>404</v>
      </c>
      <c r="P5" s="86"/>
      <c r="Q5" s="86" t="s">
        <v>405</v>
      </c>
      <c r="R5" s="86" t="s">
        <v>406</v>
      </c>
      <c r="S5" s="86"/>
      <c r="T5">
        <v>3</v>
      </c>
    </row>
    <row r="6" spans="1:51" hidden="1">
      <c r="A6" t="s">
        <v>67</v>
      </c>
      <c r="B6" t="s">
        <v>68</v>
      </c>
      <c r="C6" s="4" t="s">
        <v>48</v>
      </c>
      <c r="D6" s="102" t="s">
        <v>329</v>
      </c>
      <c r="E6" t="s">
        <v>69</v>
      </c>
      <c r="F6" t="s">
        <v>70</v>
      </c>
      <c r="G6" t="s">
        <v>71</v>
      </c>
      <c r="H6" t="s">
        <v>72</v>
      </c>
      <c r="K6" t="s">
        <v>55</v>
      </c>
      <c r="L6" t="s">
        <v>73</v>
      </c>
      <c r="M6" t="s">
        <v>74</v>
      </c>
      <c r="N6" t="s">
        <v>75</v>
      </c>
      <c r="S6" t="s">
        <v>230</v>
      </c>
      <c r="T6">
        <v>4</v>
      </c>
      <c r="Y6" s="113">
        <v>46056</v>
      </c>
      <c r="Z6" s="113">
        <v>46073</v>
      </c>
      <c r="AA6" s="113">
        <v>46076</v>
      </c>
      <c r="AB6" s="113">
        <v>46094</v>
      </c>
      <c r="AC6" s="113">
        <v>46093</v>
      </c>
      <c r="AD6" s="113">
        <v>46094</v>
      </c>
      <c r="AE6" s="113">
        <v>46097</v>
      </c>
      <c r="AF6" s="113">
        <v>46115</v>
      </c>
      <c r="AG6" s="113">
        <v>46118</v>
      </c>
      <c r="AH6" s="113">
        <v>46136</v>
      </c>
    </row>
    <row r="7" spans="1:51" hidden="1">
      <c r="A7" s="73" t="s">
        <v>92</v>
      </c>
      <c r="B7" s="73" t="s">
        <v>68</v>
      </c>
      <c r="C7" s="74" t="s">
        <v>48</v>
      </c>
      <c r="D7" s="102"/>
      <c r="E7" s="73" t="s">
        <v>407</v>
      </c>
      <c r="F7" s="73" t="s">
        <v>408</v>
      </c>
      <c r="G7" s="73" t="s">
        <v>102</v>
      </c>
      <c r="H7" s="73" t="s">
        <v>102</v>
      </c>
      <c r="I7" s="73"/>
      <c r="J7" s="73"/>
      <c r="K7" s="73" t="s">
        <v>347</v>
      </c>
      <c r="L7" s="73" t="s">
        <v>102</v>
      </c>
      <c r="M7" s="73" t="s">
        <v>102</v>
      </c>
      <c r="N7" s="73" t="s">
        <v>102</v>
      </c>
      <c r="O7" s="73"/>
      <c r="P7" s="73"/>
      <c r="Q7" s="73"/>
      <c r="R7" s="73"/>
      <c r="T7">
        <v>5</v>
      </c>
    </row>
    <row r="8" spans="1:51" hidden="1">
      <c r="A8" s="73" t="s">
        <v>92</v>
      </c>
      <c r="B8" s="73" t="s">
        <v>68</v>
      </c>
      <c r="C8" s="74" t="s">
        <v>48</v>
      </c>
      <c r="D8" s="102"/>
      <c r="E8" s="73" t="s">
        <v>409</v>
      </c>
      <c r="F8" s="73" t="s">
        <v>408</v>
      </c>
      <c r="G8" s="73" t="s">
        <v>102</v>
      </c>
      <c r="H8" s="73" t="s">
        <v>102</v>
      </c>
      <c r="I8" s="73"/>
      <c r="J8" s="73"/>
      <c r="K8" s="73" t="s">
        <v>347</v>
      </c>
      <c r="L8" s="73" t="s">
        <v>102</v>
      </c>
      <c r="M8" s="73" t="s">
        <v>102</v>
      </c>
      <c r="N8" s="73" t="s">
        <v>102</v>
      </c>
      <c r="O8" s="73"/>
      <c r="P8" s="73"/>
      <c r="Q8" s="73"/>
      <c r="R8" s="73"/>
      <c r="T8">
        <v>6</v>
      </c>
    </row>
    <row r="9" spans="1:51" hidden="1">
      <c r="A9" t="s">
        <v>92</v>
      </c>
      <c r="B9" s="4" t="s">
        <v>93</v>
      </c>
      <c r="C9" s="4" t="s">
        <v>94</v>
      </c>
      <c r="D9" s="102" t="s">
        <v>327</v>
      </c>
      <c r="E9" t="s">
        <v>161</v>
      </c>
      <c r="F9" t="s">
        <v>211</v>
      </c>
      <c r="G9" t="s">
        <v>2</v>
      </c>
      <c r="H9" t="s">
        <v>97</v>
      </c>
      <c r="I9" t="s">
        <v>72</v>
      </c>
      <c r="K9" t="s">
        <v>198</v>
      </c>
      <c r="L9" t="s">
        <v>73</v>
      </c>
      <c r="M9" t="s">
        <v>98</v>
      </c>
      <c r="N9" t="s">
        <v>99</v>
      </c>
      <c r="O9" t="s">
        <v>212</v>
      </c>
      <c r="P9" t="s">
        <v>200</v>
      </c>
      <c r="T9">
        <v>7</v>
      </c>
      <c r="W9" s="113">
        <v>46056</v>
      </c>
      <c r="X9" s="113">
        <v>46087</v>
      </c>
      <c r="Y9" s="113">
        <v>46083</v>
      </c>
      <c r="Z9" s="113">
        <v>46122</v>
      </c>
      <c r="AA9" s="113">
        <v>46111</v>
      </c>
      <c r="AB9" s="113">
        <v>46136</v>
      </c>
      <c r="AC9" s="113">
        <v>46118</v>
      </c>
      <c r="AD9" s="113">
        <v>46136</v>
      </c>
      <c r="AE9" s="113">
        <v>46125</v>
      </c>
      <c r="AF9" s="113">
        <v>46150</v>
      </c>
      <c r="AG9" s="113">
        <v>46139</v>
      </c>
      <c r="AH9" s="113">
        <v>46171</v>
      </c>
    </row>
    <row r="10" spans="1:51" hidden="1">
      <c r="A10" t="s">
        <v>92</v>
      </c>
      <c r="B10" s="4" t="s">
        <v>93</v>
      </c>
      <c r="C10" s="4" t="s">
        <v>94</v>
      </c>
      <c r="D10" s="102" t="s">
        <v>327</v>
      </c>
      <c r="E10" t="s">
        <v>410</v>
      </c>
      <c r="F10" t="s">
        <v>211</v>
      </c>
      <c r="G10" t="s">
        <v>2</v>
      </c>
      <c r="H10" t="s">
        <v>97</v>
      </c>
      <c r="I10" t="s">
        <v>72</v>
      </c>
      <c r="K10" t="s">
        <v>198</v>
      </c>
      <c r="L10" t="s">
        <v>73</v>
      </c>
      <c r="M10" t="s">
        <v>98</v>
      </c>
      <c r="N10" t="s">
        <v>99</v>
      </c>
      <c r="O10" t="s">
        <v>411</v>
      </c>
      <c r="P10" t="s">
        <v>200</v>
      </c>
      <c r="T10">
        <v>8</v>
      </c>
      <c r="W10" s="113">
        <v>46056</v>
      </c>
      <c r="X10" s="113">
        <v>46087</v>
      </c>
      <c r="Y10" s="113">
        <v>46083</v>
      </c>
      <c r="Z10" s="113">
        <v>46122</v>
      </c>
      <c r="AA10" s="113">
        <v>46111</v>
      </c>
      <c r="AB10" s="113">
        <v>46136</v>
      </c>
      <c r="AC10" s="113">
        <v>46118</v>
      </c>
      <c r="AD10" s="113">
        <v>46136</v>
      </c>
      <c r="AE10" s="113">
        <v>46125</v>
      </c>
      <c r="AF10" s="113">
        <v>46150</v>
      </c>
      <c r="AG10" s="113">
        <v>46139</v>
      </c>
      <c r="AH10" s="113">
        <v>46171</v>
      </c>
    </row>
    <row r="11" spans="1:51" hidden="1">
      <c r="A11" t="s">
        <v>92</v>
      </c>
      <c r="B11" s="4" t="s">
        <v>93</v>
      </c>
      <c r="C11" s="4" t="s">
        <v>94</v>
      </c>
      <c r="D11" s="102" t="s">
        <v>327</v>
      </c>
      <c r="E11" t="s">
        <v>214</v>
      </c>
      <c r="F11" t="s">
        <v>211</v>
      </c>
      <c r="G11" t="s">
        <v>2</v>
      </c>
      <c r="H11" t="s">
        <v>97</v>
      </c>
      <c r="I11" t="s">
        <v>72</v>
      </c>
      <c r="K11" t="s">
        <v>198</v>
      </c>
      <c r="L11" t="s">
        <v>73</v>
      </c>
      <c r="M11" t="s">
        <v>98</v>
      </c>
      <c r="N11" t="s">
        <v>99</v>
      </c>
      <c r="O11" t="s">
        <v>212</v>
      </c>
      <c r="P11" t="s">
        <v>200</v>
      </c>
      <c r="T11">
        <v>9</v>
      </c>
      <c r="W11" s="113">
        <v>46056</v>
      </c>
      <c r="X11" s="113">
        <v>46087</v>
      </c>
      <c r="Y11" s="113">
        <v>46083</v>
      </c>
      <c r="Z11" s="113">
        <v>46122</v>
      </c>
      <c r="AA11" s="113">
        <v>46111</v>
      </c>
      <c r="AB11" s="113">
        <v>46136</v>
      </c>
      <c r="AC11" s="113">
        <v>46118</v>
      </c>
      <c r="AD11" s="113">
        <v>46136</v>
      </c>
      <c r="AE11" s="113">
        <v>46125</v>
      </c>
      <c r="AF11" s="113">
        <v>46150</v>
      </c>
      <c r="AG11" s="113">
        <v>46139</v>
      </c>
      <c r="AH11" s="113">
        <v>46171</v>
      </c>
    </row>
    <row r="12" spans="1:51" hidden="1">
      <c r="A12" t="s">
        <v>92</v>
      </c>
      <c r="B12" s="4" t="s">
        <v>93</v>
      </c>
      <c r="C12" s="4" t="s">
        <v>94</v>
      </c>
      <c r="D12" s="102" t="s">
        <v>327</v>
      </c>
      <c r="E12" t="s">
        <v>216</v>
      </c>
      <c r="F12" t="s">
        <v>211</v>
      </c>
      <c r="G12" t="s">
        <v>2</v>
      </c>
      <c r="H12" t="s">
        <v>97</v>
      </c>
      <c r="I12" t="s">
        <v>72</v>
      </c>
      <c r="K12" t="s">
        <v>198</v>
      </c>
      <c r="L12" t="s">
        <v>73</v>
      </c>
      <c r="M12" t="s">
        <v>98</v>
      </c>
      <c r="N12" t="s">
        <v>99</v>
      </c>
      <c r="O12" t="s">
        <v>212</v>
      </c>
      <c r="P12" t="s">
        <v>200</v>
      </c>
      <c r="T12">
        <v>10</v>
      </c>
      <c r="W12" s="113">
        <v>46056</v>
      </c>
      <c r="X12" s="113">
        <v>46087</v>
      </c>
      <c r="Y12" s="113">
        <v>46083</v>
      </c>
      <c r="Z12" s="113">
        <v>46122</v>
      </c>
      <c r="AA12" s="113">
        <v>46111</v>
      </c>
      <c r="AB12" s="113">
        <v>46136</v>
      </c>
      <c r="AC12" s="113">
        <v>46118</v>
      </c>
      <c r="AD12" s="113">
        <v>46136</v>
      </c>
      <c r="AE12" s="113">
        <v>46125</v>
      </c>
      <c r="AF12" s="113">
        <v>46150</v>
      </c>
      <c r="AG12" s="113">
        <v>46139</v>
      </c>
      <c r="AH12" s="113">
        <v>46171</v>
      </c>
    </row>
    <row r="13" spans="1:51" hidden="1">
      <c r="A13" t="s">
        <v>92</v>
      </c>
      <c r="B13" s="4" t="s">
        <v>93</v>
      </c>
      <c r="C13" s="4" t="s">
        <v>94</v>
      </c>
      <c r="D13" s="102" t="s">
        <v>327</v>
      </c>
      <c r="E13" t="s">
        <v>412</v>
      </c>
      <c r="F13" t="s">
        <v>211</v>
      </c>
      <c r="G13" t="s">
        <v>2</v>
      </c>
      <c r="H13" t="s">
        <v>97</v>
      </c>
      <c r="I13" t="s">
        <v>72</v>
      </c>
      <c r="K13" t="s">
        <v>198</v>
      </c>
      <c r="L13" t="s">
        <v>73</v>
      </c>
      <c r="M13" t="s">
        <v>98</v>
      </c>
      <c r="N13" t="s">
        <v>99</v>
      </c>
      <c r="O13" t="s">
        <v>212</v>
      </c>
      <c r="P13" t="s">
        <v>200</v>
      </c>
      <c r="T13">
        <v>11</v>
      </c>
      <c r="W13" s="113">
        <v>46056</v>
      </c>
      <c r="X13" s="113">
        <v>46087</v>
      </c>
      <c r="Y13" s="113">
        <v>46083</v>
      </c>
      <c r="Z13" s="113">
        <v>46122</v>
      </c>
      <c r="AA13" s="113">
        <v>46111</v>
      </c>
      <c r="AB13" s="113">
        <v>46136</v>
      </c>
      <c r="AC13" s="113">
        <v>46118</v>
      </c>
      <c r="AD13" s="113">
        <v>46136</v>
      </c>
      <c r="AE13" s="113">
        <v>46125</v>
      </c>
      <c r="AF13" s="113">
        <v>46150</v>
      </c>
      <c r="AG13" s="113">
        <v>46139</v>
      </c>
      <c r="AH13" s="113">
        <v>46171</v>
      </c>
    </row>
    <row r="14" spans="1:51" hidden="1">
      <c r="A14" t="s">
        <v>92</v>
      </c>
      <c r="B14" s="4" t="s">
        <v>93</v>
      </c>
      <c r="C14" s="4" t="s">
        <v>94</v>
      </c>
      <c r="D14" s="102" t="s">
        <v>327</v>
      </c>
      <c r="E14" t="s">
        <v>221</v>
      </c>
      <c r="F14" t="s">
        <v>211</v>
      </c>
      <c r="G14" t="s">
        <v>2</v>
      </c>
      <c r="H14" t="s">
        <v>97</v>
      </c>
      <c r="I14" t="s">
        <v>72</v>
      </c>
      <c r="K14" t="s">
        <v>198</v>
      </c>
      <c r="L14" t="s">
        <v>73</v>
      </c>
      <c r="M14" t="s">
        <v>98</v>
      </c>
      <c r="N14" t="s">
        <v>99</v>
      </c>
      <c r="O14" t="s">
        <v>212</v>
      </c>
      <c r="P14" t="s">
        <v>200</v>
      </c>
      <c r="T14">
        <v>12</v>
      </c>
      <c r="W14" s="113">
        <v>46056</v>
      </c>
      <c r="X14" s="113">
        <v>46087</v>
      </c>
      <c r="Y14" s="113">
        <v>46083</v>
      </c>
      <c r="Z14" s="113">
        <v>46122</v>
      </c>
      <c r="AA14" s="113">
        <v>46111</v>
      </c>
      <c r="AB14" s="113">
        <v>46136</v>
      </c>
      <c r="AC14" s="113">
        <v>46118</v>
      </c>
      <c r="AD14" s="113">
        <v>46136</v>
      </c>
      <c r="AE14" s="113">
        <v>46125</v>
      </c>
      <c r="AF14" s="113">
        <v>46150</v>
      </c>
      <c r="AG14" s="113">
        <v>46139</v>
      </c>
      <c r="AH14" s="113">
        <v>46171</v>
      </c>
    </row>
    <row r="15" spans="1:51" hidden="1">
      <c r="A15" t="s">
        <v>92</v>
      </c>
      <c r="B15" s="4" t="s">
        <v>93</v>
      </c>
      <c r="C15" s="4" t="s">
        <v>94</v>
      </c>
      <c r="D15" s="102" t="s">
        <v>327</v>
      </c>
      <c r="E15" t="s">
        <v>222</v>
      </c>
      <c r="F15" t="s">
        <v>211</v>
      </c>
      <c r="G15" t="s">
        <v>2</v>
      </c>
      <c r="H15" t="s">
        <v>97</v>
      </c>
      <c r="I15" t="s">
        <v>72</v>
      </c>
      <c r="K15" t="s">
        <v>198</v>
      </c>
      <c r="L15" t="s">
        <v>73</v>
      </c>
      <c r="M15" t="s">
        <v>98</v>
      </c>
      <c r="N15" t="s">
        <v>99</v>
      </c>
      <c r="O15" t="s">
        <v>212</v>
      </c>
      <c r="P15" t="s">
        <v>200</v>
      </c>
      <c r="T15">
        <v>13</v>
      </c>
      <c r="W15" s="113">
        <v>46056</v>
      </c>
      <c r="X15" s="113">
        <v>46087</v>
      </c>
      <c r="Y15" s="113">
        <v>46083</v>
      </c>
      <c r="Z15" s="113">
        <v>46122</v>
      </c>
      <c r="AA15" s="113">
        <v>46111</v>
      </c>
      <c r="AB15" s="113">
        <v>46136</v>
      </c>
      <c r="AC15" s="113">
        <v>46118</v>
      </c>
      <c r="AD15" s="113">
        <v>46136</v>
      </c>
      <c r="AE15" s="113">
        <v>46125</v>
      </c>
      <c r="AF15" s="113">
        <v>46150</v>
      </c>
      <c r="AG15" s="113">
        <v>46139</v>
      </c>
      <c r="AH15" s="113">
        <v>46171</v>
      </c>
    </row>
    <row r="16" spans="1:51" hidden="1">
      <c r="A16" t="s">
        <v>92</v>
      </c>
      <c r="B16" s="4" t="s">
        <v>93</v>
      </c>
      <c r="C16" s="4" t="s">
        <v>94</v>
      </c>
      <c r="D16" s="102" t="s">
        <v>327</v>
      </c>
      <c r="E16" t="s">
        <v>223</v>
      </c>
      <c r="F16" t="s">
        <v>211</v>
      </c>
      <c r="G16" t="s">
        <v>2</v>
      </c>
      <c r="H16" t="s">
        <v>97</v>
      </c>
      <c r="I16" t="s">
        <v>72</v>
      </c>
      <c r="K16" t="s">
        <v>198</v>
      </c>
      <c r="L16" t="s">
        <v>73</v>
      </c>
      <c r="M16" t="s">
        <v>98</v>
      </c>
      <c r="N16" t="s">
        <v>99</v>
      </c>
      <c r="O16" t="s">
        <v>212</v>
      </c>
      <c r="P16" t="s">
        <v>200</v>
      </c>
      <c r="T16">
        <v>14</v>
      </c>
      <c r="W16" s="113">
        <v>46056</v>
      </c>
      <c r="X16" s="113">
        <v>46087</v>
      </c>
      <c r="Y16" s="113">
        <v>46083</v>
      </c>
      <c r="Z16" s="113">
        <v>46122</v>
      </c>
      <c r="AA16" s="113">
        <v>46111</v>
      </c>
      <c r="AB16" s="113">
        <v>46136</v>
      </c>
      <c r="AC16" s="113">
        <v>46118</v>
      </c>
      <c r="AD16" s="113">
        <v>46136</v>
      </c>
      <c r="AE16" s="113">
        <v>46125</v>
      </c>
      <c r="AF16" s="113">
        <v>46150</v>
      </c>
      <c r="AG16" s="113">
        <v>46139</v>
      </c>
      <c r="AH16" s="113">
        <v>46171</v>
      </c>
    </row>
    <row r="17" spans="1:34" hidden="1">
      <c r="A17" s="86" t="s">
        <v>67</v>
      </c>
      <c r="B17" s="86" t="s">
        <v>68</v>
      </c>
      <c r="C17" s="119" t="s">
        <v>48</v>
      </c>
      <c r="D17" s="102" t="s">
        <v>317</v>
      </c>
      <c r="E17" s="86" t="s">
        <v>413</v>
      </c>
      <c r="F17" s="86" t="s">
        <v>414</v>
      </c>
      <c r="G17" s="86" t="s">
        <v>71</v>
      </c>
      <c r="H17" s="86" t="s">
        <v>72</v>
      </c>
      <c r="I17" s="86"/>
      <c r="J17" s="86"/>
      <c r="K17" s="86" t="s">
        <v>370</v>
      </c>
      <c r="L17" s="86" t="s">
        <v>102</v>
      </c>
      <c r="M17" s="86" t="s">
        <v>102</v>
      </c>
      <c r="N17" s="86" t="s">
        <v>102</v>
      </c>
      <c r="O17" s="120" t="s">
        <v>404</v>
      </c>
      <c r="P17" s="86"/>
      <c r="Q17" s="86" t="s">
        <v>405</v>
      </c>
      <c r="R17" s="86" t="s">
        <v>415</v>
      </c>
      <c r="S17" s="86"/>
      <c r="T17">
        <v>15</v>
      </c>
    </row>
    <row r="18" spans="1:34" hidden="1">
      <c r="A18" s="73" t="s">
        <v>67</v>
      </c>
      <c r="B18" s="74" t="s">
        <v>133</v>
      </c>
      <c r="C18" s="74" t="s">
        <v>134</v>
      </c>
      <c r="D18" s="102"/>
      <c r="E18" s="73" t="s">
        <v>416</v>
      </c>
      <c r="F18" s="73" t="s">
        <v>417</v>
      </c>
      <c r="G18" s="73" t="s">
        <v>102</v>
      </c>
      <c r="H18" s="73" t="s">
        <v>102</v>
      </c>
      <c r="I18" s="73"/>
      <c r="J18" s="73"/>
      <c r="K18" s="73" t="s">
        <v>347</v>
      </c>
      <c r="L18" s="73" t="s">
        <v>102</v>
      </c>
      <c r="M18" s="73" t="s">
        <v>102</v>
      </c>
      <c r="N18" s="73" t="s">
        <v>102</v>
      </c>
      <c r="O18" s="73"/>
      <c r="P18" s="73"/>
      <c r="Q18" s="73"/>
      <c r="R18" s="73"/>
      <c r="T18">
        <v>16</v>
      </c>
    </row>
    <row r="19" spans="1:34" hidden="1">
      <c r="A19" s="86" t="s">
        <v>92</v>
      </c>
      <c r="B19" s="119" t="s">
        <v>93</v>
      </c>
      <c r="C19" s="119" t="s">
        <v>94</v>
      </c>
      <c r="D19" s="102" t="s">
        <v>317</v>
      </c>
      <c r="E19" s="86" t="s">
        <v>418</v>
      </c>
      <c r="F19" s="86" t="s">
        <v>419</v>
      </c>
      <c r="G19" s="86" t="s">
        <v>2</v>
      </c>
      <c r="H19" s="86" t="s">
        <v>97</v>
      </c>
      <c r="I19" s="86" t="s">
        <v>72</v>
      </c>
      <c r="J19" s="86"/>
      <c r="K19" s="86" t="s">
        <v>370</v>
      </c>
      <c r="L19" s="86" t="s">
        <v>102</v>
      </c>
      <c r="M19" s="86" t="s">
        <v>102</v>
      </c>
      <c r="N19" s="86" t="s">
        <v>102</v>
      </c>
      <c r="O19" s="86" t="s">
        <v>420</v>
      </c>
      <c r="P19" s="86" t="s">
        <v>160</v>
      </c>
      <c r="Q19" s="86" t="s">
        <v>405</v>
      </c>
      <c r="R19" s="86" t="s">
        <v>421</v>
      </c>
      <c r="S19" s="86"/>
      <c r="T19">
        <v>17</v>
      </c>
    </row>
    <row r="20" spans="1:34" hidden="1">
      <c r="A20" s="86" t="s">
        <v>92</v>
      </c>
      <c r="B20" s="119" t="s">
        <v>93</v>
      </c>
      <c r="C20" s="119" t="s">
        <v>94</v>
      </c>
      <c r="D20" s="102" t="s">
        <v>317</v>
      </c>
      <c r="E20" s="86" t="s">
        <v>422</v>
      </c>
      <c r="F20" s="86" t="s">
        <v>419</v>
      </c>
      <c r="G20" s="86" t="s">
        <v>2</v>
      </c>
      <c r="H20" s="86" t="s">
        <v>97</v>
      </c>
      <c r="I20" s="86" t="s">
        <v>72</v>
      </c>
      <c r="J20" s="86"/>
      <c r="K20" s="86" t="s">
        <v>370</v>
      </c>
      <c r="L20" s="86" t="s">
        <v>102</v>
      </c>
      <c r="M20" s="86" t="s">
        <v>102</v>
      </c>
      <c r="N20" s="86" t="s">
        <v>102</v>
      </c>
      <c r="O20" s="86" t="s">
        <v>423</v>
      </c>
      <c r="P20" s="86" t="s">
        <v>424</v>
      </c>
      <c r="Q20" s="86" t="s">
        <v>405</v>
      </c>
      <c r="R20" s="86" t="s">
        <v>421</v>
      </c>
      <c r="S20" s="86"/>
      <c r="T20">
        <v>18</v>
      </c>
    </row>
    <row r="21" spans="1:34" hidden="1">
      <c r="A21" s="86" t="s">
        <v>92</v>
      </c>
      <c r="B21" s="119" t="s">
        <v>93</v>
      </c>
      <c r="C21" s="119" t="s">
        <v>94</v>
      </c>
      <c r="D21" s="102" t="s">
        <v>317</v>
      </c>
      <c r="E21" s="86" t="s">
        <v>425</v>
      </c>
      <c r="F21" s="86" t="s">
        <v>419</v>
      </c>
      <c r="G21" s="86" t="s">
        <v>2</v>
      </c>
      <c r="H21" s="86" t="s">
        <v>97</v>
      </c>
      <c r="I21" s="86" t="s">
        <v>72</v>
      </c>
      <c r="J21" s="86"/>
      <c r="K21" s="86" t="s">
        <v>370</v>
      </c>
      <c r="L21" s="86" t="s">
        <v>102</v>
      </c>
      <c r="M21" s="86" t="s">
        <v>102</v>
      </c>
      <c r="N21" s="86" t="s">
        <v>102</v>
      </c>
      <c r="O21" s="86" t="s">
        <v>426</v>
      </c>
      <c r="P21" s="86" t="s">
        <v>99</v>
      </c>
      <c r="Q21" s="86" t="s">
        <v>405</v>
      </c>
      <c r="R21" s="86" t="s">
        <v>421</v>
      </c>
      <c r="S21" s="86"/>
      <c r="T21">
        <v>19</v>
      </c>
    </row>
    <row r="22" spans="1:34" hidden="1">
      <c r="A22" s="86" t="s">
        <v>92</v>
      </c>
      <c r="B22" s="119" t="s">
        <v>93</v>
      </c>
      <c r="C22" s="119" t="s">
        <v>94</v>
      </c>
      <c r="D22" s="102" t="s">
        <v>317</v>
      </c>
      <c r="E22" s="86" t="s">
        <v>427</v>
      </c>
      <c r="F22" s="86" t="s">
        <v>419</v>
      </c>
      <c r="G22" s="86" t="s">
        <v>2</v>
      </c>
      <c r="H22" s="86" t="s">
        <v>97</v>
      </c>
      <c r="I22" s="86" t="s">
        <v>72</v>
      </c>
      <c r="J22" s="86"/>
      <c r="K22" s="86" t="s">
        <v>370</v>
      </c>
      <c r="L22" s="86" t="s">
        <v>102</v>
      </c>
      <c r="M22" s="86" t="s">
        <v>102</v>
      </c>
      <c r="N22" s="86" t="s">
        <v>102</v>
      </c>
      <c r="O22" s="86" t="s">
        <v>428</v>
      </c>
      <c r="P22" s="86" t="s">
        <v>75</v>
      </c>
      <c r="Q22" s="86" t="s">
        <v>405</v>
      </c>
      <c r="R22" s="86" t="s">
        <v>421</v>
      </c>
      <c r="S22" s="86"/>
      <c r="T22">
        <v>20</v>
      </c>
    </row>
    <row r="23" spans="1:34" hidden="1">
      <c r="A23" s="86" t="s">
        <v>92</v>
      </c>
      <c r="B23" s="119" t="s">
        <v>93</v>
      </c>
      <c r="C23" s="119" t="s">
        <v>94</v>
      </c>
      <c r="D23" s="102" t="s">
        <v>317</v>
      </c>
      <c r="E23" s="86" t="s">
        <v>429</v>
      </c>
      <c r="F23" s="86" t="s">
        <v>419</v>
      </c>
      <c r="G23" s="86" t="s">
        <v>2</v>
      </c>
      <c r="H23" s="86" t="s">
        <v>97</v>
      </c>
      <c r="I23" s="86" t="s">
        <v>72</v>
      </c>
      <c r="J23" s="86"/>
      <c r="K23" s="86" t="s">
        <v>370</v>
      </c>
      <c r="L23" s="86" t="s">
        <v>102</v>
      </c>
      <c r="M23" s="86" t="s">
        <v>102</v>
      </c>
      <c r="N23" s="86" t="s">
        <v>102</v>
      </c>
      <c r="O23" s="86" t="s">
        <v>430</v>
      </c>
      <c r="P23" s="86" t="s">
        <v>99</v>
      </c>
      <c r="Q23" s="86" t="s">
        <v>405</v>
      </c>
      <c r="R23" s="86" t="s">
        <v>421</v>
      </c>
      <c r="S23" s="86"/>
      <c r="T23">
        <v>21</v>
      </c>
    </row>
    <row r="24" spans="1:34" hidden="1">
      <c r="A24" s="86" t="s">
        <v>92</v>
      </c>
      <c r="B24" s="119" t="s">
        <v>93</v>
      </c>
      <c r="C24" s="119" t="s">
        <v>94</v>
      </c>
      <c r="D24" s="102" t="s">
        <v>317</v>
      </c>
      <c r="E24" s="86" t="s">
        <v>431</v>
      </c>
      <c r="F24" s="86" t="s">
        <v>419</v>
      </c>
      <c r="G24" s="86" t="s">
        <v>2</v>
      </c>
      <c r="H24" s="86" t="s">
        <v>97</v>
      </c>
      <c r="I24" s="86" t="s">
        <v>72</v>
      </c>
      <c r="J24" s="86"/>
      <c r="K24" s="86" t="s">
        <v>370</v>
      </c>
      <c r="L24" s="86" t="s">
        <v>102</v>
      </c>
      <c r="M24" s="86" t="s">
        <v>102</v>
      </c>
      <c r="N24" s="86" t="s">
        <v>102</v>
      </c>
      <c r="O24" s="86" t="s">
        <v>432</v>
      </c>
      <c r="P24" s="86" t="s">
        <v>433</v>
      </c>
      <c r="Q24" s="86" t="s">
        <v>405</v>
      </c>
      <c r="R24" s="86" t="s">
        <v>421</v>
      </c>
      <c r="S24" s="86"/>
      <c r="T24">
        <v>22</v>
      </c>
    </row>
    <row r="25" spans="1:34" hidden="1">
      <c r="A25" t="s">
        <v>92</v>
      </c>
      <c r="B25" s="4" t="s">
        <v>93</v>
      </c>
      <c r="C25" s="4" t="s">
        <v>94</v>
      </c>
      <c r="D25" s="102" t="s">
        <v>327</v>
      </c>
      <c r="E25" t="s">
        <v>251</v>
      </c>
      <c r="F25" t="s">
        <v>197</v>
      </c>
      <c r="G25" t="s">
        <v>2</v>
      </c>
      <c r="H25" t="s">
        <v>97</v>
      </c>
      <c r="I25" t="s">
        <v>72</v>
      </c>
      <c r="K25" t="s">
        <v>198</v>
      </c>
      <c r="L25" t="s">
        <v>73</v>
      </c>
      <c r="M25" t="s">
        <v>98</v>
      </c>
      <c r="N25" t="s">
        <v>99</v>
      </c>
      <c r="O25" t="s">
        <v>199</v>
      </c>
      <c r="P25" t="s">
        <v>200</v>
      </c>
      <c r="T25">
        <v>23</v>
      </c>
      <c r="W25" s="113">
        <v>46056</v>
      </c>
      <c r="X25" s="113">
        <v>46087</v>
      </c>
      <c r="Y25" s="113">
        <v>46083</v>
      </c>
      <c r="Z25" s="113">
        <v>46122</v>
      </c>
      <c r="AA25" s="113">
        <v>46111</v>
      </c>
      <c r="AB25" s="113">
        <v>46136</v>
      </c>
      <c r="AC25" s="113">
        <v>46118</v>
      </c>
      <c r="AD25" s="113">
        <v>46136</v>
      </c>
      <c r="AE25" s="113">
        <v>46125</v>
      </c>
      <c r="AF25" s="113">
        <v>46150</v>
      </c>
      <c r="AG25" s="113">
        <v>46139</v>
      </c>
      <c r="AH25" s="113">
        <v>46171</v>
      </c>
    </row>
    <row r="26" spans="1:34" hidden="1">
      <c r="A26" s="73" t="s">
        <v>46</v>
      </c>
      <c r="B26" s="76" t="s">
        <v>61</v>
      </c>
      <c r="C26" s="74" t="s">
        <v>48</v>
      </c>
      <c r="D26" s="102"/>
      <c r="E26" s="73" t="s">
        <v>434</v>
      </c>
      <c r="F26" s="73" t="s">
        <v>63</v>
      </c>
      <c r="G26" s="73" t="s">
        <v>102</v>
      </c>
      <c r="H26" s="73" t="s">
        <v>102</v>
      </c>
      <c r="I26" s="73"/>
      <c r="J26" s="73"/>
      <c r="K26" s="73" t="s">
        <v>347</v>
      </c>
      <c r="L26" s="73" t="s">
        <v>102</v>
      </c>
      <c r="M26" s="73" t="s">
        <v>102</v>
      </c>
      <c r="N26" s="73" t="s">
        <v>102</v>
      </c>
      <c r="O26" s="73"/>
      <c r="P26" s="73"/>
      <c r="Q26" s="73"/>
      <c r="R26" s="73"/>
      <c r="T26">
        <v>24</v>
      </c>
    </row>
    <row r="27" spans="1:34" hidden="1">
      <c r="A27" t="s">
        <v>67</v>
      </c>
      <c r="B27" s="4" t="s">
        <v>133</v>
      </c>
      <c r="C27" s="4" t="s">
        <v>134</v>
      </c>
      <c r="D27" s="102" t="s">
        <v>435</v>
      </c>
      <c r="E27" t="s">
        <v>436</v>
      </c>
      <c r="F27" t="s">
        <v>417</v>
      </c>
      <c r="G27" t="s">
        <v>52</v>
      </c>
      <c r="H27" t="s">
        <v>437</v>
      </c>
      <c r="I27" t="s">
        <v>54</v>
      </c>
      <c r="K27" t="s">
        <v>339</v>
      </c>
      <c r="M27" t="s">
        <v>57</v>
      </c>
      <c r="N27" t="s">
        <v>133</v>
      </c>
      <c r="T27">
        <v>25</v>
      </c>
      <c r="AE27" s="113">
        <v>46076</v>
      </c>
      <c r="AF27" s="113">
        <v>46101</v>
      </c>
      <c r="AG27" s="113">
        <v>46104</v>
      </c>
      <c r="AH27" s="113">
        <v>46129</v>
      </c>
    </row>
    <row r="28" spans="1:34" hidden="1">
      <c r="A28" t="s">
        <v>80</v>
      </c>
      <c r="B28" t="s">
        <v>133</v>
      </c>
      <c r="C28" s="4" t="s">
        <v>134</v>
      </c>
      <c r="D28" s="102" t="s">
        <v>329</v>
      </c>
      <c r="E28" t="s">
        <v>135</v>
      </c>
      <c r="F28" t="s">
        <v>136</v>
      </c>
      <c r="G28" t="s">
        <v>52</v>
      </c>
      <c r="H28" t="s">
        <v>53</v>
      </c>
      <c r="I28" t="s">
        <v>83</v>
      </c>
      <c r="J28" t="s">
        <v>137</v>
      </c>
      <c r="K28" t="s">
        <v>55</v>
      </c>
      <c r="M28" t="s">
        <v>57</v>
      </c>
      <c r="N28" t="s">
        <v>58</v>
      </c>
      <c r="O28" t="s">
        <v>85</v>
      </c>
      <c r="P28" t="s">
        <v>138</v>
      </c>
      <c r="S28" t="s">
        <v>230</v>
      </c>
      <c r="T28">
        <v>26</v>
      </c>
      <c r="Y28" s="113">
        <v>46056</v>
      </c>
      <c r="Z28" s="113">
        <v>46080</v>
      </c>
      <c r="AA28" s="113">
        <v>46083</v>
      </c>
      <c r="AB28" s="113">
        <v>46108</v>
      </c>
      <c r="AC28" s="113">
        <v>46107</v>
      </c>
      <c r="AD28" s="113">
        <v>46108</v>
      </c>
      <c r="AE28" s="113">
        <v>46111</v>
      </c>
      <c r="AF28" s="113">
        <v>46136</v>
      </c>
      <c r="AG28" s="113">
        <v>46139</v>
      </c>
      <c r="AH28" s="113">
        <v>46164</v>
      </c>
    </row>
    <row r="29" spans="1:34" hidden="1">
      <c r="A29" t="s">
        <v>217</v>
      </c>
      <c r="B29" t="s">
        <v>16</v>
      </c>
      <c r="C29" s="4" t="s">
        <v>123</v>
      </c>
      <c r="D29" s="102" t="s">
        <v>435</v>
      </c>
      <c r="E29" t="s">
        <v>438</v>
      </c>
      <c r="F29" t="s">
        <v>439</v>
      </c>
      <c r="G29" t="s">
        <v>52</v>
      </c>
      <c r="H29" t="s">
        <v>219</v>
      </c>
      <c r="I29" t="s">
        <v>83</v>
      </c>
      <c r="J29" t="s">
        <v>440</v>
      </c>
      <c r="K29" t="s">
        <v>339</v>
      </c>
      <c r="M29" t="s">
        <v>57</v>
      </c>
      <c r="N29" t="s">
        <v>16</v>
      </c>
      <c r="T29">
        <v>27</v>
      </c>
      <c r="AE29" s="113">
        <v>46076</v>
      </c>
      <c r="AF29" s="113">
        <v>46101</v>
      </c>
      <c r="AG29" s="113">
        <v>46104</v>
      </c>
      <c r="AH29" s="113">
        <v>46129</v>
      </c>
    </row>
    <row r="30" spans="1:34" hidden="1">
      <c r="A30" s="73" t="s">
        <v>67</v>
      </c>
      <c r="B30" s="73" t="s">
        <v>68</v>
      </c>
      <c r="C30" s="74" t="s">
        <v>48</v>
      </c>
      <c r="D30" s="102" t="s">
        <v>317</v>
      </c>
      <c r="E30" s="73" t="s">
        <v>441</v>
      </c>
      <c r="F30" s="73" t="s">
        <v>442</v>
      </c>
      <c r="G30" s="73" t="s">
        <v>102</v>
      </c>
      <c r="H30" s="73" t="s">
        <v>102</v>
      </c>
      <c r="I30" s="73"/>
      <c r="J30" s="73"/>
      <c r="K30" s="73" t="s">
        <v>347</v>
      </c>
      <c r="L30" s="73" t="s">
        <v>102</v>
      </c>
      <c r="M30" s="73" t="s">
        <v>102</v>
      </c>
      <c r="N30" s="73" t="s">
        <v>102</v>
      </c>
      <c r="O30" s="77" t="s">
        <v>443</v>
      </c>
      <c r="P30" s="73"/>
      <c r="Q30" s="73"/>
      <c r="R30" s="73"/>
      <c r="T30">
        <v>28</v>
      </c>
    </row>
    <row r="31" spans="1:34" hidden="1">
      <c r="A31" t="s">
        <v>92</v>
      </c>
      <c r="B31" t="s">
        <v>267</v>
      </c>
      <c r="C31" s="4" t="s">
        <v>268</v>
      </c>
      <c r="D31" s="102" t="s">
        <v>327</v>
      </c>
      <c r="E31" t="s">
        <v>269</v>
      </c>
      <c r="F31" t="s">
        <v>270</v>
      </c>
      <c r="G31" t="s">
        <v>71</v>
      </c>
      <c r="K31" t="s">
        <v>198</v>
      </c>
      <c r="M31" t="s">
        <v>57</v>
      </c>
      <c r="N31" t="s">
        <v>267</v>
      </c>
      <c r="T31">
        <v>29</v>
      </c>
      <c r="W31" s="113">
        <v>46056</v>
      </c>
      <c r="X31" s="113">
        <v>46094</v>
      </c>
      <c r="Y31" s="113">
        <v>46097</v>
      </c>
      <c r="Z31" s="113">
        <v>46115</v>
      </c>
      <c r="AA31" s="113">
        <v>46118</v>
      </c>
      <c r="AB31" s="113">
        <v>46129</v>
      </c>
      <c r="AC31" s="113">
        <v>46128</v>
      </c>
      <c r="AD31" s="113">
        <v>46129</v>
      </c>
      <c r="AE31" s="113">
        <v>46132</v>
      </c>
      <c r="AF31" s="113">
        <v>46150</v>
      </c>
      <c r="AG31" s="113">
        <v>46153</v>
      </c>
      <c r="AH31" s="113">
        <v>46171</v>
      </c>
    </row>
    <row r="32" spans="1:34" hidden="1">
      <c r="A32" t="s">
        <v>92</v>
      </c>
      <c r="B32" t="s">
        <v>16</v>
      </c>
      <c r="C32" s="4" t="s">
        <v>123</v>
      </c>
      <c r="D32" s="102" t="s">
        <v>435</v>
      </c>
      <c r="E32" t="s">
        <v>444</v>
      </c>
      <c r="F32" t="s">
        <v>445</v>
      </c>
      <c r="G32" t="s">
        <v>245</v>
      </c>
      <c r="H32" t="s">
        <v>246</v>
      </c>
      <c r="K32" t="s">
        <v>339</v>
      </c>
      <c r="M32" t="s">
        <v>57</v>
      </c>
      <c r="N32" t="s">
        <v>16</v>
      </c>
      <c r="T32">
        <v>30</v>
      </c>
      <c r="AE32" s="113">
        <v>46076</v>
      </c>
      <c r="AF32" s="113">
        <v>46101</v>
      </c>
      <c r="AG32" s="113">
        <v>46104</v>
      </c>
      <c r="AH32" s="113">
        <v>46129</v>
      </c>
    </row>
    <row r="33" spans="1:34" hidden="1">
      <c r="A33" s="19" t="s">
        <v>92</v>
      </c>
      <c r="B33" s="19" t="s">
        <v>4</v>
      </c>
      <c r="C33" s="78" t="s">
        <v>225</v>
      </c>
      <c r="D33" s="102" t="s">
        <v>327</v>
      </c>
      <c r="E33" s="19" t="s">
        <v>272</v>
      </c>
      <c r="F33" s="19" t="s">
        <v>273</v>
      </c>
      <c r="G33" s="19" t="s">
        <v>71</v>
      </c>
      <c r="H33" s="19" t="s">
        <v>274</v>
      </c>
      <c r="I33" s="19" t="s">
        <v>83</v>
      </c>
      <c r="J33" s="19"/>
      <c r="K33" s="19" t="s">
        <v>198</v>
      </c>
      <c r="L33" s="19"/>
      <c r="M33" s="19" t="s">
        <v>57</v>
      </c>
      <c r="N33" s="19" t="s">
        <v>4</v>
      </c>
      <c r="O33" s="19"/>
      <c r="P33" s="19"/>
      <c r="T33">
        <v>31</v>
      </c>
      <c r="AE33" s="113">
        <v>46111</v>
      </c>
      <c r="AF33" s="113">
        <v>46136</v>
      </c>
      <c r="AG33" s="113">
        <v>46139</v>
      </c>
      <c r="AH33" s="113">
        <v>46157</v>
      </c>
    </row>
    <row r="34" spans="1:34" hidden="1">
      <c r="A34" s="86" t="s">
        <v>92</v>
      </c>
      <c r="B34" s="86" t="s">
        <v>68</v>
      </c>
      <c r="C34" s="119" t="s">
        <v>48</v>
      </c>
      <c r="D34" s="102" t="s">
        <v>317</v>
      </c>
      <c r="E34" s="86" t="s">
        <v>446</v>
      </c>
      <c r="F34" s="86" t="s">
        <v>447</v>
      </c>
      <c r="G34" s="86" t="s">
        <v>71</v>
      </c>
      <c r="H34" s="86" t="s">
        <v>72</v>
      </c>
      <c r="I34" s="86"/>
      <c r="J34" s="86"/>
      <c r="K34" s="86" t="s">
        <v>370</v>
      </c>
      <c r="L34" s="86" t="s">
        <v>102</v>
      </c>
      <c r="M34" s="86" t="s">
        <v>102</v>
      </c>
      <c r="N34" s="86" t="s">
        <v>102</v>
      </c>
      <c r="O34" s="120" t="s">
        <v>404</v>
      </c>
      <c r="P34" s="86"/>
      <c r="Q34" s="86" t="s">
        <v>405</v>
      </c>
      <c r="R34" s="86" t="s">
        <v>448</v>
      </c>
      <c r="S34" s="86"/>
      <c r="T34">
        <v>32</v>
      </c>
    </row>
    <row r="35" spans="1:34" hidden="1">
      <c r="A35" s="86" t="s">
        <v>92</v>
      </c>
      <c r="B35" s="86" t="s">
        <v>68</v>
      </c>
      <c r="C35" s="119" t="s">
        <v>48</v>
      </c>
      <c r="D35" s="102" t="s">
        <v>317</v>
      </c>
      <c r="E35" s="86" t="s">
        <v>449</v>
      </c>
      <c r="F35" s="86" t="s">
        <v>450</v>
      </c>
      <c r="G35" s="86" t="s">
        <v>71</v>
      </c>
      <c r="H35" s="86" t="s">
        <v>72</v>
      </c>
      <c r="I35" s="86"/>
      <c r="J35" s="86"/>
      <c r="K35" s="86" t="s">
        <v>370</v>
      </c>
      <c r="L35" s="86" t="s">
        <v>102</v>
      </c>
      <c r="M35" s="86" t="s">
        <v>102</v>
      </c>
      <c r="N35" s="86" t="s">
        <v>102</v>
      </c>
      <c r="O35" s="120" t="s">
        <v>404</v>
      </c>
      <c r="P35" s="86"/>
      <c r="Q35" s="86" t="s">
        <v>405</v>
      </c>
      <c r="R35" s="86" t="s">
        <v>448</v>
      </c>
      <c r="S35" s="86"/>
      <c r="T35">
        <v>33</v>
      </c>
    </row>
    <row r="36" spans="1:34" hidden="1">
      <c r="A36" s="86" t="s">
        <v>92</v>
      </c>
      <c r="B36" s="86" t="s">
        <v>68</v>
      </c>
      <c r="C36" s="119" t="s">
        <v>48</v>
      </c>
      <c r="D36" s="102" t="s">
        <v>317</v>
      </c>
      <c r="E36" s="86" t="s">
        <v>451</v>
      </c>
      <c r="F36" s="86" t="s">
        <v>452</v>
      </c>
      <c r="G36" s="86" t="s">
        <v>71</v>
      </c>
      <c r="H36" s="86" t="s">
        <v>72</v>
      </c>
      <c r="I36" s="86"/>
      <c r="J36" s="86"/>
      <c r="K36" s="86" t="s">
        <v>370</v>
      </c>
      <c r="L36" s="86" t="s">
        <v>102</v>
      </c>
      <c r="M36" s="86" t="s">
        <v>102</v>
      </c>
      <c r="N36" s="86" t="s">
        <v>102</v>
      </c>
      <c r="O36" s="120" t="s">
        <v>404</v>
      </c>
      <c r="P36" s="86"/>
      <c r="Q36" s="86" t="s">
        <v>405</v>
      </c>
      <c r="R36" s="86" t="s">
        <v>448</v>
      </c>
      <c r="S36" s="86"/>
      <c r="T36">
        <v>34</v>
      </c>
    </row>
    <row r="37" spans="1:34" hidden="1">
      <c r="A37" s="86" t="s">
        <v>92</v>
      </c>
      <c r="B37" s="86" t="s">
        <v>68</v>
      </c>
      <c r="C37" s="119" t="s">
        <v>48</v>
      </c>
      <c r="D37" s="102" t="s">
        <v>317</v>
      </c>
      <c r="E37" s="86" t="s">
        <v>453</v>
      </c>
      <c r="F37" s="86" t="s">
        <v>454</v>
      </c>
      <c r="G37" s="86" t="s">
        <v>71</v>
      </c>
      <c r="H37" s="86" t="s">
        <v>72</v>
      </c>
      <c r="I37" s="86"/>
      <c r="J37" s="86"/>
      <c r="K37" s="86" t="s">
        <v>370</v>
      </c>
      <c r="L37" s="86" t="s">
        <v>102</v>
      </c>
      <c r="M37" s="86" t="s">
        <v>102</v>
      </c>
      <c r="N37" s="86" t="s">
        <v>102</v>
      </c>
      <c r="O37" s="120" t="s">
        <v>404</v>
      </c>
      <c r="P37" s="86"/>
      <c r="Q37" s="86" t="s">
        <v>405</v>
      </c>
      <c r="R37" s="86" t="s">
        <v>448</v>
      </c>
      <c r="S37" s="86"/>
      <c r="T37">
        <v>35</v>
      </c>
    </row>
    <row r="38" spans="1:34" hidden="1">
      <c r="A38" t="s">
        <v>67</v>
      </c>
      <c r="B38" t="s">
        <v>68</v>
      </c>
      <c r="C38" s="4" t="s">
        <v>48</v>
      </c>
      <c r="D38" s="102" t="s">
        <v>329</v>
      </c>
      <c r="E38" t="s">
        <v>130</v>
      </c>
      <c r="F38" t="s">
        <v>131</v>
      </c>
      <c r="G38" t="s">
        <v>71</v>
      </c>
      <c r="H38" t="s">
        <v>72</v>
      </c>
      <c r="K38" t="s">
        <v>55</v>
      </c>
      <c r="L38" t="s">
        <v>73</v>
      </c>
      <c r="M38" t="s">
        <v>74</v>
      </c>
      <c r="N38" t="s">
        <v>75</v>
      </c>
      <c r="O38" t="s">
        <v>132</v>
      </c>
      <c r="S38" s="73" t="s">
        <v>230</v>
      </c>
      <c r="T38">
        <v>36</v>
      </c>
      <c r="Y38" s="113">
        <v>46056</v>
      </c>
      <c r="Z38" s="113">
        <v>46073</v>
      </c>
      <c r="AA38" s="113">
        <v>46076</v>
      </c>
      <c r="AB38" s="113">
        <v>46094</v>
      </c>
      <c r="AC38" s="113">
        <v>46093</v>
      </c>
      <c r="AD38" s="113">
        <v>46094</v>
      </c>
      <c r="AE38" s="113">
        <v>46097</v>
      </c>
      <c r="AF38" s="113">
        <v>46115</v>
      </c>
      <c r="AG38" s="113">
        <v>46118</v>
      </c>
      <c r="AH38" s="113">
        <v>46136</v>
      </c>
    </row>
    <row r="39" spans="1:34" ht="15" hidden="1" customHeight="1">
      <c r="A39" s="19" t="s">
        <v>67</v>
      </c>
      <c r="B39" s="19" t="s">
        <v>68</v>
      </c>
      <c r="C39" s="78" t="s">
        <v>201</v>
      </c>
      <c r="D39" s="102" t="s">
        <v>327</v>
      </c>
      <c r="E39" s="19" t="s">
        <v>283</v>
      </c>
      <c r="F39" s="19" t="s">
        <v>284</v>
      </c>
      <c r="G39" s="19" t="s">
        <v>71</v>
      </c>
      <c r="H39" s="19" t="s">
        <v>72</v>
      </c>
      <c r="I39" s="19"/>
      <c r="J39" s="37" t="s">
        <v>285</v>
      </c>
      <c r="K39" s="19" t="s">
        <v>198</v>
      </c>
      <c r="L39" s="19" t="s">
        <v>73</v>
      </c>
      <c r="M39" s="19" t="s">
        <v>74</v>
      </c>
      <c r="N39" s="19" t="s">
        <v>160</v>
      </c>
      <c r="O39" s="53" t="s">
        <v>286</v>
      </c>
      <c r="P39" s="19" t="s">
        <v>287</v>
      </c>
      <c r="Q39" s="19"/>
      <c r="R39" s="19"/>
      <c r="S39" s="73" t="s">
        <v>230</v>
      </c>
      <c r="T39">
        <v>37</v>
      </c>
      <c r="U39" s="113"/>
      <c r="V39" s="113"/>
      <c r="W39" s="113">
        <v>46056</v>
      </c>
      <c r="X39" s="113">
        <v>46080</v>
      </c>
      <c r="Y39" s="113">
        <v>46083</v>
      </c>
      <c r="Z39" s="113">
        <v>46108</v>
      </c>
      <c r="AA39" s="113">
        <v>46111</v>
      </c>
      <c r="AB39" s="113">
        <v>46122</v>
      </c>
      <c r="AC39" s="113">
        <v>46121</v>
      </c>
      <c r="AD39" s="113">
        <v>46122</v>
      </c>
      <c r="AE39" s="113">
        <v>46125</v>
      </c>
      <c r="AF39" s="113">
        <v>46143</v>
      </c>
      <c r="AG39" s="113">
        <v>46146</v>
      </c>
      <c r="AH39" s="113">
        <v>46157</v>
      </c>
    </row>
    <row r="40" spans="1:34" hidden="1">
      <c r="A40" t="s">
        <v>46</v>
      </c>
      <c r="B40" s="3" t="s">
        <v>61</v>
      </c>
      <c r="C40" s="4" t="s">
        <v>48</v>
      </c>
      <c r="D40" s="102" t="s">
        <v>329</v>
      </c>
      <c r="E40" t="s">
        <v>128</v>
      </c>
      <c r="F40" t="s">
        <v>129</v>
      </c>
      <c r="G40" t="s">
        <v>52</v>
      </c>
      <c r="H40" t="s">
        <v>64</v>
      </c>
      <c r="I40" t="s">
        <v>54</v>
      </c>
      <c r="K40" t="s">
        <v>55</v>
      </c>
      <c r="M40" t="s">
        <v>57</v>
      </c>
      <c r="N40" t="s">
        <v>58</v>
      </c>
      <c r="T40">
        <v>38</v>
      </c>
      <c r="Y40" s="113">
        <v>46056</v>
      </c>
      <c r="Z40" s="113">
        <v>46080</v>
      </c>
      <c r="AA40" s="113">
        <v>46083</v>
      </c>
      <c r="AB40" s="113">
        <v>46108</v>
      </c>
      <c r="AC40" s="113">
        <v>46107</v>
      </c>
      <c r="AD40" s="113">
        <v>46108</v>
      </c>
      <c r="AE40" s="113">
        <v>46111</v>
      </c>
      <c r="AF40" s="113">
        <v>46136</v>
      </c>
      <c r="AG40" s="113">
        <v>46139</v>
      </c>
      <c r="AH40" s="113">
        <v>46164</v>
      </c>
    </row>
    <row r="41" spans="1:34" hidden="1">
      <c r="A41" t="s">
        <v>46</v>
      </c>
      <c r="B41" t="s">
        <v>47</v>
      </c>
      <c r="C41" s="4" t="s">
        <v>48</v>
      </c>
      <c r="D41" s="102" t="s">
        <v>327</v>
      </c>
      <c r="E41" t="s">
        <v>290</v>
      </c>
      <c r="F41" t="s">
        <v>291</v>
      </c>
      <c r="G41" t="s">
        <v>126</v>
      </c>
      <c r="I41" t="s">
        <v>83</v>
      </c>
      <c r="J41" t="s">
        <v>292</v>
      </c>
      <c r="K41" t="s">
        <v>198</v>
      </c>
      <c r="M41" t="s">
        <v>57</v>
      </c>
      <c r="N41" t="s">
        <v>16</v>
      </c>
      <c r="T41">
        <v>39</v>
      </c>
      <c r="W41" s="113">
        <v>46056</v>
      </c>
      <c r="X41" s="113">
        <v>46073</v>
      </c>
      <c r="Y41" s="113">
        <v>46076</v>
      </c>
      <c r="Z41" s="113">
        <v>46094</v>
      </c>
      <c r="AA41" s="113">
        <v>46097</v>
      </c>
      <c r="AB41" s="113">
        <v>46108</v>
      </c>
      <c r="AC41" s="113">
        <v>46107</v>
      </c>
      <c r="AD41" s="113">
        <v>46108</v>
      </c>
      <c r="AE41" s="113">
        <v>46111</v>
      </c>
      <c r="AF41" s="113">
        <v>46129</v>
      </c>
      <c r="AG41" s="113">
        <v>46132</v>
      </c>
      <c r="AH41" s="113">
        <v>46150</v>
      </c>
    </row>
    <row r="42" spans="1:34" hidden="1">
      <c r="A42" t="s">
        <v>46</v>
      </c>
      <c r="B42" t="s">
        <v>16</v>
      </c>
      <c r="C42" s="4" t="s">
        <v>123</v>
      </c>
      <c r="D42" s="102" t="s">
        <v>329</v>
      </c>
      <c r="E42" t="s">
        <v>124</v>
      </c>
      <c r="F42" t="s">
        <v>125</v>
      </c>
      <c r="G42" t="s">
        <v>126</v>
      </c>
      <c r="I42" t="s">
        <v>83</v>
      </c>
      <c r="J42" t="s">
        <v>127</v>
      </c>
      <c r="K42" t="s">
        <v>55</v>
      </c>
      <c r="M42" t="s">
        <v>57</v>
      </c>
      <c r="N42" t="s">
        <v>16</v>
      </c>
      <c r="T42">
        <v>40</v>
      </c>
      <c r="Y42" s="113">
        <v>46056</v>
      </c>
      <c r="Z42" s="113">
        <v>46080</v>
      </c>
      <c r="AA42" s="113">
        <v>46083</v>
      </c>
      <c r="AB42" s="113">
        <v>46108</v>
      </c>
      <c r="AC42" s="113">
        <v>46107</v>
      </c>
      <c r="AD42" s="113">
        <v>46108</v>
      </c>
      <c r="AE42" s="113">
        <v>46111</v>
      </c>
      <c r="AF42" s="113">
        <v>46136</v>
      </c>
      <c r="AG42" s="113">
        <v>46139</v>
      </c>
      <c r="AH42" s="113">
        <v>46164</v>
      </c>
    </row>
    <row r="43" spans="1:34" hidden="1">
      <c r="A43" s="86" t="s">
        <v>92</v>
      </c>
      <c r="B43" s="119" t="s">
        <v>93</v>
      </c>
      <c r="C43" s="119" t="s">
        <v>94</v>
      </c>
      <c r="D43" s="102" t="s">
        <v>317</v>
      </c>
      <c r="E43" s="86" t="s">
        <v>455</v>
      </c>
      <c r="F43" s="86" t="s">
        <v>456</v>
      </c>
      <c r="G43" s="86" t="s">
        <v>2</v>
      </c>
      <c r="H43" s="86" t="s">
        <v>97</v>
      </c>
      <c r="I43" s="86" t="s">
        <v>72</v>
      </c>
      <c r="J43" s="86"/>
      <c r="K43" s="86" t="s">
        <v>370</v>
      </c>
      <c r="L43" s="86" t="s">
        <v>102</v>
      </c>
      <c r="M43" s="86" t="s">
        <v>102</v>
      </c>
      <c r="N43" s="86" t="s">
        <v>102</v>
      </c>
      <c r="O43" s="86"/>
      <c r="P43" s="86"/>
      <c r="Q43" s="86" t="s">
        <v>405</v>
      </c>
      <c r="R43" s="86" t="s">
        <v>457</v>
      </c>
      <c r="S43" s="86"/>
      <c r="T43">
        <v>41</v>
      </c>
    </row>
    <row r="44" spans="1:34" hidden="1">
      <c r="A44" s="86" t="s">
        <v>92</v>
      </c>
      <c r="B44" s="119" t="s">
        <v>93</v>
      </c>
      <c r="C44" s="119" t="s">
        <v>94</v>
      </c>
      <c r="D44" s="102" t="s">
        <v>317</v>
      </c>
      <c r="E44" s="86" t="s">
        <v>458</v>
      </c>
      <c r="F44" s="86" t="s">
        <v>459</v>
      </c>
      <c r="G44" s="86" t="s">
        <v>2</v>
      </c>
      <c r="H44" s="86" t="s">
        <v>97</v>
      </c>
      <c r="I44" s="86" t="s">
        <v>72</v>
      </c>
      <c r="J44" s="86"/>
      <c r="K44" s="86" t="s">
        <v>370</v>
      </c>
      <c r="L44" s="86" t="s">
        <v>102</v>
      </c>
      <c r="M44" s="86" t="s">
        <v>102</v>
      </c>
      <c r="N44" s="86" t="s">
        <v>102</v>
      </c>
      <c r="O44" s="86"/>
      <c r="P44" s="86"/>
      <c r="Q44" s="86" t="s">
        <v>405</v>
      </c>
      <c r="R44" s="86" t="s">
        <v>457</v>
      </c>
      <c r="S44" s="86"/>
      <c r="T44">
        <v>42</v>
      </c>
    </row>
    <row r="45" spans="1:34" hidden="1">
      <c r="A45" t="s">
        <v>67</v>
      </c>
      <c r="B45" t="s">
        <v>68</v>
      </c>
      <c r="C45" s="4" t="s">
        <v>48</v>
      </c>
      <c r="D45" s="102" t="s">
        <v>329</v>
      </c>
      <c r="E45" t="s">
        <v>120</v>
      </c>
      <c r="F45" t="s">
        <v>121</v>
      </c>
      <c r="G45" t="s">
        <v>71</v>
      </c>
      <c r="H45" t="s">
        <v>72</v>
      </c>
      <c r="K45" t="s">
        <v>55</v>
      </c>
      <c r="L45" t="s">
        <v>73</v>
      </c>
      <c r="M45" t="s">
        <v>74</v>
      </c>
      <c r="N45" t="s">
        <v>75</v>
      </c>
      <c r="O45" t="s">
        <v>122</v>
      </c>
      <c r="S45" t="s">
        <v>230</v>
      </c>
      <c r="T45">
        <v>43</v>
      </c>
      <c r="Y45" s="113">
        <v>46056</v>
      </c>
      <c r="Z45" s="113">
        <v>46073</v>
      </c>
      <c r="AA45" s="113">
        <v>46076</v>
      </c>
      <c r="AB45" s="113">
        <v>46094</v>
      </c>
      <c r="AC45" s="113">
        <v>46093</v>
      </c>
      <c r="AD45" s="113">
        <v>46094</v>
      </c>
      <c r="AE45" s="113">
        <v>46097</v>
      </c>
      <c r="AF45" s="113">
        <v>46115</v>
      </c>
      <c r="AG45" s="113">
        <v>46118</v>
      </c>
      <c r="AH45" s="113">
        <v>46136</v>
      </c>
    </row>
    <row r="46" spans="1:34" hidden="1">
      <c r="A46" s="86" t="s">
        <v>92</v>
      </c>
      <c r="B46" s="119" t="s">
        <v>93</v>
      </c>
      <c r="C46" s="119" t="s">
        <v>94</v>
      </c>
      <c r="D46" s="102" t="s">
        <v>317</v>
      </c>
      <c r="E46" s="86" t="s">
        <v>460</v>
      </c>
      <c r="F46" s="86" t="s">
        <v>461</v>
      </c>
      <c r="G46" s="86" t="s">
        <v>2</v>
      </c>
      <c r="H46" s="86" t="s">
        <v>97</v>
      </c>
      <c r="I46" s="86" t="s">
        <v>72</v>
      </c>
      <c r="J46" s="121"/>
      <c r="K46" s="86" t="s">
        <v>370</v>
      </c>
      <c r="L46" s="86" t="s">
        <v>102</v>
      </c>
      <c r="M46" s="86" t="s">
        <v>102</v>
      </c>
      <c r="N46" s="86" t="s">
        <v>102</v>
      </c>
      <c r="O46" s="86"/>
      <c r="P46" s="86"/>
      <c r="Q46" s="86" t="s">
        <v>462</v>
      </c>
      <c r="R46" s="86" t="s">
        <v>463</v>
      </c>
      <c r="S46" s="86"/>
      <c r="T46">
        <v>44</v>
      </c>
    </row>
    <row r="47" spans="1:34" hidden="1">
      <c r="A47" t="s">
        <v>46</v>
      </c>
      <c r="B47" s="3" t="s">
        <v>61</v>
      </c>
      <c r="C47" s="4" t="s">
        <v>48</v>
      </c>
      <c r="D47" s="102" t="s">
        <v>329</v>
      </c>
      <c r="E47" t="s">
        <v>118</v>
      </c>
      <c r="F47" t="s">
        <v>66</v>
      </c>
      <c r="G47" t="s">
        <v>52</v>
      </c>
      <c r="H47" t="s">
        <v>119</v>
      </c>
      <c r="I47" t="s">
        <v>54</v>
      </c>
      <c r="K47" t="s">
        <v>55</v>
      </c>
      <c r="M47" t="s">
        <v>57</v>
      </c>
      <c r="N47" t="s">
        <v>58</v>
      </c>
      <c r="T47">
        <v>45</v>
      </c>
      <c r="Y47" s="113">
        <v>46056</v>
      </c>
      <c r="Z47" s="113">
        <v>46080</v>
      </c>
      <c r="AA47" s="113">
        <v>46083</v>
      </c>
      <c r="AB47" s="113">
        <v>46108</v>
      </c>
      <c r="AC47" s="113">
        <v>46107</v>
      </c>
      <c r="AD47" s="113">
        <v>46108</v>
      </c>
      <c r="AE47" s="113">
        <v>46111</v>
      </c>
      <c r="AF47" s="113">
        <v>46136</v>
      </c>
      <c r="AG47" s="113">
        <v>46139</v>
      </c>
      <c r="AH47" s="113">
        <v>46164</v>
      </c>
    </row>
    <row r="48" spans="1:34" hidden="1">
      <c r="A48" s="73" t="s">
        <v>67</v>
      </c>
      <c r="B48" s="74" t="s">
        <v>133</v>
      </c>
      <c r="C48" s="74" t="s">
        <v>134</v>
      </c>
      <c r="D48" s="102"/>
      <c r="E48" s="73" t="s">
        <v>464</v>
      </c>
      <c r="F48" s="73" t="s">
        <v>417</v>
      </c>
      <c r="G48" s="73" t="s">
        <v>102</v>
      </c>
      <c r="H48" s="73" t="s">
        <v>102</v>
      </c>
      <c r="I48" s="73"/>
      <c r="J48" s="73"/>
      <c r="K48" s="73" t="s">
        <v>347</v>
      </c>
      <c r="L48" s="73" t="s">
        <v>102</v>
      </c>
      <c r="M48" s="73" t="s">
        <v>102</v>
      </c>
      <c r="N48" s="73" t="s">
        <v>102</v>
      </c>
      <c r="O48" s="73"/>
      <c r="P48" s="73"/>
      <c r="Q48" s="73"/>
      <c r="R48" s="73"/>
      <c r="T48">
        <v>46</v>
      </c>
    </row>
    <row r="49" spans="1:34" hidden="1">
      <c r="A49" t="s">
        <v>46</v>
      </c>
      <c r="B49" s="3" t="s">
        <v>61</v>
      </c>
      <c r="C49" s="4" t="s">
        <v>48</v>
      </c>
      <c r="D49" s="102" t="s">
        <v>329</v>
      </c>
      <c r="E49" t="s">
        <v>117</v>
      </c>
      <c r="F49" t="s">
        <v>63</v>
      </c>
      <c r="G49" t="s">
        <v>52</v>
      </c>
      <c r="H49" t="s">
        <v>64</v>
      </c>
      <c r="I49" t="s">
        <v>54</v>
      </c>
      <c r="K49" t="s">
        <v>55</v>
      </c>
      <c r="M49" t="s">
        <v>57</v>
      </c>
      <c r="N49" t="s">
        <v>58</v>
      </c>
      <c r="T49">
        <v>47</v>
      </c>
      <c r="Y49" s="113">
        <v>46056</v>
      </c>
      <c r="Z49" s="113">
        <v>46080</v>
      </c>
      <c r="AA49" s="113">
        <v>46083</v>
      </c>
      <c r="AB49" s="113">
        <v>46108</v>
      </c>
      <c r="AC49" s="113">
        <v>46107</v>
      </c>
      <c r="AD49" s="113">
        <v>46108</v>
      </c>
      <c r="AE49" s="113">
        <v>46111</v>
      </c>
      <c r="AF49" s="113">
        <v>46136</v>
      </c>
      <c r="AG49" s="113">
        <v>46139</v>
      </c>
      <c r="AH49" s="113">
        <v>46164</v>
      </c>
    </row>
    <row r="50" spans="1:34" hidden="1">
      <c r="A50" s="86" t="s">
        <v>80</v>
      </c>
      <c r="B50" s="86" t="s">
        <v>68</v>
      </c>
      <c r="C50" s="119" t="s">
        <v>201</v>
      </c>
      <c r="D50" s="102" t="s">
        <v>317</v>
      </c>
      <c r="E50" s="86" t="s">
        <v>465</v>
      </c>
      <c r="F50" s="86" t="s">
        <v>466</v>
      </c>
      <c r="G50" s="86" t="s">
        <v>71</v>
      </c>
      <c r="H50" s="86" t="s">
        <v>72</v>
      </c>
      <c r="I50" s="86"/>
      <c r="J50" s="86"/>
      <c r="K50" s="86" t="s">
        <v>370</v>
      </c>
      <c r="L50" s="86" t="s">
        <v>102</v>
      </c>
      <c r="M50" s="86" t="s">
        <v>102</v>
      </c>
      <c r="N50" s="86" t="s">
        <v>102</v>
      </c>
      <c r="O50" s="86" t="s">
        <v>467</v>
      </c>
      <c r="P50" s="86"/>
      <c r="Q50" s="86" t="s">
        <v>405</v>
      </c>
      <c r="R50" s="86" t="s">
        <v>468</v>
      </c>
      <c r="S50" s="86"/>
      <c r="T50">
        <v>48</v>
      </c>
      <c r="U50" s="113"/>
      <c r="V50" s="113"/>
      <c r="W50" s="113"/>
      <c r="X50" s="113"/>
      <c r="Y50" s="113"/>
      <c r="Z50" s="113"/>
      <c r="AA50" s="113"/>
      <c r="AB50" s="113"/>
      <c r="AC50" s="113"/>
      <c r="AD50" s="113"/>
      <c r="AE50" s="113"/>
      <c r="AF50" s="113"/>
      <c r="AG50" s="113"/>
      <c r="AH50" s="113"/>
    </row>
    <row r="51" spans="1:34" hidden="1">
      <c r="A51" t="s">
        <v>92</v>
      </c>
      <c r="B51" t="s">
        <v>80</v>
      </c>
      <c r="C51" s="4" t="s">
        <v>201</v>
      </c>
      <c r="D51" s="102" t="s">
        <v>327</v>
      </c>
      <c r="E51" t="s">
        <v>311</v>
      </c>
      <c r="F51" t="s">
        <v>312</v>
      </c>
      <c r="G51" t="s">
        <v>71</v>
      </c>
      <c r="K51" t="s">
        <v>198</v>
      </c>
      <c r="M51" t="s">
        <v>57</v>
      </c>
      <c r="N51" t="s">
        <v>160</v>
      </c>
      <c r="T51">
        <v>49</v>
      </c>
      <c r="W51" s="113">
        <v>46056</v>
      </c>
      <c r="X51" s="113">
        <v>46080</v>
      </c>
      <c r="Y51" s="113">
        <v>46083</v>
      </c>
      <c r="Z51" s="113">
        <v>46108</v>
      </c>
      <c r="AA51" s="113">
        <v>46111</v>
      </c>
      <c r="AB51" s="113">
        <v>46122</v>
      </c>
      <c r="AC51" s="113">
        <v>46121</v>
      </c>
      <c r="AD51" s="113">
        <v>46122</v>
      </c>
      <c r="AE51" s="113">
        <v>46125</v>
      </c>
      <c r="AF51" s="113">
        <v>46143</v>
      </c>
      <c r="AG51" s="113">
        <v>46146</v>
      </c>
      <c r="AH51" s="113">
        <v>46157</v>
      </c>
    </row>
    <row r="52" spans="1:34" hidden="1">
      <c r="A52" s="73" t="s">
        <v>67</v>
      </c>
      <c r="B52" s="74" t="s">
        <v>133</v>
      </c>
      <c r="C52" s="74" t="s">
        <v>134</v>
      </c>
      <c r="D52" s="102"/>
      <c r="E52" s="73" t="s">
        <v>469</v>
      </c>
      <c r="F52" s="73" t="s">
        <v>417</v>
      </c>
      <c r="G52" s="73" t="s">
        <v>102</v>
      </c>
      <c r="H52" s="73" t="s">
        <v>102</v>
      </c>
      <c r="I52" s="73"/>
      <c r="J52" s="73"/>
      <c r="K52" s="73" t="s">
        <v>347</v>
      </c>
      <c r="L52" s="73" t="s">
        <v>102</v>
      </c>
      <c r="M52" s="73" t="s">
        <v>102</v>
      </c>
      <c r="N52" s="73" t="s">
        <v>102</v>
      </c>
      <c r="O52" s="73"/>
      <c r="P52" s="73"/>
      <c r="Q52" s="73"/>
      <c r="R52" s="73"/>
      <c r="T52">
        <v>50</v>
      </c>
    </row>
    <row r="53" spans="1:34" hidden="1">
      <c r="A53" t="s">
        <v>92</v>
      </c>
      <c r="B53" s="4" t="s">
        <v>93</v>
      </c>
      <c r="C53" s="4" t="s">
        <v>94</v>
      </c>
      <c r="D53" s="102" t="s">
        <v>327</v>
      </c>
      <c r="E53" t="s">
        <v>310</v>
      </c>
      <c r="F53" t="s">
        <v>197</v>
      </c>
      <c r="G53" t="s">
        <v>2</v>
      </c>
      <c r="H53" t="s">
        <v>97</v>
      </c>
      <c r="I53" t="s">
        <v>72</v>
      </c>
      <c r="K53" t="s">
        <v>198</v>
      </c>
      <c r="L53" t="s">
        <v>73</v>
      </c>
      <c r="M53" t="s">
        <v>98</v>
      </c>
      <c r="N53" t="s">
        <v>99</v>
      </c>
      <c r="O53" t="s">
        <v>199</v>
      </c>
      <c r="P53" t="s">
        <v>200</v>
      </c>
      <c r="T53">
        <v>51</v>
      </c>
      <c r="W53" s="113">
        <v>46056</v>
      </c>
      <c r="X53" s="113">
        <v>46087</v>
      </c>
      <c r="Y53" s="113">
        <v>46083</v>
      </c>
      <c r="Z53" s="113">
        <v>46122</v>
      </c>
      <c r="AA53" s="113">
        <v>46111</v>
      </c>
      <c r="AB53" s="113">
        <v>46136</v>
      </c>
      <c r="AC53" s="113">
        <v>46118</v>
      </c>
      <c r="AD53" s="113">
        <v>46136</v>
      </c>
      <c r="AE53" s="113">
        <v>46125</v>
      </c>
      <c r="AF53" s="113">
        <v>46150</v>
      </c>
      <c r="AG53" s="113">
        <v>46139</v>
      </c>
      <c r="AH53" s="113">
        <v>46171</v>
      </c>
    </row>
    <row r="54" spans="1:34" hidden="1">
      <c r="A54" t="s">
        <v>92</v>
      </c>
      <c r="B54" t="s">
        <v>356</v>
      </c>
      <c r="C54" s="4" t="s">
        <v>225</v>
      </c>
      <c r="D54" s="102" t="s">
        <v>470</v>
      </c>
      <c r="E54" t="s">
        <v>471</v>
      </c>
      <c r="F54" t="s">
        <v>472</v>
      </c>
      <c r="G54" t="s">
        <v>71</v>
      </c>
      <c r="H54" t="s">
        <v>473</v>
      </c>
      <c r="K54" t="s">
        <v>340</v>
      </c>
      <c r="L54" t="s">
        <v>474</v>
      </c>
      <c r="M54" t="s">
        <v>74</v>
      </c>
      <c r="N54" t="s">
        <v>338</v>
      </c>
      <c r="T54">
        <v>52</v>
      </c>
      <c r="AE54" s="113">
        <v>46083</v>
      </c>
      <c r="AF54" s="113">
        <v>46101</v>
      </c>
      <c r="AG54" s="113">
        <v>46104</v>
      </c>
      <c r="AH54" s="113">
        <v>46122</v>
      </c>
    </row>
    <row r="55" spans="1:34" hidden="1">
      <c r="A55" t="s">
        <v>80</v>
      </c>
      <c r="B55" s="4" t="s">
        <v>133</v>
      </c>
      <c r="C55" s="4" t="s">
        <v>134</v>
      </c>
      <c r="D55" s="102" t="s">
        <v>435</v>
      </c>
      <c r="E55" t="s">
        <v>475</v>
      </c>
      <c r="F55" t="s">
        <v>476</v>
      </c>
      <c r="G55" t="s">
        <v>52</v>
      </c>
      <c r="H55" t="s">
        <v>437</v>
      </c>
      <c r="I55" t="s">
        <v>54</v>
      </c>
      <c r="K55" t="s">
        <v>339</v>
      </c>
      <c r="M55" t="s">
        <v>57</v>
      </c>
      <c r="N55" t="s">
        <v>133</v>
      </c>
      <c r="T55">
        <v>53</v>
      </c>
      <c r="AE55" s="113">
        <v>46076</v>
      </c>
      <c r="AF55" s="113">
        <v>46101</v>
      </c>
      <c r="AG55" s="113">
        <v>46104</v>
      </c>
      <c r="AH55" s="113">
        <v>46129</v>
      </c>
    </row>
    <row r="56" spans="1:34" hidden="1">
      <c r="A56" s="73" t="s">
        <v>80</v>
      </c>
      <c r="B56" s="74" t="s">
        <v>133</v>
      </c>
      <c r="C56" s="74" t="s">
        <v>134</v>
      </c>
      <c r="D56" s="102"/>
      <c r="E56" s="73" t="s">
        <v>477</v>
      </c>
      <c r="F56" s="73" t="s">
        <v>476</v>
      </c>
      <c r="G56" s="73" t="s">
        <v>102</v>
      </c>
      <c r="H56" s="73" t="s">
        <v>102</v>
      </c>
      <c r="I56" s="73"/>
      <c r="J56" s="73"/>
      <c r="K56" s="73" t="s">
        <v>347</v>
      </c>
      <c r="L56" s="73" t="s">
        <v>102</v>
      </c>
      <c r="M56" s="73" t="s">
        <v>102</v>
      </c>
      <c r="N56" s="73" t="s">
        <v>102</v>
      </c>
      <c r="O56" s="73"/>
      <c r="P56" s="73"/>
      <c r="Q56" s="73"/>
      <c r="R56" s="73"/>
      <c r="T56">
        <v>54</v>
      </c>
    </row>
    <row r="57" spans="1:34" hidden="1">
      <c r="A57" s="73" t="s">
        <v>80</v>
      </c>
      <c r="B57" s="74" t="s">
        <v>133</v>
      </c>
      <c r="C57" s="74" t="s">
        <v>134</v>
      </c>
      <c r="D57" s="102"/>
      <c r="E57" s="73" t="s">
        <v>478</v>
      </c>
      <c r="F57" s="73" t="s">
        <v>476</v>
      </c>
      <c r="G57" s="73" t="s">
        <v>102</v>
      </c>
      <c r="H57" s="73" t="s">
        <v>102</v>
      </c>
      <c r="I57" s="73"/>
      <c r="J57" s="73"/>
      <c r="K57" s="73" t="s">
        <v>347</v>
      </c>
      <c r="L57" s="73" t="s">
        <v>102</v>
      </c>
      <c r="M57" s="73" t="s">
        <v>102</v>
      </c>
      <c r="N57" s="73" t="s">
        <v>102</v>
      </c>
      <c r="O57" s="73"/>
      <c r="P57" s="73"/>
      <c r="Q57" s="73"/>
      <c r="R57" s="73"/>
      <c r="T57">
        <v>55</v>
      </c>
    </row>
    <row r="58" spans="1:34" hidden="1">
      <c r="A58" s="73" t="s">
        <v>80</v>
      </c>
      <c r="B58" s="74" t="s">
        <v>133</v>
      </c>
      <c r="C58" s="74" t="s">
        <v>134</v>
      </c>
      <c r="D58" s="102"/>
      <c r="E58" s="73" t="s">
        <v>479</v>
      </c>
      <c r="F58" s="73" t="s">
        <v>476</v>
      </c>
      <c r="G58" s="73" t="s">
        <v>102</v>
      </c>
      <c r="H58" s="73" t="s">
        <v>102</v>
      </c>
      <c r="I58" s="73"/>
      <c r="J58" s="73"/>
      <c r="K58" s="73" t="s">
        <v>347</v>
      </c>
      <c r="L58" s="73" t="s">
        <v>102</v>
      </c>
      <c r="M58" s="73" t="s">
        <v>102</v>
      </c>
      <c r="N58" s="73" t="s">
        <v>102</v>
      </c>
      <c r="O58" s="73"/>
      <c r="P58" s="73"/>
      <c r="Q58" s="73"/>
      <c r="R58" s="73"/>
      <c r="T58">
        <v>56</v>
      </c>
    </row>
    <row r="59" spans="1:34" hidden="1">
      <c r="A59" s="73" t="s">
        <v>80</v>
      </c>
      <c r="B59" s="74" t="s">
        <v>133</v>
      </c>
      <c r="C59" s="74" t="s">
        <v>134</v>
      </c>
      <c r="D59" s="102"/>
      <c r="E59" s="73" t="s">
        <v>480</v>
      </c>
      <c r="F59" s="73" t="s">
        <v>476</v>
      </c>
      <c r="G59" s="73" t="s">
        <v>102</v>
      </c>
      <c r="H59" s="73" t="s">
        <v>102</v>
      </c>
      <c r="I59" s="73"/>
      <c r="J59" s="73"/>
      <c r="K59" s="73" t="s">
        <v>347</v>
      </c>
      <c r="L59" s="73" t="s">
        <v>102</v>
      </c>
      <c r="M59" s="73" t="s">
        <v>102</v>
      </c>
      <c r="N59" s="73" t="s">
        <v>102</v>
      </c>
      <c r="O59" s="73"/>
      <c r="P59" s="73"/>
      <c r="Q59" s="73"/>
      <c r="R59" s="73"/>
      <c r="T59">
        <v>57</v>
      </c>
    </row>
    <row r="60" spans="1:34" hidden="1">
      <c r="A60" t="s">
        <v>46</v>
      </c>
      <c r="B60" s="3" t="s">
        <v>61</v>
      </c>
      <c r="C60" s="4" t="s">
        <v>48</v>
      </c>
      <c r="D60" s="102" t="s">
        <v>329</v>
      </c>
      <c r="E60" t="s">
        <v>116</v>
      </c>
      <c r="F60" t="s">
        <v>66</v>
      </c>
      <c r="G60" t="s">
        <v>52</v>
      </c>
      <c r="H60" t="s">
        <v>112</v>
      </c>
      <c r="I60" t="s">
        <v>54</v>
      </c>
      <c r="K60" t="s">
        <v>55</v>
      </c>
      <c r="M60" t="s">
        <v>57</v>
      </c>
      <c r="N60" t="s">
        <v>58</v>
      </c>
      <c r="T60">
        <v>58</v>
      </c>
      <c r="Y60" s="113">
        <v>46056</v>
      </c>
      <c r="Z60" s="113">
        <v>46080</v>
      </c>
      <c r="AA60" s="113">
        <v>46083</v>
      </c>
      <c r="AB60" s="113">
        <v>46108</v>
      </c>
      <c r="AC60" s="113">
        <v>46107</v>
      </c>
      <c r="AD60" s="113">
        <v>46108</v>
      </c>
      <c r="AE60" s="113">
        <v>46111</v>
      </c>
      <c r="AF60" s="113">
        <v>46136</v>
      </c>
      <c r="AG60" s="113">
        <v>46139</v>
      </c>
      <c r="AH60" s="113">
        <v>46164</v>
      </c>
    </row>
    <row r="61" spans="1:34" hidden="1">
      <c r="A61" t="s">
        <v>217</v>
      </c>
      <c r="B61" t="s">
        <v>16</v>
      </c>
      <c r="C61" s="4" t="s">
        <v>123</v>
      </c>
      <c r="D61" s="102" t="s">
        <v>435</v>
      </c>
      <c r="E61" t="s">
        <v>27</v>
      </c>
      <c r="F61" t="s">
        <v>481</v>
      </c>
      <c r="G61" t="s">
        <v>245</v>
      </c>
      <c r="H61" t="s">
        <v>246</v>
      </c>
      <c r="J61" t="s">
        <v>482</v>
      </c>
      <c r="K61" t="s">
        <v>339</v>
      </c>
      <c r="M61" t="s">
        <v>57</v>
      </c>
      <c r="N61" t="s">
        <v>16</v>
      </c>
      <c r="O61" t="s">
        <v>483</v>
      </c>
      <c r="P61" t="s">
        <v>484</v>
      </c>
      <c r="T61">
        <v>59</v>
      </c>
      <c r="AE61" s="113">
        <v>46076</v>
      </c>
      <c r="AF61" s="113">
        <v>46094</v>
      </c>
      <c r="AG61" s="113">
        <v>46097</v>
      </c>
      <c r="AH61" s="113">
        <v>46115</v>
      </c>
    </row>
    <row r="62" spans="1:34" hidden="1">
      <c r="A62" t="s">
        <v>217</v>
      </c>
      <c r="B62" t="s">
        <v>16</v>
      </c>
      <c r="C62" s="4" t="s">
        <v>123</v>
      </c>
      <c r="D62" s="102" t="s">
        <v>435</v>
      </c>
      <c r="E62" t="s">
        <v>485</v>
      </c>
      <c r="F62" t="s">
        <v>486</v>
      </c>
      <c r="G62" t="s">
        <v>52</v>
      </c>
      <c r="H62" t="s">
        <v>219</v>
      </c>
      <c r="I62" t="s">
        <v>83</v>
      </c>
      <c r="J62" t="s">
        <v>487</v>
      </c>
      <c r="K62" t="s">
        <v>339</v>
      </c>
      <c r="M62" t="s">
        <v>57</v>
      </c>
      <c r="N62" t="s">
        <v>16</v>
      </c>
      <c r="T62">
        <v>60</v>
      </c>
      <c r="AE62" s="113">
        <v>46076</v>
      </c>
      <c r="AF62" s="113">
        <v>46101</v>
      </c>
      <c r="AG62" s="113">
        <v>46104</v>
      </c>
      <c r="AH62" s="113">
        <v>46129</v>
      </c>
    </row>
    <row r="63" spans="1:34" hidden="1">
      <c r="A63" s="73" t="s">
        <v>92</v>
      </c>
      <c r="B63" s="73" t="s">
        <v>68</v>
      </c>
      <c r="C63" s="74" t="s">
        <v>48</v>
      </c>
      <c r="D63" s="102"/>
      <c r="E63" s="73" t="s">
        <v>488</v>
      </c>
      <c r="F63" s="73" t="s">
        <v>489</v>
      </c>
      <c r="G63" s="73" t="s">
        <v>102</v>
      </c>
      <c r="H63" s="73" t="s">
        <v>102</v>
      </c>
      <c r="I63" s="73"/>
      <c r="J63" s="73"/>
      <c r="K63" s="73" t="s">
        <v>347</v>
      </c>
      <c r="L63" s="73" t="s">
        <v>102</v>
      </c>
      <c r="M63" s="73" t="s">
        <v>102</v>
      </c>
      <c r="N63" s="73" t="s">
        <v>102</v>
      </c>
      <c r="O63" s="73"/>
      <c r="P63" s="73"/>
      <c r="Q63" s="73"/>
      <c r="R63" s="73"/>
      <c r="T63">
        <v>61</v>
      </c>
    </row>
    <row r="64" spans="1:34" hidden="1">
      <c r="A64" t="s">
        <v>217</v>
      </c>
      <c r="B64" t="s">
        <v>16</v>
      </c>
      <c r="C64" s="4" t="s">
        <v>123</v>
      </c>
      <c r="D64" s="102" t="s">
        <v>435</v>
      </c>
      <c r="E64" t="s">
        <v>490</v>
      </c>
      <c r="F64" t="s">
        <v>491</v>
      </c>
      <c r="G64" t="s">
        <v>52</v>
      </c>
      <c r="H64" t="s">
        <v>246</v>
      </c>
      <c r="J64" t="s">
        <v>440</v>
      </c>
      <c r="K64" t="s">
        <v>339</v>
      </c>
      <c r="M64" t="s">
        <v>57</v>
      </c>
      <c r="N64" t="s">
        <v>16</v>
      </c>
      <c r="T64">
        <v>62</v>
      </c>
      <c r="AE64" s="113">
        <v>46076</v>
      </c>
      <c r="AF64" s="113">
        <v>46101</v>
      </c>
      <c r="AG64" s="113">
        <v>46104</v>
      </c>
      <c r="AH64" s="113">
        <v>46129</v>
      </c>
    </row>
    <row r="65" spans="1:34" hidden="1">
      <c r="A65" t="s">
        <v>46</v>
      </c>
      <c r="B65" s="3" t="s">
        <v>61</v>
      </c>
      <c r="C65" s="4" t="s">
        <v>48</v>
      </c>
      <c r="D65" s="102" t="s">
        <v>329</v>
      </c>
      <c r="E65" t="s">
        <v>114</v>
      </c>
      <c r="F65" t="s">
        <v>115</v>
      </c>
      <c r="G65" t="s">
        <v>52</v>
      </c>
      <c r="H65" t="s">
        <v>64</v>
      </c>
      <c r="I65" t="s">
        <v>54</v>
      </c>
      <c r="K65" t="s">
        <v>55</v>
      </c>
      <c r="M65" t="s">
        <v>57</v>
      </c>
      <c r="N65" t="s">
        <v>58</v>
      </c>
      <c r="T65">
        <v>63</v>
      </c>
      <c r="Y65" s="113">
        <v>46056</v>
      </c>
      <c r="Z65" s="113">
        <v>46080</v>
      </c>
      <c r="AA65" s="113">
        <v>46083</v>
      </c>
      <c r="AB65" s="113">
        <v>46108</v>
      </c>
      <c r="AC65" s="113">
        <v>46107</v>
      </c>
      <c r="AD65" s="113">
        <v>46108</v>
      </c>
      <c r="AE65" s="113">
        <v>46111</v>
      </c>
      <c r="AF65" s="113">
        <v>46136</v>
      </c>
      <c r="AG65" s="113">
        <v>46139</v>
      </c>
      <c r="AH65" s="113">
        <v>46164</v>
      </c>
    </row>
    <row r="66" spans="1:34" hidden="1">
      <c r="A66" s="73" t="s">
        <v>46</v>
      </c>
      <c r="B66" s="76" t="s">
        <v>61</v>
      </c>
      <c r="C66" s="74" t="s">
        <v>48</v>
      </c>
      <c r="D66" s="102"/>
      <c r="E66" s="73" t="s">
        <v>492</v>
      </c>
      <c r="F66" s="73" t="s">
        <v>63</v>
      </c>
      <c r="G66" s="73" t="s">
        <v>102</v>
      </c>
      <c r="H66" s="73" t="s">
        <v>102</v>
      </c>
      <c r="I66" s="73"/>
      <c r="J66" s="73"/>
      <c r="K66" s="73" t="s">
        <v>347</v>
      </c>
      <c r="L66" s="73" t="s">
        <v>102</v>
      </c>
      <c r="M66" s="73" t="s">
        <v>102</v>
      </c>
      <c r="N66" s="73" t="s">
        <v>102</v>
      </c>
      <c r="O66" s="73"/>
      <c r="P66" s="73"/>
      <c r="Q66" s="73"/>
      <c r="R66" s="73"/>
      <c r="T66">
        <v>64</v>
      </c>
    </row>
    <row r="67" spans="1:34" hidden="1">
      <c r="A67" s="19" t="s">
        <v>46</v>
      </c>
      <c r="B67" s="27" t="s">
        <v>61</v>
      </c>
      <c r="C67" s="78" t="s">
        <v>48</v>
      </c>
      <c r="D67" s="102" t="s">
        <v>329</v>
      </c>
      <c r="E67" s="19" t="s">
        <v>111</v>
      </c>
      <c r="F67" s="19" t="s">
        <v>66</v>
      </c>
      <c r="G67" s="19" t="s">
        <v>52</v>
      </c>
      <c r="H67" s="19" t="s">
        <v>112</v>
      </c>
      <c r="I67" s="19" t="s">
        <v>54</v>
      </c>
      <c r="J67" s="19" t="s">
        <v>113</v>
      </c>
      <c r="K67" s="19" t="s">
        <v>55</v>
      </c>
      <c r="L67" s="19"/>
      <c r="M67" s="19" t="s">
        <v>57</v>
      </c>
      <c r="N67" s="19" t="s">
        <v>4</v>
      </c>
      <c r="O67" s="19"/>
      <c r="P67" s="19"/>
      <c r="T67">
        <v>65</v>
      </c>
      <c r="Y67" s="113">
        <v>46062</v>
      </c>
      <c r="Z67" s="113">
        <v>46073</v>
      </c>
      <c r="AA67" s="113">
        <v>46076</v>
      </c>
      <c r="AB67" s="113">
        <v>46087</v>
      </c>
      <c r="AC67" s="113">
        <v>46086</v>
      </c>
      <c r="AD67" s="113">
        <v>46087</v>
      </c>
      <c r="AE67" s="113">
        <v>46090</v>
      </c>
      <c r="AF67" s="113">
        <v>46108</v>
      </c>
      <c r="AG67" s="113">
        <v>46111</v>
      </c>
      <c r="AH67" s="113">
        <v>46129</v>
      </c>
    </row>
    <row r="68" spans="1:34">
      <c r="A68" t="s">
        <v>92</v>
      </c>
      <c r="B68" t="s">
        <v>356</v>
      </c>
      <c r="C68" s="4" t="s">
        <v>225</v>
      </c>
      <c r="D68" s="102" t="s">
        <v>493</v>
      </c>
      <c r="E68" s="19" t="s">
        <v>494</v>
      </c>
      <c r="F68" t="s">
        <v>495</v>
      </c>
      <c r="G68" t="s">
        <v>71</v>
      </c>
      <c r="H68" t="s">
        <v>473</v>
      </c>
      <c r="K68" t="s">
        <v>341</v>
      </c>
      <c r="L68" t="s">
        <v>474</v>
      </c>
      <c r="M68" t="s">
        <v>57</v>
      </c>
      <c r="N68" t="s">
        <v>4</v>
      </c>
      <c r="T68">
        <v>66</v>
      </c>
      <c r="U68" s="113">
        <v>46056</v>
      </c>
      <c r="V68" s="113">
        <v>46059</v>
      </c>
      <c r="W68" s="113">
        <v>46062</v>
      </c>
      <c r="X68" s="113">
        <v>46080</v>
      </c>
      <c r="Y68" s="113">
        <v>46083</v>
      </c>
      <c r="Z68" s="113">
        <v>46101</v>
      </c>
      <c r="AA68" s="113">
        <v>46104</v>
      </c>
      <c r="AB68" s="113">
        <v>46122</v>
      </c>
      <c r="AC68" s="113">
        <v>46121</v>
      </c>
      <c r="AD68" s="113">
        <v>46122</v>
      </c>
      <c r="AE68" s="113">
        <v>46125</v>
      </c>
      <c r="AF68" s="113">
        <v>46143</v>
      </c>
      <c r="AG68" s="113">
        <v>46146</v>
      </c>
      <c r="AH68" s="113">
        <v>46164</v>
      </c>
    </row>
    <row r="69" spans="1:34" hidden="1">
      <c r="A69" t="s">
        <v>80</v>
      </c>
      <c r="B69" t="s">
        <v>68</v>
      </c>
      <c r="C69" s="4" t="s">
        <v>48</v>
      </c>
      <c r="D69" s="102" t="s">
        <v>329</v>
      </c>
      <c r="E69" t="s">
        <v>108</v>
      </c>
      <c r="F69" t="s">
        <v>109</v>
      </c>
      <c r="G69" t="s">
        <v>2</v>
      </c>
      <c r="H69" t="s">
        <v>97</v>
      </c>
      <c r="I69" t="s">
        <v>54</v>
      </c>
      <c r="J69" t="s">
        <v>110</v>
      </c>
      <c r="K69" t="s">
        <v>55</v>
      </c>
      <c r="L69" t="s">
        <v>73</v>
      </c>
      <c r="M69" t="s">
        <v>57</v>
      </c>
      <c r="N69" t="s">
        <v>58</v>
      </c>
      <c r="S69" t="s">
        <v>230</v>
      </c>
      <c r="T69">
        <v>67</v>
      </c>
      <c r="Y69" s="113">
        <v>46056</v>
      </c>
      <c r="Z69" s="113">
        <v>46073</v>
      </c>
      <c r="AA69" s="113">
        <v>46076</v>
      </c>
      <c r="AB69" s="113">
        <v>46094</v>
      </c>
      <c r="AC69" s="113">
        <v>46093</v>
      </c>
      <c r="AD69" s="113">
        <v>46094</v>
      </c>
      <c r="AE69" s="113">
        <v>46097</v>
      </c>
      <c r="AF69" s="113">
        <v>46115</v>
      </c>
      <c r="AG69" s="113">
        <v>46118</v>
      </c>
      <c r="AH69" s="113">
        <v>46136</v>
      </c>
    </row>
    <row r="70" spans="1:34" hidden="1">
      <c r="A70" t="s">
        <v>259</v>
      </c>
      <c r="B70" s="4" t="s">
        <v>93</v>
      </c>
      <c r="C70" s="4" t="s">
        <v>94</v>
      </c>
      <c r="D70" s="102" t="s">
        <v>327</v>
      </c>
      <c r="E70" t="s">
        <v>308</v>
      </c>
      <c r="F70" t="s">
        <v>309</v>
      </c>
      <c r="G70" t="s">
        <v>2</v>
      </c>
      <c r="H70" t="s">
        <v>97</v>
      </c>
      <c r="I70" t="s">
        <v>72</v>
      </c>
      <c r="K70" t="s">
        <v>198</v>
      </c>
      <c r="L70" t="s">
        <v>73</v>
      </c>
      <c r="M70" t="s">
        <v>98</v>
      </c>
      <c r="N70" t="s">
        <v>99</v>
      </c>
      <c r="T70">
        <v>68</v>
      </c>
      <c r="W70" s="113">
        <v>46056</v>
      </c>
      <c r="X70" s="113">
        <v>46087</v>
      </c>
      <c r="Y70" s="113">
        <v>46083</v>
      </c>
      <c r="Z70" s="113">
        <v>46122</v>
      </c>
      <c r="AA70" s="113">
        <v>46111</v>
      </c>
      <c r="AB70" s="113">
        <v>46136</v>
      </c>
      <c r="AC70" s="113">
        <v>46118</v>
      </c>
      <c r="AD70" s="113">
        <v>46136</v>
      </c>
      <c r="AE70" s="113">
        <v>46125</v>
      </c>
      <c r="AF70" s="113">
        <v>46150</v>
      </c>
      <c r="AG70" s="113">
        <v>46139</v>
      </c>
      <c r="AH70" s="113">
        <v>46171</v>
      </c>
    </row>
    <row r="71" spans="1:34" hidden="1">
      <c r="A71" t="s">
        <v>259</v>
      </c>
      <c r="B71" s="4" t="s">
        <v>93</v>
      </c>
      <c r="C71" s="4" t="s">
        <v>94</v>
      </c>
      <c r="D71" s="102" t="s">
        <v>327</v>
      </c>
      <c r="E71" t="s">
        <v>305</v>
      </c>
      <c r="F71" t="s">
        <v>306</v>
      </c>
      <c r="G71" t="s">
        <v>2</v>
      </c>
      <c r="H71" t="s">
        <v>97</v>
      </c>
      <c r="I71" t="s">
        <v>72</v>
      </c>
      <c r="J71" t="s">
        <v>307</v>
      </c>
      <c r="K71" t="s">
        <v>198</v>
      </c>
      <c r="L71" t="s">
        <v>73</v>
      </c>
      <c r="M71" t="s">
        <v>98</v>
      </c>
      <c r="N71" t="s">
        <v>99</v>
      </c>
      <c r="T71">
        <v>69</v>
      </c>
      <c r="W71" s="113">
        <v>46056</v>
      </c>
      <c r="X71" s="113">
        <v>46087</v>
      </c>
      <c r="Y71" s="113">
        <v>46083</v>
      </c>
      <c r="Z71" s="113">
        <v>46122</v>
      </c>
      <c r="AA71" s="113">
        <v>46111</v>
      </c>
      <c r="AB71" s="113">
        <v>46136</v>
      </c>
      <c r="AC71" s="113">
        <v>46118</v>
      </c>
      <c r="AD71" s="113">
        <v>46136</v>
      </c>
      <c r="AE71" s="113">
        <v>46125</v>
      </c>
      <c r="AF71" s="113">
        <v>46150</v>
      </c>
      <c r="AG71" s="113">
        <v>46139</v>
      </c>
      <c r="AH71" s="113">
        <v>46171</v>
      </c>
    </row>
    <row r="72" spans="1:34" hidden="1">
      <c r="A72" t="s">
        <v>259</v>
      </c>
      <c r="B72" s="4" t="s">
        <v>93</v>
      </c>
      <c r="C72" s="4" t="s">
        <v>94</v>
      </c>
      <c r="D72" s="102" t="s">
        <v>327</v>
      </c>
      <c r="E72" t="s">
        <v>303</v>
      </c>
      <c r="F72" t="s">
        <v>304</v>
      </c>
      <c r="G72" t="s">
        <v>2</v>
      </c>
      <c r="H72" t="s">
        <v>97</v>
      </c>
      <c r="I72" t="s">
        <v>72</v>
      </c>
      <c r="K72" t="s">
        <v>198</v>
      </c>
      <c r="L72" t="s">
        <v>73</v>
      </c>
      <c r="M72" t="s">
        <v>98</v>
      </c>
      <c r="N72" t="s">
        <v>99</v>
      </c>
      <c r="T72">
        <v>70</v>
      </c>
      <c r="W72" s="113">
        <v>46056</v>
      </c>
      <c r="X72" s="113">
        <v>46087</v>
      </c>
      <c r="Y72" s="113">
        <v>46083</v>
      </c>
      <c r="Z72" s="113">
        <v>46122</v>
      </c>
      <c r="AA72" s="113">
        <v>46111</v>
      </c>
      <c r="AB72" s="113">
        <v>46136</v>
      </c>
      <c r="AC72" s="113">
        <v>46118</v>
      </c>
      <c r="AD72" s="113">
        <v>46136</v>
      </c>
      <c r="AE72" s="113">
        <v>46125</v>
      </c>
      <c r="AF72" s="113">
        <v>46150</v>
      </c>
      <c r="AG72" s="113">
        <v>46139</v>
      </c>
      <c r="AH72" s="113">
        <v>46171</v>
      </c>
    </row>
    <row r="73" spans="1:34" hidden="1">
      <c r="A73" s="86" t="s">
        <v>67</v>
      </c>
      <c r="B73" s="86" t="s">
        <v>68</v>
      </c>
      <c r="C73" s="119" t="s">
        <v>48</v>
      </c>
      <c r="D73" s="102" t="s">
        <v>317</v>
      </c>
      <c r="E73" s="86" t="s">
        <v>496</v>
      </c>
      <c r="F73" s="86" t="s">
        <v>497</v>
      </c>
      <c r="G73" s="86" t="s">
        <v>71</v>
      </c>
      <c r="H73" s="86" t="s">
        <v>72</v>
      </c>
      <c r="I73" s="86"/>
      <c r="J73" s="86"/>
      <c r="K73" s="86" t="s">
        <v>370</v>
      </c>
      <c r="L73" s="86" t="s">
        <v>102</v>
      </c>
      <c r="M73" s="86" t="s">
        <v>102</v>
      </c>
      <c r="N73" s="86" t="s">
        <v>102</v>
      </c>
      <c r="O73" s="86" t="s">
        <v>498</v>
      </c>
      <c r="P73" s="86"/>
      <c r="Q73" s="86" t="s">
        <v>405</v>
      </c>
      <c r="R73" s="86" t="s">
        <v>499</v>
      </c>
      <c r="S73" s="86" t="s">
        <v>230</v>
      </c>
      <c r="T73">
        <v>71</v>
      </c>
    </row>
    <row r="74" spans="1:34" hidden="1">
      <c r="A74" s="73" t="s">
        <v>259</v>
      </c>
      <c r="B74" s="74" t="s">
        <v>93</v>
      </c>
      <c r="C74" s="74" t="s">
        <v>94</v>
      </c>
      <c r="D74" s="102" t="s">
        <v>317</v>
      </c>
      <c r="E74" s="73" t="s">
        <v>500</v>
      </c>
      <c r="F74" s="73" t="s">
        <v>501</v>
      </c>
      <c r="G74" s="73" t="s">
        <v>102</v>
      </c>
      <c r="H74" s="73" t="s">
        <v>97</v>
      </c>
      <c r="I74" s="73" t="s">
        <v>72</v>
      </c>
      <c r="J74" s="73"/>
      <c r="K74" s="73" t="s">
        <v>347</v>
      </c>
      <c r="L74" s="73" t="s">
        <v>102</v>
      </c>
      <c r="M74" s="73" t="s">
        <v>102</v>
      </c>
      <c r="N74" s="73" t="s">
        <v>102</v>
      </c>
      <c r="O74" s="73" t="s">
        <v>502</v>
      </c>
      <c r="P74" s="73" t="s">
        <v>503</v>
      </c>
      <c r="Q74" s="73" t="s">
        <v>462</v>
      </c>
      <c r="R74" s="73"/>
      <c r="T74">
        <v>72</v>
      </c>
    </row>
    <row r="75" spans="1:34" hidden="1">
      <c r="A75" t="s">
        <v>259</v>
      </c>
      <c r="B75" s="4" t="s">
        <v>93</v>
      </c>
      <c r="C75" s="4" t="s">
        <v>94</v>
      </c>
      <c r="D75" s="102" t="s">
        <v>327</v>
      </c>
      <c r="E75" t="s">
        <v>301</v>
      </c>
      <c r="F75" t="s">
        <v>302</v>
      </c>
      <c r="G75" t="s">
        <v>2</v>
      </c>
      <c r="H75" t="s">
        <v>97</v>
      </c>
      <c r="I75" t="s">
        <v>72</v>
      </c>
      <c r="K75" t="s">
        <v>198</v>
      </c>
      <c r="L75" t="s">
        <v>73</v>
      </c>
      <c r="M75" t="s">
        <v>98</v>
      </c>
      <c r="N75" t="s">
        <v>99</v>
      </c>
      <c r="T75">
        <v>73</v>
      </c>
      <c r="W75" s="113">
        <v>46056</v>
      </c>
      <c r="X75" s="113">
        <v>46087</v>
      </c>
      <c r="Y75" s="113">
        <v>46083</v>
      </c>
      <c r="Z75" s="113">
        <v>46122</v>
      </c>
      <c r="AA75" s="113">
        <v>46111</v>
      </c>
      <c r="AB75" s="113">
        <v>46136</v>
      </c>
      <c r="AC75" s="113">
        <v>46118</v>
      </c>
      <c r="AD75" s="113">
        <v>46136</v>
      </c>
      <c r="AE75" s="113">
        <v>46125</v>
      </c>
      <c r="AF75" s="113">
        <v>46150</v>
      </c>
      <c r="AG75" s="113">
        <v>46139</v>
      </c>
      <c r="AH75" s="113">
        <v>46171</v>
      </c>
    </row>
    <row r="76" spans="1:34" hidden="1">
      <c r="A76" t="s">
        <v>259</v>
      </c>
      <c r="B76" s="4" t="s">
        <v>93</v>
      </c>
      <c r="C76" s="4" t="s">
        <v>94</v>
      </c>
      <c r="D76" s="102" t="s">
        <v>327</v>
      </c>
      <c r="E76" t="s">
        <v>299</v>
      </c>
      <c r="F76" t="s">
        <v>300</v>
      </c>
      <c r="G76" t="s">
        <v>2</v>
      </c>
      <c r="H76" t="s">
        <v>97</v>
      </c>
      <c r="I76" t="s">
        <v>72</v>
      </c>
      <c r="K76" t="s">
        <v>198</v>
      </c>
      <c r="L76" t="s">
        <v>73</v>
      </c>
      <c r="M76" t="s">
        <v>98</v>
      </c>
      <c r="N76" t="s">
        <v>99</v>
      </c>
      <c r="T76">
        <v>74</v>
      </c>
      <c r="W76" s="113">
        <v>46056</v>
      </c>
      <c r="X76" s="113">
        <v>46087</v>
      </c>
      <c r="Y76" s="113">
        <v>46083</v>
      </c>
      <c r="Z76" s="113">
        <v>46122</v>
      </c>
      <c r="AA76" s="113">
        <v>46111</v>
      </c>
      <c r="AB76" s="113">
        <v>46136</v>
      </c>
      <c r="AC76" s="113">
        <v>46118</v>
      </c>
      <c r="AD76" s="113">
        <v>46136</v>
      </c>
      <c r="AE76" s="113">
        <v>46125</v>
      </c>
      <c r="AF76" s="113">
        <v>46150</v>
      </c>
      <c r="AG76" s="113">
        <v>46139</v>
      </c>
      <c r="AH76" s="113">
        <v>46171</v>
      </c>
    </row>
    <row r="77" spans="1:34" hidden="1">
      <c r="A77" t="s">
        <v>259</v>
      </c>
      <c r="B77" s="4" t="s">
        <v>93</v>
      </c>
      <c r="C77" s="4" t="s">
        <v>94</v>
      </c>
      <c r="D77" s="102" t="s">
        <v>327</v>
      </c>
      <c r="E77" t="s">
        <v>297</v>
      </c>
      <c r="F77" t="s">
        <v>298</v>
      </c>
      <c r="G77" t="s">
        <v>2</v>
      </c>
      <c r="H77" t="s">
        <v>97</v>
      </c>
      <c r="I77" t="s">
        <v>72</v>
      </c>
      <c r="K77" t="s">
        <v>198</v>
      </c>
      <c r="L77" t="s">
        <v>73</v>
      </c>
      <c r="M77" t="s">
        <v>98</v>
      </c>
      <c r="N77" t="s">
        <v>99</v>
      </c>
      <c r="T77">
        <v>75</v>
      </c>
      <c r="W77" s="113">
        <v>46056</v>
      </c>
      <c r="X77" s="113">
        <v>46087</v>
      </c>
      <c r="Y77" s="113">
        <v>46083</v>
      </c>
      <c r="Z77" s="113">
        <v>46122</v>
      </c>
      <c r="AA77" s="113">
        <v>46111</v>
      </c>
      <c r="AB77" s="113">
        <v>46136</v>
      </c>
      <c r="AC77" s="113">
        <v>46118</v>
      </c>
      <c r="AD77" s="113">
        <v>46136</v>
      </c>
      <c r="AE77" s="113">
        <v>46125</v>
      </c>
      <c r="AF77" s="113">
        <v>46150</v>
      </c>
      <c r="AG77" s="113">
        <v>46139</v>
      </c>
      <c r="AH77" s="113">
        <v>46171</v>
      </c>
    </row>
    <row r="78" spans="1:34" hidden="1">
      <c r="A78" t="s">
        <v>92</v>
      </c>
      <c r="B78" s="4" t="s">
        <v>160</v>
      </c>
      <c r="C78" s="4" t="s">
        <v>201</v>
      </c>
      <c r="D78" s="102" t="s">
        <v>327</v>
      </c>
      <c r="E78" t="s">
        <v>295</v>
      </c>
      <c r="F78" t="s">
        <v>296</v>
      </c>
      <c r="G78" t="s">
        <v>2</v>
      </c>
      <c r="H78" t="s">
        <v>97</v>
      </c>
      <c r="I78" t="s">
        <v>72</v>
      </c>
      <c r="K78" t="s">
        <v>198</v>
      </c>
      <c r="L78" t="s">
        <v>73</v>
      </c>
      <c r="M78" t="s">
        <v>207</v>
      </c>
      <c r="N78" t="s">
        <v>160</v>
      </c>
      <c r="T78">
        <v>76</v>
      </c>
      <c r="W78" s="113">
        <v>46056</v>
      </c>
      <c r="X78" s="113">
        <v>46094</v>
      </c>
      <c r="Y78" s="113">
        <v>46097</v>
      </c>
      <c r="Z78" s="113">
        <v>46122</v>
      </c>
      <c r="AA78" s="113">
        <v>46125</v>
      </c>
      <c r="AB78" s="113">
        <v>46136</v>
      </c>
      <c r="AC78" s="113">
        <v>46135</v>
      </c>
      <c r="AD78" s="113">
        <v>46136</v>
      </c>
      <c r="AE78" s="113">
        <v>46139</v>
      </c>
      <c r="AF78" s="113">
        <v>46157</v>
      </c>
      <c r="AG78" s="113">
        <v>46160</v>
      </c>
      <c r="AH78" s="113">
        <v>46171</v>
      </c>
    </row>
    <row r="79" spans="1:34" hidden="1">
      <c r="A79" t="s">
        <v>217</v>
      </c>
      <c r="B79" t="s">
        <v>16</v>
      </c>
      <c r="C79" s="4" t="s">
        <v>123</v>
      </c>
      <c r="D79" s="102" t="s">
        <v>435</v>
      </c>
      <c r="E79" t="s">
        <v>504</v>
      </c>
      <c r="F79" t="s">
        <v>505</v>
      </c>
      <c r="G79" t="s">
        <v>245</v>
      </c>
      <c r="H79" t="s">
        <v>246</v>
      </c>
      <c r="J79" t="s">
        <v>506</v>
      </c>
      <c r="K79" t="s">
        <v>339</v>
      </c>
      <c r="M79" t="s">
        <v>57</v>
      </c>
      <c r="N79" t="s">
        <v>16</v>
      </c>
      <c r="T79">
        <v>77</v>
      </c>
      <c r="AE79" s="113">
        <v>46076</v>
      </c>
      <c r="AF79" s="113">
        <v>46101</v>
      </c>
      <c r="AG79" s="113">
        <v>46104</v>
      </c>
      <c r="AH79" s="113">
        <v>46129</v>
      </c>
    </row>
    <row r="80" spans="1:34" hidden="1">
      <c r="A80" t="s">
        <v>4</v>
      </c>
      <c r="B80" t="s">
        <v>4</v>
      </c>
      <c r="C80" s="4" t="s">
        <v>225</v>
      </c>
      <c r="D80" s="102" t="s">
        <v>470</v>
      </c>
      <c r="E80" t="s">
        <v>507</v>
      </c>
      <c r="F80" t="s">
        <v>508</v>
      </c>
      <c r="G80" t="s">
        <v>71</v>
      </c>
      <c r="H80" t="s">
        <v>473</v>
      </c>
      <c r="K80" t="s">
        <v>340</v>
      </c>
      <c r="L80" t="s">
        <v>474</v>
      </c>
      <c r="M80" t="s">
        <v>74</v>
      </c>
      <c r="N80" t="s">
        <v>338</v>
      </c>
      <c r="T80">
        <v>78</v>
      </c>
      <c r="AE80" s="113">
        <v>46083</v>
      </c>
      <c r="AF80" s="113">
        <v>46101</v>
      </c>
      <c r="AG80" s="113">
        <v>46104</v>
      </c>
      <c r="AH80" s="113">
        <v>46122</v>
      </c>
    </row>
    <row r="81" spans="1:34" hidden="1">
      <c r="A81" t="s">
        <v>92</v>
      </c>
      <c r="B81" s="4" t="s">
        <v>160</v>
      </c>
      <c r="C81" s="4" t="s">
        <v>201</v>
      </c>
      <c r="D81" s="102" t="s">
        <v>327</v>
      </c>
      <c r="E81" t="s">
        <v>293</v>
      </c>
      <c r="F81" t="s">
        <v>294</v>
      </c>
      <c r="G81" t="s">
        <v>2</v>
      </c>
      <c r="H81" t="s">
        <v>97</v>
      </c>
      <c r="I81" t="s">
        <v>72</v>
      </c>
      <c r="K81" t="s">
        <v>198</v>
      </c>
      <c r="L81" t="s">
        <v>73</v>
      </c>
      <c r="M81" t="s">
        <v>207</v>
      </c>
      <c r="N81" t="s">
        <v>160</v>
      </c>
      <c r="T81">
        <v>79</v>
      </c>
      <c r="W81" s="113">
        <v>46056</v>
      </c>
      <c r="X81" s="113">
        <v>46094</v>
      </c>
      <c r="Y81" s="113">
        <v>46097</v>
      </c>
      <c r="Z81" s="113">
        <v>46122</v>
      </c>
      <c r="AA81" s="113">
        <v>46125</v>
      </c>
      <c r="AB81" s="113">
        <v>46136</v>
      </c>
      <c r="AC81" s="113">
        <v>46135</v>
      </c>
      <c r="AD81" s="113">
        <v>46136</v>
      </c>
      <c r="AE81" s="113">
        <v>46139</v>
      </c>
      <c r="AF81" s="113">
        <v>46157</v>
      </c>
      <c r="AG81" s="113">
        <v>46160</v>
      </c>
      <c r="AH81" s="113">
        <v>46171</v>
      </c>
    </row>
    <row r="82" spans="1:34" hidden="1">
      <c r="A82" t="s">
        <v>259</v>
      </c>
      <c r="B82" s="4" t="s">
        <v>93</v>
      </c>
      <c r="C82" s="4" t="s">
        <v>94</v>
      </c>
      <c r="D82" s="102" t="s">
        <v>327</v>
      </c>
      <c r="E82" t="s">
        <v>288</v>
      </c>
      <c r="F82" t="s">
        <v>289</v>
      </c>
      <c r="G82" t="s">
        <v>2</v>
      </c>
      <c r="H82" t="s">
        <v>97</v>
      </c>
      <c r="I82" t="s">
        <v>72</v>
      </c>
      <c r="K82" t="s">
        <v>198</v>
      </c>
      <c r="L82" t="s">
        <v>73</v>
      </c>
      <c r="M82" t="s">
        <v>98</v>
      </c>
      <c r="N82" t="s">
        <v>99</v>
      </c>
      <c r="T82">
        <v>80</v>
      </c>
      <c r="W82" s="113">
        <v>46056</v>
      </c>
      <c r="X82" s="113">
        <v>46087</v>
      </c>
      <c r="Y82" s="113">
        <v>46083</v>
      </c>
      <c r="Z82" s="113">
        <v>46122</v>
      </c>
      <c r="AA82" s="113">
        <v>46111</v>
      </c>
      <c r="AB82" s="113">
        <v>46136</v>
      </c>
      <c r="AC82" s="113">
        <v>46118</v>
      </c>
      <c r="AD82" s="113">
        <v>46136</v>
      </c>
      <c r="AE82" s="113">
        <v>46125</v>
      </c>
      <c r="AF82" s="113">
        <v>46150</v>
      </c>
      <c r="AG82" s="113">
        <v>46139</v>
      </c>
      <c r="AH82" s="113">
        <v>46171</v>
      </c>
    </row>
    <row r="83" spans="1:34" hidden="1">
      <c r="A83" t="s">
        <v>80</v>
      </c>
      <c r="B83" t="s">
        <v>68</v>
      </c>
      <c r="C83" s="4" t="s">
        <v>48</v>
      </c>
      <c r="D83" s="102" t="s">
        <v>329</v>
      </c>
      <c r="E83" t="s">
        <v>106</v>
      </c>
      <c r="F83" t="s">
        <v>107</v>
      </c>
      <c r="G83" t="s">
        <v>52</v>
      </c>
      <c r="H83" t="s">
        <v>88</v>
      </c>
      <c r="I83" t="s">
        <v>83</v>
      </c>
      <c r="K83" t="s">
        <v>55</v>
      </c>
      <c r="L83" t="s">
        <v>73</v>
      </c>
      <c r="M83" t="s">
        <v>57</v>
      </c>
      <c r="N83" t="s">
        <v>58</v>
      </c>
      <c r="O83" t="s">
        <v>90</v>
      </c>
      <c r="S83" t="s">
        <v>230</v>
      </c>
      <c r="T83">
        <v>81</v>
      </c>
      <c r="Y83" s="113">
        <v>46056</v>
      </c>
      <c r="Z83" s="113">
        <v>46073</v>
      </c>
      <c r="AA83" s="113">
        <v>46076</v>
      </c>
      <c r="AB83" s="113">
        <v>46094</v>
      </c>
      <c r="AC83" s="113">
        <v>46093</v>
      </c>
      <c r="AD83" s="113">
        <v>46094</v>
      </c>
      <c r="AE83" s="113">
        <v>46097</v>
      </c>
      <c r="AF83" s="113">
        <v>46115</v>
      </c>
      <c r="AG83" s="113">
        <v>46118</v>
      </c>
      <c r="AH83" s="113">
        <v>46136</v>
      </c>
    </row>
    <row r="84" spans="1:34">
      <c r="A84" t="s">
        <v>4</v>
      </c>
      <c r="B84" t="s">
        <v>4</v>
      </c>
      <c r="C84" s="4" t="s">
        <v>225</v>
      </c>
      <c r="D84" s="102" t="s">
        <v>493</v>
      </c>
      <c r="E84" s="19" t="s">
        <v>509</v>
      </c>
      <c r="F84" t="s">
        <v>508</v>
      </c>
      <c r="G84" t="s">
        <v>71</v>
      </c>
      <c r="H84" t="s">
        <v>473</v>
      </c>
      <c r="K84" t="s">
        <v>341</v>
      </c>
      <c r="L84" t="s">
        <v>474</v>
      </c>
      <c r="M84" t="s">
        <v>57</v>
      </c>
      <c r="N84" t="s">
        <v>4</v>
      </c>
      <c r="T84">
        <v>82</v>
      </c>
      <c r="U84" s="113">
        <v>46056</v>
      </c>
      <c r="V84" s="113">
        <v>46059</v>
      </c>
      <c r="W84" s="113">
        <v>46062</v>
      </c>
      <c r="X84" s="113">
        <v>46080</v>
      </c>
      <c r="Y84" s="113">
        <v>46083</v>
      </c>
      <c r="Z84" s="113">
        <v>46101</v>
      </c>
      <c r="AA84" s="113">
        <v>46104</v>
      </c>
      <c r="AB84" s="113">
        <v>46122</v>
      </c>
      <c r="AC84" s="113">
        <v>46121</v>
      </c>
      <c r="AD84" s="113">
        <v>46122</v>
      </c>
      <c r="AE84" s="113">
        <v>46125</v>
      </c>
      <c r="AF84" s="113">
        <v>46143</v>
      </c>
      <c r="AG84" s="113">
        <v>46146</v>
      </c>
      <c r="AH84" s="113">
        <v>46164</v>
      </c>
    </row>
    <row r="85" spans="1:34">
      <c r="A85" t="s">
        <v>4</v>
      </c>
      <c r="B85" t="s">
        <v>4</v>
      </c>
      <c r="C85" s="4" t="s">
        <v>225</v>
      </c>
      <c r="D85" s="102" t="s">
        <v>493</v>
      </c>
      <c r="E85" s="19" t="s">
        <v>510</v>
      </c>
      <c r="F85" t="s">
        <v>508</v>
      </c>
      <c r="G85" t="s">
        <v>71</v>
      </c>
      <c r="H85" t="s">
        <v>473</v>
      </c>
      <c r="K85" t="s">
        <v>341</v>
      </c>
      <c r="L85" t="s">
        <v>474</v>
      </c>
      <c r="M85" t="s">
        <v>57</v>
      </c>
      <c r="N85" t="s">
        <v>4</v>
      </c>
      <c r="T85">
        <v>83</v>
      </c>
      <c r="U85" s="113">
        <v>46056</v>
      </c>
      <c r="V85" s="113">
        <v>46059</v>
      </c>
      <c r="W85" s="113">
        <v>46062</v>
      </c>
      <c r="X85" s="113">
        <v>46080</v>
      </c>
      <c r="Y85" s="113">
        <v>46083</v>
      </c>
      <c r="Z85" s="113">
        <v>46101</v>
      </c>
      <c r="AA85" s="113">
        <v>46104</v>
      </c>
      <c r="AB85" s="113">
        <v>46122</v>
      </c>
      <c r="AC85" s="113">
        <v>46121</v>
      </c>
      <c r="AD85" s="113">
        <v>46122</v>
      </c>
      <c r="AE85" s="113">
        <v>46125</v>
      </c>
      <c r="AF85" s="113">
        <v>46143</v>
      </c>
      <c r="AG85" s="113">
        <v>46146</v>
      </c>
      <c r="AH85" s="113">
        <v>46164</v>
      </c>
    </row>
    <row r="86" spans="1:34" hidden="1">
      <c r="A86" t="s">
        <v>4</v>
      </c>
      <c r="B86" t="s">
        <v>4</v>
      </c>
      <c r="C86" s="4" t="s">
        <v>225</v>
      </c>
      <c r="D86" s="102" t="s">
        <v>470</v>
      </c>
      <c r="E86" t="s">
        <v>511</v>
      </c>
      <c r="F86" t="s">
        <v>508</v>
      </c>
      <c r="G86" t="s">
        <v>71</v>
      </c>
      <c r="H86" t="s">
        <v>473</v>
      </c>
      <c r="K86" t="s">
        <v>340</v>
      </c>
      <c r="L86" t="s">
        <v>474</v>
      </c>
      <c r="M86" t="s">
        <v>74</v>
      </c>
      <c r="N86" t="s">
        <v>338</v>
      </c>
      <c r="T86">
        <v>84</v>
      </c>
      <c r="AE86" s="113">
        <v>46083</v>
      </c>
      <c r="AF86" s="113">
        <v>46101</v>
      </c>
      <c r="AG86" s="113">
        <v>46104</v>
      </c>
      <c r="AH86" s="113">
        <v>46122</v>
      </c>
    </row>
    <row r="87" spans="1:34">
      <c r="A87" t="s">
        <v>4</v>
      </c>
      <c r="B87" t="s">
        <v>4</v>
      </c>
      <c r="C87" s="4" t="s">
        <v>225</v>
      </c>
      <c r="D87" s="102" t="s">
        <v>493</v>
      </c>
      <c r="E87" s="19" t="s">
        <v>512</v>
      </c>
      <c r="F87" t="s">
        <v>508</v>
      </c>
      <c r="G87" t="s">
        <v>71</v>
      </c>
      <c r="H87" t="s">
        <v>473</v>
      </c>
      <c r="K87" t="s">
        <v>341</v>
      </c>
      <c r="L87" t="s">
        <v>474</v>
      </c>
      <c r="M87" t="s">
        <v>57</v>
      </c>
      <c r="N87" t="s">
        <v>4</v>
      </c>
      <c r="T87">
        <v>85</v>
      </c>
      <c r="U87" s="113">
        <v>46056</v>
      </c>
      <c r="V87" s="113">
        <v>46059</v>
      </c>
      <c r="W87" s="113">
        <v>46062</v>
      </c>
      <c r="X87" s="113">
        <v>46080</v>
      </c>
      <c r="Y87" s="113">
        <v>46083</v>
      </c>
      <c r="Z87" s="113">
        <v>46101</v>
      </c>
      <c r="AA87" s="113">
        <v>46104</v>
      </c>
      <c r="AB87" s="113">
        <v>46122</v>
      </c>
      <c r="AC87" s="113">
        <v>46121</v>
      </c>
      <c r="AD87" s="113">
        <v>46122</v>
      </c>
      <c r="AE87" s="113">
        <v>46125</v>
      </c>
      <c r="AF87" s="113">
        <v>46143</v>
      </c>
      <c r="AG87" s="113">
        <v>46146</v>
      </c>
      <c r="AH87" s="113">
        <v>46164</v>
      </c>
    </row>
    <row r="88" spans="1:34">
      <c r="A88" t="s">
        <v>92</v>
      </c>
      <c r="B88" t="s">
        <v>4</v>
      </c>
      <c r="C88" s="4" t="s">
        <v>225</v>
      </c>
      <c r="D88" s="102" t="s">
        <v>493</v>
      </c>
      <c r="E88" s="19" t="s">
        <v>513</v>
      </c>
      <c r="F88" t="s">
        <v>514</v>
      </c>
      <c r="G88" t="s">
        <v>71</v>
      </c>
      <c r="H88" t="s">
        <v>473</v>
      </c>
      <c r="K88" t="s">
        <v>341</v>
      </c>
      <c r="L88" t="s">
        <v>474</v>
      </c>
      <c r="M88" t="s">
        <v>57</v>
      </c>
      <c r="N88" t="s">
        <v>4</v>
      </c>
      <c r="T88">
        <v>86</v>
      </c>
      <c r="U88" s="113">
        <v>46056</v>
      </c>
      <c r="V88" s="113">
        <v>46059</v>
      </c>
      <c r="W88" s="113">
        <v>46062</v>
      </c>
      <c r="X88" s="113">
        <v>46080</v>
      </c>
      <c r="Y88" s="113">
        <v>46083</v>
      </c>
      <c r="Z88" s="113">
        <v>46101</v>
      </c>
      <c r="AA88" s="113">
        <v>46104</v>
      </c>
      <c r="AB88" s="113">
        <v>46122</v>
      </c>
      <c r="AC88" s="113">
        <v>46121</v>
      </c>
      <c r="AD88" s="113">
        <v>46122</v>
      </c>
      <c r="AE88" s="113">
        <v>46125</v>
      </c>
      <c r="AF88" s="113">
        <v>46143</v>
      </c>
      <c r="AG88" s="113">
        <v>46146</v>
      </c>
      <c r="AH88" s="113">
        <v>46164</v>
      </c>
    </row>
    <row r="89" spans="1:34" hidden="1">
      <c r="A89" s="73" t="s">
        <v>259</v>
      </c>
      <c r="B89" s="74" t="s">
        <v>93</v>
      </c>
      <c r="C89" s="74" t="s">
        <v>94</v>
      </c>
      <c r="D89" s="102" t="s">
        <v>317</v>
      </c>
      <c r="E89" s="73" t="s">
        <v>515</v>
      </c>
      <c r="F89" s="73" t="s">
        <v>516</v>
      </c>
      <c r="G89" s="73" t="s">
        <v>102</v>
      </c>
      <c r="H89" s="73" t="s">
        <v>97</v>
      </c>
      <c r="I89" s="73" t="s">
        <v>72</v>
      </c>
      <c r="J89" s="73"/>
      <c r="K89" s="73" t="s">
        <v>347</v>
      </c>
      <c r="L89" s="73" t="s">
        <v>102</v>
      </c>
      <c r="M89" s="73" t="s">
        <v>102</v>
      </c>
      <c r="N89" s="73" t="s">
        <v>102</v>
      </c>
      <c r="O89" s="73"/>
      <c r="P89" s="73"/>
      <c r="Q89" s="73" t="s">
        <v>462</v>
      </c>
      <c r="R89" s="73"/>
      <c r="T89">
        <v>87</v>
      </c>
    </row>
    <row r="90" spans="1:34" hidden="1">
      <c r="A90" t="s">
        <v>92</v>
      </c>
      <c r="B90" s="4" t="s">
        <v>93</v>
      </c>
      <c r="C90" s="4" t="s">
        <v>94</v>
      </c>
      <c r="D90" s="102" t="s">
        <v>327</v>
      </c>
      <c r="E90" t="s">
        <v>517</v>
      </c>
      <c r="F90" t="s">
        <v>280</v>
      </c>
      <c r="G90" t="s">
        <v>2</v>
      </c>
      <c r="H90" t="s">
        <v>97</v>
      </c>
      <c r="I90" t="s">
        <v>72</v>
      </c>
      <c r="J90" t="s">
        <v>307</v>
      </c>
      <c r="K90" t="s">
        <v>198</v>
      </c>
      <c r="L90" t="s">
        <v>73</v>
      </c>
      <c r="M90" t="s">
        <v>98</v>
      </c>
      <c r="N90" t="s">
        <v>99</v>
      </c>
      <c r="T90">
        <v>88</v>
      </c>
      <c r="W90" s="113">
        <v>46056</v>
      </c>
      <c r="X90" s="113">
        <v>46087</v>
      </c>
      <c r="Y90" s="113">
        <v>46083</v>
      </c>
      <c r="Z90" s="113">
        <v>46122</v>
      </c>
      <c r="AA90" s="113">
        <v>46111</v>
      </c>
      <c r="AB90" s="113">
        <v>46136</v>
      </c>
      <c r="AC90" s="113">
        <v>46118</v>
      </c>
      <c r="AD90" s="113">
        <v>46136</v>
      </c>
      <c r="AE90" s="113">
        <v>46125</v>
      </c>
      <c r="AF90" s="113">
        <v>46150</v>
      </c>
      <c r="AG90" s="113">
        <v>46139</v>
      </c>
      <c r="AH90" s="113">
        <v>46171</v>
      </c>
    </row>
    <row r="91" spans="1:34" hidden="1">
      <c r="A91" t="s">
        <v>92</v>
      </c>
      <c r="B91" s="4" t="s">
        <v>93</v>
      </c>
      <c r="C91" s="4" t="s">
        <v>94</v>
      </c>
      <c r="D91" s="102" t="s">
        <v>327</v>
      </c>
      <c r="E91" t="s">
        <v>518</v>
      </c>
      <c r="F91" t="s">
        <v>280</v>
      </c>
      <c r="G91" t="s">
        <v>2</v>
      </c>
      <c r="H91" t="s">
        <v>97</v>
      </c>
      <c r="I91" t="s">
        <v>72</v>
      </c>
      <c r="J91" t="s">
        <v>307</v>
      </c>
      <c r="K91" t="s">
        <v>198</v>
      </c>
      <c r="L91" t="s">
        <v>73</v>
      </c>
      <c r="M91" t="s">
        <v>98</v>
      </c>
      <c r="N91" t="s">
        <v>99</v>
      </c>
      <c r="T91">
        <v>89</v>
      </c>
      <c r="W91" s="113">
        <v>46056</v>
      </c>
      <c r="X91" s="113">
        <v>46087</v>
      </c>
      <c r="Y91" s="113">
        <v>46083</v>
      </c>
      <c r="Z91" s="113">
        <v>46122</v>
      </c>
      <c r="AA91" s="113">
        <v>46111</v>
      </c>
      <c r="AB91" s="113">
        <v>46136</v>
      </c>
      <c r="AC91" s="113">
        <v>46118</v>
      </c>
      <c r="AD91" s="113">
        <v>46136</v>
      </c>
      <c r="AE91" s="113">
        <v>46125</v>
      </c>
      <c r="AF91" s="113">
        <v>46150</v>
      </c>
      <c r="AG91" s="113">
        <v>46139</v>
      </c>
      <c r="AH91" s="113">
        <v>46171</v>
      </c>
    </row>
    <row r="92" spans="1:34" hidden="1">
      <c r="A92" t="s">
        <v>92</v>
      </c>
      <c r="B92" s="4" t="s">
        <v>93</v>
      </c>
      <c r="C92" s="4" t="s">
        <v>94</v>
      </c>
      <c r="D92" s="102" t="s">
        <v>327</v>
      </c>
      <c r="E92" t="s">
        <v>519</v>
      </c>
      <c r="F92" t="s">
        <v>280</v>
      </c>
      <c r="G92" t="s">
        <v>2</v>
      </c>
      <c r="H92" t="s">
        <v>97</v>
      </c>
      <c r="I92" t="s">
        <v>72</v>
      </c>
      <c r="K92" t="s">
        <v>198</v>
      </c>
      <c r="L92" t="s">
        <v>73</v>
      </c>
      <c r="M92" t="s">
        <v>98</v>
      </c>
      <c r="N92" t="s">
        <v>99</v>
      </c>
      <c r="T92">
        <v>90</v>
      </c>
      <c r="W92" s="113">
        <v>46056</v>
      </c>
      <c r="X92" s="113">
        <v>46087</v>
      </c>
      <c r="Y92" s="113">
        <v>46083</v>
      </c>
      <c r="Z92" s="113">
        <v>46122</v>
      </c>
      <c r="AA92" s="113">
        <v>46111</v>
      </c>
      <c r="AB92" s="113">
        <v>46136</v>
      </c>
      <c r="AC92" s="113">
        <v>46118</v>
      </c>
      <c r="AD92" s="113">
        <v>46136</v>
      </c>
      <c r="AE92" s="113">
        <v>46125</v>
      </c>
      <c r="AF92" s="113">
        <v>46150</v>
      </c>
      <c r="AG92" s="113">
        <v>46139</v>
      </c>
      <c r="AH92" s="113">
        <v>46171</v>
      </c>
    </row>
    <row r="93" spans="1:34" hidden="1">
      <c r="A93" t="s">
        <v>92</v>
      </c>
      <c r="B93" s="4" t="s">
        <v>93</v>
      </c>
      <c r="C93" s="4" t="s">
        <v>94</v>
      </c>
      <c r="D93" s="102" t="s">
        <v>327</v>
      </c>
      <c r="E93" t="s">
        <v>520</v>
      </c>
      <c r="F93" t="s">
        <v>280</v>
      </c>
      <c r="G93" t="s">
        <v>2</v>
      </c>
      <c r="H93" t="s">
        <v>97</v>
      </c>
      <c r="I93" t="s">
        <v>72</v>
      </c>
      <c r="J93" t="s">
        <v>307</v>
      </c>
      <c r="K93" t="s">
        <v>198</v>
      </c>
      <c r="L93" t="s">
        <v>73</v>
      </c>
      <c r="M93" t="s">
        <v>98</v>
      </c>
      <c r="N93" t="s">
        <v>99</v>
      </c>
      <c r="T93">
        <v>91</v>
      </c>
      <c r="W93" s="113">
        <v>46056</v>
      </c>
      <c r="X93" s="113">
        <v>46087</v>
      </c>
      <c r="Y93" s="113">
        <v>46083</v>
      </c>
      <c r="Z93" s="113">
        <v>46122</v>
      </c>
      <c r="AA93" s="113">
        <v>46111</v>
      </c>
      <c r="AB93" s="113">
        <v>46136</v>
      </c>
      <c r="AC93" s="113">
        <v>46118</v>
      </c>
      <c r="AD93" s="113">
        <v>46136</v>
      </c>
      <c r="AE93" s="113">
        <v>46125</v>
      </c>
      <c r="AF93" s="113">
        <v>46150</v>
      </c>
      <c r="AG93" s="113">
        <v>46139</v>
      </c>
      <c r="AH93" s="113">
        <v>46171</v>
      </c>
    </row>
    <row r="94" spans="1:34" hidden="1">
      <c r="A94" t="s">
        <v>92</v>
      </c>
      <c r="B94" s="4" t="s">
        <v>93</v>
      </c>
      <c r="C94" s="4" t="s">
        <v>94</v>
      </c>
      <c r="D94" s="102" t="s">
        <v>327</v>
      </c>
      <c r="E94" t="s">
        <v>521</v>
      </c>
      <c r="F94" t="s">
        <v>280</v>
      </c>
      <c r="G94" t="s">
        <v>2</v>
      </c>
      <c r="H94" t="s">
        <v>97</v>
      </c>
      <c r="I94" t="s">
        <v>72</v>
      </c>
      <c r="J94" t="s">
        <v>307</v>
      </c>
      <c r="K94" t="s">
        <v>198</v>
      </c>
      <c r="L94" t="s">
        <v>73</v>
      </c>
      <c r="M94" t="s">
        <v>98</v>
      </c>
      <c r="N94" t="s">
        <v>99</v>
      </c>
      <c r="T94">
        <v>92</v>
      </c>
      <c r="W94" s="113">
        <v>46056</v>
      </c>
      <c r="X94" s="113">
        <v>46087</v>
      </c>
      <c r="Y94" s="113">
        <v>46083</v>
      </c>
      <c r="Z94" s="113">
        <v>46122</v>
      </c>
      <c r="AA94" s="113">
        <v>46111</v>
      </c>
      <c r="AB94" s="113">
        <v>46136</v>
      </c>
      <c r="AC94" s="113">
        <v>46118</v>
      </c>
      <c r="AD94" s="113">
        <v>46136</v>
      </c>
      <c r="AE94" s="113">
        <v>46125</v>
      </c>
      <c r="AF94" s="113">
        <v>46150</v>
      </c>
      <c r="AG94" s="113">
        <v>46139</v>
      </c>
      <c r="AH94" s="113">
        <v>46171</v>
      </c>
    </row>
    <row r="95" spans="1:34" hidden="1">
      <c r="A95" t="s">
        <v>92</v>
      </c>
      <c r="B95" s="4" t="s">
        <v>93</v>
      </c>
      <c r="C95" s="4" t="s">
        <v>94</v>
      </c>
      <c r="D95" s="102" t="s">
        <v>327</v>
      </c>
      <c r="E95" t="s">
        <v>522</v>
      </c>
      <c r="F95" t="s">
        <v>280</v>
      </c>
      <c r="G95" t="s">
        <v>2</v>
      </c>
      <c r="H95" t="s">
        <v>97</v>
      </c>
      <c r="I95" t="s">
        <v>72</v>
      </c>
      <c r="K95" t="s">
        <v>198</v>
      </c>
      <c r="L95" t="s">
        <v>73</v>
      </c>
      <c r="M95" t="s">
        <v>98</v>
      </c>
      <c r="N95" t="s">
        <v>99</v>
      </c>
      <c r="T95">
        <v>93</v>
      </c>
      <c r="W95" s="113">
        <v>46056</v>
      </c>
      <c r="X95" s="113">
        <v>46087</v>
      </c>
      <c r="Y95" s="113">
        <v>46083</v>
      </c>
      <c r="Z95" s="113">
        <v>46122</v>
      </c>
      <c r="AA95" s="113">
        <v>46111</v>
      </c>
      <c r="AB95" s="113">
        <v>46136</v>
      </c>
      <c r="AC95" s="113">
        <v>46118</v>
      </c>
      <c r="AD95" s="113">
        <v>46136</v>
      </c>
      <c r="AE95" s="113">
        <v>46125</v>
      </c>
      <c r="AF95" s="113">
        <v>46150</v>
      </c>
      <c r="AG95" s="113">
        <v>46139</v>
      </c>
      <c r="AH95" s="113">
        <v>46171</v>
      </c>
    </row>
    <row r="96" spans="1:34" hidden="1">
      <c r="A96" t="s">
        <v>92</v>
      </c>
      <c r="B96" s="4" t="s">
        <v>93</v>
      </c>
      <c r="C96" s="4" t="s">
        <v>94</v>
      </c>
      <c r="D96" s="102" t="s">
        <v>327</v>
      </c>
      <c r="E96" t="s">
        <v>523</v>
      </c>
      <c r="F96" t="s">
        <v>280</v>
      </c>
      <c r="G96" t="s">
        <v>2</v>
      </c>
      <c r="H96" t="s">
        <v>97</v>
      </c>
      <c r="I96" t="s">
        <v>72</v>
      </c>
      <c r="K96" t="s">
        <v>198</v>
      </c>
      <c r="L96" t="s">
        <v>73</v>
      </c>
      <c r="M96" t="s">
        <v>98</v>
      </c>
      <c r="N96" t="s">
        <v>99</v>
      </c>
      <c r="T96">
        <v>94</v>
      </c>
      <c r="W96" s="113">
        <v>46056</v>
      </c>
      <c r="X96" s="113">
        <v>46087</v>
      </c>
      <c r="Y96" s="113">
        <v>46083</v>
      </c>
      <c r="Z96" s="113">
        <v>46122</v>
      </c>
      <c r="AA96" s="113">
        <v>46111</v>
      </c>
      <c r="AB96" s="113">
        <v>46136</v>
      </c>
      <c r="AC96" s="113">
        <v>46118</v>
      </c>
      <c r="AD96" s="113">
        <v>46136</v>
      </c>
      <c r="AE96" s="113">
        <v>46125</v>
      </c>
      <c r="AF96" s="113">
        <v>46150</v>
      </c>
      <c r="AG96" s="113">
        <v>46139</v>
      </c>
      <c r="AH96" s="113">
        <v>46171</v>
      </c>
    </row>
    <row r="97" spans="1:34" hidden="1">
      <c r="A97" t="s">
        <v>92</v>
      </c>
      <c r="B97" s="4" t="s">
        <v>93</v>
      </c>
      <c r="C97" s="4" t="s">
        <v>94</v>
      </c>
      <c r="D97" s="102" t="s">
        <v>327</v>
      </c>
      <c r="E97" t="s">
        <v>282</v>
      </c>
      <c r="F97" t="s">
        <v>280</v>
      </c>
      <c r="G97" t="s">
        <v>2</v>
      </c>
      <c r="H97" t="s">
        <v>97</v>
      </c>
      <c r="I97" t="s">
        <v>72</v>
      </c>
      <c r="K97" t="s">
        <v>198</v>
      </c>
      <c r="L97" t="s">
        <v>73</v>
      </c>
      <c r="M97" t="s">
        <v>98</v>
      </c>
      <c r="N97" t="s">
        <v>99</v>
      </c>
      <c r="T97">
        <v>95</v>
      </c>
      <c r="W97" s="113">
        <v>46056</v>
      </c>
      <c r="X97" s="113">
        <v>46087</v>
      </c>
      <c r="Y97" s="113">
        <v>46083</v>
      </c>
      <c r="Z97" s="113">
        <v>46122</v>
      </c>
      <c r="AA97" s="113">
        <v>46111</v>
      </c>
      <c r="AB97" s="113">
        <v>46136</v>
      </c>
      <c r="AC97" s="113">
        <v>46118</v>
      </c>
      <c r="AD97" s="113">
        <v>46136</v>
      </c>
      <c r="AE97" s="113">
        <v>46125</v>
      </c>
      <c r="AF97" s="113">
        <v>46150</v>
      </c>
      <c r="AG97" s="113">
        <v>46139</v>
      </c>
      <c r="AH97" s="113">
        <v>46171</v>
      </c>
    </row>
    <row r="98" spans="1:34" hidden="1">
      <c r="A98" t="s">
        <v>92</v>
      </c>
      <c r="B98" s="4" t="s">
        <v>93</v>
      </c>
      <c r="C98" s="4" t="s">
        <v>94</v>
      </c>
      <c r="D98" s="102" t="s">
        <v>327</v>
      </c>
      <c r="E98" t="s">
        <v>524</v>
      </c>
      <c r="F98" t="s">
        <v>280</v>
      </c>
      <c r="G98" t="s">
        <v>2</v>
      </c>
      <c r="H98" t="s">
        <v>97</v>
      </c>
      <c r="I98" t="s">
        <v>72</v>
      </c>
      <c r="K98" t="s">
        <v>198</v>
      </c>
      <c r="L98" t="s">
        <v>73</v>
      </c>
      <c r="M98" t="s">
        <v>98</v>
      </c>
      <c r="N98" t="s">
        <v>99</v>
      </c>
      <c r="T98">
        <v>96</v>
      </c>
      <c r="W98" s="113">
        <v>46056</v>
      </c>
      <c r="X98" s="113">
        <v>46087</v>
      </c>
      <c r="Y98" s="113">
        <v>46083</v>
      </c>
      <c r="Z98" s="113">
        <v>46122</v>
      </c>
      <c r="AA98" s="113">
        <v>46111</v>
      </c>
      <c r="AB98" s="113">
        <v>46136</v>
      </c>
      <c r="AC98" s="113">
        <v>46118</v>
      </c>
      <c r="AD98" s="113">
        <v>46136</v>
      </c>
      <c r="AE98" s="113">
        <v>46125</v>
      </c>
      <c r="AF98" s="113">
        <v>46150</v>
      </c>
      <c r="AG98" s="113">
        <v>46139</v>
      </c>
      <c r="AH98" s="113">
        <v>46171</v>
      </c>
    </row>
    <row r="99" spans="1:34" hidden="1">
      <c r="A99" t="s">
        <v>92</v>
      </c>
      <c r="B99" s="4" t="s">
        <v>93</v>
      </c>
      <c r="C99" s="4" t="s">
        <v>94</v>
      </c>
      <c r="D99" s="102" t="s">
        <v>327</v>
      </c>
      <c r="E99" t="s">
        <v>279</v>
      </c>
      <c r="F99" t="s">
        <v>280</v>
      </c>
      <c r="G99" t="s">
        <v>2</v>
      </c>
      <c r="H99" t="s">
        <v>97</v>
      </c>
      <c r="I99" t="s">
        <v>72</v>
      </c>
      <c r="K99" t="s">
        <v>198</v>
      </c>
      <c r="L99" t="s">
        <v>73</v>
      </c>
      <c r="M99" t="s">
        <v>98</v>
      </c>
      <c r="N99" t="s">
        <v>99</v>
      </c>
      <c r="T99">
        <v>97</v>
      </c>
      <c r="W99" s="113">
        <v>46056</v>
      </c>
      <c r="X99" s="113">
        <v>46087</v>
      </c>
      <c r="Y99" s="113">
        <v>46083</v>
      </c>
      <c r="Z99" s="113">
        <v>46122</v>
      </c>
      <c r="AA99" s="113">
        <v>46111</v>
      </c>
      <c r="AB99" s="113">
        <v>46136</v>
      </c>
      <c r="AC99" s="113">
        <v>46118</v>
      </c>
      <c r="AD99" s="113">
        <v>46136</v>
      </c>
      <c r="AE99" s="113">
        <v>46125</v>
      </c>
      <c r="AF99" s="113">
        <v>46150</v>
      </c>
      <c r="AG99" s="113">
        <v>46139</v>
      </c>
      <c r="AH99" s="113">
        <v>46171</v>
      </c>
    </row>
    <row r="100" spans="1:34" hidden="1">
      <c r="A100" t="s">
        <v>92</v>
      </c>
      <c r="B100" s="4" t="s">
        <v>93</v>
      </c>
      <c r="C100" s="4" t="s">
        <v>94</v>
      </c>
      <c r="D100" s="102" t="s">
        <v>327</v>
      </c>
      <c r="E100" t="s">
        <v>278</v>
      </c>
      <c r="F100" t="s">
        <v>263</v>
      </c>
      <c r="G100" t="s">
        <v>2</v>
      </c>
      <c r="H100" t="s">
        <v>97</v>
      </c>
      <c r="I100" t="s">
        <v>72</v>
      </c>
      <c r="K100" t="s">
        <v>198</v>
      </c>
      <c r="L100" t="s">
        <v>73</v>
      </c>
      <c r="M100" t="s">
        <v>98</v>
      </c>
      <c r="N100" t="s">
        <v>99</v>
      </c>
      <c r="T100">
        <v>98</v>
      </c>
      <c r="W100" s="113">
        <v>46056</v>
      </c>
      <c r="X100" s="113">
        <v>46087</v>
      </c>
      <c r="Y100" s="113">
        <v>46083</v>
      </c>
      <c r="Z100" s="113">
        <v>46122</v>
      </c>
      <c r="AA100" s="113">
        <v>46111</v>
      </c>
      <c r="AB100" s="113">
        <v>46136</v>
      </c>
      <c r="AC100" s="113">
        <v>46118</v>
      </c>
      <c r="AD100" s="113">
        <v>46136</v>
      </c>
      <c r="AE100" s="113">
        <v>46125</v>
      </c>
      <c r="AF100" s="113">
        <v>46150</v>
      </c>
      <c r="AG100" s="113">
        <v>46139</v>
      </c>
      <c r="AH100" s="113">
        <v>46171</v>
      </c>
    </row>
    <row r="101" spans="1:34" hidden="1">
      <c r="A101" t="s">
        <v>92</v>
      </c>
      <c r="B101" s="4" t="s">
        <v>93</v>
      </c>
      <c r="C101" s="4" t="s">
        <v>94</v>
      </c>
      <c r="D101" s="102" t="s">
        <v>327</v>
      </c>
      <c r="E101" t="s">
        <v>277</v>
      </c>
      <c r="F101" t="s">
        <v>263</v>
      </c>
      <c r="G101" t="s">
        <v>2</v>
      </c>
      <c r="H101" t="s">
        <v>97</v>
      </c>
      <c r="I101" t="s">
        <v>72</v>
      </c>
      <c r="K101" t="s">
        <v>198</v>
      </c>
      <c r="L101" t="s">
        <v>73</v>
      </c>
      <c r="M101" t="s">
        <v>98</v>
      </c>
      <c r="N101" t="s">
        <v>99</v>
      </c>
      <c r="T101">
        <v>99</v>
      </c>
      <c r="W101" s="113">
        <v>46056</v>
      </c>
      <c r="X101" s="113">
        <v>46087</v>
      </c>
      <c r="Y101" s="113">
        <v>46083</v>
      </c>
      <c r="Z101" s="113">
        <v>46122</v>
      </c>
      <c r="AA101" s="113">
        <v>46111</v>
      </c>
      <c r="AB101" s="113">
        <v>46136</v>
      </c>
      <c r="AC101" s="113">
        <v>46118</v>
      </c>
      <c r="AD101" s="113">
        <v>46136</v>
      </c>
      <c r="AE101" s="113">
        <v>46125</v>
      </c>
      <c r="AF101" s="113">
        <v>46150</v>
      </c>
      <c r="AG101" s="113">
        <v>46139</v>
      </c>
      <c r="AH101" s="113">
        <v>46171</v>
      </c>
    </row>
    <row r="102" spans="1:34" hidden="1">
      <c r="A102" t="s">
        <v>80</v>
      </c>
      <c r="B102" t="s">
        <v>68</v>
      </c>
      <c r="C102" s="4" t="s">
        <v>48</v>
      </c>
      <c r="D102" s="102" t="s">
        <v>329</v>
      </c>
      <c r="E102" t="s">
        <v>104</v>
      </c>
      <c r="F102" t="s">
        <v>105</v>
      </c>
      <c r="G102" t="s">
        <v>102</v>
      </c>
      <c r="H102" t="s">
        <v>102</v>
      </c>
      <c r="J102" t="s">
        <v>103</v>
      </c>
      <c r="K102" t="s">
        <v>55</v>
      </c>
      <c r="L102" t="s">
        <v>73</v>
      </c>
      <c r="M102" t="s">
        <v>74</v>
      </c>
      <c r="N102" t="s">
        <v>58</v>
      </c>
      <c r="S102" t="s">
        <v>230</v>
      </c>
      <c r="T102">
        <v>100</v>
      </c>
      <c r="Y102" s="113">
        <v>46056</v>
      </c>
      <c r="Z102" s="113">
        <v>46073</v>
      </c>
      <c r="AA102" s="113">
        <v>46076</v>
      </c>
      <c r="AB102" s="113">
        <v>46094</v>
      </c>
      <c r="AC102" s="113">
        <v>46093</v>
      </c>
      <c r="AD102" s="113">
        <v>46094</v>
      </c>
      <c r="AE102" s="113">
        <v>46097</v>
      </c>
      <c r="AF102" s="113">
        <v>46115</v>
      </c>
      <c r="AG102" s="113">
        <v>46118</v>
      </c>
      <c r="AH102" s="113">
        <v>46136</v>
      </c>
    </row>
    <row r="103" spans="1:34" hidden="1">
      <c r="A103" t="s">
        <v>80</v>
      </c>
      <c r="B103" t="s">
        <v>68</v>
      </c>
      <c r="C103" s="4" t="s">
        <v>48</v>
      </c>
      <c r="D103" s="102" t="s">
        <v>329</v>
      </c>
      <c r="E103" t="s">
        <v>100</v>
      </c>
      <c r="F103" t="s">
        <v>101</v>
      </c>
      <c r="G103" t="s">
        <v>102</v>
      </c>
      <c r="H103" t="s">
        <v>102</v>
      </c>
      <c r="J103" t="s">
        <v>103</v>
      </c>
      <c r="K103" t="s">
        <v>55</v>
      </c>
      <c r="L103" t="s">
        <v>73</v>
      </c>
      <c r="M103" t="s">
        <v>74</v>
      </c>
      <c r="N103" t="s">
        <v>58</v>
      </c>
      <c r="S103" t="s">
        <v>230</v>
      </c>
      <c r="T103">
        <v>101</v>
      </c>
      <c r="Y103" s="113">
        <v>46056</v>
      </c>
      <c r="Z103" s="113">
        <v>46073</v>
      </c>
      <c r="AA103" s="113">
        <v>46076</v>
      </c>
      <c r="AB103" s="113">
        <v>46094</v>
      </c>
      <c r="AC103" s="113">
        <v>46093</v>
      </c>
      <c r="AD103" s="113">
        <v>46094</v>
      </c>
      <c r="AE103" s="113">
        <v>46097</v>
      </c>
      <c r="AF103" s="113">
        <v>46115</v>
      </c>
      <c r="AG103" s="113">
        <v>46118</v>
      </c>
      <c r="AH103" s="113">
        <v>46136</v>
      </c>
    </row>
    <row r="104" spans="1:34" hidden="1">
      <c r="A104" t="s">
        <v>236</v>
      </c>
      <c r="B104" s="4" t="s">
        <v>4</v>
      </c>
      <c r="C104" s="4" t="s">
        <v>225</v>
      </c>
      <c r="D104" s="102" t="s">
        <v>327</v>
      </c>
      <c r="E104" t="s">
        <v>275</v>
      </c>
      <c r="F104" t="s">
        <v>276</v>
      </c>
      <c r="G104" t="s">
        <v>2</v>
      </c>
      <c r="H104" t="s">
        <v>97</v>
      </c>
      <c r="I104" t="s">
        <v>72</v>
      </c>
      <c r="K104" t="s">
        <v>198</v>
      </c>
      <c r="L104" t="s">
        <v>73</v>
      </c>
      <c r="M104" t="s">
        <v>207</v>
      </c>
      <c r="N104" t="s">
        <v>4</v>
      </c>
      <c r="T104">
        <v>102</v>
      </c>
      <c r="W104" s="113">
        <v>46056</v>
      </c>
      <c r="X104" s="113">
        <v>46094</v>
      </c>
      <c r="Y104" s="113">
        <v>46097</v>
      </c>
      <c r="Z104" s="113">
        <v>46122</v>
      </c>
      <c r="AA104" s="113">
        <v>46125</v>
      </c>
      <c r="AB104" s="113">
        <v>46136</v>
      </c>
      <c r="AC104" s="113">
        <v>46135</v>
      </c>
      <c r="AD104" s="113">
        <v>46136</v>
      </c>
      <c r="AE104" s="113">
        <v>46139</v>
      </c>
      <c r="AF104" s="113">
        <v>46157</v>
      </c>
      <c r="AG104" s="113">
        <v>46160</v>
      </c>
      <c r="AH104" s="113">
        <v>46171</v>
      </c>
    </row>
    <row r="105" spans="1:34" hidden="1">
      <c r="A105" t="s">
        <v>92</v>
      </c>
      <c r="B105" s="4" t="s">
        <v>93</v>
      </c>
      <c r="C105" s="4" t="s">
        <v>94</v>
      </c>
      <c r="D105" s="102" t="s">
        <v>327</v>
      </c>
      <c r="E105" t="s">
        <v>271</v>
      </c>
      <c r="F105" t="s">
        <v>265</v>
      </c>
      <c r="G105" t="s">
        <v>2</v>
      </c>
      <c r="H105" t="s">
        <v>97</v>
      </c>
      <c r="I105" t="s">
        <v>72</v>
      </c>
      <c r="J105" t="s">
        <v>266</v>
      </c>
      <c r="K105" t="s">
        <v>198</v>
      </c>
      <c r="L105" t="s">
        <v>73</v>
      </c>
      <c r="M105" t="s">
        <v>207</v>
      </c>
      <c r="N105" t="s">
        <v>99</v>
      </c>
      <c r="T105">
        <v>103</v>
      </c>
      <c r="W105" s="113">
        <v>46056</v>
      </c>
      <c r="X105" s="113">
        <v>46087</v>
      </c>
      <c r="Y105" s="113">
        <v>46083</v>
      </c>
      <c r="Z105" s="113">
        <v>46122</v>
      </c>
      <c r="AA105" s="113">
        <v>46111</v>
      </c>
      <c r="AB105" s="113">
        <v>46136</v>
      </c>
      <c r="AC105" s="113">
        <v>46118</v>
      </c>
      <c r="AD105" s="113">
        <v>46136</v>
      </c>
      <c r="AE105" s="113">
        <v>46125</v>
      </c>
      <c r="AF105" s="113">
        <v>46150</v>
      </c>
      <c r="AG105" s="113">
        <v>46139</v>
      </c>
      <c r="AH105" s="113">
        <v>46171</v>
      </c>
    </row>
    <row r="106" spans="1:34" hidden="1">
      <c r="A106" t="s">
        <v>92</v>
      </c>
      <c r="B106" s="4" t="s">
        <v>93</v>
      </c>
      <c r="C106" s="4" t="s">
        <v>94</v>
      </c>
      <c r="D106" s="102" t="s">
        <v>327</v>
      </c>
      <c r="E106" t="s">
        <v>525</v>
      </c>
      <c r="F106" t="s">
        <v>265</v>
      </c>
      <c r="G106" t="s">
        <v>2</v>
      </c>
      <c r="H106" t="s">
        <v>97</v>
      </c>
      <c r="I106" t="s">
        <v>72</v>
      </c>
      <c r="J106" t="s">
        <v>266</v>
      </c>
      <c r="K106" t="s">
        <v>198</v>
      </c>
      <c r="L106" t="s">
        <v>73</v>
      </c>
      <c r="M106" t="s">
        <v>207</v>
      </c>
      <c r="N106" t="s">
        <v>99</v>
      </c>
      <c r="T106">
        <v>104</v>
      </c>
      <c r="W106" s="113">
        <v>46056</v>
      </c>
      <c r="X106" s="113">
        <v>46087</v>
      </c>
      <c r="Y106" s="113">
        <v>46083</v>
      </c>
      <c r="Z106" s="113">
        <v>46122</v>
      </c>
      <c r="AA106" s="113">
        <v>46111</v>
      </c>
      <c r="AB106" s="113">
        <v>46136</v>
      </c>
      <c r="AC106" s="113">
        <v>46118</v>
      </c>
      <c r="AD106" s="113">
        <v>46136</v>
      </c>
      <c r="AE106" s="113">
        <v>46125</v>
      </c>
      <c r="AF106" s="113">
        <v>46150</v>
      </c>
      <c r="AG106" s="113">
        <v>46139</v>
      </c>
      <c r="AH106" s="113">
        <v>46171</v>
      </c>
    </row>
    <row r="107" spans="1:34" hidden="1">
      <c r="A107" t="s">
        <v>92</v>
      </c>
      <c r="B107" s="4" t="s">
        <v>93</v>
      </c>
      <c r="C107" s="4" t="s">
        <v>94</v>
      </c>
      <c r="D107" s="102" t="s">
        <v>327</v>
      </c>
      <c r="E107" t="s">
        <v>264</v>
      </c>
      <c r="F107" t="s">
        <v>265</v>
      </c>
      <c r="G107" t="s">
        <v>2</v>
      </c>
      <c r="H107" t="s">
        <v>97</v>
      </c>
      <c r="I107" t="s">
        <v>72</v>
      </c>
      <c r="J107" t="s">
        <v>266</v>
      </c>
      <c r="K107" t="s">
        <v>198</v>
      </c>
      <c r="L107" t="s">
        <v>73</v>
      </c>
      <c r="M107" t="s">
        <v>207</v>
      </c>
      <c r="N107" t="s">
        <v>99</v>
      </c>
      <c r="T107">
        <v>105</v>
      </c>
      <c r="W107" s="113">
        <v>46056</v>
      </c>
      <c r="X107" s="113">
        <v>46087</v>
      </c>
      <c r="Y107" s="113">
        <v>46083</v>
      </c>
      <c r="Z107" s="113">
        <v>46122</v>
      </c>
      <c r="AA107" s="113">
        <v>46111</v>
      </c>
      <c r="AB107" s="113">
        <v>46136</v>
      </c>
      <c r="AC107" s="113">
        <v>46118</v>
      </c>
      <c r="AD107" s="113">
        <v>46136</v>
      </c>
      <c r="AE107" s="113">
        <v>46125</v>
      </c>
      <c r="AF107" s="113">
        <v>46150</v>
      </c>
      <c r="AG107" s="113">
        <v>46139</v>
      </c>
      <c r="AH107" s="113">
        <v>46171</v>
      </c>
    </row>
    <row r="108" spans="1:34" hidden="1">
      <c r="A108" t="s">
        <v>92</v>
      </c>
      <c r="B108" s="4" t="s">
        <v>93</v>
      </c>
      <c r="C108" s="4" t="s">
        <v>94</v>
      </c>
      <c r="D108" s="102" t="s">
        <v>327</v>
      </c>
      <c r="E108" t="s">
        <v>526</v>
      </c>
      <c r="F108" t="s">
        <v>265</v>
      </c>
      <c r="G108" t="s">
        <v>2</v>
      </c>
      <c r="H108" t="s">
        <v>97</v>
      </c>
      <c r="I108" t="s">
        <v>72</v>
      </c>
      <c r="J108" t="s">
        <v>266</v>
      </c>
      <c r="K108" t="s">
        <v>198</v>
      </c>
      <c r="L108" t="s">
        <v>73</v>
      </c>
      <c r="M108" t="s">
        <v>207</v>
      </c>
      <c r="N108" t="s">
        <v>99</v>
      </c>
      <c r="T108">
        <v>106</v>
      </c>
      <c r="W108" s="113">
        <v>46056</v>
      </c>
      <c r="X108" s="113">
        <v>46087</v>
      </c>
      <c r="Y108" s="113">
        <v>46083</v>
      </c>
      <c r="Z108" s="113">
        <v>46122</v>
      </c>
      <c r="AA108" s="113">
        <v>46111</v>
      </c>
      <c r="AB108" s="113">
        <v>46136</v>
      </c>
      <c r="AC108" s="113">
        <v>46118</v>
      </c>
      <c r="AD108" s="113">
        <v>46136</v>
      </c>
      <c r="AE108" s="113">
        <v>46125</v>
      </c>
      <c r="AF108" s="113">
        <v>46150</v>
      </c>
      <c r="AG108" s="113">
        <v>46139</v>
      </c>
      <c r="AH108" s="113">
        <v>46171</v>
      </c>
    </row>
    <row r="109" spans="1:34" hidden="1">
      <c r="A109" t="s">
        <v>92</v>
      </c>
      <c r="B109" s="4" t="s">
        <v>93</v>
      </c>
      <c r="C109" s="4" t="s">
        <v>94</v>
      </c>
      <c r="D109" s="102" t="s">
        <v>327</v>
      </c>
      <c r="E109" t="s">
        <v>262</v>
      </c>
      <c r="F109" t="s">
        <v>263</v>
      </c>
      <c r="G109" t="s">
        <v>2</v>
      </c>
      <c r="H109" t="s">
        <v>97</v>
      </c>
      <c r="I109" t="s">
        <v>72</v>
      </c>
      <c r="K109" t="s">
        <v>198</v>
      </c>
      <c r="L109" t="s">
        <v>73</v>
      </c>
      <c r="M109" t="s">
        <v>98</v>
      </c>
      <c r="N109" t="s">
        <v>99</v>
      </c>
      <c r="T109">
        <v>107</v>
      </c>
      <c r="W109" s="113">
        <v>46056</v>
      </c>
      <c r="X109" s="113">
        <v>46087</v>
      </c>
      <c r="Y109" s="113">
        <v>46083</v>
      </c>
      <c r="Z109" s="113">
        <v>46122</v>
      </c>
      <c r="AA109" s="113">
        <v>46111</v>
      </c>
      <c r="AB109" s="113">
        <v>46136</v>
      </c>
      <c r="AC109" s="113">
        <v>46118</v>
      </c>
      <c r="AD109" s="113">
        <v>46136</v>
      </c>
      <c r="AE109" s="113">
        <v>46125</v>
      </c>
      <c r="AF109" s="113">
        <v>46150</v>
      </c>
      <c r="AG109" s="113">
        <v>46139</v>
      </c>
      <c r="AH109" s="113">
        <v>46171</v>
      </c>
    </row>
    <row r="110" spans="1:34" hidden="1">
      <c r="A110" t="s">
        <v>259</v>
      </c>
      <c r="B110" s="4" t="s">
        <v>93</v>
      </c>
      <c r="C110" s="4" t="s">
        <v>94</v>
      </c>
      <c r="D110" s="102" t="s">
        <v>327</v>
      </c>
      <c r="E110" t="s">
        <v>260</v>
      </c>
      <c r="F110" t="s">
        <v>261</v>
      </c>
      <c r="G110" t="s">
        <v>2</v>
      </c>
      <c r="H110" t="s">
        <v>97</v>
      </c>
      <c r="I110" t="s">
        <v>72</v>
      </c>
      <c r="K110" t="s">
        <v>198</v>
      </c>
      <c r="L110" t="s">
        <v>73</v>
      </c>
      <c r="M110" t="s">
        <v>98</v>
      </c>
      <c r="N110" t="s">
        <v>99</v>
      </c>
      <c r="T110">
        <v>108</v>
      </c>
      <c r="W110" s="113">
        <v>46056</v>
      </c>
      <c r="X110" s="113">
        <v>46087</v>
      </c>
      <c r="Y110" s="113">
        <v>46083</v>
      </c>
      <c r="Z110" s="113">
        <v>46122</v>
      </c>
      <c r="AA110" s="113">
        <v>46111</v>
      </c>
      <c r="AB110" s="113">
        <v>46136</v>
      </c>
      <c r="AC110" s="113">
        <v>46118</v>
      </c>
      <c r="AD110" s="113">
        <v>46136</v>
      </c>
      <c r="AE110" s="113">
        <v>46125</v>
      </c>
      <c r="AF110" s="113">
        <v>46150</v>
      </c>
      <c r="AG110" s="113">
        <v>46139</v>
      </c>
      <c r="AH110" s="113">
        <v>46171</v>
      </c>
    </row>
    <row r="111" spans="1:34" hidden="1">
      <c r="A111" t="s">
        <v>92</v>
      </c>
      <c r="B111" s="4" t="s">
        <v>93</v>
      </c>
      <c r="C111" s="4" t="s">
        <v>94</v>
      </c>
      <c r="D111" s="102" t="s">
        <v>329</v>
      </c>
      <c r="E111" t="s">
        <v>95</v>
      </c>
      <c r="F111" t="s">
        <v>96</v>
      </c>
      <c r="G111" t="s">
        <v>2</v>
      </c>
      <c r="H111" t="s">
        <v>97</v>
      </c>
      <c r="I111" t="s">
        <v>72</v>
      </c>
      <c r="K111" t="s">
        <v>55</v>
      </c>
      <c r="L111" t="s">
        <v>73</v>
      </c>
      <c r="M111" t="s">
        <v>98</v>
      </c>
      <c r="N111" t="s">
        <v>99</v>
      </c>
      <c r="T111">
        <v>109</v>
      </c>
      <c r="Y111" s="113">
        <v>46056</v>
      </c>
      <c r="Z111" s="113">
        <v>46073</v>
      </c>
      <c r="AA111" s="113">
        <v>46076</v>
      </c>
      <c r="AB111" s="113">
        <v>46094</v>
      </c>
      <c r="AC111" s="113">
        <v>46093</v>
      </c>
      <c r="AD111" s="113">
        <v>46094</v>
      </c>
      <c r="AE111" s="113">
        <v>46097</v>
      </c>
      <c r="AF111" s="113">
        <v>46115</v>
      </c>
      <c r="AG111" s="113">
        <v>46118</v>
      </c>
      <c r="AH111" s="113">
        <v>46136</v>
      </c>
    </row>
    <row r="112" spans="1:34" hidden="1">
      <c r="A112" t="s">
        <v>92</v>
      </c>
      <c r="B112" t="s">
        <v>4</v>
      </c>
      <c r="C112" s="4" t="s">
        <v>225</v>
      </c>
      <c r="D112" s="102" t="s">
        <v>327</v>
      </c>
      <c r="E112" t="s">
        <v>254</v>
      </c>
      <c r="F112" t="s">
        <v>255</v>
      </c>
      <c r="G112" t="s">
        <v>71</v>
      </c>
      <c r="H112" t="s">
        <v>256</v>
      </c>
      <c r="I112" t="s">
        <v>83</v>
      </c>
      <c r="J112" t="s">
        <v>257</v>
      </c>
      <c r="K112" t="s">
        <v>198</v>
      </c>
      <c r="M112" t="s">
        <v>207</v>
      </c>
      <c r="N112" t="s">
        <v>258</v>
      </c>
      <c r="O112" t="s">
        <v>234</v>
      </c>
      <c r="P112" s="19"/>
      <c r="T112">
        <v>110</v>
      </c>
      <c r="W112" s="113">
        <v>46056</v>
      </c>
      <c r="X112" s="113">
        <v>46094</v>
      </c>
      <c r="Y112" s="113">
        <v>46097</v>
      </c>
      <c r="Z112" s="113">
        <v>46122</v>
      </c>
      <c r="AA112" s="113">
        <v>46125</v>
      </c>
      <c r="AB112" s="113">
        <v>46136</v>
      </c>
      <c r="AC112" s="113">
        <v>46135</v>
      </c>
      <c r="AD112" s="113">
        <v>46136</v>
      </c>
      <c r="AE112" s="113">
        <v>46139</v>
      </c>
      <c r="AF112" s="113">
        <v>46157</v>
      </c>
      <c r="AG112" s="113">
        <v>46160</v>
      </c>
      <c r="AH112" s="113">
        <v>46171</v>
      </c>
    </row>
    <row r="113" spans="1:34" hidden="1">
      <c r="A113" t="s">
        <v>4</v>
      </c>
      <c r="B113" t="s">
        <v>4</v>
      </c>
      <c r="C113" s="4" t="s">
        <v>225</v>
      </c>
      <c r="D113" s="102" t="s">
        <v>470</v>
      </c>
      <c r="E113" t="s">
        <v>527</v>
      </c>
      <c r="F113" t="s">
        <v>508</v>
      </c>
      <c r="G113" t="s">
        <v>71</v>
      </c>
      <c r="H113" t="s">
        <v>473</v>
      </c>
      <c r="K113" t="s">
        <v>340</v>
      </c>
      <c r="L113" t="s">
        <v>474</v>
      </c>
      <c r="M113" t="s">
        <v>74</v>
      </c>
      <c r="N113" t="s">
        <v>338</v>
      </c>
      <c r="T113">
        <v>111</v>
      </c>
      <c r="AE113" s="113">
        <v>46083</v>
      </c>
      <c r="AF113" s="113">
        <v>46101</v>
      </c>
      <c r="AG113" s="113">
        <v>46104</v>
      </c>
      <c r="AH113" s="113">
        <v>46122</v>
      </c>
    </row>
    <row r="114" spans="1:34" hidden="1">
      <c r="A114" t="s">
        <v>4</v>
      </c>
      <c r="B114" t="s">
        <v>4</v>
      </c>
      <c r="C114" s="4" t="s">
        <v>225</v>
      </c>
      <c r="D114" s="102" t="s">
        <v>470</v>
      </c>
      <c r="E114" t="s">
        <v>528</v>
      </c>
      <c r="F114" t="s">
        <v>508</v>
      </c>
      <c r="G114" t="s">
        <v>71</v>
      </c>
      <c r="H114" t="s">
        <v>473</v>
      </c>
      <c r="K114" t="s">
        <v>340</v>
      </c>
      <c r="L114" t="s">
        <v>474</v>
      </c>
      <c r="M114" t="s">
        <v>74</v>
      </c>
      <c r="N114" t="s">
        <v>338</v>
      </c>
      <c r="T114">
        <v>112</v>
      </c>
      <c r="AE114" s="113">
        <v>46083</v>
      </c>
      <c r="AF114" s="113">
        <v>46101</v>
      </c>
      <c r="AG114" s="113">
        <v>46104</v>
      </c>
      <c r="AH114" s="113">
        <v>46122</v>
      </c>
    </row>
    <row r="115" spans="1:34" hidden="1">
      <c r="A115" t="s">
        <v>80</v>
      </c>
      <c r="B115" t="s">
        <v>68</v>
      </c>
      <c r="C115" s="4" t="s">
        <v>48</v>
      </c>
      <c r="D115" s="102" t="s">
        <v>329</v>
      </c>
      <c r="E115" t="s">
        <v>86</v>
      </c>
      <c r="F115" t="s">
        <v>87</v>
      </c>
      <c r="G115" t="s">
        <v>52</v>
      </c>
      <c r="H115" t="s">
        <v>88</v>
      </c>
      <c r="I115" t="s">
        <v>83</v>
      </c>
      <c r="J115" t="s">
        <v>89</v>
      </c>
      <c r="K115" t="s">
        <v>55</v>
      </c>
      <c r="L115" t="s">
        <v>73</v>
      </c>
      <c r="M115" t="s">
        <v>57</v>
      </c>
      <c r="N115" t="s">
        <v>58</v>
      </c>
      <c r="O115" t="s">
        <v>90</v>
      </c>
      <c r="P115" t="s">
        <v>91</v>
      </c>
      <c r="S115" t="s">
        <v>230</v>
      </c>
      <c r="T115">
        <v>113</v>
      </c>
      <c r="Y115" s="113">
        <v>46056</v>
      </c>
      <c r="Z115" s="113">
        <v>46073</v>
      </c>
      <c r="AA115" s="113">
        <v>46076</v>
      </c>
      <c r="AB115" s="113">
        <v>46094</v>
      </c>
      <c r="AC115" s="113">
        <v>46093</v>
      </c>
      <c r="AD115" s="113">
        <v>46094</v>
      </c>
      <c r="AE115" s="113">
        <v>46097</v>
      </c>
      <c r="AF115" s="113">
        <v>46115</v>
      </c>
      <c r="AG115" s="113">
        <v>46118</v>
      </c>
      <c r="AH115" s="113">
        <v>46136</v>
      </c>
    </row>
    <row r="116" spans="1:34" hidden="1">
      <c r="A116" t="s">
        <v>4</v>
      </c>
      <c r="B116" t="s">
        <v>4</v>
      </c>
      <c r="C116" s="4" t="s">
        <v>225</v>
      </c>
      <c r="D116" s="102" t="s">
        <v>470</v>
      </c>
      <c r="E116" t="s">
        <v>529</v>
      </c>
      <c r="F116" t="s">
        <v>508</v>
      </c>
      <c r="G116" t="s">
        <v>71</v>
      </c>
      <c r="H116" t="s">
        <v>473</v>
      </c>
      <c r="K116" t="s">
        <v>340</v>
      </c>
      <c r="L116" t="s">
        <v>474</v>
      </c>
      <c r="M116" t="s">
        <v>74</v>
      </c>
      <c r="N116" t="s">
        <v>338</v>
      </c>
      <c r="T116">
        <v>114</v>
      </c>
      <c r="AE116" s="113">
        <v>46083</v>
      </c>
      <c r="AF116" s="113">
        <v>46101</v>
      </c>
      <c r="AG116" s="113">
        <v>46104</v>
      </c>
      <c r="AH116" s="113">
        <v>46122</v>
      </c>
    </row>
    <row r="117" spans="1:34" hidden="1">
      <c r="A117" t="s">
        <v>92</v>
      </c>
      <c r="B117" s="4" t="s">
        <v>160</v>
      </c>
      <c r="C117" s="4" t="s">
        <v>201</v>
      </c>
      <c r="D117" s="102" t="s">
        <v>327</v>
      </c>
      <c r="E117" t="s">
        <v>252</v>
      </c>
      <c r="F117" t="s">
        <v>253</v>
      </c>
      <c r="G117" t="s">
        <v>2</v>
      </c>
      <c r="H117" t="s">
        <v>97</v>
      </c>
      <c r="I117" t="s">
        <v>72</v>
      </c>
      <c r="K117" t="s">
        <v>198</v>
      </c>
      <c r="L117" t="s">
        <v>73</v>
      </c>
      <c r="M117" t="s">
        <v>207</v>
      </c>
      <c r="N117" t="s">
        <v>160</v>
      </c>
      <c r="T117">
        <v>115</v>
      </c>
      <c r="W117" s="113">
        <v>46056</v>
      </c>
      <c r="X117" s="113">
        <v>46094</v>
      </c>
      <c r="Y117" s="113">
        <v>46097</v>
      </c>
      <c r="Z117" s="113">
        <v>46122</v>
      </c>
      <c r="AA117" s="113">
        <v>46125</v>
      </c>
      <c r="AB117" s="113">
        <v>46136</v>
      </c>
      <c r="AC117" s="113">
        <v>46135</v>
      </c>
      <c r="AD117" s="113">
        <v>46136</v>
      </c>
      <c r="AE117" s="113">
        <v>46139</v>
      </c>
      <c r="AF117" s="113">
        <v>46157</v>
      </c>
      <c r="AG117" s="113">
        <v>46160</v>
      </c>
      <c r="AH117" s="113">
        <v>46171</v>
      </c>
    </row>
    <row r="118" spans="1:34" hidden="1">
      <c r="A118" t="s">
        <v>92</v>
      </c>
      <c r="B118" s="4" t="s">
        <v>160</v>
      </c>
      <c r="C118" s="4" t="s">
        <v>201</v>
      </c>
      <c r="D118" s="102" t="s">
        <v>327</v>
      </c>
      <c r="E118" s="70" t="s">
        <v>249</v>
      </c>
      <c r="F118" s="70" t="s">
        <v>250</v>
      </c>
      <c r="G118" t="s">
        <v>2</v>
      </c>
      <c r="H118" t="s">
        <v>97</v>
      </c>
      <c r="I118" t="s">
        <v>72</v>
      </c>
      <c r="K118" t="s">
        <v>198</v>
      </c>
      <c r="L118" t="s">
        <v>73</v>
      </c>
      <c r="M118" t="s">
        <v>207</v>
      </c>
      <c r="N118" t="s">
        <v>160</v>
      </c>
      <c r="T118">
        <v>116</v>
      </c>
      <c r="W118" s="113">
        <v>46056</v>
      </c>
      <c r="X118" s="113">
        <v>46094</v>
      </c>
      <c r="Y118" s="113">
        <v>46097</v>
      </c>
      <c r="Z118" s="113">
        <v>46122</v>
      </c>
      <c r="AA118" s="113">
        <v>46125</v>
      </c>
      <c r="AB118" s="113">
        <v>46136</v>
      </c>
      <c r="AC118" s="113">
        <v>46135</v>
      </c>
      <c r="AD118" s="113">
        <v>46136</v>
      </c>
      <c r="AE118" s="113">
        <v>46139</v>
      </c>
      <c r="AF118" s="113">
        <v>46157</v>
      </c>
      <c r="AG118" s="113">
        <v>46160</v>
      </c>
      <c r="AH118" s="113">
        <v>46171</v>
      </c>
    </row>
    <row r="119" spans="1:34" hidden="1">
      <c r="A119" t="s">
        <v>92</v>
      </c>
      <c r="B119" s="4" t="s">
        <v>160</v>
      </c>
      <c r="C119" s="4" t="s">
        <v>201</v>
      </c>
      <c r="D119" s="102" t="s">
        <v>327</v>
      </c>
      <c r="E119" t="s">
        <v>247</v>
      </c>
      <c r="F119" t="s">
        <v>248</v>
      </c>
      <c r="G119" t="s">
        <v>2</v>
      </c>
      <c r="H119" t="s">
        <v>97</v>
      </c>
      <c r="I119" t="s">
        <v>72</v>
      </c>
      <c r="K119" t="s">
        <v>198</v>
      </c>
      <c r="L119" t="s">
        <v>73</v>
      </c>
      <c r="M119" t="s">
        <v>207</v>
      </c>
      <c r="N119" t="s">
        <v>160</v>
      </c>
      <c r="T119">
        <v>117</v>
      </c>
      <c r="W119" s="113">
        <v>46056</v>
      </c>
      <c r="X119" s="113">
        <v>46094</v>
      </c>
      <c r="Y119" s="113">
        <v>46097</v>
      </c>
      <c r="Z119" s="113">
        <v>46122</v>
      </c>
      <c r="AA119" s="113">
        <v>46125</v>
      </c>
      <c r="AB119" s="113">
        <v>46136</v>
      </c>
      <c r="AC119" s="113">
        <v>46135</v>
      </c>
      <c r="AD119" s="113">
        <v>46136</v>
      </c>
      <c r="AE119" s="113">
        <v>46139</v>
      </c>
      <c r="AF119" s="113">
        <v>46157</v>
      </c>
      <c r="AG119" s="113">
        <v>46160</v>
      </c>
      <c r="AH119" s="113">
        <v>46171</v>
      </c>
    </row>
    <row r="120" spans="1:34" hidden="1">
      <c r="A120" t="s">
        <v>4</v>
      </c>
      <c r="B120" t="s">
        <v>4</v>
      </c>
      <c r="C120" s="4" t="s">
        <v>225</v>
      </c>
      <c r="D120" s="102" t="s">
        <v>435</v>
      </c>
      <c r="E120" t="s">
        <v>530</v>
      </c>
      <c r="F120" t="s">
        <v>531</v>
      </c>
      <c r="G120" t="s">
        <v>52</v>
      </c>
      <c r="H120" t="s">
        <v>219</v>
      </c>
      <c r="I120" t="s">
        <v>83</v>
      </c>
      <c r="J120" t="s">
        <v>532</v>
      </c>
      <c r="K120" t="s">
        <v>339</v>
      </c>
      <c r="M120" t="s">
        <v>57</v>
      </c>
      <c r="N120" t="s">
        <v>4</v>
      </c>
      <c r="O120" t="s">
        <v>230</v>
      </c>
      <c r="P120" t="s">
        <v>533</v>
      </c>
      <c r="T120">
        <v>118</v>
      </c>
      <c r="AE120" s="113">
        <v>46076</v>
      </c>
      <c r="AF120" s="113">
        <v>46101</v>
      </c>
      <c r="AG120" s="113">
        <v>46104</v>
      </c>
      <c r="AH120" s="113">
        <v>46129</v>
      </c>
    </row>
    <row r="121" spans="1:34" hidden="1">
      <c r="A121" t="s">
        <v>67</v>
      </c>
      <c r="B121" s="4" t="s">
        <v>133</v>
      </c>
      <c r="C121" s="4" t="s">
        <v>134</v>
      </c>
      <c r="D121" s="102" t="s">
        <v>435</v>
      </c>
      <c r="E121" t="s">
        <v>534</v>
      </c>
      <c r="F121" t="s">
        <v>417</v>
      </c>
      <c r="G121" t="s">
        <v>52</v>
      </c>
      <c r="H121" t="s">
        <v>437</v>
      </c>
      <c r="I121" t="s">
        <v>54</v>
      </c>
      <c r="K121" t="s">
        <v>339</v>
      </c>
      <c r="M121" t="s">
        <v>57</v>
      </c>
      <c r="N121" t="s">
        <v>133</v>
      </c>
      <c r="T121">
        <v>119</v>
      </c>
      <c r="AE121" s="113">
        <v>46076</v>
      </c>
      <c r="AF121" s="113">
        <v>46101</v>
      </c>
      <c r="AG121" s="113">
        <v>46104</v>
      </c>
      <c r="AH121" s="113">
        <v>46129</v>
      </c>
    </row>
    <row r="122" spans="1:34" hidden="1">
      <c r="A122" t="s">
        <v>217</v>
      </c>
      <c r="B122" t="s">
        <v>16</v>
      </c>
      <c r="C122" s="4" t="s">
        <v>123</v>
      </c>
      <c r="D122" s="102" t="s">
        <v>327</v>
      </c>
      <c r="E122" t="s">
        <v>243</v>
      </c>
      <c r="F122" t="s">
        <v>244</v>
      </c>
      <c r="G122" t="s">
        <v>245</v>
      </c>
      <c r="H122" t="s">
        <v>246</v>
      </c>
      <c r="I122" t="s">
        <v>83</v>
      </c>
      <c r="K122" t="s">
        <v>198</v>
      </c>
      <c r="M122" t="s">
        <v>57</v>
      </c>
      <c r="N122" t="s">
        <v>16</v>
      </c>
      <c r="T122">
        <v>120</v>
      </c>
      <c r="U122" s="113"/>
      <c r="V122" s="113"/>
      <c r="W122" s="113">
        <v>46056</v>
      </c>
      <c r="X122" s="113">
        <v>46073</v>
      </c>
      <c r="Y122" s="113">
        <v>46076</v>
      </c>
      <c r="Z122" s="113">
        <v>46094</v>
      </c>
      <c r="AA122" s="113">
        <v>46097</v>
      </c>
      <c r="AB122" s="113">
        <v>46108</v>
      </c>
      <c r="AC122" s="113">
        <v>46107</v>
      </c>
      <c r="AD122" s="113">
        <v>46108</v>
      </c>
      <c r="AE122" s="113">
        <v>46111</v>
      </c>
      <c r="AF122" s="113">
        <v>46129</v>
      </c>
      <c r="AG122" s="113">
        <v>46132</v>
      </c>
      <c r="AH122" s="113">
        <v>46150</v>
      </c>
    </row>
    <row r="123" spans="1:34" hidden="1">
      <c r="A123" t="s">
        <v>80</v>
      </c>
      <c r="B123" t="s">
        <v>68</v>
      </c>
      <c r="C123" s="4" t="s">
        <v>48</v>
      </c>
      <c r="D123" s="102" t="s">
        <v>329</v>
      </c>
      <c r="E123" t="s">
        <v>81</v>
      </c>
      <c r="F123" t="s">
        <v>82</v>
      </c>
      <c r="G123" t="s">
        <v>52</v>
      </c>
      <c r="H123" t="s">
        <v>53</v>
      </c>
      <c r="I123" t="s">
        <v>83</v>
      </c>
      <c r="J123" t="s">
        <v>84</v>
      </c>
      <c r="K123" t="s">
        <v>55</v>
      </c>
      <c r="L123" t="s">
        <v>73</v>
      </c>
      <c r="M123" t="s">
        <v>57</v>
      </c>
      <c r="N123" t="s">
        <v>75</v>
      </c>
      <c r="O123" t="s">
        <v>85</v>
      </c>
      <c r="S123" t="s">
        <v>230</v>
      </c>
      <c r="T123">
        <v>121</v>
      </c>
      <c r="Y123" s="113">
        <v>46056</v>
      </c>
      <c r="Z123" s="113">
        <v>46073</v>
      </c>
      <c r="AA123" s="113">
        <v>46076</v>
      </c>
      <c r="AB123" s="113">
        <v>46094</v>
      </c>
      <c r="AC123" s="113">
        <v>46093</v>
      </c>
      <c r="AD123" s="113">
        <v>46094</v>
      </c>
      <c r="AE123" s="113">
        <v>46097</v>
      </c>
      <c r="AF123" s="113">
        <v>46115</v>
      </c>
      <c r="AG123" s="113">
        <v>46118</v>
      </c>
      <c r="AH123" s="113">
        <v>46136</v>
      </c>
    </row>
    <row r="124" spans="1:34" hidden="1">
      <c r="A124" t="s">
        <v>217</v>
      </c>
      <c r="B124" t="s">
        <v>16</v>
      </c>
      <c r="C124" s="4" t="s">
        <v>123</v>
      </c>
      <c r="D124" s="102" t="s">
        <v>435</v>
      </c>
      <c r="E124" t="s">
        <v>535</v>
      </c>
      <c r="F124" t="s">
        <v>536</v>
      </c>
      <c r="G124" t="s">
        <v>245</v>
      </c>
      <c r="H124" t="s">
        <v>246</v>
      </c>
      <c r="I124" t="s">
        <v>54</v>
      </c>
      <c r="J124" t="s">
        <v>84</v>
      </c>
      <c r="K124" t="s">
        <v>339</v>
      </c>
      <c r="M124" t="s">
        <v>57</v>
      </c>
      <c r="N124" t="s">
        <v>16</v>
      </c>
      <c r="O124" t="s">
        <v>537</v>
      </c>
      <c r="T124">
        <v>122</v>
      </c>
      <c r="AE124" s="113">
        <v>46076</v>
      </c>
      <c r="AF124" s="113">
        <v>46101</v>
      </c>
      <c r="AG124" s="113">
        <v>46104</v>
      </c>
      <c r="AH124" s="113">
        <v>46129</v>
      </c>
    </row>
    <row r="125" spans="1:34" hidden="1">
      <c r="A125" t="s">
        <v>67</v>
      </c>
      <c r="B125" s="4" t="s">
        <v>133</v>
      </c>
      <c r="C125" s="4" t="s">
        <v>134</v>
      </c>
      <c r="D125" s="102" t="s">
        <v>435</v>
      </c>
      <c r="E125" t="s">
        <v>538</v>
      </c>
      <c r="F125" t="s">
        <v>417</v>
      </c>
      <c r="G125" t="s">
        <v>52</v>
      </c>
      <c r="H125" t="s">
        <v>437</v>
      </c>
      <c r="I125" t="s">
        <v>54</v>
      </c>
      <c r="K125" t="s">
        <v>339</v>
      </c>
      <c r="M125" t="s">
        <v>57</v>
      </c>
      <c r="N125" t="s">
        <v>133</v>
      </c>
      <c r="T125">
        <v>123</v>
      </c>
      <c r="AE125" s="113">
        <v>46076</v>
      </c>
      <c r="AF125" s="113">
        <v>46101</v>
      </c>
      <c r="AG125" s="113">
        <v>46104</v>
      </c>
      <c r="AH125" s="113">
        <v>46129</v>
      </c>
    </row>
    <row r="126" spans="1:34" hidden="1">
      <c r="A126" s="73" t="s">
        <v>67</v>
      </c>
      <c r="B126" s="74" t="s">
        <v>133</v>
      </c>
      <c r="C126" s="74" t="s">
        <v>134</v>
      </c>
      <c r="D126" s="102"/>
      <c r="E126" s="73" t="s">
        <v>539</v>
      </c>
      <c r="F126" s="73" t="s">
        <v>417</v>
      </c>
      <c r="G126" s="73" t="s">
        <v>102</v>
      </c>
      <c r="H126" s="73" t="s">
        <v>102</v>
      </c>
      <c r="I126" s="73"/>
      <c r="J126" s="73"/>
      <c r="K126" s="73" t="s">
        <v>347</v>
      </c>
      <c r="L126" s="73" t="s">
        <v>102</v>
      </c>
      <c r="M126" s="73" t="s">
        <v>102</v>
      </c>
      <c r="N126" s="73" t="s">
        <v>102</v>
      </c>
      <c r="O126" s="73"/>
      <c r="P126" s="73"/>
      <c r="Q126" s="73"/>
      <c r="R126" s="73"/>
      <c r="T126">
        <v>124</v>
      </c>
    </row>
    <row r="127" spans="1:34" hidden="1">
      <c r="A127" s="73" t="s">
        <v>67</v>
      </c>
      <c r="B127" s="74" t="s">
        <v>133</v>
      </c>
      <c r="C127" s="74" t="s">
        <v>134</v>
      </c>
      <c r="D127" s="102"/>
      <c r="E127" s="73" t="s">
        <v>540</v>
      </c>
      <c r="F127" s="73" t="s">
        <v>417</v>
      </c>
      <c r="G127" s="73" t="s">
        <v>102</v>
      </c>
      <c r="H127" s="73" t="s">
        <v>102</v>
      </c>
      <c r="I127" s="73"/>
      <c r="J127" s="73"/>
      <c r="K127" s="73" t="s">
        <v>347</v>
      </c>
      <c r="L127" s="73" t="s">
        <v>102</v>
      </c>
      <c r="M127" s="73" t="s">
        <v>102</v>
      </c>
      <c r="N127" s="73" t="s">
        <v>102</v>
      </c>
      <c r="O127" s="73"/>
      <c r="P127" s="73"/>
      <c r="Q127" s="73"/>
      <c r="R127" s="73"/>
      <c r="T127">
        <v>125</v>
      </c>
    </row>
    <row r="128" spans="1:34" hidden="1">
      <c r="A128" s="19" t="s">
        <v>46</v>
      </c>
      <c r="B128" s="27" t="s">
        <v>61</v>
      </c>
      <c r="C128" s="78" t="s">
        <v>48</v>
      </c>
      <c r="D128" s="102" t="s">
        <v>329</v>
      </c>
      <c r="E128" s="19" t="s">
        <v>78</v>
      </c>
      <c r="F128" s="19" t="s">
        <v>66</v>
      </c>
      <c r="G128" s="19" t="s">
        <v>52</v>
      </c>
      <c r="H128" s="19" t="s">
        <v>64</v>
      </c>
      <c r="I128" s="19" t="s">
        <v>54</v>
      </c>
      <c r="J128" s="19" t="s">
        <v>79</v>
      </c>
      <c r="K128" s="19" t="s">
        <v>55</v>
      </c>
      <c r="L128" s="19"/>
      <c r="M128" s="19" t="s">
        <v>57</v>
      </c>
      <c r="N128" s="19" t="s">
        <v>4</v>
      </c>
      <c r="O128" s="19"/>
      <c r="P128" s="19"/>
      <c r="T128">
        <v>126</v>
      </c>
      <c r="Y128" s="113">
        <v>46062</v>
      </c>
      <c r="Z128" s="113">
        <v>46073</v>
      </c>
      <c r="AA128" s="113">
        <v>46076</v>
      </c>
      <c r="AB128" s="113">
        <v>46087</v>
      </c>
      <c r="AC128" s="113">
        <v>46086</v>
      </c>
      <c r="AD128" s="113">
        <v>46087</v>
      </c>
      <c r="AE128" s="113">
        <v>46090</v>
      </c>
      <c r="AF128" s="113">
        <v>46108</v>
      </c>
      <c r="AG128" s="113">
        <v>46111</v>
      </c>
      <c r="AH128" s="113">
        <v>46129</v>
      </c>
    </row>
    <row r="129" spans="1:34" hidden="1">
      <c r="A129" s="19" t="s">
        <v>46</v>
      </c>
      <c r="B129" s="27" t="s">
        <v>61</v>
      </c>
      <c r="C129" s="78" t="s">
        <v>48</v>
      </c>
      <c r="D129" s="102" t="s">
        <v>329</v>
      </c>
      <c r="E129" s="19" t="s">
        <v>76</v>
      </c>
      <c r="F129" s="19" t="s">
        <v>66</v>
      </c>
      <c r="G129" s="19" t="s">
        <v>52</v>
      </c>
      <c r="H129" s="19" t="s">
        <v>64</v>
      </c>
      <c r="I129" s="19" t="s">
        <v>54</v>
      </c>
      <c r="J129" s="19" t="s">
        <v>77</v>
      </c>
      <c r="K129" s="19" t="s">
        <v>55</v>
      </c>
      <c r="L129" s="19"/>
      <c r="M129" s="19" t="s">
        <v>57</v>
      </c>
      <c r="N129" s="19" t="s">
        <v>4</v>
      </c>
      <c r="O129" s="19"/>
      <c r="P129" s="19"/>
      <c r="T129">
        <v>127</v>
      </c>
      <c r="Y129" s="113">
        <v>46062</v>
      </c>
      <c r="Z129" s="113">
        <v>46073</v>
      </c>
      <c r="AA129" s="113">
        <v>46076</v>
      </c>
      <c r="AB129" s="113">
        <v>46087</v>
      </c>
      <c r="AC129" s="113">
        <v>46086</v>
      </c>
      <c r="AD129" s="113">
        <v>46087</v>
      </c>
      <c r="AE129" s="113">
        <v>46090</v>
      </c>
      <c r="AF129" s="113">
        <v>46108</v>
      </c>
      <c r="AG129" s="113">
        <v>46111</v>
      </c>
      <c r="AH129" s="113">
        <v>46129</v>
      </c>
    </row>
    <row r="130" spans="1:34" hidden="1">
      <c r="A130" t="s">
        <v>46</v>
      </c>
      <c r="B130" s="3" t="s">
        <v>61</v>
      </c>
      <c r="C130" s="4" t="s">
        <v>48</v>
      </c>
      <c r="D130" s="102" t="s">
        <v>329</v>
      </c>
      <c r="E130" t="s">
        <v>65</v>
      </c>
      <c r="F130" t="s">
        <v>66</v>
      </c>
      <c r="G130" t="s">
        <v>52</v>
      </c>
      <c r="H130" t="s">
        <v>64</v>
      </c>
      <c r="I130" t="s">
        <v>54</v>
      </c>
      <c r="K130" t="s">
        <v>55</v>
      </c>
      <c r="M130" t="s">
        <v>57</v>
      </c>
      <c r="N130" t="s">
        <v>58</v>
      </c>
      <c r="T130">
        <v>128</v>
      </c>
      <c r="Y130" s="113">
        <v>46056</v>
      </c>
      <c r="Z130" s="113">
        <v>46080</v>
      </c>
      <c r="AA130" s="113">
        <v>46083</v>
      </c>
      <c r="AB130" s="113">
        <v>46108</v>
      </c>
      <c r="AC130" s="113">
        <v>46107</v>
      </c>
      <c r="AD130" s="113">
        <v>46108</v>
      </c>
      <c r="AE130" s="113">
        <v>46111</v>
      </c>
      <c r="AF130" s="113">
        <v>46136</v>
      </c>
      <c r="AG130" s="113">
        <v>46139</v>
      </c>
      <c r="AH130" s="113">
        <v>46164</v>
      </c>
    </row>
    <row r="131" spans="1:34" hidden="1">
      <c r="A131" s="73" t="s">
        <v>67</v>
      </c>
      <c r="B131" s="74" t="s">
        <v>133</v>
      </c>
      <c r="C131" s="74" t="s">
        <v>134</v>
      </c>
      <c r="D131" s="102"/>
      <c r="E131" s="73" t="s">
        <v>541</v>
      </c>
      <c r="F131" s="73" t="s">
        <v>417</v>
      </c>
      <c r="G131" s="73" t="s">
        <v>102</v>
      </c>
      <c r="H131" s="73" t="s">
        <v>102</v>
      </c>
      <c r="I131" s="73"/>
      <c r="J131" s="73"/>
      <c r="K131" s="73" t="s">
        <v>347</v>
      </c>
      <c r="L131" s="73" t="s">
        <v>102</v>
      </c>
      <c r="M131" s="73" t="s">
        <v>102</v>
      </c>
      <c r="N131" s="73" t="s">
        <v>102</v>
      </c>
      <c r="O131" s="73"/>
      <c r="P131" s="73"/>
      <c r="Q131" s="73"/>
      <c r="R131" s="73"/>
      <c r="T131">
        <v>129</v>
      </c>
    </row>
    <row r="132" spans="1:34" hidden="1">
      <c r="A132" s="73" t="s">
        <v>80</v>
      </c>
      <c r="B132" s="73" t="s">
        <v>68</v>
      </c>
      <c r="C132" s="74" t="s">
        <v>48</v>
      </c>
      <c r="D132" s="102"/>
      <c r="E132" s="73" t="s">
        <v>542</v>
      </c>
      <c r="F132" s="73" t="s">
        <v>543</v>
      </c>
      <c r="G132" s="73" t="s">
        <v>102</v>
      </c>
      <c r="H132" s="73" t="s">
        <v>102</v>
      </c>
      <c r="I132" s="73"/>
      <c r="J132" s="73"/>
      <c r="K132" s="73" t="s">
        <v>347</v>
      </c>
      <c r="L132" s="73" t="s">
        <v>102</v>
      </c>
      <c r="M132" s="73" t="s">
        <v>102</v>
      </c>
      <c r="N132" s="73" t="s">
        <v>102</v>
      </c>
      <c r="O132" s="73"/>
      <c r="P132" s="73"/>
      <c r="Q132" s="73"/>
      <c r="R132" s="73"/>
      <c r="T132">
        <v>130</v>
      </c>
    </row>
    <row r="133" spans="1:34" hidden="1">
      <c r="A133" t="s">
        <v>46</v>
      </c>
      <c r="B133" s="3" t="s">
        <v>61</v>
      </c>
      <c r="C133" s="4" t="s">
        <v>48</v>
      </c>
      <c r="D133" s="102" t="s">
        <v>329</v>
      </c>
      <c r="E133" t="s">
        <v>62</v>
      </c>
      <c r="F133" t="s">
        <v>63</v>
      </c>
      <c r="G133" t="s">
        <v>52</v>
      </c>
      <c r="H133" t="s">
        <v>64</v>
      </c>
      <c r="I133" t="s">
        <v>54</v>
      </c>
      <c r="K133" t="s">
        <v>55</v>
      </c>
      <c r="M133" t="s">
        <v>57</v>
      </c>
      <c r="N133" t="s">
        <v>58</v>
      </c>
      <c r="T133">
        <v>131</v>
      </c>
      <c r="Y133" s="113">
        <v>46056</v>
      </c>
      <c r="Z133" s="113">
        <v>46080</v>
      </c>
      <c r="AA133" s="113">
        <v>46083</v>
      </c>
      <c r="AB133" s="113">
        <v>46108</v>
      </c>
      <c r="AC133" s="113">
        <v>46107</v>
      </c>
      <c r="AD133" s="113">
        <v>46108</v>
      </c>
      <c r="AE133" s="113">
        <v>46111</v>
      </c>
      <c r="AF133" s="113">
        <v>46136</v>
      </c>
      <c r="AG133" s="113">
        <v>46139</v>
      </c>
      <c r="AH133" s="113">
        <v>46164</v>
      </c>
    </row>
    <row r="134" spans="1:34" hidden="1">
      <c r="A134" t="s">
        <v>217</v>
      </c>
      <c r="B134" t="s">
        <v>16</v>
      </c>
      <c r="C134" s="4" t="s">
        <v>123</v>
      </c>
      <c r="D134" s="102" t="s">
        <v>435</v>
      </c>
      <c r="E134" t="s">
        <v>544</v>
      </c>
      <c r="F134" t="s">
        <v>545</v>
      </c>
      <c r="G134" t="s">
        <v>52</v>
      </c>
      <c r="H134" t="s">
        <v>219</v>
      </c>
      <c r="I134" t="s">
        <v>546</v>
      </c>
      <c r="J134" t="s">
        <v>547</v>
      </c>
      <c r="K134" t="s">
        <v>339</v>
      </c>
      <c r="M134" t="s">
        <v>57</v>
      </c>
      <c r="N134" t="s">
        <v>16</v>
      </c>
      <c r="O134" t="s">
        <v>537</v>
      </c>
      <c r="T134">
        <v>132</v>
      </c>
      <c r="AE134" s="113">
        <v>46076</v>
      </c>
      <c r="AF134" s="113">
        <v>46101</v>
      </c>
      <c r="AG134" s="113">
        <v>46104</v>
      </c>
      <c r="AH134" s="113">
        <v>46129</v>
      </c>
    </row>
    <row r="135" spans="1:34" hidden="1">
      <c r="A135" t="s">
        <v>217</v>
      </c>
      <c r="B135" t="s">
        <v>16</v>
      </c>
      <c r="C135" s="4" t="s">
        <v>123</v>
      </c>
      <c r="D135" s="102" t="s">
        <v>435</v>
      </c>
      <c r="E135" t="s">
        <v>26</v>
      </c>
      <c r="F135" t="s">
        <v>548</v>
      </c>
      <c r="G135" t="s">
        <v>245</v>
      </c>
      <c r="H135" t="s">
        <v>246</v>
      </c>
      <c r="J135" t="s">
        <v>482</v>
      </c>
      <c r="K135" t="s">
        <v>339</v>
      </c>
      <c r="M135" t="s">
        <v>57</v>
      </c>
      <c r="N135" t="s">
        <v>16</v>
      </c>
      <c r="O135" t="s">
        <v>483</v>
      </c>
      <c r="P135" t="s">
        <v>484</v>
      </c>
      <c r="T135">
        <v>133</v>
      </c>
      <c r="AE135" s="113">
        <v>46076</v>
      </c>
      <c r="AF135" s="113">
        <v>46094</v>
      </c>
      <c r="AG135" s="113">
        <v>46097</v>
      </c>
      <c r="AH135" s="113">
        <v>46115</v>
      </c>
    </row>
    <row r="136" spans="1:34" hidden="1">
      <c r="A136" s="73" t="s">
        <v>67</v>
      </c>
      <c r="B136" s="74" t="s">
        <v>133</v>
      </c>
      <c r="C136" s="74" t="s">
        <v>134</v>
      </c>
      <c r="D136" s="102"/>
      <c r="E136" s="73" t="s">
        <v>549</v>
      </c>
      <c r="F136" s="73" t="s">
        <v>417</v>
      </c>
      <c r="G136" s="73" t="s">
        <v>102</v>
      </c>
      <c r="H136" s="73" t="s">
        <v>102</v>
      </c>
      <c r="I136" s="73"/>
      <c r="J136" s="73"/>
      <c r="K136" s="73" t="s">
        <v>347</v>
      </c>
      <c r="L136" s="73" t="s">
        <v>102</v>
      </c>
      <c r="M136" s="73" t="s">
        <v>102</v>
      </c>
      <c r="N136" s="73" t="s">
        <v>102</v>
      </c>
      <c r="O136" s="73"/>
      <c r="P136" s="73"/>
      <c r="Q136" s="73"/>
      <c r="R136" s="73"/>
      <c r="T136">
        <v>134</v>
      </c>
    </row>
    <row r="137" spans="1:34" hidden="1">
      <c r="A137" t="s">
        <v>46</v>
      </c>
      <c r="B137" t="s">
        <v>47</v>
      </c>
      <c r="C137" s="4" t="s">
        <v>48</v>
      </c>
      <c r="D137" s="102" t="s">
        <v>329</v>
      </c>
      <c r="E137" t="s">
        <v>50</v>
      </c>
      <c r="F137" t="s">
        <v>51</v>
      </c>
      <c r="G137" t="s">
        <v>52</v>
      </c>
      <c r="H137" t="s">
        <v>53</v>
      </c>
      <c r="I137" t="s">
        <v>54</v>
      </c>
      <c r="K137" t="s">
        <v>55</v>
      </c>
      <c r="L137" t="s">
        <v>56</v>
      </c>
      <c r="M137" t="s">
        <v>57</v>
      </c>
      <c r="N137" t="s">
        <v>58</v>
      </c>
      <c r="O137" t="s">
        <v>59</v>
      </c>
      <c r="P137" t="s">
        <v>60</v>
      </c>
      <c r="T137">
        <v>135</v>
      </c>
      <c r="Y137" s="113">
        <v>46056</v>
      </c>
      <c r="Z137" s="113">
        <v>46080</v>
      </c>
      <c r="AA137" s="113">
        <v>46083</v>
      </c>
      <c r="AB137" s="113">
        <v>46108</v>
      </c>
      <c r="AC137" s="113">
        <v>46107</v>
      </c>
      <c r="AD137" s="113">
        <v>46108</v>
      </c>
      <c r="AE137" s="113">
        <v>46111</v>
      </c>
      <c r="AF137" s="113">
        <v>46136</v>
      </c>
      <c r="AG137" s="113">
        <v>46139</v>
      </c>
      <c r="AH137" s="113">
        <v>46164</v>
      </c>
    </row>
    <row r="138" spans="1:34" hidden="1">
      <c r="A138" s="73" t="s">
        <v>80</v>
      </c>
      <c r="B138" s="73" t="s">
        <v>68</v>
      </c>
      <c r="C138" s="74" t="s">
        <v>48</v>
      </c>
      <c r="D138" s="102"/>
      <c r="E138" s="73" t="s">
        <v>550</v>
      </c>
      <c r="F138" s="73" t="s">
        <v>551</v>
      </c>
      <c r="G138" s="73" t="s">
        <v>102</v>
      </c>
      <c r="H138" s="73" t="s">
        <v>102</v>
      </c>
      <c r="I138" s="73"/>
      <c r="J138" s="73"/>
      <c r="K138" s="73" t="s">
        <v>347</v>
      </c>
      <c r="L138" s="73" t="s">
        <v>102</v>
      </c>
      <c r="M138" s="73" t="s">
        <v>102</v>
      </c>
      <c r="N138" s="73" t="s">
        <v>102</v>
      </c>
      <c r="O138" s="73"/>
      <c r="P138" s="73"/>
      <c r="Q138" s="73"/>
      <c r="R138" s="73"/>
      <c r="T138">
        <v>136</v>
      </c>
    </row>
    <row r="139" spans="1:34" hidden="1">
      <c r="A139" t="s">
        <v>236</v>
      </c>
      <c r="B139" s="4" t="s">
        <v>93</v>
      </c>
      <c r="C139" s="4" t="s">
        <v>94</v>
      </c>
      <c r="D139" s="102" t="s">
        <v>327</v>
      </c>
      <c r="E139" t="s">
        <v>237</v>
      </c>
      <c r="F139" t="s">
        <v>238</v>
      </c>
      <c r="G139" t="s">
        <v>2</v>
      </c>
      <c r="H139" t="s">
        <v>97</v>
      </c>
      <c r="I139" t="s">
        <v>72</v>
      </c>
      <c r="J139" t="s">
        <v>239</v>
      </c>
      <c r="K139" t="s">
        <v>198</v>
      </c>
      <c r="L139" t="s">
        <v>73</v>
      </c>
      <c r="M139" t="s">
        <v>98</v>
      </c>
      <c r="N139" t="s">
        <v>99</v>
      </c>
      <c r="O139" t="s">
        <v>240</v>
      </c>
      <c r="P139" t="s">
        <v>241</v>
      </c>
      <c r="T139">
        <v>137</v>
      </c>
      <c r="W139" s="113">
        <v>46056</v>
      </c>
      <c r="X139" s="113">
        <v>46087</v>
      </c>
      <c r="Y139" s="113">
        <v>46083</v>
      </c>
      <c r="Z139" s="113">
        <v>46122</v>
      </c>
      <c r="AA139" s="113">
        <v>46111</v>
      </c>
      <c r="AB139" s="113">
        <v>46136</v>
      </c>
      <c r="AC139" s="113">
        <v>46118</v>
      </c>
      <c r="AD139" s="113">
        <v>46136</v>
      </c>
      <c r="AE139" s="113">
        <v>46125</v>
      </c>
      <c r="AF139" s="113">
        <v>46150</v>
      </c>
      <c r="AG139" s="113">
        <v>46139</v>
      </c>
      <c r="AH139" s="113">
        <v>46171</v>
      </c>
    </row>
    <row r="140" spans="1:34" hidden="1">
      <c r="A140" s="73" t="s">
        <v>236</v>
      </c>
      <c r="B140" s="74" t="s">
        <v>93</v>
      </c>
      <c r="C140" s="74" t="s">
        <v>94</v>
      </c>
      <c r="D140" s="102" t="s">
        <v>317</v>
      </c>
      <c r="E140" s="73" t="s">
        <v>552</v>
      </c>
      <c r="F140" s="73" t="s">
        <v>553</v>
      </c>
      <c r="G140" s="73" t="s">
        <v>2</v>
      </c>
      <c r="H140" s="73" t="s">
        <v>97</v>
      </c>
      <c r="I140" s="73" t="s">
        <v>72</v>
      </c>
      <c r="J140" s="73" t="s">
        <v>239</v>
      </c>
      <c r="K140" s="73" t="s">
        <v>347</v>
      </c>
      <c r="L140" s="73" t="s">
        <v>102</v>
      </c>
      <c r="M140" s="73" t="s">
        <v>102</v>
      </c>
      <c r="N140" s="73" t="s">
        <v>102</v>
      </c>
      <c r="O140" s="73" t="s">
        <v>554</v>
      </c>
      <c r="P140" s="73" t="s">
        <v>241</v>
      </c>
      <c r="Q140" s="73" t="s">
        <v>462</v>
      </c>
      <c r="R140" s="73" t="s">
        <v>555</v>
      </c>
      <c r="S140" s="103"/>
      <c r="T140">
        <v>138</v>
      </c>
    </row>
    <row r="141" spans="1:34" hidden="1">
      <c r="A141" t="s">
        <v>217</v>
      </c>
      <c r="B141" t="s">
        <v>16</v>
      </c>
      <c r="C141" s="4" t="s">
        <v>123</v>
      </c>
      <c r="D141" s="102" t="s">
        <v>556</v>
      </c>
      <c r="E141" t="s">
        <v>25</v>
      </c>
      <c r="F141" t="s">
        <v>360</v>
      </c>
      <c r="G141" t="s">
        <v>52</v>
      </c>
      <c r="H141" t="s">
        <v>219</v>
      </c>
      <c r="I141" t="s">
        <v>83</v>
      </c>
      <c r="K141" t="s">
        <v>342</v>
      </c>
      <c r="M141" t="s">
        <v>57</v>
      </c>
      <c r="N141" t="s">
        <v>16</v>
      </c>
      <c r="T141">
        <v>139</v>
      </c>
      <c r="AA141" s="113">
        <v>46056</v>
      </c>
      <c r="AB141" s="113">
        <v>46066</v>
      </c>
      <c r="AC141" s="113">
        <v>46065</v>
      </c>
      <c r="AD141" s="113">
        <v>46066</v>
      </c>
      <c r="AE141" s="113">
        <v>46069</v>
      </c>
      <c r="AF141" s="113">
        <v>46087</v>
      </c>
      <c r="AG141" s="113">
        <v>46090</v>
      </c>
      <c r="AH141" s="113">
        <v>46139</v>
      </c>
    </row>
    <row r="142" spans="1:34" hidden="1">
      <c r="A142" s="73" t="s">
        <v>67</v>
      </c>
      <c r="B142" s="74" t="s">
        <v>133</v>
      </c>
      <c r="C142" s="74" t="s">
        <v>134</v>
      </c>
      <c r="D142" s="102"/>
      <c r="E142" s="73" t="s">
        <v>557</v>
      </c>
      <c r="F142" s="73" t="s">
        <v>417</v>
      </c>
      <c r="G142" s="73" t="s">
        <v>102</v>
      </c>
      <c r="H142" s="73" t="s">
        <v>102</v>
      </c>
      <c r="I142" s="73"/>
      <c r="J142" s="73"/>
      <c r="K142" s="73" t="s">
        <v>347</v>
      </c>
      <c r="L142" s="73" t="s">
        <v>102</v>
      </c>
      <c r="M142" s="73" t="s">
        <v>102</v>
      </c>
      <c r="N142" s="73" t="s">
        <v>102</v>
      </c>
      <c r="O142" s="73"/>
      <c r="P142" s="73"/>
      <c r="Q142" s="73"/>
      <c r="R142" s="73"/>
      <c r="T142">
        <v>140</v>
      </c>
    </row>
    <row r="143" spans="1:34" hidden="1">
      <c r="A143" t="s">
        <v>4</v>
      </c>
      <c r="B143" t="s">
        <v>4</v>
      </c>
      <c r="C143" s="4" t="s">
        <v>225</v>
      </c>
      <c r="D143" s="102" t="s">
        <v>470</v>
      </c>
      <c r="E143" t="s">
        <v>558</v>
      </c>
      <c r="F143" t="s">
        <v>559</v>
      </c>
      <c r="G143" t="s">
        <v>71</v>
      </c>
      <c r="H143" t="s">
        <v>473</v>
      </c>
      <c r="K143" t="s">
        <v>340</v>
      </c>
      <c r="L143" t="s">
        <v>474</v>
      </c>
      <c r="M143" t="s">
        <v>74</v>
      </c>
      <c r="N143" t="s">
        <v>338</v>
      </c>
      <c r="T143">
        <v>141</v>
      </c>
      <c r="AE143" s="113">
        <v>46083</v>
      </c>
      <c r="AF143" s="113">
        <v>46101</v>
      </c>
      <c r="AG143" s="113">
        <v>46104</v>
      </c>
      <c r="AH143" s="113">
        <v>46122</v>
      </c>
    </row>
    <row r="144" spans="1:34">
      <c r="A144" t="s">
        <v>4</v>
      </c>
      <c r="B144" t="s">
        <v>4</v>
      </c>
      <c r="C144" s="4" t="s">
        <v>225</v>
      </c>
      <c r="D144" s="102" t="s">
        <v>493</v>
      </c>
      <c r="E144" s="106" t="s">
        <v>560</v>
      </c>
      <c r="F144" t="s">
        <v>561</v>
      </c>
      <c r="G144" t="s">
        <v>71</v>
      </c>
      <c r="H144" t="s">
        <v>473</v>
      </c>
      <c r="K144" t="s">
        <v>341</v>
      </c>
      <c r="L144" t="s">
        <v>474</v>
      </c>
      <c r="M144" t="s">
        <v>57</v>
      </c>
      <c r="N144" t="s">
        <v>4</v>
      </c>
      <c r="T144">
        <v>142</v>
      </c>
      <c r="U144" s="113">
        <v>46056</v>
      </c>
      <c r="V144" s="113">
        <v>46059</v>
      </c>
      <c r="W144" s="113">
        <v>46062</v>
      </c>
      <c r="X144" s="113">
        <v>46080</v>
      </c>
      <c r="Y144" s="113">
        <v>46083</v>
      </c>
      <c r="Z144" s="113">
        <v>46101</v>
      </c>
      <c r="AA144" s="113">
        <v>46104</v>
      </c>
      <c r="AB144" s="113">
        <v>46122</v>
      </c>
      <c r="AC144" s="113">
        <v>46121</v>
      </c>
      <c r="AD144" s="113">
        <v>46122</v>
      </c>
      <c r="AE144" s="113">
        <v>46125</v>
      </c>
      <c r="AF144" s="113">
        <v>46143</v>
      </c>
      <c r="AG144" s="113">
        <v>46146</v>
      </c>
      <c r="AH144" s="113">
        <v>46164</v>
      </c>
    </row>
    <row r="145" spans="1:34" hidden="1">
      <c r="A145" s="19" t="s">
        <v>4</v>
      </c>
      <c r="B145" s="19" t="s">
        <v>4</v>
      </c>
      <c r="C145" s="78" t="s">
        <v>225</v>
      </c>
      <c r="D145" s="102" t="s">
        <v>327</v>
      </c>
      <c r="E145" s="19" t="s">
        <v>232</v>
      </c>
      <c r="F145" s="19" t="s">
        <v>233</v>
      </c>
      <c r="G145" s="19" t="s">
        <v>71</v>
      </c>
      <c r="H145" s="19" t="s">
        <v>228</v>
      </c>
      <c r="I145" s="19"/>
      <c r="J145" s="19" t="s">
        <v>229</v>
      </c>
      <c r="K145" s="19" t="s">
        <v>198</v>
      </c>
      <c r="L145" s="19" t="s">
        <v>56</v>
      </c>
      <c r="M145" s="19" t="s">
        <v>57</v>
      </c>
      <c r="N145" s="19" t="s">
        <v>4</v>
      </c>
      <c r="O145" s="19" t="s">
        <v>234</v>
      </c>
      <c r="P145" s="19" t="s">
        <v>235</v>
      </c>
      <c r="T145">
        <v>143</v>
      </c>
      <c r="AE145" s="113">
        <v>46111</v>
      </c>
      <c r="AF145" s="113">
        <v>46136</v>
      </c>
      <c r="AG145" s="113">
        <v>46139</v>
      </c>
      <c r="AH145" s="113">
        <v>46157</v>
      </c>
    </row>
    <row r="146" spans="1:34" hidden="1">
      <c r="A146" s="19" t="s">
        <v>4</v>
      </c>
      <c r="B146" s="19" t="s">
        <v>4</v>
      </c>
      <c r="C146" s="78" t="s">
        <v>225</v>
      </c>
      <c r="D146" s="102" t="s">
        <v>327</v>
      </c>
      <c r="E146" s="19" t="s">
        <v>226</v>
      </c>
      <c r="F146" s="19" t="s">
        <v>227</v>
      </c>
      <c r="G146" s="19" t="s">
        <v>71</v>
      </c>
      <c r="H146" s="19" t="s">
        <v>228</v>
      </c>
      <c r="I146" s="19"/>
      <c r="J146" s="19" t="s">
        <v>229</v>
      </c>
      <c r="K146" s="19" t="s">
        <v>198</v>
      </c>
      <c r="L146" s="19" t="s">
        <v>56</v>
      </c>
      <c r="M146" s="19" t="s">
        <v>57</v>
      </c>
      <c r="N146" s="19" t="s">
        <v>4</v>
      </c>
      <c r="O146" s="19" t="s">
        <v>230</v>
      </c>
      <c r="P146" s="19" t="s">
        <v>231</v>
      </c>
      <c r="T146">
        <v>144</v>
      </c>
      <c r="AE146" s="113">
        <v>46111</v>
      </c>
      <c r="AF146" s="113">
        <v>46136</v>
      </c>
      <c r="AG146" s="113">
        <v>46139</v>
      </c>
      <c r="AH146" s="113">
        <v>46157</v>
      </c>
    </row>
    <row r="147" spans="1:34" hidden="1">
      <c r="A147" t="s">
        <v>92</v>
      </c>
      <c r="B147" s="4" t="s">
        <v>93</v>
      </c>
      <c r="C147" s="4" t="s">
        <v>94</v>
      </c>
      <c r="D147" s="102" t="s">
        <v>327</v>
      </c>
      <c r="E147" t="s">
        <v>224</v>
      </c>
      <c r="F147" t="s">
        <v>197</v>
      </c>
      <c r="G147" t="s">
        <v>2</v>
      </c>
      <c r="H147" t="s">
        <v>97</v>
      </c>
      <c r="I147" t="s">
        <v>72</v>
      </c>
      <c r="K147" t="s">
        <v>198</v>
      </c>
      <c r="L147" t="s">
        <v>73</v>
      </c>
      <c r="M147" t="s">
        <v>98</v>
      </c>
      <c r="N147" t="s">
        <v>99</v>
      </c>
      <c r="O147" t="s">
        <v>199</v>
      </c>
      <c r="P147" t="s">
        <v>200</v>
      </c>
      <c r="T147">
        <v>145</v>
      </c>
      <c r="W147" s="113">
        <v>46056</v>
      </c>
      <c r="X147" s="113">
        <v>46087</v>
      </c>
      <c r="Y147" s="113">
        <v>46083</v>
      </c>
      <c r="Z147" s="113">
        <v>46122</v>
      </c>
      <c r="AA147" s="113">
        <v>46111</v>
      </c>
      <c r="AB147" s="113">
        <v>46136</v>
      </c>
      <c r="AC147" s="113">
        <v>46118</v>
      </c>
      <c r="AD147" s="113">
        <v>46136</v>
      </c>
      <c r="AE147" s="113">
        <v>46125</v>
      </c>
      <c r="AF147" s="113">
        <v>46150</v>
      </c>
      <c r="AG147" s="113">
        <v>46139</v>
      </c>
      <c r="AH147" s="113">
        <v>46171</v>
      </c>
    </row>
    <row r="148" spans="1:34" hidden="1">
      <c r="A148" t="s">
        <v>217</v>
      </c>
      <c r="B148" t="s">
        <v>16</v>
      </c>
      <c r="C148" s="4" t="s">
        <v>123</v>
      </c>
      <c r="D148" s="102" t="s">
        <v>435</v>
      </c>
      <c r="E148" t="s">
        <v>562</v>
      </c>
      <c r="F148" t="s">
        <v>563</v>
      </c>
      <c r="G148" t="s">
        <v>52</v>
      </c>
      <c r="H148" t="s">
        <v>219</v>
      </c>
      <c r="I148" t="s">
        <v>83</v>
      </c>
      <c r="J148" t="s">
        <v>547</v>
      </c>
      <c r="K148" t="s">
        <v>339</v>
      </c>
      <c r="M148" t="s">
        <v>57</v>
      </c>
      <c r="N148" t="s">
        <v>16</v>
      </c>
      <c r="T148">
        <v>146</v>
      </c>
      <c r="AE148" s="113">
        <v>46076</v>
      </c>
      <c r="AF148" s="113">
        <v>46101</v>
      </c>
      <c r="AG148" s="113">
        <v>46104</v>
      </c>
      <c r="AH148" s="113">
        <v>46129</v>
      </c>
    </row>
    <row r="149" spans="1:34" hidden="1">
      <c r="A149" t="s">
        <v>67</v>
      </c>
      <c r="B149" s="4" t="s">
        <v>133</v>
      </c>
      <c r="C149" s="4" t="s">
        <v>134</v>
      </c>
      <c r="D149" s="102" t="s">
        <v>435</v>
      </c>
      <c r="E149" t="s">
        <v>564</v>
      </c>
      <c r="F149" t="s">
        <v>417</v>
      </c>
      <c r="G149" t="s">
        <v>52</v>
      </c>
      <c r="H149" t="s">
        <v>437</v>
      </c>
      <c r="I149" t="s">
        <v>54</v>
      </c>
      <c r="K149" t="s">
        <v>339</v>
      </c>
      <c r="M149" t="s">
        <v>57</v>
      </c>
      <c r="N149" t="s">
        <v>133</v>
      </c>
      <c r="T149">
        <v>147</v>
      </c>
      <c r="AE149" s="113">
        <v>46076</v>
      </c>
      <c r="AF149" s="113">
        <v>46101</v>
      </c>
      <c r="AG149" s="113">
        <v>46104</v>
      </c>
      <c r="AH149" s="113">
        <v>46129</v>
      </c>
    </row>
    <row r="150" spans="1:34" hidden="1">
      <c r="A150" t="s">
        <v>4</v>
      </c>
      <c r="B150" t="s">
        <v>4</v>
      </c>
      <c r="C150" s="4" t="s">
        <v>225</v>
      </c>
      <c r="D150" s="102" t="s">
        <v>470</v>
      </c>
      <c r="E150" t="s">
        <v>565</v>
      </c>
      <c r="F150" t="s">
        <v>508</v>
      </c>
      <c r="G150" t="s">
        <v>71</v>
      </c>
      <c r="H150" t="s">
        <v>473</v>
      </c>
      <c r="K150" t="s">
        <v>340</v>
      </c>
      <c r="L150" t="s">
        <v>474</v>
      </c>
      <c r="M150" t="s">
        <v>74</v>
      </c>
      <c r="N150" t="s">
        <v>338</v>
      </c>
      <c r="T150">
        <v>148</v>
      </c>
      <c r="AE150" s="113">
        <v>46083</v>
      </c>
      <c r="AF150" s="113">
        <v>46101</v>
      </c>
      <c r="AG150" s="113">
        <v>46104</v>
      </c>
      <c r="AH150" s="113">
        <v>46122</v>
      </c>
    </row>
    <row r="151" spans="1:34" hidden="1">
      <c r="A151" t="s">
        <v>46</v>
      </c>
      <c r="B151" s="3" t="s">
        <v>4</v>
      </c>
      <c r="C151" s="4" t="s">
        <v>225</v>
      </c>
      <c r="D151" s="102" t="s">
        <v>435</v>
      </c>
      <c r="E151" t="s">
        <v>566</v>
      </c>
      <c r="F151" t="s">
        <v>66</v>
      </c>
      <c r="G151" t="s">
        <v>52</v>
      </c>
      <c r="H151" t="s">
        <v>112</v>
      </c>
      <c r="I151" t="s">
        <v>54</v>
      </c>
      <c r="J151" t="s">
        <v>532</v>
      </c>
      <c r="K151" t="s">
        <v>339</v>
      </c>
      <c r="M151" t="s">
        <v>57</v>
      </c>
      <c r="N151" t="s">
        <v>4</v>
      </c>
      <c r="O151" t="s">
        <v>567</v>
      </c>
      <c r="P151" t="s">
        <v>533</v>
      </c>
      <c r="T151">
        <v>149</v>
      </c>
      <c r="AE151" s="113">
        <v>46076</v>
      </c>
      <c r="AF151" s="113">
        <v>46101</v>
      </c>
      <c r="AG151" s="113">
        <v>46104</v>
      </c>
      <c r="AH151" s="113">
        <v>46129</v>
      </c>
    </row>
    <row r="152" spans="1:34" hidden="1">
      <c r="A152" t="s">
        <v>46</v>
      </c>
      <c r="B152" s="3" t="s">
        <v>4</v>
      </c>
      <c r="C152" s="4" t="s">
        <v>225</v>
      </c>
      <c r="D152" s="102" t="s">
        <v>435</v>
      </c>
      <c r="E152" t="s">
        <v>568</v>
      </c>
      <c r="F152" t="s">
        <v>66</v>
      </c>
      <c r="G152" t="s">
        <v>52</v>
      </c>
      <c r="H152" t="s">
        <v>112</v>
      </c>
      <c r="I152" t="s">
        <v>54</v>
      </c>
      <c r="J152" t="s">
        <v>532</v>
      </c>
      <c r="K152" t="s">
        <v>339</v>
      </c>
      <c r="M152" t="s">
        <v>57</v>
      </c>
      <c r="N152" t="s">
        <v>4</v>
      </c>
      <c r="O152" t="s">
        <v>567</v>
      </c>
      <c r="P152" t="s">
        <v>533</v>
      </c>
      <c r="T152">
        <v>150</v>
      </c>
      <c r="AE152" s="113">
        <v>46076</v>
      </c>
      <c r="AF152" s="113">
        <v>46101</v>
      </c>
      <c r="AG152" s="113">
        <v>46104</v>
      </c>
      <c r="AH152" s="113">
        <v>46129</v>
      </c>
    </row>
    <row r="153" spans="1:34" hidden="1">
      <c r="A153" s="73" t="s">
        <v>46</v>
      </c>
      <c r="B153" s="76" t="s">
        <v>61</v>
      </c>
      <c r="C153" s="74" t="s">
        <v>48</v>
      </c>
      <c r="D153" s="102"/>
      <c r="E153" s="73" t="s">
        <v>569</v>
      </c>
      <c r="F153" s="73" t="s">
        <v>66</v>
      </c>
      <c r="G153" s="73" t="s">
        <v>102</v>
      </c>
      <c r="H153" s="73" t="s">
        <v>102</v>
      </c>
      <c r="I153" s="73"/>
      <c r="J153" s="73"/>
      <c r="K153" s="73" t="s">
        <v>347</v>
      </c>
      <c r="L153" s="73" t="s">
        <v>102</v>
      </c>
      <c r="M153" s="73" t="s">
        <v>102</v>
      </c>
      <c r="N153" s="73" t="s">
        <v>102</v>
      </c>
      <c r="O153" s="73"/>
      <c r="P153" s="73"/>
      <c r="Q153" s="73"/>
      <c r="R153" s="73"/>
      <c r="T153">
        <v>151</v>
      </c>
    </row>
    <row r="154" spans="1:34" hidden="1">
      <c r="A154" t="s">
        <v>46</v>
      </c>
      <c r="B154" s="3" t="s">
        <v>4</v>
      </c>
      <c r="C154" s="4" t="s">
        <v>225</v>
      </c>
      <c r="D154" s="102" t="s">
        <v>435</v>
      </c>
      <c r="E154" t="s">
        <v>570</v>
      </c>
      <c r="F154" t="s">
        <v>66</v>
      </c>
      <c r="G154" t="s">
        <v>52</v>
      </c>
      <c r="H154" t="s">
        <v>571</v>
      </c>
      <c r="I154" t="s">
        <v>54</v>
      </c>
      <c r="J154" t="s">
        <v>532</v>
      </c>
      <c r="K154" t="s">
        <v>339</v>
      </c>
      <c r="M154" t="s">
        <v>57</v>
      </c>
      <c r="N154" t="s">
        <v>4</v>
      </c>
      <c r="O154" t="s">
        <v>567</v>
      </c>
      <c r="P154" t="s">
        <v>533</v>
      </c>
      <c r="T154">
        <v>152</v>
      </c>
      <c r="AE154" s="113">
        <v>46076</v>
      </c>
      <c r="AF154" s="113">
        <v>46101</v>
      </c>
      <c r="AG154" s="113">
        <v>46104</v>
      </c>
      <c r="AH154" s="113">
        <v>46129</v>
      </c>
    </row>
    <row r="155" spans="1:34" hidden="1">
      <c r="A155" s="73" t="s">
        <v>46</v>
      </c>
      <c r="B155" s="76" t="s">
        <v>61</v>
      </c>
      <c r="C155" s="74" t="s">
        <v>48</v>
      </c>
      <c r="D155" s="102"/>
      <c r="E155" s="73" t="s">
        <v>572</v>
      </c>
      <c r="F155" s="73" t="s">
        <v>66</v>
      </c>
      <c r="G155" s="73" t="s">
        <v>102</v>
      </c>
      <c r="H155" s="73" t="s">
        <v>102</v>
      </c>
      <c r="I155" s="73"/>
      <c r="J155" s="73"/>
      <c r="K155" s="73" t="s">
        <v>347</v>
      </c>
      <c r="L155" s="73" t="s">
        <v>102</v>
      </c>
      <c r="M155" s="73" t="s">
        <v>102</v>
      </c>
      <c r="N155" s="73" t="s">
        <v>102</v>
      </c>
      <c r="O155" s="73"/>
      <c r="P155" s="73"/>
      <c r="Q155" s="73"/>
      <c r="R155" s="73"/>
      <c r="T155">
        <v>153</v>
      </c>
    </row>
    <row r="156" spans="1:34" hidden="1">
      <c r="A156" t="s">
        <v>4</v>
      </c>
      <c r="B156" t="s">
        <v>4</v>
      </c>
      <c r="C156" s="4" t="s">
        <v>225</v>
      </c>
      <c r="D156" s="102" t="s">
        <v>435</v>
      </c>
      <c r="E156" t="s">
        <v>573</v>
      </c>
      <c r="F156" t="s">
        <v>574</v>
      </c>
      <c r="G156" t="s">
        <v>52</v>
      </c>
      <c r="H156" t="s">
        <v>219</v>
      </c>
      <c r="I156" t="s">
        <v>83</v>
      </c>
      <c r="J156" t="s">
        <v>532</v>
      </c>
      <c r="K156" t="s">
        <v>339</v>
      </c>
      <c r="M156" t="s">
        <v>57</v>
      </c>
      <c r="N156" t="s">
        <v>4</v>
      </c>
      <c r="O156" t="s">
        <v>230</v>
      </c>
      <c r="P156" t="s">
        <v>533</v>
      </c>
      <c r="T156">
        <v>154</v>
      </c>
      <c r="AE156" s="113">
        <v>46076</v>
      </c>
      <c r="AF156" s="113">
        <v>46101</v>
      </c>
      <c r="AG156" s="113">
        <v>46104</v>
      </c>
      <c r="AH156" s="113">
        <v>46129</v>
      </c>
    </row>
    <row r="157" spans="1:34" hidden="1">
      <c r="A157" t="s">
        <v>217</v>
      </c>
      <c r="B157" t="s">
        <v>16</v>
      </c>
      <c r="C157" s="4" t="s">
        <v>123</v>
      </c>
      <c r="D157" s="102" t="s">
        <v>327</v>
      </c>
      <c r="E157" t="s">
        <v>24</v>
      </c>
      <c r="F157" t="s">
        <v>218</v>
      </c>
      <c r="G157" t="s">
        <v>52</v>
      </c>
      <c r="H157" t="s">
        <v>219</v>
      </c>
      <c r="I157" t="s">
        <v>83</v>
      </c>
      <c r="J157" t="s">
        <v>220</v>
      </c>
      <c r="K157" t="s">
        <v>198</v>
      </c>
      <c r="M157" t="s">
        <v>57</v>
      </c>
      <c r="N157" t="s">
        <v>16</v>
      </c>
      <c r="T157">
        <v>155</v>
      </c>
      <c r="W157" s="113">
        <v>46062</v>
      </c>
      <c r="X157" s="113">
        <v>46080</v>
      </c>
      <c r="Y157" s="113">
        <v>46083</v>
      </c>
      <c r="Z157" s="113">
        <v>46101</v>
      </c>
      <c r="AA157" s="113">
        <v>46104</v>
      </c>
      <c r="AB157" s="113">
        <v>46115</v>
      </c>
      <c r="AC157" s="113">
        <v>46114</v>
      </c>
      <c r="AD157" s="113">
        <v>46115</v>
      </c>
      <c r="AE157" s="113">
        <v>46118</v>
      </c>
      <c r="AF157" s="113">
        <v>46136</v>
      </c>
      <c r="AG157" s="113">
        <v>46139</v>
      </c>
      <c r="AH157" s="113">
        <v>46157</v>
      </c>
    </row>
    <row r="158" spans="1:34" hidden="1">
      <c r="A158" t="s">
        <v>217</v>
      </c>
      <c r="B158" t="s">
        <v>16</v>
      </c>
      <c r="C158" s="4" t="s">
        <v>123</v>
      </c>
      <c r="D158" s="102" t="s">
        <v>327</v>
      </c>
      <c r="E158" t="s">
        <v>21</v>
      </c>
      <c r="F158" t="s">
        <v>218</v>
      </c>
      <c r="G158" t="s">
        <v>52</v>
      </c>
      <c r="H158" t="s">
        <v>219</v>
      </c>
      <c r="I158" t="s">
        <v>83</v>
      </c>
      <c r="J158" t="s">
        <v>220</v>
      </c>
      <c r="K158" t="s">
        <v>198</v>
      </c>
      <c r="M158" t="s">
        <v>57</v>
      </c>
      <c r="N158" t="s">
        <v>16</v>
      </c>
      <c r="T158">
        <v>156</v>
      </c>
      <c r="W158" s="113">
        <v>46062</v>
      </c>
      <c r="X158" s="113">
        <v>46080</v>
      </c>
      <c r="Y158" s="113">
        <v>46083</v>
      </c>
      <c r="Z158" s="113">
        <v>46101</v>
      </c>
      <c r="AA158" s="113">
        <v>46104</v>
      </c>
      <c r="AB158" s="113">
        <v>46115</v>
      </c>
      <c r="AC158" s="113">
        <v>46114</v>
      </c>
      <c r="AD158" s="113">
        <v>46115</v>
      </c>
      <c r="AE158" s="113">
        <v>46118</v>
      </c>
      <c r="AF158" s="113">
        <v>46136</v>
      </c>
      <c r="AG158" s="113">
        <v>46139</v>
      </c>
      <c r="AH158" s="113">
        <v>46157</v>
      </c>
    </row>
    <row r="159" spans="1:34" hidden="1">
      <c r="A159" s="73" t="s">
        <v>46</v>
      </c>
      <c r="B159" s="76" t="s">
        <v>61</v>
      </c>
      <c r="C159" s="74" t="s">
        <v>48</v>
      </c>
      <c r="D159" s="102"/>
      <c r="E159" s="73" t="s">
        <v>575</v>
      </c>
      <c r="F159" s="73" t="s">
        <v>63</v>
      </c>
      <c r="G159" s="73" t="s">
        <v>102</v>
      </c>
      <c r="H159" s="73" t="s">
        <v>102</v>
      </c>
      <c r="I159" s="73"/>
      <c r="J159" s="73"/>
      <c r="K159" s="73" t="s">
        <v>347</v>
      </c>
      <c r="L159" s="73" t="s">
        <v>102</v>
      </c>
      <c r="M159" s="73" t="s">
        <v>102</v>
      </c>
      <c r="N159" s="73" t="s">
        <v>102</v>
      </c>
      <c r="O159" s="73"/>
      <c r="P159" s="73"/>
      <c r="Q159" s="73"/>
      <c r="R159" s="73"/>
      <c r="T159">
        <v>157</v>
      </c>
    </row>
    <row r="160" spans="1:34" hidden="1">
      <c r="A160" s="73" t="s">
        <v>46</v>
      </c>
      <c r="B160" s="76" t="s">
        <v>61</v>
      </c>
      <c r="C160" s="74" t="s">
        <v>48</v>
      </c>
      <c r="D160" s="102"/>
      <c r="E160" s="73" t="s">
        <v>576</v>
      </c>
      <c r="F160" s="73" t="s">
        <v>63</v>
      </c>
      <c r="G160" s="73" t="s">
        <v>102</v>
      </c>
      <c r="H160" s="73" t="s">
        <v>102</v>
      </c>
      <c r="I160" s="73"/>
      <c r="J160" s="73"/>
      <c r="K160" s="73" t="s">
        <v>347</v>
      </c>
      <c r="L160" s="73" t="s">
        <v>102</v>
      </c>
      <c r="M160" s="73" t="s">
        <v>102</v>
      </c>
      <c r="N160" s="73" t="s">
        <v>102</v>
      </c>
      <c r="O160" s="73"/>
      <c r="P160" s="73"/>
      <c r="Q160" s="73"/>
      <c r="R160" s="73"/>
      <c r="T160">
        <v>158</v>
      </c>
    </row>
    <row r="161" spans="1:34" hidden="1">
      <c r="A161" t="s">
        <v>357</v>
      </c>
      <c r="B161" s="4" t="s">
        <v>133</v>
      </c>
      <c r="C161" s="4" t="s">
        <v>134</v>
      </c>
      <c r="D161" s="102" t="s">
        <v>435</v>
      </c>
      <c r="E161" t="s">
        <v>577</v>
      </c>
      <c r="F161" t="s">
        <v>578</v>
      </c>
      <c r="G161" t="s">
        <v>52</v>
      </c>
      <c r="H161" t="s">
        <v>579</v>
      </c>
      <c r="I161" t="s">
        <v>54</v>
      </c>
      <c r="K161" t="s">
        <v>339</v>
      </c>
      <c r="M161" t="s">
        <v>57</v>
      </c>
      <c r="N161" t="s">
        <v>133</v>
      </c>
      <c r="T161">
        <v>159</v>
      </c>
      <c r="AE161" s="113">
        <v>46076</v>
      </c>
      <c r="AF161" s="113">
        <v>46101</v>
      </c>
      <c r="AG161" s="113">
        <v>46104</v>
      </c>
      <c r="AH161" s="113">
        <v>46129</v>
      </c>
    </row>
    <row r="162" spans="1:34" hidden="1">
      <c r="A162" t="s">
        <v>357</v>
      </c>
      <c r="B162" s="4" t="s">
        <v>133</v>
      </c>
      <c r="C162" s="4" t="s">
        <v>134</v>
      </c>
      <c r="D162" s="102" t="s">
        <v>435</v>
      </c>
      <c r="E162" t="s">
        <v>580</v>
      </c>
      <c r="F162" t="s">
        <v>578</v>
      </c>
      <c r="G162" t="s">
        <v>52</v>
      </c>
      <c r="H162" t="s">
        <v>579</v>
      </c>
      <c r="I162" t="s">
        <v>54</v>
      </c>
      <c r="K162" t="s">
        <v>339</v>
      </c>
      <c r="M162" t="s">
        <v>57</v>
      </c>
      <c r="N162" t="s">
        <v>133</v>
      </c>
      <c r="T162">
        <v>160</v>
      </c>
      <c r="AE162" s="113">
        <v>46076</v>
      </c>
      <c r="AF162" s="113">
        <v>46101</v>
      </c>
      <c r="AG162" s="113">
        <v>46104</v>
      </c>
      <c r="AH162" s="113">
        <v>46129</v>
      </c>
    </row>
    <row r="163" spans="1:34" hidden="1">
      <c r="A163" t="s">
        <v>357</v>
      </c>
      <c r="B163" s="4" t="s">
        <v>133</v>
      </c>
      <c r="C163" s="4" t="s">
        <v>134</v>
      </c>
      <c r="D163" s="102" t="s">
        <v>435</v>
      </c>
      <c r="E163" t="s">
        <v>581</v>
      </c>
      <c r="F163" t="s">
        <v>578</v>
      </c>
      <c r="G163" t="s">
        <v>52</v>
      </c>
      <c r="H163" t="s">
        <v>579</v>
      </c>
      <c r="I163" t="s">
        <v>54</v>
      </c>
      <c r="K163" t="s">
        <v>339</v>
      </c>
      <c r="M163" t="s">
        <v>57</v>
      </c>
      <c r="N163" t="s">
        <v>133</v>
      </c>
      <c r="T163">
        <v>161</v>
      </c>
      <c r="AE163" s="113">
        <v>46076</v>
      </c>
      <c r="AF163" s="113">
        <v>46101</v>
      </c>
      <c r="AG163" s="113">
        <v>46104</v>
      </c>
      <c r="AH163" s="113">
        <v>46129</v>
      </c>
    </row>
    <row r="164" spans="1:34" hidden="1">
      <c r="A164" t="s">
        <v>357</v>
      </c>
      <c r="B164" s="4" t="s">
        <v>133</v>
      </c>
      <c r="C164" s="4" t="s">
        <v>134</v>
      </c>
      <c r="D164" s="102" t="s">
        <v>435</v>
      </c>
      <c r="E164" t="s">
        <v>582</v>
      </c>
      <c r="F164" t="s">
        <v>578</v>
      </c>
      <c r="G164" t="s">
        <v>52</v>
      </c>
      <c r="H164" t="s">
        <v>579</v>
      </c>
      <c r="I164" t="s">
        <v>54</v>
      </c>
      <c r="K164" t="s">
        <v>339</v>
      </c>
      <c r="M164" t="s">
        <v>57</v>
      </c>
      <c r="N164" t="s">
        <v>133</v>
      </c>
      <c r="T164">
        <v>162</v>
      </c>
      <c r="AE164" s="113">
        <v>46076</v>
      </c>
      <c r="AF164" s="113">
        <v>46101</v>
      </c>
      <c r="AG164" s="113">
        <v>46104</v>
      </c>
      <c r="AH164" s="113">
        <v>46129</v>
      </c>
    </row>
    <row r="165" spans="1:34" hidden="1">
      <c r="A165" t="s">
        <v>357</v>
      </c>
      <c r="B165" s="4" t="s">
        <v>133</v>
      </c>
      <c r="C165" s="4" t="s">
        <v>134</v>
      </c>
      <c r="D165" s="102" t="s">
        <v>435</v>
      </c>
      <c r="E165" t="s">
        <v>583</v>
      </c>
      <c r="F165" t="s">
        <v>578</v>
      </c>
      <c r="G165" t="s">
        <v>52</v>
      </c>
      <c r="H165" t="s">
        <v>579</v>
      </c>
      <c r="I165" t="s">
        <v>54</v>
      </c>
      <c r="K165" t="s">
        <v>339</v>
      </c>
      <c r="M165" t="s">
        <v>57</v>
      </c>
      <c r="N165" t="s">
        <v>133</v>
      </c>
      <c r="T165">
        <v>163</v>
      </c>
      <c r="AE165" s="113">
        <v>46076</v>
      </c>
      <c r="AF165" s="113">
        <v>46101</v>
      </c>
      <c r="AG165" s="113">
        <v>46104</v>
      </c>
      <c r="AH165" s="113">
        <v>46129</v>
      </c>
    </row>
    <row r="166" spans="1:34" hidden="1">
      <c r="A166" t="s">
        <v>357</v>
      </c>
      <c r="B166" s="4" t="s">
        <v>133</v>
      </c>
      <c r="C166" s="4" t="s">
        <v>134</v>
      </c>
      <c r="D166" s="102" t="s">
        <v>435</v>
      </c>
      <c r="E166" t="s">
        <v>584</v>
      </c>
      <c r="F166" t="s">
        <v>578</v>
      </c>
      <c r="G166" t="s">
        <v>52</v>
      </c>
      <c r="H166" t="s">
        <v>579</v>
      </c>
      <c r="I166" t="s">
        <v>54</v>
      </c>
      <c r="K166" t="s">
        <v>339</v>
      </c>
      <c r="M166" t="s">
        <v>57</v>
      </c>
      <c r="N166" t="s">
        <v>133</v>
      </c>
      <c r="T166">
        <v>164</v>
      </c>
      <c r="AE166" s="113">
        <v>46076</v>
      </c>
      <c r="AF166" s="113">
        <v>46101</v>
      </c>
      <c r="AG166" s="113">
        <v>46104</v>
      </c>
      <c r="AH166" s="113">
        <v>46129</v>
      </c>
    </row>
    <row r="167" spans="1:34" hidden="1">
      <c r="A167" t="s">
        <v>357</v>
      </c>
      <c r="B167" s="4" t="s">
        <v>133</v>
      </c>
      <c r="C167" s="4" t="s">
        <v>134</v>
      </c>
      <c r="D167" s="102" t="s">
        <v>435</v>
      </c>
      <c r="E167" t="s">
        <v>585</v>
      </c>
      <c r="F167" t="s">
        <v>578</v>
      </c>
      <c r="G167" t="s">
        <v>52</v>
      </c>
      <c r="H167" t="s">
        <v>579</v>
      </c>
      <c r="I167" t="s">
        <v>54</v>
      </c>
      <c r="K167" t="s">
        <v>339</v>
      </c>
      <c r="M167" t="s">
        <v>57</v>
      </c>
      <c r="N167" t="s">
        <v>133</v>
      </c>
      <c r="T167">
        <v>165</v>
      </c>
      <c r="AE167" s="113">
        <v>46076</v>
      </c>
      <c r="AF167" s="113">
        <v>46101</v>
      </c>
      <c r="AG167" s="113">
        <v>46104</v>
      </c>
      <c r="AH167" s="113">
        <v>46129</v>
      </c>
    </row>
    <row r="168" spans="1:34" hidden="1">
      <c r="A168" t="s">
        <v>357</v>
      </c>
      <c r="B168" s="4" t="s">
        <v>133</v>
      </c>
      <c r="C168" s="4" t="s">
        <v>134</v>
      </c>
      <c r="D168" s="102" t="s">
        <v>435</v>
      </c>
      <c r="E168" t="s">
        <v>586</v>
      </c>
      <c r="F168" t="s">
        <v>578</v>
      </c>
      <c r="G168" t="s">
        <v>52</v>
      </c>
      <c r="H168" t="s">
        <v>579</v>
      </c>
      <c r="I168" t="s">
        <v>54</v>
      </c>
      <c r="K168" t="s">
        <v>339</v>
      </c>
      <c r="M168" t="s">
        <v>57</v>
      </c>
      <c r="N168" t="s">
        <v>133</v>
      </c>
      <c r="T168">
        <v>166</v>
      </c>
      <c r="AE168" s="113">
        <v>46076</v>
      </c>
      <c r="AF168" s="113">
        <v>46101</v>
      </c>
      <c r="AG168" s="113">
        <v>46104</v>
      </c>
      <c r="AH168" s="113">
        <v>46129</v>
      </c>
    </row>
    <row r="169" spans="1:34" hidden="1">
      <c r="A169" t="s">
        <v>357</v>
      </c>
      <c r="B169" s="4" t="s">
        <v>133</v>
      </c>
      <c r="C169" s="4" t="s">
        <v>134</v>
      </c>
      <c r="D169" s="102" t="s">
        <v>435</v>
      </c>
      <c r="E169" t="s">
        <v>587</v>
      </c>
      <c r="F169" t="s">
        <v>578</v>
      </c>
      <c r="G169" t="s">
        <v>52</v>
      </c>
      <c r="H169" t="s">
        <v>579</v>
      </c>
      <c r="I169" t="s">
        <v>54</v>
      </c>
      <c r="K169" t="s">
        <v>339</v>
      </c>
      <c r="M169" t="s">
        <v>57</v>
      </c>
      <c r="N169" t="s">
        <v>133</v>
      </c>
      <c r="T169">
        <v>167</v>
      </c>
      <c r="AE169" s="113">
        <v>46076</v>
      </c>
      <c r="AF169" s="113">
        <v>46101</v>
      </c>
      <c r="AG169" s="113">
        <v>46104</v>
      </c>
      <c r="AH169" s="113">
        <v>46129</v>
      </c>
    </row>
    <row r="170" spans="1:34" hidden="1">
      <c r="A170" t="s">
        <v>357</v>
      </c>
      <c r="B170" s="4" t="s">
        <v>133</v>
      </c>
      <c r="C170" s="4" t="s">
        <v>134</v>
      </c>
      <c r="D170" s="102" t="s">
        <v>435</v>
      </c>
      <c r="E170" t="s">
        <v>588</v>
      </c>
      <c r="F170" t="s">
        <v>578</v>
      </c>
      <c r="G170" t="s">
        <v>52</v>
      </c>
      <c r="H170" t="s">
        <v>579</v>
      </c>
      <c r="I170" t="s">
        <v>54</v>
      </c>
      <c r="K170" t="s">
        <v>339</v>
      </c>
      <c r="M170" t="s">
        <v>57</v>
      </c>
      <c r="N170" t="s">
        <v>133</v>
      </c>
      <c r="T170">
        <v>168</v>
      </c>
      <c r="AE170" s="113">
        <v>46076</v>
      </c>
      <c r="AF170" s="113">
        <v>46101</v>
      </c>
      <c r="AG170" s="113">
        <v>46104</v>
      </c>
      <c r="AH170" s="113">
        <v>46129</v>
      </c>
    </row>
    <row r="171" spans="1:34" hidden="1">
      <c r="A171" t="s">
        <v>357</v>
      </c>
      <c r="B171" s="4" t="s">
        <v>133</v>
      </c>
      <c r="C171" s="4" t="s">
        <v>134</v>
      </c>
      <c r="D171" s="102" t="s">
        <v>435</v>
      </c>
      <c r="E171" t="s">
        <v>589</v>
      </c>
      <c r="F171" t="s">
        <v>590</v>
      </c>
      <c r="G171" t="s">
        <v>52</v>
      </c>
      <c r="H171" t="s">
        <v>579</v>
      </c>
      <c r="I171" t="s">
        <v>54</v>
      </c>
      <c r="K171" t="s">
        <v>339</v>
      </c>
      <c r="M171" t="s">
        <v>57</v>
      </c>
      <c r="N171" t="s">
        <v>133</v>
      </c>
      <c r="T171">
        <v>169</v>
      </c>
      <c r="AE171" s="113">
        <v>46076</v>
      </c>
      <c r="AF171" s="113">
        <v>46101</v>
      </c>
      <c r="AG171" s="113">
        <v>46104</v>
      </c>
      <c r="AH171" s="113">
        <v>46129</v>
      </c>
    </row>
    <row r="172" spans="1:34" hidden="1">
      <c r="A172" t="s">
        <v>357</v>
      </c>
      <c r="B172" s="4" t="s">
        <v>133</v>
      </c>
      <c r="C172" s="4" t="s">
        <v>134</v>
      </c>
      <c r="D172" s="102" t="s">
        <v>435</v>
      </c>
      <c r="E172" t="s">
        <v>591</v>
      </c>
      <c r="F172" t="s">
        <v>590</v>
      </c>
      <c r="G172" t="s">
        <v>52</v>
      </c>
      <c r="H172" t="s">
        <v>579</v>
      </c>
      <c r="I172" t="s">
        <v>54</v>
      </c>
      <c r="K172" t="s">
        <v>339</v>
      </c>
      <c r="M172" t="s">
        <v>57</v>
      </c>
      <c r="N172" t="s">
        <v>133</v>
      </c>
      <c r="T172">
        <v>170</v>
      </c>
      <c r="AE172" s="113">
        <v>46076</v>
      </c>
      <c r="AF172" s="113">
        <v>46101</v>
      </c>
      <c r="AG172" s="113">
        <v>46104</v>
      </c>
      <c r="AH172" s="113">
        <v>46129</v>
      </c>
    </row>
    <row r="173" spans="1:34" hidden="1">
      <c r="A173" t="s">
        <v>357</v>
      </c>
      <c r="B173" s="4" t="s">
        <v>133</v>
      </c>
      <c r="C173" s="4" t="s">
        <v>134</v>
      </c>
      <c r="D173" s="102" t="s">
        <v>435</v>
      </c>
      <c r="E173" t="s">
        <v>592</v>
      </c>
      <c r="F173" t="s">
        <v>590</v>
      </c>
      <c r="G173" t="s">
        <v>52</v>
      </c>
      <c r="H173" t="s">
        <v>579</v>
      </c>
      <c r="I173" t="s">
        <v>54</v>
      </c>
      <c r="K173" t="s">
        <v>339</v>
      </c>
      <c r="M173" t="s">
        <v>57</v>
      </c>
      <c r="N173" t="s">
        <v>133</v>
      </c>
      <c r="T173">
        <v>171</v>
      </c>
      <c r="AE173" s="113">
        <v>46076</v>
      </c>
      <c r="AF173" s="113">
        <v>46101</v>
      </c>
      <c r="AG173" s="113">
        <v>46104</v>
      </c>
      <c r="AH173" s="113">
        <v>46129</v>
      </c>
    </row>
    <row r="174" spans="1:34" hidden="1">
      <c r="A174" t="s">
        <v>357</v>
      </c>
      <c r="B174" s="4" t="s">
        <v>133</v>
      </c>
      <c r="C174" s="4" t="s">
        <v>134</v>
      </c>
      <c r="D174" s="102" t="s">
        <v>435</v>
      </c>
      <c r="E174" t="s">
        <v>593</v>
      </c>
      <c r="F174" t="s">
        <v>590</v>
      </c>
      <c r="G174" t="s">
        <v>52</v>
      </c>
      <c r="H174" t="s">
        <v>579</v>
      </c>
      <c r="I174" t="s">
        <v>54</v>
      </c>
      <c r="K174" t="s">
        <v>339</v>
      </c>
      <c r="M174" t="s">
        <v>57</v>
      </c>
      <c r="N174" t="s">
        <v>133</v>
      </c>
      <c r="T174">
        <v>172</v>
      </c>
      <c r="AE174" s="113">
        <v>46076</v>
      </c>
      <c r="AF174" s="113">
        <v>46101</v>
      </c>
      <c r="AG174" s="113">
        <v>46104</v>
      </c>
      <c r="AH174" s="113">
        <v>46129</v>
      </c>
    </row>
    <row r="175" spans="1:34" hidden="1">
      <c r="A175" t="s">
        <v>357</v>
      </c>
      <c r="B175" s="4" t="s">
        <v>133</v>
      </c>
      <c r="C175" s="4" t="s">
        <v>134</v>
      </c>
      <c r="D175" s="102" t="s">
        <v>435</v>
      </c>
      <c r="E175" t="s">
        <v>594</v>
      </c>
      <c r="F175" t="s">
        <v>590</v>
      </c>
      <c r="G175" t="s">
        <v>52</v>
      </c>
      <c r="H175" t="s">
        <v>579</v>
      </c>
      <c r="I175" t="s">
        <v>54</v>
      </c>
      <c r="K175" t="s">
        <v>339</v>
      </c>
      <c r="M175" t="s">
        <v>57</v>
      </c>
      <c r="N175" t="s">
        <v>133</v>
      </c>
      <c r="T175">
        <v>173</v>
      </c>
      <c r="AE175" s="113">
        <v>46076</v>
      </c>
      <c r="AF175" s="113">
        <v>46101</v>
      </c>
      <c r="AG175" s="113">
        <v>46104</v>
      </c>
      <c r="AH175" s="113">
        <v>46129</v>
      </c>
    </row>
    <row r="176" spans="1:34" hidden="1">
      <c r="A176" t="s">
        <v>357</v>
      </c>
      <c r="B176" s="4" t="s">
        <v>133</v>
      </c>
      <c r="C176" s="4" t="s">
        <v>134</v>
      </c>
      <c r="D176" s="102" t="s">
        <v>435</v>
      </c>
      <c r="E176" t="s">
        <v>595</v>
      </c>
      <c r="F176" t="s">
        <v>590</v>
      </c>
      <c r="G176" t="s">
        <v>52</v>
      </c>
      <c r="H176" t="s">
        <v>579</v>
      </c>
      <c r="I176" t="s">
        <v>54</v>
      </c>
      <c r="K176" t="s">
        <v>339</v>
      </c>
      <c r="M176" t="s">
        <v>57</v>
      </c>
      <c r="N176" t="s">
        <v>133</v>
      </c>
      <c r="T176">
        <v>174</v>
      </c>
      <c r="AE176" s="113">
        <v>46076</v>
      </c>
      <c r="AF176" s="113">
        <v>46101</v>
      </c>
      <c r="AG176" s="113">
        <v>46104</v>
      </c>
      <c r="AH176" s="113">
        <v>46129</v>
      </c>
    </row>
    <row r="177" spans="1:34" hidden="1">
      <c r="A177" t="s">
        <v>357</v>
      </c>
      <c r="B177" s="4" t="s">
        <v>133</v>
      </c>
      <c r="C177" s="4" t="s">
        <v>134</v>
      </c>
      <c r="D177" s="102" t="s">
        <v>435</v>
      </c>
      <c r="E177" t="s">
        <v>596</v>
      </c>
      <c r="F177" t="s">
        <v>590</v>
      </c>
      <c r="G177" t="s">
        <v>52</v>
      </c>
      <c r="H177" t="s">
        <v>579</v>
      </c>
      <c r="I177" t="s">
        <v>54</v>
      </c>
      <c r="K177" t="s">
        <v>339</v>
      </c>
      <c r="M177" t="s">
        <v>57</v>
      </c>
      <c r="N177" t="s">
        <v>133</v>
      </c>
      <c r="T177">
        <v>175</v>
      </c>
      <c r="AE177" s="113">
        <v>46076</v>
      </c>
      <c r="AF177" s="113">
        <v>46101</v>
      </c>
      <c r="AG177" s="113">
        <v>46104</v>
      </c>
      <c r="AH177" s="113">
        <v>46129</v>
      </c>
    </row>
    <row r="178" spans="1:34" hidden="1">
      <c r="A178" t="s">
        <v>357</v>
      </c>
      <c r="B178" s="4" t="s">
        <v>133</v>
      </c>
      <c r="C178" s="4" t="s">
        <v>134</v>
      </c>
      <c r="D178" s="102" t="s">
        <v>435</v>
      </c>
      <c r="E178" t="s">
        <v>597</v>
      </c>
      <c r="F178" t="s">
        <v>590</v>
      </c>
      <c r="G178" t="s">
        <v>52</v>
      </c>
      <c r="H178" t="s">
        <v>579</v>
      </c>
      <c r="I178" t="s">
        <v>54</v>
      </c>
      <c r="K178" t="s">
        <v>339</v>
      </c>
      <c r="M178" t="s">
        <v>57</v>
      </c>
      <c r="N178" t="s">
        <v>133</v>
      </c>
      <c r="T178">
        <v>176</v>
      </c>
      <c r="AE178" s="113">
        <v>46076</v>
      </c>
      <c r="AF178" s="113">
        <v>46101</v>
      </c>
      <c r="AG178" s="113">
        <v>46104</v>
      </c>
      <c r="AH178" s="113">
        <v>46129</v>
      </c>
    </row>
    <row r="179" spans="1:34" hidden="1">
      <c r="A179" t="s">
        <v>357</v>
      </c>
      <c r="B179" s="4" t="s">
        <v>133</v>
      </c>
      <c r="C179" s="4" t="s">
        <v>134</v>
      </c>
      <c r="D179" s="102" t="s">
        <v>435</v>
      </c>
      <c r="E179" t="s">
        <v>598</v>
      </c>
      <c r="F179" t="s">
        <v>590</v>
      </c>
      <c r="G179" t="s">
        <v>52</v>
      </c>
      <c r="H179" t="s">
        <v>579</v>
      </c>
      <c r="I179" t="s">
        <v>54</v>
      </c>
      <c r="K179" t="s">
        <v>339</v>
      </c>
      <c r="M179" t="s">
        <v>57</v>
      </c>
      <c r="N179" t="s">
        <v>133</v>
      </c>
      <c r="T179">
        <v>177</v>
      </c>
      <c r="AE179" s="113">
        <v>46076</v>
      </c>
      <c r="AF179" s="113">
        <v>46101</v>
      </c>
      <c r="AG179" s="113">
        <v>46104</v>
      </c>
      <c r="AH179" s="113">
        <v>46129</v>
      </c>
    </row>
    <row r="180" spans="1:34" hidden="1">
      <c r="A180" t="s">
        <v>357</v>
      </c>
      <c r="B180" s="4" t="s">
        <v>133</v>
      </c>
      <c r="C180" s="4" t="s">
        <v>134</v>
      </c>
      <c r="D180" s="102" t="s">
        <v>435</v>
      </c>
      <c r="E180" t="s">
        <v>599</v>
      </c>
      <c r="F180" t="s">
        <v>590</v>
      </c>
      <c r="G180" t="s">
        <v>52</v>
      </c>
      <c r="H180" t="s">
        <v>579</v>
      </c>
      <c r="I180" t="s">
        <v>54</v>
      </c>
      <c r="K180" t="s">
        <v>339</v>
      </c>
      <c r="M180" t="s">
        <v>57</v>
      </c>
      <c r="N180" t="s">
        <v>133</v>
      </c>
      <c r="T180">
        <v>178</v>
      </c>
      <c r="AE180" s="113">
        <v>46076</v>
      </c>
      <c r="AF180" s="113">
        <v>46101</v>
      </c>
      <c r="AG180" s="113">
        <v>46104</v>
      </c>
      <c r="AH180" s="113">
        <v>46129</v>
      </c>
    </row>
    <row r="181" spans="1:34" hidden="1">
      <c r="A181" t="s">
        <v>357</v>
      </c>
      <c r="B181" s="4" t="s">
        <v>133</v>
      </c>
      <c r="C181" s="4" t="s">
        <v>134</v>
      </c>
      <c r="D181" s="102" t="s">
        <v>435</v>
      </c>
      <c r="E181" t="s">
        <v>600</v>
      </c>
      <c r="F181" t="s">
        <v>601</v>
      </c>
      <c r="G181" t="s">
        <v>52</v>
      </c>
      <c r="H181" t="s">
        <v>579</v>
      </c>
      <c r="I181" t="s">
        <v>54</v>
      </c>
      <c r="K181" t="s">
        <v>339</v>
      </c>
      <c r="M181" t="s">
        <v>57</v>
      </c>
      <c r="N181" t="s">
        <v>133</v>
      </c>
      <c r="T181">
        <v>179</v>
      </c>
      <c r="AE181" s="113">
        <v>46076</v>
      </c>
      <c r="AF181" s="113">
        <v>46101</v>
      </c>
      <c r="AG181" s="113">
        <v>46104</v>
      </c>
      <c r="AH181" s="113">
        <v>46129</v>
      </c>
    </row>
    <row r="182" spans="1:34" hidden="1">
      <c r="A182" t="s">
        <v>357</v>
      </c>
      <c r="B182" s="4" t="s">
        <v>133</v>
      </c>
      <c r="C182" s="4" t="s">
        <v>134</v>
      </c>
      <c r="D182" s="102" t="s">
        <v>435</v>
      </c>
      <c r="E182" t="s">
        <v>602</v>
      </c>
      <c r="F182" t="s">
        <v>603</v>
      </c>
      <c r="G182" t="s">
        <v>52</v>
      </c>
      <c r="H182" t="s">
        <v>579</v>
      </c>
      <c r="I182" t="s">
        <v>54</v>
      </c>
      <c r="K182" t="s">
        <v>339</v>
      </c>
      <c r="M182" t="s">
        <v>57</v>
      </c>
      <c r="N182" t="s">
        <v>133</v>
      </c>
      <c r="T182">
        <v>180</v>
      </c>
      <c r="AE182" s="113">
        <v>46076</v>
      </c>
      <c r="AF182" s="113">
        <v>46101</v>
      </c>
      <c r="AG182" s="113">
        <v>46104</v>
      </c>
      <c r="AH182" s="113">
        <v>46129</v>
      </c>
    </row>
    <row r="183" spans="1:34" hidden="1">
      <c r="A183" t="s">
        <v>357</v>
      </c>
      <c r="B183" s="4" t="s">
        <v>133</v>
      </c>
      <c r="C183" s="4" t="s">
        <v>134</v>
      </c>
      <c r="D183" s="102" t="s">
        <v>435</v>
      </c>
      <c r="E183" t="s">
        <v>604</v>
      </c>
      <c r="F183" t="s">
        <v>605</v>
      </c>
      <c r="G183" t="s">
        <v>52</v>
      </c>
      <c r="H183" t="s">
        <v>579</v>
      </c>
      <c r="I183" t="s">
        <v>54</v>
      </c>
      <c r="K183" t="s">
        <v>339</v>
      </c>
      <c r="M183" t="s">
        <v>57</v>
      </c>
      <c r="N183" t="s">
        <v>133</v>
      </c>
      <c r="T183">
        <v>181</v>
      </c>
      <c r="AE183" s="113">
        <v>46076</v>
      </c>
      <c r="AF183" s="113">
        <v>46101</v>
      </c>
      <c r="AG183" s="113">
        <v>46104</v>
      </c>
      <c r="AH183" s="113">
        <v>46129</v>
      </c>
    </row>
    <row r="184" spans="1:34" hidden="1">
      <c r="A184" t="s">
        <v>357</v>
      </c>
      <c r="B184" s="4" t="s">
        <v>133</v>
      </c>
      <c r="C184" s="4" t="s">
        <v>134</v>
      </c>
      <c r="D184" s="102" t="s">
        <v>435</v>
      </c>
      <c r="E184" t="s">
        <v>606</v>
      </c>
      <c r="F184" t="s">
        <v>607</v>
      </c>
      <c r="G184" t="s">
        <v>52</v>
      </c>
      <c r="H184" t="s">
        <v>579</v>
      </c>
      <c r="I184" t="s">
        <v>54</v>
      </c>
      <c r="K184" t="s">
        <v>339</v>
      </c>
      <c r="M184" t="s">
        <v>57</v>
      </c>
      <c r="N184" t="s">
        <v>133</v>
      </c>
      <c r="T184">
        <v>182</v>
      </c>
      <c r="AE184" s="113">
        <v>46076</v>
      </c>
      <c r="AF184" s="113">
        <v>46101</v>
      </c>
      <c r="AG184" s="113">
        <v>46104</v>
      </c>
      <c r="AH184" s="113">
        <v>46129</v>
      </c>
    </row>
    <row r="185" spans="1:34" hidden="1">
      <c r="A185" t="s">
        <v>357</v>
      </c>
      <c r="B185" s="4" t="s">
        <v>133</v>
      </c>
      <c r="C185" s="4" t="s">
        <v>134</v>
      </c>
      <c r="D185" s="102" t="s">
        <v>435</v>
      </c>
      <c r="E185" t="s">
        <v>608</v>
      </c>
      <c r="F185" t="s">
        <v>607</v>
      </c>
      <c r="G185" t="s">
        <v>52</v>
      </c>
      <c r="H185" t="s">
        <v>579</v>
      </c>
      <c r="I185" t="s">
        <v>54</v>
      </c>
      <c r="K185" t="s">
        <v>339</v>
      </c>
      <c r="M185" t="s">
        <v>57</v>
      </c>
      <c r="N185" t="s">
        <v>133</v>
      </c>
      <c r="T185">
        <v>183</v>
      </c>
      <c r="AE185" s="113">
        <v>46076</v>
      </c>
      <c r="AF185" s="113">
        <v>46101</v>
      </c>
      <c r="AG185" s="113">
        <v>46104</v>
      </c>
      <c r="AH185" s="113">
        <v>46129</v>
      </c>
    </row>
    <row r="186" spans="1:34" hidden="1">
      <c r="A186" t="s">
        <v>357</v>
      </c>
      <c r="B186" s="4" t="s">
        <v>133</v>
      </c>
      <c r="C186" s="4" t="s">
        <v>134</v>
      </c>
      <c r="D186" s="102" t="s">
        <v>435</v>
      </c>
      <c r="E186" t="s">
        <v>609</v>
      </c>
      <c r="F186" t="s">
        <v>607</v>
      </c>
      <c r="G186" t="s">
        <v>52</v>
      </c>
      <c r="H186" t="s">
        <v>579</v>
      </c>
      <c r="I186" t="s">
        <v>54</v>
      </c>
      <c r="K186" t="s">
        <v>339</v>
      </c>
      <c r="M186" t="s">
        <v>57</v>
      </c>
      <c r="N186" t="s">
        <v>133</v>
      </c>
      <c r="T186">
        <v>184</v>
      </c>
      <c r="AE186" s="113">
        <v>46076</v>
      </c>
      <c r="AF186" s="113">
        <v>46101</v>
      </c>
      <c r="AG186" s="113">
        <v>46104</v>
      </c>
      <c r="AH186" s="113">
        <v>46129</v>
      </c>
    </row>
    <row r="187" spans="1:34" hidden="1">
      <c r="A187" t="s">
        <v>357</v>
      </c>
      <c r="B187" s="4" t="s">
        <v>133</v>
      </c>
      <c r="C187" s="4" t="s">
        <v>134</v>
      </c>
      <c r="D187" s="102" t="s">
        <v>435</v>
      </c>
      <c r="E187" t="s">
        <v>610</v>
      </c>
      <c r="F187" t="s">
        <v>607</v>
      </c>
      <c r="G187" t="s">
        <v>52</v>
      </c>
      <c r="H187" t="s">
        <v>579</v>
      </c>
      <c r="I187" t="s">
        <v>54</v>
      </c>
      <c r="K187" t="s">
        <v>339</v>
      </c>
      <c r="M187" t="s">
        <v>57</v>
      </c>
      <c r="N187" t="s">
        <v>133</v>
      </c>
      <c r="T187">
        <v>185</v>
      </c>
      <c r="AE187" s="113">
        <v>46076</v>
      </c>
      <c r="AF187" s="113">
        <v>46101</v>
      </c>
      <c r="AG187" s="113">
        <v>46104</v>
      </c>
      <c r="AH187" s="113">
        <v>46129</v>
      </c>
    </row>
    <row r="188" spans="1:34" hidden="1">
      <c r="A188" t="s">
        <v>357</v>
      </c>
      <c r="B188" s="4" t="s">
        <v>133</v>
      </c>
      <c r="C188" s="4" t="s">
        <v>134</v>
      </c>
      <c r="D188" s="102" t="s">
        <v>435</v>
      </c>
      <c r="E188" t="s">
        <v>611</v>
      </c>
      <c r="F188" t="s">
        <v>607</v>
      </c>
      <c r="G188" t="s">
        <v>52</v>
      </c>
      <c r="H188" t="s">
        <v>579</v>
      </c>
      <c r="I188" t="s">
        <v>54</v>
      </c>
      <c r="K188" t="s">
        <v>339</v>
      </c>
      <c r="M188" t="s">
        <v>57</v>
      </c>
      <c r="N188" t="s">
        <v>133</v>
      </c>
      <c r="T188">
        <v>186</v>
      </c>
      <c r="AE188" s="113">
        <v>46076</v>
      </c>
      <c r="AF188" s="113">
        <v>46101</v>
      </c>
      <c r="AG188" s="113">
        <v>46104</v>
      </c>
      <c r="AH188" s="113">
        <v>46129</v>
      </c>
    </row>
    <row r="189" spans="1:34" hidden="1">
      <c r="A189" t="s">
        <v>357</v>
      </c>
      <c r="B189" s="4" t="s">
        <v>133</v>
      </c>
      <c r="C189" s="4" t="s">
        <v>134</v>
      </c>
      <c r="D189" s="102" t="s">
        <v>435</v>
      </c>
      <c r="E189" t="s">
        <v>612</v>
      </c>
      <c r="F189" t="s">
        <v>607</v>
      </c>
      <c r="G189" t="s">
        <v>52</v>
      </c>
      <c r="H189" t="s">
        <v>579</v>
      </c>
      <c r="I189" t="s">
        <v>54</v>
      </c>
      <c r="K189" t="s">
        <v>339</v>
      </c>
      <c r="M189" t="s">
        <v>57</v>
      </c>
      <c r="N189" t="s">
        <v>133</v>
      </c>
      <c r="T189">
        <v>187</v>
      </c>
      <c r="AE189" s="113">
        <v>46076</v>
      </c>
      <c r="AF189" s="113">
        <v>46101</v>
      </c>
      <c r="AG189" s="113">
        <v>46104</v>
      </c>
      <c r="AH189" s="113">
        <v>46129</v>
      </c>
    </row>
    <row r="190" spans="1:34" hidden="1">
      <c r="A190" t="s">
        <v>357</v>
      </c>
      <c r="B190" s="4" t="s">
        <v>133</v>
      </c>
      <c r="C190" s="4" t="s">
        <v>134</v>
      </c>
      <c r="D190" s="102" t="s">
        <v>435</v>
      </c>
      <c r="E190" t="s">
        <v>613</v>
      </c>
      <c r="F190" t="s">
        <v>607</v>
      </c>
      <c r="G190" t="s">
        <v>52</v>
      </c>
      <c r="H190" t="s">
        <v>579</v>
      </c>
      <c r="I190" t="s">
        <v>54</v>
      </c>
      <c r="K190" t="s">
        <v>339</v>
      </c>
      <c r="M190" t="s">
        <v>57</v>
      </c>
      <c r="N190" t="s">
        <v>133</v>
      </c>
      <c r="T190">
        <v>188</v>
      </c>
      <c r="AE190" s="113">
        <v>46076</v>
      </c>
      <c r="AF190" s="113">
        <v>46101</v>
      </c>
      <c r="AG190" s="113">
        <v>46104</v>
      </c>
      <c r="AH190" s="113">
        <v>46129</v>
      </c>
    </row>
    <row r="191" spans="1:34" hidden="1">
      <c r="A191" t="s">
        <v>357</v>
      </c>
      <c r="B191" s="4" t="s">
        <v>133</v>
      </c>
      <c r="C191" s="4" t="s">
        <v>134</v>
      </c>
      <c r="D191" s="102" t="s">
        <v>435</v>
      </c>
      <c r="E191" t="s">
        <v>614</v>
      </c>
      <c r="F191" t="s">
        <v>607</v>
      </c>
      <c r="G191" t="s">
        <v>52</v>
      </c>
      <c r="H191" t="s">
        <v>579</v>
      </c>
      <c r="I191" t="s">
        <v>54</v>
      </c>
      <c r="K191" t="s">
        <v>339</v>
      </c>
      <c r="M191" t="s">
        <v>57</v>
      </c>
      <c r="N191" t="s">
        <v>133</v>
      </c>
      <c r="T191">
        <v>189</v>
      </c>
      <c r="AE191" s="113">
        <v>46076</v>
      </c>
      <c r="AF191" s="113">
        <v>46101</v>
      </c>
      <c r="AG191" s="113">
        <v>46104</v>
      </c>
      <c r="AH191" s="113">
        <v>46129</v>
      </c>
    </row>
    <row r="192" spans="1:34" hidden="1">
      <c r="A192" t="s">
        <v>357</v>
      </c>
      <c r="B192" s="4" t="s">
        <v>133</v>
      </c>
      <c r="C192" s="4" t="s">
        <v>134</v>
      </c>
      <c r="D192" s="102" t="s">
        <v>435</v>
      </c>
      <c r="E192" t="s">
        <v>615</v>
      </c>
      <c r="F192" t="s">
        <v>607</v>
      </c>
      <c r="G192" t="s">
        <v>52</v>
      </c>
      <c r="H192" t="s">
        <v>579</v>
      </c>
      <c r="I192" t="s">
        <v>54</v>
      </c>
      <c r="K192" t="s">
        <v>339</v>
      </c>
      <c r="M192" t="s">
        <v>57</v>
      </c>
      <c r="N192" t="s">
        <v>133</v>
      </c>
      <c r="T192">
        <v>190</v>
      </c>
      <c r="AE192" s="113">
        <v>46076</v>
      </c>
      <c r="AF192" s="113">
        <v>46101</v>
      </c>
      <c r="AG192" s="113">
        <v>46104</v>
      </c>
      <c r="AH192" s="113">
        <v>46129</v>
      </c>
    </row>
    <row r="193" spans="1:34" hidden="1">
      <c r="A193" t="s">
        <v>357</v>
      </c>
      <c r="B193" s="4" t="s">
        <v>133</v>
      </c>
      <c r="C193" s="4" t="s">
        <v>134</v>
      </c>
      <c r="D193" s="102" t="s">
        <v>435</v>
      </c>
      <c r="E193" t="s">
        <v>616</v>
      </c>
      <c r="F193" t="s">
        <v>607</v>
      </c>
      <c r="G193" t="s">
        <v>52</v>
      </c>
      <c r="H193" t="s">
        <v>579</v>
      </c>
      <c r="I193" t="s">
        <v>54</v>
      </c>
      <c r="K193" t="s">
        <v>339</v>
      </c>
      <c r="M193" t="s">
        <v>57</v>
      </c>
      <c r="N193" t="s">
        <v>133</v>
      </c>
      <c r="T193">
        <v>191</v>
      </c>
      <c r="AE193" s="113">
        <v>46076</v>
      </c>
      <c r="AF193" s="113">
        <v>46101</v>
      </c>
      <c r="AG193" s="113">
        <v>46104</v>
      </c>
      <c r="AH193" s="113">
        <v>46129</v>
      </c>
    </row>
    <row r="194" spans="1:34" hidden="1">
      <c r="A194" t="s">
        <v>357</v>
      </c>
      <c r="B194" s="4" t="s">
        <v>133</v>
      </c>
      <c r="C194" s="4" t="s">
        <v>134</v>
      </c>
      <c r="D194" s="102" t="s">
        <v>435</v>
      </c>
      <c r="E194" t="s">
        <v>617</v>
      </c>
      <c r="F194" t="s">
        <v>618</v>
      </c>
      <c r="G194" t="s">
        <v>52</v>
      </c>
      <c r="H194" t="s">
        <v>579</v>
      </c>
      <c r="I194" t="s">
        <v>54</v>
      </c>
      <c r="K194" t="s">
        <v>339</v>
      </c>
      <c r="M194" t="s">
        <v>57</v>
      </c>
      <c r="N194" t="s">
        <v>133</v>
      </c>
      <c r="T194">
        <v>192</v>
      </c>
      <c r="AE194" s="113">
        <v>46076</v>
      </c>
      <c r="AF194" s="113">
        <v>46101</v>
      </c>
      <c r="AG194" s="113">
        <v>46104</v>
      </c>
      <c r="AH194" s="113">
        <v>46129</v>
      </c>
    </row>
    <row r="195" spans="1:34" hidden="1">
      <c r="A195" t="s">
        <v>357</v>
      </c>
      <c r="B195" s="4" t="s">
        <v>133</v>
      </c>
      <c r="C195" s="4" t="s">
        <v>134</v>
      </c>
      <c r="D195" s="102" t="s">
        <v>435</v>
      </c>
      <c r="E195" t="s">
        <v>619</v>
      </c>
      <c r="F195" t="s">
        <v>620</v>
      </c>
      <c r="G195" t="s">
        <v>52</v>
      </c>
      <c r="H195" t="s">
        <v>579</v>
      </c>
      <c r="I195" t="s">
        <v>54</v>
      </c>
      <c r="K195" t="s">
        <v>339</v>
      </c>
      <c r="M195" t="s">
        <v>57</v>
      </c>
      <c r="N195" t="s">
        <v>133</v>
      </c>
      <c r="T195">
        <v>193</v>
      </c>
      <c r="AE195" s="113">
        <v>46076</v>
      </c>
      <c r="AF195" s="113">
        <v>46101</v>
      </c>
      <c r="AG195" s="113">
        <v>46104</v>
      </c>
      <c r="AH195" s="113">
        <v>46129</v>
      </c>
    </row>
    <row r="196" spans="1:34" hidden="1">
      <c r="A196" t="s">
        <v>357</v>
      </c>
      <c r="B196" s="4" t="s">
        <v>133</v>
      </c>
      <c r="C196" s="4" t="s">
        <v>134</v>
      </c>
      <c r="D196" s="102" t="s">
        <v>435</v>
      </c>
      <c r="E196" t="s">
        <v>621</v>
      </c>
      <c r="F196" t="s">
        <v>622</v>
      </c>
      <c r="G196" t="s">
        <v>52</v>
      </c>
      <c r="H196" t="s">
        <v>579</v>
      </c>
      <c r="I196" t="s">
        <v>54</v>
      </c>
      <c r="K196" t="s">
        <v>339</v>
      </c>
      <c r="M196" t="s">
        <v>57</v>
      </c>
      <c r="N196" t="s">
        <v>133</v>
      </c>
      <c r="T196">
        <v>194</v>
      </c>
      <c r="AE196" s="113">
        <v>46076</v>
      </c>
      <c r="AF196" s="113">
        <v>46101</v>
      </c>
      <c r="AG196" s="113">
        <v>46104</v>
      </c>
      <c r="AH196" s="113">
        <v>46129</v>
      </c>
    </row>
    <row r="197" spans="1:34" hidden="1">
      <c r="A197" t="s">
        <v>357</v>
      </c>
      <c r="B197" s="4" t="s">
        <v>133</v>
      </c>
      <c r="C197" s="4" t="s">
        <v>134</v>
      </c>
      <c r="D197" s="102" t="s">
        <v>435</v>
      </c>
      <c r="E197" t="s">
        <v>623</v>
      </c>
      <c r="F197" t="s">
        <v>624</v>
      </c>
      <c r="G197" t="s">
        <v>52</v>
      </c>
      <c r="H197" t="s">
        <v>579</v>
      </c>
      <c r="I197" t="s">
        <v>54</v>
      </c>
      <c r="K197" t="s">
        <v>339</v>
      </c>
      <c r="M197" t="s">
        <v>57</v>
      </c>
      <c r="N197" t="s">
        <v>133</v>
      </c>
      <c r="T197">
        <v>195</v>
      </c>
      <c r="AE197" s="113">
        <v>46076</v>
      </c>
      <c r="AF197" s="113">
        <v>46101</v>
      </c>
      <c r="AG197" s="113">
        <v>46104</v>
      </c>
      <c r="AH197" s="113">
        <v>46129</v>
      </c>
    </row>
    <row r="198" spans="1:34" hidden="1">
      <c r="A198" t="s">
        <v>4</v>
      </c>
      <c r="B198" s="4" t="s">
        <v>4</v>
      </c>
      <c r="C198" s="4" t="s">
        <v>225</v>
      </c>
      <c r="D198" s="102" t="s">
        <v>435</v>
      </c>
      <c r="E198" t="s">
        <v>625</v>
      </c>
      <c r="F198" t="s">
        <v>626</v>
      </c>
      <c r="H198" t="s">
        <v>627</v>
      </c>
      <c r="I198" t="s">
        <v>83</v>
      </c>
      <c r="J198" t="s">
        <v>628</v>
      </c>
      <c r="K198" t="s">
        <v>339</v>
      </c>
      <c r="M198" t="s">
        <v>207</v>
      </c>
      <c r="N198" t="s">
        <v>4</v>
      </c>
      <c r="T198">
        <v>196</v>
      </c>
      <c r="Y198" s="113"/>
      <c r="Z198" s="113"/>
      <c r="AA198" s="113"/>
      <c r="AB198" s="113"/>
      <c r="AC198" s="113"/>
      <c r="AD198" s="113"/>
      <c r="AE198" s="113">
        <v>46076</v>
      </c>
      <c r="AF198" s="113">
        <v>46101</v>
      </c>
      <c r="AG198" s="113">
        <v>46104</v>
      </c>
      <c r="AH198" s="113">
        <v>46129</v>
      </c>
    </row>
    <row r="199" spans="1:34" hidden="1">
      <c r="A199" t="s">
        <v>92</v>
      </c>
      <c r="B199" s="4" t="s">
        <v>93</v>
      </c>
      <c r="C199" s="4" t="s">
        <v>94</v>
      </c>
      <c r="D199" s="102" t="s">
        <v>327</v>
      </c>
      <c r="E199" t="s">
        <v>213</v>
      </c>
      <c r="F199" t="s">
        <v>205</v>
      </c>
      <c r="H199" t="s">
        <v>206</v>
      </c>
      <c r="I199" t="s">
        <v>83</v>
      </c>
      <c r="K199" t="s">
        <v>198</v>
      </c>
      <c r="L199" t="s">
        <v>73</v>
      </c>
      <c r="M199" t="s">
        <v>207</v>
      </c>
      <c r="N199" t="s">
        <v>99</v>
      </c>
      <c r="T199">
        <v>197</v>
      </c>
      <c r="W199" s="113">
        <v>46056</v>
      </c>
      <c r="X199" s="113">
        <v>46087</v>
      </c>
      <c r="Y199" s="113">
        <v>46083</v>
      </c>
      <c r="Z199" s="113">
        <v>46122</v>
      </c>
      <c r="AA199" s="113">
        <v>46111</v>
      </c>
      <c r="AB199" s="113">
        <v>46136</v>
      </c>
      <c r="AC199" s="113">
        <v>46118</v>
      </c>
      <c r="AD199" s="113">
        <v>46136</v>
      </c>
      <c r="AE199" s="113">
        <v>46125</v>
      </c>
      <c r="AF199" s="113">
        <v>46150</v>
      </c>
      <c r="AG199" s="113">
        <v>46139</v>
      </c>
      <c r="AH199" s="113">
        <v>46171</v>
      </c>
    </row>
    <row r="200" spans="1:34" hidden="1">
      <c r="A200" t="s">
        <v>92</v>
      </c>
      <c r="B200" s="4" t="s">
        <v>93</v>
      </c>
      <c r="C200" s="4" t="s">
        <v>94</v>
      </c>
      <c r="D200" s="102" t="s">
        <v>327</v>
      </c>
      <c r="E200" t="s">
        <v>210</v>
      </c>
      <c r="F200" t="s">
        <v>205</v>
      </c>
      <c r="H200" t="s">
        <v>206</v>
      </c>
      <c r="I200" t="s">
        <v>83</v>
      </c>
      <c r="K200" t="s">
        <v>198</v>
      </c>
      <c r="L200" t="s">
        <v>73</v>
      </c>
      <c r="M200" t="s">
        <v>207</v>
      </c>
      <c r="N200" t="s">
        <v>99</v>
      </c>
      <c r="T200">
        <v>198</v>
      </c>
      <c r="W200" s="113">
        <v>46056</v>
      </c>
      <c r="X200" s="113">
        <v>46087</v>
      </c>
      <c r="Y200" s="113">
        <v>46083</v>
      </c>
      <c r="Z200" s="113">
        <v>46122</v>
      </c>
      <c r="AA200" s="113">
        <v>46111</v>
      </c>
      <c r="AB200" s="113">
        <v>46136</v>
      </c>
      <c r="AC200" s="113">
        <v>46118</v>
      </c>
      <c r="AD200" s="113">
        <v>46136</v>
      </c>
      <c r="AE200" s="113">
        <v>46125</v>
      </c>
      <c r="AF200" s="113">
        <v>46150</v>
      </c>
      <c r="AG200" s="113">
        <v>46139</v>
      </c>
      <c r="AH200" s="113">
        <v>46171</v>
      </c>
    </row>
    <row r="201" spans="1:34" hidden="1">
      <c r="A201" t="s">
        <v>92</v>
      </c>
      <c r="B201" s="4" t="s">
        <v>93</v>
      </c>
      <c r="C201" s="4" t="s">
        <v>94</v>
      </c>
      <c r="D201" s="102" t="s">
        <v>327</v>
      </c>
      <c r="E201" t="s">
        <v>209</v>
      </c>
      <c r="F201" t="s">
        <v>205</v>
      </c>
      <c r="H201" t="s">
        <v>206</v>
      </c>
      <c r="I201" t="s">
        <v>83</v>
      </c>
      <c r="K201" t="s">
        <v>198</v>
      </c>
      <c r="L201" t="s">
        <v>73</v>
      </c>
      <c r="M201" t="s">
        <v>207</v>
      </c>
      <c r="N201" t="s">
        <v>99</v>
      </c>
      <c r="T201">
        <v>199</v>
      </c>
      <c r="W201" s="113">
        <v>46056</v>
      </c>
      <c r="X201" s="113">
        <v>46087</v>
      </c>
      <c r="Y201" s="113">
        <v>46083</v>
      </c>
      <c r="Z201" s="113">
        <v>46122</v>
      </c>
      <c r="AA201" s="113">
        <v>46111</v>
      </c>
      <c r="AB201" s="113">
        <v>46136</v>
      </c>
      <c r="AC201" s="113">
        <v>46118</v>
      </c>
      <c r="AD201" s="113">
        <v>46136</v>
      </c>
      <c r="AE201" s="113">
        <v>46125</v>
      </c>
      <c r="AF201" s="113">
        <v>46150</v>
      </c>
      <c r="AG201" s="113">
        <v>46139</v>
      </c>
      <c r="AH201" s="113">
        <v>46171</v>
      </c>
    </row>
    <row r="202" spans="1:34" hidden="1">
      <c r="A202" t="s">
        <v>92</v>
      </c>
      <c r="B202" s="4" t="s">
        <v>93</v>
      </c>
      <c r="C202" s="4" t="s">
        <v>94</v>
      </c>
      <c r="D202" s="102" t="s">
        <v>327</v>
      </c>
      <c r="E202" t="s">
        <v>208</v>
      </c>
      <c r="F202" t="s">
        <v>205</v>
      </c>
      <c r="H202" t="s">
        <v>206</v>
      </c>
      <c r="I202" t="s">
        <v>83</v>
      </c>
      <c r="K202" t="s">
        <v>198</v>
      </c>
      <c r="L202" t="s">
        <v>73</v>
      </c>
      <c r="M202" t="s">
        <v>207</v>
      </c>
      <c r="N202" t="s">
        <v>99</v>
      </c>
      <c r="T202">
        <v>200</v>
      </c>
      <c r="W202" s="113">
        <v>46056</v>
      </c>
      <c r="X202" s="113">
        <v>46087</v>
      </c>
      <c r="Y202" s="113">
        <v>46083</v>
      </c>
      <c r="Z202" s="113">
        <v>46122</v>
      </c>
      <c r="AA202" s="113">
        <v>46111</v>
      </c>
      <c r="AB202" s="113">
        <v>46136</v>
      </c>
      <c r="AC202" s="113">
        <v>46118</v>
      </c>
      <c r="AD202" s="113">
        <v>46136</v>
      </c>
      <c r="AE202" s="113">
        <v>46125</v>
      </c>
      <c r="AF202" s="113">
        <v>46150</v>
      </c>
      <c r="AG202" s="113">
        <v>46139</v>
      </c>
      <c r="AH202" s="113">
        <v>46171</v>
      </c>
    </row>
    <row r="203" spans="1:34" hidden="1">
      <c r="A203" t="s">
        <v>92</v>
      </c>
      <c r="B203" s="4" t="s">
        <v>93</v>
      </c>
      <c r="C203" s="4" t="s">
        <v>94</v>
      </c>
      <c r="D203" s="102" t="s">
        <v>327</v>
      </c>
      <c r="E203" t="s">
        <v>204</v>
      </c>
      <c r="F203" t="s">
        <v>205</v>
      </c>
      <c r="H203" t="s">
        <v>206</v>
      </c>
      <c r="I203" t="s">
        <v>83</v>
      </c>
      <c r="K203" t="s">
        <v>198</v>
      </c>
      <c r="L203" t="s">
        <v>73</v>
      </c>
      <c r="M203" t="s">
        <v>207</v>
      </c>
      <c r="N203" t="s">
        <v>99</v>
      </c>
      <c r="T203">
        <v>201</v>
      </c>
      <c r="W203" s="113">
        <v>46056</v>
      </c>
      <c r="X203" s="113">
        <v>46087</v>
      </c>
      <c r="Y203" s="113">
        <v>46083</v>
      </c>
      <c r="Z203" s="113">
        <v>46122</v>
      </c>
      <c r="AA203" s="113">
        <v>46111</v>
      </c>
      <c r="AB203" s="113">
        <v>46136</v>
      </c>
      <c r="AC203" s="113">
        <v>46118</v>
      </c>
      <c r="AD203" s="113">
        <v>46136</v>
      </c>
      <c r="AE203" s="113">
        <v>46125</v>
      </c>
      <c r="AF203" s="113">
        <v>46150</v>
      </c>
      <c r="AG203" s="113">
        <v>46139</v>
      </c>
      <c r="AH203" s="113">
        <v>46171</v>
      </c>
    </row>
    <row r="204" spans="1:34" hidden="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c r="AA204" s="2"/>
      <c r="AB204" s="2"/>
      <c r="AC204" s="2"/>
      <c r="AD204" s="2"/>
      <c r="AE204" s="2"/>
      <c r="AF204" s="2"/>
      <c r="AG204" s="2"/>
      <c r="AH204" s="2"/>
    </row>
    <row r="206" spans="1:34">
      <c r="W206" s="113"/>
      <c r="X206" s="113"/>
      <c r="Y206" s="113"/>
      <c r="Z206" s="113"/>
      <c r="AA206" s="113"/>
      <c r="AB206" s="113"/>
      <c r="AC206" s="113"/>
      <c r="AD206" s="113"/>
      <c r="AE206" s="113"/>
      <c r="AF206" s="113"/>
      <c r="AG206" s="113"/>
      <c r="AH206" s="113"/>
    </row>
  </sheetData>
  <autoFilter ref="A2:AY204" xr:uid="{00000000-0001-0000-0800-000000000000}">
    <filterColumn colId="3">
      <filters>
        <filter val="ASIGNA"/>
      </filters>
    </filterColumn>
  </autoFilter>
  <mergeCells count="11">
    <mergeCell ref="AG1:AH1"/>
    <mergeCell ref="AI1:AL1"/>
    <mergeCell ref="AM1:AP1"/>
    <mergeCell ref="AQ1:AU1"/>
    <mergeCell ref="AV1:AY1"/>
    <mergeCell ref="AE1:AF1"/>
    <mergeCell ref="U1:V1"/>
    <mergeCell ref="W1:X1"/>
    <mergeCell ref="Y1:Z1"/>
    <mergeCell ref="AA1:AB1"/>
    <mergeCell ref="AC1:AD1"/>
  </mergeCells>
  <dataValidations count="3">
    <dataValidation type="list" allowBlank="1" showInputMessage="1" showErrorMessage="1" sqref="C3:C203" xr:uid="{018C9068-EF17-4769-9236-9E9319E3CAB4}">
      <formula1>Owner</formula1>
    </dataValidation>
    <dataValidation type="list" allowBlank="1" showInputMessage="1" showErrorMessage="1" sqref="L3:L203" xr:uid="{A121BE96-874B-4193-932D-DCD36A1B77C7}">
      <formula1>Sts_2</formula1>
    </dataValidation>
    <dataValidation type="list" allowBlank="1" showInputMessage="1" showErrorMessage="1" sqref="K3:K203" xr:uid="{1E98BD58-B810-4C3C-8164-656D81087681}">
      <formula1>StsAct</formula1>
    </dataValidation>
  </dataValidations>
  <pageMargins left="0.7" right="0.7" top="0.75" bottom="0.75" header="0.3" footer="0.3"/>
  <pageSetup paperSize="9" orientation="portrait" r:id="rId1"/>
  <legacyDrawing r:id="rId2"/>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94629C-3628-4C21-AE28-A9F4CC6FC540}">
  <sheetPr>
    <tabColor rgb="FFFF0000"/>
  </sheetPr>
  <dimension ref="A1:BP210"/>
  <sheetViews>
    <sheetView zoomScale="90" zoomScaleNormal="90" workbookViewId="0">
      <pane ySplit="3" topLeftCell="A4" activePane="bottomLeft" state="frozen"/>
      <selection pane="bottomLeft" activeCell="A4" sqref="A4"/>
    </sheetView>
  </sheetViews>
  <sheetFormatPr defaultColWidth="11.42578125" defaultRowHeight="15"/>
  <cols>
    <col min="1" max="1" width="18.28515625" bestFit="1" customWidth="1"/>
    <col min="2" max="2" width="27.85546875" bestFit="1" customWidth="1"/>
    <col min="3" max="3" width="14" customWidth="1"/>
    <col min="4" max="4" width="9.140625" bestFit="1" customWidth="1"/>
    <col min="5" max="5" width="33" customWidth="1"/>
    <col min="6" max="6" width="73.85546875" customWidth="1"/>
    <col min="7" max="7" width="11.7109375" customWidth="1"/>
    <col min="8" max="8" width="66.5703125" customWidth="1"/>
    <col min="9" max="9" width="44.42578125" customWidth="1"/>
    <col min="10" max="10" width="34.7109375" bestFit="1" customWidth="1"/>
    <col min="11" max="11" width="17.42578125" bestFit="1" customWidth="1"/>
    <col min="12" max="12" width="12.140625" bestFit="1" customWidth="1"/>
    <col min="13" max="13" width="16" bestFit="1" customWidth="1"/>
    <col min="14" max="14" width="16" customWidth="1"/>
    <col min="15" max="15" width="20" customWidth="1"/>
    <col min="16" max="16" width="12.28515625" bestFit="1" customWidth="1"/>
    <col min="17" max="17" width="10.28515625" bestFit="1" customWidth="1"/>
    <col min="18" max="18" width="10" bestFit="1" customWidth="1"/>
    <col min="19" max="19" width="12.5703125" bestFit="1" customWidth="1"/>
    <col min="20" max="36" width="9.85546875" customWidth="1"/>
    <col min="52" max="58" width="3.28515625" bestFit="1" customWidth="1"/>
    <col min="60" max="60" width="3.7109375" customWidth="1"/>
    <col min="61" max="62" width="2.140625" bestFit="1" customWidth="1"/>
    <col min="63" max="63" width="2.85546875" bestFit="1" customWidth="1"/>
    <col min="64" max="65" width="2.140625" bestFit="1" customWidth="1"/>
  </cols>
  <sheetData>
    <row r="1" spans="1:68">
      <c r="AK1" s="299" t="s">
        <v>325</v>
      </c>
      <c r="AL1" s="299"/>
      <c r="AM1" s="299" t="s">
        <v>327</v>
      </c>
      <c r="AN1" s="299"/>
      <c r="AO1" s="299" t="s">
        <v>329</v>
      </c>
      <c r="AP1" s="299"/>
      <c r="AQ1" s="299" t="s">
        <v>377</v>
      </c>
      <c r="AR1" s="299"/>
      <c r="AS1" s="299" t="s">
        <v>378</v>
      </c>
      <c r="AT1" s="299"/>
      <c r="AU1" s="299" t="s">
        <v>379</v>
      </c>
      <c r="AV1" s="299"/>
      <c r="AW1" s="299" t="s">
        <v>380</v>
      </c>
      <c r="AX1" s="299"/>
    </row>
    <row r="2" spans="1:68">
      <c r="T2" s="299" t="s">
        <v>381</v>
      </c>
      <c r="U2" s="299"/>
      <c r="V2" s="299"/>
      <c r="W2" s="299"/>
      <c r="X2" s="299" t="s">
        <v>382</v>
      </c>
      <c r="Y2" s="299"/>
      <c r="Z2" s="299"/>
      <c r="AA2" s="299"/>
      <c r="AB2" s="299" t="s">
        <v>383</v>
      </c>
      <c r="AC2" s="299"/>
      <c r="AD2" s="299"/>
      <c r="AE2" s="299"/>
      <c r="AF2" s="299"/>
      <c r="AG2" s="299" t="s">
        <v>384</v>
      </c>
      <c r="AH2" s="299"/>
      <c r="AI2" s="299"/>
      <c r="AJ2" s="299"/>
      <c r="AK2" s="8" t="s">
        <v>387</v>
      </c>
      <c r="AL2" s="8" t="s">
        <v>388</v>
      </c>
      <c r="AM2" s="8" t="s">
        <v>387</v>
      </c>
      <c r="AN2" s="8" t="s">
        <v>388</v>
      </c>
      <c r="AO2" s="8" t="s">
        <v>387</v>
      </c>
      <c r="AP2" s="8" t="s">
        <v>388</v>
      </c>
      <c r="AQ2" s="8" t="s">
        <v>387</v>
      </c>
      <c r="AR2" s="8" t="s">
        <v>388</v>
      </c>
      <c r="AS2" s="8" t="s">
        <v>387</v>
      </c>
      <c r="AT2" s="8" t="s">
        <v>388</v>
      </c>
      <c r="AU2" s="8" t="s">
        <v>387</v>
      </c>
      <c r="AV2" s="8" t="s">
        <v>388</v>
      </c>
      <c r="AW2" s="8" t="s">
        <v>387</v>
      </c>
      <c r="AX2" s="8" t="s">
        <v>388</v>
      </c>
    </row>
    <row r="3" spans="1:68" s="1" customFormat="1">
      <c r="A3" s="5" t="s">
        <v>29</v>
      </c>
      <c r="B3" s="5" t="s">
        <v>0</v>
      </c>
      <c r="C3" s="5" t="s">
        <v>30</v>
      </c>
      <c r="D3" s="133" t="s">
        <v>31</v>
      </c>
      <c r="E3" s="5" t="s">
        <v>32</v>
      </c>
      <c r="F3" s="5" t="s">
        <v>33</v>
      </c>
      <c r="G3" s="5" t="s">
        <v>34</v>
      </c>
      <c r="H3" s="5" t="s">
        <v>35</v>
      </c>
      <c r="I3" s="5" t="s">
        <v>36</v>
      </c>
      <c r="J3" s="10" t="s">
        <v>37</v>
      </c>
      <c r="K3" s="10" t="s">
        <v>38</v>
      </c>
      <c r="L3" s="10" t="s">
        <v>39</v>
      </c>
      <c r="M3" s="10" t="s">
        <v>40</v>
      </c>
      <c r="N3" s="10" t="s">
        <v>41</v>
      </c>
      <c r="O3" s="10" t="s">
        <v>42</v>
      </c>
      <c r="P3" s="1" t="s">
        <v>43</v>
      </c>
      <c r="Q3" s="1" t="s">
        <v>44</v>
      </c>
      <c r="R3" s="1" t="s">
        <v>385</v>
      </c>
      <c r="T3" s="117" t="s">
        <v>389</v>
      </c>
      <c r="U3" s="116" t="s">
        <v>390</v>
      </c>
      <c r="V3" s="116" t="s">
        <v>391</v>
      </c>
      <c r="W3" s="116" t="s">
        <v>392</v>
      </c>
      <c r="X3" s="117" t="s">
        <v>389</v>
      </c>
      <c r="Y3" s="116" t="s">
        <v>390</v>
      </c>
      <c r="Z3" s="116" t="s">
        <v>391</v>
      </c>
      <c r="AA3" s="116" t="s">
        <v>392</v>
      </c>
      <c r="AB3" s="116" t="s">
        <v>393</v>
      </c>
      <c r="AC3" s="116" t="s">
        <v>394</v>
      </c>
      <c r="AD3" s="116" t="s">
        <v>395</v>
      </c>
      <c r="AE3" s="116" t="s">
        <v>396</v>
      </c>
      <c r="AF3" s="116" t="s">
        <v>397</v>
      </c>
      <c r="AG3" s="116" t="s">
        <v>398</v>
      </c>
      <c r="AH3" s="116" t="s">
        <v>399</v>
      </c>
      <c r="AI3" s="116" t="s">
        <v>400</v>
      </c>
      <c r="AJ3" s="116" t="s">
        <v>401</v>
      </c>
      <c r="BN3" s="1" t="s">
        <v>386</v>
      </c>
      <c r="BO3" t="s">
        <v>32</v>
      </c>
      <c r="BP3" t="s">
        <v>33</v>
      </c>
    </row>
    <row r="4" spans="1:68" ht="15" customHeight="1">
      <c r="A4" t="s">
        <v>92</v>
      </c>
      <c r="B4" s="4" t="s">
        <v>93</v>
      </c>
      <c r="C4" s="4" t="s">
        <v>94</v>
      </c>
      <c r="D4" s="102" t="s">
        <v>327</v>
      </c>
      <c r="E4" t="s">
        <v>196</v>
      </c>
      <c r="F4" s="85" t="s">
        <v>197</v>
      </c>
      <c r="G4" t="s">
        <v>2</v>
      </c>
      <c r="H4" t="s">
        <v>97</v>
      </c>
      <c r="I4" t="s">
        <v>72</v>
      </c>
      <c r="K4" t="s">
        <v>198</v>
      </c>
      <c r="L4" t="s">
        <v>73</v>
      </c>
      <c r="M4" t="s">
        <v>98</v>
      </c>
      <c r="N4" t="s">
        <v>99</v>
      </c>
      <c r="O4" t="s">
        <v>199</v>
      </c>
      <c r="P4" t="s">
        <v>200</v>
      </c>
      <c r="AM4" s="113">
        <v>46055</v>
      </c>
      <c r="AN4" s="113">
        <v>46080</v>
      </c>
      <c r="AO4" s="113">
        <v>46083</v>
      </c>
      <c r="AP4" s="113">
        <v>46108</v>
      </c>
      <c r="AQ4" s="113">
        <v>46111</v>
      </c>
      <c r="AR4" s="113">
        <v>46129</v>
      </c>
      <c r="AS4" s="113">
        <v>46128</v>
      </c>
      <c r="AT4" s="113">
        <v>46129</v>
      </c>
      <c r="AU4" s="113">
        <v>46132</v>
      </c>
      <c r="AV4" s="113">
        <v>46150</v>
      </c>
      <c r="AW4" s="113">
        <v>46153</v>
      </c>
      <c r="AX4" s="113">
        <v>46171</v>
      </c>
      <c r="AZ4">
        <f>+AL4-AK4</f>
        <v>0</v>
      </c>
      <c r="BA4">
        <f>AN4-AM4</f>
        <v>25</v>
      </c>
      <c r="BB4">
        <f>AP4-AO4</f>
        <v>25</v>
      </c>
      <c r="BC4">
        <f>AR4-AQ4</f>
        <v>18</v>
      </c>
      <c r="BD4">
        <f>AT4-AS4</f>
        <v>1</v>
      </c>
      <c r="BE4">
        <f>AV4-AU4</f>
        <v>18</v>
      </c>
      <c r="BF4">
        <f>AX4-AW4</f>
        <v>18</v>
      </c>
      <c r="BH4" s="118">
        <f>AM4-AL4</f>
        <v>46055</v>
      </c>
      <c r="BI4" s="118">
        <f>AO4-AN4</f>
        <v>3</v>
      </c>
      <c r="BJ4" s="118">
        <f>AQ4-AP4</f>
        <v>3</v>
      </c>
      <c r="BK4" s="118">
        <f>AS4-AR4</f>
        <v>-1</v>
      </c>
      <c r="BL4" s="118">
        <f>AU4-AT4</f>
        <v>3</v>
      </c>
      <c r="BM4" s="118">
        <f>AW4-AV4</f>
        <v>3</v>
      </c>
      <c r="BN4">
        <v>1</v>
      </c>
      <c r="BO4" t="s">
        <v>418</v>
      </c>
      <c r="BP4" t="s">
        <v>419</v>
      </c>
    </row>
    <row r="5" spans="1:68">
      <c r="A5" t="s">
        <v>92</v>
      </c>
      <c r="B5" t="s">
        <v>80</v>
      </c>
      <c r="C5" s="4" t="s">
        <v>201</v>
      </c>
      <c r="D5" s="102" t="s">
        <v>327</v>
      </c>
      <c r="E5" t="s">
        <v>202</v>
      </c>
      <c r="F5" t="s">
        <v>203</v>
      </c>
      <c r="G5" t="s">
        <v>71</v>
      </c>
      <c r="K5" t="s">
        <v>198</v>
      </c>
      <c r="M5" t="s">
        <v>57</v>
      </c>
      <c r="N5" t="s">
        <v>160</v>
      </c>
      <c r="AM5" s="113">
        <v>46056</v>
      </c>
      <c r="AN5" s="113">
        <v>46080</v>
      </c>
      <c r="AO5" s="113">
        <v>46083</v>
      </c>
      <c r="AP5" s="113">
        <v>46108</v>
      </c>
      <c r="AQ5" s="113">
        <v>46111</v>
      </c>
      <c r="AR5" s="113">
        <v>46122</v>
      </c>
      <c r="AS5" s="113">
        <v>46121</v>
      </c>
      <c r="AT5" s="113">
        <v>46122</v>
      </c>
      <c r="AU5" s="113">
        <v>46125</v>
      </c>
      <c r="AV5" s="113">
        <v>46143</v>
      </c>
      <c r="AW5" s="113">
        <v>46146</v>
      </c>
      <c r="AX5" s="113">
        <v>46157</v>
      </c>
      <c r="AZ5">
        <f>+AL5-AK5</f>
        <v>0</v>
      </c>
      <c r="BA5">
        <f>AN5-AM5</f>
        <v>24</v>
      </c>
      <c r="BB5">
        <f>AP5-AO5</f>
        <v>25</v>
      </c>
      <c r="BC5">
        <f>AR5-AQ5</f>
        <v>11</v>
      </c>
      <c r="BD5">
        <f>AT5-AS5</f>
        <v>1</v>
      </c>
      <c r="BE5">
        <f>AV5-AU5</f>
        <v>18</v>
      </c>
      <c r="BF5">
        <f>AX5-AW5</f>
        <v>11</v>
      </c>
      <c r="BH5" s="118">
        <f>AM5-AL5</f>
        <v>46056</v>
      </c>
      <c r="BI5" s="118">
        <f>AO5-AN5</f>
        <v>3</v>
      </c>
      <c r="BJ5" s="118">
        <f>AQ5-AP5</f>
        <v>3</v>
      </c>
      <c r="BK5" s="118">
        <f>AS5-AR5</f>
        <v>-1</v>
      </c>
      <c r="BL5" s="118">
        <f>AU5-AT5</f>
        <v>3</v>
      </c>
      <c r="BM5" s="118">
        <f>AW5-AV5</f>
        <v>3</v>
      </c>
      <c r="BN5">
        <v>2</v>
      </c>
      <c r="BO5" t="s">
        <v>422</v>
      </c>
      <c r="BP5" t="s">
        <v>419</v>
      </c>
    </row>
    <row r="6" spans="1:68">
      <c r="A6" s="73" t="s">
        <v>67</v>
      </c>
      <c r="B6" s="73" t="s">
        <v>68</v>
      </c>
      <c r="C6" s="74" t="s">
        <v>48</v>
      </c>
      <c r="D6" s="102" t="s">
        <v>317</v>
      </c>
      <c r="E6" s="73" t="s">
        <v>402</v>
      </c>
      <c r="F6" s="73" t="s">
        <v>403</v>
      </c>
      <c r="G6" s="73" t="s">
        <v>71</v>
      </c>
      <c r="H6" s="73" t="s">
        <v>72</v>
      </c>
      <c r="I6" s="73"/>
      <c r="J6" s="73"/>
      <c r="K6" s="73" t="s">
        <v>347</v>
      </c>
      <c r="L6" s="73" t="s">
        <v>102</v>
      </c>
      <c r="M6" s="73" t="s">
        <v>102</v>
      </c>
      <c r="N6" s="73" t="s">
        <v>102</v>
      </c>
      <c r="O6" s="75" t="s">
        <v>404</v>
      </c>
      <c r="P6" s="73"/>
      <c r="Q6" s="73" t="s">
        <v>405</v>
      </c>
      <c r="R6" s="73" t="s">
        <v>406</v>
      </c>
      <c r="S6" s="73" t="s">
        <v>230</v>
      </c>
      <c r="BN6">
        <v>3</v>
      </c>
      <c r="BO6" t="s">
        <v>425</v>
      </c>
      <c r="BP6" t="s">
        <v>419</v>
      </c>
    </row>
    <row r="7" spans="1:68">
      <c r="A7" t="s">
        <v>67</v>
      </c>
      <c r="B7" t="s">
        <v>68</v>
      </c>
      <c r="C7" s="4" t="s">
        <v>48</v>
      </c>
      <c r="D7" s="102" t="s">
        <v>329</v>
      </c>
      <c r="E7" t="s">
        <v>69</v>
      </c>
      <c r="F7" t="s">
        <v>70</v>
      </c>
      <c r="G7" t="s">
        <v>71</v>
      </c>
      <c r="H7" t="s">
        <v>72</v>
      </c>
      <c r="K7" t="s">
        <v>55</v>
      </c>
      <c r="L7" t="s">
        <v>73</v>
      </c>
      <c r="M7" t="s">
        <v>74</v>
      </c>
      <c r="N7" t="s">
        <v>75</v>
      </c>
      <c r="S7" t="s">
        <v>230</v>
      </c>
      <c r="AO7" s="113">
        <v>46056</v>
      </c>
      <c r="AP7" s="113">
        <v>46073</v>
      </c>
      <c r="AQ7" s="113">
        <v>46076</v>
      </c>
      <c r="AR7" s="113">
        <v>46094</v>
      </c>
      <c r="AS7" s="113">
        <v>46093</v>
      </c>
      <c r="AT7" s="113">
        <v>46094</v>
      </c>
      <c r="AU7" s="113">
        <v>46097</v>
      </c>
      <c r="AV7" s="113">
        <v>46115</v>
      </c>
      <c r="AW7" s="113">
        <v>46118</v>
      </c>
      <c r="AX7" s="113">
        <v>46136</v>
      </c>
      <c r="AZ7">
        <f>+AL7-AK7</f>
        <v>0</v>
      </c>
      <c r="BA7">
        <f>AN7-AM7</f>
        <v>0</v>
      </c>
      <c r="BB7">
        <f>AP7-AO7</f>
        <v>17</v>
      </c>
      <c r="BC7">
        <f>AR7-AQ7</f>
        <v>18</v>
      </c>
      <c r="BD7">
        <f>AT7-AS7</f>
        <v>1</v>
      </c>
      <c r="BE7">
        <f>AV7-AU7</f>
        <v>18</v>
      </c>
      <c r="BF7">
        <f>AX7-AW7</f>
        <v>18</v>
      </c>
      <c r="BH7" s="118">
        <f>AM7-AL7</f>
        <v>0</v>
      </c>
      <c r="BI7" s="118">
        <f>AO7-AN7</f>
        <v>46056</v>
      </c>
      <c r="BJ7" s="118">
        <f>AQ7-AP7</f>
        <v>3</v>
      </c>
      <c r="BK7" s="118">
        <f>AS7-AR7</f>
        <v>-1</v>
      </c>
      <c r="BL7" s="118">
        <f>AU7-AT7</f>
        <v>3</v>
      </c>
      <c r="BM7" s="118">
        <f>AW7-AV7</f>
        <v>3</v>
      </c>
      <c r="BN7">
        <v>4</v>
      </c>
      <c r="BO7" t="s">
        <v>427</v>
      </c>
      <c r="BP7" t="s">
        <v>419</v>
      </c>
    </row>
    <row r="8" spans="1:68">
      <c r="A8" s="73" t="s">
        <v>92</v>
      </c>
      <c r="B8" s="73" t="s">
        <v>68</v>
      </c>
      <c r="C8" s="74" t="s">
        <v>48</v>
      </c>
      <c r="D8" s="102"/>
      <c r="E8" s="73" t="s">
        <v>407</v>
      </c>
      <c r="F8" s="73" t="s">
        <v>408</v>
      </c>
      <c r="G8" s="73" t="s">
        <v>102</v>
      </c>
      <c r="H8" s="73" t="s">
        <v>102</v>
      </c>
      <c r="I8" s="73"/>
      <c r="J8" s="73"/>
      <c r="K8" s="73" t="s">
        <v>347</v>
      </c>
      <c r="L8" s="73" t="s">
        <v>102</v>
      </c>
      <c r="M8" s="73" t="s">
        <v>102</v>
      </c>
      <c r="N8" s="73" t="s">
        <v>102</v>
      </c>
      <c r="O8" s="73"/>
      <c r="P8" s="73"/>
      <c r="Q8" s="73"/>
      <c r="R8" s="73"/>
      <c r="BN8">
        <v>5</v>
      </c>
      <c r="BO8" t="s">
        <v>429</v>
      </c>
      <c r="BP8" t="s">
        <v>419</v>
      </c>
    </row>
    <row r="9" spans="1:68">
      <c r="A9" s="73" t="s">
        <v>92</v>
      </c>
      <c r="B9" s="73" t="s">
        <v>68</v>
      </c>
      <c r="C9" s="74" t="s">
        <v>48</v>
      </c>
      <c r="D9" s="102"/>
      <c r="E9" s="73" t="s">
        <v>409</v>
      </c>
      <c r="F9" s="73" t="s">
        <v>408</v>
      </c>
      <c r="G9" s="73" t="s">
        <v>102</v>
      </c>
      <c r="H9" s="73" t="s">
        <v>102</v>
      </c>
      <c r="I9" s="73"/>
      <c r="J9" s="73"/>
      <c r="K9" s="73" t="s">
        <v>347</v>
      </c>
      <c r="L9" s="73" t="s">
        <v>102</v>
      </c>
      <c r="M9" s="73" t="s">
        <v>102</v>
      </c>
      <c r="N9" s="73" t="s">
        <v>102</v>
      </c>
      <c r="O9" s="73"/>
      <c r="P9" s="73"/>
      <c r="Q9" s="73"/>
      <c r="R9" s="73"/>
      <c r="BN9">
        <v>6</v>
      </c>
      <c r="BO9" t="s">
        <v>431</v>
      </c>
      <c r="BP9" t="s">
        <v>419</v>
      </c>
    </row>
    <row r="10" spans="1:68">
      <c r="A10" t="s">
        <v>92</v>
      </c>
      <c r="B10" s="4" t="s">
        <v>93</v>
      </c>
      <c r="C10" s="4" t="s">
        <v>94</v>
      </c>
      <c r="D10" s="102" t="s">
        <v>327</v>
      </c>
      <c r="E10" t="s">
        <v>161</v>
      </c>
      <c r="F10" s="85" t="s">
        <v>211</v>
      </c>
      <c r="G10" t="s">
        <v>2</v>
      </c>
      <c r="H10" t="s">
        <v>97</v>
      </c>
      <c r="I10" t="s">
        <v>72</v>
      </c>
      <c r="K10" t="s">
        <v>198</v>
      </c>
      <c r="L10" t="s">
        <v>73</v>
      </c>
      <c r="M10" t="s">
        <v>98</v>
      </c>
      <c r="N10" t="s">
        <v>99</v>
      </c>
      <c r="O10" t="s">
        <v>212</v>
      </c>
      <c r="P10" t="s">
        <v>200</v>
      </c>
      <c r="AM10" s="113">
        <v>46055</v>
      </c>
      <c r="AN10" s="113">
        <v>46080</v>
      </c>
      <c r="AO10" s="113">
        <v>46083</v>
      </c>
      <c r="AP10" s="113">
        <v>46108</v>
      </c>
      <c r="AQ10" s="113">
        <v>46111</v>
      </c>
      <c r="AR10" s="113">
        <v>46129</v>
      </c>
      <c r="AS10" s="113">
        <v>46128</v>
      </c>
      <c r="AT10" s="113">
        <v>46129</v>
      </c>
      <c r="AU10" s="113">
        <v>46132</v>
      </c>
      <c r="AV10" s="113">
        <v>46150</v>
      </c>
      <c r="AW10" s="113">
        <v>46153</v>
      </c>
      <c r="AX10" s="113">
        <v>46171</v>
      </c>
      <c r="AZ10">
        <f t="shared" ref="AZ10:AZ17" si="0">+AL10-AK10</f>
        <v>0</v>
      </c>
      <c r="BA10">
        <f t="shared" ref="BA10:BA17" si="1">AN10-AM10</f>
        <v>25</v>
      </c>
      <c r="BB10">
        <f t="shared" ref="BB10:BB17" si="2">AP10-AO10</f>
        <v>25</v>
      </c>
      <c r="BC10">
        <f t="shared" ref="BC10:BC17" si="3">AR10-AQ10</f>
        <v>18</v>
      </c>
      <c r="BD10">
        <f t="shared" ref="BD10:BD17" si="4">AT10-AS10</f>
        <v>1</v>
      </c>
      <c r="BE10">
        <f t="shared" ref="BE10:BE17" si="5">AV10-AU10</f>
        <v>18</v>
      </c>
      <c r="BF10">
        <f t="shared" ref="BF10:BF17" si="6">AX10-AW10</f>
        <v>18</v>
      </c>
      <c r="BH10" s="118">
        <f t="shared" ref="BH10:BH17" si="7">AM10-AL10</f>
        <v>46055</v>
      </c>
      <c r="BI10" s="118">
        <f t="shared" ref="BI10:BI17" si="8">AO10-AN10</f>
        <v>3</v>
      </c>
      <c r="BJ10" s="118">
        <f t="shared" ref="BJ10:BJ17" si="9">AQ10-AP10</f>
        <v>3</v>
      </c>
      <c r="BK10" s="118">
        <f t="shared" ref="BK10:BK17" si="10">AS10-AR10</f>
        <v>-1</v>
      </c>
      <c r="BL10" s="118">
        <f t="shared" ref="BL10:BL17" si="11">AU10-AT10</f>
        <v>3</v>
      </c>
      <c r="BM10" s="118">
        <f t="shared" ref="BM10:BM17" si="12">AW10-AV10</f>
        <v>3</v>
      </c>
      <c r="BN10">
        <v>7</v>
      </c>
      <c r="BO10" t="s">
        <v>124</v>
      </c>
      <c r="BP10" t="s">
        <v>125</v>
      </c>
    </row>
    <row r="11" spans="1:68" ht="15" customHeight="1">
      <c r="A11" t="s">
        <v>92</v>
      </c>
      <c r="B11" s="4" t="s">
        <v>93</v>
      </c>
      <c r="C11" s="4" t="s">
        <v>94</v>
      </c>
      <c r="D11" s="102" t="s">
        <v>327</v>
      </c>
      <c r="E11" t="s">
        <v>410</v>
      </c>
      <c r="F11" s="85" t="s">
        <v>211</v>
      </c>
      <c r="G11" t="s">
        <v>2</v>
      </c>
      <c r="H11" t="s">
        <v>97</v>
      </c>
      <c r="I11" t="s">
        <v>72</v>
      </c>
      <c r="K11" t="s">
        <v>198</v>
      </c>
      <c r="L11" t="s">
        <v>73</v>
      </c>
      <c r="M11" t="s">
        <v>98</v>
      </c>
      <c r="N11" t="s">
        <v>99</v>
      </c>
      <c r="O11" t="s">
        <v>411</v>
      </c>
      <c r="P11" t="s">
        <v>200</v>
      </c>
      <c r="AM11" s="113">
        <v>46055</v>
      </c>
      <c r="AN11" s="113">
        <v>46080</v>
      </c>
      <c r="AO11" s="113">
        <v>46083</v>
      </c>
      <c r="AP11" s="113">
        <v>46108</v>
      </c>
      <c r="AQ11" s="113">
        <v>46111</v>
      </c>
      <c r="AR11" s="113">
        <v>46129</v>
      </c>
      <c r="AS11" s="113">
        <v>46128</v>
      </c>
      <c r="AT11" s="113">
        <v>46129</v>
      </c>
      <c r="AU11" s="113">
        <v>46132</v>
      </c>
      <c r="AV11" s="113">
        <v>46150</v>
      </c>
      <c r="AW11" s="113">
        <v>46153</v>
      </c>
      <c r="AX11" s="113">
        <v>46171</v>
      </c>
      <c r="AZ11">
        <f t="shared" si="0"/>
        <v>0</v>
      </c>
      <c r="BA11">
        <f t="shared" si="1"/>
        <v>25</v>
      </c>
      <c r="BB11">
        <f t="shared" si="2"/>
        <v>25</v>
      </c>
      <c r="BC11">
        <f t="shared" si="3"/>
        <v>18</v>
      </c>
      <c r="BD11">
        <f t="shared" si="4"/>
        <v>1</v>
      </c>
      <c r="BE11">
        <f t="shared" si="5"/>
        <v>18</v>
      </c>
      <c r="BF11">
        <f t="shared" si="6"/>
        <v>18</v>
      </c>
      <c r="BH11" s="118">
        <f t="shared" si="7"/>
        <v>46055</v>
      </c>
      <c r="BI11" s="118">
        <f t="shared" si="8"/>
        <v>3</v>
      </c>
      <c r="BJ11" s="118">
        <f t="shared" si="9"/>
        <v>3</v>
      </c>
      <c r="BK11" s="118">
        <f t="shared" si="10"/>
        <v>-1</v>
      </c>
      <c r="BL11" s="118">
        <f t="shared" si="11"/>
        <v>3</v>
      </c>
      <c r="BM11" s="118">
        <f t="shared" si="12"/>
        <v>3</v>
      </c>
      <c r="BN11">
        <v>8</v>
      </c>
      <c r="BO11" t="s">
        <v>471</v>
      </c>
      <c r="BP11" t="s">
        <v>472</v>
      </c>
    </row>
    <row r="12" spans="1:68" ht="15" customHeight="1">
      <c r="A12" t="s">
        <v>92</v>
      </c>
      <c r="B12" s="4" t="s">
        <v>93</v>
      </c>
      <c r="C12" s="4" t="s">
        <v>94</v>
      </c>
      <c r="D12" s="102" t="s">
        <v>327</v>
      </c>
      <c r="E12" t="s">
        <v>214</v>
      </c>
      <c r="F12" s="85" t="s">
        <v>211</v>
      </c>
      <c r="G12" t="s">
        <v>2</v>
      </c>
      <c r="H12" t="s">
        <v>97</v>
      </c>
      <c r="I12" t="s">
        <v>72</v>
      </c>
      <c r="K12" t="s">
        <v>198</v>
      </c>
      <c r="L12" t="s">
        <v>73</v>
      </c>
      <c r="M12" t="s">
        <v>98</v>
      </c>
      <c r="N12" t="s">
        <v>99</v>
      </c>
      <c r="O12" t="s">
        <v>212</v>
      </c>
      <c r="P12" t="s">
        <v>200</v>
      </c>
      <c r="AM12" s="113">
        <v>46055</v>
      </c>
      <c r="AN12" s="113">
        <v>46080</v>
      </c>
      <c r="AO12" s="113">
        <v>46083</v>
      </c>
      <c r="AP12" s="113">
        <v>46108</v>
      </c>
      <c r="AQ12" s="113">
        <v>46111</v>
      </c>
      <c r="AR12" s="113">
        <v>46129</v>
      </c>
      <c r="AS12" s="113">
        <v>46128</v>
      </c>
      <c r="AT12" s="113">
        <v>46129</v>
      </c>
      <c r="AU12" s="113">
        <v>46132</v>
      </c>
      <c r="AV12" s="113">
        <v>46150</v>
      </c>
      <c r="AW12" s="113">
        <v>46153</v>
      </c>
      <c r="AX12" s="113">
        <v>46171</v>
      </c>
      <c r="AZ12">
        <f t="shared" si="0"/>
        <v>0</v>
      </c>
      <c r="BA12">
        <f t="shared" si="1"/>
        <v>25</v>
      </c>
      <c r="BB12">
        <f t="shared" si="2"/>
        <v>25</v>
      </c>
      <c r="BC12">
        <f t="shared" si="3"/>
        <v>18</v>
      </c>
      <c r="BD12">
        <f t="shared" si="4"/>
        <v>1</v>
      </c>
      <c r="BE12">
        <f t="shared" si="5"/>
        <v>18</v>
      </c>
      <c r="BF12">
        <f t="shared" si="6"/>
        <v>18</v>
      </c>
      <c r="BH12" s="118">
        <f t="shared" si="7"/>
        <v>46055</v>
      </c>
      <c r="BI12" s="118">
        <f t="shared" si="8"/>
        <v>3</v>
      </c>
      <c r="BJ12" s="118">
        <f t="shared" si="9"/>
        <v>3</v>
      </c>
      <c r="BK12" s="118">
        <f t="shared" si="10"/>
        <v>-1</v>
      </c>
      <c r="BL12" s="118">
        <f t="shared" si="11"/>
        <v>3</v>
      </c>
      <c r="BM12" s="118">
        <f t="shared" si="12"/>
        <v>3</v>
      </c>
      <c r="BN12">
        <v>9</v>
      </c>
      <c r="BO12" t="s">
        <v>27</v>
      </c>
      <c r="BP12" t="s">
        <v>481</v>
      </c>
    </row>
    <row r="13" spans="1:68">
      <c r="A13" t="s">
        <v>92</v>
      </c>
      <c r="B13" s="4" t="s">
        <v>93</v>
      </c>
      <c r="C13" s="4" t="s">
        <v>94</v>
      </c>
      <c r="D13" s="102" t="s">
        <v>327</v>
      </c>
      <c r="E13" t="s">
        <v>216</v>
      </c>
      <c r="F13" s="85" t="s">
        <v>211</v>
      </c>
      <c r="G13" t="s">
        <v>2</v>
      </c>
      <c r="H13" t="s">
        <v>97</v>
      </c>
      <c r="I13" t="s">
        <v>72</v>
      </c>
      <c r="K13" t="s">
        <v>198</v>
      </c>
      <c r="L13" t="s">
        <v>73</v>
      </c>
      <c r="M13" t="s">
        <v>98</v>
      </c>
      <c r="N13" t="s">
        <v>99</v>
      </c>
      <c r="O13" t="s">
        <v>212</v>
      </c>
      <c r="P13" t="s">
        <v>200</v>
      </c>
      <c r="AM13" s="113">
        <v>46055</v>
      </c>
      <c r="AN13" s="113">
        <v>46080</v>
      </c>
      <c r="AO13" s="113">
        <v>46083</v>
      </c>
      <c r="AP13" s="113">
        <v>46108</v>
      </c>
      <c r="AQ13" s="113">
        <v>46111</v>
      </c>
      <c r="AR13" s="113">
        <v>46129</v>
      </c>
      <c r="AS13" s="113">
        <v>46128</v>
      </c>
      <c r="AT13" s="113">
        <v>46129</v>
      </c>
      <c r="AU13" s="113">
        <v>46132</v>
      </c>
      <c r="AV13" s="113">
        <v>46150</v>
      </c>
      <c r="AW13" s="113">
        <v>46153</v>
      </c>
      <c r="AX13" s="113">
        <v>46171</v>
      </c>
      <c r="AZ13">
        <f t="shared" si="0"/>
        <v>0</v>
      </c>
      <c r="BA13">
        <f t="shared" si="1"/>
        <v>25</v>
      </c>
      <c r="BB13">
        <f t="shared" si="2"/>
        <v>25</v>
      </c>
      <c r="BC13">
        <f t="shared" si="3"/>
        <v>18</v>
      </c>
      <c r="BD13">
        <f t="shared" si="4"/>
        <v>1</v>
      </c>
      <c r="BE13">
        <f t="shared" si="5"/>
        <v>18</v>
      </c>
      <c r="BF13">
        <f t="shared" si="6"/>
        <v>18</v>
      </c>
      <c r="BH13" s="118">
        <f t="shared" si="7"/>
        <v>46055</v>
      </c>
      <c r="BI13" s="118">
        <f t="shared" si="8"/>
        <v>3</v>
      </c>
      <c r="BJ13" s="118">
        <f t="shared" si="9"/>
        <v>3</v>
      </c>
      <c r="BK13" s="118">
        <f t="shared" si="10"/>
        <v>-1</v>
      </c>
      <c r="BL13" s="118">
        <f t="shared" si="11"/>
        <v>3</v>
      </c>
      <c r="BM13" s="118">
        <f t="shared" si="12"/>
        <v>3</v>
      </c>
      <c r="BN13">
        <v>10</v>
      </c>
      <c r="BO13" t="s">
        <v>507</v>
      </c>
      <c r="BP13" t="s">
        <v>508</v>
      </c>
    </row>
    <row r="14" spans="1:68">
      <c r="A14" t="s">
        <v>92</v>
      </c>
      <c r="B14" s="4" t="s">
        <v>93</v>
      </c>
      <c r="C14" s="4" t="s">
        <v>94</v>
      </c>
      <c r="D14" s="102" t="s">
        <v>327</v>
      </c>
      <c r="E14" t="s">
        <v>412</v>
      </c>
      <c r="F14" s="85" t="s">
        <v>211</v>
      </c>
      <c r="G14" t="s">
        <v>2</v>
      </c>
      <c r="H14" t="s">
        <v>97</v>
      </c>
      <c r="I14" t="s">
        <v>72</v>
      </c>
      <c r="K14" t="s">
        <v>198</v>
      </c>
      <c r="L14" t="s">
        <v>73</v>
      </c>
      <c r="M14" t="s">
        <v>98</v>
      </c>
      <c r="N14" t="s">
        <v>99</v>
      </c>
      <c r="O14" t="s">
        <v>212</v>
      </c>
      <c r="P14" t="s">
        <v>200</v>
      </c>
      <c r="AM14" s="113">
        <v>46055</v>
      </c>
      <c r="AN14" s="113">
        <v>46080</v>
      </c>
      <c r="AO14" s="113">
        <v>46083</v>
      </c>
      <c r="AP14" s="113">
        <v>46108</v>
      </c>
      <c r="AQ14" s="113">
        <v>46111</v>
      </c>
      <c r="AR14" s="113">
        <v>46129</v>
      </c>
      <c r="AS14" s="113">
        <v>46128</v>
      </c>
      <c r="AT14" s="113">
        <v>46129</v>
      </c>
      <c r="AU14" s="113">
        <v>46132</v>
      </c>
      <c r="AV14" s="113">
        <v>46150</v>
      </c>
      <c r="AW14" s="113">
        <v>46153</v>
      </c>
      <c r="AX14" s="113">
        <v>46171</v>
      </c>
      <c r="AZ14">
        <f t="shared" si="0"/>
        <v>0</v>
      </c>
      <c r="BA14">
        <f t="shared" si="1"/>
        <v>25</v>
      </c>
      <c r="BB14">
        <f t="shared" si="2"/>
        <v>25</v>
      </c>
      <c r="BC14">
        <f t="shared" si="3"/>
        <v>18</v>
      </c>
      <c r="BD14">
        <f t="shared" si="4"/>
        <v>1</v>
      </c>
      <c r="BE14">
        <f t="shared" si="5"/>
        <v>18</v>
      </c>
      <c r="BF14">
        <f t="shared" si="6"/>
        <v>18</v>
      </c>
      <c r="BH14" s="118">
        <f t="shared" si="7"/>
        <v>46055</v>
      </c>
      <c r="BI14" s="118">
        <f t="shared" si="8"/>
        <v>3</v>
      </c>
      <c r="BJ14" s="118">
        <f t="shared" si="9"/>
        <v>3</v>
      </c>
      <c r="BK14" s="118">
        <f t="shared" si="10"/>
        <v>-1</v>
      </c>
      <c r="BL14" s="118">
        <f t="shared" si="11"/>
        <v>3</v>
      </c>
      <c r="BM14" s="118">
        <f t="shared" si="12"/>
        <v>3</v>
      </c>
      <c r="BN14">
        <v>11</v>
      </c>
      <c r="BO14" t="s">
        <v>511</v>
      </c>
      <c r="BP14" t="s">
        <v>508</v>
      </c>
    </row>
    <row r="15" spans="1:68">
      <c r="A15" t="s">
        <v>92</v>
      </c>
      <c r="B15" s="4" t="s">
        <v>93</v>
      </c>
      <c r="C15" s="4" t="s">
        <v>94</v>
      </c>
      <c r="D15" s="102" t="s">
        <v>327</v>
      </c>
      <c r="E15" t="s">
        <v>221</v>
      </c>
      <c r="F15" s="85" t="s">
        <v>211</v>
      </c>
      <c r="G15" t="s">
        <v>2</v>
      </c>
      <c r="H15" t="s">
        <v>97</v>
      </c>
      <c r="I15" t="s">
        <v>72</v>
      </c>
      <c r="K15" t="s">
        <v>198</v>
      </c>
      <c r="L15" t="s">
        <v>73</v>
      </c>
      <c r="M15" t="s">
        <v>98</v>
      </c>
      <c r="N15" t="s">
        <v>99</v>
      </c>
      <c r="O15" t="s">
        <v>212</v>
      </c>
      <c r="P15" t="s">
        <v>200</v>
      </c>
      <c r="AM15" s="113">
        <v>46055</v>
      </c>
      <c r="AN15" s="113">
        <v>46080</v>
      </c>
      <c r="AO15" s="113">
        <v>46083</v>
      </c>
      <c r="AP15" s="113">
        <v>46108</v>
      </c>
      <c r="AQ15" s="113">
        <v>46111</v>
      </c>
      <c r="AR15" s="113">
        <v>46129</v>
      </c>
      <c r="AS15" s="113">
        <v>46128</v>
      </c>
      <c r="AT15" s="113">
        <v>46129</v>
      </c>
      <c r="AU15" s="113">
        <v>46132</v>
      </c>
      <c r="AV15" s="113">
        <v>46150</v>
      </c>
      <c r="AW15" s="113">
        <v>46153</v>
      </c>
      <c r="AX15" s="113">
        <v>46171</v>
      </c>
      <c r="AZ15">
        <f t="shared" si="0"/>
        <v>0</v>
      </c>
      <c r="BA15">
        <f t="shared" si="1"/>
        <v>25</v>
      </c>
      <c r="BB15">
        <f t="shared" si="2"/>
        <v>25</v>
      </c>
      <c r="BC15">
        <f t="shared" si="3"/>
        <v>18</v>
      </c>
      <c r="BD15">
        <f t="shared" si="4"/>
        <v>1</v>
      </c>
      <c r="BE15">
        <f t="shared" si="5"/>
        <v>18</v>
      </c>
      <c r="BF15">
        <f t="shared" si="6"/>
        <v>18</v>
      </c>
      <c r="BH15" s="118">
        <f t="shared" si="7"/>
        <v>46055</v>
      </c>
      <c r="BI15" s="118">
        <f t="shared" si="8"/>
        <v>3</v>
      </c>
      <c r="BJ15" s="118">
        <f t="shared" si="9"/>
        <v>3</v>
      </c>
      <c r="BK15" s="118">
        <f t="shared" si="10"/>
        <v>-1</v>
      </c>
      <c r="BL15" s="118">
        <f t="shared" si="11"/>
        <v>3</v>
      </c>
      <c r="BM15" s="118">
        <f t="shared" si="12"/>
        <v>3</v>
      </c>
      <c r="BN15">
        <v>12</v>
      </c>
      <c r="BO15" t="s">
        <v>95</v>
      </c>
      <c r="BP15" t="s">
        <v>96</v>
      </c>
    </row>
    <row r="16" spans="1:68">
      <c r="A16" t="s">
        <v>92</v>
      </c>
      <c r="B16" s="4" t="s">
        <v>93</v>
      </c>
      <c r="C16" s="4" t="s">
        <v>94</v>
      </c>
      <c r="D16" s="102" t="s">
        <v>327</v>
      </c>
      <c r="E16" t="s">
        <v>222</v>
      </c>
      <c r="F16" s="85" t="s">
        <v>211</v>
      </c>
      <c r="G16" t="s">
        <v>2</v>
      </c>
      <c r="H16" t="s">
        <v>97</v>
      </c>
      <c r="I16" t="s">
        <v>72</v>
      </c>
      <c r="K16" t="s">
        <v>198</v>
      </c>
      <c r="L16" t="s">
        <v>73</v>
      </c>
      <c r="M16" t="s">
        <v>98</v>
      </c>
      <c r="N16" t="s">
        <v>99</v>
      </c>
      <c r="O16" t="s">
        <v>212</v>
      </c>
      <c r="P16" t="s">
        <v>200</v>
      </c>
      <c r="AM16" s="113">
        <v>46055</v>
      </c>
      <c r="AN16" s="113">
        <v>46080</v>
      </c>
      <c r="AO16" s="113">
        <v>46083</v>
      </c>
      <c r="AP16" s="113">
        <v>46108</v>
      </c>
      <c r="AQ16" s="113">
        <v>46111</v>
      </c>
      <c r="AR16" s="113">
        <v>46129</v>
      </c>
      <c r="AS16" s="113">
        <v>46128</v>
      </c>
      <c r="AT16" s="113">
        <v>46129</v>
      </c>
      <c r="AU16" s="113">
        <v>46132</v>
      </c>
      <c r="AV16" s="113">
        <v>46150</v>
      </c>
      <c r="AW16" s="113">
        <v>46153</v>
      </c>
      <c r="AX16" s="113">
        <v>46171</v>
      </c>
      <c r="AZ16">
        <f t="shared" si="0"/>
        <v>0</v>
      </c>
      <c r="BA16">
        <f t="shared" si="1"/>
        <v>25</v>
      </c>
      <c r="BB16">
        <f t="shared" si="2"/>
        <v>25</v>
      </c>
      <c r="BC16">
        <f t="shared" si="3"/>
        <v>18</v>
      </c>
      <c r="BD16">
        <f t="shared" si="4"/>
        <v>1</v>
      </c>
      <c r="BE16">
        <f t="shared" si="5"/>
        <v>18</v>
      </c>
      <c r="BF16">
        <f t="shared" si="6"/>
        <v>18</v>
      </c>
      <c r="BH16" s="118">
        <f t="shared" si="7"/>
        <v>46055</v>
      </c>
      <c r="BI16" s="118">
        <f t="shared" si="8"/>
        <v>3</v>
      </c>
      <c r="BJ16" s="118">
        <f t="shared" si="9"/>
        <v>3</v>
      </c>
      <c r="BK16" s="118">
        <f t="shared" si="10"/>
        <v>-1</v>
      </c>
      <c r="BL16" s="118">
        <f t="shared" si="11"/>
        <v>3</v>
      </c>
      <c r="BM16" s="118">
        <f t="shared" si="12"/>
        <v>3</v>
      </c>
      <c r="BN16">
        <v>13</v>
      </c>
      <c r="BO16" t="s">
        <v>527</v>
      </c>
      <c r="BP16" t="s">
        <v>508</v>
      </c>
    </row>
    <row r="17" spans="1:68">
      <c r="A17" t="s">
        <v>92</v>
      </c>
      <c r="B17" s="4" t="s">
        <v>93</v>
      </c>
      <c r="C17" s="4" t="s">
        <v>94</v>
      </c>
      <c r="D17" s="102" t="s">
        <v>327</v>
      </c>
      <c r="E17" t="s">
        <v>223</v>
      </c>
      <c r="F17" s="85" t="s">
        <v>211</v>
      </c>
      <c r="G17" t="s">
        <v>2</v>
      </c>
      <c r="H17" t="s">
        <v>97</v>
      </c>
      <c r="I17" t="s">
        <v>72</v>
      </c>
      <c r="K17" t="s">
        <v>198</v>
      </c>
      <c r="L17" t="s">
        <v>73</v>
      </c>
      <c r="M17" t="s">
        <v>98</v>
      </c>
      <c r="N17" t="s">
        <v>99</v>
      </c>
      <c r="O17" t="s">
        <v>212</v>
      </c>
      <c r="P17" t="s">
        <v>200</v>
      </c>
      <c r="AM17" s="113">
        <v>46055</v>
      </c>
      <c r="AN17" s="113">
        <v>46080</v>
      </c>
      <c r="AO17" s="113">
        <v>46083</v>
      </c>
      <c r="AP17" s="113">
        <v>46108</v>
      </c>
      <c r="AQ17" s="113">
        <v>46111</v>
      </c>
      <c r="AR17" s="113">
        <v>46129</v>
      </c>
      <c r="AS17" s="113">
        <v>46128</v>
      </c>
      <c r="AT17" s="113">
        <v>46129</v>
      </c>
      <c r="AU17" s="113">
        <v>46132</v>
      </c>
      <c r="AV17" s="113">
        <v>46150</v>
      </c>
      <c r="AW17" s="113">
        <v>46153</v>
      </c>
      <c r="AX17" s="113">
        <v>46171</v>
      </c>
      <c r="AZ17">
        <f t="shared" si="0"/>
        <v>0</v>
      </c>
      <c r="BA17">
        <f t="shared" si="1"/>
        <v>25</v>
      </c>
      <c r="BB17">
        <f t="shared" si="2"/>
        <v>25</v>
      </c>
      <c r="BC17">
        <f t="shared" si="3"/>
        <v>18</v>
      </c>
      <c r="BD17">
        <f t="shared" si="4"/>
        <v>1</v>
      </c>
      <c r="BE17">
        <f t="shared" si="5"/>
        <v>18</v>
      </c>
      <c r="BF17">
        <f t="shared" si="6"/>
        <v>18</v>
      </c>
      <c r="BH17" s="118">
        <f t="shared" si="7"/>
        <v>46055</v>
      </c>
      <c r="BI17" s="118">
        <f t="shared" si="8"/>
        <v>3</v>
      </c>
      <c r="BJ17" s="118">
        <f t="shared" si="9"/>
        <v>3</v>
      </c>
      <c r="BK17" s="118">
        <f t="shared" si="10"/>
        <v>-1</v>
      </c>
      <c r="BL17" s="118">
        <f t="shared" si="11"/>
        <v>3</v>
      </c>
      <c r="BM17" s="118">
        <f t="shared" si="12"/>
        <v>3</v>
      </c>
      <c r="BN17">
        <v>14</v>
      </c>
      <c r="BO17" t="s">
        <v>528</v>
      </c>
      <c r="BP17" t="s">
        <v>508</v>
      </c>
    </row>
    <row r="18" spans="1:68">
      <c r="A18" s="73" t="s">
        <v>67</v>
      </c>
      <c r="B18" s="73" t="s">
        <v>68</v>
      </c>
      <c r="C18" s="74" t="s">
        <v>48</v>
      </c>
      <c r="D18" s="102" t="s">
        <v>317</v>
      </c>
      <c r="E18" s="73" t="s">
        <v>413</v>
      </c>
      <c r="F18" s="73" t="s">
        <v>414</v>
      </c>
      <c r="G18" s="73" t="s">
        <v>71</v>
      </c>
      <c r="H18" s="73" t="s">
        <v>72</v>
      </c>
      <c r="I18" s="73"/>
      <c r="J18" s="73"/>
      <c r="K18" s="73" t="s">
        <v>347</v>
      </c>
      <c r="L18" s="73" t="s">
        <v>102</v>
      </c>
      <c r="M18" s="73" t="s">
        <v>102</v>
      </c>
      <c r="N18" s="73" t="s">
        <v>102</v>
      </c>
      <c r="O18" s="75" t="s">
        <v>404</v>
      </c>
      <c r="P18" s="73"/>
      <c r="Q18" s="73" t="s">
        <v>405</v>
      </c>
      <c r="R18" s="73" t="s">
        <v>415</v>
      </c>
      <c r="S18" s="73" t="s">
        <v>230</v>
      </c>
      <c r="BN18">
        <v>15</v>
      </c>
      <c r="BO18" t="s">
        <v>529</v>
      </c>
      <c r="BP18" t="s">
        <v>508</v>
      </c>
    </row>
    <row r="19" spans="1:68">
      <c r="A19" s="73" t="s">
        <v>67</v>
      </c>
      <c r="B19" s="74" t="s">
        <v>133</v>
      </c>
      <c r="C19" s="74" t="s">
        <v>134</v>
      </c>
      <c r="D19" s="102"/>
      <c r="E19" s="73" t="s">
        <v>416</v>
      </c>
      <c r="F19" s="73" t="s">
        <v>417</v>
      </c>
      <c r="G19" s="73" t="s">
        <v>102</v>
      </c>
      <c r="H19" s="73" t="s">
        <v>102</v>
      </c>
      <c r="I19" s="73"/>
      <c r="J19" s="73"/>
      <c r="K19" s="73" t="s">
        <v>347</v>
      </c>
      <c r="L19" s="73" t="s">
        <v>102</v>
      </c>
      <c r="M19" s="73" t="s">
        <v>102</v>
      </c>
      <c r="N19" s="73" t="s">
        <v>102</v>
      </c>
      <c r="O19" s="73"/>
      <c r="P19" s="73"/>
      <c r="Q19" s="73"/>
      <c r="R19" s="73"/>
      <c r="BN19">
        <v>16</v>
      </c>
      <c r="BO19" t="s">
        <v>26</v>
      </c>
      <c r="BP19" t="s">
        <v>548</v>
      </c>
    </row>
    <row r="20" spans="1:68">
      <c r="A20" s="73" t="s">
        <v>92</v>
      </c>
      <c r="B20" s="74" t="s">
        <v>93</v>
      </c>
      <c r="C20" s="74" t="s">
        <v>94</v>
      </c>
      <c r="D20" s="104" t="s">
        <v>317</v>
      </c>
      <c r="E20" s="73" t="s">
        <v>418</v>
      </c>
      <c r="F20" s="73" t="s">
        <v>419</v>
      </c>
      <c r="G20" s="73" t="s">
        <v>2</v>
      </c>
      <c r="H20" s="73" t="s">
        <v>97</v>
      </c>
      <c r="I20" s="73" t="s">
        <v>72</v>
      </c>
      <c r="J20" s="73"/>
      <c r="K20" s="73" t="s">
        <v>347</v>
      </c>
      <c r="L20" s="73" t="s">
        <v>102</v>
      </c>
      <c r="M20" s="73" t="s">
        <v>102</v>
      </c>
      <c r="N20" s="73" t="s">
        <v>160</v>
      </c>
      <c r="O20" s="73" t="s">
        <v>420</v>
      </c>
      <c r="P20" s="73" t="s">
        <v>629</v>
      </c>
      <c r="Q20" s="73" t="s">
        <v>44</v>
      </c>
      <c r="R20" s="73" t="s">
        <v>421</v>
      </c>
      <c r="BN20">
        <v>17</v>
      </c>
      <c r="BO20" t="s">
        <v>552</v>
      </c>
      <c r="BP20" t="s">
        <v>553</v>
      </c>
    </row>
    <row r="21" spans="1:68">
      <c r="A21" s="73" t="s">
        <v>92</v>
      </c>
      <c r="B21" s="74" t="s">
        <v>93</v>
      </c>
      <c r="C21" s="74" t="s">
        <v>94</v>
      </c>
      <c r="D21" s="104" t="s">
        <v>317</v>
      </c>
      <c r="E21" s="73" t="s">
        <v>422</v>
      </c>
      <c r="F21" s="73" t="s">
        <v>419</v>
      </c>
      <c r="G21" s="73" t="s">
        <v>2</v>
      </c>
      <c r="H21" s="73" t="s">
        <v>97</v>
      </c>
      <c r="I21" s="73" t="s">
        <v>72</v>
      </c>
      <c r="J21" s="73"/>
      <c r="K21" s="73" t="s">
        <v>347</v>
      </c>
      <c r="L21" s="73" t="s">
        <v>102</v>
      </c>
      <c r="M21" s="73" t="s">
        <v>102</v>
      </c>
      <c r="N21" s="73" t="s">
        <v>424</v>
      </c>
      <c r="O21" s="73" t="s">
        <v>423</v>
      </c>
      <c r="P21" s="73" t="s">
        <v>629</v>
      </c>
      <c r="Q21" s="73" t="s">
        <v>44</v>
      </c>
      <c r="R21" s="73" t="s">
        <v>421</v>
      </c>
      <c r="BN21">
        <v>18</v>
      </c>
      <c r="BO21" t="s">
        <v>558</v>
      </c>
      <c r="BP21" t="s">
        <v>559</v>
      </c>
    </row>
    <row r="22" spans="1:68">
      <c r="A22" s="73" t="s">
        <v>92</v>
      </c>
      <c r="B22" s="74" t="s">
        <v>93</v>
      </c>
      <c r="C22" s="74" t="s">
        <v>94</v>
      </c>
      <c r="D22" s="104" t="s">
        <v>317</v>
      </c>
      <c r="E22" s="73" t="s">
        <v>425</v>
      </c>
      <c r="F22" s="73" t="s">
        <v>419</v>
      </c>
      <c r="G22" s="73" t="s">
        <v>2</v>
      </c>
      <c r="H22" s="73" t="s">
        <v>97</v>
      </c>
      <c r="I22" s="73" t="s">
        <v>72</v>
      </c>
      <c r="J22" s="73"/>
      <c r="K22" s="73" t="s">
        <v>347</v>
      </c>
      <c r="L22" s="73" t="s">
        <v>102</v>
      </c>
      <c r="M22" s="73" t="s">
        <v>102</v>
      </c>
      <c r="N22" s="73" t="s">
        <v>99</v>
      </c>
      <c r="O22" s="73" t="s">
        <v>426</v>
      </c>
      <c r="P22" s="73" t="s">
        <v>629</v>
      </c>
      <c r="Q22" s="73" t="s">
        <v>44</v>
      </c>
      <c r="R22" s="73" t="s">
        <v>421</v>
      </c>
      <c r="BN22">
        <v>19</v>
      </c>
      <c r="BO22" t="s">
        <v>565</v>
      </c>
      <c r="BP22" t="s">
        <v>508</v>
      </c>
    </row>
    <row r="23" spans="1:68">
      <c r="A23" s="73" t="s">
        <v>92</v>
      </c>
      <c r="B23" s="74" t="s">
        <v>93</v>
      </c>
      <c r="C23" s="74" t="s">
        <v>94</v>
      </c>
      <c r="D23" s="104" t="s">
        <v>317</v>
      </c>
      <c r="E23" s="73" t="s">
        <v>427</v>
      </c>
      <c r="F23" s="73" t="s">
        <v>419</v>
      </c>
      <c r="G23" s="73" t="s">
        <v>2</v>
      </c>
      <c r="H23" s="73" t="s">
        <v>97</v>
      </c>
      <c r="I23" s="73" t="s">
        <v>72</v>
      </c>
      <c r="J23" s="73"/>
      <c r="K23" s="73" t="s">
        <v>347</v>
      </c>
      <c r="L23" s="73" t="s">
        <v>102</v>
      </c>
      <c r="M23" s="73" t="s">
        <v>102</v>
      </c>
      <c r="N23" s="73" t="s">
        <v>75</v>
      </c>
      <c r="O23" s="73" t="s">
        <v>428</v>
      </c>
      <c r="P23" s="73" t="s">
        <v>629</v>
      </c>
      <c r="Q23" s="73" t="s">
        <v>44</v>
      </c>
      <c r="R23" s="73" t="s">
        <v>421</v>
      </c>
      <c r="BN23">
        <v>20</v>
      </c>
    </row>
    <row r="24" spans="1:68">
      <c r="A24" s="73" t="s">
        <v>92</v>
      </c>
      <c r="B24" s="74" t="s">
        <v>93</v>
      </c>
      <c r="C24" s="74" t="s">
        <v>94</v>
      </c>
      <c r="D24" s="104" t="s">
        <v>317</v>
      </c>
      <c r="E24" s="73" t="s">
        <v>429</v>
      </c>
      <c r="F24" s="73" t="s">
        <v>419</v>
      </c>
      <c r="G24" s="73" t="s">
        <v>2</v>
      </c>
      <c r="H24" s="73" t="s">
        <v>97</v>
      </c>
      <c r="I24" s="73" t="s">
        <v>72</v>
      </c>
      <c r="J24" s="73"/>
      <c r="K24" s="73" t="s">
        <v>347</v>
      </c>
      <c r="L24" s="73" t="s">
        <v>102</v>
      </c>
      <c r="M24" s="73" t="s">
        <v>102</v>
      </c>
      <c r="N24" s="73" t="s">
        <v>99</v>
      </c>
      <c r="O24" s="73" t="s">
        <v>430</v>
      </c>
      <c r="P24" s="73" t="s">
        <v>629</v>
      </c>
      <c r="Q24" s="73" t="s">
        <v>44</v>
      </c>
      <c r="R24" s="73" t="s">
        <v>421</v>
      </c>
      <c r="BN24">
        <v>21</v>
      </c>
    </row>
    <row r="25" spans="1:68" ht="15" customHeight="1">
      <c r="A25" s="73" t="s">
        <v>92</v>
      </c>
      <c r="B25" s="74" t="s">
        <v>93</v>
      </c>
      <c r="C25" s="74" t="s">
        <v>94</v>
      </c>
      <c r="D25" s="104" t="s">
        <v>317</v>
      </c>
      <c r="E25" s="73" t="s">
        <v>431</v>
      </c>
      <c r="F25" s="73" t="s">
        <v>419</v>
      </c>
      <c r="G25" s="73" t="s">
        <v>2</v>
      </c>
      <c r="H25" s="73" t="s">
        <v>97</v>
      </c>
      <c r="I25" s="73" t="s">
        <v>72</v>
      </c>
      <c r="J25" s="73"/>
      <c r="K25" s="73" t="s">
        <v>347</v>
      </c>
      <c r="L25" s="73" t="s">
        <v>102</v>
      </c>
      <c r="M25" s="73" t="s">
        <v>102</v>
      </c>
      <c r="N25" s="73" t="s">
        <v>433</v>
      </c>
      <c r="O25" s="73" t="s">
        <v>432</v>
      </c>
      <c r="P25" s="73" t="s">
        <v>629</v>
      </c>
      <c r="Q25" s="73" t="s">
        <v>44</v>
      </c>
      <c r="R25" s="73" t="s">
        <v>421</v>
      </c>
      <c r="BN25">
        <v>22</v>
      </c>
    </row>
    <row r="26" spans="1:68" ht="15" customHeight="1">
      <c r="A26" t="s">
        <v>92</v>
      </c>
      <c r="B26" s="4" t="s">
        <v>93</v>
      </c>
      <c r="C26" s="4" t="s">
        <v>94</v>
      </c>
      <c r="D26" s="102" t="s">
        <v>327</v>
      </c>
      <c r="E26" t="s">
        <v>251</v>
      </c>
      <c r="F26" s="85" t="s">
        <v>197</v>
      </c>
      <c r="G26" t="s">
        <v>2</v>
      </c>
      <c r="H26" t="s">
        <v>97</v>
      </c>
      <c r="I26" t="s">
        <v>72</v>
      </c>
      <c r="K26" t="s">
        <v>198</v>
      </c>
      <c r="L26" t="s">
        <v>73</v>
      </c>
      <c r="M26" t="s">
        <v>98</v>
      </c>
      <c r="N26" t="s">
        <v>99</v>
      </c>
      <c r="O26" t="s">
        <v>199</v>
      </c>
      <c r="P26" t="s">
        <v>200</v>
      </c>
      <c r="AM26" s="113">
        <v>46055</v>
      </c>
      <c r="AN26" s="113">
        <v>46080</v>
      </c>
      <c r="AO26" s="113">
        <v>46083</v>
      </c>
      <c r="AP26" s="113">
        <v>46108</v>
      </c>
      <c r="AQ26" s="113">
        <v>46111</v>
      </c>
      <c r="AR26" s="113">
        <v>46129</v>
      </c>
      <c r="AS26" s="113">
        <v>46128</v>
      </c>
      <c r="AT26" s="113">
        <v>46129</v>
      </c>
      <c r="AU26" s="113">
        <v>46132</v>
      </c>
      <c r="AV26" s="113">
        <v>46150</v>
      </c>
      <c r="AW26" s="113">
        <v>46153</v>
      </c>
      <c r="AX26" s="113">
        <v>46171</v>
      </c>
      <c r="AZ26">
        <f>+AL26-AK26</f>
        <v>0</v>
      </c>
      <c r="BA26">
        <f>AN26-AM26</f>
        <v>25</v>
      </c>
      <c r="BB26">
        <f>AP26-AO26</f>
        <v>25</v>
      </c>
      <c r="BC26">
        <f>AR26-AQ26</f>
        <v>18</v>
      </c>
      <c r="BD26">
        <f>AT26-AS26</f>
        <v>1</v>
      </c>
      <c r="BE26">
        <f>AV26-AU26</f>
        <v>18</v>
      </c>
      <c r="BF26">
        <f>AX26-AW26</f>
        <v>18</v>
      </c>
      <c r="BH26" s="118">
        <f>AM26-AL26</f>
        <v>46055</v>
      </c>
      <c r="BI26" s="118">
        <f>AO26-AN26</f>
        <v>3</v>
      </c>
      <c r="BJ26" s="118">
        <f>AQ26-AP26</f>
        <v>3</v>
      </c>
      <c r="BK26" s="118">
        <f>AS26-AR26</f>
        <v>-1</v>
      </c>
      <c r="BL26" s="118">
        <f>AU26-AT26</f>
        <v>3</v>
      </c>
      <c r="BM26" s="118">
        <f>AW26-AV26</f>
        <v>3</v>
      </c>
      <c r="BN26">
        <v>23</v>
      </c>
    </row>
    <row r="27" spans="1:68">
      <c r="A27" s="73" t="s">
        <v>46</v>
      </c>
      <c r="B27" s="76" t="s">
        <v>61</v>
      </c>
      <c r="C27" s="74" t="s">
        <v>48</v>
      </c>
      <c r="D27" s="102"/>
      <c r="E27" s="73" t="s">
        <v>434</v>
      </c>
      <c r="F27" s="73" t="s">
        <v>63</v>
      </c>
      <c r="G27" s="73" t="s">
        <v>102</v>
      </c>
      <c r="H27" s="73" t="s">
        <v>102</v>
      </c>
      <c r="I27" s="73"/>
      <c r="J27" s="73"/>
      <c r="K27" s="73" t="s">
        <v>347</v>
      </c>
      <c r="L27" s="73" t="s">
        <v>102</v>
      </c>
      <c r="M27" s="73" t="s">
        <v>102</v>
      </c>
      <c r="N27" s="73" t="s">
        <v>102</v>
      </c>
      <c r="O27" s="73"/>
      <c r="P27" s="73"/>
      <c r="Q27" s="73"/>
      <c r="R27" s="73"/>
      <c r="BN27">
        <v>24</v>
      </c>
    </row>
    <row r="28" spans="1:68" ht="15" customHeight="1">
      <c r="A28" t="s">
        <v>67</v>
      </c>
      <c r="B28" s="4" t="s">
        <v>133</v>
      </c>
      <c r="C28" s="4" t="s">
        <v>134</v>
      </c>
      <c r="D28" s="102" t="s">
        <v>435</v>
      </c>
      <c r="E28" t="s">
        <v>436</v>
      </c>
      <c r="F28" t="s">
        <v>417</v>
      </c>
      <c r="G28" t="s">
        <v>52</v>
      </c>
      <c r="H28" t="s">
        <v>437</v>
      </c>
      <c r="I28" t="s">
        <v>54</v>
      </c>
      <c r="K28" t="s">
        <v>339</v>
      </c>
      <c r="M28" t="s">
        <v>57</v>
      </c>
      <c r="N28" t="s">
        <v>133</v>
      </c>
      <c r="AU28" s="113">
        <v>46076</v>
      </c>
      <c r="AV28" s="113">
        <v>46101</v>
      </c>
      <c r="AW28" s="113">
        <v>46104</v>
      </c>
      <c r="AX28" s="113">
        <v>46129</v>
      </c>
      <c r="AZ28">
        <f t="shared" ref="AZ28:AZ30" si="13">+AL28-AK28</f>
        <v>0</v>
      </c>
      <c r="BA28">
        <f t="shared" ref="BA28:BA30" si="14">AN28-AM28</f>
        <v>0</v>
      </c>
      <c r="BB28">
        <f t="shared" ref="BB28:BB30" si="15">AP28-AO28</f>
        <v>0</v>
      </c>
      <c r="BC28">
        <f t="shared" ref="BC28:BC30" si="16">AR28-AQ28</f>
        <v>0</v>
      </c>
      <c r="BD28">
        <f t="shared" ref="BD28:BD30" si="17">AT28-AS28</f>
        <v>0</v>
      </c>
      <c r="BE28">
        <f t="shared" ref="BE28:BE30" si="18">AV28-AU28</f>
        <v>25</v>
      </c>
      <c r="BF28">
        <f t="shared" ref="BF28:BF30" si="19">AX28-AW28</f>
        <v>25</v>
      </c>
      <c r="BH28" s="118">
        <f t="shared" ref="BH28:BH30" si="20">AM28-AL28</f>
        <v>0</v>
      </c>
      <c r="BI28" s="118">
        <f t="shared" ref="BI28:BI30" si="21">AO28-AN28</f>
        <v>0</v>
      </c>
      <c r="BJ28" s="118">
        <f t="shared" ref="BJ28:BJ30" si="22">AQ28-AP28</f>
        <v>0</v>
      </c>
      <c r="BK28" s="118">
        <f t="shared" ref="BK28:BK30" si="23">AS28-AR28</f>
        <v>0</v>
      </c>
      <c r="BL28" s="118">
        <f t="shared" ref="BL28:BL30" si="24">AU28-AT28</f>
        <v>46076</v>
      </c>
      <c r="BM28" s="118">
        <f t="shared" ref="BM28:BM30" si="25">AW28-AV28</f>
        <v>3</v>
      </c>
      <c r="BN28">
        <v>25</v>
      </c>
    </row>
    <row r="29" spans="1:68" ht="15" customHeight="1">
      <c r="A29" t="s">
        <v>80</v>
      </c>
      <c r="B29" t="s">
        <v>133</v>
      </c>
      <c r="C29" s="4" t="s">
        <v>134</v>
      </c>
      <c r="D29" s="102" t="s">
        <v>329</v>
      </c>
      <c r="E29" t="s">
        <v>135</v>
      </c>
      <c r="F29" t="s">
        <v>136</v>
      </c>
      <c r="G29" t="s">
        <v>52</v>
      </c>
      <c r="H29" t="s">
        <v>53</v>
      </c>
      <c r="I29" t="s">
        <v>83</v>
      </c>
      <c r="J29" t="s">
        <v>137</v>
      </c>
      <c r="K29" t="s">
        <v>55</v>
      </c>
      <c r="M29" t="s">
        <v>57</v>
      </c>
      <c r="N29" t="s">
        <v>58</v>
      </c>
      <c r="O29" t="s">
        <v>85</v>
      </c>
      <c r="P29" t="s">
        <v>138</v>
      </c>
      <c r="S29" t="s">
        <v>230</v>
      </c>
      <c r="AO29" s="113">
        <v>46056</v>
      </c>
      <c r="AP29" s="113">
        <v>46080</v>
      </c>
      <c r="AQ29" s="113">
        <v>46083</v>
      </c>
      <c r="AR29" s="113">
        <v>46108</v>
      </c>
      <c r="AS29" s="113">
        <v>46107</v>
      </c>
      <c r="AT29" s="113">
        <v>46108</v>
      </c>
      <c r="AU29" s="113">
        <v>46111</v>
      </c>
      <c r="AV29" s="113">
        <v>46136</v>
      </c>
      <c r="AW29" s="113">
        <v>46139</v>
      </c>
      <c r="AX29" s="113">
        <v>46164</v>
      </c>
      <c r="AZ29">
        <f t="shared" si="13"/>
        <v>0</v>
      </c>
      <c r="BA29">
        <f t="shared" si="14"/>
        <v>0</v>
      </c>
      <c r="BB29">
        <f t="shared" si="15"/>
        <v>24</v>
      </c>
      <c r="BC29">
        <f t="shared" si="16"/>
        <v>25</v>
      </c>
      <c r="BD29">
        <f t="shared" si="17"/>
        <v>1</v>
      </c>
      <c r="BE29">
        <f t="shared" si="18"/>
        <v>25</v>
      </c>
      <c r="BF29">
        <f t="shared" si="19"/>
        <v>25</v>
      </c>
      <c r="BH29" s="118">
        <f t="shared" si="20"/>
        <v>0</v>
      </c>
      <c r="BI29" s="118">
        <f t="shared" si="21"/>
        <v>46056</v>
      </c>
      <c r="BJ29" s="118">
        <f t="shared" si="22"/>
        <v>3</v>
      </c>
      <c r="BK29" s="118">
        <f t="shared" si="23"/>
        <v>-1</v>
      </c>
      <c r="BL29" s="118">
        <f t="shared" si="24"/>
        <v>3</v>
      </c>
      <c r="BM29" s="118">
        <f t="shared" si="25"/>
        <v>3</v>
      </c>
      <c r="BN29">
        <v>26</v>
      </c>
    </row>
    <row r="30" spans="1:68" ht="15" customHeight="1">
      <c r="A30" t="s">
        <v>217</v>
      </c>
      <c r="B30" t="s">
        <v>16</v>
      </c>
      <c r="C30" s="4" t="s">
        <v>123</v>
      </c>
      <c r="D30" s="102" t="s">
        <v>435</v>
      </c>
      <c r="E30" t="s">
        <v>438</v>
      </c>
      <c r="F30" t="s">
        <v>439</v>
      </c>
      <c r="G30" t="s">
        <v>52</v>
      </c>
      <c r="H30" t="s">
        <v>219</v>
      </c>
      <c r="I30" t="s">
        <v>83</v>
      </c>
      <c r="J30" t="s">
        <v>440</v>
      </c>
      <c r="K30" t="s">
        <v>339</v>
      </c>
      <c r="M30" t="s">
        <v>57</v>
      </c>
      <c r="N30" t="s">
        <v>16</v>
      </c>
      <c r="AU30" s="113">
        <v>46076</v>
      </c>
      <c r="AV30" s="113">
        <v>46101</v>
      </c>
      <c r="AW30" s="113">
        <v>46104</v>
      </c>
      <c r="AX30" s="113">
        <v>46129</v>
      </c>
      <c r="AZ30">
        <f t="shared" si="13"/>
        <v>0</v>
      </c>
      <c r="BA30">
        <f t="shared" si="14"/>
        <v>0</v>
      </c>
      <c r="BB30">
        <f t="shared" si="15"/>
        <v>0</v>
      </c>
      <c r="BC30">
        <f t="shared" si="16"/>
        <v>0</v>
      </c>
      <c r="BD30">
        <f t="shared" si="17"/>
        <v>0</v>
      </c>
      <c r="BE30">
        <f t="shared" si="18"/>
        <v>25</v>
      </c>
      <c r="BF30">
        <f t="shared" si="19"/>
        <v>25</v>
      </c>
      <c r="BH30" s="118">
        <f t="shared" si="20"/>
        <v>0</v>
      </c>
      <c r="BI30" s="118">
        <f t="shared" si="21"/>
        <v>0</v>
      </c>
      <c r="BJ30" s="118">
        <f t="shared" si="22"/>
        <v>0</v>
      </c>
      <c r="BK30" s="118">
        <f t="shared" si="23"/>
        <v>0</v>
      </c>
      <c r="BL30" s="118">
        <f t="shared" si="24"/>
        <v>46076</v>
      </c>
      <c r="BM30" s="118">
        <f t="shared" si="25"/>
        <v>3</v>
      </c>
      <c r="BN30">
        <v>27</v>
      </c>
    </row>
    <row r="31" spans="1:68" ht="15" customHeight="1">
      <c r="A31" s="73" t="s">
        <v>67</v>
      </c>
      <c r="B31" s="73" t="s">
        <v>68</v>
      </c>
      <c r="C31" s="74" t="s">
        <v>48</v>
      </c>
      <c r="D31" s="102" t="s">
        <v>317</v>
      </c>
      <c r="E31" s="73" t="s">
        <v>441</v>
      </c>
      <c r="F31" s="73" t="s">
        <v>442</v>
      </c>
      <c r="G31" s="73" t="s">
        <v>102</v>
      </c>
      <c r="H31" s="73" t="s">
        <v>102</v>
      </c>
      <c r="I31" s="73"/>
      <c r="J31" s="73"/>
      <c r="K31" s="73" t="s">
        <v>347</v>
      </c>
      <c r="L31" s="73" t="s">
        <v>102</v>
      </c>
      <c r="M31" s="73" t="s">
        <v>102</v>
      </c>
      <c r="N31" s="73" t="s">
        <v>102</v>
      </c>
      <c r="O31" s="77" t="s">
        <v>443</v>
      </c>
      <c r="P31" s="73"/>
      <c r="Q31" s="73"/>
      <c r="R31" s="73"/>
      <c r="S31" t="s">
        <v>230</v>
      </c>
      <c r="BN31">
        <v>28</v>
      </c>
    </row>
    <row r="32" spans="1:68" ht="15" customHeight="1">
      <c r="A32" t="s">
        <v>92</v>
      </c>
      <c r="B32" t="s">
        <v>267</v>
      </c>
      <c r="C32" s="4" t="s">
        <v>268</v>
      </c>
      <c r="D32" s="102" t="s">
        <v>327</v>
      </c>
      <c r="E32" t="s">
        <v>269</v>
      </c>
      <c r="F32" t="s">
        <v>270</v>
      </c>
      <c r="G32" t="s">
        <v>71</v>
      </c>
      <c r="K32" t="s">
        <v>198</v>
      </c>
      <c r="M32" t="s">
        <v>57</v>
      </c>
      <c r="N32" t="s">
        <v>267</v>
      </c>
      <c r="AM32" s="113">
        <v>46056</v>
      </c>
      <c r="AN32" s="113">
        <v>46094</v>
      </c>
      <c r="AO32" s="113">
        <v>46097</v>
      </c>
      <c r="AP32" s="113">
        <v>46115</v>
      </c>
      <c r="AQ32" s="113">
        <v>46118</v>
      </c>
      <c r="AR32" s="113">
        <v>46129</v>
      </c>
      <c r="AS32" s="113">
        <v>46128</v>
      </c>
      <c r="AT32" s="113">
        <v>46129</v>
      </c>
      <c r="AU32" s="113">
        <v>46132</v>
      </c>
      <c r="AV32" s="113">
        <v>46150</v>
      </c>
      <c r="AW32" s="113">
        <v>46153</v>
      </c>
      <c r="AX32" s="113">
        <v>46171</v>
      </c>
      <c r="AZ32">
        <f t="shared" ref="AZ32:AZ34" si="26">+AL32-AK32</f>
        <v>0</v>
      </c>
      <c r="BA32">
        <f>AN32-AM32</f>
        <v>38</v>
      </c>
      <c r="BB32">
        <f t="shared" ref="BB32:BB34" si="27">AP32-AO32</f>
        <v>18</v>
      </c>
      <c r="BC32">
        <f t="shared" ref="BC32:BC34" si="28">AR32-AQ32</f>
        <v>11</v>
      </c>
      <c r="BD32">
        <f t="shared" ref="BD32:BD34" si="29">AT32-AS32</f>
        <v>1</v>
      </c>
      <c r="BE32">
        <f t="shared" ref="BE32:BE34" si="30">AV32-AU32</f>
        <v>18</v>
      </c>
      <c r="BF32">
        <f t="shared" ref="BF32:BF34" si="31">AX32-AW32</f>
        <v>18</v>
      </c>
      <c r="BH32" s="118">
        <f t="shared" ref="BH32:BH34" si="32">AM32-AL32</f>
        <v>46056</v>
      </c>
      <c r="BI32" s="118">
        <f t="shared" ref="BI32:BI34" si="33">AO32-AN32</f>
        <v>3</v>
      </c>
      <c r="BJ32" s="118">
        <f t="shared" ref="BJ32:BJ34" si="34">AQ32-AP32</f>
        <v>3</v>
      </c>
      <c r="BK32" s="118">
        <f t="shared" ref="BK32:BK34" si="35">AS32-AR32</f>
        <v>-1</v>
      </c>
      <c r="BL32" s="118">
        <f t="shared" ref="BL32:BL34" si="36">AU32-AT32</f>
        <v>3</v>
      </c>
      <c r="BM32" s="118">
        <f t="shared" ref="BM32:BM34" si="37">AW32-AV32</f>
        <v>3</v>
      </c>
      <c r="BN32">
        <v>29</v>
      </c>
    </row>
    <row r="33" spans="1:66" ht="15" customHeight="1">
      <c r="A33" t="s">
        <v>92</v>
      </c>
      <c r="B33" t="s">
        <v>16</v>
      </c>
      <c r="C33" s="4" t="s">
        <v>123</v>
      </c>
      <c r="D33" s="102" t="s">
        <v>435</v>
      </c>
      <c r="E33" t="s">
        <v>444</v>
      </c>
      <c r="F33" t="s">
        <v>445</v>
      </c>
      <c r="G33" t="s">
        <v>245</v>
      </c>
      <c r="H33" t="s">
        <v>246</v>
      </c>
      <c r="K33" t="s">
        <v>339</v>
      </c>
      <c r="M33" t="s">
        <v>57</v>
      </c>
      <c r="N33" t="s">
        <v>16</v>
      </c>
      <c r="AU33" s="113">
        <v>46076</v>
      </c>
      <c r="AV33" s="113">
        <v>46101</v>
      </c>
      <c r="AW33" s="113">
        <v>46104</v>
      </c>
      <c r="AX33" s="113">
        <v>46129</v>
      </c>
      <c r="AZ33">
        <f t="shared" si="26"/>
        <v>0</v>
      </c>
      <c r="BA33">
        <f t="shared" ref="BA33:BA34" si="38">AN33-AM33</f>
        <v>0</v>
      </c>
      <c r="BB33">
        <f t="shared" si="27"/>
        <v>0</v>
      </c>
      <c r="BC33">
        <f t="shared" si="28"/>
        <v>0</v>
      </c>
      <c r="BD33">
        <f t="shared" si="29"/>
        <v>0</v>
      </c>
      <c r="BE33">
        <f t="shared" si="30"/>
        <v>25</v>
      </c>
      <c r="BF33">
        <f t="shared" si="31"/>
        <v>25</v>
      </c>
      <c r="BH33" s="118">
        <f t="shared" si="32"/>
        <v>0</v>
      </c>
      <c r="BI33" s="118">
        <f t="shared" si="33"/>
        <v>0</v>
      </c>
      <c r="BJ33" s="118">
        <f t="shared" si="34"/>
        <v>0</v>
      </c>
      <c r="BK33" s="118">
        <f t="shared" si="35"/>
        <v>0</v>
      </c>
      <c r="BL33" s="118">
        <f t="shared" si="36"/>
        <v>46076</v>
      </c>
      <c r="BM33" s="118">
        <f t="shared" si="37"/>
        <v>3</v>
      </c>
      <c r="BN33">
        <v>30</v>
      </c>
    </row>
    <row r="34" spans="1:66" ht="15" customHeight="1">
      <c r="A34" s="19" t="s">
        <v>92</v>
      </c>
      <c r="B34" s="19" t="s">
        <v>4</v>
      </c>
      <c r="C34" s="78" t="s">
        <v>225</v>
      </c>
      <c r="D34" s="102" t="s">
        <v>327</v>
      </c>
      <c r="E34" s="19" t="s">
        <v>272</v>
      </c>
      <c r="F34" s="19" t="s">
        <v>273</v>
      </c>
      <c r="G34" s="19" t="s">
        <v>71</v>
      </c>
      <c r="H34" s="19" t="s">
        <v>274</v>
      </c>
      <c r="I34" s="19" t="s">
        <v>83</v>
      </c>
      <c r="J34" s="19"/>
      <c r="K34" s="19" t="s">
        <v>198</v>
      </c>
      <c r="L34" s="19"/>
      <c r="M34" s="19" t="s">
        <v>57</v>
      </c>
      <c r="N34" s="19" t="s">
        <v>4</v>
      </c>
      <c r="O34" s="19"/>
      <c r="P34" s="19"/>
      <c r="AU34" s="113">
        <v>46111</v>
      </c>
      <c r="AV34" s="113">
        <v>46136</v>
      </c>
      <c r="AW34" s="113">
        <v>46139</v>
      </c>
      <c r="AX34" s="113">
        <v>46157</v>
      </c>
      <c r="AZ34">
        <f t="shared" si="26"/>
        <v>0</v>
      </c>
      <c r="BA34">
        <f t="shared" si="38"/>
        <v>0</v>
      </c>
      <c r="BB34">
        <f t="shared" si="27"/>
        <v>0</v>
      </c>
      <c r="BC34">
        <f t="shared" si="28"/>
        <v>0</v>
      </c>
      <c r="BD34">
        <f t="shared" si="29"/>
        <v>0</v>
      </c>
      <c r="BE34">
        <f t="shared" si="30"/>
        <v>25</v>
      </c>
      <c r="BF34">
        <f t="shared" si="31"/>
        <v>18</v>
      </c>
      <c r="BH34" s="118">
        <f t="shared" si="32"/>
        <v>0</v>
      </c>
      <c r="BI34" s="118">
        <f t="shared" si="33"/>
        <v>0</v>
      </c>
      <c r="BJ34" s="118">
        <f t="shared" si="34"/>
        <v>0</v>
      </c>
      <c r="BK34" s="118">
        <f t="shared" si="35"/>
        <v>0</v>
      </c>
      <c r="BL34" s="118">
        <f t="shared" si="36"/>
        <v>46111</v>
      </c>
      <c r="BM34" s="118">
        <f t="shared" si="37"/>
        <v>3</v>
      </c>
      <c r="BN34">
        <v>31</v>
      </c>
    </row>
    <row r="35" spans="1:66" ht="15" customHeight="1">
      <c r="A35" s="73" t="s">
        <v>92</v>
      </c>
      <c r="B35" s="73" t="s">
        <v>68</v>
      </c>
      <c r="C35" s="74" t="s">
        <v>48</v>
      </c>
      <c r="D35" s="102" t="s">
        <v>317</v>
      </c>
      <c r="E35" s="73" t="s">
        <v>446</v>
      </c>
      <c r="F35" s="73" t="s">
        <v>447</v>
      </c>
      <c r="G35" s="73" t="s">
        <v>71</v>
      </c>
      <c r="H35" s="73" t="s">
        <v>72</v>
      </c>
      <c r="I35" s="73"/>
      <c r="J35" s="73"/>
      <c r="K35" s="73" t="s">
        <v>347</v>
      </c>
      <c r="L35" s="73" t="s">
        <v>102</v>
      </c>
      <c r="M35" s="73" t="s">
        <v>102</v>
      </c>
      <c r="N35" s="73" t="s">
        <v>102</v>
      </c>
      <c r="O35" s="75" t="s">
        <v>404</v>
      </c>
      <c r="P35" s="73"/>
      <c r="Q35" s="73" t="s">
        <v>405</v>
      </c>
      <c r="R35" s="73" t="s">
        <v>448</v>
      </c>
      <c r="S35" s="73" t="s">
        <v>230</v>
      </c>
      <c r="BN35">
        <v>32</v>
      </c>
    </row>
    <row r="36" spans="1:66" ht="15" customHeight="1">
      <c r="A36" s="73" t="s">
        <v>92</v>
      </c>
      <c r="B36" s="73" t="s">
        <v>68</v>
      </c>
      <c r="C36" s="74" t="s">
        <v>48</v>
      </c>
      <c r="D36" s="102" t="s">
        <v>317</v>
      </c>
      <c r="E36" s="73" t="s">
        <v>449</v>
      </c>
      <c r="F36" s="73" t="s">
        <v>450</v>
      </c>
      <c r="G36" s="73" t="s">
        <v>71</v>
      </c>
      <c r="H36" s="73" t="s">
        <v>72</v>
      </c>
      <c r="I36" s="73"/>
      <c r="J36" s="73"/>
      <c r="K36" s="73" t="s">
        <v>347</v>
      </c>
      <c r="L36" s="73" t="s">
        <v>102</v>
      </c>
      <c r="M36" s="73" t="s">
        <v>102</v>
      </c>
      <c r="N36" s="73" t="s">
        <v>102</v>
      </c>
      <c r="O36" s="75" t="s">
        <v>404</v>
      </c>
      <c r="P36" s="73"/>
      <c r="Q36" s="73" t="s">
        <v>405</v>
      </c>
      <c r="R36" s="73" t="s">
        <v>448</v>
      </c>
      <c r="S36" s="73" t="s">
        <v>230</v>
      </c>
      <c r="BN36">
        <v>33</v>
      </c>
    </row>
    <row r="37" spans="1:66" ht="15" customHeight="1">
      <c r="A37" s="73" t="s">
        <v>92</v>
      </c>
      <c r="B37" s="73" t="s">
        <v>68</v>
      </c>
      <c r="C37" s="74" t="s">
        <v>48</v>
      </c>
      <c r="D37" s="102" t="s">
        <v>317</v>
      </c>
      <c r="E37" s="73" t="s">
        <v>451</v>
      </c>
      <c r="F37" s="73" t="s">
        <v>452</v>
      </c>
      <c r="G37" s="73" t="s">
        <v>71</v>
      </c>
      <c r="H37" s="73" t="s">
        <v>72</v>
      </c>
      <c r="I37" s="73"/>
      <c r="J37" s="73"/>
      <c r="K37" s="73" t="s">
        <v>347</v>
      </c>
      <c r="L37" s="73" t="s">
        <v>102</v>
      </c>
      <c r="M37" s="73" t="s">
        <v>102</v>
      </c>
      <c r="N37" s="73" t="s">
        <v>102</v>
      </c>
      <c r="O37" s="75" t="s">
        <v>404</v>
      </c>
      <c r="P37" s="73"/>
      <c r="Q37" s="73" t="s">
        <v>405</v>
      </c>
      <c r="R37" s="73" t="s">
        <v>448</v>
      </c>
      <c r="S37" s="73" t="s">
        <v>230</v>
      </c>
      <c r="BN37">
        <v>34</v>
      </c>
    </row>
    <row r="38" spans="1:66" ht="15" customHeight="1">
      <c r="A38" s="73" t="s">
        <v>92</v>
      </c>
      <c r="B38" s="73" t="s">
        <v>68</v>
      </c>
      <c r="C38" s="74" t="s">
        <v>48</v>
      </c>
      <c r="D38" s="102" t="s">
        <v>317</v>
      </c>
      <c r="E38" s="73" t="s">
        <v>453</v>
      </c>
      <c r="F38" s="73" t="s">
        <v>454</v>
      </c>
      <c r="G38" s="73" t="s">
        <v>71</v>
      </c>
      <c r="H38" s="73" t="s">
        <v>72</v>
      </c>
      <c r="I38" s="73"/>
      <c r="J38" s="73"/>
      <c r="K38" s="73" t="s">
        <v>347</v>
      </c>
      <c r="L38" s="73" t="s">
        <v>102</v>
      </c>
      <c r="M38" s="73" t="s">
        <v>102</v>
      </c>
      <c r="N38" s="73" t="s">
        <v>102</v>
      </c>
      <c r="O38" s="75" t="s">
        <v>404</v>
      </c>
      <c r="P38" s="73"/>
      <c r="Q38" s="73" t="s">
        <v>405</v>
      </c>
      <c r="R38" s="73" t="s">
        <v>448</v>
      </c>
      <c r="S38" s="73" t="s">
        <v>230</v>
      </c>
      <c r="BN38">
        <v>35</v>
      </c>
    </row>
    <row r="39" spans="1:66" ht="15" customHeight="1">
      <c r="A39" t="s">
        <v>67</v>
      </c>
      <c r="B39" t="s">
        <v>68</v>
      </c>
      <c r="C39" s="4" t="s">
        <v>48</v>
      </c>
      <c r="D39" s="102" t="s">
        <v>329</v>
      </c>
      <c r="E39" t="s">
        <v>130</v>
      </c>
      <c r="F39" t="s">
        <v>131</v>
      </c>
      <c r="G39" t="s">
        <v>71</v>
      </c>
      <c r="H39" t="s">
        <v>72</v>
      </c>
      <c r="K39" t="s">
        <v>55</v>
      </c>
      <c r="L39" t="s">
        <v>73</v>
      </c>
      <c r="M39" t="s">
        <v>74</v>
      </c>
      <c r="N39" t="s">
        <v>75</v>
      </c>
      <c r="O39" t="s">
        <v>132</v>
      </c>
      <c r="S39" s="73" t="s">
        <v>230</v>
      </c>
      <c r="AO39" s="113">
        <v>46056</v>
      </c>
      <c r="AP39" s="113">
        <v>46073</v>
      </c>
      <c r="AQ39" s="113">
        <v>46076</v>
      </c>
      <c r="AR39" s="113">
        <v>46094</v>
      </c>
      <c r="AS39" s="113">
        <v>46093</v>
      </c>
      <c r="AT39" s="113">
        <v>46094</v>
      </c>
      <c r="AU39" s="113">
        <v>46097</v>
      </c>
      <c r="AV39" s="113">
        <v>46115</v>
      </c>
      <c r="AW39" s="113">
        <v>46118</v>
      </c>
      <c r="AX39" s="113">
        <v>46136</v>
      </c>
      <c r="AZ39">
        <f t="shared" ref="AZ39:AZ43" si="39">+AL39-AK39</f>
        <v>0</v>
      </c>
      <c r="BA39">
        <f t="shared" ref="BA39:BA43" si="40">AN39-AM39</f>
        <v>0</v>
      </c>
      <c r="BB39">
        <f t="shared" ref="BB39:BB43" si="41">AP39-AO39</f>
        <v>17</v>
      </c>
      <c r="BC39">
        <f t="shared" ref="BC39:BC43" si="42">AR39-AQ39</f>
        <v>18</v>
      </c>
      <c r="BD39">
        <f t="shared" ref="BD39:BD43" si="43">AT39-AS39</f>
        <v>1</v>
      </c>
      <c r="BE39">
        <f t="shared" ref="BE39:BE43" si="44">AV39-AU39</f>
        <v>18</v>
      </c>
      <c r="BF39">
        <f t="shared" ref="BF39:BF43" si="45">AX39-AW39</f>
        <v>18</v>
      </c>
      <c r="BH39" s="118">
        <f t="shared" ref="BH39:BH43" si="46">AM39-AL39</f>
        <v>0</v>
      </c>
      <c r="BI39" s="118">
        <f t="shared" ref="BI39:BI43" si="47">AO39-AN39</f>
        <v>46056</v>
      </c>
      <c r="BJ39" s="118">
        <f t="shared" ref="BJ39:BJ43" si="48">AQ39-AP39</f>
        <v>3</v>
      </c>
      <c r="BK39" s="118">
        <f t="shared" ref="BK39:BK43" si="49">AS39-AR39</f>
        <v>-1</v>
      </c>
      <c r="BL39" s="118">
        <f t="shared" ref="BL39:BL43" si="50">AU39-AT39</f>
        <v>3</v>
      </c>
      <c r="BM39" s="118">
        <f t="shared" ref="BM39:BM43" si="51">AW39-AV39</f>
        <v>3</v>
      </c>
      <c r="BN39">
        <v>36</v>
      </c>
    </row>
    <row r="40" spans="1:66" ht="15" customHeight="1">
      <c r="A40" s="19" t="s">
        <v>67</v>
      </c>
      <c r="B40" s="19" t="s">
        <v>68</v>
      </c>
      <c r="C40" s="78" t="s">
        <v>201</v>
      </c>
      <c r="D40" s="102" t="s">
        <v>327</v>
      </c>
      <c r="E40" s="19" t="s">
        <v>283</v>
      </c>
      <c r="F40" s="19" t="s">
        <v>284</v>
      </c>
      <c r="G40" s="19" t="s">
        <v>71</v>
      </c>
      <c r="H40" s="19" t="s">
        <v>72</v>
      </c>
      <c r="I40" s="19"/>
      <c r="J40" s="37" t="s">
        <v>285</v>
      </c>
      <c r="K40" s="19" t="s">
        <v>198</v>
      </c>
      <c r="L40" s="19" t="s">
        <v>73</v>
      </c>
      <c r="M40" s="19" t="s">
        <v>74</v>
      </c>
      <c r="N40" s="19" t="s">
        <v>160</v>
      </c>
      <c r="O40" s="53" t="s">
        <v>286</v>
      </c>
      <c r="P40" s="19" t="s">
        <v>287</v>
      </c>
      <c r="Q40" s="19"/>
      <c r="R40" s="19"/>
      <c r="S40" s="73" t="s">
        <v>230</v>
      </c>
      <c r="AK40" s="113"/>
      <c r="AL40" s="113"/>
      <c r="AM40" s="113">
        <v>46055</v>
      </c>
      <c r="AN40" s="113">
        <v>46073</v>
      </c>
      <c r="AO40" s="113">
        <v>46076</v>
      </c>
      <c r="AP40" s="113">
        <v>46094</v>
      </c>
      <c r="AQ40" s="113">
        <v>46097</v>
      </c>
      <c r="AR40" s="113">
        <v>46101</v>
      </c>
      <c r="AS40" s="113">
        <v>46100</v>
      </c>
      <c r="AT40" s="113">
        <v>46101</v>
      </c>
      <c r="AU40" s="113">
        <v>46104</v>
      </c>
      <c r="AV40" s="113">
        <v>46122</v>
      </c>
      <c r="AW40" s="113">
        <v>46125</v>
      </c>
      <c r="AX40" s="113">
        <v>46143</v>
      </c>
      <c r="AZ40">
        <f t="shared" si="39"/>
        <v>0</v>
      </c>
      <c r="BA40">
        <f t="shared" si="40"/>
        <v>18</v>
      </c>
      <c r="BB40">
        <f t="shared" si="41"/>
        <v>18</v>
      </c>
      <c r="BC40">
        <f t="shared" si="42"/>
        <v>4</v>
      </c>
      <c r="BD40">
        <f t="shared" si="43"/>
        <v>1</v>
      </c>
      <c r="BE40">
        <f t="shared" si="44"/>
        <v>18</v>
      </c>
      <c r="BF40">
        <f t="shared" si="45"/>
        <v>18</v>
      </c>
      <c r="BH40" s="118">
        <f t="shared" si="46"/>
        <v>46055</v>
      </c>
      <c r="BI40" s="118">
        <f t="shared" si="47"/>
        <v>3</v>
      </c>
      <c r="BJ40" s="118">
        <f t="shared" si="48"/>
        <v>3</v>
      </c>
      <c r="BK40" s="118">
        <f t="shared" si="49"/>
        <v>-1</v>
      </c>
      <c r="BL40" s="118">
        <f t="shared" si="50"/>
        <v>3</v>
      </c>
      <c r="BM40" s="118">
        <f t="shared" si="51"/>
        <v>3</v>
      </c>
      <c r="BN40">
        <v>37</v>
      </c>
    </row>
    <row r="41" spans="1:66" ht="15" customHeight="1">
      <c r="A41" t="s">
        <v>46</v>
      </c>
      <c r="B41" s="3" t="s">
        <v>61</v>
      </c>
      <c r="C41" s="4" t="s">
        <v>48</v>
      </c>
      <c r="D41" s="102" t="s">
        <v>329</v>
      </c>
      <c r="E41" t="s">
        <v>128</v>
      </c>
      <c r="F41" t="s">
        <v>129</v>
      </c>
      <c r="G41" t="s">
        <v>52</v>
      </c>
      <c r="H41" t="s">
        <v>64</v>
      </c>
      <c r="I41" t="s">
        <v>54</v>
      </c>
      <c r="K41" t="s">
        <v>55</v>
      </c>
      <c r="M41" t="s">
        <v>57</v>
      </c>
      <c r="N41" t="s">
        <v>58</v>
      </c>
      <c r="AO41" s="113">
        <v>46056</v>
      </c>
      <c r="AP41" s="113">
        <v>46080</v>
      </c>
      <c r="AQ41" s="113">
        <v>46083</v>
      </c>
      <c r="AR41" s="113">
        <v>46108</v>
      </c>
      <c r="AS41" s="113">
        <v>46107</v>
      </c>
      <c r="AT41" s="113">
        <v>46108</v>
      </c>
      <c r="AU41" s="113">
        <v>46111</v>
      </c>
      <c r="AV41" s="113">
        <v>46136</v>
      </c>
      <c r="AW41" s="113">
        <v>46139</v>
      </c>
      <c r="AX41" s="113">
        <v>46164</v>
      </c>
      <c r="AZ41">
        <f t="shared" si="39"/>
        <v>0</v>
      </c>
      <c r="BA41">
        <f t="shared" si="40"/>
        <v>0</v>
      </c>
      <c r="BB41">
        <f t="shared" si="41"/>
        <v>24</v>
      </c>
      <c r="BC41">
        <f t="shared" si="42"/>
        <v>25</v>
      </c>
      <c r="BD41">
        <f t="shared" si="43"/>
        <v>1</v>
      </c>
      <c r="BE41">
        <f t="shared" si="44"/>
        <v>25</v>
      </c>
      <c r="BF41">
        <f t="shared" si="45"/>
        <v>25</v>
      </c>
      <c r="BH41" s="118">
        <f t="shared" si="46"/>
        <v>0</v>
      </c>
      <c r="BI41" s="118">
        <f t="shared" si="47"/>
        <v>46056</v>
      </c>
      <c r="BJ41" s="118">
        <f t="shared" si="48"/>
        <v>3</v>
      </c>
      <c r="BK41" s="118">
        <f t="shared" si="49"/>
        <v>-1</v>
      </c>
      <c r="BL41" s="118">
        <f t="shared" si="50"/>
        <v>3</v>
      </c>
      <c r="BM41" s="118">
        <f t="shared" si="51"/>
        <v>3</v>
      </c>
      <c r="BN41">
        <v>38</v>
      </c>
    </row>
    <row r="42" spans="1:66" ht="15" customHeight="1">
      <c r="A42" t="s">
        <v>46</v>
      </c>
      <c r="B42" t="s">
        <v>47</v>
      </c>
      <c r="C42" s="4" t="s">
        <v>48</v>
      </c>
      <c r="D42" s="102" t="s">
        <v>327</v>
      </c>
      <c r="E42" t="s">
        <v>290</v>
      </c>
      <c r="F42" t="s">
        <v>291</v>
      </c>
      <c r="G42" t="s">
        <v>126</v>
      </c>
      <c r="I42" t="s">
        <v>83</v>
      </c>
      <c r="J42" t="s">
        <v>292</v>
      </c>
      <c r="K42" t="s">
        <v>198</v>
      </c>
      <c r="M42" t="s">
        <v>57</v>
      </c>
      <c r="N42" t="s">
        <v>16</v>
      </c>
      <c r="AM42" s="113">
        <v>46062</v>
      </c>
      <c r="AN42" s="113">
        <v>46080</v>
      </c>
      <c r="AO42" s="113">
        <v>46083</v>
      </c>
      <c r="AP42" s="113">
        <v>46101</v>
      </c>
      <c r="AQ42" s="113">
        <v>46104</v>
      </c>
      <c r="AR42" s="113">
        <v>46108</v>
      </c>
      <c r="AS42" s="113">
        <v>46107</v>
      </c>
      <c r="AT42" s="113">
        <v>46108</v>
      </c>
      <c r="AU42" s="113">
        <v>46111</v>
      </c>
      <c r="AV42" s="113">
        <v>46129</v>
      </c>
      <c r="AW42" s="113">
        <v>46132</v>
      </c>
      <c r="AX42" s="113">
        <v>46143</v>
      </c>
      <c r="AZ42">
        <f t="shared" si="39"/>
        <v>0</v>
      </c>
      <c r="BA42">
        <f t="shared" si="40"/>
        <v>18</v>
      </c>
      <c r="BB42">
        <f t="shared" si="41"/>
        <v>18</v>
      </c>
      <c r="BC42">
        <f t="shared" si="42"/>
        <v>4</v>
      </c>
      <c r="BD42">
        <f t="shared" si="43"/>
        <v>1</v>
      </c>
      <c r="BE42">
        <f t="shared" si="44"/>
        <v>18</v>
      </c>
      <c r="BF42">
        <f t="shared" si="45"/>
        <v>11</v>
      </c>
      <c r="BH42" s="118">
        <f t="shared" si="46"/>
        <v>46062</v>
      </c>
      <c r="BI42" s="118">
        <f t="shared" si="47"/>
        <v>3</v>
      </c>
      <c r="BJ42" s="118">
        <f t="shared" si="48"/>
        <v>3</v>
      </c>
      <c r="BK42" s="118">
        <f t="shared" si="49"/>
        <v>-1</v>
      </c>
      <c r="BL42" s="118">
        <f t="shared" si="50"/>
        <v>3</v>
      </c>
      <c r="BM42" s="118">
        <f t="shared" si="51"/>
        <v>3</v>
      </c>
      <c r="BN42">
        <v>39</v>
      </c>
    </row>
    <row r="43" spans="1:66" ht="15" customHeight="1">
      <c r="A43" t="s">
        <v>46</v>
      </c>
      <c r="B43" t="s">
        <v>16</v>
      </c>
      <c r="C43" s="4" t="s">
        <v>123</v>
      </c>
      <c r="D43" s="102" t="s">
        <v>329</v>
      </c>
      <c r="E43" t="s">
        <v>124</v>
      </c>
      <c r="F43" t="s">
        <v>125</v>
      </c>
      <c r="G43" t="s">
        <v>126</v>
      </c>
      <c r="I43" t="s">
        <v>83</v>
      </c>
      <c r="J43" t="s">
        <v>127</v>
      </c>
      <c r="K43" t="s">
        <v>55</v>
      </c>
      <c r="M43" t="s">
        <v>57</v>
      </c>
      <c r="N43" t="s">
        <v>16</v>
      </c>
      <c r="AO43" s="113">
        <v>46056</v>
      </c>
      <c r="AP43" s="113">
        <v>46080</v>
      </c>
      <c r="AQ43" s="113">
        <v>46083</v>
      </c>
      <c r="AR43" s="113">
        <v>46108</v>
      </c>
      <c r="AS43" s="113">
        <v>46107</v>
      </c>
      <c r="AT43" s="113">
        <v>46108</v>
      </c>
      <c r="AU43" s="113">
        <v>46111</v>
      </c>
      <c r="AV43" s="113">
        <v>46136</v>
      </c>
      <c r="AW43" s="113">
        <v>46139</v>
      </c>
      <c r="AX43" s="113">
        <v>46164</v>
      </c>
      <c r="AZ43">
        <f t="shared" si="39"/>
        <v>0</v>
      </c>
      <c r="BA43">
        <f t="shared" si="40"/>
        <v>0</v>
      </c>
      <c r="BB43">
        <f t="shared" si="41"/>
        <v>24</v>
      </c>
      <c r="BC43">
        <f t="shared" si="42"/>
        <v>25</v>
      </c>
      <c r="BD43">
        <f t="shared" si="43"/>
        <v>1</v>
      </c>
      <c r="BE43">
        <f t="shared" si="44"/>
        <v>25</v>
      </c>
      <c r="BF43">
        <f t="shared" si="45"/>
        <v>25</v>
      </c>
      <c r="BH43" s="118">
        <f t="shared" si="46"/>
        <v>0</v>
      </c>
      <c r="BI43" s="118">
        <f t="shared" si="47"/>
        <v>46056</v>
      </c>
      <c r="BJ43" s="118">
        <f t="shared" si="48"/>
        <v>3</v>
      </c>
      <c r="BK43" s="118">
        <f t="shared" si="49"/>
        <v>-1</v>
      </c>
      <c r="BL43" s="118">
        <f t="shared" si="50"/>
        <v>3</v>
      </c>
      <c r="BM43" s="118">
        <f t="shared" si="51"/>
        <v>3</v>
      </c>
      <c r="BN43">
        <v>40</v>
      </c>
    </row>
    <row r="44" spans="1:66" ht="15" customHeight="1">
      <c r="A44" s="73" t="s">
        <v>92</v>
      </c>
      <c r="B44" s="74" t="s">
        <v>93</v>
      </c>
      <c r="C44" s="74" t="s">
        <v>94</v>
      </c>
      <c r="D44" s="104" t="s">
        <v>317</v>
      </c>
      <c r="E44" s="73" t="s">
        <v>455</v>
      </c>
      <c r="F44" s="73" t="s">
        <v>456</v>
      </c>
      <c r="G44" s="73" t="s">
        <v>2</v>
      </c>
      <c r="H44" s="73" t="s">
        <v>97</v>
      </c>
      <c r="I44" s="73" t="s">
        <v>72</v>
      </c>
      <c r="J44" s="73"/>
      <c r="K44" s="73" t="s">
        <v>347</v>
      </c>
      <c r="L44" s="73" t="s">
        <v>102</v>
      </c>
      <c r="M44" s="73" t="s">
        <v>102</v>
      </c>
      <c r="N44" s="73" t="s">
        <v>102</v>
      </c>
      <c r="O44" s="73"/>
      <c r="P44" s="73"/>
      <c r="Q44" s="73" t="s">
        <v>405</v>
      </c>
      <c r="R44" s="73" t="s">
        <v>457</v>
      </c>
      <c r="BN44">
        <v>41</v>
      </c>
    </row>
    <row r="45" spans="1:66" ht="15" customHeight="1">
      <c r="A45" s="73" t="s">
        <v>92</v>
      </c>
      <c r="B45" s="74" t="s">
        <v>93</v>
      </c>
      <c r="C45" s="74" t="s">
        <v>94</v>
      </c>
      <c r="D45" s="102" t="s">
        <v>317</v>
      </c>
      <c r="E45" s="73" t="s">
        <v>458</v>
      </c>
      <c r="F45" s="73" t="s">
        <v>459</v>
      </c>
      <c r="G45" s="73" t="s">
        <v>2</v>
      </c>
      <c r="H45" s="73" t="s">
        <v>97</v>
      </c>
      <c r="I45" s="73" t="s">
        <v>72</v>
      </c>
      <c r="J45" s="73"/>
      <c r="K45" s="73" t="s">
        <v>347</v>
      </c>
      <c r="L45" s="73" t="s">
        <v>102</v>
      </c>
      <c r="M45" s="73" t="s">
        <v>102</v>
      </c>
      <c r="N45" s="73" t="s">
        <v>102</v>
      </c>
      <c r="O45" s="73"/>
      <c r="P45" s="73"/>
      <c r="Q45" s="73" t="s">
        <v>405</v>
      </c>
      <c r="R45" s="73" t="s">
        <v>457</v>
      </c>
      <c r="BN45">
        <v>42</v>
      </c>
    </row>
    <row r="46" spans="1:66" ht="15" customHeight="1">
      <c r="A46" t="s">
        <v>67</v>
      </c>
      <c r="B46" t="s">
        <v>68</v>
      </c>
      <c r="C46" s="4" t="s">
        <v>48</v>
      </c>
      <c r="D46" s="102" t="s">
        <v>329</v>
      </c>
      <c r="E46" t="s">
        <v>120</v>
      </c>
      <c r="F46" t="s">
        <v>121</v>
      </c>
      <c r="G46" t="s">
        <v>71</v>
      </c>
      <c r="H46" t="s">
        <v>72</v>
      </c>
      <c r="K46" t="s">
        <v>55</v>
      </c>
      <c r="L46" t="s">
        <v>73</v>
      </c>
      <c r="M46" t="s">
        <v>74</v>
      </c>
      <c r="N46" t="s">
        <v>75</v>
      </c>
      <c r="O46" t="s">
        <v>122</v>
      </c>
      <c r="S46" t="s">
        <v>230</v>
      </c>
      <c r="AO46" s="113">
        <v>46056</v>
      </c>
      <c r="AP46" s="113">
        <v>46073</v>
      </c>
      <c r="AQ46" s="113">
        <v>46076</v>
      </c>
      <c r="AR46" s="113">
        <v>46094</v>
      </c>
      <c r="AS46" s="113">
        <v>46093</v>
      </c>
      <c r="AT46" s="113">
        <v>46094</v>
      </c>
      <c r="AU46" s="113">
        <v>46097</v>
      </c>
      <c r="AV46" s="113">
        <v>46115</v>
      </c>
      <c r="AW46" s="113">
        <v>46118</v>
      </c>
      <c r="AX46" s="113">
        <v>46136</v>
      </c>
      <c r="AZ46">
        <f>+AL46-AK46</f>
        <v>0</v>
      </c>
      <c r="BA46">
        <f>AN46-AM46</f>
        <v>0</v>
      </c>
      <c r="BB46">
        <f>AP46-AO46</f>
        <v>17</v>
      </c>
      <c r="BC46">
        <f>AR46-AQ46</f>
        <v>18</v>
      </c>
      <c r="BD46">
        <f>AT46-AS46</f>
        <v>1</v>
      </c>
      <c r="BE46">
        <f>AV46-AU46</f>
        <v>18</v>
      </c>
      <c r="BF46">
        <f>AX46-AW46</f>
        <v>18</v>
      </c>
      <c r="BH46" s="118">
        <f>AM46-AL46</f>
        <v>0</v>
      </c>
      <c r="BI46" s="118">
        <f>AO46-AN46</f>
        <v>46056</v>
      </c>
      <c r="BJ46" s="118">
        <f>AQ46-AP46</f>
        <v>3</v>
      </c>
      <c r="BK46" s="118">
        <f>AS46-AR46</f>
        <v>-1</v>
      </c>
      <c r="BL46" s="118">
        <f>AU46-AT46</f>
        <v>3</v>
      </c>
      <c r="BM46" s="118">
        <f>AW46-AV46</f>
        <v>3</v>
      </c>
      <c r="BN46">
        <v>43</v>
      </c>
    </row>
    <row r="47" spans="1:66" ht="15" customHeight="1">
      <c r="A47" s="73" t="s">
        <v>92</v>
      </c>
      <c r="B47" s="74" t="s">
        <v>93</v>
      </c>
      <c r="C47" s="74" t="s">
        <v>94</v>
      </c>
      <c r="D47" s="104" t="s">
        <v>317</v>
      </c>
      <c r="E47" s="73" t="s">
        <v>460</v>
      </c>
      <c r="F47" s="73" t="s">
        <v>461</v>
      </c>
      <c r="G47" s="73" t="s">
        <v>2</v>
      </c>
      <c r="H47" s="73" t="s">
        <v>97</v>
      </c>
      <c r="I47" s="73" t="s">
        <v>72</v>
      </c>
      <c r="J47" s="73"/>
      <c r="K47" s="73" t="s">
        <v>347</v>
      </c>
      <c r="L47" s="73" t="s">
        <v>102</v>
      </c>
      <c r="M47" s="73" t="s">
        <v>102</v>
      </c>
      <c r="N47" s="73" t="s">
        <v>102</v>
      </c>
      <c r="O47" s="73"/>
      <c r="P47" s="73"/>
      <c r="Q47" s="73" t="s">
        <v>405</v>
      </c>
      <c r="R47" s="73" t="s">
        <v>463</v>
      </c>
      <c r="BN47">
        <v>44</v>
      </c>
    </row>
    <row r="48" spans="1:66" ht="15" customHeight="1">
      <c r="A48" t="s">
        <v>46</v>
      </c>
      <c r="B48" s="3" t="s">
        <v>61</v>
      </c>
      <c r="C48" s="4" t="s">
        <v>48</v>
      </c>
      <c r="D48" s="102" t="s">
        <v>329</v>
      </c>
      <c r="E48" t="s">
        <v>118</v>
      </c>
      <c r="F48" t="s">
        <v>66</v>
      </c>
      <c r="G48" t="s">
        <v>52</v>
      </c>
      <c r="H48" t="s">
        <v>119</v>
      </c>
      <c r="I48" t="s">
        <v>54</v>
      </c>
      <c r="K48" t="s">
        <v>55</v>
      </c>
      <c r="M48" t="s">
        <v>57</v>
      </c>
      <c r="N48" t="s">
        <v>58</v>
      </c>
      <c r="AO48" s="113">
        <v>46056</v>
      </c>
      <c r="AP48" s="113">
        <v>46080</v>
      </c>
      <c r="AQ48" s="113">
        <v>46083</v>
      </c>
      <c r="AR48" s="113">
        <v>46108</v>
      </c>
      <c r="AS48" s="113">
        <v>46107</v>
      </c>
      <c r="AT48" s="113">
        <v>46108</v>
      </c>
      <c r="AU48" s="113">
        <v>46111</v>
      </c>
      <c r="AV48" s="113">
        <v>46136</v>
      </c>
      <c r="AW48" s="113">
        <v>46139</v>
      </c>
      <c r="AX48" s="113">
        <v>46164</v>
      </c>
      <c r="AZ48">
        <f>+AL48-AK48</f>
        <v>0</v>
      </c>
      <c r="BA48">
        <f>AN48-AM48</f>
        <v>0</v>
      </c>
      <c r="BB48">
        <f>AP48-AO48</f>
        <v>24</v>
      </c>
      <c r="BC48">
        <f>AR48-AQ48</f>
        <v>25</v>
      </c>
      <c r="BD48">
        <f>AT48-AS48</f>
        <v>1</v>
      </c>
      <c r="BE48">
        <f>AV48-AU48</f>
        <v>25</v>
      </c>
      <c r="BF48">
        <f>AX48-AW48</f>
        <v>25</v>
      </c>
      <c r="BH48" s="118">
        <f>AM48-AL48</f>
        <v>0</v>
      </c>
      <c r="BI48" s="118">
        <f>AO48-AN48</f>
        <v>46056</v>
      </c>
      <c r="BJ48" s="118">
        <f>AQ48-AP48</f>
        <v>3</v>
      </c>
      <c r="BK48" s="118">
        <f>AS48-AR48</f>
        <v>-1</v>
      </c>
      <c r="BL48" s="118">
        <f>AU48-AT48</f>
        <v>3</v>
      </c>
      <c r="BM48" s="118">
        <f>AW48-AV48</f>
        <v>3</v>
      </c>
      <c r="BN48">
        <v>45</v>
      </c>
    </row>
    <row r="49" spans="1:66" ht="15" customHeight="1">
      <c r="A49" s="73" t="s">
        <v>67</v>
      </c>
      <c r="B49" s="74" t="s">
        <v>133</v>
      </c>
      <c r="C49" s="74" t="s">
        <v>134</v>
      </c>
      <c r="D49" s="102"/>
      <c r="E49" s="73" t="s">
        <v>464</v>
      </c>
      <c r="F49" s="73" t="s">
        <v>417</v>
      </c>
      <c r="G49" s="73" t="s">
        <v>102</v>
      </c>
      <c r="H49" s="73" t="s">
        <v>102</v>
      </c>
      <c r="I49" s="73"/>
      <c r="J49" s="73"/>
      <c r="K49" s="73" t="s">
        <v>347</v>
      </c>
      <c r="L49" s="73" t="s">
        <v>102</v>
      </c>
      <c r="M49" s="73" t="s">
        <v>102</v>
      </c>
      <c r="N49" s="73" t="s">
        <v>102</v>
      </c>
      <c r="O49" s="73"/>
      <c r="P49" s="73"/>
      <c r="Q49" s="73"/>
      <c r="R49" s="73"/>
      <c r="BN49">
        <v>46</v>
      </c>
    </row>
    <row r="50" spans="1:66" ht="15" customHeight="1">
      <c r="A50" t="s">
        <v>46</v>
      </c>
      <c r="B50" s="3" t="s">
        <v>61</v>
      </c>
      <c r="C50" s="4" t="s">
        <v>48</v>
      </c>
      <c r="D50" s="102" t="s">
        <v>329</v>
      </c>
      <c r="E50" t="s">
        <v>117</v>
      </c>
      <c r="F50" t="s">
        <v>63</v>
      </c>
      <c r="G50" t="s">
        <v>52</v>
      </c>
      <c r="H50" t="s">
        <v>64</v>
      </c>
      <c r="I50" t="s">
        <v>54</v>
      </c>
      <c r="K50" t="s">
        <v>55</v>
      </c>
      <c r="M50" t="s">
        <v>57</v>
      </c>
      <c r="N50" t="s">
        <v>58</v>
      </c>
      <c r="AO50" s="113">
        <v>46056</v>
      </c>
      <c r="AP50" s="113">
        <v>46080</v>
      </c>
      <c r="AQ50" s="113">
        <v>46083</v>
      </c>
      <c r="AR50" s="113">
        <v>46108</v>
      </c>
      <c r="AS50" s="113">
        <v>46107</v>
      </c>
      <c r="AT50" s="113">
        <v>46108</v>
      </c>
      <c r="AU50" s="113">
        <v>46111</v>
      </c>
      <c r="AV50" s="113">
        <v>46136</v>
      </c>
      <c r="AW50" s="113">
        <v>46139</v>
      </c>
      <c r="AX50" s="113">
        <v>46164</v>
      </c>
      <c r="AZ50">
        <f t="shared" ref="AZ50:AZ52" si="52">+AL50-AK50</f>
        <v>0</v>
      </c>
      <c r="BA50">
        <f t="shared" ref="BA50:BA52" si="53">AN50-AM50</f>
        <v>0</v>
      </c>
      <c r="BB50">
        <f t="shared" ref="BB50:BB52" si="54">AP50-AO50</f>
        <v>24</v>
      </c>
      <c r="BC50">
        <f t="shared" ref="BC50:BC52" si="55">AR50-AQ50</f>
        <v>25</v>
      </c>
      <c r="BD50">
        <f t="shared" ref="BD50:BD52" si="56">AT50-AS50</f>
        <v>1</v>
      </c>
      <c r="BE50">
        <f t="shared" ref="BE50:BE52" si="57">AV50-AU50</f>
        <v>25</v>
      </c>
      <c r="BF50">
        <f t="shared" ref="BF50:BF52" si="58">AX50-AW50</f>
        <v>25</v>
      </c>
      <c r="BH50" s="118">
        <f t="shared" ref="BH50:BH52" si="59">AM50-AL50</f>
        <v>0</v>
      </c>
      <c r="BI50" s="118">
        <f t="shared" ref="BI50:BI52" si="60">AO50-AN50</f>
        <v>46056</v>
      </c>
      <c r="BJ50" s="118">
        <f t="shared" ref="BJ50:BJ52" si="61">AQ50-AP50</f>
        <v>3</v>
      </c>
      <c r="BK50" s="118">
        <f t="shared" ref="BK50:BK52" si="62">AS50-AR50</f>
        <v>-1</v>
      </c>
      <c r="BL50" s="118">
        <f t="shared" ref="BL50:BL52" si="63">AU50-AT50</f>
        <v>3</v>
      </c>
      <c r="BM50" s="118">
        <f t="shared" ref="BM50:BM52" si="64">AW50-AV50</f>
        <v>3</v>
      </c>
      <c r="BN50">
        <v>47</v>
      </c>
    </row>
    <row r="51" spans="1:66" ht="15" customHeight="1">
      <c r="A51" s="19" t="s">
        <v>80</v>
      </c>
      <c r="B51" s="19" t="s">
        <v>68</v>
      </c>
      <c r="C51" s="78" t="s">
        <v>201</v>
      </c>
      <c r="D51" s="102" t="s">
        <v>327</v>
      </c>
      <c r="E51" s="19" t="s">
        <v>465</v>
      </c>
      <c r="F51" s="19" t="s">
        <v>466</v>
      </c>
      <c r="G51" s="19" t="s">
        <v>71</v>
      </c>
      <c r="H51" s="19" t="s">
        <v>72</v>
      </c>
      <c r="I51" s="19"/>
      <c r="J51" s="19" t="s">
        <v>630</v>
      </c>
      <c r="K51" s="19" t="s">
        <v>198</v>
      </c>
      <c r="L51" s="19" t="s">
        <v>73</v>
      </c>
      <c r="M51" s="19" t="s">
        <v>74</v>
      </c>
      <c r="N51" s="19" t="s">
        <v>160</v>
      </c>
      <c r="O51" s="54" t="s">
        <v>631</v>
      </c>
      <c r="P51" s="19"/>
      <c r="Q51" s="19"/>
      <c r="R51" s="19"/>
      <c r="S51" s="19" t="s">
        <v>230</v>
      </c>
      <c r="AK51" s="113"/>
      <c r="AL51" s="113"/>
      <c r="AM51" s="113">
        <v>46055</v>
      </c>
      <c r="AN51" s="113">
        <v>46073</v>
      </c>
      <c r="AO51" s="113">
        <v>46076</v>
      </c>
      <c r="AP51" s="113">
        <v>46094</v>
      </c>
      <c r="AQ51" s="113">
        <v>46097</v>
      </c>
      <c r="AR51" s="113">
        <v>46101</v>
      </c>
      <c r="AS51" s="113">
        <v>46100</v>
      </c>
      <c r="AT51" s="113">
        <v>46101</v>
      </c>
      <c r="AU51" s="113">
        <v>46104</v>
      </c>
      <c r="AV51" s="113">
        <v>46122</v>
      </c>
      <c r="AW51" s="113">
        <v>46125</v>
      </c>
      <c r="AX51" s="113">
        <v>46143</v>
      </c>
      <c r="AZ51">
        <f t="shared" si="52"/>
        <v>0</v>
      </c>
      <c r="BA51">
        <f t="shared" si="53"/>
        <v>18</v>
      </c>
      <c r="BB51">
        <f t="shared" si="54"/>
        <v>18</v>
      </c>
      <c r="BC51">
        <f t="shared" si="55"/>
        <v>4</v>
      </c>
      <c r="BD51">
        <f t="shared" si="56"/>
        <v>1</v>
      </c>
      <c r="BE51">
        <f t="shared" si="57"/>
        <v>18</v>
      </c>
      <c r="BF51">
        <f t="shared" si="58"/>
        <v>18</v>
      </c>
      <c r="BH51" s="118">
        <f t="shared" si="59"/>
        <v>46055</v>
      </c>
      <c r="BI51" s="118">
        <f t="shared" si="60"/>
        <v>3</v>
      </c>
      <c r="BJ51" s="118">
        <f t="shared" si="61"/>
        <v>3</v>
      </c>
      <c r="BK51" s="118">
        <f t="shared" si="62"/>
        <v>-1</v>
      </c>
      <c r="BL51" s="118">
        <f t="shared" si="63"/>
        <v>3</v>
      </c>
      <c r="BM51" s="118">
        <f t="shared" si="64"/>
        <v>3</v>
      </c>
      <c r="BN51">
        <v>48</v>
      </c>
    </row>
    <row r="52" spans="1:66" ht="15" customHeight="1">
      <c r="A52" t="s">
        <v>92</v>
      </c>
      <c r="B52" t="s">
        <v>80</v>
      </c>
      <c r="C52" s="4" t="s">
        <v>201</v>
      </c>
      <c r="D52" s="102" t="s">
        <v>327</v>
      </c>
      <c r="E52" t="s">
        <v>311</v>
      </c>
      <c r="F52" t="s">
        <v>312</v>
      </c>
      <c r="G52" t="s">
        <v>71</v>
      </c>
      <c r="K52" t="s">
        <v>198</v>
      </c>
      <c r="M52" t="s">
        <v>57</v>
      </c>
      <c r="N52" t="s">
        <v>160</v>
      </c>
      <c r="AM52" s="113">
        <v>46056</v>
      </c>
      <c r="AN52" s="113">
        <v>46080</v>
      </c>
      <c r="AO52" s="113">
        <v>46083</v>
      </c>
      <c r="AP52" s="113">
        <v>46108</v>
      </c>
      <c r="AQ52" s="113">
        <v>46111</v>
      </c>
      <c r="AR52" s="113">
        <v>46122</v>
      </c>
      <c r="AS52" s="113">
        <v>46121</v>
      </c>
      <c r="AT52" s="113">
        <v>46122</v>
      </c>
      <c r="AU52" s="113">
        <v>46125</v>
      </c>
      <c r="AV52" s="113">
        <v>46143</v>
      </c>
      <c r="AW52" s="113">
        <v>46146</v>
      </c>
      <c r="AX52" s="113">
        <v>46157</v>
      </c>
      <c r="AZ52">
        <f t="shared" si="52"/>
        <v>0</v>
      </c>
      <c r="BA52">
        <f t="shared" si="53"/>
        <v>24</v>
      </c>
      <c r="BB52">
        <f t="shared" si="54"/>
        <v>25</v>
      </c>
      <c r="BC52">
        <f t="shared" si="55"/>
        <v>11</v>
      </c>
      <c r="BD52">
        <f t="shared" si="56"/>
        <v>1</v>
      </c>
      <c r="BE52">
        <f t="shared" si="57"/>
        <v>18</v>
      </c>
      <c r="BF52">
        <f t="shared" si="58"/>
        <v>11</v>
      </c>
      <c r="BH52" s="118">
        <f t="shared" si="59"/>
        <v>46056</v>
      </c>
      <c r="BI52" s="118">
        <f t="shared" si="60"/>
        <v>3</v>
      </c>
      <c r="BJ52" s="118">
        <f t="shared" si="61"/>
        <v>3</v>
      </c>
      <c r="BK52" s="118">
        <f t="shared" si="62"/>
        <v>-1</v>
      </c>
      <c r="BL52" s="118">
        <f t="shared" si="63"/>
        <v>3</v>
      </c>
      <c r="BM52" s="118">
        <f t="shared" si="64"/>
        <v>3</v>
      </c>
      <c r="BN52">
        <v>49</v>
      </c>
    </row>
    <row r="53" spans="1:66" ht="15" customHeight="1">
      <c r="A53" s="73" t="s">
        <v>67</v>
      </c>
      <c r="B53" s="74" t="s">
        <v>133</v>
      </c>
      <c r="C53" s="74" t="s">
        <v>134</v>
      </c>
      <c r="D53" s="102"/>
      <c r="E53" s="73" t="s">
        <v>469</v>
      </c>
      <c r="F53" s="73" t="s">
        <v>417</v>
      </c>
      <c r="G53" s="73" t="s">
        <v>102</v>
      </c>
      <c r="H53" s="73" t="s">
        <v>102</v>
      </c>
      <c r="I53" s="73"/>
      <c r="J53" s="73"/>
      <c r="K53" s="73" t="s">
        <v>347</v>
      </c>
      <c r="L53" s="73" t="s">
        <v>102</v>
      </c>
      <c r="M53" s="73" t="s">
        <v>102</v>
      </c>
      <c r="N53" s="73" t="s">
        <v>102</v>
      </c>
      <c r="O53" s="73"/>
      <c r="P53" s="73"/>
      <c r="Q53" s="73"/>
      <c r="R53" s="73"/>
      <c r="BN53">
        <v>50</v>
      </c>
    </row>
    <row r="54" spans="1:66" ht="15" customHeight="1">
      <c r="A54" t="s">
        <v>92</v>
      </c>
      <c r="B54" s="4" t="s">
        <v>93</v>
      </c>
      <c r="C54" s="4" t="s">
        <v>94</v>
      </c>
      <c r="D54" s="102" t="s">
        <v>327</v>
      </c>
      <c r="E54" t="s">
        <v>310</v>
      </c>
      <c r="F54" s="85" t="s">
        <v>197</v>
      </c>
      <c r="G54" t="s">
        <v>2</v>
      </c>
      <c r="H54" t="s">
        <v>97</v>
      </c>
      <c r="I54" t="s">
        <v>72</v>
      </c>
      <c r="K54" t="s">
        <v>198</v>
      </c>
      <c r="L54" t="s">
        <v>73</v>
      </c>
      <c r="M54" t="s">
        <v>98</v>
      </c>
      <c r="N54" t="s">
        <v>99</v>
      </c>
      <c r="O54" t="s">
        <v>199</v>
      </c>
      <c r="P54" t="s">
        <v>200</v>
      </c>
      <c r="AM54" s="113">
        <v>46055</v>
      </c>
      <c r="AN54" s="113">
        <v>46080</v>
      </c>
      <c r="AO54" s="113">
        <v>46083</v>
      </c>
      <c r="AP54" s="113">
        <v>46108</v>
      </c>
      <c r="AQ54" s="113">
        <v>46111</v>
      </c>
      <c r="AR54" s="113">
        <v>46129</v>
      </c>
      <c r="AS54" s="113">
        <v>46128</v>
      </c>
      <c r="AT54" s="113">
        <v>46129</v>
      </c>
      <c r="AU54" s="113">
        <v>46132</v>
      </c>
      <c r="AV54" s="113">
        <v>46150</v>
      </c>
      <c r="AW54" s="113">
        <v>46153</v>
      </c>
      <c r="AX54" s="113">
        <v>46171</v>
      </c>
      <c r="AZ54">
        <f t="shared" ref="AZ54:AZ56" si="65">+AL54-AK54</f>
        <v>0</v>
      </c>
      <c r="BA54">
        <f t="shared" ref="BA54:BA56" si="66">AN54-AM54</f>
        <v>25</v>
      </c>
      <c r="BB54">
        <f t="shared" ref="BB54:BB56" si="67">AP54-AO54</f>
        <v>25</v>
      </c>
      <c r="BC54">
        <f t="shared" ref="BC54:BC56" si="68">AR54-AQ54</f>
        <v>18</v>
      </c>
      <c r="BD54">
        <f t="shared" ref="BD54:BD56" si="69">AT54-AS54</f>
        <v>1</v>
      </c>
      <c r="BE54">
        <f t="shared" ref="BE54:BE56" si="70">AV54-AU54</f>
        <v>18</v>
      </c>
      <c r="BF54">
        <f t="shared" ref="BF54:BF56" si="71">AX54-AW54</f>
        <v>18</v>
      </c>
      <c r="BH54" s="118">
        <f t="shared" ref="BH54:BH56" si="72">AM54-AL54</f>
        <v>46055</v>
      </c>
      <c r="BI54" s="118">
        <f t="shared" ref="BI54:BI56" si="73">AO54-AN54</f>
        <v>3</v>
      </c>
      <c r="BJ54" s="118">
        <f t="shared" ref="BJ54:BJ56" si="74">AQ54-AP54</f>
        <v>3</v>
      </c>
      <c r="BK54" s="118">
        <f t="shared" ref="BK54:BK56" si="75">AS54-AR54</f>
        <v>-1</v>
      </c>
      <c r="BL54" s="118">
        <f t="shared" ref="BL54:BL56" si="76">AU54-AT54</f>
        <v>3</v>
      </c>
      <c r="BM54" s="118">
        <f t="shared" ref="BM54:BM56" si="77">AW54-AV54</f>
        <v>3</v>
      </c>
      <c r="BN54">
        <v>51</v>
      </c>
    </row>
    <row r="55" spans="1:66" ht="15" customHeight="1">
      <c r="A55" t="s">
        <v>92</v>
      </c>
      <c r="B55" t="s">
        <v>356</v>
      </c>
      <c r="C55" s="4" t="s">
        <v>225</v>
      </c>
      <c r="D55" s="102" t="s">
        <v>470</v>
      </c>
      <c r="E55" t="s">
        <v>471</v>
      </c>
      <c r="F55" t="s">
        <v>472</v>
      </c>
      <c r="G55" t="s">
        <v>71</v>
      </c>
      <c r="H55" t="s">
        <v>473</v>
      </c>
      <c r="K55" t="s">
        <v>340</v>
      </c>
      <c r="L55" t="s">
        <v>474</v>
      </c>
      <c r="M55" t="s">
        <v>74</v>
      </c>
      <c r="N55" t="s">
        <v>338</v>
      </c>
      <c r="AU55" s="113">
        <v>46076</v>
      </c>
      <c r="AV55" s="113">
        <v>46094</v>
      </c>
      <c r="AW55" s="113">
        <v>46097</v>
      </c>
      <c r="AX55" s="113">
        <v>46115</v>
      </c>
      <c r="AZ55">
        <f t="shared" si="65"/>
        <v>0</v>
      </c>
      <c r="BA55">
        <f t="shared" si="66"/>
        <v>0</v>
      </c>
      <c r="BB55">
        <f t="shared" si="67"/>
        <v>0</v>
      </c>
      <c r="BC55">
        <f t="shared" si="68"/>
        <v>0</v>
      </c>
      <c r="BD55">
        <f t="shared" si="69"/>
        <v>0</v>
      </c>
      <c r="BE55">
        <f t="shared" si="70"/>
        <v>18</v>
      </c>
      <c r="BF55">
        <f t="shared" si="71"/>
        <v>18</v>
      </c>
      <c r="BH55" s="118">
        <f t="shared" si="72"/>
        <v>0</v>
      </c>
      <c r="BI55" s="118">
        <f t="shared" si="73"/>
        <v>0</v>
      </c>
      <c r="BJ55" s="118">
        <f t="shared" si="74"/>
        <v>0</v>
      </c>
      <c r="BK55" s="118">
        <f t="shared" si="75"/>
        <v>0</v>
      </c>
      <c r="BL55" s="118">
        <f t="shared" si="76"/>
        <v>46076</v>
      </c>
      <c r="BM55" s="118">
        <f t="shared" si="77"/>
        <v>3</v>
      </c>
      <c r="BN55">
        <v>52</v>
      </c>
    </row>
    <row r="56" spans="1:66" ht="15" customHeight="1">
      <c r="A56" t="s">
        <v>80</v>
      </c>
      <c r="B56" s="4" t="s">
        <v>133</v>
      </c>
      <c r="C56" s="4" t="s">
        <v>134</v>
      </c>
      <c r="D56" s="102" t="s">
        <v>435</v>
      </c>
      <c r="E56" t="s">
        <v>475</v>
      </c>
      <c r="F56" t="s">
        <v>476</v>
      </c>
      <c r="G56" t="s">
        <v>52</v>
      </c>
      <c r="H56" t="s">
        <v>437</v>
      </c>
      <c r="I56" t="s">
        <v>54</v>
      </c>
      <c r="K56" t="s">
        <v>339</v>
      </c>
      <c r="M56" t="s">
        <v>57</v>
      </c>
      <c r="N56" t="s">
        <v>133</v>
      </c>
      <c r="AU56" s="113">
        <v>46076</v>
      </c>
      <c r="AV56" s="113">
        <v>46101</v>
      </c>
      <c r="AW56" s="113">
        <v>46104</v>
      </c>
      <c r="AX56" s="113">
        <v>46129</v>
      </c>
      <c r="AZ56">
        <f t="shared" si="65"/>
        <v>0</v>
      </c>
      <c r="BA56">
        <f t="shared" si="66"/>
        <v>0</v>
      </c>
      <c r="BB56">
        <f t="shared" si="67"/>
        <v>0</v>
      </c>
      <c r="BC56">
        <f t="shared" si="68"/>
        <v>0</v>
      </c>
      <c r="BD56">
        <f t="shared" si="69"/>
        <v>0</v>
      </c>
      <c r="BE56">
        <f t="shared" si="70"/>
        <v>25</v>
      </c>
      <c r="BF56">
        <f t="shared" si="71"/>
        <v>25</v>
      </c>
      <c r="BH56" s="118">
        <f t="shared" si="72"/>
        <v>0</v>
      </c>
      <c r="BI56" s="118">
        <f t="shared" si="73"/>
        <v>0</v>
      </c>
      <c r="BJ56" s="118">
        <f t="shared" si="74"/>
        <v>0</v>
      </c>
      <c r="BK56" s="118">
        <f t="shared" si="75"/>
        <v>0</v>
      </c>
      <c r="BL56" s="118">
        <f t="shared" si="76"/>
        <v>46076</v>
      </c>
      <c r="BM56" s="118">
        <f t="shared" si="77"/>
        <v>3</v>
      </c>
      <c r="BN56">
        <v>53</v>
      </c>
    </row>
    <row r="57" spans="1:66" ht="15" customHeight="1">
      <c r="A57" s="73" t="s">
        <v>80</v>
      </c>
      <c r="B57" s="74" t="s">
        <v>133</v>
      </c>
      <c r="C57" s="74" t="s">
        <v>134</v>
      </c>
      <c r="D57" s="102"/>
      <c r="E57" s="73" t="s">
        <v>477</v>
      </c>
      <c r="F57" s="73" t="s">
        <v>476</v>
      </c>
      <c r="G57" s="73" t="s">
        <v>102</v>
      </c>
      <c r="H57" s="73" t="s">
        <v>102</v>
      </c>
      <c r="I57" s="73"/>
      <c r="J57" s="73"/>
      <c r="K57" s="73" t="s">
        <v>347</v>
      </c>
      <c r="L57" s="73" t="s">
        <v>102</v>
      </c>
      <c r="M57" s="73" t="s">
        <v>102</v>
      </c>
      <c r="N57" s="73" t="s">
        <v>102</v>
      </c>
      <c r="O57" s="73"/>
      <c r="P57" s="73"/>
      <c r="Q57" s="73"/>
      <c r="R57" s="73"/>
      <c r="BN57">
        <v>54</v>
      </c>
    </row>
    <row r="58" spans="1:66" ht="15" customHeight="1">
      <c r="A58" s="73" t="s">
        <v>80</v>
      </c>
      <c r="B58" s="74" t="s">
        <v>133</v>
      </c>
      <c r="C58" s="74" t="s">
        <v>134</v>
      </c>
      <c r="D58" s="102"/>
      <c r="E58" s="73" t="s">
        <v>478</v>
      </c>
      <c r="F58" s="73" t="s">
        <v>476</v>
      </c>
      <c r="G58" s="73" t="s">
        <v>102</v>
      </c>
      <c r="H58" s="73" t="s">
        <v>102</v>
      </c>
      <c r="I58" s="73"/>
      <c r="J58" s="73"/>
      <c r="K58" s="73" t="s">
        <v>347</v>
      </c>
      <c r="L58" s="73" t="s">
        <v>102</v>
      </c>
      <c r="M58" s="73" t="s">
        <v>102</v>
      </c>
      <c r="N58" s="73" t="s">
        <v>102</v>
      </c>
      <c r="O58" s="73"/>
      <c r="P58" s="73"/>
      <c r="Q58" s="73"/>
      <c r="R58" s="73"/>
      <c r="BN58">
        <v>55</v>
      </c>
    </row>
    <row r="59" spans="1:66" ht="15" customHeight="1">
      <c r="A59" s="73" t="s">
        <v>80</v>
      </c>
      <c r="B59" s="74" t="s">
        <v>133</v>
      </c>
      <c r="C59" s="74" t="s">
        <v>134</v>
      </c>
      <c r="D59" s="102"/>
      <c r="E59" s="73" t="s">
        <v>479</v>
      </c>
      <c r="F59" s="73" t="s">
        <v>476</v>
      </c>
      <c r="G59" s="73" t="s">
        <v>102</v>
      </c>
      <c r="H59" s="73" t="s">
        <v>102</v>
      </c>
      <c r="I59" s="73"/>
      <c r="J59" s="73"/>
      <c r="K59" s="73" t="s">
        <v>347</v>
      </c>
      <c r="L59" s="73" t="s">
        <v>102</v>
      </c>
      <c r="M59" s="73" t="s">
        <v>102</v>
      </c>
      <c r="N59" s="73" t="s">
        <v>102</v>
      </c>
      <c r="O59" s="73"/>
      <c r="P59" s="73"/>
      <c r="Q59" s="73"/>
      <c r="R59" s="73"/>
      <c r="BN59">
        <v>56</v>
      </c>
    </row>
    <row r="60" spans="1:66" ht="15" customHeight="1">
      <c r="A60" s="73" t="s">
        <v>80</v>
      </c>
      <c r="B60" s="74" t="s">
        <v>133</v>
      </c>
      <c r="C60" s="74" t="s">
        <v>134</v>
      </c>
      <c r="D60" s="102"/>
      <c r="E60" s="73" t="s">
        <v>480</v>
      </c>
      <c r="F60" s="73" t="s">
        <v>476</v>
      </c>
      <c r="G60" s="73" t="s">
        <v>102</v>
      </c>
      <c r="H60" s="73" t="s">
        <v>102</v>
      </c>
      <c r="I60" s="73"/>
      <c r="J60" s="73"/>
      <c r="K60" s="73" t="s">
        <v>347</v>
      </c>
      <c r="L60" s="73" t="s">
        <v>102</v>
      </c>
      <c r="M60" s="73" t="s">
        <v>102</v>
      </c>
      <c r="N60" s="73" t="s">
        <v>102</v>
      </c>
      <c r="O60" s="73"/>
      <c r="P60" s="73"/>
      <c r="Q60" s="73"/>
      <c r="R60" s="73"/>
      <c r="BN60">
        <v>57</v>
      </c>
    </row>
    <row r="61" spans="1:66" ht="15" customHeight="1">
      <c r="A61" t="s">
        <v>46</v>
      </c>
      <c r="B61" s="3" t="s">
        <v>61</v>
      </c>
      <c r="C61" s="4" t="s">
        <v>48</v>
      </c>
      <c r="D61" s="102" t="s">
        <v>329</v>
      </c>
      <c r="E61" t="s">
        <v>116</v>
      </c>
      <c r="F61" t="s">
        <v>66</v>
      </c>
      <c r="G61" t="s">
        <v>52</v>
      </c>
      <c r="H61" t="s">
        <v>112</v>
      </c>
      <c r="I61" t="s">
        <v>54</v>
      </c>
      <c r="K61" t="s">
        <v>55</v>
      </c>
      <c r="M61" t="s">
        <v>57</v>
      </c>
      <c r="N61" t="s">
        <v>58</v>
      </c>
      <c r="AO61" s="113">
        <v>46056</v>
      </c>
      <c r="AP61" s="113">
        <v>46080</v>
      </c>
      <c r="AQ61" s="113">
        <v>46083</v>
      </c>
      <c r="AR61" s="113">
        <v>46108</v>
      </c>
      <c r="AS61" s="113">
        <v>46107</v>
      </c>
      <c r="AT61" s="113">
        <v>46108</v>
      </c>
      <c r="AU61" s="113">
        <v>46111</v>
      </c>
      <c r="AV61" s="113">
        <v>46136</v>
      </c>
      <c r="AW61" s="113">
        <v>46139</v>
      </c>
      <c r="AX61" s="113">
        <v>46164</v>
      </c>
      <c r="AZ61">
        <f t="shared" ref="AZ61:AZ63" si="78">+AL61-AK61</f>
        <v>0</v>
      </c>
      <c r="BA61">
        <f t="shared" ref="BA61:BA63" si="79">AN61-AM61</f>
        <v>0</v>
      </c>
      <c r="BB61">
        <f t="shared" ref="BB61:BB63" si="80">AP61-AO61</f>
        <v>24</v>
      </c>
      <c r="BC61">
        <f t="shared" ref="BC61:BC63" si="81">AR61-AQ61</f>
        <v>25</v>
      </c>
      <c r="BD61">
        <f t="shared" ref="BD61:BD63" si="82">AT61-AS61</f>
        <v>1</v>
      </c>
      <c r="BE61">
        <f t="shared" ref="BE61:BE63" si="83">AV61-AU61</f>
        <v>25</v>
      </c>
      <c r="BF61">
        <f t="shared" ref="BF61:BF63" si="84">AX61-AW61</f>
        <v>25</v>
      </c>
      <c r="BH61" s="118">
        <f t="shared" ref="BH61:BH63" si="85">AM61-AL61</f>
        <v>0</v>
      </c>
      <c r="BI61" s="118">
        <f t="shared" ref="BI61:BI63" si="86">AO61-AN61</f>
        <v>46056</v>
      </c>
      <c r="BJ61" s="118">
        <f t="shared" ref="BJ61:BJ63" si="87">AQ61-AP61</f>
        <v>3</v>
      </c>
      <c r="BK61" s="118">
        <f t="shared" ref="BK61:BK63" si="88">AS61-AR61</f>
        <v>-1</v>
      </c>
      <c r="BL61" s="118">
        <f t="shared" ref="BL61:BL63" si="89">AU61-AT61</f>
        <v>3</v>
      </c>
      <c r="BM61" s="118">
        <f t="shared" ref="BM61:BM63" si="90">AW61-AV61</f>
        <v>3</v>
      </c>
      <c r="BN61">
        <v>58</v>
      </c>
    </row>
    <row r="62" spans="1:66" ht="15" customHeight="1">
      <c r="A62" t="s">
        <v>217</v>
      </c>
      <c r="B62" t="s">
        <v>16</v>
      </c>
      <c r="C62" s="4" t="s">
        <v>123</v>
      </c>
      <c r="D62" s="102" t="s">
        <v>435</v>
      </c>
      <c r="E62" t="s">
        <v>27</v>
      </c>
      <c r="F62" t="s">
        <v>481</v>
      </c>
      <c r="G62" t="s">
        <v>245</v>
      </c>
      <c r="H62" t="s">
        <v>246</v>
      </c>
      <c r="J62" t="s">
        <v>482</v>
      </c>
      <c r="K62" t="s">
        <v>339</v>
      </c>
      <c r="M62" t="s">
        <v>57</v>
      </c>
      <c r="N62" t="s">
        <v>16</v>
      </c>
      <c r="O62" t="s">
        <v>483</v>
      </c>
      <c r="P62" t="s">
        <v>484</v>
      </c>
      <c r="AU62" s="113">
        <v>46076</v>
      </c>
      <c r="AV62" s="113">
        <v>46094</v>
      </c>
      <c r="AW62" s="113">
        <v>46097</v>
      </c>
      <c r="AX62" s="113">
        <v>46115</v>
      </c>
      <c r="AZ62">
        <f t="shared" si="78"/>
        <v>0</v>
      </c>
      <c r="BA62">
        <f t="shared" si="79"/>
        <v>0</v>
      </c>
      <c r="BB62">
        <f t="shared" si="80"/>
        <v>0</v>
      </c>
      <c r="BC62">
        <f t="shared" si="81"/>
        <v>0</v>
      </c>
      <c r="BD62">
        <f t="shared" si="82"/>
        <v>0</v>
      </c>
      <c r="BE62">
        <f t="shared" si="83"/>
        <v>18</v>
      </c>
      <c r="BF62">
        <f t="shared" si="84"/>
        <v>18</v>
      </c>
      <c r="BH62" s="118">
        <f t="shared" si="85"/>
        <v>0</v>
      </c>
      <c r="BI62" s="118">
        <f t="shared" si="86"/>
        <v>0</v>
      </c>
      <c r="BJ62" s="118">
        <f t="shared" si="87"/>
        <v>0</v>
      </c>
      <c r="BK62" s="118">
        <f t="shared" si="88"/>
        <v>0</v>
      </c>
      <c r="BL62" s="118">
        <f t="shared" si="89"/>
        <v>46076</v>
      </c>
      <c r="BM62" s="118">
        <f t="shared" si="90"/>
        <v>3</v>
      </c>
      <c r="BN62">
        <v>59</v>
      </c>
    </row>
    <row r="63" spans="1:66" ht="15" customHeight="1">
      <c r="A63" t="s">
        <v>217</v>
      </c>
      <c r="B63" t="s">
        <v>16</v>
      </c>
      <c r="C63" s="4" t="s">
        <v>123</v>
      </c>
      <c r="D63" s="102" t="s">
        <v>435</v>
      </c>
      <c r="E63" t="s">
        <v>485</v>
      </c>
      <c r="F63" t="s">
        <v>486</v>
      </c>
      <c r="G63" t="s">
        <v>52</v>
      </c>
      <c r="H63" t="s">
        <v>219</v>
      </c>
      <c r="I63" t="s">
        <v>83</v>
      </c>
      <c r="J63" t="s">
        <v>487</v>
      </c>
      <c r="K63" t="s">
        <v>339</v>
      </c>
      <c r="M63" t="s">
        <v>57</v>
      </c>
      <c r="N63" t="s">
        <v>16</v>
      </c>
      <c r="AU63" s="113">
        <v>46076</v>
      </c>
      <c r="AV63" s="113">
        <v>46101</v>
      </c>
      <c r="AW63" s="113">
        <v>46104</v>
      </c>
      <c r="AX63" s="113">
        <v>46129</v>
      </c>
      <c r="AZ63">
        <f t="shared" si="78"/>
        <v>0</v>
      </c>
      <c r="BA63">
        <f t="shared" si="79"/>
        <v>0</v>
      </c>
      <c r="BB63">
        <f t="shared" si="80"/>
        <v>0</v>
      </c>
      <c r="BC63">
        <f t="shared" si="81"/>
        <v>0</v>
      </c>
      <c r="BD63">
        <f t="shared" si="82"/>
        <v>0</v>
      </c>
      <c r="BE63">
        <f t="shared" si="83"/>
        <v>25</v>
      </c>
      <c r="BF63">
        <f t="shared" si="84"/>
        <v>25</v>
      </c>
      <c r="BH63" s="118">
        <f t="shared" si="85"/>
        <v>0</v>
      </c>
      <c r="BI63" s="118">
        <f t="shared" si="86"/>
        <v>0</v>
      </c>
      <c r="BJ63" s="118">
        <f t="shared" si="87"/>
        <v>0</v>
      </c>
      <c r="BK63" s="118">
        <f t="shared" si="88"/>
        <v>0</v>
      </c>
      <c r="BL63" s="118">
        <f t="shared" si="89"/>
        <v>46076</v>
      </c>
      <c r="BM63" s="118">
        <f t="shared" si="90"/>
        <v>3</v>
      </c>
      <c r="BN63">
        <v>60</v>
      </c>
    </row>
    <row r="64" spans="1:66" ht="15" customHeight="1">
      <c r="A64" s="73" t="s">
        <v>92</v>
      </c>
      <c r="B64" s="73" t="s">
        <v>68</v>
      </c>
      <c r="C64" s="74" t="s">
        <v>48</v>
      </c>
      <c r="D64" s="102"/>
      <c r="E64" s="73" t="s">
        <v>488</v>
      </c>
      <c r="F64" s="73" t="s">
        <v>489</v>
      </c>
      <c r="G64" s="73" t="s">
        <v>102</v>
      </c>
      <c r="H64" s="73" t="s">
        <v>102</v>
      </c>
      <c r="I64" s="73"/>
      <c r="J64" s="73"/>
      <c r="K64" s="73" t="s">
        <v>347</v>
      </c>
      <c r="L64" s="73" t="s">
        <v>102</v>
      </c>
      <c r="M64" s="73" t="s">
        <v>102</v>
      </c>
      <c r="N64" s="73" t="s">
        <v>102</v>
      </c>
      <c r="O64" s="73"/>
      <c r="P64" s="73"/>
      <c r="Q64" s="73"/>
      <c r="R64" s="73"/>
      <c r="BN64">
        <v>61</v>
      </c>
    </row>
    <row r="65" spans="1:66" ht="15" customHeight="1">
      <c r="A65" t="s">
        <v>217</v>
      </c>
      <c r="B65" t="s">
        <v>16</v>
      </c>
      <c r="C65" s="4" t="s">
        <v>123</v>
      </c>
      <c r="D65" s="102" t="s">
        <v>435</v>
      </c>
      <c r="E65" t="s">
        <v>490</v>
      </c>
      <c r="F65" t="s">
        <v>491</v>
      </c>
      <c r="G65" t="s">
        <v>52</v>
      </c>
      <c r="H65" t="s">
        <v>246</v>
      </c>
      <c r="J65" t="s">
        <v>440</v>
      </c>
      <c r="K65" t="s">
        <v>339</v>
      </c>
      <c r="M65" t="s">
        <v>57</v>
      </c>
      <c r="N65" t="s">
        <v>16</v>
      </c>
      <c r="AU65" s="113">
        <v>46076</v>
      </c>
      <c r="AV65" s="113">
        <v>46101</v>
      </c>
      <c r="AW65" s="113">
        <v>46104</v>
      </c>
      <c r="AX65" s="113">
        <v>46129</v>
      </c>
      <c r="AZ65">
        <f t="shared" ref="AZ65:AZ66" si="91">+AL65-AK65</f>
        <v>0</v>
      </c>
      <c r="BA65">
        <f t="shared" ref="BA65:BA66" si="92">AN65-AM65</f>
        <v>0</v>
      </c>
      <c r="BB65">
        <f t="shared" ref="BB65:BB66" si="93">AP65-AO65</f>
        <v>0</v>
      </c>
      <c r="BC65">
        <f t="shared" ref="BC65:BC66" si="94">AR65-AQ65</f>
        <v>0</v>
      </c>
      <c r="BD65">
        <f t="shared" ref="BD65:BD66" si="95">AT65-AS65</f>
        <v>0</v>
      </c>
      <c r="BE65">
        <f t="shared" ref="BE65:BE66" si="96">AV65-AU65</f>
        <v>25</v>
      </c>
      <c r="BF65">
        <f t="shared" ref="BF65:BF66" si="97">AX65-AW65</f>
        <v>25</v>
      </c>
      <c r="BH65" s="118">
        <f t="shared" ref="BH65:BH66" si="98">AM65-AL65</f>
        <v>0</v>
      </c>
      <c r="BI65" s="118">
        <f t="shared" ref="BI65:BI66" si="99">AO65-AN65</f>
        <v>0</v>
      </c>
      <c r="BJ65" s="118">
        <f t="shared" ref="BJ65:BJ66" si="100">AQ65-AP65</f>
        <v>0</v>
      </c>
      <c r="BK65" s="118">
        <f t="shared" ref="BK65:BK66" si="101">AS65-AR65</f>
        <v>0</v>
      </c>
      <c r="BL65" s="118">
        <f t="shared" ref="BL65:BL66" si="102">AU65-AT65</f>
        <v>46076</v>
      </c>
      <c r="BM65" s="118">
        <f t="shared" ref="BM65:BM66" si="103">AW65-AV65</f>
        <v>3</v>
      </c>
      <c r="BN65">
        <v>62</v>
      </c>
    </row>
    <row r="66" spans="1:66" ht="15" customHeight="1">
      <c r="A66" t="s">
        <v>46</v>
      </c>
      <c r="B66" s="3" t="s">
        <v>61</v>
      </c>
      <c r="C66" s="4" t="s">
        <v>48</v>
      </c>
      <c r="D66" s="102" t="s">
        <v>329</v>
      </c>
      <c r="E66" t="s">
        <v>114</v>
      </c>
      <c r="F66" t="s">
        <v>115</v>
      </c>
      <c r="G66" t="s">
        <v>52</v>
      </c>
      <c r="H66" t="s">
        <v>64</v>
      </c>
      <c r="I66" t="s">
        <v>54</v>
      </c>
      <c r="K66" t="s">
        <v>55</v>
      </c>
      <c r="M66" t="s">
        <v>57</v>
      </c>
      <c r="N66" t="s">
        <v>58</v>
      </c>
      <c r="AO66" s="113">
        <v>46056</v>
      </c>
      <c r="AP66" s="113">
        <v>46080</v>
      </c>
      <c r="AQ66" s="113">
        <v>46083</v>
      </c>
      <c r="AR66" s="113">
        <v>46108</v>
      </c>
      <c r="AS66" s="113">
        <v>46107</v>
      </c>
      <c r="AT66" s="113">
        <v>46108</v>
      </c>
      <c r="AU66" s="113">
        <v>46111</v>
      </c>
      <c r="AV66" s="113">
        <v>46136</v>
      </c>
      <c r="AW66" s="113">
        <v>46139</v>
      </c>
      <c r="AX66" s="113">
        <v>46164</v>
      </c>
      <c r="AZ66">
        <f t="shared" si="91"/>
        <v>0</v>
      </c>
      <c r="BA66">
        <f t="shared" si="92"/>
        <v>0</v>
      </c>
      <c r="BB66">
        <f t="shared" si="93"/>
        <v>24</v>
      </c>
      <c r="BC66">
        <f t="shared" si="94"/>
        <v>25</v>
      </c>
      <c r="BD66">
        <f t="shared" si="95"/>
        <v>1</v>
      </c>
      <c r="BE66">
        <f t="shared" si="96"/>
        <v>25</v>
      </c>
      <c r="BF66">
        <f t="shared" si="97"/>
        <v>25</v>
      </c>
      <c r="BH66" s="118">
        <f t="shared" si="98"/>
        <v>0</v>
      </c>
      <c r="BI66" s="118">
        <f t="shared" si="99"/>
        <v>46056</v>
      </c>
      <c r="BJ66" s="118">
        <f t="shared" si="100"/>
        <v>3</v>
      </c>
      <c r="BK66" s="118">
        <f t="shared" si="101"/>
        <v>-1</v>
      </c>
      <c r="BL66" s="118">
        <f t="shared" si="102"/>
        <v>3</v>
      </c>
      <c r="BM66" s="118">
        <f t="shared" si="103"/>
        <v>3</v>
      </c>
      <c r="BN66">
        <v>63</v>
      </c>
    </row>
    <row r="67" spans="1:66" ht="15" customHeight="1">
      <c r="A67" s="73" t="s">
        <v>46</v>
      </c>
      <c r="B67" s="76" t="s">
        <v>61</v>
      </c>
      <c r="C67" s="74" t="s">
        <v>48</v>
      </c>
      <c r="D67" s="102"/>
      <c r="E67" s="73" t="s">
        <v>492</v>
      </c>
      <c r="F67" s="73" t="s">
        <v>63</v>
      </c>
      <c r="G67" s="73" t="s">
        <v>102</v>
      </c>
      <c r="H67" s="73" t="s">
        <v>102</v>
      </c>
      <c r="I67" s="73"/>
      <c r="J67" s="73"/>
      <c r="K67" s="73" t="s">
        <v>347</v>
      </c>
      <c r="L67" s="73" t="s">
        <v>102</v>
      </c>
      <c r="M67" s="73" t="s">
        <v>102</v>
      </c>
      <c r="N67" s="73" t="s">
        <v>102</v>
      </c>
      <c r="O67" s="73"/>
      <c r="P67" s="73"/>
      <c r="Q67" s="73"/>
      <c r="R67" s="73"/>
      <c r="BN67">
        <v>64</v>
      </c>
    </row>
    <row r="68" spans="1:66" ht="15" customHeight="1">
      <c r="A68" s="19" t="s">
        <v>46</v>
      </c>
      <c r="B68" s="27" t="s">
        <v>61</v>
      </c>
      <c r="C68" s="78" t="s">
        <v>48</v>
      </c>
      <c r="D68" s="102" t="s">
        <v>329</v>
      </c>
      <c r="E68" s="19" t="s">
        <v>111</v>
      </c>
      <c r="F68" s="19" t="s">
        <v>66</v>
      </c>
      <c r="G68" s="19" t="s">
        <v>52</v>
      </c>
      <c r="H68" s="19" t="s">
        <v>112</v>
      </c>
      <c r="I68" s="19" t="s">
        <v>54</v>
      </c>
      <c r="J68" s="19" t="s">
        <v>113</v>
      </c>
      <c r="K68" s="19" t="s">
        <v>55</v>
      </c>
      <c r="L68" s="19"/>
      <c r="M68" s="19" t="s">
        <v>57</v>
      </c>
      <c r="N68" s="19" t="s">
        <v>4</v>
      </c>
      <c r="O68" s="19"/>
      <c r="P68" s="19"/>
      <c r="AO68" s="113">
        <v>46062</v>
      </c>
      <c r="AP68" s="113">
        <v>46073</v>
      </c>
      <c r="AQ68" s="113">
        <v>46076</v>
      </c>
      <c r="AR68" s="113">
        <v>46087</v>
      </c>
      <c r="AS68" s="113">
        <v>46086</v>
      </c>
      <c r="AT68" s="113">
        <v>46087</v>
      </c>
      <c r="AU68" s="113">
        <v>46090</v>
      </c>
      <c r="AV68" s="113">
        <v>46108</v>
      </c>
      <c r="AW68" s="113">
        <v>46111</v>
      </c>
      <c r="AX68" s="113">
        <v>46129</v>
      </c>
      <c r="AZ68">
        <f t="shared" ref="AZ68:AZ73" si="104">+AL68-AK68</f>
        <v>0</v>
      </c>
      <c r="BA68">
        <f t="shared" ref="BA68:BA73" si="105">AN68-AM68</f>
        <v>0</v>
      </c>
      <c r="BB68">
        <f t="shared" ref="BB68:BB73" si="106">AP68-AO68</f>
        <v>11</v>
      </c>
      <c r="BC68">
        <f t="shared" ref="BC68:BC73" si="107">AR68-AQ68</f>
        <v>11</v>
      </c>
      <c r="BD68">
        <f t="shared" ref="BD68:BD73" si="108">AT68-AS68</f>
        <v>1</v>
      </c>
      <c r="BE68">
        <f t="shared" ref="BE68:BE73" si="109">AV68-AU68</f>
        <v>18</v>
      </c>
      <c r="BF68">
        <f t="shared" ref="BF68:BF73" si="110">AX68-AW68</f>
        <v>18</v>
      </c>
      <c r="BH68" s="118">
        <f t="shared" ref="BH68:BH73" si="111">AM68-AL68</f>
        <v>0</v>
      </c>
      <c r="BI68" s="118">
        <f t="shared" ref="BI68:BI73" si="112">AO68-AN68</f>
        <v>46062</v>
      </c>
      <c r="BJ68" s="118">
        <f t="shared" ref="BJ68:BJ73" si="113">AQ68-AP68</f>
        <v>3</v>
      </c>
      <c r="BK68" s="118">
        <f t="shared" ref="BK68:BK73" si="114">AS68-AR68</f>
        <v>-1</v>
      </c>
      <c r="BL68" s="118">
        <f t="shared" ref="BL68:BL73" si="115">AU68-AT68</f>
        <v>3</v>
      </c>
      <c r="BM68" s="118">
        <f t="shared" ref="BM68:BM73" si="116">AW68-AV68</f>
        <v>3</v>
      </c>
      <c r="BN68">
        <v>65</v>
      </c>
    </row>
    <row r="69" spans="1:66" ht="15" customHeight="1">
      <c r="A69" t="s">
        <v>92</v>
      </c>
      <c r="B69" t="s">
        <v>356</v>
      </c>
      <c r="C69" s="4" t="s">
        <v>225</v>
      </c>
      <c r="D69" s="102" t="s">
        <v>493</v>
      </c>
      <c r="E69" s="19" t="s">
        <v>494</v>
      </c>
      <c r="F69" t="s">
        <v>495</v>
      </c>
      <c r="G69" t="s">
        <v>71</v>
      </c>
      <c r="H69" t="s">
        <v>473</v>
      </c>
      <c r="K69" t="s">
        <v>341</v>
      </c>
      <c r="L69" t="s">
        <v>474</v>
      </c>
      <c r="M69" t="s">
        <v>57</v>
      </c>
      <c r="N69" t="s">
        <v>4</v>
      </c>
      <c r="AK69" s="113">
        <v>46056</v>
      </c>
      <c r="AL69" s="113">
        <v>46066</v>
      </c>
      <c r="AM69" s="113">
        <v>46069</v>
      </c>
      <c r="AN69" s="113">
        <v>46087</v>
      </c>
      <c r="AO69" s="113">
        <v>46090</v>
      </c>
      <c r="AP69" s="113">
        <v>46108</v>
      </c>
      <c r="AQ69" s="113">
        <v>46111</v>
      </c>
      <c r="AR69" s="113">
        <v>46129</v>
      </c>
      <c r="AS69" s="113">
        <v>46128</v>
      </c>
      <c r="AT69" s="113">
        <v>46129</v>
      </c>
      <c r="AU69" s="113">
        <v>46132</v>
      </c>
      <c r="AV69" s="113">
        <v>46150</v>
      </c>
      <c r="AW69" s="113">
        <v>46153</v>
      </c>
      <c r="AX69" s="113">
        <v>46171</v>
      </c>
      <c r="AZ69">
        <f t="shared" si="104"/>
        <v>10</v>
      </c>
      <c r="BA69">
        <f t="shared" si="105"/>
        <v>18</v>
      </c>
      <c r="BB69">
        <f t="shared" si="106"/>
        <v>18</v>
      </c>
      <c r="BC69">
        <f t="shared" si="107"/>
        <v>18</v>
      </c>
      <c r="BD69">
        <f t="shared" si="108"/>
        <v>1</v>
      </c>
      <c r="BE69">
        <f t="shared" si="109"/>
        <v>18</v>
      </c>
      <c r="BF69">
        <f t="shared" si="110"/>
        <v>18</v>
      </c>
      <c r="BH69" s="118">
        <f t="shared" si="111"/>
        <v>3</v>
      </c>
      <c r="BI69" s="118">
        <f t="shared" si="112"/>
        <v>3</v>
      </c>
      <c r="BJ69" s="118">
        <f t="shared" si="113"/>
        <v>3</v>
      </c>
      <c r="BK69" s="118">
        <f t="shared" si="114"/>
        <v>-1</v>
      </c>
      <c r="BL69" s="118">
        <f t="shared" si="115"/>
        <v>3</v>
      </c>
      <c r="BM69" s="118">
        <f t="shared" si="116"/>
        <v>3</v>
      </c>
      <c r="BN69">
        <v>66</v>
      </c>
    </row>
    <row r="70" spans="1:66" ht="15" customHeight="1">
      <c r="A70" t="s">
        <v>80</v>
      </c>
      <c r="B70" t="s">
        <v>68</v>
      </c>
      <c r="C70" s="4" t="s">
        <v>48</v>
      </c>
      <c r="D70" s="102" t="s">
        <v>329</v>
      </c>
      <c r="E70" t="s">
        <v>108</v>
      </c>
      <c r="F70" t="s">
        <v>109</v>
      </c>
      <c r="G70" t="s">
        <v>2</v>
      </c>
      <c r="H70" t="s">
        <v>97</v>
      </c>
      <c r="I70" t="s">
        <v>54</v>
      </c>
      <c r="J70" t="s">
        <v>110</v>
      </c>
      <c r="K70" t="s">
        <v>55</v>
      </c>
      <c r="L70" t="s">
        <v>73</v>
      </c>
      <c r="M70" t="s">
        <v>57</v>
      </c>
      <c r="N70" t="s">
        <v>58</v>
      </c>
      <c r="S70" t="s">
        <v>230</v>
      </c>
      <c r="AO70" s="113">
        <v>46056</v>
      </c>
      <c r="AP70" s="113">
        <v>46073</v>
      </c>
      <c r="AQ70" s="113">
        <v>46076</v>
      </c>
      <c r="AR70" s="113">
        <v>46094</v>
      </c>
      <c r="AS70" s="113">
        <v>46093</v>
      </c>
      <c r="AT70" s="113">
        <v>46094</v>
      </c>
      <c r="AU70" s="113">
        <v>46097</v>
      </c>
      <c r="AV70" s="113">
        <v>46115</v>
      </c>
      <c r="AW70" s="113">
        <v>46118</v>
      </c>
      <c r="AX70" s="113">
        <v>46136</v>
      </c>
      <c r="AZ70">
        <f t="shared" si="104"/>
        <v>0</v>
      </c>
      <c r="BA70">
        <f t="shared" si="105"/>
        <v>0</v>
      </c>
      <c r="BB70">
        <f t="shared" si="106"/>
        <v>17</v>
      </c>
      <c r="BC70">
        <f t="shared" si="107"/>
        <v>18</v>
      </c>
      <c r="BD70">
        <f t="shared" si="108"/>
        <v>1</v>
      </c>
      <c r="BE70">
        <f t="shared" si="109"/>
        <v>18</v>
      </c>
      <c r="BF70">
        <f t="shared" si="110"/>
        <v>18</v>
      </c>
      <c r="BH70" s="118">
        <f t="shared" si="111"/>
        <v>0</v>
      </c>
      <c r="BI70" s="118">
        <f t="shared" si="112"/>
        <v>46056</v>
      </c>
      <c r="BJ70" s="118">
        <f t="shared" si="113"/>
        <v>3</v>
      </c>
      <c r="BK70" s="118">
        <f t="shared" si="114"/>
        <v>-1</v>
      </c>
      <c r="BL70" s="118">
        <f t="shared" si="115"/>
        <v>3</v>
      </c>
      <c r="BM70" s="118">
        <f t="shared" si="116"/>
        <v>3</v>
      </c>
      <c r="BN70">
        <v>67</v>
      </c>
    </row>
    <row r="71" spans="1:66" ht="15" customHeight="1">
      <c r="A71" t="s">
        <v>259</v>
      </c>
      <c r="B71" s="4" t="s">
        <v>93</v>
      </c>
      <c r="C71" s="4" t="s">
        <v>94</v>
      </c>
      <c r="D71" s="102" t="s">
        <v>327</v>
      </c>
      <c r="E71" t="s">
        <v>308</v>
      </c>
      <c r="F71" s="85" t="s">
        <v>309</v>
      </c>
      <c r="G71" t="s">
        <v>2</v>
      </c>
      <c r="H71" t="s">
        <v>97</v>
      </c>
      <c r="I71" t="s">
        <v>72</v>
      </c>
      <c r="K71" t="s">
        <v>198</v>
      </c>
      <c r="L71" t="s">
        <v>73</v>
      </c>
      <c r="M71" t="s">
        <v>98</v>
      </c>
      <c r="N71" t="s">
        <v>99</v>
      </c>
      <c r="AM71" s="113">
        <v>46055</v>
      </c>
      <c r="AN71" s="113">
        <v>46080</v>
      </c>
      <c r="AO71" s="113">
        <v>46083</v>
      </c>
      <c r="AP71" s="113">
        <v>46108</v>
      </c>
      <c r="AQ71" s="113">
        <v>46111</v>
      </c>
      <c r="AR71" s="113">
        <v>46129</v>
      </c>
      <c r="AS71" s="113">
        <v>46128</v>
      </c>
      <c r="AT71" s="113">
        <v>46129</v>
      </c>
      <c r="AU71" s="113">
        <v>46132</v>
      </c>
      <c r="AV71" s="113">
        <v>46150</v>
      </c>
      <c r="AW71" s="113">
        <v>46153</v>
      </c>
      <c r="AX71" s="113">
        <v>46171</v>
      </c>
      <c r="AZ71">
        <f t="shared" si="104"/>
        <v>0</v>
      </c>
      <c r="BA71">
        <f t="shared" si="105"/>
        <v>25</v>
      </c>
      <c r="BB71">
        <f t="shared" si="106"/>
        <v>25</v>
      </c>
      <c r="BC71">
        <f t="shared" si="107"/>
        <v>18</v>
      </c>
      <c r="BD71">
        <f t="shared" si="108"/>
        <v>1</v>
      </c>
      <c r="BE71">
        <f t="shared" si="109"/>
        <v>18</v>
      </c>
      <c r="BF71">
        <f t="shared" si="110"/>
        <v>18</v>
      </c>
      <c r="BH71" s="118">
        <f t="shared" si="111"/>
        <v>46055</v>
      </c>
      <c r="BI71" s="118">
        <f t="shared" si="112"/>
        <v>3</v>
      </c>
      <c r="BJ71" s="118">
        <f t="shared" si="113"/>
        <v>3</v>
      </c>
      <c r="BK71" s="118">
        <f t="shared" si="114"/>
        <v>-1</v>
      </c>
      <c r="BL71" s="118">
        <f t="shared" si="115"/>
        <v>3</v>
      </c>
      <c r="BM71" s="118">
        <f t="shared" si="116"/>
        <v>3</v>
      </c>
      <c r="BN71">
        <v>68</v>
      </c>
    </row>
    <row r="72" spans="1:66" ht="15" customHeight="1">
      <c r="A72" t="s">
        <v>259</v>
      </c>
      <c r="B72" s="4" t="s">
        <v>93</v>
      </c>
      <c r="C72" s="4" t="s">
        <v>94</v>
      </c>
      <c r="D72" s="102" t="s">
        <v>327</v>
      </c>
      <c r="E72" t="s">
        <v>305</v>
      </c>
      <c r="F72" s="85" t="s">
        <v>306</v>
      </c>
      <c r="G72" t="s">
        <v>2</v>
      </c>
      <c r="H72" t="s">
        <v>97</v>
      </c>
      <c r="I72" t="s">
        <v>72</v>
      </c>
      <c r="J72" t="s">
        <v>307</v>
      </c>
      <c r="K72" t="s">
        <v>198</v>
      </c>
      <c r="L72" t="s">
        <v>73</v>
      </c>
      <c r="M72" t="s">
        <v>98</v>
      </c>
      <c r="N72" t="s">
        <v>99</v>
      </c>
      <c r="AM72" s="113">
        <v>46055</v>
      </c>
      <c r="AN72" s="113">
        <v>46080</v>
      </c>
      <c r="AO72" s="113">
        <v>46083</v>
      </c>
      <c r="AP72" s="113">
        <v>46108</v>
      </c>
      <c r="AQ72" s="113">
        <v>46111</v>
      </c>
      <c r="AR72" s="113">
        <v>46129</v>
      </c>
      <c r="AS72" s="113">
        <v>46128</v>
      </c>
      <c r="AT72" s="113">
        <v>46129</v>
      </c>
      <c r="AU72" s="113">
        <v>46132</v>
      </c>
      <c r="AV72" s="113">
        <v>46150</v>
      </c>
      <c r="AW72" s="113">
        <v>46153</v>
      </c>
      <c r="AX72" s="113">
        <v>46171</v>
      </c>
      <c r="AZ72">
        <f t="shared" si="104"/>
        <v>0</v>
      </c>
      <c r="BA72">
        <f t="shared" si="105"/>
        <v>25</v>
      </c>
      <c r="BB72">
        <f t="shared" si="106"/>
        <v>25</v>
      </c>
      <c r="BC72">
        <f t="shared" si="107"/>
        <v>18</v>
      </c>
      <c r="BD72">
        <f t="shared" si="108"/>
        <v>1</v>
      </c>
      <c r="BE72">
        <f t="shared" si="109"/>
        <v>18</v>
      </c>
      <c r="BF72">
        <f t="shared" si="110"/>
        <v>18</v>
      </c>
      <c r="BH72" s="118">
        <f t="shared" si="111"/>
        <v>46055</v>
      </c>
      <c r="BI72" s="118">
        <f t="shared" si="112"/>
        <v>3</v>
      </c>
      <c r="BJ72" s="118">
        <f t="shared" si="113"/>
        <v>3</v>
      </c>
      <c r="BK72" s="118">
        <f t="shared" si="114"/>
        <v>-1</v>
      </c>
      <c r="BL72" s="118">
        <f t="shared" si="115"/>
        <v>3</v>
      </c>
      <c r="BM72" s="118">
        <f t="shared" si="116"/>
        <v>3</v>
      </c>
      <c r="BN72">
        <v>69</v>
      </c>
    </row>
    <row r="73" spans="1:66" ht="15" customHeight="1">
      <c r="A73" t="s">
        <v>259</v>
      </c>
      <c r="B73" s="4" t="s">
        <v>93</v>
      </c>
      <c r="C73" s="4" t="s">
        <v>94</v>
      </c>
      <c r="D73" s="102" t="s">
        <v>327</v>
      </c>
      <c r="E73" t="s">
        <v>303</v>
      </c>
      <c r="F73" s="85" t="s">
        <v>304</v>
      </c>
      <c r="G73" t="s">
        <v>2</v>
      </c>
      <c r="H73" t="s">
        <v>97</v>
      </c>
      <c r="I73" t="s">
        <v>72</v>
      </c>
      <c r="K73" t="s">
        <v>198</v>
      </c>
      <c r="L73" t="s">
        <v>73</v>
      </c>
      <c r="M73" t="s">
        <v>98</v>
      </c>
      <c r="N73" t="s">
        <v>99</v>
      </c>
      <c r="AM73" s="113">
        <v>46055</v>
      </c>
      <c r="AN73" s="113">
        <v>46080</v>
      </c>
      <c r="AO73" s="113">
        <v>46083</v>
      </c>
      <c r="AP73" s="113">
        <v>46108</v>
      </c>
      <c r="AQ73" s="113">
        <v>46111</v>
      </c>
      <c r="AR73" s="113">
        <v>46129</v>
      </c>
      <c r="AS73" s="113">
        <v>46128</v>
      </c>
      <c r="AT73" s="113">
        <v>46129</v>
      </c>
      <c r="AU73" s="113">
        <v>46132</v>
      </c>
      <c r="AV73" s="113">
        <v>46150</v>
      </c>
      <c r="AW73" s="113">
        <v>46153</v>
      </c>
      <c r="AX73" s="113">
        <v>46171</v>
      </c>
      <c r="AZ73">
        <f t="shared" si="104"/>
        <v>0</v>
      </c>
      <c r="BA73">
        <f t="shared" si="105"/>
        <v>25</v>
      </c>
      <c r="BB73">
        <f t="shared" si="106"/>
        <v>25</v>
      </c>
      <c r="BC73">
        <f t="shared" si="107"/>
        <v>18</v>
      </c>
      <c r="BD73">
        <f t="shared" si="108"/>
        <v>1</v>
      </c>
      <c r="BE73">
        <f t="shared" si="109"/>
        <v>18</v>
      </c>
      <c r="BF73">
        <f t="shared" si="110"/>
        <v>18</v>
      </c>
      <c r="BH73" s="118">
        <f t="shared" si="111"/>
        <v>46055</v>
      </c>
      <c r="BI73" s="118">
        <f t="shared" si="112"/>
        <v>3</v>
      </c>
      <c r="BJ73" s="118">
        <f t="shared" si="113"/>
        <v>3</v>
      </c>
      <c r="BK73" s="118">
        <f t="shared" si="114"/>
        <v>-1</v>
      </c>
      <c r="BL73" s="118">
        <f t="shared" si="115"/>
        <v>3</v>
      </c>
      <c r="BM73" s="118">
        <f t="shared" si="116"/>
        <v>3</v>
      </c>
      <c r="BN73">
        <v>70</v>
      </c>
    </row>
    <row r="74" spans="1:66" ht="15" customHeight="1">
      <c r="A74" s="73" t="s">
        <v>67</v>
      </c>
      <c r="B74" s="73" t="s">
        <v>68</v>
      </c>
      <c r="C74" s="74" t="s">
        <v>48</v>
      </c>
      <c r="D74" s="102" t="s">
        <v>317</v>
      </c>
      <c r="E74" s="73" t="s">
        <v>496</v>
      </c>
      <c r="F74" s="73" t="s">
        <v>497</v>
      </c>
      <c r="G74" s="73" t="s">
        <v>71</v>
      </c>
      <c r="H74" s="73" t="s">
        <v>72</v>
      </c>
      <c r="I74" s="73"/>
      <c r="J74" s="73"/>
      <c r="K74" s="73" t="s">
        <v>347</v>
      </c>
      <c r="L74" s="73" t="s">
        <v>102</v>
      </c>
      <c r="M74" s="73" t="s">
        <v>102</v>
      </c>
      <c r="N74" s="73" t="s">
        <v>102</v>
      </c>
      <c r="O74" s="73" t="s">
        <v>498</v>
      </c>
      <c r="P74" s="73"/>
      <c r="Q74" s="73" t="s">
        <v>405</v>
      </c>
      <c r="R74" s="73" t="s">
        <v>499</v>
      </c>
      <c r="S74" s="73" t="s">
        <v>230</v>
      </c>
      <c r="BN74">
        <v>71</v>
      </c>
    </row>
    <row r="75" spans="1:66" ht="15" customHeight="1">
      <c r="A75" s="73" t="s">
        <v>259</v>
      </c>
      <c r="B75" s="74" t="s">
        <v>93</v>
      </c>
      <c r="C75" s="74" t="s">
        <v>94</v>
      </c>
      <c r="D75" s="102" t="s">
        <v>317</v>
      </c>
      <c r="E75" s="73" t="s">
        <v>500</v>
      </c>
      <c r="F75" s="73" t="s">
        <v>501</v>
      </c>
      <c r="G75" s="73" t="s">
        <v>102</v>
      </c>
      <c r="H75" s="73" t="s">
        <v>97</v>
      </c>
      <c r="I75" s="73" t="s">
        <v>72</v>
      </c>
      <c r="J75" s="73"/>
      <c r="K75" s="73" t="s">
        <v>347</v>
      </c>
      <c r="L75" s="73" t="s">
        <v>102</v>
      </c>
      <c r="M75" s="73" t="s">
        <v>102</v>
      </c>
      <c r="N75" s="73" t="s">
        <v>102</v>
      </c>
      <c r="O75" s="73" t="s">
        <v>502</v>
      </c>
      <c r="P75" s="73" t="s">
        <v>503</v>
      </c>
      <c r="Q75" s="73" t="s">
        <v>462</v>
      </c>
      <c r="R75" s="73"/>
      <c r="BN75">
        <v>72</v>
      </c>
    </row>
    <row r="76" spans="1:66" ht="15" customHeight="1">
      <c r="A76" t="s">
        <v>259</v>
      </c>
      <c r="B76" s="4" t="s">
        <v>93</v>
      </c>
      <c r="C76" s="4" t="s">
        <v>94</v>
      </c>
      <c r="D76" s="102" t="s">
        <v>327</v>
      </c>
      <c r="E76" t="s">
        <v>301</v>
      </c>
      <c r="F76" s="85" t="s">
        <v>302</v>
      </c>
      <c r="G76" t="s">
        <v>2</v>
      </c>
      <c r="H76" t="s">
        <v>97</v>
      </c>
      <c r="I76" t="s">
        <v>72</v>
      </c>
      <c r="K76" t="s">
        <v>198</v>
      </c>
      <c r="L76" t="s">
        <v>73</v>
      </c>
      <c r="M76" t="s">
        <v>98</v>
      </c>
      <c r="N76" t="s">
        <v>99</v>
      </c>
      <c r="AM76" s="113">
        <v>46055</v>
      </c>
      <c r="AN76" s="113">
        <v>46080</v>
      </c>
      <c r="AO76" s="113">
        <v>46083</v>
      </c>
      <c r="AP76" s="113">
        <v>46108</v>
      </c>
      <c r="AQ76" s="113">
        <v>46111</v>
      </c>
      <c r="AR76" s="113">
        <v>46129</v>
      </c>
      <c r="AS76" s="113">
        <v>46128</v>
      </c>
      <c r="AT76" s="113">
        <v>46129</v>
      </c>
      <c r="AU76" s="113">
        <v>46132</v>
      </c>
      <c r="AV76" s="113">
        <v>46150</v>
      </c>
      <c r="AW76" s="113">
        <v>46153</v>
      </c>
      <c r="AX76" s="113">
        <v>46171</v>
      </c>
      <c r="AZ76">
        <f t="shared" ref="AZ76:AZ89" si="117">+AL76-AK76</f>
        <v>0</v>
      </c>
      <c r="BA76">
        <f t="shared" ref="BA76:BA89" si="118">AN76-AM76</f>
        <v>25</v>
      </c>
      <c r="BB76">
        <f t="shared" ref="BB76:BB89" si="119">AP76-AO76</f>
        <v>25</v>
      </c>
      <c r="BC76">
        <f t="shared" ref="BC76:BC89" si="120">AR76-AQ76</f>
        <v>18</v>
      </c>
      <c r="BD76">
        <f t="shared" ref="BD76:BD89" si="121">AT76-AS76</f>
        <v>1</v>
      </c>
      <c r="BE76">
        <f t="shared" ref="BE76:BE89" si="122">AV76-AU76</f>
        <v>18</v>
      </c>
      <c r="BF76">
        <f t="shared" ref="BF76:BF89" si="123">AX76-AW76</f>
        <v>18</v>
      </c>
      <c r="BH76" s="118">
        <f t="shared" ref="BH76:BH89" si="124">AM76-AL76</f>
        <v>46055</v>
      </c>
      <c r="BI76" s="118">
        <f t="shared" ref="BI76:BI89" si="125">AO76-AN76</f>
        <v>3</v>
      </c>
      <c r="BJ76" s="118">
        <f t="shared" ref="BJ76:BJ89" si="126">AQ76-AP76</f>
        <v>3</v>
      </c>
      <c r="BK76" s="118">
        <f t="shared" ref="BK76:BK89" si="127">AS76-AR76</f>
        <v>-1</v>
      </c>
      <c r="BL76" s="118">
        <f t="shared" ref="BL76:BL89" si="128">AU76-AT76</f>
        <v>3</v>
      </c>
      <c r="BM76" s="118">
        <f t="shared" ref="BM76:BM89" si="129">AW76-AV76</f>
        <v>3</v>
      </c>
      <c r="BN76">
        <v>73</v>
      </c>
    </row>
    <row r="77" spans="1:66" ht="15" customHeight="1">
      <c r="A77" t="s">
        <v>259</v>
      </c>
      <c r="B77" s="4" t="s">
        <v>93</v>
      </c>
      <c r="C77" s="4" t="s">
        <v>94</v>
      </c>
      <c r="D77" s="102" t="s">
        <v>327</v>
      </c>
      <c r="E77" t="s">
        <v>299</v>
      </c>
      <c r="F77" s="85" t="s">
        <v>300</v>
      </c>
      <c r="G77" t="s">
        <v>2</v>
      </c>
      <c r="H77" t="s">
        <v>97</v>
      </c>
      <c r="I77" t="s">
        <v>72</v>
      </c>
      <c r="K77" t="s">
        <v>198</v>
      </c>
      <c r="L77" t="s">
        <v>73</v>
      </c>
      <c r="M77" t="s">
        <v>98</v>
      </c>
      <c r="N77" t="s">
        <v>99</v>
      </c>
      <c r="AM77" s="113">
        <v>46055</v>
      </c>
      <c r="AN77" s="113">
        <v>46080</v>
      </c>
      <c r="AO77" s="113">
        <v>46083</v>
      </c>
      <c r="AP77" s="113">
        <v>46108</v>
      </c>
      <c r="AQ77" s="113">
        <v>46111</v>
      </c>
      <c r="AR77" s="113">
        <v>46129</v>
      </c>
      <c r="AS77" s="113">
        <v>46128</v>
      </c>
      <c r="AT77" s="113">
        <v>46129</v>
      </c>
      <c r="AU77" s="113">
        <v>46132</v>
      </c>
      <c r="AV77" s="113">
        <v>46150</v>
      </c>
      <c r="AW77" s="113">
        <v>46153</v>
      </c>
      <c r="AX77" s="113">
        <v>46171</v>
      </c>
      <c r="AZ77">
        <f t="shared" si="117"/>
        <v>0</v>
      </c>
      <c r="BA77">
        <f t="shared" si="118"/>
        <v>25</v>
      </c>
      <c r="BB77">
        <f t="shared" si="119"/>
        <v>25</v>
      </c>
      <c r="BC77">
        <f t="shared" si="120"/>
        <v>18</v>
      </c>
      <c r="BD77">
        <f t="shared" si="121"/>
        <v>1</v>
      </c>
      <c r="BE77">
        <f t="shared" si="122"/>
        <v>18</v>
      </c>
      <c r="BF77">
        <f t="shared" si="123"/>
        <v>18</v>
      </c>
      <c r="BH77" s="118">
        <f t="shared" si="124"/>
        <v>46055</v>
      </c>
      <c r="BI77" s="118">
        <f t="shared" si="125"/>
        <v>3</v>
      </c>
      <c r="BJ77" s="118">
        <f t="shared" si="126"/>
        <v>3</v>
      </c>
      <c r="BK77" s="118">
        <f t="shared" si="127"/>
        <v>-1</v>
      </c>
      <c r="BL77" s="118">
        <f t="shared" si="128"/>
        <v>3</v>
      </c>
      <c r="BM77" s="118">
        <f t="shared" si="129"/>
        <v>3</v>
      </c>
      <c r="BN77">
        <v>74</v>
      </c>
    </row>
    <row r="78" spans="1:66" ht="15" customHeight="1">
      <c r="A78" t="s">
        <v>259</v>
      </c>
      <c r="B78" s="4" t="s">
        <v>93</v>
      </c>
      <c r="C78" s="4" t="s">
        <v>94</v>
      </c>
      <c r="D78" s="102" t="s">
        <v>327</v>
      </c>
      <c r="E78" t="s">
        <v>297</v>
      </c>
      <c r="F78" s="85" t="s">
        <v>298</v>
      </c>
      <c r="G78" t="s">
        <v>2</v>
      </c>
      <c r="H78" t="s">
        <v>97</v>
      </c>
      <c r="I78" t="s">
        <v>72</v>
      </c>
      <c r="K78" t="s">
        <v>198</v>
      </c>
      <c r="L78" t="s">
        <v>73</v>
      </c>
      <c r="M78" t="s">
        <v>98</v>
      </c>
      <c r="N78" t="s">
        <v>99</v>
      </c>
      <c r="AM78" s="113">
        <v>46055</v>
      </c>
      <c r="AN78" s="113">
        <v>46080</v>
      </c>
      <c r="AO78" s="113">
        <v>46083</v>
      </c>
      <c r="AP78" s="113">
        <v>46108</v>
      </c>
      <c r="AQ78" s="113">
        <v>46111</v>
      </c>
      <c r="AR78" s="113">
        <v>46129</v>
      </c>
      <c r="AS78" s="113">
        <v>46128</v>
      </c>
      <c r="AT78" s="113">
        <v>46129</v>
      </c>
      <c r="AU78" s="113">
        <v>46132</v>
      </c>
      <c r="AV78" s="113">
        <v>46150</v>
      </c>
      <c r="AW78" s="113">
        <v>46153</v>
      </c>
      <c r="AX78" s="113">
        <v>46171</v>
      </c>
      <c r="AZ78">
        <f t="shared" si="117"/>
        <v>0</v>
      </c>
      <c r="BA78">
        <f t="shared" si="118"/>
        <v>25</v>
      </c>
      <c r="BB78">
        <f t="shared" si="119"/>
        <v>25</v>
      </c>
      <c r="BC78">
        <f t="shared" si="120"/>
        <v>18</v>
      </c>
      <c r="BD78">
        <f t="shared" si="121"/>
        <v>1</v>
      </c>
      <c r="BE78">
        <f t="shared" si="122"/>
        <v>18</v>
      </c>
      <c r="BF78">
        <f t="shared" si="123"/>
        <v>18</v>
      </c>
      <c r="BH78" s="118">
        <f t="shared" si="124"/>
        <v>46055</v>
      </c>
      <c r="BI78" s="118">
        <f t="shared" si="125"/>
        <v>3</v>
      </c>
      <c r="BJ78" s="118">
        <f t="shared" si="126"/>
        <v>3</v>
      </c>
      <c r="BK78" s="118">
        <f t="shared" si="127"/>
        <v>-1</v>
      </c>
      <c r="BL78" s="118">
        <f t="shared" si="128"/>
        <v>3</v>
      </c>
      <c r="BM78" s="118">
        <f t="shared" si="129"/>
        <v>3</v>
      </c>
      <c r="BN78">
        <v>75</v>
      </c>
    </row>
    <row r="79" spans="1:66" ht="15" customHeight="1">
      <c r="A79" t="s">
        <v>92</v>
      </c>
      <c r="B79" s="4" t="s">
        <v>160</v>
      </c>
      <c r="C79" s="4" t="s">
        <v>201</v>
      </c>
      <c r="D79" s="102" t="s">
        <v>327</v>
      </c>
      <c r="E79" t="s">
        <v>295</v>
      </c>
      <c r="F79" s="86" t="s">
        <v>296</v>
      </c>
      <c r="G79" t="s">
        <v>2</v>
      </c>
      <c r="H79" t="s">
        <v>97</v>
      </c>
      <c r="I79" t="s">
        <v>72</v>
      </c>
      <c r="K79" t="s">
        <v>198</v>
      </c>
      <c r="L79" t="s">
        <v>73</v>
      </c>
      <c r="M79" t="s">
        <v>207</v>
      </c>
      <c r="N79" t="s">
        <v>160</v>
      </c>
      <c r="AM79" s="113">
        <v>46055</v>
      </c>
      <c r="AN79" s="113">
        <v>46094</v>
      </c>
      <c r="AO79" s="113">
        <v>46097</v>
      </c>
      <c r="AP79" s="113">
        <v>46122</v>
      </c>
      <c r="AQ79" s="113">
        <v>46125</v>
      </c>
      <c r="AR79" s="113">
        <v>46136</v>
      </c>
      <c r="AS79" s="113">
        <v>46135</v>
      </c>
      <c r="AT79" s="113">
        <v>46136</v>
      </c>
      <c r="AU79" s="113">
        <v>46139</v>
      </c>
      <c r="AV79" s="113">
        <v>46157</v>
      </c>
      <c r="AW79" s="113">
        <v>46160</v>
      </c>
      <c r="AX79" s="113">
        <v>46171</v>
      </c>
      <c r="AZ79">
        <f t="shared" si="117"/>
        <v>0</v>
      </c>
      <c r="BA79">
        <f t="shared" si="118"/>
        <v>39</v>
      </c>
      <c r="BB79">
        <f t="shared" si="119"/>
        <v>25</v>
      </c>
      <c r="BC79">
        <f t="shared" si="120"/>
        <v>11</v>
      </c>
      <c r="BD79">
        <f t="shared" si="121"/>
        <v>1</v>
      </c>
      <c r="BE79">
        <f t="shared" si="122"/>
        <v>18</v>
      </c>
      <c r="BF79">
        <f t="shared" si="123"/>
        <v>11</v>
      </c>
      <c r="BH79" s="118">
        <f t="shared" si="124"/>
        <v>46055</v>
      </c>
      <c r="BI79" s="118">
        <f t="shared" si="125"/>
        <v>3</v>
      </c>
      <c r="BJ79" s="118">
        <f t="shared" si="126"/>
        <v>3</v>
      </c>
      <c r="BK79" s="118">
        <f t="shared" si="127"/>
        <v>-1</v>
      </c>
      <c r="BL79" s="118">
        <f t="shared" si="128"/>
        <v>3</v>
      </c>
      <c r="BM79" s="118">
        <f t="shared" si="129"/>
        <v>3</v>
      </c>
      <c r="BN79">
        <v>76</v>
      </c>
    </row>
    <row r="80" spans="1:66" ht="15" customHeight="1">
      <c r="A80" t="s">
        <v>217</v>
      </c>
      <c r="B80" t="s">
        <v>16</v>
      </c>
      <c r="C80" s="4" t="s">
        <v>123</v>
      </c>
      <c r="D80" s="102" t="s">
        <v>435</v>
      </c>
      <c r="E80" t="s">
        <v>504</v>
      </c>
      <c r="F80" t="s">
        <v>505</v>
      </c>
      <c r="G80" t="s">
        <v>245</v>
      </c>
      <c r="H80" t="s">
        <v>246</v>
      </c>
      <c r="J80" t="s">
        <v>506</v>
      </c>
      <c r="K80" t="s">
        <v>339</v>
      </c>
      <c r="M80" t="s">
        <v>57</v>
      </c>
      <c r="N80" t="s">
        <v>16</v>
      </c>
      <c r="AU80" s="113">
        <v>46076</v>
      </c>
      <c r="AV80" s="113">
        <v>46101</v>
      </c>
      <c r="AW80" s="113">
        <v>46104</v>
      </c>
      <c r="AX80" s="113">
        <v>46129</v>
      </c>
      <c r="AZ80">
        <f t="shared" si="117"/>
        <v>0</v>
      </c>
      <c r="BA80">
        <f t="shared" si="118"/>
        <v>0</v>
      </c>
      <c r="BB80">
        <f t="shared" si="119"/>
        <v>0</v>
      </c>
      <c r="BC80">
        <f t="shared" si="120"/>
        <v>0</v>
      </c>
      <c r="BD80">
        <f t="shared" si="121"/>
        <v>0</v>
      </c>
      <c r="BE80">
        <f t="shared" si="122"/>
        <v>25</v>
      </c>
      <c r="BF80">
        <f t="shared" si="123"/>
        <v>25</v>
      </c>
      <c r="BH80" s="118">
        <f t="shared" si="124"/>
        <v>0</v>
      </c>
      <c r="BI80" s="118">
        <f t="shared" si="125"/>
        <v>0</v>
      </c>
      <c r="BJ80" s="118">
        <f t="shared" si="126"/>
        <v>0</v>
      </c>
      <c r="BK80" s="118">
        <f t="shared" si="127"/>
        <v>0</v>
      </c>
      <c r="BL80" s="118">
        <f t="shared" si="128"/>
        <v>46076</v>
      </c>
      <c r="BM80" s="118">
        <f t="shared" si="129"/>
        <v>3</v>
      </c>
      <c r="BN80">
        <v>77</v>
      </c>
    </row>
    <row r="81" spans="1:66" ht="15" customHeight="1">
      <c r="A81" t="s">
        <v>4</v>
      </c>
      <c r="B81" t="s">
        <v>4</v>
      </c>
      <c r="C81" s="4" t="s">
        <v>225</v>
      </c>
      <c r="D81" s="102" t="s">
        <v>470</v>
      </c>
      <c r="E81" s="2" t="s">
        <v>507</v>
      </c>
      <c r="F81" t="s">
        <v>508</v>
      </c>
      <c r="G81" t="s">
        <v>71</v>
      </c>
      <c r="H81" t="s">
        <v>473</v>
      </c>
      <c r="K81" t="s">
        <v>340</v>
      </c>
      <c r="L81" t="s">
        <v>474</v>
      </c>
      <c r="M81" t="s">
        <v>74</v>
      </c>
      <c r="N81" t="s">
        <v>338</v>
      </c>
      <c r="AU81" s="113">
        <v>46076</v>
      </c>
      <c r="AV81" s="113">
        <v>46094</v>
      </c>
      <c r="AW81" s="113">
        <v>46097</v>
      </c>
      <c r="AX81" s="113">
        <v>46115</v>
      </c>
      <c r="AZ81">
        <f t="shared" si="117"/>
        <v>0</v>
      </c>
      <c r="BA81">
        <f t="shared" si="118"/>
        <v>0</v>
      </c>
      <c r="BB81">
        <f t="shared" si="119"/>
        <v>0</v>
      </c>
      <c r="BC81">
        <f t="shared" si="120"/>
        <v>0</v>
      </c>
      <c r="BD81">
        <f t="shared" si="121"/>
        <v>0</v>
      </c>
      <c r="BE81">
        <f t="shared" si="122"/>
        <v>18</v>
      </c>
      <c r="BF81">
        <f t="shared" si="123"/>
        <v>18</v>
      </c>
      <c r="BH81" s="118">
        <f t="shared" si="124"/>
        <v>0</v>
      </c>
      <c r="BI81" s="118">
        <f t="shared" si="125"/>
        <v>0</v>
      </c>
      <c r="BJ81" s="118">
        <f t="shared" si="126"/>
        <v>0</v>
      </c>
      <c r="BK81" s="118">
        <f t="shared" si="127"/>
        <v>0</v>
      </c>
      <c r="BL81" s="118">
        <f t="shared" si="128"/>
        <v>46076</v>
      </c>
      <c r="BM81" s="118">
        <f t="shared" si="129"/>
        <v>3</v>
      </c>
      <c r="BN81">
        <v>78</v>
      </c>
    </row>
    <row r="82" spans="1:66" ht="15" customHeight="1">
      <c r="A82" t="s">
        <v>92</v>
      </c>
      <c r="B82" s="4" t="s">
        <v>160</v>
      </c>
      <c r="C82" s="4" t="s">
        <v>201</v>
      </c>
      <c r="D82" s="102" t="s">
        <v>327</v>
      </c>
      <c r="E82" t="s">
        <v>293</v>
      </c>
      <c r="F82" s="86" t="s">
        <v>294</v>
      </c>
      <c r="G82" t="s">
        <v>2</v>
      </c>
      <c r="H82" t="s">
        <v>97</v>
      </c>
      <c r="I82" t="s">
        <v>72</v>
      </c>
      <c r="K82" t="s">
        <v>198</v>
      </c>
      <c r="L82" t="s">
        <v>73</v>
      </c>
      <c r="M82" t="s">
        <v>207</v>
      </c>
      <c r="N82" t="s">
        <v>160</v>
      </c>
      <c r="AM82" s="113">
        <v>46055</v>
      </c>
      <c r="AN82" s="113">
        <v>46094</v>
      </c>
      <c r="AO82" s="113">
        <v>46097</v>
      </c>
      <c r="AP82" s="113">
        <v>46122</v>
      </c>
      <c r="AQ82" s="113">
        <v>46125</v>
      </c>
      <c r="AR82" s="113">
        <v>46136</v>
      </c>
      <c r="AS82" s="113">
        <v>46135</v>
      </c>
      <c r="AT82" s="113">
        <v>46136</v>
      </c>
      <c r="AU82" s="113">
        <v>46139</v>
      </c>
      <c r="AV82" s="113">
        <v>46157</v>
      </c>
      <c r="AW82" s="113">
        <v>46160</v>
      </c>
      <c r="AX82" s="113">
        <v>46171</v>
      </c>
      <c r="AZ82">
        <f t="shared" si="117"/>
        <v>0</v>
      </c>
      <c r="BA82">
        <f t="shared" si="118"/>
        <v>39</v>
      </c>
      <c r="BB82">
        <f t="shared" si="119"/>
        <v>25</v>
      </c>
      <c r="BC82">
        <f t="shared" si="120"/>
        <v>11</v>
      </c>
      <c r="BD82">
        <f t="shared" si="121"/>
        <v>1</v>
      </c>
      <c r="BE82">
        <f t="shared" si="122"/>
        <v>18</v>
      </c>
      <c r="BF82">
        <f t="shared" si="123"/>
        <v>11</v>
      </c>
      <c r="BH82" s="118">
        <f t="shared" si="124"/>
        <v>46055</v>
      </c>
      <c r="BI82" s="118">
        <f t="shared" si="125"/>
        <v>3</v>
      </c>
      <c r="BJ82" s="118">
        <f t="shared" si="126"/>
        <v>3</v>
      </c>
      <c r="BK82" s="118">
        <f t="shared" si="127"/>
        <v>-1</v>
      </c>
      <c r="BL82" s="118">
        <f t="shared" si="128"/>
        <v>3</v>
      </c>
      <c r="BM82" s="118">
        <f t="shared" si="129"/>
        <v>3</v>
      </c>
      <c r="BN82">
        <v>79</v>
      </c>
    </row>
    <row r="83" spans="1:66" ht="15" customHeight="1">
      <c r="A83" t="s">
        <v>259</v>
      </c>
      <c r="B83" s="4" t="s">
        <v>93</v>
      </c>
      <c r="C83" s="4" t="s">
        <v>94</v>
      </c>
      <c r="D83" s="102" t="s">
        <v>327</v>
      </c>
      <c r="E83" t="s">
        <v>288</v>
      </c>
      <c r="F83" s="85" t="s">
        <v>289</v>
      </c>
      <c r="G83" t="s">
        <v>2</v>
      </c>
      <c r="H83" t="s">
        <v>97</v>
      </c>
      <c r="I83" t="s">
        <v>72</v>
      </c>
      <c r="K83" t="s">
        <v>198</v>
      </c>
      <c r="L83" t="s">
        <v>73</v>
      </c>
      <c r="M83" t="s">
        <v>98</v>
      </c>
      <c r="N83" t="s">
        <v>99</v>
      </c>
      <c r="AM83" s="113">
        <v>46055</v>
      </c>
      <c r="AN83" s="113">
        <v>46080</v>
      </c>
      <c r="AO83" s="113">
        <v>46083</v>
      </c>
      <c r="AP83" s="113">
        <v>46108</v>
      </c>
      <c r="AQ83" s="113">
        <v>46111</v>
      </c>
      <c r="AR83" s="113">
        <v>46129</v>
      </c>
      <c r="AS83" s="113">
        <v>46128</v>
      </c>
      <c r="AT83" s="113">
        <v>46129</v>
      </c>
      <c r="AU83" s="113">
        <v>46132</v>
      </c>
      <c r="AV83" s="113">
        <v>46150</v>
      </c>
      <c r="AW83" s="113">
        <v>46153</v>
      </c>
      <c r="AX83" s="113">
        <v>46171</v>
      </c>
      <c r="AZ83">
        <f t="shared" si="117"/>
        <v>0</v>
      </c>
      <c r="BA83">
        <f t="shared" si="118"/>
        <v>25</v>
      </c>
      <c r="BB83">
        <f t="shared" si="119"/>
        <v>25</v>
      </c>
      <c r="BC83">
        <f t="shared" si="120"/>
        <v>18</v>
      </c>
      <c r="BD83">
        <f t="shared" si="121"/>
        <v>1</v>
      </c>
      <c r="BE83">
        <f t="shared" si="122"/>
        <v>18</v>
      </c>
      <c r="BF83">
        <f t="shared" si="123"/>
        <v>18</v>
      </c>
      <c r="BH83" s="118">
        <f t="shared" si="124"/>
        <v>46055</v>
      </c>
      <c r="BI83" s="118">
        <f t="shared" si="125"/>
        <v>3</v>
      </c>
      <c r="BJ83" s="118">
        <f t="shared" si="126"/>
        <v>3</v>
      </c>
      <c r="BK83" s="118">
        <f t="shared" si="127"/>
        <v>-1</v>
      </c>
      <c r="BL83" s="118">
        <f t="shared" si="128"/>
        <v>3</v>
      </c>
      <c r="BM83" s="118">
        <f t="shared" si="129"/>
        <v>3</v>
      </c>
      <c r="BN83">
        <v>80</v>
      </c>
    </row>
    <row r="84" spans="1:66" ht="15" customHeight="1">
      <c r="A84" t="s">
        <v>80</v>
      </c>
      <c r="B84" t="s">
        <v>68</v>
      </c>
      <c r="C84" s="4" t="s">
        <v>48</v>
      </c>
      <c r="D84" s="102" t="s">
        <v>329</v>
      </c>
      <c r="E84" t="s">
        <v>106</v>
      </c>
      <c r="F84" t="s">
        <v>107</v>
      </c>
      <c r="G84" t="s">
        <v>52</v>
      </c>
      <c r="H84" t="s">
        <v>88</v>
      </c>
      <c r="I84" t="s">
        <v>83</v>
      </c>
      <c r="K84" t="s">
        <v>55</v>
      </c>
      <c r="L84" t="s">
        <v>73</v>
      </c>
      <c r="M84" t="s">
        <v>57</v>
      </c>
      <c r="N84" t="s">
        <v>58</v>
      </c>
      <c r="O84" t="s">
        <v>90</v>
      </c>
      <c r="S84" t="s">
        <v>230</v>
      </c>
      <c r="AO84" s="113">
        <v>46056</v>
      </c>
      <c r="AP84" s="113">
        <v>46073</v>
      </c>
      <c r="AQ84" s="113">
        <v>46076</v>
      </c>
      <c r="AR84" s="113">
        <v>46094</v>
      </c>
      <c r="AS84" s="113">
        <v>46093</v>
      </c>
      <c r="AT84" s="113">
        <v>46094</v>
      </c>
      <c r="AU84" s="113">
        <v>46097</v>
      </c>
      <c r="AV84" s="113">
        <v>46115</v>
      </c>
      <c r="AW84" s="113">
        <v>46118</v>
      </c>
      <c r="AX84" s="113">
        <v>46136</v>
      </c>
      <c r="AZ84">
        <f t="shared" si="117"/>
        <v>0</v>
      </c>
      <c r="BA84">
        <f t="shared" si="118"/>
        <v>0</v>
      </c>
      <c r="BB84">
        <f t="shared" si="119"/>
        <v>17</v>
      </c>
      <c r="BC84">
        <f t="shared" si="120"/>
        <v>18</v>
      </c>
      <c r="BD84">
        <f t="shared" si="121"/>
        <v>1</v>
      </c>
      <c r="BE84">
        <f t="shared" si="122"/>
        <v>18</v>
      </c>
      <c r="BF84">
        <f t="shared" si="123"/>
        <v>18</v>
      </c>
      <c r="BH84" s="118">
        <f t="shared" si="124"/>
        <v>0</v>
      </c>
      <c r="BI84" s="118">
        <f t="shared" si="125"/>
        <v>46056</v>
      </c>
      <c r="BJ84" s="118">
        <f t="shared" si="126"/>
        <v>3</v>
      </c>
      <c r="BK84" s="118">
        <f t="shared" si="127"/>
        <v>-1</v>
      </c>
      <c r="BL84" s="118">
        <f t="shared" si="128"/>
        <v>3</v>
      </c>
      <c r="BM84" s="118">
        <f t="shared" si="129"/>
        <v>3</v>
      </c>
      <c r="BN84">
        <v>81</v>
      </c>
    </row>
    <row r="85" spans="1:66" ht="15" customHeight="1">
      <c r="A85" t="s">
        <v>4</v>
      </c>
      <c r="B85" t="s">
        <v>4</v>
      </c>
      <c r="C85" s="4" t="s">
        <v>225</v>
      </c>
      <c r="D85" s="102" t="s">
        <v>493</v>
      </c>
      <c r="E85" s="19" t="s">
        <v>509</v>
      </c>
      <c r="F85" t="s">
        <v>508</v>
      </c>
      <c r="G85" t="s">
        <v>71</v>
      </c>
      <c r="H85" t="s">
        <v>473</v>
      </c>
      <c r="K85" t="s">
        <v>341</v>
      </c>
      <c r="L85" t="s">
        <v>474</v>
      </c>
      <c r="M85" t="s">
        <v>57</v>
      </c>
      <c r="N85" t="s">
        <v>4</v>
      </c>
      <c r="AK85" s="113">
        <v>46056</v>
      </c>
      <c r="AL85" s="113">
        <v>46066</v>
      </c>
      <c r="AM85" s="113">
        <v>46069</v>
      </c>
      <c r="AN85" s="113">
        <v>46087</v>
      </c>
      <c r="AO85" s="113">
        <v>46090</v>
      </c>
      <c r="AP85" s="113">
        <v>46108</v>
      </c>
      <c r="AQ85" s="113">
        <v>46111</v>
      </c>
      <c r="AR85" s="113">
        <v>46129</v>
      </c>
      <c r="AS85" s="113">
        <v>46128</v>
      </c>
      <c r="AT85" s="113">
        <v>46129</v>
      </c>
      <c r="AU85" s="113">
        <v>46132</v>
      </c>
      <c r="AV85" s="113">
        <v>46150</v>
      </c>
      <c r="AW85" s="113">
        <v>46153</v>
      </c>
      <c r="AX85" s="113">
        <v>46171</v>
      </c>
      <c r="AZ85">
        <f t="shared" si="117"/>
        <v>10</v>
      </c>
      <c r="BA85">
        <f t="shared" si="118"/>
        <v>18</v>
      </c>
      <c r="BB85">
        <f t="shared" si="119"/>
        <v>18</v>
      </c>
      <c r="BC85">
        <f t="shared" si="120"/>
        <v>18</v>
      </c>
      <c r="BD85">
        <f t="shared" si="121"/>
        <v>1</v>
      </c>
      <c r="BE85">
        <f t="shared" si="122"/>
        <v>18</v>
      </c>
      <c r="BF85">
        <f t="shared" si="123"/>
        <v>18</v>
      </c>
      <c r="BH85" s="118">
        <f t="shared" si="124"/>
        <v>3</v>
      </c>
      <c r="BI85" s="118">
        <f t="shared" si="125"/>
        <v>3</v>
      </c>
      <c r="BJ85" s="118">
        <f t="shared" si="126"/>
        <v>3</v>
      </c>
      <c r="BK85" s="118">
        <f t="shared" si="127"/>
        <v>-1</v>
      </c>
      <c r="BL85" s="118">
        <f t="shared" si="128"/>
        <v>3</v>
      </c>
      <c r="BM85" s="118">
        <f t="shared" si="129"/>
        <v>3</v>
      </c>
      <c r="BN85">
        <v>82</v>
      </c>
    </row>
    <row r="86" spans="1:66" ht="15" customHeight="1">
      <c r="A86" t="s">
        <v>4</v>
      </c>
      <c r="B86" t="s">
        <v>4</v>
      </c>
      <c r="C86" s="4" t="s">
        <v>225</v>
      </c>
      <c r="D86" s="102" t="s">
        <v>493</v>
      </c>
      <c r="E86" s="19" t="s">
        <v>510</v>
      </c>
      <c r="F86" t="s">
        <v>508</v>
      </c>
      <c r="G86" t="s">
        <v>71</v>
      </c>
      <c r="H86" t="s">
        <v>473</v>
      </c>
      <c r="K86" t="s">
        <v>341</v>
      </c>
      <c r="L86" t="s">
        <v>474</v>
      </c>
      <c r="M86" t="s">
        <v>57</v>
      </c>
      <c r="N86" t="s">
        <v>4</v>
      </c>
      <c r="AK86" s="113">
        <v>46056</v>
      </c>
      <c r="AL86" s="113">
        <v>46066</v>
      </c>
      <c r="AM86" s="113">
        <v>46069</v>
      </c>
      <c r="AN86" s="113">
        <v>46087</v>
      </c>
      <c r="AO86" s="113">
        <v>46090</v>
      </c>
      <c r="AP86" s="113">
        <v>46108</v>
      </c>
      <c r="AQ86" s="113">
        <v>46111</v>
      </c>
      <c r="AR86" s="113">
        <v>46129</v>
      </c>
      <c r="AS86" s="113">
        <v>46128</v>
      </c>
      <c r="AT86" s="113">
        <v>46129</v>
      </c>
      <c r="AU86" s="113">
        <v>46132</v>
      </c>
      <c r="AV86" s="113">
        <v>46150</v>
      </c>
      <c r="AW86" s="113">
        <v>46153</v>
      </c>
      <c r="AX86" s="113">
        <v>46171</v>
      </c>
      <c r="AZ86">
        <f t="shared" si="117"/>
        <v>10</v>
      </c>
      <c r="BA86">
        <f t="shared" si="118"/>
        <v>18</v>
      </c>
      <c r="BB86">
        <f t="shared" si="119"/>
        <v>18</v>
      </c>
      <c r="BC86">
        <f t="shared" si="120"/>
        <v>18</v>
      </c>
      <c r="BD86">
        <f t="shared" si="121"/>
        <v>1</v>
      </c>
      <c r="BE86">
        <f t="shared" si="122"/>
        <v>18</v>
      </c>
      <c r="BF86">
        <f t="shared" si="123"/>
        <v>18</v>
      </c>
      <c r="BH86" s="118">
        <f t="shared" si="124"/>
        <v>3</v>
      </c>
      <c r="BI86" s="118">
        <f t="shared" si="125"/>
        <v>3</v>
      </c>
      <c r="BJ86" s="118">
        <f t="shared" si="126"/>
        <v>3</v>
      </c>
      <c r="BK86" s="118">
        <f t="shared" si="127"/>
        <v>-1</v>
      </c>
      <c r="BL86" s="118">
        <f t="shared" si="128"/>
        <v>3</v>
      </c>
      <c r="BM86" s="118">
        <f t="shared" si="129"/>
        <v>3</v>
      </c>
      <c r="BN86">
        <v>83</v>
      </c>
    </row>
    <row r="87" spans="1:66" ht="15" customHeight="1">
      <c r="A87" t="s">
        <v>4</v>
      </c>
      <c r="B87" t="s">
        <v>4</v>
      </c>
      <c r="C87" s="4" t="s">
        <v>225</v>
      </c>
      <c r="D87" s="102" t="s">
        <v>470</v>
      </c>
      <c r="E87" s="2" t="s">
        <v>511</v>
      </c>
      <c r="F87" t="s">
        <v>508</v>
      </c>
      <c r="G87" t="s">
        <v>71</v>
      </c>
      <c r="H87" t="s">
        <v>473</v>
      </c>
      <c r="K87" t="s">
        <v>340</v>
      </c>
      <c r="L87" t="s">
        <v>474</v>
      </c>
      <c r="M87" t="s">
        <v>74</v>
      </c>
      <c r="N87" t="s">
        <v>338</v>
      </c>
      <c r="AU87" s="113">
        <v>46076</v>
      </c>
      <c r="AV87" s="113">
        <v>46094</v>
      </c>
      <c r="AW87" s="113">
        <v>46097</v>
      </c>
      <c r="AX87" s="113">
        <v>46115</v>
      </c>
      <c r="AZ87">
        <f t="shared" si="117"/>
        <v>0</v>
      </c>
      <c r="BA87">
        <f t="shared" si="118"/>
        <v>0</v>
      </c>
      <c r="BB87">
        <f t="shared" si="119"/>
        <v>0</v>
      </c>
      <c r="BC87">
        <f t="shared" si="120"/>
        <v>0</v>
      </c>
      <c r="BD87">
        <f t="shared" si="121"/>
        <v>0</v>
      </c>
      <c r="BE87">
        <f t="shared" si="122"/>
        <v>18</v>
      </c>
      <c r="BF87">
        <f t="shared" si="123"/>
        <v>18</v>
      </c>
      <c r="BH87" s="118">
        <f t="shared" si="124"/>
        <v>0</v>
      </c>
      <c r="BI87" s="118">
        <f t="shared" si="125"/>
        <v>0</v>
      </c>
      <c r="BJ87" s="118">
        <f t="shared" si="126"/>
        <v>0</v>
      </c>
      <c r="BK87" s="118">
        <f t="shared" si="127"/>
        <v>0</v>
      </c>
      <c r="BL87" s="118">
        <f t="shared" si="128"/>
        <v>46076</v>
      </c>
      <c r="BM87" s="118">
        <f t="shared" si="129"/>
        <v>3</v>
      </c>
      <c r="BN87">
        <v>84</v>
      </c>
    </row>
    <row r="88" spans="1:66" ht="15" customHeight="1">
      <c r="A88" t="s">
        <v>4</v>
      </c>
      <c r="B88" t="s">
        <v>4</v>
      </c>
      <c r="C88" s="4" t="s">
        <v>225</v>
      </c>
      <c r="D88" s="102" t="s">
        <v>493</v>
      </c>
      <c r="E88" s="19" t="s">
        <v>512</v>
      </c>
      <c r="F88" t="s">
        <v>508</v>
      </c>
      <c r="G88" t="s">
        <v>71</v>
      </c>
      <c r="H88" t="s">
        <v>473</v>
      </c>
      <c r="K88" t="s">
        <v>341</v>
      </c>
      <c r="L88" t="s">
        <v>474</v>
      </c>
      <c r="M88" t="s">
        <v>57</v>
      </c>
      <c r="N88" t="s">
        <v>4</v>
      </c>
      <c r="AK88" s="113">
        <v>46056</v>
      </c>
      <c r="AL88" s="113">
        <v>46066</v>
      </c>
      <c r="AM88" s="113">
        <v>46069</v>
      </c>
      <c r="AN88" s="113">
        <v>46087</v>
      </c>
      <c r="AO88" s="113">
        <v>46090</v>
      </c>
      <c r="AP88" s="113">
        <v>46108</v>
      </c>
      <c r="AQ88" s="113">
        <v>46111</v>
      </c>
      <c r="AR88" s="113">
        <v>46129</v>
      </c>
      <c r="AS88" s="113">
        <v>46128</v>
      </c>
      <c r="AT88" s="113">
        <v>46129</v>
      </c>
      <c r="AU88" s="113">
        <v>46132</v>
      </c>
      <c r="AV88" s="113">
        <v>46150</v>
      </c>
      <c r="AW88" s="113">
        <v>46153</v>
      </c>
      <c r="AX88" s="113">
        <v>46171</v>
      </c>
      <c r="AZ88">
        <f t="shared" si="117"/>
        <v>10</v>
      </c>
      <c r="BA88">
        <f t="shared" si="118"/>
        <v>18</v>
      </c>
      <c r="BB88">
        <f t="shared" si="119"/>
        <v>18</v>
      </c>
      <c r="BC88">
        <f t="shared" si="120"/>
        <v>18</v>
      </c>
      <c r="BD88">
        <f t="shared" si="121"/>
        <v>1</v>
      </c>
      <c r="BE88">
        <f t="shared" si="122"/>
        <v>18</v>
      </c>
      <c r="BF88">
        <f t="shared" si="123"/>
        <v>18</v>
      </c>
      <c r="BH88" s="118">
        <f t="shared" si="124"/>
        <v>3</v>
      </c>
      <c r="BI88" s="118">
        <f t="shared" si="125"/>
        <v>3</v>
      </c>
      <c r="BJ88" s="118">
        <f t="shared" si="126"/>
        <v>3</v>
      </c>
      <c r="BK88" s="118">
        <f t="shared" si="127"/>
        <v>-1</v>
      </c>
      <c r="BL88" s="118">
        <f t="shared" si="128"/>
        <v>3</v>
      </c>
      <c r="BM88" s="118">
        <f t="shared" si="129"/>
        <v>3</v>
      </c>
      <c r="BN88">
        <v>85</v>
      </c>
    </row>
    <row r="89" spans="1:66" ht="15" customHeight="1">
      <c r="A89" t="s">
        <v>92</v>
      </c>
      <c r="B89" t="s">
        <v>4</v>
      </c>
      <c r="C89" s="4" t="s">
        <v>225</v>
      </c>
      <c r="D89" s="102" t="s">
        <v>493</v>
      </c>
      <c r="E89" s="19" t="s">
        <v>513</v>
      </c>
      <c r="F89" t="s">
        <v>514</v>
      </c>
      <c r="G89" t="s">
        <v>71</v>
      </c>
      <c r="H89" t="s">
        <v>473</v>
      </c>
      <c r="K89" t="s">
        <v>341</v>
      </c>
      <c r="L89" t="s">
        <v>474</v>
      </c>
      <c r="M89" t="s">
        <v>57</v>
      </c>
      <c r="N89" t="s">
        <v>4</v>
      </c>
      <c r="AK89" s="113">
        <v>46056</v>
      </c>
      <c r="AL89" s="113">
        <v>46066</v>
      </c>
      <c r="AM89" s="113">
        <v>46069</v>
      </c>
      <c r="AN89" s="113">
        <v>46087</v>
      </c>
      <c r="AO89" s="113">
        <v>46090</v>
      </c>
      <c r="AP89" s="113">
        <v>46108</v>
      </c>
      <c r="AQ89" s="113">
        <v>46111</v>
      </c>
      <c r="AR89" s="113">
        <v>46129</v>
      </c>
      <c r="AS89" s="113">
        <v>46128</v>
      </c>
      <c r="AT89" s="113">
        <v>46129</v>
      </c>
      <c r="AU89" s="113">
        <v>46132</v>
      </c>
      <c r="AV89" s="113">
        <v>46150</v>
      </c>
      <c r="AW89" s="113">
        <v>46153</v>
      </c>
      <c r="AX89" s="113">
        <v>46171</v>
      </c>
      <c r="AZ89">
        <f t="shared" si="117"/>
        <v>10</v>
      </c>
      <c r="BA89">
        <f t="shared" si="118"/>
        <v>18</v>
      </c>
      <c r="BB89">
        <f t="shared" si="119"/>
        <v>18</v>
      </c>
      <c r="BC89">
        <f t="shared" si="120"/>
        <v>18</v>
      </c>
      <c r="BD89">
        <f t="shared" si="121"/>
        <v>1</v>
      </c>
      <c r="BE89">
        <f t="shared" si="122"/>
        <v>18</v>
      </c>
      <c r="BF89">
        <f t="shared" si="123"/>
        <v>18</v>
      </c>
      <c r="BH89" s="118">
        <f t="shared" si="124"/>
        <v>3</v>
      </c>
      <c r="BI89" s="118">
        <f t="shared" si="125"/>
        <v>3</v>
      </c>
      <c r="BJ89" s="118">
        <f t="shared" si="126"/>
        <v>3</v>
      </c>
      <c r="BK89" s="118">
        <f t="shared" si="127"/>
        <v>-1</v>
      </c>
      <c r="BL89" s="118">
        <f t="shared" si="128"/>
        <v>3</v>
      </c>
      <c r="BM89" s="118">
        <f t="shared" si="129"/>
        <v>3</v>
      </c>
      <c r="BN89">
        <v>86</v>
      </c>
    </row>
    <row r="90" spans="1:66" ht="15" customHeight="1">
      <c r="A90" s="73" t="s">
        <v>259</v>
      </c>
      <c r="B90" s="74" t="s">
        <v>93</v>
      </c>
      <c r="C90" s="74" t="s">
        <v>94</v>
      </c>
      <c r="D90" s="102" t="s">
        <v>317</v>
      </c>
      <c r="E90" s="73" t="s">
        <v>515</v>
      </c>
      <c r="F90" s="73" t="s">
        <v>516</v>
      </c>
      <c r="G90" s="73" t="s">
        <v>102</v>
      </c>
      <c r="H90" s="73" t="s">
        <v>97</v>
      </c>
      <c r="I90" s="73" t="s">
        <v>72</v>
      </c>
      <c r="J90" s="73"/>
      <c r="K90" s="73" t="s">
        <v>347</v>
      </c>
      <c r="L90" s="73" t="s">
        <v>102</v>
      </c>
      <c r="M90" s="73" t="s">
        <v>102</v>
      </c>
      <c r="N90" s="73" t="s">
        <v>102</v>
      </c>
      <c r="O90" s="73"/>
      <c r="P90" s="73"/>
      <c r="Q90" s="73" t="s">
        <v>462</v>
      </c>
      <c r="R90" s="73"/>
      <c r="BN90">
        <v>87</v>
      </c>
    </row>
    <row r="91" spans="1:66" ht="15" customHeight="1">
      <c r="A91" t="s">
        <v>92</v>
      </c>
      <c r="B91" s="4" t="s">
        <v>93</v>
      </c>
      <c r="C91" s="4" t="s">
        <v>94</v>
      </c>
      <c r="D91" s="102" t="s">
        <v>327</v>
      </c>
      <c r="E91" t="s">
        <v>517</v>
      </c>
      <c r="F91" s="85" t="s">
        <v>280</v>
      </c>
      <c r="G91" t="s">
        <v>2</v>
      </c>
      <c r="H91" t="s">
        <v>97</v>
      </c>
      <c r="I91" t="s">
        <v>72</v>
      </c>
      <c r="J91" t="s">
        <v>307</v>
      </c>
      <c r="K91" t="s">
        <v>198</v>
      </c>
      <c r="L91" t="s">
        <v>73</v>
      </c>
      <c r="M91" t="s">
        <v>98</v>
      </c>
      <c r="N91" t="s">
        <v>99</v>
      </c>
      <c r="AM91" s="113">
        <v>46055</v>
      </c>
      <c r="AN91" s="113">
        <v>46080</v>
      </c>
      <c r="AO91" s="113">
        <v>46083</v>
      </c>
      <c r="AP91" s="113">
        <v>46108</v>
      </c>
      <c r="AQ91" s="113">
        <v>46111</v>
      </c>
      <c r="AR91" s="113">
        <v>46129</v>
      </c>
      <c r="AS91" s="113">
        <v>46128</v>
      </c>
      <c r="AT91" s="113">
        <v>46129</v>
      </c>
      <c r="AU91" s="113">
        <v>46132</v>
      </c>
      <c r="AV91" s="113">
        <v>46150</v>
      </c>
      <c r="AW91" s="113">
        <v>46153</v>
      </c>
      <c r="AX91" s="113">
        <v>46171</v>
      </c>
      <c r="AZ91">
        <f t="shared" ref="AZ91:AZ126" si="130">+AL91-AK91</f>
        <v>0</v>
      </c>
      <c r="BA91">
        <f t="shared" ref="BA91:BA126" si="131">AN91-AM91</f>
        <v>25</v>
      </c>
      <c r="BB91">
        <f t="shared" ref="BB91:BB126" si="132">AP91-AO91</f>
        <v>25</v>
      </c>
      <c r="BC91">
        <f t="shared" ref="BC91:BC126" si="133">AR91-AQ91</f>
        <v>18</v>
      </c>
      <c r="BD91">
        <f t="shared" ref="BD91:BD126" si="134">AT91-AS91</f>
        <v>1</v>
      </c>
      <c r="BE91">
        <f t="shared" ref="BE91:BE126" si="135">AV91-AU91</f>
        <v>18</v>
      </c>
      <c r="BF91">
        <f t="shared" ref="BF91:BF126" si="136">AX91-AW91</f>
        <v>18</v>
      </c>
      <c r="BH91" s="118">
        <f t="shared" ref="BH91:BH126" si="137">AM91-AL91</f>
        <v>46055</v>
      </c>
      <c r="BI91" s="118">
        <f t="shared" ref="BI91:BI126" si="138">AO91-AN91</f>
        <v>3</v>
      </c>
      <c r="BJ91" s="118">
        <f t="shared" ref="BJ91:BJ126" si="139">AQ91-AP91</f>
        <v>3</v>
      </c>
      <c r="BK91" s="118">
        <f t="shared" ref="BK91:BK126" si="140">AS91-AR91</f>
        <v>-1</v>
      </c>
      <c r="BL91" s="118">
        <f t="shared" ref="BL91:BL126" si="141">AU91-AT91</f>
        <v>3</v>
      </c>
      <c r="BM91" s="118">
        <f t="shared" ref="BM91:BM126" si="142">AW91-AV91</f>
        <v>3</v>
      </c>
      <c r="BN91">
        <v>88</v>
      </c>
    </row>
    <row r="92" spans="1:66" ht="15" customHeight="1">
      <c r="A92" t="s">
        <v>92</v>
      </c>
      <c r="B92" s="4" t="s">
        <v>93</v>
      </c>
      <c r="C92" s="4" t="s">
        <v>94</v>
      </c>
      <c r="D92" s="102" t="s">
        <v>327</v>
      </c>
      <c r="E92" t="s">
        <v>518</v>
      </c>
      <c r="F92" s="85" t="s">
        <v>280</v>
      </c>
      <c r="G92" t="s">
        <v>2</v>
      </c>
      <c r="H92" t="s">
        <v>97</v>
      </c>
      <c r="I92" t="s">
        <v>72</v>
      </c>
      <c r="J92" t="s">
        <v>307</v>
      </c>
      <c r="K92" t="s">
        <v>198</v>
      </c>
      <c r="L92" t="s">
        <v>73</v>
      </c>
      <c r="M92" t="s">
        <v>98</v>
      </c>
      <c r="N92" t="s">
        <v>99</v>
      </c>
      <c r="AM92" s="113">
        <v>46055</v>
      </c>
      <c r="AN92" s="113">
        <v>46080</v>
      </c>
      <c r="AO92" s="113">
        <v>46083</v>
      </c>
      <c r="AP92" s="113">
        <v>46108</v>
      </c>
      <c r="AQ92" s="113">
        <v>46111</v>
      </c>
      <c r="AR92" s="113">
        <v>46129</v>
      </c>
      <c r="AS92" s="113">
        <v>46128</v>
      </c>
      <c r="AT92" s="113">
        <v>46129</v>
      </c>
      <c r="AU92" s="113">
        <v>46132</v>
      </c>
      <c r="AV92" s="113">
        <v>46150</v>
      </c>
      <c r="AW92" s="113">
        <v>46153</v>
      </c>
      <c r="AX92" s="113">
        <v>46171</v>
      </c>
      <c r="AZ92">
        <f t="shared" si="130"/>
        <v>0</v>
      </c>
      <c r="BA92">
        <f t="shared" si="131"/>
        <v>25</v>
      </c>
      <c r="BB92">
        <f t="shared" si="132"/>
        <v>25</v>
      </c>
      <c r="BC92">
        <f t="shared" si="133"/>
        <v>18</v>
      </c>
      <c r="BD92">
        <f t="shared" si="134"/>
        <v>1</v>
      </c>
      <c r="BE92">
        <f t="shared" si="135"/>
        <v>18</v>
      </c>
      <c r="BF92">
        <f t="shared" si="136"/>
        <v>18</v>
      </c>
      <c r="BH92" s="118">
        <f t="shared" si="137"/>
        <v>46055</v>
      </c>
      <c r="BI92" s="118">
        <f t="shared" si="138"/>
        <v>3</v>
      </c>
      <c r="BJ92" s="118">
        <f t="shared" si="139"/>
        <v>3</v>
      </c>
      <c r="BK92" s="118">
        <f t="shared" si="140"/>
        <v>-1</v>
      </c>
      <c r="BL92" s="118">
        <f t="shared" si="141"/>
        <v>3</v>
      </c>
      <c r="BM92" s="118">
        <f t="shared" si="142"/>
        <v>3</v>
      </c>
      <c r="BN92">
        <v>89</v>
      </c>
    </row>
    <row r="93" spans="1:66" ht="15" customHeight="1">
      <c r="A93" t="s">
        <v>92</v>
      </c>
      <c r="B93" s="4" t="s">
        <v>93</v>
      </c>
      <c r="C93" s="4" t="s">
        <v>94</v>
      </c>
      <c r="D93" s="102" t="s">
        <v>327</v>
      </c>
      <c r="E93" t="s">
        <v>519</v>
      </c>
      <c r="F93" s="85" t="s">
        <v>280</v>
      </c>
      <c r="G93" t="s">
        <v>2</v>
      </c>
      <c r="H93" t="s">
        <v>97</v>
      </c>
      <c r="I93" t="s">
        <v>72</v>
      </c>
      <c r="K93" t="s">
        <v>198</v>
      </c>
      <c r="L93" t="s">
        <v>73</v>
      </c>
      <c r="M93" t="s">
        <v>98</v>
      </c>
      <c r="N93" t="s">
        <v>99</v>
      </c>
      <c r="AM93" s="113">
        <v>46055</v>
      </c>
      <c r="AN93" s="113">
        <v>46080</v>
      </c>
      <c r="AO93" s="113">
        <v>46083</v>
      </c>
      <c r="AP93" s="113">
        <v>46108</v>
      </c>
      <c r="AQ93" s="113">
        <v>46111</v>
      </c>
      <c r="AR93" s="113">
        <v>46129</v>
      </c>
      <c r="AS93" s="113">
        <v>46128</v>
      </c>
      <c r="AT93" s="113">
        <v>46129</v>
      </c>
      <c r="AU93" s="113">
        <v>46132</v>
      </c>
      <c r="AV93" s="113">
        <v>46150</v>
      </c>
      <c r="AW93" s="113">
        <v>46153</v>
      </c>
      <c r="AX93" s="113">
        <v>46171</v>
      </c>
      <c r="AZ93">
        <f t="shared" si="130"/>
        <v>0</v>
      </c>
      <c r="BA93">
        <f t="shared" si="131"/>
        <v>25</v>
      </c>
      <c r="BB93">
        <f t="shared" si="132"/>
        <v>25</v>
      </c>
      <c r="BC93">
        <f t="shared" si="133"/>
        <v>18</v>
      </c>
      <c r="BD93">
        <f t="shared" si="134"/>
        <v>1</v>
      </c>
      <c r="BE93">
        <f t="shared" si="135"/>
        <v>18</v>
      </c>
      <c r="BF93">
        <f t="shared" si="136"/>
        <v>18</v>
      </c>
      <c r="BH93" s="118">
        <f t="shared" si="137"/>
        <v>46055</v>
      </c>
      <c r="BI93" s="118">
        <f t="shared" si="138"/>
        <v>3</v>
      </c>
      <c r="BJ93" s="118">
        <f t="shared" si="139"/>
        <v>3</v>
      </c>
      <c r="BK93" s="118">
        <f t="shared" si="140"/>
        <v>-1</v>
      </c>
      <c r="BL93" s="118">
        <f t="shared" si="141"/>
        <v>3</v>
      </c>
      <c r="BM93" s="118">
        <f t="shared" si="142"/>
        <v>3</v>
      </c>
      <c r="BN93">
        <v>90</v>
      </c>
    </row>
    <row r="94" spans="1:66" ht="15" customHeight="1">
      <c r="A94" t="s">
        <v>92</v>
      </c>
      <c r="B94" s="4" t="s">
        <v>93</v>
      </c>
      <c r="C94" s="4" t="s">
        <v>94</v>
      </c>
      <c r="D94" s="102" t="s">
        <v>327</v>
      </c>
      <c r="E94" t="s">
        <v>520</v>
      </c>
      <c r="F94" s="85" t="s">
        <v>280</v>
      </c>
      <c r="G94" t="s">
        <v>2</v>
      </c>
      <c r="H94" t="s">
        <v>97</v>
      </c>
      <c r="I94" t="s">
        <v>72</v>
      </c>
      <c r="J94" t="s">
        <v>307</v>
      </c>
      <c r="K94" t="s">
        <v>198</v>
      </c>
      <c r="L94" t="s">
        <v>73</v>
      </c>
      <c r="M94" t="s">
        <v>98</v>
      </c>
      <c r="N94" t="s">
        <v>99</v>
      </c>
      <c r="AM94" s="113">
        <v>46055</v>
      </c>
      <c r="AN94" s="113">
        <v>46080</v>
      </c>
      <c r="AO94" s="113">
        <v>46083</v>
      </c>
      <c r="AP94" s="113">
        <v>46108</v>
      </c>
      <c r="AQ94" s="113">
        <v>46111</v>
      </c>
      <c r="AR94" s="113">
        <v>46129</v>
      </c>
      <c r="AS94" s="113">
        <v>46128</v>
      </c>
      <c r="AT94" s="113">
        <v>46129</v>
      </c>
      <c r="AU94" s="113">
        <v>46132</v>
      </c>
      <c r="AV94" s="113">
        <v>46150</v>
      </c>
      <c r="AW94" s="113">
        <v>46153</v>
      </c>
      <c r="AX94" s="113">
        <v>46171</v>
      </c>
      <c r="AZ94">
        <f t="shared" si="130"/>
        <v>0</v>
      </c>
      <c r="BA94">
        <f t="shared" si="131"/>
        <v>25</v>
      </c>
      <c r="BB94">
        <f t="shared" si="132"/>
        <v>25</v>
      </c>
      <c r="BC94">
        <f t="shared" si="133"/>
        <v>18</v>
      </c>
      <c r="BD94">
        <f t="shared" si="134"/>
        <v>1</v>
      </c>
      <c r="BE94">
        <f t="shared" si="135"/>
        <v>18</v>
      </c>
      <c r="BF94">
        <f t="shared" si="136"/>
        <v>18</v>
      </c>
      <c r="BH94" s="118">
        <f t="shared" si="137"/>
        <v>46055</v>
      </c>
      <c r="BI94" s="118">
        <f t="shared" si="138"/>
        <v>3</v>
      </c>
      <c r="BJ94" s="118">
        <f t="shared" si="139"/>
        <v>3</v>
      </c>
      <c r="BK94" s="118">
        <f t="shared" si="140"/>
        <v>-1</v>
      </c>
      <c r="BL94" s="118">
        <f t="shared" si="141"/>
        <v>3</v>
      </c>
      <c r="BM94" s="118">
        <f t="shared" si="142"/>
        <v>3</v>
      </c>
      <c r="BN94">
        <v>91</v>
      </c>
    </row>
    <row r="95" spans="1:66" ht="15" customHeight="1">
      <c r="A95" t="s">
        <v>92</v>
      </c>
      <c r="B95" s="4" t="s">
        <v>93</v>
      </c>
      <c r="C95" s="4" t="s">
        <v>94</v>
      </c>
      <c r="D95" s="102" t="s">
        <v>327</v>
      </c>
      <c r="E95" t="s">
        <v>521</v>
      </c>
      <c r="F95" s="85" t="s">
        <v>280</v>
      </c>
      <c r="G95" t="s">
        <v>2</v>
      </c>
      <c r="H95" t="s">
        <v>97</v>
      </c>
      <c r="I95" t="s">
        <v>72</v>
      </c>
      <c r="J95" t="s">
        <v>307</v>
      </c>
      <c r="K95" t="s">
        <v>198</v>
      </c>
      <c r="L95" t="s">
        <v>73</v>
      </c>
      <c r="M95" t="s">
        <v>98</v>
      </c>
      <c r="N95" t="s">
        <v>99</v>
      </c>
      <c r="AM95" s="113">
        <v>46055</v>
      </c>
      <c r="AN95" s="113">
        <v>46080</v>
      </c>
      <c r="AO95" s="113">
        <v>46083</v>
      </c>
      <c r="AP95" s="113">
        <v>46108</v>
      </c>
      <c r="AQ95" s="113">
        <v>46111</v>
      </c>
      <c r="AR95" s="113">
        <v>46129</v>
      </c>
      <c r="AS95" s="113">
        <v>46128</v>
      </c>
      <c r="AT95" s="113">
        <v>46129</v>
      </c>
      <c r="AU95" s="113">
        <v>46132</v>
      </c>
      <c r="AV95" s="113">
        <v>46150</v>
      </c>
      <c r="AW95" s="113">
        <v>46153</v>
      </c>
      <c r="AX95" s="113">
        <v>46171</v>
      </c>
      <c r="AZ95">
        <f t="shared" si="130"/>
        <v>0</v>
      </c>
      <c r="BA95">
        <f t="shared" si="131"/>
        <v>25</v>
      </c>
      <c r="BB95">
        <f t="shared" si="132"/>
        <v>25</v>
      </c>
      <c r="BC95">
        <f t="shared" si="133"/>
        <v>18</v>
      </c>
      <c r="BD95">
        <f t="shared" si="134"/>
        <v>1</v>
      </c>
      <c r="BE95">
        <f t="shared" si="135"/>
        <v>18</v>
      </c>
      <c r="BF95">
        <f t="shared" si="136"/>
        <v>18</v>
      </c>
      <c r="BH95" s="118">
        <f t="shared" si="137"/>
        <v>46055</v>
      </c>
      <c r="BI95" s="118">
        <f t="shared" si="138"/>
        <v>3</v>
      </c>
      <c r="BJ95" s="118">
        <f t="shared" si="139"/>
        <v>3</v>
      </c>
      <c r="BK95" s="118">
        <f t="shared" si="140"/>
        <v>-1</v>
      </c>
      <c r="BL95" s="118">
        <f t="shared" si="141"/>
        <v>3</v>
      </c>
      <c r="BM95" s="118">
        <f t="shared" si="142"/>
        <v>3</v>
      </c>
      <c r="BN95">
        <v>92</v>
      </c>
    </row>
    <row r="96" spans="1:66" ht="15" customHeight="1">
      <c r="A96" t="s">
        <v>92</v>
      </c>
      <c r="B96" s="4" t="s">
        <v>93</v>
      </c>
      <c r="C96" s="4" t="s">
        <v>94</v>
      </c>
      <c r="D96" s="102" t="s">
        <v>327</v>
      </c>
      <c r="E96" t="s">
        <v>522</v>
      </c>
      <c r="F96" s="85" t="s">
        <v>280</v>
      </c>
      <c r="G96" t="s">
        <v>2</v>
      </c>
      <c r="H96" t="s">
        <v>97</v>
      </c>
      <c r="I96" t="s">
        <v>72</v>
      </c>
      <c r="K96" t="s">
        <v>198</v>
      </c>
      <c r="L96" t="s">
        <v>73</v>
      </c>
      <c r="M96" t="s">
        <v>98</v>
      </c>
      <c r="N96" t="s">
        <v>99</v>
      </c>
      <c r="AM96" s="113">
        <v>46055</v>
      </c>
      <c r="AN96" s="113">
        <v>46080</v>
      </c>
      <c r="AO96" s="113">
        <v>46083</v>
      </c>
      <c r="AP96" s="113">
        <v>46108</v>
      </c>
      <c r="AQ96" s="113">
        <v>46111</v>
      </c>
      <c r="AR96" s="113">
        <v>46129</v>
      </c>
      <c r="AS96" s="113">
        <v>46128</v>
      </c>
      <c r="AT96" s="113">
        <v>46129</v>
      </c>
      <c r="AU96" s="113">
        <v>46132</v>
      </c>
      <c r="AV96" s="113">
        <v>46150</v>
      </c>
      <c r="AW96" s="113">
        <v>46153</v>
      </c>
      <c r="AX96" s="113">
        <v>46171</v>
      </c>
      <c r="AZ96">
        <f t="shared" si="130"/>
        <v>0</v>
      </c>
      <c r="BA96">
        <f t="shared" si="131"/>
        <v>25</v>
      </c>
      <c r="BB96">
        <f t="shared" si="132"/>
        <v>25</v>
      </c>
      <c r="BC96">
        <f t="shared" si="133"/>
        <v>18</v>
      </c>
      <c r="BD96">
        <f t="shared" si="134"/>
        <v>1</v>
      </c>
      <c r="BE96">
        <f t="shared" si="135"/>
        <v>18</v>
      </c>
      <c r="BF96">
        <f t="shared" si="136"/>
        <v>18</v>
      </c>
      <c r="BH96" s="118">
        <f t="shared" si="137"/>
        <v>46055</v>
      </c>
      <c r="BI96" s="118">
        <f t="shared" si="138"/>
        <v>3</v>
      </c>
      <c r="BJ96" s="118">
        <f t="shared" si="139"/>
        <v>3</v>
      </c>
      <c r="BK96" s="118">
        <f t="shared" si="140"/>
        <v>-1</v>
      </c>
      <c r="BL96" s="118">
        <f t="shared" si="141"/>
        <v>3</v>
      </c>
      <c r="BM96" s="118">
        <f t="shared" si="142"/>
        <v>3</v>
      </c>
      <c r="BN96">
        <v>93</v>
      </c>
    </row>
    <row r="97" spans="1:66" ht="15" customHeight="1">
      <c r="A97" t="s">
        <v>92</v>
      </c>
      <c r="B97" s="4" t="s">
        <v>93</v>
      </c>
      <c r="C97" s="4" t="s">
        <v>94</v>
      </c>
      <c r="D97" s="102" t="s">
        <v>327</v>
      </c>
      <c r="E97" t="s">
        <v>523</v>
      </c>
      <c r="F97" s="85" t="s">
        <v>280</v>
      </c>
      <c r="G97" t="s">
        <v>2</v>
      </c>
      <c r="H97" t="s">
        <v>97</v>
      </c>
      <c r="I97" t="s">
        <v>72</v>
      </c>
      <c r="K97" t="s">
        <v>198</v>
      </c>
      <c r="L97" t="s">
        <v>73</v>
      </c>
      <c r="M97" t="s">
        <v>98</v>
      </c>
      <c r="N97" t="s">
        <v>99</v>
      </c>
      <c r="AM97" s="113">
        <v>46055</v>
      </c>
      <c r="AN97" s="113">
        <v>46080</v>
      </c>
      <c r="AO97" s="113">
        <v>46083</v>
      </c>
      <c r="AP97" s="113">
        <v>46108</v>
      </c>
      <c r="AQ97" s="113">
        <v>46111</v>
      </c>
      <c r="AR97" s="113">
        <v>46129</v>
      </c>
      <c r="AS97" s="113">
        <v>46128</v>
      </c>
      <c r="AT97" s="113">
        <v>46129</v>
      </c>
      <c r="AU97" s="113">
        <v>46132</v>
      </c>
      <c r="AV97" s="113">
        <v>46150</v>
      </c>
      <c r="AW97" s="113">
        <v>46153</v>
      </c>
      <c r="AX97" s="113">
        <v>46171</v>
      </c>
      <c r="AZ97">
        <f t="shared" si="130"/>
        <v>0</v>
      </c>
      <c r="BA97">
        <f t="shared" si="131"/>
        <v>25</v>
      </c>
      <c r="BB97">
        <f t="shared" si="132"/>
        <v>25</v>
      </c>
      <c r="BC97">
        <f t="shared" si="133"/>
        <v>18</v>
      </c>
      <c r="BD97">
        <f t="shared" si="134"/>
        <v>1</v>
      </c>
      <c r="BE97">
        <f t="shared" si="135"/>
        <v>18</v>
      </c>
      <c r="BF97">
        <f t="shared" si="136"/>
        <v>18</v>
      </c>
      <c r="BH97" s="118">
        <f t="shared" si="137"/>
        <v>46055</v>
      </c>
      <c r="BI97" s="118">
        <f t="shared" si="138"/>
        <v>3</v>
      </c>
      <c r="BJ97" s="118">
        <f t="shared" si="139"/>
        <v>3</v>
      </c>
      <c r="BK97" s="118">
        <f t="shared" si="140"/>
        <v>-1</v>
      </c>
      <c r="BL97" s="118">
        <f t="shared" si="141"/>
        <v>3</v>
      </c>
      <c r="BM97" s="118">
        <f t="shared" si="142"/>
        <v>3</v>
      </c>
      <c r="BN97">
        <v>94</v>
      </c>
    </row>
    <row r="98" spans="1:66" ht="15" customHeight="1">
      <c r="A98" t="s">
        <v>92</v>
      </c>
      <c r="B98" s="4" t="s">
        <v>93</v>
      </c>
      <c r="C98" s="4" t="s">
        <v>94</v>
      </c>
      <c r="D98" s="102" t="s">
        <v>327</v>
      </c>
      <c r="E98" t="s">
        <v>282</v>
      </c>
      <c r="F98" s="85" t="s">
        <v>280</v>
      </c>
      <c r="G98" t="s">
        <v>2</v>
      </c>
      <c r="H98" t="s">
        <v>97</v>
      </c>
      <c r="I98" t="s">
        <v>72</v>
      </c>
      <c r="K98" t="s">
        <v>198</v>
      </c>
      <c r="L98" t="s">
        <v>73</v>
      </c>
      <c r="M98" t="s">
        <v>98</v>
      </c>
      <c r="N98" t="s">
        <v>99</v>
      </c>
      <c r="AM98" s="113">
        <v>46055</v>
      </c>
      <c r="AN98" s="113">
        <v>46080</v>
      </c>
      <c r="AO98" s="113">
        <v>46083</v>
      </c>
      <c r="AP98" s="113">
        <v>46108</v>
      </c>
      <c r="AQ98" s="113">
        <v>46111</v>
      </c>
      <c r="AR98" s="113">
        <v>46129</v>
      </c>
      <c r="AS98" s="113">
        <v>46128</v>
      </c>
      <c r="AT98" s="113">
        <v>46129</v>
      </c>
      <c r="AU98" s="113">
        <v>46132</v>
      </c>
      <c r="AV98" s="113">
        <v>46150</v>
      </c>
      <c r="AW98" s="113">
        <v>46153</v>
      </c>
      <c r="AX98" s="113">
        <v>46171</v>
      </c>
      <c r="AZ98">
        <f t="shared" si="130"/>
        <v>0</v>
      </c>
      <c r="BA98">
        <f t="shared" si="131"/>
        <v>25</v>
      </c>
      <c r="BB98">
        <f t="shared" si="132"/>
        <v>25</v>
      </c>
      <c r="BC98">
        <f t="shared" si="133"/>
        <v>18</v>
      </c>
      <c r="BD98">
        <f t="shared" si="134"/>
        <v>1</v>
      </c>
      <c r="BE98">
        <f t="shared" si="135"/>
        <v>18</v>
      </c>
      <c r="BF98">
        <f t="shared" si="136"/>
        <v>18</v>
      </c>
      <c r="BH98" s="118">
        <f t="shared" si="137"/>
        <v>46055</v>
      </c>
      <c r="BI98" s="118">
        <f t="shared" si="138"/>
        <v>3</v>
      </c>
      <c r="BJ98" s="118">
        <f t="shared" si="139"/>
        <v>3</v>
      </c>
      <c r="BK98" s="118">
        <f t="shared" si="140"/>
        <v>-1</v>
      </c>
      <c r="BL98" s="118">
        <f t="shared" si="141"/>
        <v>3</v>
      </c>
      <c r="BM98" s="118">
        <f t="shared" si="142"/>
        <v>3</v>
      </c>
      <c r="BN98">
        <v>95</v>
      </c>
    </row>
    <row r="99" spans="1:66" ht="15" customHeight="1">
      <c r="A99" t="s">
        <v>92</v>
      </c>
      <c r="B99" s="4" t="s">
        <v>93</v>
      </c>
      <c r="C99" s="4" t="s">
        <v>94</v>
      </c>
      <c r="D99" s="102" t="s">
        <v>327</v>
      </c>
      <c r="E99" t="s">
        <v>524</v>
      </c>
      <c r="F99" s="85" t="s">
        <v>280</v>
      </c>
      <c r="G99" t="s">
        <v>2</v>
      </c>
      <c r="H99" t="s">
        <v>97</v>
      </c>
      <c r="I99" t="s">
        <v>72</v>
      </c>
      <c r="K99" t="s">
        <v>198</v>
      </c>
      <c r="L99" t="s">
        <v>73</v>
      </c>
      <c r="M99" t="s">
        <v>98</v>
      </c>
      <c r="N99" t="s">
        <v>99</v>
      </c>
      <c r="AM99" s="113">
        <v>46055</v>
      </c>
      <c r="AN99" s="113">
        <v>46080</v>
      </c>
      <c r="AO99" s="113">
        <v>46083</v>
      </c>
      <c r="AP99" s="113">
        <v>46108</v>
      </c>
      <c r="AQ99" s="113">
        <v>46111</v>
      </c>
      <c r="AR99" s="113">
        <v>46129</v>
      </c>
      <c r="AS99" s="113">
        <v>46128</v>
      </c>
      <c r="AT99" s="113">
        <v>46129</v>
      </c>
      <c r="AU99" s="113">
        <v>46132</v>
      </c>
      <c r="AV99" s="113">
        <v>46150</v>
      </c>
      <c r="AW99" s="113">
        <v>46153</v>
      </c>
      <c r="AX99" s="113">
        <v>46171</v>
      </c>
      <c r="AZ99">
        <f t="shared" si="130"/>
        <v>0</v>
      </c>
      <c r="BA99">
        <f t="shared" si="131"/>
        <v>25</v>
      </c>
      <c r="BB99">
        <f t="shared" si="132"/>
        <v>25</v>
      </c>
      <c r="BC99">
        <f t="shared" si="133"/>
        <v>18</v>
      </c>
      <c r="BD99">
        <f t="shared" si="134"/>
        <v>1</v>
      </c>
      <c r="BE99">
        <f t="shared" si="135"/>
        <v>18</v>
      </c>
      <c r="BF99">
        <f t="shared" si="136"/>
        <v>18</v>
      </c>
      <c r="BH99" s="118">
        <f t="shared" si="137"/>
        <v>46055</v>
      </c>
      <c r="BI99" s="118">
        <f t="shared" si="138"/>
        <v>3</v>
      </c>
      <c r="BJ99" s="118">
        <f t="shared" si="139"/>
        <v>3</v>
      </c>
      <c r="BK99" s="118">
        <f t="shared" si="140"/>
        <v>-1</v>
      </c>
      <c r="BL99" s="118">
        <f t="shared" si="141"/>
        <v>3</v>
      </c>
      <c r="BM99" s="118">
        <f t="shared" si="142"/>
        <v>3</v>
      </c>
      <c r="BN99">
        <v>96</v>
      </c>
    </row>
    <row r="100" spans="1:66" ht="15" customHeight="1">
      <c r="A100" t="s">
        <v>92</v>
      </c>
      <c r="B100" s="4" t="s">
        <v>93</v>
      </c>
      <c r="C100" s="4" t="s">
        <v>94</v>
      </c>
      <c r="D100" s="102" t="s">
        <v>327</v>
      </c>
      <c r="E100" t="s">
        <v>279</v>
      </c>
      <c r="F100" s="85" t="s">
        <v>280</v>
      </c>
      <c r="G100" t="s">
        <v>2</v>
      </c>
      <c r="H100" t="s">
        <v>97</v>
      </c>
      <c r="I100" t="s">
        <v>72</v>
      </c>
      <c r="K100" t="s">
        <v>198</v>
      </c>
      <c r="L100" t="s">
        <v>73</v>
      </c>
      <c r="M100" t="s">
        <v>98</v>
      </c>
      <c r="N100" t="s">
        <v>99</v>
      </c>
      <c r="AM100" s="113">
        <v>46055</v>
      </c>
      <c r="AN100" s="113">
        <v>46080</v>
      </c>
      <c r="AO100" s="113">
        <v>46083</v>
      </c>
      <c r="AP100" s="113">
        <v>46108</v>
      </c>
      <c r="AQ100" s="113">
        <v>46111</v>
      </c>
      <c r="AR100" s="113">
        <v>46129</v>
      </c>
      <c r="AS100" s="113">
        <v>46128</v>
      </c>
      <c r="AT100" s="113">
        <v>46129</v>
      </c>
      <c r="AU100" s="113">
        <v>46132</v>
      </c>
      <c r="AV100" s="113">
        <v>46150</v>
      </c>
      <c r="AW100" s="113">
        <v>46153</v>
      </c>
      <c r="AX100" s="113">
        <v>46171</v>
      </c>
      <c r="AZ100">
        <f t="shared" si="130"/>
        <v>0</v>
      </c>
      <c r="BA100">
        <f t="shared" si="131"/>
        <v>25</v>
      </c>
      <c r="BB100">
        <f t="shared" si="132"/>
        <v>25</v>
      </c>
      <c r="BC100">
        <f t="shared" si="133"/>
        <v>18</v>
      </c>
      <c r="BD100">
        <f t="shared" si="134"/>
        <v>1</v>
      </c>
      <c r="BE100">
        <f t="shared" si="135"/>
        <v>18</v>
      </c>
      <c r="BF100">
        <f t="shared" si="136"/>
        <v>18</v>
      </c>
      <c r="BH100" s="118">
        <f t="shared" si="137"/>
        <v>46055</v>
      </c>
      <c r="BI100" s="118">
        <f t="shared" si="138"/>
        <v>3</v>
      </c>
      <c r="BJ100" s="118">
        <f t="shared" si="139"/>
        <v>3</v>
      </c>
      <c r="BK100" s="118">
        <f t="shared" si="140"/>
        <v>-1</v>
      </c>
      <c r="BL100" s="118">
        <f t="shared" si="141"/>
        <v>3</v>
      </c>
      <c r="BM100" s="118">
        <f t="shared" si="142"/>
        <v>3</v>
      </c>
      <c r="BN100">
        <v>97</v>
      </c>
    </row>
    <row r="101" spans="1:66" ht="15" customHeight="1">
      <c r="A101" t="s">
        <v>92</v>
      </c>
      <c r="B101" s="4" t="s">
        <v>93</v>
      </c>
      <c r="C101" s="4" t="s">
        <v>94</v>
      </c>
      <c r="D101" s="102" t="s">
        <v>327</v>
      </c>
      <c r="E101" t="s">
        <v>278</v>
      </c>
      <c r="F101" s="85" t="s">
        <v>263</v>
      </c>
      <c r="G101" t="s">
        <v>2</v>
      </c>
      <c r="H101" t="s">
        <v>97</v>
      </c>
      <c r="I101" t="s">
        <v>72</v>
      </c>
      <c r="K101" t="s">
        <v>198</v>
      </c>
      <c r="L101" t="s">
        <v>73</v>
      </c>
      <c r="M101" t="s">
        <v>98</v>
      </c>
      <c r="N101" t="s">
        <v>99</v>
      </c>
      <c r="AM101" s="113">
        <v>46055</v>
      </c>
      <c r="AN101" s="113">
        <v>46080</v>
      </c>
      <c r="AO101" s="113">
        <v>46083</v>
      </c>
      <c r="AP101" s="113">
        <v>46108</v>
      </c>
      <c r="AQ101" s="113">
        <v>46111</v>
      </c>
      <c r="AR101" s="113">
        <v>46129</v>
      </c>
      <c r="AS101" s="113">
        <v>46128</v>
      </c>
      <c r="AT101" s="113">
        <v>46129</v>
      </c>
      <c r="AU101" s="113">
        <v>46132</v>
      </c>
      <c r="AV101" s="113">
        <v>46150</v>
      </c>
      <c r="AW101" s="113">
        <v>46153</v>
      </c>
      <c r="AX101" s="113">
        <v>46171</v>
      </c>
      <c r="AZ101">
        <f t="shared" si="130"/>
        <v>0</v>
      </c>
      <c r="BA101">
        <f t="shared" si="131"/>
        <v>25</v>
      </c>
      <c r="BB101">
        <f t="shared" si="132"/>
        <v>25</v>
      </c>
      <c r="BC101">
        <f t="shared" si="133"/>
        <v>18</v>
      </c>
      <c r="BD101">
        <f t="shared" si="134"/>
        <v>1</v>
      </c>
      <c r="BE101">
        <f t="shared" si="135"/>
        <v>18</v>
      </c>
      <c r="BF101">
        <f t="shared" si="136"/>
        <v>18</v>
      </c>
      <c r="BH101" s="118">
        <f t="shared" si="137"/>
        <v>46055</v>
      </c>
      <c r="BI101" s="118">
        <f t="shared" si="138"/>
        <v>3</v>
      </c>
      <c r="BJ101" s="118">
        <f t="shared" si="139"/>
        <v>3</v>
      </c>
      <c r="BK101" s="118">
        <f t="shared" si="140"/>
        <v>-1</v>
      </c>
      <c r="BL101" s="118">
        <f t="shared" si="141"/>
        <v>3</v>
      </c>
      <c r="BM101" s="118">
        <f t="shared" si="142"/>
        <v>3</v>
      </c>
      <c r="BN101">
        <v>98</v>
      </c>
    </row>
    <row r="102" spans="1:66" ht="15" customHeight="1">
      <c r="A102" t="s">
        <v>92</v>
      </c>
      <c r="B102" s="4" t="s">
        <v>93</v>
      </c>
      <c r="C102" s="4" t="s">
        <v>94</v>
      </c>
      <c r="D102" s="102" t="s">
        <v>327</v>
      </c>
      <c r="E102" t="s">
        <v>277</v>
      </c>
      <c r="F102" s="85" t="s">
        <v>263</v>
      </c>
      <c r="G102" t="s">
        <v>2</v>
      </c>
      <c r="H102" t="s">
        <v>97</v>
      </c>
      <c r="I102" t="s">
        <v>72</v>
      </c>
      <c r="K102" t="s">
        <v>198</v>
      </c>
      <c r="L102" t="s">
        <v>73</v>
      </c>
      <c r="M102" t="s">
        <v>98</v>
      </c>
      <c r="N102" t="s">
        <v>99</v>
      </c>
      <c r="AM102" s="113">
        <v>46055</v>
      </c>
      <c r="AN102" s="113">
        <v>46080</v>
      </c>
      <c r="AO102" s="113">
        <v>46083</v>
      </c>
      <c r="AP102" s="113">
        <v>46108</v>
      </c>
      <c r="AQ102" s="113">
        <v>46111</v>
      </c>
      <c r="AR102" s="113">
        <v>46129</v>
      </c>
      <c r="AS102" s="113">
        <v>46128</v>
      </c>
      <c r="AT102" s="113">
        <v>46129</v>
      </c>
      <c r="AU102" s="113">
        <v>46132</v>
      </c>
      <c r="AV102" s="113">
        <v>46150</v>
      </c>
      <c r="AW102" s="113">
        <v>46153</v>
      </c>
      <c r="AX102" s="113">
        <v>46171</v>
      </c>
      <c r="AZ102">
        <f t="shared" si="130"/>
        <v>0</v>
      </c>
      <c r="BA102">
        <f t="shared" si="131"/>
        <v>25</v>
      </c>
      <c r="BB102">
        <f t="shared" si="132"/>
        <v>25</v>
      </c>
      <c r="BC102">
        <f t="shared" si="133"/>
        <v>18</v>
      </c>
      <c r="BD102">
        <f t="shared" si="134"/>
        <v>1</v>
      </c>
      <c r="BE102">
        <f t="shared" si="135"/>
        <v>18</v>
      </c>
      <c r="BF102">
        <f t="shared" si="136"/>
        <v>18</v>
      </c>
      <c r="BH102" s="118">
        <f t="shared" si="137"/>
        <v>46055</v>
      </c>
      <c r="BI102" s="118">
        <f t="shared" si="138"/>
        <v>3</v>
      </c>
      <c r="BJ102" s="118">
        <f t="shared" si="139"/>
        <v>3</v>
      </c>
      <c r="BK102" s="118">
        <f t="shared" si="140"/>
        <v>-1</v>
      </c>
      <c r="BL102" s="118">
        <f t="shared" si="141"/>
        <v>3</v>
      </c>
      <c r="BM102" s="118">
        <f t="shared" si="142"/>
        <v>3</v>
      </c>
      <c r="BN102">
        <v>99</v>
      </c>
    </row>
    <row r="103" spans="1:66" ht="15" customHeight="1">
      <c r="A103" s="73" t="s">
        <v>80</v>
      </c>
      <c r="B103" s="73" t="s">
        <v>68</v>
      </c>
      <c r="C103" s="74" t="s">
        <v>48</v>
      </c>
      <c r="D103" s="102" t="s">
        <v>329</v>
      </c>
      <c r="E103" s="73" t="s">
        <v>104</v>
      </c>
      <c r="F103" s="73" t="s">
        <v>105</v>
      </c>
      <c r="G103" s="73" t="s">
        <v>102</v>
      </c>
      <c r="H103" s="73" t="s">
        <v>102</v>
      </c>
      <c r="I103" s="73"/>
      <c r="J103" s="73" t="s">
        <v>103</v>
      </c>
      <c r="K103" s="73" t="s">
        <v>55</v>
      </c>
      <c r="L103" s="73" t="s">
        <v>73</v>
      </c>
      <c r="M103" s="73" t="s">
        <v>74</v>
      </c>
      <c r="N103" s="73" t="s">
        <v>58</v>
      </c>
      <c r="O103" s="73"/>
      <c r="P103" s="73"/>
      <c r="Q103" s="73"/>
      <c r="R103" s="73"/>
      <c r="S103" t="s">
        <v>230</v>
      </c>
      <c r="AO103" s="113">
        <v>46056</v>
      </c>
      <c r="AP103" s="113">
        <v>46073</v>
      </c>
      <c r="AQ103" s="113">
        <v>46076</v>
      </c>
      <c r="AR103" s="113">
        <v>46094</v>
      </c>
      <c r="AS103" s="113">
        <v>46093</v>
      </c>
      <c r="AT103" s="113">
        <v>46094</v>
      </c>
      <c r="AU103" s="113">
        <v>46097</v>
      </c>
      <c r="AV103" s="113">
        <v>46115</v>
      </c>
      <c r="AW103" s="113">
        <v>46118</v>
      </c>
      <c r="AX103" s="113">
        <v>46136</v>
      </c>
      <c r="AZ103">
        <f t="shared" si="130"/>
        <v>0</v>
      </c>
      <c r="BA103">
        <f t="shared" si="131"/>
        <v>0</v>
      </c>
      <c r="BB103">
        <f t="shared" si="132"/>
        <v>17</v>
      </c>
      <c r="BC103">
        <f t="shared" si="133"/>
        <v>18</v>
      </c>
      <c r="BD103">
        <f t="shared" si="134"/>
        <v>1</v>
      </c>
      <c r="BE103">
        <f t="shared" si="135"/>
        <v>18</v>
      </c>
      <c r="BF103">
        <f t="shared" si="136"/>
        <v>18</v>
      </c>
      <c r="BH103" s="118">
        <f t="shared" si="137"/>
        <v>0</v>
      </c>
      <c r="BI103" s="118">
        <f t="shared" si="138"/>
        <v>46056</v>
      </c>
      <c r="BJ103" s="118">
        <f t="shared" si="139"/>
        <v>3</v>
      </c>
      <c r="BK103" s="118">
        <f t="shared" si="140"/>
        <v>-1</v>
      </c>
      <c r="BL103" s="118">
        <f t="shared" si="141"/>
        <v>3</v>
      </c>
      <c r="BM103" s="118">
        <f t="shared" si="142"/>
        <v>3</v>
      </c>
      <c r="BN103">
        <v>100</v>
      </c>
    </row>
    <row r="104" spans="1:66" ht="15" customHeight="1">
      <c r="A104" s="73" t="s">
        <v>80</v>
      </c>
      <c r="B104" s="73" t="s">
        <v>68</v>
      </c>
      <c r="C104" s="74" t="s">
        <v>48</v>
      </c>
      <c r="D104" s="102" t="s">
        <v>329</v>
      </c>
      <c r="E104" s="73" t="s">
        <v>100</v>
      </c>
      <c r="F104" s="73" t="s">
        <v>101</v>
      </c>
      <c r="G104" s="73" t="s">
        <v>102</v>
      </c>
      <c r="H104" s="73" t="s">
        <v>102</v>
      </c>
      <c r="I104" s="73"/>
      <c r="J104" s="73" t="s">
        <v>103</v>
      </c>
      <c r="K104" s="73" t="s">
        <v>55</v>
      </c>
      <c r="L104" s="73" t="s">
        <v>73</v>
      </c>
      <c r="M104" s="73" t="s">
        <v>74</v>
      </c>
      <c r="N104" s="73" t="s">
        <v>58</v>
      </c>
      <c r="O104" s="73"/>
      <c r="P104" s="73"/>
      <c r="Q104" s="73"/>
      <c r="R104" s="73"/>
      <c r="S104" t="s">
        <v>230</v>
      </c>
      <c r="AO104" s="113">
        <v>46056</v>
      </c>
      <c r="AP104" s="113">
        <v>46073</v>
      </c>
      <c r="AQ104" s="113">
        <v>46076</v>
      </c>
      <c r="AR104" s="113">
        <v>46094</v>
      </c>
      <c r="AS104" s="113">
        <v>46093</v>
      </c>
      <c r="AT104" s="113">
        <v>46094</v>
      </c>
      <c r="AU104" s="113">
        <v>46097</v>
      </c>
      <c r="AV104" s="113">
        <v>46115</v>
      </c>
      <c r="AW104" s="113">
        <v>46118</v>
      </c>
      <c r="AX104" s="113">
        <v>46136</v>
      </c>
      <c r="AZ104">
        <f t="shared" si="130"/>
        <v>0</v>
      </c>
      <c r="BA104">
        <f t="shared" si="131"/>
        <v>0</v>
      </c>
      <c r="BB104">
        <f t="shared" si="132"/>
        <v>17</v>
      </c>
      <c r="BC104">
        <f t="shared" si="133"/>
        <v>18</v>
      </c>
      <c r="BD104">
        <f t="shared" si="134"/>
        <v>1</v>
      </c>
      <c r="BE104">
        <f t="shared" si="135"/>
        <v>18</v>
      </c>
      <c r="BF104">
        <f t="shared" si="136"/>
        <v>18</v>
      </c>
      <c r="BH104" s="118">
        <f t="shared" si="137"/>
        <v>0</v>
      </c>
      <c r="BI104" s="118">
        <f t="shared" si="138"/>
        <v>46056</v>
      </c>
      <c r="BJ104" s="118">
        <f t="shared" si="139"/>
        <v>3</v>
      </c>
      <c r="BK104" s="118">
        <f t="shared" si="140"/>
        <v>-1</v>
      </c>
      <c r="BL104" s="118">
        <f t="shared" si="141"/>
        <v>3</v>
      </c>
      <c r="BM104" s="118">
        <f t="shared" si="142"/>
        <v>3</v>
      </c>
      <c r="BN104">
        <v>101</v>
      </c>
    </row>
    <row r="105" spans="1:66" ht="15" customHeight="1">
      <c r="A105" t="s">
        <v>236</v>
      </c>
      <c r="B105" s="4" t="s">
        <v>93</v>
      </c>
      <c r="C105" s="4" t="s">
        <v>94</v>
      </c>
      <c r="D105" s="102" t="s">
        <v>327</v>
      </c>
      <c r="E105" t="s">
        <v>275</v>
      </c>
      <c r="F105" s="86" t="s">
        <v>276</v>
      </c>
      <c r="G105" t="s">
        <v>2</v>
      </c>
      <c r="H105" t="s">
        <v>97</v>
      </c>
      <c r="I105" t="s">
        <v>72</v>
      </c>
      <c r="K105" t="s">
        <v>198</v>
      </c>
      <c r="L105" t="s">
        <v>73</v>
      </c>
      <c r="M105" t="s">
        <v>207</v>
      </c>
      <c r="N105" t="s">
        <v>632</v>
      </c>
      <c r="AM105" s="113">
        <v>46055</v>
      </c>
      <c r="AN105" s="113">
        <v>46094</v>
      </c>
      <c r="AO105" s="113">
        <v>46097</v>
      </c>
      <c r="AP105" s="113">
        <v>46122</v>
      </c>
      <c r="AQ105" s="113">
        <v>46125</v>
      </c>
      <c r="AR105" s="113">
        <v>46136</v>
      </c>
      <c r="AS105" s="113">
        <v>46135</v>
      </c>
      <c r="AT105" s="113">
        <v>46136</v>
      </c>
      <c r="AU105" s="113">
        <v>46139</v>
      </c>
      <c r="AV105" s="113">
        <v>46157</v>
      </c>
      <c r="AW105" s="113">
        <v>46160</v>
      </c>
      <c r="AX105" s="113">
        <v>46171</v>
      </c>
      <c r="AZ105">
        <f t="shared" si="130"/>
        <v>0</v>
      </c>
      <c r="BA105">
        <f t="shared" si="131"/>
        <v>39</v>
      </c>
      <c r="BB105">
        <f t="shared" si="132"/>
        <v>25</v>
      </c>
      <c r="BC105">
        <f t="shared" si="133"/>
        <v>11</v>
      </c>
      <c r="BD105">
        <f t="shared" si="134"/>
        <v>1</v>
      </c>
      <c r="BE105">
        <f t="shared" si="135"/>
        <v>18</v>
      </c>
      <c r="BF105">
        <f t="shared" si="136"/>
        <v>11</v>
      </c>
      <c r="BH105" s="118">
        <f t="shared" si="137"/>
        <v>46055</v>
      </c>
      <c r="BI105" s="118">
        <f t="shared" si="138"/>
        <v>3</v>
      </c>
      <c r="BJ105" s="118">
        <f t="shared" si="139"/>
        <v>3</v>
      </c>
      <c r="BK105" s="118">
        <f t="shared" si="140"/>
        <v>-1</v>
      </c>
      <c r="BL105" s="118">
        <f t="shared" si="141"/>
        <v>3</v>
      </c>
      <c r="BM105" s="118">
        <f t="shared" si="142"/>
        <v>3</v>
      </c>
      <c r="BN105">
        <v>102</v>
      </c>
    </row>
    <row r="106" spans="1:66" ht="15" customHeight="1">
      <c r="A106" t="s">
        <v>92</v>
      </c>
      <c r="B106" s="4" t="s">
        <v>93</v>
      </c>
      <c r="C106" s="4" t="s">
        <v>94</v>
      </c>
      <c r="D106" s="102" t="s">
        <v>327</v>
      </c>
      <c r="E106" t="s">
        <v>271</v>
      </c>
      <c r="F106" s="86" t="s">
        <v>265</v>
      </c>
      <c r="G106" t="s">
        <v>2</v>
      </c>
      <c r="H106" t="s">
        <v>97</v>
      </c>
      <c r="I106" t="s">
        <v>72</v>
      </c>
      <c r="J106" t="s">
        <v>266</v>
      </c>
      <c r="K106" t="s">
        <v>198</v>
      </c>
      <c r="L106" t="s">
        <v>73</v>
      </c>
      <c r="M106" t="s">
        <v>207</v>
      </c>
      <c r="N106" t="s">
        <v>99</v>
      </c>
      <c r="AM106" s="113">
        <v>46062</v>
      </c>
      <c r="AN106" s="113">
        <v>46073</v>
      </c>
      <c r="AO106" s="113">
        <v>46076</v>
      </c>
      <c r="AP106" s="113">
        <v>46094</v>
      </c>
      <c r="AQ106" s="113">
        <v>46097</v>
      </c>
      <c r="AR106" s="113">
        <v>46115</v>
      </c>
      <c r="AS106" s="113">
        <v>46114</v>
      </c>
      <c r="AT106" s="113">
        <v>46115</v>
      </c>
      <c r="AU106" s="113">
        <v>46118</v>
      </c>
      <c r="AV106" s="113">
        <v>46136</v>
      </c>
      <c r="AW106" s="113">
        <v>46139</v>
      </c>
      <c r="AX106" s="113">
        <v>46157</v>
      </c>
      <c r="AZ106">
        <f t="shared" si="130"/>
        <v>0</v>
      </c>
      <c r="BA106">
        <f t="shared" si="131"/>
        <v>11</v>
      </c>
      <c r="BB106">
        <f t="shared" si="132"/>
        <v>18</v>
      </c>
      <c r="BC106">
        <f t="shared" si="133"/>
        <v>18</v>
      </c>
      <c r="BD106">
        <f t="shared" si="134"/>
        <v>1</v>
      </c>
      <c r="BE106">
        <f t="shared" si="135"/>
        <v>18</v>
      </c>
      <c r="BF106">
        <f t="shared" si="136"/>
        <v>18</v>
      </c>
      <c r="BH106" s="118">
        <f t="shared" si="137"/>
        <v>46062</v>
      </c>
      <c r="BI106" s="118">
        <f t="shared" si="138"/>
        <v>3</v>
      </c>
      <c r="BJ106" s="118">
        <f t="shared" si="139"/>
        <v>3</v>
      </c>
      <c r="BK106" s="118">
        <f t="shared" si="140"/>
        <v>-1</v>
      </c>
      <c r="BL106" s="118">
        <f t="shared" si="141"/>
        <v>3</v>
      </c>
      <c r="BM106" s="118">
        <f t="shared" si="142"/>
        <v>3</v>
      </c>
      <c r="BN106">
        <v>103</v>
      </c>
    </row>
    <row r="107" spans="1:66" ht="15" customHeight="1">
      <c r="A107" t="s">
        <v>92</v>
      </c>
      <c r="B107" s="4" t="s">
        <v>93</v>
      </c>
      <c r="C107" s="4" t="s">
        <v>94</v>
      </c>
      <c r="D107" s="102" t="s">
        <v>327</v>
      </c>
      <c r="E107" t="s">
        <v>525</v>
      </c>
      <c r="F107" s="86" t="s">
        <v>265</v>
      </c>
      <c r="G107" t="s">
        <v>2</v>
      </c>
      <c r="H107" t="s">
        <v>97</v>
      </c>
      <c r="I107" t="s">
        <v>72</v>
      </c>
      <c r="J107" t="s">
        <v>266</v>
      </c>
      <c r="K107" t="s">
        <v>198</v>
      </c>
      <c r="L107" t="s">
        <v>73</v>
      </c>
      <c r="M107" t="s">
        <v>207</v>
      </c>
      <c r="N107" t="s">
        <v>99</v>
      </c>
      <c r="AM107" s="113">
        <v>46062</v>
      </c>
      <c r="AN107" s="113">
        <v>46073</v>
      </c>
      <c r="AO107" s="113">
        <v>46076</v>
      </c>
      <c r="AP107" s="113">
        <v>46094</v>
      </c>
      <c r="AQ107" s="113">
        <v>46097</v>
      </c>
      <c r="AR107" s="113">
        <v>46115</v>
      </c>
      <c r="AS107" s="113">
        <v>46114</v>
      </c>
      <c r="AT107" s="113">
        <v>46115</v>
      </c>
      <c r="AU107" s="113">
        <v>46118</v>
      </c>
      <c r="AV107" s="113">
        <v>46136</v>
      </c>
      <c r="AW107" s="113">
        <v>46139</v>
      </c>
      <c r="AX107" s="113">
        <v>46157</v>
      </c>
      <c r="AZ107">
        <f t="shared" si="130"/>
        <v>0</v>
      </c>
      <c r="BA107">
        <f t="shared" si="131"/>
        <v>11</v>
      </c>
      <c r="BB107">
        <f t="shared" si="132"/>
        <v>18</v>
      </c>
      <c r="BC107">
        <f t="shared" si="133"/>
        <v>18</v>
      </c>
      <c r="BD107">
        <f t="shared" si="134"/>
        <v>1</v>
      </c>
      <c r="BE107">
        <f t="shared" si="135"/>
        <v>18</v>
      </c>
      <c r="BF107">
        <f t="shared" si="136"/>
        <v>18</v>
      </c>
      <c r="BH107" s="118">
        <f t="shared" si="137"/>
        <v>46062</v>
      </c>
      <c r="BI107" s="118">
        <f t="shared" si="138"/>
        <v>3</v>
      </c>
      <c r="BJ107" s="118">
        <f t="shared" si="139"/>
        <v>3</v>
      </c>
      <c r="BK107" s="118">
        <f t="shared" si="140"/>
        <v>-1</v>
      </c>
      <c r="BL107" s="118">
        <f t="shared" si="141"/>
        <v>3</v>
      </c>
      <c r="BM107" s="118">
        <f t="shared" si="142"/>
        <v>3</v>
      </c>
      <c r="BN107">
        <v>104</v>
      </c>
    </row>
    <row r="108" spans="1:66" ht="15" customHeight="1">
      <c r="A108" t="s">
        <v>92</v>
      </c>
      <c r="B108" s="4" t="s">
        <v>93</v>
      </c>
      <c r="C108" s="4" t="s">
        <v>94</v>
      </c>
      <c r="D108" s="102" t="s">
        <v>327</v>
      </c>
      <c r="E108" t="s">
        <v>264</v>
      </c>
      <c r="F108" s="86" t="s">
        <v>265</v>
      </c>
      <c r="G108" t="s">
        <v>2</v>
      </c>
      <c r="H108" t="s">
        <v>97</v>
      </c>
      <c r="I108" t="s">
        <v>72</v>
      </c>
      <c r="J108" t="s">
        <v>266</v>
      </c>
      <c r="K108" t="s">
        <v>198</v>
      </c>
      <c r="L108" t="s">
        <v>73</v>
      </c>
      <c r="M108" t="s">
        <v>207</v>
      </c>
      <c r="N108" t="s">
        <v>99</v>
      </c>
      <c r="AM108" s="113">
        <v>46062</v>
      </c>
      <c r="AN108" s="113">
        <v>46073</v>
      </c>
      <c r="AO108" s="113">
        <v>46076</v>
      </c>
      <c r="AP108" s="113">
        <v>46094</v>
      </c>
      <c r="AQ108" s="113">
        <v>46097</v>
      </c>
      <c r="AR108" s="113">
        <v>46115</v>
      </c>
      <c r="AS108" s="113">
        <v>46114</v>
      </c>
      <c r="AT108" s="113">
        <v>46115</v>
      </c>
      <c r="AU108" s="113">
        <v>46118</v>
      </c>
      <c r="AV108" s="113">
        <v>46136</v>
      </c>
      <c r="AW108" s="113">
        <v>46139</v>
      </c>
      <c r="AX108" s="113">
        <v>46157</v>
      </c>
      <c r="AZ108">
        <f t="shared" si="130"/>
        <v>0</v>
      </c>
      <c r="BA108">
        <f t="shared" si="131"/>
        <v>11</v>
      </c>
      <c r="BB108">
        <f t="shared" si="132"/>
        <v>18</v>
      </c>
      <c r="BC108">
        <f t="shared" si="133"/>
        <v>18</v>
      </c>
      <c r="BD108">
        <f t="shared" si="134"/>
        <v>1</v>
      </c>
      <c r="BE108">
        <f t="shared" si="135"/>
        <v>18</v>
      </c>
      <c r="BF108">
        <f t="shared" si="136"/>
        <v>18</v>
      </c>
      <c r="BH108" s="118">
        <f t="shared" si="137"/>
        <v>46062</v>
      </c>
      <c r="BI108" s="118">
        <f t="shared" si="138"/>
        <v>3</v>
      </c>
      <c r="BJ108" s="118">
        <f t="shared" si="139"/>
        <v>3</v>
      </c>
      <c r="BK108" s="118">
        <f t="shared" si="140"/>
        <v>-1</v>
      </c>
      <c r="BL108" s="118">
        <f t="shared" si="141"/>
        <v>3</v>
      </c>
      <c r="BM108" s="118">
        <f t="shared" si="142"/>
        <v>3</v>
      </c>
      <c r="BN108">
        <v>105</v>
      </c>
    </row>
    <row r="109" spans="1:66" ht="15" customHeight="1">
      <c r="A109" t="s">
        <v>92</v>
      </c>
      <c r="B109" s="4" t="s">
        <v>93</v>
      </c>
      <c r="C109" s="4" t="s">
        <v>94</v>
      </c>
      <c r="D109" s="102" t="s">
        <v>327</v>
      </c>
      <c r="E109" t="s">
        <v>526</v>
      </c>
      <c r="F109" s="86" t="s">
        <v>265</v>
      </c>
      <c r="G109" t="s">
        <v>2</v>
      </c>
      <c r="H109" t="s">
        <v>97</v>
      </c>
      <c r="I109" t="s">
        <v>72</v>
      </c>
      <c r="J109" t="s">
        <v>266</v>
      </c>
      <c r="K109" t="s">
        <v>198</v>
      </c>
      <c r="L109" t="s">
        <v>73</v>
      </c>
      <c r="M109" t="s">
        <v>207</v>
      </c>
      <c r="N109" t="s">
        <v>99</v>
      </c>
      <c r="AM109" s="113">
        <v>46062</v>
      </c>
      <c r="AN109" s="113">
        <v>46073</v>
      </c>
      <c r="AO109" s="113">
        <v>46076</v>
      </c>
      <c r="AP109" s="113">
        <v>46094</v>
      </c>
      <c r="AQ109" s="113">
        <v>46097</v>
      </c>
      <c r="AR109" s="113">
        <v>46115</v>
      </c>
      <c r="AS109" s="113">
        <v>46114</v>
      </c>
      <c r="AT109" s="113">
        <v>46115</v>
      </c>
      <c r="AU109" s="113">
        <v>46118</v>
      </c>
      <c r="AV109" s="113">
        <v>46136</v>
      </c>
      <c r="AW109" s="113">
        <v>46139</v>
      </c>
      <c r="AX109" s="113">
        <v>46157</v>
      </c>
      <c r="AZ109">
        <f t="shared" si="130"/>
        <v>0</v>
      </c>
      <c r="BA109">
        <f t="shared" si="131"/>
        <v>11</v>
      </c>
      <c r="BB109">
        <f t="shared" si="132"/>
        <v>18</v>
      </c>
      <c r="BC109">
        <f t="shared" si="133"/>
        <v>18</v>
      </c>
      <c r="BD109">
        <f t="shared" si="134"/>
        <v>1</v>
      </c>
      <c r="BE109">
        <f t="shared" si="135"/>
        <v>18</v>
      </c>
      <c r="BF109">
        <f t="shared" si="136"/>
        <v>18</v>
      </c>
      <c r="BH109" s="118">
        <f t="shared" si="137"/>
        <v>46062</v>
      </c>
      <c r="BI109" s="118">
        <f t="shared" si="138"/>
        <v>3</v>
      </c>
      <c r="BJ109" s="118">
        <f t="shared" si="139"/>
        <v>3</v>
      </c>
      <c r="BK109" s="118">
        <f t="shared" si="140"/>
        <v>-1</v>
      </c>
      <c r="BL109" s="118">
        <f t="shared" si="141"/>
        <v>3</v>
      </c>
      <c r="BM109" s="118">
        <f t="shared" si="142"/>
        <v>3</v>
      </c>
      <c r="BN109">
        <v>106</v>
      </c>
    </row>
    <row r="110" spans="1:66" ht="15" customHeight="1">
      <c r="A110" t="s">
        <v>92</v>
      </c>
      <c r="B110" s="4" t="s">
        <v>93</v>
      </c>
      <c r="C110" s="4" t="s">
        <v>94</v>
      </c>
      <c r="D110" s="102" t="s">
        <v>327</v>
      </c>
      <c r="E110" t="s">
        <v>262</v>
      </c>
      <c r="F110" s="85" t="s">
        <v>263</v>
      </c>
      <c r="G110" t="s">
        <v>2</v>
      </c>
      <c r="H110" t="s">
        <v>97</v>
      </c>
      <c r="I110" t="s">
        <v>72</v>
      </c>
      <c r="K110" t="s">
        <v>198</v>
      </c>
      <c r="L110" t="s">
        <v>73</v>
      </c>
      <c r="M110" t="s">
        <v>98</v>
      </c>
      <c r="N110" t="s">
        <v>99</v>
      </c>
      <c r="AM110" s="113">
        <v>46055</v>
      </c>
      <c r="AN110" s="113">
        <v>46080</v>
      </c>
      <c r="AO110" s="113">
        <v>46083</v>
      </c>
      <c r="AP110" s="113">
        <v>46108</v>
      </c>
      <c r="AQ110" s="113">
        <v>46111</v>
      </c>
      <c r="AR110" s="113">
        <v>46129</v>
      </c>
      <c r="AS110" s="113">
        <v>46128</v>
      </c>
      <c r="AT110" s="113">
        <v>46129</v>
      </c>
      <c r="AU110" s="113">
        <v>46132</v>
      </c>
      <c r="AV110" s="113">
        <v>46150</v>
      </c>
      <c r="AW110" s="113">
        <v>46153</v>
      </c>
      <c r="AX110" s="113">
        <v>46171</v>
      </c>
      <c r="AZ110">
        <f t="shared" si="130"/>
        <v>0</v>
      </c>
      <c r="BA110">
        <f t="shared" si="131"/>
        <v>25</v>
      </c>
      <c r="BB110">
        <f t="shared" si="132"/>
        <v>25</v>
      </c>
      <c r="BC110">
        <f t="shared" si="133"/>
        <v>18</v>
      </c>
      <c r="BD110">
        <f t="shared" si="134"/>
        <v>1</v>
      </c>
      <c r="BE110">
        <f t="shared" si="135"/>
        <v>18</v>
      </c>
      <c r="BF110">
        <f t="shared" si="136"/>
        <v>18</v>
      </c>
      <c r="BH110" s="118">
        <f t="shared" si="137"/>
        <v>46055</v>
      </c>
      <c r="BI110" s="118">
        <f t="shared" si="138"/>
        <v>3</v>
      </c>
      <c r="BJ110" s="118">
        <f t="shared" si="139"/>
        <v>3</v>
      </c>
      <c r="BK110" s="118">
        <f t="shared" si="140"/>
        <v>-1</v>
      </c>
      <c r="BL110" s="118">
        <f t="shared" si="141"/>
        <v>3</v>
      </c>
      <c r="BM110" s="118">
        <f t="shared" si="142"/>
        <v>3</v>
      </c>
      <c r="BN110">
        <v>107</v>
      </c>
    </row>
    <row r="111" spans="1:66" ht="15" customHeight="1">
      <c r="A111" t="s">
        <v>259</v>
      </c>
      <c r="B111" s="4" t="s">
        <v>93</v>
      </c>
      <c r="C111" s="4" t="s">
        <v>94</v>
      </c>
      <c r="D111" s="102" t="s">
        <v>327</v>
      </c>
      <c r="E111" t="s">
        <v>260</v>
      </c>
      <c r="F111" s="85" t="s">
        <v>261</v>
      </c>
      <c r="G111" t="s">
        <v>2</v>
      </c>
      <c r="H111" t="s">
        <v>97</v>
      </c>
      <c r="I111" t="s">
        <v>72</v>
      </c>
      <c r="K111" t="s">
        <v>198</v>
      </c>
      <c r="L111" t="s">
        <v>73</v>
      </c>
      <c r="M111" t="s">
        <v>98</v>
      </c>
      <c r="N111" t="s">
        <v>99</v>
      </c>
      <c r="AM111" s="113">
        <v>46055</v>
      </c>
      <c r="AN111" s="113">
        <v>46080</v>
      </c>
      <c r="AO111" s="113">
        <v>46083</v>
      </c>
      <c r="AP111" s="113">
        <v>46108</v>
      </c>
      <c r="AQ111" s="113">
        <v>46111</v>
      </c>
      <c r="AR111" s="113">
        <v>46129</v>
      </c>
      <c r="AS111" s="113">
        <v>46128</v>
      </c>
      <c r="AT111" s="113">
        <v>46129</v>
      </c>
      <c r="AU111" s="113">
        <v>46132</v>
      </c>
      <c r="AV111" s="113">
        <v>46150</v>
      </c>
      <c r="AW111" s="113">
        <v>46153</v>
      </c>
      <c r="AX111" s="113">
        <v>46171</v>
      </c>
      <c r="AZ111">
        <f t="shared" si="130"/>
        <v>0</v>
      </c>
      <c r="BA111">
        <f t="shared" si="131"/>
        <v>25</v>
      </c>
      <c r="BB111">
        <f t="shared" si="132"/>
        <v>25</v>
      </c>
      <c r="BC111">
        <f t="shared" si="133"/>
        <v>18</v>
      </c>
      <c r="BD111">
        <f t="shared" si="134"/>
        <v>1</v>
      </c>
      <c r="BE111">
        <f t="shared" si="135"/>
        <v>18</v>
      </c>
      <c r="BF111">
        <f t="shared" si="136"/>
        <v>18</v>
      </c>
      <c r="BH111" s="118">
        <f t="shared" si="137"/>
        <v>46055</v>
      </c>
      <c r="BI111" s="118">
        <f t="shared" si="138"/>
        <v>3</v>
      </c>
      <c r="BJ111" s="118">
        <f t="shared" si="139"/>
        <v>3</v>
      </c>
      <c r="BK111" s="118">
        <f t="shared" si="140"/>
        <v>-1</v>
      </c>
      <c r="BL111" s="118">
        <f t="shared" si="141"/>
        <v>3</v>
      </c>
      <c r="BM111" s="118">
        <f t="shared" si="142"/>
        <v>3</v>
      </c>
      <c r="BN111">
        <v>108</v>
      </c>
    </row>
    <row r="112" spans="1:66" ht="15" customHeight="1">
      <c r="A112" t="s">
        <v>92</v>
      </c>
      <c r="B112" s="4" t="s">
        <v>93</v>
      </c>
      <c r="C112" s="4" t="s">
        <v>94</v>
      </c>
      <c r="D112" s="102" t="s">
        <v>329</v>
      </c>
      <c r="E112" t="s">
        <v>95</v>
      </c>
      <c r="F112" s="85" t="s">
        <v>96</v>
      </c>
      <c r="G112" t="s">
        <v>2</v>
      </c>
      <c r="H112" t="s">
        <v>97</v>
      </c>
      <c r="I112" t="s">
        <v>72</v>
      </c>
      <c r="K112" t="s">
        <v>55</v>
      </c>
      <c r="L112" t="s">
        <v>73</v>
      </c>
      <c r="M112" t="s">
        <v>98</v>
      </c>
      <c r="N112" t="s">
        <v>99</v>
      </c>
      <c r="AO112" s="113">
        <v>46056</v>
      </c>
      <c r="AP112" s="113">
        <v>46073</v>
      </c>
      <c r="AQ112" s="113">
        <v>46076</v>
      </c>
      <c r="AR112" s="113">
        <v>46094</v>
      </c>
      <c r="AS112" s="113">
        <v>46093</v>
      </c>
      <c r="AT112" s="113">
        <v>46094</v>
      </c>
      <c r="AU112" s="113">
        <v>46097</v>
      </c>
      <c r="AV112" s="113">
        <v>46115</v>
      </c>
      <c r="AW112" s="113">
        <v>46118</v>
      </c>
      <c r="AX112" s="113">
        <v>46136</v>
      </c>
      <c r="AZ112">
        <f t="shared" si="130"/>
        <v>0</v>
      </c>
      <c r="BA112">
        <f t="shared" si="131"/>
        <v>0</v>
      </c>
      <c r="BB112">
        <f t="shared" si="132"/>
        <v>17</v>
      </c>
      <c r="BC112">
        <f t="shared" si="133"/>
        <v>18</v>
      </c>
      <c r="BD112">
        <f t="shared" si="134"/>
        <v>1</v>
      </c>
      <c r="BE112">
        <f t="shared" si="135"/>
        <v>18</v>
      </c>
      <c r="BF112">
        <f t="shared" si="136"/>
        <v>18</v>
      </c>
      <c r="BH112" s="118">
        <f t="shared" si="137"/>
        <v>0</v>
      </c>
      <c r="BI112" s="118">
        <f t="shared" si="138"/>
        <v>46056</v>
      </c>
      <c r="BJ112" s="118">
        <f t="shared" si="139"/>
        <v>3</v>
      </c>
      <c r="BK112" s="118">
        <f t="shared" si="140"/>
        <v>-1</v>
      </c>
      <c r="BL112" s="118">
        <f t="shared" si="141"/>
        <v>3</v>
      </c>
      <c r="BM112" s="118">
        <f t="shared" si="142"/>
        <v>3</v>
      </c>
      <c r="BN112">
        <v>109</v>
      </c>
    </row>
    <row r="113" spans="1:66" ht="15" customHeight="1">
      <c r="A113" t="s">
        <v>92</v>
      </c>
      <c r="B113" t="s">
        <v>4</v>
      </c>
      <c r="C113" s="4" t="s">
        <v>225</v>
      </c>
      <c r="D113" s="102" t="s">
        <v>327</v>
      </c>
      <c r="E113" t="s">
        <v>254</v>
      </c>
      <c r="F113" s="86" t="s">
        <v>255</v>
      </c>
      <c r="G113" t="s">
        <v>71</v>
      </c>
      <c r="H113" t="s">
        <v>256</v>
      </c>
      <c r="I113" t="s">
        <v>83</v>
      </c>
      <c r="J113" t="s">
        <v>257</v>
      </c>
      <c r="K113" t="s">
        <v>198</v>
      </c>
      <c r="M113" t="s">
        <v>207</v>
      </c>
      <c r="N113" t="s">
        <v>258</v>
      </c>
      <c r="O113" t="s">
        <v>234</v>
      </c>
      <c r="P113" s="19"/>
      <c r="AM113" s="113">
        <v>46055</v>
      </c>
      <c r="AN113" s="113">
        <v>46094</v>
      </c>
      <c r="AO113" s="113">
        <v>46097</v>
      </c>
      <c r="AP113" s="113">
        <v>46122</v>
      </c>
      <c r="AQ113" s="113">
        <v>46125</v>
      </c>
      <c r="AR113" s="113">
        <v>46136</v>
      </c>
      <c r="AS113" s="113">
        <v>46135</v>
      </c>
      <c r="AT113" s="113">
        <v>46136</v>
      </c>
      <c r="AU113" s="113">
        <v>46139</v>
      </c>
      <c r="AV113" s="113">
        <v>46157</v>
      </c>
      <c r="AW113" s="113">
        <v>46160</v>
      </c>
      <c r="AX113" s="113">
        <v>46171</v>
      </c>
      <c r="AZ113">
        <f t="shared" si="130"/>
        <v>0</v>
      </c>
      <c r="BA113">
        <f t="shared" si="131"/>
        <v>39</v>
      </c>
      <c r="BB113">
        <f t="shared" si="132"/>
        <v>25</v>
      </c>
      <c r="BC113">
        <f t="shared" si="133"/>
        <v>11</v>
      </c>
      <c r="BD113">
        <f t="shared" si="134"/>
        <v>1</v>
      </c>
      <c r="BE113">
        <f t="shared" si="135"/>
        <v>18</v>
      </c>
      <c r="BF113">
        <f t="shared" si="136"/>
        <v>11</v>
      </c>
      <c r="BH113" s="118">
        <f t="shared" si="137"/>
        <v>46055</v>
      </c>
      <c r="BI113" s="118">
        <f t="shared" si="138"/>
        <v>3</v>
      </c>
      <c r="BJ113" s="118">
        <f t="shared" si="139"/>
        <v>3</v>
      </c>
      <c r="BK113" s="118">
        <f t="shared" si="140"/>
        <v>-1</v>
      </c>
      <c r="BL113" s="118">
        <f t="shared" si="141"/>
        <v>3</v>
      </c>
      <c r="BM113" s="118">
        <f t="shared" si="142"/>
        <v>3</v>
      </c>
      <c r="BN113">
        <v>110</v>
      </c>
    </row>
    <row r="114" spans="1:66" ht="15" customHeight="1">
      <c r="A114" t="s">
        <v>4</v>
      </c>
      <c r="B114" t="s">
        <v>4</v>
      </c>
      <c r="C114" s="4" t="s">
        <v>225</v>
      </c>
      <c r="D114" s="102" t="s">
        <v>470</v>
      </c>
      <c r="E114" s="2" t="s">
        <v>527</v>
      </c>
      <c r="F114" t="s">
        <v>508</v>
      </c>
      <c r="G114" t="s">
        <v>71</v>
      </c>
      <c r="H114" t="s">
        <v>473</v>
      </c>
      <c r="K114" t="s">
        <v>340</v>
      </c>
      <c r="L114" t="s">
        <v>474</v>
      </c>
      <c r="M114" t="s">
        <v>74</v>
      </c>
      <c r="N114" t="s">
        <v>338</v>
      </c>
      <c r="AU114" s="113">
        <v>46076</v>
      </c>
      <c r="AV114" s="113">
        <v>46094</v>
      </c>
      <c r="AW114" s="113">
        <v>46097</v>
      </c>
      <c r="AX114" s="113">
        <v>46115</v>
      </c>
      <c r="AZ114">
        <f t="shared" si="130"/>
        <v>0</v>
      </c>
      <c r="BA114">
        <f t="shared" si="131"/>
        <v>0</v>
      </c>
      <c r="BB114">
        <f t="shared" si="132"/>
        <v>0</v>
      </c>
      <c r="BC114">
        <f t="shared" si="133"/>
        <v>0</v>
      </c>
      <c r="BD114">
        <f t="shared" si="134"/>
        <v>0</v>
      </c>
      <c r="BE114">
        <f t="shared" si="135"/>
        <v>18</v>
      </c>
      <c r="BF114">
        <f t="shared" si="136"/>
        <v>18</v>
      </c>
      <c r="BH114" s="118">
        <f t="shared" si="137"/>
        <v>0</v>
      </c>
      <c r="BI114" s="118">
        <f t="shared" si="138"/>
        <v>0</v>
      </c>
      <c r="BJ114" s="118">
        <f t="shared" si="139"/>
        <v>0</v>
      </c>
      <c r="BK114" s="118">
        <f t="shared" si="140"/>
        <v>0</v>
      </c>
      <c r="BL114" s="118">
        <f t="shared" si="141"/>
        <v>46076</v>
      </c>
      <c r="BM114" s="118">
        <f t="shared" si="142"/>
        <v>3</v>
      </c>
      <c r="BN114">
        <v>111</v>
      </c>
    </row>
    <row r="115" spans="1:66" ht="15" customHeight="1">
      <c r="A115" t="s">
        <v>4</v>
      </c>
      <c r="B115" t="s">
        <v>4</v>
      </c>
      <c r="C115" s="4" t="s">
        <v>225</v>
      </c>
      <c r="D115" s="102" t="s">
        <v>470</v>
      </c>
      <c r="E115" s="2" t="s">
        <v>528</v>
      </c>
      <c r="F115" t="s">
        <v>508</v>
      </c>
      <c r="G115" t="s">
        <v>71</v>
      </c>
      <c r="H115" t="s">
        <v>473</v>
      </c>
      <c r="K115" t="s">
        <v>340</v>
      </c>
      <c r="L115" t="s">
        <v>474</v>
      </c>
      <c r="M115" t="s">
        <v>74</v>
      </c>
      <c r="N115" t="s">
        <v>338</v>
      </c>
      <c r="AU115" s="113">
        <v>46076</v>
      </c>
      <c r="AV115" s="113">
        <v>46094</v>
      </c>
      <c r="AW115" s="113">
        <v>46097</v>
      </c>
      <c r="AX115" s="113">
        <v>46115</v>
      </c>
      <c r="AZ115">
        <f t="shared" si="130"/>
        <v>0</v>
      </c>
      <c r="BA115">
        <f t="shared" si="131"/>
        <v>0</v>
      </c>
      <c r="BB115">
        <f t="shared" si="132"/>
        <v>0</v>
      </c>
      <c r="BC115">
        <f t="shared" si="133"/>
        <v>0</v>
      </c>
      <c r="BD115">
        <f t="shared" si="134"/>
        <v>0</v>
      </c>
      <c r="BE115">
        <f t="shared" si="135"/>
        <v>18</v>
      </c>
      <c r="BF115">
        <f t="shared" si="136"/>
        <v>18</v>
      </c>
      <c r="BH115" s="118">
        <f t="shared" si="137"/>
        <v>0</v>
      </c>
      <c r="BI115" s="118">
        <f t="shared" si="138"/>
        <v>0</v>
      </c>
      <c r="BJ115" s="118">
        <f t="shared" si="139"/>
        <v>0</v>
      </c>
      <c r="BK115" s="118">
        <f t="shared" si="140"/>
        <v>0</v>
      </c>
      <c r="BL115" s="118">
        <f t="shared" si="141"/>
        <v>46076</v>
      </c>
      <c r="BM115" s="118">
        <f t="shared" si="142"/>
        <v>3</v>
      </c>
      <c r="BN115">
        <v>112</v>
      </c>
    </row>
    <row r="116" spans="1:66" ht="15" customHeight="1">
      <c r="A116" t="s">
        <v>80</v>
      </c>
      <c r="B116" t="s">
        <v>68</v>
      </c>
      <c r="C116" s="4" t="s">
        <v>48</v>
      </c>
      <c r="D116" s="102" t="s">
        <v>329</v>
      </c>
      <c r="E116" t="s">
        <v>86</v>
      </c>
      <c r="F116" t="s">
        <v>87</v>
      </c>
      <c r="G116" t="s">
        <v>52</v>
      </c>
      <c r="H116" t="s">
        <v>88</v>
      </c>
      <c r="I116" t="s">
        <v>83</v>
      </c>
      <c r="J116" t="s">
        <v>89</v>
      </c>
      <c r="K116" t="s">
        <v>55</v>
      </c>
      <c r="L116" t="s">
        <v>73</v>
      </c>
      <c r="M116" t="s">
        <v>57</v>
      </c>
      <c r="N116" t="s">
        <v>58</v>
      </c>
      <c r="O116" t="s">
        <v>90</v>
      </c>
      <c r="P116" t="s">
        <v>91</v>
      </c>
      <c r="S116" t="s">
        <v>230</v>
      </c>
      <c r="AO116" s="113">
        <v>46056</v>
      </c>
      <c r="AP116" s="113">
        <v>46073</v>
      </c>
      <c r="AQ116" s="113">
        <v>46076</v>
      </c>
      <c r="AR116" s="113">
        <v>46094</v>
      </c>
      <c r="AS116" s="113">
        <v>46093</v>
      </c>
      <c r="AT116" s="113">
        <v>46094</v>
      </c>
      <c r="AU116" s="113">
        <v>46097</v>
      </c>
      <c r="AV116" s="113">
        <v>46115</v>
      </c>
      <c r="AW116" s="113">
        <v>46118</v>
      </c>
      <c r="AX116" s="113">
        <v>46136</v>
      </c>
      <c r="AZ116">
        <f t="shared" si="130"/>
        <v>0</v>
      </c>
      <c r="BA116">
        <f t="shared" si="131"/>
        <v>0</v>
      </c>
      <c r="BB116">
        <f t="shared" si="132"/>
        <v>17</v>
      </c>
      <c r="BC116">
        <f t="shared" si="133"/>
        <v>18</v>
      </c>
      <c r="BD116">
        <f t="shared" si="134"/>
        <v>1</v>
      </c>
      <c r="BE116">
        <f t="shared" si="135"/>
        <v>18</v>
      </c>
      <c r="BF116">
        <f t="shared" si="136"/>
        <v>18</v>
      </c>
      <c r="BH116" s="118">
        <f t="shared" si="137"/>
        <v>0</v>
      </c>
      <c r="BI116" s="118">
        <f t="shared" si="138"/>
        <v>46056</v>
      </c>
      <c r="BJ116" s="118">
        <f t="shared" si="139"/>
        <v>3</v>
      </c>
      <c r="BK116" s="118">
        <f t="shared" si="140"/>
        <v>-1</v>
      </c>
      <c r="BL116" s="118">
        <f t="shared" si="141"/>
        <v>3</v>
      </c>
      <c r="BM116" s="118">
        <f t="shared" si="142"/>
        <v>3</v>
      </c>
      <c r="BN116">
        <v>113</v>
      </c>
    </row>
    <row r="117" spans="1:66" ht="15" customHeight="1">
      <c r="A117" t="s">
        <v>4</v>
      </c>
      <c r="B117" t="s">
        <v>4</v>
      </c>
      <c r="C117" s="4" t="s">
        <v>225</v>
      </c>
      <c r="D117" s="102" t="s">
        <v>470</v>
      </c>
      <c r="E117" s="2" t="s">
        <v>529</v>
      </c>
      <c r="F117" t="s">
        <v>508</v>
      </c>
      <c r="G117" t="s">
        <v>71</v>
      </c>
      <c r="H117" t="s">
        <v>473</v>
      </c>
      <c r="K117" t="s">
        <v>340</v>
      </c>
      <c r="L117" t="s">
        <v>474</v>
      </c>
      <c r="M117" t="s">
        <v>74</v>
      </c>
      <c r="N117" t="s">
        <v>338</v>
      </c>
      <c r="AU117" s="113">
        <v>46076</v>
      </c>
      <c r="AV117" s="113">
        <v>46094</v>
      </c>
      <c r="AW117" s="113">
        <v>46097</v>
      </c>
      <c r="AX117" s="113">
        <v>46115</v>
      </c>
      <c r="AZ117">
        <f t="shared" si="130"/>
        <v>0</v>
      </c>
      <c r="BA117">
        <f t="shared" si="131"/>
        <v>0</v>
      </c>
      <c r="BB117">
        <f t="shared" si="132"/>
        <v>0</v>
      </c>
      <c r="BC117">
        <f t="shared" si="133"/>
        <v>0</v>
      </c>
      <c r="BD117">
        <f t="shared" si="134"/>
        <v>0</v>
      </c>
      <c r="BE117">
        <f t="shared" si="135"/>
        <v>18</v>
      </c>
      <c r="BF117">
        <f t="shared" si="136"/>
        <v>18</v>
      </c>
      <c r="BH117" s="118">
        <f t="shared" si="137"/>
        <v>0</v>
      </c>
      <c r="BI117" s="118">
        <f t="shared" si="138"/>
        <v>0</v>
      </c>
      <c r="BJ117" s="118">
        <f t="shared" si="139"/>
        <v>0</v>
      </c>
      <c r="BK117" s="118">
        <f t="shared" si="140"/>
        <v>0</v>
      </c>
      <c r="BL117" s="118">
        <f t="shared" si="141"/>
        <v>46076</v>
      </c>
      <c r="BM117" s="118">
        <f t="shared" si="142"/>
        <v>3</v>
      </c>
      <c r="BN117">
        <v>114</v>
      </c>
    </row>
    <row r="118" spans="1:66" ht="15" customHeight="1">
      <c r="A118" t="s">
        <v>92</v>
      </c>
      <c r="B118" s="4" t="s">
        <v>160</v>
      </c>
      <c r="C118" s="4" t="s">
        <v>201</v>
      </c>
      <c r="D118" s="102" t="s">
        <v>327</v>
      </c>
      <c r="E118" t="s">
        <v>252</v>
      </c>
      <c r="F118" s="86" t="s">
        <v>253</v>
      </c>
      <c r="G118" t="s">
        <v>2</v>
      </c>
      <c r="H118" t="s">
        <v>97</v>
      </c>
      <c r="I118" t="s">
        <v>72</v>
      </c>
      <c r="K118" t="s">
        <v>198</v>
      </c>
      <c r="L118" t="s">
        <v>73</v>
      </c>
      <c r="M118" t="s">
        <v>207</v>
      </c>
      <c r="N118" t="s">
        <v>160</v>
      </c>
      <c r="AM118" s="113">
        <v>46055</v>
      </c>
      <c r="AN118" s="113">
        <v>46094</v>
      </c>
      <c r="AO118" s="113">
        <v>46097</v>
      </c>
      <c r="AP118" s="113">
        <v>46122</v>
      </c>
      <c r="AQ118" s="113">
        <v>46125</v>
      </c>
      <c r="AR118" s="113">
        <v>46136</v>
      </c>
      <c r="AS118" s="113">
        <v>46135</v>
      </c>
      <c r="AT118" s="113">
        <v>46136</v>
      </c>
      <c r="AU118" s="113">
        <v>46139</v>
      </c>
      <c r="AV118" s="113">
        <v>46157</v>
      </c>
      <c r="AW118" s="113">
        <v>46160</v>
      </c>
      <c r="AX118" s="113">
        <v>46171</v>
      </c>
      <c r="AZ118">
        <f t="shared" si="130"/>
        <v>0</v>
      </c>
      <c r="BA118">
        <f t="shared" si="131"/>
        <v>39</v>
      </c>
      <c r="BB118">
        <f t="shared" si="132"/>
        <v>25</v>
      </c>
      <c r="BC118">
        <f t="shared" si="133"/>
        <v>11</v>
      </c>
      <c r="BD118">
        <f t="shared" si="134"/>
        <v>1</v>
      </c>
      <c r="BE118">
        <f t="shared" si="135"/>
        <v>18</v>
      </c>
      <c r="BF118">
        <f t="shared" si="136"/>
        <v>11</v>
      </c>
      <c r="BH118" s="118">
        <f t="shared" si="137"/>
        <v>46055</v>
      </c>
      <c r="BI118" s="118">
        <f t="shared" si="138"/>
        <v>3</v>
      </c>
      <c r="BJ118" s="118">
        <f t="shared" si="139"/>
        <v>3</v>
      </c>
      <c r="BK118" s="118">
        <f t="shared" si="140"/>
        <v>-1</v>
      </c>
      <c r="BL118" s="118">
        <f t="shared" si="141"/>
        <v>3</v>
      </c>
      <c r="BM118" s="118">
        <f t="shared" si="142"/>
        <v>3</v>
      </c>
      <c r="BN118">
        <v>115</v>
      </c>
    </row>
    <row r="119" spans="1:66" ht="15" customHeight="1">
      <c r="A119" t="s">
        <v>92</v>
      </c>
      <c r="B119" s="4" t="s">
        <v>160</v>
      </c>
      <c r="C119" s="4" t="s">
        <v>201</v>
      </c>
      <c r="D119" s="102" t="s">
        <v>327</v>
      </c>
      <c r="E119" s="70" t="s">
        <v>249</v>
      </c>
      <c r="F119" s="87" t="s">
        <v>250</v>
      </c>
      <c r="G119" t="s">
        <v>2</v>
      </c>
      <c r="H119" t="s">
        <v>97</v>
      </c>
      <c r="I119" t="s">
        <v>72</v>
      </c>
      <c r="K119" t="s">
        <v>198</v>
      </c>
      <c r="L119" t="s">
        <v>73</v>
      </c>
      <c r="M119" t="s">
        <v>207</v>
      </c>
      <c r="N119" t="s">
        <v>160</v>
      </c>
      <c r="AM119" s="113">
        <v>46055</v>
      </c>
      <c r="AN119" s="113">
        <v>46094</v>
      </c>
      <c r="AO119" s="113">
        <v>46097</v>
      </c>
      <c r="AP119" s="113">
        <v>46122</v>
      </c>
      <c r="AQ119" s="113">
        <v>46125</v>
      </c>
      <c r="AR119" s="113">
        <v>46136</v>
      </c>
      <c r="AS119" s="113">
        <v>46135</v>
      </c>
      <c r="AT119" s="113">
        <v>46136</v>
      </c>
      <c r="AU119" s="113">
        <v>46139</v>
      </c>
      <c r="AV119" s="113">
        <v>46157</v>
      </c>
      <c r="AW119" s="113">
        <v>46160</v>
      </c>
      <c r="AX119" s="113">
        <v>46171</v>
      </c>
      <c r="AZ119">
        <f t="shared" si="130"/>
        <v>0</v>
      </c>
      <c r="BA119">
        <f t="shared" si="131"/>
        <v>39</v>
      </c>
      <c r="BB119">
        <f t="shared" si="132"/>
        <v>25</v>
      </c>
      <c r="BC119">
        <f t="shared" si="133"/>
        <v>11</v>
      </c>
      <c r="BD119">
        <f t="shared" si="134"/>
        <v>1</v>
      </c>
      <c r="BE119">
        <f t="shared" si="135"/>
        <v>18</v>
      </c>
      <c r="BF119">
        <f t="shared" si="136"/>
        <v>11</v>
      </c>
      <c r="BH119" s="118">
        <f t="shared" si="137"/>
        <v>46055</v>
      </c>
      <c r="BI119" s="118">
        <f t="shared" si="138"/>
        <v>3</v>
      </c>
      <c r="BJ119" s="118">
        <f t="shared" si="139"/>
        <v>3</v>
      </c>
      <c r="BK119" s="118">
        <f t="shared" si="140"/>
        <v>-1</v>
      </c>
      <c r="BL119" s="118">
        <f t="shared" si="141"/>
        <v>3</v>
      </c>
      <c r="BM119" s="118">
        <f t="shared" si="142"/>
        <v>3</v>
      </c>
      <c r="BN119">
        <v>116</v>
      </c>
    </row>
    <row r="120" spans="1:66" ht="15" customHeight="1">
      <c r="A120" t="s">
        <v>92</v>
      </c>
      <c r="B120" s="4" t="s">
        <v>160</v>
      </c>
      <c r="C120" s="4" t="s">
        <v>201</v>
      </c>
      <c r="D120" s="102" t="s">
        <v>327</v>
      </c>
      <c r="E120" t="s">
        <v>247</v>
      </c>
      <c r="F120" s="86" t="s">
        <v>248</v>
      </c>
      <c r="G120" t="s">
        <v>2</v>
      </c>
      <c r="H120" t="s">
        <v>97</v>
      </c>
      <c r="I120" t="s">
        <v>72</v>
      </c>
      <c r="K120" t="s">
        <v>198</v>
      </c>
      <c r="L120" t="s">
        <v>73</v>
      </c>
      <c r="M120" t="s">
        <v>207</v>
      </c>
      <c r="N120" t="s">
        <v>160</v>
      </c>
      <c r="AM120" s="113">
        <v>46055</v>
      </c>
      <c r="AN120" s="113">
        <v>46094</v>
      </c>
      <c r="AO120" s="113">
        <v>46097</v>
      </c>
      <c r="AP120" s="113">
        <v>46122</v>
      </c>
      <c r="AQ120" s="113">
        <v>46125</v>
      </c>
      <c r="AR120" s="113">
        <v>46136</v>
      </c>
      <c r="AS120" s="113">
        <v>46135</v>
      </c>
      <c r="AT120" s="113">
        <v>46136</v>
      </c>
      <c r="AU120" s="113">
        <v>46139</v>
      </c>
      <c r="AV120" s="113">
        <v>46157</v>
      </c>
      <c r="AW120" s="113">
        <v>46160</v>
      </c>
      <c r="AX120" s="113">
        <v>46171</v>
      </c>
      <c r="AZ120">
        <f t="shared" si="130"/>
        <v>0</v>
      </c>
      <c r="BA120">
        <f t="shared" si="131"/>
        <v>39</v>
      </c>
      <c r="BB120">
        <f t="shared" si="132"/>
        <v>25</v>
      </c>
      <c r="BC120">
        <f t="shared" si="133"/>
        <v>11</v>
      </c>
      <c r="BD120">
        <f t="shared" si="134"/>
        <v>1</v>
      </c>
      <c r="BE120">
        <f t="shared" si="135"/>
        <v>18</v>
      </c>
      <c r="BF120">
        <f t="shared" si="136"/>
        <v>11</v>
      </c>
      <c r="BH120" s="118">
        <f t="shared" si="137"/>
        <v>46055</v>
      </c>
      <c r="BI120" s="118">
        <f t="shared" si="138"/>
        <v>3</v>
      </c>
      <c r="BJ120" s="118">
        <f t="shared" si="139"/>
        <v>3</v>
      </c>
      <c r="BK120" s="118">
        <f t="shared" si="140"/>
        <v>-1</v>
      </c>
      <c r="BL120" s="118">
        <f t="shared" si="141"/>
        <v>3</v>
      </c>
      <c r="BM120" s="118">
        <f t="shared" si="142"/>
        <v>3</v>
      </c>
      <c r="BN120">
        <v>117</v>
      </c>
    </row>
    <row r="121" spans="1:66" ht="15" customHeight="1">
      <c r="A121" t="s">
        <v>4</v>
      </c>
      <c r="B121" t="s">
        <v>4</v>
      </c>
      <c r="C121" s="4" t="s">
        <v>225</v>
      </c>
      <c r="D121" s="102" t="s">
        <v>435</v>
      </c>
      <c r="E121" t="s">
        <v>530</v>
      </c>
      <c r="F121" t="s">
        <v>531</v>
      </c>
      <c r="G121" t="s">
        <v>52</v>
      </c>
      <c r="H121" t="s">
        <v>219</v>
      </c>
      <c r="I121" t="s">
        <v>83</v>
      </c>
      <c r="J121" t="s">
        <v>532</v>
      </c>
      <c r="K121" t="s">
        <v>339</v>
      </c>
      <c r="M121" t="s">
        <v>57</v>
      </c>
      <c r="N121" t="s">
        <v>4</v>
      </c>
      <c r="O121" t="s">
        <v>230</v>
      </c>
      <c r="P121" t="s">
        <v>533</v>
      </c>
      <c r="AU121" s="113">
        <v>46076</v>
      </c>
      <c r="AV121" s="113">
        <v>46101</v>
      </c>
      <c r="AW121" s="113">
        <v>46104</v>
      </c>
      <c r="AX121" s="113">
        <v>46129</v>
      </c>
      <c r="AZ121">
        <f t="shared" si="130"/>
        <v>0</v>
      </c>
      <c r="BA121">
        <f t="shared" si="131"/>
        <v>0</v>
      </c>
      <c r="BB121">
        <f t="shared" si="132"/>
        <v>0</v>
      </c>
      <c r="BC121">
        <f t="shared" si="133"/>
        <v>0</v>
      </c>
      <c r="BD121">
        <f t="shared" si="134"/>
        <v>0</v>
      </c>
      <c r="BE121">
        <f t="shared" si="135"/>
        <v>25</v>
      </c>
      <c r="BF121">
        <f t="shared" si="136"/>
        <v>25</v>
      </c>
      <c r="BH121" s="118">
        <f t="shared" si="137"/>
        <v>0</v>
      </c>
      <c r="BI121" s="118">
        <f t="shared" si="138"/>
        <v>0</v>
      </c>
      <c r="BJ121" s="118">
        <f t="shared" si="139"/>
        <v>0</v>
      </c>
      <c r="BK121" s="118">
        <f t="shared" si="140"/>
        <v>0</v>
      </c>
      <c r="BL121" s="118">
        <f t="shared" si="141"/>
        <v>46076</v>
      </c>
      <c r="BM121" s="118">
        <f t="shared" si="142"/>
        <v>3</v>
      </c>
      <c r="BN121">
        <v>118</v>
      </c>
    </row>
    <row r="122" spans="1:66" ht="15" customHeight="1">
      <c r="A122" t="s">
        <v>67</v>
      </c>
      <c r="B122" s="4" t="s">
        <v>133</v>
      </c>
      <c r="C122" s="4" t="s">
        <v>134</v>
      </c>
      <c r="D122" s="102" t="s">
        <v>435</v>
      </c>
      <c r="E122" t="s">
        <v>534</v>
      </c>
      <c r="F122" t="s">
        <v>417</v>
      </c>
      <c r="G122" t="s">
        <v>52</v>
      </c>
      <c r="H122" t="s">
        <v>437</v>
      </c>
      <c r="I122" t="s">
        <v>54</v>
      </c>
      <c r="K122" t="s">
        <v>339</v>
      </c>
      <c r="M122" t="s">
        <v>57</v>
      </c>
      <c r="N122" t="s">
        <v>133</v>
      </c>
      <c r="AU122" s="113">
        <v>46076</v>
      </c>
      <c r="AV122" s="113">
        <v>46101</v>
      </c>
      <c r="AW122" s="113">
        <v>46104</v>
      </c>
      <c r="AX122" s="113">
        <v>46129</v>
      </c>
      <c r="AZ122">
        <f t="shared" si="130"/>
        <v>0</v>
      </c>
      <c r="BA122">
        <f t="shared" si="131"/>
        <v>0</v>
      </c>
      <c r="BB122">
        <f t="shared" si="132"/>
        <v>0</v>
      </c>
      <c r="BC122">
        <f t="shared" si="133"/>
        <v>0</v>
      </c>
      <c r="BD122">
        <f t="shared" si="134"/>
        <v>0</v>
      </c>
      <c r="BE122">
        <f t="shared" si="135"/>
        <v>25</v>
      </c>
      <c r="BF122">
        <f t="shared" si="136"/>
        <v>25</v>
      </c>
      <c r="BH122" s="118">
        <f t="shared" si="137"/>
        <v>0</v>
      </c>
      <c r="BI122" s="118">
        <f t="shared" si="138"/>
        <v>0</v>
      </c>
      <c r="BJ122" s="118">
        <f t="shared" si="139"/>
        <v>0</v>
      </c>
      <c r="BK122" s="118">
        <f t="shared" si="140"/>
        <v>0</v>
      </c>
      <c r="BL122" s="118">
        <f t="shared" si="141"/>
        <v>46076</v>
      </c>
      <c r="BM122" s="118">
        <f t="shared" si="142"/>
        <v>3</v>
      </c>
      <c r="BN122">
        <v>119</v>
      </c>
    </row>
    <row r="123" spans="1:66" ht="15" customHeight="1">
      <c r="A123" t="s">
        <v>217</v>
      </c>
      <c r="B123" t="s">
        <v>16</v>
      </c>
      <c r="C123" s="4" t="s">
        <v>123</v>
      </c>
      <c r="D123" s="102" t="s">
        <v>327</v>
      </c>
      <c r="E123" t="s">
        <v>243</v>
      </c>
      <c r="F123" t="s">
        <v>244</v>
      </c>
      <c r="G123" t="s">
        <v>245</v>
      </c>
      <c r="H123" t="s">
        <v>246</v>
      </c>
      <c r="I123" t="s">
        <v>83</v>
      </c>
      <c r="K123" t="s">
        <v>198</v>
      </c>
      <c r="M123" t="s">
        <v>57</v>
      </c>
      <c r="N123" t="s">
        <v>16</v>
      </c>
      <c r="AK123" s="113"/>
      <c r="AL123" s="113"/>
      <c r="AM123" s="113">
        <v>46056</v>
      </c>
      <c r="AN123" s="113">
        <v>46073</v>
      </c>
      <c r="AO123" s="113">
        <v>46076</v>
      </c>
      <c r="AP123" s="113">
        <v>46094</v>
      </c>
      <c r="AQ123" s="113">
        <v>46097</v>
      </c>
      <c r="AR123" s="113">
        <v>46108</v>
      </c>
      <c r="AS123" s="113">
        <v>46107</v>
      </c>
      <c r="AT123" s="113">
        <v>46108</v>
      </c>
      <c r="AU123" s="113">
        <v>46111</v>
      </c>
      <c r="AV123" s="113">
        <v>46129</v>
      </c>
      <c r="AW123" s="113">
        <v>46132</v>
      </c>
      <c r="AX123" s="113">
        <v>46150</v>
      </c>
      <c r="AZ123">
        <f t="shared" si="130"/>
        <v>0</v>
      </c>
      <c r="BA123">
        <f t="shared" si="131"/>
        <v>17</v>
      </c>
      <c r="BB123">
        <f t="shared" si="132"/>
        <v>18</v>
      </c>
      <c r="BC123">
        <f t="shared" si="133"/>
        <v>11</v>
      </c>
      <c r="BD123">
        <f t="shared" si="134"/>
        <v>1</v>
      </c>
      <c r="BE123">
        <f t="shared" si="135"/>
        <v>18</v>
      </c>
      <c r="BF123">
        <f t="shared" si="136"/>
        <v>18</v>
      </c>
      <c r="BH123" s="118">
        <f t="shared" si="137"/>
        <v>46056</v>
      </c>
      <c r="BI123" s="118">
        <f t="shared" si="138"/>
        <v>3</v>
      </c>
      <c r="BJ123" s="118">
        <f t="shared" si="139"/>
        <v>3</v>
      </c>
      <c r="BK123" s="118">
        <f t="shared" si="140"/>
        <v>-1</v>
      </c>
      <c r="BL123" s="118">
        <f t="shared" si="141"/>
        <v>3</v>
      </c>
      <c r="BM123" s="118">
        <f t="shared" si="142"/>
        <v>3</v>
      </c>
      <c r="BN123">
        <v>120</v>
      </c>
    </row>
    <row r="124" spans="1:66" ht="15" customHeight="1">
      <c r="A124" t="s">
        <v>80</v>
      </c>
      <c r="B124" t="s">
        <v>68</v>
      </c>
      <c r="C124" s="4" t="s">
        <v>48</v>
      </c>
      <c r="D124" s="102" t="s">
        <v>329</v>
      </c>
      <c r="E124" t="s">
        <v>81</v>
      </c>
      <c r="F124" t="s">
        <v>82</v>
      </c>
      <c r="G124" t="s">
        <v>52</v>
      </c>
      <c r="H124" t="s">
        <v>53</v>
      </c>
      <c r="I124" t="s">
        <v>83</v>
      </c>
      <c r="J124" t="s">
        <v>84</v>
      </c>
      <c r="K124" t="s">
        <v>55</v>
      </c>
      <c r="L124" t="s">
        <v>73</v>
      </c>
      <c r="M124" t="s">
        <v>57</v>
      </c>
      <c r="N124" t="s">
        <v>75</v>
      </c>
      <c r="O124" t="s">
        <v>85</v>
      </c>
      <c r="S124" t="s">
        <v>230</v>
      </c>
      <c r="AO124" s="113">
        <v>46056</v>
      </c>
      <c r="AP124" s="113">
        <v>46073</v>
      </c>
      <c r="AQ124" s="113">
        <v>46076</v>
      </c>
      <c r="AR124" s="113">
        <v>46094</v>
      </c>
      <c r="AS124" s="113">
        <v>46093</v>
      </c>
      <c r="AT124" s="113">
        <v>46094</v>
      </c>
      <c r="AU124" s="113">
        <v>46097</v>
      </c>
      <c r="AV124" s="113">
        <v>46115</v>
      </c>
      <c r="AW124" s="113">
        <v>46118</v>
      </c>
      <c r="AX124" s="113">
        <v>46136</v>
      </c>
      <c r="AZ124">
        <f t="shared" si="130"/>
        <v>0</v>
      </c>
      <c r="BA124">
        <f t="shared" si="131"/>
        <v>0</v>
      </c>
      <c r="BB124">
        <f t="shared" si="132"/>
        <v>17</v>
      </c>
      <c r="BC124">
        <f t="shared" si="133"/>
        <v>18</v>
      </c>
      <c r="BD124">
        <f t="shared" si="134"/>
        <v>1</v>
      </c>
      <c r="BE124">
        <f t="shared" si="135"/>
        <v>18</v>
      </c>
      <c r="BF124">
        <f t="shared" si="136"/>
        <v>18</v>
      </c>
      <c r="BH124" s="118">
        <f t="shared" si="137"/>
        <v>0</v>
      </c>
      <c r="BI124" s="118">
        <f t="shared" si="138"/>
        <v>46056</v>
      </c>
      <c r="BJ124" s="118">
        <f t="shared" si="139"/>
        <v>3</v>
      </c>
      <c r="BK124" s="118">
        <f t="shared" si="140"/>
        <v>-1</v>
      </c>
      <c r="BL124" s="118">
        <f t="shared" si="141"/>
        <v>3</v>
      </c>
      <c r="BM124" s="118">
        <f t="shared" si="142"/>
        <v>3</v>
      </c>
      <c r="BN124">
        <v>121</v>
      </c>
    </row>
    <row r="125" spans="1:66" ht="15" customHeight="1">
      <c r="A125" t="s">
        <v>217</v>
      </c>
      <c r="B125" t="s">
        <v>16</v>
      </c>
      <c r="C125" s="4" t="s">
        <v>123</v>
      </c>
      <c r="D125" s="102" t="s">
        <v>435</v>
      </c>
      <c r="E125" t="s">
        <v>535</v>
      </c>
      <c r="F125" t="s">
        <v>536</v>
      </c>
      <c r="G125" t="s">
        <v>245</v>
      </c>
      <c r="H125" t="s">
        <v>246</v>
      </c>
      <c r="I125" t="s">
        <v>54</v>
      </c>
      <c r="J125" t="s">
        <v>84</v>
      </c>
      <c r="K125" t="s">
        <v>339</v>
      </c>
      <c r="M125" t="s">
        <v>57</v>
      </c>
      <c r="N125" t="s">
        <v>16</v>
      </c>
      <c r="O125" t="s">
        <v>537</v>
      </c>
      <c r="AU125" s="113">
        <v>46076</v>
      </c>
      <c r="AV125" s="113">
        <v>46101</v>
      </c>
      <c r="AW125" s="113">
        <v>46104</v>
      </c>
      <c r="AX125" s="113">
        <v>46129</v>
      </c>
      <c r="AZ125">
        <f t="shared" si="130"/>
        <v>0</v>
      </c>
      <c r="BA125">
        <f t="shared" si="131"/>
        <v>0</v>
      </c>
      <c r="BB125">
        <f t="shared" si="132"/>
        <v>0</v>
      </c>
      <c r="BC125">
        <f t="shared" si="133"/>
        <v>0</v>
      </c>
      <c r="BD125">
        <f t="shared" si="134"/>
        <v>0</v>
      </c>
      <c r="BE125">
        <f t="shared" si="135"/>
        <v>25</v>
      </c>
      <c r="BF125">
        <f t="shared" si="136"/>
        <v>25</v>
      </c>
      <c r="BH125" s="118">
        <f t="shared" si="137"/>
        <v>0</v>
      </c>
      <c r="BI125" s="118">
        <f t="shared" si="138"/>
        <v>0</v>
      </c>
      <c r="BJ125" s="118">
        <f t="shared" si="139"/>
        <v>0</v>
      </c>
      <c r="BK125" s="118">
        <f t="shared" si="140"/>
        <v>0</v>
      </c>
      <c r="BL125" s="118">
        <f t="shared" si="141"/>
        <v>46076</v>
      </c>
      <c r="BM125" s="118">
        <f t="shared" si="142"/>
        <v>3</v>
      </c>
      <c r="BN125">
        <v>122</v>
      </c>
    </row>
    <row r="126" spans="1:66" ht="15" customHeight="1">
      <c r="A126" t="s">
        <v>67</v>
      </c>
      <c r="B126" s="4" t="s">
        <v>133</v>
      </c>
      <c r="C126" s="4" t="s">
        <v>134</v>
      </c>
      <c r="D126" s="102" t="s">
        <v>435</v>
      </c>
      <c r="E126" t="s">
        <v>538</v>
      </c>
      <c r="F126" t="s">
        <v>417</v>
      </c>
      <c r="G126" t="s">
        <v>52</v>
      </c>
      <c r="H126" t="s">
        <v>437</v>
      </c>
      <c r="I126" t="s">
        <v>54</v>
      </c>
      <c r="K126" t="s">
        <v>339</v>
      </c>
      <c r="M126" t="s">
        <v>57</v>
      </c>
      <c r="N126" t="s">
        <v>133</v>
      </c>
      <c r="AU126" s="113">
        <v>46076</v>
      </c>
      <c r="AV126" s="113">
        <v>46101</v>
      </c>
      <c r="AW126" s="113">
        <v>46104</v>
      </c>
      <c r="AX126" s="113">
        <v>46129</v>
      </c>
      <c r="AZ126">
        <f t="shared" si="130"/>
        <v>0</v>
      </c>
      <c r="BA126">
        <f t="shared" si="131"/>
        <v>0</v>
      </c>
      <c r="BB126">
        <f t="shared" si="132"/>
        <v>0</v>
      </c>
      <c r="BC126">
        <f t="shared" si="133"/>
        <v>0</v>
      </c>
      <c r="BD126">
        <f t="shared" si="134"/>
        <v>0</v>
      </c>
      <c r="BE126">
        <f t="shared" si="135"/>
        <v>25</v>
      </c>
      <c r="BF126">
        <f t="shared" si="136"/>
        <v>25</v>
      </c>
      <c r="BH126" s="118">
        <f t="shared" si="137"/>
        <v>0</v>
      </c>
      <c r="BI126" s="118">
        <f t="shared" si="138"/>
        <v>0</v>
      </c>
      <c r="BJ126" s="118">
        <f t="shared" si="139"/>
        <v>0</v>
      </c>
      <c r="BK126" s="118">
        <f t="shared" si="140"/>
        <v>0</v>
      </c>
      <c r="BL126" s="118">
        <f t="shared" si="141"/>
        <v>46076</v>
      </c>
      <c r="BM126" s="118">
        <f t="shared" si="142"/>
        <v>3</v>
      </c>
      <c r="BN126">
        <v>123</v>
      </c>
    </row>
    <row r="127" spans="1:66" ht="15" customHeight="1">
      <c r="A127" s="73" t="s">
        <v>67</v>
      </c>
      <c r="B127" s="74" t="s">
        <v>133</v>
      </c>
      <c r="C127" s="74" t="s">
        <v>134</v>
      </c>
      <c r="D127" s="102"/>
      <c r="E127" s="73" t="s">
        <v>539</v>
      </c>
      <c r="F127" s="73" t="s">
        <v>417</v>
      </c>
      <c r="G127" s="73" t="s">
        <v>102</v>
      </c>
      <c r="H127" s="73" t="s">
        <v>102</v>
      </c>
      <c r="I127" s="73"/>
      <c r="J127" s="73"/>
      <c r="K127" s="73" t="s">
        <v>347</v>
      </c>
      <c r="L127" s="73" t="s">
        <v>102</v>
      </c>
      <c r="M127" s="73" t="s">
        <v>102</v>
      </c>
      <c r="N127" s="73" t="s">
        <v>102</v>
      </c>
      <c r="O127" s="73"/>
      <c r="P127" s="73"/>
      <c r="Q127" s="73"/>
      <c r="R127" s="73"/>
      <c r="BN127">
        <v>124</v>
      </c>
    </row>
    <row r="128" spans="1:66" ht="15" customHeight="1">
      <c r="A128" s="73" t="s">
        <v>67</v>
      </c>
      <c r="B128" s="74" t="s">
        <v>133</v>
      </c>
      <c r="C128" s="74" t="s">
        <v>134</v>
      </c>
      <c r="D128" s="102"/>
      <c r="E128" s="73" t="s">
        <v>540</v>
      </c>
      <c r="F128" s="73" t="s">
        <v>417</v>
      </c>
      <c r="G128" s="73" t="s">
        <v>102</v>
      </c>
      <c r="H128" s="73" t="s">
        <v>102</v>
      </c>
      <c r="I128" s="73"/>
      <c r="J128" s="73"/>
      <c r="K128" s="73" t="s">
        <v>347</v>
      </c>
      <c r="L128" s="73" t="s">
        <v>102</v>
      </c>
      <c r="M128" s="73" t="s">
        <v>102</v>
      </c>
      <c r="N128" s="73" t="s">
        <v>102</v>
      </c>
      <c r="O128" s="73"/>
      <c r="P128" s="73"/>
      <c r="Q128" s="73"/>
      <c r="R128" s="73"/>
      <c r="BN128">
        <v>125</v>
      </c>
    </row>
    <row r="129" spans="1:66" ht="15" customHeight="1">
      <c r="A129" s="19" t="s">
        <v>46</v>
      </c>
      <c r="B129" s="27" t="s">
        <v>61</v>
      </c>
      <c r="C129" s="78" t="s">
        <v>48</v>
      </c>
      <c r="D129" s="102" t="s">
        <v>329</v>
      </c>
      <c r="E129" s="19" t="s">
        <v>78</v>
      </c>
      <c r="F129" s="19" t="s">
        <v>66</v>
      </c>
      <c r="G129" s="19" t="s">
        <v>52</v>
      </c>
      <c r="H129" s="19" t="s">
        <v>64</v>
      </c>
      <c r="I129" s="19" t="s">
        <v>54</v>
      </c>
      <c r="J129" s="19" t="s">
        <v>79</v>
      </c>
      <c r="K129" s="19" t="s">
        <v>55</v>
      </c>
      <c r="L129" s="19"/>
      <c r="M129" s="19" t="s">
        <v>57</v>
      </c>
      <c r="N129" s="19" t="s">
        <v>4</v>
      </c>
      <c r="O129" s="19"/>
      <c r="P129" s="19"/>
      <c r="AO129" s="113">
        <v>46062</v>
      </c>
      <c r="AP129" s="113">
        <v>46073</v>
      </c>
      <c r="AQ129" s="113">
        <v>46076</v>
      </c>
      <c r="AR129" s="113">
        <v>46087</v>
      </c>
      <c r="AS129" s="113">
        <v>46086</v>
      </c>
      <c r="AT129" s="113">
        <v>46087</v>
      </c>
      <c r="AU129" s="113">
        <v>46090</v>
      </c>
      <c r="AV129" s="113">
        <v>46108</v>
      </c>
      <c r="AW129" s="113">
        <v>46111</v>
      </c>
      <c r="AX129" s="113">
        <v>46129</v>
      </c>
      <c r="AZ129">
        <f t="shared" ref="AZ129:AZ131" si="143">+AL129-AK129</f>
        <v>0</v>
      </c>
      <c r="BA129">
        <f t="shared" ref="BA129:BA131" si="144">AN129-AM129</f>
        <v>0</v>
      </c>
      <c r="BB129">
        <f t="shared" ref="BB129:BB131" si="145">AP129-AO129</f>
        <v>11</v>
      </c>
      <c r="BC129">
        <f t="shared" ref="BC129:BC131" si="146">AR129-AQ129</f>
        <v>11</v>
      </c>
      <c r="BD129">
        <f t="shared" ref="BD129:BD131" si="147">AT129-AS129</f>
        <v>1</v>
      </c>
      <c r="BE129">
        <f t="shared" ref="BE129:BE131" si="148">AV129-AU129</f>
        <v>18</v>
      </c>
      <c r="BF129">
        <f t="shared" ref="BF129:BF131" si="149">AX129-AW129</f>
        <v>18</v>
      </c>
      <c r="BH129" s="118">
        <f t="shared" ref="BH129:BH131" si="150">AM129-AL129</f>
        <v>0</v>
      </c>
      <c r="BI129" s="118">
        <f t="shared" ref="BI129:BI131" si="151">AO129-AN129</f>
        <v>46062</v>
      </c>
      <c r="BJ129" s="118">
        <f t="shared" ref="BJ129:BJ131" si="152">AQ129-AP129</f>
        <v>3</v>
      </c>
      <c r="BK129" s="118">
        <f t="shared" ref="BK129:BK131" si="153">AS129-AR129</f>
        <v>-1</v>
      </c>
      <c r="BL129" s="118">
        <f t="shared" ref="BL129:BL131" si="154">AU129-AT129</f>
        <v>3</v>
      </c>
      <c r="BM129" s="118">
        <f t="shared" ref="BM129:BM131" si="155">AW129-AV129</f>
        <v>3</v>
      </c>
      <c r="BN129">
        <v>126</v>
      </c>
    </row>
    <row r="130" spans="1:66" ht="15" customHeight="1">
      <c r="A130" s="19" t="s">
        <v>46</v>
      </c>
      <c r="B130" s="27" t="s">
        <v>61</v>
      </c>
      <c r="C130" s="78" t="s">
        <v>48</v>
      </c>
      <c r="D130" s="102" t="s">
        <v>329</v>
      </c>
      <c r="E130" s="19" t="s">
        <v>76</v>
      </c>
      <c r="F130" s="19" t="s">
        <v>66</v>
      </c>
      <c r="G130" s="19" t="s">
        <v>52</v>
      </c>
      <c r="H130" s="19" t="s">
        <v>64</v>
      </c>
      <c r="I130" s="19" t="s">
        <v>54</v>
      </c>
      <c r="J130" s="19" t="s">
        <v>77</v>
      </c>
      <c r="K130" s="19" t="s">
        <v>55</v>
      </c>
      <c r="L130" s="19"/>
      <c r="M130" s="19" t="s">
        <v>57</v>
      </c>
      <c r="N130" s="19" t="s">
        <v>4</v>
      </c>
      <c r="O130" s="19"/>
      <c r="P130" s="19"/>
      <c r="AO130" s="113">
        <v>46062</v>
      </c>
      <c r="AP130" s="113">
        <v>46073</v>
      </c>
      <c r="AQ130" s="113">
        <v>46076</v>
      </c>
      <c r="AR130" s="113">
        <v>46087</v>
      </c>
      <c r="AS130" s="113">
        <v>46086</v>
      </c>
      <c r="AT130" s="113">
        <v>46087</v>
      </c>
      <c r="AU130" s="113">
        <v>46090</v>
      </c>
      <c r="AV130" s="113">
        <v>46108</v>
      </c>
      <c r="AW130" s="113">
        <v>46111</v>
      </c>
      <c r="AX130" s="113">
        <v>46129</v>
      </c>
      <c r="AZ130">
        <f t="shared" si="143"/>
        <v>0</v>
      </c>
      <c r="BA130">
        <f t="shared" si="144"/>
        <v>0</v>
      </c>
      <c r="BB130">
        <f t="shared" si="145"/>
        <v>11</v>
      </c>
      <c r="BC130">
        <f t="shared" si="146"/>
        <v>11</v>
      </c>
      <c r="BD130">
        <f t="shared" si="147"/>
        <v>1</v>
      </c>
      <c r="BE130">
        <f t="shared" si="148"/>
        <v>18</v>
      </c>
      <c r="BF130">
        <f t="shared" si="149"/>
        <v>18</v>
      </c>
      <c r="BH130" s="118">
        <f t="shared" si="150"/>
        <v>0</v>
      </c>
      <c r="BI130" s="118">
        <f t="shared" si="151"/>
        <v>46062</v>
      </c>
      <c r="BJ130" s="118">
        <f t="shared" si="152"/>
        <v>3</v>
      </c>
      <c r="BK130" s="118">
        <f t="shared" si="153"/>
        <v>-1</v>
      </c>
      <c r="BL130" s="118">
        <f t="shared" si="154"/>
        <v>3</v>
      </c>
      <c r="BM130" s="118">
        <f t="shared" si="155"/>
        <v>3</v>
      </c>
      <c r="BN130">
        <v>127</v>
      </c>
    </row>
    <row r="131" spans="1:66" ht="15" customHeight="1">
      <c r="A131" t="s">
        <v>46</v>
      </c>
      <c r="B131" s="3" t="s">
        <v>61</v>
      </c>
      <c r="C131" s="4" t="s">
        <v>48</v>
      </c>
      <c r="D131" s="102" t="s">
        <v>329</v>
      </c>
      <c r="E131" t="s">
        <v>65</v>
      </c>
      <c r="F131" t="s">
        <v>66</v>
      </c>
      <c r="G131" t="s">
        <v>52</v>
      </c>
      <c r="H131" t="s">
        <v>64</v>
      </c>
      <c r="I131" t="s">
        <v>54</v>
      </c>
      <c r="K131" t="s">
        <v>55</v>
      </c>
      <c r="M131" t="s">
        <v>57</v>
      </c>
      <c r="N131" t="s">
        <v>58</v>
      </c>
      <c r="AO131" s="113">
        <v>46056</v>
      </c>
      <c r="AP131" s="113">
        <v>46080</v>
      </c>
      <c r="AQ131" s="113">
        <v>46083</v>
      </c>
      <c r="AR131" s="113">
        <v>46108</v>
      </c>
      <c r="AS131" s="113">
        <v>46107</v>
      </c>
      <c r="AT131" s="113">
        <v>46108</v>
      </c>
      <c r="AU131" s="113">
        <v>46111</v>
      </c>
      <c r="AV131" s="113">
        <v>46136</v>
      </c>
      <c r="AW131" s="113">
        <v>46139</v>
      </c>
      <c r="AX131" s="113">
        <v>46164</v>
      </c>
      <c r="AZ131">
        <f t="shared" si="143"/>
        <v>0</v>
      </c>
      <c r="BA131">
        <f t="shared" si="144"/>
        <v>0</v>
      </c>
      <c r="BB131">
        <f t="shared" si="145"/>
        <v>24</v>
      </c>
      <c r="BC131">
        <f t="shared" si="146"/>
        <v>25</v>
      </c>
      <c r="BD131">
        <f t="shared" si="147"/>
        <v>1</v>
      </c>
      <c r="BE131">
        <f t="shared" si="148"/>
        <v>25</v>
      </c>
      <c r="BF131">
        <f t="shared" si="149"/>
        <v>25</v>
      </c>
      <c r="BH131" s="118">
        <f t="shared" si="150"/>
        <v>0</v>
      </c>
      <c r="BI131" s="118">
        <f t="shared" si="151"/>
        <v>46056</v>
      </c>
      <c r="BJ131" s="118">
        <f t="shared" si="152"/>
        <v>3</v>
      </c>
      <c r="BK131" s="118">
        <f t="shared" si="153"/>
        <v>-1</v>
      </c>
      <c r="BL131" s="118">
        <f t="shared" si="154"/>
        <v>3</v>
      </c>
      <c r="BM131" s="118">
        <f t="shared" si="155"/>
        <v>3</v>
      </c>
      <c r="BN131">
        <v>128</v>
      </c>
    </row>
    <row r="132" spans="1:66" ht="15" customHeight="1">
      <c r="A132" s="73" t="s">
        <v>67</v>
      </c>
      <c r="B132" s="74" t="s">
        <v>133</v>
      </c>
      <c r="C132" s="74" t="s">
        <v>134</v>
      </c>
      <c r="D132" s="102"/>
      <c r="E132" s="73" t="s">
        <v>541</v>
      </c>
      <c r="F132" s="73" t="s">
        <v>417</v>
      </c>
      <c r="G132" s="73" t="s">
        <v>102</v>
      </c>
      <c r="H132" s="73" t="s">
        <v>102</v>
      </c>
      <c r="I132" s="73"/>
      <c r="J132" s="73"/>
      <c r="K132" s="73" t="s">
        <v>347</v>
      </c>
      <c r="L132" s="73" t="s">
        <v>102</v>
      </c>
      <c r="M132" s="73" t="s">
        <v>102</v>
      </c>
      <c r="N132" s="73" t="s">
        <v>102</v>
      </c>
      <c r="O132" s="73"/>
      <c r="P132" s="73"/>
      <c r="Q132" s="73"/>
      <c r="R132" s="73"/>
      <c r="BN132">
        <v>129</v>
      </c>
    </row>
    <row r="133" spans="1:66" ht="15" customHeight="1">
      <c r="A133" s="73" t="s">
        <v>80</v>
      </c>
      <c r="B133" s="73" t="s">
        <v>68</v>
      </c>
      <c r="C133" s="74" t="s">
        <v>48</v>
      </c>
      <c r="D133" s="102"/>
      <c r="E133" s="73" t="s">
        <v>542</v>
      </c>
      <c r="F133" s="73" t="s">
        <v>543</v>
      </c>
      <c r="G133" s="73" t="s">
        <v>102</v>
      </c>
      <c r="H133" s="73" t="s">
        <v>102</v>
      </c>
      <c r="I133" s="73"/>
      <c r="J133" s="73"/>
      <c r="K133" s="73" t="s">
        <v>347</v>
      </c>
      <c r="L133" s="73" t="s">
        <v>102</v>
      </c>
      <c r="M133" s="73" t="s">
        <v>102</v>
      </c>
      <c r="N133" s="73" t="s">
        <v>102</v>
      </c>
      <c r="O133" s="73"/>
      <c r="P133" s="73"/>
      <c r="Q133" s="73"/>
      <c r="R133" s="73"/>
      <c r="BN133">
        <v>130</v>
      </c>
    </row>
    <row r="134" spans="1:66" ht="15" customHeight="1">
      <c r="A134" t="s">
        <v>46</v>
      </c>
      <c r="B134" s="3" t="s">
        <v>61</v>
      </c>
      <c r="C134" s="4" t="s">
        <v>48</v>
      </c>
      <c r="D134" s="102" t="s">
        <v>329</v>
      </c>
      <c r="E134" t="s">
        <v>62</v>
      </c>
      <c r="F134" t="s">
        <v>63</v>
      </c>
      <c r="G134" t="s">
        <v>52</v>
      </c>
      <c r="H134" t="s">
        <v>64</v>
      </c>
      <c r="I134" t="s">
        <v>54</v>
      </c>
      <c r="K134" t="s">
        <v>55</v>
      </c>
      <c r="M134" t="s">
        <v>57</v>
      </c>
      <c r="N134" t="s">
        <v>58</v>
      </c>
      <c r="AO134" s="113">
        <v>46056</v>
      </c>
      <c r="AP134" s="113">
        <v>46080</v>
      </c>
      <c r="AQ134" s="113">
        <v>46083</v>
      </c>
      <c r="AR134" s="113">
        <v>46108</v>
      </c>
      <c r="AS134" s="113">
        <v>46107</v>
      </c>
      <c r="AT134" s="113">
        <v>46108</v>
      </c>
      <c r="AU134" s="113">
        <v>46111</v>
      </c>
      <c r="AV134" s="113">
        <v>46136</v>
      </c>
      <c r="AW134" s="113">
        <v>46139</v>
      </c>
      <c r="AX134" s="113">
        <v>46164</v>
      </c>
      <c r="AZ134">
        <f t="shared" ref="AZ134:AZ136" si="156">+AL134-AK134</f>
        <v>0</v>
      </c>
      <c r="BA134">
        <f t="shared" ref="BA134:BA136" si="157">AN134-AM134</f>
        <v>0</v>
      </c>
      <c r="BB134">
        <f t="shared" ref="BB134:BB136" si="158">AP134-AO134</f>
        <v>24</v>
      </c>
      <c r="BC134">
        <f t="shared" ref="BC134:BC136" si="159">AR134-AQ134</f>
        <v>25</v>
      </c>
      <c r="BD134">
        <f t="shared" ref="BD134:BD136" si="160">AT134-AS134</f>
        <v>1</v>
      </c>
      <c r="BE134">
        <f t="shared" ref="BE134:BE136" si="161">AV134-AU134</f>
        <v>25</v>
      </c>
      <c r="BF134">
        <f t="shared" ref="BF134:BF136" si="162">AX134-AW134</f>
        <v>25</v>
      </c>
      <c r="BH134" s="118">
        <f t="shared" ref="BH134:BH136" si="163">AM134-AL134</f>
        <v>0</v>
      </c>
      <c r="BI134" s="118">
        <f t="shared" ref="BI134:BI136" si="164">AO134-AN134</f>
        <v>46056</v>
      </c>
      <c r="BJ134" s="118">
        <f t="shared" ref="BJ134:BJ136" si="165">AQ134-AP134</f>
        <v>3</v>
      </c>
      <c r="BK134" s="118">
        <f t="shared" ref="BK134:BK136" si="166">AS134-AR134</f>
        <v>-1</v>
      </c>
      <c r="BL134" s="118">
        <f t="shared" ref="BL134:BL136" si="167">AU134-AT134</f>
        <v>3</v>
      </c>
      <c r="BM134" s="118">
        <f t="shared" ref="BM134:BM136" si="168">AW134-AV134</f>
        <v>3</v>
      </c>
      <c r="BN134">
        <v>131</v>
      </c>
    </row>
    <row r="135" spans="1:66" ht="15" customHeight="1">
      <c r="A135" t="s">
        <v>217</v>
      </c>
      <c r="B135" t="s">
        <v>16</v>
      </c>
      <c r="C135" s="4" t="s">
        <v>123</v>
      </c>
      <c r="D135" s="102" t="s">
        <v>435</v>
      </c>
      <c r="E135" t="s">
        <v>544</v>
      </c>
      <c r="F135" t="s">
        <v>545</v>
      </c>
      <c r="G135" t="s">
        <v>52</v>
      </c>
      <c r="H135" t="s">
        <v>219</v>
      </c>
      <c r="I135" t="s">
        <v>546</v>
      </c>
      <c r="J135" t="s">
        <v>547</v>
      </c>
      <c r="K135" t="s">
        <v>339</v>
      </c>
      <c r="M135" t="s">
        <v>57</v>
      </c>
      <c r="N135" t="s">
        <v>16</v>
      </c>
      <c r="O135" t="s">
        <v>537</v>
      </c>
      <c r="AU135" s="113">
        <v>46076</v>
      </c>
      <c r="AV135" s="113">
        <v>46101</v>
      </c>
      <c r="AW135" s="113">
        <v>46104</v>
      </c>
      <c r="AX135" s="113">
        <v>46129</v>
      </c>
      <c r="AZ135">
        <f t="shared" si="156"/>
        <v>0</v>
      </c>
      <c r="BA135">
        <f t="shared" si="157"/>
        <v>0</v>
      </c>
      <c r="BB135">
        <f t="shared" si="158"/>
        <v>0</v>
      </c>
      <c r="BC135">
        <f t="shared" si="159"/>
        <v>0</v>
      </c>
      <c r="BD135">
        <f t="shared" si="160"/>
        <v>0</v>
      </c>
      <c r="BE135">
        <f t="shared" si="161"/>
        <v>25</v>
      </c>
      <c r="BF135">
        <f t="shared" si="162"/>
        <v>25</v>
      </c>
      <c r="BH135" s="118">
        <f t="shared" si="163"/>
        <v>0</v>
      </c>
      <c r="BI135" s="118">
        <f t="shared" si="164"/>
        <v>0</v>
      </c>
      <c r="BJ135" s="118">
        <f t="shared" si="165"/>
        <v>0</v>
      </c>
      <c r="BK135" s="118">
        <f t="shared" si="166"/>
        <v>0</v>
      </c>
      <c r="BL135" s="118">
        <f t="shared" si="167"/>
        <v>46076</v>
      </c>
      <c r="BM135" s="118">
        <f t="shared" si="168"/>
        <v>3</v>
      </c>
      <c r="BN135">
        <v>132</v>
      </c>
    </row>
    <row r="136" spans="1:66" ht="15" customHeight="1">
      <c r="A136" t="s">
        <v>217</v>
      </c>
      <c r="B136" t="s">
        <v>16</v>
      </c>
      <c r="C136" s="4" t="s">
        <v>123</v>
      </c>
      <c r="D136" s="102" t="s">
        <v>435</v>
      </c>
      <c r="E136" t="s">
        <v>26</v>
      </c>
      <c r="F136" t="s">
        <v>548</v>
      </c>
      <c r="G136" t="s">
        <v>245</v>
      </c>
      <c r="H136" t="s">
        <v>246</v>
      </c>
      <c r="J136" t="s">
        <v>482</v>
      </c>
      <c r="K136" t="s">
        <v>339</v>
      </c>
      <c r="M136" t="s">
        <v>57</v>
      </c>
      <c r="N136" t="s">
        <v>16</v>
      </c>
      <c r="O136" t="s">
        <v>483</v>
      </c>
      <c r="P136" t="s">
        <v>484</v>
      </c>
      <c r="AU136" s="113">
        <v>46076</v>
      </c>
      <c r="AV136" s="113">
        <v>46094</v>
      </c>
      <c r="AW136" s="113">
        <v>46097</v>
      </c>
      <c r="AX136" s="113">
        <v>46115</v>
      </c>
      <c r="AZ136">
        <f t="shared" si="156"/>
        <v>0</v>
      </c>
      <c r="BA136">
        <f t="shared" si="157"/>
        <v>0</v>
      </c>
      <c r="BB136">
        <f t="shared" si="158"/>
        <v>0</v>
      </c>
      <c r="BC136">
        <f t="shared" si="159"/>
        <v>0</v>
      </c>
      <c r="BD136">
        <f t="shared" si="160"/>
        <v>0</v>
      </c>
      <c r="BE136">
        <f t="shared" si="161"/>
        <v>18</v>
      </c>
      <c r="BF136">
        <f t="shared" si="162"/>
        <v>18</v>
      </c>
      <c r="BH136" s="118">
        <f t="shared" si="163"/>
        <v>0</v>
      </c>
      <c r="BI136" s="118">
        <f t="shared" si="164"/>
        <v>0</v>
      </c>
      <c r="BJ136" s="118">
        <f t="shared" si="165"/>
        <v>0</v>
      </c>
      <c r="BK136" s="118">
        <f t="shared" si="166"/>
        <v>0</v>
      </c>
      <c r="BL136" s="118">
        <f t="shared" si="167"/>
        <v>46076</v>
      </c>
      <c r="BM136" s="118">
        <f t="shared" si="168"/>
        <v>3</v>
      </c>
      <c r="BN136">
        <v>133</v>
      </c>
    </row>
    <row r="137" spans="1:66" ht="15" customHeight="1">
      <c r="A137" s="73" t="s">
        <v>67</v>
      </c>
      <c r="B137" s="74" t="s">
        <v>133</v>
      </c>
      <c r="C137" s="74" t="s">
        <v>134</v>
      </c>
      <c r="D137" s="102"/>
      <c r="E137" s="73" t="s">
        <v>549</v>
      </c>
      <c r="F137" s="73" t="s">
        <v>417</v>
      </c>
      <c r="G137" s="73" t="s">
        <v>102</v>
      </c>
      <c r="H137" s="73" t="s">
        <v>102</v>
      </c>
      <c r="I137" s="73"/>
      <c r="J137" s="73"/>
      <c r="K137" s="73" t="s">
        <v>347</v>
      </c>
      <c r="L137" s="73" t="s">
        <v>102</v>
      </c>
      <c r="M137" s="73" t="s">
        <v>102</v>
      </c>
      <c r="N137" s="73" t="s">
        <v>102</v>
      </c>
      <c r="O137" s="73"/>
      <c r="P137" s="73"/>
      <c r="Q137" s="73"/>
      <c r="R137" s="73"/>
      <c r="BN137">
        <v>134</v>
      </c>
    </row>
    <row r="138" spans="1:66" ht="15" customHeight="1">
      <c r="A138" t="s">
        <v>46</v>
      </c>
      <c r="B138" t="s">
        <v>47</v>
      </c>
      <c r="C138" s="4" t="s">
        <v>48</v>
      </c>
      <c r="D138" s="102" t="s">
        <v>329</v>
      </c>
      <c r="E138" t="s">
        <v>50</v>
      </c>
      <c r="F138" t="s">
        <v>51</v>
      </c>
      <c r="G138" t="s">
        <v>52</v>
      </c>
      <c r="H138" t="s">
        <v>53</v>
      </c>
      <c r="I138" t="s">
        <v>54</v>
      </c>
      <c r="K138" t="s">
        <v>55</v>
      </c>
      <c r="L138" t="s">
        <v>56</v>
      </c>
      <c r="M138" t="s">
        <v>57</v>
      </c>
      <c r="N138" t="s">
        <v>58</v>
      </c>
      <c r="O138" t="s">
        <v>59</v>
      </c>
      <c r="P138" t="s">
        <v>60</v>
      </c>
      <c r="AO138" s="113">
        <v>46056</v>
      </c>
      <c r="AP138" s="113">
        <v>46080</v>
      </c>
      <c r="AQ138" s="113">
        <v>46083</v>
      </c>
      <c r="AR138" s="113">
        <v>46108</v>
      </c>
      <c r="AS138" s="113">
        <v>46107</v>
      </c>
      <c r="AT138" s="113">
        <v>46108</v>
      </c>
      <c r="AU138" s="113">
        <v>46111</v>
      </c>
      <c r="AV138" s="113">
        <v>46136</v>
      </c>
      <c r="AW138" s="113">
        <v>46139</v>
      </c>
      <c r="AX138" s="113">
        <v>46164</v>
      </c>
      <c r="AZ138">
        <f>+AL138-AK138</f>
        <v>0</v>
      </c>
      <c r="BA138">
        <f>AN138-AM138</f>
        <v>0</v>
      </c>
      <c r="BB138">
        <f>AP138-AO138</f>
        <v>24</v>
      </c>
      <c r="BC138">
        <f>AR138-AQ138</f>
        <v>25</v>
      </c>
      <c r="BD138">
        <f>AT138-AS138</f>
        <v>1</v>
      </c>
      <c r="BE138">
        <f>AV138-AU138</f>
        <v>25</v>
      </c>
      <c r="BF138">
        <f>AX138-AW138</f>
        <v>25</v>
      </c>
      <c r="BH138" s="118">
        <f>AM138-AL138</f>
        <v>0</v>
      </c>
      <c r="BI138" s="118">
        <f>AO138-AN138</f>
        <v>46056</v>
      </c>
      <c r="BJ138" s="118">
        <f>AQ138-AP138</f>
        <v>3</v>
      </c>
      <c r="BK138" s="118">
        <f>AS138-AR138</f>
        <v>-1</v>
      </c>
      <c r="BL138" s="118">
        <f>AU138-AT138</f>
        <v>3</v>
      </c>
      <c r="BM138" s="118">
        <f>AW138-AV138</f>
        <v>3</v>
      </c>
      <c r="BN138">
        <v>135</v>
      </c>
    </row>
    <row r="139" spans="1:66" ht="15" customHeight="1">
      <c r="A139" s="73" t="s">
        <v>80</v>
      </c>
      <c r="B139" s="73" t="s">
        <v>68</v>
      </c>
      <c r="C139" s="74" t="s">
        <v>48</v>
      </c>
      <c r="D139" s="102"/>
      <c r="E139" s="73" t="s">
        <v>550</v>
      </c>
      <c r="F139" s="73" t="s">
        <v>551</v>
      </c>
      <c r="G139" s="73" t="s">
        <v>102</v>
      </c>
      <c r="H139" s="73" t="s">
        <v>102</v>
      </c>
      <c r="I139" s="73"/>
      <c r="J139" s="73"/>
      <c r="K139" s="73" t="s">
        <v>347</v>
      </c>
      <c r="L139" s="73" t="s">
        <v>102</v>
      </c>
      <c r="M139" s="73" t="s">
        <v>102</v>
      </c>
      <c r="N139" s="73" t="s">
        <v>102</v>
      </c>
      <c r="O139" s="73"/>
      <c r="P139" s="73"/>
      <c r="Q139" s="73"/>
      <c r="R139" s="73"/>
      <c r="BN139">
        <v>136</v>
      </c>
    </row>
    <row r="140" spans="1:66" ht="15" customHeight="1">
      <c r="A140" t="s">
        <v>236</v>
      </c>
      <c r="B140" s="4" t="s">
        <v>93</v>
      </c>
      <c r="C140" s="4" t="s">
        <v>94</v>
      </c>
      <c r="D140" s="102" t="s">
        <v>327</v>
      </c>
      <c r="E140" t="s">
        <v>237</v>
      </c>
      <c r="F140" s="2" t="s">
        <v>238</v>
      </c>
      <c r="G140" t="s">
        <v>2</v>
      </c>
      <c r="H140" t="s">
        <v>97</v>
      </c>
      <c r="I140" t="s">
        <v>72</v>
      </c>
      <c r="J140" t="s">
        <v>239</v>
      </c>
      <c r="K140" t="s">
        <v>198</v>
      </c>
      <c r="L140" t="s">
        <v>73</v>
      </c>
      <c r="M140" t="s">
        <v>98</v>
      </c>
      <c r="N140" t="s">
        <v>99</v>
      </c>
      <c r="O140" t="s">
        <v>240</v>
      </c>
      <c r="P140" t="s">
        <v>241</v>
      </c>
      <c r="AM140" s="113">
        <v>46055</v>
      </c>
      <c r="AN140" s="113">
        <v>46080</v>
      </c>
      <c r="AO140" s="113">
        <v>46083</v>
      </c>
      <c r="AP140" s="113">
        <v>46108</v>
      </c>
      <c r="AQ140" s="113">
        <v>46111</v>
      </c>
      <c r="AR140" s="113">
        <v>46129</v>
      </c>
      <c r="AS140" s="113">
        <v>46128</v>
      </c>
      <c r="AT140" s="113">
        <v>46129</v>
      </c>
      <c r="AU140" s="113">
        <v>46132</v>
      </c>
      <c r="AV140" s="113">
        <v>46150</v>
      </c>
      <c r="AW140" s="113">
        <v>46153</v>
      </c>
      <c r="AX140" s="113">
        <v>46171</v>
      </c>
      <c r="AZ140">
        <f>+AL140-AK140</f>
        <v>0</v>
      </c>
      <c r="BA140">
        <f>AN140-AM140</f>
        <v>25</v>
      </c>
      <c r="BB140">
        <f>AP140-AO140</f>
        <v>25</v>
      </c>
      <c r="BC140">
        <f>AR140-AQ140</f>
        <v>18</v>
      </c>
      <c r="BD140">
        <f>AT140-AS140</f>
        <v>1</v>
      </c>
      <c r="BE140">
        <f>AV140-AU140</f>
        <v>18</v>
      </c>
      <c r="BF140">
        <f>AX140-AW140</f>
        <v>18</v>
      </c>
      <c r="BH140" s="118">
        <f>AM140-AL140</f>
        <v>46055</v>
      </c>
      <c r="BI140" s="118">
        <f>AO140-AN140</f>
        <v>3</v>
      </c>
      <c r="BJ140" s="118">
        <f>AQ140-AP140</f>
        <v>3</v>
      </c>
      <c r="BK140" s="118">
        <f>AS140-AR140</f>
        <v>-1</v>
      </c>
      <c r="BL140" s="118">
        <f>AU140-AT140</f>
        <v>3</v>
      </c>
      <c r="BM140" s="118">
        <f>AW140-AV140</f>
        <v>3</v>
      </c>
      <c r="BN140">
        <v>137</v>
      </c>
    </row>
    <row r="141" spans="1:66" ht="15" customHeight="1">
      <c r="A141" s="73" t="s">
        <v>236</v>
      </c>
      <c r="B141" s="74" t="s">
        <v>93</v>
      </c>
      <c r="C141" s="74" t="s">
        <v>94</v>
      </c>
      <c r="D141" s="104" t="s">
        <v>317</v>
      </c>
      <c r="E141" s="73" t="s">
        <v>552</v>
      </c>
      <c r="F141" s="73" t="s">
        <v>553</v>
      </c>
      <c r="G141" s="73" t="s">
        <v>2</v>
      </c>
      <c r="H141" s="73" t="s">
        <v>97</v>
      </c>
      <c r="I141" s="73" t="s">
        <v>72</v>
      </c>
      <c r="J141" s="73" t="s">
        <v>239</v>
      </c>
      <c r="K141" s="73" t="s">
        <v>347</v>
      </c>
      <c r="L141" s="73" t="s">
        <v>102</v>
      </c>
      <c r="M141" s="73" t="s">
        <v>102</v>
      </c>
      <c r="N141" s="73" t="s">
        <v>102</v>
      </c>
      <c r="O141" s="73" t="s">
        <v>554</v>
      </c>
      <c r="P141" s="73" t="s">
        <v>241</v>
      </c>
      <c r="Q141" s="73" t="s">
        <v>462</v>
      </c>
      <c r="R141" s="73" t="s">
        <v>555</v>
      </c>
      <c r="S141" s="103"/>
      <c r="BN141">
        <v>138</v>
      </c>
    </row>
    <row r="142" spans="1:66" ht="15" customHeight="1">
      <c r="A142" t="s">
        <v>217</v>
      </c>
      <c r="B142" t="s">
        <v>16</v>
      </c>
      <c r="C142" s="4" t="s">
        <v>123</v>
      </c>
      <c r="D142" s="102" t="s">
        <v>556</v>
      </c>
      <c r="E142" t="s">
        <v>25</v>
      </c>
      <c r="F142" t="s">
        <v>360</v>
      </c>
      <c r="G142" t="s">
        <v>52</v>
      </c>
      <c r="H142" t="s">
        <v>219</v>
      </c>
      <c r="I142" t="s">
        <v>83</v>
      </c>
      <c r="K142" t="s">
        <v>342</v>
      </c>
      <c r="M142" t="s">
        <v>57</v>
      </c>
      <c r="N142" t="s">
        <v>16</v>
      </c>
      <c r="AQ142" s="113">
        <v>46055</v>
      </c>
      <c r="AR142" s="113">
        <v>46066</v>
      </c>
      <c r="AS142" s="113">
        <v>46065</v>
      </c>
      <c r="AT142" s="113">
        <v>46066</v>
      </c>
      <c r="AU142" s="113">
        <v>46069</v>
      </c>
      <c r="AV142" s="113">
        <v>46087</v>
      </c>
      <c r="AW142" s="113">
        <v>46090</v>
      </c>
      <c r="AX142" s="113">
        <v>46139</v>
      </c>
      <c r="AZ142">
        <f>+AL142-AK142</f>
        <v>0</v>
      </c>
      <c r="BA142">
        <f>AN142-AM142</f>
        <v>0</v>
      </c>
      <c r="BB142">
        <f>AP142-AO142</f>
        <v>0</v>
      </c>
      <c r="BC142">
        <f>AR142-AQ142</f>
        <v>11</v>
      </c>
      <c r="BD142">
        <f>AT142-AS142</f>
        <v>1</v>
      </c>
      <c r="BE142">
        <f>AV142-AU142</f>
        <v>18</v>
      </c>
      <c r="BF142">
        <f>AX142-AW142</f>
        <v>49</v>
      </c>
      <c r="BH142" s="118">
        <f>AM142-AL142</f>
        <v>0</v>
      </c>
      <c r="BI142" s="118">
        <f>AO142-AN142</f>
        <v>0</v>
      </c>
      <c r="BJ142" s="118">
        <f>AQ142-AP142</f>
        <v>46055</v>
      </c>
      <c r="BK142" s="118">
        <f>AS142-AR142</f>
        <v>-1</v>
      </c>
      <c r="BL142" s="118">
        <f>AU142-AT142</f>
        <v>3</v>
      </c>
      <c r="BM142" s="118">
        <f>AW142-AV142</f>
        <v>3</v>
      </c>
      <c r="BN142">
        <v>139</v>
      </c>
    </row>
    <row r="143" spans="1:66" ht="15" customHeight="1">
      <c r="A143" s="73" t="s">
        <v>67</v>
      </c>
      <c r="B143" s="74" t="s">
        <v>133</v>
      </c>
      <c r="C143" s="74" t="s">
        <v>134</v>
      </c>
      <c r="D143" s="102"/>
      <c r="E143" s="73" t="s">
        <v>557</v>
      </c>
      <c r="F143" s="73" t="s">
        <v>417</v>
      </c>
      <c r="G143" s="73" t="s">
        <v>102</v>
      </c>
      <c r="H143" s="73" t="s">
        <v>102</v>
      </c>
      <c r="I143" s="73"/>
      <c r="J143" s="73"/>
      <c r="K143" s="73" t="s">
        <v>347</v>
      </c>
      <c r="L143" s="73" t="s">
        <v>102</v>
      </c>
      <c r="M143" s="73" t="s">
        <v>102</v>
      </c>
      <c r="N143" s="73" t="s">
        <v>102</v>
      </c>
      <c r="O143" s="73"/>
      <c r="P143" s="73"/>
      <c r="Q143" s="73"/>
      <c r="R143" s="73"/>
      <c r="BN143">
        <v>140</v>
      </c>
    </row>
    <row r="144" spans="1:66" ht="15" customHeight="1">
      <c r="A144" t="s">
        <v>4</v>
      </c>
      <c r="B144" t="s">
        <v>4</v>
      </c>
      <c r="C144" s="4" t="s">
        <v>225</v>
      </c>
      <c r="D144" s="102" t="s">
        <v>470</v>
      </c>
      <c r="E144" s="19" t="s">
        <v>558</v>
      </c>
      <c r="F144" t="s">
        <v>559</v>
      </c>
      <c r="G144" t="s">
        <v>71</v>
      </c>
      <c r="H144" t="s">
        <v>473</v>
      </c>
      <c r="K144" t="s">
        <v>340</v>
      </c>
      <c r="L144" t="s">
        <v>474</v>
      </c>
      <c r="M144" t="s">
        <v>74</v>
      </c>
      <c r="N144" t="s">
        <v>338</v>
      </c>
      <c r="AU144" s="113">
        <v>46076</v>
      </c>
      <c r="AV144" s="113">
        <v>46094</v>
      </c>
      <c r="AW144" s="113">
        <v>46097</v>
      </c>
      <c r="AX144" s="113">
        <v>46115</v>
      </c>
      <c r="AZ144">
        <f t="shared" ref="AZ144:AZ153" si="169">+AL144-AK144</f>
        <v>0</v>
      </c>
      <c r="BA144">
        <f t="shared" ref="BA144:BA153" si="170">AN144-AM144</f>
        <v>0</v>
      </c>
      <c r="BB144">
        <f t="shared" ref="BB144:BB153" si="171">AP144-AO144</f>
        <v>0</v>
      </c>
      <c r="BC144">
        <f t="shared" ref="BC144:BC153" si="172">AR144-AQ144</f>
        <v>0</v>
      </c>
      <c r="BD144">
        <f t="shared" ref="BD144:BD153" si="173">AT144-AS144</f>
        <v>0</v>
      </c>
      <c r="BE144">
        <f t="shared" ref="BE144:BE153" si="174">AV144-AU144</f>
        <v>18</v>
      </c>
      <c r="BF144">
        <f t="shared" ref="BF144:BF153" si="175">AX144-AW144</f>
        <v>18</v>
      </c>
      <c r="BH144" s="118">
        <f t="shared" ref="BH144:BH153" si="176">AM144-AL144</f>
        <v>0</v>
      </c>
      <c r="BI144" s="118">
        <f t="shared" ref="BI144:BI153" si="177">AO144-AN144</f>
        <v>0</v>
      </c>
      <c r="BJ144" s="118">
        <f t="shared" ref="BJ144:BJ153" si="178">AQ144-AP144</f>
        <v>0</v>
      </c>
      <c r="BK144" s="118">
        <f t="shared" ref="BK144:BK153" si="179">AS144-AR144</f>
        <v>0</v>
      </c>
      <c r="BL144" s="118">
        <f t="shared" ref="BL144:BL153" si="180">AU144-AT144</f>
        <v>46076</v>
      </c>
      <c r="BM144" s="118">
        <f t="shared" ref="BM144:BM153" si="181">AW144-AV144</f>
        <v>3</v>
      </c>
      <c r="BN144">
        <v>141</v>
      </c>
    </row>
    <row r="145" spans="1:66" ht="15" customHeight="1">
      <c r="A145" t="s">
        <v>4</v>
      </c>
      <c r="B145" t="s">
        <v>4</v>
      </c>
      <c r="C145" s="4" t="s">
        <v>225</v>
      </c>
      <c r="D145" s="102" t="s">
        <v>493</v>
      </c>
      <c r="E145" s="106" t="s">
        <v>560</v>
      </c>
      <c r="F145" t="s">
        <v>561</v>
      </c>
      <c r="G145" t="s">
        <v>71</v>
      </c>
      <c r="H145" t="s">
        <v>473</v>
      </c>
      <c r="K145" t="s">
        <v>341</v>
      </c>
      <c r="L145" t="s">
        <v>474</v>
      </c>
      <c r="M145" t="s">
        <v>57</v>
      </c>
      <c r="N145" t="s">
        <v>4</v>
      </c>
      <c r="AK145" s="113">
        <v>46056</v>
      </c>
      <c r="AL145" s="113">
        <v>46066</v>
      </c>
      <c r="AM145" s="113">
        <v>46069</v>
      </c>
      <c r="AN145" s="113">
        <v>46087</v>
      </c>
      <c r="AO145" s="113">
        <v>46090</v>
      </c>
      <c r="AP145" s="113">
        <v>46108</v>
      </c>
      <c r="AQ145" s="113">
        <v>46111</v>
      </c>
      <c r="AR145" s="113">
        <v>46129</v>
      </c>
      <c r="AS145" s="113">
        <v>46128</v>
      </c>
      <c r="AT145" s="113">
        <v>46129</v>
      </c>
      <c r="AU145" s="113">
        <v>46132</v>
      </c>
      <c r="AV145" s="113">
        <v>46150</v>
      </c>
      <c r="AW145" s="113">
        <v>46153</v>
      </c>
      <c r="AX145" s="113">
        <v>46171</v>
      </c>
      <c r="AZ145">
        <f t="shared" si="169"/>
        <v>10</v>
      </c>
      <c r="BA145">
        <f t="shared" si="170"/>
        <v>18</v>
      </c>
      <c r="BB145">
        <f t="shared" si="171"/>
        <v>18</v>
      </c>
      <c r="BC145">
        <f t="shared" si="172"/>
        <v>18</v>
      </c>
      <c r="BD145">
        <f t="shared" si="173"/>
        <v>1</v>
      </c>
      <c r="BE145">
        <f t="shared" si="174"/>
        <v>18</v>
      </c>
      <c r="BF145">
        <f t="shared" si="175"/>
        <v>18</v>
      </c>
      <c r="BH145" s="118">
        <f t="shared" si="176"/>
        <v>3</v>
      </c>
      <c r="BI145" s="118">
        <f t="shared" si="177"/>
        <v>3</v>
      </c>
      <c r="BJ145" s="118">
        <f t="shared" si="178"/>
        <v>3</v>
      </c>
      <c r="BK145" s="118">
        <f t="shared" si="179"/>
        <v>-1</v>
      </c>
      <c r="BL145" s="118">
        <f t="shared" si="180"/>
        <v>3</v>
      </c>
      <c r="BM145" s="118">
        <f t="shared" si="181"/>
        <v>3</v>
      </c>
      <c r="BN145">
        <v>142</v>
      </c>
    </row>
    <row r="146" spans="1:66" ht="15" customHeight="1">
      <c r="A146" s="19" t="s">
        <v>4</v>
      </c>
      <c r="B146" s="19" t="s">
        <v>4</v>
      </c>
      <c r="C146" s="78" t="s">
        <v>225</v>
      </c>
      <c r="D146" s="102" t="s">
        <v>327</v>
      </c>
      <c r="E146" s="19" t="s">
        <v>232</v>
      </c>
      <c r="F146" s="19" t="s">
        <v>233</v>
      </c>
      <c r="G146" s="19" t="s">
        <v>71</v>
      </c>
      <c r="H146" s="19" t="s">
        <v>228</v>
      </c>
      <c r="I146" s="19"/>
      <c r="J146" s="19" t="s">
        <v>229</v>
      </c>
      <c r="K146" s="19" t="s">
        <v>198</v>
      </c>
      <c r="L146" s="19" t="s">
        <v>56</v>
      </c>
      <c r="M146" s="19" t="s">
        <v>57</v>
      </c>
      <c r="N146" s="19" t="s">
        <v>4</v>
      </c>
      <c r="O146" s="19" t="s">
        <v>234</v>
      </c>
      <c r="P146" s="19" t="s">
        <v>235</v>
      </c>
      <c r="AU146" s="113">
        <v>46111</v>
      </c>
      <c r="AV146" s="113">
        <v>46136</v>
      </c>
      <c r="AW146" s="113">
        <v>46139</v>
      </c>
      <c r="AX146" s="113">
        <v>46157</v>
      </c>
      <c r="AZ146">
        <f t="shared" si="169"/>
        <v>0</v>
      </c>
      <c r="BA146">
        <f t="shared" si="170"/>
        <v>0</v>
      </c>
      <c r="BB146">
        <f t="shared" si="171"/>
        <v>0</v>
      </c>
      <c r="BC146">
        <f t="shared" si="172"/>
        <v>0</v>
      </c>
      <c r="BD146">
        <f t="shared" si="173"/>
        <v>0</v>
      </c>
      <c r="BE146">
        <f t="shared" si="174"/>
        <v>25</v>
      </c>
      <c r="BF146">
        <f t="shared" si="175"/>
        <v>18</v>
      </c>
      <c r="BH146" s="118">
        <f t="shared" si="176"/>
        <v>0</v>
      </c>
      <c r="BI146" s="118">
        <f t="shared" si="177"/>
        <v>0</v>
      </c>
      <c r="BJ146" s="118">
        <f t="shared" si="178"/>
        <v>0</v>
      </c>
      <c r="BK146" s="118">
        <f t="shared" si="179"/>
        <v>0</v>
      </c>
      <c r="BL146" s="118">
        <f t="shared" si="180"/>
        <v>46111</v>
      </c>
      <c r="BM146" s="118">
        <f t="shared" si="181"/>
        <v>3</v>
      </c>
      <c r="BN146">
        <v>143</v>
      </c>
    </row>
    <row r="147" spans="1:66" ht="15" customHeight="1">
      <c r="A147" s="19" t="s">
        <v>4</v>
      </c>
      <c r="B147" s="19" t="s">
        <v>4</v>
      </c>
      <c r="C147" s="78" t="s">
        <v>225</v>
      </c>
      <c r="D147" s="102" t="s">
        <v>327</v>
      </c>
      <c r="E147" s="19" t="s">
        <v>226</v>
      </c>
      <c r="F147" s="19" t="s">
        <v>227</v>
      </c>
      <c r="G147" s="19" t="s">
        <v>71</v>
      </c>
      <c r="H147" s="19" t="s">
        <v>228</v>
      </c>
      <c r="I147" s="19"/>
      <c r="J147" s="19" t="s">
        <v>229</v>
      </c>
      <c r="K147" s="19" t="s">
        <v>198</v>
      </c>
      <c r="L147" s="19" t="s">
        <v>56</v>
      </c>
      <c r="M147" s="19" t="s">
        <v>57</v>
      </c>
      <c r="N147" s="19" t="s">
        <v>4</v>
      </c>
      <c r="O147" s="19" t="s">
        <v>230</v>
      </c>
      <c r="P147" s="19" t="s">
        <v>231</v>
      </c>
      <c r="AU147" s="113">
        <v>46111</v>
      </c>
      <c r="AV147" s="113">
        <v>46136</v>
      </c>
      <c r="AW147" s="113">
        <v>46139</v>
      </c>
      <c r="AX147" s="113">
        <v>46157</v>
      </c>
      <c r="AZ147">
        <f t="shared" si="169"/>
        <v>0</v>
      </c>
      <c r="BA147">
        <f t="shared" si="170"/>
        <v>0</v>
      </c>
      <c r="BB147">
        <f t="shared" si="171"/>
        <v>0</v>
      </c>
      <c r="BC147">
        <f t="shared" si="172"/>
        <v>0</v>
      </c>
      <c r="BD147">
        <f t="shared" si="173"/>
        <v>0</v>
      </c>
      <c r="BE147">
        <f t="shared" si="174"/>
        <v>25</v>
      </c>
      <c r="BF147">
        <f t="shared" si="175"/>
        <v>18</v>
      </c>
      <c r="BH147" s="118">
        <f t="shared" si="176"/>
        <v>0</v>
      </c>
      <c r="BI147" s="118">
        <f t="shared" si="177"/>
        <v>0</v>
      </c>
      <c r="BJ147" s="118">
        <f t="shared" si="178"/>
        <v>0</v>
      </c>
      <c r="BK147" s="118">
        <f t="shared" si="179"/>
        <v>0</v>
      </c>
      <c r="BL147" s="118">
        <f t="shared" si="180"/>
        <v>46111</v>
      </c>
      <c r="BM147" s="118">
        <f t="shared" si="181"/>
        <v>3</v>
      </c>
      <c r="BN147">
        <v>144</v>
      </c>
    </row>
    <row r="148" spans="1:66" ht="15" customHeight="1">
      <c r="A148" t="s">
        <v>92</v>
      </c>
      <c r="B148" s="4" t="s">
        <v>93</v>
      </c>
      <c r="C148" s="4" t="s">
        <v>94</v>
      </c>
      <c r="D148" s="102" t="s">
        <v>327</v>
      </c>
      <c r="E148" t="s">
        <v>224</v>
      </c>
      <c r="F148" s="85" t="s">
        <v>197</v>
      </c>
      <c r="G148" t="s">
        <v>2</v>
      </c>
      <c r="H148" t="s">
        <v>97</v>
      </c>
      <c r="I148" t="s">
        <v>72</v>
      </c>
      <c r="K148" t="s">
        <v>198</v>
      </c>
      <c r="L148" t="s">
        <v>73</v>
      </c>
      <c r="M148" t="s">
        <v>98</v>
      </c>
      <c r="N148" t="s">
        <v>99</v>
      </c>
      <c r="O148" t="s">
        <v>199</v>
      </c>
      <c r="P148" t="s">
        <v>200</v>
      </c>
      <c r="AM148" s="113">
        <v>46055</v>
      </c>
      <c r="AN148" s="113">
        <v>46080</v>
      </c>
      <c r="AO148" s="113">
        <v>46083</v>
      </c>
      <c r="AP148" s="113">
        <v>46108</v>
      </c>
      <c r="AQ148" s="113">
        <v>46111</v>
      </c>
      <c r="AR148" s="113">
        <v>46129</v>
      </c>
      <c r="AS148" s="113">
        <v>46128</v>
      </c>
      <c r="AT148" s="113">
        <v>46129</v>
      </c>
      <c r="AU148" s="113">
        <v>46132</v>
      </c>
      <c r="AV148" s="113">
        <v>46150</v>
      </c>
      <c r="AW148" s="113">
        <v>46153</v>
      </c>
      <c r="AX148" s="113">
        <v>46171</v>
      </c>
      <c r="AZ148">
        <f t="shared" si="169"/>
        <v>0</v>
      </c>
      <c r="BA148">
        <f t="shared" si="170"/>
        <v>25</v>
      </c>
      <c r="BB148">
        <f t="shared" si="171"/>
        <v>25</v>
      </c>
      <c r="BC148">
        <f t="shared" si="172"/>
        <v>18</v>
      </c>
      <c r="BD148">
        <f t="shared" si="173"/>
        <v>1</v>
      </c>
      <c r="BE148">
        <f t="shared" si="174"/>
        <v>18</v>
      </c>
      <c r="BF148">
        <f t="shared" si="175"/>
        <v>18</v>
      </c>
      <c r="BH148" s="118">
        <f t="shared" si="176"/>
        <v>46055</v>
      </c>
      <c r="BI148" s="118">
        <f t="shared" si="177"/>
        <v>3</v>
      </c>
      <c r="BJ148" s="118">
        <f t="shared" si="178"/>
        <v>3</v>
      </c>
      <c r="BK148" s="118">
        <f t="shared" si="179"/>
        <v>-1</v>
      </c>
      <c r="BL148" s="118">
        <f t="shared" si="180"/>
        <v>3</v>
      </c>
      <c r="BM148" s="118">
        <f t="shared" si="181"/>
        <v>3</v>
      </c>
      <c r="BN148">
        <v>145</v>
      </c>
    </row>
    <row r="149" spans="1:66" ht="15" customHeight="1">
      <c r="A149" t="s">
        <v>217</v>
      </c>
      <c r="B149" t="s">
        <v>16</v>
      </c>
      <c r="C149" s="4" t="s">
        <v>123</v>
      </c>
      <c r="D149" s="102" t="s">
        <v>435</v>
      </c>
      <c r="E149" t="s">
        <v>562</v>
      </c>
      <c r="F149" t="s">
        <v>563</v>
      </c>
      <c r="G149" t="s">
        <v>52</v>
      </c>
      <c r="H149" t="s">
        <v>219</v>
      </c>
      <c r="I149" t="s">
        <v>83</v>
      </c>
      <c r="J149" t="s">
        <v>547</v>
      </c>
      <c r="K149" t="s">
        <v>339</v>
      </c>
      <c r="M149" t="s">
        <v>57</v>
      </c>
      <c r="N149" t="s">
        <v>16</v>
      </c>
      <c r="AU149" s="113">
        <v>46076</v>
      </c>
      <c r="AV149" s="113">
        <v>46101</v>
      </c>
      <c r="AW149" s="113">
        <v>46104</v>
      </c>
      <c r="AX149" s="113">
        <v>46129</v>
      </c>
      <c r="AZ149">
        <f t="shared" si="169"/>
        <v>0</v>
      </c>
      <c r="BA149">
        <f t="shared" si="170"/>
        <v>0</v>
      </c>
      <c r="BB149">
        <f t="shared" si="171"/>
        <v>0</v>
      </c>
      <c r="BC149">
        <f t="shared" si="172"/>
        <v>0</v>
      </c>
      <c r="BD149">
        <f t="shared" si="173"/>
        <v>0</v>
      </c>
      <c r="BE149">
        <f t="shared" si="174"/>
        <v>25</v>
      </c>
      <c r="BF149">
        <f t="shared" si="175"/>
        <v>25</v>
      </c>
      <c r="BH149" s="118">
        <f t="shared" si="176"/>
        <v>0</v>
      </c>
      <c r="BI149" s="118">
        <f t="shared" si="177"/>
        <v>0</v>
      </c>
      <c r="BJ149" s="118">
        <f t="shared" si="178"/>
        <v>0</v>
      </c>
      <c r="BK149" s="118">
        <f t="shared" si="179"/>
        <v>0</v>
      </c>
      <c r="BL149" s="118">
        <f t="shared" si="180"/>
        <v>46076</v>
      </c>
      <c r="BM149" s="118">
        <f t="shared" si="181"/>
        <v>3</v>
      </c>
      <c r="BN149">
        <v>146</v>
      </c>
    </row>
    <row r="150" spans="1:66" ht="15" customHeight="1">
      <c r="A150" t="s">
        <v>67</v>
      </c>
      <c r="B150" s="4" t="s">
        <v>133</v>
      </c>
      <c r="C150" s="4" t="s">
        <v>134</v>
      </c>
      <c r="D150" s="102" t="s">
        <v>435</v>
      </c>
      <c r="E150" t="s">
        <v>564</v>
      </c>
      <c r="F150" t="s">
        <v>417</v>
      </c>
      <c r="G150" t="s">
        <v>52</v>
      </c>
      <c r="H150" t="s">
        <v>437</v>
      </c>
      <c r="I150" t="s">
        <v>54</v>
      </c>
      <c r="K150" t="s">
        <v>339</v>
      </c>
      <c r="M150" t="s">
        <v>57</v>
      </c>
      <c r="N150" t="s">
        <v>133</v>
      </c>
      <c r="AU150" s="113">
        <v>46076</v>
      </c>
      <c r="AV150" s="113">
        <v>46101</v>
      </c>
      <c r="AW150" s="113">
        <v>46104</v>
      </c>
      <c r="AX150" s="113">
        <v>46129</v>
      </c>
      <c r="AZ150">
        <f t="shared" si="169"/>
        <v>0</v>
      </c>
      <c r="BA150">
        <f t="shared" si="170"/>
        <v>0</v>
      </c>
      <c r="BB150">
        <f t="shared" si="171"/>
        <v>0</v>
      </c>
      <c r="BC150">
        <f t="shared" si="172"/>
        <v>0</v>
      </c>
      <c r="BD150">
        <f t="shared" si="173"/>
        <v>0</v>
      </c>
      <c r="BE150">
        <f t="shared" si="174"/>
        <v>25</v>
      </c>
      <c r="BF150">
        <f t="shared" si="175"/>
        <v>25</v>
      </c>
      <c r="BH150" s="118">
        <f t="shared" si="176"/>
        <v>0</v>
      </c>
      <c r="BI150" s="118">
        <f t="shared" si="177"/>
        <v>0</v>
      </c>
      <c r="BJ150" s="118">
        <f t="shared" si="178"/>
        <v>0</v>
      </c>
      <c r="BK150" s="118">
        <f t="shared" si="179"/>
        <v>0</v>
      </c>
      <c r="BL150" s="118">
        <f t="shared" si="180"/>
        <v>46076</v>
      </c>
      <c r="BM150" s="118">
        <f t="shared" si="181"/>
        <v>3</v>
      </c>
      <c r="BN150">
        <v>147</v>
      </c>
    </row>
    <row r="151" spans="1:66" ht="15" customHeight="1">
      <c r="A151" t="s">
        <v>4</v>
      </c>
      <c r="B151" t="s">
        <v>4</v>
      </c>
      <c r="C151" s="4" t="s">
        <v>225</v>
      </c>
      <c r="D151" s="102" t="s">
        <v>470</v>
      </c>
      <c r="E151" s="2" t="s">
        <v>565</v>
      </c>
      <c r="F151" t="s">
        <v>508</v>
      </c>
      <c r="G151" t="s">
        <v>71</v>
      </c>
      <c r="H151" t="s">
        <v>473</v>
      </c>
      <c r="K151" t="s">
        <v>340</v>
      </c>
      <c r="L151" t="s">
        <v>474</v>
      </c>
      <c r="M151" t="s">
        <v>74</v>
      </c>
      <c r="N151" t="s">
        <v>338</v>
      </c>
      <c r="AU151" s="113">
        <v>46076</v>
      </c>
      <c r="AV151" s="113">
        <v>46094</v>
      </c>
      <c r="AW151" s="113">
        <v>46097</v>
      </c>
      <c r="AX151" s="113">
        <v>46115</v>
      </c>
      <c r="AZ151">
        <f t="shared" si="169"/>
        <v>0</v>
      </c>
      <c r="BA151">
        <f t="shared" si="170"/>
        <v>0</v>
      </c>
      <c r="BB151">
        <f t="shared" si="171"/>
        <v>0</v>
      </c>
      <c r="BC151">
        <f t="shared" si="172"/>
        <v>0</v>
      </c>
      <c r="BD151">
        <f t="shared" si="173"/>
        <v>0</v>
      </c>
      <c r="BE151">
        <f t="shared" si="174"/>
        <v>18</v>
      </c>
      <c r="BF151">
        <f t="shared" si="175"/>
        <v>18</v>
      </c>
      <c r="BH151" s="118">
        <f t="shared" si="176"/>
        <v>0</v>
      </c>
      <c r="BI151" s="118">
        <f t="shared" si="177"/>
        <v>0</v>
      </c>
      <c r="BJ151" s="118">
        <f t="shared" si="178"/>
        <v>0</v>
      </c>
      <c r="BK151" s="118">
        <f t="shared" si="179"/>
        <v>0</v>
      </c>
      <c r="BL151" s="118">
        <f t="shared" si="180"/>
        <v>46076</v>
      </c>
      <c r="BM151" s="118">
        <f t="shared" si="181"/>
        <v>3</v>
      </c>
      <c r="BN151">
        <v>148</v>
      </c>
    </row>
    <row r="152" spans="1:66" ht="15" customHeight="1">
      <c r="A152" t="s">
        <v>46</v>
      </c>
      <c r="B152" s="3" t="s">
        <v>4</v>
      </c>
      <c r="C152" s="4" t="s">
        <v>225</v>
      </c>
      <c r="D152" s="102" t="s">
        <v>435</v>
      </c>
      <c r="E152" t="s">
        <v>566</v>
      </c>
      <c r="F152" t="s">
        <v>66</v>
      </c>
      <c r="G152" t="s">
        <v>52</v>
      </c>
      <c r="H152" t="s">
        <v>112</v>
      </c>
      <c r="I152" t="s">
        <v>54</v>
      </c>
      <c r="J152" t="s">
        <v>532</v>
      </c>
      <c r="K152" t="s">
        <v>339</v>
      </c>
      <c r="M152" t="s">
        <v>57</v>
      </c>
      <c r="N152" t="s">
        <v>4</v>
      </c>
      <c r="O152" t="s">
        <v>567</v>
      </c>
      <c r="P152" t="s">
        <v>533</v>
      </c>
      <c r="AU152" s="113">
        <v>46076</v>
      </c>
      <c r="AV152" s="113">
        <v>46101</v>
      </c>
      <c r="AW152" s="113">
        <v>46104</v>
      </c>
      <c r="AX152" s="113">
        <v>46129</v>
      </c>
      <c r="AZ152">
        <f t="shared" si="169"/>
        <v>0</v>
      </c>
      <c r="BA152">
        <f t="shared" si="170"/>
        <v>0</v>
      </c>
      <c r="BB152">
        <f t="shared" si="171"/>
        <v>0</v>
      </c>
      <c r="BC152">
        <f t="shared" si="172"/>
        <v>0</v>
      </c>
      <c r="BD152">
        <f t="shared" si="173"/>
        <v>0</v>
      </c>
      <c r="BE152">
        <f t="shared" si="174"/>
        <v>25</v>
      </c>
      <c r="BF152">
        <f t="shared" si="175"/>
        <v>25</v>
      </c>
      <c r="BH152" s="118">
        <f t="shared" si="176"/>
        <v>0</v>
      </c>
      <c r="BI152" s="118">
        <f t="shared" si="177"/>
        <v>0</v>
      </c>
      <c r="BJ152" s="118">
        <f t="shared" si="178"/>
        <v>0</v>
      </c>
      <c r="BK152" s="118">
        <f t="shared" si="179"/>
        <v>0</v>
      </c>
      <c r="BL152" s="118">
        <f t="shared" si="180"/>
        <v>46076</v>
      </c>
      <c r="BM152" s="118">
        <f t="shared" si="181"/>
        <v>3</v>
      </c>
      <c r="BN152">
        <v>149</v>
      </c>
    </row>
    <row r="153" spans="1:66" ht="15" customHeight="1">
      <c r="A153" t="s">
        <v>46</v>
      </c>
      <c r="B153" s="3" t="s">
        <v>4</v>
      </c>
      <c r="C153" s="4" t="s">
        <v>225</v>
      </c>
      <c r="D153" s="102" t="s">
        <v>435</v>
      </c>
      <c r="E153" t="s">
        <v>568</v>
      </c>
      <c r="F153" t="s">
        <v>66</v>
      </c>
      <c r="G153" t="s">
        <v>52</v>
      </c>
      <c r="H153" t="s">
        <v>112</v>
      </c>
      <c r="I153" t="s">
        <v>54</v>
      </c>
      <c r="J153" t="s">
        <v>532</v>
      </c>
      <c r="K153" t="s">
        <v>339</v>
      </c>
      <c r="M153" t="s">
        <v>57</v>
      </c>
      <c r="N153" t="s">
        <v>4</v>
      </c>
      <c r="O153" t="s">
        <v>567</v>
      </c>
      <c r="P153" t="s">
        <v>533</v>
      </c>
      <c r="AU153" s="113">
        <v>46076</v>
      </c>
      <c r="AV153" s="113">
        <v>46101</v>
      </c>
      <c r="AW153" s="113">
        <v>46104</v>
      </c>
      <c r="AX153" s="113">
        <v>46129</v>
      </c>
      <c r="AZ153">
        <f t="shared" si="169"/>
        <v>0</v>
      </c>
      <c r="BA153">
        <f t="shared" si="170"/>
        <v>0</v>
      </c>
      <c r="BB153">
        <f t="shared" si="171"/>
        <v>0</v>
      </c>
      <c r="BC153">
        <f t="shared" si="172"/>
        <v>0</v>
      </c>
      <c r="BD153">
        <f t="shared" si="173"/>
        <v>0</v>
      </c>
      <c r="BE153">
        <f t="shared" si="174"/>
        <v>25</v>
      </c>
      <c r="BF153">
        <f t="shared" si="175"/>
        <v>25</v>
      </c>
      <c r="BH153" s="118">
        <f t="shared" si="176"/>
        <v>0</v>
      </c>
      <c r="BI153" s="118">
        <f t="shared" si="177"/>
        <v>0</v>
      </c>
      <c r="BJ153" s="118">
        <f t="shared" si="178"/>
        <v>0</v>
      </c>
      <c r="BK153" s="118">
        <f t="shared" si="179"/>
        <v>0</v>
      </c>
      <c r="BL153" s="118">
        <f t="shared" si="180"/>
        <v>46076</v>
      </c>
      <c r="BM153" s="118">
        <f t="shared" si="181"/>
        <v>3</v>
      </c>
      <c r="BN153">
        <v>150</v>
      </c>
    </row>
    <row r="154" spans="1:66" ht="15" customHeight="1">
      <c r="A154" s="73" t="s">
        <v>46</v>
      </c>
      <c r="B154" s="76" t="s">
        <v>61</v>
      </c>
      <c r="C154" s="74" t="s">
        <v>48</v>
      </c>
      <c r="D154" s="102"/>
      <c r="E154" s="73" t="s">
        <v>569</v>
      </c>
      <c r="F154" s="73" t="s">
        <v>66</v>
      </c>
      <c r="G154" s="73" t="s">
        <v>102</v>
      </c>
      <c r="H154" s="73" t="s">
        <v>102</v>
      </c>
      <c r="I154" s="73"/>
      <c r="J154" s="73"/>
      <c r="K154" s="73" t="s">
        <v>347</v>
      </c>
      <c r="L154" s="73" t="s">
        <v>102</v>
      </c>
      <c r="M154" s="73" t="s">
        <v>102</v>
      </c>
      <c r="N154" s="73" t="s">
        <v>102</v>
      </c>
      <c r="O154" s="73"/>
      <c r="P154" s="73"/>
      <c r="Q154" s="73"/>
      <c r="R154" s="73"/>
      <c r="BN154">
        <v>151</v>
      </c>
    </row>
    <row r="155" spans="1:66" ht="15" customHeight="1">
      <c r="A155" t="s">
        <v>46</v>
      </c>
      <c r="B155" s="3" t="s">
        <v>4</v>
      </c>
      <c r="C155" s="4" t="s">
        <v>225</v>
      </c>
      <c r="D155" s="102" t="s">
        <v>435</v>
      </c>
      <c r="E155" t="s">
        <v>570</v>
      </c>
      <c r="F155" t="s">
        <v>66</v>
      </c>
      <c r="G155" t="s">
        <v>52</v>
      </c>
      <c r="H155" t="s">
        <v>571</v>
      </c>
      <c r="I155" t="s">
        <v>54</v>
      </c>
      <c r="J155" t="s">
        <v>532</v>
      </c>
      <c r="K155" t="s">
        <v>339</v>
      </c>
      <c r="M155" t="s">
        <v>57</v>
      </c>
      <c r="N155" t="s">
        <v>4</v>
      </c>
      <c r="O155" t="s">
        <v>567</v>
      </c>
      <c r="P155" t="s">
        <v>533</v>
      </c>
      <c r="AU155" s="113">
        <v>46076</v>
      </c>
      <c r="AV155" s="113">
        <v>46101</v>
      </c>
      <c r="AW155" s="113">
        <v>46104</v>
      </c>
      <c r="AX155" s="113">
        <v>46129</v>
      </c>
      <c r="AZ155">
        <f>+AL155-AK155</f>
        <v>0</v>
      </c>
      <c r="BA155">
        <f>AN155-AM155</f>
        <v>0</v>
      </c>
      <c r="BB155">
        <f>AP155-AO155</f>
        <v>0</v>
      </c>
      <c r="BC155">
        <f>AR155-AQ155</f>
        <v>0</v>
      </c>
      <c r="BD155">
        <f>AT155-AS155</f>
        <v>0</v>
      </c>
      <c r="BE155">
        <f>AV155-AU155</f>
        <v>25</v>
      </c>
      <c r="BF155">
        <f>AX155-AW155</f>
        <v>25</v>
      </c>
      <c r="BH155" s="118">
        <f>AM155-AL155</f>
        <v>0</v>
      </c>
      <c r="BI155" s="118">
        <f>AO155-AN155</f>
        <v>0</v>
      </c>
      <c r="BJ155" s="118">
        <f>AQ155-AP155</f>
        <v>0</v>
      </c>
      <c r="BK155" s="118">
        <f>AS155-AR155</f>
        <v>0</v>
      </c>
      <c r="BL155" s="118">
        <f>AU155-AT155</f>
        <v>46076</v>
      </c>
      <c r="BM155" s="118">
        <f>AW155-AV155</f>
        <v>3</v>
      </c>
      <c r="BN155">
        <v>152</v>
      </c>
    </row>
    <row r="156" spans="1:66">
      <c r="A156" s="73" t="s">
        <v>46</v>
      </c>
      <c r="B156" s="76" t="s">
        <v>61</v>
      </c>
      <c r="C156" s="74" t="s">
        <v>48</v>
      </c>
      <c r="D156" s="102"/>
      <c r="E156" s="73" t="s">
        <v>572</v>
      </c>
      <c r="F156" s="73" t="s">
        <v>66</v>
      </c>
      <c r="G156" s="73" t="s">
        <v>102</v>
      </c>
      <c r="H156" s="73" t="s">
        <v>102</v>
      </c>
      <c r="I156" s="73"/>
      <c r="J156" s="73"/>
      <c r="K156" s="73" t="s">
        <v>347</v>
      </c>
      <c r="L156" s="73" t="s">
        <v>102</v>
      </c>
      <c r="M156" s="73" t="s">
        <v>102</v>
      </c>
      <c r="N156" s="73" t="s">
        <v>102</v>
      </c>
      <c r="O156" s="73"/>
      <c r="P156" s="73"/>
      <c r="Q156" s="73"/>
      <c r="R156" s="73"/>
      <c r="BN156">
        <v>153</v>
      </c>
    </row>
    <row r="157" spans="1:66">
      <c r="A157" t="s">
        <v>4</v>
      </c>
      <c r="B157" t="s">
        <v>4</v>
      </c>
      <c r="C157" s="4" t="s">
        <v>225</v>
      </c>
      <c r="D157" s="102" t="s">
        <v>435</v>
      </c>
      <c r="E157" t="s">
        <v>573</v>
      </c>
      <c r="F157" t="s">
        <v>574</v>
      </c>
      <c r="G157" t="s">
        <v>52</v>
      </c>
      <c r="H157" t="s">
        <v>219</v>
      </c>
      <c r="I157" t="s">
        <v>83</v>
      </c>
      <c r="J157" t="s">
        <v>532</v>
      </c>
      <c r="K157" t="s">
        <v>339</v>
      </c>
      <c r="M157" t="s">
        <v>57</v>
      </c>
      <c r="N157" t="s">
        <v>4</v>
      </c>
      <c r="O157" t="s">
        <v>230</v>
      </c>
      <c r="P157" t="s">
        <v>533</v>
      </c>
      <c r="AU157" s="113">
        <v>46076</v>
      </c>
      <c r="AV157" s="113">
        <v>46101</v>
      </c>
      <c r="AW157" s="113">
        <v>46104</v>
      </c>
      <c r="AX157" s="113">
        <v>46129</v>
      </c>
      <c r="AZ157">
        <f t="shared" ref="AZ157:AZ159" si="182">+AL157-AK157</f>
        <v>0</v>
      </c>
      <c r="BA157">
        <f t="shared" ref="BA157:BA159" si="183">AN157-AM157</f>
        <v>0</v>
      </c>
      <c r="BB157">
        <f t="shared" ref="BB157:BB159" si="184">AP157-AO157</f>
        <v>0</v>
      </c>
      <c r="BC157">
        <f t="shared" ref="BC157:BC159" si="185">AR157-AQ157</f>
        <v>0</v>
      </c>
      <c r="BD157">
        <f t="shared" ref="BD157:BD159" si="186">AT157-AS157</f>
        <v>0</v>
      </c>
      <c r="BE157">
        <f t="shared" ref="BE157:BE159" si="187">AV157-AU157</f>
        <v>25</v>
      </c>
      <c r="BF157">
        <f t="shared" ref="BF157:BF159" si="188">AX157-AW157</f>
        <v>25</v>
      </c>
      <c r="BH157" s="118">
        <f t="shared" ref="BH157:BH159" si="189">AM157-AL157</f>
        <v>0</v>
      </c>
      <c r="BI157" s="118">
        <f t="shared" ref="BI157:BI159" si="190">AO157-AN157</f>
        <v>0</v>
      </c>
      <c r="BJ157" s="118">
        <f t="shared" ref="BJ157:BJ159" si="191">AQ157-AP157</f>
        <v>0</v>
      </c>
      <c r="BK157" s="118">
        <f t="shared" ref="BK157:BK159" si="192">AS157-AR157</f>
        <v>0</v>
      </c>
      <c r="BL157" s="118">
        <f t="shared" ref="BL157:BL159" si="193">AU157-AT157</f>
        <v>46076</v>
      </c>
      <c r="BM157" s="118">
        <f t="shared" ref="BM157:BM159" si="194">AW157-AV157</f>
        <v>3</v>
      </c>
      <c r="BN157">
        <v>154</v>
      </c>
    </row>
    <row r="158" spans="1:66">
      <c r="A158" t="s">
        <v>217</v>
      </c>
      <c r="B158" t="s">
        <v>16</v>
      </c>
      <c r="C158" s="4" t="s">
        <v>123</v>
      </c>
      <c r="D158" s="102" t="s">
        <v>327</v>
      </c>
      <c r="E158" t="s">
        <v>24</v>
      </c>
      <c r="F158" t="s">
        <v>218</v>
      </c>
      <c r="G158" t="s">
        <v>52</v>
      </c>
      <c r="H158" t="s">
        <v>219</v>
      </c>
      <c r="I158" t="s">
        <v>83</v>
      </c>
      <c r="J158" t="s">
        <v>220</v>
      </c>
      <c r="K158" t="s">
        <v>198</v>
      </c>
      <c r="M158" t="s">
        <v>57</v>
      </c>
      <c r="N158" t="s">
        <v>16</v>
      </c>
      <c r="AM158" s="113">
        <v>46062</v>
      </c>
      <c r="AN158" s="113">
        <v>46080</v>
      </c>
      <c r="AO158" s="113">
        <v>46083</v>
      </c>
      <c r="AP158" s="113">
        <v>46101</v>
      </c>
      <c r="AQ158" s="113">
        <v>46104</v>
      </c>
      <c r="AR158" s="113">
        <v>46115</v>
      </c>
      <c r="AS158" s="113">
        <v>46114</v>
      </c>
      <c r="AT158" s="113">
        <v>46115</v>
      </c>
      <c r="AU158" s="113">
        <v>46118</v>
      </c>
      <c r="AV158" s="113">
        <v>46136</v>
      </c>
      <c r="AW158" s="113">
        <v>46139</v>
      </c>
      <c r="AX158" s="113">
        <v>46157</v>
      </c>
      <c r="AZ158">
        <f t="shared" si="182"/>
        <v>0</v>
      </c>
      <c r="BA158">
        <f t="shared" si="183"/>
        <v>18</v>
      </c>
      <c r="BB158">
        <f t="shared" si="184"/>
        <v>18</v>
      </c>
      <c r="BC158">
        <f t="shared" si="185"/>
        <v>11</v>
      </c>
      <c r="BD158">
        <f t="shared" si="186"/>
        <v>1</v>
      </c>
      <c r="BE158">
        <f t="shared" si="187"/>
        <v>18</v>
      </c>
      <c r="BF158">
        <f t="shared" si="188"/>
        <v>18</v>
      </c>
      <c r="BH158" s="118">
        <f t="shared" si="189"/>
        <v>46062</v>
      </c>
      <c r="BI158" s="118">
        <f t="shared" si="190"/>
        <v>3</v>
      </c>
      <c r="BJ158" s="118">
        <f t="shared" si="191"/>
        <v>3</v>
      </c>
      <c r="BK158" s="118">
        <f t="shared" si="192"/>
        <v>-1</v>
      </c>
      <c r="BL158" s="118">
        <f t="shared" si="193"/>
        <v>3</v>
      </c>
      <c r="BM158" s="118">
        <f t="shared" si="194"/>
        <v>3</v>
      </c>
      <c r="BN158">
        <v>155</v>
      </c>
    </row>
    <row r="159" spans="1:66">
      <c r="A159" t="s">
        <v>217</v>
      </c>
      <c r="B159" t="s">
        <v>16</v>
      </c>
      <c r="C159" s="4" t="s">
        <v>123</v>
      </c>
      <c r="D159" s="102" t="s">
        <v>327</v>
      </c>
      <c r="E159" t="s">
        <v>21</v>
      </c>
      <c r="F159" t="s">
        <v>218</v>
      </c>
      <c r="G159" t="s">
        <v>52</v>
      </c>
      <c r="H159" t="s">
        <v>219</v>
      </c>
      <c r="I159" t="s">
        <v>83</v>
      </c>
      <c r="J159" t="s">
        <v>220</v>
      </c>
      <c r="K159" t="s">
        <v>198</v>
      </c>
      <c r="M159" t="s">
        <v>57</v>
      </c>
      <c r="N159" t="s">
        <v>16</v>
      </c>
      <c r="AM159" s="113">
        <v>46062</v>
      </c>
      <c r="AN159" s="113">
        <v>46080</v>
      </c>
      <c r="AO159" s="113">
        <v>46083</v>
      </c>
      <c r="AP159" s="113">
        <v>46101</v>
      </c>
      <c r="AQ159" s="113">
        <v>46104</v>
      </c>
      <c r="AR159" s="113">
        <v>46115</v>
      </c>
      <c r="AS159" s="113">
        <v>46114</v>
      </c>
      <c r="AT159" s="113">
        <v>46115</v>
      </c>
      <c r="AU159" s="113">
        <v>46118</v>
      </c>
      <c r="AV159" s="113">
        <v>46136</v>
      </c>
      <c r="AW159" s="113">
        <v>46139</v>
      </c>
      <c r="AX159" s="113">
        <v>46157</v>
      </c>
      <c r="AZ159">
        <f t="shared" si="182"/>
        <v>0</v>
      </c>
      <c r="BA159">
        <f t="shared" si="183"/>
        <v>18</v>
      </c>
      <c r="BB159">
        <f t="shared" si="184"/>
        <v>18</v>
      </c>
      <c r="BC159">
        <f t="shared" si="185"/>
        <v>11</v>
      </c>
      <c r="BD159">
        <f t="shared" si="186"/>
        <v>1</v>
      </c>
      <c r="BE159">
        <f t="shared" si="187"/>
        <v>18</v>
      </c>
      <c r="BF159">
        <f t="shared" si="188"/>
        <v>18</v>
      </c>
      <c r="BH159" s="118">
        <f t="shared" si="189"/>
        <v>46062</v>
      </c>
      <c r="BI159" s="118">
        <f t="shared" si="190"/>
        <v>3</v>
      </c>
      <c r="BJ159" s="118">
        <f t="shared" si="191"/>
        <v>3</v>
      </c>
      <c r="BK159" s="118">
        <f t="shared" si="192"/>
        <v>-1</v>
      </c>
      <c r="BL159" s="118">
        <f t="shared" si="193"/>
        <v>3</v>
      </c>
      <c r="BM159" s="118">
        <f t="shared" si="194"/>
        <v>3</v>
      </c>
      <c r="BN159">
        <v>156</v>
      </c>
    </row>
    <row r="160" spans="1:66">
      <c r="A160" s="73" t="s">
        <v>46</v>
      </c>
      <c r="B160" s="76" t="s">
        <v>61</v>
      </c>
      <c r="C160" s="74" t="s">
        <v>48</v>
      </c>
      <c r="D160" s="102"/>
      <c r="E160" s="73" t="s">
        <v>575</v>
      </c>
      <c r="F160" s="73" t="s">
        <v>63</v>
      </c>
      <c r="G160" s="73" t="s">
        <v>102</v>
      </c>
      <c r="H160" s="73" t="s">
        <v>102</v>
      </c>
      <c r="I160" s="73"/>
      <c r="J160" s="73"/>
      <c r="K160" s="73" t="s">
        <v>347</v>
      </c>
      <c r="L160" s="73" t="s">
        <v>102</v>
      </c>
      <c r="M160" s="73" t="s">
        <v>102</v>
      </c>
      <c r="N160" s="73" t="s">
        <v>102</v>
      </c>
      <c r="O160" s="73"/>
      <c r="P160" s="73"/>
      <c r="Q160" s="73"/>
      <c r="R160" s="73"/>
      <c r="BN160">
        <v>157</v>
      </c>
    </row>
    <row r="161" spans="1:66">
      <c r="A161" s="73" t="s">
        <v>46</v>
      </c>
      <c r="B161" s="76" t="s">
        <v>61</v>
      </c>
      <c r="C161" s="74" t="s">
        <v>48</v>
      </c>
      <c r="D161" s="102"/>
      <c r="E161" s="73" t="s">
        <v>576</v>
      </c>
      <c r="F161" s="73" t="s">
        <v>63</v>
      </c>
      <c r="G161" s="73" t="s">
        <v>102</v>
      </c>
      <c r="H161" s="73" t="s">
        <v>102</v>
      </c>
      <c r="I161" s="73"/>
      <c r="J161" s="73"/>
      <c r="K161" s="73" t="s">
        <v>347</v>
      </c>
      <c r="L161" s="73" t="s">
        <v>102</v>
      </c>
      <c r="M161" s="73" t="s">
        <v>102</v>
      </c>
      <c r="N161" s="73" t="s">
        <v>102</v>
      </c>
      <c r="O161" s="73"/>
      <c r="P161" s="73"/>
      <c r="Q161" s="73"/>
      <c r="R161" s="73"/>
      <c r="BN161">
        <v>158</v>
      </c>
    </row>
    <row r="162" spans="1:66">
      <c r="A162" t="s">
        <v>357</v>
      </c>
      <c r="B162" s="4" t="s">
        <v>133</v>
      </c>
      <c r="C162" s="4" t="s">
        <v>134</v>
      </c>
      <c r="D162" s="102" t="s">
        <v>435</v>
      </c>
      <c r="E162" t="s">
        <v>633</v>
      </c>
      <c r="F162" t="s">
        <v>578</v>
      </c>
      <c r="G162" t="s">
        <v>52</v>
      </c>
      <c r="H162" t="s">
        <v>579</v>
      </c>
      <c r="I162" t="s">
        <v>54</v>
      </c>
      <c r="K162" t="s">
        <v>339</v>
      </c>
      <c r="M162" t="s">
        <v>57</v>
      </c>
      <c r="N162" t="s">
        <v>133</v>
      </c>
      <c r="AU162" s="113">
        <v>46076</v>
      </c>
      <c r="AV162" s="113">
        <v>46101</v>
      </c>
      <c r="AW162" s="113">
        <v>46104</v>
      </c>
      <c r="AX162" s="113">
        <v>46129</v>
      </c>
      <c r="AZ162">
        <f t="shared" ref="AZ162:AZ204" si="195">+AL162-AK162</f>
        <v>0</v>
      </c>
      <c r="BA162">
        <f t="shared" ref="BA162:BA204" si="196">AN162-AM162</f>
        <v>0</v>
      </c>
      <c r="BB162">
        <f t="shared" ref="BB162:BB204" si="197">AP162-AO162</f>
        <v>0</v>
      </c>
      <c r="BC162">
        <f t="shared" ref="BC162:BC204" si="198">AR162-AQ162</f>
        <v>0</v>
      </c>
      <c r="BD162">
        <f t="shared" ref="BD162:BD204" si="199">AT162-AS162</f>
        <v>0</v>
      </c>
      <c r="BE162">
        <f t="shared" ref="BE162:BE204" si="200">AV162-AU162</f>
        <v>25</v>
      </c>
      <c r="BF162">
        <f t="shared" ref="BF162:BF204" si="201">AX162-AW162</f>
        <v>25</v>
      </c>
      <c r="BH162" s="118">
        <f t="shared" ref="BH162:BH204" si="202">AM162-AL162</f>
        <v>0</v>
      </c>
      <c r="BI162" s="118">
        <f t="shared" ref="BI162:BI204" si="203">AO162-AN162</f>
        <v>0</v>
      </c>
      <c r="BJ162" s="118">
        <f t="shared" ref="BJ162:BJ204" si="204">AQ162-AP162</f>
        <v>0</v>
      </c>
      <c r="BK162" s="118">
        <f t="shared" ref="BK162:BK204" si="205">AS162-AR162</f>
        <v>0</v>
      </c>
      <c r="BL162" s="118">
        <f t="shared" ref="BL162:BL204" si="206">AU162-AT162</f>
        <v>46076</v>
      </c>
      <c r="BM162" s="118">
        <f t="shared" ref="BM162:BM204" si="207">AW162-AV162</f>
        <v>3</v>
      </c>
      <c r="BN162">
        <v>159</v>
      </c>
    </row>
    <row r="163" spans="1:66">
      <c r="A163" t="s">
        <v>357</v>
      </c>
      <c r="B163" s="4" t="s">
        <v>133</v>
      </c>
      <c r="C163" s="4" t="s">
        <v>134</v>
      </c>
      <c r="D163" s="102" t="s">
        <v>435</v>
      </c>
      <c r="E163" t="s">
        <v>634</v>
      </c>
      <c r="F163" t="s">
        <v>578</v>
      </c>
      <c r="G163" t="s">
        <v>52</v>
      </c>
      <c r="H163" t="s">
        <v>579</v>
      </c>
      <c r="I163" t="s">
        <v>54</v>
      </c>
      <c r="K163" t="s">
        <v>339</v>
      </c>
      <c r="M163" t="s">
        <v>57</v>
      </c>
      <c r="N163" t="s">
        <v>133</v>
      </c>
      <c r="AU163" s="113">
        <v>46076</v>
      </c>
      <c r="AV163" s="113">
        <v>46101</v>
      </c>
      <c r="AW163" s="113">
        <v>46104</v>
      </c>
      <c r="AX163" s="113">
        <v>46129</v>
      </c>
      <c r="AZ163">
        <f t="shared" si="195"/>
        <v>0</v>
      </c>
      <c r="BA163">
        <f t="shared" si="196"/>
        <v>0</v>
      </c>
      <c r="BB163">
        <f t="shared" si="197"/>
        <v>0</v>
      </c>
      <c r="BC163">
        <f t="shared" si="198"/>
        <v>0</v>
      </c>
      <c r="BD163">
        <f t="shared" si="199"/>
        <v>0</v>
      </c>
      <c r="BE163">
        <f t="shared" si="200"/>
        <v>25</v>
      </c>
      <c r="BF163">
        <f t="shared" si="201"/>
        <v>25</v>
      </c>
      <c r="BH163" s="118">
        <f t="shared" si="202"/>
        <v>0</v>
      </c>
      <c r="BI163" s="118">
        <f t="shared" si="203"/>
        <v>0</v>
      </c>
      <c r="BJ163" s="118">
        <f t="shared" si="204"/>
        <v>0</v>
      </c>
      <c r="BK163" s="118">
        <f t="shared" si="205"/>
        <v>0</v>
      </c>
      <c r="BL163" s="118">
        <f t="shared" si="206"/>
        <v>46076</v>
      </c>
      <c r="BM163" s="118">
        <f t="shared" si="207"/>
        <v>3</v>
      </c>
      <c r="BN163">
        <v>160</v>
      </c>
    </row>
    <row r="164" spans="1:66">
      <c r="A164" t="s">
        <v>357</v>
      </c>
      <c r="B164" s="4" t="s">
        <v>133</v>
      </c>
      <c r="C164" s="4" t="s">
        <v>134</v>
      </c>
      <c r="D164" s="102" t="s">
        <v>435</v>
      </c>
      <c r="E164" t="s">
        <v>635</v>
      </c>
      <c r="F164" t="s">
        <v>578</v>
      </c>
      <c r="G164" t="s">
        <v>52</v>
      </c>
      <c r="H164" t="s">
        <v>579</v>
      </c>
      <c r="I164" t="s">
        <v>54</v>
      </c>
      <c r="K164" t="s">
        <v>339</v>
      </c>
      <c r="M164" t="s">
        <v>57</v>
      </c>
      <c r="N164" t="s">
        <v>133</v>
      </c>
      <c r="AU164" s="113">
        <v>46076</v>
      </c>
      <c r="AV164" s="113">
        <v>46101</v>
      </c>
      <c r="AW164" s="113">
        <v>46104</v>
      </c>
      <c r="AX164" s="113">
        <v>46129</v>
      </c>
      <c r="AZ164">
        <f t="shared" si="195"/>
        <v>0</v>
      </c>
      <c r="BA164">
        <f t="shared" si="196"/>
        <v>0</v>
      </c>
      <c r="BB164">
        <f t="shared" si="197"/>
        <v>0</v>
      </c>
      <c r="BC164">
        <f t="shared" si="198"/>
        <v>0</v>
      </c>
      <c r="BD164">
        <f t="shared" si="199"/>
        <v>0</v>
      </c>
      <c r="BE164">
        <f t="shared" si="200"/>
        <v>25</v>
      </c>
      <c r="BF164">
        <f t="shared" si="201"/>
        <v>25</v>
      </c>
      <c r="BH164" s="118">
        <f t="shared" si="202"/>
        <v>0</v>
      </c>
      <c r="BI164" s="118">
        <f t="shared" si="203"/>
        <v>0</v>
      </c>
      <c r="BJ164" s="118">
        <f t="shared" si="204"/>
        <v>0</v>
      </c>
      <c r="BK164" s="118">
        <f t="shared" si="205"/>
        <v>0</v>
      </c>
      <c r="BL164" s="118">
        <f t="shared" si="206"/>
        <v>46076</v>
      </c>
      <c r="BM164" s="118">
        <f t="shared" si="207"/>
        <v>3</v>
      </c>
      <c r="BN164">
        <v>161</v>
      </c>
    </row>
    <row r="165" spans="1:66">
      <c r="A165" t="s">
        <v>357</v>
      </c>
      <c r="B165" s="4" t="s">
        <v>133</v>
      </c>
      <c r="C165" s="4" t="s">
        <v>134</v>
      </c>
      <c r="D165" s="102" t="s">
        <v>435</v>
      </c>
      <c r="E165" t="s">
        <v>636</v>
      </c>
      <c r="F165" t="s">
        <v>578</v>
      </c>
      <c r="G165" t="s">
        <v>52</v>
      </c>
      <c r="H165" t="s">
        <v>579</v>
      </c>
      <c r="I165" t="s">
        <v>54</v>
      </c>
      <c r="K165" t="s">
        <v>339</v>
      </c>
      <c r="M165" t="s">
        <v>57</v>
      </c>
      <c r="N165" t="s">
        <v>133</v>
      </c>
      <c r="AU165" s="113">
        <v>46076</v>
      </c>
      <c r="AV165" s="113">
        <v>46101</v>
      </c>
      <c r="AW165" s="113">
        <v>46104</v>
      </c>
      <c r="AX165" s="113">
        <v>46129</v>
      </c>
      <c r="AZ165">
        <f t="shared" si="195"/>
        <v>0</v>
      </c>
      <c r="BA165">
        <f t="shared" si="196"/>
        <v>0</v>
      </c>
      <c r="BB165">
        <f t="shared" si="197"/>
        <v>0</v>
      </c>
      <c r="BC165">
        <f t="shared" si="198"/>
        <v>0</v>
      </c>
      <c r="BD165">
        <f t="shared" si="199"/>
        <v>0</v>
      </c>
      <c r="BE165">
        <f t="shared" si="200"/>
        <v>25</v>
      </c>
      <c r="BF165">
        <f t="shared" si="201"/>
        <v>25</v>
      </c>
      <c r="BH165" s="118">
        <f t="shared" si="202"/>
        <v>0</v>
      </c>
      <c r="BI165" s="118">
        <f t="shared" si="203"/>
        <v>0</v>
      </c>
      <c r="BJ165" s="118">
        <f t="shared" si="204"/>
        <v>0</v>
      </c>
      <c r="BK165" s="118">
        <f t="shared" si="205"/>
        <v>0</v>
      </c>
      <c r="BL165" s="118">
        <f t="shared" si="206"/>
        <v>46076</v>
      </c>
      <c r="BM165" s="118">
        <f t="shared" si="207"/>
        <v>3</v>
      </c>
      <c r="BN165">
        <v>162</v>
      </c>
    </row>
    <row r="166" spans="1:66">
      <c r="A166" t="s">
        <v>357</v>
      </c>
      <c r="B166" s="4" t="s">
        <v>133</v>
      </c>
      <c r="C166" s="4" t="s">
        <v>134</v>
      </c>
      <c r="D166" s="102" t="s">
        <v>435</v>
      </c>
      <c r="E166" t="s">
        <v>637</v>
      </c>
      <c r="F166" t="s">
        <v>578</v>
      </c>
      <c r="G166" t="s">
        <v>52</v>
      </c>
      <c r="H166" t="s">
        <v>579</v>
      </c>
      <c r="I166" t="s">
        <v>54</v>
      </c>
      <c r="K166" t="s">
        <v>339</v>
      </c>
      <c r="M166" t="s">
        <v>57</v>
      </c>
      <c r="N166" t="s">
        <v>133</v>
      </c>
      <c r="AU166" s="113">
        <v>46076</v>
      </c>
      <c r="AV166" s="113">
        <v>46101</v>
      </c>
      <c r="AW166" s="113">
        <v>46104</v>
      </c>
      <c r="AX166" s="113">
        <v>46129</v>
      </c>
      <c r="AZ166">
        <f t="shared" si="195"/>
        <v>0</v>
      </c>
      <c r="BA166">
        <f t="shared" si="196"/>
        <v>0</v>
      </c>
      <c r="BB166">
        <f t="shared" si="197"/>
        <v>0</v>
      </c>
      <c r="BC166">
        <f t="shared" si="198"/>
        <v>0</v>
      </c>
      <c r="BD166">
        <f t="shared" si="199"/>
        <v>0</v>
      </c>
      <c r="BE166">
        <f t="shared" si="200"/>
        <v>25</v>
      </c>
      <c r="BF166">
        <f t="shared" si="201"/>
        <v>25</v>
      </c>
      <c r="BH166" s="118">
        <f t="shared" si="202"/>
        <v>0</v>
      </c>
      <c r="BI166" s="118">
        <f t="shared" si="203"/>
        <v>0</v>
      </c>
      <c r="BJ166" s="118">
        <f t="shared" si="204"/>
        <v>0</v>
      </c>
      <c r="BK166" s="118">
        <f t="shared" si="205"/>
        <v>0</v>
      </c>
      <c r="BL166" s="118">
        <f t="shared" si="206"/>
        <v>46076</v>
      </c>
      <c r="BM166" s="118">
        <f t="shared" si="207"/>
        <v>3</v>
      </c>
      <c r="BN166">
        <v>163</v>
      </c>
    </row>
    <row r="167" spans="1:66">
      <c r="A167" t="s">
        <v>357</v>
      </c>
      <c r="B167" s="4" t="s">
        <v>133</v>
      </c>
      <c r="C167" s="4" t="s">
        <v>134</v>
      </c>
      <c r="D167" s="102" t="s">
        <v>435</v>
      </c>
      <c r="E167" t="s">
        <v>638</v>
      </c>
      <c r="F167" t="s">
        <v>578</v>
      </c>
      <c r="G167" t="s">
        <v>52</v>
      </c>
      <c r="H167" t="s">
        <v>579</v>
      </c>
      <c r="I167" t="s">
        <v>54</v>
      </c>
      <c r="K167" t="s">
        <v>339</v>
      </c>
      <c r="M167" t="s">
        <v>57</v>
      </c>
      <c r="N167" t="s">
        <v>133</v>
      </c>
      <c r="AU167" s="113">
        <v>46076</v>
      </c>
      <c r="AV167" s="113">
        <v>46101</v>
      </c>
      <c r="AW167" s="113">
        <v>46104</v>
      </c>
      <c r="AX167" s="113">
        <v>46129</v>
      </c>
      <c r="AZ167">
        <f t="shared" si="195"/>
        <v>0</v>
      </c>
      <c r="BA167">
        <f t="shared" si="196"/>
        <v>0</v>
      </c>
      <c r="BB167">
        <f t="shared" si="197"/>
        <v>0</v>
      </c>
      <c r="BC167">
        <f t="shared" si="198"/>
        <v>0</v>
      </c>
      <c r="BD167">
        <f t="shared" si="199"/>
        <v>0</v>
      </c>
      <c r="BE167">
        <f t="shared" si="200"/>
        <v>25</v>
      </c>
      <c r="BF167">
        <f t="shared" si="201"/>
        <v>25</v>
      </c>
      <c r="BH167" s="118">
        <f t="shared" si="202"/>
        <v>0</v>
      </c>
      <c r="BI167" s="118">
        <f t="shared" si="203"/>
        <v>0</v>
      </c>
      <c r="BJ167" s="118">
        <f t="shared" si="204"/>
        <v>0</v>
      </c>
      <c r="BK167" s="118">
        <f t="shared" si="205"/>
        <v>0</v>
      </c>
      <c r="BL167" s="118">
        <f t="shared" si="206"/>
        <v>46076</v>
      </c>
      <c r="BM167" s="118">
        <f t="shared" si="207"/>
        <v>3</v>
      </c>
      <c r="BN167">
        <v>164</v>
      </c>
    </row>
    <row r="168" spans="1:66">
      <c r="A168" t="s">
        <v>357</v>
      </c>
      <c r="B168" s="4" t="s">
        <v>133</v>
      </c>
      <c r="C168" s="4" t="s">
        <v>134</v>
      </c>
      <c r="D168" s="102" t="s">
        <v>435</v>
      </c>
      <c r="E168" t="s">
        <v>639</v>
      </c>
      <c r="F168" t="s">
        <v>578</v>
      </c>
      <c r="G168" t="s">
        <v>52</v>
      </c>
      <c r="H168" t="s">
        <v>579</v>
      </c>
      <c r="I168" t="s">
        <v>54</v>
      </c>
      <c r="K168" t="s">
        <v>339</v>
      </c>
      <c r="M168" t="s">
        <v>57</v>
      </c>
      <c r="N168" t="s">
        <v>133</v>
      </c>
      <c r="AU168" s="113">
        <v>46076</v>
      </c>
      <c r="AV168" s="113">
        <v>46101</v>
      </c>
      <c r="AW168" s="113">
        <v>46104</v>
      </c>
      <c r="AX168" s="113">
        <v>46129</v>
      </c>
      <c r="AZ168">
        <f t="shared" si="195"/>
        <v>0</v>
      </c>
      <c r="BA168">
        <f t="shared" si="196"/>
        <v>0</v>
      </c>
      <c r="BB168">
        <f t="shared" si="197"/>
        <v>0</v>
      </c>
      <c r="BC168">
        <f t="shared" si="198"/>
        <v>0</v>
      </c>
      <c r="BD168">
        <f t="shared" si="199"/>
        <v>0</v>
      </c>
      <c r="BE168">
        <f t="shared" si="200"/>
        <v>25</v>
      </c>
      <c r="BF168">
        <f t="shared" si="201"/>
        <v>25</v>
      </c>
      <c r="BH168" s="118">
        <f t="shared" si="202"/>
        <v>0</v>
      </c>
      <c r="BI168" s="118">
        <f t="shared" si="203"/>
        <v>0</v>
      </c>
      <c r="BJ168" s="118">
        <f t="shared" si="204"/>
        <v>0</v>
      </c>
      <c r="BK168" s="118">
        <f t="shared" si="205"/>
        <v>0</v>
      </c>
      <c r="BL168" s="118">
        <f t="shared" si="206"/>
        <v>46076</v>
      </c>
      <c r="BM168" s="118">
        <f t="shared" si="207"/>
        <v>3</v>
      </c>
      <c r="BN168">
        <v>165</v>
      </c>
    </row>
    <row r="169" spans="1:66">
      <c r="A169" t="s">
        <v>357</v>
      </c>
      <c r="B169" s="4" t="s">
        <v>133</v>
      </c>
      <c r="C169" s="4" t="s">
        <v>134</v>
      </c>
      <c r="D169" s="102" t="s">
        <v>435</v>
      </c>
      <c r="E169" t="s">
        <v>640</v>
      </c>
      <c r="F169" t="s">
        <v>578</v>
      </c>
      <c r="G169" t="s">
        <v>52</v>
      </c>
      <c r="H169" t="s">
        <v>579</v>
      </c>
      <c r="I169" t="s">
        <v>54</v>
      </c>
      <c r="K169" t="s">
        <v>339</v>
      </c>
      <c r="M169" t="s">
        <v>57</v>
      </c>
      <c r="N169" t="s">
        <v>133</v>
      </c>
      <c r="AU169" s="113">
        <v>46076</v>
      </c>
      <c r="AV169" s="113">
        <v>46101</v>
      </c>
      <c r="AW169" s="113">
        <v>46104</v>
      </c>
      <c r="AX169" s="113">
        <v>46129</v>
      </c>
      <c r="AZ169">
        <f t="shared" si="195"/>
        <v>0</v>
      </c>
      <c r="BA169">
        <f t="shared" si="196"/>
        <v>0</v>
      </c>
      <c r="BB169">
        <f t="shared" si="197"/>
        <v>0</v>
      </c>
      <c r="BC169">
        <f t="shared" si="198"/>
        <v>0</v>
      </c>
      <c r="BD169">
        <f t="shared" si="199"/>
        <v>0</v>
      </c>
      <c r="BE169">
        <f t="shared" si="200"/>
        <v>25</v>
      </c>
      <c r="BF169">
        <f t="shared" si="201"/>
        <v>25</v>
      </c>
      <c r="BH169" s="118">
        <f t="shared" si="202"/>
        <v>0</v>
      </c>
      <c r="BI169" s="118">
        <f t="shared" si="203"/>
        <v>0</v>
      </c>
      <c r="BJ169" s="118">
        <f t="shared" si="204"/>
        <v>0</v>
      </c>
      <c r="BK169" s="118">
        <f t="shared" si="205"/>
        <v>0</v>
      </c>
      <c r="BL169" s="118">
        <f t="shared" si="206"/>
        <v>46076</v>
      </c>
      <c r="BM169" s="118">
        <f t="shared" si="207"/>
        <v>3</v>
      </c>
      <c r="BN169">
        <v>166</v>
      </c>
    </row>
    <row r="170" spans="1:66">
      <c r="A170" t="s">
        <v>357</v>
      </c>
      <c r="B170" s="4" t="s">
        <v>133</v>
      </c>
      <c r="C170" s="4" t="s">
        <v>134</v>
      </c>
      <c r="D170" s="102" t="s">
        <v>435</v>
      </c>
      <c r="E170" t="s">
        <v>641</v>
      </c>
      <c r="F170" t="s">
        <v>578</v>
      </c>
      <c r="G170" t="s">
        <v>52</v>
      </c>
      <c r="H170" t="s">
        <v>579</v>
      </c>
      <c r="I170" t="s">
        <v>54</v>
      </c>
      <c r="K170" t="s">
        <v>339</v>
      </c>
      <c r="M170" t="s">
        <v>57</v>
      </c>
      <c r="N170" t="s">
        <v>133</v>
      </c>
      <c r="AU170" s="113">
        <v>46076</v>
      </c>
      <c r="AV170" s="113">
        <v>46101</v>
      </c>
      <c r="AW170" s="113">
        <v>46104</v>
      </c>
      <c r="AX170" s="113">
        <v>46129</v>
      </c>
      <c r="AZ170">
        <f t="shared" si="195"/>
        <v>0</v>
      </c>
      <c r="BA170">
        <f t="shared" si="196"/>
        <v>0</v>
      </c>
      <c r="BB170">
        <f t="shared" si="197"/>
        <v>0</v>
      </c>
      <c r="BC170">
        <f t="shared" si="198"/>
        <v>0</v>
      </c>
      <c r="BD170">
        <f t="shared" si="199"/>
        <v>0</v>
      </c>
      <c r="BE170">
        <f t="shared" si="200"/>
        <v>25</v>
      </c>
      <c r="BF170">
        <f t="shared" si="201"/>
        <v>25</v>
      </c>
      <c r="BH170" s="118">
        <f t="shared" si="202"/>
        <v>0</v>
      </c>
      <c r="BI170" s="118">
        <f t="shared" si="203"/>
        <v>0</v>
      </c>
      <c r="BJ170" s="118">
        <f t="shared" si="204"/>
        <v>0</v>
      </c>
      <c r="BK170" s="118">
        <f t="shared" si="205"/>
        <v>0</v>
      </c>
      <c r="BL170" s="118">
        <f t="shared" si="206"/>
        <v>46076</v>
      </c>
      <c r="BM170" s="118">
        <f t="shared" si="207"/>
        <v>3</v>
      </c>
      <c r="BN170">
        <v>167</v>
      </c>
    </row>
    <row r="171" spans="1:66">
      <c r="A171" t="s">
        <v>357</v>
      </c>
      <c r="B171" s="4" t="s">
        <v>133</v>
      </c>
      <c r="C171" s="4" t="s">
        <v>134</v>
      </c>
      <c r="D171" s="102" t="s">
        <v>435</v>
      </c>
      <c r="E171" t="s">
        <v>642</v>
      </c>
      <c r="F171" t="s">
        <v>578</v>
      </c>
      <c r="G171" t="s">
        <v>52</v>
      </c>
      <c r="H171" t="s">
        <v>579</v>
      </c>
      <c r="I171" t="s">
        <v>54</v>
      </c>
      <c r="K171" t="s">
        <v>339</v>
      </c>
      <c r="M171" t="s">
        <v>57</v>
      </c>
      <c r="N171" t="s">
        <v>133</v>
      </c>
      <c r="AU171" s="113">
        <v>46076</v>
      </c>
      <c r="AV171" s="113">
        <v>46101</v>
      </c>
      <c r="AW171" s="113">
        <v>46104</v>
      </c>
      <c r="AX171" s="113">
        <v>46129</v>
      </c>
      <c r="AZ171">
        <f t="shared" si="195"/>
        <v>0</v>
      </c>
      <c r="BA171">
        <f t="shared" si="196"/>
        <v>0</v>
      </c>
      <c r="BB171">
        <f t="shared" si="197"/>
        <v>0</v>
      </c>
      <c r="BC171">
        <f t="shared" si="198"/>
        <v>0</v>
      </c>
      <c r="BD171">
        <f t="shared" si="199"/>
        <v>0</v>
      </c>
      <c r="BE171">
        <f t="shared" si="200"/>
        <v>25</v>
      </c>
      <c r="BF171">
        <f t="shared" si="201"/>
        <v>25</v>
      </c>
      <c r="BH171" s="118">
        <f t="shared" si="202"/>
        <v>0</v>
      </c>
      <c r="BI171" s="118">
        <f t="shared" si="203"/>
        <v>0</v>
      </c>
      <c r="BJ171" s="118">
        <f t="shared" si="204"/>
        <v>0</v>
      </c>
      <c r="BK171" s="118">
        <f t="shared" si="205"/>
        <v>0</v>
      </c>
      <c r="BL171" s="118">
        <f t="shared" si="206"/>
        <v>46076</v>
      </c>
      <c r="BM171" s="118">
        <f t="shared" si="207"/>
        <v>3</v>
      </c>
      <c r="BN171">
        <v>168</v>
      </c>
    </row>
    <row r="172" spans="1:66">
      <c r="A172" t="s">
        <v>357</v>
      </c>
      <c r="B172" s="4" t="s">
        <v>133</v>
      </c>
      <c r="C172" s="4" t="s">
        <v>134</v>
      </c>
      <c r="D172" s="102" t="s">
        <v>435</v>
      </c>
      <c r="E172" t="s">
        <v>633</v>
      </c>
      <c r="F172" t="s">
        <v>590</v>
      </c>
      <c r="G172" t="s">
        <v>52</v>
      </c>
      <c r="H172" t="s">
        <v>579</v>
      </c>
      <c r="I172" t="s">
        <v>54</v>
      </c>
      <c r="K172" t="s">
        <v>339</v>
      </c>
      <c r="M172" t="s">
        <v>57</v>
      </c>
      <c r="N172" t="s">
        <v>133</v>
      </c>
      <c r="AU172" s="113">
        <v>46076</v>
      </c>
      <c r="AV172" s="113">
        <v>46101</v>
      </c>
      <c r="AW172" s="113">
        <v>46104</v>
      </c>
      <c r="AX172" s="113">
        <v>46129</v>
      </c>
      <c r="AZ172">
        <f t="shared" si="195"/>
        <v>0</v>
      </c>
      <c r="BA172">
        <f t="shared" si="196"/>
        <v>0</v>
      </c>
      <c r="BB172">
        <f t="shared" si="197"/>
        <v>0</v>
      </c>
      <c r="BC172">
        <f t="shared" si="198"/>
        <v>0</v>
      </c>
      <c r="BD172">
        <f t="shared" si="199"/>
        <v>0</v>
      </c>
      <c r="BE172">
        <f t="shared" si="200"/>
        <v>25</v>
      </c>
      <c r="BF172">
        <f t="shared" si="201"/>
        <v>25</v>
      </c>
      <c r="BH172" s="118">
        <f t="shared" si="202"/>
        <v>0</v>
      </c>
      <c r="BI172" s="118">
        <f t="shared" si="203"/>
        <v>0</v>
      </c>
      <c r="BJ172" s="118">
        <f t="shared" si="204"/>
        <v>0</v>
      </c>
      <c r="BK172" s="118">
        <f t="shared" si="205"/>
        <v>0</v>
      </c>
      <c r="BL172" s="118">
        <f t="shared" si="206"/>
        <v>46076</v>
      </c>
      <c r="BM172" s="118">
        <f t="shared" si="207"/>
        <v>3</v>
      </c>
      <c r="BN172">
        <v>169</v>
      </c>
    </row>
    <row r="173" spans="1:66">
      <c r="A173" t="s">
        <v>357</v>
      </c>
      <c r="B173" s="4" t="s">
        <v>133</v>
      </c>
      <c r="C173" s="4" t="s">
        <v>134</v>
      </c>
      <c r="D173" s="102" t="s">
        <v>435</v>
      </c>
      <c r="E173" t="s">
        <v>634</v>
      </c>
      <c r="F173" t="s">
        <v>590</v>
      </c>
      <c r="G173" t="s">
        <v>52</v>
      </c>
      <c r="H173" t="s">
        <v>579</v>
      </c>
      <c r="I173" t="s">
        <v>54</v>
      </c>
      <c r="K173" t="s">
        <v>339</v>
      </c>
      <c r="M173" t="s">
        <v>57</v>
      </c>
      <c r="N173" t="s">
        <v>133</v>
      </c>
      <c r="AU173" s="113">
        <v>46076</v>
      </c>
      <c r="AV173" s="113">
        <v>46101</v>
      </c>
      <c r="AW173" s="113">
        <v>46104</v>
      </c>
      <c r="AX173" s="113">
        <v>46129</v>
      </c>
      <c r="AZ173">
        <f t="shared" si="195"/>
        <v>0</v>
      </c>
      <c r="BA173">
        <f t="shared" si="196"/>
        <v>0</v>
      </c>
      <c r="BB173">
        <f t="shared" si="197"/>
        <v>0</v>
      </c>
      <c r="BC173">
        <f t="shared" si="198"/>
        <v>0</v>
      </c>
      <c r="BD173">
        <f t="shared" si="199"/>
        <v>0</v>
      </c>
      <c r="BE173">
        <f t="shared" si="200"/>
        <v>25</v>
      </c>
      <c r="BF173">
        <f t="shared" si="201"/>
        <v>25</v>
      </c>
      <c r="BH173" s="118">
        <f t="shared" si="202"/>
        <v>0</v>
      </c>
      <c r="BI173" s="118">
        <f t="shared" si="203"/>
        <v>0</v>
      </c>
      <c r="BJ173" s="118">
        <f t="shared" si="204"/>
        <v>0</v>
      </c>
      <c r="BK173" s="118">
        <f t="shared" si="205"/>
        <v>0</v>
      </c>
      <c r="BL173" s="118">
        <f t="shared" si="206"/>
        <v>46076</v>
      </c>
      <c r="BM173" s="118">
        <f t="shared" si="207"/>
        <v>3</v>
      </c>
      <c r="BN173">
        <v>170</v>
      </c>
    </row>
    <row r="174" spans="1:66">
      <c r="A174" t="s">
        <v>357</v>
      </c>
      <c r="B174" s="4" t="s">
        <v>133</v>
      </c>
      <c r="C174" s="4" t="s">
        <v>134</v>
      </c>
      <c r="D174" s="102" t="s">
        <v>435</v>
      </c>
      <c r="E174" t="s">
        <v>635</v>
      </c>
      <c r="F174" t="s">
        <v>590</v>
      </c>
      <c r="G174" t="s">
        <v>52</v>
      </c>
      <c r="H174" t="s">
        <v>579</v>
      </c>
      <c r="I174" t="s">
        <v>54</v>
      </c>
      <c r="K174" t="s">
        <v>339</v>
      </c>
      <c r="M174" t="s">
        <v>57</v>
      </c>
      <c r="N174" t="s">
        <v>133</v>
      </c>
      <c r="AU174" s="113">
        <v>46076</v>
      </c>
      <c r="AV174" s="113">
        <v>46101</v>
      </c>
      <c r="AW174" s="113">
        <v>46104</v>
      </c>
      <c r="AX174" s="113">
        <v>46129</v>
      </c>
      <c r="AZ174">
        <f t="shared" si="195"/>
        <v>0</v>
      </c>
      <c r="BA174">
        <f t="shared" si="196"/>
        <v>0</v>
      </c>
      <c r="BB174">
        <f t="shared" si="197"/>
        <v>0</v>
      </c>
      <c r="BC174">
        <f t="shared" si="198"/>
        <v>0</v>
      </c>
      <c r="BD174">
        <f t="shared" si="199"/>
        <v>0</v>
      </c>
      <c r="BE174">
        <f t="shared" si="200"/>
        <v>25</v>
      </c>
      <c r="BF174">
        <f t="shared" si="201"/>
        <v>25</v>
      </c>
      <c r="BH174" s="118">
        <f t="shared" si="202"/>
        <v>0</v>
      </c>
      <c r="BI174" s="118">
        <f t="shared" si="203"/>
        <v>0</v>
      </c>
      <c r="BJ174" s="118">
        <f t="shared" si="204"/>
        <v>0</v>
      </c>
      <c r="BK174" s="118">
        <f t="shared" si="205"/>
        <v>0</v>
      </c>
      <c r="BL174" s="118">
        <f t="shared" si="206"/>
        <v>46076</v>
      </c>
      <c r="BM174" s="118">
        <f t="shared" si="207"/>
        <v>3</v>
      </c>
      <c r="BN174">
        <v>171</v>
      </c>
    </row>
    <row r="175" spans="1:66">
      <c r="A175" t="s">
        <v>357</v>
      </c>
      <c r="B175" s="4" t="s">
        <v>133</v>
      </c>
      <c r="C175" s="4" t="s">
        <v>134</v>
      </c>
      <c r="D175" s="102" t="s">
        <v>435</v>
      </c>
      <c r="E175" t="s">
        <v>636</v>
      </c>
      <c r="F175" t="s">
        <v>590</v>
      </c>
      <c r="G175" t="s">
        <v>52</v>
      </c>
      <c r="H175" t="s">
        <v>579</v>
      </c>
      <c r="I175" t="s">
        <v>54</v>
      </c>
      <c r="K175" t="s">
        <v>339</v>
      </c>
      <c r="M175" t="s">
        <v>57</v>
      </c>
      <c r="N175" t="s">
        <v>133</v>
      </c>
      <c r="AU175" s="113">
        <v>46076</v>
      </c>
      <c r="AV175" s="113">
        <v>46101</v>
      </c>
      <c r="AW175" s="113">
        <v>46104</v>
      </c>
      <c r="AX175" s="113">
        <v>46129</v>
      </c>
      <c r="AZ175">
        <f t="shared" si="195"/>
        <v>0</v>
      </c>
      <c r="BA175">
        <f t="shared" si="196"/>
        <v>0</v>
      </c>
      <c r="BB175">
        <f t="shared" si="197"/>
        <v>0</v>
      </c>
      <c r="BC175">
        <f t="shared" si="198"/>
        <v>0</v>
      </c>
      <c r="BD175">
        <f t="shared" si="199"/>
        <v>0</v>
      </c>
      <c r="BE175">
        <f t="shared" si="200"/>
        <v>25</v>
      </c>
      <c r="BF175">
        <f t="shared" si="201"/>
        <v>25</v>
      </c>
      <c r="BH175" s="118">
        <f t="shared" si="202"/>
        <v>0</v>
      </c>
      <c r="BI175" s="118">
        <f t="shared" si="203"/>
        <v>0</v>
      </c>
      <c r="BJ175" s="118">
        <f t="shared" si="204"/>
        <v>0</v>
      </c>
      <c r="BK175" s="118">
        <f t="shared" si="205"/>
        <v>0</v>
      </c>
      <c r="BL175" s="118">
        <f t="shared" si="206"/>
        <v>46076</v>
      </c>
      <c r="BM175" s="118">
        <f t="shared" si="207"/>
        <v>3</v>
      </c>
      <c r="BN175">
        <v>172</v>
      </c>
    </row>
    <row r="176" spans="1:66">
      <c r="A176" t="s">
        <v>357</v>
      </c>
      <c r="B176" s="4" t="s">
        <v>133</v>
      </c>
      <c r="C176" s="4" t="s">
        <v>134</v>
      </c>
      <c r="D176" s="102" t="s">
        <v>435</v>
      </c>
      <c r="E176" t="s">
        <v>637</v>
      </c>
      <c r="F176" t="s">
        <v>590</v>
      </c>
      <c r="G176" t="s">
        <v>52</v>
      </c>
      <c r="H176" t="s">
        <v>579</v>
      </c>
      <c r="I176" t="s">
        <v>54</v>
      </c>
      <c r="K176" t="s">
        <v>339</v>
      </c>
      <c r="M176" t="s">
        <v>57</v>
      </c>
      <c r="N176" t="s">
        <v>133</v>
      </c>
      <c r="AU176" s="113">
        <v>46076</v>
      </c>
      <c r="AV176" s="113">
        <v>46101</v>
      </c>
      <c r="AW176" s="113">
        <v>46104</v>
      </c>
      <c r="AX176" s="113">
        <v>46129</v>
      </c>
      <c r="AZ176">
        <f t="shared" si="195"/>
        <v>0</v>
      </c>
      <c r="BA176">
        <f t="shared" si="196"/>
        <v>0</v>
      </c>
      <c r="BB176">
        <f t="shared" si="197"/>
        <v>0</v>
      </c>
      <c r="BC176">
        <f t="shared" si="198"/>
        <v>0</v>
      </c>
      <c r="BD176">
        <f t="shared" si="199"/>
        <v>0</v>
      </c>
      <c r="BE176">
        <f t="shared" si="200"/>
        <v>25</v>
      </c>
      <c r="BF176">
        <f t="shared" si="201"/>
        <v>25</v>
      </c>
      <c r="BH176" s="118">
        <f t="shared" si="202"/>
        <v>0</v>
      </c>
      <c r="BI176" s="118">
        <f t="shared" si="203"/>
        <v>0</v>
      </c>
      <c r="BJ176" s="118">
        <f t="shared" si="204"/>
        <v>0</v>
      </c>
      <c r="BK176" s="118">
        <f t="shared" si="205"/>
        <v>0</v>
      </c>
      <c r="BL176" s="118">
        <f t="shared" si="206"/>
        <v>46076</v>
      </c>
      <c r="BM176" s="118">
        <f t="shared" si="207"/>
        <v>3</v>
      </c>
      <c r="BN176">
        <v>173</v>
      </c>
    </row>
    <row r="177" spans="1:66">
      <c r="A177" t="s">
        <v>357</v>
      </c>
      <c r="B177" s="4" t="s">
        <v>133</v>
      </c>
      <c r="C177" s="4" t="s">
        <v>134</v>
      </c>
      <c r="D177" s="102" t="s">
        <v>435</v>
      </c>
      <c r="E177" t="s">
        <v>638</v>
      </c>
      <c r="F177" t="s">
        <v>590</v>
      </c>
      <c r="G177" t="s">
        <v>52</v>
      </c>
      <c r="H177" t="s">
        <v>579</v>
      </c>
      <c r="I177" t="s">
        <v>54</v>
      </c>
      <c r="K177" t="s">
        <v>339</v>
      </c>
      <c r="M177" t="s">
        <v>57</v>
      </c>
      <c r="N177" t="s">
        <v>133</v>
      </c>
      <c r="AU177" s="113">
        <v>46076</v>
      </c>
      <c r="AV177" s="113">
        <v>46101</v>
      </c>
      <c r="AW177" s="113">
        <v>46104</v>
      </c>
      <c r="AX177" s="113">
        <v>46129</v>
      </c>
      <c r="AZ177">
        <f t="shared" si="195"/>
        <v>0</v>
      </c>
      <c r="BA177">
        <f t="shared" si="196"/>
        <v>0</v>
      </c>
      <c r="BB177">
        <f t="shared" si="197"/>
        <v>0</v>
      </c>
      <c r="BC177">
        <f t="shared" si="198"/>
        <v>0</v>
      </c>
      <c r="BD177">
        <f t="shared" si="199"/>
        <v>0</v>
      </c>
      <c r="BE177">
        <f t="shared" si="200"/>
        <v>25</v>
      </c>
      <c r="BF177">
        <f t="shared" si="201"/>
        <v>25</v>
      </c>
      <c r="BH177" s="118">
        <f t="shared" si="202"/>
        <v>0</v>
      </c>
      <c r="BI177" s="118">
        <f t="shared" si="203"/>
        <v>0</v>
      </c>
      <c r="BJ177" s="118">
        <f t="shared" si="204"/>
        <v>0</v>
      </c>
      <c r="BK177" s="118">
        <f t="shared" si="205"/>
        <v>0</v>
      </c>
      <c r="BL177" s="118">
        <f t="shared" si="206"/>
        <v>46076</v>
      </c>
      <c r="BM177" s="118">
        <f t="shared" si="207"/>
        <v>3</v>
      </c>
      <c r="BN177">
        <v>174</v>
      </c>
    </row>
    <row r="178" spans="1:66">
      <c r="A178" t="s">
        <v>357</v>
      </c>
      <c r="B178" s="4" t="s">
        <v>133</v>
      </c>
      <c r="C178" s="4" t="s">
        <v>134</v>
      </c>
      <c r="D178" s="102" t="s">
        <v>435</v>
      </c>
      <c r="E178" t="s">
        <v>639</v>
      </c>
      <c r="F178" t="s">
        <v>590</v>
      </c>
      <c r="G178" t="s">
        <v>52</v>
      </c>
      <c r="H178" t="s">
        <v>579</v>
      </c>
      <c r="I178" t="s">
        <v>54</v>
      </c>
      <c r="K178" t="s">
        <v>339</v>
      </c>
      <c r="M178" t="s">
        <v>57</v>
      </c>
      <c r="N178" t="s">
        <v>133</v>
      </c>
      <c r="AU178" s="113">
        <v>46076</v>
      </c>
      <c r="AV178" s="113">
        <v>46101</v>
      </c>
      <c r="AW178" s="113">
        <v>46104</v>
      </c>
      <c r="AX178" s="113">
        <v>46129</v>
      </c>
      <c r="AZ178">
        <f t="shared" si="195"/>
        <v>0</v>
      </c>
      <c r="BA178">
        <f t="shared" si="196"/>
        <v>0</v>
      </c>
      <c r="BB178">
        <f t="shared" si="197"/>
        <v>0</v>
      </c>
      <c r="BC178">
        <f t="shared" si="198"/>
        <v>0</v>
      </c>
      <c r="BD178">
        <f t="shared" si="199"/>
        <v>0</v>
      </c>
      <c r="BE178">
        <f t="shared" si="200"/>
        <v>25</v>
      </c>
      <c r="BF178">
        <f t="shared" si="201"/>
        <v>25</v>
      </c>
      <c r="BH178" s="118">
        <f t="shared" si="202"/>
        <v>0</v>
      </c>
      <c r="BI178" s="118">
        <f t="shared" si="203"/>
        <v>0</v>
      </c>
      <c r="BJ178" s="118">
        <f t="shared" si="204"/>
        <v>0</v>
      </c>
      <c r="BK178" s="118">
        <f t="shared" si="205"/>
        <v>0</v>
      </c>
      <c r="BL178" s="118">
        <f t="shared" si="206"/>
        <v>46076</v>
      </c>
      <c r="BM178" s="118">
        <f t="shared" si="207"/>
        <v>3</v>
      </c>
      <c r="BN178">
        <v>175</v>
      </c>
    </row>
    <row r="179" spans="1:66">
      <c r="A179" t="s">
        <v>357</v>
      </c>
      <c r="B179" s="4" t="s">
        <v>133</v>
      </c>
      <c r="C179" s="4" t="s">
        <v>134</v>
      </c>
      <c r="D179" s="102" t="s">
        <v>435</v>
      </c>
      <c r="E179" t="s">
        <v>640</v>
      </c>
      <c r="F179" t="s">
        <v>590</v>
      </c>
      <c r="G179" t="s">
        <v>52</v>
      </c>
      <c r="H179" t="s">
        <v>579</v>
      </c>
      <c r="I179" t="s">
        <v>54</v>
      </c>
      <c r="K179" t="s">
        <v>339</v>
      </c>
      <c r="M179" t="s">
        <v>57</v>
      </c>
      <c r="N179" t="s">
        <v>133</v>
      </c>
      <c r="AU179" s="113">
        <v>46076</v>
      </c>
      <c r="AV179" s="113">
        <v>46101</v>
      </c>
      <c r="AW179" s="113">
        <v>46104</v>
      </c>
      <c r="AX179" s="113">
        <v>46129</v>
      </c>
      <c r="AZ179">
        <f t="shared" si="195"/>
        <v>0</v>
      </c>
      <c r="BA179">
        <f t="shared" si="196"/>
        <v>0</v>
      </c>
      <c r="BB179">
        <f t="shared" si="197"/>
        <v>0</v>
      </c>
      <c r="BC179">
        <f t="shared" si="198"/>
        <v>0</v>
      </c>
      <c r="BD179">
        <f t="shared" si="199"/>
        <v>0</v>
      </c>
      <c r="BE179">
        <f t="shared" si="200"/>
        <v>25</v>
      </c>
      <c r="BF179">
        <f t="shared" si="201"/>
        <v>25</v>
      </c>
      <c r="BH179" s="118">
        <f t="shared" si="202"/>
        <v>0</v>
      </c>
      <c r="BI179" s="118">
        <f t="shared" si="203"/>
        <v>0</v>
      </c>
      <c r="BJ179" s="118">
        <f t="shared" si="204"/>
        <v>0</v>
      </c>
      <c r="BK179" s="118">
        <f t="shared" si="205"/>
        <v>0</v>
      </c>
      <c r="BL179" s="118">
        <f t="shared" si="206"/>
        <v>46076</v>
      </c>
      <c r="BM179" s="118">
        <f t="shared" si="207"/>
        <v>3</v>
      </c>
      <c r="BN179">
        <v>176</v>
      </c>
    </row>
    <row r="180" spans="1:66">
      <c r="A180" t="s">
        <v>357</v>
      </c>
      <c r="B180" s="4" t="s">
        <v>133</v>
      </c>
      <c r="C180" s="4" t="s">
        <v>134</v>
      </c>
      <c r="D180" s="102" t="s">
        <v>435</v>
      </c>
      <c r="E180" t="s">
        <v>641</v>
      </c>
      <c r="F180" t="s">
        <v>590</v>
      </c>
      <c r="G180" t="s">
        <v>52</v>
      </c>
      <c r="H180" t="s">
        <v>579</v>
      </c>
      <c r="I180" t="s">
        <v>54</v>
      </c>
      <c r="K180" t="s">
        <v>339</v>
      </c>
      <c r="M180" t="s">
        <v>57</v>
      </c>
      <c r="N180" t="s">
        <v>133</v>
      </c>
      <c r="AU180" s="113">
        <v>46076</v>
      </c>
      <c r="AV180" s="113">
        <v>46101</v>
      </c>
      <c r="AW180" s="113">
        <v>46104</v>
      </c>
      <c r="AX180" s="113">
        <v>46129</v>
      </c>
      <c r="AZ180">
        <f t="shared" si="195"/>
        <v>0</v>
      </c>
      <c r="BA180">
        <f t="shared" si="196"/>
        <v>0</v>
      </c>
      <c r="BB180">
        <f t="shared" si="197"/>
        <v>0</v>
      </c>
      <c r="BC180">
        <f t="shared" si="198"/>
        <v>0</v>
      </c>
      <c r="BD180">
        <f t="shared" si="199"/>
        <v>0</v>
      </c>
      <c r="BE180">
        <f t="shared" si="200"/>
        <v>25</v>
      </c>
      <c r="BF180">
        <f t="shared" si="201"/>
        <v>25</v>
      </c>
      <c r="BH180" s="118">
        <f t="shared" si="202"/>
        <v>0</v>
      </c>
      <c r="BI180" s="118">
        <f t="shared" si="203"/>
        <v>0</v>
      </c>
      <c r="BJ180" s="118">
        <f t="shared" si="204"/>
        <v>0</v>
      </c>
      <c r="BK180" s="118">
        <f t="shared" si="205"/>
        <v>0</v>
      </c>
      <c r="BL180" s="118">
        <f t="shared" si="206"/>
        <v>46076</v>
      </c>
      <c r="BM180" s="118">
        <f t="shared" si="207"/>
        <v>3</v>
      </c>
      <c r="BN180">
        <v>177</v>
      </c>
    </row>
    <row r="181" spans="1:66">
      <c r="A181" t="s">
        <v>357</v>
      </c>
      <c r="B181" s="4" t="s">
        <v>133</v>
      </c>
      <c r="C181" s="4" t="s">
        <v>134</v>
      </c>
      <c r="D181" s="102" t="s">
        <v>435</v>
      </c>
      <c r="E181" t="s">
        <v>642</v>
      </c>
      <c r="F181" t="s">
        <v>590</v>
      </c>
      <c r="G181" t="s">
        <v>52</v>
      </c>
      <c r="H181" t="s">
        <v>579</v>
      </c>
      <c r="I181" t="s">
        <v>54</v>
      </c>
      <c r="K181" t="s">
        <v>339</v>
      </c>
      <c r="M181" t="s">
        <v>57</v>
      </c>
      <c r="N181" t="s">
        <v>133</v>
      </c>
      <c r="AU181" s="113">
        <v>46076</v>
      </c>
      <c r="AV181" s="113">
        <v>46101</v>
      </c>
      <c r="AW181" s="113">
        <v>46104</v>
      </c>
      <c r="AX181" s="113">
        <v>46129</v>
      </c>
      <c r="AZ181">
        <f t="shared" si="195"/>
        <v>0</v>
      </c>
      <c r="BA181">
        <f t="shared" si="196"/>
        <v>0</v>
      </c>
      <c r="BB181">
        <f t="shared" si="197"/>
        <v>0</v>
      </c>
      <c r="BC181">
        <f t="shared" si="198"/>
        <v>0</v>
      </c>
      <c r="BD181">
        <f t="shared" si="199"/>
        <v>0</v>
      </c>
      <c r="BE181">
        <f t="shared" si="200"/>
        <v>25</v>
      </c>
      <c r="BF181">
        <f t="shared" si="201"/>
        <v>25</v>
      </c>
      <c r="BH181" s="118">
        <f t="shared" si="202"/>
        <v>0</v>
      </c>
      <c r="BI181" s="118">
        <f t="shared" si="203"/>
        <v>0</v>
      </c>
      <c r="BJ181" s="118">
        <f t="shared" si="204"/>
        <v>0</v>
      </c>
      <c r="BK181" s="118">
        <f t="shared" si="205"/>
        <v>0</v>
      </c>
      <c r="BL181" s="118">
        <f t="shared" si="206"/>
        <v>46076</v>
      </c>
      <c r="BM181" s="118">
        <f t="shared" si="207"/>
        <v>3</v>
      </c>
      <c r="BN181">
        <v>178</v>
      </c>
    </row>
    <row r="182" spans="1:66">
      <c r="A182" t="s">
        <v>357</v>
      </c>
      <c r="B182" s="4" t="s">
        <v>133</v>
      </c>
      <c r="C182" s="4" t="s">
        <v>134</v>
      </c>
      <c r="D182" s="102" t="s">
        <v>435</v>
      </c>
      <c r="E182" t="s">
        <v>643</v>
      </c>
      <c r="F182" t="s">
        <v>601</v>
      </c>
      <c r="G182" t="s">
        <v>52</v>
      </c>
      <c r="H182" t="s">
        <v>579</v>
      </c>
      <c r="I182" t="s">
        <v>54</v>
      </c>
      <c r="K182" t="s">
        <v>339</v>
      </c>
      <c r="M182" t="s">
        <v>57</v>
      </c>
      <c r="N182" t="s">
        <v>133</v>
      </c>
      <c r="AU182" s="113">
        <v>46076</v>
      </c>
      <c r="AV182" s="113">
        <v>46101</v>
      </c>
      <c r="AW182" s="113">
        <v>46104</v>
      </c>
      <c r="AX182" s="113">
        <v>46129</v>
      </c>
      <c r="AZ182">
        <f t="shared" si="195"/>
        <v>0</v>
      </c>
      <c r="BA182">
        <f t="shared" si="196"/>
        <v>0</v>
      </c>
      <c r="BB182">
        <f t="shared" si="197"/>
        <v>0</v>
      </c>
      <c r="BC182">
        <f t="shared" si="198"/>
        <v>0</v>
      </c>
      <c r="BD182">
        <f t="shared" si="199"/>
        <v>0</v>
      </c>
      <c r="BE182">
        <f t="shared" si="200"/>
        <v>25</v>
      </c>
      <c r="BF182">
        <f t="shared" si="201"/>
        <v>25</v>
      </c>
      <c r="BH182" s="118">
        <f t="shared" si="202"/>
        <v>0</v>
      </c>
      <c r="BI182" s="118">
        <f t="shared" si="203"/>
        <v>0</v>
      </c>
      <c r="BJ182" s="118">
        <f t="shared" si="204"/>
        <v>0</v>
      </c>
      <c r="BK182" s="118">
        <f t="shared" si="205"/>
        <v>0</v>
      </c>
      <c r="BL182" s="118">
        <f t="shared" si="206"/>
        <v>46076</v>
      </c>
      <c r="BM182" s="118">
        <f t="shared" si="207"/>
        <v>3</v>
      </c>
      <c r="BN182">
        <v>179</v>
      </c>
    </row>
    <row r="183" spans="1:66">
      <c r="A183" t="s">
        <v>357</v>
      </c>
      <c r="B183" s="4" t="s">
        <v>133</v>
      </c>
      <c r="C183" s="4" t="s">
        <v>134</v>
      </c>
      <c r="D183" s="102" t="s">
        <v>435</v>
      </c>
      <c r="E183" t="s">
        <v>643</v>
      </c>
      <c r="F183" t="s">
        <v>603</v>
      </c>
      <c r="G183" t="s">
        <v>52</v>
      </c>
      <c r="H183" t="s">
        <v>579</v>
      </c>
      <c r="I183" t="s">
        <v>54</v>
      </c>
      <c r="K183" t="s">
        <v>339</v>
      </c>
      <c r="M183" t="s">
        <v>57</v>
      </c>
      <c r="N183" t="s">
        <v>133</v>
      </c>
      <c r="AU183" s="113">
        <v>46076</v>
      </c>
      <c r="AV183" s="113">
        <v>46101</v>
      </c>
      <c r="AW183" s="113">
        <v>46104</v>
      </c>
      <c r="AX183" s="113">
        <v>46129</v>
      </c>
      <c r="AZ183">
        <f t="shared" si="195"/>
        <v>0</v>
      </c>
      <c r="BA183">
        <f t="shared" si="196"/>
        <v>0</v>
      </c>
      <c r="BB183">
        <f t="shared" si="197"/>
        <v>0</v>
      </c>
      <c r="BC183">
        <f t="shared" si="198"/>
        <v>0</v>
      </c>
      <c r="BD183">
        <f t="shared" si="199"/>
        <v>0</v>
      </c>
      <c r="BE183">
        <f t="shared" si="200"/>
        <v>25</v>
      </c>
      <c r="BF183">
        <f t="shared" si="201"/>
        <v>25</v>
      </c>
      <c r="BH183" s="118">
        <f t="shared" si="202"/>
        <v>0</v>
      </c>
      <c r="BI183" s="118">
        <f t="shared" si="203"/>
        <v>0</v>
      </c>
      <c r="BJ183" s="118">
        <f t="shared" si="204"/>
        <v>0</v>
      </c>
      <c r="BK183" s="118">
        <f t="shared" si="205"/>
        <v>0</v>
      </c>
      <c r="BL183" s="118">
        <f t="shared" si="206"/>
        <v>46076</v>
      </c>
      <c r="BM183" s="118">
        <f t="shared" si="207"/>
        <v>3</v>
      </c>
      <c r="BN183">
        <v>180</v>
      </c>
    </row>
    <row r="184" spans="1:66">
      <c r="A184" t="s">
        <v>357</v>
      </c>
      <c r="B184" s="4" t="s">
        <v>133</v>
      </c>
      <c r="C184" s="4" t="s">
        <v>134</v>
      </c>
      <c r="D184" s="102" t="s">
        <v>435</v>
      </c>
      <c r="E184" t="s">
        <v>643</v>
      </c>
      <c r="F184" t="s">
        <v>605</v>
      </c>
      <c r="G184" t="s">
        <v>52</v>
      </c>
      <c r="H184" t="s">
        <v>579</v>
      </c>
      <c r="I184" t="s">
        <v>54</v>
      </c>
      <c r="K184" t="s">
        <v>339</v>
      </c>
      <c r="M184" t="s">
        <v>57</v>
      </c>
      <c r="N184" t="s">
        <v>133</v>
      </c>
      <c r="AU184" s="113">
        <v>46076</v>
      </c>
      <c r="AV184" s="113">
        <v>46101</v>
      </c>
      <c r="AW184" s="113">
        <v>46104</v>
      </c>
      <c r="AX184" s="113">
        <v>46129</v>
      </c>
      <c r="AZ184">
        <f t="shared" si="195"/>
        <v>0</v>
      </c>
      <c r="BA184">
        <f t="shared" si="196"/>
        <v>0</v>
      </c>
      <c r="BB184">
        <f t="shared" si="197"/>
        <v>0</v>
      </c>
      <c r="BC184">
        <f t="shared" si="198"/>
        <v>0</v>
      </c>
      <c r="BD184">
        <f t="shared" si="199"/>
        <v>0</v>
      </c>
      <c r="BE184">
        <f t="shared" si="200"/>
        <v>25</v>
      </c>
      <c r="BF184">
        <f t="shared" si="201"/>
        <v>25</v>
      </c>
      <c r="BH184" s="118">
        <f t="shared" si="202"/>
        <v>0</v>
      </c>
      <c r="BI184" s="118">
        <f t="shared" si="203"/>
        <v>0</v>
      </c>
      <c r="BJ184" s="118">
        <f t="shared" si="204"/>
        <v>0</v>
      </c>
      <c r="BK184" s="118">
        <f t="shared" si="205"/>
        <v>0</v>
      </c>
      <c r="BL184" s="118">
        <f t="shared" si="206"/>
        <v>46076</v>
      </c>
      <c r="BM184" s="118">
        <f t="shared" si="207"/>
        <v>3</v>
      </c>
      <c r="BN184">
        <v>181</v>
      </c>
    </row>
    <row r="185" spans="1:66">
      <c r="A185" t="s">
        <v>357</v>
      </c>
      <c r="B185" s="4" t="s">
        <v>133</v>
      </c>
      <c r="C185" s="4" t="s">
        <v>134</v>
      </c>
      <c r="D185" s="102" t="s">
        <v>435</v>
      </c>
      <c r="E185" t="s">
        <v>633</v>
      </c>
      <c r="F185" t="s">
        <v>607</v>
      </c>
      <c r="G185" t="s">
        <v>52</v>
      </c>
      <c r="H185" t="s">
        <v>579</v>
      </c>
      <c r="I185" t="s">
        <v>54</v>
      </c>
      <c r="K185" t="s">
        <v>339</v>
      </c>
      <c r="M185" t="s">
        <v>57</v>
      </c>
      <c r="N185" t="s">
        <v>133</v>
      </c>
      <c r="AU185" s="113">
        <v>46076</v>
      </c>
      <c r="AV185" s="113">
        <v>46101</v>
      </c>
      <c r="AW185" s="113">
        <v>46104</v>
      </c>
      <c r="AX185" s="113">
        <v>46129</v>
      </c>
      <c r="AZ185">
        <f t="shared" si="195"/>
        <v>0</v>
      </c>
      <c r="BA185">
        <f t="shared" si="196"/>
        <v>0</v>
      </c>
      <c r="BB185">
        <f t="shared" si="197"/>
        <v>0</v>
      </c>
      <c r="BC185">
        <f t="shared" si="198"/>
        <v>0</v>
      </c>
      <c r="BD185">
        <f t="shared" si="199"/>
        <v>0</v>
      </c>
      <c r="BE185">
        <f t="shared" si="200"/>
        <v>25</v>
      </c>
      <c r="BF185">
        <f t="shared" si="201"/>
        <v>25</v>
      </c>
      <c r="BH185" s="118">
        <f t="shared" si="202"/>
        <v>0</v>
      </c>
      <c r="BI185" s="118">
        <f t="shared" si="203"/>
        <v>0</v>
      </c>
      <c r="BJ185" s="118">
        <f t="shared" si="204"/>
        <v>0</v>
      </c>
      <c r="BK185" s="118">
        <f t="shared" si="205"/>
        <v>0</v>
      </c>
      <c r="BL185" s="118">
        <f t="shared" si="206"/>
        <v>46076</v>
      </c>
      <c r="BM185" s="118">
        <f t="shared" si="207"/>
        <v>3</v>
      </c>
      <c r="BN185">
        <v>182</v>
      </c>
    </row>
    <row r="186" spans="1:66">
      <c r="A186" t="s">
        <v>357</v>
      </c>
      <c r="B186" s="4" t="s">
        <v>133</v>
      </c>
      <c r="C186" s="4" t="s">
        <v>134</v>
      </c>
      <c r="D186" s="102" t="s">
        <v>435</v>
      </c>
      <c r="E186" t="s">
        <v>634</v>
      </c>
      <c r="F186" t="s">
        <v>607</v>
      </c>
      <c r="G186" t="s">
        <v>52</v>
      </c>
      <c r="H186" t="s">
        <v>579</v>
      </c>
      <c r="I186" t="s">
        <v>54</v>
      </c>
      <c r="K186" t="s">
        <v>339</v>
      </c>
      <c r="M186" t="s">
        <v>57</v>
      </c>
      <c r="N186" t="s">
        <v>133</v>
      </c>
      <c r="AU186" s="113">
        <v>46076</v>
      </c>
      <c r="AV186" s="113">
        <v>46101</v>
      </c>
      <c r="AW186" s="113">
        <v>46104</v>
      </c>
      <c r="AX186" s="113">
        <v>46129</v>
      </c>
      <c r="AZ186">
        <f t="shared" si="195"/>
        <v>0</v>
      </c>
      <c r="BA186">
        <f t="shared" si="196"/>
        <v>0</v>
      </c>
      <c r="BB186">
        <f t="shared" si="197"/>
        <v>0</v>
      </c>
      <c r="BC186">
        <f t="shared" si="198"/>
        <v>0</v>
      </c>
      <c r="BD186">
        <f t="shared" si="199"/>
        <v>0</v>
      </c>
      <c r="BE186">
        <f t="shared" si="200"/>
        <v>25</v>
      </c>
      <c r="BF186">
        <f t="shared" si="201"/>
        <v>25</v>
      </c>
      <c r="BH186" s="118">
        <f t="shared" si="202"/>
        <v>0</v>
      </c>
      <c r="BI186" s="118">
        <f t="shared" si="203"/>
        <v>0</v>
      </c>
      <c r="BJ186" s="118">
        <f t="shared" si="204"/>
        <v>0</v>
      </c>
      <c r="BK186" s="118">
        <f t="shared" si="205"/>
        <v>0</v>
      </c>
      <c r="BL186" s="118">
        <f t="shared" si="206"/>
        <v>46076</v>
      </c>
      <c r="BM186" s="118">
        <f t="shared" si="207"/>
        <v>3</v>
      </c>
      <c r="BN186">
        <v>183</v>
      </c>
    </row>
    <row r="187" spans="1:66">
      <c r="A187" t="s">
        <v>357</v>
      </c>
      <c r="B187" s="4" t="s">
        <v>133</v>
      </c>
      <c r="C187" s="4" t="s">
        <v>134</v>
      </c>
      <c r="D187" s="102" t="s">
        <v>435</v>
      </c>
      <c r="E187" t="s">
        <v>635</v>
      </c>
      <c r="F187" t="s">
        <v>607</v>
      </c>
      <c r="G187" t="s">
        <v>52</v>
      </c>
      <c r="H187" t="s">
        <v>579</v>
      </c>
      <c r="I187" t="s">
        <v>54</v>
      </c>
      <c r="K187" t="s">
        <v>339</v>
      </c>
      <c r="M187" t="s">
        <v>57</v>
      </c>
      <c r="N187" t="s">
        <v>133</v>
      </c>
      <c r="AU187" s="113">
        <v>46076</v>
      </c>
      <c r="AV187" s="113">
        <v>46101</v>
      </c>
      <c r="AW187" s="113">
        <v>46104</v>
      </c>
      <c r="AX187" s="113">
        <v>46129</v>
      </c>
      <c r="AZ187">
        <f t="shared" si="195"/>
        <v>0</v>
      </c>
      <c r="BA187">
        <f t="shared" si="196"/>
        <v>0</v>
      </c>
      <c r="BB187">
        <f t="shared" si="197"/>
        <v>0</v>
      </c>
      <c r="BC187">
        <f t="shared" si="198"/>
        <v>0</v>
      </c>
      <c r="BD187">
        <f t="shared" si="199"/>
        <v>0</v>
      </c>
      <c r="BE187">
        <f t="shared" si="200"/>
        <v>25</v>
      </c>
      <c r="BF187">
        <f t="shared" si="201"/>
        <v>25</v>
      </c>
      <c r="BH187" s="118">
        <f t="shared" si="202"/>
        <v>0</v>
      </c>
      <c r="BI187" s="118">
        <f t="shared" si="203"/>
        <v>0</v>
      </c>
      <c r="BJ187" s="118">
        <f t="shared" si="204"/>
        <v>0</v>
      </c>
      <c r="BK187" s="118">
        <f t="shared" si="205"/>
        <v>0</v>
      </c>
      <c r="BL187" s="118">
        <f t="shared" si="206"/>
        <v>46076</v>
      </c>
      <c r="BM187" s="118">
        <f t="shared" si="207"/>
        <v>3</v>
      </c>
      <c r="BN187">
        <v>184</v>
      </c>
    </row>
    <row r="188" spans="1:66">
      <c r="A188" t="s">
        <v>357</v>
      </c>
      <c r="B188" s="4" t="s">
        <v>133</v>
      </c>
      <c r="C188" s="4" t="s">
        <v>134</v>
      </c>
      <c r="D188" s="102" t="s">
        <v>435</v>
      </c>
      <c r="E188" t="s">
        <v>636</v>
      </c>
      <c r="F188" t="s">
        <v>607</v>
      </c>
      <c r="G188" t="s">
        <v>52</v>
      </c>
      <c r="H188" t="s">
        <v>579</v>
      </c>
      <c r="I188" t="s">
        <v>54</v>
      </c>
      <c r="K188" t="s">
        <v>339</v>
      </c>
      <c r="M188" t="s">
        <v>57</v>
      </c>
      <c r="N188" t="s">
        <v>133</v>
      </c>
      <c r="AU188" s="113">
        <v>46076</v>
      </c>
      <c r="AV188" s="113">
        <v>46101</v>
      </c>
      <c r="AW188" s="113">
        <v>46104</v>
      </c>
      <c r="AX188" s="113">
        <v>46129</v>
      </c>
      <c r="AZ188">
        <f t="shared" si="195"/>
        <v>0</v>
      </c>
      <c r="BA188">
        <f t="shared" si="196"/>
        <v>0</v>
      </c>
      <c r="BB188">
        <f t="shared" si="197"/>
        <v>0</v>
      </c>
      <c r="BC188">
        <f t="shared" si="198"/>
        <v>0</v>
      </c>
      <c r="BD188">
        <f t="shared" si="199"/>
        <v>0</v>
      </c>
      <c r="BE188">
        <f t="shared" si="200"/>
        <v>25</v>
      </c>
      <c r="BF188">
        <f t="shared" si="201"/>
        <v>25</v>
      </c>
      <c r="BH188" s="118">
        <f t="shared" si="202"/>
        <v>0</v>
      </c>
      <c r="BI188" s="118">
        <f t="shared" si="203"/>
        <v>0</v>
      </c>
      <c r="BJ188" s="118">
        <f t="shared" si="204"/>
        <v>0</v>
      </c>
      <c r="BK188" s="118">
        <f t="shared" si="205"/>
        <v>0</v>
      </c>
      <c r="BL188" s="118">
        <f t="shared" si="206"/>
        <v>46076</v>
      </c>
      <c r="BM188" s="118">
        <f t="shared" si="207"/>
        <v>3</v>
      </c>
      <c r="BN188">
        <v>185</v>
      </c>
    </row>
    <row r="189" spans="1:66">
      <c r="A189" t="s">
        <v>357</v>
      </c>
      <c r="B189" s="4" t="s">
        <v>133</v>
      </c>
      <c r="C189" s="4" t="s">
        <v>134</v>
      </c>
      <c r="D189" s="102" t="s">
        <v>435</v>
      </c>
      <c r="E189" t="s">
        <v>637</v>
      </c>
      <c r="F189" t="s">
        <v>607</v>
      </c>
      <c r="G189" t="s">
        <v>52</v>
      </c>
      <c r="H189" t="s">
        <v>579</v>
      </c>
      <c r="I189" t="s">
        <v>54</v>
      </c>
      <c r="K189" t="s">
        <v>339</v>
      </c>
      <c r="M189" t="s">
        <v>57</v>
      </c>
      <c r="N189" t="s">
        <v>133</v>
      </c>
      <c r="AU189" s="113">
        <v>46076</v>
      </c>
      <c r="AV189" s="113">
        <v>46101</v>
      </c>
      <c r="AW189" s="113">
        <v>46104</v>
      </c>
      <c r="AX189" s="113">
        <v>46129</v>
      </c>
      <c r="AZ189">
        <f t="shared" si="195"/>
        <v>0</v>
      </c>
      <c r="BA189">
        <f t="shared" si="196"/>
        <v>0</v>
      </c>
      <c r="BB189">
        <f t="shared" si="197"/>
        <v>0</v>
      </c>
      <c r="BC189">
        <f t="shared" si="198"/>
        <v>0</v>
      </c>
      <c r="BD189">
        <f t="shared" si="199"/>
        <v>0</v>
      </c>
      <c r="BE189">
        <f t="shared" si="200"/>
        <v>25</v>
      </c>
      <c r="BF189">
        <f t="shared" si="201"/>
        <v>25</v>
      </c>
      <c r="BH189" s="118">
        <f t="shared" si="202"/>
        <v>0</v>
      </c>
      <c r="BI189" s="118">
        <f t="shared" si="203"/>
        <v>0</v>
      </c>
      <c r="BJ189" s="118">
        <f t="shared" si="204"/>
        <v>0</v>
      </c>
      <c r="BK189" s="118">
        <f t="shared" si="205"/>
        <v>0</v>
      </c>
      <c r="BL189" s="118">
        <f t="shared" si="206"/>
        <v>46076</v>
      </c>
      <c r="BM189" s="118">
        <f t="shared" si="207"/>
        <v>3</v>
      </c>
      <c r="BN189">
        <v>186</v>
      </c>
    </row>
    <row r="190" spans="1:66">
      <c r="A190" t="s">
        <v>357</v>
      </c>
      <c r="B190" s="4" t="s">
        <v>133</v>
      </c>
      <c r="C190" s="4" t="s">
        <v>134</v>
      </c>
      <c r="D190" s="102" t="s">
        <v>435</v>
      </c>
      <c r="E190" t="s">
        <v>638</v>
      </c>
      <c r="F190" t="s">
        <v>607</v>
      </c>
      <c r="G190" t="s">
        <v>52</v>
      </c>
      <c r="H190" t="s">
        <v>579</v>
      </c>
      <c r="I190" t="s">
        <v>54</v>
      </c>
      <c r="K190" t="s">
        <v>339</v>
      </c>
      <c r="M190" t="s">
        <v>57</v>
      </c>
      <c r="N190" t="s">
        <v>133</v>
      </c>
      <c r="AU190" s="113">
        <v>46076</v>
      </c>
      <c r="AV190" s="113">
        <v>46101</v>
      </c>
      <c r="AW190" s="113">
        <v>46104</v>
      </c>
      <c r="AX190" s="113">
        <v>46129</v>
      </c>
      <c r="AZ190">
        <f t="shared" si="195"/>
        <v>0</v>
      </c>
      <c r="BA190">
        <f t="shared" si="196"/>
        <v>0</v>
      </c>
      <c r="BB190">
        <f t="shared" si="197"/>
        <v>0</v>
      </c>
      <c r="BC190">
        <f t="shared" si="198"/>
        <v>0</v>
      </c>
      <c r="BD190">
        <f t="shared" si="199"/>
        <v>0</v>
      </c>
      <c r="BE190">
        <f t="shared" si="200"/>
        <v>25</v>
      </c>
      <c r="BF190">
        <f t="shared" si="201"/>
        <v>25</v>
      </c>
      <c r="BH190" s="118">
        <f t="shared" si="202"/>
        <v>0</v>
      </c>
      <c r="BI190" s="118">
        <f t="shared" si="203"/>
        <v>0</v>
      </c>
      <c r="BJ190" s="118">
        <f t="shared" si="204"/>
        <v>0</v>
      </c>
      <c r="BK190" s="118">
        <f t="shared" si="205"/>
        <v>0</v>
      </c>
      <c r="BL190" s="118">
        <f t="shared" si="206"/>
        <v>46076</v>
      </c>
      <c r="BM190" s="118">
        <f t="shared" si="207"/>
        <v>3</v>
      </c>
      <c r="BN190">
        <v>187</v>
      </c>
    </row>
    <row r="191" spans="1:66">
      <c r="A191" t="s">
        <v>357</v>
      </c>
      <c r="B191" s="4" t="s">
        <v>133</v>
      </c>
      <c r="C191" s="4" t="s">
        <v>134</v>
      </c>
      <c r="D191" s="102" t="s">
        <v>435</v>
      </c>
      <c r="E191" t="s">
        <v>639</v>
      </c>
      <c r="F191" t="s">
        <v>607</v>
      </c>
      <c r="G191" t="s">
        <v>52</v>
      </c>
      <c r="H191" t="s">
        <v>579</v>
      </c>
      <c r="I191" t="s">
        <v>54</v>
      </c>
      <c r="K191" t="s">
        <v>339</v>
      </c>
      <c r="M191" t="s">
        <v>57</v>
      </c>
      <c r="N191" t="s">
        <v>133</v>
      </c>
      <c r="AU191" s="113">
        <v>46076</v>
      </c>
      <c r="AV191" s="113">
        <v>46101</v>
      </c>
      <c r="AW191" s="113">
        <v>46104</v>
      </c>
      <c r="AX191" s="113">
        <v>46129</v>
      </c>
      <c r="AZ191">
        <f t="shared" si="195"/>
        <v>0</v>
      </c>
      <c r="BA191">
        <f t="shared" si="196"/>
        <v>0</v>
      </c>
      <c r="BB191">
        <f t="shared" si="197"/>
        <v>0</v>
      </c>
      <c r="BC191">
        <f t="shared" si="198"/>
        <v>0</v>
      </c>
      <c r="BD191">
        <f t="shared" si="199"/>
        <v>0</v>
      </c>
      <c r="BE191">
        <f t="shared" si="200"/>
        <v>25</v>
      </c>
      <c r="BF191">
        <f t="shared" si="201"/>
        <v>25</v>
      </c>
      <c r="BH191" s="118">
        <f t="shared" si="202"/>
        <v>0</v>
      </c>
      <c r="BI191" s="118">
        <f t="shared" si="203"/>
        <v>0</v>
      </c>
      <c r="BJ191" s="118">
        <f t="shared" si="204"/>
        <v>0</v>
      </c>
      <c r="BK191" s="118">
        <f t="shared" si="205"/>
        <v>0</v>
      </c>
      <c r="BL191" s="118">
        <f t="shared" si="206"/>
        <v>46076</v>
      </c>
      <c r="BM191" s="118">
        <f t="shared" si="207"/>
        <v>3</v>
      </c>
      <c r="BN191">
        <v>188</v>
      </c>
    </row>
    <row r="192" spans="1:66">
      <c r="A192" t="s">
        <v>357</v>
      </c>
      <c r="B192" s="4" t="s">
        <v>133</v>
      </c>
      <c r="C192" s="4" t="s">
        <v>134</v>
      </c>
      <c r="D192" s="102" t="s">
        <v>435</v>
      </c>
      <c r="E192" t="s">
        <v>640</v>
      </c>
      <c r="F192" t="s">
        <v>607</v>
      </c>
      <c r="G192" t="s">
        <v>52</v>
      </c>
      <c r="H192" t="s">
        <v>579</v>
      </c>
      <c r="I192" t="s">
        <v>54</v>
      </c>
      <c r="K192" t="s">
        <v>339</v>
      </c>
      <c r="M192" t="s">
        <v>57</v>
      </c>
      <c r="N192" t="s">
        <v>133</v>
      </c>
      <c r="AU192" s="113">
        <v>46076</v>
      </c>
      <c r="AV192" s="113">
        <v>46101</v>
      </c>
      <c r="AW192" s="113">
        <v>46104</v>
      </c>
      <c r="AX192" s="113">
        <v>46129</v>
      </c>
      <c r="AZ192">
        <f t="shared" si="195"/>
        <v>0</v>
      </c>
      <c r="BA192">
        <f t="shared" si="196"/>
        <v>0</v>
      </c>
      <c r="BB192">
        <f t="shared" si="197"/>
        <v>0</v>
      </c>
      <c r="BC192">
        <f t="shared" si="198"/>
        <v>0</v>
      </c>
      <c r="BD192">
        <f t="shared" si="199"/>
        <v>0</v>
      </c>
      <c r="BE192">
        <f t="shared" si="200"/>
        <v>25</v>
      </c>
      <c r="BF192">
        <f t="shared" si="201"/>
        <v>25</v>
      </c>
      <c r="BH192" s="118">
        <f t="shared" si="202"/>
        <v>0</v>
      </c>
      <c r="BI192" s="118">
        <f t="shared" si="203"/>
        <v>0</v>
      </c>
      <c r="BJ192" s="118">
        <f t="shared" si="204"/>
        <v>0</v>
      </c>
      <c r="BK192" s="118">
        <f t="shared" si="205"/>
        <v>0</v>
      </c>
      <c r="BL192" s="118">
        <f t="shared" si="206"/>
        <v>46076</v>
      </c>
      <c r="BM192" s="118">
        <f t="shared" si="207"/>
        <v>3</v>
      </c>
      <c r="BN192">
        <v>189</v>
      </c>
    </row>
    <row r="193" spans="1:66">
      <c r="A193" t="s">
        <v>357</v>
      </c>
      <c r="B193" s="4" t="s">
        <v>133</v>
      </c>
      <c r="C193" s="4" t="s">
        <v>134</v>
      </c>
      <c r="D193" s="102" t="s">
        <v>435</v>
      </c>
      <c r="E193" t="s">
        <v>641</v>
      </c>
      <c r="F193" t="s">
        <v>607</v>
      </c>
      <c r="G193" t="s">
        <v>52</v>
      </c>
      <c r="H193" t="s">
        <v>579</v>
      </c>
      <c r="I193" t="s">
        <v>54</v>
      </c>
      <c r="K193" t="s">
        <v>339</v>
      </c>
      <c r="M193" t="s">
        <v>57</v>
      </c>
      <c r="N193" t="s">
        <v>133</v>
      </c>
      <c r="AU193" s="113">
        <v>46076</v>
      </c>
      <c r="AV193" s="113">
        <v>46101</v>
      </c>
      <c r="AW193" s="113">
        <v>46104</v>
      </c>
      <c r="AX193" s="113">
        <v>46129</v>
      </c>
      <c r="AZ193">
        <f t="shared" si="195"/>
        <v>0</v>
      </c>
      <c r="BA193">
        <f t="shared" si="196"/>
        <v>0</v>
      </c>
      <c r="BB193">
        <f t="shared" si="197"/>
        <v>0</v>
      </c>
      <c r="BC193">
        <f t="shared" si="198"/>
        <v>0</v>
      </c>
      <c r="BD193">
        <f t="shared" si="199"/>
        <v>0</v>
      </c>
      <c r="BE193">
        <f t="shared" si="200"/>
        <v>25</v>
      </c>
      <c r="BF193">
        <f t="shared" si="201"/>
        <v>25</v>
      </c>
      <c r="BH193" s="118">
        <f t="shared" si="202"/>
        <v>0</v>
      </c>
      <c r="BI193" s="118">
        <f t="shared" si="203"/>
        <v>0</v>
      </c>
      <c r="BJ193" s="118">
        <f t="shared" si="204"/>
        <v>0</v>
      </c>
      <c r="BK193" s="118">
        <f t="shared" si="205"/>
        <v>0</v>
      </c>
      <c r="BL193" s="118">
        <f t="shared" si="206"/>
        <v>46076</v>
      </c>
      <c r="BM193" s="118">
        <f t="shared" si="207"/>
        <v>3</v>
      </c>
      <c r="BN193">
        <v>190</v>
      </c>
    </row>
    <row r="194" spans="1:66">
      <c r="A194" t="s">
        <v>357</v>
      </c>
      <c r="B194" s="4" t="s">
        <v>133</v>
      </c>
      <c r="C194" s="4" t="s">
        <v>134</v>
      </c>
      <c r="D194" s="102" t="s">
        <v>435</v>
      </c>
      <c r="E194" t="s">
        <v>642</v>
      </c>
      <c r="F194" t="s">
        <v>607</v>
      </c>
      <c r="G194" t="s">
        <v>52</v>
      </c>
      <c r="H194" t="s">
        <v>579</v>
      </c>
      <c r="I194" t="s">
        <v>54</v>
      </c>
      <c r="K194" t="s">
        <v>339</v>
      </c>
      <c r="M194" t="s">
        <v>57</v>
      </c>
      <c r="N194" t="s">
        <v>133</v>
      </c>
      <c r="AU194" s="113">
        <v>46076</v>
      </c>
      <c r="AV194" s="113">
        <v>46101</v>
      </c>
      <c r="AW194" s="113">
        <v>46104</v>
      </c>
      <c r="AX194" s="113">
        <v>46129</v>
      </c>
      <c r="AZ194">
        <f t="shared" si="195"/>
        <v>0</v>
      </c>
      <c r="BA194">
        <f t="shared" si="196"/>
        <v>0</v>
      </c>
      <c r="BB194">
        <f t="shared" si="197"/>
        <v>0</v>
      </c>
      <c r="BC194">
        <f t="shared" si="198"/>
        <v>0</v>
      </c>
      <c r="BD194">
        <f t="shared" si="199"/>
        <v>0</v>
      </c>
      <c r="BE194">
        <f t="shared" si="200"/>
        <v>25</v>
      </c>
      <c r="BF194">
        <f t="shared" si="201"/>
        <v>25</v>
      </c>
      <c r="BH194" s="118">
        <f t="shared" si="202"/>
        <v>0</v>
      </c>
      <c r="BI194" s="118">
        <f t="shared" si="203"/>
        <v>0</v>
      </c>
      <c r="BJ194" s="118">
        <f t="shared" si="204"/>
        <v>0</v>
      </c>
      <c r="BK194" s="118">
        <f t="shared" si="205"/>
        <v>0</v>
      </c>
      <c r="BL194" s="118">
        <f t="shared" si="206"/>
        <v>46076</v>
      </c>
      <c r="BM194" s="118">
        <f t="shared" si="207"/>
        <v>3</v>
      </c>
      <c r="BN194">
        <v>191</v>
      </c>
    </row>
    <row r="195" spans="1:66">
      <c r="A195" t="s">
        <v>357</v>
      </c>
      <c r="B195" s="4" t="s">
        <v>133</v>
      </c>
      <c r="C195" s="4" t="s">
        <v>134</v>
      </c>
      <c r="D195" s="102" t="s">
        <v>435</v>
      </c>
      <c r="E195" t="s">
        <v>643</v>
      </c>
      <c r="F195" t="s">
        <v>618</v>
      </c>
      <c r="G195" t="s">
        <v>52</v>
      </c>
      <c r="H195" t="s">
        <v>579</v>
      </c>
      <c r="I195" t="s">
        <v>54</v>
      </c>
      <c r="K195" t="s">
        <v>339</v>
      </c>
      <c r="M195" t="s">
        <v>57</v>
      </c>
      <c r="N195" t="s">
        <v>133</v>
      </c>
      <c r="AU195" s="113">
        <v>46076</v>
      </c>
      <c r="AV195" s="113">
        <v>46101</v>
      </c>
      <c r="AW195" s="113">
        <v>46104</v>
      </c>
      <c r="AX195" s="113">
        <v>46129</v>
      </c>
      <c r="AZ195">
        <f t="shared" si="195"/>
        <v>0</v>
      </c>
      <c r="BA195">
        <f t="shared" si="196"/>
        <v>0</v>
      </c>
      <c r="BB195">
        <f t="shared" si="197"/>
        <v>0</v>
      </c>
      <c r="BC195">
        <f t="shared" si="198"/>
        <v>0</v>
      </c>
      <c r="BD195">
        <f t="shared" si="199"/>
        <v>0</v>
      </c>
      <c r="BE195">
        <f t="shared" si="200"/>
        <v>25</v>
      </c>
      <c r="BF195">
        <f t="shared" si="201"/>
        <v>25</v>
      </c>
      <c r="BH195" s="118">
        <f t="shared" si="202"/>
        <v>0</v>
      </c>
      <c r="BI195" s="118">
        <f t="shared" si="203"/>
        <v>0</v>
      </c>
      <c r="BJ195" s="118">
        <f t="shared" si="204"/>
        <v>0</v>
      </c>
      <c r="BK195" s="118">
        <f t="shared" si="205"/>
        <v>0</v>
      </c>
      <c r="BL195" s="118">
        <f t="shared" si="206"/>
        <v>46076</v>
      </c>
      <c r="BM195" s="118">
        <f t="shared" si="207"/>
        <v>3</v>
      </c>
      <c r="BN195">
        <v>192</v>
      </c>
    </row>
    <row r="196" spans="1:66">
      <c r="A196" t="s">
        <v>357</v>
      </c>
      <c r="B196" s="4" t="s">
        <v>133</v>
      </c>
      <c r="C196" s="4" t="s">
        <v>134</v>
      </c>
      <c r="D196" s="102" t="s">
        <v>435</v>
      </c>
      <c r="E196" t="s">
        <v>643</v>
      </c>
      <c r="F196" t="s">
        <v>620</v>
      </c>
      <c r="G196" t="s">
        <v>52</v>
      </c>
      <c r="H196" t="s">
        <v>579</v>
      </c>
      <c r="I196" t="s">
        <v>54</v>
      </c>
      <c r="K196" t="s">
        <v>339</v>
      </c>
      <c r="M196" t="s">
        <v>57</v>
      </c>
      <c r="N196" t="s">
        <v>133</v>
      </c>
      <c r="AU196" s="113">
        <v>46076</v>
      </c>
      <c r="AV196" s="113">
        <v>46101</v>
      </c>
      <c r="AW196" s="113">
        <v>46104</v>
      </c>
      <c r="AX196" s="113">
        <v>46129</v>
      </c>
      <c r="AZ196">
        <f t="shared" si="195"/>
        <v>0</v>
      </c>
      <c r="BA196">
        <f t="shared" si="196"/>
        <v>0</v>
      </c>
      <c r="BB196">
        <f t="shared" si="197"/>
        <v>0</v>
      </c>
      <c r="BC196">
        <f t="shared" si="198"/>
        <v>0</v>
      </c>
      <c r="BD196">
        <f t="shared" si="199"/>
        <v>0</v>
      </c>
      <c r="BE196">
        <f t="shared" si="200"/>
        <v>25</v>
      </c>
      <c r="BF196">
        <f t="shared" si="201"/>
        <v>25</v>
      </c>
      <c r="BH196" s="118">
        <f t="shared" si="202"/>
        <v>0</v>
      </c>
      <c r="BI196" s="118">
        <f t="shared" si="203"/>
        <v>0</v>
      </c>
      <c r="BJ196" s="118">
        <f t="shared" si="204"/>
        <v>0</v>
      </c>
      <c r="BK196" s="118">
        <f t="shared" si="205"/>
        <v>0</v>
      </c>
      <c r="BL196" s="118">
        <f t="shared" si="206"/>
        <v>46076</v>
      </c>
      <c r="BM196" s="118">
        <f t="shared" si="207"/>
        <v>3</v>
      </c>
      <c r="BN196">
        <v>193</v>
      </c>
    </row>
    <row r="197" spans="1:66">
      <c r="A197" t="s">
        <v>357</v>
      </c>
      <c r="B197" s="4" t="s">
        <v>133</v>
      </c>
      <c r="C197" s="4" t="s">
        <v>134</v>
      </c>
      <c r="D197" s="102" t="s">
        <v>435</v>
      </c>
      <c r="E197" t="s">
        <v>643</v>
      </c>
      <c r="F197" t="s">
        <v>622</v>
      </c>
      <c r="G197" t="s">
        <v>52</v>
      </c>
      <c r="H197" t="s">
        <v>579</v>
      </c>
      <c r="I197" t="s">
        <v>54</v>
      </c>
      <c r="K197" t="s">
        <v>339</v>
      </c>
      <c r="M197" t="s">
        <v>57</v>
      </c>
      <c r="N197" t="s">
        <v>133</v>
      </c>
      <c r="AU197" s="113">
        <v>46076</v>
      </c>
      <c r="AV197" s="113">
        <v>46101</v>
      </c>
      <c r="AW197" s="113">
        <v>46104</v>
      </c>
      <c r="AX197" s="113">
        <v>46129</v>
      </c>
      <c r="AZ197">
        <f t="shared" si="195"/>
        <v>0</v>
      </c>
      <c r="BA197">
        <f t="shared" si="196"/>
        <v>0</v>
      </c>
      <c r="BB197">
        <f t="shared" si="197"/>
        <v>0</v>
      </c>
      <c r="BC197">
        <f t="shared" si="198"/>
        <v>0</v>
      </c>
      <c r="BD197">
        <f t="shared" si="199"/>
        <v>0</v>
      </c>
      <c r="BE197">
        <f t="shared" si="200"/>
        <v>25</v>
      </c>
      <c r="BF197">
        <f t="shared" si="201"/>
        <v>25</v>
      </c>
      <c r="BH197" s="118">
        <f t="shared" si="202"/>
        <v>0</v>
      </c>
      <c r="BI197" s="118">
        <f t="shared" si="203"/>
        <v>0</v>
      </c>
      <c r="BJ197" s="118">
        <f t="shared" si="204"/>
        <v>0</v>
      </c>
      <c r="BK197" s="118">
        <f t="shared" si="205"/>
        <v>0</v>
      </c>
      <c r="BL197" s="118">
        <f t="shared" si="206"/>
        <v>46076</v>
      </c>
      <c r="BM197" s="118">
        <f t="shared" si="207"/>
        <v>3</v>
      </c>
      <c r="BN197">
        <v>194</v>
      </c>
    </row>
    <row r="198" spans="1:66">
      <c r="A198" t="s">
        <v>357</v>
      </c>
      <c r="B198" s="4" t="s">
        <v>133</v>
      </c>
      <c r="C198" s="4" t="s">
        <v>134</v>
      </c>
      <c r="D198" s="102" t="s">
        <v>435</v>
      </c>
      <c r="E198" t="s">
        <v>643</v>
      </c>
      <c r="F198" t="s">
        <v>624</v>
      </c>
      <c r="G198" t="s">
        <v>52</v>
      </c>
      <c r="H198" t="s">
        <v>579</v>
      </c>
      <c r="I198" t="s">
        <v>54</v>
      </c>
      <c r="K198" t="s">
        <v>339</v>
      </c>
      <c r="M198" t="s">
        <v>57</v>
      </c>
      <c r="N198" t="s">
        <v>133</v>
      </c>
      <c r="AU198" s="113">
        <v>46076</v>
      </c>
      <c r="AV198" s="113">
        <v>46101</v>
      </c>
      <c r="AW198" s="113">
        <v>46104</v>
      </c>
      <c r="AX198" s="113">
        <v>46129</v>
      </c>
      <c r="AZ198">
        <f t="shared" si="195"/>
        <v>0</v>
      </c>
      <c r="BA198">
        <f t="shared" si="196"/>
        <v>0</v>
      </c>
      <c r="BB198">
        <f t="shared" si="197"/>
        <v>0</v>
      </c>
      <c r="BC198">
        <f t="shared" si="198"/>
        <v>0</v>
      </c>
      <c r="BD198">
        <f t="shared" si="199"/>
        <v>0</v>
      </c>
      <c r="BE198">
        <f t="shared" si="200"/>
        <v>25</v>
      </c>
      <c r="BF198">
        <f t="shared" si="201"/>
        <v>25</v>
      </c>
      <c r="BH198" s="118">
        <f t="shared" si="202"/>
        <v>0</v>
      </c>
      <c r="BI198" s="118">
        <f t="shared" si="203"/>
        <v>0</v>
      </c>
      <c r="BJ198" s="118">
        <f t="shared" si="204"/>
        <v>0</v>
      </c>
      <c r="BK198" s="118">
        <f t="shared" si="205"/>
        <v>0</v>
      </c>
      <c r="BL198" s="118">
        <f t="shared" si="206"/>
        <v>46076</v>
      </c>
      <c r="BM198" s="118">
        <f t="shared" si="207"/>
        <v>3</v>
      </c>
      <c r="BN198">
        <v>195</v>
      </c>
    </row>
    <row r="199" spans="1:66">
      <c r="A199" t="s">
        <v>4</v>
      </c>
      <c r="B199" s="4" t="s">
        <v>4</v>
      </c>
      <c r="C199" s="4" t="s">
        <v>225</v>
      </c>
      <c r="D199" s="102" t="s">
        <v>556</v>
      </c>
      <c r="E199" t="s">
        <v>625</v>
      </c>
      <c r="F199" s="86" t="s">
        <v>626</v>
      </c>
      <c r="H199" t="s">
        <v>627</v>
      </c>
      <c r="I199" t="s">
        <v>83</v>
      </c>
      <c r="J199" t="s">
        <v>628</v>
      </c>
      <c r="K199" t="s">
        <v>342</v>
      </c>
      <c r="M199" t="s">
        <v>207</v>
      </c>
      <c r="N199" t="s">
        <v>4</v>
      </c>
      <c r="AO199" s="113">
        <v>46056</v>
      </c>
      <c r="AP199" s="113">
        <v>46080</v>
      </c>
      <c r="AQ199" s="113">
        <v>46083</v>
      </c>
      <c r="AR199" s="113">
        <v>46108</v>
      </c>
      <c r="AS199" s="113">
        <v>46107</v>
      </c>
      <c r="AT199" s="113">
        <v>46108</v>
      </c>
      <c r="AU199" s="113">
        <v>46111</v>
      </c>
      <c r="AV199" s="113">
        <v>46136</v>
      </c>
      <c r="AW199" s="113">
        <v>46139</v>
      </c>
      <c r="AX199" s="113">
        <v>46164</v>
      </c>
      <c r="AZ199">
        <f t="shared" si="195"/>
        <v>0</v>
      </c>
      <c r="BA199">
        <f t="shared" si="196"/>
        <v>0</v>
      </c>
      <c r="BB199">
        <f t="shared" si="197"/>
        <v>24</v>
      </c>
      <c r="BC199">
        <f t="shared" si="198"/>
        <v>25</v>
      </c>
      <c r="BD199">
        <f t="shared" si="199"/>
        <v>1</v>
      </c>
      <c r="BE199">
        <f t="shared" si="200"/>
        <v>25</v>
      </c>
      <c r="BF199">
        <f t="shared" si="201"/>
        <v>25</v>
      </c>
      <c r="BH199" s="118">
        <f t="shared" si="202"/>
        <v>0</v>
      </c>
      <c r="BI199" s="118">
        <f t="shared" si="203"/>
        <v>46056</v>
      </c>
      <c r="BJ199" s="118">
        <f t="shared" si="204"/>
        <v>3</v>
      </c>
      <c r="BK199" s="118">
        <f t="shared" si="205"/>
        <v>-1</v>
      </c>
      <c r="BL199" s="118">
        <f t="shared" si="206"/>
        <v>3</v>
      </c>
      <c r="BM199" s="118">
        <f t="shared" si="207"/>
        <v>3</v>
      </c>
      <c r="BN199">
        <v>196</v>
      </c>
    </row>
    <row r="200" spans="1:66">
      <c r="A200" t="s">
        <v>92</v>
      </c>
      <c r="B200" s="4" t="s">
        <v>93</v>
      </c>
      <c r="C200" s="4" t="s">
        <v>94</v>
      </c>
      <c r="D200" s="102" t="s">
        <v>327</v>
      </c>
      <c r="E200" t="s">
        <v>213</v>
      </c>
      <c r="F200" s="86" t="s">
        <v>205</v>
      </c>
      <c r="H200" t="s">
        <v>206</v>
      </c>
      <c r="I200" t="s">
        <v>83</v>
      </c>
      <c r="K200" t="s">
        <v>198</v>
      </c>
      <c r="L200" t="s">
        <v>73</v>
      </c>
      <c r="M200" t="s">
        <v>207</v>
      </c>
      <c r="N200" t="s">
        <v>99</v>
      </c>
      <c r="AM200" s="113">
        <v>46055</v>
      </c>
      <c r="AN200" s="113">
        <v>46073</v>
      </c>
      <c r="AO200" s="113">
        <v>46076</v>
      </c>
      <c r="AP200" s="113">
        <v>46122</v>
      </c>
      <c r="AQ200" s="113">
        <v>46125</v>
      </c>
      <c r="AR200" s="113">
        <v>46136</v>
      </c>
      <c r="AS200" s="113">
        <v>46135</v>
      </c>
      <c r="AT200" s="113">
        <v>46136</v>
      </c>
      <c r="AU200" s="113">
        <v>46139</v>
      </c>
      <c r="AV200" s="113">
        <v>46157</v>
      </c>
      <c r="AW200" s="113">
        <v>46160</v>
      </c>
      <c r="AX200" s="113">
        <v>46171</v>
      </c>
      <c r="AZ200">
        <f t="shared" si="195"/>
        <v>0</v>
      </c>
      <c r="BA200">
        <f t="shared" si="196"/>
        <v>18</v>
      </c>
      <c r="BB200">
        <f t="shared" si="197"/>
        <v>46</v>
      </c>
      <c r="BC200">
        <f t="shared" si="198"/>
        <v>11</v>
      </c>
      <c r="BD200">
        <f t="shared" si="199"/>
        <v>1</v>
      </c>
      <c r="BE200">
        <f t="shared" si="200"/>
        <v>18</v>
      </c>
      <c r="BF200">
        <f t="shared" si="201"/>
        <v>11</v>
      </c>
      <c r="BH200" s="118">
        <f t="shared" si="202"/>
        <v>46055</v>
      </c>
      <c r="BI200" s="118">
        <f t="shared" si="203"/>
        <v>3</v>
      </c>
      <c r="BJ200" s="118">
        <f t="shared" si="204"/>
        <v>3</v>
      </c>
      <c r="BK200" s="118">
        <f t="shared" si="205"/>
        <v>-1</v>
      </c>
      <c r="BL200" s="118">
        <f t="shared" si="206"/>
        <v>3</v>
      </c>
      <c r="BM200" s="118">
        <f t="shared" si="207"/>
        <v>3</v>
      </c>
      <c r="BN200">
        <v>197</v>
      </c>
    </row>
    <row r="201" spans="1:66">
      <c r="A201" t="s">
        <v>92</v>
      </c>
      <c r="B201" s="4" t="s">
        <v>93</v>
      </c>
      <c r="C201" s="4" t="s">
        <v>94</v>
      </c>
      <c r="D201" s="102" t="s">
        <v>327</v>
      </c>
      <c r="E201" t="s">
        <v>210</v>
      </c>
      <c r="F201" s="86" t="s">
        <v>205</v>
      </c>
      <c r="H201" t="s">
        <v>206</v>
      </c>
      <c r="I201" t="s">
        <v>83</v>
      </c>
      <c r="K201" t="s">
        <v>198</v>
      </c>
      <c r="L201" t="s">
        <v>73</v>
      </c>
      <c r="M201" t="s">
        <v>207</v>
      </c>
      <c r="N201" t="s">
        <v>99</v>
      </c>
      <c r="AM201" s="113">
        <v>46055</v>
      </c>
      <c r="AN201" s="113">
        <v>46073</v>
      </c>
      <c r="AO201" s="113">
        <v>46076</v>
      </c>
      <c r="AP201" s="113">
        <v>46122</v>
      </c>
      <c r="AQ201" s="113">
        <v>46125</v>
      </c>
      <c r="AR201" s="113">
        <v>46136</v>
      </c>
      <c r="AS201" s="113">
        <v>46135</v>
      </c>
      <c r="AT201" s="113">
        <v>46136</v>
      </c>
      <c r="AU201" s="113">
        <v>46139</v>
      </c>
      <c r="AV201" s="113">
        <v>46157</v>
      </c>
      <c r="AW201" s="113">
        <v>46160</v>
      </c>
      <c r="AX201" s="113">
        <v>46171</v>
      </c>
      <c r="AZ201">
        <f t="shared" si="195"/>
        <v>0</v>
      </c>
      <c r="BA201">
        <f t="shared" si="196"/>
        <v>18</v>
      </c>
      <c r="BB201">
        <f t="shared" si="197"/>
        <v>46</v>
      </c>
      <c r="BC201">
        <f t="shared" si="198"/>
        <v>11</v>
      </c>
      <c r="BD201">
        <f t="shared" si="199"/>
        <v>1</v>
      </c>
      <c r="BE201">
        <f t="shared" si="200"/>
        <v>18</v>
      </c>
      <c r="BF201">
        <f t="shared" si="201"/>
        <v>11</v>
      </c>
      <c r="BH201" s="118">
        <f t="shared" si="202"/>
        <v>46055</v>
      </c>
      <c r="BI201" s="118">
        <f t="shared" si="203"/>
        <v>3</v>
      </c>
      <c r="BJ201" s="118">
        <f t="shared" si="204"/>
        <v>3</v>
      </c>
      <c r="BK201" s="118">
        <f t="shared" si="205"/>
        <v>-1</v>
      </c>
      <c r="BL201" s="118">
        <f t="shared" si="206"/>
        <v>3</v>
      </c>
      <c r="BM201" s="118">
        <f t="shared" si="207"/>
        <v>3</v>
      </c>
      <c r="BN201">
        <v>198</v>
      </c>
    </row>
    <row r="202" spans="1:66">
      <c r="A202" t="s">
        <v>92</v>
      </c>
      <c r="B202" s="4" t="s">
        <v>93</v>
      </c>
      <c r="C202" s="4" t="s">
        <v>94</v>
      </c>
      <c r="D202" s="102" t="s">
        <v>327</v>
      </c>
      <c r="E202" t="s">
        <v>209</v>
      </c>
      <c r="F202" s="86" t="s">
        <v>205</v>
      </c>
      <c r="H202" t="s">
        <v>206</v>
      </c>
      <c r="I202" t="s">
        <v>83</v>
      </c>
      <c r="K202" t="s">
        <v>198</v>
      </c>
      <c r="L202" t="s">
        <v>73</v>
      </c>
      <c r="M202" t="s">
        <v>207</v>
      </c>
      <c r="N202" t="s">
        <v>99</v>
      </c>
      <c r="AM202" s="113">
        <v>46055</v>
      </c>
      <c r="AN202" s="113">
        <v>46073</v>
      </c>
      <c r="AO202" s="113">
        <v>46076</v>
      </c>
      <c r="AP202" s="113">
        <v>46122</v>
      </c>
      <c r="AQ202" s="113">
        <v>46125</v>
      </c>
      <c r="AR202" s="113">
        <v>46136</v>
      </c>
      <c r="AS202" s="113">
        <v>46135</v>
      </c>
      <c r="AT202" s="113">
        <v>46136</v>
      </c>
      <c r="AU202" s="113">
        <v>46139</v>
      </c>
      <c r="AV202" s="113">
        <v>46157</v>
      </c>
      <c r="AW202" s="113">
        <v>46160</v>
      </c>
      <c r="AX202" s="113">
        <v>46171</v>
      </c>
      <c r="AZ202">
        <f t="shared" si="195"/>
        <v>0</v>
      </c>
      <c r="BA202">
        <f t="shared" si="196"/>
        <v>18</v>
      </c>
      <c r="BB202">
        <f t="shared" si="197"/>
        <v>46</v>
      </c>
      <c r="BC202">
        <f t="shared" si="198"/>
        <v>11</v>
      </c>
      <c r="BD202">
        <f t="shared" si="199"/>
        <v>1</v>
      </c>
      <c r="BE202">
        <f t="shared" si="200"/>
        <v>18</v>
      </c>
      <c r="BF202">
        <f t="shared" si="201"/>
        <v>11</v>
      </c>
      <c r="BH202" s="118">
        <f t="shared" si="202"/>
        <v>46055</v>
      </c>
      <c r="BI202" s="118">
        <f t="shared" si="203"/>
        <v>3</v>
      </c>
      <c r="BJ202" s="118">
        <f t="shared" si="204"/>
        <v>3</v>
      </c>
      <c r="BK202" s="118">
        <f t="shared" si="205"/>
        <v>-1</v>
      </c>
      <c r="BL202" s="118">
        <f t="shared" si="206"/>
        <v>3</v>
      </c>
      <c r="BM202" s="118">
        <f t="shared" si="207"/>
        <v>3</v>
      </c>
      <c r="BN202">
        <v>199</v>
      </c>
    </row>
    <row r="203" spans="1:66">
      <c r="A203" t="s">
        <v>92</v>
      </c>
      <c r="B203" s="4" t="s">
        <v>93</v>
      </c>
      <c r="C203" s="4" t="s">
        <v>94</v>
      </c>
      <c r="D203" s="102" t="s">
        <v>327</v>
      </c>
      <c r="E203" t="s">
        <v>208</v>
      </c>
      <c r="F203" s="86" t="s">
        <v>205</v>
      </c>
      <c r="H203" t="s">
        <v>206</v>
      </c>
      <c r="I203" t="s">
        <v>83</v>
      </c>
      <c r="K203" t="s">
        <v>198</v>
      </c>
      <c r="L203" t="s">
        <v>73</v>
      </c>
      <c r="M203" t="s">
        <v>207</v>
      </c>
      <c r="N203" t="s">
        <v>99</v>
      </c>
      <c r="AM203" s="113">
        <v>46055</v>
      </c>
      <c r="AN203" s="113">
        <v>46073</v>
      </c>
      <c r="AO203" s="113">
        <v>46076</v>
      </c>
      <c r="AP203" s="113">
        <v>46122</v>
      </c>
      <c r="AQ203" s="113">
        <v>46125</v>
      </c>
      <c r="AR203" s="113">
        <v>46136</v>
      </c>
      <c r="AS203" s="113">
        <v>46135</v>
      </c>
      <c r="AT203" s="113">
        <v>46136</v>
      </c>
      <c r="AU203" s="113">
        <v>46139</v>
      </c>
      <c r="AV203" s="113">
        <v>46157</v>
      </c>
      <c r="AW203" s="113">
        <v>46160</v>
      </c>
      <c r="AX203" s="113">
        <v>46171</v>
      </c>
      <c r="AZ203">
        <f t="shared" si="195"/>
        <v>0</v>
      </c>
      <c r="BA203">
        <f t="shared" si="196"/>
        <v>18</v>
      </c>
      <c r="BB203">
        <f t="shared" si="197"/>
        <v>46</v>
      </c>
      <c r="BC203">
        <f t="shared" si="198"/>
        <v>11</v>
      </c>
      <c r="BD203">
        <f t="shared" si="199"/>
        <v>1</v>
      </c>
      <c r="BE203">
        <f t="shared" si="200"/>
        <v>18</v>
      </c>
      <c r="BF203">
        <f t="shared" si="201"/>
        <v>11</v>
      </c>
      <c r="BH203" s="118">
        <f t="shared" si="202"/>
        <v>46055</v>
      </c>
      <c r="BI203" s="118">
        <f t="shared" si="203"/>
        <v>3</v>
      </c>
      <c r="BJ203" s="118">
        <f t="shared" si="204"/>
        <v>3</v>
      </c>
      <c r="BK203" s="118">
        <f t="shared" si="205"/>
        <v>-1</v>
      </c>
      <c r="BL203" s="118">
        <f t="shared" si="206"/>
        <v>3</v>
      </c>
      <c r="BM203" s="118">
        <f t="shared" si="207"/>
        <v>3</v>
      </c>
      <c r="BN203">
        <v>200</v>
      </c>
    </row>
    <row r="204" spans="1:66">
      <c r="A204" t="s">
        <v>92</v>
      </c>
      <c r="B204" s="4" t="s">
        <v>93</v>
      </c>
      <c r="C204" s="4" t="s">
        <v>94</v>
      </c>
      <c r="D204" s="102" t="s">
        <v>327</v>
      </c>
      <c r="E204" t="s">
        <v>204</v>
      </c>
      <c r="F204" s="86" t="s">
        <v>205</v>
      </c>
      <c r="H204" t="s">
        <v>206</v>
      </c>
      <c r="I204" t="s">
        <v>83</v>
      </c>
      <c r="K204" t="s">
        <v>198</v>
      </c>
      <c r="L204" t="s">
        <v>73</v>
      </c>
      <c r="M204" t="s">
        <v>207</v>
      </c>
      <c r="N204" t="s">
        <v>99</v>
      </c>
      <c r="AM204" s="113">
        <v>46055</v>
      </c>
      <c r="AN204" s="113">
        <v>46073</v>
      </c>
      <c r="AO204" s="113">
        <v>46076</v>
      </c>
      <c r="AP204" s="113">
        <v>46122</v>
      </c>
      <c r="AQ204" s="113">
        <v>46125</v>
      </c>
      <c r="AR204" s="113">
        <v>46136</v>
      </c>
      <c r="AS204" s="113">
        <v>46135</v>
      </c>
      <c r="AT204" s="113">
        <v>46136</v>
      </c>
      <c r="AU204" s="113">
        <v>46139</v>
      </c>
      <c r="AV204" s="113">
        <v>46157</v>
      </c>
      <c r="AW204" s="113">
        <v>46160</v>
      </c>
      <c r="AX204" s="113">
        <v>46171</v>
      </c>
      <c r="AZ204">
        <f t="shared" si="195"/>
        <v>0</v>
      </c>
      <c r="BA204">
        <f t="shared" si="196"/>
        <v>18</v>
      </c>
      <c r="BB204">
        <f t="shared" si="197"/>
        <v>46</v>
      </c>
      <c r="BC204">
        <f t="shared" si="198"/>
        <v>11</v>
      </c>
      <c r="BD204">
        <f t="shared" si="199"/>
        <v>1</v>
      </c>
      <c r="BE204">
        <f t="shared" si="200"/>
        <v>18</v>
      </c>
      <c r="BF204">
        <f t="shared" si="201"/>
        <v>11</v>
      </c>
      <c r="BH204" s="118">
        <f t="shared" si="202"/>
        <v>46055</v>
      </c>
      <c r="BI204" s="118">
        <f t="shared" si="203"/>
        <v>3</v>
      </c>
      <c r="BJ204" s="118">
        <f t="shared" si="204"/>
        <v>3</v>
      </c>
      <c r="BK204" s="118">
        <f t="shared" si="205"/>
        <v>-1</v>
      </c>
      <c r="BL204" s="118">
        <f t="shared" si="206"/>
        <v>3</v>
      </c>
      <c r="BM204" s="118">
        <f t="shared" si="207"/>
        <v>3</v>
      </c>
      <c r="BN204">
        <v>201</v>
      </c>
    </row>
    <row r="205" spans="1:66" s="2" customFormat="1">
      <c r="T205" s="2" t="s">
        <v>644</v>
      </c>
      <c r="AK205" s="2" t="s">
        <v>644</v>
      </c>
    </row>
    <row r="206" spans="1:66">
      <c r="AL206" s="114"/>
      <c r="AN206" s="114">
        <f>AN105-AM105</f>
        <v>39</v>
      </c>
      <c r="AP206" s="114">
        <f>AP105-AO105</f>
        <v>25</v>
      </c>
      <c r="AR206" s="114">
        <f>AR105-AQ105</f>
        <v>11</v>
      </c>
      <c r="AT206" s="114">
        <f>AT105-AS105</f>
        <v>1</v>
      </c>
      <c r="AV206" s="114">
        <f>AV105-AU105</f>
        <v>18</v>
      </c>
      <c r="AX206" s="114">
        <f>AX199-AW199</f>
        <v>25</v>
      </c>
    </row>
    <row r="207" spans="1:66">
      <c r="AZ207">
        <f>MIN(AZ4:AZ204)</f>
        <v>0</v>
      </c>
      <c r="BA207">
        <f t="shared" ref="BA207:BF207" si="208">MIN(BA4:BA204)</f>
        <v>0</v>
      </c>
      <c r="BB207">
        <f t="shared" si="208"/>
        <v>0</v>
      </c>
      <c r="BC207">
        <f t="shared" si="208"/>
        <v>0</v>
      </c>
      <c r="BD207">
        <f t="shared" si="208"/>
        <v>0</v>
      </c>
      <c r="BE207">
        <f t="shared" si="208"/>
        <v>18</v>
      </c>
      <c r="BF207">
        <f t="shared" si="208"/>
        <v>11</v>
      </c>
    </row>
    <row r="208" spans="1:66">
      <c r="AZ208">
        <f>MAX(AZ4:AZ204)</f>
        <v>10</v>
      </c>
      <c r="BA208">
        <f t="shared" ref="BA208:BF208" si="209">MAX(BA4:BA204)</f>
        <v>39</v>
      </c>
      <c r="BB208">
        <f t="shared" si="209"/>
        <v>46</v>
      </c>
      <c r="BC208">
        <f t="shared" si="209"/>
        <v>25</v>
      </c>
      <c r="BD208">
        <f t="shared" si="209"/>
        <v>1</v>
      </c>
      <c r="BE208">
        <f t="shared" si="209"/>
        <v>25</v>
      </c>
      <c r="BF208">
        <f t="shared" si="209"/>
        <v>49</v>
      </c>
    </row>
    <row r="210" spans="39:50">
      <c r="AM210" s="113">
        <v>46055</v>
      </c>
      <c r="AN210" s="113">
        <v>46080</v>
      </c>
      <c r="AO210" s="113">
        <v>46083</v>
      </c>
      <c r="AP210" s="113">
        <v>46108</v>
      </c>
      <c r="AQ210" s="113">
        <v>46111</v>
      </c>
      <c r="AR210" s="113">
        <v>46129</v>
      </c>
      <c r="AS210" s="113">
        <v>46128</v>
      </c>
      <c r="AT210" s="113">
        <v>46129</v>
      </c>
      <c r="AU210" s="113">
        <v>46132</v>
      </c>
      <c r="AV210" s="113">
        <v>46150</v>
      </c>
      <c r="AW210" s="113">
        <v>46153</v>
      </c>
      <c r="AX210" s="113">
        <v>46171</v>
      </c>
    </row>
  </sheetData>
  <autoFilter ref="A3:BP206" xr:uid="{1C94629C-3628-4C21-AE28-A9F4CC6FC540}"/>
  <mergeCells count="11">
    <mergeCell ref="AW1:AX1"/>
    <mergeCell ref="T2:W2"/>
    <mergeCell ref="X2:AA2"/>
    <mergeCell ref="AB2:AF2"/>
    <mergeCell ref="AG2:AJ2"/>
    <mergeCell ref="AK1:AL1"/>
    <mergeCell ref="AM1:AN1"/>
    <mergeCell ref="AO1:AP1"/>
    <mergeCell ref="AQ1:AR1"/>
    <mergeCell ref="AS1:AT1"/>
    <mergeCell ref="AU1:AV1"/>
  </mergeCells>
  <dataValidations count="3">
    <dataValidation type="list" allowBlank="1" showInputMessage="1" showErrorMessage="1" sqref="C4:C204" xr:uid="{DD3B8683-BE1A-4F77-BDF4-ACD4C1EF59C2}">
      <formula1>Owner</formula1>
    </dataValidation>
    <dataValidation type="list" allowBlank="1" showInputMessage="1" showErrorMessage="1" sqref="L4:L204" xr:uid="{636F1833-CB72-4FFF-B541-4C79BFD75D21}">
      <formula1>Sts_2</formula1>
    </dataValidation>
    <dataValidation type="list" allowBlank="1" showInputMessage="1" showErrorMessage="1" sqref="K4:K204" xr:uid="{49D6BF8D-990E-4FB8-A914-4B776DDECFB0}">
      <formula1>StsAct</formula1>
    </dataValidation>
  </dataValidations>
  <pageMargins left="0.7" right="0.7" top="0.75" bottom="0.75" header="0.3" footer="0.3"/>
  <pageSetup paperSize="9" orientation="portrait" r:id="rId1"/>
  <legacyDrawing r:id="rId2"/>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filterMode="1">
    <tabColor rgb="FFFF0000"/>
  </sheetPr>
  <dimension ref="A1:EV213"/>
  <sheetViews>
    <sheetView tabSelected="1" zoomScale="80" zoomScaleNormal="80" workbookViewId="0">
      <pane ySplit="3" topLeftCell="D4" activePane="bottomLeft" state="frozen"/>
      <selection pane="bottomLeft" activeCell="H206" sqref="H206"/>
    </sheetView>
  </sheetViews>
  <sheetFormatPr defaultColWidth="11.42578125" defaultRowHeight="15" customHeight="1" outlineLevelCol="1"/>
  <cols>
    <col min="1" max="1" width="18.28515625" bestFit="1" customWidth="1"/>
    <col min="2" max="2" width="29.85546875" customWidth="1"/>
    <col min="3" max="3" width="19" customWidth="1"/>
    <col min="4" max="4" width="25.140625" customWidth="1"/>
    <col min="5" max="5" width="28.85546875" customWidth="1"/>
    <col min="6" max="7" width="54.28515625" style="122" customWidth="1"/>
    <col min="8" max="8" width="7.5703125" customWidth="1" outlineLevel="1"/>
    <col min="9" max="9" width="11.7109375" customWidth="1" outlineLevel="1"/>
    <col min="10" max="10" width="13.85546875" customWidth="1" outlineLevel="1"/>
    <col min="11" max="11" width="11.7109375" customWidth="1"/>
    <col min="12" max="12" width="9.7109375" customWidth="1"/>
    <col min="13" max="13" width="16" bestFit="1" customWidth="1"/>
    <col min="14" max="14" width="21.140625" customWidth="1"/>
    <col min="15" max="15" width="12" customWidth="1" outlineLevel="1"/>
    <col min="16" max="16" width="12.28515625" customWidth="1" outlineLevel="1"/>
    <col min="17" max="17" width="10.28515625" customWidth="1" outlineLevel="1"/>
    <col min="18" max="18" width="10" customWidth="1" outlineLevel="1"/>
    <col min="19" max="20" width="63.7109375" customWidth="1"/>
    <col min="21" max="21" width="38.28515625" customWidth="1"/>
    <col min="22" max="22" width="12" customWidth="1"/>
    <col min="23" max="23" width="12" style="218" customWidth="1"/>
    <col min="24" max="25" width="11.42578125" customWidth="1"/>
    <col min="26" max="26" width="11.42578125" customWidth="1" collapsed="1"/>
    <col min="27" max="27" width="11.42578125" customWidth="1"/>
    <col min="28" max="28" width="11.42578125" customWidth="1" collapsed="1"/>
    <col min="29" max="29" width="11.42578125" customWidth="1"/>
    <col min="30" max="30" width="11.42578125" customWidth="1" collapsed="1"/>
    <col min="31" max="31" width="11.42578125" customWidth="1"/>
    <col min="32" max="32" width="11.42578125" customWidth="1" collapsed="1"/>
    <col min="33" max="33" width="11.42578125" customWidth="1"/>
    <col min="34" max="34" width="11.42578125" customWidth="1" collapsed="1"/>
    <col min="35" max="35" width="11.42578125" customWidth="1"/>
    <col min="37" max="39" width="11.140625" bestFit="1" customWidth="1"/>
    <col min="40" max="40" width="49.28515625" customWidth="1" outlineLevel="1"/>
    <col min="41" max="56" width="11.42578125" customWidth="1" outlineLevel="1"/>
  </cols>
  <sheetData>
    <row r="1" spans="1:56">
      <c r="X1" t="s">
        <v>645</v>
      </c>
      <c r="Z1" t="s">
        <v>646</v>
      </c>
      <c r="AB1" t="s">
        <v>647</v>
      </c>
      <c r="AD1" t="s">
        <v>648</v>
      </c>
      <c r="AF1" t="s">
        <v>649</v>
      </c>
      <c r="AH1" t="s">
        <v>40</v>
      </c>
      <c r="AJ1" t="s">
        <v>650</v>
      </c>
    </row>
    <row r="2" spans="1:56">
      <c r="Z2" t="s">
        <v>651</v>
      </c>
      <c r="AB2" t="s">
        <v>651</v>
      </c>
      <c r="AD2" t="s">
        <v>651</v>
      </c>
      <c r="AF2" t="s">
        <v>652</v>
      </c>
      <c r="AH2" t="s">
        <v>651</v>
      </c>
      <c r="AJ2" t="s">
        <v>651</v>
      </c>
      <c r="AL2" t="s">
        <v>653</v>
      </c>
    </row>
    <row r="3" spans="1:56">
      <c r="X3" s="298" t="s">
        <v>654</v>
      </c>
      <c r="Y3" s="298"/>
      <c r="Z3" s="297" t="s">
        <v>195</v>
      </c>
      <c r="AA3" s="297"/>
      <c r="AB3" s="297" t="s">
        <v>49</v>
      </c>
      <c r="AC3" s="297"/>
      <c r="AD3" s="297" t="s">
        <v>324</v>
      </c>
      <c r="AE3" s="297"/>
      <c r="AF3" s="297" t="s">
        <v>320</v>
      </c>
      <c r="AG3" s="297"/>
      <c r="AH3" s="297" t="s">
        <v>321</v>
      </c>
      <c r="AI3" s="297"/>
      <c r="AJ3" s="297" t="s">
        <v>655</v>
      </c>
      <c r="AK3" s="297"/>
      <c r="AL3" s="297" t="s">
        <v>656</v>
      </c>
      <c r="AM3" s="297"/>
      <c r="AN3" s="299" t="s">
        <v>381</v>
      </c>
      <c r="AO3" s="299"/>
      <c r="AP3" s="299"/>
      <c r="AQ3" s="299"/>
      <c r="AR3" s="299" t="s">
        <v>382</v>
      </c>
      <c r="AS3" s="299"/>
      <c r="AT3" s="299"/>
      <c r="AU3" s="299"/>
      <c r="AV3" s="299" t="s">
        <v>383</v>
      </c>
      <c r="AW3" s="299"/>
      <c r="AX3" s="299"/>
      <c r="AY3" s="299"/>
      <c r="AZ3" s="299"/>
      <c r="BA3" s="299" t="s">
        <v>384</v>
      </c>
      <c r="BB3" s="299"/>
      <c r="BC3" s="299"/>
      <c r="BD3" s="299"/>
    </row>
    <row r="4" spans="1:56" s="144" customFormat="1" ht="47.25">
      <c r="A4" s="257" t="s">
        <v>29</v>
      </c>
      <c r="B4" s="257" t="s">
        <v>657</v>
      </c>
      <c r="C4" s="257" t="s">
        <v>30</v>
      </c>
      <c r="D4" s="257" t="s">
        <v>658</v>
      </c>
      <c r="E4" s="257" t="s">
        <v>32</v>
      </c>
      <c r="F4" s="258" t="s">
        <v>33</v>
      </c>
      <c r="G4" s="257" t="s">
        <v>659</v>
      </c>
      <c r="H4" s="257" t="s">
        <v>35</v>
      </c>
      <c r="I4" s="273" t="s">
        <v>36</v>
      </c>
      <c r="J4" s="257" t="s">
        <v>37</v>
      </c>
      <c r="K4" s="257" t="s">
        <v>38</v>
      </c>
      <c r="L4" s="257" t="s">
        <v>39</v>
      </c>
      <c r="M4" s="257" t="s">
        <v>40</v>
      </c>
      <c r="N4" s="257" t="s">
        <v>41</v>
      </c>
      <c r="O4" s="257" t="s">
        <v>42</v>
      </c>
      <c r="P4" s="257" t="s">
        <v>43</v>
      </c>
      <c r="Q4" s="257" t="s">
        <v>44</v>
      </c>
      <c r="R4" s="257" t="s">
        <v>45</v>
      </c>
      <c r="S4" s="257" t="s">
        <v>660</v>
      </c>
      <c r="T4" s="257" t="s">
        <v>661</v>
      </c>
      <c r="U4" s="257" t="s">
        <v>662</v>
      </c>
      <c r="V4" s="257" t="s">
        <v>386</v>
      </c>
      <c r="W4" s="260" t="s">
        <v>663</v>
      </c>
      <c r="X4" s="259" t="s">
        <v>387</v>
      </c>
      <c r="Y4" s="259" t="s">
        <v>388</v>
      </c>
      <c r="Z4" s="259" t="s">
        <v>387</v>
      </c>
      <c r="AA4" s="259" t="s">
        <v>388</v>
      </c>
      <c r="AB4" s="259" t="s">
        <v>387</v>
      </c>
      <c r="AC4" s="259" t="s">
        <v>388</v>
      </c>
      <c r="AD4" s="259" t="s">
        <v>387</v>
      </c>
      <c r="AE4" s="259" t="s">
        <v>388</v>
      </c>
      <c r="AF4" s="259" t="s">
        <v>387</v>
      </c>
      <c r="AG4" s="259" t="s">
        <v>388</v>
      </c>
      <c r="AH4" s="259" t="s">
        <v>387</v>
      </c>
      <c r="AI4" s="259" t="s">
        <v>388</v>
      </c>
      <c r="AJ4" s="259" t="s">
        <v>387</v>
      </c>
      <c r="AK4" s="259" t="s">
        <v>388</v>
      </c>
      <c r="AL4" s="259" t="s">
        <v>387</v>
      </c>
      <c r="AM4" s="259" t="s">
        <v>388</v>
      </c>
      <c r="AN4" s="145" t="s">
        <v>389</v>
      </c>
      <c r="AO4" s="146" t="s">
        <v>390</v>
      </c>
      <c r="AP4" s="146" t="s">
        <v>391</v>
      </c>
      <c r="AQ4" s="146" t="s">
        <v>392</v>
      </c>
      <c r="AR4" s="145" t="s">
        <v>389</v>
      </c>
      <c r="AS4" s="146" t="s">
        <v>390</v>
      </c>
      <c r="AT4" s="146" t="s">
        <v>391</v>
      </c>
      <c r="AU4" s="146" t="s">
        <v>392</v>
      </c>
      <c r="AV4" s="146" t="s">
        <v>393</v>
      </c>
      <c r="AW4" s="146" t="s">
        <v>394</v>
      </c>
      <c r="AX4" s="146" t="s">
        <v>395</v>
      </c>
      <c r="AY4" s="146" t="s">
        <v>396</v>
      </c>
      <c r="AZ4" s="146" t="s">
        <v>397</v>
      </c>
      <c r="BA4" s="146" t="s">
        <v>398</v>
      </c>
      <c r="BB4" s="146" t="s">
        <v>399</v>
      </c>
      <c r="BC4" s="146" t="s">
        <v>400</v>
      </c>
      <c r="BD4" s="146" t="s">
        <v>401</v>
      </c>
    </row>
    <row r="5" spans="1:56" hidden="1">
      <c r="A5" s="265" t="s">
        <v>92</v>
      </c>
      <c r="B5" s="282" t="s">
        <v>93</v>
      </c>
      <c r="C5" s="270" t="s">
        <v>94</v>
      </c>
      <c r="D5" s="264" t="s">
        <v>324</v>
      </c>
      <c r="E5" s="265" t="s">
        <v>196</v>
      </c>
      <c r="F5" s="266" t="s">
        <v>197</v>
      </c>
      <c r="G5" s="267" t="s">
        <v>664</v>
      </c>
      <c r="H5" s="268" t="s">
        <v>97</v>
      </c>
      <c r="I5" s="268" t="s">
        <v>72</v>
      </c>
      <c r="J5" s="268"/>
      <c r="K5" s="268" t="s">
        <v>198</v>
      </c>
      <c r="L5" s="268" t="s">
        <v>73</v>
      </c>
      <c r="M5" s="268" t="s">
        <v>98</v>
      </c>
      <c r="N5" s="268" t="s">
        <v>99</v>
      </c>
      <c r="O5" s="268" t="s">
        <v>199</v>
      </c>
      <c r="P5" s="198" t="s">
        <v>200</v>
      </c>
      <c r="Q5" s="269"/>
      <c r="R5" s="268"/>
      <c r="S5" s="215" t="s">
        <v>665</v>
      </c>
      <c r="T5" s="262"/>
      <c r="U5" s="215" t="s">
        <v>666</v>
      </c>
      <c r="V5" s="215">
        <v>1</v>
      </c>
      <c r="W5" s="263" t="s">
        <v>667</v>
      </c>
      <c r="X5" s="209">
        <v>46024</v>
      </c>
      <c r="Y5" s="209">
        <v>46083</v>
      </c>
      <c r="Z5" s="209">
        <v>46056</v>
      </c>
      <c r="AA5" s="209">
        <v>46087</v>
      </c>
      <c r="AB5" s="209">
        <v>46072</v>
      </c>
      <c r="AC5" s="209">
        <v>46072</v>
      </c>
      <c r="AD5" s="209">
        <v>46111</v>
      </c>
      <c r="AE5" s="209">
        <v>46125</v>
      </c>
      <c r="AF5" s="209">
        <v>46125</v>
      </c>
      <c r="AG5" s="209">
        <v>46126</v>
      </c>
      <c r="AH5" s="209">
        <v>46127</v>
      </c>
      <c r="AI5" s="209">
        <v>46129</v>
      </c>
      <c r="AJ5" s="209">
        <v>46132</v>
      </c>
      <c r="AK5" s="209">
        <v>46146</v>
      </c>
      <c r="AL5" s="209">
        <f t="shared" ref="AL5:AL17" si="0">AK5+1</f>
        <v>46147</v>
      </c>
      <c r="AM5" s="209">
        <f t="shared" ref="AM5:AM17" si="1">AL5</f>
        <v>46147</v>
      </c>
    </row>
    <row r="6" spans="1:56" hidden="1">
      <c r="A6" s="137" t="s">
        <v>92</v>
      </c>
      <c r="B6" s="283" t="s">
        <v>80</v>
      </c>
      <c r="C6" s="165" t="s">
        <v>201</v>
      </c>
      <c r="D6" s="166" t="s">
        <v>195</v>
      </c>
      <c r="E6" s="271" t="s">
        <v>202</v>
      </c>
      <c r="F6" s="197" t="s">
        <v>203</v>
      </c>
      <c r="G6" s="196" t="s">
        <v>668</v>
      </c>
      <c r="H6" s="137"/>
      <c r="I6" s="137" t="s">
        <v>669</v>
      </c>
      <c r="J6" s="137"/>
      <c r="K6" s="137" t="s">
        <v>198</v>
      </c>
      <c r="L6" s="137"/>
      <c r="M6" s="137" t="s">
        <v>57</v>
      </c>
      <c r="N6" s="137" t="s">
        <v>160</v>
      </c>
      <c r="O6" s="137"/>
      <c r="P6" s="137"/>
      <c r="Q6" s="137"/>
      <c r="R6" s="137"/>
      <c r="S6" s="137" t="s">
        <v>670</v>
      </c>
      <c r="T6" s="167"/>
      <c r="U6" s="137" t="s">
        <v>671</v>
      </c>
      <c r="V6" s="137">
        <v>2</v>
      </c>
      <c r="W6" s="217"/>
      <c r="X6" s="207">
        <v>46024</v>
      </c>
      <c r="Y6" s="207">
        <v>46083</v>
      </c>
      <c r="Z6" s="207">
        <v>46056</v>
      </c>
      <c r="AA6" s="207">
        <v>46080</v>
      </c>
      <c r="AB6" s="207">
        <v>46083</v>
      </c>
      <c r="AC6" s="207">
        <v>46108</v>
      </c>
      <c r="AD6" s="207">
        <v>46111</v>
      </c>
      <c r="AE6" s="207">
        <v>46122</v>
      </c>
      <c r="AF6" s="207">
        <v>46121</v>
      </c>
      <c r="AG6" s="207">
        <v>46122</v>
      </c>
      <c r="AH6" s="207">
        <v>46125</v>
      </c>
      <c r="AI6" s="207">
        <v>46143</v>
      </c>
      <c r="AJ6" s="207">
        <v>46146</v>
      </c>
      <c r="AK6" s="207">
        <v>46157</v>
      </c>
      <c r="AL6" s="207">
        <f t="shared" si="0"/>
        <v>46158</v>
      </c>
      <c r="AM6" s="207">
        <f t="shared" si="1"/>
        <v>46158</v>
      </c>
    </row>
    <row r="7" spans="1:56" hidden="1">
      <c r="A7" s="168" t="s">
        <v>67</v>
      </c>
      <c r="B7" s="284" t="s">
        <v>68</v>
      </c>
      <c r="C7" s="169" t="s">
        <v>48</v>
      </c>
      <c r="D7" s="166" t="s">
        <v>324</v>
      </c>
      <c r="E7" s="168" t="s">
        <v>402</v>
      </c>
      <c r="F7" s="198" t="s">
        <v>403</v>
      </c>
      <c r="G7" s="205" t="s">
        <v>672</v>
      </c>
      <c r="H7" s="168" t="s">
        <v>72</v>
      </c>
      <c r="I7" s="168" t="s">
        <v>72</v>
      </c>
      <c r="J7" s="168"/>
      <c r="K7" s="168" t="s">
        <v>370</v>
      </c>
      <c r="L7" s="168" t="s">
        <v>102</v>
      </c>
      <c r="M7" s="168" t="s">
        <v>102</v>
      </c>
      <c r="N7" s="168" t="e">
        <f>#REF!</f>
        <v>#REF!</v>
      </c>
      <c r="O7" s="171" t="s">
        <v>404</v>
      </c>
      <c r="P7" s="168"/>
      <c r="Q7" s="168" t="s">
        <v>405</v>
      </c>
      <c r="R7" s="168" t="s">
        <v>406</v>
      </c>
      <c r="S7" s="137" t="s">
        <v>673</v>
      </c>
      <c r="T7" s="137"/>
      <c r="U7" s="137" t="s">
        <v>674</v>
      </c>
      <c r="V7" s="137">
        <v>3</v>
      </c>
      <c r="W7" s="217" t="s">
        <v>667</v>
      </c>
      <c r="X7" s="207">
        <v>45659</v>
      </c>
      <c r="Y7" s="207">
        <v>46083</v>
      </c>
      <c r="Z7" s="207">
        <v>46084</v>
      </c>
      <c r="AA7" s="207">
        <v>46084</v>
      </c>
      <c r="AB7" s="207">
        <v>46085</v>
      </c>
      <c r="AC7" s="207">
        <v>46098</v>
      </c>
      <c r="AD7" s="207">
        <v>46099</v>
      </c>
      <c r="AE7" s="207">
        <v>46119</v>
      </c>
      <c r="AF7" s="207">
        <v>46119</v>
      </c>
      <c r="AG7" s="207">
        <v>46120</v>
      </c>
      <c r="AH7" s="207">
        <v>46121</v>
      </c>
      <c r="AI7" s="207">
        <v>46125</v>
      </c>
      <c r="AJ7" s="207">
        <v>46126</v>
      </c>
      <c r="AK7" s="207">
        <v>46140</v>
      </c>
      <c r="AL7" s="207">
        <f t="shared" si="0"/>
        <v>46141</v>
      </c>
      <c r="AM7" s="207">
        <f t="shared" si="1"/>
        <v>46141</v>
      </c>
    </row>
    <row r="8" spans="1:56" hidden="1">
      <c r="A8" s="168" t="s">
        <v>67</v>
      </c>
      <c r="B8" s="284" t="s">
        <v>68</v>
      </c>
      <c r="C8" s="169" t="s">
        <v>48</v>
      </c>
      <c r="D8" s="166" t="s">
        <v>324</v>
      </c>
      <c r="E8" s="168" t="s">
        <v>413</v>
      </c>
      <c r="F8" s="198" t="s">
        <v>414</v>
      </c>
      <c r="G8" s="205" t="s">
        <v>675</v>
      </c>
      <c r="H8" s="168" t="s">
        <v>72</v>
      </c>
      <c r="I8" s="168" t="s">
        <v>72</v>
      </c>
      <c r="J8" s="168"/>
      <c r="K8" s="168" t="s">
        <v>370</v>
      </c>
      <c r="L8" s="168" t="s">
        <v>102</v>
      </c>
      <c r="M8" s="168" t="s">
        <v>102</v>
      </c>
      <c r="N8" s="168" t="e">
        <f>#REF!</f>
        <v>#REF!</v>
      </c>
      <c r="O8" s="171" t="s">
        <v>404</v>
      </c>
      <c r="P8" s="168"/>
      <c r="Q8" s="168" t="s">
        <v>405</v>
      </c>
      <c r="R8" s="168" t="s">
        <v>415</v>
      </c>
      <c r="S8" s="137" t="s">
        <v>673</v>
      </c>
      <c r="T8" s="137"/>
      <c r="U8" s="137" t="s">
        <v>674</v>
      </c>
      <c r="V8" s="137">
        <v>15</v>
      </c>
      <c r="W8" s="217" t="s">
        <v>667</v>
      </c>
      <c r="X8" s="207">
        <v>45659</v>
      </c>
      <c r="Y8" s="207">
        <v>46083</v>
      </c>
      <c r="Z8" s="207">
        <v>46084</v>
      </c>
      <c r="AA8" s="207">
        <v>46084</v>
      </c>
      <c r="AB8" s="207">
        <v>46085</v>
      </c>
      <c r="AC8" s="207">
        <v>46098</v>
      </c>
      <c r="AD8" s="207">
        <v>46099</v>
      </c>
      <c r="AE8" s="207">
        <v>46119</v>
      </c>
      <c r="AF8" s="207">
        <v>46119</v>
      </c>
      <c r="AG8" s="207">
        <v>46120</v>
      </c>
      <c r="AH8" s="207">
        <v>46121</v>
      </c>
      <c r="AI8" s="207">
        <v>46125</v>
      </c>
      <c r="AJ8" s="207">
        <v>46126</v>
      </c>
      <c r="AK8" s="207">
        <v>46140</v>
      </c>
      <c r="AL8" s="207">
        <f t="shared" si="0"/>
        <v>46141</v>
      </c>
      <c r="AM8" s="207">
        <f t="shared" si="1"/>
        <v>46141</v>
      </c>
    </row>
    <row r="9" spans="1:56" hidden="1">
      <c r="A9" s="168" t="s">
        <v>92</v>
      </c>
      <c r="B9" s="284" t="s">
        <v>68</v>
      </c>
      <c r="C9" s="169" t="s">
        <v>48</v>
      </c>
      <c r="D9" s="166" t="s">
        <v>324</v>
      </c>
      <c r="E9" s="168" t="s">
        <v>446</v>
      </c>
      <c r="F9" s="198" t="s">
        <v>447</v>
      </c>
      <c r="G9" s="205" t="s">
        <v>676</v>
      </c>
      <c r="H9" s="168" t="s">
        <v>72</v>
      </c>
      <c r="I9" s="168" t="s">
        <v>72</v>
      </c>
      <c r="J9" s="168"/>
      <c r="K9" s="168" t="s">
        <v>370</v>
      </c>
      <c r="L9" s="168" t="s">
        <v>102</v>
      </c>
      <c r="M9" s="168" t="s">
        <v>102</v>
      </c>
      <c r="N9" s="168" t="e">
        <f>#REF!</f>
        <v>#REF!</v>
      </c>
      <c r="O9" s="171" t="s">
        <v>404</v>
      </c>
      <c r="P9" s="168"/>
      <c r="Q9" s="168" t="s">
        <v>405</v>
      </c>
      <c r="R9" s="168" t="s">
        <v>448</v>
      </c>
      <c r="S9" s="137" t="s">
        <v>673</v>
      </c>
      <c r="T9" s="137"/>
      <c r="U9" s="137" t="s">
        <v>674</v>
      </c>
      <c r="V9" s="137">
        <v>32</v>
      </c>
      <c r="W9" s="217" t="s">
        <v>667</v>
      </c>
      <c r="X9" s="207">
        <v>45659</v>
      </c>
      <c r="Y9" s="207">
        <v>46083</v>
      </c>
      <c r="Z9" s="207">
        <v>46084</v>
      </c>
      <c r="AA9" s="207">
        <v>46084</v>
      </c>
      <c r="AB9" s="207">
        <v>46085</v>
      </c>
      <c r="AC9" s="207">
        <v>46098</v>
      </c>
      <c r="AD9" s="207">
        <v>46099</v>
      </c>
      <c r="AE9" s="207">
        <v>46119</v>
      </c>
      <c r="AF9" s="207">
        <v>46119</v>
      </c>
      <c r="AG9" s="207">
        <v>46120</v>
      </c>
      <c r="AH9" s="207">
        <v>46121</v>
      </c>
      <c r="AI9" s="207">
        <v>46125</v>
      </c>
      <c r="AJ9" s="207">
        <v>46126</v>
      </c>
      <c r="AK9" s="207">
        <v>46140</v>
      </c>
      <c r="AL9" s="207">
        <f t="shared" si="0"/>
        <v>46141</v>
      </c>
      <c r="AM9" s="207">
        <f t="shared" si="1"/>
        <v>46141</v>
      </c>
    </row>
    <row r="10" spans="1:56" hidden="1">
      <c r="A10" s="168" t="s">
        <v>92</v>
      </c>
      <c r="B10" s="284" t="s">
        <v>68</v>
      </c>
      <c r="C10" s="169" t="s">
        <v>48</v>
      </c>
      <c r="D10" s="166" t="s">
        <v>324</v>
      </c>
      <c r="E10" s="168" t="s">
        <v>449</v>
      </c>
      <c r="F10" s="198" t="s">
        <v>450</v>
      </c>
      <c r="G10" s="205" t="s">
        <v>677</v>
      </c>
      <c r="H10" s="168" t="s">
        <v>72</v>
      </c>
      <c r="I10" s="168" t="s">
        <v>72</v>
      </c>
      <c r="J10" s="168"/>
      <c r="K10" s="168" t="s">
        <v>370</v>
      </c>
      <c r="L10" s="168" t="s">
        <v>102</v>
      </c>
      <c r="M10" s="168" t="s">
        <v>102</v>
      </c>
      <c r="N10" s="168" t="e">
        <f>#REF!</f>
        <v>#REF!</v>
      </c>
      <c r="O10" s="171" t="s">
        <v>404</v>
      </c>
      <c r="P10" s="168"/>
      <c r="Q10" s="168" t="s">
        <v>405</v>
      </c>
      <c r="R10" s="168" t="s">
        <v>448</v>
      </c>
      <c r="S10" s="137" t="s">
        <v>673</v>
      </c>
      <c r="T10" s="137"/>
      <c r="U10" s="137" t="s">
        <v>674</v>
      </c>
      <c r="V10" s="137">
        <v>33</v>
      </c>
      <c r="W10" s="217" t="s">
        <v>667</v>
      </c>
      <c r="X10" s="207">
        <v>45659</v>
      </c>
      <c r="Y10" s="207">
        <v>46083</v>
      </c>
      <c r="Z10" s="207">
        <v>46084</v>
      </c>
      <c r="AA10" s="207">
        <v>46084</v>
      </c>
      <c r="AB10" s="207">
        <v>46085</v>
      </c>
      <c r="AC10" s="207">
        <v>46098</v>
      </c>
      <c r="AD10" s="207">
        <v>46099</v>
      </c>
      <c r="AE10" s="207">
        <v>46119</v>
      </c>
      <c r="AF10" s="207">
        <v>46119</v>
      </c>
      <c r="AG10" s="207">
        <v>46120</v>
      </c>
      <c r="AH10" s="207">
        <v>46121</v>
      </c>
      <c r="AI10" s="207">
        <v>46125</v>
      </c>
      <c r="AJ10" s="207">
        <v>46126</v>
      </c>
      <c r="AK10" s="207">
        <v>46140</v>
      </c>
      <c r="AL10" s="207">
        <f t="shared" si="0"/>
        <v>46141</v>
      </c>
      <c r="AM10" s="207">
        <f t="shared" si="1"/>
        <v>46141</v>
      </c>
    </row>
    <row r="11" spans="1:56" hidden="1">
      <c r="A11" s="137" t="s">
        <v>92</v>
      </c>
      <c r="B11" s="283" t="s">
        <v>93</v>
      </c>
      <c r="C11" s="165" t="s">
        <v>94</v>
      </c>
      <c r="D11" s="166" t="s">
        <v>655</v>
      </c>
      <c r="E11" s="137" t="s">
        <v>161</v>
      </c>
      <c r="F11" s="199" t="s">
        <v>211</v>
      </c>
      <c r="G11" s="196" t="s">
        <v>678</v>
      </c>
      <c r="H11" s="137" t="s">
        <v>97</v>
      </c>
      <c r="I11" s="137" t="s">
        <v>72</v>
      </c>
      <c r="J11" s="137"/>
      <c r="K11" s="137" t="s">
        <v>198</v>
      </c>
      <c r="L11" s="137" t="s">
        <v>73</v>
      </c>
      <c r="M11" s="137" t="s">
        <v>98</v>
      </c>
      <c r="N11" s="137" t="s">
        <v>99</v>
      </c>
      <c r="O11" s="137" t="s">
        <v>212</v>
      </c>
      <c r="P11" s="137" t="s">
        <v>200</v>
      </c>
      <c r="Q11" s="137"/>
      <c r="R11" s="137"/>
      <c r="S11" s="137" t="s">
        <v>679</v>
      </c>
      <c r="T11" s="137"/>
      <c r="U11" s="137" t="s">
        <v>680</v>
      </c>
      <c r="V11" s="137">
        <v>7</v>
      </c>
      <c r="W11" s="217" t="s">
        <v>681</v>
      </c>
      <c r="X11" s="209">
        <v>46024</v>
      </c>
      <c r="Y11" s="207">
        <v>46083</v>
      </c>
      <c r="Z11" s="207">
        <v>46056</v>
      </c>
      <c r="AA11" s="207">
        <v>46087</v>
      </c>
      <c r="AB11" s="207">
        <v>46083</v>
      </c>
      <c r="AC11" s="207">
        <v>46122</v>
      </c>
      <c r="AD11" s="207">
        <v>46111</v>
      </c>
      <c r="AE11" s="207">
        <v>46136</v>
      </c>
      <c r="AF11" s="207">
        <v>46118</v>
      </c>
      <c r="AG11" s="207">
        <v>46136</v>
      </c>
      <c r="AH11" s="207">
        <v>46125</v>
      </c>
      <c r="AI11" s="207">
        <v>46150</v>
      </c>
      <c r="AJ11" s="207">
        <v>46139</v>
      </c>
      <c r="AK11" s="207">
        <v>46171</v>
      </c>
      <c r="AL11" s="207">
        <f t="shared" si="0"/>
        <v>46172</v>
      </c>
      <c r="AM11" s="207">
        <f t="shared" si="1"/>
        <v>46172</v>
      </c>
    </row>
    <row r="12" spans="1:56" hidden="1">
      <c r="A12" s="168" t="s">
        <v>92</v>
      </c>
      <c r="B12" s="284" t="s">
        <v>93</v>
      </c>
      <c r="C12" s="169" t="s">
        <v>94</v>
      </c>
      <c r="D12" s="166" t="s">
        <v>324</v>
      </c>
      <c r="E12" s="168" t="s">
        <v>410</v>
      </c>
      <c r="F12" s="198" t="s">
        <v>211</v>
      </c>
      <c r="G12" s="205" t="s">
        <v>682</v>
      </c>
      <c r="H12" s="168" t="s">
        <v>97</v>
      </c>
      <c r="I12" s="168" t="s">
        <v>72</v>
      </c>
      <c r="J12" s="168"/>
      <c r="K12" s="168" t="s">
        <v>370</v>
      </c>
      <c r="L12" s="168" t="s">
        <v>73</v>
      </c>
      <c r="M12" s="168" t="s">
        <v>98</v>
      </c>
      <c r="N12" s="168" t="s">
        <v>99</v>
      </c>
      <c r="O12" s="168" t="s">
        <v>411</v>
      </c>
      <c r="P12" s="168" t="s">
        <v>200</v>
      </c>
      <c r="Q12" s="168" t="s">
        <v>405</v>
      </c>
      <c r="R12" s="168" t="s">
        <v>683</v>
      </c>
      <c r="S12" s="137" t="s">
        <v>673</v>
      </c>
      <c r="T12" s="137"/>
      <c r="U12" s="137" t="s">
        <v>674</v>
      </c>
      <c r="V12" s="137">
        <v>8</v>
      </c>
      <c r="W12" s="217" t="s">
        <v>667</v>
      </c>
      <c r="X12" s="209">
        <v>46024</v>
      </c>
      <c r="Y12" s="207">
        <v>46083</v>
      </c>
      <c r="Z12" s="207">
        <v>46084</v>
      </c>
      <c r="AA12" s="207">
        <v>46084</v>
      </c>
      <c r="AB12" s="207">
        <v>46085</v>
      </c>
      <c r="AC12" s="207">
        <v>46098</v>
      </c>
      <c r="AD12" s="207">
        <v>46099</v>
      </c>
      <c r="AE12" s="207">
        <v>46119</v>
      </c>
      <c r="AF12" s="207">
        <v>46119</v>
      </c>
      <c r="AG12" s="207">
        <v>46120</v>
      </c>
      <c r="AH12" s="207">
        <v>46121</v>
      </c>
      <c r="AI12" s="207">
        <v>46125</v>
      </c>
      <c r="AJ12" s="207">
        <v>46126</v>
      </c>
      <c r="AK12" s="207">
        <v>46140</v>
      </c>
      <c r="AL12" s="207">
        <f t="shared" si="0"/>
        <v>46141</v>
      </c>
      <c r="AM12" s="207">
        <f t="shared" si="1"/>
        <v>46141</v>
      </c>
    </row>
    <row r="13" spans="1:56" hidden="1">
      <c r="A13" s="137" t="s">
        <v>92</v>
      </c>
      <c r="B13" s="283" t="s">
        <v>93</v>
      </c>
      <c r="C13" s="165" t="s">
        <v>94</v>
      </c>
      <c r="D13" s="166" t="s">
        <v>655</v>
      </c>
      <c r="E13" s="137" t="s">
        <v>214</v>
      </c>
      <c r="F13" s="199" t="s">
        <v>211</v>
      </c>
      <c r="G13" s="196" t="s">
        <v>684</v>
      </c>
      <c r="H13" s="137" t="s">
        <v>97</v>
      </c>
      <c r="I13" s="137" t="s">
        <v>72</v>
      </c>
      <c r="J13" s="137"/>
      <c r="K13" s="137" t="s">
        <v>198</v>
      </c>
      <c r="L13" s="137" t="s">
        <v>73</v>
      </c>
      <c r="M13" s="137" t="s">
        <v>98</v>
      </c>
      <c r="N13" s="137" t="s">
        <v>99</v>
      </c>
      <c r="O13" s="137" t="s">
        <v>212</v>
      </c>
      <c r="P13" s="137" t="s">
        <v>200</v>
      </c>
      <c r="Q13" s="137" t="s">
        <v>215</v>
      </c>
      <c r="R13" s="137"/>
      <c r="S13" s="137" t="s">
        <v>685</v>
      </c>
      <c r="T13" s="137"/>
      <c r="U13" s="137" t="s">
        <v>686</v>
      </c>
      <c r="V13" s="137">
        <v>9</v>
      </c>
      <c r="W13" s="217" t="s">
        <v>681</v>
      </c>
      <c r="X13" s="209">
        <v>46024</v>
      </c>
      <c r="Y13" s="207">
        <v>46083</v>
      </c>
      <c r="Z13" s="207">
        <v>46056</v>
      </c>
      <c r="AA13" s="207">
        <v>46087</v>
      </c>
      <c r="AB13" s="207">
        <v>46083</v>
      </c>
      <c r="AC13" s="207">
        <v>46122</v>
      </c>
      <c r="AD13" s="207">
        <v>46111</v>
      </c>
      <c r="AE13" s="207">
        <v>46136</v>
      </c>
      <c r="AF13" s="207">
        <v>46118</v>
      </c>
      <c r="AG13" s="207">
        <v>46136</v>
      </c>
      <c r="AH13" s="207">
        <v>46125</v>
      </c>
      <c r="AI13" s="207">
        <v>46150</v>
      </c>
      <c r="AJ13" s="207">
        <v>46139</v>
      </c>
      <c r="AK13" s="207">
        <v>46171</v>
      </c>
      <c r="AL13" s="207">
        <f t="shared" si="0"/>
        <v>46172</v>
      </c>
      <c r="AM13" s="207">
        <f t="shared" si="1"/>
        <v>46172</v>
      </c>
    </row>
    <row r="14" spans="1:56" hidden="1">
      <c r="A14" s="137" t="s">
        <v>92</v>
      </c>
      <c r="B14" s="283" t="s">
        <v>93</v>
      </c>
      <c r="C14" s="165" t="s">
        <v>94</v>
      </c>
      <c r="D14" s="166" t="s">
        <v>655</v>
      </c>
      <c r="E14" s="137" t="s">
        <v>216</v>
      </c>
      <c r="F14" s="199" t="s">
        <v>211</v>
      </c>
      <c r="G14" s="196" t="s">
        <v>687</v>
      </c>
      <c r="H14" s="137" t="s">
        <v>97</v>
      </c>
      <c r="I14" s="137" t="s">
        <v>72</v>
      </c>
      <c r="J14" s="137"/>
      <c r="K14" s="137" t="s">
        <v>198</v>
      </c>
      <c r="L14" s="137" t="s">
        <v>73</v>
      </c>
      <c r="M14" s="137" t="s">
        <v>98</v>
      </c>
      <c r="N14" s="137" t="s">
        <v>99</v>
      </c>
      <c r="O14" s="137" t="s">
        <v>212</v>
      </c>
      <c r="P14" s="137" t="s">
        <v>200</v>
      </c>
      <c r="Q14" s="137" t="s">
        <v>215</v>
      </c>
      <c r="R14" s="137"/>
      <c r="S14" s="137" t="s">
        <v>685</v>
      </c>
      <c r="T14" s="137"/>
      <c r="U14" s="137" t="s">
        <v>686</v>
      </c>
      <c r="V14" s="137">
        <v>10</v>
      </c>
      <c r="W14" s="217" t="s">
        <v>681</v>
      </c>
      <c r="X14" s="209">
        <v>46024</v>
      </c>
      <c r="Y14" s="207">
        <v>46083</v>
      </c>
      <c r="Z14" s="207">
        <v>46056</v>
      </c>
      <c r="AA14" s="207">
        <v>46087</v>
      </c>
      <c r="AB14" s="207">
        <v>46083</v>
      </c>
      <c r="AC14" s="207">
        <v>46122</v>
      </c>
      <c r="AD14" s="207">
        <v>46111</v>
      </c>
      <c r="AE14" s="207">
        <v>46136</v>
      </c>
      <c r="AF14" s="207">
        <v>46118</v>
      </c>
      <c r="AG14" s="207">
        <v>46136</v>
      </c>
      <c r="AH14" s="207">
        <v>46125</v>
      </c>
      <c r="AI14" s="207">
        <v>46150</v>
      </c>
      <c r="AJ14" s="207">
        <v>46139</v>
      </c>
      <c r="AK14" s="207">
        <v>46171</v>
      </c>
      <c r="AL14" s="207">
        <f t="shared" si="0"/>
        <v>46172</v>
      </c>
      <c r="AM14" s="207">
        <f t="shared" si="1"/>
        <v>46172</v>
      </c>
    </row>
    <row r="15" spans="1:56" hidden="1">
      <c r="A15" s="168" t="s">
        <v>92</v>
      </c>
      <c r="B15" s="284" t="s">
        <v>93</v>
      </c>
      <c r="C15" s="169" t="s">
        <v>94</v>
      </c>
      <c r="D15" s="166" t="s">
        <v>324</v>
      </c>
      <c r="E15" s="168" t="s">
        <v>412</v>
      </c>
      <c r="F15" s="198" t="s">
        <v>211</v>
      </c>
      <c r="G15" s="205" t="s">
        <v>688</v>
      </c>
      <c r="H15" s="168" t="s">
        <v>97</v>
      </c>
      <c r="I15" s="168" t="s">
        <v>72</v>
      </c>
      <c r="J15" s="168"/>
      <c r="K15" s="168" t="s">
        <v>370</v>
      </c>
      <c r="L15" s="168" t="s">
        <v>73</v>
      </c>
      <c r="M15" s="168" t="s">
        <v>98</v>
      </c>
      <c r="N15" s="168" t="s">
        <v>99</v>
      </c>
      <c r="O15" s="168" t="s">
        <v>212</v>
      </c>
      <c r="P15" s="168" t="s">
        <v>200</v>
      </c>
      <c r="Q15" s="168" t="s">
        <v>405</v>
      </c>
      <c r="R15" s="168" t="s">
        <v>683</v>
      </c>
      <c r="S15" s="137" t="s">
        <v>673</v>
      </c>
      <c r="T15" s="137"/>
      <c r="U15" s="137" t="s">
        <v>674</v>
      </c>
      <c r="V15" s="137">
        <v>11</v>
      </c>
      <c r="W15" s="217" t="s">
        <v>667</v>
      </c>
      <c r="X15" s="209">
        <v>46024</v>
      </c>
      <c r="Y15" s="207">
        <v>46083</v>
      </c>
      <c r="Z15" s="207">
        <v>46084</v>
      </c>
      <c r="AA15" s="207">
        <v>46084</v>
      </c>
      <c r="AB15" s="207">
        <v>46085</v>
      </c>
      <c r="AC15" s="207">
        <v>46098</v>
      </c>
      <c r="AD15" s="207">
        <v>46099</v>
      </c>
      <c r="AE15" s="207">
        <v>46119</v>
      </c>
      <c r="AF15" s="207">
        <v>46119</v>
      </c>
      <c r="AG15" s="207">
        <v>46120</v>
      </c>
      <c r="AH15" s="207">
        <v>46121</v>
      </c>
      <c r="AI15" s="207">
        <v>46125</v>
      </c>
      <c r="AJ15" s="207">
        <v>46126</v>
      </c>
      <c r="AK15" s="207">
        <v>46140</v>
      </c>
      <c r="AL15" s="207">
        <f t="shared" si="0"/>
        <v>46141</v>
      </c>
      <c r="AM15" s="207">
        <f t="shared" si="1"/>
        <v>46141</v>
      </c>
    </row>
    <row r="16" spans="1:56" hidden="1">
      <c r="A16" s="137" t="s">
        <v>92</v>
      </c>
      <c r="B16" s="283" t="s">
        <v>93</v>
      </c>
      <c r="C16" s="165" t="s">
        <v>94</v>
      </c>
      <c r="D16" s="166" t="s">
        <v>655</v>
      </c>
      <c r="E16" s="137" t="s">
        <v>221</v>
      </c>
      <c r="F16" s="199" t="s">
        <v>211</v>
      </c>
      <c r="G16" s="196" t="s">
        <v>689</v>
      </c>
      <c r="H16" s="137" t="s">
        <v>97</v>
      </c>
      <c r="I16" s="137" t="s">
        <v>72</v>
      </c>
      <c r="J16" s="137"/>
      <c r="K16" s="137" t="s">
        <v>198</v>
      </c>
      <c r="L16" s="137" t="s">
        <v>73</v>
      </c>
      <c r="M16" s="137" t="s">
        <v>98</v>
      </c>
      <c r="N16" s="137" t="s">
        <v>99</v>
      </c>
      <c r="O16" s="137" t="s">
        <v>212</v>
      </c>
      <c r="P16" s="137" t="s">
        <v>200</v>
      </c>
      <c r="Q16" s="137"/>
      <c r="R16" s="137"/>
      <c r="S16" s="137" t="s">
        <v>679</v>
      </c>
      <c r="T16" s="137"/>
      <c r="U16" s="137" t="s">
        <v>680</v>
      </c>
      <c r="V16" s="137">
        <v>12</v>
      </c>
      <c r="W16" s="217" t="s">
        <v>681</v>
      </c>
      <c r="X16" s="209">
        <v>46024</v>
      </c>
      <c r="Y16" s="207">
        <v>46083</v>
      </c>
      <c r="Z16" s="207">
        <v>46056</v>
      </c>
      <c r="AA16" s="207">
        <v>46087</v>
      </c>
      <c r="AB16" s="207">
        <v>46083</v>
      </c>
      <c r="AC16" s="207">
        <v>46122</v>
      </c>
      <c r="AD16" s="207">
        <v>46111</v>
      </c>
      <c r="AE16" s="207">
        <v>46136</v>
      </c>
      <c r="AF16" s="207">
        <v>46118</v>
      </c>
      <c r="AG16" s="207">
        <v>46136</v>
      </c>
      <c r="AH16" s="207">
        <v>46125</v>
      </c>
      <c r="AI16" s="207">
        <v>46150</v>
      </c>
      <c r="AJ16" s="207">
        <v>46139</v>
      </c>
      <c r="AK16" s="207">
        <v>46171</v>
      </c>
      <c r="AL16" s="207">
        <f t="shared" si="0"/>
        <v>46172</v>
      </c>
      <c r="AM16" s="207">
        <f t="shared" si="1"/>
        <v>46172</v>
      </c>
    </row>
    <row r="17" spans="1:152" hidden="1">
      <c r="A17" s="137" t="s">
        <v>92</v>
      </c>
      <c r="B17" s="283" t="s">
        <v>93</v>
      </c>
      <c r="C17" s="165" t="s">
        <v>94</v>
      </c>
      <c r="D17" s="166" t="s">
        <v>655</v>
      </c>
      <c r="E17" s="137" t="s">
        <v>222</v>
      </c>
      <c r="F17" s="199" t="s">
        <v>211</v>
      </c>
      <c r="G17" s="196" t="s">
        <v>690</v>
      </c>
      <c r="H17" s="137" t="s">
        <v>97</v>
      </c>
      <c r="I17" s="137" t="s">
        <v>72</v>
      </c>
      <c r="J17" s="137"/>
      <c r="K17" s="137" t="s">
        <v>198</v>
      </c>
      <c r="L17" s="137" t="s">
        <v>73</v>
      </c>
      <c r="M17" s="137" t="s">
        <v>98</v>
      </c>
      <c r="N17" s="137" t="s">
        <v>99</v>
      </c>
      <c r="O17" s="137" t="s">
        <v>212</v>
      </c>
      <c r="P17" s="137" t="s">
        <v>200</v>
      </c>
      <c r="Q17" s="137"/>
      <c r="R17" s="137"/>
      <c r="S17" s="137" t="s">
        <v>679</v>
      </c>
      <c r="T17" s="137"/>
      <c r="U17" s="137" t="s">
        <v>680</v>
      </c>
      <c r="V17" s="137">
        <v>13</v>
      </c>
      <c r="W17" s="217" t="s">
        <v>681</v>
      </c>
      <c r="X17" s="209">
        <v>46024</v>
      </c>
      <c r="Y17" s="207">
        <v>46083</v>
      </c>
      <c r="Z17" s="207">
        <v>46056</v>
      </c>
      <c r="AA17" s="207">
        <v>46087</v>
      </c>
      <c r="AB17" s="207">
        <v>46083</v>
      </c>
      <c r="AC17" s="207">
        <v>46122</v>
      </c>
      <c r="AD17" s="207">
        <v>46111</v>
      </c>
      <c r="AE17" s="207">
        <v>46136</v>
      </c>
      <c r="AF17" s="207">
        <v>46118</v>
      </c>
      <c r="AG17" s="207">
        <v>46136</v>
      </c>
      <c r="AH17" s="207">
        <v>46125</v>
      </c>
      <c r="AI17" s="207">
        <v>46150</v>
      </c>
      <c r="AJ17" s="207">
        <v>46139</v>
      </c>
      <c r="AK17" s="207">
        <v>46171</v>
      </c>
      <c r="AL17" s="207">
        <f t="shared" si="0"/>
        <v>46172</v>
      </c>
      <c r="AM17" s="207">
        <f t="shared" si="1"/>
        <v>46172</v>
      </c>
    </row>
    <row r="18" spans="1:152" s="86" customFormat="1" hidden="1">
      <c r="A18" s="137" t="s">
        <v>92</v>
      </c>
      <c r="B18" s="283" t="s">
        <v>93</v>
      </c>
      <c r="C18" s="165" t="s">
        <v>94</v>
      </c>
      <c r="D18" s="166" t="s">
        <v>195</v>
      </c>
      <c r="E18" s="165" t="s">
        <v>223</v>
      </c>
      <c r="F18" s="197" t="s">
        <v>211</v>
      </c>
      <c r="G18" s="196" t="s">
        <v>691</v>
      </c>
      <c r="H18" s="137" t="s">
        <v>97</v>
      </c>
      <c r="I18" s="137" t="s">
        <v>72</v>
      </c>
      <c r="J18" s="137"/>
      <c r="K18" s="137" t="s">
        <v>198</v>
      </c>
      <c r="L18" s="137" t="s">
        <v>73</v>
      </c>
      <c r="M18" s="137" t="s">
        <v>98</v>
      </c>
      <c r="N18" s="137" t="s">
        <v>99</v>
      </c>
      <c r="O18" s="137" t="s">
        <v>212</v>
      </c>
      <c r="P18" s="137" t="s">
        <v>200</v>
      </c>
      <c r="Q18" s="137"/>
      <c r="R18" s="137"/>
      <c r="S18" s="285" t="s">
        <v>692</v>
      </c>
      <c r="T18" s="211"/>
      <c r="U18" s="137" t="s">
        <v>680</v>
      </c>
      <c r="V18" s="137">
        <v>14</v>
      </c>
      <c r="W18" s="217" t="s">
        <v>667</v>
      </c>
      <c r="X18" s="209">
        <v>46024</v>
      </c>
      <c r="Y18" s="207">
        <v>46083</v>
      </c>
      <c r="Z18" s="207">
        <v>46056</v>
      </c>
      <c r="AA18" s="207">
        <v>46136</v>
      </c>
      <c r="AB18" s="207">
        <v>46139</v>
      </c>
      <c r="AC18" s="207">
        <v>46157</v>
      </c>
      <c r="AD18" s="207">
        <v>46160</v>
      </c>
      <c r="AE18" s="207">
        <v>46171</v>
      </c>
      <c r="AF18" s="207">
        <v>46171</v>
      </c>
      <c r="AG18" s="207">
        <v>46174</v>
      </c>
      <c r="AH18" s="207">
        <v>46175</v>
      </c>
      <c r="AI18" s="207">
        <v>46177</v>
      </c>
      <c r="AJ18" s="207">
        <v>46178</v>
      </c>
      <c r="AK18" s="207">
        <v>46192</v>
      </c>
      <c r="AL18" s="207">
        <v>46195</v>
      </c>
      <c r="AM18" s="207">
        <v>46196</v>
      </c>
      <c r="AN18"/>
      <c r="AO18"/>
      <c r="AP18"/>
      <c r="AQ18"/>
      <c r="AR18"/>
      <c r="AS18"/>
      <c r="AT18"/>
      <c r="AU18"/>
      <c r="AV18"/>
      <c r="AW18"/>
      <c r="AX18"/>
      <c r="AY18"/>
      <c r="AZ18"/>
      <c r="BA18"/>
      <c r="BB18"/>
      <c r="BC18"/>
      <c r="BD18"/>
      <c r="BE18"/>
      <c r="BF18"/>
      <c r="BG18"/>
      <c r="BH18"/>
      <c r="BI18"/>
      <c r="BJ18"/>
      <c r="BK18"/>
      <c r="BL18"/>
      <c r="BM18"/>
      <c r="BN18"/>
      <c r="BO18"/>
      <c r="BP18"/>
      <c r="BQ18"/>
      <c r="BR18"/>
      <c r="BS18"/>
      <c r="BT18"/>
      <c r="BU18"/>
      <c r="BV18"/>
      <c r="BW18"/>
      <c r="BX18"/>
      <c r="BY18"/>
      <c r="BZ18"/>
      <c r="CA18"/>
      <c r="CB18"/>
      <c r="CC18"/>
      <c r="CD18"/>
      <c r="CE18"/>
      <c r="CF18"/>
      <c r="CG18"/>
      <c r="CH18"/>
      <c r="CI18"/>
      <c r="CJ18"/>
      <c r="CK18"/>
      <c r="CL18"/>
      <c r="CM18"/>
      <c r="CN18"/>
      <c r="CO18"/>
      <c r="CP18"/>
      <c r="CQ18"/>
      <c r="CR18"/>
      <c r="CS18"/>
      <c r="CT18"/>
      <c r="CU18"/>
      <c r="CV18"/>
      <c r="CW18"/>
      <c r="CX18"/>
      <c r="CY18"/>
      <c r="CZ18"/>
      <c r="DA18"/>
      <c r="DB18"/>
      <c r="DC18"/>
      <c r="DD18"/>
      <c r="DE18"/>
      <c r="DF18"/>
      <c r="DG18"/>
      <c r="DH18"/>
      <c r="DI18"/>
      <c r="DJ18"/>
      <c r="DK18"/>
      <c r="DL18"/>
      <c r="DM18"/>
      <c r="DN18"/>
      <c r="DO18"/>
      <c r="DP18"/>
      <c r="DQ18"/>
      <c r="DR18"/>
      <c r="DS18"/>
      <c r="DT18"/>
      <c r="DU18"/>
      <c r="DV18"/>
      <c r="DW18"/>
      <c r="DX18"/>
      <c r="DY18"/>
      <c r="DZ18"/>
      <c r="EA18"/>
      <c r="EB18"/>
      <c r="EC18"/>
      <c r="ED18"/>
      <c r="EE18"/>
      <c r="EF18"/>
      <c r="EG18"/>
      <c r="EH18"/>
      <c r="EI18"/>
      <c r="EJ18"/>
      <c r="EK18"/>
      <c r="EL18"/>
      <c r="EM18"/>
      <c r="EN18"/>
      <c r="EO18"/>
      <c r="EP18"/>
      <c r="EQ18"/>
      <c r="ER18"/>
      <c r="ES18"/>
      <c r="ET18"/>
      <c r="EU18"/>
      <c r="EV18"/>
    </row>
    <row r="19" spans="1:152" hidden="1">
      <c r="A19" s="168" t="s">
        <v>92</v>
      </c>
      <c r="B19" s="284" t="s">
        <v>68</v>
      </c>
      <c r="C19" s="169" t="s">
        <v>48</v>
      </c>
      <c r="D19" s="166" t="s">
        <v>324</v>
      </c>
      <c r="E19" s="168" t="s">
        <v>451</v>
      </c>
      <c r="F19" s="198" t="s">
        <v>452</v>
      </c>
      <c r="G19" s="205" t="s">
        <v>693</v>
      </c>
      <c r="H19" s="168" t="s">
        <v>72</v>
      </c>
      <c r="I19" s="168" t="s">
        <v>72</v>
      </c>
      <c r="J19" s="168"/>
      <c r="K19" s="168" t="s">
        <v>370</v>
      </c>
      <c r="L19" s="168" t="s">
        <v>102</v>
      </c>
      <c r="M19" s="168" t="s">
        <v>102</v>
      </c>
      <c r="N19" s="168" t="e">
        <f>#REF!</f>
        <v>#REF!</v>
      </c>
      <c r="O19" s="171" t="s">
        <v>404</v>
      </c>
      <c r="P19" s="168"/>
      <c r="Q19" s="168" t="s">
        <v>405</v>
      </c>
      <c r="R19" s="168" t="s">
        <v>448</v>
      </c>
      <c r="S19" s="137" t="s">
        <v>673</v>
      </c>
      <c r="T19" s="137"/>
      <c r="U19" s="137" t="s">
        <v>674</v>
      </c>
      <c r="V19" s="137">
        <v>34</v>
      </c>
      <c r="W19" s="217" t="s">
        <v>667</v>
      </c>
      <c r="X19" s="207">
        <v>45659</v>
      </c>
      <c r="Y19" s="207">
        <v>46083</v>
      </c>
      <c r="Z19" s="207">
        <v>46084</v>
      </c>
      <c r="AA19" s="207">
        <v>46084</v>
      </c>
      <c r="AB19" s="207">
        <v>46085</v>
      </c>
      <c r="AC19" s="207">
        <v>46098</v>
      </c>
      <c r="AD19" s="207">
        <v>46099</v>
      </c>
      <c r="AE19" s="207">
        <v>46119</v>
      </c>
      <c r="AF19" s="207">
        <v>46119</v>
      </c>
      <c r="AG19" s="207">
        <v>46120</v>
      </c>
      <c r="AH19" s="207">
        <v>46121</v>
      </c>
      <c r="AI19" s="207">
        <v>46125</v>
      </c>
      <c r="AJ19" s="207">
        <v>46126</v>
      </c>
      <c r="AK19" s="207">
        <v>46140</v>
      </c>
      <c r="AL19" s="207">
        <f>AK19+1</f>
        <v>46141</v>
      </c>
      <c r="AM19" s="207">
        <f>AL19</f>
        <v>46141</v>
      </c>
    </row>
    <row r="20" spans="1:152" hidden="1">
      <c r="A20" s="172" t="s">
        <v>67</v>
      </c>
      <c r="B20" s="286" t="s">
        <v>133</v>
      </c>
      <c r="C20" s="173" t="s">
        <v>134</v>
      </c>
      <c r="D20" s="166" t="s">
        <v>656</v>
      </c>
      <c r="E20" s="172" t="s">
        <v>416</v>
      </c>
      <c r="F20" s="200" t="s">
        <v>417</v>
      </c>
      <c r="G20" s="206" t="s">
        <v>694</v>
      </c>
      <c r="H20" s="172" t="s">
        <v>102</v>
      </c>
      <c r="I20" s="172"/>
      <c r="J20" s="172"/>
      <c r="K20" s="172" t="s">
        <v>347</v>
      </c>
      <c r="L20" s="172" t="s">
        <v>102</v>
      </c>
      <c r="M20" s="172" t="s">
        <v>102</v>
      </c>
      <c r="N20" s="172" t="e">
        <f>#REF!</f>
        <v>#REF!</v>
      </c>
      <c r="O20" s="172"/>
      <c r="P20" s="172"/>
      <c r="Q20" s="172" t="s">
        <v>462</v>
      </c>
      <c r="R20" s="172"/>
      <c r="S20" s="137" t="s">
        <v>695</v>
      </c>
      <c r="T20" s="137"/>
      <c r="U20" s="137" t="s">
        <v>696</v>
      </c>
      <c r="V20" s="137">
        <v>16</v>
      </c>
      <c r="W20" s="217" t="s">
        <v>44</v>
      </c>
      <c r="X20" s="207">
        <v>45659</v>
      </c>
      <c r="Y20" s="207">
        <v>46083</v>
      </c>
      <c r="Z20" s="207">
        <v>46108</v>
      </c>
      <c r="AA20" s="207">
        <v>46108</v>
      </c>
      <c r="AB20" s="207">
        <v>46108</v>
      </c>
      <c r="AC20" s="207">
        <v>46108</v>
      </c>
      <c r="AD20" s="207">
        <v>46108</v>
      </c>
      <c r="AE20" s="207">
        <v>46108</v>
      </c>
      <c r="AF20" s="207">
        <v>46108</v>
      </c>
      <c r="AG20" s="207">
        <v>46108</v>
      </c>
      <c r="AH20" s="207">
        <v>46108</v>
      </c>
      <c r="AI20" s="207">
        <v>46108</v>
      </c>
      <c r="AJ20" s="207">
        <v>46108</v>
      </c>
      <c r="AK20" s="207">
        <v>46108</v>
      </c>
      <c r="AL20" s="207">
        <f>AK20</f>
        <v>46108</v>
      </c>
      <c r="AM20" s="207">
        <f>AL20</f>
        <v>46108</v>
      </c>
    </row>
    <row r="21" spans="1:152" hidden="1">
      <c r="A21" s="137" t="s">
        <v>92</v>
      </c>
      <c r="B21" s="283" t="s">
        <v>93</v>
      </c>
      <c r="C21" s="165" t="s">
        <v>94</v>
      </c>
      <c r="D21" s="166" t="s">
        <v>195</v>
      </c>
      <c r="E21" s="192" t="s">
        <v>418</v>
      </c>
      <c r="F21" s="197" t="s">
        <v>419</v>
      </c>
      <c r="G21" s="196" t="s">
        <v>697</v>
      </c>
      <c r="H21" s="137" t="s">
        <v>97</v>
      </c>
      <c r="I21" s="183" t="s">
        <v>698</v>
      </c>
      <c r="J21" s="137"/>
      <c r="K21" s="137" t="s">
        <v>370</v>
      </c>
      <c r="L21" s="137" t="s">
        <v>102</v>
      </c>
      <c r="M21" s="137" t="s">
        <v>102</v>
      </c>
      <c r="N21" s="137" t="e">
        <f>#REF!</f>
        <v>#REF!</v>
      </c>
      <c r="O21" s="137" t="s">
        <v>420</v>
      </c>
      <c r="P21" s="137" t="s">
        <v>160</v>
      </c>
      <c r="Q21" s="137" t="s">
        <v>405</v>
      </c>
      <c r="R21" s="137" t="s">
        <v>421</v>
      </c>
      <c r="S21" s="137" t="s">
        <v>699</v>
      </c>
      <c r="T21" s="167"/>
      <c r="U21" s="137" t="s">
        <v>674</v>
      </c>
      <c r="V21" s="137">
        <v>17</v>
      </c>
      <c r="W21" s="217" t="s">
        <v>667</v>
      </c>
      <c r="X21" s="209">
        <v>46024</v>
      </c>
      <c r="Y21" s="207">
        <v>46083</v>
      </c>
      <c r="Z21" s="207">
        <v>46093</v>
      </c>
      <c r="AA21" s="207">
        <v>46142</v>
      </c>
      <c r="AB21" s="207">
        <v>46146</v>
      </c>
      <c r="AC21" s="207">
        <v>46164</v>
      </c>
      <c r="AD21" s="207">
        <v>46167</v>
      </c>
      <c r="AE21" s="207">
        <v>46178</v>
      </c>
      <c r="AF21" s="207">
        <v>46178</v>
      </c>
      <c r="AG21" s="207">
        <v>46181</v>
      </c>
      <c r="AH21" s="207">
        <v>46182</v>
      </c>
      <c r="AI21" s="207">
        <v>46185</v>
      </c>
      <c r="AJ21" s="207">
        <v>46188</v>
      </c>
      <c r="AK21" s="207">
        <v>46199</v>
      </c>
      <c r="AL21" s="207">
        <v>46199</v>
      </c>
      <c r="AM21" s="207">
        <v>46202</v>
      </c>
      <c r="AN21" t="s">
        <v>700</v>
      </c>
    </row>
    <row r="22" spans="1:152" ht="24.75" hidden="1" customHeight="1">
      <c r="A22" s="137" t="s">
        <v>92</v>
      </c>
      <c r="B22" s="283" t="s">
        <v>93</v>
      </c>
      <c r="C22" s="165" t="s">
        <v>94</v>
      </c>
      <c r="D22" s="166" t="s">
        <v>195</v>
      </c>
      <c r="E22" s="192" t="s">
        <v>422</v>
      </c>
      <c r="F22" s="197" t="s">
        <v>419</v>
      </c>
      <c r="G22" s="196" t="s">
        <v>701</v>
      </c>
      <c r="H22" s="137" t="s">
        <v>97</v>
      </c>
      <c r="I22" s="183" t="s">
        <v>698</v>
      </c>
      <c r="J22" s="137"/>
      <c r="K22" s="137" t="s">
        <v>370</v>
      </c>
      <c r="L22" s="137" t="s">
        <v>102</v>
      </c>
      <c r="M22" s="137" t="s">
        <v>102</v>
      </c>
      <c r="N22" s="137" t="e">
        <f>#REF!</f>
        <v>#REF!</v>
      </c>
      <c r="O22" s="137" t="s">
        <v>423</v>
      </c>
      <c r="P22" s="137" t="s">
        <v>424</v>
      </c>
      <c r="Q22" s="137" t="s">
        <v>405</v>
      </c>
      <c r="R22" s="137" t="s">
        <v>421</v>
      </c>
      <c r="S22" s="137" t="s">
        <v>699</v>
      </c>
      <c r="T22" s="167"/>
      <c r="U22" s="137" t="s">
        <v>674</v>
      </c>
      <c r="V22" s="137">
        <v>18</v>
      </c>
      <c r="W22" s="217" t="s">
        <v>667</v>
      </c>
      <c r="X22" s="209">
        <v>46024</v>
      </c>
      <c r="Y22" s="207">
        <v>46083</v>
      </c>
      <c r="Z22" s="207">
        <v>46093</v>
      </c>
      <c r="AA22" s="207">
        <v>46142</v>
      </c>
      <c r="AB22" s="207">
        <v>46146</v>
      </c>
      <c r="AC22" s="207">
        <v>46164</v>
      </c>
      <c r="AD22" s="207">
        <v>46167</v>
      </c>
      <c r="AE22" s="207">
        <v>46178</v>
      </c>
      <c r="AF22" s="207">
        <v>46178</v>
      </c>
      <c r="AG22" s="207">
        <v>46181</v>
      </c>
      <c r="AH22" s="207">
        <v>46182</v>
      </c>
      <c r="AI22" s="207">
        <v>46185</v>
      </c>
      <c r="AJ22" s="207">
        <v>46188</v>
      </c>
      <c r="AK22" s="207">
        <v>46199</v>
      </c>
      <c r="AL22" s="207">
        <v>46199</v>
      </c>
      <c r="AM22" s="207">
        <v>46202</v>
      </c>
      <c r="AN22" s="216" t="s">
        <v>700</v>
      </c>
    </row>
    <row r="23" spans="1:152" hidden="1">
      <c r="A23" s="137" t="s">
        <v>92</v>
      </c>
      <c r="B23" s="283" t="s">
        <v>93</v>
      </c>
      <c r="C23" s="165" t="s">
        <v>94</v>
      </c>
      <c r="D23" s="166" t="s">
        <v>195</v>
      </c>
      <c r="E23" s="192" t="s">
        <v>425</v>
      </c>
      <c r="F23" s="197" t="s">
        <v>419</v>
      </c>
      <c r="G23" s="196" t="s">
        <v>702</v>
      </c>
      <c r="H23" s="137" t="s">
        <v>97</v>
      </c>
      <c r="I23" s="183" t="s">
        <v>698</v>
      </c>
      <c r="J23" s="137"/>
      <c r="K23" s="137" t="s">
        <v>370</v>
      </c>
      <c r="L23" s="137" t="s">
        <v>102</v>
      </c>
      <c r="M23" s="137" t="s">
        <v>102</v>
      </c>
      <c r="N23" s="137" t="e">
        <f>#REF!</f>
        <v>#REF!</v>
      </c>
      <c r="O23" s="137" t="s">
        <v>426</v>
      </c>
      <c r="P23" s="137" t="s">
        <v>99</v>
      </c>
      <c r="Q23" s="137" t="s">
        <v>405</v>
      </c>
      <c r="R23" s="137" t="s">
        <v>421</v>
      </c>
      <c r="S23" s="137" t="s">
        <v>699</v>
      </c>
      <c r="T23" s="167"/>
      <c r="U23" s="137" t="s">
        <v>674</v>
      </c>
      <c r="V23" s="137">
        <v>19</v>
      </c>
      <c r="W23" s="217" t="s">
        <v>667</v>
      </c>
      <c r="X23" s="209">
        <v>46024</v>
      </c>
      <c r="Y23" s="207">
        <v>46083</v>
      </c>
      <c r="Z23" s="207">
        <v>46093</v>
      </c>
      <c r="AA23" s="207">
        <v>46142</v>
      </c>
      <c r="AB23" s="207">
        <v>46146</v>
      </c>
      <c r="AC23" s="207">
        <v>46164</v>
      </c>
      <c r="AD23" s="207">
        <v>46167</v>
      </c>
      <c r="AE23" s="207">
        <v>46178</v>
      </c>
      <c r="AF23" s="207">
        <v>46178</v>
      </c>
      <c r="AG23" s="207">
        <v>46181</v>
      </c>
      <c r="AH23" s="207">
        <v>46182</v>
      </c>
      <c r="AI23" s="207">
        <v>46185</v>
      </c>
      <c r="AJ23" s="207">
        <v>46188</v>
      </c>
      <c r="AK23" s="207">
        <v>46199</v>
      </c>
      <c r="AL23" s="207">
        <v>46199</v>
      </c>
      <c r="AM23" s="207">
        <v>46202</v>
      </c>
      <c r="AN23" s="216" t="s">
        <v>703</v>
      </c>
    </row>
    <row r="24" spans="1:152" hidden="1">
      <c r="A24" s="137" t="s">
        <v>92</v>
      </c>
      <c r="B24" s="283" t="s">
        <v>93</v>
      </c>
      <c r="C24" s="165" t="s">
        <v>94</v>
      </c>
      <c r="D24" s="166" t="s">
        <v>195</v>
      </c>
      <c r="E24" s="192" t="s">
        <v>427</v>
      </c>
      <c r="F24" s="197" t="s">
        <v>419</v>
      </c>
      <c r="G24" s="196" t="s">
        <v>704</v>
      </c>
      <c r="H24" s="137" t="s">
        <v>97</v>
      </c>
      <c r="I24" s="183" t="s">
        <v>698</v>
      </c>
      <c r="J24" s="137"/>
      <c r="K24" s="137" t="s">
        <v>370</v>
      </c>
      <c r="L24" s="137" t="s">
        <v>102</v>
      </c>
      <c r="M24" s="137" t="s">
        <v>102</v>
      </c>
      <c r="N24" s="137" t="e">
        <f>#REF!</f>
        <v>#REF!</v>
      </c>
      <c r="O24" s="137" t="s">
        <v>428</v>
      </c>
      <c r="P24" s="137" t="s">
        <v>75</v>
      </c>
      <c r="Q24" s="137" t="s">
        <v>405</v>
      </c>
      <c r="R24" s="137" t="s">
        <v>421</v>
      </c>
      <c r="S24" s="137" t="s">
        <v>699</v>
      </c>
      <c r="T24" s="167"/>
      <c r="U24" s="137" t="s">
        <v>674</v>
      </c>
      <c r="V24" s="137">
        <v>20</v>
      </c>
      <c r="W24" s="217" t="s">
        <v>667</v>
      </c>
      <c r="X24" s="209">
        <v>46024</v>
      </c>
      <c r="Y24" s="207">
        <v>46083</v>
      </c>
      <c r="Z24" s="207">
        <v>46093</v>
      </c>
      <c r="AA24" s="207">
        <v>46142</v>
      </c>
      <c r="AB24" s="207">
        <v>46146</v>
      </c>
      <c r="AC24" s="207">
        <v>46164</v>
      </c>
      <c r="AD24" s="207">
        <v>46167</v>
      </c>
      <c r="AE24" s="207">
        <v>46178</v>
      </c>
      <c r="AF24" s="207">
        <v>46178</v>
      </c>
      <c r="AG24" s="207">
        <v>46181</v>
      </c>
      <c r="AH24" s="207">
        <v>46182</v>
      </c>
      <c r="AI24" s="207">
        <v>46185</v>
      </c>
      <c r="AJ24" s="207">
        <v>46188</v>
      </c>
      <c r="AK24" s="207">
        <v>46199</v>
      </c>
      <c r="AL24" s="207">
        <v>46199</v>
      </c>
      <c r="AM24" s="207">
        <v>46202</v>
      </c>
      <c r="AN24" t="s">
        <v>700</v>
      </c>
    </row>
    <row r="25" spans="1:152" hidden="1">
      <c r="A25" s="137" t="s">
        <v>92</v>
      </c>
      <c r="B25" s="283" t="s">
        <v>93</v>
      </c>
      <c r="C25" s="165" t="s">
        <v>94</v>
      </c>
      <c r="D25" s="166" t="s">
        <v>195</v>
      </c>
      <c r="E25" s="192" t="s">
        <v>429</v>
      </c>
      <c r="F25" s="197" t="s">
        <v>419</v>
      </c>
      <c r="G25" s="196" t="s">
        <v>705</v>
      </c>
      <c r="H25" s="137" t="s">
        <v>97</v>
      </c>
      <c r="I25" s="183" t="s">
        <v>698</v>
      </c>
      <c r="J25" s="137"/>
      <c r="K25" s="137" t="s">
        <v>370</v>
      </c>
      <c r="L25" s="137" t="s">
        <v>102</v>
      </c>
      <c r="M25" s="137" t="s">
        <v>102</v>
      </c>
      <c r="N25" s="137" t="e">
        <f>#REF!</f>
        <v>#REF!</v>
      </c>
      <c r="O25" s="137" t="s">
        <v>430</v>
      </c>
      <c r="P25" s="137" t="s">
        <v>99</v>
      </c>
      <c r="Q25" s="137" t="s">
        <v>405</v>
      </c>
      <c r="R25" s="137" t="s">
        <v>421</v>
      </c>
      <c r="S25" s="137" t="s">
        <v>699</v>
      </c>
      <c r="T25" s="167"/>
      <c r="U25" s="137" t="s">
        <v>674</v>
      </c>
      <c r="V25" s="137">
        <v>21</v>
      </c>
      <c r="W25" s="217" t="s">
        <v>667</v>
      </c>
      <c r="X25" s="209">
        <v>46024</v>
      </c>
      <c r="Y25" s="207">
        <v>46083</v>
      </c>
      <c r="Z25" s="207">
        <v>46093</v>
      </c>
      <c r="AA25" s="207">
        <v>46142</v>
      </c>
      <c r="AB25" s="207">
        <v>46146</v>
      </c>
      <c r="AC25" s="207">
        <v>46164</v>
      </c>
      <c r="AD25" s="207">
        <v>46167</v>
      </c>
      <c r="AE25" s="207">
        <v>46178</v>
      </c>
      <c r="AF25" s="207">
        <v>46178</v>
      </c>
      <c r="AG25" s="207">
        <v>46181</v>
      </c>
      <c r="AH25" s="207">
        <v>46182</v>
      </c>
      <c r="AI25" s="207">
        <v>46185</v>
      </c>
      <c r="AJ25" s="207">
        <v>46188</v>
      </c>
      <c r="AK25" s="207">
        <v>46199</v>
      </c>
      <c r="AL25" s="207">
        <v>46199</v>
      </c>
      <c r="AM25" s="207">
        <v>46202</v>
      </c>
      <c r="AN25" t="s">
        <v>700</v>
      </c>
    </row>
    <row r="26" spans="1:152" hidden="1">
      <c r="A26" s="137" t="s">
        <v>92</v>
      </c>
      <c r="B26" s="283" t="s">
        <v>93</v>
      </c>
      <c r="C26" s="165" t="s">
        <v>94</v>
      </c>
      <c r="D26" s="166" t="s">
        <v>195</v>
      </c>
      <c r="E26" s="192" t="s">
        <v>431</v>
      </c>
      <c r="F26" s="197" t="s">
        <v>419</v>
      </c>
      <c r="G26" s="196" t="s">
        <v>706</v>
      </c>
      <c r="H26" s="137" t="s">
        <v>97</v>
      </c>
      <c r="I26" s="183" t="s">
        <v>698</v>
      </c>
      <c r="J26" s="137"/>
      <c r="K26" s="137" t="s">
        <v>370</v>
      </c>
      <c r="L26" s="137" t="s">
        <v>102</v>
      </c>
      <c r="M26" s="137" t="s">
        <v>102</v>
      </c>
      <c r="N26" s="137" t="e">
        <f>#REF!</f>
        <v>#REF!</v>
      </c>
      <c r="O26" s="137" t="s">
        <v>432</v>
      </c>
      <c r="P26" s="137" t="s">
        <v>433</v>
      </c>
      <c r="Q26" s="137" t="s">
        <v>405</v>
      </c>
      <c r="R26" s="137" t="s">
        <v>421</v>
      </c>
      <c r="S26" s="137" t="s">
        <v>699</v>
      </c>
      <c r="T26" s="167"/>
      <c r="U26" s="137" t="s">
        <v>674</v>
      </c>
      <c r="V26" s="137">
        <v>22</v>
      </c>
      <c r="W26" s="217" t="s">
        <v>667</v>
      </c>
      <c r="X26" s="207">
        <v>45659</v>
      </c>
      <c r="Y26" s="207">
        <v>46083</v>
      </c>
      <c r="Z26" s="207">
        <v>46093</v>
      </c>
      <c r="AA26" s="207">
        <v>46142</v>
      </c>
      <c r="AB26" s="207">
        <v>46146</v>
      </c>
      <c r="AC26" s="207">
        <v>46164</v>
      </c>
      <c r="AD26" s="207">
        <v>46167</v>
      </c>
      <c r="AE26" s="207">
        <v>46178</v>
      </c>
      <c r="AF26" s="207">
        <v>46178</v>
      </c>
      <c r="AG26" s="207">
        <v>46181</v>
      </c>
      <c r="AH26" s="207">
        <v>46182</v>
      </c>
      <c r="AI26" s="207">
        <v>46185</v>
      </c>
      <c r="AJ26" s="207">
        <v>46188</v>
      </c>
      <c r="AK26" s="207">
        <v>46199</v>
      </c>
      <c r="AL26" s="207">
        <v>46199</v>
      </c>
      <c r="AM26" s="207">
        <v>46202</v>
      </c>
      <c r="AN26" t="s">
        <v>703</v>
      </c>
    </row>
    <row r="27" spans="1:152" hidden="1">
      <c r="A27" s="137" t="s">
        <v>92</v>
      </c>
      <c r="B27" s="283" t="s">
        <v>93</v>
      </c>
      <c r="C27" s="165" t="s">
        <v>94</v>
      </c>
      <c r="D27" s="166" t="s">
        <v>195</v>
      </c>
      <c r="E27" s="137" t="s">
        <v>251</v>
      </c>
      <c r="F27" s="197" t="s">
        <v>197</v>
      </c>
      <c r="G27" s="196" t="s">
        <v>707</v>
      </c>
      <c r="H27" s="137" t="s">
        <v>97</v>
      </c>
      <c r="I27" s="137" t="s">
        <v>72</v>
      </c>
      <c r="J27" s="137"/>
      <c r="K27" s="137" t="s">
        <v>198</v>
      </c>
      <c r="L27" s="137" t="s">
        <v>73</v>
      </c>
      <c r="M27" s="137" t="s">
        <v>98</v>
      </c>
      <c r="N27" s="137" t="s">
        <v>99</v>
      </c>
      <c r="O27" s="137" t="s">
        <v>199</v>
      </c>
      <c r="P27" s="137" t="s">
        <v>200</v>
      </c>
      <c r="Q27" s="137"/>
      <c r="R27" s="137"/>
      <c r="S27" s="256" t="s">
        <v>708</v>
      </c>
      <c r="T27" s="211"/>
      <c r="U27" s="137" t="s">
        <v>666</v>
      </c>
      <c r="V27" s="137">
        <v>23</v>
      </c>
      <c r="W27" s="217" t="s">
        <v>667</v>
      </c>
      <c r="X27" s="209">
        <v>46024</v>
      </c>
      <c r="Y27" s="207">
        <v>46083</v>
      </c>
      <c r="Z27" s="207">
        <v>46056</v>
      </c>
      <c r="AA27" s="207">
        <v>46136</v>
      </c>
      <c r="AB27" s="207">
        <v>46139</v>
      </c>
      <c r="AC27" s="207">
        <v>46157</v>
      </c>
      <c r="AD27" s="207">
        <v>46160</v>
      </c>
      <c r="AE27" s="207">
        <v>46171</v>
      </c>
      <c r="AF27" s="207">
        <v>46171</v>
      </c>
      <c r="AG27" s="207">
        <v>46174</v>
      </c>
      <c r="AH27" s="207">
        <v>46175</v>
      </c>
      <c r="AI27" s="207">
        <v>46177</v>
      </c>
      <c r="AJ27" s="207">
        <v>46178</v>
      </c>
      <c r="AK27" s="207">
        <v>46192</v>
      </c>
      <c r="AL27" s="207">
        <v>46195</v>
      </c>
      <c r="AM27" s="207">
        <v>46196</v>
      </c>
    </row>
    <row r="28" spans="1:152" hidden="1">
      <c r="A28" s="172" t="s">
        <v>46</v>
      </c>
      <c r="B28" s="287" t="s">
        <v>61</v>
      </c>
      <c r="C28" s="173" t="s">
        <v>48</v>
      </c>
      <c r="D28" s="166" t="s">
        <v>656</v>
      </c>
      <c r="E28" s="172" t="s">
        <v>434</v>
      </c>
      <c r="F28" s="200" t="s">
        <v>63</v>
      </c>
      <c r="G28" s="206" t="s">
        <v>709</v>
      </c>
      <c r="H28" s="172" t="s">
        <v>102</v>
      </c>
      <c r="I28" s="172"/>
      <c r="J28" s="172"/>
      <c r="K28" s="172" t="s">
        <v>347</v>
      </c>
      <c r="L28" s="172" t="s">
        <v>102</v>
      </c>
      <c r="M28" s="172" t="s">
        <v>102</v>
      </c>
      <c r="N28" s="172" t="e">
        <f>#REF!</f>
        <v>#REF!</v>
      </c>
      <c r="O28" s="172"/>
      <c r="P28" s="172"/>
      <c r="Q28" s="172" t="s">
        <v>462</v>
      </c>
      <c r="R28" s="172"/>
      <c r="S28" s="137" t="s">
        <v>695</v>
      </c>
      <c r="T28" s="137"/>
      <c r="U28" s="137" t="s">
        <v>696</v>
      </c>
      <c r="V28" s="137">
        <v>24</v>
      </c>
      <c r="W28" s="217" t="s">
        <v>44</v>
      </c>
      <c r="X28" s="207">
        <v>45659</v>
      </c>
      <c r="Y28" s="207">
        <v>46083</v>
      </c>
      <c r="Z28" s="207">
        <v>46108</v>
      </c>
      <c r="AA28" s="207">
        <v>46108</v>
      </c>
      <c r="AB28" s="207">
        <v>46108</v>
      </c>
      <c r="AC28" s="207">
        <v>46108</v>
      </c>
      <c r="AD28" s="207">
        <v>46108</v>
      </c>
      <c r="AE28" s="207">
        <v>46108</v>
      </c>
      <c r="AF28" s="207">
        <v>46108</v>
      </c>
      <c r="AG28" s="207">
        <v>46108</v>
      </c>
      <c r="AH28" s="207">
        <v>46108</v>
      </c>
      <c r="AI28" s="207">
        <v>46108</v>
      </c>
      <c r="AJ28" s="207">
        <v>46108</v>
      </c>
      <c r="AK28" s="207">
        <v>46108</v>
      </c>
      <c r="AL28" s="207">
        <f>AK28+1</f>
        <v>46109</v>
      </c>
      <c r="AM28" s="207">
        <f>AL28</f>
        <v>46109</v>
      </c>
    </row>
    <row r="29" spans="1:152" hidden="1">
      <c r="A29" s="137" t="s">
        <v>67</v>
      </c>
      <c r="B29" s="283" t="s">
        <v>133</v>
      </c>
      <c r="C29" s="165" t="s">
        <v>134</v>
      </c>
      <c r="D29" s="166" t="s">
        <v>710</v>
      </c>
      <c r="E29" s="137" t="s">
        <v>436</v>
      </c>
      <c r="F29" s="199" t="s">
        <v>417</v>
      </c>
      <c r="G29" s="196" t="s">
        <v>711</v>
      </c>
      <c r="H29" s="137" t="s">
        <v>437</v>
      </c>
      <c r="I29" s="137" t="s">
        <v>54</v>
      </c>
      <c r="J29" s="137"/>
      <c r="K29" s="137" t="s">
        <v>339</v>
      </c>
      <c r="L29" s="137"/>
      <c r="M29" s="137" t="s">
        <v>57</v>
      </c>
      <c r="N29" s="137" t="s">
        <v>133</v>
      </c>
      <c r="O29" s="137"/>
      <c r="P29" s="137"/>
      <c r="Q29" s="137"/>
      <c r="R29" s="137"/>
      <c r="S29" s="137" t="s">
        <v>712</v>
      </c>
      <c r="T29" s="137" t="s">
        <v>713</v>
      </c>
      <c r="U29" s="137" t="s">
        <v>714</v>
      </c>
      <c r="V29" s="137">
        <v>25</v>
      </c>
      <c r="W29" s="217"/>
      <c r="X29" s="207">
        <v>45659</v>
      </c>
      <c r="Y29" s="207">
        <v>46031</v>
      </c>
      <c r="Z29" s="207">
        <v>46034</v>
      </c>
      <c r="AA29" s="207">
        <v>46038</v>
      </c>
      <c r="AB29" s="207">
        <v>46041</v>
      </c>
      <c r="AC29" s="207">
        <v>46045</v>
      </c>
      <c r="AD29" s="207">
        <v>46048</v>
      </c>
      <c r="AE29" s="207">
        <v>46052</v>
      </c>
      <c r="AF29" s="207">
        <v>46055</v>
      </c>
      <c r="AG29" s="207">
        <v>46062</v>
      </c>
      <c r="AH29" s="207">
        <v>46076</v>
      </c>
      <c r="AI29" s="207">
        <v>46101</v>
      </c>
      <c r="AJ29" s="207">
        <v>46104</v>
      </c>
      <c r="AK29" s="207">
        <v>46129</v>
      </c>
      <c r="AL29" s="207">
        <f>AK29+1</f>
        <v>46130</v>
      </c>
      <c r="AM29" s="207">
        <f>AL29</f>
        <v>46130</v>
      </c>
    </row>
    <row r="30" spans="1:152" hidden="1">
      <c r="A30" s="137" t="s">
        <v>80</v>
      </c>
      <c r="B30" s="283" t="s">
        <v>133</v>
      </c>
      <c r="C30" s="165" t="s">
        <v>134</v>
      </c>
      <c r="D30" s="166" t="s">
        <v>710</v>
      </c>
      <c r="E30" s="137" t="s">
        <v>135</v>
      </c>
      <c r="F30" s="197" t="s">
        <v>136</v>
      </c>
      <c r="G30" s="196" t="s">
        <v>715</v>
      </c>
      <c r="H30" s="137" t="s">
        <v>53</v>
      </c>
      <c r="I30" s="137" t="s">
        <v>83</v>
      </c>
      <c r="J30" s="137" t="s">
        <v>137</v>
      </c>
      <c r="K30" s="137" t="s">
        <v>55</v>
      </c>
      <c r="L30" s="137"/>
      <c r="M30" s="137" t="s">
        <v>57</v>
      </c>
      <c r="N30" s="137" t="s">
        <v>58</v>
      </c>
      <c r="O30" s="137" t="s">
        <v>85</v>
      </c>
      <c r="P30" s="137" t="s">
        <v>138</v>
      </c>
      <c r="Q30" s="137"/>
      <c r="R30" s="137"/>
      <c r="S30" s="252" t="s">
        <v>716</v>
      </c>
      <c r="T30" s="212" t="s">
        <v>717</v>
      </c>
      <c r="U30" s="137" t="s">
        <v>718</v>
      </c>
      <c r="V30" s="137">
        <v>26</v>
      </c>
      <c r="W30" s="219" t="s">
        <v>667</v>
      </c>
      <c r="X30" s="207">
        <v>45659</v>
      </c>
      <c r="Y30" s="207">
        <v>46038</v>
      </c>
      <c r="Z30" s="207">
        <v>46041</v>
      </c>
      <c r="AA30" s="207">
        <v>46052</v>
      </c>
      <c r="AB30" s="207">
        <v>46056</v>
      </c>
      <c r="AC30" s="207">
        <v>46080</v>
      </c>
      <c r="AD30" s="207">
        <v>46083</v>
      </c>
      <c r="AE30" s="207">
        <v>46105</v>
      </c>
      <c r="AF30" s="207">
        <v>46105</v>
      </c>
      <c r="AG30" s="207">
        <v>46106</v>
      </c>
      <c r="AH30" s="207">
        <v>46111</v>
      </c>
      <c r="AI30" s="207">
        <v>46113</v>
      </c>
      <c r="AJ30" s="207">
        <v>46118</v>
      </c>
      <c r="AK30" s="207">
        <v>46129</v>
      </c>
      <c r="AL30" s="207">
        <f>AK30+1</f>
        <v>46130</v>
      </c>
      <c r="AM30" s="207">
        <f>AL30</f>
        <v>46130</v>
      </c>
    </row>
    <row r="31" spans="1:152" hidden="1">
      <c r="A31" s="137" t="s">
        <v>719</v>
      </c>
      <c r="B31" s="283" t="s">
        <v>16</v>
      </c>
      <c r="C31" s="165" t="s">
        <v>123</v>
      </c>
      <c r="D31" s="166" t="s">
        <v>710</v>
      </c>
      <c r="E31" s="137" t="s">
        <v>438</v>
      </c>
      <c r="F31" s="199" t="s">
        <v>439</v>
      </c>
      <c r="G31" s="196" t="s">
        <v>720</v>
      </c>
      <c r="H31" s="137" t="s">
        <v>219</v>
      </c>
      <c r="I31" s="137" t="s">
        <v>83</v>
      </c>
      <c r="J31" s="137" t="s">
        <v>440</v>
      </c>
      <c r="K31" s="137" t="s">
        <v>339</v>
      </c>
      <c r="L31" s="137"/>
      <c r="M31" s="137" t="s">
        <v>57</v>
      </c>
      <c r="N31" s="137" t="s">
        <v>16</v>
      </c>
      <c r="O31" s="137"/>
      <c r="P31" s="137"/>
      <c r="Q31" s="137"/>
      <c r="R31" s="137"/>
      <c r="S31" s="137" t="s">
        <v>721</v>
      </c>
      <c r="T31" s="137" t="s">
        <v>713</v>
      </c>
      <c r="U31" s="137" t="s">
        <v>714</v>
      </c>
      <c r="V31" s="137">
        <v>27</v>
      </c>
      <c r="W31" s="217"/>
      <c r="X31" s="207">
        <v>46024</v>
      </c>
      <c r="Y31" s="207">
        <v>46083</v>
      </c>
      <c r="Z31" s="207">
        <v>46041</v>
      </c>
      <c r="AA31" s="207">
        <v>46052</v>
      </c>
      <c r="AB31" s="207">
        <v>46056</v>
      </c>
      <c r="AC31" s="207">
        <v>46069</v>
      </c>
      <c r="AD31" s="207">
        <v>46070</v>
      </c>
      <c r="AE31" s="207">
        <v>46072</v>
      </c>
      <c r="AF31" s="207">
        <v>46073</v>
      </c>
      <c r="AG31" s="207">
        <v>46073</v>
      </c>
      <c r="AH31" s="207">
        <v>46076</v>
      </c>
      <c r="AI31" s="207">
        <v>46101</v>
      </c>
      <c r="AJ31" s="207">
        <v>46104</v>
      </c>
      <c r="AK31" s="207">
        <v>46129</v>
      </c>
      <c r="AL31" s="207">
        <f>AK31+1</f>
        <v>46130</v>
      </c>
      <c r="AM31" s="207">
        <f>AL31</f>
        <v>46130</v>
      </c>
    </row>
    <row r="32" spans="1:152" hidden="1">
      <c r="A32" s="168" t="s">
        <v>92</v>
      </c>
      <c r="B32" s="284" t="s">
        <v>68</v>
      </c>
      <c r="C32" s="169" t="s">
        <v>48</v>
      </c>
      <c r="D32" s="166" t="s">
        <v>324</v>
      </c>
      <c r="E32" s="168" t="s">
        <v>453</v>
      </c>
      <c r="F32" s="198" t="s">
        <v>454</v>
      </c>
      <c r="G32" s="205" t="s">
        <v>722</v>
      </c>
      <c r="H32" s="168" t="s">
        <v>72</v>
      </c>
      <c r="I32" s="168" t="s">
        <v>72</v>
      </c>
      <c r="J32" s="168"/>
      <c r="K32" s="168" t="s">
        <v>370</v>
      </c>
      <c r="L32" s="168" t="s">
        <v>102</v>
      </c>
      <c r="M32" s="168" t="s">
        <v>102</v>
      </c>
      <c r="N32" s="168" t="e">
        <f>#REF!</f>
        <v>#REF!</v>
      </c>
      <c r="O32" s="171" t="s">
        <v>404</v>
      </c>
      <c r="P32" s="168"/>
      <c r="Q32" s="168" t="s">
        <v>405</v>
      </c>
      <c r="R32" s="168" t="s">
        <v>448</v>
      </c>
      <c r="S32" s="137" t="s">
        <v>673</v>
      </c>
      <c r="T32" s="137"/>
      <c r="U32" s="137" t="s">
        <v>674</v>
      </c>
      <c r="V32" s="137">
        <v>35</v>
      </c>
      <c r="W32" s="217" t="s">
        <v>667</v>
      </c>
      <c r="X32" s="207">
        <v>45659</v>
      </c>
      <c r="Y32" s="207">
        <v>46083</v>
      </c>
      <c r="Z32" s="207">
        <v>46084</v>
      </c>
      <c r="AA32" s="207">
        <v>46084</v>
      </c>
      <c r="AB32" s="207">
        <v>46085</v>
      </c>
      <c r="AC32" s="207">
        <v>46098</v>
      </c>
      <c r="AD32" s="207">
        <v>46099</v>
      </c>
      <c r="AE32" s="207">
        <v>46119</v>
      </c>
      <c r="AF32" s="207">
        <v>46119</v>
      </c>
      <c r="AG32" s="207">
        <v>46120</v>
      </c>
      <c r="AH32" s="207">
        <v>46121</v>
      </c>
      <c r="AI32" s="207">
        <v>46125</v>
      </c>
      <c r="AJ32" s="207">
        <v>46126</v>
      </c>
      <c r="AK32" s="207">
        <v>46140</v>
      </c>
      <c r="AL32" s="207">
        <f>AK32+1</f>
        <v>46141</v>
      </c>
      <c r="AM32" s="207">
        <f>AL32</f>
        <v>46141</v>
      </c>
    </row>
    <row r="33" spans="1:40" hidden="1">
      <c r="A33" s="274" t="s">
        <v>92</v>
      </c>
      <c r="B33" s="288" t="s">
        <v>267</v>
      </c>
      <c r="C33" s="275" t="s">
        <v>268</v>
      </c>
      <c r="D33" s="166" t="s">
        <v>195</v>
      </c>
      <c r="E33" s="274" t="s">
        <v>269</v>
      </c>
      <c r="F33" s="276" t="s">
        <v>270</v>
      </c>
      <c r="G33" s="277" t="s">
        <v>723</v>
      </c>
      <c r="H33" s="274"/>
      <c r="I33" s="274"/>
      <c r="J33" s="274"/>
      <c r="K33" s="274" t="s">
        <v>198</v>
      </c>
      <c r="L33" s="274"/>
      <c r="M33" s="274" t="s">
        <v>57</v>
      </c>
      <c r="N33" s="274" t="s">
        <v>267</v>
      </c>
      <c r="O33" s="274"/>
      <c r="P33" s="274"/>
      <c r="Q33" s="274"/>
      <c r="R33" s="274"/>
      <c r="S33" s="274" t="s">
        <v>724</v>
      </c>
      <c r="T33" s="274"/>
      <c r="U33" s="274" t="s">
        <v>725</v>
      </c>
      <c r="V33" s="137">
        <v>29</v>
      </c>
      <c r="W33" s="217" t="s">
        <v>667</v>
      </c>
      <c r="X33" s="207">
        <v>45659</v>
      </c>
      <c r="Y33" s="207">
        <v>46052</v>
      </c>
      <c r="Z33" s="207">
        <v>46056</v>
      </c>
      <c r="AA33" s="207">
        <v>46142</v>
      </c>
      <c r="AB33" s="207">
        <v>46146</v>
      </c>
      <c r="AC33" s="207">
        <v>46185</v>
      </c>
      <c r="AD33" s="207">
        <v>46188</v>
      </c>
      <c r="AE33" s="207">
        <v>46191</v>
      </c>
      <c r="AF33" s="207">
        <v>46192</v>
      </c>
      <c r="AG33" s="207">
        <v>46195</v>
      </c>
      <c r="AH33" s="207">
        <v>46196</v>
      </c>
      <c r="AI33" s="207">
        <v>46167</v>
      </c>
      <c r="AJ33" s="207">
        <v>46168</v>
      </c>
      <c r="AK33" s="207">
        <v>46171</v>
      </c>
      <c r="AL33" s="207">
        <v>46203</v>
      </c>
      <c r="AM33" s="207">
        <v>46203</v>
      </c>
    </row>
    <row r="34" spans="1:40" hidden="1">
      <c r="A34" s="137" t="s">
        <v>92</v>
      </c>
      <c r="B34" s="283" t="s">
        <v>16</v>
      </c>
      <c r="C34" s="165" t="s">
        <v>123</v>
      </c>
      <c r="D34" s="166" t="s">
        <v>710</v>
      </c>
      <c r="E34" s="137" t="s">
        <v>444</v>
      </c>
      <c r="F34" s="199" t="s">
        <v>445</v>
      </c>
      <c r="G34" s="196" t="s">
        <v>726</v>
      </c>
      <c r="H34" s="137" t="s">
        <v>246</v>
      </c>
      <c r="I34" s="137"/>
      <c r="J34" s="137"/>
      <c r="K34" s="137" t="s">
        <v>339</v>
      </c>
      <c r="L34" s="137"/>
      <c r="M34" s="137" t="s">
        <v>57</v>
      </c>
      <c r="N34" s="137" t="s">
        <v>16</v>
      </c>
      <c r="O34" s="137"/>
      <c r="P34" s="137"/>
      <c r="Q34" s="137"/>
      <c r="R34" s="137"/>
      <c r="S34" s="137" t="s">
        <v>721</v>
      </c>
      <c r="T34" s="137" t="s">
        <v>713</v>
      </c>
      <c r="U34" s="137" t="s">
        <v>714</v>
      </c>
      <c r="V34" s="137">
        <v>30</v>
      </c>
      <c r="W34" s="217"/>
      <c r="X34" s="207">
        <v>46024</v>
      </c>
      <c r="Y34" s="207">
        <v>46083</v>
      </c>
      <c r="Z34" s="207">
        <v>46041</v>
      </c>
      <c r="AA34" s="207">
        <v>46052</v>
      </c>
      <c r="AB34" s="207">
        <v>46056</v>
      </c>
      <c r="AC34" s="207">
        <v>46069</v>
      </c>
      <c r="AD34" s="207">
        <v>46070</v>
      </c>
      <c r="AE34" s="207">
        <v>46072</v>
      </c>
      <c r="AF34" s="207">
        <v>46073</v>
      </c>
      <c r="AG34" s="207">
        <v>46073</v>
      </c>
      <c r="AH34" s="207">
        <v>46076</v>
      </c>
      <c r="AI34" s="207">
        <v>46101</v>
      </c>
      <c r="AJ34" s="207">
        <v>46104</v>
      </c>
      <c r="AK34" s="207">
        <v>46129</v>
      </c>
      <c r="AL34" s="207">
        <f>AK34+1</f>
        <v>46130</v>
      </c>
      <c r="AM34" s="207">
        <f>AL34</f>
        <v>46130</v>
      </c>
    </row>
    <row r="35" spans="1:40" ht="19.5" hidden="1" customHeight="1">
      <c r="A35" s="137" t="s">
        <v>92</v>
      </c>
      <c r="B35" s="283" t="s">
        <v>4</v>
      </c>
      <c r="C35" s="165" t="s">
        <v>225</v>
      </c>
      <c r="D35" s="166" t="s">
        <v>195</v>
      </c>
      <c r="E35" s="137" t="s">
        <v>272</v>
      </c>
      <c r="F35" s="197" t="s">
        <v>273</v>
      </c>
      <c r="G35" s="196" t="s">
        <v>727</v>
      </c>
      <c r="H35" s="137" t="s">
        <v>274</v>
      </c>
      <c r="I35" s="137" t="s">
        <v>83</v>
      </c>
      <c r="J35" s="137"/>
      <c r="K35" s="137" t="s">
        <v>198</v>
      </c>
      <c r="L35" s="137"/>
      <c r="M35" s="137" t="s">
        <v>57</v>
      </c>
      <c r="N35" s="137" t="s">
        <v>4</v>
      </c>
      <c r="O35" s="137"/>
      <c r="P35" s="137"/>
      <c r="Q35" s="137"/>
      <c r="R35" s="137"/>
      <c r="S35" s="137" t="s">
        <v>728</v>
      </c>
      <c r="T35" s="137"/>
      <c r="U35" s="137" t="s">
        <v>729</v>
      </c>
      <c r="V35" s="137">
        <v>31</v>
      </c>
      <c r="W35" s="217" t="s">
        <v>667</v>
      </c>
      <c r="X35" s="207">
        <v>46024</v>
      </c>
      <c r="Y35" s="207">
        <v>46038</v>
      </c>
      <c r="Z35" s="207">
        <v>46041</v>
      </c>
      <c r="AA35" s="207">
        <v>46127</v>
      </c>
      <c r="AB35" s="207">
        <v>46128</v>
      </c>
      <c r="AC35" s="207">
        <v>46142</v>
      </c>
      <c r="AD35" s="207">
        <v>46146</v>
      </c>
      <c r="AE35" s="207">
        <v>46157</v>
      </c>
      <c r="AF35" s="207">
        <v>46157</v>
      </c>
      <c r="AG35" s="207">
        <v>46160</v>
      </c>
      <c r="AH35" s="207">
        <v>46161</v>
      </c>
      <c r="AI35" s="207">
        <v>46163</v>
      </c>
      <c r="AJ35" s="207">
        <v>46164</v>
      </c>
      <c r="AK35" s="207">
        <v>46178</v>
      </c>
      <c r="AL35" s="207">
        <v>46181</v>
      </c>
      <c r="AM35" s="207">
        <v>46182</v>
      </c>
      <c r="AN35" s="122" t="s">
        <v>730</v>
      </c>
    </row>
    <row r="36" spans="1:40" hidden="1">
      <c r="A36" s="168" t="s">
        <v>68</v>
      </c>
      <c r="B36" s="284" t="s">
        <v>68</v>
      </c>
      <c r="C36" s="169" t="s">
        <v>201</v>
      </c>
      <c r="D36" s="166" t="s">
        <v>324</v>
      </c>
      <c r="E36" s="168" t="s">
        <v>465</v>
      </c>
      <c r="F36" s="198" t="s">
        <v>466</v>
      </c>
      <c r="G36" s="205" t="s">
        <v>731</v>
      </c>
      <c r="H36" s="168" t="s">
        <v>72</v>
      </c>
      <c r="I36" s="168" t="s">
        <v>72</v>
      </c>
      <c r="J36" s="168"/>
      <c r="K36" s="168" t="s">
        <v>370</v>
      </c>
      <c r="L36" s="168" t="s">
        <v>102</v>
      </c>
      <c r="M36" s="168" t="s">
        <v>102</v>
      </c>
      <c r="N36" s="168" t="e">
        <f>#REF!</f>
        <v>#REF!</v>
      </c>
      <c r="O36" s="168" t="s">
        <v>467</v>
      </c>
      <c r="P36" s="168"/>
      <c r="Q36" s="168" t="s">
        <v>405</v>
      </c>
      <c r="R36" s="168" t="s">
        <v>468</v>
      </c>
      <c r="S36" s="137" t="s">
        <v>673</v>
      </c>
      <c r="T36" s="137"/>
      <c r="U36" s="137" t="s">
        <v>674</v>
      </c>
      <c r="V36" s="137">
        <v>48</v>
      </c>
      <c r="W36" s="217" t="s">
        <v>667</v>
      </c>
      <c r="X36" s="207">
        <v>45659</v>
      </c>
      <c r="Y36" s="207">
        <v>46083</v>
      </c>
      <c r="Z36" s="207">
        <v>46084</v>
      </c>
      <c r="AA36" s="207">
        <v>46084</v>
      </c>
      <c r="AB36" s="207">
        <v>46085</v>
      </c>
      <c r="AC36" s="207">
        <v>46098</v>
      </c>
      <c r="AD36" s="207">
        <v>46099</v>
      </c>
      <c r="AE36" s="207">
        <v>46119</v>
      </c>
      <c r="AF36" s="207">
        <v>46119</v>
      </c>
      <c r="AG36" s="207">
        <v>46120</v>
      </c>
      <c r="AH36" s="207">
        <v>46121</v>
      </c>
      <c r="AI36" s="207">
        <v>46125</v>
      </c>
      <c r="AJ36" s="207">
        <v>46126</v>
      </c>
      <c r="AK36" s="207">
        <v>46140</v>
      </c>
      <c r="AL36" s="207">
        <f t="shared" ref="AL36:AL49" si="2">AK36+1</f>
        <v>46141</v>
      </c>
      <c r="AM36" s="207">
        <f t="shared" ref="AM36:AM51" si="3">AL36</f>
        <v>46141</v>
      </c>
    </row>
    <row r="37" spans="1:40" hidden="1">
      <c r="A37" s="168" t="s">
        <v>67</v>
      </c>
      <c r="B37" s="284" t="s">
        <v>68</v>
      </c>
      <c r="C37" s="169" t="s">
        <v>48</v>
      </c>
      <c r="D37" s="166" t="s">
        <v>324</v>
      </c>
      <c r="E37" s="168" t="s">
        <v>496</v>
      </c>
      <c r="F37" s="198" t="s">
        <v>497</v>
      </c>
      <c r="G37" s="205" t="s">
        <v>732</v>
      </c>
      <c r="H37" s="168" t="s">
        <v>72</v>
      </c>
      <c r="I37" s="168" t="s">
        <v>72</v>
      </c>
      <c r="J37" s="168"/>
      <c r="K37" s="168" t="s">
        <v>370</v>
      </c>
      <c r="L37" s="168" t="s">
        <v>102</v>
      </c>
      <c r="M37" s="168" t="s">
        <v>102</v>
      </c>
      <c r="N37" s="168" t="e">
        <f>#REF!</f>
        <v>#REF!</v>
      </c>
      <c r="O37" s="168" t="s">
        <v>498</v>
      </c>
      <c r="P37" s="168"/>
      <c r="Q37" s="168" t="s">
        <v>405</v>
      </c>
      <c r="R37" s="168" t="s">
        <v>499</v>
      </c>
      <c r="S37" s="137" t="s">
        <v>673</v>
      </c>
      <c r="T37" s="137"/>
      <c r="U37" s="137" t="s">
        <v>674</v>
      </c>
      <c r="V37" s="137">
        <v>71</v>
      </c>
      <c r="W37" s="217" t="s">
        <v>667</v>
      </c>
      <c r="X37" s="207">
        <v>45659</v>
      </c>
      <c r="Y37" s="207">
        <v>46083</v>
      </c>
      <c r="Z37" s="207">
        <v>46084</v>
      </c>
      <c r="AA37" s="207">
        <v>46084</v>
      </c>
      <c r="AB37" s="207">
        <v>46085</v>
      </c>
      <c r="AC37" s="207">
        <v>46098</v>
      </c>
      <c r="AD37" s="207">
        <v>46099</v>
      </c>
      <c r="AE37" s="207">
        <v>46119</v>
      </c>
      <c r="AF37" s="207">
        <v>46119</v>
      </c>
      <c r="AG37" s="207">
        <v>46120</v>
      </c>
      <c r="AH37" s="207">
        <v>46121</v>
      </c>
      <c r="AI37" s="207">
        <v>46125</v>
      </c>
      <c r="AJ37" s="207">
        <v>46126</v>
      </c>
      <c r="AK37" s="207">
        <v>46140</v>
      </c>
      <c r="AL37" s="207">
        <f t="shared" si="2"/>
        <v>46141</v>
      </c>
      <c r="AM37" s="207">
        <f t="shared" si="3"/>
        <v>46141</v>
      </c>
    </row>
    <row r="38" spans="1:40" hidden="1">
      <c r="A38" s="137" t="s">
        <v>67</v>
      </c>
      <c r="B38" s="283" t="s">
        <v>68</v>
      </c>
      <c r="C38" s="165" t="s">
        <v>48</v>
      </c>
      <c r="D38" s="166" t="s">
        <v>324</v>
      </c>
      <c r="E38" s="137" t="s">
        <v>69</v>
      </c>
      <c r="F38" s="197" t="s">
        <v>70</v>
      </c>
      <c r="G38" s="196" t="s">
        <v>733</v>
      </c>
      <c r="H38" s="137" t="s">
        <v>72</v>
      </c>
      <c r="I38" s="137" t="s">
        <v>72</v>
      </c>
      <c r="J38" s="137"/>
      <c r="K38" s="137" t="s">
        <v>55</v>
      </c>
      <c r="L38" s="137" t="s">
        <v>73</v>
      </c>
      <c r="M38" s="137" t="s">
        <v>74</v>
      </c>
      <c r="N38" s="137" t="s">
        <v>75</v>
      </c>
      <c r="O38" s="137"/>
      <c r="P38" s="137"/>
      <c r="Q38" s="137"/>
      <c r="R38" s="137"/>
      <c r="S38" s="137" t="s">
        <v>734</v>
      </c>
      <c r="T38" s="167"/>
      <c r="U38" s="137" t="s">
        <v>735</v>
      </c>
      <c r="V38" s="137">
        <v>4</v>
      </c>
      <c r="W38" s="217"/>
      <c r="X38" s="207">
        <v>45659</v>
      </c>
      <c r="Y38" s="207">
        <v>46038</v>
      </c>
      <c r="Z38" s="207">
        <v>46041</v>
      </c>
      <c r="AA38" s="207">
        <v>46055</v>
      </c>
      <c r="AB38" s="207">
        <v>46056</v>
      </c>
      <c r="AC38" s="207">
        <v>46073</v>
      </c>
      <c r="AD38" s="207">
        <v>46076</v>
      </c>
      <c r="AE38" s="207">
        <v>46094</v>
      </c>
      <c r="AF38" s="207">
        <v>46093</v>
      </c>
      <c r="AG38" s="207">
        <v>46094</v>
      </c>
      <c r="AH38" s="207">
        <v>46097</v>
      </c>
      <c r="AI38" s="207">
        <v>46115</v>
      </c>
      <c r="AJ38" s="207">
        <v>46118</v>
      </c>
      <c r="AK38" s="207">
        <v>46136</v>
      </c>
      <c r="AL38" s="207">
        <f t="shared" si="2"/>
        <v>46137</v>
      </c>
      <c r="AM38" s="207">
        <f t="shared" si="3"/>
        <v>46137</v>
      </c>
    </row>
    <row r="39" spans="1:40" hidden="1">
      <c r="A39" s="172" t="s">
        <v>92</v>
      </c>
      <c r="B39" s="286" t="s">
        <v>68</v>
      </c>
      <c r="C39" s="173" t="s">
        <v>48</v>
      </c>
      <c r="D39" s="166" t="s">
        <v>656</v>
      </c>
      <c r="E39" s="172" t="s">
        <v>407</v>
      </c>
      <c r="F39" s="200" t="s">
        <v>408</v>
      </c>
      <c r="G39" s="206" t="s">
        <v>736</v>
      </c>
      <c r="H39" s="172" t="s">
        <v>102</v>
      </c>
      <c r="I39" s="172"/>
      <c r="J39" s="172"/>
      <c r="K39" s="172" t="s">
        <v>347</v>
      </c>
      <c r="L39" s="172" t="s">
        <v>102</v>
      </c>
      <c r="M39" s="172" t="s">
        <v>102</v>
      </c>
      <c r="N39" s="172" t="e">
        <f>#REF!</f>
        <v>#REF!</v>
      </c>
      <c r="O39" s="172"/>
      <c r="P39" s="172"/>
      <c r="Q39" s="172" t="s">
        <v>462</v>
      </c>
      <c r="R39" s="172"/>
      <c r="S39" s="137" t="s">
        <v>695</v>
      </c>
      <c r="T39" s="137"/>
      <c r="U39" s="137" t="s">
        <v>696</v>
      </c>
      <c r="V39" s="137">
        <v>5</v>
      </c>
      <c r="W39" s="217" t="s">
        <v>44</v>
      </c>
      <c r="X39" s="207">
        <v>45659</v>
      </c>
      <c r="Y39" s="207">
        <v>46083</v>
      </c>
      <c r="Z39" s="207">
        <v>46108</v>
      </c>
      <c r="AA39" s="207">
        <v>46108</v>
      </c>
      <c r="AB39" s="207">
        <v>46108</v>
      </c>
      <c r="AC39" s="207">
        <v>46108</v>
      </c>
      <c r="AD39" s="207">
        <v>46108</v>
      </c>
      <c r="AE39" s="207">
        <v>46108</v>
      </c>
      <c r="AF39" s="207">
        <v>46108</v>
      </c>
      <c r="AG39" s="207">
        <v>46108</v>
      </c>
      <c r="AH39" s="207">
        <v>46108</v>
      </c>
      <c r="AI39" s="207">
        <v>46108</v>
      </c>
      <c r="AJ39" s="207">
        <v>46108</v>
      </c>
      <c r="AK39" s="207">
        <v>46108</v>
      </c>
      <c r="AL39" s="207">
        <f t="shared" si="2"/>
        <v>46109</v>
      </c>
      <c r="AM39" s="207">
        <f t="shared" si="3"/>
        <v>46109</v>
      </c>
    </row>
    <row r="40" spans="1:40" hidden="1">
      <c r="A40" s="172" t="s">
        <v>92</v>
      </c>
      <c r="B40" s="286" t="s">
        <v>68</v>
      </c>
      <c r="C40" s="173" t="s">
        <v>48</v>
      </c>
      <c r="D40" s="166" t="s">
        <v>656</v>
      </c>
      <c r="E40" s="172" t="s">
        <v>409</v>
      </c>
      <c r="F40" s="200" t="s">
        <v>408</v>
      </c>
      <c r="G40" s="206" t="s">
        <v>737</v>
      </c>
      <c r="H40" s="172" t="s">
        <v>102</v>
      </c>
      <c r="I40" s="172"/>
      <c r="J40" s="172"/>
      <c r="K40" s="172" t="s">
        <v>347</v>
      </c>
      <c r="L40" s="172" t="s">
        <v>102</v>
      </c>
      <c r="M40" s="172" t="s">
        <v>102</v>
      </c>
      <c r="N40" s="172" t="e">
        <f>#REF!</f>
        <v>#REF!</v>
      </c>
      <c r="O40" s="172"/>
      <c r="P40" s="172"/>
      <c r="Q40" s="172" t="s">
        <v>462</v>
      </c>
      <c r="R40" s="172"/>
      <c r="S40" s="137" t="s">
        <v>695</v>
      </c>
      <c r="T40" s="137"/>
      <c r="U40" s="137" t="s">
        <v>696</v>
      </c>
      <c r="V40" s="137">
        <v>6</v>
      </c>
      <c r="W40" s="217" t="s">
        <v>44</v>
      </c>
      <c r="X40" s="207">
        <v>45659</v>
      </c>
      <c r="Y40" s="207">
        <v>46083</v>
      </c>
      <c r="Z40" s="207">
        <v>46108</v>
      </c>
      <c r="AA40" s="207">
        <v>46108</v>
      </c>
      <c r="AB40" s="207">
        <v>46108</v>
      </c>
      <c r="AC40" s="207">
        <v>46108</v>
      </c>
      <c r="AD40" s="207">
        <v>46108</v>
      </c>
      <c r="AE40" s="207">
        <v>46108</v>
      </c>
      <c r="AF40" s="207">
        <v>46108</v>
      </c>
      <c r="AG40" s="207">
        <v>46108</v>
      </c>
      <c r="AH40" s="207">
        <v>46108</v>
      </c>
      <c r="AI40" s="207">
        <v>46108</v>
      </c>
      <c r="AJ40" s="207">
        <v>46108</v>
      </c>
      <c r="AK40" s="207">
        <v>46108</v>
      </c>
      <c r="AL40" s="207">
        <f t="shared" si="2"/>
        <v>46109</v>
      </c>
      <c r="AM40" s="207">
        <f t="shared" si="3"/>
        <v>46109</v>
      </c>
    </row>
    <row r="41" spans="1:40" ht="15" hidden="1" customHeight="1">
      <c r="A41" s="137" t="s">
        <v>67</v>
      </c>
      <c r="B41" s="283" t="s">
        <v>738</v>
      </c>
      <c r="C41" s="165" t="s">
        <v>123</v>
      </c>
      <c r="D41" s="166" t="s">
        <v>710</v>
      </c>
      <c r="E41" s="137" t="s">
        <v>283</v>
      </c>
      <c r="F41" s="199" t="s">
        <v>284</v>
      </c>
      <c r="G41" s="196" t="s">
        <v>739</v>
      </c>
      <c r="H41" s="137" t="s">
        <v>72</v>
      </c>
      <c r="I41" s="137" t="s">
        <v>72</v>
      </c>
      <c r="J41" s="167" t="s">
        <v>285</v>
      </c>
      <c r="K41" s="137" t="s">
        <v>198</v>
      </c>
      <c r="L41" s="137" t="s">
        <v>73</v>
      </c>
      <c r="M41" s="137" t="s">
        <v>74</v>
      </c>
      <c r="N41" s="137" t="s">
        <v>160</v>
      </c>
      <c r="O41" s="178" t="s">
        <v>740</v>
      </c>
      <c r="P41" s="137" t="s">
        <v>287</v>
      </c>
      <c r="Q41" s="137"/>
      <c r="R41" s="137"/>
      <c r="S41" s="213" t="s">
        <v>741</v>
      </c>
      <c r="T41" s="213" t="s">
        <v>717</v>
      </c>
      <c r="U41" s="167" t="s">
        <v>742</v>
      </c>
      <c r="V41" s="137">
        <v>37</v>
      </c>
      <c r="W41" s="217"/>
      <c r="X41" s="207">
        <v>46024</v>
      </c>
      <c r="Y41" s="207">
        <v>46083</v>
      </c>
      <c r="Z41" s="207">
        <v>46056</v>
      </c>
      <c r="AA41" s="207">
        <v>46080</v>
      </c>
      <c r="AB41" s="207">
        <v>46083</v>
      </c>
      <c r="AC41" s="207">
        <v>46108</v>
      </c>
      <c r="AD41" s="207">
        <v>46111</v>
      </c>
      <c r="AE41" s="207">
        <v>46122</v>
      </c>
      <c r="AF41" s="207">
        <v>46121</v>
      </c>
      <c r="AG41" s="207">
        <v>46122</v>
      </c>
      <c r="AH41" s="207">
        <v>46125</v>
      </c>
      <c r="AI41" s="207">
        <v>46143</v>
      </c>
      <c r="AJ41" s="207">
        <v>46146</v>
      </c>
      <c r="AK41" s="207">
        <v>46157</v>
      </c>
      <c r="AL41" s="207">
        <f t="shared" si="2"/>
        <v>46158</v>
      </c>
      <c r="AM41" s="207">
        <f t="shared" si="3"/>
        <v>46158</v>
      </c>
    </row>
    <row r="42" spans="1:40" ht="60" hidden="1">
      <c r="A42" s="137" t="s">
        <v>46</v>
      </c>
      <c r="B42" s="289" t="s">
        <v>61</v>
      </c>
      <c r="C42" s="165" t="s">
        <v>48</v>
      </c>
      <c r="D42" s="166" t="s">
        <v>324</v>
      </c>
      <c r="E42" s="137" t="s">
        <v>128</v>
      </c>
      <c r="F42" s="197" t="s">
        <v>129</v>
      </c>
      <c r="G42" s="196" t="s">
        <v>743</v>
      </c>
      <c r="H42" s="137" t="s">
        <v>64</v>
      </c>
      <c r="I42" s="137" t="s">
        <v>54</v>
      </c>
      <c r="J42" s="137"/>
      <c r="K42" s="137" t="s">
        <v>55</v>
      </c>
      <c r="L42" s="137"/>
      <c r="M42" s="137" t="s">
        <v>57</v>
      </c>
      <c r="N42" s="137" t="s">
        <v>58</v>
      </c>
      <c r="O42" s="137"/>
      <c r="P42" s="137"/>
      <c r="Q42" s="137"/>
      <c r="R42" s="137"/>
      <c r="S42" s="137" t="s">
        <v>744</v>
      </c>
      <c r="T42" s="137"/>
      <c r="U42" s="167" t="s">
        <v>745</v>
      </c>
      <c r="V42" s="137">
        <v>38</v>
      </c>
      <c r="W42" s="219" t="s">
        <v>667</v>
      </c>
      <c r="X42" s="207">
        <v>45659</v>
      </c>
      <c r="Y42" s="207">
        <v>46038</v>
      </c>
      <c r="Z42" s="207">
        <v>46041</v>
      </c>
      <c r="AA42" s="207">
        <v>46052</v>
      </c>
      <c r="AB42" s="207">
        <v>46056</v>
      </c>
      <c r="AC42" s="207">
        <v>46080</v>
      </c>
      <c r="AD42" s="207">
        <v>46099</v>
      </c>
      <c r="AE42" s="207">
        <v>46113</v>
      </c>
      <c r="AF42" s="207">
        <v>46113</v>
      </c>
      <c r="AG42" s="207">
        <v>46118</v>
      </c>
      <c r="AH42" s="207">
        <v>46119</v>
      </c>
      <c r="AI42" s="207">
        <v>46121</v>
      </c>
      <c r="AJ42" s="207">
        <v>46122</v>
      </c>
      <c r="AK42" s="207">
        <v>46136</v>
      </c>
      <c r="AL42" s="207">
        <f t="shared" si="2"/>
        <v>46137</v>
      </c>
      <c r="AM42" s="207">
        <f t="shared" si="3"/>
        <v>46137</v>
      </c>
    </row>
    <row r="43" spans="1:40" hidden="1">
      <c r="A43" s="172" t="s">
        <v>67</v>
      </c>
      <c r="B43" s="286" t="s">
        <v>68</v>
      </c>
      <c r="C43" s="173" t="s">
        <v>48</v>
      </c>
      <c r="D43" s="166" t="s">
        <v>656</v>
      </c>
      <c r="E43" s="172" t="s">
        <v>441</v>
      </c>
      <c r="F43" s="200" t="s">
        <v>442</v>
      </c>
      <c r="G43" s="206" t="s">
        <v>746</v>
      </c>
      <c r="H43" s="172" t="s">
        <v>102</v>
      </c>
      <c r="I43" s="172"/>
      <c r="J43" s="172"/>
      <c r="K43" s="172" t="s">
        <v>347</v>
      </c>
      <c r="L43" s="172" t="s">
        <v>102</v>
      </c>
      <c r="M43" s="172" t="s">
        <v>102</v>
      </c>
      <c r="N43" s="172" t="e">
        <f>#REF!</f>
        <v>#REF!</v>
      </c>
      <c r="O43" s="175" t="s">
        <v>443</v>
      </c>
      <c r="P43" s="172"/>
      <c r="Q43" s="172" t="s">
        <v>462</v>
      </c>
      <c r="R43" s="172"/>
      <c r="S43" s="137" t="s">
        <v>747</v>
      </c>
      <c r="T43" s="167"/>
      <c r="U43" s="137" t="s">
        <v>696</v>
      </c>
      <c r="V43" s="137">
        <v>28</v>
      </c>
      <c r="W43" s="217" t="s">
        <v>44</v>
      </c>
      <c r="X43" s="207">
        <v>45659</v>
      </c>
      <c r="Y43" s="207">
        <v>46083</v>
      </c>
      <c r="Z43" s="207">
        <v>46108</v>
      </c>
      <c r="AA43" s="207">
        <v>46108</v>
      </c>
      <c r="AB43" s="207">
        <v>46108</v>
      </c>
      <c r="AC43" s="207">
        <v>46108</v>
      </c>
      <c r="AD43" s="207">
        <v>46108</v>
      </c>
      <c r="AE43" s="207">
        <v>46108</v>
      </c>
      <c r="AF43" s="207">
        <v>46108</v>
      </c>
      <c r="AG43" s="207">
        <v>46108</v>
      </c>
      <c r="AH43" s="207">
        <v>46108</v>
      </c>
      <c r="AI43" s="207">
        <v>46108</v>
      </c>
      <c r="AJ43" s="207">
        <v>46108</v>
      </c>
      <c r="AK43" s="207">
        <v>46108</v>
      </c>
      <c r="AL43" s="207">
        <f t="shared" si="2"/>
        <v>46109</v>
      </c>
      <c r="AM43" s="207">
        <f t="shared" si="3"/>
        <v>46109</v>
      </c>
    </row>
    <row r="44" spans="1:40" hidden="1">
      <c r="A44" s="137" t="s">
        <v>46</v>
      </c>
      <c r="B44" s="283" t="s">
        <v>16</v>
      </c>
      <c r="C44" s="165" t="s">
        <v>123</v>
      </c>
      <c r="D44" s="166" t="s">
        <v>710</v>
      </c>
      <c r="E44" s="137" t="s">
        <v>124</v>
      </c>
      <c r="F44" s="197" t="s">
        <v>125</v>
      </c>
      <c r="G44" s="196" t="s">
        <v>748</v>
      </c>
      <c r="H44" s="137"/>
      <c r="I44" s="137" t="s">
        <v>83</v>
      </c>
      <c r="J44" s="137" t="s">
        <v>127</v>
      </c>
      <c r="K44" s="137" t="s">
        <v>55</v>
      </c>
      <c r="L44" s="137"/>
      <c r="M44" s="137" t="s">
        <v>57</v>
      </c>
      <c r="N44" s="137" t="s">
        <v>16</v>
      </c>
      <c r="O44" s="137"/>
      <c r="P44" s="137"/>
      <c r="Q44" s="137"/>
      <c r="R44" s="137"/>
      <c r="S44" s="137" t="s">
        <v>749</v>
      </c>
      <c r="T44" s="167" t="s">
        <v>717</v>
      </c>
      <c r="U44" s="137" t="s">
        <v>750</v>
      </c>
      <c r="V44" s="137">
        <v>40</v>
      </c>
      <c r="W44" s="219" t="s">
        <v>667</v>
      </c>
      <c r="X44" s="207">
        <v>46024</v>
      </c>
      <c r="Y44" s="207">
        <v>46038</v>
      </c>
      <c r="Z44" s="207">
        <v>46031</v>
      </c>
      <c r="AA44" s="207">
        <v>46052</v>
      </c>
      <c r="AB44" s="207">
        <v>46056</v>
      </c>
      <c r="AC44" s="207">
        <v>46080</v>
      </c>
      <c r="AD44" s="207">
        <v>46083</v>
      </c>
      <c r="AE44" s="207">
        <v>46105</v>
      </c>
      <c r="AF44" s="207">
        <v>46105</v>
      </c>
      <c r="AG44" s="207">
        <v>46106</v>
      </c>
      <c r="AH44" s="207">
        <v>46111</v>
      </c>
      <c r="AI44" s="207">
        <v>46113</v>
      </c>
      <c r="AJ44" s="207">
        <v>46118</v>
      </c>
      <c r="AK44" s="207">
        <v>46132</v>
      </c>
      <c r="AL44" s="207">
        <f t="shared" si="2"/>
        <v>46133</v>
      </c>
      <c r="AM44" s="207">
        <f t="shared" si="3"/>
        <v>46133</v>
      </c>
    </row>
    <row r="45" spans="1:40" hidden="1">
      <c r="A45" s="168" t="s">
        <v>92</v>
      </c>
      <c r="B45" s="267" t="s">
        <v>93</v>
      </c>
      <c r="C45" s="169" t="s">
        <v>94</v>
      </c>
      <c r="D45" s="166" t="s">
        <v>324</v>
      </c>
      <c r="E45" s="168" t="s">
        <v>455</v>
      </c>
      <c r="F45" s="198" t="s">
        <v>456</v>
      </c>
      <c r="G45" s="205" t="s">
        <v>751</v>
      </c>
      <c r="H45" s="168" t="s">
        <v>97</v>
      </c>
      <c r="I45" s="168" t="s">
        <v>669</v>
      </c>
      <c r="J45" s="168"/>
      <c r="K45" s="168" t="s">
        <v>370</v>
      </c>
      <c r="L45" s="168" t="s">
        <v>102</v>
      </c>
      <c r="M45" s="168" t="s">
        <v>102</v>
      </c>
      <c r="N45" s="168" t="e">
        <f>#REF!</f>
        <v>#REF!</v>
      </c>
      <c r="O45" s="168"/>
      <c r="P45" s="168"/>
      <c r="Q45" s="168" t="s">
        <v>405</v>
      </c>
      <c r="R45" s="168" t="s">
        <v>457</v>
      </c>
      <c r="S45" s="137" t="s">
        <v>752</v>
      </c>
      <c r="T45" s="167"/>
      <c r="U45" s="137" t="s">
        <v>674</v>
      </c>
      <c r="V45" s="137">
        <v>41</v>
      </c>
      <c r="W45" s="217" t="s">
        <v>667</v>
      </c>
      <c r="X45" s="209">
        <v>46024</v>
      </c>
      <c r="Y45" s="207">
        <v>46083</v>
      </c>
      <c r="Z45" s="207">
        <v>46084</v>
      </c>
      <c r="AA45" s="207">
        <v>46084</v>
      </c>
      <c r="AB45" s="207">
        <v>46085</v>
      </c>
      <c r="AC45" s="207">
        <v>46098</v>
      </c>
      <c r="AD45" s="207">
        <v>46099</v>
      </c>
      <c r="AE45" s="207">
        <v>46119</v>
      </c>
      <c r="AF45" s="207">
        <v>46119</v>
      </c>
      <c r="AG45" s="207">
        <v>46120</v>
      </c>
      <c r="AH45" s="207">
        <v>46121</v>
      </c>
      <c r="AI45" s="207">
        <v>46125</v>
      </c>
      <c r="AJ45" s="207">
        <v>46126</v>
      </c>
      <c r="AK45" s="207">
        <v>46140</v>
      </c>
      <c r="AL45" s="207">
        <f t="shared" si="2"/>
        <v>46141</v>
      </c>
      <c r="AM45" s="207">
        <f t="shared" si="3"/>
        <v>46141</v>
      </c>
    </row>
    <row r="46" spans="1:40" hidden="1">
      <c r="A46" s="168" t="s">
        <v>92</v>
      </c>
      <c r="B46" s="267" t="s">
        <v>93</v>
      </c>
      <c r="C46" s="169" t="s">
        <v>94</v>
      </c>
      <c r="D46" s="166" t="s">
        <v>324</v>
      </c>
      <c r="E46" s="168" t="s">
        <v>458</v>
      </c>
      <c r="F46" s="198" t="s">
        <v>459</v>
      </c>
      <c r="G46" s="205" t="s">
        <v>753</v>
      </c>
      <c r="H46" s="168" t="s">
        <v>97</v>
      </c>
      <c r="I46" s="168" t="s">
        <v>72</v>
      </c>
      <c r="J46" s="168"/>
      <c r="K46" s="168" t="s">
        <v>370</v>
      </c>
      <c r="L46" s="168" t="s">
        <v>102</v>
      </c>
      <c r="M46" s="168" t="s">
        <v>102</v>
      </c>
      <c r="N46" s="168" t="e">
        <f>#REF!</f>
        <v>#REF!</v>
      </c>
      <c r="O46" s="168"/>
      <c r="P46" s="168"/>
      <c r="Q46" s="168" t="s">
        <v>405</v>
      </c>
      <c r="R46" s="168" t="s">
        <v>457</v>
      </c>
      <c r="S46" s="137" t="s">
        <v>752</v>
      </c>
      <c r="T46" s="167"/>
      <c r="U46" s="137" t="s">
        <v>674</v>
      </c>
      <c r="V46" s="137">
        <v>42</v>
      </c>
      <c r="W46" s="217" t="s">
        <v>667</v>
      </c>
      <c r="X46" s="209">
        <v>46024</v>
      </c>
      <c r="Y46" s="207">
        <v>46083</v>
      </c>
      <c r="Z46" s="207">
        <v>46084</v>
      </c>
      <c r="AA46" s="207">
        <v>46084</v>
      </c>
      <c r="AB46" s="207">
        <v>46085</v>
      </c>
      <c r="AC46" s="207">
        <v>46098</v>
      </c>
      <c r="AD46" s="207">
        <v>46099</v>
      </c>
      <c r="AE46" s="207">
        <v>46119</v>
      </c>
      <c r="AF46" s="207">
        <v>46119</v>
      </c>
      <c r="AG46" s="207">
        <v>46120</v>
      </c>
      <c r="AH46" s="207">
        <v>46121</v>
      </c>
      <c r="AI46" s="207">
        <v>46125</v>
      </c>
      <c r="AJ46" s="207">
        <v>46126</v>
      </c>
      <c r="AK46" s="207">
        <v>46140</v>
      </c>
      <c r="AL46" s="207">
        <f t="shared" si="2"/>
        <v>46141</v>
      </c>
      <c r="AM46" s="207">
        <f t="shared" si="3"/>
        <v>46141</v>
      </c>
    </row>
    <row r="47" spans="1:40" hidden="1">
      <c r="A47" s="137" t="s">
        <v>67</v>
      </c>
      <c r="B47" s="283" t="s">
        <v>68</v>
      </c>
      <c r="C47" s="165" t="s">
        <v>48</v>
      </c>
      <c r="D47" s="166" t="s">
        <v>324</v>
      </c>
      <c r="E47" s="176" t="s">
        <v>130</v>
      </c>
      <c r="F47" s="197" t="s">
        <v>131</v>
      </c>
      <c r="G47" s="196" t="s">
        <v>754</v>
      </c>
      <c r="H47" s="137" t="s">
        <v>72</v>
      </c>
      <c r="I47" s="137" t="s">
        <v>72</v>
      </c>
      <c r="J47" s="137"/>
      <c r="K47" s="137" t="s">
        <v>55</v>
      </c>
      <c r="L47" s="137" t="s">
        <v>73</v>
      </c>
      <c r="M47" s="137" t="s">
        <v>74</v>
      </c>
      <c r="N47" s="137" t="s">
        <v>75</v>
      </c>
      <c r="O47" s="137" t="s">
        <v>132</v>
      </c>
      <c r="P47" s="137"/>
      <c r="Q47" s="137"/>
      <c r="R47" s="137"/>
      <c r="S47" s="137" t="s">
        <v>755</v>
      </c>
      <c r="T47" s="137"/>
      <c r="U47" s="137" t="s">
        <v>756</v>
      </c>
      <c r="V47" s="137">
        <v>36</v>
      </c>
      <c r="W47" s="217"/>
      <c r="X47" s="207">
        <v>45659</v>
      </c>
      <c r="Y47" s="207">
        <v>46083</v>
      </c>
      <c r="Z47" s="207">
        <v>46041</v>
      </c>
      <c r="AA47" s="207">
        <v>46055</v>
      </c>
      <c r="AB47" s="207">
        <v>46056</v>
      </c>
      <c r="AC47" s="207">
        <v>46073</v>
      </c>
      <c r="AD47" s="207">
        <v>46076</v>
      </c>
      <c r="AE47" s="207">
        <v>46094</v>
      </c>
      <c r="AF47" s="207">
        <v>46093</v>
      </c>
      <c r="AG47" s="207">
        <v>46094</v>
      </c>
      <c r="AH47" s="207">
        <v>46097</v>
      </c>
      <c r="AI47" s="207">
        <v>46115</v>
      </c>
      <c r="AJ47" s="207">
        <v>46118</v>
      </c>
      <c r="AK47" s="207">
        <v>46136</v>
      </c>
      <c r="AL47" s="207">
        <f t="shared" si="2"/>
        <v>46137</v>
      </c>
      <c r="AM47" s="207">
        <f t="shared" si="3"/>
        <v>46137</v>
      </c>
    </row>
    <row r="48" spans="1:40" hidden="1">
      <c r="A48" s="168" t="s">
        <v>92</v>
      </c>
      <c r="B48" s="267" t="s">
        <v>93</v>
      </c>
      <c r="C48" s="169" t="s">
        <v>94</v>
      </c>
      <c r="D48" s="166" t="s">
        <v>324</v>
      </c>
      <c r="E48" s="168" t="s">
        <v>460</v>
      </c>
      <c r="F48" s="198" t="s">
        <v>461</v>
      </c>
      <c r="G48" s="205" t="s">
        <v>757</v>
      </c>
      <c r="H48" s="168" t="s">
        <v>97</v>
      </c>
      <c r="I48" s="168" t="s">
        <v>72</v>
      </c>
      <c r="J48" s="170"/>
      <c r="K48" s="168" t="s">
        <v>370</v>
      </c>
      <c r="L48" s="168" t="s">
        <v>102</v>
      </c>
      <c r="M48" s="168" t="s">
        <v>102</v>
      </c>
      <c r="N48" s="168" t="e">
        <f>#REF!</f>
        <v>#REF!</v>
      </c>
      <c r="O48" s="168"/>
      <c r="P48" s="168"/>
      <c r="Q48" s="168" t="s">
        <v>462</v>
      </c>
      <c r="R48" s="168" t="s">
        <v>463</v>
      </c>
      <c r="S48" s="137" t="s">
        <v>752</v>
      </c>
      <c r="T48" s="167"/>
      <c r="U48" s="137" t="s">
        <v>674</v>
      </c>
      <c r="V48" s="137">
        <v>44</v>
      </c>
      <c r="W48" s="217" t="s">
        <v>667</v>
      </c>
      <c r="X48" s="209">
        <v>46024</v>
      </c>
      <c r="Y48" s="207">
        <v>46083</v>
      </c>
      <c r="Z48" s="207">
        <v>46084</v>
      </c>
      <c r="AA48" s="207">
        <v>46084</v>
      </c>
      <c r="AB48" s="207">
        <v>46085</v>
      </c>
      <c r="AC48" s="207">
        <v>46098</v>
      </c>
      <c r="AD48" s="207">
        <v>46099</v>
      </c>
      <c r="AE48" s="207">
        <v>46119</v>
      </c>
      <c r="AF48" s="207">
        <v>46119</v>
      </c>
      <c r="AG48" s="207">
        <v>46120</v>
      </c>
      <c r="AH48" s="207">
        <v>46121</v>
      </c>
      <c r="AI48" s="207">
        <v>46125</v>
      </c>
      <c r="AJ48" s="207">
        <v>46126</v>
      </c>
      <c r="AK48" s="207">
        <v>46140</v>
      </c>
      <c r="AL48" s="207">
        <f t="shared" si="2"/>
        <v>46141</v>
      </c>
      <c r="AM48" s="207">
        <f t="shared" si="3"/>
        <v>46141</v>
      </c>
    </row>
    <row r="49" spans="1:57" hidden="1">
      <c r="A49" s="137" t="s">
        <v>46</v>
      </c>
      <c r="B49" s="289" t="s">
        <v>61</v>
      </c>
      <c r="C49" s="165" t="s">
        <v>48</v>
      </c>
      <c r="D49" s="166" t="s">
        <v>324</v>
      </c>
      <c r="E49" s="137" t="s">
        <v>118</v>
      </c>
      <c r="F49" s="197" t="s">
        <v>66</v>
      </c>
      <c r="G49" s="196" t="s">
        <v>758</v>
      </c>
      <c r="H49" s="137" t="s">
        <v>119</v>
      </c>
      <c r="I49" s="137" t="s">
        <v>54</v>
      </c>
      <c r="J49" s="137"/>
      <c r="K49" s="137" t="s">
        <v>55</v>
      </c>
      <c r="L49" s="137"/>
      <c r="M49" s="137" t="s">
        <v>57</v>
      </c>
      <c r="N49" s="137" t="s">
        <v>58</v>
      </c>
      <c r="O49" s="137"/>
      <c r="P49" s="137"/>
      <c r="Q49" s="137"/>
      <c r="R49" s="137"/>
      <c r="S49" s="137" t="s">
        <v>759</v>
      </c>
      <c r="T49" s="137"/>
      <c r="U49" s="137" t="s">
        <v>718</v>
      </c>
      <c r="V49" s="137">
        <v>45</v>
      </c>
      <c r="W49" s="219" t="s">
        <v>667</v>
      </c>
      <c r="X49" s="207">
        <v>45659</v>
      </c>
      <c r="Y49" s="207">
        <v>46038</v>
      </c>
      <c r="Z49" s="207">
        <v>46041</v>
      </c>
      <c r="AA49" s="207">
        <v>46052</v>
      </c>
      <c r="AB49" s="207">
        <v>46056</v>
      </c>
      <c r="AC49" s="207">
        <v>46080</v>
      </c>
      <c r="AD49" s="207">
        <v>46099</v>
      </c>
      <c r="AE49" s="207">
        <v>46113</v>
      </c>
      <c r="AF49" s="207">
        <v>46113</v>
      </c>
      <c r="AG49" s="207">
        <v>46118</v>
      </c>
      <c r="AH49" s="207">
        <v>46119</v>
      </c>
      <c r="AI49" s="207">
        <v>46121</v>
      </c>
      <c r="AJ49" s="207">
        <v>46122</v>
      </c>
      <c r="AK49" s="207">
        <v>46136</v>
      </c>
      <c r="AL49" s="207">
        <f t="shared" si="2"/>
        <v>46137</v>
      </c>
      <c r="AM49" s="207">
        <f t="shared" si="3"/>
        <v>46137</v>
      </c>
    </row>
    <row r="50" spans="1:57" hidden="1">
      <c r="A50" s="172" t="s">
        <v>67</v>
      </c>
      <c r="B50" s="286" t="s">
        <v>133</v>
      </c>
      <c r="C50" s="173" t="s">
        <v>134</v>
      </c>
      <c r="D50" s="166" t="s">
        <v>656</v>
      </c>
      <c r="E50" s="172" t="s">
        <v>464</v>
      </c>
      <c r="F50" s="200" t="s">
        <v>417</v>
      </c>
      <c r="G50" s="206" t="s">
        <v>760</v>
      </c>
      <c r="H50" s="172" t="s">
        <v>102</v>
      </c>
      <c r="I50" s="172"/>
      <c r="J50" s="172"/>
      <c r="K50" s="172" t="s">
        <v>347</v>
      </c>
      <c r="L50" s="172" t="s">
        <v>102</v>
      </c>
      <c r="M50" s="172" t="s">
        <v>102</v>
      </c>
      <c r="N50" s="172" t="e">
        <f>#REF!</f>
        <v>#REF!</v>
      </c>
      <c r="O50" s="172"/>
      <c r="P50" s="172"/>
      <c r="Q50" s="172" t="s">
        <v>462</v>
      </c>
      <c r="R50" s="172"/>
      <c r="S50" s="137" t="s">
        <v>695</v>
      </c>
      <c r="T50" s="137"/>
      <c r="U50" s="137" t="s">
        <v>696</v>
      </c>
      <c r="V50" s="137">
        <v>46</v>
      </c>
      <c r="W50" s="217" t="s">
        <v>44</v>
      </c>
      <c r="X50" s="207">
        <v>45659</v>
      </c>
      <c r="Y50" s="207">
        <v>46083</v>
      </c>
      <c r="Z50" s="207">
        <v>46108</v>
      </c>
      <c r="AA50" s="207">
        <v>46108</v>
      </c>
      <c r="AB50" s="207">
        <v>46108</v>
      </c>
      <c r="AC50" s="207">
        <v>46108</v>
      </c>
      <c r="AD50" s="207">
        <v>46108</v>
      </c>
      <c r="AE50" s="207">
        <v>46108</v>
      </c>
      <c r="AF50" s="207">
        <v>46108</v>
      </c>
      <c r="AG50" s="207">
        <v>46108</v>
      </c>
      <c r="AH50" s="207">
        <v>46108</v>
      </c>
      <c r="AI50" s="207">
        <v>46108</v>
      </c>
      <c r="AJ50" s="207">
        <v>46108</v>
      </c>
      <c r="AK50" s="207">
        <v>46108</v>
      </c>
      <c r="AL50" s="207">
        <f>AK50</f>
        <v>46108</v>
      </c>
      <c r="AM50" s="207">
        <f t="shared" si="3"/>
        <v>46108</v>
      </c>
    </row>
    <row r="51" spans="1:57" hidden="1">
      <c r="A51" s="137" t="s">
        <v>46</v>
      </c>
      <c r="B51" s="289" t="s">
        <v>61</v>
      </c>
      <c r="C51" s="165" t="s">
        <v>48</v>
      </c>
      <c r="D51" s="166" t="s">
        <v>324</v>
      </c>
      <c r="E51" s="137" t="s">
        <v>117</v>
      </c>
      <c r="F51" s="197" t="s">
        <v>63</v>
      </c>
      <c r="G51" s="196" t="s">
        <v>761</v>
      </c>
      <c r="H51" s="137" t="s">
        <v>64</v>
      </c>
      <c r="I51" s="137" t="s">
        <v>54</v>
      </c>
      <c r="J51" s="137"/>
      <c r="K51" s="137" t="s">
        <v>55</v>
      </c>
      <c r="L51" s="137"/>
      <c r="M51" s="137" t="s">
        <v>57</v>
      </c>
      <c r="N51" s="137" t="s">
        <v>58</v>
      </c>
      <c r="O51" s="137"/>
      <c r="P51" s="137"/>
      <c r="Q51" s="137"/>
      <c r="R51" s="137"/>
      <c r="S51" s="255" t="s">
        <v>762</v>
      </c>
      <c r="T51" s="167"/>
      <c r="U51" s="137" t="s">
        <v>763</v>
      </c>
      <c r="V51" s="137">
        <v>47</v>
      </c>
      <c r="W51" s="219" t="s">
        <v>667</v>
      </c>
      <c r="X51" s="207">
        <v>45659</v>
      </c>
      <c r="Y51" s="207">
        <v>46038</v>
      </c>
      <c r="Z51" s="207">
        <v>46041</v>
      </c>
      <c r="AA51" s="207">
        <v>46052</v>
      </c>
      <c r="AB51" s="207">
        <v>46056</v>
      </c>
      <c r="AC51" s="207">
        <v>46080</v>
      </c>
      <c r="AD51" s="207">
        <v>46099</v>
      </c>
      <c r="AE51" s="207">
        <v>46113</v>
      </c>
      <c r="AF51" s="207">
        <v>46113</v>
      </c>
      <c r="AG51" s="207">
        <v>46118</v>
      </c>
      <c r="AH51" s="207">
        <v>46119</v>
      </c>
      <c r="AI51" s="207">
        <v>46121</v>
      </c>
      <c r="AJ51" s="207">
        <v>46122</v>
      </c>
      <c r="AK51" s="207">
        <v>46136</v>
      </c>
      <c r="AL51" s="207">
        <f>AK51+1</f>
        <v>46137</v>
      </c>
      <c r="AM51" s="207">
        <f t="shared" si="3"/>
        <v>46137</v>
      </c>
    </row>
    <row r="52" spans="1:57" hidden="1">
      <c r="A52" s="137" t="s">
        <v>46</v>
      </c>
      <c r="B52" s="283" t="s">
        <v>47</v>
      </c>
      <c r="C52" s="165" t="s">
        <v>48</v>
      </c>
      <c r="D52" s="166" t="s">
        <v>195</v>
      </c>
      <c r="E52" s="271" t="s">
        <v>290</v>
      </c>
      <c r="F52" s="197" t="s">
        <v>291</v>
      </c>
      <c r="G52" s="196" t="s">
        <v>764</v>
      </c>
      <c r="H52" s="137" t="s">
        <v>765</v>
      </c>
      <c r="I52" s="137" t="s">
        <v>83</v>
      </c>
      <c r="J52" s="137" t="s">
        <v>292</v>
      </c>
      <c r="K52" s="137" t="s">
        <v>198</v>
      </c>
      <c r="L52" s="137"/>
      <c r="M52" s="137" t="s">
        <v>57</v>
      </c>
      <c r="N52" s="137" t="s">
        <v>16</v>
      </c>
      <c r="O52" s="137"/>
      <c r="P52" s="137"/>
      <c r="Q52" s="137"/>
      <c r="R52" s="137"/>
      <c r="S52" s="137" t="s">
        <v>766</v>
      </c>
      <c r="T52" s="137"/>
      <c r="U52" s="137" t="s">
        <v>767</v>
      </c>
      <c r="V52" s="137">
        <v>39</v>
      </c>
      <c r="W52" s="217" t="s">
        <v>667</v>
      </c>
      <c r="X52" s="207">
        <v>45659</v>
      </c>
      <c r="Y52" s="207">
        <v>46083</v>
      </c>
      <c r="Z52" s="207">
        <v>46069</v>
      </c>
      <c r="AA52" s="207">
        <v>46122</v>
      </c>
      <c r="AB52" s="207">
        <v>46125</v>
      </c>
      <c r="AC52" s="207">
        <v>46136</v>
      </c>
      <c r="AD52" s="207">
        <v>46139</v>
      </c>
      <c r="AE52" s="207">
        <v>46150</v>
      </c>
      <c r="AF52" s="207">
        <v>46150</v>
      </c>
      <c r="AG52" s="207">
        <v>46153</v>
      </c>
      <c r="AH52" s="207">
        <v>46154</v>
      </c>
      <c r="AI52" s="207">
        <v>46156</v>
      </c>
      <c r="AJ52" s="207">
        <v>46157</v>
      </c>
      <c r="AK52" s="207">
        <v>46171</v>
      </c>
      <c r="AL52" s="207">
        <v>46171</v>
      </c>
      <c r="AM52" s="207">
        <v>46174</v>
      </c>
      <c r="AN52" t="s">
        <v>768</v>
      </c>
    </row>
    <row r="53" spans="1:57" hidden="1">
      <c r="A53" s="137" t="s">
        <v>92</v>
      </c>
      <c r="B53" s="283" t="s">
        <v>80</v>
      </c>
      <c r="C53" s="165" t="s">
        <v>201</v>
      </c>
      <c r="D53" s="166" t="s">
        <v>49</v>
      </c>
      <c r="E53" s="137" t="s">
        <v>311</v>
      </c>
      <c r="F53" s="197" t="s">
        <v>312</v>
      </c>
      <c r="G53" s="196" t="s">
        <v>769</v>
      </c>
      <c r="H53" s="137"/>
      <c r="I53" s="137" t="s">
        <v>72</v>
      </c>
      <c r="J53" s="137"/>
      <c r="K53" s="137" t="s">
        <v>198</v>
      </c>
      <c r="L53" s="137"/>
      <c r="M53" s="137" t="s">
        <v>57</v>
      </c>
      <c r="N53" s="137" t="s">
        <v>160</v>
      </c>
      <c r="O53" s="137"/>
      <c r="P53" s="137"/>
      <c r="Q53" s="137"/>
      <c r="R53" s="137"/>
      <c r="S53" s="137" t="s">
        <v>770</v>
      </c>
      <c r="T53" s="167"/>
      <c r="U53" s="137" t="s">
        <v>671</v>
      </c>
      <c r="V53" s="137">
        <v>49</v>
      </c>
      <c r="W53" s="217"/>
      <c r="X53" s="207">
        <v>46024</v>
      </c>
      <c r="Y53" s="207">
        <v>46052</v>
      </c>
      <c r="Z53" s="207">
        <v>46056</v>
      </c>
      <c r="AA53" s="207">
        <v>46080</v>
      </c>
      <c r="AB53" s="207">
        <v>46083</v>
      </c>
      <c r="AC53" s="207">
        <v>46108</v>
      </c>
      <c r="AD53" s="207">
        <v>46111</v>
      </c>
      <c r="AE53" s="207">
        <v>46122</v>
      </c>
      <c r="AF53" s="207">
        <v>46121</v>
      </c>
      <c r="AG53" s="207">
        <v>46122</v>
      </c>
      <c r="AH53" s="207">
        <v>46125</v>
      </c>
      <c r="AI53" s="207">
        <v>46143</v>
      </c>
      <c r="AJ53" s="207">
        <v>46146</v>
      </c>
      <c r="AK53" s="207">
        <v>46157</v>
      </c>
      <c r="AL53" s="207">
        <f>AK53+1</f>
        <v>46158</v>
      </c>
      <c r="AM53" s="207">
        <f t="shared" ref="AM53:AM62" si="4">AL53</f>
        <v>46158</v>
      </c>
    </row>
    <row r="54" spans="1:57" hidden="1">
      <c r="A54" s="185" t="s">
        <v>67</v>
      </c>
      <c r="B54" s="290" t="s">
        <v>133</v>
      </c>
      <c r="C54" s="186" t="s">
        <v>134</v>
      </c>
      <c r="D54" s="166" t="s">
        <v>656</v>
      </c>
      <c r="E54" s="185" t="s">
        <v>469</v>
      </c>
      <c r="F54" s="201" t="s">
        <v>417</v>
      </c>
      <c r="G54" s="206" t="s">
        <v>771</v>
      </c>
      <c r="H54" s="185" t="s">
        <v>102</v>
      </c>
      <c r="I54" s="185"/>
      <c r="J54" s="185"/>
      <c r="K54" s="185" t="s">
        <v>347</v>
      </c>
      <c r="L54" s="185" t="s">
        <v>102</v>
      </c>
      <c r="M54" s="185" t="s">
        <v>102</v>
      </c>
      <c r="N54" s="185" t="e">
        <f>#REF!</f>
        <v>#REF!</v>
      </c>
      <c r="O54" s="185"/>
      <c r="P54" s="185"/>
      <c r="Q54" s="185" t="s">
        <v>462</v>
      </c>
      <c r="R54" s="185"/>
      <c r="S54" s="214" t="s">
        <v>695</v>
      </c>
      <c r="T54" s="214"/>
      <c r="U54" s="214" t="s">
        <v>696</v>
      </c>
      <c r="V54" s="214">
        <v>50</v>
      </c>
      <c r="W54" s="217" t="s">
        <v>44</v>
      </c>
      <c r="X54" s="208">
        <v>45659</v>
      </c>
      <c r="Y54" s="208">
        <v>46083</v>
      </c>
      <c r="Z54" s="208">
        <v>46108</v>
      </c>
      <c r="AA54" s="208">
        <v>46108</v>
      </c>
      <c r="AB54" s="208">
        <v>46108</v>
      </c>
      <c r="AC54" s="208">
        <v>46108</v>
      </c>
      <c r="AD54" s="208">
        <v>46108</v>
      </c>
      <c r="AE54" s="208">
        <v>46108</v>
      </c>
      <c r="AF54" s="208">
        <v>46108</v>
      </c>
      <c r="AG54" s="208">
        <v>46108</v>
      </c>
      <c r="AH54" s="208">
        <v>46108</v>
      </c>
      <c r="AI54" s="208">
        <v>46108</v>
      </c>
      <c r="AJ54" s="208">
        <v>46108</v>
      </c>
      <c r="AK54" s="208">
        <v>46108</v>
      </c>
      <c r="AL54" s="207">
        <f>AK54</f>
        <v>46108</v>
      </c>
      <c r="AM54" s="208">
        <f t="shared" si="4"/>
        <v>46108</v>
      </c>
    </row>
    <row r="55" spans="1:57" hidden="1">
      <c r="A55" s="168" t="s">
        <v>92</v>
      </c>
      <c r="B55" s="267" t="s">
        <v>93</v>
      </c>
      <c r="C55" s="169" t="s">
        <v>94</v>
      </c>
      <c r="D55" s="261" t="s">
        <v>772</v>
      </c>
      <c r="E55" s="168" t="s">
        <v>310</v>
      </c>
      <c r="F55" s="198" t="s">
        <v>197</v>
      </c>
      <c r="G55" s="205" t="s">
        <v>773</v>
      </c>
      <c r="H55" s="168" t="s">
        <v>97</v>
      </c>
      <c r="I55" s="168" t="s">
        <v>72</v>
      </c>
      <c r="J55" s="168"/>
      <c r="K55" s="168" t="s">
        <v>198</v>
      </c>
      <c r="L55" s="168" t="s">
        <v>73</v>
      </c>
      <c r="M55" s="168" t="s">
        <v>98</v>
      </c>
      <c r="N55" s="168" t="s">
        <v>99</v>
      </c>
      <c r="O55" s="198" t="s">
        <v>199</v>
      </c>
      <c r="P55" s="168" t="s">
        <v>200</v>
      </c>
      <c r="Q55" s="168"/>
      <c r="R55" s="269"/>
      <c r="S55" s="137" t="s">
        <v>774</v>
      </c>
      <c r="T55" s="167"/>
      <c r="U55" s="137" t="s">
        <v>666</v>
      </c>
      <c r="V55" s="137">
        <v>51</v>
      </c>
      <c r="W55" s="219" t="s">
        <v>667</v>
      </c>
      <c r="X55" s="209">
        <v>46024</v>
      </c>
      <c r="Y55" s="207">
        <v>46083</v>
      </c>
      <c r="Z55" s="207">
        <v>46056</v>
      </c>
      <c r="AA55" s="207">
        <v>46087</v>
      </c>
      <c r="AB55" s="207">
        <v>46080</v>
      </c>
      <c r="AC55" s="207">
        <v>46080</v>
      </c>
      <c r="AD55" s="207">
        <v>46111</v>
      </c>
      <c r="AE55" s="207">
        <v>46125</v>
      </c>
      <c r="AF55" s="207">
        <v>46125</v>
      </c>
      <c r="AG55" s="207">
        <v>46126</v>
      </c>
      <c r="AH55" s="207">
        <v>46127</v>
      </c>
      <c r="AI55" s="207">
        <v>46129</v>
      </c>
      <c r="AJ55" s="207">
        <v>46132</v>
      </c>
      <c r="AK55" s="207">
        <v>46146</v>
      </c>
      <c r="AL55" s="207">
        <f>AK55+1</f>
        <v>46147</v>
      </c>
      <c r="AM55" s="207">
        <f t="shared" si="4"/>
        <v>46147</v>
      </c>
    </row>
    <row r="56" spans="1:57" hidden="1">
      <c r="A56" s="137" t="s">
        <v>92</v>
      </c>
      <c r="B56" s="283" t="s">
        <v>356</v>
      </c>
      <c r="C56" s="165" t="s">
        <v>225</v>
      </c>
      <c r="D56" s="166" t="s">
        <v>710</v>
      </c>
      <c r="E56" s="137" t="s">
        <v>471</v>
      </c>
      <c r="F56" s="199" t="s">
        <v>472</v>
      </c>
      <c r="G56" s="196" t="s">
        <v>775</v>
      </c>
      <c r="H56" s="137" t="s">
        <v>473</v>
      </c>
      <c r="I56" s="137"/>
      <c r="J56" s="137"/>
      <c r="K56" s="137" t="s">
        <v>340</v>
      </c>
      <c r="L56" s="137" t="s">
        <v>474</v>
      </c>
      <c r="M56" s="137" t="s">
        <v>74</v>
      </c>
      <c r="N56" s="137" t="s">
        <v>338</v>
      </c>
      <c r="O56" s="137"/>
      <c r="P56" s="215"/>
      <c r="Q56" s="215"/>
      <c r="R56" s="137"/>
      <c r="S56" s="137" t="s">
        <v>776</v>
      </c>
      <c r="T56" s="137" t="s">
        <v>713</v>
      </c>
      <c r="U56" s="137" t="s">
        <v>696</v>
      </c>
      <c r="V56" s="137">
        <v>52</v>
      </c>
      <c r="W56" s="217"/>
      <c r="X56" s="207">
        <v>46024</v>
      </c>
      <c r="Y56" s="207">
        <v>46031</v>
      </c>
      <c r="Z56" s="207">
        <v>46034</v>
      </c>
      <c r="AA56" s="207">
        <v>46038</v>
      </c>
      <c r="AB56" s="207">
        <v>46041</v>
      </c>
      <c r="AC56" s="207">
        <v>46045</v>
      </c>
      <c r="AD56" s="207">
        <v>46048</v>
      </c>
      <c r="AE56" s="207">
        <v>46052</v>
      </c>
      <c r="AF56" s="207">
        <v>46055</v>
      </c>
      <c r="AG56" s="207">
        <v>46069</v>
      </c>
      <c r="AH56" s="207">
        <v>46083</v>
      </c>
      <c r="AI56" s="207">
        <v>46101</v>
      </c>
      <c r="AJ56" s="207">
        <v>46104</v>
      </c>
      <c r="AK56" s="207">
        <v>46122</v>
      </c>
      <c r="AL56" s="207">
        <f>AK56+1</f>
        <v>46123</v>
      </c>
      <c r="AM56" s="207">
        <f t="shared" si="4"/>
        <v>46123</v>
      </c>
    </row>
    <row r="57" spans="1:57" hidden="1">
      <c r="A57" s="137" t="s">
        <v>80</v>
      </c>
      <c r="B57" s="283" t="s">
        <v>133</v>
      </c>
      <c r="C57" s="165" t="s">
        <v>134</v>
      </c>
      <c r="D57" s="166" t="s">
        <v>324</v>
      </c>
      <c r="E57" s="137" t="s">
        <v>475</v>
      </c>
      <c r="F57" s="199" t="s">
        <v>476</v>
      </c>
      <c r="G57" s="196" t="s">
        <v>777</v>
      </c>
      <c r="H57" s="137" t="s">
        <v>437</v>
      </c>
      <c r="I57" s="137" t="s">
        <v>54</v>
      </c>
      <c r="J57" s="137"/>
      <c r="K57" s="137" t="s">
        <v>339</v>
      </c>
      <c r="L57" s="137"/>
      <c r="M57" s="137" t="s">
        <v>57</v>
      </c>
      <c r="N57" s="137" t="s">
        <v>133</v>
      </c>
      <c r="O57" s="137"/>
      <c r="P57" s="137"/>
      <c r="Q57" s="137"/>
      <c r="R57" s="137"/>
      <c r="S57" s="137" t="s">
        <v>778</v>
      </c>
      <c r="T57" s="137" t="s">
        <v>713</v>
      </c>
      <c r="U57" s="137" t="s">
        <v>714</v>
      </c>
      <c r="V57" s="137">
        <v>53</v>
      </c>
      <c r="W57" s="217"/>
      <c r="X57" s="207">
        <v>45659</v>
      </c>
      <c r="Y57" s="207">
        <v>46083</v>
      </c>
      <c r="Z57" s="207">
        <v>46034</v>
      </c>
      <c r="AA57" s="207">
        <v>46038</v>
      </c>
      <c r="AB57" s="207">
        <v>46041</v>
      </c>
      <c r="AC57" s="207">
        <v>46045</v>
      </c>
      <c r="AD57" s="207">
        <v>46048</v>
      </c>
      <c r="AE57" s="207">
        <v>46052</v>
      </c>
      <c r="AF57" s="207">
        <v>46055</v>
      </c>
      <c r="AG57" s="207">
        <v>46062</v>
      </c>
      <c r="AH57" s="207">
        <v>46076</v>
      </c>
      <c r="AI57" s="207">
        <v>46101</v>
      </c>
      <c r="AJ57" s="207">
        <v>46104</v>
      </c>
      <c r="AK57" s="207">
        <v>46129</v>
      </c>
      <c r="AL57" s="207">
        <f>AK57+1</f>
        <v>46130</v>
      </c>
      <c r="AM57" s="207">
        <f t="shared" si="4"/>
        <v>46130</v>
      </c>
    </row>
    <row r="58" spans="1:57" hidden="1">
      <c r="A58" s="172" t="s">
        <v>80</v>
      </c>
      <c r="B58" s="286" t="s">
        <v>133</v>
      </c>
      <c r="C58" s="173" t="s">
        <v>134</v>
      </c>
      <c r="D58" s="166" t="s">
        <v>656</v>
      </c>
      <c r="E58" s="172" t="s">
        <v>477</v>
      </c>
      <c r="F58" s="200" t="s">
        <v>476</v>
      </c>
      <c r="G58" s="206" t="s">
        <v>779</v>
      </c>
      <c r="H58" s="172" t="s">
        <v>102</v>
      </c>
      <c r="I58" s="172"/>
      <c r="J58" s="172"/>
      <c r="K58" s="172" t="s">
        <v>347</v>
      </c>
      <c r="L58" s="172" t="s">
        <v>102</v>
      </c>
      <c r="M58" s="172" t="s">
        <v>102</v>
      </c>
      <c r="N58" s="172" t="e">
        <f>#REF!</f>
        <v>#REF!</v>
      </c>
      <c r="O58" s="172"/>
      <c r="P58" s="172"/>
      <c r="Q58" s="172" t="s">
        <v>462</v>
      </c>
      <c r="R58" s="172"/>
      <c r="S58" s="137" t="s">
        <v>695</v>
      </c>
      <c r="T58" s="137"/>
      <c r="U58" s="137" t="s">
        <v>696</v>
      </c>
      <c r="V58" s="137">
        <v>54</v>
      </c>
      <c r="W58" s="217" t="s">
        <v>44</v>
      </c>
      <c r="X58" s="207">
        <v>45659</v>
      </c>
      <c r="Y58" s="207">
        <v>46083</v>
      </c>
      <c r="Z58" s="207">
        <v>46108</v>
      </c>
      <c r="AA58" s="207">
        <v>46108</v>
      </c>
      <c r="AB58" s="207">
        <v>46108</v>
      </c>
      <c r="AC58" s="207">
        <v>46108</v>
      </c>
      <c r="AD58" s="207">
        <v>46108</v>
      </c>
      <c r="AE58" s="207">
        <v>46108</v>
      </c>
      <c r="AF58" s="207">
        <v>46108</v>
      </c>
      <c r="AG58" s="207">
        <v>46108</v>
      </c>
      <c r="AH58" s="207">
        <v>46108</v>
      </c>
      <c r="AI58" s="207">
        <v>46108</v>
      </c>
      <c r="AJ58" s="207">
        <v>46108</v>
      </c>
      <c r="AK58" s="207">
        <v>46108</v>
      </c>
      <c r="AL58" s="207">
        <f>AK58</f>
        <v>46108</v>
      </c>
      <c r="AM58" s="207">
        <f t="shared" si="4"/>
        <v>46108</v>
      </c>
    </row>
    <row r="59" spans="1:57" hidden="1">
      <c r="A59" s="172" t="s">
        <v>80</v>
      </c>
      <c r="B59" s="286" t="s">
        <v>133</v>
      </c>
      <c r="C59" s="173" t="s">
        <v>134</v>
      </c>
      <c r="D59" s="166" t="s">
        <v>656</v>
      </c>
      <c r="E59" s="172" t="s">
        <v>478</v>
      </c>
      <c r="F59" s="200" t="s">
        <v>476</v>
      </c>
      <c r="G59" s="206" t="s">
        <v>780</v>
      </c>
      <c r="H59" s="172" t="s">
        <v>102</v>
      </c>
      <c r="I59" s="172"/>
      <c r="J59" s="172"/>
      <c r="K59" s="172" t="s">
        <v>347</v>
      </c>
      <c r="L59" s="172" t="s">
        <v>102</v>
      </c>
      <c r="M59" s="172" t="s">
        <v>102</v>
      </c>
      <c r="N59" s="172" t="e">
        <f>#REF!</f>
        <v>#REF!</v>
      </c>
      <c r="O59" s="172"/>
      <c r="P59" s="172"/>
      <c r="Q59" s="172" t="s">
        <v>462</v>
      </c>
      <c r="R59" s="172"/>
      <c r="S59" s="137" t="s">
        <v>695</v>
      </c>
      <c r="T59" s="137"/>
      <c r="U59" s="137" t="s">
        <v>696</v>
      </c>
      <c r="V59" s="137">
        <v>55</v>
      </c>
      <c r="W59" s="217" t="s">
        <v>44</v>
      </c>
      <c r="X59" s="207">
        <v>45659</v>
      </c>
      <c r="Y59" s="207">
        <v>46083</v>
      </c>
      <c r="Z59" s="207">
        <v>46108</v>
      </c>
      <c r="AA59" s="207">
        <v>46108</v>
      </c>
      <c r="AB59" s="207">
        <v>46108</v>
      </c>
      <c r="AC59" s="207">
        <v>46108</v>
      </c>
      <c r="AD59" s="207">
        <v>46108</v>
      </c>
      <c r="AE59" s="207">
        <v>46108</v>
      </c>
      <c r="AF59" s="207">
        <v>46108</v>
      </c>
      <c r="AG59" s="207">
        <v>46108</v>
      </c>
      <c r="AH59" s="207">
        <v>46108</v>
      </c>
      <c r="AI59" s="207">
        <v>46108</v>
      </c>
      <c r="AJ59" s="207">
        <v>46108</v>
      </c>
      <c r="AK59" s="207">
        <v>46108</v>
      </c>
      <c r="AL59" s="207">
        <f>AK59</f>
        <v>46108</v>
      </c>
      <c r="AM59" s="207">
        <f t="shared" si="4"/>
        <v>46108</v>
      </c>
    </row>
    <row r="60" spans="1:57" hidden="1">
      <c r="A60" s="188" t="s">
        <v>80</v>
      </c>
      <c r="B60" s="286" t="s">
        <v>133</v>
      </c>
      <c r="C60" s="189" t="s">
        <v>134</v>
      </c>
      <c r="D60" s="166" t="s">
        <v>656</v>
      </c>
      <c r="E60" s="188" t="s">
        <v>479</v>
      </c>
      <c r="F60" s="202" t="s">
        <v>476</v>
      </c>
      <c r="G60" s="206" t="s">
        <v>781</v>
      </c>
      <c r="H60" s="188" t="s">
        <v>102</v>
      </c>
      <c r="I60" s="188"/>
      <c r="J60" s="188"/>
      <c r="K60" s="188" t="s">
        <v>347</v>
      </c>
      <c r="L60" s="188" t="s">
        <v>102</v>
      </c>
      <c r="M60" s="188" t="s">
        <v>102</v>
      </c>
      <c r="N60" s="188" t="e">
        <f>#REF!</f>
        <v>#REF!</v>
      </c>
      <c r="O60" s="188"/>
      <c r="P60" s="188"/>
      <c r="Q60" s="188" t="s">
        <v>462</v>
      </c>
      <c r="R60" s="188"/>
      <c r="S60" s="215" t="s">
        <v>695</v>
      </c>
      <c r="T60" s="215"/>
      <c r="U60" s="215" t="s">
        <v>696</v>
      </c>
      <c r="V60" s="215">
        <v>56</v>
      </c>
      <c r="W60" s="217" t="s">
        <v>44</v>
      </c>
      <c r="X60" s="209">
        <v>45659</v>
      </c>
      <c r="Y60" s="209">
        <v>46083</v>
      </c>
      <c r="Z60" s="209">
        <v>46108</v>
      </c>
      <c r="AA60" s="209">
        <v>46108</v>
      </c>
      <c r="AB60" s="209">
        <v>46108</v>
      </c>
      <c r="AC60" s="209">
        <v>46108</v>
      </c>
      <c r="AD60" s="209">
        <v>46108</v>
      </c>
      <c r="AE60" s="209">
        <v>46108</v>
      </c>
      <c r="AF60" s="209">
        <v>46108</v>
      </c>
      <c r="AG60" s="209">
        <v>46108</v>
      </c>
      <c r="AH60" s="209">
        <v>46108</v>
      </c>
      <c r="AI60" s="209">
        <v>46108</v>
      </c>
      <c r="AJ60" s="209">
        <v>46108</v>
      </c>
      <c r="AK60" s="209">
        <v>46108</v>
      </c>
      <c r="AL60" s="207">
        <f>AK60</f>
        <v>46108</v>
      </c>
      <c r="AM60" s="209">
        <f t="shared" si="4"/>
        <v>46108</v>
      </c>
    </row>
    <row r="61" spans="1:57" hidden="1">
      <c r="A61" s="172" t="s">
        <v>80</v>
      </c>
      <c r="B61" s="286" t="s">
        <v>133</v>
      </c>
      <c r="C61" s="173" t="s">
        <v>134</v>
      </c>
      <c r="D61" s="166" t="s">
        <v>656</v>
      </c>
      <c r="E61" s="172" t="s">
        <v>480</v>
      </c>
      <c r="F61" s="200" t="s">
        <v>476</v>
      </c>
      <c r="G61" s="206" t="s">
        <v>782</v>
      </c>
      <c r="H61" s="172" t="s">
        <v>102</v>
      </c>
      <c r="I61" s="172"/>
      <c r="J61" s="172"/>
      <c r="K61" s="172" t="s">
        <v>347</v>
      </c>
      <c r="L61" s="172" t="s">
        <v>102</v>
      </c>
      <c r="M61" s="172" t="s">
        <v>102</v>
      </c>
      <c r="N61" s="172" t="e">
        <f>#REF!</f>
        <v>#REF!</v>
      </c>
      <c r="O61" s="172"/>
      <c r="P61" s="172"/>
      <c r="Q61" s="172" t="s">
        <v>462</v>
      </c>
      <c r="R61" s="172"/>
      <c r="S61" s="137" t="s">
        <v>695</v>
      </c>
      <c r="T61" s="137"/>
      <c r="U61" s="137" t="s">
        <v>696</v>
      </c>
      <c r="V61" s="137">
        <v>57</v>
      </c>
      <c r="W61" s="217" t="s">
        <v>44</v>
      </c>
      <c r="X61" s="207">
        <v>45659</v>
      </c>
      <c r="Y61" s="207">
        <v>46083</v>
      </c>
      <c r="Z61" s="207">
        <v>46108</v>
      </c>
      <c r="AA61" s="207">
        <v>46108</v>
      </c>
      <c r="AB61" s="207">
        <v>46108</v>
      </c>
      <c r="AC61" s="207">
        <v>46108</v>
      </c>
      <c r="AD61" s="207">
        <v>46108</v>
      </c>
      <c r="AE61" s="207">
        <v>46108</v>
      </c>
      <c r="AF61" s="207">
        <v>46108</v>
      </c>
      <c r="AG61" s="207">
        <v>46108</v>
      </c>
      <c r="AH61" s="207">
        <v>46108</v>
      </c>
      <c r="AI61" s="207">
        <v>46108</v>
      </c>
      <c r="AJ61" s="207">
        <v>46108</v>
      </c>
      <c r="AK61" s="207">
        <v>46108</v>
      </c>
      <c r="AL61" s="207">
        <f>AK61</f>
        <v>46108</v>
      </c>
      <c r="AM61" s="207">
        <f t="shared" si="4"/>
        <v>46108</v>
      </c>
      <c r="BE61" s="184" t="s">
        <v>783</v>
      </c>
    </row>
    <row r="62" spans="1:57" hidden="1">
      <c r="A62" s="137" t="s">
        <v>46</v>
      </c>
      <c r="B62" s="289" t="s">
        <v>61</v>
      </c>
      <c r="C62" s="165" t="s">
        <v>48</v>
      </c>
      <c r="D62" s="166" t="s">
        <v>324</v>
      </c>
      <c r="E62" s="254" t="s">
        <v>116</v>
      </c>
      <c r="F62" s="197" t="s">
        <v>66</v>
      </c>
      <c r="G62" s="196" t="s">
        <v>784</v>
      </c>
      <c r="H62" s="137" t="s">
        <v>112</v>
      </c>
      <c r="I62" s="137" t="s">
        <v>54</v>
      </c>
      <c r="J62" s="137"/>
      <c r="K62" s="137" t="s">
        <v>55</v>
      </c>
      <c r="L62" s="137"/>
      <c r="M62" s="137" t="s">
        <v>57</v>
      </c>
      <c r="N62" s="137" t="s">
        <v>58</v>
      </c>
      <c r="O62" s="137"/>
      <c r="P62" s="137"/>
      <c r="Q62" s="137"/>
      <c r="R62" s="137"/>
      <c r="S62" s="252" t="s">
        <v>785</v>
      </c>
      <c r="T62" s="167"/>
      <c r="U62" s="137" t="s">
        <v>718</v>
      </c>
      <c r="V62" s="137">
        <v>58</v>
      </c>
      <c r="W62" s="219" t="s">
        <v>667</v>
      </c>
      <c r="X62" s="207">
        <v>45659</v>
      </c>
      <c r="Y62" s="207">
        <v>46038</v>
      </c>
      <c r="Z62" s="207">
        <v>46041</v>
      </c>
      <c r="AA62" s="207">
        <v>46052</v>
      </c>
      <c r="AB62" s="207">
        <v>46056</v>
      </c>
      <c r="AC62" s="207">
        <v>46080</v>
      </c>
      <c r="AD62" s="207">
        <v>46099</v>
      </c>
      <c r="AE62" s="207">
        <v>46113</v>
      </c>
      <c r="AF62" s="207">
        <v>46113</v>
      </c>
      <c r="AG62" s="207">
        <v>46118</v>
      </c>
      <c r="AH62" s="207">
        <v>46119</v>
      </c>
      <c r="AI62" s="207">
        <v>46121</v>
      </c>
      <c r="AJ62" s="207">
        <v>46122</v>
      </c>
      <c r="AK62" s="207">
        <v>46136</v>
      </c>
      <c r="AL62" s="207">
        <f>AK62+1</f>
        <v>46137</v>
      </c>
      <c r="AM62" s="207">
        <f t="shared" si="4"/>
        <v>46137</v>
      </c>
    </row>
    <row r="63" spans="1:57" hidden="1">
      <c r="A63" s="137" t="s">
        <v>719</v>
      </c>
      <c r="B63" s="283" t="s">
        <v>16</v>
      </c>
      <c r="C63" s="165" t="s">
        <v>123</v>
      </c>
      <c r="D63" s="166" t="s">
        <v>195</v>
      </c>
      <c r="E63" s="137" t="s">
        <v>27</v>
      </c>
      <c r="F63" s="199" t="s">
        <v>481</v>
      </c>
      <c r="G63" s="196" t="s">
        <v>786</v>
      </c>
      <c r="H63" s="137" t="s">
        <v>246</v>
      </c>
      <c r="I63" s="137"/>
      <c r="J63" s="137" t="s">
        <v>482</v>
      </c>
      <c r="K63" s="137" t="s">
        <v>339</v>
      </c>
      <c r="L63" s="137"/>
      <c r="M63" s="137" t="s">
        <v>57</v>
      </c>
      <c r="N63" s="137" t="s">
        <v>16</v>
      </c>
      <c r="O63" s="137" t="s">
        <v>483</v>
      </c>
      <c r="P63" s="137" t="s">
        <v>484</v>
      </c>
      <c r="Q63" s="137"/>
      <c r="R63" s="137"/>
      <c r="S63" s="137" t="s">
        <v>787</v>
      </c>
      <c r="T63" s="137" t="s">
        <v>713</v>
      </c>
      <c r="U63" s="137" t="s">
        <v>714</v>
      </c>
      <c r="V63" s="137">
        <v>59</v>
      </c>
      <c r="W63" s="217"/>
      <c r="X63" s="207">
        <v>46024</v>
      </c>
      <c r="Y63" s="207">
        <v>46038</v>
      </c>
      <c r="Z63" s="207">
        <v>46041</v>
      </c>
      <c r="AA63" s="207">
        <v>46052</v>
      </c>
      <c r="AB63" s="207">
        <v>46056</v>
      </c>
      <c r="AC63" s="207">
        <v>46069</v>
      </c>
      <c r="AD63" s="207">
        <v>46070</v>
      </c>
      <c r="AE63" s="207">
        <v>46072</v>
      </c>
      <c r="AF63" s="207">
        <v>46073</v>
      </c>
      <c r="AG63" s="207">
        <v>46073</v>
      </c>
      <c r="AH63" s="207">
        <v>46076</v>
      </c>
      <c r="AI63" s="207">
        <v>46094</v>
      </c>
      <c r="AJ63" s="207">
        <v>46097</v>
      </c>
      <c r="AK63" s="207">
        <v>46115</v>
      </c>
      <c r="AL63" s="207">
        <f>AK63+3</f>
        <v>46118</v>
      </c>
      <c r="AM63" s="207">
        <f>AL63+2</f>
        <v>46120</v>
      </c>
    </row>
    <row r="64" spans="1:57" hidden="1">
      <c r="A64" s="137" t="s">
        <v>719</v>
      </c>
      <c r="B64" s="283" t="s">
        <v>16</v>
      </c>
      <c r="C64" s="165" t="s">
        <v>123</v>
      </c>
      <c r="D64" s="166" t="s">
        <v>710</v>
      </c>
      <c r="E64" s="137" t="s">
        <v>485</v>
      </c>
      <c r="F64" s="199" t="s">
        <v>486</v>
      </c>
      <c r="G64" s="196" t="s">
        <v>788</v>
      </c>
      <c r="H64" s="137" t="s">
        <v>219</v>
      </c>
      <c r="I64" s="137" t="s">
        <v>83</v>
      </c>
      <c r="J64" s="137" t="s">
        <v>487</v>
      </c>
      <c r="K64" s="137" t="s">
        <v>339</v>
      </c>
      <c r="L64" s="137"/>
      <c r="M64" s="137" t="s">
        <v>57</v>
      </c>
      <c r="N64" s="137" t="s">
        <v>16</v>
      </c>
      <c r="O64" s="137"/>
      <c r="P64" s="137"/>
      <c r="Q64" s="137"/>
      <c r="R64" s="137"/>
      <c r="S64" s="137" t="s">
        <v>721</v>
      </c>
      <c r="T64" s="137" t="s">
        <v>713</v>
      </c>
      <c r="U64" s="137" t="s">
        <v>714</v>
      </c>
      <c r="V64" s="137">
        <v>60</v>
      </c>
      <c r="W64" s="217"/>
      <c r="X64" s="207">
        <v>46024</v>
      </c>
      <c r="Y64" s="207">
        <v>46038</v>
      </c>
      <c r="Z64" s="207">
        <v>46041</v>
      </c>
      <c r="AA64" s="207">
        <v>46052</v>
      </c>
      <c r="AB64" s="207">
        <v>46056</v>
      </c>
      <c r="AC64" s="207">
        <v>46069</v>
      </c>
      <c r="AD64" s="207">
        <v>46070</v>
      </c>
      <c r="AE64" s="207">
        <v>46072</v>
      </c>
      <c r="AF64" s="207">
        <v>46073</v>
      </c>
      <c r="AG64" s="207">
        <v>46073</v>
      </c>
      <c r="AH64" s="207">
        <v>46076</v>
      </c>
      <c r="AI64" s="207">
        <v>46101</v>
      </c>
      <c r="AJ64" s="207">
        <v>46104</v>
      </c>
      <c r="AK64" s="207">
        <v>46129</v>
      </c>
      <c r="AL64" s="207">
        <f t="shared" ref="AL64:AL71" si="5">AK64+1</f>
        <v>46130</v>
      </c>
      <c r="AM64" s="207">
        <f t="shared" ref="AM64:AM71" si="6">AL64</f>
        <v>46130</v>
      </c>
    </row>
    <row r="65" spans="1:40" hidden="1">
      <c r="A65" s="137" t="s">
        <v>67</v>
      </c>
      <c r="B65" s="283" t="s">
        <v>68</v>
      </c>
      <c r="C65" s="165" t="s">
        <v>48</v>
      </c>
      <c r="D65" s="166" t="s">
        <v>324</v>
      </c>
      <c r="E65" s="176" t="s">
        <v>120</v>
      </c>
      <c r="F65" s="197" t="s">
        <v>121</v>
      </c>
      <c r="G65" s="196" t="s">
        <v>789</v>
      </c>
      <c r="H65" s="137" t="s">
        <v>72</v>
      </c>
      <c r="I65" s="137" t="s">
        <v>72</v>
      </c>
      <c r="J65" s="137"/>
      <c r="K65" s="137" t="s">
        <v>55</v>
      </c>
      <c r="L65" s="137" t="s">
        <v>73</v>
      </c>
      <c r="M65" s="137" t="s">
        <v>74</v>
      </c>
      <c r="N65" s="137" t="s">
        <v>75</v>
      </c>
      <c r="O65" s="137" t="s">
        <v>122</v>
      </c>
      <c r="P65" s="137"/>
      <c r="Q65" s="137"/>
      <c r="R65" s="137"/>
      <c r="S65" s="137" t="s">
        <v>790</v>
      </c>
      <c r="T65" s="167"/>
      <c r="U65" s="137" t="s">
        <v>791</v>
      </c>
      <c r="V65" s="137">
        <v>43</v>
      </c>
      <c r="W65" s="217"/>
      <c r="X65" s="207">
        <v>45659</v>
      </c>
      <c r="Y65" s="207">
        <v>46083</v>
      </c>
      <c r="Z65" s="207">
        <v>46041</v>
      </c>
      <c r="AA65" s="207">
        <v>46055</v>
      </c>
      <c r="AB65" s="207">
        <v>46056</v>
      </c>
      <c r="AC65" s="207">
        <v>46073</v>
      </c>
      <c r="AD65" s="207">
        <v>46076</v>
      </c>
      <c r="AE65" s="207">
        <v>46094</v>
      </c>
      <c r="AF65" s="207">
        <v>46093</v>
      </c>
      <c r="AG65" s="207">
        <v>46094</v>
      </c>
      <c r="AH65" s="207">
        <v>46097</v>
      </c>
      <c r="AI65" s="207">
        <v>46115</v>
      </c>
      <c r="AJ65" s="207">
        <v>46118</v>
      </c>
      <c r="AK65" s="207">
        <v>46136</v>
      </c>
      <c r="AL65" s="207">
        <f t="shared" si="5"/>
        <v>46137</v>
      </c>
      <c r="AM65" s="207">
        <f t="shared" si="6"/>
        <v>46137</v>
      </c>
    </row>
    <row r="66" spans="1:40" hidden="1">
      <c r="A66" s="137" t="s">
        <v>719</v>
      </c>
      <c r="B66" s="283" t="s">
        <v>16</v>
      </c>
      <c r="C66" s="165" t="s">
        <v>123</v>
      </c>
      <c r="D66" s="166" t="s">
        <v>710</v>
      </c>
      <c r="E66" s="137" t="s">
        <v>490</v>
      </c>
      <c r="F66" s="199" t="s">
        <v>491</v>
      </c>
      <c r="G66" s="196" t="s">
        <v>792</v>
      </c>
      <c r="H66" s="137" t="s">
        <v>246</v>
      </c>
      <c r="I66" s="137"/>
      <c r="J66" s="137" t="s">
        <v>440</v>
      </c>
      <c r="K66" s="137" t="s">
        <v>339</v>
      </c>
      <c r="L66" s="137"/>
      <c r="M66" s="137" t="s">
        <v>57</v>
      </c>
      <c r="N66" s="137" t="s">
        <v>16</v>
      </c>
      <c r="O66" s="137"/>
      <c r="P66" s="137"/>
      <c r="Q66" s="137"/>
      <c r="R66" s="137"/>
      <c r="S66" s="137" t="s">
        <v>721</v>
      </c>
      <c r="T66" s="137" t="s">
        <v>713</v>
      </c>
      <c r="U66" s="137" t="s">
        <v>714</v>
      </c>
      <c r="V66" s="137">
        <v>62</v>
      </c>
      <c r="W66" s="217"/>
      <c r="X66" s="207">
        <v>46024</v>
      </c>
      <c r="Y66" s="207">
        <v>46038</v>
      </c>
      <c r="Z66" s="207">
        <v>46041</v>
      </c>
      <c r="AA66" s="207">
        <v>46052</v>
      </c>
      <c r="AB66" s="207">
        <v>46056</v>
      </c>
      <c r="AC66" s="207">
        <v>46069</v>
      </c>
      <c r="AD66" s="207">
        <v>46070</v>
      </c>
      <c r="AE66" s="207">
        <v>46072</v>
      </c>
      <c r="AF66" s="207">
        <v>46073</v>
      </c>
      <c r="AG66" s="207">
        <v>46073</v>
      </c>
      <c r="AH66" s="207">
        <v>46076</v>
      </c>
      <c r="AI66" s="207">
        <v>46101</v>
      </c>
      <c r="AJ66" s="207">
        <v>46104</v>
      </c>
      <c r="AK66" s="207">
        <v>46129</v>
      </c>
      <c r="AL66" s="207">
        <f t="shared" si="5"/>
        <v>46130</v>
      </c>
      <c r="AM66" s="207">
        <f t="shared" si="6"/>
        <v>46130</v>
      </c>
    </row>
    <row r="67" spans="1:40" hidden="1">
      <c r="A67" s="137" t="s">
        <v>46</v>
      </c>
      <c r="B67" s="289" t="s">
        <v>61</v>
      </c>
      <c r="C67" s="165" t="s">
        <v>48</v>
      </c>
      <c r="D67" s="166" t="s">
        <v>324</v>
      </c>
      <c r="E67" s="137" t="s">
        <v>114</v>
      </c>
      <c r="F67" s="197" t="s">
        <v>115</v>
      </c>
      <c r="G67" s="196" t="s">
        <v>793</v>
      </c>
      <c r="H67" s="137" t="s">
        <v>64</v>
      </c>
      <c r="I67" s="137" t="s">
        <v>54</v>
      </c>
      <c r="J67" s="137"/>
      <c r="K67" s="137" t="s">
        <v>55</v>
      </c>
      <c r="L67" s="137"/>
      <c r="M67" s="137" t="s">
        <v>57</v>
      </c>
      <c r="N67" s="137" t="s">
        <v>58</v>
      </c>
      <c r="O67" s="137"/>
      <c r="P67" s="137"/>
      <c r="Q67" s="137"/>
      <c r="R67" s="137"/>
      <c r="S67" s="137" t="s">
        <v>794</v>
      </c>
      <c r="T67" s="167"/>
      <c r="U67" s="137" t="s">
        <v>718</v>
      </c>
      <c r="V67" s="137">
        <v>63</v>
      </c>
      <c r="W67" s="219" t="s">
        <v>667</v>
      </c>
      <c r="X67" s="207">
        <v>45659</v>
      </c>
      <c r="Y67" s="207">
        <v>46038</v>
      </c>
      <c r="Z67" s="207">
        <v>46041</v>
      </c>
      <c r="AA67" s="207">
        <v>46052</v>
      </c>
      <c r="AB67" s="207">
        <v>46056</v>
      </c>
      <c r="AC67" s="207">
        <v>46080</v>
      </c>
      <c r="AD67" s="207">
        <v>46099</v>
      </c>
      <c r="AE67" s="207">
        <v>46113</v>
      </c>
      <c r="AF67" s="207">
        <v>46113</v>
      </c>
      <c r="AG67" s="207">
        <v>46118</v>
      </c>
      <c r="AH67" s="207">
        <v>46119</v>
      </c>
      <c r="AI67" s="207">
        <v>46121</v>
      </c>
      <c r="AJ67" s="207">
        <v>46122</v>
      </c>
      <c r="AK67" s="207">
        <v>46136</v>
      </c>
      <c r="AL67" s="207">
        <f t="shared" si="5"/>
        <v>46137</v>
      </c>
      <c r="AM67" s="207">
        <f t="shared" si="6"/>
        <v>46137</v>
      </c>
    </row>
    <row r="68" spans="1:40" hidden="1">
      <c r="A68" s="172" t="s">
        <v>46</v>
      </c>
      <c r="B68" s="287" t="s">
        <v>61</v>
      </c>
      <c r="C68" s="173" t="s">
        <v>48</v>
      </c>
      <c r="D68" s="166" t="s">
        <v>656</v>
      </c>
      <c r="E68" s="172" t="s">
        <v>492</v>
      </c>
      <c r="F68" s="200" t="s">
        <v>63</v>
      </c>
      <c r="G68" s="206" t="s">
        <v>795</v>
      </c>
      <c r="H68" s="172" t="s">
        <v>102</v>
      </c>
      <c r="I68" s="172"/>
      <c r="J68" s="172"/>
      <c r="K68" s="172" t="s">
        <v>347</v>
      </c>
      <c r="L68" s="172" t="s">
        <v>102</v>
      </c>
      <c r="M68" s="172" t="s">
        <v>102</v>
      </c>
      <c r="N68" s="172" t="e">
        <f>#REF!</f>
        <v>#REF!</v>
      </c>
      <c r="O68" s="172"/>
      <c r="P68" s="172"/>
      <c r="Q68" s="172" t="s">
        <v>462</v>
      </c>
      <c r="R68" s="172"/>
      <c r="S68" s="137" t="s">
        <v>695</v>
      </c>
      <c r="T68" s="137"/>
      <c r="U68" s="137" t="s">
        <v>696</v>
      </c>
      <c r="V68" s="137">
        <v>64</v>
      </c>
      <c r="W68" s="217" t="s">
        <v>44</v>
      </c>
      <c r="X68" s="207">
        <v>45659</v>
      </c>
      <c r="Y68" s="207">
        <v>46083</v>
      </c>
      <c r="Z68" s="207">
        <v>46108</v>
      </c>
      <c r="AA68" s="207">
        <v>46108</v>
      </c>
      <c r="AB68" s="207">
        <v>46108</v>
      </c>
      <c r="AC68" s="207">
        <v>46108</v>
      </c>
      <c r="AD68" s="207">
        <v>46108</v>
      </c>
      <c r="AE68" s="207">
        <v>46108</v>
      </c>
      <c r="AF68" s="207">
        <v>46108</v>
      </c>
      <c r="AG68" s="207">
        <v>46108</v>
      </c>
      <c r="AH68" s="207">
        <v>46108</v>
      </c>
      <c r="AI68" s="207">
        <v>46108</v>
      </c>
      <c r="AJ68" s="207">
        <v>46108</v>
      </c>
      <c r="AK68" s="207">
        <v>46108</v>
      </c>
      <c r="AL68" s="207">
        <f t="shared" si="5"/>
        <v>46109</v>
      </c>
      <c r="AM68" s="207">
        <f t="shared" si="6"/>
        <v>46109</v>
      </c>
    </row>
    <row r="69" spans="1:40" hidden="1">
      <c r="A69" s="137" t="s">
        <v>46</v>
      </c>
      <c r="B69" s="289" t="s">
        <v>61</v>
      </c>
      <c r="C69" s="165" t="s">
        <v>48</v>
      </c>
      <c r="D69" s="166" t="s">
        <v>324</v>
      </c>
      <c r="E69" s="137" t="s">
        <v>111</v>
      </c>
      <c r="F69" s="197" t="s">
        <v>66</v>
      </c>
      <c r="G69" s="196" t="s">
        <v>796</v>
      </c>
      <c r="H69" s="137" t="s">
        <v>112</v>
      </c>
      <c r="I69" s="137" t="s">
        <v>54</v>
      </c>
      <c r="J69" s="137" t="s">
        <v>113</v>
      </c>
      <c r="K69" s="137" t="s">
        <v>55</v>
      </c>
      <c r="L69" s="137"/>
      <c r="M69" s="137" t="s">
        <v>57</v>
      </c>
      <c r="N69" s="137" t="s">
        <v>4</v>
      </c>
      <c r="O69" s="137"/>
      <c r="P69" s="137"/>
      <c r="Q69" s="137"/>
      <c r="R69" s="137"/>
      <c r="S69" s="137" t="s">
        <v>797</v>
      </c>
      <c r="T69" s="167"/>
      <c r="U69" s="137" t="s">
        <v>798</v>
      </c>
      <c r="V69" s="137">
        <v>65</v>
      </c>
      <c r="W69" s="217"/>
      <c r="X69" s="207">
        <v>45659</v>
      </c>
      <c r="Y69" s="207">
        <v>46038</v>
      </c>
      <c r="Z69" s="207">
        <v>46041</v>
      </c>
      <c r="AA69" s="207">
        <v>46059</v>
      </c>
      <c r="AB69" s="207">
        <v>46062</v>
      </c>
      <c r="AC69" s="207">
        <v>46073</v>
      </c>
      <c r="AD69" s="207">
        <v>46076</v>
      </c>
      <c r="AE69" s="207">
        <v>46087</v>
      </c>
      <c r="AF69" s="207">
        <v>46086</v>
      </c>
      <c r="AG69" s="207">
        <v>46087</v>
      </c>
      <c r="AH69" s="207">
        <v>46090</v>
      </c>
      <c r="AI69" s="207">
        <v>46108</v>
      </c>
      <c r="AJ69" s="207">
        <v>46111</v>
      </c>
      <c r="AK69" s="207">
        <v>46129</v>
      </c>
      <c r="AL69" s="207">
        <f t="shared" si="5"/>
        <v>46130</v>
      </c>
      <c r="AM69" s="207">
        <f t="shared" si="6"/>
        <v>46130</v>
      </c>
    </row>
    <row r="70" spans="1:40" hidden="1">
      <c r="A70" s="137" t="s">
        <v>92</v>
      </c>
      <c r="B70" s="283" t="s">
        <v>93</v>
      </c>
      <c r="C70" s="165" t="s">
        <v>94</v>
      </c>
      <c r="D70" s="166" t="s">
        <v>655</v>
      </c>
      <c r="E70" s="137" t="s">
        <v>494</v>
      </c>
      <c r="F70" s="199" t="s">
        <v>495</v>
      </c>
      <c r="G70" s="196" t="s">
        <v>799</v>
      </c>
      <c r="H70" s="137" t="s">
        <v>473</v>
      </c>
      <c r="I70" s="137"/>
      <c r="J70" s="137"/>
      <c r="K70" s="137" t="s">
        <v>341</v>
      </c>
      <c r="L70" s="137" t="s">
        <v>474</v>
      </c>
      <c r="M70" s="137" t="s">
        <v>57</v>
      </c>
      <c r="N70" s="137" t="s">
        <v>4</v>
      </c>
      <c r="O70" s="137"/>
      <c r="P70" s="137"/>
      <c r="Q70" s="137"/>
      <c r="R70" s="137"/>
      <c r="S70" s="137" t="s">
        <v>800</v>
      </c>
      <c r="T70" s="137"/>
      <c r="U70" s="137" t="s">
        <v>801</v>
      </c>
      <c r="V70" s="137">
        <v>66</v>
      </c>
      <c r="W70" s="217" t="s">
        <v>681</v>
      </c>
      <c r="X70" s="207">
        <v>46056</v>
      </c>
      <c r="Y70" s="207">
        <v>46059</v>
      </c>
      <c r="Z70" s="207">
        <v>46062</v>
      </c>
      <c r="AA70" s="207">
        <v>46080</v>
      </c>
      <c r="AB70" s="207">
        <v>46083</v>
      </c>
      <c r="AC70" s="207">
        <v>46101</v>
      </c>
      <c r="AD70" s="207">
        <v>46104</v>
      </c>
      <c r="AE70" s="207">
        <v>46122</v>
      </c>
      <c r="AF70" s="207">
        <v>46121</v>
      </c>
      <c r="AG70" s="207">
        <v>46122</v>
      </c>
      <c r="AH70" s="207">
        <v>46125</v>
      </c>
      <c r="AI70" s="207">
        <v>46143</v>
      </c>
      <c r="AJ70" s="207">
        <v>46146</v>
      </c>
      <c r="AK70" s="207">
        <v>46164</v>
      </c>
      <c r="AL70" s="207">
        <f t="shared" si="5"/>
        <v>46165</v>
      </c>
      <c r="AM70" s="207">
        <f t="shared" si="6"/>
        <v>46165</v>
      </c>
    </row>
    <row r="71" spans="1:40" hidden="1">
      <c r="A71" s="172" t="s">
        <v>92</v>
      </c>
      <c r="B71" s="286" t="s">
        <v>68</v>
      </c>
      <c r="C71" s="173" t="s">
        <v>48</v>
      </c>
      <c r="D71" s="166" t="s">
        <v>656</v>
      </c>
      <c r="E71" s="172" t="s">
        <v>488</v>
      </c>
      <c r="F71" s="200" t="s">
        <v>489</v>
      </c>
      <c r="G71" s="206" t="s">
        <v>802</v>
      </c>
      <c r="H71" s="172" t="s">
        <v>102</v>
      </c>
      <c r="I71" s="172"/>
      <c r="J71" s="172"/>
      <c r="K71" s="172" t="s">
        <v>347</v>
      </c>
      <c r="L71" s="172" t="s">
        <v>102</v>
      </c>
      <c r="M71" s="172" t="s">
        <v>102</v>
      </c>
      <c r="N71" s="172" t="e">
        <f>#REF!</f>
        <v>#REF!</v>
      </c>
      <c r="O71" s="172"/>
      <c r="P71" s="172"/>
      <c r="Q71" s="172" t="s">
        <v>462</v>
      </c>
      <c r="R71" s="172"/>
      <c r="S71" s="137" t="s">
        <v>695</v>
      </c>
      <c r="T71" s="137"/>
      <c r="U71" s="137" t="s">
        <v>696</v>
      </c>
      <c r="V71" s="137">
        <v>61</v>
      </c>
      <c r="W71" s="217" t="s">
        <v>44</v>
      </c>
      <c r="X71" s="207">
        <v>45659</v>
      </c>
      <c r="Y71" s="207">
        <v>46083</v>
      </c>
      <c r="Z71" s="207">
        <v>46108</v>
      </c>
      <c r="AA71" s="207">
        <v>46108</v>
      </c>
      <c r="AB71" s="207">
        <v>46108</v>
      </c>
      <c r="AC71" s="207">
        <v>46108</v>
      </c>
      <c r="AD71" s="207">
        <v>46108</v>
      </c>
      <c r="AE71" s="207">
        <v>46108</v>
      </c>
      <c r="AF71" s="207">
        <v>46108</v>
      </c>
      <c r="AG71" s="207">
        <v>46108</v>
      </c>
      <c r="AH71" s="207">
        <v>46108</v>
      </c>
      <c r="AI71" s="207">
        <v>46108</v>
      </c>
      <c r="AJ71" s="207">
        <v>46108</v>
      </c>
      <c r="AK71" s="207">
        <v>46108</v>
      </c>
      <c r="AL71" s="207">
        <f t="shared" si="5"/>
        <v>46109</v>
      </c>
      <c r="AM71" s="207">
        <f t="shared" si="6"/>
        <v>46109</v>
      </c>
    </row>
    <row r="72" spans="1:40" hidden="1">
      <c r="A72" s="137" t="s">
        <v>259</v>
      </c>
      <c r="B72" s="283" t="s">
        <v>93</v>
      </c>
      <c r="C72" s="165" t="s">
        <v>94</v>
      </c>
      <c r="D72" s="261" t="s">
        <v>195</v>
      </c>
      <c r="E72" s="137" t="s">
        <v>308</v>
      </c>
      <c r="F72" s="197" t="s">
        <v>309</v>
      </c>
      <c r="G72" s="196" t="s">
        <v>803</v>
      </c>
      <c r="H72" s="137" t="s">
        <v>97</v>
      </c>
      <c r="I72" s="137" t="s">
        <v>72</v>
      </c>
      <c r="J72" s="137"/>
      <c r="K72" s="137" t="s">
        <v>198</v>
      </c>
      <c r="L72" s="137" t="s">
        <v>73</v>
      </c>
      <c r="M72" s="137" t="s">
        <v>98</v>
      </c>
      <c r="N72" s="137" t="s">
        <v>99</v>
      </c>
      <c r="O72" s="137"/>
      <c r="P72" s="137"/>
      <c r="Q72" s="137"/>
      <c r="R72" s="137"/>
      <c r="S72" s="285" t="s">
        <v>804</v>
      </c>
      <c r="T72" s="211"/>
      <c r="U72" s="137" t="s">
        <v>666</v>
      </c>
      <c r="V72" s="137">
        <v>68</v>
      </c>
      <c r="W72" s="217" t="s">
        <v>667</v>
      </c>
      <c r="X72" s="209">
        <v>46024</v>
      </c>
      <c r="Y72" s="207">
        <v>46083</v>
      </c>
      <c r="Z72" s="207">
        <v>46056</v>
      </c>
      <c r="AA72" s="207">
        <v>46136</v>
      </c>
      <c r="AB72" s="207">
        <v>46139</v>
      </c>
      <c r="AC72" s="207">
        <v>46157</v>
      </c>
      <c r="AD72" s="207">
        <v>46160</v>
      </c>
      <c r="AE72" s="207">
        <v>46171</v>
      </c>
      <c r="AF72" s="207">
        <v>46171</v>
      </c>
      <c r="AG72" s="207">
        <v>46174</v>
      </c>
      <c r="AH72" s="207">
        <v>46175</v>
      </c>
      <c r="AI72" s="207">
        <v>46177</v>
      </c>
      <c r="AJ72" s="207">
        <v>46178</v>
      </c>
      <c r="AK72" s="207">
        <v>46192</v>
      </c>
      <c r="AL72" s="207">
        <v>46195</v>
      </c>
      <c r="AM72" s="207">
        <v>46196</v>
      </c>
    </row>
    <row r="73" spans="1:40" hidden="1">
      <c r="A73" s="137" t="s">
        <v>259</v>
      </c>
      <c r="B73" s="283" t="s">
        <v>93</v>
      </c>
      <c r="C73" s="165" t="s">
        <v>94</v>
      </c>
      <c r="D73" s="166" t="s">
        <v>195</v>
      </c>
      <c r="E73" s="137" t="s">
        <v>305</v>
      </c>
      <c r="F73" s="197" t="s">
        <v>306</v>
      </c>
      <c r="G73" s="196" t="s">
        <v>746</v>
      </c>
      <c r="H73" s="137" t="s">
        <v>97</v>
      </c>
      <c r="I73" s="137" t="s">
        <v>72</v>
      </c>
      <c r="J73" s="137" t="s">
        <v>307</v>
      </c>
      <c r="K73" s="137" t="s">
        <v>198</v>
      </c>
      <c r="L73" s="137" t="s">
        <v>73</v>
      </c>
      <c r="M73" s="137" t="s">
        <v>98</v>
      </c>
      <c r="N73" s="137" t="s">
        <v>99</v>
      </c>
      <c r="O73" s="137"/>
      <c r="P73" s="137"/>
      <c r="Q73" s="137"/>
      <c r="R73" s="137"/>
      <c r="S73" s="137" t="s">
        <v>805</v>
      </c>
      <c r="T73" s="137"/>
      <c r="U73" s="137" t="s">
        <v>666</v>
      </c>
      <c r="V73" s="137">
        <v>69</v>
      </c>
      <c r="W73" s="217" t="s">
        <v>667</v>
      </c>
      <c r="X73" s="209">
        <v>46024</v>
      </c>
      <c r="Y73" s="207">
        <v>46083</v>
      </c>
      <c r="Z73" s="207">
        <v>46056</v>
      </c>
      <c r="AA73" s="207">
        <v>46136</v>
      </c>
      <c r="AB73" s="207">
        <v>46139</v>
      </c>
      <c r="AC73" s="207">
        <v>46157</v>
      </c>
      <c r="AD73" s="207">
        <v>46160</v>
      </c>
      <c r="AE73" s="207">
        <v>46171</v>
      </c>
      <c r="AF73" s="207">
        <v>46171</v>
      </c>
      <c r="AG73" s="207">
        <v>46174</v>
      </c>
      <c r="AH73" s="207">
        <v>46175</v>
      </c>
      <c r="AI73" s="207">
        <v>46177</v>
      </c>
      <c r="AJ73" s="207">
        <v>46178</v>
      </c>
      <c r="AK73" s="207">
        <v>46192</v>
      </c>
      <c r="AL73" s="207">
        <v>46195</v>
      </c>
      <c r="AM73" s="207">
        <v>46196</v>
      </c>
    </row>
    <row r="74" spans="1:40" hidden="1">
      <c r="A74" s="137" t="s">
        <v>259</v>
      </c>
      <c r="B74" s="283" t="s">
        <v>93</v>
      </c>
      <c r="C74" s="165" t="s">
        <v>94</v>
      </c>
      <c r="D74" s="166" t="s">
        <v>195</v>
      </c>
      <c r="E74" s="137" t="s">
        <v>303</v>
      </c>
      <c r="F74" s="197" t="s">
        <v>304</v>
      </c>
      <c r="G74" s="196" t="s">
        <v>806</v>
      </c>
      <c r="H74" s="137" t="s">
        <v>97</v>
      </c>
      <c r="I74" s="137" t="s">
        <v>72</v>
      </c>
      <c r="J74" s="137"/>
      <c r="K74" s="137" t="s">
        <v>198</v>
      </c>
      <c r="L74" s="137" t="s">
        <v>73</v>
      </c>
      <c r="M74" s="137" t="s">
        <v>98</v>
      </c>
      <c r="N74" s="137" t="s">
        <v>99</v>
      </c>
      <c r="O74" s="137"/>
      <c r="P74" s="137"/>
      <c r="Q74" s="137"/>
      <c r="R74" s="137"/>
      <c r="S74" s="137" t="s">
        <v>807</v>
      </c>
      <c r="T74" s="137"/>
      <c r="U74" s="137" t="s">
        <v>666</v>
      </c>
      <c r="V74" s="137">
        <v>70</v>
      </c>
      <c r="W74" s="217" t="s">
        <v>667</v>
      </c>
      <c r="X74" s="209">
        <v>46024</v>
      </c>
      <c r="Y74" s="207">
        <v>46083</v>
      </c>
      <c r="Z74" s="207">
        <v>46056</v>
      </c>
      <c r="AA74" s="207">
        <v>46136</v>
      </c>
      <c r="AB74" s="207">
        <v>46139</v>
      </c>
      <c r="AC74" s="207">
        <v>46157</v>
      </c>
      <c r="AD74" s="207">
        <v>46160</v>
      </c>
      <c r="AE74" s="207">
        <v>46171</v>
      </c>
      <c r="AF74" s="207">
        <v>46171</v>
      </c>
      <c r="AG74" s="207">
        <v>46174</v>
      </c>
      <c r="AH74" s="207">
        <v>46175</v>
      </c>
      <c r="AI74" s="207">
        <v>46177</v>
      </c>
      <c r="AJ74" s="207">
        <v>46178</v>
      </c>
      <c r="AK74" s="207">
        <v>46192</v>
      </c>
      <c r="AL74" s="207">
        <v>46195</v>
      </c>
      <c r="AM74" s="207">
        <v>46196</v>
      </c>
    </row>
    <row r="75" spans="1:40" hidden="1">
      <c r="A75" s="137" t="s">
        <v>80</v>
      </c>
      <c r="B75" s="283" t="s">
        <v>68</v>
      </c>
      <c r="C75" s="165" t="s">
        <v>48</v>
      </c>
      <c r="D75" s="166" t="s">
        <v>324</v>
      </c>
      <c r="E75" s="176" t="s">
        <v>108</v>
      </c>
      <c r="F75" s="197" t="s">
        <v>109</v>
      </c>
      <c r="G75" s="196" t="s">
        <v>808</v>
      </c>
      <c r="H75" s="137" t="s">
        <v>97</v>
      </c>
      <c r="I75" s="137" t="s">
        <v>72</v>
      </c>
      <c r="J75" s="137" t="s">
        <v>809</v>
      </c>
      <c r="K75" s="137" t="s">
        <v>55</v>
      </c>
      <c r="L75" s="137" t="s">
        <v>73</v>
      </c>
      <c r="M75" s="137" t="s">
        <v>57</v>
      </c>
      <c r="N75" s="137" t="s">
        <v>58</v>
      </c>
      <c r="O75" s="137"/>
      <c r="P75" s="137"/>
      <c r="Q75" s="137"/>
      <c r="R75" s="137"/>
      <c r="S75" s="253" t="s">
        <v>810</v>
      </c>
      <c r="T75" s="167"/>
      <c r="U75" s="137" t="s">
        <v>756</v>
      </c>
      <c r="V75" s="137">
        <v>67</v>
      </c>
      <c r="W75" s="217"/>
      <c r="X75" s="207">
        <v>45659</v>
      </c>
      <c r="Y75" s="207">
        <v>46083</v>
      </c>
      <c r="Z75" s="207">
        <v>46041</v>
      </c>
      <c r="AA75" s="207">
        <v>46055</v>
      </c>
      <c r="AB75" s="207">
        <v>46056</v>
      </c>
      <c r="AC75" s="207">
        <v>46073</v>
      </c>
      <c r="AD75" s="207">
        <v>46076</v>
      </c>
      <c r="AE75" s="207">
        <v>46094</v>
      </c>
      <c r="AF75" s="207">
        <v>46093</v>
      </c>
      <c r="AG75" s="207">
        <v>46094</v>
      </c>
      <c r="AH75" s="207">
        <v>46097</v>
      </c>
      <c r="AI75" s="207">
        <v>46115</v>
      </c>
      <c r="AJ75" s="207">
        <v>46118</v>
      </c>
      <c r="AK75" s="207">
        <v>46136</v>
      </c>
      <c r="AL75" s="207">
        <f>AK75+1</f>
        <v>46137</v>
      </c>
      <c r="AM75" s="207">
        <f>AL75</f>
        <v>46137</v>
      </c>
    </row>
    <row r="76" spans="1:40" hidden="1">
      <c r="A76" s="172" t="s">
        <v>259</v>
      </c>
      <c r="B76" s="291" t="s">
        <v>93</v>
      </c>
      <c r="C76" s="173" t="s">
        <v>94</v>
      </c>
      <c r="D76" s="166" t="s">
        <v>656</v>
      </c>
      <c r="E76" s="172" t="s">
        <v>500</v>
      </c>
      <c r="F76" s="200" t="s">
        <v>501</v>
      </c>
      <c r="G76" s="206" t="s">
        <v>811</v>
      </c>
      <c r="H76" s="172" t="s">
        <v>97</v>
      </c>
      <c r="I76" s="172" t="s">
        <v>72</v>
      </c>
      <c r="J76" s="172"/>
      <c r="K76" s="172" t="s">
        <v>347</v>
      </c>
      <c r="L76" s="172" t="s">
        <v>102</v>
      </c>
      <c r="M76" s="172" t="s">
        <v>102</v>
      </c>
      <c r="N76" s="172" t="e">
        <f>#REF!</f>
        <v>#REF!</v>
      </c>
      <c r="O76" s="172" t="s">
        <v>502</v>
      </c>
      <c r="P76" s="172" t="s">
        <v>503</v>
      </c>
      <c r="Q76" s="172" t="s">
        <v>462</v>
      </c>
      <c r="R76" s="172"/>
      <c r="S76" s="137" t="s">
        <v>695</v>
      </c>
      <c r="T76" s="137"/>
      <c r="U76" s="137" t="s">
        <v>696</v>
      </c>
      <c r="V76" s="137">
        <v>72</v>
      </c>
      <c r="W76" s="217" t="s">
        <v>44</v>
      </c>
      <c r="X76" s="209">
        <v>46024</v>
      </c>
      <c r="Y76" s="207">
        <v>46083</v>
      </c>
      <c r="Z76" s="207">
        <v>46108</v>
      </c>
      <c r="AA76" s="207">
        <v>46108</v>
      </c>
      <c r="AB76" s="207">
        <v>46108</v>
      </c>
      <c r="AC76" s="207">
        <v>46108</v>
      </c>
      <c r="AD76" s="207">
        <v>46108</v>
      </c>
      <c r="AE76" s="207">
        <v>46108</v>
      </c>
      <c r="AF76" s="207">
        <v>46108</v>
      </c>
      <c r="AG76" s="207">
        <v>46108</v>
      </c>
      <c r="AH76" s="207">
        <v>46108</v>
      </c>
      <c r="AI76" s="207">
        <v>46108</v>
      </c>
      <c r="AJ76" s="207">
        <v>46108</v>
      </c>
      <c r="AK76" s="207">
        <v>46108</v>
      </c>
      <c r="AL76" s="207">
        <f>AK76+1</f>
        <v>46109</v>
      </c>
      <c r="AM76" s="207">
        <f>AL76</f>
        <v>46109</v>
      </c>
    </row>
    <row r="77" spans="1:40" hidden="1">
      <c r="A77" s="137" t="s">
        <v>259</v>
      </c>
      <c r="B77" s="283" t="s">
        <v>93</v>
      </c>
      <c r="C77" s="165" t="s">
        <v>94</v>
      </c>
      <c r="D77" s="166" t="s">
        <v>195</v>
      </c>
      <c r="E77" s="137" t="s">
        <v>301</v>
      </c>
      <c r="F77" s="197" t="s">
        <v>302</v>
      </c>
      <c r="G77" s="196" t="s">
        <v>812</v>
      </c>
      <c r="H77" s="137" t="s">
        <v>97</v>
      </c>
      <c r="I77" s="137" t="s">
        <v>72</v>
      </c>
      <c r="J77" s="137"/>
      <c r="K77" s="137" t="s">
        <v>198</v>
      </c>
      <c r="L77" s="137" t="s">
        <v>73</v>
      </c>
      <c r="M77" s="137" t="s">
        <v>98</v>
      </c>
      <c r="N77" s="137" t="s">
        <v>99</v>
      </c>
      <c r="O77" s="137"/>
      <c r="P77" s="137"/>
      <c r="Q77" s="137"/>
      <c r="R77" s="137"/>
      <c r="S77" s="137" t="s">
        <v>813</v>
      </c>
      <c r="T77" s="137"/>
      <c r="U77" s="137" t="s">
        <v>666</v>
      </c>
      <c r="V77" s="137">
        <v>73</v>
      </c>
      <c r="W77" s="217" t="s">
        <v>667</v>
      </c>
      <c r="X77" s="209">
        <v>46024</v>
      </c>
      <c r="Y77" s="207">
        <v>46083</v>
      </c>
      <c r="Z77" s="207">
        <v>46056</v>
      </c>
      <c r="AA77" s="207">
        <v>46136</v>
      </c>
      <c r="AB77" s="207">
        <v>46139</v>
      </c>
      <c r="AC77" s="207">
        <v>46157</v>
      </c>
      <c r="AD77" s="207">
        <v>46160</v>
      </c>
      <c r="AE77" s="207">
        <v>46171</v>
      </c>
      <c r="AF77" s="207">
        <v>46171</v>
      </c>
      <c r="AG77" s="207">
        <v>46174</v>
      </c>
      <c r="AH77" s="207">
        <v>46175</v>
      </c>
      <c r="AI77" s="207">
        <v>46177</v>
      </c>
      <c r="AJ77" s="207">
        <v>46178</v>
      </c>
      <c r="AK77" s="207">
        <v>46192</v>
      </c>
      <c r="AL77" s="207">
        <v>46195</v>
      </c>
      <c r="AM77" s="207">
        <v>46196</v>
      </c>
    </row>
    <row r="78" spans="1:40" hidden="1">
      <c r="A78" s="137" t="s">
        <v>259</v>
      </c>
      <c r="B78" s="283" t="s">
        <v>93</v>
      </c>
      <c r="C78" s="165" t="s">
        <v>94</v>
      </c>
      <c r="D78" s="166" t="s">
        <v>195</v>
      </c>
      <c r="E78" s="137" t="s">
        <v>299</v>
      </c>
      <c r="F78" s="197" t="s">
        <v>300</v>
      </c>
      <c r="G78" s="196" t="s">
        <v>814</v>
      </c>
      <c r="H78" s="137" t="s">
        <v>97</v>
      </c>
      <c r="I78" s="137" t="s">
        <v>72</v>
      </c>
      <c r="J78" s="137"/>
      <c r="K78" s="137" t="s">
        <v>198</v>
      </c>
      <c r="L78" s="137" t="s">
        <v>73</v>
      </c>
      <c r="M78" s="137" t="s">
        <v>98</v>
      </c>
      <c r="N78" s="137" t="s">
        <v>99</v>
      </c>
      <c r="O78" s="137"/>
      <c r="P78" s="137"/>
      <c r="Q78" s="137"/>
      <c r="R78" s="137"/>
      <c r="S78" s="137" t="s">
        <v>813</v>
      </c>
      <c r="T78" s="137"/>
      <c r="U78" s="137" t="s">
        <v>666</v>
      </c>
      <c r="V78" s="137">
        <v>74</v>
      </c>
      <c r="W78" s="217" t="s">
        <v>667</v>
      </c>
      <c r="X78" s="209">
        <v>46024</v>
      </c>
      <c r="Y78" s="207">
        <v>46083</v>
      </c>
      <c r="Z78" s="207">
        <v>46056</v>
      </c>
      <c r="AA78" s="207">
        <v>46136</v>
      </c>
      <c r="AB78" s="207">
        <v>46139</v>
      </c>
      <c r="AC78" s="207">
        <v>46157</v>
      </c>
      <c r="AD78" s="207">
        <v>46160</v>
      </c>
      <c r="AE78" s="207">
        <v>46171</v>
      </c>
      <c r="AF78" s="207">
        <v>46171</v>
      </c>
      <c r="AG78" s="207">
        <v>46174</v>
      </c>
      <c r="AH78" s="207">
        <v>46175</v>
      </c>
      <c r="AI78" s="207">
        <v>46177</v>
      </c>
      <c r="AJ78" s="207">
        <v>46178</v>
      </c>
      <c r="AK78" s="207">
        <v>46192</v>
      </c>
      <c r="AL78" s="207">
        <v>46195</v>
      </c>
      <c r="AM78" s="207">
        <v>46196</v>
      </c>
    </row>
    <row r="79" spans="1:40" hidden="1">
      <c r="A79" s="137" t="s">
        <v>259</v>
      </c>
      <c r="B79" s="283" t="s">
        <v>93</v>
      </c>
      <c r="C79" s="165" t="s">
        <v>94</v>
      </c>
      <c r="D79" s="166" t="s">
        <v>195</v>
      </c>
      <c r="E79" s="137" t="s">
        <v>297</v>
      </c>
      <c r="F79" s="197" t="s">
        <v>298</v>
      </c>
      <c r="G79" s="196" t="s">
        <v>815</v>
      </c>
      <c r="H79" s="137" t="s">
        <v>97</v>
      </c>
      <c r="I79" s="137" t="s">
        <v>72</v>
      </c>
      <c r="J79" s="137"/>
      <c r="K79" s="137" t="s">
        <v>198</v>
      </c>
      <c r="L79" s="137" t="s">
        <v>73</v>
      </c>
      <c r="M79" s="137" t="s">
        <v>98</v>
      </c>
      <c r="N79" s="137" t="s">
        <v>99</v>
      </c>
      <c r="O79" s="137"/>
      <c r="P79" s="137"/>
      <c r="Q79" s="137"/>
      <c r="R79" s="137"/>
      <c r="S79" s="137" t="s">
        <v>813</v>
      </c>
      <c r="T79" s="137"/>
      <c r="U79" s="137" t="s">
        <v>666</v>
      </c>
      <c r="V79" s="137">
        <v>75</v>
      </c>
      <c r="W79" s="217" t="s">
        <v>667</v>
      </c>
      <c r="X79" s="209">
        <v>46024</v>
      </c>
      <c r="Y79" s="207">
        <v>46083</v>
      </c>
      <c r="Z79" s="207">
        <v>46056</v>
      </c>
      <c r="AA79" s="207">
        <v>46136</v>
      </c>
      <c r="AB79" s="207">
        <v>46139</v>
      </c>
      <c r="AC79" s="207">
        <v>46157</v>
      </c>
      <c r="AD79" s="207">
        <v>46160</v>
      </c>
      <c r="AE79" s="207">
        <v>46171</v>
      </c>
      <c r="AF79" s="207">
        <v>46171</v>
      </c>
      <c r="AG79" s="207">
        <v>46174</v>
      </c>
      <c r="AH79" s="207">
        <v>46175</v>
      </c>
      <c r="AI79" s="207">
        <v>46177</v>
      </c>
      <c r="AJ79" s="207">
        <v>46178</v>
      </c>
      <c r="AK79" s="207">
        <v>46192</v>
      </c>
      <c r="AL79" s="207">
        <v>46195</v>
      </c>
      <c r="AM79" s="207">
        <v>46196</v>
      </c>
    </row>
    <row r="80" spans="1:40">
      <c r="A80" s="137" t="s">
        <v>92</v>
      </c>
      <c r="B80" s="283" t="s">
        <v>160</v>
      </c>
      <c r="C80" s="296" t="s">
        <v>816</v>
      </c>
      <c r="D80" s="166" t="s">
        <v>195</v>
      </c>
      <c r="E80" s="137" t="s">
        <v>295</v>
      </c>
      <c r="F80" s="199" t="s">
        <v>296</v>
      </c>
      <c r="G80" s="196" t="s">
        <v>817</v>
      </c>
      <c r="H80" s="137" t="s">
        <v>97</v>
      </c>
      <c r="I80" s="183" t="s">
        <v>818</v>
      </c>
      <c r="J80" s="137"/>
      <c r="K80" s="137" t="s">
        <v>198</v>
      </c>
      <c r="L80" s="137" t="s">
        <v>73</v>
      </c>
      <c r="M80" s="137" t="s">
        <v>207</v>
      </c>
      <c r="N80" s="137" t="s">
        <v>160</v>
      </c>
      <c r="O80" s="137"/>
      <c r="P80" s="137"/>
      <c r="Q80" s="137"/>
      <c r="R80" s="137"/>
      <c r="S80" s="137" t="s">
        <v>819</v>
      </c>
      <c r="T80" s="137"/>
      <c r="U80" s="137" t="s">
        <v>671</v>
      </c>
      <c r="V80" s="137">
        <v>76</v>
      </c>
      <c r="W80" s="217" t="s">
        <v>667</v>
      </c>
      <c r="X80" s="207">
        <v>45659</v>
      </c>
      <c r="Y80" s="207">
        <v>46083</v>
      </c>
      <c r="Z80" s="207">
        <v>46093</v>
      </c>
      <c r="AA80" s="207">
        <v>46142</v>
      </c>
      <c r="AB80" s="207">
        <v>46146</v>
      </c>
      <c r="AC80" s="207">
        <v>46164</v>
      </c>
      <c r="AD80" s="207">
        <v>46167</v>
      </c>
      <c r="AE80" s="207">
        <v>46178</v>
      </c>
      <c r="AF80" s="207">
        <v>46178</v>
      </c>
      <c r="AG80" s="207">
        <v>46181</v>
      </c>
      <c r="AH80" s="207">
        <v>46182</v>
      </c>
      <c r="AI80" s="207">
        <v>46185</v>
      </c>
      <c r="AJ80" s="207">
        <v>46188</v>
      </c>
      <c r="AK80" s="207">
        <v>46199</v>
      </c>
      <c r="AL80" s="207">
        <v>46199</v>
      </c>
      <c r="AM80" s="207">
        <v>46202</v>
      </c>
      <c r="AN80" t="s">
        <v>768</v>
      </c>
    </row>
    <row r="81" spans="1:40" hidden="1">
      <c r="A81" s="137" t="s">
        <v>719</v>
      </c>
      <c r="B81" s="283" t="s">
        <v>16</v>
      </c>
      <c r="C81" s="165" t="s">
        <v>123</v>
      </c>
      <c r="D81" s="166" t="s">
        <v>195</v>
      </c>
      <c r="E81" s="137" t="s">
        <v>504</v>
      </c>
      <c r="F81" s="199" t="s">
        <v>505</v>
      </c>
      <c r="G81" s="196" t="s">
        <v>820</v>
      </c>
      <c r="H81" s="137" t="s">
        <v>246</v>
      </c>
      <c r="I81" s="137"/>
      <c r="J81" s="137" t="s">
        <v>506</v>
      </c>
      <c r="K81" s="137" t="s">
        <v>339</v>
      </c>
      <c r="L81" s="137"/>
      <c r="M81" s="137" t="s">
        <v>57</v>
      </c>
      <c r="N81" s="137" t="s">
        <v>16</v>
      </c>
      <c r="O81" s="137"/>
      <c r="P81" s="137"/>
      <c r="Q81" s="137"/>
      <c r="R81" s="137"/>
      <c r="S81" s="137" t="s">
        <v>821</v>
      </c>
      <c r="T81" s="137" t="s">
        <v>713</v>
      </c>
      <c r="U81" s="137" t="s">
        <v>714</v>
      </c>
      <c r="V81" s="137">
        <v>77</v>
      </c>
      <c r="W81" s="217"/>
      <c r="X81" s="207">
        <v>46024</v>
      </c>
      <c r="Y81" s="207">
        <v>46038</v>
      </c>
      <c r="Z81" s="207">
        <v>46041</v>
      </c>
      <c r="AA81" s="207">
        <v>46120</v>
      </c>
      <c r="AB81" s="207">
        <v>46125</v>
      </c>
      <c r="AC81" s="207">
        <v>46139</v>
      </c>
      <c r="AD81" s="207">
        <v>46140</v>
      </c>
      <c r="AE81" s="207">
        <v>46154</v>
      </c>
      <c r="AF81" s="207">
        <v>46154</v>
      </c>
      <c r="AG81" s="207">
        <v>46155</v>
      </c>
      <c r="AH81" s="207">
        <v>46160</v>
      </c>
      <c r="AI81" s="207">
        <v>46174</v>
      </c>
      <c r="AJ81" s="207">
        <v>46174</v>
      </c>
      <c r="AK81" s="207">
        <v>46188</v>
      </c>
      <c r="AL81" s="207">
        <f>AK81+1</f>
        <v>46189</v>
      </c>
      <c r="AM81" s="207">
        <f>AL81</f>
        <v>46189</v>
      </c>
    </row>
    <row r="82" spans="1:40" ht="30" hidden="1">
      <c r="A82" s="137" t="s">
        <v>4</v>
      </c>
      <c r="B82" s="283" t="s">
        <v>4</v>
      </c>
      <c r="C82" s="165" t="s">
        <v>225</v>
      </c>
      <c r="D82" s="166" t="s">
        <v>710</v>
      </c>
      <c r="E82" s="137" t="s">
        <v>507</v>
      </c>
      <c r="F82" s="199" t="s">
        <v>508</v>
      </c>
      <c r="G82" s="196" t="s">
        <v>822</v>
      </c>
      <c r="H82" s="137" t="s">
        <v>473</v>
      </c>
      <c r="I82" s="137"/>
      <c r="J82" s="137"/>
      <c r="K82" s="137" t="s">
        <v>340</v>
      </c>
      <c r="L82" s="137" t="s">
        <v>474</v>
      </c>
      <c r="M82" s="137" t="s">
        <v>74</v>
      </c>
      <c r="N82" s="137" t="s">
        <v>338</v>
      </c>
      <c r="O82" s="137"/>
      <c r="P82" s="137"/>
      <c r="Q82" s="137"/>
      <c r="R82" s="137"/>
      <c r="S82" s="137" t="s">
        <v>776</v>
      </c>
      <c r="T82" s="137" t="s">
        <v>713</v>
      </c>
      <c r="U82" s="137" t="s">
        <v>696</v>
      </c>
      <c r="V82" s="137">
        <v>78</v>
      </c>
      <c r="W82" s="217"/>
      <c r="X82" s="207">
        <v>46024</v>
      </c>
      <c r="Y82" s="207">
        <v>46083</v>
      </c>
      <c r="Z82" s="207">
        <v>46041</v>
      </c>
      <c r="AA82" s="207">
        <v>46045</v>
      </c>
      <c r="AB82" s="207">
        <v>46048</v>
      </c>
      <c r="AC82" s="207">
        <v>46052</v>
      </c>
      <c r="AD82" s="207">
        <v>46055</v>
      </c>
      <c r="AE82" s="207">
        <v>46066</v>
      </c>
      <c r="AF82" s="207">
        <v>46069</v>
      </c>
      <c r="AG82" s="207">
        <v>46073</v>
      </c>
      <c r="AH82" s="207">
        <v>46083</v>
      </c>
      <c r="AI82" s="207">
        <v>46101</v>
      </c>
      <c r="AJ82" s="207">
        <v>46104</v>
      </c>
      <c r="AK82" s="207">
        <v>46122</v>
      </c>
      <c r="AL82" s="207">
        <f>AK82+1</f>
        <v>46123</v>
      </c>
      <c r="AM82" s="207">
        <f>AL82</f>
        <v>46123</v>
      </c>
    </row>
    <row r="83" spans="1:40">
      <c r="A83" s="137" t="s">
        <v>92</v>
      </c>
      <c r="B83" s="283" t="s">
        <v>160</v>
      </c>
      <c r="C83" s="296" t="s">
        <v>816</v>
      </c>
      <c r="D83" s="166" t="s">
        <v>195</v>
      </c>
      <c r="E83" s="137" t="s">
        <v>293</v>
      </c>
      <c r="F83" s="199" t="s">
        <v>294</v>
      </c>
      <c r="G83" s="196" t="s">
        <v>823</v>
      </c>
      <c r="H83" s="137" t="s">
        <v>97</v>
      </c>
      <c r="I83" s="183" t="s">
        <v>818</v>
      </c>
      <c r="J83" s="137"/>
      <c r="K83" s="137" t="s">
        <v>198</v>
      </c>
      <c r="L83" s="137" t="s">
        <v>73</v>
      </c>
      <c r="M83" s="137" t="s">
        <v>207</v>
      </c>
      <c r="N83" s="137" t="s">
        <v>160</v>
      </c>
      <c r="O83" s="137"/>
      <c r="P83" s="137"/>
      <c r="Q83" s="137"/>
      <c r="R83" s="137"/>
      <c r="S83" s="137" t="s">
        <v>819</v>
      </c>
      <c r="T83" s="137"/>
      <c r="U83" s="137" t="s">
        <v>671</v>
      </c>
      <c r="V83" s="137">
        <v>79</v>
      </c>
      <c r="W83" s="217" t="s">
        <v>667</v>
      </c>
      <c r="X83" s="207">
        <v>45659</v>
      </c>
      <c r="Y83" s="207">
        <v>46083</v>
      </c>
      <c r="Z83" s="207">
        <v>46093</v>
      </c>
      <c r="AA83" s="207">
        <v>46142</v>
      </c>
      <c r="AB83" s="207">
        <v>46146</v>
      </c>
      <c r="AC83" s="207">
        <v>46164</v>
      </c>
      <c r="AD83" s="207">
        <v>46167</v>
      </c>
      <c r="AE83" s="207">
        <v>46178</v>
      </c>
      <c r="AF83" s="207">
        <v>46178</v>
      </c>
      <c r="AG83" s="207">
        <v>46181</v>
      </c>
      <c r="AH83" s="207">
        <v>46182</v>
      </c>
      <c r="AI83" s="207">
        <v>46185</v>
      </c>
      <c r="AJ83" s="207">
        <v>46188</v>
      </c>
      <c r="AK83" s="207">
        <v>46199</v>
      </c>
      <c r="AL83" s="207">
        <v>46199</v>
      </c>
      <c r="AM83" s="207">
        <v>46202</v>
      </c>
      <c r="AN83" t="s">
        <v>768</v>
      </c>
    </row>
    <row r="84" spans="1:40" hidden="1">
      <c r="A84" s="137" t="s">
        <v>259</v>
      </c>
      <c r="B84" s="283" t="s">
        <v>93</v>
      </c>
      <c r="C84" s="165" t="s">
        <v>94</v>
      </c>
      <c r="D84" s="166" t="s">
        <v>195</v>
      </c>
      <c r="E84" s="137" t="s">
        <v>288</v>
      </c>
      <c r="F84" s="197" t="s">
        <v>289</v>
      </c>
      <c r="G84" s="196" t="s">
        <v>824</v>
      </c>
      <c r="H84" s="137" t="s">
        <v>97</v>
      </c>
      <c r="I84" s="137" t="s">
        <v>72</v>
      </c>
      <c r="J84" s="137"/>
      <c r="K84" s="137" t="s">
        <v>198</v>
      </c>
      <c r="L84" s="137" t="s">
        <v>73</v>
      </c>
      <c r="M84" s="137" t="s">
        <v>98</v>
      </c>
      <c r="N84" s="137" t="s">
        <v>99</v>
      </c>
      <c r="O84" s="137"/>
      <c r="P84" s="137"/>
      <c r="Q84" s="137"/>
      <c r="R84" s="137"/>
      <c r="S84" s="137" t="s">
        <v>825</v>
      </c>
      <c r="T84" s="137"/>
      <c r="U84" s="137" t="s">
        <v>826</v>
      </c>
      <c r="V84" s="137">
        <v>80</v>
      </c>
      <c r="W84" s="217" t="s">
        <v>667</v>
      </c>
      <c r="X84" s="209">
        <v>46024</v>
      </c>
      <c r="Y84" s="207">
        <v>46083</v>
      </c>
      <c r="Z84" s="207">
        <v>46056</v>
      </c>
      <c r="AA84" s="207">
        <v>46136</v>
      </c>
      <c r="AB84" s="207">
        <v>46139</v>
      </c>
      <c r="AC84" s="207">
        <v>46157</v>
      </c>
      <c r="AD84" s="207">
        <v>46160</v>
      </c>
      <c r="AE84" s="207">
        <v>46171</v>
      </c>
      <c r="AF84" s="207">
        <v>46171</v>
      </c>
      <c r="AG84" s="207">
        <v>46174</v>
      </c>
      <c r="AH84" s="207">
        <v>46175</v>
      </c>
      <c r="AI84" s="207">
        <v>46177</v>
      </c>
      <c r="AJ84" s="207">
        <v>46178</v>
      </c>
      <c r="AK84" s="207">
        <v>46192</v>
      </c>
      <c r="AL84" s="207">
        <v>46195</v>
      </c>
      <c r="AM84" s="207">
        <v>46196</v>
      </c>
    </row>
    <row r="85" spans="1:40" hidden="1">
      <c r="A85" s="137" t="s">
        <v>80</v>
      </c>
      <c r="B85" s="283" t="s">
        <v>68</v>
      </c>
      <c r="C85" s="165" t="s">
        <v>48</v>
      </c>
      <c r="D85" s="166" t="s">
        <v>195</v>
      </c>
      <c r="E85" s="271" t="s">
        <v>106</v>
      </c>
      <c r="F85" s="197" t="s">
        <v>107</v>
      </c>
      <c r="G85" s="196" t="s">
        <v>827</v>
      </c>
      <c r="H85" s="137" t="s">
        <v>88</v>
      </c>
      <c r="I85" s="137" t="s">
        <v>72</v>
      </c>
      <c r="J85" s="292" t="s">
        <v>83</v>
      </c>
      <c r="K85" s="137" t="s">
        <v>55</v>
      </c>
      <c r="L85" s="137" t="s">
        <v>73</v>
      </c>
      <c r="M85" s="137" t="s">
        <v>57</v>
      </c>
      <c r="N85" s="137" t="s">
        <v>58</v>
      </c>
      <c r="O85" s="137" t="s">
        <v>90</v>
      </c>
      <c r="P85" s="137"/>
      <c r="Q85" s="137"/>
      <c r="R85" s="137"/>
      <c r="S85" s="137" t="s">
        <v>828</v>
      </c>
      <c r="T85" s="167"/>
      <c r="U85" s="137" t="s">
        <v>735</v>
      </c>
      <c r="V85" s="137">
        <v>81</v>
      </c>
      <c r="W85" s="219" t="s">
        <v>667</v>
      </c>
      <c r="X85" s="207">
        <v>45659</v>
      </c>
      <c r="Y85" s="207">
        <v>46083</v>
      </c>
      <c r="Z85" s="207">
        <v>46041</v>
      </c>
      <c r="AA85" s="207">
        <v>46134</v>
      </c>
      <c r="AB85" s="207">
        <v>46135</v>
      </c>
      <c r="AC85" s="207">
        <v>46205</v>
      </c>
      <c r="AD85" s="207">
        <v>46206</v>
      </c>
      <c r="AE85" s="207">
        <v>46220</v>
      </c>
      <c r="AF85" s="207">
        <v>46223</v>
      </c>
      <c r="AG85" s="207">
        <v>46224</v>
      </c>
      <c r="AH85" s="207">
        <v>46225</v>
      </c>
      <c r="AI85" s="207">
        <v>46239</v>
      </c>
      <c r="AJ85" s="207">
        <f>AI85</f>
        <v>46239</v>
      </c>
      <c r="AK85" s="207">
        <f>AJ85+1</f>
        <v>46240</v>
      </c>
      <c r="AL85" s="207">
        <f>AK85+1</f>
        <v>46241</v>
      </c>
      <c r="AM85" s="207">
        <f>AL85</f>
        <v>46241</v>
      </c>
    </row>
    <row r="86" spans="1:40" hidden="1">
      <c r="A86" s="278" t="s">
        <v>4</v>
      </c>
      <c r="B86" s="293" t="s">
        <v>4</v>
      </c>
      <c r="C86" s="279" t="s">
        <v>225</v>
      </c>
      <c r="D86" s="166" t="s">
        <v>829</v>
      </c>
      <c r="E86" s="278" t="s">
        <v>509</v>
      </c>
      <c r="F86" s="280" t="s">
        <v>514</v>
      </c>
      <c r="G86" s="281" t="s">
        <v>830</v>
      </c>
      <c r="H86" s="278" t="s">
        <v>473</v>
      </c>
      <c r="I86" s="278"/>
      <c r="J86" s="278"/>
      <c r="K86" s="278" t="s">
        <v>341</v>
      </c>
      <c r="L86" s="278" t="s">
        <v>474</v>
      </c>
      <c r="M86" s="278" t="s">
        <v>57</v>
      </c>
      <c r="N86" s="278" t="s">
        <v>4</v>
      </c>
      <c r="O86" s="278"/>
      <c r="P86" s="278"/>
      <c r="Q86" s="278"/>
      <c r="R86" s="278"/>
      <c r="S86" s="278" t="s">
        <v>831</v>
      </c>
      <c r="T86" s="278"/>
      <c r="U86" s="278" t="s">
        <v>832</v>
      </c>
      <c r="V86" s="137">
        <v>82</v>
      </c>
      <c r="W86" s="217" t="s">
        <v>681</v>
      </c>
      <c r="X86" s="207">
        <v>46056</v>
      </c>
      <c r="Y86" s="207">
        <v>46059</v>
      </c>
      <c r="Z86" s="207">
        <v>46062</v>
      </c>
      <c r="AA86" s="207">
        <v>46080</v>
      </c>
      <c r="AB86" s="207">
        <v>46083</v>
      </c>
      <c r="AC86" s="207">
        <v>46101</v>
      </c>
      <c r="AD86" s="207">
        <v>46104</v>
      </c>
      <c r="AE86" s="207">
        <v>46122</v>
      </c>
      <c r="AF86" s="207">
        <v>46121</v>
      </c>
      <c r="AG86" s="207">
        <v>46122</v>
      </c>
      <c r="AH86" s="207">
        <v>46125</v>
      </c>
      <c r="AI86" s="207">
        <v>46143</v>
      </c>
      <c r="AJ86" s="207">
        <v>46146</v>
      </c>
      <c r="AK86" s="207">
        <v>46164</v>
      </c>
      <c r="AL86" s="207">
        <f>AK86+1</f>
        <v>46165</v>
      </c>
      <c r="AM86" s="207">
        <f>AL86</f>
        <v>46165</v>
      </c>
    </row>
    <row r="87" spans="1:40" hidden="1">
      <c r="A87" s="168" t="s">
        <v>4</v>
      </c>
      <c r="B87" s="267" t="s">
        <v>4</v>
      </c>
      <c r="C87" s="169" t="s">
        <v>225</v>
      </c>
      <c r="D87" s="166" t="s">
        <v>324</v>
      </c>
      <c r="E87" s="168" t="s">
        <v>510</v>
      </c>
      <c r="F87" s="198" t="s">
        <v>514</v>
      </c>
      <c r="G87" s="205" t="s">
        <v>833</v>
      </c>
      <c r="H87" s="168" t="s">
        <v>473</v>
      </c>
      <c r="I87" s="168"/>
      <c r="J87" s="168"/>
      <c r="K87" s="168" t="s">
        <v>341</v>
      </c>
      <c r="L87" s="168" t="s">
        <v>474</v>
      </c>
      <c r="M87" s="168" t="s">
        <v>57</v>
      </c>
      <c r="N87" s="168" t="s">
        <v>4</v>
      </c>
      <c r="O87" s="168"/>
      <c r="P87" s="168"/>
      <c r="Q87" s="168"/>
      <c r="R87" s="168"/>
      <c r="S87" s="137" t="s">
        <v>834</v>
      </c>
      <c r="T87" s="167"/>
      <c r="U87" s="137" t="s">
        <v>835</v>
      </c>
      <c r="V87" s="137">
        <v>83</v>
      </c>
      <c r="W87" s="217"/>
      <c r="X87" s="207">
        <v>46056</v>
      </c>
      <c r="Y87" s="207">
        <v>46059</v>
      </c>
      <c r="Z87" s="207">
        <v>46062</v>
      </c>
      <c r="AA87" s="207">
        <v>46080</v>
      </c>
      <c r="AB87" s="207">
        <v>46083</v>
      </c>
      <c r="AC87" s="207">
        <v>46101</v>
      </c>
      <c r="AD87" s="207">
        <v>46104</v>
      </c>
      <c r="AE87" s="207">
        <v>46122</v>
      </c>
      <c r="AF87" s="207">
        <v>46121</v>
      </c>
      <c r="AG87" s="207">
        <v>46122</v>
      </c>
      <c r="AH87" s="207">
        <v>46125</v>
      </c>
      <c r="AI87" s="207">
        <v>46143</v>
      </c>
      <c r="AJ87" s="207">
        <v>46146</v>
      </c>
      <c r="AK87" s="207">
        <v>46164</v>
      </c>
      <c r="AL87" s="207">
        <f>AK87+1</f>
        <v>46165</v>
      </c>
      <c r="AM87" s="207">
        <f>AL87</f>
        <v>46165</v>
      </c>
    </row>
    <row r="88" spans="1:40" ht="30" hidden="1">
      <c r="A88" s="137" t="s">
        <v>4</v>
      </c>
      <c r="B88" s="283" t="s">
        <v>4</v>
      </c>
      <c r="C88" s="165" t="s">
        <v>225</v>
      </c>
      <c r="D88" s="166" t="s">
        <v>710</v>
      </c>
      <c r="E88" s="137" t="s">
        <v>511</v>
      </c>
      <c r="F88" s="199" t="s">
        <v>508</v>
      </c>
      <c r="G88" s="196" t="s">
        <v>836</v>
      </c>
      <c r="H88" s="137" t="s">
        <v>473</v>
      </c>
      <c r="I88" s="137"/>
      <c r="J88" s="137"/>
      <c r="K88" s="137" t="s">
        <v>340</v>
      </c>
      <c r="L88" s="137" t="s">
        <v>474</v>
      </c>
      <c r="M88" s="137" t="s">
        <v>74</v>
      </c>
      <c r="N88" s="137" t="s">
        <v>338</v>
      </c>
      <c r="O88" s="137"/>
      <c r="P88" s="137"/>
      <c r="Q88" s="137"/>
      <c r="R88" s="137"/>
      <c r="S88" s="137" t="s">
        <v>776</v>
      </c>
      <c r="T88" s="137" t="s">
        <v>713</v>
      </c>
      <c r="U88" s="137" t="s">
        <v>696</v>
      </c>
      <c r="V88" s="137">
        <v>84</v>
      </c>
      <c r="W88" s="217"/>
      <c r="X88" s="207">
        <v>46024</v>
      </c>
      <c r="Y88" s="207">
        <v>46083</v>
      </c>
      <c r="Z88" s="207">
        <v>46041</v>
      </c>
      <c r="AA88" s="207">
        <v>46045</v>
      </c>
      <c r="AB88" s="207">
        <v>46048</v>
      </c>
      <c r="AC88" s="207">
        <v>46052</v>
      </c>
      <c r="AD88" s="207">
        <v>46055</v>
      </c>
      <c r="AE88" s="207">
        <v>46066</v>
      </c>
      <c r="AF88" s="207">
        <v>46069</v>
      </c>
      <c r="AG88" s="207">
        <v>46073</v>
      </c>
      <c r="AH88" s="207">
        <v>46083</v>
      </c>
      <c r="AI88" s="207">
        <v>46101</v>
      </c>
      <c r="AJ88" s="207">
        <v>46104</v>
      </c>
      <c r="AK88" s="207">
        <v>46122</v>
      </c>
      <c r="AL88" s="207">
        <f>AK88+1</f>
        <v>46123</v>
      </c>
      <c r="AM88" s="207">
        <f>AL88</f>
        <v>46123</v>
      </c>
    </row>
    <row r="89" spans="1:40" hidden="1">
      <c r="A89" s="137" t="s">
        <v>4</v>
      </c>
      <c r="B89" s="283" t="s">
        <v>16</v>
      </c>
      <c r="C89" s="165" t="s">
        <v>123</v>
      </c>
      <c r="D89" s="166" t="s">
        <v>195</v>
      </c>
      <c r="E89" s="137" t="s">
        <v>512</v>
      </c>
      <c r="F89" s="199" t="s">
        <v>514</v>
      </c>
      <c r="G89" s="196" t="s">
        <v>837</v>
      </c>
      <c r="H89" s="137" t="s">
        <v>473</v>
      </c>
      <c r="I89" s="137"/>
      <c r="J89" s="137"/>
      <c r="K89" s="137" t="s">
        <v>341</v>
      </c>
      <c r="L89" s="137" t="s">
        <v>474</v>
      </c>
      <c r="M89" s="137" t="s">
        <v>57</v>
      </c>
      <c r="N89" s="137" t="s">
        <v>4</v>
      </c>
      <c r="O89" s="137"/>
      <c r="P89" s="137"/>
      <c r="Q89" s="137"/>
      <c r="R89" s="137"/>
      <c r="S89" s="137" t="s">
        <v>838</v>
      </c>
      <c r="T89" s="137"/>
      <c r="U89" s="137" t="s">
        <v>696</v>
      </c>
      <c r="V89" s="137">
        <v>85</v>
      </c>
      <c r="W89" s="217" t="s">
        <v>667</v>
      </c>
      <c r="X89" s="207">
        <v>45659</v>
      </c>
      <c r="Y89" s="207">
        <v>46083</v>
      </c>
      <c r="Z89" s="207">
        <v>46069</v>
      </c>
      <c r="AA89" s="207">
        <v>46122</v>
      </c>
      <c r="AB89" s="207">
        <v>46125</v>
      </c>
      <c r="AC89" s="207">
        <v>46136</v>
      </c>
      <c r="AD89" s="207">
        <v>46139</v>
      </c>
      <c r="AE89" s="207">
        <v>46150</v>
      </c>
      <c r="AF89" s="207">
        <v>46150</v>
      </c>
      <c r="AG89" s="207">
        <v>46153</v>
      </c>
      <c r="AH89" s="207">
        <v>46154</v>
      </c>
      <c r="AI89" s="207">
        <v>46156</v>
      </c>
      <c r="AJ89" s="207">
        <v>46157</v>
      </c>
      <c r="AK89" s="207">
        <v>46170</v>
      </c>
      <c r="AL89" s="207">
        <v>46171</v>
      </c>
      <c r="AM89" s="207">
        <v>46174</v>
      </c>
      <c r="AN89" t="s">
        <v>768</v>
      </c>
    </row>
    <row r="90" spans="1:40" ht="60" hidden="1">
      <c r="A90" s="137" t="s">
        <v>92</v>
      </c>
      <c r="B90" s="283" t="s">
        <v>4</v>
      </c>
      <c r="C90" s="165" t="s">
        <v>225</v>
      </c>
      <c r="D90" s="166" t="s">
        <v>195</v>
      </c>
      <c r="E90" s="137" t="s">
        <v>513</v>
      </c>
      <c r="F90" s="197" t="s">
        <v>514</v>
      </c>
      <c r="G90" s="196" t="s">
        <v>839</v>
      </c>
      <c r="H90" s="137" t="s">
        <v>473</v>
      </c>
      <c r="I90" s="137"/>
      <c r="J90" s="137"/>
      <c r="K90" s="137" t="s">
        <v>341</v>
      </c>
      <c r="L90" s="137" t="s">
        <v>474</v>
      </c>
      <c r="M90" s="137" t="s">
        <v>57</v>
      </c>
      <c r="N90" s="137" t="s">
        <v>4</v>
      </c>
      <c r="O90" s="137"/>
      <c r="P90" s="137"/>
      <c r="Q90" s="137"/>
      <c r="R90" s="137"/>
      <c r="S90" s="137" t="s">
        <v>840</v>
      </c>
      <c r="T90" s="167"/>
      <c r="U90" s="137" t="s">
        <v>841</v>
      </c>
      <c r="V90" s="137">
        <v>86</v>
      </c>
      <c r="W90" s="217" t="s">
        <v>667</v>
      </c>
      <c r="X90" s="207">
        <v>46024</v>
      </c>
      <c r="Y90" s="207">
        <v>46038</v>
      </c>
      <c r="Z90" s="207">
        <v>46041</v>
      </c>
      <c r="AA90" s="207">
        <v>46127</v>
      </c>
      <c r="AB90" s="207">
        <v>46128</v>
      </c>
      <c r="AC90" s="207">
        <v>46142</v>
      </c>
      <c r="AD90" s="207">
        <v>46146</v>
      </c>
      <c r="AE90" s="207">
        <v>46157</v>
      </c>
      <c r="AF90" s="207">
        <v>46157</v>
      </c>
      <c r="AG90" s="207">
        <v>46160</v>
      </c>
      <c r="AH90" s="207">
        <v>46161</v>
      </c>
      <c r="AI90" s="207">
        <v>46163</v>
      </c>
      <c r="AJ90" s="207">
        <v>46164</v>
      </c>
      <c r="AK90" s="207">
        <v>46178</v>
      </c>
      <c r="AL90" s="207">
        <v>46181</v>
      </c>
      <c r="AM90" s="207">
        <v>46182</v>
      </c>
      <c r="AN90" s="122" t="s">
        <v>730</v>
      </c>
    </row>
    <row r="91" spans="1:40" hidden="1">
      <c r="A91" s="172" t="s">
        <v>259</v>
      </c>
      <c r="B91" s="291" t="s">
        <v>93</v>
      </c>
      <c r="C91" s="173" t="s">
        <v>94</v>
      </c>
      <c r="D91" s="166" t="s">
        <v>656</v>
      </c>
      <c r="E91" s="172" t="s">
        <v>515</v>
      </c>
      <c r="F91" s="200" t="s">
        <v>516</v>
      </c>
      <c r="G91" s="206" t="s">
        <v>842</v>
      </c>
      <c r="H91" s="172" t="s">
        <v>97</v>
      </c>
      <c r="I91" s="172" t="s">
        <v>72</v>
      </c>
      <c r="J91" s="172"/>
      <c r="K91" s="172" t="s">
        <v>347</v>
      </c>
      <c r="L91" s="172" t="s">
        <v>102</v>
      </c>
      <c r="M91" s="172" t="s">
        <v>102</v>
      </c>
      <c r="N91" s="172" t="e">
        <f>#REF!</f>
        <v>#REF!</v>
      </c>
      <c r="O91" s="172"/>
      <c r="P91" s="172"/>
      <c r="Q91" s="172" t="s">
        <v>462</v>
      </c>
      <c r="R91" s="172"/>
      <c r="S91" s="137" t="s">
        <v>695</v>
      </c>
      <c r="T91" s="137"/>
      <c r="U91" s="137" t="s">
        <v>696</v>
      </c>
      <c r="V91" s="137">
        <v>87</v>
      </c>
      <c r="W91" s="217" t="s">
        <v>44</v>
      </c>
      <c r="X91" s="209">
        <v>46024</v>
      </c>
      <c r="Y91" s="207">
        <v>46083</v>
      </c>
      <c r="Z91" s="207">
        <v>46108</v>
      </c>
      <c r="AA91" s="207">
        <v>46108</v>
      </c>
      <c r="AB91" s="207">
        <v>46108</v>
      </c>
      <c r="AC91" s="207">
        <v>46108</v>
      </c>
      <c r="AD91" s="207">
        <v>46108</v>
      </c>
      <c r="AE91" s="207">
        <v>46108</v>
      </c>
      <c r="AF91" s="207">
        <v>46108</v>
      </c>
      <c r="AG91" s="207">
        <v>46108</v>
      </c>
      <c r="AH91" s="207">
        <v>46108</v>
      </c>
      <c r="AI91" s="207">
        <v>46108</v>
      </c>
      <c r="AJ91" s="207">
        <v>46108</v>
      </c>
      <c r="AK91" s="207">
        <v>46108</v>
      </c>
      <c r="AL91" s="207">
        <f t="shared" ref="AL91:AL101" si="7">AK91+1</f>
        <v>46109</v>
      </c>
      <c r="AM91" s="207">
        <f t="shared" ref="AM91:AM101" si="8">AL91</f>
        <v>46109</v>
      </c>
    </row>
    <row r="92" spans="1:40" hidden="1">
      <c r="A92" s="168" t="s">
        <v>92</v>
      </c>
      <c r="B92" s="267" t="s">
        <v>93</v>
      </c>
      <c r="C92" s="169" t="s">
        <v>94</v>
      </c>
      <c r="D92" s="166" t="s">
        <v>324</v>
      </c>
      <c r="E92" s="168" t="s">
        <v>517</v>
      </c>
      <c r="F92" s="198" t="s">
        <v>280</v>
      </c>
      <c r="G92" s="205" t="s">
        <v>843</v>
      </c>
      <c r="H92" s="168" t="s">
        <v>97</v>
      </c>
      <c r="I92" s="168" t="s">
        <v>72</v>
      </c>
      <c r="J92" s="168" t="s">
        <v>307</v>
      </c>
      <c r="K92" s="168" t="s">
        <v>370</v>
      </c>
      <c r="L92" s="168" t="s">
        <v>73</v>
      </c>
      <c r="M92" s="168" t="s">
        <v>98</v>
      </c>
      <c r="N92" s="168" t="s">
        <v>99</v>
      </c>
      <c r="O92" s="168"/>
      <c r="P92" s="168"/>
      <c r="Q92" s="168" t="s">
        <v>405</v>
      </c>
      <c r="R92" s="168" t="s">
        <v>683</v>
      </c>
      <c r="S92" s="137" t="s">
        <v>673</v>
      </c>
      <c r="T92" s="137"/>
      <c r="U92" s="137" t="s">
        <v>674</v>
      </c>
      <c r="V92" s="137">
        <v>88</v>
      </c>
      <c r="W92" s="217" t="s">
        <v>667</v>
      </c>
      <c r="X92" s="209">
        <v>46024</v>
      </c>
      <c r="Y92" s="207">
        <v>46083</v>
      </c>
      <c r="Z92" s="207">
        <v>46084</v>
      </c>
      <c r="AA92" s="207">
        <v>46084</v>
      </c>
      <c r="AB92" s="207">
        <v>46085</v>
      </c>
      <c r="AC92" s="207">
        <v>46098</v>
      </c>
      <c r="AD92" s="207">
        <v>46099</v>
      </c>
      <c r="AE92" s="207">
        <v>46119</v>
      </c>
      <c r="AF92" s="207">
        <v>46119</v>
      </c>
      <c r="AG92" s="207">
        <v>46120</v>
      </c>
      <c r="AH92" s="207">
        <v>46121</v>
      </c>
      <c r="AI92" s="207">
        <v>46125</v>
      </c>
      <c r="AJ92" s="207">
        <v>46126</v>
      </c>
      <c r="AK92" s="207">
        <v>46140</v>
      </c>
      <c r="AL92" s="207">
        <f t="shared" si="7"/>
        <v>46141</v>
      </c>
      <c r="AM92" s="207">
        <f t="shared" si="8"/>
        <v>46141</v>
      </c>
    </row>
    <row r="93" spans="1:40" hidden="1">
      <c r="A93" s="168" t="s">
        <v>92</v>
      </c>
      <c r="B93" s="267" t="s">
        <v>93</v>
      </c>
      <c r="C93" s="169" t="s">
        <v>94</v>
      </c>
      <c r="D93" s="166" t="s">
        <v>324</v>
      </c>
      <c r="E93" s="168" t="s">
        <v>518</v>
      </c>
      <c r="F93" s="198" t="s">
        <v>280</v>
      </c>
      <c r="G93" s="205" t="s">
        <v>746</v>
      </c>
      <c r="H93" s="168" t="s">
        <v>97</v>
      </c>
      <c r="I93" s="168" t="s">
        <v>72</v>
      </c>
      <c r="J93" s="168" t="s">
        <v>307</v>
      </c>
      <c r="K93" s="168" t="s">
        <v>370</v>
      </c>
      <c r="L93" s="168" t="s">
        <v>73</v>
      </c>
      <c r="M93" s="168" t="s">
        <v>98</v>
      </c>
      <c r="N93" s="168" t="s">
        <v>99</v>
      </c>
      <c r="O93" s="168"/>
      <c r="P93" s="168"/>
      <c r="Q93" s="168" t="s">
        <v>405</v>
      </c>
      <c r="R93" s="168" t="s">
        <v>844</v>
      </c>
      <c r="S93" s="137" t="s">
        <v>673</v>
      </c>
      <c r="T93" s="137"/>
      <c r="U93" s="137" t="s">
        <v>674</v>
      </c>
      <c r="V93" s="137">
        <v>89</v>
      </c>
      <c r="W93" s="217" t="s">
        <v>667</v>
      </c>
      <c r="X93" s="209">
        <v>46024</v>
      </c>
      <c r="Y93" s="207">
        <v>46083</v>
      </c>
      <c r="Z93" s="207">
        <v>46084</v>
      </c>
      <c r="AA93" s="207">
        <v>46084</v>
      </c>
      <c r="AB93" s="207">
        <v>46085</v>
      </c>
      <c r="AC93" s="207">
        <v>46098</v>
      </c>
      <c r="AD93" s="207">
        <v>46099</v>
      </c>
      <c r="AE93" s="207">
        <v>46119</v>
      </c>
      <c r="AF93" s="207">
        <v>46119</v>
      </c>
      <c r="AG93" s="207">
        <v>46120</v>
      </c>
      <c r="AH93" s="207">
        <v>46121</v>
      </c>
      <c r="AI93" s="207">
        <v>46125</v>
      </c>
      <c r="AJ93" s="207">
        <v>46126</v>
      </c>
      <c r="AK93" s="207">
        <v>46140</v>
      </c>
      <c r="AL93" s="207">
        <f t="shared" si="7"/>
        <v>46141</v>
      </c>
      <c r="AM93" s="207">
        <f t="shared" si="8"/>
        <v>46141</v>
      </c>
    </row>
    <row r="94" spans="1:40" hidden="1">
      <c r="A94" s="168" t="s">
        <v>92</v>
      </c>
      <c r="B94" s="267" t="s">
        <v>93</v>
      </c>
      <c r="C94" s="169" t="s">
        <v>94</v>
      </c>
      <c r="D94" s="166" t="s">
        <v>324</v>
      </c>
      <c r="E94" s="168" t="s">
        <v>519</v>
      </c>
      <c r="F94" s="198" t="s">
        <v>280</v>
      </c>
      <c r="G94" s="205" t="s">
        <v>845</v>
      </c>
      <c r="H94" s="168" t="s">
        <v>97</v>
      </c>
      <c r="I94" s="168" t="s">
        <v>72</v>
      </c>
      <c r="J94" s="168"/>
      <c r="K94" s="168" t="s">
        <v>370</v>
      </c>
      <c r="L94" s="168" t="s">
        <v>73</v>
      </c>
      <c r="M94" s="168" t="s">
        <v>98</v>
      </c>
      <c r="N94" s="168" t="s">
        <v>99</v>
      </c>
      <c r="O94" s="168"/>
      <c r="P94" s="168"/>
      <c r="Q94" s="168" t="s">
        <v>405</v>
      </c>
      <c r="R94" s="168" t="s">
        <v>683</v>
      </c>
      <c r="S94" s="137" t="s">
        <v>673</v>
      </c>
      <c r="T94" s="137"/>
      <c r="U94" s="137" t="s">
        <v>674</v>
      </c>
      <c r="V94" s="137">
        <v>90</v>
      </c>
      <c r="W94" s="217" t="s">
        <v>667</v>
      </c>
      <c r="X94" s="209">
        <v>46024</v>
      </c>
      <c r="Y94" s="207">
        <v>46083</v>
      </c>
      <c r="Z94" s="207">
        <v>46084</v>
      </c>
      <c r="AA94" s="207">
        <v>46084</v>
      </c>
      <c r="AB94" s="207">
        <v>46085</v>
      </c>
      <c r="AC94" s="207">
        <v>46098</v>
      </c>
      <c r="AD94" s="207">
        <v>46099</v>
      </c>
      <c r="AE94" s="207">
        <v>46119</v>
      </c>
      <c r="AF94" s="207">
        <v>46119</v>
      </c>
      <c r="AG94" s="207">
        <v>46120</v>
      </c>
      <c r="AH94" s="207">
        <v>46121</v>
      </c>
      <c r="AI94" s="207">
        <v>46125</v>
      </c>
      <c r="AJ94" s="207">
        <v>46126</v>
      </c>
      <c r="AK94" s="207">
        <v>46140</v>
      </c>
      <c r="AL94" s="207">
        <f t="shared" si="7"/>
        <v>46141</v>
      </c>
      <c r="AM94" s="207">
        <f t="shared" si="8"/>
        <v>46141</v>
      </c>
    </row>
    <row r="95" spans="1:40" hidden="1">
      <c r="A95" s="168" t="s">
        <v>92</v>
      </c>
      <c r="B95" s="267" t="s">
        <v>93</v>
      </c>
      <c r="C95" s="169" t="s">
        <v>94</v>
      </c>
      <c r="D95" s="166" t="s">
        <v>324</v>
      </c>
      <c r="E95" s="168" t="s">
        <v>520</v>
      </c>
      <c r="F95" s="198" t="s">
        <v>280</v>
      </c>
      <c r="G95" s="205" t="s">
        <v>846</v>
      </c>
      <c r="H95" s="168" t="s">
        <v>97</v>
      </c>
      <c r="I95" s="168" t="s">
        <v>72</v>
      </c>
      <c r="J95" s="168" t="s">
        <v>307</v>
      </c>
      <c r="K95" s="168" t="s">
        <v>370</v>
      </c>
      <c r="L95" s="168" t="s">
        <v>73</v>
      </c>
      <c r="M95" s="168" t="s">
        <v>98</v>
      </c>
      <c r="N95" s="168" t="s">
        <v>99</v>
      </c>
      <c r="O95" s="168"/>
      <c r="P95" s="168"/>
      <c r="Q95" s="168" t="s">
        <v>405</v>
      </c>
      <c r="R95" s="168" t="s">
        <v>683</v>
      </c>
      <c r="S95" s="137" t="s">
        <v>673</v>
      </c>
      <c r="T95" s="137"/>
      <c r="U95" s="137" t="s">
        <v>674</v>
      </c>
      <c r="V95" s="137">
        <v>91</v>
      </c>
      <c r="W95" s="217" t="s">
        <v>667</v>
      </c>
      <c r="X95" s="209">
        <v>46024</v>
      </c>
      <c r="Y95" s="207">
        <v>46083</v>
      </c>
      <c r="Z95" s="207">
        <v>46084</v>
      </c>
      <c r="AA95" s="207">
        <v>46084</v>
      </c>
      <c r="AB95" s="207">
        <v>46085</v>
      </c>
      <c r="AC95" s="207">
        <v>46098</v>
      </c>
      <c r="AD95" s="207">
        <v>46099</v>
      </c>
      <c r="AE95" s="207">
        <v>46119</v>
      </c>
      <c r="AF95" s="207">
        <v>46119</v>
      </c>
      <c r="AG95" s="207">
        <v>46120</v>
      </c>
      <c r="AH95" s="207">
        <v>46121</v>
      </c>
      <c r="AI95" s="207">
        <v>46125</v>
      </c>
      <c r="AJ95" s="207">
        <v>46126</v>
      </c>
      <c r="AK95" s="207">
        <v>46140</v>
      </c>
      <c r="AL95" s="207">
        <f t="shared" si="7"/>
        <v>46141</v>
      </c>
      <c r="AM95" s="207">
        <f t="shared" si="8"/>
        <v>46141</v>
      </c>
    </row>
    <row r="96" spans="1:40" hidden="1">
      <c r="A96" s="168" t="s">
        <v>92</v>
      </c>
      <c r="B96" s="267" t="s">
        <v>93</v>
      </c>
      <c r="C96" s="169" t="s">
        <v>94</v>
      </c>
      <c r="D96" s="166" t="s">
        <v>324</v>
      </c>
      <c r="E96" s="168" t="s">
        <v>521</v>
      </c>
      <c r="F96" s="198" t="s">
        <v>280</v>
      </c>
      <c r="G96" s="205" t="s">
        <v>847</v>
      </c>
      <c r="H96" s="168" t="s">
        <v>97</v>
      </c>
      <c r="I96" s="168" t="s">
        <v>72</v>
      </c>
      <c r="J96" s="168" t="s">
        <v>307</v>
      </c>
      <c r="K96" s="168" t="s">
        <v>370</v>
      </c>
      <c r="L96" s="168" t="s">
        <v>73</v>
      </c>
      <c r="M96" s="168" t="s">
        <v>98</v>
      </c>
      <c r="N96" s="168" t="s">
        <v>99</v>
      </c>
      <c r="O96" s="168"/>
      <c r="P96" s="168"/>
      <c r="Q96" s="168" t="s">
        <v>405</v>
      </c>
      <c r="R96" s="168" t="s">
        <v>683</v>
      </c>
      <c r="S96" s="137" t="s">
        <v>673</v>
      </c>
      <c r="T96" s="137"/>
      <c r="U96" s="137" t="s">
        <v>674</v>
      </c>
      <c r="V96" s="137">
        <v>92</v>
      </c>
      <c r="W96" s="217" t="s">
        <v>667</v>
      </c>
      <c r="X96" s="209">
        <v>46024</v>
      </c>
      <c r="Y96" s="207">
        <v>46083</v>
      </c>
      <c r="Z96" s="207">
        <v>46084</v>
      </c>
      <c r="AA96" s="207">
        <v>46084</v>
      </c>
      <c r="AB96" s="207">
        <v>46085</v>
      </c>
      <c r="AC96" s="207">
        <v>46098</v>
      </c>
      <c r="AD96" s="207">
        <v>46099</v>
      </c>
      <c r="AE96" s="207">
        <v>46119</v>
      </c>
      <c r="AF96" s="207">
        <v>46119</v>
      </c>
      <c r="AG96" s="207">
        <v>46120</v>
      </c>
      <c r="AH96" s="207">
        <v>46121</v>
      </c>
      <c r="AI96" s="207">
        <v>46125</v>
      </c>
      <c r="AJ96" s="207">
        <v>46126</v>
      </c>
      <c r="AK96" s="207">
        <v>46140</v>
      </c>
      <c r="AL96" s="207">
        <f t="shared" si="7"/>
        <v>46141</v>
      </c>
      <c r="AM96" s="207">
        <f t="shared" si="8"/>
        <v>46141</v>
      </c>
    </row>
    <row r="97" spans="1:40" hidden="1">
      <c r="A97" s="168" t="s">
        <v>92</v>
      </c>
      <c r="B97" s="267" t="s">
        <v>93</v>
      </c>
      <c r="C97" s="169" t="s">
        <v>94</v>
      </c>
      <c r="D97" s="166" t="s">
        <v>324</v>
      </c>
      <c r="E97" s="168" t="s">
        <v>522</v>
      </c>
      <c r="F97" s="198" t="s">
        <v>280</v>
      </c>
      <c r="G97" s="205" t="s">
        <v>848</v>
      </c>
      <c r="H97" s="168" t="s">
        <v>97</v>
      </c>
      <c r="I97" s="168" t="s">
        <v>72</v>
      </c>
      <c r="J97" s="168"/>
      <c r="K97" s="168" t="s">
        <v>370</v>
      </c>
      <c r="L97" s="168" t="s">
        <v>73</v>
      </c>
      <c r="M97" s="168" t="s">
        <v>98</v>
      </c>
      <c r="N97" s="168" t="s">
        <v>99</v>
      </c>
      <c r="O97" s="168"/>
      <c r="P97" s="168"/>
      <c r="Q97" s="168" t="s">
        <v>405</v>
      </c>
      <c r="R97" s="168" t="s">
        <v>844</v>
      </c>
      <c r="S97" s="137" t="s">
        <v>673</v>
      </c>
      <c r="T97" s="137"/>
      <c r="U97" s="137" t="s">
        <v>674</v>
      </c>
      <c r="V97" s="137">
        <v>93</v>
      </c>
      <c r="W97" s="217" t="s">
        <v>667</v>
      </c>
      <c r="X97" s="209">
        <v>46024</v>
      </c>
      <c r="Y97" s="207">
        <v>46083</v>
      </c>
      <c r="Z97" s="207">
        <v>46084</v>
      </c>
      <c r="AA97" s="207">
        <v>46084</v>
      </c>
      <c r="AB97" s="207">
        <v>46085</v>
      </c>
      <c r="AC97" s="207">
        <v>46098</v>
      </c>
      <c r="AD97" s="207">
        <v>46099</v>
      </c>
      <c r="AE97" s="207">
        <v>46119</v>
      </c>
      <c r="AF97" s="207">
        <v>46119</v>
      </c>
      <c r="AG97" s="207">
        <v>46120</v>
      </c>
      <c r="AH97" s="207">
        <v>46121</v>
      </c>
      <c r="AI97" s="207">
        <v>46125</v>
      </c>
      <c r="AJ97" s="207">
        <v>46126</v>
      </c>
      <c r="AK97" s="207">
        <v>46140</v>
      </c>
      <c r="AL97" s="207">
        <f t="shared" si="7"/>
        <v>46141</v>
      </c>
      <c r="AM97" s="207">
        <f t="shared" si="8"/>
        <v>46141</v>
      </c>
    </row>
    <row r="98" spans="1:40" hidden="1">
      <c r="A98" s="168" t="s">
        <v>92</v>
      </c>
      <c r="B98" s="267" t="s">
        <v>93</v>
      </c>
      <c r="C98" s="169" t="s">
        <v>94</v>
      </c>
      <c r="D98" s="166" t="s">
        <v>324</v>
      </c>
      <c r="E98" s="168" t="s">
        <v>523</v>
      </c>
      <c r="F98" s="198" t="s">
        <v>280</v>
      </c>
      <c r="G98" s="205" t="s">
        <v>849</v>
      </c>
      <c r="H98" s="168" t="s">
        <v>97</v>
      </c>
      <c r="I98" s="168" t="s">
        <v>72</v>
      </c>
      <c r="J98" s="168"/>
      <c r="K98" s="168" t="s">
        <v>370</v>
      </c>
      <c r="L98" s="168" t="s">
        <v>73</v>
      </c>
      <c r="M98" s="168" t="s">
        <v>98</v>
      </c>
      <c r="N98" s="168" t="s">
        <v>99</v>
      </c>
      <c r="O98" s="168"/>
      <c r="P98" s="168"/>
      <c r="Q98" s="168" t="s">
        <v>405</v>
      </c>
      <c r="R98" s="168" t="s">
        <v>850</v>
      </c>
      <c r="S98" s="137" t="s">
        <v>673</v>
      </c>
      <c r="T98" s="167"/>
      <c r="U98" s="137" t="s">
        <v>674</v>
      </c>
      <c r="V98" s="137">
        <v>94</v>
      </c>
      <c r="W98" s="217" t="s">
        <v>667</v>
      </c>
      <c r="X98" s="209">
        <v>46024</v>
      </c>
      <c r="Y98" s="207">
        <v>46083</v>
      </c>
      <c r="Z98" s="207">
        <v>46084</v>
      </c>
      <c r="AA98" s="207">
        <v>46084</v>
      </c>
      <c r="AB98" s="207">
        <v>46085</v>
      </c>
      <c r="AC98" s="207">
        <v>46098</v>
      </c>
      <c r="AD98" s="207">
        <v>46099</v>
      </c>
      <c r="AE98" s="207">
        <v>46119</v>
      </c>
      <c r="AF98" s="207">
        <v>46119</v>
      </c>
      <c r="AG98" s="207">
        <v>46120</v>
      </c>
      <c r="AH98" s="207">
        <v>46121</v>
      </c>
      <c r="AI98" s="207">
        <v>46125</v>
      </c>
      <c r="AJ98" s="207">
        <v>46126</v>
      </c>
      <c r="AK98" s="207">
        <v>46140</v>
      </c>
      <c r="AL98" s="207">
        <f t="shared" si="7"/>
        <v>46141</v>
      </c>
      <c r="AM98" s="207">
        <f t="shared" si="8"/>
        <v>46141</v>
      </c>
    </row>
    <row r="99" spans="1:40" s="86" customFormat="1" ht="20.25" hidden="1" customHeight="1">
      <c r="A99" s="168" t="s">
        <v>92</v>
      </c>
      <c r="B99" s="267" t="s">
        <v>93</v>
      </c>
      <c r="C99" s="169" t="s">
        <v>94</v>
      </c>
      <c r="D99" s="166" t="s">
        <v>324</v>
      </c>
      <c r="E99" s="168" t="s">
        <v>282</v>
      </c>
      <c r="F99" s="198" t="s">
        <v>280</v>
      </c>
      <c r="G99" s="205" t="s">
        <v>851</v>
      </c>
      <c r="H99" s="168" t="s">
        <v>97</v>
      </c>
      <c r="I99" s="168" t="s">
        <v>72</v>
      </c>
      <c r="J99" s="168"/>
      <c r="K99" s="168" t="s">
        <v>370</v>
      </c>
      <c r="L99" s="168" t="s">
        <v>73</v>
      </c>
      <c r="M99" s="168" t="s">
        <v>98</v>
      </c>
      <c r="N99" s="168" t="s">
        <v>99</v>
      </c>
      <c r="O99" s="168"/>
      <c r="P99" s="168"/>
      <c r="Q99" s="168"/>
      <c r="R99" s="168"/>
      <c r="S99" s="252" t="s">
        <v>852</v>
      </c>
      <c r="T99" s="212"/>
      <c r="U99" s="137" t="s">
        <v>666</v>
      </c>
      <c r="V99" s="137">
        <v>95</v>
      </c>
      <c r="W99" s="217" t="s">
        <v>667</v>
      </c>
      <c r="X99" s="209">
        <v>46024</v>
      </c>
      <c r="Y99" s="207">
        <v>46083</v>
      </c>
      <c r="Z99" s="207">
        <v>46084</v>
      </c>
      <c r="AA99" s="207">
        <v>46084</v>
      </c>
      <c r="AB99" s="207">
        <v>46085</v>
      </c>
      <c r="AC99" s="207">
        <v>46098</v>
      </c>
      <c r="AD99" s="207">
        <v>46099</v>
      </c>
      <c r="AE99" s="207">
        <v>46119</v>
      </c>
      <c r="AF99" s="207">
        <v>46119</v>
      </c>
      <c r="AG99" s="207">
        <v>46120</v>
      </c>
      <c r="AH99" s="207">
        <v>46121</v>
      </c>
      <c r="AI99" s="207">
        <v>46125</v>
      </c>
      <c r="AJ99" s="207">
        <v>46126</v>
      </c>
      <c r="AK99" s="207">
        <v>46140</v>
      </c>
      <c r="AL99" s="207">
        <f t="shared" si="7"/>
        <v>46141</v>
      </c>
      <c r="AM99" s="207">
        <f t="shared" si="8"/>
        <v>46141</v>
      </c>
      <c r="AN99"/>
    </row>
    <row r="100" spans="1:40" hidden="1">
      <c r="A100" s="168" t="s">
        <v>92</v>
      </c>
      <c r="B100" s="267" t="s">
        <v>93</v>
      </c>
      <c r="C100" s="169" t="s">
        <v>94</v>
      </c>
      <c r="D100" s="166" t="s">
        <v>324</v>
      </c>
      <c r="E100" s="168" t="s">
        <v>524</v>
      </c>
      <c r="F100" s="198" t="s">
        <v>280</v>
      </c>
      <c r="G100" s="205" t="s">
        <v>853</v>
      </c>
      <c r="H100" s="168" t="s">
        <v>97</v>
      </c>
      <c r="I100" s="168" t="s">
        <v>72</v>
      </c>
      <c r="J100" s="168"/>
      <c r="K100" s="168" t="s">
        <v>370</v>
      </c>
      <c r="L100" s="168" t="s">
        <v>73</v>
      </c>
      <c r="M100" s="168" t="s">
        <v>98</v>
      </c>
      <c r="N100" s="168" t="s">
        <v>99</v>
      </c>
      <c r="O100" s="168"/>
      <c r="P100" s="168"/>
      <c r="Q100" s="168" t="s">
        <v>405</v>
      </c>
      <c r="R100" s="168" t="s">
        <v>683</v>
      </c>
      <c r="S100" s="137" t="s">
        <v>854</v>
      </c>
      <c r="T100" s="167"/>
      <c r="U100" s="137" t="s">
        <v>674</v>
      </c>
      <c r="V100" s="137">
        <v>96</v>
      </c>
      <c r="W100" s="217" t="s">
        <v>667</v>
      </c>
      <c r="X100" s="209">
        <v>46024</v>
      </c>
      <c r="Y100" s="207">
        <v>46083</v>
      </c>
      <c r="Z100" s="207">
        <v>46084</v>
      </c>
      <c r="AA100" s="207">
        <v>46084</v>
      </c>
      <c r="AB100" s="207">
        <v>46085</v>
      </c>
      <c r="AC100" s="207">
        <v>46098</v>
      </c>
      <c r="AD100" s="207">
        <v>46099</v>
      </c>
      <c r="AE100" s="207">
        <v>46119</v>
      </c>
      <c r="AF100" s="207">
        <v>46119</v>
      </c>
      <c r="AG100" s="207">
        <v>46120</v>
      </c>
      <c r="AH100" s="207">
        <v>46121</v>
      </c>
      <c r="AI100" s="207">
        <v>46125</v>
      </c>
      <c r="AJ100" s="207">
        <v>46126</v>
      </c>
      <c r="AK100" s="207">
        <v>46140</v>
      </c>
      <c r="AL100" s="207">
        <f t="shared" si="7"/>
        <v>46141</v>
      </c>
      <c r="AM100" s="207">
        <f t="shared" si="8"/>
        <v>46141</v>
      </c>
    </row>
    <row r="101" spans="1:40" hidden="1">
      <c r="A101" s="168" t="s">
        <v>92</v>
      </c>
      <c r="B101" s="267" t="s">
        <v>93</v>
      </c>
      <c r="C101" s="169" t="s">
        <v>94</v>
      </c>
      <c r="D101" s="166" t="s">
        <v>324</v>
      </c>
      <c r="E101" s="168" t="s">
        <v>279</v>
      </c>
      <c r="F101" s="198" t="s">
        <v>280</v>
      </c>
      <c r="G101" s="205" t="s">
        <v>855</v>
      </c>
      <c r="H101" s="168" t="s">
        <v>97</v>
      </c>
      <c r="I101" s="168" t="s">
        <v>72</v>
      </c>
      <c r="J101" s="168"/>
      <c r="K101" s="168" t="s">
        <v>198</v>
      </c>
      <c r="L101" s="168" t="s">
        <v>73</v>
      </c>
      <c r="M101" s="168" t="s">
        <v>98</v>
      </c>
      <c r="N101" s="168" t="s">
        <v>99</v>
      </c>
      <c r="O101" s="168"/>
      <c r="P101" s="168"/>
      <c r="Q101" s="168" t="s">
        <v>215</v>
      </c>
      <c r="R101" s="168" t="s">
        <v>281</v>
      </c>
      <c r="S101" s="137" t="s">
        <v>856</v>
      </c>
      <c r="T101" s="137"/>
      <c r="U101" s="137" t="s">
        <v>857</v>
      </c>
      <c r="V101" s="137">
        <v>97</v>
      </c>
      <c r="W101" s="217"/>
      <c r="X101" s="209">
        <v>46024</v>
      </c>
      <c r="Y101" s="207">
        <v>46083</v>
      </c>
      <c r="Z101" s="207">
        <v>46056</v>
      </c>
      <c r="AA101" s="207">
        <v>46080</v>
      </c>
      <c r="AB101" s="207">
        <v>46083</v>
      </c>
      <c r="AC101" s="207">
        <v>46122</v>
      </c>
      <c r="AD101" s="207">
        <v>46111</v>
      </c>
      <c r="AE101" s="207">
        <v>46136</v>
      </c>
      <c r="AF101" s="207">
        <v>46118</v>
      </c>
      <c r="AG101" s="207">
        <v>46136</v>
      </c>
      <c r="AH101" s="207">
        <v>46125</v>
      </c>
      <c r="AI101" s="207">
        <v>46150</v>
      </c>
      <c r="AJ101" s="207">
        <v>46139</v>
      </c>
      <c r="AK101" s="207">
        <v>46171</v>
      </c>
      <c r="AL101" s="207">
        <f t="shared" si="7"/>
        <v>46172</v>
      </c>
      <c r="AM101" s="207">
        <f t="shared" si="8"/>
        <v>46172</v>
      </c>
    </row>
    <row r="102" spans="1:40" hidden="1">
      <c r="A102" s="137" t="s">
        <v>92</v>
      </c>
      <c r="B102" s="283" t="s">
        <v>93</v>
      </c>
      <c r="C102" s="165" t="s">
        <v>94</v>
      </c>
      <c r="D102" s="166" t="s">
        <v>195</v>
      </c>
      <c r="E102" s="137" t="s">
        <v>278</v>
      </c>
      <c r="F102" s="197" t="s">
        <v>263</v>
      </c>
      <c r="G102" s="196" t="s">
        <v>858</v>
      </c>
      <c r="H102" s="137" t="s">
        <v>97</v>
      </c>
      <c r="I102" s="137" t="s">
        <v>72</v>
      </c>
      <c r="J102" s="137"/>
      <c r="K102" s="137" t="s">
        <v>198</v>
      </c>
      <c r="L102" s="137" t="s">
        <v>73</v>
      </c>
      <c r="M102" s="137" t="s">
        <v>98</v>
      </c>
      <c r="N102" s="137" t="s">
        <v>99</v>
      </c>
      <c r="O102" s="137"/>
      <c r="P102" s="137"/>
      <c r="Q102" s="137"/>
      <c r="R102" s="137"/>
      <c r="S102" s="137" t="s">
        <v>813</v>
      </c>
      <c r="T102" s="137"/>
      <c r="U102" s="137" t="s">
        <v>666</v>
      </c>
      <c r="V102" s="137">
        <v>98</v>
      </c>
      <c r="W102" s="217" t="s">
        <v>667</v>
      </c>
      <c r="X102" s="209">
        <v>46024</v>
      </c>
      <c r="Y102" s="207">
        <v>46083</v>
      </c>
      <c r="Z102" s="207">
        <v>46056</v>
      </c>
      <c r="AA102" s="207">
        <v>46136</v>
      </c>
      <c r="AB102" s="207">
        <v>46139</v>
      </c>
      <c r="AC102" s="207">
        <v>46157</v>
      </c>
      <c r="AD102" s="207">
        <v>46160</v>
      </c>
      <c r="AE102" s="207">
        <v>46171</v>
      </c>
      <c r="AF102" s="207">
        <v>46171</v>
      </c>
      <c r="AG102" s="207">
        <v>46174</v>
      </c>
      <c r="AH102" s="207">
        <v>46175</v>
      </c>
      <c r="AI102" s="207">
        <v>46177</v>
      </c>
      <c r="AJ102" s="207">
        <v>46178</v>
      </c>
      <c r="AK102" s="207">
        <v>46192</v>
      </c>
      <c r="AL102" s="207">
        <v>46195</v>
      </c>
      <c r="AM102" s="207">
        <v>46196</v>
      </c>
    </row>
    <row r="103" spans="1:40" hidden="1">
      <c r="A103" s="137" t="s">
        <v>92</v>
      </c>
      <c r="B103" s="283" t="s">
        <v>93</v>
      </c>
      <c r="C103" s="165" t="s">
        <v>94</v>
      </c>
      <c r="D103" s="166" t="s">
        <v>195</v>
      </c>
      <c r="E103" s="137" t="s">
        <v>277</v>
      </c>
      <c r="F103" s="197" t="s">
        <v>263</v>
      </c>
      <c r="G103" s="196" t="s">
        <v>859</v>
      </c>
      <c r="H103" s="137" t="s">
        <v>97</v>
      </c>
      <c r="I103" s="137" t="s">
        <v>72</v>
      </c>
      <c r="J103" s="137"/>
      <c r="K103" s="137" t="s">
        <v>198</v>
      </c>
      <c r="L103" s="137" t="s">
        <v>73</v>
      </c>
      <c r="M103" s="137" t="s">
        <v>98</v>
      </c>
      <c r="N103" s="137" t="s">
        <v>99</v>
      </c>
      <c r="O103" s="137"/>
      <c r="P103" s="137"/>
      <c r="Q103" s="137"/>
      <c r="R103" s="137"/>
      <c r="S103" s="137" t="s">
        <v>813</v>
      </c>
      <c r="T103" s="137"/>
      <c r="U103" s="137" t="s">
        <v>666</v>
      </c>
      <c r="V103" s="137">
        <v>99</v>
      </c>
      <c r="W103" s="217" t="s">
        <v>667</v>
      </c>
      <c r="X103" s="209">
        <v>46024</v>
      </c>
      <c r="Y103" s="207">
        <v>46083</v>
      </c>
      <c r="Z103" s="207">
        <v>46056</v>
      </c>
      <c r="AA103" s="207">
        <v>46136</v>
      </c>
      <c r="AB103" s="207">
        <v>46139</v>
      </c>
      <c r="AC103" s="207">
        <v>46157</v>
      </c>
      <c r="AD103" s="207">
        <v>46160</v>
      </c>
      <c r="AE103" s="207">
        <v>46171</v>
      </c>
      <c r="AF103" s="207">
        <v>46171</v>
      </c>
      <c r="AG103" s="207">
        <v>46174</v>
      </c>
      <c r="AH103" s="207">
        <v>46175</v>
      </c>
      <c r="AI103" s="207">
        <v>46177</v>
      </c>
      <c r="AJ103" s="207">
        <v>46178</v>
      </c>
      <c r="AK103" s="207">
        <v>46192</v>
      </c>
      <c r="AL103" s="207">
        <v>46195</v>
      </c>
      <c r="AM103" s="207">
        <v>46196</v>
      </c>
    </row>
    <row r="104" spans="1:40" ht="135" hidden="1">
      <c r="A104" s="137" t="s">
        <v>80</v>
      </c>
      <c r="B104" s="283" t="s">
        <v>68</v>
      </c>
      <c r="C104" s="165" t="s">
        <v>48</v>
      </c>
      <c r="D104" s="166" t="s">
        <v>324</v>
      </c>
      <c r="E104" s="176" t="s">
        <v>104</v>
      </c>
      <c r="F104" s="197" t="s">
        <v>105</v>
      </c>
      <c r="G104" s="196" t="s">
        <v>860</v>
      </c>
      <c r="H104" s="137" t="s">
        <v>102</v>
      </c>
      <c r="I104" s="137" t="s">
        <v>72</v>
      </c>
      <c r="J104" s="137" t="s">
        <v>103</v>
      </c>
      <c r="K104" s="137" t="s">
        <v>55</v>
      </c>
      <c r="L104" s="137" t="s">
        <v>73</v>
      </c>
      <c r="M104" s="137" t="s">
        <v>74</v>
      </c>
      <c r="N104" s="137" t="s">
        <v>58</v>
      </c>
      <c r="O104" s="137"/>
      <c r="P104" s="137"/>
      <c r="Q104" s="137"/>
      <c r="R104" s="137"/>
      <c r="S104" s="212" t="s">
        <v>861</v>
      </c>
      <c r="T104" s="137"/>
      <c r="U104" s="137" t="s">
        <v>735</v>
      </c>
      <c r="V104" s="137">
        <v>100</v>
      </c>
      <c r="W104" s="217"/>
      <c r="X104" s="207">
        <v>45659</v>
      </c>
      <c r="Y104" s="207">
        <v>46083</v>
      </c>
      <c r="Z104" s="207">
        <v>46041</v>
      </c>
      <c r="AA104" s="207">
        <v>46055</v>
      </c>
      <c r="AB104" s="207">
        <v>46056</v>
      </c>
      <c r="AC104" s="207">
        <v>46073</v>
      </c>
      <c r="AD104" s="207">
        <v>46076</v>
      </c>
      <c r="AE104" s="207">
        <v>46094</v>
      </c>
      <c r="AF104" s="207">
        <v>46093</v>
      </c>
      <c r="AG104" s="207">
        <v>46094</v>
      </c>
      <c r="AH104" s="207">
        <v>46097</v>
      </c>
      <c r="AI104" s="207">
        <v>46115</v>
      </c>
      <c r="AJ104" s="207">
        <v>46118</v>
      </c>
      <c r="AK104" s="207">
        <v>46136</v>
      </c>
      <c r="AL104" s="207">
        <f>AK104+1</f>
        <v>46137</v>
      </c>
      <c r="AM104" s="207">
        <f>AL104</f>
        <v>46137</v>
      </c>
    </row>
    <row r="105" spans="1:40" hidden="1">
      <c r="A105" s="137" t="s">
        <v>80</v>
      </c>
      <c r="B105" s="283" t="s">
        <v>68</v>
      </c>
      <c r="C105" s="165" t="s">
        <v>48</v>
      </c>
      <c r="D105" s="166" t="s">
        <v>862</v>
      </c>
      <c r="E105" s="271" t="s">
        <v>100</v>
      </c>
      <c r="F105" s="197" t="s">
        <v>101</v>
      </c>
      <c r="G105" s="196" t="s">
        <v>863</v>
      </c>
      <c r="H105" s="137" t="s">
        <v>102</v>
      </c>
      <c r="I105" s="137" t="s">
        <v>72</v>
      </c>
      <c r="J105" s="137" t="s">
        <v>103</v>
      </c>
      <c r="K105" s="137" t="s">
        <v>55</v>
      </c>
      <c r="L105" s="137" t="s">
        <v>73</v>
      </c>
      <c r="M105" s="137" t="s">
        <v>74</v>
      </c>
      <c r="N105" s="137" t="s">
        <v>58</v>
      </c>
      <c r="O105" s="137"/>
      <c r="P105" s="137"/>
      <c r="Q105" s="137"/>
      <c r="R105" s="137"/>
      <c r="S105" s="137" t="s">
        <v>864</v>
      </c>
      <c r="T105" s="137"/>
      <c r="U105" s="137" t="s">
        <v>735</v>
      </c>
      <c r="V105" s="137">
        <v>101</v>
      </c>
      <c r="W105" s="217"/>
      <c r="X105" s="207">
        <v>45659</v>
      </c>
      <c r="Y105" s="207">
        <v>46083</v>
      </c>
      <c r="Z105" s="207">
        <v>46041</v>
      </c>
      <c r="AA105" s="207">
        <v>46055</v>
      </c>
      <c r="AB105" s="207">
        <v>46056</v>
      </c>
      <c r="AC105" s="207">
        <v>46073</v>
      </c>
      <c r="AD105" s="207">
        <v>46076</v>
      </c>
      <c r="AE105" s="207">
        <v>46094</v>
      </c>
      <c r="AF105" s="207">
        <v>46093</v>
      </c>
      <c r="AG105" s="207">
        <v>46094</v>
      </c>
      <c r="AH105" s="207">
        <v>46097</v>
      </c>
      <c r="AI105" s="207">
        <v>46115</v>
      </c>
      <c r="AJ105" s="207">
        <v>46118</v>
      </c>
      <c r="AK105" s="207">
        <v>46136</v>
      </c>
      <c r="AL105" s="207">
        <f>AK105+1</f>
        <v>46137</v>
      </c>
      <c r="AM105" s="207">
        <f>AL105</f>
        <v>46137</v>
      </c>
    </row>
    <row r="106" spans="1:40" hidden="1">
      <c r="A106" s="137" t="s">
        <v>236</v>
      </c>
      <c r="B106" s="283" t="s">
        <v>4</v>
      </c>
      <c r="C106" s="296" t="s">
        <v>225</v>
      </c>
      <c r="D106" s="166" t="s">
        <v>195</v>
      </c>
      <c r="E106" s="137" t="s">
        <v>275</v>
      </c>
      <c r="F106" s="197" t="s">
        <v>276</v>
      </c>
      <c r="G106" s="196" t="s">
        <v>865</v>
      </c>
      <c r="H106" s="137" t="s">
        <v>97</v>
      </c>
      <c r="I106" s="183" t="s">
        <v>818</v>
      </c>
      <c r="J106" s="137"/>
      <c r="K106" s="137" t="s">
        <v>198</v>
      </c>
      <c r="L106" s="137" t="s">
        <v>73</v>
      </c>
      <c r="M106" s="137" t="s">
        <v>207</v>
      </c>
      <c r="N106" s="137" t="s">
        <v>4</v>
      </c>
      <c r="O106" s="137"/>
      <c r="P106" s="137"/>
      <c r="Q106" s="137"/>
      <c r="R106" s="137"/>
      <c r="S106" s="137" t="s">
        <v>866</v>
      </c>
      <c r="T106" s="137"/>
      <c r="U106" s="137" t="s">
        <v>801</v>
      </c>
      <c r="V106" s="137">
        <v>102</v>
      </c>
      <c r="W106" s="217" t="s">
        <v>667</v>
      </c>
      <c r="X106" s="207">
        <v>46024</v>
      </c>
      <c r="Y106" s="207">
        <v>46083</v>
      </c>
      <c r="Z106" s="207">
        <v>46093</v>
      </c>
      <c r="AA106" s="207">
        <v>46142</v>
      </c>
      <c r="AB106" s="207">
        <v>46146</v>
      </c>
      <c r="AC106" s="207">
        <v>46164</v>
      </c>
      <c r="AD106" s="207">
        <v>46167</v>
      </c>
      <c r="AE106" s="207">
        <v>46178</v>
      </c>
      <c r="AF106" s="207">
        <v>46178</v>
      </c>
      <c r="AG106" s="207">
        <v>46181</v>
      </c>
      <c r="AH106" s="207">
        <v>46182</v>
      </c>
      <c r="AI106" s="207">
        <v>46185</v>
      </c>
      <c r="AJ106" s="207">
        <v>46188</v>
      </c>
      <c r="AK106" s="207">
        <v>46199</v>
      </c>
      <c r="AL106" s="207">
        <v>46199</v>
      </c>
      <c r="AM106" s="207">
        <v>46202</v>
      </c>
      <c r="AN106" t="s">
        <v>768</v>
      </c>
    </row>
    <row r="107" spans="1:40" hidden="1">
      <c r="A107" s="137" t="s">
        <v>92</v>
      </c>
      <c r="B107" s="283" t="s">
        <v>93</v>
      </c>
      <c r="C107" s="165" t="s">
        <v>94</v>
      </c>
      <c r="D107" s="166" t="s">
        <v>195</v>
      </c>
      <c r="E107" s="137" t="s">
        <v>271</v>
      </c>
      <c r="F107" s="197" t="s">
        <v>265</v>
      </c>
      <c r="G107" s="196" t="s">
        <v>867</v>
      </c>
      <c r="H107" s="137" t="s">
        <v>97</v>
      </c>
      <c r="I107" s="137" t="s">
        <v>72</v>
      </c>
      <c r="J107" s="137" t="s">
        <v>266</v>
      </c>
      <c r="K107" s="137" t="s">
        <v>198</v>
      </c>
      <c r="L107" s="137" t="s">
        <v>73</v>
      </c>
      <c r="M107" s="137" t="s">
        <v>207</v>
      </c>
      <c r="N107" s="137" t="s">
        <v>99</v>
      </c>
      <c r="O107" s="137"/>
      <c r="P107" s="137"/>
      <c r="Q107" s="137"/>
      <c r="R107" s="137"/>
      <c r="S107" s="137" t="s">
        <v>813</v>
      </c>
      <c r="T107" s="137"/>
      <c r="U107" s="137" t="s">
        <v>666</v>
      </c>
      <c r="V107" s="137">
        <v>103</v>
      </c>
      <c r="W107" s="217" t="s">
        <v>667</v>
      </c>
      <c r="X107" s="209">
        <v>46024</v>
      </c>
      <c r="Y107" s="207">
        <v>46083</v>
      </c>
      <c r="Z107" s="207">
        <v>46056</v>
      </c>
      <c r="AA107" s="207">
        <v>46136</v>
      </c>
      <c r="AB107" s="207">
        <v>46139</v>
      </c>
      <c r="AC107" s="207">
        <v>46157</v>
      </c>
      <c r="AD107" s="207">
        <v>46160</v>
      </c>
      <c r="AE107" s="207">
        <v>46171</v>
      </c>
      <c r="AF107" s="207">
        <v>46171</v>
      </c>
      <c r="AG107" s="207">
        <v>46174</v>
      </c>
      <c r="AH107" s="207">
        <v>46175</v>
      </c>
      <c r="AI107" s="207">
        <v>46177</v>
      </c>
      <c r="AJ107" s="207">
        <v>46178</v>
      </c>
      <c r="AK107" s="207">
        <v>46192</v>
      </c>
      <c r="AL107" s="207">
        <v>46195</v>
      </c>
      <c r="AM107" s="207">
        <v>46196</v>
      </c>
    </row>
    <row r="108" spans="1:40" hidden="1">
      <c r="A108" s="168" t="s">
        <v>92</v>
      </c>
      <c r="B108" s="267" t="s">
        <v>93</v>
      </c>
      <c r="C108" s="169" t="s">
        <v>94</v>
      </c>
      <c r="D108" s="166" t="s">
        <v>324</v>
      </c>
      <c r="E108" s="168" t="s">
        <v>525</v>
      </c>
      <c r="F108" s="198" t="s">
        <v>265</v>
      </c>
      <c r="G108" s="205" t="s">
        <v>868</v>
      </c>
      <c r="H108" s="168" t="s">
        <v>97</v>
      </c>
      <c r="I108" s="168" t="s">
        <v>72</v>
      </c>
      <c r="J108" s="168" t="s">
        <v>266</v>
      </c>
      <c r="K108" s="168" t="s">
        <v>370</v>
      </c>
      <c r="L108" s="168" t="s">
        <v>73</v>
      </c>
      <c r="M108" s="168" t="s">
        <v>207</v>
      </c>
      <c r="N108" s="168" t="s">
        <v>99</v>
      </c>
      <c r="O108" s="168"/>
      <c r="P108" s="168"/>
      <c r="Q108" s="168" t="s">
        <v>405</v>
      </c>
      <c r="R108" s="168" t="s">
        <v>683</v>
      </c>
      <c r="S108" s="137" t="s">
        <v>673</v>
      </c>
      <c r="T108" s="137"/>
      <c r="U108" s="137" t="s">
        <v>674</v>
      </c>
      <c r="V108" s="137">
        <v>104</v>
      </c>
      <c r="W108" s="217" t="s">
        <v>667</v>
      </c>
      <c r="X108" s="209">
        <v>46024</v>
      </c>
      <c r="Y108" s="207">
        <v>46083</v>
      </c>
      <c r="Z108" s="207">
        <v>46084</v>
      </c>
      <c r="AA108" s="207">
        <v>46084</v>
      </c>
      <c r="AB108" s="207">
        <v>46085</v>
      </c>
      <c r="AC108" s="207">
        <v>46098</v>
      </c>
      <c r="AD108" s="207">
        <v>46099</v>
      </c>
      <c r="AE108" s="207">
        <v>46119</v>
      </c>
      <c r="AF108" s="207">
        <v>46119</v>
      </c>
      <c r="AG108" s="207">
        <v>46120</v>
      </c>
      <c r="AH108" s="207">
        <v>46121</v>
      </c>
      <c r="AI108" s="207">
        <v>46125</v>
      </c>
      <c r="AJ108" s="207">
        <v>46126</v>
      </c>
      <c r="AK108" s="207">
        <v>46140</v>
      </c>
      <c r="AL108" s="207">
        <f>AK108+1</f>
        <v>46141</v>
      </c>
      <c r="AM108" s="207">
        <f>AL108</f>
        <v>46141</v>
      </c>
    </row>
    <row r="109" spans="1:40" hidden="1">
      <c r="A109" s="137" t="s">
        <v>92</v>
      </c>
      <c r="B109" s="283" t="s">
        <v>93</v>
      </c>
      <c r="C109" s="165" t="s">
        <v>94</v>
      </c>
      <c r="D109" s="166" t="s">
        <v>195</v>
      </c>
      <c r="E109" s="137" t="s">
        <v>264</v>
      </c>
      <c r="F109" s="197" t="s">
        <v>265</v>
      </c>
      <c r="G109" s="196" t="s">
        <v>869</v>
      </c>
      <c r="H109" s="137" t="s">
        <v>97</v>
      </c>
      <c r="I109" s="137" t="s">
        <v>72</v>
      </c>
      <c r="J109" s="137" t="s">
        <v>266</v>
      </c>
      <c r="K109" s="137" t="s">
        <v>198</v>
      </c>
      <c r="L109" s="137" t="s">
        <v>73</v>
      </c>
      <c r="M109" s="137" t="s">
        <v>207</v>
      </c>
      <c r="N109" s="137" t="s">
        <v>99</v>
      </c>
      <c r="O109" s="137"/>
      <c r="P109" s="137"/>
      <c r="Q109" s="137"/>
      <c r="R109" s="137"/>
      <c r="S109" s="137" t="s">
        <v>813</v>
      </c>
      <c r="T109" s="137"/>
      <c r="U109" s="137" t="s">
        <v>666</v>
      </c>
      <c r="V109" s="137">
        <v>105</v>
      </c>
      <c r="W109" s="217" t="s">
        <v>667</v>
      </c>
      <c r="X109" s="209">
        <v>46024</v>
      </c>
      <c r="Y109" s="207">
        <v>46083</v>
      </c>
      <c r="Z109" s="207">
        <v>46056</v>
      </c>
      <c r="AA109" s="207">
        <v>46136</v>
      </c>
      <c r="AB109" s="207">
        <v>46139</v>
      </c>
      <c r="AC109" s="207">
        <v>46157</v>
      </c>
      <c r="AD109" s="207">
        <v>46160</v>
      </c>
      <c r="AE109" s="207">
        <v>46171</v>
      </c>
      <c r="AF109" s="207">
        <v>46171</v>
      </c>
      <c r="AG109" s="207">
        <v>46174</v>
      </c>
      <c r="AH109" s="207">
        <v>46175</v>
      </c>
      <c r="AI109" s="207">
        <v>46177</v>
      </c>
      <c r="AJ109" s="207">
        <v>46178</v>
      </c>
      <c r="AK109" s="207">
        <v>46192</v>
      </c>
      <c r="AL109" s="207">
        <v>46195</v>
      </c>
      <c r="AM109" s="207">
        <v>46196</v>
      </c>
    </row>
    <row r="110" spans="1:40" hidden="1">
      <c r="A110" s="168" t="s">
        <v>92</v>
      </c>
      <c r="B110" s="267" t="s">
        <v>93</v>
      </c>
      <c r="C110" s="169" t="s">
        <v>94</v>
      </c>
      <c r="D110" s="166" t="s">
        <v>324</v>
      </c>
      <c r="E110" s="168" t="s">
        <v>526</v>
      </c>
      <c r="F110" s="198" t="s">
        <v>265</v>
      </c>
      <c r="G110" s="205" t="s">
        <v>870</v>
      </c>
      <c r="H110" s="168" t="s">
        <v>97</v>
      </c>
      <c r="I110" s="168" t="s">
        <v>72</v>
      </c>
      <c r="J110" s="168" t="s">
        <v>266</v>
      </c>
      <c r="K110" s="168" t="s">
        <v>370</v>
      </c>
      <c r="L110" s="168" t="s">
        <v>73</v>
      </c>
      <c r="M110" s="168" t="s">
        <v>207</v>
      </c>
      <c r="N110" s="168" t="s">
        <v>99</v>
      </c>
      <c r="O110" s="168"/>
      <c r="P110" s="168"/>
      <c r="Q110" s="168" t="s">
        <v>405</v>
      </c>
      <c r="R110" s="168" t="s">
        <v>683</v>
      </c>
      <c r="S110" s="137" t="s">
        <v>673</v>
      </c>
      <c r="T110" s="137"/>
      <c r="U110" s="137" t="s">
        <v>674</v>
      </c>
      <c r="V110" s="137">
        <v>106</v>
      </c>
      <c r="W110" s="217" t="s">
        <v>667</v>
      </c>
      <c r="X110" s="209">
        <v>46024</v>
      </c>
      <c r="Y110" s="207">
        <v>46083</v>
      </c>
      <c r="Z110" s="207">
        <v>46084</v>
      </c>
      <c r="AA110" s="207">
        <v>46084</v>
      </c>
      <c r="AB110" s="207">
        <v>46085</v>
      </c>
      <c r="AC110" s="207">
        <v>46098</v>
      </c>
      <c r="AD110" s="207">
        <v>46099</v>
      </c>
      <c r="AE110" s="207">
        <v>46119</v>
      </c>
      <c r="AF110" s="207">
        <v>46119</v>
      </c>
      <c r="AG110" s="207">
        <v>46120</v>
      </c>
      <c r="AH110" s="207">
        <v>46121</v>
      </c>
      <c r="AI110" s="207">
        <v>46125</v>
      </c>
      <c r="AJ110" s="207">
        <v>46126</v>
      </c>
      <c r="AK110" s="207">
        <v>46140</v>
      </c>
      <c r="AL110" s="207">
        <f>AK110+1</f>
        <v>46141</v>
      </c>
      <c r="AM110" s="207">
        <f>AL110</f>
        <v>46141</v>
      </c>
    </row>
    <row r="111" spans="1:40" hidden="1">
      <c r="A111" s="137" t="s">
        <v>92</v>
      </c>
      <c r="B111" s="283" t="s">
        <v>93</v>
      </c>
      <c r="C111" s="165" t="s">
        <v>94</v>
      </c>
      <c r="D111" s="166" t="s">
        <v>195</v>
      </c>
      <c r="E111" s="137" t="s">
        <v>262</v>
      </c>
      <c r="F111" s="197" t="s">
        <v>263</v>
      </c>
      <c r="G111" s="196" t="s">
        <v>871</v>
      </c>
      <c r="H111" s="137" t="s">
        <v>97</v>
      </c>
      <c r="I111" s="137" t="s">
        <v>72</v>
      </c>
      <c r="J111" s="137"/>
      <c r="K111" s="137" t="s">
        <v>198</v>
      </c>
      <c r="L111" s="137" t="s">
        <v>73</v>
      </c>
      <c r="M111" s="137" t="s">
        <v>98</v>
      </c>
      <c r="N111" s="137" t="s">
        <v>99</v>
      </c>
      <c r="O111" s="137"/>
      <c r="P111" s="137"/>
      <c r="Q111" s="137"/>
      <c r="R111" s="137"/>
      <c r="S111" s="137" t="s">
        <v>813</v>
      </c>
      <c r="T111" s="137"/>
      <c r="U111" s="137" t="s">
        <v>666</v>
      </c>
      <c r="V111" s="137">
        <v>107</v>
      </c>
      <c r="W111" s="217" t="s">
        <v>667</v>
      </c>
      <c r="X111" s="209">
        <v>46024</v>
      </c>
      <c r="Y111" s="207">
        <v>46083</v>
      </c>
      <c r="Z111" s="207">
        <v>46056</v>
      </c>
      <c r="AA111" s="207">
        <v>46136</v>
      </c>
      <c r="AB111" s="207">
        <v>46139</v>
      </c>
      <c r="AC111" s="207">
        <v>46157</v>
      </c>
      <c r="AD111" s="207">
        <v>46160</v>
      </c>
      <c r="AE111" s="207">
        <v>46171</v>
      </c>
      <c r="AF111" s="207">
        <v>46171</v>
      </c>
      <c r="AG111" s="207">
        <v>46174</v>
      </c>
      <c r="AH111" s="207">
        <v>46175</v>
      </c>
      <c r="AI111" s="207">
        <v>46177</v>
      </c>
      <c r="AJ111" s="207">
        <v>46178</v>
      </c>
      <c r="AK111" s="207">
        <v>46192</v>
      </c>
      <c r="AL111" s="207">
        <v>46195</v>
      </c>
      <c r="AM111" s="207">
        <v>46196</v>
      </c>
    </row>
    <row r="112" spans="1:40" hidden="1">
      <c r="A112" s="137" t="s">
        <v>259</v>
      </c>
      <c r="B112" s="283" t="s">
        <v>93</v>
      </c>
      <c r="C112" s="165" t="s">
        <v>94</v>
      </c>
      <c r="D112" s="166" t="s">
        <v>195</v>
      </c>
      <c r="E112" s="137" t="s">
        <v>260</v>
      </c>
      <c r="F112" s="197" t="s">
        <v>261</v>
      </c>
      <c r="G112" s="196" t="s">
        <v>872</v>
      </c>
      <c r="H112" s="137" t="s">
        <v>97</v>
      </c>
      <c r="I112" s="137" t="s">
        <v>72</v>
      </c>
      <c r="J112" s="137"/>
      <c r="K112" s="137" t="s">
        <v>198</v>
      </c>
      <c r="L112" s="137" t="s">
        <v>73</v>
      </c>
      <c r="M112" s="137" t="s">
        <v>98</v>
      </c>
      <c r="N112" s="137" t="s">
        <v>99</v>
      </c>
      <c r="O112" s="137"/>
      <c r="P112" s="137"/>
      <c r="Q112" s="137"/>
      <c r="R112" s="137"/>
      <c r="S112" s="137" t="s">
        <v>813</v>
      </c>
      <c r="T112" s="137"/>
      <c r="U112" s="137" t="s">
        <v>666</v>
      </c>
      <c r="V112" s="137">
        <v>108</v>
      </c>
      <c r="W112" s="217" t="s">
        <v>667</v>
      </c>
      <c r="X112" s="209">
        <v>46024</v>
      </c>
      <c r="Y112" s="207">
        <v>46083</v>
      </c>
      <c r="Z112" s="207">
        <v>46056</v>
      </c>
      <c r="AA112" s="207">
        <v>46136</v>
      </c>
      <c r="AB112" s="207">
        <v>46139</v>
      </c>
      <c r="AC112" s="207">
        <v>46157</v>
      </c>
      <c r="AD112" s="207">
        <v>46160</v>
      </c>
      <c r="AE112" s="207">
        <v>46171</v>
      </c>
      <c r="AF112" s="207">
        <v>46171</v>
      </c>
      <c r="AG112" s="207">
        <v>46174</v>
      </c>
      <c r="AH112" s="207">
        <v>46175</v>
      </c>
      <c r="AI112" s="207">
        <v>46177</v>
      </c>
      <c r="AJ112" s="207">
        <v>46178</v>
      </c>
      <c r="AK112" s="207">
        <v>46192</v>
      </c>
      <c r="AL112" s="207">
        <v>46195</v>
      </c>
      <c r="AM112" s="207">
        <v>46196</v>
      </c>
    </row>
    <row r="113" spans="1:40" hidden="1">
      <c r="A113" s="137" t="s">
        <v>92</v>
      </c>
      <c r="B113" s="283" t="s">
        <v>93</v>
      </c>
      <c r="C113" s="165" t="s">
        <v>94</v>
      </c>
      <c r="D113" s="166" t="s">
        <v>324</v>
      </c>
      <c r="E113" s="137" t="s">
        <v>95</v>
      </c>
      <c r="F113" s="197" t="s">
        <v>96</v>
      </c>
      <c r="G113" s="196" t="s">
        <v>873</v>
      </c>
      <c r="H113" s="137" t="s">
        <v>97</v>
      </c>
      <c r="I113" s="137" t="s">
        <v>72</v>
      </c>
      <c r="J113" s="137"/>
      <c r="K113" s="137" t="s">
        <v>55</v>
      </c>
      <c r="L113" s="137" t="s">
        <v>73</v>
      </c>
      <c r="M113" s="137" t="s">
        <v>98</v>
      </c>
      <c r="N113" s="137" t="s">
        <v>99</v>
      </c>
      <c r="O113" s="137"/>
      <c r="P113" s="137"/>
      <c r="Q113" s="137"/>
      <c r="R113" s="137"/>
      <c r="S113" s="137" t="s">
        <v>874</v>
      </c>
      <c r="T113" s="167"/>
      <c r="U113" s="137" t="s">
        <v>875</v>
      </c>
      <c r="V113" s="137">
        <v>109</v>
      </c>
      <c r="W113" s="219" t="s">
        <v>667</v>
      </c>
      <c r="X113" s="209">
        <v>46024</v>
      </c>
      <c r="Y113" s="207">
        <v>46083</v>
      </c>
      <c r="Z113" s="137"/>
      <c r="AA113" s="137"/>
      <c r="AB113" s="207">
        <v>46056</v>
      </c>
      <c r="AC113" s="207">
        <v>46090</v>
      </c>
      <c r="AD113" s="207">
        <v>46099</v>
      </c>
      <c r="AE113" s="207">
        <v>46113</v>
      </c>
      <c r="AF113" s="207">
        <v>46113</v>
      </c>
      <c r="AG113" s="207">
        <v>46118</v>
      </c>
      <c r="AH113" s="207">
        <v>46119</v>
      </c>
      <c r="AI113" s="207">
        <v>46121</v>
      </c>
      <c r="AJ113" s="207">
        <v>46122</v>
      </c>
      <c r="AK113" s="207">
        <v>46136</v>
      </c>
      <c r="AL113" s="207">
        <f>AK113+1</f>
        <v>46137</v>
      </c>
      <c r="AM113" s="207">
        <f>AL113</f>
        <v>46137</v>
      </c>
    </row>
    <row r="114" spans="1:40" hidden="1">
      <c r="A114" s="137" t="s">
        <v>92</v>
      </c>
      <c r="B114" s="283" t="s">
        <v>4</v>
      </c>
      <c r="C114" s="296" t="s">
        <v>225</v>
      </c>
      <c r="D114" s="166" t="s">
        <v>195</v>
      </c>
      <c r="E114" s="137" t="s">
        <v>254</v>
      </c>
      <c r="F114" s="197" t="s">
        <v>255</v>
      </c>
      <c r="G114" s="196" t="s">
        <v>876</v>
      </c>
      <c r="H114" s="137" t="s">
        <v>256</v>
      </c>
      <c r="I114" s="183" t="s">
        <v>877</v>
      </c>
      <c r="J114" s="137" t="s">
        <v>257</v>
      </c>
      <c r="K114" s="137" t="s">
        <v>198</v>
      </c>
      <c r="L114" s="137"/>
      <c r="M114" s="137" t="s">
        <v>207</v>
      </c>
      <c r="N114" s="137" t="s">
        <v>258</v>
      </c>
      <c r="O114" s="137" t="s">
        <v>234</v>
      </c>
      <c r="P114" s="137"/>
      <c r="Q114" s="137"/>
      <c r="R114" s="137"/>
      <c r="S114" s="137" t="s">
        <v>878</v>
      </c>
      <c r="T114" s="137"/>
      <c r="U114" s="137" t="s">
        <v>801</v>
      </c>
      <c r="V114" s="137">
        <v>110</v>
      </c>
      <c r="W114" s="217" t="s">
        <v>667</v>
      </c>
      <c r="X114" s="207">
        <v>46024</v>
      </c>
      <c r="Y114" s="207">
        <v>46083</v>
      </c>
      <c r="Z114" s="207">
        <v>46093</v>
      </c>
      <c r="AA114" s="207">
        <v>46142</v>
      </c>
      <c r="AB114" s="207">
        <v>46146</v>
      </c>
      <c r="AC114" s="207">
        <v>46164</v>
      </c>
      <c r="AD114" s="207">
        <v>46167</v>
      </c>
      <c r="AE114" s="207">
        <v>46178</v>
      </c>
      <c r="AF114" s="207">
        <v>46178</v>
      </c>
      <c r="AG114" s="207">
        <v>46181</v>
      </c>
      <c r="AH114" s="207">
        <v>46182</v>
      </c>
      <c r="AI114" s="207">
        <v>46185</v>
      </c>
      <c r="AJ114" s="207">
        <v>46188</v>
      </c>
      <c r="AK114" s="207">
        <v>46199</v>
      </c>
      <c r="AL114" s="207">
        <v>46199</v>
      </c>
      <c r="AM114" s="207">
        <v>46202</v>
      </c>
      <c r="AN114" t="s">
        <v>768</v>
      </c>
    </row>
    <row r="115" spans="1:40" ht="30" hidden="1">
      <c r="A115" s="137" t="s">
        <v>4</v>
      </c>
      <c r="B115" s="283" t="s">
        <v>4</v>
      </c>
      <c r="C115" s="165" t="s">
        <v>225</v>
      </c>
      <c r="D115" s="166" t="s">
        <v>710</v>
      </c>
      <c r="E115" s="137" t="s">
        <v>527</v>
      </c>
      <c r="F115" s="199" t="s">
        <v>508</v>
      </c>
      <c r="G115" s="196" t="s">
        <v>879</v>
      </c>
      <c r="H115" s="137" t="s">
        <v>473</v>
      </c>
      <c r="I115" s="137"/>
      <c r="J115" s="137"/>
      <c r="K115" s="137" t="s">
        <v>340</v>
      </c>
      <c r="L115" s="137" t="s">
        <v>474</v>
      </c>
      <c r="M115" s="137" t="s">
        <v>74</v>
      </c>
      <c r="N115" s="137" t="s">
        <v>338</v>
      </c>
      <c r="O115" s="137"/>
      <c r="P115" s="137"/>
      <c r="Q115" s="137"/>
      <c r="R115" s="137"/>
      <c r="S115" s="137" t="s">
        <v>776</v>
      </c>
      <c r="T115" s="137" t="s">
        <v>713</v>
      </c>
      <c r="U115" s="137" t="s">
        <v>696</v>
      </c>
      <c r="V115" s="137">
        <v>111</v>
      </c>
      <c r="W115" s="217"/>
      <c r="X115" s="207">
        <v>46024</v>
      </c>
      <c r="Y115" s="207">
        <v>46083</v>
      </c>
      <c r="Z115" s="207">
        <v>46041</v>
      </c>
      <c r="AA115" s="207">
        <v>46045</v>
      </c>
      <c r="AB115" s="207">
        <v>46048</v>
      </c>
      <c r="AC115" s="207">
        <v>46052</v>
      </c>
      <c r="AD115" s="207">
        <v>46055</v>
      </c>
      <c r="AE115" s="207">
        <v>46066</v>
      </c>
      <c r="AF115" s="207">
        <v>46069</v>
      </c>
      <c r="AG115" s="207">
        <v>46073</v>
      </c>
      <c r="AH115" s="207">
        <v>46083</v>
      </c>
      <c r="AI115" s="207">
        <v>46101</v>
      </c>
      <c r="AJ115" s="207">
        <v>46104</v>
      </c>
      <c r="AK115" s="207">
        <v>46122</v>
      </c>
      <c r="AL115" s="207">
        <f>AK115+1</f>
        <v>46123</v>
      </c>
      <c r="AM115" s="207">
        <f>AL115</f>
        <v>46123</v>
      </c>
    </row>
    <row r="116" spans="1:40" ht="30" hidden="1">
      <c r="A116" s="137" t="s">
        <v>4</v>
      </c>
      <c r="B116" s="283" t="s">
        <v>4</v>
      </c>
      <c r="C116" s="165" t="s">
        <v>225</v>
      </c>
      <c r="D116" s="166" t="s">
        <v>710</v>
      </c>
      <c r="E116" s="137" t="s">
        <v>528</v>
      </c>
      <c r="F116" s="199" t="s">
        <v>508</v>
      </c>
      <c r="G116" s="196" t="s">
        <v>880</v>
      </c>
      <c r="H116" s="137" t="s">
        <v>473</v>
      </c>
      <c r="I116" s="137"/>
      <c r="J116" s="137"/>
      <c r="K116" s="137" t="s">
        <v>340</v>
      </c>
      <c r="L116" s="137" t="s">
        <v>474</v>
      </c>
      <c r="M116" s="137" t="s">
        <v>74</v>
      </c>
      <c r="N116" s="137" t="s">
        <v>338</v>
      </c>
      <c r="O116" s="137"/>
      <c r="P116" s="137"/>
      <c r="Q116" s="137"/>
      <c r="R116" s="137"/>
      <c r="S116" s="137" t="s">
        <v>776</v>
      </c>
      <c r="T116" s="137" t="s">
        <v>713</v>
      </c>
      <c r="U116" s="137" t="s">
        <v>696</v>
      </c>
      <c r="V116" s="137">
        <v>112</v>
      </c>
      <c r="W116" s="217"/>
      <c r="X116" s="207">
        <v>46024</v>
      </c>
      <c r="Y116" s="207">
        <v>46083</v>
      </c>
      <c r="Z116" s="207">
        <v>46041</v>
      </c>
      <c r="AA116" s="207">
        <v>46045</v>
      </c>
      <c r="AB116" s="207">
        <v>46048</v>
      </c>
      <c r="AC116" s="207">
        <v>46052</v>
      </c>
      <c r="AD116" s="207">
        <v>46055</v>
      </c>
      <c r="AE116" s="207">
        <v>46066</v>
      </c>
      <c r="AF116" s="207">
        <v>46069</v>
      </c>
      <c r="AG116" s="207">
        <v>46073</v>
      </c>
      <c r="AH116" s="207">
        <v>46083</v>
      </c>
      <c r="AI116" s="207">
        <v>46101</v>
      </c>
      <c r="AJ116" s="207">
        <v>46104</v>
      </c>
      <c r="AK116" s="207">
        <v>46122</v>
      </c>
      <c r="AL116" s="207">
        <f>AK116+1</f>
        <v>46123</v>
      </c>
      <c r="AM116" s="207">
        <f>AL116</f>
        <v>46123</v>
      </c>
    </row>
    <row r="117" spans="1:40" hidden="1">
      <c r="A117" s="137" t="s">
        <v>80</v>
      </c>
      <c r="B117" s="283" t="s">
        <v>68</v>
      </c>
      <c r="C117" s="165" t="s">
        <v>48</v>
      </c>
      <c r="D117" s="166" t="s">
        <v>195</v>
      </c>
      <c r="E117" s="271" t="s">
        <v>86</v>
      </c>
      <c r="F117" s="197" t="s">
        <v>87</v>
      </c>
      <c r="G117" s="196" t="s">
        <v>881</v>
      </c>
      <c r="H117" s="137" t="s">
        <v>88</v>
      </c>
      <c r="I117" s="137" t="s">
        <v>72</v>
      </c>
      <c r="J117" s="137" t="s">
        <v>89</v>
      </c>
      <c r="K117" s="137" t="s">
        <v>55</v>
      </c>
      <c r="L117" s="137" t="s">
        <v>73</v>
      </c>
      <c r="M117" s="137" t="s">
        <v>57</v>
      </c>
      <c r="N117" s="137" t="s">
        <v>58</v>
      </c>
      <c r="O117" s="137" t="s">
        <v>90</v>
      </c>
      <c r="P117" s="137" t="s">
        <v>91</v>
      </c>
      <c r="Q117" s="137"/>
      <c r="R117" s="137"/>
      <c r="S117" s="137" t="s">
        <v>882</v>
      </c>
      <c r="T117" s="167"/>
      <c r="U117" s="137" t="s">
        <v>791</v>
      </c>
      <c r="V117" s="137">
        <v>113</v>
      </c>
      <c r="W117" s="219" t="s">
        <v>667</v>
      </c>
      <c r="X117" s="207">
        <v>45659</v>
      </c>
      <c r="Y117" s="207">
        <v>46083</v>
      </c>
      <c r="Z117" s="207">
        <v>46041</v>
      </c>
      <c r="AA117" s="207">
        <v>46055</v>
      </c>
      <c r="AB117" s="207">
        <v>46056</v>
      </c>
      <c r="AC117" s="207">
        <v>46080</v>
      </c>
      <c r="AD117" s="207">
        <v>46099</v>
      </c>
      <c r="AE117" s="207">
        <v>46113</v>
      </c>
      <c r="AF117" s="207">
        <v>46113</v>
      </c>
      <c r="AG117" s="207">
        <v>46118</v>
      </c>
      <c r="AH117" s="207">
        <v>46119</v>
      </c>
      <c r="AI117" s="207">
        <v>46121</v>
      </c>
      <c r="AJ117" s="207">
        <v>46122</v>
      </c>
      <c r="AK117" s="207">
        <v>46136</v>
      </c>
      <c r="AL117" s="207">
        <f>AK117+1</f>
        <v>46137</v>
      </c>
      <c r="AM117" s="207">
        <f>AL117</f>
        <v>46137</v>
      </c>
    </row>
    <row r="118" spans="1:40" ht="30" hidden="1">
      <c r="A118" s="137" t="s">
        <v>4</v>
      </c>
      <c r="B118" s="283" t="s">
        <v>4</v>
      </c>
      <c r="C118" s="165" t="s">
        <v>225</v>
      </c>
      <c r="D118" s="166" t="s">
        <v>710</v>
      </c>
      <c r="E118" s="137" t="s">
        <v>529</v>
      </c>
      <c r="F118" s="199" t="s">
        <v>508</v>
      </c>
      <c r="G118" s="196" t="s">
        <v>883</v>
      </c>
      <c r="H118" s="137" t="s">
        <v>473</v>
      </c>
      <c r="I118" s="137"/>
      <c r="J118" s="137"/>
      <c r="K118" s="137" t="s">
        <v>340</v>
      </c>
      <c r="L118" s="137" t="s">
        <v>474</v>
      </c>
      <c r="M118" s="137" t="s">
        <v>74</v>
      </c>
      <c r="N118" s="137" t="s">
        <v>338</v>
      </c>
      <c r="O118" s="137"/>
      <c r="P118" s="137"/>
      <c r="Q118" s="137"/>
      <c r="R118" s="137"/>
      <c r="S118" s="137" t="s">
        <v>776</v>
      </c>
      <c r="T118" s="137" t="s">
        <v>713</v>
      </c>
      <c r="U118" s="137" t="s">
        <v>696</v>
      </c>
      <c r="V118" s="137">
        <v>114</v>
      </c>
      <c r="W118" s="217"/>
      <c r="X118" s="207">
        <v>46024</v>
      </c>
      <c r="Y118" s="207">
        <v>46083</v>
      </c>
      <c r="Z118" s="207">
        <v>46041</v>
      </c>
      <c r="AA118" s="207">
        <v>46045</v>
      </c>
      <c r="AB118" s="207">
        <v>46048</v>
      </c>
      <c r="AC118" s="207">
        <v>46052</v>
      </c>
      <c r="AD118" s="207">
        <v>46055</v>
      </c>
      <c r="AE118" s="207">
        <v>46066</v>
      </c>
      <c r="AF118" s="207">
        <v>46069</v>
      </c>
      <c r="AG118" s="207">
        <v>46073</v>
      </c>
      <c r="AH118" s="207">
        <v>46083</v>
      </c>
      <c r="AI118" s="207">
        <v>46101</v>
      </c>
      <c r="AJ118" s="207">
        <v>46104</v>
      </c>
      <c r="AK118" s="207">
        <v>46122</v>
      </c>
      <c r="AL118" s="207">
        <f>AK118+1</f>
        <v>46123</v>
      </c>
      <c r="AM118" s="207">
        <f>AL118</f>
        <v>46123</v>
      </c>
    </row>
    <row r="119" spans="1:40">
      <c r="A119" s="137" t="s">
        <v>92</v>
      </c>
      <c r="B119" s="283" t="s">
        <v>160</v>
      </c>
      <c r="C119" s="296" t="s">
        <v>816</v>
      </c>
      <c r="D119" s="166" t="s">
        <v>195</v>
      </c>
      <c r="E119" s="137" t="s">
        <v>252</v>
      </c>
      <c r="F119" s="199" t="s">
        <v>253</v>
      </c>
      <c r="G119" s="196" t="s">
        <v>884</v>
      </c>
      <c r="H119" s="137" t="s">
        <v>97</v>
      </c>
      <c r="I119" s="183" t="s">
        <v>818</v>
      </c>
      <c r="J119" s="137"/>
      <c r="K119" s="137" t="s">
        <v>198</v>
      </c>
      <c r="L119" s="137" t="s">
        <v>73</v>
      </c>
      <c r="M119" s="137" t="s">
        <v>207</v>
      </c>
      <c r="N119" s="137" t="s">
        <v>160</v>
      </c>
      <c r="O119" s="137"/>
      <c r="P119" s="137"/>
      <c r="Q119" s="137"/>
      <c r="R119" s="137"/>
      <c r="S119" s="137" t="s">
        <v>819</v>
      </c>
      <c r="T119" s="137"/>
      <c r="U119" s="137" t="s">
        <v>671</v>
      </c>
      <c r="V119" s="137">
        <v>115</v>
      </c>
      <c r="W119" s="217" t="s">
        <v>667</v>
      </c>
      <c r="X119" s="207">
        <v>45659</v>
      </c>
      <c r="Y119" s="207">
        <v>46083</v>
      </c>
      <c r="Z119" s="207">
        <v>46093</v>
      </c>
      <c r="AA119" s="207">
        <v>46142</v>
      </c>
      <c r="AB119" s="207">
        <v>46146</v>
      </c>
      <c r="AC119" s="207">
        <v>46164</v>
      </c>
      <c r="AD119" s="207">
        <v>46167</v>
      </c>
      <c r="AE119" s="207">
        <v>46178</v>
      </c>
      <c r="AF119" s="207">
        <v>46178</v>
      </c>
      <c r="AG119" s="207">
        <v>46181</v>
      </c>
      <c r="AH119" s="207">
        <v>46182</v>
      </c>
      <c r="AI119" s="207">
        <v>46185</v>
      </c>
      <c r="AJ119" s="207">
        <v>46188</v>
      </c>
      <c r="AK119" s="207">
        <v>46199</v>
      </c>
      <c r="AL119" s="207">
        <v>46199</v>
      </c>
      <c r="AM119" s="207">
        <v>46202</v>
      </c>
      <c r="AN119" t="s">
        <v>768</v>
      </c>
    </row>
    <row r="120" spans="1:40">
      <c r="A120" s="137" t="s">
        <v>92</v>
      </c>
      <c r="B120" s="283" t="s">
        <v>160</v>
      </c>
      <c r="C120" s="296" t="s">
        <v>816</v>
      </c>
      <c r="D120" s="166" t="s">
        <v>195</v>
      </c>
      <c r="E120" s="180" t="s">
        <v>249</v>
      </c>
      <c r="F120" s="203" t="s">
        <v>250</v>
      </c>
      <c r="G120" s="196" t="s">
        <v>885</v>
      </c>
      <c r="H120" s="137" t="s">
        <v>97</v>
      </c>
      <c r="I120" s="183" t="s">
        <v>818</v>
      </c>
      <c r="J120" s="137"/>
      <c r="K120" s="137" t="s">
        <v>198</v>
      </c>
      <c r="L120" s="137" t="s">
        <v>73</v>
      </c>
      <c r="M120" s="137" t="s">
        <v>207</v>
      </c>
      <c r="N120" s="137" t="s">
        <v>160</v>
      </c>
      <c r="O120" s="137"/>
      <c r="P120" s="137"/>
      <c r="Q120" s="137"/>
      <c r="R120" s="137"/>
      <c r="S120" s="137" t="s">
        <v>819</v>
      </c>
      <c r="T120" s="137"/>
      <c r="U120" s="137" t="s">
        <v>671</v>
      </c>
      <c r="V120" s="137">
        <v>116</v>
      </c>
      <c r="W120" s="217" t="s">
        <v>667</v>
      </c>
      <c r="X120" s="207">
        <v>45659</v>
      </c>
      <c r="Y120" s="207">
        <v>46083</v>
      </c>
      <c r="Z120" s="207">
        <v>46093</v>
      </c>
      <c r="AA120" s="207">
        <v>46142</v>
      </c>
      <c r="AB120" s="207">
        <v>46146</v>
      </c>
      <c r="AC120" s="207">
        <v>46164</v>
      </c>
      <c r="AD120" s="207">
        <v>46167</v>
      </c>
      <c r="AE120" s="207">
        <v>46178</v>
      </c>
      <c r="AF120" s="207">
        <v>46178</v>
      </c>
      <c r="AG120" s="207">
        <v>46181</v>
      </c>
      <c r="AH120" s="207">
        <v>46182</v>
      </c>
      <c r="AI120" s="207">
        <v>46185</v>
      </c>
      <c r="AJ120" s="207">
        <v>46188</v>
      </c>
      <c r="AK120" s="207">
        <v>46199</v>
      </c>
      <c r="AL120" s="207">
        <v>46199</v>
      </c>
      <c r="AM120" s="207">
        <v>46202</v>
      </c>
      <c r="AN120" t="s">
        <v>768</v>
      </c>
    </row>
    <row r="121" spans="1:40">
      <c r="A121" s="137" t="s">
        <v>92</v>
      </c>
      <c r="B121" s="283" t="s">
        <v>160</v>
      </c>
      <c r="C121" s="296" t="s">
        <v>816</v>
      </c>
      <c r="D121" s="166" t="s">
        <v>195</v>
      </c>
      <c r="E121" s="137" t="s">
        <v>247</v>
      </c>
      <c r="F121" s="199" t="s">
        <v>248</v>
      </c>
      <c r="G121" s="196" t="s">
        <v>886</v>
      </c>
      <c r="H121" s="137" t="s">
        <v>97</v>
      </c>
      <c r="I121" s="183" t="s">
        <v>818</v>
      </c>
      <c r="J121" s="137"/>
      <c r="K121" s="137" t="s">
        <v>198</v>
      </c>
      <c r="L121" s="137" t="s">
        <v>73</v>
      </c>
      <c r="M121" s="137" t="s">
        <v>207</v>
      </c>
      <c r="N121" s="137" t="s">
        <v>160</v>
      </c>
      <c r="O121" s="137"/>
      <c r="P121" s="137"/>
      <c r="Q121" s="137"/>
      <c r="R121" s="137"/>
      <c r="S121" s="137" t="s">
        <v>819</v>
      </c>
      <c r="T121" s="137"/>
      <c r="U121" s="137" t="s">
        <v>671</v>
      </c>
      <c r="V121" s="137">
        <v>117</v>
      </c>
      <c r="W121" s="217" t="s">
        <v>667</v>
      </c>
      <c r="X121" s="207">
        <v>45659</v>
      </c>
      <c r="Y121" s="207">
        <v>46083</v>
      </c>
      <c r="Z121" s="207">
        <v>46093</v>
      </c>
      <c r="AA121" s="207">
        <v>46142</v>
      </c>
      <c r="AB121" s="207">
        <v>46146</v>
      </c>
      <c r="AC121" s="207">
        <v>46164</v>
      </c>
      <c r="AD121" s="207">
        <v>46167</v>
      </c>
      <c r="AE121" s="207">
        <v>46178</v>
      </c>
      <c r="AF121" s="207">
        <v>46178</v>
      </c>
      <c r="AG121" s="207">
        <v>46181</v>
      </c>
      <c r="AH121" s="207">
        <v>46182</v>
      </c>
      <c r="AI121" s="207">
        <v>46185</v>
      </c>
      <c r="AJ121" s="207">
        <v>46188</v>
      </c>
      <c r="AK121" s="207">
        <v>46199</v>
      </c>
      <c r="AL121" s="207">
        <v>46199</v>
      </c>
      <c r="AM121" s="207">
        <v>46202</v>
      </c>
      <c r="AN121" t="s">
        <v>768</v>
      </c>
    </row>
    <row r="122" spans="1:40" hidden="1">
      <c r="A122" s="137" t="s">
        <v>4</v>
      </c>
      <c r="B122" s="283" t="s">
        <v>4</v>
      </c>
      <c r="C122" s="165" t="s">
        <v>225</v>
      </c>
      <c r="D122" s="166" t="s">
        <v>710</v>
      </c>
      <c r="E122" s="137" t="s">
        <v>530</v>
      </c>
      <c r="F122" s="199" t="s">
        <v>531</v>
      </c>
      <c r="G122" s="196" t="s">
        <v>887</v>
      </c>
      <c r="H122" s="137" t="s">
        <v>219</v>
      </c>
      <c r="I122" s="137" t="s">
        <v>83</v>
      </c>
      <c r="J122" s="137" t="s">
        <v>532</v>
      </c>
      <c r="K122" s="137" t="s">
        <v>339</v>
      </c>
      <c r="L122" s="137"/>
      <c r="M122" s="137" t="s">
        <v>57</v>
      </c>
      <c r="N122" s="137" t="s">
        <v>4</v>
      </c>
      <c r="O122" s="137" t="s">
        <v>230</v>
      </c>
      <c r="P122" s="137" t="s">
        <v>533</v>
      </c>
      <c r="Q122" s="137"/>
      <c r="R122" s="137"/>
      <c r="S122" s="137" t="s">
        <v>776</v>
      </c>
      <c r="T122" s="137" t="s">
        <v>713</v>
      </c>
      <c r="U122" s="137" t="s">
        <v>714</v>
      </c>
      <c r="V122" s="137">
        <v>118</v>
      </c>
      <c r="W122" s="217"/>
      <c r="X122" s="207">
        <v>46024</v>
      </c>
      <c r="Y122" s="207">
        <v>46083</v>
      </c>
      <c r="Z122" s="207">
        <v>46041</v>
      </c>
      <c r="AA122" s="207">
        <v>46045</v>
      </c>
      <c r="AB122" s="207">
        <v>46048</v>
      </c>
      <c r="AC122" s="207">
        <v>46052</v>
      </c>
      <c r="AD122" s="207">
        <v>46055</v>
      </c>
      <c r="AE122" s="207">
        <v>46066</v>
      </c>
      <c r="AF122" s="207">
        <v>46069</v>
      </c>
      <c r="AG122" s="207">
        <v>46073</v>
      </c>
      <c r="AH122" s="207">
        <v>46076</v>
      </c>
      <c r="AI122" s="207">
        <v>46101</v>
      </c>
      <c r="AJ122" s="207">
        <v>46104</v>
      </c>
      <c r="AK122" s="207">
        <v>46129</v>
      </c>
      <c r="AL122" s="207">
        <f t="shared" ref="AL122:AL127" si="9">AK122+1</f>
        <v>46130</v>
      </c>
      <c r="AM122" s="207">
        <f t="shared" ref="AM122:AM136" si="10">AL122</f>
        <v>46130</v>
      </c>
    </row>
    <row r="123" spans="1:40" hidden="1">
      <c r="A123" s="137" t="s">
        <v>67</v>
      </c>
      <c r="B123" s="283" t="s">
        <v>133</v>
      </c>
      <c r="C123" s="165" t="s">
        <v>134</v>
      </c>
      <c r="D123" s="166" t="s">
        <v>710</v>
      </c>
      <c r="E123" s="137" t="s">
        <v>534</v>
      </c>
      <c r="F123" s="199" t="s">
        <v>417</v>
      </c>
      <c r="G123" s="196" t="s">
        <v>888</v>
      </c>
      <c r="H123" s="137" t="s">
        <v>437</v>
      </c>
      <c r="I123" s="137" t="s">
        <v>54</v>
      </c>
      <c r="J123" s="137"/>
      <c r="K123" s="137" t="s">
        <v>339</v>
      </c>
      <c r="L123" s="137"/>
      <c r="M123" s="137" t="s">
        <v>57</v>
      </c>
      <c r="N123" s="137" t="s">
        <v>133</v>
      </c>
      <c r="O123" s="137"/>
      <c r="P123" s="137"/>
      <c r="Q123" s="137"/>
      <c r="R123" s="137"/>
      <c r="S123" s="137" t="s">
        <v>712</v>
      </c>
      <c r="T123" s="137" t="s">
        <v>713</v>
      </c>
      <c r="U123" s="137" t="s">
        <v>714</v>
      </c>
      <c r="V123" s="137">
        <v>119</v>
      </c>
      <c r="W123" s="217"/>
      <c r="X123" s="207">
        <v>45659</v>
      </c>
      <c r="Y123" s="207">
        <v>46083</v>
      </c>
      <c r="Z123" s="207">
        <v>46034</v>
      </c>
      <c r="AA123" s="207">
        <v>46038</v>
      </c>
      <c r="AB123" s="207">
        <v>46041</v>
      </c>
      <c r="AC123" s="207">
        <v>46045</v>
      </c>
      <c r="AD123" s="207">
        <v>46048</v>
      </c>
      <c r="AE123" s="207">
        <v>46052</v>
      </c>
      <c r="AF123" s="207">
        <v>46055</v>
      </c>
      <c r="AG123" s="207">
        <v>46062</v>
      </c>
      <c r="AH123" s="207">
        <v>46076</v>
      </c>
      <c r="AI123" s="207">
        <v>46101</v>
      </c>
      <c r="AJ123" s="207">
        <v>46104</v>
      </c>
      <c r="AK123" s="207">
        <v>46129</v>
      </c>
      <c r="AL123" s="207">
        <f t="shared" si="9"/>
        <v>46130</v>
      </c>
      <c r="AM123" s="207">
        <f t="shared" si="10"/>
        <v>46130</v>
      </c>
    </row>
    <row r="124" spans="1:40" hidden="1">
      <c r="A124" s="137" t="s">
        <v>719</v>
      </c>
      <c r="B124" s="283" t="s">
        <v>16</v>
      </c>
      <c r="C124" s="165" t="s">
        <v>123</v>
      </c>
      <c r="D124" s="166" t="s">
        <v>324</v>
      </c>
      <c r="E124" s="137" t="s">
        <v>243</v>
      </c>
      <c r="F124" s="199" t="s">
        <v>244</v>
      </c>
      <c r="G124" s="196" t="s">
        <v>889</v>
      </c>
      <c r="H124" s="137" t="s">
        <v>246</v>
      </c>
      <c r="I124" s="137" t="s">
        <v>83</v>
      </c>
      <c r="J124" s="137"/>
      <c r="K124" s="137" t="s">
        <v>198</v>
      </c>
      <c r="L124" s="137"/>
      <c r="M124" s="137" t="s">
        <v>57</v>
      </c>
      <c r="N124" s="137" t="s">
        <v>16</v>
      </c>
      <c r="O124" s="137"/>
      <c r="P124" s="137"/>
      <c r="Q124" s="137"/>
      <c r="R124" s="137"/>
      <c r="S124" s="137" t="s">
        <v>890</v>
      </c>
      <c r="T124" s="167"/>
      <c r="U124" s="167" t="s">
        <v>767</v>
      </c>
      <c r="V124" s="137">
        <v>120</v>
      </c>
      <c r="W124" s="217"/>
      <c r="X124" s="207">
        <v>46024</v>
      </c>
      <c r="Y124" s="207">
        <v>46038</v>
      </c>
      <c r="Z124" s="207">
        <v>46056</v>
      </c>
      <c r="AA124" s="207">
        <v>46073</v>
      </c>
      <c r="AB124" s="207">
        <v>46076</v>
      </c>
      <c r="AC124" s="207">
        <v>46094</v>
      </c>
      <c r="AD124" s="207">
        <v>46097</v>
      </c>
      <c r="AE124" s="207">
        <v>46108</v>
      </c>
      <c r="AF124" s="207">
        <v>46107</v>
      </c>
      <c r="AG124" s="207">
        <v>46108</v>
      </c>
      <c r="AH124" s="207">
        <v>46111</v>
      </c>
      <c r="AI124" s="207">
        <v>46129</v>
      </c>
      <c r="AJ124" s="207">
        <v>46132</v>
      </c>
      <c r="AK124" s="207">
        <v>46150</v>
      </c>
      <c r="AL124" s="207">
        <f t="shared" si="9"/>
        <v>46151</v>
      </c>
      <c r="AM124" s="207">
        <f t="shared" si="10"/>
        <v>46151</v>
      </c>
    </row>
    <row r="125" spans="1:40" hidden="1">
      <c r="A125" s="137" t="s">
        <v>80</v>
      </c>
      <c r="B125" s="283" t="s">
        <v>68</v>
      </c>
      <c r="C125" s="165" t="s">
        <v>48</v>
      </c>
      <c r="D125" s="166" t="s">
        <v>324</v>
      </c>
      <c r="E125" s="137" t="s">
        <v>81</v>
      </c>
      <c r="F125" s="197" t="s">
        <v>82</v>
      </c>
      <c r="G125" s="196" t="s">
        <v>891</v>
      </c>
      <c r="H125" s="137" t="s">
        <v>53</v>
      </c>
      <c r="I125" s="137" t="s">
        <v>72</v>
      </c>
      <c r="J125" s="137" t="s">
        <v>892</v>
      </c>
      <c r="K125" s="137" t="s">
        <v>55</v>
      </c>
      <c r="L125" s="137" t="s">
        <v>73</v>
      </c>
      <c r="M125" s="137" t="s">
        <v>57</v>
      </c>
      <c r="N125" s="137" t="s">
        <v>75</v>
      </c>
      <c r="O125" s="137" t="s">
        <v>85</v>
      </c>
      <c r="P125" s="137"/>
      <c r="Q125" s="137"/>
      <c r="R125" s="137"/>
      <c r="S125" s="137" t="s">
        <v>893</v>
      </c>
      <c r="T125" s="167"/>
      <c r="U125" s="137" t="s">
        <v>791</v>
      </c>
      <c r="V125" s="137">
        <v>121</v>
      </c>
      <c r="W125" s="219" t="s">
        <v>667</v>
      </c>
      <c r="X125" s="207">
        <v>45659</v>
      </c>
      <c r="Y125" s="207">
        <v>46083</v>
      </c>
      <c r="Z125" s="207">
        <v>46041</v>
      </c>
      <c r="AA125" s="207">
        <v>46055</v>
      </c>
      <c r="AB125" s="207">
        <v>46056</v>
      </c>
      <c r="AC125" s="207">
        <v>46080</v>
      </c>
      <c r="AD125" s="207">
        <v>46099</v>
      </c>
      <c r="AE125" s="207">
        <v>46113</v>
      </c>
      <c r="AF125" s="207">
        <v>46113</v>
      </c>
      <c r="AG125" s="207">
        <v>46118</v>
      </c>
      <c r="AH125" s="207">
        <v>46119</v>
      </c>
      <c r="AI125" s="207">
        <v>46121</v>
      </c>
      <c r="AJ125" s="207">
        <v>46122</v>
      </c>
      <c r="AK125" s="207">
        <v>46136</v>
      </c>
      <c r="AL125" s="207">
        <f t="shared" si="9"/>
        <v>46137</v>
      </c>
      <c r="AM125" s="207">
        <f t="shared" si="10"/>
        <v>46137</v>
      </c>
    </row>
    <row r="126" spans="1:40" hidden="1">
      <c r="A126" s="137" t="s">
        <v>719</v>
      </c>
      <c r="B126" s="283" t="s">
        <v>16</v>
      </c>
      <c r="C126" s="165" t="s">
        <v>123</v>
      </c>
      <c r="D126" s="166" t="s">
        <v>710</v>
      </c>
      <c r="E126" s="137" t="s">
        <v>535</v>
      </c>
      <c r="F126" s="199" t="s">
        <v>536</v>
      </c>
      <c r="G126" s="196" t="s">
        <v>894</v>
      </c>
      <c r="H126" s="137" t="s">
        <v>246</v>
      </c>
      <c r="I126" s="137" t="s">
        <v>54</v>
      </c>
      <c r="J126" s="137" t="s">
        <v>84</v>
      </c>
      <c r="K126" s="137" t="s">
        <v>339</v>
      </c>
      <c r="L126" s="137"/>
      <c r="M126" s="137" t="s">
        <v>57</v>
      </c>
      <c r="N126" s="137" t="s">
        <v>16</v>
      </c>
      <c r="O126" s="137" t="s">
        <v>537</v>
      </c>
      <c r="P126" s="137"/>
      <c r="Q126" s="137"/>
      <c r="R126" s="137"/>
      <c r="S126" s="137" t="s">
        <v>721</v>
      </c>
      <c r="T126" s="137" t="s">
        <v>713</v>
      </c>
      <c r="U126" s="137" t="s">
        <v>714</v>
      </c>
      <c r="V126" s="137">
        <v>122</v>
      </c>
      <c r="W126" s="217"/>
      <c r="X126" s="207">
        <v>46024</v>
      </c>
      <c r="Y126" s="207">
        <v>46038</v>
      </c>
      <c r="Z126" s="207">
        <v>46041</v>
      </c>
      <c r="AA126" s="207">
        <v>46052</v>
      </c>
      <c r="AB126" s="207">
        <v>46056</v>
      </c>
      <c r="AC126" s="207">
        <v>46069</v>
      </c>
      <c r="AD126" s="207">
        <v>46070</v>
      </c>
      <c r="AE126" s="207">
        <v>46072</v>
      </c>
      <c r="AF126" s="207">
        <v>46073</v>
      </c>
      <c r="AG126" s="207">
        <v>46073</v>
      </c>
      <c r="AH126" s="207">
        <v>46076</v>
      </c>
      <c r="AI126" s="207">
        <v>46101</v>
      </c>
      <c r="AJ126" s="207">
        <v>46104</v>
      </c>
      <c r="AK126" s="207">
        <v>46129</v>
      </c>
      <c r="AL126" s="207">
        <f t="shared" si="9"/>
        <v>46130</v>
      </c>
      <c r="AM126" s="207">
        <f t="shared" si="10"/>
        <v>46130</v>
      </c>
    </row>
    <row r="127" spans="1:40" hidden="1">
      <c r="A127" s="137" t="s">
        <v>67</v>
      </c>
      <c r="B127" s="283" t="s">
        <v>133</v>
      </c>
      <c r="C127" s="165" t="s">
        <v>134</v>
      </c>
      <c r="D127" s="166" t="s">
        <v>710</v>
      </c>
      <c r="E127" s="137" t="s">
        <v>538</v>
      </c>
      <c r="F127" s="199" t="s">
        <v>417</v>
      </c>
      <c r="G127" s="196" t="s">
        <v>895</v>
      </c>
      <c r="H127" s="137" t="s">
        <v>437</v>
      </c>
      <c r="I127" s="137" t="s">
        <v>54</v>
      </c>
      <c r="J127" s="137"/>
      <c r="K127" s="137" t="s">
        <v>339</v>
      </c>
      <c r="L127" s="137"/>
      <c r="M127" s="137" t="s">
        <v>57</v>
      </c>
      <c r="N127" s="137" t="s">
        <v>133</v>
      </c>
      <c r="O127" s="137"/>
      <c r="P127" s="137"/>
      <c r="Q127" s="137"/>
      <c r="R127" s="137"/>
      <c r="S127" s="137" t="s">
        <v>712</v>
      </c>
      <c r="T127" s="137" t="s">
        <v>713</v>
      </c>
      <c r="U127" s="137" t="s">
        <v>714</v>
      </c>
      <c r="V127" s="137">
        <v>123</v>
      </c>
      <c r="W127" s="217"/>
      <c r="X127" s="207">
        <v>45659</v>
      </c>
      <c r="Y127" s="207">
        <v>46083</v>
      </c>
      <c r="Z127" s="207">
        <v>46034</v>
      </c>
      <c r="AA127" s="207">
        <v>46038</v>
      </c>
      <c r="AB127" s="207">
        <v>46041</v>
      </c>
      <c r="AC127" s="207">
        <v>46045</v>
      </c>
      <c r="AD127" s="207">
        <v>46048</v>
      </c>
      <c r="AE127" s="207">
        <v>46052</v>
      </c>
      <c r="AF127" s="207">
        <v>46055</v>
      </c>
      <c r="AG127" s="207">
        <v>46062</v>
      </c>
      <c r="AH127" s="207">
        <v>46076</v>
      </c>
      <c r="AI127" s="207">
        <v>46101</v>
      </c>
      <c r="AJ127" s="207">
        <v>46104</v>
      </c>
      <c r="AK127" s="207">
        <v>46129</v>
      </c>
      <c r="AL127" s="207">
        <f t="shared" si="9"/>
        <v>46130</v>
      </c>
      <c r="AM127" s="207">
        <f t="shared" si="10"/>
        <v>46130</v>
      </c>
    </row>
    <row r="128" spans="1:40" hidden="1">
      <c r="A128" s="172" t="s">
        <v>67</v>
      </c>
      <c r="B128" s="286" t="s">
        <v>133</v>
      </c>
      <c r="C128" s="173" t="s">
        <v>134</v>
      </c>
      <c r="D128" s="166" t="s">
        <v>656</v>
      </c>
      <c r="E128" s="172" t="s">
        <v>539</v>
      </c>
      <c r="F128" s="200" t="s">
        <v>417</v>
      </c>
      <c r="G128" s="206" t="s">
        <v>896</v>
      </c>
      <c r="H128" s="172" t="s">
        <v>102</v>
      </c>
      <c r="I128" s="172"/>
      <c r="J128" s="172"/>
      <c r="K128" s="172" t="s">
        <v>347</v>
      </c>
      <c r="L128" s="172" t="s">
        <v>102</v>
      </c>
      <c r="M128" s="172" t="s">
        <v>102</v>
      </c>
      <c r="N128" s="172" t="e">
        <f>#REF!</f>
        <v>#REF!</v>
      </c>
      <c r="O128" s="172"/>
      <c r="P128" s="172"/>
      <c r="Q128" s="172" t="s">
        <v>462</v>
      </c>
      <c r="R128" s="172"/>
      <c r="S128" s="137" t="s">
        <v>695</v>
      </c>
      <c r="T128" s="137"/>
      <c r="U128" s="137" t="s">
        <v>696</v>
      </c>
      <c r="V128" s="137">
        <v>124</v>
      </c>
      <c r="W128" s="217" t="s">
        <v>44</v>
      </c>
      <c r="X128" s="207">
        <v>45659</v>
      </c>
      <c r="Y128" s="207">
        <v>46083</v>
      </c>
      <c r="Z128" s="207">
        <v>46108</v>
      </c>
      <c r="AA128" s="207">
        <v>46108</v>
      </c>
      <c r="AB128" s="207">
        <v>46108</v>
      </c>
      <c r="AC128" s="207">
        <v>46108</v>
      </c>
      <c r="AD128" s="207">
        <v>46108</v>
      </c>
      <c r="AE128" s="207">
        <v>46108</v>
      </c>
      <c r="AF128" s="207">
        <v>46108</v>
      </c>
      <c r="AG128" s="207">
        <v>46108</v>
      </c>
      <c r="AH128" s="207">
        <v>46108</v>
      </c>
      <c r="AI128" s="207">
        <v>46108</v>
      </c>
      <c r="AJ128" s="207">
        <v>46108</v>
      </c>
      <c r="AK128" s="207">
        <v>46108</v>
      </c>
      <c r="AL128" s="207">
        <f>AK128</f>
        <v>46108</v>
      </c>
      <c r="AM128" s="207">
        <f t="shared" si="10"/>
        <v>46108</v>
      </c>
    </row>
    <row r="129" spans="1:39" hidden="1">
      <c r="A129" s="172" t="s">
        <v>67</v>
      </c>
      <c r="B129" s="286" t="s">
        <v>133</v>
      </c>
      <c r="C129" s="173" t="s">
        <v>134</v>
      </c>
      <c r="D129" s="166" t="s">
        <v>656</v>
      </c>
      <c r="E129" s="172" t="s">
        <v>540</v>
      </c>
      <c r="F129" s="200" t="s">
        <v>417</v>
      </c>
      <c r="G129" s="206" t="s">
        <v>897</v>
      </c>
      <c r="H129" s="172" t="s">
        <v>102</v>
      </c>
      <c r="I129" s="172"/>
      <c r="J129" s="172"/>
      <c r="K129" s="172" t="s">
        <v>347</v>
      </c>
      <c r="L129" s="172" t="s">
        <v>102</v>
      </c>
      <c r="M129" s="172" t="s">
        <v>102</v>
      </c>
      <c r="N129" s="172" t="e">
        <f>#REF!</f>
        <v>#REF!</v>
      </c>
      <c r="O129" s="172"/>
      <c r="P129" s="172"/>
      <c r="Q129" s="172" t="s">
        <v>462</v>
      </c>
      <c r="R129" s="172"/>
      <c r="S129" s="137" t="s">
        <v>695</v>
      </c>
      <c r="T129" s="137"/>
      <c r="U129" s="137" t="s">
        <v>696</v>
      </c>
      <c r="V129" s="137">
        <v>125</v>
      </c>
      <c r="W129" s="217" t="s">
        <v>44</v>
      </c>
      <c r="X129" s="207">
        <v>45659</v>
      </c>
      <c r="Y129" s="207">
        <v>46083</v>
      </c>
      <c r="Z129" s="207">
        <v>46108</v>
      </c>
      <c r="AA129" s="207">
        <v>46108</v>
      </c>
      <c r="AB129" s="207">
        <v>46108</v>
      </c>
      <c r="AC129" s="207">
        <v>46108</v>
      </c>
      <c r="AD129" s="207">
        <v>46108</v>
      </c>
      <c r="AE129" s="207">
        <v>46108</v>
      </c>
      <c r="AF129" s="207">
        <v>46108</v>
      </c>
      <c r="AG129" s="207">
        <v>46108</v>
      </c>
      <c r="AH129" s="207">
        <v>46108</v>
      </c>
      <c r="AI129" s="207">
        <v>46108</v>
      </c>
      <c r="AJ129" s="207">
        <v>46108</v>
      </c>
      <c r="AK129" s="207">
        <v>46108</v>
      </c>
      <c r="AL129" s="207">
        <f>AK129</f>
        <v>46108</v>
      </c>
      <c r="AM129" s="207">
        <f t="shared" si="10"/>
        <v>46108</v>
      </c>
    </row>
    <row r="130" spans="1:39" hidden="1">
      <c r="A130" s="137" t="s">
        <v>46</v>
      </c>
      <c r="B130" s="289" t="s">
        <v>61</v>
      </c>
      <c r="C130" s="165" t="s">
        <v>48</v>
      </c>
      <c r="D130" s="166" t="s">
        <v>324</v>
      </c>
      <c r="E130" s="254" t="s">
        <v>78</v>
      </c>
      <c r="F130" s="197" t="s">
        <v>66</v>
      </c>
      <c r="G130" s="196" t="s">
        <v>898</v>
      </c>
      <c r="H130" s="137" t="s">
        <v>64</v>
      </c>
      <c r="I130" s="137" t="s">
        <v>54</v>
      </c>
      <c r="J130" s="137" t="s">
        <v>79</v>
      </c>
      <c r="K130" s="137" t="s">
        <v>55</v>
      </c>
      <c r="L130" s="137"/>
      <c r="M130" s="137" t="s">
        <v>57</v>
      </c>
      <c r="N130" s="137" t="s">
        <v>4</v>
      </c>
      <c r="O130" s="137"/>
      <c r="P130" s="137"/>
      <c r="Q130" s="137"/>
      <c r="R130" s="137"/>
      <c r="S130" s="137" t="s">
        <v>899</v>
      </c>
      <c r="T130" s="167"/>
      <c r="U130" s="137" t="s">
        <v>798</v>
      </c>
      <c r="V130" s="137">
        <v>126</v>
      </c>
      <c r="W130" s="219" t="s">
        <v>667</v>
      </c>
      <c r="X130" s="207">
        <v>45659</v>
      </c>
      <c r="Y130" s="207">
        <v>46038</v>
      </c>
      <c r="Z130" s="207">
        <v>46041</v>
      </c>
      <c r="AA130" s="207">
        <v>46059</v>
      </c>
      <c r="AB130" s="207">
        <v>46062</v>
      </c>
      <c r="AC130" s="207">
        <v>46080</v>
      </c>
      <c r="AD130" s="207">
        <v>46099</v>
      </c>
      <c r="AE130" s="207">
        <v>46113</v>
      </c>
      <c r="AF130" s="207">
        <v>46113</v>
      </c>
      <c r="AG130" s="207">
        <v>46118</v>
      </c>
      <c r="AH130" s="207">
        <v>46119</v>
      </c>
      <c r="AI130" s="207">
        <v>46121</v>
      </c>
      <c r="AJ130" s="207">
        <v>46122</v>
      </c>
      <c r="AK130" s="207">
        <v>46136</v>
      </c>
      <c r="AL130" s="207">
        <f>AK130+1</f>
        <v>46137</v>
      </c>
      <c r="AM130" s="207">
        <f t="shared" si="10"/>
        <v>46137</v>
      </c>
    </row>
    <row r="131" spans="1:39" hidden="1">
      <c r="A131" s="137" t="s">
        <v>46</v>
      </c>
      <c r="B131" s="289" t="s">
        <v>61</v>
      </c>
      <c r="C131" s="165" t="s">
        <v>48</v>
      </c>
      <c r="D131" s="166" t="s">
        <v>324</v>
      </c>
      <c r="E131" s="254" t="s">
        <v>76</v>
      </c>
      <c r="F131" s="197" t="s">
        <v>66</v>
      </c>
      <c r="G131" s="196" t="s">
        <v>900</v>
      </c>
      <c r="H131" s="137" t="s">
        <v>64</v>
      </c>
      <c r="I131" s="137" t="s">
        <v>54</v>
      </c>
      <c r="J131" s="137" t="s">
        <v>77</v>
      </c>
      <c r="K131" s="137" t="s">
        <v>55</v>
      </c>
      <c r="L131" s="137"/>
      <c r="M131" s="137" t="s">
        <v>57</v>
      </c>
      <c r="N131" s="137" t="s">
        <v>4</v>
      </c>
      <c r="O131" s="137"/>
      <c r="P131" s="137"/>
      <c r="Q131" s="137"/>
      <c r="R131" s="137"/>
      <c r="S131" s="137" t="s">
        <v>901</v>
      </c>
      <c r="T131" s="167"/>
      <c r="U131" s="137" t="s">
        <v>798</v>
      </c>
      <c r="V131" s="137">
        <v>127</v>
      </c>
      <c r="W131" s="219" t="s">
        <v>667</v>
      </c>
      <c r="X131" s="207">
        <v>45659</v>
      </c>
      <c r="Y131" s="207">
        <v>46038</v>
      </c>
      <c r="Z131" s="207">
        <v>46041</v>
      </c>
      <c r="AA131" s="207">
        <v>46059</v>
      </c>
      <c r="AB131" s="207">
        <v>46062</v>
      </c>
      <c r="AC131" s="207">
        <v>46080</v>
      </c>
      <c r="AD131" s="207">
        <v>46099</v>
      </c>
      <c r="AE131" s="207">
        <v>46113</v>
      </c>
      <c r="AF131" s="207">
        <v>46113</v>
      </c>
      <c r="AG131" s="207">
        <v>46118</v>
      </c>
      <c r="AH131" s="207">
        <v>46119</v>
      </c>
      <c r="AI131" s="207">
        <v>46121</v>
      </c>
      <c r="AJ131" s="207">
        <v>46122</v>
      </c>
      <c r="AK131" s="207">
        <v>46136</v>
      </c>
      <c r="AL131" s="207">
        <f>AK131+1</f>
        <v>46137</v>
      </c>
      <c r="AM131" s="207">
        <f t="shared" si="10"/>
        <v>46137</v>
      </c>
    </row>
    <row r="132" spans="1:39" hidden="1">
      <c r="A132" s="137" t="s">
        <v>46</v>
      </c>
      <c r="B132" s="289" t="s">
        <v>61</v>
      </c>
      <c r="C132" s="165" t="s">
        <v>48</v>
      </c>
      <c r="D132" s="166" t="s">
        <v>324</v>
      </c>
      <c r="E132" s="254" t="s">
        <v>65</v>
      </c>
      <c r="F132" s="197" t="s">
        <v>66</v>
      </c>
      <c r="G132" s="196" t="s">
        <v>902</v>
      </c>
      <c r="H132" s="137" t="s">
        <v>64</v>
      </c>
      <c r="I132" s="137" t="s">
        <v>54</v>
      </c>
      <c r="J132" s="137"/>
      <c r="K132" s="137" t="s">
        <v>55</v>
      </c>
      <c r="L132" s="137"/>
      <c r="M132" s="137" t="s">
        <v>57</v>
      </c>
      <c r="N132" s="137" t="s">
        <v>58</v>
      </c>
      <c r="O132" s="137"/>
      <c r="P132" s="137"/>
      <c r="Q132" s="137"/>
      <c r="R132" s="137"/>
      <c r="S132" s="252" t="s">
        <v>903</v>
      </c>
      <c r="T132" s="167"/>
      <c r="U132" s="137" t="s">
        <v>718</v>
      </c>
      <c r="V132" s="137">
        <v>128</v>
      </c>
      <c r="W132" s="219" t="s">
        <v>667</v>
      </c>
      <c r="X132" s="207">
        <v>45659</v>
      </c>
      <c r="Y132" s="207">
        <v>46038</v>
      </c>
      <c r="Z132" s="207">
        <v>46041</v>
      </c>
      <c r="AA132" s="207">
        <v>46059</v>
      </c>
      <c r="AB132" s="207">
        <v>46056</v>
      </c>
      <c r="AC132" s="207">
        <v>46080</v>
      </c>
      <c r="AD132" s="207">
        <v>46099</v>
      </c>
      <c r="AE132" s="207">
        <v>46113</v>
      </c>
      <c r="AF132" s="207">
        <v>46113</v>
      </c>
      <c r="AG132" s="207">
        <v>46118</v>
      </c>
      <c r="AH132" s="207">
        <v>46119</v>
      </c>
      <c r="AI132" s="207">
        <v>46121</v>
      </c>
      <c r="AJ132" s="207">
        <v>46122</v>
      </c>
      <c r="AK132" s="207">
        <v>46136</v>
      </c>
      <c r="AL132" s="207">
        <f>AK132+1</f>
        <v>46137</v>
      </c>
      <c r="AM132" s="207">
        <f t="shared" si="10"/>
        <v>46137</v>
      </c>
    </row>
    <row r="133" spans="1:39" hidden="1">
      <c r="A133" s="172" t="s">
        <v>67</v>
      </c>
      <c r="B133" s="286" t="s">
        <v>133</v>
      </c>
      <c r="C133" s="173" t="s">
        <v>134</v>
      </c>
      <c r="D133" s="166" t="s">
        <v>656</v>
      </c>
      <c r="E133" s="172" t="s">
        <v>541</v>
      </c>
      <c r="F133" s="200" t="s">
        <v>417</v>
      </c>
      <c r="G133" s="206" t="s">
        <v>904</v>
      </c>
      <c r="H133" s="172" t="s">
        <v>102</v>
      </c>
      <c r="I133" s="172"/>
      <c r="J133" s="172"/>
      <c r="K133" s="172" t="s">
        <v>347</v>
      </c>
      <c r="L133" s="172" t="s">
        <v>102</v>
      </c>
      <c r="M133" s="172" t="s">
        <v>102</v>
      </c>
      <c r="N133" s="172" t="e">
        <f>#REF!</f>
        <v>#REF!</v>
      </c>
      <c r="O133" s="172"/>
      <c r="P133" s="172"/>
      <c r="Q133" s="172" t="s">
        <v>462</v>
      </c>
      <c r="R133" s="172"/>
      <c r="S133" s="137" t="s">
        <v>695</v>
      </c>
      <c r="T133" s="137"/>
      <c r="U133" s="137" t="s">
        <v>696</v>
      </c>
      <c r="V133" s="137">
        <v>129</v>
      </c>
      <c r="W133" s="217" t="s">
        <v>44</v>
      </c>
      <c r="X133" s="207">
        <v>45659</v>
      </c>
      <c r="Y133" s="207">
        <v>46083</v>
      </c>
      <c r="Z133" s="207">
        <v>46108</v>
      </c>
      <c r="AA133" s="207">
        <v>46108</v>
      </c>
      <c r="AB133" s="207">
        <v>46108</v>
      </c>
      <c r="AC133" s="207">
        <v>46108</v>
      </c>
      <c r="AD133" s="207">
        <v>46108</v>
      </c>
      <c r="AE133" s="207">
        <v>46108</v>
      </c>
      <c r="AF133" s="207">
        <v>46108</v>
      </c>
      <c r="AG133" s="207">
        <v>46108</v>
      </c>
      <c r="AH133" s="207">
        <v>46108</v>
      </c>
      <c r="AI133" s="207">
        <v>46108</v>
      </c>
      <c r="AJ133" s="207">
        <v>46108</v>
      </c>
      <c r="AK133" s="207">
        <v>46108</v>
      </c>
      <c r="AL133" s="207">
        <f>AK133</f>
        <v>46108</v>
      </c>
      <c r="AM133" s="207">
        <f t="shared" si="10"/>
        <v>46108</v>
      </c>
    </row>
    <row r="134" spans="1:39" hidden="1">
      <c r="A134" s="172" t="s">
        <v>80</v>
      </c>
      <c r="B134" s="286" t="s">
        <v>68</v>
      </c>
      <c r="C134" s="173" t="s">
        <v>48</v>
      </c>
      <c r="D134" s="166" t="s">
        <v>656</v>
      </c>
      <c r="E134" s="172" t="s">
        <v>542</v>
      </c>
      <c r="F134" s="200" t="s">
        <v>543</v>
      </c>
      <c r="G134" s="206" t="s">
        <v>905</v>
      </c>
      <c r="H134" s="172" t="s">
        <v>102</v>
      </c>
      <c r="I134" s="172"/>
      <c r="J134" s="172"/>
      <c r="K134" s="172" t="s">
        <v>347</v>
      </c>
      <c r="L134" s="172" t="s">
        <v>102</v>
      </c>
      <c r="M134" s="172" t="s">
        <v>102</v>
      </c>
      <c r="N134" s="172" t="e">
        <f>#REF!</f>
        <v>#REF!</v>
      </c>
      <c r="O134" s="172"/>
      <c r="P134" s="172"/>
      <c r="Q134" s="172" t="s">
        <v>462</v>
      </c>
      <c r="R134" s="172"/>
      <c r="S134" s="137" t="s">
        <v>695</v>
      </c>
      <c r="T134" s="137"/>
      <c r="U134" s="137" t="s">
        <v>696</v>
      </c>
      <c r="V134" s="137">
        <v>130</v>
      </c>
      <c r="W134" s="217" t="s">
        <v>44</v>
      </c>
      <c r="X134" s="207">
        <v>45659</v>
      </c>
      <c r="Y134" s="207">
        <v>46083</v>
      </c>
      <c r="Z134" s="207">
        <v>46108</v>
      </c>
      <c r="AA134" s="207">
        <v>46108</v>
      </c>
      <c r="AB134" s="207">
        <v>46108</v>
      </c>
      <c r="AC134" s="207">
        <v>46108</v>
      </c>
      <c r="AD134" s="207">
        <v>46108</v>
      </c>
      <c r="AE134" s="207">
        <v>46108</v>
      </c>
      <c r="AF134" s="207">
        <v>46108</v>
      </c>
      <c r="AG134" s="207">
        <v>46108</v>
      </c>
      <c r="AH134" s="207">
        <v>46108</v>
      </c>
      <c r="AI134" s="207">
        <v>46108</v>
      </c>
      <c r="AJ134" s="207">
        <v>46108</v>
      </c>
      <c r="AK134" s="207">
        <v>46108</v>
      </c>
      <c r="AL134" s="207">
        <f>AK134+1</f>
        <v>46109</v>
      </c>
      <c r="AM134" s="207">
        <f t="shared" si="10"/>
        <v>46109</v>
      </c>
    </row>
    <row r="135" spans="1:39" hidden="1">
      <c r="A135" s="137" t="s">
        <v>46</v>
      </c>
      <c r="B135" s="289" t="s">
        <v>61</v>
      </c>
      <c r="C135" s="165" t="s">
        <v>48</v>
      </c>
      <c r="D135" s="166" t="s">
        <v>324</v>
      </c>
      <c r="E135" s="137" t="s">
        <v>62</v>
      </c>
      <c r="F135" s="197" t="s">
        <v>63</v>
      </c>
      <c r="G135" s="196" t="s">
        <v>906</v>
      </c>
      <c r="H135" s="137" t="s">
        <v>64</v>
      </c>
      <c r="I135" s="137" t="s">
        <v>54</v>
      </c>
      <c r="J135" s="137"/>
      <c r="K135" s="137" t="s">
        <v>55</v>
      </c>
      <c r="L135" s="137"/>
      <c r="M135" s="137" t="s">
        <v>57</v>
      </c>
      <c r="N135" s="137" t="s">
        <v>58</v>
      </c>
      <c r="O135" s="137"/>
      <c r="P135" s="137"/>
      <c r="Q135" s="137"/>
      <c r="R135" s="137"/>
      <c r="S135" s="137" t="s">
        <v>907</v>
      </c>
      <c r="T135" s="167"/>
      <c r="U135" s="137" t="s">
        <v>718</v>
      </c>
      <c r="V135" s="137">
        <v>131</v>
      </c>
      <c r="W135" s="219" t="s">
        <v>667</v>
      </c>
      <c r="X135" s="207">
        <v>45659</v>
      </c>
      <c r="Y135" s="207">
        <v>46038</v>
      </c>
      <c r="Z135" s="207">
        <v>46041</v>
      </c>
      <c r="AA135" s="207">
        <v>46059</v>
      </c>
      <c r="AB135" s="207">
        <v>46056</v>
      </c>
      <c r="AC135" s="207">
        <v>46080</v>
      </c>
      <c r="AD135" s="207">
        <v>46099</v>
      </c>
      <c r="AE135" s="207">
        <v>46113</v>
      </c>
      <c r="AF135" s="207">
        <v>46113</v>
      </c>
      <c r="AG135" s="207">
        <v>46118</v>
      </c>
      <c r="AH135" s="207">
        <v>46119</v>
      </c>
      <c r="AI135" s="207">
        <v>46121</v>
      </c>
      <c r="AJ135" s="207">
        <v>46122</v>
      </c>
      <c r="AK135" s="207">
        <v>46136</v>
      </c>
      <c r="AL135" s="207">
        <f>AK135+1</f>
        <v>46137</v>
      </c>
      <c r="AM135" s="207">
        <f t="shared" si="10"/>
        <v>46137</v>
      </c>
    </row>
    <row r="136" spans="1:39" hidden="1">
      <c r="A136" s="137" t="s">
        <v>719</v>
      </c>
      <c r="B136" s="283" t="s">
        <v>16</v>
      </c>
      <c r="C136" s="165" t="s">
        <v>123</v>
      </c>
      <c r="D136" s="166" t="s">
        <v>710</v>
      </c>
      <c r="E136" s="137" t="s">
        <v>544</v>
      </c>
      <c r="F136" s="199" t="s">
        <v>545</v>
      </c>
      <c r="G136" s="196" t="s">
        <v>908</v>
      </c>
      <c r="H136" s="137" t="s">
        <v>219</v>
      </c>
      <c r="I136" s="137" t="s">
        <v>546</v>
      </c>
      <c r="J136" s="137" t="s">
        <v>547</v>
      </c>
      <c r="K136" s="137" t="s">
        <v>339</v>
      </c>
      <c r="L136" s="137"/>
      <c r="M136" s="137" t="s">
        <v>57</v>
      </c>
      <c r="N136" s="137" t="s">
        <v>16</v>
      </c>
      <c r="O136" s="137" t="s">
        <v>537</v>
      </c>
      <c r="P136" s="137"/>
      <c r="Q136" s="137"/>
      <c r="R136" s="137"/>
      <c r="S136" s="137" t="s">
        <v>721</v>
      </c>
      <c r="T136" s="137" t="s">
        <v>713</v>
      </c>
      <c r="U136" s="137" t="s">
        <v>714</v>
      </c>
      <c r="V136" s="137">
        <v>132</v>
      </c>
      <c r="W136" s="217"/>
      <c r="X136" s="207">
        <v>46024</v>
      </c>
      <c r="Y136" s="207">
        <v>46038</v>
      </c>
      <c r="Z136" s="207">
        <v>46041</v>
      </c>
      <c r="AA136" s="207">
        <v>46052</v>
      </c>
      <c r="AB136" s="207">
        <v>46056</v>
      </c>
      <c r="AC136" s="207">
        <v>46069</v>
      </c>
      <c r="AD136" s="207">
        <v>46070</v>
      </c>
      <c r="AE136" s="207">
        <v>46072</v>
      </c>
      <c r="AF136" s="207">
        <v>46073</v>
      </c>
      <c r="AG136" s="207">
        <v>46073</v>
      </c>
      <c r="AH136" s="207">
        <v>46076</v>
      </c>
      <c r="AI136" s="207">
        <v>46101</v>
      </c>
      <c r="AJ136" s="207">
        <v>46104</v>
      </c>
      <c r="AK136" s="207">
        <v>46129</v>
      </c>
      <c r="AL136" s="207">
        <f>AK136+1</f>
        <v>46130</v>
      </c>
      <c r="AM136" s="207">
        <f t="shared" si="10"/>
        <v>46130</v>
      </c>
    </row>
    <row r="137" spans="1:39" hidden="1">
      <c r="A137" s="137" t="s">
        <v>719</v>
      </c>
      <c r="B137" s="283" t="s">
        <v>16</v>
      </c>
      <c r="C137" s="165" t="s">
        <v>123</v>
      </c>
      <c r="D137" s="166" t="s">
        <v>710</v>
      </c>
      <c r="E137" s="137" t="s">
        <v>26</v>
      </c>
      <c r="F137" s="199" t="s">
        <v>548</v>
      </c>
      <c r="G137" s="196" t="s">
        <v>909</v>
      </c>
      <c r="H137" s="137" t="s">
        <v>246</v>
      </c>
      <c r="I137" s="137"/>
      <c r="J137" s="137" t="s">
        <v>482</v>
      </c>
      <c r="K137" s="137" t="s">
        <v>339</v>
      </c>
      <c r="L137" s="137"/>
      <c r="M137" s="137" t="s">
        <v>57</v>
      </c>
      <c r="N137" s="137" t="s">
        <v>16</v>
      </c>
      <c r="O137" s="137" t="s">
        <v>483</v>
      </c>
      <c r="P137" s="137" t="s">
        <v>484</v>
      </c>
      <c r="Q137" s="137"/>
      <c r="R137" s="137"/>
      <c r="S137" s="137" t="s">
        <v>721</v>
      </c>
      <c r="T137" s="137" t="s">
        <v>713</v>
      </c>
      <c r="U137" s="137" t="s">
        <v>714</v>
      </c>
      <c r="V137" s="137">
        <v>133</v>
      </c>
      <c r="W137" s="217"/>
      <c r="X137" s="207">
        <v>46024</v>
      </c>
      <c r="Y137" s="207">
        <v>46038</v>
      </c>
      <c r="Z137" s="207">
        <v>46041</v>
      </c>
      <c r="AA137" s="207">
        <v>46052</v>
      </c>
      <c r="AB137" s="207">
        <v>46056</v>
      </c>
      <c r="AC137" s="207">
        <v>46069</v>
      </c>
      <c r="AD137" s="207">
        <v>46070</v>
      </c>
      <c r="AE137" s="207">
        <v>46072</v>
      </c>
      <c r="AF137" s="207">
        <v>46073</v>
      </c>
      <c r="AG137" s="207">
        <v>46073</v>
      </c>
      <c r="AH137" s="207">
        <v>46076</v>
      </c>
      <c r="AI137" s="207">
        <v>46094</v>
      </c>
      <c r="AJ137" s="207">
        <v>46097</v>
      </c>
      <c r="AK137" s="207">
        <v>46115</v>
      </c>
      <c r="AL137" s="207">
        <f>AK137+3</f>
        <v>46118</v>
      </c>
      <c r="AM137" s="207">
        <f>AL137+2</f>
        <v>46120</v>
      </c>
    </row>
    <row r="138" spans="1:39" hidden="1">
      <c r="A138" s="172" t="s">
        <v>67</v>
      </c>
      <c r="B138" s="286" t="s">
        <v>133</v>
      </c>
      <c r="C138" s="173" t="s">
        <v>134</v>
      </c>
      <c r="D138" s="166" t="s">
        <v>656</v>
      </c>
      <c r="E138" s="172" t="s">
        <v>549</v>
      </c>
      <c r="F138" s="200" t="s">
        <v>417</v>
      </c>
      <c r="G138" s="206" t="s">
        <v>910</v>
      </c>
      <c r="H138" s="172" t="s">
        <v>102</v>
      </c>
      <c r="I138" s="172"/>
      <c r="J138" s="172"/>
      <c r="K138" s="172" t="s">
        <v>347</v>
      </c>
      <c r="L138" s="172" t="s">
        <v>102</v>
      </c>
      <c r="M138" s="172" t="s">
        <v>102</v>
      </c>
      <c r="N138" s="172" t="e">
        <f>#REF!</f>
        <v>#REF!</v>
      </c>
      <c r="O138" s="172"/>
      <c r="P138" s="172"/>
      <c r="Q138" s="172" t="s">
        <v>462</v>
      </c>
      <c r="R138" s="172"/>
      <c r="S138" s="137" t="s">
        <v>695</v>
      </c>
      <c r="T138" s="137"/>
      <c r="U138" s="137" t="s">
        <v>696</v>
      </c>
      <c r="V138" s="137">
        <v>134</v>
      </c>
      <c r="W138" s="217" t="s">
        <v>44</v>
      </c>
      <c r="X138" s="207">
        <v>45659</v>
      </c>
      <c r="Y138" s="207">
        <v>46083</v>
      </c>
      <c r="Z138" s="207">
        <v>46108</v>
      </c>
      <c r="AA138" s="207">
        <v>46108</v>
      </c>
      <c r="AB138" s="207">
        <v>46108</v>
      </c>
      <c r="AC138" s="207">
        <v>46108</v>
      </c>
      <c r="AD138" s="207">
        <v>46108</v>
      </c>
      <c r="AE138" s="207">
        <v>46108</v>
      </c>
      <c r="AF138" s="207">
        <v>46108</v>
      </c>
      <c r="AG138" s="207">
        <v>46108</v>
      </c>
      <c r="AH138" s="207">
        <v>46108</v>
      </c>
      <c r="AI138" s="207">
        <v>46108</v>
      </c>
      <c r="AJ138" s="207">
        <v>46108</v>
      </c>
      <c r="AK138" s="207">
        <v>46108</v>
      </c>
      <c r="AL138" s="207">
        <f>AK138</f>
        <v>46108</v>
      </c>
      <c r="AM138" s="207">
        <f>AL138</f>
        <v>46108</v>
      </c>
    </row>
    <row r="139" spans="1:39" hidden="1">
      <c r="A139" s="137" t="s">
        <v>46</v>
      </c>
      <c r="B139" s="283" t="s">
        <v>47</v>
      </c>
      <c r="C139" s="165" t="s">
        <v>48</v>
      </c>
      <c r="D139" s="166" t="s">
        <v>772</v>
      </c>
      <c r="E139" s="137" t="s">
        <v>50</v>
      </c>
      <c r="F139" s="197" t="s">
        <v>51</v>
      </c>
      <c r="G139" s="196" t="s">
        <v>911</v>
      </c>
      <c r="H139" s="137" t="s">
        <v>53</v>
      </c>
      <c r="I139" s="137" t="s">
        <v>54</v>
      </c>
      <c r="J139" s="137"/>
      <c r="K139" s="137" t="s">
        <v>55</v>
      </c>
      <c r="L139" s="137" t="s">
        <v>56</v>
      </c>
      <c r="M139" s="137" t="s">
        <v>57</v>
      </c>
      <c r="N139" s="137" t="s">
        <v>58</v>
      </c>
      <c r="O139" s="137" t="s">
        <v>59</v>
      </c>
      <c r="P139" s="137" t="s">
        <v>60</v>
      </c>
      <c r="Q139" s="137"/>
      <c r="R139" s="137"/>
      <c r="S139" s="137" t="s">
        <v>912</v>
      </c>
      <c r="T139" s="167"/>
      <c r="U139" s="137" t="s">
        <v>913</v>
      </c>
      <c r="V139" s="137">
        <v>135</v>
      </c>
      <c r="W139" s="219" t="s">
        <v>667</v>
      </c>
      <c r="X139" s="207">
        <v>45659</v>
      </c>
      <c r="Y139" s="207">
        <v>46038</v>
      </c>
      <c r="Z139" s="207">
        <v>46041</v>
      </c>
      <c r="AA139" s="207">
        <v>46052</v>
      </c>
      <c r="AB139" s="207">
        <v>46056</v>
      </c>
      <c r="AC139" s="207">
        <v>46080</v>
      </c>
      <c r="AD139" s="207">
        <v>46099</v>
      </c>
      <c r="AE139" s="207">
        <v>46113</v>
      </c>
      <c r="AF139" s="207">
        <v>46113</v>
      </c>
      <c r="AG139" s="207">
        <v>46118</v>
      </c>
      <c r="AH139" s="207">
        <v>46119</v>
      </c>
      <c r="AI139" s="207">
        <v>46121</v>
      </c>
      <c r="AJ139" s="207">
        <v>46122</v>
      </c>
      <c r="AK139" s="207">
        <v>46136</v>
      </c>
      <c r="AL139" s="207">
        <f>AK139+1</f>
        <v>46137</v>
      </c>
      <c r="AM139" s="207">
        <f>AL139</f>
        <v>46137</v>
      </c>
    </row>
    <row r="140" spans="1:39" hidden="1">
      <c r="A140" s="172" t="s">
        <v>80</v>
      </c>
      <c r="B140" s="286" t="s">
        <v>68</v>
      </c>
      <c r="C140" s="173" t="s">
        <v>48</v>
      </c>
      <c r="D140" s="166" t="s">
        <v>656</v>
      </c>
      <c r="E140" s="172" t="s">
        <v>550</v>
      </c>
      <c r="F140" s="200" t="s">
        <v>551</v>
      </c>
      <c r="G140" s="206" t="s">
        <v>914</v>
      </c>
      <c r="H140" s="172" t="s">
        <v>102</v>
      </c>
      <c r="I140" s="172"/>
      <c r="J140" s="172"/>
      <c r="K140" s="172" t="s">
        <v>347</v>
      </c>
      <c r="L140" s="172" t="s">
        <v>102</v>
      </c>
      <c r="M140" s="172" t="s">
        <v>102</v>
      </c>
      <c r="N140" s="172" t="e">
        <f>#REF!</f>
        <v>#REF!</v>
      </c>
      <c r="O140" s="172"/>
      <c r="P140" s="172"/>
      <c r="Q140" s="172" t="s">
        <v>462</v>
      </c>
      <c r="R140" s="172"/>
      <c r="S140" s="137" t="s">
        <v>695</v>
      </c>
      <c r="T140" s="137"/>
      <c r="U140" s="137" t="s">
        <v>696</v>
      </c>
      <c r="V140" s="137">
        <v>136</v>
      </c>
      <c r="W140" s="217" t="s">
        <v>44</v>
      </c>
      <c r="X140" s="207">
        <v>45659</v>
      </c>
      <c r="Y140" s="207">
        <v>46083</v>
      </c>
      <c r="Z140" s="207">
        <v>46108</v>
      </c>
      <c r="AA140" s="207">
        <v>46108</v>
      </c>
      <c r="AB140" s="207">
        <v>46108</v>
      </c>
      <c r="AC140" s="207">
        <v>46108</v>
      </c>
      <c r="AD140" s="207">
        <v>46108</v>
      </c>
      <c r="AE140" s="207">
        <v>46108</v>
      </c>
      <c r="AF140" s="207">
        <v>46108</v>
      </c>
      <c r="AG140" s="207">
        <v>46108</v>
      </c>
      <c r="AH140" s="207">
        <v>46108</v>
      </c>
      <c r="AI140" s="207">
        <v>46108</v>
      </c>
      <c r="AJ140" s="207">
        <v>46108</v>
      </c>
      <c r="AK140" s="207">
        <v>46108</v>
      </c>
      <c r="AL140" s="207">
        <f>AK140+1</f>
        <v>46109</v>
      </c>
      <c r="AM140" s="207">
        <f>AL140</f>
        <v>46109</v>
      </c>
    </row>
    <row r="141" spans="1:39" hidden="1">
      <c r="A141" s="137" t="s">
        <v>236</v>
      </c>
      <c r="B141" s="283" t="s">
        <v>93</v>
      </c>
      <c r="C141" s="165" t="s">
        <v>94</v>
      </c>
      <c r="D141" s="166" t="s">
        <v>195</v>
      </c>
      <c r="E141" s="137" t="s">
        <v>237</v>
      </c>
      <c r="F141" s="197" t="s">
        <v>238</v>
      </c>
      <c r="G141" s="196" t="s">
        <v>915</v>
      </c>
      <c r="H141" s="137" t="s">
        <v>97</v>
      </c>
      <c r="I141" s="137" t="s">
        <v>72</v>
      </c>
      <c r="J141" s="137" t="s">
        <v>239</v>
      </c>
      <c r="K141" s="137" t="s">
        <v>198</v>
      </c>
      <c r="L141" s="137" t="s">
        <v>73</v>
      </c>
      <c r="M141" s="137" t="s">
        <v>98</v>
      </c>
      <c r="N141" s="137" t="s">
        <v>99</v>
      </c>
      <c r="O141" s="137" t="s">
        <v>240</v>
      </c>
      <c r="P141" s="137" t="s">
        <v>241</v>
      </c>
      <c r="Q141" s="137" t="s">
        <v>242</v>
      </c>
      <c r="R141" s="137"/>
      <c r="S141" s="137" t="s">
        <v>916</v>
      </c>
      <c r="T141" s="137"/>
      <c r="U141" s="137" t="s">
        <v>917</v>
      </c>
      <c r="V141" s="137">
        <v>137</v>
      </c>
      <c r="W141" s="217" t="s">
        <v>667</v>
      </c>
      <c r="X141" s="209">
        <v>46024</v>
      </c>
      <c r="Y141" s="207">
        <v>46083</v>
      </c>
      <c r="Z141" s="207">
        <v>46056</v>
      </c>
      <c r="AA141" s="207">
        <v>46136</v>
      </c>
      <c r="AB141" s="207">
        <v>46139</v>
      </c>
      <c r="AC141" s="207">
        <v>46157</v>
      </c>
      <c r="AD141" s="207">
        <v>46160</v>
      </c>
      <c r="AE141" s="207">
        <v>46171</v>
      </c>
      <c r="AF141" s="207">
        <v>46171</v>
      </c>
      <c r="AG141" s="207">
        <v>46174</v>
      </c>
      <c r="AH141" s="207">
        <v>46175</v>
      </c>
      <c r="AI141" s="207">
        <v>46177</v>
      </c>
      <c r="AJ141" s="207">
        <v>46178</v>
      </c>
      <c r="AK141" s="207">
        <v>46192</v>
      </c>
      <c r="AL141" s="207">
        <v>46195</v>
      </c>
      <c r="AM141" s="207">
        <v>46196</v>
      </c>
    </row>
    <row r="142" spans="1:39" hidden="1">
      <c r="A142" s="172" t="s">
        <v>236</v>
      </c>
      <c r="B142" s="283" t="s">
        <v>93</v>
      </c>
      <c r="C142" s="173" t="s">
        <v>94</v>
      </c>
      <c r="D142" s="166" t="s">
        <v>656</v>
      </c>
      <c r="E142" s="172" t="s">
        <v>552</v>
      </c>
      <c r="F142" s="204" t="s">
        <v>553</v>
      </c>
      <c r="G142" s="206" t="s">
        <v>918</v>
      </c>
      <c r="H142" s="172" t="s">
        <v>97</v>
      </c>
      <c r="I142" s="172" t="s">
        <v>72</v>
      </c>
      <c r="J142" s="172" t="s">
        <v>239</v>
      </c>
      <c r="K142" s="172" t="s">
        <v>347</v>
      </c>
      <c r="L142" s="172" t="s">
        <v>102</v>
      </c>
      <c r="M142" s="172" t="s">
        <v>102</v>
      </c>
      <c r="N142" s="172" t="e">
        <f>#REF!</f>
        <v>#REF!</v>
      </c>
      <c r="O142" s="172" t="s">
        <v>554</v>
      </c>
      <c r="P142" s="172" t="s">
        <v>241</v>
      </c>
      <c r="Q142" s="172" t="s">
        <v>462</v>
      </c>
      <c r="R142" s="172" t="s">
        <v>555</v>
      </c>
      <c r="S142" s="137" t="s">
        <v>695</v>
      </c>
      <c r="T142" s="137"/>
      <c r="U142" s="137" t="s">
        <v>696</v>
      </c>
      <c r="V142" s="137">
        <v>138</v>
      </c>
      <c r="W142" s="217" t="s">
        <v>44</v>
      </c>
      <c r="X142" s="209">
        <v>46024</v>
      </c>
      <c r="Y142" s="207">
        <v>46083</v>
      </c>
      <c r="Z142" s="207">
        <v>46108</v>
      </c>
      <c r="AA142" s="207">
        <v>46108</v>
      </c>
      <c r="AB142" s="207">
        <v>46108</v>
      </c>
      <c r="AC142" s="207">
        <v>46108</v>
      </c>
      <c r="AD142" s="207">
        <v>46108</v>
      </c>
      <c r="AE142" s="207">
        <v>46108</v>
      </c>
      <c r="AF142" s="207">
        <v>46108</v>
      </c>
      <c r="AG142" s="207">
        <v>46108</v>
      </c>
      <c r="AH142" s="207">
        <v>46108</v>
      </c>
      <c r="AI142" s="207">
        <v>46108</v>
      </c>
      <c r="AJ142" s="207">
        <v>46108</v>
      </c>
      <c r="AK142" s="207">
        <v>46108</v>
      </c>
      <c r="AL142" s="207">
        <f>AK142+1</f>
        <v>46109</v>
      </c>
      <c r="AM142" s="207">
        <f>AL142</f>
        <v>46109</v>
      </c>
    </row>
    <row r="143" spans="1:39" hidden="1">
      <c r="A143" s="137" t="s">
        <v>719</v>
      </c>
      <c r="B143" s="283" t="s">
        <v>16</v>
      </c>
      <c r="C143" s="165" t="s">
        <v>123</v>
      </c>
      <c r="D143" s="166" t="s">
        <v>324</v>
      </c>
      <c r="E143" s="137" t="s">
        <v>25</v>
      </c>
      <c r="F143" s="199" t="s">
        <v>360</v>
      </c>
      <c r="G143" s="196" t="s">
        <v>919</v>
      </c>
      <c r="H143" s="137" t="s">
        <v>219</v>
      </c>
      <c r="I143" s="137" t="s">
        <v>83</v>
      </c>
      <c r="J143" s="137"/>
      <c r="K143" s="137" t="s">
        <v>342</v>
      </c>
      <c r="L143" s="137"/>
      <c r="M143" s="137" t="s">
        <v>57</v>
      </c>
      <c r="N143" s="137" t="s">
        <v>16</v>
      </c>
      <c r="O143" s="137"/>
      <c r="P143" s="137"/>
      <c r="Q143" s="137"/>
      <c r="R143" s="137"/>
      <c r="S143" s="137" t="s">
        <v>920</v>
      </c>
      <c r="T143" s="137"/>
      <c r="U143" s="137" t="s">
        <v>767</v>
      </c>
      <c r="V143" s="137">
        <v>139</v>
      </c>
      <c r="W143" s="217" t="s">
        <v>681</v>
      </c>
      <c r="X143" s="207">
        <v>46024</v>
      </c>
      <c r="Y143" s="207">
        <v>46038</v>
      </c>
      <c r="Z143" s="207">
        <v>46072</v>
      </c>
      <c r="AA143" s="207">
        <v>46045</v>
      </c>
      <c r="AB143" s="207">
        <v>46045</v>
      </c>
      <c r="AC143" s="207">
        <v>46055</v>
      </c>
      <c r="AD143" s="207">
        <v>46099</v>
      </c>
      <c r="AE143" s="207">
        <v>46113</v>
      </c>
      <c r="AF143" s="207">
        <v>46113</v>
      </c>
      <c r="AG143" s="207">
        <v>46118</v>
      </c>
      <c r="AH143" s="207">
        <v>46119</v>
      </c>
      <c r="AI143" s="207">
        <v>46121</v>
      </c>
      <c r="AJ143" s="207">
        <v>46122</v>
      </c>
      <c r="AK143" s="207">
        <v>46136</v>
      </c>
      <c r="AL143" s="207">
        <f>AK143+1</f>
        <v>46137</v>
      </c>
      <c r="AM143" s="207">
        <f>AL143</f>
        <v>46137</v>
      </c>
    </row>
    <row r="144" spans="1:39" hidden="1">
      <c r="A144" s="172" t="s">
        <v>67</v>
      </c>
      <c r="B144" s="286" t="s">
        <v>133</v>
      </c>
      <c r="C144" s="173" t="s">
        <v>134</v>
      </c>
      <c r="D144" s="166" t="s">
        <v>656</v>
      </c>
      <c r="E144" s="172" t="s">
        <v>557</v>
      </c>
      <c r="F144" s="200" t="s">
        <v>417</v>
      </c>
      <c r="G144" s="206" t="s">
        <v>921</v>
      </c>
      <c r="H144" s="172" t="s">
        <v>102</v>
      </c>
      <c r="I144" s="172"/>
      <c r="J144" s="172"/>
      <c r="K144" s="172" t="s">
        <v>347</v>
      </c>
      <c r="L144" s="172" t="s">
        <v>102</v>
      </c>
      <c r="M144" s="172" t="s">
        <v>102</v>
      </c>
      <c r="N144" s="172" t="e">
        <f>#REF!</f>
        <v>#REF!</v>
      </c>
      <c r="O144" s="172"/>
      <c r="P144" s="172"/>
      <c r="Q144" s="172" t="s">
        <v>462</v>
      </c>
      <c r="R144" s="172"/>
      <c r="S144" s="137" t="s">
        <v>695</v>
      </c>
      <c r="T144" s="137"/>
      <c r="U144" s="137" t="s">
        <v>696</v>
      </c>
      <c r="V144" s="137">
        <v>140</v>
      </c>
      <c r="W144" s="217" t="s">
        <v>44</v>
      </c>
      <c r="X144" s="207">
        <v>45659</v>
      </c>
      <c r="Y144" s="207">
        <v>46083</v>
      </c>
      <c r="Z144" s="207">
        <v>46108</v>
      </c>
      <c r="AA144" s="207">
        <v>46108</v>
      </c>
      <c r="AB144" s="207">
        <v>46108</v>
      </c>
      <c r="AC144" s="207">
        <v>46108</v>
      </c>
      <c r="AD144" s="207">
        <v>46108</v>
      </c>
      <c r="AE144" s="207">
        <v>46108</v>
      </c>
      <c r="AF144" s="207">
        <v>46108</v>
      </c>
      <c r="AG144" s="207">
        <v>46108</v>
      </c>
      <c r="AH144" s="207">
        <v>46108</v>
      </c>
      <c r="AI144" s="207">
        <v>46108</v>
      </c>
      <c r="AJ144" s="207">
        <v>46108</v>
      </c>
      <c r="AK144" s="207">
        <v>46108</v>
      </c>
      <c r="AL144" s="207">
        <f>AK144</f>
        <v>46108</v>
      </c>
      <c r="AM144" s="207">
        <f>AL144</f>
        <v>46108</v>
      </c>
    </row>
    <row r="145" spans="1:40" ht="30" hidden="1">
      <c r="A145" s="137" t="s">
        <v>4</v>
      </c>
      <c r="B145" s="283" t="s">
        <v>4</v>
      </c>
      <c r="C145" s="165" t="s">
        <v>225</v>
      </c>
      <c r="D145" s="166" t="s">
        <v>710</v>
      </c>
      <c r="E145" s="137" t="s">
        <v>558</v>
      </c>
      <c r="F145" s="199" t="s">
        <v>559</v>
      </c>
      <c r="G145" s="196" t="s">
        <v>922</v>
      </c>
      <c r="H145" s="137" t="s">
        <v>473</v>
      </c>
      <c r="I145" s="137"/>
      <c r="J145" s="137"/>
      <c r="K145" s="137" t="s">
        <v>340</v>
      </c>
      <c r="L145" s="137" t="s">
        <v>474</v>
      </c>
      <c r="M145" s="137" t="s">
        <v>74</v>
      </c>
      <c r="N145" s="137" t="s">
        <v>338</v>
      </c>
      <c r="O145" s="137"/>
      <c r="P145" s="137"/>
      <c r="Q145" s="137"/>
      <c r="R145" s="137"/>
      <c r="S145" s="137" t="s">
        <v>776</v>
      </c>
      <c r="T145" s="137" t="s">
        <v>713</v>
      </c>
      <c r="U145" s="137" t="s">
        <v>696</v>
      </c>
      <c r="V145" s="137">
        <v>141</v>
      </c>
      <c r="W145" s="217"/>
      <c r="X145" s="207">
        <v>46024</v>
      </c>
      <c r="Y145" s="207">
        <v>46083</v>
      </c>
      <c r="Z145" s="207">
        <v>46041</v>
      </c>
      <c r="AA145" s="207">
        <v>46045</v>
      </c>
      <c r="AB145" s="207">
        <v>46048</v>
      </c>
      <c r="AC145" s="207">
        <v>46052</v>
      </c>
      <c r="AD145" s="207">
        <v>46055</v>
      </c>
      <c r="AE145" s="207">
        <v>46066</v>
      </c>
      <c r="AF145" s="207">
        <v>46069</v>
      </c>
      <c r="AG145" s="207">
        <v>46073</v>
      </c>
      <c r="AH145" s="207">
        <v>46083</v>
      </c>
      <c r="AI145" s="207">
        <v>46101</v>
      </c>
      <c r="AJ145" s="207">
        <v>46104</v>
      </c>
      <c r="AK145" s="207">
        <v>46122</v>
      </c>
      <c r="AL145" s="207">
        <f>AK145+1</f>
        <v>46123</v>
      </c>
      <c r="AM145" s="207">
        <f>AL145</f>
        <v>46123</v>
      </c>
    </row>
    <row r="146" spans="1:40" ht="60" hidden="1">
      <c r="A146" s="137" t="s">
        <v>92</v>
      </c>
      <c r="B146" s="283" t="s">
        <v>4</v>
      </c>
      <c r="C146" s="165" t="s">
        <v>225</v>
      </c>
      <c r="D146" s="166" t="s">
        <v>195</v>
      </c>
      <c r="E146" s="182" t="s">
        <v>560</v>
      </c>
      <c r="F146" s="197" t="s">
        <v>561</v>
      </c>
      <c r="G146" s="196" t="s">
        <v>923</v>
      </c>
      <c r="H146" s="137" t="s">
        <v>473</v>
      </c>
      <c r="I146" s="137"/>
      <c r="J146" s="137"/>
      <c r="K146" s="137" t="s">
        <v>341</v>
      </c>
      <c r="L146" s="137" t="s">
        <v>474</v>
      </c>
      <c r="M146" s="137" t="s">
        <v>57</v>
      </c>
      <c r="N146" s="137" t="s">
        <v>4</v>
      </c>
      <c r="O146" s="137"/>
      <c r="P146" s="137"/>
      <c r="Q146" s="137"/>
      <c r="R146" s="137"/>
      <c r="S146" s="137" t="s">
        <v>924</v>
      </c>
      <c r="T146" s="167"/>
      <c r="U146" s="137" t="s">
        <v>696</v>
      </c>
      <c r="V146" s="137">
        <v>142</v>
      </c>
      <c r="W146" s="217" t="s">
        <v>667</v>
      </c>
      <c r="X146" s="207">
        <v>46024</v>
      </c>
      <c r="Y146" s="207">
        <v>46038</v>
      </c>
      <c r="Z146" s="207">
        <v>46041</v>
      </c>
      <c r="AA146" s="207">
        <v>46127</v>
      </c>
      <c r="AB146" s="207">
        <v>46128</v>
      </c>
      <c r="AC146" s="207">
        <v>46142</v>
      </c>
      <c r="AD146" s="207">
        <v>46146</v>
      </c>
      <c r="AE146" s="207">
        <v>46157</v>
      </c>
      <c r="AF146" s="207">
        <v>46157</v>
      </c>
      <c r="AG146" s="207">
        <v>46160</v>
      </c>
      <c r="AH146" s="207">
        <v>46161</v>
      </c>
      <c r="AI146" s="207">
        <v>46163</v>
      </c>
      <c r="AJ146" s="207">
        <v>46164</v>
      </c>
      <c r="AK146" s="207">
        <v>46178</v>
      </c>
      <c r="AL146" s="207">
        <v>46181</v>
      </c>
      <c r="AM146" s="207">
        <v>46182</v>
      </c>
      <c r="AN146" s="122" t="s">
        <v>730</v>
      </c>
    </row>
    <row r="147" spans="1:40" hidden="1">
      <c r="A147" s="137" t="s">
        <v>4</v>
      </c>
      <c r="B147" s="283" t="s">
        <v>925</v>
      </c>
      <c r="C147" s="165" t="s">
        <v>225</v>
      </c>
      <c r="D147" s="166" t="s">
        <v>324</v>
      </c>
      <c r="E147" s="137" t="s">
        <v>232</v>
      </c>
      <c r="F147" s="197" t="s">
        <v>233</v>
      </c>
      <c r="G147" s="196" t="s">
        <v>926</v>
      </c>
      <c r="H147" s="137" t="s">
        <v>228</v>
      </c>
      <c r="I147" s="137"/>
      <c r="J147" s="137" t="s">
        <v>229</v>
      </c>
      <c r="K147" s="137" t="s">
        <v>198</v>
      </c>
      <c r="L147" s="137" t="s">
        <v>56</v>
      </c>
      <c r="M147" s="137" t="s">
        <v>57</v>
      </c>
      <c r="N147" s="137" t="s">
        <v>4</v>
      </c>
      <c r="O147" s="137" t="s">
        <v>234</v>
      </c>
      <c r="P147" s="137" t="s">
        <v>235</v>
      </c>
      <c r="Q147" s="137"/>
      <c r="R147" s="137"/>
      <c r="S147" s="137" t="s">
        <v>927</v>
      </c>
      <c r="T147" s="167"/>
      <c r="U147" s="137" t="s">
        <v>729</v>
      </c>
      <c r="V147" s="137">
        <v>143</v>
      </c>
      <c r="W147" s="219" t="s">
        <v>667</v>
      </c>
      <c r="X147" s="207">
        <v>46024</v>
      </c>
      <c r="Y147" s="207">
        <v>46083</v>
      </c>
      <c r="Z147" s="207">
        <v>46041</v>
      </c>
      <c r="AA147" s="207">
        <v>46045</v>
      </c>
      <c r="AB147" s="207">
        <v>46048</v>
      </c>
      <c r="AC147" s="207">
        <v>46052</v>
      </c>
      <c r="AD147" s="207">
        <v>46094</v>
      </c>
      <c r="AE147" s="207">
        <v>46108</v>
      </c>
      <c r="AF147" s="207">
        <v>46108</v>
      </c>
      <c r="AG147" s="207">
        <v>46111</v>
      </c>
      <c r="AH147" s="207">
        <v>46112</v>
      </c>
      <c r="AI147" s="207">
        <v>46118</v>
      </c>
      <c r="AJ147" s="207">
        <v>46119</v>
      </c>
      <c r="AK147" s="207">
        <v>46133</v>
      </c>
      <c r="AL147" s="207">
        <f>AK147+1</f>
        <v>46134</v>
      </c>
      <c r="AM147" s="207">
        <f>AL147</f>
        <v>46134</v>
      </c>
    </row>
    <row r="148" spans="1:40" hidden="1">
      <c r="A148" s="137" t="s">
        <v>4</v>
      </c>
      <c r="B148" s="283" t="s">
        <v>925</v>
      </c>
      <c r="C148" s="165" t="s">
        <v>225</v>
      </c>
      <c r="D148" s="166" t="s">
        <v>324</v>
      </c>
      <c r="E148" s="137" t="s">
        <v>226</v>
      </c>
      <c r="F148" s="197" t="s">
        <v>227</v>
      </c>
      <c r="G148" s="196" t="s">
        <v>928</v>
      </c>
      <c r="H148" s="137" t="s">
        <v>929</v>
      </c>
      <c r="I148" s="137"/>
      <c r="J148" s="137" t="s">
        <v>229</v>
      </c>
      <c r="K148" s="137" t="s">
        <v>198</v>
      </c>
      <c r="L148" s="137" t="s">
        <v>56</v>
      </c>
      <c r="M148" s="137" t="s">
        <v>57</v>
      </c>
      <c r="N148" s="137" t="s">
        <v>4</v>
      </c>
      <c r="O148" s="137" t="s">
        <v>230</v>
      </c>
      <c r="P148" s="137" t="s">
        <v>231</v>
      </c>
      <c r="Q148" s="137"/>
      <c r="R148" s="137"/>
      <c r="S148" s="137" t="s">
        <v>930</v>
      </c>
      <c r="T148" s="167"/>
      <c r="U148" s="137" t="s">
        <v>729</v>
      </c>
      <c r="V148" s="137">
        <v>144</v>
      </c>
      <c r="W148" s="219" t="s">
        <v>667</v>
      </c>
      <c r="X148" s="207">
        <v>46024</v>
      </c>
      <c r="Y148" s="207">
        <v>46083</v>
      </c>
      <c r="Z148" s="207">
        <v>46087</v>
      </c>
      <c r="AA148" s="210">
        <v>46094</v>
      </c>
      <c r="AB148" s="207">
        <v>46097</v>
      </c>
      <c r="AC148" s="207">
        <v>46090</v>
      </c>
      <c r="AD148" s="207">
        <v>46094</v>
      </c>
      <c r="AE148" s="207">
        <v>46108</v>
      </c>
      <c r="AF148" s="207">
        <v>46108</v>
      </c>
      <c r="AG148" s="207">
        <v>46111</v>
      </c>
      <c r="AH148" s="207">
        <v>46112</v>
      </c>
      <c r="AI148" s="207">
        <v>46118</v>
      </c>
      <c r="AJ148" s="207">
        <v>46119</v>
      </c>
      <c r="AK148" s="207">
        <v>46133</v>
      </c>
      <c r="AL148" s="207">
        <f>AK148+1</f>
        <v>46134</v>
      </c>
      <c r="AM148" s="207">
        <f>AL148</f>
        <v>46134</v>
      </c>
    </row>
    <row r="149" spans="1:40" hidden="1">
      <c r="A149" s="137" t="s">
        <v>92</v>
      </c>
      <c r="B149" s="283" t="s">
        <v>93</v>
      </c>
      <c r="C149" s="165" t="s">
        <v>94</v>
      </c>
      <c r="D149" s="166" t="s">
        <v>195</v>
      </c>
      <c r="E149" s="137" t="s">
        <v>224</v>
      </c>
      <c r="F149" s="197" t="s">
        <v>197</v>
      </c>
      <c r="G149" s="196" t="s">
        <v>931</v>
      </c>
      <c r="H149" s="137" t="s">
        <v>97</v>
      </c>
      <c r="I149" s="137" t="s">
        <v>72</v>
      </c>
      <c r="J149" s="137"/>
      <c r="K149" s="137" t="s">
        <v>198</v>
      </c>
      <c r="L149" s="137" t="s">
        <v>73</v>
      </c>
      <c r="M149" s="137" t="s">
        <v>98</v>
      </c>
      <c r="N149" s="137" t="s">
        <v>99</v>
      </c>
      <c r="O149" s="137" t="s">
        <v>199</v>
      </c>
      <c r="P149" s="137" t="s">
        <v>200</v>
      </c>
      <c r="Q149" s="137"/>
      <c r="R149" s="137"/>
      <c r="S149" s="137" t="s">
        <v>807</v>
      </c>
      <c r="T149" s="137"/>
      <c r="U149" s="137" t="s">
        <v>666</v>
      </c>
      <c r="V149" s="137">
        <v>145</v>
      </c>
      <c r="W149" s="217" t="s">
        <v>667</v>
      </c>
      <c r="X149" s="209">
        <v>46024</v>
      </c>
      <c r="Y149" s="207">
        <v>46083</v>
      </c>
      <c r="Z149" s="207">
        <v>46056</v>
      </c>
      <c r="AA149" s="207">
        <v>46136</v>
      </c>
      <c r="AB149" s="207">
        <v>46139</v>
      </c>
      <c r="AC149" s="207">
        <v>46157</v>
      </c>
      <c r="AD149" s="207">
        <v>46160</v>
      </c>
      <c r="AE149" s="207">
        <v>46171</v>
      </c>
      <c r="AF149" s="207">
        <v>46171</v>
      </c>
      <c r="AG149" s="207">
        <v>46174</v>
      </c>
      <c r="AH149" s="207">
        <v>46175</v>
      </c>
      <c r="AI149" s="207">
        <v>46177</v>
      </c>
      <c r="AJ149" s="207">
        <v>46178</v>
      </c>
      <c r="AK149" s="207">
        <v>46192</v>
      </c>
      <c r="AL149" s="207">
        <v>46195</v>
      </c>
      <c r="AM149" s="207">
        <v>46196</v>
      </c>
    </row>
    <row r="150" spans="1:40" hidden="1">
      <c r="A150" s="137" t="s">
        <v>719</v>
      </c>
      <c r="B150" s="283" t="s">
        <v>16</v>
      </c>
      <c r="C150" s="165" t="s">
        <v>123</v>
      </c>
      <c r="D150" s="166" t="s">
        <v>710</v>
      </c>
      <c r="E150" s="137" t="s">
        <v>562</v>
      </c>
      <c r="F150" s="199" t="s">
        <v>563</v>
      </c>
      <c r="G150" s="196" t="s">
        <v>932</v>
      </c>
      <c r="H150" s="137" t="s">
        <v>219</v>
      </c>
      <c r="I150" s="137" t="s">
        <v>83</v>
      </c>
      <c r="J150" s="137" t="s">
        <v>547</v>
      </c>
      <c r="K150" s="137" t="s">
        <v>339</v>
      </c>
      <c r="L150" s="137"/>
      <c r="M150" s="137" t="s">
        <v>57</v>
      </c>
      <c r="N150" s="137" t="s">
        <v>16</v>
      </c>
      <c r="O150" s="137"/>
      <c r="P150" s="137"/>
      <c r="Q150" s="137"/>
      <c r="R150" s="137"/>
      <c r="S150" s="137" t="s">
        <v>721</v>
      </c>
      <c r="T150" s="137" t="s">
        <v>713</v>
      </c>
      <c r="U150" s="137" t="s">
        <v>714</v>
      </c>
      <c r="V150" s="137">
        <v>146</v>
      </c>
      <c r="W150" s="217"/>
      <c r="X150" s="207">
        <v>46024</v>
      </c>
      <c r="Y150" s="207">
        <v>46038</v>
      </c>
      <c r="Z150" s="207">
        <v>46041</v>
      </c>
      <c r="AA150" s="207">
        <v>46052</v>
      </c>
      <c r="AB150" s="207">
        <v>46056</v>
      </c>
      <c r="AC150" s="207">
        <v>46069</v>
      </c>
      <c r="AD150" s="207">
        <v>46070</v>
      </c>
      <c r="AE150" s="207">
        <v>46072</v>
      </c>
      <c r="AF150" s="207">
        <v>46073</v>
      </c>
      <c r="AG150" s="207">
        <v>46073</v>
      </c>
      <c r="AH150" s="207">
        <v>46076</v>
      </c>
      <c r="AI150" s="207">
        <v>46101</v>
      </c>
      <c r="AJ150" s="207">
        <v>46104</v>
      </c>
      <c r="AK150" s="207">
        <v>46129</v>
      </c>
      <c r="AL150" s="207">
        <f t="shared" ref="AL150:AL158" si="11">AK150+1</f>
        <v>46130</v>
      </c>
      <c r="AM150" s="207">
        <f t="shared" ref="AM150:AM158" si="12">AL150</f>
        <v>46130</v>
      </c>
    </row>
    <row r="151" spans="1:40" hidden="1">
      <c r="A151" s="137" t="s">
        <v>67</v>
      </c>
      <c r="B151" s="283" t="s">
        <v>133</v>
      </c>
      <c r="C151" s="165" t="s">
        <v>134</v>
      </c>
      <c r="D151" s="166" t="s">
        <v>710</v>
      </c>
      <c r="E151" s="137" t="s">
        <v>564</v>
      </c>
      <c r="F151" s="199" t="s">
        <v>417</v>
      </c>
      <c r="G151" s="196" t="s">
        <v>933</v>
      </c>
      <c r="H151" s="137" t="s">
        <v>437</v>
      </c>
      <c r="I151" s="137" t="s">
        <v>54</v>
      </c>
      <c r="J151" s="137"/>
      <c r="K151" s="137" t="s">
        <v>339</v>
      </c>
      <c r="L151" s="137"/>
      <c r="M151" s="137" t="s">
        <v>57</v>
      </c>
      <c r="N151" s="137" t="s">
        <v>133</v>
      </c>
      <c r="O151" s="137"/>
      <c r="P151" s="137"/>
      <c r="Q151" s="137"/>
      <c r="R151" s="137"/>
      <c r="S151" s="137" t="s">
        <v>712</v>
      </c>
      <c r="T151" s="137" t="s">
        <v>713</v>
      </c>
      <c r="U151" s="137" t="s">
        <v>714</v>
      </c>
      <c r="V151" s="137">
        <v>147</v>
      </c>
      <c r="W151" s="217"/>
      <c r="X151" s="207">
        <v>45659</v>
      </c>
      <c r="Y151" s="207">
        <v>46083</v>
      </c>
      <c r="Z151" s="207">
        <v>46034</v>
      </c>
      <c r="AA151" s="207">
        <v>46038</v>
      </c>
      <c r="AB151" s="207">
        <v>46041</v>
      </c>
      <c r="AC151" s="207">
        <v>46045</v>
      </c>
      <c r="AD151" s="207">
        <v>46048</v>
      </c>
      <c r="AE151" s="207">
        <v>46052</v>
      </c>
      <c r="AF151" s="207">
        <v>46055</v>
      </c>
      <c r="AG151" s="207">
        <v>46062</v>
      </c>
      <c r="AH151" s="207">
        <v>46076</v>
      </c>
      <c r="AI151" s="207">
        <v>46101</v>
      </c>
      <c r="AJ151" s="207">
        <v>46104</v>
      </c>
      <c r="AK151" s="207">
        <v>46129</v>
      </c>
      <c r="AL151" s="207">
        <f t="shared" si="11"/>
        <v>46130</v>
      </c>
      <c r="AM151" s="207">
        <f t="shared" si="12"/>
        <v>46130</v>
      </c>
    </row>
    <row r="152" spans="1:40" ht="30" hidden="1">
      <c r="A152" s="137" t="s">
        <v>4</v>
      </c>
      <c r="B152" s="283" t="s">
        <v>4</v>
      </c>
      <c r="C152" s="165" t="s">
        <v>225</v>
      </c>
      <c r="D152" s="166" t="s">
        <v>710</v>
      </c>
      <c r="E152" s="137" t="s">
        <v>565</v>
      </c>
      <c r="F152" s="199" t="s">
        <v>508</v>
      </c>
      <c r="G152" s="196" t="s">
        <v>746</v>
      </c>
      <c r="H152" s="137" t="s">
        <v>473</v>
      </c>
      <c r="I152" s="137"/>
      <c r="J152" s="137"/>
      <c r="K152" s="137" t="s">
        <v>340</v>
      </c>
      <c r="L152" s="137" t="s">
        <v>474</v>
      </c>
      <c r="M152" s="137" t="s">
        <v>74</v>
      </c>
      <c r="N152" s="137" t="s">
        <v>338</v>
      </c>
      <c r="O152" s="137"/>
      <c r="P152" s="137"/>
      <c r="Q152" s="137"/>
      <c r="R152" s="137"/>
      <c r="S152" s="137" t="s">
        <v>776</v>
      </c>
      <c r="T152" s="137" t="s">
        <v>713</v>
      </c>
      <c r="U152" s="137" t="s">
        <v>696</v>
      </c>
      <c r="V152" s="137">
        <v>148</v>
      </c>
      <c r="W152" s="217"/>
      <c r="X152" s="207">
        <v>46024</v>
      </c>
      <c r="Y152" s="207">
        <v>46083</v>
      </c>
      <c r="Z152" s="207">
        <v>46041</v>
      </c>
      <c r="AA152" s="207">
        <v>46045</v>
      </c>
      <c r="AB152" s="207">
        <v>46048</v>
      </c>
      <c r="AC152" s="207">
        <v>46052</v>
      </c>
      <c r="AD152" s="207">
        <v>46055</v>
      </c>
      <c r="AE152" s="207">
        <v>46066</v>
      </c>
      <c r="AF152" s="207">
        <v>46069</v>
      </c>
      <c r="AG152" s="207">
        <v>46073</v>
      </c>
      <c r="AH152" s="207">
        <v>46083</v>
      </c>
      <c r="AI152" s="207">
        <v>46101</v>
      </c>
      <c r="AJ152" s="207">
        <v>46104</v>
      </c>
      <c r="AK152" s="207">
        <v>46122</v>
      </c>
      <c r="AL152" s="207">
        <f t="shared" si="11"/>
        <v>46123</v>
      </c>
      <c r="AM152" s="207">
        <f t="shared" si="12"/>
        <v>46123</v>
      </c>
    </row>
    <row r="153" spans="1:40" hidden="1">
      <c r="A153" s="137" t="s">
        <v>46</v>
      </c>
      <c r="B153" s="289" t="s">
        <v>4</v>
      </c>
      <c r="C153" s="165" t="s">
        <v>225</v>
      </c>
      <c r="D153" s="166" t="s">
        <v>710</v>
      </c>
      <c r="E153" s="137" t="s">
        <v>566</v>
      </c>
      <c r="F153" s="199" t="s">
        <v>66</v>
      </c>
      <c r="G153" s="196" t="s">
        <v>934</v>
      </c>
      <c r="H153" s="137" t="s">
        <v>112</v>
      </c>
      <c r="I153" s="137" t="s">
        <v>54</v>
      </c>
      <c r="J153" s="137" t="s">
        <v>532</v>
      </c>
      <c r="K153" s="137" t="s">
        <v>339</v>
      </c>
      <c r="L153" s="137"/>
      <c r="M153" s="137" t="s">
        <v>57</v>
      </c>
      <c r="N153" s="137" t="s">
        <v>4</v>
      </c>
      <c r="O153" s="137" t="s">
        <v>567</v>
      </c>
      <c r="P153" s="137" t="s">
        <v>533</v>
      </c>
      <c r="Q153" s="137"/>
      <c r="R153" s="137"/>
      <c r="S153" s="137" t="s">
        <v>721</v>
      </c>
      <c r="T153" s="137" t="s">
        <v>713</v>
      </c>
      <c r="U153" s="137" t="s">
        <v>714</v>
      </c>
      <c r="V153" s="137">
        <v>149</v>
      </c>
      <c r="W153" s="217"/>
      <c r="X153" s="207">
        <v>46024</v>
      </c>
      <c r="Y153" s="207">
        <v>46083</v>
      </c>
      <c r="Z153" s="207">
        <v>46041</v>
      </c>
      <c r="AA153" s="207">
        <v>46045</v>
      </c>
      <c r="AB153" s="207">
        <v>46048</v>
      </c>
      <c r="AC153" s="207">
        <v>46052</v>
      </c>
      <c r="AD153" s="207">
        <v>46055</v>
      </c>
      <c r="AE153" s="207">
        <v>46066</v>
      </c>
      <c r="AF153" s="207">
        <v>46069</v>
      </c>
      <c r="AG153" s="207">
        <v>46073</v>
      </c>
      <c r="AH153" s="207">
        <v>46076</v>
      </c>
      <c r="AI153" s="207">
        <v>46101</v>
      </c>
      <c r="AJ153" s="207">
        <v>46104</v>
      </c>
      <c r="AK153" s="207">
        <v>46129</v>
      </c>
      <c r="AL153" s="207">
        <f t="shared" si="11"/>
        <v>46130</v>
      </c>
      <c r="AM153" s="207">
        <f t="shared" si="12"/>
        <v>46130</v>
      </c>
    </row>
    <row r="154" spans="1:40" hidden="1">
      <c r="A154" s="137" t="s">
        <v>46</v>
      </c>
      <c r="B154" s="289" t="s">
        <v>4</v>
      </c>
      <c r="C154" s="165" t="s">
        <v>225</v>
      </c>
      <c r="D154" s="166" t="s">
        <v>710</v>
      </c>
      <c r="E154" s="137" t="s">
        <v>568</v>
      </c>
      <c r="F154" s="199" t="s">
        <v>66</v>
      </c>
      <c r="G154" s="196" t="s">
        <v>935</v>
      </c>
      <c r="H154" s="137" t="s">
        <v>112</v>
      </c>
      <c r="I154" s="137" t="s">
        <v>54</v>
      </c>
      <c r="J154" s="137" t="s">
        <v>532</v>
      </c>
      <c r="K154" s="137" t="s">
        <v>339</v>
      </c>
      <c r="L154" s="137"/>
      <c r="M154" s="137" t="s">
        <v>57</v>
      </c>
      <c r="N154" s="137" t="s">
        <v>4</v>
      </c>
      <c r="O154" s="137" t="s">
        <v>567</v>
      </c>
      <c r="P154" s="137" t="s">
        <v>533</v>
      </c>
      <c r="Q154" s="137"/>
      <c r="R154" s="137"/>
      <c r="S154" s="137" t="s">
        <v>721</v>
      </c>
      <c r="T154" s="137" t="s">
        <v>713</v>
      </c>
      <c r="U154" s="137" t="s">
        <v>714</v>
      </c>
      <c r="V154" s="137">
        <v>150</v>
      </c>
      <c r="W154" s="217"/>
      <c r="X154" s="207">
        <v>46024</v>
      </c>
      <c r="Y154" s="207">
        <v>46083</v>
      </c>
      <c r="Z154" s="207">
        <v>46041</v>
      </c>
      <c r="AA154" s="207">
        <v>46045</v>
      </c>
      <c r="AB154" s="207">
        <v>46048</v>
      </c>
      <c r="AC154" s="207">
        <v>46052</v>
      </c>
      <c r="AD154" s="207">
        <v>46055</v>
      </c>
      <c r="AE154" s="207">
        <v>46066</v>
      </c>
      <c r="AF154" s="207">
        <v>46069</v>
      </c>
      <c r="AG154" s="207">
        <v>46073</v>
      </c>
      <c r="AH154" s="207">
        <v>46076</v>
      </c>
      <c r="AI154" s="207">
        <v>46101</v>
      </c>
      <c r="AJ154" s="207">
        <v>46104</v>
      </c>
      <c r="AK154" s="207">
        <v>46129</v>
      </c>
      <c r="AL154" s="207">
        <f t="shared" si="11"/>
        <v>46130</v>
      </c>
      <c r="AM154" s="207">
        <f t="shared" si="12"/>
        <v>46130</v>
      </c>
    </row>
    <row r="155" spans="1:40" hidden="1">
      <c r="A155" s="172" t="s">
        <v>46</v>
      </c>
      <c r="B155" s="287" t="s">
        <v>61</v>
      </c>
      <c r="C155" s="173" t="s">
        <v>48</v>
      </c>
      <c r="D155" s="166" t="s">
        <v>656</v>
      </c>
      <c r="E155" s="172" t="s">
        <v>569</v>
      </c>
      <c r="F155" s="200" t="s">
        <v>66</v>
      </c>
      <c r="G155" s="206" t="s">
        <v>936</v>
      </c>
      <c r="H155" s="172" t="s">
        <v>102</v>
      </c>
      <c r="I155" s="172"/>
      <c r="J155" s="172"/>
      <c r="K155" s="172" t="s">
        <v>347</v>
      </c>
      <c r="L155" s="172" t="s">
        <v>102</v>
      </c>
      <c r="M155" s="172" t="s">
        <v>102</v>
      </c>
      <c r="N155" s="172" t="e">
        <f>#REF!</f>
        <v>#REF!</v>
      </c>
      <c r="O155" s="172"/>
      <c r="P155" s="172"/>
      <c r="Q155" s="172" t="s">
        <v>462</v>
      </c>
      <c r="R155" s="172"/>
      <c r="S155" s="137" t="s">
        <v>695</v>
      </c>
      <c r="T155" s="137"/>
      <c r="U155" s="137" t="s">
        <v>696</v>
      </c>
      <c r="V155" s="137">
        <v>151</v>
      </c>
      <c r="W155" s="217" t="s">
        <v>44</v>
      </c>
      <c r="X155" s="207">
        <v>45659</v>
      </c>
      <c r="Y155" s="207">
        <v>46083</v>
      </c>
      <c r="Z155" s="207">
        <v>46108</v>
      </c>
      <c r="AA155" s="207">
        <v>46108</v>
      </c>
      <c r="AB155" s="207">
        <v>46108</v>
      </c>
      <c r="AC155" s="207">
        <v>46108</v>
      </c>
      <c r="AD155" s="207">
        <v>46108</v>
      </c>
      <c r="AE155" s="207">
        <v>46108</v>
      </c>
      <c r="AF155" s="207">
        <v>46108</v>
      </c>
      <c r="AG155" s="207">
        <v>46108</v>
      </c>
      <c r="AH155" s="207">
        <v>46108</v>
      </c>
      <c r="AI155" s="207">
        <v>46108</v>
      </c>
      <c r="AJ155" s="207">
        <v>46108</v>
      </c>
      <c r="AK155" s="207">
        <v>46108</v>
      </c>
      <c r="AL155" s="207">
        <f t="shared" si="11"/>
        <v>46109</v>
      </c>
      <c r="AM155" s="207">
        <f t="shared" si="12"/>
        <v>46109</v>
      </c>
    </row>
    <row r="156" spans="1:40" hidden="1">
      <c r="A156" s="137" t="s">
        <v>46</v>
      </c>
      <c r="B156" s="289" t="s">
        <v>4</v>
      </c>
      <c r="C156" s="165" t="s">
        <v>225</v>
      </c>
      <c r="D156" s="166" t="s">
        <v>710</v>
      </c>
      <c r="E156" s="137" t="s">
        <v>570</v>
      </c>
      <c r="F156" s="199" t="s">
        <v>66</v>
      </c>
      <c r="G156" s="196" t="s">
        <v>937</v>
      </c>
      <c r="H156" s="137" t="s">
        <v>571</v>
      </c>
      <c r="I156" s="137" t="s">
        <v>54</v>
      </c>
      <c r="J156" s="137" t="s">
        <v>532</v>
      </c>
      <c r="K156" s="137" t="s">
        <v>339</v>
      </c>
      <c r="L156" s="137"/>
      <c r="M156" s="137" t="s">
        <v>57</v>
      </c>
      <c r="N156" s="137" t="s">
        <v>4</v>
      </c>
      <c r="O156" s="137" t="s">
        <v>567</v>
      </c>
      <c r="P156" s="137" t="s">
        <v>533</v>
      </c>
      <c r="Q156" s="137"/>
      <c r="R156" s="137"/>
      <c r="S156" s="137" t="s">
        <v>721</v>
      </c>
      <c r="T156" s="137" t="s">
        <v>713</v>
      </c>
      <c r="U156" s="137" t="s">
        <v>714</v>
      </c>
      <c r="V156" s="137">
        <v>152</v>
      </c>
      <c r="W156" s="217"/>
      <c r="X156" s="207">
        <v>46024</v>
      </c>
      <c r="Y156" s="207">
        <v>46083</v>
      </c>
      <c r="Z156" s="207">
        <v>46041</v>
      </c>
      <c r="AA156" s="207">
        <v>46045</v>
      </c>
      <c r="AB156" s="207">
        <v>46048</v>
      </c>
      <c r="AC156" s="207">
        <v>46052</v>
      </c>
      <c r="AD156" s="207">
        <v>46055</v>
      </c>
      <c r="AE156" s="207">
        <v>46066</v>
      </c>
      <c r="AF156" s="207">
        <v>46069</v>
      </c>
      <c r="AG156" s="207">
        <v>46073</v>
      </c>
      <c r="AH156" s="207">
        <v>46076</v>
      </c>
      <c r="AI156" s="207">
        <v>46101</v>
      </c>
      <c r="AJ156" s="207">
        <v>46104</v>
      </c>
      <c r="AK156" s="207">
        <v>46129</v>
      </c>
      <c r="AL156" s="207">
        <f t="shared" si="11"/>
        <v>46130</v>
      </c>
      <c r="AM156" s="207">
        <f t="shared" si="12"/>
        <v>46130</v>
      </c>
    </row>
    <row r="157" spans="1:40" hidden="1">
      <c r="A157" s="172" t="s">
        <v>46</v>
      </c>
      <c r="B157" s="287" t="s">
        <v>61</v>
      </c>
      <c r="C157" s="173" t="s">
        <v>48</v>
      </c>
      <c r="D157" s="166" t="s">
        <v>656</v>
      </c>
      <c r="E157" s="172" t="s">
        <v>572</v>
      </c>
      <c r="F157" s="200" t="s">
        <v>66</v>
      </c>
      <c r="G157" s="206" t="s">
        <v>938</v>
      </c>
      <c r="H157" s="172" t="s">
        <v>102</v>
      </c>
      <c r="I157" s="172"/>
      <c r="J157" s="172"/>
      <c r="K157" s="172" t="s">
        <v>347</v>
      </c>
      <c r="L157" s="172" t="s">
        <v>102</v>
      </c>
      <c r="M157" s="172" t="s">
        <v>102</v>
      </c>
      <c r="N157" s="172" t="e">
        <f>#REF!</f>
        <v>#REF!</v>
      </c>
      <c r="O157" s="172"/>
      <c r="P157" s="172"/>
      <c r="Q157" s="172" t="s">
        <v>462</v>
      </c>
      <c r="R157" s="172"/>
      <c r="S157" s="137" t="s">
        <v>695</v>
      </c>
      <c r="T157" s="137"/>
      <c r="U157" s="137" t="s">
        <v>696</v>
      </c>
      <c r="V157" s="137">
        <v>153</v>
      </c>
      <c r="W157" s="217" t="s">
        <v>44</v>
      </c>
      <c r="X157" s="207">
        <v>45659</v>
      </c>
      <c r="Y157" s="207">
        <v>46083</v>
      </c>
      <c r="Z157" s="207">
        <v>46108</v>
      </c>
      <c r="AA157" s="207">
        <v>46108</v>
      </c>
      <c r="AB157" s="207">
        <v>46108</v>
      </c>
      <c r="AC157" s="207">
        <v>46108</v>
      </c>
      <c r="AD157" s="207">
        <v>46108</v>
      </c>
      <c r="AE157" s="207">
        <v>46108</v>
      </c>
      <c r="AF157" s="207">
        <v>46108</v>
      </c>
      <c r="AG157" s="207">
        <v>46108</v>
      </c>
      <c r="AH157" s="207">
        <v>46108</v>
      </c>
      <c r="AI157" s="207">
        <v>46108</v>
      </c>
      <c r="AJ157" s="207">
        <v>46108</v>
      </c>
      <c r="AK157" s="207">
        <v>46108</v>
      </c>
      <c r="AL157" s="207">
        <f t="shared" si="11"/>
        <v>46109</v>
      </c>
      <c r="AM157" s="207">
        <f t="shared" si="12"/>
        <v>46109</v>
      </c>
    </row>
    <row r="158" spans="1:40" hidden="1">
      <c r="A158" s="137" t="s">
        <v>4</v>
      </c>
      <c r="B158" s="283" t="s">
        <v>4</v>
      </c>
      <c r="C158" s="165" t="s">
        <v>225</v>
      </c>
      <c r="D158" s="166" t="s">
        <v>710</v>
      </c>
      <c r="E158" s="137" t="s">
        <v>573</v>
      </c>
      <c r="F158" s="199" t="s">
        <v>574</v>
      </c>
      <c r="G158" s="196" t="s">
        <v>939</v>
      </c>
      <c r="H158" s="137" t="s">
        <v>219</v>
      </c>
      <c r="I158" s="137" t="s">
        <v>83</v>
      </c>
      <c r="J158" s="137" t="s">
        <v>532</v>
      </c>
      <c r="K158" s="137" t="s">
        <v>339</v>
      </c>
      <c r="L158" s="137"/>
      <c r="M158" s="137" t="s">
        <v>57</v>
      </c>
      <c r="N158" s="137" t="s">
        <v>4</v>
      </c>
      <c r="O158" s="137" t="s">
        <v>230</v>
      </c>
      <c r="P158" s="137" t="s">
        <v>533</v>
      </c>
      <c r="Q158" s="137"/>
      <c r="R158" s="137"/>
      <c r="S158" s="137" t="s">
        <v>721</v>
      </c>
      <c r="T158" s="137" t="s">
        <v>713</v>
      </c>
      <c r="U158" s="137" t="s">
        <v>714</v>
      </c>
      <c r="V158" s="137">
        <v>154</v>
      </c>
      <c r="W158" s="217"/>
      <c r="X158" s="207">
        <v>46024</v>
      </c>
      <c r="Y158" s="207">
        <v>46083</v>
      </c>
      <c r="Z158" s="207">
        <v>46041</v>
      </c>
      <c r="AA158" s="207">
        <v>46045</v>
      </c>
      <c r="AB158" s="207">
        <v>46048</v>
      </c>
      <c r="AC158" s="207">
        <v>46052</v>
      </c>
      <c r="AD158" s="207">
        <v>46055</v>
      </c>
      <c r="AE158" s="207">
        <v>46066</v>
      </c>
      <c r="AF158" s="207">
        <v>46069</v>
      </c>
      <c r="AG158" s="207">
        <v>46073</v>
      </c>
      <c r="AH158" s="207">
        <v>46076</v>
      </c>
      <c r="AI158" s="207">
        <v>46101</v>
      </c>
      <c r="AJ158" s="207">
        <v>46104</v>
      </c>
      <c r="AK158" s="207">
        <v>46129</v>
      </c>
      <c r="AL158" s="207">
        <f t="shared" si="11"/>
        <v>46130</v>
      </c>
      <c r="AM158" s="207">
        <f t="shared" si="12"/>
        <v>46130</v>
      </c>
    </row>
    <row r="159" spans="1:40" hidden="1">
      <c r="A159" s="137" t="s">
        <v>719</v>
      </c>
      <c r="B159" s="283" t="s">
        <v>16</v>
      </c>
      <c r="C159" s="165" t="s">
        <v>123</v>
      </c>
      <c r="D159" s="166" t="s">
        <v>195</v>
      </c>
      <c r="E159" s="137" t="s">
        <v>24</v>
      </c>
      <c r="F159" s="199" t="s">
        <v>218</v>
      </c>
      <c r="G159" s="196" t="s">
        <v>940</v>
      </c>
      <c r="H159" s="137" t="s">
        <v>219</v>
      </c>
      <c r="I159" s="137" t="s">
        <v>83</v>
      </c>
      <c r="J159" s="137" t="s">
        <v>220</v>
      </c>
      <c r="K159" s="137" t="s">
        <v>198</v>
      </c>
      <c r="L159" s="137"/>
      <c r="M159" s="137" t="s">
        <v>57</v>
      </c>
      <c r="N159" s="137" t="s">
        <v>16</v>
      </c>
      <c r="O159" s="137"/>
      <c r="P159" s="137"/>
      <c r="Q159" s="137"/>
      <c r="R159" s="137"/>
      <c r="S159" s="137" t="s">
        <v>941</v>
      </c>
      <c r="T159" s="137"/>
      <c r="U159" s="137" t="s">
        <v>767</v>
      </c>
      <c r="V159" s="137">
        <v>155</v>
      </c>
      <c r="W159" s="217" t="s">
        <v>667</v>
      </c>
      <c r="X159" s="207">
        <v>45659</v>
      </c>
      <c r="Y159" s="207">
        <v>46083</v>
      </c>
      <c r="Z159" s="207">
        <v>46069</v>
      </c>
      <c r="AA159" s="207">
        <v>46122</v>
      </c>
      <c r="AB159" s="207">
        <v>46125</v>
      </c>
      <c r="AC159" s="207">
        <v>46136</v>
      </c>
      <c r="AD159" s="207">
        <v>46139</v>
      </c>
      <c r="AE159" s="207">
        <v>46150</v>
      </c>
      <c r="AF159" s="207">
        <v>46150</v>
      </c>
      <c r="AG159" s="207">
        <v>46153</v>
      </c>
      <c r="AH159" s="207">
        <v>46154</v>
      </c>
      <c r="AI159" s="207">
        <v>46156</v>
      </c>
      <c r="AJ159" s="207">
        <v>46157</v>
      </c>
      <c r="AK159" s="207">
        <v>46170</v>
      </c>
      <c r="AL159" s="207">
        <v>46171</v>
      </c>
      <c r="AM159" s="207">
        <v>46174</v>
      </c>
      <c r="AN159" t="s">
        <v>768</v>
      </c>
    </row>
    <row r="160" spans="1:40" hidden="1">
      <c r="A160" s="137" t="s">
        <v>719</v>
      </c>
      <c r="B160" s="283" t="s">
        <v>16</v>
      </c>
      <c r="C160" s="165" t="s">
        <v>123</v>
      </c>
      <c r="D160" s="166" t="s">
        <v>195</v>
      </c>
      <c r="E160" s="137" t="s">
        <v>21</v>
      </c>
      <c r="F160" s="199" t="s">
        <v>218</v>
      </c>
      <c r="G160" s="196" t="s">
        <v>942</v>
      </c>
      <c r="H160" s="137" t="s">
        <v>219</v>
      </c>
      <c r="I160" s="137" t="s">
        <v>83</v>
      </c>
      <c r="J160" s="137" t="s">
        <v>220</v>
      </c>
      <c r="K160" s="137" t="s">
        <v>198</v>
      </c>
      <c r="L160" s="137"/>
      <c r="M160" s="137" t="s">
        <v>57</v>
      </c>
      <c r="N160" s="137" t="s">
        <v>16</v>
      </c>
      <c r="O160" s="137"/>
      <c r="P160" s="137"/>
      <c r="Q160" s="137"/>
      <c r="R160" s="137"/>
      <c r="S160" s="137" t="s">
        <v>941</v>
      </c>
      <c r="T160" s="137"/>
      <c r="U160" s="137" t="s">
        <v>767</v>
      </c>
      <c r="V160" s="137">
        <v>156</v>
      </c>
      <c r="W160" s="217" t="s">
        <v>667</v>
      </c>
      <c r="X160" s="207">
        <v>45659</v>
      </c>
      <c r="Y160" s="207">
        <v>46083</v>
      </c>
      <c r="Z160" s="207">
        <v>46069</v>
      </c>
      <c r="AA160" s="207">
        <v>46122</v>
      </c>
      <c r="AB160" s="207">
        <v>46125</v>
      </c>
      <c r="AC160" s="207">
        <v>46136</v>
      </c>
      <c r="AD160" s="207">
        <v>46139</v>
      </c>
      <c r="AE160" s="207">
        <v>46150</v>
      </c>
      <c r="AF160" s="207">
        <v>46150</v>
      </c>
      <c r="AG160" s="207">
        <v>46153</v>
      </c>
      <c r="AH160" s="207">
        <v>46154</v>
      </c>
      <c r="AI160" s="207">
        <v>46156</v>
      </c>
      <c r="AJ160" s="207">
        <v>46157</v>
      </c>
      <c r="AK160" s="207">
        <v>46170</v>
      </c>
      <c r="AL160" s="207">
        <v>46171</v>
      </c>
      <c r="AM160" s="207">
        <v>46174</v>
      </c>
      <c r="AN160" t="s">
        <v>768</v>
      </c>
    </row>
    <row r="161" spans="1:39" hidden="1">
      <c r="A161" s="172" t="s">
        <v>46</v>
      </c>
      <c r="B161" s="287" t="s">
        <v>61</v>
      </c>
      <c r="C161" s="173" t="s">
        <v>48</v>
      </c>
      <c r="D161" s="166" t="s">
        <v>656</v>
      </c>
      <c r="E161" s="172" t="s">
        <v>575</v>
      </c>
      <c r="F161" s="200" t="s">
        <v>63</v>
      </c>
      <c r="G161" s="206" t="s">
        <v>943</v>
      </c>
      <c r="H161" s="172" t="s">
        <v>102</v>
      </c>
      <c r="I161" s="172"/>
      <c r="J161" s="172"/>
      <c r="K161" s="172" t="s">
        <v>347</v>
      </c>
      <c r="L161" s="172" t="s">
        <v>102</v>
      </c>
      <c r="M161" s="172" t="s">
        <v>102</v>
      </c>
      <c r="N161" s="172" t="e">
        <f>#REF!</f>
        <v>#REF!</v>
      </c>
      <c r="O161" s="172"/>
      <c r="P161" s="172"/>
      <c r="Q161" s="172" t="s">
        <v>462</v>
      </c>
      <c r="R161" s="172"/>
      <c r="S161" s="137" t="s">
        <v>695</v>
      </c>
      <c r="T161" s="137"/>
      <c r="U161" s="137" t="s">
        <v>696</v>
      </c>
      <c r="V161" s="137">
        <v>157</v>
      </c>
      <c r="W161" s="217" t="s">
        <v>44</v>
      </c>
      <c r="X161" s="207">
        <v>45659</v>
      </c>
      <c r="Y161" s="207">
        <v>46083</v>
      </c>
      <c r="Z161" s="207">
        <v>46108</v>
      </c>
      <c r="AA161" s="207">
        <v>46108</v>
      </c>
      <c r="AB161" s="207">
        <v>46108</v>
      </c>
      <c r="AC161" s="207">
        <v>46108</v>
      </c>
      <c r="AD161" s="207">
        <v>46108</v>
      </c>
      <c r="AE161" s="207">
        <v>46108</v>
      </c>
      <c r="AF161" s="207">
        <v>46108</v>
      </c>
      <c r="AG161" s="207">
        <v>46108</v>
      </c>
      <c r="AH161" s="207">
        <v>46108</v>
      </c>
      <c r="AI161" s="207">
        <v>46108</v>
      </c>
      <c r="AJ161" s="207">
        <v>46108</v>
      </c>
      <c r="AK161" s="207">
        <v>46108</v>
      </c>
      <c r="AL161" s="207">
        <f t="shared" ref="AL161:AL200" si="13">AK161+1</f>
        <v>46109</v>
      </c>
      <c r="AM161" s="207">
        <f t="shared" ref="AM161:AM200" si="14">AL161</f>
        <v>46109</v>
      </c>
    </row>
    <row r="162" spans="1:39" hidden="1">
      <c r="A162" s="172" t="s">
        <v>46</v>
      </c>
      <c r="B162" s="287" t="s">
        <v>61</v>
      </c>
      <c r="C162" s="173" t="s">
        <v>48</v>
      </c>
      <c r="D162" s="166" t="s">
        <v>656</v>
      </c>
      <c r="E162" s="172" t="s">
        <v>576</v>
      </c>
      <c r="F162" s="200" t="s">
        <v>63</v>
      </c>
      <c r="G162" s="206" t="s">
        <v>944</v>
      </c>
      <c r="H162" s="172" t="s">
        <v>102</v>
      </c>
      <c r="I162" s="172"/>
      <c r="J162" s="172"/>
      <c r="K162" s="172" t="s">
        <v>347</v>
      </c>
      <c r="L162" s="172" t="s">
        <v>102</v>
      </c>
      <c r="M162" s="172" t="s">
        <v>102</v>
      </c>
      <c r="N162" s="172" t="e">
        <f>#REF!</f>
        <v>#REF!</v>
      </c>
      <c r="O162" s="172"/>
      <c r="P162" s="172"/>
      <c r="Q162" s="172" t="s">
        <v>462</v>
      </c>
      <c r="R162" s="172"/>
      <c r="S162" s="137" t="s">
        <v>695</v>
      </c>
      <c r="T162" s="137"/>
      <c r="U162" s="137" t="s">
        <v>696</v>
      </c>
      <c r="V162" s="137">
        <v>158</v>
      </c>
      <c r="W162" s="217" t="s">
        <v>44</v>
      </c>
      <c r="X162" s="207">
        <v>45659</v>
      </c>
      <c r="Y162" s="207">
        <v>46083</v>
      </c>
      <c r="Z162" s="207">
        <v>46108</v>
      </c>
      <c r="AA162" s="207">
        <v>46108</v>
      </c>
      <c r="AB162" s="207">
        <v>46108</v>
      </c>
      <c r="AC162" s="207">
        <v>46108</v>
      </c>
      <c r="AD162" s="207">
        <v>46108</v>
      </c>
      <c r="AE162" s="207">
        <v>46108</v>
      </c>
      <c r="AF162" s="207">
        <v>46108</v>
      </c>
      <c r="AG162" s="207">
        <v>46108</v>
      </c>
      <c r="AH162" s="207">
        <v>46108</v>
      </c>
      <c r="AI162" s="207">
        <v>46108</v>
      </c>
      <c r="AJ162" s="207">
        <v>46108</v>
      </c>
      <c r="AK162" s="207">
        <v>46108</v>
      </c>
      <c r="AL162" s="207">
        <f t="shared" si="13"/>
        <v>46109</v>
      </c>
      <c r="AM162" s="207">
        <f t="shared" si="14"/>
        <v>46109</v>
      </c>
    </row>
    <row r="163" spans="1:39" ht="30" hidden="1">
      <c r="A163" s="137" t="s">
        <v>357</v>
      </c>
      <c r="B163" s="283" t="s">
        <v>133</v>
      </c>
      <c r="C163" s="165" t="s">
        <v>134</v>
      </c>
      <c r="D163" s="166" t="s">
        <v>710</v>
      </c>
      <c r="E163" s="137" t="s">
        <v>577</v>
      </c>
      <c r="F163" s="199" t="s">
        <v>578</v>
      </c>
      <c r="G163" s="196" t="s">
        <v>945</v>
      </c>
      <c r="H163" s="137" t="s">
        <v>579</v>
      </c>
      <c r="I163" s="137" t="s">
        <v>54</v>
      </c>
      <c r="J163" s="137"/>
      <c r="K163" s="137" t="s">
        <v>339</v>
      </c>
      <c r="L163" s="137"/>
      <c r="M163" s="137" t="s">
        <v>57</v>
      </c>
      <c r="N163" s="137" t="s">
        <v>133</v>
      </c>
      <c r="O163" s="137"/>
      <c r="P163" s="137"/>
      <c r="Q163" s="137"/>
      <c r="R163" s="137"/>
      <c r="S163" s="167" t="s">
        <v>946</v>
      </c>
      <c r="T163" s="137" t="s">
        <v>713</v>
      </c>
      <c r="U163" s="137" t="s">
        <v>714</v>
      </c>
      <c r="V163" s="137">
        <v>159</v>
      </c>
      <c r="W163" s="217"/>
      <c r="X163" s="207">
        <v>45659</v>
      </c>
      <c r="Y163" s="207">
        <v>46083</v>
      </c>
      <c r="Z163" s="207">
        <v>46034</v>
      </c>
      <c r="AA163" s="207">
        <v>46038</v>
      </c>
      <c r="AB163" s="207">
        <v>46041</v>
      </c>
      <c r="AC163" s="207">
        <v>46045</v>
      </c>
      <c r="AD163" s="207">
        <v>46048</v>
      </c>
      <c r="AE163" s="207">
        <v>46052</v>
      </c>
      <c r="AF163" s="207">
        <v>46055</v>
      </c>
      <c r="AG163" s="207">
        <v>46062</v>
      </c>
      <c r="AH163" s="207">
        <v>46076</v>
      </c>
      <c r="AI163" s="207">
        <v>46101</v>
      </c>
      <c r="AJ163" s="207">
        <v>46104</v>
      </c>
      <c r="AK163" s="207">
        <v>46129</v>
      </c>
      <c r="AL163" s="207">
        <f t="shared" si="13"/>
        <v>46130</v>
      </c>
      <c r="AM163" s="207">
        <f t="shared" si="14"/>
        <v>46130</v>
      </c>
    </row>
    <row r="164" spans="1:39" ht="30" hidden="1">
      <c r="A164" s="137" t="s">
        <v>357</v>
      </c>
      <c r="B164" s="283" t="s">
        <v>133</v>
      </c>
      <c r="C164" s="165" t="s">
        <v>134</v>
      </c>
      <c r="D164" s="166" t="s">
        <v>710</v>
      </c>
      <c r="E164" s="137" t="s">
        <v>580</v>
      </c>
      <c r="F164" s="199" t="s">
        <v>578</v>
      </c>
      <c r="G164" s="196" t="s">
        <v>947</v>
      </c>
      <c r="H164" s="137" t="s">
        <v>579</v>
      </c>
      <c r="I164" s="137" t="s">
        <v>54</v>
      </c>
      <c r="J164" s="137"/>
      <c r="K164" s="137" t="s">
        <v>339</v>
      </c>
      <c r="L164" s="137"/>
      <c r="M164" s="137" t="s">
        <v>57</v>
      </c>
      <c r="N164" s="137" t="s">
        <v>133</v>
      </c>
      <c r="O164" s="137"/>
      <c r="P164" s="137"/>
      <c r="Q164" s="137"/>
      <c r="R164" s="137"/>
      <c r="S164" s="167" t="s">
        <v>946</v>
      </c>
      <c r="T164" s="137" t="s">
        <v>713</v>
      </c>
      <c r="U164" s="137" t="s">
        <v>714</v>
      </c>
      <c r="V164" s="137">
        <v>160</v>
      </c>
      <c r="W164" s="217"/>
      <c r="X164" s="207">
        <v>45659</v>
      </c>
      <c r="Y164" s="207">
        <v>46083</v>
      </c>
      <c r="Z164" s="207">
        <v>46034</v>
      </c>
      <c r="AA164" s="207">
        <v>46038</v>
      </c>
      <c r="AB164" s="207">
        <v>46041</v>
      </c>
      <c r="AC164" s="207">
        <v>46045</v>
      </c>
      <c r="AD164" s="207">
        <v>46048</v>
      </c>
      <c r="AE164" s="207">
        <v>46052</v>
      </c>
      <c r="AF164" s="207">
        <v>46055</v>
      </c>
      <c r="AG164" s="207">
        <v>46062</v>
      </c>
      <c r="AH164" s="207">
        <v>46076</v>
      </c>
      <c r="AI164" s="207">
        <v>46101</v>
      </c>
      <c r="AJ164" s="207">
        <v>46104</v>
      </c>
      <c r="AK164" s="207">
        <v>46129</v>
      </c>
      <c r="AL164" s="207">
        <f t="shared" si="13"/>
        <v>46130</v>
      </c>
      <c r="AM164" s="207">
        <f t="shared" si="14"/>
        <v>46130</v>
      </c>
    </row>
    <row r="165" spans="1:39" ht="30" hidden="1">
      <c r="A165" s="137" t="s">
        <v>357</v>
      </c>
      <c r="B165" s="283" t="s">
        <v>133</v>
      </c>
      <c r="C165" s="165" t="s">
        <v>134</v>
      </c>
      <c r="D165" s="166" t="s">
        <v>710</v>
      </c>
      <c r="E165" s="137" t="s">
        <v>581</v>
      </c>
      <c r="F165" s="199" t="s">
        <v>578</v>
      </c>
      <c r="G165" s="196" t="s">
        <v>948</v>
      </c>
      <c r="H165" s="137" t="s">
        <v>579</v>
      </c>
      <c r="I165" s="137" t="s">
        <v>54</v>
      </c>
      <c r="J165" s="137"/>
      <c r="K165" s="137" t="s">
        <v>339</v>
      </c>
      <c r="L165" s="137"/>
      <c r="M165" s="137" t="s">
        <v>57</v>
      </c>
      <c r="N165" s="137" t="s">
        <v>133</v>
      </c>
      <c r="O165" s="137"/>
      <c r="P165" s="137"/>
      <c r="Q165" s="137"/>
      <c r="R165" s="137"/>
      <c r="S165" s="167" t="s">
        <v>946</v>
      </c>
      <c r="T165" s="137" t="s">
        <v>713</v>
      </c>
      <c r="U165" s="137" t="s">
        <v>714</v>
      </c>
      <c r="V165" s="137">
        <v>161</v>
      </c>
      <c r="W165" s="217"/>
      <c r="X165" s="207">
        <v>45659</v>
      </c>
      <c r="Y165" s="207">
        <v>46083</v>
      </c>
      <c r="Z165" s="207">
        <v>46034</v>
      </c>
      <c r="AA165" s="207">
        <v>46038</v>
      </c>
      <c r="AB165" s="207">
        <v>46041</v>
      </c>
      <c r="AC165" s="207">
        <v>46045</v>
      </c>
      <c r="AD165" s="207">
        <v>46048</v>
      </c>
      <c r="AE165" s="207">
        <v>46052</v>
      </c>
      <c r="AF165" s="207">
        <v>46055</v>
      </c>
      <c r="AG165" s="207">
        <v>46062</v>
      </c>
      <c r="AH165" s="207">
        <v>46076</v>
      </c>
      <c r="AI165" s="207">
        <v>46101</v>
      </c>
      <c r="AJ165" s="207">
        <v>46104</v>
      </c>
      <c r="AK165" s="207">
        <v>46129</v>
      </c>
      <c r="AL165" s="207">
        <f t="shared" si="13"/>
        <v>46130</v>
      </c>
      <c r="AM165" s="207">
        <f t="shared" si="14"/>
        <v>46130</v>
      </c>
    </row>
    <row r="166" spans="1:39" ht="30" hidden="1">
      <c r="A166" s="137" t="s">
        <v>357</v>
      </c>
      <c r="B166" s="283" t="s">
        <v>133</v>
      </c>
      <c r="C166" s="165" t="s">
        <v>134</v>
      </c>
      <c r="D166" s="166" t="s">
        <v>710</v>
      </c>
      <c r="E166" s="137" t="s">
        <v>582</v>
      </c>
      <c r="F166" s="199" t="s">
        <v>578</v>
      </c>
      <c r="G166" s="196" t="s">
        <v>949</v>
      </c>
      <c r="H166" s="137" t="s">
        <v>579</v>
      </c>
      <c r="I166" s="137" t="s">
        <v>54</v>
      </c>
      <c r="J166" s="137"/>
      <c r="K166" s="137" t="s">
        <v>339</v>
      </c>
      <c r="L166" s="137"/>
      <c r="M166" s="137" t="s">
        <v>57</v>
      </c>
      <c r="N166" s="137" t="s">
        <v>133</v>
      </c>
      <c r="O166" s="137"/>
      <c r="P166" s="137"/>
      <c r="Q166" s="137"/>
      <c r="R166" s="137"/>
      <c r="S166" s="167" t="s">
        <v>946</v>
      </c>
      <c r="T166" s="137" t="s">
        <v>713</v>
      </c>
      <c r="U166" s="137" t="s">
        <v>714</v>
      </c>
      <c r="V166" s="137">
        <v>162</v>
      </c>
      <c r="W166" s="217"/>
      <c r="X166" s="207">
        <v>45659</v>
      </c>
      <c r="Y166" s="207">
        <v>46083</v>
      </c>
      <c r="Z166" s="207">
        <v>46034</v>
      </c>
      <c r="AA166" s="207">
        <v>46038</v>
      </c>
      <c r="AB166" s="207">
        <v>46041</v>
      </c>
      <c r="AC166" s="207">
        <v>46045</v>
      </c>
      <c r="AD166" s="207">
        <v>46048</v>
      </c>
      <c r="AE166" s="207">
        <v>46052</v>
      </c>
      <c r="AF166" s="207">
        <v>46055</v>
      </c>
      <c r="AG166" s="207">
        <v>46062</v>
      </c>
      <c r="AH166" s="207">
        <v>46076</v>
      </c>
      <c r="AI166" s="207">
        <v>46101</v>
      </c>
      <c r="AJ166" s="207">
        <v>46104</v>
      </c>
      <c r="AK166" s="207">
        <v>46129</v>
      </c>
      <c r="AL166" s="207">
        <f t="shared" si="13"/>
        <v>46130</v>
      </c>
      <c r="AM166" s="207">
        <f t="shared" si="14"/>
        <v>46130</v>
      </c>
    </row>
    <row r="167" spans="1:39" ht="30" hidden="1">
      <c r="A167" s="137" t="s">
        <v>357</v>
      </c>
      <c r="B167" s="283" t="s">
        <v>133</v>
      </c>
      <c r="C167" s="165" t="s">
        <v>134</v>
      </c>
      <c r="D167" s="166" t="s">
        <v>710</v>
      </c>
      <c r="E167" s="137" t="s">
        <v>583</v>
      </c>
      <c r="F167" s="199" t="s">
        <v>578</v>
      </c>
      <c r="G167" s="196" t="s">
        <v>950</v>
      </c>
      <c r="H167" s="137" t="s">
        <v>579</v>
      </c>
      <c r="I167" s="137" t="s">
        <v>54</v>
      </c>
      <c r="J167" s="137"/>
      <c r="K167" s="137" t="s">
        <v>339</v>
      </c>
      <c r="L167" s="137"/>
      <c r="M167" s="137" t="s">
        <v>57</v>
      </c>
      <c r="N167" s="137" t="s">
        <v>133</v>
      </c>
      <c r="O167" s="137"/>
      <c r="P167" s="137"/>
      <c r="Q167" s="137"/>
      <c r="R167" s="137"/>
      <c r="S167" s="167" t="s">
        <v>946</v>
      </c>
      <c r="T167" s="137" t="s">
        <v>713</v>
      </c>
      <c r="U167" s="137" t="s">
        <v>714</v>
      </c>
      <c r="V167" s="137">
        <v>163</v>
      </c>
      <c r="W167" s="217"/>
      <c r="X167" s="207">
        <v>45659</v>
      </c>
      <c r="Y167" s="207">
        <v>46083</v>
      </c>
      <c r="Z167" s="207">
        <v>46034</v>
      </c>
      <c r="AA167" s="207">
        <v>46038</v>
      </c>
      <c r="AB167" s="207">
        <v>46041</v>
      </c>
      <c r="AC167" s="207">
        <v>46045</v>
      </c>
      <c r="AD167" s="207">
        <v>46048</v>
      </c>
      <c r="AE167" s="207">
        <v>46052</v>
      </c>
      <c r="AF167" s="207">
        <v>46055</v>
      </c>
      <c r="AG167" s="207">
        <v>46062</v>
      </c>
      <c r="AH167" s="207">
        <v>46076</v>
      </c>
      <c r="AI167" s="207">
        <v>46101</v>
      </c>
      <c r="AJ167" s="207">
        <v>46104</v>
      </c>
      <c r="AK167" s="207">
        <v>46129</v>
      </c>
      <c r="AL167" s="207">
        <f t="shared" si="13"/>
        <v>46130</v>
      </c>
      <c r="AM167" s="207">
        <f t="shared" si="14"/>
        <v>46130</v>
      </c>
    </row>
    <row r="168" spans="1:39" ht="30" hidden="1">
      <c r="A168" s="137" t="s">
        <v>357</v>
      </c>
      <c r="B168" s="283" t="s">
        <v>133</v>
      </c>
      <c r="C168" s="165" t="s">
        <v>134</v>
      </c>
      <c r="D168" s="166" t="s">
        <v>710</v>
      </c>
      <c r="E168" s="137" t="s">
        <v>584</v>
      </c>
      <c r="F168" s="199" t="s">
        <v>578</v>
      </c>
      <c r="G168" s="196" t="s">
        <v>951</v>
      </c>
      <c r="H168" s="137" t="s">
        <v>579</v>
      </c>
      <c r="I168" s="137" t="s">
        <v>54</v>
      </c>
      <c r="J168" s="137"/>
      <c r="K168" s="137" t="s">
        <v>339</v>
      </c>
      <c r="L168" s="137"/>
      <c r="M168" s="137" t="s">
        <v>57</v>
      </c>
      <c r="N168" s="137" t="s">
        <v>133</v>
      </c>
      <c r="O168" s="137"/>
      <c r="P168" s="137"/>
      <c r="Q168" s="137"/>
      <c r="R168" s="137"/>
      <c r="S168" s="167" t="s">
        <v>946</v>
      </c>
      <c r="T168" s="137" t="s">
        <v>713</v>
      </c>
      <c r="U168" s="137" t="s">
        <v>714</v>
      </c>
      <c r="V168" s="137">
        <v>164</v>
      </c>
      <c r="W168" s="217"/>
      <c r="X168" s="207">
        <v>45659</v>
      </c>
      <c r="Y168" s="207">
        <v>46083</v>
      </c>
      <c r="Z168" s="207">
        <v>46034</v>
      </c>
      <c r="AA168" s="207">
        <v>46038</v>
      </c>
      <c r="AB168" s="207">
        <v>46041</v>
      </c>
      <c r="AC168" s="207">
        <v>46045</v>
      </c>
      <c r="AD168" s="207">
        <v>46048</v>
      </c>
      <c r="AE168" s="207">
        <v>46052</v>
      </c>
      <c r="AF168" s="207">
        <v>46055</v>
      </c>
      <c r="AG168" s="207">
        <v>46062</v>
      </c>
      <c r="AH168" s="207">
        <v>46076</v>
      </c>
      <c r="AI168" s="207">
        <v>46101</v>
      </c>
      <c r="AJ168" s="207">
        <v>46104</v>
      </c>
      <c r="AK168" s="207">
        <v>46129</v>
      </c>
      <c r="AL168" s="207">
        <f t="shared" si="13"/>
        <v>46130</v>
      </c>
      <c r="AM168" s="207">
        <f t="shared" si="14"/>
        <v>46130</v>
      </c>
    </row>
    <row r="169" spans="1:39" ht="30" hidden="1">
      <c r="A169" s="137" t="s">
        <v>357</v>
      </c>
      <c r="B169" s="283" t="s">
        <v>133</v>
      </c>
      <c r="C169" s="165" t="s">
        <v>134</v>
      </c>
      <c r="D169" s="166" t="s">
        <v>710</v>
      </c>
      <c r="E169" s="137" t="s">
        <v>585</v>
      </c>
      <c r="F169" s="199" t="s">
        <v>578</v>
      </c>
      <c r="G169" s="196" t="s">
        <v>952</v>
      </c>
      <c r="H169" s="137" t="s">
        <v>579</v>
      </c>
      <c r="I169" s="137" t="s">
        <v>54</v>
      </c>
      <c r="J169" s="137"/>
      <c r="K169" s="137" t="s">
        <v>339</v>
      </c>
      <c r="L169" s="137"/>
      <c r="M169" s="137" t="s">
        <v>57</v>
      </c>
      <c r="N169" s="137" t="s">
        <v>133</v>
      </c>
      <c r="O169" s="137"/>
      <c r="P169" s="137"/>
      <c r="Q169" s="137"/>
      <c r="R169" s="137"/>
      <c r="S169" s="167" t="s">
        <v>946</v>
      </c>
      <c r="T169" s="137" t="s">
        <v>713</v>
      </c>
      <c r="U169" s="137" t="s">
        <v>714</v>
      </c>
      <c r="V169" s="137">
        <v>165</v>
      </c>
      <c r="W169" s="217"/>
      <c r="X169" s="207">
        <v>45659</v>
      </c>
      <c r="Y169" s="207">
        <v>46083</v>
      </c>
      <c r="Z169" s="207">
        <v>46034</v>
      </c>
      <c r="AA169" s="207">
        <v>46038</v>
      </c>
      <c r="AB169" s="207">
        <v>46041</v>
      </c>
      <c r="AC169" s="207">
        <v>46045</v>
      </c>
      <c r="AD169" s="207">
        <v>46048</v>
      </c>
      <c r="AE169" s="207">
        <v>46052</v>
      </c>
      <c r="AF169" s="207">
        <v>46055</v>
      </c>
      <c r="AG169" s="207">
        <v>46062</v>
      </c>
      <c r="AH169" s="207">
        <v>46076</v>
      </c>
      <c r="AI169" s="207">
        <v>46101</v>
      </c>
      <c r="AJ169" s="207">
        <v>46104</v>
      </c>
      <c r="AK169" s="207">
        <v>46129</v>
      </c>
      <c r="AL169" s="207">
        <f t="shared" si="13"/>
        <v>46130</v>
      </c>
      <c r="AM169" s="207">
        <f t="shared" si="14"/>
        <v>46130</v>
      </c>
    </row>
    <row r="170" spans="1:39" ht="30" hidden="1">
      <c r="A170" s="137" t="s">
        <v>357</v>
      </c>
      <c r="B170" s="283" t="s">
        <v>133</v>
      </c>
      <c r="C170" s="165" t="s">
        <v>134</v>
      </c>
      <c r="D170" s="166" t="s">
        <v>710</v>
      </c>
      <c r="E170" s="137" t="s">
        <v>586</v>
      </c>
      <c r="F170" s="199" t="s">
        <v>578</v>
      </c>
      <c r="G170" s="196" t="s">
        <v>953</v>
      </c>
      <c r="H170" s="137" t="s">
        <v>579</v>
      </c>
      <c r="I170" s="137" t="s">
        <v>54</v>
      </c>
      <c r="J170" s="137"/>
      <c r="K170" s="137" t="s">
        <v>339</v>
      </c>
      <c r="L170" s="137"/>
      <c r="M170" s="137" t="s">
        <v>57</v>
      </c>
      <c r="N170" s="137" t="s">
        <v>133</v>
      </c>
      <c r="O170" s="137"/>
      <c r="P170" s="137"/>
      <c r="Q170" s="137"/>
      <c r="R170" s="137"/>
      <c r="S170" s="167" t="s">
        <v>946</v>
      </c>
      <c r="T170" s="137" t="s">
        <v>713</v>
      </c>
      <c r="U170" s="137" t="s">
        <v>714</v>
      </c>
      <c r="V170" s="137">
        <v>166</v>
      </c>
      <c r="W170" s="217"/>
      <c r="X170" s="207">
        <v>45659</v>
      </c>
      <c r="Y170" s="207">
        <v>46083</v>
      </c>
      <c r="Z170" s="207">
        <v>46034</v>
      </c>
      <c r="AA170" s="207">
        <v>46038</v>
      </c>
      <c r="AB170" s="207">
        <v>46041</v>
      </c>
      <c r="AC170" s="207">
        <v>46045</v>
      </c>
      <c r="AD170" s="207">
        <v>46048</v>
      </c>
      <c r="AE170" s="207">
        <v>46052</v>
      </c>
      <c r="AF170" s="207">
        <v>46055</v>
      </c>
      <c r="AG170" s="207">
        <v>46062</v>
      </c>
      <c r="AH170" s="207">
        <v>46076</v>
      </c>
      <c r="AI170" s="207">
        <v>46101</v>
      </c>
      <c r="AJ170" s="207">
        <v>46104</v>
      </c>
      <c r="AK170" s="207">
        <v>46129</v>
      </c>
      <c r="AL170" s="207">
        <f t="shared" si="13"/>
        <v>46130</v>
      </c>
      <c r="AM170" s="207">
        <f t="shared" si="14"/>
        <v>46130</v>
      </c>
    </row>
    <row r="171" spans="1:39" ht="30" hidden="1">
      <c r="A171" s="137" t="s">
        <v>357</v>
      </c>
      <c r="B171" s="283" t="s">
        <v>133</v>
      </c>
      <c r="C171" s="165" t="s">
        <v>134</v>
      </c>
      <c r="D171" s="166" t="s">
        <v>710</v>
      </c>
      <c r="E171" s="137" t="s">
        <v>587</v>
      </c>
      <c r="F171" s="199" t="s">
        <v>578</v>
      </c>
      <c r="G171" s="196" t="s">
        <v>954</v>
      </c>
      <c r="H171" s="137" t="s">
        <v>579</v>
      </c>
      <c r="I171" s="137" t="s">
        <v>54</v>
      </c>
      <c r="J171" s="137"/>
      <c r="K171" s="137" t="s">
        <v>339</v>
      </c>
      <c r="L171" s="137"/>
      <c r="M171" s="137" t="s">
        <v>57</v>
      </c>
      <c r="N171" s="137" t="s">
        <v>133</v>
      </c>
      <c r="O171" s="137"/>
      <c r="P171" s="137"/>
      <c r="Q171" s="137"/>
      <c r="R171" s="137"/>
      <c r="S171" s="167" t="s">
        <v>946</v>
      </c>
      <c r="T171" s="137" t="s">
        <v>713</v>
      </c>
      <c r="U171" s="137" t="s">
        <v>714</v>
      </c>
      <c r="V171" s="137">
        <v>167</v>
      </c>
      <c r="W171" s="217"/>
      <c r="X171" s="207">
        <v>45659</v>
      </c>
      <c r="Y171" s="207">
        <v>46083</v>
      </c>
      <c r="Z171" s="207">
        <v>46034</v>
      </c>
      <c r="AA171" s="207">
        <v>46038</v>
      </c>
      <c r="AB171" s="207">
        <v>46041</v>
      </c>
      <c r="AC171" s="207">
        <v>46045</v>
      </c>
      <c r="AD171" s="207">
        <v>46048</v>
      </c>
      <c r="AE171" s="207">
        <v>46052</v>
      </c>
      <c r="AF171" s="207">
        <v>46055</v>
      </c>
      <c r="AG171" s="207">
        <v>46062</v>
      </c>
      <c r="AH171" s="207">
        <v>46076</v>
      </c>
      <c r="AI171" s="207">
        <v>46101</v>
      </c>
      <c r="AJ171" s="207">
        <v>46104</v>
      </c>
      <c r="AK171" s="207">
        <v>46129</v>
      </c>
      <c r="AL171" s="207">
        <f t="shared" si="13"/>
        <v>46130</v>
      </c>
      <c r="AM171" s="207">
        <f t="shared" si="14"/>
        <v>46130</v>
      </c>
    </row>
    <row r="172" spans="1:39" ht="30" hidden="1">
      <c r="A172" s="137" t="s">
        <v>357</v>
      </c>
      <c r="B172" s="283" t="s">
        <v>133</v>
      </c>
      <c r="C172" s="165" t="s">
        <v>134</v>
      </c>
      <c r="D172" s="166" t="s">
        <v>710</v>
      </c>
      <c r="E172" s="137" t="s">
        <v>588</v>
      </c>
      <c r="F172" s="199" t="s">
        <v>578</v>
      </c>
      <c r="G172" s="196" t="s">
        <v>955</v>
      </c>
      <c r="H172" s="137" t="s">
        <v>579</v>
      </c>
      <c r="I172" s="137" t="s">
        <v>54</v>
      </c>
      <c r="J172" s="137"/>
      <c r="K172" s="137" t="s">
        <v>339</v>
      </c>
      <c r="L172" s="137"/>
      <c r="M172" s="137" t="s">
        <v>57</v>
      </c>
      <c r="N172" s="137" t="s">
        <v>133</v>
      </c>
      <c r="O172" s="137"/>
      <c r="P172" s="137"/>
      <c r="Q172" s="137"/>
      <c r="R172" s="137"/>
      <c r="S172" s="167" t="s">
        <v>946</v>
      </c>
      <c r="T172" s="137" t="s">
        <v>713</v>
      </c>
      <c r="U172" s="137" t="s">
        <v>714</v>
      </c>
      <c r="V172" s="137">
        <v>168</v>
      </c>
      <c r="W172" s="217"/>
      <c r="X172" s="207">
        <v>45659</v>
      </c>
      <c r="Y172" s="207">
        <v>46083</v>
      </c>
      <c r="Z172" s="207">
        <v>46034</v>
      </c>
      <c r="AA172" s="207">
        <v>46038</v>
      </c>
      <c r="AB172" s="207">
        <v>46041</v>
      </c>
      <c r="AC172" s="207">
        <v>46045</v>
      </c>
      <c r="AD172" s="207">
        <v>46048</v>
      </c>
      <c r="AE172" s="207">
        <v>46052</v>
      </c>
      <c r="AF172" s="207">
        <v>46055</v>
      </c>
      <c r="AG172" s="207">
        <v>46062</v>
      </c>
      <c r="AH172" s="207">
        <v>46076</v>
      </c>
      <c r="AI172" s="207">
        <v>46101</v>
      </c>
      <c r="AJ172" s="207">
        <v>46104</v>
      </c>
      <c r="AK172" s="207">
        <v>46129</v>
      </c>
      <c r="AL172" s="207">
        <f t="shared" si="13"/>
        <v>46130</v>
      </c>
      <c r="AM172" s="207">
        <f t="shared" si="14"/>
        <v>46130</v>
      </c>
    </row>
    <row r="173" spans="1:39" ht="30" hidden="1">
      <c r="A173" s="137" t="s">
        <v>357</v>
      </c>
      <c r="B173" s="283" t="s">
        <v>133</v>
      </c>
      <c r="C173" s="165" t="s">
        <v>134</v>
      </c>
      <c r="D173" s="166" t="s">
        <v>710</v>
      </c>
      <c r="E173" s="137" t="s">
        <v>589</v>
      </c>
      <c r="F173" s="199" t="s">
        <v>590</v>
      </c>
      <c r="G173" s="196" t="s">
        <v>956</v>
      </c>
      <c r="H173" s="137" t="s">
        <v>579</v>
      </c>
      <c r="I173" s="137" t="s">
        <v>54</v>
      </c>
      <c r="J173" s="137"/>
      <c r="K173" s="137" t="s">
        <v>339</v>
      </c>
      <c r="L173" s="137"/>
      <c r="M173" s="137" t="s">
        <v>57</v>
      </c>
      <c r="N173" s="137" t="s">
        <v>133</v>
      </c>
      <c r="O173" s="137"/>
      <c r="P173" s="137"/>
      <c r="Q173" s="137"/>
      <c r="R173" s="137"/>
      <c r="S173" s="167" t="s">
        <v>946</v>
      </c>
      <c r="T173" s="137" t="s">
        <v>713</v>
      </c>
      <c r="U173" s="137" t="s">
        <v>714</v>
      </c>
      <c r="V173" s="137">
        <v>169</v>
      </c>
      <c r="W173" s="217"/>
      <c r="X173" s="207">
        <v>45659</v>
      </c>
      <c r="Y173" s="207">
        <v>46083</v>
      </c>
      <c r="Z173" s="207">
        <v>46034</v>
      </c>
      <c r="AA173" s="207">
        <v>46038</v>
      </c>
      <c r="AB173" s="207">
        <v>46041</v>
      </c>
      <c r="AC173" s="207">
        <v>46045</v>
      </c>
      <c r="AD173" s="207">
        <v>46048</v>
      </c>
      <c r="AE173" s="207">
        <v>46052</v>
      </c>
      <c r="AF173" s="207">
        <v>46055</v>
      </c>
      <c r="AG173" s="207">
        <v>46062</v>
      </c>
      <c r="AH173" s="207">
        <v>46076</v>
      </c>
      <c r="AI173" s="207">
        <v>46101</v>
      </c>
      <c r="AJ173" s="207">
        <v>46104</v>
      </c>
      <c r="AK173" s="207">
        <v>46129</v>
      </c>
      <c r="AL173" s="207">
        <f t="shared" si="13"/>
        <v>46130</v>
      </c>
      <c r="AM173" s="207">
        <f t="shared" si="14"/>
        <v>46130</v>
      </c>
    </row>
    <row r="174" spans="1:39" ht="30" hidden="1">
      <c r="A174" s="137" t="s">
        <v>357</v>
      </c>
      <c r="B174" s="283" t="s">
        <v>133</v>
      </c>
      <c r="C174" s="165" t="s">
        <v>134</v>
      </c>
      <c r="D174" s="166" t="s">
        <v>710</v>
      </c>
      <c r="E174" s="137" t="s">
        <v>591</v>
      </c>
      <c r="F174" s="199" t="s">
        <v>590</v>
      </c>
      <c r="G174" s="196" t="s">
        <v>957</v>
      </c>
      <c r="H174" s="137" t="s">
        <v>579</v>
      </c>
      <c r="I174" s="137" t="s">
        <v>54</v>
      </c>
      <c r="J174" s="137"/>
      <c r="K174" s="137" t="s">
        <v>339</v>
      </c>
      <c r="L174" s="137"/>
      <c r="M174" s="137" t="s">
        <v>57</v>
      </c>
      <c r="N174" s="137" t="s">
        <v>133</v>
      </c>
      <c r="O174" s="137"/>
      <c r="P174" s="137"/>
      <c r="Q174" s="137"/>
      <c r="R174" s="137"/>
      <c r="S174" s="167" t="s">
        <v>946</v>
      </c>
      <c r="T174" s="137" t="s">
        <v>713</v>
      </c>
      <c r="U174" s="137" t="s">
        <v>714</v>
      </c>
      <c r="V174" s="137">
        <v>170</v>
      </c>
      <c r="W174" s="217"/>
      <c r="X174" s="207">
        <v>45659</v>
      </c>
      <c r="Y174" s="207">
        <v>46083</v>
      </c>
      <c r="Z174" s="207">
        <v>46034</v>
      </c>
      <c r="AA174" s="207">
        <v>46038</v>
      </c>
      <c r="AB174" s="207">
        <v>46041</v>
      </c>
      <c r="AC174" s="207">
        <v>46045</v>
      </c>
      <c r="AD174" s="207">
        <v>46048</v>
      </c>
      <c r="AE174" s="207">
        <v>46052</v>
      </c>
      <c r="AF174" s="207">
        <v>46055</v>
      </c>
      <c r="AG174" s="207">
        <v>46062</v>
      </c>
      <c r="AH174" s="207">
        <v>46076</v>
      </c>
      <c r="AI174" s="207">
        <v>46101</v>
      </c>
      <c r="AJ174" s="207">
        <v>46104</v>
      </c>
      <c r="AK174" s="207">
        <v>46129</v>
      </c>
      <c r="AL174" s="207">
        <f t="shared" si="13"/>
        <v>46130</v>
      </c>
      <c r="AM174" s="207">
        <f t="shared" si="14"/>
        <v>46130</v>
      </c>
    </row>
    <row r="175" spans="1:39" ht="30" hidden="1">
      <c r="A175" s="137" t="s">
        <v>357</v>
      </c>
      <c r="B175" s="283" t="s">
        <v>133</v>
      </c>
      <c r="C175" s="165" t="s">
        <v>134</v>
      </c>
      <c r="D175" s="166" t="s">
        <v>710</v>
      </c>
      <c r="E175" s="137" t="s">
        <v>592</v>
      </c>
      <c r="F175" s="199" t="s">
        <v>590</v>
      </c>
      <c r="G175" s="196" t="s">
        <v>958</v>
      </c>
      <c r="H175" s="137" t="s">
        <v>579</v>
      </c>
      <c r="I175" s="137" t="s">
        <v>54</v>
      </c>
      <c r="J175" s="137"/>
      <c r="K175" s="137" t="s">
        <v>339</v>
      </c>
      <c r="L175" s="137"/>
      <c r="M175" s="137" t="s">
        <v>57</v>
      </c>
      <c r="N175" s="137" t="s">
        <v>133</v>
      </c>
      <c r="O175" s="137"/>
      <c r="P175" s="137"/>
      <c r="Q175" s="137"/>
      <c r="R175" s="137"/>
      <c r="S175" s="167" t="s">
        <v>946</v>
      </c>
      <c r="T175" s="137" t="s">
        <v>713</v>
      </c>
      <c r="U175" s="137" t="s">
        <v>714</v>
      </c>
      <c r="V175" s="137">
        <v>171</v>
      </c>
      <c r="W175" s="217"/>
      <c r="X175" s="207">
        <v>45659</v>
      </c>
      <c r="Y175" s="207">
        <v>46083</v>
      </c>
      <c r="Z175" s="207">
        <v>46034</v>
      </c>
      <c r="AA175" s="207">
        <v>46038</v>
      </c>
      <c r="AB175" s="207">
        <v>46041</v>
      </c>
      <c r="AC175" s="207">
        <v>46045</v>
      </c>
      <c r="AD175" s="207">
        <v>46048</v>
      </c>
      <c r="AE175" s="207">
        <v>46052</v>
      </c>
      <c r="AF175" s="207">
        <v>46055</v>
      </c>
      <c r="AG175" s="207">
        <v>46062</v>
      </c>
      <c r="AH175" s="207">
        <v>46076</v>
      </c>
      <c r="AI175" s="207">
        <v>46101</v>
      </c>
      <c r="AJ175" s="207">
        <v>46104</v>
      </c>
      <c r="AK175" s="207">
        <v>46129</v>
      </c>
      <c r="AL175" s="207">
        <f t="shared" si="13"/>
        <v>46130</v>
      </c>
      <c r="AM175" s="207">
        <f t="shared" si="14"/>
        <v>46130</v>
      </c>
    </row>
    <row r="176" spans="1:39" ht="30" hidden="1">
      <c r="A176" s="137" t="s">
        <v>357</v>
      </c>
      <c r="B176" s="283" t="s">
        <v>133</v>
      </c>
      <c r="C176" s="165" t="s">
        <v>134</v>
      </c>
      <c r="D176" s="166" t="s">
        <v>710</v>
      </c>
      <c r="E176" s="137" t="s">
        <v>593</v>
      </c>
      <c r="F176" s="199" t="s">
        <v>590</v>
      </c>
      <c r="G176" s="196" t="s">
        <v>959</v>
      </c>
      <c r="H176" s="137" t="s">
        <v>579</v>
      </c>
      <c r="I176" s="137" t="s">
        <v>54</v>
      </c>
      <c r="J176" s="137"/>
      <c r="K176" s="137" t="s">
        <v>339</v>
      </c>
      <c r="L176" s="137"/>
      <c r="M176" s="137" t="s">
        <v>57</v>
      </c>
      <c r="N176" s="137" t="s">
        <v>133</v>
      </c>
      <c r="O176" s="137"/>
      <c r="P176" s="137"/>
      <c r="Q176" s="137"/>
      <c r="R176" s="137"/>
      <c r="S176" s="167" t="s">
        <v>946</v>
      </c>
      <c r="T176" s="137" t="s">
        <v>713</v>
      </c>
      <c r="U176" s="137" t="s">
        <v>714</v>
      </c>
      <c r="V176" s="137">
        <v>172</v>
      </c>
      <c r="W176" s="217"/>
      <c r="X176" s="207">
        <v>45659</v>
      </c>
      <c r="Y176" s="207">
        <v>46083</v>
      </c>
      <c r="Z176" s="207">
        <v>46034</v>
      </c>
      <c r="AA176" s="207">
        <v>46038</v>
      </c>
      <c r="AB176" s="207">
        <v>46041</v>
      </c>
      <c r="AC176" s="207">
        <v>46045</v>
      </c>
      <c r="AD176" s="207">
        <v>46048</v>
      </c>
      <c r="AE176" s="207">
        <v>46052</v>
      </c>
      <c r="AF176" s="207">
        <v>46055</v>
      </c>
      <c r="AG176" s="207">
        <v>46062</v>
      </c>
      <c r="AH176" s="207">
        <v>46076</v>
      </c>
      <c r="AI176" s="207">
        <v>46101</v>
      </c>
      <c r="AJ176" s="207">
        <v>46104</v>
      </c>
      <c r="AK176" s="207">
        <v>46129</v>
      </c>
      <c r="AL176" s="207">
        <f t="shared" si="13"/>
        <v>46130</v>
      </c>
      <c r="AM176" s="207">
        <f t="shared" si="14"/>
        <v>46130</v>
      </c>
    </row>
    <row r="177" spans="1:39" ht="30" hidden="1">
      <c r="A177" s="137" t="s">
        <v>357</v>
      </c>
      <c r="B177" s="283" t="s">
        <v>133</v>
      </c>
      <c r="C177" s="165" t="s">
        <v>134</v>
      </c>
      <c r="D177" s="166" t="s">
        <v>710</v>
      </c>
      <c r="E177" s="137" t="s">
        <v>594</v>
      </c>
      <c r="F177" s="199" t="s">
        <v>590</v>
      </c>
      <c r="G177" s="196" t="s">
        <v>960</v>
      </c>
      <c r="H177" s="137" t="s">
        <v>579</v>
      </c>
      <c r="I177" s="137" t="s">
        <v>54</v>
      </c>
      <c r="J177" s="137"/>
      <c r="K177" s="137" t="s">
        <v>339</v>
      </c>
      <c r="L177" s="137"/>
      <c r="M177" s="137" t="s">
        <v>57</v>
      </c>
      <c r="N177" s="137" t="s">
        <v>133</v>
      </c>
      <c r="O177" s="137"/>
      <c r="P177" s="137"/>
      <c r="Q177" s="137"/>
      <c r="R177" s="137"/>
      <c r="S177" s="167" t="s">
        <v>946</v>
      </c>
      <c r="T177" s="137" t="s">
        <v>713</v>
      </c>
      <c r="U177" s="137" t="s">
        <v>714</v>
      </c>
      <c r="V177" s="137">
        <v>173</v>
      </c>
      <c r="W177" s="217"/>
      <c r="X177" s="207">
        <v>45659</v>
      </c>
      <c r="Y177" s="207">
        <v>46083</v>
      </c>
      <c r="Z177" s="207">
        <v>46034</v>
      </c>
      <c r="AA177" s="207">
        <v>46038</v>
      </c>
      <c r="AB177" s="207">
        <v>46041</v>
      </c>
      <c r="AC177" s="207">
        <v>46045</v>
      </c>
      <c r="AD177" s="207">
        <v>46048</v>
      </c>
      <c r="AE177" s="207">
        <v>46052</v>
      </c>
      <c r="AF177" s="207">
        <v>46055</v>
      </c>
      <c r="AG177" s="207">
        <v>46062</v>
      </c>
      <c r="AH177" s="207">
        <v>46076</v>
      </c>
      <c r="AI177" s="207">
        <v>46101</v>
      </c>
      <c r="AJ177" s="207">
        <v>46104</v>
      </c>
      <c r="AK177" s="207">
        <v>46129</v>
      </c>
      <c r="AL177" s="207">
        <f t="shared" si="13"/>
        <v>46130</v>
      </c>
      <c r="AM177" s="207">
        <f t="shared" si="14"/>
        <v>46130</v>
      </c>
    </row>
    <row r="178" spans="1:39" ht="30" hidden="1">
      <c r="A178" s="137" t="s">
        <v>357</v>
      </c>
      <c r="B178" s="283" t="s">
        <v>133</v>
      </c>
      <c r="C178" s="165" t="s">
        <v>134</v>
      </c>
      <c r="D178" s="166" t="s">
        <v>710</v>
      </c>
      <c r="E178" s="137" t="s">
        <v>595</v>
      </c>
      <c r="F178" s="199" t="s">
        <v>590</v>
      </c>
      <c r="G178" s="196" t="s">
        <v>961</v>
      </c>
      <c r="H178" s="137" t="s">
        <v>579</v>
      </c>
      <c r="I178" s="137" t="s">
        <v>54</v>
      </c>
      <c r="J178" s="137"/>
      <c r="K178" s="137" t="s">
        <v>339</v>
      </c>
      <c r="L178" s="137"/>
      <c r="M178" s="137" t="s">
        <v>57</v>
      </c>
      <c r="N178" s="137" t="s">
        <v>133</v>
      </c>
      <c r="O178" s="137"/>
      <c r="P178" s="137"/>
      <c r="Q178" s="137"/>
      <c r="R178" s="137"/>
      <c r="S178" s="167" t="s">
        <v>946</v>
      </c>
      <c r="T178" s="137" t="s">
        <v>713</v>
      </c>
      <c r="U178" s="137" t="s">
        <v>714</v>
      </c>
      <c r="V178" s="137">
        <v>174</v>
      </c>
      <c r="W178" s="217"/>
      <c r="X178" s="207">
        <v>45659</v>
      </c>
      <c r="Y178" s="207">
        <v>46083</v>
      </c>
      <c r="Z178" s="207">
        <v>46034</v>
      </c>
      <c r="AA178" s="207">
        <v>46038</v>
      </c>
      <c r="AB178" s="207">
        <v>46041</v>
      </c>
      <c r="AC178" s="207">
        <v>46045</v>
      </c>
      <c r="AD178" s="207">
        <v>46048</v>
      </c>
      <c r="AE178" s="207">
        <v>46052</v>
      </c>
      <c r="AF178" s="207">
        <v>46055</v>
      </c>
      <c r="AG178" s="207">
        <v>46062</v>
      </c>
      <c r="AH178" s="207">
        <v>46076</v>
      </c>
      <c r="AI178" s="207">
        <v>46101</v>
      </c>
      <c r="AJ178" s="207">
        <v>46104</v>
      </c>
      <c r="AK178" s="207">
        <v>46129</v>
      </c>
      <c r="AL178" s="207">
        <f t="shared" si="13"/>
        <v>46130</v>
      </c>
      <c r="AM178" s="207">
        <f t="shared" si="14"/>
        <v>46130</v>
      </c>
    </row>
    <row r="179" spans="1:39" ht="30" hidden="1">
      <c r="A179" s="137" t="s">
        <v>357</v>
      </c>
      <c r="B179" s="283" t="s">
        <v>133</v>
      </c>
      <c r="C179" s="165" t="s">
        <v>134</v>
      </c>
      <c r="D179" s="166" t="s">
        <v>710</v>
      </c>
      <c r="E179" s="137" t="s">
        <v>596</v>
      </c>
      <c r="F179" s="199" t="s">
        <v>590</v>
      </c>
      <c r="G179" s="196" t="s">
        <v>962</v>
      </c>
      <c r="H179" s="137" t="s">
        <v>579</v>
      </c>
      <c r="I179" s="137" t="s">
        <v>54</v>
      </c>
      <c r="J179" s="137"/>
      <c r="K179" s="137" t="s">
        <v>339</v>
      </c>
      <c r="L179" s="137"/>
      <c r="M179" s="137" t="s">
        <v>57</v>
      </c>
      <c r="N179" s="137" t="s">
        <v>133</v>
      </c>
      <c r="O179" s="137"/>
      <c r="P179" s="137"/>
      <c r="Q179" s="137"/>
      <c r="R179" s="137"/>
      <c r="S179" s="167" t="s">
        <v>946</v>
      </c>
      <c r="T179" s="137" t="s">
        <v>713</v>
      </c>
      <c r="U179" s="137" t="s">
        <v>714</v>
      </c>
      <c r="V179" s="137">
        <v>175</v>
      </c>
      <c r="W179" s="217"/>
      <c r="X179" s="207">
        <v>45659</v>
      </c>
      <c r="Y179" s="207">
        <v>46083</v>
      </c>
      <c r="Z179" s="207">
        <v>46034</v>
      </c>
      <c r="AA179" s="207">
        <v>46038</v>
      </c>
      <c r="AB179" s="207">
        <v>46041</v>
      </c>
      <c r="AC179" s="207">
        <v>46045</v>
      </c>
      <c r="AD179" s="207">
        <v>46048</v>
      </c>
      <c r="AE179" s="207">
        <v>46052</v>
      </c>
      <c r="AF179" s="207">
        <v>46055</v>
      </c>
      <c r="AG179" s="207">
        <v>46062</v>
      </c>
      <c r="AH179" s="207">
        <v>46076</v>
      </c>
      <c r="AI179" s="207">
        <v>46101</v>
      </c>
      <c r="AJ179" s="207">
        <v>46104</v>
      </c>
      <c r="AK179" s="207">
        <v>46129</v>
      </c>
      <c r="AL179" s="207">
        <f t="shared" si="13"/>
        <v>46130</v>
      </c>
      <c r="AM179" s="207">
        <f t="shared" si="14"/>
        <v>46130</v>
      </c>
    </row>
    <row r="180" spans="1:39" ht="30" hidden="1">
      <c r="A180" s="137" t="s">
        <v>357</v>
      </c>
      <c r="B180" s="283" t="s">
        <v>133</v>
      </c>
      <c r="C180" s="165" t="s">
        <v>134</v>
      </c>
      <c r="D180" s="166" t="s">
        <v>710</v>
      </c>
      <c r="E180" s="137" t="s">
        <v>597</v>
      </c>
      <c r="F180" s="199" t="s">
        <v>590</v>
      </c>
      <c r="G180" s="196" t="s">
        <v>963</v>
      </c>
      <c r="H180" s="137" t="s">
        <v>579</v>
      </c>
      <c r="I180" s="137" t="s">
        <v>54</v>
      </c>
      <c r="J180" s="137"/>
      <c r="K180" s="137" t="s">
        <v>339</v>
      </c>
      <c r="L180" s="137"/>
      <c r="M180" s="137" t="s">
        <v>57</v>
      </c>
      <c r="N180" s="137" t="s">
        <v>133</v>
      </c>
      <c r="O180" s="137"/>
      <c r="P180" s="137"/>
      <c r="Q180" s="137"/>
      <c r="R180" s="137"/>
      <c r="S180" s="167" t="s">
        <v>946</v>
      </c>
      <c r="T180" s="137" t="s">
        <v>713</v>
      </c>
      <c r="U180" s="137" t="s">
        <v>714</v>
      </c>
      <c r="V180" s="137">
        <v>176</v>
      </c>
      <c r="W180" s="217"/>
      <c r="X180" s="207">
        <v>45659</v>
      </c>
      <c r="Y180" s="207">
        <v>46083</v>
      </c>
      <c r="Z180" s="207">
        <v>46034</v>
      </c>
      <c r="AA180" s="207">
        <v>46038</v>
      </c>
      <c r="AB180" s="207">
        <v>46041</v>
      </c>
      <c r="AC180" s="207">
        <v>46045</v>
      </c>
      <c r="AD180" s="207">
        <v>46048</v>
      </c>
      <c r="AE180" s="207">
        <v>46052</v>
      </c>
      <c r="AF180" s="207">
        <v>46055</v>
      </c>
      <c r="AG180" s="207">
        <v>46062</v>
      </c>
      <c r="AH180" s="207">
        <v>46076</v>
      </c>
      <c r="AI180" s="207">
        <v>46101</v>
      </c>
      <c r="AJ180" s="207">
        <v>46104</v>
      </c>
      <c r="AK180" s="207">
        <v>46129</v>
      </c>
      <c r="AL180" s="207">
        <f t="shared" si="13"/>
        <v>46130</v>
      </c>
      <c r="AM180" s="207">
        <f t="shared" si="14"/>
        <v>46130</v>
      </c>
    </row>
    <row r="181" spans="1:39" ht="30" hidden="1">
      <c r="A181" s="137" t="s">
        <v>357</v>
      </c>
      <c r="B181" s="283" t="s">
        <v>133</v>
      </c>
      <c r="C181" s="165" t="s">
        <v>134</v>
      </c>
      <c r="D181" s="166" t="s">
        <v>710</v>
      </c>
      <c r="E181" s="137" t="s">
        <v>598</v>
      </c>
      <c r="F181" s="199" t="s">
        <v>590</v>
      </c>
      <c r="G181" s="196" t="s">
        <v>964</v>
      </c>
      <c r="H181" s="137" t="s">
        <v>579</v>
      </c>
      <c r="I181" s="137" t="s">
        <v>54</v>
      </c>
      <c r="J181" s="137"/>
      <c r="K181" s="137" t="s">
        <v>339</v>
      </c>
      <c r="L181" s="137"/>
      <c r="M181" s="137" t="s">
        <v>57</v>
      </c>
      <c r="N181" s="137" t="s">
        <v>133</v>
      </c>
      <c r="O181" s="137"/>
      <c r="P181" s="137"/>
      <c r="Q181" s="137"/>
      <c r="R181" s="137"/>
      <c r="S181" s="167" t="s">
        <v>946</v>
      </c>
      <c r="T181" s="137" t="s">
        <v>713</v>
      </c>
      <c r="U181" s="137" t="s">
        <v>714</v>
      </c>
      <c r="V181" s="137">
        <v>177</v>
      </c>
      <c r="W181" s="217"/>
      <c r="X181" s="207">
        <v>45659</v>
      </c>
      <c r="Y181" s="207">
        <v>46083</v>
      </c>
      <c r="Z181" s="207">
        <v>46034</v>
      </c>
      <c r="AA181" s="207">
        <v>46038</v>
      </c>
      <c r="AB181" s="207">
        <v>46041</v>
      </c>
      <c r="AC181" s="207">
        <v>46045</v>
      </c>
      <c r="AD181" s="207">
        <v>46048</v>
      </c>
      <c r="AE181" s="207">
        <v>46052</v>
      </c>
      <c r="AF181" s="207">
        <v>46055</v>
      </c>
      <c r="AG181" s="207">
        <v>46062</v>
      </c>
      <c r="AH181" s="207">
        <v>46076</v>
      </c>
      <c r="AI181" s="207">
        <v>46101</v>
      </c>
      <c r="AJ181" s="207">
        <v>46104</v>
      </c>
      <c r="AK181" s="207">
        <v>46129</v>
      </c>
      <c r="AL181" s="207">
        <f t="shared" si="13"/>
        <v>46130</v>
      </c>
      <c r="AM181" s="207">
        <f t="shared" si="14"/>
        <v>46130</v>
      </c>
    </row>
    <row r="182" spans="1:39" ht="30" hidden="1">
      <c r="A182" s="137" t="s">
        <v>357</v>
      </c>
      <c r="B182" s="283" t="s">
        <v>133</v>
      </c>
      <c r="C182" s="165" t="s">
        <v>134</v>
      </c>
      <c r="D182" s="166" t="s">
        <v>710</v>
      </c>
      <c r="E182" s="137" t="s">
        <v>599</v>
      </c>
      <c r="F182" s="199" t="s">
        <v>590</v>
      </c>
      <c r="G182" s="196" t="s">
        <v>965</v>
      </c>
      <c r="H182" s="137" t="s">
        <v>579</v>
      </c>
      <c r="I182" s="137" t="s">
        <v>54</v>
      </c>
      <c r="J182" s="137"/>
      <c r="K182" s="137" t="s">
        <v>339</v>
      </c>
      <c r="L182" s="137"/>
      <c r="M182" s="137" t="s">
        <v>57</v>
      </c>
      <c r="N182" s="137" t="s">
        <v>133</v>
      </c>
      <c r="O182" s="137"/>
      <c r="P182" s="137"/>
      <c r="Q182" s="137"/>
      <c r="R182" s="137"/>
      <c r="S182" s="167" t="s">
        <v>946</v>
      </c>
      <c r="T182" s="137" t="s">
        <v>713</v>
      </c>
      <c r="U182" s="137" t="s">
        <v>714</v>
      </c>
      <c r="V182" s="137">
        <v>178</v>
      </c>
      <c r="W182" s="217"/>
      <c r="X182" s="207">
        <v>45659</v>
      </c>
      <c r="Y182" s="207">
        <v>46083</v>
      </c>
      <c r="Z182" s="207">
        <v>46034</v>
      </c>
      <c r="AA182" s="207">
        <v>46038</v>
      </c>
      <c r="AB182" s="207">
        <v>46041</v>
      </c>
      <c r="AC182" s="207">
        <v>46045</v>
      </c>
      <c r="AD182" s="207">
        <v>46048</v>
      </c>
      <c r="AE182" s="207">
        <v>46052</v>
      </c>
      <c r="AF182" s="207">
        <v>46055</v>
      </c>
      <c r="AG182" s="207">
        <v>46062</v>
      </c>
      <c r="AH182" s="207">
        <v>46076</v>
      </c>
      <c r="AI182" s="207">
        <v>46101</v>
      </c>
      <c r="AJ182" s="207">
        <v>46104</v>
      </c>
      <c r="AK182" s="207">
        <v>46129</v>
      </c>
      <c r="AL182" s="207">
        <f t="shared" si="13"/>
        <v>46130</v>
      </c>
      <c r="AM182" s="207">
        <f t="shared" si="14"/>
        <v>46130</v>
      </c>
    </row>
    <row r="183" spans="1:39" ht="30" hidden="1">
      <c r="A183" s="137" t="s">
        <v>357</v>
      </c>
      <c r="B183" s="283" t="s">
        <v>133</v>
      </c>
      <c r="C183" s="165" t="s">
        <v>134</v>
      </c>
      <c r="D183" s="166" t="s">
        <v>710</v>
      </c>
      <c r="E183" s="137" t="s">
        <v>600</v>
      </c>
      <c r="F183" s="199" t="s">
        <v>601</v>
      </c>
      <c r="G183" s="196" t="s">
        <v>966</v>
      </c>
      <c r="H183" s="137" t="s">
        <v>579</v>
      </c>
      <c r="I183" s="137" t="s">
        <v>54</v>
      </c>
      <c r="J183" s="137"/>
      <c r="K183" s="137" t="s">
        <v>339</v>
      </c>
      <c r="L183" s="137"/>
      <c r="M183" s="137" t="s">
        <v>57</v>
      </c>
      <c r="N183" s="137" t="s">
        <v>133</v>
      </c>
      <c r="O183" s="137"/>
      <c r="P183" s="137"/>
      <c r="Q183" s="137"/>
      <c r="R183" s="137"/>
      <c r="S183" s="167" t="s">
        <v>946</v>
      </c>
      <c r="T183" s="137" t="s">
        <v>713</v>
      </c>
      <c r="U183" s="137" t="s">
        <v>714</v>
      </c>
      <c r="V183" s="137">
        <v>179</v>
      </c>
      <c r="W183" s="217"/>
      <c r="X183" s="207">
        <v>45659</v>
      </c>
      <c r="Y183" s="207">
        <v>46083</v>
      </c>
      <c r="Z183" s="207">
        <v>46034</v>
      </c>
      <c r="AA183" s="207">
        <v>46038</v>
      </c>
      <c r="AB183" s="207">
        <v>46041</v>
      </c>
      <c r="AC183" s="207">
        <v>46045</v>
      </c>
      <c r="AD183" s="207">
        <v>46048</v>
      </c>
      <c r="AE183" s="207">
        <v>46052</v>
      </c>
      <c r="AF183" s="207">
        <v>46055</v>
      </c>
      <c r="AG183" s="207">
        <v>46062</v>
      </c>
      <c r="AH183" s="207">
        <v>46076</v>
      </c>
      <c r="AI183" s="207">
        <v>46101</v>
      </c>
      <c r="AJ183" s="207">
        <v>46104</v>
      </c>
      <c r="AK183" s="207">
        <v>46129</v>
      </c>
      <c r="AL183" s="207">
        <f t="shared" si="13"/>
        <v>46130</v>
      </c>
      <c r="AM183" s="207">
        <f t="shared" si="14"/>
        <v>46130</v>
      </c>
    </row>
    <row r="184" spans="1:39" ht="30" hidden="1">
      <c r="A184" s="137" t="s">
        <v>357</v>
      </c>
      <c r="B184" s="283" t="s">
        <v>133</v>
      </c>
      <c r="C184" s="165" t="s">
        <v>134</v>
      </c>
      <c r="D184" s="166" t="s">
        <v>710</v>
      </c>
      <c r="E184" s="137" t="s">
        <v>602</v>
      </c>
      <c r="F184" s="199" t="s">
        <v>603</v>
      </c>
      <c r="G184" s="196" t="s">
        <v>967</v>
      </c>
      <c r="H184" s="137" t="s">
        <v>579</v>
      </c>
      <c r="I184" s="137" t="s">
        <v>54</v>
      </c>
      <c r="J184" s="137"/>
      <c r="K184" s="137" t="s">
        <v>339</v>
      </c>
      <c r="L184" s="137"/>
      <c r="M184" s="137" t="s">
        <v>57</v>
      </c>
      <c r="N184" s="137" t="s">
        <v>133</v>
      </c>
      <c r="O184" s="137"/>
      <c r="P184" s="137"/>
      <c r="Q184" s="137"/>
      <c r="R184" s="137"/>
      <c r="S184" s="167" t="s">
        <v>946</v>
      </c>
      <c r="T184" s="137" t="s">
        <v>713</v>
      </c>
      <c r="U184" s="137" t="s">
        <v>714</v>
      </c>
      <c r="V184" s="137">
        <v>180</v>
      </c>
      <c r="W184" s="217"/>
      <c r="X184" s="207">
        <v>45659</v>
      </c>
      <c r="Y184" s="207">
        <v>46083</v>
      </c>
      <c r="Z184" s="207">
        <v>46034</v>
      </c>
      <c r="AA184" s="207">
        <v>46038</v>
      </c>
      <c r="AB184" s="207">
        <v>46041</v>
      </c>
      <c r="AC184" s="207">
        <v>46045</v>
      </c>
      <c r="AD184" s="207">
        <v>46048</v>
      </c>
      <c r="AE184" s="207">
        <v>46052</v>
      </c>
      <c r="AF184" s="207">
        <v>46055</v>
      </c>
      <c r="AG184" s="207">
        <v>46062</v>
      </c>
      <c r="AH184" s="207">
        <v>46076</v>
      </c>
      <c r="AI184" s="207">
        <v>46101</v>
      </c>
      <c r="AJ184" s="207">
        <v>46104</v>
      </c>
      <c r="AK184" s="207">
        <v>46129</v>
      </c>
      <c r="AL184" s="207">
        <f t="shared" si="13"/>
        <v>46130</v>
      </c>
      <c r="AM184" s="207">
        <f t="shared" si="14"/>
        <v>46130</v>
      </c>
    </row>
    <row r="185" spans="1:39" ht="30" hidden="1">
      <c r="A185" s="137" t="s">
        <v>357</v>
      </c>
      <c r="B185" s="283" t="s">
        <v>133</v>
      </c>
      <c r="C185" s="165" t="s">
        <v>134</v>
      </c>
      <c r="D185" s="166" t="s">
        <v>710</v>
      </c>
      <c r="E185" s="137" t="s">
        <v>604</v>
      </c>
      <c r="F185" s="199" t="s">
        <v>605</v>
      </c>
      <c r="G185" s="196" t="s">
        <v>968</v>
      </c>
      <c r="H185" s="137" t="s">
        <v>579</v>
      </c>
      <c r="I185" s="137" t="s">
        <v>54</v>
      </c>
      <c r="J185" s="137"/>
      <c r="K185" s="137" t="s">
        <v>339</v>
      </c>
      <c r="L185" s="137"/>
      <c r="M185" s="137" t="s">
        <v>57</v>
      </c>
      <c r="N185" s="137" t="s">
        <v>133</v>
      </c>
      <c r="O185" s="137"/>
      <c r="P185" s="137"/>
      <c r="Q185" s="137"/>
      <c r="R185" s="137"/>
      <c r="S185" s="167" t="s">
        <v>946</v>
      </c>
      <c r="T185" s="137" t="s">
        <v>713</v>
      </c>
      <c r="U185" s="137" t="s">
        <v>714</v>
      </c>
      <c r="V185" s="137">
        <v>181</v>
      </c>
      <c r="W185" s="217"/>
      <c r="X185" s="207">
        <v>45659</v>
      </c>
      <c r="Y185" s="207">
        <v>46083</v>
      </c>
      <c r="Z185" s="207">
        <v>46034</v>
      </c>
      <c r="AA185" s="207">
        <v>46038</v>
      </c>
      <c r="AB185" s="207">
        <v>46041</v>
      </c>
      <c r="AC185" s="207">
        <v>46045</v>
      </c>
      <c r="AD185" s="207">
        <v>46048</v>
      </c>
      <c r="AE185" s="207">
        <v>46052</v>
      </c>
      <c r="AF185" s="207">
        <v>46055</v>
      </c>
      <c r="AG185" s="207">
        <v>46062</v>
      </c>
      <c r="AH185" s="207">
        <v>46076</v>
      </c>
      <c r="AI185" s="207">
        <v>46101</v>
      </c>
      <c r="AJ185" s="207">
        <v>46104</v>
      </c>
      <c r="AK185" s="207">
        <v>46129</v>
      </c>
      <c r="AL185" s="207">
        <f t="shared" si="13"/>
        <v>46130</v>
      </c>
      <c r="AM185" s="207">
        <f t="shared" si="14"/>
        <v>46130</v>
      </c>
    </row>
    <row r="186" spans="1:39" ht="30" hidden="1">
      <c r="A186" s="137" t="s">
        <v>357</v>
      </c>
      <c r="B186" s="283" t="s">
        <v>133</v>
      </c>
      <c r="C186" s="165" t="s">
        <v>134</v>
      </c>
      <c r="D186" s="166" t="s">
        <v>710</v>
      </c>
      <c r="E186" s="137" t="s">
        <v>606</v>
      </c>
      <c r="F186" s="199" t="s">
        <v>607</v>
      </c>
      <c r="G186" s="196" t="s">
        <v>969</v>
      </c>
      <c r="H186" s="137" t="s">
        <v>579</v>
      </c>
      <c r="I186" s="137" t="s">
        <v>54</v>
      </c>
      <c r="J186" s="137"/>
      <c r="K186" s="137" t="s">
        <v>339</v>
      </c>
      <c r="L186" s="137"/>
      <c r="M186" s="137" t="s">
        <v>57</v>
      </c>
      <c r="N186" s="137" t="s">
        <v>133</v>
      </c>
      <c r="O186" s="137"/>
      <c r="P186" s="137"/>
      <c r="Q186" s="137"/>
      <c r="R186" s="137"/>
      <c r="S186" s="167" t="s">
        <v>946</v>
      </c>
      <c r="T186" s="137" t="s">
        <v>713</v>
      </c>
      <c r="U186" s="137" t="s">
        <v>714</v>
      </c>
      <c r="V186" s="137">
        <v>182</v>
      </c>
      <c r="W186" s="217"/>
      <c r="X186" s="207">
        <v>45659</v>
      </c>
      <c r="Y186" s="207">
        <v>46083</v>
      </c>
      <c r="Z186" s="207">
        <v>46034</v>
      </c>
      <c r="AA186" s="207">
        <v>46038</v>
      </c>
      <c r="AB186" s="207">
        <v>46041</v>
      </c>
      <c r="AC186" s="207">
        <v>46045</v>
      </c>
      <c r="AD186" s="207">
        <v>46048</v>
      </c>
      <c r="AE186" s="207">
        <v>46052</v>
      </c>
      <c r="AF186" s="207">
        <v>46055</v>
      </c>
      <c r="AG186" s="207">
        <v>46062</v>
      </c>
      <c r="AH186" s="207">
        <v>46076</v>
      </c>
      <c r="AI186" s="207">
        <v>46101</v>
      </c>
      <c r="AJ186" s="207">
        <v>46104</v>
      </c>
      <c r="AK186" s="207">
        <v>46129</v>
      </c>
      <c r="AL186" s="207">
        <f t="shared" si="13"/>
        <v>46130</v>
      </c>
      <c r="AM186" s="207">
        <f t="shared" si="14"/>
        <v>46130</v>
      </c>
    </row>
    <row r="187" spans="1:39" ht="30" hidden="1">
      <c r="A187" s="137" t="s">
        <v>357</v>
      </c>
      <c r="B187" s="283" t="s">
        <v>133</v>
      </c>
      <c r="C187" s="165" t="s">
        <v>134</v>
      </c>
      <c r="D187" s="166" t="s">
        <v>710</v>
      </c>
      <c r="E187" s="137" t="s">
        <v>608</v>
      </c>
      <c r="F187" s="199" t="s">
        <v>607</v>
      </c>
      <c r="G187" s="196" t="s">
        <v>970</v>
      </c>
      <c r="H187" s="137" t="s">
        <v>579</v>
      </c>
      <c r="I187" s="137" t="s">
        <v>54</v>
      </c>
      <c r="J187" s="137"/>
      <c r="K187" s="137" t="s">
        <v>339</v>
      </c>
      <c r="L187" s="137"/>
      <c r="M187" s="137" t="s">
        <v>57</v>
      </c>
      <c r="N187" s="137" t="s">
        <v>133</v>
      </c>
      <c r="O187" s="137"/>
      <c r="P187" s="137"/>
      <c r="Q187" s="137"/>
      <c r="R187" s="137"/>
      <c r="S187" s="167" t="s">
        <v>946</v>
      </c>
      <c r="T187" s="137" t="s">
        <v>713</v>
      </c>
      <c r="U187" s="137" t="s">
        <v>714</v>
      </c>
      <c r="V187" s="137">
        <v>183</v>
      </c>
      <c r="W187" s="217"/>
      <c r="X187" s="207">
        <v>45659</v>
      </c>
      <c r="Y187" s="207">
        <v>46083</v>
      </c>
      <c r="Z187" s="207">
        <v>46034</v>
      </c>
      <c r="AA187" s="207">
        <v>46038</v>
      </c>
      <c r="AB187" s="207">
        <v>46041</v>
      </c>
      <c r="AC187" s="207">
        <v>46045</v>
      </c>
      <c r="AD187" s="207">
        <v>46048</v>
      </c>
      <c r="AE187" s="207">
        <v>46052</v>
      </c>
      <c r="AF187" s="207">
        <v>46055</v>
      </c>
      <c r="AG187" s="207">
        <v>46062</v>
      </c>
      <c r="AH187" s="207">
        <v>46076</v>
      </c>
      <c r="AI187" s="207">
        <v>46101</v>
      </c>
      <c r="AJ187" s="207">
        <v>46104</v>
      </c>
      <c r="AK187" s="207">
        <v>46129</v>
      </c>
      <c r="AL187" s="207">
        <f t="shared" si="13"/>
        <v>46130</v>
      </c>
      <c r="AM187" s="207">
        <f t="shared" si="14"/>
        <v>46130</v>
      </c>
    </row>
    <row r="188" spans="1:39" ht="30" hidden="1">
      <c r="A188" s="137" t="s">
        <v>357</v>
      </c>
      <c r="B188" s="283" t="s">
        <v>133</v>
      </c>
      <c r="C188" s="165" t="s">
        <v>134</v>
      </c>
      <c r="D188" s="166" t="s">
        <v>710</v>
      </c>
      <c r="E188" s="137" t="s">
        <v>609</v>
      </c>
      <c r="F188" s="199" t="s">
        <v>607</v>
      </c>
      <c r="G188" s="196" t="s">
        <v>971</v>
      </c>
      <c r="H188" s="137" t="s">
        <v>579</v>
      </c>
      <c r="I188" s="137" t="s">
        <v>54</v>
      </c>
      <c r="J188" s="137"/>
      <c r="K188" s="137" t="s">
        <v>339</v>
      </c>
      <c r="L188" s="137"/>
      <c r="M188" s="137" t="s">
        <v>57</v>
      </c>
      <c r="N188" s="137" t="s">
        <v>133</v>
      </c>
      <c r="O188" s="137"/>
      <c r="P188" s="137"/>
      <c r="Q188" s="137"/>
      <c r="R188" s="137"/>
      <c r="S188" s="167" t="s">
        <v>946</v>
      </c>
      <c r="T188" s="137" t="s">
        <v>713</v>
      </c>
      <c r="U188" s="137" t="s">
        <v>714</v>
      </c>
      <c r="V188" s="137">
        <v>184</v>
      </c>
      <c r="W188" s="217"/>
      <c r="X188" s="207">
        <v>45659</v>
      </c>
      <c r="Y188" s="207">
        <v>46083</v>
      </c>
      <c r="Z188" s="207">
        <v>46034</v>
      </c>
      <c r="AA188" s="207">
        <v>46038</v>
      </c>
      <c r="AB188" s="207">
        <v>46041</v>
      </c>
      <c r="AC188" s="207">
        <v>46045</v>
      </c>
      <c r="AD188" s="207">
        <v>46048</v>
      </c>
      <c r="AE188" s="207">
        <v>46052</v>
      </c>
      <c r="AF188" s="207">
        <v>46055</v>
      </c>
      <c r="AG188" s="207">
        <v>46062</v>
      </c>
      <c r="AH188" s="207">
        <v>46076</v>
      </c>
      <c r="AI188" s="207">
        <v>46101</v>
      </c>
      <c r="AJ188" s="207">
        <v>46104</v>
      </c>
      <c r="AK188" s="207">
        <v>46129</v>
      </c>
      <c r="AL188" s="207">
        <f t="shared" si="13"/>
        <v>46130</v>
      </c>
      <c r="AM188" s="207">
        <f t="shared" si="14"/>
        <v>46130</v>
      </c>
    </row>
    <row r="189" spans="1:39" ht="30" hidden="1">
      <c r="A189" s="137" t="s">
        <v>357</v>
      </c>
      <c r="B189" s="283" t="s">
        <v>133</v>
      </c>
      <c r="C189" s="165" t="s">
        <v>134</v>
      </c>
      <c r="D189" s="166" t="s">
        <v>710</v>
      </c>
      <c r="E189" s="137" t="s">
        <v>610</v>
      </c>
      <c r="F189" s="199" t="s">
        <v>607</v>
      </c>
      <c r="G189" s="196" t="s">
        <v>972</v>
      </c>
      <c r="H189" s="137" t="s">
        <v>579</v>
      </c>
      <c r="I189" s="137" t="s">
        <v>54</v>
      </c>
      <c r="J189" s="137"/>
      <c r="K189" s="137" t="s">
        <v>339</v>
      </c>
      <c r="L189" s="137"/>
      <c r="M189" s="137" t="s">
        <v>57</v>
      </c>
      <c r="N189" s="137" t="s">
        <v>133</v>
      </c>
      <c r="O189" s="137"/>
      <c r="P189" s="137"/>
      <c r="Q189" s="137"/>
      <c r="R189" s="137"/>
      <c r="S189" s="167" t="s">
        <v>946</v>
      </c>
      <c r="T189" s="137" t="s">
        <v>713</v>
      </c>
      <c r="U189" s="137" t="s">
        <v>714</v>
      </c>
      <c r="V189" s="137">
        <v>185</v>
      </c>
      <c r="W189" s="217"/>
      <c r="X189" s="207">
        <v>45659</v>
      </c>
      <c r="Y189" s="207">
        <v>46083</v>
      </c>
      <c r="Z189" s="207">
        <v>46034</v>
      </c>
      <c r="AA189" s="207">
        <v>46038</v>
      </c>
      <c r="AB189" s="207">
        <v>46041</v>
      </c>
      <c r="AC189" s="207">
        <v>46045</v>
      </c>
      <c r="AD189" s="207">
        <v>46048</v>
      </c>
      <c r="AE189" s="207">
        <v>46052</v>
      </c>
      <c r="AF189" s="207">
        <v>46055</v>
      </c>
      <c r="AG189" s="207">
        <v>46062</v>
      </c>
      <c r="AH189" s="207">
        <v>46076</v>
      </c>
      <c r="AI189" s="207">
        <v>46101</v>
      </c>
      <c r="AJ189" s="207">
        <v>46104</v>
      </c>
      <c r="AK189" s="207">
        <v>46129</v>
      </c>
      <c r="AL189" s="207">
        <f t="shared" si="13"/>
        <v>46130</v>
      </c>
      <c r="AM189" s="207">
        <f t="shared" si="14"/>
        <v>46130</v>
      </c>
    </row>
    <row r="190" spans="1:39" ht="30" hidden="1">
      <c r="A190" s="137" t="s">
        <v>357</v>
      </c>
      <c r="B190" s="283" t="s">
        <v>133</v>
      </c>
      <c r="C190" s="165" t="s">
        <v>134</v>
      </c>
      <c r="D190" s="166" t="s">
        <v>710</v>
      </c>
      <c r="E190" s="137" t="s">
        <v>611</v>
      </c>
      <c r="F190" s="199" t="s">
        <v>607</v>
      </c>
      <c r="G190" s="196" t="s">
        <v>973</v>
      </c>
      <c r="H190" s="137" t="s">
        <v>579</v>
      </c>
      <c r="I190" s="137" t="s">
        <v>54</v>
      </c>
      <c r="J190" s="137"/>
      <c r="K190" s="137" t="s">
        <v>339</v>
      </c>
      <c r="L190" s="137"/>
      <c r="M190" s="137" t="s">
        <v>57</v>
      </c>
      <c r="N190" s="137" t="s">
        <v>133</v>
      </c>
      <c r="O190" s="137"/>
      <c r="P190" s="137"/>
      <c r="Q190" s="137"/>
      <c r="R190" s="137"/>
      <c r="S190" s="167" t="s">
        <v>946</v>
      </c>
      <c r="T190" s="137" t="s">
        <v>713</v>
      </c>
      <c r="U190" s="137" t="s">
        <v>714</v>
      </c>
      <c r="V190" s="137">
        <v>186</v>
      </c>
      <c r="W190" s="217"/>
      <c r="X190" s="207">
        <v>45659</v>
      </c>
      <c r="Y190" s="207">
        <v>46083</v>
      </c>
      <c r="Z190" s="207">
        <v>46034</v>
      </c>
      <c r="AA190" s="207">
        <v>46038</v>
      </c>
      <c r="AB190" s="207">
        <v>46041</v>
      </c>
      <c r="AC190" s="207">
        <v>46045</v>
      </c>
      <c r="AD190" s="207">
        <v>46048</v>
      </c>
      <c r="AE190" s="207">
        <v>46052</v>
      </c>
      <c r="AF190" s="207">
        <v>46055</v>
      </c>
      <c r="AG190" s="207">
        <v>46062</v>
      </c>
      <c r="AH190" s="207">
        <v>46076</v>
      </c>
      <c r="AI190" s="207">
        <v>46101</v>
      </c>
      <c r="AJ190" s="207">
        <v>46104</v>
      </c>
      <c r="AK190" s="207">
        <v>46129</v>
      </c>
      <c r="AL190" s="207">
        <f t="shared" si="13"/>
        <v>46130</v>
      </c>
      <c r="AM190" s="207">
        <f t="shared" si="14"/>
        <v>46130</v>
      </c>
    </row>
    <row r="191" spans="1:39" hidden="1">
      <c r="A191" s="137" t="s">
        <v>357</v>
      </c>
      <c r="B191" s="283" t="s">
        <v>133</v>
      </c>
      <c r="C191" s="165" t="s">
        <v>134</v>
      </c>
      <c r="D191" s="166" t="s">
        <v>710</v>
      </c>
      <c r="E191" s="137" t="s">
        <v>612</v>
      </c>
      <c r="F191" s="199" t="s">
        <v>607</v>
      </c>
      <c r="G191" s="196" t="s">
        <v>974</v>
      </c>
      <c r="H191" s="137" t="s">
        <v>579</v>
      </c>
      <c r="I191" s="137" t="s">
        <v>54</v>
      </c>
      <c r="J191" s="137"/>
      <c r="K191" s="137" t="s">
        <v>339</v>
      </c>
      <c r="L191" s="137"/>
      <c r="M191" s="137" t="s">
        <v>57</v>
      </c>
      <c r="N191" s="137" t="s">
        <v>133</v>
      </c>
      <c r="O191" s="137"/>
      <c r="P191" s="137"/>
      <c r="Q191" s="137"/>
      <c r="R191" s="137"/>
      <c r="S191" s="137" t="s">
        <v>712</v>
      </c>
      <c r="T191" s="137" t="s">
        <v>713</v>
      </c>
      <c r="U191" s="137" t="s">
        <v>714</v>
      </c>
      <c r="V191" s="137">
        <v>187</v>
      </c>
      <c r="W191" s="217"/>
      <c r="X191" s="207">
        <v>45659</v>
      </c>
      <c r="Y191" s="207">
        <v>46083</v>
      </c>
      <c r="Z191" s="207">
        <v>46034</v>
      </c>
      <c r="AA191" s="207">
        <v>46038</v>
      </c>
      <c r="AB191" s="207">
        <v>46041</v>
      </c>
      <c r="AC191" s="207">
        <v>46045</v>
      </c>
      <c r="AD191" s="207">
        <v>46048</v>
      </c>
      <c r="AE191" s="207">
        <v>46052</v>
      </c>
      <c r="AF191" s="207">
        <v>46055</v>
      </c>
      <c r="AG191" s="207">
        <v>46062</v>
      </c>
      <c r="AH191" s="207">
        <v>46076</v>
      </c>
      <c r="AI191" s="207">
        <v>46101</v>
      </c>
      <c r="AJ191" s="207">
        <v>46104</v>
      </c>
      <c r="AK191" s="207">
        <v>46129</v>
      </c>
      <c r="AL191" s="207">
        <f t="shared" si="13"/>
        <v>46130</v>
      </c>
      <c r="AM191" s="207">
        <f t="shared" si="14"/>
        <v>46130</v>
      </c>
    </row>
    <row r="192" spans="1:39" hidden="1">
      <c r="A192" s="137" t="s">
        <v>357</v>
      </c>
      <c r="B192" s="283" t="s">
        <v>133</v>
      </c>
      <c r="C192" s="165" t="s">
        <v>134</v>
      </c>
      <c r="D192" s="166" t="s">
        <v>710</v>
      </c>
      <c r="E192" s="137" t="s">
        <v>613</v>
      </c>
      <c r="F192" s="199" t="s">
        <v>607</v>
      </c>
      <c r="G192" s="196" t="s">
        <v>975</v>
      </c>
      <c r="H192" s="137" t="s">
        <v>579</v>
      </c>
      <c r="I192" s="137" t="s">
        <v>54</v>
      </c>
      <c r="J192" s="137"/>
      <c r="K192" s="137" t="s">
        <v>339</v>
      </c>
      <c r="L192" s="137"/>
      <c r="M192" s="137" t="s">
        <v>57</v>
      </c>
      <c r="N192" s="137" t="s">
        <v>133</v>
      </c>
      <c r="O192" s="137"/>
      <c r="P192" s="137"/>
      <c r="Q192" s="137"/>
      <c r="R192" s="137"/>
      <c r="S192" s="137" t="s">
        <v>712</v>
      </c>
      <c r="T192" s="137" t="s">
        <v>713</v>
      </c>
      <c r="U192" s="137" t="s">
        <v>714</v>
      </c>
      <c r="V192" s="137">
        <v>188</v>
      </c>
      <c r="W192" s="217"/>
      <c r="X192" s="207">
        <v>45659</v>
      </c>
      <c r="Y192" s="207">
        <v>46083</v>
      </c>
      <c r="Z192" s="207">
        <v>46034</v>
      </c>
      <c r="AA192" s="207">
        <v>46038</v>
      </c>
      <c r="AB192" s="207">
        <v>46041</v>
      </c>
      <c r="AC192" s="207">
        <v>46045</v>
      </c>
      <c r="AD192" s="207">
        <v>46048</v>
      </c>
      <c r="AE192" s="207">
        <v>46052</v>
      </c>
      <c r="AF192" s="207">
        <v>46055</v>
      </c>
      <c r="AG192" s="207">
        <v>46062</v>
      </c>
      <c r="AH192" s="207">
        <v>46076</v>
      </c>
      <c r="AI192" s="207">
        <v>46101</v>
      </c>
      <c r="AJ192" s="207">
        <v>46104</v>
      </c>
      <c r="AK192" s="207">
        <v>46129</v>
      </c>
      <c r="AL192" s="207">
        <f t="shared" si="13"/>
        <v>46130</v>
      </c>
      <c r="AM192" s="207">
        <f t="shared" si="14"/>
        <v>46130</v>
      </c>
    </row>
    <row r="193" spans="1:40" hidden="1">
      <c r="A193" s="137" t="s">
        <v>357</v>
      </c>
      <c r="B193" s="283" t="s">
        <v>133</v>
      </c>
      <c r="C193" s="165" t="s">
        <v>134</v>
      </c>
      <c r="D193" s="166" t="s">
        <v>710</v>
      </c>
      <c r="E193" s="137" t="s">
        <v>614</v>
      </c>
      <c r="F193" s="199" t="s">
        <v>607</v>
      </c>
      <c r="G193" s="196" t="s">
        <v>976</v>
      </c>
      <c r="H193" s="137" t="s">
        <v>579</v>
      </c>
      <c r="I193" s="137" t="s">
        <v>54</v>
      </c>
      <c r="J193" s="137"/>
      <c r="K193" s="137" t="s">
        <v>339</v>
      </c>
      <c r="L193" s="137"/>
      <c r="M193" s="137" t="s">
        <v>57</v>
      </c>
      <c r="N193" s="137" t="s">
        <v>133</v>
      </c>
      <c r="O193" s="137"/>
      <c r="P193" s="137"/>
      <c r="Q193" s="137"/>
      <c r="R193" s="137"/>
      <c r="S193" s="137" t="s">
        <v>712</v>
      </c>
      <c r="T193" s="137" t="s">
        <v>713</v>
      </c>
      <c r="U193" s="137" t="s">
        <v>714</v>
      </c>
      <c r="V193" s="137">
        <v>189</v>
      </c>
      <c r="W193" s="217"/>
      <c r="X193" s="207">
        <v>45659</v>
      </c>
      <c r="Y193" s="207">
        <v>46083</v>
      </c>
      <c r="Z193" s="207">
        <v>46034</v>
      </c>
      <c r="AA193" s="207">
        <v>46038</v>
      </c>
      <c r="AB193" s="207">
        <v>46041</v>
      </c>
      <c r="AC193" s="207">
        <v>46045</v>
      </c>
      <c r="AD193" s="207">
        <v>46048</v>
      </c>
      <c r="AE193" s="207">
        <v>46052</v>
      </c>
      <c r="AF193" s="207">
        <v>46055</v>
      </c>
      <c r="AG193" s="207">
        <v>46062</v>
      </c>
      <c r="AH193" s="207">
        <v>46076</v>
      </c>
      <c r="AI193" s="207">
        <v>46101</v>
      </c>
      <c r="AJ193" s="207">
        <v>46104</v>
      </c>
      <c r="AK193" s="207">
        <v>46129</v>
      </c>
      <c r="AL193" s="207">
        <f t="shared" si="13"/>
        <v>46130</v>
      </c>
      <c r="AM193" s="207">
        <f t="shared" si="14"/>
        <v>46130</v>
      </c>
    </row>
    <row r="194" spans="1:40" hidden="1">
      <c r="A194" s="137" t="s">
        <v>357</v>
      </c>
      <c r="B194" s="283" t="s">
        <v>133</v>
      </c>
      <c r="C194" s="165" t="s">
        <v>134</v>
      </c>
      <c r="D194" s="166" t="s">
        <v>710</v>
      </c>
      <c r="E194" s="137" t="s">
        <v>615</v>
      </c>
      <c r="F194" s="199" t="s">
        <v>607</v>
      </c>
      <c r="G194" s="196" t="s">
        <v>977</v>
      </c>
      <c r="H194" s="137" t="s">
        <v>579</v>
      </c>
      <c r="I194" s="137" t="s">
        <v>54</v>
      </c>
      <c r="J194" s="137"/>
      <c r="K194" s="137" t="s">
        <v>339</v>
      </c>
      <c r="L194" s="137"/>
      <c r="M194" s="137" t="s">
        <v>57</v>
      </c>
      <c r="N194" s="137" t="s">
        <v>133</v>
      </c>
      <c r="O194" s="137"/>
      <c r="P194" s="137"/>
      <c r="Q194" s="137"/>
      <c r="R194" s="137"/>
      <c r="S194" s="137" t="s">
        <v>712</v>
      </c>
      <c r="T194" s="137" t="s">
        <v>713</v>
      </c>
      <c r="U194" s="137" t="s">
        <v>714</v>
      </c>
      <c r="V194" s="137">
        <v>190</v>
      </c>
      <c r="W194" s="217"/>
      <c r="X194" s="207">
        <v>45659</v>
      </c>
      <c r="Y194" s="207">
        <v>46083</v>
      </c>
      <c r="Z194" s="207">
        <v>46034</v>
      </c>
      <c r="AA194" s="207">
        <v>46038</v>
      </c>
      <c r="AB194" s="207">
        <v>46041</v>
      </c>
      <c r="AC194" s="207">
        <v>46045</v>
      </c>
      <c r="AD194" s="207">
        <v>46048</v>
      </c>
      <c r="AE194" s="207">
        <v>46052</v>
      </c>
      <c r="AF194" s="207">
        <v>46055</v>
      </c>
      <c r="AG194" s="207">
        <v>46062</v>
      </c>
      <c r="AH194" s="207">
        <v>46076</v>
      </c>
      <c r="AI194" s="207">
        <v>46101</v>
      </c>
      <c r="AJ194" s="207">
        <v>46104</v>
      </c>
      <c r="AK194" s="207">
        <v>46129</v>
      </c>
      <c r="AL194" s="207">
        <f t="shared" si="13"/>
        <v>46130</v>
      </c>
      <c r="AM194" s="207">
        <f t="shared" si="14"/>
        <v>46130</v>
      </c>
    </row>
    <row r="195" spans="1:40" hidden="1">
      <c r="A195" s="137" t="s">
        <v>357</v>
      </c>
      <c r="B195" s="283" t="s">
        <v>133</v>
      </c>
      <c r="C195" s="165" t="s">
        <v>134</v>
      </c>
      <c r="D195" s="166" t="s">
        <v>710</v>
      </c>
      <c r="E195" s="137" t="s">
        <v>616</v>
      </c>
      <c r="F195" s="199" t="s">
        <v>607</v>
      </c>
      <c r="G195" s="196" t="s">
        <v>978</v>
      </c>
      <c r="H195" s="137" t="s">
        <v>579</v>
      </c>
      <c r="I195" s="137" t="s">
        <v>54</v>
      </c>
      <c r="J195" s="137"/>
      <c r="K195" s="137" t="s">
        <v>339</v>
      </c>
      <c r="L195" s="137"/>
      <c r="M195" s="137" t="s">
        <v>57</v>
      </c>
      <c r="N195" s="137" t="s">
        <v>133</v>
      </c>
      <c r="O195" s="137"/>
      <c r="P195" s="137"/>
      <c r="Q195" s="137"/>
      <c r="R195" s="137"/>
      <c r="S195" s="137" t="s">
        <v>712</v>
      </c>
      <c r="T195" s="137" t="s">
        <v>713</v>
      </c>
      <c r="U195" s="137" t="s">
        <v>714</v>
      </c>
      <c r="V195" s="137">
        <v>191</v>
      </c>
      <c r="W195" s="217"/>
      <c r="X195" s="207">
        <v>45659</v>
      </c>
      <c r="Y195" s="207">
        <v>46083</v>
      </c>
      <c r="Z195" s="207">
        <v>46034</v>
      </c>
      <c r="AA195" s="207">
        <v>46038</v>
      </c>
      <c r="AB195" s="207">
        <v>46041</v>
      </c>
      <c r="AC195" s="207">
        <v>46045</v>
      </c>
      <c r="AD195" s="207">
        <v>46048</v>
      </c>
      <c r="AE195" s="207">
        <v>46052</v>
      </c>
      <c r="AF195" s="207">
        <v>46055</v>
      </c>
      <c r="AG195" s="207">
        <v>46062</v>
      </c>
      <c r="AH195" s="207">
        <v>46076</v>
      </c>
      <c r="AI195" s="207">
        <v>46101</v>
      </c>
      <c r="AJ195" s="207">
        <v>46104</v>
      </c>
      <c r="AK195" s="207">
        <v>46129</v>
      </c>
      <c r="AL195" s="207">
        <f t="shared" si="13"/>
        <v>46130</v>
      </c>
      <c r="AM195" s="207">
        <f t="shared" si="14"/>
        <v>46130</v>
      </c>
    </row>
    <row r="196" spans="1:40" hidden="1">
      <c r="A196" s="137" t="s">
        <v>357</v>
      </c>
      <c r="B196" s="283" t="s">
        <v>133</v>
      </c>
      <c r="C196" s="165" t="s">
        <v>134</v>
      </c>
      <c r="D196" s="166" t="s">
        <v>710</v>
      </c>
      <c r="E196" s="137" t="s">
        <v>617</v>
      </c>
      <c r="F196" s="199" t="s">
        <v>618</v>
      </c>
      <c r="G196" s="196" t="s">
        <v>979</v>
      </c>
      <c r="H196" s="137" t="s">
        <v>579</v>
      </c>
      <c r="I196" s="137" t="s">
        <v>54</v>
      </c>
      <c r="J196" s="137"/>
      <c r="K196" s="137" t="s">
        <v>339</v>
      </c>
      <c r="L196" s="137"/>
      <c r="M196" s="137" t="s">
        <v>57</v>
      </c>
      <c r="N196" s="137" t="s">
        <v>133</v>
      </c>
      <c r="O196" s="137"/>
      <c r="P196" s="137"/>
      <c r="Q196" s="137"/>
      <c r="R196" s="137"/>
      <c r="S196" s="137" t="s">
        <v>712</v>
      </c>
      <c r="T196" s="137" t="s">
        <v>713</v>
      </c>
      <c r="U196" s="137" t="s">
        <v>714</v>
      </c>
      <c r="V196" s="137">
        <v>192</v>
      </c>
      <c r="W196" s="217"/>
      <c r="X196" s="207">
        <v>45659</v>
      </c>
      <c r="Y196" s="207">
        <v>46083</v>
      </c>
      <c r="Z196" s="207">
        <v>46034</v>
      </c>
      <c r="AA196" s="207">
        <v>46038</v>
      </c>
      <c r="AB196" s="207">
        <v>46041</v>
      </c>
      <c r="AC196" s="207">
        <v>46045</v>
      </c>
      <c r="AD196" s="207">
        <v>46048</v>
      </c>
      <c r="AE196" s="207">
        <v>46052</v>
      </c>
      <c r="AF196" s="207">
        <v>46055</v>
      </c>
      <c r="AG196" s="207">
        <v>46062</v>
      </c>
      <c r="AH196" s="207">
        <v>46076</v>
      </c>
      <c r="AI196" s="207">
        <v>46101</v>
      </c>
      <c r="AJ196" s="207">
        <v>46104</v>
      </c>
      <c r="AK196" s="207">
        <v>46129</v>
      </c>
      <c r="AL196" s="207">
        <f t="shared" si="13"/>
        <v>46130</v>
      </c>
      <c r="AM196" s="207">
        <f t="shared" si="14"/>
        <v>46130</v>
      </c>
    </row>
    <row r="197" spans="1:40" hidden="1">
      <c r="A197" s="137" t="s">
        <v>357</v>
      </c>
      <c r="B197" s="283" t="s">
        <v>133</v>
      </c>
      <c r="C197" s="165" t="s">
        <v>134</v>
      </c>
      <c r="D197" s="166" t="s">
        <v>710</v>
      </c>
      <c r="E197" s="137" t="s">
        <v>619</v>
      </c>
      <c r="F197" s="199" t="s">
        <v>620</v>
      </c>
      <c r="G197" s="196" t="s">
        <v>980</v>
      </c>
      <c r="H197" s="137" t="s">
        <v>579</v>
      </c>
      <c r="I197" s="137" t="s">
        <v>54</v>
      </c>
      <c r="J197" s="137"/>
      <c r="K197" s="137" t="s">
        <v>339</v>
      </c>
      <c r="L197" s="137"/>
      <c r="M197" s="137" t="s">
        <v>57</v>
      </c>
      <c r="N197" s="137" t="s">
        <v>133</v>
      </c>
      <c r="O197" s="137"/>
      <c r="P197" s="137"/>
      <c r="Q197" s="137"/>
      <c r="R197" s="137"/>
      <c r="S197" s="137" t="s">
        <v>712</v>
      </c>
      <c r="T197" s="137" t="s">
        <v>713</v>
      </c>
      <c r="U197" s="137" t="s">
        <v>714</v>
      </c>
      <c r="V197" s="137">
        <v>193</v>
      </c>
      <c r="W197" s="217"/>
      <c r="X197" s="207">
        <v>45659</v>
      </c>
      <c r="Y197" s="207">
        <v>46083</v>
      </c>
      <c r="Z197" s="207">
        <v>46034</v>
      </c>
      <c r="AA197" s="207">
        <v>46038</v>
      </c>
      <c r="AB197" s="207">
        <v>46041</v>
      </c>
      <c r="AC197" s="207">
        <v>46045</v>
      </c>
      <c r="AD197" s="207">
        <v>46048</v>
      </c>
      <c r="AE197" s="207">
        <v>46052</v>
      </c>
      <c r="AF197" s="207">
        <v>46055</v>
      </c>
      <c r="AG197" s="207">
        <v>46062</v>
      </c>
      <c r="AH197" s="207">
        <v>46076</v>
      </c>
      <c r="AI197" s="207">
        <v>46101</v>
      </c>
      <c r="AJ197" s="207">
        <v>46104</v>
      </c>
      <c r="AK197" s="207">
        <v>46129</v>
      </c>
      <c r="AL197" s="207">
        <f t="shared" si="13"/>
        <v>46130</v>
      </c>
      <c r="AM197" s="207">
        <f t="shared" si="14"/>
        <v>46130</v>
      </c>
    </row>
    <row r="198" spans="1:40" hidden="1">
      <c r="A198" s="137" t="s">
        <v>357</v>
      </c>
      <c r="B198" s="283" t="s">
        <v>133</v>
      </c>
      <c r="C198" s="165" t="s">
        <v>134</v>
      </c>
      <c r="D198" s="166" t="s">
        <v>710</v>
      </c>
      <c r="E198" s="137" t="s">
        <v>621</v>
      </c>
      <c r="F198" s="199" t="s">
        <v>622</v>
      </c>
      <c r="G198" s="196" t="s">
        <v>981</v>
      </c>
      <c r="H198" s="137" t="s">
        <v>579</v>
      </c>
      <c r="I198" s="137" t="s">
        <v>54</v>
      </c>
      <c r="J198" s="137"/>
      <c r="K198" s="137" t="s">
        <v>339</v>
      </c>
      <c r="L198" s="137"/>
      <c r="M198" s="137" t="s">
        <v>57</v>
      </c>
      <c r="N198" s="137" t="s">
        <v>133</v>
      </c>
      <c r="O198" s="137"/>
      <c r="P198" s="137"/>
      <c r="Q198" s="137"/>
      <c r="R198" s="137"/>
      <c r="S198" s="137" t="s">
        <v>712</v>
      </c>
      <c r="T198" s="137" t="s">
        <v>713</v>
      </c>
      <c r="U198" s="137" t="s">
        <v>714</v>
      </c>
      <c r="V198" s="137">
        <v>194</v>
      </c>
      <c r="W198" s="217"/>
      <c r="X198" s="207">
        <v>45659</v>
      </c>
      <c r="Y198" s="207">
        <v>46083</v>
      </c>
      <c r="Z198" s="207">
        <v>46034</v>
      </c>
      <c r="AA198" s="207">
        <v>46038</v>
      </c>
      <c r="AB198" s="207">
        <v>46041</v>
      </c>
      <c r="AC198" s="207">
        <v>46045</v>
      </c>
      <c r="AD198" s="207">
        <v>46048</v>
      </c>
      <c r="AE198" s="207">
        <v>46052</v>
      </c>
      <c r="AF198" s="207">
        <v>46055</v>
      </c>
      <c r="AG198" s="207">
        <v>46062</v>
      </c>
      <c r="AH198" s="207">
        <v>46076</v>
      </c>
      <c r="AI198" s="207">
        <v>46101</v>
      </c>
      <c r="AJ198" s="207">
        <v>46104</v>
      </c>
      <c r="AK198" s="207">
        <v>46129</v>
      </c>
      <c r="AL198" s="207">
        <f t="shared" si="13"/>
        <v>46130</v>
      </c>
      <c r="AM198" s="207">
        <f t="shared" si="14"/>
        <v>46130</v>
      </c>
    </row>
    <row r="199" spans="1:40" hidden="1">
      <c r="A199" s="137" t="s">
        <v>357</v>
      </c>
      <c r="B199" s="283" t="s">
        <v>133</v>
      </c>
      <c r="C199" s="165" t="s">
        <v>134</v>
      </c>
      <c r="D199" s="166" t="s">
        <v>710</v>
      </c>
      <c r="E199" s="137" t="s">
        <v>623</v>
      </c>
      <c r="F199" s="199" t="s">
        <v>624</v>
      </c>
      <c r="G199" s="196" t="s">
        <v>982</v>
      </c>
      <c r="H199" s="137" t="s">
        <v>579</v>
      </c>
      <c r="I199" s="137" t="s">
        <v>54</v>
      </c>
      <c r="J199" s="137"/>
      <c r="K199" s="137" t="s">
        <v>339</v>
      </c>
      <c r="L199" s="137"/>
      <c r="M199" s="137" t="s">
        <v>57</v>
      </c>
      <c r="N199" s="137" t="s">
        <v>133</v>
      </c>
      <c r="O199" s="137"/>
      <c r="P199" s="137"/>
      <c r="Q199" s="137"/>
      <c r="R199" s="137"/>
      <c r="S199" s="137" t="s">
        <v>712</v>
      </c>
      <c r="T199" s="137" t="s">
        <v>713</v>
      </c>
      <c r="U199" s="137" t="s">
        <v>714</v>
      </c>
      <c r="V199" s="137">
        <v>195</v>
      </c>
      <c r="W199" s="217"/>
      <c r="X199" s="207">
        <v>45659</v>
      </c>
      <c r="Y199" s="207">
        <v>46083</v>
      </c>
      <c r="Z199" s="207">
        <v>46034</v>
      </c>
      <c r="AA199" s="207">
        <v>46038</v>
      </c>
      <c r="AB199" s="207">
        <v>46041</v>
      </c>
      <c r="AC199" s="207">
        <v>46045</v>
      </c>
      <c r="AD199" s="207">
        <v>46048</v>
      </c>
      <c r="AE199" s="207">
        <v>46052</v>
      </c>
      <c r="AF199" s="207">
        <v>46055</v>
      </c>
      <c r="AG199" s="207">
        <v>46062</v>
      </c>
      <c r="AH199" s="207">
        <v>46076</v>
      </c>
      <c r="AI199" s="207">
        <v>46101</v>
      </c>
      <c r="AJ199" s="207">
        <v>46104</v>
      </c>
      <c r="AK199" s="207">
        <v>46129</v>
      </c>
      <c r="AL199" s="207">
        <f t="shared" si="13"/>
        <v>46130</v>
      </c>
      <c r="AM199" s="207">
        <f t="shared" si="14"/>
        <v>46130</v>
      </c>
    </row>
    <row r="200" spans="1:40" hidden="1">
      <c r="A200" s="137" t="s">
        <v>4</v>
      </c>
      <c r="B200" s="283" t="s">
        <v>4</v>
      </c>
      <c r="C200" s="165" t="s">
        <v>225</v>
      </c>
      <c r="D200" s="166" t="s">
        <v>710</v>
      </c>
      <c r="E200" s="137" t="s">
        <v>625</v>
      </c>
      <c r="F200" s="199" t="s">
        <v>626</v>
      </c>
      <c r="G200" s="196" t="s">
        <v>983</v>
      </c>
      <c r="H200" s="137" t="s">
        <v>627</v>
      </c>
      <c r="I200" s="137" t="s">
        <v>83</v>
      </c>
      <c r="J200" s="137" t="s">
        <v>628</v>
      </c>
      <c r="K200" s="137" t="s">
        <v>339</v>
      </c>
      <c r="L200" s="137"/>
      <c r="M200" s="137" t="s">
        <v>207</v>
      </c>
      <c r="N200" s="137" t="s">
        <v>4</v>
      </c>
      <c r="O200" s="137"/>
      <c r="P200" s="137"/>
      <c r="Q200" s="137"/>
      <c r="R200" s="137"/>
      <c r="S200" s="137" t="s">
        <v>721</v>
      </c>
      <c r="T200" s="137" t="s">
        <v>713</v>
      </c>
      <c r="U200" s="137" t="s">
        <v>714</v>
      </c>
      <c r="V200" s="137">
        <v>196</v>
      </c>
      <c r="W200" s="217"/>
      <c r="X200" s="207">
        <v>46024</v>
      </c>
      <c r="Y200" s="207">
        <v>46083</v>
      </c>
      <c r="Z200" s="207">
        <v>46041</v>
      </c>
      <c r="AA200" s="207">
        <v>46045</v>
      </c>
      <c r="AB200" s="207">
        <v>46048</v>
      </c>
      <c r="AC200" s="207">
        <v>46052</v>
      </c>
      <c r="AD200" s="207">
        <v>46055</v>
      </c>
      <c r="AE200" s="207">
        <v>46066</v>
      </c>
      <c r="AF200" s="207">
        <v>46069</v>
      </c>
      <c r="AG200" s="207">
        <v>46073</v>
      </c>
      <c r="AH200" s="207">
        <v>46076</v>
      </c>
      <c r="AI200" s="207">
        <v>46101</v>
      </c>
      <c r="AJ200" s="207">
        <v>46104</v>
      </c>
      <c r="AK200" s="207">
        <v>46129</v>
      </c>
      <c r="AL200" s="207">
        <f t="shared" si="13"/>
        <v>46130</v>
      </c>
      <c r="AM200" s="207">
        <f t="shared" si="14"/>
        <v>46130</v>
      </c>
    </row>
    <row r="201" spans="1:40" hidden="1">
      <c r="A201" s="137" t="s">
        <v>92</v>
      </c>
      <c r="B201" s="283" t="s">
        <v>93</v>
      </c>
      <c r="C201" s="165" t="s">
        <v>94</v>
      </c>
      <c r="D201" s="166" t="s">
        <v>195</v>
      </c>
      <c r="E201" s="137" t="s">
        <v>213</v>
      </c>
      <c r="F201" s="197" t="s">
        <v>205</v>
      </c>
      <c r="G201" s="196" t="s">
        <v>746</v>
      </c>
      <c r="H201" s="137" t="s">
        <v>206</v>
      </c>
      <c r="I201" s="183" t="s">
        <v>984</v>
      </c>
      <c r="J201" s="137"/>
      <c r="K201" s="137" t="s">
        <v>198</v>
      </c>
      <c r="L201" s="137" t="s">
        <v>73</v>
      </c>
      <c r="M201" s="137" t="s">
        <v>207</v>
      </c>
      <c r="N201" s="137" t="s">
        <v>99</v>
      </c>
      <c r="O201" s="137"/>
      <c r="P201" s="137"/>
      <c r="Q201" s="137"/>
      <c r="R201" s="137"/>
      <c r="S201" s="137" t="s">
        <v>813</v>
      </c>
      <c r="T201" s="137"/>
      <c r="U201" s="137" t="s">
        <v>666</v>
      </c>
      <c r="V201" s="137">
        <v>197</v>
      </c>
      <c r="W201" s="217" t="s">
        <v>667</v>
      </c>
      <c r="X201" s="209">
        <v>46024</v>
      </c>
      <c r="Y201" s="207">
        <v>46083</v>
      </c>
      <c r="Z201" s="207">
        <v>46093</v>
      </c>
      <c r="AA201" s="207">
        <v>46142</v>
      </c>
      <c r="AB201" s="207">
        <v>46146</v>
      </c>
      <c r="AC201" s="207">
        <v>46164</v>
      </c>
      <c r="AD201" s="207">
        <v>46167</v>
      </c>
      <c r="AE201" s="207">
        <v>46178</v>
      </c>
      <c r="AF201" s="207">
        <v>46178</v>
      </c>
      <c r="AG201" s="207">
        <v>46181</v>
      </c>
      <c r="AH201" s="207">
        <v>46182</v>
      </c>
      <c r="AI201" s="207">
        <v>46185</v>
      </c>
      <c r="AJ201" s="207">
        <v>46188</v>
      </c>
      <c r="AK201" s="207">
        <v>46199</v>
      </c>
      <c r="AL201" s="207">
        <v>46199</v>
      </c>
      <c r="AM201" s="207">
        <v>46202</v>
      </c>
      <c r="AN201" t="s">
        <v>768</v>
      </c>
    </row>
    <row r="202" spans="1:40" hidden="1">
      <c r="A202" s="137" t="s">
        <v>92</v>
      </c>
      <c r="B202" s="283" t="s">
        <v>93</v>
      </c>
      <c r="C202" s="165" t="s">
        <v>94</v>
      </c>
      <c r="D202" s="166" t="s">
        <v>195</v>
      </c>
      <c r="E202" s="137" t="s">
        <v>210</v>
      </c>
      <c r="F202" s="197" t="s">
        <v>205</v>
      </c>
      <c r="G202" s="196" t="s">
        <v>746</v>
      </c>
      <c r="H202" s="137" t="s">
        <v>206</v>
      </c>
      <c r="I202" s="183" t="s">
        <v>984</v>
      </c>
      <c r="J202" s="137"/>
      <c r="K202" s="137" t="s">
        <v>198</v>
      </c>
      <c r="L202" s="137" t="s">
        <v>73</v>
      </c>
      <c r="M202" s="137" t="s">
        <v>207</v>
      </c>
      <c r="N202" s="137" t="s">
        <v>99</v>
      </c>
      <c r="O202" s="137"/>
      <c r="P202" s="137"/>
      <c r="Q202" s="137"/>
      <c r="R202" s="137"/>
      <c r="S202" s="137" t="s">
        <v>813</v>
      </c>
      <c r="T202" s="137"/>
      <c r="U202" s="137" t="s">
        <v>666</v>
      </c>
      <c r="V202" s="137">
        <v>198</v>
      </c>
      <c r="W202" s="217" t="s">
        <v>667</v>
      </c>
      <c r="X202" s="209">
        <v>46024</v>
      </c>
      <c r="Y202" s="207">
        <v>46083</v>
      </c>
      <c r="Z202" s="207">
        <v>46093</v>
      </c>
      <c r="AA202" s="207">
        <v>46142</v>
      </c>
      <c r="AB202" s="207">
        <v>46146</v>
      </c>
      <c r="AC202" s="207">
        <v>46164</v>
      </c>
      <c r="AD202" s="207">
        <v>46167</v>
      </c>
      <c r="AE202" s="207">
        <v>46178</v>
      </c>
      <c r="AF202" s="207">
        <v>46178</v>
      </c>
      <c r="AG202" s="207">
        <v>46181</v>
      </c>
      <c r="AH202" s="207">
        <v>46182</v>
      </c>
      <c r="AI202" s="207">
        <v>46185</v>
      </c>
      <c r="AJ202" s="207">
        <v>46188</v>
      </c>
      <c r="AK202" s="207">
        <v>46199</v>
      </c>
      <c r="AL202" s="207">
        <v>46199</v>
      </c>
      <c r="AM202" s="207">
        <v>46202</v>
      </c>
      <c r="AN202" t="s">
        <v>768</v>
      </c>
    </row>
    <row r="203" spans="1:40" hidden="1">
      <c r="A203" s="137" t="s">
        <v>92</v>
      </c>
      <c r="B203" s="283" t="s">
        <v>93</v>
      </c>
      <c r="C203" s="165" t="s">
        <v>94</v>
      </c>
      <c r="D203" s="166" t="s">
        <v>195</v>
      </c>
      <c r="E203" s="137" t="s">
        <v>209</v>
      </c>
      <c r="F203" s="197" t="s">
        <v>205</v>
      </c>
      <c r="G203" s="196" t="s">
        <v>746</v>
      </c>
      <c r="H203" s="137" t="s">
        <v>206</v>
      </c>
      <c r="I203" s="183" t="s">
        <v>984</v>
      </c>
      <c r="J203" s="137"/>
      <c r="K203" s="137" t="s">
        <v>198</v>
      </c>
      <c r="L203" s="137" t="s">
        <v>73</v>
      </c>
      <c r="M203" s="137" t="s">
        <v>207</v>
      </c>
      <c r="N203" s="137" t="s">
        <v>99</v>
      </c>
      <c r="O203" s="137"/>
      <c r="P203" s="137"/>
      <c r="Q203" s="137"/>
      <c r="R203" s="137"/>
      <c r="S203" s="137" t="s">
        <v>813</v>
      </c>
      <c r="T203" s="137"/>
      <c r="U203" s="137" t="s">
        <v>666</v>
      </c>
      <c r="V203" s="137">
        <v>199</v>
      </c>
      <c r="W203" s="217" t="s">
        <v>667</v>
      </c>
      <c r="X203" s="209">
        <v>46024</v>
      </c>
      <c r="Y203" s="207">
        <v>46083</v>
      </c>
      <c r="Z203" s="207">
        <v>46093</v>
      </c>
      <c r="AA203" s="207">
        <v>46142</v>
      </c>
      <c r="AB203" s="207">
        <v>46146</v>
      </c>
      <c r="AC203" s="207">
        <v>46164</v>
      </c>
      <c r="AD203" s="207">
        <v>46167</v>
      </c>
      <c r="AE203" s="207">
        <v>46178</v>
      </c>
      <c r="AF203" s="207">
        <v>46178</v>
      </c>
      <c r="AG203" s="207">
        <v>46181</v>
      </c>
      <c r="AH203" s="207">
        <v>46182</v>
      </c>
      <c r="AI203" s="207">
        <v>46185</v>
      </c>
      <c r="AJ203" s="207">
        <v>46188</v>
      </c>
      <c r="AK203" s="207">
        <v>46199</v>
      </c>
      <c r="AL203" s="207">
        <v>46199</v>
      </c>
      <c r="AM203" s="207">
        <v>46202</v>
      </c>
      <c r="AN203" t="s">
        <v>768</v>
      </c>
    </row>
    <row r="204" spans="1:40" hidden="1">
      <c r="A204" s="137" t="s">
        <v>92</v>
      </c>
      <c r="B204" s="283" t="s">
        <v>93</v>
      </c>
      <c r="C204" s="165" t="s">
        <v>94</v>
      </c>
      <c r="D204" s="166" t="s">
        <v>195</v>
      </c>
      <c r="E204" s="137" t="s">
        <v>208</v>
      </c>
      <c r="F204" s="197" t="s">
        <v>205</v>
      </c>
      <c r="G204" s="196" t="s">
        <v>746</v>
      </c>
      <c r="H204" s="137" t="s">
        <v>206</v>
      </c>
      <c r="I204" s="183" t="s">
        <v>984</v>
      </c>
      <c r="J204" s="137"/>
      <c r="K204" s="137" t="s">
        <v>198</v>
      </c>
      <c r="L204" s="137" t="s">
        <v>73</v>
      </c>
      <c r="M204" s="137" t="s">
        <v>207</v>
      </c>
      <c r="N204" s="137" t="s">
        <v>99</v>
      </c>
      <c r="O204" s="137"/>
      <c r="P204" s="137"/>
      <c r="Q204" s="137"/>
      <c r="R204" s="137"/>
      <c r="S204" s="137" t="s">
        <v>813</v>
      </c>
      <c r="T204" s="137"/>
      <c r="U204" s="137" t="s">
        <v>666</v>
      </c>
      <c r="V204" s="137">
        <v>200</v>
      </c>
      <c r="W204" s="217" t="s">
        <v>667</v>
      </c>
      <c r="X204" s="209">
        <v>46024</v>
      </c>
      <c r="Y204" s="207">
        <v>46083</v>
      </c>
      <c r="Z204" s="207">
        <v>46093</v>
      </c>
      <c r="AA204" s="207">
        <v>46142</v>
      </c>
      <c r="AB204" s="207">
        <v>46146</v>
      </c>
      <c r="AC204" s="207">
        <v>46164</v>
      </c>
      <c r="AD204" s="207">
        <v>46167</v>
      </c>
      <c r="AE204" s="207">
        <v>46178</v>
      </c>
      <c r="AF204" s="207">
        <v>46178</v>
      </c>
      <c r="AG204" s="207">
        <v>46181</v>
      </c>
      <c r="AH204" s="207">
        <v>46182</v>
      </c>
      <c r="AI204" s="207">
        <v>46185</v>
      </c>
      <c r="AJ204" s="207">
        <v>46188</v>
      </c>
      <c r="AK204" s="207">
        <v>46199</v>
      </c>
      <c r="AL204" s="207">
        <v>46199</v>
      </c>
      <c r="AM204" s="207">
        <v>46202</v>
      </c>
      <c r="AN204" t="s">
        <v>768</v>
      </c>
    </row>
    <row r="205" spans="1:40" hidden="1">
      <c r="A205" s="137" t="s">
        <v>92</v>
      </c>
      <c r="B205" s="283" t="s">
        <v>93</v>
      </c>
      <c r="C205" s="165" t="s">
        <v>94</v>
      </c>
      <c r="D205" s="166" t="s">
        <v>195</v>
      </c>
      <c r="E205" s="137" t="s">
        <v>204</v>
      </c>
      <c r="F205" s="197" t="s">
        <v>205</v>
      </c>
      <c r="G205" s="196" t="s">
        <v>746</v>
      </c>
      <c r="H205" s="137" t="s">
        <v>206</v>
      </c>
      <c r="I205" s="183" t="s">
        <v>984</v>
      </c>
      <c r="J205" s="137"/>
      <c r="K205" s="137" t="s">
        <v>198</v>
      </c>
      <c r="L205" s="137" t="s">
        <v>73</v>
      </c>
      <c r="M205" s="137" t="s">
        <v>207</v>
      </c>
      <c r="N205" s="137" t="s">
        <v>99</v>
      </c>
      <c r="O205" s="137"/>
      <c r="P205" s="137"/>
      <c r="Q205" s="137"/>
      <c r="R205" s="137"/>
      <c r="S205" s="137" t="s">
        <v>813</v>
      </c>
      <c r="T205" s="137"/>
      <c r="U205" s="137" t="s">
        <v>666</v>
      </c>
      <c r="V205" s="137">
        <v>201</v>
      </c>
      <c r="W205" s="217" t="s">
        <v>667</v>
      </c>
      <c r="X205" s="209">
        <v>46024</v>
      </c>
      <c r="Y205" s="207">
        <v>46083</v>
      </c>
      <c r="Z205" s="207">
        <v>46093</v>
      </c>
      <c r="AA205" s="207">
        <v>46142</v>
      </c>
      <c r="AB205" s="207">
        <v>46146</v>
      </c>
      <c r="AC205" s="207">
        <v>46164</v>
      </c>
      <c r="AD205" s="207">
        <v>46167</v>
      </c>
      <c r="AE205" s="207">
        <v>46178</v>
      </c>
      <c r="AF205" s="207">
        <v>46178</v>
      </c>
      <c r="AG205" s="207">
        <v>46181</v>
      </c>
      <c r="AH205" s="207">
        <v>46182</v>
      </c>
      <c r="AI205" s="207">
        <v>46185</v>
      </c>
      <c r="AJ205" s="207">
        <v>46188</v>
      </c>
      <c r="AK205" s="207">
        <v>46199</v>
      </c>
      <c r="AL205" s="207">
        <v>46199</v>
      </c>
      <c r="AM205" s="207">
        <v>46202</v>
      </c>
      <c r="AN205" t="s">
        <v>768</v>
      </c>
    </row>
    <row r="206" spans="1:40" ht="15" customHeight="1">
      <c r="Q206" s="122"/>
    </row>
    <row r="207" spans="1:40">
      <c r="Z207" s="113"/>
      <c r="AA207" s="113"/>
      <c r="AB207" s="113"/>
      <c r="AC207" s="113"/>
      <c r="AD207" s="113"/>
      <c r="AE207" s="113"/>
      <c r="AF207" s="113"/>
      <c r="AG207" s="113"/>
      <c r="AH207" s="113"/>
      <c r="AI207" s="113"/>
      <c r="AJ207" s="113"/>
      <c r="AK207" s="113"/>
      <c r="AL207" s="113"/>
      <c r="AM207" s="113"/>
    </row>
    <row r="208" spans="1:40" ht="15" customHeight="1">
      <c r="A208" s="103"/>
      <c r="B208" t="s">
        <v>985</v>
      </c>
    </row>
    <row r="209" spans="1:2" ht="15" customHeight="1">
      <c r="A209" s="272"/>
      <c r="B209" t="s">
        <v>986</v>
      </c>
    </row>
    <row r="210" spans="1:2" ht="15" customHeight="1">
      <c r="A210" s="2"/>
      <c r="B210" s="106" t="s">
        <v>987</v>
      </c>
    </row>
    <row r="211" spans="1:2" ht="15" customHeight="1">
      <c r="A211" s="86"/>
      <c r="B211" t="s">
        <v>988</v>
      </c>
    </row>
    <row r="212" spans="1:2" ht="15" customHeight="1">
      <c r="A212" s="73"/>
      <c r="B212" t="s">
        <v>989</v>
      </c>
    </row>
    <row r="213" spans="1:2" ht="15" customHeight="1">
      <c r="A213" s="111"/>
      <c r="B213" t="s">
        <v>990</v>
      </c>
    </row>
  </sheetData>
  <autoFilter ref="A4:EV205" xr:uid="{00000000-0001-0000-0800-000000000000}">
    <filterColumn colId="5">
      <filters>
        <filter val="ACLME_Ajustes_V3 -- ACLME"/>
        <filter val="Layout ACLME_X_V1 -- ACLME"/>
        <filter val="Layout_ACLME_ConceptosFijos_v3 -- ACLME"/>
        <filter val="Layout_ACLME_SECCION_I_V_v3 -- ACLME"/>
        <filter val="Layout_Tipos de Cambio Diario_v2 -- ACLME"/>
      </filters>
    </filterColumn>
  </autoFilter>
  <mergeCells count="12">
    <mergeCell ref="AJ3:AK3"/>
    <mergeCell ref="AN3:AQ3"/>
    <mergeCell ref="AR3:AU3"/>
    <mergeCell ref="AV3:AZ3"/>
    <mergeCell ref="BA3:BD3"/>
    <mergeCell ref="AL3:AM3"/>
    <mergeCell ref="AH3:AI3"/>
    <mergeCell ref="X3:Y3"/>
    <mergeCell ref="Z3:AA3"/>
    <mergeCell ref="AB3:AC3"/>
    <mergeCell ref="AD3:AE3"/>
    <mergeCell ref="AF3:AG3"/>
  </mergeCells>
  <phoneticPr fontId="3" type="noConversion"/>
  <dataValidations count="3">
    <dataValidation type="list" allowBlank="1" showInputMessage="1" showErrorMessage="1" sqref="K5:K205" xr:uid="{00000000-0002-0000-0800-000000000000}">
      <formula1>StsAct</formula1>
    </dataValidation>
    <dataValidation type="list" allowBlank="1" showInputMessage="1" showErrorMessage="1" sqref="L5:L205" xr:uid="{00000000-0002-0000-0800-000001000000}">
      <formula1>Sts_2</formula1>
    </dataValidation>
    <dataValidation type="list" allowBlank="1" showInputMessage="1" showErrorMessage="1" sqref="C5:C205" xr:uid="{00000000-0002-0000-0800-000002000000}">
      <formula1>Owner</formula1>
    </dataValidation>
  </dataValidations>
  <pageMargins left="0.7" right="0.7" top="0.75" bottom="0.75" header="0.3" footer="0.3"/>
  <pageSetup paperSize="9" orientation="portrait" r:id="rId1"/>
  <legacy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806BDE-F9D4-4EEB-AE7F-91D8BDACFBFB}">
  <sheetPr>
    <tabColor rgb="FFFF0000"/>
  </sheetPr>
  <dimension ref="A1:C15"/>
  <sheetViews>
    <sheetView workbookViewId="0">
      <selection activeCell="A2" sqref="A2"/>
    </sheetView>
  </sheetViews>
  <sheetFormatPr defaultColWidth="11.42578125" defaultRowHeight="15"/>
  <sheetData>
    <row r="1" spans="1:3">
      <c r="A1" s="125" t="s">
        <v>991</v>
      </c>
    </row>
    <row r="2" spans="1:3">
      <c r="A2" s="125" t="s">
        <v>992</v>
      </c>
    </row>
    <row r="3" spans="1:3">
      <c r="A3" s="133" t="s">
        <v>31</v>
      </c>
      <c r="B3" s="5" t="s">
        <v>32</v>
      </c>
      <c r="C3" s="5" t="s">
        <v>33</v>
      </c>
    </row>
    <row r="4" spans="1:3">
      <c r="A4" s="123" t="s">
        <v>195</v>
      </c>
      <c r="B4" s="86" t="s">
        <v>410</v>
      </c>
      <c r="C4" s="86" t="s">
        <v>211</v>
      </c>
    </row>
    <row r="5" spans="1:3">
      <c r="A5" s="123" t="s">
        <v>195</v>
      </c>
      <c r="B5" s="86" t="s">
        <v>412</v>
      </c>
      <c r="C5" s="86" t="s">
        <v>211</v>
      </c>
    </row>
    <row r="6" spans="1:3">
      <c r="A6" s="123" t="s">
        <v>195</v>
      </c>
      <c r="B6" s="86" t="s">
        <v>517</v>
      </c>
      <c r="C6" s="86" t="s">
        <v>280</v>
      </c>
    </row>
    <row r="7" spans="1:3">
      <c r="A7" s="123" t="s">
        <v>195</v>
      </c>
      <c r="B7" s="86" t="s">
        <v>518</v>
      </c>
      <c r="C7" s="86" t="s">
        <v>280</v>
      </c>
    </row>
    <row r="8" spans="1:3">
      <c r="A8" s="123" t="s">
        <v>195</v>
      </c>
      <c r="B8" s="86" t="s">
        <v>519</v>
      </c>
      <c r="C8" s="86" t="s">
        <v>280</v>
      </c>
    </row>
    <row r="9" spans="1:3">
      <c r="A9" s="123" t="s">
        <v>195</v>
      </c>
      <c r="B9" s="86" t="s">
        <v>520</v>
      </c>
      <c r="C9" s="86" t="s">
        <v>280</v>
      </c>
    </row>
    <row r="10" spans="1:3">
      <c r="A10" s="123" t="s">
        <v>195</v>
      </c>
      <c r="B10" s="86" t="s">
        <v>521</v>
      </c>
      <c r="C10" s="86" t="s">
        <v>280</v>
      </c>
    </row>
    <row r="11" spans="1:3">
      <c r="A11" s="123" t="s">
        <v>195</v>
      </c>
      <c r="B11" s="86" t="s">
        <v>522</v>
      </c>
      <c r="C11" s="86" t="s">
        <v>280</v>
      </c>
    </row>
    <row r="12" spans="1:3">
      <c r="A12" s="123" t="s">
        <v>195</v>
      </c>
      <c r="B12" s="86" t="s">
        <v>523</v>
      </c>
      <c r="C12" s="86" t="s">
        <v>280</v>
      </c>
    </row>
    <row r="13" spans="1:3">
      <c r="A13" s="123" t="s">
        <v>195</v>
      </c>
      <c r="B13" s="86" t="s">
        <v>524</v>
      </c>
      <c r="C13" s="86" t="s">
        <v>280</v>
      </c>
    </row>
    <row r="14" spans="1:3">
      <c r="A14" s="123" t="s">
        <v>195</v>
      </c>
      <c r="B14" s="86" t="s">
        <v>525</v>
      </c>
      <c r="C14" s="86" t="s">
        <v>265</v>
      </c>
    </row>
    <row r="15" spans="1:3">
      <c r="A15" s="123" t="s">
        <v>195</v>
      </c>
      <c r="B15" s="86" t="s">
        <v>526</v>
      </c>
      <c r="C15" s="86" t="s">
        <v>265</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2DDE0F-2A7E-46A9-970F-24755F69093B}">
  <sheetPr filterMode="1">
    <tabColor rgb="FF99FF66"/>
  </sheetPr>
  <dimension ref="A1:M1813"/>
  <sheetViews>
    <sheetView workbookViewId="0">
      <pane ySplit="1" topLeftCell="A2" activePane="bottomLeft" state="frozen"/>
      <selection pane="bottomLeft" activeCell="C9" sqref="C9"/>
    </sheetView>
  </sheetViews>
  <sheetFormatPr defaultColWidth="8.85546875" defaultRowHeight="15" customHeight="1" outlineLevelRow="1"/>
  <cols>
    <col min="1" max="1" width="10.140625" customWidth="1"/>
    <col min="2" max="2" width="40" customWidth="1"/>
    <col min="3" max="3" width="53.85546875" customWidth="1"/>
    <col min="4" max="4" width="18.28515625" style="8" customWidth="1"/>
    <col min="5" max="5" width="13" style="8" bestFit="1" customWidth="1"/>
    <col min="6" max="7" width="14" style="8" customWidth="1"/>
    <col min="8" max="11" width="23.28515625" style="191" customWidth="1"/>
    <col min="12" max="12" width="22" style="8" customWidth="1"/>
    <col min="13" max="13" width="11.140625" bestFit="1" customWidth="1"/>
    <col min="14" max="14" width="12.140625" bestFit="1" customWidth="1"/>
    <col min="15" max="16" width="11.140625" bestFit="1" customWidth="1"/>
  </cols>
  <sheetData>
    <row r="1" spans="1:12" ht="18.600000000000001" customHeight="1">
      <c r="A1" s="231"/>
      <c r="B1" s="231" t="s">
        <v>993</v>
      </c>
      <c r="C1" s="231" t="s">
        <v>994</v>
      </c>
      <c r="D1" s="231" t="s">
        <v>995</v>
      </c>
      <c r="E1" s="231" t="s">
        <v>996</v>
      </c>
      <c r="F1" s="231" t="s">
        <v>997</v>
      </c>
      <c r="G1" s="231" t="s">
        <v>998</v>
      </c>
      <c r="H1" s="294" t="s">
        <v>999</v>
      </c>
      <c r="I1" s="294" t="s">
        <v>1000</v>
      </c>
      <c r="J1" s="294" t="s">
        <v>1001</v>
      </c>
      <c r="K1" s="294" t="s">
        <v>0</v>
      </c>
      <c r="L1" s="231" t="s">
        <v>30</v>
      </c>
    </row>
    <row r="2" spans="1:12">
      <c r="B2" s="232" t="s">
        <v>410</v>
      </c>
      <c r="C2" s="86" t="s">
        <v>211</v>
      </c>
      <c r="D2" s="236" t="str">
        <f>_xlfn.XLOOKUP(B2,'Relacion '!$E:$E,'Relacion '!$D:$D,"")</f>
        <v>04. VALIDA US</v>
      </c>
      <c r="E2" s="233">
        <f t="shared" ref="E2:E65" si="0">IF(OR(F2="",G2=""),"",G2-F2)</f>
        <v>117</v>
      </c>
      <c r="F2" s="234" cm="1">
        <f t="array" ref="F2">MIN(INDEX('Relacion '!$X$5:$AM$493,MATCH(INDEX($B:$B, (ROW()-0)),'Relacion '!$E$5:$E$493,0),0))</f>
        <v>46024</v>
      </c>
      <c r="G2" s="234" cm="1">
        <f t="array" ref="G2">MAX(INDEX('Relacion '!$X$5:$AM$493,MATCH(INDEX($B:$B, (ROW()-0)),'Relacion '!$E$5:$E$493,0),0))</f>
        <v>46141</v>
      </c>
      <c r="H2" s="235" t="e">
        <f>AVERAGE(H3:H10)</f>
        <v>#N/A</v>
      </c>
      <c r="I2" s="235">
        <f ca="1">AVERAGE(I3:I10)</f>
        <v>1</v>
      </c>
      <c r="J2" s="236" t="str">
        <f>IF(ISNUMBER(SEARCH("Rocha", _xlfn.XLOOKUP(B2,'Relacion '!$E:$E,'Relacion '!$I:$I,""))), "Sí", "No")</f>
        <v>No</v>
      </c>
      <c r="K2" s="236" t="str">
        <f>IF(ISNUMBER(SEARCH("Rocha", _xlfn.XLOOKUP(B2,'Relacion '!$E:$E,'Relacion '!$I:$I,""))), "RMC", _xlfn.XLOOKUP(B2,'Relacion '!$E:$E,'Relacion '!$B:$B,""))</f>
        <v>Tesorería </v>
      </c>
      <c r="L2" s="236" t="str">
        <f>_xlfn.XLOOKUP(B2,'Relacion '!$E:$E,'Relacion '!$C:$C,"")</f>
        <v>Eduardo Cabral</v>
      </c>
    </row>
    <row r="3" spans="1:12" outlineLevel="1">
      <c r="B3" s="237" t="s">
        <v>654</v>
      </c>
      <c r="C3" s="237" t="s">
        <v>654</v>
      </c>
      <c r="D3" s="238"/>
      <c r="E3" s="239">
        <f t="shared" si="0"/>
        <v>59</v>
      </c>
      <c r="F3" s="240" cm="1">
        <f t="array" ref="F3">MIN(INDEX('Relacion '!$X$5:$Y$493,MATCH(INDEX($B:$B, (ROW()-1)),'Relacion '!$E$5:$E$493,0),0))</f>
        <v>46024</v>
      </c>
      <c r="G3" s="240" cm="1">
        <f t="array" ref="G3">MAX(INDEX('Relacion '!$X$5:$Y$493,MATCH(INDEX($B:$B, (ROW()-1)),'Relacion '!$E$5:$E$493,0),0))</f>
        <v>46083</v>
      </c>
      <c r="H3" s="241" cm="1">
        <f t="array" ref="H3">IF(
 MATCH(B3,{"01. ASIGNACION AREA";"02. MAPEO";"03. DESARROLLO";"04. VALIDA US";"05. VOBO US";"06. BW-EJECUCION";"07. VALIDACIÓN BAJAWARE";"08. CERRADA"},0)
 &lt;
 MATCH(_xlfn.XLOOKUP(INDEX($B:$B, (ROW()-1)),'Relacion '!$E:$E,'Relacion '!$D:$D,""),{"01. ASIGNACION AREA";"02. MAPEO";"03. DESARROLLO";"04. VALIDA US";"05. VOBO US";"06. BW-EJECUCION";"07. VALIDACIÓN BAJAWARE";"08. CERRADA"},0),
 1,
 IF(
  MATCH(B3,{"01. ASIGNACION AREA";"02. MAPEO";"03. DESARROLLO";"04. VALIDA US";"05. VOBO US";"06. BW-EJECUCION";"07. VALIDACIÓN BAJAWARE";"08. CERRADA"},0)
  =
  MATCH(_xlfn.XLOOKUP(INDEX($B:$B, (ROW()-1)),'Relacion '!$E:$E,'Relacion '!$D:$D,""),{"01. ASIGNACION AREA";"02. MAPEO";"03. DESARROLLO";"04. VALIDA US";"05. VOBO US";"06. BW-EJECUCION";"07. VALIDACIÓN BAJAWARE";"08. CERRADA"},0),
  _xlfn.XLOOKUP(INDEX($B:$B, (ROW()-1)),'Relacion '!$E:$E,'Relacion '!#REF!,0),
  0
 )
)</f>
        <v>1</v>
      </c>
      <c r="I3" s="241">
        <f ca="1">IF(G3&lt;=TODAY(), 1, 0)</f>
        <v>1</v>
      </c>
      <c r="J3" s="241"/>
      <c r="K3" s="241"/>
      <c r="L3" s="238"/>
    </row>
    <row r="4" spans="1:12" outlineLevel="1">
      <c r="B4" s="237" t="s">
        <v>195</v>
      </c>
      <c r="C4" s="237" t="s">
        <v>195</v>
      </c>
      <c r="D4" s="238"/>
      <c r="E4" s="239">
        <f t="shared" si="0"/>
        <v>0</v>
      </c>
      <c r="F4" s="240" cm="1">
        <f t="array" ref="F4">MIN(INDEX('Relacion '!$Z$5:$AA$493,MATCH(INDEX($B:$B, (ROW()-2)),'Relacion '!$E$5:$E$493,0),0))</f>
        <v>46084</v>
      </c>
      <c r="G4" s="240" cm="1">
        <f t="array" ref="G4">MAX(INDEX('Relacion '!$Z$5:$AA$493,MATCH(INDEX($B:$B, (ROW()-2)),'Relacion '!$E$5:$E$493,0),0))</f>
        <v>46084</v>
      </c>
      <c r="H4" s="241" cm="1">
        <f t="array" ref="H4">IF(
 MATCH(B4,{"01. ASIGNACION AREA";"02. MAPEO";"03. DESARROLLO";"04. VALIDA US";"05. VOBO US";"06. BW-EJECUCION";"07. VALIDACIÓN BAJAWARE";"08. CERRADA"},0)
 &lt;
 MATCH(_xlfn.XLOOKUP(INDEX($B:$B, (ROW()-2)),'Relacion '!$E:$E,'Relacion '!$D:$D,""),{"01. ASIGNACION AREA";"02. MAPEO";"03. DESARROLLO";"04. VALIDA US";"05. VOBO US";"06. BW-EJECUCION";"07. VALIDACIÓN BAJAWARE";"08. CERRADA"},0),
 1,
 IF(
  MATCH(B4,{"01. ASIGNACION AREA";"02. MAPEO";"03. DESARROLLO";"04. VALIDA US";"05. VOBO US";"06. BW-EJECUCION";"07. VALIDACIÓN BAJAWARE";"08. CERRADA"},0)
  =
  MATCH(_xlfn.XLOOKUP(INDEX($B:$B, (ROW()-2)),'Relacion '!$E:$E,'Relacion '!$D:$D,""),{"01. ASIGNACION AREA";"02. MAPEO";"03. DESARROLLO";"04. VALIDA US";"05. VOBO US";"06. BW-EJECUCION";"07. VALIDACIÓN BAJAWARE";"08. CERRADA"},0),
  _xlfn.XLOOKUP(INDEX($B:$B, (ROW()-2)),'Relacion '!$E:$E,'Relacion '!#REF!,0),
  0
 )
)</f>
        <v>1</v>
      </c>
      <c r="I4" s="241">
        <f t="shared" ref="I4:I10" ca="1" si="1">IF(G4&lt;=TODAY(), 1, 0)</f>
        <v>1</v>
      </c>
      <c r="J4" s="241"/>
      <c r="K4" s="241"/>
      <c r="L4" s="238"/>
    </row>
    <row r="5" spans="1:12" outlineLevel="1">
      <c r="B5" s="237" t="s">
        <v>49</v>
      </c>
      <c r="C5" s="237" t="s">
        <v>49</v>
      </c>
      <c r="D5" s="238"/>
      <c r="E5" s="239">
        <f t="shared" si="0"/>
        <v>13</v>
      </c>
      <c r="F5" s="240" cm="1">
        <f t="array" ref="F5">MIN(INDEX('Relacion '!$AB$5:$AC$493,MATCH(INDEX($B:$B, (ROW()-3)),'Relacion '!$E$5:$E$493,0),0))</f>
        <v>46085</v>
      </c>
      <c r="G5" s="240" cm="1">
        <f t="array" ref="G5">MAX(INDEX('Relacion '!$AB$5:$AC$493,MATCH(INDEX($B:$B, (ROW()-3)),'Relacion '!$E$5:$E$493,0),0))</f>
        <v>46098</v>
      </c>
      <c r="H5" s="241" cm="1">
        <f t="array" ref="H5">IF(
 MATCH(B5,{"01. ASIGNACION AREA";"02. MAPEO";"03. DESARROLLO";"04. VALIDA US";"05. VOBO US";"06. BW-EJECUCION";"07. VALIDACIÓN BAJAWARE";"08. CERRADA"},0)
 &lt;
 MATCH(_xlfn.XLOOKUP(INDEX($B:$B, (ROW()-3)),'Relacion '!$E:$E,'Relacion '!$D:$D,""),{"01. ASIGNACION AREA";"02. MAPEO";"03. DESARROLLO";"04. VALIDA US";"05. VOBO US";"06. BW-EJECUCION";"07. VALIDACIÓN BAJAWARE";"08. CERRADA"},0),
 1,
 IF(
  MATCH(B5,{"01. ASIGNACION AREA";"02. MAPEO";"03. DESARROLLO";"04. VALIDA US";"05. VOBO US";"06. BW-EJECUCION";"07. VALIDACIÓN BAJAWARE";"08. CERRADA"},0)
  =
  MATCH(_xlfn.XLOOKUP(INDEX($B:$B, (ROW()-3)),'Relacion '!$E:$E,'Relacion '!$D:$D,""),{"01. ASIGNACION AREA";"02. MAPEO";"03. DESARROLLO";"04. VALIDA US";"05. VOBO US";"06. BW-EJECUCION";"07. VALIDACIÓN BAJAWARE";"08. CERRADA"},0),
  _xlfn.XLOOKUP(INDEX($B:$B, (ROW()-3)),'Relacion '!$E:$E,'Relacion '!#REF!,0),
  0
 )
)</f>
        <v>1</v>
      </c>
      <c r="I5" s="241">
        <f t="shared" ca="1" si="1"/>
        <v>1</v>
      </c>
      <c r="J5" s="241"/>
      <c r="K5" s="241"/>
      <c r="L5" s="238"/>
    </row>
    <row r="6" spans="1:12" outlineLevel="1">
      <c r="B6" s="237" t="s">
        <v>324</v>
      </c>
      <c r="C6" s="237" t="s">
        <v>324</v>
      </c>
      <c r="D6" s="238"/>
      <c r="E6" s="239">
        <f t="shared" si="0"/>
        <v>20</v>
      </c>
      <c r="F6" s="240" cm="1">
        <f t="array" ref="F6">MIN(INDEX('Relacion '!$AD$5:$AE$493,MATCH(INDEX($B:$B, (ROW()-4)),'Relacion '!$E$5:$E$493,0),0))</f>
        <v>46099</v>
      </c>
      <c r="G6" s="240" cm="1">
        <f t="array" ref="G6">MAX(INDEX('Relacion '!$AD$5:$AE$493,MATCH(INDEX($B:$B, (ROW()-4)),'Relacion '!$E$5:$E$493,0),0))</f>
        <v>46119</v>
      </c>
      <c r="H6" s="241" t="e" cm="1">
        <f t="array" ref="H6">IF(
 MATCH(B6,{"01. ASIGNACION AREA";"02. MAPEO";"03. DESARROLLO";"04. VALIDA US";"05. VOBO US";"06. BW-EJECUCION";"07. VALIDACIÓN BAJAWARE";"08. CERRADA"},0)
 &lt;
 MATCH(_xlfn.XLOOKUP(INDEX($B:$B, (ROW()-3)),'Relacion '!$E:$E,'Relacion '!$D:$D,""),{"01. ASIGNACION AREA";"02. MAPEO";"03. DESARROLLO";"04. VALIDA US";"05. VOBO US";"06. BW-EJECUCION";"07. VALIDACIÓN BAJAWARE";"08. CERRADA"},0),
 1,
 IF(
  MATCH(B6,{"01. ASIGNACION AREA";"02. MAPEO";"03. DESARROLLO";"04. VALIDA US";"05. VOBO US";"06. BW-EJECUCION";"07. VALIDACIÓN BAJAWARE";"08. CERRADA"},0)
  =
  MATCH(_xlfn.XLOOKUP(INDEX($B:$B, (ROW()-3)),'Relacion '!$E:$E,'Relacion '!$D:$D,""),{"01. ASIGNACION AREA";"02. MAPEO";"03. DESARROLLO";"04. VALIDA US";"05. VOBO US";"06. BW-EJECUCION";"07. VALIDACIÓN BAJAWARE";"08. CERRADA"},0),
  _xlfn.XLOOKUP(INDEX($B:$B, (ROW()-3)),'Relacion '!$E:$E,'Relacion '!#REF!,0),
  0
 )
)</f>
        <v>#N/A</v>
      </c>
      <c r="I6" s="241">
        <f t="shared" ca="1" si="1"/>
        <v>1</v>
      </c>
      <c r="J6" s="241"/>
      <c r="K6" s="241"/>
      <c r="L6" s="238"/>
    </row>
    <row r="7" spans="1:12" outlineLevel="1">
      <c r="B7" s="237" t="s">
        <v>320</v>
      </c>
      <c r="C7" s="237" t="s">
        <v>320</v>
      </c>
      <c r="D7" s="238"/>
      <c r="E7" s="239">
        <f t="shared" si="0"/>
        <v>1</v>
      </c>
      <c r="F7" s="240" cm="1">
        <f t="array" ref="F7">MIN(INDEX('Relacion '!$AF$5:$AG$493,MATCH(INDEX($B:$B, (ROW()-5)),'Relacion '!$E$5:$E$493,0),0))</f>
        <v>46119</v>
      </c>
      <c r="G7" s="240" cm="1">
        <f t="array" ref="G7">MAX(INDEX('Relacion '!$AF$5:$AG$493,MATCH(INDEX($B:$B, (ROW()-5)),'Relacion '!$E$5:$E$493,0),0))</f>
        <v>46120</v>
      </c>
      <c r="H7" s="241" cm="1">
        <f t="array" ref="H7">IF(
 MATCH(B7,{"01. ASIGNACION AREA";"02. MAPEO";"03. DESARROLLO";"04. VALIDA US";"05. VOBO US";"06. BW-EJECUCION";"07. VALIDACIÓN BAJAWARE";"08. CERRADA"},0)
 &lt;
 MATCH(_xlfn.XLOOKUP(INDEX($B:$B, (ROW()-5)),'Relacion '!$E:$E,'Relacion '!$D:$D,""),{"01. ASIGNACION AREA";"02. MAPEO";"03. DESARROLLO";"04. VALIDA US";"05. VOBO US";"06. BW-EJECUCION";"07. VALIDACIÓN BAJAWARE";"08. CERRADA"},0),
 1,
 IF(
  MATCH(B7,{"01. ASIGNACION AREA";"02. MAPEO";"03. DESARROLLO";"04. VALIDA US";"05. VOBO US";"06. BW-EJECUCION";"07. VALIDACIÓN BAJAWARE";"08. CERRADA"},0)
  =
  MATCH(_xlfn.XLOOKUP(INDEX($B:$B, (ROW()-5)),'Relacion '!$E:$E,'Relacion '!$D:$D,""),{"01. ASIGNACION AREA";"02. MAPEO";"03. DESARROLLO";"04. VALIDA US";"05. VOBO US";"06. BW-EJECUCION";"07. VALIDACIÓN BAJAWARE";"08. CERRADA"},0),
  _xlfn.XLOOKUP(INDEX($B:$B, (ROW()-5)),'Relacion '!$E:$E,'Relacion '!#REF!,0),
  0
 )
)</f>
        <v>0</v>
      </c>
      <c r="I7" s="241">
        <f t="shared" ca="1" si="1"/>
        <v>1</v>
      </c>
      <c r="J7" s="241"/>
      <c r="K7" s="241"/>
      <c r="L7" s="238"/>
    </row>
    <row r="8" spans="1:12" outlineLevel="1">
      <c r="B8" s="237" t="s">
        <v>710</v>
      </c>
      <c r="C8" s="237" t="s">
        <v>710</v>
      </c>
      <c r="D8" s="238"/>
      <c r="E8" s="239">
        <f t="shared" si="0"/>
        <v>4</v>
      </c>
      <c r="F8" s="240" cm="1">
        <f t="array" ref="F8">MIN(INDEX('Relacion '!$AH$5:$AI$493,MATCH(INDEX($B:$B, (ROW()-6)),'Relacion '!$E$5:$E$493,0),0))</f>
        <v>46121</v>
      </c>
      <c r="G8" s="240" cm="1">
        <f t="array" ref="G8">MAX(INDEX('Relacion '!$AH$5:$AI$493,MATCH(INDEX($B:$B, (ROW()-6)),'Relacion '!$E$5:$E$493,0),0))</f>
        <v>46125</v>
      </c>
      <c r="H8" s="241" cm="1">
        <f t="array" ref="H8">IF(
 MATCH(B8,{"01. ASIGNACION AREA";"02. MAPEO";"03. DESARROLLO";"04. VALIDA US";"05. VOBO US";"06. BW-EJECUCION";"07. VALIDACIÓN BAJAWARE";"08. CERRADA"},0)
 &lt;
 MATCH(_xlfn.XLOOKUP(INDEX($B:$B, (ROW()-6)),'Relacion '!$E:$E,'Relacion '!$D:$D,""),{"01. ASIGNACION AREA";"02. MAPEO";"03. DESARROLLO";"04. VALIDA US";"05. VOBO US";"06. BW-EJECUCION";"07. VALIDACIÓN BAJAWARE";"08. CERRADA"},0),
 1,
 IF(
  MATCH(B8,{"01. ASIGNACION AREA";"02. MAPEO";"03. DESARROLLO";"04. VALIDA US";"05. VOBO US";"06. BW-EJECUCION";"07. VALIDACIÓN BAJAWARE";"08. CERRADA"},0)
  =
  MATCH(_xlfn.XLOOKUP(INDEX($B:$B, (ROW()-6)),'Relacion '!$E:$E,'Relacion '!$D:$D,""),{"01. ASIGNACION AREA";"02. MAPEO";"03. DESARROLLO";"04. VALIDA US";"05. VOBO US";"06. BW-EJECUCION";"07. VALIDACIÓN BAJAWARE";"08. CERRADA"},0),
  _xlfn.XLOOKUP(INDEX($B:$B, (ROW()-6)),'Relacion '!$E:$E,'Relacion '!#REF!,0),
  0
 )
)</f>
        <v>0</v>
      </c>
      <c r="I8" s="241">
        <f t="shared" ca="1" si="1"/>
        <v>1</v>
      </c>
      <c r="J8" s="241"/>
      <c r="K8" s="241"/>
      <c r="L8" s="238"/>
    </row>
    <row r="9" spans="1:12" outlineLevel="1">
      <c r="B9" s="237" t="s">
        <v>655</v>
      </c>
      <c r="C9" s="237" t="s">
        <v>655</v>
      </c>
      <c r="D9" s="238"/>
      <c r="E9" s="239">
        <f t="shared" si="0"/>
        <v>14</v>
      </c>
      <c r="F9" s="240" cm="1">
        <f t="array" ref="F9">MIN(INDEX('Relacion '!$AJ$5:$AK$493,MATCH(INDEX($B:$B, (ROW()-7)),'Relacion '!$E$5:$E$493,0),0))</f>
        <v>46126</v>
      </c>
      <c r="G9" s="240" cm="1">
        <f t="array" ref="G9">MAX(INDEX('Relacion '!$AJ$5:$AK$493,MATCH(INDEX($B:$B, (ROW()-7)),'Relacion '!$E$5:$E$493,0),0))</f>
        <v>46140</v>
      </c>
      <c r="H9" s="241" cm="1">
        <f t="array" ref="H9">IF(
 MATCH(B9,{"01. ASIGNACION AREA";"02. MAPEO";"03. DESARROLLO";"04. VALIDA US";"05. VOBO US";"06. BW-EJECUCION";"07. VALIDACIÓN BAJAWARE";"08. CERRADA"},0)
 &lt;
 MATCH(_xlfn.XLOOKUP(INDEX($B:$B, (ROW()-7)),'Relacion '!$E:$E,'Relacion '!$D:$D,""),{"01. ASIGNACION AREA";"02. MAPEO";"03. DESARROLLO";"04. VALIDA US";"05. VOBO US";"06. BW-EJECUCION";"07. VALIDACIÓN BAJAWARE";"08. CERRADA"},0),
 1,
 IF(
  MATCH(B9,{"01. ASIGNACION AREA";"02. MAPEO";"03. DESARROLLO";"04. VALIDA US";"05. VOBO US";"06. BW-EJECUCION";"07. VALIDACIÓN BAJAWARE";"08. CERRADA"},0)
  =
  MATCH(_xlfn.XLOOKUP(INDEX($B:$B, (ROW()-7)),'Relacion '!$E:$E,'Relacion '!$D:$D,""),{"01. ASIGNACION AREA";"02. MAPEO";"03. DESARROLLO";"04. VALIDA US";"05. VOBO US";"06. BW-EJECUCION";"07. VALIDACIÓN BAJAWARE";"08. CERRADA"},0),
  _xlfn.XLOOKUP(INDEX($B:$B, (ROW()-7)),'Relacion '!$E:$E,'Relacion '!#REF!,0),
  0
 )
)</f>
        <v>0</v>
      </c>
      <c r="I9" s="241">
        <f t="shared" ca="1" si="1"/>
        <v>1</v>
      </c>
      <c r="J9" s="241"/>
      <c r="K9" s="241"/>
      <c r="L9" s="238"/>
    </row>
    <row r="10" spans="1:12" outlineLevel="1">
      <c r="B10" s="237" t="s">
        <v>656</v>
      </c>
      <c r="C10" s="237" t="s">
        <v>656</v>
      </c>
      <c r="D10" s="238"/>
      <c r="E10" s="239">
        <f t="shared" si="0"/>
        <v>0</v>
      </c>
      <c r="F10" s="240" cm="1">
        <f t="array" ref="F10">MIN(INDEX('Relacion '!$AL$5:$AM$493,MATCH(INDEX($B:$B, (ROW()-8)),'Relacion '!$E$5:$E$493,0),0))</f>
        <v>46141</v>
      </c>
      <c r="G10" s="240" cm="1">
        <f t="array" ref="G10">MAX(INDEX('Relacion '!$AL$5:$AM$493,MATCH(INDEX($B:$B, (ROW()-8)),'Relacion '!$E$5:$E$493,0),0))</f>
        <v>46141</v>
      </c>
      <c r="H10" s="241" cm="1">
        <f t="array" ref="H10">IF(
 MATCH(B10,{"01. ASIGNACION AREA";"02. MAPEO";"03. DESARROLLO";"04. VALIDA US";"05. VOBO US";"06. BW-EJECUCION";"07. VALIDACIÓN BAJAWARE";"08. CERRADA"},0)
 &lt;
 MATCH(_xlfn.XLOOKUP(INDEX($B:$B, (ROW()-8)),'Relacion '!$E:$E,'Relacion '!$D:$D,""),{"01. ASIGNACION AREA";"02. MAPEO";"03. DESARROLLO";"04. VALIDA US";"05. VOBO US";"06. BW-EJECUCION";"07. VALIDACIÓN BAJAWARE";"08. CERRADA"},0),
 1,
 IF(
  MATCH(B10,{"01. ASIGNACION AREA";"02. MAPEO";"03. DESARROLLO";"04. VALIDA US";"05. VOBO US";"06. BW-EJECUCION";"07. VALIDACIÓN BAJAWARE";"08. CERRADA"},0)
  =
  MATCH(_xlfn.XLOOKUP(INDEX($B:$B, (ROW()-8)),'Relacion '!$E:$E,'Relacion '!$D:$D,""),{"01. ASIGNACION AREA";"02. MAPEO";"03. DESARROLLO";"04. VALIDA US";"05. VOBO US";"06. BW-EJECUCION";"07. VALIDACIÓN BAJAWARE";"08. CERRADA"},0),
  _xlfn.XLOOKUP(INDEX($B:$B, (ROW()-8)),'Relacion '!$E:$E,'Relacion '!#REF!,0),
  0
 )
)</f>
        <v>0</v>
      </c>
      <c r="I10" s="241">
        <f t="shared" ca="1" si="1"/>
        <v>1</v>
      </c>
      <c r="J10" s="241"/>
      <c r="K10" s="241"/>
      <c r="L10" s="238"/>
    </row>
    <row r="11" spans="1:12">
      <c r="B11" s="232" t="s">
        <v>202</v>
      </c>
      <c r="C11" s="184" t="s">
        <v>203</v>
      </c>
      <c r="D11" s="236" t="str">
        <f>_xlfn.XLOOKUP(B11,'Relacion '!$E:$E,'Relacion '!$D:$D,"")</f>
        <v>02. MAPEO</v>
      </c>
      <c r="E11" s="233">
        <f t="shared" si="0"/>
        <v>134</v>
      </c>
      <c r="F11" s="234" cm="1">
        <f t="array" ref="F11">MIN(INDEX('Relacion '!$X$5:$AM$493,MATCH(INDEX($B:$B, (ROW()-0)),'Relacion '!$E$5:$E$493,0),0))</f>
        <v>46024</v>
      </c>
      <c r="G11" s="234" cm="1">
        <f t="array" ref="G11">MAX(INDEX('Relacion '!$X$5:$AM$493,MATCH(INDEX($B:$B, (ROW()-0)),'Relacion '!$E$5:$E$493,0),0))</f>
        <v>46158</v>
      </c>
      <c r="H11" s="235" t="e">
        <f>AVERAGE(H12:H19)</f>
        <v>#REF!</v>
      </c>
      <c r="I11" s="235">
        <f t="shared" ref="I11" ca="1" si="2">AVERAGE(I12:I19)</f>
        <v>1</v>
      </c>
      <c r="J11" s="236" t="str">
        <f>IF(ISNUMBER(SEARCH("Rocha", _xlfn.XLOOKUP(B11,'Relacion '!$E:$E,'Relacion '!$I:$I,""))), "Sí", "No")</f>
        <v>No</v>
      </c>
      <c r="K11" s="236" t="str">
        <f>IF(ISNUMBER(SEARCH("Rocha", _xlfn.XLOOKUP(B11,'Relacion '!$E:$E,'Relacion '!$I:$I,""))), "RMC", _xlfn.XLOOKUP(B11,'Relacion '!$E:$E,'Relacion '!$B:$B,""))</f>
        <v>Captacion</v>
      </c>
      <c r="L11" s="236" t="str">
        <f>_xlfn.XLOOKUP(B11,'Relacion '!$E:$E,'Relacion '!$C:$C,"")</f>
        <v>Arturo Angeles</v>
      </c>
    </row>
    <row r="12" spans="1:12" outlineLevel="1">
      <c r="B12" s="237" t="s">
        <v>654</v>
      </c>
      <c r="C12" s="237" t="s">
        <v>654</v>
      </c>
      <c r="D12" s="238" t="str">
        <f>_xlfn.XLOOKUP(B12,'Relacion '!$E:$E,'Relacion '!$D:$D,"")</f>
        <v/>
      </c>
      <c r="E12" s="239">
        <f t="shared" si="0"/>
        <v>59</v>
      </c>
      <c r="F12" s="242" cm="1">
        <f t="array" ref="F12">MIN(INDEX('Relacion '!$X$5:$Y$493,MATCH(INDEX($B:$B, (ROW()-1)),'Relacion '!$E$5:$E$493,0),0))</f>
        <v>46024</v>
      </c>
      <c r="G12" s="242" cm="1">
        <f t="array" ref="G12">MAX(INDEX('Relacion '!$X$5:$Y$493,MATCH(INDEX($B:$B, (ROW()-1)),'Relacion '!$E$5:$E$493,0),0))</f>
        <v>46083</v>
      </c>
      <c r="H12" s="241" cm="1">
        <f t="array" ref="H12">IF(
 MATCH(B12,{"01. ASIGNACION AREA";"02. MAPEO";"03. DESARROLLO";"04. VALIDA US";"05. VOBO US";"06. BW-EJECUCION";"07. VALIDACIÓN BAJAWARE";"08. CERRADA"},0)
 &lt;
 MATCH(_xlfn.XLOOKUP(INDEX($B:$B, (ROW()-1)),'Relacion '!$E:$E,'Relacion '!$D:$D,""),{"01. ASIGNACION AREA";"02. MAPEO";"03. DESARROLLO";"04. VALIDA US";"05. VOBO US";"06. BW-EJECUCION";"07. VALIDACIÓN BAJAWARE";"08. CERRADA"},0),
 1,
 IF(
  MATCH(B12,{"01. ASIGNACION AREA";"02. MAPEO";"03. DESARROLLO";"04. VALIDA US";"05. VOBO US";"06. BW-EJECUCION";"07. VALIDACIÓN BAJAWARE";"08. CERRADA"},0)
  =
  MATCH(_xlfn.XLOOKUP(INDEX($B:$B, (ROW()-1)),'Relacion '!$E:$E,'Relacion '!$D:$D,""),{"01. ASIGNACION AREA";"02. MAPEO";"03. DESARROLLO";"04. VALIDA US";"05. VOBO US";"06. BW-EJECUCION";"07. VALIDACIÓN BAJAWARE";"08. CERRADA"},0),
  _xlfn.XLOOKUP(INDEX($B:$B, (ROW()-1)),'Relacion '!$E:$E,'Relacion '!#REF!,0),
  0
 )
)</f>
        <v>1</v>
      </c>
      <c r="I12" s="241">
        <f t="shared" ref="I12:I73" ca="1" si="3">IF(G12&lt;=TODAY(), 1, 0)</f>
        <v>1</v>
      </c>
      <c r="J12" s="241"/>
      <c r="K12" s="241"/>
      <c r="L12" s="238"/>
    </row>
    <row r="13" spans="1:12" outlineLevel="1">
      <c r="B13" s="237" t="s">
        <v>195</v>
      </c>
      <c r="C13" s="237" t="s">
        <v>195</v>
      </c>
      <c r="D13" s="238" t="str">
        <f>_xlfn.XLOOKUP(B13,'Relacion '!$E:$E,'Relacion '!$D:$D,"")</f>
        <v/>
      </c>
      <c r="E13" s="239">
        <f t="shared" si="0"/>
        <v>24</v>
      </c>
      <c r="F13" s="242" cm="1">
        <f t="array" ref="F13">MIN(INDEX('Relacion '!$Z$5:$AA$493,MATCH(INDEX($B:$B, (ROW()-2)),'Relacion '!$E$5:$E$493,0),0))</f>
        <v>46056</v>
      </c>
      <c r="G13" s="242" cm="1">
        <f t="array" ref="G13">MAX(INDEX('Relacion '!$Z$5:$AA$493,MATCH(INDEX($B:$B, (ROW()-2)),'Relacion '!$E$5:$E$493,0),0))</f>
        <v>46080</v>
      </c>
      <c r="H13" s="241" t="e" cm="1">
        <f t="array" ref="H13">IF(
 MATCH(B13,{"01. ASIGNACION AREA";"02. MAPEO";"03. DESARROLLO";"04. VALIDA US";"05. VOBO US";"06. BW-EJECUCION";"07. VALIDACIÓN BAJAWARE";"08. CERRADA"},0)
 &lt;
 MATCH(_xlfn.XLOOKUP(INDEX($B:$B, (ROW()-2)),'Relacion '!$E:$E,'Relacion '!$D:$D,""),{"01. ASIGNACION AREA";"02. MAPEO";"03. DESARROLLO";"04. VALIDA US";"05. VOBO US";"06. BW-EJECUCION";"07. VALIDACIÓN BAJAWARE";"08. CERRADA"},0),
 1,
 IF(
  MATCH(B13,{"01. ASIGNACION AREA";"02. MAPEO";"03. DESARROLLO";"04. VALIDA US";"05. VOBO US";"06. BW-EJECUCION";"07. VALIDACIÓN BAJAWARE";"08. CERRADA"},0)
  =
  MATCH(_xlfn.XLOOKUP(INDEX($B:$B, (ROW()-2)),'Relacion '!$E:$E,'Relacion '!$D:$D,""),{"01. ASIGNACION AREA";"02. MAPEO";"03. DESARROLLO";"04. VALIDA US";"05. VOBO US";"06. BW-EJECUCION";"07. VALIDACIÓN BAJAWARE";"08. CERRADA"},0),
  _xlfn.XLOOKUP(INDEX($B:$B, (ROW()-2)),'Relacion '!$E:$E,'Relacion '!#REF!,0),
  0
 )
)</f>
        <v>#REF!</v>
      </c>
      <c r="I13" s="241">
        <f t="shared" ca="1" si="3"/>
        <v>1</v>
      </c>
      <c r="J13" s="241"/>
      <c r="K13" s="241"/>
      <c r="L13" s="238"/>
    </row>
    <row r="14" spans="1:12" outlineLevel="1">
      <c r="B14" s="237" t="s">
        <v>49</v>
      </c>
      <c r="C14" s="237" t="s">
        <v>49</v>
      </c>
      <c r="D14" s="238" t="str">
        <f>_xlfn.XLOOKUP(B14,'Relacion '!$E:$E,'Relacion '!$D:$D,"")</f>
        <v/>
      </c>
      <c r="E14" s="239">
        <f t="shared" si="0"/>
        <v>25</v>
      </c>
      <c r="F14" s="240" cm="1">
        <f t="array" ref="F14">MIN(INDEX('Relacion '!$AB$5:$AC$493,MATCH(INDEX($B:$B, (ROW()-3)),'Relacion '!$E$5:$E$493,0),0))</f>
        <v>46083</v>
      </c>
      <c r="G14" s="240" cm="1">
        <f t="array" ref="G14">MAX(INDEX('Relacion '!$AB$5:$AC$493,MATCH(INDEX($B:$B, (ROW()-3)),'Relacion '!$E$5:$E$493,0),0))</f>
        <v>46108</v>
      </c>
      <c r="H14" s="241" cm="1">
        <f t="array" ref="H14">IF(
 MATCH(B14,{"01. ASIGNACION AREA";"02. MAPEO";"03. DESARROLLO";"04. VALIDA US";"05. VOBO US";"06. BW-EJECUCION";"07. VALIDACIÓN BAJAWARE";"08. CERRADA"},0)
 &lt;
 MATCH(_xlfn.XLOOKUP(INDEX($B:$B, (ROW()-3)),'Relacion '!$E:$E,'Relacion '!$D:$D,""),{"01. ASIGNACION AREA";"02. MAPEO";"03. DESARROLLO";"04. VALIDA US";"05. VOBO US";"06. BW-EJECUCION";"07. VALIDACIÓN BAJAWARE";"08. CERRADA"},0),
 1,
 IF(
  MATCH(B14,{"01. ASIGNACION AREA";"02. MAPEO";"03. DESARROLLO";"04. VALIDA US";"05. VOBO US";"06. BW-EJECUCION";"07. VALIDACIÓN BAJAWARE";"08. CERRADA"},0)
  =
  MATCH(_xlfn.XLOOKUP(INDEX($B:$B, (ROW()-3)),'Relacion '!$E:$E,'Relacion '!$D:$D,""),{"01. ASIGNACION AREA";"02. MAPEO";"03. DESARROLLO";"04. VALIDA US";"05. VOBO US";"06. BW-EJECUCION";"07. VALIDACIÓN BAJAWARE";"08. CERRADA"},0),
  _xlfn.XLOOKUP(INDEX($B:$B, (ROW()-3)),'Relacion '!$E:$E,'Relacion '!#REF!,0),
  0
 )
)</f>
        <v>0</v>
      </c>
      <c r="I14" s="241">
        <f t="shared" ca="1" si="3"/>
        <v>1</v>
      </c>
      <c r="J14" s="241"/>
      <c r="K14" s="241"/>
      <c r="L14" s="238"/>
    </row>
    <row r="15" spans="1:12" outlineLevel="1">
      <c r="B15" s="237" t="s">
        <v>324</v>
      </c>
      <c r="C15" s="237" t="s">
        <v>324</v>
      </c>
      <c r="D15" s="238" t="str">
        <f>_xlfn.XLOOKUP(B15,'Relacion '!$E:$E,'Relacion '!$D:$D,"")</f>
        <v/>
      </c>
      <c r="E15" s="239">
        <f t="shared" si="0"/>
        <v>11</v>
      </c>
      <c r="F15" s="240" cm="1">
        <f t="array" ref="F15">MIN(INDEX('Relacion '!$AD$5:$AE$493,MATCH(INDEX($B:$B, (ROW()-4)),'Relacion '!$E$5:$E$493,0),0))</f>
        <v>46111</v>
      </c>
      <c r="G15" s="240" cm="1">
        <f t="array" ref="G15">MAX(INDEX('Relacion '!$AD$5:$AE$493,MATCH(INDEX($B:$B, (ROW()-4)),'Relacion '!$E$5:$E$493,0),0))</f>
        <v>46122</v>
      </c>
      <c r="H15" s="241" cm="1">
        <f t="array" ref="H15">IF(
 MATCH(B15,{"01. ASIGNACION AREA";"02. MAPEO";"03. DESARROLLO";"04. VALIDA US";"05. VOBO US";"06. BW-EJECUCION";"07. VALIDACIÓN BAJAWARE";"08. CERRADA"},0)
 &lt;
 MATCH(_xlfn.XLOOKUP(INDEX($B:$B, (ROW()-4)),'Relacion '!$E:$E,'Relacion '!$D:$D,""),{"01. ASIGNACION AREA";"02. MAPEO";"03. DESARROLLO";"04. VALIDA US";"05. VOBO US";"06. BW-EJECUCION";"07. VALIDACIÓN BAJAWARE";"08. CERRADA"},0),
 1,
 IF(
  MATCH(B15,{"01. ASIGNACION AREA";"02. MAPEO";"03. DESARROLLO";"04. VALIDA US";"05. VOBO US";"06. BW-EJECUCION";"07. VALIDACIÓN BAJAWARE";"08. CERRADA"},0)
  =
  MATCH(_xlfn.XLOOKUP(INDEX($B:$B, (ROW()-4)),'Relacion '!$E:$E,'Relacion '!$D:$D,""),{"01. ASIGNACION AREA";"02. MAPEO";"03. DESARROLLO";"04. VALIDA US";"05. VOBO US";"06. BW-EJECUCION";"07. VALIDACIÓN BAJAWARE";"08. CERRADA"},0),
  _xlfn.XLOOKUP(INDEX($B:$B, (ROW()-4)),'Relacion '!$E:$E,'Relacion '!#REF!,0),
  0
 )
)</f>
        <v>0</v>
      </c>
      <c r="I15" s="241">
        <f t="shared" ca="1" si="3"/>
        <v>1</v>
      </c>
      <c r="J15" s="241"/>
      <c r="K15" s="241"/>
      <c r="L15" s="238"/>
    </row>
    <row r="16" spans="1:12" outlineLevel="1">
      <c r="B16" s="237" t="s">
        <v>320</v>
      </c>
      <c r="C16" s="237" t="s">
        <v>320</v>
      </c>
      <c r="D16" s="238" t="str">
        <f>_xlfn.XLOOKUP(B16,'Relacion '!$E:$E,'Relacion '!$D:$D,"")</f>
        <v/>
      </c>
      <c r="E16" s="239">
        <f t="shared" si="0"/>
        <v>1</v>
      </c>
      <c r="F16" s="240" cm="1">
        <f t="array" ref="F16">MIN(INDEX('Relacion '!$AF$5:$AG$493,MATCH(INDEX($B:$B, (ROW()-5)),'Relacion '!$E$5:$E$493,0),0))</f>
        <v>46121</v>
      </c>
      <c r="G16" s="240" cm="1">
        <f t="array" ref="G16">MAX(INDEX('Relacion '!$AF$5:$AG$493,MATCH(INDEX($B:$B, (ROW()-5)),'Relacion '!$E$5:$E$493,0),0))</f>
        <v>46122</v>
      </c>
      <c r="H16" s="241" cm="1">
        <f t="array" ref="H16">IF(
 MATCH(B16,{"01. ASIGNACION AREA";"02. MAPEO";"03. DESARROLLO";"04. VALIDA US";"05. VOBO US";"06. BW-EJECUCION";"07. VALIDACIÓN BAJAWARE";"08. CERRADA"},0)
 &lt;
 MATCH(_xlfn.XLOOKUP(INDEX($B:$B, (ROW()-5)),'Relacion '!$E:$E,'Relacion '!$D:$D,""),{"01. ASIGNACION AREA";"02. MAPEO";"03. DESARROLLO";"04. VALIDA US";"05. VOBO US";"06. BW-EJECUCION";"07. VALIDACIÓN BAJAWARE";"08. CERRADA"},0),
 1,
 IF(
  MATCH(B16,{"01. ASIGNACION AREA";"02. MAPEO";"03. DESARROLLO";"04. VALIDA US";"05. VOBO US";"06. BW-EJECUCION";"07. VALIDACIÓN BAJAWARE";"08. CERRADA"},0)
  =
  MATCH(_xlfn.XLOOKUP(INDEX($B:$B, (ROW()-5)),'Relacion '!$E:$E,'Relacion '!$D:$D,""),{"01. ASIGNACION AREA";"02. MAPEO";"03. DESARROLLO";"04. VALIDA US";"05. VOBO US";"06. BW-EJECUCION";"07. VALIDACIÓN BAJAWARE";"08. CERRADA"},0),
  _xlfn.XLOOKUP(INDEX($B:$B, (ROW()-5)),'Relacion '!$E:$E,'Relacion '!#REF!,0),
  0
 )
)</f>
        <v>0</v>
      </c>
      <c r="I16" s="241">
        <f t="shared" ca="1" si="3"/>
        <v>1</v>
      </c>
      <c r="J16" s="241"/>
      <c r="K16" s="241"/>
      <c r="L16" s="238"/>
    </row>
    <row r="17" spans="2:12" outlineLevel="1">
      <c r="B17" s="237" t="s">
        <v>710</v>
      </c>
      <c r="C17" s="237" t="s">
        <v>710</v>
      </c>
      <c r="D17" s="238" t="str">
        <f>_xlfn.XLOOKUP(B17,'Relacion '!$E:$E,'Relacion '!$D:$D,"")</f>
        <v/>
      </c>
      <c r="E17" s="239">
        <f t="shared" si="0"/>
        <v>18</v>
      </c>
      <c r="F17" s="240" cm="1">
        <f t="array" ref="F17">MIN(INDEX('Relacion '!$AH$5:$AI$493,MATCH(INDEX($B:$B, (ROW()-6)),'Relacion '!$E$5:$E$493,0),0))</f>
        <v>46125</v>
      </c>
      <c r="G17" s="240" cm="1">
        <f t="array" ref="G17">MAX(INDEX('Relacion '!$AH$5:$AI$493,MATCH(INDEX($B:$B, (ROW()-6)),'Relacion '!$E$5:$E$493,0),0))</f>
        <v>46143</v>
      </c>
      <c r="H17" s="241" cm="1">
        <f t="array" ref="H17">IF(
 MATCH(B17,{"01. ASIGNACION AREA";"02. MAPEO";"03. DESARROLLO";"04. VALIDA US";"05. VOBO US";"06. BW-EJECUCION";"07. VALIDACIÓN BAJAWARE";"08. CERRADA"},0)
 &lt;
 MATCH(_xlfn.XLOOKUP(INDEX($B:$B, (ROW()-6)),'Relacion '!$E:$E,'Relacion '!$D:$D,""),{"01. ASIGNACION AREA";"02. MAPEO";"03. DESARROLLO";"04. VALIDA US";"05. VOBO US";"06. BW-EJECUCION";"07. VALIDACIÓN BAJAWARE";"08. CERRADA"},0),
 1,
 IF(
  MATCH(B17,{"01. ASIGNACION AREA";"02. MAPEO";"03. DESARROLLO";"04. VALIDA US";"05. VOBO US";"06. BW-EJECUCION";"07. VALIDACIÓN BAJAWARE";"08. CERRADA"},0)
  =
  MATCH(_xlfn.XLOOKUP(INDEX($B:$B, (ROW()-6)),'Relacion '!$E:$E,'Relacion '!$D:$D,""),{"01. ASIGNACION AREA";"02. MAPEO";"03. DESARROLLO";"04. VALIDA US";"05. VOBO US";"06. BW-EJECUCION";"07. VALIDACIÓN BAJAWARE";"08. CERRADA"},0),
  _xlfn.XLOOKUP(INDEX($B:$B, (ROW()-6)),'Relacion '!$E:$E,'Relacion '!#REF!,0),
  0
 )
)</f>
        <v>0</v>
      </c>
      <c r="I17" s="241">
        <f t="shared" ca="1" si="3"/>
        <v>1</v>
      </c>
      <c r="J17" s="241"/>
      <c r="K17" s="241"/>
      <c r="L17" s="238"/>
    </row>
    <row r="18" spans="2:12" outlineLevel="1">
      <c r="B18" s="237" t="s">
        <v>655</v>
      </c>
      <c r="C18" s="237" t="s">
        <v>655</v>
      </c>
      <c r="D18" s="238" t="str">
        <f>_xlfn.XLOOKUP(B18,'Relacion '!$E:$E,'Relacion '!$D:$D,"")</f>
        <v/>
      </c>
      <c r="E18" s="239">
        <f t="shared" si="0"/>
        <v>11</v>
      </c>
      <c r="F18" s="240" cm="1">
        <f t="array" ref="F18">MIN(INDEX('Relacion '!$AJ$5:$AK$493,MATCH(INDEX($B:$B, (ROW()-7)),'Relacion '!$E$5:$E$493,0),0))</f>
        <v>46146</v>
      </c>
      <c r="G18" s="240" cm="1">
        <f t="array" ref="G18">MAX(INDEX('Relacion '!$AJ$5:$AK$493,MATCH(INDEX($B:$B, (ROW()-7)),'Relacion '!$E$5:$E$493,0),0))</f>
        <v>46157</v>
      </c>
      <c r="H18" s="241" cm="1">
        <f t="array" ref="H18">IF(
 MATCH(B18,{"01. ASIGNACION AREA";"02. MAPEO";"03. DESARROLLO";"04. VALIDA US";"05. VOBO US";"06. BW-EJECUCION";"07. VALIDACIÓN BAJAWARE";"08. CERRADA"},0)
 &lt;
 MATCH(_xlfn.XLOOKUP(INDEX($B:$B, (ROW()-7)),'Relacion '!$E:$E,'Relacion '!$D:$D,""),{"01. ASIGNACION AREA";"02. MAPEO";"03. DESARROLLO";"04. VALIDA US";"05. VOBO US";"06. BW-EJECUCION";"07. VALIDACIÓN BAJAWARE";"08. CERRADA"},0),
 1,
 IF(
  MATCH(B18,{"01. ASIGNACION AREA";"02. MAPEO";"03. DESARROLLO";"04. VALIDA US";"05. VOBO US";"06. BW-EJECUCION";"07. VALIDACIÓN BAJAWARE";"08. CERRADA"},0)
  =
  MATCH(_xlfn.XLOOKUP(INDEX($B:$B, (ROW()-7)),'Relacion '!$E:$E,'Relacion '!$D:$D,""),{"01. ASIGNACION AREA";"02. MAPEO";"03. DESARROLLO";"04. VALIDA US";"05. VOBO US";"06. BW-EJECUCION";"07. VALIDACIÓN BAJAWARE";"08. CERRADA"},0),
  _xlfn.XLOOKUP(INDEX($B:$B, (ROW()-7)),'Relacion '!$E:$E,'Relacion '!#REF!,0),
  0
 )
)</f>
        <v>0</v>
      </c>
      <c r="I18" s="241">
        <f t="shared" ca="1" si="3"/>
        <v>1</v>
      </c>
      <c r="J18" s="241"/>
      <c r="K18" s="241"/>
      <c r="L18" s="238"/>
    </row>
    <row r="19" spans="2:12" outlineLevel="1">
      <c r="B19" s="237" t="s">
        <v>656</v>
      </c>
      <c r="C19" s="237" t="s">
        <v>656</v>
      </c>
      <c r="D19" s="238" t="str">
        <f>_xlfn.XLOOKUP(B19,'Relacion '!$E:$E,'Relacion '!$D:$D,"")</f>
        <v/>
      </c>
      <c r="E19" s="239">
        <f t="shared" si="0"/>
        <v>0</v>
      </c>
      <c r="F19" s="240" cm="1">
        <f t="array" ref="F19">MIN(INDEX('Relacion '!$AL$5:$AM$493,MATCH(INDEX($B:$B, (ROW()-8)),'Relacion '!$E$5:$E$493,0),0))</f>
        <v>46158</v>
      </c>
      <c r="G19" s="240" cm="1">
        <f t="array" ref="G19">MAX(INDEX('Relacion '!$AL$5:$AM$493,MATCH(INDEX($B:$B, (ROW()-8)),'Relacion '!$E$5:$E$493,0),0))</f>
        <v>46158</v>
      </c>
      <c r="H19" s="241" cm="1">
        <f t="array" ref="H19">IF(
 MATCH(B19,{"01. ASIGNACION AREA";"02. MAPEO";"03. DESARROLLO";"04. VALIDA US";"05. VOBO US";"06. BW-EJECUCION";"07. VALIDACIÓN BAJAWARE";"08. CERRADA"},0)
 &lt;
 MATCH(_xlfn.XLOOKUP(INDEX($B:$B, (ROW()-8)),'Relacion '!$E:$E,'Relacion '!$D:$D,""),{"01. ASIGNACION AREA";"02. MAPEO";"03. DESARROLLO";"04. VALIDA US";"05. VOBO US";"06. BW-EJECUCION";"07. VALIDACIÓN BAJAWARE";"08. CERRADA"},0),
 1,
 IF(
  MATCH(B19,{"01. ASIGNACION AREA";"02. MAPEO";"03. DESARROLLO";"04. VALIDA US";"05. VOBO US";"06. BW-EJECUCION";"07. VALIDACIÓN BAJAWARE";"08. CERRADA"},0)
  =
  MATCH(_xlfn.XLOOKUP(INDEX($B:$B, (ROW()-8)),'Relacion '!$E:$E,'Relacion '!$D:$D,""),{"01. ASIGNACION AREA";"02. MAPEO";"03. DESARROLLO";"04. VALIDA US";"05. VOBO US";"06. BW-EJECUCION";"07. VALIDACIÓN BAJAWARE";"08. CERRADA"},0),
  _xlfn.XLOOKUP(INDEX($B:$B, (ROW()-8)),'Relacion '!$E:$E,'Relacion '!#REF!,0),
  0
 )
)</f>
        <v>0</v>
      </c>
      <c r="I19" s="241">
        <f t="shared" ca="1" si="3"/>
        <v>1</v>
      </c>
      <c r="J19" s="241"/>
      <c r="K19" s="241"/>
      <c r="L19" s="238"/>
    </row>
    <row r="20" spans="2:12">
      <c r="B20" s="232" t="s">
        <v>402</v>
      </c>
      <c r="C20" s="168" t="s">
        <v>403</v>
      </c>
      <c r="D20" s="236" t="str">
        <f>_xlfn.XLOOKUP(B20,'Relacion '!$E:$E,'Relacion '!$D:$D,"")</f>
        <v>04. VALIDA US</v>
      </c>
      <c r="E20" s="233">
        <f t="shared" si="0"/>
        <v>482</v>
      </c>
      <c r="F20" s="234" cm="1">
        <f t="array" ref="F20">MIN(INDEX('Relacion '!$X$5:$AM$493,MATCH(INDEX($B:$B, (ROW()-0)),'Relacion '!$E$5:$E$493,0),0))</f>
        <v>45659</v>
      </c>
      <c r="G20" s="234" cm="1">
        <f t="array" ref="G20">MAX(INDEX('Relacion '!$X$5:$AM$493,MATCH(INDEX($B:$B, (ROW()-0)),'Relacion '!$E$5:$E$493,0),0))</f>
        <v>46141</v>
      </c>
      <c r="H20" s="235" t="e">
        <f>AVERAGE(H21:H28)</f>
        <v>#REF!</v>
      </c>
      <c r="I20" s="235">
        <f t="shared" ref="I20" ca="1" si="4">AVERAGE(I21:I28)</f>
        <v>1</v>
      </c>
      <c r="J20" s="236" t="str">
        <f>IF(ISNUMBER(SEARCH("Rocha", _xlfn.XLOOKUP(B20,'Relacion '!$E:$E,'Relacion '!$I:$I,""))), "Sí", "No")</f>
        <v>No</v>
      </c>
      <c r="K20" s="236" t="str">
        <f>IF(ISNUMBER(SEARCH("Rocha", _xlfn.XLOOKUP(B20,'Relacion '!$E:$E,'Relacion '!$I:$I,""))), "RMC", _xlfn.XLOOKUP(B20,'Relacion '!$E:$E,'Relacion '!$B:$B,""))</f>
        <v>Operaciones Captacion</v>
      </c>
      <c r="L20" s="236" t="str">
        <f>_xlfn.XLOOKUP(B20,'Relacion '!$E:$E,'Relacion '!$C:$C,"")</f>
        <v>Luis Alberto</v>
      </c>
    </row>
    <row r="21" spans="2:12" outlineLevel="1">
      <c r="B21" s="237" t="s">
        <v>654</v>
      </c>
      <c r="C21" s="237" t="s">
        <v>654</v>
      </c>
      <c r="D21" s="238" t="str">
        <f>_xlfn.XLOOKUP(B21,'Relacion '!$E:$E,'Relacion '!$D:$D,"")</f>
        <v/>
      </c>
      <c r="E21" s="239">
        <f t="shared" si="0"/>
        <v>424</v>
      </c>
      <c r="F21" s="240" cm="1">
        <f t="array" ref="F21">MIN(INDEX('Relacion '!$X$5:$Y$493,MATCH(INDEX($B:$B, (ROW()-1)),'Relacion '!$E$5:$E$493,0),0))</f>
        <v>45659</v>
      </c>
      <c r="G21" s="240" cm="1">
        <f t="array" ref="G21">MAX(INDEX('Relacion '!$X$5:$Y$493,MATCH(INDEX($B:$B, (ROW()-1)),'Relacion '!$E$5:$E$493,0),0))</f>
        <v>46083</v>
      </c>
      <c r="H21" s="241" cm="1">
        <f t="array" ref="H21">IF(
 MATCH(B21,{"01. ASIGNACION AREA";"02. MAPEO";"03. DESARROLLO";"04. VALIDA US";"05. VOBO US";"06. BW-EJECUCION";"07. VALIDACIÓN BAJAWARE";"08. CERRADA"},0)
 &lt;
 MATCH(_xlfn.XLOOKUP(INDEX($B:$B, (ROW()-1)),'Relacion '!$E:$E,'Relacion '!$D:$D,""),{"01. ASIGNACION AREA";"02. MAPEO";"03. DESARROLLO";"04. VALIDA US";"05. VOBO US";"06. BW-EJECUCION";"07. VALIDACIÓN BAJAWARE";"08. CERRADA"},0),
 1,
 IF(
  MATCH(B21,{"01. ASIGNACION AREA";"02. MAPEO";"03. DESARROLLO";"04. VALIDA US";"05. VOBO US";"06. BW-EJECUCION";"07. VALIDACIÓN BAJAWARE";"08. CERRADA"},0)
  =
  MATCH(_xlfn.XLOOKUP(INDEX($B:$B, (ROW()-1)),'Relacion '!$E:$E,'Relacion '!$D:$D,""),{"01. ASIGNACION AREA";"02. MAPEO";"03. DESARROLLO";"04. VALIDA US";"05. VOBO US";"06. BW-EJECUCION";"07. VALIDACIÓN BAJAWARE";"08. CERRADA"},0),
  _xlfn.XLOOKUP(INDEX($B:$B, (ROW()-1)),'Relacion '!$E:$E,'Relacion '!#REF!,0),
  0
 )
)</f>
        <v>1</v>
      </c>
      <c r="I21" s="241">
        <f t="shared" ref="I21" ca="1" si="5">IF(G21&lt;=TODAY(), 1, 0)</f>
        <v>1</v>
      </c>
      <c r="J21" s="241"/>
      <c r="K21" s="241"/>
      <c r="L21" s="238"/>
    </row>
    <row r="22" spans="2:12" outlineLevel="1">
      <c r="B22" s="237" t="s">
        <v>195</v>
      </c>
      <c r="C22" s="237" t="s">
        <v>195</v>
      </c>
      <c r="D22" s="238" t="str">
        <f>_xlfn.XLOOKUP(B22,'Relacion '!$E:$E,'Relacion '!$D:$D,"")</f>
        <v/>
      </c>
      <c r="E22" s="239">
        <f t="shared" si="0"/>
        <v>0</v>
      </c>
      <c r="F22" s="240" cm="1">
        <f t="array" ref="F22">MIN(INDEX('Relacion '!$Z$5:$AA$493,MATCH(INDEX($B:$B, (ROW()-2)),'Relacion '!$E$5:$E$493,0),0))</f>
        <v>46084</v>
      </c>
      <c r="G22" s="240" cm="1">
        <f t="array" ref="G22">MAX(INDEX('Relacion '!$Z$5:$AA$493,MATCH(INDEX($B:$B, (ROW()-2)),'Relacion '!$E$5:$E$493,0),0))</f>
        <v>46084</v>
      </c>
      <c r="H22" s="241" cm="1">
        <f t="array" ref="H22">IF(
 MATCH(B22,{"01. ASIGNACION AREA";"02. MAPEO";"03. DESARROLLO";"04. VALIDA US";"05. VOBO US";"06. BW-EJECUCION";"07. VALIDACIÓN BAJAWARE";"08. CERRADA"},0)
 &lt;
 MATCH(_xlfn.XLOOKUP(INDEX($B:$B, (ROW()-2)),'Relacion '!$E:$E,'Relacion '!$D:$D,""),{"01. ASIGNACION AREA";"02. MAPEO";"03. DESARROLLO";"04. VALIDA US";"05. VOBO US";"06. BW-EJECUCION";"07. VALIDACIÓN BAJAWARE";"08. CERRADA"},0),
 1,
 IF(
  MATCH(B22,{"01. ASIGNACION AREA";"02. MAPEO";"03. DESARROLLO";"04. VALIDA US";"05. VOBO US";"06. BW-EJECUCION";"07. VALIDACIÓN BAJAWARE";"08. CERRADA"},0)
  =
  MATCH(_xlfn.XLOOKUP(INDEX($B:$B, (ROW()-2)),'Relacion '!$E:$E,'Relacion '!$D:$D,""),{"01. ASIGNACION AREA";"02. MAPEO";"03. DESARROLLO";"04. VALIDA US";"05. VOBO US";"06. BW-EJECUCION";"07. VALIDACIÓN BAJAWARE";"08. CERRADA"},0),
  _xlfn.XLOOKUP(INDEX($B:$B, (ROW()-2)),'Relacion '!$E:$E,'Relacion '!#REF!,0),
  0
 )
)</f>
        <v>1</v>
      </c>
      <c r="I22" s="241">
        <f t="shared" ca="1" si="3"/>
        <v>1</v>
      </c>
      <c r="J22" s="241"/>
      <c r="K22" s="241"/>
      <c r="L22" s="238"/>
    </row>
    <row r="23" spans="2:12" outlineLevel="1">
      <c r="B23" s="237" t="s">
        <v>49</v>
      </c>
      <c r="C23" s="237" t="s">
        <v>49</v>
      </c>
      <c r="D23" s="238" t="str">
        <f>_xlfn.XLOOKUP(B23,'Relacion '!$E:$E,'Relacion '!$D:$D,"")</f>
        <v/>
      </c>
      <c r="E23" s="239">
        <f t="shared" si="0"/>
        <v>13</v>
      </c>
      <c r="F23" s="240" cm="1">
        <f t="array" ref="F23">MIN(INDEX('Relacion '!$AB$5:$AC$493,MATCH(INDEX($B:$B, (ROW()-3)),'Relacion '!$E$5:$E$493,0),0))</f>
        <v>46085</v>
      </c>
      <c r="G23" s="240" cm="1">
        <f t="array" ref="G23">MAX(INDEX('Relacion '!$AB$5:$AC$493,MATCH(INDEX($B:$B, (ROW()-3)),'Relacion '!$E$5:$E$493,0),0))</f>
        <v>46098</v>
      </c>
      <c r="H23" s="241" cm="1">
        <f t="array" ref="H23">IF(
 MATCH(B23,{"01. ASIGNACION AREA";"02. MAPEO";"03. DESARROLLO";"04. VALIDA US";"05. VOBO US";"06. BW-EJECUCION";"07. VALIDACIÓN BAJAWARE";"08. CERRADA"},0)
 &lt;
 MATCH(_xlfn.XLOOKUP(INDEX($B:$B, (ROW()-3)),'Relacion '!$E:$E,'Relacion '!$D:$D,""),{"01. ASIGNACION AREA";"02. MAPEO";"03. DESARROLLO";"04. VALIDA US";"05. VOBO US";"06. BW-EJECUCION";"07. VALIDACIÓN BAJAWARE";"08. CERRADA"},0),
 1,
 IF(
  MATCH(B23,{"01. ASIGNACION AREA";"02. MAPEO";"03. DESARROLLO";"04. VALIDA US";"05. VOBO US";"06. BW-EJECUCION";"07. VALIDACIÓN BAJAWARE";"08. CERRADA"},0)
  =
  MATCH(_xlfn.XLOOKUP(INDEX($B:$B, (ROW()-3)),'Relacion '!$E:$E,'Relacion '!$D:$D,""),{"01. ASIGNACION AREA";"02. MAPEO";"03. DESARROLLO";"04. VALIDA US";"05. VOBO US";"06. BW-EJECUCION";"07. VALIDACIÓN BAJAWARE";"08. CERRADA"},0),
  _xlfn.XLOOKUP(INDEX($B:$B, (ROW()-3)),'Relacion '!$E:$E,'Relacion '!#REF!,0),
  0
 )
)</f>
        <v>1</v>
      </c>
      <c r="I23" s="241">
        <f t="shared" ca="1" si="3"/>
        <v>1</v>
      </c>
      <c r="J23" s="241"/>
      <c r="K23" s="241"/>
      <c r="L23" s="238"/>
    </row>
    <row r="24" spans="2:12" outlineLevel="1">
      <c r="B24" s="237" t="s">
        <v>324</v>
      </c>
      <c r="C24" s="237" t="s">
        <v>324</v>
      </c>
      <c r="D24" s="238" t="str">
        <f>_xlfn.XLOOKUP(B24,'Relacion '!$E:$E,'Relacion '!$D:$D,"")</f>
        <v/>
      </c>
      <c r="E24" s="239">
        <f t="shared" si="0"/>
        <v>20</v>
      </c>
      <c r="F24" s="240" cm="1">
        <f t="array" ref="F24">MIN(INDEX('Relacion '!$AD$5:$AE$493,MATCH(INDEX($B:$B, (ROW()-4)),'Relacion '!$E$5:$E$493,0),0))</f>
        <v>46099</v>
      </c>
      <c r="G24" s="240" cm="1">
        <f t="array" ref="G24">MAX(INDEX('Relacion '!$AD$5:$AE$493,MATCH(INDEX($B:$B, (ROW()-4)),'Relacion '!$E$5:$E$493,0),0))</f>
        <v>46119</v>
      </c>
      <c r="H24" s="241" t="e" cm="1">
        <f t="array" ref="H24">IF(
 MATCH(B24,{"01. ASIGNACION AREA";"02. MAPEO";"03. DESARROLLO";"04. VALIDA US";"05. VOBO US";"06. BW-EJECUCION";"07. VALIDACIÓN BAJAWARE";"08. CERRADA"},0)
 &lt;
 MATCH(_xlfn.XLOOKUP(INDEX($B:$B, (ROW()-4)),'Relacion '!$E:$E,'Relacion '!$D:$D,""),{"01. ASIGNACION AREA";"02. MAPEO";"03. DESARROLLO";"04. VALIDA US";"05. VOBO US";"06. BW-EJECUCION";"07. VALIDACIÓN BAJAWARE";"08. CERRADA"},0),
 1,
 IF(
  MATCH(B24,{"01. ASIGNACION AREA";"02. MAPEO";"03. DESARROLLO";"04. VALIDA US";"05. VOBO US";"06. BW-EJECUCION";"07. VALIDACIÓN BAJAWARE";"08. CERRADA"},0)
  =
  MATCH(_xlfn.XLOOKUP(INDEX($B:$B, (ROW()-4)),'Relacion '!$E:$E,'Relacion '!$D:$D,""),{"01. ASIGNACION AREA";"02. MAPEO";"03. DESARROLLO";"04. VALIDA US";"05. VOBO US";"06. BW-EJECUCION";"07. VALIDACIÓN BAJAWARE";"08. CERRADA"},0),
  _xlfn.XLOOKUP(INDEX($B:$B, (ROW()-4)),'Relacion '!$E:$E,'Relacion '!#REF!,0),
  0
 )
)</f>
        <v>#REF!</v>
      </c>
      <c r="I24" s="241">
        <f t="shared" ca="1" si="3"/>
        <v>1</v>
      </c>
      <c r="J24" s="241"/>
      <c r="K24" s="241"/>
      <c r="L24" s="238"/>
    </row>
    <row r="25" spans="2:12" outlineLevel="1">
      <c r="B25" s="237" t="s">
        <v>320</v>
      </c>
      <c r="C25" s="237" t="s">
        <v>320</v>
      </c>
      <c r="D25" s="238" t="str">
        <f>_xlfn.XLOOKUP(B25,'Relacion '!$E:$E,'Relacion '!$D:$D,"")</f>
        <v/>
      </c>
      <c r="E25" s="239">
        <f t="shared" si="0"/>
        <v>1</v>
      </c>
      <c r="F25" s="240" cm="1">
        <f t="array" ref="F25">MIN(INDEX('Relacion '!$AF$5:$AG$493,MATCH(INDEX($B:$B, (ROW()-5)),'Relacion '!$E$5:$E$493,0),0))</f>
        <v>46119</v>
      </c>
      <c r="G25" s="240" cm="1">
        <f t="array" ref="G25">MAX(INDEX('Relacion '!$AF$5:$AG$493,MATCH(INDEX($B:$B, (ROW()-5)),'Relacion '!$E$5:$E$493,0),0))</f>
        <v>46120</v>
      </c>
      <c r="H25" s="241" cm="1">
        <f t="array" ref="H25">IF(
 MATCH(B25,{"01. ASIGNACION AREA";"02. MAPEO";"03. DESARROLLO";"04. VALIDA US";"05. VOBO US";"06. BW-EJECUCION";"07. VALIDACIÓN BAJAWARE";"08. CERRADA"},0)
 &lt;
 MATCH(_xlfn.XLOOKUP(INDEX($B:$B, (ROW()-5)),'Relacion '!$E:$E,'Relacion '!$D:$D,""),{"01. ASIGNACION AREA";"02. MAPEO";"03. DESARROLLO";"04. VALIDA US";"05. VOBO US";"06. BW-EJECUCION";"07. VALIDACIÓN BAJAWARE";"08. CERRADA"},0),
 1,
 IF(
  MATCH(B25,{"01. ASIGNACION AREA";"02. MAPEO";"03. DESARROLLO";"04. VALIDA US";"05. VOBO US";"06. BW-EJECUCION";"07. VALIDACIÓN BAJAWARE";"08. CERRADA"},0)
  =
  MATCH(_xlfn.XLOOKUP(INDEX($B:$B, (ROW()-5)),'Relacion '!$E:$E,'Relacion '!$D:$D,""),{"01. ASIGNACION AREA";"02. MAPEO";"03. DESARROLLO";"04. VALIDA US";"05. VOBO US";"06. BW-EJECUCION";"07. VALIDACIÓN BAJAWARE";"08. CERRADA"},0),
  _xlfn.XLOOKUP(INDEX($B:$B, (ROW()-5)),'Relacion '!$E:$E,'Relacion '!#REF!,0),
  0
 )
)</f>
        <v>0</v>
      </c>
      <c r="I25" s="241">
        <f t="shared" ca="1" si="3"/>
        <v>1</v>
      </c>
      <c r="J25" s="241"/>
      <c r="K25" s="241"/>
      <c r="L25" s="238"/>
    </row>
    <row r="26" spans="2:12" outlineLevel="1">
      <c r="B26" s="237" t="s">
        <v>710</v>
      </c>
      <c r="C26" s="237" t="s">
        <v>710</v>
      </c>
      <c r="D26" s="238" t="str">
        <f>_xlfn.XLOOKUP(B26,'Relacion '!$E:$E,'Relacion '!$D:$D,"")</f>
        <v/>
      </c>
      <c r="E26" s="239">
        <f t="shared" si="0"/>
        <v>4</v>
      </c>
      <c r="F26" s="240" cm="1">
        <f t="array" ref="F26">MIN(INDEX('Relacion '!$AH$5:$AI$493,MATCH(INDEX($B:$B, (ROW()-6)),'Relacion '!$E$5:$E$493,0),0))</f>
        <v>46121</v>
      </c>
      <c r="G26" s="240" cm="1">
        <f t="array" ref="G26">MAX(INDEX('Relacion '!$AH$5:$AI$493,MATCH(INDEX($B:$B, (ROW()-6)),'Relacion '!$E$5:$E$493,0),0))</f>
        <v>46125</v>
      </c>
      <c r="H26" s="241" cm="1">
        <f t="array" ref="H26">IF(
 MATCH(B26,{"01. ASIGNACION AREA";"02. MAPEO";"03. DESARROLLO";"04. VALIDA US";"05. VOBO US";"06. BW-EJECUCION";"07. VALIDACIÓN BAJAWARE";"08. CERRADA"},0)
 &lt;
 MATCH(_xlfn.XLOOKUP(INDEX($B:$B, (ROW()-6)),'Relacion '!$E:$E,'Relacion '!$D:$D,""),{"01. ASIGNACION AREA";"02. MAPEO";"03. DESARROLLO";"04. VALIDA US";"05. VOBO US";"06. BW-EJECUCION";"07. VALIDACIÓN BAJAWARE";"08. CERRADA"},0),
 1,
 IF(
  MATCH(B26,{"01. ASIGNACION AREA";"02. MAPEO";"03. DESARROLLO";"04. VALIDA US";"05. VOBO US";"06. BW-EJECUCION";"07. VALIDACIÓN BAJAWARE";"08. CERRADA"},0)
  =
  MATCH(_xlfn.XLOOKUP(INDEX($B:$B, (ROW()-6)),'Relacion '!$E:$E,'Relacion '!$D:$D,""),{"01. ASIGNACION AREA";"02. MAPEO";"03. DESARROLLO";"04. VALIDA US";"05. VOBO US";"06. BW-EJECUCION";"07. VALIDACIÓN BAJAWARE";"08. CERRADA"},0),
  _xlfn.XLOOKUP(INDEX($B:$B, (ROW()-6)),'Relacion '!$E:$E,'Relacion '!#REF!,0),
  0
 )
)</f>
        <v>0</v>
      </c>
      <c r="I26" s="241">
        <f t="shared" ca="1" si="3"/>
        <v>1</v>
      </c>
      <c r="J26" s="241"/>
      <c r="K26" s="241"/>
      <c r="L26" s="238"/>
    </row>
    <row r="27" spans="2:12" outlineLevel="1">
      <c r="B27" s="237" t="s">
        <v>655</v>
      </c>
      <c r="C27" s="237" t="s">
        <v>655</v>
      </c>
      <c r="D27" s="238" t="str">
        <f>_xlfn.XLOOKUP(B27,'Relacion '!$E:$E,'Relacion '!$D:$D,"")</f>
        <v/>
      </c>
      <c r="E27" s="239">
        <f t="shared" si="0"/>
        <v>14</v>
      </c>
      <c r="F27" s="240" cm="1">
        <f t="array" ref="F27">MIN(INDEX('Relacion '!$AJ$5:$AK$493,MATCH(INDEX($B:$B, (ROW()-7)),'Relacion '!$E$5:$E$493,0),0))</f>
        <v>46126</v>
      </c>
      <c r="G27" s="240" cm="1">
        <f t="array" ref="G27">MAX(INDEX('Relacion '!$AJ$5:$AK$493,MATCH(INDEX($B:$B, (ROW()-7)),'Relacion '!$E$5:$E$493,0),0))</f>
        <v>46140</v>
      </c>
      <c r="H27" s="241" cm="1">
        <f t="array" ref="H27">IF(
 MATCH(B27,{"01. ASIGNACION AREA";"02. MAPEO";"03. DESARROLLO";"04. VALIDA US";"05. VOBO US";"06. BW-EJECUCION";"07. VALIDACIÓN BAJAWARE";"08. CERRADA"},0)
 &lt;
 MATCH(_xlfn.XLOOKUP(INDEX($B:$B, (ROW()-7)),'Relacion '!$E:$E,'Relacion '!$D:$D,""),{"01. ASIGNACION AREA";"02. MAPEO";"03. DESARROLLO";"04. VALIDA US";"05. VOBO US";"06. BW-EJECUCION";"07. VALIDACIÓN BAJAWARE";"08. CERRADA"},0),
 1,
 IF(
  MATCH(B27,{"01. ASIGNACION AREA";"02. MAPEO";"03. DESARROLLO";"04. VALIDA US";"05. VOBO US";"06. BW-EJECUCION";"07. VALIDACIÓN BAJAWARE";"08. CERRADA"},0)
  =
  MATCH(_xlfn.XLOOKUP(INDEX($B:$B, (ROW()-7)),'Relacion '!$E:$E,'Relacion '!$D:$D,""),{"01. ASIGNACION AREA";"02. MAPEO";"03. DESARROLLO";"04. VALIDA US";"05. VOBO US";"06. BW-EJECUCION";"07. VALIDACIÓN BAJAWARE";"08. CERRADA"},0),
  _xlfn.XLOOKUP(INDEX($B:$B, (ROW()-7)),'Relacion '!$E:$E,'Relacion '!#REF!,0),
  0
 )
)</f>
        <v>0</v>
      </c>
      <c r="I27" s="241">
        <f t="shared" ca="1" si="3"/>
        <v>1</v>
      </c>
      <c r="J27" s="241"/>
      <c r="K27" s="241"/>
      <c r="L27" s="238"/>
    </row>
    <row r="28" spans="2:12" outlineLevel="1">
      <c r="B28" s="237" t="s">
        <v>656</v>
      </c>
      <c r="C28" s="237" t="s">
        <v>656</v>
      </c>
      <c r="D28" s="238" t="str">
        <f>_xlfn.XLOOKUP(B28,'Relacion '!$E:$E,'Relacion '!$D:$D,"")</f>
        <v/>
      </c>
      <c r="E28" s="239">
        <f t="shared" si="0"/>
        <v>0</v>
      </c>
      <c r="F28" s="240" cm="1">
        <f t="array" ref="F28">MIN(INDEX('Relacion '!$AL$5:$AM$493,MATCH(INDEX($B:$B, (ROW()-8)),'Relacion '!$E$5:$E$493,0),0))</f>
        <v>46141</v>
      </c>
      <c r="G28" s="240" cm="1">
        <f t="array" ref="G28">MAX(INDEX('Relacion '!$AL$5:$AM$493,MATCH(INDEX($B:$B, (ROW()-8)),'Relacion '!$E$5:$E$493,0),0))</f>
        <v>46141</v>
      </c>
      <c r="H28" s="241" cm="1">
        <f t="array" ref="H28">IF(
 MATCH(B28,{"01. ASIGNACION AREA";"02. MAPEO";"03. DESARROLLO";"04. VALIDA US";"05. VOBO US";"06. BW-EJECUCION";"07. VALIDACIÓN BAJAWARE";"08. CERRADA"},0)
 &lt;
 MATCH(_xlfn.XLOOKUP(INDEX($B:$B, (ROW()-8)),'Relacion '!$E:$E,'Relacion '!$D:$D,""),{"01. ASIGNACION AREA";"02. MAPEO";"03. DESARROLLO";"04. VALIDA US";"05. VOBO US";"06. BW-EJECUCION";"07. VALIDACIÓN BAJAWARE";"08. CERRADA"},0),
 1,
 IF(
  MATCH(B28,{"01. ASIGNACION AREA";"02. MAPEO";"03. DESARROLLO";"04. VALIDA US";"05. VOBO US";"06. BW-EJECUCION";"07. VALIDACIÓN BAJAWARE";"08. CERRADA"},0)
  =
  MATCH(_xlfn.XLOOKUP(INDEX($B:$B, (ROW()-8)),'Relacion '!$E:$E,'Relacion '!$D:$D,""),{"01. ASIGNACION AREA";"02. MAPEO";"03. DESARROLLO";"04. VALIDA US";"05. VOBO US";"06. BW-EJECUCION";"07. VALIDACIÓN BAJAWARE";"08. CERRADA"},0),
  _xlfn.XLOOKUP(INDEX($B:$B, (ROW()-8)),'Relacion '!$E:$E,'Relacion '!#REF!,0),
  0
 )
)</f>
        <v>0</v>
      </c>
      <c r="I28" s="241">
        <f t="shared" ca="1" si="3"/>
        <v>1</v>
      </c>
      <c r="J28" s="241"/>
      <c r="K28" s="241"/>
      <c r="L28" s="238"/>
    </row>
    <row r="29" spans="2:12">
      <c r="B29" s="232" t="s">
        <v>69</v>
      </c>
      <c r="C29" s="292" t="s">
        <v>70</v>
      </c>
      <c r="D29" s="236" t="str">
        <f>_xlfn.XLOOKUP(B29,'Relacion '!$E:$E,'Relacion '!$D:$D,"")</f>
        <v>04. VALIDA US</v>
      </c>
      <c r="E29" s="233">
        <f t="shared" si="0"/>
        <v>478</v>
      </c>
      <c r="F29" s="234" cm="1">
        <f t="array" ref="F29">MIN(INDEX('Relacion '!$X$5:$AM$493,MATCH(INDEX($B:$B, (ROW()-0)),'Relacion '!$E$5:$E$493,0),0))</f>
        <v>45659</v>
      </c>
      <c r="G29" s="234" cm="1">
        <f t="array" ref="G29">MAX(INDEX('Relacion '!$X$5:$AM$493,MATCH(INDEX($B:$B, (ROW()-0)),'Relacion '!$E$5:$E$493,0),0))</f>
        <v>46137</v>
      </c>
      <c r="H29" s="235" t="e">
        <f>AVERAGE(H30:H37)</f>
        <v>#REF!</v>
      </c>
      <c r="I29" s="235">
        <f t="shared" ref="I29" ca="1" si="6">AVERAGE(I30:I37)</f>
        <v>1</v>
      </c>
      <c r="J29" s="236" t="str">
        <f>IF(ISNUMBER(SEARCH("Rocha", _xlfn.XLOOKUP(B29,'Relacion '!$E:$E,'Relacion '!$I:$I,""))), "Sí", "No")</f>
        <v>No</v>
      </c>
      <c r="K29" s="236" t="str">
        <f>IF(ISNUMBER(SEARCH("Rocha", _xlfn.XLOOKUP(B29,'Relacion '!$E:$E,'Relacion '!$I:$I,""))), "RMC", _xlfn.XLOOKUP(B29,'Relacion '!$E:$E,'Relacion '!$B:$B,""))</f>
        <v>Operaciones Captacion</v>
      </c>
      <c r="L29" s="236" t="str">
        <f>_xlfn.XLOOKUP(B29,'Relacion '!$E:$E,'Relacion '!$C:$C,"")</f>
        <v>Luis Alberto</v>
      </c>
    </row>
    <row r="30" spans="2:12" outlineLevel="1">
      <c r="B30" s="237" t="s">
        <v>654</v>
      </c>
      <c r="C30" s="237" t="s">
        <v>654</v>
      </c>
      <c r="D30" s="238" t="str">
        <f>_xlfn.XLOOKUP(B30,'Relacion '!$E:$E,'Relacion '!$D:$D,"")</f>
        <v/>
      </c>
      <c r="E30" s="239">
        <f t="shared" si="0"/>
        <v>379</v>
      </c>
      <c r="F30" s="240" cm="1">
        <f t="array" ref="F30">MIN(INDEX('Relacion '!$X$5:$Y$493,MATCH(INDEX($B:$B, (ROW()-1)),'Relacion '!$E$5:$E$493,0),0))</f>
        <v>45659</v>
      </c>
      <c r="G30" s="240" cm="1">
        <f t="array" ref="G30">MAX(INDEX('Relacion '!$X$5:$Y$493,MATCH(INDEX($B:$B, (ROW()-1)),'Relacion '!$E$5:$E$493,0),0))</f>
        <v>46038</v>
      </c>
      <c r="H30" s="241" cm="1">
        <f t="array" ref="H30">IF(
 MATCH(B30,{"01. ASIGNACION AREA";"02. MAPEO";"03. DESARROLLO";"04. VALIDA US";"05. VOBO US";"06. BW-EJECUCION";"07. VALIDACIÓN BAJAWARE";"08. CERRADA"},0)
 &lt;
 MATCH(_xlfn.XLOOKUP(INDEX($B:$B, (ROW()-1)),'Relacion '!$E:$E,'Relacion '!$D:$D,""),{"01. ASIGNACION AREA";"02. MAPEO";"03. DESARROLLO";"04. VALIDA US";"05. VOBO US";"06. BW-EJECUCION";"07. VALIDACIÓN BAJAWARE";"08. CERRADA"},0),
 1,
 IF(
  MATCH(B30,{"01. ASIGNACION AREA";"02. MAPEO";"03. DESARROLLO";"04. VALIDA US";"05. VOBO US";"06. BW-EJECUCION";"07. VALIDACIÓN BAJAWARE";"08. CERRADA"},0)
  =
  MATCH(_xlfn.XLOOKUP(INDEX($B:$B, (ROW()-1)),'Relacion '!$E:$E,'Relacion '!$D:$D,""),{"01. ASIGNACION AREA";"02. MAPEO";"03. DESARROLLO";"04. VALIDA US";"05. VOBO US";"06. BW-EJECUCION";"07. VALIDACIÓN BAJAWARE";"08. CERRADA"},0),
  _xlfn.XLOOKUP(INDEX($B:$B, (ROW()-1)),'Relacion '!$E:$E,'Relacion '!#REF!,0),
  0
 )
)</f>
        <v>1</v>
      </c>
      <c r="I30" s="241">
        <f t="shared" ref="I30" ca="1" si="7">IF(G30&lt;=TODAY(), 1, 0)</f>
        <v>1</v>
      </c>
      <c r="J30" s="241"/>
      <c r="K30" s="241"/>
      <c r="L30" s="238"/>
    </row>
    <row r="31" spans="2:12" outlineLevel="1">
      <c r="B31" s="237" t="s">
        <v>195</v>
      </c>
      <c r="C31" s="237" t="s">
        <v>195</v>
      </c>
      <c r="D31" s="238" t="str">
        <f>_xlfn.XLOOKUP(B31,'Relacion '!$E:$E,'Relacion '!$D:$D,"")</f>
        <v/>
      </c>
      <c r="E31" s="239">
        <f t="shared" si="0"/>
        <v>14</v>
      </c>
      <c r="F31" s="240" cm="1">
        <f t="array" ref="F31">MIN(INDEX('Relacion '!$Z$5:$AA$493,MATCH(INDEX($B:$B, (ROW()-2)),'Relacion '!$E$5:$E$493,0),0))</f>
        <v>46041</v>
      </c>
      <c r="G31" s="240" cm="1">
        <f t="array" ref="G31">MAX(INDEX('Relacion '!$Z$5:$AA$493,MATCH(INDEX($B:$B, (ROW()-2)),'Relacion '!$E$5:$E$493,0),0))</f>
        <v>46055</v>
      </c>
      <c r="H31" s="241" cm="1">
        <f t="array" ref="H31">IF(
 MATCH(B31,{"01. ASIGNACION AREA";"02. MAPEO";"03. DESARROLLO";"04. VALIDA US";"05. VOBO US";"06. BW-EJECUCION";"07. VALIDACIÓN BAJAWARE";"08. CERRADA"},0)
 &lt;
 MATCH(_xlfn.XLOOKUP(INDEX($B:$B, (ROW()-2)),'Relacion '!$E:$E,'Relacion '!$D:$D,""),{"01. ASIGNACION AREA";"02. MAPEO";"03. DESARROLLO";"04. VALIDA US";"05. VOBO US";"06. BW-EJECUCION";"07. VALIDACIÓN BAJAWARE";"08. CERRADA"},0),
 1,
 IF(
  MATCH(B31,{"01. ASIGNACION AREA";"02. MAPEO";"03. DESARROLLO";"04. VALIDA US";"05. VOBO US";"06. BW-EJECUCION";"07. VALIDACIÓN BAJAWARE";"08. CERRADA"},0)
  =
  MATCH(_xlfn.XLOOKUP(INDEX($B:$B, (ROW()-2)),'Relacion '!$E:$E,'Relacion '!$D:$D,""),{"01. ASIGNACION AREA";"02. MAPEO";"03. DESARROLLO";"04. VALIDA US";"05. VOBO US";"06. BW-EJECUCION";"07. VALIDACIÓN BAJAWARE";"08. CERRADA"},0),
  _xlfn.XLOOKUP(INDEX($B:$B, (ROW()-2)),'Relacion '!$E:$E,'Relacion '!#REF!,0),
  0
 )
)</f>
        <v>1</v>
      </c>
      <c r="I31" s="241">
        <f t="shared" ca="1" si="3"/>
        <v>1</v>
      </c>
      <c r="J31" s="241"/>
      <c r="K31" s="241"/>
      <c r="L31" s="238"/>
    </row>
    <row r="32" spans="2:12" outlineLevel="1">
      <c r="B32" s="237" t="s">
        <v>49</v>
      </c>
      <c r="C32" s="237" t="s">
        <v>49</v>
      </c>
      <c r="D32" s="238" t="str">
        <f>_xlfn.XLOOKUP(B32,'Relacion '!$E:$E,'Relacion '!$D:$D,"")</f>
        <v/>
      </c>
      <c r="E32" s="239">
        <f t="shared" si="0"/>
        <v>17</v>
      </c>
      <c r="F32" s="240" cm="1">
        <f t="array" ref="F32">MIN(INDEX('Relacion '!$AB$5:$AC$493,MATCH(INDEX($B:$B, (ROW()-3)),'Relacion '!$E$5:$E$493,0),0))</f>
        <v>46056</v>
      </c>
      <c r="G32" s="240" cm="1">
        <f t="array" ref="G32">MAX(INDEX('Relacion '!$AB$5:$AC$493,MATCH(INDEX($B:$B, (ROW()-3)),'Relacion '!$E$5:$E$493,0),0))</f>
        <v>46073</v>
      </c>
      <c r="H32" s="241" cm="1">
        <f t="array" ref="H32">IF(
 MATCH(B32,{"01. ASIGNACION AREA";"02. MAPEO";"03. DESARROLLO";"04. VALIDA US";"05. VOBO US";"06. BW-EJECUCION";"07. VALIDACIÓN BAJAWARE";"08. CERRADA"},0)
 &lt;
 MATCH(_xlfn.XLOOKUP(INDEX($B:$B, (ROW()-3)),'Relacion '!$E:$E,'Relacion '!$D:$D,""),{"01. ASIGNACION AREA";"02. MAPEO";"03. DESARROLLO";"04. VALIDA US";"05. VOBO US";"06. BW-EJECUCION";"07. VALIDACIÓN BAJAWARE";"08. CERRADA"},0),
 1,
 IF(
  MATCH(B32,{"01. ASIGNACION AREA";"02. MAPEO";"03. DESARROLLO";"04. VALIDA US";"05. VOBO US";"06. BW-EJECUCION";"07. VALIDACIÓN BAJAWARE";"08. CERRADA"},0)
  =
  MATCH(_xlfn.XLOOKUP(INDEX($B:$B, (ROW()-3)),'Relacion '!$E:$E,'Relacion '!$D:$D,""),{"01. ASIGNACION AREA";"02. MAPEO";"03. DESARROLLO";"04. VALIDA US";"05. VOBO US";"06. BW-EJECUCION";"07. VALIDACIÓN BAJAWARE";"08. CERRADA"},0),
  _xlfn.XLOOKUP(INDEX($B:$B, (ROW()-3)),'Relacion '!$E:$E,'Relacion '!#REF!,0),
  0
 )
)</f>
        <v>1</v>
      </c>
      <c r="I32" s="241">
        <f t="shared" ca="1" si="3"/>
        <v>1</v>
      </c>
      <c r="J32" s="241"/>
      <c r="K32" s="241"/>
      <c r="L32" s="238"/>
    </row>
    <row r="33" spans="2:12" outlineLevel="1">
      <c r="B33" s="237" t="s">
        <v>324</v>
      </c>
      <c r="C33" s="237" t="s">
        <v>324</v>
      </c>
      <c r="D33" s="238" t="str">
        <f>_xlfn.XLOOKUP(B33,'Relacion '!$E:$E,'Relacion '!$D:$D,"")</f>
        <v/>
      </c>
      <c r="E33" s="239">
        <f t="shared" si="0"/>
        <v>18</v>
      </c>
      <c r="F33" s="240" cm="1">
        <f t="array" ref="F33">MIN(INDEX('Relacion '!$AD$5:$AE$493,MATCH(INDEX($B:$B, (ROW()-4)),'Relacion '!$E$5:$E$493,0),0))</f>
        <v>46076</v>
      </c>
      <c r="G33" s="240" cm="1">
        <f t="array" ref="G33">MAX(INDEX('Relacion '!$AD$5:$AE$493,MATCH(INDEX($B:$B, (ROW()-4)),'Relacion '!$E$5:$E$493,0),0))</f>
        <v>46094</v>
      </c>
      <c r="H33" s="241" t="e" cm="1">
        <f t="array" ref="H33">IF(
 MATCH(B33,{"01. ASIGNACION AREA";"02. MAPEO";"03. DESARROLLO";"04. VALIDA US";"05. VOBO US";"06. BW-EJECUCION";"07. VALIDACIÓN BAJAWARE";"08. CERRADA"},0)
 &lt;
 MATCH(_xlfn.XLOOKUP(INDEX($B:$B, (ROW()-4)),'Relacion '!$E:$E,'Relacion '!$D:$D,""),{"01. ASIGNACION AREA";"02. MAPEO";"03. DESARROLLO";"04. VALIDA US";"05. VOBO US";"06. BW-EJECUCION";"07. VALIDACIÓN BAJAWARE";"08. CERRADA"},0),
 1,
 IF(
  MATCH(B33,{"01. ASIGNACION AREA";"02. MAPEO";"03. DESARROLLO";"04. VALIDA US";"05. VOBO US";"06. BW-EJECUCION";"07. VALIDACIÓN BAJAWARE";"08. CERRADA"},0)
  =
  MATCH(_xlfn.XLOOKUP(INDEX($B:$B, (ROW()-4)),'Relacion '!$E:$E,'Relacion '!$D:$D,""),{"01. ASIGNACION AREA";"02. MAPEO";"03. DESARROLLO";"04. VALIDA US";"05. VOBO US";"06. BW-EJECUCION";"07. VALIDACIÓN BAJAWARE";"08. CERRADA"},0),
  _xlfn.XLOOKUP(INDEX($B:$B, (ROW()-4)),'Relacion '!$E:$E,'Relacion '!#REF!,0),
  0
 )
)</f>
        <v>#REF!</v>
      </c>
      <c r="I33" s="241">
        <f t="shared" ca="1" si="3"/>
        <v>1</v>
      </c>
      <c r="J33" s="241"/>
      <c r="K33" s="241"/>
      <c r="L33" s="238"/>
    </row>
    <row r="34" spans="2:12" outlineLevel="1">
      <c r="B34" s="237" t="s">
        <v>320</v>
      </c>
      <c r="C34" s="237" t="s">
        <v>320</v>
      </c>
      <c r="D34" s="238" t="str">
        <f>_xlfn.XLOOKUP(B34,'Relacion '!$E:$E,'Relacion '!$D:$D,"")</f>
        <v/>
      </c>
      <c r="E34" s="239">
        <f t="shared" si="0"/>
        <v>1</v>
      </c>
      <c r="F34" s="240" cm="1">
        <f t="array" ref="F34">MIN(INDEX('Relacion '!$AF$5:$AG$493,MATCH(INDEX($B:$B, (ROW()-5)),'Relacion '!$E$5:$E$493,0),0))</f>
        <v>46093</v>
      </c>
      <c r="G34" s="240" cm="1">
        <f t="array" ref="G34">MAX(INDEX('Relacion '!$AF$5:$AG$493,MATCH(INDEX($B:$B, (ROW()-5)),'Relacion '!$E$5:$E$493,0),0))</f>
        <v>46094</v>
      </c>
      <c r="H34" s="241" cm="1">
        <f t="array" ref="H34">IF(
 MATCH(B34,{"01. ASIGNACION AREA";"02. MAPEO";"03. DESARROLLO";"04. VALIDA US";"05. VOBO US";"06. BW-EJECUCION";"07. VALIDACIÓN BAJAWARE";"08. CERRADA"},0)
 &lt;
 MATCH(_xlfn.XLOOKUP(INDEX($B:$B, (ROW()-5)),'Relacion '!$E:$E,'Relacion '!$D:$D,""),{"01. ASIGNACION AREA";"02. MAPEO";"03. DESARROLLO";"04. VALIDA US";"05. VOBO US";"06. BW-EJECUCION";"07. VALIDACIÓN BAJAWARE";"08. CERRADA"},0),
 1,
 IF(
  MATCH(B34,{"01. ASIGNACION AREA";"02. MAPEO";"03. DESARROLLO";"04. VALIDA US";"05. VOBO US";"06. BW-EJECUCION";"07. VALIDACIÓN BAJAWARE";"08. CERRADA"},0)
  =
  MATCH(_xlfn.XLOOKUP(INDEX($B:$B, (ROW()-5)),'Relacion '!$E:$E,'Relacion '!$D:$D,""),{"01. ASIGNACION AREA";"02. MAPEO";"03. DESARROLLO";"04. VALIDA US";"05. VOBO US";"06. BW-EJECUCION";"07. VALIDACIÓN BAJAWARE";"08. CERRADA"},0),
  _xlfn.XLOOKUP(INDEX($B:$B, (ROW()-5)),'Relacion '!$E:$E,'Relacion '!#REF!,0),
  0
 )
)</f>
        <v>0</v>
      </c>
      <c r="I34" s="241">
        <f t="shared" ca="1" si="3"/>
        <v>1</v>
      </c>
      <c r="J34" s="241"/>
      <c r="K34" s="241"/>
      <c r="L34" s="238"/>
    </row>
    <row r="35" spans="2:12" outlineLevel="1">
      <c r="B35" s="237" t="s">
        <v>710</v>
      </c>
      <c r="C35" s="237" t="s">
        <v>710</v>
      </c>
      <c r="D35" s="238" t="str">
        <f>_xlfn.XLOOKUP(B35,'Relacion '!$E:$E,'Relacion '!$D:$D,"")</f>
        <v/>
      </c>
      <c r="E35" s="239">
        <f t="shared" si="0"/>
        <v>18</v>
      </c>
      <c r="F35" s="240" cm="1">
        <f t="array" ref="F35">MIN(INDEX('Relacion '!$AH$5:$AI$493,MATCH(INDEX($B:$B, (ROW()-6)),'Relacion '!$E$5:$E$493,0),0))</f>
        <v>46097</v>
      </c>
      <c r="G35" s="240" cm="1">
        <f t="array" ref="G35">MAX(INDEX('Relacion '!$AH$5:$AI$493,MATCH(INDEX($B:$B, (ROW()-6)),'Relacion '!$E$5:$E$493,0),0))</f>
        <v>46115</v>
      </c>
      <c r="H35" s="241" cm="1">
        <f t="array" ref="H35">IF(
 MATCH(B35,{"01. ASIGNACION AREA";"02. MAPEO";"03. DESARROLLO";"04. VALIDA US";"05. VOBO US";"06. BW-EJECUCION";"07. VALIDACIÓN BAJAWARE";"08. CERRADA"},0)
 &lt;
 MATCH(_xlfn.XLOOKUP(INDEX($B:$B, (ROW()-6)),'Relacion '!$E:$E,'Relacion '!$D:$D,""),{"01. ASIGNACION AREA";"02. MAPEO";"03. DESARROLLO";"04. VALIDA US";"05. VOBO US";"06. BW-EJECUCION";"07. VALIDACIÓN BAJAWARE";"08. CERRADA"},0),
 1,
 IF(
  MATCH(B35,{"01. ASIGNACION AREA";"02. MAPEO";"03. DESARROLLO";"04. VALIDA US";"05. VOBO US";"06. BW-EJECUCION";"07. VALIDACIÓN BAJAWARE";"08. CERRADA"},0)
  =
  MATCH(_xlfn.XLOOKUP(INDEX($B:$B, (ROW()-6)),'Relacion '!$E:$E,'Relacion '!$D:$D,""),{"01. ASIGNACION AREA";"02. MAPEO";"03. DESARROLLO";"04. VALIDA US";"05. VOBO US";"06. BW-EJECUCION";"07. VALIDACIÓN BAJAWARE";"08. CERRADA"},0),
  _xlfn.XLOOKUP(INDEX($B:$B, (ROW()-6)),'Relacion '!$E:$E,'Relacion '!#REF!,0),
  0
 )
)</f>
        <v>0</v>
      </c>
      <c r="I35" s="241">
        <f t="shared" ca="1" si="3"/>
        <v>1</v>
      </c>
      <c r="J35" s="241"/>
      <c r="K35" s="241"/>
      <c r="L35" s="238"/>
    </row>
    <row r="36" spans="2:12" outlineLevel="1">
      <c r="B36" s="237" t="s">
        <v>655</v>
      </c>
      <c r="C36" s="237" t="s">
        <v>655</v>
      </c>
      <c r="D36" s="238" t="str">
        <f>_xlfn.XLOOKUP(B36,'Relacion '!$E:$E,'Relacion '!$D:$D,"")</f>
        <v/>
      </c>
      <c r="E36" s="239">
        <f t="shared" si="0"/>
        <v>18</v>
      </c>
      <c r="F36" s="240" cm="1">
        <f t="array" ref="F36">MIN(INDEX('Relacion '!$AJ$5:$AK$493,MATCH(INDEX($B:$B, (ROW()-7)),'Relacion '!$E$5:$E$493,0),0))</f>
        <v>46118</v>
      </c>
      <c r="G36" s="240" cm="1">
        <f t="array" ref="G36">MAX(INDEX('Relacion '!$AJ$5:$AK$493,MATCH(INDEX($B:$B, (ROW()-7)),'Relacion '!$E$5:$E$493,0),0))</f>
        <v>46136</v>
      </c>
      <c r="H36" s="241" cm="1">
        <f t="array" ref="H36">IF(
 MATCH(B36,{"01. ASIGNACION AREA";"02. MAPEO";"03. DESARROLLO";"04. VALIDA US";"05. VOBO US";"06. BW-EJECUCION";"07. VALIDACIÓN BAJAWARE";"08. CERRADA"},0)
 &lt;
 MATCH(_xlfn.XLOOKUP(INDEX($B:$B, (ROW()-7)),'Relacion '!$E:$E,'Relacion '!$D:$D,""),{"01. ASIGNACION AREA";"02. MAPEO";"03. DESARROLLO";"04. VALIDA US";"05. VOBO US";"06. BW-EJECUCION";"07. VALIDACIÓN BAJAWARE";"08. CERRADA"},0),
 1,
 IF(
  MATCH(B36,{"01. ASIGNACION AREA";"02. MAPEO";"03. DESARROLLO";"04. VALIDA US";"05. VOBO US";"06. BW-EJECUCION";"07. VALIDACIÓN BAJAWARE";"08. CERRADA"},0)
  =
  MATCH(_xlfn.XLOOKUP(INDEX($B:$B, (ROW()-7)),'Relacion '!$E:$E,'Relacion '!$D:$D,""),{"01. ASIGNACION AREA";"02. MAPEO";"03. DESARROLLO";"04. VALIDA US";"05. VOBO US";"06. BW-EJECUCION";"07. VALIDACIÓN BAJAWARE";"08. CERRADA"},0),
  _xlfn.XLOOKUP(INDEX($B:$B, (ROW()-7)),'Relacion '!$E:$E,'Relacion '!#REF!,0),
  0
 )
)</f>
        <v>0</v>
      </c>
      <c r="I36" s="241">
        <f t="shared" ca="1" si="3"/>
        <v>1</v>
      </c>
      <c r="J36" s="241"/>
      <c r="K36" s="241"/>
      <c r="L36" s="238"/>
    </row>
    <row r="37" spans="2:12" outlineLevel="1">
      <c r="B37" s="237" t="s">
        <v>656</v>
      </c>
      <c r="C37" s="237" t="s">
        <v>656</v>
      </c>
      <c r="D37" s="238" t="str">
        <f>_xlfn.XLOOKUP(B37,'Relacion '!$E:$E,'Relacion '!$D:$D,"")</f>
        <v/>
      </c>
      <c r="E37" s="239">
        <f t="shared" si="0"/>
        <v>0</v>
      </c>
      <c r="F37" s="240" cm="1">
        <f t="array" ref="F37">MIN(INDEX('Relacion '!$AL$5:$AM$493,MATCH(INDEX($B:$B, (ROW()-8)),'Relacion '!$E$5:$E$493,0),0))</f>
        <v>46137</v>
      </c>
      <c r="G37" s="240" cm="1">
        <f t="array" ref="G37">MAX(INDEX('Relacion '!$AL$5:$AM$493,MATCH(INDEX($B:$B, (ROW()-8)),'Relacion '!$E$5:$E$493,0),0))</f>
        <v>46137</v>
      </c>
      <c r="H37" s="241" cm="1">
        <f t="array" ref="H37">IF(
 MATCH(B37,{"01. ASIGNACION AREA";"02. MAPEO";"03. DESARROLLO";"04. VALIDA US";"05. VOBO US";"06. BW-EJECUCION";"07. VALIDACIÓN BAJAWARE";"08. CERRADA"},0)
 &lt;
 MATCH(_xlfn.XLOOKUP(INDEX($B:$B, (ROW()-8)),'Relacion '!$E:$E,'Relacion '!$D:$D,""),{"01. ASIGNACION AREA";"02. MAPEO";"03. DESARROLLO";"04. VALIDA US";"05. VOBO US";"06. BW-EJECUCION";"07. VALIDACIÓN BAJAWARE";"08. CERRADA"},0),
 1,
 IF(
  MATCH(B37,{"01. ASIGNACION AREA";"02. MAPEO";"03. DESARROLLO";"04. VALIDA US";"05. VOBO US";"06. BW-EJECUCION";"07. VALIDACIÓN BAJAWARE";"08. CERRADA"},0)
  =
  MATCH(_xlfn.XLOOKUP(INDEX($B:$B, (ROW()-8)),'Relacion '!$E:$E,'Relacion '!$D:$D,""),{"01. ASIGNACION AREA";"02. MAPEO";"03. DESARROLLO";"04. VALIDA US";"05. VOBO US";"06. BW-EJECUCION";"07. VALIDACIÓN BAJAWARE";"08. CERRADA"},0),
  _xlfn.XLOOKUP(INDEX($B:$B, (ROW()-8)),'Relacion '!$E:$E,'Relacion '!#REF!,0),
  0
 )
)</f>
        <v>0</v>
      </c>
      <c r="I37" s="241">
        <f t="shared" ca="1" si="3"/>
        <v>1</v>
      </c>
      <c r="J37" s="241"/>
      <c r="K37" s="241"/>
      <c r="L37" s="238"/>
    </row>
    <row r="38" spans="2:12">
      <c r="B38" s="232" t="s">
        <v>407</v>
      </c>
      <c r="C38" s="174" t="s">
        <v>408</v>
      </c>
      <c r="D38" s="236" t="str">
        <f>_xlfn.XLOOKUP(B38,'Relacion '!$E:$E,'Relacion '!$D:$D,"")</f>
        <v>08. CERRADA</v>
      </c>
      <c r="E38" s="233">
        <f t="shared" si="0"/>
        <v>450</v>
      </c>
      <c r="F38" s="234" cm="1">
        <f t="array" ref="F38">MIN(INDEX('Relacion '!$X$5:$AM$493,MATCH(INDEX($B:$B, (ROW()-0)),'Relacion '!$E$5:$E$493,0),0))</f>
        <v>45659</v>
      </c>
      <c r="G38" s="234" cm="1">
        <f t="array" ref="G38">MAX(INDEX('Relacion '!$X$5:$AM$493,MATCH(INDEX($B:$B, (ROW()-0)),'Relacion '!$E$5:$E$493,0),0))</f>
        <v>46109</v>
      </c>
      <c r="H38" s="235" t="e">
        <f>AVERAGE(H39:H46)</f>
        <v>#REF!</v>
      </c>
      <c r="I38" s="235">
        <f t="shared" ref="I38" ca="1" si="8">AVERAGE(I39:I46)</f>
        <v>1</v>
      </c>
      <c r="J38" s="236" t="str">
        <f>IF(ISNUMBER(SEARCH("Rocha", _xlfn.XLOOKUP(B38,'Relacion '!$E:$E,'Relacion '!$I:$I,""))), "Sí", "No")</f>
        <v>No</v>
      </c>
      <c r="K38" s="236" t="str">
        <f>IF(ISNUMBER(SEARCH("Rocha", _xlfn.XLOOKUP(B38,'Relacion '!$E:$E,'Relacion '!$I:$I,""))), "RMC", _xlfn.XLOOKUP(B38,'Relacion '!$E:$E,'Relacion '!$B:$B,""))</f>
        <v>Operaciones Captacion</v>
      </c>
      <c r="L38" s="236" t="str">
        <f>_xlfn.XLOOKUP(B38,'Relacion '!$E:$E,'Relacion '!$C:$C,"")</f>
        <v>Luis Alberto</v>
      </c>
    </row>
    <row r="39" spans="2:12" outlineLevel="1">
      <c r="B39" s="237" t="s">
        <v>654</v>
      </c>
      <c r="C39" s="237" t="s">
        <v>654</v>
      </c>
      <c r="D39" s="238" t="str">
        <f>_xlfn.XLOOKUP(B39,'Relacion '!$E:$E,'Relacion '!$D:$D,"")</f>
        <v/>
      </c>
      <c r="E39" s="239">
        <f t="shared" si="0"/>
        <v>424</v>
      </c>
      <c r="F39" s="240" cm="1">
        <f t="array" ref="F39">MIN(INDEX('Relacion '!$X$5:$Y$493,MATCH(INDEX($B:$B, (ROW()-1)),'Relacion '!$E$5:$E$493,0),0))</f>
        <v>45659</v>
      </c>
      <c r="G39" s="240" cm="1">
        <f t="array" ref="G39">MAX(INDEX('Relacion '!$X$5:$Y$493,MATCH(INDEX($B:$B, (ROW()-1)),'Relacion '!$E$5:$E$493,0),0))</f>
        <v>46083</v>
      </c>
      <c r="H39" s="241" cm="1">
        <f t="array" ref="H39">IF(
 MATCH(B39,{"01. ASIGNACION AREA";"02. MAPEO";"03. DESARROLLO";"04. VALIDA US";"05. VOBO US";"06. BW-EJECUCION";"07. VALIDACIÓN BAJAWARE";"08. CERRADA"},0)
 &lt;
 MATCH(_xlfn.XLOOKUP(INDEX($B:$B, (ROW()-1)),'Relacion '!$E:$E,'Relacion '!$D:$D,""),{"01. ASIGNACION AREA";"02. MAPEO";"03. DESARROLLO";"04. VALIDA US";"05. VOBO US";"06. BW-EJECUCION";"07. VALIDACIÓN BAJAWARE";"08. CERRADA"},0),
 1,
 IF(
  MATCH(B39,{"01. ASIGNACION AREA";"02. MAPEO";"03. DESARROLLO";"04. VALIDA US";"05. VOBO US";"06. BW-EJECUCION";"07. VALIDACIÓN BAJAWARE";"08. CERRADA"},0)
  =
  MATCH(_xlfn.XLOOKUP(INDEX($B:$B, (ROW()-1)),'Relacion '!$E:$E,'Relacion '!$D:$D,""),{"01. ASIGNACION AREA";"02. MAPEO";"03. DESARROLLO";"04. VALIDA US";"05. VOBO US";"06. BW-EJECUCION";"07. VALIDACIÓN BAJAWARE";"08. CERRADA"},0),
  _xlfn.XLOOKUP(INDEX($B:$B, (ROW()-1)),'Relacion '!$E:$E,'Relacion '!#REF!,0),
  0
 )
)</f>
        <v>1</v>
      </c>
      <c r="I39" s="241">
        <f t="shared" ref="I39" ca="1" si="9">IF(G39&lt;=TODAY(), 1, 0)</f>
        <v>1</v>
      </c>
      <c r="J39" s="241"/>
      <c r="K39" s="241"/>
      <c r="L39" s="238"/>
    </row>
    <row r="40" spans="2:12" outlineLevel="1">
      <c r="B40" s="237" t="s">
        <v>195</v>
      </c>
      <c r="C40" s="237" t="s">
        <v>195</v>
      </c>
      <c r="D40" s="238" t="str">
        <f>_xlfn.XLOOKUP(B40,'Relacion '!$E:$E,'Relacion '!$D:$D,"")</f>
        <v/>
      </c>
      <c r="E40" s="239">
        <f t="shared" si="0"/>
        <v>0</v>
      </c>
      <c r="F40" s="240" cm="1">
        <f t="array" ref="F40">MIN(INDEX('Relacion '!$Z$5:$AA$493,MATCH(INDEX($B:$B, (ROW()-2)),'Relacion '!$E$5:$E$493,0),0))</f>
        <v>46108</v>
      </c>
      <c r="G40" s="240" cm="1">
        <f t="array" ref="G40">MAX(INDEX('Relacion '!$Z$5:$AA$493,MATCH(INDEX($B:$B, (ROW()-2)),'Relacion '!$E$5:$E$493,0),0))</f>
        <v>46108</v>
      </c>
      <c r="H40" s="241" cm="1">
        <f t="array" ref="H40">IF(
 MATCH(B40,{"01. ASIGNACION AREA";"02. MAPEO";"03. DESARROLLO";"04. VALIDA US";"05. VOBO US";"06. BW-EJECUCION";"07. VALIDACIÓN BAJAWARE";"08. CERRADA"},0)
 &lt;
 MATCH(_xlfn.XLOOKUP(INDEX($B:$B, (ROW()-2)),'Relacion '!$E:$E,'Relacion '!$D:$D,""),{"01. ASIGNACION AREA";"02. MAPEO";"03. DESARROLLO";"04. VALIDA US";"05. VOBO US";"06. BW-EJECUCION";"07. VALIDACIÓN BAJAWARE";"08. CERRADA"},0),
 1,
 IF(
  MATCH(B40,{"01. ASIGNACION AREA";"02. MAPEO";"03. DESARROLLO";"04. VALIDA US";"05. VOBO US";"06. BW-EJECUCION";"07. VALIDACIÓN BAJAWARE";"08. CERRADA"},0)
  =
  MATCH(_xlfn.XLOOKUP(INDEX($B:$B, (ROW()-2)),'Relacion '!$E:$E,'Relacion '!$D:$D,""),{"01. ASIGNACION AREA";"02. MAPEO";"03. DESARROLLO";"04. VALIDA US";"05. VOBO US";"06. BW-EJECUCION";"07. VALIDACIÓN BAJAWARE";"08. CERRADA"},0),
  _xlfn.XLOOKUP(INDEX($B:$B, (ROW()-2)),'Relacion '!$E:$E,'Relacion '!#REF!,0),
  0
 )
)</f>
        <v>1</v>
      </c>
      <c r="I40" s="241">
        <f t="shared" ca="1" si="3"/>
        <v>1</v>
      </c>
      <c r="J40" s="241"/>
      <c r="K40" s="241"/>
      <c r="L40" s="238"/>
    </row>
    <row r="41" spans="2:12" outlineLevel="1">
      <c r="B41" s="237" t="s">
        <v>49</v>
      </c>
      <c r="C41" s="237" t="s">
        <v>49</v>
      </c>
      <c r="D41" s="238" t="str">
        <f>_xlfn.XLOOKUP(B41,'Relacion '!$E:$E,'Relacion '!$D:$D,"")</f>
        <v/>
      </c>
      <c r="E41" s="239">
        <f t="shared" si="0"/>
        <v>0</v>
      </c>
      <c r="F41" s="240" cm="1">
        <f t="array" ref="F41">MIN(INDEX('Relacion '!$AB$5:$AC$493,MATCH(INDEX($B:$B, (ROW()-3)),'Relacion '!$E$5:$E$493,0),0))</f>
        <v>46108</v>
      </c>
      <c r="G41" s="240" cm="1">
        <f t="array" ref="G41">MAX(INDEX('Relacion '!$AB$5:$AC$493,MATCH(INDEX($B:$B, (ROW()-3)),'Relacion '!$E$5:$E$493,0),0))</f>
        <v>46108</v>
      </c>
      <c r="H41" s="241" cm="1">
        <f t="array" ref="H41">IF(
 MATCH(B41,{"01. ASIGNACION AREA";"02. MAPEO";"03. DESARROLLO";"04. VALIDA US";"05. VOBO US";"06. BW-EJECUCION";"07. VALIDACIÓN BAJAWARE";"08. CERRADA"},0)
 &lt;
 MATCH(_xlfn.XLOOKUP(INDEX($B:$B, (ROW()-3)),'Relacion '!$E:$E,'Relacion '!$D:$D,""),{"01. ASIGNACION AREA";"02. MAPEO";"03. DESARROLLO";"04. VALIDA US";"05. VOBO US";"06. BW-EJECUCION";"07. VALIDACIÓN BAJAWARE";"08. CERRADA"},0),
 1,
 IF(
  MATCH(B41,{"01. ASIGNACION AREA";"02. MAPEO";"03. DESARROLLO";"04. VALIDA US";"05. VOBO US";"06. BW-EJECUCION";"07. VALIDACIÓN BAJAWARE";"08. CERRADA"},0)
  =
  MATCH(_xlfn.XLOOKUP(INDEX($B:$B, (ROW()-3)),'Relacion '!$E:$E,'Relacion '!$D:$D,""),{"01. ASIGNACION AREA";"02. MAPEO";"03. DESARROLLO";"04. VALIDA US";"05. VOBO US";"06. BW-EJECUCION";"07. VALIDACIÓN BAJAWARE";"08. CERRADA"},0),
  _xlfn.XLOOKUP(INDEX($B:$B, (ROW()-3)),'Relacion '!$E:$E,'Relacion '!#REF!,0),
  0
 )
)</f>
        <v>1</v>
      </c>
      <c r="I41" s="241">
        <f t="shared" ca="1" si="3"/>
        <v>1</v>
      </c>
      <c r="J41" s="241"/>
      <c r="K41" s="241"/>
      <c r="L41" s="238"/>
    </row>
    <row r="42" spans="2:12" outlineLevel="1">
      <c r="B42" s="237" t="s">
        <v>324</v>
      </c>
      <c r="C42" s="237" t="s">
        <v>324</v>
      </c>
      <c r="D42" s="238" t="str">
        <f>_xlfn.XLOOKUP(B42,'Relacion '!$E:$E,'Relacion '!$D:$D,"")</f>
        <v/>
      </c>
      <c r="E42" s="239">
        <f t="shared" si="0"/>
        <v>0</v>
      </c>
      <c r="F42" s="240" cm="1">
        <f t="array" ref="F42">MIN(INDEX('Relacion '!$AD$5:$AE$493,MATCH(INDEX($B:$B, (ROW()-4)),'Relacion '!$E$5:$E$493,0),0))</f>
        <v>46108</v>
      </c>
      <c r="G42" s="240" cm="1">
        <f t="array" ref="G42">MAX(INDEX('Relacion '!$AD$5:$AE$493,MATCH(INDEX($B:$B, (ROW()-4)),'Relacion '!$E$5:$E$493,0),0))</f>
        <v>46108</v>
      </c>
      <c r="H42" s="241" cm="1">
        <f t="array" ref="H42">IF(
 MATCH(B42,{"01. ASIGNACION AREA";"02. MAPEO";"03. DESARROLLO";"04. VALIDA US";"05. VOBO US";"06. BW-EJECUCION";"07. VALIDACIÓN BAJAWARE";"08. CERRADA"},0)
 &lt;
 MATCH(_xlfn.XLOOKUP(INDEX($B:$B, (ROW()-4)),'Relacion '!$E:$E,'Relacion '!$D:$D,""),{"01. ASIGNACION AREA";"02. MAPEO";"03. DESARROLLO";"04. VALIDA US";"05. VOBO US";"06. BW-EJECUCION";"07. VALIDACIÓN BAJAWARE";"08. CERRADA"},0),
 1,
 IF(
  MATCH(B42,{"01. ASIGNACION AREA";"02. MAPEO";"03. DESARROLLO";"04. VALIDA US";"05. VOBO US";"06. BW-EJECUCION";"07. VALIDACIÓN BAJAWARE";"08. CERRADA"},0)
  =
  MATCH(_xlfn.XLOOKUP(INDEX($B:$B, (ROW()-4)),'Relacion '!$E:$E,'Relacion '!$D:$D,""),{"01. ASIGNACION AREA";"02. MAPEO";"03. DESARROLLO";"04. VALIDA US";"05. VOBO US";"06. BW-EJECUCION";"07. VALIDACIÓN BAJAWARE";"08. CERRADA"},0),
  _xlfn.XLOOKUP(INDEX($B:$B, (ROW()-4)),'Relacion '!$E:$E,'Relacion '!#REF!,0),
  0
 )
)</f>
        <v>1</v>
      </c>
      <c r="I42" s="241">
        <f t="shared" ca="1" si="3"/>
        <v>1</v>
      </c>
      <c r="J42" s="241"/>
      <c r="K42" s="241"/>
      <c r="L42" s="238"/>
    </row>
    <row r="43" spans="2:12" outlineLevel="1">
      <c r="B43" s="237" t="s">
        <v>320</v>
      </c>
      <c r="C43" s="237" t="s">
        <v>320</v>
      </c>
      <c r="D43" s="238" t="str">
        <f>_xlfn.XLOOKUP(B43,'Relacion '!$E:$E,'Relacion '!$D:$D,"")</f>
        <v/>
      </c>
      <c r="E43" s="239">
        <f t="shared" si="0"/>
        <v>0</v>
      </c>
      <c r="F43" s="240" cm="1">
        <f t="array" ref="F43">MIN(INDEX('Relacion '!$AF$5:$AG$493,MATCH(INDEX($B:$B, (ROW()-5)),'Relacion '!$E$5:$E$493,0),0))</f>
        <v>46108</v>
      </c>
      <c r="G43" s="240" cm="1">
        <f t="array" ref="G43">MAX(INDEX('Relacion '!$AF$5:$AG$493,MATCH(INDEX($B:$B, (ROW()-5)),'Relacion '!$E$5:$E$493,0),0))</f>
        <v>46108</v>
      </c>
      <c r="H43" s="241" cm="1">
        <f t="array" ref="H43">IF(
 MATCH(B43,{"01. ASIGNACION AREA";"02. MAPEO";"03. DESARROLLO";"04. VALIDA US";"05. VOBO US";"06. BW-EJECUCION";"07. VALIDACIÓN BAJAWARE";"08. CERRADA"},0)
 &lt;
 MATCH(_xlfn.XLOOKUP(INDEX($B:$B, (ROW()-5)),'Relacion '!$E:$E,'Relacion '!$D:$D,""),{"01. ASIGNACION AREA";"02. MAPEO";"03. DESARROLLO";"04. VALIDA US";"05. VOBO US";"06. BW-EJECUCION";"07. VALIDACIÓN BAJAWARE";"08. CERRADA"},0),
 1,
 IF(
  MATCH(B43,{"01. ASIGNACION AREA";"02. MAPEO";"03. DESARROLLO";"04. VALIDA US";"05. VOBO US";"06. BW-EJECUCION";"07. VALIDACIÓN BAJAWARE";"08. CERRADA"},0)
  =
  MATCH(_xlfn.XLOOKUP(INDEX($B:$B, (ROW()-5)),'Relacion '!$E:$E,'Relacion '!$D:$D,""),{"01. ASIGNACION AREA";"02. MAPEO";"03. DESARROLLO";"04. VALIDA US";"05. VOBO US";"06. BW-EJECUCION";"07. VALIDACIÓN BAJAWARE";"08. CERRADA"},0),
  _xlfn.XLOOKUP(INDEX($B:$B, (ROW()-5)),'Relacion '!$E:$E,'Relacion '!#REF!,0),
  0
 )
)</f>
        <v>1</v>
      </c>
      <c r="I43" s="241">
        <f t="shared" ca="1" si="3"/>
        <v>1</v>
      </c>
      <c r="J43" s="241"/>
      <c r="K43" s="241"/>
      <c r="L43" s="238"/>
    </row>
    <row r="44" spans="2:12" outlineLevel="1">
      <c r="B44" s="237" t="s">
        <v>710</v>
      </c>
      <c r="C44" s="237" t="s">
        <v>710</v>
      </c>
      <c r="D44" s="238" t="str">
        <f>_xlfn.XLOOKUP(B44,'Relacion '!$E:$E,'Relacion '!$D:$D,"")</f>
        <v/>
      </c>
      <c r="E44" s="239">
        <f t="shared" si="0"/>
        <v>0</v>
      </c>
      <c r="F44" s="240" cm="1">
        <f t="array" ref="F44">MIN(INDEX('Relacion '!$AH$5:$AI$493,MATCH(INDEX($B:$B, (ROW()-6)),'Relacion '!$E$5:$E$493,0),0))</f>
        <v>46108</v>
      </c>
      <c r="G44" s="240" cm="1">
        <f t="array" ref="G44">MAX(INDEX('Relacion '!$AH$5:$AI$493,MATCH(INDEX($B:$B, (ROW()-6)),'Relacion '!$E$5:$E$493,0),0))</f>
        <v>46108</v>
      </c>
      <c r="H44" s="241" cm="1">
        <f t="array" ref="H44">IF(
 MATCH(B44,{"01. ASIGNACION AREA";"02. MAPEO";"03. DESARROLLO";"04. VALIDA US";"05. VOBO US";"06. BW-EJECUCION";"07. VALIDACIÓN BAJAWARE";"08. CERRADA"},0)
 &lt;
 MATCH(_xlfn.XLOOKUP(INDEX($B:$B, (ROW()-6)),'Relacion '!$E:$E,'Relacion '!$D:$D,""),{"01. ASIGNACION AREA";"02. MAPEO";"03. DESARROLLO";"04. VALIDA US";"05. VOBO US";"06. BW-EJECUCION";"07. VALIDACIÓN BAJAWARE";"08. CERRADA"},0),
 1,
 IF(
  MATCH(B44,{"01. ASIGNACION AREA";"02. MAPEO";"03. DESARROLLO";"04. VALIDA US";"05. VOBO US";"06. BW-EJECUCION";"07. VALIDACIÓN BAJAWARE";"08. CERRADA"},0)
  =
  MATCH(_xlfn.XLOOKUP(INDEX($B:$B, (ROW()-6)),'Relacion '!$E:$E,'Relacion '!$D:$D,""),{"01. ASIGNACION AREA";"02. MAPEO";"03. DESARROLLO";"04. VALIDA US";"05. VOBO US";"06. BW-EJECUCION";"07. VALIDACIÓN BAJAWARE";"08. CERRADA"},0),
  _xlfn.XLOOKUP(INDEX($B:$B, (ROW()-6)),'Relacion '!$E:$E,'Relacion '!#REF!,0),
  0
 )
)</f>
        <v>1</v>
      </c>
      <c r="I44" s="241">
        <f t="shared" ca="1" si="3"/>
        <v>1</v>
      </c>
      <c r="J44" s="241"/>
      <c r="K44" s="241"/>
      <c r="L44" s="238"/>
    </row>
    <row r="45" spans="2:12" outlineLevel="1">
      <c r="B45" s="237" t="s">
        <v>655</v>
      </c>
      <c r="C45" s="237" t="s">
        <v>655</v>
      </c>
      <c r="D45" s="238" t="str">
        <f>_xlfn.XLOOKUP(B45,'Relacion '!$E:$E,'Relacion '!$D:$D,"")</f>
        <v/>
      </c>
      <c r="E45" s="239">
        <f t="shared" si="0"/>
        <v>0</v>
      </c>
      <c r="F45" s="240" cm="1">
        <f t="array" ref="F45">MIN(INDEX('Relacion '!$AJ$5:$AK$493,MATCH(INDEX($B:$B, (ROW()-7)),'Relacion '!$E$5:$E$493,0),0))</f>
        <v>46108</v>
      </c>
      <c r="G45" s="240" cm="1">
        <f t="array" ref="G45">MAX(INDEX('Relacion '!$AJ$5:$AK$493,MATCH(INDEX($B:$B, (ROW()-7)),'Relacion '!$E$5:$E$493,0),0))</f>
        <v>46108</v>
      </c>
      <c r="H45" s="241" cm="1">
        <f t="array" ref="H45">IF(
 MATCH(B45,{"01. ASIGNACION AREA";"02. MAPEO";"03. DESARROLLO";"04. VALIDA US";"05. VOBO US";"06. BW-EJECUCION";"07. VALIDACIÓN BAJAWARE";"08. CERRADA"},0)
 &lt;
 MATCH(_xlfn.XLOOKUP(INDEX($B:$B, (ROW()-7)),'Relacion '!$E:$E,'Relacion '!$D:$D,""),{"01. ASIGNACION AREA";"02. MAPEO";"03. DESARROLLO";"04. VALIDA US";"05. VOBO US";"06. BW-EJECUCION";"07. VALIDACIÓN BAJAWARE";"08. CERRADA"},0),
 1,
 IF(
  MATCH(B45,{"01. ASIGNACION AREA";"02. MAPEO";"03. DESARROLLO";"04. VALIDA US";"05. VOBO US";"06. BW-EJECUCION";"07. VALIDACIÓN BAJAWARE";"08. CERRADA"},0)
  =
  MATCH(_xlfn.XLOOKUP(INDEX($B:$B, (ROW()-7)),'Relacion '!$E:$E,'Relacion '!$D:$D,""),{"01. ASIGNACION AREA";"02. MAPEO";"03. DESARROLLO";"04. VALIDA US";"05. VOBO US";"06. BW-EJECUCION";"07. VALIDACIÓN BAJAWARE";"08. CERRADA"},0),
  _xlfn.XLOOKUP(INDEX($B:$B, (ROW()-7)),'Relacion '!$E:$E,'Relacion '!#REF!,0),
  0
 )
)</f>
        <v>1</v>
      </c>
      <c r="I45" s="241">
        <f t="shared" ca="1" si="3"/>
        <v>1</v>
      </c>
      <c r="J45" s="241"/>
      <c r="K45" s="241"/>
      <c r="L45" s="238"/>
    </row>
    <row r="46" spans="2:12" outlineLevel="1">
      <c r="B46" s="237" t="s">
        <v>656</v>
      </c>
      <c r="C46" s="237" t="s">
        <v>656</v>
      </c>
      <c r="D46" s="238" t="str">
        <f>_xlfn.XLOOKUP(B46,'Relacion '!$E:$E,'Relacion '!$D:$D,"")</f>
        <v/>
      </c>
      <c r="E46" s="239">
        <f t="shared" si="0"/>
        <v>0</v>
      </c>
      <c r="F46" s="240" cm="1">
        <f t="array" ref="F46">MIN(INDEX('Relacion '!$AL$5:$AM$493,MATCH(INDEX($B:$B, (ROW()-8)),'Relacion '!$E$5:$E$493,0),0))</f>
        <v>46109</v>
      </c>
      <c r="G46" s="240" cm="1">
        <f t="array" ref="G46">MAX(INDEX('Relacion '!$AL$5:$AM$493,MATCH(INDEX($B:$B, (ROW()-8)),'Relacion '!$E$5:$E$493,0),0))</f>
        <v>46109</v>
      </c>
      <c r="H46" s="241" t="e" cm="1">
        <f t="array" ref="H46">IF(
 MATCH(B46,{"01. ASIGNACION AREA";"02. MAPEO";"03. DESARROLLO";"04. VALIDA US";"05. VOBO US";"06. BW-EJECUCION";"07. VALIDACIÓN BAJAWARE";"08. CERRADA"},0)
 &lt;
 MATCH(_xlfn.XLOOKUP(INDEX($B:$B, (ROW()-8)),'Relacion '!$E:$E,'Relacion '!$D:$D,""),{"01. ASIGNACION AREA";"02. MAPEO";"03. DESARROLLO";"04. VALIDA US";"05. VOBO US";"06. BW-EJECUCION";"07. VALIDACIÓN BAJAWARE";"08. CERRADA"},0),
 1,
 IF(
  MATCH(B46,{"01. ASIGNACION AREA";"02. MAPEO";"03. DESARROLLO";"04. VALIDA US";"05. VOBO US";"06. BW-EJECUCION";"07. VALIDACIÓN BAJAWARE";"08. CERRADA"},0)
  =
  MATCH(_xlfn.XLOOKUP(INDEX($B:$B, (ROW()-8)),'Relacion '!$E:$E,'Relacion '!$D:$D,""),{"01. ASIGNACION AREA";"02. MAPEO";"03. DESARROLLO";"04. VALIDA US";"05. VOBO US";"06. BW-EJECUCION";"07. VALIDACIÓN BAJAWARE";"08. CERRADA"},0),
  _xlfn.XLOOKUP(INDEX($B:$B, (ROW()-8)),'Relacion '!$E:$E,'Relacion '!#REF!,0),
  0
 )
)</f>
        <v>#REF!</v>
      </c>
      <c r="I46" s="241">
        <f t="shared" ca="1" si="3"/>
        <v>1</v>
      </c>
      <c r="J46" s="241"/>
      <c r="K46" s="241"/>
      <c r="L46" s="238"/>
    </row>
    <row r="47" spans="2:12">
      <c r="B47" s="232" t="s">
        <v>409</v>
      </c>
      <c r="C47" s="174" t="s">
        <v>408</v>
      </c>
      <c r="D47" s="236" t="str">
        <f>_xlfn.XLOOKUP(B47,'Relacion '!$E:$E,'Relacion '!$D:$D,"")</f>
        <v>08. CERRADA</v>
      </c>
      <c r="E47" s="233">
        <f t="shared" si="0"/>
        <v>450</v>
      </c>
      <c r="F47" s="234" cm="1">
        <f t="array" ref="F47">MIN(INDEX('Relacion '!$X$5:$AM$493,MATCH(INDEX($B:$B, (ROW()-0)),'Relacion '!$E$5:$E$493,0),0))</f>
        <v>45659</v>
      </c>
      <c r="G47" s="234" cm="1">
        <f t="array" ref="G47">MAX(INDEX('Relacion '!$X$5:$AM$493,MATCH(INDEX($B:$B, (ROW()-0)),'Relacion '!$E$5:$E$493,0),0))</f>
        <v>46109</v>
      </c>
      <c r="H47" s="235" t="e">
        <f>AVERAGE(H48:H55)</f>
        <v>#REF!</v>
      </c>
      <c r="I47" s="235">
        <f t="shared" ref="I47" ca="1" si="10">AVERAGE(I48:I55)</f>
        <v>1</v>
      </c>
      <c r="J47" s="236" t="str">
        <f>IF(ISNUMBER(SEARCH("Rocha", _xlfn.XLOOKUP(B47,'Relacion '!$E:$E,'Relacion '!$I:$I,""))), "Sí", "No")</f>
        <v>No</v>
      </c>
      <c r="K47" s="236" t="str">
        <f>IF(ISNUMBER(SEARCH("Rocha", _xlfn.XLOOKUP(B47,'Relacion '!$E:$E,'Relacion '!$I:$I,""))), "RMC", _xlfn.XLOOKUP(B47,'Relacion '!$E:$E,'Relacion '!$B:$B,""))</f>
        <v>Operaciones Captacion</v>
      </c>
      <c r="L47" s="236" t="str">
        <f>_xlfn.XLOOKUP(B47,'Relacion '!$E:$E,'Relacion '!$C:$C,"")</f>
        <v>Luis Alberto</v>
      </c>
    </row>
    <row r="48" spans="2:12" outlineLevel="1">
      <c r="B48" s="237" t="s">
        <v>654</v>
      </c>
      <c r="C48" s="237" t="s">
        <v>654</v>
      </c>
      <c r="D48" s="238" t="str">
        <f>_xlfn.XLOOKUP(B48,'Relacion '!$E:$E,'Relacion '!$D:$D,"")</f>
        <v/>
      </c>
      <c r="E48" s="239">
        <f t="shared" si="0"/>
        <v>424</v>
      </c>
      <c r="F48" s="240" cm="1">
        <f t="array" ref="F48">MIN(INDEX('Relacion '!$X$5:$Y$493,MATCH(INDEX($B:$B, (ROW()-1)),'Relacion '!$E$5:$E$493,0),0))</f>
        <v>45659</v>
      </c>
      <c r="G48" s="240" cm="1">
        <f t="array" ref="G48">MAX(INDEX('Relacion '!$X$5:$Y$493,MATCH(INDEX($B:$B, (ROW()-1)),'Relacion '!$E$5:$E$493,0),0))</f>
        <v>46083</v>
      </c>
      <c r="H48" s="241" cm="1">
        <f t="array" ref="H48">IF(
 MATCH(B48,{"01. ASIGNACION AREA";"02. MAPEO";"03. DESARROLLO";"04. VALIDA US";"05. VOBO US";"06. BW-EJECUCION";"07. VALIDACIÓN BAJAWARE";"08. CERRADA"},0)
 &lt;
 MATCH(_xlfn.XLOOKUP(INDEX($B:$B, (ROW()-1)),'Relacion '!$E:$E,'Relacion '!$D:$D,""),{"01. ASIGNACION AREA";"02. MAPEO";"03. DESARROLLO";"04. VALIDA US";"05. VOBO US";"06. BW-EJECUCION";"07. VALIDACIÓN BAJAWARE";"08. CERRADA"},0),
 1,
 IF(
  MATCH(B48,{"01. ASIGNACION AREA";"02. MAPEO";"03. DESARROLLO";"04. VALIDA US";"05. VOBO US";"06. BW-EJECUCION";"07. VALIDACIÓN BAJAWARE";"08. CERRADA"},0)
  =
  MATCH(_xlfn.XLOOKUP(INDEX($B:$B, (ROW()-1)),'Relacion '!$E:$E,'Relacion '!$D:$D,""),{"01. ASIGNACION AREA";"02. MAPEO";"03. DESARROLLO";"04. VALIDA US";"05. VOBO US";"06. BW-EJECUCION";"07. VALIDACIÓN BAJAWARE";"08. CERRADA"},0),
  _xlfn.XLOOKUP(INDEX($B:$B, (ROW()-1)),'Relacion '!$E:$E,'Relacion '!#REF!,0),
  0
 )
)</f>
        <v>1</v>
      </c>
      <c r="I48" s="241">
        <f t="shared" ref="I48" ca="1" si="11">IF(G48&lt;=TODAY(), 1, 0)</f>
        <v>1</v>
      </c>
      <c r="J48" s="241"/>
      <c r="K48" s="241"/>
      <c r="L48" s="238"/>
    </row>
    <row r="49" spans="2:12" outlineLevel="1">
      <c r="B49" s="237" t="s">
        <v>195</v>
      </c>
      <c r="C49" s="237" t="s">
        <v>195</v>
      </c>
      <c r="D49" s="238" t="str">
        <f>_xlfn.XLOOKUP(B49,'Relacion '!$E:$E,'Relacion '!$D:$D,"")</f>
        <v/>
      </c>
      <c r="E49" s="239">
        <f t="shared" si="0"/>
        <v>0</v>
      </c>
      <c r="F49" s="240" cm="1">
        <f t="array" ref="F49">MIN(INDEX('Relacion '!$Z$5:$AA$493,MATCH(INDEX($B:$B, (ROW()-2)),'Relacion '!$E$5:$E$493,0),0))</f>
        <v>46108</v>
      </c>
      <c r="G49" s="240" cm="1">
        <f t="array" ref="G49">MAX(INDEX('Relacion '!$Z$5:$AA$493,MATCH(INDEX($B:$B, (ROW()-2)),'Relacion '!$E$5:$E$493,0),0))</f>
        <v>46108</v>
      </c>
      <c r="H49" s="241" cm="1">
        <f t="array" ref="H49">IF(
 MATCH(B49,{"01. ASIGNACION AREA";"02. MAPEO";"03. DESARROLLO";"04. VALIDA US";"05. VOBO US";"06. BW-EJECUCION";"07. VALIDACIÓN BAJAWARE";"08. CERRADA"},0)
 &lt;
 MATCH(_xlfn.XLOOKUP(INDEX($B:$B, (ROW()-2)),'Relacion '!$E:$E,'Relacion '!$D:$D,""),{"01. ASIGNACION AREA";"02. MAPEO";"03. DESARROLLO";"04. VALIDA US";"05. VOBO US";"06. BW-EJECUCION";"07. VALIDACIÓN BAJAWARE";"08. CERRADA"},0),
 1,
 IF(
  MATCH(B49,{"01. ASIGNACION AREA";"02. MAPEO";"03. DESARROLLO";"04. VALIDA US";"05. VOBO US";"06. BW-EJECUCION";"07. VALIDACIÓN BAJAWARE";"08. CERRADA"},0)
  =
  MATCH(_xlfn.XLOOKUP(INDEX($B:$B, (ROW()-2)),'Relacion '!$E:$E,'Relacion '!$D:$D,""),{"01. ASIGNACION AREA";"02. MAPEO";"03. DESARROLLO";"04. VALIDA US";"05. VOBO US";"06. BW-EJECUCION";"07. VALIDACIÓN BAJAWARE";"08. CERRADA"},0),
  _xlfn.XLOOKUP(INDEX($B:$B, (ROW()-2)),'Relacion '!$E:$E,'Relacion '!#REF!,0),
  0
 )
)</f>
        <v>1</v>
      </c>
      <c r="I49" s="241">
        <f t="shared" ca="1" si="3"/>
        <v>1</v>
      </c>
      <c r="J49" s="241"/>
      <c r="K49" s="241"/>
      <c r="L49" s="238"/>
    </row>
    <row r="50" spans="2:12" outlineLevel="1">
      <c r="B50" s="237" t="s">
        <v>49</v>
      </c>
      <c r="C50" s="237" t="s">
        <v>49</v>
      </c>
      <c r="D50" s="238" t="str">
        <f>_xlfn.XLOOKUP(B50,'Relacion '!$E:$E,'Relacion '!$D:$D,"")</f>
        <v/>
      </c>
      <c r="E50" s="239">
        <f t="shared" si="0"/>
        <v>0</v>
      </c>
      <c r="F50" s="240" cm="1">
        <f t="array" ref="F50">MIN(INDEX('Relacion '!$AB$5:$AC$493,MATCH(INDEX($B:$B, (ROW()-3)),'Relacion '!$E$5:$E$493,0),0))</f>
        <v>46108</v>
      </c>
      <c r="G50" s="240" cm="1">
        <f t="array" ref="G50">MAX(INDEX('Relacion '!$AB$5:$AC$493,MATCH(INDEX($B:$B, (ROW()-3)),'Relacion '!$E$5:$E$493,0),0))</f>
        <v>46108</v>
      </c>
      <c r="H50" s="241" cm="1">
        <f t="array" ref="H50">IF(
 MATCH(B50,{"01. ASIGNACION AREA";"02. MAPEO";"03. DESARROLLO";"04. VALIDA US";"05. VOBO US";"06. BW-EJECUCION";"07. VALIDACIÓN BAJAWARE";"08. CERRADA"},0)
 &lt;
 MATCH(_xlfn.XLOOKUP(INDEX($B:$B, (ROW()-3)),'Relacion '!$E:$E,'Relacion '!$D:$D,""),{"01. ASIGNACION AREA";"02. MAPEO";"03. DESARROLLO";"04. VALIDA US";"05. VOBO US";"06. BW-EJECUCION";"07. VALIDACIÓN BAJAWARE";"08. CERRADA"},0),
 1,
 IF(
  MATCH(B50,{"01. ASIGNACION AREA";"02. MAPEO";"03. DESARROLLO";"04. VALIDA US";"05. VOBO US";"06. BW-EJECUCION";"07. VALIDACIÓN BAJAWARE";"08. CERRADA"},0)
  =
  MATCH(_xlfn.XLOOKUP(INDEX($B:$B, (ROW()-3)),'Relacion '!$E:$E,'Relacion '!$D:$D,""),{"01. ASIGNACION AREA";"02. MAPEO";"03. DESARROLLO";"04. VALIDA US";"05. VOBO US";"06. BW-EJECUCION";"07. VALIDACIÓN BAJAWARE";"08. CERRADA"},0),
  _xlfn.XLOOKUP(INDEX($B:$B, (ROW()-3)),'Relacion '!$E:$E,'Relacion '!#REF!,0),
  0
 )
)</f>
        <v>1</v>
      </c>
      <c r="I50" s="241">
        <f t="shared" ca="1" si="3"/>
        <v>1</v>
      </c>
      <c r="J50" s="241"/>
      <c r="K50" s="241"/>
      <c r="L50" s="238"/>
    </row>
    <row r="51" spans="2:12" outlineLevel="1">
      <c r="B51" s="237" t="s">
        <v>324</v>
      </c>
      <c r="C51" s="237" t="s">
        <v>324</v>
      </c>
      <c r="D51" s="238" t="str">
        <f>_xlfn.XLOOKUP(B51,'Relacion '!$E:$E,'Relacion '!$D:$D,"")</f>
        <v/>
      </c>
      <c r="E51" s="239">
        <f t="shared" si="0"/>
        <v>0</v>
      </c>
      <c r="F51" s="240" cm="1">
        <f t="array" ref="F51">MIN(INDEX('Relacion '!$AD$5:$AE$493,MATCH(INDEX($B:$B, (ROW()-4)),'Relacion '!$E$5:$E$493,0),0))</f>
        <v>46108</v>
      </c>
      <c r="G51" s="240" cm="1">
        <f t="array" ref="G51">MAX(INDEX('Relacion '!$AD$5:$AE$493,MATCH(INDEX($B:$B, (ROW()-4)),'Relacion '!$E$5:$E$493,0),0))</f>
        <v>46108</v>
      </c>
      <c r="H51" s="241" cm="1">
        <f t="array" ref="H51">IF(
 MATCH(B51,{"01. ASIGNACION AREA";"02. MAPEO";"03. DESARROLLO";"04. VALIDA US";"05. VOBO US";"06. BW-EJECUCION";"07. VALIDACIÓN BAJAWARE";"08. CERRADA"},0)
 &lt;
 MATCH(_xlfn.XLOOKUP(INDEX($B:$B, (ROW()-4)),'Relacion '!$E:$E,'Relacion '!$D:$D,""),{"01. ASIGNACION AREA";"02. MAPEO";"03. DESARROLLO";"04. VALIDA US";"05. VOBO US";"06. BW-EJECUCION";"07. VALIDACIÓN BAJAWARE";"08. CERRADA"},0),
 1,
 IF(
  MATCH(B51,{"01. ASIGNACION AREA";"02. MAPEO";"03. DESARROLLO";"04. VALIDA US";"05. VOBO US";"06. BW-EJECUCION";"07. VALIDACIÓN BAJAWARE";"08. CERRADA"},0)
  =
  MATCH(_xlfn.XLOOKUP(INDEX($B:$B, (ROW()-4)),'Relacion '!$E:$E,'Relacion '!$D:$D,""),{"01. ASIGNACION AREA";"02. MAPEO";"03. DESARROLLO";"04. VALIDA US";"05. VOBO US";"06. BW-EJECUCION";"07. VALIDACIÓN BAJAWARE";"08. CERRADA"},0),
  _xlfn.XLOOKUP(INDEX($B:$B, (ROW()-4)),'Relacion '!$E:$E,'Relacion '!#REF!,0),
  0
 )
)</f>
        <v>1</v>
      </c>
      <c r="I51" s="241">
        <f t="shared" ca="1" si="3"/>
        <v>1</v>
      </c>
      <c r="J51" s="241"/>
      <c r="K51" s="241"/>
      <c r="L51" s="238"/>
    </row>
    <row r="52" spans="2:12" outlineLevel="1">
      <c r="B52" s="237" t="s">
        <v>320</v>
      </c>
      <c r="C52" s="237" t="s">
        <v>320</v>
      </c>
      <c r="D52" s="238" t="str">
        <f>_xlfn.XLOOKUP(B52,'Relacion '!$E:$E,'Relacion '!$D:$D,"")</f>
        <v/>
      </c>
      <c r="E52" s="239">
        <f t="shared" si="0"/>
        <v>0</v>
      </c>
      <c r="F52" s="240" cm="1">
        <f t="array" ref="F52">MIN(INDEX('Relacion '!$AF$5:$AG$493,MATCH(INDEX($B:$B, (ROW()-5)),'Relacion '!$E$5:$E$493,0),0))</f>
        <v>46108</v>
      </c>
      <c r="G52" s="240" cm="1">
        <f t="array" ref="G52">MAX(INDEX('Relacion '!$AF$5:$AG$493,MATCH(INDEX($B:$B, (ROW()-5)),'Relacion '!$E$5:$E$493,0),0))</f>
        <v>46108</v>
      </c>
      <c r="H52" s="241" cm="1">
        <f t="array" ref="H52">IF(
 MATCH(B52,{"01. ASIGNACION AREA";"02. MAPEO";"03. DESARROLLO";"04. VALIDA US";"05. VOBO US";"06. BW-EJECUCION";"07. VALIDACIÓN BAJAWARE";"08. CERRADA"},0)
 &lt;
 MATCH(_xlfn.XLOOKUP(INDEX($B:$B, (ROW()-5)),'Relacion '!$E:$E,'Relacion '!$D:$D,""),{"01. ASIGNACION AREA";"02. MAPEO";"03. DESARROLLO";"04. VALIDA US";"05. VOBO US";"06. BW-EJECUCION";"07. VALIDACIÓN BAJAWARE";"08. CERRADA"},0),
 1,
 IF(
  MATCH(B52,{"01. ASIGNACION AREA";"02. MAPEO";"03. DESARROLLO";"04. VALIDA US";"05. VOBO US";"06. BW-EJECUCION";"07. VALIDACIÓN BAJAWARE";"08. CERRADA"},0)
  =
  MATCH(_xlfn.XLOOKUP(INDEX($B:$B, (ROW()-5)),'Relacion '!$E:$E,'Relacion '!$D:$D,""),{"01. ASIGNACION AREA";"02. MAPEO";"03. DESARROLLO";"04. VALIDA US";"05. VOBO US";"06. BW-EJECUCION";"07. VALIDACIÓN BAJAWARE";"08. CERRADA"},0),
  _xlfn.XLOOKUP(INDEX($B:$B, (ROW()-5)),'Relacion '!$E:$E,'Relacion '!#REF!,0),
  0
 )
)</f>
        <v>1</v>
      </c>
      <c r="I52" s="241">
        <f t="shared" ca="1" si="3"/>
        <v>1</v>
      </c>
      <c r="J52" s="241"/>
      <c r="K52" s="241"/>
      <c r="L52" s="238"/>
    </row>
    <row r="53" spans="2:12" outlineLevel="1">
      <c r="B53" s="237" t="s">
        <v>710</v>
      </c>
      <c r="C53" s="237" t="s">
        <v>710</v>
      </c>
      <c r="D53" s="238" t="str">
        <f>_xlfn.XLOOKUP(B53,'Relacion '!$E:$E,'Relacion '!$D:$D,"")</f>
        <v/>
      </c>
      <c r="E53" s="239">
        <f t="shared" si="0"/>
        <v>0</v>
      </c>
      <c r="F53" s="240" cm="1">
        <f t="array" ref="F53">MIN(INDEX('Relacion '!$AH$5:$AI$493,MATCH(INDEX($B:$B, (ROW()-6)),'Relacion '!$E$5:$E$493,0),0))</f>
        <v>46108</v>
      </c>
      <c r="G53" s="240" cm="1">
        <f t="array" ref="G53">MAX(INDEX('Relacion '!$AH$5:$AI$493,MATCH(INDEX($B:$B, (ROW()-6)),'Relacion '!$E$5:$E$493,0),0))</f>
        <v>46108</v>
      </c>
      <c r="H53" s="241" cm="1">
        <f t="array" ref="H53">IF(
 MATCH(B53,{"01. ASIGNACION AREA";"02. MAPEO";"03. DESARROLLO";"04. VALIDA US";"05. VOBO US";"06. BW-EJECUCION";"07. VALIDACIÓN BAJAWARE";"08. CERRADA"},0)
 &lt;
 MATCH(_xlfn.XLOOKUP(INDEX($B:$B, (ROW()-6)),'Relacion '!$E:$E,'Relacion '!$D:$D,""),{"01. ASIGNACION AREA";"02. MAPEO";"03. DESARROLLO";"04. VALIDA US";"05. VOBO US";"06. BW-EJECUCION";"07. VALIDACIÓN BAJAWARE";"08. CERRADA"},0),
 1,
 IF(
  MATCH(B53,{"01. ASIGNACION AREA";"02. MAPEO";"03. DESARROLLO";"04. VALIDA US";"05. VOBO US";"06. BW-EJECUCION";"07. VALIDACIÓN BAJAWARE";"08. CERRADA"},0)
  =
  MATCH(_xlfn.XLOOKUP(INDEX($B:$B, (ROW()-6)),'Relacion '!$E:$E,'Relacion '!$D:$D,""),{"01. ASIGNACION AREA";"02. MAPEO";"03. DESARROLLO";"04. VALIDA US";"05. VOBO US";"06. BW-EJECUCION";"07. VALIDACIÓN BAJAWARE";"08. CERRADA"},0),
  _xlfn.XLOOKUP(INDEX($B:$B, (ROW()-6)),'Relacion '!$E:$E,'Relacion '!#REF!,0),
  0
 )
)</f>
        <v>1</v>
      </c>
      <c r="I53" s="241">
        <f t="shared" ca="1" si="3"/>
        <v>1</v>
      </c>
      <c r="J53" s="241"/>
      <c r="K53" s="241"/>
      <c r="L53" s="238"/>
    </row>
    <row r="54" spans="2:12" outlineLevel="1">
      <c r="B54" s="237" t="s">
        <v>655</v>
      </c>
      <c r="C54" s="237" t="s">
        <v>655</v>
      </c>
      <c r="D54" s="238" t="str">
        <f>_xlfn.XLOOKUP(B54,'Relacion '!$E:$E,'Relacion '!$D:$D,"")</f>
        <v/>
      </c>
      <c r="E54" s="239">
        <f t="shared" si="0"/>
        <v>0</v>
      </c>
      <c r="F54" s="240" cm="1">
        <f t="array" ref="F54">MIN(INDEX('Relacion '!$AJ$5:$AK$493,MATCH(INDEX($B:$B, (ROW()-7)),'Relacion '!$E$5:$E$493,0),0))</f>
        <v>46108</v>
      </c>
      <c r="G54" s="240" cm="1">
        <f t="array" ref="G54">MAX(INDEX('Relacion '!$AJ$5:$AK$493,MATCH(INDEX($B:$B, (ROW()-7)),'Relacion '!$E$5:$E$493,0),0))</f>
        <v>46108</v>
      </c>
      <c r="H54" s="241" cm="1">
        <f t="array" ref="H54">IF(
 MATCH(B54,{"01. ASIGNACION AREA";"02. MAPEO";"03. DESARROLLO";"04. VALIDA US";"05. VOBO US";"06. BW-EJECUCION";"07. VALIDACIÓN BAJAWARE";"08. CERRADA"},0)
 &lt;
 MATCH(_xlfn.XLOOKUP(INDEX($B:$B, (ROW()-7)),'Relacion '!$E:$E,'Relacion '!$D:$D,""),{"01. ASIGNACION AREA";"02. MAPEO";"03. DESARROLLO";"04. VALIDA US";"05. VOBO US";"06. BW-EJECUCION";"07. VALIDACIÓN BAJAWARE";"08. CERRADA"},0),
 1,
 IF(
  MATCH(B54,{"01. ASIGNACION AREA";"02. MAPEO";"03. DESARROLLO";"04. VALIDA US";"05. VOBO US";"06. BW-EJECUCION";"07. VALIDACIÓN BAJAWARE";"08. CERRADA"},0)
  =
  MATCH(_xlfn.XLOOKUP(INDEX($B:$B, (ROW()-7)),'Relacion '!$E:$E,'Relacion '!$D:$D,""),{"01. ASIGNACION AREA";"02. MAPEO";"03. DESARROLLO";"04. VALIDA US";"05. VOBO US";"06. BW-EJECUCION";"07. VALIDACIÓN BAJAWARE";"08. CERRADA"},0),
  _xlfn.XLOOKUP(INDEX($B:$B, (ROW()-7)),'Relacion '!$E:$E,'Relacion '!#REF!,0),
  0
 )
)</f>
        <v>1</v>
      </c>
      <c r="I54" s="241">
        <f t="shared" ca="1" si="3"/>
        <v>1</v>
      </c>
      <c r="J54" s="241"/>
      <c r="K54" s="241"/>
      <c r="L54" s="238"/>
    </row>
    <row r="55" spans="2:12" outlineLevel="1">
      <c r="B55" s="237" t="s">
        <v>656</v>
      </c>
      <c r="C55" s="237" t="s">
        <v>656</v>
      </c>
      <c r="D55" s="238" t="str">
        <f>_xlfn.XLOOKUP(B55,'Relacion '!$E:$E,'Relacion '!$D:$D,"")</f>
        <v/>
      </c>
      <c r="E55" s="239">
        <f t="shared" si="0"/>
        <v>0</v>
      </c>
      <c r="F55" s="240" cm="1">
        <f t="array" ref="F55">MIN(INDEX('Relacion '!$AL$5:$AM$493,MATCH(INDEX($B:$B, (ROW()-8)),'Relacion '!$E$5:$E$493,0),0))</f>
        <v>46109</v>
      </c>
      <c r="G55" s="240" cm="1">
        <f t="array" ref="G55">MAX(INDEX('Relacion '!$AL$5:$AM$493,MATCH(INDEX($B:$B, (ROW()-8)),'Relacion '!$E$5:$E$493,0),0))</f>
        <v>46109</v>
      </c>
      <c r="H55" s="241" t="e" cm="1">
        <f t="array" ref="H55">IF(
 MATCH(B55,{"01. ASIGNACION AREA";"02. MAPEO";"03. DESARROLLO";"04. VALIDA US";"05. VOBO US";"06. BW-EJECUCION";"07. VALIDACIÓN BAJAWARE";"08. CERRADA"},0)
 &lt;
 MATCH(_xlfn.XLOOKUP(INDEX($B:$B, (ROW()-8)),'Relacion '!$E:$E,'Relacion '!$D:$D,""),{"01. ASIGNACION AREA";"02. MAPEO";"03. DESARROLLO";"04. VALIDA US";"05. VOBO US";"06. BW-EJECUCION";"07. VALIDACIÓN BAJAWARE";"08. CERRADA"},0),
 1,
 IF(
  MATCH(B55,{"01. ASIGNACION AREA";"02. MAPEO";"03. DESARROLLO";"04. VALIDA US";"05. VOBO US";"06. BW-EJECUCION";"07. VALIDACIÓN BAJAWARE";"08. CERRADA"},0)
  =
  MATCH(_xlfn.XLOOKUP(INDEX($B:$B, (ROW()-8)),'Relacion '!$E:$E,'Relacion '!$D:$D,""),{"01. ASIGNACION AREA";"02. MAPEO";"03. DESARROLLO";"04. VALIDA US";"05. VOBO US";"06. BW-EJECUCION";"07. VALIDACIÓN BAJAWARE";"08. CERRADA"},0),
  _xlfn.XLOOKUP(INDEX($B:$B, (ROW()-8)),'Relacion '!$E:$E,'Relacion '!#REF!,0),
  0
 )
)</f>
        <v>#REF!</v>
      </c>
      <c r="I55" s="241">
        <f t="shared" ca="1" si="3"/>
        <v>1</v>
      </c>
      <c r="J55" s="241"/>
      <c r="K55" s="241"/>
      <c r="L55" s="238"/>
    </row>
    <row r="56" spans="2:12">
      <c r="B56" s="232" t="s">
        <v>412</v>
      </c>
      <c r="C56" s="86" t="s">
        <v>211</v>
      </c>
      <c r="D56" s="236" t="str">
        <f>_xlfn.XLOOKUP(B56,'Relacion '!$E:$E,'Relacion '!$D:$D,"")</f>
        <v>04. VALIDA US</v>
      </c>
      <c r="E56" s="233">
        <f t="shared" si="0"/>
        <v>117</v>
      </c>
      <c r="F56" s="234" cm="1">
        <f t="array" ref="F56">MIN(INDEX('Relacion '!$X$5:$AM$493,MATCH(INDEX($B:$B, (ROW()-0)),'Relacion '!$E$5:$E$493,0),0))</f>
        <v>46024</v>
      </c>
      <c r="G56" s="234" cm="1">
        <f t="array" ref="G56">MAX(INDEX('Relacion '!$X$5:$AM$493,MATCH(INDEX($B:$B, (ROW()-0)),'Relacion '!$E$5:$E$493,0),0))</f>
        <v>46141</v>
      </c>
      <c r="H56" s="235" t="e">
        <f>AVERAGE(H57:H64)</f>
        <v>#REF!</v>
      </c>
      <c r="I56" s="235">
        <f t="shared" ref="I56" ca="1" si="12">AVERAGE(I57:I64)</f>
        <v>1</v>
      </c>
      <c r="J56" s="236" t="str">
        <f>IF(ISNUMBER(SEARCH("Rocha", _xlfn.XLOOKUP(B56,'Relacion '!$E:$E,'Relacion '!$I:$I,""))), "Sí", "No")</f>
        <v>No</v>
      </c>
      <c r="K56" s="236" t="str">
        <f>IF(ISNUMBER(SEARCH("Rocha", _xlfn.XLOOKUP(B56,'Relacion '!$E:$E,'Relacion '!$I:$I,""))), "RMC", _xlfn.XLOOKUP(B56,'Relacion '!$E:$E,'Relacion '!$B:$B,""))</f>
        <v>Tesorería </v>
      </c>
      <c r="L56" s="236" t="str">
        <f>_xlfn.XLOOKUP(B56,'Relacion '!$E:$E,'Relacion '!$C:$C,"")</f>
        <v>Eduardo Cabral</v>
      </c>
    </row>
    <row r="57" spans="2:12" outlineLevel="1">
      <c r="B57" s="237" t="s">
        <v>654</v>
      </c>
      <c r="C57" s="237" t="s">
        <v>654</v>
      </c>
      <c r="D57" s="238" t="str">
        <f>_xlfn.XLOOKUP(B57,'Relacion '!$E:$E,'Relacion '!$D:$D,"")</f>
        <v/>
      </c>
      <c r="E57" s="239">
        <f t="shared" si="0"/>
        <v>59</v>
      </c>
      <c r="F57" s="240" cm="1">
        <f t="array" ref="F57">MIN(INDEX('Relacion '!$X$5:$Y$493,MATCH(INDEX($B:$B, (ROW()-1)),'Relacion '!$E$5:$E$493,0),0))</f>
        <v>46024</v>
      </c>
      <c r="G57" s="240" cm="1">
        <f t="array" ref="G57">MAX(INDEX('Relacion '!$X$5:$Y$493,MATCH(INDEX($B:$B, (ROW()-1)),'Relacion '!$E$5:$E$493,0),0))</f>
        <v>46083</v>
      </c>
      <c r="H57" s="241" cm="1">
        <f t="array" ref="H57">IF(
 MATCH(B57,{"01. ASIGNACION AREA";"02. MAPEO";"03. DESARROLLO";"04. VALIDA US";"05. VOBO US";"06. BW-EJECUCION";"07. VALIDACIÓN BAJAWARE";"08. CERRADA"},0)
 &lt;
 MATCH(_xlfn.XLOOKUP(INDEX($B:$B, (ROW()-1)),'Relacion '!$E:$E,'Relacion '!$D:$D,""),{"01. ASIGNACION AREA";"02. MAPEO";"03. DESARROLLO";"04. VALIDA US";"05. VOBO US";"06. BW-EJECUCION";"07. VALIDACIÓN BAJAWARE";"08. CERRADA"},0),
 1,
 IF(
  MATCH(B57,{"01. ASIGNACION AREA";"02. MAPEO";"03. DESARROLLO";"04. VALIDA US";"05. VOBO US";"06. BW-EJECUCION";"07. VALIDACIÓN BAJAWARE";"08. CERRADA"},0)
  =
  MATCH(_xlfn.XLOOKUP(INDEX($B:$B, (ROW()-1)),'Relacion '!$E:$E,'Relacion '!$D:$D,""),{"01. ASIGNACION AREA";"02. MAPEO";"03. DESARROLLO";"04. VALIDA US";"05. VOBO US";"06. BW-EJECUCION";"07. VALIDACIÓN BAJAWARE";"08. CERRADA"},0),
  _xlfn.XLOOKUP(INDEX($B:$B, (ROW()-1)),'Relacion '!$E:$E,'Relacion '!#REF!,0),
  0
 )
)</f>
        <v>1</v>
      </c>
      <c r="I57" s="241">
        <f t="shared" ref="I57" ca="1" si="13">IF(G57&lt;=TODAY(), 1, 0)</f>
        <v>1</v>
      </c>
      <c r="J57" s="241"/>
      <c r="K57" s="241"/>
      <c r="L57" s="238"/>
    </row>
    <row r="58" spans="2:12" outlineLevel="1">
      <c r="B58" s="237" t="s">
        <v>195</v>
      </c>
      <c r="C58" s="237" t="s">
        <v>195</v>
      </c>
      <c r="D58" s="238" t="str">
        <f>_xlfn.XLOOKUP(B58,'Relacion '!$E:$E,'Relacion '!$D:$D,"")</f>
        <v/>
      </c>
      <c r="E58" s="239">
        <f t="shared" si="0"/>
        <v>0</v>
      </c>
      <c r="F58" s="240" cm="1">
        <f t="array" ref="F58">MIN(INDEX('Relacion '!$Z$5:$AA$493,MATCH(INDEX($B:$B, (ROW()-2)),'Relacion '!$E$5:$E$493,0),0))</f>
        <v>46084</v>
      </c>
      <c r="G58" s="240" cm="1">
        <f t="array" ref="G58">MAX(INDEX('Relacion '!$Z$5:$AA$493,MATCH(INDEX($B:$B, (ROW()-2)),'Relacion '!$E$5:$E$493,0),0))</f>
        <v>46084</v>
      </c>
      <c r="H58" s="241" cm="1">
        <f t="array" ref="H58">IF(
 MATCH(B58,{"01. ASIGNACION AREA";"02. MAPEO";"03. DESARROLLO";"04. VALIDA US";"05. VOBO US";"06. BW-EJECUCION";"07. VALIDACIÓN BAJAWARE";"08. CERRADA"},0)
 &lt;
 MATCH(_xlfn.XLOOKUP(INDEX($B:$B, (ROW()-2)),'Relacion '!$E:$E,'Relacion '!$D:$D,""),{"01. ASIGNACION AREA";"02. MAPEO";"03. DESARROLLO";"04. VALIDA US";"05. VOBO US";"06. BW-EJECUCION";"07. VALIDACIÓN BAJAWARE";"08. CERRADA"},0),
 1,
 IF(
  MATCH(B58,{"01. ASIGNACION AREA";"02. MAPEO";"03. DESARROLLO";"04. VALIDA US";"05. VOBO US";"06. BW-EJECUCION";"07. VALIDACIÓN BAJAWARE";"08. CERRADA"},0)
  =
  MATCH(_xlfn.XLOOKUP(INDEX($B:$B, (ROW()-2)),'Relacion '!$E:$E,'Relacion '!$D:$D,""),{"01. ASIGNACION AREA";"02. MAPEO";"03. DESARROLLO";"04. VALIDA US";"05. VOBO US";"06. BW-EJECUCION";"07. VALIDACIÓN BAJAWARE";"08. CERRADA"},0),
  _xlfn.XLOOKUP(INDEX($B:$B, (ROW()-2)),'Relacion '!$E:$E,'Relacion '!#REF!,0),
  0
 )
)</f>
        <v>1</v>
      </c>
      <c r="I58" s="241">
        <f t="shared" ca="1" si="3"/>
        <v>1</v>
      </c>
      <c r="J58" s="241"/>
      <c r="K58" s="241"/>
      <c r="L58" s="238"/>
    </row>
    <row r="59" spans="2:12" outlineLevel="1">
      <c r="B59" s="237" t="s">
        <v>49</v>
      </c>
      <c r="C59" s="237" t="s">
        <v>49</v>
      </c>
      <c r="D59" s="238" t="str">
        <f>_xlfn.XLOOKUP(B59,'Relacion '!$E:$E,'Relacion '!$D:$D,"")</f>
        <v/>
      </c>
      <c r="E59" s="239">
        <f t="shared" si="0"/>
        <v>13</v>
      </c>
      <c r="F59" s="240" cm="1">
        <f t="array" ref="F59">MIN(INDEX('Relacion '!$AB$5:$AC$493,MATCH(INDEX($B:$B, (ROW()-3)),'Relacion '!$E$5:$E$493,0),0))</f>
        <v>46085</v>
      </c>
      <c r="G59" s="240" cm="1">
        <f t="array" ref="G59">MAX(INDEX('Relacion '!$AB$5:$AC$493,MATCH(INDEX($B:$B, (ROW()-3)),'Relacion '!$E$5:$E$493,0),0))</f>
        <v>46098</v>
      </c>
      <c r="H59" s="241" cm="1">
        <f t="array" ref="H59">IF(
 MATCH(B59,{"01. ASIGNACION AREA";"02. MAPEO";"03. DESARROLLO";"04. VALIDA US";"05. VOBO US";"06. BW-EJECUCION";"07. VALIDACIÓN BAJAWARE";"08. CERRADA"},0)
 &lt;
 MATCH(_xlfn.XLOOKUP(INDEX($B:$B, (ROW()-3)),'Relacion '!$E:$E,'Relacion '!$D:$D,""),{"01. ASIGNACION AREA";"02. MAPEO";"03. DESARROLLO";"04. VALIDA US";"05. VOBO US";"06. BW-EJECUCION";"07. VALIDACIÓN BAJAWARE";"08. CERRADA"},0),
 1,
 IF(
  MATCH(B59,{"01. ASIGNACION AREA";"02. MAPEO";"03. DESARROLLO";"04. VALIDA US";"05. VOBO US";"06. BW-EJECUCION";"07. VALIDACIÓN BAJAWARE";"08. CERRADA"},0)
  =
  MATCH(_xlfn.XLOOKUP(INDEX($B:$B, (ROW()-3)),'Relacion '!$E:$E,'Relacion '!$D:$D,""),{"01. ASIGNACION AREA";"02. MAPEO";"03. DESARROLLO";"04. VALIDA US";"05. VOBO US";"06. BW-EJECUCION";"07. VALIDACIÓN BAJAWARE";"08. CERRADA"},0),
  _xlfn.XLOOKUP(INDEX($B:$B, (ROW()-3)),'Relacion '!$E:$E,'Relacion '!#REF!,0),
  0
 )
)</f>
        <v>1</v>
      </c>
      <c r="I59" s="241">
        <f t="shared" ca="1" si="3"/>
        <v>1</v>
      </c>
      <c r="J59" s="241"/>
      <c r="K59" s="241"/>
      <c r="L59" s="238"/>
    </row>
    <row r="60" spans="2:12" outlineLevel="1">
      <c r="B60" s="237" t="s">
        <v>324</v>
      </c>
      <c r="C60" s="237" t="s">
        <v>324</v>
      </c>
      <c r="D60" s="238" t="str">
        <f>_xlfn.XLOOKUP(B60,'Relacion '!$E:$E,'Relacion '!$D:$D,"")</f>
        <v/>
      </c>
      <c r="E60" s="239">
        <f t="shared" si="0"/>
        <v>20</v>
      </c>
      <c r="F60" s="240" cm="1">
        <f t="array" ref="F60">MIN(INDEX('Relacion '!$AD$5:$AE$493,MATCH(INDEX($B:$B, (ROW()-4)),'Relacion '!$E$5:$E$493,0),0))</f>
        <v>46099</v>
      </c>
      <c r="G60" s="240" cm="1">
        <f t="array" ref="G60">MAX(INDEX('Relacion '!$AD$5:$AE$493,MATCH(INDEX($B:$B, (ROW()-4)),'Relacion '!$E$5:$E$493,0),0))</f>
        <v>46119</v>
      </c>
      <c r="H60" s="241" t="e" cm="1">
        <f t="array" ref="H60">IF(
 MATCH(B60,{"01. ASIGNACION AREA";"02. MAPEO";"03. DESARROLLO";"04. VALIDA US";"05. VOBO US";"06. BW-EJECUCION";"07. VALIDACIÓN BAJAWARE";"08. CERRADA"},0)
 &lt;
 MATCH(_xlfn.XLOOKUP(INDEX($B:$B, (ROW()-4)),'Relacion '!$E:$E,'Relacion '!$D:$D,""),{"01. ASIGNACION AREA";"02. MAPEO";"03. DESARROLLO";"04. VALIDA US";"05. VOBO US";"06. BW-EJECUCION";"07. VALIDACIÓN BAJAWARE";"08. CERRADA"},0),
 1,
 IF(
  MATCH(B60,{"01. ASIGNACION AREA";"02. MAPEO";"03. DESARROLLO";"04. VALIDA US";"05. VOBO US";"06. BW-EJECUCION";"07. VALIDACIÓN BAJAWARE";"08. CERRADA"},0)
  =
  MATCH(_xlfn.XLOOKUP(INDEX($B:$B, (ROW()-4)),'Relacion '!$E:$E,'Relacion '!$D:$D,""),{"01. ASIGNACION AREA";"02. MAPEO";"03. DESARROLLO";"04. VALIDA US";"05. VOBO US";"06. BW-EJECUCION";"07. VALIDACIÓN BAJAWARE";"08. CERRADA"},0),
  _xlfn.XLOOKUP(INDEX($B:$B, (ROW()-4)),'Relacion '!$E:$E,'Relacion '!#REF!,0),
  0
 )
)</f>
        <v>#REF!</v>
      </c>
      <c r="I60" s="241">
        <f t="shared" ca="1" si="3"/>
        <v>1</v>
      </c>
      <c r="J60" s="241"/>
      <c r="K60" s="241"/>
      <c r="L60" s="238"/>
    </row>
    <row r="61" spans="2:12" outlineLevel="1">
      <c r="B61" s="237" t="s">
        <v>320</v>
      </c>
      <c r="C61" s="237" t="s">
        <v>320</v>
      </c>
      <c r="D61" s="238" t="str">
        <f>_xlfn.XLOOKUP(B61,'Relacion '!$E:$E,'Relacion '!$D:$D,"")</f>
        <v/>
      </c>
      <c r="E61" s="239">
        <f t="shared" si="0"/>
        <v>1</v>
      </c>
      <c r="F61" s="240" cm="1">
        <f t="array" ref="F61">MIN(INDEX('Relacion '!$AF$5:$AG$493,MATCH(INDEX($B:$B, (ROW()-5)),'Relacion '!$E$5:$E$493,0),0))</f>
        <v>46119</v>
      </c>
      <c r="G61" s="240" cm="1">
        <f t="array" ref="G61">MAX(INDEX('Relacion '!$AF$5:$AG$493,MATCH(INDEX($B:$B, (ROW()-5)),'Relacion '!$E$5:$E$493,0),0))</f>
        <v>46120</v>
      </c>
      <c r="H61" s="241" cm="1">
        <f t="array" ref="H61">IF(
 MATCH(B61,{"01. ASIGNACION AREA";"02. MAPEO";"03. DESARROLLO";"04. VALIDA US";"05. VOBO US";"06. BW-EJECUCION";"07. VALIDACIÓN BAJAWARE";"08. CERRADA"},0)
 &lt;
 MATCH(_xlfn.XLOOKUP(INDEX($B:$B, (ROW()-5)),'Relacion '!$E:$E,'Relacion '!$D:$D,""),{"01. ASIGNACION AREA";"02. MAPEO";"03. DESARROLLO";"04. VALIDA US";"05. VOBO US";"06. BW-EJECUCION";"07. VALIDACIÓN BAJAWARE";"08. CERRADA"},0),
 1,
 IF(
  MATCH(B61,{"01. ASIGNACION AREA";"02. MAPEO";"03. DESARROLLO";"04. VALIDA US";"05. VOBO US";"06. BW-EJECUCION";"07. VALIDACIÓN BAJAWARE";"08. CERRADA"},0)
  =
  MATCH(_xlfn.XLOOKUP(INDEX($B:$B, (ROW()-5)),'Relacion '!$E:$E,'Relacion '!$D:$D,""),{"01. ASIGNACION AREA";"02. MAPEO";"03. DESARROLLO";"04. VALIDA US";"05. VOBO US";"06. BW-EJECUCION";"07. VALIDACIÓN BAJAWARE";"08. CERRADA"},0),
  _xlfn.XLOOKUP(INDEX($B:$B, (ROW()-5)),'Relacion '!$E:$E,'Relacion '!#REF!,0),
  0
 )
)</f>
        <v>0</v>
      </c>
      <c r="I61" s="241">
        <f t="shared" ca="1" si="3"/>
        <v>1</v>
      </c>
      <c r="J61" s="241"/>
      <c r="K61" s="241"/>
      <c r="L61" s="238"/>
    </row>
    <row r="62" spans="2:12" outlineLevel="1">
      <c r="B62" s="237" t="s">
        <v>710</v>
      </c>
      <c r="C62" s="237" t="s">
        <v>710</v>
      </c>
      <c r="D62" s="238" t="str">
        <f>_xlfn.XLOOKUP(B62,'Relacion '!$E:$E,'Relacion '!$D:$D,"")</f>
        <v/>
      </c>
      <c r="E62" s="239">
        <f t="shared" si="0"/>
        <v>4</v>
      </c>
      <c r="F62" s="240" cm="1">
        <f t="array" ref="F62">MIN(INDEX('Relacion '!$AH$5:$AI$493,MATCH(INDEX($B:$B, (ROW()-6)),'Relacion '!$E$5:$E$493,0),0))</f>
        <v>46121</v>
      </c>
      <c r="G62" s="240" cm="1">
        <f t="array" ref="G62">MAX(INDEX('Relacion '!$AH$5:$AI$493,MATCH(INDEX($B:$B, (ROW()-6)),'Relacion '!$E$5:$E$493,0),0))</f>
        <v>46125</v>
      </c>
      <c r="H62" s="241" cm="1">
        <f t="array" ref="H62">IF(
 MATCH(B62,{"01. ASIGNACION AREA";"02. MAPEO";"03. DESARROLLO";"04. VALIDA US";"05. VOBO US";"06. BW-EJECUCION";"07. VALIDACIÓN BAJAWARE";"08. CERRADA"},0)
 &lt;
 MATCH(_xlfn.XLOOKUP(INDEX($B:$B, (ROW()-6)),'Relacion '!$E:$E,'Relacion '!$D:$D,""),{"01. ASIGNACION AREA";"02. MAPEO";"03. DESARROLLO";"04. VALIDA US";"05. VOBO US";"06. BW-EJECUCION";"07. VALIDACIÓN BAJAWARE";"08. CERRADA"},0),
 1,
 IF(
  MATCH(B62,{"01. ASIGNACION AREA";"02. MAPEO";"03. DESARROLLO";"04. VALIDA US";"05. VOBO US";"06. BW-EJECUCION";"07. VALIDACIÓN BAJAWARE";"08. CERRADA"},0)
  =
  MATCH(_xlfn.XLOOKUP(INDEX($B:$B, (ROW()-6)),'Relacion '!$E:$E,'Relacion '!$D:$D,""),{"01. ASIGNACION AREA";"02. MAPEO";"03. DESARROLLO";"04. VALIDA US";"05. VOBO US";"06. BW-EJECUCION";"07. VALIDACIÓN BAJAWARE";"08. CERRADA"},0),
  _xlfn.XLOOKUP(INDEX($B:$B, (ROW()-6)),'Relacion '!$E:$E,'Relacion '!#REF!,0),
  0
 )
)</f>
        <v>0</v>
      </c>
      <c r="I62" s="241">
        <f t="shared" ca="1" si="3"/>
        <v>1</v>
      </c>
      <c r="J62" s="241"/>
      <c r="K62" s="241"/>
      <c r="L62" s="238"/>
    </row>
    <row r="63" spans="2:12" outlineLevel="1">
      <c r="B63" s="237" t="s">
        <v>655</v>
      </c>
      <c r="C63" s="237" t="s">
        <v>655</v>
      </c>
      <c r="D63" s="238" t="str">
        <f>_xlfn.XLOOKUP(B63,'Relacion '!$E:$E,'Relacion '!$D:$D,"")</f>
        <v/>
      </c>
      <c r="E63" s="239">
        <f t="shared" si="0"/>
        <v>14</v>
      </c>
      <c r="F63" s="240" cm="1">
        <f t="array" ref="F63">MIN(INDEX('Relacion '!$AJ$5:$AK$493,MATCH(INDEX($B:$B, (ROW()-7)),'Relacion '!$E$5:$E$493,0),0))</f>
        <v>46126</v>
      </c>
      <c r="G63" s="240" cm="1">
        <f t="array" ref="G63">MAX(INDEX('Relacion '!$AJ$5:$AK$493,MATCH(INDEX($B:$B, (ROW()-7)),'Relacion '!$E$5:$E$493,0),0))</f>
        <v>46140</v>
      </c>
      <c r="H63" s="241" cm="1">
        <f t="array" ref="H63">IF(
 MATCH(B63,{"01. ASIGNACION AREA";"02. MAPEO";"03. DESARROLLO";"04. VALIDA US";"05. VOBO US";"06. BW-EJECUCION";"07. VALIDACIÓN BAJAWARE";"08. CERRADA"},0)
 &lt;
 MATCH(_xlfn.XLOOKUP(INDEX($B:$B, (ROW()-7)),'Relacion '!$E:$E,'Relacion '!$D:$D,""),{"01. ASIGNACION AREA";"02. MAPEO";"03. DESARROLLO";"04. VALIDA US";"05. VOBO US";"06. BW-EJECUCION";"07. VALIDACIÓN BAJAWARE";"08. CERRADA"},0),
 1,
 IF(
  MATCH(B63,{"01. ASIGNACION AREA";"02. MAPEO";"03. DESARROLLO";"04. VALIDA US";"05. VOBO US";"06. BW-EJECUCION";"07. VALIDACIÓN BAJAWARE";"08. CERRADA"},0)
  =
  MATCH(_xlfn.XLOOKUP(INDEX($B:$B, (ROW()-7)),'Relacion '!$E:$E,'Relacion '!$D:$D,""),{"01. ASIGNACION AREA";"02. MAPEO";"03. DESARROLLO";"04. VALIDA US";"05. VOBO US";"06. BW-EJECUCION";"07. VALIDACIÓN BAJAWARE";"08. CERRADA"},0),
  _xlfn.XLOOKUP(INDEX($B:$B, (ROW()-7)),'Relacion '!$E:$E,'Relacion '!#REF!,0),
  0
 )
)</f>
        <v>0</v>
      </c>
      <c r="I63" s="241">
        <f t="shared" ca="1" si="3"/>
        <v>1</v>
      </c>
      <c r="J63" s="241"/>
      <c r="K63" s="241"/>
      <c r="L63" s="238"/>
    </row>
    <row r="64" spans="2:12" outlineLevel="1">
      <c r="B64" s="237" t="s">
        <v>656</v>
      </c>
      <c r="C64" s="237" t="s">
        <v>656</v>
      </c>
      <c r="D64" s="238" t="str">
        <f>_xlfn.XLOOKUP(B64,'Relacion '!$E:$E,'Relacion '!$D:$D,"")</f>
        <v/>
      </c>
      <c r="E64" s="239">
        <f t="shared" si="0"/>
        <v>0</v>
      </c>
      <c r="F64" s="240" cm="1">
        <f t="array" ref="F64">MIN(INDEX('Relacion '!$AL$5:$AM$493,MATCH(INDEX($B:$B, (ROW()-8)),'Relacion '!$E$5:$E$493,0),0))</f>
        <v>46141</v>
      </c>
      <c r="G64" s="240" cm="1">
        <f t="array" ref="G64">MAX(INDEX('Relacion '!$AL$5:$AM$493,MATCH(INDEX($B:$B, (ROW()-8)),'Relacion '!$E$5:$E$493,0),0))</f>
        <v>46141</v>
      </c>
      <c r="H64" s="241" cm="1">
        <f t="array" ref="H64">IF(
 MATCH(B64,{"01. ASIGNACION AREA";"02. MAPEO";"03. DESARROLLO";"04. VALIDA US";"05. VOBO US";"06. BW-EJECUCION";"07. VALIDACIÓN BAJAWARE";"08. CERRADA"},0)
 &lt;
 MATCH(_xlfn.XLOOKUP(INDEX($B:$B, (ROW()-8)),'Relacion '!$E:$E,'Relacion '!$D:$D,""),{"01. ASIGNACION AREA";"02. MAPEO";"03. DESARROLLO";"04. VALIDA US";"05. VOBO US";"06. BW-EJECUCION";"07. VALIDACIÓN BAJAWARE";"08. CERRADA"},0),
 1,
 IF(
  MATCH(B64,{"01. ASIGNACION AREA";"02. MAPEO";"03. DESARROLLO";"04. VALIDA US";"05. VOBO US";"06. BW-EJECUCION";"07. VALIDACIÓN BAJAWARE";"08. CERRADA"},0)
  =
  MATCH(_xlfn.XLOOKUP(INDEX($B:$B, (ROW()-8)),'Relacion '!$E:$E,'Relacion '!$D:$D,""),{"01. ASIGNACION AREA";"02. MAPEO";"03. DESARROLLO";"04. VALIDA US";"05. VOBO US";"06. BW-EJECUCION";"07. VALIDACIÓN BAJAWARE";"08. CERRADA"},0),
  _xlfn.XLOOKUP(INDEX($B:$B, (ROW()-8)),'Relacion '!$E:$E,'Relacion '!#REF!,0),
  0
 )
)</f>
        <v>0</v>
      </c>
      <c r="I64" s="241">
        <f t="shared" ca="1" si="3"/>
        <v>1</v>
      </c>
      <c r="J64" s="241"/>
      <c r="K64" s="241"/>
      <c r="L64" s="238"/>
    </row>
    <row r="65" spans="2:12">
      <c r="B65" s="232" t="s">
        <v>455</v>
      </c>
      <c r="C65" s="168" t="s">
        <v>456</v>
      </c>
      <c r="D65" s="236" t="str">
        <f>_xlfn.XLOOKUP(B65,'Relacion '!$E:$E,'Relacion '!$D:$D,"")</f>
        <v>04. VALIDA US</v>
      </c>
      <c r="E65" s="233">
        <f t="shared" si="0"/>
        <v>117</v>
      </c>
      <c r="F65" s="234" cm="1">
        <f t="array" ref="F65">MIN(INDEX('Relacion '!$X$5:$AM$493,MATCH(INDEX($B:$B, (ROW()-0)),'Relacion '!$E$5:$E$493,0),0))</f>
        <v>46024</v>
      </c>
      <c r="G65" s="234" cm="1">
        <f t="array" ref="G65">MAX(INDEX('Relacion '!$X$5:$AM$493,MATCH(INDEX($B:$B, (ROW()-0)),'Relacion '!$E$5:$E$493,0),0))</f>
        <v>46141</v>
      </c>
      <c r="H65" s="235" t="e">
        <f>AVERAGE(H66:H73)</f>
        <v>#REF!</v>
      </c>
      <c r="I65" s="235">
        <f t="shared" ref="I65" ca="1" si="14">AVERAGE(I66:I73)</f>
        <v>1</v>
      </c>
      <c r="J65" s="236" t="str">
        <f>IF(ISNUMBER(SEARCH("Rocha", _xlfn.XLOOKUP(B65,'Relacion '!$E:$E,'Relacion '!$I:$I,""))), "Sí", "No")</f>
        <v>No</v>
      </c>
      <c r="K65" s="236" t="str">
        <f>IF(ISNUMBER(SEARCH("Rocha", _xlfn.XLOOKUP(B65,'Relacion '!$E:$E,'Relacion '!$I:$I,""))), "RMC", _xlfn.XLOOKUP(B65,'Relacion '!$E:$E,'Relacion '!$B:$B,""))</f>
        <v>Tesorería </v>
      </c>
      <c r="L65" s="236" t="str">
        <f>_xlfn.XLOOKUP(B65,'Relacion '!$E:$E,'Relacion '!$C:$C,"")</f>
        <v>Eduardo Cabral</v>
      </c>
    </row>
    <row r="66" spans="2:12" outlineLevel="1">
      <c r="B66" s="237" t="s">
        <v>654</v>
      </c>
      <c r="C66" s="237" t="s">
        <v>654</v>
      </c>
      <c r="D66" s="238" t="str">
        <f>_xlfn.XLOOKUP(B66,'Relacion '!$E:$E,'Relacion '!$D:$D,"")</f>
        <v/>
      </c>
      <c r="E66" s="239">
        <f t="shared" ref="E66:E129" si="15">IF(OR(F66="",G66=""),"",G66-F66)</f>
        <v>59</v>
      </c>
      <c r="F66" s="240" cm="1">
        <f t="array" ref="F66">MIN(INDEX('Relacion '!$X$5:$Y$493,MATCH(INDEX($B:$B, (ROW()-1)),'Relacion '!$E$5:$E$493,0),0))</f>
        <v>46024</v>
      </c>
      <c r="G66" s="240" cm="1">
        <f t="array" ref="G66">MAX(INDEX('Relacion '!$X$5:$Y$493,MATCH(INDEX($B:$B, (ROW()-1)),'Relacion '!$E$5:$E$493,0),0))</f>
        <v>46083</v>
      </c>
      <c r="H66" s="241" cm="1">
        <f t="array" ref="H66">IF(
 MATCH(B66,{"01. ASIGNACION AREA";"02. MAPEO";"03. DESARROLLO";"04. VALIDA US";"05. VOBO US";"06. BW-EJECUCION";"07. VALIDACIÓN BAJAWARE";"08. CERRADA"},0)
 &lt;
 MATCH(_xlfn.XLOOKUP(INDEX($B:$B, (ROW()-1)),'Relacion '!$E:$E,'Relacion '!$D:$D,""),{"01. ASIGNACION AREA";"02. MAPEO";"03. DESARROLLO";"04. VALIDA US";"05. VOBO US";"06. BW-EJECUCION";"07. VALIDACIÓN BAJAWARE";"08. CERRADA"},0),
 1,
 IF(
  MATCH(B66,{"01. ASIGNACION AREA";"02. MAPEO";"03. DESARROLLO";"04. VALIDA US";"05. VOBO US";"06. BW-EJECUCION";"07. VALIDACIÓN BAJAWARE";"08. CERRADA"},0)
  =
  MATCH(_xlfn.XLOOKUP(INDEX($B:$B, (ROW()-1)),'Relacion '!$E:$E,'Relacion '!$D:$D,""),{"01. ASIGNACION AREA";"02. MAPEO";"03. DESARROLLO";"04. VALIDA US";"05. VOBO US";"06. BW-EJECUCION";"07. VALIDACIÓN BAJAWARE";"08. CERRADA"},0),
  _xlfn.XLOOKUP(INDEX($B:$B, (ROW()-1)),'Relacion '!$E:$E,'Relacion '!#REF!,0),
  0
 )
)</f>
        <v>1</v>
      </c>
      <c r="I66" s="241">
        <f t="shared" ref="I66" ca="1" si="16">IF(G66&lt;=TODAY(), 1, 0)</f>
        <v>1</v>
      </c>
      <c r="J66" s="241"/>
      <c r="K66" s="241"/>
      <c r="L66" s="238"/>
    </row>
    <row r="67" spans="2:12" outlineLevel="1">
      <c r="B67" s="237" t="s">
        <v>195</v>
      </c>
      <c r="C67" s="237" t="s">
        <v>195</v>
      </c>
      <c r="D67" s="238" t="str">
        <f>_xlfn.XLOOKUP(B67,'Relacion '!$E:$E,'Relacion '!$D:$D,"")</f>
        <v/>
      </c>
      <c r="E67" s="239">
        <f t="shared" si="15"/>
        <v>0</v>
      </c>
      <c r="F67" s="240" cm="1">
        <f t="array" ref="F67">MIN(INDEX('Relacion '!$Z$5:$AA$493,MATCH(INDEX($B:$B, (ROW()-2)),'Relacion '!$E$5:$E$493,0),0))</f>
        <v>46084</v>
      </c>
      <c r="G67" s="240" cm="1">
        <f t="array" ref="G67">MAX(INDEX('Relacion '!$Z$5:$AA$493,MATCH(INDEX($B:$B, (ROW()-2)),'Relacion '!$E$5:$E$493,0),0))</f>
        <v>46084</v>
      </c>
      <c r="H67" s="241" cm="1">
        <f t="array" ref="H67">IF(
 MATCH(B67,{"01. ASIGNACION AREA";"02. MAPEO";"03. DESARROLLO";"04. VALIDA US";"05. VOBO US";"06. BW-EJECUCION";"07. VALIDACIÓN BAJAWARE";"08. CERRADA"},0)
 &lt;
 MATCH(_xlfn.XLOOKUP(INDEX($B:$B, (ROW()-2)),'Relacion '!$E:$E,'Relacion '!$D:$D,""),{"01. ASIGNACION AREA";"02. MAPEO";"03. DESARROLLO";"04. VALIDA US";"05. VOBO US";"06. BW-EJECUCION";"07. VALIDACIÓN BAJAWARE";"08. CERRADA"},0),
 1,
 IF(
  MATCH(B67,{"01. ASIGNACION AREA";"02. MAPEO";"03. DESARROLLO";"04. VALIDA US";"05. VOBO US";"06. BW-EJECUCION";"07. VALIDACIÓN BAJAWARE";"08. CERRADA"},0)
  =
  MATCH(_xlfn.XLOOKUP(INDEX($B:$B, (ROW()-2)),'Relacion '!$E:$E,'Relacion '!$D:$D,""),{"01. ASIGNACION AREA";"02. MAPEO";"03. DESARROLLO";"04. VALIDA US";"05. VOBO US";"06. BW-EJECUCION";"07. VALIDACIÓN BAJAWARE";"08. CERRADA"},0),
  _xlfn.XLOOKUP(INDEX($B:$B, (ROW()-2)),'Relacion '!$E:$E,'Relacion '!#REF!,0),
  0
 )
)</f>
        <v>1</v>
      </c>
      <c r="I67" s="241">
        <f t="shared" ca="1" si="3"/>
        <v>1</v>
      </c>
      <c r="J67" s="241"/>
      <c r="K67" s="241"/>
      <c r="L67" s="238"/>
    </row>
    <row r="68" spans="2:12" outlineLevel="1">
      <c r="B68" s="237" t="s">
        <v>49</v>
      </c>
      <c r="C68" s="237" t="s">
        <v>49</v>
      </c>
      <c r="D68" s="238" t="str">
        <f>_xlfn.XLOOKUP(B68,'Relacion '!$E:$E,'Relacion '!$D:$D,"")</f>
        <v/>
      </c>
      <c r="E68" s="239">
        <f t="shared" si="15"/>
        <v>13</v>
      </c>
      <c r="F68" s="240" cm="1">
        <f t="array" ref="F68">MIN(INDEX('Relacion '!$AB$5:$AC$493,MATCH(INDEX($B:$B, (ROW()-3)),'Relacion '!$E$5:$E$493,0),0))</f>
        <v>46085</v>
      </c>
      <c r="G68" s="240" cm="1">
        <f t="array" ref="G68">MAX(INDEX('Relacion '!$AB$5:$AC$493,MATCH(INDEX($B:$B, (ROW()-3)),'Relacion '!$E$5:$E$493,0),0))</f>
        <v>46098</v>
      </c>
      <c r="H68" s="241" cm="1">
        <f t="array" ref="H68">IF(
 MATCH(B68,{"01. ASIGNACION AREA";"02. MAPEO";"03. DESARROLLO";"04. VALIDA US";"05. VOBO US";"06. BW-EJECUCION";"07. VALIDACIÓN BAJAWARE";"08. CERRADA"},0)
 &lt;
 MATCH(_xlfn.XLOOKUP(INDEX($B:$B, (ROW()-3)),'Relacion '!$E:$E,'Relacion '!$D:$D,""),{"01. ASIGNACION AREA";"02. MAPEO";"03. DESARROLLO";"04. VALIDA US";"05. VOBO US";"06. BW-EJECUCION";"07. VALIDACIÓN BAJAWARE";"08. CERRADA"},0),
 1,
 IF(
  MATCH(B68,{"01. ASIGNACION AREA";"02. MAPEO";"03. DESARROLLO";"04. VALIDA US";"05. VOBO US";"06. BW-EJECUCION";"07. VALIDACIÓN BAJAWARE";"08. CERRADA"},0)
  =
  MATCH(_xlfn.XLOOKUP(INDEX($B:$B, (ROW()-3)),'Relacion '!$E:$E,'Relacion '!$D:$D,""),{"01. ASIGNACION AREA";"02. MAPEO";"03. DESARROLLO";"04. VALIDA US";"05. VOBO US";"06. BW-EJECUCION";"07. VALIDACIÓN BAJAWARE";"08. CERRADA"},0),
  _xlfn.XLOOKUP(INDEX($B:$B, (ROW()-3)),'Relacion '!$E:$E,'Relacion '!#REF!,0),
  0
 )
)</f>
        <v>1</v>
      </c>
      <c r="I68" s="241">
        <f t="shared" ca="1" si="3"/>
        <v>1</v>
      </c>
      <c r="J68" s="241"/>
      <c r="K68" s="241"/>
      <c r="L68" s="238"/>
    </row>
    <row r="69" spans="2:12" outlineLevel="1">
      <c r="B69" s="237" t="s">
        <v>324</v>
      </c>
      <c r="C69" s="237" t="s">
        <v>324</v>
      </c>
      <c r="D69" s="238" t="str">
        <f>_xlfn.XLOOKUP(B69,'Relacion '!$E:$E,'Relacion '!$D:$D,"")</f>
        <v/>
      </c>
      <c r="E69" s="239">
        <f t="shared" si="15"/>
        <v>20</v>
      </c>
      <c r="F69" s="240" cm="1">
        <f t="array" ref="F69">MIN(INDEX('Relacion '!$AD$5:$AE$493,MATCH(INDEX($B:$B, (ROW()-4)),'Relacion '!$E$5:$E$493,0),0))</f>
        <v>46099</v>
      </c>
      <c r="G69" s="240" cm="1">
        <f t="array" ref="G69">MAX(INDEX('Relacion '!$AD$5:$AE$493,MATCH(INDEX($B:$B, (ROW()-4)),'Relacion '!$E$5:$E$493,0),0))</f>
        <v>46119</v>
      </c>
      <c r="H69" s="241" t="e" cm="1">
        <f t="array" ref="H69">IF(
 MATCH(B69,{"01. ASIGNACION AREA";"02. MAPEO";"03. DESARROLLO";"04. VALIDA US";"05. VOBO US";"06. BW-EJECUCION";"07. VALIDACIÓN BAJAWARE";"08. CERRADA"},0)
 &lt;
 MATCH(_xlfn.XLOOKUP(INDEX($B:$B, (ROW()-4)),'Relacion '!$E:$E,'Relacion '!$D:$D,""),{"01. ASIGNACION AREA";"02. MAPEO";"03. DESARROLLO";"04. VALIDA US";"05. VOBO US";"06. BW-EJECUCION";"07. VALIDACIÓN BAJAWARE";"08. CERRADA"},0),
 1,
 IF(
  MATCH(B69,{"01. ASIGNACION AREA";"02. MAPEO";"03. DESARROLLO";"04. VALIDA US";"05. VOBO US";"06. BW-EJECUCION";"07. VALIDACIÓN BAJAWARE";"08. CERRADA"},0)
  =
  MATCH(_xlfn.XLOOKUP(INDEX($B:$B, (ROW()-4)),'Relacion '!$E:$E,'Relacion '!$D:$D,""),{"01. ASIGNACION AREA";"02. MAPEO";"03. DESARROLLO";"04. VALIDA US";"05. VOBO US";"06. BW-EJECUCION";"07. VALIDACIÓN BAJAWARE";"08. CERRADA"},0),
  _xlfn.XLOOKUP(INDEX($B:$B, (ROW()-4)),'Relacion '!$E:$E,'Relacion '!#REF!,0),
  0
 )
)</f>
        <v>#REF!</v>
      </c>
      <c r="I69" s="241">
        <f t="shared" ca="1" si="3"/>
        <v>1</v>
      </c>
      <c r="J69" s="241"/>
      <c r="K69" s="241"/>
      <c r="L69" s="238"/>
    </row>
    <row r="70" spans="2:12" outlineLevel="1">
      <c r="B70" s="237" t="s">
        <v>320</v>
      </c>
      <c r="C70" s="237" t="s">
        <v>320</v>
      </c>
      <c r="D70" s="238" t="str">
        <f>_xlfn.XLOOKUP(B70,'Relacion '!$E:$E,'Relacion '!$D:$D,"")</f>
        <v/>
      </c>
      <c r="E70" s="239">
        <f t="shared" si="15"/>
        <v>1</v>
      </c>
      <c r="F70" s="240" cm="1">
        <f t="array" ref="F70">MIN(INDEX('Relacion '!$AF$5:$AG$493,MATCH(INDEX($B:$B, (ROW()-5)),'Relacion '!$E$5:$E$493,0),0))</f>
        <v>46119</v>
      </c>
      <c r="G70" s="240" cm="1">
        <f t="array" ref="G70">MAX(INDEX('Relacion '!$AF$5:$AG$493,MATCH(INDEX($B:$B, (ROW()-5)),'Relacion '!$E$5:$E$493,0),0))</f>
        <v>46120</v>
      </c>
      <c r="H70" s="241" cm="1">
        <f t="array" ref="H70">IF(
 MATCH(B70,{"01. ASIGNACION AREA";"02. MAPEO";"03. DESARROLLO";"04. VALIDA US";"05. VOBO US";"06. BW-EJECUCION";"07. VALIDACIÓN BAJAWARE";"08. CERRADA"},0)
 &lt;
 MATCH(_xlfn.XLOOKUP(INDEX($B:$B, (ROW()-5)),'Relacion '!$E:$E,'Relacion '!$D:$D,""),{"01. ASIGNACION AREA";"02. MAPEO";"03. DESARROLLO";"04. VALIDA US";"05. VOBO US";"06. BW-EJECUCION";"07. VALIDACIÓN BAJAWARE";"08. CERRADA"},0),
 1,
 IF(
  MATCH(B70,{"01. ASIGNACION AREA";"02. MAPEO";"03. DESARROLLO";"04. VALIDA US";"05. VOBO US";"06. BW-EJECUCION";"07. VALIDACIÓN BAJAWARE";"08. CERRADA"},0)
  =
  MATCH(_xlfn.XLOOKUP(INDEX($B:$B, (ROW()-5)),'Relacion '!$E:$E,'Relacion '!$D:$D,""),{"01. ASIGNACION AREA";"02. MAPEO";"03. DESARROLLO";"04. VALIDA US";"05. VOBO US";"06. BW-EJECUCION";"07. VALIDACIÓN BAJAWARE";"08. CERRADA"},0),
  _xlfn.XLOOKUP(INDEX($B:$B, (ROW()-5)),'Relacion '!$E:$E,'Relacion '!#REF!,0),
  0
 )
)</f>
        <v>0</v>
      </c>
      <c r="I70" s="241">
        <f t="shared" ca="1" si="3"/>
        <v>1</v>
      </c>
      <c r="J70" s="241"/>
      <c r="K70" s="241"/>
      <c r="L70" s="238"/>
    </row>
    <row r="71" spans="2:12" outlineLevel="1">
      <c r="B71" s="237" t="s">
        <v>710</v>
      </c>
      <c r="C71" s="237" t="s">
        <v>710</v>
      </c>
      <c r="D71" s="238" t="str">
        <f>_xlfn.XLOOKUP(B71,'Relacion '!$E:$E,'Relacion '!$D:$D,"")</f>
        <v/>
      </c>
      <c r="E71" s="239">
        <f t="shared" si="15"/>
        <v>4</v>
      </c>
      <c r="F71" s="240" cm="1">
        <f t="array" ref="F71">MIN(INDEX('Relacion '!$AH$5:$AI$493,MATCH(INDEX($B:$B, (ROW()-6)),'Relacion '!$E$5:$E$493,0),0))</f>
        <v>46121</v>
      </c>
      <c r="G71" s="240" cm="1">
        <f t="array" ref="G71">MAX(INDEX('Relacion '!$AH$5:$AI$493,MATCH(INDEX($B:$B, (ROW()-6)),'Relacion '!$E$5:$E$493,0),0))</f>
        <v>46125</v>
      </c>
      <c r="H71" s="241" cm="1">
        <f t="array" ref="H71">IF(
 MATCH(B71,{"01. ASIGNACION AREA";"02. MAPEO";"03. DESARROLLO";"04. VALIDA US";"05. VOBO US";"06. BW-EJECUCION";"07. VALIDACIÓN BAJAWARE";"08. CERRADA"},0)
 &lt;
 MATCH(_xlfn.XLOOKUP(INDEX($B:$B, (ROW()-6)),'Relacion '!$E:$E,'Relacion '!$D:$D,""),{"01. ASIGNACION AREA";"02. MAPEO";"03. DESARROLLO";"04. VALIDA US";"05. VOBO US";"06. BW-EJECUCION";"07. VALIDACIÓN BAJAWARE";"08. CERRADA"},0),
 1,
 IF(
  MATCH(B71,{"01. ASIGNACION AREA";"02. MAPEO";"03. DESARROLLO";"04. VALIDA US";"05. VOBO US";"06. BW-EJECUCION";"07. VALIDACIÓN BAJAWARE";"08. CERRADA"},0)
  =
  MATCH(_xlfn.XLOOKUP(INDEX($B:$B, (ROW()-6)),'Relacion '!$E:$E,'Relacion '!$D:$D,""),{"01. ASIGNACION AREA";"02. MAPEO";"03. DESARROLLO";"04. VALIDA US";"05. VOBO US";"06. BW-EJECUCION";"07. VALIDACIÓN BAJAWARE";"08. CERRADA"},0),
  _xlfn.XLOOKUP(INDEX($B:$B, (ROW()-6)),'Relacion '!$E:$E,'Relacion '!#REF!,0),
  0
 )
)</f>
        <v>0</v>
      </c>
      <c r="I71" s="241">
        <f t="shared" ca="1" si="3"/>
        <v>1</v>
      </c>
      <c r="J71" s="241"/>
      <c r="K71" s="241"/>
      <c r="L71" s="238"/>
    </row>
    <row r="72" spans="2:12" outlineLevel="1">
      <c r="B72" s="237" t="s">
        <v>655</v>
      </c>
      <c r="C72" s="237" t="s">
        <v>655</v>
      </c>
      <c r="D72" s="238" t="str">
        <f>_xlfn.XLOOKUP(B72,'Relacion '!$E:$E,'Relacion '!$D:$D,"")</f>
        <v/>
      </c>
      <c r="E72" s="239">
        <f t="shared" si="15"/>
        <v>14</v>
      </c>
      <c r="F72" s="240" cm="1">
        <f t="array" ref="F72">MIN(INDEX('Relacion '!$AJ$5:$AK$493,MATCH(INDEX($B:$B, (ROW()-7)),'Relacion '!$E$5:$E$493,0),0))</f>
        <v>46126</v>
      </c>
      <c r="G72" s="240" cm="1">
        <f t="array" ref="G72">MAX(INDEX('Relacion '!$AJ$5:$AK$493,MATCH(INDEX($B:$B, (ROW()-7)),'Relacion '!$E$5:$E$493,0),0))</f>
        <v>46140</v>
      </c>
      <c r="H72" s="241" cm="1">
        <f t="array" ref="H72">IF(
 MATCH(B72,{"01. ASIGNACION AREA";"02. MAPEO";"03. DESARROLLO";"04. VALIDA US";"05. VOBO US";"06. BW-EJECUCION";"07. VALIDACIÓN BAJAWARE";"08. CERRADA"},0)
 &lt;
 MATCH(_xlfn.XLOOKUP(INDEX($B:$B, (ROW()-7)),'Relacion '!$E:$E,'Relacion '!$D:$D,""),{"01. ASIGNACION AREA";"02. MAPEO";"03. DESARROLLO";"04. VALIDA US";"05. VOBO US";"06. BW-EJECUCION";"07. VALIDACIÓN BAJAWARE";"08. CERRADA"},0),
 1,
 IF(
  MATCH(B72,{"01. ASIGNACION AREA";"02. MAPEO";"03. DESARROLLO";"04. VALIDA US";"05. VOBO US";"06. BW-EJECUCION";"07. VALIDACIÓN BAJAWARE";"08. CERRADA"},0)
  =
  MATCH(_xlfn.XLOOKUP(INDEX($B:$B, (ROW()-7)),'Relacion '!$E:$E,'Relacion '!$D:$D,""),{"01. ASIGNACION AREA";"02. MAPEO";"03. DESARROLLO";"04. VALIDA US";"05. VOBO US";"06. BW-EJECUCION";"07. VALIDACIÓN BAJAWARE";"08. CERRADA"},0),
  _xlfn.XLOOKUP(INDEX($B:$B, (ROW()-7)),'Relacion '!$E:$E,'Relacion '!#REF!,0),
  0
 )
)</f>
        <v>0</v>
      </c>
      <c r="I72" s="241">
        <f t="shared" ca="1" si="3"/>
        <v>1</v>
      </c>
      <c r="J72" s="241"/>
      <c r="K72" s="241"/>
      <c r="L72" s="238"/>
    </row>
    <row r="73" spans="2:12" outlineLevel="1">
      <c r="B73" s="237" t="s">
        <v>656</v>
      </c>
      <c r="C73" s="237" t="s">
        <v>656</v>
      </c>
      <c r="D73" s="238" t="str">
        <f>_xlfn.XLOOKUP(B73,'Relacion '!$E:$E,'Relacion '!$D:$D,"")</f>
        <v/>
      </c>
      <c r="E73" s="239">
        <f t="shared" si="15"/>
        <v>0</v>
      </c>
      <c r="F73" s="240" cm="1">
        <f t="array" ref="F73">MIN(INDEX('Relacion '!$AL$5:$AM$493,MATCH(INDEX($B:$B, (ROW()-8)),'Relacion '!$E$5:$E$493,0),0))</f>
        <v>46141</v>
      </c>
      <c r="G73" s="240" cm="1">
        <f t="array" ref="G73">MAX(INDEX('Relacion '!$AL$5:$AM$493,MATCH(INDEX($B:$B, (ROW()-8)),'Relacion '!$E$5:$E$493,0),0))</f>
        <v>46141</v>
      </c>
      <c r="H73" s="241" cm="1">
        <f t="array" ref="H73">IF(
 MATCH(B73,{"01. ASIGNACION AREA";"02. MAPEO";"03. DESARROLLO";"04. VALIDA US";"05. VOBO US";"06. BW-EJECUCION";"07. VALIDACIÓN BAJAWARE";"08. CERRADA"},0)
 &lt;
 MATCH(_xlfn.XLOOKUP(INDEX($B:$B, (ROW()-8)),'Relacion '!$E:$E,'Relacion '!$D:$D,""),{"01. ASIGNACION AREA";"02. MAPEO";"03. DESARROLLO";"04. VALIDA US";"05. VOBO US";"06. BW-EJECUCION";"07. VALIDACIÓN BAJAWARE";"08. CERRADA"},0),
 1,
 IF(
  MATCH(B73,{"01. ASIGNACION AREA";"02. MAPEO";"03. DESARROLLO";"04. VALIDA US";"05. VOBO US";"06. BW-EJECUCION";"07. VALIDACIÓN BAJAWARE";"08. CERRADA"},0)
  =
  MATCH(_xlfn.XLOOKUP(INDEX($B:$B, (ROW()-8)),'Relacion '!$E:$E,'Relacion '!$D:$D,""),{"01. ASIGNACION AREA";"02. MAPEO";"03. DESARROLLO";"04. VALIDA US";"05. VOBO US";"06. BW-EJECUCION";"07. VALIDACIÓN BAJAWARE";"08. CERRADA"},0),
  _xlfn.XLOOKUP(INDEX($B:$B, (ROW()-8)),'Relacion '!$E:$E,'Relacion '!#REF!,0),
  0
 )
)</f>
        <v>0</v>
      </c>
      <c r="I73" s="241">
        <f t="shared" ca="1" si="3"/>
        <v>1</v>
      </c>
      <c r="J73" s="241"/>
      <c r="K73" s="241"/>
      <c r="L73" s="238"/>
    </row>
    <row r="74" spans="2:12">
      <c r="B74" s="232" t="s">
        <v>458</v>
      </c>
      <c r="C74" s="168" t="s">
        <v>459</v>
      </c>
      <c r="D74" s="236" t="str">
        <f>_xlfn.XLOOKUP(B74,'Relacion '!$E:$E,'Relacion '!$D:$D,"")</f>
        <v>04. VALIDA US</v>
      </c>
      <c r="E74" s="233">
        <f t="shared" si="15"/>
        <v>117</v>
      </c>
      <c r="F74" s="234" cm="1">
        <f t="array" ref="F74">MIN(INDEX('Relacion '!$X$5:$AM$493,MATCH(INDEX($B:$B, (ROW()-0)),'Relacion '!$E$5:$E$493,0),0))</f>
        <v>46024</v>
      </c>
      <c r="G74" s="234" cm="1">
        <f t="array" ref="G74">MAX(INDEX('Relacion '!$X$5:$AM$493,MATCH(INDEX($B:$B, (ROW()-0)),'Relacion '!$E$5:$E$493,0),0))</f>
        <v>46141</v>
      </c>
      <c r="H74" s="235" t="e">
        <f>AVERAGE(H75:H82)</f>
        <v>#REF!</v>
      </c>
      <c r="I74" s="235">
        <f t="shared" ref="I74" ca="1" si="17">AVERAGE(I75:I82)</f>
        <v>1</v>
      </c>
      <c r="J74" s="236" t="str">
        <f>IF(ISNUMBER(SEARCH("Rocha", _xlfn.XLOOKUP(B74,'Relacion '!$E:$E,'Relacion '!$I:$I,""))), "Sí", "No")</f>
        <v>No</v>
      </c>
      <c r="K74" s="236" t="str">
        <f>IF(ISNUMBER(SEARCH("Rocha", _xlfn.XLOOKUP(B74,'Relacion '!$E:$E,'Relacion '!$I:$I,""))), "RMC", _xlfn.XLOOKUP(B74,'Relacion '!$E:$E,'Relacion '!$B:$B,""))</f>
        <v>Tesorería </v>
      </c>
      <c r="L74" s="236" t="str">
        <f>_xlfn.XLOOKUP(B74,'Relacion '!$E:$E,'Relacion '!$C:$C,"")</f>
        <v>Eduardo Cabral</v>
      </c>
    </row>
    <row r="75" spans="2:12" outlineLevel="1">
      <c r="B75" s="237" t="s">
        <v>654</v>
      </c>
      <c r="C75" s="237" t="s">
        <v>654</v>
      </c>
      <c r="D75" s="238" t="str">
        <f>_xlfn.XLOOKUP(B75,'Relacion '!$E:$E,'Relacion '!$D:$D,"")</f>
        <v/>
      </c>
      <c r="E75" s="239">
        <f t="shared" si="15"/>
        <v>59</v>
      </c>
      <c r="F75" s="240" cm="1">
        <f t="array" ref="F75">MIN(INDEX('Relacion '!$X$5:$Y$493,MATCH(INDEX($B:$B, (ROW()-1)),'Relacion '!$E$5:$E$493,0),0))</f>
        <v>46024</v>
      </c>
      <c r="G75" s="240" cm="1">
        <f t="array" ref="G75">MAX(INDEX('Relacion '!$X$5:$Y$493,MATCH(INDEX($B:$B, (ROW()-1)),'Relacion '!$E$5:$E$493,0),0))</f>
        <v>46083</v>
      </c>
      <c r="H75" s="241" cm="1">
        <f t="array" ref="H75">IF(
 MATCH(B75,{"01. ASIGNACION AREA";"02. MAPEO";"03. DESARROLLO";"04. VALIDA US";"05. VOBO US";"06. BW-EJECUCION";"07. VALIDACIÓN BAJAWARE";"08. CERRADA"},0)
 &lt;
 MATCH(_xlfn.XLOOKUP(INDEX($B:$B, (ROW()-1)),'Relacion '!$E:$E,'Relacion '!$D:$D,""),{"01. ASIGNACION AREA";"02. MAPEO";"03. DESARROLLO";"04. VALIDA US";"05. VOBO US";"06. BW-EJECUCION";"07. VALIDACIÓN BAJAWARE";"08. CERRADA"},0),
 1,
 IF(
  MATCH(B75,{"01. ASIGNACION AREA";"02. MAPEO";"03. DESARROLLO";"04. VALIDA US";"05. VOBO US";"06. BW-EJECUCION";"07. VALIDACIÓN BAJAWARE";"08. CERRADA"},0)
  =
  MATCH(_xlfn.XLOOKUP(INDEX($B:$B, (ROW()-1)),'Relacion '!$E:$E,'Relacion '!$D:$D,""),{"01. ASIGNACION AREA";"02. MAPEO";"03. DESARROLLO";"04. VALIDA US";"05. VOBO US";"06. BW-EJECUCION";"07. VALIDACIÓN BAJAWARE";"08. CERRADA"},0),
  _xlfn.XLOOKUP(INDEX($B:$B, (ROW()-1)),'Relacion '!$E:$E,'Relacion '!#REF!,0),
  0
 )
)</f>
        <v>1</v>
      </c>
      <c r="I75" s="241">
        <f t="shared" ref="I75:I136" ca="1" si="18">IF(G75&lt;=TODAY(), 1, 0)</f>
        <v>1</v>
      </c>
      <c r="J75" s="241"/>
      <c r="K75" s="241"/>
      <c r="L75" s="238"/>
    </row>
    <row r="76" spans="2:12" outlineLevel="1">
      <c r="B76" s="237" t="s">
        <v>195</v>
      </c>
      <c r="C76" s="237" t="s">
        <v>195</v>
      </c>
      <c r="D76" s="238" t="str">
        <f>_xlfn.XLOOKUP(B76,'Relacion '!$E:$E,'Relacion '!$D:$D,"")</f>
        <v/>
      </c>
      <c r="E76" s="239">
        <f t="shared" si="15"/>
        <v>0</v>
      </c>
      <c r="F76" s="240" cm="1">
        <f t="array" ref="F76">MIN(INDEX('Relacion '!$Z$5:$AA$493,MATCH(INDEX($B:$B, (ROW()-2)),'Relacion '!$E$5:$E$493,0),0))</f>
        <v>46084</v>
      </c>
      <c r="G76" s="240" cm="1">
        <f t="array" ref="G76">MAX(INDEX('Relacion '!$Z$5:$AA$493,MATCH(INDEX($B:$B, (ROW()-2)),'Relacion '!$E$5:$E$493,0),0))</f>
        <v>46084</v>
      </c>
      <c r="H76" s="241" cm="1">
        <f t="array" ref="H76">IF(
 MATCH(B76,{"01. ASIGNACION AREA";"02. MAPEO";"03. DESARROLLO";"04. VALIDA US";"05. VOBO US";"06. BW-EJECUCION";"07. VALIDACIÓN BAJAWARE";"08. CERRADA"},0)
 &lt;
 MATCH(_xlfn.XLOOKUP(INDEX($B:$B, (ROW()-2)),'Relacion '!$E:$E,'Relacion '!$D:$D,""),{"01. ASIGNACION AREA";"02. MAPEO";"03. DESARROLLO";"04. VALIDA US";"05. VOBO US";"06. BW-EJECUCION";"07. VALIDACIÓN BAJAWARE";"08. CERRADA"},0),
 1,
 IF(
  MATCH(B76,{"01. ASIGNACION AREA";"02. MAPEO";"03. DESARROLLO";"04. VALIDA US";"05. VOBO US";"06. BW-EJECUCION";"07. VALIDACIÓN BAJAWARE";"08. CERRADA"},0)
  =
  MATCH(_xlfn.XLOOKUP(INDEX($B:$B, (ROW()-2)),'Relacion '!$E:$E,'Relacion '!$D:$D,""),{"01. ASIGNACION AREA";"02. MAPEO";"03. DESARROLLO";"04. VALIDA US";"05. VOBO US";"06. BW-EJECUCION";"07. VALIDACIÓN BAJAWARE";"08. CERRADA"},0),
  _xlfn.XLOOKUP(INDEX($B:$B, (ROW()-2)),'Relacion '!$E:$E,'Relacion '!#REF!,0),
  0
 )
)</f>
        <v>1</v>
      </c>
      <c r="I76" s="241">
        <f t="shared" ca="1" si="18"/>
        <v>1</v>
      </c>
      <c r="J76" s="241"/>
      <c r="K76" s="241"/>
      <c r="L76" s="238"/>
    </row>
    <row r="77" spans="2:12" outlineLevel="1">
      <c r="B77" s="237" t="s">
        <v>49</v>
      </c>
      <c r="C77" s="237" t="s">
        <v>49</v>
      </c>
      <c r="D77" s="238" t="str">
        <f>_xlfn.XLOOKUP(B77,'Relacion '!$E:$E,'Relacion '!$D:$D,"")</f>
        <v/>
      </c>
      <c r="E77" s="239">
        <f t="shared" si="15"/>
        <v>13</v>
      </c>
      <c r="F77" s="240" cm="1">
        <f t="array" ref="F77">MIN(INDEX('Relacion '!$AB$5:$AC$493,MATCH(INDEX($B:$B, (ROW()-3)),'Relacion '!$E$5:$E$493,0),0))</f>
        <v>46085</v>
      </c>
      <c r="G77" s="240" cm="1">
        <f t="array" ref="G77">MAX(INDEX('Relacion '!$AB$5:$AC$493,MATCH(INDEX($B:$B, (ROW()-3)),'Relacion '!$E$5:$E$493,0),0))</f>
        <v>46098</v>
      </c>
      <c r="H77" s="241" cm="1">
        <f t="array" ref="H77">IF(
 MATCH(B77,{"01. ASIGNACION AREA";"02. MAPEO";"03. DESARROLLO";"04. VALIDA US";"05. VOBO US";"06. BW-EJECUCION";"07. VALIDACIÓN BAJAWARE";"08. CERRADA"},0)
 &lt;
 MATCH(_xlfn.XLOOKUP(INDEX($B:$B, (ROW()-3)),'Relacion '!$E:$E,'Relacion '!$D:$D,""),{"01. ASIGNACION AREA";"02. MAPEO";"03. DESARROLLO";"04. VALIDA US";"05. VOBO US";"06. BW-EJECUCION";"07. VALIDACIÓN BAJAWARE";"08. CERRADA"},0),
 1,
 IF(
  MATCH(B77,{"01. ASIGNACION AREA";"02. MAPEO";"03. DESARROLLO";"04. VALIDA US";"05. VOBO US";"06. BW-EJECUCION";"07. VALIDACIÓN BAJAWARE";"08. CERRADA"},0)
  =
  MATCH(_xlfn.XLOOKUP(INDEX($B:$B, (ROW()-3)),'Relacion '!$E:$E,'Relacion '!$D:$D,""),{"01. ASIGNACION AREA";"02. MAPEO";"03. DESARROLLO";"04. VALIDA US";"05. VOBO US";"06. BW-EJECUCION";"07. VALIDACIÓN BAJAWARE";"08. CERRADA"},0),
  _xlfn.XLOOKUP(INDEX($B:$B, (ROW()-3)),'Relacion '!$E:$E,'Relacion '!#REF!,0),
  0
 )
)</f>
        <v>1</v>
      </c>
      <c r="I77" s="241">
        <f t="shared" ca="1" si="18"/>
        <v>1</v>
      </c>
      <c r="J77" s="241"/>
      <c r="K77" s="241"/>
      <c r="L77" s="238"/>
    </row>
    <row r="78" spans="2:12" outlineLevel="1">
      <c r="B78" s="237" t="s">
        <v>324</v>
      </c>
      <c r="C78" s="237" t="s">
        <v>324</v>
      </c>
      <c r="D78" s="238" t="str">
        <f>_xlfn.XLOOKUP(B78,'Relacion '!$E:$E,'Relacion '!$D:$D,"")</f>
        <v/>
      </c>
      <c r="E78" s="239">
        <f t="shared" si="15"/>
        <v>20</v>
      </c>
      <c r="F78" s="240" cm="1">
        <f t="array" ref="F78">MIN(INDEX('Relacion '!$AD$5:$AE$493,MATCH(INDEX($B:$B, (ROW()-4)),'Relacion '!$E$5:$E$493,0),0))</f>
        <v>46099</v>
      </c>
      <c r="G78" s="240" cm="1">
        <f t="array" ref="G78">MAX(INDEX('Relacion '!$AD$5:$AE$493,MATCH(INDEX($B:$B, (ROW()-4)),'Relacion '!$E$5:$E$493,0),0))</f>
        <v>46119</v>
      </c>
      <c r="H78" s="241" t="e" cm="1">
        <f t="array" ref="H78">IF(
 MATCH(B78,{"01. ASIGNACION AREA";"02. MAPEO";"03. DESARROLLO";"04. VALIDA US";"05. VOBO US";"06. BW-EJECUCION";"07. VALIDACIÓN BAJAWARE";"08. CERRADA"},0)
 &lt;
 MATCH(_xlfn.XLOOKUP(INDEX($B:$B, (ROW()-4)),'Relacion '!$E:$E,'Relacion '!$D:$D,""),{"01. ASIGNACION AREA";"02. MAPEO";"03. DESARROLLO";"04. VALIDA US";"05. VOBO US";"06. BW-EJECUCION";"07. VALIDACIÓN BAJAWARE";"08. CERRADA"},0),
 1,
 IF(
  MATCH(B78,{"01. ASIGNACION AREA";"02. MAPEO";"03. DESARROLLO";"04. VALIDA US";"05. VOBO US";"06. BW-EJECUCION";"07. VALIDACIÓN BAJAWARE";"08. CERRADA"},0)
  =
  MATCH(_xlfn.XLOOKUP(INDEX($B:$B, (ROW()-4)),'Relacion '!$E:$E,'Relacion '!$D:$D,""),{"01. ASIGNACION AREA";"02. MAPEO";"03. DESARROLLO";"04. VALIDA US";"05. VOBO US";"06. BW-EJECUCION";"07. VALIDACIÓN BAJAWARE";"08. CERRADA"},0),
  _xlfn.XLOOKUP(INDEX($B:$B, (ROW()-4)),'Relacion '!$E:$E,'Relacion '!#REF!,0),
  0
 )
)</f>
        <v>#REF!</v>
      </c>
      <c r="I78" s="241">
        <f t="shared" ca="1" si="18"/>
        <v>1</v>
      </c>
      <c r="J78" s="241"/>
      <c r="K78" s="241"/>
      <c r="L78" s="238"/>
    </row>
    <row r="79" spans="2:12" outlineLevel="1">
      <c r="B79" s="237" t="s">
        <v>320</v>
      </c>
      <c r="C79" s="237" t="s">
        <v>320</v>
      </c>
      <c r="D79" s="238" t="str">
        <f>_xlfn.XLOOKUP(B79,'Relacion '!$E:$E,'Relacion '!$D:$D,"")</f>
        <v/>
      </c>
      <c r="E79" s="239">
        <f t="shared" si="15"/>
        <v>1</v>
      </c>
      <c r="F79" s="240" cm="1">
        <f t="array" ref="F79">MIN(INDEX('Relacion '!$AF$5:$AG$493,MATCH(INDEX($B:$B, (ROW()-5)),'Relacion '!$E$5:$E$493,0),0))</f>
        <v>46119</v>
      </c>
      <c r="G79" s="240" cm="1">
        <f t="array" ref="G79">MAX(INDEX('Relacion '!$AF$5:$AG$493,MATCH(INDEX($B:$B, (ROW()-5)),'Relacion '!$E$5:$E$493,0),0))</f>
        <v>46120</v>
      </c>
      <c r="H79" s="241" cm="1">
        <f t="array" ref="H79">IF(
 MATCH(B79,{"01. ASIGNACION AREA";"02. MAPEO";"03. DESARROLLO";"04. VALIDA US";"05. VOBO US";"06. BW-EJECUCION";"07. VALIDACIÓN BAJAWARE";"08. CERRADA"},0)
 &lt;
 MATCH(_xlfn.XLOOKUP(INDEX($B:$B, (ROW()-5)),'Relacion '!$E:$E,'Relacion '!$D:$D,""),{"01. ASIGNACION AREA";"02. MAPEO";"03. DESARROLLO";"04. VALIDA US";"05. VOBO US";"06. BW-EJECUCION";"07. VALIDACIÓN BAJAWARE";"08. CERRADA"},0),
 1,
 IF(
  MATCH(B79,{"01. ASIGNACION AREA";"02. MAPEO";"03. DESARROLLO";"04. VALIDA US";"05. VOBO US";"06. BW-EJECUCION";"07. VALIDACIÓN BAJAWARE";"08. CERRADA"},0)
  =
  MATCH(_xlfn.XLOOKUP(INDEX($B:$B, (ROW()-5)),'Relacion '!$E:$E,'Relacion '!$D:$D,""),{"01. ASIGNACION AREA";"02. MAPEO";"03. DESARROLLO";"04. VALIDA US";"05. VOBO US";"06. BW-EJECUCION";"07. VALIDACIÓN BAJAWARE";"08. CERRADA"},0),
  _xlfn.XLOOKUP(INDEX($B:$B, (ROW()-5)),'Relacion '!$E:$E,'Relacion '!#REF!,0),
  0
 )
)</f>
        <v>0</v>
      </c>
      <c r="I79" s="241">
        <f t="shared" ca="1" si="18"/>
        <v>1</v>
      </c>
      <c r="J79" s="241"/>
      <c r="K79" s="241"/>
      <c r="L79" s="238"/>
    </row>
    <row r="80" spans="2:12" outlineLevel="1">
      <c r="B80" s="237" t="s">
        <v>710</v>
      </c>
      <c r="C80" s="237" t="s">
        <v>710</v>
      </c>
      <c r="D80" s="238" t="str">
        <f>_xlfn.XLOOKUP(B80,'Relacion '!$E:$E,'Relacion '!$D:$D,"")</f>
        <v/>
      </c>
      <c r="E80" s="239">
        <f t="shared" si="15"/>
        <v>4</v>
      </c>
      <c r="F80" s="240" cm="1">
        <f t="array" ref="F80">MIN(INDEX('Relacion '!$AH$5:$AI$493,MATCH(INDEX($B:$B, (ROW()-6)),'Relacion '!$E$5:$E$493,0),0))</f>
        <v>46121</v>
      </c>
      <c r="G80" s="240" cm="1">
        <f t="array" ref="G80">MAX(INDEX('Relacion '!$AH$5:$AI$493,MATCH(INDEX($B:$B, (ROW()-6)),'Relacion '!$E$5:$E$493,0),0))</f>
        <v>46125</v>
      </c>
      <c r="H80" s="241" cm="1">
        <f t="array" ref="H80">IF(
 MATCH(B80,{"01. ASIGNACION AREA";"02. MAPEO";"03. DESARROLLO";"04. VALIDA US";"05. VOBO US";"06. BW-EJECUCION";"07. VALIDACIÓN BAJAWARE";"08. CERRADA"},0)
 &lt;
 MATCH(_xlfn.XLOOKUP(INDEX($B:$B, (ROW()-6)),'Relacion '!$E:$E,'Relacion '!$D:$D,""),{"01. ASIGNACION AREA";"02. MAPEO";"03. DESARROLLO";"04. VALIDA US";"05. VOBO US";"06. BW-EJECUCION";"07. VALIDACIÓN BAJAWARE";"08. CERRADA"},0),
 1,
 IF(
  MATCH(B80,{"01. ASIGNACION AREA";"02. MAPEO";"03. DESARROLLO";"04. VALIDA US";"05. VOBO US";"06. BW-EJECUCION";"07. VALIDACIÓN BAJAWARE";"08. CERRADA"},0)
  =
  MATCH(_xlfn.XLOOKUP(INDEX($B:$B, (ROW()-6)),'Relacion '!$E:$E,'Relacion '!$D:$D,""),{"01. ASIGNACION AREA";"02. MAPEO";"03. DESARROLLO";"04. VALIDA US";"05. VOBO US";"06. BW-EJECUCION";"07. VALIDACIÓN BAJAWARE";"08. CERRADA"},0),
  _xlfn.XLOOKUP(INDEX($B:$B, (ROW()-6)),'Relacion '!$E:$E,'Relacion '!#REF!,0),
  0
 )
)</f>
        <v>0</v>
      </c>
      <c r="I80" s="241">
        <f t="shared" ca="1" si="18"/>
        <v>1</v>
      </c>
      <c r="J80" s="241"/>
      <c r="K80" s="241"/>
      <c r="L80" s="238"/>
    </row>
    <row r="81" spans="2:12" outlineLevel="1">
      <c r="B81" s="237" t="s">
        <v>655</v>
      </c>
      <c r="C81" s="237" t="s">
        <v>655</v>
      </c>
      <c r="D81" s="238" t="str">
        <f>_xlfn.XLOOKUP(B81,'Relacion '!$E:$E,'Relacion '!$D:$D,"")</f>
        <v/>
      </c>
      <c r="E81" s="239">
        <f t="shared" si="15"/>
        <v>14</v>
      </c>
      <c r="F81" s="240" cm="1">
        <f t="array" ref="F81">MIN(INDEX('Relacion '!$AJ$5:$AK$493,MATCH(INDEX($B:$B, (ROW()-7)),'Relacion '!$E$5:$E$493,0),0))</f>
        <v>46126</v>
      </c>
      <c r="G81" s="240" cm="1">
        <f t="array" ref="G81">MAX(INDEX('Relacion '!$AJ$5:$AK$493,MATCH(INDEX($B:$B, (ROW()-7)),'Relacion '!$E$5:$E$493,0),0))</f>
        <v>46140</v>
      </c>
      <c r="H81" s="241" cm="1">
        <f t="array" ref="H81">IF(
 MATCH(B81,{"01. ASIGNACION AREA";"02. MAPEO";"03. DESARROLLO";"04. VALIDA US";"05. VOBO US";"06. BW-EJECUCION";"07. VALIDACIÓN BAJAWARE";"08. CERRADA"},0)
 &lt;
 MATCH(_xlfn.XLOOKUP(INDEX($B:$B, (ROW()-7)),'Relacion '!$E:$E,'Relacion '!$D:$D,""),{"01. ASIGNACION AREA";"02. MAPEO";"03. DESARROLLO";"04. VALIDA US";"05. VOBO US";"06. BW-EJECUCION";"07. VALIDACIÓN BAJAWARE";"08. CERRADA"},0),
 1,
 IF(
  MATCH(B81,{"01. ASIGNACION AREA";"02. MAPEO";"03. DESARROLLO";"04. VALIDA US";"05. VOBO US";"06. BW-EJECUCION";"07. VALIDACIÓN BAJAWARE";"08. CERRADA"},0)
  =
  MATCH(_xlfn.XLOOKUP(INDEX($B:$B, (ROW()-7)),'Relacion '!$E:$E,'Relacion '!$D:$D,""),{"01. ASIGNACION AREA";"02. MAPEO";"03. DESARROLLO";"04. VALIDA US";"05. VOBO US";"06. BW-EJECUCION";"07. VALIDACIÓN BAJAWARE";"08. CERRADA"},0),
  _xlfn.XLOOKUP(INDEX($B:$B, (ROW()-7)),'Relacion '!$E:$E,'Relacion '!#REF!,0),
  0
 )
)</f>
        <v>0</v>
      </c>
      <c r="I81" s="241">
        <f t="shared" ca="1" si="18"/>
        <v>1</v>
      </c>
      <c r="J81" s="241"/>
      <c r="K81" s="241"/>
      <c r="L81" s="238"/>
    </row>
    <row r="82" spans="2:12" outlineLevel="1">
      <c r="B82" s="237" t="s">
        <v>656</v>
      </c>
      <c r="C82" s="237" t="s">
        <v>656</v>
      </c>
      <c r="D82" s="238" t="str">
        <f>_xlfn.XLOOKUP(B82,'Relacion '!$E:$E,'Relacion '!$D:$D,"")</f>
        <v/>
      </c>
      <c r="E82" s="239">
        <f t="shared" si="15"/>
        <v>0</v>
      </c>
      <c r="F82" s="240" cm="1">
        <f t="array" ref="F82">MIN(INDEX('Relacion '!$AL$5:$AM$493,MATCH(INDEX($B:$B, (ROW()-8)),'Relacion '!$E$5:$E$493,0),0))</f>
        <v>46141</v>
      </c>
      <c r="G82" s="240" cm="1">
        <f t="array" ref="G82">MAX(INDEX('Relacion '!$AL$5:$AM$493,MATCH(INDEX($B:$B, (ROW()-8)),'Relacion '!$E$5:$E$493,0),0))</f>
        <v>46141</v>
      </c>
      <c r="H82" s="241" cm="1">
        <f t="array" ref="H82">IF(
 MATCH(B82,{"01. ASIGNACION AREA";"02. MAPEO";"03. DESARROLLO";"04. VALIDA US";"05. VOBO US";"06. BW-EJECUCION";"07. VALIDACIÓN BAJAWARE";"08. CERRADA"},0)
 &lt;
 MATCH(_xlfn.XLOOKUP(INDEX($B:$B, (ROW()-8)),'Relacion '!$E:$E,'Relacion '!$D:$D,""),{"01. ASIGNACION AREA";"02. MAPEO";"03. DESARROLLO";"04. VALIDA US";"05. VOBO US";"06. BW-EJECUCION";"07. VALIDACIÓN BAJAWARE";"08. CERRADA"},0),
 1,
 IF(
  MATCH(B82,{"01. ASIGNACION AREA";"02. MAPEO";"03. DESARROLLO";"04. VALIDA US";"05. VOBO US";"06. BW-EJECUCION";"07. VALIDACIÓN BAJAWARE";"08. CERRADA"},0)
  =
  MATCH(_xlfn.XLOOKUP(INDEX($B:$B, (ROW()-8)),'Relacion '!$E:$E,'Relacion '!$D:$D,""),{"01. ASIGNACION AREA";"02. MAPEO";"03. DESARROLLO";"04. VALIDA US";"05. VOBO US";"06. BW-EJECUCION";"07. VALIDACIÓN BAJAWARE";"08. CERRADA"},0),
  _xlfn.XLOOKUP(INDEX($B:$B, (ROW()-8)),'Relacion '!$E:$E,'Relacion '!#REF!,0),
  0
 )
)</f>
        <v>0</v>
      </c>
      <c r="I82" s="241">
        <f t="shared" ca="1" si="18"/>
        <v>1</v>
      </c>
      <c r="J82" s="241"/>
      <c r="K82" s="241"/>
      <c r="L82" s="238"/>
    </row>
    <row r="83" spans="2:12">
      <c r="B83" s="232" t="s">
        <v>460</v>
      </c>
      <c r="C83" s="168" t="s">
        <v>461</v>
      </c>
      <c r="D83" s="236" t="str">
        <f>_xlfn.XLOOKUP(B83,'Relacion '!$E:$E,'Relacion '!$D:$D,"")</f>
        <v>04. VALIDA US</v>
      </c>
      <c r="E83" s="233">
        <f t="shared" si="15"/>
        <v>117</v>
      </c>
      <c r="F83" s="234" cm="1">
        <f t="array" ref="F83">MIN(INDEX('Relacion '!$X$5:$AM$493,MATCH(INDEX($B:$B, (ROW()-0)),'Relacion '!$E$5:$E$493,0),0))</f>
        <v>46024</v>
      </c>
      <c r="G83" s="234" cm="1">
        <f t="array" ref="G83">MAX(INDEX('Relacion '!$X$5:$AM$493,MATCH(INDEX($B:$B, (ROW()-0)),'Relacion '!$E$5:$E$493,0),0))</f>
        <v>46141</v>
      </c>
      <c r="H83" s="235" t="e">
        <f>AVERAGE(H84:H91)</f>
        <v>#REF!</v>
      </c>
      <c r="I83" s="235">
        <f t="shared" ref="I83" ca="1" si="19">AVERAGE(I84:I91)</f>
        <v>1</v>
      </c>
      <c r="J83" s="236" t="str">
        <f>IF(ISNUMBER(SEARCH("Rocha", _xlfn.XLOOKUP(B83,'Relacion '!$E:$E,'Relacion '!$I:$I,""))), "Sí", "No")</f>
        <v>No</v>
      </c>
      <c r="K83" s="236" t="str">
        <f>IF(ISNUMBER(SEARCH("Rocha", _xlfn.XLOOKUP(B83,'Relacion '!$E:$E,'Relacion '!$I:$I,""))), "RMC", _xlfn.XLOOKUP(B83,'Relacion '!$E:$E,'Relacion '!$B:$B,""))</f>
        <v>Tesorería </v>
      </c>
      <c r="L83" s="236" t="str">
        <f>_xlfn.XLOOKUP(B83,'Relacion '!$E:$E,'Relacion '!$C:$C,"")</f>
        <v>Eduardo Cabral</v>
      </c>
    </row>
    <row r="84" spans="2:12" outlineLevel="1">
      <c r="B84" s="237" t="s">
        <v>654</v>
      </c>
      <c r="C84" s="237" t="s">
        <v>654</v>
      </c>
      <c r="D84" s="238" t="str">
        <f>_xlfn.XLOOKUP(B84,'Relacion '!$E:$E,'Relacion '!$D:$D,"")</f>
        <v/>
      </c>
      <c r="E84" s="239">
        <f t="shared" si="15"/>
        <v>59</v>
      </c>
      <c r="F84" s="240" cm="1">
        <f t="array" ref="F84">MIN(INDEX('Relacion '!$X$5:$Y$493,MATCH(INDEX($B:$B, (ROW()-1)),'Relacion '!$E$5:$E$493,0),0))</f>
        <v>46024</v>
      </c>
      <c r="G84" s="240" cm="1">
        <f t="array" ref="G84">MAX(INDEX('Relacion '!$X$5:$Y$493,MATCH(INDEX($B:$B, (ROW()-1)),'Relacion '!$E$5:$E$493,0),0))</f>
        <v>46083</v>
      </c>
      <c r="H84" s="241" cm="1">
        <f t="array" ref="H84">IF(
 MATCH(B84,{"01. ASIGNACION AREA";"02. MAPEO";"03. DESARROLLO";"04. VALIDA US";"05. VOBO US";"06. BW-EJECUCION";"07. VALIDACIÓN BAJAWARE";"08. CERRADA"},0)
 &lt;
 MATCH(_xlfn.XLOOKUP(INDEX($B:$B, (ROW()-1)),'Relacion '!$E:$E,'Relacion '!$D:$D,""),{"01. ASIGNACION AREA";"02. MAPEO";"03. DESARROLLO";"04. VALIDA US";"05. VOBO US";"06. BW-EJECUCION";"07. VALIDACIÓN BAJAWARE";"08. CERRADA"},0),
 1,
 IF(
  MATCH(B84,{"01. ASIGNACION AREA";"02. MAPEO";"03. DESARROLLO";"04. VALIDA US";"05. VOBO US";"06. BW-EJECUCION";"07. VALIDACIÓN BAJAWARE";"08. CERRADA"},0)
  =
  MATCH(_xlfn.XLOOKUP(INDEX($B:$B, (ROW()-1)),'Relacion '!$E:$E,'Relacion '!$D:$D,""),{"01. ASIGNACION AREA";"02. MAPEO";"03. DESARROLLO";"04. VALIDA US";"05. VOBO US";"06. BW-EJECUCION";"07. VALIDACIÓN BAJAWARE";"08. CERRADA"},0),
  _xlfn.XLOOKUP(INDEX($B:$B, (ROW()-1)),'Relacion '!$E:$E,'Relacion '!#REF!,0),
  0
 )
)</f>
        <v>1</v>
      </c>
      <c r="I84" s="241">
        <f t="shared" ref="I84" ca="1" si="20">IF(G84&lt;=TODAY(), 1, 0)</f>
        <v>1</v>
      </c>
      <c r="J84" s="241"/>
      <c r="K84" s="241"/>
      <c r="L84" s="238"/>
    </row>
    <row r="85" spans="2:12" outlineLevel="1">
      <c r="B85" s="237" t="s">
        <v>195</v>
      </c>
      <c r="C85" s="237" t="s">
        <v>195</v>
      </c>
      <c r="D85" s="238" t="str">
        <f>_xlfn.XLOOKUP(B85,'Relacion '!$E:$E,'Relacion '!$D:$D,"")</f>
        <v/>
      </c>
      <c r="E85" s="239">
        <f t="shared" si="15"/>
        <v>0</v>
      </c>
      <c r="F85" s="240" cm="1">
        <f t="array" ref="F85">MIN(INDEX('Relacion '!$Z$5:$AA$493,MATCH(INDEX($B:$B, (ROW()-2)),'Relacion '!$E$5:$E$493,0),0))</f>
        <v>46084</v>
      </c>
      <c r="G85" s="240" cm="1">
        <f t="array" ref="G85">MAX(INDEX('Relacion '!$Z$5:$AA$493,MATCH(INDEX($B:$B, (ROW()-2)),'Relacion '!$E$5:$E$493,0),0))</f>
        <v>46084</v>
      </c>
      <c r="H85" s="241" cm="1">
        <f t="array" ref="H85">IF(
 MATCH(B85,{"01. ASIGNACION AREA";"02. MAPEO";"03. DESARROLLO";"04. VALIDA US";"05. VOBO US";"06. BW-EJECUCION";"07. VALIDACIÓN BAJAWARE";"08. CERRADA"},0)
 &lt;
 MATCH(_xlfn.XLOOKUP(INDEX($B:$B, (ROW()-2)),'Relacion '!$E:$E,'Relacion '!$D:$D,""),{"01. ASIGNACION AREA";"02. MAPEO";"03. DESARROLLO";"04. VALIDA US";"05. VOBO US";"06. BW-EJECUCION";"07. VALIDACIÓN BAJAWARE";"08. CERRADA"},0),
 1,
 IF(
  MATCH(B85,{"01. ASIGNACION AREA";"02. MAPEO";"03. DESARROLLO";"04. VALIDA US";"05. VOBO US";"06. BW-EJECUCION";"07. VALIDACIÓN BAJAWARE";"08. CERRADA"},0)
  =
  MATCH(_xlfn.XLOOKUP(INDEX($B:$B, (ROW()-2)),'Relacion '!$E:$E,'Relacion '!$D:$D,""),{"01. ASIGNACION AREA";"02. MAPEO";"03. DESARROLLO";"04. VALIDA US";"05. VOBO US";"06. BW-EJECUCION";"07. VALIDACIÓN BAJAWARE";"08. CERRADA"},0),
  _xlfn.XLOOKUP(INDEX($B:$B, (ROW()-2)),'Relacion '!$E:$E,'Relacion '!#REF!,0),
  0
 )
)</f>
        <v>1</v>
      </c>
      <c r="I85" s="241">
        <f t="shared" ca="1" si="18"/>
        <v>1</v>
      </c>
      <c r="J85" s="241"/>
      <c r="K85" s="241"/>
      <c r="L85" s="238"/>
    </row>
    <row r="86" spans="2:12" outlineLevel="1">
      <c r="B86" s="237" t="s">
        <v>49</v>
      </c>
      <c r="C86" s="237" t="s">
        <v>49</v>
      </c>
      <c r="D86" s="238" t="str">
        <f>_xlfn.XLOOKUP(B86,'Relacion '!$E:$E,'Relacion '!$D:$D,"")</f>
        <v/>
      </c>
      <c r="E86" s="239">
        <f t="shared" si="15"/>
        <v>13</v>
      </c>
      <c r="F86" s="240" cm="1">
        <f t="array" ref="F86">MIN(INDEX('Relacion '!$AB$5:$AC$493,MATCH(INDEX($B:$B, (ROW()-3)),'Relacion '!$E$5:$E$493,0),0))</f>
        <v>46085</v>
      </c>
      <c r="G86" s="240" cm="1">
        <f t="array" ref="G86">MAX(INDEX('Relacion '!$AB$5:$AC$493,MATCH(INDEX($B:$B, (ROW()-3)),'Relacion '!$E$5:$E$493,0),0))</f>
        <v>46098</v>
      </c>
      <c r="H86" s="241" cm="1">
        <f t="array" ref="H86">IF(
 MATCH(B86,{"01. ASIGNACION AREA";"02. MAPEO";"03. DESARROLLO";"04. VALIDA US";"05. VOBO US";"06. BW-EJECUCION";"07. VALIDACIÓN BAJAWARE";"08. CERRADA"},0)
 &lt;
 MATCH(_xlfn.XLOOKUP(INDEX($B:$B, (ROW()-3)),'Relacion '!$E:$E,'Relacion '!$D:$D,""),{"01. ASIGNACION AREA";"02. MAPEO";"03. DESARROLLO";"04. VALIDA US";"05. VOBO US";"06. BW-EJECUCION";"07. VALIDACIÓN BAJAWARE";"08. CERRADA"},0),
 1,
 IF(
  MATCH(B86,{"01. ASIGNACION AREA";"02. MAPEO";"03. DESARROLLO";"04. VALIDA US";"05. VOBO US";"06. BW-EJECUCION";"07. VALIDACIÓN BAJAWARE";"08. CERRADA"},0)
  =
  MATCH(_xlfn.XLOOKUP(INDEX($B:$B, (ROW()-3)),'Relacion '!$E:$E,'Relacion '!$D:$D,""),{"01. ASIGNACION AREA";"02. MAPEO";"03. DESARROLLO";"04. VALIDA US";"05. VOBO US";"06. BW-EJECUCION";"07. VALIDACIÓN BAJAWARE";"08. CERRADA"},0),
  _xlfn.XLOOKUP(INDEX($B:$B, (ROW()-3)),'Relacion '!$E:$E,'Relacion '!#REF!,0),
  0
 )
)</f>
        <v>1</v>
      </c>
      <c r="I86" s="241">
        <f t="shared" ca="1" si="18"/>
        <v>1</v>
      </c>
      <c r="J86" s="241"/>
      <c r="K86" s="241"/>
      <c r="L86" s="238"/>
    </row>
    <row r="87" spans="2:12" outlineLevel="1">
      <c r="B87" s="237" t="s">
        <v>324</v>
      </c>
      <c r="C87" s="237" t="s">
        <v>324</v>
      </c>
      <c r="D87" s="238" t="str">
        <f>_xlfn.XLOOKUP(B87,'Relacion '!$E:$E,'Relacion '!$D:$D,"")</f>
        <v/>
      </c>
      <c r="E87" s="239">
        <f t="shared" si="15"/>
        <v>20</v>
      </c>
      <c r="F87" s="240" cm="1">
        <f t="array" ref="F87">MIN(INDEX('Relacion '!$AD$5:$AE$493,MATCH(INDEX($B:$B, (ROW()-4)),'Relacion '!$E$5:$E$493,0),0))</f>
        <v>46099</v>
      </c>
      <c r="G87" s="240" cm="1">
        <f t="array" ref="G87">MAX(INDEX('Relacion '!$AD$5:$AE$493,MATCH(INDEX($B:$B, (ROW()-4)),'Relacion '!$E$5:$E$493,0),0))</f>
        <v>46119</v>
      </c>
      <c r="H87" s="241" t="e" cm="1">
        <f t="array" ref="H87">IF(
 MATCH(B87,{"01. ASIGNACION AREA";"02. MAPEO";"03. DESARROLLO";"04. VALIDA US";"05. VOBO US";"06. BW-EJECUCION";"07. VALIDACIÓN BAJAWARE";"08. CERRADA"},0)
 &lt;
 MATCH(_xlfn.XLOOKUP(INDEX($B:$B, (ROW()-4)),'Relacion '!$E:$E,'Relacion '!$D:$D,""),{"01. ASIGNACION AREA";"02. MAPEO";"03. DESARROLLO";"04. VALIDA US";"05. VOBO US";"06. BW-EJECUCION";"07. VALIDACIÓN BAJAWARE";"08. CERRADA"},0),
 1,
 IF(
  MATCH(B87,{"01. ASIGNACION AREA";"02. MAPEO";"03. DESARROLLO";"04. VALIDA US";"05. VOBO US";"06. BW-EJECUCION";"07. VALIDACIÓN BAJAWARE";"08. CERRADA"},0)
  =
  MATCH(_xlfn.XLOOKUP(INDEX($B:$B, (ROW()-4)),'Relacion '!$E:$E,'Relacion '!$D:$D,""),{"01. ASIGNACION AREA";"02. MAPEO";"03. DESARROLLO";"04. VALIDA US";"05. VOBO US";"06. BW-EJECUCION";"07. VALIDACIÓN BAJAWARE";"08. CERRADA"},0),
  _xlfn.XLOOKUP(INDEX($B:$B, (ROW()-4)),'Relacion '!$E:$E,'Relacion '!#REF!,0),
  0
 )
)</f>
        <v>#REF!</v>
      </c>
      <c r="I87" s="241">
        <f t="shared" ca="1" si="18"/>
        <v>1</v>
      </c>
      <c r="J87" s="241"/>
      <c r="K87" s="241"/>
      <c r="L87" s="238"/>
    </row>
    <row r="88" spans="2:12" outlineLevel="1">
      <c r="B88" s="237" t="s">
        <v>320</v>
      </c>
      <c r="C88" s="237" t="s">
        <v>320</v>
      </c>
      <c r="D88" s="238" t="str">
        <f>_xlfn.XLOOKUP(B88,'Relacion '!$E:$E,'Relacion '!$D:$D,"")</f>
        <v/>
      </c>
      <c r="E88" s="239">
        <f t="shared" si="15"/>
        <v>1</v>
      </c>
      <c r="F88" s="240" cm="1">
        <f t="array" ref="F88">MIN(INDEX('Relacion '!$AF$5:$AG$493,MATCH(INDEX($B:$B, (ROW()-5)),'Relacion '!$E$5:$E$493,0),0))</f>
        <v>46119</v>
      </c>
      <c r="G88" s="240" cm="1">
        <f t="array" ref="G88">MAX(INDEX('Relacion '!$AF$5:$AG$493,MATCH(INDEX($B:$B, (ROW()-5)),'Relacion '!$E$5:$E$493,0),0))</f>
        <v>46120</v>
      </c>
      <c r="H88" s="241" cm="1">
        <f t="array" ref="H88">IF(
 MATCH(B88,{"01. ASIGNACION AREA";"02. MAPEO";"03. DESARROLLO";"04. VALIDA US";"05. VOBO US";"06. BW-EJECUCION";"07. VALIDACIÓN BAJAWARE";"08. CERRADA"},0)
 &lt;
 MATCH(_xlfn.XLOOKUP(INDEX($B:$B, (ROW()-5)),'Relacion '!$E:$E,'Relacion '!$D:$D,""),{"01. ASIGNACION AREA";"02. MAPEO";"03. DESARROLLO";"04. VALIDA US";"05. VOBO US";"06. BW-EJECUCION";"07. VALIDACIÓN BAJAWARE";"08. CERRADA"},0),
 1,
 IF(
  MATCH(B88,{"01. ASIGNACION AREA";"02. MAPEO";"03. DESARROLLO";"04. VALIDA US";"05. VOBO US";"06. BW-EJECUCION";"07. VALIDACIÓN BAJAWARE";"08. CERRADA"},0)
  =
  MATCH(_xlfn.XLOOKUP(INDEX($B:$B, (ROW()-5)),'Relacion '!$E:$E,'Relacion '!$D:$D,""),{"01. ASIGNACION AREA";"02. MAPEO";"03. DESARROLLO";"04. VALIDA US";"05. VOBO US";"06. BW-EJECUCION";"07. VALIDACIÓN BAJAWARE";"08. CERRADA"},0),
  _xlfn.XLOOKUP(INDEX($B:$B, (ROW()-5)),'Relacion '!$E:$E,'Relacion '!#REF!,0),
  0
 )
)</f>
        <v>0</v>
      </c>
      <c r="I88" s="241">
        <f t="shared" ca="1" si="18"/>
        <v>1</v>
      </c>
      <c r="J88" s="241"/>
      <c r="K88" s="241"/>
      <c r="L88" s="238"/>
    </row>
    <row r="89" spans="2:12" outlineLevel="1">
      <c r="B89" s="237" t="s">
        <v>710</v>
      </c>
      <c r="C89" s="237" t="s">
        <v>710</v>
      </c>
      <c r="D89" s="238" t="str">
        <f>_xlfn.XLOOKUP(B89,'Relacion '!$E:$E,'Relacion '!$D:$D,"")</f>
        <v/>
      </c>
      <c r="E89" s="239">
        <f t="shared" si="15"/>
        <v>4</v>
      </c>
      <c r="F89" s="240" cm="1">
        <f t="array" ref="F89">MIN(INDEX('Relacion '!$AH$5:$AI$493,MATCH(INDEX($B:$B, (ROW()-6)),'Relacion '!$E$5:$E$493,0),0))</f>
        <v>46121</v>
      </c>
      <c r="G89" s="240" cm="1">
        <f t="array" ref="G89">MAX(INDEX('Relacion '!$AH$5:$AI$493,MATCH(INDEX($B:$B, (ROW()-6)),'Relacion '!$E$5:$E$493,0),0))</f>
        <v>46125</v>
      </c>
      <c r="H89" s="241" cm="1">
        <f t="array" ref="H89">IF(
 MATCH(B89,{"01. ASIGNACION AREA";"02. MAPEO";"03. DESARROLLO";"04. VALIDA US";"05. VOBO US";"06. BW-EJECUCION";"07. VALIDACIÓN BAJAWARE";"08. CERRADA"},0)
 &lt;
 MATCH(_xlfn.XLOOKUP(INDEX($B:$B, (ROW()-6)),'Relacion '!$E:$E,'Relacion '!$D:$D,""),{"01. ASIGNACION AREA";"02. MAPEO";"03. DESARROLLO";"04. VALIDA US";"05. VOBO US";"06. BW-EJECUCION";"07. VALIDACIÓN BAJAWARE";"08. CERRADA"},0),
 1,
 IF(
  MATCH(B89,{"01. ASIGNACION AREA";"02. MAPEO";"03. DESARROLLO";"04. VALIDA US";"05. VOBO US";"06. BW-EJECUCION";"07. VALIDACIÓN BAJAWARE";"08. CERRADA"},0)
  =
  MATCH(_xlfn.XLOOKUP(INDEX($B:$B, (ROW()-6)),'Relacion '!$E:$E,'Relacion '!$D:$D,""),{"01. ASIGNACION AREA";"02. MAPEO";"03. DESARROLLO";"04. VALIDA US";"05. VOBO US";"06. BW-EJECUCION";"07. VALIDACIÓN BAJAWARE";"08. CERRADA"},0),
  _xlfn.XLOOKUP(INDEX($B:$B, (ROW()-6)),'Relacion '!$E:$E,'Relacion '!#REF!,0),
  0
 )
)</f>
        <v>0</v>
      </c>
      <c r="I89" s="241">
        <f t="shared" ca="1" si="18"/>
        <v>1</v>
      </c>
      <c r="J89" s="241"/>
      <c r="K89" s="241"/>
      <c r="L89" s="238"/>
    </row>
    <row r="90" spans="2:12" outlineLevel="1">
      <c r="B90" s="237" t="s">
        <v>655</v>
      </c>
      <c r="C90" s="237" t="s">
        <v>655</v>
      </c>
      <c r="D90" s="238" t="str">
        <f>_xlfn.XLOOKUP(B90,'Relacion '!$E:$E,'Relacion '!$D:$D,"")</f>
        <v/>
      </c>
      <c r="E90" s="239">
        <f t="shared" si="15"/>
        <v>14</v>
      </c>
      <c r="F90" s="240" cm="1">
        <f t="array" ref="F90">MIN(INDEX('Relacion '!$AJ$5:$AK$493,MATCH(INDEX($B:$B, (ROW()-7)),'Relacion '!$E$5:$E$493,0),0))</f>
        <v>46126</v>
      </c>
      <c r="G90" s="240" cm="1">
        <f t="array" ref="G90">MAX(INDEX('Relacion '!$AJ$5:$AK$493,MATCH(INDEX($B:$B, (ROW()-7)),'Relacion '!$E$5:$E$493,0),0))</f>
        <v>46140</v>
      </c>
      <c r="H90" s="241" cm="1">
        <f t="array" ref="H90">IF(
 MATCH(B90,{"01. ASIGNACION AREA";"02. MAPEO";"03. DESARROLLO";"04. VALIDA US";"05. VOBO US";"06. BW-EJECUCION";"07. VALIDACIÓN BAJAWARE";"08. CERRADA"},0)
 &lt;
 MATCH(_xlfn.XLOOKUP(INDEX($B:$B, (ROW()-7)),'Relacion '!$E:$E,'Relacion '!$D:$D,""),{"01. ASIGNACION AREA";"02. MAPEO";"03. DESARROLLO";"04. VALIDA US";"05. VOBO US";"06. BW-EJECUCION";"07. VALIDACIÓN BAJAWARE";"08. CERRADA"},0),
 1,
 IF(
  MATCH(B90,{"01. ASIGNACION AREA";"02. MAPEO";"03. DESARROLLO";"04. VALIDA US";"05. VOBO US";"06. BW-EJECUCION";"07. VALIDACIÓN BAJAWARE";"08. CERRADA"},0)
  =
  MATCH(_xlfn.XLOOKUP(INDEX($B:$B, (ROW()-7)),'Relacion '!$E:$E,'Relacion '!$D:$D,""),{"01. ASIGNACION AREA";"02. MAPEO";"03. DESARROLLO";"04. VALIDA US";"05. VOBO US";"06. BW-EJECUCION";"07. VALIDACIÓN BAJAWARE";"08. CERRADA"},0),
  _xlfn.XLOOKUP(INDEX($B:$B, (ROW()-7)),'Relacion '!$E:$E,'Relacion '!#REF!,0),
  0
 )
)</f>
        <v>0</v>
      </c>
      <c r="I90" s="241">
        <f t="shared" ca="1" si="18"/>
        <v>1</v>
      </c>
      <c r="J90" s="241"/>
      <c r="K90" s="241"/>
      <c r="L90" s="238"/>
    </row>
    <row r="91" spans="2:12" outlineLevel="1">
      <c r="B91" s="237" t="s">
        <v>656</v>
      </c>
      <c r="C91" s="237" t="s">
        <v>656</v>
      </c>
      <c r="D91" s="238" t="str">
        <f>_xlfn.XLOOKUP(B91,'Relacion '!$E:$E,'Relacion '!$D:$D,"")</f>
        <v/>
      </c>
      <c r="E91" s="239">
        <f t="shared" si="15"/>
        <v>0</v>
      </c>
      <c r="F91" s="240" cm="1">
        <f t="array" ref="F91">MIN(INDEX('Relacion '!$AL$5:$AM$493,MATCH(INDEX($B:$B, (ROW()-8)),'Relacion '!$E$5:$E$493,0),0))</f>
        <v>46141</v>
      </c>
      <c r="G91" s="240" cm="1">
        <f t="array" ref="G91">MAX(INDEX('Relacion '!$AL$5:$AM$493,MATCH(INDEX($B:$B, (ROW()-8)),'Relacion '!$E$5:$E$493,0),0))</f>
        <v>46141</v>
      </c>
      <c r="H91" s="241" cm="1">
        <f t="array" ref="H91">IF(
 MATCH(B91,{"01. ASIGNACION AREA";"02. MAPEO";"03. DESARROLLO";"04. VALIDA US";"05. VOBO US";"06. BW-EJECUCION";"07. VALIDACIÓN BAJAWARE";"08. CERRADA"},0)
 &lt;
 MATCH(_xlfn.XLOOKUP(INDEX($B:$B, (ROW()-8)),'Relacion '!$E:$E,'Relacion '!$D:$D,""),{"01. ASIGNACION AREA";"02. MAPEO";"03. DESARROLLO";"04. VALIDA US";"05. VOBO US";"06. BW-EJECUCION";"07. VALIDACIÓN BAJAWARE";"08. CERRADA"},0),
 1,
 IF(
  MATCH(B91,{"01. ASIGNACION AREA";"02. MAPEO";"03. DESARROLLO";"04. VALIDA US";"05. VOBO US";"06. BW-EJECUCION";"07. VALIDACIÓN BAJAWARE";"08. CERRADA"},0)
  =
  MATCH(_xlfn.XLOOKUP(INDEX($B:$B, (ROW()-8)),'Relacion '!$E:$E,'Relacion '!$D:$D,""),{"01. ASIGNACION AREA";"02. MAPEO";"03. DESARROLLO";"04. VALIDA US";"05. VOBO US";"06. BW-EJECUCION";"07. VALIDACIÓN BAJAWARE";"08. CERRADA"},0),
  _xlfn.XLOOKUP(INDEX($B:$B, (ROW()-8)),'Relacion '!$E:$E,'Relacion '!#REF!,0),
  0
 )
)</f>
        <v>0</v>
      </c>
      <c r="I91" s="241">
        <f t="shared" ca="1" si="18"/>
        <v>1</v>
      </c>
      <c r="J91" s="241"/>
      <c r="K91" s="241"/>
      <c r="L91" s="238"/>
    </row>
    <row r="92" spans="2:12">
      <c r="B92" s="232" t="s">
        <v>517</v>
      </c>
      <c r="C92" s="168" t="s">
        <v>280</v>
      </c>
      <c r="D92" s="236" t="str">
        <f>_xlfn.XLOOKUP(B92,'Relacion '!$E:$E,'Relacion '!$D:$D,"")</f>
        <v>04. VALIDA US</v>
      </c>
      <c r="E92" s="233">
        <f t="shared" si="15"/>
        <v>117</v>
      </c>
      <c r="F92" s="234" cm="1">
        <f t="array" ref="F92">MIN(INDEX('Relacion '!$X$5:$AM$493,MATCH(INDEX($B:$B, (ROW()-0)),'Relacion '!$E$5:$E$493,0),0))</f>
        <v>46024</v>
      </c>
      <c r="G92" s="234" cm="1">
        <f t="array" ref="G92">MAX(INDEX('Relacion '!$X$5:$AM$493,MATCH(INDEX($B:$B, (ROW()-0)),'Relacion '!$E$5:$E$493,0),0))</f>
        <v>46141</v>
      </c>
      <c r="H92" s="235" t="e">
        <f>AVERAGE(H93:H100)</f>
        <v>#REF!</v>
      </c>
      <c r="I92" s="235">
        <f t="shared" ref="I92" ca="1" si="21">AVERAGE(I93:I100)</f>
        <v>1</v>
      </c>
      <c r="J92" s="236" t="str">
        <f>IF(ISNUMBER(SEARCH("Rocha", _xlfn.XLOOKUP(B92,'Relacion '!$E:$E,'Relacion '!$I:$I,""))), "Sí", "No")</f>
        <v>No</v>
      </c>
      <c r="K92" s="236" t="str">
        <f>IF(ISNUMBER(SEARCH("Rocha", _xlfn.XLOOKUP(B92,'Relacion '!$E:$E,'Relacion '!$I:$I,""))), "RMC", _xlfn.XLOOKUP(B92,'Relacion '!$E:$E,'Relacion '!$B:$B,""))</f>
        <v>Tesorería </v>
      </c>
      <c r="L92" s="236" t="str">
        <f>_xlfn.XLOOKUP(B92,'Relacion '!$E:$E,'Relacion '!$C:$C,"")</f>
        <v>Eduardo Cabral</v>
      </c>
    </row>
    <row r="93" spans="2:12" outlineLevel="1">
      <c r="B93" s="237" t="s">
        <v>654</v>
      </c>
      <c r="C93" s="237" t="s">
        <v>654</v>
      </c>
      <c r="D93" s="238" t="str">
        <f>_xlfn.XLOOKUP(B93,'Relacion '!$E:$E,'Relacion '!$D:$D,"")</f>
        <v/>
      </c>
      <c r="E93" s="239">
        <f t="shared" si="15"/>
        <v>59</v>
      </c>
      <c r="F93" s="240" cm="1">
        <f t="array" ref="F93">MIN(INDEX('Relacion '!$X$5:$Y$493,MATCH(INDEX($B:$B, (ROW()-1)),'Relacion '!$E$5:$E$493,0),0))</f>
        <v>46024</v>
      </c>
      <c r="G93" s="240" cm="1">
        <f t="array" ref="G93">MAX(INDEX('Relacion '!$X$5:$Y$493,MATCH(INDEX($B:$B, (ROW()-1)),'Relacion '!$E$5:$E$493,0),0))</f>
        <v>46083</v>
      </c>
      <c r="H93" s="241" cm="1">
        <f t="array" ref="H93">IF(
 MATCH(B93,{"01. ASIGNACION AREA";"02. MAPEO";"03. DESARROLLO";"04. VALIDA US";"05. VOBO US";"06. BW-EJECUCION";"07. VALIDACIÓN BAJAWARE";"08. CERRADA"},0)
 &lt;
 MATCH(_xlfn.XLOOKUP(INDEX($B:$B, (ROW()-1)),'Relacion '!$E:$E,'Relacion '!$D:$D,""),{"01. ASIGNACION AREA";"02. MAPEO";"03. DESARROLLO";"04. VALIDA US";"05. VOBO US";"06. BW-EJECUCION";"07. VALIDACIÓN BAJAWARE";"08. CERRADA"},0),
 1,
 IF(
  MATCH(B93,{"01. ASIGNACION AREA";"02. MAPEO";"03. DESARROLLO";"04. VALIDA US";"05. VOBO US";"06. BW-EJECUCION";"07. VALIDACIÓN BAJAWARE";"08. CERRADA"},0)
  =
  MATCH(_xlfn.XLOOKUP(INDEX($B:$B, (ROW()-1)),'Relacion '!$E:$E,'Relacion '!$D:$D,""),{"01. ASIGNACION AREA";"02. MAPEO";"03. DESARROLLO";"04. VALIDA US";"05. VOBO US";"06. BW-EJECUCION";"07. VALIDACIÓN BAJAWARE";"08. CERRADA"},0),
  _xlfn.XLOOKUP(INDEX($B:$B, (ROW()-1)),'Relacion '!$E:$E,'Relacion '!#REF!,0),
  0
 )
)</f>
        <v>1</v>
      </c>
      <c r="I93" s="241">
        <f t="shared" ref="I93" ca="1" si="22">IF(G93&lt;=TODAY(), 1, 0)</f>
        <v>1</v>
      </c>
      <c r="J93" s="241"/>
      <c r="K93" s="241"/>
      <c r="L93" s="238"/>
    </row>
    <row r="94" spans="2:12" outlineLevel="1">
      <c r="B94" s="237" t="s">
        <v>195</v>
      </c>
      <c r="C94" s="237" t="s">
        <v>195</v>
      </c>
      <c r="D94" s="238" t="str">
        <f>_xlfn.XLOOKUP(B94,'Relacion '!$E:$E,'Relacion '!$D:$D,"")</f>
        <v/>
      </c>
      <c r="E94" s="239">
        <f t="shared" si="15"/>
        <v>0</v>
      </c>
      <c r="F94" s="240" cm="1">
        <f t="array" ref="F94">MIN(INDEX('Relacion '!$Z$5:$AA$493,MATCH(INDEX($B:$B, (ROW()-2)),'Relacion '!$E$5:$E$493,0),0))</f>
        <v>46084</v>
      </c>
      <c r="G94" s="240" cm="1">
        <f t="array" ref="G94">MAX(INDEX('Relacion '!$Z$5:$AA$493,MATCH(INDEX($B:$B, (ROW()-2)),'Relacion '!$E$5:$E$493,0),0))</f>
        <v>46084</v>
      </c>
      <c r="H94" s="241" cm="1">
        <f t="array" ref="H94">IF(
 MATCH(B94,{"01. ASIGNACION AREA";"02. MAPEO";"03. DESARROLLO";"04. VALIDA US";"05. VOBO US";"06. BW-EJECUCION";"07. VALIDACIÓN BAJAWARE";"08. CERRADA"},0)
 &lt;
 MATCH(_xlfn.XLOOKUP(INDEX($B:$B, (ROW()-2)),'Relacion '!$E:$E,'Relacion '!$D:$D,""),{"01. ASIGNACION AREA";"02. MAPEO";"03. DESARROLLO";"04. VALIDA US";"05. VOBO US";"06. BW-EJECUCION";"07. VALIDACIÓN BAJAWARE";"08. CERRADA"},0),
 1,
 IF(
  MATCH(B94,{"01. ASIGNACION AREA";"02. MAPEO";"03. DESARROLLO";"04. VALIDA US";"05. VOBO US";"06. BW-EJECUCION";"07. VALIDACIÓN BAJAWARE";"08. CERRADA"},0)
  =
  MATCH(_xlfn.XLOOKUP(INDEX($B:$B, (ROW()-2)),'Relacion '!$E:$E,'Relacion '!$D:$D,""),{"01. ASIGNACION AREA";"02. MAPEO";"03. DESARROLLO";"04. VALIDA US";"05. VOBO US";"06. BW-EJECUCION";"07. VALIDACIÓN BAJAWARE";"08. CERRADA"},0),
  _xlfn.XLOOKUP(INDEX($B:$B, (ROW()-2)),'Relacion '!$E:$E,'Relacion '!#REF!,0),
  0
 )
)</f>
        <v>1</v>
      </c>
      <c r="I94" s="241">
        <f t="shared" ca="1" si="18"/>
        <v>1</v>
      </c>
      <c r="J94" s="241"/>
      <c r="K94" s="241"/>
      <c r="L94" s="238"/>
    </row>
    <row r="95" spans="2:12" outlineLevel="1">
      <c r="B95" s="237" t="s">
        <v>49</v>
      </c>
      <c r="C95" s="237" t="s">
        <v>49</v>
      </c>
      <c r="D95" s="238" t="str">
        <f>_xlfn.XLOOKUP(B95,'Relacion '!$E:$E,'Relacion '!$D:$D,"")</f>
        <v/>
      </c>
      <c r="E95" s="239">
        <f t="shared" si="15"/>
        <v>13</v>
      </c>
      <c r="F95" s="240" cm="1">
        <f t="array" ref="F95">MIN(INDEX('Relacion '!$AB$5:$AC$493,MATCH(INDEX($B:$B, (ROW()-3)),'Relacion '!$E$5:$E$493,0),0))</f>
        <v>46085</v>
      </c>
      <c r="G95" s="240" cm="1">
        <f t="array" ref="G95">MAX(INDEX('Relacion '!$AB$5:$AC$493,MATCH(INDEX($B:$B, (ROW()-3)),'Relacion '!$E$5:$E$493,0),0))</f>
        <v>46098</v>
      </c>
      <c r="H95" s="241" cm="1">
        <f t="array" ref="H95">IF(
 MATCH(B95,{"01. ASIGNACION AREA";"02. MAPEO";"03. DESARROLLO";"04. VALIDA US";"05. VOBO US";"06. BW-EJECUCION";"07. VALIDACIÓN BAJAWARE";"08. CERRADA"},0)
 &lt;
 MATCH(_xlfn.XLOOKUP(INDEX($B:$B, (ROW()-3)),'Relacion '!$E:$E,'Relacion '!$D:$D,""),{"01. ASIGNACION AREA";"02. MAPEO";"03. DESARROLLO";"04. VALIDA US";"05. VOBO US";"06. BW-EJECUCION";"07. VALIDACIÓN BAJAWARE";"08. CERRADA"},0),
 1,
 IF(
  MATCH(B95,{"01. ASIGNACION AREA";"02. MAPEO";"03. DESARROLLO";"04. VALIDA US";"05. VOBO US";"06. BW-EJECUCION";"07. VALIDACIÓN BAJAWARE";"08. CERRADA"},0)
  =
  MATCH(_xlfn.XLOOKUP(INDEX($B:$B, (ROW()-3)),'Relacion '!$E:$E,'Relacion '!$D:$D,""),{"01. ASIGNACION AREA";"02. MAPEO";"03. DESARROLLO";"04. VALIDA US";"05. VOBO US";"06. BW-EJECUCION";"07. VALIDACIÓN BAJAWARE";"08. CERRADA"},0),
  _xlfn.XLOOKUP(INDEX($B:$B, (ROW()-3)),'Relacion '!$E:$E,'Relacion '!#REF!,0),
  0
 )
)</f>
        <v>1</v>
      </c>
      <c r="I95" s="241">
        <f t="shared" ca="1" si="18"/>
        <v>1</v>
      </c>
      <c r="J95" s="241"/>
      <c r="K95" s="241"/>
      <c r="L95" s="238"/>
    </row>
    <row r="96" spans="2:12" outlineLevel="1">
      <c r="B96" s="237" t="s">
        <v>324</v>
      </c>
      <c r="C96" s="237" t="s">
        <v>324</v>
      </c>
      <c r="D96" s="238" t="str">
        <f>_xlfn.XLOOKUP(B96,'Relacion '!$E:$E,'Relacion '!$D:$D,"")</f>
        <v/>
      </c>
      <c r="E96" s="239">
        <f t="shared" si="15"/>
        <v>20</v>
      </c>
      <c r="F96" s="240" cm="1">
        <f t="array" ref="F96">MIN(INDEX('Relacion '!$AD$5:$AE$493,MATCH(INDEX($B:$B, (ROW()-4)),'Relacion '!$E$5:$E$493,0),0))</f>
        <v>46099</v>
      </c>
      <c r="G96" s="240" cm="1">
        <f t="array" ref="G96">MAX(INDEX('Relacion '!$AD$5:$AE$493,MATCH(INDEX($B:$B, (ROW()-4)),'Relacion '!$E$5:$E$493,0),0))</f>
        <v>46119</v>
      </c>
      <c r="H96" s="241" t="e" cm="1">
        <f t="array" ref="H96">IF(
 MATCH(B96,{"01. ASIGNACION AREA";"02. MAPEO";"03. DESARROLLO";"04. VALIDA US";"05. VOBO US";"06. BW-EJECUCION";"07. VALIDACIÓN BAJAWARE";"08. CERRADA"},0)
 &lt;
 MATCH(_xlfn.XLOOKUP(INDEX($B:$B, (ROW()-4)),'Relacion '!$E:$E,'Relacion '!$D:$D,""),{"01. ASIGNACION AREA";"02. MAPEO";"03. DESARROLLO";"04. VALIDA US";"05. VOBO US";"06. BW-EJECUCION";"07. VALIDACIÓN BAJAWARE";"08. CERRADA"},0),
 1,
 IF(
  MATCH(B96,{"01. ASIGNACION AREA";"02. MAPEO";"03. DESARROLLO";"04. VALIDA US";"05. VOBO US";"06. BW-EJECUCION";"07. VALIDACIÓN BAJAWARE";"08. CERRADA"},0)
  =
  MATCH(_xlfn.XLOOKUP(INDEX($B:$B, (ROW()-4)),'Relacion '!$E:$E,'Relacion '!$D:$D,""),{"01. ASIGNACION AREA";"02. MAPEO";"03. DESARROLLO";"04. VALIDA US";"05. VOBO US";"06. BW-EJECUCION";"07. VALIDACIÓN BAJAWARE";"08. CERRADA"},0),
  _xlfn.XLOOKUP(INDEX($B:$B, (ROW()-4)),'Relacion '!$E:$E,'Relacion '!#REF!,0),
  0
 )
)</f>
        <v>#REF!</v>
      </c>
      <c r="I96" s="241">
        <f t="shared" ca="1" si="18"/>
        <v>1</v>
      </c>
      <c r="J96" s="241"/>
      <c r="K96" s="241"/>
      <c r="L96" s="238"/>
    </row>
    <row r="97" spans="2:12" outlineLevel="1">
      <c r="B97" s="237" t="s">
        <v>320</v>
      </c>
      <c r="C97" s="237" t="s">
        <v>320</v>
      </c>
      <c r="D97" s="238" t="str">
        <f>_xlfn.XLOOKUP(B97,'Relacion '!$E:$E,'Relacion '!$D:$D,"")</f>
        <v/>
      </c>
      <c r="E97" s="239">
        <f t="shared" si="15"/>
        <v>1</v>
      </c>
      <c r="F97" s="240" cm="1">
        <f t="array" ref="F97">MIN(INDEX('Relacion '!$AF$5:$AG$493,MATCH(INDEX($B:$B, (ROW()-5)),'Relacion '!$E$5:$E$493,0),0))</f>
        <v>46119</v>
      </c>
      <c r="G97" s="240" cm="1">
        <f t="array" ref="G97">MAX(INDEX('Relacion '!$AF$5:$AG$493,MATCH(INDEX($B:$B, (ROW()-5)),'Relacion '!$E$5:$E$493,0),0))</f>
        <v>46120</v>
      </c>
      <c r="H97" s="241" cm="1">
        <f t="array" ref="H97">IF(
 MATCH(B97,{"01. ASIGNACION AREA";"02. MAPEO";"03. DESARROLLO";"04. VALIDA US";"05. VOBO US";"06. BW-EJECUCION";"07. VALIDACIÓN BAJAWARE";"08. CERRADA"},0)
 &lt;
 MATCH(_xlfn.XLOOKUP(INDEX($B:$B, (ROW()-5)),'Relacion '!$E:$E,'Relacion '!$D:$D,""),{"01. ASIGNACION AREA";"02. MAPEO";"03. DESARROLLO";"04. VALIDA US";"05. VOBO US";"06. BW-EJECUCION";"07. VALIDACIÓN BAJAWARE";"08. CERRADA"},0),
 1,
 IF(
  MATCH(B97,{"01. ASIGNACION AREA";"02. MAPEO";"03. DESARROLLO";"04. VALIDA US";"05. VOBO US";"06. BW-EJECUCION";"07. VALIDACIÓN BAJAWARE";"08. CERRADA"},0)
  =
  MATCH(_xlfn.XLOOKUP(INDEX($B:$B, (ROW()-5)),'Relacion '!$E:$E,'Relacion '!$D:$D,""),{"01. ASIGNACION AREA";"02. MAPEO";"03. DESARROLLO";"04. VALIDA US";"05. VOBO US";"06. BW-EJECUCION";"07. VALIDACIÓN BAJAWARE";"08. CERRADA"},0),
  _xlfn.XLOOKUP(INDEX($B:$B, (ROW()-5)),'Relacion '!$E:$E,'Relacion '!#REF!,0),
  0
 )
)</f>
        <v>0</v>
      </c>
      <c r="I97" s="241">
        <f t="shared" ca="1" si="18"/>
        <v>1</v>
      </c>
      <c r="J97" s="241"/>
      <c r="K97" s="241"/>
      <c r="L97" s="238"/>
    </row>
    <row r="98" spans="2:12" outlineLevel="1">
      <c r="B98" s="237" t="s">
        <v>710</v>
      </c>
      <c r="C98" s="237" t="s">
        <v>710</v>
      </c>
      <c r="D98" s="238" t="str">
        <f>_xlfn.XLOOKUP(B98,'Relacion '!$E:$E,'Relacion '!$D:$D,"")</f>
        <v/>
      </c>
      <c r="E98" s="239">
        <f t="shared" si="15"/>
        <v>4</v>
      </c>
      <c r="F98" s="240" cm="1">
        <f t="array" ref="F98">MIN(INDEX('Relacion '!$AH$5:$AI$493,MATCH(INDEX($B:$B, (ROW()-6)),'Relacion '!$E$5:$E$493,0),0))</f>
        <v>46121</v>
      </c>
      <c r="G98" s="240" cm="1">
        <f t="array" ref="G98">MAX(INDEX('Relacion '!$AH$5:$AI$493,MATCH(INDEX($B:$B, (ROW()-6)),'Relacion '!$E$5:$E$493,0),0))</f>
        <v>46125</v>
      </c>
      <c r="H98" s="241" cm="1">
        <f t="array" ref="H98">IF(
 MATCH(B98,{"01. ASIGNACION AREA";"02. MAPEO";"03. DESARROLLO";"04. VALIDA US";"05. VOBO US";"06. BW-EJECUCION";"07. VALIDACIÓN BAJAWARE";"08. CERRADA"},0)
 &lt;
 MATCH(_xlfn.XLOOKUP(INDEX($B:$B, (ROW()-6)),'Relacion '!$E:$E,'Relacion '!$D:$D,""),{"01. ASIGNACION AREA";"02. MAPEO";"03. DESARROLLO";"04. VALIDA US";"05. VOBO US";"06. BW-EJECUCION";"07. VALIDACIÓN BAJAWARE";"08. CERRADA"},0),
 1,
 IF(
  MATCH(B98,{"01. ASIGNACION AREA";"02. MAPEO";"03. DESARROLLO";"04. VALIDA US";"05. VOBO US";"06. BW-EJECUCION";"07. VALIDACIÓN BAJAWARE";"08. CERRADA"},0)
  =
  MATCH(_xlfn.XLOOKUP(INDEX($B:$B, (ROW()-6)),'Relacion '!$E:$E,'Relacion '!$D:$D,""),{"01. ASIGNACION AREA";"02. MAPEO";"03. DESARROLLO";"04. VALIDA US";"05. VOBO US";"06. BW-EJECUCION";"07. VALIDACIÓN BAJAWARE";"08. CERRADA"},0),
  _xlfn.XLOOKUP(INDEX($B:$B, (ROW()-6)),'Relacion '!$E:$E,'Relacion '!#REF!,0),
  0
 )
)</f>
        <v>0</v>
      </c>
      <c r="I98" s="241">
        <f t="shared" ca="1" si="18"/>
        <v>1</v>
      </c>
      <c r="J98" s="241"/>
      <c r="K98" s="241"/>
      <c r="L98" s="238"/>
    </row>
    <row r="99" spans="2:12" outlineLevel="1">
      <c r="B99" s="237" t="s">
        <v>655</v>
      </c>
      <c r="C99" s="237" t="s">
        <v>655</v>
      </c>
      <c r="D99" s="238" t="str">
        <f>_xlfn.XLOOKUP(B99,'Relacion '!$E:$E,'Relacion '!$D:$D,"")</f>
        <v/>
      </c>
      <c r="E99" s="239">
        <f t="shared" si="15"/>
        <v>14</v>
      </c>
      <c r="F99" s="240" cm="1">
        <f t="array" ref="F99">MIN(INDEX('Relacion '!$AJ$5:$AK$493,MATCH(INDEX($B:$B, (ROW()-7)),'Relacion '!$E$5:$E$493,0),0))</f>
        <v>46126</v>
      </c>
      <c r="G99" s="240" cm="1">
        <f t="array" ref="G99">MAX(INDEX('Relacion '!$AJ$5:$AK$493,MATCH(INDEX($B:$B, (ROW()-7)),'Relacion '!$E$5:$E$493,0),0))</f>
        <v>46140</v>
      </c>
      <c r="H99" s="241" cm="1">
        <f t="array" ref="H99">IF(
 MATCH(B99,{"01. ASIGNACION AREA";"02. MAPEO";"03. DESARROLLO";"04. VALIDA US";"05. VOBO US";"06. BW-EJECUCION";"07. VALIDACIÓN BAJAWARE";"08. CERRADA"},0)
 &lt;
 MATCH(_xlfn.XLOOKUP(INDEX($B:$B, (ROW()-7)),'Relacion '!$E:$E,'Relacion '!$D:$D,""),{"01. ASIGNACION AREA";"02. MAPEO";"03. DESARROLLO";"04. VALIDA US";"05. VOBO US";"06. BW-EJECUCION";"07. VALIDACIÓN BAJAWARE";"08. CERRADA"},0),
 1,
 IF(
  MATCH(B99,{"01. ASIGNACION AREA";"02. MAPEO";"03. DESARROLLO";"04. VALIDA US";"05. VOBO US";"06. BW-EJECUCION";"07. VALIDACIÓN BAJAWARE";"08. CERRADA"},0)
  =
  MATCH(_xlfn.XLOOKUP(INDEX($B:$B, (ROW()-7)),'Relacion '!$E:$E,'Relacion '!$D:$D,""),{"01. ASIGNACION AREA";"02. MAPEO";"03. DESARROLLO";"04. VALIDA US";"05. VOBO US";"06. BW-EJECUCION";"07. VALIDACIÓN BAJAWARE";"08. CERRADA"},0),
  _xlfn.XLOOKUP(INDEX($B:$B, (ROW()-7)),'Relacion '!$E:$E,'Relacion '!#REF!,0),
  0
 )
)</f>
        <v>0</v>
      </c>
      <c r="I99" s="241">
        <f t="shared" ca="1" si="18"/>
        <v>1</v>
      </c>
      <c r="J99" s="241"/>
      <c r="K99" s="241"/>
      <c r="L99" s="238"/>
    </row>
    <row r="100" spans="2:12" outlineLevel="1">
      <c r="B100" s="237" t="s">
        <v>656</v>
      </c>
      <c r="C100" s="237" t="s">
        <v>656</v>
      </c>
      <c r="D100" s="238" t="str">
        <f>_xlfn.XLOOKUP(B100,'Relacion '!$E:$E,'Relacion '!$D:$D,"")</f>
        <v/>
      </c>
      <c r="E100" s="239">
        <f t="shared" si="15"/>
        <v>0</v>
      </c>
      <c r="F100" s="240" cm="1">
        <f t="array" ref="F100">MIN(INDEX('Relacion '!$AL$5:$AM$493,MATCH(INDEX($B:$B, (ROW()-8)),'Relacion '!$E$5:$E$493,0),0))</f>
        <v>46141</v>
      </c>
      <c r="G100" s="240" cm="1">
        <f t="array" ref="G100">MAX(INDEX('Relacion '!$AL$5:$AM$493,MATCH(INDEX($B:$B, (ROW()-8)),'Relacion '!$E$5:$E$493,0),0))</f>
        <v>46141</v>
      </c>
      <c r="H100" s="241" cm="1">
        <f t="array" ref="H100">IF(
 MATCH(B100,{"01. ASIGNACION AREA";"02. MAPEO";"03. DESARROLLO";"04. VALIDA US";"05. VOBO US";"06. BW-EJECUCION";"07. VALIDACIÓN BAJAWARE";"08. CERRADA"},0)
 &lt;
 MATCH(_xlfn.XLOOKUP(INDEX($B:$B, (ROW()-8)),'Relacion '!$E:$E,'Relacion '!$D:$D,""),{"01. ASIGNACION AREA";"02. MAPEO";"03. DESARROLLO";"04. VALIDA US";"05. VOBO US";"06. BW-EJECUCION";"07. VALIDACIÓN BAJAWARE";"08. CERRADA"},0),
 1,
 IF(
  MATCH(B100,{"01. ASIGNACION AREA";"02. MAPEO";"03. DESARROLLO";"04. VALIDA US";"05. VOBO US";"06. BW-EJECUCION";"07. VALIDACIÓN BAJAWARE";"08. CERRADA"},0)
  =
  MATCH(_xlfn.XLOOKUP(INDEX($B:$B, (ROW()-8)),'Relacion '!$E:$E,'Relacion '!$D:$D,""),{"01. ASIGNACION AREA";"02. MAPEO";"03. DESARROLLO";"04. VALIDA US";"05. VOBO US";"06. BW-EJECUCION";"07. VALIDACIÓN BAJAWARE";"08. CERRADA"},0),
  _xlfn.XLOOKUP(INDEX($B:$B, (ROW()-8)),'Relacion '!$E:$E,'Relacion '!#REF!,0),
  0
 )
)</f>
        <v>0</v>
      </c>
      <c r="I100" s="241">
        <f t="shared" ca="1" si="18"/>
        <v>1</v>
      </c>
      <c r="J100" s="241"/>
      <c r="K100" s="241"/>
      <c r="L100" s="238"/>
    </row>
    <row r="101" spans="2:12">
      <c r="B101" s="232" t="s">
        <v>518</v>
      </c>
      <c r="C101" s="86" t="s">
        <v>280</v>
      </c>
      <c r="D101" s="236" t="str">
        <f>_xlfn.XLOOKUP(B101,'Relacion '!$E:$E,'Relacion '!$D:$D,"")</f>
        <v>04. VALIDA US</v>
      </c>
      <c r="E101" s="233">
        <f t="shared" si="15"/>
        <v>117</v>
      </c>
      <c r="F101" s="234" cm="1">
        <f t="array" ref="F101">MIN(INDEX('Relacion '!$X$5:$AM$493,MATCH(INDEX($B:$B, (ROW()-0)),'Relacion '!$E$5:$E$493,0),0))</f>
        <v>46024</v>
      </c>
      <c r="G101" s="234" cm="1">
        <f t="array" ref="G101">MAX(INDEX('Relacion '!$X$5:$AM$493,MATCH(INDEX($B:$B, (ROW()-0)),'Relacion '!$E$5:$E$493,0),0))</f>
        <v>46141</v>
      </c>
      <c r="H101" s="235" t="e">
        <f>AVERAGE(H102:H109)</f>
        <v>#REF!</v>
      </c>
      <c r="I101" s="235">
        <f t="shared" ref="I101" ca="1" si="23">AVERAGE(I102:I109)</f>
        <v>1</v>
      </c>
      <c r="J101" s="236" t="str">
        <f>IF(ISNUMBER(SEARCH("Rocha", _xlfn.XLOOKUP(B101,'Relacion '!$E:$E,'Relacion '!$I:$I,""))), "Sí", "No")</f>
        <v>No</v>
      </c>
      <c r="K101" s="236" t="str">
        <f>IF(ISNUMBER(SEARCH("Rocha", _xlfn.XLOOKUP(B101,'Relacion '!$E:$E,'Relacion '!$I:$I,""))), "RMC", _xlfn.XLOOKUP(B101,'Relacion '!$E:$E,'Relacion '!$B:$B,""))</f>
        <v>Tesorería </v>
      </c>
      <c r="L101" s="236" t="str">
        <f>_xlfn.XLOOKUP(B101,'Relacion '!$E:$E,'Relacion '!$C:$C,"")</f>
        <v>Eduardo Cabral</v>
      </c>
    </row>
    <row r="102" spans="2:12" outlineLevel="1">
      <c r="B102" s="237" t="s">
        <v>654</v>
      </c>
      <c r="C102" s="237" t="s">
        <v>654</v>
      </c>
      <c r="D102" s="238" t="str">
        <f>_xlfn.XLOOKUP(B102,'Relacion '!$E:$E,'Relacion '!$D:$D,"")</f>
        <v/>
      </c>
      <c r="E102" s="239">
        <f t="shared" si="15"/>
        <v>59</v>
      </c>
      <c r="F102" s="240" cm="1">
        <f t="array" ref="F102">MIN(INDEX('Relacion '!$X$5:$Y$493,MATCH(INDEX($B:$B, (ROW()-1)),'Relacion '!$E$5:$E$493,0),0))</f>
        <v>46024</v>
      </c>
      <c r="G102" s="240" cm="1">
        <f t="array" ref="G102">MAX(INDEX('Relacion '!$X$5:$Y$493,MATCH(INDEX($B:$B, (ROW()-1)),'Relacion '!$E$5:$E$493,0),0))</f>
        <v>46083</v>
      </c>
      <c r="H102" s="241" cm="1">
        <f t="array" ref="H102">IF(
 MATCH(B102,{"01. ASIGNACION AREA";"02. MAPEO";"03. DESARROLLO";"04. VALIDA US";"05. VOBO US";"06. BW-EJECUCION";"07. VALIDACIÓN BAJAWARE";"08. CERRADA"},0)
 &lt;
 MATCH(_xlfn.XLOOKUP(INDEX($B:$B, (ROW()-1)),'Relacion '!$E:$E,'Relacion '!$D:$D,""),{"01. ASIGNACION AREA";"02. MAPEO";"03. DESARROLLO";"04. VALIDA US";"05. VOBO US";"06. BW-EJECUCION";"07. VALIDACIÓN BAJAWARE";"08. CERRADA"},0),
 1,
 IF(
  MATCH(B102,{"01. ASIGNACION AREA";"02. MAPEO";"03. DESARROLLO";"04. VALIDA US";"05. VOBO US";"06. BW-EJECUCION";"07. VALIDACIÓN BAJAWARE";"08. CERRADA"},0)
  =
  MATCH(_xlfn.XLOOKUP(INDEX($B:$B, (ROW()-1)),'Relacion '!$E:$E,'Relacion '!$D:$D,""),{"01. ASIGNACION AREA";"02. MAPEO";"03. DESARROLLO";"04. VALIDA US";"05. VOBO US";"06. BW-EJECUCION";"07. VALIDACIÓN BAJAWARE";"08. CERRADA"},0),
  _xlfn.XLOOKUP(INDEX($B:$B, (ROW()-1)),'Relacion '!$E:$E,'Relacion '!#REF!,0),
  0
 )
)</f>
        <v>1</v>
      </c>
      <c r="I102" s="241">
        <f t="shared" ref="I102" ca="1" si="24">IF(G102&lt;=TODAY(), 1, 0)</f>
        <v>1</v>
      </c>
      <c r="J102" s="241"/>
      <c r="K102" s="241"/>
      <c r="L102" s="238"/>
    </row>
    <row r="103" spans="2:12" outlineLevel="1">
      <c r="B103" s="237" t="s">
        <v>195</v>
      </c>
      <c r="C103" s="237" t="s">
        <v>195</v>
      </c>
      <c r="D103" s="238" t="str">
        <f>_xlfn.XLOOKUP(B103,'Relacion '!$E:$E,'Relacion '!$D:$D,"")</f>
        <v/>
      </c>
      <c r="E103" s="239">
        <f t="shared" si="15"/>
        <v>0</v>
      </c>
      <c r="F103" s="240" cm="1">
        <f t="array" ref="F103">MIN(INDEX('Relacion '!$Z$5:$AA$493,MATCH(INDEX($B:$B, (ROW()-2)),'Relacion '!$E$5:$E$493,0),0))</f>
        <v>46084</v>
      </c>
      <c r="G103" s="240" cm="1">
        <f t="array" ref="G103">MAX(INDEX('Relacion '!$Z$5:$AA$493,MATCH(INDEX($B:$B, (ROW()-2)),'Relacion '!$E$5:$E$493,0),0))</f>
        <v>46084</v>
      </c>
      <c r="H103" s="241" cm="1">
        <f t="array" ref="H103">IF(
 MATCH(B103,{"01. ASIGNACION AREA";"02. MAPEO";"03. DESARROLLO";"04. VALIDA US";"05. VOBO US";"06. BW-EJECUCION";"07. VALIDACIÓN BAJAWARE";"08. CERRADA"},0)
 &lt;
 MATCH(_xlfn.XLOOKUP(INDEX($B:$B, (ROW()-2)),'Relacion '!$E:$E,'Relacion '!$D:$D,""),{"01. ASIGNACION AREA";"02. MAPEO";"03. DESARROLLO";"04. VALIDA US";"05. VOBO US";"06. BW-EJECUCION";"07. VALIDACIÓN BAJAWARE";"08. CERRADA"},0),
 1,
 IF(
  MATCH(B103,{"01. ASIGNACION AREA";"02. MAPEO";"03. DESARROLLO";"04. VALIDA US";"05. VOBO US";"06. BW-EJECUCION";"07. VALIDACIÓN BAJAWARE";"08. CERRADA"},0)
  =
  MATCH(_xlfn.XLOOKUP(INDEX($B:$B, (ROW()-2)),'Relacion '!$E:$E,'Relacion '!$D:$D,""),{"01. ASIGNACION AREA";"02. MAPEO";"03. DESARROLLO";"04. VALIDA US";"05. VOBO US";"06. BW-EJECUCION";"07. VALIDACIÓN BAJAWARE";"08. CERRADA"},0),
  _xlfn.XLOOKUP(INDEX($B:$B, (ROW()-2)),'Relacion '!$E:$E,'Relacion '!#REF!,0),
  0
 )
)</f>
        <v>1</v>
      </c>
      <c r="I103" s="241">
        <f t="shared" ca="1" si="18"/>
        <v>1</v>
      </c>
      <c r="J103" s="241"/>
      <c r="K103" s="241"/>
      <c r="L103" s="238"/>
    </row>
    <row r="104" spans="2:12" outlineLevel="1">
      <c r="B104" s="237" t="s">
        <v>49</v>
      </c>
      <c r="C104" s="237" t="s">
        <v>49</v>
      </c>
      <c r="D104" s="238" t="str">
        <f>_xlfn.XLOOKUP(B104,'Relacion '!$E:$E,'Relacion '!$D:$D,"")</f>
        <v/>
      </c>
      <c r="E104" s="239">
        <f t="shared" si="15"/>
        <v>13</v>
      </c>
      <c r="F104" s="240" cm="1">
        <f t="array" ref="F104">MIN(INDEX('Relacion '!$AB$5:$AC$493,MATCH(INDEX($B:$B, (ROW()-3)),'Relacion '!$E$5:$E$493,0),0))</f>
        <v>46085</v>
      </c>
      <c r="G104" s="240" cm="1">
        <f t="array" ref="G104">MAX(INDEX('Relacion '!$AB$5:$AC$493,MATCH(INDEX($B:$B, (ROW()-3)),'Relacion '!$E$5:$E$493,0),0))</f>
        <v>46098</v>
      </c>
      <c r="H104" s="241" cm="1">
        <f t="array" ref="H104">IF(
 MATCH(B104,{"01. ASIGNACION AREA";"02. MAPEO";"03. DESARROLLO";"04. VALIDA US";"05. VOBO US";"06. BW-EJECUCION";"07. VALIDACIÓN BAJAWARE";"08. CERRADA"},0)
 &lt;
 MATCH(_xlfn.XLOOKUP(INDEX($B:$B, (ROW()-3)),'Relacion '!$E:$E,'Relacion '!$D:$D,""),{"01. ASIGNACION AREA";"02. MAPEO";"03. DESARROLLO";"04. VALIDA US";"05. VOBO US";"06. BW-EJECUCION";"07. VALIDACIÓN BAJAWARE";"08. CERRADA"},0),
 1,
 IF(
  MATCH(B104,{"01. ASIGNACION AREA";"02. MAPEO";"03. DESARROLLO";"04. VALIDA US";"05. VOBO US";"06. BW-EJECUCION";"07. VALIDACIÓN BAJAWARE";"08. CERRADA"},0)
  =
  MATCH(_xlfn.XLOOKUP(INDEX($B:$B, (ROW()-3)),'Relacion '!$E:$E,'Relacion '!$D:$D,""),{"01. ASIGNACION AREA";"02. MAPEO";"03. DESARROLLO";"04. VALIDA US";"05. VOBO US";"06. BW-EJECUCION";"07. VALIDACIÓN BAJAWARE";"08. CERRADA"},0),
  _xlfn.XLOOKUP(INDEX($B:$B, (ROW()-3)),'Relacion '!$E:$E,'Relacion '!#REF!,0),
  0
 )
)</f>
        <v>1</v>
      </c>
      <c r="I104" s="241">
        <f t="shared" ca="1" si="18"/>
        <v>1</v>
      </c>
      <c r="J104" s="241"/>
      <c r="K104" s="241"/>
      <c r="L104" s="238"/>
    </row>
    <row r="105" spans="2:12" outlineLevel="1">
      <c r="B105" s="237" t="s">
        <v>324</v>
      </c>
      <c r="C105" s="237" t="s">
        <v>324</v>
      </c>
      <c r="D105" s="238" t="str">
        <f>_xlfn.XLOOKUP(B105,'Relacion '!$E:$E,'Relacion '!$D:$D,"")</f>
        <v/>
      </c>
      <c r="E105" s="239">
        <f t="shared" si="15"/>
        <v>20</v>
      </c>
      <c r="F105" s="240" cm="1">
        <f t="array" ref="F105">MIN(INDEX('Relacion '!$AD$5:$AE$493,MATCH(INDEX($B:$B, (ROW()-4)),'Relacion '!$E$5:$E$493,0),0))</f>
        <v>46099</v>
      </c>
      <c r="G105" s="240" cm="1">
        <f t="array" ref="G105">MAX(INDEX('Relacion '!$AD$5:$AE$493,MATCH(INDEX($B:$B, (ROW()-4)),'Relacion '!$E$5:$E$493,0),0))</f>
        <v>46119</v>
      </c>
      <c r="H105" s="241" t="e" cm="1">
        <f t="array" ref="H105">IF(
 MATCH(B105,{"01. ASIGNACION AREA";"02. MAPEO";"03. DESARROLLO";"04. VALIDA US";"05. VOBO US";"06. BW-EJECUCION";"07. VALIDACIÓN BAJAWARE";"08. CERRADA"},0)
 &lt;
 MATCH(_xlfn.XLOOKUP(INDEX($B:$B, (ROW()-4)),'Relacion '!$E:$E,'Relacion '!$D:$D,""),{"01. ASIGNACION AREA";"02. MAPEO";"03. DESARROLLO";"04. VALIDA US";"05. VOBO US";"06. BW-EJECUCION";"07. VALIDACIÓN BAJAWARE";"08. CERRADA"},0),
 1,
 IF(
  MATCH(B105,{"01. ASIGNACION AREA";"02. MAPEO";"03. DESARROLLO";"04. VALIDA US";"05. VOBO US";"06. BW-EJECUCION";"07. VALIDACIÓN BAJAWARE";"08. CERRADA"},0)
  =
  MATCH(_xlfn.XLOOKUP(INDEX($B:$B, (ROW()-4)),'Relacion '!$E:$E,'Relacion '!$D:$D,""),{"01. ASIGNACION AREA";"02. MAPEO";"03. DESARROLLO";"04. VALIDA US";"05. VOBO US";"06. BW-EJECUCION";"07. VALIDACIÓN BAJAWARE";"08. CERRADA"},0),
  _xlfn.XLOOKUP(INDEX($B:$B, (ROW()-4)),'Relacion '!$E:$E,'Relacion '!#REF!,0),
  0
 )
)</f>
        <v>#REF!</v>
      </c>
      <c r="I105" s="241">
        <f t="shared" ca="1" si="18"/>
        <v>1</v>
      </c>
      <c r="J105" s="241"/>
      <c r="K105" s="241"/>
      <c r="L105" s="238"/>
    </row>
    <row r="106" spans="2:12" outlineLevel="1">
      <c r="B106" s="237" t="s">
        <v>320</v>
      </c>
      <c r="C106" s="237" t="s">
        <v>320</v>
      </c>
      <c r="D106" s="238" t="str">
        <f>_xlfn.XLOOKUP(B106,'Relacion '!$E:$E,'Relacion '!$D:$D,"")</f>
        <v/>
      </c>
      <c r="E106" s="239">
        <f t="shared" si="15"/>
        <v>1</v>
      </c>
      <c r="F106" s="240" cm="1">
        <f t="array" ref="F106">MIN(INDEX('Relacion '!$AF$5:$AG$493,MATCH(INDEX($B:$B, (ROW()-5)),'Relacion '!$E$5:$E$493,0),0))</f>
        <v>46119</v>
      </c>
      <c r="G106" s="240" cm="1">
        <f t="array" ref="G106">MAX(INDEX('Relacion '!$AF$5:$AG$493,MATCH(INDEX($B:$B, (ROW()-5)),'Relacion '!$E$5:$E$493,0),0))</f>
        <v>46120</v>
      </c>
      <c r="H106" s="241" cm="1">
        <f t="array" ref="H106">IF(
 MATCH(B106,{"01. ASIGNACION AREA";"02. MAPEO";"03. DESARROLLO";"04. VALIDA US";"05. VOBO US";"06. BW-EJECUCION";"07. VALIDACIÓN BAJAWARE";"08. CERRADA"},0)
 &lt;
 MATCH(_xlfn.XLOOKUP(INDEX($B:$B, (ROW()-5)),'Relacion '!$E:$E,'Relacion '!$D:$D,""),{"01. ASIGNACION AREA";"02. MAPEO";"03. DESARROLLO";"04. VALIDA US";"05. VOBO US";"06. BW-EJECUCION";"07. VALIDACIÓN BAJAWARE";"08. CERRADA"},0),
 1,
 IF(
  MATCH(B106,{"01. ASIGNACION AREA";"02. MAPEO";"03. DESARROLLO";"04. VALIDA US";"05. VOBO US";"06. BW-EJECUCION";"07. VALIDACIÓN BAJAWARE";"08. CERRADA"},0)
  =
  MATCH(_xlfn.XLOOKUP(INDEX($B:$B, (ROW()-5)),'Relacion '!$E:$E,'Relacion '!$D:$D,""),{"01. ASIGNACION AREA";"02. MAPEO";"03. DESARROLLO";"04. VALIDA US";"05. VOBO US";"06. BW-EJECUCION";"07. VALIDACIÓN BAJAWARE";"08. CERRADA"},0),
  _xlfn.XLOOKUP(INDEX($B:$B, (ROW()-5)),'Relacion '!$E:$E,'Relacion '!#REF!,0),
  0
 )
)</f>
        <v>0</v>
      </c>
      <c r="I106" s="241">
        <f t="shared" ca="1" si="18"/>
        <v>1</v>
      </c>
      <c r="J106" s="241"/>
      <c r="K106" s="241"/>
      <c r="L106" s="238"/>
    </row>
    <row r="107" spans="2:12" outlineLevel="1">
      <c r="B107" s="237" t="s">
        <v>710</v>
      </c>
      <c r="C107" s="237" t="s">
        <v>710</v>
      </c>
      <c r="D107" s="238" t="str">
        <f>_xlfn.XLOOKUP(B107,'Relacion '!$E:$E,'Relacion '!$D:$D,"")</f>
        <v/>
      </c>
      <c r="E107" s="239">
        <f t="shared" si="15"/>
        <v>4</v>
      </c>
      <c r="F107" s="240" cm="1">
        <f t="array" ref="F107">MIN(INDEX('Relacion '!$AH$5:$AI$493,MATCH(INDEX($B:$B, (ROW()-6)),'Relacion '!$E$5:$E$493,0),0))</f>
        <v>46121</v>
      </c>
      <c r="G107" s="240" cm="1">
        <f t="array" ref="G107">MAX(INDEX('Relacion '!$AH$5:$AI$493,MATCH(INDEX($B:$B, (ROW()-6)),'Relacion '!$E$5:$E$493,0),0))</f>
        <v>46125</v>
      </c>
      <c r="H107" s="241" cm="1">
        <f t="array" ref="H107">IF(
 MATCH(B107,{"01. ASIGNACION AREA";"02. MAPEO";"03. DESARROLLO";"04. VALIDA US";"05. VOBO US";"06. BW-EJECUCION";"07. VALIDACIÓN BAJAWARE";"08. CERRADA"},0)
 &lt;
 MATCH(_xlfn.XLOOKUP(INDEX($B:$B, (ROW()-6)),'Relacion '!$E:$E,'Relacion '!$D:$D,""),{"01. ASIGNACION AREA";"02. MAPEO";"03. DESARROLLO";"04. VALIDA US";"05. VOBO US";"06. BW-EJECUCION";"07. VALIDACIÓN BAJAWARE";"08. CERRADA"},0),
 1,
 IF(
  MATCH(B107,{"01. ASIGNACION AREA";"02. MAPEO";"03. DESARROLLO";"04. VALIDA US";"05. VOBO US";"06. BW-EJECUCION";"07. VALIDACIÓN BAJAWARE";"08. CERRADA"},0)
  =
  MATCH(_xlfn.XLOOKUP(INDEX($B:$B, (ROW()-6)),'Relacion '!$E:$E,'Relacion '!$D:$D,""),{"01. ASIGNACION AREA";"02. MAPEO";"03. DESARROLLO";"04. VALIDA US";"05. VOBO US";"06. BW-EJECUCION";"07. VALIDACIÓN BAJAWARE";"08. CERRADA"},0),
  _xlfn.XLOOKUP(INDEX($B:$B, (ROW()-6)),'Relacion '!$E:$E,'Relacion '!#REF!,0),
  0
 )
)</f>
        <v>0</v>
      </c>
      <c r="I107" s="241">
        <f t="shared" ca="1" si="18"/>
        <v>1</v>
      </c>
      <c r="J107" s="241"/>
      <c r="K107" s="241"/>
      <c r="L107" s="238"/>
    </row>
    <row r="108" spans="2:12" outlineLevel="1">
      <c r="B108" s="237" t="s">
        <v>655</v>
      </c>
      <c r="C108" s="237" t="s">
        <v>655</v>
      </c>
      <c r="D108" s="238" t="str">
        <f>_xlfn.XLOOKUP(B108,'Relacion '!$E:$E,'Relacion '!$D:$D,"")</f>
        <v/>
      </c>
      <c r="E108" s="239">
        <f t="shared" si="15"/>
        <v>14</v>
      </c>
      <c r="F108" s="240" cm="1">
        <f t="array" ref="F108">MIN(INDEX('Relacion '!$AJ$5:$AK$493,MATCH(INDEX($B:$B, (ROW()-7)),'Relacion '!$E$5:$E$493,0),0))</f>
        <v>46126</v>
      </c>
      <c r="G108" s="240" cm="1">
        <f t="array" ref="G108">MAX(INDEX('Relacion '!$AJ$5:$AK$493,MATCH(INDEX($B:$B, (ROW()-7)),'Relacion '!$E$5:$E$493,0),0))</f>
        <v>46140</v>
      </c>
      <c r="H108" s="241" cm="1">
        <f t="array" ref="H108">IF(
 MATCH(B108,{"01. ASIGNACION AREA";"02. MAPEO";"03. DESARROLLO";"04. VALIDA US";"05. VOBO US";"06. BW-EJECUCION";"07. VALIDACIÓN BAJAWARE";"08. CERRADA"},0)
 &lt;
 MATCH(_xlfn.XLOOKUP(INDEX($B:$B, (ROW()-7)),'Relacion '!$E:$E,'Relacion '!$D:$D,""),{"01. ASIGNACION AREA";"02. MAPEO";"03. DESARROLLO";"04. VALIDA US";"05. VOBO US";"06. BW-EJECUCION";"07. VALIDACIÓN BAJAWARE";"08. CERRADA"},0),
 1,
 IF(
  MATCH(B108,{"01. ASIGNACION AREA";"02. MAPEO";"03. DESARROLLO";"04. VALIDA US";"05. VOBO US";"06. BW-EJECUCION";"07. VALIDACIÓN BAJAWARE";"08. CERRADA"},0)
  =
  MATCH(_xlfn.XLOOKUP(INDEX($B:$B, (ROW()-7)),'Relacion '!$E:$E,'Relacion '!$D:$D,""),{"01. ASIGNACION AREA";"02. MAPEO";"03. DESARROLLO";"04. VALIDA US";"05. VOBO US";"06. BW-EJECUCION";"07. VALIDACIÓN BAJAWARE";"08. CERRADA"},0),
  _xlfn.XLOOKUP(INDEX($B:$B, (ROW()-7)),'Relacion '!$E:$E,'Relacion '!#REF!,0),
  0
 )
)</f>
        <v>0</v>
      </c>
      <c r="I108" s="241">
        <f t="shared" ca="1" si="18"/>
        <v>1</v>
      </c>
      <c r="J108" s="241"/>
      <c r="K108" s="241"/>
      <c r="L108" s="238"/>
    </row>
    <row r="109" spans="2:12" outlineLevel="1">
      <c r="B109" s="237" t="s">
        <v>656</v>
      </c>
      <c r="C109" s="237" t="s">
        <v>656</v>
      </c>
      <c r="D109" s="238" t="str">
        <f>_xlfn.XLOOKUP(B109,'Relacion '!$E:$E,'Relacion '!$D:$D,"")</f>
        <v/>
      </c>
      <c r="E109" s="239">
        <f t="shared" si="15"/>
        <v>0</v>
      </c>
      <c r="F109" s="240" cm="1">
        <f t="array" ref="F109">MIN(INDEX('Relacion '!$AL$5:$AM$493,MATCH(INDEX($B:$B, (ROW()-8)),'Relacion '!$E$5:$E$493,0),0))</f>
        <v>46141</v>
      </c>
      <c r="G109" s="240" cm="1">
        <f t="array" ref="G109">MAX(INDEX('Relacion '!$AL$5:$AM$493,MATCH(INDEX($B:$B, (ROW()-8)),'Relacion '!$E$5:$E$493,0),0))</f>
        <v>46141</v>
      </c>
      <c r="H109" s="241" cm="1">
        <f t="array" ref="H109">IF(
 MATCH(B109,{"01. ASIGNACION AREA";"02. MAPEO";"03. DESARROLLO";"04. VALIDA US";"05. VOBO US";"06. BW-EJECUCION";"07. VALIDACIÓN BAJAWARE";"08. CERRADA"},0)
 &lt;
 MATCH(_xlfn.XLOOKUP(INDEX($B:$B, (ROW()-8)),'Relacion '!$E:$E,'Relacion '!$D:$D,""),{"01. ASIGNACION AREA";"02. MAPEO";"03. DESARROLLO";"04. VALIDA US";"05. VOBO US";"06. BW-EJECUCION";"07. VALIDACIÓN BAJAWARE";"08. CERRADA"},0),
 1,
 IF(
  MATCH(B109,{"01. ASIGNACION AREA";"02. MAPEO";"03. DESARROLLO";"04. VALIDA US";"05. VOBO US";"06. BW-EJECUCION";"07. VALIDACIÓN BAJAWARE";"08. CERRADA"},0)
  =
  MATCH(_xlfn.XLOOKUP(INDEX($B:$B, (ROW()-8)),'Relacion '!$E:$E,'Relacion '!$D:$D,""),{"01. ASIGNACION AREA";"02. MAPEO";"03. DESARROLLO";"04. VALIDA US";"05. VOBO US";"06. BW-EJECUCION";"07. VALIDACIÓN BAJAWARE";"08. CERRADA"},0),
  _xlfn.XLOOKUP(INDEX($B:$B, (ROW()-8)),'Relacion '!$E:$E,'Relacion '!#REF!,0),
  0
 )
)</f>
        <v>0</v>
      </c>
      <c r="I109" s="241">
        <f t="shared" ca="1" si="18"/>
        <v>1</v>
      </c>
      <c r="J109" s="241"/>
      <c r="K109" s="241"/>
      <c r="L109" s="238"/>
    </row>
    <row r="110" spans="2:12">
      <c r="B110" s="232" t="s">
        <v>519</v>
      </c>
      <c r="C110" s="86" t="s">
        <v>280</v>
      </c>
      <c r="D110" s="236" t="str">
        <f>_xlfn.XLOOKUP(B110,'Relacion '!$E:$E,'Relacion '!$D:$D,"")</f>
        <v>04. VALIDA US</v>
      </c>
      <c r="E110" s="233">
        <f t="shared" si="15"/>
        <v>117</v>
      </c>
      <c r="F110" s="234" cm="1">
        <f t="array" ref="F110">MIN(INDEX('Relacion '!$X$5:$AM$493,MATCH(INDEX($B:$B, (ROW()-0)),'Relacion '!$E$5:$E$493,0),0))</f>
        <v>46024</v>
      </c>
      <c r="G110" s="234" cm="1">
        <f t="array" ref="G110">MAX(INDEX('Relacion '!$X$5:$AM$493,MATCH(INDEX($B:$B, (ROW()-0)),'Relacion '!$E$5:$E$493,0),0))</f>
        <v>46141</v>
      </c>
      <c r="H110" s="235" t="e">
        <f>AVERAGE(H111:H118)</f>
        <v>#REF!</v>
      </c>
      <c r="I110" s="235">
        <f t="shared" ref="I110" ca="1" si="25">AVERAGE(I111:I118)</f>
        <v>1</v>
      </c>
      <c r="J110" s="236" t="str">
        <f>IF(ISNUMBER(SEARCH("Rocha", _xlfn.XLOOKUP(B110,'Relacion '!$E:$E,'Relacion '!$I:$I,""))), "Sí", "No")</f>
        <v>No</v>
      </c>
      <c r="K110" s="236" t="str">
        <f>IF(ISNUMBER(SEARCH("Rocha", _xlfn.XLOOKUP(B110,'Relacion '!$E:$E,'Relacion '!$I:$I,""))), "RMC", _xlfn.XLOOKUP(B110,'Relacion '!$E:$E,'Relacion '!$B:$B,""))</f>
        <v>Tesorería </v>
      </c>
      <c r="L110" s="236" t="str">
        <f>_xlfn.XLOOKUP(B110,'Relacion '!$E:$E,'Relacion '!$C:$C,"")</f>
        <v>Eduardo Cabral</v>
      </c>
    </row>
    <row r="111" spans="2:12" outlineLevel="1">
      <c r="B111" s="237" t="s">
        <v>654</v>
      </c>
      <c r="C111" s="237" t="s">
        <v>654</v>
      </c>
      <c r="D111" s="238" t="str">
        <f>_xlfn.XLOOKUP(B111,'Relacion '!$E:$E,'Relacion '!$D:$D,"")</f>
        <v/>
      </c>
      <c r="E111" s="239">
        <f t="shared" si="15"/>
        <v>59</v>
      </c>
      <c r="F111" s="240" cm="1">
        <f t="array" ref="F111">MIN(INDEX('Relacion '!$X$5:$Y$493,MATCH(INDEX($B:$B, (ROW()-1)),'Relacion '!$E$5:$E$493,0),0))</f>
        <v>46024</v>
      </c>
      <c r="G111" s="240" cm="1">
        <f t="array" ref="G111">MAX(INDEX('Relacion '!$X$5:$Y$493,MATCH(INDEX($B:$B, (ROW()-1)),'Relacion '!$E$5:$E$493,0),0))</f>
        <v>46083</v>
      </c>
      <c r="H111" s="241" cm="1">
        <f t="array" ref="H111">IF(
 MATCH(B111,{"01. ASIGNACION AREA";"02. MAPEO";"03. DESARROLLO";"04. VALIDA US";"05. VOBO US";"06. BW-EJECUCION";"07. VALIDACIÓN BAJAWARE";"08. CERRADA"},0)
 &lt;
 MATCH(_xlfn.XLOOKUP(INDEX($B:$B, (ROW()-1)),'Relacion '!$E:$E,'Relacion '!$D:$D,""),{"01. ASIGNACION AREA";"02. MAPEO";"03. DESARROLLO";"04. VALIDA US";"05. VOBO US";"06. BW-EJECUCION";"07. VALIDACIÓN BAJAWARE";"08. CERRADA"},0),
 1,
 IF(
  MATCH(B111,{"01. ASIGNACION AREA";"02. MAPEO";"03. DESARROLLO";"04. VALIDA US";"05. VOBO US";"06. BW-EJECUCION";"07. VALIDACIÓN BAJAWARE";"08. CERRADA"},0)
  =
  MATCH(_xlfn.XLOOKUP(INDEX($B:$B, (ROW()-1)),'Relacion '!$E:$E,'Relacion '!$D:$D,""),{"01. ASIGNACION AREA";"02. MAPEO";"03. DESARROLLO";"04. VALIDA US";"05. VOBO US";"06. BW-EJECUCION";"07. VALIDACIÓN BAJAWARE";"08. CERRADA"},0),
  _xlfn.XLOOKUP(INDEX($B:$B, (ROW()-1)),'Relacion '!$E:$E,'Relacion '!#REF!,0),
  0
 )
)</f>
        <v>1</v>
      </c>
      <c r="I111" s="241">
        <f t="shared" ref="I111" ca="1" si="26">IF(G111&lt;=TODAY(), 1, 0)</f>
        <v>1</v>
      </c>
      <c r="J111" s="241"/>
      <c r="K111" s="241"/>
      <c r="L111" s="238"/>
    </row>
    <row r="112" spans="2:12" outlineLevel="1">
      <c r="B112" s="237" t="s">
        <v>195</v>
      </c>
      <c r="C112" s="237" t="s">
        <v>195</v>
      </c>
      <c r="D112" s="238" t="str">
        <f>_xlfn.XLOOKUP(B112,'Relacion '!$E:$E,'Relacion '!$D:$D,"")</f>
        <v/>
      </c>
      <c r="E112" s="239">
        <f t="shared" si="15"/>
        <v>0</v>
      </c>
      <c r="F112" s="240" cm="1">
        <f t="array" ref="F112">MIN(INDEX('Relacion '!$Z$5:$AA$493,MATCH(INDEX($B:$B, (ROW()-2)),'Relacion '!$E$5:$E$493,0),0))</f>
        <v>46084</v>
      </c>
      <c r="G112" s="240" cm="1">
        <f t="array" ref="G112">MAX(INDEX('Relacion '!$Z$5:$AA$493,MATCH(INDEX($B:$B, (ROW()-2)),'Relacion '!$E$5:$E$493,0),0))</f>
        <v>46084</v>
      </c>
      <c r="H112" s="241" cm="1">
        <f t="array" ref="H112">IF(
 MATCH(B112,{"01. ASIGNACION AREA";"02. MAPEO";"03. DESARROLLO";"04. VALIDA US";"05. VOBO US";"06. BW-EJECUCION";"07. VALIDACIÓN BAJAWARE";"08. CERRADA"},0)
 &lt;
 MATCH(_xlfn.XLOOKUP(INDEX($B:$B, (ROW()-2)),'Relacion '!$E:$E,'Relacion '!$D:$D,""),{"01. ASIGNACION AREA";"02. MAPEO";"03. DESARROLLO";"04. VALIDA US";"05. VOBO US";"06. BW-EJECUCION";"07. VALIDACIÓN BAJAWARE";"08. CERRADA"},0),
 1,
 IF(
  MATCH(B112,{"01. ASIGNACION AREA";"02. MAPEO";"03. DESARROLLO";"04. VALIDA US";"05. VOBO US";"06. BW-EJECUCION";"07. VALIDACIÓN BAJAWARE";"08. CERRADA"},0)
  =
  MATCH(_xlfn.XLOOKUP(INDEX($B:$B, (ROW()-2)),'Relacion '!$E:$E,'Relacion '!$D:$D,""),{"01. ASIGNACION AREA";"02. MAPEO";"03. DESARROLLO";"04. VALIDA US";"05. VOBO US";"06. BW-EJECUCION";"07. VALIDACIÓN BAJAWARE";"08. CERRADA"},0),
  _xlfn.XLOOKUP(INDEX($B:$B, (ROW()-2)),'Relacion '!$E:$E,'Relacion '!#REF!,0),
  0
 )
)</f>
        <v>1</v>
      </c>
      <c r="I112" s="241">
        <f t="shared" ca="1" si="18"/>
        <v>1</v>
      </c>
      <c r="J112" s="241"/>
      <c r="K112" s="241"/>
      <c r="L112" s="238"/>
    </row>
    <row r="113" spans="2:12" outlineLevel="1">
      <c r="B113" s="237" t="s">
        <v>49</v>
      </c>
      <c r="C113" s="237" t="s">
        <v>49</v>
      </c>
      <c r="D113" s="238" t="str">
        <f>_xlfn.XLOOKUP(B113,'Relacion '!$E:$E,'Relacion '!$D:$D,"")</f>
        <v/>
      </c>
      <c r="E113" s="239">
        <f t="shared" si="15"/>
        <v>13</v>
      </c>
      <c r="F113" s="240" cm="1">
        <f t="array" ref="F113">MIN(INDEX('Relacion '!$AB$5:$AC$493,MATCH(INDEX($B:$B, (ROW()-3)),'Relacion '!$E$5:$E$493,0),0))</f>
        <v>46085</v>
      </c>
      <c r="G113" s="240" cm="1">
        <f t="array" ref="G113">MAX(INDEX('Relacion '!$AB$5:$AC$493,MATCH(INDEX($B:$B, (ROW()-3)),'Relacion '!$E$5:$E$493,0),0))</f>
        <v>46098</v>
      </c>
      <c r="H113" s="241" cm="1">
        <f t="array" ref="H113">IF(
 MATCH(B113,{"01. ASIGNACION AREA";"02. MAPEO";"03. DESARROLLO";"04. VALIDA US";"05. VOBO US";"06. BW-EJECUCION";"07. VALIDACIÓN BAJAWARE";"08. CERRADA"},0)
 &lt;
 MATCH(_xlfn.XLOOKUP(INDEX($B:$B, (ROW()-3)),'Relacion '!$E:$E,'Relacion '!$D:$D,""),{"01. ASIGNACION AREA";"02. MAPEO";"03. DESARROLLO";"04. VALIDA US";"05. VOBO US";"06. BW-EJECUCION";"07. VALIDACIÓN BAJAWARE";"08. CERRADA"},0),
 1,
 IF(
  MATCH(B113,{"01. ASIGNACION AREA";"02. MAPEO";"03. DESARROLLO";"04. VALIDA US";"05. VOBO US";"06. BW-EJECUCION";"07. VALIDACIÓN BAJAWARE";"08. CERRADA"},0)
  =
  MATCH(_xlfn.XLOOKUP(INDEX($B:$B, (ROW()-3)),'Relacion '!$E:$E,'Relacion '!$D:$D,""),{"01. ASIGNACION AREA";"02. MAPEO";"03. DESARROLLO";"04. VALIDA US";"05. VOBO US";"06. BW-EJECUCION";"07. VALIDACIÓN BAJAWARE";"08. CERRADA"},0),
  _xlfn.XLOOKUP(INDEX($B:$B, (ROW()-3)),'Relacion '!$E:$E,'Relacion '!#REF!,0),
  0
 )
)</f>
        <v>1</v>
      </c>
      <c r="I113" s="241">
        <f t="shared" ca="1" si="18"/>
        <v>1</v>
      </c>
      <c r="J113" s="241"/>
      <c r="K113" s="241"/>
      <c r="L113" s="238"/>
    </row>
    <row r="114" spans="2:12" outlineLevel="1">
      <c r="B114" s="237" t="s">
        <v>324</v>
      </c>
      <c r="C114" s="237" t="s">
        <v>324</v>
      </c>
      <c r="D114" s="238" t="str">
        <f>_xlfn.XLOOKUP(B114,'Relacion '!$E:$E,'Relacion '!$D:$D,"")</f>
        <v/>
      </c>
      <c r="E114" s="239">
        <f t="shared" si="15"/>
        <v>20</v>
      </c>
      <c r="F114" s="240" cm="1">
        <f t="array" ref="F114">MIN(INDEX('Relacion '!$AD$5:$AE$493,MATCH(INDEX($B:$B, (ROW()-4)),'Relacion '!$E$5:$E$493,0),0))</f>
        <v>46099</v>
      </c>
      <c r="G114" s="240" cm="1">
        <f t="array" ref="G114">MAX(INDEX('Relacion '!$AD$5:$AE$493,MATCH(INDEX($B:$B, (ROW()-4)),'Relacion '!$E$5:$E$493,0),0))</f>
        <v>46119</v>
      </c>
      <c r="H114" s="241" t="e" cm="1">
        <f t="array" ref="H114">IF(
 MATCH(B114,{"01. ASIGNACION AREA";"02. MAPEO";"03. DESARROLLO";"04. VALIDA US";"05. VOBO US";"06. BW-EJECUCION";"07. VALIDACIÓN BAJAWARE";"08. CERRADA"},0)
 &lt;
 MATCH(_xlfn.XLOOKUP(INDEX($B:$B, (ROW()-4)),'Relacion '!$E:$E,'Relacion '!$D:$D,""),{"01. ASIGNACION AREA";"02. MAPEO";"03. DESARROLLO";"04. VALIDA US";"05. VOBO US";"06. BW-EJECUCION";"07. VALIDACIÓN BAJAWARE";"08. CERRADA"},0),
 1,
 IF(
  MATCH(B114,{"01. ASIGNACION AREA";"02. MAPEO";"03. DESARROLLO";"04. VALIDA US";"05. VOBO US";"06. BW-EJECUCION";"07. VALIDACIÓN BAJAWARE";"08. CERRADA"},0)
  =
  MATCH(_xlfn.XLOOKUP(INDEX($B:$B, (ROW()-4)),'Relacion '!$E:$E,'Relacion '!$D:$D,""),{"01. ASIGNACION AREA";"02. MAPEO";"03. DESARROLLO";"04. VALIDA US";"05. VOBO US";"06. BW-EJECUCION";"07. VALIDACIÓN BAJAWARE";"08. CERRADA"},0),
  _xlfn.XLOOKUP(INDEX($B:$B, (ROW()-4)),'Relacion '!$E:$E,'Relacion '!#REF!,0),
  0
 )
)</f>
        <v>#REF!</v>
      </c>
      <c r="I114" s="241">
        <f t="shared" ca="1" si="18"/>
        <v>1</v>
      </c>
      <c r="J114" s="241"/>
      <c r="K114" s="241"/>
      <c r="L114" s="238"/>
    </row>
    <row r="115" spans="2:12" outlineLevel="1">
      <c r="B115" s="237" t="s">
        <v>320</v>
      </c>
      <c r="C115" s="237" t="s">
        <v>320</v>
      </c>
      <c r="D115" s="238" t="str">
        <f>_xlfn.XLOOKUP(B115,'Relacion '!$E:$E,'Relacion '!$D:$D,"")</f>
        <v/>
      </c>
      <c r="E115" s="239">
        <f t="shared" si="15"/>
        <v>1</v>
      </c>
      <c r="F115" s="240" cm="1">
        <f t="array" ref="F115">MIN(INDEX('Relacion '!$AF$5:$AG$493,MATCH(INDEX($B:$B, (ROW()-5)),'Relacion '!$E$5:$E$493,0),0))</f>
        <v>46119</v>
      </c>
      <c r="G115" s="240" cm="1">
        <f t="array" ref="G115">MAX(INDEX('Relacion '!$AF$5:$AG$493,MATCH(INDEX($B:$B, (ROW()-5)),'Relacion '!$E$5:$E$493,0),0))</f>
        <v>46120</v>
      </c>
      <c r="H115" s="241" cm="1">
        <f t="array" ref="H115">IF(
 MATCH(B115,{"01. ASIGNACION AREA";"02. MAPEO";"03. DESARROLLO";"04. VALIDA US";"05. VOBO US";"06. BW-EJECUCION";"07. VALIDACIÓN BAJAWARE";"08. CERRADA"},0)
 &lt;
 MATCH(_xlfn.XLOOKUP(INDEX($B:$B, (ROW()-5)),'Relacion '!$E:$E,'Relacion '!$D:$D,""),{"01. ASIGNACION AREA";"02. MAPEO";"03. DESARROLLO";"04. VALIDA US";"05. VOBO US";"06. BW-EJECUCION";"07. VALIDACIÓN BAJAWARE";"08. CERRADA"},0),
 1,
 IF(
  MATCH(B115,{"01. ASIGNACION AREA";"02. MAPEO";"03. DESARROLLO";"04. VALIDA US";"05. VOBO US";"06. BW-EJECUCION";"07. VALIDACIÓN BAJAWARE";"08. CERRADA"},0)
  =
  MATCH(_xlfn.XLOOKUP(INDEX($B:$B, (ROW()-5)),'Relacion '!$E:$E,'Relacion '!$D:$D,""),{"01. ASIGNACION AREA";"02. MAPEO";"03. DESARROLLO";"04. VALIDA US";"05. VOBO US";"06. BW-EJECUCION";"07. VALIDACIÓN BAJAWARE";"08. CERRADA"},0),
  _xlfn.XLOOKUP(INDEX($B:$B, (ROW()-5)),'Relacion '!$E:$E,'Relacion '!#REF!,0),
  0
 )
)</f>
        <v>0</v>
      </c>
      <c r="I115" s="241">
        <f t="shared" ca="1" si="18"/>
        <v>1</v>
      </c>
      <c r="J115" s="241"/>
      <c r="K115" s="241"/>
      <c r="L115" s="238"/>
    </row>
    <row r="116" spans="2:12" outlineLevel="1">
      <c r="B116" s="237" t="s">
        <v>710</v>
      </c>
      <c r="C116" s="237" t="s">
        <v>710</v>
      </c>
      <c r="D116" s="238" t="str">
        <f>_xlfn.XLOOKUP(B116,'Relacion '!$E:$E,'Relacion '!$D:$D,"")</f>
        <v/>
      </c>
      <c r="E116" s="239">
        <f t="shared" si="15"/>
        <v>4</v>
      </c>
      <c r="F116" s="240" cm="1">
        <f t="array" ref="F116">MIN(INDEX('Relacion '!$AH$5:$AI$493,MATCH(INDEX($B:$B, (ROW()-6)),'Relacion '!$E$5:$E$493,0),0))</f>
        <v>46121</v>
      </c>
      <c r="G116" s="240" cm="1">
        <f t="array" ref="G116">MAX(INDEX('Relacion '!$AH$5:$AI$493,MATCH(INDEX($B:$B, (ROW()-6)),'Relacion '!$E$5:$E$493,0),0))</f>
        <v>46125</v>
      </c>
      <c r="H116" s="241" cm="1">
        <f t="array" ref="H116">IF(
 MATCH(B116,{"01. ASIGNACION AREA";"02. MAPEO";"03. DESARROLLO";"04. VALIDA US";"05. VOBO US";"06. BW-EJECUCION";"07. VALIDACIÓN BAJAWARE";"08. CERRADA"},0)
 &lt;
 MATCH(_xlfn.XLOOKUP(INDEX($B:$B, (ROW()-6)),'Relacion '!$E:$E,'Relacion '!$D:$D,""),{"01. ASIGNACION AREA";"02. MAPEO";"03. DESARROLLO";"04. VALIDA US";"05. VOBO US";"06. BW-EJECUCION";"07. VALIDACIÓN BAJAWARE";"08. CERRADA"},0),
 1,
 IF(
  MATCH(B116,{"01. ASIGNACION AREA";"02. MAPEO";"03. DESARROLLO";"04. VALIDA US";"05. VOBO US";"06. BW-EJECUCION";"07. VALIDACIÓN BAJAWARE";"08. CERRADA"},0)
  =
  MATCH(_xlfn.XLOOKUP(INDEX($B:$B, (ROW()-6)),'Relacion '!$E:$E,'Relacion '!$D:$D,""),{"01. ASIGNACION AREA";"02. MAPEO";"03. DESARROLLO";"04. VALIDA US";"05. VOBO US";"06. BW-EJECUCION";"07. VALIDACIÓN BAJAWARE";"08. CERRADA"},0),
  _xlfn.XLOOKUP(INDEX($B:$B, (ROW()-6)),'Relacion '!$E:$E,'Relacion '!#REF!,0),
  0
 )
)</f>
        <v>0</v>
      </c>
      <c r="I116" s="241">
        <f t="shared" ca="1" si="18"/>
        <v>1</v>
      </c>
      <c r="J116" s="241"/>
      <c r="K116" s="241"/>
      <c r="L116" s="238"/>
    </row>
    <row r="117" spans="2:12" outlineLevel="1">
      <c r="B117" s="237" t="s">
        <v>655</v>
      </c>
      <c r="C117" s="237" t="s">
        <v>655</v>
      </c>
      <c r="D117" s="238" t="str">
        <f>_xlfn.XLOOKUP(B117,'Relacion '!$E:$E,'Relacion '!$D:$D,"")</f>
        <v/>
      </c>
      <c r="E117" s="239">
        <f t="shared" si="15"/>
        <v>14</v>
      </c>
      <c r="F117" s="240" cm="1">
        <f t="array" ref="F117">MIN(INDEX('Relacion '!$AJ$5:$AK$493,MATCH(INDEX($B:$B, (ROW()-7)),'Relacion '!$E$5:$E$493,0),0))</f>
        <v>46126</v>
      </c>
      <c r="G117" s="240" cm="1">
        <f t="array" ref="G117">MAX(INDEX('Relacion '!$AJ$5:$AK$493,MATCH(INDEX($B:$B, (ROW()-7)),'Relacion '!$E$5:$E$493,0),0))</f>
        <v>46140</v>
      </c>
      <c r="H117" s="241" cm="1">
        <f t="array" ref="H117">IF(
 MATCH(B117,{"01. ASIGNACION AREA";"02. MAPEO";"03. DESARROLLO";"04. VALIDA US";"05. VOBO US";"06. BW-EJECUCION";"07. VALIDACIÓN BAJAWARE";"08. CERRADA"},0)
 &lt;
 MATCH(_xlfn.XLOOKUP(INDEX($B:$B, (ROW()-7)),'Relacion '!$E:$E,'Relacion '!$D:$D,""),{"01. ASIGNACION AREA";"02. MAPEO";"03. DESARROLLO";"04. VALIDA US";"05. VOBO US";"06. BW-EJECUCION";"07. VALIDACIÓN BAJAWARE";"08. CERRADA"},0),
 1,
 IF(
  MATCH(B117,{"01. ASIGNACION AREA";"02. MAPEO";"03. DESARROLLO";"04. VALIDA US";"05. VOBO US";"06. BW-EJECUCION";"07. VALIDACIÓN BAJAWARE";"08. CERRADA"},0)
  =
  MATCH(_xlfn.XLOOKUP(INDEX($B:$B, (ROW()-7)),'Relacion '!$E:$E,'Relacion '!$D:$D,""),{"01. ASIGNACION AREA";"02. MAPEO";"03. DESARROLLO";"04. VALIDA US";"05. VOBO US";"06. BW-EJECUCION";"07. VALIDACIÓN BAJAWARE";"08. CERRADA"},0),
  _xlfn.XLOOKUP(INDEX($B:$B, (ROW()-7)),'Relacion '!$E:$E,'Relacion '!#REF!,0),
  0
 )
)</f>
        <v>0</v>
      </c>
      <c r="I117" s="241">
        <f t="shared" ca="1" si="18"/>
        <v>1</v>
      </c>
      <c r="J117" s="241"/>
      <c r="K117" s="241"/>
      <c r="L117" s="238"/>
    </row>
    <row r="118" spans="2:12" outlineLevel="1">
      <c r="B118" s="237" t="s">
        <v>656</v>
      </c>
      <c r="C118" s="237" t="s">
        <v>656</v>
      </c>
      <c r="D118" s="238" t="str">
        <f>_xlfn.XLOOKUP(B118,'Relacion '!$E:$E,'Relacion '!$D:$D,"")</f>
        <v/>
      </c>
      <c r="E118" s="239">
        <f t="shared" si="15"/>
        <v>0</v>
      </c>
      <c r="F118" s="240" cm="1">
        <f t="array" ref="F118">MIN(INDEX('Relacion '!$AL$5:$AM$493,MATCH(INDEX($B:$B, (ROW()-8)),'Relacion '!$E$5:$E$493,0),0))</f>
        <v>46141</v>
      </c>
      <c r="G118" s="240" cm="1">
        <f t="array" ref="G118">MAX(INDEX('Relacion '!$AL$5:$AM$493,MATCH(INDEX($B:$B, (ROW()-8)),'Relacion '!$E$5:$E$493,0),0))</f>
        <v>46141</v>
      </c>
      <c r="H118" s="241" cm="1">
        <f t="array" ref="H118">IF(
 MATCH(B118,{"01. ASIGNACION AREA";"02. MAPEO";"03. DESARROLLO";"04. VALIDA US";"05. VOBO US";"06. BW-EJECUCION";"07. VALIDACIÓN BAJAWARE";"08. CERRADA"},0)
 &lt;
 MATCH(_xlfn.XLOOKUP(INDEX($B:$B, (ROW()-8)),'Relacion '!$E:$E,'Relacion '!$D:$D,""),{"01. ASIGNACION AREA";"02. MAPEO";"03. DESARROLLO";"04. VALIDA US";"05. VOBO US";"06. BW-EJECUCION";"07. VALIDACIÓN BAJAWARE";"08. CERRADA"},0),
 1,
 IF(
  MATCH(B118,{"01. ASIGNACION AREA";"02. MAPEO";"03. DESARROLLO";"04. VALIDA US";"05. VOBO US";"06. BW-EJECUCION";"07. VALIDACIÓN BAJAWARE";"08. CERRADA"},0)
  =
  MATCH(_xlfn.XLOOKUP(INDEX($B:$B, (ROW()-8)),'Relacion '!$E:$E,'Relacion '!$D:$D,""),{"01. ASIGNACION AREA";"02. MAPEO";"03. DESARROLLO";"04. VALIDA US";"05. VOBO US";"06. BW-EJECUCION";"07. VALIDACIÓN BAJAWARE";"08. CERRADA"},0),
  _xlfn.XLOOKUP(INDEX($B:$B, (ROW()-8)),'Relacion '!$E:$E,'Relacion '!#REF!,0),
  0
 )
)</f>
        <v>0</v>
      </c>
      <c r="I118" s="241">
        <f t="shared" ca="1" si="18"/>
        <v>1</v>
      </c>
      <c r="J118" s="241"/>
      <c r="K118" s="241"/>
      <c r="L118" s="238"/>
    </row>
    <row r="119" spans="2:12">
      <c r="B119" s="232" t="s">
        <v>520</v>
      </c>
      <c r="C119" s="86" t="s">
        <v>280</v>
      </c>
      <c r="D119" s="236" t="str">
        <f>_xlfn.XLOOKUP(B119,'Relacion '!$E:$E,'Relacion '!$D:$D,"")</f>
        <v>04. VALIDA US</v>
      </c>
      <c r="E119" s="233">
        <f t="shared" si="15"/>
        <v>117</v>
      </c>
      <c r="F119" s="234" cm="1">
        <f t="array" ref="F119">MIN(INDEX('Relacion '!$X$5:$AM$493,MATCH(INDEX($B:$B, (ROW()-0)),'Relacion '!$E$5:$E$493,0),0))</f>
        <v>46024</v>
      </c>
      <c r="G119" s="234" cm="1">
        <f t="array" ref="G119">MAX(INDEX('Relacion '!$X$5:$AM$493,MATCH(INDEX($B:$B, (ROW()-0)),'Relacion '!$E$5:$E$493,0),0))</f>
        <v>46141</v>
      </c>
      <c r="H119" s="235" t="e">
        <f>AVERAGE(H120:H127)</f>
        <v>#REF!</v>
      </c>
      <c r="I119" s="235">
        <f t="shared" ref="I119" ca="1" si="27">AVERAGE(I120:I127)</f>
        <v>1</v>
      </c>
      <c r="J119" s="236" t="str">
        <f>IF(ISNUMBER(SEARCH("Rocha", _xlfn.XLOOKUP(B119,'Relacion '!$E:$E,'Relacion '!$I:$I,""))), "Sí", "No")</f>
        <v>No</v>
      </c>
      <c r="K119" s="236" t="str">
        <f>IF(ISNUMBER(SEARCH("Rocha", _xlfn.XLOOKUP(B119,'Relacion '!$E:$E,'Relacion '!$I:$I,""))), "RMC", _xlfn.XLOOKUP(B119,'Relacion '!$E:$E,'Relacion '!$B:$B,""))</f>
        <v>Tesorería </v>
      </c>
      <c r="L119" s="236" t="str">
        <f>_xlfn.XLOOKUP(B119,'Relacion '!$E:$E,'Relacion '!$C:$C,"")</f>
        <v>Eduardo Cabral</v>
      </c>
    </row>
    <row r="120" spans="2:12" outlineLevel="1">
      <c r="B120" s="237" t="s">
        <v>654</v>
      </c>
      <c r="C120" s="237" t="s">
        <v>654</v>
      </c>
      <c r="D120" s="238" t="str">
        <f>_xlfn.XLOOKUP(B120,'Relacion '!$E:$E,'Relacion '!$D:$D,"")</f>
        <v/>
      </c>
      <c r="E120" s="239">
        <f t="shared" si="15"/>
        <v>59</v>
      </c>
      <c r="F120" s="240" cm="1">
        <f t="array" ref="F120">MIN(INDEX('Relacion '!$X$5:$Y$493,MATCH(INDEX($B:$B, (ROW()-1)),'Relacion '!$E$5:$E$493,0),0))</f>
        <v>46024</v>
      </c>
      <c r="G120" s="240" cm="1">
        <f t="array" ref="G120">MAX(INDEX('Relacion '!$X$5:$Y$493,MATCH(INDEX($B:$B, (ROW()-1)),'Relacion '!$E$5:$E$493,0),0))</f>
        <v>46083</v>
      </c>
      <c r="H120" s="241" cm="1">
        <f t="array" ref="H120">IF(
 MATCH(B120,{"01. ASIGNACION AREA";"02. MAPEO";"03. DESARROLLO";"04. VALIDA US";"05. VOBO US";"06. BW-EJECUCION";"07. VALIDACIÓN BAJAWARE";"08. CERRADA"},0)
 &lt;
 MATCH(_xlfn.XLOOKUP(INDEX($B:$B, (ROW()-1)),'Relacion '!$E:$E,'Relacion '!$D:$D,""),{"01. ASIGNACION AREA";"02. MAPEO";"03. DESARROLLO";"04. VALIDA US";"05. VOBO US";"06. BW-EJECUCION";"07. VALIDACIÓN BAJAWARE";"08. CERRADA"},0),
 1,
 IF(
  MATCH(B120,{"01. ASIGNACION AREA";"02. MAPEO";"03. DESARROLLO";"04. VALIDA US";"05. VOBO US";"06. BW-EJECUCION";"07. VALIDACIÓN BAJAWARE";"08. CERRADA"},0)
  =
  MATCH(_xlfn.XLOOKUP(INDEX($B:$B, (ROW()-1)),'Relacion '!$E:$E,'Relacion '!$D:$D,""),{"01. ASIGNACION AREA";"02. MAPEO";"03. DESARROLLO";"04. VALIDA US";"05. VOBO US";"06. BW-EJECUCION";"07. VALIDACIÓN BAJAWARE";"08. CERRADA"},0),
  _xlfn.XLOOKUP(INDEX($B:$B, (ROW()-1)),'Relacion '!$E:$E,'Relacion '!#REF!,0),
  0
 )
)</f>
        <v>1</v>
      </c>
      <c r="I120" s="241">
        <f t="shared" ref="I120" ca="1" si="28">IF(G120&lt;=TODAY(), 1, 0)</f>
        <v>1</v>
      </c>
      <c r="J120" s="241"/>
      <c r="K120" s="241"/>
      <c r="L120" s="238"/>
    </row>
    <row r="121" spans="2:12" outlineLevel="1">
      <c r="B121" s="237" t="s">
        <v>195</v>
      </c>
      <c r="C121" s="237" t="s">
        <v>195</v>
      </c>
      <c r="D121" s="238" t="str">
        <f>_xlfn.XLOOKUP(B121,'Relacion '!$E:$E,'Relacion '!$D:$D,"")</f>
        <v/>
      </c>
      <c r="E121" s="239">
        <f t="shared" si="15"/>
        <v>0</v>
      </c>
      <c r="F121" s="240" cm="1">
        <f t="array" ref="F121">MIN(INDEX('Relacion '!$Z$5:$AA$493,MATCH(INDEX($B:$B, (ROW()-2)),'Relacion '!$E$5:$E$493,0),0))</f>
        <v>46084</v>
      </c>
      <c r="G121" s="240" cm="1">
        <f t="array" ref="G121">MAX(INDEX('Relacion '!$Z$5:$AA$493,MATCH(INDEX($B:$B, (ROW()-2)),'Relacion '!$E$5:$E$493,0),0))</f>
        <v>46084</v>
      </c>
      <c r="H121" s="241" cm="1">
        <f t="array" ref="H121">IF(
 MATCH(B121,{"01. ASIGNACION AREA";"02. MAPEO";"03. DESARROLLO";"04. VALIDA US";"05. VOBO US";"06. BW-EJECUCION";"07. VALIDACIÓN BAJAWARE";"08. CERRADA"},0)
 &lt;
 MATCH(_xlfn.XLOOKUP(INDEX($B:$B, (ROW()-2)),'Relacion '!$E:$E,'Relacion '!$D:$D,""),{"01. ASIGNACION AREA";"02. MAPEO";"03. DESARROLLO";"04. VALIDA US";"05. VOBO US";"06. BW-EJECUCION";"07. VALIDACIÓN BAJAWARE";"08. CERRADA"},0),
 1,
 IF(
  MATCH(B121,{"01. ASIGNACION AREA";"02. MAPEO";"03. DESARROLLO";"04. VALIDA US";"05. VOBO US";"06. BW-EJECUCION";"07. VALIDACIÓN BAJAWARE";"08. CERRADA"},0)
  =
  MATCH(_xlfn.XLOOKUP(INDEX($B:$B, (ROW()-2)),'Relacion '!$E:$E,'Relacion '!$D:$D,""),{"01. ASIGNACION AREA";"02. MAPEO";"03. DESARROLLO";"04. VALIDA US";"05. VOBO US";"06. BW-EJECUCION";"07. VALIDACIÓN BAJAWARE";"08. CERRADA"},0),
  _xlfn.XLOOKUP(INDEX($B:$B, (ROW()-2)),'Relacion '!$E:$E,'Relacion '!#REF!,0),
  0
 )
)</f>
        <v>1</v>
      </c>
      <c r="I121" s="241">
        <f t="shared" ca="1" si="18"/>
        <v>1</v>
      </c>
      <c r="J121" s="241"/>
      <c r="K121" s="241"/>
      <c r="L121" s="238"/>
    </row>
    <row r="122" spans="2:12" outlineLevel="1">
      <c r="B122" s="237" t="s">
        <v>49</v>
      </c>
      <c r="C122" s="237" t="s">
        <v>49</v>
      </c>
      <c r="D122" s="238" t="str">
        <f>_xlfn.XLOOKUP(B122,'Relacion '!$E:$E,'Relacion '!$D:$D,"")</f>
        <v/>
      </c>
      <c r="E122" s="239">
        <f t="shared" si="15"/>
        <v>13</v>
      </c>
      <c r="F122" s="240" cm="1">
        <f t="array" ref="F122">MIN(INDEX('Relacion '!$AB$5:$AC$493,MATCH(INDEX($B:$B, (ROW()-3)),'Relacion '!$E$5:$E$493,0),0))</f>
        <v>46085</v>
      </c>
      <c r="G122" s="240" cm="1">
        <f t="array" ref="G122">MAX(INDEX('Relacion '!$AB$5:$AC$493,MATCH(INDEX($B:$B, (ROW()-3)),'Relacion '!$E$5:$E$493,0),0))</f>
        <v>46098</v>
      </c>
      <c r="H122" s="241" cm="1">
        <f t="array" ref="H122">IF(
 MATCH(B122,{"01. ASIGNACION AREA";"02. MAPEO";"03. DESARROLLO";"04. VALIDA US";"05. VOBO US";"06. BW-EJECUCION";"07. VALIDACIÓN BAJAWARE";"08. CERRADA"},0)
 &lt;
 MATCH(_xlfn.XLOOKUP(INDEX($B:$B, (ROW()-3)),'Relacion '!$E:$E,'Relacion '!$D:$D,""),{"01. ASIGNACION AREA";"02. MAPEO";"03. DESARROLLO";"04. VALIDA US";"05. VOBO US";"06. BW-EJECUCION";"07. VALIDACIÓN BAJAWARE";"08. CERRADA"},0),
 1,
 IF(
  MATCH(B122,{"01. ASIGNACION AREA";"02. MAPEO";"03. DESARROLLO";"04. VALIDA US";"05. VOBO US";"06. BW-EJECUCION";"07. VALIDACIÓN BAJAWARE";"08. CERRADA"},0)
  =
  MATCH(_xlfn.XLOOKUP(INDEX($B:$B, (ROW()-3)),'Relacion '!$E:$E,'Relacion '!$D:$D,""),{"01. ASIGNACION AREA";"02. MAPEO";"03. DESARROLLO";"04. VALIDA US";"05. VOBO US";"06. BW-EJECUCION";"07. VALIDACIÓN BAJAWARE";"08. CERRADA"},0),
  _xlfn.XLOOKUP(INDEX($B:$B, (ROW()-3)),'Relacion '!$E:$E,'Relacion '!#REF!,0),
  0
 )
)</f>
        <v>1</v>
      </c>
      <c r="I122" s="241">
        <f t="shared" ca="1" si="18"/>
        <v>1</v>
      </c>
      <c r="J122" s="241"/>
      <c r="K122" s="241"/>
      <c r="L122" s="238"/>
    </row>
    <row r="123" spans="2:12" outlineLevel="1">
      <c r="B123" s="237" t="s">
        <v>324</v>
      </c>
      <c r="C123" s="237" t="s">
        <v>324</v>
      </c>
      <c r="D123" s="238" t="str">
        <f>_xlfn.XLOOKUP(B123,'Relacion '!$E:$E,'Relacion '!$D:$D,"")</f>
        <v/>
      </c>
      <c r="E123" s="239">
        <f t="shared" si="15"/>
        <v>20</v>
      </c>
      <c r="F123" s="240" cm="1">
        <f t="array" ref="F123">MIN(INDEX('Relacion '!$AD$5:$AE$493,MATCH(INDEX($B:$B, (ROW()-4)),'Relacion '!$E$5:$E$493,0),0))</f>
        <v>46099</v>
      </c>
      <c r="G123" s="240" cm="1">
        <f t="array" ref="G123">MAX(INDEX('Relacion '!$AD$5:$AE$493,MATCH(INDEX($B:$B, (ROW()-4)),'Relacion '!$E$5:$E$493,0),0))</f>
        <v>46119</v>
      </c>
      <c r="H123" s="241" t="e" cm="1">
        <f t="array" ref="H123">IF(
 MATCH(B123,{"01. ASIGNACION AREA";"02. MAPEO";"03. DESARROLLO";"04. VALIDA US";"05. VOBO US";"06. BW-EJECUCION";"07. VALIDACIÓN BAJAWARE";"08. CERRADA"},0)
 &lt;
 MATCH(_xlfn.XLOOKUP(INDEX($B:$B, (ROW()-4)),'Relacion '!$E:$E,'Relacion '!$D:$D,""),{"01. ASIGNACION AREA";"02. MAPEO";"03. DESARROLLO";"04. VALIDA US";"05. VOBO US";"06. BW-EJECUCION";"07. VALIDACIÓN BAJAWARE";"08. CERRADA"},0),
 1,
 IF(
  MATCH(B123,{"01. ASIGNACION AREA";"02. MAPEO";"03. DESARROLLO";"04. VALIDA US";"05. VOBO US";"06. BW-EJECUCION";"07. VALIDACIÓN BAJAWARE";"08. CERRADA"},0)
  =
  MATCH(_xlfn.XLOOKUP(INDEX($B:$B, (ROW()-4)),'Relacion '!$E:$E,'Relacion '!$D:$D,""),{"01. ASIGNACION AREA";"02. MAPEO";"03. DESARROLLO";"04. VALIDA US";"05. VOBO US";"06. BW-EJECUCION";"07. VALIDACIÓN BAJAWARE";"08. CERRADA"},0),
  _xlfn.XLOOKUP(INDEX($B:$B, (ROW()-4)),'Relacion '!$E:$E,'Relacion '!#REF!,0),
  0
 )
)</f>
        <v>#REF!</v>
      </c>
      <c r="I123" s="241">
        <f t="shared" ca="1" si="18"/>
        <v>1</v>
      </c>
      <c r="J123" s="241"/>
      <c r="K123" s="241"/>
      <c r="L123" s="238"/>
    </row>
    <row r="124" spans="2:12" outlineLevel="1">
      <c r="B124" s="237" t="s">
        <v>320</v>
      </c>
      <c r="C124" s="237" t="s">
        <v>320</v>
      </c>
      <c r="D124" s="238" t="str">
        <f>_xlfn.XLOOKUP(B124,'Relacion '!$E:$E,'Relacion '!$D:$D,"")</f>
        <v/>
      </c>
      <c r="E124" s="239">
        <f t="shared" si="15"/>
        <v>1</v>
      </c>
      <c r="F124" s="240" cm="1">
        <f t="array" ref="F124">MIN(INDEX('Relacion '!$AF$5:$AG$493,MATCH(INDEX($B:$B, (ROW()-5)),'Relacion '!$E$5:$E$493,0),0))</f>
        <v>46119</v>
      </c>
      <c r="G124" s="240" cm="1">
        <f t="array" ref="G124">MAX(INDEX('Relacion '!$AF$5:$AG$493,MATCH(INDEX($B:$B, (ROW()-5)),'Relacion '!$E$5:$E$493,0),0))</f>
        <v>46120</v>
      </c>
      <c r="H124" s="241" cm="1">
        <f t="array" ref="H124">IF(
 MATCH(B124,{"01. ASIGNACION AREA";"02. MAPEO";"03. DESARROLLO";"04. VALIDA US";"05. VOBO US";"06. BW-EJECUCION";"07. VALIDACIÓN BAJAWARE";"08. CERRADA"},0)
 &lt;
 MATCH(_xlfn.XLOOKUP(INDEX($B:$B, (ROW()-5)),'Relacion '!$E:$E,'Relacion '!$D:$D,""),{"01. ASIGNACION AREA";"02. MAPEO";"03. DESARROLLO";"04. VALIDA US";"05. VOBO US";"06. BW-EJECUCION";"07. VALIDACIÓN BAJAWARE";"08. CERRADA"},0),
 1,
 IF(
  MATCH(B124,{"01. ASIGNACION AREA";"02. MAPEO";"03. DESARROLLO";"04. VALIDA US";"05. VOBO US";"06. BW-EJECUCION";"07. VALIDACIÓN BAJAWARE";"08. CERRADA"},0)
  =
  MATCH(_xlfn.XLOOKUP(INDEX($B:$B, (ROW()-5)),'Relacion '!$E:$E,'Relacion '!$D:$D,""),{"01. ASIGNACION AREA";"02. MAPEO";"03. DESARROLLO";"04. VALIDA US";"05. VOBO US";"06. BW-EJECUCION";"07. VALIDACIÓN BAJAWARE";"08. CERRADA"},0),
  _xlfn.XLOOKUP(INDEX($B:$B, (ROW()-5)),'Relacion '!$E:$E,'Relacion '!#REF!,0),
  0
 )
)</f>
        <v>0</v>
      </c>
      <c r="I124" s="241">
        <f t="shared" ca="1" si="18"/>
        <v>1</v>
      </c>
      <c r="J124" s="241"/>
      <c r="K124" s="241"/>
      <c r="L124" s="238"/>
    </row>
    <row r="125" spans="2:12" outlineLevel="1">
      <c r="B125" s="237" t="s">
        <v>710</v>
      </c>
      <c r="C125" s="237" t="s">
        <v>710</v>
      </c>
      <c r="D125" s="238" t="str">
        <f>_xlfn.XLOOKUP(B125,'Relacion '!$E:$E,'Relacion '!$D:$D,"")</f>
        <v/>
      </c>
      <c r="E125" s="239">
        <f t="shared" si="15"/>
        <v>4</v>
      </c>
      <c r="F125" s="240" cm="1">
        <f t="array" ref="F125">MIN(INDEX('Relacion '!$AH$5:$AI$493,MATCH(INDEX($B:$B, (ROW()-6)),'Relacion '!$E$5:$E$493,0),0))</f>
        <v>46121</v>
      </c>
      <c r="G125" s="240" cm="1">
        <f t="array" ref="G125">MAX(INDEX('Relacion '!$AH$5:$AI$493,MATCH(INDEX($B:$B, (ROW()-6)),'Relacion '!$E$5:$E$493,0),0))</f>
        <v>46125</v>
      </c>
      <c r="H125" s="241" cm="1">
        <f t="array" ref="H125">IF(
 MATCH(B125,{"01. ASIGNACION AREA";"02. MAPEO";"03. DESARROLLO";"04. VALIDA US";"05. VOBO US";"06. BW-EJECUCION";"07. VALIDACIÓN BAJAWARE";"08. CERRADA"},0)
 &lt;
 MATCH(_xlfn.XLOOKUP(INDEX($B:$B, (ROW()-6)),'Relacion '!$E:$E,'Relacion '!$D:$D,""),{"01. ASIGNACION AREA";"02. MAPEO";"03. DESARROLLO";"04. VALIDA US";"05. VOBO US";"06. BW-EJECUCION";"07. VALIDACIÓN BAJAWARE";"08. CERRADA"},0),
 1,
 IF(
  MATCH(B125,{"01. ASIGNACION AREA";"02. MAPEO";"03. DESARROLLO";"04. VALIDA US";"05. VOBO US";"06. BW-EJECUCION";"07. VALIDACIÓN BAJAWARE";"08. CERRADA"},0)
  =
  MATCH(_xlfn.XLOOKUP(INDEX($B:$B, (ROW()-6)),'Relacion '!$E:$E,'Relacion '!$D:$D,""),{"01. ASIGNACION AREA";"02. MAPEO";"03. DESARROLLO";"04. VALIDA US";"05. VOBO US";"06. BW-EJECUCION";"07. VALIDACIÓN BAJAWARE";"08. CERRADA"},0),
  _xlfn.XLOOKUP(INDEX($B:$B, (ROW()-6)),'Relacion '!$E:$E,'Relacion '!#REF!,0),
  0
 )
)</f>
        <v>0</v>
      </c>
      <c r="I125" s="241">
        <f t="shared" ca="1" si="18"/>
        <v>1</v>
      </c>
      <c r="J125" s="241"/>
      <c r="K125" s="241"/>
      <c r="L125" s="238"/>
    </row>
    <row r="126" spans="2:12" outlineLevel="1">
      <c r="B126" s="237" t="s">
        <v>655</v>
      </c>
      <c r="C126" s="237" t="s">
        <v>655</v>
      </c>
      <c r="D126" s="238" t="str">
        <f>_xlfn.XLOOKUP(B126,'Relacion '!$E:$E,'Relacion '!$D:$D,"")</f>
        <v/>
      </c>
      <c r="E126" s="239">
        <f t="shared" si="15"/>
        <v>14</v>
      </c>
      <c r="F126" s="240" cm="1">
        <f t="array" ref="F126">MIN(INDEX('Relacion '!$AJ$5:$AK$493,MATCH(INDEX($B:$B, (ROW()-7)),'Relacion '!$E$5:$E$493,0),0))</f>
        <v>46126</v>
      </c>
      <c r="G126" s="240" cm="1">
        <f t="array" ref="G126">MAX(INDEX('Relacion '!$AJ$5:$AK$493,MATCH(INDEX($B:$B, (ROW()-7)),'Relacion '!$E$5:$E$493,0),0))</f>
        <v>46140</v>
      </c>
      <c r="H126" s="241" cm="1">
        <f t="array" ref="H126">IF(
 MATCH(B126,{"01. ASIGNACION AREA";"02. MAPEO";"03. DESARROLLO";"04. VALIDA US";"05. VOBO US";"06. BW-EJECUCION";"07. VALIDACIÓN BAJAWARE";"08. CERRADA"},0)
 &lt;
 MATCH(_xlfn.XLOOKUP(INDEX($B:$B, (ROW()-7)),'Relacion '!$E:$E,'Relacion '!$D:$D,""),{"01. ASIGNACION AREA";"02. MAPEO";"03. DESARROLLO";"04. VALIDA US";"05. VOBO US";"06. BW-EJECUCION";"07. VALIDACIÓN BAJAWARE";"08. CERRADA"},0),
 1,
 IF(
  MATCH(B126,{"01. ASIGNACION AREA";"02. MAPEO";"03. DESARROLLO";"04. VALIDA US";"05. VOBO US";"06. BW-EJECUCION";"07. VALIDACIÓN BAJAWARE";"08. CERRADA"},0)
  =
  MATCH(_xlfn.XLOOKUP(INDEX($B:$B, (ROW()-7)),'Relacion '!$E:$E,'Relacion '!$D:$D,""),{"01. ASIGNACION AREA";"02. MAPEO";"03. DESARROLLO";"04. VALIDA US";"05. VOBO US";"06. BW-EJECUCION";"07. VALIDACIÓN BAJAWARE";"08. CERRADA"},0),
  _xlfn.XLOOKUP(INDEX($B:$B, (ROW()-7)),'Relacion '!$E:$E,'Relacion '!#REF!,0),
  0
 )
)</f>
        <v>0</v>
      </c>
      <c r="I126" s="241">
        <f t="shared" ca="1" si="18"/>
        <v>1</v>
      </c>
      <c r="J126" s="241"/>
      <c r="K126" s="241"/>
      <c r="L126" s="238"/>
    </row>
    <row r="127" spans="2:12" outlineLevel="1">
      <c r="B127" s="237" t="s">
        <v>656</v>
      </c>
      <c r="C127" s="237" t="s">
        <v>656</v>
      </c>
      <c r="D127" s="238" t="str">
        <f>_xlfn.XLOOKUP(B127,'Relacion '!$E:$E,'Relacion '!$D:$D,"")</f>
        <v/>
      </c>
      <c r="E127" s="239">
        <f t="shared" si="15"/>
        <v>0</v>
      </c>
      <c r="F127" s="240" cm="1">
        <f t="array" ref="F127">MIN(INDEX('Relacion '!$AL$5:$AM$493,MATCH(INDEX($B:$B, (ROW()-8)),'Relacion '!$E$5:$E$493,0),0))</f>
        <v>46141</v>
      </c>
      <c r="G127" s="240" cm="1">
        <f t="array" ref="G127">MAX(INDEX('Relacion '!$AL$5:$AM$493,MATCH(INDEX($B:$B, (ROW()-8)),'Relacion '!$E$5:$E$493,0),0))</f>
        <v>46141</v>
      </c>
      <c r="H127" s="241" cm="1">
        <f t="array" ref="H127">IF(
 MATCH(B127,{"01. ASIGNACION AREA";"02. MAPEO";"03. DESARROLLO";"04. VALIDA US";"05. VOBO US";"06. BW-EJECUCION";"07. VALIDACIÓN BAJAWARE";"08. CERRADA"},0)
 &lt;
 MATCH(_xlfn.XLOOKUP(INDEX($B:$B, (ROW()-8)),'Relacion '!$E:$E,'Relacion '!$D:$D,""),{"01. ASIGNACION AREA";"02. MAPEO";"03. DESARROLLO";"04. VALIDA US";"05. VOBO US";"06. BW-EJECUCION";"07. VALIDACIÓN BAJAWARE";"08. CERRADA"},0),
 1,
 IF(
  MATCH(B127,{"01. ASIGNACION AREA";"02. MAPEO";"03. DESARROLLO";"04. VALIDA US";"05. VOBO US";"06. BW-EJECUCION";"07. VALIDACIÓN BAJAWARE";"08. CERRADA"},0)
  =
  MATCH(_xlfn.XLOOKUP(INDEX($B:$B, (ROW()-8)),'Relacion '!$E:$E,'Relacion '!$D:$D,""),{"01. ASIGNACION AREA";"02. MAPEO";"03. DESARROLLO";"04. VALIDA US";"05. VOBO US";"06. BW-EJECUCION";"07. VALIDACIÓN BAJAWARE";"08. CERRADA"},0),
  _xlfn.XLOOKUP(INDEX($B:$B, (ROW()-8)),'Relacion '!$E:$E,'Relacion '!#REF!,0),
  0
 )
)</f>
        <v>0</v>
      </c>
      <c r="I127" s="241">
        <f t="shared" ca="1" si="18"/>
        <v>1</v>
      </c>
      <c r="J127" s="241"/>
      <c r="K127" s="241"/>
      <c r="L127" s="238"/>
    </row>
    <row r="128" spans="2:12">
      <c r="B128" s="232" t="s">
        <v>413</v>
      </c>
      <c r="C128" s="168" t="s">
        <v>414</v>
      </c>
      <c r="D128" s="236" t="str">
        <f>_xlfn.XLOOKUP(B128,'Relacion '!$E:$E,'Relacion '!$D:$D,"")</f>
        <v>04. VALIDA US</v>
      </c>
      <c r="E128" s="233">
        <f t="shared" si="15"/>
        <v>482</v>
      </c>
      <c r="F128" s="234" cm="1">
        <f t="array" ref="F128">MIN(INDEX('Relacion '!$X$5:$AM$493,MATCH(INDEX($B:$B, (ROW()-0)),'Relacion '!$E$5:$E$493,0),0))</f>
        <v>45659</v>
      </c>
      <c r="G128" s="234" cm="1">
        <f t="array" ref="G128">MAX(INDEX('Relacion '!$X$5:$AM$493,MATCH(INDEX($B:$B, (ROW()-0)),'Relacion '!$E$5:$E$493,0),0))</f>
        <v>46141</v>
      </c>
      <c r="H128" s="235" t="e">
        <f>AVERAGE(H129:H136)</f>
        <v>#REF!</v>
      </c>
      <c r="I128" s="235">
        <f t="shared" ref="I128" ca="1" si="29">AVERAGE(I129:I136)</f>
        <v>1</v>
      </c>
      <c r="J128" s="236" t="str">
        <f>IF(ISNUMBER(SEARCH("Rocha", _xlfn.XLOOKUP(B128,'Relacion '!$E:$E,'Relacion '!$I:$I,""))), "Sí", "No")</f>
        <v>No</v>
      </c>
      <c r="K128" s="236" t="str">
        <f>IF(ISNUMBER(SEARCH("Rocha", _xlfn.XLOOKUP(B128,'Relacion '!$E:$E,'Relacion '!$I:$I,""))), "RMC", _xlfn.XLOOKUP(B128,'Relacion '!$E:$E,'Relacion '!$B:$B,""))</f>
        <v>Operaciones Captacion</v>
      </c>
      <c r="L128" s="236" t="str">
        <f>_xlfn.XLOOKUP(B128,'Relacion '!$E:$E,'Relacion '!$C:$C,"")</f>
        <v>Luis Alberto</v>
      </c>
    </row>
    <row r="129" spans="2:12" outlineLevel="1">
      <c r="B129" s="237" t="s">
        <v>654</v>
      </c>
      <c r="C129" s="237" t="s">
        <v>654</v>
      </c>
      <c r="D129" s="238" t="str">
        <f>_xlfn.XLOOKUP(B129,'Relacion '!$E:$E,'Relacion '!$D:$D,"")</f>
        <v/>
      </c>
      <c r="E129" s="239">
        <f t="shared" si="15"/>
        <v>424</v>
      </c>
      <c r="F129" s="240" cm="1">
        <f t="array" ref="F129">MIN(INDEX('Relacion '!$X$5:$Y$493,MATCH(INDEX($B:$B, (ROW()-1)),'Relacion '!$E$5:$E$493,0),0))</f>
        <v>45659</v>
      </c>
      <c r="G129" s="240" cm="1">
        <f t="array" ref="G129">MAX(INDEX('Relacion '!$X$5:$Y$493,MATCH(INDEX($B:$B, (ROW()-1)),'Relacion '!$E$5:$E$493,0),0))</f>
        <v>46083</v>
      </c>
      <c r="H129" s="241" cm="1">
        <f t="array" ref="H129">IF(
 MATCH(B129,{"01. ASIGNACION AREA";"02. MAPEO";"03. DESARROLLO";"04. VALIDA US";"05. VOBO US";"06. BW-EJECUCION";"07. VALIDACIÓN BAJAWARE";"08. CERRADA"},0)
 &lt;
 MATCH(_xlfn.XLOOKUP(INDEX($B:$B, (ROW()-1)),'Relacion '!$E:$E,'Relacion '!$D:$D,""),{"01. ASIGNACION AREA";"02. MAPEO";"03. DESARROLLO";"04. VALIDA US";"05. VOBO US";"06. BW-EJECUCION";"07. VALIDACIÓN BAJAWARE";"08. CERRADA"},0),
 1,
 IF(
  MATCH(B129,{"01. ASIGNACION AREA";"02. MAPEO";"03. DESARROLLO";"04. VALIDA US";"05. VOBO US";"06. BW-EJECUCION";"07. VALIDACIÓN BAJAWARE";"08. CERRADA"},0)
  =
  MATCH(_xlfn.XLOOKUP(INDEX($B:$B, (ROW()-1)),'Relacion '!$E:$E,'Relacion '!$D:$D,""),{"01. ASIGNACION AREA";"02. MAPEO";"03. DESARROLLO";"04. VALIDA US";"05. VOBO US";"06. BW-EJECUCION";"07. VALIDACIÓN BAJAWARE";"08. CERRADA"},0),
  _xlfn.XLOOKUP(INDEX($B:$B, (ROW()-1)),'Relacion '!$E:$E,'Relacion '!#REF!,0),
  0
 )
)</f>
        <v>1</v>
      </c>
      <c r="I129" s="241">
        <f t="shared" ref="I129" ca="1" si="30">IF(G129&lt;=TODAY(), 1, 0)</f>
        <v>1</v>
      </c>
      <c r="J129" s="241"/>
      <c r="K129" s="241"/>
      <c r="L129" s="238"/>
    </row>
    <row r="130" spans="2:12" outlineLevel="1">
      <c r="B130" s="237" t="s">
        <v>195</v>
      </c>
      <c r="C130" s="237" t="s">
        <v>195</v>
      </c>
      <c r="D130" s="238" t="str">
        <f>_xlfn.XLOOKUP(B130,'Relacion '!$E:$E,'Relacion '!$D:$D,"")</f>
        <v/>
      </c>
      <c r="E130" s="239">
        <f t="shared" ref="E130:E193" si="31">IF(OR(F130="",G130=""),"",G130-F130)</f>
        <v>0</v>
      </c>
      <c r="F130" s="240" cm="1">
        <f t="array" ref="F130">MIN(INDEX('Relacion '!$Z$5:$AA$493,MATCH(INDEX($B:$B, (ROW()-2)),'Relacion '!$E$5:$E$493,0),0))</f>
        <v>46084</v>
      </c>
      <c r="G130" s="240" cm="1">
        <f t="array" ref="G130">MAX(INDEX('Relacion '!$Z$5:$AA$493,MATCH(INDEX($B:$B, (ROW()-2)),'Relacion '!$E$5:$E$493,0),0))</f>
        <v>46084</v>
      </c>
      <c r="H130" s="241" cm="1">
        <f t="array" ref="H130">IF(
 MATCH(B130,{"01. ASIGNACION AREA";"02. MAPEO";"03. DESARROLLO";"04. VALIDA US";"05. VOBO US";"06. BW-EJECUCION";"07. VALIDACIÓN BAJAWARE";"08. CERRADA"},0)
 &lt;
 MATCH(_xlfn.XLOOKUP(INDEX($B:$B, (ROW()-2)),'Relacion '!$E:$E,'Relacion '!$D:$D,""),{"01. ASIGNACION AREA";"02. MAPEO";"03. DESARROLLO";"04. VALIDA US";"05. VOBO US";"06. BW-EJECUCION";"07. VALIDACIÓN BAJAWARE";"08. CERRADA"},0),
 1,
 IF(
  MATCH(B130,{"01. ASIGNACION AREA";"02. MAPEO";"03. DESARROLLO";"04. VALIDA US";"05. VOBO US";"06. BW-EJECUCION";"07. VALIDACIÓN BAJAWARE";"08. CERRADA"},0)
  =
  MATCH(_xlfn.XLOOKUP(INDEX($B:$B, (ROW()-2)),'Relacion '!$E:$E,'Relacion '!$D:$D,""),{"01. ASIGNACION AREA";"02. MAPEO";"03. DESARROLLO";"04. VALIDA US";"05. VOBO US";"06. BW-EJECUCION";"07. VALIDACIÓN BAJAWARE";"08. CERRADA"},0),
  _xlfn.XLOOKUP(INDEX($B:$B, (ROW()-2)),'Relacion '!$E:$E,'Relacion '!#REF!,0),
  0
 )
)</f>
        <v>1</v>
      </c>
      <c r="I130" s="241">
        <f t="shared" ca="1" si="18"/>
        <v>1</v>
      </c>
      <c r="J130" s="241"/>
      <c r="K130" s="241"/>
      <c r="L130" s="238"/>
    </row>
    <row r="131" spans="2:12" outlineLevel="1">
      <c r="B131" s="237" t="s">
        <v>49</v>
      </c>
      <c r="C131" s="237" t="s">
        <v>49</v>
      </c>
      <c r="D131" s="238" t="str">
        <f>_xlfn.XLOOKUP(B131,'Relacion '!$E:$E,'Relacion '!$D:$D,"")</f>
        <v/>
      </c>
      <c r="E131" s="239">
        <f t="shared" si="31"/>
        <v>13</v>
      </c>
      <c r="F131" s="240" cm="1">
        <f t="array" ref="F131">MIN(INDEX('Relacion '!$AB$5:$AC$493,MATCH(INDEX($B:$B, (ROW()-3)),'Relacion '!$E$5:$E$493,0),0))</f>
        <v>46085</v>
      </c>
      <c r="G131" s="240" cm="1">
        <f t="array" ref="G131">MAX(INDEX('Relacion '!$AB$5:$AC$493,MATCH(INDEX($B:$B, (ROW()-3)),'Relacion '!$E$5:$E$493,0),0))</f>
        <v>46098</v>
      </c>
      <c r="H131" s="241" cm="1">
        <f t="array" ref="H131">IF(
 MATCH(B131,{"01. ASIGNACION AREA";"02. MAPEO";"03. DESARROLLO";"04. VALIDA US";"05. VOBO US";"06. BW-EJECUCION";"07. VALIDACIÓN BAJAWARE";"08. CERRADA"},0)
 &lt;
 MATCH(_xlfn.XLOOKUP(INDEX($B:$B, (ROW()-3)),'Relacion '!$E:$E,'Relacion '!$D:$D,""),{"01. ASIGNACION AREA";"02. MAPEO";"03. DESARROLLO";"04. VALIDA US";"05. VOBO US";"06. BW-EJECUCION";"07. VALIDACIÓN BAJAWARE";"08. CERRADA"},0),
 1,
 IF(
  MATCH(B131,{"01. ASIGNACION AREA";"02. MAPEO";"03. DESARROLLO";"04. VALIDA US";"05. VOBO US";"06. BW-EJECUCION";"07. VALIDACIÓN BAJAWARE";"08. CERRADA"},0)
  =
  MATCH(_xlfn.XLOOKUP(INDEX($B:$B, (ROW()-3)),'Relacion '!$E:$E,'Relacion '!$D:$D,""),{"01. ASIGNACION AREA";"02. MAPEO";"03. DESARROLLO";"04. VALIDA US";"05. VOBO US";"06. BW-EJECUCION";"07. VALIDACIÓN BAJAWARE";"08. CERRADA"},0),
  _xlfn.XLOOKUP(INDEX($B:$B, (ROW()-3)),'Relacion '!$E:$E,'Relacion '!#REF!,0),
  0
 )
)</f>
        <v>1</v>
      </c>
      <c r="I131" s="241">
        <f t="shared" ca="1" si="18"/>
        <v>1</v>
      </c>
      <c r="J131" s="241"/>
      <c r="K131" s="241"/>
      <c r="L131" s="238"/>
    </row>
    <row r="132" spans="2:12" outlineLevel="1">
      <c r="B132" s="237" t="s">
        <v>324</v>
      </c>
      <c r="C132" s="237" t="s">
        <v>324</v>
      </c>
      <c r="D132" s="238" t="str">
        <f>_xlfn.XLOOKUP(B132,'Relacion '!$E:$E,'Relacion '!$D:$D,"")</f>
        <v/>
      </c>
      <c r="E132" s="239">
        <f t="shared" si="31"/>
        <v>20</v>
      </c>
      <c r="F132" s="240" cm="1">
        <f t="array" ref="F132">MIN(INDEX('Relacion '!$AD$5:$AE$493,MATCH(INDEX($B:$B, (ROW()-4)),'Relacion '!$E$5:$E$493,0),0))</f>
        <v>46099</v>
      </c>
      <c r="G132" s="240" cm="1">
        <f t="array" ref="G132">MAX(INDEX('Relacion '!$AD$5:$AE$493,MATCH(INDEX($B:$B, (ROW()-4)),'Relacion '!$E$5:$E$493,0),0))</f>
        <v>46119</v>
      </c>
      <c r="H132" s="241" t="e" cm="1">
        <f t="array" ref="H132">IF(
 MATCH(B132,{"01. ASIGNACION AREA";"02. MAPEO";"03. DESARROLLO";"04. VALIDA US";"05. VOBO US";"06. BW-EJECUCION";"07. VALIDACIÓN BAJAWARE";"08. CERRADA"},0)
 &lt;
 MATCH(_xlfn.XLOOKUP(INDEX($B:$B, (ROW()-4)),'Relacion '!$E:$E,'Relacion '!$D:$D,""),{"01. ASIGNACION AREA";"02. MAPEO";"03. DESARROLLO";"04. VALIDA US";"05. VOBO US";"06. BW-EJECUCION";"07. VALIDACIÓN BAJAWARE";"08. CERRADA"},0),
 1,
 IF(
  MATCH(B132,{"01. ASIGNACION AREA";"02. MAPEO";"03. DESARROLLO";"04. VALIDA US";"05. VOBO US";"06. BW-EJECUCION";"07. VALIDACIÓN BAJAWARE";"08. CERRADA"},0)
  =
  MATCH(_xlfn.XLOOKUP(INDEX($B:$B, (ROW()-4)),'Relacion '!$E:$E,'Relacion '!$D:$D,""),{"01. ASIGNACION AREA";"02. MAPEO";"03. DESARROLLO";"04. VALIDA US";"05. VOBO US";"06. BW-EJECUCION";"07. VALIDACIÓN BAJAWARE";"08. CERRADA"},0),
  _xlfn.XLOOKUP(INDEX($B:$B, (ROW()-4)),'Relacion '!$E:$E,'Relacion '!#REF!,0),
  0
 )
)</f>
        <v>#REF!</v>
      </c>
      <c r="I132" s="241">
        <f t="shared" ca="1" si="18"/>
        <v>1</v>
      </c>
      <c r="J132" s="241"/>
      <c r="K132" s="241"/>
      <c r="L132" s="238"/>
    </row>
    <row r="133" spans="2:12" outlineLevel="1">
      <c r="B133" s="237" t="s">
        <v>320</v>
      </c>
      <c r="C133" s="237" t="s">
        <v>320</v>
      </c>
      <c r="D133" s="238" t="str">
        <f>_xlfn.XLOOKUP(B133,'Relacion '!$E:$E,'Relacion '!$D:$D,"")</f>
        <v/>
      </c>
      <c r="E133" s="239">
        <f t="shared" si="31"/>
        <v>1</v>
      </c>
      <c r="F133" s="240" cm="1">
        <f t="array" ref="F133">MIN(INDEX('Relacion '!$AF$5:$AG$493,MATCH(INDEX($B:$B, (ROW()-5)),'Relacion '!$E$5:$E$493,0),0))</f>
        <v>46119</v>
      </c>
      <c r="G133" s="240" cm="1">
        <f t="array" ref="G133">MAX(INDEX('Relacion '!$AF$5:$AG$493,MATCH(INDEX($B:$B, (ROW()-5)),'Relacion '!$E$5:$E$493,0),0))</f>
        <v>46120</v>
      </c>
      <c r="H133" s="241" cm="1">
        <f t="array" ref="H133">IF(
 MATCH(B133,{"01. ASIGNACION AREA";"02. MAPEO";"03. DESARROLLO";"04. VALIDA US";"05. VOBO US";"06. BW-EJECUCION";"07. VALIDACIÓN BAJAWARE";"08. CERRADA"},0)
 &lt;
 MATCH(_xlfn.XLOOKUP(INDEX($B:$B, (ROW()-5)),'Relacion '!$E:$E,'Relacion '!$D:$D,""),{"01. ASIGNACION AREA";"02. MAPEO";"03. DESARROLLO";"04. VALIDA US";"05. VOBO US";"06. BW-EJECUCION";"07. VALIDACIÓN BAJAWARE";"08. CERRADA"},0),
 1,
 IF(
  MATCH(B133,{"01. ASIGNACION AREA";"02. MAPEO";"03. DESARROLLO";"04. VALIDA US";"05. VOBO US";"06. BW-EJECUCION";"07. VALIDACIÓN BAJAWARE";"08. CERRADA"},0)
  =
  MATCH(_xlfn.XLOOKUP(INDEX($B:$B, (ROW()-5)),'Relacion '!$E:$E,'Relacion '!$D:$D,""),{"01. ASIGNACION AREA";"02. MAPEO";"03. DESARROLLO";"04. VALIDA US";"05. VOBO US";"06. BW-EJECUCION";"07. VALIDACIÓN BAJAWARE";"08. CERRADA"},0),
  _xlfn.XLOOKUP(INDEX($B:$B, (ROW()-5)),'Relacion '!$E:$E,'Relacion '!#REF!,0),
  0
 )
)</f>
        <v>0</v>
      </c>
      <c r="I133" s="241">
        <f t="shared" ca="1" si="18"/>
        <v>1</v>
      </c>
      <c r="J133" s="241"/>
      <c r="K133" s="241"/>
      <c r="L133" s="238"/>
    </row>
    <row r="134" spans="2:12" outlineLevel="1">
      <c r="B134" s="237" t="s">
        <v>710</v>
      </c>
      <c r="C134" s="237" t="s">
        <v>710</v>
      </c>
      <c r="D134" s="238" t="str">
        <f>_xlfn.XLOOKUP(B134,'Relacion '!$E:$E,'Relacion '!$D:$D,"")</f>
        <v/>
      </c>
      <c r="E134" s="239">
        <f t="shared" si="31"/>
        <v>4</v>
      </c>
      <c r="F134" s="240" cm="1">
        <f t="array" ref="F134">MIN(INDEX('Relacion '!$AH$5:$AI$493,MATCH(INDEX($B:$B, (ROW()-6)),'Relacion '!$E$5:$E$493,0),0))</f>
        <v>46121</v>
      </c>
      <c r="G134" s="240" cm="1">
        <f t="array" ref="G134">MAX(INDEX('Relacion '!$AH$5:$AI$493,MATCH(INDEX($B:$B, (ROW()-6)),'Relacion '!$E$5:$E$493,0),0))</f>
        <v>46125</v>
      </c>
      <c r="H134" s="241" cm="1">
        <f t="array" ref="H134">IF(
 MATCH(B134,{"01. ASIGNACION AREA";"02. MAPEO";"03. DESARROLLO";"04. VALIDA US";"05. VOBO US";"06. BW-EJECUCION";"07. VALIDACIÓN BAJAWARE";"08. CERRADA"},0)
 &lt;
 MATCH(_xlfn.XLOOKUP(INDEX($B:$B, (ROW()-6)),'Relacion '!$E:$E,'Relacion '!$D:$D,""),{"01. ASIGNACION AREA";"02. MAPEO";"03. DESARROLLO";"04. VALIDA US";"05. VOBO US";"06. BW-EJECUCION";"07. VALIDACIÓN BAJAWARE";"08. CERRADA"},0),
 1,
 IF(
  MATCH(B134,{"01. ASIGNACION AREA";"02. MAPEO";"03. DESARROLLO";"04. VALIDA US";"05. VOBO US";"06. BW-EJECUCION";"07. VALIDACIÓN BAJAWARE";"08. CERRADA"},0)
  =
  MATCH(_xlfn.XLOOKUP(INDEX($B:$B, (ROW()-6)),'Relacion '!$E:$E,'Relacion '!$D:$D,""),{"01. ASIGNACION AREA";"02. MAPEO";"03. DESARROLLO";"04. VALIDA US";"05. VOBO US";"06. BW-EJECUCION";"07. VALIDACIÓN BAJAWARE";"08. CERRADA"},0),
  _xlfn.XLOOKUP(INDEX($B:$B, (ROW()-6)),'Relacion '!$E:$E,'Relacion '!#REF!,0),
  0
 )
)</f>
        <v>0</v>
      </c>
      <c r="I134" s="241">
        <f t="shared" ca="1" si="18"/>
        <v>1</v>
      </c>
      <c r="J134" s="241"/>
      <c r="K134" s="241"/>
      <c r="L134" s="238"/>
    </row>
    <row r="135" spans="2:12" outlineLevel="1">
      <c r="B135" s="237" t="s">
        <v>655</v>
      </c>
      <c r="C135" s="237" t="s">
        <v>655</v>
      </c>
      <c r="D135" s="238" t="str">
        <f>_xlfn.XLOOKUP(B135,'Relacion '!$E:$E,'Relacion '!$D:$D,"")</f>
        <v/>
      </c>
      <c r="E135" s="239">
        <f t="shared" si="31"/>
        <v>14</v>
      </c>
      <c r="F135" s="240" cm="1">
        <f t="array" ref="F135">MIN(INDEX('Relacion '!$AJ$5:$AK$493,MATCH(INDEX($B:$B, (ROW()-7)),'Relacion '!$E$5:$E$493,0),0))</f>
        <v>46126</v>
      </c>
      <c r="G135" s="240" cm="1">
        <f t="array" ref="G135">MAX(INDEX('Relacion '!$AJ$5:$AK$493,MATCH(INDEX($B:$B, (ROW()-7)),'Relacion '!$E$5:$E$493,0),0))</f>
        <v>46140</v>
      </c>
      <c r="H135" s="241" cm="1">
        <f t="array" ref="H135">IF(
 MATCH(B135,{"01. ASIGNACION AREA";"02. MAPEO";"03. DESARROLLO";"04. VALIDA US";"05. VOBO US";"06. BW-EJECUCION";"07. VALIDACIÓN BAJAWARE";"08. CERRADA"},0)
 &lt;
 MATCH(_xlfn.XLOOKUP(INDEX($B:$B, (ROW()-7)),'Relacion '!$E:$E,'Relacion '!$D:$D,""),{"01. ASIGNACION AREA";"02. MAPEO";"03. DESARROLLO";"04. VALIDA US";"05. VOBO US";"06. BW-EJECUCION";"07. VALIDACIÓN BAJAWARE";"08. CERRADA"},0),
 1,
 IF(
  MATCH(B135,{"01. ASIGNACION AREA";"02. MAPEO";"03. DESARROLLO";"04. VALIDA US";"05. VOBO US";"06. BW-EJECUCION";"07. VALIDACIÓN BAJAWARE";"08. CERRADA"},0)
  =
  MATCH(_xlfn.XLOOKUP(INDEX($B:$B, (ROW()-7)),'Relacion '!$E:$E,'Relacion '!$D:$D,""),{"01. ASIGNACION AREA";"02. MAPEO";"03. DESARROLLO";"04. VALIDA US";"05. VOBO US";"06. BW-EJECUCION";"07. VALIDACIÓN BAJAWARE";"08. CERRADA"},0),
  _xlfn.XLOOKUP(INDEX($B:$B, (ROW()-7)),'Relacion '!$E:$E,'Relacion '!#REF!,0),
  0
 )
)</f>
        <v>0</v>
      </c>
      <c r="I135" s="241">
        <f t="shared" ca="1" si="18"/>
        <v>1</v>
      </c>
      <c r="J135" s="241"/>
      <c r="K135" s="241"/>
      <c r="L135" s="238"/>
    </row>
    <row r="136" spans="2:12" outlineLevel="1">
      <c r="B136" s="237" t="s">
        <v>656</v>
      </c>
      <c r="C136" s="237" t="s">
        <v>656</v>
      </c>
      <c r="D136" s="238" t="str">
        <f>_xlfn.XLOOKUP(B136,'Relacion '!$E:$E,'Relacion '!$D:$D,"")</f>
        <v/>
      </c>
      <c r="E136" s="239">
        <f t="shared" si="31"/>
        <v>0</v>
      </c>
      <c r="F136" s="240" cm="1">
        <f t="array" ref="F136">MIN(INDEX('Relacion '!$AL$5:$AM$493,MATCH(INDEX($B:$B, (ROW()-8)),'Relacion '!$E$5:$E$493,0),0))</f>
        <v>46141</v>
      </c>
      <c r="G136" s="240" cm="1">
        <f t="array" ref="G136">MAX(INDEX('Relacion '!$AL$5:$AM$493,MATCH(INDEX($B:$B, (ROW()-8)),'Relacion '!$E$5:$E$493,0),0))</f>
        <v>46141</v>
      </c>
      <c r="H136" s="241" cm="1">
        <f t="array" ref="H136">IF(
 MATCH(B136,{"01. ASIGNACION AREA";"02. MAPEO";"03. DESARROLLO";"04. VALIDA US";"05. VOBO US";"06. BW-EJECUCION";"07. VALIDACIÓN BAJAWARE";"08. CERRADA"},0)
 &lt;
 MATCH(_xlfn.XLOOKUP(INDEX($B:$B, (ROW()-8)),'Relacion '!$E:$E,'Relacion '!$D:$D,""),{"01. ASIGNACION AREA";"02. MAPEO";"03. DESARROLLO";"04. VALIDA US";"05. VOBO US";"06. BW-EJECUCION";"07. VALIDACIÓN BAJAWARE";"08. CERRADA"},0),
 1,
 IF(
  MATCH(B136,{"01. ASIGNACION AREA";"02. MAPEO";"03. DESARROLLO";"04. VALIDA US";"05. VOBO US";"06. BW-EJECUCION";"07. VALIDACIÓN BAJAWARE";"08. CERRADA"},0)
  =
  MATCH(_xlfn.XLOOKUP(INDEX($B:$B, (ROW()-8)),'Relacion '!$E:$E,'Relacion '!$D:$D,""),{"01. ASIGNACION AREA";"02. MAPEO";"03. DESARROLLO";"04. VALIDA US";"05. VOBO US";"06. BW-EJECUCION";"07. VALIDACIÓN BAJAWARE";"08. CERRADA"},0),
  _xlfn.XLOOKUP(INDEX($B:$B, (ROW()-8)),'Relacion '!$E:$E,'Relacion '!#REF!,0),
  0
 )
)</f>
        <v>0</v>
      </c>
      <c r="I136" s="241">
        <f t="shared" ca="1" si="18"/>
        <v>1</v>
      </c>
      <c r="J136" s="241"/>
      <c r="K136" s="241"/>
      <c r="L136" s="238"/>
    </row>
    <row r="137" spans="2:12">
      <c r="B137" s="232" t="s">
        <v>416</v>
      </c>
      <c r="C137" s="174" t="s">
        <v>417</v>
      </c>
      <c r="D137" s="236" t="str">
        <f>_xlfn.XLOOKUP(B137,'Relacion '!$E:$E,'Relacion '!$D:$D,"")</f>
        <v>08. CERRADA</v>
      </c>
      <c r="E137" s="233">
        <f t="shared" si="31"/>
        <v>449</v>
      </c>
      <c r="F137" s="234" cm="1">
        <f t="array" ref="F137">MIN(INDEX('Relacion '!$X$5:$AM$493,MATCH(INDEX($B:$B, (ROW()-0)),'Relacion '!$E$5:$E$493,0),0))</f>
        <v>45659</v>
      </c>
      <c r="G137" s="234" cm="1">
        <f t="array" ref="G137">MAX(INDEX('Relacion '!$X$5:$AM$493,MATCH(INDEX($B:$B, (ROW()-0)),'Relacion '!$E$5:$E$493,0),0))</f>
        <v>46108</v>
      </c>
      <c r="H137" s="235" t="e">
        <f>AVERAGE(H138:H145)</f>
        <v>#REF!</v>
      </c>
      <c r="I137" s="235">
        <f t="shared" ref="I137" ca="1" si="32">AVERAGE(I138:I145)</f>
        <v>1</v>
      </c>
      <c r="J137" s="236" t="str">
        <f>IF(ISNUMBER(SEARCH("Rocha", _xlfn.XLOOKUP(B137,'Relacion '!$E:$E,'Relacion '!$I:$I,""))), "Sí", "No")</f>
        <v>No</v>
      </c>
      <c r="K137" s="236" t="str">
        <f>IF(ISNUMBER(SEARCH("Rocha", _xlfn.XLOOKUP(B137,'Relacion '!$E:$E,'Relacion '!$I:$I,""))), "RMC", _xlfn.XLOOKUP(B137,'Relacion '!$E:$E,'Relacion '!$B:$B,""))</f>
        <v>Producto</v>
      </c>
      <c r="L137" s="236" t="str">
        <f>_xlfn.XLOOKUP(B137,'Relacion '!$E:$E,'Relacion '!$C:$C,"")</f>
        <v>Claudia Barroso</v>
      </c>
    </row>
    <row r="138" spans="2:12" outlineLevel="1">
      <c r="B138" s="237" t="s">
        <v>654</v>
      </c>
      <c r="C138" s="237" t="s">
        <v>654</v>
      </c>
      <c r="D138" s="238" t="str">
        <f>_xlfn.XLOOKUP(B138,'Relacion '!$E:$E,'Relacion '!$D:$D,"")</f>
        <v/>
      </c>
      <c r="E138" s="239">
        <f t="shared" si="31"/>
        <v>424</v>
      </c>
      <c r="F138" s="240" cm="1">
        <f t="array" ref="F138">MIN(INDEX('Relacion '!$X$5:$Y$493,MATCH(INDEX($B:$B, (ROW()-1)),'Relacion '!$E$5:$E$493,0),0))</f>
        <v>45659</v>
      </c>
      <c r="G138" s="240" cm="1">
        <f t="array" ref="G138">MAX(INDEX('Relacion '!$X$5:$Y$493,MATCH(INDEX($B:$B, (ROW()-1)),'Relacion '!$E$5:$E$493,0),0))</f>
        <v>46083</v>
      </c>
      <c r="H138" s="241" cm="1">
        <f t="array" ref="H138">IF(
 MATCH(B138,{"01. ASIGNACION AREA";"02. MAPEO";"03. DESARROLLO";"04. VALIDA US";"05. VOBO US";"06. BW-EJECUCION";"07. VALIDACIÓN BAJAWARE";"08. CERRADA"},0)
 &lt;
 MATCH(_xlfn.XLOOKUP(INDEX($B:$B, (ROW()-1)),'Relacion '!$E:$E,'Relacion '!$D:$D,""),{"01. ASIGNACION AREA";"02. MAPEO";"03. DESARROLLO";"04. VALIDA US";"05. VOBO US";"06. BW-EJECUCION";"07. VALIDACIÓN BAJAWARE";"08. CERRADA"},0),
 1,
 IF(
  MATCH(B138,{"01. ASIGNACION AREA";"02. MAPEO";"03. DESARROLLO";"04. VALIDA US";"05. VOBO US";"06. BW-EJECUCION";"07. VALIDACIÓN BAJAWARE";"08. CERRADA"},0)
  =
  MATCH(_xlfn.XLOOKUP(INDEX($B:$B, (ROW()-1)),'Relacion '!$E:$E,'Relacion '!$D:$D,""),{"01. ASIGNACION AREA";"02. MAPEO";"03. DESARROLLO";"04. VALIDA US";"05. VOBO US";"06. BW-EJECUCION";"07. VALIDACIÓN BAJAWARE";"08. CERRADA"},0),
  _xlfn.XLOOKUP(INDEX($B:$B, (ROW()-1)),'Relacion '!$E:$E,'Relacion '!#REF!,0),
  0
 )
)</f>
        <v>1</v>
      </c>
      <c r="I138" s="241">
        <f t="shared" ref="I138:I199" ca="1" si="33">IF(G138&lt;=TODAY(), 1, 0)</f>
        <v>1</v>
      </c>
      <c r="J138" s="241"/>
      <c r="K138" s="241"/>
      <c r="L138" s="238"/>
    </row>
    <row r="139" spans="2:12" outlineLevel="1">
      <c r="B139" s="237" t="s">
        <v>195</v>
      </c>
      <c r="C139" s="237" t="s">
        <v>195</v>
      </c>
      <c r="D139" s="238" t="str">
        <f>_xlfn.XLOOKUP(B139,'Relacion '!$E:$E,'Relacion '!$D:$D,"")</f>
        <v/>
      </c>
      <c r="E139" s="239">
        <f t="shared" si="31"/>
        <v>0</v>
      </c>
      <c r="F139" s="240" cm="1">
        <f t="array" ref="F139">MIN(INDEX('Relacion '!$Z$5:$AA$493,MATCH(INDEX($B:$B, (ROW()-2)),'Relacion '!$E$5:$E$493,0),0))</f>
        <v>46108</v>
      </c>
      <c r="G139" s="240" cm="1">
        <f t="array" ref="G139">MAX(INDEX('Relacion '!$Z$5:$AA$493,MATCH(INDEX($B:$B, (ROW()-2)),'Relacion '!$E$5:$E$493,0),0))</f>
        <v>46108</v>
      </c>
      <c r="H139" s="241" cm="1">
        <f t="array" ref="H139">IF(
 MATCH(B139,{"01. ASIGNACION AREA";"02. MAPEO";"03. DESARROLLO";"04. VALIDA US";"05. VOBO US";"06. BW-EJECUCION";"07. VALIDACIÓN BAJAWARE";"08. CERRADA"},0)
 &lt;
 MATCH(_xlfn.XLOOKUP(INDEX($B:$B, (ROW()-2)),'Relacion '!$E:$E,'Relacion '!$D:$D,""),{"01. ASIGNACION AREA";"02. MAPEO";"03. DESARROLLO";"04. VALIDA US";"05. VOBO US";"06. BW-EJECUCION";"07. VALIDACIÓN BAJAWARE";"08. CERRADA"},0),
 1,
 IF(
  MATCH(B139,{"01. ASIGNACION AREA";"02. MAPEO";"03. DESARROLLO";"04. VALIDA US";"05. VOBO US";"06. BW-EJECUCION";"07. VALIDACIÓN BAJAWARE";"08. CERRADA"},0)
  =
  MATCH(_xlfn.XLOOKUP(INDEX($B:$B, (ROW()-2)),'Relacion '!$E:$E,'Relacion '!$D:$D,""),{"01. ASIGNACION AREA";"02. MAPEO";"03. DESARROLLO";"04. VALIDA US";"05. VOBO US";"06. BW-EJECUCION";"07. VALIDACIÓN BAJAWARE";"08. CERRADA"},0),
  _xlfn.XLOOKUP(INDEX($B:$B, (ROW()-2)),'Relacion '!$E:$E,'Relacion '!#REF!,0),
  0
 )
)</f>
        <v>1</v>
      </c>
      <c r="I139" s="241">
        <f t="shared" ca="1" si="33"/>
        <v>1</v>
      </c>
      <c r="J139" s="241"/>
      <c r="K139" s="241"/>
      <c r="L139" s="238"/>
    </row>
    <row r="140" spans="2:12" outlineLevel="1">
      <c r="B140" s="237" t="s">
        <v>49</v>
      </c>
      <c r="C140" s="237" t="s">
        <v>49</v>
      </c>
      <c r="D140" s="238" t="str">
        <f>_xlfn.XLOOKUP(B140,'Relacion '!$E:$E,'Relacion '!$D:$D,"")</f>
        <v/>
      </c>
      <c r="E140" s="239">
        <f t="shared" si="31"/>
        <v>0</v>
      </c>
      <c r="F140" s="240" cm="1">
        <f t="array" ref="F140">MIN(INDEX('Relacion '!$AB$5:$AC$493,MATCH(INDEX($B:$B, (ROW()-3)),'Relacion '!$E$5:$E$493,0),0))</f>
        <v>46108</v>
      </c>
      <c r="G140" s="240" cm="1">
        <f t="array" ref="G140">MAX(INDEX('Relacion '!$AB$5:$AC$493,MATCH(INDEX($B:$B, (ROW()-3)),'Relacion '!$E$5:$E$493,0),0))</f>
        <v>46108</v>
      </c>
      <c r="H140" s="241" cm="1">
        <f t="array" ref="H140">IF(
 MATCH(B140,{"01. ASIGNACION AREA";"02. MAPEO";"03. DESARROLLO";"04. VALIDA US";"05. VOBO US";"06. BW-EJECUCION";"07. VALIDACIÓN BAJAWARE";"08. CERRADA"},0)
 &lt;
 MATCH(_xlfn.XLOOKUP(INDEX($B:$B, (ROW()-3)),'Relacion '!$E:$E,'Relacion '!$D:$D,""),{"01. ASIGNACION AREA";"02. MAPEO";"03. DESARROLLO";"04. VALIDA US";"05. VOBO US";"06. BW-EJECUCION";"07. VALIDACIÓN BAJAWARE";"08. CERRADA"},0),
 1,
 IF(
  MATCH(B140,{"01. ASIGNACION AREA";"02. MAPEO";"03. DESARROLLO";"04. VALIDA US";"05. VOBO US";"06. BW-EJECUCION";"07. VALIDACIÓN BAJAWARE";"08. CERRADA"},0)
  =
  MATCH(_xlfn.XLOOKUP(INDEX($B:$B, (ROW()-3)),'Relacion '!$E:$E,'Relacion '!$D:$D,""),{"01. ASIGNACION AREA";"02. MAPEO";"03. DESARROLLO";"04. VALIDA US";"05. VOBO US";"06. BW-EJECUCION";"07. VALIDACIÓN BAJAWARE";"08. CERRADA"},0),
  _xlfn.XLOOKUP(INDEX($B:$B, (ROW()-3)),'Relacion '!$E:$E,'Relacion '!#REF!,0),
  0
 )
)</f>
        <v>1</v>
      </c>
      <c r="I140" s="241">
        <f t="shared" ca="1" si="33"/>
        <v>1</v>
      </c>
      <c r="J140" s="241"/>
      <c r="K140" s="241"/>
      <c r="L140" s="238"/>
    </row>
    <row r="141" spans="2:12" outlineLevel="1">
      <c r="B141" s="237" t="s">
        <v>324</v>
      </c>
      <c r="C141" s="237" t="s">
        <v>324</v>
      </c>
      <c r="D141" s="238" t="str">
        <f>_xlfn.XLOOKUP(B141,'Relacion '!$E:$E,'Relacion '!$D:$D,"")</f>
        <v/>
      </c>
      <c r="E141" s="239">
        <f t="shared" si="31"/>
        <v>0</v>
      </c>
      <c r="F141" s="240" cm="1">
        <f t="array" ref="F141">MIN(INDEX('Relacion '!$AD$5:$AE$493,MATCH(INDEX($B:$B, (ROW()-4)),'Relacion '!$E$5:$E$493,0),0))</f>
        <v>46108</v>
      </c>
      <c r="G141" s="240" cm="1">
        <f t="array" ref="G141">MAX(INDEX('Relacion '!$AD$5:$AE$493,MATCH(INDEX($B:$B, (ROW()-4)),'Relacion '!$E$5:$E$493,0),0))</f>
        <v>46108</v>
      </c>
      <c r="H141" s="241" cm="1">
        <f t="array" ref="H141">IF(
 MATCH(B141,{"01. ASIGNACION AREA";"02. MAPEO";"03. DESARROLLO";"04. VALIDA US";"05. VOBO US";"06. BW-EJECUCION";"07. VALIDACIÓN BAJAWARE";"08. CERRADA"},0)
 &lt;
 MATCH(_xlfn.XLOOKUP(INDEX($B:$B, (ROW()-4)),'Relacion '!$E:$E,'Relacion '!$D:$D,""),{"01. ASIGNACION AREA";"02. MAPEO";"03. DESARROLLO";"04. VALIDA US";"05. VOBO US";"06. BW-EJECUCION";"07. VALIDACIÓN BAJAWARE";"08. CERRADA"},0),
 1,
 IF(
  MATCH(B141,{"01. ASIGNACION AREA";"02. MAPEO";"03. DESARROLLO";"04. VALIDA US";"05. VOBO US";"06. BW-EJECUCION";"07. VALIDACIÓN BAJAWARE";"08. CERRADA"},0)
  =
  MATCH(_xlfn.XLOOKUP(INDEX($B:$B, (ROW()-4)),'Relacion '!$E:$E,'Relacion '!$D:$D,""),{"01. ASIGNACION AREA";"02. MAPEO";"03. DESARROLLO";"04. VALIDA US";"05. VOBO US";"06. BW-EJECUCION";"07. VALIDACIÓN BAJAWARE";"08. CERRADA"},0),
  _xlfn.XLOOKUP(INDEX($B:$B, (ROW()-4)),'Relacion '!$E:$E,'Relacion '!#REF!,0),
  0
 )
)</f>
        <v>1</v>
      </c>
      <c r="I141" s="241">
        <f t="shared" ca="1" si="33"/>
        <v>1</v>
      </c>
      <c r="J141" s="241"/>
      <c r="K141" s="241"/>
      <c r="L141" s="238"/>
    </row>
    <row r="142" spans="2:12" outlineLevel="1">
      <c r="B142" s="237" t="s">
        <v>320</v>
      </c>
      <c r="C142" s="237" t="s">
        <v>320</v>
      </c>
      <c r="D142" s="238" t="str">
        <f>_xlfn.XLOOKUP(B142,'Relacion '!$E:$E,'Relacion '!$D:$D,"")</f>
        <v/>
      </c>
      <c r="E142" s="239">
        <f t="shared" si="31"/>
        <v>0</v>
      </c>
      <c r="F142" s="240" cm="1">
        <f t="array" ref="F142">MIN(INDEX('Relacion '!$AF$5:$AG$493,MATCH(INDEX($B:$B, (ROW()-5)),'Relacion '!$E$5:$E$493,0),0))</f>
        <v>46108</v>
      </c>
      <c r="G142" s="240" cm="1">
        <f t="array" ref="G142">MAX(INDEX('Relacion '!$AF$5:$AG$493,MATCH(INDEX($B:$B, (ROW()-5)),'Relacion '!$E$5:$E$493,0),0))</f>
        <v>46108</v>
      </c>
      <c r="H142" s="241" cm="1">
        <f t="array" ref="H142">IF(
 MATCH(B142,{"01. ASIGNACION AREA";"02. MAPEO";"03. DESARROLLO";"04. VALIDA US";"05. VOBO US";"06. BW-EJECUCION";"07. VALIDACIÓN BAJAWARE";"08. CERRADA"},0)
 &lt;
 MATCH(_xlfn.XLOOKUP(INDEX($B:$B, (ROW()-5)),'Relacion '!$E:$E,'Relacion '!$D:$D,""),{"01. ASIGNACION AREA";"02. MAPEO";"03. DESARROLLO";"04. VALIDA US";"05. VOBO US";"06. BW-EJECUCION";"07. VALIDACIÓN BAJAWARE";"08. CERRADA"},0),
 1,
 IF(
  MATCH(B142,{"01. ASIGNACION AREA";"02. MAPEO";"03. DESARROLLO";"04. VALIDA US";"05. VOBO US";"06. BW-EJECUCION";"07. VALIDACIÓN BAJAWARE";"08. CERRADA"},0)
  =
  MATCH(_xlfn.XLOOKUP(INDEX($B:$B, (ROW()-5)),'Relacion '!$E:$E,'Relacion '!$D:$D,""),{"01. ASIGNACION AREA";"02. MAPEO";"03. DESARROLLO";"04. VALIDA US";"05. VOBO US";"06. BW-EJECUCION";"07. VALIDACIÓN BAJAWARE";"08. CERRADA"},0),
  _xlfn.XLOOKUP(INDEX($B:$B, (ROW()-5)),'Relacion '!$E:$E,'Relacion '!#REF!,0),
  0
 )
)</f>
        <v>1</v>
      </c>
      <c r="I142" s="241">
        <f t="shared" ca="1" si="33"/>
        <v>1</v>
      </c>
      <c r="J142" s="241"/>
      <c r="K142" s="241"/>
      <c r="L142" s="238"/>
    </row>
    <row r="143" spans="2:12" outlineLevel="1">
      <c r="B143" s="237" t="s">
        <v>710</v>
      </c>
      <c r="C143" s="237" t="s">
        <v>710</v>
      </c>
      <c r="D143" s="238" t="str">
        <f>_xlfn.XLOOKUP(B143,'Relacion '!$E:$E,'Relacion '!$D:$D,"")</f>
        <v/>
      </c>
      <c r="E143" s="239">
        <f t="shared" si="31"/>
        <v>0</v>
      </c>
      <c r="F143" s="240" cm="1">
        <f t="array" ref="F143">MIN(INDEX('Relacion '!$AH$5:$AI$493,MATCH(INDEX($B:$B, (ROW()-6)),'Relacion '!$E$5:$E$493,0),0))</f>
        <v>46108</v>
      </c>
      <c r="G143" s="240" cm="1">
        <f t="array" ref="G143">MAX(INDEX('Relacion '!$AH$5:$AI$493,MATCH(INDEX($B:$B, (ROW()-6)),'Relacion '!$E$5:$E$493,0),0))</f>
        <v>46108</v>
      </c>
      <c r="H143" s="241" cm="1">
        <f t="array" ref="H143">IF(
 MATCH(B143,{"01. ASIGNACION AREA";"02. MAPEO";"03. DESARROLLO";"04. VALIDA US";"05. VOBO US";"06. BW-EJECUCION";"07. VALIDACIÓN BAJAWARE";"08. CERRADA"},0)
 &lt;
 MATCH(_xlfn.XLOOKUP(INDEX($B:$B, (ROW()-6)),'Relacion '!$E:$E,'Relacion '!$D:$D,""),{"01. ASIGNACION AREA";"02. MAPEO";"03. DESARROLLO";"04. VALIDA US";"05. VOBO US";"06. BW-EJECUCION";"07. VALIDACIÓN BAJAWARE";"08. CERRADA"},0),
 1,
 IF(
  MATCH(B143,{"01. ASIGNACION AREA";"02. MAPEO";"03. DESARROLLO";"04. VALIDA US";"05. VOBO US";"06. BW-EJECUCION";"07. VALIDACIÓN BAJAWARE";"08. CERRADA"},0)
  =
  MATCH(_xlfn.XLOOKUP(INDEX($B:$B, (ROW()-6)),'Relacion '!$E:$E,'Relacion '!$D:$D,""),{"01. ASIGNACION AREA";"02. MAPEO";"03. DESARROLLO";"04. VALIDA US";"05. VOBO US";"06. BW-EJECUCION";"07. VALIDACIÓN BAJAWARE";"08. CERRADA"},0),
  _xlfn.XLOOKUP(INDEX($B:$B, (ROW()-6)),'Relacion '!$E:$E,'Relacion '!#REF!,0),
  0
 )
)</f>
        <v>1</v>
      </c>
      <c r="I143" s="241">
        <f t="shared" ca="1" si="33"/>
        <v>1</v>
      </c>
      <c r="J143" s="241"/>
      <c r="K143" s="241"/>
      <c r="L143" s="238"/>
    </row>
    <row r="144" spans="2:12" outlineLevel="1">
      <c r="B144" s="237" t="s">
        <v>655</v>
      </c>
      <c r="C144" s="237" t="s">
        <v>655</v>
      </c>
      <c r="D144" s="238" t="str">
        <f>_xlfn.XLOOKUP(B144,'Relacion '!$E:$E,'Relacion '!$D:$D,"")</f>
        <v/>
      </c>
      <c r="E144" s="239">
        <f t="shared" si="31"/>
        <v>0</v>
      </c>
      <c r="F144" s="240" cm="1">
        <f t="array" ref="F144">MIN(INDEX('Relacion '!$AJ$5:$AK$493,MATCH(INDEX($B:$B, (ROW()-7)),'Relacion '!$E$5:$E$493,0),0))</f>
        <v>46108</v>
      </c>
      <c r="G144" s="240" cm="1">
        <f t="array" ref="G144">MAX(INDEX('Relacion '!$AJ$5:$AK$493,MATCH(INDEX($B:$B, (ROW()-7)),'Relacion '!$E$5:$E$493,0),0))</f>
        <v>46108</v>
      </c>
      <c r="H144" s="241" cm="1">
        <f t="array" ref="H144">IF(
 MATCH(B144,{"01. ASIGNACION AREA";"02. MAPEO";"03. DESARROLLO";"04. VALIDA US";"05. VOBO US";"06. BW-EJECUCION";"07. VALIDACIÓN BAJAWARE";"08. CERRADA"},0)
 &lt;
 MATCH(_xlfn.XLOOKUP(INDEX($B:$B, (ROW()-7)),'Relacion '!$E:$E,'Relacion '!$D:$D,""),{"01. ASIGNACION AREA";"02. MAPEO";"03. DESARROLLO";"04. VALIDA US";"05. VOBO US";"06. BW-EJECUCION";"07. VALIDACIÓN BAJAWARE";"08. CERRADA"},0),
 1,
 IF(
  MATCH(B144,{"01. ASIGNACION AREA";"02. MAPEO";"03. DESARROLLO";"04. VALIDA US";"05. VOBO US";"06. BW-EJECUCION";"07. VALIDACIÓN BAJAWARE";"08. CERRADA"},0)
  =
  MATCH(_xlfn.XLOOKUP(INDEX($B:$B, (ROW()-7)),'Relacion '!$E:$E,'Relacion '!$D:$D,""),{"01. ASIGNACION AREA";"02. MAPEO";"03. DESARROLLO";"04. VALIDA US";"05. VOBO US";"06. BW-EJECUCION";"07. VALIDACIÓN BAJAWARE";"08. CERRADA"},0),
  _xlfn.XLOOKUP(INDEX($B:$B, (ROW()-7)),'Relacion '!$E:$E,'Relacion '!#REF!,0),
  0
 )
)</f>
        <v>1</v>
      </c>
      <c r="I144" s="241">
        <f t="shared" ca="1" si="33"/>
        <v>1</v>
      </c>
      <c r="J144" s="241"/>
      <c r="K144" s="241"/>
      <c r="L144" s="238"/>
    </row>
    <row r="145" spans="2:12" outlineLevel="1">
      <c r="B145" s="237" t="s">
        <v>656</v>
      </c>
      <c r="C145" s="237" t="s">
        <v>656</v>
      </c>
      <c r="D145" s="238" t="str">
        <f>_xlfn.XLOOKUP(B145,'Relacion '!$E:$E,'Relacion '!$D:$D,"")</f>
        <v/>
      </c>
      <c r="E145" s="239">
        <f t="shared" si="31"/>
        <v>0</v>
      </c>
      <c r="F145" s="240" cm="1">
        <f t="array" ref="F145">MIN(INDEX('Relacion '!$AL$5:$AM$493,MATCH(INDEX($B:$B, (ROW()-8)),'Relacion '!$E$5:$E$493,0),0))</f>
        <v>46108</v>
      </c>
      <c r="G145" s="240" cm="1">
        <f t="array" ref="G145">MAX(INDEX('Relacion '!$AL$5:$AM$493,MATCH(INDEX($B:$B, (ROW()-8)),'Relacion '!$E$5:$E$493,0),0))</f>
        <v>46108</v>
      </c>
      <c r="H145" s="241" t="e" cm="1">
        <f t="array" ref="H145">IF(
 MATCH(B145,{"01. ASIGNACION AREA";"02. MAPEO";"03. DESARROLLO";"04. VALIDA US";"05. VOBO US";"06. BW-EJECUCION";"07. VALIDACIÓN BAJAWARE";"08. CERRADA"},0)
 &lt;
 MATCH(_xlfn.XLOOKUP(INDEX($B:$B, (ROW()-8)),'Relacion '!$E:$E,'Relacion '!$D:$D,""),{"01. ASIGNACION AREA";"02. MAPEO";"03. DESARROLLO";"04. VALIDA US";"05. VOBO US";"06. BW-EJECUCION";"07. VALIDACIÓN BAJAWARE";"08. CERRADA"},0),
 1,
 IF(
  MATCH(B145,{"01. ASIGNACION AREA";"02. MAPEO";"03. DESARROLLO";"04. VALIDA US";"05. VOBO US";"06. BW-EJECUCION";"07. VALIDACIÓN BAJAWARE";"08. CERRADA"},0)
  =
  MATCH(_xlfn.XLOOKUP(INDEX($B:$B, (ROW()-8)),'Relacion '!$E:$E,'Relacion '!$D:$D,""),{"01. ASIGNACION AREA";"02. MAPEO";"03. DESARROLLO";"04. VALIDA US";"05. VOBO US";"06. BW-EJECUCION";"07. VALIDACIÓN BAJAWARE";"08. CERRADA"},0),
  _xlfn.XLOOKUP(INDEX($B:$B, (ROW()-8)),'Relacion '!$E:$E,'Relacion '!#REF!,0),
  0
 )
)</f>
        <v>#REF!</v>
      </c>
      <c r="I145" s="241">
        <f t="shared" ca="1" si="33"/>
        <v>1</v>
      </c>
      <c r="J145" s="241"/>
      <c r="K145" s="241"/>
      <c r="L145" s="238"/>
    </row>
    <row r="146" spans="2:12">
      <c r="B146" s="232" t="s">
        <v>521</v>
      </c>
      <c r="C146" s="86" t="s">
        <v>280</v>
      </c>
      <c r="D146" s="236" t="str">
        <f>_xlfn.XLOOKUP(B146,'Relacion '!$E:$E,'Relacion '!$D:$D,"")</f>
        <v>04. VALIDA US</v>
      </c>
      <c r="E146" s="233">
        <f t="shared" si="31"/>
        <v>117</v>
      </c>
      <c r="F146" s="234" cm="1">
        <f t="array" ref="F146">MIN(INDEX('Relacion '!$X$5:$AM$493,MATCH(INDEX($B:$B, (ROW()-0)),'Relacion '!$E$5:$E$493,0),0))</f>
        <v>46024</v>
      </c>
      <c r="G146" s="234" cm="1">
        <f t="array" ref="G146">MAX(INDEX('Relacion '!$X$5:$AM$493,MATCH(INDEX($B:$B, (ROW()-0)),'Relacion '!$E$5:$E$493,0),0))</f>
        <v>46141</v>
      </c>
      <c r="H146" s="235" t="e">
        <f>AVERAGE(H147:H154)</f>
        <v>#REF!</v>
      </c>
      <c r="I146" s="235">
        <f t="shared" ref="I146" ca="1" si="34">AVERAGE(I147:I154)</f>
        <v>1</v>
      </c>
      <c r="J146" s="236" t="str">
        <f>IF(ISNUMBER(SEARCH("Rocha", _xlfn.XLOOKUP(B146,'Relacion '!$E:$E,'Relacion '!$I:$I,""))), "Sí", "No")</f>
        <v>No</v>
      </c>
      <c r="K146" s="236" t="str">
        <f>IF(ISNUMBER(SEARCH("Rocha", _xlfn.XLOOKUP(B146,'Relacion '!$E:$E,'Relacion '!$I:$I,""))), "RMC", _xlfn.XLOOKUP(B146,'Relacion '!$E:$E,'Relacion '!$B:$B,""))</f>
        <v>Tesorería </v>
      </c>
      <c r="L146" s="236" t="str">
        <f>_xlfn.XLOOKUP(B146,'Relacion '!$E:$E,'Relacion '!$C:$C,"")</f>
        <v>Eduardo Cabral</v>
      </c>
    </row>
    <row r="147" spans="2:12" outlineLevel="1">
      <c r="B147" s="237" t="s">
        <v>654</v>
      </c>
      <c r="C147" s="237" t="s">
        <v>654</v>
      </c>
      <c r="D147" s="238" t="str">
        <f>_xlfn.XLOOKUP(B147,'Relacion '!$E:$E,'Relacion '!$D:$D,"")</f>
        <v/>
      </c>
      <c r="E147" s="239">
        <f t="shared" si="31"/>
        <v>59</v>
      </c>
      <c r="F147" s="240" cm="1">
        <f t="array" ref="F147">MIN(INDEX('Relacion '!$X$5:$Y$493,MATCH(INDEX($B:$B, (ROW()-1)),'Relacion '!$E$5:$E$493,0),0))</f>
        <v>46024</v>
      </c>
      <c r="G147" s="240" cm="1">
        <f t="array" ref="G147">MAX(INDEX('Relacion '!$X$5:$Y$493,MATCH(INDEX($B:$B, (ROW()-1)),'Relacion '!$E$5:$E$493,0),0))</f>
        <v>46083</v>
      </c>
      <c r="H147" s="241" cm="1">
        <f t="array" ref="H147">IF(
 MATCH(B147,{"01. ASIGNACION AREA";"02. MAPEO";"03. DESARROLLO";"04. VALIDA US";"05. VOBO US";"06. BW-EJECUCION";"07. VALIDACIÓN BAJAWARE";"08. CERRADA"},0)
 &lt;
 MATCH(_xlfn.XLOOKUP(INDEX($B:$B, (ROW()-1)),'Relacion '!$E:$E,'Relacion '!$D:$D,""),{"01. ASIGNACION AREA";"02. MAPEO";"03. DESARROLLO";"04. VALIDA US";"05. VOBO US";"06. BW-EJECUCION";"07. VALIDACIÓN BAJAWARE";"08. CERRADA"},0),
 1,
 IF(
  MATCH(B147,{"01. ASIGNACION AREA";"02. MAPEO";"03. DESARROLLO";"04. VALIDA US";"05. VOBO US";"06. BW-EJECUCION";"07. VALIDACIÓN BAJAWARE";"08. CERRADA"},0)
  =
  MATCH(_xlfn.XLOOKUP(INDEX($B:$B, (ROW()-1)),'Relacion '!$E:$E,'Relacion '!$D:$D,""),{"01. ASIGNACION AREA";"02. MAPEO";"03. DESARROLLO";"04. VALIDA US";"05. VOBO US";"06. BW-EJECUCION";"07. VALIDACIÓN BAJAWARE";"08. CERRADA"},0),
  _xlfn.XLOOKUP(INDEX($B:$B, (ROW()-1)),'Relacion '!$E:$E,'Relacion '!#REF!,0),
  0
 )
)</f>
        <v>1</v>
      </c>
      <c r="I147" s="241">
        <f t="shared" ref="I147" ca="1" si="35">IF(G147&lt;=TODAY(), 1, 0)</f>
        <v>1</v>
      </c>
      <c r="J147" s="241"/>
      <c r="K147" s="241"/>
      <c r="L147" s="238"/>
    </row>
    <row r="148" spans="2:12" outlineLevel="1">
      <c r="B148" s="237" t="s">
        <v>195</v>
      </c>
      <c r="C148" s="237" t="s">
        <v>195</v>
      </c>
      <c r="D148" s="238" t="str">
        <f>_xlfn.XLOOKUP(B148,'Relacion '!$E:$E,'Relacion '!$D:$D,"")</f>
        <v/>
      </c>
      <c r="E148" s="239">
        <f t="shared" si="31"/>
        <v>0</v>
      </c>
      <c r="F148" s="240" cm="1">
        <f t="array" ref="F148">MIN(INDEX('Relacion '!$Z$5:$AA$493,MATCH(INDEX($B:$B, (ROW()-2)),'Relacion '!$E$5:$E$493,0),0))</f>
        <v>46084</v>
      </c>
      <c r="G148" s="240" cm="1">
        <f t="array" ref="G148">MAX(INDEX('Relacion '!$Z$5:$AA$493,MATCH(INDEX($B:$B, (ROW()-2)),'Relacion '!$E$5:$E$493,0),0))</f>
        <v>46084</v>
      </c>
      <c r="H148" s="241" cm="1">
        <f t="array" ref="H148">IF(
 MATCH(B148,{"01. ASIGNACION AREA";"02. MAPEO";"03. DESARROLLO";"04. VALIDA US";"05. VOBO US";"06. BW-EJECUCION";"07. VALIDACIÓN BAJAWARE";"08. CERRADA"},0)
 &lt;
 MATCH(_xlfn.XLOOKUP(INDEX($B:$B, (ROW()-2)),'Relacion '!$E:$E,'Relacion '!$D:$D,""),{"01. ASIGNACION AREA";"02. MAPEO";"03. DESARROLLO";"04. VALIDA US";"05. VOBO US";"06. BW-EJECUCION";"07. VALIDACIÓN BAJAWARE";"08. CERRADA"},0),
 1,
 IF(
  MATCH(B148,{"01. ASIGNACION AREA";"02. MAPEO";"03. DESARROLLO";"04. VALIDA US";"05. VOBO US";"06. BW-EJECUCION";"07. VALIDACIÓN BAJAWARE";"08. CERRADA"},0)
  =
  MATCH(_xlfn.XLOOKUP(INDEX($B:$B, (ROW()-2)),'Relacion '!$E:$E,'Relacion '!$D:$D,""),{"01. ASIGNACION AREA";"02. MAPEO";"03. DESARROLLO";"04. VALIDA US";"05. VOBO US";"06. BW-EJECUCION";"07. VALIDACIÓN BAJAWARE";"08. CERRADA"},0),
  _xlfn.XLOOKUP(INDEX($B:$B, (ROW()-2)),'Relacion '!$E:$E,'Relacion '!#REF!,0),
  0
 )
)</f>
        <v>1</v>
      </c>
      <c r="I148" s="241">
        <f t="shared" ca="1" si="33"/>
        <v>1</v>
      </c>
      <c r="J148" s="241"/>
      <c r="K148" s="241"/>
      <c r="L148" s="238"/>
    </row>
    <row r="149" spans="2:12" outlineLevel="1">
      <c r="B149" s="237" t="s">
        <v>49</v>
      </c>
      <c r="C149" s="237" t="s">
        <v>49</v>
      </c>
      <c r="D149" s="238" t="str">
        <f>_xlfn.XLOOKUP(B149,'Relacion '!$E:$E,'Relacion '!$D:$D,"")</f>
        <v/>
      </c>
      <c r="E149" s="239">
        <f t="shared" si="31"/>
        <v>13</v>
      </c>
      <c r="F149" s="240" cm="1">
        <f t="array" ref="F149">MIN(INDEX('Relacion '!$AB$5:$AC$493,MATCH(INDEX($B:$B, (ROW()-3)),'Relacion '!$E$5:$E$493,0),0))</f>
        <v>46085</v>
      </c>
      <c r="G149" s="240" cm="1">
        <f t="array" ref="G149">MAX(INDEX('Relacion '!$AB$5:$AC$493,MATCH(INDEX($B:$B, (ROW()-3)),'Relacion '!$E$5:$E$493,0),0))</f>
        <v>46098</v>
      </c>
      <c r="H149" s="241" cm="1">
        <f t="array" ref="H149">IF(
 MATCH(B149,{"01. ASIGNACION AREA";"02. MAPEO";"03. DESARROLLO";"04. VALIDA US";"05. VOBO US";"06. BW-EJECUCION";"07. VALIDACIÓN BAJAWARE";"08. CERRADA"},0)
 &lt;
 MATCH(_xlfn.XLOOKUP(INDEX($B:$B, (ROW()-3)),'Relacion '!$E:$E,'Relacion '!$D:$D,""),{"01. ASIGNACION AREA";"02. MAPEO";"03. DESARROLLO";"04. VALIDA US";"05. VOBO US";"06. BW-EJECUCION";"07. VALIDACIÓN BAJAWARE";"08. CERRADA"},0),
 1,
 IF(
  MATCH(B149,{"01. ASIGNACION AREA";"02. MAPEO";"03. DESARROLLO";"04. VALIDA US";"05. VOBO US";"06. BW-EJECUCION";"07. VALIDACIÓN BAJAWARE";"08. CERRADA"},0)
  =
  MATCH(_xlfn.XLOOKUP(INDEX($B:$B, (ROW()-3)),'Relacion '!$E:$E,'Relacion '!$D:$D,""),{"01. ASIGNACION AREA";"02. MAPEO";"03. DESARROLLO";"04. VALIDA US";"05. VOBO US";"06. BW-EJECUCION";"07. VALIDACIÓN BAJAWARE";"08. CERRADA"},0),
  _xlfn.XLOOKUP(INDEX($B:$B, (ROW()-3)),'Relacion '!$E:$E,'Relacion '!#REF!,0),
  0
 )
)</f>
        <v>1</v>
      </c>
      <c r="I149" s="241">
        <f t="shared" ca="1" si="33"/>
        <v>1</v>
      </c>
      <c r="J149" s="241"/>
      <c r="K149" s="241"/>
      <c r="L149" s="238"/>
    </row>
    <row r="150" spans="2:12" outlineLevel="1">
      <c r="B150" s="237" t="s">
        <v>324</v>
      </c>
      <c r="C150" s="237" t="s">
        <v>324</v>
      </c>
      <c r="D150" s="238" t="str">
        <f>_xlfn.XLOOKUP(B150,'Relacion '!$E:$E,'Relacion '!$D:$D,"")</f>
        <v/>
      </c>
      <c r="E150" s="239">
        <f t="shared" si="31"/>
        <v>20</v>
      </c>
      <c r="F150" s="240" cm="1">
        <f t="array" ref="F150">MIN(INDEX('Relacion '!$AD$5:$AE$493,MATCH(INDEX($B:$B, (ROW()-4)),'Relacion '!$E$5:$E$493,0),0))</f>
        <v>46099</v>
      </c>
      <c r="G150" s="240" cm="1">
        <f t="array" ref="G150">MAX(INDEX('Relacion '!$AD$5:$AE$493,MATCH(INDEX($B:$B, (ROW()-4)),'Relacion '!$E$5:$E$493,0),0))</f>
        <v>46119</v>
      </c>
      <c r="H150" s="241" t="e" cm="1">
        <f t="array" ref="H150">IF(
 MATCH(B150,{"01. ASIGNACION AREA";"02. MAPEO";"03. DESARROLLO";"04. VALIDA US";"05. VOBO US";"06. BW-EJECUCION";"07. VALIDACIÓN BAJAWARE";"08. CERRADA"},0)
 &lt;
 MATCH(_xlfn.XLOOKUP(INDEX($B:$B, (ROW()-4)),'Relacion '!$E:$E,'Relacion '!$D:$D,""),{"01. ASIGNACION AREA";"02. MAPEO";"03. DESARROLLO";"04. VALIDA US";"05. VOBO US";"06. BW-EJECUCION";"07. VALIDACIÓN BAJAWARE";"08. CERRADA"},0),
 1,
 IF(
  MATCH(B150,{"01. ASIGNACION AREA";"02. MAPEO";"03. DESARROLLO";"04. VALIDA US";"05. VOBO US";"06. BW-EJECUCION";"07. VALIDACIÓN BAJAWARE";"08. CERRADA"},0)
  =
  MATCH(_xlfn.XLOOKUP(INDEX($B:$B, (ROW()-4)),'Relacion '!$E:$E,'Relacion '!$D:$D,""),{"01. ASIGNACION AREA";"02. MAPEO";"03. DESARROLLO";"04. VALIDA US";"05. VOBO US";"06. BW-EJECUCION";"07. VALIDACIÓN BAJAWARE";"08. CERRADA"},0),
  _xlfn.XLOOKUP(INDEX($B:$B, (ROW()-4)),'Relacion '!$E:$E,'Relacion '!#REF!,0),
  0
 )
)</f>
        <v>#REF!</v>
      </c>
      <c r="I150" s="241">
        <f t="shared" ca="1" si="33"/>
        <v>1</v>
      </c>
      <c r="J150" s="241"/>
      <c r="K150" s="241"/>
      <c r="L150" s="238"/>
    </row>
    <row r="151" spans="2:12" outlineLevel="1">
      <c r="B151" s="237" t="s">
        <v>320</v>
      </c>
      <c r="C151" s="237" t="s">
        <v>320</v>
      </c>
      <c r="D151" s="238" t="str">
        <f>_xlfn.XLOOKUP(B151,'Relacion '!$E:$E,'Relacion '!$D:$D,"")</f>
        <v/>
      </c>
      <c r="E151" s="239">
        <f t="shared" si="31"/>
        <v>1</v>
      </c>
      <c r="F151" s="240" cm="1">
        <f t="array" ref="F151">MIN(INDEX('Relacion '!$AF$5:$AG$493,MATCH(INDEX($B:$B, (ROW()-5)),'Relacion '!$E$5:$E$493,0),0))</f>
        <v>46119</v>
      </c>
      <c r="G151" s="240" cm="1">
        <f t="array" ref="G151">MAX(INDEX('Relacion '!$AF$5:$AG$493,MATCH(INDEX($B:$B, (ROW()-5)),'Relacion '!$E$5:$E$493,0),0))</f>
        <v>46120</v>
      </c>
      <c r="H151" s="241" cm="1">
        <f t="array" ref="H151">IF(
 MATCH(B151,{"01. ASIGNACION AREA";"02. MAPEO";"03. DESARROLLO";"04. VALIDA US";"05. VOBO US";"06. BW-EJECUCION";"07. VALIDACIÓN BAJAWARE";"08. CERRADA"},0)
 &lt;
 MATCH(_xlfn.XLOOKUP(INDEX($B:$B, (ROW()-5)),'Relacion '!$E:$E,'Relacion '!$D:$D,""),{"01. ASIGNACION AREA";"02. MAPEO";"03. DESARROLLO";"04. VALIDA US";"05. VOBO US";"06. BW-EJECUCION";"07. VALIDACIÓN BAJAWARE";"08. CERRADA"},0),
 1,
 IF(
  MATCH(B151,{"01. ASIGNACION AREA";"02. MAPEO";"03. DESARROLLO";"04. VALIDA US";"05. VOBO US";"06. BW-EJECUCION";"07. VALIDACIÓN BAJAWARE";"08. CERRADA"},0)
  =
  MATCH(_xlfn.XLOOKUP(INDEX($B:$B, (ROW()-5)),'Relacion '!$E:$E,'Relacion '!$D:$D,""),{"01. ASIGNACION AREA";"02. MAPEO";"03. DESARROLLO";"04. VALIDA US";"05. VOBO US";"06. BW-EJECUCION";"07. VALIDACIÓN BAJAWARE";"08. CERRADA"},0),
  _xlfn.XLOOKUP(INDEX($B:$B, (ROW()-5)),'Relacion '!$E:$E,'Relacion '!#REF!,0),
  0
 )
)</f>
        <v>0</v>
      </c>
      <c r="I151" s="241">
        <f t="shared" ca="1" si="33"/>
        <v>1</v>
      </c>
      <c r="J151" s="241"/>
      <c r="K151" s="241"/>
      <c r="L151" s="238"/>
    </row>
    <row r="152" spans="2:12" outlineLevel="1">
      <c r="B152" s="237" t="s">
        <v>710</v>
      </c>
      <c r="C152" s="237" t="s">
        <v>710</v>
      </c>
      <c r="D152" s="238" t="str">
        <f>_xlfn.XLOOKUP(B152,'Relacion '!$E:$E,'Relacion '!$D:$D,"")</f>
        <v/>
      </c>
      <c r="E152" s="239">
        <f t="shared" si="31"/>
        <v>4</v>
      </c>
      <c r="F152" s="240" cm="1">
        <f t="array" ref="F152">MIN(INDEX('Relacion '!$AH$5:$AI$493,MATCH(INDEX($B:$B, (ROW()-6)),'Relacion '!$E$5:$E$493,0),0))</f>
        <v>46121</v>
      </c>
      <c r="G152" s="240" cm="1">
        <f t="array" ref="G152">MAX(INDEX('Relacion '!$AH$5:$AI$493,MATCH(INDEX($B:$B, (ROW()-6)),'Relacion '!$E$5:$E$493,0),0))</f>
        <v>46125</v>
      </c>
      <c r="H152" s="241" cm="1">
        <f t="array" ref="H152">IF(
 MATCH(B152,{"01. ASIGNACION AREA";"02. MAPEO";"03. DESARROLLO";"04. VALIDA US";"05. VOBO US";"06. BW-EJECUCION";"07. VALIDACIÓN BAJAWARE";"08. CERRADA"},0)
 &lt;
 MATCH(_xlfn.XLOOKUP(INDEX($B:$B, (ROW()-6)),'Relacion '!$E:$E,'Relacion '!$D:$D,""),{"01. ASIGNACION AREA";"02. MAPEO";"03. DESARROLLO";"04. VALIDA US";"05. VOBO US";"06. BW-EJECUCION";"07. VALIDACIÓN BAJAWARE";"08. CERRADA"},0),
 1,
 IF(
  MATCH(B152,{"01. ASIGNACION AREA";"02. MAPEO";"03. DESARROLLO";"04. VALIDA US";"05. VOBO US";"06. BW-EJECUCION";"07. VALIDACIÓN BAJAWARE";"08. CERRADA"},0)
  =
  MATCH(_xlfn.XLOOKUP(INDEX($B:$B, (ROW()-6)),'Relacion '!$E:$E,'Relacion '!$D:$D,""),{"01. ASIGNACION AREA";"02. MAPEO";"03. DESARROLLO";"04. VALIDA US";"05. VOBO US";"06. BW-EJECUCION";"07. VALIDACIÓN BAJAWARE";"08. CERRADA"},0),
  _xlfn.XLOOKUP(INDEX($B:$B, (ROW()-6)),'Relacion '!$E:$E,'Relacion '!#REF!,0),
  0
 )
)</f>
        <v>0</v>
      </c>
      <c r="I152" s="241">
        <f t="shared" ca="1" si="33"/>
        <v>1</v>
      </c>
      <c r="J152" s="241"/>
      <c r="K152" s="241"/>
      <c r="L152" s="238"/>
    </row>
    <row r="153" spans="2:12" outlineLevel="1">
      <c r="B153" s="237" t="s">
        <v>655</v>
      </c>
      <c r="C153" s="237" t="s">
        <v>655</v>
      </c>
      <c r="D153" s="238" t="str">
        <f>_xlfn.XLOOKUP(B153,'Relacion '!$E:$E,'Relacion '!$D:$D,"")</f>
        <v/>
      </c>
      <c r="E153" s="239">
        <f t="shared" si="31"/>
        <v>14</v>
      </c>
      <c r="F153" s="240" cm="1">
        <f t="array" ref="F153">MIN(INDEX('Relacion '!$AJ$5:$AK$493,MATCH(INDEX($B:$B, (ROW()-7)),'Relacion '!$E$5:$E$493,0),0))</f>
        <v>46126</v>
      </c>
      <c r="G153" s="240" cm="1">
        <f t="array" ref="G153">MAX(INDEX('Relacion '!$AJ$5:$AK$493,MATCH(INDEX($B:$B, (ROW()-7)),'Relacion '!$E$5:$E$493,0),0))</f>
        <v>46140</v>
      </c>
      <c r="H153" s="241" cm="1">
        <f t="array" ref="H153">IF(
 MATCH(B153,{"01. ASIGNACION AREA";"02. MAPEO";"03. DESARROLLO";"04. VALIDA US";"05. VOBO US";"06. BW-EJECUCION";"07. VALIDACIÓN BAJAWARE";"08. CERRADA"},0)
 &lt;
 MATCH(_xlfn.XLOOKUP(INDEX($B:$B, (ROW()-7)),'Relacion '!$E:$E,'Relacion '!$D:$D,""),{"01. ASIGNACION AREA";"02. MAPEO";"03. DESARROLLO";"04. VALIDA US";"05. VOBO US";"06. BW-EJECUCION";"07. VALIDACIÓN BAJAWARE";"08. CERRADA"},0),
 1,
 IF(
  MATCH(B153,{"01. ASIGNACION AREA";"02. MAPEO";"03. DESARROLLO";"04. VALIDA US";"05. VOBO US";"06. BW-EJECUCION";"07. VALIDACIÓN BAJAWARE";"08. CERRADA"},0)
  =
  MATCH(_xlfn.XLOOKUP(INDEX($B:$B, (ROW()-7)),'Relacion '!$E:$E,'Relacion '!$D:$D,""),{"01. ASIGNACION AREA";"02. MAPEO";"03. DESARROLLO";"04. VALIDA US";"05. VOBO US";"06. BW-EJECUCION";"07. VALIDACIÓN BAJAWARE";"08. CERRADA"},0),
  _xlfn.XLOOKUP(INDEX($B:$B, (ROW()-7)),'Relacion '!$E:$E,'Relacion '!#REF!,0),
  0
 )
)</f>
        <v>0</v>
      </c>
      <c r="I153" s="241">
        <f t="shared" ca="1" si="33"/>
        <v>1</v>
      </c>
      <c r="J153" s="241"/>
      <c r="K153" s="241"/>
      <c r="L153" s="238"/>
    </row>
    <row r="154" spans="2:12" outlineLevel="1">
      <c r="B154" s="237" t="s">
        <v>656</v>
      </c>
      <c r="C154" s="237" t="s">
        <v>656</v>
      </c>
      <c r="D154" s="238" t="str">
        <f>_xlfn.XLOOKUP(B154,'Relacion '!$E:$E,'Relacion '!$D:$D,"")</f>
        <v/>
      </c>
      <c r="E154" s="239">
        <f t="shared" si="31"/>
        <v>0</v>
      </c>
      <c r="F154" s="240" cm="1">
        <f t="array" ref="F154">MIN(INDEX('Relacion '!$AL$5:$AM$493,MATCH(INDEX($B:$B, (ROW()-8)),'Relacion '!$E$5:$E$493,0),0))</f>
        <v>46141</v>
      </c>
      <c r="G154" s="240" cm="1">
        <f t="array" ref="G154">MAX(INDEX('Relacion '!$AL$5:$AM$493,MATCH(INDEX($B:$B, (ROW()-8)),'Relacion '!$E$5:$E$493,0),0))</f>
        <v>46141</v>
      </c>
      <c r="H154" s="241" cm="1">
        <f t="array" ref="H154">IF(
 MATCH(B154,{"01. ASIGNACION AREA";"02. MAPEO";"03. DESARROLLO";"04. VALIDA US";"05. VOBO US";"06. BW-EJECUCION";"07. VALIDACIÓN BAJAWARE";"08. CERRADA"},0)
 &lt;
 MATCH(_xlfn.XLOOKUP(INDEX($B:$B, (ROW()-8)),'Relacion '!$E:$E,'Relacion '!$D:$D,""),{"01. ASIGNACION AREA";"02. MAPEO";"03. DESARROLLO";"04. VALIDA US";"05. VOBO US";"06. BW-EJECUCION";"07. VALIDACIÓN BAJAWARE";"08. CERRADA"},0),
 1,
 IF(
  MATCH(B154,{"01. ASIGNACION AREA";"02. MAPEO";"03. DESARROLLO";"04. VALIDA US";"05. VOBO US";"06. BW-EJECUCION";"07. VALIDACIÓN BAJAWARE";"08. CERRADA"},0)
  =
  MATCH(_xlfn.XLOOKUP(INDEX($B:$B, (ROW()-8)),'Relacion '!$E:$E,'Relacion '!$D:$D,""),{"01. ASIGNACION AREA";"02. MAPEO";"03. DESARROLLO";"04. VALIDA US";"05. VOBO US";"06. BW-EJECUCION";"07. VALIDACIÓN BAJAWARE";"08. CERRADA"},0),
  _xlfn.XLOOKUP(INDEX($B:$B, (ROW()-8)),'Relacion '!$E:$E,'Relacion '!#REF!,0),
  0
 )
)</f>
        <v>0</v>
      </c>
      <c r="I154" s="241">
        <f t="shared" ca="1" si="33"/>
        <v>1</v>
      </c>
      <c r="J154" s="241"/>
      <c r="K154" s="241"/>
      <c r="L154" s="238"/>
    </row>
    <row r="155" spans="2:12">
      <c r="B155" s="232" t="s">
        <v>522</v>
      </c>
      <c r="C155" s="86" t="s">
        <v>280</v>
      </c>
      <c r="D155" s="236" t="str">
        <f>_xlfn.XLOOKUP(B155,'Relacion '!$E:$E,'Relacion '!$D:$D,"")</f>
        <v>04. VALIDA US</v>
      </c>
      <c r="E155" s="233">
        <f t="shared" si="31"/>
        <v>117</v>
      </c>
      <c r="F155" s="234" cm="1">
        <f t="array" ref="F155">MIN(INDEX('Relacion '!$X$5:$AM$493,MATCH(INDEX($B:$B, (ROW()-0)),'Relacion '!$E$5:$E$493,0),0))</f>
        <v>46024</v>
      </c>
      <c r="G155" s="234" cm="1">
        <f t="array" ref="G155">MAX(INDEX('Relacion '!$X$5:$AM$493,MATCH(INDEX($B:$B, (ROW()-0)),'Relacion '!$E$5:$E$493,0),0))</f>
        <v>46141</v>
      </c>
      <c r="H155" s="235" t="e">
        <f>AVERAGE(H156:H163)</f>
        <v>#REF!</v>
      </c>
      <c r="I155" s="235">
        <f t="shared" ref="I155" ca="1" si="36">AVERAGE(I156:I163)</f>
        <v>1</v>
      </c>
      <c r="J155" s="236" t="str">
        <f>IF(ISNUMBER(SEARCH("Rocha", _xlfn.XLOOKUP(B155,'Relacion '!$E:$E,'Relacion '!$I:$I,""))), "Sí", "No")</f>
        <v>No</v>
      </c>
      <c r="K155" s="236" t="str">
        <f>IF(ISNUMBER(SEARCH("Rocha", _xlfn.XLOOKUP(B155,'Relacion '!$E:$E,'Relacion '!$I:$I,""))), "RMC", _xlfn.XLOOKUP(B155,'Relacion '!$E:$E,'Relacion '!$B:$B,""))</f>
        <v>Tesorería </v>
      </c>
      <c r="L155" s="236" t="str">
        <f>_xlfn.XLOOKUP(B155,'Relacion '!$E:$E,'Relacion '!$C:$C,"")</f>
        <v>Eduardo Cabral</v>
      </c>
    </row>
    <row r="156" spans="2:12" outlineLevel="1">
      <c r="B156" s="237" t="s">
        <v>654</v>
      </c>
      <c r="C156" s="237" t="s">
        <v>654</v>
      </c>
      <c r="D156" s="238" t="str">
        <f>_xlfn.XLOOKUP(B156,'Relacion '!$E:$E,'Relacion '!$D:$D,"")</f>
        <v/>
      </c>
      <c r="E156" s="239">
        <f t="shared" si="31"/>
        <v>59</v>
      </c>
      <c r="F156" s="240" cm="1">
        <f t="array" ref="F156">MIN(INDEX('Relacion '!$X$5:$Y$493,MATCH(INDEX($B:$B, (ROW()-1)),'Relacion '!$E$5:$E$493,0),0))</f>
        <v>46024</v>
      </c>
      <c r="G156" s="240" cm="1">
        <f t="array" ref="G156">MAX(INDEX('Relacion '!$X$5:$Y$493,MATCH(INDEX($B:$B, (ROW()-1)),'Relacion '!$E$5:$E$493,0),0))</f>
        <v>46083</v>
      </c>
      <c r="H156" s="241" cm="1">
        <f t="array" ref="H156">IF(
 MATCH(B156,{"01. ASIGNACION AREA";"02. MAPEO";"03. DESARROLLO";"04. VALIDA US";"05. VOBO US";"06. BW-EJECUCION";"07. VALIDACIÓN BAJAWARE";"08. CERRADA"},0)
 &lt;
 MATCH(_xlfn.XLOOKUP(INDEX($B:$B, (ROW()-1)),'Relacion '!$E:$E,'Relacion '!$D:$D,""),{"01. ASIGNACION AREA";"02. MAPEO";"03. DESARROLLO";"04. VALIDA US";"05. VOBO US";"06. BW-EJECUCION";"07. VALIDACIÓN BAJAWARE";"08. CERRADA"},0),
 1,
 IF(
  MATCH(B156,{"01. ASIGNACION AREA";"02. MAPEO";"03. DESARROLLO";"04. VALIDA US";"05. VOBO US";"06. BW-EJECUCION";"07. VALIDACIÓN BAJAWARE";"08. CERRADA"},0)
  =
  MATCH(_xlfn.XLOOKUP(INDEX($B:$B, (ROW()-1)),'Relacion '!$E:$E,'Relacion '!$D:$D,""),{"01. ASIGNACION AREA";"02. MAPEO";"03. DESARROLLO";"04. VALIDA US";"05. VOBO US";"06. BW-EJECUCION";"07. VALIDACIÓN BAJAWARE";"08. CERRADA"},0),
  _xlfn.XLOOKUP(INDEX($B:$B, (ROW()-1)),'Relacion '!$E:$E,'Relacion '!#REF!,0),
  0
 )
)</f>
        <v>1</v>
      </c>
      <c r="I156" s="241">
        <f t="shared" ref="I156" ca="1" si="37">IF(G156&lt;=TODAY(), 1, 0)</f>
        <v>1</v>
      </c>
      <c r="J156" s="241"/>
      <c r="K156" s="241"/>
      <c r="L156" s="238"/>
    </row>
    <row r="157" spans="2:12" outlineLevel="1">
      <c r="B157" s="237" t="s">
        <v>195</v>
      </c>
      <c r="C157" s="237" t="s">
        <v>195</v>
      </c>
      <c r="D157" s="238" t="str">
        <f>_xlfn.XLOOKUP(B157,'Relacion '!$E:$E,'Relacion '!$D:$D,"")</f>
        <v/>
      </c>
      <c r="E157" s="239">
        <f t="shared" si="31"/>
        <v>0</v>
      </c>
      <c r="F157" s="240" cm="1">
        <f t="array" ref="F157">MIN(INDEX('Relacion '!$Z$5:$AA$493,MATCH(INDEX($B:$B, (ROW()-2)),'Relacion '!$E$5:$E$493,0),0))</f>
        <v>46084</v>
      </c>
      <c r="G157" s="240" cm="1">
        <f t="array" ref="G157">MAX(INDEX('Relacion '!$Z$5:$AA$493,MATCH(INDEX($B:$B, (ROW()-2)),'Relacion '!$E$5:$E$493,0),0))</f>
        <v>46084</v>
      </c>
      <c r="H157" s="241" cm="1">
        <f t="array" ref="H157">IF(
 MATCH(B157,{"01. ASIGNACION AREA";"02. MAPEO";"03. DESARROLLO";"04. VALIDA US";"05. VOBO US";"06. BW-EJECUCION";"07. VALIDACIÓN BAJAWARE";"08. CERRADA"},0)
 &lt;
 MATCH(_xlfn.XLOOKUP(INDEX($B:$B, (ROW()-2)),'Relacion '!$E:$E,'Relacion '!$D:$D,""),{"01. ASIGNACION AREA";"02. MAPEO";"03. DESARROLLO";"04. VALIDA US";"05. VOBO US";"06. BW-EJECUCION";"07. VALIDACIÓN BAJAWARE";"08. CERRADA"},0),
 1,
 IF(
  MATCH(B157,{"01. ASIGNACION AREA";"02. MAPEO";"03. DESARROLLO";"04. VALIDA US";"05. VOBO US";"06. BW-EJECUCION";"07. VALIDACIÓN BAJAWARE";"08. CERRADA"},0)
  =
  MATCH(_xlfn.XLOOKUP(INDEX($B:$B, (ROW()-2)),'Relacion '!$E:$E,'Relacion '!$D:$D,""),{"01. ASIGNACION AREA";"02. MAPEO";"03. DESARROLLO";"04. VALIDA US";"05. VOBO US";"06. BW-EJECUCION";"07. VALIDACIÓN BAJAWARE";"08. CERRADA"},0),
  _xlfn.XLOOKUP(INDEX($B:$B, (ROW()-2)),'Relacion '!$E:$E,'Relacion '!#REF!,0),
  0
 )
)</f>
        <v>1</v>
      </c>
      <c r="I157" s="241">
        <f t="shared" ca="1" si="33"/>
        <v>1</v>
      </c>
      <c r="J157" s="241"/>
      <c r="K157" s="241"/>
      <c r="L157" s="238"/>
    </row>
    <row r="158" spans="2:12" outlineLevel="1">
      <c r="B158" s="237" t="s">
        <v>49</v>
      </c>
      <c r="C158" s="237" t="s">
        <v>49</v>
      </c>
      <c r="D158" s="238" t="str">
        <f>_xlfn.XLOOKUP(B158,'Relacion '!$E:$E,'Relacion '!$D:$D,"")</f>
        <v/>
      </c>
      <c r="E158" s="239">
        <f t="shared" si="31"/>
        <v>13</v>
      </c>
      <c r="F158" s="240" cm="1">
        <f t="array" ref="F158">MIN(INDEX('Relacion '!$AB$5:$AC$493,MATCH(INDEX($B:$B, (ROW()-3)),'Relacion '!$E$5:$E$493,0),0))</f>
        <v>46085</v>
      </c>
      <c r="G158" s="240" cm="1">
        <f t="array" ref="G158">MAX(INDEX('Relacion '!$AB$5:$AC$493,MATCH(INDEX($B:$B, (ROW()-3)),'Relacion '!$E$5:$E$493,0),0))</f>
        <v>46098</v>
      </c>
      <c r="H158" s="241" cm="1">
        <f t="array" ref="H158">IF(
 MATCH(B158,{"01. ASIGNACION AREA";"02. MAPEO";"03. DESARROLLO";"04. VALIDA US";"05. VOBO US";"06. BW-EJECUCION";"07. VALIDACIÓN BAJAWARE";"08. CERRADA"},0)
 &lt;
 MATCH(_xlfn.XLOOKUP(INDEX($B:$B, (ROW()-3)),'Relacion '!$E:$E,'Relacion '!$D:$D,""),{"01. ASIGNACION AREA";"02. MAPEO";"03. DESARROLLO";"04. VALIDA US";"05. VOBO US";"06. BW-EJECUCION";"07. VALIDACIÓN BAJAWARE";"08. CERRADA"},0),
 1,
 IF(
  MATCH(B158,{"01. ASIGNACION AREA";"02. MAPEO";"03. DESARROLLO";"04. VALIDA US";"05. VOBO US";"06. BW-EJECUCION";"07. VALIDACIÓN BAJAWARE";"08. CERRADA"},0)
  =
  MATCH(_xlfn.XLOOKUP(INDEX($B:$B, (ROW()-3)),'Relacion '!$E:$E,'Relacion '!$D:$D,""),{"01. ASIGNACION AREA";"02. MAPEO";"03. DESARROLLO";"04. VALIDA US";"05. VOBO US";"06. BW-EJECUCION";"07. VALIDACIÓN BAJAWARE";"08. CERRADA"},0),
  _xlfn.XLOOKUP(INDEX($B:$B, (ROW()-3)),'Relacion '!$E:$E,'Relacion '!#REF!,0),
  0
 )
)</f>
        <v>1</v>
      </c>
      <c r="I158" s="241">
        <f t="shared" ca="1" si="33"/>
        <v>1</v>
      </c>
      <c r="J158" s="241"/>
      <c r="K158" s="241"/>
      <c r="L158" s="238"/>
    </row>
    <row r="159" spans="2:12" outlineLevel="1">
      <c r="B159" s="237" t="s">
        <v>324</v>
      </c>
      <c r="C159" s="237" t="s">
        <v>324</v>
      </c>
      <c r="D159" s="238" t="str">
        <f>_xlfn.XLOOKUP(B159,'Relacion '!$E:$E,'Relacion '!$D:$D,"")</f>
        <v/>
      </c>
      <c r="E159" s="239">
        <f t="shared" si="31"/>
        <v>20</v>
      </c>
      <c r="F159" s="240" cm="1">
        <f t="array" ref="F159">MIN(INDEX('Relacion '!$AD$5:$AE$493,MATCH(INDEX($B:$B, (ROW()-4)),'Relacion '!$E$5:$E$493,0),0))</f>
        <v>46099</v>
      </c>
      <c r="G159" s="240" cm="1">
        <f t="array" ref="G159">MAX(INDEX('Relacion '!$AD$5:$AE$493,MATCH(INDEX($B:$B, (ROW()-4)),'Relacion '!$E$5:$E$493,0),0))</f>
        <v>46119</v>
      </c>
      <c r="H159" s="241" t="e" cm="1">
        <f t="array" ref="H159">IF(
 MATCH(B159,{"01. ASIGNACION AREA";"02. MAPEO";"03. DESARROLLO";"04. VALIDA US";"05. VOBO US";"06. BW-EJECUCION";"07. VALIDACIÓN BAJAWARE";"08. CERRADA"},0)
 &lt;
 MATCH(_xlfn.XLOOKUP(INDEX($B:$B, (ROW()-4)),'Relacion '!$E:$E,'Relacion '!$D:$D,""),{"01. ASIGNACION AREA";"02. MAPEO";"03. DESARROLLO";"04. VALIDA US";"05. VOBO US";"06. BW-EJECUCION";"07. VALIDACIÓN BAJAWARE";"08. CERRADA"},0),
 1,
 IF(
  MATCH(B159,{"01. ASIGNACION AREA";"02. MAPEO";"03. DESARROLLO";"04. VALIDA US";"05. VOBO US";"06. BW-EJECUCION";"07. VALIDACIÓN BAJAWARE";"08. CERRADA"},0)
  =
  MATCH(_xlfn.XLOOKUP(INDEX($B:$B, (ROW()-4)),'Relacion '!$E:$E,'Relacion '!$D:$D,""),{"01. ASIGNACION AREA";"02. MAPEO";"03. DESARROLLO";"04. VALIDA US";"05. VOBO US";"06. BW-EJECUCION";"07. VALIDACIÓN BAJAWARE";"08. CERRADA"},0),
  _xlfn.XLOOKUP(INDEX($B:$B, (ROW()-4)),'Relacion '!$E:$E,'Relacion '!#REF!,0),
  0
 )
)</f>
        <v>#REF!</v>
      </c>
      <c r="I159" s="241">
        <f t="shared" ca="1" si="33"/>
        <v>1</v>
      </c>
      <c r="J159" s="241"/>
      <c r="K159" s="241"/>
      <c r="L159" s="238"/>
    </row>
    <row r="160" spans="2:12" outlineLevel="1">
      <c r="B160" s="237" t="s">
        <v>320</v>
      </c>
      <c r="C160" s="237" t="s">
        <v>320</v>
      </c>
      <c r="D160" s="238" t="str">
        <f>_xlfn.XLOOKUP(B160,'Relacion '!$E:$E,'Relacion '!$D:$D,"")</f>
        <v/>
      </c>
      <c r="E160" s="239">
        <f t="shared" si="31"/>
        <v>1</v>
      </c>
      <c r="F160" s="240" cm="1">
        <f t="array" ref="F160">MIN(INDEX('Relacion '!$AF$5:$AG$493,MATCH(INDEX($B:$B, (ROW()-5)),'Relacion '!$E$5:$E$493,0),0))</f>
        <v>46119</v>
      </c>
      <c r="G160" s="240" cm="1">
        <f t="array" ref="G160">MAX(INDEX('Relacion '!$AF$5:$AG$493,MATCH(INDEX($B:$B, (ROW()-5)),'Relacion '!$E$5:$E$493,0),0))</f>
        <v>46120</v>
      </c>
      <c r="H160" s="241" cm="1">
        <f t="array" ref="H160">IF(
 MATCH(B160,{"01. ASIGNACION AREA";"02. MAPEO";"03. DESARROLLO";"04. VALIDA US";"05. VOBO US";"06. BW-EJECUCION";"07. VALIDACIÓN BAJAWARE";"08. CERRADA"},0)
 &lt;
 MATCH(_xlfn.XLOOKUP(INDEX($B:$B, (ROW()-5)),'Relacion '!$E:$E,'Relacion '!$D:$D,""),{"01. ASIGNACION AREA";"02. MAPEO";"03. DESARROLLO";"04. VALIDA US";"05. VOBO US";"06. BW-EJECUCION";"07. VALIDACIÓN BAJAWARE";"08. CERRADA"},0),
 1,
 IF(
  MATCH(B160,{"01. ASIGNACION AREA";"02. MAPEO";"03. DESARROLLO";"04. VALIDA US";"05. VOBO US";"06. BW-EJECUCION";"07. VALIDACIÓN BAJAWARE";"08. CERRADA"},0)
  =
  MATCH(_xlfn.XLOOKUP(INDEX($B:$B, (ROW()-5)),'Relacion '!$E:$E,'Relacion '!$D:$D,""),{"01. ASIGNACION AREA";"02. MAPEO";"03. DESARROLLO";"04. VALIDA US";"05. VOBO US";"06. BW-EJECUCION";"07. VALIDACIÓN BAJAWARE";"08. CERRADA"},0),
  _xlfn.XLOOKUP(INDEX($B:$B, (ROW()-5)),'Relacion '!$E:$E,'Relacion '!#REF!,0),
  0
 )
)</f>
        <v>0</v>
      </c>
      <c r="I160" s="241">
        <f t="shared" ca="1" si="33"/>
        <v>1</v>
      </c>
      <c r="J160" s="241"/>
      <c r="K160" s="241"/>
      <c r="L160" s="238"/>
    </row>
    <row r="161" spans="2:12" outlineLevel="1">
      <c r="B161" s="237" t="s">
        <v>710</v>
      </c>
      <c r="C161" s="237" t="s">
        <v>710</v>
      </c>
      <c r="D161" s="238" t="str">
        <f>_xlfn.XLOOKUP(B161,'Relacion '!$E:$E,'Relacion '!$D:$D,"")</f>
        <v/>
      </c>
      <c r="E161" s="239">
        <f t="shared" si="31"/>
        <v>4</v>
      </c>
      <c r="F161" s="240" cm="1">
        <f t="array" ref="F161">MIN(INDEX('Relacion '!$AH$5:$AI$493,MATCH(INDEX($B:$B, (ROW()-6)),'Relacion '!$E$5:$E$493,0),0))</f>
        <v>46121</v>
      </c>
      <c r="G161" s="240" cm="1">
        <f t="array" ref="G161">MAX(INDEX('Relacion '!$AH$5:$AI$493,MATCH(INDEX($B:$B, (ROW()-6)),'Relacion '!$E$5:$E$493,0),0))</f>
        <v>46125</v>
      </c>
      <c r="H161" s="241" cm="1">
        <f t="array" ref="H161">IF(
 MATCH(B161,{"01. ASIGNACION AREA";"02. MAPEO";"03. DESARROLLO";"04. VALIDA US";"05. VOBO US";"06. BW-EJECUCION";"07. VALIDACIÓN BAJAWARE";"08. CERRADA"},0)
 &lt;
 MATCH(_xlfn.XLOOKUP(INDEX($B:$B, (ROW()-6)),'Relacion '!$E:$E,'Relacion '!$D:$D,""),{"01. ASIGNACION AREA";"02. MAPEO";"03. DESARROLLO";"04. VALIDA US";"05. VOBO US";"06. BW-EJECUCION";"07. VALIDACIÓN BAJAWARE";"08. CERRADA"},0),
 1,
 IF(
  MATCH(B161,{"01. ASIGNACION AREA";"02. MAPEO";"03. DESARROLLO";"04. VALIDA US";"05. VOBO US";"06. BW-EJECUCION";"07. VALIDACIÓN BAJAWARE";"08. CERRADA"},0)
  =
  MATCH(_xlfn.XLOOKUP(INDEX($B:$B, (ROW()-6)),'Relacion '!$E:$E,'Relacion '!$D:$D,""),{"01. ASIGNACION AREA";"02. MAPEO";"03. DESARROLLO";"04. VALIDA US";"05. VOBO US";"06. BW-EJECUCION";"07. VALIDACIÓN BAJAWARE";"08. CERRADA"},0),
  _xlfn.XLOOKUP(INDEX($B:$B, (ROW()-6)),'Relacion '!$E:$E,'Relacion '!#REF!,0),
  0
 )
)</f>
        <v>0</v>
      </c>
      <c r="I161" s="241">
        <f t="shared" ca="1" si="33"/>
        <v>1</v>
      </c>
      <c r="J161" s="241"/>
      <c r="K161" s="241"/>
      <c r="L161" s="238"/>
    </row>
    <row r="162" spans="2:12" outlineLevel="1">
      <c r="B162" s="237" t="s">
        <v>655</v>
      </c>
      <c r="C162" s="237" t="s">
        <v>655</v>
      </c>
      <c r="D162" s="238" t="str">
        <f>_xlfn.XLOOKUP(B162,'Relacion '!$E:$E,'Relacion '!$D:$D,"")</f>
        <v/>
      </c>
      <c r="E162" s="239">
        <f t="shared" si="31"/>
        <v>14</v>
      </c>
      <c r="F162" s="240" cm="1">
        <f t="array" ref="F162">MIN(INDEX('Relacion '!$AJ$5:$AK$493,MATCH(INDEX($B:$B, (ROW()-7)),'Relacion '!$E$5:$E$493,0),0))</f>
        <v>46126</v>
      </c>
      <c r="G162" s="240" cm="1">
        <f t="array" ref="G162">MAX(INDEX('Relacion '!$AJ$5:$AK$493,MATCH(INDEX($B:$B, (ROW()-7)),'Relacion '!$E$5:$E$493,0),0))</f>
        <v>46140</v>
      </c>
      <c r="H162" s="241" cm="1">
        <f t="array" ref="H162">IF(
 MATCH(B162,{"01. ASIGNACION AREA";"02. MAPEO";"03. DESARROLLO";"04. VALIDA US";"05. VOBO US";"06. BW-EJECUCION";"07. VALIDACIÓN BAJAWARE";"08. CERRADA"},0)
 &lt;
 MATCH(_xlfn.XLOOKUP(INDEX($B:$B, (ROW()-7)),'Relacion '!$E:$E,'Relacion '!$D:$D,""),{"01. ASIGNACION AREA";"02. MAPEO";"03. DESARROLLO";"04. VALIDA US";"05. VOBO US";"06. BW-EJECUCION";"07. VALIDACIÓN BAJAWARE";"08. CERRADA"},0),
 1,
 IF(
  MATCH(B162,{"01. ASIGNACION AREA";"02. MAPEO";"03. DESARROLLO";"04. VALIDA US";"05. VOBO US";"06. BW-EJECUCION";"07. VALIDACIÓN BAJAWARE";"08. CERRADA"},0)
  =
  MATCH(_xlfn.XLOOKUP(INDEX($B:$B, (ROW()-7)),'Relacion '!$E:$E,'Relacion '!$D:$D,""),{"01. ASIGNACION AREA";"02. MAPEO";"03. DESARROLLO";"04. VALIDA US";"05. VOBO US";"06. BW-EJECUCION";"07. VALIDACIÓN BAJAWARE";"08. CERRADA"},0),
  _xlfn.XLOOKUP(INDEX($B:$B, (ROW()-7)),'Relacion '!$E:$E,'Relacion '!#REF!,0),
  0
 )
)</f>
        <v>0</v>
      </c>
      <c r="I162" s="241">
        <f t="shared" ca="1" si="33"/>
        <v>1</v>
      </c>
      <c r="J162" s="241"/>
      <c r="K162" s="241"/>
      <c r="L162" s="238"/>
    </row>
    <row r="163" spans="2:12" outlineLevel="1">
      <c r="B163" s="237" t="s">
        <v>656</v>
      </c>
      <c r="C163" s="237" t="s">
        <v>656</v>
      </c>
      <c r="D163" s="238" t="str">
        <f>_xlfn.XLOOKUP(B163,'Relacion '!$E:$E,'Relacion '!$D:$D,"")</f>
        <v/>
      </c>
      <c r="E163" s="239">
        <f t="shared" si="31"/>
        <v>0</v>
      </c>
      <c r="F163" s="240" cm="1">
        <f t="array" ref="F163">MIN(INDEX('Relacion '!$AL$5:$AM$493,MATCH(INDEX($B:$B, (ROW()-8)),'Relacion '!$E$5:$E$493,0),0))</f>
        <v>46141</v>
      </c>
      <c r="G163" s="240" cm="1">
        <f t="array" ref="G163">MAX(INDEX('Relacion '!$AL$5:$AM$493,MATCH(INDEX($B:$B, (ROW()-8)),'Relacion '!$E$5:$E$493,0),0))</f>
        <v>46141</v>
      </c>
      <c r="H163" s="241" cm="1">
        <f t="array" ref="H163">IF(
 MATCH(B163,{"01. ASIGNACION AREA";"02. MAPEO";"03. DESARROLLO";"04. VALIDA US";"05. VOBO US";"06. BW-EJECUCION";"07. VALIDACIÓN BAJAWARE";"08. CERRADA"},0)
 &lt;
 MATCH(_xlfn.XLOOKUP(INDEX($B:$B, (ROW()-8)),'Relacion '!$E:$E,'Relacion '!$D:$D,""),{"01. ASIGNACION AREA";"02. MAPEO";"03. DESARROLLO";"04. VALIDA US";"05. VOBO US";"06. BW-EJECUCION";"07. VALIDACIÓN BAJAWARE";"08. CERRADA"},0),
 1,
 IF(
  MATCH(B163,{"01. ASIGNACION AREA";"02. MAPEO";"03. DESARROLLO";"04. VALIDA US";"05. VOBO US";"06. BW-EJECUCION";"07. VALIDACIÓN BAJAWARE";"08. CERRADA"},0)
  =
  MATCH(_xlfn.XLOOKUP(INDEX($B:$B, (ROW()-8)),'Relacion '!$E:$E,'Relacion '!$D:$D,""),{"01. ASIGNACION AREA";"02. MAPEO";"03. DESARROLLO";"04. VALIDA US";"05. VOBO US";"06. BW-EJECUCION";"07. VALIDACIÓN BAJAWARE";"08. CERRADA"},0),
  _xlfn.XLOOKUP(INDEX($B:$B, (ROW()-8)),'Relacion '!$E:$E,'Relacion '!#REF!,0),
  0
 )
)</f>
        <v>0</v>
      </c>
      <c r="I163" s="241">
        <f t="shared" ca="1" si="33"/>
        <v>1</v>
      </c>
      <c r="J163" s="241"/>
      <c r="K163" s="241"/>
      <c r="L163" s="238"/>
    </row>
    <row r="164" spans="2:12">
      <c r="B164" s="232" t="s">
        <v>523</v>
      </c>
      <c r="C164" s="86" t="s">
        <v>280</v>
      </c>
      <c r="D164" s="236" t="str">
        <f>_xlfn.XLOOKUP(B164,'Relacion '!$E:$E,'Relacion '!$D:$D,"")</f>
        <v>04. VALIDA US</v>
      </c>
      <c r="E164" s="233">
        <f t="shared" si="31"/>
        <v>117</v>
      </c>
      <c r="F164" s="234" cm="1">
        <f t="array" ref="F164">MIN(INDEX('Relacion '!$X$5:$AM$493,MATCH(INDEX($B:$B, (ROW()-0)),'Relacion '!$E$5:$E$493,0),0))</f>
        <v>46024</v>
      </c>
      <c r="G164" s="234" cm="1">
        <f t="array" ref="G164">MAX(INDEX('Relacion '!$X$5:$AM$493,MATCH(INDEX($B:$B, (ROW()-0)),'Relacion '!$E$5:$E$493,0),0))</f>
        <v>46141</v>
      </c>
      <c r="H164" s="235" t="e">
        <f>AVERAGE(H165:H172)</f>
        <v>#REF!</v>
      </c>
      <c r="I164" s="235">
        <f t="shared" ref="I164" ca="1" si="38">AVERAGE(I165:I172)</f>
        <v>1</v>
      </c>
      <c r="J164" s="236" t="str">
        <f>IF(ISNUMBER(SEARCH("Rocha", _xlfn.XLOOKUP(B164,'Relacion '!$E:$E,'Relacion '!$I:$I,""))), "Sí", "No")</f>
        <v>No</v>
      </c>
      <c r="K164" s="236" t="str">
        <f>IF(ISNUMBER(SEARCH("Rocha", _xlfn.XLOOKUP(B164,'Relacion '!$E:$E,'Relacion '!$I:$I,""))), "RMC", _xlfn.XLOOKUP(B164,'Relacion '!$E:$E,'Relacion '!$B:$B,""))</f>
        <v>Tesorería </v>
      </c>
      <c r="L164" s="236" t="str">
        <f>_xlfn.XLOOKUP(B164,'Relacion '!$E:$E,'Relacion '!$C:$C,"")</f>
        <v>Eduardo Cabral</v>
      </c>
    </row>
    <row r="165" spans="2:12" outlineLevel="1">
      <c r="B165" s="237" t="s">
        <v>654</v>
      </c>
      <c r="C165" s="237" t="s">
        <v>654</v>
      </c>
      <c r="D165" s="238" t="str">
        <f>_xlfn.XLOOKUP(B165,'Relacion '!$E:$E,'Relacion '!$D:$D,"")</f>
        <v/>
      </c>
      <c r="E165" s="239">
        <f t="shared" si="31"/>
        <v>59</v>
      </c>
      <c r="F165" s="240" cm="1">
        <f t="array" ref="F165">MIN(INDEX('Relacion '!$X$5:$Y$493,MATCH(INDEX($B:$B, (ROW()-1)),'Relacion '!$E$5:$E$493,0),0))</f>
        <v>46024</v>
      </c>
      <c r="G165" s="240" cm="1">
        <f t="array" ref="G165">MAX(INDEX('Relacion '!$X$5:$Y$493,MATCH(INDEX($B:$B, (ROW()-1)),'Relacion '!$E$5:$E$493,0),0))</f>
        <v>46083</v>
      </c>
      <c r="H165" s="241" cm="1">
        <f t="array" ref="H165">IF(
 MATCH(B165,{"01. ASIGNACION AREA";"02. MAPEO";"03. DESARROLLO";"04. VALIDA US";"05. VOBO US";"06. BW-EJECUCION";"07. VALIDACIÓN BAJAWARE";"08. CERRADA"},0)
 &lt;
 MATCH(_xlfn.XLOOKUP(INDEX($B:$B, (ROW()-1)),'Relacion '!$E:$E,'Relacion '!$D:$D,""),{"01. ASIGNACION AREA";"02. MAPEO";"03. DESARROLLO";"04. VALIDA US";"05. VOBO US";"06. BW-EJECUCION";"07. VALIDACIÓN BAJAWARE";"08. CERRADA"},0),
 1,
 IF(
  MATCH(B165,{"01. ASIGNACION AREA";"02. MAPEO";"03. DESARROLLO";"04. VALIDA US";"05. VOBO US";"06. BW-EJECUCION";"07. VALIDACIÓN BAJAWARE";"08. CERRADA"},0)
  =
  MATCH(_xlfn.XLOOKUP(INDEX($B:$B, (ROW()-1)),'Relacion '!$E:$E,'Relacion '!$D:$D,""),{"01. ASIGNACION AREA";"02. MAPEO";"03. DESARROLLO";"04. VALIDA US";"05. VOBO US";"06. BW-EJECUCION";"07. VALIDACIÓN BAJAWARE";"08. CERRADA"},0),
  _xlfn.XLOOKUP(INDEX($B:$B, (ROW()-1)),'Relacion '!$E:$E,'Relacion '!#REF!,0),
  0
 )
)</f>
        <v>1</v>
      </c>
      <c r="I165" s="241">
        <f t="shared" ref="I165" ca="1" si="39">IF(G165&lt;=TODAY(), 1, 0)</f>
        <v>1</v>
      </c>
      <c r="J165" s="241"/>
      <c r="K165" s="241"/>
      <c r="L165" s="238"/>
    </row>
    <row r="166" spans="2:12" outlineLevel="1">
      <c r="B166" s="237" t="s">
        <v>195</v>
      </c>
      <c r="C166" s="237" t="s">
        <v>195</v>
      </c>
      <c r="D166" s="238" t="str">
        <f>_xlfn.XLOOKUP(B166,'Relacion '!$E:$E,'Relacion '!$D:$D,"")</f>
        <v/>
      </c>
      <c r="E166" s="239">
        <f t="shared" si="31"/>
        <v>0</v>
      </c>
      <c r="F166" s="240" cm="1">
        <f t="array" ref="F166">MIN(INDEX('Relacion '!$Z$5:$AA$493,MATCH(INDEX($B:$B, (ROW()-2)),'Relacion '!$E$5:$E$493,0),0))</f>
        <v>46084</v>
      </c>
      <c r="G166" s="240" cm="1">
        <f t="array" ref="G166">MAX(INDEX('Relacion '!$Z$5:$AA$493,MATCH(INDEX($B:$B, (ROW()-2)),'Relacion '!$E$5:$E$493,0),0))</f>
        <v>46084</v>
      </c>
      <c r="H166" s="241" cm="1">
        <f t="array" ref="H166">IF(
 MATCH(B166,{"01. ASIGNACION AREA";"02. MAPEO";"03. DESARROLLO";"04. VALIDA US";"05. VOBO US";"06. BW-EJECUCION";"07. VALIDACIÓN BAJAWARE";"08. CERRADA"},0)
 &lt;
 MATCH(_xlfn.XLOOKUP(INDEX($B:$B, (ROW()-2)),'Relacion '!$E:$E,'Relacion '!$D:$D,""),{"01. ASIGNACION AREA";"02. MAPEO";"03. DESARROLLO";"04. VALIDA US";"05. VOBO US";"06. BW-EJECUCION";"07. VALIDACIÓN BAJAWARE";"08. CERRADA"},0),
 1,
 IF(
  MATCH(B166,{"01. ASIGNACION AREA";"02. MAPEO";"03. DESARROLLO";"04. VALIDA US";"05. VOBO US";"06. BW-EJECUCION";"07. VALIDACIÓN BAJAWARE";"08. CERRADA"},0)
  =
  MATCH(_xlfn.XLOOKUP(INDEX($B:$B, (ROW()-2)),'Relacion '!$E:$E,'Relacion '!$D:$D,""),{"01. ASIGNACION AREA";"02. MAPEO";"03. DESARROLLO";"04. VALIDA US";"05. VOBO US";"06. BW-EJECUCION";"07. VALIDACIÓN BAJAWARE";"08. CERRADA"},0),
  _xlfn.XLOOKUP(INDEX($B:$B, (ROW()-2)),'Relacion '!$E:$E,'Relacion '!#REF!,0),
  0
 )
)</f>
        <v>1</v>
      </c>
      <c r="I166" s="241">
        <f t="shared" ca="1" si="33"/>
        <v>1</v>
      </c>
      <c r="J166" s="241"/>
      <c r="K166" s="241"/>
      <c r="L166" s="238"/>
    </row>
    <row r="167" spans="2:12" outlineLevel="1">
      <c r="B167" s="237" t="s">
        <v>49</v>
      </c>
      <c r="C167" s="237" t="s">
        <v>49</v>
      </c>
      <c r="D167" s="238" t="str">
        <f>_xlfn.XLOOKUP(B167,'Relacion '!$E:$E,'Relacion '!$D:$D,"")</f>
        <v/>
      </c>
      <c r="E167" s="239">
        <f t="shared" si="31"/>
        <v>13</v>
      </c>
      <c r="F167" s="240" cm="1">
        <f t="array" ref="F167">MIN(INDEX('Relacion '!$AB$5:$AC$493,MATCH(INDEX($B:$B, (ROW()-3)),'Relacion '!$E$5:$E$493,0),0))</f>
        <v>46085</v>
      </c>
      <c r="G167" s="240" cm="1">
        <f t="array" ref="G167">MAX(INDEX('Relacion '!$AB$5:$AC$493,MATCH(INDEX($B:$B, (ROW()-3)),'Relacion '!$E$5:$E$493,0),0))</f>
        <v>46098</v>
      </c>
      <c r="H167" s="241" cm="1">
        <f t="array" ref="H167">IF(
 MATCH(B167,{"01. ASIGNACION AREA";"02. MAPEO";"03. DESARROLLO";"04. VALIDA US";"05. VOBO US";"06. BW-EJECUCION";"07. VALIDACIÓN BAJAWARE";"08. CERRADA"},0)
 &lt;
 MATCH(_xlfn.XLOOKUP(INDEX($B:$B, (ROW()-3)),'Relacion '!$E:$E,'Relacion '!$D:$D,""),{"01. ASIGNACION AREA";"02. MAPEO";"03. DESARROLLO";"04. VALIDA US";"05. VOBO US";"06. BW-EJECUCION";"07. VALIDACIÓN BAJAWARE";"08. CERRADA"},0),
 1,
 IF(
  MATCH(B167,{"01. ASIGNACION AREA";"02. MAPEO";"03. DESARROLLO";"04. VALIDA US";"05. VOBO US";"06. BW-EJECUCION";"07. VALIDACIÓN BAJAWARE";"08. CERRADA"},0)
  =
  MATCH(_xlfn.XLOOKUP(INDEX($B:$B, (ROW()-3)),'Relacion '!$E:$E,'Relacion '!$D:$D,""),{"01. ASIGNACION AREA";"02. MAPEO";"03. DESARROLLO";"04. VALIDA US";"05. VOBO US";"06. BW-EJECUCION";"07. VALIDACIÓN BAJAWARE";"08. CERRADA"},0),
  _xlfn.XLOOKUP(INDEX($B:$B, (ROW()-3)),'Relacion '!$E:$E,'Relacion '!#REF!,0),
  0
 )
)</f>
        <v>1</v>
      </c>
      <c r="I167" s="241">
        <f t="shared" ca="1" si="33"/>
        <v>1</v>
      </c>
      <c r="J167" s="241"/>
      <c r="K167" s="241"/>
      <c r="L167" s="238"/>
    </row>
    <row r="168" spans="2:12" outlineLevel="1">
      <c r="B168" s="237" t="s">
        <v>324</v>
      </c>
      <c r="C168" s="237" t="s">
        <v>324</v>
      </c>
      <c r="D168" s="238" t="str">
        <f>_xlfn.XLOOKUP(B168,'Relacion '!$E:$E,'Relacion '!$D:$D,"")</f>
        <v/>
      </c>
      <c r="E168" s="239">
        <f t="shared" si="31"/>
        <v>20</v>
      </c>
      <c r="F168" s="240" cm="1">
        <f t="array" ref="F168">MIN(INDEX('Relacion '!$AD$5:$AE$493,MATCH(INDEX($B:$B, (ROW()-4)),'Relacion '!$E$5:$E$493,0),0))</f>
        <v>46099</v>
      </c>
      <c r="G168" s="240" cm="1">
        <f t="array" ref="G168">MAX(INDEX('Relacion '!$AD$5:$AE$493,MATCH(INDEX($B:$B, (ROW()-4)),'Relacion '!$E$5:$E$493,0),0))</f>
        <v>46119</v>
      </c>
      <c r="H168" s="241" t="e" cm="1">
        <f t="array" ref="H168">IF(
 MATCH(B168,{"01. ASIGNACION AREA";"02. MAPEO";"03. DESARROLLO";"04. VALIDA US";"05. VOBO US";"06. BW-EJECUCION";"07. VALIDACIÓN BAJAWARE";"08. CERRADA"},0)
 &lt;
 MATCH(_xlfn.XLOOKUP(INDEX($B:$B, (ROW()-4)),'Relacion '!$E:$E,'Relacion '!$D:$D,""),{"01. ASIGNACION AREA";"02. MAPEO";"03. DESARROLLO";"04. VALIDA US";"05. VOBO US";"06. BW-EJECUCION";"07. VALIDACIÓN BAJAWARE";"08. CERRADA"},0),
 1,
 IF(
  MATCH(B168,{"01. ASIGNACION AREA";"02. MAPEO";"03. DESARROLLO";"04. VALIDA US";"05. VOBO US";"06. BW-EJECUCION";"07. VALIDACIÓN BAJAWARE";"08. CERRADA"},0)
  =
  MATCH(_xlfn.XLOOKUP(INDEX($B:$B, (ROW()-4)),'Relacion '!$E:$E,'Relacion '!$D:$D,""),{"01. ASIGNACION AREA";"02. MAPEO";"03. DESARROLLO";"04. VALIDA US";"05. VOBO US";"06. BW-EJECUCION";"07. VALIDACIÓN BAJAWARE";"08. CERRADA"},0),
  _xlfn.XLOOKUP(INDEX($B:$B, (ROW()-4)),'Relacion '!$E:$E,'Relacion '!#REF!,0),
  0
 )
)</f>
        <v>#REF!</v>
      </c>
      <c r="I168" s="241">
        <f t="shared" ca="1" si="33"/>
        <v>1</v>
      </c>
      <c r="J168" s="241"/>
      <c r="K168" s="241"/>
      <c r="L168" s="238"/>
    </row>
    <row r="169" spans="2:12" outlineLevel="1">
      <c r="B169" s="237" t="s">
        <v>320</v>
      </c>
      <c r="C169" s="237" t="s">
        <v>320</v>
      </c>
      <c r="D169" s="238" t="str">
        <f>_xlfn.XLOOKUP(B169,'Relacion '!$E:$E,'Relacion '!$D:$D,"")</f>
        <v/>
      </c>
      <c r="E169" s="239">
        <f t="shared" si="31"/>
        <v>1</v>
      </c>
      <c r="F169" s="240" cm="1">
        <f t="array" ref="F169">MIN(INDEX('Relacion '!$AF$5:$AG$493,MATCH(INDEX($B:$B, (ROW()-5)),'Relacion '!$E$5:$E$493,0),0))</f>
        <v>46119</v>
      </c>
      <c r="G169" s="240" cm="1">
        <f t="array" ref="G169">MAX(INDEX('Relacion '!$AF$5:$AG$493,MATCH(INDEX($B:$B, (ROW()-5)),'Relacion '!$E$5:$E$493,0),0))</f>
        <v>46120</v>
      </c>
      <c r="H169" s="241" cm="1">
        <f t="array" ref="H169">IF(
 MATCH(B169,{"01. ASIGNACION AREA";"02. MAPEO";"03. DESARROLLO";"04. VALIDA US";"05. VOBO US";"06. BW-EJECUCION";"07. VALIDACIÓN BAJAWARE";"08. CERRADA"},0)
 &lt;
 MATCH(_xlfn.XLOOKUP(INDEX($B:$B, (ROW()-5)),'Relacion '!$E:$E,'Relacion '!$D:$D,""),{"01. ASIGNACION AREA";"02. MAPEO";"03. DESARROLLO";"04. VALIDA US";"05. VOBO US";"06. BW-EJECUCION";"07. VALIDACIÓN BAJAWARE";"08. CERRADA"},0),
 1,
 IF(
  MATCH(B169,{"01. ASIGNACION AREA";"02. MAPEO";"03. DESARROLLO";"04. VALIDA US";"05. VOBO US";"06. BW-EJECUCION";"07. VALIDACIÓN BAJAWARE";"08. CERRADA"},0)
  =
  MATCH(_xlfn.XLOOKUP(INDEX($B:$B, (ROW()-5)),'Relacion '!$E:$E,'Relacion '!$D:$D,""),{"01. ASIGNACION AREA";"02. MAPEO";"03. DESARROLLO";"04. VALIDA US";"05. VOBO US";"06. BW-EJECUCION";"07. VALIDACIÓN BAJAWARE";"08. CERRADA"},0),
  _xlfn.XLOOKUP(INDEX($B:$B, (ROW()-5)),'Relacion '!$E:$E,'Relacion '!#REF!,0),
  0
 )
)</f>
        <v>0</v>
      </c>
      <c r="I169" s="241">
        <f t="shared" ca="1" si="33"/>
        <v>1</v>
      </c>
      <c r="J169" s="241"/>
      <c r="K169" s="241"/>
      <c r="L169" s="238"/>
    </row>
    <row r="170" spans="2:12" outlineLevel="1">
      <c r="B170" s="237" t="s">
        <v>710</v>
      </c>
      <c r="C170" s="237" t="s">
        <v>710</v>
      </c>
      <c r="D170" s="238" t="str">
        <f>_xlfn.XLOOKUP(B170,'Relacion '!$E:$E,'Relacion '!$D:$D,"")</f>
        <v/>
      </c>
      <c r="E170" s="239">
        <f t="shared" si="31"/>
        <v>4</v>
      </c>
      <c r="F170" s="240" cm="1">
        <f t="array" ref="F170">MIN(INDEX('Relacion '!$AH$5:$AI$493,MATCH(INDEX($B:$B, (ROW()-6)),'Relacion '!$E$5:$E$493,0),0))</f>
        <v>46121</v>
      </c>
      <c r="G170" s="240" cm="1">
        <f t="array" ref="G170">MAX(INDEX('Relacion '!$AH$5:$AI$493,MATCH(INDEX($B:$B, (ROW()-6)),'Relacion '!$E$5:$E$493,0),0))</f>
        <v>46125</v>
      </c>
      <c r="H170" s="241" cm="1">
        <f t="array" ref="H170">IF(
 MATCH(B170,{"01. ASIGNACION AREA";"02. MAPEO";"03. DESARROLLO";"04. VALIDA US";"05. VOBO US";"06. BW-EJECUCION";"07. VALIDACIÓN BAJAWARE";"08. CERRADA"},0)
 &lt;
 MATCH(_xlfn.XLOOKUP(INDEX($B:$B, (ROW()-6)),'Relacion '!$E:$E,'Relacion '!$D:$D,""),{"01. ASIGNACION AREA";"02. MAPEO";"03. DESARROLLO";"04. VALIDA US";"05. VOBO US";"06. BW-EJECUCION";"07. VALIDACIÓN BAJAWARE";"08. CERRADA"},0),
 1,
 IF(
  MATCH(B170,{"01. ASIGNACION AREA";"02. MAPEO";"03. DESARROLLO";"04. VALIDA US";"05. VOBO US";"06. BW-EJECUCION";"07. VALIDACIÓN BAJAWARE";"08. CERRADA"},0)
  =
  MATCH(_xlfn.XLOOKUP(INDEX($B:$B, (ROW()-6)),'Relacion '!$E:$E,'Relacion '!$D:$D,""),{"01. ASIGNACION AREA";"02. MAPEO";"03. DESARROLLO";"04. VALIDA US";"05. VOBO US";"06. BW-EJECUCION";"07. VALIDACIÓN BAJAWARE";"08. CERRADA"},0),
  _xlfn.XLOOKUP(INDEX($B:$B, (ROW()-6)),'Relacion '!$E:$E,'Relacion '!#REF!,0),
  0
 )
)</f>
        <v>0</v>
      </c>
      <c r="I170" s="241">
        <f t="shared" ca="1" si="33"/>
        <v>1</v>
      </c>
      <c r="J170" s="241"/>
      <c r="K170" s="241"/>
      <c r="L170" s="238"/>
    </row>
    <row r="171" spans="2:12" outlineLevel="1">
      <c r="B171" s="237" t="s">
        <v>655</v>
      </c>
      <c r="C171" s="237" t="s">
        <v>655</v>
      </c>
      <c r="D171" s="238" t="str">
        <f>_xlfn.XLOOKUP(B171,'Relacion '!$E:$E,'Relacion '!$D:$D,"")</f>
        <v/>
      </c>
      <c r="E171" s="239">
        <f t="shared" si="31"/>
        <v>14</v>
      </c>
      <c r="F171" s="240" cm="1">
        <f t="array" ref="F171">MIN(INDEX('Relacion '!$AJ$5:$AK$493,MATCH(INDEX($B:$B, (ROW()-7)),'Relacion '!$E$5:$E$493,0),0))</f>
        <v>46126</v>
      </c>
      <c r="G171" s="240" cm="1">
        <f t="array" ref="G171">MAX(INDEX('Relacion '!$AJ$5:$AK$493,MATCH(INDEX($B:$B, (ROW()-7)),'Relacion '!$E$5:$E$493,0),0))</f>
        <v>46140</v>
      </c>
      <c r="H171" s="241" cm="1">
        <f t="array" ref="H171">IF(
 MATCH(B171,{"01. ASIGNACION AREA";"02. MAPEO";"03. DESARROLLO";"04. VALIDA US";"05. VOBO US";"06. BW-EJECUCION";"07. VALIDACIÓN BAJAWARE";"08. CERRADA"},0)
 &lt;
 MATCH(_xlfn.XLOOKUP(INDEX($B:$B, (ROW()-7)),'Relacion '!$E:$E,'Relacion '!$D:$D,""),{"01. ASIGNACION AREA";"02. MAPEO";"03. DESARROLLO";"04. VALIDA US";"05. VOBO US";"06. BW-EJECUCION";"07. VALIDACIÓN BAJAWARE";"08. CERRADA"},0),
 1,
 IF(
  MATCH(B171,{"01. ASIGNACION AREA";"02. MAPEO";"03. DESARROLLO";"04. VALIDA US";"05. VOBO US";"06. BW-EJECUCION";"07. VALIDACIÓN BAJAWARE";"08. CERRADA"},0)
  =
  MATCH(_xlfn.XLOOKUP(INDEX($B:$B, (ROW()-7)),'Relacion '!$E:$E,'Relacion '!$D:$D,""),{"01. ASIGNACION AREA";"02. MAPEO";"03. DESARROLLO";"04. VALIDA US";"05. VOBO US";"06. BW-EJECUCION";"07. VALIDACIÓN BAJAWARE";"08. CERRADA"},0),
  _xlfn.XLOOKUP(INDEX($B:$B, (ROW()-7)),'Relacion '!$E:$E,'Relacion '!#REF!,0),
  0
 )
)</f>
        <v>0</v>
      </c>
      <c r="I171" s="241">
        <f t="shared" ca="1" si="33"/>
        <v>1</v>
      </c>
      <c r="J171" s="241"/>
      <c r="K171" s="241"/>
      <c r="L171" s="238"/>
    </row>
    <row r="172" spans="2:12" outlineLevel="1">
      <c r="B172" s="237" t="s">
        <v>656</v>
      </c>
      <c r="C172" s="237" t="s">
        <v>656</v>
      </c>
      <c r="D172" s="238" t="str">
        <f>_xlfn.XLOOKUP(B172,'Relacion '!$E:$E,'Relacion '!$D:$D,"")</f>
        <v/>
      </c>
      <c r="E172" s="239">
        <f t="shared" si="31"/>
        <v>0</v>
      </c>
      <c r="F172" s="240" cm="1">
        <f t="array" ref="F172">MIN(INDEX('Relacion '!$AL$5:$AM$493,MATCH(INDEX($B:$B, (ROW()-8)),'Relacion '!$E$5:$E$493,0),0))</f>
        <v>46141</v>
      </c>
      <c r="G172" s="240" cm="1">
        <f t="array" ref="G172">MAX(INDEX('Relacion '!$AL$5:$AM$493,MATCH(INDEX($B:$B, (ROW()-8)),'Relacion '!$E$5:$E$493,0),0))</f>
        <v>46141</v>
      </c>
      <c r="H172" s="241" cm="1">
        <f t="array" ref="H172">IF(
 MATCH(B172,{"01. ASIGNACION AREA";"02. MAPEO";"03. DESARROLLO";"04. VALIDA US";"05. VOBO US";"06. BW-EJECUCION";"07. VALIDACIÓN BAJAWARE";"08. CERRADA"},0)
 &lt;
 MATCH(_xlfn.XLOOKUP(INDEX($B:$B, (ROW()-8)),'Relacion '!$E:$E,'Relacion '!$D:$D,""),{"01. ASIGNACION AREA";"02. MAPEO";"03. DESARROLLO";"04. VALIDA US";"05. VOBO US";"06. BW-EJECUCION";"07. VALIDACIÓN BAJAWARE";"08. CERRADA"},0),
 1,
 IF(
  MATCH(B172,{"01. ASIGNACION AREA";"02. MAPEO";"03. DESARROLLO";"04. VALIDA US";"05. VOBO US";"06. BW-EJECUCION";"07. VALIDACIÓN BAJAWARE";"08. CERRADA"},0)
  =
  MATCH(_xlfn.XLOOKUP(INDEX($B:$B, (ROW()-8)),'Relacion '!$E:$E,'Relacion '!$D:$D,""),{"01. ASIGNACION AREA";"02. MAPEO";"03. DESARROLLO";"04. VALIDA US";"05. VOBO US";"06. BW-EJECUCION";"07. VALIDACIÓN BAJAWARE";"08. CERRADA"},0),
  _xlfn.XLOOKUP(INDEX($B:$B, (ROW()-8)),'Relacion '!$E:$E,'Relacion '!#REF!,0),
  0
 )
)</f>
        <v>0</v>
      </c>
      <c r="I172" s="241">
        <f t="shared" ca="1" si="33"/>
        <v>1</v>
      </c>
      <c r="J172" s="241"/>
      <c r="K172" s="241"/>
      <c r="L172" s="238"/>
    </row>
    <row r="173" spans="2:12">
      <c r="B173" s="232" t="s">
        <v>524</v>
      </c>
      <c r="C173" s="86" t="s">
        <v>280</v>
      </c>
      <c r="D173" s="236" t="str">
        <f>_xlfn.XLOOKUP(B173,'Relacion '!$E:$E,'Relacion '!$D:$D,"")</f>
        <v>04. VALIDA US</v>
      </c>
      <c r="E173" s="233">
        <f t="shared" si="31"/>
        <v>117</v>
      </c>
      <c r="F173" s="234" cm="1">
        <f t="array" ref="F173">MIN(INDEX('Relacion '!$X$5:$AM$493,MATCH(INDEX($B:$B, (ROW()-0)),'Relacion '!$E$5:$E$493,0),0))</f>
        <v>46024</v>
      </c>
      <c r="G173" s="234" cm="1">
        <f t="array" ref="G173">MAX(INDEX('Relacion '!$X$5:$AM$493,MATCH(INDEX($B:$B, (ROW()-0)),'Relacion '!$E$5:$E$493,0),0))</f>
        <v>46141</v>
      </c>
      <c r="H173" s="235" t="e">
        <f>AVERAGE(H174:H181)</f>
        <v>#REF!</v>
      </c>
      <c r="I173" s="235">
        <f t="shared" ref="I173" ca="1" si="40">AVERAGE(I174:I181)</f>
        <v>1</v>
      </c>
      <c r="J173" s="236" t="str">
        <f>IF(ISNUMBER(SEARCH("Rocha", _xlfn.XLOOKUP(B173,'Relacion '!$E:$E,'Relacion '!$I:$I,""))), "Sí", "No")</f>
        <v>No</v>
      </c>
      <c r="K173" s="236" t="str">
        <f>IF(ISNUMBER(SEARCH("Rocha", _xlfn.XLOOKUP(B173,'Relacion '!$E:$E,'Relacion '!$I:$I,""))), "RMC", _xlfn.XLOOKUP(B173,'Relacion '!$E:$E,'Relacion '!$B:$B,""))</f>
        <v>Tesorería </v>
      </c>
      <c r="L173" s="236" t="str">
        <f>_xlfn.XLOOKUP(B173,'Relacion '!$E:$E,'Relacion '!$C:$C,"")</f>
        <v>Eduardo Cabral</v>
      </c>
    </row>
    <row r="174" spans="2:12" outlineLevel="1">
      <c r="B174" s="237" t="s">
        <v>654</v>
      </c>
      <c r="C174" s="237" t="s">
        <v>654</v>
      </c>
      <c r="D174" s="238" t="str">
        <f>_xlfn.XLOOKUP(B174,'Relacion '!$E:$E,'Relacion '!$D:$D,"")</f>
        <v/>
      </c>
      <c r="E174" s="239">
        <f t="shared" si="31"/>
        <v>59</v>
      </c>
      <c r="F174" s="240" cm="1">
        <f t="array" ref="F174">MIN(INDEX('Relacion '!$X$5:$Y$493,MATCH(INDEX($B:$B, (ROW()-1)),'Relacion '!$E$5:$E$493,0),0))</f>
        <v>46024</v>
      </c>
      <c r="G174" s="240" cm="1">
        <f t="array" ref="G174">MAX(INDEX('Relacion '!$X$5:$Y$493,MATCH(INDEX($B:$B, (ROW()-1)),'Relacion '!$E$5:$E$493,0),0))</f>
        <v>46083</v>
      </c>
      <c r="H174" s="241" cm="1">
        <f t="array" ref="H174">IF(
 MATCH(B174,{"01. ASIGNACION AREA";"02. MAPEO";"03. DESARROLLO";"04. VALIDA US";"05. VOBO US";"06. BW-EJECUCION";"07. VALIDACIÓN BAJAWARE";"08. CERRADA"},0)
 &lt;
 MATCH(_xlfn.XLOOKUP(INDEX($B:$B, (ROW()-1)),'Relacion '!$E:$E,'Relacion '!$D:$D,""),{"01. ASIGNACION AREA";"02. MAPEO";"03. DESARROLLO";"04. VALIDA US";"05. VOBO US";"06. BW-EJECUCION";"07. VALIDACIÓN BAJAWARE";"08. CERRADA"},0),
 1,
 IF(
  MATCH(B174,{"01. ASIGNACION AREA";"02. MAPEO";"03. DESARROLLO";"04. VALIDA US";"05. VOBO US";"06. BW-EJECUCION";"07. VALIDACIÓN BAJAWARE";"08. CERRADA"},0)
  =
  MATCH(_xlfn.XLOOKUP(INDEX($B:$B, (ROW()-1)),'Relacion '!$E:$E,'Relacion '!$D:$D,""),{"01. ASIGNACION AREA";"02. MAPEO";"03. DESARROLLO";"04. VALIDA US";"05. VOBO US";"06. BW-EJECUCION";"07. VALIDACIÓN BAJAWARE";"08. CERRADA"},0),
  _xlfn.XLOOKUP(INDEX($B:$B, (ROW()-1)),'Relacion '!$E:$E,'Relacion '!#REF!,0),
  0
 )
)</f>
        <v>1</v>
      </c>
      <c r="I174" s="241">
        <f t="shared" ref="I174" ca="1" si="41">IF(G174&lt;=TODAY(), 1, 0)</f>
        <v>1</v>
      </c>
      <c r="J174" s="241"/>
      <c r="K174" s="241"/>
      <c r="L174" s="238"/>
    </row>
    <row r="175" spans="2:12" outlineLevel="1">
      <c r="B175" s="237" t="s">
        <v>195</v>
      </c>
      <c r="C175" s="237" t="s">
        <v>195</v>
      </c>
      <c r="D175" s="238" t="str">
        <f>_xlfn.XLOOKUP(B175,'Relacion '!$E:$E,'Relacion '!$D:$D,"")</f>
        <v/>
      </c>
      <c r="E175" s="239">
        <f t="shared" si="31"/>
        <v>0</v>
      </c>
      <c r="F175" s="240" cm="1">
        <f t="array" ref="F175">MIN(INDEX('Relacion '!$Z$5:$AA$493,MATCH(INDEX($B:$B, (ROW()-2)),'Relacion '!$E$5:$E$493,0),0))</f>
        <v>46084</v>
      </c>
      <c r="G175" s="240" cm="1">
        <f t="array" ref="G175">MAX(INDEX('Relacion '!$Z$5:$AA$493,MATCH(INDEX($B:$B, (ROW()-2)),'Relacion '!$E$5:$E$493,0),0))</f>
        <v>46084</v>
      </c>
      <c r="H175" s="241" cm="1">
        <f t="array" ref="H175">IF(
 MATCH(B175,{"01. ASIGNACION AREA";"02. MAPEO";"03. DESARROLLO";"04. VALIDA US";"05. VOBO US";"06. BW-EJECUCION";"07. VALIDACIÓN BAJAWARE";"08. CERRADA"},0)
 &lt;
 MATCH(_xlfn.XLOOKUP(INDEX($B:$B, (ROW()-2)),'Relacion '!$E:$E,'Relacion '!$D:$D,""),{"01. ASIGNACION AREA";"02. MAPEO";"03. DESARROLLO";"04. VALIDA US";"05. VOBO US";"06. BW-EJECUCION";"07. VALIDACIÓN BAJAWARE";"08. CERRADA"},0),
 1,
 IF(
  MATCH(B175,{"01. ASIGNACION AREA";"02. MAPEO";"03. DESARROLLO";"04. VALIDA US";"05. VOBO US";"06. BW-EJECUCION";"07. VALIDACIÓN BAJAWARE";"08. CERRADA"},0)
  =
  MATCH(_xlfn.XLOOKUP(INDEX($B:$B, (ROW()-2)),'Relacion '!$E:$E,'Relacion '!$D:$D,""),{"01. ASIGNACION AREA";"02. MAPEO";"03. DESARROLLO";"04. VALIDA US";"05. VOBO US";"06. BW-EJECUCION";"07. VALIDACIÓN BAJAWARE";"08. CERRADA"},0),
  _xlfn.XLOOKUP(INDEX($B:$B, (ROW()-2)),'Relacion '!$E:$E,'Relacion '!#REF!,0),
  0
 )
)</f>
        <v>1</v>
      </c>
      <c r="I175" s="241">
        <f t="shared" ca="1" si="33"/>
        <v>1</v>
      </c>
      <c r="J175" s="241"/>
      <c r="K175" s="241"/>
      <c r="L175" s="238"/>
    </row>
    <row r="176" spans="2:12" outlineLevel="1">
      <c r="B176" s="237" t="s">
        <v>49</v>
      </c>
      <c r="C176" s="237" t="s">
        <v>49</v>
      </c>
      <c r="D176" s="238" t="str">
        <f>_xlfn.XLOOKUP(B176,'Relacion '!$E:$E,'Relacion '!$D:$D,"")</f>
        <v/>
      </c>
      <c r="E176" s="239">
        <f t="shared" si="31"/>
        <v>13</v>
      </c>
      <c r="F176" s="240" cm="1">
        <f t="array" ref="F176">MIN(INDEX('Relacion '!$AB$5:$AC$493,MATCH(INDEX($B:$B, (ROW()-3)),'Relacion '!$E$5:$E$493,0),0))</f>
        <v>46085</v>
      </c>
      <c r="G176" s="240" cm="1">
        <f t="array" ref="G176">MAX(INDEX('Relacion '!$AB$5:$AC$493,MATCH(INDEX($B:$B, (ROW()-3)),'Relacion '!$E$5:$E$493,0),0))</f>
        <v>46098</v>
      </c>
      <c r="H176" s="241" cm="1">
        <f t="array" ref="H176">IF(
 MATCH(B176,{"01. ASIGNACION AREA";"02. MAPEO";"03. DESARROLLO";"04. VALIDA US";"05. VOBO US";"06. BW-EJECUCION";"07. VALIDACIÓN BAJAWARE";"08. CERRADA"},0)
 &lt;
 MATCH(_xlfn.XLOOKUP(INDEX($B:$B, (ROW()-3)),'Relacion '!$E:$E,'Relacion '!$D:$D,""),{"01. ASIGNACION AREA";"02. MAPEO";"03. DESARROLLO";"04. VALIDA US";"05. VOBO US";"06. BW-EJECUCION";"07. VALIDACIÓN BAJAWARE";"08. CERRADA"},0),
 1,
 IF(
  MATCH(B176,{"01. ASIGNACION AREA";"02. MAPEO";"03. DESARROLLO";"04. VALIDA US";"05. VOBO US";"06. BW-EJECUCION";"07. VALIDACIÓN BAJAWARE";"08. CERRADA"},0)
  =
  MATCH(_xlfn.XLOOKUP(INDEX($B:$B, (ROW()-3)),'Relacion '!$E:$E,'Relacion '!$D:$D,""),{"01. ASIGNACION AREA";"02. MAPEO";"03. DESARROLLO";"04. VALIDA US";"05. VOBO US";"06. BW-EJECUCION";"07. VALIDACIÓN BAJAWARE";"08. CERRADA"},0),
  _xlfn.XLOOKUP(INDEX($B:$B, (ROW()-3)),'Relacion '!$E:$E,'Relacion '!#REF!,0),
  0
 )
)</f>
        <v>1</v>
      </c>
      <c r="I176" s="241">
        <f t="shared" ca="1" si="33"/>
        <v>1</v>
      </c>
      <c r="J176" s="241"/>
      <c r="K176" s="241"/>
      <c r="L176" s="238"/>
    </row>
    <row r="177" spans="2:12" outlineLevel="1">
      <c r="B177" s="237" t="s">
        <v>324</v>
      </c>
      <c r="C177" s="237" t="s">
        <v>324</v>
      </c>
      <c r="D177" s="238" t="str">
        <f>_xlfn.XLOOKUP(B177,'Relacion '!$E:$E,'Relacion '!$D:$D,"")</f>
        <v/>
      </c>
      <c r="E177" s="239">
        <f t="shared" si="31"/>
        <v>20</v>
      </c>
      <c r="F177" s="240" cm="1">
        <f t="array" ref="F177">MIN(INDEX('Relacion '!$AD$5:$AE$493,MATCH(INDEX($B:$B, (ROW()-4)),'Relacion '!$E$5:$E$493,0),0))</f>
        <v>46099</v>
      </c>
      <c r="G177" s="240" cm="1">
        <f t="array" ref="G177">MAX(INDEX('Relacion '!$AD$5:$AE$493,MATCH(INDEX($B:$B, (ROW()-4)),'Relacion '!$E$5:$E$493,0),0))</f>
        <v>46119</v>
      </c>
      <c r="H177" s="241" t="e" cm="1">
        <f t="array" ref="H177">IF(
 MATCH(B177,{"01. ASIGNACION AREA";"02. MAPEO";"03. DESARROLLO";"04. VALIDA US";"05. VOBO US";"06. BW-EJECUCION";"07. VALIDACIÓN BAJAWARE";"08. CERRADA"},0)
 &lt;
 MATCH(_xlfn.XLOOKUP(INDEX($B:$B, (ROW()-4)),'Relacion '!$E:$E,'Relacion '!$D:$D,""),{"01. ASIGNACION AREA";"02. MAPEO";"03. DESARROLLO";"04. VALIDA US";"05. VOBO US";"06. BW-EJECUCION";"07. VALIDACIÓN BAJAWARE";"08. CERRADA"},0),
 1,
 IF(
  MATCH(B177,{"01. ASIGNACION AREA";"02. MAPEO";"03. DESARROLLO";"04. VALIDA US";"05. VOBO US";"06. BW-EJECUCION";"07. VALIDACIÓN BAJAWARE";"08. CERRADA"},0)
  =
  MATCH(_xlfn.XLOOKUP(INDEX($B:$B, (ROW()-4)),'Relacion '!$E:$E,'Relacion '!$D:$D,""),{"01. ASIGNACION AREA";"02. MAPEO";"03. DESARROLLO";"04. VALIDA US";"05. VOBO US";"06. BW-EJECUCION";"07. VALIDACIÓN BAJAWARE";"08. CERRADA"},0),
  _xlfn.XLOOKUP(INDEX($B:$B, (ROW()-4)),'Relacion '!$E:$E,'Relacion '!#REF!,0),
  0
 )
)</f>
        <v>#REF!</v>
      </c>
      <c r="I177" s="241">
        <f t="shared" ca="1" si="33"/>
        <v>1</v>
      </c>
      <c r="J177" s="241"/>
      <c r="K177" s="241"/>
      <c r="L177" s="238"/>
    </row>
    <row r="178" spans="2:12" outlineLevel="1">
      <c r="B178" s="237" t="s">
        <v>320</v>
      </c>
      <c r="C178" s="237" t="s">
        <v>320</v>
      </c>
      <c r="D178" s="238" t="str">
        <f>_xlfn.XLOOKUP(B178,'Relacion '!$E:$E,'Relacion '!$D:$D,"")</f>
        <v/>
      </c>
      <c r="E178" s="239">
        <f t="shared" si="31"/>
        <v>1</v>
      </c>
      <c r="F178" s="240" cm="1">
        <f t="array" ref="F178">MIN(INDEX('Relacion '!$AF$5:$AG$493,MATCH(INDEX($B:$B, (ROW()-5)),'Relacion '!$E$5:$E$493,0),0))</f>
        <v>46119</v>
      </c>
      <c r="G178" s="240" cm="1">
        <f t="array" ref="G178">MAX(INDEX('Relacion '!$AF$5:$AG$493,MATCH(INDEX($B:$B, (ROW()-5)),'Relacion '!$E$5:$E$493,0),0))</f>
        <v>46120</v>
      </c>
      <c r="H178" s="241" cm="1">
        <f t="array" ref="H178">IF(
 MATCH(B178,{"01. ASIGNACION AREA";"02. MAPEO";"03. DESARROLLO";"04. VALIDA US";"05. VOBO US";"06. BW-EJECUCION";"07. VALIDACIÓN BAJAWARE";"08. CERRADA"},0)
 &lt;
 MATCH(_xlfn.XLOOKUP(INDEX($B:$B, (ROW()-5)),'Relacion '!$E:$E,'Relacion '!$D:$D,""),{"01. ASIGNACION AREA";"02. MAPEO";"03. DESARROLLO";"04. VALIDA US";"05. VOBO US";"06. BW-EJECUCION";"07. VALIDACIÓN BAJAWARE";"08. CERRADA"},0),
 1,
 IF(
  MATCH(B178,{"01. ASIGNACION AREA";"02. MAPEO";"03. DESARROLLO";"04. VALIDA US";"05. VOBO US";"06. BW-EJECUCION";"07. VALIDACIÓN BAJAWARE";"08. CERRADA"},0)
  =
  MATCH(_xlfn.XLOOKUP(INDEX($B:$B, (ROW()-5)),'Relacion '!$E:$E,'Relacion '!$D:$D,""),{"01. ASIGNACION AREA";"02. MAPEO";"03. DESARROLLO";"04. VALIDA US";"05. VOBO US";"06. BW-EJECUCION";"07. VALIDACIÓN BAJAWARE";"08. CERRADA"},0),
  _xlfn.XLOOKUP(INDEX($B:$B, (ROW()-5)),'Relacion '!$E:$E,'Relacion '!#REF!,0),
  0
 )
)</f>
        <v>0</v>
      </c>
      <c r="I178" s="241">
        <f t="shared" ca="1" si="33"/>
        <v>1</v>
      </c>
      <c r="J178" s="241"/>
      <c r="K178" s="241"/>
      <c r="L178" s="238"/>
    </row>
    <row r="179" spans="2:12" outlineLevel="1">
      <c r="B179" s="237" t="s">
        <v>710</v>
      </c>
      <c r="C179" s="237" t="s">
        <v>710</v>
      </c>
      <c r="D179" s="238" t="str">
        <f>_xlfn.XLOOKUP(B179,'Relacion '!$E:$E,'Relacion '!$D:$D,"")</f>
        <v/>
      </c>
      <c r="E179" s="239">
        <f t="shared" si="31"/>
        <v>4</v>
      </c>
      <c r="F179" s="240" cm="1">
        <f t="array" ref="F179">MIN(INDEX('Relacion '!$AH$5:$AI$493,MATCH(INDEX($B:$B, (ROW()-6)),'Relacion '!$E$5:$E$493,0),0))</f>
        <v>46121</v>
      </c>
      <c r="G179" s="240" cm="1">
        <f t="array" ref="G179">MAX(INDEX('Relacion '!$AH$5:$AI$493,MATCH(INDEX($B:$B, (ROW()-6)),'Relacion '!$E$5:$E$493,0),0))</f>
        <v>46125</v>
      </c>
      <c r="H179" s="241" cm="1">
        <f t="array" ref="H179">IF(
 MATCH(B179,{"01. ASIGNACION AREA";"02. MAPEO";"03. DESARROLLO";"04. VALIDA US";"05. VOBO US";"06. BW-EJECUCION";"07. VALIDACIÓN BAJAWARE";"08. CERRADA"},0)
 &lt;
 MATCH(_xlfn.XLOOKUP(INDEX($B:$B, (ROW()-6)),'Relacion '!$E:$E,'Relacion '!$D:$D,""),{"01. ASIGNACION AREA";"02. MAPEO";"03. DESARROLLO";"04. VALIDA US";"05. VOBO US";"06. BW-EJECUCION";"07. VALIDACIÓN BAJAWARE";"08. CERRADA"},0),
 1,
 IF(
  MATCH(B179,{"01. ASIGNACION AREA";"02. MAPEO";"03. DESARROLLO";"04. VALIDA US";"05. VOBO US";"06. BW-EJECUCION";"07. VALIDACIÓN BAJAWARE";"08. CERRADA"},0)
  =
  MATCH(_xlfn.XLOOKUP(INDEX($B:$B, (ROW()-6)),'Relacion '!$E:$E,'Relacion '!$D:$D,""),{"01. ASIGNACION AREA";"02. MAPEO";"03. DESARROLLO";"04. VALIDA US";"05. VOBO US";"06. BW-EJECUCION";"07. VALIDACIÓN BAJAWARE";"08. CERRADA"},0),
  _xlfn.XLOOKUP(INDEX($B:$B, (ROW()-6)),'Relacion '!$E:$E,'Relacion '!#REF!,0),
  0
 )
)</f>
        <v>0</v>
      </c>
      <c r="I179" s="241">
        <f t="shared" ca="1" si="33"/>
        <v>1</v>
      </c>
      <c r="J179" s="241"/>
      <c r="K179" s="241"/>
      <c r="L179" s="238"/>
    </row>
    <row r="180" spans="2:12" outlineLevel="1">
      <c r="B180" s="237" t="s">
        <v>655</v>
      </c>
      <c r="C180" s="237" t="s">
        <v>655</v>
      </c>
      <c r="D180" s="238" t="str">
        <f>_xlfn.XLOOKUP(B180,'Relacion '!$E:$E,'Relacion '!$D:$D,"")</f>
        <v/>
      </c>
      <c r="E180" s="239">
        <f t="shared" si="31"/>
        <v>14</v>
      </c>
      <c r="F180" s="240" cm="1">
        <f t="array" ref="F180">MIN(INDEX('Relacion '!$AJ$5:$AK$493,MATCH(INDEX($B:$B, (ROW()-7)),'Relacion '!$E$5:$E$493,0),0))</f>
        <v>46126</v>
      </c>
      <c r="G180" s="240" cm="1">
        <f t="array" ref="G180">MAX(INDEX('Relacion '!$AJ$5:$AK$493,MATCH(INDEX($B:$B, (ROW()-7)),'Relacion '!$E$5:$E$493,0),0))</f>
        <v>46140</v>
      </c>
      <c r="H180" s="241" cm="1">
        <f t="array" ref="H180">IF(
 MATCH(B180,{"01. ASIGNACION AREA";"02. MAPEO";"03. DESARROLLO";"04. VALIDA US";"05. VOBO US";"06. BW-EJECUCION";"07. VALIDACIÓN BAJAWARE";"08. CERRADA"},0)
 &lt;
 MATCH(_xlfn.XLOOKUP(INDEX($B:$B, (ROW()-7)),'Relacion '!$E:$E,'Relacion '!$D:$D,""),{"01. ASIGNACION AREA";"02. MAPEO";"03. DESARROLLO";"04. VALIDA US";"05. VOBO US";"06. BW-EJECUCION";"07. VALIDACIÓN BAJAWARE";"08. CERRADA"},0),
 1,
 IF(
  MATCH(B180,{"01. ASIGNACION AREA";"02. MAPEO";"03. DESARROLLO";"04. VALIDA US";"05. VOBO US";"06. BW-EJECUCION";"07. VALIDACIÓN BAJAWARE";"08. CERRADA"},0)
  =
  MATCH(_xlfn.XLOOKUP(INDEX($B:$B, (ROW()-7)),'Relacion '!$E:$E,'Relacion '!$D:$D,""),{"01. ASIGNACION AREA";"02. MAPEO";"03. DESARROLLO";"04. VALIDA US";"05. VOBO US";"06. BW-EJECUCION";"07. VALIDACIÓN BAJAWARE";"08. CERRADA"},0),
  _xlfn.XLOOKUP(INDEX($B:$B, (ROW()-7)),'Relacion '!$E:$E,'Relacion '!#REF!,0),
  0
 )
)</f>
        <v>0</v>
      </c>
      <c r="I180" s="241">
        <f t="shared" ca="1" si="33"/>
        <v>1</v>
      </c>
      <c r="J180" s="241"/>
      <c r="K180" s="241"/>
      <c r="L180" s="238"/>
    </row>
    <row r="181" spans="2:12" outlineLevel="1">
      <c r="B181" s="237" t="s">
        <v>656</v>
      </c>
      <c r="C181" s="237" t="s">
        <v>656</v>
      </c>
      <c r="D181" s="238" t="str">
        <f>_xlfn.XLOOKUP(B181,'Relacion '!$E:$E,'Relacion '!$D:$D,"")</f>
        <v/>
      </c>
      <c r="E181" s="239">
        <f t="shared" si="31"/>
        <v>0</v>
      </c>
      <c r="F181" s="240" cm="1">
        <f t="array" ref="F181">MIN(INDEX('Relacion '!$AL$5:$AM$493,MATCH(INDEX($B:$B, (ROW()-8)),'Relacion '!$E$5:$E$493,0),0))</f>
        <v>46141</v>
      </c>
      <c r="G181" s="240" cm="1">
        <f t="array" ref="G181">MAX(INDEX('Relacion '!$AL$5:$AM$493,MATCH(INDEX($B:$B, (ROW()-8)),'Relacion '!$E$5:$E$493,0),0))</f>
        <v>46141</v>
      </c>
      <c r="H181" s="241" cm="1">
        <f t="array" ref="H181">IF(
 MATCH(B181,{"01. ASIGNACION AREA";"02. MAPEO";"03. DESARROLLO";"04. VALIDA US";"05. VOBO US";"06. BW-EJECUCION";"07. VALIDACIÓN BAJAWARE";"08. CERRADA"},0)
 &lt;
 MATCH(_xlfn.XLOOKUP(INDEX($B:$B, (ROW()-8)),'Relacion '!$E:$E,'Relacion '!$D:$D,""),{"01. ASIGNACION AREA";"02. MAPEO";"03. DESARROLLO";"04. VALIDA US";"05. VOBO US";"06. BW-EJECUCION";"07. VALIDACIÓN BAJAWARE";"08. CERRADA"},0),
 1,
 IF(
  MATCH(B181,{"01. ASIGNACION AREA";"02. MAPEO";"03. DESARROLLO";"04. VALIDA US";"05. VOBO US";"06. BW-EJECUCION";"07. VALIDACIÓN BAJAWARE";"08. CERRADA"},0)
  =
  MATCH(_xlfn.XLOOKUP(INDEX($B:$B, (ROW()-8)),'Relacion '!$E:$E,'Relacion '!$D:$D,""),{"01. ASIGNACION AREA";"02. MAPEO";"03. DESARROLLO";"04. VALIDA US";"05. VOBO US";"06. BW-EJECUCION";"07. VALIDACIÓN BAJAWARE";"08. CERRADA"},0),
  _xlfn.XLOOKUP(INDEX($B:$B, (ROW()-8)),'Relacion '!$E:$E,'Relacion '!#REF!,0),
  0
 )
)</f>
        <v>0</v>
      </c>
      <c r="I181" s="241">
        <f t="shared" ca="1" si="33"/>
        <v>1</v>
      </c>
      <c r="J181" s="241"/>
      <c r="K181" s="241"/>
      <c r="L181" s="238"/>
    </row>
    <row r="182" spans="2:12">
      <c r="B182" s="232" t="s">
        <v>525</v>
      </c>
      <c r="C182" s="86" t="s">
        <v>265</v>
      </c>
      <c r="D182" s="236" t="str">
        <f>_xlfn.XLOOKUP(B182,'Relacion '!$E:$E,'Relacion '!$D:$D,"")</f>
        <v>04. VALIDA US</v>
      </c>
      <c r="E182" s="233">
        <f t="shared" si="31"/>
        <v>117</v>
      </c>
      <c r="F182" s="234" cm="1">
        <f t="array" ref="F182">MIN(INDEX('Relacion '!$X$5:$AM$493,MATCH(INDEX($B:$B, (ROW()-0)),'Relacion '!$E$5:$E$493,0),0))</f>
        <v>46024</v>
      </c>
      <c r="G182" s="234" cm="1">
        <f t="array" ref="G182">MAX(INDEX('Relacion '!$X$5:$AM$493,MATCH(INDEX($B:$B, (ROW()-0)),'Relacion '!$E$5:$E$493,0),0))</f>
        <v>46141</v>
      </c>
      <c r="H182" s="235" t="e">
        <f>AVERAGE(H183:H190)</f>
        <v>#REF!</v>
      </c>
      <c r="I182" s="235">
        <f t="shared" ref="I182" ca="1" si="42">AVERAGE(I183:I190)</f>
        <v>1</v>
      </c>
      <c r="J182" s="236" t="str">
        <f>IF(ISNUMBER(SEARCH("Rocha", _xlfn.XLOOKUP(B182,'Relacion '!$E:$E,'Relacion '!$I:$I,""))), "Sí", "No")</f>
        <v>No</v>
      </c>
      <c r="K182" s="236" t="str">
        <f>IF(ISNUMBER(SEARCH("Rocha", _xlfn.XLOOKUP(B182,'Relacion '!$E:$E,'Relacion '!$I:$I,""))), "RMC", _xlfn.XLOOKUP(B182,'Relacion '!$E:$E,'Relacion '!$B:$B,""))</f>
        <v>Tesorería </v>
      </c>
      <c r="L182" s="236" t="str">
        <f>_xlfn.XLOOKUP(B182,'Relacion '!$E:$E,'Relacion '!$C:$C,"")</f>
        <v>Eduardo Cabral</v>
      </c>
    </row>
    <row r="183" spans="2:12" outlineLevel="1">
      <c r="B183" s="237" t="s">
        <v>654</v>
      </c>
      <c r="C183" s="237" t="s">
        <v>654</v>
      </c>
      <c r="D183" s="238" t="str">
        <f>_xlfn.XLOOKUP(B183,'Relacion '!$E:$E,'Relacion '!$D:$D,"")</f>
        <v/>
      </c>
      <c r="E183" s="239">
        <f t="shared" si="31"/>
        <v>59</v>
      </c>
      <c r="F183" s="240" cm="1">
        <f t="array" ref="F183">MIN(INDEX('Relacion '!$X$5:$Y$493,MATCH(INDEX($B:$B, (ROW()-1)),'Relacion '!$E$5:$E$493,0),0))</f>
        <v>46024</v>
      </c>
      <c r="G183" s="240" cm="1">
        <f t="array" ref="G183">MAX(INDEX('Relacion '!$X$5:$Y$493,MATCH(INDEX($B:$B, (ROW()-1)),'Relacion '!$E$5:$E$493,0),0))</f>
        <v>46083</v>
      </c>
      <c r="H183" s="241" cm="1">
        <f t="array" ref="H183">IF(
 MATCH(B183,{"01. ASIGNACION AREA";"02. MAPEO";"03. DESARROLLO";"04. VALIDA US";"05. VOBO US";"06. BW-EJECUCION";"07. VALIDACIÓN BAJAWARE";"08. CERRADA"},0)
 &lt;
 MATCH(_xlfn.XLOOKUP(INDEX($B:$B, (ROW()-1)),'Relacion '!$E:$E,'Relacion '!$D:$D,""),{"01. ASIGNACION AREA";"02. MAPEO";"03. DESARROLLO";"04. VALIDA US";"05. VOBO US";"06. BW-EJECUCION";"07. VALIDACIÓN BAJAWARE";"08. CERRADA"},0),
 1,
 IF(
  MATCH(B183,{"01. ASIGNACION AREA";"02. MAPEO";"03. DESARROLLO";"04. VALIDA US";"05. VOBO US";"06. BW-EJECUCION";"07. VALIDACIÓN BAJAWARE";"08. CERRADA"},0)
  =
  MATCH(_xlfn.XLOOKUP(INDEX($B:$B, (ROW()-1)),'Relacion '!$E:$E,'Relacion '!$D:$D,""),{"01. ASIGNACION AREA";"02. MAPEO";"03. DESARROLLO";"04. VALIDA US";"05. VOBO US";"06. BW-EJECUCION";"07. VALIDACIÓN BAJAWARE";"08. CERRADA"},0),
  _xlfn.XLOOKUP(INDEX($B:$B, (ROW()-1)),'Relacion '!$E:$E,'Relacion '!#REF!,0),
  0
 )
)</f>
        <v>1</v>
      </c>
      <c r="I183" s="241">
        <f t="shared" ref="I183" ca="1" si="43">IF(G183&lt;=TODAY(), 1, 0)</f>
        <v>1</v>
      </c>
      <c r="J183" s="241"/>
      <c r="K183" s="241"/>
      <c r="L183" s="238"/>
    </row>
    <row r="184" spans="2:12" outlineLevel="1">
      <c r="B184" s="237" t="s">
        <v>195</v>
      </c>
      <c r="C184" s="237" t="s">
        <v>195</v>
      </c>
      <c r="D184" s="238" t="str">
        <f>_xlfn.XLOOKUP(B184,'Relacion '!$E:$E,'Relacion '!$D:$D,"")</f>
        <v/>
      </c>
      <c r="E184" s="239">
        <f t="shared" si="31"/>
        <v>0</v>
      </c>
      <c r="F184" s="240" cm="1">
        <f t="array" ref="F184">MIN(INDEX('Relacion '!$Z$5:$AA$493,MATCH(INDEX($B:$B, (ROW()-2)),'Relacion '!$E$5:$E$493,0),0))</f>
        <v>46084</v>
      </c>
      <c r="G184" s="240" cm="1">
        <f t="array" ref="G184">MAX(INDEX('Relacion '!$Z$5:$AA$493,MATCH(INDEX($B:$B, (ROW()-2)),'Relacion '!$E$5:$E$493,0),0))</f>
        <v>46084</v>
      </c>
      <c r="H184" s="241" cm="1">
        <f t="array" ref="H184">IF(
 MATCH(B184,{"01. ASIGNACION AREA";"02. MAPEO";"03. DESARROLLO";"04. VALIDA US";"05. VOBO US";"06. BW-EJECUCION";"07. VALIDACIÓN BAJAWARE";"08. CERRADA"},0)
 &lt;
 MATCH(_xlfn.XLOOKUP(INDEX($B:$B, (ROW()-2)),'Relacion '!$E:$E,'Relacion '!$D:$D,""),{"01. ASIGNACION AREA";"02. MAPEO";"03. DESARROLLO";"04. VALIDA US";"05. VOBO US";"06. BW-EJECUCION";"07. VALIDACIÓN BAJAWARE";"08. CERRADA"},0),
 1,
 IF(
  MATCH(B184,{"01. ASIGNACION AREA";"02. MAPEO";"03. DESARROLLO";"04. VALIDA US";"05. VOBO US";"06. BW-EJECUCION";"07. VALIDACIÓN BAJAWARE";"08. CERRADA"},0)
  =
  MATCH(_xlfn.XLOOKUP(INDEX($B:$B, (ROW()-2)),'Relacion '!$E:$E,'Relacion '!$D:$D,""),{"01. ASIGNACION AREA";"02. MAPEO";"03. DESARROLLO";"04. VALIDA US";"05. VOBO US";"06. BW-EJECUCION";"07. VALIDACIÓN BAJAWARE";"08. CERRADA"},0),
  _xlfn.XLOOKUP(INDEX($B:$B, (ROW()-2)),'Relacion '!$E:$E,'Relacion '!#REF!,0),
  0
 )
)</f>
        <v>1</v>
      </c>
      <c r="I184" s="241">
        <f t="shared" ca="1" si="33"/>
        <v>1</v>
      </c>
      <c r="J184" s="241"/>
      <c r="K184" s="241"/>
      <c r="L184" s="238"/>
    </row>
    <row r="185" spans="2:12" outlineLevel="1">
      <c r="B185" s="237" t="s">
        <v>49</v>
      </c>
      <c r="C185" s="237" t="s">
        <v>49</v>
      </c>
      <c r="D185" s="238" t="str">
        <f>_xlfn.XLOOKUP(B185,'Relacion '!$E:$E,'Relacion '!$D:$D,"")</f>
        <v/>
      </c>
      <c r="E185" s="239">
        <f t="shared" si="31"/>
        <v>13</v>
      </c>
      <c r="F185" s="240" cm="1">
        <f t="array" ref="F185">MIN(INDEX('Relacion '!$AB$5:$AC$493,MATCH(INDEX($B:$B, (ROW()-3)),'Relacion '!$E$5:$E$493,0),0))</f>
        <v>46085</v>
      </c>
      <c r="G185" s="240" cm="1">
        <f t="array" ref="G185">MAX(INDEX('Relacion '!$AB$5:$AC$493,MATCH(INDEX($B:$B, (ROW()-3)),'Relacion '!$E$5:$E$493,0),0))</f>
        <v>46098</v>
      </c>
      <c r="H185" s="241" cm="1">
        <f t="array" ref="H185">IF(
 MATCH(B185,{"01. ASIGNACION AREA";"02. MAPEO";"03. DESARROLLO";"04. VALIDA US";"05. VOBO US";"06. BW-EJECUCION";"07. VALIDACIÓN BAJAWARE";"08. CERRADA"},0)
 &lt;
 MATCH(_xlfn.XLOOKUP(INDEX($B:$B, (ROW()-3)),'Relacion '!$E:$E,'Relacion '!$D:$D,""),{"01. ASIGNACION AREA";"02. MAPEO";"03. DESARROLLO";"04. VALIDA US";"05. VOBO US";"06. BW-EJECUCION";"07. VALIDACIÓN BAJAWARE";"08. CERRADA"},0),
 1,
 IF(
  MATCH(B185,{"01. ASIGNACION AREA";"02. MAPEO";"03. DESARROLLO";"04. VALIDA US";"05. VOBO US";"06. BW-EJECUCION";"07. VALIDACIÓN BAJAWARE";"08. CERRADA"},0)
  =
  MATCH(_xlfn.XLOOKUP(INDEX($B:$B, (ROW()-3)),'Relacion '!$E:$E,'Relacion '!$D:$D,""),{"01. ASIGNACION AREA";"02. MAPEO";"03. DESARROLLO";"04. VALIDA US";"05. VOBO US";"06. BW-EJECUCION";"07. VALIDACIÓN BAJAWARE";"08. CERRADA"},0),
  _xlfn.XLOOKUP(INDEX($B:$B, (ROW()-3)),'Relacion '!$E:$E,'Relacion '!#REF!,0),
  0
 )
)</f>
        <v>1</v>
      </c>
      <c r="I185" s="241">
        <f t="shared" ca="1" si="33"/>
        <v>1</v>
      </c>
      <c r="J185" s="241"/>
      <c r="K185" s="241"/>
      <c r="L185" s="238"/>
    </row>
    <row r="186" spans="2:12" outlineLevel="1">
      <c r="B186" s="237" t="s">
        <v>324</v>
      </c>
      <c r="C186" s="237" t="s">
        <v>324</v>
      </c>
      <c r="D186" s="238" t="str">
        <f>_xlfn.XLOOKUP(B186,'Relacion '!$E:$E,'Relacion '!$D:$D,"")</f>
        <v/>
      </c>
      <c r="E186" s="239">
        <f t="shared" si="31"/>
        <v>20</v>
      </c>
      <c r="F186" s="240" cm="1">
        <f t="array" ref="F186">MIN(INDEX('Relacion '!$AD$5:$AE$493,MATCH(INDEX($B:$B, (ROW()-4)),'Relacion '!$E$5:$E$493,0),0))</f>
        <v>46099</v>
      </c>
      <c r="G186" s="240" cm="1">
        <f t="array" ref="G186">MAX(INDEX('Relacion '!$AD$5:$AE$493,MATCH(INDEX($B:$B, (ROW()-4)),'Relacion '!$E$5:$E$493,0),0))</f>
        <v>46119</v>
      </c>
      <c r="H186" s="241" t="e" cm="1">
        <f t="array" ref="H186">IF(
 MATCH(B186,{"01. ASIGNACION AREA";"02. MAPEO";"03. DESARROLLO";"04. VALIDA US";"05. VOBO US";"06. BW-EJECUCION";"07. VALIDACIÓN BAJAWARE";"08. CERRADA"},0)
 &lt;
 MATCH(_xlfn.XLOOKUP(INDEX($B:$B, (ROW()-4)),'Relacion '!$E:$E,'Relacion '!$D:$D,""),{"01. ASIGNACION AREA";"02. MAPEO";"03. DESARROLLO";"04. VALIDA US";"05. VOBO US";"06. BW-EJECUCION";"07. VALIDACIÓN BAJAWARE";"08. CERRADA"},0),
 1,
 IF(
  MATCH(B186,{"01. ASIGNACION AREA";"02. MAPEO";"03. DESARROLLO";"04. VALIDA US";"05. VOBO US";"06. BW-EJECUCION";"07. VALIDACIÓN BAJAWARE";"08. CERRADA"},0)
  =
  MATCH(_xlfn.XLOOKUP(INDEX($B:$B, (ROW()-4)),'Relacion '!$E:$E,'Relacion '!$D:$D,""),{"01. ASIGNACION AREA";"02. MAPEO";"03. DESARROLLO";"04. VALIDA US";"05. VOBO US";"06. BW-EJECUCION";"07. VALIDACIÓN BAJAWARE";"08. CERRADA"},0),
  _xlfn.XLOOKUP(INDEX($B:$B, (ROW()-4)),'Relacion '!$E:$E,'Relacion '!#REF!,0),
  0
 )
)</f>
        <v>#REF!</v>
      </c>
      <c r="I186" s="241">
        <f t="shared" ca="1" si="33"/>
        <v>1</v>
      </c>
      <c r="J186" s="241"/>
      <c r="K186" s="241"/>
      <c r="L186" s="238"/>
    </row>
    <row r="187" spans="2:12" outlineLevel="1">
      <c r="B187" s="237" t="s">
        <v>320</v>
      </c>
      <c r="C187" s="237" t="s">
        <v>320</v>
      </c>
      <c r="D187" s="238" t="str">
        <f>_xlfn.XLOOKUP(B187,'Relacion '!$E:$E,'Relacion '!$D:$D,"")</f>
        <v/>
      </c>
      <c r="E187" s="239">
        <f t="shared" si="31"/>
        <v>1</v>
      </c>
      <c r="F187" s="240" cm="1">
        <f t="array" ref="F187">MIN(INDEX('Relacion '!$AF$5:$AG$493,MATCH(INDEX($B:$B, (ROW()-5)),'Relacion '!$E$5:$E$493,0),0))</f>
        <v>46119</v>
      </c>
      <c r="G187" s="240" cm="1">
        <f t="array" ref="G187">MAX(INDEX('Relacion '!$AF$5:$AG$493,MATCH(INDEX($B:$B, (ROW()-5)),'Relacion '!$E$5:$E$493,0),0))</f>
        <v>46120</v>
      </c>
      <c r="H187" s="241" cm="1">
        <f t="array" ref="H187">IF(
 MATCH(B187,{"01. ASIGNACION AREA";"02. MAPEO";"03. DESARROLLO";"04. VALIDA US";"05. VOBO US";"06. BW-EJECUCION";"07. VALIDACIÓN BAJAWARE";"08. CERRADA"},0)
 &lt;
 MATCH(_xlfn.XLOOKUP(INDEX($B:$B, (ROW()-5)),'Relacion '!$E:$E,'Relacion '!$D:$D,""),{"01. ASIGNACION AREA";"02. MAPEO";"03. DESARROLLO";"04. VALIDA US";"05. VOBO US";"06. BW-EJECUCION";"07. VALIDACIÓN BAJAWARE";"08. CERRADA"},0),
 1,
 IF(
  MATCH(B187,{"01. ASIGNACION AREA";"02. MAPEO";"03. DESARROLLO";"04. VALIDA US";"05. VOBO US";"06. BW-EJECUCION";"07. VALIDACIÓN BAJAWARE";"08. CERRADA"},0)
  =
  MATCH(_xlfn.XLOOKUP(INDEX($B:$B, (ROW()-5)),'Relacion '!$E:$E,'Relacion '!$D:$D,""),{"01. ASIGNACION AREA";"02. MAPEO";"03. DESARROLLO";"04. VALIDA US";"05. VOBO US";"06. BW-EJECUCION";"07. VALIDACIÓN BAJAWARE";"08. CERRADA"},0),
  _xlfn.XLOOKUP(INDEX($B:$B, (ROW()-5)),'Relacion '!$E:$E,'Relacion '!#REF!,0),
  0
 )
)</f>
        <v>0</v>
      </c>
      <c r="I187" s="241">
        <f t="shared" ca="1" si="33"/>
        <v>1</v>
      </c>
      <c r="J187" s="241"/>
      <c r="K187" s="241"/>
      <c r="L187" s="238"/>
    </row>
    <row r="188" spans="2:12" outlineLevel="1">
      <c r="B188" s="237" t="s">
        <v>710</v>
      </c>
      <c r="C188" s="237" t="s">
        <v>710</v>
      </c>
      <c r="D188" s="238" t="str">
        <f>_xlfn.XLOOKUP(B188,'Relacion '!$E:$E,'Relacion '!$D:$D,"")</f>
        <v/>
      </c>
      <c r="E188" s="239">
        <f t="shared" si="31"/>
        <v>4</v>
      </c>
      <c r="F188" s="240" cm="1">
        <f t="array" ref="F188">MIN(INDEX('Relacion '!$AH$5:$AI$493,MATCH(INDEX($B:$B, (ROW()-6)),'Relacion '!$E$5:$E$493,0),0))</f>
        <v>46121</v>
      </c>
      <c r="G188" s="240" cm="1">
        <f t="array" ref="G188">MAX(INDEX('Relacion '!$AH$5:$AI$493,MATCH(INDEX($B:$B, (ROW()-6)),'Relacion '!$E$5:$E$493,0),0))</f>
        <v>46125</v>
      </c>
      <c r="H188" s="241" cm="1">
        <f t="array" ref="H188">IF(
 MATCH(B188,{"01. ASIGNACION AREA";"02. MAPEO";"03. DESARROLLO";"04. VALIDA US";"05. VOBO US";"06. BW-EJECUCION";"07. VALIDACIÓN BAJAWARE";"08. CERRADA"},0)
 &lt;
 MATCH(_xlfn.XLOOKUP(INDEX($B:$B, (ROW()-6)),'Relacion '!$E:$E,'Relacion '!$D:$D,""),{"01. ASIGNACION AREA";"02. MAPEO";"03. DESARROLLO";"04. VALIDA US";"05. VOBO US";"06. BW-EJECUCION";"07. VALIDACIÓN BAJAWARE";"08. CERRADA"},0),
 1,
 IF(
  MATCH(B188,{"01. ASIGNACION AREA";"02. MAPEO";"03. DESARROLLO";"04. VALIDA US";"05. VOBO US";"06. BW-EJECUCION";"07. VALIDACIÓN BAJAWARE";"08. CERRADA"},0)
  =
  MATCH(_xlfn.XLOOKUP(INDEX($B:$B, (ROW()-6)),'Relacion '!$E:$E,'Relacion '!$D:$D,""),{"01. ASIGNACION AREA";"02. MAPEO";"03. DESARROLLO";"04. VALIDA US";"05. VOBO US";"06. BW-EJECUCION";"07. VALIDACIÓN BAJAWARE";"08. CERRADA"},0),
  _xlfn.XLOOKUP(INDEX($B:$B, (ROW()-6)),'Relacion '!$E:$E,'Relacion '!#REF!,0),
  0
 )
)</f>
        <v>0</v>
      </c>
      <c r="I188" s="241">
        <f t="shared" ca="1" si="33"/>
        <v>1</v>
      </c>
      <c r="J188" s="241"/>
      <c r="K188" s="241"/>
      <c r="L188" s="238"/>
    </row>
    <row r="189" spans="2:12" outlineLevel="1">
      <c r="B189" s="237" t="s">
        <v>655</v>
      </c>
      <c r="C189" s="237" t="s">
        <v>655</v>
      </c>
      <c r="D189" s="238" t="str">
        <f>_xlfn.XLOOKUP(B189,'Relacion '!$E:$E,'Relacion '!$D:$D,"")</f>
        <v/>
      </c>
      <c r="E189" s="239">
        <f t="shared" si="31"/>
        <v>14</v>
      </c>
      <c r="F189" s="240" cm="1">
        <f t="array" ref="F189">MIN(INDEX('Relacion '!$AJ$5:$AK$493,MATCH(INDEX($B:$B, (ROW()-7)),'Relacion '!$E$5:$E$493,0),0))</f>
        <v>46126</v>
      </c>
      <c r="G189" s="240" cm="1">
        <f t="array" ref="G189">MAX(INDEX('Relacion '!$AJ$5:$AK$493,MATCH(INDEX($B:$B, (ROW()-7)),'Relacion '!$E$5:$E$493,0),0))</f>
        <v>46140</v>
      </c>
      <c r="H189" s="241" cm="1">
        <f t="array" ref="H189">IF(
 MATCH(B189,{"01. ASIGNACION AREA";"02. MAPEO";"03. DESARROLLO";"04. VALIDA US";"05. VOBO US";"06. BW-EJECUCION";"07. VALIDACIÓN BAJAWARE";"08. CERRADA"},0)
 &lt;
 MATCH(_xlfn.XLOOKUP(INDEX($B:$B, (ROW()-7)),'Relacion '!$E:$E,'Relacion '!$D:$D,""),{"01. ASIGNACION AREA";"02. MAPEO";"03. DESARROLLO";"04. VALIDA US";"05. VOBO US";"06. BW-EJECUCION";"07. VALIDACIÓN BAJAWARE";"08. CERRADA"},0),
 1,
 IF(
  MATCH(B189,{"01. ASIGNACION AREA";"02. MAPEO";"03. DESARROLLO";"04. VALIDA US";"05. VOBO US";"06. BW-EJECUCION";"07. VALIDACIÓN BAJAWARE";"08. CERRADA"},0)
  =
  MATCH(_xlfn.XLOOKUP(INDEX($B:$B, (ROW()-7)),'Relacion '!$E:$E,'Relacion '!$D:$D,""),{"01. ASIGNACION AREA";"02. MAPEO";"03. DESARROLLO";"04. VALIDA US";"05. VOBO US";"06. BW-EJECUCION";"07. VALIDACIÓN BAJAWARE";"08. CERRADA"},0),
  _xlfn.XLOOKUP(INDEX($B:$B, (ROW()-7)),'Relacion '!$E:$E,'Relacion '!#REF!,0),
  0
 )
)</f>
        <v>0</v>
      </c>
      <c r="I189" s="241">
        <f t="shared" ca="1" si="33"/>
        <v>1</v>
      </c>
      <c r="J189" s="241"/>
      <c r="K189" s="241"/>
      <c r="L189" s="238"/>
    </row>
    <row r="190" spans="2:12" outlineLevel="1">
      <c r="B190" s="237" t="s">
        <v>656</v>
      </c>
      <c r="C190" s="237" t="s">
        <v>656</v>
      </c>
      <c r="D190" s="238" t="str">
        <f>_xlfn.XLOOKUP(B190,'Relacion '!$E:$E,'Relacion '!$D:$D,"")</f>
        <v/>
      </c>
      <c r="E190" s="239">
        <f t="shared" si="31"/>
        <v>0</v>
      </c>
      <c r="F190" s="240" cm="1">
        <f t="array" ref="F190">MIN(INDEX('Relacion '!$AL$5:$AM$493,MATCH(INDEX($B:$B, (ROW()-8)),'Relacion '!$E$5:$E$493,0),0))</f>
        <v>46141</v>
      </c>
      <c r="G190" s="240" cm="1">
        <f t="array" ref="G190">MAX(INDEX('Relacion '!$AL$5:$AM$493,MATCH(INDEX($B:$B, (ROW()-8)),'Relacion '!$E$5:$E$493,0),0))</f>
        <v>46141</v>
      </c>
      <c r="H190" s="241" cm="1">
        <f t="array" ref="H190">IF(
 MATCH(B190,{"01. ASIGNACION AREA";"02. MAPEO";"03. DESARROLLO";"04. VALIDA US";"05. VOBO US";"06. BW-EJECUCION";"07. VALIDACIÓN BAJAWARE";"08. CERRADA"},0)
 &lt;
 MATCH(_xlfn.XLOOKUP(INDEX($B:$B, (ROW()-8)),'Relacion '!$E:$E,'Relacion '!$D:$D,""),{"01. ASIGNACION AREA";"02. MAPEO";"03. DESARROLLO";"04. VALIDA US";"05. VOBO US";"06. BW-EJECUCION";"07. VALIDACIÓN BAJAWARE";"08. CERRADA"},0),
 1,
 IF(
  MATCH(B190,{"01. ASIGNACION AREA";"02. MAPEO";"03. DESARROLLO";"04. VALIDA US";"05. VOBO US";"06. BW-EJECUCION";"07. VALIDACIÓN BAJAWARE";"08. CERRADA"},0)
  =
  MATCH(_xlfn.XLOOKUP(INDEX($B:$B, (ROW()-8)),'Relacion '!$E:$E,'Relacion '!$D:$D,""),{"01. ASIGNACION AREA";"02. MAPEO";"03. DESARROLLO";"04. VALIDA US";"05. VOBO US";"06. BW-EJECUCION";"07. VALIDACIÓN BAJAWARE";"08. CERRADA"},0),
  _xlfn.XLOOKUP(INDEX($B:$B, (ROW()-8)),'Relacion '!$E:$E,'Relacion '!#REF!,0),
  0
 )
)</f>
        <v>0</v>
      </c>
      <c r="I190" s="241">
        <f t="shared" ca="1" si="33"/>
        <v>1</v>
      </c>
      <c r="J190" s="241"/>
      <c r="K190" s="241"/>
      <c r="L190" s="238"/>
    </row>
    <row r="191" spans="2:12">
      <c r="B191" s="232" t="s">
        <v>526</v>
      </c>
      <c r="C191" s="86" t="s">
        <v>265</v>
      </c>
      <c r="D191" s="236" t="str">
        <f>_xlfn.XLOOKUP(B191,'Relacion '!$E:$E,'Relacion '!$D:$D,"")</f>
        <v>04. VALIDA US</v>
      </c>
      <c r="E191" s="233">
        <f t="shared" si="31"/>
        <v>117</v>
      </c>
      <c r="F191" s="234" cm="1">
        <f t="array" ref="F191">MIN(INDEX('Relacion '!$X$5:$AM$493,MATCH(INDEX($B:$B, (ROW()-0)),'Relacion '!$E$5:$E$493,0),0))</f>
        <v>46024</v>
      </c>
      <c r="G191" s="234" cm="1">
        <f t="array" ref="G191">MAX(INDEX('Relacion '!$X$5:$AM$493,MATCH(INDEX($B:$B, (ROW()-0)),'Relacion '!$E$5:$E$493,0),0))</f>
        <v>46141</v>
      </c>
      <c r="H191" s="235" t="e">
        <f>AVERAGE(H192:H199)</f>
        <v>#REF!</v>
      </c>
      <c r="I191" s="235">
        <f t="shared" ref="I191" ca="1" si="44">AVERAGE(I192:I199)</f>
        <v>1</v>
      </c>
      <c r="J191" s="236" t="str">
        <f>IF(ISNUMBER(SEARCH("Rocha", _xlfn.XLOOKUP(B191,'Relacion '!$E:$E,'Relacion '!$I:$I,""))), "Sí", "No")</f>
        <v>No</v>
      </c>
      <c r="K191" s="236" t="str">
        <f>IF(ISNUMBER(SEARCH("Rocha", _xlfn.XLOOKUP(B191,'Relacion '!$E:$E,'Relacion '!$I:$I,""))), "RMC", _xlfn.XLOOKUP(B191,'Relacion '!$E:$E,'Relacion '!$B:$B,""))</f>
        <v>Tesorería </v>
      </c>
      <c r="L191" s="236" t="str">
        <f>_xlfn.XLOOKUP(B191,'Relacion '!$E:$E,'Relacion '!$C:$C,"")</f>
        <v>Eduardo Cabral</v>
      </c>
    </row>
    <row r="192" spans="2:12" outlineLevel="1">
      <c r="B192" s="237" t="s">
        <v>654</v>
      </c>
      <c r="C192" s="237" t="s">
        <v>654</v>
      </c>
      <c r="D192" s="238" t="str">
        <f>_xlfn.XLOOKUP(B192,'Relacion '!$E:$E,'Relacion '!$D:$D,"")</f>
        <v/>
      </c>
      <c r="E192" s="239">
        <f t="shared" si="31"/>
        <v>59</v>
      </c>
      <c r="F192" s="240" cm="1">
        <f t="array" ref="F192">MIN(INDEX('Relacion '!$X$5:$Y$493,MATCH(INDEX($B:$B, (ROW()-1)),'Relacion '!$E$5:$E$493,0),0))</f>
        <v>46024</v>
      </c>
      <c r="G192" s="240" cm="1">
        <f t="array" ref="G192">MAX(INDEX('Relacion '!$X$5:$Y$493,MATCH(INDEX($B:$B, (ROW()-1)),'Relacion '!$E$5:$E$493,0),0))</f>
        <v>46083</v>
      </c>
      <c r="H192" s="241" cm="1">
        <f t="array" ref="H192">IF(
 MATCH(B192,{"01. ASIGNACION AREA";"02. MAPEO";"03. DESARROLLO";"04. VALIDA US";"05. VOBO US";"06. BW-EJECUCION";"07. VALIDACIÓN BAJAWARE";"08. CERRADA"},0)
 &lt;
 MATCH(_xlfn.XLOOKUP(INDEX($B:$B, (ROW()-1)),'Relacion '!$E:$E,'Relacion '!$D:$D,""),{"01. ASIGNACION AREA";"02. MAPEO";"03. DESARROLLO";"04. VALIDA US";"05. VOBO US";"06. BW-EJECUCION";"07. VALIDACIÓN BAJAWARE";"08. CERRADA"},0),
 1,
 IF(
  MATCH(B192,{"01. ASIGNACION AREA";"02. MAPEO";"03. DESARROLLO";"04. VALIDA US";"05. VOBO US";"06. BW-EJECUCION";"07. VALIDACIÓN BAJAWARE";"08. CERRADA"},0)
  =
  MATCH(_xlfn.XLOOKUP(INDEX($B:$B, (ROW()-1)),'Relacion '!$E:$E,'Relacion '!$D:$D,""),{"01. ASIGNACION AREA";"02. MAPEO";"03. DESARROLLO";"04. VALIDA US";"05. VOBO US";"06. BW-EJECUCION";"07. VALIDACIÓN BAJAWARE";"08. CERRADA"},0),
  _xlfn.XLOOKUP(INDEX($B:$B, (ROW()-1)),'Relacion '!$E:$E,'Relacion '!#REF!,0),
  0
 )
)</f>
        <v>1</v>
      </c>
      <c r="I192" s="241">
        <f t="shared" ref="I192" ca="1" si="45">IF(G192&lt;=TODAY(), 1, 0)</f>
        <v>1</v>
      </c>
      <c r="J192" s="241"/>
      <c r="K192" s="241"/>
      <c r="L192" s="238"/>
    </row>
    <row r="193" spans="2:12" outlineLevel="1">
      <c r="B193" s="237" t="s">
        <v>195</v>
      </c>
      <c r="C193" s="237" t="s">
        <v>195</v>
      </c>
      <c r="D193" s="238" t="str">
        <f>_xlfn.XLOOKUP(B193,'Relacion '!$E:$E,'Relacion '!$D:$D,"")</f>
        <v/>
      </c>
      <c r="E193" s="239">
        <f t="shared" si="31"/>
        <v>0</v>
      </c>
      <c r="F193" s="240" cm="1">
        <f t="array" ref="F193">MIN(INDEX('Relacion '!$Z$5:$AA$493,MATCH(INDEX($B:$B, (ROW()-2)),'Relacion '!$E$5:$E$493,0),0))</f>
        <v>46084</v>
      </c>
      <c r="G193" s="240" cm="1">
        <f t="array" ref="G193">MAX(INDEX('Relacion '!$Z$5:$AA$493,MATCH(INDEX($B:$B, (ROW()-2)),'Relacion '!$E$5:$E$493,0),0))</f>
        <v>46084</v>
      </c>
      <c r="H193" s="241" cm="1">
        <f t="array" ref="H193">IF(
 MATCH(B193,{"01. ASIGNACION AREA";"02. MAPEO";"03. DESARROLLO";"04. VALIDA US";"05. VOBO US";"06. BW-EJECUCION";"07. VALIDACIÓN BAJAWARE";"08. CERRADA"},0)
 &lt;
 MATCH(_xlfn.XLOOKUP(INDEX($B:$B, (ROW()-2)),'Relacion '!$E:$E,'Relacion '!$D:$D,""),{"01. ASIGNACION AREA";"02. MAPEO";"03. DESARROLLO";"04. VALIDA US";"05. VOBO US";"06. BW-EJECUCION";"07. VALIDACIÓN BAJAWARE";"08. CERRADA"},0),
 1,
 IF(
  MATCH(B193,{"01. ASIGNACION AREA";"02. MAPEO";"03. DESARROLLO";"04. VALIDA US";"05. VOBO US";"06. BW-EJECUCION";"07. VALIDACIÓN BAJAWARE";"08. CERRADA"},0)
  =
  MATCH(_xlfn.XLOOKUP(INDEX($B:$B, (ROW()-2)),'Relacion '!$E:$E,'Relacion '!$D:$D,""),{"01. ASIGNACION AREA";"02. MAPEO";"03. DESARROLLO";"04. VALIDA US";"05. VOBO US";"06. BW-EJECUCION";"07. VALIDACIÓN BAJAWARE";"08. CERRADA"},0),
  _xlfn.XLOOKUP(INDEX($B:$B, (ROW()-2)),'Relacion '!$E:$E,'Relacion '!#REF!,0),
  0
 )
)</f>
        <v>1</v>
      </c>
      <c r="I193" s="241">
        <f t="shared" ca="1" si="33"/>
        <v>1</v>
      </c>
      <c r="J193" s="241"/>
      <c r="K193" s="241"/>
      <c r="L193" s="238"/>
    </row>
    <row r="194" spans="2:12" outlineLevel="1">
      <c r="B194" s="237" t="s">
        <v>49</v>
      </c>
      <c r="C194" s="237" t="s">
        <v>49</v>
      </c>
      <c r="D194" s="238" t="str">
        <f>_xlfn.XLOOKUP(B194,'Relacion '!$E:$E,'Relacion '!$D:$D,"")</f>
        <v/>
      </c>
      <c r="E194" s="239">
        <f t="shared" ref="E194:E257" si="46">IF(OR(F194="",G194=""),"",G194-F194)</f>
        <v>13</v>
      </c>
      <c r="F194" s="240" cm="1">
        <f t="array" ref="F194">MIN(INDEX('Relacion '!$AB$5:$AC$493,MATCH(INDEX($B:$B, (ROW()-3)),'Relacion '!$E$5:$E$493,0),0))</f>
        <v>46085</v>
      </c>
      <c r="G194" s="240" cm="1">
        <f t="array" ref="G194">MAX(INDEX('Relacion '!$AB$5:$AC$493,MATCH(INDEX($B:$B, (ROW()-3)),'Relacion '!$E$5:$E$493,0),0))</f>
        <v>46098</v>
      </c>
      <c r="H194" s="241" cm="1">
        <f t="array" ref="H194">IF(
 MATCH(B194,{"01. ASIGNACION AREA";"02. MAPEO";"03. DESARROLLO";"04. VALIDA US";"05. VOBO US";"06. BW-EJECUCION";"07. VALIDACIÓN BAJAWARE";"08. CERRADA"},0)
 &lt;
 MATCH(_xlfn.XLOOKUP(INDEX($B:$B, (ROW()-3)),'Relacion '!$E:$E,'Relacion '!$D:$D,""),{"01. ASIGNACION AREA";"02. MAPEO";"03. DESARROLLO";"04. VALIDA US";"05. VOBO US";"06. BW-EJECUCION";"07. VALIDACIÓN BAJAWARE";"08. CERRADA"},0),
 1,
 IF(
  MATCH(B194,{"01. ASIGNACION AREA";"02. MAPEO";"03. DESARROLLO";"04. VALIDA US";"05. VOBO US";"06. BW-EJECUCION";"07. VALIDACIÓN BAJAWARE";"08. CERRADA"},0)
  =
  MATCH(_xlfn.XLOOKUP(INDEX($B:$B, (ROW()-3)),'Relacion '!$E:$E,'Relacion '!$D:$D,""),{"01. ASIGNACION AREA";"02. MAPEO";"03. DESARROLLO";"04. VALIDA US";"05. VOBO US";"06. BW-EJECUCION";"07. VALIDACIÓN BAJAWARE";"08. CERRADA"},0),
  _xlfn.XLOOKUP(INDEX($B:$B, (ROW()-3)),'Relacion '!$E:$E,'Relacion '!#REF!,0),
  0
 )
)</f>
        <v>1</v>
      </c>
      <c r="I194" s="241">
        <f t="shared" ca="1" si="33"/>
        <v>1</v>
      </c>
      <c r="J194" s="241"/>
      <c r="K194" s="241"/>
      <c r="L194" s="238"/>
    </row>
    <row r="195" spans="2:12" outlineLevel="1">
      <c r="B195" s="237" t="s">
        <v>324</v>
      </c>
      <c r="C195" s="237" t="s">
        <v>324</v>
      </c>
      <c r="D195" s="238" t="str">
        <f>_xlfn.XLOOKUP(B195,'Relacion '!$E:$E,'Relacion '!$D:$D,"")</f>
        <v/>
      </c>
      <c r="E195" s="239">
        <f t="shared" si="46"/>
        <v>20</v>
      </c>
      <c r="F195" s="240" cm="1">
        <f t="array" ref="F195">MIN(INDEX('Relacion '!$AD$5:$AE$493,MATCH(INDEX($B:$B, (ROW()-4)),'Relacion '!$E$5:$E$493,0),0))</f>
        <v>46099</v>
      </c>
      <c r="G195" s="240" cm="1">
        <f t="array" ref="G195">MAX(INDEX('Relacion '!$AD$5:$AE$493,MATCH(INDEX($B:$B, (ROW()-4)),'Relacion '!$E$5:$E$493,0),0))</f>
        <v>46119</v>
      </c>
      <c r="H195" s="241" t="e" cm="1">
        <f t="array" ref="H195">IF(
 MATCH(B195,{"01. ASIGNACION AREA";"02. MAPEO";"03. DESARROLLO";"04. VALIDA US";"05. VOBO US";"06. BW-EJECUCION";"07. VALIDACIÓN BAJAWARE";"08. CERRADA"},0)
 &lt;
 MATCH(_xlfn.XLOOKUP(INDEX($B:$B, (ROW()-4)),'Relacion '!$E:$E,'Relacion '!$D:$D,""),{"01. ASIGNACION AREA";"02. MAPEO";"03. DESARROLLO";"04. VALIDA US";"05. VOBO US";"06. BW-EJECUCION";"07. VALIDACIÓN BAJAWARE";"08. CERRADA"},0),
 1,
 IF(
  MATCH(B195,{"01. ASIGNACION AREA";"02. MAPEO";"03. DESARROLLO";"04. VALIDA US";"05. VOBO US";"06. BW-EJECUCION";"07. VALIDACIÓN BAJAWARE";"08. CERRADA"},0)
  =
  MATCH(_xlfn.XLOOKUP(INDEX($B:$B, (ROW()-4)),'Relacion '!$E:$E,'Relacion '!$D:$D,""),{"01. ASIGNACION AREA";"02. MAPEO";"03. DESARROLLO";"04. VALIDA US";"05. VOBO US";"06. BW-EJECUCION";"07. VALIDACIÓN BAJAWARE";"08. CERRADA"},0),
  _xlfn.XLOOKUP(INDEX($B:$B, (ROW()-4)),'Relacion '!$E:$E,'Relacion '!#REF!,0),
  0
 )
)</f>
        <v>#REF!</v>
      </c>
      <c r="I195" s="241">
        <f t="shared" ca="1" si="33"/>
        <v>1</v>
      </c>
      <c r="J195" s="241"/>
      <c r="K195" s="241"/>
      <c r="L195" s="238"/>
    </row>
    <row r="196" spans="2:12" outlineLevel="1">
      <c r="B196" s="237" t="s">
        <v>320</v>
      </c>
      <c r="C196" s="237" t="s">
        <v>320</v>
      </c>
      <c r="D196" s="238" t="str">
        <f>_xlfn.XLOOKUP(B196,'Relacion '!$E:$E,'Relacion '!$D:$D,"")</f>
        <v/>
      </c>
      <c r="E196" s="239">
        <f t="shared" si="46"/>
        <v>1</v>
      </c>
      <c r="F196" s="240" cm="1">
        <f t="array" ref="F196">MIN(INDEX('Relacion '!$AF$5:$AG$493,MATCH(INDEX($B:$B, (ROW()-5)),'Relacion '!$E$5:$E$493,0),0))</f>
        <v>46119</v>
      </c>
      <c r="G196" s="240" cm="1">
        <f t="array" ref="G196">MAX(INDEX('Relacion '!$AF$5:$AG$493,MATCH(INDEX($B:$B, (ROW()-5)),'Relacion '!$E$5:$E$493,0),0))</f>
        <v>46120</v>
      </c>
      <c r="H196" s="241" cm="1">
        <f t="array" ref="H196">IF(
 MATCH(B196,{"01. ASIGNACION AREA";"02. MAPEO";"03. DESARROLLO";"04. VALIDA US";"05. VOBO US";"06. BW-EJECUCION";"07. VALIDACIÓN BAJAWARE";"08. CERRADA"},0)
 &lt;
 MATCH(_xlfn.XLOOKUP(INDEX($B:$B, (ROW()-5)),'Relacion '!$E:$E,'Relacion '!$D:$D,""),{"01. ASIGNACION AREA";"02. MAPEO";"03. DESARROLLO";"04. VALIDA US";"05. VOBO US";"06. BW-EJECUCION";"07. VALIDACIÓN BAJAWARE";"08. CERRADA"},0),
 1,
 IF(
  MATCH(B196,{"01. ASIGNACION AREA";"02. MAPEO";"03. DESARROLLO";"04. VALIDA US";"05. VOBO US";"06. BW-EJECUCION";"07. VALIDACIÓN BAJAWARE";"08. CERRADA"},0)
  =
  MATCH(_xlfn.XLOOKUP(INDEX($B:$B, (ROW()-5)),'Relacion '!$E:$E,'Relacion '!$D:$D,""),{"01. ASIGNACION AREA";"02. MAPEO";"03. DESARROLLO";"04. VALIDA US";"05. VOBO US";"06. BW-EJECUCION";"07. VALIDACIÓN BAJAWARE";"08. CERRADA"},0),
  _xlfn.XLOOKUP(INDEX($B:$B, (ROW()-5)),'Relacion '!$E:$E,'Relacion '!#REF!,0),
  0
 )
)</f>
        <v>0</v>
      </c>
      <c r="I196" s="241">
        <f t="shared" ca="1" si="33"/>
        <v>1</v>
      </c>
      <c r="J196" s="241"/>
      <c r="K196" s="241"/>
      <c r="L196" s="238"/>
    </row>
    <row r="197" spans="2:12" outlineLevel="1">
      <c r="B197" s="237" t="s">
        <v>710</v>
      </c>
      <c r="C197" s="237" t="s">
        <v>710</v>
      </c>
      <c r="D197" s="238" t="str">
        <f>_xlfn.XLOOKUP(B197,'Relacion '!$E:$E,'Relacion '!$D:$D,"")</f>
        <v/>
      </c>
      <c r="E197" s="239">
        <f t="shared" si="46"/>
        <v>4</v>
      </c>
      <c r="F197" s="240" cm="1">
        <f t="array" ref="F197">MIN(INDEX('Relacion '!$AH$5:$AI$493,MATCH(INDEX($B:$B, (ROW()-6)),'Relacion '!$E$5:$E$493,0),0))</f>
        <v>46121</v>
      </c>
      <c r="G197" s="240" cm="1">
        <f t="array" ref="G197">MAX(INDEX('Relacion '!$AH$5:$AI$493,MATCH(INDEX($B:$B, (ROW()-6)),'Relacion '!$E$5:$E$493,0),0))</f>
        <v>46125</v>
      </c>
      <c r="H197" s="241" cm="1">
        <f t="array" ref="H197">IF(
 MATCH(B197,{"01. ASIGNACION AREA";"02. MAPEO";"03. DESARROLLO";"04. VALIDA US";"05. VOBO US";"06. BW-EJECUCION";"07. VALIDACIÓN BAJAWARE";"08. CERRADA"},0)
 &lt;
 MATCH(_xlfn.XLOOKUP(INDEX($B:$B, (ROW()-6)),'Relacion '!$E:$E,'Relacion '!$D:$D,""),{"01. ASIGNACION AREA";"02. MAPEO";"03. DESARROLLO";"04. VALIDA US";"05. VOBO US";"06. BW-EJECUCION";"07. VALIDACIÓN BAJAWARE";"08. CERRADA"},0),
 1,
 IF(
  MATCH(B197,{"01. ASIGNACION AREA";"02. MAPEO";"03. DESARROLLO";"04. VALIDA US";"05. VOBO US";"06. BW-EJECUCION";"07. VALIDACIÓN BAJAWARE";"08. CERRADA"},0)
  =
  MATCH(_xlfn.XLOOKUP(INDEX($B:$B, (ROW()-6)),'Relacion '!$E:$E,'Relacion '!$D:$D,""),{"01. ASIGNACION AREA";"02. MAPEO";"03. DESARROLLO";"04. VALIDA US";"05. VOBO US";"06. BW-EJECUCION";"07. VALIDACIÓN BAJAWARE";"08. CERRADA"},0),
  _xlfn.XLOOKUP(INDEX($B:$B, (ROW()-6)),'Relacion '!$E:$E,'Relacion '!#REF!,0),
  0
 )
)</f>
        <v>0</v>
      </c>
      <c r="I197" s="241">
        <f t="shared" ca="1" si="33"/>
        <v>1</v>
      </c>
      <c r="J197" s="241"/>
      <c r="K197" s="241"/>
      <c r="L197" s="238"/>
    </row>
    <row r="198" spans="2:12" outlineLevel="1">
      <c r="B198" s="237" t="s">
        <v>655</v>
      </c>
      <c r="C198" s="237" t="s">
        <v>655</v>
      </c>
      <c r="D198" s="238" t="str">
        <f>_xlfn.XLOOKUP(B198,'Relacion '!$E:$E,'Relacion '!$D:$D,"")</f>
        <v/>
      </c>
      <c r="E198" s="239">
        <f t="shared" si="46"/>
        <v>14</v>
      </c>
      <c r="F198" s="240" cm="1">
        <f t="array" ref="F198">MIN(INDEX('Relacion '!$AJ$5:$AK$493,MATCH(INDEX($B:$B, (ROW()-7)),'Relacion '!$E$5:$E$493,0),0))</f>
        <v>46126</v>
      </c>
      <c r="G198" s="240" cm="1">
        <f t="array" ref="G198">MAX(INDEX('Relacion '!$AJ$5:$AK$493,MATCH(INDEX($B:$B, (ROW()-7)),'Relacion '!$E$5:$E$493,0),0))</f>
        <v>46140</v>
      </c>
      <c r="H198" s="241" cm="1">
        <f t="array" ref="H198">IF(
 MATCH(B198,{"01. ASIGNACION AREA";"02. MAPEO";"03. DESARROLLO";"04. VALIDA US";"05. VOBO US";"06. BW-EJECUCION";"07. VALIDACIÓN BAJAWARE";"08. CERRADA"},0)
 &lt;
 MATCH(_xlfn.XLOOKUP(INDEX($B:$B, (ROW()-7)),'Relacion '!$E:$E,'Relacion '!$D:$D,""),{"01. ASIGNACION AREA";"02. MAPEO";"03. DESARROLLO";"04. VALIDA US";"05. VOBO US";"06. BW-EJECUCION";"07. VALIDACIÓN BAJAWARE";"08. CERRADA"},0),
 1,
 IF(
  MATCH(B198,{"01. ASIGNACION AREA";"02. MAPEO";"03. DESARROLLO";"04. VALIDA US";"05. VOBO US";"06. BW-EJECUCION";"07. VALIDACIÓN BAJAWARE";"08. CERRADA"},0)
  =
  MATCH(_xlfn.XLOOKUP(INDEX($B:$B, (ROW()-7)),'Relacion '!$E:$E,'Relacion '!$D:$D,""),{"01. ASIGNACION AREA";"02. MAPEO";"03. DESARROLLO";"04. VALIDA US";"05. VOBO US";"06. BW-EJECUCION";"07. VALIDACIÓN BAJAWARE";"08. CERRADA"},0),
  _xlfn.XLOOKUP(INDEX($B:$B, (ROW()-7)),'Relacion '!$E:$E,'Relacion '!#REF!,0),
  0
 )
)</f>
        <v>0</v>
      </c>
      <c r="I198" s="241">
        <f t="shared" ca="1" si="33"/>
        <v>1</v>
      </c>
      <c r="J198" s="241"/>
      <c r="K198" s="241"/>
      <c r="L198" s="238"/>
    </row>
    <row r="199" spans="2:12" outlineLevel="1">
      <c r="B199" s="237" t="s">
        <v>656</v>
      </c>
      <c r="C199" s="237" t="s">
        <v>656</v>
      </c>
      <c r="D199" s="238" t="str">
        <f>_xlfn.XLOOKUP(B199,'Relacion '!$E:$E,'Relacion '!$D:$D,"")</f>
        <v/>
      </c>
      <c r="E199" s="239">
        <f t="shared" si="46"/>
        <v>0</v>
      </c>
      <c r="F199" s="240" cm="1">
        <f t="array" ref="F199">MIN(INDEX('Relacion '!$AL$5:$AM$493,MATCH(INDEX($B:$B, (ROW()-8)),'Relacion '!$E$5:$E$493,0),0))</f>
        <v>46141</v>
      </c>
      <c r="G199" s="240" cm="1">
        <f t="array" ref="G199">MAX(INDEX('Relacion '!$AL$5:$AM$493,MATCH(INDEX($B:$B, (ROW()-8)),'Relacion '!$E$5:$E$493,0),0))</f>
        <v>46141</v>
      </c>
      <c r="H199" s="241" cm="1">
        <f t="array" ref="H199">IF(
 MATCH(B199,{"01. ASIGNACION AREA";"02. MAPEO";"03. DESARROLLO";"04. VALIDA US";"05. VOBO US";"06. BW-EJECUCION";"07. VALIDACIÓN BAJAWARE";"08. CERRADA"},0)
 &lt;
 MATCH(_xlfn.XLOOKUP(INDEX($B:$B, (ROW()-8)),'Relacion '!$E:$E,'Relacion '!$D:$D,""),{"01. ASIGNACION AREA";"02. MAPEO";"03. DESARROLLO";"04. VALIDA US";"05. VOBO US";"06. BW-EJECUCION";"07. VALIDACIÓN BAJAWARE";"08. CERRADA"},0),
 1,
 IF(
  MATCH(B199,{"01. ASIGNACION AREA";"02. MAPEO";"03. DESARROLLO";"04. VALIDA US";"05. VOBO US";"06. BW-EJECUCION";"07. VALIDACIÓN BAJAWARE";"08. CERRADA"},0)
  =
  MATCH(_xlfn.XLOOKUP(INDEX($B:$B, (ROW()-8)),'Relacion '!$E:$E,'Relacion '!$D:$D,""),{"01. ASIGNACION AREA";"02. MAPEO";"03. DESARROLLO";"04. VALIDA US";"05. VOBO US";"06. BW-EJECUCION";"07. VALIDACIÓN BAJAWARE";"08. CERRADA"},0),
  _xlfn.XLOOKUP(INDEX($B:$B, (ROW()-8)),'Relacion '!$E:$E,'Relacion '!#REF!,0),
  0
 )
)</f>
        <v>0</v>
      </c>
      <c r="I199" s="241">
        <f t="shared" ca="1" si="33"/>
        <v>1</v>
      </c>
      <c r="J199" s="241"/>
      <c r="K199" s="241"/>
      <c r="L199" s="238"/>
    </row>
    <row r="200" spans="2:12" ht="30">
      <c r="B200" s="232" t="s">
        <v>214</v>
      </c>
      <c r="C200" s="37" t="s">
        <v>211</v>
      </c>
      <c r="D200" s="236" t="str">
        <f>_xlfn.XLOOKUP(B200,'Relacion '!$E:$E,'Relacion '!$D:$D,"")</f>
        <v>07. VALIDACIÓN BAJAWARE</v>
      </c>
      <c r="E200" s="233">
        <f t="shared" si="46"/>
        <v>148</v>
      </c>
      <c r="F200" s="234" cm="1">
        <f t="array" ref="F200">MIN(INDEX('Relacion '!$X$5:$AM$493,MATCH(INDEX($B:$B, (ROW()-0)),'Relacion '!$E$5:$E$493,0),0))</f>
        <v>46024</v>
      </c>
      <c r="G200" s="234" cm="1">
        <f t="array" ref="G200">MAX(INDEX('Relacion '!$X$5:$AM$493,MATCH(INDEX($B:$B, (ROW()-0)),'Relacion '!$E$5:$E$493,0),0))</f>
        <v>46172</v>
      </c>
      <c r="H200" s="235" t="e">
        <f>AVERAGE(H201:H208)</f>
        <v>#REF!</v>
      </c>
      <c r="I200" s="235">
        <f t="shared" ref="I200" ca="1" si="47">AVERAGE(I201:I208)</f>
        <v>0.75</v>
      </c>
      <c r="J200" s="236" t="str">
        <f>IF(ISNUMBER(SEARCH("Rocha", _xlfn.XLOOKUP(B200,'Relacion '!$E:$E,'Relacion '!$I:$I,""))), "Sí", "No")</f>
        <v>No</v>
      </c>
      <c r="K200" s="236" t="str">
        <f>IF(ISNUMBER(SEARCH("Rocha", _xlfn.XLOOKUP(B200,'Relacion '!$E:$E,'Relacion '!$I:$I,""))), "RMC", _xlfn.XLOOKUP(B200,'Relacion '!$E:$E,'Relacion '!$B:$B,""))</f>
        <v>Tesorería </v>
      </c>
      <c r="L200" s="236" t="str">
        <f>_xlfn.XLOOKUP(B200,'Relacion '!$E:$E,'Relacion '!$C:$C,"")</f>
        <v>Eduardo Cabral</v>
      </c>
    </row>
    <row r="201" spans="2:12" outlineLevel="1">
      <c r="B201" s="237" t="s">
        <v>654</v>
      </c>
      <c r="C201" s="237" t="s">
        <v>654</v>
      </c>
      <c r="D201" s="238" t="str">
        <f>_xlfn.XLOOKUP(B201,'Relacion '!$E:$E,'Relacion '!$D:$D,"")</f>
        <v/>
      </c>
      <c r="E201" s="239">
        <f t="shared" si="46"/>
        <v>59</v>
      </c>
      <c r="F201" s="240" cm="1">
        <f t="array" ref="F201">MIN(INDEX('Relacion '!$X$5:$Y$493,MATCH(INDEX($B:$B, (ROW()-1)),'Relacion '!$E$5:$E$493,0),0))</f>
        <v>46024</v>
      </c>
      <c r="G201" s="240" cm="1">
        <f t="array" ref="G201">MAX(INDEX('Relacion '!$X$5:$Y$493,MATCH(INDEX($B:$B, (ROW()-1)),'Relacion '!$E$5:$E$493,0),0))</f>
        <v>46083</v>
      </c>
      <c r="H201" s="241" cm="1">
        <f t="array" ref="H201">IF(
 MATCH(B201,{"01. ASIGNACION AREA";"02. MAPEO";"03. DESARROLLO";"04. VALIDA US";"05. VOBO US";"06. BW-EJECUCION";"07. VALIDACIÓN BAJAWARE";"08. CERRADA"},0)
 &lt;
 MATCH(_xlfn.XLOOKUP(INDEX($B:$B, (ROW()-1)),'Relacion '!$E:$E,'Relacion '!$D:$D,""),{"01. ASIGNACION AREA";"02. MAPEO";"03. DESARROLLO";"04. VALIDA US";"05. VOBO US";"06. BW-EJECUCION";"07. VALIDACIÓN BAJAWARE";"08. CERRADA"},0),
 1,
 IF(
  MATCH(B201,{"01. ASIGNACION AREA";"02. MAPEO";"03. DESARROLLO";"04. VALIDA US";"05. VOBO US";"06. BW-EJECUCION";"07. VALIDACIÓN BAJAWARE";"08. CERRADA"},0)
  =
  MATCH(_xlfn.XLOOKUP(INDEX($B:$B, (ROW()-1)),'Relacion '!$E:$E,'Relacion '!$D:$D,""),{"01. ASIGNACION AREA";"02. MAPEO";"03. DESARROLLO";"04. VALIDA US";"05. VOBO US";"06. BW-EJECUCION";"07. VALIDACIÓN BAJAWARE";"08. CERRADA"},0),
  _xlfn.XLOOKUP(INDEX($B:$B, (ROW()-1)),'Relacion '!$E:$E,'Relacion '!#REF!,0),
  0
 )
)</f>
        <v>1</v>
      </c>
      <c r="I201" s="241">
        <f t="shared" ref="I201:I262" ca="1" si="48">IF(G201&lt;=TODAY(), 1, 0)</f>
        <v>1</v>
      </c>
      <c r="J201" s="241"/>
      <c r="K201" s="241"/>
      <c r="L201" s="238"/>
    </row>
    <row r="202" spans="2:12" outlineLevel="1">
      <c r="B202" s="237" t="s">
        <v>195</v>
      </c>
      <c r="C202" s="237" t="s">
        <v>195</v>
      </c>
      <c r="D202" s="238" t="str">
        <f>_xlfn.XLOOKUP(B202,'Relacion '!$E:$E,'Relacion '!$D:$D,"")</f>
        <v/>
      </c>
      <c r="E202" s="239">
        <f t="shared" si="46"/>
        <v>31</v>
      </c>
      <c r="F202" s="240" cm="1">
        <f t="array" ref="F202">MIN(INDEX('Relacion '!$Z$5:$AA$493,MATCH(INDEX($B:$B, (ROW()-2)),'Relacion '!$E$5:$E$493,0),0))</f>
        <v>46056</v>
      </c>
      <c r="G202" s="240" cm="1">
        <f t="array" ref="G202">MAX(INDEX('Relacion '!$Z$5:$AA$493,MATCH(INDEX($B:$B, (ROW()-2)),'Relacion '!$E$5:$E$493,0),0))</f>
        <v>46087</v>
      </c>
      <c r="H202" s="241" cm="1">
        <f t="array" ref="H202">IF(
 MATCH(B202,{"01. ASIGNACION AREA";"02. MAPEO";"03. DESARROLLO";"04. VALIDA US";"05. VOBO US";"06. BW-EJECUCION";"07. VALIDACIÓN BAJAWARE";"08. CERRADA"},0)
 &lt;
 MATCH(_xlfn.XLOOKUP(INDEX($B:$B, (ROW()-2)),'Relacion '!$E:$E,'Relacion '!$D:$D,""),{"01. ASIGNACION AREA";"02. MAPEO";"03. DESARROLLO";"04. VALIDA US";"05. VOBO US";"06. BW-EJECUCION";"07. VALIDACIÓN BAJAWARE";"08. CERRADA"},0),
 1,
 IF(
  MATCH(B202,{"01. ASIGNACION AREA";"02. MAPEO";"03. DESARROLLO";"04. VALIDA US";"05. VOBO US";"06. BW-EJECUCION";"07. VALIDACIÓN BAJAWARE";"08. CERRADA"},0)
  =
  MATCH(_xlfn.XLOOKUP(INDEX($B:$B, (ROW()-2)),'Relacion '!$E:$E,'Relacion '!$D:$D,""),{"01. ASIGNACION AREA";"02. MAPEO";"03. DESARROLLO";"04. VALIDA US";"05. VOBO US";"06. BW-EJECUCION";"07. VALIDACIÓN BAJAWARE";"08. CERRADA"},0),
  _xlfn.XLOOKUP(INDEX($B:$B, (ROW()-2)),'Relacion '!$E:$E,'Relacion '!#REF!,0),
  0
 )
)</f>
        <v>1</v>
      </c>
      <c r="I202" s="241">
        <f t="shared" ca="1" si="48"/>
        <v>1</v>
      </c>
      <c r="J202" s="241"/>
      <c r="K202" s="241"/>
      <c r="L202" s="238"/>
    </row>
    <row r="203" spans="2:12" outlineLevel="1">
      <c r="B203" s="237" t="s">
        <v>49</v>
      </c>
      <c r="C203" s="237" t="s">
        <v>49</v>
      </c>
      <c r="D203" s="238" t="str">
        <f>_xlfn.XLOOKUP(B203,'Relacion '!$E:$E,'Relacion '!$D:$D,"")</f>
        <v/>
      </c>
      <c r="E203" s="239">
        <f t="shared" si="46"/>
        <v>39</v>
      </c>
      <c r="F203" s="240" cm="1">
        <f t="array" ref="F203">MIN(INDEX('Relacion '!$AB$5:$AC$493,MATCH(INDEX($B:$B, (ROW()-3)),'Relacion '!$E$5:$E$493,0),0))</f>
        <v>46083</v>
      </c>
      <c r="G203" s="240" cm="1">
        <f t="array" ref="G203">MAX(INDEX('Relacion '!$AB$5:$AC$493,MATCH(INDEX($B:$B, (ROW()-3)),'Relacion '!$E$5:$E$493,0),0))</f>
        <v>46122</v>
      </c>
      <c r="H203" s="241" cm="1">
        <f t="array" ref="H203">IF(
 MATCH(B203,{"01. ASIGNACION AREA";"02. MAPEO";"03. DESARROLLO";"04. VALIDA US";"05. VOBO US";"06. BW-EJECUCION";"07. VALIDACIÓN BAJAWARE";"08. CERRADA"},0)
 &lt;
 MATCH(_xlfn.XLOOKUP(INDEX($B:$B, (ROW()-3)),'Relacion '!$E:$E,'Relacion '!$D:$D,""),{"01. ASIGNACION AREA";"02. MAPEO";"03. DESARROLLO";"04. VALIDA US";"05. VOBO US";"06. BW-EJECUCION";"07. VALIDACIÓN BAJAWARE";"08. CERRADA"},0),
 1,
 IF(
  MATCH(B203,{"01. ASIGNACION AREA";"02. MAPEO";"03. DESARROLLO";"04. VALIDA US";"05. VOBO US";"06. BW-EJECUCION";"07. VALIDACIÓN BAJAWARE";"08. CERRADA"},0)
  =
  MATCH(_xlfn.XLOOKUP(INDEX($B:$B, (ROW()-3)),'Relacion '!$E:$E,'Relacion '!$D:$D,""),{"01. ASIGNACION AREA";"02. MAPEO";"03. DESARROLLO";"04. VALIDA US";"05. VOBO US";"06. BW-EJECUCION";"07. VALIDACIÓN BAJAWARE";"08. CERRADA"},0),
  _xlfn.XLOOKUP(INDEX($B:$B, (ROW()-3)),'Relacion '!$E:$E,'Relacion '!#REF!,0),
  0
 )
)</f>
        <v>1</v>
      </c>
      <c r="I203" s="241">
        <f t="shared" ca="1" si="48"/>
        <v>1</v>
      </c>
      <c r="J203" s="241"/>
      <c r="K203" s="241"/>
      <c r="L203" s="238"/>
    </row>
    <row r="204" spans="2:12" outlineLevel="1">
      <c r="B204" s="237" t="s">
        <v>324</v>
      </c>
      <c r="C204" s="237" t="s">
        <v>324</v>
      </c>
      <c r="D204" s="238" t="str">
        <f>_xlfn.XLOOKUP(B204,'Relacion '!$E:$E,'Relacion '!$D:$D,"")</f>
        <v/>
      </c>
      <c r="E204" s="239">
        <f t="shared" si="46"/>
        <v>25</v>
      </c>
      <c r="F204" s="240" cm="1">
        <f t="array" ref="F204">MIN(INDEX('Relacion '!$AD$5:$AE$493,MATCH(INDEX($B:$B, (ROW()-4)),'Relacion '!$E$5:$E$493,0),0))</f>
        <v>46111</v>
      </c>
      <c r="G204" s="240" cm="1">
        <f t="array" ref="G204">MAX(INDEX('Relacion '!$AD$5:$AE$493,MATCH(INDEX($B:$B, (ROW()-4)),'Relacion '!$E$5:$E$493,0),0))</f>
        <v>46136</v>
      </c>
      <c r="H204" s="241" cm="1">
        <f t="array" ref="H204">IF(
 MATCH(B204,{"01. ASIGNACION AREA";"02. MAPEO";"03. DESARROLLO";"04. VALIDA US";"05. VOBO US";"06. BW-EJECUCION";"07. VALIDACIÓN BAJAWARE";"08. CERRADA"},0)
 &lt;
 MATCH(_xlfn.XLOOKUP(INDEX($B:$B, (ROW()-4)),'Relacion '!$E:$E,'Relacion '!$D:$D,""),{"01. ASIGNACION AREA";"02. MAPEO";"03. DESARROLLO";"04. VALIDA US";"05. VOBO US";"06. BW-EJECUCION";"07. VALIDACIÓN BAJAWARE";"08. CERRADA"},0),
 1,
 IF(
  MATCH(B204,{"01. ASIGNACION AREA";"02. MAPEO";"03. DESARROLLO";"04. VALIDA US";"05. VOBO US";"06. BW-EJECUCION";"07. VALIDACIÓN BAJAWARE";"08. CERRADA"},0)
  =
  MATCH(_xlfn.XLOOKUP(INDEX($B:$B, (ROW()-4)),'Relacion '!$E:$E,'Relacion '!$D:$D,""),{"01. ASIGNACION AREA";"02. MAPEO";"03. DESARROLLO";"04. VALIDA US";"05. VOBO US";"06. BW-EJECUCION";"07. VALIDACIÓN BAJAWARE";"08. CERRADA"},0),
  _xlfn.XLOOKUP(INDEX($B:$B, (ROW()-4)),'Relacion '!$E:$E,'Relacion '!#REF!,0),
  0
 )
)</f>
        <v>1</v>
      </c>
      <c r="I204" s="241">
        <f t="shared" ca="1" si="48"/>
        <v>1</v>
      </c>
      <c r="J204" s="241"/>
      <c r="K204" s="241"/>
      <c r="L204" s="238"/>
    </row>
    <row r="205" spans="2:12" outlineLevel="1">
      <c r="B205" s="237" t="s">
        <v>320</v>
      </c>
      <c r="C205" s="237" t="s">
        <v>320</v>
      </c>
      <c r="D205" s="238" t="str">
        <f>_xlfn.XLOOKUP(B205,'Relacion '!$E:$E,'Relacion '!$D:$D,"")</f>
        <v/>
      </c>
      <c r="E205" s="239">
        <f t="shared" si="46"/>
        <v>18</v>
      </c>
      <c r="F205" s="240" cm="1">
        <f t="array" ref="F205">MIN(INDEX('Relacion '!$AF$5:$AG$493,MATCH(INDEX($B:$B, (ROW()-5)),'Relacion '!$E$5:$E$493,0),0))</f>
        <v>46118</v>
      </c>
      <c r="G205" s="240" cm="1">
        <f t="array" ref="G205">MAX(INDEX('Relacion '!$AF$5:$AG$493,MATCH(INDEX($B:$B, (ROW()-5)),'Relacion '!$E$5:$E$493,0),0))</f>
        <v>46136</v>
      </c>
      <c r="H205" s="241" cm="1">
        <f t="array" ref="H205">IF(
 MATCH(B205,{"01. ASIGNACION AREA";"02. MAPEO";"03. DESARROLLO";"04. VALIDA US";"05. VOBO US";"06. BW-EJECUCION";"07. VALIDACIÓN BAJAWARE";"08. CERRADA"},0)
 &lt;
 MATCH(_xlfn.XLOOKUP(INDEX($B:$B, (ROW()-5)),'Relacion '!$E:$E,'Relacion '!$D:$D,""),{"01. ASIGNACION AREA";"02. MAPEO";"03. DESARROLLO";"04. VALIDA US";"05. VOBO US";"06. BW-EJECUCION";"07. VALIDACIÓN BAJAWARE";"08. CERRADA"},0),
 1,
 IF(
  MATCH(B205,{"01. ASIGNACION AREA";"02. MAPEO";"03. DESARROLLO";"04. VALIDA US";"05. VOBO US";"06. BW-EJECUCION";"07. VALIDACIÓN BAJAWARE";"08. CERRADA"},0)
  =
  MATCH(_xlfn.XLOOKUP(INDEX($B:$B, (ROW()-5)),'Relacion '!$E:$E,'Relacion '!$D:$D,""),{"01. ASIGNACION AREA";"02. MAPEO";"03. DESARROLLO";"04. VALIDA US";"05. VOBO US";"06. BW-EJECUCION";"07. VALIDACIÓN BAJAWARE";"08. CERRADA"},0),
  _xlfn.XLOOKUP(INDEX($B:$B, (ROW()-5)),'Relacion '!$E:$E,'Relacion '!#REF!,0),
  0
 )
)</f>
        <v>1</v>
      </c>
      <c r="I205" s="241">
        <f t="shared" ca="1" si="48"/>
        <v>1</v>
      </c>
      <c r="J205" s="241"/>
      <c r="K205" s="241"/>
      <c r="L205" s="238"/>
    </row>
    <row r="206" spans="2:12" outlineLevel="1">
      <c r="B206" s="237" t="s">
        <v>710</v>
      </c>
      <c r="C206" s="237" t="s">
        <v>710</v>
      </c>
      <c r="D206" s="238" t="str">
        <f>_xlfn.XLOOKUP(B206,'Relacion '!$E:$E,'Relacion '!$D:$D,"")</f>
        <v/>
      </c>
      <c r="E206" s="239">
        <f t="shared" si="46"/>
        <v>25</v>
      </c>
      <c r="F206" s="240" cm="1">
        <f t="array" ref="F206">MIN(INDEX('Relacion '!$AH$5:$AI$493,MATCH(INDEX($B:$B, (ROW()-6)),'Relacion '!$E$5:$E$493,0),0))</f>
        <v>46125</v>
      </c>
      <c r="G206" s="240" cm="1">
        <f t="array" ref="G206">MAX(INDEX('Relacion '!$AH$5:$AI$493,MATCH(INDEX($B:$B, (ROW()-6)),'Relacion '!$E$5:$E$493,0),0))</f>
        <v>46150</v>
      </c>
      <c r="H206" s="241" cm="1">
        <f t="array" ref="H206">IF(
 MATCH(B206,{"01. ASIGNACION AREA";"02. MAPEO";"03. DESARROLLO";"04. VALIDA US";"05. VOBO US";"06. BW-EJECUCION";"07. VALIDACIÓN BAJAWARE";"08. CERRADA"},0)
 &lt;
 MATCH(_xlfn.XLOOKUP(INDEX($B:$B, (ROW()-6)),'Relacion '!$E:$E,'Relacion '!$D:$D,""),{"01. ASIGNACION AREA";"02. MAPEO";"03. DESARROLLO";"04. VALIDA US";"05. VOBO US";"06. BW-EJECUCION";"07. VALIDACIÓN BAJAWARE";"08. CERRADA"},0),
 1,
 IF(
  MATCH(B206,{"01. ASIGNACION AREA";"02. MAPEO";"03. DESARROLLO";"04. VALIDA US";"05. VOBO US";"06. BW-EJECUCION";"07. VALIDACIÓN BAJAWARE";"08. CERRADA"},0)
  =
  MATCH(_xlfn.XLOOKUP(INDEX($B:$B, (ROW()-6)),'Relacion '!$E:$E,'Relacion '!$D:$D,""),{"01. ASIGNACION AREA";"02. MAPEO";"03. DESARROLLO";"04. VALIDA US";"05. VOBO US";"06. BW-EJECUCION";"07. VALIDACIÓN BAJAWARE";"08. CERRADA"},0),
  _xlfn.XLOOKUP(INDEX($B:$B, (ROW()-6)),'Relacion '!$E:$E,'Relacion '!#REF!,0),
  0
 )
)</f>
        <v>1</v>
      </c>
      <c r="I206" s="241">
        <f t="shared" ca="1" si="48"/>
        <v>1</v>
      </c>
      <c r="J206" s="241"/>
      <c r="K206" s="241"/>
      <c r="L206" s="238"/>
    </row>
    <row r="207" spans="2:12" outlineLevel="1">
      <c r="B207" s="237" t="s">
        <v>655</v>
      </c>
      <c r="C207" s="237" t="s">
        <v>655</v>
      </c>
      <c r="D207" s="238" t="str">
        <f>_xlfn.XLOOKUP(B207,'Relacion '!$E:$E,'Relacion '!$D:$D,"")</f>
        <v/>
      </c>
      <c r="E207" s="239">
        <f t="shared" si="46"/>
        <v>32</v>
      </c>
      <c r="F207" s="240" cm="1">
        <f t="array" ref="F207">MIN(INDEX('Relacion '!$AJ$5:$AK$493,MATCH(INDEX($B:$B, (ROW()-7)),'Relacion '!$E$5:$E$493,0),0))</f>
        <v>46139</v>
      </c>
      <c r="G207" s="240" cm="1">
        <f t="array" ref="G207">MAX(INDEX('Relacion '!$AJ$5:$AK$493,MATCH(INDEX($B:$B, (ROW()-7)),'Relacion '!$E$5:$E$493,0),0))</f>
        <v>46171</v>
      </c>
      <c r="H207" s="241" t="e" cm="1">
        <f t="array" ref="H207">IF(
 MATCH(B207,{"01. ASIGNACION AREA";"02. MAPEO";"03. DESARROLLO";"04. VALIDA US";"05. VOBO US";"06. BW-EJECUCION";"07. VALIDACIÓN BAJAWARE";"08. CERRADA"},0)
 &lt;
 MATCH(_xlfn.XLOOKUP(INDEX($B:$B, (ROW()-7)),'Relacion '!$E:$E,'Relacion '!$D:$D,""),{"01. ASIGNACION AREA";"02. MAPEO";"03. DESARROLLO";"04. VALIDA US";"05. VOBO US";"06. BW-EJECUCION";"07. VALIDACIÓN BAJAWARE";"08. CERRADA"},0),
 1,
 IF(
  MATCH(B207,{"01. ASIGNACION AREA";"02. MAPEO";"03. DESARROLLO";"04. VALIDA US";"05. VOBO US";"06. BW-EJECUCION";"07. VALIDACIÓN BAJAWARE";"08. CERRADA"},0)
  =
  MATCH(_xlfn.XLOOKUP(INDEX($B:$B, (ROW()-7)),'Relacion '!$E:$E,'Relacion '!$D:$D,""),{"01. ASIGNACION AREA";"02. MAPEO";"03. DESARROLLO";"04. VALIDA US";"05. VOBO US";"06. BW-EJECUCION";"07. VALIDACIÓN BAJAWARE";"08. CERRADA"},0),
  _xlfn.XLOOKUP(INDEX($B:$B, (ROW()-7)),'Relacion '!$E:$E,'Relacion '!#REF!,0),
  0
 )
)</f>
        <v>#REF!</v>
      </c>
      <c r="I207" s="241">
        <f t="shared" ca="1" si="48"/>
        <v>0</v>
      </c>
      <c r="J207" s="241"/>
      <c r="K207" s="241"/>
      <c r="L207" s="238"/>
    </row>
    <row r="208" spans="2:12" outlineLevel="1">
      <c r="B208" s="237" t="s">
        <v>656</v>
      </c>
      <c r="C208" s="237" t="s">
        <v>656</v>
      </c>
      <c r="D208" s="238" t="str">
        <f>_xlfn.XLOOKUP(B208,'Relacion '!$E:$E,'Relacion '!$D:$D,"")</f>
        <v/>
      </c>
      <c r="E208" s="239">
        <f t="shared" si="46"/>
        <v>0</v>
      </c>
      <c r="F208" s="240" cm="1">
        <f t="array" ref="F208">MIN(INDEX('Relacion '!$AL$5:$AM$493,MATCH(INDEX($B:$B, (ROW()-8)),'Relacion '!$E$5:$E$493,0),0))</f>
        <v>46172</v>
      </c>
      <c r="G208" s="240" cm="1">
        <f t="array" ref="G208">MAX(INDEX('Relacion '!$AL$5:$AM$493,MATCH(INDEX($B:$B, (ROW()-8)),'Relacion '!$E$5:$E$493,0),0))</f>
        <v>46172</v>
      </c>
      <c r="H208" s="241" cm="1">
        <f t="array" ref="H208">IF(
 MATCH(B208,{"01. ASIGNACION AREA";"02. MAPEO";"03. DESARROLLO";"04. VALIDA US";"05. VOBO US";"06. BW-EJECUCION";"07. VALIDACIÓN BAJAWARE";"08. CERRADA"},0)
 &lt;
 MATCH(_xlfn.XLOOKUP(INDEX($B:$B, (ROW()-8)),'Relacion '!$E:$E,'Relacion '!$D:$D,""),{"01. ASIGNACION AREA";"02. MAPEO";"03. DESARROLLO";"04. VALIDA US";"05. VOBO US";"06. BW-EJECUCION";"07. VALIDACIÓN BAJAWARE";"08. CERRADA"},0),
 1,
 IF(
  MATCH(B208,{"01. ASIGNACION AREA";"02. MAPEO";"03. DESARROLLO";"04. VALIDA US";"05. VOBO US";"06. BW-EJECUCION";"07. VALIDACIÓN BAJAWARE";"08. CERRADA"},0)
  =
  MATCH(_xlfn.XLOOKUP(INDEX($B:$B, (ROW()-8)),'Relacion '!$E:$E,'Relacion '!$D:$D,""),{"01. ASIGNACION AREA";"02. MAPEO";"03. DESARROLLO";"04. VALIDA US";"05. VOBO US";"06. BW-EJECUCION";"07. VALIDACIÓN BAJAWARE";"08. CERRADA"},0),
  _xlfn.XLOOKUP(INDEX($B:$B, (ROW()-8)),'Relacion '!$E:$E,'Relacion '!#REF!,0),
  0
 )
)</f>
        <v>0</v>
      </c>
      <c r="I208" s="241">
        <f t="shared" ca="1" si="48"/>
        <v>0</v>
      </c>
      <c r="J208" s="241"/>
      <c r="K208" s="241"/>
      <c r="L208" s="238"/>
    </row>
    <row r="209" spans="2:12">
      <c r="B209" s="232" t="s">
        <v>434</v>
      </c>
      <c r="C209" s="174" t="s">
        <v>63</v>
      </c>
      <c r="D209" s="236" t="str">
        <f>_xlfn.XLOOKUP(B209,'Relacion '!$E:$E,'Relacion '!$D:$D,"")</f>
        <v>08. CERRADA</v>
      </c>
      <c r="E209" s="233">
        <f t="shared" si="46"/>
        <v>450</v>
      </c>
      <c r="F209" s="234" cm="1">
        <f t="array" ref="F209">MIN(INDEX('Relacion '!$X$5:$AM$493,MATCH(INDEX($B:$B, (ROW()-0)),'Relacion '!$E$5:$E$493,0),0))</f>
        <v>45659</v>
      </c>
      <c r="G209" s="234" cm="1">
        <f t="array" ref="G209">MAX(INDEX('Relacion '!$X$5:$AM$493,MATCH(INDEX($B:$B, (ROW()-0)),'Relacion '!$E$5:$E$493,0),0))</f>
        <v>46109</v>
      </c>
      <c r="H209" s="235" t="e">
        <f>AVERAGE(H210:H217)</f>
        <v>#REF!</v>
      </c>
      <c r="I209" s="235">
        <f t="shared" ref="I209" ca="1" si="49">AVERAGE(I210:I217)</f>
        <v>1</v>
      </c>
      <c r="J209" s="236" t="str">
        <f>IF(ISNUMBER(SEARCH("Rocha", _xlfn.XLOOKUP(B209,'Relacion '!$E:$E,'Relacion '!$I:$I,""))), "Sí", "No")</f>
        <v>No</v>
      </c>
      <c r="K209" s="236" t="str">
        <f>IF(ISNUMBER(SEARCH("Rocha", _xlfn.XLOOKUP(B209,'Relacion '!$E:$E,'Relacion '!$I:$I,""))), "RMC", _xlfn.XLOOKUP(B209,'Relacion '!$E:$E,'Relacion '!$B:$B,""))</f>
        <v>Operaciones Credito</v>
      </c>
      <c r="L209" s="236" t="str">
        <f>_xlfn.XLOOKUP(B209,'Relacion '!$E:$E,'Relacion '!$C:$C,"")</f>
        <v>Luis Alberto</v>
      </c>
    </row>
    <row r="210" spans="2:12" outlineLevel="1">
      <c r="B210" s="237" t="s">
        <v>654</v>
      </c>
      <c r="C210" s="237" t="s">
        <v>654</v>
      </c>
      <c r="D210" s="238" t="str">
        <f>_xlfn.XLOOKUP(B210,'Relacion '!$E:$E,'Relacion '!$D:$D,"")</f>
        <v/>
      </c>
      <c r="E210" s="239">
        <f t="shared" si="46"/>
        <v>424</v>
      </c>
      <c r="F210" s="240" cm="1">
        <f t="array" ref="F210">MIN(INDEX('Relacion '!$X$5:$Y$493,MATCH(INDEX($B:$B, (ROW()-1)),'Relacion '!$E$5:$E$493,0),0))</f>
        <v>45659</v>
      </c>
      <c r="G210" s="240" cm="1">
        <f t="array" ref="G210">MAX(INDEX('Relacion '!$X$5:$Y$493,MATCH(INDEX($B:$B, (ROW()-1)),'Relacion '!$E$5:$E$493,0),0))</f>
        <v>46083</v>
      </c>
      <c r="H210" s="241" cm="1">
        <f t="array" ref="H210">IF(
 MATCH(B210,{"01. ASIGNACION AREA";"02. MAPEO";"03. DESARROLLO";"04. VALIDA US";"05. VOBO US";"06. BW-EJECUCION";"07. VALIDACIÓN BAJAWARE";"08. CERRADA"},0)
 &lt;
 MATCH(_xlfn.XLOOKUP(INDEX($B:$B, (ROW()-1)),'Relacion '!$E:$E,'Relacion '!$D:$D,""),{"01. ASIGNACION AREA";"02. MAPEO";"03. DESARROLLO";"04. VALIDA US";"05. VOBO US";"06. BW-EJECUCION";"07. VALIDACIÓN BAJAWARE";"08. CERRADA"},0),
 1,
 IF(
  MATCH(B210,{"01. ASIGNACION AREA";"02. MAPEO";"03. DESARROLLO";"04. VALIDA US";"05. VOBO US";"06. BW-EJECUCION";"07. VALIDACIÓN BAJAWARE";"08. CERRADA"},0)
  =
  MATCH(_xlfn.XLOOKUP(INDEX($B:$B, (ROW()-1)),'Relacion '!$E:$E,'Relacion '!$D:$D,""),{"01. ASIGNACION AREA";"02. MAPEO";"03. DESARROLLO";"04. VALIDA US";"05. VOBO US";"06. BW-EJECUCION";"07. VALIDACIÓN BAJAWARE";"08. CERRADA"},0),
  _xlfn.XLOOKUP(INDEX($B:$B, (ROW()-1)),'Relacion '!$E:$E,'Relacion '!#REF!,0),
  0
 )
)</f>
        <v>1</v>
      </c>
      <c r="I210" s="241">
        <f t="shared" ref="I210" ca="1" si="50">IF(G210&lt;=TODAY(), 1, 0)</f>
        <v>1</v>
      </c>
      <c r="J210" s="241"/>
      <c r="K210" s="241"/>
      <c r="L210" s="238"/>
    </row>
    <row r="211" spans="2:12" outlineLevel="1">
      <c r="B211" s="237" t="s">
        <v>195</v>
      </c>
      <c r="C211" s="237" t="s">
        <v>195</v>
      </c>
      <c r="D211" s="238" t="str">
        <f>_xlfn.XLOOKUP(B211,'Relacion '!$E:$E,'Relacion '!$D:$D,"")</f>
        <v/>
      </c>
      <c r="E211" s="239">
        <f t="shared" si="46"/>
        <v>0</v>
      </c>
      <c r="F211" s="240" cm="1">
        <f t="array" ref="F211">MIN(INDEX('Relacion '!$Z$5:$AA$493,MATCH(INDEX($B:$B, (ROW()-2)),'Relacion '!$E$5:$E$493,0),0))</f>
        <v>46108</v>
      </c>
      <c r="G211" s="240" cm="1">
        <f t="array" ref="G211">MAX(INDEX('Relacion '!$Z$5:$AA$493,MATCH(INDEX($B:$B, (ROW()-2)),'Relacion '!$E$5:$E$493,0),0))</f>
        <v>46108</v>
      </c>
      <c r="H211" s="241" cm="1">
        <f t="array" ref="H211">IF(
 MATCH(B211,{"01. ASIGNACION AREA";"02. MAPEO";"03. DESARROLLO";"04. VALIDA US";"05. VOBO US";"06. BW-EJECUCION";"07. VALIDACIÓN BAJAWARE";"08. CERRADA"},0)
 &lt;
 MATCH(_xlfn.XLOOKUP(INDEX($B:$B, (ROW()-2)),'Relacion '!$E:$E,'Relacion '!$D:$D,""),{"01. ASIGNACION AREA";"02. MAPEO";"03. DESARROLLO";"04. VALIDA US";"05. VOBO US";"06. BW-EJECUCION";"07. VALIDACIÓN BAJAWARE";"08. CERRADA"},0),
 1,
 IF(
  MATCH(B211,{"01. ASIGNACION AREA";"02. MAPEO";"03. DESARROLLO";"04. VALIDA US";"05. VOBO US";"06. BW-EJECUCION";"07. VALIDACIÓN BAJAWARE";"08. CERRADA"},0)
  =
  MATCH(_xlfn.XLOOKUP(INDEX($B:$B, (ROW()-2)),'Relacion '!$E:$E,'Relacion '!$D:$D,""),{"01. ASIGNACION AREA";"02. MAPEO";"03. DESARROLLO";"04. VALIDA US";"05. VOBO US";"06. BW-EJECUCION";"07. VALIDACIÓN BAJAWARE";"08. CERRADA"},0),
  _xlfn.XLOOKUP(INDEX($B:$B, (ROW()-2)),'Relacion '!$E:$E,'Relacion '!#REF!,0),
  0
 )
)</f>
        <v>1</v>
      </c>
      <c r="I211" s="241">
        <f t="shared" ca="1" si="48"/>
        <v>1</v>
      </c>
      <c r="J211" s="241"/>
      <c r="K211" s="241"/>
      <c r="L211" s="238"/>
    </row>
    <row r="212" spans="2:12" outlineLevel="1">
      <c r="B212" s="237" t="s">
        <v>49</v>
      </c>
      <c r="C212" s="237" t="s">
        <v>49</v>
      </c>
      <c r="D212" s="238" t="str">
        <f>_xlfn.XLOOKUP(B212,'Relacion '!$E:$E,'Relacion '!$D:$D,"")</f>
        <v/>
      </c>
      <c r="E212" s="239">
        <f t="shared" si="46"/>
        <v>0</v>
      </c>
      <c r="F212" s="240" cm="1">
        <f t="array" ref="F212">MIN(INDEX('Relacion '!$AB$5:$AC$493,MATCH(INDEX($B:$B, (ROW()-3)),'Relacion '!$E$5:$E$493,0),0))</f>
        <v>46108</v>
      </c>
      <c r="G212" s="240" cm="1">
        <f t="array" ref="G212">MAX(INDEX('Relacion '!$AB$5:$AC$493,MATCH(INDEX($B:$B, (ROW()-3)),'Relacion '!$E$5:$E$493,0),0))</f>
        <v>46108</v>
      </c>
      <c r="H212" s="241" cm="1">
        <f t="array" ref="H212">IF(
 MATCH(B212,{"01. ASIGNACION AREA";"02. MAPEO";"03. DESARROLLO";"04. VALIDA US";"05. VOBO US";"06. BW-EJECUCION";"07. VALIDACIÓN BAJAWARE";"08. CERRADA"},0)
 &lt;
 MATCH(_xlfn.XLOOKUP(INDEX($B:$B, (ROW()-3)),'Relacion '!$E:$E,'Relacion '!$D:$D,""),{"01. ASIGNACION AREA";"02. MAPEO";"03. DESARROLLO";"04. VALIDA US";"05. VOBO US";"06. BW-EJECUCION";"07. VALIDACIÓN BAJAWARE";"08. CERRADA"},0),
 1,
 IF(
  MATCH(B212,{"01. ASIGNACION AREA";"02. MAPEO";"03. DESARROLLO";"04. VALIDA US";"05. VOBO US";"06. BW-EJECUCION";"07. VALIDACIÓN BAJAWARE";"08. CERRADA"},0)
  =
  MATCH(_xlfn.XLOOKUP(INDEX($B:$B, (ROW()-3)),'Relacion '!$E:$E,'Relacion '!$D:$D,""),{"01. ASIGNACION AREA";"02. MAPEO";"03. DESARROLLO";"04. VALIDA US";"05. VOBO US";"06. BW-EJECUCION";"07. VALIDACIÓN BAJAWARE";"08. CERRADA"},0),
  _xlfn.XLOOKUP(INDEX($B:$B, (ROW()-3)),'Relacion '!$E:$E,'Relacion '!#REF!,0),
  0
 )
)</f>
        <v>1</v>
      </c>
      <c r="I212" s="241">
        <f t="shared" ca="1" si="48"/>
        <v>1</v>
      </c>
      <c r="J212" s="241"/>
      <c r="K212" s="241"/>
      <c r="L212" s="238"/>
    </row>
    <row r="213" spans="2:12" outlineLevel="1">
      <c r="B213" s="237" t="s">
        <v>324</v>
      </c>
      <c r="C213" s="237" t="s">
        <v>324</v>
      </c>
      <c r="D213" s="238" t="str">
        <f>_xlfn.XLOOKUP(B213,'Relacion '!$E:$E,'Relacion '!$D:$D,"")</f>
        <v/>
      </c>
      <c r="E213" s="239">
        <f t="shared" si="46"/>
        <v>0</v>
      </c>
      <c r="F213" s="240" cm="1">
        <f t="array" ref="F213">MIN(INDEX('Relacion '!$AD$5:$AE$493,MATCH(INDEX($B:$B, (ROW()-4)),'Relacion '!$E$5:$E$493,0),0))</f>
        <v>46108</v>
      </c>
      <c r="G213" s="240" cm="1">
        <f t="array" ref="G213">MAX(INDEX('Relacion '!$AD$5:$AE$493,MATCH(INDEX($B:$B, (ROW()-4)),'Relacion '!$E$5:$E$493,0),0))</f>
        <v>46108</v>
      </c>
      <c r="H213" s="241" cm="1">
        <f t="array" ref="H213">IF(
 MATCH(B213,{"01. ASIGNACION AREA";"02. MAPEO";"03. DESARROLLO";"04. VALIDA US";"05. VOBO US";"06. BW-EJECUCION";"07. VALIDACIÓN BAJAWARE";"08. CERRADA"},0)
 &lt;
 MATCH(_xlfn.XLOOKUP(INDEX($B:$B, (ROW()-4)),'Relacion '!$E:$E,'Relacion '!$D:$D,""),{"01. ASIGNACION AREA";"02. MAPEO";"03. DESARROLLO";"04. VALIDA US";"05. VOBO US";"06. BW-EJECUCION";"07. VALIDACIÓN BAJAWARE";"08. CERRADA"},0),
 1,
 IF(
  MATCH(B213,{"01. ASIGNACION AREA";"02. MAPEO";"03. DESARROLLO";"04. VALIDA US";"05. VOBO US";"06. BW-EJECUCION";"07. VALIDACIÓN BAJAWARE";"08. CERRADA"},0)
  =
  MATCH(_xlfn.XLOOKUP(INDEX($B:$B, (ROW()-4)),'Relacion '!$E:$E,'Relacion '!$D:$D,""),{"01. ASIGNACION AREA";"02. MAPEO";"03. DESARROLLO";"04. VALIDA US";"05. VOBO US";"06. BW-EJECUCION";"07. VALIDACIÓN BAJAWARE";"08. CERRADA"},0),
  _xlfn.XLOOKUP(INDEX($B:$B, (ROW()-4)),'Relacion '!$E:$E,'Relacion '!#REF!,0),
  0
 )
)</f>
        <v>1</v>
      </c>
      <c r="I213" s="241">
        <f t="shared" ca="1" si="48"/>
        <v>1</v>
      </c>
      <c r="J213" s="241"/>
      <c r="K213" s="241"/>
      <c r="L213" s="238"/>
    </row>
    <row r="214" spans="2:12" outlineLevel="1">
      <c r="B214" s="237" t="s">
        <v>320</v>
      </c>
      <c r="C214" s="237" t="s">
        <v>320</v>
      </c>
      <c r="D214" s="238" t="str">
        <f>_xlfn.XLOOKUP(B214,'Relacion '!$E:$E,'Relacion '!$D:$D,"")</f>
        <v/>
      </c>
      <c r="E214" s="239">
        <f t="shared" si="46"/>
        <v>0</v>
      </c>
      <c r="F214" s="240" cm="1">
        <f t="array" ref="F214">MIN(INDEX('Relacion '!$AF$5:$AG$493,MATCH(INDEX($B:$B, (ROW()-5)),'Relacion '!$E$5:$E$493,0),0))</f>
        <v>46108</v>
      </c>
      <c r="G214" s="240" cm="1">
        <f t="array" ref="G214">MAX(INDEX('Relacion '!$AF$5:$AG$493,MATCH(INDEX($B:$B, (ROW()-5)),'Relacion '!$E$5:$E$493,0),0))</f>
        <v>46108</v>
      </c>
      <c r="H214" s="241" cm="1">
        <f t="array" ref="H214">IF(
 MATCH(B214,{"01. ASIGNACION AREA";"02. MAPEO";"03. DESARROLLO";"04. VALIDA US";"05. VOBO US";"06. BW-EJECUCION";"07. VALIDACIÓN BAJAWARE";"08. CERRADA"},0)
 &lt;
 MATCH(_xlfn.XLOOKUP(INDEX($B:$B, (ROW()-5)),'Relacion '!$E:$E,'Relacion '!$D:$D,""),{"01. ASIGNACION AREA";"02. MAPEO";"03. DESARROLLO";"04. VALIDA US";"05. VOBO US";"06. BW-EJECUCION";"07. VALIDACIÓN BAJAWARE";"08. CERRADA"},0),
 1,
 IF(
  MATCH(B214,{"01. ASIGNACION AREA";"02. MAPEO";"03. DESARROLLO";"04. VALIDA US";"05. VOBO US";"06. BW-EJECUCION";"07. VALIDACIÓN BAJAWARE";"08. CERRADA"},0)
  =
  MATCH(_xlfn.XLOOKUP(INDEX($B:$B, (ROW()-5)),'Relacion '!$E:$E,'Relacion '!$D:$D,""),{"01. ASIGNACION AREA";"02. MAPEO";"03. DESARROLLO";"04. VALIDA US";"05. VOBO US";"06. BW-EJECUCION";"07. VALIDACIÓN BAJAWARE";"08. CERRADA"},0),
  _xlfn.XLOOKUP(INDEX($B:$B, (ROW()-5)),'Relacion '!$E:$E,'Relacion '!#REF!,0),
  0
 )
)</f>
        <v>1</v>
      </c>
      <c r="I214" s="241">
        <f t="shared" ca="1" si="48"/>
        <v>1</v>
      </c>
      <c r="J214" s="241"/>
      <c r="K214" s="241"/>
      <c r="L214" s="238"/>
    </row>
    <row r="215" spans="2:12" outlineLevel="1">
      <c r="B215" s="237" t="s">
        <v>710</v>
      </c>
      <c r="C215" s="237" t="s">
        <v>710</v>
      </c>
      <c r="D215" s="238" t="str">
        <f>_xlfn.XLOOKUP(B215,'Relacion '!$E:$E,'Relacion '!$D:$D,"")</f>
        <v/>
      </c>
      <c r="E215" s="239">
        <f t="shared" si="46"/>
        <v>0</v>
      </c>
      <c r="F215" s="240" cm="1">
        <f t="array" ref="F215">MIN(INDEX('Relacion '!$AH$5:$AI$493,MATCH(INDEX($B:$B, (ROW()-6)),'Relacion '!$E$5:$E$493,0),0))</f>
        <v>46108</v>
      </c>
      <c r="G215" s="240" cm="1">
        <f t="array" ref="G215">MAX(INDEX('Relacion '!$AH$5:$AI$493,MATCH(INDEX($B:$B, (ROW()-6)),'Relacion '!$E$5:$E$493,0),0))</f>
        <v>46108</v>
      </c>
      <c r="H215" s="241" cm="1">
        <f t="array" ref="H215">IF(
 MATCH(B215,{"01. ASIGNACION AREA";"02. MAPEO";"03. DESARROLLO";"04. VALIDA US";"05. VOBO US";"06. BW-EJECUCION";"07. VALIDACIÓN BAJAWARE";"08. CERRADA"},0)
 &lt;
 MATCH(_xlfn.XLOOKUP(INDEX($B:$B, (ROW()-6)),'Relacion '!$E:$E,'Relacion '!$D:$D,""),{"01. ASIGNACION AREA";"02. MAPEO";"03. DESARROLLO";"04. VALIDA US";"05. VOBO US";"06. BW-EJECUCION";"07. VALIDACIÓN BAJAWARE";"08. CERRADA"},0),
 1,
 IF(
  MATCH(B215,{"01. ASIGNACION AREA";"02. MAPEO";"03. DESARROLLO";"04. VALIDA US";"05. VOBO US";"06. BW-EJECUCION";"07. VALIDACIÓN BAJAWARE";"08. CERRADA"},0)
  =
  MATCH(_xlfn.XLOOKUP(INDEX($B:$B, (ROW()-6)),'Relacion '!$E:$E,'Relacion '!$D:$D,""),{"01. ASIGNACION AREA";"02. MAPEO";"03. DESARROLLO";"04. VALIDA US";"05. VOBO US";"06. BW-EJECUCION";"07. VALIDACIÓN BAJAWARE";"08. CERRADA"},0),
  _xlfn.XLOOKUP(INDEX($B:$B, (ROW()-6)),'Relacion '!$E:$E,'Relacion '!#REF!,0),
  0
 )
)</f>
        <v>1</v>
      </c>
      <c r="I215" s="241">
        <f t="shared" ca="1" si="48"/>
        <v>1</v>
      </c>
      <c r="J215" s="241"/>
      <c r="K215" s="241"/>
      <c r="L215" s="238"/>
    </row>
    <row r="216" spans="2:12" outlineLevel="1">
      <c r="B216" s="237" t="s">
        <v>655</v>
      </c>
      <c r="C216" s="237" t="s">
        <v>655</v>
      </c>
      <c r="D216" s="238" t="str">
        <f>_xlfn.XLOOKUP(B216,'Relacion '!$E:$E,'Relacion '!$D:$D,"")</f>
        <v/>
      </c>
      <c r="E216" s="239">
        <f t="shared" si="46"/>
        <v>0</v>
      </c>
      <c r="F216" s="240" cm="1">
        <f t="array" ref="F216">MIN(INDEX('Relacion '!$AJ$5:$AK$493,MATCH(INDEX($B:$B, (ROW()-7)),'Relacion '!$E$5:$E$493,0),0))</f>
        <v>46108</v>
      </c>
      <c r="G216" s="240" cm="1">
        <f t="array" ref="G216">MAX(INDEX('Relacion '!$AJ$5:$AK$493,MATCH(INDEX($B:$B, (ROW()-7)),'Relacion '!$E$5:$E$493,0),0))</f>
        <v>46108</v>
      </c>
      <c r="H216" s="241" cm="1">
        <f t="array" ref="H216">IF(
 MATCH(B216,{"01. ASIGNACION AREA";"02. MAPEO";"03. DESARROLLO";"04. VALIDA US";"05. VOBO US";"06. BW-EJECUCION";"07. VALIDACIÓN BAJAWARE";"08. CERRADA"},0)
 &lt;
 MATCH(_xlfn.XLOOKUP(INDEX($B:$B, (ROW()-7)),'Relacion '!$E:$E,'Relacion '!$D:$D,""),{"01. ASIGNACION AREA";"02. MAPEO";"03. DESARROLLO";"04. VALIDA US";"05. VOBO US";"06. BW-EJECUCION";"07. VALIDACIÓN BAJAWARE";"08. CERRADA"},0),
 1,
 IF(
  MATCH(B216,{"01. ASIGNACION AREA";"02. MAPEO";"03. DESARROLLO";"04. VALIDA US";"05. VOBO US";"06. BW-EJECUCION";"07. VALIDACIÓN BAJAWARE";"08. CERRADA"},0)
  =
  MATCH(_xlfn.XLOOKUP(INDEX($B:$B, (ROW()-7)),'Relacion '!$E:$E,'Relacion '!$D:$D,""),{"01. ASIGNACION AREA";"02. MAPEO";"03. DESARROLLO";"04. VALIDA US";"05. VOBO US";"06. BW-EJECUCION";"07. VALIDACIÓN BAJAWARE";"08. CERRADA"},0),
  _xlfn.XLOOKUP(INDEX($B:$B, (ROW()-7)),'Relacion '!$E:$E,'Relacion '!#REF!,0),
  0
 )
)</f>
        <v>1</v>
      </c>
      <c r="I216" s="241">
        <f t="shared" ca="1" si="48"/>
        <v>1</v>
      </c>
      <c r="J216" s="241"/>
      <c r="K216" s="241"/>
      <c r="L216" s="238"/>
    </row>
    <row r="217" spans="2:12" outlineLevel="1">
      <c r="B217" s="237" t="s">
        <v>656</v>
      </c>
      <c r="C217" s="237" t="s">
        <v>656</v>
      </c>
      <c r="D217" s="238" t="str">
        <f>_xlfn.XLOOKUP(B217,'Relacion '!$E:$E,'Relacion '!$D:$D,"")</f>
        <v/>
      </c>
      <c r="E217" s="239">
        <f t="shared" si="46"/>
        <v>0</v>
      </c>
      <c r="F217" s="240" cm="1">
        <f t="array" ref="F217">MIN(INDEX('Relacion '!$AL$5:$AM$493,MATCH(INDEX($B:$B, (ROW()-8)),'Relacion '!$E$5:$E$493,0),0))</f>
        <v>46109</v>
      </c>
      <c r="G217" s="240" cm="1">
        <f t="array" ref="G217">MAX(INDEX('Relacion '!$AL$5:$AM$493,MATCH(INDEX($B:$B, (ROW()-8)),'Relacion '!$E$5:$E$493,0),0))</f>
        <v>46109</v>
      </c>
      <c r="H217" s="241" t="e" cm="1">
        <f t="array" ref="H217">IF(
 MATCH(B217,{"01. ASIGNACION AREA";"02. MAPEO";"03. DESARROLLO";"04. VALIDA US";"05. VOBO US";"06. BW-EJECUCION";"07. VALIDACIÓN BAJAWARE";"08. CERRADA"},0)
 &lt;
 MATCH(_xlfn.XLOOKUP(INDEX($B:$B, (ROW()-8)),'Relacion '!$E:$E,'Relacion '!$D:$D,""),{"01. ASIGNACION AREA";"02. MAPEO";"03. DESARROLLO";"04. VALIDA US";"05. VOBO US";"06. BW-EJECUCION";"07. VALIDACIÓN BAJAWARE";"08. CERRADA"},0),
 1,
 IF(
  MATCH(B217,{"01. ASIGNACION AREA";"02. MAPEO";"03. DESARROLLO";"04. VALIDA US";"05. VOBO US";"06. BW-EJECUCION";"07. VALIDACIÓN BAJAWARE";"08. CERRADA"},0)
  =
  MATCH(_xlfn.XLOOKUP(INDEX($B:$B, (ROW()-8)),'Relacion '!$E:$E,'Relacion '!$D:$D,""),{"01. ASIGNACION AREA";"02. MAPEO";"03. DESARROLLO";"04. VALIDA US";"05. VOBO US";"06. BW-EJECUCION";"07. VALIDACIÓN BAJAWARE";"08. CERRADA"},0),
  _xlfn.XLOOKUP(INDEX($B:$B, (ROW()-8)),'Relacion '!$E:$E,'Relacion '!#REF!,0),
  0
 )
)</f>
        <v>#REF!</v>
      </c>
      <c r="I217" s="241">
        <f t="shared" ca="1" si="48"/>
        <v>1</v>
      </c>
      <c r="J217" s="241"/>
      <c r="K217" s="241"/>
      <c r="L217" s="238"/>
    </row>
    <row r="218" spans="2:12">
      <c r="B218" s="232" t="s">
        <v>436</v>
      </c>
      <c r="C218" s="292" t="s">
        <v>417</v>
      </c>
      <c r="D218" s="236" t="str">
        <f>_xlfn.XLOOKUP(B218,'Relacion '!$E:$E,'Relacion '!$D:$D,"")</f>
        <v>06. BW-EJECUCION</v>
      </c>
      <c r="E218" s="233">
        <f t="shared" si="46"/>
        <v>471</v>
      </c>
      <c r="F218" s="234" cm="1">
        <f t="array" ref="F218">MIN(INDEX('Relacion '!$X$5:$AM$493,MATCH(INDEX($B:$B, (ROW()-0)),'Relacion '!$E$5:$E$493,0),0))</f>
        <v>45659</v>
      </c>
      <c r="G218" s="234" cm="1">
        <f t="array" ref="G218">MAX(INDEX('Relacion '!$X$5:$AM$493,MATCH(INDEX($B:$B, (ROW()-0)),'Relacion '!$E$5:$E$493,0),0))</f>
        <v>46130</v>
      </c>
      <c r="H218" s="235" t="e">
        <f>AVERAGE(H219:H226)</f>
        <v>#REF!</v>
      </c>
      <c r="I218" s="235">
        <f t="shared" ref="I218" ca="1" si="51">AVERAGE(I219:I226)</f>
        <v>1</v>
      </c>
      <c r="J218" s="236" t="str">
        <f>IF(ISNUMBER(SEARCH("Rocha", _xlfn.XLOOKUP(B218,'Relacion '!$E:$E,'Relacion '!$I:$I,""))), "Sí", "No")</f>
        <v>No</v>
      </c>
      <c r="K218" s="236" t="str">
        <f>IF(ISNUMBER(SEARCH("Rocha", _xlfn.XLOOKUP(B218,'Relacion '!$E:$E,'Relacion '!$I:$I,""))), "RMC", _xlfn.XLOOKUP(B218,'Relacion '!$E:$E,'Relacion '!$B:$B,""))</f>
        <v>Producto</v>
      </c>
      <c r="L218" s="236" t="str">
        <f>_xlfn.XLOOKUP(B218,'Relacion '!$E:$E,'Relacion '!$C:$C,"")</f>
        <v>Claudia Barroso</v>
      </c>
    </row>
    <row r="219" spans="2:12" outlineLevel="1">
      <c r="B219" s="237" t="s">
        <v>654</v>
      </c>
      <c r="C219" s="237" t="s">
        <v>654</v>
      </c>
      <c r="D219" s="238" t="str">
        <f>_xlfn.XLOOKUP(B219,'Relacion '!$E:$E,'Relacion '!$D:$D,"")</f>
        <v/>
      </c>
      <c r="E219" s="239">
        <f t="shared" si="46"/>
        <v>372</v>
      </c>
      <c r="F219" s="240" cm="1">
        <f t="array" ref="F219">MIN(INDEX('Relacion '!$X$5:$Y$493,MATCH(INDEX($B:$B, (ROW()-1)),'Relacion '!$E$5:$E$493,0),0))</f>
        <v>45659</v>
      </c>
      <c r="G219" s="240" cm="1">
        <f t="array" ref="G219">MAX(INDEX('Relacion '!$X$5:$Y$493,MATCH(INDEX($B:$B, (ROW()-1)),'Relacion '!$E$5:$E$493,0),0))</f>
        <v>46031</v>
      </c>
      <c r="H219" s="241" cm="1">
        <f t="array" ref="H219">IF(
 MATCH(B219,{"01. ASIGNACION AREA";"02. MAPEO";"03. DESARROLLO";"04. VALIDA US";"05. VOBO US";"06. BW-EJECUCION";"07. VALIDACIÓN BAJAWARE";"08. CERRADA"},0)
 &lt;
 MATCH(_xlfn.XLOOKUP(INDEX($B:$B, (ROW()-1)),'Relacion '!$E:$E,'Relacion '!$D:$D,""),{"01. ASIGNACION AREA";"02. MAPEO";"03. DESARROLLO";"04. VALIDA US";"05. VOBO US";"06. BW-EJECUCION";"07. VALIDACIÓN BAJAWARE";"08. CERRADA"},0),
 1,
 IF(
  MATCH(B219,{"01. ASIGNACION AREA";"02. MAPEO";"03. DESARROLLO";"04. VALIDA US";"05. VOBO US";"06. BW-EJECUCION";"07. VALIDACIÓN BAJAWARE";"08. CERRADA"},0)
  =
  MATCH(_xlfn.XLOOKUP(INDEX($B:$B, (ROW()-1)),'Relacion '!$E:$E,'Relacion '!$D:$D,""),{"01. ASIGNACION AREA";"02. MAPEO";"03. DESARROLLO";"04. VALIDA US";"05. VOBO US";"06. BW-EJECUCION";"07. VALIDACIÓN BAJAWARE";"08. CERRADA"},0),
  _xlfn.XLOOKUP(INDEX($B:$B, (ROW()-1)),'Relacion '!$E:$E,'Relacion '!#REF!,0),
  0
 )
)</f>
        <v>1</v>
      </c>
      <c r="I219" s="241">
        <f t="shared" ref="I219" ca="1" si="52">IF(G219&lt;=TODAY(), 1, 0)</f>
        <v>1</v>
      </c>
      <c r="J219" s="241"/>
      <c r="K219" s="241"/>
      <c r="L219" s="238"/>
    </row>
    <row r="220" spans="2:12" outlineLevel="1">
      <c r="B220" s="237" t="s">
        <v>195</v>
      </c>
      <c r="C220" s="237" t="s">
        <v>195</v>
      </c>
      <c r="D220" s="238" t="str">
        <f>_xlfn.XLOOKUP(B220,'Relacion '!$E:$E,'Relacion '!$D:$D,"")</f>
        <v/>
      </c>
      <c r="E220" s="239">
        <f t="shared" si="46"/>
        <v>4</v>
      </c>
      <c r="F220" s="240" cm="1">
        <f t="array" ref="F220">MIN(INDEX('Relacion '!$Z$5:$AA$493,MATCH(INDEX($B:$B, (ROW()-2)),'Relacion '!$E$5:$E$493,0),0))</f>
        <v>46034</v>
      </c>
      <c r="G220" s="240" cm="1">
        <f t="array" ref="G220">MAX(INDEX('Relacion '!$Z$5:$AA$493,MATCH(INDEX($B:$B, (ROW()-2)),'Relacion '!$E$5:$E$493,0),0))</f>
        <v>46038</v>
      </c>
      <c r="H220" s="241" cm="1">
        <f t="array" ref="H220">IF(
 MATCH(B220,{"01. ASIGNACION AREA";"02. MAPEO";"03. DESARROLLO";"04. VALIDA US";"05. VOBO US";"06. BW-EJECUCION";"07. VALIDACIÓN BAJAWARE";"08. CERRADA"},0)
 &lt;
 MATCH(_xlfn.XLOOKUP(INDEX($B:$B, (ROW()-2)),'Relacion '!$E:$E,'Relacion '!$D:$D,""),{"01. ASIGNACION AREA";"02. MAPEO";"03. DESARROLLO";"04. VALIDA US";"05. VOBO US";"06. BW-EJECUCION";"07. VALIDACIÓN BAJAWARE";"08. CERRADA"},0),
 1,
 IF(
  MATCH(B220,{"01. ASIGNACION AREA";"02. MAPEO";"03. DESARROLLO";"04. VALIDA US";"05. VOBO US";"06. BW-EJECUCION";"07. VALIDACIÓN BAJAWARE";"08. CERRADA"},0)
  =
  MATCH(_xlfn.XLOOKUP(INDEX($B:$B, (ROW()-2)),'Relacion '!$E:$E,'Relacion '!$D:$D,""),{"01. ASIGNACION AREA";"02. MAPEO";"03. DESARROLLO";"04. VALIDA US";"05. VOBO US";"06. BW-EJECUCION";"07. VALIDACIÓN BAJAWARE";"08. CERRADA"},0),
  _xlfn.XLOOKUP(INDEX($B:$B, (ROW()-2)),'Relacion '!$E:$E,'Relacion '!#REF!,0),
  0
 )
)</f>
        <v>1</v>
      </c>
      <c r="I220" s="241">
        <f t="shared" ca="1" si="48"/>
        <v>1</v>
      </c>
      <c r="J220" s="241"/>
      <c r="K220" s="241"/>
      <c r="L220" s="238"/>
    </row>
    <row r="221" spans="2:12" outlineLevel="1">
      <c r="B221" s="237" t="s">
        <v>49</v>
      </c>
      <c r="C221" s="237" t="s">
        <v>49</v>
      </c>
      <c r="D221" s="238" t="str">
        <f>_xlfn.XLOOKUP(B221,'Relacion '!$E:$E,'Relacion '!$D:$D,"")</f>
        <v/>
      </c>
      <c r="E221" s="239">
        <f t="shared" si="46"/>
        <v>4</v>
      </c>
      <c r="F221" s="240" cm="1">
        <f t="array" ref="F221">MIN(INDEX('Relacion '!$AB$5:$AC$493,MATCH(INDEX($B:$B, (ROW()-3)),'Relacion '!$E$5:$E$493,0),0))</f>
        <v>46041</v>
      </c>
      <c r="G221" s="240" cm="1">
        <f t="array" ref="G221">MAX(INDEX('Relacion '!$AB$5:$AC$493,MATCH(INDEX($B:$B, (ROW()-3)),'Relacion '!$E$5:$E$493,0),0))</f>
        <v>46045</v>
      </c>
      <c r="H221" s="241" cm="1">
        <f t="array" ref="H221">IF(
 MATCH(B221,{"01. ASIGNACION AREA";"02. MAPEO";"03. DESARROLLO";"04. VALIDA US";"05. VOBO US";"06. BW-EJECUCION";"07. VALIDACIÓN BAJAWARE";"08. CERRADA"},0)
 &lt;
 MATCH(_xlfn.XLOOKUP(INDEX($B:$B, (ROW()-3)),'Relacion '!$E:$E,'Relacion '!$D:$D,""),{"01. ASIGNACION AREA";"02. MAPEO";"03. DESARROLLO";"04. VALIDA US";"05. VOBO US";"06. BW-EJECUCION";"07. VALIDACIÓN BAJAWARE";"08. CERRADA"},0),
 1,
 IF(
  MATCH(B221,{"01. ASIGNACION AREA";"02. MAPEO";"03. DESARROLLO";"04. VALIDA US";"05. VOBO US";"06. BW-EJECUCION";"07. VALIDACIÓN BAJAWARE";"08. CERRADA"},0)
  =
  MATCH(_xlfn.XLOOKUP(INDEX($B:$B, (ROW()-3)),'Relacion '!$E:$E,'Relacion '!$D:$D,""),{"01. ASIGNACION AREA";"02. MAPEO";"03. DESARROLLO";"04. VALIDA US";"05. VOBO US";"06. BW-EJECUCION";"07. VALIDACIÓN BAJAWARE";"08. CERRADA"},0),
  _xlfn.XLOOKUP(INDEX($B:$B, (ROW()-3)),'Relacion '!$E:$E,'Relacion '!#REF!,0),
  0
 )
)</f>
        <v>1</v>
      </c>
      <c r="I221" s="241">
        <f t="shared" ca="1" si="48"/>
        <v>1</v>
      </c>
      <c r="J221" s="241"/>
      <c r="K221" s="241"/>
      <c r="L221" s="238"/>
    </row>
    <row r="222" spans="2:12" outlineLevel="1">
      <c r="B222" s="237" t="s">
        <v>324</v>
      </c>
      <c r="C222" s="237" t="s">
        <v>324</v>
      </c>
      <c r="D222" s="238" t="str">
        <f>_xlfn.XLOOKUP(B222,'Relacion '!$E:$E,'Relacion '!$D:$D,"")</f>
        <v/>
      </c>
      <c r="E222" s="239">
        <f t="shared" si="46"/>
        <v>4</v>
      </c>
      <c r="F222" s="240" cm="1">
        <f t="array" ref="F222">MIN(INDEX('Relacion '!$AD$5:$AE$493,MATCH(INDEX($B:$B, (ROW()-4)),'Relacion '!$E$5:$E$493,0),0))</f>
        <v>46048</v>
      </c>
      <c r="G222" s="240" cm="1">
        <f t="array" ref="G222">MAX(INDEX('Relacion '!$AD$5:$AE$493,MATCH(INDEX($B:$B, (ROW()-4)),'Relacion '!$E$5:$E$493,0),0))</f>
        <v>46052</v>
      </c>
      <c r="H222" s="241" cm="1">
        <f t="array" ref="H222">IF(
 MATCH(B222,{"01. ASIGNACION AREA";"02. MAPEO";"03. DESARROLLO";"04. VALIDA US";"05. VOBO US";"06. BW-EJECUCION";"07. VALIDACIÓN BAJAWARE";"08. CERRADA"},0)
 &lt;
 MATCH(_xlfn.XLOOKUP(INDEX($B:$B, (ROW()-4)),'Relacion '!$E:$E,'Relacion '!$D:$D,""),{"01. ASIGNACION AREA";"02. MAPEO";"03. DESARROLLO";"04. VALIDA US";"05. VOBO US";"06. BW-EJECUCION";"07. VALIDACIÓN BAJAWARE";"08. CERRADA"},0),
 1,
 IF(
  MATCH(B222,{"01. ASIGNACION AREA";"02. MAPEO";"03. DESARROLLO";"04. VALIDA US";"05. VOBO US";"06. BW-EJECUCION";"07. VALIDACIÓN BAJAWARE";"08. CERRADA"},0)
  =
  MATCH(_xlfn.XLOOKUP(INDEX($B:$B, (ROW()-4)),'Relacion '!$E:$E,'Relacion '!$D:$D,""),{"01. ASIGNACION AREA";"02. MAPEO";"03. DESARROLLO";"04. VALIDA US";"05. VOBO US";"06. BW-EJECUCION";"07. VALIDACIÓN BAJAWARE";"08. CERRADA"},0),
  _xlfn.XLOOKUP(INDEX($B:$B, (ROW()-4)),'Relacion '!$E:$E,'Relacion '!#REF!,0),
  0
 )
)</f>
        <v>1</v>
      </c>
      <c r="I222" s="241">
        <f t="shared" ca="1" si="48"/>
        <v>1</v>
      </c>
      <c r="J222" s="241"/>
      <c r="K222" s="241"/>
      <c r="L222" s="238"/>
    </row>
    <row r="223" spans="2:12" outlineLevel="1">
      <c r="B223" s="237" t="s">
        <v>320</v>
      </c>
      <c r="C223" s="237" t="s">
        <v>320</v>
      </c>
      <c r="D223" s="238" t="str">
        <f>_xlfn.XLOOKUP(B223,'Relacion '!$E:$E,'Relacion '!$D:$D,"")</f>
        <v/>
      </c>
      <c r="E223" s="239">
        <f t="shared" si="46"/>
        <v>7</v>
      </c>
      <c r="F223" s="240" cm="1">
        <f t="array" ref="F223">MIN(INDEX('Relacion '!$AF$5:$AG$493,MATCH(INDEX($B:$B, (ROW()-5)),'Relacion '!$E$5:$E$493,0),0))</f>
        <v>46055</v>
      </c>
      <c r="G223" s="240" cm="1">
        <f t="array" ref="G223">MAX(INDEX('Relacion '!$AF$5:$AG$493,MATCH(INDEX($B:$B, (ROW()-5)),'Relacion '!$E$5:$E$493,0),0))</f>
        <v>46062</v>
      </c>
      <c r="H223" s="241" cm="1">
        <f t="array" ref="H223">IF(
 MATCH(B223,{"01. ASIGNACION AREA";"02. MAPEO";"03. DESARROLLO";"04. VALIDA US";"05. VOBO US";"06. BW-EJECUCION";"07. VALIDACIÓN BAJAWARE";"08. CERRADA"},0)
 &lt;
 MATCH(_xlfn.XLOOKUP(INDEX($B:$B, (ROW()-5)),'Relacion '!$E:$E,'Relacion '!$D:$D,""),{"01. ASIGNACION AREA";"02. MAPEO";"03. DESARROLLO";"04. VALIDA US";"05. VOBO US";"06. BW-EJECUCION";"07. VALIDACIÓN BAJAWARE";"08. CERRADA"},0),
 1,
 IF(
  MATCH(B223,{"01. ASIGNACION AREA";"02. MAPEO";"03. DESARROLLO";"04. VALIDA US";"05. VOBO US";"06. BW-EJECUCION";"07. VALIDACIÓN BAJAWARE";"08. CERRADA"},0)
  =
  MATCH(_xlfn.XLOOKUP(INDEX($B:$B, (ROW()-5)),'Relacion '!$E:$E,'Relacion '!$D:$D,""),{"01. ASIGNACION AREA";"02. MAPEO";"03. DESARROLLO";"04. VALIDA US";"05. VOBO US";"06. BW-EJECUCION";"07. VALIDACIÓN BAJAWARE";"08. CERRADA"},0),
  _xlfn.XLOOKUP(INDEX($B:$B, (ROW()-5)),'Relacion '!$E:$E,'Relacion '!#REF!,0),
  0
 )
)</f>
        <v>1</v>
      </c>
      <c r="I223" s="241">
        <f t="shared" ca="1" si="48"/>
        <v>1</v>
      </c>
      <c r="J223" s="241"/>
      <c r="K223" s="241"/>
      <c r="L223" s="238"/>
    </row>
    <row r="224" spans="2:12" outlineLevel="1">
      <c r="B224" s="237" t="s">
        <v>710</v>
      </c>
      <c r="C224" s="237" t="s">
        <v>710</v>
      </c>
      <c r="D224" s="238" t="str">
        <f>_xlfn.XLOOKUP(B224,'Relacion '!$E:$E,'Relacion '!$D:$D,"")</f>
        <v/>
      </c>
      <c r="E224" s="239">
        <f t="shared" si="46"/>
        <v>25</v>
      </c>
      <c r="F224" s="240" cm="1">
        <f t="array" ref="F224">MIN(INDEX('Relacion '!$AH$5:$AI$493,MATCH(INDEX($B:$B, (ROW()-6)),'Relacion '!$E$5:$E$493,0),0))</f>
        <v>46076</v>
      </c>
      <c r="G224" s="240" cm="1">
        <f t="array" ref="G224">MAX(INDEX('Relacion '!$AH$5:$AI$493,MATCH(INDEX($B:$B, (ROW()-6)),'Relacion '!$E$5:$E$493,0),0))</f>
        <v>46101</v>
      </c>
      <c r="H224" s="241" t="e" cm="1">
        <f t="array" ref="H224">IF(
 MATCH(B224,{"01. ASIGNACION AREA";"02. MAPEO";"03. DESARROLLO";"04. VALIDA US";"05. VOBO US";"06. BW-EJECUCION";"07. VALIDACIÓN BAJAWARE";"08. CERRADA"},0)
 &lt;
 MATCH(_xlfn.XLOOKUP(INDEX($B:$B, (ROW()-6)),'Relacion '!$E:$E,'Relacion '!$D:$D,""),{"01. ASIGNACION AREA";"02. MAPEO";"03. DESARROLLO";"04. VALIDA US";"05. VOBO US";"06. BW-EJECUCION";"07. VALIDACIÓN BAJAWARE";"08. CERRADA"},0),
 1,
 IF(
  MATCH(B224,{"01. ASIGNACION AREA";"02. MAPEO";"03. DESARROLLO";"04. VALIDA US";"05. VOBO US";"06. BW-EJECUCION";"07. VALIDACIÓN BAJAWARE";"08. CERRADA"},0)
  =
  MATCH(_xlfn.XLOOKUP(INDEX($B:$B, (ROW()-6)),'Relacion '!$E:$E,'Relacion '!$D:$D,""),{"01. ASIGNACION AREA";"02. MAPEO";"03. DESARROLLO";"04. VALIDA US";"05. VOBO US";"06. BW-EJECUCION";"07. VALIDACIÓN BAJAWARE";"08. CERRADA"},0),
  _xlfn.XLOOKUP(INDEX($B:$B, (ROW()-6)),'Relacion '!$E:$E,'Relacion '!#REF!,0),
  0
 )
)</f>
        <v>#REF!</v>
      </c>
      <c r="I224" s="241">
        <f t="shared" ca="1" si="48"/>
        <v>1</v>
      </c>
      <c r="J224" s="241"/>
      <c r="K224" s="241"/>
      <c r="L224" s="238"/>
    </row>
    <row r="225" spans="2:12" outlineLevel="1">
      <c r="B225" s="237" t="s">
        <v>655</v>
      </c>
      <c r="C225" s="237" t="s">
        <v>655</v>
      </c>
      <c r="D225" s="238" t="str">
        <f>_xlfn.XLOOKUP(B225,'Relacion '!$E:$E,'Relacion '!$D:$D,"")</f>
        <v/>
      </c>
      <c r="E225" s="239">
        <f t="shared" si="46"/>
        <v>25</v>
      </c>
      <c r="F225" s="240" cm="1">
        <f t="array" ref="F225">MIN(INDEX('Relacion '!$AJ$5:$AK$493,MATCH(INDEX($B:$B, (ROW()-7)),'Relacion '!$E$5:$E$493,0),0))</f>
        <v>46104</v>
      </c>
      <c r="G225" s="240" cm="1">
        <f t="array" ref="G225">MAX(INDEX('Relacion '!$AJ$5:$AK$493,MATCH(INDEX($B:$B, (ROW()-7)),'Relacion '!$E$5:$E$493,0),0))</f>
        <v>46129</v>
      </c>
      <c r="H225" s="241" cm="1">
        <f t="array" ref="H225">IF(
 MATCH(B225,{"01. ASIGNACION AREA";"02. MAPEO";"03. DESARROLLO";"04. VALIDA US";"05. VOBO US";"06. BW-EJECUCION";"07. VALIDACIÓN BAJAWARE";"08. CERRADA"},0)
 &lt;
 MATCH(_xlfn.XLOOKUP(INDEX($B:$B, (ROW()-7)),'Relacion '!$E:$E,'Relacion '!$D:$D,""),{"01. ASIGNACION AREA";"02. MAPEO";"03. DESARROLLO";"04. VALIDA US";"05. VOBO US";"06. BW-EJECUCION";"07. VALIDACIÓN BAJAWARE";"08. CERRADA"},0),
 1,
 IF(
  MATCH(B225,{"01. ASIGNACION AREA";"02. MAPEO";"03. DESARROLLO";"04. VALIDA US";"05. VOBO US";"06. BW-EJECUCION";"07. VALIDACIÓN BAJAWARE";"08. CERRADA"},0)
  =
  MATCH(_xlfn.XLOOKUP(INDEX($B:$B, (ROW()-7)),'Relacion '!$E:$E,'Relacion '!$D:$D,""),{"01. ASIGNACION AREA";"02. MAPEO";"03. DESARROLLO";"04. VALIDA US";"05. VOBO US";"06. BW-EJECUCION";"07. VALIDACIÓN BAJAWARE";"08. CERRADA"},0),
  _xlfn.XLOOKUP(INDEX($B:$B, (ROW()-7)),'Relacion '!$E:$E,'Relacion '!#REF!,0),
  0
 )
)</f>
        <v>0</v>
      </c>
      <c r="I225" s="241">
        <f t="shared" ca="1" si="48"/>
        <v>1</v>
      </c>
      <c r="J225" s="241"/>
      <c r="K225" s="241"/>
      <c r="L225" s="238"/>
    </row>
    <row r="226" spans="2:12" outlineLevel="1">
      <c r="B226" s="237" t="s">
        <v>656</v>
      </c>
      <c r="C226" s="237" t="s">
        <v>656</v>
      </c>
      <c r="D226" s="238" t="str">
        <f>_xlfn.XLOOKUP(B226,'Relacion '!$E:$E,'Relacion '!$D:$D,"")</f>
        <v/>
      </c>
      <c r="E226" s="239">
        <f t="shared" si="46"/>
        <v>0</v>
      </c>
      <c r="F226" s="240" cm="1">
        <f t="array" ref="F226">MIN(INDEX('Relacion '!$AL$5:$AM$493,MATCH(INDEX($B:$B, (ROW()-8)),'Relacion '!$E$5:$E$493,0),0))</f>
        <v>46130</v>
      </c>
      <c r="G226" s="240" cm="1">
        <f t="array" ref="G226">MAX(INDEX('Relacion '!$AL$5:$AM$493,MATCH(INDEX($B:$B, (ROW()-8)),'Relacion '!$E$5:$E$493,0),0))</f>
        <v>46130</v>
      </c>
      <c r="H226" s="241" cm="1">
        <f t="array" ref="H226">IF(
 MATCH(B226,{"01. ASIGNACION AREA";"02. MAPEO";"03. DESARROLLO";"04. VALIDA US";"05. VOBO US";"06. BW-EJECUCION";"07. VALIDACIÓN BAJAWARE";"08. CERRADA"},0)
 &lt;
 MATCH(_xlfn.XLOOKUP(INDEX($B:$B, (ROW()-8)),'Relacion '!$E:$E,'Relacion '!$D:$D,""),{"01. ASIGNACION AREA";"02. MAPEO";"03. DESARROLLO";"04. VALIDA US";"05. VOBO US";"06. BW-EJECUCION";"07. VALIDACIÓN BAJAWARE";"08. CERRADA"},0),
 1,
 IF(
  MATCH(B226,{"01. ASIGNACION AREA";"02. MAPEO";"03. DESARROLLO";"04. VALIDA US";"05. VOBO US";"06. BW-EJECUCION";"07. VALIDACIÓN BAJAWARE";"08. CERRADA"},0)
  =
  MATCH(_xlfn.XLOOKUP(INDEX($B:$B, (ROW()-8)),'Relacion '!$E:$E,'Relacion '!$D:$D,""),{"01. ASIGNACION AREA";"02. MAPEO";"03. DESARROLLO";"04. VALIDA US";"05. VOBO US";"06. BW-EJECUCION";"07. VALIDACIÓN BAJAWARE";"08. CERRADA"},0),
  _xlfn.XLOOKUP(INDEX($B:$B, (ROW()-8)),'Relacion '!$E:$E,'Relacion '!#REF!,0),
  0
 )
)</f>
        <v>0</v>
      </c>
      <c r="I226" s="241">
        <f t="shared" ca="1" si="48"/>
        <v>1</v>
      </c>
      <c r="J226" s="241"/>
      <c r="K226" s="241"/>
      <c r="L226" s="238"/>
    </row>
    <row r="227" spans="2:12">
      <c r="B227" s="232" t="s">
        <v>135</v>
      </c>
      <c r="C227" s="184" t="s">
        <v>136</v>
      </c>
      <c r="D227" s="236" t="str">
        <f>_xlfn.XLOOKUP(B227,'Relacion '!$E:$E,'Relacion '!$D:$D,"")</f>
        <v>06. BW-EJECUCION</v>
      </c>
      <c r="E227" s="233">
        <f t="shared" si="46"/>
        <v>471</v>
      </c>
      <c r="F227" s="234" cm="1">
        <f t="array" ref="F227">MIN(INDEX('Relacion '!$X$5:$AM$493,MATCH(INDEX($B:$B, (ROW()-0)),'Relacion '!$E$5:$E$493,0),0))</f>
        <v>45659</v>
      </c>
      <c r="G227" s="234" cm="1">
        <f t="array" ref="G227">MAX(INDEX('Relacion '!$X$5:$AM$493,MATCH(INDEX($B:$B, (ROW()-0)),'Relacion '!$E$5:$E$493,0),0))</f>
        <v>46130</v>
      </c>
      <c r="H227" s="235" t="e">
        <f>AVERAGE(H228:H235)</f>
        <v>#REF!</v>
      </c>
      <c r="I227" s="235">
        <f t="shared" ref="I227" ca="1" si="53">AVERAGE(I228:I235)</f>
        <v>1</v>
      </c>
      <c r="J227" s="236" t="str">
        <f>IF(ISNUMBER(SEARCH("Rocha", _xlfn.XLOOKUP(B227,'Relacion '!$E:$E,'Relacion '!$I:$I,""))), "Sí", "No")</f>
        <v>No</v>
      </c>
      <c r="K227" s="236" t="str">
        <f>IF(ISNUMBER(SEARCH("Rocha", _xlfn.XLOOKUP(B227,'Relacion '!$E:$E,'Relacion '!$I:$I,""))), "RMC", _xlfn.XLOOKUP(B227,'Relacion '!$E:$E,'Relacion '!$B:$B,""))</f>
        <v>Producto</v>
      </c>
      <c r="L227" s="236" t="str">
        <f>_xlfn.XLOOKUP(B227,'Relacion '!$E:$E,'Relacion '!$C:$C,"")</f>
        <v>Claudia Barroso</v>
      </c>
    </row>
    <row r="228" spans="2:12" outlineLevel="1">
      <c r="B228" s="237" t="s">
        <v>654</v>
      </c>
      <c r="C228" s="237" t="s">
        <v>654</v>
      </c>
      <c r="D228" s="238" t="str">
        <f>_xlfn.XLOOKUP(B228,'Relacion '!$E:$E,'Relacion '!$D:$D,"")</f>
        <v/>
      </c>
      <c r="E228" s="239">
        <f t="shared" si="46"/>
        <v>379</v>
      </c>
      <c r="F228" s="240" cm="1">
        <f t="array" ref="F228">MIN(INDEX('Relacion '!$X$5:$Y$493,MATCH(INDEX($B:$B, (ROW()-1)),'Relacion '!$E$5:$E$493,0),0))</f>
        <v>45659</v>
      </c>
      <c r="G228" s="240" cm="1">
        <f t="array" ref="G228">MAX(INDEX('Relacion '!$X$5:$Y$493,MATCH(INDEX($B:$B, (ROW()-1)),'Relacion '!$E$5:$E$493,0),0))</f>
        <v>46038</v>
      </c>
      <c r="H228" s="241" cm="1">
        <f t="array" ref="H228">IF(
 MATCH(B228,{"01. ASIGNACION AREA";"02. MAPEO";"03. DESARROLLO";"04. VALIDA US";"05. VOBO US";"06. BW-EJECUCION";"07. VALIDACIÓN BAJAWARE";"08. CERRADA"},0)
 &lt;
 MATCH(_xlfn.XLOOKUP(INDEX($B:$B, (ROW()-1)),'Relacion '!$E:$E,'Relacion '!$D:$D,""),{"01. ASIGNACION AREA";"02. MAPEO";"03. DESARROLLO";"04. VALIDA US";"05. VOBO US";"06. BW-EJECUCION";"07. VALIDACIÓN BAJAWARE";"08. CERRADA"},0),
 1,
 IF(
  MATCH(B228,{"01. ASIGNACION AREA";"02. MAPEO";"03. DESARROLLO";"04. VALIDA US";"05. VOBO US";"06. BW-EJECUCION";"07. VALIDACIÓN BAJAWARE";"08. CERRADA"},0)
  =
  MATCH(_xlfn.XLOOKUP(INDEX($B:$B, (ROW()-1)),'Relacion '!$E:$E,'Relacion '!$D:$D,""),{"01. ASIGNACION AREA";"02. MAPEO";"03. DESARROLLO";"04. VALIDA US";"05. VOBO US";"06. BW-EJECUCION";"07. VALIDACIÓN BAJAWARE";"08. CERRADA"},0),
  _xlfn.XLOOKUP(INDEX($B:$B, (ROW()-1)),'Relacion '!$E:$E,'Relacion '!#REF!,0),
  0
 )
)</f>
        <v>1</v>
      </c>
      <c r="I228" s="241">
        <f t="shared" ref="I228" ca="1" si="54">IF(G228&lt;=TODAY(), 1, 0)</f>
        <v>1</v>
      </c>
      <c r="J228" s="241"/>
      <c r="K228" s="241"/>
      <c r="L228" s="238"/>
    </row>
    <row r="229" spans="2:12" outlineLevel="1">
      <c r="B229" s="237" t="s">
        <v>195</v>
      </c>
      <c r="C229" s="237" t="s">
        <v>195</v>
      </c>
      <c r="D229" s="238" t="str">
        <f>_xlfn.XLOOKUP(B229,'Relacion '!$E:$E,'Relacion '!$D:$D,"")</f>
        <v/>
      </c>
      <c r="E229" s="239">
        <f t="shared" si="46"/>
        <v>11</v>
      </c>
      <c r="F229" s="240" cm="1">
        <f t="array" ref="F229">MIN(INDEX('Relacion '!$Z$5:$AA$493,MATCH(INDEX($B:$B, (ROW()-2)),'Relacion '!$E$5:$E$493,0),0))</f>
        <v>46041</v>
      </c>
      <c r="G229" s="240" cm="1">
        <f t="array" ref="G229">MAX(INDEX('Relacion '!$Z$5:$AA$493,MATCH(INDEX($B:$B, (ROW()-2)),'Relacion '!$E$5:$E$493,0),0))</f>
        <v>46052</v>
      </c>
      <c r="H229" s="241" cm="1">
        <f t="array" ref="H229">IF(
 MATCH(B229,{"01. ASIGNACION AREA";"02. MAPEO";"03. DESARROLLO";"04. VALIDA US";"05. VOBO US";"06. BW-EJECUCION";"07. VALIDACIÓN BAJAWARE";"08. CERRADA"},0)
 &lt;
 MATCH(_xlfn.XLOOKUP(INDEX($B:$B, (ROW()-2)),'Relacion '!$E:$E,'Relacion '!$D:$D,""),{"01. ASIGNACION AREA";"02. MAPEO";"03. DESARROLLO";"04. VALIDA US";"05. VOBO US";"06. BW-EJECUCION";"07. VALIDACIÓN BAJAWARE";"08. CERRADA"},0),
 1,
 IF(
  MATCH(B229,{"01. ASIGNACION AREA";"02. MAPEO";"03. DESARROLLO";"04. VALIDA US";"05. VOBO US";"06. BW-EJECUCION";"07. VALIDACIÓN BAJAWARE";"08. CERRADA"},0)
  =
  MATCH(_xlfn.XLOOKUP(INDEX($B:$B, (ROW()-2)),'Relacion '!$E:$E,'Relacion '!$D:$D,""),{"01. ASIGNACION AREA";"02. MAPEO";"03. DESARROLLO";"04. VALIDA US";"05. VOBO US";"06. BW-EJECUCION";"07. VALIDACIÓN BAJAWARE";"08. CERRADA"},0),
  _xlfn.XLOOKUP(INDEX($B:$B, (ROW()-2)),'Relacion '!$E:$E,'Relacion '!#REF!,0),
  0
 )
)</f>
        <v>1</v>
      </c>
      <c r="I229" s="241">
        <f t="shared" ca="1" si="48"/>
        <v>1</v>
      </c>
      <c r="J229" s="241"/>
      <c r="K229" s="241"/>
      <c r="L229" s="238"/>
    </row>
    <row r="230" spans="2:12" outlineLevel="1">
      <c r="B230" s="237" t="s">
        <v>49</v>
      </c>
      <c r="C230" s="237" t="s">
        <v>49</v>
      </c>
      <c r="D230" s="238" t="str">
        <f>_xlfn.XLOOKUP(B230,'Relacion '!$E:$E,'Relacion '!$D:$D,"")</f>
        <v/>
      </c>
      <c r="E230" s="239">
        <f t="shared" si="46"/>
        <v>24</v>
      </c>
      <c r="F230" s="240" cm="1">
        <f t="array" ref="F230">MIN(INDEX('Relacion '!$AB$5:$AC$493,MATCH(INDEX($B:$B, (ROW()-3)),'Relacion '!$E$5:$E$493,0),0))</f>
        <v>46056</v>
      </c>
      <c r="G230" s="240" cm="1">
        <f t="array" ref="G230">MAX(INDEX('Relacion '!$AB$5:$AC$493,MATCH(INDEX($B:$B, (ROW()-3)),'Relacion '!$E$5:$E$493,0),0))</f>
        <v>46080</v>
      </c>
      <c r="H230" s="241" cm="1">
        <f t="array" ref="H230">IF(
 MATCH(B230,{"01. ASIGNACION AREA";"02. MAPEO";"03. DESARROLLO";"04. VALIDA US";"05. VOBO US";"06. BW-EJECUCION";"07. VALIDACIÓN BAJAWARE";"08. CERRADA"},0)
 &lt;
 MATCH(_xlfn.XLOOKUP(INDEX($B:$B, (ROW()-3)),'Relacion '!$E:$E,'Relacion '!$D:$D,""),{"01. ASIGNACION AREA";"02. MAPEO";"03. DESARROLLO";"04. VALIDA US";"05. VOBO US";"06. BW-EJECUCION";"07. VALIDACIÓN BAJAWARE";"08. CERRADA"},0),
 1,
 IF(
  MATCH(B230,{"01. ASIGNACION AREA";"02. MAPEO";"03. DESARROLLO";"04. VALIDA US";"05. VOBO US";"06. BW-EJECUCION";"07. VALIDACIÓN BAJAWARE";"08. CERRADA"},0)
  =
  MATCH(_xlfn.XLOOKUP(INDEX($B:$B, (ROW()-3)),'Relacion '!$E:$E,'Relacion '!$D:$D,""),{"01. ASIGNACION AREA";"02. MAPEO";"03. DESARROLLO";"04. VALIDA US";"05. VOBO US";"06. BW-EJECUCION";"07. VALIDACIÓN BAJAWARE";"08. CERRADA"},0),
  _xlfn.XLOOKUP(INDEX($B:$B, (ROW()-3)),'Relacion '!$E:$E,'Relacion '!#REF!,0),
  0
 )
)</f>
        <v>1</v>
      </c>
      <c r="I230" s="241">
        <f t="shared" ca="1" si="48"/>
        <v>1</v>
      </c>
      <c r="J230" s="241"/>
      <c r="K230" s="241"/>
      <c r="L230" s="238"/>
    </row>
    <row r="231" spans="2:12" outlineLevel="1">
      <c r="B231" s="237" t="s">
        <v>324</v>
      </c>
      <c r="C231" s="237" t="s">
        <v>324</v>
      </c>
      <c r="D231" s="238" t="str">
        <f>_xlfn.XLOOKUP(B231,'Relacion '!$E:$E,'Relacion '!$D:$D,"")</f>
        <v/>
      </c>
      <c r="E231" s="239">
        <f t="shared" si="46"/>
        <v>22</v>
      </c>
      <c r="F231" s="240" cm="1">
        <f t="array" ref="F231">MIN(INDEX('Relacion '!$AD$5:$AE$493,MATCH(INDEX($B:$B, (ROW()-4)),'Relacion '!$E$5:$E$493,0),0))</f>
        <v>46083</v>
      </c>
      <c r="G231" s="240" cm="1">
        <f t="array" ref="G231">MAX(INDEX('Relacion '!$AD$5:$AE$493,MATCH(INDEX($B:$B, (ROW()-4)),'Relacion '!$E$5:$E$493,0),0))</f>
        <v>46105</v>
      </c>
      <c r="H231" s="241" cm="1">
        <f t="array" ref="H231">IF(
 MATCH(B231,{"01. ASIGNACION AREA";"02. MAPEO";"03. DESARROLLO";"04. VALIDA US";"05. VOBO US";"06. BW-EJECUCION";"07. VALIDACIÓN BAJAWARE";"08. CERRADA"},0)
 &lt;
 MATCH(_xlfn.XLOOKUP(INDEX($B:$B, (ROW()-4)),'Relacion '!$E:$E,'Relacion '!$D:$D,""),{"01. ASIGNACION AREA";"02. MAPEO";"03. DESARROLLO";"04. VALIDA US";"05. VOBO US";"06. BW-EJECUCION";"07. VALIDACIÓN BAJAWARE";"08. CERRADA"},0),
 1,
 IF(
  MATCH(B231,{"01. ASIGNACION AREA";"02. MAPEO";"03. DESARROLLO";"04. VALIDA US";"05. VOBO US";"06. BW-EJECUCION";"07. VALIDACIÓN BAJAWARE";"08. CERRADA"},0)
  =
  MATCH(_xlfn.XLOOKUP(INDEX($B:$B, (ROW()-4)),'Relacion '!$E:$E,'Relacion '!$D:$D,""),{"01. ASIGNACION AREA";"02. MAPEO";"03. DESARROLLO";"04. VALIDA US";"05. VOBO US";"06. BW-EJECUCION";"07. VALIDACIÓN BAJAWARE";"08. CERRADA"},0),
  _xlfn.XLOOKUP(INDEX($B:$B, (ROW()-4)),'Relacion '!$E:$E,'Relacion '!#REF!,0),
  0
 )
)</f>
        <v>1</v>
      </c>
      <c r="I231" s="241">
        <f t="shared" ca="1" si="48"/>
        <v>1</v>
      </c>
      <c r="J231" s="241"/>
      <c r="K231" s="241"/>
      <c r="L231" s="238"/>
    </row>
    <row r="232" spans="2:12" outlineLevel="1">
      <c r="B232" s="237" t="s">
        <v>320</v>
      </c>
      <c r="C232" s="237" t="s">
        <v>320</v>
      </c>
      <c r="D232" s="238" t="str">
        <f>_xlfn.XLOOKUP(B232,'Relacion '!$E:$E,'Relacion '!$D:$D,"")</f>
        <v/>
      </c>
      <c r="E232" s="239">
        <f t="shared" si="46"/>
        <v>1</v>
      </c>
      <c r="F232" s="240" cm="1">
        <f t="array" ref="F232">MIN(INDEX('Relacion '!$AF$5:$AG$493,MATCH(INDEX($B:$B, (ROW()-5)),'Relacion '!$E$5:$E$493,0),0))</f>
        <v>46105</v>
      </c>
      <c r="G232" s="240" cm="1">
        <f t="array" ref="G232">MAX(INDEX('Relacion '!$AF$5:$AG$493,MATCH(INDEX($B:$B, (ROW()-5)),'Relacion '!$E$5:$E$493,0),0))</f>
        <v>46106</v>
      </c>
      <c r="H232" s="241" cm="1">
        <f t="array" ref="H232">IF(
 MATCH(B232,{"01. ASIGNACION AREA";"02. MAPEO";"03. DESARROLLO";"04. VALIDA US";"05. VOBO US";"06. BW-EJECUCION";"07. VALIDACIÓN BAJAWARE";"08. CERRADA"},0)
 &lt;
 MATCH(_xlfn.XLOOKUP(INDEX($B:$B, (ROW()-5)),'Relacion '!$E:$E,'Relacion '!$D:$D,""),{"01. ASIGNACION AREA";"02. MAPEO";"03. DESARROLLO";"04. VALIDA US";"05. VOBO US";"06. BW-EJECUCION";"07. VALIDACIÓN BAJAWARE";"08. CERRADA"},0),
 1,
 IF(
  MATCH(B232,{"01. ASIGNACION AREA";"02. MAPEO";"03. DESARROLLO";"04. VALIDA US";"05. VOBO US";"06. BW-EJECUCION";"07. VALIDACIÓN BAJAWARE";"08. CERRADA"},0)
  =
  MATCH(_xlfn.XLOOKUP(INDEX($B:$B, (ROW()-5)),'Relacion '!$E:$E,'Relacion '!$D:$D,""),{"01. ASIGNACION AREA";"02. MAPEO";"03. DESARROLLO";"04. VALIDA US";"05. VOBO US";"06. BW-EJECUCION";"07. VALIDACIÓN BAJAWARE";"08. CERRADA"},0),
  _xlfn.XLOOKUP(INDEX($B:$B, (ROW()-5)),'Relacion '!$E:$E,'Relacion '!#REF!,0),
  0
 )
)</f>
        <v>1</v>
      </c>
      <c r="I232" s="241">
        <f t="shared" ca="1" si="48"/>
        <v>1</v>
      </c>
      <c r="J232" s="241"/>
      <c r="K232" s="241"/>
      <c r="L232" s="238"/>
    </row>
    <row r="233" spans="2:12" outlineLevel="1">
      <c r="B233" s="237" t="s">
        <v>710</v>
      </c>
      <c r="C233" s="237" t="s">
        <v>710</v>
      </c>
      <c r="D233" s="238" t="str">
        <f>_xlfn.XLOOKUP(B233,'Relacion '!$E:$E,'Relacion '!$D:$D,"")</f>
        <v/>
      </c>
      <c r="E233" s="239">
        <f t="shared" si="46"/>
        <v>2</v>
      </c>
      <c r="F233" s="240" cm="1">
        <f t="array" ref="F233">MIN(INDEX('Relacion '!$AH$5:$AI$493,MATCH(INDEX($B:$B, (ROW()-6)),'Relacion '!$E$5:$E$493,0),0))</f>
        <v>46111</v>
      </c>
      <c r="G233" s="240" cm="1">
        <f t="array" ref="G233">MAX(INDEX('Relacion '!$AH$5:$AI$493,MATCH(INDEX($B:$B, (ROW()-6)),'Relacion '!$E$5:$E$493,0),0))</f>
        <v>46113</v>
      </c>
      <c r="H233" s="241" t="e" cm="1">
        <f t="array" ref="H233">IF(
 MATCH(B233,{"01. ASIGNACION AREA";"02. MAPEO";"03. DESARROLLO";"04. VALIDA US";"05. VOBO US";"06. BW-EJECUCION";"07. VALIDACIÓN BAJAWARE";"08. CERRADA"},0)
 &lt;
 MATCH(_xlfn.XLOOKUP(INDEX($B:$B, (ROW()-6)),'Relacion '!$E:$E,'Relacion '!$D:$D,""),{"01. ASIGNACION AREA";"02. MAPEO";"03. DESARROLLO";"04. VALIDA US";"05. VOBO US";"06. BW-EJECUCION";"07. VALIDACIÓN BAJAWARE";"08. CERRADA"},0),
 1,
 IF(
  MATCH(B233,{"01. ASIGNACION AREA";"02. MAPEO";"03. DESARROLLO";"04. VALIDA US";"05. VOBO US";"06. BW-EJECUCION";"07. VALIDACIÓN BAJAWARE";"08. CERRADA"},0)
  =
  MATCH(_xlfn.XLOOKUP(INDEX($B:$B, (ROW()-6)),'Relacion '!$E:$E,'Relacion '!$D:$D,""),{"01. ASIGNACION AREA";"02. MAPEO";"03. DESARROLLO";"04. VALIDA US";"05. VOBO US";"06. BW-EJECUCION";"07. VALIDACIÓN BAJAWARE";"08. CERRADA"},0),
  _xlfn.XLOOKUP(INDEX($B:$B, (ROW()-6)),'Relacion '!$E:$E,'Relacion '!#REF!,0),
  0
 )
)</f>
        <v>#REF!</v>
      </c>
      <c r="I233" s="241">
        <f t="shared" ca="1" si="48"/>
        <v>1</v>
      </c>
      <c r="J233" s="241"/>
      <c r="K233" s="241"/>
      <c r="L233" s="238"/>
    </row>
    <row r="234" spans="2:12" outlineLevel="1">
      <c r="B234" s="237" t="s">
        <v>655</v>
      </c>
      <c r="C234" s="237" t="s">
        <v>655</v>
      </c>
      <c r="D234" s="238" t="str">
        <f>_xlfn.XLOOKUP(B234,'Relacion '!$E:$E,'Relacion '!$D:$D,"")</f>
        <v/>
      </c>
      <c r="E234" s="239">
        <f t="shared" si="46"/>
        <v>11</v>
      </c>
      <c r="F234" s="240" cm="1">
        <f t="array" ref="F234">MIN(INDEX('Relacion '!$AJ$5:$AK$493,MATCH(INDEX($B:$B, (ROW()-7)),'Relacion '!$E$5:$E$493,0),0))</f>
        <v>46118</v>
      </c>
      <c r="G234" s="240" cm="1">
        <f t="array" ref="G234">MAX(INDEX('Relacion '!$AJ$5:$AK$493,MATCH(INDEX($B:$B, (ROW()-7)),'Relacion '!$E$5:$E$493,0),0))</f>
        <v>46129</v>
      </c>
      <c r="H234" s="241" cm="1">
        <f t="array" ref="H234">IF(
 MATCH(B234,{"01. ASIGNACION AREA";"02. MAPEO";"03. DESARROLLO";"04. VALIDA US";"05. VOBO US";"06. BW-EJECUCION";"07. VALIDACIÓN BAJAWARE";"08. CERRADA"},0)
 &lt;
 MATCH(_xlfn.XLOOKUP(INDEX($B:$B, (ROW()-7)),'Relacion '!$E:$E,'Relacion '!$D:$D,""),{"01. ASIGNACION AREA";"02. MAPEO";"03. DESARROLLO";"04. VALIDA US";"05. VOBO US";"06. BW-EJECUCION";"07. VALIDACIÓN BAJAWARE";"08. CERRADA"},0),
 1,
 IF(
  MATCH(B234,{"01. ASIGNACION AREA";"02. MAPEO";"03. DESARROLLO";"04. VALIDA US";"05. VOBO US";"06. BW-EJECUCION";"07. VALIDACIÓN BAJAWARE";"08. CERRADA"},0)
  =
  MATCH(_xlfn.XLOOKUP(INDEX($B:$B, (ROW()-7)),'Relacion '!$E:$E,'Relacion '!$D:$D,""),{"01. ASIGNACION AREA";"02. MAPEO";"03. DESARROLLO";"04. VALIDA US";"05. VOBO US";"06. BW-EJECUCION";"07. VALIDACIÓN BAJAWARE";"08. CERRADA"},0),
  _xlfn.XLOOKUP(INDEX($B:$B, (ROW()-7)),'Relacion '!$E:$E,'Relacion '!#REF!,0),
  0
 )
)</f>
        <v>0</v>
      </c>
      <c r="I234" s="241">
        <f t="shared" ca="1" si="48"/>
        <v>1</v>
      </c>
      <c r="J234" s="241"/>
      <c r="K234" s="241"/>
      <c r="L234" s="238"/>
    </row>
    <row r="235" spans="2:12" outlineLevel="1">
      <c r="B235" s="237" t="s">
        <v>656</v>
      </c>
      <c r="C235" s="237" t="s">
        <v>656</v>
      </c>
      <c r="D235" s="238" t="str">
        <f>_xlfn.XLOOKUP(B235,'Relacion '!$E:$E,'Relacion '!$D:$D,"")</f>
        <v/>
      </c>
      <c r="E235" s="239">
        <f t="shared" si="46"/>
        <v>0</v>
      </c>
      <c r="F235" s="240" cm="1">
        <f t="array" ref="F235">MIN(INDEX('Relacion '!$AL$5:$AM$493,MATCH(INDEX($B:$B, (ROW()-8)),'Relacion '!$E$5:$E$493,0),0))</f>
        <v>46130</v>
      </c>
      <c r="G235" s="240" cm="1">
        <f t="array" ref="G235">MAX(INDEX('Relacion '!$AL$5:$AM$493,MATCH(INDEX($B:$B, (ROW()-8)),'Relacion '!$E$5:$E$493,0),0))</f>
        <v>46130</v>
      </c>
      <c r="H235" s="241" cm="1">
        <f t="array" ref="H235">IF(
 MATCH(B235,{"01. ASIGNACION AREA";"02. MAPEO";"03. DESARROLLO";"04. VALIDA US";"05. VOBO US";"06. BW-EJECUCION";"07. VALIDACIÓN BAJAWARE";"08. CERRADA"},0)
 &lt;
 MATCH(_xlfn.XLOOKUP(INDEX($B:$B, (ROW()-8)),'Relacion '!$E:$E,'Relacion '!$D:$D,""),{"01. ASIGNACION AREA";"02. MAPEO";"03. DESARROLLO";"04. VALIDA US";"05. VOBO US";"06. BW-EJECUCION";"07. VALIDACIÓN BAJAWARE";"08. CERRADA"},0),
 1,
 IF(
  MATCH(B235,{"01. ASIGNACION AREA";"02. MAPEO";"03. DESARROLLO";"04. VALIDA US";"05. VOBO US";"06. BW-EJECUCION";"07. VALIDACIÓN BAJAWARE";"08. CERRADA"},0)
  =
  MATCH(_xlfn.XLOOKUP(INDEX($B:$B, (ROW()-8)),'Relacion '!$E:$E,'Relacion '!$D:$D,""),{"01. ASIGNACION AREA";"02. MAPEO";"03. DESARROLLO";"04. VALIDA US";"05. VOBO US";"06. BW-EJECUCION";"07. VALIDACIÓN BAJAWARE";"08. CERRADA"},0),
  _xlfn.XLOOKUP(INDEX($B:$B, (ROW()-8)),'Relacion '!$E:$E,'Relacion '!#REF!,0),
  0
 )
)</f>
        <v>0</v>
      </c>
      <c r="I235" s="241">
        <f t="shared" ca="1" si="48"/>
        <v>1</v>
      </c>
      <c r="J235" s="241"/>
      <c r="K235" s="241"/>
      <c r="L235" s="238"/>
    </row>
    <row r="236" spans="2:12">
      <c r="B236" s="232" t="s">
        <v>438</v>
      </c>
      <c r="C236" s="184" t="s">
        <v>439</v>
      </c>
      <c r="D236" s="236" t="str">
        <f>_xlfn.XLOOKUP(B236,'Relacion '!$E:$E,'Relacion '!$D:$D,"")</f>
        <v>06. BW-EJECUCION</v>
      </c>
      <c r="E236" s="233">
        <f t="shared" si="46"/>
        <v>106</v>
      </c>
      <c r="F236" s="234" cm="1">
        <f t="array" ref="F236">MIN(INDEX('Relacion '!$X$5:$AM$493,MATCH(INDEX($B:$B, (ROW()-0)),'Relacion '!$E$5:$E$493,0),0))</f>
        <v>46024</v>
      </c>
      <c r="G236" s="234" cm="1">
        <f t="array" ref="G236">MAX(INDEX('Relacion '!$X$5:$AM$493,MATCH(INDEX($B:$B, (ROW()-0)),'Relacion '!$E$5:$E$493,0),0))</f>
        <v>46130</v>
      </c>
      <c r="H236" s="235" t="e">
        <f>AVERAGE(H237:H244)</f>
        <v>#REF!</v>
      </c>
      <c r="I236" s="235">
        <f t="shared" ref="I236" ca="1" si="55">AVERAGE(I237:I244)</f>
        <v>1</v>
      </c>
      <c r="J236" s="236" t="str">
        <f>IF(ISNUMBER(SEARCH("Rocha", _xlfn.XLOOKUP(B236,'Relacion '!$E:$E,'Relacion '!$I:$I,""))), "Sí", "No")</f>
        <v>No</v>
      </c>
      <c r="K236" s="236" t="str">
        <f>IF(ISNUMBER(SEARCH("Rocha", _xlfn.XLOOKUP(B236,'Relacion '!$E:$E,'Relacion '!$I:$I,""))), "RMC", _xlfn.XLOOKUP(B236,'Relacion '!$E:$E,'Relacion '!$B:$B,""))</f>
        <v>Contabilidad</v>
      </c>
      <c r="L236" s="236" t="str">
        <f>_xlfn.XLOOKUP(B236,'Relacion '!$E:$E,'Relacion '!$C:$C,"")</f>
        <v xml:space="preserve">Ramon Jaimes </v>
      </c>
    </row>
    <row r="237" spans="2:12" outlineLevel="1">
      <c r="B237" s="237" t="s">
        <v>654</v>
      </c>
      <c r="C237" s="237" t="s">
        <v>654</v>
      </c>
      <c r="D237" s="238" t="str">
        <f>_xlfn.XLOOKUP(B237,'Relacion '!$E:$E,'Relacion '!$D:$D,"")</f>
        <v/>
      </c>
      <c r="E237" s="239">
        <f t="shared" si="46"/>
        <v>59</v>
      </c>
      <c r="F237" s="240" cm="1">
        <f t="array" ref="F237">MIN(INDEX('Relacion '!$X$5:$Y$493,MATCH(INDEX($B:$B, (ROW()-1)),'Relacion '!$E$5:$E$493,0),0))</f>
        <v>46024</v>
      </c>
      <c r="G237" s="240" cm="1">
        <f t="array" ref="G237">MAX(INDEX('Relacion '!$X$5:$Y$493,MATCH(INDEX($B:$B, (ROW()-1)),'Relacion '!$E$5:$E$493,0),0))</f>
        <v>46083</v>
      </c>
      <c r="H237" s="241" cm="1">
        <f t="array" ref="H237">IF(
 MATCH(B237,{"01. ASIGNACION AREA";"02. MAPEO";"03. DESARROLLO";"04. VALIDA US";"05. VOBO US";"06. BW-EJECUCION";"07. VALIDACIÓN BAJAWARE";"08. CERRADA"},0)
 &lt;
 MATCH(_xlfn.XLOOKUP(INDEX($B:$B, (ROW()-1)),'Relacion '!$E:$E,'Relacion '!$D:$D,""),{"01. ASIGNACION AREA";"02. MAPEO";"03. DESARROLLO";"04. VALIDA US";"05. VOBO US";"06. BW-EJECUCION";"07. VALIDACIÓN BAJAWARE";"08. CERRADA"},0),
 1,
 IF(
  MATCH(B237,{"01. ASIGNACION AREA";"02. MAPEO";"03. DESARROLLO";"04. VALIDA US";"05. VOBO US";"06. BW-EJECUCION";"07. VALIDACIÓN BAJAWARE";"08. CERRADA"},0)
  =
  MATCH(_xlfn.XLOOKUP(INDEX($B:$B, (ROW()-1)),'Relacion '!$E:$E,'Relacion '!$D:$D,""),{"01. ASIGNACION AREA";"02. MAPEO";"03. DESARROLLO";"04. VALIDA US";"05. VOBO US";"06. BW-EJECUCION";"07. VALIDACIÓN BAJAWARE";"08. CERRADA"},0),
  _xlfn.XLOOKUP(INDEX($B:$B, (ROW()-1)),'Relacion '!$E:$E,'Relacion '!#REF!,0),
  0
 )
)</f>
        <v>1</v>
      </c>
      <c r="I237" s="241">
        <f t="shared" ref="I237" ca="1" si="56">IF(G237&lt;=TODAY(), 1, 0)</f>
        <v>1</v>
      </c>
      <c r="J237" s="241"/>
      <c r="K237" s="241"/>
      <c r="L237" s="238"/>
    </row>
    <row r="238" spans="2:12" outlineLevel="1">
      <c r="B238" s="237" t="s">
        <v>195</v>
      </c>
      <c r="C238" s="237" t="s">
        <v>195</v>
      </c>
      <c r="D238" s="238" t="str">
        <f>_xlfn.XLOOKUP(B238,'Relacion '!$E:$E,'Relacion '!$D:$D,"")</f>
        <v/>
      </c>
      <c r="E238" s="239">
        <f t="shared" si="46"/>
        <v>11</v>
      </c>
      <c r="F238" s="240" cm="1">
        <f t="array" ref="F238">MIN(INDEX('Relacion '!$Z$5:$AA$493,MATCH(INDEX($B:$B, (ROW()-2)),'Relacion '!$E$5:$E$493,0),0))</f>
        <v>46041</v>
      </c>
      <c r="G238" s="240" cm="1">
        <f t="array" ref="G238">MAX(INDEX('Relacion '!$Z$5:$AA$493,MATCH(INDEX($B:$B, (ROW()-2)),'Relacion '!$E$5:$E$493,0),0))</f>
        <v>46052</v>
      </c>
      <c r="H238" s="241" cm="1">
        <f t="array" ref="H238">IF(
 MATCH(B238,{"01. ASIGNACION AREA";"02. MAPEO";"03. DESARROLLO";"04. VALIDA US";"05. VOBO US";"06. BW-EJECUCION";"07. VALIDACIÓN BAJAWARE";"08. CERRADA"},0)
 &lt;
 MATCH(_xlfn.XLOOKUP(INDEX($B:$B, (ROW()-2)),'Relacion '!$E:$E,'Relacion '!$D:$D,""),{"01. ASIGNACION AREA";"02. MAPEO";"03. DESARROLLO";"04. VALIDA US";"05. VOBO US";"06. BW-EJECUCION";"07. VALIDACIÓN BAJAWARE";"08. CERRADA"},0),
 1,
 IF(
  MATCH(B238,{"01. ASIGNACION AREA";"02. MAPEO";"03. DESARROLLO";"04. VALIDA US";"05. VOBO US";"06. BW-EJECUCION";"07. VALIDACIÓN BAJAWARE";"08. CERRADA"},0)
  =
  MATCH(_xlfn.XLOOKUP(INDEX($B:$B, (ROW()-2)),'Relacion '!$E:$E,'Relacion '!$D:$D,""),{"01. ASIGNACION AREA";"02. MAPEO";"03. DESARROLLO";"04. VALIDA US";"05. VOBO US";"06. BW-EJECUCION";"07. VALIDACIÓN BAJAWARE";"08. CERRADA"},0),
  _xlfn.XLOOKUP(INDEX($B:$B, (ROW()-2)),'Relacion '!$E:$E,'Relacion '!#REF!,0),
  0
 )
)</f>
        <v>1</v>
      </c>
      <c r="I238" s="241">
        <f t="shared" ca="1" si="48"/>
        <v>1</v>
      </c>
      <c r="J238" s="241"/>
      <c r="K238" s="241"/>
      <c r="L238" s="238"/>
    </row>
    <row r="239" spans="2:12" outlineLevel="1">
      <c r="B239" s="237" t="s">
        <v>49</v>
      </c>
      <c r="C239" s="237" t="s">
        <v>49</v>
      </c>
      <c r="D239" s="238" t="str">
        <f>_xlfn.XLOOKUP(B239,'Relacion '!$E:$E,'Relacion '!$D:$D,"")</f>
        <v/>
      </c>
      <c r="E239" s="239">
        <f t="shared" si="46"/>
        <v>13</v>
      </c>
      <c r="F239" s="240" cm="1">
        <f t="array" ref="F239">MIN(INDEX('Relacion '!$AB$5:$AC$493,MATCH(INDEX($B:$B, (ROW()-3)),'Relacion '!$E$5:$E$493,0),0))</f>
        <v>46056</v>
      </c>
      <c r="G239" s="240" cm="1">
        <f t="array" ref="G239">MAX(INDEX('Relacion '!$AB$5:$AC$493,MATCH(INDEX($B:$B, (ROW()-3)),'Relacion '!$E$5:$E$493,0),0))</f>
        <v>46069</v>
      </c>
      <c r="H239" s="241" cm="1">
        <f t="array" ref="H239">IF(
 MATCH(B239,{"01. ASIGNACION AREA";"02. MAPEO";"03. DESARROLLO";"04. VALIDA US";"05. VOBO US";"06. BW-EJECUCION";"07. VALIDACIÓN BAJAWARE";"08. CERRADA"},0)
 &lt;
 MATCH(_xlfn.XLOOKUP(INDEX($B:$B, (ROW()-3)),'Relacion '!$E:$E,'Relacion '!$D:$D,""),{"01. ASIGNACION AREA";"02. MAPEO";"03. DESARROLLO";"04. VALIDA US";"05. VOBO US";"06. BW-EJECUCION";"07. VALIDACIÓN BAJAWARE";"08. CERRADA"},0),
 1,
 IF(
  MATCH(B239,{"01. ASIGNACION AREA";"02. MAPEO";"03. DESARROLLO";"04. VALIDA US";"05. VOBO US";"06. BW-EJECUCION";"07. VALIDACIÓN BAJAWARE";"08. CERRADA"},0)
  =
  MATCH(_xlfn.XLOOKUP(INDEX($B:$B, (ROW()-3)),'Relacion '!$E:$E,'Relacion '!$D:$D,""),{"01. ASIGNACION AREA";"02. MAPEO";"03. DESARROLLO";"04. VALIDA US";"05. VOBO US";"06. BW-EJECUCION";"07. VALIDACIÓN BAJAWARE";"08. CERRADA"},0),
  _xlfn.XLOOKUP(INDEX($B:$B, (ROW()-3)),'Relacion '!$E:$E,'Relacion '!#REF!,0),
  0
 )
)</f>
        <v>1</v>
      </c>
      <c r="I239" s="241">
        <f t="shared" ca="1" si="48"/>
        <v>1</v>
      </c>
      <c r="J239" s="241"/>
      <c r="K239" s="241"/>
      <c r="L239" s="238"/>
    </row>
    <row r="240" spans="2:12" outlineLevel="1">
      <c r="B240" s="237" t="s">
        <v>324</v>
      </c>
      <c r="C240" s="237" t="s">
        <v>324</v>
      </c>
      <c r="D240" s="238" t="str">
        <f>_xlfn.XLOOKUP(B240,'Relacion '!$E:$E,'Relacion '!$D:$D,"")</f>
        <v/>
      </c>
      <c r="E240" s="239">
        <f t="shared" si="46"/>
        <v>2</v>
      </c>
      <c r="F240" s="240" cm="1">
        <f t="array" ref="F240">MIN(INDEX('Relacion '!$AD$5:$AE$493,MATCH(INDEX($B:$B, (ROW()-4)),'Relacion '!$E$5:$E$493,0),0))</f>
        <v>46070</v>
      </c>
      <c r="G240" s="240" cm="1">
        <f t="array" ref="G240">MAX(INDEX('Relacion '!$AD$5:$AE$493,MATCH(INDEX($B:$B, (ROW()-4)),'Relacion '!$E$5:$E$493,0),0))</f>
        <v>46072</v>
      </c>
      <c r="H240" s="241" cm="1">
        <f t="array" ref="H240">IF(
 MATCH(B240,{"01. ASIGNACION AREA";"02. MAPEO";"03. DESARROLLO";"04. VALIDA US";"05. VOBO US";"06. BW-EJECUCION";"07. VALIDACIÓN BAJAWARE";"08. CERRADA"},0)
 &lt;
 MATCH(_xlfn.XLOOKUP(INDEX($B:$B, (ROW()-4)),'Relacion '!$E:$E,'Relacion '!$D:$D,""),{"01. ASIGNACION AREA";"02. MAPEO";"03. DESARROLLO";"04. VALIDA US";"05. VOBO US";"06. BW-EJECUCION";"07. VALIDACIÓN BAJAWARE";"08. CERRADA"},0),
 1,
 IF(
  MATCH(B240,{"01. ASIGNACION AREA";"02. MAPEO";"03. DESARROLLO";"04. VALIDA US";"05. VOBO US";"06. BW-EJECUCION";"07. VALIDACIÓN BAJAWARE";"08. CERRADA"},0)
  =
  MATCH(_xlfn.XLOOKUP(INDEX($B:$B, (ROW()-4)),'Relacion '!$E:$E,'Relacion '!$D:$D,""),{"01. ASIGNACION AREA";"02. MAPEO";"03. DESARROLLO";"04. VALIDA US";"05. VOBO US";"06. BW-EJECUCION";"07. VALIDACIÓN BAJAWARE";"08. CERRADA"},0),
  _xlfn.XLOOKUP(INDEX($B:$B, (ROW()-4)),'Relacion '!$E:$E,'Relacion '!#REF!,0),
  0
 )
)</f>
        <v>1</v>
      </c>
      <c r="I240" s="241">
        <f t="shared" ca="1" si="48"/>
        <v>1</v>
      </c>
      <c r="J240" s="241"/>
      <c r="K240" s="241"/>
      <c r="L240" s="238"/>
    </row>
    <row r="241" spans="2:12" outlineLevel="1">
      <c r="B241" s="237" t="s">
        <v>320</v>
      </c>
      <c r="C241" s="237" t="s">
        <v>320</v>
      </c>
      <c r="D241" s="238" t="str">
        <f>_xlfn.XLOOKUP(B241,'Relacion '!$E:$E,'Relacion '!$D:$D,"")</f>
        <v/>
      </c>
      <c r="E241" s="239">
        <f t="shared" si="46"/>
        <v>0</v>
      </c>
      <c r="F241" s="240" cm="1">
        <f t="array" ref="F241">MIN(INDEX('Relacion '!$AF$5:$AG$493,MATCH(INDEX($B:$B, (ROW()-5)),'Relacion '!$E$5:$E$493,0),0))</f>
        <v>46073</v>
      </c>
      <c r="G241" s="240" cm="1">
        <f t="array" ref="G241">MAX(INDEX('Relacion '!$AF$5:$AG$493,MATCH(INDEX($B:$B, (ROW()-5)),'Relacion '!$E$5:$E$493,0),0))</f>
        <v>46073</v>
      </c>
      <c r="H241" s="241" cm="1">
        <f t="array" ref="H241">IF(
 MATCH(B241,{"01. ASIGNACION AREA";"02. MAPEO";"03. DESARROLLO";"04. VALIDA US";"05. VOBO US";"06. BW-EJECUCION";"07. VALIDACIÓN BAJAWARE";"08. CERRADA"},0)
 &lt;
 MATCH(_xlfn.XLOOKUP(INDEX($B:$B, (ROW()-5)),'Relacion '!$E:$E,'Relacion '!$D:$D,""),{"01. ASIGNACION AREA";"02. MAPEO";"03. DESARROLLO";"04. VALIDA US";"05. VOBO US";"06. BW-EJECUCION";"07. VALIDACIÓN BAJAWARE";"08. CERRADA"},0),
 1,
 IF(
  MATCH(B241,{"01. ASIGNACION AREA";"02. MAPEO";"03. DESARROLLO";"04. VALIDA US";"05. VOBO US";"06. BW-EJECUCION";"07. VALIDACIÓN BAJAWARE";"08. CERRADA"},0)
  =
  MATCH(_xlfn.XLOOKUP(INDEX($B:$B, (ROW()-5)),'Relacion '!$E:$E,'Relacion '!$D:$D,""),{"01. ASIGNACION AREA";"02. MAPEO";"03. DESARROLLO";"04. VALIDA US";"05. VOBO US";"06. BW-EJECUCION";"07. VALIDACIÓN BAJAWARE";"08. CERRADA"},0),
  _xlfn.XLOOKUP(INDEX($B:$B, (ROW()-5)),'Relacion '!$E:$E,'Relacion '!#REF!,0),
  0
 )
)</f>
        <v>1</v>
      </c>
      <c r="I241" s="241">
        <f t="shared" ca="1" si="48"/>
        <v>1</v>
      </c>
      <c r="J241" s="241"/>
      <c r="K241" s="241"/>
      <c r="L241" s="238"/>
    </row>
    <row r="242" spans="2:12" outlineLevel="1">
      <c r="B242" s="237" t="s">
        <v>710</v>
      </c>
      <c r="C242" s="237" t="s">
        <v>710</v>
      </c>
      <c r="D242" s="238" t="str">
        <f>_xlfn.XLOOKUP(B242,'Relacion '!$E:$E,'Relacion '!$D:$D,"")</f>
        <v/>
      </c>
      <c r="E242" s="239">
        <f t="shared" si="46"/>
        <v>25</v>
      </c>
      <c r="F242" s="240" cm="1">
        <f t="array" ref="F242">MIN(INDEX('Relacion '!$AH$5:$AI$493,MATCH(INDEX($B:$B, (ROW()-6)),'Relacion '!$E$5:$E$493,0),0))</f>
        <v>46076</v>
      </c>
      <c r="G242" s="240" cm="1">
        <f t="array" ref="G242">MAX(INDEX('Relacion '!$AH$5:$AI$493,MATCH(INDEX($B:$B, (ROW()-6)),'Relacion '!$E$5:$E$493,0),0))</f>
        <v>46101</v>
      </c>
      <c r="H242" s="241" t="e" cm="1">
        <f t="array" ref="H242">IF(
 MATCH(B242,{"01. ASIGNACION AREA";"02. MAPEO";"03. DESARROLLO";"04. VALIDA US";"05. VOBO US";"06. BW-EJECUCION";"07. VALIDACIÓN BAJAWARE";"08. CERRADA"},0)
 &lt;
 MATCH(_xlfn.XLOOKUP(INDEX($B:$B, (ROW()-6)),'Relacion '!$E:$E,'Relacion '!$D:$D,""),{"01. ASIGNACION AREA";"02. MAPEO";"03. DESARROLLO";"04. VALIDA US";"05. VOBO US";"06. BW-EJECUCION";"07. VALIDACIÓN BAJAWARE";"08. CERRADA"},0),
 1,
 IF(
  MATCH(B242,{"01. ASIGNACION AREA";"02. MAPEO";"03. DESARROLLO";"04. VALIDA US";"05. VOBO US";"06. BW-EJECUCION";"07. VALIDACIÓN BAJAWARE";"08. CERRADA"},0)
  =
  MATCH(_xlfn.XLOOKUP(INDEX($B:$B, (ROW()-6)),'Relacion '!$E:$E,'Relacion '!$D:$D,""),{"01. ASIGNACION AREA";"02. MAPEO";"03. DESARROLLO";"04. VALIDA US";"05. VOBO US";"06. BW-EJECUCION";"07. VALIDACIÓN BAJAWARE";"08. CERRADA"},0),
  _xlfn.XLOOKUP(INDEX($B:$B, (ROW()-6)),'Relacion '!$E:$E,'Relacion '!#REF!,0),
  0
 )
)</f>
        <v>#REF!</v>
      </c>
      <c r="I242" s="241">
        <f t="shared" ca="1" si="48"/>
        <v>1</v>
      </c>
      <c r="J242" s="241"/>
      <c r="K242" s="241"/>
      <c r="L242" s="238"/>
    </row>
    <row r="243" spans="2:12" outlineLevel="1">
      <c r="B243" s="237" t="s">
        <v>655</v>
      </c>
      <c r="C243" s="237" t="s">
        <v>655</v>
      </c>
      <c r="D243" s="238" t="str">
        <f>_xlfn.XLOOKUP(B243,'Relacion '!$E:$E,'Relacion '!$D:$D,"")</f>
        <v/>
      </c>
      <c r="E243" s="239">
        <f t="shared" si="46"/>
        <v>25</v>
      </c>
      <c r="F243" s="240" cm="1">
        <f t="array" ref="F243">MIN(INDEX('Relacion '!$AJ$5:$AK$493,MATCH(INDEX($B:$B, (ROW()-7)),'Relacion '!$E$5:$E$493,0),0))</f>
        <v>46104</v>
      </c>
      <c r="G243" s="240" cm="1">
        <f t="array" ref="G243">MAX(INDEX('Relacion '!$AJ$5:$AK$493,MATCH(INDEX($B:$B, (ROW()-7)),'Relacion '!$E$5:$E$493,0),0))</f>
        <v>46129</v>
      </c>
      <c r="H243" s="241" cm="1">
        <f t="array" ref="H243">IF(
 MATCH(B243,{"01. ASIGNACION AREA";"02. MAPEO";"03. DESARROLLO";"04. VALIDA US";"05. VOBO US";"06. BW-EJECUCION";"07. VALIDACIÓN BAJAWARE";"08. CERRADA"},0)
 &lt;
 MATCH(_xlfn.XLOOKUP(INDEX($B:$B, (ROW()-7)),'Relacion '!$E:$E,'Relacion '!$D:$D,""),{"01. ASIGNACION AREA";"02. MAPEO";"03. DESARROLLO";"04. VALIDA US";"05. VOBO US";"06. BW-EJECUCION";"07. VALIDACIÓN BAJAWARE";"08. CERRADA"},0),
 1,
 IF(
  MATCH(B243,{"01. ASIGNACION AREA";"02. MAPEO";"03. DESARROLLO";"04. VALIDA US";"05. VOBO US";"06. BW-EJECUCION";"07. VALIDACIÓN BAJAWARE";"08. CERRADA"},0)
  =
  MATCH(_xlfn.XLOOKUP(INDEX($B:$B, (ROW()-7)),'Relacion '!$E:$E,'Relacion '!$D:$D,""),{"01. ASIGNACION AREA";"02. MAPEO";"03. DESARROLLO";"04. VALIDA US";"05. VOBO US";"06. BW-EJECUCION";"07. VALIDACIÓN BAJAWARE";"08. CERRADA"},0),
  _xlfn.XLOOKUP(INDEX($B:$B, (ROW()-7)),'Relacion '!$E:$E,'Relacion '!#REF!,0),
  0
 )
)</f>
        <v>0</v>
      </c>
      <c r="I243" s="241">
        <f t="shared" ca="1" si="48"/>
        <v>1</v>
      </c>
      <c r="J243" s="241"/>
      <c r="K243" s="241"/>
      <c r="L243" s="238"/>
    </row>
    <row r="244" spans="2:12" outlineLevel="1">
      <c r="B244" s="237" t="s">
        <v>656</v>
      </c>
      <c r="C244" s="237" t="s">
        <v>656</v>
      </c>
      <c r="D244" s="238" t="str">
        <f>_xlfn.XLOOKUP(B244,'Relacion '!$E:$E,'Relacion '!$D:$D,"")</f>
        <v/>
      </c>
      <c r="E244" s="239">
        <f t="shared" si="46"/>
        <v>0</v>
      </c>
      <c r="F244" s="240" cm="1">
        <f t="array" ref="F244">MIN(INDEX('Relacion '!$AL$5:$AM$493,MATCH(INDEX($B:$B, (ROW()-8)),'Relacion '!$E$5:$E$493,0),0))</f>
        <v>46130</v>
      </c>
      <c r="G244" s="240" cm="1">
        <f t="array" ref="G244">MAX(INDEX('Relacion '!$AL$5:$AM$493,MATCH(INDEX($B:$B, (ROW()-8)),'Relacion '!$E$5:$E$493,0),0))</f>
        <v>46130</v>
      </c>
      <c r="H244" s="241" cm="1">
        <f t="array" ref="H244">IF(
 MATCH(B244,{"01. ASIGNACION AREA";"02. MAPEO";"03. DESARROLLO";"04. VALIDA US";"05. VOBO US";"06. BW-EJECUCION";"07. VALIDACIÓN BAJAWARE";"08. CERRADA"},0)
 &lt;
 MATCH(_xlfn.XLOOKUP(INDEX($B:$B, (ROW()-8)),'Relacion '!$E:$E,'Relacion '!$D:$D,""),{"01. ASIGNACION AREA";"02. MAPEO";"03. DESARROLLO";"04. VALIDA US";"05. VOBO US";"06. BW-EJECUCION";"07. VALIDACIÓN BAJAWARE";"08. CERRADA"},0),
 1,
 IF(
  MATCH(B244,{"01. ASIGNACION AREA";"02. MAPEO";"03. DESARROLLO";"04. VALIDA US";"05. VOBO US";"06. BW-EJECUCION";"07. VALIDACIÓN BAJAWARE";"08. CERRADA"},0)
  =
  MATCH(_xlfn.XLOOKUP(INDEX($B:$B, (ROW()-8)),'Relacion '!$E:$E,'Relacion '!$D:$D,""),{"01. ASIGNACION AREA";"02. MAPEO";"03. DESARROLLO";"04. VALIDA US";"05. VOBO US";"06. BW-EJECUCION";"07. VALIDACIÓN BAJAWARE";"08. CERRADA"},0),
  _xlfn.XLOOKUP(INDEX($B:$B, (ROW()-8)),'Relacion '!$E:$E,'Relacion '!#REF!,0),
  0
 )
)</f>
        <v>0</v>
      </c>
      <c r="I244" s="241">
        <f t="shared" ca="1" si="48"/>
        <v>1</v>
      </c>
      <c r="J244" s="241"/>
      <c r="K244" s="241"/>
      <c r="L244" s="238"/>
    </row>
    <row r="245" spans="2:12">
      <c r="B245" s="232" t="s">
        <v>441</v>
      </c>
      <c r="C245" s="174" t="s">
        <v>442</v>
      </c>
      <c r="D245" s="236" t="str">
        <f>_xlfn.XLOOKUP(B245,'Relacion '!$E:$E,'Relacion '!$D:$D,"")</f>
        <v>08. CERRADA</v>
      </c>
      <c r="E245" s="233">
        <f t="shared" si="46"/>
        <v>450</v>
      </c>
      <c r="F245" s="234" cm="1">
        <f t="array" ref="F245">MIN(INDEX('Relacion '!$X$5:$AM$493,MATCH(INDEX($B:$B, (ROW()-0)),'Relacion '!$E$5:$E$493,0),0))</f>
        <v>45659</v>
      </c>
      <c r="G245" s="234" cm="1">
        <f t="array" ref="G245">MAX(INDEX('Relacion '!$X$5:$AM$493,MATCH(INDEX($B:$B, (ROW()-0)),'Relacion '!$E$5:$E$493,0),0))</f>
        <v>46109</v>
      </c>
      <c r="H245" s="235" t="e">
        <f>AVERAGE(H246:H253)</f>
        <v>#REF!</v>
      </c>
      <c r="I245" s="235">
        <f t="shared" ref="I245" ca="1" si="57">AVERAGE(I246:I253)</f>
        <v>1</v>
      </c>
      <c r="J245" s="236" t="str">
        <f>IF(ISNUMBER(SEARCH("Rocha", _xlfn.XLOOKUP(B245,'Relacion '!$E:$E,'Relacion '!$I:$I,""))), "Sí", "No")</f>
        <v>No</v>
      </c>
      <c r="K245" s="236" t="str">
        <f>IF(ISNUMBER(SEARCH("Rocha", _xlfn.XLOOKUP(B245,'Relacion '!$E:$E,'Relacion '!$I:$I,""))), "RMC", _xlfn.XLOOKUP(B245,'Relacion '!$E:$E,'Relacion '!$B:$B,""))</f>
        <v>Operaciones Captacion</v>
      </c>
      <c r="L245" s="236" t="str">
        <f>_xlfn.XLOOKUP(B245,'Relacion '!$E:$E,'Relacion '!$C:$C,"")</f>
        <v>Luis Alberto</v>
      </c>
    </row>
    <row r="246" spans="2:12" outlineLevel="1">
      <c r="B246" s="237" t="s">
        <v>654</v>
      </c>
      <c r="C246" s="237" t="s">
        <v>654</v>
      </c>
      <c r="D246" s="238" t="str">
        <f>_xlfn.XLOOKUP(B246,'Relacion '!$E:$E,'Relacion '!$D:$D,"")</f>
        <v/>
      </c>
      <c r="E246" s="239">
        <f t="shared" si="46"/>
        <v>424</v>
      </c>
      <c r="F246" s="240" cm="1">
        <f t="array" ref="F246">MIN(INDEX('Relacion '!$X$5:$Y$493,MATCH(INDEX($B:$B, (ROW()-1)),'Relacion '!$E$5:$E$493,0),0))</f>
        <v>45659</v>
      </c>
      <c r="G246" s="240" cm="1">
        <f t="array" ref="G246">MAX(INDEX('Relacion '!$X$5:$Y$493,MATCH(INDEX($B:$B, (ROW()-1)),'Relacion '!$E$5:$E$493,0),0))</f>
        <v>46083</v>
      </c>
      <c r="H246" s="241" cm="1">
        <f t="array" ref="H246">IF(
 MATCH(B246,{"01. ASIGNACION AREA";"02. MAPEO";"03. DESARROLLO";"04. VALIDA US";"05. VOBO US";"06. BW-EJECUCION";"07. VALIDACIÓN BAJAWARE";"08. CERRADA"},0)
 &lt;
 MATCH(_xlfn.XLOOKUP(INDEX($B:$B, (ROW()-1)),'Relacion '!$E:$E,'Relacion '!$D:$D,""),{"01. ASIGNACION AREA";"02. MAPEO";"03. DESARROLLO";"04. VALIDA US";"05. VOBO US";"06. BW-EJECUCION";"07. VALIDACIÓN BAJAWARE";"08. CERRADA"},0),
 1,
 IF(
  MATCH(B246,{"01. ASIGNACION AREA";"02. MAPEO";"03. DESARROLLO";"04. VALIDA US";"05. VOBO US";"06. BW-EJECUCION";"07. VALIDACIÓN BAJAWARE";"08. CERRADA"},0)
  =
  MATCH(_xlfn.XLOOKUP(INDEX($B:$B, (ROW()-1)),'Relacion '!$E:$E,'Relacion '!$D:$D,""),{"01. ASIGNACION AREA";"02. MAPEO";"03. DESARROLLO";"04. VALIDA US";"05. VOBO US";"06. BW-EJECUCION";"07. VALIDACIÓN BAJAWARE";"08. CERRADA"},0),
  _xlfn.XLOOKUP(INDEX($B:$B, (ROW()-1)),'Relacion '!$E:$E,'Relacion '!#REF!,0),
  0
 )
)</f>
        <v>1</v>
      </c>
      <c r="I246" s="241">
        <f t="shared" ref="I246" ca="1" si="58">IF(G246&lt;=TODAY(), 1, 0)</f>
        <v>1</v>
      </c>
      <c r="J246" s="241"/>
      <c r="K246" s="241"/>
      <c r="L246" s="238"/>
    </row>
    <row r="247" spans="2:12" outlineLevel="1">
      <c r="B247" s="237" t="s">
        <v>195</v>
      </c>
      <c r="C247" s="237" t="s">
        <v>195</v>
      </c>
      <c r="D247" s="238" t="str">
        <f>_xlfn.XLOOKUP(B247,'Relacion '!$E:$E,'Relacion '!$D:$D,"")</f>
        <v/>
      </c>
      <c r="E247" s="239">
        <f t="shared" si="46"/>
        <v>0</v>
      </c>
      <c r="F247" s="240" cm="1">
        <f t="array" ref="F247">MIN(INDEX('Relacion '!$Z$5:$AA$493,MATCH(INDEX($B:$B, (ROW()-2)),'Relacion '!$E$5:$E$493,0),0))</f>
        <v>46108</v>
      </c>
      <c r="G247" s="240" cm="1">
        <f t="array" ref="G247">MAX(INDEX('Relacion '!$Z$5:$AA$493,MATCH(INDEX($B:$B, (ROW()-2)),'Relacion '!$E$5:$E$493,0),0))</f>
        <v>46108</v>
      </c>
      <c r="H247" s="241" cm="1">
        <f t="array" ref="H247">IF(
 MATCH(B247,{"01. ASIGNACION AREA";"02. MAPEO";"03. DESARROLLO";"04. VALIDA US";"05. VOBO US";"06. BW-EJECUCION";"07. VALIDACIÓN BAJAWARE";"08. CERRADA"},0)
 &lt;
 MATCH(_xlfn.XLOOKUP(INDEX($B:$B, (ROW()-2)),'Relacion '!$E:$E,'Relacion '!$D:$D,""),{"01. ASIGNACION AREA";"02. MAPEO";"03. DESARROLLO";"04. VALIDA US";"05. VOBO US";"06. BW-EJECUCION";"07. VALIDACIÓN BAJAWARE";"08. CERRADA"},0),
 1,
 IF(
  MATCH(B247,{"01. ASIGNACION AREA";"02. MAPEO";"03. DESARROLLO";"04. VALIDA US";"05. VOBO US";"06. BW-EJECUCION";"07. VALIDACIÓN BAJAWARE";"08. CERRADA"},0)
  =
  MATCH(_xlfn.XLOOKUP(INDEX($B:$B, (ROW()-2)),'Relacion '!$E:$E,'Relacion '!$D:$D,""),{"01. ASIGNACION AREA";"02. MAPEO";"03. DESARROLLO";"04. VALIDA US";"05. VOBO US";"06. BW-EJECUCION";"07. VALIDACIÓN BAJAWARE";"08. CERRADA"},0),
  _xlfn.XLOOKUP(INDEX($B:$B, (ROW()-2)),'Relacion '!$E:$E,'Relacion '!#REF!,0),
  0
 )
)</f>
        <v>1</v>
      </c>
      <c r="I247" s="241">
        <f t="shared" ca="1" si="48"/>
        <v>1</v>
      </c>
      <c r="J247" s="241"/>
      <c r="K247" s="241"/>
      <c r="L247" s="238"/>
    </row>
    <row r="248" spans="2:12" outlineLevel="1">
      <c r="B248" s="237" t="s">
        <v>49</v>
      </c>
      <c r="C248" s="237" t="s">
        <v>49</v>
      </c>
      <c r="D248" s="238" t="str">
        <f>_xlfn.XLOOKUP(B248,'Relacion '!$E:$E,'Relacion '!$D:$D,"")</f>
        <v/>
      </c>
      <c r="E248" s="239">
        <f t="shared" si="46"/>
        <v>0</v>
      </c>
      <c r="F248" s="240" cm="1">
        <f t="array" ref="F248">MIN(INDEX('Relacion '!$AB$5:$AC$493,MATCH(INDEX($B:$B, (ROW()-3)),'Relacion '!$E$5:$E$493,0),0))</f>
        <v>46108</v>
      </c>
      <c r="G248" s="240" cm="1">
        <f t="array" ref="G248">MAX(INDEX('Relacion '!$AB$5:$AC$493,MATCH(INDEX($B:$B, (ROW()-3)),'Relacion '!$E$5:$E$493,0),0))</f>
        <v>46108</v>
      </c>
      <c r="H248" s="241" cm="1">
        <f t="array" ref="H248">IF(
 MATCH(B248,{"01. ASIGNACION AREA";"02. MAPEO";"03. DESARROLLO";"04. VALIDA US";"05. VOBO US";"06. BW-EJECUCION";"07. VALIDACIÓN BAJAWARE";"08. CERRADA"},0)
 &lt;
 MATCH(_xlfn.XLOOKUP(INDEX($B:$B, (ROW()-3)),'Relacion '!$E:$E,'Relacion '!$D:$D,""),{"01. ASIGNACION AREA";"02. MAPEO";"03. DESARROLLO";"04. VALIDA US";"05. VOBO US";"06. BW-EJECUCION";"07. VALIDACIÓN BAJAWARE";"08. CERRADA"},0),
 1,
 IF(
  MATCH(B248,{"01. ASIGNACION AREA";"02. MAPEO";"03. DESARROLLO";"04. VALIDA US";"05. VOBO US";"06. BW-EJECUCION";"07. VALIDACIÓN BAJAWARE";"08. CERRADA"},0)
  =
  MATCH(_xlfn.XLOOKUP(INDEX($B:$B, (ROW()-3)),'Relacion '!$E:$E,'Relacion '!$D:$D,""),{"01. ASIGNACION AREA";"02. MAPEO";"03. DESARROLLO";"04. VALIDA US";"05. VOBO US";"06. BW-EJECUCION";"07. VALIDACIÓN BAJAWARE";"08. CERRADA"},0),
  _xlfn.XLOOKUP(INDEX($B:$B, (ROW()-3)),'Relacion '!$E:$E,'Relacion '!#REF!,0),
  0
 )
)</f>
        <v>1</v>
      </c>
      <c r="I248" s="241">
        <f t="shared" ca="1" si="48"/>
        <v>1</v>
      </c>
      <c r="J248" s="241"/>
      <c r="K248" s="241"/>
      <c r="L248" s="238"/>
    </row>
    <row r="249" spans="2:12" outlineLevel="1">
      <c r="B249" s="237" t="s">
        <v>324</v>
      </c>
      <c r="C249" s="237" t="s">
        <v>324</v>
      </c>
      <c r="D249" s="238" t="str">
        <f>_xlfn.XLOOKUP(B249,'Relacion '!$E:$E,'Relacion '!$D:$D,"")</f>
        <v/>
      </c>
      <c r="E249" s="239">
        <f t="shared" si="46"/>
        <v>0</v>
      </c>
      <c r="F249" s="240" cm="1">
        <f t="array" ref="F249">MIN(INDEX('Relacion '!$AD$5:$AE$493,MATCH(INDEX($B:$B, (ROW()-4)),'Relacion '!$E$5:$E$493,0),0))</f>
        <v>46108</v>
      </c>
      <c r="G249" s="240" cm="1">
        <f t="array" ref="G249">MAX(INDEX('Relacion '!$AD$5:$AE$493,MATCH(INDEX($B:$B, (ROW()-4)),'Relacion '!$E$5:$E$493,0),0))</f>
        <v>46108</v>
      </c>
      <c r="H249" s="241" cm="1">
        <f t="array" ref="H249">IF(
 MATCH(B249,{"01. ASIGNACION AREA";"02. MAPEO";"03. DESARROLLO";"04. VALIDA US";"05. VOBO US";"06. BW-EJECUCION";"07. VALIDACIÓN BAJAWARE";"08. CERRADA"},0)
 &lt;
 MATCH(_xlfn.XLOOKUP(INDEX($B:$B, (ROW()-4)),'Relacion '!$E:$E,'Relacion '!$D:$D,""),{"01. ASIGNACION AREA";"02. MAPEO";"03. DESARROLLO";"04. VALIDA US";"05. VOBO US";"06. BW-EJECUCION";"07. VALIDACIÓN BAJAWARE";"08. CERRADA"},0),
 1,
 IF(
  MATCH(B249,{"01. ASIGNACION AREA";"02. MAPEO";"03. DESARROLLO";"04. VALIDA US";"05. VOBO US";"06. BW-EJECUCION";"07. VALIDACIÓN BAJAWARE";"08. CERRADA"},0)
  =
  MATCH(_xlfn.XLOOKUP(INDEX($B:$B, (ROW()-4)),'Relacion '!$E:$E,'Relacion '!$D:$D,""),{"01. ASIGNACION AREA";"02. MAPEO";"03. DESARROLLO";"04. VALIDA US";"05. VOBO US";"06. BW-EJECUCION";"07. VALIDACIÓN BAJAWARE";"08. CERRADA"},0),
  _xlfn.XLOOKUP(INDEX($B:$B, (ROW()-4)),'Relacion '!$E:$E,'Relacion '!#REF!,0),
  0
 )
)</f>
        <v>1</v>
      </c>
      <c r="I249" s="241">
        <f t="shared" ca="1" si="48"/>
        <v>1</v>
      </c>
      <c r="J249" s="241"/>
      <c r="K249" s="241"/>
      <c r="L249" s="238"/>
    </row>
    <row r="250" spans="2:12" outlineLevel="1">
      <c r="B250" s="237" t="s">
        <v>320</v>
      </c>
      <c r="C250" s="237" t="s">
        <v>320</v>
      </c>
      <c r="D250" s="238" t="str">
        <f>_xlfn.XLOOKUP(B250,'Relacion '!$E:$E,'Relacion '!$D:$D,"")</f>
        <v/>
      </c>
      <c r="E250" s="239">
        <f t="shared" si="46"/>
        <v>0</v>
      </c>
      <c r="F250" s="240" cm="1">
        <f t="array" ref="F250">MIN(INDEX('Relacion '!$AF$5:$AG$493,MATCH(INDEX($B:$B, (ROW()-5)),'Relacion '!$E$5:$E$493,0),0))</f>
        <v>46108</v>
      </c>
      <c r="G250" s="240" cm="1">
        <f t="array" ref="G250">MAX(INDEX('Relacion '!$AF$5:$AG$493,MATCH(INDEX($B:$B, (ROW()-5)),'Relacion '!$E$5:$E$493,0),0))</f>
        <v>46108</v>
      </c>
      <c r="H250" s="241" cm="1">
        <f t="array" ref="H250">IF(
 MATCH(B250,{"01. ASIGNACION AREA";"02. MAPEO";"03. DESARROLLO";"04. VALIDA US";"05. VOBO US";"06. BW-EJECUCION";"07. VALIDACIÓN BAJAWARE";"08. CERRADA"},0)
 &lt;
 MATCH(_xlfn.XLOOKUP(INDEX($B:$B, (ROW()-5)),'Relacion '!$E:$E,'Relacion '!$D:$D,""),{"01. ASIGNACION AREA";"02. MAPEO";"03. DESARROLLO";"04. VALIDA US";"05. VOBO US";"06. BW-EJECUCION";"07. VALIDACIÓN BAJAWARE";"08. CERRADA"},0),
 1,
 IF(
  MATCH(B250,{"01. ASIGNACION AREA";"02. MAPEO";"03. DESARROLLO";"04. VALIDA US";"05. VOBO US";"06. BW-EJECUCION";"07. VALIDACIÓN BAJAWARE";"08. CERRADA"},0)
  =
  MATCH(_xlfn.XLOOKUP(INDEX($B:$B, (ROW()-5)),'Relacion '!$E:$E,'Relacion '!$D:$D,""),{"01. ASIGNACION AREA";"02. MAPEO";"03. DESARROLLO";"04. VALIDA US";"05. VOBO US";"06. BW-EJECUCION";"07. VALIDACIÓN BAJAWARE";"08. CERRADA"},0),
  _xlfn.XLOOKUP(INDEX($B:$B, (ROW()-5)),'Relacion '!$E:$E,'Relacion '!#REF!,0),
  0
 )
)</f>
        <v>1</v>
      </c>
      <c r="I250" s="241">
        <f t="shared" ca="1" si="48"/>
        <v>1</v>
      </c>
      <c r="J250" s="241"/>
      <c r="K250" s="241"/>
      <c r="L250" s="238"/>
    </row>
    <row r="251" spans="2:12" outlineLevel="1">
      <c r="B251" s="237" t="s">
        <v>710</v>
      </c>
      <c r="C251" s="237" t="s">
        <v>710</v>
      </c>
      <c r="D251" s="238" t="str">
        <f>_xlfn.XLOOKUP(B251,'Relacion '!$E:$E,'Relacion '!$D:$D,"")</f>
        <v/>
      </c>
      <c r="E251" s="239">
        <f t="shared" si="46"/>
        <v>0</v>
      </c>
      <c r="F251" s="240" cm="1">
        <f t="array" ref="F251">MIN(INDEX('Relacion '!$AH$5:$AI$493,MATCH(INDEX($B:$B, (ROW()-6)),'Relacion '!$E$5:$E$493,0),0))</f>
        <v>46108</v>
      </c>
      <c r="G251" s="240" cm="1">
        <f t="array" ref="G251">MAX(INDEX('Relacion '!$AH$5:$AI$493,MATCH(INDEX($B:$B, (ROW()-6)),'Relacion '!$E$5:$E$493,0),0))</f>
        <v>46108</v>
      </c>
      <c r="H251" s="241" cm="1">
        <f t="array" ref="H251">IF(
 MATCH(B251,{"01. ASIGNACION AREA";"02. MAPEO";"03. DESARROLLO";"04. VALIDA US";"05. VOBO US";"06. BW-EJECUCION";"07. VALIDACIÓN BAJAWARE";"08. CERRADA"},0)
 &lt;
 MATCH(_xlfn.XLOOKUP(INDEX($B:$B, (ROW()-6)),'Relacion '!$E:$E,'Relacion '!$D:$D,""),{"01. ASIGNACION AREA";"02. MAPEO";"03. DESARROLLO";"04. VALIDA US";"05. VOBO US";"06. BW-EJECUCION";"07. VALIDACIÓN BAJAWARE";"08. CERRADA"},0),
 1,
 IF(
  MATCH(B251,{"01. ASIGNACION AREA";"02. MAPEO";"03. DESARROLLO";"04. VALIDA US";"05. VOBO US";"06. BW-EJECUCION";"07. VALIDACIÓN BAJAWARE";"08. CERRADA"},0)
  =
  MATCH(_xlfn.XLOOKUP(INDEX($B:$B, (ROW()-6)),'Relacion '!$E:$E,'Relacion '!$D:$D,""),{"01. ASIGNACION AREA";"02. MAPEO";"03. DESARROLLO";"04. VALIDA US";"05. VOBO US";"06. BW-EJECUCION";"07. VALIDACIÓN BAJAWARE";"08. CERRADA"},0),
  _xlfn.XLOOKUP(INDEX($B:$B, (ROW()-6)),'Relacion '!$E:$E,'Relacion '!#REF!,0),
  0
 )
)</f>
        <v>1</v>
      </c>
      <c r="I251" s="241">
        <f t="shared" ca="1" si="48"/>
        <v>1</v>
      </c>
      <c r="J251" s="241"/>
      <c r="K251" s="241"/>
      <c r="L251" s="238"/>
    </row>
    <row r="252" spans="2:12" outlineLevel="1">
      <c r="B252" s="237" t="s">
        <v>655</v>
      </c>
      <c r="C252" s="237" t="s">
        <v>655</v>
      </c>
      <c r="D252" s="238" t="str">
        <f>_xlfn.XLOOKUP(B252,'Relacion '!$E:$E,'Relacion '!$D:$D,"")</f>
        <v/>
      </c>
      <c r="E252" s="239">
        <f t="shared" si="46"/>
        <v>0</v>
      </c>
      <c r="F252" s="240" cm="1">
        <f t="array" ref="F252">MIN(INDEX('Relacion '!$AJ$5:$AK$493,MATCH(INDEX($B:$B, (ROW()-7)),'Relacion '!$E$5:$E$493,0),0))</f>
        <v>46108</v>
      </c>
      <c r="G252" s="240" cm="1">
        <f t="array" ref="G252">MAX(INDEX('Relacion '!$AJ$5:$AK$493,MATCH(INDEX($B:$B, (ROW()-7)),'Relacion '!$E$5:$E$493,0),0))</f>
        <v>46108</v>
      </c>
      <c r="H252" s="241" cm="1">
        <f t="array" ref="H252">IF(
 MATCH(B252,{"01. ASIGNACION AREA";"02. MAPEO";"03. DESARROLLO";"04. VALIDA US";"05. VOBO US";"06. BW-EJECUCION";"07. VALIDACIÓN BAJAWARE";"08. CERRADA"},0)
 &lt;
 MATCH(_xlfn.XLOOKUP(INDEX($B:$B, (ROW()-7)),'Relacion '!$E:$E,'Relacion '!$D:$D,""),{"01. ASIGNACION AREA";"02. MAPEO";"03. DESARROLLO";"04. VALIDA US";"05. VOBO US";"06. BW-EJECUCION";"07. VALIDACIÓN BAJAWARE";"08. CERRADA"},0),
 1,
 IF(
  MATCH(B252,{"01. ASIGNACION AREA";"02. MAPEO";"03. DESARROLLO";"04. VALIDA US";"05. VOBO US";"06. BW-EJECUCION";"07. VALIDACIÓN BAJAWARE";"08. CERRADA"},0)
  =
  MATCH(_xlfn.XLOOKUP(INDEX($B:$B, (ROW()-7)),'Relacion '!$E:$E,'Relacion '!$D:$D,""),{"01. ASIGNACION AREA";"02. MAPEO";"03. DESARROLLO";"04. VALIDA US";"05. VOBO US";"06. BW-EJECUCION";"07. VALIDACIÓN BAJAWARE";"08. CERRADA"},0),
  _xlfn.XLOOKUP(INDEX($B:$B, (ROW()-7)),'Relacion '!$E:$E,'Relacion '!#REF!,0),
  0
 )
)</f>
        <v>1</v>
      </c>
      <c r="I252" s="241">
        <f t="shared" ca="1" si="48"/>
        <v>1</v>
      </c>
      <c r="J252" s="241"/>
      <c r="K252" s="241"/>
      <c r="L252" s="238"/>
    </row>
    <row r="253" spans="2:12" outlineLevel="1">
      <c r="B253" s="237" t="s">
        <v>656</v>
      </c>
      <c r="C253" s="237" t="s">
        <v>656</v>
      </c>
      <c r="D253" s="238" t="str">
        <f>_xlfn.XLOOKUP(B253,'Relacion '!$E:$E,'Relacion '!$D:$D,"")</f>
        <v/>
      </c>
      <c r="E253" s="239">
        <f t="shared" si="46"/>
        <v>0</v>
      </c>
      <c r="F253" s="240" cm="1">
        <f t="array" ref="F253">MIN(INDEX('Relacion '!$AL$5:$AM$493,MATCH(INDEX($B:$B, (ROW()-8)),'Relacion '!$E$5:$E$493,0),0))</f>
        <v>46109</v>
      </c>
      <c r="G253" s="240" cm="1">
        <f t="array" ref="G253">MAX(INDEX('Relacion '!$AL$5:$AM$493,MATCH(INDEX($B:$B, (ROW()-8)),'Relacion '!$E$5:$E$493,0),0))</f>
        <v>46109</v>
      </c>
      <c r="H253" s="241" t="e" cm="1">
        <f t="array" ref="H253">IF(
 MATCH(B253,{"01. ASIGNACION AREA";"02. MAPEO";"03. DESARROLLO";"04. VALIDA US";"05. VOBO US";"06. BW-EJECUCION";"07. VALIDACIÓN BAJAWARE";"08. CERRADA"},0)
 &lt;
 MATCH(_xlfn.XLOOKUP(INDEX($B:$B, (ROW()-8)),'Relacion '!$E:$E,'Relacion '!$D:$D,""),{"01. ASIGNACION AREA";"02. MAPEO";"03. DESARROLLO";"04. VALIDA US";"05. VOBO US";"06. BW-EJECUCION";"07. VALIDACIÓN BAJAWARE";"08. CERRADA"},0),
 1,
 IF(
  MATCH(B253,{"01. ASIGNACION AREA";"02. MAPEO";"03. DESARROLLO";"04. VALIDA US";"05. VOBO US";"06. BW-EJECUCION";"07. VALIDACIÓN BAJAWARE";"08. CERRADA"},0)
  =
  MATCH(_xlfn.XLOOKUP(INDEX($B:$B, (ROW()-8)),'Relacion '!$E:$E,'Relacion '!$D:$D,""),{"01. ASIGNACION AREA";"02. MAPEO";"03. DESARROLLO";"04. VALIDA US";"05. VOBO US";"06. BW-EJECUCION";"07. VALIDACIÓN BAJAWARE";"08. CERRADA"},0),
  _xlfn.XLOOKUP(INDEX($B:$B, (ROW()-8)),'Relacion '!$E:$E,'Relacion '!#REF!,0),
  0
 )
)</f>
        <v>#REF!</v>
      </c>
      <c r="I253" s="241">
        <f t="shared" ca="1" si="48"/>
        <v>1</v>
      </c>
      <c r="J253" s="241"/>
      <c r="K253" s="241"/>
      <c r="L253" s="238"/>
    </row>
    <row r="254" spans="2:12">
      <c r="B254" s="232" t="s">
        <v>269</v>
      </c>
      <c r="C254" s="184" t="s">
        <v>270</v>
      </c>
      <c r="D254" s="236" t="str">
        <f>_xlfn.XLOOKUP(B254,'Relacion '!$E:$E,'Relacion '!$D:$D,"")</f>
        <v>02. MAPEO</v>
      </c>
      <c r="E254" s="233">
        <f t="shared" si="46"/>
        <v>544</v>
      </c>
      <c r="F254" s="234" cm="1">
        <f t="array" ref="F254">MIN(INDEX('Relacion '!$X$5:$AM$493,MATCH(INDEX($B:$B, (ROW()-0)),'Relacion '!$E$5:$E$493,0),0))</f>
        <v>45659</v>
      </c>
      <c r="G254" s="234" cm="1">
        <f t="array" ref="G254">MAX(INDEX('Relacion '!$X$5:$AM$493,MATCH(INDEX($B:$B, (ROW()-0)),'Relacion '!$E$5:$E$493,0),0))</f>
        <v>46203</v>
      </c>
      <c r="H254" s="235" t="e">
        <f>AVERAGE(H255:H262)</f>
        <v>#REF!</v>
      </c>
      <c r="I254" s="235">
        <f t="shared" ref="I254" ca="1" si="59">AVERAGE(I255:I262)</f>
        <v>0.25</v>
      </c>
      <c r="J254" s="236" t="str">
        <f>IF(ISNUMBER(SEARCH("Rocha", _xlfn.XLOOKUP(B254,'Relacion '!$E:$E,'Relacion '!$I:$I,""))), "Sí", "No")</f>
        <v>No</v>
      </c>
      <c r="K254" s="236" t="str">
        <f>IF(ISNUMBER(SEARCH("Rocha", _xlfn.XLOOKUP(B254,'Relacion '!$E:$E,'Relacion '!$I:$I,""))), "RMC", _xlfn.XLOOKUP(B254,'Relacion '!$E:$E,'Relacion '!$B:$B,""))</f>
        <v>UNE</v>
      </c>
      <c r="L254" s="236" t="str">
        <f>_xlfn.XLOOKUP(B254,'Relacion '!$E:$E,'Relacion '!$C:$C,"")</f>
        <v>Martin Roman</v>
      </c>
    </row>
    <row r="255" spans="2:12" outlineLevel="1">
      <c r="B255" s="237" t="s">
        <v>654</v>
      </c>
      <c r="C255" s="237" t="s">
        <v>654</v>
      </c>
      <c r="D255" s="238" t="str">
        <f>_xlfn.XLOOKUP(B255,'Relacion '!$E:$E,'Relacion '!$D:$D,"")</f>
        <v/>
      </c>
      <c r="E255" s="239">
        <f t="shared" si="46"/>
        <v>393</v>
      </c>
      <c r="F255" s="240" cm="1">
        <f t="array" ref="F255">MIN(INDEX('Relacion '!$X$5:$Y$493,MATCH(INDEX($B:$B, (ROW()-1)),'Relacion '!$E$5:$E$493,0),0))</f>
        <v>45659</v>
      </c>
      <c r="G255" s="240" cm="1">
        <f t="array" ref="G255">MAX(INDEX('Relacion '!$X$5:$Y$493,MATCH(INDEX($B:$B, (ROW()-1)),'Relacion '!$E$5:$E$493,0),0))</f>
        <v>46052</v>
      </c>
      <c r="H255" s="241" cm="1">
        <f t="array" ref="H255">IF(
 MATCH(B255,{"01. ASIGNACION AREA";"02. MAPEO";"03. DESARROLLO";"04. VALIDA US";"05. VOBO US";"06. BW-EJECUCION";"07. VALIDACIÓN BAJAWARE";"08. CERRADA"},0)
 &lt;
 MATCH(_xlfn.XLOOKUP(INDEX($B:$B, (ROW()-1)),'Relacion '!$E:$E,'Relacion '!$D:$D,""),{"01. ASIGNACION AREA";"02. MAPEO";"03. DESARROLLO";"04. VALIDA US";"05. VOBO US";"06. BW-EJECUCION";"07. VALIDACIÓN BAJAWARE";"08. CERRADA"},0),
 1,
 IF(
  MATCH(B255,{"01. ASIGNACION AREA";"02. MAPEO";"03. DESARROLLO";"04. VALIDA US";"05. VOBO US";"06. BW-EJECUCION";"07. VALIDACIÓN BAJAWARE";"08. CERRADA"},0)
  =
  MATCH(_xlfn.XLOOKUP(INDEX($B:$B, (ROW()-1)),'Relacion '!$E:$E,'Relacion '!$D:$D,""),{"01. ASIGNACION AREA";"02. MAPEO";"03. DESARROLLO";"04. VALIDA US";"05. VOBO US";"06. BW-EJECUCION";"07. VALIDACIÓN BAJAWARE";"08. CERRADA"},0),
  _xlfn.XLOOKUP(INDEX($B:$B, (ROW()-1)),'Relacion '!$E:$E,'Relacion '!#REF!,0),
  0
 )
)</f>
        <v>1</v>
      </c>
      <c r="I255" s="241">
        <f t="shared" ref="I255" ca="1" si="60">IF(G255&lt;=TODAY(), 1, 0)</f>
        <v>1</v>
      </c>
      <c r="J255" s="241"/>
      <c r="K255" s="241"/>
      <c r="L255" s="238"/>
    </row>
    <row r="256" spans="2:12" outlineLevel="1">
      <c r="B256" s="237" t="s">
        <v>195</v>
      </c>
      <c r="C256" s="237" t="s">
        <v>195</v>
      </c>
      <c r="D256" s="238" t="str">
        <f>_xlfn.XLOOKUP(B256,'Relacion '!$E:$E,'Relacion '!$D:$D,"")</f>
        <v/>
      </c>
      <c r="E256" s="239">
        <f t="shared" si="46"/>
        <v>86</v>
      </c>
      <c r="F256" s="240" cm="1">
        <f t="array" ref="F256">MIN(INDEX('Relacion '!$Z$5:$AA$493,MATCH(INDEX($B:$B, (ROW()-2)),'Relacion '!$E$5:$E$493,0),0))</f>
        <v>46056</v>
      </c>
      <c r="G256" s="240" cm="1">
        <f t="array" ref="G256">MAX(INDEX('Relacion '!$Z$5:$AA$493,MATCH(INDEX($B:$B, (ROW()-2)),'Relacion '!$E$5:$E$493,0),0))</f>
        <v>46142</v>
      </c>
      <c r="H256" s="241" t="e" cm="1">
        <f t="array" ref="H256">IF(
 MATCH(B256,{"01. ASIGNACION AREA";"02. MAPEO";"03. DESARROLLO";"04. VALIDA US";"05. VOBO US";"06. BW-EJECUCION";"07. VALIDACIÓN BAJAWARE";"08. CERRADA"},0)
 &lt;
 MATCH(_xlfn.XLOOKUP(INDEX($B:$B, (ROW()-2)),'Relacion '!$E:$E,'Relacion '!$D:$D,""),{"01. ASIGNACION AREA";"02. MAPEO";"03. DESARROLLO";"04. VALIDA US";"05. VOBO US";"06. BW-EJECUCION";"07. VALIDACIÓN BAJAWARE";"08. CERRADA"},0),
 1,
 IF(
  MATCH(B256,{"01. ASIGNACION AREA";"02. MAPEO";"03. DESARROLLO";"04. VALIDA US";"05. VOBO US";"06. BW-EJECUCION";"07. VALIDACIÓN BAJAWARE";"08. CERRADA"},0)
  =
  MATCH(_xlfn.XLOOKUP(INDEX($B:$B, (ROW()-2)),'Relacion '!$E:$E,'Relacion '!$D:$D,""),{"01. ASIGNACION AREA";"02. MAPEO";"03. DESARROLLO";"04. VALIDA US";"05. VOBO US";"06. BW-EJECUCION";"07. VALIDACIÓN BAJAWARE";"08. CERRADA"},0),
  _xlfn.XLOOKUP(INDEX($B:$B, (ROW()-2)),'Relacion '!$E:$E,'Relacion '!#REF!,0),
  0
 )
)</f>
        <v>#REF!</v>
      </c>
      <c r="I256" s="241">
        <f t="shared" ca="1" si="48"/>
        <v>1</v>
      </c>
      <c r="J256" s="241"/>
      <c r="K256" s="241"/>
      <c r="L256" s="238"/>
    </row>
    <row r="257" spans="2:12" outlineLevel="1">
      <c r="B257" s="237" t="s">
        <v>49</v>
      </c>
      <c r="C257" s="237" t="s">
        <v>49</v>
      </c>
      <c r="D257" s="238" t="str">
        <f>_xlfn.XLOOKUP(B257,'Relacion '!$E:$E,'Relacion '!$D:$D,"")</f>
        <v/>
      </c>
      <c r="E257" s="239">
        <f t="shared" si="46"/>
        <v>39</v>
      </c>
      <c r="F257" s="240" cm="1">
        <f t="array" ref="F257">MIN(INDEX('Relacion '!$AB$5:$AC$493,MATCH(INDEX($B:$B, (ROW()-3)),'Relacion '!$E$5:$E$493,0),0))</f>
        <v>46146</v>
      </c>
      <c r="G257" s="240" cm="1">
        <f t="array" ref="G257">MAX(INDEX('Relacion '!$AB$5:$AC$493,MATCH(INDEX($B:$B, (ROW()-3)),'Relacion '!$E$5:$E$493,0),0))</f>
        <v>46185</v>
      </c>
      <c r="H257" s="241" cm="1">
        <f t="array" ref="H257">IF(
 MATCH(B257,{"01. ASIGNACION AREA";"02. MAPEO";"03. DESARROLLO";"04. VALIDA US";"05. VOBO US";"06. BW-EJECUCION";"07. VALIDACIÓN BAJAWARE";"08. CERRADA"},0)
 &lt;
 MATCH(_xlfn.XLOOKUP(INDEX($B:$B, (ROW()-3)),'Relacion '!$E:$E,'Relacion '!$D:$D,""),{"01. ASIGNACION AREA";"02. MAPEO";"03. DESARROLLO";"04. VALIDA US";"05. VOBO US";"06. BW-EJECUCION";"07. VALIDACIÓN BAJAWARE";"08. CERRADA"},0),
 1,
 IF(
  MATCH(B257,{"01. ASIGNACION AREA";"02. MAPEO";"03. DESARROLLO";"04. VALIDA US";"05. VOBO US";"06. BW-EJECUCION";"07. VALIDACIÓN BAJAWARE";"08. CERRADA"},0)
  =
  MATCH(_xlfn.XLOOKUP(INDEX($B:$B, (ROW()-3)),'Relacion '!$E:$E,'Relacion '!$D:$D,""),{"01. ASIGNACION AREA";"02. MAPEO";"03. DESARROLLO";"04. VALIDA US";"05. VOBO US";"06. BW-EJECUCION";"07. VALIDACIÓN BAJAWARE";"08. CERRADA"},0),
  _xlfn.XLOOKUP(INDEX($B:$B, (ROW()-3)),'Relacion '!$E:$E,'Relacion '!#REF!,0),
  0
 )
)</f>
        <v>0</v>
      </c>
      <c r="I257" s="241">
        <f t="shared" ca="1" si="48"/>
        <v>0</v>
      </c>
      <c r="J257" s="241"/>
      <c r="K257" s="241"/>
      <c r="L257" s="238"/>
    </row>
    <row r="258" spans="2:12" outlineLevel="1">
      <c r="B258" s="237" t="s">
        <v>324</v>
      </c>
      <c r="C258" s="237" t="s">
        <v>324</v>
      </c>
      <c r="D258" s="238" t="str">
        <f>_xlfn.XLOOKUP(B258,'Relacion '!$E:$E,'Relacion '!$D:$D,"")</f>
        <v/>
      </c>
      <c r="E258" s="239">
        <f t="shared" ref="E258:E321" si="61">IF(OR(F258="",G258=""),"",G258-F258)</f>
        <v>3</v>
      </c>
      <c r="F258" s="240" cm="1">
        <f t="array" ref="F258">MIN(INDEX('Relacion '!$AD$5:$AE$493,MATCH(INDEX($B:$B, (ROW()-4)),'Relacion '!$E$5:$E$493,0),0))</f>
        <v>46188</v>
      </c>
      <c r="G258" s="240" cm="1">
        <f t="array" ref="G258">MAX(INDEX('Relacion '!$AD$5:$AE$493,MATCH(INDEX($B:$B, (ROW()-4)),'Relacion '!$E$5:$E$493,0),0))</f>
        <v>46191</v>
      </c>
      <c r="H258" s="241" cm="1">
        <f t="array" ref="H258">IF(
 MATCH(B258,{"01. ASIGNACION AREA";"02. MAPEO";"03. DESARROLLO";"04. VALIDA US";"05. VOBO US";"06. BW-EJECUCION";"07. VALIDACIÓN BAJAWARE";"08. CERRADA"},0)
 &lt;
 MATCH(_xlfn.XLOOKUP(INDEX($B:$B, (ROW()-4)),'Relacion '!$E:$E,'Relacion '!$D:$D,""),{"01. ASIGNACION AREA";"02. MAPEO";"03. DESARROLLO";"04. VALIDA US";"05. VOBO US";"06. BW-EJECUCION";"07. VALIDACIÓN BAJAWARE";"08. CERRADA"},0),
 1,
 IF(
  MATCH(B258,{"01. ASIGNACION AREA";"02. MAPEO";"03. DESARROLLO";"04. VALIDA US";"05. VOBO US";"06. BW-EJECUCION";"07. VALIDACIÓN BAJAWARE";"08. CERRADA"},0)
  =
  MATCH(_xlfn.XLOOKUP(INDEX($B:$B, (ROW()-4)),'Relacion '!$E:$E,'Relacion '!$D:$D,""),{"01. ASIGNACION AREA";"02. MAPEO";"03. DESARROLLO";"04. VALIDA US";"05. VOBO US";"06. BW-EJECUCION";"07. VALIDACIÓN BAJAWARE";"08. CERRADA"},0),
  _xlfn.XLOOKUP(INDEX($B:$B, (ROW()-4)),'Relacion '!$E:$E,'Relacion '!#REF!,0),
  0
 )
)</f>
        <v>0</v>
      </c>
      <c r="I258" s="241">
        <f t="shared" ca="1" si="48"/>
        <v>0</v>
      </c>
      <c r="J258" s="241"/>
      <c r="K258" s="241"/>
      <c r="L258" s="238"/>
    </row>
    <row r="259" spans="2:12" outlineLevel="1">
      <c r="B259" s="237" t="s">
        <v>320</v>
      </c>
      <c r="C259" s="237" t="s">
        <v>320</v>
      </c>
      <c r="D259" s="238" t="str">
        <f>_xlfn.XLOOKUP(B259,'Relacion '!$E:$E,'Relacion '!$D:$D,"")</f>
        <v/>
      </c>
      <c r="E259" s="239">
        <f t="shared" si="61"/>
        <v>3</v>
      </c>
      <c r="F259" s="240" cm="1">
        <f t="array" ref="F259">MIN(INDEX('Relacion '!$AF$5:$AG$493,MATCH(INDEX($B:$B, (ROW()-5)),'Relacion '!$E$5:$E$493,0),0))</f>
        <v>46192</v>
      </c>
      <c r="G259" s="240" cm="1">
        <f t="array" ref="G259">MAX(INDEX('Relacion '!$AF$5:$AG$493,MATCH(INDEX($B:$B, (ROW()-5)),'Relacion '!$E$5:$E$493,0),0))</f>
        <v>46195</v>
      </c>
      <c r="H259" s="241" cm="1">
        <f t="array" ref="H259">IF(
 MATCH(B259,{"01. ASIGNACION AREA";"02. MAPEO";"03. DESARROLLO";"04. VALIDA US";"05. VOBO US";"06. BW-EJECUCION";"07. VALIDACIÓN BAJAWARE";"08. CERRADA"},0)
 &lt;
 MATCH(_xlfn.XLOOKUP(INDEX($B:$B, (ROW()-5)),'Relacion '!$E:$E,'Relacion '!$D:$D,""),{"01. ASIGNACION AREA";"02. MAPEO";"03. DESARROLLO";"04. VALIDA US";"05. VOBO US";"06. BW-EJECUCION";"07. VALIDACIÓN BAJAWARE";"08. CERRADA"},0),
 1,
 IF(
  MATCH(B259,{"01. ASIGNACION AREA";"02. MAPEO";"03. DESARROLLO";"04. VALIDA US";"05. VOBO US";"06. BW-EJECUCION";"07. VALIDACIÓN BAJAWARE";"08. CERRADA"},0)
  =
  MATCH(_xlfn.XLOOKUP(INDEX($B:$B, (ROW()-5)),'Relacion '!$E:$E,'Relacion '!$D:$D,""),{"01. ASIGNACION AREA";"02. MAPEO";"03. DESARROLLO";"04. VALIDA US";"05. VOBO US";"06. BW-EJECUCION";"07. VALIDACIÓN BAJAWARE";"08. CERRADA"},0),
  _xlfn.XLOOKUP(INDEX($B:$B, (ROW()-5)),'Relacion '!$E:$E,'Relacion '!#REF!,0),
  0
 )
)</f>
        <v>0</v>
      </c>
      <c r="I259" s="241">
        <f t="shared" ca="1" si="48"/>
        <v>0</v>
      </c>
      <c r="J259" s="241"/>
      <c r="K259" s="241"/>
      <c r="L259" s="238"/>
    </row>
    <row r="260" spans="2:12" outlineLevel="1">
      <c r="B260" s="237" t="s">
        <v>710</v>
      </c>
      <c r="C260" s="237" t="s">
        <v>710</v>
      </c>
      <c r="D260" s="238" t="str">
        <f>_xlfn.XLOOKUP(B260,'Relacion '!$E:$E,'Relacion '!$D:$D,"")</f>
        <v/>
      </c>
      <c r="E260" s="239">
        <f t="shared" si="61"/>
        <v>29</v>
      </c>
      <c r="F260" s="240" cm="1">
        <f t="array" ref="F260">MIN(INDEX('Relacion '!$AH$5:$AI$493,MATCH(INDEX($B:$B, (ROW()-6)),'Relacion '!$E$5:$E$493,0),0))</f>
        <v>46167</v>
      </c>
      <c r="G260" s="240" cm="1">
        <f t="array" ref="G260">MAX(INDEX('Relacion '!$AH$5:$AI$493,MATCH(INDEX($B:$B, (ROW()-6)),'Relacion '!$E$5:$E$493,0),0))</f>
        <v>46196</v>
      </c>
      <c r="H260" s="241" cm="1">
        <f t="array" ref="H260">IF(
 MATCH(B260,{"01. ASIGNACION AREA";"02. MAPEO";"03. DESARROLLO";"04. VALIDA US";"05. VOBO US";"06. BW-EJECUCION";"07. VALIDACIÓN BAJAWARE";"08. CERRADA"},0)
 &lt;
 MATCH(_xlfn.XLOOKUP(INDEX($B:$B, (ROW()-6)),'Relacion '!$E:$E,'Relacion '!$D:$D,""),{"01. ASIGNACION AREA";"02. MAPEO";"03. DESARROLLO";"04. VALIDA US";"05. VOBO US";"06. BW-EJECUCION";"07. VALIDACIÓN BAJAWARE";"08. CERRADA"},0),
 1,
 IF(
  MATCH(B260,{"01. ASIGNACION AREA";"02. MAPEO";"03. DESARROLLO";"04. VALIDA US";"05. VOBO US";"06. BW-EJECUCION";"07. VALIDACIÓN BAJAWARE";"08. CERRADA"},0)
  =
  MATCH(_xlfn.XLOOKUP(INDEX($B:$B, (ROW()-6)),'Relacion '!$E:$E,'Relacion '!$D:$D,""),{"01. ASIGNACION AREA";"02. MAPEO";"03. DESARROLLO";"04. VALIDA US";"05. VOBO US";"06. BW-EJECUCION";"07. VALIDACIÓN BAJAWARE";"08. CERRADA"},0),
  _xlfn.XLOOKUP(INDEX($B:$B, (ROW()-6)),'Relacion '!$E:$E,'Relacion '!#REF!,0),
  0
 )
)</f>
        <v>0</v>
      </c>
      <c r="I260" s="241">
        <f t="shared" ca="1" si="48"/>
        <v>0</v>
      </c>
      <c r="J260" s="241"/>
      <c r="K260" s="241"/>
      <c r="L260" s="238"/>
    </row>
    <row r="261" spans="2:12" outlineLevel="1">
      <c r="B261" s="237" t="s">
        <v>655</v>
      </c>
      <c r="C261" s="237" t="s">
        <v>655</v>
      </c>
      <c r="D261" s="238" t="str">
        <f>_xlfn.XLOOKUP(B261,'Relacion '!$E:$E,'Relacion '!$D:$D,"")</f>
        <v/>
      </c>
      <c r="E261" s="239">
        <f t="shared" si="61"/>
        <v>3</v>
      </c>
      <c r="F261" s="240" cm="1">
        <f t="array" ref="F261">MIN(INDEX('Relacion '!$AJ$5:$AK$493,MATCH(INDEX($B:$B, (ROW()-7)),'Relacion '!$E$5:$E$493,0),0))</f>
        <v>46168</v>
      </c>
      <c r="G261" s="240" cm="1">
        <f t="array" ref="G261">MAX(INDEX('Relacion '!$AJ$5:$AK$493,MATCH(INDEX($B:$B, (ROW()-7)),'Relacion '!$E$5:$E$493,0),0))</f>
        <v>46171</v>
      </c>
      <c r="H261" s="241" cm="1">
        <f t="array" ref="H261">IF(
 MATCH(B261,{"01. ASIGNACION AREA";"02. MAPEO";"03. DESARROLLO";"04. VALIDA US";"05. VOBO US";"06. BW-EJECUCION";"07. VALIDACIÓN BAJAWARE";"08. CERRADA"},0)
 &lt;
 MATCH(_xlfn.XLOOKUP(INDEX($B:$B, (ROW()-7)),'Relacion '!$E:$E,'Relacion '!$D:$D,""),{"01. ASIGNACION AREA";"02. MAPEO";"03. DESARROLLO";"04. VALIDA US";"05. VOBO US";"06. BW-EJECUCION";"07. VALIDACIÓN BAJAWARE";"08. CERRADA"},0),
 1,
 IF(
  MATCH(B261,{"01. ASIGNACION AREA";"02. MAPEO";"03. DESARROLLO";"04. VALIDA US";"05. VOBO US";"06. BW-EJECUCION";"07. VALIDACIÓN BAJAWARE";"08. CERRADA"},0)
  =
  MATCH(_xlfn.XLOOKUP(INDEX($B:$B, (ROW()-7)),'Relacion '!$E:$E,'Relacion '!$D:$D,""),{"01. ASIGNACION AREA";"02. MAPEO";"03. DESARROLLO";"04. VALIDA US";"05. VOBO US";"06. BW-EJECUCION";"07. VALIDACIÓN BAJAWARE";"08. CERRADA"},0),
  _xlfn.XLOOKUP(INDEX($B:$B, (ROW()-7)),'Relacion '!$E:$E,'Relacion '!#REF!,0),
  0
 )
)</f>
        <v>0</v>
      </c>
      <c r="I261" s="241">
        <f t="shared" ca="1" si="48"/>
        <v>0</v>
      </c>
      <c r="J261" s="241"/>
      <c r="K261" s="241"/>
      <c r="L261" s="238"/>
    </row>
    <row r="262" spans="2:12" outlineLevel="1">
      <c r="B262" s="237" t="s">
        <v>656</v>
      </c>
      <c r="C262" s="237" t="s">
        <v>656</v>
      </c>
      <c r="D262" s="238" t="str">
        <f>_xlfn.XLOOKUP(B262,'Relacion '!$E:$E,'Relacion '!$D:$D,"")</f>
        <v/>
      </c>
      <c r="E262" s="239">
        <f t="shared" si="61"/>
        <v>0</v>
      </c>
      <c r="F262" s="240" cm="1">
        <f t="array" ref="F262">MIN(INDEX('Relacion '!$AL$5:$AM$493,MATCH(INDEX($B:$B, (ROW()-8)),'Relacion '!$E$5:$E$493,0),0))</f>
        <v>46203</v>
      </c>
      <c r="G262" s="240" cm="1">
        <f t="array" ref="G262">MAX(INDEX('Relacion '!$AL$5:$AM$493,MATCH(INDEX($B:$B, (ROW()-8)),'Relacion '!$E$5:$E$493,0),0))</f>
        <v>46203</v>
      </c>
      <c r="H262" s="241" cm="1">
        <f t="array" ref="H262">IF(
 MATCH(B262,{"01. ASIGNACION AREA";"02. MAPEO";"03. DESARROLLO";"04. VALIDA US";"05. VOBO US";"06. BW-EJECUCION";"07. VALIDACIÓN BAJAWARE";"08. CERRADA"},0)
 &lt;
 MATCH(_xlfn.XLOOKUP(INDEX($B:$B, (ROW()-8)),'Relacion '!$E:$E,'Relacion '!$D:$D,""),{"01. ASIGNACION AREA";"02. MAPEO";"03. DESARROLLO";"04. VALIDA US";"05. VOBO US";"06. BW-EJECUCION";"07. VALIDACIÓN BAJAWARE";"08. CERRADA"},0),
 1,
 IF(
  MATCH(B262,{"01. ASIGNACION AREA";"02. MAPEO";"03. DESARROLLO";"04. VALIDA US";"05. VOBO US";"06. BW-EJECUCION";"07. VALIDACIÓN BAJAWARE";"08. CERRADA"},0)
  =
  MATCH(_xlfn.XLOOKUP(INDEX($B:$B, (ROW()-8)),'Relacion '!$E:$E,'Relacion '!$D:$D,""),{"01. ASIGNACION AREA";"02. MAPEO";"03. DESARROLLO";"04. VALIDA US";"05. VOBO US";"06. BW-EJECUCION";"07. VALIDACIÓN BAJAWARE";"08. CERRADA"},0),
  _xlfn.XLOOKUP(INDEX($B:$B, (ROW()-8)),'Relacion '!$E:$E,'Relacion '!#REF!,0),
  0
 )
)</f>
        <v>0</v>
      </c>
      <c r="I262" s="241">
        <f t="shared" ca="1" si="48"/>
        <v>0</v>
      </c>
      <c r="J262" s="241"/>
      <c r="K262" s="241"/>
      <c r="L262" s="238"/>
    </row>
    <row r="263" spans="2:12">
      <c r="B263" s="232" t="s">
        <v>444</v>
      </c>
      <c r="C263" s="184" t="s">
        <v>445</v>
      </c>
      <c r="D263" s="236" t="str">
        <f>_xlfn.XLOOKUP(B263,'Relacion '!$E:$E,'Relacion '!$D:$D,"")</f>
        <v>06. BW-EJECUCION</v>
      </c>
      <c r="E263" s="233">
        <f t="shared" si="61"/>
        <v>106</v>
      </c>
      <c r="F263" s="234" cm="1">
        <f t="array" ref="F263">MIN(INDEX('Relacion '!$X$5:$AM$493,MATCH(INDEX($B:$B, (ROW()-0)),'Relacion '!$E$5:$E$493,0),0))</f>
        <v>46024</v>
      </c>
      <c r="G263" s="234" cm="1">
        <f t="array" ref="G263">MAX(INDEX('Relacion '!$X$5:$AM$493,MATCH(INDEX($B:$B, (ROW()-0)),'Relacion '!$E$5:$E$493,0),0))</f>
        <v>46130</v>
      </c>
      <c r="H263" s="235" t="e">
        <f>AVERAGE(H264:H271)</f>
        <v>#REF!</v>
      </c>
      <c r="I263" s="235">
        <f t="shared" ref="I263" ca="1" si="62">AVERAGE(I264:I271)</f>
        <v>1</v>
      </c>
      <c r="J263" s="236" t="str">
        <f>IF(ISNUMBER(SEARCH("Rocha", _xlfn.XLOOKUP(B263,'Relacion '!$E:$E,'Relacion '!$I:$I,""))), "Sí", "No")</f>
        <v>No</v>
      </c>
      <c r="K263" s="236" t="str">
        <f>IF(ISNUMBER(SEARCH("Rocha", _xlfn.XLOOKUP(B263,'Relacion '!$E:$E,'Relacion '!$I:$I,""))), "RMC", _xlfn.XLOOKUP(B263,'Relacion '!$E:$E,'Relacion '!$B:$B,""))</f>
        <v>Contabilidad</v>
      </c>
      <c r="L263" s="236" t="str">
        <f>_xlfn.XLOOKUP(B263,'Relacion '!$E:$E,'Relacion '!$C:$C,"")</f>
        <v xml:space="preserve">Ramon Jaimes </v>
      </c>
    </row>
    <row r="264" spans="2:12" outlineLevel="1">
      <c r="B264" s="237" t="s">
        <v>654</v>
      </c>
      <c r="C264" s="237" t="s">
        <v>654</v>
      </c>
      <c r="D264" s="238" t="str">
        <f>_xlfn.XLOOKUP(B264,'Relacion '!$E:$E,'Relacion '!$D:$D,"")</f>
        <v/>
      </c>
      <c r="E264" s="239">
        <f t="shared" si="61"/>
        <v>59</v>
      </c>
      <c r="F264" s="240" cm="1">
        <f t="array" ref="F264">MIN(INDEX('Relacion '!$X$5:$Y$493,MATCH(INDEX($B:$B, (ROW()-1)),'Relacion '!$E$5:$E$493,0),0))</f>
        <v>46024</v>
      </c>
      <c r="G264" s="240" cm="1">
        <f t="array" ref="G264">MAX(INDEX('Relacion '!$X$5:$Y$493,MATCH(INDEX($B:$B, (ROW()-1)),'Relacion '!$E$5:$E$493,0),0))</f>
        <v>46083</v>
      </c>
      <c r="H264" s="241" cm="1">
        <f t="array" ref="H264">IF(
 MATCH(B264,{"01. ASIGNACION AREA";"02. MAPEO";"03. DESARROLLO";"04. VALIDA US";"05. VOBO US";"06. BW-EJECUCION";"07. VALIDACIÓN BAJAWARE";"08. CERRADA"},0)
 &lt;
 MATCH(_xlfn.XLOOKUP(INDEX($B:$B, (ROW()-1)),'Relacion '!$E:$E,'Relacion '!$D:$D,""),{"01. ASIGNACION AREA";"02. MAPEO";"03. DESARROLLO";"04. VALIDA US";"05. VOBO US";"06. BW-EJECUCION";"07. VALIDACIÓN BAJAWARE";"08. CERRADA"},0),
 1,
 IF(
  MATCH(B264,{"01. ASIGNACION AREA";"02. MAPEO";"03. DESARROLLO";"04. VALIDA US";"05. VOBO US";"06. BW-EJECUCION";"07. VALIDACIÓN BAJAWARE";"08. CERRADA"},0)
  =
  MATCH(_xlfn.XLOOKUP(INDEX($B:$B, (ROW()-1)),'Relacion '!$E:$E,'Relacion '!$D:$D,""),{"01. ASIGNACION AREA";"02. MAPEO";"03. DESARROLLO";"04. VALIDA US";"05. VOBO US";"06. BW-EJECUCION";"07. VALIDACIÓN BAJAWARE";"08. CERRADA"},0),
  _xlfn.XLOOKUP(INDEX($B:$B, (ROW()-1)),'Relacion '!$E:$E,'Relacion '!#REF!,0),
  0
 )
)</f>
        <v>1</v>
      </c>
      <c r="I264" s="241">
        <f t="shared" ref="I264:I325" ca="1" si="63">IF(G264&lt;=TODAY(), 1, 0)</f>
        <v>1</v>
      </c>
      <c r="J264" s="241"/>
      <c r="K264" s="241"/>
      <c r="L264" s="238"/>
    </row>
    <row r="265" spans="2:12" outlineLevel="1">
      <c r="B265" s="237" t="s">
        <v>195</v>
      </c>
      <c r="C265" s="237" t="s">
        <v>195</v>
      </c>
      <c r="D265" s="238" t="str">
        <f>_xlfn.XLOOKUP(B265,'Relacion '!$E:$E,'Relacion '!$D:$D,"")</f>
        <v/>
      </c>
      <c r="E265" s="239">
        <f t="shared" si="61"/>
        <v>11</v>
      </c>
      <c r="F265" s="240" cm="1">
        <f t="array" ref="F265">MIN(INDEX('Relacion '!$Z$5:$AA$493,MATCH(INDEX($B:$B, (ROW()-2)),'Relacion '!$E$5:$E$493,0),0))</f>
        <v>46041</v>
      </c>
      <c r="G265" s="240" cm="1">
        <f t="array" ref="G265">MAX(INDEX('Relacion '!$Z$5:$AA$493,MATCH(INDEX($B:$B, (ROW()-2)),'Relacion '!$E$5:$E$493,0),0))</f>
        <v>46052</v>
      </c>
      <c r="H265" s="241" cm="1">
        <f t="array" ref="H265">IF(
 MATCH(B265,{"01. ASIGNACION AREA";"02. MAPEO";"03. DESARROLLO";"04. VALIDA US";"05. VOBO US";"06. BW-EJECUCION";"07. VALIDACIÓN BAJAWARE";"08. CERRADA"},0)
 &lt;
 MATCH(_xlfn.XLOOKUP(INDEX($B:$B, (ROW()-2)),'Relacion '!$E:$E,'Relacion '!$D:$D,""),{"01. ASIGNACION AREA";"02. MAPEO";"03. DESARROLLO";"04. VALIDA US";"05. VOBO US";"06. BW-EJECUCION";"07. VALIDACIÓN BAJAWARE";"08. CERRADA"},0),
 1,
 IF(
  MATCH(B265,{"01. ASIGNACION AREA";"02. MAPEO";"03. DESARROLLO";"04. VALIDA US";"05. VOBO US";"06. BW-EJECUCION";"07. VALIDACIÓN BAJAWARE";"08. CERRADA"},0)
  =
  MATCH(_xlfn.XLOOKUP(INDEX($B:$B, (ROW()-2)),'Relacion '!$E:$E,'Relacion '!$D:$D,""),{"01. ASIGNACION AREA";"02. MAPEO";"03. DESARROLLO";"04. VALIDA US";"05. VOBO US";"06. BW-EJECUCION";"07. VALIDACIÓN BAJAWARE";"08. CERRADA"},0),
  _xlfn.XLOOKUP(INDEX($B:$B, (ROW()-2)),'Relacion '!$E:$E,'Relacion '!#REF!,0),
  0
 )
)</f>
        <v>1</v>
      </c>
      <c r="I265" s="241">
        <f t="shared" ca="1" si="63"/>
        <v>1</v>
      </c>
      <c r="J265" s="241"/>
      <c r="K265" s="241"/>
      <c r="L265" s="238"/>
    </row>
    <row r="266" spans="2:12" outlineLevel="1">
      <c r="B266" s="237" t="s">
        <v>49</v>
      </c>
      <c r="C266" s="237" t="s">
        <v>49</v>
      </c>
      <c r="D266" s="238" t="str">
        <f>_xlfn.XLOOKUP(B266,'Relacion '!$E:$E,'Relacion '!$D:$D,"")</f>
        <v/>
      </c>
      <c r="E266" s="239">
        <f t="shared" si="61"/>
        <v>13</v>
      </c>
      <c r="F266" s="240" cm="1">
        <f t="array" ref="F266">MIN(INDEX('Relacion '!$AB$5:$AC$493,MATCH(INDEX($B:$B, (ROW()-3)),'Relacion '!$E$5:$E$493,0),0))</f>
        <v>46056</v>
      </c>
      <c r="G266" s="240" cm="1">
        <f t="array" ref="G266">MAX(INDEX('Relacion '!$AB$5:$AC$493,MATCH(INDEX($B:$B, (ROW()-3)),'Relacion '!$E$5:$E$493,0),0))</f>
        <v>46069</v>
      </c>
      <c r="H266" s="241" cm="1">
        <f t="array" ref="H266">IF(
 MATCH(B266,{"01. ASIGNACION AREA";"02. MAPEO";"03. DESARROLLO";"04. VALIDA US";"05. VOBO US";"06. BW-EJECUCION";"07. VALIDACIÓN BAJAWARE";"08. CERRADA"},0)
 &lt;
 MATCH(_xlfn.XLOOKUP(INDEX($B:$B, (ROW()-3)),'Relacion '!$E:$E,'Relacion '!$D:$D,""),{"01. ASIGNACION AREA";"02. MAPEO";"03. DESARROLLO";"04. VALIDA US";"05. VOBO US";"06. BW-EJECUCION";"07. VALIDACIÓN BAJAWARE";"08. CERRADA"},0),
 1,
 IF(
  MATCH(B266,{"01. ASIGNACION AREA";"02. MAPEO";"03. DESARROLLO";"04. VALIDA US";"05. VOBO US";"06. BW-EJECUCION";"07. VALIDACIÓN BAJAWARE";"08. CERRADA"},0)
  =
  MATCH(_xlfn.XLOOKUP(INDEX($B:$B, (ROW()-3)),'Relacion '!$E:$E,'Relacion '!$D:$D,""),{"01. ASIGNACION AREA";"02. MAPEO";"03. DESARROLLO";"04. VALIDA US";"05. VOBO US";"06. BW-EJECUCION";"07. VALIDACIÓN BAJAWARE";"08. CERRADA"},0),
  _xlfn.XLOOKUP(INDEX($B:$B, (ROW()-3)),'Relacion '!$E:$E,'Relacion '!#REF!,0),
  0
 )
)</f>
        <v>1</v>
      </c>
      <c r="I266" s="241">
        <f t="shared" ca="1" si="63"/>
        <v>1</v>
      </c>
      <c r="J266" s="241"/>
      <c r="K266" s="241"/>
      <c r="L266" s="238"/>
    </row>
    <row r="267" spans="2:12" outlineLevel="1">
      <c r="B267" s="237" t="s">
        <v>324</v>
      </c>
      <c r="C267" s="237" t="s">
        <v>324</v>
      </c>
      <c r="D267" s="238" t="str">
        <f>_xlfn.XLOOKUP(B267,'Relacion '!$E:$E,'Relacion '!$D:$D,"")</f>
        <v/>
      </c>
      <c r="E267" s="239">
        <f t="shared" si="61"/>
        <v>2</v>
      </c>
      <c r="F267" s="240" cm="1">
        <f t="array" ref="F267">MIN(INDEX('Relacion '!$AD$5:$AE$493,MATCH(INDEX($B:$B, (ROW()-4)),'Relacion '!$E$5:$E$493,0),0))</f>
        <v>46070</v>
      </c>
      <c r="G267" s="240" cm="1">
        <f t="array" ref="G267">MAX(INDEX('Relacion '!$AD$5:$AE$493,MATCH(INDEX($B:$B, (ROW()-4)),'Relacion '!$E$5:$E$493,0),0))</f>
        <v>46072</v>
      </c>
      <c r="H267" s="241" cm="1">
        <f t="array" ref="H267">IF(
 MATCH(B267,{"01. ASIGNACION AREA";"02. MAPEO";"03. DESARROLLO";"04. VALIDA US";"05. VOBO US";"06. BW-EJECUCION";"07. VALIDACIÓN BAJAWARE";"08. CERRADA"},0)
 &lt;
 MATCH(_xlfn.XLOOKUP(INDEX($B:$B, (ROW()-4)),'Relacion '!$E:$E,'Relacion '!$D:$D,""),{"01. ASIGNACION AREA";"02. MAPEO";"03. DESARROLLO";"04. VALIDA US";"05. VOBO US";"06. BW-EJECUCION";"07. VALIDACIÓN BAJAWARE";"08. CERRADA"},0),
 1,
 IF(
  MATCH(B267,{"01. ASIGNACION AREA";"02. MAPEO";"03. DESARROLLO";"04. VALIDA US";"05. VOBO US";"06. BW-EJECUCION";"07. VALIDACIÓN BAJAWARE";"08. CERRADA"},0)
  =
  MATCH(_xlfn.XLOOKUP(INDEX($B:$B, (ROW()-4)),'Relacion '!$E:$E,'Relacion '!$D:$D,""),{"01. ASIGNACION AREA";"02. MAPEO";"03. DESARROLLO";"04. VALIDA US";"05. VOBO US";"06. BW-EJECUCION";"07. VALIDACIÓN BAJAWARE";"08. CERRADA"},0),
  _xlfn.XLOOKUP(INDEX($B:$B, (ROW()-4)),'Relacion '!$E:$E,'Relacion '!#REF!,0),
  0
 )
)</f>
        <v>1</v>
      </c>
      <c r="I267" s="241">
        <f t="shared" ca="1" si="63"/>
        <v>1</v>
      </c>
      <c r="J267" s="241"/>
      <c r="K267" s="241"/>
      <c r="L267" s="238"/>
    </row>
    <row r="268" spans="2:12" outlineLevel="1">
      <c r="B268" s="237" t="s">
        <v>320</v>
      </c>
      <c r="C268" s="237" t="s">
        <v>320</v>
      </c>
      <c r="D268" s="238" t="str">
        <f>_xlfn.XLOOKUP(B268,'Relacion '!$E:$E,'Relacion '!$D:$D,"")</f>
        <v/>
      </c>
      <c r="E268" s="239">
        <f t="shared" si="61"/>
        <v>0</v>
      </c>
      <c r="F268" s="240" cm="1">
        <f t="array" ref="F268">MIN(INDEX('Relacion '!$AF$5:$AG$493,MATCH(INDEX($B:$B, (ROW()-5)),'Relacion '!$E$5:$E$493,0),0))</f>
        <v>46073</v>
      </c>
      <c r="G268" s="240" cm="1">
        <f t="array" ref="G268">MAX(INDEX('Relacion '!$AF$5:$AG$493,MATCH(INDEX($B:$B, (ROW()-5)),'Relacion '!$E$5:$E$493,0),0))</f>
        <v>46073</v>
      </c>
      <c r="H268" s="241" cm="1">
        <f t="array" ref="H268">IF(
 MATCH(B268,{"01. ASIGNACION AREA";"02. MAPEO";"03. DESARROLLO";"04. VALIDA US";"05. VOBO US";"06. BW-EJECUCION";"07. VALIDACIÓN BAJAWARE";"08. CERRADA"},0)
 &lt;
 MATCH(_xlfn.XLOOKUP(INDEX($B:$B, (ROW()-5)),'Relacion '!$E:$E,'Relacion '!$D:$D,""),{"01. ASIGNACION AREA";"02. MAPEO";"03. DESARROLLO";"04. VALIDA US";"05. VOBO US";"06. BW-EJECUCION";"07. VALIDACIÓN BAJAWARE";"08. CERRADA"},0),
 1,
 IF(
  MATCH(B268,{"01. ASIGNACION AREA";"02. MAPEO";"03. DESARROLLO";"04. VALIDA US";"05. VOBO US";"06. BW-EJECUCION";"07. VALIDACIÓN BAJAWARE";"08. CERRADA"},0)
  =
  MATCH(_xlfn.XLOOKUP(INDEX($B:$B, (ROW()-5)),'Relacion '!$E:$E,'Relacion '!$D:$D,""),{"01. ASIGNACION AREA";"02. MAPEO";"03. DESARROLLO";"04. VALIDA US";"05. VOBO US";"06. BW-EJECUCION";"07. VALIDACIÓN BAJAWARE";"08. CERRADA"},0),
  _xlfn.XLOOKUP(INDEX($B:$B, (ROW()-5)),'Relacion '!$E:$E,'Relacion '!#REF!,0),
  0
 )
)</f>
        <v>1</v>
      </c>
      <c r="I268" s="241">
        <f t="shared" ca="1" si="63"/>
        <v>1</v>
      </c>
      <c r="J268" s="241"/>
      <c r="K268" s="241"/>
      <c r="L268" s="238"/>
    </row>
    <row r="269" spans="2:12" outlineLevel="1">
      <c r="B269" s="237" t="s">
        <v>710</v>
      </c>
      <c r="C269" s="237" t="s">
        <v>710</v>
      </c>
      <c r="D269" s="238" t="str">
        <f>_xlfn.XLOOKUP(B269,'Relacion '!$E:$E,'Relacion '!$D:$D,"")</f>
        <v/>
      </c>
      <c r="E269" s="239">
        <f t="shared" si="61"/>
        <v>25</v>
      </c>
      <c r="F269" s="240" cm="1">
        <f t="array" ref="F269">MIN(INDEX('Relacion '!$AH$5:$AI$493,MATCH(INDEX($B:$B, (ROW()-6)),'Relacion '!$E$5:$E$493,0),0))</f>
        <v>46076</v>
      </c>
      <c r="G269" s="240" cm="1">
        <f t="array" ref="G269">MAX(INDEX('Relacion '!$AH$5:$AI$493,MATCH(INDEX($B:$B, (ROW()-6)),'Relacion '!$E$5:$E$493,0),0))</f>
        <v>46101</v>
      </c>
      <c r="H269" s="241" t="e" cm="1">
        <f t="array" ref="H269">IF(
 MATCH(B269,{"01. ASIGNACION AREA";"02. MAPEO";"03. DESARROLLO";"04. VALIDA US";"05. VOBO US";"06. BW-EJECUCION";"07. VALIDACIÓN BAJAWARE";"08. CERRADA"},0)
 &lt;
 MATCH(_xlfn.XLOOKUP(INDEX($B:$B, (ROW()-6)),'Relacion '!$E:$E,'Relacion '!$D:$D,""),{"01. ASIGNACION AREA";"02. MAPEO";"03. DESARROLLO";"04. VALIDA US";"05. VOBO US";"06. BW-EJECUCION";"07. VALIDACIÓN BAJAWARE";"08. CERRADA"},0),
 1,
 IF(
  MATCH(B269,{"01. ASIGNACION AREA";"02. MAPEO";"03. DESARROLLO";"04. VALIDA US";"05. VOBO US";"06. BW-EJECUCION";"07. VALIDACIÓN BAJAWARE";"08. CERRADA"},0)
  =
  MATCH(_xlfn.XLOOKUP(INDEX($B:$B, (ROW()-6)),'Relacion '!$E:$E,'Relacion '!$D:$D,""),{"01. ASIGNACION AREA";"02. MAPEO";"03. DESARROLLO";"04. VALIDA US";"05. VOBO US";"06. BW-EJECUCION";"07. VALIDACIÓN BAJAWARE";"08. CERRADA"},0),
  _xlfn.XLOOKUP(INDEX($B:$B, (ROW()-6)),'Relacion '!$E:$E,'Relacion '!#REF!,0),
  0
 )
)</f>
        <v>#REF!</v>
      </c>
      <c r="I269" s="241">
        <f t="shared" ca="1" si="63"/>
        <v>1</v>
      </c>
      <c r="J269" s="241"/>
      <c r="K269" s="241"/>
      <c r="L269" s="238"/>
    </row>
    <row r="270" spans="2:12" outlineLevel="1">
      <c r="B270" s="237" t="s">
        <v>655</v>
      </c>
      <c r="C270" s="237" t="s">
        <v>655</v>
      </c>
      <c r="D270" s="238" t="str">
        <f>_xlfn.XLOOKUP(B270,'Relacion '!$E:$E,'Relacion '!$D:$D,"")</f>
        <v/>
      </c>
      <c r="E270" s="239">
        <f t="shared" si="61"/>
        <v>25</v>
      </c>
      <c r="F270" s="240" cm="1">
        <f t="array" ref="F270">MIN(INDEX('Relacion '!$AJ$5:$AK$493,MATCH(INDEX($B:$B, (ROW()-7)),'Relacion '!$E$5:$E$493,0),0))</f>
        <v>46104</v>
      </c>
      <c r="G270" s="240" cm="1">
        <f t="array" ref="G270">MAX(INDEX('Relacion '!$AJ$5:$AK$493,MATCH(INDEX($B:$B, (ROW()-7)),'Relacion '!$E$5:$E$493,0),0))</f>
        <v>46129</v>
      </c>
      <c r="H270" s="241" cm="1">
        <f t="array" ref="H270">IF(
 MATCH(B270,{"01. ASIGNACION AREA";"02. MAPEO";"03. DESARROLLO";"04. VALIDA US";"05. VOBO US";"06. BW-EJECUCION";"07. VALIDACIÓN BAJAWARE";"08. CERRADA"},0)
 &lt;
 MATCH(_xlfn.XLOOKUP(INDEX($B:$B, (ROW()-7)),'Relacion '!$E:$E,'Relacion '!$D:$D,""),{"01. ASIGNACION AREA";"02. MAPEO";"03. DESARROLLO";"04. VALIDA US";"05. VOBO US";"06. BW-EJECUCION";"07. VALIDACIÓN BAJAWARE";"08. CERRADA"},0),
 1,
 IF(
  MATCH(B270,{"01. ASIGNACION AREA";"02. MAPEO";"03. DESARROLLO";"04. VALIDA US";"05. VOBO US";"06. BW-EJECUCION";"07. VALIDACIÓN BAJAWARE";"08. CERRADA"},0)
  =
  MATCH(_xlfn.XLOOKUP(INDEX($B:$B, (ROW()-7)),'Relacion '!$E:$E,'Relacion '!$D:$D,""),{"01. ASIGNACION AREA";"02. MAPEO";"03. DESARROLLO";"04. VALIDA US";"05. VOBO US";"06. BW-EJECUCION";"07. VALIDACIÓN BAJAWARE";"08. CERRADA"},0),
  _xlfn.XLOOKUP(INDEX($B:$B, (ROW()-7)),'Relacion '!$E:$E,'Relacion '!#REF!,0),
  0
 )
)</f>
        <v>0</v>
      </c>
      <c r="I270" s="241">
        <f t="shared" ca="1" si="63"/>
        <v>1</v>
      </c>
      <c r="J270" s="241"/>
      <c r="K270" s="241"/>
      <c r="L270" s="238"/>
    </row>
    <row r="271" spans="2:12" outlineLevel="1">
      <c r="B271" s="237" t="s">
        <v>656</v>
      </c>
      <c r="C271" s="237" t="s">
        <v>656</v>
      </c>
      <c r="D271" s="238" t="str">
        <f>_xlfn.XLOOKUP(B271,'Relacion '!$E:$E,'Relacion '!$D:$D,"")</f>
        <v/>
      </c>
      <c r="E271" s="239">
        <f t="shared" si="61"/>
        <v>0</v>
      </c>
      <c r="F271" s="240" cm="1">
        <f t="array" ref="F271">MIN(INDEX('Relacion '!$AL$5:$AM$493,MATCH(INDEX($B:$B, (ROW()-8)),'Relacion '!$E$5:$E$493,0),0))</f>
        <v>46130</v>
      </c>
      <c r="G271" s="240" cm="1">
        <f t="array" ref="G271">MAX(INDEX('Relacion '!$AL$5:$AM$493,MATCH(INDEX($B:$B, (ROW()-8)),'Relacion '!$E$5:$E$493,0),0))</f>
        <v>46130</v>
      </c>
      <c r="H271" s="241" cm="1">
        <f t="array" ref="H271">IF(
 MATCH(B271,{"01. ASIGNACION AREA";"02. MAPEO";"03. DESARROLLO";"04. VALIDA US";"05. VOBO US";"06. BW-EJECUCION";"07. VALIDACIÓN BAJAWARE";"08. CERRADA"},0)
 &lt;
 MATCH(_xlfn.XLOOKUP(INDEX($B:$B, (ROW()-8)),'Relacion '!$E:$E,'Relacion '!$D:$D,""),{"01. ASIGNACION AREA";"02. MAPEO";"03. DESARROLLO";"04. VALIDA US";"05. VOBO US";"06. BW-EJECUCION";"07. VALIDACIÓN BAJAWARE";"08. CERRADA"},0),
 1,
 IF(
  MATCH(B271,{"01. ASIGNACION AREA";"02. MAPEO";"03. DESARROLLO";"04. VALIDA US";"05. VOBO US";"06. BW-EJECUCION";"07. VALIDACIÓN BAJAWARE";"08. CERRADA"},0)
  =
  MATCH(_xlfn.XLOOKUP(INDEX($B:$B, (ROW()-8)),'Relacion '!$E:$E,'Relacion '!$D:$D,""),{"01. ASIGNACION AREA";"02. MAPEO";"03. DESARROLLO";"04. VALIDA US";"05. VOBO US";"06. BW-EJECUCION";"07. VALIDACIÓN BAJAWARE";"08. CERRADA"},0),
  _xlfn.XLOOKUP(INDEX($B:$B, (ROW()-8)),'Relacion '!$E:$E,'Relacion '!#REF!,0),
  0
 )
)</f>
        <v>0</v>
      </c>
      <c r="I271" s="241">
        <f t="shared" ca="1" si="63"/>
        <v>1</v>
      </c>
      <c r="J271" s="241"/>
      <c r="K271" s="241"/>
      <c r="L271" s="238"/>
    </row>
    <row r="272" spans="2:12">
      <c r="B272" s="232" t="s">
        <v>272</v>
      </c>
      <c r="C272" s="176" t="s">
        <v>273</v>
      </c>
      <c r="D272" s="236" t="str">
        <f>_xlfn.XLOOKUP(B272,'Relacion '!$E:$E,'Relacion '!$D:$D,"")</f>
        <v>02. MAPEO</v>
      </c>
      <c r="E272" s="233">
        <f t="shared" si="61"/>
        <v>158</v>
      </c>
      <c r="F272" s="234" cm="1">
        <f t="array" ref="F272">MIN(INDEX('Relacion '!$X$5:$AM$493,MATCH(INDEX($B:$B, (ROW()-0)),'Relacion '!$E$5:$E$493,0),0))</f>
        <v>46024</v>
      </c>
      <c r="G272" s="234" cm="1">
        <f t="array" ref="G272">MAX(INDEX('Relacion '!$X$5:$AM$493,MATCH(INDEX($B:$B, (ROW()-0)),'Relacion '!$E$5:$E$493,0),0))</f>
        <v>46182</v>
      </c>
      <c r="H272" s="235" t="e">
        <f>AVERAGE(H273:H280)</f>
        <v>#REF!</v>
      </c>
      <c r="I272" s="235">
        <f t="shared" ref="I272" ca="1" si="64">AVERAGE(I273:I280)</f>
        <v>0.75</v>
      </c>
      <c r="J272" s="236" t="str">
        <f>IF(ISNUMBER(SEARCH("Rocha", _xlfn.XLOOKUP(B272,'Relacion '!$E:$E,'Relacion '!$I:$I,""))), "Sí", "No")</f>
        <v>No</v>
      </c>
      <c r="K272" s="236" t="str">
        <f>IF(ISNUMBER(SEARCH("Rocha", _xlfn.XLOOKUP(B272,'Relacion '!$E:$E,'Relacion '!$I:$I,""))), "RMC", _xlfn.XLOOKUP(B272,'Relacion '!$E:$E,'Relacion '!$B:$B,""))</f>
        <v>Riesgos</v>
      </c>
      <c r="L272" s="236" t="str">
        <f>_xlfn.XLOOKUP(B272,'Relacion '!$E:$E,'Relacion '!$C:$C,"")</f>
        <v>Homero Sanchez</v>
      </c>
    </row>
    <row r="273" spans="2:12" outlineLevel="1">
      <c r="B273" s="237" t="s">
        <v>654</v>
      </c>
      <c r="C273" s="237" t="s">
        <v>654</v>
      </c>
      <c r="D273" s="238" t="str">
        <f>_xlfn.XLOOKUP(B273,'Relacion '!$E:$E,'Relacion '!$D:$D,"")</f>
        <v/>
      </c>
      <c r="E273" s="239">
        <f t="shared" si="61"/>
        <v>14</v>
      </c>
      <c r="F273" s="240" cm="1">
        <f t="array" ref="F273">MIN(INDEX('Relacion '!$X$5:$Y$493,MATCH(INDEX($B:$B, (ROW()-1)),'Relacion '!$E$5:$E$493,0),0))</f>
        <v>46024</v>
      </c>
      <c r="G273" s="240" cm="1">
        <f t="array" ref="G273">MAX(INDEX('Relacion '!$X$5:$Y$493,MATCH(INDEX($B:$B, (ROW()-1)),'Relacion '!$E$5:$E$493,0),0))</f>
        <v>46038</v>
      </c>
      <c r="H273" s="241" cm="1">
        <f t="array" ref="H273">IF(
 MATCH(B273,{"01. ASIGNACION AREA";"02. MAPEO";"03. DESARROLLO";"04. VALIDA US";"05. VOBO US";"06. BW-EJECUCION";"07. VALIDACIÓN BAJAWARE";"08. CERRADA"},0)
 &lt;
 MATCH(_xlfn.XLOOKUP(INDEX($B:$B, (ROW()-1)),'Relacion '!$E:$E,'Relacion '!$D:$D,""),{"01. ASIGNACION AREA";"02. MAPEO";"03. DESARROLLO";"04. VALIDA US";"05. VOBO US";"06. BW-EJECUCION";"07. VALIDACIÓN BAJAWARE";"08. CERRADA"},0),
 1,
 IF(
  MATCH(B273,{"01. ASIGNACION AREA";"02. MAPEO";"03. DESARROLLO";"04. VALIDA US";"05. VOBO US";"06. BW-EJECUCION";"07. VALIDACIÓN BAJAWARE";"08. CERRADA"},0)
  =
  MATCH(_xlfn.XLOOKUP(INDEX($B:$B, (ROW()-1)),'Relacion '!$E:$E,'Relacion '!$D:$D,""),{"01. ASIGNACION AREA";"02. MAPEO";"03. DESARROLLO";"04. VALIDA US";"05. VOBO US";"06. BW-EJECUCION";"07. VALIDACIÓN BAJAWARE";"08. CERRADA"},0),
  _xlfn.XLOOKUP(INDEX($B:$B, (ROW()-1)),'Relacion '!$E:$E,'Relacion '!#REF!,0),
  0
 )
)</f>
        <v>1</v>
      </c>
      <c r="I273" s="241">
        <f t="shared" ref="I273" ca="1" si="65">IF(G273&lt;=TODAY(), 1, 0)</f>
        <v>1</v>
      </c>
      <c r="J273" s="241"/>
      <c r="K273" s="241"/>
      <c r="L273" s="238"/>
    </row>
    <row r="274" spans="2:12" outlineLevel="1">
      <c r="B274" s="237" t="s">
        <v>195</v>
      </c>
      <c r="C274" s="237" t="s">
        <v>195</v>
      </c>
      <c r="D274" s="238" t="str">
        <f>_xlfn.XLOOKUP(B274,'Relacion '!$E:$E,'Relacion '!$D:$D,"")</f>
        <v/>
      </c>
      <c r="E274" s="239">
        <f t="shared" si="61"/>
        <v>86</v>
      </c>
      <c r="F274" s="240" cm="1">
        <f t="array" ref="F274">MIN(INDEX('Relacion '!$Z$5:$AA$493,MATCH(INDEX($B:$B, (ROW()-2)),'Relacion '!$E$5:$E$493,0),0))</f>
        <v>46041</v>
      </c>
      <c r="G274" s="240" cm="1">
        <f t="array" ref="G274">MAX(INDEX('Relacion '!$Z$5:$AA$493,MATCH(INDEX($B:$B, (ROW()-2)),'Relacion '!$E$5:$E$493,0),0))</f>
        <v>46127</v>
      </c>
      <c r="H274" s="241" t="e" cm="1">
        <f t="array" ref="H274">IF(
 MATCH(B274,{"01. ASIGNACION AREA";"02. MAPEO";"03. DESARROLLO";"04. VALIDA US";"05. VOBO US";"06. BW-EJECUCION";"07. VALIDACIÓN BAJAWARE";"08. CERRADA"},0)
 &lt;
 MATCH(_xlfn.XLOOKUP(INDEX($B:$B, (ROW()-2)),'Relacion '!$E:$E,'Relacion '!$D:$D,""),{"01. ASIGNACION AREA";"02. MAPEO";"03. DESARROLLO";"04. VALIDA US";"05. VOBO US";"06. BW-EJECUCION";"07. VALIDACIÓN BAJAWARE";"08. CERRADA"},0),
 1,
 IF(
  MATCH(B274,{"01. ASIGNACION AREA";"02. MAPEO";"03. DESARROLLO";"04. VALIDA US";"05. VOBO US";"06. BW-EJECUCION";"07. VALIDACIÓN BAJAWARE";"08. CERRADA"},0)
  =
  MATCH(_xlfn.XLOOKUP(INDEX($B:$B, (ROW()-2)),'Relacion '!$E:$E,'Relacion '!$D:$D,""),{"01. ASIGNACION AREA";"02. MAPEO";"03. DESARROLLO";"04. VALIDA US";"05. VOBO US";"06. BW-EJECUCION";"07. VALIDACIÓN BAJAWARE";"08. CERRADA"},0),
  _xlfn.XLOOKUP(INDEX($B:$B, (ROW()-2)),'Relacion '!$E:$E,'Relacion '!#REF!,0),
  0
 )
)</f>
        <v>#REF!</v>
      </c>
      <c r="I274" s="241">
        <f t="shared" ca="1" si="63"/>
        <v>1</v>
      </c>
      <c r="J274" s="241"/>
      <c r="K274" s="241"/>
      <c r="L274" s="238"/>
    </row>
    <row r="275" spans="2:12" outlineLevel="1">
      <c r="B275" s="237" t="s">
        <v>49</v>
      </c>
      <c r="C275" s="237" t="s">
        <v>49</v>
      </c>
      <c r="D275" s="238" t="str">
        <f>_xlfn.XLOOKUP(B275,'Relacion '!$E:$E,'Relacion '!$D:$D,"")</f>
        <v/>
      </c>
      <c r="E275" s="239">
        <f t="shared" si="61"/>
        <v>14</v>
      </c>
      <c r="F275" s="240" cm="1">
        <f t="array" ref="F275">MIN(INDEX('Relacion '!$AB$5:$AC$493,MATCH(INDEX($B:$B, (ROW()-3)),'Relacion '!$E$5:$E$493,0),0))</f>
        <v>46128</v>
      </c>
      <c r="G275" s="240" cm="1">
        <f t="array" ref="G275">MAX(INDEX('Relacion '!$AB$5:$AC$493,MATCH(INDEX($B:$B, (ROW()-3)),'Relacion '!$E$5:$E$493,0),0))</f>
        <v>46142</v>
      </c>
      <c r="H275" s="241" cm="1">
        <f t="array" ref="H275">IF(
 MATCH(B275,{"01. ASIGNACION AREA";"02. MAPEO";"03. DESARROLLO";"04. VALIDA US";"05. VOBO US";"06. BW-EJECUCION";"07. VALIDACIÓN BAJAWARE";"08. CERRADA"},0)
 &lt;
 MATCH(_xlfn.XLOOKUP(INDEX($B:$B, (ROW()-3)),'Relacion '!$E:$E,'Relacion '!$D:$D,""),{"01. ASIGNACION AREA";"02. MAPEO";"03. DESARROLLO";"04. VALIDA US";"05. VOBO US";"06. BW-EJECUCION";"07. VALIDACIÓN BAJAWARE";"08. CERRADA"},0),
 1,
 IF(
  MATCH(B275,{"01. ASIGNACION AREA";"02. MAPEO";"03. DESARROLLO";"04. VALIDA US";"05. VOBO US";"06. BW-EJECUCION";"07. VALIDACIÓN BAJAWARE";"08. CERRADA"},0)
  =
  MATCH(_xlfn.XLOOKUP(INDEX($B:$B, (ROW()-3)),'Relacion '!$E:$E,'Relacion '!$D:$D,""),{"01. ASIGNACION AREA";"02. MAPEO";"03. DESARROLLO";"04. VALIDA US";"05. VOBO US";"06. BW-EJECUCION";"07. VALIDACIÓN BAJAWARE";"08. CERRADA"},0),
  _xlfn.XLOOKUP(INDEX($B:$B, (ROW()-3)),'Relacion '!$E:$E,'Relacion '!#REF!,0),
  0
 )
)</f>
        <v>0</v>
      </c>
      <c r="I275" s="241">
        <f t="shared" ca="1" si="63"/>
        <v>1</v>
      </c>
      <c r="J275" s="241"/>
      <c r="K275" s="241"/>
      <c r="L275" s="238"/>
    </row>
    <row r="276" spans="2:12" outlineLevel="1">
      <c r="B276" s="237" t="s">
        <v>324</v>
      </c>
      <c r="C276" s="237" t="s">
        <v>324</v>
      </c>
      <c r="D276" s="238" t="str">
        <f>_xlfn.XLOOKUP(B276,'Relacion '!$E:$E,'Relacion '!$D:$D,"")</f>
        <v/>
      </c>
      <c r="E276" s="239">
        <f t="shared" si="61"/>
        <v>11</v>
      </c>
      <c r="F276" s="240" cm="1">
        <f t="array" ref="F276">MIN(INDEX('Relacion '!$AD$5:$AE$493,MATCH(INDEX($B:$B, (ROW()-4)),'Relacion '!$E$5:$E$493,0),0))</f>
        <v>46146</v>
      </c>
      <c r="G276" s="240" cm="1">
        <f t="array" ref="G276">MAX(INDEX('Relacion '!$AD$5:$AE$493,MATCH(INDEX($B:$B, (ROW()-4)),'Relacion '!$E$5:$E$493,0),0))</f>
        <v>46157</v>
      </c>
      <c r="H276" s="241" cm="1">
        <f t="array" ref="H276">IF(
 MATCH(B276,{"01. ASIGNACION AREA";"02. MAPEO";"03. DESARROLLO";"04. VALIDA US";"05. VOBO US";"06. BW-EJECUCION";"07. VALIDACIÓN BAJAWARE";"08. CERRADA"},0)
 &lt;
 MATCH(_xlfn.XLOOKUP(INDEX($B:$B, (ROW()-4)),'Relacion '!$E:$E,'Relacion '!$D:$D,""),{"01. ASIGNACION AREA";"02. MAPEO";"03. DESARROLLO";"04. VALIDA US";"05. VOBO US";"06. BW-EJECUCION";"07. VALIDACIÓN BAJAWARE";"08. CERRADA"},0),
 1,
 IF(
  MATCH(B276,{"01. ASIGNACION AREA";"02. MAPEO";"03. DESARROLLO";"04. VALIDA US";"05. VOBO US";"06. BW-EJECUCION";"07. VALIDACIÓN BAJAWARE";"08. CERRADA"},0)
  =
  MATCH(_xlfn.XLOOKUP(INDEX($B:$B, (ROW()-4)),'Relacion '!$E:$E,'Relacion '!$D:$D,""),{"01. ASIGNACION AREA";"02. MAPEO";"03. DESARROLLO";"04. VALIDA US";"05. VOBO US";"06. BW-EJECUCION";"07. VALIDACIÓN BAJAWARE";"08. CERRADA"},0),
  _xlfn.XLOOKUP(INDEX($B:$B, (ROW()-4)),'Relacion '!$E:$E,'Relacion '!#REF!,0),
  0
 )
)</f>
        <v>0</v>
      </c>
      <c r="I276" s="241">
        <f t="shared" ca="1" si="63"/>
        <v>1</v>
      </c>
      <c r="J276" s="241"/>
      <c r="K276" s="241"/>
      <c r="L276" s="238"/>
    </row>
    <row r="277" spans="2:12" outlineLevel="1">
      <c r="B277" s="237" t="s">
        <v>320</v>
      </c>
      <c r="C277" s="237" t="s">
        <v>320</v>
      </c>
      <c r="D277" s="238" t="str">
        <f>_xlfn.XLOOKUP(B277,'Relacion '!$E:$E,'Relacion '!$D:$D,"")</f>
        <v/>
      </c>
      <c r="E277" s="239">
        <f t="shared" si="61"/>
        <v>3</v>
      </c>
      <c r="F277" s="240" cm="1">
        <f t="array" ref="F277">MIN(INDEX('Relacion '!$AF$5:$AG$493,MATCH(INDEX($B:$B, (ROW()-5)),'Relacion '!$E$5:$E$493,0),0))</f>
        <v>46157</v>
      </c>
      <c r="G277" s="240" cm="1">
        <f t="array" ref="G277">MAX(INDEX('Relacion '!$AF$5:$AG$493,MATCH(INDEX($B:$B, (ROW()-5)),'Relacion '!$E$5:$E$493,0),0))</f>
        <v>46160</v>
      </c>
      <c r="H277" s="241" cm="1">
        <f t="array" ref="H277">IF(
 MATCH(B277,{"01. ASIGNACION AREA";"02. MAPEO";"03. DESARROLLO";"04. VALIDA US";"05. VOBO US";"06. BW-EJECUCION";"07. VALIDACIÓN BAJAWARE";"08. CERRADA"},0)
 &lt;
 MATCH(_xlfn.XLOOKUP(INDEX($B:$B, (ROW()-5)),'Relacion '!$E:$E,'Relacion '!$D:$D,""),{"01. ASIGNACION AREA";"02. MAPEO";"03. DESARROLLO";"04. VALIDA US";"05. VOBO US";"06. BW-EJECUCION";"07. VALIDACIÓN BAJAWARE";"08. CERRADA"},0),
 1,
 IF(
  MATCH(B277,{"01. ASIGNACION AREA";"02. MAPEO";"03. DESARROLLO";"04. VALIDA US";"05. VOBO US";"06. BW-EJECUCION";"07. VALIDACIÓN BAJAWARE";"08. CERRADA"},0)
  =
  MATCH(_xlfn.XLOOKUP(INDEX($B:$B, (ROW()-5)),'Relacion '!$E:$E,'Relacion '!$D:$D,""),{"01. ASIGNACION AREA";"02. MAPEO";"03. DESARROLLO";"04. VALIDA US";"05. VOBO US";"06. BW-EJECUCION";"07. VALIDACIÓN BAJAWARE";"08. CERRADA"},0),
  _xlfn.XLOOKUP(INDEX($B:$B, (ROW()-5)),'Relacion '!$E:$E,'Relacion '!#REF!,0),
  0
 )
)</f>
        <v>0</v>
      </c>
      <c r="I277" s="241">
        <f t="shared" ca="1" si="63"/>
        <v>1</v>
      </c>
      <c r="J277" s="241"/>
      <c r="K277" s="241"/>
      <c r="L277" s="238"/>
    </row>
    <row r="278" spans="2:12" outlineLevel="1">
      <c r="B278" s="237" t="s">
        <v>710</v>
      </c>
      <c r="C278" s="237" t="s">
        <v>710</v>
      </c>
      <c r="D278" s="238" t="str">
        <f>_xlfn.XLOOKUP(B278,'Relacion '!$E:$E,'Relacion '!$D:$D,"")</f>
        <v/>
      </c>
      <c r="E278" s="239">
        <f t="shared" si="61"/>
        <v>2</v>
      </c>
      <c r="F278" s="240" cm="1">
        <f t="array" ref="F278">MIN(INDEX('Relacion '!$AH$5:$AI$493,MATCH(INDEX($B:$B, (ROW()-6)),'Relacion '!$E$5:$E$493,0),0))</f>
        <v>46161</v>
      </c>
      <c r="G278" s="240" cm="1">
        <f t="array" ref="G278">MAX(INDEX('Relacion '!$AH$5:$AI$493,MATCH(INDEX($B:$B, (ROW()-6)),'Relacion '!$E$5:$E$493,0),0))</f>
        <v>46163</v>
      </c>
      <c r="H278" s="241" cm="1">
        <f t="array" ref="H278">IF(
 MATCH(B278,{"01. ASIGNACION AREA";"02. MAPEO";"03. DESARROLLO";"04. VALIDA US";"05. VOBO US";"06. BW-EJECUCION";"07. VALIDACIÓN BAJAWARE";"08. CERRADA"},0)
 &lt;
 MATCH(_xlfn.XLOOKUP(INDEX($B:$B, (ROW()-6)),'Relacion '!$E:$E,'Relacion '!$D:$D,""),{"01. ASIGNACION AREA";"02. MAPEO";"03. DESARROLLO";"04. VALIDA US";"05. VOBO US";"06. BW-EJECUCION";"07. VALIDACIÓN BAJAWARE";"08. CERRADA"},0),
 1,
 IF(
  MATCH(B278,{"01. ASIGNACION AREA";"02. MAPEO";"03. DESARROLLO";"04. VALIDA US";"05. VOBO US";"06. BW-EJECUCION";"07. VALIDACIÓN BAJAWARE";"08. CERRADA"},0)
  =
  MATCH(_xlfn.XLOOKUP(INDEX($B:$B, (ROW()-6)),'Relacion '!$E:$E,'Relacion '!$D:$D,""),{"01. ASIGNACION AREA";"02. MAPEO";"03. DESARROLLO";"04. VALIDA US";"05. VOBO US";"06. BW-EJECUCION";"07. VALIDACIÓN BAJAWARE";"08. CERRADA"},0),
  _xlfn.XLOOKUP(INDEX($B:$B, (ROW()-6)),'Relacion '!$E:$E,'Relacion '!#REF!,0),
  0
 )
)</f>
        <v>0</v>
      </c>
      <c r="I278" s="241">
        <f t="shared" ca="1" si="63"/>
        <v>1</v>
      </c>
      <c r="J278" s="241"/>
      <c r="K278" s="241"/>
      <c r="L278" s="238"/>
    </row>
    <row r="279" spans="2:12" outlineLevel="1">
      <c r="B279" s="237" t="s">
        <v>655</v>
      </c>
      <c r="C279" s="237" t="s">
        <v>655</v>
      </c>
      <c r="D279" s="238" t="str">
        <f>_xlfn.XLOOKUP(B279,'Relacion '!$E:$E,'Relacion '!$D:$D,"")</f>
        <v/>
      </c>
      <c r="E279" s="239">
        <f t="shared" si="61"/>
        <v>14</v>
      </c>
      <c r="F279" s="240" cm="1">
        <f t="array" ref="F279">MIN(INDEX('Relacion '!$AJ$5:$AK$493,MATCH(INDEX($B:$B, (ROW()-7)),'Relacion '!$E$5:$E$493,0),0))</f>
        <v>46164</v>
      </c>
      <c r="G279" s="240" cm="1">
        <f t="array" ref="G279">MAX(INDEX('Relacion '!$AJ$5:$AK$493,MATCH(INDEX($B:$B, (ROW()-7)),'Relacion '!$E$5:$E$493,0),0))</f>
        <v>46178</v>
      </c>
      <c r="H279" s="241" cm="1">
        <f t="array" ref="H279">IF(
 MATCH(B279,{"01. ASIGNACION AREA";"02. MAPEO";"03. DESARROLLO";"04. VALIDA US";"05. VOBO US";"06. BW-EJECUCION";"07. VALIDACIÓN BAJAWARE";"08. CERRADA"},0)
 &lt;
 MATCH(_xlfn.XLOOKUP(INDEX($B:$B, (ROW()-7)),'Relacion '!$E:$E,'Relacion '!$D:$D,""),{"01. ASIGNACION AREA";"02. MAPEO";"03. DESARROLLO";"04. VALIDA US";"05. VOBO US";"06. BW-EJECUCION";"07. VALIDACIÓN BAJAWARE";"08. CERRADA"},0),
 1,
 IF(
  MATCH(B279,{"01. ASIGNACION AREA";"02. MAPEO";"03. DESARROLLO";"04. VALIDA US";"05. VOBO US";"06. BW-EJECUCION";"07. VALIDACIÓN BAJAWARE";"08. CERRADA"},0)
  =
  MATCH(_xlfn.XLOOKUP(INDEX($B:$B, (ROW()-7)),'Relacion '!$E:$E,'Relacion '!$D:$D,""),{"01. ASIGNACION AREA";"02. MAPEO";"03. DESARROLLO";"04. VALIDA US";"05. VOBO US";"06. BW-EJECUCION";"07. VALIDACIÓN BAJAWARE";"08. CERRADA"},0),
  _xlfn.XLOOKUP(INDEX($B:$B, (ROW()-7)),'Relacion '!$E:$E,'Relacion '!#REF!,0),
  0
 )
)</f>
        <v>0</v>
      </c>
      <c r="I279" s="241">
        <f t="shared" ca="1" si="63"/>
        <v>0</v>
      </c>
      <c r="J279" s="241"/>
      <c r="K279" s="241"/>
      <c r="L279" s="238"/>
    </row>
    <row r="280" spans="2:12" outlineLevel="1">
      <c r="B280" s="237" t="s">
        <v>656</v>
      </c>
      <c r="C280" s="237" t="s">
        <v>656</v>
      </c>
      <c r="D280" s="238" t="str">
        <f>_xlfn.XLOOKUP(B280,'Relacion '!$E:$E,'Relacion '!$D:$D,"")</f>
        <v/>
      </c>
      <c r="E280" s="239">
        <f t="shared" si="61"/>
        <v>1</v>
      </c>
      <c r="F280" s="240" cm="1">
        <f t="array" ref="F280">MIN(INDEX('Relacion '!$AL$5:$AM$493,MATCH(INDEX($B:$B, (ROW()-8)),'Relacion '!$E$5:$E$493,0),0))</f>
        <v>46181</v>
      </c>
      <c r="G280" s="240" cm="1">
        <f t="array" ref="G280">MAX(INDEX('Relacion '!$AL$5:$AM$493,MATCH(INDEX($B:$B, (ROW()-8)),'Relacion '!$E$5:$E$493,0),0))</f>
        <v>46182</v>
      </c>
      <c r="H280" s="241" cm="1">
        <f t="array" ref="H280">IF(
 MATCH(B280,{"01. ASIGNACION AREA";"02. MAPEO";"03. DESARROLLO";"04. VALIDA US";"05. VOBO US";"06. BW-EJECUCION";"07. VALIDACIÓN BAJAWARE";"08. CERRADA"},0)
 &lt;
 MATCH(_xlfn.XLOOKUP(INDEX($B:$B, (ROW()-8)),'Relacion '!$E:$E,'Relacion '!$D:$D,""),{"01. ASIGNACION AREA";"02. MAPEO";"03. DESARROLLO";"04. VALIDA US";"05. VOBO US";"06. BW-EJECUCION";"07. VALIDACIÓN BAJAWARE";"08. CERRADA"},0),
 1,
 IF(
  MATCH(B280,{"01. ASIGNACION AREA";"02. MAPEO";"03. DESARROLLO";"04. VALIDA US";"05. VOBO US";"06. BW-EJECUCION";"07. VALIDACIÓN BAJAWARE";"08. CERRADA"},0)
  =
  MATCH(_xlfn.XLOOKUP(INDEX($B:$B, (ROW()-8)),'Relacion '!$E:$E,'Relacion '!$D:$D,""),{"01. ASIGNACION AREA";"02. MAPEO";"03. DESARROLLO";"04. VALIDA US";"05. VOBO US";"06. BW-EJECUCION";"07. VALIDACIÓN BAJAWARE";"08. CERRADA"},0),
  _xlfn.XLOOKUP(INDEX($B:$B, (ROW()-8)),'Relacion '!$E:$E,'Relacion '!#REF!,0),
  0
 )
)</f>
        <v>0</v>
      </c>
      <c r="I280" s="241">
        <f t="shared" ca="1" si="63"/>
        <v>0</v>
      </c>
      <c r="J280" s="241"/>
      <c r="K280" s="241"/>
      <c r="L280" s="238"/>
    </row>
    <row r="281" spans="2:12">
      <c r="B281" s="232" t="s">
        <v>446</v>
      </c>
      <c r="C281" s="168" t="s">
        <v>447</v>
      </c>
      <c r="D281" s="236" t="str">
        <f>_xlfn.XLOOKUP(B281,'Relacion '!$E:$E,'Relacion '!$D:$D,"")</f>
        <v>04. VALIDA US</v>
      </c>
      <c r="E281" s="233">
        <f t="shared" si="61"/>
        <v>482</v>
      </c>
      <c r="F281" s="234" cm="1">
        <f t="array" ref="F281">MIN(INDEX('Relacion '!$X$5:$AM$493,MATCH(INDEX($B:$B, (ROW()-0)),'Relacion '!$E$5:$E$493,0),0))</f>
        <v>45659</v>
      </c>
      <c r="G281" s="234" cm="1">
        <f t="array" ref="G281">MAX(INDEX('Relacion '!$X$5:$AM$493,MATCH(INDEX($B:$B, (ROW()-0)),'Relacion '!$E$5:$E$493,0),0))</f>
        <v>46141</v>
      </c>
      <c r="H281" s="235" t="e">
        <f>AVERAGE(H282:H289)</f>
        <v>#REF!</v>
      </c>
      <c r="I281" s="235">
        <f t="shared" ref="I281" ca="1" si="66">AVERAGE(I282:I289)</f>
        <v>1</v>
      </c>
      <c r="J281" s="236" t="str">
        <f>IF(ISNUMBER(SEARCH("Rocha", _xlfn.XLOOKUP(B281,'Relacion '!$E:$E,'Relacion '!$I:$I,""))), "Sí", "No")</f>
        <v>No</v>
      </c>
      <c r="K281" s="236" t="str">
        <f>IF(ISNUMBER(SEARCH("Rocha", _xlfn.XLOOKUP(B281,'Relacion '!$E:$E,'Relacion '!$I:$I,""))), "RMC", _xlfn.XLOOKUP(B281,'Relacion '!$E:$E,'Relacion '!$B:$B,""))</f>
        <v>Operaciones Captacion</v>
      </c>
      <c r="L281" s="236" t="str">
        <f>_xlfn.XLOOKUP(B281,'Relacion '!$E:$E,'Relacion '!$C:$C,"")</f>
        <v>Luis Alberto</v>
      </c>
    </row>
    <row r="282" spans="2:12" outlineLevel="1">
      <c r="B282" s="237" t="s">
        <v>654</v>
      </c>
      <c r="C282" s="237" t="s">
        <v>654</v>
      </c>
      <c r="D282" s="238" t="str">
        <f>_xlfn.XLOOKUP(B282,'Relacion '!$E:$E,'Relacion '!$D:$D,"")</f>
        <v/>
      </c>
      <c r="E282" s="239">
        <f t="shared" si="61"/>
        <v>424</v>
      </c>
      <c r="F282" s="240" cm="1">
        <f t="array" ref="F282">MIN(INDEX('Relacion '!$X$5:$Y$493,MATCH(INDEX($B:$B, (ROW()-1)),'Relacion '!$E$5:$E$493,0),0))</f>
        <v>45659</v>
      </c>
      <c r="G282" s="240" cm="1">
        <f t="array" ref="G282">MAX(INDEX('Relacion '!$X$5:$Y$493,MATCH(INDEX($B:$B, (ROW()-1)),'Relacion '!$E$5:$E$493,0),0))</f>
        <v>46083</v>
      </c>
      <c r="H282" s="241" cm="1">
        <f t="array" ref="H282">IF(
 MATCH(B282,{"01. ASIGNACION AREA";"02. MAPEO";"03. DESARROLLO";"04. VALIDA US";"05. VOBO US";"06. BW-EJECUCION";"07. VALIDACIÓN BAJAWARE";"08. CERRADA"},0)
 &lt;
 MATCH(_xlfn.XLOOKUP(INDEX($B:$B, (ROW()-1)),'Relacion '!$E:$E,'Relacion '!$D:$D,""),{"01. ASIGNACION AREA";"02. MAPEO";"03. DESARROLLO";"04. VALIDA US";"05. VOBO US";"06. BW-EJECUCION";"07. VALIDACIÓN BAJAWARE";"08. CERRADA"},0),
 1,
 IF(
  MATCH(B282,{"01. ASIGNACION AREA";"02. MAPEO";"03. DESARROLLO";"04. VALIDA US";"05. VOBO US";"06. BW-EJECUCION";"07. VALIDACIÓN BAJAWARE";"08. CERRADA"},0)
  =
  MATCH(_xlfn.XLOOKUP(INDEX($B:$B, (ROW()-1)),'Relacion '!$E:$E,'Relacion '!$D:$D,""),{"01. ASIGNACION AREA";"02. MAPEO";"03. DESARROLLO";"04. VALIDA US";"05. VOBO US";"06. BW-EJECUCION";"07. VALIDACIÓN BAJAWARE";"08. CERRADA"},0),
  _xlfn.XLOOKUP(INDEX($B:$B, (ROW()-1)),'Relacion '!$E:$E,'Relacion '!#REF!,0),
  0
 )
)</f>
        <v>1</v>
      </c>
      <c r="I282" s="241">
        <f t="shared" ref="I282" ca="1" si="67">IF(G282&lt;=TODAY(), 1, 0)</f>
        <v>1</v>
      </c>
      <c r="J282" s="241"/>
      <c r="K282" s="241"/>
      <c r="L282" s="238"/>
    </row>
    <row r="283" spans="2:12" outlineLevel="1">
      <c r="B283" s="237" t="s">
        <v>195</v>
      </c>
      <c r="C283" s="237" t="s">
        <v>195</v>
      </c>
      <c r="D283" s="238" t="str">
        <f>_xlfn.XLOOKUP(B283,'Relacion '!$E:$E,'Relacion '!$D:$D,"")</f>
        <v/>
      </c>
      <c r="E283" s="239">
        <f t="shared" si="61"/>
        <v>0</v>
      </c>
      <c r="F283" s="240" cm="1">
        <f t="array" ref="F283">MIN(INDEX('Relacion '!$Z$5:$AA$493,MATCH(INDEX($B:$B, (ROW()-2)),'Relacion '!$E$5:$E$493,0),0))</f>
        <v>46084</v>
      </c>
      <c r="G283" s="240" cm="1">
        <f t="array" ref="G283">MAX(INDEX('Relacion '!$Z$5:$AA$493,MATCH(INDEX($B:$B, (ROW()-2)),'Relacion '!$E$5:$E$493,0),0))</f>
        <v>46084</v>
      </c>
      <c r="H283" s="241" cm="1">
        <f t="array" ref="H283">IF(
 MATCH(B283,{"01. ASIGNACION AREA";"02. MAPEO";"03. DESARROLLO";"04. VALIDA US";"05. VOBO US";"06. BW-EJECUCION";"07. VALIDACIÓN BAJAWARE";"08. CERRADA"},0)
 &lt;
 MATCH(_xlfn.XLOOKUP(INDEX($B:$B, (ROW()-2)),'Relacion '!$E:$E,'Relacion '!$D:$D,""),{"01. ASIGNACION AREA";"02. MAPEO";"03. DESARROLLO";"04. VALIDA US";"05. VOBO US";"06. BW-EJECUCION";"07. VALIDACIÓN BAJAWARE";"08. CERRADA"},0),
 1,
 IF(
  MATCH(B283,{"01. ASIGNACION AREA";"02. MAPEO";"03. DESARROLLO";"04. VALIDA US";"05. VOBO US";"06. BW-EJECUCION";"07. VALIDACIÓN BAJAWARE";"08. CERRADA"},0)
  =
  MATCH(_xlfn.XLOOKUP(INDEX($B:$B, (ROW()-2)),'Relacion '!$E:$E,'Relacion '!$D:$D,""),{"01. ASIGNACION AREA";"02. MAPEO";"03. DESARROLLO";"04. VALIDA US";"05. VOBO US";"06. BW-EJECUCION";"07. VALIDACIÓN BAJAWARE";"08. CERRADA"},0),
  _xlfn.XLOOKUP(INDEX($B:$B, (ROW()-2)),'Relacion '!$E:$E,'Relacion '!#REF!,0),
  0
 )
)</f>
        <v>1</v>
      </c>
      <c r="I283" s="241">
        <f t="shared" ca="1" si="63"/>
        <v>1</v>
      </c>
      <c r="J283" s="241"/>
      <c r="K283" s="241"/>
      <c r="L283" s="238"/>
    </row>
    <row r="284" spans="2:12" outlineLevel="1">
      <c r="B284" s="237" t="s">
        <v>49</v>
      </c>
      <c r="C284" s="237" t="s">
        <v>49</v>
      </c>
      <c r="D284" s="238" t="str">
        <f>_xlfn.XLOOKUP(B284,'Relacion '!$E:$E,'Relacion '!$D:$D,"")</f>
        <v/>
      </c>
      <c r="E284" s="239">
        <f t="shared" si="61"/>
        <v>13</v>
      </c>
      <c r="F284" s="240" cm="1">
        <f t="array" ref="F284">MIN(INDEX('Relacion '!$AB$5:$AC$493,MATCH(INDEX($B:$B, (ROW()-3)),'Relacion '!$E$5:$E$493,0),0))</f>
        <v>46085</v>
      </c>
      <c r="G284" s="240" cm="1">
        <f t="array" ref="G284">MAX(INDEX('Relacion '!$AB$5:$AC$493,MATCH(INDEX($B:$B, (ROW()-3)),'Relacion '!$E$5:$E$493,0),0))</f>
        <v>46098</v>
      </c>
      <c r="H284" s="241" cm="1">
        <f t="array" ref="H284">IF(
 MATCH(B284,{"01. ASIGNACION AREA";"02. MAPEO";"03. DESARROLLO";"04. VALIDA US";"05. VOBO US";"06. BW-EJECUCION";"07. VALIDACIÓN BAJAWARE";"08. CERRADA"},0)
 &lt;
 MATCH(_xlfn.XLOOKUP(INDEX($B:$B, (ROW()-3)),'Relacion '!$E:$E,'Relacion '!$D:$D,""),{"01. ASIGNACION AREA";"02. MAPEO";"03. DESARROLLO";"04. VALIDA US";"05. VOBO US";"06. BW-EJECUCION";"07. VALIDACIÓN BAJAWARE";"08. CERRADA"},0),
 1,
 IF(
  MATCH(B284,{"01. ASIGNACION AREA";"02. MAPEO";"03. DESARROLLO";"04. VALIDA US";"05. VOBO US";"06. BW-EJECUCION";"07. VALIDACIÓN BAJAWARE";"08. CERRADA"},0)
  =
  MATCH(_xlfn.XLOOKUP(INDEX($B:$B, (ROW()-3)),'Relacion '!$E:$E,'Relacion '!$D:$D,""),{"01. ASIGNACION AREA";"02. MAPEO";"03. DESARROLLO";"04. VALIDA US";"05. VOBO US";"06. BW-EJECUCION";"07. VALIDACIÓN BAJAWARE";"08. CERRADA"},0),
  _xlfn.XLOOKUP(INDEX($B:$B, (ROW()-3)),'Relacion '!$E:$E,'Relacion '!#REF!,0),
  0
 )
)</f>
        <v>1</v>
      </c>
      <c r="I284" s="241">
        <f t="shared" ca="1" si="63"/>
        <v>1</v>
      </c>
      <c r="J284" s="241"/>
      <c r="K284" s="241"/>
      <c r="L284" s="238"/>
    </row>
    <row r="285" spans="2:12" outlineLevel="1">
      <c r="B285" s="237" t="s">
        <v>324</v>
      </c>
      <c r="C285" s="237" t="s">
        <v>324</v>
      </c>
      <c r="D285" s="238" t="str">
        <f>_xlfn.XLOOKUP(B285,'Relacion '!$E:$E,'Relacion '!$D:$D,"")</f>
        <v/>
      </c>
      <c r="E285" s="239">
        <f t="shared" si="61"/>
        <v>20</v>
      </c>
      <c r="F285" s="240" cm="1">
        <f t="array" ref="F285">MIN(INDEX('Relacion '!$AD$5:$AE$493,MATCH(INDEX($B:$B, (ROW()-4)),'Relacion '!$E$5:$E$493,0),0))</f>
        <v>46099</v>
      </c>
      <c r="G285" s="240" cm="1">
        <f t="array" ref="G285">MAX(INDEX('Relacion '!$AD$5:$AE$493,MATCH(INDEX($B:$B, (ROW()-4)),'Relacion '!$E$5:$E$493,0),0))</f>
        <v>46119</v>
      </c>
      <c r="H285" s="241" t="e" cm="1">
        <f t="array" ref="H285">IF(
 MATCH(B285,{"01. ASIGNACION AREA";"02. MAPEO";"03. DESARROLLO";"04. VALIDA US";"05. VOBO US";"06. BW-EJECUCION";"07. VALIDACIÓN BAJAWARE";"08. CERRADA"},0)
 &lt;
 MATCH(_xlfn.XLOOKUP(INDEX($B:$B, (ROW()-4)),'Relacion '!$E:$E,'Relacion '!$D:$D,""),{"01. ASIGNACION AREA";"02. MAPEO";"03. DESARROLLO";"04. VALIDA US";"05. VOBO US";"06. BW-EJECUCION";"07. VALIDACIÓN BAJAWARE";"08. CERRADA"},0),
 1,
 IF(
  MATCH(B285,{"01. ASIGNACION AREA";"02. MAPEO";"03. DESARROLLO";"04. VALIDA US";"05. VOBO US";"06. BW-EJECUCION";"07. VALIDACIÓN BAJAWARE";"08. CERRADA"},0)
  =
  MATCH(_xlfn.XLOOKUP(INDEX($B:$B, (ROW()-4)),'Relacion '!$E:$E,'Relacion '!$D:$D,""),{"01. ASIGNACION AREA";"02. MAPEO";"03. DESARROLLO";"04. VALIDA US";"05. VOBO US";"06. BW-EJECUCION";"07. VALIDACIÓN BAJAWARE";"08. CERRADA"},0),
  _xlfn.XLOOKUP(INDEX($B:$B, (ROW()-4)),'Relacion '!$E:$E,'Relacion '!#REF!,0),
  0
 )
)</f>
        <v>#REF!</v>
      </c>
      <c r="I285" s="241">
        <f t="shared" ca="1" si="63"/>
        <v>1</v>
      </c>
      <c r="J285" s="241"/>
      <c r="K285" s="241"/>
      <c r="L285" s="238"/>
    </row>
    <row r="286" spans="2:12" outlineLevel="1">
      <c r="B286" s="237" t="s">
        <v>320</v>
      </c>
      <c r="C286" s="237" t="s">
        <v>320</v>
      </c>
      <c r="D286" s="238" t="str">
        <f>_xlfn.XLOOKUP(B286,'Relacion '!$E:$E,'Relacion '!$D:$D,"")</f>
        <v/>
      </c>
      <c r="E286" s="239">
        <f t="shared" si="61"/>
        <v>1</v>
      </c>
      <c r="F286" s="240" cm="1">
        <f t="array" ref="F286">MIN(INDEX('Relacion '!$AF$5:$AG$493,MATCH(INDEX($B:$B, (ROW()-5)),'Relacion '!$E$5:$E$493,0),0))</f>
        <v>46119</v>
      </c>
      <c r="G286" s="240" cm="1">
        <f t="array" ref="G286">MAX(INDEX('Relacion '!$AF$5:$AG$493,MATCH(INDEX($B:$B, (ROW()-5)),'Relacion '!$E$5:$E$493,0),0))</f>
        <v>46120</v>
      </c>
      <c r="H286" s="241" cm="1">
        <f t="array" ref="H286">IF(
 MATCH(B286,{"01. ASIGNACION AREA";"02. MAPEO";"03. DESARROLLO";"04. VALIDA US";"05. VOBO US";"06. BW-EJECUCION";"07. VALIDACIÓN BAJAWARE";"08. CERRADA"},0)
 &lt;
 MATCH(_xlfn.XLOOKUP(INDEX($B:$B, (ROW()-5)),'Relacion '!$E:$E,'Relacion '!$D:$D,""),{"01. ASIGNACION AREA";"02. MAPEO";"03. DESARROLLO";"04. VALIDA US";"05. VOBO US";"06. BW-EJECUCION";"07. VALIDACIÓN BAJAWARE";"08. CERRADA"},0),
 1,
 IF(
  MATCH(B286,{"01. ASIGNACION AREA";"02. MAPEO";"03. DESARROLLO";"04. VALIDA US";"05. VOBO US";"06. BW-EJECUCION";"07. VALIDACIÓN BAJAWARE";"08. CERRADA"},0)
  =
  MATCH(_xlfn.XLOOKUP(INDEX($B:$B, (ROW()-5)),'Relacion '!$E:$E,'Relacion '!$D:$D,""),{"01. ASIGNACION AREA";"02. MAPEO";"03. DESARROLLO";"04. VALIDA US";"05. VOBO US";"06. BW-EJECUCION";"07. VALIDACIÓN BAJAWARE";"08. CERRADA"},0),
  _xlfn.XLOOKUP(INDEX($B:$B, (ROW()-5)),'Relacion '!$E:$E,'Relacion '!#REF!,0),
  0
 )
)</f>
        <v>0</v>
      </c>
      <c r="I286" s="241">
        <f t="shared" ca="1" si="63"/>
        <v>1</v>
      </c>
      <c r="J286" s="241"/>
      <c r="K286" s="241"/>
      <c r="L286" s="238"/>
    </row>
    <row r="287" spans="2:12" outlineLevel="1">
      <c r="B287" s="237" t="s">
        <v>710</v>
      </c>
      <c r="C287" s="237" t="s">
        <v>710</v>
      </c>
      <c r="D287" s="238" t="str">
        <f>_xlfn.XLOOKUP(B287,'Relacion '!$E:$E,'Relacion '!$D:$D,"")</f>
        <v/>
      </c>
      <c r="E287" s="239">
        <f t="shared" si="61"/>
        <v>4</v>
      </c>
      <c r="F287" s="240" cm="1">
        <f t="array" ref="F287">MIN(INDEX('Relacion '!$AH$5:$AI$493,MATCH(INDEX($B:$B, (ROW()-6)),'Relacion '!$E$5:$E$493,0),0))</f>
        <v>46121</v>
      </c>
      <c r="G287" s="240" cm="1">
        <f t="array" ref="G287">MAX(INDEX('Relacion '!$AH$5:$AI$493,MATCH(INDEX($B:$B, (ROW()-6)),'Relacion '!$E$5:$E$493,0),0))</f>
        <v>46125</v>
      </c>
      <c r="H287" s="241" cm="1">
        <f t="array" ref="H287">IF(
 MATCH(B287,{"01. ASIGNACION AREA";"02. MAPEO";"03. DESARROLLO";"04. VALIDA US";"05. VOBO US";"06. BW-EJECUCION";"07. VALIDACIÓN BAJAWARE";"08. CERRADA"},0)
 &lt;
 MATCH(_xlfn.XLOOKUP(INDEX($B:$B, (ROW()-6)),'Relacion '!$E:$E,'Relacion '!$D:$D,""),{"01. ASIGNACION AREA";"02. MAPEO";"03. DESARROLLO";"04. VALIDA US";"05. VOBO US";"06. BW-EJECUCION";"07. VALIDACIÓN BAJAWARE";"08. CERRADA"},0),
 1,
 IF(
  MATCH(B287,{"01. ASIGNACION AREA";"02. MAPEO";"03. DESARROLLO";"04. VALIDA US";"05. VOBO US";"06. BW-EJECUCION";"07. VALIDACIÓN BAJAWARE";"08. CERRADA"},0)
  =
  MATCH(_xlfn.XLOOKUP(INDEX($B:$B, (ROW()-6)),'Relacion '!$E:$E,'Relacion '!$D:$D,""),{"01. ASIGNACION AREA";"02. MAPEO";"03. DESARROLLO";"04. VALIDA US";"05. VOBO US";"06. BW-EJECUCION";"07. VALIDACIÓN BAJAWARE";"08. CERRADA"},0),
  _xlfn.XLOOKUP(INDEX($B:$B, (ROW()-6)),'Relacion '!$E:$E,'Relacion '!#REF!,0),
  0
 )
)</f>
        <v>0</v>
      </c>
      <c r="I287" s="241">
        <f t="shared" ca="1" si="63"/>
        <v>1</v>
      </c>
      <c r="J287" s="241"/>
      <c r="K287" s="241"/>
      <c r="L287" s="238"/>
    </row>
    <row r="288" spans="2:12" outlineLevel="1">
      <c r="B288" s="237" t="s">
        <v>655</v>
      </c>
      <c r="C288" s="237" t="s">
        <v>655</v>
      </c>
      <c r="D288" s="238" t="str">
        <f>_xlfn.XLOOKUP(B288,'Relacion '!$E:$E,'Relacion '!$D:$D,"")</f>
        <v/>
      </c>
      <c r="E288" s="239">
        <f t="shared" si="61"/>
        <v>14</v>
      </c>
      <c r="F288" s="240" cm="1">
        <f t="array" ref="F288">MIN(INDEX('Relacion '!$AJ$5:$AK$493,MATCH(INDEX($B:$B, (ROW()-7)),'Relacion '!$E$5:$E$493,0),0))</f>
        <v>46126</v>
      </c>
      <c r="G288" s="240" cm="1">
        <f t="array" ref="G288">MAX(INDEX('Relacion '!$AJ$5:$AK$493,MATCH(INDEX($B:$B, (ROW()-7)),'Relacion '!$E$5:$E$493,0),0))</f>
        <v>46140</v>
      </c>
      <c r="H288" s="241" cm="1">
        <f t="array" ref="H288">IF(
 MATCH(B288,{"01. ASIGNACION AREA";"02. MAPEO";"03. DESARROLLO";"04. VALIDA US";"05. VOBO US";"06. BW-EJECUCION";"07. VALIDACIÓN BAJAWARE";"08. CERRADA"},0)
 &lt;
 MATCH(_xlfn.XLOOKUP(INDEX($B:$B, (ROW()-7)),'Relacion '!$E:$E,'Relacion '!$D:$D,""),{"01. ASIGNACION AREA";"02. MAPEO";"03. DESARROLLO";"04. VALIDA US";"05. VOBO US";"06. BW-EJECUCION";"07. VALIDACIÓN BAJAWARE";"08. CERRADA"},0),
 1,
 IF(
  MATCH(B288,{"01. ASIGNACION AREA";"02. MAPEO";"03. DESARROLLO";"04. VALIDA US";"05. VOBO US";"06. BW-EJECUCION";"07. VALIDACIÓN BAJAWARE";"08. CERRADA"},0)
  =
  MATCH(_xlfn.XLOOKUP(INDEX($B:$B, (ROW()-7)),'Relacion '!$E:$E,'Relacion '!$D:$D,""),{"01. ASIGNACION AREA";"02. MAPEO";"03. DESARROLLO";"04. VALIDA US";"05. VOBO US";"06. BW-EJECUCION";"07. VALIDACIÓN BAJAWARE";"08. CERRADA"},0),
  _xlfn.XLOOKUP(INDEX($B:$B, (ROW()-7)),'Relacion '!$E:$E,'Relacion '!#REF!,0),
  0
 )
)</f>
        <v>0</v>
      </c>
      <c r="I288" s="241">
        <f t="shared" ca="1" si="63"/>
        <v>1</v>
      </c>
      <c r="J288" s="241"/>
      <c r="K288" s="241"/>
      <c r="L288" s="238"/>
    </row>
    <row r="289" spans="2:12" outlineLevel="1">
      <c r="B289" s="237" t="s">
        <v>656</v>
      </c>
      <c r="C289" s="237" t="s">
        <v>656</v>
      </c>
      <c r="D289" s="238" t="str">
        <f>_xlfn.XLOOKUP(B289,'Relacion '!$E:$E,'Relacion '!$D:$D,"")</f>
        <v/>
      </c>
      <c r="E289" s="239">
        <f t="shared" si="61"/>
        <v>0</v>
      </c>
      <c r="F289" s="240" cm="1">
        <f t="array" ref="F289">MIN(INDEX('Relacion '!$AL$5:$AM$493,MATCH(INDEX($B:$B, (ROW()-8)),'Relacion '!$E$5:$E$493,0),0))</f>
        <v>46141</v>
      </c>
      <c r="G289" s="240" cm="1">
        <f t="array" ref="G289">MAX(INDEX('Relacion '!$AL$5:$AM$493,MATCH(INDEX($B:$B, (ROW()-8)),'Relacion '!$E$5:$E$493,0),0))</f>
        <v>46141</v>
      </c>
      <c r="H289" s="241" cm="1">
        <f t="array" ref="H289">IF(
 MATCH(B289,{"01. ASIGNACION AREA";"02. MAPEO";"03. DESARROLLO";"04. VALIDA US";"05. VOBO US";"06. BW-EJECUCION";"07. VALIDACIÓN BAJAWARE";"08. CERRADA"},0)
 &lt;
 MATCH(_xlfn.XLOOKUP(INDEX($B:$B, (ROW()-8)),'Relacion '!$E:$E,'Relacion '!$D:$D,""),{"01. ASIGNACION AREA";"02. MAPEO";"03. DESARROLLO";"04. VALIDA US";"05. VOBO US";"06. BW-EJECUCION";"07. VALIDACIÓN BAJAWARE";"08. CERRADA"},0),
 1,
 IF(
  MATCH(B289,{"01. ASIGNACION AREA";"02. MAPEO";"03. DESARROLLO";"04. VALIDA US";"05. VOBO US";"06. BW-EJECUCION";"07. VALIDACIÓN BAJAWARE";"08. CERRADA"},0)
  =
  MATCH(_xlfn.XLOOKUP(INDEX($B:$B, (ROW()-8)),'Relacion '!$E:$E,'Relacion '!$D:$D,""),{"01. ASIGNACION AREA";"02. MAPEO";"03. DESARROLLO";"04. VALIDA US";"05. VOBO US";"06. BW-EJECUCION";"07. VALIDACIÓN BAJAWARE";"08. CERRADA"},0),
  _xlfn.XLOOKUP(INDEX($B:$B, (ROW()-8)),'Relacion '!$E:$E,'Relacion '!#REF!,0),
  0
 )
)</f>
        <v>0</v>
      </c>
      <c r="I289" s="241">
        <f t="shared" ca="1" si="63"/>
        <v>1</v>
      </c>
      <c r="J289" s="241"/>
      <c r="K289" s="241"/>
      <c r="L289" s="238"/>
    </row>
    <row r="290" spans="2:12">
      <c r="B290" s="232" t="s">
        <v>449</v>
      </c>
      <c r="C290" s="168" t="s">
        <v>450</v>
      </c>
      <c r="D290" s="236" t="str">
        <f>_xlfn.XLOOKUP(B290,'Relacion '!$E:$E,'Relacion '!$D:$D,"")</f>
        <v>04. VALIDA US</v>
      </c>
      <c r="E290" s="233">
        <f t="shared" si="61"/>
        <v>482</v>
      </c>
      <c r="F290" s="234" cm="1">
        <f t="array" ref="F290">MIN(INDEX('Relacion '!$X$5:$AM$493,MATCH(INDEX($B:$B, (ROW()-0)),'Relacion '!$E$5:$E$493,0),0))</f>
        <v>45659</v>
      </c>
      <c r="G290" s="234" cm="1">
        <f t="array" ref="G290">MAX(INDEX('Relacion '!$X$5:$AM$493,MATCH(INDEX($B:$B, (ROW()-0)),'Relacion '!$E$5:$E$493,0),0))</f>
        <v>46141</v>
      </c>
      <c r="H290" s="235" t="e">
        <f>AVERAGE(H291:H298)</f>
        <v>#REF!</v>
      </c>
      <c r="I290" s="235">
        <f t="shared" ref="I290" ca="1" si="68">AVERAGE(I291:I298)</f>
        <v>1</v>
      </c>
      <c r="J290" s="236" t="str">
        <f>IF(ISNUMBER(SEARCH("Rocha", _xlfn.XLOOKUP(B290,'Relacion '!$E:$E,'Relacion '!$I:$I,""))), "Sí", "No")</f>
        <v>No</v>
      </c>
      <c r="K290" s="236" t="str">
        <f>IF(ISNUMBER(SEARCH("Rocha", _xlfn.XLOOKUP(B290,'Relacion '!$E:$E,'Relacion '!$I:$I,""))), "RMC", _xlfn.XLOOKUP(B290,'Relacion '!$E:$E,'Relacion '!$B:$B,""))</f>
        <v>Operaciones Captacion</v>
      </c>
      <c r="L290" s="236" t="str">
        <f>_xlfn.XLOOKUP(B290,'Relacion '!$E:$E,'Relacion '!$C:$C,"")</f>
        <v>Luis Alberto</v>
      </c>
    </row>
    <row r="291" spans="2:12" outlineLevel="1">
      <c r="B291" s="237" t="s">
        <v>654</v>
      </c>
      <c r="C291" s="237" t="s">
        <v>654</v>
      </c>
      <c r="D291" s="238" t="str">
        <f>_xlfn.XLOOKUP(B291,'Relacion '!$E:$E,'Relacion '!$D:$D,"")</f>
        <v/>
      </c>
      <c r="E291" s="239">
        <f t="shared" si="61"/>
        <v>424</v>
      </c>
      <c r="F291" s="240" cm="1">
        <f t="array" ref="F291">MIN(INDEX('Relacion '!$X$5:$Y$493,MATCH(INDEX($B:$B, (ROW()-1)),'Relacion '!$E$5:$E$493,0),0))</f>
        <v>45659</v>
      </c>
      <c r="G291" s="240" cm="1">
        <f t="array" ref="G291">MAX(INDEX('Relacion '!$X$5:$Y$493,MATCH(INDEX($B:$B, (ROW()-1)),'Relacion '!$E$5:$E$493,0),0))</f>
        <v>46083</v>
      </c>
      <c r="H291" s="241" cm="1">
        <f t="array" ref="H291">IF(
 MATCH(B291,{"01. ASIGNACION AREA";"02. MAPEO";"03. DESARROLLO";"04. VALIDA US";"05. VOBO US";"06. BW-EJECUCION";"07. VALIDACIÓN BAJAWARE";"08. CERRADA"},0)
 &lt;
 MATCH(_xlfn.XLOOKUP(INDEX($B:$B, (ROW()-1)),'Relacion '!$E:$E,'Relacion '!$D:$D,""),{"01. ASIGNACION AREA";"02. MAPEO";"03. DESARROLLO";"04. VALIDA US";"05. VOBO US";"06. BW-EJECUCION";"07. VALIDACIÓN BAJAWARE";"08. CERRADA"},0),
 1,
 IF(
  MATCH(B291,{"01. ASIGNACION AREA";"02. MAPEO";"03. DESARROLLO";"04. VALIDA US";"05. VOBO US";"06. BW-EJECUCION";"07. VALIDACIÓN BAJAWARE";"08. CERRADA"},0)
  =
  MATCH(_xlfn.XLOOKUP(INDEX($B:$B, (ROW()-1)),'Relacion '!$E:$E,'Relacion '!$D:$D,""),{"01. ASIGNACION AREA";"02. MAPEO";"03. DESARROLLO";"04. VALIDA US";"05. VOBO US";"06. BW-EJECUCION";"07. VALIDACIÓN BAJAWARE";"08. CERRADA"},0),
  _xlfn.XLOOKUP(INDEX($B:$B, (ROW()-1)),'Relacion '!$E:$E,'Relacion '!#REF!,0),
  0
 )
)</f>
        <v>1</v>
      </c>
      <c r="I291" s="241">
        <f t="shared" ref="I291" ca="1" si="69">IF(G291&lt;=TODAY(), 1, 0)</f>
        <v>1</v>
      </c>
      <c r="J291" s="241"/>
      <c r="K291" s="241"/>
      <c r="L291" s="238"/>
    </row>
    <row r="292" spans="2:12" outlineLevel="1">
      <c r="B292" s="237" t="s">
        <v>195</v>
      </c>
      <c r="C292" s="237" t="s">
        <v>195</v>
      </c>
      <c r="D292" s="238" t="str">
        <f>_xlfn.XLOOKUP(B292,'Relacion '!$E:$E,'Relacion '!$D:$D,"")</f>
        <v/>
      </c>
      <c r="E292" s="239">
        <f t="shared" si="61"/>
        <v>0</v>
      </c>
      <c r="F292" s="240" cm="1">
        <f t="array" ref="F292">MIN(INDEX('Relacion '!$Z$5:$AA$493,MATCH(INDEX($B:$B, (ROW()-2)),'Relacion '!$E$5:$E$493,0),0))</f>
        <v>46084</v>
      </c>
      <c r="G292" s="240" cm="1">
        <f t="array" ref="G292">MAX(INDEX('Relacion '!$Z$5:$AA$493,MATCH(INDEX($B:$B, (ROW()-2)),'Relacion '!$E$5:$E$493,0),0))</f>
        <v>46084</v>
      </c>
      <c r="H292" s="241" cm="1">
        <f t="array" ref="H292">IF(
 MATCH(B292,{"01. ASIGNACION AREA";"02. MAPEO";"03. DESARROLLO";"04. VALIDA US";"05. VOBO US";"06. BW-EJECUCION";"07. VALIDACIÓN BAJAWARE";"08. CERRADA"},0)
 &lt;
 MATCH(_xlfn.XLOOKUP(INDEX($B:$B, (ROW()-2)),'Relacion '!$E:$E,'Relacion '!$D:$D,""),{"01. ASIGNACION AREA";"02. MAPEO";"03. DESARROLLO";"04. VALIDA US";"05. VOBO US";"06. BW-EJECUCION";"07. VALIDACIÓN BAJAWARE";"08. CERRADA"},0),
 1,
 IF(
  MATCH(B292,{"01. ASIGNACION AREA";"02. MAPEO";"03. DESARROLLO";"04. VALIDA US";"05. VOBO US";"06. BW-EJECUCION";"07. VALIDACIÓN BAJAWARE";"08. CERRADA"},0)
  =
  MATCH(_xlfn.XLOOKUP(INDEX($B:$B, (ROW()-2)),'Relacion '!$E:$E,'Relacion '!$D:$D,""),{"01. ASIGNACION AREA";"02. MAPEO";"03. DESARROLLO";"04. VALIDA US";"05. VOBO US";"06. BW-EJECUCION";"07. VALIDACIÓN BAJAWARE";"08. CERRADA"},0),
  _xlfn.XLOOKUP(INDEX($B:$B, (ROW()-2)),'Relacion '!$E:$E,'Relacion '!#REF!,0),
  0
 )
)</f>
        <v>1</v>
      </c>
      <c r="I292" s="241">
        <f t="shared" ca="1" si="63"/>
        <v>1</v>
      </c>
      <c r="J292" s="241"/>
      <c r="K292" s="241"/>
      <c r="L292" s="238"/>
    </row>
    <row r="293" spans="2:12" outlineLevel="1">
      <c r="B293" s="237" t="s">
        <v>49</v>
      </c>
      <c r="C293" s="237" t="s">
        <v>49</v>
      </c>
      <c r="D293" s="238" t="str">
        <f>_xlfn.XLOOKUP(B293,'Relacion '!$E:$E,'Relacion '!$D:$D,"")</f>
        <v/>
      </c>
      <c r="E293" s="239">
        <f t="shared" si="61"/>
        <v>13</v>
      </c>
      <c r="F293" s="240" cm="1">
        <f t="array" ref="F293">MIN(INDEX('Relacion '!$AB$5:$AC$493,MATCH(INDEX($B:$B, (ROW()-3)),'Relacion '!$E$5:$E$493,0),0))</f>
        <v>46085</v>
      </c>
      <c r="G293" s="240" cm="1">
        <f t="array" ref="G293">MAX(INDEX('Relacion '!$AB$5:$AC$493,MATCH(INDEX($B:$B, (ROW()-3)),'Relacion '!$E$5:$E$493,0),0))</f>
        <v>46098</v>
      </c>
      <c r="H293" s="241" cm="1">
        <f t="array" ref="H293">IF(
 MATCH(B293,{"01. ASIGNACION AREA";"02. MAPEO";"03. DESARROLLO";"04. VALIDA US";"05. VOBO US";"06. BW-EJECUCION";"07. VALIDACIÓN BAJAWARE";"08. CERRADA"},0)
 &lt;
 MATCH(_xlfn.XLOOKUP(INDEX($B:$B, (ROW()-3)),'Relacion '!$E:$E,'Relacion '!$D:$D,""),{"01. ASIGNACION AREA";"02. MAPEO";"03. DESARROLLO";"04. VALIDA US";"05. VOBO US";"06. BW-EJECUCION";"07. VALIDACIÓN BAJAWARE";"08. CERRADA"},0),
 1,
 IF(
  MATCH(B293,{"01. ASIGNACION AREA";"02. MAPEO";"03. DESARROLLO";"04. VALIDA US";"05. VOBO US";"06. BW-EJECUCION";"07. VALIDACIÓN BAJAWARE";"08. CERRADA"},0)
  =
  MATCH(_xlfn.XLOOKUP(INDEX($B:$B, (ROW()-3)),'Relacion '!$E:$E,'Relacion '!$D:$D,""),{"01. ASIGNACION AREA";"02. MAPEO";"03. DESARROLLO";"04. VALIDA US";"05. VOBO US";"06. BW-EJECUCION";"07. VALIDACIÓN BAJAWARE";"08. CERRADA"},0),
  _xlfn.XLOOKUP(INDEX($B:$B, (ROW()-3)),'Relacion '!$E:$E,'Relacion '!#REF!,0),
  0
 )
)</f>
        <v>1</v>
      </c>
      <c r="I293" s="241">
        <f t="shared" ca="1" si="63"/>
        <v>1</v>
      </c>
      <c r="J293" s="241"/>
      <c r="K293" s="241"/>
      <c r="L293" s="238"/>
    </row>
    <row r="294" spans="2:12" outlineLevel="1">
      <c r="B294" s="237" t="s">
        <v>324</v>
      </c>
      <c r="C294" s="237" t="s">
        <v>324</v>
      </c>
      <c r="D294" s="238" t="str">
        <f>_xlfn.XLOOKUP(B294,'Relacion '!$E:$E,'Relacion '!$D:$D,"")</f>
        <v/>
      </c>
      <c r="E294" s="239">
        <f t="shared" si="61"/>
        <v>20</v>
      </c>
      <c r="F294" s="240" cm="1">
        <f t="array" ref="F294">MIN(INDEX('Relacion '!$AD$5:$AE$493,MATCH(INDEX($B:$B, (ROW()-4)),'Relacion '!$E$5:$E$493,0),0))</f>
        <v>46099</v>
      </c>
      <c r="G294" s="240" cm="1">
        <f t="array" ref="G294">MAX(INDEX('Relacion '!$AD$5:$AE$493,MATCH(INDEX($B:$B, (ROW()-4)),'Relacion '!$E$5:$E$493,0),0))</f>
        <v>46119</v>
      </c>
      <c r="H294" s="241" t="e" cm="1">
        <f t="array" ref="H294">IF(
 MATCH(B294,{"01. ASIGNACION AREA";"02. MAPEO";"03. DESARROLLO";"04. VALIDA US";"05. VOBO US";"06. BW-EJECUCION";"07. VALIDACIÓN BAJAWARE";"08. CERRADA"},0)
 &lt;
 MATCH(_xlfn.XLOOKUP(INDEX($B:$B, (ROW()-4)),'Relacion '!$E:$E,'Relacion '!$D:$D,""),{"01. ASIGNACION AREA";"02. MAPEO";"03. DESARROLLO";"04. VALIDA US";"05. VOBO US";"06. BW-EJECUCION";"07. VALIDACIÓN BAJAWARE";"08. CERRADA"},0),
 1,
 IF(
  MATCH(B294,{"01. ASIGNACION AREA";"02. MAPEO";"03. DESARROLLO";"04. VALIDA US";"05. VOBO US";"06. BW-EJECUCION";"07. VALIDACIÓN BAJAWARE";"08. CERRADA"},0)
  =
  MATCH(_xlfn.XLOOKUP(INDEX($B:$B, (ROW()-4)),'Relacion '!$E:$E,'Relacion '!$D:$D,""),{"01. ASIGNACION AREA";"02. MAPEO";"03. DESARROLLO";"04. VALIDA US";"05. VOBO US";"06. BW-EJECUCION";"07. VALIDACIÓN BAJAWARE";"08. CERRADA"},0),
  _xlfn.XLOOKUP(INDEX($B:$B, (ROW()-4)),'Relacion '!$E:$E,'Relacion '!#REF!,0),
  0
 )
)</f>
        <v>#REF!</v>
      </c>
      <c r="I294" s="241">
        <f t="shared" ca="1" si="63"/>
        <v>1</v>
      </c>
      <c r="J294" s="241"/>
      <c r="K294" s="241"/>
      <c r="L294" s="238"/>
    </row>
    <row r="295" spans="2:12" outlineLevel="1">
      <c r="B295" s="237" t="s">
        <v>320</v>
      </c>
      <c r="C295" s="237" t="s">
        <v>320</v>
      </c>
      <c r="D295" s="238" t="str">
        <f>_xlfn.XLOOKUP(B295,'Relacion '!$E:$E,'Relacion '!$D:$D,"")</f>
        <v/>
      </c>
      <c r="E295" s="239">
        <f t="shared" si="61"/>
        <v>1</v>
      </c>
      <c r="F295" s="240" cm="1">
        <f t="array" ref="F295">MIN(INDEX('Relacion '!$AF$5:$AG$493,MATCH(INDEX($B:$B, (ROW()-5)),'Relacion '!$E$5:$E$493,0),0))</f>
        <v>46119</v>
      </c>
      <c r="G295" s="240" cm="1">
        <f t="array" ref="G295">MAX(INDEX('Relacion '!$AF$5:$AG$493,MATCH(INDEX($B:$B, (ROW()-5)),'Relacion '!$E$5:$E$493,0),0))</f>
        <v>46120</v>
      </c>
      <c r="H295" s="241" cm="1">
        <f t="array" ref="H295">IF(
 MATCH(B295,{"01. ASIGNACION AREA";"02. MAPEO";"03. DESARROLLO";"04. VALIDA US";"05. VOBO US";"06. BW-EJECUCION";"07. VALIDACIÓN BAJAWARE";"08. CERRADA"},0)
 &lt;
 MATCH(_xlfn.XLOOKUP(INDEX($B:$B, (ROW()-5)),'Relacion '!$E:$E,'Relacion '!$D:$D,""),{"01. ASIGNACION AREA";"02. MAPEO";"03. DESARROLLO";"04. VALIDA US";"05. VOBO US";"06. BW-EJECUCION";"07. VALIDACIÓN BAJAWARE";"08. CERRADA"},0),
 1,
 IF(
  MATCH(B295,{"01. ASIGNACION AREA";"02. MAPEO";"03. DESARROLLO";"04. VALIDA US";"05. VOBO US";"06. BW-EJECUCION";"07. VALIDACIÓN BAJAWARE";"08. CERRADA"},0)
  =
  MATCH(_xlfn.XLOOKUP(INDEX($B:$B, (ROW()-5)),'Relacion '!$E:$E,'Relacion '!$D:$D,""),{"01. ASIGNACION AREA";"02. MAPEO";"03. DESARROLLO";"04. VALIDA US";"05. VOBO US";"06. BW-EJECUCION";"07. VALIDACIÓN BAJAWARE";"08. CERRADA"},0),
  _xlfn.XLOOKUP(INDEX($B:$B, (ROW()-5)),'Relacion '!$E:$E,'Relacion '!#REF!,0),
  0
 )
)</f>
        <v>0</v>
      </c>
      <c r="I295" s="241">
        <f t="shared" ca="1" si="63"/>
        <v>1</v>
      </c>
      <c r="J295" s="241"/>
      <c r="K295" s="241"/>
      <c r="L295" s="238"/>
    </row>
    <row r="296" spans="2:12" outlineLevel="1">
      <c r="B296" s="237" t="s">
        <v>710</v>
      </c>
      <c r="C296" s="237" t="s">
        <v>710</v>
      </c>
      <c r="D296" s="238" t="str">
        <f>_xlfn.XLOOKUP(B296,'Relacion '!$E:$E,'Relacion '!$D:$D,"")</f>
        <v/>
      </c>
      <c r="E296" s="239">
        <f t="shared" si="61"/>
        <v>4</v>
      </c>
      <c r="F296" s="240" cm="1">
        <f t="array" ref="F296">MIN(INDEX('Relacion '!$AH$5:$AI$493,MATCH(INDEX($B:$B, (ROW()-6)),'Relacion '!$E$5:$E$493,0),0))</f>
        <v>46121</v>
      </c>
      <c r="G296" s="240" cm="1">
        <f t="array" ref="G296">MAX(INDEX('Relacion '!$AH$5:$AI$493,MATCH(INDEX($B:$B, (ROW()-6)),'Relacion '!$E$5:$E$493,0),0))</f>
        <v>46125</v>
      </c>
      <c r="H296" s="241" cm="1">
        <f t="array" ref="H296">IF(
 MATCH(B296,{"01. ASIGNACION AREA";"02. MAPEO";"03. DESARROLLO";"04. VALIDA US";"05. VOBO US";"06. BW-EJECUCION";"07. VALIDACIÓN BAJAWARE";"08. CERRADA"},0)
 &lt;
 MATCH(_xlfn.XLOOKUP(INDEX($B:$B, (ROW()-6)),'Relacion '!$E:$E,'Relacion '!$D:$D,""),{"01. ASIGNACION AREA";"02. MAPEO";"03. DESARROLLO";"04. VALIDA US";"05. VOBO US";"06. BW-EJECUCION";"07. VALIDACIÓN BAJAWARE";"08. CERRADA"},0),
 1,
 IF(
  MATCH(B296,{"01. ASIGNACION AREA";"02. MAPEO";"03. DESARROLLO";"04. VALIDA US";"05. VOBO US";"06. BW-EJECUCION";"07. VALIDACIÓN BAJAWARE";"08. CERRADA"},0)
  =
  MATCH(_xlfn.XLOOKUP(INDEX($B:$B, (ROW()-6)),'Relacion '!$E:$E,'Relacion '!$D:$D,""),{"01. ASIGNACION AREA";"02. MAPEO";"03. DESARROLLO";"04. VALIDA US";"05. VOBO US";"06. BW-EJECUCION";"07. VALIDACIÓN BAJAWARE";"08. CERRADA"},0),
  _xlfn.XLOOKUP(INDEX($B:$B, (ROW()-6)),'Relacion '!$E:$E,'Relacion '!#REF!,0),
  0
 )
)</f>
        <v>0</v>
      </c>
      <c r="I296" s="241">
        <f t="shared" ca="1" si="63"/>
        <v>1</v>
      </c>
      <c r="J296" s="241"/>
      <c r="K296" s="241"/>
      <c r="L296" s="238"/>
    </row>
    <row r="297" spans="2:12" outlineLevel="1">
      <c r="B297" s="237" t="s">
        <v>655</v>
      </c>
      <c r="C297" s="237" t="s">
        <v>655</v>
      </c>
      <c r="D297" s="238" t="str">
        <f>_xlfn.XLOOKUP(B297,'Relacion '!$E:$E,'Relacion '!$D:$D,"")</f>
        <v/>
      </c>
      <c r="E297" s="239">
        <f t="shared" si="61"/>
        <v>14</v>
      </c>
      <c r="F297" s="240" cm="1">
        <f t="array" ref="F297">MIN(INDEX('Relacion '!$AJ$5:$AK$493,MATCH(INDEX($B:$B, (ROW()-7)),'Relacion '!$E$5:$E$493,0),0))</f>
        <v>46126</v>
      </c>
      <c r="G297" s="240" cm="1">
        <f t="array" ref="G297">MAX(INDEX('Relacion '!$AJ$5:$AK$493,MATCH(INDEX($B:$B, (ROW()-7)),'Relacion '!$E$5:$E$493,0),0))</f>
        <v>46140</v>
      </c>
      <c r="H297" s="241" cm="1">
        <f t="array" ref="H297">IF(
 MATCH(B297,{"01. ASIGNACION AREA";"02. MAPEO";"03. DESARROLLO";"04. VALIDA US";"05. VOBO US";"06. BW-EJECUCION";"07. VALIDACIÓN BAJAWARE";"08. CERRADA"},0)
 &lt;
 MATCH(_xlfn.XLOOKUP(INDEX($B:$B, (ROW()-7)),'Relacion '!$E:$E,'Relacion '!$D:$D,""),{"01. ASIGNACION AREA";"02. MAPEO";"03. DESARROLLO";"04. VALIDA US";"05. VOBO US";"06. BW-EJECUCION";"07. VALIDACIÓN BAJAWARE";"08. CERRADA"},0),
 1,
 IF(
  MATCH(B297,{"01. ASIGNACION AREA";"02. MAPEO";"03. DESARROLLO";"04. VALIDA US";"05. VOBO US";"06. BW-EJECUCION";"07. VALIDACIÓN BAJAWARE";"08. CERRADA"},0)
  =
  MATCH(_xlfn.XLOOKUP(INDEX($B:$B, (ROW()-7)),'Relacion '!$E:$E,'Relacion '!$D:$D,""),{"01. ASIGNACION AREA";"02. MAPEO";"03. DESARROLLO";"04. VALIDA US";"05. VOBO US";"06. BW-EJECUCION";"07. VALIDACIÓN BAJAWARE";"08. CERRADA"},0),
  _xlfn.XLOOKUP(INDEX($B:$B, (ROW()-7)),'Relacion '!$E:$E,'Relacion '!#REF!,0),
  0
 )
)</f>
        <v>0</v>
      </c>
      <c r="I297" s="241">
        <f t="shared" ca="1" si="63"/>
        <v>1</v>
      </c>
      <c r="J297" s="241"/>
      <c r="K297" s="241"/>
      <c r="L297" s="238"/>
    </row>
    <row r="298" spans="2:12" outlineLevel="1">
      <c r="B298" s="237" t="s">
        <v>656</v>
      </c>
      <c r="C298" s="237" t="s">
        <v>656</v>
      </c>
      <c r="D298" s="238" t="str">
        <f>_xlfn.XLOOKUP(B298,'Relacion '!$E:$E,'Relacion '!$D:$D,"")</f>
        <v/>
      </c>
      <c r="E298" s="239">
        <f t="shared" si="61"/>
        <v>0</v>
      </c>
      <c r="F298" s="240" cm="1">
        <f t="array" ref="F298">MIN(INDEX('Relacion '!$AL$5:$AM$493,MATCH(INDEX($B:$B, (ROW()-8)),'Relacion '!$E$5:$E$493,0),0))</f>
        <v>46141</v>
      </c>
      <c r="G298" s="240" cm="1">
        <f t="array" ref="G298">MAX(INDEX('Relacion '!$AL$5:$AM$493,MATCH(INDEX($B:$B, (ROW()-8)),'Relacion '!$E$5:$E$493,0),0))</f>
        <v>46141</v>
      </c>
      <c r="H298" s="241" cm="1">
        <f t="array" ref="H298">IF(
 MATCH(B298,{"01. ASIGNACION AREA";"02. MAPEO";"03. DESARROLLO";"04. VALIDA US";"05. VOBO US";"06. BW-EJECUCION";"07. VALIDACIÓN BAJAWARE";"08. CERRADA"},0)
 &lt;
 MATCH(_xlfn.XLOOKUP(INDEX($B:$B, (ROW()-8)),'Relacion '!$E:$E,'Relacion '!$D:$D,""),{"01. ASIGNACION AREA";"02. MAPEO";"03. DESARROLLO";"04. VALIDA US";"05. VOBO US";"06. BW-EJECUCION";"07. VALIDACIÓN BAJAWARE";"08. CERRADA"},0),
 1,
 IF(
  MATCH(B298,{"01. ASIGNACION AREA";"02. MAPEO";"03. DESARROLLO";"04. VALIDA US";"05. VOBO US";"06. BW-EJECUCION";"07. VALIDACIÓN BAJAWARE";"08. CERRADA"},0)
  =
  MATCH(_xlfn.XLOOKUP(INDEX($B:$B, (ROW()-8)),'Relacion '!$E:$E,'Relacion '!$D:$D,""),{"01. ASIGNACION AREA";"02. MAPEO";"03. DESARROLLO";"04. VALIDA US";"05. VOBO US";"06. BW-EJECUCION";"07. VALIDACIÓN BAJAWARE";"08. CERRADA"},0),
  _xlfn.XLOOKUP(INDEX($B:$B, (ROW()-8)),'Relacion '!$E:$E,'Relacion '!#REF!,0),
  0
 )
)</f>
        <v>0</v>
      </c>
      <c r="I298" s="241">
        <f t="shared" ca="1" si="63"/>
        <v>1</v>
      </c>
      <c r="J298" s="241"/>
      <c r="K298" s="241"/>
      <c r="L298" s="238"/>
    </row>
    <row r="299" spans="2:12">
      <c r="B299" s="232" t="s">
        <v>451</v>
      </c>
      <c r="C299" s="168" t="s">
        <v>452</v>
      </c>
      <c r="D299" s="236" t="str">
        <f>_xlfn.XLOOKUP(B299,'Relacion '!$E:$E,'Relacion '!$D:$D,"")</f>
        <v>04. VALIDA US</v>
      </c>
      <c r="E299" s="233">
        <f t="shared" si="61"/>
        <v>482</v>
      </c>
      <c r="F299" s="234" cm="1">
        <f t="array" ref="F299">MIN(INDEX('Relacion '!$X$5:$AM$493,MATCH(INDEX($B:$B, (ROW()-0)),'Relacion '!$E$5:$E$493,0),0))</f>
        <v>45659</v>
      </c>
      <c r="G299" s="234" cm="1">
        <f t="array" ref="G299">MAX(INDEX('Relacion '!$X$5:$AM$493,MATCH(INDEX($B:$B, (ROW()-0)),'Relacion '!$E$5:$E$493,0),0))</f>
        <v>46141</v>
      </c>
      <c r="H299" s="235" t="e">
        <f>AVERAGE(H300:H307)</f>
        <v>#REF!</v>
      </c>
      <c r="I299" s="235">
        <f t="shared" ref="I299" ca="1" si="70">AVERAGE(I300:I307)</f>
        <v>1</v>
      </c>
      <c r="J299" s="236" t="str">
        <f>IF(ISNUMBER(SEARCH("Rocha", _xlfn.XLOOKUP(B299,'Relacion '!$E:$E,'Relacion '!$I:$I,""))), "Sí", "No")</f>
        <v>No</v>
      </c>
      <c r="K299" s="236" t="str">
        <f>IF(ISNUMBER(SEARCH("Rocha", _xlfn.XLOOKUP(B299,'Relacion '!$E:$E,'Relacion '!$I:$I,""))), "RMC", _xlfn.XLOOKUP(B299,'Relacion '!$E:$E,'Relacion '!$B:$B,""))</f>
        <v>Operaciones Captacion</v>
      </c>
      <c r="L299" s="236" t="str">
        <f>_xlfn.XLOOKUP(B299,'Relacion '!$E:$E,'Relacion '!$C:$C,"")</f>
        <v>Luis Alberto</v>
      </c>
    </row>
    <row r="300" spans="2:12" outlineLevel="1">
      <c r="B300" s="237" t="s">
        <v>654</v>
      </c>
      <c r="C300" s="237" t="s">
        <v>654</v>
      </c>
      <c r="D300" s="238" t="str">
        <f>_xlfn.XLOOKUP(B300,'Relacion '!$E:$E,'Relacion '!$D:$D,"")</f>
        <v/>
      </c>
      <c r="E300" s="239">
        <f t="shared" si="61"/>
        <v>424</v>
      </c>
      <c r="F300" s="240" cm="1">
        <f t="array" ref="F300">MIN(INDEX('Relacion '!$X$5:$Y$493,MATCH(INDEX($B:$B, (ROW()-1)),'Relacion '!$E$5:$E$493,0),0))</f>
        <v>45659</v>
      </c>
      <c r="G300" s="240" cm="1">
        <f t="array" ref="G300">MAX(INDEX('Relacion '!$X$5:$Y$493,MATCH(INDEX($B:$B, (ROW()-1)),'Relacion '!$E$5:$E$493,0),0))</f>
        <v>46083</v>
      </c>
      <c r="H300" s="241" cm="1">
        <f t="array" ref="H300">IF(
 MATCH(B300,{"01. ASIGNACION AREA";"02. MAPEO";"03. DESARROLLO";"04. VALIDA US";"05. VOBO US";"06. BW-EJECUCION";"07. VALIDACIÓN BAJAWARE";"08. CERRADA"},0)
 &lt;
 MATCH(_xlfn.XLOOKUP(INDEX($B:$B, (ROW()-1)),'Relacion '!$E:$E,'Relacion '!$D:$D,""),{"01. ASIGNACION AREA";"02. MAPEO";"03. DESARROLLO";"04. VALIDA US";"05. VOBO US";"06. BW-EJECUCION";"07. VALIDACIÓN BAJAWARE";"08. CERRADA"},0),
 1,
 IF(
  MATCH(B300,{"01. ASIGNACION AREA";"02. MAPEO";"03. DESARROLLO";"04. VALIDA US";"05. VOBO US";"06. BW-EJECUCION";"07. VALIDACIÓN BAJAWARE";"08. CERRADA"},0)
  =
  MATCH(_xlfn.XLOOKUP(INDEX($B:$B, (ROW()-1)),'Relacion '!$E:$E,'Relacion '!$D:$D,""),{"01. ASIGNACION AREA";"02. MAPEO";"03. DESARROLLO";"04. VALIDA US";"05. VOBO US";"06. BW-EJECUCION";"07. VALIDACIÓN BAJAWARE";"08. CERRADA"},0),
  _xlfn.XLOOKUP(INDEX($B:$B, (ROW()-1)),'Relacion '!$E:$E,'Relacion '!#REF!,0),
  0
 )
)</f>
        <v>1</v>
      </c>
      <c r="I300" s="241">
        <f t="shared" ref="I300" ca="1" si="71">IF(G300&lt;=TODAY(), 1, 0)</f>
        <v>1</v>
      </c>
      <c r="J300" s="241"/>
      <c r="K300" s="241"/>
      <c r="L300" s="238"/>
    </row>
    <row r="301" spans="2:12" outlineLevel="1">
      <c r="B301" s="237" t="s">
        <v>195</v>
      </c>
      <c r="C301" s="237" t="s">
        <v>195</v>
      </c>
      <c r="D301" s="238" t="str">
        <f>_xlfn.XLOOKUP(B301,'Relacion '!$E:$E,'Relacion '!$D:$D,"")</f>
        <v/>
      </c>
      <c r="E301" s="239">
        <f t="shared" si="61"/>
        <v>0</v>
      </c>
      <c r="F301" s="240" cm="1">
        <f t="array" ref="F301">MIN(INDEX('Relacion '!$Z$5:$AA$493,MATCH(INDEX($B:$B, (ROW()-2)),'Relacion '!$E$5:$E$493,0),0))</f>
        <v>46084</v>
      </c>
      <c r="G301" s="240" cm="1">
        <f t="array" ref="G301">MAX(INDEX('Relacion '!$Z$5:$AA$493,MATCH(INDEX($B:$B, (ROW()-2)),'Relacion '!$E$5:$E$493,0),0))</f>
        <v>46084</v>
      </c>
      <c r="H301" s="241" cm="1">
        <f t="array" ref="H301">IF(
 MATCH(B301,{"01. ASIGNACION AREA";"02. MAPEO";"03. DESARROLLO";"04. VALIDA US";"05. VOBO US";"06. BW-EJECUCION";"07. VALIDACIÓN BAJAWARE";"08. CERRADA"},0)
 &lt;
 MATCH(_xlfn.XLOOKUP(INDEX($B:$B, (ROW()-2)),'Relacion '!$E:$E,'Relacion '!$D:$D,""),{"01. ASIGNACION AREA";"02. MAPEO";"03. DESARROLLO";"04. VALIDA US";"05. VOBO US";"06. BW-EJECUCION";"07. VALIDACIÓN BAJAWARE";"08. CERRADA"},0),
 1,
 IF(
  MATCH(B301,{"01. ASIGNACION AREA";"02. MAPEO";"03. DESARROLLO";"04. VALIDA US";"05. VOBO US";"06. BW-EJECUCION";"07. VALIDACIÓN BAJAWARE";"08. CERRADA"},0)
  =
  MATCH(_xlfn.XLOOKUP(INDEX($B:$B, (ROW()-2)),'Relacion '!$E:$E,'Relacion '!$D:$D,""),{"01. ASIGNACION AREA";"02. MAPEO";"03. DESARROLLO";"04. VALIDA US";"05. VOBO US";"06. BW-EJECUCION";"07. VALIDACIÓN BAJAWARE";"08. CERRADA"},0),
  _xlfn.XLOOKUP(INDEX($B:$B, (ROW()-2)),'Relacion '!$E:$E,'Relacion '!#REF!,0),
  0
 )
)</f>
        <v>1</v>
      </c>
      <c r="I301" s="241">
        <f t="shared" ca="1" si="63"/>
        <v>1</v>
      </c>
      <c r="J301" s="241"/>
      <c r="K301" s="241"/>
      <c r="L301" s="238"/>
    </row>
    <row r="302" spans="2:12" outlineLevel="1">
      <c r="B302" s="237" t="s">
        <v>49</v>
      </c>
      <c r="C302" s="237" t="s">
        <v>49</v>
      </c>
      <c r="D302" s="238" t="str">
        <f>_xlfn.XLOOKUP(B302,'Relacion '!$E:$E,'Relacion '!$D:$D,"")</f>
        <v/>
      </c>
      <c r="E302" s="239">
        <f t="shared" si="61"/>
        <v>13</v>
      </c>
      <c r="F302" s="240" cm="1">
        <f t="array" ref="F302">MIN(INDEX('Relacion '!$AB$5:$AC$493,MATCH(INDEX($B:$B, (ROW()-3)),'Relacion '!$E$5:$E$493,0),0))</f>
        <v>46085</v>
      </c>
      <c r="G302" s="240" cm="1">
        <f t="array" ref="G302">MAX(INDEX('Relacion '!$AB$5:$AC$493,MATCH(INDEX($B:$B, (ROW()-3)),'Relacion '!$E$5:$E$493,0),0))</f>
        <v>46098</v>
      </c>
      <c r="H302" s="241" cm="1">
        <f t="array" ref="H302">IF(
 MATCH(B302,{"01. ASIGNACION AREA";"02. MAPEO";"03. DESARROLLO";"04. VALIDA US";"05. VOBO US";"06. BW-EJECUCION";"07. VALIDACIÓN BAJAWARE";"08. CERRADA"},0)
 &lt;
 MATCH(_xlfn.XLOOKUP(INDEX($B:$B, (ROW()-3)),'Relacion '!$E:$E,'Relacion '!$D:$D,""),{"01. ASIGNACION AREA";"02. MAPEO";"03. DESARROLLO";"04. VALIDA US";"05. VOBO US";"06. BW-EJECUCION";"07. VALIDACIÓN BAJAWARE";"08. CERRADA"},0),
 1,
 IF(
  MATCH(B302,{"01. ASIGNACION AREA";"02. MAPEO";"03. DESARROLLO";"04. VALIDA US";"05. VOBO US";"06. BW-EJECUCION";"07. VALIDACIÓN BAJAWARE";"08. CERRADA"},0)
  =
  MATCH(_xlfn.XLOOKUP(INDEX($B:$B, (ROW()-3)),'Relacion '!$E:$E,'Relacion '!$D:$D,""),{"01. ASIGNACION AREA";"02. MAPEO";"03. DESARROLLO";"04. VALIDA US";"05. VOBO US";"06. BW-EJECUCION";"07. VALIDACIÓN BAJAWARE";"08. CERRADA"},0),
  _xlfn.XLOOKUP(INDEX($B:$B, (ROW()-3)),'Relacion '!$E:$E,'Relacion '!#REF!,0),
  0
 )
)</f>
        <v>1</v>
      </c>
      <c r="I302" s="241">
        <f t="shared" ca="1" si="63"/>
        <v>1</v>
      </c>
      <c r="J302" s="241"/>
      <c r="K302" s="241"/>
      <c r="L302" s="238"/>
    </row>
    <row r="303" spans="2:12" outlineLevel="1">
      <c r="B303" s="237" t="s">
        <v>324</v>
      </c>
      <c r="C303" s="237" t="s">
        <v>324</v>
      </c>
      <c r="D303" s="238" t="str">
        <f>_xlfn.XLOOKUP(B303,'Relacion '!$E:$E,'Relacion '!$D:$D,"")</f>
        <v/>
      </c>
      <c r="E303" s="239">
        <f t="shared" si="61"/>
        <v>20</v>
      </c>
      <c r="F303" s="240" cm="1">
        <f t="array" ref="F303">MIN(INDEX('Relacion '!$AD$5:$AE$493,MATCH(INDEX($B:$B, (ROW()-4)),'Relacion '!$E$5:$E$493,0),0))</f>
        <v>46099</v>
      </c>
      <c r="G303" s="240" cm="1">
        <f t="array" ref="G303">MAX(INDEX('Relacion '!$AD$5:$AE$493,MATCH(INDEX($B:$B, (ROW()-4)),'Relacion '!$E$5:$E$493,0),0))</f>
        <v>46119</v>
      </c>
      <c r="H303" s="241" t="e" cm="1">
        <f t="array" ref="H303">IF(
 MATCH(B303,{"01. ASIGNACION AREA";"02. MAPEO";"03. DESARROLLO";"04. VALIDA US";"05. VOBO US";"06. BW-EJECUCION";"07. VALIDACIÓN BAJAWARE";"08. CERRADA"},0)
 &lt;
 MATCH(_xlfn.XLOOKUP(INDEX($B:$B, (ROW()-4)),'Relacion '!$E:$E,'Relacion '!$D:$D,""),{"01. ASIGNACION AREA";"02. MAPEO";"03. DESARROLLO";"04. VALIDA US";"05. VOBO US";"06. BW-EJECUCION";"07. VALIDACIÓN BAJAWARE";"08. CERRADA"},0),
 1,
 IF(
  MATCH(B303,{"01. ASIGNACION AREA";"02. MAPEO";"03. DESARROLLO";"04. VALIDA US";"05. VOBO US";"06. BW-EJECUCION";"07. VALIDACIÓN BAJAWARE";"08. CERRADA"},0)
  =
  MATCH(_xlfn.XLOOKUP(INDEX($B:$B, (ROW()-4)),'Relacion '!$E:$E,'Relacion '!$D:$D,""),{"01. ASIGNACION AREA";"02. MAPEO";"03. DESARROLLO";"04. VALIDA US";"05. VOBO US";"06. BW-EJECUCION";"07. VALIDACIÓN BAJAWARE";"08. CERRADA"},0),
  _xlfn.XLOOKUP(INDEX($B:$B, (ROW()-4)),'Relacion '!$E:$E,'Relacion '!#REF!,0),
  0
 )
)</f>
        <v>#REF!</v>
      </c>
      <c r="I303" s="241">
        <f t="shared" ca="1" si="63"/>
        <v>1</v>
      </c>
      <c r="J303" s="241"/>
      <c r="K303" s="241"/>
      <c r="L303" s="238"/>
    </row>
    <row r="304" spans="2:12" outlineLevel="1">
      <c r="B304" s="237" t="s">
        <v>320</v>
      </c>
      <c r="C304" s="237" t="s">
        <v>320</v>
      </c>
      <c r="D304" s="238" t="str">
        <f>_xlfn.XLOOKUP(B304,'Relacion '!$E:$E,'Relacion '!$D:$D,"")</f>
        <v/>
      </c>
      <c r="E304" s="239">
        <f t="shared" si="61"/>
        <v>1</v>
      </c>
      <c r="F304" s="240" cm="1">
        <f t="array" ref="F304">MIN(INDEX('Relacion '!$AF$5:$AG$493,MATCH(INDEX($B:$B, (ROW()-5)),'Relacion '!$E$5:$E$493,0),0))</f>
        <v>46119</v>
      </c>
      <c r="G304" s="240" cm="1">
        <f t="array" ref="G304">MAX(INDEX('Relacion '!$AF$5:$AG$493,MATCH(INDEX($B:$B, (ROW()-5)),'Relacion '!$E$5:$E$493,0),0))</f>
        <v>46120</v>
      </c>
      <c r="H304" s="241" cm="1">
        <f t="array" ref="H304">IF(
 MATCH(B304,{"01. ASIGNACION AREA";"02. MAPEO";"03. DESARROLLO";"04. VALIDA US";"05. VOBO US";"06. BW-EJECUCION";"07. VALIDACIÓN BAJAWARE";"08. CERRADA"},0)
 &lt;
 MATCH(_xlfn.XLOOKUP(INDEX($B:$B, (ROW()-5)),'Relacion '!$E:$E,'Relacion '!$D:$D,""),{"01. ASIGNACION AREA";"02. MAPEO";"03. DESARROLLO";"04. VALIDA US";"05. VOBO US";"06. BW-EJECUCION";"07. VALIDACIÓN BAJAWARE";"08. CERRADA"},0),
 1,
 IF(
  MATCH(B304,{"01. ASIGNACION AREA";"02. MAPEO";"03. DESARROLLO";"04. VALIDA US";"05. VOBO US";"06. BW-EJECUCION";"07. VALIDACIÓN BAJAWARE";"08. CERRADA"},0)
  =
  MATCH(_xlfn.XLOOKUP(INDEX($B:$B, (ROW()-5)),'Relacion '!$E:$E,'Relacion '!$D:$D,""),{"01. ASIGNACION AREA";"02. MAPEO";"03. DESARROLLO";"04. VALIDA US";"05. VOBO US";"06. BW-EJECUCION";"07. VALIDACIÓN BAJAWARE";"08. CERRADA"},0),
  _xlfn.XLOOKUP(INDEX($B:$B, (ROW()-5)),'Relacion '!$E:$E,'Relacion '!#REF!,0),
  0
 )
)</f>
        <v>0</v>
      </c>
      <c r="I304" s="241">
        <f t="shared" ca="1" si="63"/>
        <v>1</v>
      </c>
      <c r="J304" s="241"/>
      <c r="K304" s="241"/>
      <c r="L304" s="238"/>
    </row>
    <row r="305" spans="2:12" outlineLevel="1">
      <c r="B305" s="237" t="s">
        <v>710</v>
      </c>
      <c r="C305" s="237" t="s">
        <v>710</v>
      </c>
      <c r="D305" s="238" t="str">
        <f>_xlfn.XLOOKUP(B305,'Relacion '!$E:$E,'Relacion '!$D:$D,"")</f>
        <v/>
      </c>
      <c r="E305" s="239">
        <f t="shared" si="61"/>
        <v>4</v>
      </c>
      <c r="F305" s="240" cm="1">
        <f t="array" ref="F305">MIN(INDEX('Relacion '!$AH$5:$AI$493,MATCH(INDEX($B:$B, (ROW()-6)),'Relacion '!$E$5:$E$493,0),0))</f>
        <v>46121</v>
      </c>
      <c r="G305" s="240" cm="1">
        <f t="array" ref="G305">MAX(INDEX('Relacion '!$AH$5:$AI$493,MATCH(INDEX($B:$B, (ROW()-6)),'Relacion '!$E$5:$E$493,0),0))</f>
        <v>46125</v>
      </c>
      <c r="H305" s="241" cm="1">
        <f t="array" ref="H305">IF(
 MATCH(B305,{"01. ASIGNACION AREA";"02. MAPEO";"03. DESARROLLO";"04. VALIDA US";"05. VOBO US";"06. BW-EJECUCION";"07. VALIDACIÓN BAJAWARE";"08. CERRADA"},0)
 &lt;
 MATCH(_xlfn.XLOOKUP(INDEX($B:$B, (ROW()-6)),'Relacion '!$E:$E,'Relacion '!$D:$D,""),{"01. ASIGNACION AREA";"02. MAPEO";"03. DESARROLLO";"04. VALIDA US";"05. VOBO US";"06. BW-EJECUCION";"07. VALIDACIÓN BAJAWARE";"08. CERRADA"},0),
 1,
 IF(
  MATCH(B305,{"01. ASIGNACION AREA";"02. MAPEO";"03. DESARROLLO";"04. VALIDA US";"05. VOBO US";"06. BW-EJECUCION";"07. VALIDACIÓN BAJAWARE";"08. CERRADA"},0)
  =
  MATCH(_xlfn.XLOOKUP(INDEX($B:$B, (ROW()-6)),'Relacion '!$E:$E,'Relacion '!$D:$D,""),{"01. ASIGNACION AREA";"02. MAPEO";"03. DESARROLLO";"04. VALIDA US";"05. VOBO US";"06. BW-EJECUCION";"07. VALIDACIÓN BAJAWARE";"08. CERRADA"},0),
  _xlfn.XLOOKUP(INDEX($B:$B, (ROW()-6)),'Relacion '!$E:$E,'Relacion '!#REF!,0),
  0
 )
)</f>
        <v>0</v>
      </c>
      <c r="I305" s="241">
        <f t="shared" ca="1" si="63"/>
        <v>1</v>
      </c>
      <c r="J305" s="241"/>
      <c r="K305" s="241"/>
      <c r="L305" s="238"/>
    </row>
    <row r="306" spans="2:12" outlineLevel="1">
      <c r="B306" s="237" t="s">
        <v>655</v>
      </c>
      <c r="C306" s="237" t="s">
        <v>655</v>
      </c>
      <c r="D306" s="238" t="str">
        <f>_xlfn.XLOOKUP(B306,'Relacion '!$E:$E,'Relacion '!$D:$D,"")</f>
        <v/>
      </c>
      <c r="E306" s="239">
        <f t="shared" si="61"/>
        <v>14</v>
      </c>
      <c r="F306" s="240" cm="1">
        <f t="array" ref="F306">MIN(INDEX('Relacion '!$AJ$5:$AK$493,MATCH(INDEX($B:$B, (ROW()-7)),'Relacion '!$E$5:$E$493,0),0))</f>
        <v>46126</v>
      </c>
      <c r="G306" s="240" cm="1">
        <f t="array" ref="G306">MAX(INDEX('Relacion '!$AJ$5:$AK$493,MATCH(INDEX($B:$B, (ROW()-7)),'Relacion '!$E$5:$E$493,0),0))</f>
        <v>46140</v>
      </c>
      <c r="H306" s="241" cm="1">
        <f t="array" ref="H306">IF(
 MATCH(B306,{"01. ASIGNACION AREA";"02. MAPEO";"03. DESARROLLO";"04. VALIDA US";"05. VOBO US";"06. BW-EJECUCION";"07. VALIDACIÓN BAJAWARE";"08. CERRADA"},0)
 &lt;
 MATCH(_xlfn.XLOOKUP(INDEX($B:$B, (ROW()-7)),'Relacion '!$E:$E,'Relacion '!$D:$D,""),{"01. ASIGNACION AREA";"02. MAPEO";"03. DESARROLLO";"04. VALIDA US";"05. VOBO US";"06. BW-EJECUCION";"07. VALIDACIÓN BAJAWARE";"08. CERRADA"},0),
 1,
 IF(
  MATCH(B306,{"01. ASIGNACION AREA";"02. MAPEO";"03. DESARROLLO";"04. VALIDA US";"05. VOBO US";"06. BW-EJECUCION";"07. VALIDACIÓN BAJAWARE";"08. CERRADA"},0)
  =
  MATCH(_xlfn.XLOOKUP(INDEX($B:$B, (ROW()-7)),'Relacion '!$E:$E,'Relacion '!$D:$D,""),{"01. ASIGNACION AREA";"02. MAPEO";"03. DESARROLLO";"04. VALIDA US";"05. VOBO US";"06. BW-EJECUCION";"07. VALIDACIÓN BAJAWARE";"08. CERRADA"},0),
  _xlfn.XLOOKUP(INDEX($B:$B, (ROW()-7)),'Relacion '!$E:$E,'Relacion '!#REF!,0),
  0
 )
)</f>
        <v>0</v>
      </c>
      <c r="I306" s="241">
        <f t="shared" ca="1" si="63"/>
        <v>1</v>
      </c>
      <c r="J306" s="241"/>
      <c r="K306" s="241"/>
      <c r="L306" s="238"/>
    </row>
    <row r="307" spans="2:12" outlineLevel="1">
      <c r="B307" s="237" t="s">
        <v>656</v>
      </c>
      <c r="C307" s="237" t="s">
        <v>656</v>
      </c>
      <c r="D307" s="238" t="str">
        <f>_xlfn.XLOOKUP(B307,'Relacion '!$E:$E,'Relacion '!$D:$D,"")</f>
        <v/>
      </c>
      <c r="E307" s="239">
        <f t="shared" si="61"/>
        <v>0</v>
      </c>
      <c r="F307" s="240" cm="1">
        <f t="array" ref="F307">MIN(INDEX('Relacion '!$AL$5:$AM$493,MATCH(INDEX($B:$B, (ROW()-8)),'Relacion '!$E$5:$E$493,0),0))</f>
        <v>46141</v>
      </c>
      <c r="G307" s="240" cm="1">
        <f t="array" ref="G307">MAX(INDEX('Relacion '!$AL$5:$AM$493,MATCH(INDEX($B:$B, (ROW()-8)),'Relacion '!$E$5:$E$493,0),0))</f>
        <v>46141</v>
      </c>
      <c r="H307" s="241" cm="1">
        <f t="array" ref="H307">IF(
 MATCH(B307,{"01. ASIGNACION AREA";"02. MAPEO";"03. DESARROLLO";"04. VALIDA US";"05. VOBO US";"06. BW-EJECUCION";"07. VALIDACIÓN BAJAWARE";"08. CERRADA"},0)
 &lt;
 MATCH(_xlfn.XLOOKUP(INDEX($B:$B, (ROW()-8)),'Relacion '!$E:$E,'Relacion '!$D:$D,""),{"01. ASIGNACION AREA";"02. MAPEO";"03. DESARROLLO";"04. VALIDA US";"05. VOBO US";"06. BW-EJECUCION";"07. VALIDACIÓN BAJAWARE";"08. CERRADA"},0),
 1,
 IF(
  MATCH(B307,{"01. ASIGNACION AREA";"02. MAPEO";"03. DESARROLLO";"04. VALIDA US";"05. VOBO US";"06. BW-EJECUCION";"07. VALIDACIÓN BAJAWARE";"08. CERRADA"},0)
  =
  MATCH(_xlfn.XLOOKUP(INDEX($B:$B, (ROW()-8)),'Relacion '!$E:$E,'Relacion '!$D:$D,""),{"01. ASIGNACION AREA";"02. MAPEO";"03. DESARROLLO";"04. VALIDA US";"05. VOBO US";"06. BW-EJECUCION";"07. VALIDACIÓN BAJAWARE";"08. CERRADA"},0),
  _xlfn.XLOOKUP(INDEX($B:$B, (ROW()-8)),'Relacion '!$E:$E,'Relacion '!#REF!,0),
  0
 )
)</f>
        <v>0</v>
      </c>
      <c r="I307" s="241">
        <f t="shared" ca="1" si="63"/>
        <v>1</v>
      </c>
      <c r="J307" s="241"/>
      <c r="K307" s="241"/>
      <c r="L307" s="238"/>
    </row>
    <row r="308" spans="2:12">
      <c r="B308" s="232" t="s">
        <v>453</v>
      </c>
      <c r="C308" s="168" t="s">
        <v>454</v>
      </c>
      <c r="D308" s="236" t="str">
        <f>_xlfn.XLOOKUP(B308,'Relacion '!$E:$E,'Relacion '!$D:$D,"")</f>
        <v>04. VALIDA US</v>
      </c>
      <c r="E308" s="233">
        <f t="shared" si="61"/>
        <v>482</v>
      </c>
      <c r="F308" s="234" cm="1">
        <f t="array" ref="F308">MIN(INDEX('Relacion '!$X$5:$AM$493,MATCH(INDEX($B:$B, (ROW()-0)),'Relacion '!$E$5:$E$493,0),0))</f>
        <v>45659</v>
      </c>
      <c r="G308" s="234" cm="1">
        <f t="array" ref="G308">MAX(INDEX('Relacion '!$X$5:$AM$493,MATCH(INDEX($B:$B, (ROW()-0)),'Relacion '!$E$5:$E$493,0),0))</f>
        <v>46141</v>
      </c>
      <c r="H308" s="235" t="e">
        <f>AVERAGE(H309:H316)</f>
        <v>#REF!</v>
      </c>
      <c r="I308" s="235">
        <f t="shared" ref="I308" ca="1" si="72">AVERAGE(I309:I316)</f>
        <v>1</v>
      </c>
      <c r="J308" s="236" t="str">
        <f>IF(ISNUMBER(SEARCH("Rocha", _xlfn.XLOOKUP(B308,'Relacion '!$E:$E,'Relacion '!$I:$I,""))), "Sí", "No")</f>
        <v>No</v>
      </c>
      <c r="K308" s="236" t="str">
        <f>IF(ISNUMBER(SEARCH("Rocha", _xlfn.XLOOKUP(B308,'Relacion '!$E:$E,'Relacion '!$I:$I,""))), "RMC", _xlfn.XLOOKUP(B308,'Relacion '!$E:$E,'Relacion '!$B:$B,""))</f>
        <v>Operaciones Captacion</v>
      </c>
      <c r="L308" s="236" t="str">
        <f>_xlfn.XLOOKUP(B308,'Relacion '!$E:$E,'Relacion '!$C:$C,"")</f>
        <v>Luis Alberto</v>
      </c>
    </row>
    <row r="309" spans="2:12" outlineLevel="1">
      <c r="B309" s="237" t="s">
        <v>654</v>
      </c>
      <c r="C309" s="237" t="s">
        <v>654</v>
      </c>
      <c r="D309" s="238" t="str">
        <f>_xlfn.XLOOKUP(B309,'Relacion '!$E:$E,'Relacion '!$D:$D,"")</f>
        <v/>
      </c>
      <c r="E309" s="239">
        <f t="shared" si="61"/>
        <v>424</v>
      </c>
      <c r="F309" s="240" cm="1">
        <f t="array" ref="F309">MIN(INDEX('Relacion '!$X$5:$Y$493,MATCH(INDEX($B:$B, (ROW()-1)),'Relacion '!$E$5:$E$493,0),0))</f>
        <v>45659</v>
      </c>
      <c r="G309" s="240" cm="1">
        <f t="array" ref="G309">MAX(INDEX('Relacion '!$X$5:$Y$493,MATCH(INDEX($B:$B, (ROW()-1)),'Relacion '!$E$5:$E$493,0),0))</f>
        <v>46083</v>
      </c>
      <c r="H309" s="241" cm="1">
        <f t="array" ref="H309">IF(
 MATCH(B309,{"01. ASIGNACION AREA";"02. MAPEO";"03. DESARROLLO";"04. VALIDA US";"05. VOBO US";"06. BW-EJECUCION";"07. VALIDACIÓN BAJAWARE";"08. CERRADA"},0)
 &lt;
 MATCH(_xlfn.XLOOKUP(INDEX($B:$B, (ROW()-1)),'Relacion '!$E:$E,'Relacion '!$D:$D,""),{"01. ASIGNACION AREA";"02. MAPEO";"03. DESARROLLO";"04. VALIDA US";"05. VOBO US";"06. BW-EJECUCION";"07. VALIDACIÓN BAJAWARE";"08. CERRADA"},0),
 1,
 IF(
  MATCH(B309,{"01. ASIGNACION AREA";"02. MAPEO";"03. DESARROLLO";"04. VALIDA US";"05. VOBO US";"06. BW-EJECUCION";"07. VALIDACIÓN BAJAWARE";"08. CERRADA"},0)
  =
  MATCH(_xlfn.XLOOKUP(INDEX($B:$B, (ROW()-1)),'Relacion '!$E:$E,'Relacion '!$D:$D,""),{"01. ASIGNACION AREA";"02. MAPEO";"03. DESARROLLO";"04. VALIDA US";"05. VOBO US";"06. BW-EJECUCION";"07. VALIDACIÓN BAJAWARE";"08. CERRADA"},0),
  _xlfn.XLOOKUP(INDEX($B:$B, (ROW()-1)),'Relacion '!$E:$E,'Relacion '!#REF!,0),
  0
 )
)</f>
        <v>1</v>
      </c>
      <c r="I309" s="241">
        <f t="shared" ref="I309" ca="1" si="73">IF(G309&lt;=TODAY(), 1, 0)</f>
        <v>1</v>
      </c>
      <c r="J309" s="241"/>
      <c r="K309" s="241"/>
      <c r="L309" s="238"/>
    </row>
    <row r="310" spans="2:12" outlineLevel="1">
      <c r="B310" s="237" t="s">
        <v>195</v>
      </c>
      <c r="C310" s="237" t="s">
        <v>195</v>
      </c>
      <c r="D310" s="238" t="str">
        <f>_xlfn.XLOOKUP(B310,'Relacion '!$E:$E,'Relacion '!$D:$D,"")</f>
        <v/>
      </c>
      <c r="E310" s="239">
        <f t="shared" si="61"/>
        <v>0</v>
      </c>
      <c r="F310" s="240" cm="1">
        <f t="array" ref="F310">MIN(INDEX('Relacion '!$Z$5:$AA$493,MATCH(INDEX($B:$B, (ROW()-2)),'Relacion '!$E$5:$E$493,0),0))</f>
        <v>46084</v>
      </c>
      <c r="G310" s="240" cm="1">
        <f t="array" ref="G310">MAX(INDEX('Relacion '!$Z$5:$AA$493,MATCH(INDEX($B:$B, (ROW()-2)),'Relacion '!$E$5:$E$493,0),0))</f>
        <v>46084</v>
      </c>
      <c r="H310" s="241" cm="1">
        <f t="array" ref="H310">IF(
 MATCH(B310,{"01. ASIGNACION AREA";"02. MAPEO";"03. DESARROLLO";"04. VALIDA US";"05. VOBO US";"06. BW-EJECUCION";"07. VALIDACIÓN BAJAWARE";"08. CERRADA"},0)
 &lt;
 MATCH(_xlfn.XLOOKUP(INDEX($B:$B, (ROW()-2)),'Relacion '!$E:$E,'Relacion '!$D:$D,""),{"01. ASIGNACION AREA";"02. MAPEO";"03. DESARROLLO";"04. VALIDA US";"05. VOBO US";"06. BW-EJECUCION";"07. VALIDACIÓN BAJAWARE";"08. CERRADA"},0),
 1,
 IF(
  MATCH(B310,{"01. ASIGNACION AREA";"02. MAPEO";"03. DESARROLLO";"04. VALIDA US";"05. VOBO US";"06. BW-EJECUCION";"07. VALIDACIÓN BAJAWARE";"08. CERRADA"},0)
  =
  MATCH(_xlfn.XLOOKUP(INDEX($B:$B, (ROW()-2)),'Relacion '!$E:$E,'Relacion '!$D:$D,""),{"01. ASIGNACION AREA";"02. MAPEO";"03. DESARROLLO";"04. VALIDA US";"05. VOBO US";"06. BW-EJECUCION";"07. VALIDACIÓN BAJAWARE";"08. CERRADA"},0),
  _xlfn.XLOOKUP(INDEX($B:$B, (ROW()-2)),'Relacion '!$E:$E,'Relacion '!#REF!,0),
  0
 )
)</f>
        <v>1</v>
      </c>
      <c r="I310" s="241">
        <f t="shared" ca="1" si="63"/>
        <v>1</v>
      </c>
      <c r="J310" s="241"/>
      <c r="K310" s="241"/>
      <c r="L310" s="238"/>
    </row>
    <row r="311" spans="2:12" outlineLevel="1">
      <c r="B311" s="237" t="s">
        <v>49</v>
      </c>
      <c r="C311" s="237" t="s">
        <v>49</v>
      </c>
      <c r="D311" s="238" t="str">
        <f>_xlfn.XLOOKUP(B311,'Relacion '!$E:$E,'Relacion '!$D:$D,"")</f>
        <v/>
      </c>
      <c r="E311" s="239">
        <f t="shared" si="61"/>
        <v>13</v>
      </c>
      <c r="F311" s="240" cm="1">
        <f t="array" ref="F311">MIN(INDEX('Relacion '!$AB$5:$AC$493,MATCH(INDEX($B:$B, (ROW()-3)),'Relacion '!$E$5:$E$493,0),0))</f>
        <v>46085</v>
      </c>
      <c r="G311" s="240" cm="1">
        <f t="array" ref="G311">MAX(INDEX('Relacion '!$AB$5:$AC$493,MATCH(INDEX($B:$B, (ROW()-3)),'Relacion '!$E$5:$E$493,0),0))</f>
        <v>46098</v>
      </c>
      <c r="H311" s="241" cm="1">
        <f t="array" ref="H311">IF(
 MATCH(B311,{"01. ASIGNACION AREA";"02. MAPEO";"03. DESARROLLO";"04. VALIDA US";"05. VOBO US";"06. BW-EJECUCION";"07. VALIDACIÓN BAJAWARE";"08. CERRADA"},0)
 &lt;
 MATCH(_xlfn.XLOOKUP(INDEX($B:$B, (ROW()-3)),'Relacion '!$E:$E,'Relacion '!$D:$D,""),{"01. ASIGNACION AREA";"02. MAPEO";"03. DESARROLLO";"04. VALIDA US";"05. VOBO US";"06. BW-EJECUCION";"07. VALIDACIÓN BAJAWARE";"08. CERRADA"},0),
 1,
 IF(
  MATCH(B311,{"01. ASIGNACION AREA";"02. MAPEO";"03. DESARROLLO";"04. VALIDA US";"05. VOBO US";"06. BW-EJECUCION";"07. VALIDACIÓN BAJAWARE";"08. CERRADA"},0)
  =
  MATCH(_xlfn.XLOOKUP(INDEX($B:$B, (ROW()-3)),'Relacion '!$E:$E,'Relacion '!$D:$D,""),{"01. ASIGNACION AREA";"02. MAPEO";"03. DESARROLLO";"04. VALIDA US";"05. VOBO US";"06. BW-EJECUCION";"07. VALIDACIÓN BAJAWARE";"08. CERRADA"},0),
  _xlfn.XLOOKUP(INDEX($B:$B, (ROW()-3)),'Relacion '!$E:$E,'Relacion '!#REF!,0),
  0
 )
)</f>
        <v>1</v>
      </c>
      <c r="I311" s="241">
        <f t="shared" ca="1" si="63"/>
        <v>1</v>
      </c>
      <c r="J311" s="241"/>
      <c r="K311" s="241"/>
      <c r="L311" s="238"/>
    </row>
    <row r="312" spans="2:12" outlineLevel="1">
      <c r="B312" s="237" t="s">
        <v>324</v>
      </c>
      <c r="C312" s="237" t="s">
        <v>324</v>
      </c>
      <c r="D312" s="238" t="str">
        <f>_xlfn.XLOOKUP(B312,'Relacion '!$E:$E,'Relacion '!$D:$D,"")</f>
        <v/>
      </c>
      <c r="E312" s="239">
        <f t="shared" si="61"/>
        <v>20</v>
      </c>
      <c r="F312" s="240" cm="1">
        <f t="array" ref="F312">MIN(INDEX('Relacion '!$AD$5:$AE$493,MATCH(INDEX($B:$B, (ROW()-4)),'Relacion '!$E$5:$E$493,0),0))</f>
        <v>46099</v>
      </c>
      <c r="G312" s="240" cm="1">
        <f t="array" ref="G312">MAX(INDEX('Relacion '!$AD$5:$AE$493,MATCH(INDEX($B:$B, (ROW()-4)),'Relacion '!$E$5:$E$493,0),0))</f>
        <v>46119</v>
      </c>
      <c r="H312" s="241" t="e" cm="1">
        <f t="array" ref="H312">IF(
 MATCH(B312,{"01. ASIGNACION AREA";"02. MAPEO";"03. DESARROLLO";"04. VALIDA US";"05. VOBO US";"06. BW-EJECUCION";"07. VALIDACIÓN BAJAWARE";"08. CERRADA"},0)
 &lt;
 MATCH(_xlfn.XLOOKUP(INDEX($B:$B, (ROW()-4)),'Relacion '!$E:$E,'Relacion '!$D:$D,""),{"01. ASIGNACION AREA";"02. MAPEO";"03. DESARROLLO";"04. VALIDA US";"05. VOBO US";"06. BW-EJECUCION";"07. VALIDACIÓN BAJAWARE";"08. CERRADA"},0),
 1,
 IF(
  MATCH(B312,{"01. ASIGNACION AREA";"02. MAPEO";"03. DESARROLLO";"04. VALIDA US";"05. VOBO US";"06. BW-EJECUCION";"07. VALIDACIÓN BAJAWARE";"08. CERRADA"},0)
  =
  MATCH(_xlfn.XLOOKUP(INDEX($B:$B, (ROW()-4)),'Relacion '!$E:$E,'Relacion '!$D:$D,""),{"01. ASIGNACION AREA";"02. MAPEO";"03. DESARROLLO";"04. VALIDA US";"05. VOBO US";"06. BW-EJECUCION";"07. VALIDACIÓN BAJAWARE";"08. CERRADA"},0),
  _xlfn.XLOOKUP(INDEX($B:$B, (ROW()-4)),'Relacion '!$E:$E,'Relacion '!#REF!,0),
  0
 )
)</f>
        <v>#REF!</v>
      </c>
      <c r="I312" s="241">
        <f t="shared" ca="1" si="63"/>
        <v>1</v>
      </c>
      <c r="J312" s="241"/>
      <c r="K312" s="241"/>
      <c r="L312" s="238"/>
    </row>
    <row r="313" spans="2:12" outlineLevel="1">
      <c r="B313" s="237" t="s">
        <v>320</v>
      </c>
      <c r="C313" s="237" t="s">
        <v>320</v>
      </c>
      <c r="D313" s="238" t="str">
        <f>_xlfn.XLOOKUP(B313,'Relacion '!$E:$E,'Relacion '!$D:$D,"")</f>
        <v/>
      </c>
      <c r="E313" s="239">
        <f t="shared" si="61"/>
        <v>1</v>
      </c>
      <c r="F313" s="240" cm="1">
        <f t="array" ref="F313">MIN(INDEX('Relacion '!$AF$5:$AG$493,MATCH(INDEX($B:$B, (ROW()-5)),'Relacion '!$E$5:$E$493,0),0))</f>
        <v>46119</v>
      </c>
      <c r="G313" s="240" cm="1">
        <f t="array" ref="G313">MAX(INDEX('Relacion '!$AF$5:$AG$493,MATCH(INDEX($B:$B, (ROW()-5)),'Relacion '!$E$5:$E$493,0),0))</f>
        <v>46120</v>
      </c>
      <c r="H313" s="241" cm="1">
        <f t="array" ref="H313">IF(
 MATCH(B313,{"01. ASIGNACION AREA";"02. MAPEO";"03. DESARROLLO";"04. VALIDA US";"05. VOBO US";"06. BW-EJECUCION";"07. VALIDACIÓN BAJAWARE";"08. CERRADA"},0)
 &lt;
 MATCH(_xlfn.XLOOKUP(INDEX($B:$B, (ROW()-5)),'Relacion '!$E:$E,'Relacion '!$D:$D,""),{"01. ASIGNACION AREA";"02. MAPEO";"03. DESARROLLO";"04. VALIDA US";"05. VOBO US";"06. BW-EJECUCION";"07. VALIDACIÓN BAJAWARE";"08. CERRADA"},0),
 1,
 IF(
  MATCH(B313,{"01. ASIGNACION AREA";"02. MAPEO";"03. DESARROLLO";"04. VALIDA US";"05. VOBO US";"06. BW-EJECUCION";"07. VALIDACIÓN BAJAWARE";"08. CERRADA"},0)
  =
  MATCH(_xlfn.XLOOKUP(INDEX($B:$B, (ROW()-5)),'Relacion '!$E:$E,'Relacion '!$D:$D,""),{"01. ASIGNACION AREA";"02. MAPEO";"03. DESARROLLO";"04. VALIDA US";"05. VOBO US";"06. BW-EJECUCION";"07. VALIDACIÓN BAJAWARE";"08. CERRADA"},0),
  _xlfn.XLOOKUP(INDEX($B:$B, (ROW()-5)),'Relacion '!$E:$E,'Relacion '!#REF!,0),
  0
 )
)</f>
        <v>0</v>
      </c>
      <c r="I313" s="241">
        <f t="shared" ca="1" si="63"/>
        <v>1</v>
      </c>
      <c r="J313" s="241"/>
      <c r="K313" s="241"/>
      <c r="L313" s="238"/>
    </row>
    <row r="314" spans="2:12" outlineLevel="1">
      <c r="B314" s="237" t="s">
        <v>710</v>
      </c>
      <c r="C314" s="237" t="s">
        <v>710</v>
      </c>
      <c r="D314" s="238" t="str">
        <f>_xlfn.XLOOKUP(B314,'Relacion '!$E:$E,'Relacion '!$D:$D,"")</f>
        <v/>
      </c>
      <c r="E314" s="239">
        <f t="shared" si="61"/>
        <v>4</v>
      </c>
      <c r="F314" s="240" cm="1">
        <f t="array" ref="F314">MIN(INDEX('Relacion '!$AH$5:$AI$493,MATCH(INDEX($B:$B, (ROW()-6)),'Relacion '!$E$5:$E$493,0),0))</f>
        <v>46121</v>
      </c>
      <c r="G314" s="240" cm="1">
        <f t="array" ref="G314">MAX(INDEX('Relacion '!$AH$5:$AI$493,MATCH(INDEX($B:$B, (ROW()-6)),'Relacion '!$E$5:$E$493,0),0))</f>
        <v>46125</v>
      </c>
      <c r="H314" s="241" cm="1">
        <f t="array" ref="H314">IF(
 MATCH(B314,{"01. ASIGNACION AREA";"02. MAPEO";"03. DESARROLLO";"04. VALIDA US";"05. VOBO US";"06. BW-EJECUCION";"07. VALIDACIÓN BAJAWARE";"08. CERRADA"},0)
 &lt;
 MATCH(_xlfn.XLOOKUP(INDEX($B:$B, (ROW()-6)),'Relacion '!$E:$E,'Relacion '!$D:$D,""),{"01. ASIGNACION AREA";"02. MAPEO";"03. DESARROLLO";"04. VALIDA US";"05. VOBO US";"06. BW-EJECUCION";"07. VALIDACIÓN BAJAWARE";"08. CERRADA"},0),
 1,
 IF(
  MATCH(B314,{"01. ASIGNACION AREA";"02. MAPEO";"03. DESARROLLO";"04. VALIDA US";"05. VOBO US";"06. BW-EJECUCION";"07. VALIDACIÓN BAJAWARE";"08. CERRADA"},0)
  =
  MATCH(_xlfn.XLOOKUP(INDEX($B:$B, (ROW()-6)),'Relacion '!$E:$E,'Relacion '!$D:$D,""),{"01. ASIGNACION AREA";"02. MAPEO";"03. DESARROLLO";"04. VALIDA US";"05. VOBO US";"06. BW-EJECUCION";"07. VALIDACIÓN BAJAWARE";"08. CERRADA"},0),
  _xlfn.XLOOKUP(INDEX($B:$B, (ROW()-6)),'Relacion '!$E:$E,'Relacion '!#REF!,0),
  0
 )
)</f>
        <v>0</v>
      </c>
      <c r="I314" s="241">
        <f t="shared" ca="1" si="63"/>
        <v>1</v>
      </c>
      <c r="J314" s="241"/>
      <c r="K314" s="241"/>
      <c r="L314" s="238"/>
    </row>
    <row r="315" spans="2:12" outlineLevel="1">
      <c r="B315" s="237" t="s">
        <v>655</v>
      </c>
      <c r="C315" s="237" t="s">
        <v>655</v>
      </c>
      <c r="D315" s="238" t="str">
        <f>_xlfn.XLOOKUP(B315,'Relacion '!$E:$E,'Relacion '!$D:$D,"")</f>
        <v/>
      </c>
      <c r="E315" s="239">
        <f t="shared" si="61"/>
        <v>14</v>
      </c>
      <c r="F315" s="240" cm="1">
        <f t="array" ref="F315">MIN(INDEX('Relacion '!$AJ$5:$AK$493,MATCH(INDEX($B:$B, (ROW()-7)),'Relacion '!$E$5:$E$493,0),0))</f>
        <v>46126</v>
      </c>
      <c r="G315" s="240" cm="1">
        <f t="array" ref="G315">MAX(INDEX('Relacion '!$AJ$5:$AK$493,MATCH(INDEX($B:$B, (ROW()-7)),'Relacion '!$E$5:$E$493,0),0))</f>
        <v>46140</v>
      </c>
      <c r="H315" s="241" cm="1">
        <f t="array" ref="H315">IF(
 MATCH(B315,{"01. ASIGNACION AREA";"02. MAPEO";"03. DESARROLLO";"04. VALIDA US";"05. VOBO US";"06. BW-EJECUCION";"07. VALIDACIÓN BAJAWARE";"08. CERRADA"},0)
 &lt;
 MATCH(_xlfn.XLOOKUP(INDEX($B:$B, (ROW()-7)),'Relacion '!$E:$E,'Relacion '!$D:$D,""),{"01. ASIGNACION AREA";"02. MAPEO";"03. DESARROLLO";"04. VALIDA US";"05. VOBO US";"06. BW-EJECUCION";"07. VALIDACIÓN BAJAWARE";"08. CERRADA"},0),
 1,
 IF(
  MATCH(B315,{"01. ASIGNACION AREA";"02. MAPEO";"03. DESARROLLO";"04. VALIDA US";"05. VOBO US";"06. BW-EJECUCION";"07. VALIDACIÓN BAJAWARE";"08. CERRADA"},0)
  =
  MATCH(_xlfn.XLOOKUP(INDEX($B:$B, (ROW()-7)),'Relacion '!$E:$E,'Relacion '!$D:$D,""),{"01. ASIGNACION AREA";"02. MAPEO";"03. DESARROLLO";"04. VALIDA US";"05. VOBO US";"06. BW-EJECUCION";"07. VALIDACIÓN BAJAWARE";"08. CERRADA"},0),
  _xlfn.XLOOKUP(INDEX($B:$B, (ROW()-7)),'Relacion '!$E:$E,'Relacion '!#REF!,0),
  0
 )
)</f>
        <v>0</v>
      </c>
      <c r="I315" s="241">
        <f t="shared" ca="1" si="63"/>
        <v>1</v>
      </c>
      <c r="J315" s="241"/>
      <c r="K315" s="241"/>
      <c r="L315" s="238"/>
    </row>
    <row r="316" spans="2:12" outlineLevel="1">
      <c r="B316" s="237" t="s">
        <v>656</v>
      </c>
      <c r="C316" s="237" t="s">
        <v>656</v>
      </c>
      <c r="D316" s="238" t="str">
        <f>_xlfn.XLOOKUP(B316,'Relacion '!$E:$E,'Relacion '!$D:$D,"")</f>
        <v/>
      </c>
      <c r="E316" s="239">
        <f t="shared" si="61"/>
        <v>0</v>
      </c>
      <c r="F316" s="240" cm="1">
        <f t="array" ref="F316">MIN(INDEX('Relacion '!$AL$5:$AM$493,MATCH(INDEX($B:$B, (ROW()-8)),'Relacion '!$E$5:$E$493,0),0))</f>
        <v>46141</v>
      </c>
      <c r="G316" s="240" cm="1">
        <f t="array" ref="G316">MAX(INDEX('Relacion '!$AL$5:$AM$493,MATCH(INDEX($B:$B, (ROW()-8)),'Relacion '!$E$5:$E$493,0),0))</f>
        <v>46141</v>
      </c>
      <c r="H316" s="241" cm="1">
        <f t="array" ref="H316">IF(
 MATCH(B316,{"01. ASIGNACION AREA";"02. MAPEO";"03. DESARROLLO";"04. VALIDA US";"05. VOBO US";"06. BW-EJECUCION";"07. VALIDACIÓN BAJAWARE";"08. CERRADA"},0)
 &lt;
 MATCH(_xlfn.XLOOKUP(INDEX($B:$B, (ROW()-8)),'Relacion '!$E:$E,'Relacion '!$D:$D,""),{"01. ASIGNACION AREA";"02. MAPEO";"03. DESARROLLO";"04. VALIDA US";"05. VOBO US";"06. BW-EJECUCION";"07. VALIDACIÓN BAJAWARE";"08. CERRADA"},0),
 1,
 IF(
  MATCH(B316,{"01. ASIGNACION AREA";"02. MAPEO";"03. DESARROLLO";"04. VALIDA US";"05. VOBO US";"06. BW-EJECUCION";"07. VALIDACIÓN BAJAWARE";"08. CERRADA"},0)
  =
  MATCH(_xlfn.XLOOKUP(INDEX($B:$B, (ROW()-8)),'Relacion '!$E:$E,'Relacion '!$D:$D,""),{"01. ASIGNACION AREA";"02. MAPEO";"03. DESARROLLO";"04. VALIDA US";"05. VOBO US";"06. BW-EJECUCION";"07. VALIDACIÓN BAJAWARE";"08. CERRADA"},0),
  _xlfn.XLOOKUP(INDEX($B:$B, (ROW()-8)),'Relacion '!$E:$E,'Relacion '!#REF!,0),
  0
 )
)</f>
        <v>0</v>
      </c>
      <c r="I316" s="241">
        <f t="shared" ca="1" si="63"/>
        <v>1</v>
      </c>
      <c r="J316" s="241"/>
      <c r="K316" s="241"/>
      <c r="L316" s="238"/>
    </row>
    <row r="317" spans="2:12">
      <c r="B317" s="232" t="s">
        <v>130</v>
      </c>
      <c r="C317" s="137" t="s">
        <v>131</v>
      </c>
      <c r="D317" s="236" t="str">
        <f>_xlfn.XLOOKUP(B317,'Relacion '!$E:$E,'Relacion '!$D:$D,"")</f>
        <v>04. VALIDA US</v>
      </c>
      <c r="E317" s="233">
        <f t="shared" si="61"/>
        <v>478</v>
      </c>
      <c r="F317" s="234" cm="1">
        <f t="array" ref="F317">MIN(INDEX('Relacion '!$X$5:$AM$493,MATCH(INDEX($B:$B, (ROW()-0)),'Relacion '!$E$5:$E$493,0),0))</f>
        <v>45659</v>
      </c>
      <c r="G317" s="234" cm="1">
        <f t="array" ref="G317">MAX(INDEX('Relacion '!$X$5:$AM$493,MATCH(INDEX($B:$B, (ROW()-0)),'Relacion '!$E$5:$E$493,0),0))</f>
        <v>46137</v>
      </c>
      <c r="H317" s="235" t="e">
        <f>AVERAGE(H318:H325)</f>
        <v>#REF!</v>
      </c>
      <c r="I317" s="235">
        <f t="shared" ref="I317" ca="1" si="74">AVERAGE(I318:I325)</f>
        <v>1</v>
      </c>
      <c r="J317" s="236" t="str">
        <f>IF(ISNUMBER(SEARCH("Rocha", _xlfn.XLOOKUP(B317,'Relacion '!$E:$E,'Relacion '!$I:$I,""))), "Sí", "No")</f>
        <v>No</v>
      </c>
      <c r="K317" s="236" t="str">
        <f>IF(ISNUMBER(SEARCH("Rocha", _xlfn.XLOOKUP(B317,'Relacion '!$E:$E,'Relacion '!$I:$I,""))), "RMC", _xlfn.XLOOKUP(B317,'Relacion '!$E:$E,'Relacion '!$B:$B,""))</f>
        <v>Operaciones Captacion</v>
      </c>
      <c r="L317" s="236" t="str">
        <f>_xlfn.XLOOKUP(B317,'Relacion '!$E:$E,'Relacion '!$C:$C,"")</f>
        <v>Luis Alberto</v>
      </c>
    </row>
    <row r="318" spans="2:12" outlineLevel="1">
      <c r="B318" s="237" t="s">
        <v>654</v>
      </c>
      <c r="C318" s="237" t="s">
        <v>654</v>
      </c>
      <c r="D318" s="238" t="str">
        <f>_xlfn.XLOOKUP(B318,'Relacion '!$E:$E,'Relacion '!$D:$D,"")</f>
        <v/>
      </c>
      <c r="E318" s="239">
        <f t="shared" si="61"/>
        <v>424</v>
      </c>
      <c r="F318" s="240" cm="1">
        <f t="array" ref="F318">MIN(INDEX('Relacion '!$X$5:$Y$493,MATCH(INDEX($B:$B, (ROW()-1)),'Relacion '!$E$5:$E$493,0),0))</f>
        <v>45659</v>
      </c>
      <c r="G318" s="240" cm="1">
        <f t="array" ref="G318">MAX(INDEX('Relacion '!$X$5:$Y$493,MATCH(INDEX($B:$B, (ROW()-1)),'Relacion '!$E$5:$E$493,0),0))</f>
        <v>46083</v>
      </c>
      <c r="H318" s="241" cm="1">
        <f t="array" ref="H318">IF(
 MATCH(B318,{"01. ASIGNACION AREA";"02. MAPEO";"03. DESARROLLO";"04. VALIDA US";"05. VOBO US";"06. BW-EJECUCION";"07. VALIDACIÓN BAJAWARE";"08. CERRADA"},0)
 &lt;
 MATCH(_xlfn.XLOOKUP(INDEX($B:$B, (ROW()-1)),'Relacion '!$E:$E,'Relacion '!$D:$D,""),{"01. ASIGNACION AREA";"02. MAPEO";"03. DESARROLLO";"04. VALIDA US";"05. VOBO US";"06. BW-EJECUCION";"07. VALIDACIÓN BAJAWARE";"08. CERRADA"},0),
 1,
 IF(
  MATCH(B318,{"01. ASIGNACION AREA";"02. MAPEO";"03. DESARROLLO";"04. VALIDA US";"05. VOBO US";"06. BW-EJECUCION";"07. VALIDACIÓN BAJAWARE";"08. CERRADA"},0)
  =
  MATCH(_xlfn.XLOOKUP(INDEX($B:$B, (ROW()-1)),'Relacion '!$E:$E,'Relacion '!$D:$D,""),{"01. ASIGNACION AREA";"02. MAPEO";"03. DESARROLLO";"04. VALIDA US";"05. VOBO US";"06. BW-EJECUCION";"07. VALIDACIÓN BAJAWARE";"08. CERRADA"},0),
  _xlfn.XLOOKUP(INDEX($B:$B, (ROW()-1)),'Relacion '!$E:$E,'Relacion '!#REF!,0),
  0
 )
)</f>
        <v>1</v>
      </c>
      <c r="I318" s="241">
        <f t="shared" ref="I318" ca="1" si="75">IF(G318&lt;=TODAY(), 1, 0)</f>
        <v>1</v>
      </c>
      <c r="J318" s="241"/>
      <c r="K318" s="241"/>
      <c r="L318" s="238"/>
    </row>
    <row r="319" spans="2:12" outlineLevel="1">
      <c r="B319" s="237" t="s">
        <v>195</v>
      </c>
      <c r="C319" s="237" t="s">
        <v>195</v>
      </c>
      <c r="D319" s="238" t="str">
        <f>_xlfn.XLOOKUP(B319,'Relacion '!$E:$E,'Relacion '!$D:$D,"")</f>
        <v/>
      </c>
      <c r="E319" s="239">
        <f t="shared" si="61"/>
        <v>14</v>
      </c>
      <c r="F319" s="240" cm="1">
        <f t="array" ref="F319">MIN(INDEX('Relacion '!$Z$5:$AA$493,MATCH(INDEX($B:$B, (ROW()-2)),'Relacion '!$E$5:$E$493,0),0))</f>
        <v>46041</v>
      </c>
      <c r="G319" s="240" cm="1">
        <f t="array" ref="G319">MAX(INDEX('Relacion '!$Z$5:$AA$493,MATCH(INDEX($B:$B, (ROW()-2)),'Relacion '!$E$5:$E$493,0),0))</f>
        <v>46055</v>
      </c>
      <c r="H319" s="241" cm="1">
        <f t="array" ref="H319">IF(
 MATCH(B319,{"01. ASIGNACION AREA";"02. MAPEO";"03. DESARROLLO";"04. VALIDA US";"05. VOBO US";"06. BW-EJECUCION";"07. VALIDACIÓN BAJAWARE";"08. CERRADA"},0)
 &lt;
 MATCH(_xlfn.XLOOKUP(INDEX($B:$B, (ROW()-2)),'Relacion '!$E:$E,'Relacion '!$D:$D,""),{"01. ASIGNACION AREA";"02. MAPEO";"03. DESARROLLO";"04. VALIDA US";"05. VOBO US";"06. BW-EJECUCION";"07. VALIDACIÓN BAJAWARE";"08. CERRADA"},0),
 1,
 IF(
  MATCH(B319,{"01. ASIGNACION AREA";"02. MAPEO";"03. DESARROLLO";"04. VALIDA US";"05. VOBO US";"06. BW-EJECUCION";"07. VALIDACIÓN BAJAWARE";"08. CERRADA"},0)
  =
  MATCH(_xlfn.XLOOKUP(INDEX($B:$B, (ROW()-2)),'Relacion '!$E:$E,'Relacion '!$D:$D,""),{"01. ASIGNACION AREA";"02. MAPEO";"03. DESARROLLO";"04. VALIDA US";"05. VOBO US";"06. BW-EJECUCION";"07. VALIDACIÓN BAJAWARE";"08. CERRADA"},0),
  _xlfn.XLOOKUP(INDEX($B:$B, (ROW()-2)),'Relacion '!$E:$E,'Relacion '!#REF!,0),
  0
 )
)</f>
        <v>1</v>
      </c>
      <c r="I319" s="241">
        <f t="shared" ca="1" si="63"/>
        <v>1</v>
      </c>
      <c r="J319" s="241"/>
      <c r="K319" s="241"/>
      <c r="L319" s="238"/>
    </row>
    <row r="320" spans="2:12" outlineLevel="1">
      <c r="B320" s="237" t="s">
        <v>49</v>
      </c>
      <c r="C320" s="237" t="s">
        <v>49</v>
      </c>
      <c r="D320" s="238" t="str">
        <f>_xlfn.XLOOKUP(B320,'Relacion '!$E:$E,'Relacion '!$D:$D,"")</f>
        <v/>
      </c>
      <c r="E320" s="239">
        <f t="shared" si="61"/>
        <v>17</v>
      </c>
      <c r="F320" s="240" cm="1">
        <f t="array" ref="F320">MIN(INDEX('Relacion '!$AB$5:$AC$493,MATCH(INDEX($B:$B, (ROW()-3)),'Relacion '!$E$5:$E$493,0),0))</f>
        <v>46056</v>
      </c>
      <c r="G320" s="240" cm="1">
        <f t="array" ref="G320">MAX(INDEX('Relacion '!$AB$5:$AC$493,MATCH(INDEX($B:$B, (ROW()-3)),'Relacion '!$E$5:$E$493,0),0))</f>
        <v>46073</v>
      </c>
      <c r="H320" s="241" cm="1">
        <f t="array" ref="H320">IF(
 MATCH(B320,{"01. ASIGNACION AREA";"02. MAPEO";"03. DESARROLLO";"04. VALIDA US";"05. VOBO US";"06. BW-EJECUCION";"07. VALIDACIÓN BAJAWARE";"08. CERRADA"},0)
 &lt;
 MATCH(_xlfn.XLOOKUP(INDEX($B:$B, (ROW()-3)),'Relacion '!$E:$E,'Relacion '!$D:$D,""),{"01. ASIGNACION AREA";"02. MAPEO";"03. DESARROLLO";"04. VALIDA US";"05. VOBO US";"06. BW-EJECUCION";"07. VALIDACIÓN BAJAWARE";"08. CERRADA"},0),
 1,
 IF(
  MATCH(B320,{"01. ASIGNACION AREA";"02. MAPEO";"03. DESARROLLO";"04. VALIDA US";"05. VOBO US";"06. BW-EJECUCION";"07. VALIDACIÓN BAJAWARE";"08. CERRADA"},0)
  =
  MATCH(_xlfn.XLOOKUP(INDEX($B:$B, (ROW()-3)),'Relacion '!$E:$E,'Relacion '!$D:$D,""),{"01. ASIGNACION AREA";"02. MAPEO";"03. DESARROLLO";"04. VALIDA US";"05. VOBO US";"06. BW-EJECUCION";"07. VALIDACIÓN BAJAWARE";"08. CERRADA"},0),
  _xlfn.XLOOKUP(INDEX($B:$B, (ROW()-3)),'Relacion '!$E:$E,'Relacion '!#REF!,0),
  0
 )
)</f>
        <v>1</v>
      </c>
      <c r="I320" s="241">
        <f t="shared" ca="1" si="63"/>
        <v>1</v>
      </c>
      <c r="J320" s="241"/>
      <c r="K320" s="241"/>
      <c r="L320" s="238"/>
    </row>
    <row r="321" spans="2:12" outlineLevel="1">
      <c r="B321" s="237" t="s">
        <v>324</v>
      </c>
      <c r="C321" s="237" t="s">
        <v>324</v>
      </c>
      <c r="D321" s="238" t="str">
        <f>_xlfn.XLOOKUP(B321,'Relacion '!$E:$E,'Relacion '!$D:$D,"")</f>
        <v/>
      </c>
      <c r="E321" s="239">
        <f t="shared" si="61"/>
        <v>18</v>
      </c>
      <c r="F321" s="240" cm="1">
        <f t="array" ref="F321">MIN(INDEX('Relacion '!$AD$5:$AE$493,MATCH(INDEX($B:$B, (ROW()-4)),'Relacion '!$E$5:$E$493,0),0))</f>
        <v>46076</v>
      </c>
      <c r="G321" s="240" cm="1">
        <f t="array" ref="G321">MAX(INDEX('Relacion '!$AD$5:$AE$493,MATCH(INDEX($B:$B, (ROW()-4)),'Relacion '!$E$5:$E$493,0),0))</f>
        <v>46094</v>
      </c>
      <c r="H321" s="241" t="e" cm="1">
        <f t="array" ref="H321">IF(
 MATCH(B321,{"01. ASIGNACION AREA";"02. MAPEO";"03. DESARROLLO";"04. VALIDA US";"05. VOBO US";"06. BW-EJECUCION";"07. VALIDACIÓN BAJAWARE";"08. CERRADA"},0)
 &lt;
 MATCH(_xlfn.XLOOKUP(INDEX($B:$B, (ROW()-4)),'Relacion '!$E:$E,'Relacion '!$D:$D,""),{"01. ASIGNACION AREA";"02. MAPEO";"03. DESARROLLO";"04. VALIDA US";"05. VOBO US";"06. BW-EJECUCION";"07. VALIDACIÓN BAJAWARE";"08. CERRADA"},0),
 1,
 IF(
  MATCH(B321,{"01. ASIGNACION AREA";"02. MAPEO";"03. DESARROLLO";"04. VALIDA US";"05. VOBO US";"06. BW-EJECUCION";"07. VALIDACIÓN BAJAWARE";"08. CERRADA"},0)
  =
  MATCH(_xlfn.XLOOKUP(INDEX($B:$B, (ROW()-4)),'Relacion '!$E:$E,'Relacion '!$D:$D,""),{"01. ASIGNACION AREA";"02. MAPEO";"03. DESARROLLO";"04. VALIDA US";"05. VOBO US";"06. BW-EJECUCION";"07. VALIDACIÓN BAJAWARE";"08. CERRADA"},0),
  _xlfn.XLOOKUP(INDEX($B:$B, (ROW()-4)),'Relacion '!$E:$E,'Relacion '!#REF!,0),
  0
 )
)</f>
        <v>#REF!</v>
      </c>
      <c r="I321" s="241">
        <f t="shared" ca="1" si="63"/>
        <v>1</v>
      </c>
      <c r="J321" s="241"/>
      <c r="K321" s="241"/>
      <c r="L321" s="238"/>
    </row>
    <row r="322" spans="2:12" outlineLevel="1">
      <c r="B322" s="237" t="s">
        <v>320</v>
      </c>
      <c r="C322" s="237" t="s">
        <v>320</v>
      </c>
      <c r="D322" s="238" t="str">
        <f>_xlfn.XLOOKUP(B322,'Relacion '!$E:$E,'Relacion '!$D:$D,"")</f>
        <v/>
      </c>
      <c r="E322" s="239">
        <f t="shared" ref="E322:E385" si="76">IF(OR(F322="",G322=""),"",G322-F322)</f>
        <v>1</v>
      </c>
      <c r="F322" s="240" cm="1">
        <f t="array" ref="F322">MIN(INDEX('Relacion '!$AF$5:$AG$493,MATCH(INDEX($B:$B, (ROW()-5)),'Relacion '!$E$5:$E$493,0),0))</f>
        <v>46093</v>
      </c>
      <c r="G322" s="240" cm="1">
        <f t="array" ref="G322">MAX(INDEX('Relacion '!$AF$5:$AG$493,MATCH(INDEX($B:$B, (ROW()-5)),'Relacion '!$E$5:$E$493,0),0))</f>
        <v>46094</v>
      </c>
      <c r="H322" s="241" cm="1">
        <f t="array" ref="H322">IF(
 MATCH(B322,{"01. ASIGNACION AREA";"02. MAPEO";"03. DESARROLLO";"04. VALIDA US";"05. VOBO US";"06. BW-EJECUCION";"07. VALIDACIÓN BAJAWARE";"08. CERRADA"},0)
 &lt;
 MATCH(_xlfn.XLOOKUP(INDEX($B:$B, (ROW()-5)),'Relacion '!$E:$E,'Relacion '!$D:$D,""),{"01. ASIGNACION AREA";"02. MAPEO";"03. DESARROLLO";"04. VALIDA US";"05. VOBO US";"06. BW-EJECUCION";"07. VALIDACIÓN BAJAWARE";"08. CERRADA"},0),
 1,
 IF(
  MATCH(B322,{"01. ASIGNACION AREA";"02. MAPEO";"03. DESARROLLO";"04. VALIDA US";"05. VOBO US";"06. BW-EJECUCION";"07. VALIDACIÓN BAJAWARE";"08. CERRADA"},0)
  =
  MATCH(_xlfn.XLOOKUP(INDEX($B:$B, (ROW()-5)),'Relacion '!$E:$E,'Relacion '!$D:$D,""),{"01. ASIGNACION AREA";"02. MAPEO";"03. DESARROLLO";"04. VALIDA US";"05. VOBO US";"06. BW-EJECUCION";"07. VALIDACIÓN BAJAWARE";"08. CERRADA"},0),
  _xlfn.XLOOKUP(INDEX($B:$B, (ROW()-5)),'Relacion '!$E:$E,'Relacion '!#REF!,0),
  0
 )
)</f>
        <v>0</v>
      </c>
      <c r="I322" s="241">
        <f t="shared" ca="1" si="63"/>
        <v>1</v>
      </c>
      <c r="J322" s="241"/>
      <c r="K322" s="241"/>
      <c r="L322" s="238"/>
    </row>
    <row r="323" spans="2:12" outlineLevel="1">
      <c r="B323" s="237" t="s">
        <v>710</v>
      </c>
      <c r="C323" s="237" t="s">
        <v>710</v>
      </c>
      <c r="D323" s="238" t="str">
        <f>_xlfn.XLOOKUP(B323,'Relacion '!$E:$E,'Relacion '!$D:$D,"")</f>
        <v/>
      </c>
      <c r="E323" s="239">
        <f t="shared" si="76"/>
        <v>18</v>
      </c>
      <c r="F323" s="240" cm="1">
        <f t="array" ref="F323">MIN(INDEX('Relacion '!$AH$5:$AI$493,MATCH(INDEX($B:$B, (ROW()-6)),'Relacion '!$E$5:$E$493,0),0))</f>
        <v>46097</v>
      </c>
      <c r="G323" s="240" cm="1">
        <f t="array" ref="G323">MAX(INDEX('Relacion '!$AH$5:$AI$493,MATCH(INDEX($B:$B, (ROW()-6)),'Relacion '!$E$5:$E$493,0),0))</f>
        <v>46115</v>
      </c>
      <c r="H323" s="241" cm="1">
        <f t="array" ref="H323">IF(
 MATCH(B323,{"01. ASIGNACION AREA";"02. MAPEO";"03. DESARROLLO";"04. VALIDA US";"05. VOBO US";"06. BW-EJECUCION";"07. VALIDACIÓN BAJAWARE";"08. CERRADA"},0)
 &lt;
 MATCH(_xlfn.XLOOKUP(INDEX($B:$B, (ROW()-6)),'Relacion '!$E:$E,'Relacion '!$D:$D,""),{"01. ASIGNACION AREA";"02. MAPEO";"03. DESARROLLO";"04. VALIDA US";"05. VOBO US";"06. BW-EJECUCION";"07. VALIDACIÓN BAJAWARE";"08. CERRADA"},0),
 1,
 IF(
  MATCH(B323,{"01. ASIGNACION AREA";"02. MAPEO";"03. DESARROLLO";"04. VALIDA US";"05. VOBO US";"06. BW-EJECUCION";"07. VALIDACIÓN BAJAWARE";"08. CERRADA"},0)
  =
  MATCH(_xlfn.XLOOKUP(INDEX($B:$B, (ROW()-6)),'Relacion '!$E:$E,'Relacion '!$D:$D,""),{"01. ASIGNACION AREA";"02. MAPEO";"03. DESARROLLO";"04. VALIDA US";"05. VOBO US";"06. BW-EJECUCION";"07. VALIDACIÓN BAJAWARE";"08. CERRADA"},0),
  _xlfn.XLOOKUP(INDEX($B:$B, (ROW()-6)),'Relacion '!$E:$E,'Relacion '!#REF!,0),
  0
 )
)</f>
        <v>0</v>
      </c>
      <c r="I323" s="241">
        <f t="shared" ca="1" si="63"/>
        <v>1</v>
      </c>
      <c r="J323" s="241"/>
      <c r="K323" s="241"/>
      <c r="L323" s="238"/>
    </row>
    <row r="324" spans="2:12" outlineLevel="1">
      <c r="B324" s="237" t="s">
        <v>655</v>
      </c>
      <c r="C324" s="237" t="s">
        <v>655</v>
      </c>
      <c r="D324" s="238" t="str">
        <f>_xlfn.XLOOKUP(B324,'Relacion '!$E:$E,'Relacion '!$D:$D,"")</f>
        <v/>
      </c>
      <c r="E324" s="239">
        <f t="shared" si="76"/>
        <v>18</v>
      </c>
      <c r="F324" s="240" cm="1">
        <f t="array" ref="F324">MIN(INDEX('Relacion '!$AJ$5:$AK$493,MATCH(INDEX($B:$B, (ROW()-7)),'Relacion '!$E$5:$E$493,0),0))</f>
        <v>46118</v>
      </c>
      <c r="G324" s="240" cm="1">
        <f t="array" ref="G324">MAX(INDEX('Relacion '!$AJ$5:$AK$493,MATCH(INDEX($B:$B, (ROW()-7)),'Relacion '!$E$5:$E$493,0),0))</f>
        <v>46136</v>
      </c>
      <c r="H324" s="241" cm="1">
        <f t="array" ref="H324">IF(
 MATCH(B324,{"01. ASIGNACION AREA";"02. MAPEO";"03. DESARROLLO";"04. VALIDA US";"05. VOBO US";"06. BW-EJECUCION";"07. VALIDACIÓN BAJAWARE";"08. CERRADA"},0)
 &lt;
 MATCH(_xlfn.XLOOKUP(INDEX($B:$B, (ROW()-7)),'Relacion '!$E:$E,'Relacion '!$D:$D,""),{"01. ASIGNACION AREA";"02. MAPEO";"03. DESARROLLO";"04. VALIDA US";"05. VOBO US";"06. BW-EJECUCION";"07. VALIDACIÓN BAJAWARE";"08. CERRADA"},0),
 1,
 IF(
  MATCH(B324,{"01. ASIGNACION AREA";"02. MAPEO";"03. DESARROLLO";"04. VALIDA US";"05. VOBO US";"06. BW-EJECUCION";"07. VALIDACIÓN BAJAWARE";"08. CERRADA"},0)
  =
  MATCH(_xlfn.XLOOKUP(INDEX($B:$B, (ROW()-7)),'Relacion '!$E:$E,'Relacion '!$D:$D,""),{"01. ASIGNACION AREA";"02. MAPEO";"03. DESARROLLO";"04. VALIDA US";"05. VOBO US";"06. BW-EJECUCION";"07. VALIDACIÓN BAJAWARE";"08. CERRADA"},0),
  _xlfn.XLOOKUP(INDEX($B:$B, (ROW()-7)),'Relacion '!$E:$E,'Relacion '!#REF!,0),
  0
 )
)</f>
        <v>0</v>
      </c>
      <c r="I324" s="241">
        <f t="shared" ca="1" si="63"/>
        <v>1</v>
      </c>
      <c r="J324" s="241"/>
      <c r="K324" s="241"/>
      <c r="L324" s="238"/>
    </row>
    <row r="325" spans="2:12" outlineLevel="1">
      <c r="B325" s="237" t="s">
        <v>656</v>
      </c>
      <c r="C325" s="237" t="s">
        <v>656</v>
      </c>
      <c r="D325" s="238" t="str">
        <f>_xlfn.XLOOKUP(B325,'Relacion '!$E:$E,'Relacion '!$D:$D,"")</f>
        <v/>
      </c>
      <c r="E325" s="239">
        <f t="shared" si="76"/>
        <v>0</v>
      </c>
      <c r="F325" s="240" cm="1">
        <f t="array" ref="F325">MIN(INDEX('Relacion '!$AL$5:$AM$493,MATCH(INDEX($B:$B, (ROW()-8)),'Relacion '!$E$5:$E$493,0),0))</f>
        <v>46137</v>
      </c>
      <c r="G325" s="240" cm="1">
        <f t="array" ref="G325">MAX(INDEX('Relacion '!$AL$5:$AM$493,MATCH(INDEX($B:$B, (ROW()-8)),'Relacion '!$E$5:$E$493,0),0))</f>
        <v>46137</v>
      </c>
      <c r="H325" s="241" cm="1">
        <f t="array" ref="H325">IF(
 MATCH(B325,{"01. ASIGNACION AREA";"02. MAPEO";"03. DESARROLLO";"04. VALIDA US";"05. VOBO US";"06. BW-EJECUCION";"07. VALIDACIÓN BAJAWARE";"08. CERRADA"},0)
 &lt;
 MATCH(_xlfn.XLOOKUP(INDEX($B:$B, (ROW()-8)),'Relacion '!$E:$E,'Relacion '!$D:$D,""),{"01. ASIGNACION AREA";"02. MAPEO";"03. DESARROLLO";"04. VALIDA US";"05. VOBO US";"06. BW-EJECUCION";"07. VALIDACIÓN BAJAWARE";"08. CERRADA"},0),
 1,
 IF(
  MATCH(B325,{"01. ASIGNACION AREA";"02. MAPEO";"03. DESARROLLO";"04. VALIDA US";"05. VOBO US";"06. BW-EJECUCION";"07. VALIDACIÓN BAJAWARE";"08. CERRADA"},0)
  =
  MATCH(_xlfn.XLOOKUP(INDEX($B:$B, (ROW()-8)),'Relacion '!$E:$E,'Relacion '!$D:$D,""),{"01. ASIGNACION AREA";"02. MAPEO";"03. DESARROLLO";"04. VALIDA US";"05. VOBO US";"06. BW-EJECUCION";"07. VALIDACIÓN BAJAWARE";"08. CERRADA"},0),
  _xlfn.XLOOKUP(INDEX($B:$B, (ROW()-8)),'Relacion '!$E:$E,'Relacion '!#REF!,0),
  0
 )
)</f>
        <v>0</v>
      </c>
      <c r="I325" s="241">
        <f t="shared" ca="1" si="63"/>
        <v>1</v>
      </c>
      <c r="J325" s="241"/>
      <c r="K325" s="241"/>
      <c r="L325" s="238"/>
    </row>
    <row r="326" spans="2:12">
      <c r="B326" s="232" t="s">
        <v>283</v>
      </c>
      <c r="C326" s="167" t="s">
        <v>284</v>
      </c>
      <c r="D326" s="236" t="str">
        <f>_xlfn.XLOOKUP(B326,'Relacion '!$E:$E,'Relacion '!$D:$D,"")</f>
        <v>06. BW-EJECUCION</v>
      </c>
      <c r="E326" s="233">
        <f t="shared" si="76"/>
        <v>134</v>
      </c>
      <c r="F326" s="234" cm="1">
        <f t="array" ref="F326">MIN(INDEX('Relacion '!$X$5:$AM$493,MATCH(INDEX($B:$B, (ROW()-0)),'Relacion '!$E$5:$E$493,0),0))</f>
        <v>46024</v>
      </c>
      <c r="G326" s="234" cm="1">
        <f t="array" ref="G326">MAX(INDEX('Relacion '!$X$5:$AM$493,MATCH(INDEX($B:$B, (ROW()-0)),'Relacion '!$E$5:$E$493,0),0))</f>
        <v>46158</v>
      </c>
      <c r="H326" s="235" t="e">
        <f>AVERAGE(H327:H334)</f>
        <v>#REF!</v>
      </c>
      <c r="I326" s="235">
        <f t="shared" ref="I326" ca="1" si="77">AVERAGE(I327:I334)</f>
        <v>1</v>
      </c>
      <c r="J326" s="236" t="str">
        <f>IF(ISNUMBER(SEARCH("Rocha", _xlfn.XLOOKUP(B326,'Relacion '!$E:$E,'Relacion '!$I:$I,""))), "Sí", "No")</f>
        <v>No</v>
      </c>
      <c r="K326" s="236" t="str">
        <f>IF(ISNUMBER(SEARCH("Rocha", _xlfn.XLOOKUP(B326,'Relacion '!$E:$E,'Relacion '!$I:$I,""))), "RMC", _xlfn.XLOOKUP(B326,'Relacion '!$E:$E,'Relacion '!$B:$B,""))</f>
        <v xml:space="preserve">Contabilidad </v>
      </c>
      <c r="L326" s="236" t="str">
        <f>_xlfn.XLOOKUP(B326,'Relacion '!$E:$E,'Relacion '!$C:$C,"")</f>
        <v xml:space="preserve">Ramon Jaimes </v>
      </c>
    </row>
    <row r="327" spans="2:12" outlineLevel="1">
      <c r="B327" s="237" t="s">
        <v>654</v>
      </c>
      <c r="C327" s="237" t="s">
        <v>654</v>
      </c>
      <c r="D327" s="238" t="str">
        <f>_xlfn.XLOOKUP(B327,'Relacion '!$E:$E,'Relacion '!$D:$D,"")</f>
        <v/>
      </c>
      <c r="E327" s="239">
        <f t="shared" si="76"/>
        <v>59</v>
      </c>
      <c r="F327" s="240" cm="1">
        <f t="array" ref="F327">MIN(INDEX('Relacion '!$X$5:$Y$493,MATCH(INDEX($B:$B, (ROW()-1)),'Relacion '!$E$5:$E$493,0),0))</f>
        <v>46024</v>
      </c>
      <c r="G327" s="240" cm="1">
        <f t="array" ref="G327">MAX(INDEX('Relacion '!$X$5:$Y$493,MATCH(INDEX($B:$B, (ROW()-1)),'Relacion '!$E$5:$E$493,0),0))</f>
        <v>46083</v>
      </c>
      <c r="H327" s="241" cm="1">
        <f t="array" ref="H327">IF(
 MATCH(B327,{"01. ASIGNACION AREA";"02. MAPEO";"03. DESARROLLO";"04. VALIDA US";"05. VOBO US";"06. BW-EJECUCION";"07. VALIDACIÓN BAJAWARE";"08. CERRADA"},0)
 &lt;
 MATCH(_xlfn.XLOOKUP(INDEX($B:$B, (ROW()-1)),'Relacion '!$E:$E,'Relacion '!$D:$D,""),{"01. ASIGNACION AREA";"02. MAPEO";"03. DESARROLLO";"04. VALIDA US";"05. VOBO US";"06. BW-EJECUCION";"07. VALIDACIÓN BAJAWARE";"08. CERRADA"},0),
 1,
 IF(
  MATCH(B327,{"01. ASIGNACION AREA";"02. MAPEO";"03. DESARROLLO";"04. VALIDA US";"05. VOBO US";"06. BW-EJECUCION";"07. VALIDACIÓN BAJAWARE";"08. CERRADA"},0)
  =
  MATCH(_xlfn.XLOOKUP(INDEX($B:$B, (ROW()-1)),'Relacion '!$E:$E,'Relacion '!$D:$D,""),{"01. ASIGNACION AREA";"02. MAPEO";"03. DESARROLLO";"04. VALIDA US";"05. VOBO US";"06. BW-EJECUCION";"07. VALIDACIÓN BAJAWARE";"08. CERRADA"},0),
  _xlfn.XLOOKUP(INDEX($B:$B, (ROW()-1)),'Relacion '!$E:$E,'Relacion '!#REF!,0),
  0
 )
)</f>
        <v>1</v>
      </c>
      <c r="I327" s="241">
        <f t="shared" ref="I327:I388" ca="1" si="78">IF(G327&lt;=TODAY(), 1, 0)</f>
        <v>1</v>
      </c>
      <c r="J327" s="241"/>
      <c r="K327" s="241"/>
      <c r="L327" s="238"/>
    </row>
    <row r="328" spans="2:12" outlineLevel="1">
      <c r="B328" s="237" t="s">
        <v>195</v>
      </c>
      <c r="C328" s="237" t="s">
        <v>195</v>
      </c>
      <c r="D328" s="238" t="str">
        <f>_xlfn.XLOOKUP(B328,'Relacion '!$E:$E,'Relacion '!$D:$D,"")</f>
        <v/>
      </c>
      <c r="E328" s="239">
        <f t="shared" si="76"/>
        <v>24</v>
      </c>
      <c r="F328" s="240" cm="1">
        <f t="array" ref="F328">MIN(INDEX('Relacion '!$Z$5:$AA$493,MATCH(INDEX($B:$B, (ROW()-2)),'Relacion '!$E$5:$E$493,0),0))</f>
        <v>46056</v>
      </c>
      <c r="G328" s="240" cm="1">
        <f t="array" ref="G328">MAX(INDEX('Relacion '!$Z$5:$AA$493,MATCH(INDEX($B:$B, (ROW()-2)),'Relacion '!$E$5:$E$493,0),0))</f>
        <v>46080</v>
      </c>
      <c r="H328" s="241" cm="1">
        <f t="array" ref="H328">IF(
 MATCH(B328,{"01. ASIGNACION AREA";"02. MAPEO";"03. DESARROLLO";"04. VALIDA US";"05. VOBO US";"06. BW-EJECUCION";"07. VALIDACIÓN BAJAWARE";"08. CERRADA"},0)
 &lt;
 MATCH(_xlfn.XLOOKUP(INDEX($B:$B, (ROW()-2)),'Relacion '!$E:$E,'Relacion '!$D:$D,""),{"01. ASIGNACION AREA";"02. MAPEO";"03. DESARROLLO";"04. VALIDA US";"05. VOBO US";"06. BW-EJECUCION";"07. VALIDACIÓN BAJAWARE";"08. CERRADA"},0),
 1,
 IF(
  MATCH(B328,{"01. ASIGNACION AREA";"02. MAPEO";"03. DESARROLLO";"04. VALIDA US";"05. VOBO US";"06. BW-EJECUCION";"07. VALIDACIÓN BAJAWARE";"08. CERRADA"},0)
  =
  MATCH(_xlfn.XLOOKUP(INDEX($B:$B, (ROW()-2)),'Relacion '!$E:$E,'Relacion '!$D:$D,""),{"01. ASIGNACION AREA";"02. MAPEO";"03. DESARROLLO";"04. VALIDA US";"05. VOBO US";"06. BW-EJECUCION";"07. VALIDACIÓN BAJAWARE";"08. CERRADA"},0),
  _xlfn.XLOOKUP(INDEX($B:$B, (ROW()-2)),'Relacion '!$E:$E,'Relacion '!#REF!,0),
  0
 )
)</f>
        <v>1</v>
      </c>
      <c r="I328" s="241">
        <f t="shared" ca="1" si="78"/>
        <v>1</v>
      </c>
      <c r="J328" s="241"/>
      <c r="K328" s="241"/>
      <c r="L328" s="238"/>
    </row>
    <row r="329" spans="2:12" outlineLevel="1">
      <c r="B329" s="237" t="s">
        <v>49</v>
      </c>
      <c r="C329" s="237" t="s">
        <v>49</v>
      </c>
      <c r="D329" s="238" t="str">
        <f>_xlfn.XLOOKUP(B329,'Relacion '!$E:$E,'Relacion '!$D:$D,"")</f>
        <v/>
      </c>
      <c r="E329" s="239">
        <f t="shared" si="76"/>
        <v>25</v>
      </c>
      <c r="F329" s="240" cm="1">
        <f t="array" ref="F329">MIN(INDEX('Relacion '!$AB$5:$AC$493,MATCH(INDEX($B:$B, (ROW()-3)),'Relacion '!$E$5:$E$493,0),0))</f>
        <v>46083</v>
      </c>
      <c r="G329" s="240" cm="1">
        <f t="array" ref="G329">MAX(INDEX('Relacion '!$AB$5:$AC$493,MATCH(INDEX($B:$B, (ROW()-3)),'Relacion '!$E$5:$E$493,0),0))</f>
        <v>46108</v>
      </c>
      <c r="H329" s="241" cm="1">
        <f t="array" ref="H329">IF(
 MATCH(B329,{"01. ASIGNACION AREA";"02. MAPEO";"03. DESARROLLO";"04. VALIDA US";"05. VOBO US";"06. BW-EJECUCION";"07. VALIDACIÓN BAJAWARE";"08. CERRADA"},0)
 &lt;
 MATCH(_xlfn.XLOOKUP(INDEX($B:$B, (ROW()-3)),'Relacion '!$E:$E,'Relacion '!$D:$D,""),{"01. ASIGNACION AREA";"02. MAPEO";"03. DESARROLLO";"04. VALIDA US";"05. VOBO US";"06. BW-EJECUCION";"07. VALIDACIÓN BAJAWARE";"08. CERRADA"},0),
 1,
 IF(
  MATCH(B329,{"01. ASIGNACION AREA";"02. MAPEO";"03. DESARROLLO";"04. VALIDA US";"05. VOBO US";"06. BW-EJECUCION";"07. VALIDACIÓN BAJAWARE";"08. CERRADA"},0)
  =
  MATCH(_xlfn.XLOOKUP(INDEX($B:$B, (ROW()-3)),'Relacion '!$E:$E,'Relacion '!$D:$D,""),{"01. ASIGNACION AREA";"02. MAPEO";"03. DESARROLLO";"04. VALIDA US";"05. VOBO US";"06. BW-EJECUCION";"07. VALIDACIÓN BAJAWARE";"08. CERRADA"},0),
  _xlfn.XLOOKUP(INDEX($B:$B, (ROW()-3)),'Relacion '!$E:$E,'Relacion '!#REF!,0),
  0
 )
)</f>
        <v>1</v>
      </c>
      <c r="I329" s="241">
        <f t="shared" ca="1" si="78"/>
        <v>1</v>
      </c>
      <c r="J329" s="241"/>
      <c r="K329" s="241"/>
      <c r="L329" s="238"/>
    </row>
    <row r="330" spans="2:12" outlineLevel="1">
      <c r="B330" s="237" t="s">
        <v>324</v>
      </c>
      <c r="C330" s="237" t="s">
        <v>324</v>
      </c>
      <c r="D330" s="238" t="str">
        <f>_xlfn.XLOOKUP(B330,'Relacion '!$E:$E,'Relacion '!$D:$D,"")</f>
        <v/>
      </c>
      <c r="E330" s="239">
        <f t="shared" si="76"/>
        <v>11</v>
      </c>
      <c r="F330" s="240" cm="1">
        <f t="array" ref="F330">MIN(INDEX('Relacion '!$AD$5:$AE$493,MATCH(INDEX($B:$B, (ROW()-4)),'Relacion '!$E$5:$E$493,0),0))</f>
        <v>46111</v>
      </c>
      <c r="G330" s="240" cm="1">
        <f t="array" ref="G330">MAX(INDEX('Relacion '!$AD$5:$AE$493,MATCH(INDEX($B:$B, (ROW()-4)),'Relacion '!$E$5:$E$493,0),0))</f>
        <v>46122</v>
      </c>
      <c r="H330" s="241" cm="1">
        <f t="array" ref="H330">IF(
 MATCH(B330,{"01. ASIGNACION AREA";"02. MAPEO";"03. DESARROLLO";"04. VALIDA US";"05. VOBO US";"06. BW-EJECUCION";"07. VALIDACIÓN BAJAWARE";"08. CERRADA"},0)
 &lt;
 MATCH(_xlfn.XLOOKUP(INDEX($B:$B, (ROW()-4)),'Relacion '!$E:$E,'Relacion '!$D:$D,""),{"01. ASIGNACION AREA";"02. MAPEO";"03. DESARROLLO";"04. VALIDA US";"05. VOBO US";"06. BW-EJECUCION";"07. VALIDACIÓN BAJAWARE";"08. CERRADA"},0),
 1,
 IF(
  MATCH(B330,{"01. ASIGNACION AREA";"02. MAPEO";"03. DESARROLLO";"04. VALIDA US";"05. VOBO US";"06. BW-EJECUCION";"07. VALIDACIÓN BAJAWARE";"08. CERRADA"},0)
  =
  MATCH(_xlfn.XLOOKUP(INDEX($B:$B, (ROW()-4)),'Relacion '!$E:$E,'Relacion '!$D:$D,""),{"01. ASIGNACION AREA";"02. MAPEO";"03. DESARROLLO";"04. VALIDA US";"05. VOBO US";"06. BW-EJECUCION";"07. VALIDACIÓN BAJAWARE";"08. CERRADA"},0),
  _xlfn.XLOOKUP(INDEX($B:$B, (ROW()-4)),'Relacion '!$E:$E,'Relacion '!#REF!,0),
  0
 )
)</f>
        <v>1</v>
      </c>
      <c r="I330" s="241">
        <f t="shared" ca="1" si="78"/>
        <v>1</v>
      </c>
      <c r="J330" s="241"/>
      <c r="K330" s="241"/>
      <c r="L330" s="238"/>
    </row>
    <row r="331" spans="2:12" outlineLevel="1">
      <c r="B331" s="237" t="s">
        <v>320</v>
      </c>
      <c r="C331" s="237" t="s">
        <v>320</v>
      </c>
      <c r="D331" s="238" t="str">
        <f>_xlfn.XLOOKUP(B331,'Relacion '!$E:$E,'Relacion '!$D:$D,"")</f>
        <v/>
      </c>
      <c r="E331" s="239">
        <f t="shared" si="76"/>
        <v>1</v>
      </c>
      <c r="F331" s="240" cm="1">
        <f t="array" ref="F331">MIN(INDEX('Relacion '!$AF$5:$AG$493,MATCH(INDEX($B:$B, (ROW()-5)),'Relacion '!$E$5:$E$493,0),0))</f>
        <v>46121</v>
      </c>
      <c r="G331" s="240" cm="1">
        <f t="array" ref="G331">MAX(INDEX('Relacion '!$AF$5:$AG$493,MATCH(INDEX($B:$B, (ROW()-5)),'Relacion '!$E$5:$E$493,0),0))</f>
        <v>46122</v>
      </c>
      <c r="H331" s="241" cm="1">
        <f t="array" ref="H331">IF(
 MATCH(B331,{"01. ASIGNACION AREA";"02. MAPEO";"03. DESARROLLO";"04. VALIDA US";"05. VOBO US";"06. BW-EJECUCION";"07. VALIDACIÓN BAJAWARE";"08. CERRADA"},0)
 &lt;
 MATCH(_xlfn.XLOOKUP(INDEX($B:$B, (ROW()-5)),'Relacion '!$E:$E,'Relacion '!$D:$D,""),{"01. ASIGNACION AREA";"02. MAPEO";"03. DESARROLLO";"04. VALIDA US";"05. VOBO US";"06. BW-EJECUCION";"07. VALIDACIÓN BAJAWARE";"08. CERRADA"},0),
 1,
 IF(
  MATCH(B331,{"01. ASIGNACION AREA";"02. MAPEO";"03. DESARROLLO";"04. VALIDA US";"05. VOBO US";"06. BW-EJECUCION";"07. VALIDACIÓN BAJAWARE";"08. CERRADA"},0)
  =
  MATCH(_xlfn.XLOOKUP(INDEX($B:$B, (ROW()-5)),'Relacion '!$E:$E,'Relacion '!$D:$D,""),{"01. ASIGNACION AREA";"02. MAPEO";"03. DESARROLLO";"04. VALIDA US";"05. VOBO US";"06. BW-EJECUCION";"07. VALIDACIÓN BAJAWARE";"08. CERRADA"},0),
  _xlfn.XLOOKUP(INDEX($B:$B, (ROW()-5)),'Relacion '!$E:$E,'Relacion '!#REF!,0),
  0
 )
)</f>
        <v>1</v>
      </c>
      <c r="I331" s="241">
        <f t="shared" ca="1" si="78"/>
        <v>1</v>
      </c>
      <c r="J331" s="241"/>
      <c r="K331" s="241"/>
      <c r="L331" s="238"/>
    </row>
    <row r="332" spans="2:12" outlineLevel="1">
      <c r="B332" s="237" t="s">
        <v>710</v>
      </c>
      <c r="C332" s="237" t="s">
        <v>710</v>
      </c>
      <c r="D332" s="238" t="str">
        <f>_xlfn.XLOOKUP(B332,'Relacion '!$E:$E,'Relacion '!$D:$D,"")</f>
        <v/>
      </c>
      <c r="E332" s="239">
        <f t="shared" si="76"/>
        <v>18</v>
      </c>
      <c r="F332" s="240" cm="1">
        <f t="array" ref="F332">MIN(INDEX('Relacion '!$AH$5:$AI$493,MATCH(INDEX($B:$B, (ROW()-6)),'Relacion '!$E$5:$E$493,0),0))</f>
        <v>46125</v>
      </c>
      <c r="G332" s="240" cm="1">
        <f t="array" ref="G332">MAX(INDEX('Relacion '!$AH$5:$AI$493,MATCH(INDEX($B:$B, (ROW()-6)),'Relacion '!$E$5:$E$493,0),0))</f>
        <v>46143</v>
      </c>
      <c r="H332" s="241" t="e" cm="1">
        <f t="array" ref="H332">IF(
 MATCH(B332,{"01. ASIGNACION AREA";"02. MAPEO";"03. DESARROLLO";"04. VALIDA US";"05. VOBO US";"06. BW-EJECUCION";"07. VALIDACIÓN BAJAWARE";"08. CERRADA"},0)
 &lt;
 MATCH(_xlfn.XLOOKUP(INDEX($B:$B, (ROW()-6)),'Relacion '!$E:$E,'Relacion '!$D:$D,""),{"01. ASIGNACION AREA";"02. MAPEO";"03. DESARROLLO";"04. VALIDA US";"05. VOBO US";"06. BW-EJECUCION";"07. VALIDACIÓN BAJAWARE";"08. CERRADA"},0),
 1,
 IF(
  MATCH(B332,{"01. ASIGNACION AREA";"02. MAPEO";"03. DESARROLLO";"04. VALIDA US";"05. VOBO US";"06. BW-EJECUCION";"07. VALIDACIÓN BAJAWARE";"08. CERRADA"},0)
  =
  MATCH(_xlfn.XLOOKUP(INDEX($B:$B, (ROW()-6)),'Relacion '!$E:$E,'Relacion '!$D:$D,""),{"01. ASIGNACION AREA";"02. MAPEO";"03. DESARROLLO";"04. VALIDA US";"05. VOBO US";"06. BW-EJECUCION";"07. VALIDACIÓN BAJAWARE";"08. CERRADA"},0),
  _xlfn.XLOOKUP(INDEX($B:$B, (ROW()-6)),'Relacion '!$E:$E,'Relacion '!#REF!,0),
  0
 )
)</f>
        <v>#REF!</v>
      </c>
      <c r="I332" s="241">
        <f t="shared" ca="1" si="78"/>
        <v>1</v>
      </c>
      <c r="J332" s="241"/>
      <c r="K332" s="241"/>
      <c r="L332" s="238"/>
    </row>
    <row r="333" spans="2:12" outlineLevel="1">
      <c r="B333" s="237" t="s">
        <v>655</v>
      </c>
      <c r="C333" s="237" t="s">
        <v>655</v>
      </c>
      <c r="D333" s="238" t="str">
        <f>_xlfn.XLOOKUP(B333,'Relacion '!$E:$E,'Relacion '!$D:$D,"")</f>
        <v/>
      </c>
      <c r="E333" s="239">
        <f t="shared" si="76"/>
        <v>11</v>
      </c>
      <c r="F333" s="240" cm="1">
        <f t="array" ref="F333">MIN(INDEX('Relacion '!$AJ$5:$AK$493,MATCH(INDEX($B:$B, (ROW()-7)),'Relacion '!$E$5:$E$493,0),0))</f>
        <v>46146</v>
      </c>
      <c r="G333" s="240" cm="1">
        <f t="array" ref="G333">MAX(INDEX('Relacion '!$AJ$5:$AK$493,MATCH(INDEX($B:$B, (ROW()-7)),'Relacion '!$E$5:$E$493,0),0))</f>
        <v>46157</v>
      </c>
      <c r="H333" s="241" cm="1">
        <f t="array" ref="H333">IF(
 MATCH(B333,{"01. ASIGNACION AREA";"02. MAPEO";"03. DESARROLLO";"04. VALIDA US";"05. VOBO US";"06. BW-EJECUCION";"07. VALIDACIÓN BAJAWARE";"08. CERRADA"},0)
 &lt;
 MATCH(_xlfn.XLOOKUP(INDEX($B:$B, (ROW()-7)),'Relacion '!$E:$E,'Relacion '!$D:$D,""),{"01. ASIGNACION AREA";"02. MAPEO";"03. DESARROLLO";"04. VALIDA US";"05. VOBO US";"06. BW-EJECUCION";"07. VALIDACIÓN BAJAWARE";"08. CERRADA"},0),
 1,
 IF(
  MATCH(B333,{"01. ASIGNACION AREA";"02. MAPEO";"03. DESARROLLO";"04. VALIDA US";"05. VOBO US";"06. BW-EJECUCION";"07. VALIDACIÓN BAJAWARE";"08. CERRADA"},0)
  =
  MATCH(_xlfn.XLOOKUP(INDEX($B:$B, (ROW()-7)),'Relacion '!$E:$E,'Relacion '!$D:$D,""),{"01. ASIGNACION AREA";"02. MAPEO";"03. DESARROLLO";"04. VALIDA US";"05. VOBO US";"06. BW-EJECUCION";"07. VALIDACIÓN BAJAWARE";"08. CERRADA"},0),
  _xlfn.XLOOKUP(INDEX($B:$B, (ROW()-7)),'Relacion '!$E:$E,'Relacion '!#REF!,0),
  0
 )
)</f>
        <v>0</v>
      </c>
      <c r="I333" s="241">
        <f t="shared" ca="1" si="78"/>
        <v>1</v>
      </c>
      <c r="J333" s="241"/>
      <c r="K333" s="241"/>
      <c r="L333" s="238"/>
    </row>
    <row r="334" spans="2:12" outlineLevel="1">
      <c r="B334" s="237" t="s">
        <v>656</v>
      </c>
      <c r="C334" s="237" t="s">
        <v>656</v>
      </c>
      <c r="D334" s="238" t="str">
        <f>_xlfn.XLOOKUP(B334,'Relacion '!$E:$E,'Relacion '!$D:$D,"")</f>
        <v/>
      </c>
      <c r="E334" s="239">
        <f t="shared" si="76"/>
        <v>0</v>
      </c>
      <c r="F334" s="240" cm="1">
        <f t="array" ref="F334">MIN(INDEX('Relacion '!$AL$5:$AM$493,MATCH(INDEX($B:$B, (ROW()-8)),'Relacion '!$E$5:$E$493,0),0))</f>
        <v>46158</v>
      </c>
      <c r="G334" s="240" cm="1">
        <f t="array" ref="G334">MAX(INDEX('Relacion '!$AL$5:$AM$493,MATCH(INDEX($B:$B, (ROW()-8)),'Relacion '!$E$5:$E$493,0),0))</f>
        <v>46158</v>
      </c>
      <c r="H334" s="241" cm="1">
        <f t="array" ref="H334">IF(
 MATCH(B334,{"01. ASIGNACION AREA";"02. MAPEO";"03. DESARROLLO";"04. VALIDA US";"05. VOBO US";"06. BW-EJECUCION";"07. VALIDACIÓN BAJAWARE";"08. CERRADA"},0)
 &lt;
 MATCH(_xlfn.XLOOKUP(INDEX($B:$B, (ROW()-8)),'Relacion '!$E:$E,'Relacion '!$D:$D,""),{"01. ASIGNACION AREA";"02. MAPEO";"03. DESARROLLO";"04. VALIDA US";"05. VOBO US";"06. BW-EJECUCION";"07. VALIDACIÓN BAJAWARE";"08. CERRADA"},0),
 1,
 IF(
  MATCH(B334,{"01. ASIGNACION AREA";"02. MAPEO";"03. DESARROLLO";"04. VALIDA US";"05. VOBO US";"06. BW-EJECUCION";"07. VALIDACIÓN BAJAWARE";"08. CERRADA"},0)
  =
  MATCH(_xlfn.XLOOKUP(INDEX($B:$B, (ROW()-8)),'Relacion '!$E:$E,'Relacion '!$D:$D,""),{"01. ASIGNACION AREA";"02. MAPEO";"03. DESARROLLO";"04. VALIDA US";"05. VOBO US";"06. BW-EJECUCION";"07. VALIDACIÓN BAJAWARE";"08. CERRADA"},0),
  _xlfn.XLOOKUP(INDEX($B:$B, (ROW()-8)),'Relacion '!$E:$E,'Relacion '!#REF!,0),
  0
 )
)</f>
        <v>0</v>
      </c>
      <c r="I334" s="241">
        <f t="shared" ca="1" si="78"/>
        <v>1</v>
      </c>
      <c r="J334" s="241"/>
      <c r="K334" s="241"/>
      <c r="L334" s="238"/>
    </row>
    <row r="335" spans="2:12">
      <c r="B335" s="232" t="s">
        <v>128</v>
      </c>
      <c r="C335" s="137" t="s">
        <v>129</v>
      </c>
      <c r="D335" s="236" t="str">
        <f>_xlfn.XLOOKUP(B335,'Relacion '!$E:$E,'Relacion '!$D:$D,"")</f>
        <v>04. VALIDA US</v>
      </c>
      <c r="E335" s="233">
        <f t="shared" si="76"/>
        <v>478</v>
      </c>
      <c r="F335" s="234" cm="1">
        <f t="array" ref="F335">MIN(INDEX('Relacion '!$X$5:$AM$493,MATCH(INDEX($B:$B, (ROW()-0)),'Relacion '!$E$5:$E$493,0),0))</f>
        <v>45659</v>
      </c>
      <c r="G335" s="234" cm="1">
        <f t="array" ref="G335">MAX(INDEX('Relacion '!$X$5:$AM$493,MATCH(INDEX($B:$B, (ROW()-0)),'Relacion '!$E$5:$E$493,0),0))</f>
        <v>46137</v>
      </c>
      <c r="H335" s="235" t="e">
        <f>AVERAGE(H336:H343)</f>
        <v>#REF!</v>
      </c>
      <c r="I335" s="235">
        <f t="shared" ref="I335" ca="1" si="79">AVERAGE(I336:I343)</f>
        <v>1</v>
      </c>
      <c r="J335" s="236" t="str">
        <f>IF(ISNUMBER(SEARCH("Rocha", _xlfn.XLOOKUP(B335,'Relacion '!$E:$E,'Relacion '!$I:$I,""))), "Sí", "No")</f>
        <v>No</v>
      </c>
      <c r="K335" s="236" t="str">
        <f>IF(ISNUMBER(SEARCH("Rocha", _xlfn.XLOOKUP(B335,'Relacion '!$E:$E,'Relacion '!$I:$I,""))), "RMC", _xlfn.XLOOKUP(B335,'Relacion '!$E:$E,'Relacion '!$B:$B,""))</f>
        <v>Operaciones Credito</v>
      </c>
      <c r="L335" s="236" t="str">
        <f>_xlfn.XLOOKUP(B335,'Relacion '!$E:$E,'Relacion '!$C:$C,"")</f>
        <v>Luis Alberto</v>
      </c>
    </row>
    <row r="336" spans="2:12" outlineLevel="1">
      <c r="B336" s="237" t="s">
        <v>654</v>
      </c>
      <c r="C336" s="237" t="s">
        <v>654</v>
      </c>
      <c r="D336" s="238" t="str">
        <f>_xlfn.XLOOKUP(B336,'Relacion '!$E:$E,'Relacion '!$D:$D,"")</f>
        <v/>
      </c>
      <c r="E336" s="239">
        <f t="shared" si="76"/>
        <v>379</v>
      </c>
      <c r="F336" s="240" cm="1">
        <f t="array" ref="F336">MIN(INDEX('Relacion '!$X$5:$Y$493,MATCH(INDEX($B:$B, (ROW()-1)),'Relacion '!$E$5:$E$493,0),0))</f>
        <v>45659</v>
      </c>
      <c r="G336" s="240" cm="1">
        <f t="array" ref="G336">MAX(INDEX('Relacion '!$X$5:$Y$493,MATCH(INDEX($B:$B, (ROW()-1)),'Relacion '!$E$5:$E$493,0),0))</f>
        <v>46038</v>
      </c>
      <c r="H336" s="241" cm="1">
        <f t="array" ref="H336">IF(
 MATCH(B336,{"01. ASIGNACION AREA";"02. MAPEO";"03. DESARROLLO";"04. VALIDA US";"05. VOBO US";"06. BW-EJECUCION";"07. VALIDACIÓN BAJAWARE";"08. CERRADA"},0)
 &lt;
 MATCH(_xlfn.XLOOKUP(INDEX($B:$B, (ROW()-1)),'Relacion '!$E:$E,'Relacion '!$D:$D,""),{"01. ASIGNACION AREA";"02. MAPEO";"03. DESARROLLO";"04. VALIDA US";"05. VOBO US";"06. BW-EJECUCION";"07. VALIDACIÓN BAJAWARE";"08. CERRADA"},0),
 1,
 IF(
  MATCH(B336,{"01. ASIGNACION AREA";"02. MAPEO";"03. DESARROLLO";"04. VALIDA US";"05. VOBO US";"06. BW-EJECUCION";"07. VALIDACIÓN BAJAWARE";"08. CERRADA"},0)
  =
  MATCH(_xlfn.XLOOKUP(INDEX($B:$B, (ROW()-1)),'Relacion '!$E:$E,'Relacion '!$D:$D,""),{"01. ASIGNACION AREA";"02. MAPEO";"03. DESARROLLO";"04. VALIDA US";"05. VOBO US";"06. BW-EJECUCION";"07. VALIDACIÓN BAJAWARE";"08. CERRADA"},0),
  _xlfn.XLOOKUP(INDEX($B:$B, (ROW()-1)),'Relacion '!$E:$E,'Relacion '!#REF!,0),
  0
 )
)</f>
        <v>1</v>
      </c>
      <c r="I336" s="241">
        <f t="shared" ref="I336" ca="1" si="80">IF(G336&lt;=TODAY(), 1, 0)</f>
        <v>1</v>
      </c>
      <c r="J336" s="241"/>
      <c r="K336" s="241"/>
      <c r="L336" s="238"/>
    </row>
    <row r="337" spans="2:12" outlineLevel="1">
      <c r="B337" s="237" t="s">
        <v>195</v>
      </c>
      <c r="C337" s="237" t="s">
        <v>195</v>
      </c>
      <c r="D337" s="238" t="str">
        <f>_xlfn.XLOOKUP(B337,'Relacion '!$E:$E,'Relacion '!$D:$D,"")</f>
        <v/>
      </c>
      <c r="E337" s="239">
        <f t="shared" si="76"/>
        <v>11</v>
      </c>
      <c r="F337" s="240" cm="1">
        <f t="array" ref="F337">MIN(INDEX('Relacion '!$Z$5:$AA$493,MATCH(INDEX($B:$B, (ROW()-2)),'Relacion '!$E$5:$E$493,0),0))</f>
        <v>46041</v>
      </c>
      <c r="G337" s="240" cm="1">
        <f t="array" ref="G337">MAX(INDEX('Relacion '!$Z$5:$AA$493,MATCH(INDEX($B:$B, (ROW()-2)),'Relacion '!$E$5:$E$493,0),0))</f>
        <v>46052</v>
      </c>
      <c r="H337" s="241" cm="1">
        <f t="array" ref="H337">IF(
 MATCH(B337,{"01. ASIGNACION AREA";"02. MAPEO";"03. DESARROLLO";"04. VALIDA US";"05. VOBO US";"06. BW-EJECUCION";"07. VALIDACIÓN BAJAWARE";"08. CERRADA"},0)
 &lt;
 MATCH(_xlfn.XLOOKUP(INDEX($B:$B, (ROW()-2)),'Relacion '!$E:$E,'Relacion '!$D:$D,""),{"01. ASIGNACION AREA";"02. MAPEO";"03. DESARROLLO";"04. VALIDA US";"05. VOBO US";"06. BW-EJECUCION";"07. VALIDACIÓN BAJAWARE";"08. CERRADA"},0),
 1,
 IF(
  MATCH(B337,{"01. ASIGNACION AREA";"02. MAPEO";"03. DESARROLLO";"04. VALIDA US";"05. VOBO US";"06. BW-EJECUCION";"07. VALIDACIÓN BAJAWARE";"08. CERRADA"},0)
  =
  MATCH(_xlfn.XLOOKUP(INDEX($B:$B, (ROW()-2)),'Relacion '!$E:$E,'Relacion '!$D:$D,""),{"01. ASIGNACION AREA";"02. MAPEO";"03. DESARROLLO";"04. VALIDA US";"05. VOBO US";"06. BW-EJECUCION";"07. VALIDACIÓN BAJAWARE";"08. CERRADA"},0),
  _xlfn.XLOOKUP(INDEX($B:$B, (ROW()-2)),'Relacion '!$E:$E,'Relacion '!#REF!,0),
  0
 )
)</f>
        <v>1</v>
      </c>
      <c r="I337" s="241">
        <f t="shared" ca="1" si="78"/>
        <v>1</v>
      </c>
      <c r="J337" s="241"/>
      <c r="K337" s="241"/>
      <c r="L337" s="238"/>
    </row>
    <row r="338" spans="2:12" outlineLevel="1">
      <c r="B338" s="237" t="s">
        <v>49</v>
      </c>
      <c r="C338" s="237" t="s">
        <v>49</v>
      </c>
      <c r="D338" s="238" t="str">
        <f>_xlfn.XLOOKUP(B338,'Relacion '!$E:$E,'Relacion '!$D:$D,"")</f>
        <v/>
      </c>
      <c r="E338" s="239">
        <f t="shared" si="76"/>
        <v>24</v>
      </c>
      <c r="F338" s="240" cm="1">
        <f t="array" ref="F338">MIN(INDEX('Relacion '!$AB$5:$AC$493,MATCH(INDEX($B:$B, (ROW()-3)),'Relacion '!$E$5:$E$493,0),0))</f>
        <v>46056</v>
      </c>
      <c r="G338" s="240" cm="1">
        <f t="array" ref="G338">MAX(INDEX('Relacion '!$AB$5:$AC$493,MATCH(INDEX($B:$B, (ROW()-3)),'Relacion '!$E$5:$E$493,0),0))</f>
        <v>46080</v>
      </c>
      <c r="H338" s="241" cm="1">
        <f t="array" ref="H338">IF(
 MATCH(B338,{"01. ASIGNACION AREA";"02. MAPEO";"03. DESARROLLO";"04. VALIDA US";"05. VOBO US";"06. BW-EJECUCION";"07. VALIDACIÓN BAJAWARE";"08. CERRADA"},0)
 &lt;
 MATCH(_xlfn.XLOOKUP(INDEX($B:$B, (ROW()-3)),'Relacion '!$E:$E,'Relacion '!$D:$D,""),{"01. ASIGNACION AREA";"02. MAPEO";"03. DESARROLLO";"04. VALIDA US";"05. VOBO US";"06. BW-EJECUCION";"07. VALIDACIÓN BAJAWARE";"08. CERRADA"},0),
 1,
 IF(
  MATCH(B338,{"01. ASIGNACION AREA";"02. MAPEO";"03. DESARROLLO";"04. VALIDA US";"05. VOBO US";"06. BW-EJECUCION";"07. VALIDACIÓN BAJAWARE";"08. CERRADA"},0)
  =
  MATCH(_xlfn.XLOOKUP(INDEX($B:$B, (ROW()-3)),'Relacion '!$E:$E,'Relacion '!$D:$D,""),{"01. ASIGNACION AREA";"02. MAPEO";"03. DESARROLLO";"04. VALIDA US";"05. VOBO US";"06. BW-EJECUCION";"07. VALIDACIÓN BAJAWARE";"08. CERRADA"},0),
  _xlfn.XLOOKUP(INDEX($B:$B, (ROW()-3)),'Relacion '!$E:$E,'Relacion '!#REF!,0),
  0
 )
)</f>
        <v>1</v>
      </c>
      <c r="I338" s="241">
        <f t="shared" ca="1" si="78"/>
        <v>1</v>
      </c>
      <c r="J338" s="241"/>
      <c r="K338" s="241"/>
      <c r="L338" s="238"/>
    </row>
    <row r="339" spans="2:12" outlineLevel="1">
      <c r="B339" s="237" t="s">
        <v>324</v>
      </c>
      <c r="C339" s="237" t="s">
        <v>324</v>
      </c>
      <c r="D339" s="238" t="str">
        <f>_xlfn.XLOOKUP(B339,'Relacion '!$E:$E,'Relacion '!$D:$D,"")</f>
        <v/>
      </c>
      <c r="E339" s="239">
        <f t="shared" si="76"/>
        <v>14</v>
      </c>
      <c r="F339" s="240" cm="1">
        <f t="array" ref="F339">MIN(INDEX('Relacion '!$AD$5:$AE$493,MATCH(INDEX($B:$B, (ROW()-4)),'Relacion '!$E$5:$E$493,0),0))</f>
        <v>46099</v>
      </c>
      <c r="G339" s="240" cm="1">
        <f t="array" ref="G339">MAX(INDEX('Relacion '!$AD$5:$AE$493,MATCH(INDEX($B:$B, (ROW()-4)),'Relacion '!$E$5:$E$493,0),0))</f>
        <v>46113</v>
      </c>
      <c r="H339" s="241" t="e" cm="1">
        <f t="array" ref="H339">IF(
 MATCH(B339,{"01. ASIGNACION AREA";"02. MAPEO";"03. DESARROLLO";"04. VALIDA US";"05. VOBO US";"06. BW-EJECUCION";"07. VALIDACIÓN BAJAWARE";"08. CERRADA"},0)
 &lt;
 MATCH(_xlfn.XLOOKUP(INDEX($B:$B, (ROW()-4)),'Relacion '!$E:$E,'Relacion '!$D:$D,""),{"01. ASIGNACION AREA";"02. MAPEO";"03. DESARROLLO";"04. VALIDA US";"05. VOBO US";"06. BW-EJECUCION";"07. VALIDACIÓN BAJAWARE";"08. CERRADA"},0),
 1,
 IF(
  MATCH(B339,{"01. ASIGNACION AREA";"02. MAPEO";"03. DESARROLLO";"04. VALIDA US";"05. VOBO US";"06. BW-EJECUCION";"07. VALIDACIÓN BAJAWARE";"08. CERRADA"},0)
  =
  MATCH(_xlfn.XLOOKUP(INDEX($B:$B, (ROW()-4)),'Relacion '!$E:$E,'Relacion '!$D:$D,""),{"01. ASIGNACION AREA";"02. MAPEO";"03. DESARROLLO";"04. VALIDA US";"05. VOBO US";"06. BW-EJECUCION";"07. VALIDACIÓN BAJAWARE";"08. CERRADA"},0),
  _xlfn.XLOOKUP(INDEX($B:$B, (ROW()-4)),'Relacion '!$E:$E,'Relacion '!#REF!,0),
  0
 )
)</f>
        <v>#REF!</v>
      </c>
      <c r="I339" s="241">
        <f t="shared" ca="1" si="78"/>
        <v>1</v>
      </c>
      <c r="J339" s="241"/>
      <c r="K339" s="241"/>
      <c r="L339" s="238"/>
    </row>
    <row r="340" spans="2:12" outlineLevel="1">
      <c r="B340" s="237" t="s">
        <v>320</v>
      </c>
      <c r="C340" s="237" t="s">
        <v>320</v>
      </c>
      <c r="D340" s="238" t="str">
        <f>_xlfn.XLOOKUP(B340,'Relacion '!$E:$E,'Relacion '!$D:$D,"")</f>
        <v/>
      </c>
      <c r="E340" s="239">
        <f t="shared" si="76"/>
        <v>5</v>
      </c>
      <c r="F340" s="240" cm="1">
        <f t="array" ref="F340">MIN(INDEX('Relacion '!$AF$5:$AG$493,MATCH(INDEX($B:$B, (ROW()-5)),'Relacion '!$E$5:$E$493,0),0))</f>
        <v>46113</v>
      </c>
      <c r="G340" s="240" cm="1">
        <f t="array" ref="G340">MAX(INDEX('Relacion '!$AF$5:$AG$493,MATCH(INDEX($B:$B, (ROW()-5)),'Relacion '!$E$5:$E$493,0),0))</f>
        <v>46118</v>
      </c>
      <c r="H340" s="241" cm="1">
        <f t="array" ref="H340">IF(
 MATCH(B340,{"01. ASIGNACION AREA";"02. MAPEO";"03. DESARROLLO";"04. VALIDA US";"05. VOBO US";"06. BW-EJECUCION";"07. VALIDACIÓN BAJAWARE";"08. CERRADA"},0)
 &lt;
 MATCH(_xlfn.XLOOKUP(INDEX($B:$B, (ROW()-5)),'Relacion '!$E:$E,'Relacion '!$D:$D,""),{"01. ASIGNACION AREA";"02. MAPEO";"03. DESARROLLO";"04. VALIDA US";"05. VOBO US";"06. BW-EJECUCION";"07. VALIDACIÓN BAJAWARE";"08. CERRADA"},0),
 1,
 IF(
  MATCH(B340,{"01. ASIGNACION AREA";"02. MAPEO";"03. DESARROLLO";"04. VALIDA US";"05. VOBO US";"06. BW-EJECUCION";"07. VALIDACIÓN BAJAWARE";"08. CERRADA"},0)
  =
  MATCH(_xlfn.XLOOKUP(INDEX($B:$B, (ROW()-5)),'Relacion '!$E:$E,'Relacion '!$D:$D,""),{"01. ASIGNACION AREA";"02. MAPEO";"03. DESARROLLO";"04. VALIDA US";"05. VOBO US";"06. BW-EJECUCION";"07. VALIDACIÓN BAJAWARE";"08. CERRADA"},0),
  _xlfn.XLOOKUP(INDEX($B:$B, (ROW()-5)),'Relacion '!$E:$E,'Relacion '!#REF!,0),
  0
 )
)</f>
        <v>0</v>
      </c>
      <c r="I340" s="241">
        <f t="shared" ca="1" si="78"/>
        <v>1</v>
      </c>
      <c r="J340" s="241"/>
      <c r="K340" s="241"/>
      <c r="L340" s="238"/>
    </row>
    <row r="341" spans="2:12" outlineLevel="1">
      <c r="B341" s="237" t="s">
        <v>710</v>
      </c>
      <c r="C341" s="237" t="s">
        <v>710</v>
      </c>
      <c r="D341" s="238" t="str">
        <f>_xlfn.XLOOKUP(B341,'Relacion '!$E:$E,'Relacion '!$D:$D,"")</f>
        <v/>
      </c>
      <c r="E341" s="239">
        <f t="shared" si="76"/>
        <v>2</v>
      </c>
      <c r="F341" s="240" cm="1">
        <f t="array" ref="F341">MIN(INDEX('Relacion '!$AH$5:$AI$493,MATCH(INDEX($B:$B, (ROW()-6)),'Relacion '!$E$5:$E$493,0),0))</f>
        <v>46119</v>
      </c>
      <c r="G341" s="240" cm="1">
        <f t="array" ref="G341">MAX(INDEX('Relacion '!$AH$5:$AI$493,MATCH(INDEX($B:$B, (ROW()-6)),'Relacion '!$E$5:$E$493,0),0))</f>
        <v>46121</v>
      </c>
      <c r="H341" s="241" cm="1">
        <f t="array" ref="H341">IF(
 MATCH(B341,{"01. ASIGNACION AREA";"02. MAPEO";"03. DESARROLLO";"04. VALIDA US";"05. VOBO US";"06. BW-EJECUCION";"07. VALIDACIÓN BAJAWARE";"08. CERRADA"},0)
 &lt;
 MATCH(_xlfn.XLOOKUP(INDEX($B:$B, (ROW()-6)),'Relacion '!$E:$E,'Relacion '!$D:$D,""),{"01. ASIGNACION AREA";"02. MAPEO";"03. DESARROLLO";"04. VALIDA US";"05. VOBO US";"06. BW-EJECUCION";"07. VALIDACIÓN BAJAWARE";"08. CERRADA"},0),
 1,
 IF(
  MATCH(B341,{"01. ASIGNACION AREA";"02. MAPEO";"03. DESARROLLO";"04. VALIDA US";"05. VOBO US";"06. BW-EJECUCION";"07. VALIDACIÓN BAJAWARE";"08. CERRADA"},0)
  =
  MATCH(_xlfn.XLOOKUP(INDEX($B:$B, (ROW()-6)),'Relacion '!$E:$E,'Relacion '!$D:$D,""),{"01. ASIGNACION AREA";"02. MAPEO";"03. DESARROLLO";"04. VALIDA US";"05. VOBO US";"06. BW-EJECUCION";"07. VALIDACIÓN BAJAWARE";"08. CERRADA"},0),
  _xlfn.XLOOKUP(INDEX($B:$B, (ROW()-6)),'Relacion '!$E:$E,'Relacion '!#REF!,0),
  0
 )
)</f>
        <v>0</v>
      </c>
      <c r="I341" s="241">
        <f t="shared" ca="1" si="78"/>
        <v>1</v>
      </c>
      <c r="J341" s="241"/>
      <c r="K341" s="241"/>
      <c r="L341" s="238"/>
    </row>
    <row r="342" spans="2:12" outlineLevel="1">
      <c r="B342" s="237" t="s">
        <v>655</v>
      </c>
      <c r="C342" s="237" t="s">
        <v>655</v>
      </c>
      <c r="D342" s="238" t="str">
        <f>_xlfn.XLOOKUP(B342,'Relacion '!$E:$E,'Relacion '!$D:$D,"")</f>
        <v/>
      </c>
      <c r="E342" s="239">
        <f t="shared" si="76"/>
        <v>14</v>
      </c>
      <c r="F342" s="240" cm="1">
        <f t="array" ref="F342">MIN(INDEX('Relacion '!$AJ$5:$AK$493,MATCH(INDEX($B:$B, (ROW()-7)),'Relacion '!$E$5:$E$493,0),0))</f>
        <v>46122</v>
      </c>
      <c r="G342" s="240" cm="1">
        <f t="array" ref="G342">MAX(INDEX('Relacion '!$AJ$5:$AK$493,MATCH(INDEX($B:$B, (ROW()-7)),'Relacion '!$E$5:$E$493,0),0))</f>
        <v>46136</v>
      </c>
      <c r="H342" s="241" cm="1">
        <f t="array" ref="H342">IF(
 MATCH(B342,{"01. ASIGNACION AREA";"02. MAPEO";"03. DESARROLLO";"04. VALIDA US";"05. VOBO US";"06. BW-EJECUCION";"07. VALIDACIÓN BAJAWARE";"08. CERRADA"},0)
 &lt;
 MATCH(_xlfn.XLOOKUP(INDEX($B:$B, (ROW()-7)),'Relacion '!$E:$E,'Relacion '!$D:$D,""),{"01. ASIGNACION AREA";"02. MAPEO";"03. DESARROLLO";"04. VALIDA US";"05. VOBO US";"06. BW-EJECUCION";"07. VALIDACIÓN BAJAWARE";"08. CERRADA"},0),
 1,
 IF(
  MATCH(B342,{"01. ASIGNACION AREA";"02. MAPEO";"03. DESARROLLO";"04. VALIDA US";"05. VOBO US";"06. BW-EJECUCION";"07. VALIDACIÓN BAJAWARE";"08. CERRADA"},0)
  =
  MATCH(_xlfn.XLOOKUP(INDEX($B:$B, (ROW()-7)),'Relacion '!$E:$E,'Relacion '!$D:$D,""),{"01. ASIGNACION AREA";"02. MAPEO";"03. DESARROLLO";"04. VALIDA US";"05. VOBO US";"06. BW-EJECUCION";"07. VALIDACIÓN BAJAWARE";"08. CERRADA"},0),
  _xlfn.XLOOKUP(INDEX($B:$B, (ROW()-7)),'Relacion '!$E:$E,'Relacion '!#REF!,0),
  0
 )
)</f>
        <v>0</v>
      </c>
      <c r="I342" s="241">
        <f t="shared" ca="1" si="78"/>
        <v>1</v>
      </c>
      <c r="J342" s="241"/>
      <c r="K342" s="241"/>
      <c r="L342" s="238"/>
    </row>
    <row r="343" spans="2:12" outlineLevel="1">
      <c r="B343" s="237" t="s">
        <v>656</v>
      </c>
      <c r="C343" s="237" t="s">
        <v>656</v>
      </c>
      <c r="D343" s="238" t="str">
        <f>_xlfn.XLOOKUP(B343,'Relacion '!$E:$E,'Relacion '!$D:$D,"")</f>
        <v/>
      </c>
      <c r="E343" s="239">
        <f t="shared" si="76"/>
        <v>0</v>
      </c>
      <c r="F343" s="240" cm="1">
        <f t="array" ref="F343">MIN(INDEX('Relacion '!$AL$5:$AM$493,MATCH(INDEX($B:$B, (ROW()-8)),'Relacion '!$E$5:$E$493,0),0))</f>
        <v>46137</v>
      </c>
      <c r="G343" s="240" cm="1">
        <f t="array" ref="G343">MAX(INDEX('Relacion '!$AL$5:$AM$493,MATCH(INDEX($B:$B, (ROW()-8)),'Relacion '!$E$5:$E$493,0),0))</f>
        <v>46137</v>
      </c>
      <c r="H343" s="241" cm="1">
        <f t="array" ref="H343">IF(
 MATCH(B343,{"01. ASIGNACION AREA";"02. MAPEO";"03. DESARROLLO";"04. VALIDA US";"05. VOBO US";"06. BW-EJECUCION";"07. VALIDACIÓN BAJAWARE";"08. CERRADA"},0)
 &lt;
 MATCH(_xlfn.XLOOKUP(INDEX($B:$B, (ROW()-8)),'Relacion '!$E:$E,'Relacion '!$D:$D,""),{"01. ASIGNACION AREA";"02. MAPEO";"03. DESARROLLO";"04. VALIDA US";"05. VOBO US";"06. BW-EJECUCION";"07. VALIDACIÓN BAJAWARE";"08. CERRADA"},0),
 1,
 IF(
  MATCH(B343,{"01. ASIGNACION AREA";"02. MAPEO";"03. DESARROLLO";"04. VALIDA US";"05. VOBO US";"06. BW-EJECUCION";"07. VALIDACIÓN BAJAWARE";"08. CERRADA"},0)
  =
  MATCH(_xlfn.XLOOKUP(INDEX($B:$B, (ROW()-8)),'Relacion '!$E:$E,'Relacion '!$D:$D,""),{"01. ASIGNACION AREA";"02. MAPEO";"03. DESARROLLO";"04. VALIDA US";"05. VOBO US";"06. BW-EJECUCION";"07. VALIDACIÓN BAJAWARE";"08. CERRADA"},0),
  _xlfn.XLOOKUP(INDEX($B:$B, (ROW()-8)),'Relacion '!$E:$E,'Relacion '!#REF!,0),
  0
 )
)</f>
        <v>0</v>
      </c>
      <c r="I343" s="241">
        <f t="shared" ca="1" si="78"/>
        <v>1</v>
      </c>
      <c r="J343" s="241"/>
      <c r="K343" s="241"/>
      <c r="L343" s="238"/>
    </row>
    <row r="344" spans="2:12" ht="30">
      <c r="B344" s="232" t="s">
        <v>290</v>
      </c>
      <c r="C344" s="137" t="s">
        <v>291</v>
      </c>
      <c r="D344" s="236" t="str">
        <f>_xlfn.XLOOKUP(B344,'Relacion '!$E:$E,'Relacion '!$D:$D,"")</f>
        <v>02. MAPEO</v>
      </c>
      <c r="E344" s="233">
        <f t="shared" si="76"/>
        <v>515</v>
      </c>
      <c r="F344" s="234" cm="1">
        <f t="array" ref="F344">MIN(INDEX('Relacion '!$X$5:$AM$493,MATCH(INDEX($B:$B, (ROW()-0)),'Relacion '!$E$5:$E$493,0),0))</f>
        <v>45659</v>
      </c>
      <c r="G344" s="234" cm="1">
        <f t="array" ref="G344">MAX(INDEX('Relacion '!$X$5:$AM$493,MATCH(INDEX($B:$B, (ROW()-0)),'Relacion '!$E$5:$E$493,0),0))</f>
        <v>46174</v>
      </c>
      <c r="H344" s="235" t="e">
        <f>AVERAGE(H345:H352)</f>
        <v>#REF!</v>
      </c>
      <c r="I344" s="235">
        <f t="shared" ref="I344" ca="1" si="81">AVERAGE(I345:I352)</f>
        <v>0.75</v>
      </c>
      <c r="J344" s="236" t="str">
        <f>IF(ISNUMBER(SEARCH("Rocha", _xlfn.XLOOKUP(B344,'Relacion '!$E:$E,'Relacion '!$I:$I,""))), "Sí", "No")</f>
        <v>No</v>
      </c>
      <c r="K344" s="236" t="str">
        <f>IF(ISNUMBER(SEARCH("Rocha", _xlfn.XLOOKUP(B344,'Relacion '!$E:$E,'Relacion '!$I:$I,""))), "RMC", _xlfn.XLOOKUP(B344,'Relacion '!$E:$E,'Relacion '!$B:$B,""))</f>
        <v>Operaciones Captacion y credito</v>
      </c>
      <c r="L344" s="236" t="str">
        <f>_xlfn.XLOOKUP(B344,'Relacion '!$E:$E,'Relacion '!$C:$C,"")</f>
        <v>Luis Alberto</v>
      </c>
    </row>
    <row r="345" spans="2:12" outlineLevel="1">
      <c r="B345" s="237" t="s">
        <v>654</v>
      </c>
      <c r="C345" s="237" t="s">
        <v>654</v>
      </c>
      <c r="D345" s="238" t="str">
        <f>_xlfn.XLOOKUP(B345,'Relacion '!$E:$E,'Relacion '!$D:$D,"")</f>
        <v/>
      </c>
      <c r="E345" s="239">
        <f t="shared" si="76"/>
        <v>424</v>
      </c>
      <c r="F345" s="240" cm="1">
        <f t="array" ref="F345">MIN(INDEX('Relacion '!$X$5:$Y$493,MATCH(INDEX($B:$B, (ROW()-1)),'Relacion '!$E$5:$E$493,0),0))</f>
        <v>45659</v>
      </c>
      <c r="G345" s="240" cm="1">
        <f t="array" ref="G345">MAX(INDEX('Relacion '!$X$5:$Y$493,MATCH(INDEX($B:$B, (ROW()-1)),'Relacion '!$E$5:$E$493,0),0))</f>
        <v>46083</v>
      </c>
      <c r="H345" s="241" cm="1">
        <f t="array" ref="H345">IF(
 MATCH(B345,{"01. ASIGNACION AREA";"02. MAPEO";"03. DESARROLLO";"04. VALIDA US";"05. VOBO US";"06. BW-EJECUCION";"07. VALIDACIÓN BAJAWARE";"08. CERRADA"},0)
 &lt;
 MATCH(_xlfn.XLOOKUP(INDEX($B:$B, (ROW()-1)),'Relacion '!$E:$E,'Relacion '!$D:$D,""),{"01. ASIGNACION AREA";"02. MAPEO";"03. DESARROLLO";"04. VALIDA US";"05. VOBO US";"06. BW-EJECUCION";"07. VALIDACIÓN BAJAWARE";"08. CERRADA"},0),
 1,
 IF(
  MATCH(B345,{"01. ASIGNACION AREA";"02. MAPEO";"03. DESARROLLO";"04. VALIDA US";"05. VOBO US";"06. BW-EJECUCION";"07. VALIDACIÓN BAJAWARE";"08. CERRADA"},0)
  =
  MATCH(_xlfn.XLOOKUP(INDEX($B:$B, (ROW()-1)),'Relacion '!$E:$E,'Relacion '!$D:$D,""),{"01. ASIGNACION AREA";"02. MAPEO";"03. DESARROLLO";"04. VALIDA US";"05. VOBO US";"06. BW-EJECUCION";"07. VALIDACIÓN BAJAWARE";"08. CERRADA"},0),
  _xlfn.XLOOKUP(INDEX($B:$B, (ROW()-1)),'Relacion '!$E:$E,'Relacion '!#REF!,0),
  0
 )
)</f>
        <v>1</v>
      </c>
      <c r="I345" s="241">
        <f t="shared" ref="I345" ca="1" si="82">IF(G345&lt;=TODAY(), 1, 0)</f>
        <v>1</v>
      </c>
      <c r="J345" s="241"/>
      <c r="K345" s="241"/>
      <c r="L345" s="238"/>
    </row>
    <row r="346" spans="2:12" outlineLevel="1">
      <c r="B346" s="237" t="s">
        <v>195</v>
      </c>
      <c r="C346" s="237" t="s">
        <v>195</v>
      </c>
      <c r="D346" s="238" t="str">
        <f>_xlfn.XLOOKUP(B346,'Relacion '!$E:$E,'Relacion '!$D:$D,"")</f>
        <v/>
      </c>
      <c r="E346" s="239">
        <f t="shared" si="76"/>
        <v>53</v>
      </c>
      <c r="F346" s="240" cm="1">
        <f t="array" ref="F346">MIN(INDEX('Relacion '!$Z$5:$AA$493,MATCH(INDEX($B:$B, (ROW()-2)),'Relacion '!$E$5:$E$493,0),0))</f>
        <v>46069</v>
      </c>
      <c r="G346" s="240" cm="1">
        <f t="array" ref="G346">MAX(INDEX('Relacion '!$Z$5:$AA$493,MATCH(INDEX($B:$B, (ROW()-2)),'Relacion '!$E$5:$E$493,0),0))</f>
        <v>46122</v>
      </c>
      <c r="H346" s="241" t="e" cm="1">
        <f t="array" ref="H346">IF(
 MATCH(B346,{"01. ASIGNACION AREA";"02. MAPEO";"03. DESARROLLO";"04. VALIDA US";"05. VOBO US";"06. BW-EJECUCION";"07. VALIDACIÓN BAJAWARE";"08. CERRADA"},0)
 &lt;
 MATCH(_xlfn.XLOOKUP(INDEX($B:$B, (ROW()-2)),'Relacion '!$E:$E,'Relacion '!$D:$D,""),{"01. ASIGNACION AREA";"02. MAPEO";"03. DESARROLLO";"04. VALIDA US";"05. VOBO US";"06. BW-EJECUCION";"07. VALIDACIÓN BAJAWARE";"08. CERRADA"},0),
 1,
 IF(
  MATCH(B346,{"01. ASIGNACION AREA";"02. MAPEO";"03. DESARROLLO";"04. VALIDA US";"05. VOBO US";"06. BW-EJECUCION";"07. VALIDACIÓN BAJAWARE";"08. CERRADA"},0)
  =
  MATCH(_xlfn.XLOOKUP(INDEX($B:$B, (ROW()-2)),'Relacion '!$E:$E,'Relacion '!$D:$D,""),{"01. ASIGNACION AREA";"02. MAPEO";"03. DESARROLLO";"04. VALIDA US";"05. VOBO US";"06. BW-EJECUCION";"07. VALIDACIÓN BAJAWARE";"08. CERRADA"},0),
  _xlfn.XLOOKUP(INDEX($B:$B, (ROW()-2)),'Relacion '!$E:$E,'Relacion '!#REF!,0),
  0
 )
)</f>
        <v>#REF!</v>
      </c>
      <c r="I346" s="241">
        <f t="shared" ca="1" si="78"/>
        <v>1</v>
      </c>
      <c r="J346" s="241"/>
      <c r="K346" s="241"/>
      <c r="L346" s="238"/>
    </row>
    <row r="347" spans="2:12" outlineLevel="1">
      <c r="B347" s="237" t="s">
        <v>49</v>
      </c>
      <c r="C347" s="237" t="s">
        <v>49</v>
      </c>
      <c r="D347" s="238" t="str">
        <f>_xlfn.XLOOKUP(B347,'Relacion '!$E:$E,'Relacion '!$D:$D,"")</f>
        <v/>
      </c>
      <c r="E347" s="239">
        <f t="shared" si="76"/>
        <v>11</v>
      </c>
      <c r="F347" s="240" cm="1">
        <f t="array" ref="F347">MIN(INDEX('Relacion '!$AB$5:$AC$493,MATCH(INDEX($B:$B, (ROW()-3)),'Relacion '!$E$5:$E$493,0),0))</f>
        <v>46125</v>
      </c>
      <c r="G347" s="240" cm="1">
        <f t="array" ref="G347">MAX(INDEX('Relacion '!$AB$5:$AC$493,MATCH(INDEX($B:$B, (ROW()-3)),'Relacion '!$E$5:$E$493,0),0))</f>
        <v>46136</v>
      </c>
      <c r="H347" s="241" cm="1">
        <f t="array" ref="H347">IF(
 MATCH(B347,{"01. ASIGNACION AREA";"02. MAPEO";"03. DESARROLLO";"04. VALIDA US";"05. VOBO US";"06. BW-EJECUCION";"07. VALIDACIÓN BAJAWARE";"08. CERRADA"},0)
 &lt;
 MATCH(_xlfn.XLOOKUP(INDEX($B:$B, (ROW()-3)),'Relacion '!$E:$E,'Relacion '!$D:$D,""),{"01. ASIGNACION AREA";"02. MAPEO";"03. DESARROLLO";"04. VALIDA US";"05. VOBO US";"06. BW-EJECUCION";"07. VALIDACIÓN BAJAWARE";"08. CERRADA"},0),
 1,
 IF(
  MATCH(B347,{"01. ASIGNACION AREA";"02. MAPEO";"03. DESARROLLO";"04. VALIDA US";"05. VOBO US";"06. BW-EJECUCION";"07. VALIDACIÓN BAJAWARE";"08. CERRADA"},0)
  =
  MATCH(_xlfn.XLOOKUP(INDEX($B:$B, (ROW()-3)),'Relacion '!$E:$E,'Relacion '!$D:$D,""),{"01. ASIGNACION AREA";"02. MAPEO";"03. DESARROLLO";"04. VALIDA US";"05. VOBO US";"06. BW-EJECUCION";"07. VALIDACIÓN BAJAWARE";"08. CERRADA"},0),
  _xlfn.XLOOKUP(INDEX($B:$B, (ROW()-3)),'Relacion '!$E:$E,'Relacion '!#REF!,0),
  0
 )
)</f>
        <v>0</v>
      </c>
      <c r="I347" s="241">
        <f t="shared" ca="1" si="78"/>
        <v>1</v>
      </c>
      <c r="J347" s="241"/>
      <c r="K347" s="241"/>
      <c r="L347" s="238"/>
    </row>
    <row r="348" spans="2:12" outlineLevel="1">
      <c r="B348" s="237" t="s">
        <v>324</v>
      </c>
      <c r="C348" s="237" t="s">
        <v>324</v>
      </c>
      <c r="D348" s="238" t="str">
        <f>_xlfn.XLOOKUP(B348,'Relacion '!$E:$E,'Relacion '!$D:$D,"")</f>
        <v/>
      </c>
      <c r="E348" s="239">
        <f t="shared" si="76"/>
        <v>11</v>
      </c>
      <c r="F348" s="240" cm="1">
        <f t="array" ref="F348">MIN(INDEX('Relacion '!$AD$5:$AE$493,MATCH(INDEX($B:$B, (ROW()-4)),'Relacion '!$E$5:$E$493,0),0))</f>
        <v>46139</v>
      </c>
      <c r="G348" s="240" cm="1">
        <f t="array" ref="G348">MAX(INDEX('Relacion '!$AD$5:$AE$493,MATCH(INDEX($B:$B, (ROW()-4)),'Relacion '!$E$5:$E$493,0),0))</f>
        <v>46150</v>
      </c>
      <c r="H348" s="241" cm="1">
        <f t="array" ref="H348">IF(
 MATCH(B348,{"01. ASIGNACION AREA";"02. MAPEO";"03. DESARROLLO";"04. VALIDA US";"05. VOBO US";"06. BW-EJECUCION";"07. VALIDACIÓN BAJAWARE";"08. CERRADA"},0)
 &lt;
 MATCH(_xlfn.XLOOKUP(INDEX($B:$B, (ROW()-4)),'Relacion '!$E:$E,'Relacion '!$D:$D,""),{"01. ASIGNACION AREA";"02. MAPEO";"03. DESARROLLO";"04. VALIDA US";"05. VOBO US";"06. BW-EJECUCION";"07. VALIDACIÓN BAJAWARE";"08. CERRADA"},0),
 1,
 IF(
  MATCH(B348,{"01. ASIGNACION AREA";"02. MAPEO";"03. DESARROLLO";"04. VALIDA US";"05. VOBO US";"06. BW-EJECUCION";"07. VALIDACIÓN BAJAWARE";"08. CERRADA"},0)
  =
  MATCH(_xlfn.XLOOKUP(INDEX($B:$B, (ROW()-4)),'Relacion '!$E:$E,'Relacion '!$D:$D,""),{"01. ASIGNACION AREA";"02. MAPEO";"03. DESARROLLO";"04. VALIDA US";"05. VOBO US";"06. BW-EJECUCION";"07. VALIDACIÓN BAJAWARE";"08. CERRADA"},0),
  _xlfn.XLOOKUP(INDEX($B:$B, (ROW()-4)),'Relacion '!$E:$E,'Relacion '!#REF!,0),
  0
 )
)</f>
        <v>0</v>
      </c>
      <c r="I348" s="241">
        <f t="shared" ca="1" si="78"/>
        <v>1</v>
      </c>
      <c r="J348" s="241"/>
      <c r="K348" s="241"/>
      <c r="L348" s="238"/>
    </row>
    <row r="349" spans="2:12" outlineLevel="1">
      <c r="B349" s="237" t="s">
        <v>320</v>
      </c>
      <c r="C349" s="237" t="s">
        <v>320</v>
      </c>
      <c r="D349" s="238" t="str">
        <f>_xlfn.XLOOKUP(B349,'Relacion '!$E:$E,'Relacion '!$D:$D,"")</f>
        <v/>
      </c>
      <c r="E349" s="239">
        <f t="shared" si="76"/>
        <v>3</v>
      </c>
      <c r="F349" s="240" cm="1">
        <f t="array" ref="F349">MIN(INDEX('Relacion '!$AF$5:$AG$493,MATCH(INDEX($B:$B, (ROW()-5)),'Relacion '!$E$5:$E$493,0),0))</f>
        <v>46150</v>
      </c>
      <c r="G349" s="240" cm="1">
        <f t="array" ref="G349">MAX(INDEX('Relacion '!$AF$5:$AG$493,MATCH(INDEX($B:$B, (ROW()-5)),'Relacion '!$E$5:$E$493,0),0))</f>
        <v>46153</v>
      </c>
      <c r="H349" s="241" cm="1">
        <f t="array" ref="H349">IF(
 MATCH(B349,{"01. ASIGNACION AREA";"02. MAPEO";"03. DESARROLLO";"04. VALIDA US";"05. VOBO US";"06. BW-EJECUCION";"07. VALIDACIÓN BAJAWARE";"08. CERRADA"},0)
 &lt;
 MATCH(_xlfn.XLOOKUP(INDEX($B:$B, (ROW()-5)),'Relacion '!$E:$E,'Relacion '!$D:$D,""),{"01. ASIGNACION AREA";"02. MAPEO";"03. DESARROLLO";"04. VALIDA US";"05. VOBO US";"06. BW-EJECUCION";"07. VALIDACIÓN BAJAWARE";"08. CERRADA"},0),
 1,
 IF(
  MATCH(B349,{"01. ASIGNACION AREA";"02. MAPEO";"03. DESARROLLO";"04. VALIDA US";"05. VOBO US";"06. BW-EJECUCION";"07. VALIDACIÓN BAJAWARE";"08. CERRADA"},0)
  =
  MATCH(_xlfn.XLOOKUP(INDEX($B:$B, (ROW()-5)),'Relacion '!$E:$E,'Relacion '!$D:$D,""),{"01. ASIGNACION AREA";"02. MAPEO";"03. DESARROLLO";"04. VALIDA US";"05. VOBO US";"06. BW-EJECUCION";"07. VALIDACIÓN BAJAWARE";"08. CERRADA"},0),
  _xlfn.XLOOKUP(INDEX($B:$B, (ROW()-5)),'Relacion '!$E:$E,'Relacion '!#REF!,0),
  0
 )
)</f>
        <v>0</v>
      </c>
      <c r="I349" s="241">
        <f t="shared" ca="1" si="78"/>
        <v>1</v>
      </c>
      <c r="J349" s="241"/>
      <c r="K349" s="241"/>
      <c r="L349" s="238"/>
    </row>
    <row r="350" spans="2:12" outlineLevel="1">
      <c r="B350" s="237" t="s">
        <v>710</v>
      </c>
      <c r="C350" s="237" t="s">
        <v>710</v>
      </c>
      <c r="D350" s="238" t="str">
        <f>_xlfn.XLOOKUP(B350,'Relacion '!$E:$E,'Relacion '!$D:$D,"")</f>
        <v/>
      </c>
      <c r="E350" s="239">
        <f t="shared" si="76"/>
        <v>2</v>
      </c>
      <c r="F350" s="240" cm="1">
        <f t="array" ref="F350">MIN(INDEX('Relacion '!$AH$5:$AI$493,MATCH(INDEX($B:$B, (ROW()-6)),'Relacion '!$E$5:$E$493,0),0))</f>
        <v>46154</v>
      </c>
      <c r="G350" s="240" cm="1">
        <f t="array" ref="G350">MAX(INDEX('Relacion '!$AH$5:$AI$493,MATCH(INDEX($B:$B, (ROW()-6)),'Relacion '!$E$5:$E$493,0),0))</f>
        <v>46156</v>
      </c>
      <c r="H350" s="241" cm="1">
        <f t="array" ref="H350">IF(
 MATCH(B350,{"01. ASIGNACION AREA";"02. MAPEO";"03. DESARROLLO";"04. VALIDA US";"05. VOBO US";"06. BW-EJECUCION";"07. VALIDACIÓN BAJAWARE";"08. CERRADA"},0)
 &lt;
 MATCH(_xlfn.XLOOKUP(INDEX($B:$B, (ROW()-6)),'Relacion '!$E:$E,'Relacion '!$D:$D,""),{"01. ASIGNACION AREA";"02. MAPEO";"03. DESARROLLO";"04. VALIDA US";"05. VOBO US";"06. BW-EJECUCION";"07. VALIDACIÓN BAJAWARE";"08. CERRADA"},0),
 1,
 IF(
  MATCH(B350,{"01. ASIGNACION AREA";"02. MAPEO";"03. DESARROLLO";"04. VALIDA US";"05. VOBO US";"06. BW-EJECUCION";"07. VALIDACIÓN BAJAWARE";"08. CERRADA"},0)
  =
  MATCH(_xlfn.XLOOKUP(INDEX($B:$B, (ROW()-6)),'Relacion '!$E:$E,'Relacion '!$D:$D,""),{"01. ASIGNACION AREA";"02. MAPEO";"03. DESARROLLO";"04. VALIDA US";"05. VOBO US";"06. BW-EJECUCION";"07. VALIDACIÓN BAJAWARE";"08. CERRADA"},0),
  _xlfn.XLOOKUP(INDEX($B:$B, (ROW()-6)),'Relacion '!$E:$E,'Relacion '!#REF!,0),
  0
 )
)</f>
        <v>0</v>
      </c>
      <c r="I350" s="241">
        <f t="shared" ca="1" si="78"/>
        <v>1</v>
      </c>
      <c r="J350" s="241"/>
      <c r="K350" s="241"/>
      <c r="L350" s="238"/>
    </row>
    <row r="351" spans="2:12" outlineLevel="1">
      <c r="B351" s="237" t="s">
        <v>655</v>
      </c>
      <c r="C351" s="237" t="s">
        <v>655</v>
      </c>
      <c r="D351" s="238" t="str">
        <f>_xlfn.XLOOKUP(B351,'Relacion '!$E:$E,'Relacion '!$D:$D,"")</f>
        <v/>
      </c>
      <c r="E351" s="239">
        <f t="shared" si="76"/>
        <v>14</v>
      </c>
      <c r="F351" s="240" cm="1">
        <f t="array" ref="F351">MIN(INDEX('Relacion '!$AJ$5:$AK$493,MATCH(INDEX($B:$B, (ROW()-7)),'Relacion '!$E$5:$E$493,0),0))</f>
        <v>46157</v>
      </c>
      <c r="G351" s="240" cm="1">
        <f t="array" ref="G351">MAX(INDEX('Relacion '!$AJ$5:$AK$493,MATCH(INDEX($B:$B, (ROW()-7)),'Relacion '!$E$5:$E$493,0),0))</f>
        <v>46171</v>
      </c>
      <c r="H351" s="241" cm="1">
        <f t="array" ref="H351">IF(
 MATCH(B351,{"01. ASIGNACION AREA";"02. MAPEO";"03. DESARROLLO";"04. VALIDA US";"05. VOBO US";"06. BW-EJECUCION";"07. VALIDACIÓN BAJAWARE";"08. CERRADA"},0)
 &lt;
 MATCH(_xlfn.XLOOKUP(INDEX($B:$B, (ROW()-7)),'Relacion '!$E:$E,'Relacion '!$D:$D,""),{"01. ASIGNACION AREA";"02. MAPEO";"03. DESARROLLO";"04. VALIDA US";"05. VOBO US";"06. BW-EJECUCION";"07. VALIDACIÓN BAJAWARE";"08. CERRADA"},0),
 1,
 IF(
  MATCH(B351,{"01. ASIGNACION AREA";"02. MAPEO";"03. DESARROLLO";"04. VALIDA US";"05. VOBO US";"06. BW-EJECUCION";"07. VALIDACIÓN BAJAWARE";"08. CERRADA"},0)
  =
  MATCH(_xlfn.XLOOKUP(INDEX($B:$B, (ROW()-7)),'Relacion '!$E:$E,'Relacion '!$D:$D,""),{"01. ASIGNACION AREA";"02. MAPEO";"03. DESARROLLO";"04. VALIDA US";"05. VOBO US";"06. BW-EJECUCION";"07. VALIDACIÓN BAJAWARE";"08. CERRADA"},0),
  _xlfn.XLOOKUP(INDEX($B:$B, (ROW()-7)),'Relacion '!$E:$E,'Relacion '!#REF!,0),
  0
 )
)</f>
        <v>0</v>
      </c>
      <c r="I351" s="241">
        <f t="shared" ca="1" si="78"/>
        <v>0</v>
      </c>
      <c r="J351" s="241"/>
      <c r="K351" s="241"/>
      <c r="L351" s="238"/>
    </row>
    <row r="352" spans="2:12" outlineLevel="1">
      <c r="B352" s="237" t="s">
        <v>656</v>
      </c>
      <c r="C352" s="237" t="s">
        <v>656</v>
      </c>
      <c r="D352" s="238" t="str">
        <f>_xlfn.XLOOKUP(B352,'Relacion '!$E:$E,'Relacion '!$D:$D,"")</f>
        <v/>
      </c>
      <c r="E352" s="239">
        <f t="shared" si="76"/>
        <v>3</v>
      </c>
      <c r="F352" s="240" cm="1">
        <f t="array" ref="F352">MIN(INDEX('Relacion '!$AL$5:$AM$493,MATCH(INDEX($B:$B, (ROW()-8)),'Relacion '!$E$5:$E$493,0),0))</f>
        <v>46171</v>
      </c>
      <c r="G352" s="240" cm="1">
        <f t="array" ref="G352">MAX(INDEX('Relacion '!$AL$5:$AM$493,MATCH(INDEX($B:$B, (ROW()-8)),'Relacion '!$E$5:$E$493,0),0))</f>
        <v>46174</v>
      </c>
      <c r="H352" s="241" cm="1">
        <f t="array" ref="H352">IF(
 MATCH(B352,{"01. ASIGNACION AREA";"02. MAPEO";"03. DESARROLLO";"04. VALIDA US";"05. VOBO US";"06. BW-EJECUCION";"07. VALIDACIÓN BAJAWARE";"08. CERRADA"},0)
 &lt;
 MATCH(_xlfn.XLOOKUP(INDEX($B:$B, (ROW()-8)),'Relacion '!$E:$E,'Relacion '!$D:$D,""),{"01. ASIGNACION AREA";"02. MAPEO";"03. DESARROLLO";"04. VALIDA US";"05. VOBO US";"06. BW-EJECUCION";"07. VALIDACIÓN BAJAWARE";"08. CERRADA"},0),
 1,
 IF(
  MATCH(B352,{"01. ASIGNACION AREA";"02. MAPEO";"03. DESARROLLO";"04. VALIDA US";"05. VOBO US";"06. BW-EJECUCION";"07. VALIDACIÓN BAJAWARE";"08. CERRADA"},0)
  =
  MATCH(_xlfn.XLOOKUP(INDEX($B:$B, (ROW()-8)),'Relacion '!$E:$E,'Relacion '!$D:$D,""),{"01. ASIGNACION AREA";"02. MAPEO";"03. DESARROLLO";"04. VALIDA US";"05. VOBO US";"06. BW-EJECUCION";"07. VALIDACIÓN BAJAWARE";"08. CERRADA"},0),
  _xlfn.XLOOKUP(INDEX($B:$B, (ROW()-8)),'Relacion '!$E:$E,'Relacion '!#REF!,0),
  0
 )
)</f>
        <v>0</v>
      </c>
      <c r="I352" s="241">
        <f t="shared" ca="1" si="78"/>
        <v>0</v>
      </c>
      <c r="J352" s="241"/>
      <c r="K352" s="241"/>
      <c r="L352" s="238"/>
    </row>
    <row r="353" spans="2:12">
      <c r="B353" s="232" t="s">
        <v>124</v>
      </c>
      <c r="C353" s="137" t="s">
        <v>125</v>
      </c>
      <c r="D353" s="236" t="str">
        <f>_xlfn.XLOOKUP(B353,'Relacion '!$E:$E,'Relacion '!$D:$D,"")</f>
        <v>06. BW-EJECUCION</v>
      </c>
      <c r="E353" s="233">
        <f t="shared" si="76"/>
        <v>109</v>
      </c>
      <c r="F353" s="234" cm="1">
        <f t="array" ref="F353">MIN(INDEX('Relacion '!$X$5:$AM$493,MATCH(INDEX($B:$B, (ROW()-0)),'Relacion '!$E$5:$E$493,0),0))</f>
        <v>46024</v>
      </c>
      <c r="G353" s="234" cm="1">
        <f t="array" ref="G353">MAX(INDEX('Relacion '!$X$5:$AM$493,MATCH(INDEX($B:$B, (ROW()-0)),'Relacion '!$E$5:$E$493,0),0))</f>
        <v>46133</v>
      </c>
      <c r="H353" s="235" t="e">
        <f>AVERAGE(H354:H361)</f>
        <v>#REF!</v>
      </c>
      <c r="I353" s="235">
        <f t="shared" ref="I353" ca="1" si="83">AVERAGE(I354:I361)</f>
        <v>1</v>
      </c>
      <c r="J353" s="236" t="str">
        <f>IF(ISNUMBER(SEARCH("Rocha", _xlfn.XLOOKUP(B353,'Relacion '!$E:$E,'Relacion '!$I:$I,""))), "Sí", "No")</f>
        <v>No</v>
      </c>
      <c r="K353" s="236" t="str">
        <f>IF(ISNUMBER(SEARCH("Rocha", _xlfn.XLOOKUP(B353,'Relacion '!$E:$E,'Relacion '!$I:$I,""))), "RMC", _xlfn.XLOOKUP(B353,'Relacion '!$E:$E,'Relacion '!$B:$B,""))</f>
        <v>Contabilidad</v>
      </c>
      <c r="L353" s="236" t="str">
        <f>_xlfn.XLOOKUP(B353,'Relacion '!$E:$E,'Relacion '!$C:$C,"")</f>
        <v xml:space="preserve">Ramon Jaimes </v>
      </c>
    </row>
    <row r="354" spans="2:12" outlineLevel="1">
      <c r="B354" s="237" t="s">
        <v>654</v>
      </c>
      <c r="C354" s="237" t="s">
        <v>654</v>
      </c>
      <c r="D354" s="238" t="str">
        <f>_xlfn.XLOOKUP(B354,'Relacion '!$E:$E,'Relacion '!$D:$D,"")</f>
        <v/>
      </c>
      <c r="E354" s="239">
        <f t="shared" si="76"/>
        <v>14</v>
      </c>
      <c r="F354" s="240" cm="1">
        <f t="array" ref="F354">MIN(INDEX('Relacion '!$X$5:$Y$493,MATCH(INDEX($B:$B, (ROW()-1)),'Relacion '!$E$5:$E$493,0),0))</f>
        <v>46024</v>
      </c>
      <c r="G354" s="240" cm="1">
        <f t="array" ref="G354">MAX(INDEX('Relacion '!$X$5:$Y$493,MATCH(INDEX($B:$B, (ROW()-1)),'Relacion '!$E$5:$E$493,0),0))</f>
        <v>46038</v>
      </c>
      <c r="H354" s="241" cm="1">
        <f t="array" ref="H354">IF(
 MATCH(B354,{"01. ASIGNACION AREA";"02. MAPEO";"03. DESARROLLO";"04. VALIDA US";"05. VOBO US";"06. BW-EJECUCION";"07. VALIDACIÓN BAJAWARE";"08. CERRADA"},0)
 &lt;
 MATCH(_xlfn.XLOOKUP(INDEX($B:$B, (ROW()-1)),'Relacion '!$E:$E,'Relacion '!$D:$D,""),{"01. ASIGNACION AREA";"02. MAPEO";"03. DESARROLLO";"04. VALIDA US";"05. VOBO US";"06. BW-EJECUCION";"07. VALIDACIÓN BAJAWARE";"08. CERRADA"},0),
 1,
 IF(
  MATCH(B354,{"01. ASIGNACION AREA";"02. MAPEO";"03. DESARROLLO";"04. VALIDA US";"05. VOBO US";"06. BW-EJECUCION";"07. VALIDACIÓN BAJAWARE";"08. CERRADA"},0)
  =
  MATCH(_xlfn.XLOOKUP(INDEX($B:$B, (ROW()-1)),'Relacion '!$E:$E,'Relacion '!$D:$D,""),{"01. ASIGNACION AREA";"02. MAPEO";"03. DESARROLLO";"04. VALIDA US";"05. VOBO US";"06. BW-EJECUCION";"07. VALIDACIÓN BAJAWARE";"08. CERRADA"},0),
  _xlfn.XLOOKUP(INDEX($B:$B, (ROW()-1)),'Relacion '!$E:$E,'Relacion '!#REF!,0),
  0
 )
)</f>
        <v>1</v>
      </c>
      <c r="I354" s="241">
        <f t="shared" ref="I354" ca="1" si="84">IF(G354&lt;=TODAY(), 1, 0)</f>
        <v>1</v>
      </c>
      <c r="J354" s="241"/>
      <c r="K354" s="241"/>
      <c r="L354" s="238"/>
    </row>
    <row r="355" spans="2:12" outlineLevel="1">
      <c r="B355" s="237" t="s">
        <v>195</v>
      </c>
      <c r="C355" s="237" t="s">
        <v>195</v>
      </c>
      <c r="D355" s="238" t="str">
        <f>_xlfn.XLOOKUP(B355,'Relacion '!$E:$E,'Relacion '!$D:$D,"")</f>
        <v/>
      </c>
      <c r="E355" s="239">
        <f t="shared" si="76"/>
        <v>21</v>
      </c>
      <c r="F355" s="240" cm="1">
        <f t="array" ref="F355">MIN(INDEX('Relacion '!$Z$5:$AA$493,MATCH(INDEX($B:$B, (ROW()-2)),'Relacion '!$E$5:$E$493,0),0))</f>
        <v>46031</v>
      </c>
      <c r="G355" s="240" cm="1">
        <f t="array" ref="G355">MAX(INDEX('Relacion '!$Z$5:$AA$493,MATCH(INDEX($B:$B, (ROW()-2)),'Relacion '!$E$5:$E$493,0),0))</f>
        <v>46052</v>
      </c>
      <c r="H355" s="241" cm="1">
        <f t="array" ref="H355">IF(
 MATCH(B355,{"01. ASIGNACION AREA";"02. MAPEO";"03. DESARROLLO";"04. VALIDA US";"05. VOBO US";"06. BW-EJECUCION";"07. VALIDACIÓN BAJAWARE";"08. CERRADA"},0)
 &lt;
 MATCH(_xlfn.XLOOKUP(INDEX($B:$B, (ROW()-2)),'Relacion '!$E:$E,'Relacion '!$D:$D,""),{"01. ASIGNACION AREA";"02. MAPEO";"03. DESARROLLO";"04. VALIDA US";"05. VOBO US";"06. BW-EJECUCION";"07. VALIDACIÓN BAJAWARE";"08. CERRADA"},0),
 1,
 IF(
  MATCH(B355,{"01. ASIGNACION AREA";"02. MAPEO";"03. DESARROLLO";"04. VALIDA US";"05. VOBO US";"06. BW-EJECUCION";"07. VALIDACIÓN BAJAWARE";"08. CERRADA"},0)
  =
  MATCH(_xlfn.XLOOKUP(INDEX($B:$B, (ROW()-2)),'Relacion '!$E:$E,'Relacion '!$D:$D,""),{"01. ASIGNACION AREA";"02. MAPEO";"03. DESARROLLO";"04. VALIDA US";"05. VOBO US";"06. BW-EJECUCION";"07. VALIDACIÓN BAJAWARE";"08. CERRADA"},0),
  _xlfn.XLOOKUP(INDEX($B:$B, (ROW()-2)),'Relacion '!$E:$E,'Relacion '!#REF!,0),
  0
 )
)</f>
        <v>1</v>
      </c>
      <c r="I355" s="241">
        <f t="shared" ca="1" si="78"/>
        <v>1</v>
      </c>
      <c r="J355" s="241"/>
      <c r="K355" s="241"/>
      <c r="L355" s="238"/>
    </row>
    <row r="356" spans="2:12" outlineLevel="1">
      <c r="B356" s="237" t="s">
        <v>49</v>
      </c>
      <c r="C356" s="237" t="s">
        <v>49</v>
      </c>
      <c r="D356" s="238" t="str">
        <f>_xlfn.XLOOKUP(B356,'Relacion '!$E:$E,'Relacion '!$D:$D,"")</f>
        <v/>
      </c>
      <c r="E356" s="239">
        <f t="shared" si="76"/>
        <v>24</v>
      </c>
      <c r="F356" s="240" cm="1">
        <f t="array" ref="F356">MIN(INDEX('Relacion '!$AB$5:$AC$493,MATCH(INDEX($B:$B, (ROW()-3)),'Relacion '!$E$5:$E$493,0),0))</f>
        <v>46056</v>
      </c>
      <c r="G356" s="240" cm="1">
        <f t="array" ref="G356">MAX(INDEX('Relacion '!$AB$5:$AC$493,MATCH(INDEX($B:$B, (ROW()-3)),'Relacion '!$E$5:$E$493,0),0))</f>
        <v>46080</v>
      </c>
      <c r="H356" s="241" cm="1">
        <f t="array" ref="H356">IF(
 MATCH(B356,{"01. ASIGNACION AREA";"02. MAPEO";"03. DESARROLLO";"04. VALIDA US";"05. VOBO US";"06. BW-EJECUCION";"07. VALIDACIÓN BAJAWARE";"08. CERRADA"},0)
 &lt;
 MATCH(_xlfn.XLOOKUP(INDEX($B:$B, (ROW()-3)),'Relacion '!$E:$E,'Relacion '!$D:$D,""),{"01. ASIGNACION AREA";"02. MAPEO";"03. DESARROLLO";"04. VALIDA US";"05. VOBO US";"06. BW-EJECUCION";"07. VALIDACIÓN BAJAWARE";"08. CERRADA"},0),
 1,
 IF(
  MATCH(B356,{"01. ASIGNACION AREA";"02. MAPEO";"03. DESARROLLO";"04. VALIDA US";"05. VOBO US";"06. BW-EJECUCION";"07. VALIDACIÓN BAJAWARE";"08. CERRADA"},0)
  =
  MATCH(_xlfn.XLOOKUP(INDEX($B:$B, (ROW()-3)),'Relacion '!$E:$E,'Relacion '!$D:$D,""),{"01. ASIGNACION AREA";"02. MAPEO";"03. DESARROLLO";"04. VALIDA US";"05. VOBO US";"06. BW-EJECUCION";"07. VALIDACIÓN BAJAWARE";"08. CERRADA"},0),
  _xlfn.XLOOKUP(INDEX($B:$B, (ROW()-3)),'Relacion '!$E:$E,'Relacion '!#REF!,0),
  0
 )
)</f>
        <v>1</v>
      </c>
      <c r="I356" s="241">
        <f t="shared" ca="1" si="78"/>
        <v>1</v>
      </c>
      <c r="J356" s="241"/>
      <c r="K356" s="241"/>
      <c r="L356" s="238"/>
    </row>
    <row r="357" spans="2:12" outlineLevel="1">
      <c r="B357" s="237" t="s">
        <v>324</v>
      </c>
      <c r="C357" s="237" t="s">
        <v>324</v>
      </c>
      <c r="D357" s="238" t="str">
        <f>_xlfn.XLOOKUP(B357,'Relacion '!$E:$E,'Relacion '!$D:$D,"")</f>
        <v/>
      </c>
      <c r="E357" s="239">
        <f t="shared" si="76"/>
        <v>22</v>
      </c>
      <c r="F357" s="240" cm="1">
        <f t="array" ref="F357">MIN(INDEX('Relacion '!$AD$5:$AE$493,MATCH(INDEX($B:$B, (ROW()-4)),'Relacion '!$E$5:$E$493,0),0))</f>
        <v>46083</v>
      </c>
      <c r="G357" s="240" cm="1">
        <f t="array" ref="G357">MAX(INDEX('Relacion '!$AD$5:$AE$493,MATCH(INDEX($B:$B, (ROW()-4)),'Relacion '!$E$5:$E$493,0),0))</f>
        <v>46105</v>
      </c>
      <c r="H357" s="241" cm="1">
        <f t="array" ref="H357">IF(
 MATCH(B357,{"01. ASIGNACION AREA";"02. MAPEO";"03. DESARROLLO";"04. VALIDA US";"05. VOBO US";"06. BW-EJECUCION";"07. VALIDACIÓN BAJAWARE";"08. CERRADA"},0)
 &lt;
 MATCH(_xlfn.XLOOKUP(INDEX($B:$B, (ROW()-4)),'Relacion '!$E:$E,'Relacion '!$D:$D,""),{"01. ASIGNACION AREA";"02. MAPEO";"03. DESARROLLO";"04. VALIDA US";"05. VOBO US";"06. BW-EJECUCION";"07. VALIDACIÓN BAJAWARE";"08. CERRADA"},0),
 1,
 IF(
  MATCH(B357,{"01. ASIGNACION AREA";"02. MAPEO";"03. DESARROLLO";"04. VALIDA US";"05. VOBO US";"06. BW-EJECUCION";"07. VALIDACIÓN BAJAWARE";"08. CERRADA"},0)
  =
  MATCH(_xlfn.XLOOKUP(INDEX($B:$B, (ROW()-4)),'Relacion '!$E:$E,'Relacion '!$D:$D,""),{"01. ASIGNACION AREA";"02. MAPEO";"03. DESARROLLO";"04. VALIDA US";"05. VOBO US";"06. BW-EJECUCION";"07. VALIDACIÓN BAJAWARE";"08. CERRADA"},0),
  _xlfn.XLOOKUP(INDEX($B:$B, (ROW()-4)),'Relacion '!$E:$E,'Relacion '!#REF!,0),
  0
 )
)</f>
        <v>1</v>
      </c>
      <c r="I357" s="241">
        <f t="shared" ca="1" si="78"/>
        <v>1</v>
      </c>
      <c r="J357" s="241"/>
      <c r="K357" s="241"/>
      <c r="L357" s="238"/>
    </row>
    <row r="358" spans="2:12" outlineLevel="1">
      <c r="B358" s="237" t="s">
        <v>320</v>
      </c>
      <c r="C358" s="237" t="s">
        <v>320</v>
      </c>
      <c r="D358" s="238" t="str">
        <f>_xlfn.XLOOKUP(B358,'Relacion '!$E:$E,'Relacion '!$D:$D,"")</f>
        <v/>
      </c>
      <c r="E358" s="239">
        <f t="shared" si="76"/>
        <v>1</v>
      </c>
      <c r="F358" s="240" cm="1">
        <f t="array" ref="F358">MIN(INDEX('Relacion '!$AF$5:$AG$493,MATCH(INDEX($B:$B, (ROW()-5)),'Relacion '!$E$5:$E$493,0),0))</f>
        <v>46105</v>
      </c>
      <c r="G358" s="240" cm="1">
        <f t="array" ref="G358">MAX(INDEX('Relacion '!$AF$5:$AG$493,MATCH(INDEX($B:$B, (ROW()-5)),'Relacion '!$E$5:$E$493,0),0))</f>
        <v>46106</v>
      </c>
      <c r="H358" s="241" cm="1">
        <f t="array" ref="H358">IF(
 MATCH(B358,{"01. ASIGNACION AREA";"02. MAPEO";"03. DESARROLLO";"04. VALIDA US";"05. VOBO US";"06. BW-EJECUCION";"07. VALIDACIÓN BAJAWARE";"08. CERRADA"},0)
 &lt;
 MATCH(_xlfn.XLOOKUP(INDEX($B:$B, (ROW()-5)),'Relacion '!$E:$E,'Relacion '!$D:$D,""),{"01. ASIGNACION AREA";"02. MAPEO";"03. DESARROLLO";"04. VALIDA US";"05. VOBO US";"06. BW-EJECUCION";"07. VALIDACIÓN BAJAWARE";"08. CERRADA"},0),
 1,
 IF(
  MATCH(B358,{"01. ASIGNACION AREA";"02. MAPEO";"03. DESARROLLO";"04. VALIDA US";"05. VOBO US";"06. BW-EJECUCION";"07. VALIDACIÓN BAJAWARE";"08. CERRADA"},0)
  =
  MATCH(_xlfn.XLOOKUP(INDEX($B:$B, (ROW()-5)),'Relacion '!$E:$E,'Relacion '!$D:$D,""),{"01. ASIGNACION AREA";"02. MAPEO";"03. DESARROLLO";"04. VALIDA US";"05. VOBO US";"06. BW-EJECUCION";"07. VALIDACIÓN BAJAWARE";"08. CERRADA"},0),
  _xlfn.XLOOKUP(INDEX($B:$B, (ROW()-5)),'Relacion '!$E:$E,'Relacion '!#REF!,0),
  0
 )
)</f>
        <v>1</v>
      </c>
      <c r="I358" s="241">
        <f t="shared" ca="1" si="78"/>
        <v>1</v>
      </c>
      <c r="J358" s="241"/>
      <c r="K358" s="241"/>
      <c r="L358" s="238"/>
    </row>
    <row r="359" spans="2:12" outlineLevel="1">
      <c r="B359" s="237" t="s">
        <v>710</v>
      </c>
      <c r="C359" s="237" t="s">
        <v>710</v>
      </c>
      <c r="D359" s="238" t="str">
        <f>_xlfn.XLOOKUP(B359,'Relacion '!$E:$E,'Relacion '!$D:$D,"")</f>
        <v/>
      </c>
      <c r="E359" s="239">
        <f t="shared" si="76"/>
        <v>2</v>
      </c>
      <c r="F359" s="240" cm="1">
        <f t="array" ref="F359">MIN(INDEX('Relacion '!$AH$5:$AI$493,MATCH(INDEX($B:$B, (ROW()-6)),'Relacion '!$E$5:$E$493,0),0))</f>
        <v>46111</v>
      </c>
      <c r="G359" s="240" cm="1">
        <f t="array" ref="G359">MAX(INDEX('Relacion '!$AH$5:$AI$493,MATCH(INDEX($B:$B, (ROW()-6)),'Relacion '!$E$5:$E$493,0),0))</f>
        <v>46113</v>
      </c>
      <c r="H359" s="241" t="e" cm="1">
        <f t="array" ref="H359">IF(
 MATCH(B359,{"01. ASIGNACION AREA";"02. MAPEO";"03. DESARROLLO";"04. VALIDA US";"05. VOBO US";"06. BW-EJECUCION";"07. VALIDACIÓN BAJAWARE";"08. CERRADA"},0)
 &lt;
 MATCH(_xlfn.XLOOKUP(INDEX($B:$B, (ROW()-6)),'Relacion '!$E:$E,'Relacion '!$D:$D,""),{"01. ASIGNACION AREA";"02. MAPEO";"03. DESARROLLO";"04. VALIDA US";"05. VOBO US";"06. BW-EJECUCION";"07. VALIDACIÓN BAJAWARE";"08. CERRADA"},0),
 1,
 IF(
  MATCH(B359,{"01. ASIGNACION AREA";"02. MAPEO";"03. DESARROLLO";"04. VALIDA US";"05. VOBO US";"06. BW-EJECUCION";"07. VALIDACIÓN BAJAWARE";"08. CERRADA"},0)
  =
  MATCH(_xlfn.XLOOKUP(INDEX($B:$B, (ROW()-6)),'Relacion '!$E:$E,'Relacion '!$D:$D,""),{"01. ASIGNACION AREA";"02. MAPEO";"03. DESARROLLO";"04. VALIDA US";"05. VOBO US";"06. BW-EJECUCION";"07. VALIDACIÓN BAJAWARE";"08. CERRADA"},0),
  _xlfn.XLOOKUP(INDEX($B:$B, (ROW()-6)),'Relacion '!$E:$E,'Relacion '!#REF!,0),
  0
 )
)</f>
        <v>#REF!</v>
      </c>
      <c r="I359" s="241">
        <f t="shared" ca="1" si="78"/>
        <v>1</v>
      </c>
      <c r="J359" s="241"/>
      <c r="K359" s="241"/>
      <c r="L359" s="238"/>
    </row>
    <row r="360" spans="2:12" outlineLevel="1">
      <c r="B360" s="237" t="s">
        <v>655</v>
      </c>
      <c r="C360" s="237" t="s">
        <v>655</v>
      </c>
      <c r="D360" s="238" t="str">
        <f>_xlfn.XLOOKUP(B360,'Relacion '!$E:$E,'Relacion '!$D:$D,"")</f>
        <v/>
      </c>
      <c r="E360" s="239">
        <f t="shared" si="76"/>
        <v>14</v>
      </c>
      <c r="F360" s="240" cm="1">
        <f t="array" ref="F360">MIN(INDEX('Relacion '!$AJ$5:$AK$493,MATCH(INDEX($B:$B, (ROW()-7)),'Relacion '!$E$5:$E$493,0),0))</f>
        <v>46118</v>
      </c>
      <c r="G360" s="240" cm="1">
        <f t="array" ref="G360">MAX(INDEX('Relacion '!$AJ$5:$AK$493,MATCH(INDEX($B:$B, (ROW()-7)),'Relacion '!$E$5:$E$493,0),0))</f>
        <v>46132</v>
      </c>
      <c r="H360" s="241" cm="1">
        <f t="array" ref="H360">IF(
 MATCH(B360,{"01. ASIGNACION AREA";"02. MAPEO";"03. DESARROLLO";"04. VALIDA US";"05. VOBO US";"06. BW-EJECUCION";"07. VALIDACIÓN BAJAWARE";"08. CERRADA"},0)
 &lt;
 MATCH(_xlfn.XLOOKUP(INDEX($B:$B, (ROW()-7)),'Relacion '!$E:$E,'Relacion '!$D:$D,""),{"01. ASIGNACION AREA";"02. MAPEO";"03. DESARROLLO";"04. VALIDA US";"05. VOBO US";"06. BW-EJECUCION";"07. VALIDACIÓN BAJAWARE";"08. CERRADA"},0),
 1,
 IF(
  MATCH(B360,{"01. ASIGNACION AREA";"02. MAPEO";"03. DESARROLLO";"04. VALIDA US";"05. VOBO US";"06. BW-EJECUCION";"07. VALIDACIÓN BAJAWARE";"08. CERRADA"},0)
  =
  MATCH(_xlfn.XLOOKUP(INDEX($B:$B, (ROW()-7)),'Relacion '!$E:$E,'Relacion '!$D:$D,""),{"01. ASIGNACION AREA";"02. MAPEO";"03. DESARROLLO";"04. VALIDA US";"05. VOBO US";"06. BW-EJECUCION";"07. VALIDACIÓN BAJAWARE";"08. CERRADA"},0),
  _xlfn.XLOOKUP(INDEX($B:$B, (ROW()-7)),'Relacion '!$E:$E,'Relacion '!#REF!,0),
  0
 )
)</f>
        <v>0</v>
      </c>
      <c r="I360" s="241">
        <f t="shared" ca="1" si="78"/>
        <v>1</v>
      </c>
      <c r="J360" s="241"/>
      <c r="K360" s="241"/>
      <c r="L360" s="238"/>
    </row>
    <row r="361" spans="2:12" outlineLevel="1">
      <c r="B361" s="237" t="s">
        <v>656</v>
      </c>
      <c r="C361" s="237" t="s">
        <v>656</v>
      </c>
      <c r="D361" s="238" t="str">
        <f>_xlfn.XLOOKUP(B361,'Relacion '!$E:$E,'Relacion '!$D:$D,"")</f>
        <v/>
      </c>
      <c r="E361" s="239">
        <f t="shared" si="76"/>
        <v>0</v>
      </c>
      <c r="F361" s="240" cm="1">
        <f t="array" ref="F361">MIN(INDEX('Relacion '!$AL$5:$AM$493,MATCH(INDEX($B:$B, (ROW()-8)),'Relacion '!$E$5:$E$493,0),0))</f>
        <v>46133</v>
      </c>
      <c r="G361" s="240" cm="1">
        <f t="array" ref="G361">MAX(INDEX('Relacion '!$AL$5:$AM$493,MATCH(INDEX($B:$B, (ROW()-8)),'Relacion '!$E$5:$E$493,0),0))</f>
        <v>46133</v>
      </c>
      <c r="H361" s="241" cm="1">
        <f t="array" ref="H361">IF(
 MATCH(B361,{"01. ASIGNACION AREA";"02. MAPEO";"03. DESARROLLO";"04. VALIDA US";"05. VOBO US";"06. BW-EJECUCION";"07. VALIDACIÓN BAJAWARE";"08. CERRADA"},0)
 &lt;
 MATCH(_xlfn.XLOOKUP(INDEX($B:$B, (ROW()-8)),'Relacion '!$E:$E,'Relacion '!$D:$D,""),{"01. ASIGNACION AREA";"02. MAPEO";"03. DESARROLLO";"04. VALIDA US";"05. VOBO US";"06. BW-EJECUCION";"07. VALIDACIÓN BAJAWARE";"08. CERRADA"},0),
 1,
 IF(
  MATCH(B361,{"01. ASIGNACION AREA";"02. MAPEO";"03. DESARROLLO";"04. VALIDA US";"05. VOBO US";"06. BW-EJECUCION";"07. VALIDACIÓN BAJAWARE";"08. CERRADA"},0)
  =
  MATCH(_xlfn.XLOOKUP(INDEX($B:$B, (ROW()-8)),'Relacion '!$E:$E,'Relacion '!$D:$D,""),{"01. ASIGNACION AREA";"02. MAPEO";"03. DESARROLLO";"04. VALIDA US";"05. VOBO US";"06. BW-EJECUCION";"07. VALIDACIÓN BAJAWARE";"08. CERRADA"},0),
  _xlfn.XLOOKUP(INDEX($B:$B, (ROW()-8)),'Relacion '!$E:$E,'Relacion '!#REF!,0),
  0
 )
)</f>
        <v>0</v>
      </c>
      <c r="I361" s="241">
        <f t="shared" ca="1" si="78"/>
        <v>1</v>
      </c>
      <c r="J361" s="241"/>
      <c r="K361" s="241"/>
      <c r="L361" s="238"/>
    </row>
    <row r="362" spans="2:12" ht="30">
      <c r="B362" s="232" t="s">
        <v>216</v>
      </c>
      <c r="C362" s="177" t="s">
        <v>211</v>
      </c>
      <c r="D362" s="236" t="str">
        <f>_xlfn.XLOOKUP(B362,'Relacion '!$E:$E,'Relacion '!$D:$D,"")</f>
        <v>07. VALIDACIÓN BAJAWARE</v>
      </c>
      <c r="E362" s="233">
        <f t="shared" si="76"/>
        <v>148</v>
      </c>
      <c r="F362" s="234" cm="1">
        <f t="array" ref="F362">MIN(INDEX('Relacion '!$X$5:$AM$493,MATCH(INDEX($B:$B, (ROW()-0)),'Relacion '!$E$5:$E$493,0),0))</f>
        <v>46024</v>
      </c>
      <c r="G362" s="234" cm="1">
        <f t="array" ref="G362">MAX(INDEX('Relacion '!$X$5:$AM$493,MATCH(INDEX($B:$B, (ROW()-0)),'Relacion '!$E$5:$E$493,0),0))</f>
        <v>46172</v>
      </c>
      <c r="H362" s="235" t="e">
        <f>AVERAGE(H363:H370)</f>
        <v>#REF!</v>
      </c>
      <c r="I362" s="235">
        <f t="shared" ref="I362" ca="1" si="85">AVERAGE(I363:I370)</f>
        <v>0.75</v>
      </c>
      <c r="J362" s="236" t="str">
        <f>IF(ISNUMBER(SEARCH("Rocha", _xlfn.XLOOKUP(B362,'Relacion '!$E:$E,'Relacion '!$I:$I,""))), "Sí", "No")</f>
        <v>No</v>
      </c>
      <c r="K362" s="236" t="str">
        <f>IF(ISNUMBER(SEARCH("Rocha", _xlfn.XLOOKUP(B362,'Relacion '!$E:$E,'Relacion '!$I:$I,""))), "RMC", _xlfn.XLOOKUP(B362,'Relacion '!$E:$E,'Relacion '!$B:$B,""))</f>
        <v>Tesorería </v>
      </c>
      <c r="L362" s="236" t="str">
        <f>_xlfn.XLOOKUP(B362,'Relacion '!$E:$E,'Relacion '!$C:$C,"")</f>
        <v>Eduardo Cabral</v>
      </c>
    </row>
    <row r="363" spans="2:12" outlineLevel="1">
      <c r="B363" s="237" t="s">
        <v>654</v>
      </c>
      <c r="C363" s="237" t="s">
        <v>654</v>
      </c>
      <c r="D363" s="238" t="str">
        <f>_xlfn.XLOOKUP(B363,'Relacion '!$E:$E,'Relacion '!$D:$D,"")</f>
        <v/>
      </c>
      <c r="E363" s="239">
        <f t="shared" si="76"/>
        <v>59</v>
      </c>
      <c r="F363" s="240" cm="1">
        <f t="array" ref="F363">MIN(INDEX('Relacion '!$X$5:$Y$493,MATCH(INDEX($B:$B, (ROW()-1)),'Relacion '!$E$5:$E$493,0),0))</f>
        <v>46024</v>
      </c>
      <c r="G363" s="240" cm="1">
        <f t="array" ref="G363">MAX(INDEX('Relacion '!$X$5:$Y$493,MATCH(INDEX($B:$B, (ROW()-1)),'Relacion '!$E$5:$E$493,0),0))</f>
        <v>46083</v>
      </c>
      <c r="H363" s="241" cm="1">
        <f t="array" ref="H363">IF(
 MATCH(B363,{"01. ASIGNACION AREA";"02. MAPEO";"03. DESARROLLO";"04. VALIDA US";"05. VOBO US";"06. BW-EJECUCION";"07. VALIDACIÓN BAJAWARE";"08. CERRADA"},0)
 &lt;
 MATCH(_xlfn.XLOOKUP(INDEX($B:$B, (ROW()-1)),'Relacion '!$E:$E,'Relacion '!$D:$D,""),{"01. ASIGNACION AREA";"02. MAPEO";"03. DESARROLLO";"04. VALIDA US";"05. VOBO US";"06. BW-EJECUCION";"07. VALIDACIÓN BAJAWARE";"08. CERRADA"},0),
 1,
 IF(
  MATCH(B363,{"01. ASIGNACION AREA";"02. MAPEO";"03. DESARROLLO";"04. VALIDA US";"05. VOBO US";"06. BW-EJECUCION";"07. VALIDACIÓN BAJAWARE";"08. CERRADA"},0)
  =
  MATCH(_xlfn.XLOOKUP(INDEX($B:$B, (ROW()-1)),'Relacion '!$E:$E,'Relacion '!$D:$D,""),{"01. ASIGNACION AREA";"02. MAPEO";"03. DESARROLLO";"04. VALIDA US";"05. VOBO US";"06. BW-EJECUCION";"07. VALIDACIÓN BAJAWARE";"08. CERRADA"},0),
  _xlfn.XLOOKUP(INDEX($B:$B, (ROW()-1)),'Relacion '!$E:$E,'Relacion '!#REF!,0),
  0
 )
)</f>
        <v>1</v>
      </c>
      <c r="I363" s="241">
        <f t="shared" ref="I363" ca="1" si="86">IF(G363&lt;=TODAY(), 1, 0)</f>
        <v>1</v>
      </c>
      <c r="J363" s="241"/>
      <c r="K363" s="241"/>
      <c r="L363" s="238"/>
    </row>
    <row r="364" spans="2:12" outlineLevel="1">
      <c r="B364" s="237" t="s">
        <v>195</v>
      </c>
      <c r="C364" s="237" t="s">
        <v>195</v>
      </c>
      <c r="D364" s="238" t="str">
        <f>_xlfn.XLOOKUP(B364,'Relacion '!$E:$E,'Relacion '!$D:$D,"")</f>
        <v/>
      </c>
      <c r="E364" s="239">
        <f t="shared" si="76"/>
        <v>31</v>
      </c>
      <c r="F364" s="240" cm="1">
        <f t="array" ref="F364">MIN(INDEX('Relacion '!$Z$5:$AA$493,MATCH(INDEX($B:$B, (ROW()-2)),'Relacion '!$E$5:$E$493,0),0))</f>
        <v>46056</v>
      </c>
      <c r="G364" s="240" cm="1">
        <f t="array" ref="G364">MAX(INDEX('Relacion '!$Z$5:$AA$493,MATCH(INDEX($B:$B, (ROW()-2)),'Relacion '!$E$5:$E$493,0),0))</f>
        <v>46087</v>
      </c>
      <c r="H364" s="241" cm="1">
        <f t="array" ref="H364">IF(
 MATCH(B364,{"01. ASIGNACION AREA";"02. MAPEO";"03. DESARROLLO";"04. VALIDA US";"05. VOBO US";"06. BW-EJECUCION";"07. VALIDACIÓN BAJAWARE";"08. CERRADA"},0)
 &lt;
 MATCH(_xlfn.XLOOKUP(INDEX($B:$B, (ROW()-2)),'Relacion '!$E:$E,'Relacion '!$D:$D,""),{"01. ASIGNACION AREA";"02. MAPEO";"03. DESARROLLO";"04. VALIDA US";"05. VOBO US";"06. BW-EJECUCION";"07. VALIDACIÓN BAJAWARE";"08. CERRADA"},0),
 1,
 IF(
  MATCH(B364,{"01. ASIGNACION AREA";"02. MAPEO";"03. DESARROLLO";"04. VALIDA US";"05. VOBO US";"06. BW-EJECUCION";"07. VALIDACIÓN BAJAWARE";"08. CERRADA"},0)
  =
  MATCH(_xlfn.XLOOKUP(INDEX($B:$B, (ROW()-2)),'Relacion '!$E:$E,'Relacion '!$D:$D,""),{"01. ASIGNACION AREA";"02. MAPEO";"03. DESARROLLO";"04. VALIDA US";"05. VOBO US";"06. BW-EJECUCION";"07. VALIDACIÓN BAJAWARE";"08. CERRADA"},0),
  _xlfn.XLOOKUP(INDEX($B:$B, (ROW()-2)),'Relacion '!$E:$E,'Relacion '!#REF!,0),
  0
 )
)</f>
        <v>1</v>
      </c>
      <c r="I364" s="241">
        <f t="shared" ca="1" si="78"/>
        <v>1</v>
      </c>
      <c r="J364" s="241"/>
      <c r="K364" s="241"/>
      <c r="L364" s="238"/>
    </row>
    <row r="365" spans="2:12" outlineLevel="1">
      <c r="B365" s="237" t="s">
        <v>49</v>
      </c>
      <c r="C365" s="237" t="s">
        <v>49</v>
      </c>
      <c r="D365" s="238" t="str">
        <f>_xlfn.XLOOKUP(B365,'Relacion '!$E:$E,'Relacion '!$D:$D,"")</f>
        <v/>
      </c>
      <c r="E365" s="239">
        <f t="shared" si="76"/>
        <v>39</v>
      </c>
      <c r="F365" s="240" cm="1">
        <f t="array" ref="F365">MIN(INDEX('Relacion '!$AB$5:$AC$493,MATCH(INDEX($B:$B, (ROW()-3)),'Relacion '!$E$5:$E$493,0),0))</f>
        <v>46083</v>
      </c>
      <c r="G365" s="240" cm="1">
        <f t="array" ref="G365">MAX(INDEX('Relacion '!$AB$5:$AC$493,MATCH(INDEX($B:$B, (ROW()-3)),'Relacion '!$E$5:$E$493,0),0))</f>
        <v>46122</v>
      </c>
      <c r="H365" s="241" cm="1">
        <f t="array" ref="H365">IF(
 MATCH(B365,{"01. ASIGNACION AREA";"02. MAPEO";"03. DESARROLLO";"04. VALIDA US";"05. VOBO US";"06. BW-EJECUCION";"07. VALIDACIÓN BAJAWARE";"08. CERRADA"},0)
 &lt;
 MATCH(_xlfn.XLOOKUP(INDEX($B:$B, (ROW()-3)),'Relacion '!$E:$E,'Relacion '!$D:$D,""),{"01. ASIGNACION AREA";"02. MAPEO";"03. DESARROLLO";"04. VALIDA US";"05. VOBO US";"06. BW-EJECUCION";"07. VALIDACIÓN BAJAWARE";"08. CERRADA"},0),
 1,
 IF(
  MATCH(B365,{"01. ASIGNACION AREA";"02. MAPEO";"03. DESARROLLO";"04. VALIDA US";"05. VOBO US";"06. BW-EJECUCION";"07. VALIDACIÓN BAJAWARE";"08. CERRADA"},0)
  =
  MATCH(_xlfn.XLOOKUP(INDEX($B:$B, (ROW()-3)),'Relacion '!$E:$E,'Relacion '!$D:$D,""),{"01. ASIGNACION AREA";"02. MAPEO";"03. DESARROLLO";"04. VALIDA US";"05. VOBO US";"06. BW-EJECUCION";"07. VALIDACIÓN BAJAWARE";"08. CERRADA"},0),
  _xlfn.XLOOKUP(INDEX($B:$B, (ROW()-3)),'Relacion '!$E:$E,'Relacion '!#REF!,0),
  0
 )
)</f>
        <v>1</v>
      </c>
      <c r="I365" s="241">
        <f t="shared" ca="1" si="78"/>
        <v>1</v>
      </c>
      <c r="J365" s="241"/>
      <c r="K365" s="241"/>
      <c r="L365" s="238"/>
    </row>
    <row r="366" spans="2:12" outlineLevel="1">
      <c r="B366" s="237" t="s">
        <v>324</v>
      </c>
      <c r="C366" s="237" t="s">
        <v>324</v>
      </c>
      <c r="D366" s="238" t="str">
        <f>_xlfn.XLOOKUP(B366,'Relacion '!$E:$E,'Relacion '!$D:$D,"")</f>
        <v/>
      </c>
      <c r="E366" s="239">
        <f t="shared" si="76"/>
        <v>25</v>
      </c>
      <c r="F366" s="240" cm="1">
        <f t="array" ref="F366">MIN(INDEX('Relacion '!$AD$5:$AE$493,MATCH(INDEX($B:$B, (ROW()-4)),'Relacion '!$E$5:$E$493,0),0))</f>
        <v>46111</v>
      </c>
      <c r="G366" s="240" cm="1">
        <f t="array" ref="G366">MAX(INDEX('Relacion '!$AD$5:$AE$493,MATCH(INDEX($B:$B, (ROW()-4)),'Relacion '!$E$5:$E$493,0),0))</f>
        <v>46136</v>
      </c>
      <c r="H366" s="241" cm="1">
        <f t="array" ref="H366">IF(
 MATCH(B366,{"01. ASIGNACION AREA";"02. MAPEO";"03. DESARROLLO";"04. VALIDA US";"05. VOBO US";"06. BW-EJECUCION";"07. VALIDACIÓN BAJAWARE";"08. CERRADA"},0)
 &lt;
 MATCH(_xlfn.XLOOKUP(INDEX($B:$B, (ROW()-4)),'Relacion '!$E:$E,'Relacion '!$D:$D,""),{"01. ASIGNACION AREA";"02. MAPEO";"03. DESARROLLO";"04. VALIDA US";"05. VOBO US";"06. BW-EJECUCION";"07. VALIDACIÓN BAJAWARE";"08. CERRADA"},0),
 1,
 IF(
  MATCH(B366,{"01. ASIGNACION AREA";"02. MAPEO";"03. DESARROLLO";"04. VALIDA US";"05. VOBO US";"06. BW-EJECUCION";"07. VALIDACIÓN BAJAWARE";"08. CERRADA"},0)
  =
  MATCH(_xlfn.XLOOKUP(INDEX($B:$B, (ROW()-4)),'Relacion '!$E:$E,'Relacion '!$D:$D,""),{"01. ASIGNACION AREA";"02. MAPEO";"03. DESARROLLO";"04. VALIDA US";"05. VOBO US";"06. BW-EJECUCION";"07. VALIDACIÓN BAJAWARE";"08. CERRADA"},0),
  _xlfn.XLOOKUP(INDEX($B:$B, (ROW()-4)),'Relacion '!$E:$E,'Relacion '!#REF!,0),
  0
 )
)</f>
        <v>1</v>
      </c>
      <c r="I366" s="241">
        <f t="shared" ca="1" si="78"/>
        <v>1</v>
      </c>
      <c r="J366" s="241"/>
      <c r="K366" s="241"/>
      <c r="L366" s="238"/>
    </row>
    <row r="367" spans="2:12" outlineLevel="1">
      <c r="B367" s="237" t="s">
        <v>320</v>
      </c>
      <c r="C367" s="237" t="s">
        <v>320</v>
      </c>
      <c r="D367" s="238" t="str">
        <f>_xlfn.XLOOKUP(B367,'Relacion '!$E:$E,'Relacion '!$D:$D,"")</f>
        <v/>
      </c>
      <c r="E367" s="239">
        <f t="shared" si="76"/>
        <v>18</v>
      </c>
      <c r="F367" s="240" cm="1">
        <f t="array" ref="F367">MIN(INDEX('Relacion '!$AF$5:$AG$493,MATCH(INDEX($B:$B, (ROW()-5)),'Relacion '!$E$5:$E$493,0),0))</f>
        <v>46118</v>
      </c>
      <c r="G367" s="240" cm="1">
        <f t="array" ref="G367">MAX(INDEX('Relacion '!$AF$5:$AG$493,MATCH(INDEX($B:$B, (ROW()-5)),'Relacion '!$E$5:$E$493,0),0))</f>
        <v>46136</v>
      </c>
      <c r="H367" s="241" cm="1">
        <f t="array" ref="H367">IF(
 MATCH(B367,{"01. ASIGNACION AREA";"02. MAPEO";"03. DESARROLLO";"04. VALIDA US";"05. VOBO US";"06. BW-EJECUCION";"07. VALIDACIÓN BAJAWARE";"08. CERRADA"},0)
 &lt;
 MATCH(_xlfn.XLOOKUP(INDEX($B:$B, (ROW()-5)),'Relacion '!$E:$E,'Relacion '!$D:$D,""),{"01. ASIGNACION AREA";"02. MAPEO";"03. DESARROLLO";"04. VALIDA US";"05. VOBO US";"06. BW-EJECUCION";"07. VALIDACIÓN BAJAWARE";"08. CERRADA"},0),
 1,
 IF(
  MATCH(B367,{"01. ASIGNACION AREA";"02. MAPEO";"03. DESARROLLO";"04. VALIDA US";"05. VOBO US";"06. BW-EJECUCION";"07. VALIDACIÓN BAJAWARE";"08. CERRADA"},0)
  =
  MATCH(_xlfn.XLOOKUP(INDEX($B:$B, (ROW()-5)),'Relacion '!$E:$E,'Relacion '!$D:$D,""),{"01. ASIGNACION AREA";"02. MAPEO";"03. DESARROLLO";"04. VALIDA US";"05. VOBO US";"06. BW-EJECUCION";"07. VALIDACIÓN BAJAWARE";"08. CERRADA"},0),
  _xlfn.XLOOKUP(INDEX($B:$B, (ROW()-5)),'Relacion '!$E:$E,'Relacion '!#REF!,0),
  0
 )
)</f>
        <v>1</v>
      </c>
      <c r="I367" s="241">
        <f t="shared" ca="1" si="78"/>
        <v>1</v>
      </c>
      <c r="J367" s="241"/>
      <c r="K367" s="241"/>
      <c r="L367" s="238"/>
    </row>
    <row r="368" spans="2:12" outlineLevel="1">
      <c r="B368" s="237" t="s">
        <v>710</v>
      </c>
      <c r="C368" s="237" t="s">
        <v>710</v>
      </c>
      <c r="D368" s="238" t="str">
        <f>_xlfn.XLOOKUP(B368,'Relacion '!$E:$E,'Relacion '!$D:$D,"")</f>
        <v/>
      </c>
      <c r="E368" s="239">
        <f t="shared" si="76"/>
        <v>25</v>
      </c>
      <c r="F368" s="240" cm="1">
        <f t="array" ref="F368">MIN(INDEX('Relacion '!$AH$5:$AI$493,MATCH(INDEX($B:$B, (ROW()-6)),'Relacion '!$E$5:$E$493,0),0))</f>
        <v>46125</v>
      </c>
      <c r="G368" s="240" cm="1">
        <f t="array" ref="G368">MAX(INDEX('Relacion '!$AH$5:$AI$493,MATCH(INDEX($B:$B, (ROW()-6)),'Relacion '!$E$5:$E$493,0),0))</f>
        <v>46150</v>
      </c>
      <c r="H368" s="241" cm="1">
        <f t="array" ref="H368">IF(
 MATCH(B368,{"01. ASIGNACION AREA";"02. MAPEO";"03. DESARROLLO";"04. VALIDA US";"05. VOBO US";"06. BW-EJECUCION";"07. VALIDACIÓN BAJAWARE";"08. CERRADA"},0)
 &lt;
 MATCH(_xlfn.XLOOKUP(INDEX($B:$B, (ROW()-6)),'Relacion '!$E:$E,'Relacion '!$D:$D,""),{"01. ASIGNACION AREA";"02. MAPEO";"03. DESARROLLO";"04. VALIDA US";"05. VOBO US";"06. BW-EJECUCION";"07. VALIDACIÓN BAJAWARE";"08. CERRADA"},0),
 1,
 IF(
  MATCH(B368,{"01. ASIGNACION AREA";"02. MAPEO";"03. DESARROLLO";"04. VALIDA US";"05. VOBO US";"06. BW-EJECUCION";"07. VALIDACIÓN BAJAWARE";"08. CERRADA"},0)
  =
  MATCH(_xlfn.XLOOKUP(INDEX($B:$B, (ROW()-6)),'Relacion '!$E:$E,'Relacion '!$D:$D,""),{"01. ASIGNACION AREA";"02. MAPEO";"03. DESARROLLO";"04. VALIDA US";"05. VOBO US";"06. BW-EJECUCION";"07. VALIDACIÓN BAJAWARE";"08. CERRADA"},0),
  _xlfn.XLOOKUP(INDEX($B:$B, (ROW()-6)),'Relacion '!$E:$E,'Relacion '!#REF!,0),
  0
 )
)</f>
        <v>1</v>
      </c>
      <c r="I368" s="241">
        <f t="shared" ca="1" si="78"/>
        <v>1</v>
      </c>
      <c r="J368" s="241"/>
      <c r="K368" s="241"/>
      <c r="L368" s="238"/>
    </row>
    <row r="369" spans="2:12" outlineLevel="1">
      <c r="B369" s="237" t="s">
        <v>655</v>
      </c>
      <c r="C369" s="237" t="s">
        <v>655</v>
      </c>
      <c r="D369" s="238" t="str">
        <f>_xlfn.XLOOKUP(B369,'Relacion '!$E:$E,'Relacion '!$D:$D,"")</f>
        <v/>
      </c>
      <c r="E369" s="239">
        <f t="shared" si="76"/>
        <v>32</v>
      </c>
      <c r="F369" s="240" cm="1">
        <f t="array" ref="F369">MIN(INDEX('Relacion '!$AJ$5:$AK$493,MATCH(INDEX($B:$B, (ROW()-7)),'Relacion '!$E$5:$E$493,0),0))</f>
        <v>46139</v>
      </c>
      <c r="G369" s="240" cm="1">
        <f t="array" ref="G369">MAX(INDEX('Relacion '!$AJ$5:$AK$493,MATCH(INDEX($B:$B, (ROW()-7)),'Relacion '!$E$5:$E$493,0),0))</f>
        <v>46171</v>
      </c>
      <c r="H369" s="241" t="e" cm="1">
        <f t="array" ref="H369">IF(
 MATCH(B369,{"01. ASIGNACION AREA";"02. MAPEO";"03. DESARROLLO";"04. VALIDA US";"05. VOBO US";"06. BW-EJECUCION";"07. VALIDACIÓN BAJAWARE";"08. CERRADA"},0)
 &lt;
 MATCH(_xlfn.XLOOKUP(INDEX($B:$B, (ROW()-7)),'Relacion '!$E:$E,'Relacion '!$D:$D,""),{"01. ASIGNACION AREA";"02. MAPEO";"03. DESARROLLO";"04. VALIDA US";"05. VOBO US";"06. BW-EJECUCION";"07. VALIDACIÓN BAJAWARE";"08. CERRADA"},0),
 1,
 IF(
  MATCH(B369,{"01. ASIGNACION AREA";"02. MAPEO";"03. DESARROLLO";"04. VALIDA US";"05. VOBO US";"06. BW-EJECUCION";"07. VALIDACIÓN BAJAWARE";"08. CERRADA"},0)
  =
  MATCH(_xlfn.XLOOKUP(INDEX($B:$B, (ROW()-7)),'Relacion '!$E:$E,'Relacion '!$D:$D,""),{"01. ASIGNACION AREA";"02. MAPEO";"03. DESARROLLO";"04. VALIDA US";"05. VOBO US";"06. BW-EJECUCION";"07. VALIDACIÓN BAJAWARE";"08. CERRADA"},0),
  _xlfn.XLOOKUP(INDEX($B:$B, (ROW()-7)),'Relacion '!$E:$E,'Relacion '!#REF!,0),
  0
 )
)</f>
        <v>#REF!</v>
      </c>
      <c r="I369" s="241">
        <f t="shared" ca="1" si="78"/>
        <v>0</v>
      </c>
      <c r="J369" s="241"/>
      <c r="K369" s="241"/>
      <c r="L369" s="238"/>
    </row>
    <row r="370" spans="2:12" outlineLevel="1">
      <c r="B370" s="237" t="s">
        <v>656</v>
      </c>
      <c r="C370" s="237" t="s">
        <v>656</v>
      </c>
      <c r="D370" s="238" t="str">
        <f>_xlfn.XLOOKUP(B370,'Relacion '!$E:$E,'Relacion '!$D:$D,"")</f>
        <v/>
      </c>
      <c r="E370" s="239">
        <f t="shared" si="76"/>
        <v>0</v>
      </c>
      <c r="F370" s="240" cm="1">
        <f t="array" ref="F370">MIN(INDEX('Relacion '!$AL$5:$AM$493,MATCH(INDEX($B:$B, (ROW()-8)),'Relacion '!$E$5:$E$493,0),0))</f>
        <v>46172</v>
      </c>
      <c r="G370" s="240" cm="1">
        <f t="array" ref="G370">MAX(INDEX('Relacion '!$AL$5:$AM$493,MATCH(INDEX($B:$B, (ROW()-8)),'Relacion '!$E$5:$E$493,0),0))</f>
        <v>46172</v>
      </c>
      <c r="H370" s="241" cm="1">
        <f t="array" ref="H370">IF(
 MATCH(B370,{"01. ASIGNACION AREA";"02. MAPEO";"03. DESARROLLO";"04. VALIDA US";"05. VOBO US";"06. BW-EJECUCION";"07. VALIDACIÓN BAJAWARE";"08. CERRADA"},0)
 &lt;
 MATCH(_xlfn.XLOOKUP(INDEX($B:$B, (ROW()-8)),'Relacion '!$E:$E,'Relacion '!$D:$D,""),{"01. ASIGNACION AREA";"02. MAPEO";"03. DESARROLLO";"04. VALIDA US";"05. VOBO US";"06. BW-EJECUCION";"07. VALIDACIÓN BAJAWARE";"08. CERRADA"},0),
 1,
 IF(
  MATCH(B370,{"01. ASIGNACION AREA";"02. MAPEO";"03. DESARROLLO";"04. VALIDA US";"05. VOBO US";"06. BW-EJECUCION";"07. VALIDACIÓN BAJAWARE";"08. CERRADA"},0)
  =
  MATCH(_xlfn.XLOOKUP(INDEX($B:$B, (ROW()-8)),'Relacion '!$E:$E,'Relacion '!$D:$D,""),{"01. ASIGNACION AREA";"02. MAPEO";"03. DESARROLLO";"04. VALIDA US";"05. VOBO US";"06. BW-EJECUCION";"07. VALIDACIÓN BAJAWARE";"08. CERRADA"},0),
  _xlfn.XLOOKUP(INDEX($B:$B, (ROW()-8)),'Relacion '!$E:$E,'Relacion '!#REF!,0),
  0
 )
)</f>
        <v>0</v>
      </c>
      <c r="I370" s="241">
        <f t="shared" ca="1" si="78"/>
        <v>0</v>
      </c>
      <c r="J370" s="241"/>
      <c r="K370" s="241"/>
      <c r="L370" s="238"/>
    </row>
    <row r="371" spans="2:12">
      <c r="B371" s="232" t="s">
        <v>310</v>
      </c>
      <c r="C371" s="137" t="s">
        <v>197</v>
      </c>
      <c r="D371" s="236" t="str">
        <f>_xlfn.XLOOKUP(B371,'Relacion '!$E:$E,'Relacion '!$D:$D,"")</f>
        <v xml:space="preserve">04. VALIDA US </v>
      </c>
      <c r="E371" s="233">
        <f t="shared" si="76"/>
        <v>123</v>
      </c>
      <c r="F371" s="234" cm="1">
        <f t="array" ref="F371">MIN(INDEX('Relacion '!$X$5:$AM$493,MATCH(INDEX($B:$B, (ROW()-0)),'Relacion '!$E$5:$E$493,0),0))</f>
        <v>46024</v>
      </c>
      <c r="G371" s="234" cm="1">
        <f t="array" ref="G371">MAX(INDEX('Relacion '!$X$5:$AM$493,MATCH(INDEX($B:$B, (ROW()-0)),'Relacion '!$E$5:$E$493,0),0))</f>
        <v>46147</v>
      </c>
      <c r="H371" s="235" t="e">
        <f>AVERAGE(H372:H379)</f>
        <v>#N/A</v>
      </c>
      <c r="I371" s="235">
        <f t="shared" ref="I371" ca="1" si="87">AVERAGE(I372:I379)</f>
        <v>1</v>
      </c>
      <c r="J371" s="236" t="str">
        <f>IF(ISNUMBER(SEARCH("Rocha", _xlfn.XLOOKUP(B371,'Relacion '!$E:$E,'Relacion '!$I:$I,""))), "Sí", "No")</f>
        <v>No</v>
      </c>
      <c r="K371" s="236" t="str">
        <f>IF(ISNUMBER(SEARCH("Rocha", _xlfn.XLOOKUP(B371,'Relacion '!$E:$E,'Relacion '!$I:$I,""))), "RMC", _xlfn.XLOOKUP(B371,'Relacion '!$E:$E,'Relacion '!$B:$B,""))</f>
        <v>Tesorería </v>
      </c>
      <c r="L371" s="236" t="str">
        <f>_xlfn.XLOOKUP(B371,'Relacion '!$E:$E,'Relacion '!$C:$C,"")</f>
        <v>Eduardo Cabral</v>
      </c>
    </row>
    <row r="372" spans="2:12" outlineLevel="1">
      <c r="B372" s="237" t="s">
        <v>654</v>
      </c>
      <c r="C372" s="237" t="s">
        <v>654</v>
      </c>
      <c r="D372" s="238" t="str">
        <f>_xlfn.XLOOKUP(B372,'Relacion '!$E:$E,'Relacion '!$D:$D,"")</f>
        <v/>
      </c>
      <c r="E372" s="239">
        <f t="shared" si="76"/>
        <v>59</v>
      </c>
      <c r="F372" s="240" cm="1">
        <f t="array" ref="F372">MIN(INDEX('Relacion '!$X$5:$Y$493,MATCH(INDEX($B:$B, (ROW()-1)),'Relacion '!$E$5:$E$493,0),0))</f>
        <v>46024</v>
      </c>
      <c r="G372" s="240" cm="1">
        <f t="array" ref="G372">MAX(INDEX('Relacion '!$X$5:$Y$493,MATCH(INDEX($B:$B, (ROW()-1)),'Relacion '!$E$5:$E$493,0),0))</f>
        <v>46083</v>
      </c>
      <c r="H372" s="241" t="e" cm="1">
        <f t="array" ref="H372">IF(
 MATCH(B372,{"01. ASIGNACION AREA";"02. MAPEO";"03. DESARROLLO";"04. VALIDA US";"05. VOBO US";"06. BW-EJECUCION";"07. VALIDACIÓN BAJAWARE";"08. CERRADA"},0)
 &lt;
 MATCH(_xlfn.XLOOKUP(INDEX($B:$B, (ROW()-1)),'Relacion '!$E:$E,'Relacion '!$D:$D,""),{"01. ASIGNACION AREA";"02. MAPEO";"03. DESARROLLO";"04. VALIDA US";"05. VOBO US";"06. BW-EJECUCION";"07. VALIDACIÓN BAJAWARE";"08. CERRADA"},0),
 1,
 IF(
  MATCH(B372,{"01. ASIGNACION AREA";"02. MAPEO";"03. DESARROLLO";"04. VALIDA US";"05. VOBO US";"06. BW-EJECUCION";"07. VALIDACIÓN BAJAWARE";"08. CERRADA"},0)
  =
  MATCH(_xlfn.XLOOKUP(INDEX($B:$B, (ROW()-1)),'Relacion '!$E:$E,'Relacion '!$D:$D,""),{"01. ASIGNACION AREA";"02. MAPEO";"03. DESARROLLO";"04. VALIDA US";"05. VOBO US";"06. BW-EJECUCION";"07. VALIDACIÓN BAJAWARE";"08. CERRADA"},0),
  _xlfn.XLOOKUP(INDEX($B:$B, (ROW()-1)),'Relacion '!$E:$E,'Relacion '!#REF!,0),
  0
 )
)</f>
        <v>#N/A</v>
      </c>
      <c r="I372" s="241">
        <f t="shared" ref="I372" ca="1" si="88">IF(G372&lt;=TODAY(), 1, 0)</f>
        <v>1</v>
      </c>
      <c r="J372" s="241"/>
      <c r="K372" s="241"/>
      <c r="L372" s="238"/>
    </row>
    <row r="373" spans="2:12" outlineLevel="1">
      <c r="B373" s="237" t="s">
        <v>195</v>
      </c>
      <c r="C373" s="237" t="s">
        <v>195</v>
      </c>
      <c r="D373" s="238" t="str">
        <f>_xlfn.XLOOKUP(B373,'Relacion '!$E:$E,'Relacion '!$D:$D,"")</f>
        <v/>
      </c>
      <c r="E373" s="239">
        <f t="shared" si="76"/>
        <v>31</v>
      </c>
      <c r="F373" s="240" cm="1">
        <f t="array" ref="F373">MIN(INDEX('Relacion '!$Z$5:$AA$493,MATCH(INDEX($B:$B, (ROW()-2)),'Relacion '!$E$5:$E$493,0),0))</f>
        <v>46056</v>
      </c>
      <c r="G373" s="240" cm="1">
        <f t="array" ref="G373">MAX(INDEX('Relacion '!$Z$5:$AA$493,MATCH(INDEX($B:$B, (ROW()-2)),'Relacion '!$E$5:$E$493,0),0))</f>
        <v>46087</v>
      </c>
      <c r="H373" s="241" t="e" cm="1">
        <f t="array" ref="H373">IF(
 MATCH(B373,{"01. ASIGNACION AREA";"02. MAPEO";"03. DESARROLLO";"04. VALIDA US";"05. VOBO US";"06. BW-EJECUCION";"07. VALIDACIÓN BAJAWARE";"08. CERRADA"},0)
 &lt;
 MATCH(_xlfn.XLOOKUP(INDEX($B:$B, (ROW()-2)),'Relacion '!$E:$E,'Relacion '!$D:$D,""),{"01. ASIGNACION AREA";"02. MAPEO";"03. DESARROLLO";"04. VALIDA US";"05. VOBO US";"06. BW-EJECUCION";"07. VALIDACIÓN BAJAWARE";"08. CERRADA"},0),
 1,
 IF(
  MATCH(B373,{"01. ASIGNACION AREA";"02. MAPEO";"03. DESARROLLO";"04. VALIDA US";"05. VOBO US";"06. BW-EJECUCION";"07. VALIDACIÓN BAJAWARE";"08. CERRADA"},0)
  =
  MATCH(_xlfn.XLOOKUP(INDEX($B:$B, (ROW()-2)),'Relacion '!$E:$E,'Relacion '!$D:$D,""),{"01. ASIGNACION AREA";"02. MAPEO";"03. DESARROLLO";"04. VALIDA US";"05. VOBO US";"06. BW-EJECUCION";"07. VALIDACIÓN BAJAWARE";"08. CERRADA"},0),
  _xlfn.XLOOKUP(INDEX($B:$B, (ROW()-2)),'Relacion '!$E:$E,'Relacion '!#REF!,0),
  0
 )
)</f>
        <v>#N/A</v>
      </c>
      <c r="I373" s="241">
        <f t="shared" ca="1" si="78"/>
        <v>1</v>
      </c>
      <c r="J373" s="241"/>
      <c r="K373" s="241"/>
      <c r="L373" s="238"/>
    </row>
    <row r="374" spans="2:12" outlineLevel="1">
      <c r="B374" s="237" t="s">
        <v>49</v>
      </c>
      <c r="C374" s="237" t="s">
        <v>49</v>
      </c>
      <c r="D374" s="238" t="str">
        <f>_xlfn.XLOOKUP(B374,'Relacion '!$E:$E,'Relacion '!$D:$D,"")</f>
        <v/>
      </c>
      <c r="E374" s="239">
        <f t="shared" si="76"/>
        <v>0</v>
      </c>
      <c r="F374" s="240" cm="1">
        <f t="array" ref="F374">MIN(INDEX('Relacion '!$AB$5:$AC$493,MATCH(INDEX($B:$B, (ROW()-3)),'Relacion '!$E$5:$E$493,0),0))</f>
        <v>46080</v>
      </c>
      <c r="G374" s="240" cm="1">
        <f t="array" ref="G374">MAX(INDEX('Relacion '!$AB$5:$AC$493,MATCH(INDEX($B:$B, (ROW()-3)),'Relacion '!$E$5:$E$493,0),0))</f>
        <v>46080</v>
      </c>
      <c r="H374" s="241" t="e" cm="1">
        <f t="array" ref="H374">IF(
 MATCH(B374,{"01. ASIGNACION AREA";"02. MAPEO";"03. DESARROLLO";"04. VALIDA US";"05. VOBO US";"06. BW-EJECUCION";"07. VALIDACIÓN BAJAWARE";"08. CERRADA"},0)
 &lt;
 MATCH(_xlfn.XLOOKUP(INDEX($B:$B, (ROW()-3)),'Relacion '!$E:$E,'Relacion '!$D:$D,""),{"01. ASIGNACION AREA";"02. MAPEO";"03. DESARROLLO";"04. VALIDA US";"05. VOBO US";"06. BW-EJECUCION";"07. VALIDACIÓN BAJAWARE";"08. CERRADA"},0),
 1,
 IF(
  MATCH(B374,{"01. ASIGNACION AREA";"02. MAPEO";"03. DESARROLLO";"04. VALIDA US";"05. VOBO US";"06. BW-EJECUCION";"07. VALIDACIÓN BAJAWARE";"08. CERRADA"},0)
  =
  MATCH(_xlfn.XLOOKUP(INDEX($B:$B, (ROW()-3)),'Relacion '!$E:$E,'Relacion '!$D:$D,""),{"01. ASIGNACION AREA";"02. MAPEO";"03. DESARROLLO";"04. VALIDA US";"05. VOBO US";"06. BW-EJECUCION";"07. VALIDACIÓN BAJAWARE";"08. CERRADA"},0),
  _xlfn.XLOOKUP(INDEX($B:$B, (ROW()-3)),'Relacion '!$E:$E,'Relacion '!#REF!,0),
  0
 )
)</f>
        <v>#N/A</v>
      </c>
      <c r="I374" s="241">
        <f t="shared" ca="1" si="78"/>
        <v>1</v>
      </c>
      <c r="J374" s="241"/>
      <c r="K374" s="241"/>
      <c r="L374" s="238"/>
    </row>
    <row r="375" spans="2:12" outlineLevel="1">
      <c r="B375" s="237" t="s">
        <v>324</v>
      </c>
      <c r="C375" s="237" t="s">
        <v>324</v>
      </c>
      <c r="D375" s="238" t="str">
        <f>_xlfn.XLOOKUP(B375,'Relacion '!$E:$E,'Relacion '!$D:$D,"")</f>
        <v/>
      </c>
      <c r="E375" s="239">
        <f t="shared" si="76"/>
        <v>14</v>
      </c>
      <c r="F375" s="240" cm="1">
        <f t="array" ref="F375">MIN(INDEX('Relacion '!$AD$5:$AE$493,MATCH(INDEX($B:$B, (ROW()-4)),'Relacion '!$E$5:$E$493,0),0))</f>
        <v>46111</v>
      </c>
      <c r="G375" s="240" cm="1">
        <f t="array" ref="G375">MAX(INDEX('Relacion '!$AD$5:$AE$493,MATCH(INDEX($B:$B, (ROW()-4)),'Relacion '!$E$5:$E$493,0),0))</f>
        <v>46125</v>
      </c>
      <c r="H375" s="241" t="e" cm="1">
        <f t="array" ref="H375">IF(
 MATCH(B375,{"01. ASIGNACION AREA";"02. MAPEO";"03. DESARROLLO";"04. VALIDA US";"05. VOBO US";"06. BW-EJECUCION";"07. VALIDACIÓN BAJAWARE";"08. CERRADA"},0)
 &lt;
 MATCH(_xlfn.XLOOKUP(INDEX($B:$B, (ROW()-4)),'Relacion '!$E:$E,'Relacion '!$D:$D,""),{"01. ASIGNACION AREA";"02. MAPEO";"03. DESARROLLO";"04. VALIDA US";"05. VOBO US";"06. BW-EJECUCION";"07. VALIDACIÓN BAJAWARE";"08. CERRADA"},0),
 1,
 IF(
  MATCH(B375,{"01. ASIGNACION AREA";"02. MAPEO";"03. DESARROLLO";"04. VALIDA US";"05. VOBO US";"06. BW-EJECUCION";"07. VALIDACIÓN BAJAWARE";"08. CERRADA"},0)
  =
  MATCH(_xlfn.XLOOKUP(INDEX($B:$B, (ROW()-4)),'Relacion '!$E:$E,'Relacion '!$D:$D,""),{"01. ASIGNACION AREA";"02. MAPEO";"03. DESARROLLO";"04. VALIDA US";"05. VOBO US";"06. BW-EJECUCION";"07. VALIDACIÓN BAJAWARE";"08. CERRADA"},0),
  _xlfn.XLOOKUP(INDEX($B:$B, (ROW()-4)),'Relacion '!$E:$E,'Relacion '!#REF!,0),
  0
 )
)</f>
        <v>#N/A</v>
      </c>
      <c r="I375" s="241">
        <f t="shared" ca="1" si="78"/>
        <v>1</v>
      </c>
      <c r="J375" s="241"/>
      <c r="K375" s="241"/>
      <c r="L375" s="238"/>
    </row>
    <row r="376" spans="2:12" outlineLevel="1">
      <c r="B376" s="237" t="s">
        <v>320</v>
      </c>
      <c r="C376" s="237" t="s">
        <v>320</v>
      </c>
      <c r="D376" s="238" t="str">
        <f>_xlfn.XLOOKUP(B376,'Relacion '!$E:$E,'Relacion '!$D:$D,"")</f>
        <v/>
      </c>
      <c r="E376" s="239">
        <f t="shared" si="76"/>
        <v>1</v>
      </c>
      <c r="F376" s="240" cm="1">
        <f t="array" ref="F376">MIN(INDEX('Relacion '!$AF$5:$AG$493,MATCH(INDEX($B:$B, (ROW()-5)),'Relacion '!$E$5:$E$493,0),0))</f>
        <v>46125</v>
      </c>
      <c r="G376" s="240" cm="1">
        <f t="array" ref="G376">MAX(INDEX('Relacion '!$AF$5:$AG$493,MATCH(INDEX($B:$B, (ROW()-5)),'Relacion '!$E$5:$E$493,0),0))</f>
        <v>46126</v>
      </c>
      <c r="H376" s="241" t="e" cm="1">
        <f t="array" ref="H376">IF(
 MATCH(B376,{"01. ASIGNACION AREA";"02. MAPEO";"03. DESARROLLO";"04. VALIDA US";"05. VOBO US";"06. BW-EJECUCION";"07. VALIDACIÓN BAJAWARE";"08. CERRADA"},0)
 &lt;
 MATCH(_xlfn.XLOOKUP(INDEX($B:$B, (ROW()-5)),'Relacion '!$E:$E,'Relacion '!$D:$D,""),{"01. ASIGNACION AREA";"02. MAPEO";"03. DESARROLLO";"04. VALIDA US";"05. VOBO US";"06. BW-EJECUCION";"07. VALIDACIÓN BAJAWARE";"08. CERRADA"},0),
 1,
 IF(
  MATCH(B376,{"01. ASIGNACION AREA";"02. MAPEO";"03. DESARROLLO";"04. VALIDA US";"05. VOBO US";"06. BW-EJECUCION";"07. VALIDACIÓN BAJAWARE";"08. CERRADA"},0)
  =
  MATCH(_xlfn.XLOOKUP(INDEX($B:$B, (ROW()-5)),'Relacion '!$E:$E,'Relacion '!$D:$D,""),{"01. ASIGNACION AREA";"02. MAPEO";"03. DESARROLLO";"04. VALIDA US";"05. VOBO US";"06. BW-EJECUCION";"07. VALIDACIÓN BAJAWARE";"08. CERRADA"},0),
  _xlfn.XLOOKUP(INDEX($B:$B, (ROW()-5)),'Relacion '!$E:$E,'Relacion '!#REF!,0),
  0
 )
)</f>
        <v>#N/A</v>
      </c>
      <c r="I376" s="241">
        <f t="shared" ca="1" si="78"/>
        <v>1</v>
      </c>
      <c r="J376" s="241"/>
      <c r="K376" s="241"/>
      <c r="L376" s="238"/>
    </row>
    <row r="377" spans="2:12" outlineLevel="1">
      <c r="B377" s="237" t="s">
        <v>710</v>
      </c>
      <c r="C377" s="237" t="s">
        <v>710</v>
      </c>
      <c r="D377" s="238" t="str">
        <f>_xlfn.XLOOKUP(B377,'Relacion '!$E:$E,'Relacion '!$D:$D,"")</f>
        <v/>
      </c>
      <c r="E377" s="239">
        <f t="shared" si="76"/>
        <v>2</v>
      </c>
      <c r="F377" s="240" cm="1">
        <f t="array" ref="F377">MIN(INDEX('Relacion '!$AH$5:$AI$493,MATCH(INDEX($B:$B, (ROW()-6)),'Relacion '!$E$5:$E$493,0),0))</f>
        <v>46127</v>
      </c>
      <c r="G377" s="240" cm="1">
        <f t="array" ref="G377">MAX(INDEX('Relacion '!$AH$5:$AI$493,MATCH(INDEX($B:$B, (ROW()-6)),'Relacion '!$E$5:$E$493,0),0))</f>
        <v>46129</v>
      </c>
      <c r="H377" s="241" t="e" cm="1">
        <f t="array" ref="H377">IF(
 MATCH(B377,{"01. ASIGNACION AREA";"02. MAPEO";"03. DESARROLLO";"04. VALIDA US";"05. VOBO US";"06. BW-EJECUCION";"07. VALIDACIÓN BAJAWARE";"08. CERRADA"},0)
 &lt;
 MATCH(_xlfn.XLOOKUP(INDEX($B:$B, (ROW()-6)),'Relacion '!$E:$E,'Relacion '!$D:$D,""),{"01. ASIGNACION AREA";"02. MAPEO";"03. DESARROLLO";"04. VALIDA US";"05. VOBO US";"06. BW-EJECUCION";"07. VALIDACIÓN BAJAWARE";"08. CERRADA"},0),
 1,
 IF(
  MATCH(B377,{"01. ASIGNACION AREA";"02. MAPEO";"03. DESARROLLO";"04. VALIDA US";"05. VOBO US";"06. BW-EJECUCION";"07. VALIDACIÓN BAJAWARE";"08. CERRADA"},0)
  =
  MATCH(_xlfn.XLOOKUP(INDEX($B:$B, (ROW()-6)),'Relacion '!$E:$E,'Relacion '!$D:$D,""),{"01. ASIGNACION AREA";"02. MAPEO";"03. DESARROLLO";"04. VALIDA US";"05. VOBO US";"06. BW-EJECUCION";"07. VALIDACIÓN BAJAWARE";"08. CERRADA"},0),
  _xlfn.XLOOKUP(INDEX($B:$B, (ROW()-6)),'Relacion '!$E:$E,'Relacion '!#REF!,0),
  0
 )
)</f>
        <v>#N/A</v>
      </c>
      <c r="I377" s="241">
        <f t="shared" ca="1" si="78"/>
        <v>1</v>
      </c>
      <c r="J377" s="241"/>
      <c r="K377" s="241"/>
      <c r="L377" s="238"/>
    </row>
    <row r="378" spans="2:12" outlineLevel="1">
      <c r="B378" s="237" t="s">
        <v>655</v>
      </c>
      <c r="C378" s="237" t="s">
        <v>655</v>
      </c>
      <c r="D378" s="238" t="str">
        <f>_xlfn.XLOOKUP(B378,'Relacion '!$E:$E,'Relacion '!$D:$D,"")</f>
        <v/>
      </c>
      <c r="E378" s="239">
        <f t="shared" si="76"/>
        <v>14</v>
      </c>
      <c r="F378" s="240" cm="1">
        <f t="array" ref="F378">MIN(INDEX('Relacion '!$AJ$5:$AK$493,MATCH(INDEX($B:$B, (ROW()-7)),'Relacion '!$E$5:$E$493,0),0))</f>
        <v>46132</v>
      </c>
      <c r="G378" s="240" cm="1">
        <f t="array" ref="G378">MAX(INDEX('Relacion '!$AJ$5:$AK$493,MATCH(INDEX($B:$B, (ROW()-7)),'Relacion '!$E$5:$E$493,0),0))</f>
        <v>46146</v>
      </c>
      <c r="H378" s="241" t="e" cm="1">
        <f t="array" ref="H378">IF(
 MATCH(B378,{"01. ASIGNACION AREA";"02. MAPEO";"03. DESARROLLO";"04. VALIDA US";"05. VOBO US";"06. BW-EJECUCION";"07. VALIDACIÓN BAJAWARE";"08. CERRADA"},0)
 &lt;
 MATCH(_xlfn.XLOOKUP(INDEX($B:$B, (ROW()-7)),'Relacion '!$E:$E,'Relacion '!$D:$D,""),{"01. ASIGNACION AREA";"02. MAPEO";"03. DESARROLLO";"04. VALIDA US";"05. VOBO US";"06. BW-EJECUCION";"07. VALIDACIÓN BAJAWARE";"08. CERRADA"},0),
 1,
 IF(
  MATCH(B378,{"01. ASIGNACION AREA";"02. MAPEO";"03. DESARROLLO";"04. VALIDA US";"05. VOBO US";"06. BW-EJECUCION";"07. VALIDACIÓN BAJAWARE";"08. CERRADA"},0)
  =
  MATCH(_xlfn.XLOOKUP(INDEX($B:$B, (ROW()-7)),'Relacion '!$E:$E,'Relacion '!$D:$D,""),{"01. ASIGNACION AREA";"02. MAPEO";"03. DESARROLLO";"04. VALIDA US";"05. VOBO US";"06. BW-EJECUCION";"07. VALIDACIÓN BAJAWARE";"08. CERRADA"},0),
  _xlfn.XLOOKUP(INDEX($B:$B, (ROW()-7)),'Relacion '!$E:$E,'Relacion '!#REF!,0),
  0
 )
)</f>
        <v>#N/A</v>
      </c>
      <c r="I378" s="241">
        <f t="shared" ca="1" si="78"/>
        <v>1</v>
      </c>
      <c r="J378" s="241"/>
      <c r="K378" s="241"/>
      <c r="L378" s="238"/>
    </row>
    <row r="379" spans="2:12" outlineLevel="1">
      <c r="B379" s="237" t="s">
        <v>656</v>
      </c>
      <c r="C379" s="237" t="s">
        <v>656</v>
      </c>
      <c r="D379" s="238" t="str">
        <f>_xlfn.XLOOKUP(B379,'Relacion '!$E:$E,'Relacion '!$D:$D,"")</f>
        <v/>
      </c>
      <c r="E379" s="239">
        <f t="shared" si="76"/>
        <v>0</v>
      </c>
      <c r="F379" s="240" cm="1">
        <f t="array" ref="F379">MIN(INDEX('Relacion '!$AL$5:$AM$493,MATCH(INDEX($B:$B, (ROW()-8)),'Relacion '!$E$5:$E$493,0),0))</f>
        <v>46147</v>
      </c>
      <c r="G379" s="240" cm="1">
        <f t="array" ref="G379">MAX(INDEX('Relacion '!$AL$5:$AM$493,MATCH(INDEX($B:$B, (ROW()-8)),'Relacion '!$E$5:$E$493,0),0))</f>
        <v>46147</v>
      </c>
      <c r="H379" s="241" t="e" cm="1">
        <f t="array" ref="H379">IF(
 MATCH(B379,{"01. ASIGNACION AREA";"02. MAPEO";"03. DESARROLLO";"04. VALIDA US";"05. VOBO US";"06. BW-EJECUCION";"07. VALIDACIÓN BAJAWARE";"08. CERRADA"},0)
 &lt;
 MATCH(_xlfn.XLOOKUP(INDEX($B:$B, (ROW()-8)),'Relacion '!$E:$E,'Relacion '!$D:$D,""),{"01. ASIGNACION AREA";"02. MAPEO";"03. DESARROLLO";"04. VALIDA US";"05. VOBO US";"06. BW-EJECUCION";"07. VALIDACIÓN BAJAWARE";"08. CERRADA"},0),
 1,
 IF(
  MATCH(B379,{"01. ASIGNACION AREA";"02. MAPEO";"03. DESARROLLO";"04. VALIDA US";"05. VOBO US";"06. BW-EJECUCION";"07. VALIDACIÓN BAJAWARE";"08. CERRADA"},0)
  =
  MATCH(_xlfn.XLOOKUP(INDEX($B:$B, (ROW()-8)),'Relacion '!$E:$E,'Relacion '!$D:$D,""),{"01. ASIGNACION AREA";"02. MAPEO";"03. DESARROLLO";"04. VALIDA US";"05. VOBO US";"06. BW-EJECUCION";"07. VALIDACIÓN BAJAWARE";"08. CERRADA"},0),
  _xlfn.XLOOKUP(INDEX($B:$B, (ROW()-8)),'Relacion '!$E:$E,'Relacion '!#REF!,0),
  0
 )
)</f>
        <v>#N/A</v>
      </c>
      <c r="I379" s="241">
        <f t="shared" ca="1" si="78"/>
        <v>1</v>
      </c>
      <c r="J379" s="241"/>
      <c r="K379" s="241"/>
      <c r="L379" s="238"/>
    </row>
    <row r="380" spans="2:12">
      <c r="B380" s="232" t="s">
        <v>120</v>
      </c>
      <c r="C380" s="137" t="s">
        <v>121</v>
      </c>
      <c r="D380" s="236" t="str">
        <f>_xlfn.XLOOKUP(B380,'Relacion '!$E:$E,'Relacion '!$D:$D,"")</f>
        <v>04. VALIDA US</v>
      </c>
      <c r="E380" s="233">
        <f t="shared" si="76"/>
        <v>478</v>
      </c>
      <c r="F380" s="234" cm="1">
        <f t="array" ref="F380">MIN(INDEX('Relacion '!$X$5:$AM$493,MATCH(INDEX($B:$B, (ROW()-0)),'Relacion '!$E$5:$E$493,0),0))</f>
        <v>45659</v>
      </c>
      <c r="G380" s="234" cm="1">
        <f t="array" ref="G380">MAX(INDEX('Relacion '!$X$5:$AM$493,MATCH(INDEX($B:$B, (ROW()-0)),'Relacion '!$E$5:$E$493,0),0))</f>
        <v>46137</v>
      </c>
      <c r="H380" s="235" t="e">
        <f>AVERAGE(H381:H388)</f>
        <v>#REF!</v>
      </c>
      <c r="I380" s="235">
        <f t="shared" ref="I380" ca="1" si="89">AVERAGE(I381:I388)</f>
        <v>1</v>
      </c>
      <c r="J380" s="236" t="str">
        <f>IF(ISNUMBER(SEARCH("Rocha", _xlfn.XLOOKUP(B380,'Relacion '!$E:$E,'Relacion '!$I:$I,""))), "Sí", "No")</f>
        <v>No</v>
      </c>
      <c r="K380" s="236" t="str">
        <f>IF(ISNUMBER(SEARCH("Rocha", _xlfn.XLOOKUP(B380,'Relacion '!$E:$E,'Relacion '!$I:$I,""))), "RMC", _xlfn.XLOOKUP(B380,'Relacion '!$E:$E,'Relacion '!$B:$B,""))</f>
        <v>Operaciones Captacion</v>
      </c>
      <c r="L380" s="236" t="str">
        <f>_xlfn.XLOOKUP(B380,'Relacion '!$E:$E,'Relacion '!$C:$C,"")</f>
        <v>Luis Alberto</v>
      </c>
    </row>
    <row r="381" spans="2:12" outlineLevel="1">
      <c r="B381" s="237" t="s">
        <v>654</v>
      </c>
      <c r="C381" s="237" t="s">
        <v>654</v>
      </c>
      <c r="D381" s="238" t="str">
        <f>_xlfn.XLOOKUP(B381,'Relacion '!$E:$E,'Relacion '!$D:$D,"")</f>
        <v/>
      </c>
      <c r="E381" s="239">
        <f t="shared" si="76"/>
        <v>424</v>
      </c>
      <c r="F381" s="240" cm="1">
        <f t="array" ref="F381">MIN(INDEX('Relacion '!$X$5:$Y$493,MATCH(INDEX($B:$B, (ROW()-1)),'Relacion '!$E$5:$E$493,0),0))</f>
        <v>45659</v>
      </c>
      <c r="G381" s="240" cm="1">
        <f t="array" ref="G381">MAX(INDEX('Relacion '!$X$5:$Y$493,MATCH(INDEX($B:$B, (ROW()-1)),'Relacion '!$E$5:$E$493,0),0))</f>
        <v>46083</v>
      </c>
      <c r="H381" s="241" cm="1">
        <f t="array" ref="H381">IF(
 MATCH(B381,{"01. ASIGNACION AREA";"02. MAPEO";"03. DESARROLLO";"04. VALIDA US";"05. VOBO US";"06. BW-EJECUCION";"07. VALIDACIÓN BAJAWARE";"08. CERRADA"},0)
 &lt;
 MATCH(_xlfn.XLOOKUP(INDEX($B:$B, (ROW()-1)),'Relacion '!$E:$E,'Relacion '!$D:$D,""),{"01. ASIGNACION AREA";"02. MAPEO";"03. DESARROLLO";"04. VALIDA US";"05. VOBO US";"06. BW-EJECUCION";"07. VALIDACIÓN BAJAWARE";"08. CERRADA"},0),
 1,
 IF(
  MATCH(B381,{"01. ASIGNACION AREA";"02. MAPEO";"03. DESARROLLO";"04. VALIDA US";"05. VOBO US";"06. BW-EJECUCION";"07. VALIDACIÓN BAJAWARE";"08. CERRADA"},0)
  =
  MATCH(_xlfn.XLOOKUP(INDEX($B:$B, (ROW()-1)),'Relacion '!$E:$E,'Relacion '!$D:$D,""),{"01. ASIGNACION AREA";"02. MAPEO";"03. DESARROLLO";"04. VALIDA US";"05. VOBO US";"06. BW-EJECUCION";"07. VALIDACIÓN BAJAWARE";"08. CERRADA"},0),
  _xlfn.XLOOKUP(INDEX($B:$B, (ROW()-1)),'Relacion '!$E:$E,'Relacion '!#REF!,0),
  0
 )
)</f>
        <v>1</v>
      </c>
      <c r="I381" s="241">
        <f t="shared" ref="I381" ca="1" si="90">IF(G381&lt;=TODAY(), 1, 0)</f>
        <v>1</v>
      </c>
      <c r="J381" s="241"/>
      <c r="K381" s="241"/>
      <c r="L381" s="238"/>
    </row>
    <row r="382" spans="2:12" outlineLevel="1">
      <c r="B382" s="237" t="s">
        <v>195</v>
      </c>
      <c r="C382" s="237" t="s">
        <v>195</v>
      </c>
      <c r="D382" s="238" t="str">
        <f>_xlfn.XLOOKUP(B382,'Relacion '!$E:$E,'Relacion '!$D:$D,"")</f>
        <v/>
      </c>
      <c r="E382" s="239">
        <f t="shared" si="76"/>
        <v>14</v>
      </c>
      <c r="F382" s="240" cm="1">
        <f t="array" ref="F382">MIN(INDEX('Relacion '!$Z$5:$AA$493,MATCH(INDEX($B:$B, (ROW()-2)),'Relacion '!$E$5:$E$493,0),0))</f>
        <v>46041</v>
      </c>
      <c r="G382" s="240" cm="1">
        <f t="array" ref="G382">MAX(INDEX('Relacion '!$Z$5:$AA$493,MATCH(INDEX($B:$B, (ROW()-2)),'Relacion '!$E$5:$E$493,0),0))</f>
        <v>46055</v>
      </c>
      <c r="H382" s="241" cm="1">
        <f t="array" ref="H382">IF(
 MATCH(B382,{"01. ASIGNACION AREA";"02. MAPEO";"03. DESARROLLO";"04. VALIDA US";"05. VOBO US";"06. BW-EJECUCION";"07. VALIDACIÓN BAJAWARE";"08. CERRADA"},0)
 &lt;
 MATCH(_xlfn.XLOOKUP(INDEX($B:$B, (ROW()-2)),'Relacion '!$E:$E,'Relacion '!$D:$D,""),{"01. ASIGNACION AREA";"02. MAPEO";"03. DESARROLLO";"04. VALIDA US";"05. VOBO US";"06. BW-EJECUCION";"07. VALIDACIÓN BAJAWARE";"08. CERRADA"},0),
 1,
 IF(
  MATCH(B382,{"01. ASIGNACION AREA";"02. MAPEO";"03. DESARROLLO";"04. VALIDA US";"05. VOBO US";"06. BW-EJECUCION";"07. VALIDACIÓN BAJAWARE";"08. CERRADA"},0)
  =
  MATCH(_xlfn.XLOOKUP(INDEX($B:$B, (ROW()-2)),'Relacion '!$E:$E,'Relacion '!$D:$D,""),{"01. ASIGNACION AREA";"02. MAPEO";"03. DESARROLLO";"04. VALIDA US";"05. VOBO US";"06. BW-EJECUCION";"07. VALIDACIÓN BAJAWARE";"08. CERRADA"},0),
  _xlfn.XLOOKUP(INDEX($B:$B, (ROW()-2)),'Relacion '!$E:$E,'Relacion '!#REF!,0),
  0
 )
)</f>
        <v>1</v>
      </c>
      <c r="I382" s="241">
        <f t="shared" ca="1" si="78"/>
        <v>1</v>
      </c>
      <c r="J382" s="241"/>
      <c r="K382" s="241"/>
      <c r="L382" s="238"/>
    </row>
    <row r="383" spans="2:12" outlineLevel="1">
      <c r="B383" s="237" t="s">
        <v>49</v>
      </c>
      <c r="C383" s="237" t="s">
        <v>49</v>
      </c>
      <c r="D383" s="238" t="str">
        <f>_xlfn.XLOOKUP(B383,'Relacion '!$E:$E,'Relacion '!$D:$D,"")</f>
        <v/>
      </c>
      <c r="E383" s="239">
        <f t="shared" si="76"/>
        <v>17</v>
      </c>
      <c r="F383" s="240" cm="1">
        <f t="array" ref="F383">MIN(INDEX('Relacion '!$AB$5:$AC$493,MATCH(INDEX($B:$B, (ROW()-3)),'Relacion '!$E$5:$E$493,0),0))</f>
        <v>46056</v>
      </c>
      <c r="G383" s="240" cm="1">
        <f t="array" ref="G383">MAX(INDEX('Relacion '!$AB$5:$AC$493,MATCH(INDEX($B:$B, (ROW()-3)),'Relacion '!$E$5:$E$493,0),0))</f>
        <v>46073</v>
      </c>
      <c r="H383" s="241" cm="1">
        <f t="array" ref="H383">IF(
 MATCH(B383,{"01. ASIGNACION AREA";"02. MAPEO";"03. DESARROLLO";"04. VALIDA US";"05. VOBO US";"06. BW-EJECUCION";"07. VALIDACIÓN BAJAWARE";"08. CERRADA"},0)
 &lt;
 MATCH(_xlfn.XLOOKUP(INDEX($B:$B, (ROW()-3)),'Relacion '!$E:$E,'Relacion '!$D:$D,""),{"01. ASIGNACION AREA";"02. MAPEO";"03. DESARROLLO";"04. VALIDA US";"05. VOBO US";"06. BW-EJECUCION";"07. VALIDACIÓN BAJAWARE";"08. CERRADA"},0),
 1,
 IF(
  MATCH(B383,{"01. ASIGNACION AREA";"02. MAPEO";"03. DESARROLLO";"04. VALIDA US";"05. VOBO US";"06. BW-EJECUCION";"07. VALIDACIÓN BAJAWARE";"08. CERRADA"},0)
  =
  MATCH(_xlfn.XLOOKUP(INDEX($B:$B, (ROW()-3)),'Relacion '!$E:$E,'Relacion '!$D:$D,""),{"01. ASIGNACION AREA";"02. MAPEO";"03. DESARROLLO";"04. VALIDA US";"05. VOBO US";"06. BW-EJECUCION";"07. VALIDACIÓN BAJAWARE";"08. CERRADA"},0),
  _xlfn.XLOOKUP(INDEX($B:$B, (ROW()-3)),'Relacion '!$E:$E,'Relacion '!#REF!,0),
  0
 )
)</f>
        <v>1</v>
      </c>
      <c r="I383" s="241">
        <f t="shared" ca="1" si="78"/>
        <v>1</v>
      </c>
      <c r="J383" s="241"/>
      <c r="K383" s="241"/>
      <c r="L383" s="238"/>
    </row>
    <row r="384" spans="2:12" outlineLevel="1">
      <c r="B384" s="237" t="s">
        <v>324</v>
      </c>
      <c r="C384" s="237" t="s">
        <v>324</v>
      </c>
      <c r="D384" s="238" t="str">
        <f>_xlfn.XLOOKUP(B384,'Relacion '!$E:$E,'Relacion '!$D:$D,"")</f>
        <v/>
      </c>
      <c r="E384" s="239">
        <f t="shared" si="76"/>
        <v>18</v>
      </c>
      <c r="F384" s="240" cm="1">
        <f t="array" ref="F384">MIN(INDEX('Relacion '!$AD$5:$AE$493,MATCH(INDEX($B:$B, (ROW()-4)),'Relacion '!$E$5:$E$493,0),0))</f>
        <v>46076</v>
      </c>
      <c r="G384" s="240" cm="1">
        <f t="array" ref="G384">MAX(INDEX('Relacion '!$AD$5:$AE$493,MATCH(INDEX($B:$B, (ROW()-4)),'Relacion '!$E$5:$E$493,0),0))</f>
        <v>46094</v>
      </c>
      <c r="H384" s="241" t="e" cm="1">
        <f t="array" ref="H384">IF(
 MATCH(B384,{"01. ASIGNACION AREA";"02. MAPEO";"03. DESARROLLO";"04. VALIDA US";"05. VOBO US";"06. BW-EJECUCION";"07. VALIDACIÓN BAJAWARE";"08. CERRADA"},0)
 &lt;
 MATCH(_xlfn.XLOOKUP(INDEX($B:$B, (ROW()-4)),'Relacion '!$E:$E,'Relacion '!$D:$D,""),{"01. ASIGNACION AREA";"02. MAPEO";"03. DESARROLLO";"04. VALIDA US";"05. VOBO US";"06. BW-EJECUCION";"07. VALIDACIÓN BAJAWARE";"08. CERRADA"},0),
 1,
 IF(
  MATCH(B384,{"01. ASIGNACION AREA";"02. MAPEO";"03. DESARROLLO";"04. VALIDA US";"05. VOBO US";"06. BW-EJECUCION";"07. VALIDACIÓN BAJAWARE";"08. CERRADA"},0)
  =
  MATCH(_xlfn.XLOOKUP(INDEX($B:$B, (ROW()-4)),'Relacion '!$E:$E,'Relacion '!$D:$D,""),{"01. ASIGNACION AREA";"02. MAPEO";"03. DESARROLLO";"04. VALIDA US";"05. VOBO US";"06. BW-EJECUCION";"07. VALIDACIÓN BAJAWARE";"08. CERRADA"},0),
  _xlfn.XLOOKUP(INDEX($B:$B, (ROW()-4)),'Relacion '!$E:$E,'Relacion '!#REF!,0),
  0
 )
)</f>
        <v>#REF!</v>
      </c>
      <c r="I384" s="241">
        <f t="shared" ca="1" si="78"/>
        <v>1</v>
      </c>
      <c r="J384" s="241"/>
      <c r="K384" s="241"/>
      <c r="L384" s="238"/>
    </row>
    <row r="385" spans="2:12" outlineLevel="1">
      <c r="B385" s="237" t="s">
        <v>320</v>
      </c>
      <c r="C385" s="237" t="s">
        <v>320</v>
      </c>
      <c r="D385" s="238" t="str">
        <f>_xlfn.XLOOKUP(B385,'Relacion '!$E:$E,'Relacion '!$D:$D,"")</f>
        <v/>
      </c>
      <c r="E385" s="239">
        <f t="shared" si="76"/>
        <v>1</v>
      </c>
      <c r="F385" s="240" cm="1">
        <f t="array" ref="F385">MIN(INDEX('Relacion '!$AF$5:$AG$493,MATCH(INDEX($B:$B, (ROW()-5)),'Relacion '!$E$5:$E$493,0),0))</f>
        <v>46093</v>
      </c>
      <c r="G385" s="240" cm="1">
        <f t="array" ref="G385">MAX(INDEX('Relacion '!$AF$5:$AG$493,MATCH(INDEX($B:$B, (ROW()-5)),'Relacion '!$E$5:$E$493,0),0))</f>
        <v>46094</v>
      </c>
      <c r="H385" s="241" cm="1">
        <f t="array" ref="H385">IF(
 MATCH(B385,{"01. ASIGNACION AREA";"02. MAPEO";"03. DESARROLLO";"04. VALIDA US";"05. VOBO US";"06. BW-EJECUCION";"07. VALIDACIÓN BAJAWARE";"08. CERRADA"},0)
 &lt;
 MATCH(_xlfn.XLOOKUP(INDEX($B:$B, (ROW()-5)),'Relacion '!$E:$E,'Relacion '!$D:$D,""),{"01. ASIGNACION AREA";"02. MAPEO";"03. DESARROLLO";"04. VALIDA US";"05. VOBO US";"06. BW-EJECUCION";"07. VALIDACIÓN BAJAWARE";"08. CERRADA"},0),
 1,
 IF(
  MATCH(B385,{"01. ASIGNACION AREA";"02. MAPEO";"03. DESARROLLO";"04. VALIDA US";"05. VOBO US";"06. BW-EJECUCION";"07. VALIDACIÓN BAJAWARE";"08. CERRADA"},0)
  =
  MATCH(_xlfn.XLOOKUP(INDEX($B:$B, (ROW()-5)),'Relacion '!$E:$E,'Relacion '!$D:$D,""),{"01. ASIGNACION AREA";"02. MAPEO";"03. DESARROLLO";"04. VALIDA US";"05. VOBO US";"06. BW-EJECUCION";"07. VALIDACIÓN BAJAWARE";"08. CERRADA"},0),
  _xlfn.XLOOKUP(INDEX($B:$B, (ROW()-5)),'Relacion '!$E:$E,'Relacion '!#REF!,0),
  0
 )
)</f>
        <v>0</v>
      </c>
      <c r="I385" s="241">
        <f t="shared" ca="1" si="78"/>
        <v>1</v>
      </c>
      <c r="J385" s="241"/>
      <c r="K385" s="241"/>
      <c r="L385" s="238"/>
    </row>
    <row r="386" spans="2:12" outlineLevel="1">
      <c r="B386" s="237" t="s">
        <v>710</v>
      </c>
      <c r="C386" s="237" t="s">
        <v>710</v>
      </c>
      <c r="D386" s="238" t="str">
        <f>_xlfn.XLOOKUP(B386,'Relacion '!$E:$E,'Relacion '!$D:$D,"")</f>
        <v/>
      </c>
      <c r="E386" s="239">
        <f t="shared" ref="E386:E449" si="91">IF(OR(F386="",G386=""),"",G386-F386)</f>
        <v>18</v>
      </c>
      <c r="F386" s="240" cm="1">
        <f t="array" ref="F386">MIN(INDEX('Relacion '!$AH$5:$AI$493,MATCH(INDEX($B:$B, (ROW()-6)),'Relacion '!$E$5:$E$493,0),0))</f>
        <v>46097</v>
      </c>
      <c r="G386" s="240" cm="1">
        <f t="array" ref="G386">MAX(INDEX('Relacion '!$AH$5:$AI$493,MATCH(INDEX($B:$B, (ROW()-6)),'Relacion '!$E$5:$E$493,0),0))</f>
        <v>46115</v>
      </c>
      <c r="H386" s="241" cm="1">
        <f t="array" ref="H386">IF(
 MATCH(B386,{"01. ASIGNACION AREA";"02. MAPEO";"03. DESARROLLO";"04. VALIDA US";"05. VOBO US";"06. BW-EJECUCION";"07. VALIDACIÓN BAJAWARE";"08. CERRADA"},0)
 &lt;
 MATCH(_xlfn.XLOOKUP(INDEX($B:$B, (ROW()-6)),'Relacion '!$E:$E,'Relacion '!$D:$D,""),{"01. ASIGNACION AREA";"02. MAPEO";"03. DESARROLLO";"04. VALIDA US";"05. VOBO US";"06. BW-EJECUCION";"07. VALIDACIÓN BAJAWARE";"08. CERRADA"},0),
 1,
 IF(
  MATCH(B386,{"01. ASIGNACION AREA";"02. MAPEO";"03. DESARROLLO";"04. VALIDA US";"05. VOBO US";"06. BW-EJECUCION";"07. VALIDACIÓN BAJAWARE";"08. CERRADA"},0)
  =
  MATCH(_xlfn.XLOOKUP(INDEX($B:$B, (ROW()-6)),'Relacion '!$E:$E,'Relacion '!$D:$D,""),{"01. ASIGNACION AREA";"02. MAPEO";"03. DESARROLLO";"04. VALIDA US";"05. VOBO US";"06. BW-EJECUCION";"07. VALIDACIÓN BAJAWARE";"08. CERRADA"},0),
  _xlfn.XLOOKUP(INDEX($B:$B, (ROW()-6)),'Relacion '!$E:$E,'Relacion '!#REF!,0),
  0
 )
)</f>
        <v>0</v>
      </c>
      <c r="I386" s="241">
        <f t="shared" ca="1" si="78"/>
        <v>1</v>
      </c>
      <c r="J386" s="241"/>
      <c r="K386" s="241"/>
      <c r="L386" s="238"/>
    </row>
    <row r="387" spans="2:12" outlineLevel="1">
      <c r="B387" s="237" t="s">
        <v>655</v>
      </c>
      <c r="C387" s="237" t="s">
        <v>655</v>
      </c>
      <c r="D387" s="238" t="str">
        <f>_xlfn.XLOOKUP(B387,'Relacion '!$E:$E,'Relacion '!$D:$D,"")</f>
        <v/>
      </c>
      <c r="E387" s="239">
        <f t="shared" si="91"/>
        <v>18</v>
      </c>
      <c r="F387" s="240" cm="1">
        <f t="array" ref="F387">MIN(INDEX('Relacion '!$AJ$5:$AK$493,MATCH(INDEX($B:$B, (ROW()-7)),'Relacion '!$E$5:$E$493,0),0))</f>
        <v>46118</v>
      </c>
      <c r="G387" s="240" cm="1">
        <f t="array" ref="G387">MAX(INDEX('Relacion '!$AJ$5:$AK$493,MATCH(INDEX($B:$B, (ROW()-7)),'Relacion '!$E$5:$E$493,0),0))</f>
        <v>46136</v>
      </c>
      <c r="H387" s="241" cm="1">
        <f t="array" ref="H387">IF(
 MATCH(B387,{"01. ASIGNACION AREA";"02. MAPEO";"03. DESARROLLO";"04. VALIDA US";"05. VOBO US";"06. BW-EJECUCION";"07. VALIDACIÓN BAJAWARE";"08. CERRADA"},0)
 &lt;
 MATCH(_xlfn.XLOOKUP(INDEX($B:$B, (ROW()-7)),'Relacion '!$E:$E,'Relacion '!$D:$D,""),{"01. ASIGNACION AREA";"02. MAPEO";"03. DESARROLLO";"04. VALIDA US";"05. VOBO US";"06. BW-EJECUCION";"07. VALIDACIÓN BAJAWARE";"08. CERRADA"},0),
 1,
 IF(
  MATCH(B387,{"01. ASIGNACION AREA";"02. MAPEO";"03. DESARROLLO";"04. VALIDA US";"05. VOBO US";"06. BW-EJECUCION";"07. VALIDACIÓN BAJAWARE";"08. CERRADA"},0)
  =
  MATCH(_xlfn.XLOOKUP(INDEX($B:$B, (ROW()-7)),'Relacion '!$E:$E,'Relacion '!$D:$D,""),{"01. ASIGNACION AREA";"02. MAPEO";"03. DESARROLLO";"04. VALIDA US";"05. VOBO US";"06. BW-EJECUCION";"07. VALIDACIÓN BAJAWARE";"08. CERRADA"},0),
  _xlfn.XLOOKUP(INDEX($B:$B, (ROW()-7)),'Relacion '!$E:$E,'Relacion '!#REF!,0),
  0
 )
)</f>
        <v>0</v>
      </c>
      <c r="I387" s="241">
        <f t="shared" ca="1" si="78"/>
        <v>1</v>
      </c>
      <c r="J387" s="241"/>
      <c r="K387" s="241"/>
      <c r="L387" s="238"/>
    </row>
    <row r="388" spans="2:12" outlineLevel="1">
      <c r="B388" s="237" t="s">
        <v>656</v>
      </c>
      <c r="C388" s="237" t="s">
        <v>656</v>
      </c>
      <c r="D388" s="238" t="str">
        <f>_xlfn.XLOOKUP(B388,'Relacion '!$E:$E,'Relacion '!$D:$D,"")</f>
        <v/>
      </c>
      <c r="E388" s="239">
        <f t="shared" si="91"/>
        <v>0</v>
      </c>
      <c r="F388" s="240" cm="1">
        <f t="array" ref="F388">MIN(INDEX('Relacion '!$AL$5:$AM$493,MATCH(INDEX($B:$B, (ROW()-8)),'Relacion '!$E$5:$E$493,0),0))</f>
        <v>46137</v>
      </c>
      <c r="G388" s="240" cm="1">
        <f t="array" ref="G388">MAX(INDEX('Relacion '!$AL$5:$AM$493,MATCH(INDEX($B:$B, (ROW()-8)),'Relacion '!$E$5:$E$493,0),0))</f>
        <v>46137</v>
      </c>
      <c r="H388" s="241" cm="1">
        <f t="array" ref="H388">IF(
 MATCH(B388,{"01. ASIGNACION AREA";"02. MAPEO";"03. DESARROLLO";"04. VALIDA US";"05. VOBO US";"06. BW-EJECUCION";"07. VALIDACIÓN BAJAWARE";"08. CERRADA"},0)
 &lt;
 MATCH(_xlfn.XLOOKUP(INDEX($B:$B, (ROW()-8)),'Relacion '!$E:$E,'Relacion '!$D:$D,""),{"01. ASIGNACION AREA";"02. MAPEO";"03. DESARROLLO";"04. VALIDA US";"05. VOBO US";"06. BW-EJECUCION";"07. VALIDACIÓN BAJAWARE";"08. CERRADA"},0),
 1,
 IF(
  MATCH(B388,{"01. ASIGNACION AREA";"02. MAPEO";"03. DESARROLLO";"04. VALIDA US";"05. VOBO US";"06. BW-EJECUCION";"07. VALIDACIÓN BAJAWARE";"08. CERRADA"},0)
  =
  MATCH(_xlfn.XLOOKUP(INDEX($B:$B, (ROW()-8)),'Relacion '!$E:$E,'Relacion '!$D:$D,""),{"01. ASIGNACION AREA";"02. MAPEO";"03. DESARROLLO";"04. VALIDA US";"05. VOBO US";"06. BW-EJECUCION";"07. VALIDACIÓN BAJAWARE";"08. CERRADA"},0),
  _xlfn.XLOOKUP(INDEX($B:$B, (ROW()-8)),'Relacion '!$E:$E,'Relacion '!#REF!,0),
  0
 )
)</f>
        <v>0</v>
      </c>
      <c r="I388" s="241">
        <f t="shared" ca="1" si="78"/>
        <v>1</v>
      </c>
      <c r="J388" s="241"/>
      <c r="K388" s="241"/>
      <c r="L388" s="238"/>
    </row>
    <row r="389" spans="2:12" ht="30">
      <c r="B389" s="232" t="s">
        <v>494</v>
      </c>
      <c r="C389" s="167" t="s">
        <v>495</v>
      </c>
      <c r="D389" s="236" t="str">
        <f>_xlfn.XLOOKUP(B389,'Relacion '!$E:$E,'Relacion '!$D:$D,"")</f>
        <v>07. VALIDACIÓN BAJAWARE</v>
      </c>
      <c r="E389" s="233">
        <f t="shared" si="91"/>
        <v>109</v>
      </c>
      <c r="F389" s="234" cm="1">
        <f t="array" ref="F389">MIN(INDEX('Relacion '!$X$5:$AM$493,MATCH(INDEX($B:$B, (ROW()-0)),'Relacion '!$E$5:$E$493,0),0))</f>
        <v>46056</v>
      </c>
      <c r="G389" s="234" cm="1">
        <f t="array" ref="G389">MAX(INDEX('Relacion '!$X$5:$AM$493,MATCH(INDEX($B:$B, (ROW()-0)),'Relacion '!$E$5:$E$493,0),0))</f>
        <v>46165</v>
      </c>
      <c r="H389" s="235" t="e">
        <f>AVERAGE(H390:H397)</f>
        <v>#REF!</v>
      </c>
      <c r="I389" s="235">
        <f t="shared" ref="I389" ca="1" si="92">AVERAGE(I390:I397)</f>
        <v>1</v>
      </c>
      <c r="J389" s="236" t="str">
        <f>IF(ISNUMBER(SEARCH("Rocha", _xlfn.XLOOKUP(B389,'Relacion '!$E:$E,'Relacion '!$I:$I,""))), "Sí", "No")</f>
        <v>No</v>
      </c>
      <c r="K389" s="236" t="str">
        <f>IF(ISNUMBER(SEARCH("Rocha", _xlfn.XLOOKUP(B389,'Relacion '!$E:$E,'Relacion '!$I:$I,""))), "RMC", _xlfn.XLOOKUP(B389,'Relacion '!$E:$E,'Relacion '!$B:$B,""))</f>
        <v>Tesorería </v>
      </c>
      <c r="L389" s="236" t="str">
        <f>_xlfn.XLOOKUP(B389,'Relacion '!$E:$E,'Relacion '!$C:$C,"")</f>
        <v>Eduardo Cabral</v>
      </c>
    </row>
    <row r="390" spans="2:12" outlineLevel="1">
      <c r="B390" s="237" t="s">
        <v>654</v>
      </c>
      <c r="C390" s="237" t="s">
        <v>654</v>
      </c>
      <c r="D390" s="238" t="str">
        <f>_xlfn.XLOOKUP(B390,'Relacion '!$E:$E,'Relacion '!$D:$D,"")</f>
        <v/>
      </c>
      <c r="E390" s="239">
        <f t="shared" si="91"/>
        <v>3</v>
      </c>
      <c r="F390" s="240" cm="1">
        <f t="array" ref="F390">MIN(INDEX('Relacion '!$X$5:$Y$493,MATCH(INDEX($B:$B, (ROW()-1)),'Relacion '!$E$5:$E$493,0),0))</f>
        <v>46056</v>
      </c>
      <c r="G390" s="240" cm="1">
        <f t="array" ref="G390">MAX(INDEX('Relacion '!$X$5:$Y$493,MATCH(INDEX($B:$B, (ROW()-1)),'Relacion '!$E$5:$E$493,0),0))</f>
        <v>46059</v>
      </c>
      <c r="H390" s="241" cm="1">
        <f t="array" ref="H390">IF(
 MATCH(B390,{"01. ASIGNACION AREA";"02. MAPEO";"03. DESARROLLO";"04. VALIDA US";"05. VOBO US";"06. BW-EJECUCION";"07. VALIDACIÓN BAJAWARE";"08. CERRADA"},0)
 &lt;
 MATCH(_xlfn.XLOOKUP(INDEX($B:$B, (ROW()-1)),'Relacion '!$E:$E,'Relacion '!$D:$D,""),{"01. ASIGNACION AREA";"02. MAPEO";"03. DESARROLLO";"04. VALIDA US";"05. VOBO US";"06. BW-EJECUCION";"07. VALIDACIÓN BAJAWARE";"08. CERRADA"},0),
 1,
 IF(
  MATCH(B390,{"01. ASIGNACION AREA";"02. MAPEO";"03. DESARROLLO";"04. VALIDA US";"05. VOBO US";"06. BW-EJECUCION";"07. VALIDACIÓN BAJAWARE";"08. CERRADA"},0)
  =
  MATCH(_xlfn.XLOOKUP(INDEX($B:$B, (ROW()-1)),'Relacion '!$E:$E,'Relacion '!$D:$D,""),{"01. ASIGNACION AREA";"02. MAPEO";"03. DESARROLLO";"04. VALIDA US";"05. VOBO US";"06. BW-EJECUCION";"07. VALIDACIÓN BAJAWARE";"08. CERRADA"},0),
  _xlfn.XLOOKUP(INDEX($B:$B, (ROW()-1)),'Relacion '!$E:$E,'Relacion '!#REF!,0),
  0
 )
)</f>
        <v>1</v>
      </c>
      <c r="I390" s="241">
        <f t="shared" ref="I390:I451" ca="1" si="93">IF(G390&lt;=TODAY(), 1, 0)</f>
        <v>1</v>
      </c>
      <c r="J390" s="241"/>
      <c r="K390" s="241"/>
      <c r="L390" s="238"/>
    </row>
    <row r="391" spans="2:12" outlineLevel="1">
      <c r="B391" s="237" t="s">
        <v>195</v>
      </c>
      <c r="C391" s="237" t="s">
        <v>195</v>
      </c>
      <c r="D391" s="238" t="str">
        <f>_xlfn.XLOOKUP(B391,'Relacion '!$E:$E,'Relacion '!$D:$D,"")</f>
        <v/>
      </c>
      <c r="E391" s="239">
        <f t="shared" si="91"/>
        <v>18</v>
      </c>
      <c r="F391" s="240" cm="1">
        <f t="array" ref="F391">MIN(INDEX('Relacion '!$Z$5:$AA$493,MATCH(INDEX($B:$B, (ROW()-2)),'Relacion '!$E$5:$E$493,0),0))</f>
        <v>46062</v>
      </c>
      <c r="G391" s="240" cm="1">
        <f t="array" ref="G391">MAX(INDEX('Relacion '!$Z$5:$AA$493,MATCH(INDEX($B:$B, (ROW()-2)),'Relacion '!$E$5:$E$493,0),0))</f>
        <v>46080</v>
      </c>
      <c r="H391" s="241" cm="1">
        <f t="array" ref="H391">IF(
 MATCH(B391,{"01. ASIGNACION AREA";"02. MAPEO";"03. DESARROLLO";"04. VALIDA US";"05. VOBO US";"06. BW-EJECUCION";"07. VALIDACIÓN BAJAWARE";"08. CERRADA"},0)
 &lt;
 MATCH(_xlfn.XLOOKUP(INDEX($B:$B, (ROW()-2)),'Relacion '!$E:$E,'Relacion '!$D:$D,""),{"01. ASIGNACION AREA";"02. MAPEO";"03. DESARROLLO";"04. VALIDA US";"05. VOBO US";"06. BW-EJECUCION";"07. VALIDACIÓN BAJAWARE";"08. CERRADA"},0),
 1,
 IF(
  MATCH(B391,{"01. ASIGNACION AREA";"02. MAPEO";"03. DESARROLLO";"04. VALIDA US";"05. VOBO US";"06. BW-EJECUCION";"07. VALIDACIÓN BAJAWARE";"08. CERRADA"},0)
  =
  MATCH(_xlfn.XLOOKUP(INDEX($B:$B, (ROW()-2)),'Relacion '!$E:$E,'Relacion '!$D:$D,""),{"01. ASIGNACION AREA";"02. MAPEO";"03. DESARROLLO";"04. VALIDA US";"05. VOBO US";"06. BW-EJECUCION";"07. VALIDACIÓN BAJAWARE";"08. CERRADA"},0),
  _xlfn.XLOOKUP(INDEX($B:$B, (ROW()-2)),'Relacion '!$E:$E,'Relacion '!#REF!,0),
  0
 )
)</f>
        <v>1</v>
      </c>
      <c r="I391" s="241">
        <f t="shared" ca="1" si="93"/>
        <v>1</v>
      </c>
      <c r="J391" s="241"/>
      <c r="K391" s="241"/>
      <c r="L391" s="238"/>
    </row>
    <row r="392" spans="2:12" outlineLevel="1">
      <c r="B392" s="237" t="s">
        <v>49</v>
      </c>
      <c r="C392" s="237" t="s">
        <v>49</v>
      </c>
      <c r="D392" s="238" t="str">
        <f>_xlfn.XLOOKUP(B392,'Relacion '!$E:$E,'Relacion '!$D:$D,"")</f>
        <v/>
      </c>
      <c r="E392" s="239">
        <f t="shared" si="91"/>
        <v>18</v>
      </c>
      <c r="F392" s="240" cm="1">
        <f t="array" ref="F392">MIN(INDEX('Relacion '!$AB$5:$AC$493,MATCH(INDEX($B:$B, (ROW()-3)),'Relacion '!$E$5:$E$493,0),0))</f>
        <v>46083</v>
      </c>
      <c r="G392" s="240" cm="1">
        <f t="array" ref="G392">MAX(INDEX('Relacion '!$AB$5:$AC$493,MATCH(INDEX($B:$B, (ROW()-3)),'Relacion '!$E$5:$E$493,0),0))</f>
        <v>46101</v>
      </c>
      <c r="H392" s="241" cm="1">
        <f t="array" ref="H392">IF(
 MATCH(B392,{"01. ASIGNACION AREA";"02. MAPEO";"03. DESARROLLO";"04. VALIDA US";"05. VOBO US";"06. BW-EJECUCION";"07. VALIDACIÓN BAJAWARE";"08. CERRADA"},0)
 &lt;
 MATCH(_xlfn.XLOOKUP(INDEX($B:$B, (ROW()-3)),'Relacion '!$E:$E,'Relacion '!$D:$D,""),{"01. ASIGNACION AREA";"02. MAPEO";"03. DESARROLLO";"04. VALIDA US";"05. VOBO US";"06. BW-EJECUCION";"07. VALIDACIÓN BAJAWARE";"08. CERRADA"},0),
 1,
 IF(
  MATCH(B392,{"01. ASIGNACION AREA";"02. MAPEO";"03. DESARROLLO";"04. VALIDA US";"05. VOBO US";"06. BW-EJECUCION";"07. VALIDACIÓN BAJAWARE";"08. CERRADA"},0)
  =
  MATCH(_xlfn.XLOOKUP(INDEX($B:$B, (ROW()-3)),'Relacion '!$E:$E,'Relacion '!$D:$D,""),{"01. ASIGNACION AREA";"02. MAPEO";"03. DESARROLLO";"04. VALIDA US";"05. VOBO US";"06. BW-EJECUCION";"07. VALIDACIÓN BAJAWARE";"08. CERRADA"},0),
  _xlfn.XLOOKUP(INDEX($B:$B, (ROW()-3)),'Relacion '!$E:$E,'Relacion '!#REF!,0),
  0
 )
)</f>
        <v>1</v>
      </c>
      <c r="I392" s="241">
        <f t="shared" ca="1" si="93"/>
        <v>1</v>
      </c>
      <c r="J392" s="241"/>
      <c r="K392" s="241"/>
      <c r="L392" s="238"/>
    </row>
    <row r="393" spans="2:12" outlineLevel="1">
      <c r="B393" s="237" t="s">
        <v>324</v>
      </c>
      <c r="C393" s="237" t="s">
        <v>324</v>
      </c>
      <c r="D393" s="238" t="str">
        <f>_xlfn.XLOOKUP(B393,'Relacion '!$E:$E,'Relacion '!$D:$D,"")</f>
        <v/>
      </c>
      <c r="E393" s="239">
        <f t="shared" si="91"/>
        <v>18</v>
      </c>
      <c r="F393" s="240" cm="1">
        <f t="array" ref="F393">MIN(INDEX('Relacion '!$AD$5:$AE$493,MATCH(INDEX($B:$B, (ROW()-4)),'Relacion '!$E$5:$E$493,0),0))</f>
        <v>46104</v>
      </c>
      <c r="G393" s="240" cm="1">
        <f t="array" ref="G393">MAX(INDEX('Relacion '!$AD$5:$AE$493,MATCH(INDEX($B:$B, (ROW()-4)),'Relacion '!$E$5:$E$493,0),0))</f>
        <v>46122</v>
      </c>
      <c r="H393" s="241" cm="1">
        <f t="array" ref="H393">IF(
 MATCH(B393,{"01. ASIGNACION AREA";"02. MAPEO";"03. DESARROLLO";"04. VALIDA US";"05. VOBO US";"06. BW-EJECUCION";"07. VALIDACIÓN BAJAWARE";"08. CERRADA"},0)
 &lt;
 MATCH(_xlfn.XLOOKUP(INDEX($B:$B, (ROW()-4)),'Relacion '!$E:$E,'Relacion '!$D:$D,""),{"01. ASIGNACION AREA";"02. MAPEO";"03. DESARROLLO";"04. VALIDA US";"05. VOBO US";"06. BW-EJECUCION";"07. VALIDACIÓN BAJAWARE";"08. CERRADA"},0),
 1,
 IF(
  MATCH(B393,{"01. ASIGNACION AREA";"02. MAPEO";"03. DESARROLLO";"04. VALIDA US";"05. VOBO US";"06. BW-EJECUCION";"07. VALIDACIÓN BAJAWARE";"08. CERRADA"},0)
  =
  MATCH(_xlfn.XLOOKUP(INDEX($B:$B, (ROW()-4)),'Relacion '!$E:$E,'Relacion '!$D:$D,""),{"01. ASIGNACION AREA";"02. MAPEO";"03. DESARROLLO";"04. VALIDA US";"05. VOBO US";"06. BW-EJECUCION";"07. VALIDACIÓN BAJAWARE";"08. CERRADA"},0),
  _xlfn.XLOOKUP(INDEX($B:$B, (ROW()-4)),'Relacion '!$E:$E,'Relacion '!#REF!,0),
  0
 )
)</f>
        <v>1</v>
      </c>
      <c r="I393" s="241">
        <f t="shared" ca="1" si="93"/>
        <v>1</v>
      </c>
      <c r="J393" s="241"/>
      <c r="K393" s="241"/>
      <c r="L393" s="238"/>
    </row>
    <row r="394" spans="2:12" outlineLevel="1">
      <c r="B394" s="237" t="s">
        <v>320</v>
      </c>
      <c r="C394" s="237" t="s">
        <v>320</v>
      </c>
      <c r="D394" s="238" t="str">
        <f>_xlfn.XLOOKUP(B394,'Relacion '!$E:$E,'Relacion '!$D:$D,"")</f>
        <v/>
      </c>
      <c r="E394" s="239">
        <f t="shared" si="91"/>
        <v>1</v>
      </c>
      <c r="F394" s="240" cm="1">
        <f t="array" ref="F394">MIN(INDEX('Relacion '!$AF$5:$AG$493,MATCH(INDEX($B:$B, (ROW()-5)),'Relacion '!$E$5:$E$493,0),0))</f>
        <v>46121</v>
      </c>
      <c r="G394" s="240" cm="1">
        <f t="array" ref="G394">MAX(INDEX('Relacion '!$AF$5:$AG$493,MATCH(INDEX($B:$B, (ROW()-5)),'Relacion '!$E$5:$E$493,0),0))</f>
        <v>46122</v>
      </c>
      <c r="H394" s="241" cm="1">
        <f t="array" ref="H394">IF(
 MATCH(B394,{"01. ASIGNACION AREA";"02. MAPEO";"03. DESARROLLO";"04. VALIDA US";"05. VOBO US";"06. BW-EJECUCION";"07. VALIDACIÓN BAJAWARE";"08. CERRADA"},0)
 &lt;
 MATCH(_xlfn.XLOOKUP(INDEX($B:$B, (ROW()-5)),'Relacion '!$E:$E,'Relacion '!$D:$D,""),{"01. ASIGNACION AREA";"02. MAPEO";"03. DESARROLLO";"04. VALIDA US";"05. VOBO US";"06. BW-EJECUCION";"07. VALIDACIÓN BAJAWARE";"08. CERRADA"},0),
 1,
 IF(
  MATCH(B394,{"01. ASIGNACION AREA";"02. MAPEO";"03. DESARROLLO";"04. VALIDA US";"05. VOBO US";"06. BW-EJECUCION";"07. VALIDACIÓN BAJAWARE";"08. CERRADA"},0)
  =
  MATCH(_xlfn.XLOOKUP(INDEX($B:$B, (ROW()-5)),'Relacion '!$E:$E,'Relacion '!$D:$D,""),{"01. ASIGNACION AREA";"02. MAPEO";"03. DESARROLLO";"04. VALIDA US";"05. VOBO US";"06. BW-EJECUCION";"07. VALIDACIÓN BAJAWARE";"08. CERRADA"},0),
  _xlfn.XLOOKUP(INDEX($B:$B, (ROW()-5)),'Relacion '!$E:$E,'Relacion '!#REF!,0),
  0
 )
)</f>
        <v>1</v>
      </c>
      <c r="I394" s="241">
        <f t="shared" ca="1" si="93"/>
        <v>1</v>
      </c>
      <c r="J394" s="241"/>
      <c r="K394" s="241"/>
      <c r="L394" s="238"/>
    </row>
    <row r="395" spans="2:12" outlineLevel="1">
      <c r="B395" s="237" t="s">
        <v>710</v>
      </c>
      <c r="C395" s="237" t="s">
        <v>710</v>
      </c>
      <c r="D395" s="238" t="str">
        <f>_xlfn.XLOOKUP(B395,'Relacion '!$E:$E,'Relacion '!$D:$D,"")</f>
        <v/>
      </c>
      <c r="E395" s="239">
        <f t="shared" si="91"/>
        <v>18</v>
      </c>
      <c r="F395" s="240" cm="1">
        <f t="array" ref="F395">MIN(INDEX('Relacion '!$AH$5:$AI$493,MATCH(INDEX($B:$B, (ROW()-6)),'Relacion '!$E$5:$E$493,0),0))</f>
        <v>46125</v>
      </c>
      <c r="G395" s="240" cm="1">
        <f t="array" ref="G395">MAX(INDEX('Relacion '!$AH$5:$AI$493,MATCH(INDEX($B:$B, (ROW()-6)),'Relacion '!$E$5:$E$493,0),0))</f>
        <v>46143</v>
      </c>
      <c r="H395" s="241" cm="1">
        <f t="array" ref="H395">IF(
 MATCH(B395,{"01. ASIGNACION AREA";"02. MAPEO";"03. DESARROLLO";"04. VALIDA US";"05. VOBO US";"06. BW-EJECUCION";"07. VALIDACIÓN BAJAWARE";"08. CERRADA"},0)
 &lt;
 MATCH(_xlfn.XLOOKUP(INDEX($B:$B, (ROW()-6)),'Relacion '!$E:$E,'Relacion '!$D:$D,""),{"01. ASIGNACION AREA";"02. MAPEO";"03. DESARROLLO";"04. VALIDA US";"05. VOBO US";"06. BW-EJECUCION";"07. VALIDACIÓN BAJAWARE";"08. CERRADA"},0),
 1,
 IF(
  MATCH(B395,{"01. ASIGNACION AREA";"02. MAPEO";"03. DESARROLLO";"04. VALIDA US";"05. VOBO US";"06. BW-EJECUCION";"07. VALIDACIÓN BAJAWARE";"08. CERRADA"},0)
  =
  MATCH(_xlfn.XLOOKUP(INDEX($B:$B, (ROW()-6)),'Relacion '!$E:$E,'Relacion '!$D:$D,""),{"01. ASIGNACION AREA";"02. MAPEO";"03. DESARROLLO";"04. VALIDA US";"05. VOBO US";"06. BW-EJECUCION";"07. VALIDACIÓN BAJAWARE";"08. CERRADA"},0),
  _xlfn.XLOOKUP(INDEX($B:$B, (ROW()-6)),'Relacion '!$E:$E,'Relacion '!#REF!,0),
  0
 )
)</f>
        <v>1</v>
      </c>
      <c r="I395" s="241">
        <f t="shared" ca="1" si="93"/>
        <v>1</v>
      </c>
      <c r="J395" s="241"/>
      <c r="K395" s="241"/>
      <c r="L395" s="238"/>
    </row>
    <row r="396" spans="2:12" outlineLevel="1">
      <c r="B396" s="237" t="s">
        <v>655</v>
      </c>
      <c r="C396" s="237" t="s">
        <v>655</v>
      </c>
      <c r="D396" s="238" t="str">
        <f>_xlfn.XLOOKUP(B396,'Relacion '!$E:$E,'Relacion '!$D:$D,"")</f>
        <v/>
      </c>
      <c r="E396" s="239">
        <f t="shared" si="91"/>
        <v>18</v>
      </c>
      <c r="F396" s="240" cm="1">
        <f t="array" ref="F396">MIN(INDEX('Relacion '!$AJ$5:$AK$493,MATCH(INDEX($B:$B, (ROW()-7)),'Relacion '!$E$5:$E$493,0),0))</f>
        <v>46146</v>
      </c>
      <c r="G396" s="240" cm="1">
        <f t="array" ref="G396">MAX(INDEX('Relacion '!$AJ$5:$AK$493,MATCH(INDEX($B:$B, (ROW()-7)),'Relacion '!$E$5:$E$493,0),0))</f>
        <v>46164</v>
      </c>
      <c r="H396" s="241" t="e" cm="1">
        <f t="array" ref="H396">IF(
 MATCH(B396,{"01. ASIGNACION AREA";"02. MAPEO";"03. DESARROLLO";"04. VALIDA US";"05. VOBO US";"06. BW-EJECUCION";"07. VALIDACIÓN BAJAWARE";"08. CERRADA"},0)
 &lt;
 MATCH(_xlfn.XLOOKUP(INDEX($B:$B, (ROW()-7)),'Relacion '!$E:$E,'Relacion '!$D:$D,""),{"01. ASIGNACION AREA";"02. MAPEO";"03. DESARROLLO";"04. VALIDA US";"05. VOBO US";"06. BW-EJECUCION";"07. VALIDACIÓN BAJAWARE";"08. CERRADA"},0),
 1,
 IF(
  MATCH(B396,{"01. ASIGNACION AREA";"02. MAPEO";"03. DESARROLLO";"04. VALIDA US";"05. VOBO US";"06. BW-EJECUCION";"07. VALIDACIÓN BAJAWARE";"08. CERRADA"},0)
  =
  MATCH(_xlfn.XLOOKUP(INDEX($B:$B, (ROW()-7)),'Relacion '!$E:$E,'Relacion '!$D:$D,""),{"01. ASIGNACION AREA";"02. MAPEO";"03. DESARROLLO";"04. VALIDA US";"05. VOBO US";"06. BW-EJECUCION";"07. VALIDACIÓN BAJAWARE";"08. CERRADA"},0),
  _xlfn.XLOOKUP(INDEX($B:$B, (ROW()-7)),'Relacion '!$E:$E,'Relacion '!#REF!,0),
  0
 )
)</f>
        <v>#REF!</v>
      </c>
      <c r="I396" s="241">
        <f t="shared" ca="1" si="93"/>
        <v>1</v>
      </c>
      <c r="J396" s="241"/>
      <c r="K396" s="241"/>
      <c r="L396" s="238"/>
    </row>
    <row r="397" spans="2:12" outlineLevel="1">
      <c r="B397" s="237" t="s">
        <v>656</v>
      </c>
      <c r="C397" s="237" t="s">
        <v>656</v>
      </c>
      <c r="D397" s="238" t="str">
        <f>_xlfn.XLOOKUP(B397,'Relacion '!$E:$E,'Relacion '!$D:$D,"")</f>
        <v/>
      </c>
      <c r="E397" s="239">
        <f t="shared" si="91"/>
        <v>0</v>
      </c>
      <c r="F397" s="240" cm="1">
        <f t="array" ref="F397">MIN(INDEX('Relacion '!$AL$5:$AM$493,MATCH(INDEX($B:$B, (ROW()-8)),'Relacion '!$E$5:$E$493,0),0))</f>
        <v>46165</v>
      </c>
      <c r="G397" s="240" cm="1">
        <f t="array" ref="G397">MAX(INDEX('Relacion '!$AL$5:$AM$493,MATCH(INDEX($B:$B, (ROW()-8)),'Relacion '!$E$5:$E$493,0),0))</f>
        <v>46165</v>
      </c>
      <c r="H397" s="241" cm="1">
        <f t="array" ref="H397">IF(
 MATCH(B397,{"01. ASIGNACION AREA";"02. MAPEO";"03. DESARROLLO";"04. VALIDA US";"05. VOBO US";"06. BW-EJECUCION";"07. VALIDACIÓN BAJAWARE";"08. CERRADA"},0)
 &lt;
 MATCH(_xlfn.XLOOKUP(INDEX($B:$B, (ROW()-8)),'Relacion '!$E:$E,'Relacion '!$D:$D,""),{"01. ASIGNACION AREA";"02. MAPEO";"03. DESARROLLO";"04. VALIDA US";"05. VOBO US";"06. BW-EJECUCION";"07. VALIDACIÓN BAJAWARE";"08. CERRADA"},0),
 1,
 IF(
  MATCH(B397,{"01. ASIGNACION AREA";"02. MAPEO";"03. DESARROLLO";"04. VALIDA US";"05. VOBO US";"06. BW-EJECUCION";"07. VALIDACIÓN BAJAWARE";"08. CERRADA"},0)
  =
  MATCH(_xlfn.XLOOKUP(INDEX($B:$B, (ROW()-8)),'Relacion '!$E:$E,'Relacion '!$D:$D,""),{"01. ASIGNACION AREA";"02. MAPEO";"03. DESARROLLO";"04. VALIDA US";"05. VOBO US";"06. BW-EJECUCION";"07. VALIDACIÓN BAJAWARE";"08. CERRADA"},0),
  _xlfn.XLOOKUP(INDEX($B:$B, (ROW()-8)),'Relacion '!$E:$E,'Relacion '!#REF!,0),
  0
 )
)</f>
        <v>0</v>
      </c>
      <c r="I397" s="241">
        <f t="shared" ca="1" si="93"/>
        <v>1</v>
      </c>
      <c r="J397" s="241"/>
      <c r="K397" s="241"/>
      <c r="L397" s="238"/>
    </row>
    <row r="398" spans="2:12">
      <c r="B398" s="232" t="s">
        <v>118</v>
      </c>
      <c r="C398" s="137" t="s">
        <v>66</v>
      </c>
      <c r="D398" s="236" t="str">
        <f>_xlfn.XLOOKUP(B398,'Relacion '!$E:$E,'Relacion '!$D:$D,"")</f>
        <v>04. VALIDA US</v>
      </c>
      <c r="E398" s="233">
        <f t="shared" si="91"/>
        <v>478</v>
      </c>
      <c r="F398" s="234" cm="1">
        <f t="array" ref="F398">MIN(INDEX('Relacion '!$X$5:$AM$493,MATCH(INDEX($B:$B, (ROW()-0)),'Relacion '!$E$5:$E$493,0),0))</f>
        <v>45659</v>
      </c>
      <c r="G398" s="234" cm="1">
        <f t="array" ref="G398">MAX(INDEX('Relacion '!$X$5:$AM$493,MATCH(INDEX($B:$B, (ROW()-0)),'Relacion '!$E$5:$E$493,0),0))</f>
        <v>46137</v>
      </c>
      <c r="H398" s="235" t="e">
        <f>AVERAGE(H399:H406)</f>
        <v>#REF!</v>
      </c>
      <c r="I398" s="235">
        <f t="shared" ref="I398" ca="1" si="94">AVERAGE(I399:I406)</f>
        <v>1</v>
      </c>
      <c r="J398" s="236" t="str">
        <f>IF(ISNUMBER(SEARCH("Rocha", _xlfn.XLOOKUP(B398,'Relacion '!$E:$E,'Relacion '!$I:$I,""))), "Sí", "No")</f>
        <v>No</v>
      </c>
      <c r="K398" s="236" t="str">
        <f>IF(ISNUMBER(SEARCH("Rocha", _xlfn.XLOOKUP(B398,'Relacion '!$E:$E,'Relacion '!$I:$I,""))), "RMC", _xlfn.XLOOKUP(B398,'Relacion '!$E:$E,'Relacion '!$B:$B,""))</f>
        <v>Operaciones Credito</v>
      </c>
      <c r="L398" s="236" t="str">
        <f>_xlfn.XLOOKUP(B398,'Relacion '!$E:$E,'Relacion '!$C:$C,"")</f>
        <v>Luis Alberto</v>
      </c>
    </row>
    <row r="399" spans="2:12" outlineLevel="1">
      <c r="B399" s="237" t="s">
        <v>654</v>
      </c>
      <c r="C399" s="237" t="s">
        <v>654</v>
      </c>
      <c r="D399" s="238" t="str">
        <f>_xlfn.XLOOKUP(B399,'Relacion '!$E:$E,'Relacion '!$D:$D,"")</f>
        <v/>
      </c>
      <c r="E399" s="239">
        <f t="shared" si="91"/>
        <v>379</v>
      </c>
      <c r="F399" s="240" cm="1">
        <f t="array" ref="F399">MIN(INDEX('Relacion '!$X$5:$Y$493,MATCH(INDEX($B:$B, (ROW()-1)),'Relacion '!$E$5:$E$493,0),0))</f>
        <v>45659</v>
      </c>
      <c r="G399" s="240" cm="1">
        <f t="array" ref="G399">MAX(INDEX('Relacion '!$X$5:$Y$493,MATCH(INDEX($B:$B, (ROW()-1)),'Relacion '!$E$5:$E$493,0),0))</f>
        <v>46038</v>
      </c>
      <c r="H399" s="241" cm="1">
        <f t="array" ref="H399">IF(
 MATCH(B399,{"01. ASIGNACION AREA";"02. MAPEO";"03. DESARROLLO";"04. VALIDA US";"05. VOBO US";"06. BW-EJECUCION";"07. VALIDACIÓN BAJAWARE";"08. CERRADA"},0)
 &lt;
 MATCH(_xlfn.XLOOKUP(INDEX($B:$B, (ROW()-1)),'Relacion '!$E:$E,'Relacion '!$D:$D,""),{"01. ASIGNACION AREA";"02. MAPEO";"03. DESARROLLO";"04. VALIDA US";"05. VOBO US";"06. BW-EJECUCION";"07. VALIDACIÓN BAJAWARE";"08. CERRADA"},0),
 1,
 IF(
  MATCH(B399,{"01. ASIGNACION AREA";"02. MAPEO";"03. DESARROLLO";"04. VALIDA US";"05. VOBO US";"06. BW-EJECUCION";"07. VALIDACIÓN BAJAWARE";"08. CERRADA"},0)
  =
  MATCH(_xlfn.XLOOKUP(INDEX($B:$B, (ROW()-1)),'Relacion '!$E:$E,'Relacion '!$D:$D,""),{"01. ASIGNACION AREA";"02. MAPEO";"03. DESARROLLO";"04. VALIDA US";"05. VOBO US";"06. BW-EJECUCION";"07. VALIDACIÓN BAJAWARE";"08. CERRADA"},0),
  _xlfn.XLOOKUP(INDEX($B:$B, (ROW()-1)),'Relacion '!$E:$E,'Relacion '!#REF!,0),
  0
 )
)</f>
        <v>1</v>
      </c>
      <c r="I399" s="241">
        <f t="shared" ref="I399" ca="1" si="95">IF(G399&lt;=TODAY(), 1, 0)</f>
        <v>1</v>
      </c>
      <c r="J399" s="241"/>
      <c r="K399" s="241"/>
      <c r="L399" s="238"/>
    </row>
    <row r="400" spans="2:12" outlineLevel="1">
      <c r="B400" s="237" t="s">
        <v>195</v>
      </c>
      <c r="C400" s="237" t="s">
        <v>195</v>
      </c>
      <c r="D400" s="238" t="str">
        <f>_xlfn.XLOOKUP(B400,'Relacion '!$E:$E,'Relacion '!$D:$D,"")</f>
        <v/>
      </c>
      <c r="E400" s="239">
        <f t="shared" si="91"/>
        <v>11</v>
      </c>
      <c r="F400" s="240" cm="1">
        <f t="array" ref="F400">MIN(INDEX('Relacion '!$Z$5:$AA$493,MATCH(INDEX($B:$B, (ROW()-2)),'Relacion '!$E$5:$E$493,0),0))</f>
        <v>46041</v>
      </c>
      <c r="G400" s="240" cm="1">
        <f t="array" ref="G400">MAX(INDEX('Relacion '!$Z$5:$AA$493,MATCH(INDEX($B:$B, (ROW()-2)),'Relacion '!$E$5:$E$493,0),0))</f>
        <v>46052</v>
      </c>
      <c r="H400" s="241" cm="1">
        <f t="array" ref="H400">IF(
 MATCH(B400,{"01. ASIGNACION AREA";"02. MAPEO";"03. DESARROLLO";"04. VALIDA US";"05. VOBO US";"06. BW-EJECUCION";"07. VALIDACIÓN BAJAWARE";"08. CERRADA"},0)
 &lt;
 MATCH(_xlfn.XLOOKUP(INDEX($B:$B, (ROW()-2)),'Relacion '!$E:$E,'Relacion '!$D:$D,""),{"01. ASIGNACION AREA";"02. MAPEO";"03. DESARROLLO";"04. VALIDA US";"05. VOBO US";"06. BW-EJECUCION";"07. VALIDACIÓN BAJAWARE";"08. CERRADA"},0),
 1,
 IF(
  MATCH(B400,{"01. ASIGNACION AREA";"02. MAPEO";"03. DESARROLLO";"04. VALIDA US";"05. VOBO US";"06. BW-EJECUCION";"07. VALIDACIÓN BAJAWARE";"08. CERRADA"},0)
  =
  MATCH(_xlfn.XLOOKUP(INDEX($B:$B, (ROW()-2)),'Relacion '!$E:$E,'Relacion '!$D:$D,""),{"01. ASIGNACION AREA";"02. MAPEO";"03. DESARROLLO";"04. VALIDA US";"05. VOBO US";"06. BW-EJECUCION";"07. VALIDACIÓN BAJAWARE";"08. CERRADA"},0),
  _xlfn.XLOOKUP(INDEX($B:$B, (ROW()-2)),'Relacion '!$E:$E,'Relacion '!#REF!,0),
  0
 )
)</f>
        <v>1</v>
      </c>
      <c r="I400" s="241">
        <f t="shared" ca="1" si="93"/>
        <v>1</v>
      </c>
      <c r="J400" s="241"/>
      <c r="K400" s="241"/>
      <c r="L400" s="238"/>
    </row>
    <row r="401" spans="2:12" outlineLevel="1">
      <c r="B401" s="237" t="s">
        <v>49</v>
      </c>
      <c r="C401" s="237" t="s">
        <v>49</v>
      </c>
      <c r="D401" s="238" t="str">
        <f>_xlfn.XLOOKUP(B401,'Relacion '!$E:$E,'Relacion '!$D:$D,"")</f>
        <v/>
      </c>
      <c r="E401" s="239">
        <f t="shared" si="91"/>
        <v>24</v>
      </c>
      <c r="F401" s="240" cm="1">
        <f t="array" ref="F401">MIN(INDEX('Relacion '!$AB$5:$AC$493,MATCH(INDEX($B:$B, (ROW()-3)),'Relacion '!$E$5:$E$493,0),0))</f>
        <v>46056</v>
      </c>
      <c r="G401" s="240" cm="1">
        <f t="array" ref="G401">MAX(INDEX('Relacion '!$AB$5:$AC$493,MATCH(INDEX($B:$B, (ROW()-3)),'Relacion '!$E$5:$E$493,0),0))</f>
        <v>46080</v>
      </c>
      <c r="H401" s="241" cm="1">
        <f t="array" ref="H401">IF(
 MATCH(B401,{"01. ASIGNACION AREA";"02. MAPEO";"03. DESARROLLO";"04. VALIDA US";"05. VOBO US";"06. BW-EJECUCION";"07. VALIDACIÓN BAJAWARE";"08. CERRADA"},0)
 &lt;
 MATCH(_xlfn.XLOOKUP(INDEX($B:$B, (ROW()-3)),'Relacion '!$E:$E,'Relacion '!$D:$D,""),{"01. ASIGNACION AREA";"02. MAPEO";"03. DESARROLLO";"04. VALIDA US";"05. VOBO US";"06. BW-EJECUCION";"07. VALIDACIÓN BAJAWARE";"08. CERRADA"},0),
 1,
 IF(
  MATCH(B401,{"01. ASIGNACION AREA";"02. MAPEO";"03. DESARROLLO";"04. VALIDA US";"05. VOBO US";"06. BW-EJECUCION";"07. VALIDACIÓN BAJAWARE";"08. CERRADA"},0)
  =
  MATCH(_xlfn.XLOOKUP(INDEX($B:$B, (ROW()-3)),'Relacion '!$E:$E,'Relacion '!$D:$D,""),{"01. ASIGNACION AREA";"02. MAPEO";"03. DESARROLLO";"04. VALIDA US";"05. VOBO US";"06. BW-EJECUCION";"07. VALIDACIÓN BAJAWARE";"08. CERRADA"},0),
  _xlfn.XLOOKUP(INDEX($B:$B, (ROW()-3)),'Relacion '!$E:$E,'Relacion '!#REF!,0),
  0
 )
)</f>
        <v>1</v>
      </c>
      <c r="I401" s="241">
        <f t="shared" ca="1" si="93"/>
        <v>1</v>
      </c>
      <c r="J401" s="241"/>
      <c r="K401" s="241"/>
      <c r="L401" s="238"/>
    </row>
    <row r="402" spans="2:12" outlineLevel="1">
      <c r="B402" s="237" t="s">
        <v>324</v>
      </c>
      <c r="C402" s="237" t="s">
        <v>324</v>
      </c>
      <c r="D402" s="238" t="str">
        <f>_xlfn.XLOOKUP(B402,'Relacion '!$E:$E,'Relacion '!$D:$D,"")</f>
        <v/>
      </c>
      <c r="E402" s="239">
        <f t="shared" si="91"/>
        <v>14</v>
      </c>
      <c r="F402" s="240" cm="1">
        <f t="array" ref="F402">MIN(INDEX('Relacion '!$AD$5:$AE$493,MATCH(INDEX($B:$B, (ROW()-4)),'Relacion '!$E$5:$E$493,0),0))</f>
        <v>46099</v>
      </c>
      <c r="G402" s="240" cm="1">
        <f t="array" ref="G402">MAX(INDEX('Relacion '!$AD$5:$AE$493,MATCH(INDEX($B:$B, (ROW()-4)),'Relacion '!$E$5:$E$493,0),0))</f>
        <v>46113</v>
      </c>
      <c r="H402" s="241" t="e" cm="1">
        <f t="array" ref="H402">IF(
 MATCH(B402,{"01. ASIGNACION AREA";"02. MAPEO";"03. DESARROLLO";"04. VALIDA US";"05. VOBO US";"06. BW-EJECUCION";"07. VALIDACIÓN BAJAWARE";"08. CERRADA"},0)
 &lt;
 MATCH(_xlfn.XLOOKUP(INDEX($B:$B, (ROW()-4)),'Relacion '!$E:$E,'Relacion '!$D:$D,""),{"01. ASIGNACION AREA";"02. MAPEO";"03. DESARROLLO";"04. VALIDA US";"05. VOBO US";"06. BW-EJECUCION";"07. VALIDACIÓN BAJAWARE";"08. CERRADA"},0),
 1,
 IF(
  MATCH(B402,{"01. ASIGNACION AREA";"02. MAPEO";"03. DESARROLLO";"04. VALIDA US";"05. VOBO US";"06. BW-EJECUCION";"07. VALIDACIÓN BAJAWARE";"08. CERRADA"},0)
  =
  MATCH(_xlfn.XLOOKUP(INDEX($B:$B, (ROW()-4)),'Relacion '!$E:$E,'Relacion '!$D:$D,""),{"01. ASIGNACION AREA";"02. MAPEO";"03. DESARROLLO";"04. VALIDA US";"05. VOBO US";"06. BW-EJECUCION";"07. VALIDACIÓN BAJAWARE";"08. CERRADA"},0),
  _xlfn.XLOOKUP(INDEX($B:$B, (ROW()-4)),'Relacion '!$E:$E,'Relacion '!#REF!,0),
  0
 )
)</f>
        <v>#REF!</v>
      </c>
      <c r="I402" s="241">
        <f t="shared" ca="1" si="93"/>
        <v>1</v>
      </c>
      <c r="J402" s="241"/>
      <c r="K402" s="241"/>
      <c r="L402" s="238"/>
    </row>
    <row r="403" spans="2:12" outlineLevel="1">
      <c r="B403" s="237" t="s">
        <v>320</v>
      </c>
      <c r="C403" s="237" t="s">
        <v>320</v>
      </c>
      <c r="D403" s="238" t="str">
        <f>_xlfn.XLOOKUP(B403,'Relacion '!$E:$E,'Relacion '!$D:$D,"")</f>
        <v/>
      </c>
      <c r="E403" s="239">
        <f t="shared" si="91"/>
        <v>5</v>
      </c>
      <c r="F403" s="240" cm="1">
        <f t="array" ref="F403">MIN(INDEX('Relacion '!$AF$5:$AG$493,MATCH(INDEX($B:$B, (ROW()-5)),'Relacion '!$E$5:$E$493,0),0))</f>
        <v>46113</v>
      </c>
      <c r="G403" s="240" cm="1">
        <f t="array" ref="G403">MAX(INDEX('Relacion '!$AF$5:$AG$493,MATCH(INDEX($B:$B, (ROW()-5)),'Relacion '!$E$5:$E$493,0),0))</f>
        <v>46118</v>
      </c>
      <c r="H403" s="241" cm="1">
        <f t="array" ref="H403">IF(
 MATCH(B403,{"01. ASIGNACION AREA";"02. MAPEO";"03. DESARROLLO";"04. VALIDA US";"05. VOBO US";"06. BW-EJECUCION";"07. VALIDACIÓN BAJAWARE";"08. CERRADA"},0)
 &lt;
 MATCH(_xlfn.XLOOKUP(INDEX($B:$B, (ROW()-5)),'Relacion '!$E:$E,'Relacion '!$D:$D,""),{"01. ASIGNACION AREA";"02. MAPEO";"03. DESARROLLO";"04. VALIDA US";"05. VOBO US";"06. BW-EJECUCION";"07. VALIDACIÓN BAJAWARE";"08. CERRADA"},0),
 1,
 IF(
  MATCH(B403,{"01. ASIGNACION AREA";"02. MAPEO";"03. DESARROLLO";"04. VALIDA US";"05. VOBO US";"06. BW-EJECUCION";"07. VALIDACIÓN BAJAWARE";"08. CERRADA"},0)
  =
  MATCH(_xlfn.XLOOKUP(INDEX($B:$B, (ROW()-5)),'Relacion '!$E:$E,'Relacion '!$D:$D,""),{"01. ASIGNACION AREA";"02. MAPEO";"03. DESARROLLO";"04. VALIDA US";"05. VOBO US";"06. BW-EJECUCION";"07. VALIDACIÓN BAJAWARE";"08. CERRADA"},0),
  _xlfn.XLOOKUP(INDEX($B:$B, (ROW()-5)),'Relacion '!$E:$E,'Relacion '!#REF!,0),
  0
 )
)</f>
        <v>0</v>
      </c>
      <c r="I403" s="241">
        <f t="shared" ca="1" si="93"/>
        <v>1</v>
      </c>
      <c r="J403" s="241"/>
      <c r="K403" s="241"/>
      <c r="L403" s="238"/>
    </row>
    <row r="404" spans="2:12" outlineLevel="1">
      <c r="B404" s="237" t="s">
        <v>710</v>
      </c>
      <c r="C404" s="237" t="s">
        <v>710</v>
      </c>
      <c r="D404" s="238" t="str">
        <f>_xlfn.XLOOKUP(B404,'Relacion '!$E:$E,'Relacion '!$D:$D,"")</f>
        <v/>
      </c>
      <c r="E404" s="239">
        <f t="shared" si="91"/>
        <v>2</v>
      </c>
      <c r="F404" s="240" cm="1">
        <f t="array" ref="F404">MIN(INDEX('Relacion '!$AH$5:$AI$493,MATCH(INDEX($B:$B, (ROW()-6)),'Relacion '!$E$5:$E$493,0),0))</f>
        <v>46119</v>
      </c>
      <c r="G404" s="240" cm="1">
        <f t="array" ref="G404">MAX(INDEX('Relacion '!$AH$5:$AI$493,MATCH(INDEX($B:$B, (ROW()-6)),'Relacion '!$E$5:$E$493,0),0))</f>
        <v>46121</v>
      </c>
      <c r="H404" s="241" cm="1">
        <f t="array" ref="H404">IF(
 MATCH(B404,{"01. ASIGNACION AREA";"02. MAPEO";"03. DESARROLLO";"04. VALIDA US";"05. VOBO US";"06. BW-EJECUCION";"07. VALIDACIÓN BAJAWARE";"08. CERRADA"},0)
 &lt;
 MATCH(_xlfn.XLOOKUP(INDEX($B:$B, (ROW()-6)),'Relacion '!$E:$E,'Relacion '!$D:$D,""),{"01. ASIGNACION AREA";"02. MAPEO";"03. DESARROLLO";"04. VALIDA US";"05. VOBO US";"06. BW-EJECUCION";"07. VALIDACIÓN BAJAWARE";"08. CERRADA"},0),
 1,
 IF(
  MATCH(B404,{"01. ASIGNACION AREA";"02. MAPEO";"03. DESARROLLO";"04. VALIDA US";"05. VOBO US";"06. BW-EJECUCION";"07. VALIDACIÓN BAJAWARE";"08. CERRADA"},0)
  =
  MATCH(_xlfn.XLOOKUP(INDEX($B:$B, (ROW()-6)),'Relacion '!$E:$E,'Relacion '!$D:$D,""),{"01. ASIGNACION AREA";"02. MAPEO";"03. DESARROLLO";"04. VALIDA US";"05. VOBO US";"06. BW-EJECUCION";"07. VALIDACIÓN BAJAWARE";"08. CERRADA"},0),
  _xlfn.XLOOKUP(INDEX($B:$B, (ROW()-6)),'Relacion '!$E:$E,'Relacion '!#REF!,0),
  0
 )
)</f>
        <v>0</v>
      </c>
      <c r="I404" s="241">
        <f t="shared" ca="1" si="93"/>
        <v>1</v>
      </c>
      <c r="J404" s="241"/>
      <c r="K404" s="241"/>
      <c r="L404" s="238"/>
    </row>
    <row r="405" spans="2:12" outlineLevel="1">
      <c r="B405" s="237" t="s">
        <v>655</v>
      </c>
      <c r="C405" s="237" t="s">
        <v>655</v>
      </c>
      <c r="D405" s="238" t="str">
        <f>_xlfn.XLOOKUP(B405,'Relacion '!$E:$E,'Relacion '!$D:$D,"")</f>
        <v/>
      </c>
      <c r="E405" s="239">
        <f t="shared" si="91"/>
        <v>14</v>
      </c>
      <c r="F405" s="240" cm="1">
        <f t="array" ref="F405">MIN(INDEX('Relacion '!$AJ$5:$AK$493,MATCH(INDEX($B:$B, (ROW()-7)),'Relacion '!$E$5:$E$493,0),0))</f>
        <v>46122</v>
      </c>
      <c r="G405" s="240" cm="1">
        <f t="array" ref="G405">MAX(INDEX('Relacion '!$AJ$5:$AK$493,MATCH(INDEX($B:$B, (ROW()-7)),'Relacion '!$E$5:$E$493,0),0))</f>
        <v>46136</v>
      </c>
      <c r="H405" s="241" cm="1">
        <f t="array" ref="H405">IF(
 MATCH(B405,{"01. ASIGNACION AREA";"02. MAPEO";"03. DESARROLLO";"04. VALIDA US";"05. VOBO US";"06. BW-EJECUCION";"07. VALIDACIÓN BAJAWARE";"08. CERRADA"},0)
 &lt;
 MATCH(_xlfn.XLOOKUP(INDEX($B:$B, (ROW()-7)),'Relacion '!$E:$E,'Relacion '!$D:$D,""),{"01. ASIGNACION AREA";"02. MAPEO";"03. DESARROLLO";"04. VALIDA US";"05. VOBO US";"06. BW-EJECUCION";"07. VALIDACIÓN BAJAWARE";"08. CERRADA"},0),
 1,
 IF(
  MATCH(B405,{"01. ASIGNACION AREA";"02. MAPEO";"03. DESARROLLO";"04. VALIDA US";"05. VOBO US";"06. BW-EJECUCION";"07. VALIDACIÓN BAJAWARE";"08. CERRADA"},0)
  =
  MATCH(_xlfn.XLOOKUP(INDEX($B:$B, (ROW()-7)),'Relacion '!$E:$E,'Relacion '!$D:$D,""),{"01. ASIGNACION AREA";"02. MAPEO";"03. DESARROLLO";"04. VALIDA US";"05. VOBO US";"06. BW-EJECUCION";"07. VALIDACIÓN BAJAWARE";"08. CERRADA"},0),
  _xlfn.XLOOKUP(INDEX($B:$B, (ROW()-7)),'Relacion '!$E:$E,'Relacion '!#REF!,0),
  0
 )
)</f>
        <v>0</v>
      </c>
      <c r="I405" s="241">
        <f t="shared" ca="1" si="93"/>
        <v>1</v>
      </c>
      <c r="J405" s="241"/>
      <c r="K405" s="241"/>
      <c r="L405" s="238"/>
    </row>
    <row r="406" spans="2:12" outlineLevel="1">
      <c r="B406" s="237" t="s">
        <v>656</v>
      </c>
      <c r="C406" s="237" t="s">
        <v>656</v>
      </c>
      <c r="D406" s="238" t="str">
        <f>_xlfn.XLOOKUP(B406,'Relacion '!$E:$E,'Relacion '!$D:$D,"")</f>
        <v/>
      </c>
      <c r="E406" s="239">
        <f t="shared" si="91"/>
        <v>0</v>
      </c>
      <c r="F406" s="240" cm="1">
        <f t="array" ref="F406">MIN(INDEX('Relacion '!$AL$5:$AM$493,MATCH(INDEX($B:$B, (ROW()-8)),'Relacion '!$E$5:$E$493,0),0))</f>
        <v>46137</v>
      </c>
      <c r="G406" s="240" cm="1">
        <f t="array" ref="G406">MAX(INDEX('Relacion '!$AL$5:$AM$493,MATCH(INDEX($B:$B, (ROW()-8)),'Relacion '!$E$5:$E$493,0),0))</f>
        <v>46137</v>
      </c>
      <c r="H406" s="241" cm="1">
        <f t="array" ref="H406">IF(
 MATCH(B406,{"01. ASIGNACION AREA";"02. MAPEO";"03. DESARROLLO";"04. VALIDA US";"05. VOBO US";"06. BW-EJECUCION";"07. VALIDACIÓN BAJAWARE";"08. CERRADA"},0)
 &lt;
 MATCH(_xlfn.XLOOKUP(INDEX($B:$B, (ROW()-8)),'Relacion '!$E:$E,'Relacion '!$D:$D,""),{"01. ASIGNACION AREA";"02. MAPEO";"03. DESARROLLO";"04. VALIDA US";"05. VOBO US";"06. BW-EJECUCION";"07. VALIDACIÓN BAJAWARE";"08. CERRADA"},0),
 1,
 IF(
  MATCH(B406,{"01. ASIGNACION AREA";"02. MAPEO";"03. DESARROLLO";"04. VALIDA US";"05. VOBO US";"06. BW-EJECUCION";"07. VALIDACIÓN BAJAWARE";"08. CERRADA"},0)
  =
  MATCH(_xlfn.XLOOKUP(INDEX($B:$B, (ROW()-8)),'Relacion '!$E:$E,'Relacion '!$D:$D,""),{"01. ASIGNACION AREA";"02. MAPEO";"03. DESARROLLO";"04. VALIDA US";"05. VOBO US";"06. BW-EJECUCION";"07. VALIDACIÓN BAJAWARE";"08. CERRADA"},0),
  _xlfn.XLOOKUP(INDEX($B:$B, (ROW()-8)),'Relacion '!$E:$E,'Relacion '!#REF!,0),
  0
 )
)</f>
        <v>0</v>
      </c>
      <c r="I406" s="241">
        <f t="shared" ca="1" si="93"/>
        <v>1</v>
      </c>
      <c r="J406" s="241"/>
      <c r="K406" s="241"/>
      <c r="L406" s="238"/>
    </row>
    <row r="407" spans="2:12">
      <c r="B407" s="232" t="s">
        <v>464</v>
      </c>
      <c r="C407" s="174" t="s">
        <v>417</v>
      </c>
      <c r="D407" s="236" t="str">
        <f>_xlfn.XLOOKUP(B407,'Relacion '!$E:$E,'Relacion '!$D:$D,"")</f>
        <v>08. CERRADA</v>
      </c>
      <c r="E407" s="233">
        <f t="shared" si="91"/>
        <v>449</v>
      </c>
      <c r="F407" s="234" cm="1">
        <f t="array" ref="F407">MIN(INDEX('Relacion '!$X$5:$AM$493,MATCH(INDEX($B:$B, (ROW()-0)),'Relacion '!$E$5:$E$493,0),0))</f>
        <v>45659</v>
      </c>
      <c r="G407" s="234" cm="1">
        <f t="array" ref="G407">MAX(INDEX('Relacion '!$X$5:$AM$493,MATCH(INDEX($B:$B, (ROW()-0)),'Relacion '!$E$5:$E$493,0),0))</f>
        <v>46108</v>
      </c>
      <c r="H407" s="235" t="e">
        <f>AVERAGE(H408:H415)</f>
        <v>#REF!</v>
      </c>
      <c r="I407" s="235">
        <f t="shared" ref="I407" ca="1" si="96">AVERAGE(I408:I415)</f>
        <v>1</v>
      </c>
      <c r="J407" s="236" t="str">
        <f>IF(ISNUMBER(SEARCH("Rocha", _xlfn.XLOOKUP(B407,'Relacion '!$E:$E,'Relacion '!$I:$I,""))), "Sí", "No")</f>
        <v>No</v>
      </c>
      <c r="K407" s="236" t="str">
        <f>IF(ISNUMBER(SEARCH("Rocha", _xlfn.XLOOKUP(B407,'Relacion '!$E:$E,'Relacion '!$I:$I,""))), "RMC", _xlfn.XLOOKUP(B407,'Relacion '!$E:$E,'Relacion '!$B:$B,""))</f>
        <v>Producto</v>
      </c>
      <c r="L407" s="236" t="str">
        <f>_xlfn.XLOOKUP(B407,'Relacion '!$E:$E,'Relacion '!$C:$C,"")</f>
        <v>Claudia Barroso</v>
      </c>
    </row>
    <row r="408" spans="2:12" outlineLevel="1">
      <c r="B408" s="237" t="s">
        <v>654</v>
      </c>
      <c r="C408" s="237" t="s">
        <v>654</v>
      </c>
      <c r="D408" s="238" t="str">
        <f>_xlfn.XLOOKUP(B408,'Relacion '!$E:$E,'Relacion '!$D:$D,"")</f>
        <v/>
      </c>
      <c r="E408" s="239">
        <f t="shared" si="91"/>
        <v>424</v>
      </c>
      <c r="F408" s="240" cm="1">
        <f t="array" ref="F408">MIN(INDEX('Relacion '!$X$5:$Y$493,MATCH(INDEX($B:$B, (ROW()-1)),'Relacion '!$E$5:$E$493,0),0))</f>
        <v>45659</v>
      </c>
      <c r="G408" s="240" cm="1">
        <f t="array" ref="G408">MAX(INDEX('Relacion '!$X$5:$Y$493,MATCH(INDEX($B:$B, (ROW()-1)),'Relacion '!$E$5:$E$493,0),0))</f>
        <v>46083</v>
      </c>
      <c r="H408" s="241" cm="1">
        <f t="array" ref="H408">IF(
 MATCH(B408,{"01. ASIGNACION AREA";"02. MAPEO";"03. DESARROLLO";"04. VALIDA US";"05. VOBO US";"06. BW-EJECUCION";"07. VALIDACIÓN BAJAWARE";"08. CERRADA"},0)
 &lt;
 MATCH(_xlfn.XLOOKUP(INDEX($B:$B, (ROW()-1)),'Relacion '!$E:$E,'Relacion '!$D:$D,""),{"01. ASIGNACION AREA";"02. MAPEO";"03. DESARROLLO";"04. VALIDA US";"05. VOBO US";"06. BW-EJECUCION";"07. VALIDACIÓN BAJAWARE";"08. CERRADA"},0),
 1,
 IF(
  MATCH(B408,{"01. ASIGNACION AREA";"02. MAPEO";"03. DESARROLLO";"04. VALIDA US";"05. VOBO US";"06. BW-EJECUCION";"07. VALIDACIÓN BAJAWARE";"08. CERRADA"},0)
  =
  MATCH(_xlfn.XLOOKUP(INDEX($B:$B, (ROW()-1)),'Relacion '!$E:$E,'Relacion '!$D:$D,""),{"01. ASIGNACION AREA";"02. MAPEO";"03. DESARROLLO";"04. VALIDA US";"05. VOBO US";"06. BW-EJECUCION";"07. VALIDACIÓN BAJAWARE";"08. CERRADA"},0),
  _xlfn.XLOOKUP(INDEX($B:$B, (ROW()-1)),'Relacion '!$E:$E,'Relacion '!#REF!,0),
  0
 )
)</f>
        <v>1</v>
      </c>
      <c r="I408" s="241">
        <f t="shared" ref="I408" ca="1" si="97">IF(G408&lt;=TODAY(), 1, 0)</f>
        <v>1</v>
      </c>
      <c r="J408" s="241"/>
      <c r="K408" s="241"/>
      <c r="L408" s="238"/>
    </row>
    <row r="409" spans="2:12" outlineLevel="1">
      <c r="B409" s="237" t="s">
        <v>195</v>
      </c>
      <c r="C409" s="237" t="s">
        <v>195</v>
      </c>
      <c r="D409" s="238" t="str">
        <f>_xlfn.XLOOKUP(B409,'Relacion '!$E:$E,'Relacion '!$D:$D,"")</f>
        <v/>
      </c>
      <c r="E409" s="239">
        <f t="shared" si="91"/>
        <v>0</v>
      </c>
      <c r="F409" s="240" cm="1">
        <f t="array" ref="F409">MIN(INDEX('Relacion '!$Z$5:$AA$493,MATCH(INDEX($B:$B, (ROW()-2)),'Relacion '!$E$5:$E$493,0),0))</f>
        <v>46108</v>
      </c>
      <c r="G409" s="240" cm="1">
        <f t="array" ref="G409">MAX(INDEX('Relacion '!$Z$5:$AA$493,MATCH(INDEX($B:$B, (ROW()-2)),'Relacion '!$E$5:$E$493,0),0))</f>
        <v>46108</v>
      </c>
      <c r="H409" s="241" cm="1">
        <f t="array" ref="H409">IF(
 MATCH(B409,{"01. ASIGNACION AREA";"02. MAPEO";"03. DESARROLLO";"04. VALIDA US";"05. VOBO US";"06. BW-EJECUCION";"07. VALIDACIÓN BAJAWARE";"08. CERRADA"},0)
 &lt;
 MATCH(_xlfn.XLOOKUP(INDEX($B:$B, (ROW()-2)),'Relacion '!$E:$E,'Relacion '!$D:$D,""),{"01. ASIGNACION AREA";"02. MAPEO";"03. DESARROLLO";"04. VALIDA US";"05. VOBO US";"06. BW-EJECUCION";"07. VALIDACIÓN BAJAWARE";"08. CERRADA"},0),
 1,
 IF(
  MATCH(B409,{"01. ASIGNACION AREA";"02. MAPEO";"03. DESARROLLO";"04. VALIDA US";"05. VOBO US";"06. BW-EJECUCION";"07. VALIDACIÓN BAJAWARE";"08. CERRADA"},0)
  =
  MATCH(_xlfn.XLOOKUP(INDEX($B:$B, (ROW()-2)),'Relacion '!$E:$E,'Relacion '!$D:$D,""),{"01. ASIGNACION AREA";"02. MAPEO";"03. DESARROLLO";"04. VALIDA US";"05. VOBO US";"06. BW-EJECUCION";"07. VALIDACIÓN BAJAWARE";"08. CERRADA"},0),
  _xlfn.XLOOKUP(INDEX($B:$B, (ROW()-2)),'Relacion '!$E:$E,'Relacion '!#REF!,0),
  0
 )
)</f>
        <v>1</v>
      </c>
      <c r="I409" s="241">
        <f t="shared" ca="1" si="93"/>
        <v>1</v>
      </c>
      <c r="J409" s="241"/>
      <c r="K409" s="241"/>
      <c r="L409" s="238"/>
    </row>
    <row r="410" spans="2:12" outlineLevel="1">
      <c r="B410" s="237" t="s">
        <v>49</v>
      </c>
      <c r="C410" s="237" t="s">
        <v>49</v>
      </c>
      <c r="D410" s="238" t="str">
        <f>_xlfn.XLOOKUP(B410,'Relacion '!$E:$E,'Relacion '!$D:$D,"")</f>
        <v/>
      </c>
      <c r="E410" s="239">
        <f t="shared" si="91"/>
        <v>0</v>
      </c>
      <c r="F410" s="240" cm="1">
        <f t="array" ref="F410">MIN(INDEX('Relacion '!$AB$5:$AC$493,MATCH(INDEX($B:$B, (ROW()-3)),'Relacion '!$E$5:$E$493,0),0))</f>
        <v>46108</v>
      </c>
      <c r="G410" s="240" cm="1">
        <f t="array" ref="G410">MAX(INDEX('Relacion '!$AB$5:$AC$493,MATCH(INDEX($B:$B, (ROW()-3)),'Relacion '!$E$5:$E$493,0),0))</f>
        <v>46108</v>
      </c>
      <c r="H410" s="241" cm="1">
        <f t="array" ref="H410">IF(
 MATCH(B410,{"01. ASIGNACION AREA";"02. MAPEO";"03. DESARROLLO";"04. VALIDA US";"05. VOBO US";"06. BW-EJECUCION";"07. VALIDACIÓN BAJAWARE";"08. CERRADA"},0)
 &lt;
 MATCH(_xlfn.XLOOKUP(INDEX($B:$B, (ROW()-3)),'Relacion '!$E:$E,'Relacion '!$D:$D,""),{"01. ASIGNACION AREA";"02. MAPEO";"03. DESARROLLO";"04. VALIDA US";"05. VOBO US";"06. BW-EJECUCION";"07. VALIDACIÓN BAJAWARE";"08. CERRADA"},0),
 1,
 IF(
  MATCH(B410,{"01. ASIGNACION AREA";"02. MAPEO";"03. DESARROLLO";"04. VALIDA US";"05. VOBO US";"06. BW-EJECUCION";"07. VALIDACIÓN BAJAWARE";"08. CERRADA"},0)
  =
  MATCH(_xlfn.XLOOKUP(INDEX($B:$B, (ROW()-3)),'Relacion '!$E:$E,'Relacion '!$D:$D,""),{"01. ASIGNACION AREA";"02. MAPEO";"03. DESARROLLO";"04. VALIDA US";"05. VOBO US";"06. BW-EJECUCION";"07. VALIDACIÓN BAJAWARE";"08. CERRADA"},0),
  _xlfn.XLOOKUP(INDEX($B:$B, (ROW()-3)),'Relacion '!$E:$E,'Relacion '!#REF!,0),
  0
 )
)</f>
        <v>1</v>
      </c>
      <c r="I410" s="241">
        <f t="shared" ca="1" si="93"/>
        <v>1</v>
      </c>
      <c r="J410" s="241"/>
      <c r="K410" s="241"/>
      <c r="L410" s="238"/>
    </row>
    <row r="411" spans="2:12" outlineLevel="1">
      <c r="B411" s="237" t="s">
        <v>324</v>
      </c>
      <c r="C411" s="237" t="s">
        <v>324</v>
      </c>
      <c r="D411" s="238" t="str">
        <f>_xlfn.XLOOKUP(B411,'Relacion '!$E:$E,'Relacion '!$D:$D,"")</f>
        <v/>
      </c>
      <c r="E411" s="239">
        <f t="shared" si="91"/>
        <v>0</v>
      </c>
      <c r="F411" s="240" cm="1">
        <f t="array" ref="F411">MIN(INDEX('Relacion '!$AD$5:$AE$493,MATCH(INDEX($B:$B, (ROW()-4)),'Relacion '!$E$5:$E$493,0),0))</f>
        <v>46108</v>
      </c>
      <c r="G411" s="240" cm="1">
        <f t="array" ref="G411">MAX(INDEX('Relacion '!$AD$5:$AE$493,MATCH(INDEX($B:$B, (ROW()-4)),'Relacion '!$E$5:$E$493,0),0))</f>
        <v>46108</v>
      </c>
      <c r="H411" s="241" cm="1">
        <f t="array" ref="H411">IF(
 MATCH(B411,{"01. ASIGNACION AREA";"02. MAPEO";"03. DESARROLLO";"04. VALIDA US";"05. VOBO US";"06. BW-EJECUCION";"07. VALIDACIÓN BAJAWARE";"08. CERRADA"},0)
 &lt;
 MATCH(_xlfn.XLOOKUP(INDEX($B:$B, (ROW()-4)),'Relacion '!$E:$E,'Relacion '!$D:$D,""),{"01. ASIGNACION AREA";"02. MAPEO";"03. DESARROLLO";"04. VALIDA US";"05. VOBO US";"06. BW-EJECUCION";"07. VALIDACIÓN BAJAWARE";"08. CERRADA"},0),
 1,
 IF(
  MATCH(B411,{"01. ASIGNACION AREA";"02. MAPEO";"03. DESARROLLO";"04. VALIDA US";"05. VOBO US";"06. BW-EJECUCION";"07. VALIDACIÓN BAJAWARE";"08. CERRADA"},0)
  =
  MATCH(_xlfn.XLOOKUP(INDEX($B:$B, (ROW()-4)),'Relacion '!$E:$E,'Relacion '!$D:$D,""),{"01. ASIGNACION AREA";"02. MAPEO";"03. DESARROLLO";"04. VALIDA US";"05. VOBO US";"06. BW-EJECUCION";"07. VALIDACIÓN BAJAWARE";"08. CERRADA"},0),
  _xlfn.XLOOKUP(INDEX($B:$B, (ROW()-4)),'Relacion '!$E:$E,'Relacion '!#REF!,0),
  0
 )
)</f>
        <v>1</v>
      </c>
      <c r="I411" s="241">
        <f t="shared" ca="1" si="93"/>
        <v>1</v>
      </c>
      <c r="J411" s="241"/>
      <c r="K411" s="241"/>
      <c r="L411" s="238"/>
    </row>
    <row r="412" spans="2:12" outlineLevel="1">
      <c r="B412" s="237" t="s">
        <v>320</v>
      </c>
      <c r="C412" s="237" t="s">
        <v>320</v>
      </c>
      <c r="D412" s="238" t="str">
        <f>_xlfn.XLOOKUP(B412,'Relacion '!$E:$E,'Relacion '!$D:$D,"")</f>
        <v/>
      </c>
      <c r="E412" s="239">
        <f t="shared" si="91"/>
        <v>0</v>
      </c>
      <c r="F412" s="240" cm="1">
        <f t="array" ref="F412">MIN(INDEX('Relacion '!$AF$5:$AG$493,MATCH(INDEX($B:$B, (ROW()-5)),'Relacion '!$E$5:$E$493,0),0))</f>
        <v>46108</v>
      </c>
      <c r="G412" s="240" cm="1">
        <f t="array" ref="G412">MAX(INDEX('Relacion '!$AF$5:$AG$493,MATCH(INDEX($B:$B, (ROW()-5)),'Relacion '!$E$5:$E$493,0),0))</f>
        <v>46108</v>
      </c>
      <c r="H412" s="241" cm="1">
        <f t="array" ref="H412">IF(
 MATCH(B412,{"01. ASIGNACION AREA";"02. MAPEO";"03. DESARROLLO";"04. VALIDA US";"05. VOBO US";"06. BW-EJECUCION";"07. VALIDACIÓN BAJAWARE";"08. CERRADA"},0)
 &lt;
 MATCH(_xlfn.XLOOKUP(INDEX($B:$B, (ROW()-5)),'Relacion '!$E:$E,'Relacion '!$D:$D,""),{"01. ASIGNACION AREA";"02. MAPEO";"03. DESARROLLO";"04. VALIDA US";"05. VOBO US";"06. BW-EJECUCION";"07. VALIDACIÓN BAJAWARE";"08. CERRADA"},0),
 1,
 IF(
  MATCH(B412,{"01. ASIGNACION AREA";"02. MAPEO";"03. DESARROLLO";"04. VALIDA US";"05. VOBO US";"06. BW-EJECUCION";"07. VALIDACIÓN BAJAWARE";"08. CERRADA"},0)
  =
  MATCH(_xlfn.XLOOKUP(INDEX($B:$B, (ROW()-5)),'Relacion '!$E:$E,'Relacion '!$D:$D,""),{"01. ASIGNACION AREA";"02. MAPEO";"03. DESARROLLO";"04. VALIDA US";"05. VOBO US";"06. BW-EJECUCION";"07. VALIDACIÓN BAJAWARE";"08. CERRADA"},0),
  _xlfn.XLOOKUP(INDEX($B:$B, (ROW()-5)),'Relacion '!$E:$E,'Relacion '!#REF!,0),
  0
 )
)</f>
        <v>1</v>
      </c>
      <c r="I412" s="241">
        <f t="shared" ca="1" si="93"/>
        <v>1</v>
      </c>
      <c r="J412" s="241"/>
      <c r="K412" s="241"/>
      <c r="L412" s="238"/>
    </row>
    <row r="413" spans="2:12" outlineLevel="1">
      <c r="B413" s="237" t="s">
        <v>710</v>
      </c>
      <c r="C413" s="237" t="s">
        <v>710</v>
      </c>
      <c r="D413" s="238" t="str">
        <f>_xlfn.XLOOKUP(B413,'Relacion '!$E:$E,'Relacion '!$D:$D,"")</f>
        <v/>
      </c>
      <c r="E413" s="239">
        <f t="shared" si="91"/>
        <v>0</v>
      </c>
      <c r="F413" s="240" cm="1">
        <f t="array" ref="F413">MIN(INDEX('Relacion '!$AH$5:$AI$493,MATCH(INDEX($B:$B, (ROW()-6)),'Relacion '!$E$5:$E$493,0),0))</f>
        <v>46108</v>
      </c>
      <c r="G413" s="240" cm="1">
        <f t="array" ref="G413">MAX(INDEX('Relacion '!$AH$5:$AI$493,MATCH(INDEX($B:$B, (ROW()-6)),'Relacion '!$E$5:$E$493,0),0))</f>
        <v>46108</v>
      </c>
      <c r="H413" s="241" cm="1">
        <f t="array" ref="H413">IF(
 MATCH(B413,{"01. ASIGNACION AREA";"02. MAPEO";"03. DESARROLLO";"04. VALIDA US";"05. VOBO US";"06. BW-EJECUCION";"07. VALIDACIÓN BAJAWARE";"08. CERRADA"},0)
 &lt;
 MATCH(_xlfn.XLOOKUP(INDEX($B:$B, (ROW()-6)),'Relacion '!$E:$E,'Relacion '!$D:$D,""),{"01. ASIGNACION AREA";"02. MAPEO";"03. DESARROLLO";"04. VALIDA US";"05. VOBO US";"06. BW-EJECUCION";"07. VALIDACIÓN BAJAWARE";"08. CERRADA"},0),
 1,
 IF(
  MATCH(B413,{"01. ASIGNACION AREA";"02. MAPEO";"03. DESARROLLO";"04. VALIDA US";"05. VOBO US";"06. BW-EJECUCION";"07. VALIDACIÓN BAJAWARE";"08. CERRADA"},0)
  =
  MATCH(_xlfn.XLOOKUP(INDEX($B:$B, (ROW()-6)),'Relacion '!$E:$E,'Relacion '!$D:$D,""),{"01. ASIGNACION AREA";"02. MAPEO";"03. DESARROLLO";"04. VALIDA US";"05. VOBO US";"06. BW-EJECUCION";"07. VALIDACIÓN BAJAWARE";"08. CERRADA"},0),
  _xlfn.XLOOKUP(INDEX($B:$B, (ROW()-6)),'Relacion '!$E:$E,'Relacion '!#REF!,0),
  0
 )
)</f>
        <v>1</v>
      </c>
      <c r="I413" s="241">
        <f t="shared" ca="1" si="93"/>
        <v>1</v>
      </c>
      <c r="J413" s="241"/>
      <c r="K413" s="241"/>
      <c r="L413" s="238"/>
    </row>
    <row r="414" spans="2:12" outlineLevel="1">
      <c r="B414" s="237" t="s">
        <v>655</v>
      </c>
      <c r="C414" s="237" t="s">
        <v>655</v>
      </c>
      <c r="D414" s="238" t="str">
        <f>_xlfn.XLOOKUP(B414,'Relacion '!$E:$E,'Relacion '!$D:$D,"")</f>
        <v/>
      </c>
      <c r="E414" s="239">
        <f t="shared" si="91"/>
        <v>0</v>
      </c>
      <c r="F414" s="240" cm="1">
        <f t="array" ref="F414">MIN(INDEX('Relacion '!$AJ$5:$AK$493,MATCH(INDEX($B:$B, (ROW()-7)),'Relacion '!$E$5:$E$493,0),0))</f>
        <v>46108</v>
      </c>
      <c r="G414" s="240" cm="1">
        <f t="array" ref="G414">MAX(INDEX('Relacion '!$AJ$5:$AK$493,MATCH(INDEX($B:$B, (ROW()-7)),'Relacion '!$E$5:$E$493,0),0))</f>
        <v>46108</v>
      </c>
      <c r="H414" s="241" cm="1">
        <f t="array" ref="H414">IF(
 MATCH(B414,{"01. ASIGNACION AREA";"02. MAPEO";"03. DESARROLLO";"04. VALIDA US";"05. VOBO US";"06. BW-EJECUCION";"07. VALIDACIÓN BAJAWARE";"08. CERRADA"},0)
 &lt;
 MATCH(_xlfn.XLOOKUP(INDEX($B:$B, (ROW()-7)),'Relacion '!$E:$E,'Relacion '!$D:$D,""),{"01. ASIGNACION AREA";"02. MAPEO";"03. DESARROLLO";"04. VALIDA US";"05. VOBO US";"06. BW-EJECUCION";"07. VALIDACIÓN BAJAWARE";"08. CERRADA"},0),
 1,
 IF(
  MATCH(B414,{"01. ASIGNACION AREA";"02. MAPEO";"03. DESARROLLO";"04. VALIDA US";"05. VOBO US";"06. BW-EJECUCION";"07. VALIDACIÓN BAJAWARE";"08. CERRADA"},0)
  =
  MATCH(_xlfn.XLOOKUP(INDEX($B:$B, (ROW()-7)),'Relacion '!$E:$E,'Relacion '!$D:$D,""),{"01. ASIGNACION AREA";"02. MAPEO";"03. DESARROLLO";"04. VALIDA US";"05. VOBO US";"06. BW-EJECUCION";"07. VALIDACIÓN BAJAWARE";"08. CERRADA"},0),
  _xlfn.XLOOKUP(INDEX($B:$B, (ROW()-7)),'Relacion '!$E:$E,'Relacion '!#REF!,0),
  0
 )
)</f>
        <v>1</v>
      </c>
      <c r="I414" s="241">
        <f t="shared" ca="1" si="93"/>
        <v>1</v>
      </c>
      <c r="J414" s="241"/>
      <c r="K414" s="241"/>
      <c r="L414" s="238"/>
    </row>
    <row r="415" spans="2:12" outlineLevel="1">
      <c r="B415" s="237" t="s">
        <v>656</v>
      </c>
      <c r="C415" s="237" t="s">
        <v>656</v>
      </c>
      <c r="D415" s="238" t="str">
        <f>_xlfn.XLOOKUP(B415,'Relacion '!$E:$E,'Relacion '!$D:$D,"")</f>
        <v/>
      </c>
      <c r="E415" s="239">
        <f t="shared" si="91"/>
        <v>0</v>
      </c>
      <c r="F415" s="240" cm="1">
        <f t="array" ref="F415">MIN(INDEX('Relacion '!$AL$5:$AM$493,MATCH(INDEX($B:$B, (ROW()-8)),'Relacion '!$E$5:$E$493,0),0))</f>
        <v>46108</v>
      </c>
      <c r="G415" s="240" cm="1">
        <f t="array" ref="G415">MAX(INDEX('Relacion '!$AL$5:$AM$493,MATCH(INDEX($B:$B, (ROW()-8)),'Relacion '!$E$5:$E$493,0),0))</f>
        <v>46108</v>
      </c>
      <c r="H415" s="241" t="e" cm="1">
        <f t="array" ref="H415">IF(
 MATCH(B415,{"01. ASIGNACION AREA";"02. MAPEO";"03. DESARROLLO";"04. VALIDA US";"05. VOBO US";"06. BW-EJECUCION";"07. VALIDACIÓN BAJAWARE";"08. CERRADA"},0)
 &lt;
 MATCH(_xlfn.XLOOKUP(INDEX($B:$B, (ROW()-8)),'Relacion '!$E:$E,'Relacion '!$D:$D,""),{"01. ASIGNACION AREA";"02. MAPEO";"03. DESARROLLO";"04. VALIDA US";"05. VOBO US";"06. BW-EJECUCION";"07. VALIDACIÓN BAJAWARE";"08. CERRADA"},0),
 1,
 IF(
  MATCH(B415,{"01. ASIGNACION AREA";"02. MAPEO";"03. DESARROLLO";"04. VALIDA US";"05. VOBO US";"06. BW-EJECUCION";"07. VALIDACIÓN BAJAWARE";"08. CERRADA"},0)
  =
  MATCH(_xlfn.XLOOKUP(INDEX($B:$B, (ROW()-8)),'Relacion '!$E:$E,'Relacion '!$D:$D,""),{"01. ASIGNACION AREA";"02. MAPEO";"03. DESARROLLO";"04. VALIDA US";"05. VOBO US";"06. BW-EJECUCION";"07. VALIDACIÓN BAJAWARE";"08. CERRADA"},0),
  _xlfn.XLOOKUP(INDEX($B:$B, (ROW()-8)),'Relacion '!$E:$E,'Relacion '!#REF!,0),
  0
 )
)</f>
        <v>#REF!</v>
      </c>
      <c r="I415" s="241">
        <f t="shared" ca="1" si="93"/>
        <v>1</v>
      </c>
      <c r="J415" s="241"/>
      <c r="K415" s="241"/>
      <c r="L415" s="238"/>
    </row>
    <row r="416" spans="2:12">
      <c r="B416" s="232" t="s">
        <v>117</v>
      </c>
      <c r="C416" s="137" t="s">
        <v>63</v>
      </c>
      <c r="D416" s="236" t="str">
        <f>_xlfn.XLOOKUP(B416,'Relacion '!$E:$E,'Relacion '!$D:$D,"")</f>
        <v>04. VALIDA US</v>
      </c>
      <c r="E416" s="233">
        <f t="shared" si="91"/>
        <v>478</v>
      </c>
      <c r="F416" s="234" cm="1">
        <f t="array" ref="F416">MIN(INDEX('Relacion '!$X$5:$AM$493,MATCH(INDEX($B:$B, (ROW()-0)),'Relacion '!$E$5:$E$493,0),0))</f>
        <v>45659</v>
      </c>
      <c r="G416" s="234" cm="1">
        <f t="array" ref="G416">MAX(INDEX('Relacion '!$X$5:$AM$493,MATCH(INDEX($B:$B, (ROW()-0)),'Relacion '!$E$5:$E$493,0),0))</f>
        <v>46137</v>
      </c>
      <c r="H416" s="235" t="e">
        <f>AVERAGE(H417:H424)</f>
        <v>#REF!</v>
      </c>
      <c r="I416" s="235">
        <f t="shared" ref="I416" ca="1" si="98">AVERAGE(I417:I424)</f>
        <v>1</v>
      </c>
      <c r="J416" s="236" t="str">
        <f>IF(ISNUMBER(SEARCH("Rocha", _xlfn.XLOOKUP(B416,'Relacion '!$E:$E,'Relacion '!$I:$I,""))), "Sí", "No")</f>
        <v>No</v>
      </c>
      <c r="K416" s="236" t="str">
        <f>IF(ISNUMBER(SEARCH("Rocha", _xlfn.XLOOKUP(B416,'Relacion '!$E:$E,'Relacion '!$I:$I,""))), "RMC", _xlfn.XLOOKUP(B416,'Relacion '!$E:$E,'Relacion '!$B:$B,""))</f>
        <v>Operaciones Credito</v>
      </c>
      <c r="L416" s="236" t="str">
        <f>_xlfn.XLOOKUP(B416,'Relacion '!$E:$E,'Relacion '!$C:$C,"")</f>
        <v>Luis Alberto</v>
      </c>
    </row>
    <row r="417" spans="2:12" outlineLevel="1">
      <c r="B417" s="237" t="s">
        <v>654</v>
      </c>
      <c r="C417" s="237" t="s">
        <v>654</v>
      </c>
      <c r="D417" s="238" t="str">
        <f>_xlfn.XLOOKUP(B417,'Relacion '!$E:$E,'Relacion '!$D:$D,"")</f>
        <v/>
      </c>
      <c r="E417" s="239">
        <f t="shared" si="91"/>
        <v>379</v>
      </c>
      <c r="F417" s="240" cm="1">
        <f t="array" ref="F417">MIN(INDEX('Relacion '!$X$5:$Y$493,MATCH(INDEX($B:$B, (ROW()-1)),'Relacion '!$E$5:$E$493,0),0))</f>
        <v>45659</v>
      </c>
      <c r="G417" s="240" cm="1">
        <f t="array" ref="G417">MAX(INDEX('Relacion '!$X$5:$Y$493,MATCH(INDEX($B:$B, (ROW()-1)),'Relacion '!$E$5:$E$493,0),0))</f>
        <v>46038</v>
      </c>
      <c r="H417" s="241" cm="1">
        <f t="array" ref="H417">IF(
 MATCH(B417,{"01. ASIGNACION AREA";"02. MAPEO";"03. DESARROLLO";"04. VALIDA US";"05. VOBO US";"06. BW-EJECUCION";"07. VALIDACIÓN BAJAWARE";"08. CERRADA"},0)
 &lt;
 MATCH(_xlfn.XLOOKUP(INDEX($B:$B, (ROW()-1)),'Relacion '!$E:$E,'Relacion '!$D:$D,""),{"01. ASIGNACION AREA";"02. MAPEO";"03. DESARROLLO";"04. VALIDA US";"05. VOBO US";"06. BW-EJECUCION";"07. VALIDACIÓN BAJAWARE";"08. CERRADA"},0),
 1,
 IF(
  MATCH(B417,{"01. ASIGNACION AREA";"02. MAPEO";"03. DESARROLLO";"04. VALIDA US";"05. VOBO US";"06. BW-EJECUCION";"07. VALIDACIÓN BAJAWARE";"08. CERRADA"},0)
  =
  MATCH(_xlfn.XLOOKUP(INDEX($B:$B, (ROW()-1)),'Relacion '!$E:$E,'Relacion '!$D:$D,""),{"01. ASIGNACION AREA";"02. MAPEO";"03. DESARROLLO";"04. VALIDA US";"05. VOBO US";"06. BW-EJECUCION";"07. VALIDACIÓN BAJAWARE";"08. CERRADA"},0),
  _xlfn.XLOOKUP(INDEX($B:$B, (ROW()-1)),'Relacion '!$E:$E,'Relacion '!#REF!,0),
  0
 )
)</f>
        <v>1</v>
      </c>
      <c r="I417" s="241">
        <f t="shared" ref="I417" ca="1" si="99">IF(G417&lt;=TODAY(), 1, 0)</f>
        <v>1</v>
      </c>
      <c r="J417" s="241"/>
      <c r="K417" s="241"/>
      <c r="L417" s="238"/>
    </row>
    <row r="418" spans="2:12" outlineLevel="1">
      <c r="B418" s="237" t="s">
        <v>195</v>
      </c>
      <c r="C418" s="237" t="s">
        <v>195</v>
      </c>
      <c r="D418" s="238" t="str">
        <f>_xlfn.XLOOKUP(B418,'Relacion '!$E:$E,'Relacion '!$D:$D,"")</f>
        <v/>
      </c>
      <c r="E418" s="239">
        <f t="shared" si="91"/>
        <v>11</v>
      </c>
      <c r="F418" s="240" cm="1">
        <f t="array" ref="F418">MIN(INDEX('Relacion '!$Z$5:$AA$493,MATCH(INDEX($B:$B, (ROW()-2)),'Relacion '!$E$5:$E$493,0),0))</f>
        <v>46041</v>
      </c>
      <c r="G418" s="240" cm="1">
        <f t="array" ref="G418">MAX(INDEX('Relacion '!$Z$5:$AA$493,MATCH(INDEX($B:$B, (ROW()-2)),'Relacion '!$E$5:$E$493,0),0))</f>
        <v>46052</v>
      </c>
      <c r="H418" s="241" cm="1">
        <f t="array" ref="H418">IF(
 MATCH(B418,{"01. ASIGNACION AREA";"02. MAPEO";"03. DESARROLLO";"04. VALIDA US";"05. VOBO US";"06. BW-EJECUCION";"07. VALIDACIÓN BAJAWARE";"08. CERRADA"},0)
 &lt;
 MATCH(_xlfn.XLOOKUP(INDEX($B:$B, (ROW()-2)),'Relacion '!$E:$E,'Relacion '!$D:$D,""),{"01. ASIGNACION AREA";"02. MAPEO";"03. DESARROLLO";"04. VALIDA US";"05. VOBO US";"06. BW-EJECUCION";"07. VALIDACIÓN BAJAWARE";"08. CERRADA"},0),
 1,
 IF(
  MATCH(B418,{"01. ASIGNACION AREA";"02. MAPEO";"03. DESARROLLO";"04. VALIDA US";"05. VOBO US";"06. BW-EJECUCION";"07. VALIDACIÓN BAJAWARE";"08. CERRADA"},0)
  =
  MATCH(_xlfn.XLOOKUP(INDEX($B:$B, (ROW()-2)),'Relacion '!$E:$E,'Relacion '!$D:$D,""),{"01. ASIGNACION AREA";"02. MAPEO";"03. DESARROLLO";"04. VALIDA US";"05. VOBO US";"06. BW-EJECUCION";"07. VALIDACIÓN BAJAWARE";"08. CERRADA"},0),
  _xlfn.XLOOKUP(INDEX($B:$B, (ROW()-2)),'Relacion '!$E:$E,'Relacion '!#REF!,0),
  0
 )
)</f>
        <v>1</v>
      </c>
      <c r="I418" s="241">
        <f t="shared" ca="1" si="93"/>
        <v>1</v>
      </c>
      <c r="J418" s="241"/>
      <c r="K418" s="241"/>
      <c r="L418" s="238"/>
    </row>
    <row r="419" spans="2:12" outlineLevel="1">
      <c r="B419" s="237" t="s">
        <v>49</v>
      </c>
      <c r="C419" s="237" t="s">
        <v>49</v>
      </c>
      <c r="D419" s="238" t="str">
        <f>_xlfn.XLOOKUP(B419,'Relacion '!$E:$E,'Relacion '!$D:$D,"")</f>
        <v/>
      </c>
      <c r="E419" s="239">
        <f t="shared" si="91"/>
        <v>24</v>
      </c>
      <c r="F419" s="240" cm="1">
        <f t="array" ref="F419">MIN(INDEX('Relacion '!$AB$5:$AC$493,MATCH(INDEX($B:$B, (ROW()-3)),'Relacion '!$E$5:$E$493,0),0))</f>
        <v>46056</v>
      </c>
      <c r="G419" s="240" cm="1">
        <f t="array" ref="G419">MAX(INDEX('Relacion '!$AB$5:$AC$493,MATCH(INDEX($B:$B, (ROW()-3)),'Relacion '!$E$5:$E$493,0),0))</f>
        <v>46080</v>
      </c>
      <c r="H419" s="241" cm="1">
        <f t="array" ref="H419">IF(
 MATCH(B419,{"01. ASIGNACION AREA";"02. MAPEO";"03. DESARROLLO";"04. VALIDA US";"05. VOBO US";"06. BW-EJECUCION";"07. VALIDACIÓN BAJAWARE";"08. CERRADA"},0)
 &lt;
 MATCH(_xlfn.XLOOKUP(INDEX($B:$B, (ROW()-3)),'Relacion '!$E:$E,'Relacion '!$D:$D,""),{"01. ASIGNACION AREA";"02. MAPEO";"03. DESARROLLO";"04. VALIDA US";"05. VOBO US";"06. BW-EJECUCION";"07. VALIDACIÓN BAJAWARE";"08. CERRADA"},0),
 1,
 IF(
  MATCH(B419,{"01. ASIGNACION AREA";"02. MAPEO";"03. DESARROLLO";"04. VALIDA US";"05. VOBO US";"06. BW-EJECUCION";"07. VALIDACIÓN BAJAWARE";"08. CERRADA"},0)
  =
  MATCH(_xlfn.XLOOKUP(INDEX($B:$B, (ROW()-3)),'Relacion '!$E:$E,'Relacion '!$D:$D,""),{"01. ASIGNACION AREA";"02. MAPEO";"03. DESARROLLO";"04. VALIDA US";"05. VOBO US";"06. BW-EJECUCION";"07. VALIDACIÓN BAJAWARE";"08. CERRADA"},0),
  _xlfn.XLOOKUP(INDEX($B:$B, (ROW()-3)),'Relacion '!$E:$E,'Relacion '!#REF!,0),
  0
 )
)</f>
        <v>1</v>
      </c>
      <c r="I419" s="241">
        <f t="shared" ca="1" si="93"/>
        <v>1</v>
      </c>
      <c r="J419" s="241"/>
      <c r="K419" s="241"/>
      <c r="L419" s="238"/>
    </row>
    <row r="420" spans="2:12" outlineLevel="1">
      <c r="B420" s="237" t="s">
        <v>324</v>
      </c>
      <c r="C420" s="237" t="s">
        <v>324</v>
      </c>
      <c r="D420" s="238" t="str">
        <f>_xlfn.XLOOKUP(B420,'Relacion '!$E:$E,'Relacion '!$D:$D,"")</f>
        <v/>
      </c>
      <c r="E420" s="239">
        <f t="shared" si="91"/>
        <v>14</v>
      </c>
      <c r="F420" s="240" cm="1">
        <f t="array" ref="F420">MIN(INDEX('Relacion '!$AD$5:$AE$493,MATCH(INDEX($B:$B, (ROW()-4)),'Relacion '!$E$5:$E$493,0),0))</f>
        <v>46099</v>
      </c>
      <c r="G420" s="240" cm="1">
        <f t="array" ref="G420">MAX(INDEX('Relacion '!$AD$5:$AE$493,MATCH(INDEX($B:$B, (ROW()-4)),'Relacion '!$E$5:$E$493,0),0))</f>
        <v>46113</v>
      </c>
      <c r="H420" s="241" t="e" cm="1">
        <f t="array" ref="H420">IF(
 MATCH(B420,{"01. ASIGNACION AREA";"02. MAPEO";"03. DESARROLLO";"04. VALIDA US";"05. VOBO US";"06. BW-EJECUCION";"07. VALIDACIÓN BAJAWARE";"08. CERRADA"},0)
 &lt;
 MATCH(_xlfn.XLOOKUP(INDEX($B:$B, (ROW()-4)),'Relacion '!$E:$E,'Relacion '!$D:$D,""),{"01. ASIGNACION AREA";"02. MAPEO";"03. DESARROLLO";"04. VALIDA US";"05. VOBO US";"06. BW-EJECUCION";"07. VALIDACIÓN BAJAWARE";"08. CERRADA"},0),
 1,
 IF(
  MATCH(B420,{"01. ASIGNACION AREA";"02. MAPEO";"03. DESARROLLO";"04. VALIDA US";"05. VOBO US";"06. BW-EJECUCION";"07. VALIDACIÓN BAJAWARE";"08. CERRADA"},0)
  =
  MATCH(_xlfn.XLOOKUP(INDEX($B:$B, (ROW()-4)),'Relacion '!$E:$E,'Relacion '!$D:$D,""),{"01. ASIGNACION AREA";"02. MAPEO";"03. DESARROLLO";"04. VALIDA US";"05. VOBO US";"06. BW-EJECUCION";"07. VALIDACIÓN BAJAWARE";"08. CERRADA"},0),
  _xlfn.XLOOKUP(INDEX($B:$B, (ROW()-4)),'Relacion '!$E:$E,'Relacion '!#REF!,0),
  0
 )
)</f>
        <v>#REF!</v>
      </c>
      <c r="I420" s="241">
        <f t="shared" ca="1" si="93"/>
        <v>1</v>
      </c>
      <c r="J420" s="241"/>
      <c r="K420" s="241"/>
      <c r="L420" s="238"/>
    </row>
    <row r="421" spans="2:12" outlineLevel="1">
      <c r="B421" s="237" t="s">
        <v>320</v>
      </c>
      <c r="C421" s="237" t="s">
        <v>320</v>
      </c>
      <c r="D421" s="238" t="str">
        <f>_xlfn.XLOOKUP(B421,'Relacion '!$E:$E,'Relacion '!$D:$D,"")</f>
        <v/>
      </c>
      <c r="E421" s="239">
        <f t="shared" si="91"/>
        <v>5</v>
      </c>
      <c r="F421" s="240" cm="1">
        <f t="array" ref="F421">MIN(INDEX('Relacion '!$AF$5:$AG$493,MATCH(INDEX($B:$B, (ROW()-5)),'Relacion '!$E$5:$E$493,0),0))</f>
        <v>46113</v>
      </c>
      <c r="G421" s="240" cm="1">
        <f t="array" ref="G421">MAX(INDEX('Relacion '!$AF$5:$AG$493,MATCH(INDEX($B:$B, (ROW()-5)),'Relacion '!$E$5:$E$493,0),0))</f>
        <v>46118</v>
      </c>
      <c r="H421" s="241" cm="1">
        <f t="array" ref="H421">IF(
 MATCH(B421,{"01. ASIGNACION AREA";"02. MAPEO";"03. DESARROLLO";"04. VALIDA US";"05. VOBO US";"06. BW-EJECUCION";"07. VALIDACIÓN BAJAWARE";"08. CERRADA"},0)
 &lt;
 MATCH(_xlfn.XLOOKUP(INDEX($B:$B, (ROW()-5)),'Relacion '!$E:$E,'Relacion '!$D:$D,""),{"01. ASIGNACION AREA";"02. MAPEO";"03. DESARROLLO";"04. VALIDA US";"05. VOBO US";"06. BW-EJECUCION";"07. VALIDACIÓN BAJAWARE";"08. CERRADA"},0),
 1,
 IF(
  MATCH(B421,{"01. ASIGNACION AREA";"02. MAPEO";"03. DESARROLLO";"04. VALIDA US";"05. VOBO US";"06. BW-EJECUCION";"07. VALIDACIÓN BAJAWARE";"08. CERRADA"},0)
  =
  MATCH(_xlfn.XLOOKUP(INDEX($B:$B, (ROW()-5)),'Relacion '!$E:$E,'Relacion '!$D:$D,""),{"01. ASIGNACION AREA";"02. MAPEO";"03. DESARROLLO";"04. VALIDA US";"05. VOBO US";"06. BW-EJECUCION";"07. VALIDACIÓN BAJAWARE";"08. CERRADA"},0),
  _xlfn.XLOOKUP(INDEX($B:$B, (ROW()-5)),'Relacion '!$E:$E,'Relacion '!#REF!,0),
  0
 )
)</f>
        <v>0</v>
      </c>
      <c r="I421" s="241">
        <f t="shared" ca="1" si="93"/>
        <v>1</v>
      </c>
      <c r="J421" s="241"/>
      <c r="K421" s="241"/>
      <c r="L421" s="238"/>
    </row>
    <row r="422" spans="2:12" outlineLevel="1">
      <c r="B422" s="237" t="s">
        <v>710</v>
      </c>
      <c r="C422" s="237" t="s">
        <v>710</v>
      </c>
      <c r="D422" s="238" t="str">
        <f>_xlfn.XLOOKUP(B422,'Relacion '!$E:$E,'Relacion '!$D:$D,"")</f>
        <v/>
      </c>
      <c r="E422" s="239">
        <f t="shared" si="91"/>
        <v>2</v>
      </c>
      <c r="F422" s="240" cm="1">
        <f t="array" ref="F422">MIN(INDEX('Relacion '!$AH$5:$AI$493,MATCH(INDEX($B:$B, (ROW()-6)),'Relacion '!$E$5:$E$493,0),0))</f>
        <v>46119</v>
      </c>
      <c r="G422" s="240" cm="1">
        <f t="array" ref="G422">MAX(INDEX('Relacion '!$AH$5:$AI$493,MATCH(INDEX($B:$B, (ROW()-6)),'Relacion '!$E$5:$E$493,0),0))</f>
        <v>46121</v>
      </c>
      <c r="H422" s="241" cm="1">
        <f t="array" ref="H422">IF(
 MATCH(B422,{"01. ASIGNACION AREA";"02. MAPEO";"03. DESARROLLO";"04. VALIDA US";"05. VOBO US";"06. BW-EJECUCION";"07. VALIDACIÓN BAJAWARE";"08. CERRADA"},0)
 &lt;
 MATCH(_xlfn.XLOOKUP(INDEX($B:$B, (ROW()-6)),'Relacion '!$E:$E,'Relacion '!$D:$D,""),{"01. ASIGNACION AREA";"02. MAPEO";"03. DESARROLLO";"04. VALIDA US";"05. VOBO US";"06. BW-EJECUCION";"07. VALIDACIÓN BAJAWARE";"08. CERRADA"},0),
 1,
 IF(
  MATCH(B422,{"01. ASIGNACION AREA";"02. MAPEO";"03. DESARROLLO";"04. VALIDA US";"05. VOBO US";"06. BW-EJECUCION";"07. VALIDACIÓN BAJAWARE";"08. CERRADA"},0)
  =
  MATCH(_xlfn.XLOOKUP(INDEX($B:$B, (ROW()-6)),'Relacion '!$E:$E,'Relacion '!$D:$D,""),{"01. ASIGNACION AREA";"02. MAPEO";"03. DESARROLLO";"04. VALIDA US";"05. VOBO US";"06. BW-EJECUCION";"07. VALIDACIÓN BAJAWARE";"08. CERRADA"},0),
  _xlfn.XLOOKUP(INDEX($B:$B, (ROW()-6)),'Relacion '!$E:$E,'Relacion '!#REF!,0),
  0
 )
)</f>
        <v>0</v>
      </c>
      <c r="I422" s="241">
        <f t="shared" ca="1" si="93"/>
        <v>1</v>
      </c>
      <c r="J422" s="241"/>
      <c r="K422" s="241"/>
      <c r="L422" s="238"/>
    </row>
    <row r="423" spans="2:12" outlineLevel="1">
      <c r="B423" s="237" t="s">
        <v>655</v>
      </c>
      <c r="C423" s="237" t="s">
        <v>655</v>
      </c>
      <c r="D423" s="238" t="str">
        <f>_xlfn.XLOOKUP(B423,'Relacion '!$E:$E,'Relacion '!$D:$D,"")</f>
        <v/>
      </c>
      <c r="E423" s="239">
        <f t="shared" si="91"/>
        <v>14</v>
      </c>
      <c r="F423" s="240" cm="1">
        <f t="array" ref="F423">MIN(INDEX('Relacion '!$AJ$5:$AK$493,MATCH(INDEX($B:$B, (ROW()-7)),'Relacion '!$E$5:$E$493,0),0))</f>
        <v>46122</v>
      </c>
      <c r="G423" s="240" cm="1">
        <f t="array" ref="G423">MAX(INDEX('Relacion '!$AJ$5:$AK$493,MATCH(INDEX($B:$B, (ROW()-7)),'Relacion '!$E$5:$E$493,0),0))</f>
        <v>46136</v>
      </c>
      <c r="H423" s="241" cm="1">
        <f t="array" ref="H423">IF(
 MATCH(B423,{"01. ASIGNACION AREA";"02. MAPEO";"03. DESARROLLO";"04. VALIDA US";"05. VOBO US";"06. BW-EJECUCION";"07. VALIDACIÓN BAJAWARE";"08. CERRADA"},0)
 &lt;
 MATCH(_xlfn.XLOOKUP(INDEX($B:$B, (ROW()-7)),'Relacion '!$E:$E,'Relacion '!$D:$D,""),{"01. ASIGNACION AREA";"02. MAPEO";"03. DESARROLLO";"04. VALIDA US";"05. VOBO US";"06. BW-EJECUCION";"07. VALIDACIÓN BAJAWARE";"08. CERRADA"},0),
 1,
 IF(
  MATCH(B423,{"01. ASIGNACION AREA";"02. MAPEO";"03. DESARROLLO";"04. VALIDA US";"05. VOBO US";"06. BW-EJECUCION";"07. VALIDACIÓN BAJAWARE";"08. CERRADA"},0)
  =
  MATCH(_xlfn.XLOOKUP(INDEX($B:$B, (ROW()-7)),'Relacion '!$E:$E,'Relacion '!$D:$D,""),{"01. ASIGNACION AREA";"02. MAPEO";"03. DESARROLLO";"04. VALIDA US";"05. VOBO US";"06. BW-EJECUCION";"07. VALIDACIÓN BAJAWARE";"08. CERRADA"},0),
  _xlfn.XLOOKUP(INDEX($B:$B, (ROW()-7)),'Relacion '!$E:$E,'Relacion '!#REF!,0),
  0
 )
)</f>
        <v>0</v>
      </c>
      <c r="I423" s="241">
        <f t="shared" ca="1" si="93"/>
        <v>1</v>
      </c>
      <c r="J423" s="241"/>
      <c r="K423" s="241"/>
      <c r="L423" s="238"/>
    </row>
    <row r="424" spans="2:12" outlineLevel="1">
      <c r="B424" s="237" t="s">
        <v>656</v>
      </c>
      <c r="C424" s="237" t="s">
        <v>656</v>
      </c>
      <c r="D424" s="238" t="str">
        <f>_xlfn.XLOOKUP(B424,'Relacion '!$E:$E,'Relacion '!$D:$D,"")</f>
        <v/>
      </c>
      <c r="E424" s="239">
        <f t="shared" si="91"/>
        <v>0</v>
      </c>
      <c r="F424" s="240" cm="1">
        <f t="array" ref="F424">MIN(INDEX('Relacion '!$AL$5:$AM$493,MATCH(INDEX($B:$B, (ROW()-8)),'Relacion '!$E$5:$E$493,0),0))</f>
        <v>46137</v>
      </c>
      <c r="G424" s="240" cm="1">
        <f t="array" ref="G424">MAX(INDEX('Relacion '!$AL$5:$AM$493,MATCH(INDEX($B:$B, (ROW()-8)),'Relacion '!$E$5:$E$493,0),0))</f>
        <v>46137</v>
      </c>
      <c r="H424" s="241" cm="1">
        <f t="array" ref="H424">IF(
 MATCH(B424,{"01. ASIGNACION AREA";"02. MAPEO";"03. DESARROLLO";"04. VALIDA US";"05. VOBO US";"06. BW-EJECUCION";"07. VALIDACIÓN BAJAWARE";"08. CERRADA"},0)
 &lt;
 MATCH(_xlfn.XLOOKUP(INDEX($B:$B, (ROW()-8)),'Relacion '!$E:$E,'Relacion '!$D:$D,""),{"01. ASIGNACION AREA";"02. MAPEO";"03. DESARROLLO";"04. VALIDA US";"05. VOBO US";"06. BW-EJECUCION";"07. VALIDACIÓN BAJAWARE";"08. CERRADA"},0),
 1,
 IF(
  MATCH(B424,{"01. ASIGNACION AREA";"02. MAPEO";"03. DESARROLLO";"04. VALIDA US";"05. VOBO US";"06. BW-EJECUCION";"07. VALIDACIÓN BAJAWARE";"08. CERRADA"},0)
  =
  MATCH(_xlfn.XLOOKUP(INDEX($B:$B, (ROW()-8)),'Relacion '!$E:$E,'Relacion '!$D:$D,""),{"01. ASIGNACION AREA";"02. MAPEO";"03. DESARROLLO";"04. VALIDA US";"05. VOBO US";"06. BW-EJECUCION";"07. VALIDACIÓN BAJAWARE";"08. CERRADA"},0),
  _xlfn.XLOOKUP(INDEX($B:$B, (ROW()-8)),'Relacion '!$E:$E,'Relacion '!#REF!,0),
  0
 )
)</f>
        <v>0</v>
      </c>
      <c r="I424" s="241">
        <f t="shared" ca="1" si="93"/>
        <v>1</v>
      </c>
      <c r="J424" s="241"/>
      <c r="K424" s="241"/>
      <c r="L424" s="238"/>
    </row>
    <row r="425" spans="2:12">
      <c r="B425" s="232" t="s">
        <v>465</v>
      </c>
      <c r="C425" s="168" t="s">
        <v>466</v>
      </c>
      <c r="D425" s="236" t="str">
        <f>_xlfn.XLOOKUP(B425,'Relacion '!$E:$E,'Relacion '!$D:$D,"")</f>
        <v>04. VALIDA US</v>
      </c>
      <c r="E425" s="233">
        <f t="shared" si="91"/>
        <v>482</v>
      </c>
      <c r="F425" s="234" cm="1">
        <f t="array" ref="F425">MIN(INDEX('Relacion '!$X$5:$AM$493,MATCH(INDEX($B:$B, (ROW()-0)),'Relacion '!$E$5:$E$493,0),0))</f>
        <v>45659</v>
      </c>
      <c r="G425" s="234" cm="1">
        <f t="array" ref="G425">MAX(INDEX('Relacion '!$X$5:$AM$493,MATCH(INDEX($B:$B, (ROW()-0)),'Relacion '!$E$5:$E$493,0),0))</f>
        <v>46141</v>
      </c>
      <c r="H425" s="235" t="e">
        <f>AVERAGE(H426:H433)</f>
        <v>#REF!</v>
      </c>
      <c r="I425" s="235">
        <f t="shared" ref="I425" ca="1" si="100">AVERAGE(I426:I433)</f>
        <v>1</v>
      </c>
      <c r="J425" s="236" t="str">
        <f>IF(ISNUMBER(SEARCH("Rocha", _xlfn.XLOOKUP(B425,'Relacion '!$E:$E,'Relacion '!$I:$I,""))), "Sí", "No")</f>
        <v>No</v>
      </c>
      <c r="K425" s="236" t="str">
        <f>IF(ISNUMBER(SEARCH("Rocha", _xlfn.XLOOKUP(B425,'Relacion '!$E:$E,'Relacion '!$I:$I,""))), "RMC", _xlfn.XLOOKUP(B425,'Relacion '!$E:$E,'Relacion '!$B:$B,""))</f>
        <v>Operaciones Captacion</v>
      </c>
      <c r="L425" s="236" t="str">
        <f>_xlfn.XLOOKUP(B425,'Relacion '!$E:$E,'Relacion '!$C:$C,"")</f>
        <v>Arturo Angeles</v>
      </c>
    </row>
    <row r="426" spans="2:12" outlineLevel="1">
      <c r="B426" s="237" t="s">
        <v>654</v>
      </c>
      <c r="C426" s="237" t="s">
        <v>654</v>
      </c>
      <c r="D426" s="238" t="str">
        <f>_xlfn.XLOOKUP(B426,'Relacion '!$E:$E,'Relacion '!$D:$D,"")</f>
        <v/>
      </c>
      <c r="E426" s="239">
        <f t="shared" si="91"/>
        <v>424</v>
      </c>
      <c r="F426" s="240" cm="1">
        <f t="array" ref="F426">MIN(INDEX('Relacion '!$X$5:$Y$493,MATCH(INDEX($B:$B, (ROW()-1)),'Relacion '!$E$5:$E$493,0),0))</f>
        <v>45659</v>
      </c>
      <c r="G426" s="240" cm="1">
        <f t="array" ref="G426">MAX(INDEX('Relacion '!$X$5:$Y$493,MATCH(INDEX($B:$B, (ROW()-1)),'Relacion '!$E$5:$E$493,0),0))</f>
        <v>46083</v>
      </c>
      <c r="H426" s="241" cm="1">
        <f t="array" ref="H426">IF(
 MATCH(B426,{"01. ASIGNACION AREA";"02. MAPEO";"03. DESARROLLO";"04. VALIDA US";"05. VOBO US";"06. BW-EJECUCION";"07. VALIDACIÓN BAJAWARE";"08. CERRADA"},0)
 &lt;
 MATCH(_xlfn.XLOOKUP(INDEX($B:$B, (ROW()-1)),'Relacion '!$E:$E,'Relacion '!$D:$D,""),{"01. ASIGNACION AREA";"02. MAPEO";"03. DESARROLLO";"04. VALIDA US";"05. VOBO US";"06. BW-EJECUCION";"07. VALIDACIÓN BAJAWARE";"08. CERRADA"},0),
 1,
 IF(
  MATCH(B426,{"01. ASIGNACION AREA";"02. MAPEO";"03. DESARROLLO";"04. VALIDA US";"05. VOBO US";"06. BW-EJECUCION";"07. VALIDACIÓN BAJAWARE";"08. CERRADA"},0)
  =
  MATCH(_xlfn.XLOOKUP(INDEX($B:$B, (ROW()-1)),'Relacion '!$E:$E,'Relacion '!$D:$D,""),{"01. ASIGNACION AREA";"02. MAPEO";"03. DESARROLLO";"04. VALIDA US";"05. VOBO US";"06. BW-EJECUCION";"07. VALIDACIÓN BAJAWARE";"08. CERRADA"},0),
  _xlfn.XLOOKUP(INDEX($B:$B, (ROW()-1)),'Relacion '!$E:$E,'Relacion '!#REF!,0),
  0
 )
)</f>
        <v>1</v>
      </c>
      <c r="I426" s="241">
        <f t="shared" ref="I426" ca="1" si="101">IF(G426&lt;=TODAY(), 1, 0)</f>
        <v>1</v>
      </c>
      <c r="J426" s="241"/>
      <c r="K426" s="241"/>
      <c r="L426" s="238"/>
    </row>
    <row r="427" spans="2:12" outlineLevel="1">
      <c r="B427" s="237" t="s">
        <v>195</v>
      </c>
      <c r="C427" s="237" t="s">
        <v>195</v>
      </c>
      <c r="D427" s="238" t="str">
        <f>_xlfn.XLOOKUP(B427,'Relacion '!$E:$E,'Relacion '!$D:$D,"")</f>
        <v/>
      </c>
      <c r="E427" s="239">
        <f t="shared" si="91"/>
        <v>0</v>
      </c>
      <c r="F427" s="240" cm="1">
        <f t="array" ref="F427">MIN(INDEX('Relacion '!$Z$5:$AA$493,MATCH(INDEX($B:$B, (ROW()-2)),'Relacion '!$E$5:$E$493,0),0))</f>
        <v>46084</v>
      </c>
      <c r="G427" s="240" cm="1">
        <f t="array" ref="G427">MAX(INDEX('Relacion '!$Z$5:$AA$493,MATCH(INDEX($B:$B, (ROW()-2)),'Relacion '!$E$5:$E$493,0),0))</f>
        <v>46084</v>
      </c>
      <c r="H427" s="241" cm="1">
        <f t="array" ref="H427">IF(
 MATCH(B427,{"01. ASIGNACION AREA";"02. MAPEO";"03. DESARROLLO";"04. VALIDA US";"05. VOBO US";"06. BW-EJECUCION";"07. VALIDACIÓN BAJAWARE";"08. CERRADA"},0)
 &lt;
 MATCH(_xlfn.XLOOKUP(INDEX($B:$B, (ROW()-2)),'Relacion '!$E:$E,'Relacion '!$D:$D,""),{"01. ASIGNACION AREA";"02. MAPEO";"03. DESARROLLO";"04. VALIDA US";"05. VOBO US";"06. BW-EJECUCION";"07. VALIDACIÓN BAJAWARE";"08. CERRADA"},0),
 1,
 IF(
  MATCH(B427,{"01. ASIGNACION AREA";"02. MAPEO";"03. DESARROLLO";"04. VALIDA US";"05. VOBO US";"06. BW-EJECUCION";"07. VALIDACIÓN BAJAWARE";"08. CERRADA"},0)
  =
  MATCH(_xlfn.XLOOKUP(INDEX($B:$B, (ROW()-2)),'Relacion '!$E:$E,'Relacion '!$D:$D,""),{"01. ASIGNACION AREA";"02. MAPEO";"03. DESARROLLO";"04. VALIDA US";"05. VOBO US";"06. BW-EJECUCION";"07. VALIDACIÓN BAJAWARE";"08. CERRADA"},0),
  _xlfn.XLOOKUP(INDEX($B:$B, (ROW()-2)),'Relacion '!$E:$E,'Relacion '!#REF!,0),
  0
 )
)</f>
        <v>1</v>
      </c>
      <c r="I427" s="241">
        <f t="shared" ca="1" si="93"/>
        <v>1</v>
      </c>
      <c r="J427" s="241"/>
      <c r="K427" s="241"/>
      <c r="L427" s="238"/>
    </row>
    <row r="428" spans="2:12" outlineLevel="1">
      <c r="B428" s="237" t="s">
        <v>49</v>
      </c>
      <c r="C428" s="237" t="s">
        <v>49</v>
      </c>
      <c r="D428" s="238" t="str">
        <f>_xlfn.XLOOKUP(B428,'Relacion '!$E:$E,'Relacion '!$D:$D,"")</f>
        <v/>
      </c>
      <c r="E428" s="239">
        <f t="shared" si="91"/>
        <v>13</v>
      </c>
      <c r="F428" s="240" cm="1">
        <f t="array" ref="F428">MIN(INDEX('Relacion '!$AB$5:$AC$493,MATCH(INDEX($B:$B, (ROW()-3)),'Relacion '!$E$5:$E$493,0),0))</f>
        <v>46085</v>
      </c>
      <c r="G428" s="240" cm="1">
        <f t="array" ref="G428">MAX(INDEX('Relacion '!$AB$5:$AC$493,MATCH(INDEX($B:$B, (ROW()-3)),'Relacion '!$E$5:$E$493,0),0))</f>
        <v>46098</v>
      </c>
      <c r="H428" s="241" cm="1">
        <f t="array" ref="H428">IF(
 MATCH(B428,{"01. ASIGNACION AREA";"02. MAPEO";"03. DESARROLLO";"04. VALIDA US";"05. VOBO US";"06. BW-EJECUCION";"07. VALIDACIÓN BAJAWARE";"08. CERRADA"},0)
 &lt;
 MATCH(_xlfn.XLOOKUP(INDEX($B:$B, (ROW()-3)),'Relacion '!$E:$E,'Relacion '!$D:$D,""),{"01. ASIGNACION AREA";"02. MAPEO";"03. DESARROLLO";"04. VALIDA US";"05. VOBO US";"06. BW-EJECUCION";"07. VALIDACIÓN BAJAWARE";"08. CERRADA"},0),
 1,
 IF(
  MATCH(B428,{"01. ASIGNACION AREA";"02. MAPEO";"03. DESARROLLO";"04. VALIDA US";"05. VOBO US";"06. BW-EJECUCION";"07. VALIDACIÓN BAJAWARE";"08. CERRADA"},0)
  =
  MATCH(_xlfn.XLOOKUP(INDEX($B:$B, (ROW()-3)),'Relacion '!$E:$E,'Relacion '!$D:$D,""),{"01. ASIGNACION AREA";"02. MAPEO";"03. DESARROLLO";"04. VALIDA US";"05. VOBO US";"06. BW-EJECUCION";"07. VALIDACIÓN BAJAWARE";"08. CERRADA"},0),
  _xlfn.XLOOKUP(INDEX($B:$B, (ROW()-3)),'Relacion '!$E:$E,'Relacion '!#REF!,0),
  0
 )
)</f>
        <v>1</v>
      </c>
      <c r="I428" s="241">
        <f t="shared" ca="1" si="93"/>
        <v>1</v>
      </c>
      <c r="J428" s="241"/>
      <c r="K428" s="241"/>
      <c r="L428" s="238"/>
    </row>
    <row r="429" spans="2:12" outlineLevel="1">
      <c r="B429" s="237" t="s">
        <v>324</v>
      </c>
      <c r="C429" s="237" t="s">
        <v>324</v>
      </c>
      <c r="D429" s="238" t="str">
        <f>_xlfn.XLOOKUP(B429,'Relacion '!$E:$E,'Relacion '!$D:$D,"")</f>
        <v/>
      </c>
      <c r="E429" s="239">
        <f t="shared" si="91"/>
        <v>20</v>
      </c>
      <c r="F429" s="240" cm="1">
        <f t="array" ref="F429">MIN(INDEX('Relacion '!$AD$5:$AE$493,MATCH(INDEX($B:$B, (ROW()-4)),'Relacion '!$E$5:$E$493,0),0))</f>
        <v>46099</v>
      </c>
      <c r="G429" s="240" cm="1">
        <f t="array" ref="G429">MAX(INDEX('Relacion '!$AD$5:$AE$493,MATCH(INDEX($B:$B, (ROW()-4)),'Relacion '!$E$5:$E$493,0),0))</f>
        <v>46119</v>
      </c>
      <c r="H429" s="241" t="e" cm="1">
        <f t="array" ref="H429">IF(
 MATCH(B429,{"01. ASIGNACION AREA";"02. MAPEO";"03. DESARROLLO";"04. VALIDA US";"05. VOBO US";"06. BW-EJECUCION";"07. VALIDACIÓN BAJAWARE";"08. CERRADA"},0)
 &lt;
 MATCH(_xlfn.XLOOKUP(INDEX($B:$B, (ROW()-4)),'Relacion '!$E:$E,'Relacion '!$D:$D,""),{"01. ASIGNACION AREA";"02. MAPEO";"03. DESARROLLO";"04. VALIDA US";"05. VOBO US";"06. BW-EJECUCION";"07. VALIDACIÓN BAJAWARE";"08. CERRADA"},0),
 1,
 IF(
  MATCH(B429,{"01. ASIGNACION AREA";"02. MAPEO";"03. DESARROLLO";"04. VALIDA US";"05. VOBO US";"06. BW-EJECUCION";"07. VALIDACIÓN BAJAWARE";"08. CERRADA"},0)
  =
  MATCH(_xlfn.XLOOKUP(INDEX($B:$B, (ROW()-4)),'Relacion '!$E:$E,'Relacion '!$D:$D,""),{"01. ASIGNACION AREA";"02. MAPEO";"03. DESARROLLO";"04. VALIDA US";"05. VOBO US";"06. BW-EJECUCION";"07. VALIDACIÓN BAJAWARE";"08. CERRADA"},0),
  _xlfn.XLOOKUP(INDEX($B:$B, (ROW()-4)),'Relacion '!$E:$E,'Relacion '!#REF!,0),
  0
 )
)</f>
        <v>#REF!</v>
      </c>
      <c r="I429" s="241">
        <f t="shared" ca="1" si="93"/>
        <v>1</v>
      </c>
      <c r="J429" s="241"/>
      <c r="K429" s="241"/>
      <c r="L429" s="238"/>
    </row>
    <row r="430" spans="2:12" outlineLevel="1">
      <c r="B430" s="237" t="s">
        <v>320</v>
      </c>
      <c r="C430" s="237" t="s">
        <v>320</v>
      </c>
      <c r="D430" s="238" t="str">
        <f>_xlfn.XLOOKUP(B430,'Relacion '!$E:$E,'Relacion '!$D:$D,"")</f>
        <v/>
      </c>
      <c r="E430" s="239">
        <f t="shared" si="91"/>
        <v>1</v>
      </c>
      <c r="F430" s="240" cm="1">
        <f t="array" ref="F430">MIN(INDEX('Relacion '!$AF$5:$AG$493,MATCH(INDEX($B:$B, (ROW()-5)),'Relacion '!$E$5:$E$493,0),0))</f>
        <v>46119</v>
      </c>
      <c r="G430" s="240" cm="1">
        <f t="array" ref="G430">MAX(INDEX('Relacion '!$AF$5:$AG$493,MATCH(INDEX($B:$B, (ROW()-5)),'Relacion '!$E$5:$E$493,0),0))</f>
        <v>46120</v>
      </c>
      <c r="H430" s="241" cm="1">
        <f t="array" ref="H430">IF(
 MATCH(B430,{"01. ASIGNACION AREA";"02. MAPEO";"03. DESARROLLO";"04. VALIDA US";"05. VOBO US";"06. BW-EJECUCION";"07. VALIDACIÓN BAJAWARE";"08. CERRADA"},0)
 &lt;
 MATCH(_xlfn.XLOOKUP(INDEX($B:$B, (ROW()-5)),'Relacion '!$E:$E,'Relacion '!$D:$D,""),{"01. ASIGNACION AREA";"02. MAPEO";"03. DESARROLLO";"04. VALIDA US";"05. VOBO US";"06. BW-EJECUCION";"07. VALIDACIÓN BAJAWARE";"08. CERRADA"},0),
 1,
 IF(
  MATCH(B430,{"01. ASIGNACION AREA";"02. MAPEO";"03. DESARROLLO";"04. VALIDA US";"05. VOBO US";"06. BW-EJECUCION";"07. VALIDACIÓN BAJAWARE";"08. CERRADA"},0)
  =
  MATCH(_xlfn.XLOOKUP(INDEX($B:$B, (ROW()-5)),'Relacion '!$E:$E,'Relacion '!$D:$D,""),{"01. ASIGNACION AREA";"02. MAPEO";"03. DESARROLLO";"04. VALIDA US";"05. VOBO US";"06. BW-EJECUCION";"07. VALIDACIÓN BAJAWARE";"08. CERRADA"},0),
  _xlfn.XLOOKUP(INDEX($B:$B, (ROW()-5)),'Relacion '!$E:$E,'Relacion '!#REF!,0),
  0
 )
)</f>
        <v>0</v>
      </c>
      <c r="I430" s="241">
        <f t="shared" ca="1" si="93"/>
        <v>1</v>
      </c>
      <c r="J430" s="241"/>
      <c r="K430" s="241"/>
      <c r="L430" s="238"/>
    </row>
    <row r="431" spans="2:12" outlineLevel="1">
      <c r="B431" s="237" t="s">
        <v>710</v>
      </c>
      <c r="C431" s="237" t="s">
        <v>710</v>
      </c>
      <c r="D431" s="238" t="str">
        <f>_xlfn.XLOOKUP(B431,'Relacion '!$E:$E,'Relacion '!$D:$D,"")</f>
        <v/>
      </c>
      <c r="E431" s="239">
        <f t="shared" si="91"/>
        <v>4</v>
      </c>
      <c r="F431" s="240" cm="1">
        <f t="array" ref="F431">MIN(INDEX('Relacion '!$AH$5:$AI$493,MATCH(INDEX($B:$B, (ROW()-6)),'Relacion '!$E$5:$E$493,0),0))</f>
        <v>46121</v>
      </c>
      <c r="G431" s="240" cm="1">
        <f t="array" ref="G431">MAX(INDEX('Relacion '!$AH$5:$AI$493,MATCH(INDEX($B:$B, (ROW()-6)),'Relacion '!$E$5:$E$493,0),0))</f>
        <v>46125</v>
      </c>
      <c r="H431" s="241" cm="1">
        <f t="array" ref="H431">IF(
 MATCH(B431,{"01. ASIGNACION AREA";"02. MAPEO";"03. DESARROLLO";"04. VALIDA US";"05. VOBO US";"06. BW-EJECUCION";"07. VALIDACIÓN BAJAWARE";"08. CERRADA"},0)
 &lt;
 MATCH(_xlfn.XLOOKUP(INDEX($B:$B, (ROW()-6)),'Relacion '!$E:$E,'Relacion '!$D:$D,""),{"01. ASIGNACION AREA";"02. MAPEO";"03. DESARROLLO";"04. VALIDA US";"05. VOBO US";"06. BW-EJECUCION";"07. VALIDACIÓN BAJAWARE";"08. CERRADA"},0),
 1,
 IF(
  MATCH(B431,{"01. ASIGNACION AREA";"02. MAPEO";"03. DESARROLLO";"04. VALIDA US";"05. VOBO US";"06. BW-EJECUCION";"07. VALIDACIÓN BAJAWARE";"08. CERRADA"},0)
  =
  MATCH(_xlfn.XLOOKUP(INDEX($B:$B, (ROW()-6)),'Relacion '!$E:$E,'Relacion '!$D:$D,""),{"01. ASIGNACION AREA";"02. MAPEO";"03. DESARROLLO";"04. VALIDA US";"05. VOBO US";"06. BW-EJECUCION";"07. VALIDACIÓN BAJAWARE";"08. CERRADA"},0),
  _xlfn.XLOOKUP(INDEX($B:$B, (ROW()-6)),'Relacion '!$E:$E,'Relacion '!#REF!,0),
  0
 )
)</f>
        <v>0</v>
      </c>
      <c r="I431" s="241">
        <f t="shared" ca="1" si="93"/>
        <v>1</v>
      </c>
      <c r="J431" s="241"/>
      <c r="K431" s="241"/>
      <c r="L431" s="238"/>
    </row>
    <row r="432" spans="2:12" outlineLevel="1">
      <c r="B432" s="237" t="s">
        <v>655</v>
      </c>
      <c r="C432" s="237" t="s">
        <v>655</v>
      </c>
      <c r="D432" s="238" t="str">
        <f>_xlfn.XLOOKUP(B432,'Relacion '!$E:$E,'Relacion '!$D:$D,"")</f>
        <v/>
      </c>
      <c r="E432" s="239">
        <f t="shared" si="91"/>
        <v>14</v>
      </c>
      <c r="F432" s="240" cm="1">
        <f t="array" ref="F432">MIN(INDEX('Relacion '!$AJ$5:$AK$493,MATCH(INDEX($B:$B, (ROW()-7)),'Relacion '!$E$5:$E$493,0),0))</f>
        <v>46126</v>
      </c>
      <c r="G432" s="240" cm="1">
        <f t="array" ref="G432">MAX(INDEX('Relacion '!$AJ$5:$AK$493,MATCH(INDEX($B:$B, (ROW()-7)),'Relacion '!$E$5:$E$493,0),0))</f>
        <v>46140</v>
      </c>
      <c r="H432" s="241" cm="1">
        <f t="array" ref="H432">IF(
 MATCH(B432,{"01. ASIGNACION AREA";"02. MAPEO";"03. DESARROLLO";"04. VALIDA US";"05. VOBO US";"06. BW-EJECUCION";"07. VALIDACIÓN BAJAWARE";"08. CERRADA"},0)
 &lt;
 MATCH(_xlfn.XLOOKUP(INDEX($B:$B, (ROW()-7)),'Relacion '!$E:$E,'Relacion '!$D:$D,""),{"01. ASIGNACION AREA";"02. MAPEO";"03. DESARROLLO";"04. VALIDA US";"05. VOBO US";"06. BW-EJECUCION";"07. VALIDACIÓN BAJAWARE";"08. CERRADA"},0),
 1,
 IF(
  MATCH(B432,{"01. ASIGNACION AREA";"02. MAPEO";"03. DESARROLLO";"04. VALIDA US";"05. VOBO US";"06. BW-EJECUCION";"07. VALIDACIÓN BAJAWARE";"08. CERRADA"},0)
  =
  MATCH(_xlfn.XLOOKUP(INDEX($B:$B, (ROW()-7)),'Relacion '!$E:$E,'Relacion '!$D:$D,""),{"01. ASIGNACION AREA";"02. MAPEO";"03. DESARROLLO";"04. VALIDA US";"05. VOBO US";"06. BW-EJECUCION";"07. VALIDACIÓN BAJAWARE";"08. CERRADA"},0),
  _xlfn.XLOOKUP(INDEX($B:$B, (ROW()-7)),'Relacion '!$E:$E,'Relacion '!#REF!,0),
  0
 )
)</f>
        <v>0</v>
      </c>
      <c r="I432" s="241">
        <f t="shared" ca="1" si="93"/>
        <v>1</v>
      </c>
      <c r="J432" s="241"/>
      <c r="K432" s="241"/>
      <c r="L432" s="238"/>
    </row>
    <row r="433" spans="2:13" outlineLevel="1">
      <c r="B433" s="237" t="s">
        <v>656</v>
      </c>
      <c r="C433" s="237" t="s">
        <v>656</v>
      </c>
      <c r="D433" s="238" t="str">
        <f>_xlfn.XLOOKUP(B433,'Relacion '!$E:$E,'Relacion '!$D:$D,"")</f>
        <v/>
      </c>
      <c r="E433" s="239">
        <f t="shared" si="91"/>
        <v>0</v>
      </c>
      <c r="F433" s="240" cm="1">
        <f t="array" ref="F433">MIN(INDEX('Relacion '!$AL$5:$AM$493,MATCH(INDEX($B:$B, (ROW()-8)),'Relacion '!$E$5:$E$493,0),0))</f>
        <v>46141</v>
      </c>
      <c r="G433" s="240" cm="1">
        <f t="array" ref="G433">MAX(INDEX('Relacion '!$AL$5:$AM$493,MATCH(INDEX($B:$B, (ROW()-8)),'Relacion '!$E$5:$E$493,0),0))</f>
        <v>46141</v>
      </c>
      <c r="H433" s="241" cm="1">
        <f t="array" ref="H433">IF(
 MATCH(B433,{"01. ASIGNACION AREA";"02. MAPEO";"03. DESARROLLO";"04. VALIDA US";"05. VOBO US";"06. BW-EJECUCION";"07. VALIDACIÓN BAJAWARE";"08. CERRADA"},0)
 &lt;
 MATCH(_xlfn.XLOOKUP(INDEX($B:$B, (ROW()-8)),'Relacion '!$E:$E,'Relacion '!$D:$D,""),{"01. ASIGNACION AREA";"02. MAPEO";"03. DESARROLLO";"04. VALIDA US";"05. VOBO US";"06. BW-EJECUCION";"07. VALIDACIÓN BAJAWARE";"08. CERRADA"},0),
 1,
 IF(
  MATCH(B433,{"01. ASIGNACION AREA";"02. MAPEO";"03. DESARROLLO";"04. VALIDA US";"05. VOBO US";"06. BW-EJECUCION";"07. VALIDACIÓN BAJAWARE";"08. CERRADA"},0)
  =
  MATCH(_xlfn.XLOOKUP(INDEX($B:$B, (ROW()-8)),'Relacion '!$E:$E,'Relacion '!$D:$D,""),{"01. ASIGNACION AREA";"02. MAPEO";"03. DESARROLLO";"04. VALIDA US";"05. VOBO US";"06. BW-EJECUCION";"07. VALIDACIÓN BAJAWARE";"08. CERRADA"},0),
  _xlfn.XLOOKUP(INDEX($B:$B, (ROW()-8)),'Relacion '!$E:$E,'Relacion '!#REF!,0),
  0
 )
)</f>
        <v>0</v>
      </c>
      <c r="I433" s="241">
        <f t="shared" ca="1" si="93"/>
        <v>1</v>
      </c>
      <c r="J433" s="241"/>
      <c r="K433" s="241"/>
      <c r="L433" s="238"/>
    </row>
    <row r="434" spans="2:13">
      <c r="B434" s="232" t="s">
        <v>311</v>
      </c>
      <c r="C434" s="137" t="s">
        <v>312</v>
      </c>
      <c r="D434" s="236" t="str">
        <f>_xlfn.XLOOKUP(B434,'Relacion '!$E:$E,'Relacion '!$D:$D,"")</f>
        <v>03. DESARROLLO</v>
      </c>
      <c r="E434" s="233">
        <f t="shared" si="91"/>
        <v>134</v>
      </c>
      <c r="F434" s="234" cm="1">
        <f t="array" ref="F434">MIN(INDEX('Relacion '!$X$5:$AM$493,MATCH(INDEX($B:$B, (ROW()-0)),'Relacion '!$E$5:$E$493,0),0))</f>
        <v>46024</v>
      </c>
      <c r="G434" s="234" cm="1">
        <f t="array" ref="G434">MAX(INDEX('Relacion '!$X$5:$AM$493,MATCH(INDEX($B:$B, (ROW()-0)),'Relacion '!$E$5:$E$493,0),0))</f>
        <v>46158</v>
      </c>
      <c r="H434" s="235" t="e">
        <f>AVERAGE(H435:H442)</f>
        <v>#REF!</v>
      </c>
      <c r="I434" s="235">
        <f t="shared" ref="I434" ca="1" si="102">AVERAGE(I435:I442)</f>
        <v>1</v>
      </c>
      <c r="J434" s="236" t="str">
        <f>IF(ISNUMBER(SEARCH("Rocha", _xlfn.XLOOKUP(B434,'Relacion '!$E:$E,'Relacion '!$I:$I,""))), "Sí", "No")</f>
        <v>No</v>
      </c>
      <c r="K434" s="236" t="str">
        <f>IF(ISNUMBER(SEARCH("Rocha", _xlfn.XLOOKUP(B434,'Relacion '!$E:$E,'Relacion '!$I:$I,""))), "RMC", _xlfn.XLOOKUP(B434,'Relacion '!$E:$E,'Relacion '!$B:$B,""))</f>
        <v>Captacion</v>
      </c>
      <c r="L434" s="236" t="str">
        <f>_xlfn.XLOOKUP(B434,'Relacion '!$E:$E,'Relacion '!$C:$C,"")</f>
        <v>Arturo Angeles</v>
      </c>
      <c r="M434" s="19"/>
    </row>
    <row r="435" spans="2:13" outlineLevel="1">
      <c r="B435" s="237" t="s">
        <v>654</v>
      </c>
      <c r="C435" s="237" t="s">
        <v>654</v>
      </c>
      <c r="D435" s="238" t="str">
        <f>_xlfn.XLOOKUP(B435,'Relacion '!$E:$E,'Relacion '!$D:$D,"")</f>
        <v/>
      </c>
      <c r="E435" s="239">
        <f t="shared" si="91"/>
        <v>28</v>
      </c>
      <c r="F435" s="240" cm="1">
        <f t="array" ref="F435">MIN(INDEX('Relacion '!$X$5:$Y$493,MATCH(INDEX($B:$B, (ROW()-1)),'Relacion '!$E$5:$E$493,0),0))</f>
        <v>46024</v>
      </c>
      <c r="G435" s="240" cm="1">
        <f t="array" ref="G435">MAX(INDEX('Relacion '!$X$5:$Y$493,MATCH(INDEX($B:$B, (ROW()-1)),'Relacion '!$E$5:$E$493,0),0))</f>
        <v>46052</v>
      </c>
      <c r="H435" s="241" cm="1">
        <f t="array" ref="H435">IF(
 MATCH(B435,{"01. ASIGNACION AREA";"02. MAPEO";"03. DESARROLLO";"04. VALIDA US";"05. VOBO US";"06. BW-EJECUCION";"07. VALIDACIÓN BAJAWARE";"08. CERRADA"},0)
 &lt;
 MATCH(_xlfn.XLOOKUP(INDEX($B:$B, (ROW()-1)),'Relacion '!$E:$E,'Relacion '!$D:$D,""),{"01. ASIGNACION AREA";"02. MAPEO";"03. DESARROLLO";"04. VALIDA US";"05. VOBO US";"06. BW-EJECUCION";"07. VALIDACIÓN BAJAWARE";"08. CERRADA"},0),
 1,
 IF(
  MATCH(B435,{"01. ASIGNACION AREA";"02. MAPEO";"03. DESARROLLO";"04. VALIDA US";"05. VOBO US";"06. BW-EJECUCION";"07. VALIDACIÓN BAJAWARE";"08. CERRADA"},0)
  =
  MATCH(_xlfn.XLOOKUP(INDEX($B:$B, (ROW()-1)),'Relacion '!$E:$E,'Relacion '!$D:$D,""),{"01. ASIGNACION AREA";"02. MAPEO";"03. DESARROLLO";"04. VALIDA US";"05. VOBO US";"06. BW-EJECUCION";"07. VALIDACIÓN BAJAWARE";"08. CERRADA"},0),
  _xlfn.XLOOKUP(INDEX($B:$B, (ROW()-1)),'Relacion '!$E:$E,'Relacion '!#REF!,0),
  0
 )
)</f>
        <v>1</v>
      </c>
      <c r="I435" s="241">
        <f t="shared" ref="I435" ca="1" si="103">IF(G435&lt;=TODAY(), 1, 0)</f>
        <v>1</v>
      </c>
      <c r="J435" s="241"/>
      <c r="K435" s="241"/>
      <c r="L435" s="238"/>
      <c r="M435" s="19"/>
    </row>
    <row r="436" spans="2:13" outlineLevel="1">
      <c r="B436" s="237" t="s">
        <v>195</v>
      </c>
      <c r="C436" s="237" t="s">
        <v>195</v>
      </c>
      <c r="D436" s="238" t="str">
        <f>_xlfn.XLOOKUP(B436,'Relacion '!$E:$E,'Relacion '!$D:$D,"")</f>
        <v/>
      </c>
      <c r="E436" s="239">
        <f t="shared" si="91"/>
        <v>24</v>
      </c>
      <c r="F436" s="240" cm="1">
        <f t="array" ref="F436">MIN(INDEX('Relacion '!$Z$5:$AA$493,MATCH(INDEX($B:$B, (ROW()-2)),'Relacion '!$E$5:$E$493,0),0))</f>
        <v>46056</v>
      </c>
      <c r="G436" s="240" cm="1">
        <f t="array" ref="G436">MAX(INDEX('Relacion '!$Z$5:$AA$493,MATCH(INDEX($B:$B, (ROW()-2)),'Relacion '!$E$5:$E$493,0),0))</f>
        <v>46080</v>
      </c>
      <c r="H436" s="241" cm="1">
        <f t="array" ref="H436">IF(
 MATCH(B436,{"01. ASIGNACION AREA";"02. MAPEO";"03. DESARROLLO";"04. VALIDA US";"05. VOBO US";"06. BW-EJECUCION";"07. VALIDACIÓN BAJAWARE";"08. CERRADA"},0)
 &lt;
 MATCH(_xlfn.XLOOKUP(INDEX($B:$B, (ROW()-2)),'Relacion '!$E:$E,'Relacion '!$D:$D,""),{"01. ASIGNACION AREA";"02. MAPEO";"03. DESARROLLO";"04. VALIDA US";"05. VOBO US";"06. BW-EJECUCION";"07. VALIDACIÓN BAJAWARE";"08. CERRADA"},0),
 1,
 IF(
  MATCH(B436,{"01. ASIGNACION AREA";"02. MAPEO";"03. DESARROLLO";"04. VALIDA US";"05. VOBO US";"06. BW-EJECUCION";"07. VALIDACIÓN BAJAWARE";"08. CERRADA"},0)
  =
  MATCH(_xlfn.XLOOKUP(INDEX($B:$B, (ROW()-2)),'Relacion '!$E:$E,'Relacion '!$D:$D,""),{"01. ASIGNACION AREA";"02. MAPEO";"03. DESARROLLO";"04. VALIDA US";"05. VOBO US";"06. BW-EJECUCION";"07. VALIDACIÓN BAJAWARE";"08. CERRADA"},0),
  _xlfn.XLOOKUP(INDEX($B:$B, (ROW()-2)),'Relacion '!$E:$E,'Relacion '!#REF!,0),
  0
 )
)</f>
        <v>1</v>
      </c>
      <c r="I436" s="241">
        <f t="shared" ca="1" si="93"/>
        <v>1</v>
      </c>
      <c r="J436" s="241"/>
      <c r="K436" s="241"/>
      <c r="L436" s="238"/>
      <c r="M436" s="19"/>
    </row>
    <row r="437" spans="2:13" outlineLevel="1">
      <c r="B437" s="237" t="s">
        <v>49</v>
      </c>
      <c r="C437" s="237" t="s">
        <v>49</v>
      </c>
      <c r="D437" s="238" t="str">
        <f>_xlfn.XLOOKUP(B437,'Relacion '!$E:$E,'Relacion '!$D:$D,"")</f>
        <v/>
      </c>
      <c r="E437" s="239">
        <f t="shared" si="91"/>
        <v>25</v>
      </c>
      <c r="F437" s="240" cm="1">
        <f t="array" ref="F437">MIN(INDEX('Relacion '!$AB$5:$AC$493,MATCH(INDEX($B:$B, (ROW()-3)),'Relacion '!$E$5:$E$493,0),0))</f>
        <v>46083</v>
      </c>
      <c r="G437" s="240" cm="1">
        <f t="array" ref="G437">MAX(INDEX('Relacion '!$AB$5:$AC$493,MATCH(INDEX($B:$B, (ROW()-3)),'Relacion '!$E$5:$E$493,0),0))</f>
        <v>46108</v>
      </c>
      <c r="H437" s="241" t="e" cm="1">
        <f t="array" ref="H437">IF(
 MATCH(B437,{"01. ASIGNACION AREA";"02. MAPEO";"03. DESARROLLO";"04. VALIDA US";"05. VOBO US";"06. BW-EJECUCION";"07. VALIDACIÓN BAJAWARE";"08. CERRADA"},0)
 &lt;
 MATCH(_xlfn.XLOOKUP(INDEX($B:$B, (ROW()-3)),'Relacion '!$E:$E,'Relacion '!$D:$D,""),{"01. ASIGNACION AREA";"02. MAPEO";"03. DESARROLLO";"04. VALIDA US";"05. VOBO US";"06. BW-EJECUCION";"07. VALIDACIÓN BAJAWARE";"08. CERRADA"},0),
 1,
 IF(
  MATCH(B437,{"01. ASIGNACION AREA";"02. MAPEO";"03. DESARROLLO";"04. VALIDA US";"05. VOBO US";"06. BW-EJECUCION";"07. VALIDACIÓN BAJAWARE";"08. CERRADA"},0)
  =
  MATCH(_xlfn.XLOOKUP(INDEX($B:$B, (ROW()-3)),'Relacion '!$E:$E,'Relacion '!$D:$D,""),{"01. ASIGNACION AREA";"02. MAPEO";"03. DESARROLLO";"04. VALIDA US";"05. VOBO US";"06. BW-EJECUCION";"07. VALIDACIÓN BAJAWARE";"08. CERRADA"},0),
  _xlfn.XLOOKUP(INDEX($B:$B, (ROW()-3)),'Relacion '!$E:$E,'Relacion '!#REF!,0),
  0
 )
)</f>
        <v>#REF!</v>
      </c>
      <c r="I437" s="241">
        <f t="shared" ca="1" si="93"/>
        <v>1</v>
      </c>
      <c r="J437" s="241"/>
      <c r="K437" s="241"/>
      <c r="L437" s="238"/>
      <c r="M437" s="19"/>
    </row>
    <row r="438" spans="2:13" outlineLevel="1">
      <c r="B438" s="237" t="s">
        <v>324</v>
      </c>
      <c r="C438" s="237" t="s">
        <v>324</v>
      </c>
      <c r="D438" s="238" t="str">
        <f>_xlfn.XLOOKUP(B438,'Relacion '!$E:$E,'Relacion '!$D:$D,"")</f>
        <v/>
      </c>
      <c r="E438" s="239">
        <f t="shared" si="91"/>
        <v>11</v>
      </c>
      <c r="F438" s="240" cm="1">
        <f t="array" ref="F438">MIN(INDEX('Relacion '!$AD$5:$AE$493,MATCH(INDEX($B:$B, (ROW()-4)),'Relacion '!$E$5:$E$493,0),0))</f>
        <v>46111</v>
      </c>
      <c r="G438" s="240" cm="1">
        <f t="array" ref="G438">MAX(INDEX('Relacion '!$AD$5:$AE$493,MATCH(INDEX($B:$B, (ROW()-4)),'Relacion '!$E$5:$E$493,0),0))</f>
        <v>46122</v>
      </c>
      <c r="H438" s="241" cm="1">
        <f t="array" ref="H438">IF(
 MATCH(B438,{"01. ASIGNACION AREA";"02. MAPEO";"03. DESARROLLO";"04. VALIDA US";"05. VOBO US";"06. BW-EJECUCION";"07. VALIDACIÓN BAJAWARE";"08. CERRADA"},0)
 &lt;
 MATCH(_xlfn.XLOOKUP(INDEX($B:$B, (ROW()-4)),'Relacion '!$E:$E,'Relacion '!$D:$D,""),{"01. ASIGNACION AREA";"02. MAPEO";"03. DESARROLLO";"04. VALIDA US";"05. VOBO US";"06. BW-EJECUCION";"07. VALIDACIÓN BAJAWARE";"08. CERRADA"},0),
 1,
 IF(
  MATCH(B438,{"01. ASIGNACION AREA";"02. MAPEO";"03. DESARROLLO";"04. VALIDA US";"05. VOBO US";"06. BW-EJECUCION";"07. VALIDACIÓN BAJAWARE";"08. CERRADA"},0)
  =
  MATCH(_xlfn.XLOOKUP(INDEX($B:$B, (ROW()-4)),'Relacion '!$E:$E,'Relacion '!$D:$D,""),{"01. ASIGNACION AREA";"02. MAPEO";"03. DESARROLLO";"04. VALIDA US";"05. VOBO US";"06. BW-EJECUCION";"07. VALIDACIÓN BAJAWARE";"08. CERRADA"},0),
  _xlfn.XLOOKUP(INDEX($B:$B, (ROW()-4)),'Relacion '!$E:$E,'Relacion '!#REF!,0),
  0
 )
)</f>
        <v>0</v>
      </c>
      <c r="I438" s="241">
        <f t="shared" ca="1" si="93"/>
        <v>1</v>
      </c>
      <c r="J438" s="241"/>
      <c r="K438" s="241"/>
      <c r="L438" s="238"/>
      <c r="M438" s="19"/>
    </row>
    <row r="439" spans="2:13" outlineLevel="1">
      <c r="B439" s="237" t="s">
        <v>320</v>
      </c>
      <c r="C439" s="237" t="s">
        <v>320</v>
      </c>
      <c r="D439" s="238" t="str">
        <f>_xlfn.XLOOKUP(B439,'Relacion '!$E:$E,'Relacion '!$D:$D,"")</f>
        <v/>
      </c>
      <c r="E439" s="239">
        <f t="shared" si="91"/>
        <v>1</v>
      </c>
      <c r="F439" s="240" cm="1">
        <f t="array" ref="F439">MIN(INDEX('Relacion '!$AF$5:$AG$493,MATCH(INDEX($B:$B, (ROW()-5)),'Relacion '!$E$5:$E$493,0),0))</f>
        <v>46121</v>
      </c>
      <c r="G439" s="240" cm="1">
        <f t="array" ref="G439">MAX(INDEX('Relacion '!$AF$5:$AG$493,MATCH(INDEX($B:$B, (ROW()-5)),'Relacion '!$E$5:$E$493,0),0))</f>
        <v>46122</v>
      </c>
      <c r="H439" s="241" cm="1">
        <f t="array" ref="H439">IF(
 MATCH(B439,{"01. ASIGNACION AREA";"02. MAPEO";"03. DESARROLLO";"04. VALIDA US";"05. VOBO US";"06. BW-EJECUCION";"07. VALIDACIÓN BAJAWARE";"08. CERRADA"},0)
 &lt;
 MATCH(_xlfn.XLOOKUP(INDEX($B:$B, (ROW()-5)),'Relacion '!$E:$E,'Relacion '!$D:$D,""),{"01. ASIGNACION AREA";"02. MAPEO";"03. DESARROLLO";"04. VALIDA US";"05. VOBO US";"06. BW-EJECUCION";"07. VALIDACIÓN BAJAWARE";"08. CERRADA"},0),
 1,
 IF(
  MATCH(B439,{"01. ASIGNACION AREA";"02. MAPEO";"03. DESARROLLO";"04. VALIDA US";"05. VOBO US";"06. BW-EJECUCION";"07. VALIDACIÓN BAJAWARE";"08. CERRADA"},0)
  =
  MATCH(_xlfn.XLOOKUP(INDEX($B:$B, (ROW()-5)),'Relacion '!$E:$E,'Relacion '!$D:$D,""),{"01. ASIGNACION AREA";"02. MAPEO";"03. DESARROLLO";"04. VALIDA US";"05. VOBO US";"06. BW-EJECUCION";"07. VALIDACIÓN BAJAWARE";"08. CERRADA"},0),
  _xlfn.XLOOKUP(INDEX($B:$B, (ROW()-5)),'Relacion '!$E:$E,'Relacion '!#REF!,0),
  0
 )
)</f>
        <v>0</v>
      </c>
      <c r="I439" s="241">
        <f t="shared" ca="1" si="93"/>
        <v>1</v>
      </c>
      <c r="J439" s="241"/>
      <c r="K439" s="241"/>
      <c r="L439" s="238"/>
      <c r="M439" s="19"/>
    </row>
    <row r="440" spans="2:13" outlineLevel="1">
      <c r="B440" s="237" t="s">
        <v>710</v>
      </c>
      <c r="C440" s="237" t="s">
        <v>710</v>
      </c>
      <c r="D440" s="238" t="str">
        <f>_xlfn.XLOOKUP(B440,'Relacion '!$E:$E,'Relacion '!$D:$D,"")</f>
        <v/>
      </c>
      <c r="E440" s="239">
        <f t="shared" si="91"/>
        <v>18</v>
      </c>
      <c r="F440" s="240" cm="1">
        <f t="array" ref="F440">MIN(INDEX('Relacion '!$AH$5:$AI$493,MATCH(INDEX($B:$B, (ROW()-6)),'Relacion '!$E$5:$E$493,0),0))</f>
        <v>46125</v>
      </c>
      <c r="G440" s="240" cm="1">
        <f t="array" ref="G440">MAX(INDEX('Relacion '!$AH$5:$AI$493,MATCH(INDEX($B:$B, (ROW()-6)),'Relacion '!$E$5:$E$493,0),0))</f>
        <v>46143</v>
      </c>
      <c r="H440" s="241" cm="1">
        <f t="array" ref="H440">IF(
 MATCH(B440,{"01. ASIGNACION AREA";"02. MAPEO";"03. DESARROLLO";"04. VALIDA US";"05. VOBO US";"06. BW-EJECUCION";"07. VALIDACIÓN BAJAWARE";"08. CERRADA"},0)
 &lt;
 MATCH(_xlfn.XLOOKUP(INDEX($B:$B, (ROW()-6)),'Relacion '!$E:$E,'Relacion '!$D:$D,""),{"01. ASIGNACION AREA";"02. MAPEO";"03. DESARROLLO";"04. VALIDA US";"05. VOBO US";"06. BW-EJECUCION";"07. VALIDACIÓN BAJAWARE";"08. CERRADA"},0),
 1,
 IF(
  MATCH(B440,{"01. ASIGNACION AREA";"02. MAPEO";"03. DESARROLLO";"04. VALIDA US";"05. VOBO US";"06. BW-EJECUCION";"07. VALIDACIÓN BAJAWARE";"08. CERRADA"},0)
  =
  MATCH(_xlfn.XLOOKUP(INDEX($B:$B, (ROW()-6)),'Relacion '!$E:$E,'Relacion '!$D:$D,""),{"01. ASIGNACION AREA";"02. MAPEO";"03. DESARROLLO";"04. VALIDA US";"05. VOBO US";"06. BW-EJECUCION";"07. VALIDACIÓN BAJAWARE";"08. CERRADA"},0),
  _xlfn.XLOOKUP(INDEX($B:$B, (ROW()-6)),'Relacion '!$E:$E,'Relacion '!#REF!,0),
  0
 )
)</f>
        <v>0</v>
      </c>
      <c r="I440" s="241">
        <f t="shared" ca="1" si="93"/>
        <v>1</v>
      </c>
      <c r="J440" s="241"/>
      <c r="K440" s="241"/>
      <c r="L440" s="238"/>
      <c r="M440" s="19"/>
    </row>
    <row r="441" spans="2:13" outlineLevel="1">
      <c r="B441" s="237" t="s">
        <v>655</v>
      </c>
      <c r="C441" s="237" t="s">
        <v>655</v>
      </c>
      <c r="D441" s="238" t="str">
        <f>_xlfn.XLOOKUP(B441,'Relacion '!$E:$E,'Relacion '!$D:$D,"")</f>
        <v/>
      </c>
      <c r="E441" s="239">
        <f t="shared" si="91"/>
        <v>11</v>
      </c>
      <c r="F441" s="240" cm="1">
        <f t="array" ref="F441">MIN(INDEX('Relacion '!$AJ$5:$AK$493,MATCH(INDEX($B:$B, (ROW()-7)),'Relacion '!$E$5:$E$493,0),0))</f>
        <v>46146</v>
      </c>
      <c r="G441" s="240" cm="1">
        <f t="array" ref="G441">MAX(INDEX('Relacion '!$AJ$5:$AK$493,MATCH(INDEX($B:$B, (ROW()-7)),'Relacion '!$E$5:$E$493,0),0))</f>
        <v>46157</v>
      </c>
      <c r="H441" s="241" cm="1">
        <f t="array" ref="H441">IF(
 MATCH(B441,{"01. ASIGNACION AREA";"02. MAPEO";"03. DESARROLLO";"04. VALIDA US";"05. VOBO US";"06. BW-EJECUCION";"07. VALIDACIÓN BAJAWARE";"08. CERRADA"},0)
 &lt;
 MATCH(_xlfn.XLOOKUP(INDEX($B:$B, (ROW()-7)),'Relacion '!$E:$E,'Relacion '!$D:$D,""),{"01. ASIGNACION AREA";"02. MAPEO";"03. DESARROLLO";"04. VALIDA US";"05. VOBO US";"06. BW-EJECUCION";"07. VALIDACIÓN BAJAWARE";"08. CERRADA"},0),
 1,
 IF(
  MATCH(B441,{"01. ASIGNACION AREA";"02. MAPEO";"03. DESARROLLO";"04. VALIDA US";"05. VOBO US";"06. BW-EJECUCION";"07. VALIDACIÓN BAJAWARE";"08. CERRADA"},0)
  =
  MATCH(_xlfn.XLOOKUP(INDEX($B:$B, (ROW()-7)),'Relacion '!$E:$E,'Relacion '!$D:$D,""),{"01. ASIGNACION AREA";"02. MAPEO";"03. DESARROLLO";"04. VALIDA US";"05. VOBO US";"06. BW-EJECUCION";"07. VALIDACIÓN BAJAWARE";"08. CERRADA"},0),
  _xlfn.XLOOKUP(INDEX($B:$B, (ROW()-7)),'Relacion '!$E:$E,'Relacion '!#REF!,0),
  0
 )
)</f>
        <v>0</v>
      </c>
      <c r="I441" s="241">
        <f t="shared" ca="1" si="93"/>
        <v>1</v>
      </c>
      <c r="J441" s="241"/>
      <c r="K441" s="241"/>
      <c r="L441" s="238"/>
      <c r="M441" s="19"/>
    </row>
    <row r="442" spans="2:13" outlineLevel="1">
      <c r="B442" s="237" t="s">
        <v>656</v>
      </c>
      <c r="C442" s="237" t="s">
        <v>656</v>
      </c>
      <c r="D442" s="238" t="str">
        <f>_xlfn.XLOOKUP(B442,'Relacion '!$E:$E,'Relacion '!$D:$D,"")</f>
        <v/>
      </c>
      <c r="E442" s="239">
        <f t="shared" si="91"/>
        <v>0</v>
      </c>
      <c r="F442" s="240" cm="1">
        <f t="array" ref="F442">MIN(INDEX('Relacion '!$AL$5:$AM$493,MATCH(INDEX($B:$B, (ROW()-8)),'Relacion '!$E$5:$E$493,0),0))</f>
        <v>46158</v>
      </c>
      <c r="G442" s="240" cm="1">
        <f t="array" ref="G442">MAX(INDEX('Relacion '!$AL$5:$AM$493,MATCH(INDEX($B:$B, (ROW()-8)),'Relacion '!$E$5:$E$493,0),0))</f>
        <v>46158</v>
      </c>
      <c r="H442" s="241" cm="1">
        <f t="array" ref="H442">IF(
 MATCH(B442,{"01. ASIGNACION AREA";"02. MAPEO";"03. DESARROLLO";"04. VALIDA US";"05. VOBO US";"06. BW-EJECUCION";"07. VALIDACIÓN BAJAWARE";"08. CERRADA"},0)
 &lt;
 MATCH(_xlfn.XLOOKUP(INDEX($B:$B, (ROW()-8)),'Relacion '!$E:$E,'Relacion '!$D:$D,""),{"01. ASIGNACION AREA";"02. MAPEO";"03. DESARROLLO";"04. VALIDA US";"05. VOBO US";"06. BW-EJECUCION";"07. VALIDACIÓN BAJAWARE";"08. CERRADA"},0),
 1,
 IF(
  MATCH(B442,{"01. ASIGNACION AREA";"02. MAPEO";"03. DESARROLLO";"04. VALIDA US";"05. VOBO US";"06. BW-EJECUCION";"07. VALIDACIÓN BAJAWARE";"08. CERRADA"},0)
  =
  MATCH(_xlfn.XLOOKUP(INDEX($B:$B, (ROW()-8)),'Relacion '!$E:$E,'Relacion '!$D:$D,""),{"01. ASIGNACION AREA";"02. MAPEO";"03. DESARROLLO";"04. VALIDA US";"05. VOBO US";"06. BW-EJECUCION";"07. VALIDACIÓN BAJAWARE";"08. CERRADA"},0),
  _xlfn.XLOOKUP(INDEX($B:$B, (ROW()-8)),'Relacion '!$E:$E,'Relacion '!#REF!,0),
  0
 )
)</f>
        <v>0</v>
      </c>
      <c r="I442" s="241">
        <f t="shared" ca="1" si="93"/>
        <v>1</v>
      </c>
      <c r="J442" s="241"/>
      <c r="K442" s="241"/>
      <c r="L442" s="238"/>
      <c r="M442" s="19"/>
    </row>
    <row r="443" spans="2:13">
      <c r="B443" s="232" t="s">
        <v>469</v>
      </c>
      <c r="C443" s="187" t="s">
        <v>417</v>
      </c>
      <c r="D443" s="236" t="str">
        <f>_xlfn.XLOOKUP(B443,'Relacion '!$E:$E,'Relacion '!$D:$D,"")</f>
        <v>08. CERRADA</v>
      </c>
      <c r="E443" s="233">
        <f t="shared" si="91"/>
        <v>449</v>
      </c>
      <c r="F443" s="234" cm="1">
        <f t="array" ref="F443">MIN(INDEX('Relacion '!$X$5:$AM$493,MATCH(INDEX($B:$B, (ROW()-0)),'Relacion '!$E$5:$E$493,0),0))</f>
        <v>45659</v>
      </c>
      <c r="G443" s="234" cm="1">
        <f t="array" ref="G443">MAX(INDEX('Relacion '!$X$5:$AM$493,MATCH(INDEX($B:$B, (ROW()-0)),'Relacion '!$E$5:$E$493,0),0))</f>
        <v>46108</v>
      </c>
      <c r="H443" s="235" t="e">
        <f>AVERAGE(H444:H451)</f>
        <v>#REF!</v>
      </c>
      <c r="I443" s="235">
        <f t="shared" ref="I443" ca="1" si="104">AVERAGE(I444:I451)</f>
        <v>1</v>
      </c>
      <c r="J443" s="236" t="str">
        <f>IF(ISNUMBER(SEARCH("Rocha", _xlfn.XLOOKUP(B443,'Relacion '!$E:$E,'Relacion '!$I:$I,""))), "Sí", "No")</f>
        <v>No</v>
      </c>
      <c r="K443" s="236" t="str">
        <f>IF(ISNUMBER(SEARCH("Rocha", _xlfn.XLOOKUP(B443,'Relacion '!$E:$E,'Relacion '!$I:$I,""))), "RMC", _xlfn.XLOOKUP(B443,'Relacion '!$E:$E,'Relacion '!$B:$B,""))</f>
        <v>Producto</v>
      </c>
      <c r="L443" s="236" t="str">
        <f>_xlfn.XLOOKUP(B443,'Relacion '!$E:$E,'Relacion '!$C:$C,"")</f>
        <v>Claudia Barroso</v>
      </c>
    </row>
    <row r="444" spans="2:13" outlineLevel="1">
      <c r="B444" s="237" t="s">
        <v>654</v>
      </c>
      <c r="C444" s="237" t="s">
        <v>654</v>
      </c>
      <c r="D444" s="238" t="str">
        <f>_xlfn.XLOOKUP(B444,'Relacion '!$E:$E,'Relacion '!$D:$D,"")</f>
        <v/>
      </c>
      <c r="E444" s="239">
        <f t="shared" si="91"/>
        <v>424</v>
      </c>
      <c r="F444" s="240" cm="1">
        <f t="array" ref="F444">MIN(INDEX('Relacion '!$X$5:$Y$493,MATCH(INDEX($B:$B, (ROW()-1)),'Relacion '!$E$5:$E$493,0),0))</f>
        <v>45659</v>
      </c>
      <c r="G444" s="240" cm="1">
        <f t="array" ref="G444">MAX(INDEX('Relacion '!$X$5:$Y$493,MATCH(INDEX($B:$B, (ROW()-1)),'Relacion '!$E$5:$E$493,0),0))</f>
        <v>46083</v>
      </c>
      <c r="H444" s="241" cm="1">
        <f t="array" ref="H444">IF(
 MATCH(B444,{"01. ASIGNACION AREA";"02. MAPEO";"03. DESARROLLO";"04. VALIDA US";"05. VOBO US";"06. BW-EJECUCION";"07. VALIDACIÓN BAJAWARE";"08. CERRADA"},0)
 &lt;
 MATCH(_xlfn.XLOOKUP(INDEX($B:$B, (ROW()-1)),'Relacion '!$E:$E,'Relacion '!$D:$D,""),{"01. ASIGNACION AREA";"02. MAPEO";"03. DESARROLLO";"04. VALIDA US";"05. VOBO US";"06. BW-EJECUCION";"07. VALIDACIÓN BAJAWARE";"08. CERRADA"},0),
 1,
 IF(
  MATCH(B444,{"01. ASIGNACION AREA";"02. MAPEO";"03. DESARROLLO";"04. VALIDA US";"05. VOBO US";"06. BW-EJECUCION";"07. VALIDACIÓN BAJAWARE";"08. CERRADA"},0)
  =
  MATCH(_xlfn.XLOOKUP(INDEX($B:$B, (ROW()-1)),'Relacion '!$E:$E,'Relacion '!$D:$D,""),{"01. ASIGNACION AREA";"02. MAPEO";"03. DESARROLLO";"04. VALIDA US";"05. VOBO US";"06. BW-EJECUCION";"07. VALIDACIÓN BAJAWARE";"08. CERRADA"},0),
  _xlfn.XLOOKUP(INDEX($B:$B, (ROW()-1)),'Relacion '!$E:$E,'Relacion '!#REF!,0),
  0
 )
)</f>
        <v>1</v>
      </c>
      <c r="I444" s="241">
        <f t="shared" ref="I444" ca="1" si="105">IF(G444&lt;=TODAY(), 1, 0)</f>
        <v>1</v>
      </c>
      <c r="J444" s="241"/>
      <c r="K444" s="241"/>
      <c r="L444" s="238"/>
    </row>
    <row r="445" spans="2:13" outlineLevel="1">
      <c r="B445" s="237" t="s">
        <v>195</v>
      </c>
      <c r="C445" s="237" t="s">
        <v>195</v>
      </c>
      <c r="D445" s="238" t="str">
        <f>_xlfn.XLOOKUP(B445,'Relacion '!$E:$E,'Relacion '!$D:$D,"")</f>
        <v/>
      </c>
      <c r="E445" s="239">
        <f t="shared" si="91"/>
        <v>0</v>
      </c>
      <c r="F445" s="240" cm="1">
        <f t="array" ref="F445">MIN(INDEX('Relacion '!$Z$5:$AA$493,MATCH(INDEX($B:$B, (ROW()-2)),'Relacion '!$E$5:$E$493,0),0))</f>
        <v>46108</v>
      </c>
      <c r="G445" s="240" cm="1">
        <f t="array" ref="G445">MAX(INDEX('Relacion '!$Z$5:$AA$493,MATCH(INDEX($B:$B, (ROW()-2)),'Relacion '!$E$5:$E$493,0),0))</f>
        <v>46108</v>
      </c>
      <c r="H445" s="241" cm="1">
        <f t="array" ref="H445">IF(
 MATCH(B445,{"01. ASIGNACION AREA";"02. MAPEO";"03. DESARROLLO";"04. VALIDA US";"05. VOBO US";"06. BW-EJECUCION";"07. VALIDACIÓN BAJAWARE";"08. CERRADA"},0)
 &lt;
 MATCH(_xlfn.XLOOKUP(INDEX($B:$B, (ROW()-2)),'Relacion '!$E:$E,'Relacion '!$D:$D,""),{"01. ASIGNACION AREA";"02. MAPEO";"03. DESARROLLO";"04. VALIDA US";"05. VOBO US";"06. BW-EJECUCION";"07. VALIDACIÓN BAJAWARE";"08. CERRADA"},0),
 1,
 IF(
  MATCH(B445,{"01. ASIGNACION AREA";"02. MAPEO";"03. DESARROLLO";"04. VALIDA US";"05. VOBO US";"06. BW-EJECUCION";"07. VALIDACIÓN BAJAWARE";"08. CERRADA"},0)
  =
  MATCH(_xlfn.XLOOKUP(INDEX($B:$B, (ROW()-2)),'Relacion '!$E:$E,'Relacion '!$D:$D,""),{"01. ASIGNACION AREA";"02. MAPEO";"03. DESARROLLO";"04. VALIDA US";"05. VOBO US";"06. BW-EJECUCION";"07. VALIDACIÓN BAJAWARE";"08. CERRADA"},0),
  _xlfn.XLOOKUP(INDEX($B:$B, (ROW()-2)),'Relacion '!$E:$E,'Relacion '!#REF!,0),
  0
 )
)</f>
        <v>1</v>
      </c>
      <c r="I445" s="241">
        <f t="shared" ca="1" si="93"/>
        <v>1</v>
      </c>
      <c r="J445" s="241"/>
      <c r="K445" s="241"/>
      <c r="L445" s="238"/>
    </row>
    <row r="446" spans="2:13" outlineLevel="1">
      <c r="B446" s="237" t="s">
        <v>49</v>
      </c>
      <c r="C446" s="237" t="s">
        <v>49</v>
      </c>
      <c r="D446" s="238" t="str">
        <f>_xlfn.XLOOKUP(B446,'Relacion '!$E:$E,'Relacion '!$D:$D,"")</f>
        <v/>
      </c>
      <c r="E446" s="239">
        <f t="shared" si="91"/>
        <v>0</v>
      </c>
      <c r="F446" s="240" cm="1">
        <f t="array" ref="F446">MIN(INDEX('Relacion '!$AB$5:$AC$493,MATCH(INDEX($B:$B, (ROW()-3)),'Relacion '!$E$5:$E$493,0),0))</f>
        <v>46108</v>
      </c>
      <c r="G446" s="240" cm="1">
        <f t="array" ref="G446">MAX(INDEX('Relacion '!$AB$5:$AC$493,MATCH(INDEX($B:$B, (ROW()-3)),'Relacion '!$E$5:$E$493,0),0))</f>
        <v>46108</v>
      </c>
      <c r="H446" s="241" cm="1">
        <f t="array" ref="H446">IF(
 MATCH(B446,{"01. ASIGNACION AREA";"02. MAPEO";"03. DESARROLLO";"04. VALIDA US";"05. VOBO US";"06. BW-EJECUCION";"07. VALIDACIÓN BAJAWARE";"08. CERRADA"},0)
 &lt;
 MATCH(_xlfn.XLOOKUP(INDEX($B:$B, (ROW()-3)),'Relacion '!$E:$E,'Relacion '!$D:$D,""),{"01. ASIGNACION AREA";"02. MAPEO";"03. DESARROLLO";"04. VALIDA US";"05. VOBO US";"06. BW-EJECUCION";"07. VALIDACIÓN BAJAWARE";"08. CERRADA"},0),
 1,
 IF(
  MATCH(B446,{"01. ASIGNACION AREA";"02. MAPEO";"03. DESARROLLO";"04. VALIDA US";"05. VOBO US";"06. BW-EJECUCION";"07. VALIDACIÓN BAJAWARE";"08. CERRADA"},0)
  =
  MATCH(_xlfn.XLOOKUP(INDEX($B:$B, (ROW()-3)),'Relacion '!$E:$E,'Relacion '!$D:$D,""),{"01. ASIGNACION AREA";"02. MAPEO";"03. DESARROLLO";"04. VALIDA US";"05. VOBO US";"06. BW-EJECUCION";"07. VALIDACIÓN BAJAWARE";"08. CERRADA"},0),
  _xlfn.XLOOKUP(INDEX($B:$B, (ROW()-3)),'Relacion '!$E:$E,'Relacion '!#REF!,0),
  0
 )
)</f>
        <v>1</v>
      </c>
      <c r="I446" s="241">
        <f t="shared" ca="1" si="93"/>
        <v>1</v>
      </c>
      <c r="J446" s="241"/>
      <c r="K446" s="241"/>
      <c r="L446" s="238"/>
    </row>
    <row r="447" spans="2:13" outlineLevel="1">
      <c r="B447" s="237" t="s">
        <v>324</v>
      </c>
      <c r="C447" s="237" t="s">
        <v>324</v>
      </c>
      <c r="D447" s="238" t="str">
        <f>_xlfn.XLOOKUP(B447,'Relacion '!$E:$E,'Relacion '!$D:$D,"")</f>
        <v/>
      </c>
      <c r="E447" s="239">
        <f t="shared" si="91"/>
        <v>0</v>
      </c>
      <c r="F447" s="240" cm="1">
        <f t="array" ref="F447">MIN(INDEX('Relacion '!$AD$5:$AE$493,MATCH(INDEX($B:$B, (ROW()-4)),'Relacion '!$E$5:$E$493,0),0))</f>
        <v>46108</v>
      </c>
      <c r="G447" s="240" cm="1">
        <f t="array" ref="G447">MAX(INDEX('Relacion '!$AD$5:$AE$493,MATCH(INDEX($B:$B, (ROW()-4)),'Relacion '!$E$5:$E$493,0),0))</f>
        <v>46108</v>
      </c>
      <c r="H447" s="241" cm="1">
        <f t="array" ref="H447">IF(
 MATCH(B447,{"01. ASIGNACION AREA";"02. MAPEO";"03. DESARROLLO";"04. VALIDA US";"05. VOBO US";"06. BW-EJECUCION";"07. VALIDACIÓN BAJAWARE";"08. CERRADA"},0)
 &lt;
 MATCH(_xlfn.XLOOKUP(INDEX($B:$B, (ROW()-4)),'Relacion '!$E:$E,'Relacion '!$D:$D,""),{"01. ASIGNACION AREA";"02. MAPEO";"03. DESARROLLO";"04. VALIDA US";"05. VOBO US";"06. BW-EJECUCION";"07. VALIDACIÓN BAJAWARE";"08. CERRADA"},0),
 1,
 IF(
  MATCH(B447,{"01. ASIGNACION AREA";"02. MAPEO";"03. DESARROLLO";"04. VALIDA US";"05. VOBO US";"06. BW-EJECUCION";"07. VALIDACIÓN BAJAWARE";"08. CERRADA"},0)
  =
  MATCH(_xlfn.XLOOKUP(INDEX($B:$B, (ROW()-4)),'Relacion '!$E:$E,'Relacion '!$D:$D,""),{"01. ASIGNACION AREA";"02. MAPEO";"03. DESARROLLO";"04. VALIDA US";"05. VOBO US";"06. BW-EJECUCION";"07. VALIDACIÓN BAJAWARE";"08. CERRADA"},0),
  _xlfn.XLOOKUP(INDEX($B:$B, (ROW()-4)),'Relacion '!$E:$E,'Relacion '!#REF!,0),
  0
 )
)</f>
        <v>1</v>
      </c>
      <c r="I447" s="241">
        <f t="shared" ca="1" si="93"/>
        <v>1</v>
      </c>
      <c r="J447" s="241"/>
      <c r="K447" s="241"/>
      <c r="L447" s="238"/>
    </row>
    <row r="448" spans="2:13" outlineLevel="1">
      <c r="B448" s="237" t="s">
        <v>320</v>
      </c>
      <c r="C448" s="237" t="s">
        <v>320</v>
      </c>
      <c r="D448" s="238" t="str">
        <f>_xlfn.XLOOKUP(B448,'Relacion '!$E:$E,'Relacion '!$D:$D,"")</f>
        <v/>
      </c>
      <c r="E448" s="239">
        <f t="shared" si="91"/>
        <v>0</v>
      </c>
      <c r="F448" s="240" cm="1">
        <f t="array" ref="F448">MIN(INDEX('Relacion '!$AF$5:$AG$493,MATCH(INDEX($B:$B, (ROW()-5)),'Relacion '!$E$5:$E$493,0),0))</f>
        <v>46108</v>
      </c>
      <c r="G448" s="240" cm="1">
        <f t="array" ref="G448">MAX(INDEX('Relacion '!$AF$5:$AG$493,MATCH(INDEX($B:$B, (ROW()-5)),'Relacion '!$E$5:$E$493,0),0))</f>
        <v>46108</v>
      </c>
      <c r="H448" s="241" cm="1">
        <f t="array" ref="H448">IF(
 MATCH(B448,{"01. ASIGNACION AREA";"02. MAPEO";"03. DESARROLLO";"04. VALIDA US";"05. VOBO US";"06. BW-EJECUCION";"07. VALIDACIÓN BAJAWARE";"08. CERRADA"},0)
 &lt;
 MATCH(_xlfn.XLOOKUP(INDEX($B:$B, (ROW()-5)),'Relacion '!$E:$E,'Relacion '!$D:$D,""),{"01. ASIGNACION AREA";"02. MAPEO";"03. DESARROLLO";"04. VALIDA US";"05. VOBO US";"06. BW-EJECUCION";"07. VALIDACIÓN BAJAWARE";"08. CERRADA"},0),
 1,
 IF(
  MATCH(B448,{"01. ASIGNACION AREA";"02. MAPEO";"03. DESARROLLO";"04. VALIDA US";"05. VOBO US";"06. BW-EJECUCION";"07. VALIDACIÓN BAJAWARE";"08. CERRADA"},0)
  =
  MATCH(_xlfn.XLOOKUP(INDEX($B:$B, (ROW()-5)),'Relacion '!$E:$E,'Relacion '!$D:$D,""),{"01. ASIGNACION AREA";"02. MAPEO";"03. DESARROLLO";"04. VALIDA US";"05. VOBO US";"06. BW-EJECUCION";"07. VALIDACIÓN BAJAWARE";"08. CERRADA"},0),
  _xlfn.XLOOKUP(INDEX($B:$B, (ROW()-5)),'Relacion '!$E:$E,'Relacion '!#REF!,0),
  0
 )
)</f>
        <v>1</v>
      </c>
      <c r="I448" s="241">
        <f t="shared" ca="1" si="93"/>
        <v>1</v>
      </c>
      <c r="J448" s="241"/>
      <c r="K448" s="241"/>
      <c r="L448" s="238"/>
    </row>
    <row r="449" spans="2:12" outlineLevel="1">
      <c r="B449" s="237" t="s">
        <v>710</v>
      </c>
      <c r="C449" s="237" t="s">
        <v>710</v>
      </c>
      <c r="D449" s="238" t="str">
        <f>_xlfn.XLOOKUP(B449,'Relacion '!$E:$E,'Relacion '!$D:$D,"")</f>
        <v/>
      </c>
      <c r="E449" s="239">
        <f t="shared" si="91"/>
        <v>0</v>
      </c>
      <c r="F449" s="240" cm="1">
        <f t="array" ref="F449">MIN(INDEX('Relacion '!$AH$5:$AI$493,MATCH(INDEX($B:$B, (ROW()-6)),'Relacion '!$E$5:$E$493,0),0))</f>
        <v>46108</v>
      </c>
      <c r="G449" s="240" cm="1">
        <f t="array" ref="G449">MAX(INDEX('Relacion '!$AH$5:$AI$493,MATCH(INDEX($B:$B, (ROW()-6)),'Relacion '!$E$5:$E$493,0),0))</f>
        <v>46108</v>
      </c>
      <c r="H449" s="241" cm="1">
        <f t="array" ref="H449">IF(
 MATCH(B449,{"01. ASIGNACION AREA";"02. MAPEO";"03. DESARROLLO";"04. VALIDA US";"05. VOBO US";"06. BW-EJECUCION";"07. VALIDACIÓN BAJAWARE";"08. CERRADA"},0)
 &lt;
 MATCH(_xlfn.XLOOKUP(INDEX($B:$B, (ROW()-6)),'Relacion '!$E:$E,'Relacion '!$D:$D,""),{"01. ASIGNACION AREA";"02. MAPEO";"03. DESARROLLO";"04. VALIDA US";"05. VOBO US";"06. BW-EJECUCION";"07. VALIDACIÓN BAJAWARE";"08. CERRADA"},0),
 1,
 IF(
  MATCH(B449,{"01. ASIGNACION AREA";"02. MAPEO";"03. DESARROLLO";"04. VALIDA US";"05. VOBO US";"06. BW-EJECUCION";"07. VALIDACIÓN BAJAWARE";"08. CERRADA"},0)
  =
  MATCH(_xlfn.XLOOKUP(INDEX($B:$B, (ROW()-6)),'Relacion '!$E:$E,'Relacion '!$D:$D,""),{"01. ASIGNACION AREA";"02. MAPEO";"03. DESARROLLO";"04. VALIDA US";"05. VOBO US";"06. BW-EJECUCION";"07. VALIDACIÓN BAJAWARE";"08. CERRADA"},0),
  _xlfn.XLOOKUP(INDEX($B:$B, (ROW()-6)),'Relacion '!$E:$E,'Relacion '!#REF!,0),
  0
 )
)</f>
        <v>1</v>
      </c>
      <c r="I449" s="241">
        <f t="shared" ca="1" si="93"/>
        <v>1</v>
      </c>
      <c r="J449" s="241"/>
      <c r="K449" s="241"/>
      <c r="L449" s="238"/>
    </row>
    <row r="450" spans="2:12" outlineLevel="1">
      <c r="B450" s="237" t="s">
        <v>655</v>
      </c>
      <c r="C450" s="237" t="s">
        <v>655</v>
      </c>
      <c r="D450" s="238" t="str">
        <f>_xlfn.XLOOKUP(B450,'Relacion '!$E:$E,'Relacion '!$D:$D,"")</f>
        <v/>
      </c>
      <c r="E450" s="239">
        <f t="shared" ref="E450:E513" si="106">IF(OR(F450="",G450=""),"",G450-F450)</f>
        <v>0</v>
      </c>
      <c r="F450" s="240" cm="1">
        <f t="array" ref="F450">MIN(INDEX('Relacion '!$AJ$5:$AK$493,MATCH(INDEX($B:$B, (ROW()-7)),'Relacion '!$E$5:$E$493,0),0))</f>
        <v>46108</v>
      </c>
      <c r="G450" s="240" cm="1">
        <f t="array" ref="G450">MAX(INDEX('Relacion '!$AJ$5:$AK$493,MATCH(INDEX($B:$B, (ROW()-7)),'Relacion '!$E$5:$E$493,0),0))</f>
        <v>46108</v>
      </c>
      <c r="H450" s="241" cm="1">
        <f t="array" ref="H450">IF(
 MATCH(B450,{"01. ASIGNACION AREA";"02. MAPEO";"03. DESARROLLO";"04. VALIDA US";"05. VOBO US";"06. BW-EJECUCION";"07. VALIDACIÓN BAJAWARE";"08. CERRADA"},0)
 &lt;
 MATCH(_xlfn.XLOOKUP(INDEX($B:$B, (ROW()-7)),'Relacion '!$E:$E,'Relacion '!$D:$D,""),{"01. ASIGNACION AREA";"02. MAPEO";"03. DESARROLLO";"04. VALIDA US";"05. VOBO US";"06. BW-EJECUCION";"07. VALIDACIÓN BAJAWARE";"08. CERRADA"},0),
 1,
 IF(
  MATCH(B450,{"01. ASIGNACION AREA";"02. MAPEO";"03. DESARROLLO";"04. VALIDA US";"05. VOBO US";"06. BW-EJECUCION";"07. VALIDACIÓN BAJAWARE";"08. CERRADA"},0)
  =
  MATCH(_xlfn.XLOOKUP(INDEX($B:$B, (ROW()-7)),'Relacion '!$E:$E,'Relacion '!$D:$D,""),{"01. ASIGNACION AREA";"02. MAPEO";"03. DESARROLLO";"04. VALIDA US";"05. VOBO US";"06. BW-EJECUCION";"07. VALIDACIÓN BAJAWARE";"08. CERRADA"},0),
  _xlfn.XLOOKUP(INDEX($B:$B, (ROW()-7)),'Relacion '!$E:$E,'Relacion '!#REF!,0),
  0
 )
)</f>
        <v>1</v>
      </c>
      <c r="I450" s="241">
        <f t="shared" ca="1" si="93"/>
        <v>1</v>
      </c>
      <c r="J450" s="241"/>
      <c r="K450" s="241"/>
      <c r="L450" s="238"/>
    </row>
    <row r="451" spans="2:12" outlineLevel="1">
      <c r="B451" s="237" t="s">
        <v>656</v>
      </c>
      <c r="C451" s="237" t="s">
        <v>656</v>
      </c>
      <c r="D451" s="238" t="str">
        <f>_xlfn.XLOOKUP(B451,'Relacion '!$E:$E,'Relacion '!$D:$D,"")</f>
        <v/>
      </c>
      <c r="E451" s="239">
        <f t="shared" si="106"/>
        <v>0</v>
      </c>
      <c r="F451" s="240" cm="1">
        <f t="array" ref="F451">MIN(INDEX('Relacion '!$AL$5:$AM$493,MATCH(INDEX($B:$B, (ROW()-8)),'Relacion '!$E$5:$E$493,0),0))</f>
        <v>46108</v>
      </c>
      <c r="G451" s="240" cm="1">
        <f t="array" ref="G451">MAX(INDEX('Relacion '!$AL$5:$AM$493,MATCH(INDEX($B:$B, (ROW()-8)),'Relacion '!$E$5:$E$493,0),0))</f>
        <v>46108</v>
      </c>
      <c r="H451" s="241" t="e" cm="1">
        <f t="array" ref="H451">IF(
 MATCH(B451,{"01. ASIGNACION AREA";"02. MAPEO";"03. DESARROLLO";"04. VALIDA US";"05. VOBO US";"06. BW-EJECUCION";"07. VALIDACIÓN BAJAWARE";"08. CERRADA"},0)
 &lt;
 MATCH(_xlfn.XLOOKUP(INDEX($B:$B, (ROW()-8)),'Relacion '!$E:$E,'Relacion '!$D:$D,""),{"01. ASIGNACION AREA";"02. MAPEO";"03. DESARROLLO";"04. VALIDA US";"05. VOBO US";"06. BW-EJECUCION";"07. VALIDACIÓN BAJAWARE";"08. CERRADA"},0),
 1,
 IF(
  MATCH(B451,{"01. ASIGNACION AREA";"02. MAPEO";"03. DESARROLLO";"04. VALIDA US";"05. VOBO US";"06. BW-EJECUCION";"07. VALIDACIÓN BAJAWARE";"08. CERRADA"},0)
  =
  MATCH(_xlfn.XLOOKUP(INDEX($B:$B, (ROW()-8)),'Relacion '!$E:$E,'Relacion '!$D:$D,""),{"01. ASIGNACION AREA";"02. MAPEO";"03. DESARROLLO";"04. VALIDA US";"05. VOBO US";"06. BW-EJECUCION";"07. VALIDACIÓN BAJAWARE";"08. CERRADA"},0),
  _xlfn.XLOOKUP(INDEX($B:$B, (ROW()-8)),'Relacion '!$E:$E,'Relacion '!#REF!,0),
  0
 )
)</f>
        <v>#REF!</v>
      </c>
      <c r="I451" s="241">
        <f t="shared" ca="1" si="93"/>
        <v>1</v>
      </c>
      <c r="J451" s="241"/>
      <c r="K451" s="241"/>
      <c r="L451" s="238"/>
    </row>
    <row r="452" spans="2:12">
      <c r="B452" s="232" t="s">
        <v>308</v>
      </c>
      <c r="C452" s="137" t="s">
        <v>309</v>
      </c>
      <c r="D452" s="236" t="str">
        <f>_xlfn.XLOOKUP(B452,'Relacion '!$E:$E,'Relacion '!$D:$D,"")</f>
        <v>02. MAPEO</v>
      </c>
      <c r="E452" s="233">
        <f t="shared" si="106"/>
        <v>172</v>
      </c>
      <c r="F452" s="234" cm="1">
        <f t="array" ref="F452">MIN(INDEX('Relacion '!$X$5:$AM$493,MATCH(INDEX($B:$B, (ROW()-0)),'Relacion '!$E$5:$E$493,0),0))</f>
        <v>46024</v>
      </c>
      <c r="G452" s="234" cm="1">
        <f t="array" ref="G452">MAX(INDEX('Relacion '!$X$5:$AM$493,MATCH(INDEX($B:$B, (ROW()-0)),'Relacion '!$E$5:$E$493,0),0))</f>
        <v>46196</v>
      </c>
      <c r="H452" s="235" t="e">
        <f>AVERAGE(H453:H460)</f>
        <v>#REF!</v>
      </c>
      <c r="I452" s="235">
        <f t="shared" ref="I452" ca="1" si="107">AVERAGE(I453:I460)</f>
        <v>0.375</v>
      </c>
      <c r="J452" s="236" t="str">
        <f>IF(ISNUMBER(SEARCH("Rocha", _xlfn.XLOOKUP(B452,'Relacion '!$E:$E,'Relacion '!$I:$I,""))), "Sí", "No")</f>
        <v>No</v>
      </c>
      <c r="K452" s="236" t="str">
        <f>IF(ISNUMBER(SEARCH("Rocha", _xlfn.XLOOKUP(B452,'Relacion '!$E:$E,'Relacion '!$I:$I,""))), "RMC", _xlfn.XLOOKUP(B452,'Relacion '!$E:$E,'Relacion '!$B:$B,""))</f>
        <v>Tesorería </v>
      </c>
      <c r="L452" s="236" t="str">
        <f>_xlfn.XLOOKUP(B452,'Relacion '!$E:$E,'Relacion '!$C:$C,"")</f>
        <v>Eduardo Cabral</v>
      </c>
    </row>
    <row r="453" spans="2:12" outlineLevel="1">
      <c r="B453" s="237" t="s">
        <v>654</v>
      </c>
      <c r="C453" s="237" t="s">
        <v>654</v>
      </c>
      <c r="D453" s="238" t="str">
        <f>_xlfn.XLOOKUP(B453,'Relacion '!$E:$E,'Relacion '!$D:$D,"")</f>
        <v/>
      </c>
      <c r="E453" s="239">
        <f t="shared" si="106"/>
        <v>59</v>
      </c>
      <c r="F453" s="240" cm="1">
        <f t="array" ref="F453">MIN(INDEX('Relacion '!$X$5:$Y$493,MATCH(INDEX($B:$B, (ROW()-1)),'Relacion '!$E$5:$E$493,0),0))</f>
        <v>46024</v>
      </c>
      <c r="G453" s="240" cm="1">
        <f t="array" ref="G453">MAX(INDEX('Relacion '!$X$5:$Y$493,MATCH(INDEX($B:$B, (ROW()-1)),'Relacion '!$E$5:$E$493,0),0))</f>
        <v>46083</v>
      </c>
      <c r="H453" s="241" cm="1">
        <f t="array" ref="H453">IF(
 MATCH(B453,{"01. ASIGNACION AREA";"02. MAPEO";"03. DESARROLLO";"04. VALIDA US";"05. VOBO US";"06. BW-EJECUCION";"07. VALIDACIÓN BAJAWARE";"08. CERRADA"},0)
 &lt;
 MATCH(_xlfn.XLOOKUP(INDEX($B:$B, (ROW()-1)),'Relacion '!$E:$E,'Relacion '!$D:$D,""),{"01. ASIGNACION AREA";"02. MAPEO";"03. DESARROLLO";"04. VALIDA US";"05. VOBO US";"06. BW-EJECUCION";"07. VALIDACIÓN BAJAWARE";"08. CERRADA"},0),
 1,
 IF(
  MATCH(B453,{"01. ASIGNACION AREA";"02. MAPEO";"03. DESARROLLO";"04. VALIDA US";"05. VOBO US";"06. BW-EJECUCION";"07. VALIDACIÓN BAJAWARE";"08. CERRADA"},0)
  =
  MATCH(_xlfn.XLOOKUP(INDEX($B:$B, (ROW()-1)),'Relacion '!$E:$E,'Relacion '!$D:$D,""),{"01. ASIGNACION AREA";"02. MAPEO";"03. DESARROLLO";"04. VALIDA US";"05. VOBO US";"06. BW-EJECUCION";"07. VALIDACIÓN BAJAWARE";"08. CERRADA"},0),
  _xlfn.XLOOKUP(INDEX($B:$B, (ROW()-1)),'Relacion '!$E:$E,'Relacion '!#REF!,0),
  0
 )
)</f>
        <v>1</v>
      </c>
      <c r="I453" s="241">
        <f t="shared" ref="I453:I514" ca="1" si="108">IF(G453&lt;=TODAY(), 1, 0)</f>
        <v>1</v>
      </c>
      <c r="J453" s="241"/>
      <c r="K453" s="241"/>
      <c r="L453" s="238"/>
    </row>
    <row r="454" spans="2:12" outlineLevel="1">
      <c r="B454" s="237" t="s">
        <v>195</v>
      </c>
      <c r="C454" s="237" t="s">
        <v>195</v>
      </c>
      <c r="D454" s="238" t="str">
        <f>_xlfn.XLOOKUP(B454,'Relacion '!$E:$E,'Relacion '!$D:$D,"")</f>
        <v/>
      </c>
      <c r="E454" s="239">
        <f t="shared" si="106"/>
        <v>80</v>
      </c>
      <c r="F454" s="240" cm="1">
        <f t="array" ref="F454">MIN(INDEX('Relacion '!$Z$5:$AA$493,MATCH(INDEX($B:$B, (ROW()-2)),'Relacion '!$E$5:$E$493,0),0))</f>
        <v>46056</v>
      </c>
      <c r="G454" s="240" cm="1">
        <f t="array" ref="G454">MAX(INDEX('Relacion '!$Z$5:$AA$493,MATCH(INDEX($B:$B, (ROW()-2)),'Relacion '!$E$5:$E$493,0),0))</f>
        <v>46136</v>
      </c>
      <c r="H454" s="241" t="e" cm="1">
        <f t="array" ref="H454">IF(
 MATCH(B454,{"01. ASIGNACION AREA";"02. MAPEO";"03. DESARROLLO";"04. VALIDA US";"05. VOBO US";"06. BW-EJECUCION";"07. VALIDACIÓN BAJAWARE";"08. CERRADA"},0)
 &lt;
 MATCH(_xlfn.XLOOKUP(INDEX($B:$B, (ROW()-2)),'Relacion '!$E:$E,'Relacion '!$D:$D,""),{"01. ASIGNACION AREA";"02. MAPEO";"03. DESARROLLO";"04. VALIDA US";"05. VOBO US";"06. BW-EJECUCION";"07. VALIDACIÓN BAJAWARE";"08. CERRADA"},0),
 1,
 IF(
  MATCH(B454,{"01. ASIGNACION AREA";"02. MAPEO";"03. DESARROLLO";"04. VALIDA US";"05. VOBO US";"06. BW-EJECUCION";"07. VALIDACIÓN BAJAWARE";"08. CERRADA"},0)
  =
  MATCH(_xlfn.XLOOKUP(INDEX($B:$B, (ROW()-2)),'Relacion '!$E:$E,'Relacion '!$D:$D,""),{"01. ASIGNACION AREA";"02. MAPEO";"03. DESARROLLO";"04. VALIDA US";"05. VOBO US";"06. BW-EJECUCION";"07. VALIDACIÓN BAJAWARE";"08. CERRADA"},0),
  _xlfn.XLOOKUP(INDEX($B:$B, (ROW()-2)),'Relacion '!$E:$E,'Relacion '!#REF!,0),
  0
 )
)</f>
        <v>#REF!</v>
      </c>
      <c r="I454" s="241">
        <f t="shared" ca="1" si="108"/>
        <v>1</v>
      </c>
      <c r="J454" s="241"/>
      <c r="K454" s="241"/>
      <c r="L454" s="238"/>
    </row>
    <row r="455" spans="2:12" outlineLevel="1">
      <c r="B455" s="237" t="s">
        <v>49</v>
      </c>
      <c r="C455" s="237" t="s">
        <v>49</v>
      </c>
      <c r="D455" s="238" t="str">
        <f>_xlfn.XLOOKUP(B455,'Relacion '!$E:$E,'Relacion '!$D:$D,"")</f>
        <v/>
      </c>
      <c r="E455" s="239">
        <f t="shared" si="106"/>
        <v>18</v>
      </c>
      <c r="F455" s="240" cm="1">
        <f t="array" ref="F455">MIN(INDEX('Relacion '!$AB$5:$AC$493,MATCH(INDEX($B:$B, (ROW()-3)),'Relacion '!$E$5:$E$493,0),0))</f>
        <v>46139</v>
      </c>
      <c r="G455" s="240" cm="1">
        <f t="array" ref="G455">MAX(INDEX('Relacion '!$AB$5:$AC$493,MATCH(INDEX($B:$B, (ROW()-3)),'Relacion '!$E$5:$E$493,0),0))</f>
        <v>46157</v>
      </c>
      <c r="H455" s="241" cm="1">
        <f t="array" ref="H455">IF(
 MATCH(B455,{"01. ASIGNACION AREA";"02. MAPEO";"03. DESARROLLO";"04. VALIDA US";"05. VOBO US";"06. BW-EJECUCION";"07. VALIDACIÓN BAJAWARE";"08. CERRADA"},0)
 &lt;
 MATCH(_xlfn.XLOOKUP(INDEX($B:$B, (ROW()-3)),'Relacion '!$E:$E,'Relacion '!$D:$D,""),{"01. ASIGNACION AREA";"02. MAPEO";"03. DESARROLLO";"04. VALIDA US";"05. VOBO US";"06. BW-EJECUCION";"07. VALIDACIÓN BAJAWARE";"08. CERRADA"},0),
 1,
 IF(
  MATCH(B455,{"01. ASIGNACION AREA";"02. MAPEO";"03. DESARROLLO";"04. VALIDA US";"05. VOBO US";"06. BW-EJECUCION";"07. VALIDACIÓN BAJAWARE";"08. CERRADA"},0)
  =
  MATCH(_xlfn.XLOOKUP(INDEX($B:$B, (ROW()-3)),'Relacion '!$E:$E,'Relacion '!$D:$D,""),{"01. ASIGNACION AREA";"02. MAPEO";"03. DESARROLLO";"04. VALIDA US";"05. VOBO US";"06. BW-EJECUCION";"07. VALIDACIÓN BAJAWARE";"08. CERRADA"},0),
  _xlfn.XLOOKUP(INDEX($B:$B, (ROW()-3)),'Relacion '!$E:$E,'Relacion '!#REF!,0),
  0
 )
)</f>
        <v>0</v>
      </c>
      <c r="I455" s="241">
        <f t="shared" ca="1" si="108"/>
        <v>1</v>
      </c>
      <c r="J455" s="241"/>
      <c r="K455" s="241"/>
      <c r="L455" s="238"/>
    </row>
    <row r="456" spans="2:12" outlineLevel="1">
      <c r="B456" s="237" t="s">
        <v>324</v>
      </c>
      <c r="C456" s="237" t="s">
        <v>324</v>
      </c>
      <c r="D456" s="238" t="str">
        <f>_xlfn.XLOOKUP(B456,'Relacion '!$E:$E,'Relacion '!$D:$D,"")</f>
        <v/>
      </c>
      <c r="E456" s="239">
        <f t="shared" si="106"/>
        <v>11</v>
      </c>
      <c r="F456" s="240" cm="1">
        <f t="array" ref="F456">MIN(INDEX('Relacion '!$AD$5:$AE$493,MATCH(INDEX($B:$B, (ROW()-4)),'Relacion '!$E$5:$E$493,0),0))</f>
        <v>46160</v>
      </c>
      <c r="G456" s="240" cm="1">
        <f t="array" ref="G456">MAX(INDEX('Relacion '!$AD$5:$AE$493,MATCH(INDEX($B:$B, (ROW()-4)),'Relacion '!$E$5:$E$493,0),0))</f>
        <v>46171</v>
      </c>
      <c r="H456" s="241" cm="1">
        <f t="array" ref="H456">IF(
 MATCH(B456,{"01. ASIGNACION AREA";"02. MAPEO";"03. DESARROLLO";"04. VALIDA US";"05. VOBO US";"06. BW-EJECUCION";"07. VALIDACIÓN BAJAWARE";"08. CERRADA"},0)
 &lt;
 MATCH(_xlfn.XLOOKUP(INDEX($B:$B, (ROW()-4)),'Relacion '!$E:$E,'Relacion '!$D:$D,""),{"01. ASIGNACION AREA";"02. MAPEO";"03. DESARROLLO";"04. VALIDA US";"05. VOBO US";"06. BW-EJECUCION";"07. VALIDACIÓN BAJAWARE";"08. CERRADA"},0),
 1,
 IF(
  MATCH(B456,{"01. ASIGNACION AREA";"02. MAPEO";"03. DESARROLLO";"04. VALIDA US";"05. VOBO US";"06. BW-EJECUCION";"07. VALIDACIÓN BAJAWARE";"08. CERRADA"},0)
  =
  MATCH(_xlfn.XLOOKUP(INDEX($B:$B, (ROW()-4)),'Relacion '!$E:$E,'Relacion '!$D:$D,""),{"01. ASIGNACION AREA";"02. MAPEO";"03. DESARROLLO";"04. VALIDA US";"05. VOBO US";"06. BW-EJECUCION";"07. VALIDACIÓN BAJAWARE";"08. CERRADA"},0),
  _xlfn.XLOOKUP(INDEX($B:$B, (ROW()-4)),'Relacion '!$E:$E,'Relacion '!#REF!,0),
  0
 )
)</f>
        <v>0</v>
      </c>
      <c r="I456" s="241">
        <f t="shared" ca="1" si="108"/>
        <v>0</v>
      </c>
      <c r="J456" s="241"/>
      <c r="K456" s="241"/>
      <c r="L456" s="238"/>
    </row>
    <row r="457" spans="2:12" outlineLevel="1">
      <c r="B457" s="237" t="s">
        <v>320</v>
      </c>
      <c r="C457" s="237" t="s">
        <v>320</v>
      </c>
      <c r="D457" s="238" t="str">
        <f>_xlfn.XLOOKUP(B457,'Relacion '!$E:$E,'Relacion '!$D:$D,"")</f>
        <v/>
      </c>
      <c r="E457" s="239">
        <f t="shared" si="106"/>
        <v>3</v>
      </c>
      <c r="F457" s="240" cm="1">
        <f t="array" ref="F457">MIN(INDEX('Relacion '!$AF$5:$AG$493,MATCH(INDEX($B:$B, (ROW()-5)),'Relacion '!$E$5:$E$493,0),0))</f>
        <v>46171</v>
      </c>
      <c r="G457" s="240" cm="1">
        <f t="array" ref="G457">MAX(INDEX('Relacion '!$AF$5:$AG$493,MATCH(INDEX($B:$B, (ROW()-5)),'Relacion '!$E$5:$E$493,0),0))</f>
        <v>46174</v>
      </c>
      <c r="H457" s="241" cm="1">
        <f t="array" ref="H457">IF(
 MATCH(B457,{"01. ASIGNACION AREA";"02. MAPEO";"03. DESARROLLO";"04. VALIDA US";"05. VOBO US";"06. BW-EJECUCION";"07. VALIDACIÓN BAJAWARE";"08. CERRADA"},0)
 &lt;
 MATCH(_xlfn.XLOOKUP(INDEX($B:$B, (ROW()-5)),'Relacion '!$E:$E,'Relacion '!$D:$D,""),{"01. ASIGNACION AREA";"02. MAPEO";"03. DESARROLLO";"04. VALIDA US";"05. VOBO US";"06. BW-EJECUCION";"07. VALIDACIÓN BAJAWARE";"08. CERRADA"},0),
 1,
 IF(
  MATCH(B457,{"01. ASIGNACION AREA";"02. MAPEO";"03. DESARROLLO";"04. VALIDA US";"05. VOBO US";"06. BW-EJECUCION";"07. VALIDACIÓN BAJAWARE";"08. CERRADA"},0)
  =
  MATCH(_xlfn.XLOOKUP(INDEX($B:$B, (ROW()-5)),'Relacion '!$E:$E,'Relacion '!$D:$D,""),{"01. ASIGNACION AREA";"02. MAPEO";"03. DESARROLLO";"04. VALIDA US";"05. VOBO US";"06. BW-EJECUCION";"07. VALIDACIÓN BAJAWARE";"08. CERRADA"},0),
  _xlfn.XLOOKUP(INDEX($B:$B, (ROW()-5)),'Relacion '!$E:$E,'Relacion '!#REF!,0),
  0
 )
)</f>
        <v>0</v>
      </c>
      <c r="I457" s="241">
        <f t="shared" ca="1" si="108"/>
        <v>0</v>
      </c>
      <c r="J457" s="241"/>
      <c r="K457" s="241"/>
      <c r="L457" s="238"/>
    </row>
    <row r="458" spans="2:12" outlineLevel="1">
      <c r="B458" s="237" t="s">
        <v>710</v>
      </c>
      <c r="C458" s="237" t="s">
        <v>710</v>
      </c>
      <c r="D458" s="238" t="str">
        <f>_xlfn.XLOOKUP(B458,'Relacion '!$E:$E,'Relacion '!$D:$D,"")</f>
        <v/>
      </c>
      <c r="E458" s="239">
        <f t="shared" si="106"/>
        <v>2</v>
      </c>
      <c r="F458" s="240" cm="1">
        <f t="array" ref="F458">MIN(INDEX('Relacion '!$AH$5:$AI$493,MATCH(INDEX($B:$B, (ROW()-6)),'Relacion '!$E$5:$E$493,0),0))</f>
        <v>46175</v>
      </c>
      <c r="G458" s="240" cm="1">
        <f t="array" ref="G458">MAX(INDEX('Relacion '!$AH$5:$AI$493,MATCH(INDEX($B:$B, (ROW()-6)),'Relacion '!$E$5:$E$493,0),0))</f>
        <v>46177</v>
      </c>
      <c r="H458" s="241" cm="1">
        <f t="array" ref="H458">IF(
 MATCH(B458,{"01. ASIGNACION AREA";"02. MAPEO";"03. DESARROLLO";"04. VALIDA US";"05. VOBO US";"06. BW-EJECUCION";"07. VALIDACIÓN BAJAWARE";"08. CERRADA"},0)
 &lt;
 MATCH(_xlfn.XLOOKUP(INDEX($B:$B, (ROW()-6)),'Relacion '!$E:$E,'Relacion '!$D:$D,""),{"01. ASIGNACION AREA";"02. MAPEO";"03. DESARROLLO";"04. VALIDA US";"05. VOBO US";"06. BW-EJECUCION";"07. VALIDACIÓN BAJAWARE";"08. CERRADA"},0),
 1,
 IF(
  MATCH(B458,{"01. ASIGNACION AREA";"02. MAPEO";"03. DESARROLLO";"04. VALIDA US";"05. VOBO US";"06. BW-EJECUCION";"07. VALIDACIÓN BAJAWARE";"08. CERRADA"},0)
  =
  MATCH(_xlfn.XLOOKUP(INDEX($B:$B, (ROW()-6)),'Relacion '!$E:$E,'Relacion '!$D:$D,""),{"01. ASIGNACION AREA";"02. MAPEO";"03. DESARROLLO";"04. VALIDA US";"05. VOBO US";"06. BW-EJECUCION";"07. VALIDACIÓN BAJAWARE";"08. CERRADA"},0),
  _xlfn.XLOOKUP(INDEX($B:$B, (ROW()-6)),'Relacion '!$E:$E,'Relacion '!#REF!,0),
  0
 )
)</f>
        <v>0</v>
      </c>
      <c r="I458" s="241">
        <f t="shared" ca="1" si="108"/>
        <v>0</v>
      </c>
      <c r="J458" s="241"/>
      <c r="K458" s="241"/>
      <c r="L458" s="238"/>
    </row>
    <row r="459" spans="2:12" outlineLevel="1">
      <c r="B459" s="237" t="s">
        <v>655</v>
      </c>
      <c r="C459" s="237" t="s">
        <v>655</v>
      </c>
      <c r="D459" s="238" t="str">
        <f>_xlfn.XLOOKUP(B459,'Relacion '!$E:$E,'Relacion '!$D:$D,"")</f>
        <v/>
      </c>
      <c r="E459" s="239">
        <f t="shared" si="106"/>
        <v>14</v>
      </c>
      <c r="F459" s="240" cm="1">
        <f t="array" ref="F459">MIN(INDEX('Relacion '!$AJ$5:$AK$493,MATCH(INDEX($B:$B, (ROW()-7)),'Relacion '!$E$5:$E$493,0),0))</f>
        <v>46178</v>
      </c>
      <c r="G459" s="240" cm="1">
        <f t="array" ref="G459">MAX(INDEX('Relacion '!$AJ$5:$AK$493,MATCH(INDEX($B:$B, (ROW()-7)),'Relacion '!$E$5:$E$493,0),0))</f>
        <v>46192</v>
      </c>
      <c r="H459" s="241" cm="1">
        <f t="array" ref="H459">IF(
 MATCH(B459,{"01. ASIGNACION AREA";"02. MAPEO";"03. DESARROLLO";"04. VALIDA US";"05. VOBO US";"06. BW-EJECUCION";"07. VALIDACIÓN BAJAWARE";"08. CERRADA"},0)
 &lt;
 MATCH(_xlfn.XLOOKUP(INDEX($B:$B, (ROW()-7)),'Relacion '!$E:$E,'Relacion '!$D:$D,""),{"01. ASIGNACION AREA";"02. MAPEO";"03. DESARROLLO";"04. VALIDA US";"05. VOBO US";"06. BW-EJECUCION";"07. VALIDACIÓN BAJAWARE";"08. CERRADA"},0),
 1,
 IF(
  MATCH(B459,{"01. ASIGNACION AREA";"02. MAPEO";"03. DESARROLLO";"04. VALIDA US";"05. VOBO US";"06. BW-EJECUCION";"07. VALIDACIÓN BAJAWARE";"08. CERRADA"},0)
  =
  MATCH(_xlfn.XLOOKUP(INDEX($B:$B, (ROW()-7)),'Relacion '!$E:$E,'Relacion '!$D:$D,""),{"01. ASIGNACION AREA";"02. MAPEO";"03. DESARROLLO";"04. VALIDA US";"05. VOBO US";"06. BW-EJECUCION";"07. VALIDACIÓN BAJAWARE";"08. CERRADA"},0),
  _xlfn.XLOOKUP(INDEX($B:$B, (ROW()-7)),'Relacion '!$E:$E,'Relacion '!#REF!,0),
  0
 )
)</f>
        <v>0</v>
      </c>
      <c r="I459" s="241">
        <f t="shared" ca="1" si="108"/>
        <v>0</v>
      </c>
      <c r="J459" s="241"/>
      <c r="K459" s="241"/>
      <c r="L459" s="238"/>
    </row>
    <row r="460" spans="2:12" outlineLevel="1">
      <c r="B460" s="237" t="s">
        <v>656</v>
      </c>
      <c r="C460" s="237" t="s">
        <v>656</v>
      </c>
      <c r="D460" s="238" t="str">
        <f>_xlfn.XLOOKUP(B460,'Relacion '!$E:$E,'Relacion '!$D:$D,"")</f>
        <v/>
      </c>
      <c r="E460" s="239">
        <f t="shared" si="106"/>
        <v>1</v>
      </c>
      <c r="F460" s="240" cm="1">
        <f t="array" ref="F460">MIN(INDEX('Relacion '!$AL$5:$AM$493,MATCH(INDEX($B:$B, (ROW()-8)),'Relacion '!$E$5:$E$493,0),0))</f>
        <v>46195</v>
      </c>
      <c r="G460" s="240" cm="1">
        <f t="array" ref="G460">MAX(INDEX('Relacion '!$AL$5:$AM$493,MATCH(INDEX($B:$B, (ROW()-8)),'Relacion '!$E$5:$E$493,0),0))</f>
        <v>46196</v>
      </c>
      <c r="H460" s="241" cm="1">
        <f t="array" ref="H460">IF(
 MATCH(B460,{"01. ASIGNACION AREA";"02. MAPEO";"03. DESARROLLO";"04. VALIDA US";"05. VOBO US";"06. BW-EJECUCION";"07. VALIDACIÓN BAJAWARE";"08. CERRADA"},0)
 &lt;
 MATCH(_xlfn.XLOOKUP(INDEX($B:$B, (ROW()-8)),'Relacion '!$E:$E,'Relacion '!$D:$D,""),{"01. ASIGNACION AREA";"02. MAPEO";"03. DESARROLLO";"04. VALIDA US";"05. VOBO US";"06. BW-EJECUCION";"07. VALIDACIÓN BAJAWARE";"08. CERRADA"},0),
 1,
 IF(
  MATCH(B460,{"01. ASIGNACION AREA";"02. MAPEO";"03. DESARROLLO";"04. VALIDA US";"05. VOBO US";"06. BW-EJECUCION";"07. VALIDACIÓN BAJAWARE";"08. CERRADA"},0)
  =
  MATCH(_xlfn.XLOOKUP(INDEX($B:$B, (ROW()-8)),'Relacion '!$E:$E,'Relacion '!$D:$D,""),{"01. ASIGNACION AREA";"02. MAPEO";"03. DESARROLLO";"04. VALIDA US";"05. VOBO US";"06. BW-EJECUCION";"07. VALIDACIÓN BAJAWARE";"08. CERRADA"},0),
  _xlfn.XLOOKUP(INDEX($B:$B, (ROW()-8)),'Relacion '!$E:$E,'Relacion '!#REF!,0),
  0
 )
)</f>
        <v>0</v>
      </c>
      <c r="I460" s="241">
        <f t="shared" ca="1" si="108"/>
        <v>0</v>
      </c>
      <c r="J460" s="241"/>
      <c r="K460" s="241"/>
      <c r="L460" s="238"/>
    </row>
    <row r="461" spans="2:12">
      <c r="B461" s="232" t="s">
        <v>471</v>
      </c>
      <c r="C461" s="167" t="s">
        <v>472</v>
      </c>
      <c r="D461" s="236" t="str">
        <f>_xlfn.XLOOKUP(B461,'Relacion '!$E:$E,'Relacion '!$D:$D,"")</f>
        <v>06. BW-EJECUCION</v>
      </c>
      <c r="E461" s="233">
        <f t="shared" si="106"/>
        <v>99</v>
      </c>
      <c r="F461" s="234" cm="1">
        <f t="array" ref="F461">MIN(INDEX('Relacion '!$X$5:$AM$493,MATCH(INDEX($B:$B, (ROW()-0)),'Relacion '!$E$5:$E$493,0),0))</f>
        <v>46024</v>
      </c>
      <c r="G461" s="234" cm="1">
        <f t="array" ref="G461">MAX(INDEX('Relacion '!$X$5:$AM$493,MATCH(INDEX($B:$B, (ROW()-0)),'Relacion '!$E$5:$E$493,0),0))</f>
        <v>46123</v>
      </c>
      <c r="H461" s="235" t="e">
        <f>AVERAGE(H462:H469)</f>
        <v>#REF!</v>
      </c>
      <c r="I461" s="235">
        <f t="shared" ref="I461" ca="1" si="109">AVERAGE(I462:I469)</f>
        <v>1</v>
      </c>
      <c r="J461" s="236" t="str">
        <f>IF(ISNUMBER(SEARCH("Rocha", _xlfn.XLOOKUP(B461,'Relacion '!$E:$E,'Relacion '!$I:$I,""))), "Sí", "No")</f>
        <v>No</v>
      </c>
      <c r="K461" s="236" t="str">
        <f>IF(ISNUMBER(SEARCH("Rocha", _xlfn.XLOOKUP(B461,'Relacion '!$E:$E,'Relacion '!$I:$I,""))), "RMC", _xlfn.XLOOKUP(B461,'Relacion '!$E:$E,'Relacion '!$B:$B,""))</f>
        <v>Riesgos y tesoreria</v>
      </c>
      <c r="L461" s="236" t="str">
        <f>_xlfn.XLOOKUP(B461,'Relacion '!$E:$E,'Relacion '!$C:$C,"")</f>
        <v>Homero Sanchez</v>
      </c>
    </row>
    <row r="462" spans="2:12" outlineLevel="1">
      <c r="B462" s="237" t="s">
        <v>654</v>
      </c>
      <c r="C462" s="237" t="s">
        <v>654</v>
      </c>
      <c r="D462" s="238" t="str">
        <f>_xlfn.XLOOKUP(B462,'Relacion '!$E:$E,'Relacion '!$D:$D,"")</f>
        <v/>
      </c>
      <c r="E462" s="239">
        <f t="shared" si="106"/>
        <v>7</v>
      </c>
      <c r="F462" s="240" cm="1">
        <f t="array" ref="F462">MIN(INDEX('Relacion '!$X$5:$Y$493,MATCH(INDEX($B:$B, (ROW()-1)),'Relacion '!$E$5:$E$493,0),0))</f>
        <v>46024</v>
      </c>
      <c r="G462" s="240" cm="1">
        <f t="array" ref="G462">MAX(INDEX('Relacion '!$X$5:$Y$493,MATCH(INDEX($B:$B, (ROW()-1)),'Relacion '!$E$5:$E$493,0),0))</f>
        <v>46031</v>
      </c>
      <c r="H462" s="241" cm="1">
        <f t="array" ref="H462">IF(
 MATCH(B462,{"01. ASIGNACION AREA";"02. MAPEO";"03. DESARROLLO";"04. VALIDA US";"05. VOBO US";"06. BW-EJECUCION";"07. VALIDACIÓN BAJAWARE";"08. CERRADA"},0)
 &lt;
 MATCH(_xlfn.XLOOKUP(INDEX($B:$B, (ROW()-1)),'Relacion '!$E:$E,'Relacion '!$D:$D,""),{"01. ASIGNACION AREA";"02. MAPEO";"03. DESARROLLO";"04. VALIDA US";"05. VOBO US";"06. BW-EJECUCION";"07. VALIDACIÓN BAJAWARE";"08. CERRADA"},0),
 1,
 IF(
  MATCH(B462,{"01. ASIGNACION AREA";"02. MAPEO";"03. DESARROLLO";"04. VALIDA US";"05. VOBO US";"06. BW-EJECUCION";"07. VALIDACIÓN BAJAWARE";"08. CERRADA"},0)
  =
  MATCH(_xlfn.XLOOKUP(INDEX($B:$B, (ROW()-1)),'Relacion '!$E:$E,'Relacion '!$D:$D,""),{"01. ASIGNACION AREA";"02. MAPEO";"03. DESARROLLO";"04. VALIDA US";"05. VOBO US";"06. BW-EJECUCION";"07. VALIDACIÓN BAJAWARE";"08. CERRADA"},0),
  _xlfn.XLOOKUP(INDEX($B:$B, (ROW()-1)),'Relacion '!$E:$E,'Relacion '!#REF!,0),
  0
 )
)</f>
        <v>1</v>
      </c>
      <c r="I462" s="241">
        <f t="shared" ref="I462" ca="1" si="110">IF(G462&lt;=TODAY(), 1, 0)</f>
        <v>1</v>
      </c>
      <c r="J462" s="241"/>
      <c r="K462" s="241"/>
      <c r="L462" s="238"/>
    </row>
    <row r="463" spans="2:12" outlineLevel="1">
      <c r="B463" s="237" t="s">
        <v>195</v>
      </c>
      <c r="C463" s="237" t="s">
        <v>195</v>
      </c>
      <c r="D463" s="238" t="str">
        <f>_xlfn.XLOOKUP(B463,'Relacion '!$E:$E,'Relacion '!$D:$D,"")</f>
        <v/>
      </c>
      <c r="E463" s="239">
        <f t="shared" si="106"/>
        <v>4</v>
      </c>
      <c r="F463" s="240" cm="1">
        <f t="array" ref="F463">MIN(INDEX('Relacion '!$Z$5:$AA$493,MATCH(INDEX($B:$B, (ROW()-2)),'Relacion '!$E$5:$E$493,0),0))</f>
        <v>46034</v>
      </c>
      <c r="G463" s="240" cm="1">
        <f t="array" ref="G463">MAX(INDEX('Relacion '!$Z$5:$AA$493,MATCH(INDEX($B:$B, (ROW()-2)),'Relacion '!$E$5:$E$493,0),0))</f>
        <v>46038</v>
      </c>
      <c r="H463" s="241" cm="1">
        <f t="array" ref="H463">IF(
 MATCH(B463,{"01. ASIGNACION AREA";"02. MAPEO";"03. DESARROLLO";"04. VALIDA US";"05. VOBO US";"06. BW-EJECUCION";"07. VALIDACIÓN BAJAWARE";"08. CERRADA"},0)
 &lt;
 MATCH(_xlfn.XLOOKUP(INDEX($B:$B, (ROW()-2)),'Relacion '!$E:$E,'Relacion '!$D:$D,""),{"01. ASIGNACION AREA";"02. MAPEO";"03. DESARROLLO";"04. VALIDA US";"05. VOBO US";"06. BW-EJECUCION";"07. VALIDACIÓN BAJAWARE";"08. CERRADA"},0),
 1,
 IF(
  MATCH(B463,{"01. ASIGNACION AREA";"02. MAPEO";"03. DESARROLLO";"04. VALIDA US";"05. VOBO US";"06. BW-EJECUCION";"07. VALIDACIÓN BAJAWARE";"08. CERRADA"},0)
  =
  MATCH(_xlfn.XLOOKUP(INDEX($B:$B, (ROW()-2)),'Relacion '!$E:$E,'Relacion '!$D:$D,""),{"01. ASIGNACION AREA";"02. MAPEO";"03. DESARROLLO";"04. VALIDA US";"05. VOBO US";"06. BW-EJECUCION";"07. VALIDACIÓN BAJAWARE";"08. CERRADA"},0),
  _xlfn.XLOOKUP(INDEX($B:$B, (ROW()-2)),'Relacion '!$E:$E,'Relacion '!#REF!,0),
  0
 )
)</f>
        <v>1</v>
      </c>
      <c r="I463" s="241">
        <f t="shared" ca="1" si="108"/>
        <v>1</v>
      </c>
      <c r="J463" s="241"/>
      <c r="K463" s="241"/>
      <c r="L463" s="238"/>
    </row>
    <row r="464" spans="2:12" outlineLevel="1">
      <c r="B464" s="237" t="s">
        <v>49</v>
      </c>
      <c r="C464" s="237" t="s">
        <v>49</v>
      </c>
      <c r="D464" s="238" t="str">
        <f>_xlfn.XLOOKUP(B464,'Relacion '!$E:$E,'Relacion '!$D:$D,"")</f>
        <v/>
      </c>
      <c r="E464" s="239">
        <f t="shared" si="106"/>
        <v>4</v>
      </c>
      <c r="F464" s="240" cm="1">
        <f t="array" ref="F464">MIN(INDEX('Relacion '!$AB$5:$AC$493,MATCH(INDEX($B:$B, (ROW()-3)),'Relacion '!$E$5:$E$493,0),0))</f>
        <v>46041</v>
      </c>
      <c r="G464" s="240" cm="1">
        <f t="array" ref="G464">MAX(INDEX('Relacion '!$AB$5:$AC$493,MATCH(INDEX($B:$B, (ROW()-3)),'Relacion '!$E$5:$E$493,0),0))</f>
        <v>46045</v>
      </c>
      <c r="H464" s="241" cm="1">
        <f t="array" ref="H464">IF(
 MATCH(B464,{"01. ASIGNACION AREA";"02. MAPEO";"03. DESARROLLO";"04. VALIDA US";"05. VOBO US";"06. BW-EJECUCION";"07. VALIDACIÓN BAJAWARE";"08. CERRADA"},0)
 &lt;
 MATCH(_xlfn.XLOOKUP(INDEX($B:$B, (ROW()-3)),'Relacion '!$E:$E,'Relacion '!$D:$D,""),{"01. ASIGNACION AREA";"02. MAPEO";"03. DESARROLLO";"04. VALIDA US";"05. VOBO US";"06. BW-EJECUCION";"07. VALIDACIÓN BAJAWARE";"08. CERRADA"},0),
 1,
 IF(
  MATCH(B464,{"01. ASIGNACION AREA";"02. MAPEO";"03. DESARROLLO";"04. VALIDA US";"05. VOBO US";"06. BW-EJECUCION";"07. VALIDACIÓN BAJAWARE";"08. CERRADA"},0)
  =
  MATCH(_xlfn.XLOOKUP(INDEX($B:$B, (ROW()-3)),'Relacion '!$E:$E,'Relacion '!$D:$D,""),{"01. ASIGNACION AREA";"02. MAPEO";"03. DESARROLLO";"04. VALIDA US";"05. VOBO US";"06. BW-EJECUCION";"07. VALIDACIÓN BAJAWARE";"08. CERRADA"},0),
  _xlfn.XLOOKUP(INDEX($B:$B, (ROW()-3)),'Relacion '!$E:$E,'Relacion '!#REF!,0),
  0
 )
)</f>
        <v>1</v>
      </c>
      <c r="I464" s="241">
        <f t="shared" ca="1" si="108"/>
        <v>1</v>
      </c>
      <c r="J464" s="241"/>
      <c r="K464" s="241"/>
      <c r="L464" s="238"/>
    </row>
    <row r="465" spans="2:12" outlineLevel="1">
      <c r="B465" s="237" t="s">
        <v>324</v>
      </c>
      <c r="C465" s="237" t="s">
        <v>324</v>
      </c>
      <c r="D465" s="238" t="str">
        <f>_xlfn.XLOOKUP(B465,'Relacion '!$E:$E,'Relacion '!$D:$D,"")</f>
        <v/>
      </c>
      <c r="E465" s="239">
        <f t="shared" si="106"/>
        <v>4</v>
      </c>
      <c r="F465" s="240" cm="1">
        <f t="array" ref="F465">MIN(INDEX('Relacion '!$AD$5:$AE$493,MATCH(INDEX($B:$B, (ROW()-4)),'Relacion '!$E$5:$E$493,0),0))</f>
        <v>46048</v>
      </c>
      <c r="G465" s="240" cm="1">
        <f t="array" ref="G465">MAX(INDEX('Relacion '!$AD$5:$AE$493,MATCH(INDEX($B:$B, (ROW()-4)),'Relacion '!$E$5:$E$493,0),0))</f>
        <v>46052</v>
      </c>
      <c r="H465" s="241" cm="1">
        <f t="array" ref="H465">IF(
 MATCH(B465,{"01. ASIGNACION AREA";"02. MAPEO";"03. DESARROLLO";"04. VALIDA US";"05. VOBO US";"06. BW-EJECUCION";"07. VALIDACIÓN BAJAWARE";"08. CERRADA"},0)
 &lt;
 MATCH(_xlfn.XLOOKUP(INDEX($B:$B, (ROW()-4)),'Relacion '!$E:$E,'Relacion '!$D:$D,""),{"01. ASIGNACION AREA";"02. MAPEO";"03. DESARROLLO";"04. VALIDA US";"05. VOBO US";"06. BW-EJECUCION";"07. VALIDACIÓN BAJAWARE";"08. CERRADA"},0),
 1,
 IF(
  MATCH(B465,{"01. ASIGNACION AREA";"02. MAPEO";"03. DESARROLLO";"04. VALIDA US";"05. VOBO US";"06. BW-EJECUCION";"07. VALIDACIÓN BAJAWARE";"08. CERRADA"},0)
  =
  MATCH(_xlfn.XLOOKUP(INDEX($B:$B, (ROW()-4)),'Relacion '!$E:$E,'Relacion '!$D:$D,""),{"01. ASIGNACION AREA";"02. MAPEO";"03. DESARROLLO";"04. VALIDA US";"05. VOBO US";"06. BW-EJECUCION";"07. VALIDACIÓN BAJAWARE";"08. CERRADA"},0),
  _xlfn.XLOOKUP(INDEX($B:$B, (ROW()-4)),'Relacion '!$E:$E,'Relacion '!#REF!,0),
  0
 )
)</f>
        <v>1</v>
      </c>
      <c r="I465" s="241">
        <f t="shared" ca="1" si="108"/>
        <v>1</v>
      </c>
      <c r="J465" s="241"/>
      <c r="K465" s="241"/>
      <c r="L465" s="238"/>
    </row>
    <row r="466" spans="2:12" outlineLevel="1">
      <c r="B466" s="237" t="s">
        <v>320</v>
      </c>
      <c r="C466" s="237" t="s">
        <v>320</v>
      </c>
      <c r="D466" s="238" t="str">
        <f>_xlfn.XLOOKUP(B466,'Relacion '!$E:$E,'Relacion '!$D:$D,"")</f>
        <v/>
      </c>
      <c r="E466" s="239">
        <f t="shared" si="106"/>
        <v>14</v>
      </c>
      <c r="F466" s="240" cm="1">
        <f t="array" ref="F466">MIN(INDEX('Relacion '!$AF$5:$AG$493,MATCH(INDEX($B:$B, (ROW()-5)),'Relacion '!$E$5:$E$493,0),0))</f>
        <v>46055</v>
      </c>
      <c r="G466" s="240" cm="1">
        <f t="array" ref="G466">MAX(INDEX('Relacion '!$AF$5:$AG$493,MATCH(INDEX($B:$B, (ROW()-5)),'Relacion '!$E$5:$E$493,0),0))</f>
        <v>46069</v>
      </c>
      <c r="H466" s="241" cm="1">
        <f t="array" ref="H466">IF(
 MATCH(B466,{"01. ASIGNACION AREA";"02. MAPEO";"03. DESARROLLO";"04. VALIDA US";"05. VOBO US";"06. BW-EJECUCION";"07. VALIDACIÓN BAJAWARE";"08. CERRADA"},0)
 &lt;
 MATCH(_xlfn.XLOOKUP(INDEX($B:$B, (ROW()-5)),'Relacion '!$E:$E,'Relacion '!$D:$D,""),{"01. ASIGNACION AREA";"02. MAPEO";"03. DESARROLLO";"04. VALIDA US";"05. VOBO US";"06. BW-EJECUCION";"07. VALIDACIÓN BAJAWARE";"08. CERRADA"},0),
 1,
 IF(
  MATCH(B466,{"01. ASIGNACION AREA";"02. MAPEO";"03. DESARROLLO";"04. VALIDA US";"05. VOBO US";"06. BW-EJECUCION";"07. VALIDACIÓN BAJAWARE";"08. CERRADA"},0)
  =
  MATCH(_xlfn.XLOOKUP(INDEX($B:$B, (ROW()-5)),'Relacion '!$E:$E,'Relacion '!$D:$D,""),{"01. ASIGNACION AREA";"02. MAPEO";"03. DESARROLLO";"04. VALIDA US";"05. VOBO US";"06. BW-EJECUCION";"07. VALIDACIÓN BAJAWARE";"08. CERRADA"},0),
  _xlfn.XLOOKUP(INDEX($B:$B, (ROW()-5)),'Relacion '!$E:$E,'Relacion '!#REF!,0),
  0
 )
)</f>
        <v>1</v>
      </c>
      <c r="I466" s="241">
        <f t="shared" ca="1" si="108"/>
        <v>1</v>
      </c>
      <c r="J466" s="241"/>
      <c r="K466" s="241"/>
      <c r="L466" s="238"/>
    </row>
    <row r="467" spans="2:12" outlineLevel="1">
      <c r="B467" s="237" t="s">
        <v>710</v>
      </c>
      <c r="C467" s="237" t="s">
        <v>710</v>
      </c>
      <c r="D467" s="238" t="str">
        <f>_xlfn.XLOOKUP(B467,'Relacion '!$E:$E,'Relacion '!$D:$D,"")</f>
        <v/>
      </c>
      <c r="E467" s="239">
        <f t="shared" si="106"/>
        <v>18</v>
      </c>
      <c r="F467" s="240" cm="1">
        <f t="array" ref="F467">MIN(INDEX('Relacion '!$AH$5:$AI$493,MATCH(INDEX($B:$B, (ROW()-6)),'Relacion '!$E$5:$E$493,0),0))</f>
        <v>46083</v>
      </c>
      <c r="G467" s="240" cm="1">
        <f t="array" ref="G467">MAX(INDEX('Relacion '!$AH$5:$AI$493,MATCH(INDEX($B:$B, (ROW()-6)),'Relacion '!$E$5:$E$493,0),0))</f>
        <v>46101</v>
      </c>
      <c r="H467" s="241" t="e" cm="1">
        <f t="array" ref="H467">IF(
 MATCH(B467,{"01. ASIGNACION AREA";"02. MAPEO";"03. DESARROLLO";"04. VALIDA US";"05. VOBO US";"06. BW-EJECUCION";"07. VALIDACIÓN BAJAWARE";"08. CERRADA"},0)
 &lt;
 MATCH(_xlfn.XLOOKUP(INDEX($B:$B, (ROW()-6)),'Relacion '!$E:$E,'Relacion '!$D:$D,""),{"01. ASIGNACION AREA";"02. MAPEO";"03. DESARROLLO";"04. VALIDA US";"05. VOBO US";"06. BW-EJECUCION";"07. VALIDACIÓN BAJAWARE";"08. CERRADA"},0),
 1,
 IF(
  MATCH(B467,{"01. ASIGNACION AREA";"02. MAPEO";"03. DESARROLLO";"04. VALIDA US";"05. VOBO US";"06. BW-EJECUCION";"07. VALIDACIÓN BAJAWARE";"08. CERRADA"},0)
  =
  MATCH(_xlfn.XLOOKUP(INDEX($B:$B, (ROW()-6)),'Relacion '!$E:$E,'Relacion '!$D:$D,""),{"01. ASIGNACION AREA";"02. MAPEO";"03. DESARROLLO";"04. VALIDA US";"05. VOBO US";"06. BW-EJECUCION";"07. VALIDACIÓN BAJAWARE";"08. CERRADA"},0),
  _xlfn.XLOOKUP(INDEX($B:$B, (ROW()-6)),'Relacion '!$E:$E,'Relacion '!#REF!,0),
  0
 )
)</f>
        <v>#REF!</v>
      </c>
      <c r="I467" s="241">
        <f t="shared" ca="1" si="108"/>
        <v>1</v>
      </c>
      <c r="J467" s="241"/>
      <c r="K467" s="241"/>
      <c r="L467" s="238"/>
    </row>
    <row r="468" spans="2:12" outlineLevel="1">
      <c r="B468" s="237" t="s">
        <v>655</v>
      </c>
      <c r="C468" s="237" t="s">
        <v>655</v>
      </c>
      <c r="D468" s="238" t="str">
        <f>_xlfn.XLOOKUP(B468,'Relacion '!$E:$E,'Relacion '!$D:$D,"")</f>
        <v/>
      </c>
      <c r="E468" s="239">
        <f t="shared" si="106"/>
        <v>18</v>
      </c>
      <c r="F468" s="240" cm="1">
        <f t="array" ref="F468">MIN(INDEX('Relacion '!$AJ$5:$AK$493,MATCH(INDEX($B:$B, (ROW()-7)),'Relacion '!$E$5:$E$493,0),0))</f>
        <v>46104</v>
      </c>
      <c r="G468" s="240" cm="1">
        <f t="array" ref="G468">MAX(INDEX('Relacion '!$AJ$5:$AK$493,MATCH(INDEX($B:$B, (ROW()-7)),'Relacion '!$E$5:$E$493,0),0))</f>
        <v>46122</v>
      </c>
      <c r="H468" s="241" cm="1">
        <f t="array" ref="H468">IF(
 MATCH(B468,{"01. ASIGNACION AREA";"02. MAPEO";"03. DESARROLLO";"04. VALIDA US";"05. VOBO US";"06. BW-EJECUCION";"07. VALIDACIÓN BAJAWARE";"08. CERRADA"},0)
 &lt;
 MATCH(_xlfn.XLOOKUP(INDEX($B:$B, (ROW()-7)),'Relacion '!$E:$E,'Relacion '!$D:$D,""),{"01. ASIGNACION AREA";"02. MAPEO";"03. DESARROLLO";"04. VALIDA US";"05. VOBO US";"06. BW-EJECUCION";"07. VALIDACIÓN BAJAWARE";"08. CERRADA"},0),
 1,
 IF(
  MATCH(B468,{"01. ASIGNACION AREA";"02. MAPEO";"03. DESARROLLO";"04. VALIDA US";"05. VOBO US";"06. BW-EJECUCION";"07. VALIDACIÓN BAJAWARE";"08. CERRADA"},0)
  =
  MATCH(_xlfn.XLOOKUP(INDEX($B:$B, (ROW()-7)),'Relacion '!$E:$E,'Relacion '!$D:$D,""),{"01. ASIGNACION AREA";"02. MAPEO";"03. DESARROLLO";"04. VALIDA US";"05. VOBO US";"06. BW-EJECUCION";"07. VALIDACIÓN BAJAWARE";"08. CERRADA"},0),
  _xlfn.XLOOKUP(INDEX($B:$B, (ROW()-7)),'Relacion '!$E:$E,'Relacion '!#REF!,0),
  0
 )
)</f>
        <v>0</v>
      </c>
      <c r="I468" s="241">
        <f t="shared" ca="1" si="108"/>
        <v>1</v>
      </c>
      <c r="J468" s="241"/>
      <c r="K468" s="241"/>
      <c r="L468" s="238"/>
    </row>
    <row r="469" spans="2:12" outlineLevel="1">
      <c r="B469" s="237" t="s">
        <v>656</v>
      </c>
      <c r="C469" s="237" t="s">
        <v>656</v>
      </c>
      <c r="D469" s="238" t="str">
        <f>_xlfn.XLOOKUP(B469,'Relacion '!$E:$E,'Relacion '!$D:$D,"")</f>
        <v/>
      </c>
      <c r="E469" s="239">
        <f t="shared" si="106"/>
        <v>0</v>
      </c>
      <c r="F469" s="240" cm="1">
        <f t="array" ref="F469">MIN(INDEX('Relacion '!$AL$5:$AM$493,MATCH(INDEX($B:$B, (ROW()-8)),'Relacion '!$E$5:$E$493,0),0))</f>
        <v>46123</v>
      </c>
      <c r="G469" s="240" cm="1">
        <f t="array" ref="G469">MAX(INDEX('Relacion '!$AL$5:$AM$493,MATCH(INDEX($B:$B, (ROW()-8)),'Relacion '!$E$5:$E$493,0),0))</f>
        <v>46123</v>
      </c>
      <c r="H469" s="241" cm="1">
        <f t="array" ref="H469">IF(
 MATCH(B469,{"01. ASIGNACION AREA";"02. MAPEO";"03. DESARROLLO";"04. VALIDA US";"05. VOBO US";"06. BW-EJECUCION";"07. VALIDACIÓN BAJAWARE";"08. CERRADA"},0)
 &lt;
 MATCH(_xlfn.XLOOKUP(INDEX($B:$B, (ROW()-8)),'Relacion '!$E:$E,'Relacion '!$D:$D,""),{"01. ASIGNACION AREA";"02. MAPEO";"03. DESARROLLO";"04. VALIDA US";"05. VOBO US";"06. BW-EJECUCION";"07. VALIDACIÓN BAJAWARE";"08. CERRADA"},0),
 1,
 IF(
  MATCH(B469,{"01. ASIGNACION AREA";"02. MAPEO";"03. DESARROLLO";"04. VALIDA US";"05. VOBO US";"06. BW-EJECUCION";"07. VALIDACIÓN BAJAWARE";"08. CERRADA"},0)
  =
  MATCH(_xlfn.XLOOKUP(INDEX($B:$B, (ROW()-8)),'Relacion '!$E:$E,'Relacion '!$D:$D,""),{"01. ASIGNACION AREA";"02. MAPEO";"03. DESARROLLO";"04. VALIDA US";"05. VOBO US";"06. BW-EJECUCION";"07. VALIDACIÓN BAJAWARE";"08. CERRADA"},0),
  _xlfn.XLOOKUP(INDEX($B:$B, (ROW()-8)),'Relacion '!$E:$E,'Relacion '!#REF!,0),
  0
 )
)</f>
        <v>0</v>
      </c>
      <c r="I469" s="241">
        <f t="shared" ca="1" si="108"/>
        <v>1</v>
      </c>
      <c r="J469" s="241"/>
      <c r="K469" s="241"/>
      <c r="L469" s="238"/>
    </row>
    <row r="470" spans="2:12">
      <c r="B470" s="232" t="s">
        <v>475</v>
      </c>
      <c r="C470" s="167" t="s">
        <v>476</v>
      </c>
      <c r="D470" s="236" t="str">
        <f>_xlfn.XLOOKUP(B470,'Relacion '!$E:$E,'Relacion '!$D:$D,"")</f>
        <v>04. VALIDA US</v>
      </c>
      <c r="E470" s="233">
        <f t="shared" si="106"/>
        <v>471</v>
      </c>
      <c r="F470" s="234" cm="1">
        <f t="array" ref="F470">MIN(INDEX('Relacion '!$X$5:$AM$493,MATCH(INDEX($B:$B, (ROW()-0)),'Relacion '!$E$5:$E$493,0),0))</f>
        <v>45659</v>
      </c>
      <c r="G470" s="234" cm="1">
        <f t="array" ref="G470">MAX(INDEX('Relacion '!$X$5:$AM$493,MATCH(INDEX($B:$B, (ROW()-0)),'Relacion '!$E$5:$E$493,0),0))</f>
        <v>46130</v>
      </c>
      <c r="H470" s="235" t="e">
        <f>AVERAGE(H471:H478)</f>
        <v>#REF!</v>
      </c>
      <c r="I470" s="235">
        <f t="shared" ref="I470" ca="1" si="111">AVERAGE(I471:I478)</f>
        <v>1</v>
      </c>
      <c r="J470" s="236" t="str">
        <f>IF(ISNUMBER(SEARCH("Rocha", _xlfn.XLOOKUP(B470,'Relacion '!$E:$E,'Relacion '!$I:$I,""))), "Sí", "No")</f>
        <v>No</v>
      </c>
      <c r="K470" s="236" t="str">
        <f>IF(ISNUMBER(SEARCH("Rocha", _xlfn.XLOOKUP(B470,'Relacion '!$E:$E,'Relacion '!$I:$I,""))), "RMC", _xlfn.XLOOKUP(B470,'Relacion '!$E:$E,'Relacion '!$B:$B,""))</f>
        <v>Producto</v>
      </c>
      <c r="L470" s="236" t="str">
        <f>_xlfn.XLOOKUP(B470,'Relacion '!$E:$E,'Relacion '!$C:$C,"")</f>
        <v>Claudia Barroso</v>
      </c>
    </row>
    <row r="471" spans="2:12" outlineLevel="1">
      <c r="B471" s="237" t="s">
        <v>654</v>
      </c>
      <c r="C471" s="237" t="s">
        <v>654</v>
      </c>
      <c r="D471" s="238" t="str">
        <f>_xlfn.XLOOKUP(B471,'Relacion '!$E:$E,'Relacion '!$D:$D,"")</f>
        <v/>
      </c>
      <c r="E471" s="239">
        <f t="shared" si="106"/>
        <v>424</v>
      </c>
      <c r="F471" s="240" cm="1">
        <f t="array" ref="F471">MIN(INDEX('Relacion '!$X$5:$Y$493,MATCH(INDEX($B:$B, (ROW()-1)),'Relacion '!$E$5:$E$493,0),0))</f>
        <v>45659</v>
      </c>
      <c r="G471" s="240" cm="1">
        <f t="array" ref="G471">MAX(INDEX('Relacion '!$X$5:$Y$493,MATCH(INDEX($B:$B, (ROW()-1)),'Relacion '!$E$5:$E$493,0),0))</f>
        <v>46083</v>
      </c>
      <c r="H471" s="241" cm="1">
        <f t="array" ref="H471">IF(
 MATCH(B471,{"01. ASIGNACION AREA";"02. MAPEO";"03. DESARROLLO";"04. VALIDA US";"05. VOBO US";"06. BW-EJECUCION";"07. VALIDACIÓN BAJAWARE";"08. CERRADA"},0)
 &lt;
 MATCH(_xlfn.XLOOKUP(INDEX($B:$B, (ROW()-1)),'Relacion '!$E:$E,'Relacion '!$D:$D,""),{"01. ASIGNACION AREA";"02. MAPEO";"03. DESARROLLO";"04. VALIDA US";"05. VOBO US";"06. BW-EJECUCION";"07. VALIDACIÓN BAJAWARE";"08. CERRADA"},0),
 1,
 IF(
  MATCH(B471,{"01. ASIGNACION AREA";"02. MAPEO";"03. DESARROLLO";"04. VALIDA US";"05. VOBO US";"06. BW-EJECUCION";"07. VALIDACIÓN BAJAWARE";"08. CERRADA"},0)
  =
  MATCH(_xlfn.XLOOKUP(INDEX($B:$B, (ROW()-1)),'Relacion '!$E:$E,'Relacion '!$D:$D,""),{"01. ASIGNACION AREA";"02. MAPEO";"03. DESARROLLO";"04. VALIDA US";"05. VOBO US";"06. BW-EJECUCION";"07. VALIDACIÓN BAJAWARE";"08. CERRADA"},0),
  _xlfn.XLOOKUP(INDEX($B:$B, (ROW()-1)),'Relacion '!$E:$E,'Relacion '!#REF!,0),
  0
 )
)</f>
        <v>1</v>
      </c>
      <c r="I471" s="241">
        <f t="shared" ref="I471" ca="1" si="112">IF(G471&lt;=TODAY(), 1, 0)</f>
        <v>1</v>
      </c>
      <c r="J471" s="241"/>
      <c r="K471" s="241"/>
      <c r="L471" s="238"/>
    </row>
    <row r="472" spans="2:12" outlineLevel="1">
      <c r="B472" s="237" t="s">
        <v>195</v>
      </c>
      <c r="C472" s="237" t="s">
        <v>195</v>
      </c>
      <c r="D472" s="238" t="str">
        <f>_xlfn.XLOOKUP(B472,'Relacion '!$E:$E,'Relacion '!$D:$D,"")</f>
        <v/>
      </c>
      <c r="E472" s="239">
        <f t="shared" si="106"/>
        <v>4</v>
      </c>
      <c r="F472" s="240" cm="1">
        <f t="array" ref="F472">MIN(INDEX('Relacion '!$Z$5:$AA$493,MATCH(INDEX($B:$B, (ROW()-2)),'Relacion '!$E$5:$E$493,0),0))</f>
        <v>46034</v>
      </c>
      <c r="G472" s="240" cm="1">
        <f t="array" ref="G472">MAX(INDEX('Relacion '!$Z$5:$AA$493,MATCH(INDEX($B:$B, (ROW()-2)),'Relacion '!$E$5:$E$493,0),0))</f>
        <v>46038</v>
      </c>
      <c r="H472" s="241" cm="1">
        <f t="array" ref="H472">IF(
 MATCH(B472,{"01. ASIGNACION AREA";"02. MAPEO";"03. DESARROLLO";"04. VALIDA US";"05. VOBO US";"06. BW-EJECUCION";"07. VALIDACIÓN BAJAWARE";"08. CERRADA"},0)
 &lt;
 MATCH(_xlfn.XLOOKUP(INDEX($B:$B, (ROW()-2)),'Relacion '!$E:$E,'Relacion '!$D:$D,""),{"01. ASIGNACION AREA";"02. MAPEO";"03. DESARROLLO";"04. VALIDA US";"05. VOBO US";"06. BW-EJECUCION";"07. VALIDACIÓN BAJAWARE";"08. CERRADA"},0),
 1,
 IF(
  MATCH(B472,{"01. ASIGNACION AREA";"02. MAPEO";"03. DESARROLLO";"04. VALIDA US";"05. VOBO US";"06. BW-EJECUCION";"07. VALIDACIÓN BAJAWARE";"08. CERRADA"},0)
  =
  MATCH(_xlfn.XLOOKUP(INDEX($B:$B, (ROW()-2)),'Relacion '!$E:$E,'Relacion '!$D:$D,""),{"01. ASIGNACION AREA";"02. MAPEO";"03. DESARROLLO";"04. VALIDA US";"05. VOBO US";"06. BW-EJECUCION";"07. VALIDACIÓN BAJAWARE";"08. CERRADA"},0),
  _xlfn.XLOOKUP(INDEX($B:$B, (ROW()-2)),'Relacion '!$E:$E,'Relacion '!#REF!,0),
  0
 )
)</f>
        <v>1</v>
      </c>
      <c r="I472" s="241">
        <f t="shared" ca="1" si="108"/>
        <v>1</v>
      </c>
      <c r="J472" s="241"/>
      <c r="K472" s="241"/>
      <c r="L472" s="238"/>
    </row>
    <row r="473" spans="2:12" outlineLevel="1">
      <c r="B473" s="237" t="s">
        <v>49</v>
      </c>
      <c r="C473" s="237" t="s">
        <v>49</v>
      </c>
      <c r="D473" s="238" t="str">
        <f>_xlfn.XLOOKUP(B473,'Relacion '!$E:$E,'Relacion '!$D:$D,"")</f>
        <v/>
      </c>
      <c r="E473" s="239">
        <f t="shared" si="106"/>
        <v>4</v>
      </c>
      <c r="F473" s="240" cm="1">
        <f t="array" ref="F473">MIN(INDEX('Relacion '!$AB$5:$AC$493,MATCH(INDEX($B:$B, (ROW()-3)),'Relacion '!$E$5:$E$493,0),0))</f>
        <v>46041</v>
      </c>
      <c r="G473" s="240" cm="1">
        <f t="array" ref="G473">MAX(INDEX('Relacion '!$AB$5:$AC$493,MATCH(INDEX($B:$B, (ROW()-3)),'Relacion '!$E$5:$E$493,0),0))</f>
        <v>46045</v>
      </c>
      <c r="H473" s="241" cm="1">
        <f t="array" ref="H473">IF(
 MATCH(B473,{"01. ASIGNACION AREA";"02. MAPEO";"03. DESARROLLO";"04. VALIDA US";"05. VOBO US";"06. BW-EJECUCION";"07. VALIDACIÓN BAJAWARE";"08. CERRADA"},0)
 &lt;
 MATCH(_xlfn.XLOOKUP(INDEX($B:$B, (ROW()-3)),'Relacion '!$E:$E,'Relacion '!$D:$D,""),{"01. ASIGNACION AREA";"02. MAPEO";"03. DESARROLLO";"04. VALIDA US";"05. VOBO US";"06. BW-EJECUCION";"07. VALIDACIÓN BAJAWARE";"08. CERRADA"},0),
 1,
 IF(
  MATCH(B473,{"01. ASIGNACION AREA";"02. MAPEO";"03. DESARROLLO";"04. VALIDA US";"05. VOBO US";"06. BW-EJECUCION";"07. VALIDACIÓN BAJAWARE";"08. CERRADA"},0)
  =
  MATCH(_xlfn.XLOOKUP(INDEX($B:$B, (ROW()-3)),'Relacion '!$E:$E,'Relacion '!$D:$D,""),{"01. ASIGNACION AREA";"02. MAPEO";"03. DESARROLLO";"04. VALIDA US";"05. VOBO US";"06. BW-EJECUCION";"07. VALIDACIÓN BAJAWARE";"08. CERRADA"},0),
  _xlfn.XLOOKUP(INDEX($B:$B, (ROW()-3)),'Relacion '!$E:$E,'Relacion '!#REF!,0),
  0
 )
)</f>
        <v>1</v>
      </c>
      <c r="I473" s="241">
        <f t="shared" ca="1" si="108"/>
        <v>1</v>
      </c>
      <c r="J473" s="241"/>
      <c r="K473" s="241"/>
      <c r="L473" s="238"/>
    </row>
    <row r="474" spans="2:12" outlineLevel="1">
      <c r="B474" s="237" t="s">
        <v>324</v>
      </c>
      <c r="C474" s="237" t="s">
        <v>324</v>
      </c>
      <c r="D474" s="238" t="str">
        <f>_xlfn.XLOOKUP(B474,'Relacion '!$E:$E,'Relacion '!$D:$D,"")</f>
        <v/>
      </c>
      <c r="E474" s="239">
        <f t="shared" si="106"/>
        <v>4</v>
      </c>
      <c r="F474" s="240" cm="1">
        <f t="array" ref="F474">MIN(INDEX('Relacion '!$AD$5:$AE$493,MATCH(INDEX($B:$B, (ROW()-4)),'Relacion '!$E$5:$E$493,0),0))</f>
        <v>46048</v>
      </c>
      <c r="G474" s="240" cm="1">
        <f t="array" ref="G474">MAX(INDEX('Relacion '!$AD$5:$AE$493,MATCH(INDEX($B:$B, (ROW()-4)),'Relacion '!$E$5:$E$493,0),0))</f>
        <v>46052</v>
      </c>
      <c r="H474" s="241" t="e" cm="1">
        <f t="array" ref="H474">IF(
 MATCH(B474,{"01. ASIGNACION AREA";"02. MAPEO";"03. DESARROLLO";"04. VALIDA US";"05. VOBO US";"06. BW-EJECUCION";"07. VALIDACIÓN BAJAWARE";"08. CERRADA"},0)
 &lt;
 MATCH(_xlfn.XLOOKUP(INDEX($B:$B, (ROW()-4)),'Relacion '!$E:$E,'Relacion '!$D:$D,""),{"01. ASIGNACION AREA";"02. MAPEO";"03. DESARROLLO";"04. VALIDA US";"05. VOBO US";"06. BW-EJECUCION";"07. VALIDACIÓN BAJAWARE";"08. CERRADA"},0),
 1,
 IF(
  MATCH(B474,{"01. ASIGNACION AREA";"02. MAPEO";"03. DESARROLLO";"04. VALIDA US";"05. VOBO US";"06. BW-EJECUCION";"07. VALIDACIÓN BAJAWARE";"08. CERRADA"},0)
  =
  MATCH(_xlfn.XLOOKUP(INDEX($B:$B, (ROW()-4)),'Relacion '!$E:$E,'Relacion '!$D:$D,""),{"01. ASIGNACION AREA";"02. MAPEO";"03. DESARROLLO";"04. VALIDA US";"05. VOBO US";"06. BW-EJECUCION";"07. VALIDACIÓN BAJAWARE";"08. CERRADA"},0),
  _xlfn.XLOOKUP(INDEX($B:$B, (ROW()-4)),'Relacion '!$E:$E,'Relacion '!#REF!,0),
  0
 )
)</f>
        <v>#REF!</v>
      </c>
      <c r="I474" s="241">
        <f t="shared" ca="1" si="108"/>
        <v>1</v>
      </c>
      <c r="J474" s="241"/>
      <c r="K474" s="241"/>
      <c r="L474" s="238"/>
    </row>
    <row r="475" spans="2:12" outlineLevel="1">
      <c r="B475" s="237" t="s">
        <v>320</v>
      </c>
      <c r="C475" s="237" t="s">
        <v>320</v>
      </c>
      <c r="D475" s="238" t="str">
        <f>_xlfn.XLOOKUP(B475,'Relacion '!$E:$E,'Relacion '!$D:$D,"")</f>
        <v/>
      </c>
      <c r="E475" s="239">
        <f t="shared" si="106"/>
        <v>7</v>
      </c>
      <c r="F475" s="240" cm="1">
        <f t="array" ref="F475">MIN(INDEX('Relacion '!$AF$5:$AG$493,MATCH(INDEX($B:$B, (ROW()-5)),'Relacion '!$E$5:$E$493,0),0))</f>
        <v>46055</v>
      </c>
      <c r="G475" s="240" cm="1">
        <f t="array" ref="G475">MAX(INDEX('Relacion '!$AF$5:$AG$493,MATCH(INDEX($B:$B, (ROW()-5)),'Relacion '!$E$5:$E$493,0),0))</f>
        <v>46062</v>
      </c>
      <c r="H475" s="241" cm="1">
        <f t="array" ref="H475">IF(
 MATCH(B475,{"01. ASIGNACION AREA";"02. MAPEO";"03. DESARROLLO";"04. VALIDA US";"05. VOBO US";"06. BW-EJECUCION";"07. VALIDACIÓN BAJAWARE";"08. CERRADA"},0)
 &lt;
 MATCH(_xlfn.XLOOKUP(INDEX($B:$B, (ROW()-5)),'Relacion '!$E:$E,'Relacion '!$D:$D,""),{"01. ASIGNACION AREA";"02. MAPEO";"03. DESARROLLO";"04. VALIDA US";"05. VOBO US";"06. BW-EJECUCION";"07. VALIDACIÓN BAJAWARE";"08. CERRADA"},0),
 1,
 IF(
  MATCH(B475,{"01. ASIGNACION AREA";"02. MAPEO";"03. DESARROLLO";"04. VALIDA US";"05. VOBO US";"06. BW-EJECUCION";"07. VALIDACIÓN BAJAWARE";"08. CERRADA"},0)
  =
  MATCH(_xlfn.XLOOKUP(INDEX($B:$B, (ROW()-5)),'Relacion '!$E:$E,'Relacion '!$D:$D,""),{"01. ASIGNACION AREA";"02. MAPEO";"03. DESARROLLO";"04. VALIDA US";"05. VOBO US";"06. BW-EJECUCION";"07. VALIDACIÓN BAJAWARE";"08. CERRADA"},0),
  _xlfn.XLOOKUP(INDEX($B:$B, (ROW()-5)),'Relacion '!$E:$E,'Relacion '!#REF!,0),
  0
 )
)</f>
        <v>0</v>
      </c>
      <c r="I475" s="241">
        <f t="shared" ca="1" si="108"/>
        <v>1</v>
      </c>
      <c r="J475" s="241"/>
      <c r="K475" s="241"/>
      <c r="L475" s="238"/>
    </row>
    <row r="476" spans="2:12" outlineLevel="1">
      <c r="B476" s="237" t="s">
        <v>710</v>
      </c>
      <c r="C476" s="237" t="s">
        <v>710</v>
      </c>
      <c r="D476" s="238" t="str">
        <f>_xlfn.XLOOKUP(B476,'Relacion '!$E:$E,'Relacion '!$D:$D,"")</f>
        <v/>
      </c>
      <c r="E476" s="239">
        <f t="shared" si="106"/>
        <v>25</v>
      </c>
      <c r="F476" s="240" cm="1">
        <f t="array" ref="F476">MIN(INDEX('Relacion '!$AH$5:$AI$493,MATCH(INDEX($B:$B, (ROW()-6)),'Relacion '!$E$5:$E$493,0),0))</f>
        <v>46076</v>
      </c>
      <c r="G476" s="240" cm="1">
        <f t="array" ref="G476">MAX(INDEX('Relacion '!$AH$5:$AI$493,MATCH(INDEX($B:$B, (ROW()-6)),'Relacion '!$E$5:$E$493,0),0))</f>
        <v>46101</v>
      </c>
      <c r="H476" s="241" cm="1">
        <f t="array" ref="H476">IF(
 MATCH(B476,{"01. ASIGNACION AREA";"02. MAPEO";"03. DESARROLLO";"04. VALIDA US";"05. VOBO US";"06. BW-EJECUCION";"07. VALIDACIÓN BAJAWARE";"08. CERRADA"},0)
 &lt;
 MATCH(_xlfn.XLOOKUP(INDEX($B:$B, (ROW()-6)),'Relacion '!$E:$E,'Relacion '!$D:$D,""),{"01. ASIGNACION AREA";"02. MAPEO";"03. DESARROLLO";"04. VALIDA US";"05. VOBO US";"06. BW-EJECUCION";"07. VALIDACIÓN BAJAWARE";"08. CERRADA"},0),
 1,
 IF(
  MATCH(B476,{"01. ASIGNACION AREA";"02. MAPEO";"03. DESARROLLO";"04. VALIDA US";"05. VOBO US";"06. BW-EJECUCION";"07. VALIDACIÓN BAJAWARE";"08. CERRADA"},0)
  =
  MATCH(_xlfn.XLOOKUP(INDEX($B:$B, (ROW()-6)),'Relacion '!$E:$E,'Relacion '!$D:$D,""),{"01. ASIGNACION AREA";"02. MAPEO";"03. DESARROLLO";"04. VALIDA US";"05. VOBO US";"06. BW-EJECUCION";"07. VALIDACIÓN BAJAWARE";"08. CERRADA"},0),
  _xlfn.XLOOKUP(INDEX($B:$B, (ROW()-6)),'Relacion '!$E:$E,'Relacion '!#REF!,0),
  0
 )
)</f>
        <v>0</v>
      </c>
      <c r="I476" s="241">
        <f t="shared" ca="1" si="108"/>
        <v>1</v>
      </c>
      <c r="J476" s="241"/>
      <c r="K476" s="241"/>
      <c r="L476" s="238"/>
    </row>
    <row r="477" spans="2:12" outlineLevel="1">
      <c r="B477" s="237" t="s">
        <v>655</v>
      </c>
      <c r="C477" s="237" t="s">
        <v>655</v>
      </c>
      <c r="D477" s="238" t="str">
        <f>_xlfn.XLOOKUP(B477,'Relacion '!$E:$E,'Relacion '!$D:$D,"")</f>
        <v/>
      </c>
      <c r="E477" s="239">
        <f t="shared" si="106"/>
        <v>25</v>
      </c>
      <c r="F477" s="240" cm="1">
        <f t="array" ref="F477">MIN(INDEX('Relacion '!$AJ$5:$AK$493,MATCH(INDEX($B:$B, (ROW()-7)),'Relacion '!$E$5:$E$493,0),0))</f>
        <v>46104</v>
      </c>
      <c r="G477" s="240" cm="1">
        <f t="array" ref="G477">MAX(INDEX('Relacion '!$AJ$5:$AK$493,MATCH(INDEX($B:$B, (ROW()-7)),'Relacion '!$E$5:$E$493,0),0))</f>
        <v>46129</v>
      </c>
      <c r="H477" s="241" cm="1">
        <f t="array" ref="H477">IF(
 MATCH(B477,{"01. ASIGNACION AREA";"02. MAPEO";"03. DESARROLLO";"04. VALIDA US";"05. VOBO US";"06. BW-EJECUCION";"07. VALIDACIÓN BAJAWARE";"08. CERRADA"},0)
 &lt;
 MATCH(_xlfn.XLOOKUP(INDEX($B:$B, (ROW()-7)),'Relacion '!$E:$E,'Relacion '!$D:$D,""),{"01. ASIGNACION AREA";"02. MAPEO";"03. DESARROLLO";"04. VALIDA US";"05. VOBO US";"06. BW-EJECUCION";"07. VALIDACIÓN BAJAWARE";"08. CERRADA"},0),
 1,
 IF(
  MATCH(B477,{"01. ASIGNACION AREA";"02. MAPEO";"03. DESARROLLO";"04. VALIDA US";"05. VOBO US";"06. BW-EJECUCION";"07. VALIDACIÓN BAJAWARE";"08. CERRADA"},0)
  =
  MATCH(_xlfn.XLOOKUP(INDEX($B:$B, (ROW()-7)),'Relacion '!$E:$E,'Relacion '!$D:$D,""),{"01. ASIGNACION AREA";"02. MAPEO";"03. DESARROLLO";"04. VALIDA US";"05. VOBO US";"06. BW-EJECUCION";"07. VALIDACIÓN BAJAWARE";"08. CERRADA"},0),
  _xlfn.XLOOKUP(INDEX($B:$B, (ROW()-7)),'Relacion '!$E:$E,'Relacion '!#REF!,0),
  0
 )
)</f>
        <v>0</v>
      </c>
      <c r="I477" s="241">
        <f t="shared" ca="1" si="108"/>
        <v>1</v>
      </c>
      <c r="J477" s="241"/>
      <c r="K477" s="241"/>
      <c r="L477" s="238"/>
    </row>
    <row r="478" spans="2:12" outlineLevel="1">
      <c r="B478" s="237" t="s">
        <v>656</v>
      </c>
      <c r="C478" s="237" t="s">
        <v>656</v>
      </c>
      <c r="D478" s="238" t="str">
        <f>_xlfn.XLOOKUP(B478,'Relacion '!$E:$E,'Relacion '!$D:$D,"")</f>
        <v/>
      </c>
      <c r="E478" s="239">
        <f t="shared" si="106"/>
        <v>0</v>
      </c>
      <c r="F478" s="240" cm="1">
        <f t="array" ref="F478">MIN(INDEX('Relacion '!$AL$5:$AM$493,MATCH(INDEX($B:$B, (ROW()-8)),'Relacion '!$E$5:$E$493,0),0))</f>
        <v>46130</v>
      </c>
      <c r="G478" s="240" cm="1">
        <f t="array" ref="G478">MAX(INDEX('Relacion '!$AL$5:$AM$493,MATCH(INDEX($B:$B, (ROW()-8)),'Relacion '!$E$5:$E$493,0),0))</f>
        <v>46130</v>
      </c>
      <c r="H478" s="241" cm="1">
        <f t="array" ref="H478">IF(
 MATCH(B478,{"01. ASIGNACION AREA";"02. MAPEO";"03. DESARROLLO";"04. VALIDA US";"05. VOBO US";"06. BW-EJECUCION";"07. VALIDACIÓN BAJAWARE";"08. CERRADA"},0)
 &lt;
 MATCH(_xlfn.XLOOKUP(INDEX($B:$B, (ROW()-8)),'Relacion '!$E:$E,'Relacion '!$D:$D,""),{"01. ASIGNACION AREA";"02. MAPEO";"03. DESARROLLO";"04. VALIDA US";"05. VOBO US";"06. BW-EJECUCION";"07. VALIDACIÓN BAJAWARE";"08. CERRADA"},0),
 1,
 IF(
  MATCH(B478,{"01. ASIGNACION AREA";"02. MAPEO";"03. DESARROLLO";"04. VALIDA US";"05. VOBO US";"06. BW-EJECUCION";"07. VALIDACIÓN BAJAWARE";"08. CERRADA"},0)
  =
  MATCH(_xlfn.XLOOKUP(INDEX($B:$B, (ROW()-8)),'Relacion '!$E:$E,'Relacion '!$D:$D,""),{"01. ASIGNACION AREA";"02. MAPEO";"03. DESARROLLO";"04. VALIDA US";"05. VOBO US";"06. BW-EJECUCION";"07. VALIDACIÓN BAJAWARE";"08. CERRADA"},0),
  _xlfn.XLOOKUP(INDEX($B:$B, (ROW()-8)),'Relacion '!$E:$E,'Relacion '!#REF!,0),
  0
 )
)</f>
        <v>0</v>
      </c>
      <c r="I478" s="241">
        <f t="shared" ca="1" si="108"/>
        <v>1</v>
      </c>
      <c r="J478" s="241"/>
      <c r="K478" s="241"/>
      <c r="L478" s="238"/>
    </row>
    <row r="479" spans="2:12">
      <c r="B479" s="232" t="s">
        <v>477</v>
      </c>
      <c r="C479" s="174" t="s">
        <v>476</v>
      </c>
      <c r="D479" s="236" t="str">
        <f>_xlfn.XLOOKUP(B479,'Relacion '!$E:$E,'Relacion '!$D:$D,"")</f>
        <v>08. CERRADA</v>
      </c>
      <c r="E479" s="233">
        <f t="shared" si="106"/>
        <v>449</v>
      </c>
      <c r="F479" s="234" cm="1">
        <f t="array" ref="F479">MIN(INDEX('Relacion '!$X$5:$AM$493,MATCH(INDEX($B:$B, (ROW()-0)),'Relacion '!$E$5:$E$493,0),0))</f>
        <v>45659</v>
      </c>
      <c r="G479" s="234" cm="1">
        <f t="array" ref="G479">MAX(INDEX('Relacion '!$X$5:$AM$493,MATCH(INDEX($B:$B, (ROW()-0)),'Relacion '!$E$5:$E$493,0),0))</f>
        <v>46108</v>
      </c>
      <c r="H479" s="235" t="e">
        <f>AVERAGE(H480:H487)</f>
        <v>#REF!</v>
      </c>
      <c r="I479" s="235">
        <f t="shared" ref="I479" ca="1" si="113">AVERAGE(I480:I487)</f>
        <v>1</v>
      </c>
      <c r="J479" s="236" t="str">
        <f>IF(ISNUMBER(SEARCH("Rocha", _xlfn.XLOOKUP(B479,'Relacion '!$E:$E,'Relacion '!$I:$I,""))), "Sí", "No")</f>
        <v>No</v>
      </c>
      <c r="K479" s="236" t="str">
        <f>IF(ISNUMBER(SEARCH("Rocha", _xlfn.XLOOKUP(B479,'Relacion '!$E:$E,'Relacion '!$I:$I,""))), "RMC", _xlfn.XLOOKUP(B479,'Relacion '!$E:$E,'Relacion '!$B:$B,""))</f>
        <v>Producto</v>
      </c>
      <c r="L479" s="236" t="str">
        <f>_xlfn.XLOOKUP(B479,'Relacion '!$E:$E,'Relacion '!$C:$C,"")</f>
        <v>Claudia Barroso</v>
      </c>
    </row>
    <row r="480" spans="2:12" outlineLevel="1">
      <c r="B480" s="237" t="s">
        <v>654</v>
      </c>
      <c r="C480" s="237" t="s">
        <v>654</v>
      </c>
      <c r="D480" s="238" t="str">
        <f>_xlfn.XLOOKUP(B480,'Relacion '!$E:$E,'Relacion '!$D:$D,"")</f>
        <v/>
      </c>
      <c r="E480" s="239">
        <f t="shared" si="106"/>
        <v>424</v>
      </c>
      <c r="F480" s="240" cm="1">
        <f t="array" ref="F480">MIN(INDEX('Relacion '!$X$5:$Y$493,MATCH(INDEX($B:$B, (ROW()-1)),'Relacion '!$E$5:$E$493,0),0))</f>
        <v>45659</v>
      </c>
      <c r="G480" s="240" cm="1">
        <f t="array" ref="G480">MAX(INDEX('Relacion '!$X$5:$Y$493,MATCH(INDEX($B:$B, (ROW()-1)),'Relacion '!$E$5:$E$493,0),0))</f>
        <v>46083</v>
      </c>
      <c r="H480" s="241" cm="1">
        <f t="array" ref="H480">IF(
 MATCH(B480,{"01. ASIGNACION AREA";"02. MAPEO";"03. DESARROLLO";"04. VALIDA US";"05. VOBO US";"06. BW-EJECUCION";"07. VALIDACIÓN BAJAWARE";"08. CERRADA"},0)
 &lt;
 MATCH(_xlfn.XLOOKUP(INDEX($B:$B, (ROW()-1)),'Relacion '!$E:$E,'Relacion '!$D:$D,""),{"01. ASIGNACION AREA";"02. MAPEO";"03. DESARROLLO";"04. VALIDA US";"05. VOBO US";"06. BW-EJECUCION";"07. VALIDACIÓN BAJAWARE";"08. CERRADA"},0),
 1,
 IF(
  MATCH(B480,{"01. ASIGNACION AREA";"02. MAPEO";"03. DESARROLLO";"04. VALIDA US";"05. VOBO US";"06. BW-EJECUCION";"07. VALIDACIÓN BAJAWARE";"08. CERRADA"},0)
  =
  MATCH(_xlfn.XLOOKUP(INDEX($B:$B, (ROW()-1)),'Relacion '!$E:$E,'Relacion '!$D:$D,""),{"01. ASIGNACION AREA";"02. MAPEO";"03. DESARROLLO";"04. VALIDA US";"05. VOBO US";"06. BW-EJECUCION";"07. VALIDACIÓN BAJAWARE";"08. CERRADA"},0),
  _xlfn.XLOOKUP(INDEX($B:$B, (ROW()-1)),'Relacion '!$E:$E,'Relacion '!#REF!,0),
  0
 )
)</f>
        <v>1</v>
      </c>
      <c r="I480" s="241">
        <f t="shared" ref="I480" ca="1" si="114">IF(G480&lt;=TODAY(), 1, 0)</f>
        <v>1</v>
      </c>
      <c r="J480" s="241"/>
      <c r="K480" s="241"/>
      <c r="L480" s="238"/>
    </row>
    <row r="481" spans="2:12" outlineLevel="1">
      <c r="B481" s="237" t="s">
        <v>195</v>
      </c>
      <c r="C481" s="237" t="s">
        <v>195</v>
      </c>
      <c r="D481" s="238" t="str">
        <f>_xlfn.XLOOKUP(B481,'Relacion '!$E:$E,'Relacion '!$D:$D,"")</f>
        <v/>
      </c>
      <c r="E481" s="239">
        <f t="shared" si="106"/>
        <v>0</v>
      </c>
      <c r="F481" s="240" cm="1">
        <f t="array" ref="F481">MIN(INDEX('Relacion '!$Z$5:$AA$493,MATCH(INDEX($B:$B, (ROW()-2)),'Relacion '!$E$5:$E$493,0),0))</f>
        <v>46108</v>
      </c>
      <c r="G481" s="240" cm="1">
        <f t="array" ref="G481">MAX(INDEX('Relacion '!$Z$5:$AA$493,MATCH(INDEX($B:$B, (ROW()-2)),'Relacion '!$E$5:$E$493,0),0))</f>
        <v>46108</v>
      </c>
      <c r="H481" s="241" cm="1">
        <f t="array" ref="H481">IF(
 MATCH(B481,{"01. ASIGNACION AREA";"02. MAPEO";"03. DESARROLLO";"04. VALIDA US";"05. VOBO US";"06. BW-EJECUCION";"07. VALIDACIÓN BAJAWARE";"08. CERRADA"},0)
 &lt;
 MATCH(_xlfn.XLOOKUP(INDEX($B:$B, (ROW()-2)),'Relacion '!$E:$E,'Relacion '!$D:$D,""),{"01. ASIGNACION AREA";"02. MAPEO";"03. DESARROLLO";"04. VALIDA US";"05. VOBO US";"06. BW-EJECUCION";"07. VALIDACIÓN BAJAWARE";"08. CERRADA"},0),
 1,
 IF(
  MATCH(B481,{"01. ASIGNACION AREA";"02. MAPEO";"03. DESARROLLO";"04. VALIDA US";"05. VOBO US";"06. BW-EJECUCION";"07. VALIDACIÓN BAJAWARE";"08. CERRADA"},0)
  =
  MATCH(_xlfn.XLOOKUP(INDEX($B:$B, (ROW()-2)),'Relacion '!$E:$E,'Relacion '!$D:$D,""),{"01. ASIGNACION AREA";"02. MAPEO";"03. DESARROLLO";"04. VALIDA US";"05. VOBO US";"06. BW-EJECUCION";"07. VALIDACIÓN BAJAWARE";"08. CERRADA"},0),
  _xlfn.XLOOKUP(INDEX($B:$B, (ROW()-2)),'Relacion '!$E:$E,'Relacion '!#REF!,0),
  0
 )
)</f>
        <v>1</v>
      </c>
      <c r="I481" s="241">
        <f t="shared" ca="1" si="108"/>
        <v>1</v>
      </c>
      <c r="J481" s="241"/>
      <c r="K481" s="241"/>
      <c r="L481" s="238"/>
    </row>
    <row r="482" spans="2:12" outlineLevel="1">
      <c r="B482" s="237" t="s">
        <v>49</v>
      </c>
      <c r="C482" s="237" t="s">
        <v>49</v>
      </c>
      <c r="D482" s="238" t="str">
        <f>_xlfn.XLOOKUP(B482,'Relacion '!$E:$E,'Relacion '!$D:$D,"")</f>
        <v/>
      </c>
      <c r="E482" s="239">
        <f t="shared" si="106"/>
        <v>0</v>
      </c>
      <c r="F482" s="240" cm="1">
        <f t="array" ref="F482">MIN(INDEX('Relacion '!$AB$5:$AC$493,MATCH(INDEX($B:$B, (ROW()-3)),'Relacion '!$E$5:$E$493,0),0))</f>
        <v>46108</v>
      </c>
      <c r="G482" s="240" cm="1">
        <f t="array" ref="G482">MAX(INDEX('Relacion '!$AB$5:$AC$493,MATCH(INDEX($B:$B, (ROW()-3)),'Relacion '!$E$5:$E$493,0),0))</f>
        <v>46108</v>
      </c>
      <c r="H482" s="241" cm="1">
        <f t="array" ref="H482">IF(
 MATCH(B482,{"01. ASIGNACION AREA";"02. MAPEO";"03. DESARROLLO";"04. VALIDA US";"05. VOBO US";"06. BW-EJECUCION";"07. VALIDACIÓN BAJAWARE";"08. CERRADA"},0)
 &lt;
 MATCH(_xlfn.XLOOKUP(INDEX($B:$B, (ROW()-3)),'Relacion '!$E:$E,'Relacion '!$D:$D,""),{"01. ASIGNACION AREA";"02. MAPEO";"03. DESARROLLO";"04. VALIDA US";"05. VOBO US";"06. BW-EJECUCION";"07. VALIDACIÓN BAJAWARE";"08. CERRADA"},0),
 1,
 IF(
  MATCH(B482,{"01. ASIGNACION AREA";"02. MAPEO";"03. DESARROLLO";"04. VALIDA US";"05. VOBO US";"06. BW-EJECUCION";"07. VALIDACIÓN BAJAWARE";"08. CERRADA"},0)
  =
  MATCH(_xlfn.XLOOKUP(INDEX($B:$B, (ROW()-3)),'Relacion '!$E:$E,'Relacion '!$D:$D,""),{"01. ASIGNACION AREA";"02. MAPEO";"03. DESARROLLO";"04. VALIDA US";"05. VOBO US";"06. BW-EJECUCION";"07. VALIDACIÓN BAJAWARE";"08. CERRADA"},0),
  _xlfn.XLOOKUP(INDEX($B:$B, (ROW()-3)),'Relacion '!$E:$E,'Relacion '!#REF!,0),
  0
 )
)</f>
        <v>1</v>
      </c>
      <c r="I482" s="241">
        <f t="shared" ca="1" si="108"/>
        <v>1</v>
      </c>
      <c r="J482" s="241"/>
      <c r="K482" s="241"/>
      <c r="L482" s="238"/>
    </row>
    <row r="483" spans="2:12" outlineLevel="1">
      <c r="B483" s="237" t="s">
        <v>324</v>
      </c>
      <c r="C483" s="237" t="s">
        <v>324</v>
      </c>
      <c r="D483" s="238" t="str">
        <f>_xlfn.XLOOKUP(B483,'Relacion '!$E:$E,'Relacion '!$D:$D,"")</f>
        <v/>
      </c>
      <c r="E483" s="239">
        <f t="shared" si="106"/>
        <v>0</v>
      </c>
      <c r="F483" s="240" cm="1">
        <f t="array" ref="F483">MIN(INDEX('Relacion '!$AD$5:$AE$493,MATCH(INDEX($B:$B, (ROW()-4)),'Relacion '!$E$5:$E$493,0),0))</f>
        <v>46108</v>
      </c>
      <c r="G483" s="240" cm="1">
        <f t="array" ref="G483">MAX(INDEX('Relacion '!$AD$5:$AE$493,MATCH(INDEX($B:$B, (ROW()-4)),'Relacion '!$E$5:$E$493,0),0))</f>
        <v>46108</v>
      </c>
      <c r="H483" s="241" cm="1">
        <f t="array" ref="H483">IF(
 MATCH(B483,{"01. ASIGNACION AREA";"02. MAPEO";"03. DESARROLLO";"04. VALIDA US";"05. VOBO US";"06. BW-EJECUCION";"07. VALIDACIÓN BAJAWARE";"08. CERRADA"},0)
 &lt;
 MATCH(_xlfn.XLOOKUP(INDEX($B:$B, (ROW()-4)),'Relacion '!$E:$E,'Relacion '!$D:$D,""),{"01. ASIGNACION AREA";"02. MAPEO";"03. DESARROLLO";"04. VALIDA US";"05. VOBO US";"06. BW-EJECUCION";"07. VALIDACIÓN BAJAWARE";"08. CERRADA"},0),
 1,
 IF(
  MATCH(B483,{"01. ASIGNACION AREA";"02. MAPEO";"03. DESARROLLO";"04. VALIDA US";"05. VOBO US";"06. BW-EJECUCION";"07. VALIDACIÓN BAJAWARE";"08. CERRADA"},0)
  =
  MATCH(_xlfn.XLOOKUP(INDEX($B:$B, (ROW()-4)),'Relacion '!$E:$E,'Relacion '!$D:$D,""),{"01. ASIGNACION AREA";"02. MAPEO";"03. DESARROLLO";"04. VALIDA US";"05. VOBO US";"06. BW-EJECUCION";"07. VALIDACIÓN BAJAWARE";"08. CERRADA"},0),
  _xlfn.XLOOKUP(INDEX($B:$B, (ROW()-4)),'Relacion '!$E:$E,'Relacion '!#REF!,0),
  0
 )
)</f>
        <v>1</v>
      </c>
      <c r="I483" s="241">
        <f t="shared" ca="1" si="108"/>
        <v>1</v>
      </c>
      <c r="J483" s="241"/>
      <c r="K483" s="241"/>
      <c r="L483" s="238"/>
    </row>
    <row r="484" spans="2:12" outlineLevel="1">
      <c r="B484" s="237" t="s">
        <v>320</v>
      </c>
      <c r="C484" s="237" t="s">
        <v>320</v>
      </c>
      <c r="D484" s="238" t="str">
        <f>_xlfn.XLOOKUP(B484,'Relacion '!$E:$E,'Relacion '!$D:$D,"")</f>
        <v/>
      </c>
      <c r="E484" s="239">
        <f t="shared" si="106"/>
        <v>0</v>
      </c>
      <c r="F484" s="240" cm="1">
        <f t="array" ref="F484">MIN(INDEX('Relacion '!$AF$5:$AG$493,MATCH(INDEX($B:$B, (ROW()-5)),'Relacion '!$E$5:$E$493,0),0))</f>
        <v>46108</v>
      </c>
      <c r="G484" s="240" cm="1">
        <f t="array" ref="G484">MAX(INDEX('Relacion '!$AF$5:$AG$493,MATCH(INDEX($B:$B, (ROW()-5)),'Relacion '!$E$5:$E$493,0),0))</f>
        <v>46108</v>
      </c>
      <c r="H484" s="241" cm="1">
        <f t="array" ref="H484">IF(
 MATCH(B484,{"01. ASIGNACION AREA";"02. MAPEO";"03. DESARROLLO";"04. VALIDA US";"05. VOBO US";"06. BW-EJECUCION";"07. VALIDACIÓN BAJAWARE";"08. CERRADA"},0)
 &lt;
 MATCH(_xlfn.XLOOKUP(INDEX($B:$B, (ROW()-5)),'Relacion '!$E:$E,'Relacion '!$D:$D,""),{"01. ASIGNACION AREA";"02. MAPEO";"03. DESARROLLO";"04. VALIDA US";"05. VOBO US";"06. BW-EJECUCION";"07. VALIDACIÓN BAJAWARE";"08. CERRADA"},0),
 1,
 IF(
  MATCH(B484,{"01. ASIGNACION AREA";"02. MAPEO";"03. DESARROLLO";"04. VALIDA US";"05. VOBO US";"06. BW-EJECUCION";"07. VALIDACIÓN BAJAWARE";"08. CERRADA"},0)
  =
  MATCH(_xlfn.XLOOKUP(INDEX($B:$B, (ROW()-5)),'Relacion '!$E:$E,'Relacion '!$D:$D,""),{"01. ASIGNACION AREA";"02. MAPEO";"03. DESARROLLO";"04. VALIDA US";"05. VOBO US";"06. BW-EJECUCION";"07. VALIDACIÓN BAJAWARE";"08. CERRADA"},0),
  _xlfn.XLOOKUP(INDEX($B:$B, (ROW()-5)),'Relacion '!$E:$E,'Relacion '!#REF!,0),
  0
 )
)</f>
        <v>1</v>
      </c>
      <c r="I484" s="241">
        <f t="shared" ca="1" si="108"/>
        <v>1</v>
      </c>
      <c r="J484" s="241"/>
      <c r="K484" s="241"/>
      <c r="L484" s="238"/>
    </row>
    <row r="485" spans="2:12" outlineLevel="1">
      <c r="B485" s="237" t="s">
        <v>710</v>
      </c>
      <c r="C485" s="237" t="s">
        <v>710</v>
      </c>
      <c r="D485" s="238" t="str">
        <f>_xlfn.XLOOKUP(B485,'Relacion '!$E:$E,'Relacion '!$D:$D,"")</f>
        <v/>
      </c>
      <c r="E485" s="239">
        <f t="shared" si="106"/>
        <v>0</v>
      </c>
      <c r="F485" s="240" cm="1">
        <f t="array" ref="F485">MIN(INDEX('Relacion '!$AH$5:$AI$493,MATCH(INDEX($B:$B, (ROW()-6)),'Relacion '!$E$5:$E$493,0),0))</f>
        <v>46108</v>
      </c>
      <c r="G485" s="240" cm="1">
        <f t="array" ref="G485">MAX(INDEX('Relacion '!$AH$5:$AI$493,MATCH(INDEX($B:$B, (ROW()-6)),'Relacion '!$E$5:$E$493,0),0))</f>
        <v>46108</v>
      </c>
      <c r="H485" s="241" cm="1">
        <f t="array" ref="H485">IF(
 MATCH(B485,{"01. ASIGNACION AREA";"02. MAPEO";"03. DESARROLLO";"04. VALIDA US";"05. VOBO US";"06. BW-EJECUCION";"07. VALIDACIÓN BAJAWARE";"08. CERRADA"},0)
 &lt;
 MATCH(_xlfn.XLOOKUP(INDEX($B:$B, (ROW()-6)),'Relacion '!$E:$E,'Relacion '!$D:$D,""),{"01. ASIGNACION AREA";"02. MAPEO";"03. DESARROLLO";"04. VALIDA US";"05. VOBO US";"06. BW-EJECUCION";"07. VALIDACIÓN BAJAWARE";"08. CERRADA"},0),
 1,
 IF(
  MATCH(B485,{"01. ASIGNACION AREA";"02. MAPEO";"03. DESARROLLO";"04. VALIDA US";"05. VOBO US";"06. BW-EJECUCION";"07. VALIDACIÓN BAJAWARE";"08. CERRADA"},0)
  =
  MATCH(_xlfn.XLOOKUP(INDEX($B:$B, (ROW()-6)),'Relacion '!$E:$E,'Relacion '!$D:$D,""),{"01. ASIGNACION AREA";"02. MAPEO";"03. DESARROLLO";"04. VALIDA US";"05. VOBO US";"06. BW-EJECUCION";"07. VALIDACIÓN BAJAWARE";"08. CERRADA"},0),
  _xlfn.XLOOKUP(INDEX($B:$B, (ROW()-6)),'Relacion '!$E:$E,'Relacion '!#REF!,0),
  0
 )
)</f>
        <v>1</v>
      </c>
      <c r="I485" s="241">
        <f t="shared" ca="1" si="108"/>
        <v>1</v>
      </c>
      <c r="J485" s="241"/>
      <c r="K485" s="241"/>
      <c r="L485" s="238"/>
    </row>
    <row r="486" spans="2:12" outlineLevel="1">
      <c r="B486" s="237" t="s">
        <v>655</v>
      </c>
      <c r="C486" s="237" t="s">
        <v>655</v>
      </c>
      <c r="D486" s="238" t="str">
        <f>_xlfn.XLOOKUP(B486,'Relacion '!$E:$E,'Relacion '!$D:$D,"")</f>
        <v/>
      </c>
      <c r="E486" s="239">
        <f t="shared" si="106"/>
        <v>0</v>
      </c>
      <c r="F486" s="240" cm="1">
        <f t="array" ref="F486">MIN(INDEX('Relacion '!$AJ$5:$AK$493,MATCH(INDEX($B:$B, (ROW()-7)),'Relacion '!$E$5:$E$493,0),0))</f>
        <v>46108</v>
      </c>
      <c r="G486" s="240" cm="1">
        <f t="array" ref="G486">MAX(INDEX('Relacion '!$AJ$5:$AK$493,MATCH(INDEX($B:$B, (ROW()-7)),'Relacion '!$E$5:$E$493,0),0))</f>
        <v>46108</v>
      </c>
      <c r="H486" s="241" cm="1">
        <f t="array" ref="H486">IF(
 MATCH(B486,{"01. ASIGNACION AREA";"02. MAPEO";"03. DESARROLLO";"04. VALIDA US";"05. VOBO US";"06. BW-EJECUCION";"07. VALIDACIÓN BAJAWARE";"08. CERRADA"},0)
 &lt;
 MATCH(_xlfn.XLOOKUP(INDEX($B:$B, (ROW()-7)),'Relacion '!$E:$E,'Relacion '!$D:$D,""),{"01. ASIGNACION AREA";"02. MAPEO";"03. DESARROLLO";"04. VALIDA US";"05. VOBO US";"06. BW-EJECUCION";"07. VALIDACIÓN BAJAWARE";"08. CERRADA"},0),
 1,
 IF(
  MATCH(B486,{"01. ASIGNACION AREA";"02. MAPEO";"03. DESARROLLO";"04. VALIDA US";"05. VOBO US";"06. BW-EJECUCION";"07. VALIDACIÓN BAJAWARE";"08. CERRADA"},0)
  =
  MATCH(_xlfn.XLOOKUP(INDEX($B:$B, (ROW()-7)),'Relacion '!$E:$E,'Relacion '!$D:$D,""),{"01. ASIGNACION AREA";"02. MAPEO";"03. DESARROLLO";"04. VALIDA US";"05. VOBO US";"06. BW-EJECUCION";"07. VALIDACIÓN BAJAWARE";"08. CERRADA"},0),
  _xlfn.XLOOKUP(INDEX($B:$B, (ROW()-7)),'Relacion '!$E:$E,'Relacion '!#REF!,0),
  0
 )
)</f>
        <v>1</v>
      </c>
      <c r="I486" s="241">
        <f t="shared" ca="1" si="108"/>
        <v>1</v>
      </c>
      <c r="J486" s="241"/>
      <c r="K486" s="241"/>
      <c r="L486" s="238"/>
    </row>
    <row r="487" spans="2:12" outlineLevel="1">
      <c r="B487" s="237" t="s">
        <v>656</v>
      </c>
      <c r="C487" s="237" t="s">
        <v>656</v>
      </c>
      <c r="D487" s="238" t="str">
        <f>_xlfn.XLOOKUP(B487,'Relacion '!$E:$E,'Relacion '!$D:$D,"")</f>
        <v/>
      </c>
      <c r="E487" s="239">
        <f t="shared" si="106"/>
        <v>0</v>
      </c>
      <c r="F487" s="240" cm="1">
        <f t="array" ref="F487">MIN(INDEX('Relacion '!$AL$5:$AM$493,MATCH(INDEX($B:$B, (ROW()-8)),'Relacion '!$E$5:$E$493,0),0))</f>
        <v>46108</v>
      </c>
      <c r="G487" s="240" cm="1">
        <f t="array" ref="G487">MAX(INDEX('Relacion '!$AL$5:$AM$493,MATCH(INDEX($B:$B, (ROW()-8)),'Relacion '!$E$5:$E$493,0),0))</f>
        <v>46108</v>
      </c>
      <c r="H487" s="241" t="e" cm="1">
        <f t="array" ref="H487">IF(
 MATCH(B487,{"01. ASIGNACION AREA";"02. MAPEO";"03. DESARROLLO";"04. VALIDA US";"05. VOBO US";"06. BW-EJECUCION";"07. VALIDACIÓN BAJAWARE";"08. CERRADA"},0)
 &lt;
 MATCH(_xlfn.XLOOKUP(INDEX($B:$B, (ROW()-8)),'Relacion '!$E:$E,'Relacion '!$D:$D,""),{"01. ASIGNACION AREA";"02. MAPEO";"03. DESARROLLO";"04. VALIDA US";"05. VOBO US";"06. BW-EJECUCION";"07. VALIDACIÓN BAJAWARE";"08. CERRADA"},0),
 1,
 IF(
  MATCH(B487,{"01. ASIGNACION AREA";"02. MAPEO";"03. DESARROLLO";"04. VALIDA US";"05. VOBO US";"06. BW-EJECUCION";"07. VALIDACIÓN BAJAWARE";"08. CERRADA"},0)
  =
  MATCH(_xlfn.XLOOKUP(INDEX($B:$B, (ROW()-8)),'Relacion '!$E:$E,'Relacion '!$D:$D,""),{"01. ASIGNACION AREA";"02. MAPEO";"03. DESARROLLO";"04. VALIDA US";"05. VOBO US";"06. BW-EJECUCION";"07. VALIDACIÓN BAJAWARE";"08. CERRADA"},0),
  _xlfn.XLOOKUP(INDEX($B:$B, (ROW()-8)),'Relacion '!$E:$E,'Relacion '!#REF!,0),
  0
 )
)</f>
        <v>#REF!</v>
      </c>
      <c r="I487" s="241">
        <f t="shared" ca="1" si="108"/>
        <v>1</v>
      </c>
      <c r="J487" s="241"/>
      <c r="K487" s="241"/>
      <c r="L487" s="238"/>
    </row>
    <row r="488" spans="2:12">
      <c r="B488" s="232" t="s">
        <v>478</v>
      </c>
      <c r="C488" s="174" t="s">
        <v>476</v>
      </c>
      <c r="D488" s="236" t="str">
        <f>_xlfn.XLOOKUP(B488,'Relacion '!$E:$E,'Relacion '!$D:$D,"")</f>
        <v>08. CERRADA</v>
      </c>
      <c r="E488" s="233">
        <f t="shared" si="106"/>
        <v>449</v>
      </c>
      <c r="F488" s="234" cm="1">
        <f t="array" ref="F488">MIN(INDEX('Relacion '!$X$5:$AM$493,MATCH(INDEX($B:$B, (ROW()-0)),'Relacion '!$E$5:$E$493,0),0))</f>
        <v>45659</v>
      </c>
      <c r="G488" s="234" cm="1">
        <f t="array" ref="G488">MAX(INDEX('Relacion '!$X$5:$AM$493,MATCH(INDEX($B:$B, (ROW()-0)),'Relacion '!$E$5:$E$493,0),0))</f>
        <v>46108</v>
      </c>
      <c r="H488" s="235" t="e">
        <f>AVERAGE(H489:H496)</f>
        <v>#REF!</v>
      </c>
      <c r="I488" s="235">
        <f t="shared" ref="I488" ca="1" si="115">AVERAGE(I489:I496)</f>
        <v>1</v>
      </c>
      <c r="J488" s="236" t="str">
        <f>IF(ISNUMBER(SEARCH("Rocha", _xlfn.XLOOKUP(B488,'Relacion '!$E:$E,'Relacion '!$I:$I,""))), "Sí", "No")</f>
        <v>No</v>
      </c>
      <c r="K488" s="236" t="str">
        <f>IF(ISNUMBER(SEARCH("Rocha", _xlfn.XLOOKUP(B488,'Relacion '!$E:$E,'Relacion '!$I:$I,""))), "RMC", _xlfn.XLOOKUP(B488,'Relacion '!$E:$E,'Relacion '!$B:$B,""))</f>
        <v>Producto</v>
      </c>
      <c r="L488" s="236" t="str">
        <f>_xlfn.XLOOKUP(B488,'Relacion '!$E:$E,'Relacion '!$C:$C,"")</f>
        <v>Claudia Barroso</v>
      </c>
    </row>
    <row r="489" spans="2:12" outlineLevel="1">
      <c r="B489" s="237" t="s">
        <v>654</v>
      </c>
      <c r="C489" s="237" t="s">
        <v>654</v>
      </c>
      <c r="D489" s="238" t="str">
        <f>_xlfn.XLOOKUP(B489,'Relacion '!$E:$E,'Relacion '!$D:$D,"")</f>
        <v/>
      </c>
      <c r="E489" s="239">
        <f t="shared" si="106"/>
        <v>424</v>
      </c>
      <c r="F489" s="240" cm="1">
        <f t="array" ref="F489">MIN(INDEX('Relacion '!$X$5:$Y$493,MATCH(INDEX($B:$B, (ROW()-1)),'Relacion '!$E$5:$E$493,0),0))</f>
        <v>45659</v>
      </c>
      <c r="G489" s="240" cm="1">
        <f t="array" ref="G489">MAX(INDEX('Relacion '!$X$5:$Y$493,MATCH(INDEX($B:$B, (ROW()-1)),'Relacion '!$E$5:$E$493,0),0))</f>
        <v>46083</v>
      </c>
      <c r="H489" s="241" cm="1">
        <f t="array" ref="H489">IF(
 MATCH(B489,{"01. ASIGNACION AREA";"02. MAPEO";"03. DESARROLLO";"04. VALIDA US";"05. VOBO US";"06. BW-EJECUCION";"07. VALIDACIÓN BAJAWARE";"08. CERRADA"},0)
 &lt;
 MATCH(_xlfn.XLOOKUP(INDEX($B:$B, (ROW()-1)),'Relacion '!$E:$E,'Relacion '!$D:$D,""),{"01. ASIGNACION AREA";"02. MAPEO";"03. DESARROLLO";"04. VALIDA US";"05. VOBO US";"06. BW-EJECUCION";"07. VALIDACIÓN BAJAWARE";"08. CERRADA"},0),
 1,
 IF(
  MATCH(B489,{"01. ASIGNACION AREA";"02. MAPEO";"03. DESARROLLO";"04. VALIDA US";"05. VOBO US";"06. BW-EJECUCION";"07. VALIDACIÓN BAJAWARE";"08. CERRADA"},0)
  =
  MATCH(_xlfn.XLOOKUP(INDEX($B:$B, (ROW()-1)),'Relacion '!$E:$E,'Relacion '!$D:$D,""),{"01. ASIGNACION AREA";"02. MAPEO";"03. DESARROLLO";"04. VALIDA US";"05. VOBO US";"06. BW-EJECUCION";"07. VALIDACIÓN BAJAWARE";"08. CERRADA"},0),
  _xlfn.XLOOKUP(INDEX($B:$B, (ROW()-1)),'Relacion '!$E:$E,'Relacion '!#REF!,0),
  0
 )
)</f>
        <v>1</v>
      </c>
      <c r="I489" s="241">
        <f t="shared" ref="I489" ca="1" si="116">IF(G489&lt;=TODAY(), 1, 0)</f>
        <v>1</v>
      </c>
      <c r="J489" s="241"/>
      <c r="K489" s="241"/>
      <c r="L489" s="238"/>
    </row>
    <row r="490" spans="2:12" outlineLevel="1">
      <c r="B490" s="237" t="s">
        <v>195</v>
      </c>
      <c r="C490" s="237" t="s">
        <v>195</v>
      </c>
      <c r="D490" s="238" t="str">
        <f>_xlfn.XLOOKUP(B490,'Relacion '!$E:$E,'Relacion '!$D:$D,"")</f>
        <v/>
      </c>
      <c r="E490" s="239">
        <f t="shared" si="106"/>
        <v>0</v>
      </c>
      <c r="F490" s="240" cm="1">
        <f t="array" ref="F490">MIN(INDEX('Relacion '!$Z$5:$AA$493,MATCH(INDEX($B:$B, (ROW()-2)),'Relacion '!$E$5:$E$493,0),0))</f>
        <v>46108</v>
      </c>
      <c r="G490" s="240" cm="1">
        <f t="array" ref="G490">MAX(INDEX('Relacion '!$Z$5:$AA$493,MATCH(INDEX($B:$B, (ROW()-2)),'Relacion '!$E$5:$E$493,0),0))</f>
        <v>46108</v>
      </c>
      <c r="H490" s="241" cm="1">
        <f t="array" ref="H490">IF(
 MATCH(B490,{"01. ASIGNACION AREA";"02. MAPEO";"03. DESARROLLO";"04. VALIDA US";"05. VOBO US";"06. BW-EJECUCION";"07. VALIDACIÓN BAJAWARE";"08. CERRADA"},0)
 &lt;
 MATCH(_xlfn.XLOOKUP(INDEX($B:$B, (ROW()-2)),'Relacion '!$E:$E,'Relacion '!$D:$D,""),{"01. ASIGNACION AREA";"02. MAPEO";"03. DESARROLLO";"04. VALIDA US";"05. VOBO US";"06. BW-EJECUCION";"07. VALIDACIÓN BAJAWARE";"08. CERRADA"},0),
 1,
 IF(
  MATCH(B490,{"01. ASIGNACION AREA";"02. MAPEO";"03. DESARROLLO";"04. VALIDA US";"05. VOBO US";"06. BW-EJECUCION";"07. VALIDACIÓN BAJAWARE";"08. CERRADA"},0)
  =
  MATCH(_xlfn.XLOOKUP(INDEX($B:$B, (ROW()-2)),'Relacion '!$E:$E,'Relacion '!$D:$D,""),{"01. ASIGNACION AREA";"02. MAPEO";"03. DESARROLLO";"04. VALIDA US";"05. VOBO US";"06. BW-EJECUCION";"07. VALIDACIÓN BAJAWARE";"08. CERRADA"},0),
  _xlfn.XLOOKUP(INDEX($B:$B, (ROW()-2)),'Relacion '!$E:$E,'Relacion '!#REF!,0),
  0
 )
)</f>
        <v>1</v>
      </c>
      <c r="I490" s="241">
        <f t="shared" ca="1" si="108"/>
        <v>1</v>
      </c>
      <c r="J490" s="241"/>
      <c r="K490" s="241"/>
      <c r="L490" s="238"/>
    </row>
    <row r="491" spans="2:12" outlineLevel="1">
      <c r="B491" s="237" t="s">
        <v>49</v>
      </c>
      <c r="C491" s="237" t="s">
        <v>49</v>
      </c>
      <c r="D491" s="238" t="str">
        <f>_xlfn.XLOOKUP(B491,'Relacion '!$E:$E,'Relacion '!$D:$D,"")</f>
        <v/>
      </c>
      <c r="E491" s="239">
        <f t="shared" si="106"/>
        <v>0</v>
      </c>
      <c r="F491" s="240" cm="1">
        <f t="array" ref="F491">MIN(INDEX('Relacion '!$AB$5:$AC$493,MATCH(INDEX($B:$B, (ROW()-3)),'Relacion '!$E$5:$E$493,0),0))</f>
        <v>46108</v>
      </c>
      <c r="G491" s="240" cm="1">
        <f t="array" ref="G491">MAX(INDEX('Relacion '!$AB$5:$AC$493,MATCH(INDEX($B:$B, (ROW()-3)),'Relacion '!$E$5:$E$493,0),0))</f>
        <v>46108</v>
      </c>
      <c r="H491" s="241" cm="1">
        <f t="array" ref="H491">IF(
 MATCH(B491,{"01. ASIGNACION AREA";"02. MAPEO";"03. DESARROLLO";"04. VALIDA US";"05. VOBO US";"06. BW-EJECUCION";"07. VALIDACIÓN BAJAWARE";"08. CERRADA"},0)
 &lt;
 MATCH(_xlfn.XLOOKUP(INDEX($B:$B, (ROW()-3)),'Relacion '!$E:$E,'Relacion '!$D:$D,""),{"01. ASIGNACION AREA";"02. MAPEO";"03. DESARROLLO";"04. VALIDA US";"05. VOBO US";"06. BW-EJECUCION";"07. VALIDACIÓN BAJAWARE";"08. CERRADA"},0),
 1,
 IF(
  MATCH(B491,{"01. ASIGNACION AREA";"02. MAPEO";"03. DESARROLLO";"04. VALIDA US";"05. VOBO US";"06. BW-EJECUCION";"07. VALIDACIÓN BAJAWARE";"08. CERRADA"},0)
  =
  MATCH(_xlfn.XLOOKUP(INDEX($B:$B, (ROW()-3)),'Relacion '!$E:$E,'Relacion '!$D:$D,""),{"01. ASIGNACION AREA";"02. MAPEO";"03. DESARROLLO";"04. VALIDA US";"05. VOBO US";"06. BW-EJECUCION";"07. VALIDACIÓN BAJAWARE";"08. CERRADA"},0),
  _xlfn.XLOOKUP(INDEX($B:$B, (ROW()-3)),'Relacion '!$E:$E,'Relacion '!#REF!,0),
  0
 )
)</f>
        <v>1</v>
      </c>
      <c r="I491" s="241">
        <f t="shared" ca="1" si="108"/>
        <v>1</v>
      </c>
      <c r="J491" s="241"/>
      <c r="K491" s="241"/>
      <c r="L491" s="238"/>
    </row>
    <row r="492" spans="2:12" outlineLevel="1">
      <c r="B492" s="237" t="s">
        <v>324</v>
      </c>
      <c r="C492" s="237" t="s">
        <v>324</v>
      </c>
      <c r="D492" s="238" t="str">
        <f>_xlfn.XLOOKUP(B492,'Relacion '!$E:$E,'Relacion '!$D:$D,"")</f>
        <v/>
      </c>
      <c r="E492" s="239">
        <f t="shared" si="106"/>
        <v>0</v>
      </c>
      <c r="F492" s="240" cm="1">
        <f t="array" ref="F492">MIN(INDEX('Relacion '!$AD$5:$AE$493,MATCH(INDEX($B:$B, (ROW()-4)),'Relacion '!$E$5:$E$493,0),0))</f>
        <v>46108</v>
      </c>
      <c r="G492" s="240" cm="1">
        <f t="array" ref="G492">MAX(INDEX('Relacion '!$AD$5:$AE$493,MATCH(INDEX($B:$B, (ROW()-4)),'Relacion '!$E$5:$E$493,0),0))</f>
        <v>46108</v>
      </c>
      <c r="H492" s="241" cm="1">
        <f t="array" ref="H492">IF(
 MATCH(B492,{"01. ASIGNACION AREA";"02. MAPEO";"03. DESARROLLO";"04. VALIDA US";"05. VOBO US";"06. BW-EJECUCION";"07. VALIDACIÓN BAJAWARE";"08. CERRADA"},0)
 &lt;
 MATCH(_xlfn.XLOOKUP(INDEX($B:$B, (ROW()-4)),'Relacion '!$E:$E,'Relacion '!$D:$D,""),{"01. ASIGNACION AREA";"02. MAPEO";"03. DESARROLLO";"04. VALIDA US";"05. VOBO US";"06. BW-EJECUCION";"07. VALIDACIÓN BAJAWARE";"08. CERRADA"},0),
 1,
 IF(
  MATCH(B492,{"01. ASIGNACION AREA";"02. MAPEO";"03. DESARROLLO";"04. VALIDA US";"05. VOBO US";"06. BW-EJECUCION";"07. VALIDACIÓN BAJAWARE";"08. CERRADA"},0)
  =
  MATCH(_xlfn.XLOOKUP(INDEX($B:$B, (ROW()-4)),'Relacion '!$E:$E,'Relacion '!$D:$D,""),{"01. ASIGNACION AREA";"02. MAPEO";"03. DESARROLLO";"04. VALIDA US";"05. VOBO US";"06. BW-EJECUCION";"07. VALIDACIÓN BAJAWARE";"08. CERRADA"},0),
  _xlfn.XLOOKUP(INDEX($B:$B, (ROW()-4)),'Relacion '!$E:$E,'Relacion '!#REF!,0),
  0
 )
)</f>
        <v>1</v>
      </c>
      <c r="I492" s="241">
        <f t="shared" ca="1" si="108"/>
        <v>1</v>
      </c>
      <c r="J492" s="241"/>
      <c r="K492" s="241"/>
      <c r="L492" s="238"/>
    </row>
    <row r="493" spans="2:12" outlineLevel="1">
      <c r="B493" s="237" t="s">
        <v>320</v>
      </c>
      <c r="C493" s="237" t="s">
        <v>320</v>
      </c>
      <c r="D493" s="238" t="str">
        <f>_xlfn.XLOOKUP(B493,'Relacion '!$E:$E,'Relacion '!$D:$D,"")</f>
        <v/>
      </c>
      <c r="E493" s="239">
        <f t="shared" si="106"/>
        <v>0</v>
      </c>
      <c r="F493" s="240" cm="1">
        <f t="array" ref="F493">MIN(INDEX('Relacion '!$AF$5:$AG$493,MATCH(INDEX($B:$B, (ROW()-5)),'Relacion '!$E$5:$E$493,0),0))</f>
        <v>46108</v>
      </c>
      <c r="G493" s="240" cm="1">
        <f t="array" ref="G493">MAX(INDEX('Relacion '!$AF$5:$AG$493,MATCH(INDEX($B:$B, (ROW()-5)),'Relacion '!$E$5:$E$493,0),0))</f>
        <v>46108</v>
      </c>
      <c r="H493" s="241" cm="1">
        <f t="array" ref="H493">IF(
 MATCH(B493,{"01. ASIGNACION AREA";"02. MAPEO";"03. DESARROLLO";"04. VALIDA US";"05. VOBO US";"06. BW-EJECUCION";"07. VALIDACIÓN BAJAWARE";"08. CERRADA"},0)
 &lt;
 MATCH(_xlfn.XLOOKUP(INDEX($B:$B, (ROW()-5)),'Relacion '!$E:$E,'Relacion '!$D:$D,""),{"01. ASIGNACION AREA";"02. MAPEO";"03. DESARROLLO";"04. VALIDA US";"05. VOBO US";"06. BW-EJECUCION";"07. VALIDACIÓN BAJAWARE";"08. CERRADA"},0),
 1,
 IF(
  MATCH(B493,{"01. ASIGNACION AREA";"02. MAPEO";"03. DESARROLLO";"04. VALIDA US";"05. VOBO US";"06. BW-EJECUCION";"07. VALIDACIÓN BAJAWARE";"08. CERRADA"},0)
  =
  MATCH(_xlfn.XLOOKUP(INDEX($B:$B, (ROW()-5)),'Relacion '!$E:$E,'Relacion '!$D:$D,""),{"01. ASIGNACION AREA";"02. MAPEO";"03. DESARROLLO";"04. VALIDA US";"05. VOBO US";"06. BW-EJECUCION";"07. VALIDACIÓN BAJAWARE";"08. CERRADA"},0),
  _xlfn.XLOOKUP(INDEX($B:$B, (ROW()-5)),'Relacion '!$E:$E,'Relacion '!#REF!,0),
  0
 )
)</f>
        <v>1</v>
      </c>
      <c r="I493" s="241">
        <f t="shared" ca="1" si="108"/>
        <v>1</v>
      </c>
      <c r="J493" s="241"/>
      <c r="K493" s="241"/>
      <c r="L493" s="238"/>
    </row>
    <row r="494" spans="2:12" outlineLevel="1">
      <c r="B494" s="237" t="s">
        <v>710</v>
      </c>
      <c r="C494" s="237" t="s">
        <v>710</v>
      </c>
      <c r="D494" s="238" t="str">
        <f>_xlfn.XLOOKUP(B494,'Relacion '!$E:$E,'Relacion '!$D:$D,"")</f>
        <v/>
      </c>
      <c r="E494" s="239">
        <f t="shared" si="106"/>
        <v>0</v>
      </c>
      <c r="F494" s="240" cm="1">
        <f t="array" ref="F494">MIN(INDEX('Relacion '!$AH$5:$AI$493,MATCH(INDEX($B:$B, (ROW()-6)),'Relacion '!$E$5:$E$493,0),0))</f>
        <v>46108</v>
      </c>
      <c r="G494" s="240" cm="1">
        <f t="array" ref="G494">MAX(INDEX('Relacion '!$AH$5:$AI$493,MATCH(INDEX($B:$B, (ROW()-6)),'Relacion '!$E$5:$E$493,0),0))</f>
        <v>46108</v>
      </c>
      <c r="H494" s="241" cm="1">
        <f t="array" ref="H494">IF(
 MATCH(B494,{"01. ASIGNACION AREA";"02. MAPEO";"03. DESARROLLO";"04. VALIDA US";"05. VOBO US";"06. BW-EJECUCION";"07. VALIDACIÓN BAJAWARE";"08. CERRADA"},0)
 &lt;
 MATCH(_xlfn.XLOOKUP(INDEX($B:$B, (ROW()-6)),'Relacion '!$E:$E,'Relacion '!$D:$D,""),{"01. ASIGNACION AREA";"02. MAPEO";"03. DESARROLLO";"04. VALIDA US";"05. VOBO US";"06. BW-EJECUCION";"07. VALIDACIÓN BAJAWARE";"08. CERRADA"},0),
 1,
 IF(
  MATCH(B494,{"01. ASIGNACION AREA";"02. MAPEO";"03. DESARROLLO";"04. VALIDA US";"05. VOBO US";"06. BW-EJECUCION";"07. VALIDACIÓN BAJAWARE";"08. CERRADA"},0)
  =
  MATCH(_xlfn.XLOOKUP(INDEX($B:$B, (ROW()-6)),'Relacion '!$E:$E,'Relacion '!$D:$D,""),{"01. ASIGNACION AREA";"02. MAPEO";"03. DESARROLLO";"04. VALIDA US";"05. VOBO US";"06. BW-EJECUCION";"07. VALIDACIÓN BAJAWARE";"08. CERRADA"},0),
  _xlfn.XLOOKUP(INDEX($B:$B, (ROW()-6)),'Relacion '!$E:$E,'Relacion '!#REF!,0),
  0
 )
)</f>
        <v>1</v>
      </c>
      <c r="I494" s="241">
        <f t="shared" ca="1" si="108"/>
        <v>1</v>
      </c>
      <c r="J494" s="241"/>
      <c r="K494" s="241"/>
      <c r="L494" s="238"/>
    </row>
    <row r="495" spans="2:12" outlineLevel="1">
      <c r="B495" s="237" t="s">
        <v>655</v>
      </c>
      <c r="C495" s="237" t="s">
        <v>655</v>
      </c>
      <c r="D495" s="238" t="str">
        <f>_xlfn.XLOOKUP(B495,'Relacion '!$E:$E,'Relacion '!$D:$D,"")</f>
        <v/>
      </c>
      <c r="E495" s="239">
        <f t="shared" si="106"/>
        <v>0</v>
      </c>
      <c r="F495" s="240" cm="1">
        <f t="array" ref="F495">MIN(INDEX('Relacion '!$AJ$5:$AK$493,MATCH(INDEX($B:$B, (ROW()-7)),'Relacion '!$E$5:$E$493,0),0))</f>
        <v>46108</v>
      </c>
      <c r="G495" s="240" cm="1">
        <f t="array" ref="G495">MAX(INDEX('Relacion '!$AJ$5:$AK$493,MATCH(INDEX($B:$B, (ROW()-7)),'Relacion '!$E$5:$E$493,0),0))</f>
        <v>46108</v>
      </c>
      <c r="H495" s="241" cm="1">
        <f t="array" ref="H495">IF(
 MATCH(B495,{"01. ASIGNACION AREA";"02. MAPEO";"03. DESARROLLO";"04. VALIDA US";"05. VOBO US";"06. BW-EJECUCION";"07. VALIDACIÓN BAJAWARE";"08. CERRADA"},0)
 &lt;
 MATCH(_xlfn.XLOOKUP(INDEX($B:$B, (ROW()-7)),'Relacion '!$E:$E,'Relacion '!$D:$D,""),{"01. ASIGNACION AREA";"02. MAPEO";"03. DESARROLLO";"04. VALIDA US";"05. VOBO US";"06. BW-EJECUCION";"07. VALIDACIÓN BAJAWARE";"08. CERRADA"},0),
 1,
 IF(
  MATCH(B495,{"01. ASIGNACION AREA";"02. MAPEO";"03. DESARROLLO";"04. VALIDA US";"05. VOBO US";"06. BW-EJECUCION";"07. VALIDACIÓN BAJAWARE";"08. CERRADA"},0)
  =
  MATCH(_xlfn.XLOOKUP(INDEX($B:$B, (ROW()-7)),'Relacion '!$E:$E,'Relacion '!$D:$D,""),{"01. ASIGNACION AREA";"02. MAPEO";"03. DESARROLLO";"04. VALIDA US";"05. VOBO US";"06. BW-EJECUCION";"07. VALIDACIÓN BAJAWARE";"08. CERRADA"},0),
  _xlfn.XLOOKUP(INDEX($B:$B, (ROW()-7)),'Relacion '!$E:$E,'Relacion '!#REF!,0),
  0
 )
)</f>
        <v>1</v>
      </c>
      <c r="I495" s="241">
        <f t="shared" ca="1" si="108"/>
        <v>1</v>
      </c>
      <c r="J495" s="241"/>
      <c r="K495" s="241"/>
      <c r="L495" s="238"/>
    </row>
    <row r="496" spans="2:12" outlineLevel="1">
      <c r="B496" s="237" t="s">
        <v>656</v>
      </c>
      <c r="C496" s="237" t="s">
        <v>656</v>
      </c>
      <c r="D496" s="238" t="str">
        <f>_xlfn.XLOOKUP(B496,'Relacion '!$E:$E,'Relacion '!$D:$D,"")</f>
        <v/>
      </c>
      <c r="E496" s="239">
        <f t="shared" si="106"/>
        <v>0</v>
      </c>
      <c r="F496" s="240" cm="1">
        <f t="array" ref="F496">MIN(INDEX('Relacion '!$AL$5:$AM$493,MATCH(INDEX($B:$B, (ROW()-8)),'Relacion '!$E$5:$E$493,0),0))</f>
        <v>46108</v>
      </c>
      <c r="G496" s="240" cm="1">
        <f t="array" ref="G496">MAX(INDEX('Relacion '!$AL$5:$AM$493,MATCH(INDEX($B:$B, (ROW()-8)),'Relacion '!$E$5:$E$493,0),0))</f>
        <v>46108</v>
      </c>
      <c r="H496" s="241" t="e" cm="1">
        <f t="array" ref="H496">IF(
 MATCH(B496,{"01. ASIGNACION AREA";"02. MAPEO";"03. DESARROLLO";"04. VALIDA US";"05. VOBO US";"06. BW-EJECUCION";"07. VALIDACIÓN BAJAWARE";"08. CERRADA"},0)
 &lt;
 MATCH(_xlfn.XLOOKUP(INDEX($B:$B, (ROW()-8)),'Relacion '!$E:$E,'Relacion '!$D:$D,""),{"01. ASIGNACION AREA";"02. MAPEO";"03. DESARROLLO";"04. VALIDA US";"05. VOBO US";"06. BW-EJECUCION";"07. VALIDACIÓN BAJAWARE";"08. CERRADA"},0),
 1,
 IF(
  MATCH(B496,{"01. ASIGNACION AREA";"02. MAPEO";"03. DESARROLLO";"04. VALIDA US";"05. VOBO US";"06. BW-EJECUCION";"07. VALIDACIÓN BAJAWARE";"08. CERRADA"},0)
  =
  MATCH(_xlfn.XLOOKUP(INDEX($B:$B, (ROW()-8)),'Relacion '!$E:$E,'Relacion '!$D:$D,""),{"01. ASIGNACION AREA";"02. MAPEO";"03. DESARROLLO";"04. VALIDA US";"05. VOBO US";"06. BW-EJECUCION";"07. VALIDACIÓN BAJAWARE";"08. CERRADA"},0),
  _xlfn.XLOOKUP(INDEX($B:$B, (ROW()-8)),'Relacion '!$E:$E,'Relacion '!#REF!,0),
  0
 )
)</f>
        <v>#REF!</v>
      </c>
      <c r="I496" s="241">
        <f t="shared" ca="1" si="108"/>
        <v>1</v>
      </c>
      <c r="J496" s="241"/>
      <c r="K496" s="241"/>
      <c r="L496" s="238"/>
    </row>
    <row r="497" spans="2:12">
      <c r="B497" s="232" t="s">
        <v>479</v>
      </c>
      <c r="C497" s="190" t="s">
        <v>476</v>
      </c>
      <c r="D497" s="236" t="str">
        <f>_xlfn.XLOOKUP(B497,'Relacion '!$E:$E,'Relacion '!$D:$D,"")</f>
        <v>08. CERRADA</v>
      </c>
      <c r="E497" s="233">
        <f t="shared" si="106"/>
        <v>449</v>
      </c>
      <c r="F497" s="234" cm="1">
        <f t="array" ref="F497">MIN(INDEX('Relacion '!$X$5:$AM$493,MATCH(INDEX($B:$B, (ROW()-0)),'Relacion '!$E$5:$E$493,0),0))</f>
        <v>45659</v>
      </c>
      <c r="G497" s="234" cm="1">
        <f t="array" ref="G497">MAX(INDEX('Relacion '!$X$5:$AM$493,MATCH(INDEX($B:$B, (ROW()-0)),'Relacion '!$E$5:$E$493,0),0))</f>
        <v>46108</v>
      </c>
      <c r="H497" s="235" t="e">
        <f>AVERAGE(H498:H505)</f>
        <v>#REF!</v>
      </c>
      <c r="I497" s="235">
        <f t="shared" ref="I497" ca="1" si="117">AVERAGE(I498:I505)</f>
        <v>1</v>
      </c>
      <c r="J497" s="236" t="str">
        <f>IF(ISNUMBER(SEARCH("Rocha", _xlfn.XLOOKUP(B497,'Relacion '!$E:$E,'Relacion '!$I:$I,""))), "Sí", "No")</f>
        <v>No</v>
      </c>
      <c r="K497" s="236" t="str">
        <f>IF(ISNUMBER(SEARCH("Rocha", _xlfn.XLOOKUP(B497,'Relacion '!$E:$E,'Relacion '!$I:$I,""))), "RMC", _xlfn.XLOOKUP(B497,'Relacion '!$E:$E,'Relacion '!$B:$B,""))</f>
        <v>Producto</v>
      </c>
      <c r="L497" s="236" t="str">
        <f>_xlfn.XLOOKUP(B497,'Relacion '!$E:$E,'Relacion '!$C:$C,"")</f>
        <v>Claudia Barroso</v>
      </c>
    </row>
    <row r="498" spans="2:12" outlineLevel="1">
      <c r="B498" s="237" t="s">
        <v>654</v>
      </c>
      <c r="C498" s="237" t="s">
        <v>654</v>
      </c>
      <c r="D498" s="238" t="str">
        <f>_xlfn.XLOOKUP(B498,'Relacion '!$E:$E,'Relacion '!$D:$D,"")</f>
        <v/>
      </c>
      <c r="E498" s="239">
        <f t="shared" si="106"/>
        <v>424</v>
      </c>
      <c r="F498" s="240" cm="1">
        <f t="array" ref="F498">MIN(INDEX('Relacion '!$X$5:$Y$493,MATCH(INDEX($B:$B, (ROW()-1)),'Relacion '!$E$5:$E$493,0),0))</f>
        <v>45659</v>
      </c>
      <c r="G498" s="240" cm="1">
        <f t="array" ref="G498">MAX(INDEX('Relacion '!$X$5:$Y$493,MATCH(INDEX($B:$B, (ROW()-1)),'Relacion '!$E$5:$E$493,0),0))</f>
        <v>46083</v>
      </c>
      <c r="H498" s="241" cm="1">
        <f t="array" ref="H498">IF(
 MATCH(B498,{"01. ASIGNACION AREA";"02. MAPEO";"03. DESARROLLO";"04. VALIDA US";"05. VOBO US";"06. BW-EJECUCION";"07. VALIDACIÓN BAJAWARE";"08. CERRADA"},0)
 &lt;
 MATCH(_xlfn.XLOOKUP(INDEX($B:$B, (ROW()-1)),'Relacion '!$E:$E,'Relacion '!$D:$D,""),{"01. ASIGNACION AREA";"02. MAPEO";"03. DESARROLLO";"04. VALIDA US";"05. VOBO US";"06. BW-EJECUCION";"07. VALIDACIÓN BAJAWARE";"08. CERRADA"},0),
 1,
 IF(
  MATCH(B498,{"01. ASIGNACION AREA";"02. MAPEO";"03. DESARROLLO";"04. VALIDA US";"05. VOBO US";"06. BW-EJECUCION";"07. VALIDACIÓN BAJAWARE";"08. CERRADA"},0)
  =
  MATCH(_xlfn.XLOOKUP(INDEX($B:$B, (ROW()-1)),'Relacion '!$E:$E,'Relacion '!$D:$D,""),{"01. ASIGNACION AREA";"02. MAPEO";"03. DESARROLLO";"04. VALIDA US";"05. VOBO US";"06. BW-EJECUCION";"07. VALIDACIÓN BAJAWARE";"08. CERRADA"},0),
  _xlfn.XLOOKUP(INDEX($B:$B, (ROW()-1)),'Relacion '!$E:$E,'Relacion '!#REF!,0),
  0
 )
)</f>
        <v>1</v>
      </c>
      <c r="I498" s="241">
        <f t="shared" ref="I498" ca="1" si="118">IF(G498&lt;=TODAY(), 1, 0)</f>
        <v>1</v>
      </c>
      <c r="J498" s="241"/>
      <c r="K498" s="241"/>
      <c r="L498" s="238"/>
    </row>
    <row r="499" spans="2:12" outlineLevel="1">
      <c r="B499" s="237" t="s">
        <v>195</v>
      </c>
      <c r="C499" s="237" t="s">
        <v>195</v>
      </c>
      <c r="D499" s="238" t="str">
        <f>_xlfn.XLOOKUP(B499,'Relacion '!$E:$E,'Relacion '!$D:$D,"")</f>
        <v/>
      </c>
      <c r="E499" s="239">
        <f t="shared" si="106"/>
        <v>0</v>
      </c>
      <c r="F499" s="240" cm="1">
        <f t="array" ref="F499">MIN(INDEX('Relacion '!$Z$5:$AA$493,MATCH(INDEX($B:$B, (ROW()-2)),'Relacion '!$E$5:$E$493,0),0))</f>
        <v>46108</v>
      </c>
      <c r="G499" s="240" cm="1">
        <f t="array" ref="G499">MAX(INDEX('Relacion '!$Z$5:$AA$493,MATCH(INDEX($B:$B, (ROW()-2)),'Relacion '!$E$5:$E$493,0),0))</f>
        <v>46108</v>
      </c>
      <c r="H499" s="241" cm="1">
        <f t="array" ref="H499">IF(
 MATCH(B499,{"01. ASIGNACION AREA";"02. MAPEO";"03. DESARROLLO";"04. VALIDA US";"05. VOBO US";"06. BW-EJECUCION";"07. VALIDACIÓN BAJAWARE";"08. CERRADA"},0)
 &lt;
 MATCH(_xlfn.XLOOKUP(INDEX($B:$B, (ROW()-2)),'Relacion '!$E:$E,'Relacion '!$D:$D,""),{"01. ASIGNACION AREA";"02. MAPEO";"03. DESARROLLO";"04. VALIDA US";"05. VOBO US";"06. BW-EJECUCION";"07. VALIDACIÓN BAJAWARE";"08. CERRADA"},0),
 1,
 IF(
  MATCH(B499,{"01. ASIGNACION AREA";"02. MAPEO";"03. DESARROLLO";"04. VALIDA US";"05. VOBO US";"06. BW-EJECUCION";"07. VALIDACIÓN BAJAWARE";"08. CERRADA"},0)
  =
  MATCH(_xlfn.XLOOKUP(INDEX($B:$B, (ROW()-2)),'Relacion '!$E:$E,'Relacion '!$D:$D,""),{"01. ASIGNACION AREA";"02. MAPEO";"03. DESARROLLO";"04. VALIDA US";"05. VOBO US";"06. BW-EJECUCION";"07. VALIDACIÓN BAJAWARE";"08. CERRADA"},0),
  _xlfn.XLOOKUP(INDEX($B:$B, (ROW()-2)),'Relacion '!$E:$E,'Relacion '!#REF!,0),
  0
 )
)</f>
        <v>1</v>
      </c>
      <c r="I499" s="241">
        <f t="shared" ca="1" si="108"/>
        <v>1</v>
      </c>
      <c r="J499" s="241"/>
      <c r="K499" s="241"/>
      <c r="L499" s="238"/>
    </row>
    <row r="500" spans="2:12" outlineLevel="1">
      <c r="B500" s="237" t="s">
        <v>49</v>
      </c>
      <c r="C500" s="237" t="s">
        <v>49</v>
      </c>
      <c r="D500" s="238" t="str">
        <f>_xlfn.XLOOKUP(B500,'Relacion '!$E:$E,'Relacion '!$D:$D,"")</f>
        <v/>
      </c>
      <c r="E500" s="239">
        <f t="shared" si="106"/>
        <v>0</v>
      </c>
      <c r="F500" s="240" cm="1">
        <f t="array" ref="F500">MIN(INDEX('Relacion '!$AB$5:$AC$493,MATCH(INDEX($B:$B, (ROW()-3)),'Relacion '!$E$5:$E$493,0),0))</f>
        <v>46108</v>
      </c>
      <c r="G500" s="240" cm="1">
        <f t="array" ref="G500">MAX(INDEX('Relacion '!$AB$5:$AC$493,MATCH(INDEX($B:$B, (ROW()-3)),'Relacion '!$E$5:$E$493,0),0))</f>
        <v>46108</v>
      </c>
      <c r="H500" s="241" cm="1">
        <f t="array" ref="H500">IF(
 MATCH(B500,{"01. ASIGNACION AREA";"02. MAPEO";"03. DESARROLLO";"04. VALIDA US";"05. VOBO US";"06. BW-EJECUCION";"07. VALIDACIÓN BAJAWARE";"08. CERRADA"},0)
 &lt;
 MATCH(_xlfn.XLOOKUP(INDEX($B:$B, (ROW()-3)),'Relacion '!$E:$E,'Relacion '!$D:$D,""),{"01. ASIGNACION AREA";"02. MAPEO";"03. DESARROLLO";"04. VALIDA US";"05. VOBO US";"06. BW-EJECUCION";"07. VALIDACIÓN BAJAWARE";"08. CERRADA"},0),
 1,
 IF(
  MATCH(B500,{"01. ASIGNACION AREA";"02. MAPEO";"03. DESARROLLO";"04. VALIDA US";"05. VOBO US";"06. BW-EJECUCION";"07. VALIDACIÓN BAJAWARE";"08. CERRADA"},0)
  =
  MATCH(_xlfn.XLOOKUP(INDEX($B:$B, (ROW()-3)),'Relacion '!$E:$E,'Relacion '!$D:$D,""),{"01. ASIGNACION AREA";"02. MAPEO";"03. DESARROLLO";"04. VALIDA US";"05. VOBO US";"06. BW-EJECUCION";"07. VALIDACIÓN BAJAWARE";"08. CERRADA"},0),
  _xlfn.XLOOKUP(INDEX($B:$B, (ROW()-3)),'Relacion '!$E:$E,'Relacion '!#REF!,0),
  0
 )
)</f>
        <v>1</v>
      </c>
      <c r="I500" s="241">
        <f t="shared" ca="1" si="108"/>
        <v>1</v>
      </c>
      <c r="J500" s="241"/>
      <c r="K500" s="241"/>
      <c r="L500" s="238"/>
    </row>
    <row r="501" spans="2:12" outlineLevel="1">
      <c r="B501" s="237" t="s">
        <v>324</v>
      </c>
      <c r="C501" s="237" t="s">
        <v>324</v>
      </c>
      <c r="D501" s="238" t="str">
        <f>_xlfn.XLOOKUP(B501,'Relacion '!$E:$E,'Relacion '!$D:$D,"")</f>
        <v/>
      </c>
      <c r="E501" s="239">
        <f t="shared" si="106"/>
        <v>0</v>
      </c>
      <c r="F501" s="240" cm="1">
        <f t="array" ref="F501">MIN(INDEX('Relacion '!$AD$5:$AE$493,MATCH(INDEX($B:$B, (ROW()-4)),'Relacion '!$E$5:$E$493,0),0))</f>
        <v>46108</v>
      </c>
      <c r="G501" s="240" cm="1">
        <f t="array" ref="G501">MAX(INDEX('Relacion '!$AD$5:$AE$493,MATCH(INDEX($B:$B, (ROW()-4)),'Relacion '!$E$5:$E$493,0),0))</f>
        <v>46108</v>
      </c>
      <c r="H501" s="241" cm="1">
        <f t="array" ref="H501">IF(
 MATCH(B501,{"01. ASIGNACION AREA";"02. MAPEO";"03. DESARROLLO";"04. VALIDA US";"05. VOBO US";"06. BW-EJECUCION";"07. VALIDACIÓN BAJAWARE";"08. CERRADA"},0)
 &lt;
 MATCH(_xlfn.XLOOKUP(INDEX($B:$B, (ROW()-4)),'Relacion '!$E:$E,'Relacion '!$D:$D,""),{"01. ASIGNACION AREA";"02. MAPEO";"03. DESARROLLO";"04. VALIDA US";"05. VOBO US";"06. BW-EJECUCION";"07. VALIDACIÓN BAJAWARE";"08. CERRADA"},0),
 1,
 IF(
  MATCH(B501,{"01. ASIGNACION AREA";"02. MAPEO";"03. DESARROLLO";"04. VALIDA US";"05. VOBO US";"06. BW-EJECUCION";"07. VALIDACIÓN BAJAWARE";"08. CERRADA"},0)
  =
  MATCH(_xlfn.XLOOKUP(INDEX($B:$B, (ROW()-4)),'Relacion '!$E:$E,'Relacion '!$D:$D,""),{"01. ASIGNACION AREA";"02. MAPEO";"03. DESARROLLO";"04. VALIDA US";"05. VOBO US";"06. BW-EJECUCION";"07. VALIDACIÓN BAJAWARE";"08. CERRADA"},0),
  _xlfn.XLOOKUP(INDEX($B:$B, (ROW()-4)),'Relacion '!$E:$E,'Relacion '!#REF!,0),
  0
 )
)</f>
        <v>1</v>
      </c>
      <c r="I501" s="241">
        <f t="shared" ca="1" si="108"/>
        <v>1</v>
      </c>
      <c r="J501" s="241"/>
      <c r="K501" s="241"/>
      <c r="L501" s="238"/>
    </row>
    <row r="502" spans="2:12" outlineLevel="1">
      <c r="B502" s="237" t="s">
        <v>320</v>
      </c>
      <c r="C502" s="237" t="s">
        <v>320</v>
      </c>
      <c r="D502" s="238" t="str">
        <f>_xlfn.XLOOKUP(B502,'Relacion '!$E:$E,'Relacion '!$D:$D,"")</f>
        <v/>
      </c>
      <c r="E502" s="239">
        <f t="shared" si="106"/>
        <v>0</v>
      </c>
      <c r="F502" s="240" cm="1">
        <f t="array" ref="F502">MIN(INDEX('Relacion '!$AF$5:$AG$493,MATCH(INDEX($B:$B, (ROW()-5)),'Relacion '!$E$5:$E$493,0),0))</f>
        <v>46108</v>
      </c>
      <c r="G502" s="240" cm="1">
        <f t="array" ref="G502">MAX(INDEX('Relacion '!$AF$5:$AG$493,MATCH(INDEX($B:$B, (ROW()-5)),'Relacion '!$E$5:$E$493,0),0))</f>
        <v>46108</v>
      </c>
      <c r="H502" s="241" cm="1">
        <f t="array" ref="H502">IF(
 MATCH(B502,{"01. ASIGNACION AREA";"02. MAPEO";"03. DESARROLLO";"04. VALIDA US";"05. VOBO US";"06. BW-EJECUCION";"07. VALIDACIÓN BAJAWARE";"08. CERRADA"},0)
 &lt;
 MATCH(_xlfn.XLOOKUP(INDEX($B:$B, (ROW()-5)),'Relacion '!$E:$E,'Relacion '!$D:$D,""),{"01. ASIGNACION AREA";"02. MAPEO";"03. DESARROLLO";"04. VALIDA US";"05. VOBO US";"06. BW-EJECUCION";"07. VALIDACIÓN BAJAWARE";"08. CERRADA"},0),
 1,
 IF(
  MATCH(B502,{"01. ASIGNACION AREA";"02. MAPEO";"03. DESARROLLO";"04. VALIDA US";"05. VOBO US";"06. BW-EJECUCION";"07. VALIDACIÓN BAJAWARE";"08. CERRADA"},0)
  =
  MATCH(_xlfn.XLOOKUP(INDEX($B:$B, (ROW()-5)),'Relacion '!$E:$E,'Relacion '!$D:$D,""),{"01. ASIGNACION AREA";"02. MAPEO";"03. DESARROLLO";"04. VALIDA US";"05. VOBO US";"06. BW-EJECUCION";"07. VALIDACIÓN BAJAWARE";"08. CERRADA"},0),
  _xlfn.XLOOKUP(INDEX($B:$B, (ROW()-5)),'Relacion '!$E:$E,'Relacion '!#REF!,0),
  0
 )
)</f>
        <v>1</v>
      </c>
      <c r="I502" s="241">
        <f t="shared" ca="1" si="108"/>
        <v>1</v>
      </c>
      <c r="J502" s="241"/>
      <c r="K502" s="241"/>
      <c r="L502" s="238"/>
    </row>
    <row r="503" spans="2:12" outlineLevel="1">
      <c r="B503" s="237" t="s">
        <v>710</v>
      </c>
      <c r="C503" s="237" t="s">
        <v>710</v>
      </c>
      <c r="D503" s="238" t="str">
        <f>_xlfn.XLOOKUP(B503,'Relacion '!$E:$E,'Relacion '!$D:$D,"")</f>
        <v/>
      </c>
      <c r="E503" s="239">
        <f t="shared" si="106"/>
        <v>0</v>
      </c>
      <c r="F503" s="240" cm="1">
        <f t="array" ref="F503">MIN(INDEX('Relacion '!$AH$5:$AI$493,MATCH(INDEX($B:$B, (ROW()-6)),'Relacion '!$E$5:$E$493,0),0))</f>
        <v>46108</v>
      </c>
      <c r="G503" s="240" cm="1">
        <f t="array" ref="G503">MAX(INDEX('Relacion '!$AH$5:$AI$493,MATCH(INDEX($B:$B, (ROW()-6)),'Relacion '!$E$5:$E$493,0),0))</f>
        <v>46108</v>
      </c>
      <c r="H503" s="241" cm="1">
        <f t="array" ref="H503">IF(
 MATCH(B503,{"01. ASIGNACION AREA";"02. MAPEO";"03. DESARROLLO";"04. VALIDA US";"05. VOBO US";"06. BW-EJECUCION";"07. VALIDACIÓN BAJAWARE";"08. CERRADA"},0)
 &lt;
 MATCH(_xlfn.XLOOKUP(INDEX($B:$B, (ROW()-6)),'Relacion '!$E:$E,'Relacion '!$D:$D,""),{"01. ASIGNACION AREA";"02. MAPEO";"03. DESARROLLO";"04. VALIDA US";"05. VOBO US";"06. BW-EJECUCION";"07. VALIDACIÓN BAJAWARE";"08. CERRADA"},0),
 1,
 IF(
  MATCH(B503,{"01. ASIGNACION AREA";"02. MAPEO";"03. DESARROLLO";"04. VALIDA US";"05. VOBO US";"06. BW-EJECUCION";"07. VALIDACIÓN BAJAWARE";"08. CERRADA"},0)
  =
  MATCH(_xlfn.XLOOKUP(INDEX($B:$B, (ROW()-6)),'Relacion '!$E:$E,'Relacion '!$D:$D,""),{"01. ASIGNACION AREA";"02. MAPEO";"03. DESARROLLO";"04. VALIDA US";"05. VOBO US";"06. BW-EJECUCION";"07. VALIDACIÓN BAJAWARE";"08. CERRADA"},0),
  _xlfn.XLOOKUP(INDEX($B:$B, (ROW()-6)),'Relacion '!$E:$E,'Relacion '!#REF!,0),
  0
 )
)</f>
        <v>1</v>
      </c>
      <c r="I503" s="241">
        <f t="shared" ca="1" si="108"/>
        <v>1</v>
      </c>
      <c r="J503" s="241"/>
      <c r="K503" s="241"/>
      <c r="L503" s="238"/>
    </row>
    <row r="504" spans="2:12" outlineLevel="1">
      <c r="B504" s="237" t="s">
        <v>655</v>
      </c>
      <c r="C504" s="237" t="s">
        <v>655</v>
      </c>
      <c r="D504" s="238" t="str">
        <f>_xlfn.XLOOKUP(B504,'Relacion '!$E:$E,'Relacion '!$D:$D,"")</f>
        <v/>
      </c>
      <c r="E504" s="239">
        <f t="shared" si="106"/>
        <v>0</v>
      </c>
      <c r="F504" s="240" cm="1">
        <f t="array" ref="F504">MIN(INDEX('Relacion '!$AJ$5:$AK$493,MATCH(INDEX($B:$B, (ROW()-7)),'Relacion '!$E$5:$E$493,0),0))</f>
        <v>46108</v>
      </c>
      <c r="G504" s="240" cm="1">
        <f t="array" ref="G504">MAX(INDEX('Relacion '!$AJ$5:$AK$493,MATCH(INDEX($B:$B, (ROW()-7)),'Relacion '!$E$5:$E$493,0),0))</f>
        <v>46108</v>
      </c>
      <c r="H504" s="241" cm="1">
        <f t="array" ref="H504">IF(
 MATCH(B504,{"01. ASIGNACION AREA";"02. MAPEO";"03. DESARROLLO";"04. VALIDA US";"05. VOBO US";"06. BW-EJECUCION";"07. VALIDACIÓN BAJAWARE";"08. CERRADA"},0)
 &lt;
 MATCH(_xlfn.XLOOKUP(INDEX($B:$B, (ROW()-7)),'Relacion '!$E:$E,'Relacion '!$D:$D,""),{"01. ASIGNACION AREA";"02. MAPEO";"03. DESARROLLO";"04. VALIDA US";"05. VOBO US";"06. BW-EJECUCION";"07. VALIDACIÓN BAJAWARE";"08. CERRADA"},0),
 1,
 IF(
  MATCH(B504,{"01. ASIGNACION AREA";"02. MAPEO";"03. DESARROLLO";"04. VALIDA US";"05. VOBO US";"06. BW-EJECUCION";"07. VALIDACIÓN BAJAWARE";"08. CERRADA"},0)
  =
  MATCH(_xlfn.XLOOKUP(INDEX($B:$B, (ROW()-7)),'Relacion '!$E:$E,'Relacion '!$D:$D,""),{"01. ASIGNACION AREA";"02. MAPEO";"03. DESARROLLO";"04. VALIDA US";"05. VOBO US";"06. BW-EJECUCION";"07. VALIDACIÓN BAJAWARE";"08. CERRADA"},0),
  _xlfn.XLOOKUP(INDEX($B:$B, (ROW()-7)),'Relacion '!$E:$E,'Relacion '!#REF!,0),
  0
 )
)</f>
        <v>1</v>
      </c>
      <c r="I504" s="241">
        <f t="shared" ca="1" si="108"/>
        <v>1</v>
      </c>
      <c r="J504" s="241"/>
      <c r="K504" s="241"/>
      <c r="L504" s="238"/>
    </row>
    <row r="505" spans="2:12" outlineLevel="1">
      <c r="B505" s="237" t="s">
        <v>656</v>
      </c>
      <c r="C505" s="237" t="s">
        <v>656</v>
      </c>
      <c r="D505" s="238" t="str">
        <f>_xlfn.XLOOKUP(B505,'Relacion '!$E:$E,'Relacion '!$D:$D,"")</f>
        <v/>
      </c>
      <c r="E505" s="239">
        <f t="shared" si="106"/>
        <v>0</v>
      </c>
      <c r="F505" s="240" cm="1">
        <f t="array" ref="F505">MIN(INDEX('Relacion '!$AL$5:$AM$493,MATCH(INDEX($B:$B, (ROW()-8)),'Relacion '!$E$5:$E$493,0),0))</f>
        <v>46108</v>
      </c>
      <c r="G505" s="240" cm="1">
        <f t="array" ref="G505">MAX(INDEX('Relacion '!$AL$5:$AM$493,MATCH(INDEX($B:$B, (ROW()-8)),'Relacion '!$E$5:$E$493,0),0))</f>
        <v>46108</v>
      </c>
      <c r="H505" s="241" t="e" cm="1">
        <f t="array" ref="H505">IF(
 MATCH(B505,{"01. ASIGNACION AREA";"02. MAPEO";"03. DESARROLLO";"04. VALIDA US";"05. VOBO US";"06. BW-EJECUCION";"07. VALIDACIÓN BAJAWARE";"08. CERRADA"},0)
 &lt;
 MATCH(_xlfn.XLOOKUP(INDEX($B:$B, (ROW()-8)),'Relacion '!$E:$E,'Relacion '!$D:$D,""),{"01. ASIGNACION AREA";"02. MAPEO";"03. DESARROLLO";"04. VALIDA US";"05. VOBO US";"06. BW-EJECUCION";"07. VALIDACIÓN BAJAWARE";"08. CERRADA"},0),
 1,
 IF(
  MATCH(B505,{"01. ASIGNACION AREA";"02. MAPEO";"03. DESARROLLO";"04. VALIDA US";"05. VOBO US";"06. BW-EJECUCION";"07. VALIDACIÓN BAJAWARE";"08. CERRADA"},0)
  =
  MATCH(_xlfn.XLOOKUP(INDEX($B:$B, (ROW()-8)),'Relacion '!$E:$E,'Relacion '!$D:$D,""),{"01. ASIGNACION AREA";"02. MAPEO";"03. DESARROLLO";"04. VALIDA US";"05. VOBO US";"06. BW-EJECUCION";"07. VALIDACIÓN BAJAWARE";"08. CERRADA"},0),
  _xlfn.XLOOKUP(INDEX($B:$B, (ROW()-8)),'Relacion '!$E:$E,'Relacion '!#REF!,0),
  0
 )
)</f>
        <v>#REF!</v>
      </c>
      <c r="I505" s="241">
        <f t="shared" ca="1" si="108"/>
        <v>1</v>
      </c>
      <c r="J505" s="241"/>
      <c r="K505" s="241"/>
      <c r="L505" s="238"/>
    </row>
    <row r="506" spans="2:12">
      <c r="B506" s="232" t="s">
        <v>480</v>
      </c>
      <c r="C506" s="190" t="s">
        <v>476</v>
      </c>
      <c r="D506" s="236" t="str">
        <f>_xlfn.XLOOKUP(B506,'Relacion '!$E:$E,'Relacion '!$D:$D,"")</f>
        <v>08. CERRADA</v>
      </c>
      <c r="E506" s="233">
        <f t="shared" si="106"/>
        <v>449</v>
      </c>
      <c r="F506" s="234" cm="1">
        <f t="array" ref="F506">MIN(INDEX('Relacion '!$X$5:$AM$493,MATCH(INDEX($B:$B, (ROW()-0)),'Relacion '!$E$5:$E$493,0),0))</f>
        <v>45659</v>
      </c>
      <c r="G506" s="234" cm="1">
        <f t="array" ref="G506">MAX(INDEX('Relacion '!$X$5:$AM$493,MATCH(INDEX($B:$B, (ROW()-0)),'Relacion '!$E$5:$E$493,0),0))</f>
        <v>46108</v>
      </c>
      <c r="H506" s="235" t="e">
        <f>AVERAGE(H507:H514)</f>
        <v>#REF!</v>
      </c>
      <c r="I506" s="235">
        <f t="shared" ref="I506" ca="1" si="119">AVERAGE(I507:I514)</f>
        <v>1</v>
      </c>
      <c r="J506" s="236" t="str">
        <f>IF(ISNUMBER(SEARCH("Rocha", _xlfn.XLOOKUP(B506,'Relacion '!$E:$E,'Relacion '!$I:$I,""))), "Sí", "No")</f>
        <v>No</v>
      </c>
      <c r="K506" s="236" t="str">
        <f>IF(ISNUMBER(SEARCH("Rocha", _xlfn.XLOOKUP(B506,'Relacion '!$E:$E,'Relacion '!$I:$I,""))), "RMC", _xlfn.XLOOKUP(B506,'Relacion '!$E:$E,'Relacion '!$B:$B,""))</f>
        <v>Producto</v>
      </c>
      <c r="L506" s="236" t="str">
        <f>_xlfn.XLOOKUP(B506,'Relacion '!$E:$E,'Relacion '!$C:$C,"")</f>
        <v>Claudia Barroso</v>
      </c>
    </row>
    <row r="507" spans="2:12" outlineLevel="1">
      <c r="B507" s="237" t="s">
        <v>654</v>
      </c>
      <c r="C507" s="237" t="s">
        <v>654</v>
      </c>
      <c r="D507" s="238" t="str">
        <f>_xlfn.XLOOKUP(B507,'Relacion '!$E:$E,'Relacion '!$D:$D,"")</f>
        <v/>
      </c>
      <c r="E507" s="239">
        <f t="shared" si="106"/>
        <v>424</v>
      </c>
      <c r="F507" s="240" cm="1">
        <f t="array" ref="F507">MIN(INDEX('Relacion '!$X$5:$Y$493,MATCH(INDEX($B:$B, (ROW()-1)),'Relacion '!$E$5:$E$493,0),0))</f>
        <v>45659</v>
      </c>
      <c r="G507" s="240" cm="1">
        <f t="array" ref="G507">MAX(INDEX('Relacion '!$X$5:$Y$493,MATCH(INDEX($B:$B, (ROW()-1)),'Relacion '!$E$5:$E$493,0),0))</f>
        <v>46083</v>
      </c>
      <c r="H507" s="241" cm="1">
        <f t="array" ref="H507">IF(
 MATCH(B507,{"01. ASIGNACION AREA";"02. MAPEO";"03. DESARROLLO";"04. VALIDA US";"05. VOBO US";"06. BW-EJECUCION";"07. VALIDACIÓN BAJAWARE";"08. CERRADA"},0)
 &lt;
 MATCH(_xlfn.XLOOKUP(INDEX($B:$B, (ROW()-1)),'Relacion '!$E:$E,'Relacion '!$D:$D,""),{"01. ASIGNACION AREA";"02. MAPEO";"03. DESARROLLO";"04. VALIDA US";"05. VOBO US";"06. BW-EJECUCION";"07. VALIDACIÓN BAJAWARE";"08. CERRADA"},0),
 1,
 IF(
  MATCH(B507,{"01. ASIGNACION AREA";"02. MAPEO";"03. DESARROLLO";"04. VALIDA US";"05. VOBO US";"06. BW-EJECUCION";"07. VALIDACIÓN BAJAWARE";"08. CERRADA"},0)
  =
  MATCH(_xlfn.XLOOKUP(INDEX($B:$B, (ROW()-1)),'Relacion '!$E:$E,'Relacion '!$D:$D,""),{"01. ASIGNACION AREA";"02. MAPEO";"03. DESARROLLO";"04. VALIDA US";"05. VOBO US";"06. BW-EJECUCION";"07. VALIDACIÓN BAJAWARE";"08. CERRADA"},0),
  _xlfn.XLOOKUP(INDEX($B:$B, (ROW()-1)),'Relacion '!$E:$E,'Relacion '!#REF!,0),
  0
 )
)</f>
        <v>1</v>
      </c>
      <c r="I507" s="241">
        <f t="shared" ref="I507" ca="1" si="120">IF(G507&lt;=TODAY(), 1, 0)</f>
        <v>1</v>
      </c>
      <c r="J507" s="241"/>
      <c r="K507" s="241"/>
      <c r="L507" s="238"/>
    </row>
    <row r="508" spans="2:12" outlineLevel="1">
      <c r="B508" s="237" t="s">
        <v>195</v>
      </c>
      <c r="C508" s="237" t="s">
        <v>195</v>
      </c>
      <c r="D508" s="238" t="str">
        <f>_xlfn.XLOOKUP(B508,'Relacion '!$E:$E,'Relacion '!$D:$D,"")</f>
        <v/>
      </c>
      <c r="E508" s="239">
        <f t="shared" si="106"/>
        <v>0</v>
      </c>
      <c r="F508" s="240" cm="1">
        <f t="array" ref="F508">MIN(INDEX('Relacion '!$Z$5:$AA$493,MATCH(INDEX($B:$B, (ROW()-2)),'Relacion '!$E$5:$E$493,0),0))</f>
        <v>46108</v>
      </c>
      <c r="G508" s="240" cm="1">
        <f t="array" ref="G508">MAX(INDEX('Relacion '!$Z$5:$AA$493,MATCH(INDEX($B:$B, (ROW()-2)),'Relacion '!$E$5:$E$493,0),0))</f>
        <v>46108</v>
      </c>
      <c r="H508" s="241" cm="1">
        <f t="array" ref="H508">IF(
 MATCH(B508,{"01. ASIGNACION AREA";"02. MAPEO";"03. DESARROLLO";"04. VALIDA US";"05. VOBO US";"06. BW-EJECUCION";"07. VALIDACIÓN BAJAWARE";"08. CERRADA"},0)
 &lt;
 MATCH(_xlfn.XLOOKUP(INDEX($B:$B, (ROW()-2)),'Relacion '!$E:$E,'Relacion '!$D:$D,""),{"01. ASIGNACION AREA";"02. MAPEO";"03. DESARROLLO";"04. VALIDA US";"05. VOBO US";"06. BW-EJECUCION";"07. VALIDACIÓN BAJAWARE";"08. CERRADA"},0),
 1,
 IF(
  MATCH(B508,{"01. ASIGNACION AREA";"02. MAPEO";"03. DESARROLLO";"04. VALIDA US";"05. VOBO US";"06. BW-EJECUCION";"07. VALIDACIÓN BAJAWARE";"08. CERRADA"},0)
  =
  MATCH(_xlfn.XLOOKUP(INDEX($B:$B, (ROW()-2)),'Relacion '!$E:$E,'Relacion '!$D:$D,""),{"01. ASIGNACION AREA";"02. MAPEO";"03. DESARROLLO";"04. VALIDA US";"05. VOBO US";"06. BW-EJECUCION";"07. VALIDACIÓN BAJAWARE";"08. CERRADA"},0),
  _xlfn.XLOOKUP(INDEX($B:$B, (ROW()-2)),'Relacion '!$E:$E,'Relacion '!#REF!,0),
  0
 )
)</f>
        <v>1</v>
      </c>
      <c r="I508" s="241">
        <f t="shared" ca="1" si="108"/>
        <v>1</v>
      </c>
      <c r="J508" s="241"/>
      <c r="K508" s="241"/>
      <c r="L508" s="238"/>
    </row>
    <row r="509" spans="2:12" outlineLevel="1">
      <c r="B509" s="237" t="s">
        <v>49</v>
      </c>
      <c r="C509" s="237" t="s">
        <v>49</v>
      </c>
      <c r="D509" s="238" t="str">
        <f>_xlfn.XLOOKUP(B509,'Relacion '!$E:$E,'Relacion '!$D:$D,"")</f>
        <v/>
      </c>
      <c r="E509" s="239">
        <f t="shared" si="106"/>
        <v>0</v>
      </c>
      <c r="F509" s="240" cm="1">
        <f t="array" ref="F509">MIN(INDEX('Relacion '!$AB$5:$AC$493,MATCH(INDEX($B:$B, (ROW()-3)),'Relacion '!$E$5:$E$493,0),0))</f>
        <v>46108</v>
      </c>
      <c r="G509" s="240" cm="1">
        <f t="array" ref="G509">MAX(INDEX('Relacion '!$AB$5:$AC$493,MATCH(INDEX($B:$B, (ROW()-3)),'Relacion '!$E$5:$E$493,0),0))</f>
        <v>46108</v>
      </c>
      <c r="H509" s="241" cm="1">
        <f t="array" ref="H509">IF(
 MATCH(B509,{"01. ASIGNACION AREA";"02. MAPEO";"03. DESARROLLO";"04. VALIDA US";"05. VOBO US";"06. BW-EJECUCION";"07. VALIDACIÓN BAJAWARE";"08. CERRADA"},0)
 &lt;
 MATCH(_xlfn.XLOOKUP(INDEX($B:$B, (ROW()-3)),'Relacion '!$E:$E,'Relacion '!$D:$D,""),{"01. ASIGNACION AREA";"02. MAPEO";"03. DESARROLLO";"04. VALIDA US";"05. VOBO US";"06. BW-EJECUCION";"07. VALIDACIÓN BAJAWARE";"08. CERRADA"},0),
 1,
 IF(
  MATCH(B509,{"01. ASIGNACION AREA";"02. MAPEO";"03. DESARROLLO";"04. VALIDA US";"05. VOBO US";"06. BW-EJECUCION";"07. VALIDACIÓN BAJAWARE";"08. CERRADA"},0)
  =
  MATCH(_xlfn.XLOOKUP(INDEX($B:$B, (ROW()-3)),'Relacion '!$E:$E,'Relacion '!$D:$D,""),{"01. ASIGNACION AREA";"02. MAPEO";"03. DESARROLLO";"04. VALIDA US";"05. VOBO US";"06. BW-EJECUCION";"07. VALIDACIÓN BAJAWARE";"08. CERRADA"},0),
  _xlfn.XLOOKUP(INDEX($B:$B, (ROW()-3)),'Relacion '!$E:$E,'Relacion '!#REF!,0),
  0
 )
)</f>
        <v>1</v>
      </c>
      <c r="I509" s="241">
        <f t="shared" ca="1" si="108"/>
        <v>1</v>
      </c>
      <c r="J509" s="241"/>
      <c r="K509" s="241"/>
      <c r="L509" s="238"/>
    </row>
    <row r="510" spans="2:12" outlineLevel="1">
      <c r="B510" s="237" t="s">
        <v>324</v>
      </c>
      <c r="C510" s="237" t="s">
        <v>324</v>
      </c>
      <c r="D510" s="238" t="str">
        <f>_xlfn.XLOOKUP(B510,'Relacion '!$E:$E,'Relacion '!$D:$D,"")</f>
        <v/>
      </c>
      <c r="E510" s="239">
        <f t="shared" si="106"/>
        <v>0</v>
      </c>
      <c r="F510" s="240" cm="1">
        <f t="array" ref="F510">MIN(INDEX('Relacion '!$AD$5:$AE$493,MATCH(INDEX($B:$B, (ROW()-4)),'Relacion '!$E$5:$E$493,0),0))</f>
        <v>46108</v>
      </c>
      <c r="G510" s="240" cm="1">
        <f t="array" ref="G510">MAX(INDEX('Relacion '!$AD$5:$AE$493,MATCH(INDEX($B:$B, (ROW()-4)),'Relacion '!$E$5:$E$493,0),0))</f>
        <v>46108</v>
      </c>
      <c r="H510" s="241" cm="1">
        <f t="array" ref="H510">IF(
 MATCH(B510,{"01. ASIGNACION AREA";"02. MAPEO";"03. DESARROLLO";"04. VALIDA US";"05. VOBO US";"06. BW-EJECUCION";"07. VALIDACIÓN BAJAWARE";"08. CERRADA"},0)
 &lt;
 MATCH(_xlfn.XLOOKUP(INDEX($B:$B, (ROW()-4)),'Relacion '!$E:$E,'Relacion '!$D:$D,""),{"01. ASIGNACION AREA";"02. MAPEO";"03. DESARROLLO";"04. VALIDA US";"05. VOBO US";"06. BW-EJECUCION";"07. VALIDACIÓN BAJAWARE";"08. CERRADA"},0),
 1,
 IF(
  MATCH(B510,{"01. ASIGNACION AREA";"02. MAPEO";"03. DESARROLLO";"04. VALIDA US";"05. VOBO US";"06. BW-EJECUCION";"07. VALIDACIÓN BAJAWARE";"08. CERRADA"},0)
  =
  MATCH(_xlfn.XLOOKUP(INDEX($B:$B, (ROW()-4)),'Relacion '!$E:$E,'Relacion '!$D:$D,""),{"01. ASIGNACION AREA";"02. MAPEO";"03. DESARROLLO";"04. VALIDA US";"05. VOBO US";"06. BW-EJECUCION";"07. VALIDACIÓN BAJAWARE";"08. CERRADA"},0),
  _xlfn.XLOOKUP(INDEX($B:$B, (ROW()-4)),'Relacion '!$E:$E,'Relacion '!#REF!,0),
  0
 )
)</f>
        <v>1</v>
      </c>
      <c r="I510" s="241">
        <f t="shared" ca="1" si="108"/>
        <v>1</v>
      </c>
      <c r="J510" s="241"/>
      <c r="K510" s="241"/>
      <c r="L510" s="238"/>
    </row>
    <row r="511" spans="2:12" outlineLevel="1">
      <c r="B511" s="237" t="s">
        <v>320</v>
      </c>
      <c r="C511" s="237" t="s">
        <v>320</v>
      </c>
      <c r="D511" s="238" t="str">
        <f>_xlfn.XLOOKUP(B511,'Relacion '!$E:$E,'Relacion '!$D:$D,"")</f>
        <v/>
      </c>
      <c r="E511" s="239">
        <f t="shared" si="106"/>
        <v>0</v>
      </c>
      <c r="F511" s="240" cm="1">
        <f t="array" ref="F511">MIN(INDEX('Relacion '!$AF$5:$AG$493,MATCH(INDEX($B:$B, (ROW()-5)),'Relacion '!$E$5:$E$493,0),0))</f>
        <v>46108</v>
      </c>
      <c r="G511" s="240" cm="1">
        <f t="array" ref="G511">MAX(INDEX('Relacion '!$AF$5:$AG$493,MATCH(INDEX($B:$B, (ROW()-5)),'Relacion '!$E$5:$E$493,0),0))</f>
        <v>46108</v>
      </c>
      <c r="H511" s="241" cm="1">
        <f t="array" ref="H511">IF(
 MATCH(B511,{"01. ASIGNACION AREA";"02. MAPEO";"03. DESARROLLO";"04. VALIDA US";"05. VOBO US";"06. BW-EJECUCION";"07. VALIDACIÓN BAJAWARE";"08. CERRADA"},0)
 &lt;
 MATCH(_xlfn.XLOOKUP(INDEX($B:$B, (ROW()-5)),'Relacion '!$E:$E,'Relacion '!$D:$D,""),{"01. ASIGNACION AREA";"02. MAPEO";"03. DESARROLLO";"04. VALIDA US";"05. VOBO US";"06. BW-EJECUCION";"07. VALIDACIÓN BAJAWARE";"08. CERRADA"},0),
 1,
 IF(
  MATCH(B511,{"01. ASIGNACION AREA";"02. MAPEO";"03. DESARROLLO";"04. VALIDA US";"05. VOBO US";"06. BW-EJECUCION";"07. VALIDACIÓN BAJAWARE";"08. CERRADA"},0)
  =
  MATCH(_xlfn.XLOOKUP(INDEX($B:$B, (ROW()-5)),'Relacion '!$E:$E,'Relacion '!$D:$D,""),{"01. ASIGNACION AREA";"02. MAPEO";"03. DESARROLLO";"04. VALIDA US";"05. VOBO US";"06. BW-EJECUCION";"07. VALIDACIÓN BAJAWARE";"08. CERRADA"},0),
  _xlfn.XLOOKUP(INDEX($B:$B, (ROW()-5)),'Relacion '!$E:$E,'Relacion '!#REF!,0),
  0
 )
)</f>
        <v>1</v>
      </c>
      <c r="I511" s="241">
        <f t="shared" ca="1" si="108"/>
        <v>1</v>
      </c>
      <c r="J511" s="241"/>
      <c r="K511" s="241"/>
      <c r="L511" s="238"/>
    </row>
    <row r="512" spans="2:12" outlineLevel="1">
      <c r="B512" s="237" t="s">
        <v>710</v>
      </c>
      <c r="C512" s="237" t="s">
        <v>710</v>
      </c>
      <c r="D512" s="238" t="str">
        <f>_xlfn.XLOOKUP(B512,'Relacion '!$E:$E,'Relacion '!$D:$D,"")</f>
        <v/>
      </c>
      <c r="E512" s="239">
        <f t="shared" si="106"/>
        <v>0</v>
      </c>
      <c r="F512" s="240" cm="1">
        <f t="array" ref="F512">MIN(INDEX('Relacion '!$AH$5:$AI$493,MATCH(INDEX($B:$B, (ROW()-6)),'Relacion '!$E$5:$E$493,0),0))</f>
        <v>46108</v>
      </c>
      <c r="G512" s="240" cm="1">
        <f t="array" ref="G512">MAX(INDEX('Relacion '!$AH$5:$AI$493,MATCH(INDEX($B:$B, (ROW()-6)),'Relacion '!$E$5:$E$493,0),0))</f>
        <v>46108</v>
      </c>
      <c r="H512" s="241" cm="1">
        <f t="array" ref="H512">IF(
 MATCH(B512,{"01. ASIGNACION AREA";"02. MAPEO";"03. DESARROLLO";"04. VALIDA US";"05. VOBO US";"06. BW-EJECUCION";"07. VALIDACIÓN BAJAWARE";"08. CERRADA"},0)
 &lt;
 MATCH(_xlfn.XLOOKUP(INDEX($B:$B, (ROW()-6)),'Relacion '!$E:$E,'Relacion '!$D:$D,""),{"01. ASIGNACION AREA";"02. MAPEO";"03. DESARROLLO";"04. VALIDA US";"05. VOBO US";"06. BW-EJECUCION";"07. VALIDACIÓN BAJAWARE";"08. CERRADA"},0),
 1,
 IF(
  MATCH(B512,{"01. ASIGNACION AREA";"02. MAPEO";"03. DESARROLLO";"04. VALIDA US";"05. VOBO US";"06. BW-EJECUCION";"07. VALIDACIÓN BAJAWARE";"08. CERRADA"},0)
  =
  MATCH(_xlfn.XLOOKUP(INDEX($B:$B, (ROW()-6)),'Relacion '!$E:$E,'Relacion '!$D:$D,""),{"01. ASIGNACION AREA";"02. MAPEO";"03. DESARROLLO";"04. VALIDA US";"05. VOBO US";"06. BW-EJECUCION";"07. VALIDACIÓN BAJAWARE";"08. CERRADA"},0),
  _xlfn.XLOOKUP(INDEX($B:$B, (ROW()-6)),'Relacion '!$E:$E,'Relacion '!#REF!,0),
  0
 )
)</f>
        <v>1</v>
      </c>
      <c r="I512" s="241">
        <f t="shared" ca="1" si="108"/>
        <v>1</v>
      </c>
      <c r="J512" s="241"/>
      <c r="K512" s="241"/>
      <c r="L512" s="238"/>
    </row>
    <row r="513" spans="2:12" outlineLevel="1">
      <c r="B513" s="237" t="s">
        <v>655</v>
      </c>
      <c r="C513" s="237" t="s">
        <v>655</v>
      </c>
      <c r="D513" s="238" t="str">
        <f>_xlfn.XLOOKUP(B513,'Relacion '!$E:$E,'Relacion '!$D:$D,"")</f>
        <v/>
      </c>
      <c r="E513" s="239">
        <f t="shared" si="106"/>
        <v>0</v>
      </c>
      <c r="F513" s="240" cm="1">
        <f t="array" ref="F513">MIN(INDEX('Relacion '!$AJ$5:$AK$493,MATCH(INDEX($B:$B, (ROW()-7)),'Relacion '!$E$5:$E$493,0),0))</f>
        <v>46108</v>
      </c>
      <c r="G513" s="240" cm="1">
        <f t="array" ref="G513">MAX(INDEX('Relacion '!$AJ$5:$AK$493,MATCH(INDEX($B:$B, (ROW()-7)),'Relacion '!$E$5:$E$493,0),0))</f>
        <v>46108</v>
      </c>
      <c r="H513" s="241" cm="1">
        <f t="array" ref="H513">IF(
 MATCH(B513,{"01. ASIGNACION AREA";"02. MAPEO";"03. DESARROLLO";"04. VALIDA US";"05. VOBO US";"06. BW-EJECUCION";"07. VALIDACIÓN BAJAWARE";"08. CERRADA"},0)
 &lt;
 MATCH(_xlfn.XLOOKUP(INDEX($B:$B, (ROW()-7)),'Relacion '!$E:$E,'Relacion '!$D:$D,""),{"01. ASIGNACION AREA";"02. MAPEO";"03. DESARROLLO";"04. VALIDA US";"05. VOBO US";"06. BW-EJECUCION";"07. VALIDACIÓN BAJAWARE";"08. CERRADA"},0),
 1,
 IF(
  MATCH(B513,{"01. ASIGNACION AREA";"02. MAPEO";"03. DESARROLLO";"04. VALIDA US";"05. VOBO US";"06. BW-EJECUCION";"07. VALIDACIÓN BAJAWARE";"08. CERRADA"},0)
  =
  MATCH(_xlfn.XLOOKUP(INDEX($B:$B, (ROW()-7)),'Relacion '!$E:$E,'Relacion '!$D:$D,""),{"01. ASIGNACION AREA";"02. MAPEO";"03. DESARROLLO";"04. VALIDA US";"05. VOBO US";"06. BW-EJECUCION";"07. VALIDACIÓN BAJAWARE";"08. CERRADA"},0),
  _xlfn.XLOOKUP(INDEX($B:$B, (ROW()-7)),'Relacion '!$E:$E,'Relacion '!#REF!,0),
  0
 )
)</f>
        <v>1</v>
      </c>
      <c r="I513" s="241">
        <f t="shared" ca="1" si="108"/>
        <v>1</v>
      </c>
      <c r="J513" s="241"/>
      <c r="K513" s="241"/>
      <c r="L513" s="238"/>
    </row>
    <row r="514" spans="2:12" outlineLevel="1">
      <c r="B514" s="237" t="s">
        <v>656</v>
      </c>
      <c r="C514" s="237" t="s">
        <v>656</v>
      </c>
      <c r="D514" s="238" t="str">
        <f>_xlfn.XLOOKUP(B514,'Relacion '!$E:$E,'Relacion '!$D:$D,"")</f>
        <v/>
      </c>
      <c r="E514" s="239">
        <f t="shared" ref="E514:E577" si="121">IF(OR(F514="",G514=""),"",G514-F514)</f>
        <v>0</v>
      </c>
      <c r="F514" s="240" cm="1">
        <f t="array" ref="F514">MIN(INDEX('Relacion '!$AL$5:$AM$493,MATCH(INDEX($B:$B, (ROW()-8)),'Relacion '!$E$5:$E$493,0),0))</f>
        <v>46108</v>
      </c>
      <c r="G514" s="240" cm="1">
        <f t="array" ref="G514">MAX(INDEX('Relacion '!$AL$5:$AM$493,MATCH(INDEX($B:$B, (ROW()-8)),'Relacion '!$E$5:$E$493,0),0))</f>
        <v>46108</v>
      </c>
      <c r="H514" s="241" t="e" cm="1">
        <f t="array" ref="H514">IF(
 MATCH(B514,{"01. ASIGNACION AREA";"02. MAPEO";"03. DESARROLLO";"04. VALIDA US";"05. VOBO US";"06. BW-EJECUCION";"07. VALIDACIÓN BAJAWARE";"08. CERRADA"},0)
 &lt;
 MATCH(_xlfn.XLOOKUP(INDEX($B:$B, (ROW()-8)),'Relacion '!$E:$E,'Relacion '!$D:$D,""),{"01. ASIGNACION AREA";"02. MAPEO";"03. DESARROLLO";"04. VALIDA US";"05. VOBO US";"06. BW-EJECUCION";"07. VALIDACIÓN BAJAWARE";"08. CERRADA"},0),
 1,
 IF(
  MATCH(B514,{"01. ASIGNACION AREA";"02. MAPEO";"03. DESARROLLO";"04. VALIDA US";"05. VOBO US";"06. BW-EJECUCION";"07. VALIDACIÓN BAJAWARE";"08. CERRADA"},0)
  =
  MATCH(_xlfn.XLOOKUP(INDEX($B:$B, (ROW()-8)),'Relacion '!$E:$E,'Relacion '!$D:$D,""),{"01. ASIGNACION AREA";"02. MAPEO";"03. DESARROLLO";"04. VALIDA US";"05. VOBO US";"06. BW-EJECUCION";"07. VALIDACIÓN BAJAWARE";"08. CERRADA"},0),
  _xlfn.XLOOKUP(INDEX($B:$B, (ROW()-8)),'Relacion '!$E:$E,'Relacion '!#REF!,0),
  0
 )
)</f>
        <v>#REF!</v>
      </c>
      <c r="I514" s="241">
        <f t="shared" ca="1" si="108"/>
        <v>1</v>
      </c>
      <c r="J514" s="241"/>
      <c r="K514" s="241"/>
      <c r="L514" s="238"/>
    </row>
    <row r="515" spans="2:12">
      <c r="B515" s="232" t="s">
        <v>116</v>
      </c>
      <c r="C515" s="137" t="s">
        <v>66</v>
      </c>
      <c r="D515" s="236" t="str">
        <f>_xlfn.XLOOKUP(B515,'Relacion '!$E:$E,'Relacion '!$D:$D,"")</f>
        <v>04. VALIDA US</v>
      </c>
      <c r="E515" s="233">
        <f t="shared" si="121"/>
        <v>478</v>
      </c>
      <c r="F515" s="234" cm="1">
        <f t="array" ref="F515">MIN(INDEX('Relacion '!$X$5:$AM$493,MATCH(INDEX($B:$B, (ROW()-0)),'Relacion '!$E$5:$E$493,0),0))</f>
        <v>45659</v>
      </c>
      <c r="G515" s="234" cm="1">
        <f t="array" ref="G515">MAX(INDEX('Relacion '!$X$5:$AM$493,MATCH(INDEX($B:$B, (ROW()-0)),'Relacion '!$E$5:$E$493,0),0))</f>
        <v>46137</v>
      </c>
      <c r="H515" s="235" t="e">
        <f>AVERAGE(H516:H523)</f>
        <v>#REF!</v>
      </c>
      <c r="I515" s="235">
        <f t="shared" ref="I515" ca="1" si="122">AVERAGE(I516:I523)</f>
        <v>1</v>
      </c>
      <c r="J515" s="236" t="str">
        <f>IF(ISNUMBER(SEARCH("Rocha", _xlfn.XLOOKUP(B515,'Relacion '!$E:$E,'Relacion '!$I:$I,""))), "Sí", "No")</f>
        <v>No</v>
      </c>
      <c r="K515" s="236" t="str">
        <f>IF(ISNUMBER(SEARCH("Rocha", _xlfn.XLOOKUP(B515,'Relacion '!$E:$E,'Relacion '!$I:$I,""))), "RMC", _xlfn.XLOOKUP(B515,'Relacion '!$E:$E,'Relacion '!$B:$B,""))</f>
        <v>Operaciones Credito</v>
      </c>
      <c r="L515" s="236" t="str">
        <f>_xlfn.XLOOKUP(B515,'Relacion '!$E:$E,'Relacion '!$C:$C,"")</f>
        <v>Luis Alberto</v>
      </c>
    </row>
    <row r="516" spans="2:12" outlineLevel="1">
      <c r="B516" s="237" t="s">
        <v>654</v>
      </c>
      <c r="C516" s="237" t="s">
        <v>654</v>
      </c>
      <c r="D516" s="238" t="str">
        <f>_xlfn.XLOOKUP(B516,'Relacion '!$E:$E,'Relacion '!$D:$D,"")</f>
        <v/>
      </c>
      <c r="E516" s="239">
        <f t="shared" si="121"/>
        <v>379</v>
      </c>
      <c r="F516" s="240" cm="1">
        <f t="array" ref="F516">MIN(INDEX('Relacion '!$X$5:$Y$493,MATCH(INDEX($B:$B, (ROW()-1)),'Relacion '!$E$5:$E$493,0),0))</f>
        <v>45659</v>
      </c>
      <c r="G516" s="240" cm="1">
        <f t="array" ref="G516">MAX(INDEX('Relacion '!$X$5:$Y$493,MATCH(INDEX($B:$B, (ROW()-1)),'Relacion '!$E$5:$E$493,0),0))</f>
        <v>46038</v>
      </c>
      <c r="H516" s="241" cm="1">
        <f t="array" ref="H516">IF(
 MATCH(B516,{"01. ASIGNACION AREA";"02. MAPEO";"03. DESARROLLO";"04. VALIDA US";"05. VOBO US";"06. BW-EJECUCION";"07. VALIDACIÓN BAJAWARE";"08. CERRADA"},0)
 &lt;
 MATCH(_xlfn.XLOOKUP(INDEX($B:$B, (ROW()-1)),'Relacion '!$E:$E,'Relacion '!$D:$D,""),{"01. ASIGNACION AREA";"02. MAPEO";"03. DESARROLLO";"04. VALIDA US";"05. VOBO US";"06. BW-EJECUCION";"07. VALIDACIÓN BAJAWARE";"08. CERRADA"},0),
 1,
 IF(
  MATCH(B516,{"01. ASIGNACION AREA";"02. MAPEO";"03. DESARROLLO";"04. VALIDA US";"05. VOBO US";"06. BW-EJECUCION";"07. VALIDACIÓN BAJAWARE";"08. CERRADA"},0)
  =
  MATCH(_xlfn.XLOOKUP(INDEX($B:$B, (ROW()-1)),'Relacion '!$E:$E,'Relacion '!$D:$D,""),{"01. ASIGNACION AREA";"02. MAPEO";"03. DESARROLLO";"04. VALIDA US";"05. VOBO US";"06. BW-EJECUCION";"07. VALIDACIÓN BAJAWARE";"08. CERRADA"},0),
  _xlfn.XLOOKUP(INDEX($B:$B, (ROW()-1)),'Relacion '!$E:$E,'Relacion '!#REF!,0),
  0
 )
)</f>
        <v>1</v>
      </c>
      <c r="I516" s="241">
        <f t="shared" ref="I516:I577" ca="1" si="123">IF(G516&lt;=TODAY(), 1, 0)</f>
        <v>1</v>
      </c>
      <c r="J516" s="241"/>
      <c r="K516" s="241"/>
      <c r="L516" s="238"/>
    </row>
    <row r="517" spans="2:12" outlineLevel="1">
      <c r="B517" s="237" t="s">
        <v>195</v>
      </c>
      <c r="C517" s="237" t="s">
        <v>195</v>
      </c>
      <c r="D517" s="238" t="str">
        <f>_xlfn.XLOOKUP(B517,'Relacion '!$E:$E,'Relacion '!$D:$D,"")</f>
        <v/>
      </c>
      <c r="E517" s="239">
        <f t="shared" si="121"/>
        <v>11</v>
      </c>
      <c r="F517" s="240" cm="1">
        <f t="array" ref="F517">MIN(INDEX('Relacion '!$Z$5:$AA$493,MATCH(INDEX($B:$B, (ROW()-2)),'Relacion '!$E$5:$E$493,0),0))</f>
        <v>46041</v>
      </c>
      <c r="G517" s="240" cm="1">
        <f t="array" ref="G517">MAX(INDEX('Relacion '!$Z$5:$AA$493,MATCH(INDEX($B:$B, (ROW()-2)),'Relacion '!$E$5:$E$493,0),0))</f>
        <v>46052</v>
      </c>
      <c r="H517" s="241" cm="1">
        <f t="array" ref="H517">IF(
 MATCH(B517,{"01. ASIGNACION AREA";"02. MAPEO";"03. DESARROLLO";"04. VALIDA US";"05. VOBO US";"06. BW-EJECUCION";"07. VALIDACIÓN BAJAWARE";"08. CERRADA"},0)
 &lt;
 MATCH(_xlfn.XLOOKUP(INDEX($B:$B, (ROW()-2)),'Relacion '!$E:$E,'Relacion '!$D:$D,""),{"01. ASIGNACION AREA";"02. MAPEO";"03. DESARROLLO";"04. VALIDA US";"05. VOBO US";"06. BW-EJECUCION";"07. VALIDACIÓN BAJAWARE";"08. CERRADA"},0),
 1,
 IF(
  MATCH(B517,{"01. ASIGNACION AREA";"02. MAPEO";"03. DESARROLLO";"04. VALIDA US";"05. VOBO US";"06. BW-EJECUCION";"07. VALIDACIÓN BAJAWARE";"08. CERRADA"},0)
  =
  MATCH(_xlfn.XLOOKUP(INDEX($B:$B, (ROW()-2)),'Relacion '!$E:$E,'Relacion '!$D:$D,""),{"01. ASIGNACION AREA";"02. MAPEO";"03. DESARROLLO";"04. VALIDA US";"05. VOBO US";"06. BW-EJECUCION";"07. VALIDACIÓN BAJAWARE";"08. CERRADA"},0),
  _xlfn.XLOOKUP(INDEX($B:$B, (ROW()-2)),'Relacion '!$E:$E,'Relacion '!#REF!,0),
  0
 )
)</f>
        <v>1</v>
      </c>
      <c r="I517" s="241">
        <f t="shared" ca="1" si="123"/>
        <v>1</v>
      </c>
      <c r="J517" s="241"/>
      <c r="K517" s="241"/>
      <c r="L517" s="238"/>
    </row>
    <row r="518" spans="2:12" outlineLevel="1">
      <c r="B518" s="237" t="s">
        <v>49</v>
      </c>
      <c r="C518" s="237" t="s">
        <v>49</v>
      </c>
      <c r="D518" s="238" t="str">
        <f>_xlfn.XLOOKUP(B518,'Relacion '!$E:$E,'Relacion '!$D:$D,"")</f>
        <v/>
      </c>
      <c r="E518" s="239">
        <f t="shared" si="121"/>
        <v>24</v>
      </c>
      <c r="F518" s="240" cm="1">
        <f t="array" ref="F518">MIN(INDEX('Relacion '!$AB$5:$AC$493,MATCH(INDEX($B:$B, (ROW()-3)),'Relacion '!$E$5:$E$493,0),0))</f>
        <v>46056</v>
      </c>
      <c r="G518" s="240" cm="1">
        <f t="array" ref="G518">MAX(INDEX('Relacion '!$AB$5:$AC$493,MATCH(INDEX($B:$B, (ROW()-3)),'Relacion '!$E$5:$E$493,0),0))</f>
        <v>46080</v>
      </c>
      <c r="H518" s="241" cm="1">
        <f t="array" ref="H518">IF(
 MATCH(B518,{"01. ASIGNACION AREA";"02. MAPEO";"03. DESARROLLO";"04. VALIDA US";"05. VOBO US";"06. BW-EJECUCION";"07. VALIDACIÓN BAJAWARE";"08. CERRADA"},0)
 &lt;
 MATCH(_xlfn.XLOOKUP(INDEX($B:$B, (ROW()-3)),'Relacion '!$E:$E,'Relacion '!$D:$D,""),{"01. ASIGNACION AREA";"02. MAPEO";"03. DESARROLLO";"04. VALIDA US";"05. VOBO US";"06. BW-EJECUCION";"07. VALIDACIÓN BAJAWARE";"08. CERRADA"},0),
 1,
 IF(
  MATCH(B518,{"01. ASIGNACION AREA";"02. MAPEO";"03. DESARROLLO";"04. VALIDA US";"05. VOBO US";"06. BW-EJECUCION";"07. VALIDACIÓN BAJAWARE";"08. CERRADA"},0)
  =
  MATCH(_xlfn.XLOOKUP(INDEX($B:$B, (ROW()-3)),'Relacion '!$E:$E,'Relacion '!$D:$D,""),{"01. ASIGNACION AREA";"02. MAPEO";"03. DESARROLLO";"04. VALIDA US";"05. VOBO US";"06. BW-EJECUCION";"07. VALIDACIÓN BAJAWARE";"08. CERRADA"},0),
  _xlfn.XLOOKUP(INDEX($B:$B, (ROW()-3)),'Relacion '!$E:$E,'Relacion '!#REF!,0),
  0
 )
)</f>
        <v>1</v>
      </c>
      <c r="I518" s="241">
        <f t="shared" ca="1" si="123"/>
        <v>1</v>
      </c>
      <c r="J518" s="241"/>
      <c r="K518" s="241"/>
      <c r="L518" s="238"/>
    </row>
    <row r="519" spans="2:12" outlineLevel="1">
      <c r="B519" s="237" t="s">
        <v>324</v>
      </c>
      <c r="C519" s="237" t="s">
        <v>324</v>
      </c>
      <c r="D519" s="238" t="str">
        <f>_xlfn.XLOOKUP(B519,'Relacion '!$E:$E,'Relacion '!$D:$D,"")</f>
        <v/>
      </c>
      <c r="E519" s="239">
        <f t="shared" si="121"/>
        <v>14</v>
      </c>
      <c r="F519" s="240" cm="1">
        <f t="array" ref="F519">MIN(INDEX('Relacion '!$AD$5:$AE$493,MATCH(INDEX($B:$B, (ROW()-4)),'Relacion '!$E$5:$E$493,0),0))</f>
        <v>46099</v>
      </c>
      <c r="G519" s="240" cm="1">
        <f t="array" ref="G519">MAX(INDEX('Relacion '!$AD$5:$AE$493,MATCH(INDEX($B:$B, (ROW()-4)),'Relacion '!$E$5:$E$493,0),0))</f>
        <v>46113</v>
      </c>
      <c r="H519" s="241" t="e" cm="1">
        <f t="array" ref="H519">IF(
 MATCH(B519,{"01. ASIGNACION AREA";"02. MAPEO";"03. DESARROLLO";"04. VALIDA US";"05. VOBO US";"06. BW-EJECUCION";"07. VALIDACIÓN BAJAWARE";"08. CERRADA"},0)
 &lt;
 MATCH(_xlfn.XLOOKUP(INDEX($B:$B, (ROW()-4)),'Relacion '!$E:$E,'Relacion '!$D:$D,""),{"01. ASIGNACION AREA";"02. MAPEO";"03. DESARROLLO";"04. VALIDA US";"05. VOBO US";"06. BW-EJECUCION";"07. VALIDACIÓN BAJAWARE";"08. CERRADA"},0),
 1,
 IF(
  MATCH(B519,{"01. ASIGNACION AREA";"02. MAPEO";"03. DESARROLLO";"04. VALIDA US";"05. VOBO US";"06. BW-EJECUCION";"07. VALIDACIÓN BAJAWARE";"08. CERRADA"},0)
  =
  MATCH(_xlfn.XLOOKUP(INDEX($B:$B, (ROW()-4)),'Relacion '!$E:$E,'Relacion '!$D:$D,""),{"01. ASIGNACION AREA";"02. MAPEO";"03. DESARROLLO";"04. VALIDA US";"05. VOBO US";"06. BW-EJECUCION";"07. VALIDACIÓN BAJAWARE";"08. CERRADA"},0),
  _xlfn.XLOOKUP(INDEX($B:$B, (ROW()-4)),'Relacion '!$E:$E,'Relacion '!#REF!,0),
  0
 )
)</f>
        <v>#REF!</v>
      </c>
      <c r="I519" s="241">
        <f t="shared" ca="1" si="123"/>
        <v>1</v>
      </c>
      <c r="J519" s="241"/>
      <c r="K519" s="241"/>
      <c r="L519" s="238"/>
    </row>
    <row r="520" spans="2:12" outlineLevel="1">
      <c r="B520" s="237" t="s">
        <v>320</v>
      </c>
      <c r="C520" s="237" t="s">
        <v>320</v>
      </c>
      <c r="D520" s="238" t="str">
        <f>_xlfn.XLOOKUP(B520,'Relacion '!$E:$E,'Relacion '!$D:$D,"")</f>
        <v/>
      </c>
      <c r="E520" s="239">
        <f t="shared" si="121"/>
        <v>5</v>
      </c>
      <c r="F520" s="240" cm="1">
        <f t="array" ref="F520">MIN(INDEX('Relacion '!$AF$5:$AG$493,MATCH(INDEX($B:$B, (ROW()-5)),'Relacion '!$E$5:$E$493,0),0))</f>
        <v>46113</v>
      </c>
      <c r="G520" s="240" cm="1">
        <f t="array" ref="G520">MAX(INDEX('Relacion '!$AF$5:$AG$493,MATCH(INDEX($B:$B, (ROW()-5)),'Relacion '!$E$5:$E$493,0),0))</f>
        <v>46118</v>
      </c>
      <c r="H520" s="241" cm="1">
        <f t="array" ref="H520">IF(
 MATCH(B520,{"01. ASIGNACION AREA";"02. MAPEO";"03. DESARROLLO";"04. VALIDA US";"05. VOBO US";"06. BW-EJECUCION";"07. VALIDACIÓN BAJAWARE";"08. CERRADA"},0)
 &lt;
 MATCH(_xlfn.XLOOKUP(INDEX($B:$B, (ROW()-5)),'Relacion '!$E:$E,'Relacion '!$D:$D,""),{"01. ASIGNACION AREA";"02. MAPEO";"03. DESARROLLO";"04. VALIDA US";"05. VOBO US";"06. BW-EJECUCION";"07. VALIDACIÓN BAJAWARE";"08. CERRADA"},0),
 1,
 IF(
  MATCH(B520,{"01. ASIGNACION AREA";"02. MAPEO";"03. DESARROLLO";"04. VALIDA US";"05. VOBO US";"06. BW-EJECUCION";"07. VALIDACIÓN BAJAWARE";"08. CERRADA"},0)
  =
  MATCH(_xlfn.XLOOKUP(INDEX($B:$B, (ROW()-5)),'Relacion '!$E:$E,'Relacion '!$D:$D,""),{"01. ASIGNACION AREA";"02. MAPEO";"03. DESARROLLO";"04. VALIDA US";"05. VOBO US";"06. BW-EJECUCION";"07. VALIDACIÓN BAJAWARE";"08. CERRADA"},0),
  _xlfn.XLOOKUP(INDEX($B:$B, (ROW()-5)),'Relacion '!$E:$E,'Relacion '!#REF!,0),
  0
 )
)</f>
        <v>0</v>
      </c>
      <c r="I520" s="241">
        <f t="shared" ca="1" si="123"/>
        <v>1</v>
      </c>
      <c r="J520" s="241"/>
      <c r="K520" s="241"/>
      <c r="L520" s="238"/>
    </row>
    <row r="521" spans="2:12" outlineLevel="1">
      <c r="B521" s="237" t="s">
        <v>710</v>
      </c>
      <c r="C521" s="237" t="s">
        <v>710</v>
      </c>
      <c r="D521" s="238" t="str">
        <f>_xlfn.XLOOKUP(B521,'Relacion '!$E:$E,'Relacion '!$D:$D,"")</f>
        <v/>
      </c>
      <c r="E521" s="239">
        <f t="shared" si="121"/>
        <v>2</v>
      </c>
      <c r="F521" s="240" cm="1">
        <f t="array" ref="F521">MIN(INDEX('Relacion '!$AH$5:$AI$493,MATCH(INDEX($B:$B, (ROW()-6)),'Relacion '!$E$5:$E$493,0),0))</f>
        <v>46119</v>
      </c>
      <c r="G521" s="240" cm="1">
        <f t="array" ref="G521">MAX(INDEX('Relacion '!$AH$5:$AI$493,MATCH(INDEX($B:$B, (ROW()-6)),'Relacion '!$E$5:$E$493,0),0))</f>
        <v>46121</v>
      </c>
      <c r="H521" s="241" cm="1">
        <f t="array" ref="H521">IF(
 MATCH(B521,{"01. ASIGNACION AREA";"02. MAPEO";"03. DESARROLLO";"04. VALIDA US";"05. VOBO US";"06. BW-EJECUCION";"07. VALIDACIÓN BAJAWARE";"08. CERRADA"},0)
 &lt;
 MATCH(_xlfn.XLOOKUP(INDEX($B:$B, (ROW()-6)),'Relacion '!$E:$E,'Relacion '!$D:$D,""),{"01. ASIGNACION AREA";"02. MAPEO";"03. DESARROLLO";"04. VALIDA US";"05. VOBO US";"06. BW-EJECUCION";"07. VALIDACIÓN BAJAWARE";"08. CERRADA"},0),
 1,
 IF(
  MATCH(B521,{"01. ASIGNACION AREA";"02. MAPEO";"03. DESARROLLO";"04. VALIDA US";"05. VOBO US";"06. BW-EJECUCION";"07. VALIDACIÓN BAJAWARE";"08. CERRADA"},0)
  =
  MATCH(_xlfn.XLOOKUP(INDEX($B:$B, (ROW()-6)),'Relacion '!$E:$E,'Relacion '!$D:$D,""),{"01. ASIGNACION AREA";"02. MAPEO";"03. DESARROLLO";"04. VALIDA US";"05. VOBO US";"06. BW-EJECUCION";"07. VALIDACIÓN BAJAWARE";"08. CERRADA"},0),
  _xlfn.XLOOKUP(INDEX($B:$B, (ROW()-6)),'Relacion '!$E:$E,'Relacion '!#REF!,0),
  0
 )
)</f>
        <v>0</v>
      </c>
      <c r="I521" s="241">
        <f t="shared" ca="1" si="123"/>
        <v>1</v>
      </c>
      <c r="J521" s="241"/>
      <c r="K521" s="241"/>
      <c r="L521" s="238"/>
    </row>
    <row r="522" spans="2:12" outlineLevel="1">
      <c r="B522" s="237" t="s">
        <v>655</v>
      </c>
      <c r="C522" s="237" t="s">
        <v>655</v>
      </c>
      <c r="D522" s="238" t="str">
        <f>_xlfn.XLOOKUP(B522,'Relacion '!$E:$E,'Relacion '!$D:$D,"")</f>
        <v/>
      </c>
      <c r="E522" s="239">
        <f t="shared" si="121"/>
        <v>14</v>
      </c>
      <c r="F522" s="240" cm="1">
        <f t="array" ref="F522">MIN(INDEX('Relacion '!$AJ$5:$AK$493,MATCH(INDEX($B:$B, (ROW()-7)),'Relacion '!$E$5:$E$493,0),0))</f>
        <v>46122</v>
      </c>
      <c r="G522" s="240" cm="1">
        <f t="array" ref="G522">MAX(INDEX('Relacion '!$AJ$5:$AK$493,MATCH(INDEX($B:$B, (ROW()-7)),'Relacion '!$E$5:$E$493,0),0))</f>
        <v>46136</v>
      </c>
      <c r="H522" s="241" cm="1">
        <f t="array" ref="H522">IF(
 MATCH(B522,{"01. ASIGNACION AREA";"02. MAPEO";"03. DESARROLLO";"04. VALIDA US";"05. VOBO US";"06. BW-EJECUCION";"07. VALIDACIÓN BAJAWARE";"08. CERRADA"},0)
 &lt;
 MATCH(_xlfn.XLOOKUP(INDEX($B:$B, (ROW()-7)),'Relacion '!$E:$E,'Relacion '!$D:$D,""),{"01. ASIGNACION AREA";"02. MAPEO";"03. DESARROLLO";"04. VALIDA US";"05. VOBO US";"06. BW-EJECUCION";"07. VALIDACIÓN BAJAWARE";"08. CERRADA"},0),
 1,
 IF(
  MATCH(B522,{"01. ASIGNACION AREA";"02. MAPEO";"03. DESARROLLO";"04. VALIDA US";"05. VOBO US";"06. BW-EJECUCION";"07. VALIDACIÓN BAJAWARE";"08. CERRADA"},0)
  =
  MATCH(_xlfn.XLOOKUP(INDEX($B:$B, (ROW()-7)),'Relacion '!$E:$E,'Relacion '!$D:$D,""),{"01. ASIGNACION AREA";"02. MAPEO";"03. DESARROLLO";"04. VALIDA US";"05. VOBO US";"06. BW-EJECUCION";"07. VALIDACIÓN BAJAWARE";"08. CERRADA"},0),
  _xlfn.XLOOKUP(INDEX($B:$B, (ROW()-7)),'Relacion '!$E:$E,'Relacion '!#REF!,0),
  0
 )
)</f>
        <v>0</v>
      </c>
      <c r="I522" s="241">
        <f t="shared" ca="1" si="123"/>
        <v>1</v>
      </c>
      <c r="J522" s="241"/>
      <c r="K522" s="241"/>
      <c r="L522" s="238"/>
    </row>
    <row r="523" spans="2:12" outlineLevel="1">
      <c r="B523" s="237" t="s">
        <v>656</v>
      </c>
      <c r="C523" s="237" t="s">
        <v>656</v>
      </c>
      <c r="D523" s="238" t="str">
        <f>_xlfn.XLOOKUP(B523,'Relacion '!$E:$E,'Relacion '!$D:$D,"")</f>
        <v/>
      </c>
      <c r="E523" s="239">
        <f t="shared" si="121"/>
        <v>0</v>
      </c>
      <c r="F523" s="240" cm="1">
        <f t="array" ref="F523">MIN(INDEX('Relacion '!$AL$5:$AM$493,MATCH(INDEX($B:$B, (ROW()-8)),'Relacion '!$E$5:$E$493,0),0))</f>
        <v>46137</v>
      </c>
      <c r="G523" s="240" cm="1">
        <f t="array" ref="G523">MAX(INDEX('Relacion '!$AL$5:$AM$493,MATCH(INDEX($B:$B, (ROW()-8)),'Relacion '!$E$5:$E$493,0),0))</f>
        <v>46137</v>
      </c>
      <c r="H523" s="241" cm="1">
        <f t="array" ref="H523">IF(
 MATCH(B523,{"01. ASIGNACION AREA";"02. MAPEO";"03. DESARROLLO";"04. VALIDA US";"05. VOBO US";"06. BW-EJECUCION";"07. VALIDACIÓN BAJAWARE";"08. CERRADA"},0)
 &lt;
 MATCH(_xlfn.XLOOKUP(INDEX($B:$B, (ROW()-8)),'Relacion '!$E:$E,'Relacion '!$D:$D,""),{"01. ASIGNACION AREA";"02. MAPEO";"03. DESARROLLO";"04. VALIDA US";"05. VOBO US";"06. BW-EJECUCION";"07. VALIDACIÓN BAJAWARE";"08. CERRADA"},0),
 1,
 IF(
  MATCH(B523,{"01. ASIGNACION AREA";"02. MAPEO";"03. DESARROLLO";"04. VALIDA US";"05. VOBO US";"06. BW-EJECUCION";"07. VALIDACIÓN BAJAWARE";"08. CERRADA"},0)
  =
  MATCH(_xlfn.XLOOKUP(INDEX($B:$B, (ROW()-8)),'Relacion '!$E:$E,'Relacion '!$D:$D,""),{"01. ASIGNACION AREA";"02. MAPEO";"03. DESARROLLO";"04. VALIDA US";"05. VOBO US";"06. BW-EJECUCION";"07. VALIDACIÓN BAJAWARE";"08. CERRADA"},0),
  _xlfn.XLOOKUP(INDEX($B:$B, (ROW()-8)),'Relacion '!$E:$E,'Relacion '!#REF!,0),
  0
 )
)</f>
        <v>0</v>
      </c>
      <c r="I523" s="241">
        <f t="shared" ca="1" si="123"/>
        <v>1</v>
      </c>
      <c r="J523" s="241"/>
      <c r="K523" s="241"/>
      <c r="L523" s="238"/>
    </row>
    <row r="524" spans="2:12">
      <c r="B524" s="232" t="s">
        <v>27</v>
      </c>
      <c r="C524" s="167" t="s">
        <v>481</v>
      </c>
      <c r="D524" s="236" t="str">
        <f>_xlfn.XLOOKUP(B524,'Relacion '!$E:$E,'Relacion '!$D:$D,"")</f>
        <v>02. MAPEO</v>
      </c>
      <c r="E524" s="233">
        <f t="shared" si="121"/>
        <v>96</v>
      </c>
      <c r="F524" s="234" cm="1">
        <f t="array" ref="F524">MIN(INDEX('Relacion '!$X$5:$AM$493,MATCH(INDEX($B:$B, (ROW()-0)),'Relacion '!$E$5:$E$493,0),0))</f>
        <v>46024</v>
      </c>
      <c r="G524" s="234" cm="1">
        <f t="array" ref="G524">MAX(INDEX('Relacion '!$X$5:$AM$493,MATCH(INDEX($B:$B, (ROW()-0)),'Relacion '!$E$5:$E$493,0),0))</f>
        <v>46120</v>
      </c>
      <c r="H524" s="235" t="e">
        <f>AVERAGE(H525:H532)</f>
        <v>#REF!</v>
      </c>
      <c r="I524" s="235">
        <f t="shared" ref="I524" ca="1" si="124">AVERAGE(I525:I532)</f>
        <v>1</v>
      </c>
      <c r="J524" s="236" t="str">
        <f>IF(ISNUMBER(SEARCH("Rocha", _xlfn.XLOOKUP(B524,'Relacion '!$E:$E,'Relacion '!$I:$I,""))), "Sí", "No")</f>
        <v>No</v>
      </c>
      <c r="K524" s="236" t="str">
        <f>IF(ISNUMBER(SEARCH("Rocha", _xlfn.XLOOKUP(B524,'Relacion '!$E:$E,'Relacion '!$I:$I,""))), "RMC", _xlfn.XLOOKUP(B524,'Relacion '!$E:$E,'Relacion '!$B:$B,""))</f>
        <v>Contabilidad</v>
      </c>
      <c r="L524" s="236" t="str">
        <f>_xlfn.XLOOKUP(B524,'Relacion '!$E:$E,'Relacion '!$C:$C,"")</f>
        <v xml:space="preserve">Ramon Jaimes </v>
      </c>
    </row>
    <row r="525" spans="2:12" outlineLevel="1">
      <c r="B525" s="237" t="s">
        <v>654</v>
      </c>
      <c r="C525" s="237" t="s">
        <v>654</v>
      </c>
      <c r="D525" s="238" t="str">
        <f>_xlfn.XLOOKUP(B525,'Relacion '!$E:$E,'Relacion '!$D:$D,"")</f>
        <v/>
      </c>
      <c r="E525" s="239">
        <f t="shared" si="121"/>
        <v>14</v>
      </c>
      <c r="F525" s="240" cm="1">
        <f t="array" ref="F525">MIN(INDEX('Relacion '!$X$5:$Y$493,MATCH(INDEX($B:$B, (ROW()-1)),'Relacion '!$E$5:$E$493,0),0))</f>
        <v>46024</v>
      </c>
      <c r="G525" s="240" cm="1">
        <f t="array" ref="G525">MAX(INDEX('Relacion '!$X$5:$Y$493,MATCH(INDEX($B:$B, (ROW()-1)),'Relacion '!$E$5:$E$493,0),0))</f>
        <v>46038</v>
      </c>
      <c r="H525" s="241" cm="1">
        <f t="array" ref="H525">IF(
 MATCH(B525,{"01. ASIGNACION AREA";"02. MAPEO";"03. DESARROLLO";"04. VALIDA US";"05. VOBO US";"06. BW-EJECUCION";"07. VALIDACIÓN BAJAWARE";"08. CERRADA"},0)
 &lt;
 MATCH(_xlfn.XLOOKUP(INDEX($B:$B, (ROW()-1)),'Relacion '!$E:$E,'Relacion '!$D:$D,""),{"01. ASIGNACION AREA";"02. MAPEO";"03. DESARROLLO";"04. VALIDA US";"05. VOBO US";"06. BW-EJECUCION";"07. VALIDACIÓN BAJAWARE";"08. CERRADA"},0),
 1,
 IF(
  MATCH(B525,{"01. ASIGNACION AREA";"02. MAPEO";"03. DESARROLLO";"04. VALIDA US";"05. VOBO US";"06. BW-EJECUCION";"07. VALIDACIÓN BAJAWARE";"08. CERRADA"},0)
  =
  MATCH(_xlfn.XLOOKUP(INDEX($B:$B, (ROW()-1)),'Relacion '!$E:$E,'Relacion '!$D:$D,""),{"01. ASIGNACION AREA";"02. MAPEO";"03. DESARROLLO";"04. VALIDA US";"05. VOBO US";"06. BW-EJECUCION";"07. VALIDACIÓN BAJAWARE";"08. CERRADA"},0),
  _xlfn.XLOOKUP(INDEX($B:$B, (ROW()-1)),'Relacion '!$E:$E,'Relacion '!#REF!,0),
  0
 )
)</f>
        <v>1</v>
      </c>
      <c r="I525" s="241">
        <f t="shared" ref="I525" ca="1" si="125">IF(G525&lt;=TODAY(), 1, 0)</f>
        <v>1</v>
      </c>
      <c r="J525" s="241"/>
      <c r="K525" s="241"/>
      <c r="L525" s="238"/>
    </row>
    <row r="526" spans="2:12" outlineLevel="1">
      <c r="B526" s="237" t="s">
        <v>195</v>
      </c>
      <c r="C526" s="237" t="s">
        <v>195</v>
      </c>
      <c r="D526" s="238" t="str">
        <f>_xlfn.XLOOKUP(B526,'Relacion '!$E:$E,'Relacion '!$D:$D,"")</f>
        <v/>
      </c>
      <c r="E526" s="239">
        <f t="shared" si="121"/>
        <v>11</v>
      </c>
      <c r="F526" s="240" cm="1">
        <f t="array" ref="F526">MIN(INDEX('Relacion '!$Z$5:$AA$493,MATCH(INDEX($B:$B, (ROW()-2)),'Relacion '!$E$5:$E$493,0),0))</f>
        <v>46041</v>
      </c>
      <c r="G526" s="240" cm="1">
        <f t="array" ref="G526">MAX(INDEX('Relacion '!$Z$5:$AA$493,MATCH(INDEX($B:$B, (ROW()-2)),'Relacion '!$E$5:$E$493,0),0))</f>
        <v>46052</v>
      </c>
      <c r="H526" s="241" t="e" cm="1">
        <f t="array" ref="H526">IF(
 MATCH(B526,{"01. ASIGNACION AREA";"02. MAPEO";"03. DESARROLLO";"04. VALIDA US";"05. VOBO US";"06. BW-EJECUCION";"07. VALIDACIÓN BAJAWARE";"08. CERRADA"},0)
 &lt;
 MATCH(_xlfn.XLOOKUP(INDEX($B:$B, (ROW()-2)),'Relacion '!$E:$E,'Relacion '!$D:$D,""),{"01. ASIGNACION AREA";"02. MAPEO";"03. DESARROLLO";"04. VALIDA US";"05. VOBO US";"06. BW-EJECUCION";"07. VALIDACIÓN BAJAWARE";"08. CERRADA"},0),
 1,
 IF(
  MATCH(B526,{"01. ASIGNACION AREA";"02. MAPEO";"03. DESARROLLO";"04. VALIDA US";"05. VOBO US";"06. BW-EJECUCION";"07. VALIDACIÓN BAJAWARE";"08. CERRADA"},0)
  =
  MATCH(_xlfn.XLOOKUP(INDEX($B:$B, (ROW()-2)),'Relacion '!$E:$E,'Relacion '!$D:$D,""),{"01. ASIGNACION AREA";"02. MAPEO";"03. DESARROLLO";"04. VALIDA US";"05. VOBO US";"06. BW-EJECUCION";"07. VALIDACIÓN BAJAWARE";"08. CERRADA"},0),
  _xlfn.XLOOKUP(INDEX($B:$B, (ROW()-2)),'Relacion '!$E:$E,'Relacion '!#REF!,0),
  0
 )
)</f>
        <v>#REF!</v>
      </c>
      <c r="I526" s="241">
        <f t="shared" ca="1" si="123"/>
        <v>1</v>
      </c>
      <c r="J526" s="241"/>
      <c r="K526" s="241"/>
      <c r="L526" s="238"/>
    </row>
    <row r="527" spans="2:12" outlineLevel="1">
      <c r="B527" s="237" t="s">
        <v>49</v>
      </c>
      <c r="C527" s="237" t="s">
        <v>49</v>
      </c>
      <c r="D527" s="238" t="str">
        <f>_xlfn.XLOOKUP(B527,'Relacion '!$E:$E,'Relacion '!$D:$D,"")</f>
        <v/>
      </c>
      <c r="E527" s="239">
        <f t="shared" si="121"/>
        <v>13</v>
      </c>
      <c r="F527" s="240" cm="1">
        <f t="array" ref="F527">MIN(INDEX('Relacion '!$AB$5:$AC$493,MATCH(INDEX($B:$B, (ROW()-3)),'Relacion '!$E$5:$E$493,0),0))</f>
        <v>46056</v>
      </c>
      <c r="G527" s="240" cm="1">
        <f t="array" ref="G527">MAX(INDEX('Relacion '!$AB$5:$AC$493,MATCH(INDEX($B:$B, (ROW()-3)),'Relacion '!$E$5:$E$493,0),0))</f>
        <v>46069</v>
      </c>
      <c r="H527" s="241" cm="1">
        <f t="array" ref="H527">IF(
 MATCH(B527,{"01. ASIGNACION AREA";"02. MAPEO";"03. DESARROLLO";"04. VALIDA US";"05. VOBO US";"06. BW-EJECUCION";"07. VALIDACIÓN BAJAWARE";"08. CERRADA"},0)
 &lt;
 MATCH(_xlfn.XLOOKUP(INDEX($B:$B, (ROW()-3)),'Relacion '!$E:$E,'Relacion '!$D:$D,""),{"01. ASIGNACION AREA";"02. MAPEO";"03. DESARROLLO";"04. VALIDA US";"05. VOBO US";"06. BW-EJECUCION";"07. VALIDACIÓN BAJAWARE";"08. CERRADA"},0),
 1,
 IF(
  MATCH(B527,{"01. ASIGNACION AREA";"02. MAPEO";"03. DESARROLLO";"04. VALIDA US";"05. VOBO US";"06. BW-EJECUCION";"07. VALIDACIÓN BAJAWARE";"08. CERRADA"},0)
  =
  MATCH(_xlfn.XLOOKUP(INDEX($B:$B, (ROW()-3)),'Relacion '!$E:$E,'Relacion '!$D:$D,""),{"01. ASIGNACION AREA";"02. MAPEO";"03. DESARROLLO";"04. VALIDA US";"05. VOBO US";"06. BW-EJECUCION";"07. VALIDACIÓN BAJAWARE";"08. CERRADA"},0),
  _xlfn.XLOOKUP(INDEX($B:$B, (ROW()-3)),'Relacion '!$E:$E,'Relacion '!#REF!,0),
  0
 )
)</f>
        <v>0</v>
      </c>
      <c r="I527" s="241">
        <f t="shared" ca="1" si="123"/>
        <v>1</v>
      </c>
      <c r="J527" s="241"/>
      <c r="K527" s="241"/>
      <c r="L527" s="238"/>
    </row>
    <row r="528" spans="2:12" outlineLevel="1">
      <c r="B528" s="237" t="s">
        <v>324</v>
      </c>
      <c r="C528" s="237" t="s">
        <v>324</v>
      </c>
      <c r="D528" s="238" t="str">
        <f>_xlfn.XLOOKUP(B528,'Relacion '!$E:$E,'Relacion '!$D:$D,"")</f>
        <v/>
      </c>
      <c r="E528" s="239">
        <f t="shared" si="121"/>
        <v>2</v>
      </c>
      <c r="F528" s="240" cm="1">
        <f t="array" ref="F528">MIN(INDEX('Relacion '!$AD$5:$AE$493,MATCH(INDEX($B:$B, (ROW()-4)),'Relacion '!$E$5:$E$493,0),0))</f>
        <v>46070</v>
      </c>
      <c r="G528" s="240" cm="1">
        <f t="array" ref="G528">MAX(INDEX('Relacion '!$AD$5:$AE$493,MATCH(INDEX($B:$B, (ROW()-4)),'Relacion '!$E$5:$E$493,0),0))</f>
        <v>46072</v>
      </c>
      <c r="H528" s="241" cm="1">
        <f t="array" ref="H528">IF(
 MATCH(B528,{"01. ASIGNACION AREA";"02. MAPEO";"03. DESARROLLO";"04. VALIDA US";"05. VOBO US";"06. BW-EJECUCION";"07. VALIDACIÓN BAJAWARE";"08. CERRADA"},0)
 &lt;
 MATCH(_xlfn.XLOOKUP(INDEX($B:$B, (ROW()-4)),'Relacion '!$E:$E,'Relacion '!$D:$D,""),{"01. ASIGNACION AREA";"02. MAPEO";"03. DESARROLLO";"04. VALIDA US";"05. VOBO US";"06. BW-EJECUCION";"07. VALIDACIÓN BAJAWARE";"08. CERRADA"},0),
 1,
 IF(
  MATCH(B528,{"01. ASIGNACION AREA";"02. MAPEO";"03. DESARROLLO";"04. VALIDA US";"05. VOBO US";"06. BW-EJECUCION";"07. VALIDACIÓN BAJAWARE";"08. CERRADA"},0)
  =
  MATCH(_xlfn.XLOOKUP(INDEX($B:$B, (ROW()-4)),'Relacion '!$E:$E,'Relacion '!$D:$D,""),{"01. ASIGNACION AREA";"02. MAPEO";"03. DESARROLLO";"04. VALIDA US";"05. VOBO US";"06. BW-EJECUCION";"07. VALIDACIÓN BAJAWARE";"08. CERRADA"},0),
  _xlfn.XLOOKUP(INDEX($B:$B, (ROW()-4)),'Relacion '!$E:$E,'Relacion '!#REF!,0),
  0
 )
)</f>
        <v>0</v>
      </c>
      <c r="I528" s="241">
        <f t="shared" ca="1" si="123"/>
        <v>1</v>
      </c>
      <c r="J528" s="241"/>
      <c r="K528" s="241"/>
      <c r="L528" s="238"/>
    </row>
    <row r="529" spans="2:12" outlineLevel="1">
      <c r="B529" s="237" t="s">
        <v>320</v>
      </c>
      <c r="C529" s="237" t="s">
        <v>320</v>
      </c>
      <c r="D529" s="238" t="str">
        <f>_xlfn.XLOOKUP(B529,'Relacion '!$E:$E,'Relacion '!$D:$D,"")</f>
        <v/>
      </c>
      <c r="E529" s="239">
        <f t="shared" si="121"/>
        <v>0</v>
      </c>
      <c r="F529" s="240" cm="1">
        <f t="array" ref="F529">MIN(INDEX('Relacion '!$AF$5:$AG$493,MATCH(INDEX($B:$B, (ROW()-5)),'Relacion '!$E$5:$E$493,0),0))</f>
        <v>46073</v>
      </c>
      <c r="G529" s="240" cm="1">
        <f t="array" ref="G529">MAX(INDEX('Relacion '!$AF$5:$AG$493,MATCH(INDEX($B:$B, (ROW()-5)),'Relacion '!$E$5:$E$493,0),0))</f>
        <v>46073</v>
      </c>
      <c r="H529" s="241" cm="1">
        <f t="array" ref="H529">IF(
 MATCH(B529,{"01. ASIGNACION AREA";"02. MAPEO";"03. DESARROLLO";"04. VALIDA US";"05. VOBO US";"06. BW-EJECUCION";"07. VALIDACIÓN BAJAWARE";"08. CERRADA"},0)
 &lt;
 MATCH(_xlfn.XLOOKUP(INDEX($B:$B, (ROW()-5)),'Relacion '!$E:$E,'Relacion '!$D:$D,""),{"01. ASIGNACION AREA";"02. MAPEO";"03. DESARROLLO";"04. VALIDA US";"05. VOBO US";"06. BW-EJECUCION";"07. VALIDACIÓN BAJAWARE";"08. CERRADA"},0),
 1,
 IF(
  MATCH(B529,{"01. ASIGNACION AREA";"02. MAPEO";"03. DESARROLLO";"04. VALIDA US";"05. VOBO US";"06. BW-EJECUCION";"07. VALIDACIÓN BAJAWARE";"08. CERRADA"},0)
  =
  MATCH(_xlfn.XLOOKUP(INDEX($B:$B, (ROW()-5)),'Relacion '!$E:$E,'Relacion '!$D:$D,""),{"01. ASIGNACION AREA";"02. MAPEO";"03. DESARROLLO";"04. VALIDA US";"05. VOBO US";"06. BW-EJECUCION";"07. VALIDACIÓN BAJAWARE";"08. CERRADA"},0),
  _xlfn.XLOOKUP(INDEX($B:$B, (ROW()-5)),'Relacion '!$E:$E,'Relacion '!#REF!,0),
  0
 )
)</f>
        <v>0</v>
      </c>
      <c r="I529" s="241">
        <f t="shared" ca="1" si="123"/>
        <v>1</v>
      </c>
      <c r="J529" s="241"/>
      <c r="K529" s="241"/>
      <c r="L529" s="238"/>
    </row>
    <row r="530" spans="2:12" outlineLevel="1">
      <c r="B530" s="237" t="s">
        <v>710</v>
      </c>
      <c r="C530" s="237" t="s">
        <v>710</v>
      </c>
      <c r="D530" s="238" t="str">
        <f>_xlfn.XLOOKUP(B530,'Relacion '!$E:$E,'Relacion '!$D:$D,"")</f>
        <v/>
      </c>
      <c r="E530" s="239">
        <f t="shared" si="121"/>
        <v>18</v>
      </c>
      <c r="F530" s="240" cm="1">
        <f t="array" ref="F530">MIN(INDEX('Relacion '!$AH$5:$AI$493,MATCH(INDEX($B:$B, (ROW()-6)),'Relacion '!$E$5:$E$493,0),0))</f>
        <v>46076</v>
      </c>
      <c r="G530" s="240" cm="1">
        <f t="array" ref="G530">MAX(INDEX('Relacion '!$AH$5:$AI$493,MATCH(INDEX($B:$B, (ROW()-6)),'Relacion '!$E$5:$E$493,0),0))</f>
        <v>46094</v>
      </c>
      <c r="H530" s="241" cm="1">
        <f t="array" ref="H530">IF(
 MATCH(B530,{"01. ASIGNACION AREA";"02. MAPEO";"03. DESARROLLO";"04. VALIDA US";"05. VOBO US";"06. BW-EJECUCION";"07. VALIDACIÓN BAJAWARE";"08. CERRADA"},0)
 &lt;
 MATCH(_xlfn.XLOOKUP(INDEX($B:$B, (ROW()-6)),'Relacion '!$E:$E,'Relacion '!$D:$D,""),{"01. ASIGNACION AREA";"02. MAPEO";"03. DESARROLLO";"04. VALIDA US";"05. VOBO US";"06. BW-EJECUCION";"07. VALIDACIÓN BAJAWARE";"08. CERRADA"},0),
 1,
 IF(
  MATCH(B530,{"01. ASIGNACION AREA";"02. MAPEO";"03. DESARROLLO";"04. VALIDA US";"05. VOBO US";"06. BW-EJECUCION";"07. VALIDACIÓN BAJAWARE";"08. CERRADA"},0)
  =
  MATCH(_xlfn.XLOOKUP(INDEX($B:$B, (ROW()-6)),'Relacion '!$E:$E,'Relacion '!$D:$D,""),{"01. ASIGNACION AREA";"02. MAPEO";"03. DESARROLLO";"04. VALIDA US";"05. VOBO US";"06. BW-EJECUCION";"07. VALIDACIÓN BAJAWARE";"08. CERRADA"},0),
  _xlfn.XLOOKUP(INDEX($B:$B, (ROW()-6)),'Relacion '!$E:$E,'Relacion '!#REF!,0),
  0
 )
)</f>
        <v>0</v>
      </c>
      <c r="I530" s="241">
        <f t="shared" ca="1" si="123"/>
        <v>1</v>
      </c>
      <c r="J530" s="241"/>
      <c r="K530" s="241"/>
      <c r="L530" s="238"/>
    </row>
    <row r="531" spans="2:12" outlineLevel="1">
      <c r="B531" s="237" t="s">
        <v>655</v>
      </c>
      <c r="C531" s="237" t="s">
        <v>655</v>
      </c>
      <c r="D531" s="238" t="str">
        <f>_xlfn.XLOOKUP(B531,'Relacion '!$E:$E,'Relacion '!$D:$D,"")</f>
        <v/>
      </c>
      <c r="E531" s="239">
        <f t="shared" si="121"/>
        <v>18</v>
      </c>
      <c r="F531" s="240" cm="1">
        <f t="array" ref="F531">MIN(INDEX('Relacion '!$AJ$5:$AK$493,MATCH(INDEX($B:$B, (ROW()-7)),'Relacion '!$E$5:$E$493,0),0))</f>
        <v>46097</v>
      </c>
      <c r="G531" s="240" cm="1">
        <f t="array" ref="G531">MAX(INDEX('Relacion '!$AJ$5:$AK$493,MATCH(INDEX($B:$B, (ROW()-7)),'Relacion '!$E$5:$E$493,0),0))</f>
        <v>46115</v>
      </c>
      <c r="H531" s="241" cm="1">
        <f t="array" ref="H531">IF(
 MATCH(B531,{"01. ASIGNACION AREA";"02. MAPEO";"03. DESARROLLO";"04. VALIDA US";"05. VOBO US";"06. BW-EJECUCION";"07. VALIDACIÓN BAJAWARE";"08. CERRADA"},0)
 &lt;
 MATCH(_xlfn.XLOOKUP(INDEX($B:$B, (ROW()-7)),'Relacion '!$E:$E,'Relacion '!$D:$D,""),{"01. ASIGNACION AREA";"02. MAPEO";"03. DESARROLLO";"04. VALIDA US";"05. VOBO US";"06. BW-EJECUCION";"07. VALIDACIÓN BAJAWARE";"08. CERRADA"},0),
 1,
 IF(
  MATCH(B531,{"01. ASIGNACION AREA";"02. MAPEO";"03. DESARROLLO";"04. VALIDA US";"05. VOBO US";"06. BW-EJECUCION";"07. VALIDACIÓN BAJAWARE";"08. CERRADA"},0)
  =
  MATCH(_xlfn.XLOOKUP(INDEX($B:$B, (ROW()-7)),'Relacion '!$E:$E,'Relacion '!$D:$D,""),{"01. ASIGNACION AREA";"02. MAPEO";"03. DESARROLLO";"04. VALIDA US";"05. VOBO US";"06. BW-EJECUCION";"07. VALIDACIÓN BAJAWARE";"08. CERRADA"},0),
  _xlfn.XLOOKUP(INDEX($B:$B, (ROW()-7)),'Relacion '!$E:$E,'Relacion '!#REF!,0),
  0
 )
)</f>
        <v>0</v>
      </c>
      <c r="I531" s="241">
        <f t="shared" ca="1" si="123"/>
        <v>1</v>
      </c>
      <c r="J531" s="241"/>
      <c r="K531" s="241"/>
      <c r="L531" s="238"/>
    </row>
    <row r="532" spans="2:12" outlineLevel="1">
      <c r="B532" s="237" t="s">
        <v>656</v>
      </c>
      <c r="C532" s="237" t="s">
        <v>656</v>
      </c>
      <c r="D532" s="238" t="str">
        <f>_xlfn.XLOOKUP(B532,'Relacion '!$E:$E,'Relacion '!$D:$D,"")</f>
        <v/>
      </c>
      <c r="E532" s="239">
        <f t="shared" si="121"/>
        <v>2</v>
      </c>
      <c r="F532" s="240" cm="1">
        <f t="array" ref="F532">MIN(INDEX('Relacion '!$AL$5:$AM$493,MATCH(INDEX($B:$B, (ROW()-8)),'Relacion '!$E$5:$E$493,0),0))</f>
        <v>46118</v>
      </c>
      <c r="G532" s="240" cm="1">
        <f t="array" ref="G532">MAX(INDEX('Relacion '!$AL$5:$AM$493,MATCH(INDEX($B:$B, (ROW()-8)),'Relacion '!$E$5:$E$493,0),0))</f>
        <v>46120</v>
      </c>
      <c r="H532" s="241" cm="1">
        <f t="array" ref="H532">IF(
 MATCH(B532,{"01. ASIGNACION AREA";"02. MAPEO";"03. DESARROLLO";"04. VALIDA US";"05. VOBO US";"06. BW-EJECUCION";"07. VALIDACIÓN BAJAWARE";"08. CERRADA"},0)
 &lt;
 MATCH(_xlfn.XLOOKUP(INDEX($B:$B, (ROW()-8)),'Relacion '!$E:$E,'Relacion '!$D:$D,""),{"01. ASIGNACION AREA";"02. MAPEO";"03. DESARROLLO";"04. VALIDA US";"05. VOBO US";"06. BW-EJECUCION";"07. VALIDACIÓN BAJAWARE";"08. CERRADA"},0),
 1,
 IF(
  MATCH(B532,{"01. ASIGNACION AREA";"02. MAPEO";"03. DESARROLLO";"04. VALIDA US";"05. VOBO US";"06. BW-EJECUCION";"07. VALIDACIÓN BAJAWARE";"08. CERRADA"},0)
  =
  MATCH(_xlfn.XLOOKUP(INDEX($B:$B, (ROW()-8)),'Relacion '!$E:$E,'Relacion '!$D:$D,""),{"01. ASIGNACION AREA";"02. MAPEO";"03. DESARROLLO";"04. VALIDA US";"05. VOBO US";"06. BW-EJECUCION";"07. VALIDACIÓN BAJAWARE";"08. CERRADA"},0),
  _xlfn.XLOOKUP(INDEX($B:$B, (ROW()-8)),'Relacion '!$E:$E,'Relacion '!#REF!,0),
  0
 )
)</f>
        <v>0</v>
      </c>
      <c r="I532" s="241">
        <f t="shared" ca="1" si="123"/>
        <v>1</v>
      </c>
      <c r="J532" s="241"/>
      <c r="K532" s="241"/>
      <c r="L532" s="238"/>
    </row>
    <row r="533" spans="2:12">
      <c r="B533" s="232" t="s">
        <v>485</v>
      </c>
      <c r="C533" s="167" t="s">
        <v>486</v>
      </c>
      <c r="D533" s="236" t="str">
        <f>_xlfn.XLOOKUP(B533,'Relacion '!$E:$E,'Relacion '!$D:$D,"")</f>
        <v>06. BW-EJECUCION</v>
      </c>
      <c r="E533" s="233">
        <f t="shared" si="121"/>
        <v>106</v>
      </c>
      <c r="F533" s="234" cm="1">
        <f t="array" ref="F533">MIN(INDEX('Relacion '!$X$5:$AM$493,MATCH(INDEX($B:$B, (ROW()-0)),'Relacion '!$E$5:$E$493,0),0))</f>
        <v>46024</v>
      </c>
      <c r="G533" s="234" cm="1">
        <f t="array" ref="G533">MAX(INDEX('Relacion '!$X$5:$AM$493,MATCH(INDEX($B:$B, (ROW()-0)),'Relacion '!$E$5:$E$493,0),0))</f>
        <v>46130</v>
      </c>
      <c r="H533" s="235" t="e">
        <f>AVERAGE(H534:H541)</f>
        <v>#REF!</v>
      </c>
      <c r="I533" s="235">
        <f t="shared" ref="I533" ca="1" si="126">AVERAGE(I534:I541)</f>
        <v>1</v>
      </c>
      <c r="J533" s="236" t="str">
        <f>IF(ISNUMBER(SEARCH("Rocha", _xlfn.XLOOKUP(B533,'Relacion '!$E:$E,'Relacion '!$I:$I,""))), "Sí", "No")</f>
        <v>No</v>
      </c>
      <c r="K533" s="236" t="str">
        <f>IF(ISNUMBER(SEARCH("Rocha", _xlfn.XLOOKUP(B533,'Relacion '!$E:$E,'Relacion '!$I:$I,""))), "RMC", _xlfn.XLOOKUP(B533,'Relacion '!$E:$E,'Relacion '!$B:$B,""))</f>
        <v>Contabilidad</v>
      </c>
      <c r="L533" s="236" t="str">
        <f>_xlfn.XLOOKUP(B533,'Relacion '!$E:$E,'Relacion '!$C:$C,"")</f>
        <v xml:space="preserve">Ramon Jaimes </v>
      </c>
    </row>
    <row r="534" spans="2:12" outlineLevel="1">
      <c r="B534" s="237" t="s">
        <v>654</v>
      </c>
      <c r="C534" s="237" t="s">
        <v>654</v>
      </c>
      <c r="D534" s="238" t="str">
        <f>_xlfn.XLOOKUP(B534,'Relacion '!$E:$E,'Relacion '!$D:$D,"")</f>
        <v/>
      </c>
      <c r="E534" s="239">
        <f t="shared" si="121"/>
        <v>14</v>
      </c>
      <c r="F534" s="240" cm="1">
        <f t="array" ref="F534">MIN(INDEX('Relacion '!$X$5:$Y$493,MATCH(INDEX($B:$B, (ROW()-1)),'Relacion '!$E$5:$E$493,0),0))</f>
        <v>46024</v>
      </c>
      <c r="G534" s="240" cm="1">
        <f t="array" ref="G534">MAX(INDEX('Relacion '!$X$5:$Y$493,MATCH(INDEX($B:$B, (ROW()-1)),'Relacion '!$E$5:$E$493,0),0))</f>
        <v>46038</v>
      </c>
      <c r="H534" s="241" cm="1">
        <f t="array" ref="H534">IF(
 MATCH(B534,{"01. ASIGNACION AREA";"02. MAPEO";"03. DESARROLLO";"04. VALIDA US";"05. VOBO US";"06. BW-EJECUCION";"07. VALIDACIÓN BAJAWARE";"08. CERRADA"},0)
 &lt;
 MATCH(_xlfn.XLOOKUP(INDEX($B:$B, (ROW()-1)),'Relacion '!$E:$E,'Relacion '!$D:$D,""),{"01. ASIGNACION AREA";"02. MAPEO";"03. DESARROLLO";"04. VALIDA US";"05. VOBO US";"06. BW-EJECUCION";"07. VALIDACIÓN BAJAWARE";"08. CERRADA"},0),
 1,
 IF(
  MATCH(B534,{"01. ASIGNACION AREA";"02. MAPEO";"03. DESARROLLO";"04. VALIDA US";"05. VOBO US";"06. BW-EJECUCION";"07. VALIDACIÓN BAJAWARE";"08. CERRADA"},0)
  =
  MATCH(_xlfn.XLOOKUP(INDEX($B:$B, (ROW()-1)),'Relacion '!$E:$E,'Relacion '!$D:$D,""),{"01. ASIGNACION AREA";"02. MAPEO";"03. DESARROLLO";"04. VALIDA US";"05. VOBO US";"06. BW-EJECUCION";"07. VALIDACIÓN BAJAWARE";"08. CERRADA"},0),
  _xlfn.XLOOKUP(INDEX($B:$B, (ROW()-1)),'Relacion '!$E:$E,'Relacion '!#REF!,0),
  0
 )
)</f>
        <v>1</v>
      </c>
      <c r="I534" s="241">
        <f t="shared" ref="I534" ca="1" si="127">IF(G534&lt;=TODAY(), 1, 0)</f>
        <v>1</v>
      </c>
      <c r="J534" s="241"/>
      <c r="K534" s="241"/>
      <c r="L534" s="238"/>
    </row>
    <row r="535" spans="2:12" outlineLevel="1">
      <c r="B535" s="237" t="s">
        <v>195</v>
      </c>
      <c r="C535" s="237" t="s">
        <v>195</v>
      </c>
      <c r="D535" s="238" t="str">
        <f>_xlfn.XLOOKUP(B535,'Relacion '!$E:$E,'Relacion '!$D:$D,"")</f>
        <v/>
      </c>
      <c r="E535" s="239">
        <f t="shared" si="121"/>
        <v>11</v>
      </c>
      <c r="F535" s="240" cm="1">
        <f t="array" ref="F535">MIN(INDEX('Relacion '!$Z$5:$AA$493,MATCH(INDEX($B:$B, (ROW()-2)),'Relacion '!$E$5:$E$493,0),0))</f>
        <v>46041</v>
      </c>
      <c r="G535" s="240" cm="1">
        <f t="array" ref="G535">MAX(INDEX('Relacion '!$Z$5:$AA$493,MATCH(INDEX($B:$B, (ROW()-2)),'Relacion '!$E$5:$E$493,0),0))</f>
        <v>46052</v>
      </c>
      <c r="H535" s="241" cm="1">
        <f t="array" ref="H535">IF(
 MATCH(B535,{"01. ASIGNACION AREA";"02. MAPEO";"03. DESARROLLO";"04. VALIDA US";"05. VOBO US";"06. BW-EJECUCION";"07. VALIDACIÓN BAJAWARE";"08. CERRADA"},0)
 &lt;
 MATCH(_xlfn.XLOOKUP(INDEX($B:$B, (ROW()-2)),'Relacion '!$E:$E,'Relacion '!$D:$D,""),{"01. ASIGNACION AREA";"02. MAPEO";"03. DESARROLLO";"04. VALIDA US";"05. VOBO US";"06. BW-EJECUCION";"07. VALIDACIÓN BAJAWARE";"08. CERRADA"},0),
 1,
 IF(
  MATCH(B535,{"01. ASIGNACION AREA";"02. MAPEO";"03. DESARROLLO";"04. VALIDA US";"05. VOBO US";"06. BW-EJECUCION";"07. VALIDACIÓN BAJAWARE";"08. CERRADA"},0)
  =
  MATCH(_xlfn.XLOOKUP(INDEX($B:$B, (ROW()-2)),'Relacion '!$E:$E,'Relacion '!$D:$D,""),{"01. ASIGNACION AREA";"02. MAPEO";"03. DESARROLLO";"04. VALIDA US";"05. VOBO US";"06. BW-EJECUCION";"07. VALIDACIÓN BAJAWARE";"08. CERRADA"},0),
  _xlfn.XLOOKUP(INDEX($B:$B, (ROW()-2)),'Relacion '!$E:$E,'Relacion '!#REF!,0),
  0
 )
)</f>
        <v>1</v>
      </c>
      <c r="I535" s="241">
        <f t="shared" ca="1" si="123"/>
        <v>1</v>
      </c>
      <c r="J535" s="241"/>
      <c r="K535" s="241"/>
      <c r="L535" s="238"/>
    </row>
    <row r="536" spans="2:12" outlineLevel="1">
      <c r="B536" s="237" t="s">
        <v>49</v>
      </c>
      <c r="C536" s="237" t="s">
        <v>49</v>
      </c>
      <c r="D536" s="238" t="str">
        <f>_xlfn.XLOOKUP(B536,'Relacion '!$E:$E,'Relacion '!$D:$D,"")</f>
        <v/>
      </c>
      <c r="E536" s="239">
        <f t="shared" si="121"/>
        <v>13</v>
      </c>
      <c r="F536" s="240" cm="1">
        <f t="array" ref="F536">MIN(INDEX('Relacion '!$AB$5:$AC$493,MATCH(INDEX($B:$B, (ROW()-3)),'Relacion '!$E$5:$E$493,0),0))</f>
        <v>46056</v>
      </c>
      <c r="G536" s="240" cm="1">
        <f t="array" ref="G536">MAX(INDEX('Relacion '!$AB$5:$AC$493,MATCH(INDEX($B:$B, (ROW()-3)),'Relacion '!$E$5:$E$493,0),0))</f>
        <v>46069</v>
      </c>
      <c r="H536" s="241" cm="1">
        <f t="array" ref="H536">IF(
 MATCH(B536,{"01. ASIGNACION AREA";"02. MAPEO";"03. DESARROLLO";"04. VALIDA US";"05. VOBO US";"06. BW-EJECUCION";"07. VALIDACIÓN BAJAWARE";"08. CERRADA"},0)
 &lt;
 MATCH(_xlfn.XLOOKUP(INDEX($B:$B, (ROW()-3)),'Relacion '!$E:$E,'Relacion '!$D:$D,""),{"01. ASIGNACION AREA";"02. MAPEO";"03. DESARROLLO";"04. VALIDA US";"05. VOBO US";"06. BW-EJECUCION";"07. VALIDACIÓN BAJAWARE";"08. CERRADA"},0),
 1,
 IF(
  MATCH(B536,{"01. ASIGNACION AREA";"02. MAPEO";"03. DESARROLLO";"04. VALIDA US";"05. VOBO US";"06. BW-EJECUCION";"07. VALIDACIÓN BAJAWARE";"08. CERRADA"},0)
  =
  MATCH(_xlfn.XLOOKUP(INDEX($B:$B, (ROW()-3)),'Relacion '!$E:$E,'Relacion '!$D:$D,""),{"01. ASIGNACION AREA";"02. MAPEO";"03. DESARROLLO";"04. VALIDA US";"05. VOBO US";"06. BW-EJECUCION";"07. VALIDACIÓN BAJAWARE";"08. CERRADA"},0),
  _xlfn.XLOOKUP(INDEX($B:$B, (ROW()-3)),'Relacion '!$E:$E,'Relacion '!#REF!,0),
  0
 )
)</f>
        <v>1</v>
      </c>
      <c r="I536" s="241">
        <f t="shared" ca="1" si="123"/>
        <v>1</v>
      </c>
      <c r="J536" s="241"/>
      <c r="K536" s="241"/>
      <c r="L536" s="238"/>
    </row>
    <row r="537" spans="2:12" outlineLevel="1">
      <c r="B537" s="237" t="s">
        <v>324</v>
      </c>
      <c r="C537" s="237" t="s">
        <v>324</v>
      </c>
      <c r="D537" s="238" t="str">
        <f>_xlfn.XLOOKUP(B537,'Relacion '!$E:$E,'Relacion '!$D:$D,"")</f>
        <v/>
      </c>
      <c r="E537" s="239">
        <f t="shared" si="121"/>
        <v>2</v>
      </c>
      <c r="F537" s="240" cm="1">
        <f t="array" ref="F537">MIN(INDEX('Relacion '!$AD$5:$AE$493,MATCH(INDEX($B:$B, (ROW()-4)),'Relacion '!$E$5:$E$493,0),0))</f>
        <v>46070</v>
      </c>
      <c r="G537" s="240" cm="1">
        <f t="array" ref="G537">MAX(INDEX('Relacion '!$AD$5:$AE$493,MATCH(INDEX($B:$B, (ROW()-4)),'Relacion '!$E$5:$E$493,0),0))</f>
        <v>46072</v>
      </c>
      <c r="H537" s="241" cm="1">
        <f t="array" ref="H537">IF(
 MATCH(B537,{"01. ASIGNACION AREA";"02. MAPEO";"03. DESARROLLO";"04. VALIDA US";"05. VOBO US";"06. BW-EJECUCION";"07. VALIDACIÓN BAJAWARE";"08. CERRADA"},0)
 &lt;
 MATCH(_xlfn.XLOOKUP(INDEX($B:$B, (ROW()-4)),'Relacion '!$E:$E,'Relacion '!$D:$D,""),{"01. ASIGNACION AREA";"02. MAPEO";"03. DESARROLLO";"04. VALIDA US";"05. VOBO US";"06. BW-EJECUCION";"07. VALIDACIÓN BAJAWARE";"08. CERRADA"},0),
 1,
 IF(
  MATCH(B537,{"01. ASIGNACION AREA";"02. MAPEO";"03. DESARROLLO";"04. VALIDA US";"05. VOBO US";"06. BW-EJECUCION";"07. VALIDACIÓN BAJAWARE";"08. CERRADA"},0)
  =
  MATCH(_xlfn.XLOOKUP(INDEX($B:$B, (ROW()-4)),'Relacion '!$E:$E,'Relacion '!$D:$D,""),{"01. ASIGNACION AREA";"02. MAPEO";"03. DESARROLLO";"04. VALIDA US";"05. VOBO US";"06. BW-EJECUCION";"07. VALIDACIÓN BAJAWARE";"08. CERRADA"},0),
  _xlfn.XLOOKUP(INDEX($B:$B, (ROW()-4)),'Relacion '!$E:$E,'Relacion '!#REF!,0),
  0
 )
)</f>
        <v>1</v>
      </c>
      <c r="I537" s="241">
        <f t="shared" ca="1" si="123"/>
        <v>1</v>
      </c>
      <c r="J537" s="241"/>
      <c r="K537" s="241"/>
      <c r="L537" s="238"/>
    </row>
    <row r="538" spans="2:12" outlineLevel="1">
      <c r="B538" s="237" t="s">
        <v>320</v>
      </c>
      <c r="C538" s="237" t="s">
        <v>320</v>
      </c>
      <c r="D538" s="238" t="str">
        <f>_xlfn.XLOOKUP(B538,'Relacion '!$E:$E,'Relacion '!$D:$D,"")</f>
        <v/>
      </c>
      <c r="E538" s="239">
        <f t="shared" si="121"/>
        <v>0</v>
      </c>
      <c r="F538" s="240" cm="1">
        <f t="array" ref="F538">MIN(INDEX('Relacion '!$AF$5:$AG$493,MATCH(INDEX($B:$B, (ROW()-5)),'Relacion '!$E$5:$E$493,0),0))</f>
        <v>46073</v>
      </c>
      <c r="G538" s="240" cm="1">
        <f t="array" ref="G538">MAX(INDEX('Relacion '!$AF$5:$AG$493,MATCH(INDEX($B:$B, (ROW()-5)),'Relacion '!$E$5:$E$493,0),0))</f>
        <v>46073</v>
      </c>
      <c r="H538" s="241" cm="1">
        <f t="array" ref="H538">IF(
 MATCH(B538,{"01. ASIGNACION AREA";"02. MAPEO";"03. DESARROLLO";"04. VALIDA US";"05. VOBO US";"06. BW-EJECUCION";"07. VALIDACIÓN BAJAWARE";"08. CERRADA"},0)
 &lt;
 MATCH(_xlfn.XLOOKUP(INDEX($B:$B, (ROW()-5)),'Relacion '!$E:$E,'Relacion '!$D:$D,""),{"01. ASIGNACION AREA";"02. MAPEO";"03. DESARROLLO";"04. VALIDA US";"05. VOBO US";"06. BW-EJECUCION";"07. VALIDACIÓN BAJAWARE";"08. CERRADA"},0),
 1,
 IF(
  MATCH(B538,{"01. ASIGNACION AREA";"02. MAPEO";"03. DESARROLLO";"04. VALIDA US";"05. VOBO US";"06. BW-EJECUCION";"07. VALIDACIÓN BAJAWARE";"08. CERRADA"},0)
  =
  MATCH(_xlfn.XLOOKUP(INDEX($B:$B, (ROW()-5)),'Relacion '!$E:$E,'Relacion '!$D:$D,""),{"01. ASIGNACION AREA";"02. MAPEO";"03. DESARROLLO";"04. VALIDA US";"05. VOBO US";"06. BW-EJECUCION";"07. VALIDACIÓN BAJAWARE";"08. CERRADA"},0),
  _xlfn.XLOOKUP(INDEX($B:$B, (ROW()-5)),'Relacion '!$E:$E,'Relacion '!#REF!,0),
  0
 )
)</f>
        <v>1</v>
      </c>
      <c r="I538" s="241">
        <f t="shared" ca="1" si="123"/>
        <v>1</v>
      </c>
      <c r="J538" s="241"/>
      <c r="K538" s="241"/>
      <c r="L538" s="238"/>
    </row>
    <row r="539" spans="2:12" outlineLevel="1">
      <c r="B539" s="237" t="s">
        <v>710</v>
      </c>
      <c r="C539" s="237" t="s">
        <v>710</v>
      </c>
      <c r="D539" s="238" t="str">
        <f>_xlfn.XLOOKUP(B539,'Relacion '!$E:$E,'Relacion '!$D:$D,"")</f>
        <v/>
      </c>
      <c r="E539" s="239">
        <f t="shared" si="121"/>
        <v>25</v>
      </c>
      <c r="F539" s="240" cm="1">
        <f t="array" ref="F539">MIN(INDEX('Relacion '!$AH$5:$AI$493,MATCH(INDEX($B:$B, (ROW()-6)),'Relacion '!$E$5:$E$493,0),0))</f>
        <v>46076</v>
      </c>
      <c r="G539" s="240" cm="1">
        <f t="array" ref="G539">MAX(INDEX('Relacion '!$AH$5:$AI$493,MATCH(INDEX($B:$B, (ROW()-6)),'Relacion '!$E$5:$E$493,0),0))</f>
        <v>46101</v>
      </c>
      <c r="H539" s="241" t="e" cm="1">
        <f t="array" ref="H539">IF(
 MATCH(B539,{"01. ASIGNACION AREA";"02. MAPEO";"03. DESARROLLO";"04. VALIDA US";"05. VOBO US";"06. BW-EJECUCION";"07. VALIDACIÓN BAJAWARE";"08. CERRADA"},0)
 &lt;
 MATCH(_xlfn.XLOOKUP(INDEX($B:$B, (ROW()-6)),'Relacion '!$E:$E,'Relacion '!$D:$D,""),{"01. ASIGNACION AREA";"02. MAPEO";"03. DESARROLLO";"04. VALIDA US";"05. VOBO US";"06. BW-EJECUCION";"07. VALIDACIÓN BAJAWARE";"08. CERRADA"},0),
 1,
 IF(
  MATCH(B539,{"01. ASIGNACION AREA";"02. MAPEO";"03. DESARROLLO";"04. VALIDA US";"05. VOBO US";"06. BW-EJECUCION";"07. VALIDACIÓN BAJAWARE";"08. CERRADA"},0)
  =
  MATCH(_xlfn.XLOOKUP(INDEX($B:$B, (ROW()-6)),'Relacion '!$E:$E,'Relacion '!$D:$D,""),{"01. ASIGNACION AREA";"02. MAPEO";"03. DESARROLLO";"04. VALIDA US";"05. VOBO US";"06. BW-EJECUCION";"07. VALIDACIÓN BAJAWARE";"08. CERRADA"},0),
  _xlfn.XLOOKUP(INDEX($B:$B, (ROW()-6)),'Relacion '!$E:$E,'Relacion '!#REF!,0),
  0
 )
)</f>
        <v>#REF!</v>
      </c>
      <c r="I539" s="241">
        <f t="shared" ca="1" si="123"/>
        <v>1</v>
      </c>
      <c r="J539" s="241"/>
      <c r="K539" s="241"/>
      <c r="L539" s="238"/>
    </row>
    <row r="540" spans="2:12" outlineLevel="1">
      <c r="B540" s="237" t="s">
        <v>655</v>
      </c>
      <c r="C540" s="237" t="s">
        <v>655</v>
      </c>
      <c r="D540" s="238" t="str">
        <f>_xlfn.XLOOKUP(B540,'Relacion '!$E:$E,'Relacion '!$D:$D,"")</f>
        <v/>
      </c>
      <c r="E540" s="239">
        <f t="shared" si="121"/>
        <v>25</v>
      </c>
      <c r="F540" s="240" cm="1">
        <f t="array" ref="F540">MIN(INDEX('Relacion '!$AJ$5:$AK$493,MATCH(INDEX($B:$B, (ROW()-7)),'Relacion '!$E$5:$E$493,0),0))</f>
        <v>46104</v>
      </c>
      <c r="G540" s="240" cm="1">
        <f t="array" ref="G540">MAX(INDEX('Relacion '!$AJ$5:$AK$493,MATCH(INDEX($B:$B, (ROW()-7)),'Relacion '!$E$5:$E$493,0),0))</f>
        <v>46129</v>
      </c>
      <c r="H540" s="241" cm="1">
        <f t="array" ref="H540">IF(
 MATCH(B540,{"01. ASIGNACION AREA";"02. MAPEO";"03. DESARROLLO";"04. VALIDA US";"05. VOBO US";"06. BW-EJECUCION";"07. VALIDACIÓN BAJAWARE";"08. CERRADA"},0)
 &lt;
 MATCH(_xlfn.XLOOKUP(INDEX($B:$B, (ROW()-7)),'Relacion '!$E:$E,'Relacion '!$D:$D,""),{"01. ASIGNACION AREA";"02. MAPEO";"03. DESARROLLO";"04. VALIDA US";"05. VOBO US";"06. BW-EJECUCION";"07. VALIDACIÓN BAJAWARE";"08. CERRADA"},0),
 1,
 IF(
  MATCH(B540,{"01. ASIGNACION AREA";"02. MAPEO";"03. DESARROLLO";"04. VALIDA US";"05. VOBO US";"06. BW-EJECUCION";"07. VALIDACIÓN BAJAWARE";"08. CERRADA"},0)
  =
  MATCH(_xlfn.XLOOKUP(INDEX($B:$B, (ROW()-7)),'Relacion '!$E:$E,'Relacion '!$D:$D,""),{"01. ASIGNACION AREA";"02. MAPEO";"03. DESARROLLO";"04. VALIDA US";"05. VOBO US";"06. BW-EJECUCION";"07. VALIDACIÓN BAJAWARE";"08. CERRADA"},0),
  _xlfn.XLOOKUP(INDEX($B:$B, (ROW()-7)),'Relacion '!$E:$E,'Relacion '!#REF!,0),
  0
 )
)</f>
        <v>0</v>
      </c>
      <c r="I540" s="241">
        <f t="shared" ca="1" si="123"/>
        <v>1</v>
      </c>
      <c r="J540" s="241"/>
      <c r="K540" s="241"/>
      <c r="L540" s="238"/>
    </row>
    <row r="541" spans="2:12" outlineLevel="1">
      <c r="B541" s="237" t="s">
        <v>656</v>
      </c>
      <c r="C541" s="237" t="s">
        <v>656</v>
      </c>
      <c r="D541" s="238" t="str">
        <f>_xlfn.XLOOKUP(B541,'Relacion '!$E:$E,'Relacion '!$D:$D,"")</f>
        <v/>
      </c>
      <c r="E541" s="239">
        <f t="shared" si="121"/>
        <v>0</v>
      </c>
      <c r="F541" s="240" cm="1">
        <f t="array" ref="F541">MIN(INDEX('Relacion '!$AL$5:$AM$493,MATCH(INDEX($B:$B, (ROW()-8)),'Relacion '!$E$5:$E$493,0),0))</f>
        <v>46130</v>
      </c>
      <c r="G541" s="240" cm="1">
        <f t="array" ref="G541">MAX(INDEX('Relacion '!$AL$5:$AM$493,MATCH(INDEX($B:$B, (ROW()-8)),'Relacion '!$E$5:$E$493,0),0))</f>
        <v>46130</v>
      </c>
      <c r="H541" s="241" cm="1">
        <f t="array" ref="H541">IF(
 MATCH(B541,{"01. ASIGNACION AREA";"02. MAPEO";"03. DESARROLLO";"04. VALIDA US";"05. VOBO US";"06. BW-EJECUCION";"07. VALIDACIÓN BAJAWARE";"08. CERRADA"},0)
 &lt;
 MATCH(_xlfn.XLOOKUP(INDEX($B:$B, (ROW()-8)),'Relacion '!$E:$E,'Relacion '!$D:$D,""),{"01. ASIGNACION AREA";"02. MAPEO";"03. DESARROLLO";"04. VALIDA US";"05. VOBO US";"06. BW-EJECUCION";"07. VALIDACIÓN BAJAWARE";"08. CERRADA"},0),
 1,
 IF(
  MATCH(B541,{"01. ASIGNACION AREA";"02. MAPEO";"03. DESARROLLO";"04. VALIDA US";"05. VOBO US";"06. BW-EJECUCION";"07. VALIDACIÓN BAJAWARE";"08. CERRADA"},0)
  =
  MATCH(_xlfn.XLOOKUP(INDEX($B:$B, (ROW()-8)),'Relacion '!$E:$E,'Relacion '!$D:$D,""),{"01. ASIGNACION AREA";"02. MAPEO";"03. DESARROLLO";"04. VALIDA US";"05. VOBO US";"06. BW-EJECUCION";"07. VALIDACIÓN BAJAWARE";"08. CERRADA"},0),
  _xlfn.XLOOKUP(INDEX($B:$B, (ROW()-8)),'Relacion '!$E:$E,'Relacion '!#REF!,0),
  0
 )
)</f>
        <v>0</v>
      </c>
      <c r="I541" s="241">
        <f t="shared" ca="1" si="123"/>
        <v>1</v>
      </c>
      <c r="J541" s="241"/>
      <c r="K541" s="241"/>
      <c r="L541" s="238"/>
    </row>
    <row r="542" spans="2:12">
      <c r="B542" s="232" t="s">
        <v>488</v>
      </c>
      <c r="C542" s="174" t="s">
        <v>489</v>
      </c>
      <c r="D542" s="236" t="str">
        <f>_xlfn.XLOOKUP(B542,'Relacion '!$E:$E,'Relacion '!$D:$D,"")</f>
        <v>08. CERRADA</v>
      </c>
      <c r="E542" s="233">
        <f t="shared" si="121"/>
        <v>450</v>
      </c>
      <c r="F542" s="234" cm="1">
        <f t="array" ref="F542">MIN(INDEX('Relacion '!$X$5:$AM$493,MATCH(INDEX($B:$B, (ROW()-0)),'Relacion '!$E$5:$E$493,0),0))</f>
        <v>45659</v>
      </c>
      <c r="G542" s="234" cm="1">
        <f t="array" ref="G542">MAX(INDEX('Relacion '!$X$5:$AM$493,MATCH(INDEX($B:$B, (ROW()-0)),'Relacion '!$E$5:$E$493,0),0))</f>
        <v>46109</v>
      </c>
      <c r="H542" s="235" t="e">
        <f>AVERAGE(H543:H550)</f>
        <v>#REF!</v>
      </c>
      <c r="I542" s="235">
        <f t="shared" ref="I542" ca="1" si="128">AVERAGE(I543:I550)</f>
        <v>1</v>
      </c>
      <c r="J542" s="236" t="str">
        <f>IF(ISNUMBER(SEARCH("Rocha", _xlfn.XLOOKUP(B542,'Relacion '!$E:$E,'Relacion '!$I:$I,""))), "Sí", "No")</f>
        <v>No</v>
      </c>
      <c r="K542" s="236" t="str">
        <f>IF(ISNUMBER(SEARCH("Rocha", _xlfn.XLOOKUP(B542,'Relacion '!$E:$E,'Relacion '!$I:$I,""))), "RMC", _xlfn.XLOOKUP(B542,'Relacion '!$E:$E,'Relacion '!$B:$B,""))</f>
        <v>Operaciones Captacion</v>
      </c>
      <c r="L542" s="236" t="str">
        <f>_xlfn.XLOOKUP(B542,'Relacion '!$E:$E,'Relacion '!$C:$C,"")</f>
        <v>Luis Alberto</v>
      </c>
    </row>
    <row r="543" spans="2:12" outlineLevel="1">
      <c r="B543" s="237" t="s">
        <v>654</v>
      </c>
      <c r="C543" s="237" t="s">
        <v>654</v>
      </c>
      <c r="D543" s="238" t="str">
        <f>_xlfn.XLOOKUP(B543,'Relacion '!$E:$E,'Relacion '!$D:$D,"")</f>
        <v/>
      </c>
      <c r="E543" s="239">
        <f t="shared" si="121"/>
        <v>424</v>
      </c>
      <c r="F543" s="240" cm="1">
        <f t="array" ref="F543">MIN(INDEX('Relacion '!$X$5:$Y$493,MATCH(INDEX($B:$B, (ROW()-1)),'Relacion '!$E$5:$E$493,0),0))</f>
        <v>45659</v>
      </c>
      <c r="G543" s="240" cm="1">
        <f t="array" ref="G543">MAX(INDEX('Relacion '!$X$5:$Y$493,MATCH(INDEX($B:$B, (ROW()-1)),'Relacion '!$E$5:$E$493,0),0))</f>
        <v>46083</v>
      </c>
      <c r="H543" s="241" cm="1">
        <f t="array" ref="H543">IF(
 MATCH(B543,{"01. ASIGNACION AREA";"02. MAPEO";"03. DESARROLLO";"04. VALIDA US";"05. VOBO US";"06. BW-EJECUCION";"07. VALIDACIÓN BAJAWARE";"08. CERRADA"},0)
 &lt;
 MATCH(_xlfn.XLOOKUP(INDEX($B:$B, (ROW()-1)),'Relacion '!$E:$E,'Relacion '!$D:$D,""),{"01. ASIGNACION AREA";"02. MAPEO";"03. DESARROLLO";"04. VALIDA US";"05. VOBO US";"06. BW-EJECUCION";"07. VALIDACIÓN BAJAWARE";"08. CERRADA"},0),
 1,
 IF(
  MATCH(B543,{"01. ASIGNACION AREA";"02. MAPEO";"03. DESARROLLO";"04. VALIDA US";"05. VOBO US";"06. BW-EJECUCION";"07. VALIDACIÓN BAJAWARE";"08. CERRADA"},0)
  =
  MATCH(_xlfn.XLOOKUP(INDEX($B:$B, (ROW()-1)),'Relacion '!$E:$E,'Relacion '!$D:$D,""),{"01. ASIGNACION AREA";"02. MAPEO";"03. DESARROLLO";"04. VALIDA US";"05. VOBO US";"06. BW-EJECUCION";"07. VALIDACIÓN BAJAWARE";"08. CERRADA"},0),
  _xlfn.XLOOKUP(INDEX($B:$B, (ROW()-1)),'Relacion '!$E:$E,'Relacion '!#REF!,0),
  0
 )
)</f>
        <v>1</v>
      </c>
      <c r="I543" s="241">
        <f t="shared" ref="I543" ca="1" si="129">IF(G543&lt;=TODAY(), 1, 0)</f>
        <v>1</v>
      </c>
      <c r="J543" s="241"/>
      <c r="K543" s="241"/>
      <c r="L543" s="238"/>
    </row>
    <row r="544" spans="2:12" outlineLevel="1">
      <c r="B544" s="237" t="s">
        <v>195</v>
      </c>
      <c r="C544" s="237" t="s">
        <v>195</v>
      </c>
      <c r="D544" s="238" t="str">
        <f>_xlfn.XLOOKUP(B544,'Relacion '!$E:$E,'Relacion '!$D:$D,"")</f>
        <v/>
      </c>
      <c r="E544" s="239">
        <f t="shared" si="121"/>
        <v>0</v>
      </c>
      <c r="F544" s="240" cm="1">
        <f t="array" ref="F544">MIN(INDEX('Relacion '!$Z$5:$AA$493,MATCH(INDEX($B:$B, (ROW()-2)),'Relacion '!$E$5:$E$493,0),0))</f>
        <v>46108</v>
      </c>
      <c r="G544" s="240" cm="1">
        <f t="array" ref="G544">MAX(INDEX('Relacion '!$Z$5:$AA$493,MATCH(INDEX($B:$B, (ROW()-2)),'Relacion '!$E$5:$E$493,0),0))</f>
        <v>46108</v>
      </c>
      <c r="H544" s="241" cm="1">
        <f t="array" ref="H544">IF(
 MATCH(B544,{"01. ASIGNACION AREA";"02. MAPEO";"03. DESARROLLO";"04. VALIDA US";"05. VOBO US";"06. BW-EJECUCION";"07. VALIDACIÓN BAJAWARE";"08. CERRADA"},0)
 &lt;
 MATCH(_xlfn.XLOOKUP(INDEX($B:$B, (ROW()-2)),'Relacion '!$E:$E,'Relacion '!$D:$D,""),{"01. ASIGNACION AREA";"02. MAPEO";"03. DESARROLLO";"04. VALIDA US";"05. VOBO US";"06. BW-EJECUCION";"07. VALIDACIÓN BAJAWARE";"08. CERRADA"},0),
 1,
 IF(
  MATCH(B544,{"01. ASIGNACION AREA";"02. MAPEO";"03. DESARROLLO";"04. VALIDA US";"05. VOBO US";"06. BW-EJECUCION";"07. VALIDACIÓN BAJAWARE";"08. CERRADA"},0)
  =
  MATCH(_xlfn.XLOOKUP(INDEX($B:$B, (ROW()-2)),'Relacion '!$E:$E,'Relacion '!$D:$D,""),{"01. ASIGNACION AREA";"02. MAPEO";"03. DESARROLLO";"04. VALIDA US";"05. VOBO US";"06. BW-EJECUCION";"07. VALIDACIÓN BAJAWARE";"08. CERRADA"},0),
  _xlfn.XLOOKUP(INDEX($B:$B, (ROW()-2)),'Relacion '!$E:$E,'Relacion '!#REF!,0),
  0
 )
)</f>
        <v>1</v>
      </c>
      <c r="I544" s="241">
        <f t="shared" ca="1" si="123"/>
        <v>1</v>
      </c>
      <c r="J544" s="241"/>
      <c r="K544" s="241"/>
      <c r="L544" s="238"/>
    </row>
    <row r="545" spans="2:12" outlineLevel="1">
      <c r="B545" s="237" t="s">
        <v>49</v>
      </c>
      <c r="C545" s="237" t="s">
        <v>49</v>
      </c>
      <c r="D545" s="238" t="str">
        <f>_xlfn.XLOOKUP(B545,'Relacion '!$E:$E,'Relacion '!$D:$D,"")</f>
        <v/>
      </c>
      <c r="E545" s="239">
        <f t="shared" si="121"/>
        <v>0</v>
      </c>
      <c r="F545" s="240" cm="1">
        <f t="array" ref="F545">MIN(INDEX('Relacion '!$AB$5:$AC$493,MATCH(INDEX($B:$B, (ROW()-3)),'Relacion '!$E$5:$E$493,0),0))</f>
        <v>46108</v>
      </c>
      <c r="G545" s="240" cm="1">
        <f t="array" ref="G545">MAX(INDEX('Relacion '!$AB$5:$AC$493,MATCH(INDEX($B:$B, (ROW()-3)),'Relacion '!$E$5:$E$493,0),0))</f>
        <v>46108</v>
      </c>
      <c r="H545" s="241" cm="1">
        <f t="array" ref="H545">IF(
 MATCH(B545,{"01. ASIGNACION AREA";"02. MAPEO";"03. DESARROLLO";"04. VALIDA US";"05. VOBO US";"06. BW-EJECUCION";"07. VALIDACIÓN BAJAWARE";"08. CERRADA"},0)
 &lt;
 MATCH(_xlfn.XLOOKUP(INDEX($B:$B, (ROW()-3)),'Relacion '!$E:$E,'Relacion '!$D:$D,""),{"01. ASIGNACION AREA";"02. MAPEO";"03. DESARROLLO";"04. VALIDA US";"05. VOBO US";"06. BW-EJECUCION";"07. VALIDACIÓN BAJAWARE";"08. CERRADA"},0),
 1,
 IF(
  MATCH(B545,{"01. ASIGNACION AREA";"02. MAPEO";"03. DESARROLLO";"04. VALIDA US";"05. VOBO US";"06. BW-EJECUCION";"07. VALIDACIÓN BAJAWARE";"08. CERRADA"},0)
  =
  MATCH(_xlfn.XLOOKUP(INDEX($B:$B, (ROW()-3)),'Relacion '!$E:$E,'Relacion '!$D:$D,""),{"01. ASIGNACION AREA";"02. MAPEO";"03. DESARROLLO";"04. VALIDA US";"05. VOBO US";"06. BW-EJECUCION";"07. VALIDACIÓN BAJAWARE";"08. CERRADA"},0),
  _xlfn.XLOOKUP(INDEX($B:$B, (ROW()-3)),'Relacion '!$E:$E,'Relacion '!#REF!,0),
  0
 )
)</f>
        <v>1</v>
      </c>
      <c r="I545" s="241">
        <f t="shared" ca="1" si="123"/>
        <v>1</v>
      </c>
      <c r="J545" s="241"/>
      <c r="K545" s="241"/>
      <c r="L545" s="238"/>
    </row>
    <row r="546" spans="2:12" outlineLevel="1">
      <c r="B546" s="237" t="s">
        <v>324</v>
      </c>
      <c r="C546" s="237" t="s">
        <v>324</v>
      </c>
      <c r="D546" s="238" t="str">
        <f>_xlfn.XLOOKUP(B546,'Relacion '!$E:$E,'Relacion '!$D:$D,"")</f>
        <v/>
      </c>
      <c r="E546" s="239">
        <f t="shared" si="121"/>
        <v>0</v>
      </c>
      <c r="F546" s="240" cm="1">
        <f t="array" ref="F546">MIN(INDEX('Relacion '!$AD$5:$AE$493,MATCH(INDEX($B:$B, (ROW()-4)),'Relacion '!$E$5:$E$493,0),0))</f>
        <v>46108</v>
      </c>
      <c r="G546" s="240" cm="1">
        <f t="array" ref="G546">MAX(INDEX('Relacion '!$AD$5:$AE$493,MATCH(INDEX($B:$B, (ROW()-4)),'Relacion '!$E$5:$E$493,0),0))</f>
        <v>46108</v>
      </c>
      <c r="H546" s="241" cm="1">
        <f t="array" ref="H546">IF(
 MATCH(B546,{"01. ASIGNACION AREA";"02. MAPEO";"03. DESARROLLO";"04. VALIDA US";"05. VOBO US";"06. BW-EJECUCION";"07. VALIDACIÓN BAJAWARE";"08. CERRADA"},0)
 &lt;
 MATCH(_xlfn.XLOOKUP(INDEX($B:$B, (ROW()-4)),'Relacion '!$E:$E,'Relacion '!$D:$D,""),{"01. ASIGNACION AREA";"02. MAPEO";"03. DESARROLLO";"04. VALIDA US";"05. VOBO US";"06. BW-EJECUCION";"07. VALIDACIÓN BAJAWARE";"08. CERRADA"},0),
 1,
 IF(
  MATCH(B546,{"01. ASIGNACION AREA";"02. MAPEO";"03. DESARROLLO";"04. VALIDA US";"05. VOBO US";"06. BW-EJECUCION";"07. VALIDACIÓN BAJAWARE";"08. CERRADA"},0)
  =
  MATCH(_xlfn.XLOOKUP(INDEX($B:$B, (ROW()-4)),'Relacion '!$E:$E,'Relacion '!$D:$D,""),{"01. ASIGNACION AREA";"02. MAPEO";"03. DESARROLLO";"04. VALIDA US";"05. VOBO US";"06. BW-EJECUCION";"07. VALIDACIÓN BAJAWARE";"08. CERRADA"},0),
  _xlfn.XLOOKUP(INDEX($B:$B, (ROW()-4)),'Relacion '!$E:$E,'Relacion '!#REF!,0),
  0
 )
)</f>
        <v>1</v>
      </c>
      <c r="I546" s="241">
        <f t="shared" ca="1" si="123"/>
        <v>1</v>
      </c>
      <c r="J546" s="241"/>
      <c r="K546" s="241"/>
      <c r="L546" s="238"/>
    </row>
    <row r="547" spans="2:12" outlineLevel="1">
      <c r="B547" s="237" t="s">
        <v>320</v>
      </c>
      <c r="C547" s="237" t="s">
        <v>320</v>
      </c>
      <c r="D547" s="238" t="str">
        <f>_xlfn.XLOOKUP(B547,'Relacion '!$E:$E,'Relacion '!$D:$D,"")</f>
        <v/>
      </c>
      <c r="E547" s="239">
        <f t="shared" si="121"/>
        <v>0</v>
      </c>
      <c r="F547" s="240" cm="1">
        <f t="array" ref="F547">MIN(INDEX('Relacion '!$AF$5:$AG$493,MATCH(INDEX($B:$B, (ROW()-5)),'Relacion '!$E$5:$E$493,0),0))</f>
        <v>46108</v>
      </c>
      <c r="G547" s="240" cm="1">
        <f t="array" ref="G547">MAX(INDEX('Relacion '!$AF$5:$AG$493,MATCH(INDEX($B:$B, (ROW()-5)),'Relacion '!$E$5:$E$493,0),0))</f>
        <v>46108</v>
      </c>
      <c r="H547" s="241" cm="1">
        <f t="array" ref="H547">IF(
 MATCH(B547,{"01. ASIGNACION AREA";"02. MAPEO";"03. DESARROLLO";"04. VALIDA US";"05. VOBO US";"06. BW-EJECUCION";"07. VALIDACIÓN BAJAWARE";"08. CERRADA"},0)
 &lt;
 MATCH(_xlfn.XLOOKUP(INDEX($B:$B, (ROW()-5)),'Relacion '!$E:$E,'Relacion '!$D:$D,""),{"01. ASIGNACION AREA";"02. MAPEO";"03. DESARROLLO";"04. VALIDA US";"05. VOBO US";"06. BW-EJECUCION";"07. VALIDACIÓN BAJAWARE";"08. CERRADA"},0),
 1,
 IF(
  MATCH(B547,{"01. ASIGNACION AREA";"02. MAPEO";"03. DESARROLLO";"04. VALIDA US";"05. VOBO US";"06. BW-EJECUCION";"07. VALIDACIÓN BAJAWARE";"08. CERRADA"},0)
  =
  MATCH(_xlfn.XLOOKUP(INDEX($B:$B, (ROW()-5)),'Relacion '!$E:$E,'Relacion '!$D:$D,""),{"01. ASIGNACION AREA";"02. MAPEO";"03. DESARROLLO";"04. VALIDA US";"05. VOBO US";"06. BW-EJECUCION";"07. VALIDACIÓN BAJAWARE";"08. CERRADA"},0),
  _xlfn.XLOOKUP(INDEX($B:$B, (ROW()-5)),'Relacion '!$E:$E,'Relacion '!#REF!,0),
  0
 )
)</f>
        <v>1</v>
      </c>
      <c r="I547" s="241">
        <f t="shared" ca="1" si="123"/>
        <v>1</v>
      </c>
      <c r="J547" s="241"/>
      <c r="K547" s="241"/>
      <c r="L547" s="238"/>
    </row>
    <row r="548" spans="2:12" outlineLevel="1">
      <c r="B548" s="237" t="s">
        <v>710</v>
      </c>
      <c r="C548" s="237" t="s">
        <v>710</v>
      </c>
      <c r="D548" s="238" t="str">
        <f>_xlfn.XLOOKUP(B548,'Relacion '!$E:$E,'Relacion '!$D:$D,"")</f>
        <v/>
      </c>
      <c r="E548" s="239">
        <f t="shared" si="121"/>
        <v>0</v>
      </c>
      <c r="F548" s="240" cm="1">
        <f t="array" ref="F548">MIN(INDEX('Relacion '!$AH$5:$AI$493,MATCH(INDEX($B:$B, (ROW()-6)),'Relacion '!$E$5:$E$493,0),0))</f>
        <v>46108</v>
      </c>
      <c r="G548" s="240" cm="1">
        <f t="array" ref="G548">MAX(INDEX('Relacion '!$AH$5:$AI$493,MATCH(INDEX($B:$B, (ROW()-6)),'Relacion '!$E$5:$E$493,0),0))</f>
        <v>46108</v>
      </c>
      <c r="H548" s="241" cm="1">
        <f t="array" ref="H548">IF(
 MATCH(B548,{"01. ASIGNACION AREA";"02. MAPEO";"03. DESARROLLO";"04. VALIDA US";"05. VOBO US";"06. BW-EJECUCION";"07. VALIDACIÓN BAJAWARE";"08. CERRADA"},0)
 &lt;
 MATCH(_xlfn.XLOOKUP(INDEX($B:$B, (ROW()-6)),'Relacion '!$E:$E,'Relacion '!$D:$D,""),{"01. ASIGNACION AREA";"02. MAPEO";"03. DESARROLLO";"04. VALIDA US";"05. VOBO US";"06. BW-EJECUCION";"07. VALIDACIÓN BAJAWARE";"08. CERRADA"},0),
 1,
 IF(
  MATCH(B548,{"01. ASIGNACION AREA";"02. MAPEO";"03. DESARROLLO";"04. VALIDA US";"05. VOBO US";"06. BW-EJECUCION";"07. VALIDACIÓN BAJAWARE";"08. CERRADA"},0)
  =
  MATCH(_xlfn.XLOOKUP(INDEX($B:$B, (ROW()-6)),'Relacion '!$E:$E,'Relacion '!$D:$D,""),{"01. ASIGNACION AREA";"02. MAPEO";"03. DESARROLLO";"04. VALIDA US";"05. VOBO US";"06. BW-EJECUCION";"07. VALIDACIÓN BAJAWARE";"08. CERRADA"},0),
  _xlfn.XLOOKUP(INDEX($B:$B, (ROW()-6)),'Relacion '!$E:$E,'Relacion '!#REF!,0),
  0
 )
)</f>
        <v>1</v>
      </c>
      <c r="I548" s="241">
        <f t="shared" ca="1" si="123"/>
        <v>1</v>
      </c>
      <c r="J548" s="241"/>
      <c r="K548" s="241"/>
      <c r="L548" s="238"/>
    </row>
    <row r="549" spans="2:12" outlineLevel="1">
      <c r="B549" s="237" t="s">
        <v>655</v>
      </c>
      <c r="C549" s="237" t="s">
        <v>655</v>
      </c>
      <c r="D549" s="238" t="str">
        <f>_xlfn.XLOOKUP(B549,'Relacion '!$E:$E,'Relacion '!$D:$D,"")</f>
        <v/>
      </c>
      <c r="E549" s="239">
        <f t="shared" si="121"/>
        <v>0</v>
      </c>
      <c r="F549" s="240" cm="1">
        <f t="array" ref="F549">MIN(INDEX('Relacion '!$AJ$5:$AK$493,MATCH(INDEX($B:$B, (ROW()-7)),'Relacion '!$E$5:$E$493,0),0))</f>
        <v>46108</v>
      </c>
      <c r="G549" s="240" cm="1">
        <f t="array" ref="G549">MAX(INDEX('Relacion '!$AJ$5:$AK$493,MATCH(INDEX($B:$B, (ROW()-7)),'Relacion '!$E$5:$E$493,0),0))</f>
        <v>46108</v>
      </c>
      <c r="H549" s="241" cm="1">
        <f t="array" ref="H549">IF(
 MATCH(B549,{"01. ASIGNACION AREA";"02. MAPEO";"03. DESARROLLO";"04. VALIDA US";"05. VOBO US";"06. BW-EJECUCION";"07. VALIDACIÓN BAJAWARE";"08. CERRADA"},0)
 &lt;
 MATCH(_xlfn.XLOOKUP(INDEX($B:$B, (ROW()-7)),'Relacion '!$E:$E,'Relacion '!$D:$D,""),{"01. ASIGNACION AREA";"02. MAPEO";"03. DESARROLLO";"04. VALIDA US";"05. VOBO US";"06. BW-EJECUCION";"07. VALIDACIÓN BAJAWARE";"08. CERRADA"},0),
 1,
 IF(
  MATCH(B549,{"01. ASIGNACION AREA";"02. MAPEO";"03. DESARROLLO";"04. VALIDA US";"05. VOBO US";"06. BW-EJECUCION";"07. VALIDACIÓN BAJAWARE";"08. CERRADA"},0)
  =
  MATCH(_xlfn.XLOOKUP(INDEX($B:$B, (ROW()-7)),'Relacion '!$E:$E,'Relacion '!$D:$D,""),{"01. ASIGNACION AREA";"02. MAPEO";"03. DESARROLLO";"04. VALIDA US";"05. VOBO US";"06. BW-EJECUCION";"07. VALIDACIÓN BAJAWARE";"08. CERRADA"},0),
  _xlfn.XLOOKUP(INDEX($B:$B, (ROW()-7)),'Relacion '!$E:$E,'Relacion '!#REF!,0),
  0
 )
)</f>
        <v>1</v>
      </c>
      <c r="I549" s="241">
        <f t="shared" ca="1" si="123"/>
        <v>1</v>
      </c>
      <c r="J549" s="241"/>
      <c r="K549" s="241"/>
      <c r="L549" s="238"/>
    </row>
    <row r="550" spans="2:12" outlineLevel="1">
      <c r="B550" s="237" t="s">
        <v>656</v>
      </c>
      <c r="C550" s="237" t="s">
        <v>656</v>
      </c>
      <c r="D550" s="238" t="str">
        <f>_xlfn.XLOOKUP(B550,'Relacion '!$E:$E,'Relacion '!$D:$D,"")</f>
        <v/>
      </c>
      <c r="E550" s="239">
        <f t="shared" si="121"/>
        <v>0</v>
      </c>
      <c r="F550" s="240" cm="1">
        <f t="array" ref="F550">MIN(INDEX('Relacion '!$AL$5:$AM$493,MATCH(INDEX($B:$B, (ROW()-8)),'Relacion '!$E$5:$E$493,0),0))</f>
        <v>46109</v>
      </c>
      <c r="G550" s="240" cm="1">
        <f t="array" ref="G550">MAX(INDEX('Relacion '!$AL$5:$AM$493,MATCH(INDEX($B:$B, (ROW()-8)),'Relacion '!$E$5:$E$493,0),0))</f>
        <v>46109</v>
      </c>
      <c r="H550" s="241" t="e" cm="1">
        <f t="array" ref="H550">IF(
 MATCH(B550,{"01. ASIGNACION AREA";"02. MAPEO";"03. DESARROLLO";"04. VALIDA US";"05. VOBO US";"06. BW-EJECUCION";"07. VALIDACIÓN BAJAWARE";"08. CERRADA"},0)
 &lt;
 MATCH(_xlfn.XLOOKUP(INDEX($B:$B, (ROW()-8)),'Relacion '!$E:$E,'Relacion '!$D:$D,""),{"01. ASIGNACION AREA";"02. MAPEO";"03. DESARROLLO";"04. VALIDA US";"05. VOBO US";"06. BW-EJECUCION";"07. VALIDACIÓN BAJAWARE";"08. CERRADA"},0),
 1,
 IF(
  MATCH(B550,{"01. ASIGNACION AREA";"02. MAPEO";"03. DESARROLLO";"04. VALIDA US";"05. VOBO US";"06. BW-EJECUCION";"07. VALIDACIÓN BAJAWARE";"08. CERRADA"},0)
  =
  MATCH(_xlfn.XLOOKUP(INDEX($B:$B, (ROW()-8)),'Relacion '!$E:$E,'Relacion '!$D:$D,""),{"01. ASIGNACION AREA";"02. MAPEO";"03. DESARROLLO";"04. VALIDA US";"05. VOBO US";"06. BW-EJECUCION";"07. VALIDACIÓN BAJAWARE";"08. CERRADA"},0),
  _xlfn.XLOOKUP(INDEX($B:$B, (ROW()-8)),'Relacion '!$E:$E,'Relacion '!#REF!,0),
  0
 )
)</f>
        <v>#REF!</v>
      </c>
      <c r="I550" s="241">
        <f t="shared" ca="1" si="123"/>
        <v>1</v>
      </c>
      <c r="J550" s="241"/>
      <c r="K550" s="241"/>
      <c r="L550" s="238"/>
    </row>
    <row r="551" spans="2:12">
      <c r="B551" s="232" t="s">
        <v>490</v>
      </c>
      <c r="C551" s="167" t="s">
        <v>491</v>
      </c>
      <c r="D551" s="236" t="str">
        <f>_xlfn.XLOOKUP(B551,'Relacion '!$E:$E,'Relacion '!$D:$D,"")</f>
        <v>06. BW-EJECUCION</v>
      </c>
      <c r="E551" s="233">
        <f t="shared" si="121"/>
        <v>106</v>
      </c>
      <c r="F551" s="234" cm="1">
        <f t="array" ref="F551">MIN(INDEX('Relacion '!$X$5:$AM$493,MATCH(INDEX($B:$B, (ROW()-0)),'Relacion '!$E$5:$E$493,0),0))</f>
        <v>46024</v>
      </c>
      <c r="G551" s="234" cm="1">
        <f t="array" ref="G551">MAX(INDEX('Relacion '!$X$5:$AM$493,MATCH(INDEX($B:$B, (ROW()-0)),'Relacion '!$E$5:$E$493,0),0))</f>
        <v>46130</v>
      </c>
      <c r="H551" s="235" t="e">
        <f>AVERAGE(H552:H559)</f>
        <v>#REF!</v>
      </c>
      <c r="I551" s="235">
        <f t="shared" ref="I551" ca="1" si="130">AVERAGE(I552:I559)</f>
        <v>1</v>
      </c>
      <c r="J551" s="236" t="str">
        <f>IF(ISNUMBER(SEARCH("Rocha", _xlfn.XLOOKUP(B551,'Relacion '!$E:$E,'Relacion '!$I:$I,""))), "Sí", "No")</f>
        <v>No</v>
      </c>
      <c r="K551" s="236" t="str">
        <f>IF(ISNUMBER(SEARCH("Rocha", _xlfn.XLOOKUP(B551,'Relacion '!$E:$E,'Relacion '!$I:$I,""))), "RMC", _xlfn.XLOOKUP(B551,'Relacion '!$E:$E,'Relacion '!$B:$B,""))</f>
        <v>Contabilidad</v>
      </c>
      <c r="L551" s="236" t="str">
        <f>_xlfn.XLOOKUP(B551,'Relacion '!$E:$E,'Relacion '!$C:$C,"")</f>
        <v xml:space="preserve">Ramon Jaimes </v>
      </c>
    </row>
    <row r="552" spans="2:12" outlineLevel="1">
      <c r="B552" s="237" t="s">
        <v>654</v>
      </c>
      <c r="C552" s="237" t="s">
        <v>654</v>
      </c>
      <c r="D552" s="238" t="str">
        <f>_xlfn.XLOOKUP(B552,'Relacion '!$E:$E,'Relacion '!$D:$D,"")</f>
        <v/>
      </c>
      <c r="E552" s="239">
        <f t="shared" si="121"/>
        <v>14</v>
      </c>
      <c r="F552" s="240" cm="1">
        <f t="array" ref="F552">MIN(INDEX('Relacion '!$X$5:$Y$493,MATCH(INDEX($B:$B, (ROW()-1)),'Relacion '!$E$5:$E$493,0),0))</f>
        <v>46024</v>
      </c>
      <c r="G552" s="240" cm="1">
        <f t="array" ref="G552">MAX(INDEX('Relacion '!$X$5:$Y$493,MATCH(INDEX($B:$B, (ROW()-1)),'Relacion '!$E$5:$E$493,0),0))</f>
        <v>46038</v>
      </c>
      <c r="H552" s="241" cm="1">
        <f t="array" ref="H552">IF(
 MATCH(B552,{"01. ASIGNACION AREA";"02. MAPEO";"03. DESARROLLO";"04. VALIDA US";"05. VOBO US";"06. BW-EJECUCION";"07. VALIDACIÓN BAJAWARE";"08. CERRADA"},0)
 &lt;
 MATCH(_xlfn.XLOOKUP(INDEX($B:$B, (ROW()-1)),'Relacion '!$E:$E,'Relacion '!$D:$D,""),{"01. ASIGNACION AREA";"02. MAPEO";"03. DESARROLLO";"04. VALIDA US";"05. VOBO US";"06. BW-EJECUCION";"07. VALIDACIÓN BAJAWARE";"08. CERRADA"},0),
 1,
 IF(
  MATCH(B552,{"01. ASIGNACION AREA";"02. MAPEO";"03. DESARROLLO";"04. VALIDA US";"05. VOBO US";"06. BW-EJECUCION";"07. VALIDACIÓN BAJAWARE";"08. CERRADA"},0)
  =
  MATCH(_xlfn.XLOOKUP(INDEX($B:$B, (ROW()-1)),'Relacion '!$E:$E,'Relacion '!$D:$D,""),{"01. ASIGNACION AREA";"02. MAPEO";"03. DESARROLLO";"04. VALIDA US";"05. VOBO US";"06. BW-EJECUCION";"07. VALIDACIÓN BAJAWARE";"08. CERRADA"},0),
  _xlfn.XLOOKUP(INDEX($B:$B, (ROW()-1)),'Relacion '!$E:$E,'Relacion '!#REF!,0),
  0
 )
)</f>
        <v>1</v>
      </c>
      <c r="I552" s="241">
        <f t="shared" ref="I552" ca="1" si="131">IF(G552&lt;=TODAY(), 1, 0)</f>
        <v>1</v>
      </c>
      <c r="J552" s="241"/>
      <c r="K552" s="241"/>
      <c r="L552" s="238"/>
    </row>
    <row r="553" spans="2:12" outlineLevel="1">
      <c r="B553" s="237" t="s">
        <v>195</v>
      </c>
      <c r="C553" s="237" t="s">
        <v>195</v>
      </c>
      <c r="D553" s="238" t="str">
        <f>_xlfn.XLOOKUP(B553,'Relacion '!$E:$E,'Relacion '!$D:$D,"")</f>
        <v/>
      </c>
      <c r="E553" s="239">
        <f t="shared" si="121"/>
        <v>11</v>
      </c>
      <c r="F553" s="240" cm="1">
        <f t="array" ref="F553">MIN(INDEX('Relacion '!$Z$5:$AA$493,MATCH(INDEX($B:$B, (ROW()-2)),'Relacion '!$E$5:$E$493,0),0))</f>
        <v>46041</v>
      </c>
      <c r="G553" s="240" cm="1">
        <f t="array" ref="G553">MAX(INDEX('Relacion '!$Z$5:$AA$493,MATCH(INDEX($B:$B, (ROW()-2)),'Relacion '!$E$5:$E$493,0),0))</f>
        <v>46052</v>
      </c>
      <c r="H553" s="241" cm="1">
        <f t="array" ref="H553">IF(
 MATCH(B553,{"01. ASIGNACION AREA";"02. MAPEO";"03. DESARROLLO";"04. VALIDA US";"05. VOBO US";"06. BW-EJECUCION";"07. VALIDACIÓN BAJAWARE";"08. CERRADA"},0)
 &lt;
 MATCH(_xlfn.XLOOKUP(INDEX($B:$B, (ROW()-2)),'Relacion '!$E:$E,'Relacion '!$D:$D,""),{"01. ASIGNACION AREA";"02. MAPEO";"03. DESARROLLO";"04. VALIDA US";"05. VOBO US";"06. BW-EJECUCION";"07. VALIDACIÓN BAJAWARE";"08. CERRADA"},0),
 1,
 IF(
  MATCH(B553,{"01. ASIGNACION AREA";"02. MAPEO";"03. DESARROLLO";"04. VALIDA US";"05. VOBO US";"06. BW-EJECUCION";"07. VALIDACIÓN BAJAWARE";"08. CERRADA"},0)
  =
  MATCH(_xlfn.XLOOKUP(INDEX($B:$B, (ROW()-2)),'Relacion '!$E:$E,'Relacion '!$D:$D,""),{"01. ASIGNACION AREA";"02. MAPEO";"03. DESARROLLO";"04. VALIDA US";"05. VOBO US";"06. BW-EJECUCION";"07. VALIDACIÓN BAJAWARE";"08. CERRADA"},0),
  _xlfn.XLOOKUP(INDEX($B:$B, (ROW()-2)),'Relacion '!$E:$E,'Relacion '!#REF!,0),
  0
 )
)</f>
        <v>1</v>
      </c>
      <c r="I553" s="241">
        <f t="shared" ca="1" si="123"/>
        <v>1</v>
      </c>
      <c r="J553" s="241"/>
      <c r="K553" s="241"/>
      <c r="L553" s="238"/>
    </row>
    <row r="554" spans="2:12" outlineLevel="1">
      <c r="B554" s="237" t="s">
        <v>49</v>
      </c>
      <c r="C554" s="237" t="s">
        <v>49</v>
      </c>
      <c r="D554" s="238" t="str">
        <f>_xlfn.XLOOKUP(B554,'Relacion '!$E:$E,'Relacion '!$D:$D,"")</f>
        <v/>
      </c>
      <c r="E554" s="239">
        <f t="shared" si="121"/>
        <v>13</v>
      </c>
      <c r="F554" s="240" cm="1">
        <f t="array" ref="F554">MIN(INDEX('Relacion '!$AB$5:$AC$493,MATCH(INDEX($B:$B, (ROW()-3)),'Relacion '!$E$5:$E$493,0),0))</f>
        <v>46056</v>
      </c>
      <c r="G554" s="240" cm="1">
        <f t="array" ref="G554">MAX(INDEX('Relacion '!$AB$5:$AC$493,MATCH(INDEX($B:$B, (ROW()-3)),'Relacion '!$E$5:$E$493,0),0))</f>
        <v>46069</v>
      </c>
      <c r="H554" s="241" cm="1">
        <f t="array" ref="H554">IF(
 MATCH(B554,{"01. ASIGNACION AREA";"02. MAPEO";"03. DESARROLLO";"04. VALIDA US";"05. VOBO US";"06. BW-EJECUCION";"07. VALIDACIÓN BAJAWARE";"08. CERRADA"},0)
 &lt;
 MATCH(_xlfn.XLOOKUP(INDEX($B:$B, (ROW()-3)),'Relacion '!$E:$E,'Relacion '!$D:$D,""),{"01. ASIGNACION AREA";"02. MAPEO";"03. DESARROLLO";"04. VALIDA US";"05. VOBO US";"06. BW-EJECUCION";"07. VALIDACIÓN BAJAWARE";"08. CERRADA"},0),
 1,
 IF(
  MATCH(B554,{"01. ASIGNACION AREA";"02. MAPEO";"03. DESARROLLO";"04. VALIDA US";"05. VOBO US";"06. BW-EJECUCION";"07. VALIDACIÓN BAJAWARE";"08. CERRADA"},0)
  =
  MATCH(_xlfn.XLOOKUP(INDEX($B:$B, (ROW()-3)),'Relacion '!$E:$E,'Relacion '!$D:$D,""),{"01. ASIGNACION AREA";"02. MAPEO";"03. DESARROLLO";"04. VALIDA US";"05. VOBO US";"06. BW-EJECUCION";"07. VALIDACIÓN BAJAWARE";"08. CERRADA"},0),
  _xlfn.XLOOKUP(INDEX($B:$B, (ROW()-3)),'Relacion '!$E:$E,'Relacion '!#REF!,0),
  0
 )
)</f>
        <v>1</v>
      </c>
      <c r="I554" s="241">
        <f t="shared" ca="1" si="123"/>
        <v>1</v>
      </c>
      <c r="J554" s="241"/>
      <c r="K554" s="241"/>
      <c r="L554" s="238"/>
    </row>
    <row r="555" spans="2:12" outlineLevel="1">
      <c r="B555" s="237" t="s">
        <v>324</v>
      </c>
      <c r="C555" s="237" t="s">
        <v>324</v>
      </c>
      <c r="D555" s="238" t="str">
        <f>_xlfn.XLOOKUP(B555,'Relacion '!$E:$E,'Relacion '!$D:$D,"")</f>
        <v/>
      </c>
      <c r="E555" s="239">
        <f t="shared" si="121"/>
        <v>2</v>
      </c>
      <c r="F555" s="240" cm="1">
        <f t="array" ref="F555">MIN(INDEX('Relacion '!$AD$5:$AE$493,MATCH(INDEX($B:$B, (ROW()-4)),'Relacion '!$E$5:$E$493,0),0))</f>
        <v>46070</v>
      </c>
      <c r="G555" s="240" cm="1">
        <f t="array" ref="G555">MAX(INDEX('Relacion '!$AD$5:$AE$493,MATCH(INDEX($B:$B, (ROW()-4)),'Relacion '!$E$5:$E$493,0),0))</f>
        <v>46072</v>
      </c>
      <c r="H555" s="241" cm="1">
        <f t="array" ref="H555">IF(
 MATCH(B555,{"01. ASIGNACION AREA";"02. MAPEO";"03. DESARROLLO";"04. VALIDA US";"05. VOBO US";"06. BW-EJECUCION";"07. VALIDACIÓN BAJAWARE";"08. CERRADA"},0)
 &lt;
 MATCH(_xlfn.XLOOKUP(INDEX($B:$B, (ROW()-4)),'Relacion '!$E:$E,'Relacion '!$D:$D,""),{"01. ASIGNACION AREA";"02. MAPEO";"03. DESARROLLO";"04. VALIDA US";"05. VOBO US";"06. BW-EJECUCION";"07. VALIDACIÓN BAJAWARE";"08. CERRADA"},0),
 1,
 IF(
  MATCH(B555,{"01. ASIGNACION AREA";"02. MAPEO";"03. DESARROLLO";"04. VALIDA US";"05. VOBO US";"06. BW-EJECUCION";"07. VALIDACIÓN BAJAWARE";"08. CERRADA"},0)
  =
  MATCH(_xlfn.XLOOKUP(INDEX($B:$B, (ROW()-4)),'Relacion '!$E:$E,'Relacion '!$D:$D,""),{"01. ASIGNACION AREA";"02. MAPEO";"03. DESARROLLO";"04. VALIDA US";"05. VOBO US";"06. BW-EJECUCION";"07. VALIDACIÓN BAJAWARE";"08. CERRADA"},0),
  _xlfn.XLOOKUP(INDEX($B:$B, (ROW()-4)),'Relacion '!$E:$E,'Relacion '!#REF!,0),
  0
 )
)</f>
        <v>1</v>
      </c>
      <c r="I555" s="241">
        <f t="shared" ca="1" si="123"/>
        <v>1</v>
      </c>
      <c r="J555" s="241"/>
      <c r="K555" s="241"/>
      <c r="L555" s="238"/>
    </row>
    <row r="556" spans="2:12" outlineLevel="1">
      <c r="B556" s="237" t="s">
        <v>320</v>
      </c>
      <c r="C556" s="237" t="s">
        <v>320</v>
      </c>
      <c r="D556" s="238" t="str">
        <f>_xlfn.XLOOKUP(B556,'Relacion '!$E:$E,'Relacion '!$D:$D,"")</f>
        <v/>
      </c>
      <c r="E556" s="239">
        <f t="shared" si="121"/>
        <v>0</v>
      </c>
      <c r="F556" s="240" cm="1">
        <f t="array" ref="F556">MIN(INDEX('Relacion '!$AF$5:$AG$493,MATCH(INDEX($B:$B, (ROW()-5)),'Relacion '!$E$5:$E$493,0),0))</f>
        <v>46073</v>
      </c>
      <c r="G556" s="240" cm="1">
        <f t="array" ref="G556">MAX(INDEX('Relacion '!$AF$5:$AG$493,MATCH(INDEX($B:$B, (ROW()-5)),'Relacion '!$E$5:$E$493,0),0))</f>
        <v>46073</v>
      </c>
      <c r="H556" s="241" cm="1">
        <f t="array" ref="H556">IF(
 MATCH(B556,{"01. ASIGNACION AREA";"02. MAPEO";"03. DESARROLLO";"04. VALIDA US";"05. VOBO US";"06. BW-EJECUCION";"07. VALIDACIÓN BAJAWARE";"08. CERRADA"},0)
 &lt;
 MATCH(_xlfn.XLOOKUP(INDEX($B:$B, (ROW()-5)),'Relacion '!$E:$E,'Relacion '!$D:$D,""),{"01. ASIGNACION AREA";"02. MAPEO";"03. DESARROLLO";"04. VALIDA US";"05. VOBO US";"06. BW-EJECUCION";"07. VALIDACIÓN BAJAWARE";"08. CERRADA"},0),
 1,
 IF(
  MATCH(B556,{"01. ASIGNACION AREA";"02. MAPEO";"03. DESARROLLO";"04. VALIDA US";"05. VOBO US";"06. BW-EJECUCION";"07. VALIDACIÓN BAJAWARE";"08. CERRADA"},0)
  =
  MATCH(_xlfn.XLOOKUP(INDEX($B:$B, (ROW()-5)),'Relacion '!$E:$E,'Relacion '!$D:$D,""),{"01. ASIGNACION AREA";"02. MAPEO";"03. DESARROLLO";"04. VALIDA US";"05. VOBO US";"06. BW-EJECUCION";"07. VALIDACIÓN BAJAWARE";"08. CERRADA"},0),
  _xlfn.XLOOKUP(INDEX($B:$B, (ROW()-5)),'Relacion '!$E:$E,'Relacion '!#REF!,0),
  0
 )
)</f>
        <v>1</v>
      </c>
      <c r="I556" s="241">
        <f t="shared" ca="1" si="123"/>
        <v>1</v>
      </c>
      <c r="J556" s="241"/>
      <c r="K556" s="241"/>
      <c r="L556" s="238"/>
    </row>
    <row r="557" spans="2:12" outlineLevel="1">
      <c r="B557" s="237" t="s">
        <v>710</v>
      </c>
      <c r="C557" s="237" t="s">
        <v>710</v>
      </c>
      <c r="D557" s="238" t="str">
        <f>_xlfn.XLOOKUP(B557,'Relacion '!$E:$E,'Relacion '!$D:$D,"")</f>
        <v/>
      </c>
      <c r="E557" s="239">
        <f t="shared" si="121"/>
        <v>25</v>
      </c>
      <c r="F557" s="240" cm="1">
        <f t="array" ref="F557">MIN(INDEX('Relacion '!$AH$5:$AI$493,MATCH(INDEX($B:$B, (ROW()-6)),'Relacion '!$E$5:$E$493,0),0))</f>
        <v>46076</v>
      </c>
      <c r="G557" s="240" cm="1">
        <f t="array" ref="G557">MAX(INDEX('Relacion '!$AH$5:$AI$493,MATCH(INDEX($B:$B, (ROW()-6)),'Relacion '!$E$5:$E$493,0),0))</f>
        <v>46101</v>
      </c>
      <c r="H557" s="241" t="e" cm="1">
        <f t="array" ref="H557">IF(
 MATCH(B557,{"01. ASIGNACION AREA";"02. MAPEO";"03. DESARROLLO";"04. VALIDA US";"05. VOBO US";"06. BW-EJECUCION";"07. VALIDACIÓN BAJAWARE";"08. CERRADA"},0)
 &lt;
 MATCH(_xlfn.XLOOKUP(INDEX($B:$B, (ROW()-6)),'Relacion '!$E:$E,'Relacion '!$D:$D,""),{"01. ASIGNACION AREA";"02. MAPEO";"03. DESARROLLO";"04. VALIDA US";"05. VOBO US";"06. BW-EJECUCION";"07. VALIDACIÓN BAJAWARE";"08. CERRADA"},0),
 1,
 IF(
  MATCH(B557,{"01. ASIGNACION AREA";"02. MAPEO";"03. DESARROLLO";"04. VALIDA US";"05. VOBO US";"06. BW-EJECUCION";"07. VALIDACIÓN BAJAWARE";"08. CERRADA"},0)
  =
  MATCH(_xlfn.XLOOKUP(INDEX($B:$B, (ROW()-6)),'Relacion '!$E:$E,'Relacion '!$D:$D,""),{"01. ASIGNACION AREA";"02. MAPEO";"03. DESARROLLO";"04. VALIDA US";"05. VOBO US";"06. BW-EJECUCION";"07. VALIDACIÓN BAJAWARE";"08. CERRADA"},0),
  _xlfn.XLOOKUP(INDEX($B:$B, (ROW()-6)),'Relacion '!$E:$E,'Relacion '!#REF!,0),
  0
 )
)</f>
        <v>#REF!</v>
      </c>
      <c r="I557" s="241">
        <f t="shared" ca="1" si="123"/>
        <v>1</v>
      </c>
      <c r="J557" s="241"/>
      <c r="K557" s="241"/>
      <c r="L557" s="238"/>
    </row>
    <row r="558" spans="2:12" outlineLevel="1">
      <c r="B558" s="237" t="s">
        <v>655</v>
      </c>
      <c r="C558" s="237" t="s">
        <v>655</v>
      </c>
      <c r="D558" s="238" t="str">
        <f>_xlfn.XLOOKUP(B558,'Relacion '!$E:$E,'Relacion '!$D:$D,"")</f>
        <v/>
      </c>
      <c r="E558" s="239">
        <f t="shared" si="121"/>
        <v>25</v>
      </c>
      <c r="F558" s="240" cm="1">
        <f t="array" ref="F558">MIN(INDEX('Relacion '!$AJ$5:$AK$493,MATCH(INDEX($B:$B, (ROW()-7)),'Relacion '!$E$5:$E$493,0),0))</f>
        <v>46104</v>
      </c>
      <c r="G558" s="240" cm="1">
        <f t="array" ref="G558">MAX(INDEX('Relacion '!$AJ$5:$AK$493,MATCH(INDEX($B:$B, (ROW()-7)),'Relacion '!$E$5:$E$493,0),0))</f>
        <v>46129</v>
      </c>
      <c r="H558" s="241" cm="1">
        <f t="array" ref="H558">IF(
 MATCH(B558,{"01. ASIGNACION AREA";"02. MAPEO";"03. DESARROLLO";"04. VALIDA US";"05. VOBO US";"06. BW-EJECUCION";"07. VALIDACIÓN BAJAWARE";"08. CERRADA"},0)
 &lt;
 MATCH(_xlfn.XLOOKUP(INDEX($B:$B, (ROW()-7)),'Relacion '!$E:$E,'Relacion '!$D:$D,""),{"01. ASIGNACION AREA";"02. MAPEO";"03. DESARROLLO";"04. VALIDA US";"05. VOBO US";"06. BW-EJECUCION";"07. VALIDACIÓN BAJAWARE";"08. CERRADA"},0),
 1,
 IF(
  MATCH(B558,{"01. ASIGNACION AREA";"02. MAPEO";"03. DESARROLLO";"04. VALIDA US";"05. VOBO US";"06. BW-EJECUCION";"07. VALIDACIÓN BAJAWARE";"08. CERRADA"},0)
  =
  MATCH(_xlfn.XLOOKUP(INDEX($B:$B, (ROW()-7)),'Relacion '!$E:$E,'Relacion '!$D:$D,""),{"01. ASIGNACION AREA";"02. MAPEO";"03. DESARROLLO";"04. VALIDA US";"05. VOBO US";"06. BW-EJECUCION";"07. VALIDACIÓN BAJAWARE";"08. CERRADA"},0),
  _xlfn.XLOOKUP(INDEX($B:$B, (ROW()-7)),'Relacion '!$E:$E,'Relacion '!#REF!,0),
  0
 )
)</f>
        <v>0</v>
      </c>
      <c r="I558" s="241">
        <f t="shared" ca="1" si="123"/>
        <v>1</v>
      </c>
      <c r="J558" s="241"/>
      <c r="K558" s="241"/>
      <c r="L558" s="238"/>
    </row>
    <row r="559" spans="2:12" outlineLevel="1">
      <c r="B559" s="237" t="s">
        <v>656</v>
      </c>
      <c r="C559" s="237" t="s">
        <v>656</v>
      </c>
      <c r="D559" s="238" t="str">
        <f>_xlfn.XLOOKUP(B559,'Relacion '!$E:$E,'Relacion '!$D:$D,"")</f>
        <v/>
      </c>
      <c r="E559" s="239">
        <f t="shared" si="121"/>
        <v>0</v>
      </c>
      <c r="F559" s="240" cm="1">
        <f t="array" ref="F559">MIN(INDEX('Relacion '!$AL$5:$AM$493,MATCH(INDEX($B:$B, (ROW()-8)),'Relacion '!$E$5:$E$493,0),0))</f>
        <v>46130</v>
      </c>
      <c r="G559" s="240" cm="1">
        <f t="array" ref="G559">MAX(INDEX('Relacion '!$AL$5:$AM$493,MATCH(INDEX($B:$B, (ROW()-8)),'Relacion '!$E$5:$E$493,0),0))</f>
        <v>46130</v>
      </c>
      <c r="H559" s="241" cm="1">
        <f t="array" ref="H559">IF(
 MATCH(B559,{"01. ASIGNACION AREA";"02. MAPEO";"03. DESARROLLO";"04. VALIDA US";"05. VOBO US";"06. BW-EJECUCION";"07. VALIDACIÓN BAJAWARE";"08. CERRADA"},0)
 &lt;
 MATCH(_xlfn.XLOOKUP(INDEX($B:$B, (ROW()-8)),'Relacion '!$E:$E,'Relacion '!$D:$D,""),{"01. ASIGNACION AREA";"02. MAPEO";"03. DESARROLLO";"04. VALIDA US";"05. VOBO US";"06. BW-EJECUCION";"07. VALIDACIÓN BAJAWARE";"08. CERRADA"},0),
 1,
 IF(
  MATCH(B559,{"01. ASIGNACION AREA";"02. MAPEO";"03. DESARROLLO";"04. VALIDA US";"05. VOBO US";"06. BW-EJECUCION";"07. VALIDACIÓN BAJAWARE";"08. CERRADA"},0)
  =
  MATCH(_xlfn.XLOOKUP(INDEX($B:$B, (ROW()-8)),'Relacion '!$E:$E,'Relacion '!$D:$D,""),{"01. ASIGNACION AREA";"02. MAPEO";"03. DESARROLLO";"04. VALIDA US";"05. VOBO US";"06. BW-EJECUCION";"07. VALIDACIÓN BAJAWARE";"08. CERRADA"},0),
  _xlfn.XLOOKUP(INDEX($B:$B, (ROW()-8)),'Relacion '!$E:$E,'Relacion '!#REF!,0),
  0
 )
)</f>
        <v>0</v>
      </c>
      <c r="I559" s="241">
        <f t="shared" ca="1" si="123"/>
        <v>1</v>
      </c>
      <c r="J559" s="241"/>
      <c r="K559" s="241"/>
      <c r="L559" s="238"/>
    </row>
    <row r="560" spans="2:12">
      <c r="B560" s="232" t="s">
        <v>114</v>
      </c>
      <c r="C560" s="137" t="s">
        <v>115</v>
      </c>
      <c r="D560" s="236" t="str">
        <f>_xlfn.XLOOKUP(B560,'Relacion '!$E:$E,'Relacion '!$D:$D,"")</f>
        <v>04. VALIDA US</v>
      </c>
      <c r="E560" s="233">
        <f t="shared" si="121"/>
        <v>478</v>
      </c>
      <c r="F560" s="234" cm="1">
        <f t="array" ref="F560">MIN(INDEX('Relacion '!$X$5:$AM$493,MATCH(INDEX($B:$B, (ROW()-0)),'Relacion '!$E$5:$E$493,0),0))</f>
        <v>45659</v>
      </c>
      <c r="G560" s="234" cm="1">
        <f t="array" ref="G560">MAX(INDEX('Relacion '!$X$5:$AM$493,MATCH(INDEX($B:$B, (ROW()-0)),'Relacion '!$E$5:$E$493,0),0))</f>
        <v>46137</v>
      </c>
      <c r="H560" s="235" t="e">
        <f>AVERAGE(H561:H568)</f>
        <v>#REF!</v>
      </c>
      <c r="I560" s="235">
        <f t="shared" ref="I560" ca="1" si="132">AVERAGE(I561:I568)</f>
        <v>1</v>
      </c>
      <c r="J560" s="236" t="str">
        <f>IF(ISNUMBER(SEARCH("Rocha", _xlfn.XLOOKUP(B560,'Relacion '!$E:$E,'Relacion '!$I:$I,""))), "Sí", "No")</f>
        <v>No</v>
      </c>
      <c r="K560" s="236" t="str">
        <f>IF(ISNUMBER(SEARCH("Rocha", _xlfn.XLOOKUP(B560,'Relacion '!$E:$E,'Relacion '!$I:$I,""))), "RMC", _xlfn.XLOOKUP(B560,'Relacion '!$E:$E,'Relacion '!$B:$B,""))</f>
        <v>Operaciones Credito</v>
      </c>
      <c r="L560" s="236" t="str">
        <f>_xlfn.XLOOKUP(B560,'Relacion '!$E:$E,'Relacion '!$C:$C,"")</f>
        <v>Luis Alberto</v>
      </c>
    </row>
    <row r="561" spans="2:12" outlineLevel="1">
      <c r="B561" s="237" t="s">
        <v>654</v>
      </c>
      <c r="C561" s="237" t="s">
        <v>654</v>
      </c>
      <c r="D561" s="238" t="str">
        <f>_xlfn.XLOOKUP(B561,'Relacion '!$E:$E,'Relacion '!$D:$D,"")</f>
        <v/>
      </c>
      <c r="E561" s="239">
        <f t="shared" si="121"/>
        <v>379</v>
      </c>
      <c r="F561" s="240" cm="1">
        <f t="array" ref="F561">MIN(INDEX('Relacion '!$X$5:$Y$493,MATCH(INDEX($B:$B, (ROW()-1)),'Relacion '!$E$5:$E$493,0),0))</f>
        <v>45659</v>
      </c>
      <c r="G561" s="240" cm="1">
        <f t="array" ref="G561">MAX(INDEX('Relacion '!$X$5:$Y$493,MATCH(INDEX($B:$B, (ROW()-1)),'Relacion '!$E$5:$E$493,0),0))</f>
        <v>46038</v>
      </c>
      <c r="H561" s="241" cm="1">
        <f t="array" ref="H561">IF(
 MATCH(B561,{"01. ASIGNACION AREA";"02. MAPEO";"03. DESARROLLO";"04. VALIDA US";"05. VOBO US";"06. BW-EJECUCION";"07. VALIDACIÓN BAJAWARE";"08. CERRADA"},0)
 &lt;
 MATCH(_xlfn.XLOOKUP(INDEX($B:$B, (ROW()-1)),'Relacion '!$E:$E,'Relacion '!$D:$D,""),{"01. ASIGNACION AREA";"02. MAPEO";"03. DESARROLLO";"04. VALIDA US";"05. VOBO US";"06. BW-EJECUCION";"07. VALIDACIÓN BAJAWARE";"08. CERRADA"},0),
 1,
 IF(
  MATCH(B561,{"01. ASIGNACION AREA";"02. MAPEO";"03. DESARROLLO";"04. VALIDA US";"05. VOBO US";"06. BW-EJECUCION";"07. VALIDACIÓN BAJAWARE";"08. CERRADA"},0)
  =
  MATCH(_xlfn.XLOOKUP(INDEX($B:$B, (ROW()-1)),'Relacion '!$E:$E,'Relacion '!$D:$D,""),{"01. ASIGNACION AREA";"02. MAPEO";"03. DESARROLLO";"04. VALIDA US";"05. VOBO US";"06. BW-EJECUCION";"07. VALIDACIÓN BAJAWARE";"08. CERRADA"},0),
  _xlfn.XLOOKUP(INDEX($B:$B, (ROW()-1)),'Relacion '!$E:$E,'Relacion '!#REF!,0),
  0
 )
)</f>
        <v>1</v>
      </c>
      <c r="I561" s="241">
        <f t="shared" ref="I561" ca="1" si="133">IF(G561&lt;=TODAY(), 1, 0)</f>
        <v>1</v>
      </c>
      <c r="J561" s="241"/>
      <c r="K561" s="241"/>
      <c r="L561" s="238"/>
    </row>
    <row r="562" spans="2:12" outlineLevel="1">
      <c r="B562" s="237" t="s">
        <v>195</v>
      </c>
      <c r="C562" s="237" t="s">
        <v>195</v>
      </c>
      <c r="D562" s="238" t="str">
        <f>_xlfn.XLOOKUP(B562,'Relacion '!$E:$E,'Relacion '!$D:$D,"")</f>
        <v/>
      </c>
      <c r="E562" s="239">
        <f t="shared" si="121"/>
        <v>11</v>
      </c>
      <c r="F562" s="240" cm="1">
        <f t="array" ref="F562">MIN(INDEX('Relacion '!$Z$5:$AA$493,MATCH(INDEX($B:$B, (ROW()-2)),'Relacion '!$E$5:$E$493,0),0))</f>
        <v>46041</v>
      </c>
      <c r="G562" s="240" cm="1">
        <f t="array" ref="G562">MAX(INDEX('Relacion '!$Z$5:$AA$493,MATCH(INDEX($B:$B, (ROW()-2)),'Relacion '!$E$5:$E$493,0),0))</f>
        <v>46052</v>
      </c>
      <c r="H562" s="241" cm="1">
        <f t="array" ref="H562">IF(
 MATCH(B562,{"01. ASIGNACION AREA";"02. MAPEO";"03. DESARROLLO";"04. VALIDA US";"05. VOBO US";"06. BW-EJECUCION";"07. VALIDACIÓN BAJAWARE";"08. CERRADA"},0)
 &lt;
 MATCH(_xlfn.XLOOKUP(INDEX($B:$B, (ROW()-2)),'Relacion '!$E:$E,'Relacion '!$D:$D,""),{"01. ASIGNACION AREA";"02. MAPEO";"03. DESARROLLO";"04. VALIDA US";"05. VOBO US";"06. BW-EJECUCION";"07. VALIDACIÓN BAJAWARE";"08. CERRADA"},0),
 1,
 IF(
  MATCH(B562,{"01. ASIGNACION AREA";"02. MAPEO";"03. DESARROLLO";"04. VALIDA US";"05. VOBO US";"06. BW-EJECUCION";"07. VALIDACIÓN BAJAWARE";"08. CERRADA"},0)
  =
  MATCH(_xlfn.XLOOKUP(INDEX($B:$B, (ROW()-2)),'Relacion '!$E:$E,'Relacion '!$D:$D,""),{"01. ASIGNACION AREA";"02. MAPEO";"03. DESARROLLO";"04. VALIDA US";"05. VOBO US";"06. BW-EJECUCION";"07. VALIDACIÓN BAJAWARE";"08. CERRADA"},0),
  _xlfn.XLOOKUP(INDEX($B:$B, (ROW()-2)),'Relacion '!$E:$E,'Relacion '!#REF!,0),
  0
 )
)</f>
        <v>1</v>
      </c>
      <c r="I562" s="241">
        <f t="shared" ca="1" si="123"/>
        <v>1</v>
      </c>
      <c r="J562" s="241"/>
      <c r="K562" s="241"/>
      <c r="L562" s="238"/>
    </row>
    <row r="563" spans="2:12" outlineLevel="1">
      <c r="B563" s="237" t="s">
        <v>49</v>
      </c>
      <c r="C563" s="237" t="s">
        <v>49</v>
      </c>
      <c r="D563" s="238" t="str">
        <f>_xlfn.XLOOKUP(B563,'Relacion '!$E:$E,'Relacion '!$D:$D,"")</f>
        <v/>
      </c>
      <c r="E563" s="239">
        <f t="shared" si="121"/>
        <v>24</v>
      </c>
      <c r="F563" s="240" cm="1">
        <f t="array" ref="F563">MIN(INDEX('Relacion '!$AB$5:$AC$493,MATCH(INDEX($B:$B, (ROW()-3)),'Relacion '!$E$5:$E$493,0),0))</f>
        <v>46056</v>
      </c>
      <c r="G563" s="240" cm="1">
        <f t="array" ref="G563">MAX(INDEX('Relacion '!$AB$5:$AC$493,MATCH(INDEX($B:$B, (ROW()-3)),'Relacion '!$E$5:$E$493,0),0))</f>
        <v>46080</v>
      </c>
      <c r="H563" s="241" cm="1">
        <f t="array" ref="H563">IF(
 MATCH(B563,{"01. ASIGNACION AREA";"02. MAPEO";"03. DESARROLLO";"04. VALIDA US";"05. VOBO US";"06. BW-EJECUCION";"07. VALIDACIÓN BAJAWARE";"08. CERRADA"},0)
 &lt;
 MATCH(_xlfn.XLOOKUP(INDEX($B:$B, (ROW()-3)),'Relacion '!$E:$E,'Relacion '!$D:$D,""),{"01. ASIGNACION AREA";"02. MAPEO";"03. DESARROLLO";"04. VALIDA US";"05. VOBO US";"06. BW-EJECUCION";"07. VALIDACIÓN BAJAWARE";"08. CERRADA"},0),
 1,
 IF(
  MATCH(B563,{"01. ASIGNACION AREA";"02. MAPEO";"03. DESARROLLO";"04. VALIDA US";"05. VOBO US";"06. BW-EJECUCION";"07. VALIDACIÓN BAJAWARE";"08. CERRADA"},0)
  =
  MATCH(_xlfn.XLOOKUP(INDEX($B:$B, (ROW()-3)),'Relacion '!$E:$E,'Relacion '!$D:$D,""),{"01. ASIGNACION AREA";"02. MAPEO";"03. DESARROLLO";"04. VALIDA US";"05. VOBO US";"06. BW-EJECUCION";"07. VALIDACIÓN BAJAWARE";"08. CERRADA"},0),
  _xlfn.XLOOKUP(INDEX($B:$B, (ROW()-3)),'Relacion '!$E:$E,'Relacion '!#REF!,0),
  0
 )
)</f>
        <v>1</v>
      </c>
      <c r="I563" s="241">
        <f t="shared" ca="1" si="123"/>
        <v>1</v>
      </c>
      <c r="J563" s="241"/>
      <c r="K563" s="241"/>
      <c r="L563" s="238"/>
    </row>
    <row r="564" spans="2:12" outlineLevel="1">
      <c r="B564" s="237" t="s">
        <v>324</v>
      </c>
      <c r="C564" s="237" t="s">
        <v>324</v>
      </c>
      <c r="D564" s="238" t="str">
        <f>_xlfn.XLOOKUP(B564,'Relacion '!$E:$E,'Relacion '!$D:$D,"")</f>
        <v/>
      </c>
      <c r="E564" s="239">
        <f t="shared" si="121"/>
        <v>14</v>
      </c>
      <c r="F564" s="240" cm="1">
        <f t="array" ref="F564">MIN(INDEX('Relacion '!$AD$5:$AE$493,MATCH(INDEX($B:$B, (ROW()-4)),'Relacion '!$E$5:$E$493,0),0))</f>
        <v>46099</v>
      </c>
      <c r="G564" s="240" cm="1">
        <f t="array" ref="G564">MAX(INDEX('Relacion '!$AD$5:$AE$493,MATCH(INDEX($B:$B, (ROW()-4)),'Relacion '!$E$5:$E$493,0),0))</f>
        <v>46113</v>
      </c>
      <c r="H564" s="241" t="e" cm="1">
        <f t="array" ref="H564">IF(
 MATCH(B564,{"01. ASIGNACION AREA";"02. MAPEO";"03. DESARROLLO";"04. VALIDA US";"05. VOBO US";"06. BW-EJECUCION";"07. VALIDACIÓN BAJAWARE";"08. CERRADA"},0)
 &lt;
 MATCH(_xlfn.XLOOKUP(INDEX($B:$B, (ROW()-4)),'Relacion '!$E:$E,'Relacion '!$D:$D,""),{"01. ASIGNACION AREA";"02. MAPEO";"03. DESARROLLO";"04. VALIDA US";"05. VOBO US";"06. BW-EJECUCION";"07. VALIDACIÓN BAJAWARE";"08. CERRADA"},0),
 1,
 IF(
  MATCH(B564,{"01. ASIGNACION AREA";"02. MAPEO";"03. DESARROLLO";"04. VALIDA US";"05. VOBO US";"06. BW-EJECUCION";"07. VALIDACIÓN BAJAWARE";"08. CERRADA"},0)
  =
  MATCH(_xlfn.XLOOKUP(INDEX($B:$B, (ROW()-4)),'Relacion '!$E:$E,'Relacion '!$D:$D,""),{"01. ASIGNACION AREA";"02. MAPEO";"03. DESARROLLO";"04. VALIDA US";"05. VOBO US";"06. BW-EJECUCION";"07. VALIDACIÓN BAJAWARE";"08. CERRADA"},0),
  _xlfn.XLOOKUP(INDEX($B:$B, (ROW()-4)),'Relacion '!$E:$E,'Relacion '!#REF!,0),
  0
 )
)</f>
        <v>#REF!</v>
      </c>
      <c r="I564" s="241">
        <f t="shared" ca="1" si="123"/>
        <v>1</v>
      </c>
      <c r="J564" s="241"/>
      <c r="K564" s="241"/>
      <c r="L564" s="238"/>
    </row>
    <row r="565" spans="2:12" outlineLevel="1">
      <c r="B565" s="237" t="s">
        <v>320</v>
      </c>
      <c r="C565" s="237" t="s">
        <v>320</v>
      </c>
      <c r="D565" s="238" t="str">
        <f>_xlfn.XLOOKUP(B565,'Relacion '!$E:$E,'Relacion '!$D:$D,"")</f>
        <v/>
      </c>
      <c r="E565" s="239">
        <f t="shared" si="121"/>
        <v>5</v>
      </c>
      <c r="F565" s="240" cm="1">
        <f t="array" ref="F565">MIN(INDEX('Relacion '!$AF$5:$AG$493,MATCH(INDEX($B:$B, (ROW()-5)),'Relacion '!$E$5:$E$493,0),0))</f>
        <v>46113</v>
      </c>
      <c r="G565" s="240" cm="1">
        <f t="array" ref="G565">MAX(INDEX('Relacion '!$AF$5:$AG$493,MATCH(INDEX($B:$B, (ROW()-5)),'Relacion '!$E$5:$E$493,0),0))</f>
        <v>46118</v>
      </c>
      <c r="H565" s="241" cm="1">
        <f t="array" ref="H565">IF(
 MATCH(B565,{"01. ASIGNACION AREA";"02. MAPEO";"03. DESARROLLO";"04. VALIDA US";"05. VOBO US";"06. BW-EJECUCION";"07. VALIDACIÓN BAJAWARE";"08. CERRADA"},0)
 &lt;
 MATCH(_xlfn.XLOOKUP(INDEX($B:$B, (ROW()-5)),'Relacion '!$E:$E,'Relacion '!$D:$D,""),{"01. ASIGNACION AREA";"02. MAPEO";"03. DESARROLLO";"04. VALIDA US";"05. VOBO US";"06. BW-EJECUCION";"07. VALIDACIÓN BAJAWARE";"08. CERRADA"},0),
 1,
 IF(
  MATCH(B565,{"01. ASIGNACION AREA";"02. MAPEO";"03. DESARROLLO";"04. VALIDA US";"05. VOBO US";"06. BW-EJECUCION";"07. VALIDACIÓN BAJAWARE";"08. CERRADA"},0)
  =
  MATCH(_xlfn.XLOOKUP(INDEX($B:$B, (ROW()-5)),'Relacion '!$E:$E,'Relacion '!$D:$D,""),{"01. ASIGNACION AREA";"02. MAPEO";"03. DESARROLLO";"04. VALIDA US";"05. VOBO US";"06. BW-EJECUCION";"07. VALIDACIÓN BAJAWARE";"08. CERRADA"},0),
  _xlfn.XLOOKUP(INDEX($B:$B, (ROW()-5)),'Relacion '!$E:$E,'Relacion '!#REF!,0),
  0
 )
)</f>
        <v>0</v>
      </c>
      <c r="I565" s="241">
        <f t="shared" ca="1" si="123"/>
        <v>1</v>
      </c>
      <c r="J565" s="241"/>
      <c r="K565" s="241"/>
      <c r="L565" s="238"/>
    </row>
    <row r="566" spans="2:12" outlineLevel="1">
      <c r="B566" s="237" t="s">
        <v>710</v>
      </c>
      <c r="C566" s="237" t="s">
        <v>710</v>
      </c>
      <c r="D566" s="238" t="str">
        <f>_xlfn.XLOOKUP(B566,'Relacion '!$E:$E,'Relacion '!$D:$D,"")</f>
        <v/>
      </c>
      <c r="E566" s="239">
        <f t="shared" si="121"/>
        <v>2</v>
      </c>
      <c r="F566" s="240" cm="1">
        <f t="array" ref="F566">MIN(INDEX('Relacion '!$AH$5:$AI$493,MATCH(INDEX($B:$B, (ROW()-6)),'Relacion '!$E$5:$E$493,0),0))</f>
        <v>46119</v>
      </c>
      <c r="G566" s="240" cm="1">
        <f t="array" ref="G566">MAX(INDEX('Relacion '!$AH$5:$AI$493,MATCH(INDEX($B:$B, (ROW()-6)),'Relacion '!$E$5:$E$493,0),0))</f>
        <v>46121</v>
      </c>
      <c r="H566" s="241" cm="1">
        <f t="array" ref="H566">IF(
 MATCH(B566,{"01. ASIGNACION AREA";"02. MAPEO";"03. DESARROLLO";"04. VALIDA US";"05. VOBO US";"06. BW-EJECUCION";"07. VALIDACIÓN BAJAWARE";"08. CERRADA"},0)
 &lt;
 MATCH(_xlfn.XLOOKUP(INDEX($B:$B, (ROW()-6)),'Relacion '!$E:$E,'Relacion '!$D:$D,""),{"01. ASIGNACION AREA";"02. MAPEO";"03. DESARROLLO";"04. VALIDA US";"05. VOBO US";"06. BW-EJECUCION";"07. VALIDACIÓN BAJAWARE";"08. CERRADA"},0),
 1,
 IF(
  MATCH(B566,{"01. ASIGNACION AREA";"02. MAPEO";"03. DESARROLLO";"04. VALIDA US";"05. VOBO US";"06. BW-EJECUCION";"07. VALIDACIÓN BAJAWARE";"08. CERRADA"},0)
  =
  MATCH(_xlfn.XLOOKUP(INDEX($B:$B, (ROW()-6)),'Relacion '!$E:$E,'Relacion '!$D:$D,""),{"01. ASIGNACION AREA";"02. MAPEO";"03. DESARROLLO";"04. VALIDA US";"05. VOBO US";"06. BW-EJECUCION";"07. VALIDACIÓN BAJAWARE";"08. CERRADA"},0),
  _xlfn.XLOOKUP(INDEX($B:$B, (ROW()-6)),'Relacion '!$E:$E,'Relacion '!#REF!,0),
  0
 )
)</f>
        <v>0</v>
      </c>
      <c r="I566" s="241">
        <f t="shared" ca="1" si="123"/>
        <v>1</v>
      </c>
      <c r="J566" s="241"/>
      <c r="K566" s="241"/>
      <c r="L566" s="238"/>
    </row>
    <row r="567" spans="2:12" outlineLevel="1">
      <c r="B567" s="237" t="s">
        <v>655</v>
      </c>
      <c r="C567" s="237" t="s">
        <v>655</v>
      </c>
      <c r="D567" s="238" t="str">
        <f>_xlfn.XLOOKUP(B567,'Relacion '!$E:$E,'Relacion '!$D:$D,"")</f>
        <v/>
      </c>
      <c r="E567" s="239">
        <f t="shared" si="121"/>
        <v>14</v>
      </c>
      <c r="F567" s="240" cm="1">
        <f t="array" ref="F567">MIN(INDEX('Relacion '!$AJ$5:$AK$493,MATCH(INDEX($B:$B, (ROW()-7)),'Relacion '!$E$5:$E$493,0),0))</f>
        <v>46122</v>
      </c>
      <c r="G567" s="240" cm="1">
        <f t="array" ref="G567">MAX(INDEX('Relacion '!$AJ$5:$AK$493,MATCH(INDEX($B:$B, (ROW()-7)),'Relacion '!$E$5:$E$493,0),0))</f>
        <v>46136</v>
      </c>
      <c r="H567" s="241" cm="1">
        <f t="array" ref="H567">IF(
 MATCH(B567,{"01. ASIGNACION AREA";"02. MAPEO";"03. DESARROLLO";"04. VALIDA US";"05. VOBO US";"06. BW-EJECUCION";"07. VALIDACIÓN BAJAWARE";"08. CERRADA"},0)
 &lt;
 MATCH(_xlfn.XLOOKUP(INDEX($B:$B, (ROW()-7)),'Relacion '!$E:$E,'Relacion '!$D:$D,""),{"01. ASIGNACION AREA";"02. MAPEO";"03. DESARROLLO";"04. VALIDA US";"05. VOBO US";"06. BW-EJECUCION";"07. VALIDACIÓN BAJAWARE";"08. CERRADA"},0),
 1,
 IF(
  MATCH(B567,{"01. ASIGNACION AREA";"02. MAPEO";"03. DESARROLLO";"04. VALIDA US";"05. VOBO US";"06. BW-EJECUCION";"07. VALIDACIÓN BAJAWARE";"08. CERRADA"},0)
  =
  MATCH(_xlfn.XLOOKUP(INDEX($B:$B, (ROW()-7)),'Relacion '!$E:$E,'Relacion '!$D:$D,""),{"01. ASIGNACION AREA";"02. MAPEO";"03. DESARROLLO";"04. VALIDA US";"05. VOBO US";"06. BW-EJECUCION";"07. VALIDACIÓN BAJAWARE";"08. CERRADA"},0),
  _xlfn.XLOOKUP(INDEX($B:$B, (ROW()-7)),'Relacion '!$E:$E,'Relacion '!#REF!,0),
  0
 )
)</f>
        <v>0</v>
      </c>
      <c r="I567" s="241">
        <f t="shared" ca="1" si="123"/>
        <v>1</v>
      </c>
      <c r="J567" s="241"/>
      <c r="K567" s="241"/>
      <c r="L567" s="238"/>
    </row>
    <row r="568" spans="2:12" outlineLevel="1">
      <c r="B568" s="237" t="s">
        <v>656</v>
      </c>
      <c r="C568" s="237" t="s">
        <v>656</v>
      </c>
      <c r="D568" s="238" t="str">
        <f>_xlfn.XLOOKUP(B568,'Relacion '!$E:$E,'Relacion '!$D:$D,"")</f>
        <v/>
      </c>
      <c r="E568" s="239">
        <f t="shared" si="121"/>
        <v>0</v>
      </c>
      <c r="F568" s="240" cm="1">
        <f t="array" ref="F568">MIN(INDEX('Relacion '!$AL$5:$AM$493,MATCH(INDEX($B:$B, (ROW()-8)),'Relacion '!$E$5:$E$493,0),0))</f>
        <v>46137</v>
      </c>
      <c r="G568" s="240" cm="1">
        <f t="array" ref="G568">MAX(INDEX('Relacion '!$AL$5:$AM$493,MATCH(INDEX($B:$B, (ROW()-8)),'Relacion '!$E$5:$E$493,0),0))</f>
        <v>46137</v>
      </c>
      <c r="H568" s="241" cm="1">
        <f t="array" ref="H568">IF(
 MATCH(B568,{"01. ASIGNACION AREA";"02. MAPEO";"03. DESARROLLO";"04. VALIDA US";"05. VOBO US";"06. BW-EJECUCION";"07. VALIDACIÓN BAJAWARE";"08. CERRADA"},0)
 &lt;
 MATCH(_xlfn.XLOOKUP(INDEX($B:$B, (ROW()-8)),'Relacion '!$E:$E,'Relacion '!$D:$D,""),{"01. ASIGNACION AREA";"02. MAPEO";"03. DESARROLLO";"04. VALIDA US";"05. VOBO US";"06. BW-EJECUCION";"07. VALIDACIÓN BAJAWARE";"08. CERRADA"},0),
 1,
 IF(
  MATCH(B568,{"01. ASIGNACION AREA";"02. MAPEO";"03. DESARROLLO";"04. VALIDA US";"05. VOBO US";"06. BW-EJECUCION";"07. VALIDACIÓN BAJAWARE";"08. CERRADA"},0)
  =
  MATCH(_xlfn.XLOOKUP(INDEX($B:$B, (ROW()-8)),'Relacion '!$E:$E,'Relacion '!$D:$D,""),{"01. ASIGNACION AREA";"02. MAPEO";"03. DESARROLLO";"04. VALIDA US";"05. VOBO US";"06. BW-EJECUCION";"07. VALIDACIÓN BAJAWARE";"08. CERRADA"},0),
  _xlfn.XLOOKUP(INDEX($B:$B, (ROW()-8)),'Relacion '!$E:$E,'Relacion '!#REF!,0),
  0
 )
)</f>
        <v>0</v>
      </c>
      <c r="I568" s="241">
        <f t="shared" ca="1" si="123"/>
        <v>1</v>
      </c>
      <c r="J568" s="241"/>
      <c r="K568" s="241"/>
      <c r="L568" s="238"/>
    </row>
    <row r="569" spans="2:12">
      <c r="B569" s="232" t="s">
        <v>492</v>
      </c>
      <c r="C569" s="174" t="s">
        <v>63</v>
      </c>
      <c r="D569" s="236" t="str">
        <f>_xlfn.XLOOKUP(B569,'Relacion '!$E:$E,'Relacion '!$D:$D,"")</f>
        <v>08. CERRADA</v>
      </c>
      <c r="E569" s="233">
        <f t="shared" si="121"/>
        <v>450</v>
      </c>
      <c r="F569" s="234" cm="1">
        <f t="array" ref="F569">MIN(INDEX('Relacion '!$X$5:$AM$493,MATCH(INDEX($B:$B, (ROW()-0)),'Relacion '!$E$5:$E$493,0),0))</f>
        <v>45659</v>
      </c>
      <c r="G569" s="234" cm="1">
        <f t="array" ref="G569">MAX(INDEX('Relacion '!$X$5:$AM$493,MATCH(INDEX($B:$B, (ROW()-0)),'Relacion '!$E$5:$E$493,0),0))</f>
        <v>46109</v>
      </c>
      <c r="H569" s="235" t="e">
        <f>AVERAGE(H570:H577)</f>
        <v>#REF!</v>
      </c>
      <c r="I569" s="235">
        <f t="shared" ref="I569" ca="1" si="134">AVERAGE(I570:I577)</f>
        <v>1</v>
      </c>
      <c r="J569" s="236" t="str">
        <f>IF(ISNUMBER(SEARCH("Rocha", _xlfn.XLOOKUP(B569,'Relacion '!$E:$E,'Relacion '!$I:$I,""))), "Sí", "No")</f>
        <v>No</v>
      </c>
      <c r="K569" s="236" t="str">
        <f>IF(ISNUMBER(SEARCH("Rocha", _xlfn.XLOOKUP(B569,'Relacion '!$E:$E,'Relacion '!$I:$I,""))), "RMC", _xlfn.XLOOKUP(B569,'Relacion '!$E:$E,'Relacion '!$B:$B,""))</f>
        <v>Operaciones Credito</v>
      </c>
      <c r="L569" s="236" t="str">
        <f>_xlfn.XLOOKUP(B569,'Relacion '!$E:$E,'Relacion '!$C:$C,"")</f>
        <v>Luis Alberto</v>
      </c>
    </row>
    <row r="570" spans="2:12" outlineLevel="1">
      <c r="B570" s="237" t="s">
        <v>654</v>
      </c>
      <c r="C570" s="237" t="s">
        <v>654</v>
      </c>
      <c r="D570" s="238" t="str">
        <f>_xlfn.XLOOKUP(B570,'Relacion '!$E:$E,'Relacion '!$D:$D,"")</f>
        <v/>
      </c>
      <c r="E570" s="239">
        <f t="shared" si="121"/>
        <v>424</v>
      </c>
      <c r="F570" s="240" cm="1">
        <f t="array" ref="F570">MIN(INDEX('Relacion '!$X$5:$Y$493,MATCH(INDEX($B:$B, (ROW()-1)),'Relacion '!$E$5:$E$493,0),0))</f>
        <v>45659</v>
      </c>
      <c r="G570" s="240" cm="1">
        <f t="array" ref="G570">MAX(INDEX('Relacion '!$X$5:$Y$493,MATCH(INDEX($B:$B, (ROW()-1)),'Relacion '!$E$5:$E$493,0),0))</f>
        <v>46083</v>
      </c>
      <c r="H570" s="241" cm="1">
        <f t="array" ref="H570">IF(
 MATCH(B570,{"01. ASIGNACION AREA";"02. MAPEO";"03. DESARROLLO";"04. VALIDA US";"05. VOBO US";"06. BW-EJECUCION";"07. VALIDACIÓN BAJAWARE";"08. CERRADA"},0)
 &lt;
 MATCH(_xlfn.XLOOKUP(INDEX($B:$B, (ROW()-1)),'Relacion '!$E:$E,'Relacion '!$D:$D,""),{"01. ASIGNACION AREA";"02. MAPEO";"03. DESARROLLO";"04. VALIDA US";"05. VOBO US";"06. BW-EJECUCION";"07. VALIDACIÓN BAJAWARE";"08. CERRADA"},0),
 1,
 IF(
  MATCH(B570,{"01. ASIGNACION AREA";"02. MAPEO";"03. DESARROLLO";"04. VALIDA US";"05. VOBO US";"06. BW-EJECUCION";"07. VALIDACIÓN BAJAWARE";"08. CERRADA"},0)
  =
  MATCH(_xlfn.XLOOKUP(INDEX($B:$B, (ROW()-1)),'Relacion '!$E:$E,'Relacion '!$D:$D,""),{"01. ASIGNACION AREA";"02. MAPEO";"03. DESARROLLO";"04. VALIDA US";"05. VOBO US";"06. BW-EJECUCION";"07. VALIDACIÓN BAJAWARE";"08. CERRADA"},0),
  _xlfn.XLOOKUP(INDEX($B:$B, (ROW()-1)),'Relacion '!$E:$E,'Relacion '!#REF!,0),
  0
 )
)</f>
        <v>1</v>
      </c>
      <c r="I570" s="241">
        <f t="shared" ref="I570" ca="1" si="135">IF(G570&lt;=TODAY(), 1, 0)</f>
        <v>1</v>
      </c>
      <c r="J570" s="241"/>
      <c r="K570" s="241"/>
      <c r="L570" s="238"/>
    </row>
    <row r="571" spans="2:12" outlineLevel="1">
      <c r="B571" s="237" t="s">
        <v>195</v>
      </c>
      <c r="C571" s="237" t="s">
        <v>195</v>
      </c>
      <c r="D571" s="238" t="str">
        <f>_xlfn.XLOOKUP(B571,'Relacion '!$E:$E,'Relacion '!$D:$D,"")</f>
        <v/>
      </c>
      <c r="E571" s="239">
        <f t="shared" si="121"/>
        <v>0</v>
      </c>
      <c r="F571" s="240" cm="1">
        <f t="array" ref="F571">MIN(INDEX('Relacion '!$Z$5:$AA$493,MATCH(INDEX($B:$B, (ROW()-2)),'Relacion '!$E$5:$E$493,0),0))</f>
        <v>46108</v>
      </c>
      <c r="G571" s="240" cm="1">
        <f t="array" ref="G571">MAX(INDEX('Relacion '!$Z$5:$AA$493,MATCH(INDEX($B:$B, (ROW()-2)),'Relacion '!$E$5:$E$493,0),0))</f>
        <v>46108</v>
      </c>
      <c r="H571" s="241" cm="1">
        <f t="array" ref="H571">IF(
 MATCH(B571,{"01. ASIGNACION AREA";"02. MAPEO";"03. DESARROLLO";"04. VALIDA US";"05. VOBO US";"06. BW-EJECUCION";"07. VALIDACIÓN BAJAWARE";"08. CERRADA"},0)
 &lt;
 MATCH(_xlfn.XLOOKUP(INDEX($B:$B, (ROW()-2)),'Relacion '!$E:$E,'Relacion '!$D:$D,""),{"01. ASIGNACION AREA";"02. MAPEO";"03. DESARROLLO";"04. VALIDA US";"05. VOBO US";"06. BW-EJECUCION";"07. VALIDACIÓN BAJAWARE";"08. CERRADA"},0),
 1,
 IF(
  MATCH(B571,{"01. ASIGNACION AREA";"02. MAPEO";"03. DESARROLLO";"04. VALIDA US";"05. VOBO US";"06. BW-EJECUCION";"07. VALIDACIÓN BAJAWARE";"08. CERRADA"},0)
  =
  MATCH(_xlfn.XLOOKUP(INDEX($B:$B, (ROW()-2)),'Relacion '!$E:$E,'Relacion '!$D:$D,""),{"01. ASIGNACION AREA";"02. MAPEO";"03. DESARROLLO";"04. VALIDA US";"05. VOBO US";"06. BW-EJECUCION";"07. VALIDACIÓN BAJAWARE";"08. CERRADA"},0),
  _xlfn.XLOOKUP(INDEX($B:$B, (ROW()-2)),'Relacion '!$E:$E,'Relacion '!#REF!,0),
  0
 )
)</f>
        <v>1</v>
      </c>
      <c r="I571" s="241">
        <f t="shared" ca="1" si="123"/>
        <v>1</v>
      </c>
      <c r="J571" s="241"/>
      <c r="K571" s="241"/>
      <c r="L571" s="238"/>
    </row>
    <row r="572" spans="2:12" outlineLevel="1">
      <c r="B572" s="237" t="s">
        <v>49</v>
      </c>
      <c r="C572" s="237" t="s">
        <v>49</v>
      </c>
      <c r="D572" s="238" t="str">
        <f>_xlfn.XLOOKUP(B572,'Relacion '!$E:$E,'Relacion '!$D:$D,"")</f>
        <v/>
      </c>
      <c r="E572" s="239">
        <f t="shared" si="121"/>
        <v>0</v>
      </c>
      <c r="F572" s="240" cm="1">
        <f t="array" ref="F572">MIN(INDEX('Relacion '!$AB$5:$AC$493,MATCH(INDEX($B:$B, (ROW()-3)),'Relacion '!$E$5:$E$493,0),0))</f>
        <v>46108</v>
      </c>
      <c r="G572" s="240" cm="1">
        <f t="array" ref="G572">MAX(INDEX('Relacion '!$AB$5:$AC$493,MATCH(INDEX($B:$B, (ROW()-3)),'Relacion '!$E$5:$E$493,0),0))</f>
        <v>46108</v>
      </c>
      <c r="H572" s="241" cm="1">
        <f t="array" ref="H572">IF(
 MATCH(B572,{"01. ASIGNACION AREA";"02. MAPEO";"03. DESARROLLO";"04. VALIDA US";"05. VOBO US";"06. BW-EJECUCION";"07. VALIDACIÓN BAJAWARE";"08. CERRADA"},0)
 &lt;
 MATCH(_xlfn.XLOOKUP(INDEX($B:$B, (ROW()-3)),'Relacion '!$E:$E,'Relacion '!$D:$D,""),{"01. ASIGNACION AREA";"02. MAPEO";"03. DESARROLLO";"04. VALIDA US";"05. VOBO US";"06. BW-EJECUCION";"07. VALIDACIÓN BAJAWARE";"08. CERRADA"},0),
 1,
 IF(
  MATCH(B572,{"01. ASIGNACION AREA";"02. MAPEO";"03. DESARROLLO";"04. VALIDA US";"05. VOBO US";"06. BW-EJECUCION";"07. VALIDACIÓN BAJAWARE";"08. CERRADA"},0)
  =
  MATCH(_xlfn.XLOOKUP(INDEX($B:$B, (ROW()-3)),'Relacion '!$E:$E,'Relacion '!$D:$D,""),{"01. ASIGNACION AREA";"02. MAPEO";"03. DESARROLLO";"04. VALIDA US";"05. VOBO US";"06. BW-EJECUCION";"07. VALIDACIÓN BAJAWARE";"08. CERRADA"},0),
  _xlfn.XLOOKUP(INDEX($B:$B, (ROW()-3)),'Relacion '!$E:$E,'Relacion '!#REF!,0),
  0
 )
)</f>
        <v>1</v>
      </c>
      <c r="I572" s="241">
        <f t="shared" ca="1" si="123"/>
        <v>1</v>
      </c>
      <c r="J572" s="241"/>
      <c r="K572" s="241"/>
      <c r="L572" s="238"/>
    </row>
    <row r="573" spans="2:12" outlineLevel="1">
      <c r="B573" s="237" t="s">
        <v>324</v>
      </c>
      <c r="C573" s="237" t="s">
        <v>324</v>
      </c>
      <c r="D573" s="238" t="str">
        <f>_xlfn.XLOOKUP(B573,'Relacion '!$E:$E,'Relacion '!$D:$D,"")</f>
        <v/>
      </c>
      <c r="E573" s="239">
        <f t="shared" si="121"/>
        <v>0</v>
      </c>
      <c r="F573" s="240" cm="1">
        <f t="array" ref="F573">MIN(INDEX('Relacion '!$AD$5:$AE$493,MATCH(INDEX($B:$B, (ROW()-4)),'Relacion '!$E$5:$E$493,0),0))</f>
        <v>46108</v>
      </c>
      <c r="G573" s="240" cm="1">
        <f t="array" ref="G573">MAX(INDEX('Relacion '!$AD$5:$AE$493,MATCH(INDEX($B:$B, (ROW()-4)),'Relacion '!$E$5:$E$493,0),0))</f>
        <v>46108</v>
      </c>
      <c r="H573" s="241" cm="1">
        <f t="array" ref="H573">IF(
 MATCH(B573,{"01. ASIGNACION AREA";"02. MAPEO";"03. DESARROLLO";"04. VALIDA US";"05. VOBO US";"06. BW-EJECUCION";"07. VALIDACIÓN BAJAWARE";"08. CERRADA"},0)
 &lt;
 MATCH(_xlfn.XLOOKUP(INDEX($B:$B, (ROW()-4)),'Relacion '!$E:$E,'Relacion '!$D:$D,""),{"01. ASIGNACION AREA";"02. MAPEO";"03. DESARROLLO";"04. VALIDA US";"05. VOBO US";"06. BW-EJECUCION";"07. VALIDACIÓN BAJAWARE";"08. CERRADA"},0),
 1,
 IF(
  MATCH(B573,{"01. ASIGNACION AREA";"02. MAPEO";"03. DESARROLLO";"04. VALIDA US";"05. VOBO US";"06. BW-EJECUCION";"07. VALIDACIÓN BAJAWARE";"08. CERRADA"},0)
  =
  MATCH(_xlfn.XLOOKUP(INDEX($B:$B, (ROW()-4)),'Relacion '!$E:$E,'Relacion '!$D:$D,""),{"01. ASIGNACION AREA";"02. MAPEO";"03. DESARROLLO";"04. VALIDA US";"05. VOBO US";"06. BW-EJECUCION";"07. VALIDACIÓN BAJAWARE";"08. CERRADA"},0),
  _xlfn.XLOOKUP(INDEX($B:$B, (ROW()-4)),'Relacion '!$E:$E,'Relacion '!#REF!,0),
  0
 )
)</f>
        <v>1</v>
      </c>
      <c r="I573" s="241">
        <f t="shared" ca="1" si="123"/>
        <v>1</v>
      </c>
      <c r="J573" s="241"/>
      <c r="K573" s="241"/>
      <c r="L573" s="238"/>
    </row>
    <row r="574" spans="2:12" outlineLevel="1">
      <c r="B574" s="237" t="s">
        <v>320</v>
      </c>
      <c r="C574" s="237" t="s">
        <v>320</v>
      </c>
      <c r="D574" s="238" t="str">
        <f>_xlfn.XLOOKUP(B574,'Relacion '!$E:$E,'Relacion '!$D:$D,"")</f>
        <v/>
      </c>
      <c r="E574" s="239">
        <f t="shared" si="121"/>
        <v>0</v>
      </c>
      <c r="F574" s="240" cm="1">
        <f t="array" ref="F574">MIN(INDEX('Relacion '!$AF$5:$AG$493,MATCH(INDEX($B:$B, (ROW()-5)),'Relacion '!$E$5:$E$493,0),0))</f>
        <v>46108</v>
      </c>
      <c r="G574" s="240" cm="1">
        <f t="array" ref="G574">MAX(INDEX('Relacion '!$AF$5:$AG$493,MATCH(INDEX($B:$B, (ROW()-5)),'Relacion '!$E$5:$E$493,0),0))</f>
        <v>46108</v>
      </c>
      <c r="H574" s="241" cm="1">
        <f t="array" ref="H574">IF(
 MATCH(B574,{"01. ASIGNACION AREA";"02. MAPEO";"03. DESARROLLO";"04. VALIDA US";"05. VOBO US";"06. BW-EJECUCION";"07. VALIDACIÓN BAJAWARE";"08. CERRADA"},0)
 &lt;
 MATCH(_xlfn.XLOOKUP(INDEX($B:$B, (ROW()-5)),'Relacion '!$E:$E,'Relacion '!$D:$D,""),{"01. ASIGNACION AREA";"02. MAPEO";"03. DESARROLLO";"04. VALIDA US";"05. VOBO US";"06. BW-EJECUCION";"07. VALIDACIÓN BAJAWARE";"08. CERRADA"},0),
 1,
 IF(
  MATCH(B574,{"01. ASIGNACION AREA";"02. MAPEO";"03. DESARROLLO";"04. VALIDA US";"05. VOBO US";"06. BW-EJECUCION";"07. VALIDACIÓN BAJAWARE";"08. CERRADA"},0)
  =
  MATCH(_xlfn.XLOOKUP(INDEX($B:$B, (ROW()-5)),'Relacion '!$E:$E,'Relacion '!$D:$D,""),{"01. ASIGNACION AREA";"02. MAPEO";"03. DESARROLLO";"04. VALIDA US";"05. VOBO US";"06. BW-EJECUCION";"07. VALIDACIÓN BAJAWARE";"08. CERRADA"},0),
  _xlfn.XLOOKUP(INDEX($B:$B, (ROW()-5)),'Relacion '!$E:$E,'Relacion '!#REF!,0),
  0
 )
)</f>
        <v>1</v>
      </c>
      <c r="I574" s="241">
        <f t="shared" ca="1" si="123"/>
        <v>1</v>
      </c>
      <c r="J574" s="241"/>
      <c r="K574" s="241"/>
      <c r="L574" s="238"/>
    </row>
    <row r="575" spans="2:12" outlineLevel="1">
      <c r="B575" s="237" t="s">
        <v>710</v>
      </c>
      <c r="C575" s="237" t="s">
        <v>710</v>
      </c>
      <c r="D575" s="238" t="str">
        <f>_xlfn.XLOOKUP(B575,'Relacion '!$E:$E,'Relacion '!$D:$D,"")</f>
        <v/>
      </c>
      <c r="E575" s="239">
        <f t="shared" si="121"/>
        <v>0</v>
      </c>
      <c r="F575" s="240" cm="1">
        <f t="array" ref="F575">MIN(INDEX('Relacion '!$AH$5:$AI$493,MATCH(INDEX($B:$B, (ROW()-6)),'Relacion '!$E$5:$E$493,0),0))</f>
        <v>46108</v>
      </c>
      <c r="G575" s="240" cm="1">
        <f t="array" ref="G575">MAX(INDEX('Relacion '!$AH$5:$AI$493,MATCH(INDEX($B:$B, (ROW()-6)),'Relacion '!$E$5:$E$493,0),0))</f>
        <v>46108</v>
      </c>
      <c r="H575" s="241" cm="1">
        <f t="array" ref="H575">IF(
 MATCH(B575,{"01. ASIGNACION AREA";"02. MAPEO";"03. DESARROLLO";"04. VALIDA US";"05. VOBO US";"06. BW-EJECUCION";"07. VALIDACIÓN BAJAWARE";"08. CERRADA"},0)
 &lt;
 MATCH(_xlfn.XLOOKUP(INDEX($B:$B, (ROW()-6)),'Relacion '!$E:$E,'Relacion '!$D:$D,""),{"01. ASIGNACION AREA";"02. MAPEO";"03. DESARROLLO";"04. VALIDA US";"05. VOBO US";"06. BW-EJECUCION";"07. VALIDACIÓN BAJAWARE";"08. CERRADA"},0),
 1,
 IF(
  MATCH(B575,{"01. ASIGNACION AREA";"02. MAPEO";"03. DESARROLLO";"04. VALIDA US";"05. VOBO US";"06. BW-EJECUCION";"07. VALIDACIÓN BAJAWARE";"08. CERRADA"},0)
  =
  MATCH(_xlfn.XLOOKUP(INDEX($B:$B, (ROW()-6)),'Relacion '!$E:$E,'Relacion '!$D:$D,""),{"01. ASIGNACION AREA";"02. MAPEO";"03. DESARROLLO";"04. VALIDA US";"05. VOBO US";"06. BW-EJECUCION";"07. VALIDACIÓN BAJAWARE";"08. CERRADA"},0),
  _xlfn.XLOOKUP(INDEX($B:$B, (ROW()-6)),'Relacion '!$E:$E,'Relacion '!#REF!,0),
  0
 )
)</f>
        <v>1</v>
      </c>
      <c r="I575" s="241">
        <f t="shared" ca="1" si="123"/>
        <v>1</v>
      </c>
      <c r="J575" s="241"/>
      <c r="K575" s="241"/>
      <c r="L575" s="238"/>
    </row>
    <row r="576" spans="2:12" outlineLevel="1">
      <c r="B576" s="237" t="s">
        <v>655</v>
      </c>
      <c r="C576" s="237" t="s">
        <v>655</v>
      </c>
      <c r="D576" s="238" t="str">
        <f>_xlfn.XLOOKUP(B576,'Relacion '!$E:$E,'Relacion '!$D:$D,"")</f>
        <v/>
      </c>
      <c r="E576" s="239">
        <f t="shared" si="121"/>
        <v>0</v>
      </c>
      <c r="F576" s="240" cm="1">
        <f t="array" ref="F576">MIN(INDEX('Relacion '!$AJ$5:$AK$493,MATCH(INDEX($B:$B, (ROW()-7)),'Relacion '!$E$5:$E$493,0),0))</f>
        <v>46108</v>
      </c>
      <c r="G576" s="240" cm="1">
        <f t="array" ref="G576">MAX(INDEX('Relacion '!$AJ$5:$AK$493,MATCH(INDEX($B:$B, (ROW()-7)),'Relacion '!$E$5:$E$493,0),0))</f>
        <v>46108</v>
      </c>
      <c r="H576" s="241" cm="1">
        <f t="array" ref="H576">IF(
 MATCH(B576,{"01. ASIGNACION AREA";"02. MAPEO";"03. DESARROLLO";"04. VALIDA US";"05. VOBO US";"06. BW-EJECUCION";"07. VALIDACIÓN BAJAWARE";"08. CERRADA"},0)
 &lt;
 MATCH(_xlfn.XLOOKUP(INDEX($B:$B, (ROW()-7)),'Relacion '!$E:$E,'Relacion '!$D:$D,""),{"01. ASIGNACION AREA";"02. MAPEO";"03. DESARROLLO";"04. VALIDA US";"05. VOBO US";"06. BW-EJECUCION";"07. VALIDACIÓN BAJAWARE";"08. CERRADA"},0),
 1,
 IF(
  MATCH(B576,{"01. ASIGNACION AREA";"02. MAPEO";"03. DESARROLLO";"04. VALIDA US";"05. VOBO US";"06. BW-EJECUCION";"07. VALIDACIÓN BAJAWARE";"08. CERRADA"},0)
  =
  MATCH(_xlfn.XLOOKUP(INDEX($B:$B, (ROW()-7)),'Relacion '!$E:$E,'Relacion '!$D:$D,""),{"01. ASIGNACION AREA";"02. MAPEO";"03. DESARROLLO";"04. VALIDA US";"05. VOBO US";"06. BW-EJECUCION";"07. VALIDACIÓN BAJAWARE";"08. CERRADA"},0),
  _xlfn.XLOOKUP(INDEX($B:$B, (ROW()-7)),'Relacion '!$E:$E,'Relacion '!#REF!,0),
  0
 )
)</f>
        <v>1</v>
      </c>
      <c r="I576" s="241">
        <f t="shared" ca="1" si="123"/>
        <v>1</v>
      </c>
      <c r="J576" s="241"/>
      <c r="K576" s="241"/>
      <c r="L576" s="238"/>
    </row>
    <row r="577" spans="2:12" outlineLevel="1">
      <c r="B577" s="237" t="s">
        <v>656</v>
      </c>
      <c r="C577" s="237" t="s">
        <v>656</v>
      </c>
      <c r="D577" s="238" t="str">
        <f>_xlfn.XLOOKUP(B577,'Relacion '!$E:$E,'Relacion '!$D:$D,"")</f>
        <v/>
      </c>
      <c r="E577" s="239">
        <f t="shared" si="121"/>
        <v>0</v>
      </c>
      <c r="F577" s="240" cm="1">
        <f t="array" ref="F577">MIN(INDEX('Relacion '!$AL$5:$AM$493,MATCH(INDEX($B:$B, (ROW()-8)),'Relacion '!$E$5:$E$493,0),0))</f>
        <v>46109</v>
      </c>
      <c r="G577" s="240" cm="1">
        <f t="array" ref="G577">MAX(INDEX('Relacion '!$AL$5:$AM$493,MATCH(INDEX($B:$B, (ROW()-8)),'Relacion '!$E$5:$E$493,0),0))</f>
        <v>46109</v>
      </c>
      <c r="H577" s="241" t="e" cm="1">
        <f t="array" ref="H577">IF(
 MATCH(B577,{"01. ASIGNACION AREA";"02. MAPEO";"03. DESARROLLO";"04. VALIDA US";"05. VOBO US";"06. BW-EJECUCION";"07. VALIDACIÓN BAJAWARE";"08. CERRADA"},0)
 &lt;
 MATCH(_xlfn.XLOOKUP(INDEX($B:$B, (ROW()-8)),'Relacion '!$E:$E,'Relacion '!$D:$D,""),{"01. ASIGNACION AREA";"02. MAPEO";"03. DESARROLLO";"04. VALIDA US";"05. VOBO US";"06. BW-EJECUCION";"07. VALIDACIÓN BAJAWARE";"08. CERRADA"},0),
 1,
 IF(
  MATCH(B577,{"01. ASIGNACION AREA";"02. MAPEO";"03. DESARROLLO";"04. VALIDA US";"05. VOBO US";"06. BW-EJECUCION";"07. VALIDACIÓN BAJAWARE";"08. CERRADA"},0)
  =
  MATCH(_xlfn.XLOOKUP(INDEX($B:$B, (ROW()-8)),'Relacion '!$E:$E,'Relacion '!$D:$D,""),{"01. ASIGNACION AREA";"02. MAPEO";"03. DESARROLLO";"04. VALIDA US";"05. VOBO US";"06. BW-EJECUCION";"07. VALIDACIÓN BAJAWARE";"08. CERRADA"},0),
  _xlfn.XLOOKUP(INDEX($B:$B, (ROW()-8)),'Relacion '!$E:$E,'Relacion '!#REF!,0),
  0
 )
)</f>
        <v>#REF!</v>
      </c>
      <c r="I577" s="241">
        <f t="shared" ca="1" si="123"/>
        <v>1</v>
      </c>
      <c r="J577" s="241"/>
      <c r="K577" s="241"/>
      <c r="L577" s="238"/>
    </row>
    <row r="578" spans="2:12">
      <c r="B578" s="232" t="s">
        <v>111</v>
      </c>
      <c r="C578" s="137" t="s">
        <v>66</v>
      </c>
      <c r="D578" s="236" t="str">
        <f>_xlfn.XLOOKUP(B578,'Relacion '!$E:$E,'Relacion '!$D:$D,"")</f>
        <v>04. VALIDA US</v>
      </c>
      <c r="E578" s="233">
        <f t="shared" ref="E578:E641" si="136">IF(OR(F578="",G578=""),"",G578-F578)</f>
        <v>471</v>
      </c>
      <c r="F578" s="234" cm="1">
        <f t="array" ref="F578">MIN(INDEX('Relacion '!$X$5:$AM$493,MATCH(INDEX($B:$B, (ROW()-0)),'Relacion '!$E$5:$E$493,0),0))</f>
        <v>45659</v>
      </c>
      <c r="G578" s="234" cm="1">
        <f t="array" ref="G578">MAX(INDEX('Relacion '!$X$5:$AM$493,MATCH(INDEX($B:$B, (ROW()-0)),'Relacion '!$E$5:$E$493,0),0))</f>
        <v>46130</v>
      </c>
      <c r="H578" s="235" t="e">
        <f>AVERAGE(H579:H586)</f>
        <v>#REF!</v>
      </c>
      <c r="I578" s="235">
        <f t="shared" ref="I578" ca="1" si="137">AVERAGE(I579:I586)</f>
        <v>1</v>
      </c>
      <c r="J578" s="236" t="str">
        <f>IF(ISNUMBER(SEARCH("Rocha", _xlfn.XLOOKUP(B578,'Relacion '!$E:$E,'Relacion '!$I:$I,""))), "Sí", "No")</f>
        <v>No</v>
      </c>
      <c r="K578" s="236" t="str">
        <f>IF(ISNUMBER(SEARCH("Rocha", _xlfn.XLOOKUP(B578,'Relacion '!$E:$E,'Relacion '!$I:$I,""))), "RMC", _xlfn.XLOOKUP(B578,'Relacion '!$E:$E,'Relacion '!$B:$B,""))</f>
        <v>Operaciones Credito</v>
      </c>
      <c r="L578" s="236" t="str">
        <f>_xlfn.XLOOKUP(B578,'Relacion '!$E:$E,'Relacion '!$C:$C,"")</f>
        <v>Luis Alberto</v>
      </c>
    </row>
    <row r="579" spans="2:12" outlineLevel="1">
      <c r="B579" s="237" t="s">
        <v>654</v>
      </c>
      <c r="C579" s="237" t="s">
        <v>654</v>
      </c>
      <c r="D579" s="238" t="str">
        <f>_xlfn.XLOOKUP(B579,'Relacion '!$E:$E,'Relacion '!$D:$D,"")</f>
        <v/>
      </c>
      <c r="E579" s="239">
        <f t="shared" si="136"/>
        <v>379</v>
      </c>
      <c r="F579" s="240" cm="1">
        <f t="array" ref="F579">MIN(INDEX('Relacion '!$X$5:$Y$493,MATCH(INDEX($B:$B, (ROW()-1)),'Relacion '!$E$5:$E$493,0),0))</f>
        <v>45659</v>
      </c>
      <c r="G579" s="240" cm="1">
        <f t="array" ref="G579">MAX(INDEX('Relacion '!$X$5:$Y$493,MATCH(INDEX($B:$B, (ROW()-1)),'Relacion '!$E$5:$E$493,0),0))</f>
        <v>46038</v>
      </c>
      <c r="H579" s="241" cm="1">
        <f t="array" ref="H579">IF(
 MATCH(B579,{"01. ASIGNACION AREA";"02. MAPEO";"03. DESARROLLO";"04. VALIDA US";"05. VOBO US";"06. BW-EJECUCION";"07. VALIDACIÓN BAJAWARE";"08. CERRADA"},0)
 &lt;
 MATCH(_xlfn.XLOOKUP(INDEX($B:$B, (ROW()-1)),'Relacion '!$E:$E,'Relacion '!$D:$D,""),{"01. ASIGNACION AREA";"02. MAPEO";"03. DESARROLLO";"04. VALIDA US";"05. VOBO US";"06. BW-EJECUCION";"07. VALIDACIÓN BAJAWARE";"08. CERRADA"},0),
 1,
 IF(
  MATCH(B579,{"01. ASIGNACION AREA";"02. MAPEO";"03. DESARROLLO";"04. VALIDA US";"05. VOBO US";"06. BW-EJECUCION";"07. VALIDACIÓN BAJAWARE";"08. CERRADA"},0)
  =
  MATCH(_xlfn.XLOOKUP(INDEX($B:$B, (ROW()-1)),'Relacion '!$E:$E,'Relacion '!$D:$D,""),{"01. ASIGNACION AREA";"02. MAPEO";"03. DESARROLLO";"04. VALIDA US";"05. VOBO US";"06. BW-EJECUCION";"07. VALIDACIÓN BAJAWARE";"08. CERRADA"},0),
  _xlfn.XLOOKUP(INDEX($B:$B, (ROW()-1)),'Relacion '!$E:$E,'Relacion '!#REF!,0),
  0
 )
)</f>
        <v>1</v>
      </c>
      <c r="I579" s="241">
        <f t="shared" ref="I579:I640" ca="1" si="138">IF(G579&lt;=TODAY(), 1, 0)</f>
        <v>1</v>
      </c>
      <c r="J579" s="241"/>
      <c r="K579" s="241"/>
      <c r="L579" s="238"/>
    </row>
    <row r="580" spans="2:12" outlineLevel="1">
      <c r="B580" s="237" t="s">
        <v>195</v>
      </c>
      <c r="C580" s="237" t="s">
        <v>195</v>
      </c>
      <c r="D580" s="238" t="str">
        <f>_xlfn.XLOOKUP(B580,'Relacion '!$E:$E,'Relacion '!$D:$D,"")</f>
        <v/>
      </c>
      <c r="E580" s="239">
        <f t="shared" si="136"/>
        <v>18</v>
      </c>
      <c r="F580" s="240" cm="1">
        <f t="array" ref="F580">MIN(INDEX('Relacion '!$Z$5:$AA$493,MATCH(INDEX($B:$B, (ROW()-2)),'Relacion '!$E$5:$E$493,0),0))</f>
        <v>46041</v>
      </c>
      <c r="G580" s="240" cm="1">
        <f t="array" ref="G580">MAX(INDEX('Relacion '!$Z$5:$AA$493,MATCH(INDEX($B:$B, (ROW()-2)),'Relacion '!$E$5:$E$493,0),0))</f>
        <v>46059</v>
      </c>
      <c r="H580" s="241" cm="1">
        <f t="array" ref="H580">IF(
 MATCH(B580,{"01. ASIGNACION AREA";"02. MAPEO";"03. DESARROLLO";"04. VALIDA US";"05. VOBO US";"06. BW-EJECUCION";"07. VALIDACIÓN BAJAWARE";"08. CERRADA"},0)
 &lt;
 MATCH(_xlfn.XLOOKUP(INDEX($B:$B, (ROW()-2)),'Relacion '!$E:$E,'Relacion '!$D:$D,""),{"01. ASIGNACION AREA";"02. MAPEO";"03. DESARROLLO";"04. VALIDA US";"05. VOBO US";"06. BW-EJECUCION";"07. VALIDACIÓN BAJAWARE";"08. CERRADA"},0),
 1,
 IF(
  MATCH(B580,{"01. ASIGNACION AREA";"02. MAPEO";"03. DESARROLLO";"04. VALIDA US";"05. VOBO US";"06. BW-EJECUCION";"07. VALIDACIÓN BAJAWARE";"08. CERRADA"},0)
  =
  MATCH(_xlfn.XLOOKUP(INDEX($B:$B, (ROW()-2)),'Relacion '!$E:$E,'Relacion '!$D:$D,""),{"01. ASIGNACION AREA";"02. MAPEO";"03. DESARROLLO";"04. VALIDA US";"05. VOBO US";"06. BW-EJECUCION";"07. VALIDACIÓN BAJAWARE";"08. CERRADA"},0),
  _xlfn.XLOOKUP(INDEX($B:$B, (ROW()-2)),'Relacion '!$E:$E,'Relacion '!#REF!,0),
  0
 )
)</f>
        <v>1</v>
      </c>
      <c r="I580" s="241">
        <f t="shared" ca="1" si="138"/>
        <v>1</v>
      </c>
      <c r="J580" s="241"/>
      <c r="K580" s="241"/>
      <c r="L580" s="238"/>
    </row>
    <row r="581" spans="2:12" outlineLevel="1">
      <c r="B581" s="237" t="s">
        <v>49</v>
      </c>
      <c r="C581" s="237" t="s">
        <v>49</v>
      </c>
      <c r="D581" s="238" t="str">
        <f>_xlfn.XLOOKUP(B581,'Relacion '!$E:$E,'Relacion '!$D:$D,"")</f>
        <v/>
      </c>
      <c r="E581" s="239">
        <f t="shared" si="136"/>
        <v>11</v>
      </c>
      <c r="F581" s="240" cm="1">
        <f t="array" ref="F581">MIN(INDEX('Relacion '!$AB$5:$AC$493,MATCH(INDEX($B:$B, (ROW()-3)),'Relacion '!$E$5:$E$493,0),0))</f>
        <v>46062</v>
      </c>
      <c r="G581" s="240" cm="1">
        <f t="array" ref="G581">MAX(INDEX('Relacion '!$AB$5:$AC$493,MATCH(INDEX($B:$B, (ROW()-3)),'Relacion '!$E$5:$E$493,0),0))</f>
        <v>46073</v>
      </c>
      <c r="H581" s="241" cm="1">
        <f t="array" ref="H581">IF(
 MATCH(B581,{"01. ASIGNACION AREA";"02. MAPEO";"03. DESARROLLO";"04. VALIDA US";"05. VOBO US";"06. BW-EJECUCION";"07. VALIDACIÓN BAJAWARE";"08. CERRADA"},0)
 &lt;
 MATCH(_xlfn.XLOOKUP(INDEX($B:$B, (ROW()-3)),'Relacion '!$E:$E,'Relacion '!$D:$D,""),{"01. ASIGNACION AREA";"02. MAPEO";"03. DESARROLLO";"04. VALIDA US";"05. VOBO US";"06. BW-EJECUCION";"07. VALIDACIÓN BAJAWARE";"08. CERRADA"},0),
 1,
 IF(
  MATCH(B581,{"01. ASIGNACION AREA";"02. MAPEO";"03. DESARROLLO";"04. VALIDA US";"05. VOBO US";"06. BW-EJECUCION";"07. VALIDACIÓN BAJAWARE";"08. CERRADA"},0)
  =
  MATCH(_xlfn.XLOOKUP(INDEX($B:$B, (ROW()-3)),'Relacion '!$E:$E,'Relacion '!$D:$D,""),{"01. ASIGNACION AREA";"02. MAPEO";"03. DESARROLLO";"04. VALIDA US";"05. VOBO US";"06. BW-EJECUCION";"07. VALIDACIÓN BAJAWARE";"08. CERRADA"},0),
  _xlfn.XLOOKUP(INDEX($B:$B, (ROW()-3)),'Relacion '!$E:$E,'Relacion '!#REF!,0),
  0
 )
)</f>
        <v>1</v>
      </c>
      <c r="I581" s="241">
        <f t="shared" ca="1" si="138"/>
        <v>1</v>
      </c>
      <c r="J581" s="241"/>
      <c r="K581" s="241"/>
      <c r="L581" s="238"/>
    </row>
    <row r="582" spans="2:12" outlineLevel="1">
      <c r="B582" s="237" t="s">
        <v>324</v>
      </c>
      <c r="C582" s="237" t="s">
        <v>324</v>
      </c>
      <c r="D582" s="238" t="str">
        <f>_xlfn.XLOOKUP(B582,'Relacion '!$E:$E,'Relacion '!$D:$D,"")</f>
        <v/>
      </c>
      <c r="E582" s="239">
        <f t="shared" si="136"/>
        <v>11</v>
      </c>
      <c r="F582" s="240" cm="1">
        <f t="array" ref="F582">MIN(INDEX('Relacion '!$AD$5:$AE$493,MATCH(INDEX($B:$B, (ROW()-4)),'Relacion '!$E$5:$E$493,0),0))</f>
        <v>46076</v>
      </c>
      <c r="G582" s="240" cm="1">
        <f t="array" ref="G582">MAX(INDEX('Relacion '!$AD$5:$AE$493,MATCH(INDEX($B:$B, (ROW()-4)),'Relacion '!$E$5:$E$493,0),0))</f>
        <v>46087</v>
      </c>
      <c r="H582" s="241" t="e" cm="1">
        <f t="array" ref="H582">IF(
 MATCH(B582,{"01. ASIGNACION AREA";"02. MAPEO";"03. DESARROLLO";"04. VALIDA US";"05. VOBO US";"06. BW-EJECUCION";"07. VALIDACIÓN BAJAWARE";"08. CERRADA"},0)
 &lt;
 MATCH(_xlfn.XLOOKUP(INDEX($B:$B, (ROW()-4)),'Relacion '!$E:$E,'Relacion '!$D:$D,""),{"01. ASIGNACION AREA";"02. MAPEO";"03. DESARROLLO";"04. VALIDA US";"05. VOBO US";"06. BW-EJECUCION";"07. VALIDACIÓN BAJAWARE";"08. CERRADA"},0),
 1,
 IF(
  MATCH(B582,{"01. ASIGNACION AREA";"02. MAPEO";"03. DESARROLLO";"04. VALIDA US";"05. VOBO US";"06. BW-EJECUCION";"07. VALIDACIÓN BAJAWARE";"08. CERRADA"},0)
  =
  MATCH(_xlfn.XLOOKUP(INDEX($B:$B, (ROW()-4)),'Relacion '!$E:$E,'Relacion '!$D:$D,""),{"01. ASIGNACION AREA";"02. MAPEO";"03. DESARROLLO";"04. VALIDA US";"05. VOBO US";"06. BW-EJECUCION";"07. VALIDACIÓN BAJAWARE";"08. CERRADA"},0),
  _xlfn.XLOOKUP(INDEX($B:$B, (ROW()-4)),'Relacion '!$E:$E,'Relacion '!#REF!,0),
  0
 )
)</f>
        <v>#REF!</v>
      </c>
      <c r="I582" s="241">
        <f t="shared" ca="1" si="138"/>
        <v>1</v>
      </c>
      <c r="J582" s="241"/>
      <c r="K582" s="241"/>
      <c r="L582" s="238"/>
    </row>
    <row r="583" spans="2:12" outlineLevel="1">
      <c r="B583" s="237" t="s">
        <v>320</v>
      </c>
      <c r="C583" s="237" t="s">
        <v>320</v>
      </c>
      <c r="D583" s="238" t="str">
        <f>_xlfn.XLOOKUP(B583,'Relacion '!$E:$E,'Relacion '!$D:$D,"")</f>
        <v/>
      </c>
      <c r="E583" s="239">
        <f t="shared" si="136"/>
        <v>1</v>
      </c>
      <c r="F583" s="240" cm="1">
        <f t="array" ref="F583">MIN(INDEX('Relacion '!$AF$5:$AG$493,MATCH(INDEX($B:$B, (ROW()-5)),'Relacion '!$E$5:$E$493,0),0))</f>
        <v>46086</v>
      </c>
      <c r="G583" s="240" cm="1">
        <f t="array" ref="G583">MAX(INDEX('Relacion '!$AF$5:$AG$493,MATCH(INDEX($B:$B, (ROW()-5)),'Relacion '!$E$5:$E$493,0),0))</f>
        <v>46087</v>
      </c>
      <c r="H583" s="241" cm="1">
        <f t="array" ref="H583">IF(
 MATCH(B583,{"01. ASIGNACION AREA";"02. MAPEO";"03. DESARROLLO";"04. VALIDA US";"05. VOBO US";"06. BW-EJECUCION";"07. VALIDACIÓN BAJAWARE";"08. CERRADA"},0)
 &lt;
 MATCH(_xlfn.XLOOKUP(INDEX($B:$B, (ROW()-5)),'Relacion '!$E:$E,'Relacion '!$D:$D,""),{"01. ASIGNACION AREA";"02. MAPEO";"03. DESARROLLO";"04. VALIDA US";"05. VOBO US";"06. BW-EJECUCION";"07. VALIDACIÓN BAJAWARE";"08. CERRADA"},0),
 1,
 IF(
  MATCH(B583,{"01. ASIGNACION AREA";"02. MAPEO";"03. DESARROLLO";"04. VALIDA US";"05. VOBO US";"06. BW-EJECUCION";"07. VALIDACIÓN BAJAWARE";"08. CERRADA"},0)
  =
  MATCH(_xlfn.XLOOKUP(INDEX($B:$B, (ROW()-5)),'Relacion '!$E:$E,'Relacion '!$D:$D,""),{"01. ASIGNACION AREA";"02. MAPEO";"03. DESARROLLO";"04. VALIDA US";"05. VOBO US";"06. BW-EJECUCION";"07. VALIDACIÓN BAJAWARE";"08. CERRADA"},0),
  _xlfn.XLOOKUP(INDEX($B:$B, (ROW()-5)),'Relacion '!$E:$E,'Relacion '!#REF!,0),
  0
 )
)</f>
        <v>0</v>
      </c>
      <c r="I583" s="241">
        <f t="shared" ca="1" si="138"/>
        <v>1</v>
      </c>
      <c r="J583" s="241"/>
      <c r="K583" s="241"/>
      <c r="L583" s="238"/>
    </row>
    <row r="584" spans="2:12" outlineLevel="1">
      <c r="B584" s="237" t="s">
        <v>710</v>
      </c>
      <c r="C584" s="237" t="s">
        <v>710</v>
      </c>
      <c r="D584" s="238" t="str">
        <f>_xlfn.XLOOKUP(B584,'Relacion '!$E:$E,'Relacion '!$D:$D,"")</f>
        <v/>
      </c>
      <c r="E584" s="239">
        <f t="shared" si="136"/>
        <v>18</v>
      </c>
      <c r="F584" s="240" cm="1">
        <f t="array" ref="F584">MIN(INDEX('Relacion '!$AH$5:$AI$493,MATCH(INDEX($B:$B, (ROW()-6)),'Relacion '!$E$5:$E$493,0),0))</f>
        <v>46090</v>
      </c>
      <c r="G584" s="240" cm="1">
        <f t="array" ref="G584">MAX(INDEX('Relacion '!$AH$5:$AI$493,MATCH(INDEX($B:$B, (ROW()-6)),'Relacion '!$E$5:$E$493,0),0))</f>
        <v>46108</v>
      </c>
      <c r="H584" s="241" cm="1">
        <f t="array" ref="H584">IF(
 MATCH(B584,{"01. ASIGNACION AREA";"02. MAPEO";"03. DESARROLLO";"04. VALIDA US";"05. VOBO US";"06. BW-EJECUCION";"07. VALIDACIÓN BAJAWARE";"08. CERRADA"},0)
 &lt;
 MATCH(_xlfn.XLOOKUP(INDEX($B:$B, (ROW()-6)),'Relacion '!$E:$E,'Relacion '!$D:$D,""),{"01. ASIGNACION AREA";"02. MAPEO";"03. DESARROLLO";"04. VALIDA US";"05. VOBO US";"06. BW-EJECUCION";"07. VALIDACIÓN BAJAWARE";"08. CERRADA"},0),
 1,
 IF(
  MATCH(B584,{"01. ASIGNACION AREA";"02. MAPEO";"03. DESARROLLO";"04. VALIDA US";"05. VOBO US";"06. BW-EJECUCION";"07. VALIDACIÓN BAJAWARE";"08. CERRADA"},0)
  =
  MATCH(_xlfn.XLOOKUP(INDEX($B:$B, (ROW()-6)),'Relacion '!$E:$E,'Relacion '!$D:$D,""),{"01. ASIGNACION AREA";"02. MAPEO";"03. DESARROLLO";"04. VALIDA US";"05. VOBO US";"06. BW-EJECUCION";"07. VALIDACIÓN BAJAWARE";"08. CERRADA"},0),
  _xlfn.XLOOKUP(INDEX($B:$B, (ROW()-6)),'Relacion '!$E:$E,'Relacion '!#REF!,0),
  0
 )
)</f>
        <v>0</v>
      </c>
      <c r="I584" s="241">
        <f t="shared" ca="1" si="138"/>
        <v>1</v>
      </c>
      <c r="J584" s="241"/>
      <c r="K584" s="241"/>
      <c r="L584" s="238"/>
    </row>
    <row r="585" spans="2:12" outlineLevel="1">
      <c r="B585" s="237" t="s">
        <v>655</v>
      </c>
      <c r="C585" s="237" t="s">
        <v>655</v>
      </c>
      <c r="D585" s="238" t="str">
        <f>_xlfn.XLOOKUP(B585,'Relacion '!$E:$E,'Relacion '!$D:$D,"")</f>
        <v/>
      </c>
      <c r="E585" s="239">
        <f t="shared" si="136"/>
        <v>18</v>
      </c>
      <c r="F585" s="240" cm="1">
        <f t="array" ref="F585">MIN(INDEX('Relacion '!$AJ$5:$AK$493,MATCH(INDEX($B:$B, (ROW()-7)),'Relacion '!$E$5:$E$493,0),0))</f>
        <v>46111</v>
      </c>
      <c r="G585" s="240" cm="1">
        <f t="array" ref="G585">MAX(INDEX('Relacion '!$AJ$5:$AK$493,MATCH(INDEX($B:$B, (ROW()-7)),'Relacion '!$E$5:$E$493,0),0))</f>
        <v>46129</v>
      </c>
      <c r="H585" s="241" cm="1">
        <f t="array" ref="H585">IF(
 MATCH(B585,{"01. ASIGNACION AREA";"02. MAPEO";"03. DESARROLLO";"04. VALIDA US";"05. VOBO US";"06. BW-EJECUCION";"07. VALIDACIÓN BAJAWARE";"08. CERRADA"},0)
 &lt;
 MATCH(_xlfn.XLOOKUP(INDEX($B:$B, (ROW()-7)),'Relacion '!$E:$E,'Relacion '!$D:$D,""),{"01. ASIGNACION AREA";"02. MAPEO";"03. DESARROLLO";"04. VALIDA US";"05. VOBO US";"06. BW-EJECUCION";"07. VALIDACIÓN BAJAWARE";"08. CERRADA"},0),
 1,
 IF(
  MATCH(B585,{"01. ASIGNACION AREA";"02. MAPEO";"03. DESARROLLO";"04. VALIDA US";"05. VOBO US";"06. BW-EJECUCION";"07. VALIDACIÓN BAJAWARE";"08. CERRADA"},0)
  =
  MATCH(_xlfn.XLOOKUP(INDEX($B:$B, (ROW()-7)),'Relacion '!$E:$E,'Relacion '!$D:$D,""),{"01. ASIGNACION AREA";"02. MAPEO";"03. DESARROLLO";"04. VALIDA US";"05. VOBO US";"06. BW-EJECUCION";"07. VALIDACIÓN BAJAWARE";"08. CERRADA"},0),
  _xlfn.XLOOKUP(INDEX($B:$B, (ROW()-7)),'Relacion '!$E:$E,'Relacion '!#REF!,0),
  0
 )
)</f>
        <v>0</v>
      </c>
      <c r="I585" s="241">
        <f t="shared" ca="1" si="138"/>
        <v>1</v>
      </c>
      <c r="J585" s="241"/>
      <c r="K585" s="241"/>
      <c r="L585" s="238"/>
    </row>
    <row r="586" spans="2:12" outlineLevel="1">
      <c r="B586" s="237" t="s">
        <v>656</v>
      </c>
      <c r="C586" s="237" t="s">
        <v>656</v>
      </c>
      <c r="D586" s="238" t="str">
        <f>_xlfn.XLOOKUP(B586,'Relacion '!$E:$E,'Relacion '!$D:$D,"")</f>
        <v/>
      </c>
      <c r="E586" s="239">
        <f t="shared" si="136"/>
        <v>0</v>
      </c>
      <c r="F586" s="240" cm="1">
        <f t="array" ref="F586">MIN(INDEX('Relacion '!$AL$5:$AM$493,MATCH(INDEX($B:$B, (ROW()-8)),'Relacion '!$E$5:$E$493,0),0))</f>
        <v>46130</v>
      </c>
      <c r="G586" s="240" cm="1">
        <f t="array" ref="G586">MAX(INDEX('Relacion '!$AL$5:$AM$493,MATCH(INDEX($B:$B, (ROW()-8)),'Relacion '!$E$5:$E$493,0),0))</f>
        <v>46130</v>
      </c>
      <c r="H586" s="241" cm="1">
        <f t="array" ref="H586">IF(
 MATCH(B586,{"01. ASIGNACION AREA";"02. MAPEO";"03. DESARROLLO";"04. VALIDA US";"05. VOBO US";"06. BW-EJECUCION";"07. VALIDACIÓN BAJAWARE";"08. CERRADA"},0)
 &lt;
 MATCH(_xlfn.XLOOKUP(INDEX($B:$B, (ROW()-8)),'Relacion '!$E:$E,'Relacion '!$D:$D,""),{"01. ASIGNACION AREA";"02. MAPEO";"03. DESARROLLO";"04. VALIDA US";"05. VOBO US";"06. BW-EJECUCION";"07. VALIDACIÓN BAJAWARE";"08. CERRADA"},0),
 1,
 IF(
  MATCH(B586,{"01. ASIGNACION AREA";"02. MAPEO";"03. DESARROLLO";"04. VALIDA US";"05. VOBO US";"06. BW-EJECUCION";"07. VALIDACIÓN BAJAWARE";"08. CERRADA"},0)
  =
  MATCH(_xlfn.XLOOKUP(INDEX($B:$B, (ROW()-8)),'Relacion '!$E:$E,'Relacion '!$D:$D,""),{"01. ASIGNACION AREA";"02. MAPEO";"03. DESARROLLO";"04. VALIDA US";"05. VOBO US";"06. BW-EJECUCION";"07. VALIDACIÓN BAJAWARE";"08. CERRADA"},0),
  _xlfn.XLOOKUP(INDEX($B:$B, (ROW()-8)),'Relacion '!$E:$E,'Relacion '!#REF!,0),
  0
 )
)</f>
        <v>0</v>
      </c>
      <c r="I586" s="241">
        <f t="shared" ca="1" si="138"/>
        <v>1</v>
      </c>
      <c r="J586" s="241"/>
      <c r="K586" s="241"/>
      <c r="L586" s="238"/>
    </row>
    <row r="587" spans="2:12">
      <c r="B587" s="232" t="s">
        <v>305</v>
      </c>
      <c r="C587" s="137" t="s">
        <v>306</v>
      </c>
      <c r="D587" s="236" t="str">
        <f>_xlfn.XLOOKUP(B587,'Relacion '!$E:$E,'Relacion '!$D:$D,"")</f>
        <v>02. MAPEO</v>
      </c>
      <c r="E587" s="233">
        <f t="shared" si="136"/>
        <v>172</v>
      </c>
      <c r="F587" s="234" cm="1">
        <f t="array" ref="F587">MIN(INDEX('Relacion '!$X$5:$AM$493,MATCH(INDEX($B:$B, (ROW()-0)),'Relacion '!$E$5:$E$493,0),0))</f>
        <v>46024</v>
      </c>
      <c r="G587" s="234" cm="1">
        <f t="array" ref="G587">MAX(INDEX('Relacion '!$X$5:$AM$493,MATCH(INDEX($B:$B, (ROW()-0)),'Relacion '!$E$5:$E$493,0),0))</f>
        <v>46196</v>
      </c>
      <c r="H587" s="235" t="e">
        <f>AVERAGE(H588:H595)</f>
        <v>#REF!</v>
      </c>
      <c r="I587" s="235">
        <f t="shared" ref="I587" ca="1" si="139">AVERAGE(I588:I595)</f>
        <v>0.375</v>
      </c>
      <c r="J587" s="236" t="str">
        <f>IF(ISNUMBER(SEARCH("Rocha", _xlfn.XLOOKUP(B587,'Relacion '!$E:$E,'Relacion '!$I:$I,""))), "Sí", "No")</f>
        <v>No</v>
      </c>
      <c r="K587" s="236" t="str">
        <f>IF(ISNUMBER(SEARCH("Rocha", _xlfn.XLOOKUP(B587,'Relacion '!$E:$E,'Relacion '!$I:$I,""))), "RMC", _xlfn.XLOOKUP(B587,'Relacion '!$E:$E,'Relacion '!$B:$B,""))</f>
        <v>Tesorería </v>
      </c>
      <c r="L587" s="236" t="str">
        <f>_xlfn.XLOOKUP(B587,'Relacion '!$E:$E,'Relacion '!$C:$C,"")</f>
        <v>Eduardo Cabral</v>
      </c>
    </row>
    <row r="588" spans="2:12" outlineLevel="1">
      <c r="B588" s="237" t="s">
        <v>654</v>
      </c>
      <c r="C588" s="237" t="s">
        <v>654</v>
      </c>
      <c r="D588" s="238" t="str">
        <f>_xlfn.XLOOKUP(B588,'Relacion '!$E:$E,'Relacion '!$D:$D,"")</f>
        <v/>
      </c>
      <c r="E588" s="239">
        <f t="shared" si="136"/>
        <v>59</v>
      </c>
      <c r="F588" s="240" cm="1">
        <f t="array" ref="F588">MIN(INDEX('Relacion '!$X$5:$Y$493,MATCH(INDEX($B:$B, (ROW()-1)),'Relacion '!$E$5:$E$493,0),0))</f>
        <v>46024</v>
      </c>
      <c r="G588" s="240" cm="1">
        <f t="array" ref="G588">MAX(INDEX('Relacion '!$X$5:$Y$493,MATCH(INDEX($B:$B, (ROW()-1)),'Relacion '!$E$5:$E$493,0),0))</f>
        <v>46083</v>
      </c>
      <c r="H588" s="241" cm="1">
        <f t="array" ref="H588">IF(
 MATCH(B588,{"01. ASIGNACION AREA";"02. MAPEO";"03. DESARROLLO";"04. VALIDA US";"05. VOBO US";"06. BW-EJECUCION";"07. VALIDACIÓN BAJAWARE";"08. CERRADA"},0)
 &lt;
 MATCH(_xlfn.XLOOKUP(INDEX($B:$B, (ROW()-1)),'Relacion '!$E:$E,'Relacion '!$D:$D,""),{"01. ASIGNACION AREA";"02. MAPEO";"03. DESARROLLO";"04. VALIDA US";"05. VOBO US";"06. BW-EJECUCION";"07. VALIDACIÓN BAJAWARE";"08. CERRADA"},0),
 1,
 IF(
  MATCH(B588,{"01. ASIGNACION AREA";"02. MAPEO";"03. DESARROLLO";"04. VALIDA US";"05. VOBO US";"06. BW-EJECUCION";"07. VALIDACIÓN BAJAWARE";"08. CERRADA"},0)
  =
  MATCH(_xlfn.XLOOKUP(INDEX($B:$B, (ROW()-1)),'Relacion '!$E:$E,'Relacion '!$D:$D,""),{"01. ASIGNACION AREA";"02. MAPEO";"03. DESARROLLO";"04. VALIDA US";"05. VOBO US";"06. BW-EJECUCION";"07. VALIDACIÓN BAJAWARE";"08. CERRADA"},0),
  _xlfn.XLOOKUP(INDEX($B:$B, (ROW()-1)),'Relacion '!$E:$E,'Relacion '!#REF!,0),
  0
 )
)</f>
        <v>1</v>
      </c>
      <c r="I588" s="241">
        <f t="shared" ref="I588" ca="1" si="140">IF(G588&lt;=TODAY(), 1, 0)</f>
        <v>1</v>
      </c>
      <c r="J588" s="241"/>
      <c r="K588" s="241"/>
      <c r="L588" s="238"/>
    </row>
    <row r="589" spans="2:12" outlineLevel="1">
      <c r="B589" s="237" t="s">
        <v>195</v>
      </c>
      <c r="C589" s="237" t="s">
        <v>195</v>
      </c>
      <c r="D589" s="238" t="str">
        <f>_xlfn.XLOOKUP(B589,'Relacion '!$E:$E,'Relacion '!$D:$D,"")</f>
        <v/>
      </c>
      <c r="E589" s="239">
        <f t="shared" si="136"/>
        <v>80</v>
      </c>
      <c r="F589" s="240" cm="1">
        <f t="array" ref="F589">MIN(INDEX('Relacion '!$Z$5:$AA$493,MATCH(INDEX($B:$B, (ROW()-2)),'Relacion '!$E$5:$E$493,0),0))</f>
        <v>46056</v>
      </c>
      <c r="G589" s="240" cm="1">
        <f t="array" ref="G589">MAX(INDEX('Relacion '!$Z$5:$AA$493,MATCH(INDEX($B:$B, (ROW()-2)),'Relacion '!$E$5:$E$493,0),0))</f>
        <v>46136</v>
      </c>
      <c r="H589" s="241" t="e" cm="1">
        <f t="array" ref="H589">IF(
 MATCH(B589,{"01. ASIGNACION AREA";"02. MAPEO";"03. DESARROLLO";"04. VALIDA US";"05. VOBO US";"06. BW-EJECUCION";"07. VALIDACIÓN BAJAWARE";"08. CERRADA"},0)
 &lt;
 MATCH(_xlfn.XLOOKUP(INDEX($B:$B, (ROW()-2)),'Relacion '!$E:$E,'Relacion '!$D:$D,""),{"01. ASIGNACION AREA";"02. MAPEO";"03. DESARROLLO";"04. VALIDA US";"05. VOBO US";"06. BW-EJECUCION";"07. VALIDACIÓN BAJAWARE";"08. CERRADA"},0),
 1,
 IF(
  MATCH(B589,{"01. ASIGNACION AREA";"02. MAPEO";"03. DESARROLLO";"04. VALIDA US";"05. VOBO US";"06. BW-EJECUCION";"07. VALIDACIÓN BAJAWARE";"08. CERRADA"},0)
  =
  MATCH(_xlfn.XLOOKUP(INDEX($B:$B, (ROW()-2)),'Relacion '!$E:$E,'Relacion '!$D:$D,""),{"01. ASIGNACION AREA";"02. MAPEO";"03. DESARROLLO";"04. VALIDA US";"05. VOBO US";"06. BW-EJECUCION";"07. VALIDACIÓN BAJAWARE";"08. CERRADA"},0),
  _xlfn.XLOOKUP(INDEX($B:$B, (ROW()-2)),'Relacion '!$E:$E,'Relacion '!#REF!,0),
  0
 )
)</f>
        <v>#REF!</v>
      </c>
      <c r="I589" s="241">
        <f t="shared" ca="1" si="138"/>
        <v>1</v>
      </c>
      <c r="J589" s="241"/>
      <c r="K589" s="241"/>
      <c r="L589" s="238"/>
    </row>
    <row r="590" spans="2:12" outlineLevel="1">
      <c r="B590" s="237" t="s">
        <v>49</v>
      </c>
      <c r="C590" s="237" t="s">
        <v>49</v>
      </c>
      <c r="D590" s="238" t="str">
        <f>_xlfn.XLOOKUP(B590,'Relacion '!$E:$E,'Relacion '!$D:$D,"")</f>
        <v/>
      </c>
      <c r="E590" s="239">
        <f t="shared" si="136"/>
        <v>18</v>
      </c>
      <c r="F590" s="240" cm="1">
        <f t="array" ref="F590">MIN(INDEX('Relacion '!$AB$5:$AC$493,MATCH(INDEX($B:$B, (ROW()-3)),'Relacion '!$E$5:$E$493,0),0))</f>
        <v>46139</v>
      </c>
      <c r="G590" s="240" cm="1">
        <f t="array" ref="G590">MAX(INDEX('Relacion '!$AB$5:$AC$493,MATCH(INDEX($B:$B, (ROW()-3)),'Relacion '!$E$5:$E$493,0),0))</f>
        <v>46157</v>
      </c>
      <c r="H590" s="241" cm="1">
        <f t="array" ref="H590">IF(
 MATCH(B590,{"01. ASIGNACION AREA";"02. MAPEO";"03. DESARROLLO";"04. VALIDA US";"05. VOBO US";"06. BW-EJECUCION";"07. VALIDACIÓN BAJAWARE";"08. CERRADA"},0)
 &lt;
 MATCH(_xlfn.XLOOKUP(INDEX($B:$B, (ROW()-3)),'Relacion '!$E:$E,'Relacion '!$D:$D,""),{"01. ASIGNACION AREA";"02. MAPEO";"03. DESARROLLO";"04. VALIDA US";"05. VOBO US";"06. BW-EJECUCION";"07. VALIDACIÓN BAJAWARE";"08. CERRADA"},0),
 1,
 IF(
  MATCH(B590,{"01. ASIGNACION AREA";"02. MAPEO";"03. DESARROLLO";"04. VALIDA US";"05. VOBO US";"06. BW-EJECUCION";"07. VALIDACIÓN BAJAWARE";"08. CERRADA"},0)
  =
  MATCH(_xlfn.XLOOKUP(INDEX($B:$B, (ROW()-3)),'Relacion '!$E:$E,'Relacion '!$D:$D,""),{"01. ASIGNACION AREA";"02. MAPEO";"03. DESARROLLO";"04. VALIDA US";"05. VOBO US";"06. BW-EJECUCION";"07. VALIDACIÓN BAJAWARE";"08. CERRADA"},0),
  _xlfn.XLOOKUP(INDEX($B:$B, (ROW()-3)),'Relacion '!$E:$E,'Relacion '!#REF!,0),
  0
 )
)</f>
        <v>0</v>
      </c>
      <c r="I590" s="241">
        <f t="shared" ca="1" si="138"/>
        <v>1</v>
      </c>
      <c r="J590" s="241"/>
      <c r="K590" s="241"/>
      <c r="L590" s="238"/>
    </row>
    <row r="591" spans="2:12" outlineLevel="1">
      <c r="B591" s="237" t="s">
        <v>324</v>
      </c>
      <c r="C591" s="237" t="s">
        <v>324</v>
      </c>
      <c r="D591" s="238" t="str">
        <f>_xlfn.XLOOKUP(B591,'Relacion '!$E:$E,'Relacion '!$D:$D,"")</f>
        <v/>
      </c>
      <c r="E591" s="239">
        <f t="shared" si="136"/>
        <v>11</v>
      </c>
      <c r="F591" s="240" cm="1">
        <f t="array" ref="F591">MIN(INDEX('Relacion '!$AD$5:$AE$493,MATCH(INDEX($B:$B, (ROW()-4)),'Relacion '!$E$5:$E$493,0),0))</f>
        <v>46160</v>
      </c>
      <c r="G591" s="240" cm="1">
        <f t="array" ref="G591">MAX(INDEX('Relacion '!$AD$5:$AE$493,MATCH(INDEX($B:$B, (ROW()-4)),'Relacion '!$E$5:$E$493,0),0))</f>
        <v>46171</v>
      </c>
      <c r="H591" s="241" cm="1">
        <f t="array" ref="H591">IF(
 MATCH(B591,{"01. ASIGNACION AREA";"02. MAPEO";"03. DESARROLLO";"04. VALIDA US";"05. VOBO US";"06. BW-EJECUCION";"07. VALIDACIÓN BAJAWARE";"08. CERRADA"},0)
 &lt;
 MATCH(_xlfn.XLOOKUP(INDEX($B:$B, (ROW()-4)),'Relacion '!$E:$E,'Relacion '!$D:$D,""),{"01. ASIGNACION AREA";"02. MAPEO";"03. DESARROLLO";"04. VALIDA US";"05. VOBO US";"06. BW-EJECUCION";"07. VALIDACIÓN BAJAWARE";"08. CERRADA"},0),
 1,
 IF(
  MATCH(B591,{"01. ASIGNACION AREA";"02. MAPEO";"03. DESARROLLO";"04. VALIDA US";"05. VOBO US";"06. BW-EJECUCION";"07. VALIDACIÓN BAJAWARE";"08. CERRADA"},0)
  =
  MATCH(_xlfn.XLOOKUP(INDEX($B:$B, (ROW()-4)),'Relacion '!$E:$E,'Relacion '!$D:$D,""),{"01. ASIGNACION AREA";"02. MAPEO";"03. DESARROLLO";"04. VALIDA US";"05. VOBO US";"06. BW-EJECUCION";"07. VALIDACIÓN BAJAWARE";"08. CERRADA"},0),
  _xlfn.XLOOKUP(INDEX($B:$B, (ROW()-4)),'Relacion '!$E:$E,'Relacion '!#REF!,0),
  0
 )
)</f>
        <v>0</v>
      </c>
      <c r="I591" s="241">
        <f t="shared" ca="1" si="138"/>
        <v>0</v>
      </c>
      <c r="J591" s="241"/>
      <c r="K591" s="241"/>
      <c r="L591" s="238"/>
    </row>
    <row r="592" spans="2:12" outlineLevel="1">
      <c r="B592" s="237" t="s">
        <v>320</v>
      </c>
      <c r="C592" s="237" t="s">
        <v>320</v>
      </c>
      <c r="D592" s="238" t="str">
        <f>_xlfn.XLOOKUP(B592,'Relacion '!$E:$E,'Relacion '!$D:$D,"")</f>
        <v/>
      </c>
      <c r="E592" s="239">
        <f t="shared" si="136"/>
        <v>3</v>
      </c>
      <c r="F592" s="240" cm="1">
        <f t="array" ref="F592">MIN(INDEX('Relacion '!$AF$5:$AG$493,MATCH(INDEX($B:$B, (ROW()-5)),'Relacion '!$E$5:$E$493,0),0))</f>
        <v>46171</v>
      </c>
      <c r="G592" s="240" cm="1">
        <f t="array" ref="G592">MAX(INDEX('Relacion '!$AF$5:$AG$493,MATCH(INDEX($B:$B, (ROW()-5)),'Relacion '!$E$5:$E$493,0),0))</f>
        <v>46174</v>
      </c>
      <c r="H592" s="241" cm="1">
        <f t="array" ref="H592">IF(
 MATCH(B592,{"01. ASIGNACION AREA";"02. MAPEO";"03. DESARROLLO";"04. VALIDA US";"05. VOBO US";"06. BW-EJECUCION";"07. VALIDACIÓN BAJAWARE";"08. CERRADA"},0)
 &lt;
 MATCH(_xlfn.XLOOKUP(INDEX($B:$B, (ROW()-5)),'Relacion '!$E:$E,'Relacion '!$D:$D,""),{"01. ASIGNACION AREA";"02. MAPEO";"03. DESARROLLO";"04. VALIDA US";"05. VOBO US";"06. BW-EJECUCION";"07. VALIDACIÓN BAJAWARE";"08. CERRADA"},0),
 1,
 IF(
  MATCH(B592,{"01. ASIGNACION AREA";"02. MAPEO";"03. DESARROLLO";"04. VALIDA US";"05. VOBO US";"06. BW-EJECUCION";"07. VALIDACIÓN BAJAWARE";"08. CERRADA"},0)
  =
  MATCH(_xlfn.XLOOKUP(INDEX($B:$B, (ROW()-5)),'Relacion '!$E:$E,'Relacion '!$D:$D,""),{"01. ASIGNACION AREA";"02. MAPEO";"03. DESARROLLO";"04. VALIDA US";"05. VOBO US";"06. BW-EJECUCION";"07. VALIDACIÓN BAJAWARE";"08. CERRADA"},0),
  _xlfn.XLOOKUP(INDEX($B:$B, (ROW()-5)),'Relacion '!$E:$E,'Relacion '!#REF!,0),
  0
 )
)</f>
        <v>0</v>
      </c>
      <c r="I592" s="241">
        <f t="shared" ca="1" si="138"/>
        <v>0</v>
      </c>
      <c r="J592" s="241"/>
      <c r="K592" s="241"/>
      <c r="L592" s="238"/>
    </row>
    <row r="593" spans="2:12" outlineLevel="1">
      <c r="B593" s="237" t="s">
        <v>710</v>
      </c>
      <c r="C593" s="237" t="s">
        <v>710</v>
      </c>
      <c r="D593" s="238" t="str">
        <f>_xlfn.XLOOKUP(B593,'Relacion '!$E:$E,'Relacion '!$D:$D,"")</f>
        <v/>
      </c>
      <c r="E593" s="239">
        <f t="shared" si="136"/>
        <v>2</v>
      </c>
      <c r="F593" s="240" cm="1">
        <f t="array" ref="F593">MIN(INDEX('Relacion '!$AH$5:$AI$493,MATCH(INDEX($B:$B, (ROW()-6)),'Relacion '!$E$5:$E$493,0),0))</f>
        <v>46175</v>
      </c>
      <c r="G593" s="240" cm="1">
        <f t="array" ref="G593">MAX(INDEX('Relacion '!$AH$5:$AI$493,MATCH(INDEX($B:$B, (ROW()-6)),'Relacion '!$E$5:$E$493,0),0))</f>
        <v>46177</v>
      </c>
      <c r="H593" s="241" cm="1">
        <f t="array" ref="H593">IF(
 MATCH(B593,{"01. ASIGNACION AREA";"02. MAPEO";"03. DESARROLLO";"04. VALIDA US";"05. VOBO US";"06. BW-EJECUCION";"07. VALIDACIÓN BAJAWARE";"08. CERRADA"},0)
 &lt;
 MATCH(_xlfn.XLOOKUP(INDEX($B:$B, (ROW()-6)),'Relacion '!$E:$E,'Relacion '!$D:$D,""),{"01. ASIGNACION AREA";"02. MAPEO";"03. DESARROLLO";"04. VALIDA US";"05. VOBO US";"06. BW-EJECUCION";"07. VALIDACIÓN BAJAWARE";"08. CERRADA"},0),
 1,
 IF(
  MATCH(B593,{"01. ASIGNACION AREA";"02. MAPEO";"03. DESARROLLO";"04. VALIDA US";"05. VOBO US";"06. BW-EJECUCION";"07. VALIDACIÓN BAJAWARE";"08. CERRADA"},0)
  =
  MATCH(_xlfn.XLOOKUP(INDEX($B:$B, (ROW()-6)),'Relacion '!$E:$E,'Relacion '!$D:$D,""),{"01. ASIGNACION AREA";"02. MAPEO";"03. DESARROLLO";"04. VALIDA US";"05. VOBO US";"06. BW-EJECUCION";"07. VALIDACIÓN BAJAWARE";"08. CERRADA"},0),
  _xlfn.XLOOKUP(INDEX($B:$B, (ROW()-6)),'Relacion '!$E:$E,'Relacion '!#REF!,0),
  0
 )
)</f>
        <v>0</v>
      </c>
      <c r="I593" s="241">
        <f t="shared" ca="1" si="138"/>
        <v>0</v>
      </c>
      <c r="J593" s="241"/>
      <c r="K593" s="241"/>
      <c r="L593" s="238"/>
    </row>
    <row r="594" spans="2:12" outlineLevel="1">
      <c r="B594" s="237" t="s">
        <v>655</v>
      </c>
      <c r="C594" s="237" t="s">
        <v>655</v>
      </c>
      <c r="D594" s="238" t="str">
        <f>_xlfn.XLOOKUP(B594,'Relacion '!$E:$E,'Relacion '!$D:$D,"")</f>
        <v/>
      </c>
      <c r="E594" s="239">
        <f t="shared" si="136"/>
        <v>14</v>
      </c>
      <c r="F594" s="240" cm="1">
        <f t="array" ref="F594">MIN(INDEX('Relacion '!$AJ$5:$AK$493,MATCH(INDEX($B:$B, (ROW()-7)),'Relacion '!$E$5:$E$493,0),0))</f>
        <v>46178</v>
      </c>
      <c r="G594" s="240" cm="1">
        <f t="array" ref="G594">MAX(INDEX('Relacion '!$AJ$5:$AK$493,MATCH(INDEX($B:$B, (ROW()-7)),'Relacion '!$E$5:$E$493,0),0))</f>
        <v>46192</v>
      </c>
      <c r="H594" s="241" cm="1">
        <f t="array" ref="H594">IF(
 MATCH(B594,{"01. ASIGNACION AREA";"02. MAPEO";"03. DESARROLLO";"04. VALIDA US";"05. VOBO US";"06. BW-EJECUCION";"07. VALIDACIÓN BAJAWARE";"08. CERRADA"},0)
 &lt;
 MATCH(_xlfn.XLOOKUP(INDEX($B:$B, (ROW()-7)),'Relacion '!$E:$E,'Relacion '!$D:$D,""),{"01. ASIGNACION AREA";"02. MAPEO";"03. DESARROLLO";"04. VALIDA US";"05. VOBO US";"06. BW-EJECUCION";"07. VALIDACIÓN BAJAWARE";"08. CERRADA"},0),
 1,
 IF(
  MATCH(B594,{"01. ASIGNACION AREA";"02. MAPEO";"03. DESARROLLO";"04. VALIDA US";"05. VOBO US";"06. BW-EJECUCION";"07. VALIDACIÓN BAJAWARE";"08. CERRADA"},0)
  =
  MATCH(_xlfn.XLOOKUP(INDEX($B:$B, (ROW()-7)),'Relacion '!$E:$E,'Relacion '!$D:$D,""),{"01. ASIGNACION AREA";"02. MAPEO";"03. DESARROLLO";"04. VALIDA US";"05. VOBO US";"06. BW-EJECUCION";"07. VALIDACIÓN BAJAWARE";"08. CERRADA"},0),
  _xlfn.XLOOKUP(INDEX($B:$B, (ROW()-7)),'Relacion '!$E:$E,'Relacion '!#REF!,0),
  0
 )
)</f>
        <v>0</v>
      </c>
      <c r="I594" s="241">
        <f t="shared" ca="1" si="138"/>
        <v>0</v>
      </c>
      <c r="J594" s="241"/>
      <c r="K594" s="241"/>
      <c r="L594" s="238"/>
    </row>
    <row r="595" spans="2:12" outlineLevel="1">
      <c r="B595" s="237" t="s">
        <v>656</v>
      </c>
      <c r="C595" s="237" t="s">
        <v>656</v>
      </c>
      <c r="D595" s="238" t="str">
        <f>_xlfn.XLOOKUP(B595,'Relacion '!$E:$E,'Relacion '!$D:$D,"")</f>
        <v/>
      </c>
      <c r="E595" s="239">
        <f t="shared" si="136"/>
        <v>1</v>
      </c>
      <c r="F595" s="240" cm="1">
        <f t="array" ref="F595">MIN(INDEX('Relacion '!$AL$5:$AM$493,MATCH(INDEX($B:$B, (ROW()-8)),'Relacion '!$E$5:$E$493,0),0))</f>
        <v>46195</v>
      </c>
      <c r="G595" s="240" cm="1">
        <f t="array" ref="G595">MAX(INDEX('Relacion '!$AL$5:$AM$493,MATCH(INDEX($B:$B, (ROW()-8)),'Relacion '!$E$5:$E$493,0),0))</f>
        <v>46196</v>
      </c>
      <c r="H595" s="241" cm="1">
        <f t="array" ref="H595">IF(
 MATCH(B595,{"01. ASIGNACION AREA";"02. MAPEO";"03. DESARROLLO";"04. VALIDA US";"05. VOBO US";"06. BW-EJECUCION";"07. VALIDACIÓN BAJAWARE";"08. CERRADA"},0)
 &lt;
 MATCH(_xlfn.XLOOKUP(INDEX($B:$B, (ROW()-8)),'Relacion '!$E:$E,'Relacion '!$D:$D,""),{"01. ASIGNACION AREA";"02. MAPEO";"03. DESARROLLO";"04. VALIDA US";"05. VOBO US";"06. BW-EJECUCION";"07. VALIDACIÓN BAJAWARE";"08. CERRADA"},0),
 1,
 IF(
  MATCH(B595,{"01. ASIGNACION AREA";"02. MAPEO";"03. DESARROLLO";"04. VALIDA US";"05. VOBO US";"06. BW-EJECUCION";"07. VALIDACIÓN BAJAWARE";"08. CERRADA"},0)
  =
  MATCH(_xlfn.XLOOKUP(INDEX($B:$B, (ROW()-8)),'Relacion '!$E:$E,'Relacion '!$D:$D,""),{"01. ASIGNACION AREA";"02. MAPEO";"03. DESARROLLO";"04. VALIDA US";"05. VOBO US";"06. BW-EJECUCION";"07. VALIDACIÓN BAJAWARE";"08. CERRADA"},0),
  _xlfn.XLOOKUP(INDEX($B:$B, (ROW()-8)),'Relacion '!$E:$E,'Relacion '!#REF!,0),
  0
 )
)</f>
        <v>0</v>
      </c>
      <c r="I595" s="241">
        <f t="shared" ca="1" si="138"/>
        <v>0</v>
      </c>
      <c r="J595" s="241"/>
      <c r="K595" s="241"/>
      <c r="L595" s="238"/>
    </row>
    <row r="596" spans="2:12">
      <c r="B596" s="232" t="s">
        <v>108</v>
      </c>
      <c r="C596" s="137" t="s">
        <v>109</v>
      </c>
      <c r="D596" s="236" t="str">
        <f>_xlfn.XLOOKUP(B596,'Relacion '!$E:$E,'Relacion '!$D:$D,"")</f>
        <v>04. VALIDA US</v>
      </c>
      <c r="E596" s="233">
        <f t="shared" si="136"/>
        <v>478</v>
      </c>
      <c r="F596" s="234" cm="1">
        <f t="array" ref="F596">MIN(INDEX('Relacion '!$X$5:$AM$493,MATCH(INDEX($B:$B, (ROW()-0)),'Relacion '!$E$5:$E$493,0),0))</f>
        <v>45659</v>
      </c>
      <c r="G596" s="234" cm="1">
        <f t="array" ref="G596">MAX(INDEX('Relacion '!$X$5:$AM$493,MATCH(INDEX($B:$B, (ROW()-0)),'Relacion '!$E$5:$E$493,0),0))</f>
        <v>46137</v>
      </c>
      <c r="H596" s="235" t="e">
        <f>AVERAGE(H597:H604)</f>
        <v>#REF!</v>
      </c>
      <c r="I596" s="235">
        <f t="shared" ref="I596" ca="1" si="141">AVERAGE(I597:I604)</f>
        <v>1</v>
      </c>
      <c r="J596" s="236" t="str">
        <f>IF(ISNUMBER(SEARCH("Rocha", _xlfn.XLOOKUP(B596,'Relacion '!$E:$E,'Relacion '!$I:$I,""))), "Sí", "No")</f>
        <v>No</v>
      </c>
      <c r="K596" s="236" t="str">
        <f>IF(ISNUMBER(SEARCH("Rocha", _xlfn.XLOOKUP(B596,'Relacion '!$E:$E,'Relacion '!$I:$I,""))), "RMC", _xlfn.XLOOKUP(B596,'Relacion '!$E:$E,'Relacion '!$B:$B,""))</f>
        <v>Operaciones Captacion</v>
      </c>
      <c r="L596" s="236" t="str">
        <f>_xlfn.XLOOKUP(B596,'Relacion '!$E:$E,'Relacion '!$C:$C,"")</f>
        <v>Luis Alberto</v>
      </c>
    </row>
    <row r="597" spans="2:12" outlineLevel="1">
      <c r="B597" s="237" t="s">
        <v>654</v>
      </c>
      <c r="C597" s="237" t="s">
        <v>654</v>
      </c>
      <c r="D597" s="238" t="str">
        <f>_xlfn.XLOOKUP(B597,'Relacion '!$E:$E,'Relacion '!$D:$D,"")</f>
        <v/>
      </c>
      <c r="E597" s="239">
        <f t="shared" si="136"/>
        <v>424</v>
      </c>
      <c r="F597" s="240" cm="1">
        <f t="array" ref="F597">MIN(INDEX('Relacion '!$X$5:$Y$493,MATCH(INDEX($B:$B, (ROW()-1)),'Relacion '!$E$5:$E$493,0),0))</f>
        <v>45659</v>
      </c>
      <c r="G597" s="240" cm="1">
        <f t="array" ref="G597">MAX(INDEX('Relacion '!$X$5:$Y$493,MATCH(INDEX($B:$B, (ROW()-1)),'Relacion '!$E$5:$E$493,0),0))</f>
        <v>46083</v>
      </c>
      <c r="H597" s="241" cm="1">
        <f t="array" ref="H597">IF(
 MATCH(B597,{"01. ASIGNACION AREA";"02. MAPEO";"03. DESARROLLO";"04. VALIDA US";"05. VOBO US";"06. BW-EJECUCION";"07. VALIDACIÓN BAJAWARE";"08. CERRADA"},0)
 &lt;
 MATCH(_xlfn.XLOOKUP(INDEX($B:$B, (ROW()-1)),'Relacion '!$E:$E,'Relacion '!$D:$D,""),{"01. ASIGNACION AREA";"02. MAPEO";"03. DESARROLLO";"04. VALIDA US";"05. VOBO US";"06. BW-EJECUCION";"07. VALIDACIÓN BAJAWARE";"08. CERRADA"},0),
 1,
 IF(
  MATCH(B597,{"01. ASIGNACION AREA";"02. MAPEO";"03. DESARROLLO";"04. VALIDA US";"05. VOBO US";"06. BW-EJECUCION";"07. VALIDACIÓN BAJAWARE";"08. CERRADA"},0)
  =
  MATCH(_xlfn.XLOOKUP(INDEX($B:$B, (ROW()-1)),'Relacion '!$E:$E,'Relacion '!$D:$D,""),{"01. ASIGNACION AREA";"02. MAPEO";"03. DESARROLLO";"04. VALIDA US";"05. VOBO US";"06. BW-EJECUCION";"07. VALIDACIÓN BAJAWARE";"08. CERRADA"},0),
  _xlfn.XLOOKUP(INDEX($B:$B, (ROW()-1)),'Relacion '!$E:$E,'Relacion '!#REF!,0),
  0
 )
)</f>
        <v>1</v>
      </c>
      <c r="I597" s="241">
        <f t="shared" ref="I597" ca="1" si="142">IF(G597&lt;=TODAY(), 1, 0)</f>
        <v>1</v>
      </c>
      <c r="J597" s="241"/>
      <c r="K597" s="241"/>
      <c r="L597" s="238"/>
    </row>
    <row r="598" spans="2:12" outlineLevel="1">
      <c r="B598" s="237" t="s">
        <v>195</v>
      </c>
      <c r="C598" s="237" t="s">
        <v>195</v>
      </c>
      <c r="D598" s="238" t="str">
        <f>_xlfn.XLOOKUP(B598,'Relacion '!$E:$E,'Relacion '!$D:$D,"")</f>
        <v/>
      </c>
      <c r="E598" s="239">
        <f t="shared" si="136"/>
        <v>14</v>
      </c>
      <c r="F598" s="240" cm="1">
        <f t="array" ref="F598">MIN(INDEX('Relacion '!$Z$5:$AA$493,MATCH(INDEX($B:$B, (ROW()-2)),'Relacion '!$E$5:$E$493,0),0))</f>
        <v>46041</v>
      </c>
      <c r="G598" s="240" cm="1">
        <f t="array" ref="G598">MAX(INDEX('Relacion '!$Z$5:$AA$493,MATCH(INDEX($B:$B, (ROW()-2)),'Relacion '!$E$5:$E$493,0),0))</f>
        <v>46055</v>
      </c>
      <c r="H598" s="241" cm="1">
        <f t="array" ref="H598">IF(
 MATCH(B598,{"01. ASIGNACION AREA";"02. MAPEO";"03. DESARROLLO";"04. VALIDA US";"05. VOBO US";"06. BW-EJECUCION";"07. VALIDACIÓN BAJAWARE";"08. CERRADA"},0)
 &lt;
 MATCH(_xlfn.XLOOKUP(INDEX($B:$B, (ROW()-2)),'Relacion '!$E:$E,'Relacion '!$D:$D,""),{"01. ASIGNACION AREA";"02. MAPEO";"03. DESARROLLO";"04. VALIDA US";"05. VOBO US";"06. BW-EJECUCION";"07. VALIDACIÓN BAJAWARE";"08. CERRADA"},0),
 1,
 IF(
  MATCH(B598,{"01. ASIGNACION AREA";"02. MAPEO";"03. DESARROLLO";"04. VALIDA US";"05. VOBO US";"06. BW-EJECUCION";"07. VALIDACIÓN BAJAWARE";"08. CERRADA"},0)
  =
  MATCH(_xlfn.XLOOKUP(INDEX($B:$B, (ROW()-2)),'Relacion '!$E:$E,'Relacion '!$D:$D,""),{"01. ASIGNACION AREA";"02. MAPEO";"03. DESARROLLO";"04. VALIDA US";"05. VOBO US";"06. BW-EJECUCION";"07. VALIDACIÓN BAJAWARE";"08. CERRADA"},0),
  _xlfn.XLOOKUP(INDEX($B:$B, (ROW()-2)),'Relacion '!$E:$E,'Relacion '!#REF!,0),
  0
 )
)</f>
        <v>1</v>
      </c>
      <c r="I598" s="241">
        <f t="shared" ca="1" si="138"/>
        <v>1</v>
      </c>
      <c r="J598" s="241"/>
      <c r="K598" s="241"/>
      <c r="L598" s="238"/>
    </row>
    <row r="599" spans="2:12" outlineLevel="1">
      <c r="B599" s="237" t="s">
        <v>49</v>
      </c>
      <c r="C599" s="237" t="s">
        <v>49</v>
      </c>
      <c r="D599" s="238" t="str">
        <f>_xlfn.XLOOKUP(B599,'Relacion '!$E:$E,'Relacion '!$D:$D,"")</f>
        <v/>
      </c>
      <c r="E599" s="239">
        <f t="shared" si="136"/>
        <v>17</v>
      </c>
      <c r="F599" s="240" cm="1">
        <f t="array" ref="F599">MIN(INDEX('Relacion '!$AB$5:$AC$493,MATCH(INDEX($B:$B, (ROW()-3)),'Relacion '!$E$5:$E$493,0),0))</f>
        <v>46056</v>
      </c>
      <c r="G599" s="240" cm="1">
        <f t="array" ref="G599">MAX(INDEX('Relacion '!$AB$5:$AC$493,MATCH(INDEX($B:$B, (ROW()-3)),'Relacion '!$E$5:$E$493,0),0))</f>
        <v>46073</v>
      </c>
      <c r="H599" s="241" cm="1">
        <f t="array" ref="H599">IF(
 MATCH(B599,{"01. ASIGNACION AREA";"02. MAPEO";"03. DESARROLLO";"04. VALIDA US";"05. VOBO US";"06. BW-EJECUCION";"07. VALIDACIÓN BAJAWARE";"08. CERRADA"},0)
 &lt;
 MATCH(_xlfn.XLOOKUP(INDEX($B:$B, (ROW()-3)),'Relacion '!$E:$E,'Relacion '!$D:$D,""),{"01. ASIGNACION AREA";"02. MAPEO";"03. DESARROLLO";"04. VALIDA US";"05. VOBO US";"06. BW-EJECUCION";"07. VALIDACIÓN BAJAWARE";"08. CERRADA"},0),
 1,
 IF(
  MATCH(B599,{"01. ASIGNACION AREA";"02. MAPEO";"03. DESARROLLO";"04. VALIDA US";"05. VOBO US";"06. BW-EJECUCION";"07. VALIDACIÓN BAJAWARE";"08. CERRADA"},0)
  =
  MATCH(_xlfn.XLOOKUP(INDEX($B:$B, (ROW()-3)),'Relacion '!$E:$E,'Relacion '!$D:$D,""),{"01. ASIGNACION AREA";"02. MAPEO";"03. DESARROLLO";"04. VALIDA US";"05. VOBO US";"06. BW-EJECUCION";"07. VALIDACIÓN BAJAWARE";"08. CERRADA"},0),
  _xlfn.XLOOKUP(INDEX($B:$B, (ROW()-3)),'Relacion '!$E:$E,'Relacion '!#REF!,0),
  0
 )
)</f>
        <v>1</v>
      </c>
      <c r="I599" s="241">
        <f t="shared" ca="1" si="138"/>
        <v>1</v>
      </c>
      <c r="J599" s="241"/>
      <c r="K599" s="241"/>
      <c r="L599" s="238"/>
    </row>
    <row r="600" spans="2:12" outlineLevel="1">
      <c r="B600" s="237" t="s">
        <v>324</v>
      </c>
      <c r="C600" s="237" t="s">
        <v>324</v>
      </c>
      <c r="D600" s="238" t="str">
        <f>_xlfn.XLOOKUP(B600,'Relacion '!$E:$E,'Relacion '!$D:$D,"")</f>
        <v/>
      </c>
      <c r="E600" s="239">
        <f t="shared" si="136"/>
        <v>18</v>
      </c>
      <c r="F600" s="240" cm="1">
        <f t="array" ref="F600">MIN(INDEX('Relacion '!$AD$5:$AE$493,MATCH(INDEX($B:$B, (ROW()-4)),'Relacion '!$E$5:$E$493,0),0))</f>
        <v>46076</v>
      </c>
      <c r="G600" s="240" cm="1">
        <f t="array" ref="G600">MAX(INDEX('Relacion '!$AD$5:$AE$493,MATCH(INDEX($B:$B, (ROW()-4)),'Relacion '!$E$5:$E$493,0),0))</f>
        <v>46094</v>
      </c>
      <c r="H600" s="241" t="e" cm="1">
        <f t="array" ref="H600">IF(
 MATCH(B600,{"01. ASIGNACION AREA";"02. MAPEO";"03. DESARROLLO";"04. VALIDA US";"05. VOBO US";"06. BW-EJECUCION";"07. VALIDACIÓN BAJAWARE";"08. CERRADA"},0)
 &lt;
 MATCH(_xlfn.XLOOKUP(INDEX($B:$B, (ROW()-4)),'Relacion '!$E:$E,'Relacion '!$D:$D,""),{"01. ASIGNACION AREA";"02. MAPEO";"03. DESARROLLO";"04. VALIDA US";"05. VOBO US";"06. BW-EJECUCION";"07. VALIDACIÓN BAJAWARE";"08. CERRADA"},0),
 1,
 IF(
  MATCH(B600,{"01. ASIGNACION AREA";"02. MAPEO";"03. DESARROLLO";"04. VALIDA US";"05. VOBO US";"06. BW-EJECUCION";"07. VALIDACIÓN BAJAWARE";"08. CERRADA"},0)
  =
  MATCH(_xlfn.XLOOKUP(INDEX($B:$B, (ROW()-4)),'Relacion '!$E:$E,'Relacion '!$D:$D,""),{"01. ASIGNACION AREA";"02. MAPEO";"03. DESARROLLO";"04. VALIDA US";"05. VOBO US";"06. BW-EJECUCION";"07. VALIDACIÓN BAJAWARE";"08. CERRADA"},0),
  _xlfn.XLOOKUP(INDEX($B:$B, (ROW()-4)),'Relacion '!$E:$E,'Relacion '!#REF!,0),
  0
 )
)</f>
        <v>#REF!</v>
      </c>
      <c r="I600" s="241">
        <f t="shared" ca="1" si="138"/>
        <v>1</v>
      </c>
      <c r="J600" s="241"/>
      <c r="K600" s="241"/>
      <c r="L600" s="238"/>
    </row>
    <row r="601" spans="2:12" outlineLevel="1">
      <c r="B601" s="237" t="s">
        <v>320</v>
      </c>
      <c r="C601" s="237" t="s">
        <v>320</v>
      </c>
      <c r="D601" s="238" t="str">
        <f>_xlfn.XLOOKUP(B601,'Relacion '!$E:$E,'Relacion '!$D:$D,"")</f>
        <v/>
      </c>
      <c r="E601" s="239">
        <f t="shared" si="136"/>
        <v>1</v>
      </c>
      <c r="F601" s="240" cm="1">
        <f t="array" ref="F601">MIN(INDEX('Relacion '!$AF$5:$AG$493,MATCH(INDEX($B:$B, (ROW()-5)),'Relacion '!$E$5:$E$493,0),0))</f>
        <v>46093</v>
      </c>
      <c r="G601" s="240" cm="1">
        <f t="array" ref="G601">MAX(INDEX('Relacion '!$AF$5:$AG$493,MATCH(INDEX($B:$B, (ROW()-5)),'Relacion '!$E$5:$E$493,0),0))</f>
        <v>46094</v>
      </c>
      <c r="H601" s="241" cm="1">
        <f t="array" ref="H601">IF(
 MATCH(B601,{"01. ASIGNACION AREA";"02. MAPEO";"03. DESARROLLO";"04. VALIDA US";"05. VOBO US";"06. BW-EJECUCION";"07. VALIDACIÓN BAJAWARE";"08. CERRADA"},0)
 &lt;
 MATCH(_xlfn.XLOOKUP(INDEX($B:$B, (ROW()-5)),'Relacion '!$E:$E,'Relacion '!$D:$D,""),{"01. ASIGNACION AREA";"02. MAPEO";"03. DESARROLLO";"04. VALIDA US";"05. VOBO US";"06. BW-EJECUCION";"07. VALIDACIÓN BAJAWARE";"08. CERRADA"},0),
 1,
 IF(
  MATCH(B601,{"01. ASIGNACION AREA";"02. MAPEO";"03. DESARROLLO";"04. VALIDA US";"05. VOBO US";"06. BW-EJECUCION";"07. VALIDACIÓN BAJAWARE";"08. CERRADA"},0)
  =
  MATCH(_xlfn.XLOOKUP(INDEX($B:$B, (ROW()-5)),'Relacion '!$E:$E,'Relacion '!$D:$D,""),{"01. ASIGNACION AREA";"02. MAPEO";"03. DESARROLLO";"04. VALIDA US";"05. VOBO US";"06. BW-EJECUCION";"07. VALIDACIÓN BAJAWARE";"08. CERRADA"},0),
  _xlfn.XLOOKUP(INDEX($B:$B, (ROW()-5)),'Relacion '!$E:$E,'Relacion '!#REF!,0),
  0
 )
)</f>
        <v>0</v>
      </c>
      <c r="I601" s="241">
        <f t="shared" ca="1" si="138"/>
        <v>1</v>
      </c>
      <c r="J601" s="241"/>
      <c r="K601" s="241"/>
      <c r="L601" s="238"/>
    </row>
    <row r="602" spans="2:12" outlineLevel="1">
      <c r="B602" s="237" t="s">
        <v>710</v>
      </c>
      <c r="C602" s="237" t="s">
        <v>710</v>
      </c>
      <c r="D602" s="238" t="str">
        <f>_xlfn.XLOOKUP(B602,'Relacion '!$E:$E,'Relacion '!$D:$D,"")</f>
        <v/>
      </c>
      <c r="E602" s="239">
        <f t="shared" si="136"/>
        <v>18</v>
      </c>
      <c r="F602" s="240" cm="1">
        <f t="array" ref="F602">MIN(INDEX('Relacion '!$AH$5:$AI$493,MATCH(INDEX($B:$B, (ROW()-6)),'Relacion '!$E$5:$E$493,0),0))</f>
        <v>46097</v>
      </c>
      <c r="G602" s="240" cm="1">
        <f t="array" ref="G602">MAX(INDEX('Relacion '!$AH$5:$AI$493,MATCH(INDEX($B:$B, (ROW()-6)),'Relacion '!$E$5:$E$493,0),0))</f>
        <v>46115</v>
      </c>
      <c r="H602" s="241" cm="1">
        <f t="array" ref="H602">IF(
 MATCH(B602,{"01. ASIGNACION AREA";"02. MAPEO";"03. DESARROLLO";"04. VALIDA US";"05. VOBO US";"06. BW-EJECUCION";"07. VALIDACIÓN BAJAWARE";"08. CERRADA"},0)
 &lt;
 MATCH(_xlfn.XLOOKUP(INDEX($B:$B, (ROW()-6)),'Relacion '!$E:$E,'Relacion '!$D:$D,""),{"01. ASIGNACION AREA";"02. MAPEO";"03. DESARROLLO";"04. VALIDA US";"05. VOBO US";"06. BW-EJECUCION";"07. VALIDACIÓN BAJAWARE";"08. CERRADA"},0),
 1,
 IF(
  MATCH(B602,{"01. ASIGNACION AREA";"02. MAPEO";"03. DESARROLLO";"04. VALIDA US";"05. VOBO US";"06. BW-EJECUCION";"07. VALIDACIÓN BAJAWARE";"08. CERRADA"},0)
  =
  MATCH(_xlfn.XLOOKUP(INDEX($B:$B, (ROW()-6)),'Relacion '!$E:$E,'Relacion '!$D:$D,""),{"01. ASIGNACION AREA";"02. MAPEO";"03. DESARROLLO";"04. VALIDA US";"05. VOBO US";"06. BW-EJECUCION";"07. VALIDACIÓN BAJAWARE";"08. CERRADA"},0),
  _xlfn.XLOOKUP(INDEX($B:$B, (ROW()-6)),'Relacion '!$E:$E,'Relacion '!#REF!,0),
  0
 )
)</f>
        <v>0</v>
      </c>
      <c r="I602" s="241">
        <f t="shared" ca="1" si="138"/>
        <v>1</v>
      </c>
      <c r="J602" s="241"/>
      <c r="K602" s="241"/>
      <c r="L602" s="238"/>
    </row>
    <row r="603" spans="2:12" outlineLevel="1">
      <c r="B603" s="237" t="s">
        <v>655</v>
      </c>
      <c r="C603" s="237" t="s">
        <v>655</v>
      </c>
      <c r="D603" s="238" t="str">
        <f>_xlfn.XLOOKUP(B603,'Relacion '!$E:$E,'Relacion '!$D:$D,"")</f>
        <v/>
      </c>
      <c r="E603" s="239">
        <f t="shared" si="136"/>
        <v>18</v>
      </c>
      <c r="F603" s="240" cm="1">
        <f t="array" ref="F603">MIN(INDEX('Relacion '!$AJ$5:$AK$493,MATCH(INDEX($B:$B, (ROW()-7)),'Relacion '!$E$5:$E$493,0),0))</f>
        <v>46118</v>
      </c>
      <c r="G603" s="240" cm="1">
        <f t="array" ref="G603">MAX(INDEX('Relacion '!$AJ$5:$AK$493,MATCH(INDEX($B:$B, (ROW()-7)),'Relacion '!$E$5:$E$493,0),0))</f>
        <v>46136</v>
      </c>
      <c r="H603" s="241" cm="1">
        <f t="array" ref="H603">IF(
 MATCH(B603,{"01. ASIGNACION AREA";"02. MAPEO";"03. DESARROLLO";"04. VALIDA US";"05. VOBO US";"06. BW-EJECUCION";"07. VALIDACIÓN BAJAWARE";"08. CERRADA"},0)
 &lt;
 MATCH(_xlfn.XLOOKUP(INDEX($B:$B, (ROW()-7)),'Relacion '!$E:$E,'Relacion '!$D:$D,""),{"01. ASIGNACION AREA";"02. MAPEO";"03. DESARROLLO";"04. VALIDA US";"05. VOBO US";"06. BW-EJECUCION";"07. VALIDACIÓN BAJAWARE";"08. CERRADA"},0),
 1,
 IF(
  MATCH(B603,{"01. ASIGNACION AREA";"02. MAPEO";"03. DESARROLLO";"04. VALIDA US";"05. VOBO US";"06. BW-EJECUCION";"07. VALIDACIÓN BAJAWARE";"08. CERRADA"},0)
  =
  MATCH(_xlfn.XLOOKUP(INDEX($B:$B, (ROW()-7)),'Relacion '!$E:$E,'Relacion '!$D:$D,""),{"01. ASIGNACION AREA";"02. MAPEO";"03. DESARROLLO";"04. VALIDA US";"05. VOBO US";"06. BW-EJECUCION";"07. VALIDACIÓN BAJAWARE";"08. CERRADA"},0),
  _xlfn.XLOOKUP(INDEX($B:$B, (ROW()-7)),'Relacion '!$E:$E,'Relacion '!#REF!,0),
  0
 )
)</f>
        <v>0</v>
      </c>
      <c r="I603" s="241">
        <f t="shared" ca="1" si="138"/>
        <v>1</v>
      </c>
      <c r="J603" s="241"/>
      <c r="K603" s="241"/>
      <c r="L603" s="238"/>
    </row>
    <row r="604" spans="2:12" outlineLevel="1">
      <c r="B604" s="237" t="s">
        <v>656</v>
      </c>
      <c r="C604" s="237" t="s">
        <v>656</v>
      </c>
      <c r="D604" s="238" t="str">
        <f>_xlfn.XLOOKUP(B604,'Relacion '!$E:$E,'Relacion '!$D:$D,"")</f>
        <v/>
      </c>
      <c r="E604" s="239">
        <f t="shared" si="136"/>
        <v>0</v>
      </c>
      <c r="F604" s="240" cm="1">
        <f t="array" ref="F604">MIN(INDEX('Relacion '!$AL$5:$AM$493,MATCH(INDEX($B:$B, (ROW()-8)),'Relacion '!$E$5:$E$493,0),0))</f>
        <v>46137</v>
      </c>
      <c r="G604" s="240" cm="1">
        <f t="array" ref="G604">MAX(INDEX('Relacion '!$AL$5:$AM$493,MATCH(INDEX($B:$B, (ROW()-8)),'Relacion '!$E$5:$E$493,0),0))</f>
        <v>46137</v>
      </c>
      <c r="H604" s="241" cm="1">
        <f t="array" ref="H604">IF(
 MATCH(B604,{"01. ASIGNACION AREA";"02. MAPEO";"03. DESARROLLO";"04. VALIDA US";"05. VOBO US";"06. BW-EJECUCION";"07. VALIDACIÓN BAJAWARE";"08. CERRADA"},0)
 &lt;
 MATCH(_xlfn.XLOOKUP(INDEX($B:$B, (ROW()-8)),'Relacion '!$E:$E,'Relacion '!$D:$D,""),{"01. ASIGNACION AREA";"02. MAPEO";"03. DESARROLLO";"04. VALIDA US";"05. VOBO US";"06. BW-EJECUCION";"07. VALIDACIÓN BAJAWARE";"08. CERRADA"},0),
 1,
 IF(
  MATCH(B604,{"01. ASIGNACION AREA";"02. MAPEO";"03. DESARROLLO";"04. VALIDA US";"05. VOBO US";"06. BW-EJECUCION";"07. VALIDACIÓN BAJAWARE";"08. CERRADA"},0)
  =
  MATCH(_xlfn.XLOOKUP(INDEX($B:$B, (ROW()-8)),'Relacion '!$E:$E,'Relacion '!$D:$D,""),{"01. ASIGNACION AREA";"02. MAPEO";"03. DESARROLLO";"04. VALIDA US";"05. VOBO US";"06. BW-EJECUCION";"07. VALIDACIÓN BAJAWARE";"08. CERRADA"},0),
  _xlfn.XLOOKUP(INDEX($B:$B, (ROW()-8)),'Relacion '!$E:$E,'Relacion '!#REF!,0),
  0
 )
)</f>
        <v>0</v>
      </c>
      <c r="I604" s="241">
        <f t="shared" ca="1" si="138"/>
        <v>1</v>
      </c>
      <c r="J604" s="241"/>
      <c r="K604" s="241"/>
      <c r="L604" s="238"/>
    </row>
    <row r="605" spans="2:12">
      <c r="B605" s="232" t="s">
        <v>303</v>
      </c>
      <c r="C605" s="137" t="s">
        <v>304</v>
      </c>
      <c r="D605" s="236" t="str">
        <f>_xlfn.XLOOKUP(B605,'Relacion '!$E:$E,'Relacion '!$D:$D,"")</f>
        <v>02. MAPEO</v>
      </c>
      <c r="E605" s="233">
        <f t="shared" si="136"/>
        <v>172</v>
      </c>
      <c r="F605" s="234" cm="1">
        <f t="array" ref="F605">MIN(INDEX('Relacion '!$X$5:$AM$493,MATCH(INDEX($B:$B, (ROW()-0)),'Relacion '!$E$5:$E$493,0),0))</f>
        <v>46024</v>
      </c>
      <c r="G605" s="234" cm="1">
        <f t="array" ref="G605">MAX(INDEX('Relacion '!$X$5:$AM$493,MATCH(INDEX($B:$B, (ROW()-0)),'Relacion '!$E$5:$E$493,0),0))</f>
        <v>46196</v>
      </c>
      <c r="H605" s="235" t="e">
        <f>AVERAGE(H606:H613)</f>
        <v>#REF!</v>
      </c>
      <c r="I605" s="235">
        <f t="shared" ref="I605" ca="1" si="143">AVERAGE(I606:I613)</f>
        <v>0.375</v>
      </c>
      <c r="J605" s="236" t="str">
        <f>IF(ISNUMBER(SEARCH("Rocha", _xlfn.XLOOKUP(B605,'Relacion '!$E:$E,'Relacion '!$I:$I,""))), "Sí", "No")</f>
        <v>No</v>
      </c>
      <c r="K605" s="236" t="str">
        <f>IF(ISNUMBER(SEARCH("Rocha", _xlfn.XLOOKUP(B605,'Relacion '!$E:$E,'Relacion '!$I:$I,""))), "RMC", _xlfn.XLOOKUP(B605,'Relacion '!$E:$E,'Relacion '!$B:$B,""))</f>
        <v>Tesorería </v>
      </c>
      <c r="L605" s="236" t="str">
        <f>_xlfn.XLOOKUP(B605,'Relacion '!$E:$E,'Relacion '!$C:$C,"")</f>
        <v>Eduardo Cabral</v>
      </c>
    </row>
    <row r="606" spans="2:12" outlineLevel="1">
      <c r="B606" s="237" t="s">
        <v>654</v>
      </c>
      <c r="C606" s="237" t="s">
        <v>654</v>
      </c>
      <c r="D606" s="238" t="str">
        <f>_xlfn.XLOOKUP(B606,'Relacion '!$E:$E,'Relacion '!$D:$D,"")</f>
        <v/>
      </c>
      <c r="E606" s="239">
        <f t="shared" si="136"/>
        <v>59</v>
      </c>
      <c r="F606" s="240" cm="1">
        <f t="array" ref="F606">MIN(INDEX('Relacion '!$X$5:$Y$493,MATCH(INDEX($B:$B, (ROW()-1)),'Relacion '!$E$5:$E$493,0),0))</f>
        <v>46024</v>
      </c>
      <c r="G606" s="240" cm="1">
        <f t="array" ref="G606">MAX(INDEX('Relacion '!$X$5:$Y$493,MATCH(INDEX($B:$B, (ROW()-1)),'Relacion '!$E$5:$E$493,0),0))</f>
        <v>46083</v>
      </c>
      <c r="H606" s="241" cm="1">
        <f t="array" ref="H606">IF(
 MATCH(B606,{"01. ASIGNACION AREA";"02. MAPEO";"03. DESARROLLO";"04. VALIDA US";"05. VOBO US";"06. BW-EJECUCION";"07. VALIDACIÓN BAJAWARE";"08. CERRADA"},0)
 &lt;
 MATCH(_xlfn.XLOOKUP(INDEX($B:$B, (ROW()-1)),'Relacion '!$E:$E,'Relacion '!$D:$D,""),{"01. ASIGNACION AREA";"02. MAPEO";"03. DESARROLLO";"04. VALIDA US";"05. VOBO US";"06. BW-EJECUCION";"07. VALIDACIÓN BAJAWARE";"08. CERRADA"},0),
 1,
 IF(
  MATCH(B606,{"01. ASIGNACION AREA";"02. MAPEO";"03. DESARROLLO";"04. VALIDA US";"05. VOBO US";"06. BW-EJECUCION";"07. VALIDACIÓN BAJAWARE";"08. CERRADA"},0)
  =
  MATCH(_xlfn.XLOOKUP(INDEX($B:$B, (ROW()-1)),'Relacion '!$E:$E,'Relacion '!$D:$D,""),{"01. ASIGNACION AREA";"02. MAPEO";"03. DESARROLLO";"04. VALIDA US";"05. VOBO US";"06. BW-EJECUCION";"07. VALIDACIÓN BAJAWARE";"08. CERRADA"},0),
  _xlfn.XLOOKUP(INDEX($B:$B, (ROW()-1)),'Relacion '!$E:$E,'Relacion '!#REF!,0),
  0
 )
)</f>
        <v>1</v>
      </c>
      <c r="I606" s="241">
        <f t="shared" ref="I606" ca="1" si="144">IF(G606&lt;=TODAY(), 1, 0)</f>
        <v>1</v>
      </c>
      <c r="J606" s="241"/>
      <c r="K606" s="241"/>
      <c r="L606" s="238"/>
    </row>
    <row r="607" spans="2:12" outlineLevel="1">
      <c r="B607" s="237" t="s">
        <v>195</v>
      </c>
      <c r="C607" s="237" t="s">
        <v>195</v>
      </c>
      <c r="D607" s="238" t="str">
        <f>_xlfn.XLOOKUP(B607,'Relacion '!$E:$E,'Relacion '!$D:$D,"")</f>
        <v/>
      </c>
      <c r="E607" s="239">
        <f t="shared" si="136"/>
        <v>80</v>
      </c>
      <c r="F607" s="240" cm="1">
        <f t="array" ref="F607">MIN(INDEX('Relacion '!$Z$5:$AA$493,MATCH(INDEX($B:$B, (ROW()-2)),'Relacion '!$E$5:$E$493,0),0))</f>
        <v>46056</v>
      </c>
      <c r="G607" s="240" cm="1">
        <f t="array" ref="G607">MAX(INDEX('Relacion '!$Z$5:$AA$493,MATCH(INDEX($B:$B, (ROW()-2)),'Relacion '!$E$5:$E$493,0),0))</f>
        <v>46136</v>
      </c>
      <c r="H607" s="241" t="e" cm="1">
        <f t="array" ref="H607">IF(
 MATCH(B607,{"01. ASIGNACION AREA";"02. MAPEO";"03. DESARROLLO";"04. VALIDA US";"05. VOBO US";"06. BW-EJECUCION";"07. VALIDACIÓN BAJAWARE";"08. CERRADA"},0)
 &lt;
 MATCH(_xlfn.XLOOKUP(INDEX($B:$B, (ROW()-2)),'Relacion '!$E:$E,'Relacion '!$D:$D,""),{"01. ASIGNACION AREA";"02. MAPEO";"03. DESARROLLO";"04. VALIDA US";"05. VOBO US";"06. BW-EJECUCION";"07. VALIDACIÓN BAJAWARE";"08. CERRADA"},0),
 1,
 IF(
  MATCH(B607,{"01. ASIGNACION AREA";"02. MAPEO";"03. DESARROLLO";"04. VALIDA US";"05. VOBO US";"06. BW-EJECUCION";"07. VALIDACIÓN BAJAWARE";"08. CERRADA"},0)
  =
  MATCH(_xlfn.XLOOKUP(INDEX($B:$B, (ROW()-2)),'Relacion '!$E:$E,'Relacion '!$D:$D,""),{"01. ASIGNACION AREA";"02. MAPEO";"03. DESARROLLO";"04. VALIDA US";"05. VOBO US";"06. BW-EJECUCION";"07. VALIDACIÓN BAJAWARE";"08. CERRADA"},0),
  _xlfn.XLOOKUP(INDEX($B:$B, (ROW()-2)),'Relacion '!$E:$E,'Relacion '!#REF!,0),
  0
 )
)</f>
        <v>#REF!</v>
      </c>
      <c r="I607" s="241">
        <f t="shared" ca="1" si="138"/>
        <v>1</v>
      </c>
      <c r="J607" s="241"/>
      <c r="K607" s="241"/>
      <c r="L607" s="238"/>
    </row>
    <row r="608" spans="2:12" outlineLevel="1">
      <c r="B608" s="237" t="s">
        <v>49</v>
      </c>
      <c r="C608" s="237" t="s">
        <v>49</v>
      </c>
      <c r="D608" s="238" t="str">
        <f>_xlfn.XLOOKUP(B608,'Relacion '!$E:$E,'Relacion '!$D:$D,"")</f>
        <v/>
      </c>
      <c r="E608" s="239">
        <f t="shared" si="136"/>
        <v>18</v>
      </c>
      <c r="F608" s="240" cm="1">
        <f t="array" ref="F608">MIN(INDEX('Relacion '!$AB$5:$AC$493,MATCH(INDEX($B:$B, (ROW()-3)),'Relacion '!$E$5:$E$493,0),0))</f>
        <v>46139</v>
      </c>
      <c r="G608" s="240" cm="1">
        <f t="array" ref="G608">MAX(INDEX('Relacion '!$AB$5:$AC$493,MATCH(INDEX($B:$B, (ROW()-3)),'Relacion '!$E$5:$E$493,0),0))</f>
        <v>46157</v>
      </c>
      <c r="H608" s="241" cm="1">
        <f t="array" ref="H608">IF(
 MATCH(B608,{"01. ASIGNACION AREA";"02. MAPEO";"03. DESARROLLO";"04. VALIDA US";"05. VOBO US";"06. BW-EJECUCION";"07. VALIDACIÓN BAJAWARE";"08. CERRADA"},0)
 &lt;
 MATCH(_xlfn.XLOOKUP(INDEX($B:$B, (ROW()-3)),'Relacion '!$E:$E,'Relacion '!$D:$D,""),{"01. ASIGNACION AREA";"02. MAPEO";"03. DESARROLLO";"04. VALIDA US";"05. VOBO US";"06. BW-EJECUCION";"07. VALIDACIÓN BAJAWARE";"08. CERRADA"},0),
 1,
 IF(
  MATCH(B608,{"01. ASIGNACION AREA";"02. MAPEO";"03. DESARROLLO";"04. VALIDA US";"05. VOBO US";"06. BW-EJECUCION";"07. VALIDACIÓN BAJAWARE";"08. CERRADA"},0)
  =
  MATCH(_xlfn.XLOOKUP(INDEX($B:$B, (ROW()-3)),'Relacion '!$E:$E,'Relacion '!$D:$D,""),{"01. ASIGNACION AREA";"02. MAPEO";"03. DESARROLLO";"04. VALIDA US";"05. VOBO US";"06. BW-EJECUCION";"07. VALIDACIÓN BAJAWARE";"08. CERRADA"},0),
  _xlfn.XLOOKUP(INDEX($B:$B, (ROW()-3)),'Relacion '!$E:$E,'Relacion '!#REF!,0),
  0
 )
)</f>
        <v>0</v>
      </c>
      <c r="I608" s="241">
        <f t="shared" ca="1" si="138"/>
        <v>1</v>
      </c>
      <c r="J608" s="241"/>
      <c r="K608" s="241"/>
      <c r="L608" s="238"/>
    </row>
    <row r="609" spans="2:12" outlineLevel="1">
      <c r="B609" s="237" t="s">
        <v>324</v>
      </c>
      <c r="C609" s="237" t="s">
        <v>324</v>
      </c>
      <c r="D609" s="238" t="str">
        <f>_xlfn.XLOOKUP(B609,'Relacion '!$E:$E,'Relacion '!$D:$D,"")</f>
        <v/>
      </c>
      <c r="E609" s="239">
        <f t="shared" si="136"/>
        <v>11</v>
      </c>
      <c r="F609" s="240" cm="1">
        <f t="array" ref="F609">MIN(INDEX('Relacion '!$AD$5:$AE$493,MATCH(INDEX($B:$B, (ROW()-4)),'Relacion '!$E$5:$E$493,0),0))</f>
        <v>46160</v>
      </c>
      <c r="G609" s="240" cm="1">
        <f t="array" ref="G609">MAX(INDEX('Relacion '!$AD$5:$AE$493,MATCH(INDEX($B:$B, (ROW()-4)),'Relacion '!$E$5:$E$493,0),0))</f>
        <v>46171</v>
      </c>
      <c r="H609" s="241" cm="1">
        <f t="array" ref="H609">IF(
 MATCH(B609,{"01. ASIGNACION AREA";"02. MAPEO";"03. DESARROLLO";"04. VALIDA US";"05. VOBO US";"06. BW-EJECUCION";"07. VALIDACIÓN BAJAWARE";"08. CERRADA"},0)
 &lt;
 MATCH(_xlfn.XLOOKUP(INDEX($B:$B, (ROW()-4)),'Relacion '!$E:$E,'Relacion '!$D:$D,""),{"01. ASIGNACION AREA";"02. MAPEO";"03. DESARROLLO";"04. VALIDA US";"05. VOBO US";"06. BW-EJECUCION";"07. VALIDACIÓN BAJAWARE";"08. CERRADA"},0),
 1,
 IF(
  MATCH(B609,{"01. ASIGNACION AREA";"02. MAPEO";"03. DESARROLLO";"04. VALIDA US";"05. VOBO US";"06. BW-EJECUCION";"07. VALIDACIÓN BAJAWARE";"08. CERRADA"},0)
  =
  MATCH(_xlfn.XLOOKUP(INDEX($B:$B, (ROW()-4)),'Relacion '!$E:$E,'Relacion '!$D:$D,""),{"01. ASIGNACION AREA";"02. MAPEO";"03. DESARROLLO";"04. VALIDA US";"05. VOBO US";"06. BW-EJECUCION";"07. VALIDACIÓN BAJAWARE";"08. CERRADA"},0),
  _xlfn.XLOOKUP(INDEX($B:$B, (ROW()-4)),'Relacion '!$E:$E,'Relacion '!#REF!,0),
  0
 )
)</f>
        <v>0</v>
      </c>
      <c r="I609" s="241">
        <f t="shared" ca="1" si="138"/>
        <v>0</v>
      </c>
      <c r="J609" s="241"/>
      <c r="K609" s="241"/>
      <c r="L609" s="238"/>
    </row>
    <row r="610" spans="2:12" outlineLevel="1">
      <c r="B610" s="237" t="s">
        <v>320</v>
      </c>
      <c r="C610" s="237" t="s">
        <v>320</v>
      </c>
      <c r="D610" s="238" t="str">
        <f>_xlfn.XLOOKUP(B610,'Relacion '!$E:$E,'Relacion '!$D:$D,"")</f>
        <v/>
      </c>
      <c r="E610" s="239">
        <f t="shared" si="136"/>
        <v>3</v>
      </c>
      <c r="F610" s="240" cm="1">
        <f t="array" ref="F610">MIN(INDEX('Relacion '!$AF$5:$AG$493,MATCH(INDEX($B:$B, (ROW()-5)),'Relacion '!$E$5:$E$493,0),0))</f>
        <v>46171</v>
      </c>
      <c r="G610" s="240" cm="1">
        <f t="array" ref="G610">MAX(INDEX('Relacion '!$AF$5:$AG$493,MATCH(INDEX($B:$B, (ROW()-5)),'Relacion '!$E$5:$E$493,0),0))</f>
        <v>46174</v>
      </c>
      <c r="H610" s="241" cm="1">
        <f t="array" ref="H610">IF(
 MATCH(B610,{"01. ASIGNACION AREA";"02. MAPEO";"03. DESARROLLO";"04. VALIDA US";"05. VOBO US";"06. BW-EJECUCION";"07. VALIDACIÓN BAJAWARE";"08. CERRADA"},0)
 &lt;
 MATCH(_xlfn.XLOOKUP(INDEX($B:$B, (ROW()-5)),'Relacion '!$E:$E,'Relacion '!$D:$D,""),{"01. ASIGNACION AREA";"02. MAPEO";"03. DESARROLLO";"04. VALIDA US";"05. VOBO US";"06. BW-EJECUCION";"07. VALIDACIÓN BAJAWARE";"08. CERRADA"},0),
 1,
 IF(
  MATCH(B610,{"01. ASIGNACION AREA";"02. MAPEO";"03. DESARROLLO";"04. VALIDA US";"05. VOBO US";"06. BW-EJECUCION";"07. VALIDACIÓN BAJAWARE";"08. CERRADA"},0)
  =
  MATCH(_xlfn.XLOOKUP(INDEX($B:$B, (ROW()-5)),'Relacion '!$E:$E,'Relacion '!$D:$D,""),{"01. ASIGNACION AREA";"02. MAPEO";"03. DESARROLLO";"04. VALIDA US";"05. VOBO US";"06. BW-EJECUCION";"07. VALIDACIÓN BAJAWARE";"08. CERRADA"},0),
  _xlfn.XLOOKUP(INDEX($B:$B, (ROW()-5)),'Relacion '!$E:$E,'Relacion '!#REF!,0),
  0
 )
)</f>
        <v>0</v>
      </c>
      <c r="I610" s="241">
        <f t="shared" ca="1" si="138"/>
        <v>0</v>
      </c>
      <c r="J610" s="241"/>
      <c r="K610" s="241"/>
      <c r="L610" s="238"/>
    </row>
    <row r="611" spans="2:12" outlineLevel="1">
      <c r="B611" s="237" t="s">
        <v>710</v>
      </c>
      <c r="C611" s="237" t="s">
        <v>710</v>
      </c>
      <c r="D611" s="238" t="str">
        <f>_xlfn.XLOOKUP(B611,'Relacion '!$E:$E,'Relacion '!$D:$D,"")</f>
        <v/>
      </c>
      <c r="E611" s="239">
        <f t="shared" si="136"/>
        <v>2</v>
      </c>
      <c r="F611" s="240" cm="1">
        <f t="array" ref="F611">MIN(INDEX('Relacion '!$AH$5:$AI$493,MATCH(INDEX($B:$B, (ROW()-6)),'Relacion '!$E$5:$E$493,0),0))</f>
        <v>46175</v>
      </c>
      <c r="G611" s="240" cm="1">
        <f t="array" ref="G611">MAX(INDEX('Relacion '!$AH$5:$AI$493,MATCH(INDEX($B:$B, (ROW()-6)),'Relacion '!$E$5:$E$493,0),0))</f>
        <v>46177</v>
      </c>
      <c r="H611" s="241" cm="1">
        <f t="array" ref="H611">IF(
 MATCH(B611,{"01. ASIGNACION AREA";"02. MAPEO";"03. DESARROLLO";"04. VALIDA US";"05. VOBO US";"06. BW-EJECUCION";"07. VALIDACIÓN BAJAWARE";"08. CERRADA"},0)
 &lt;
 MATCH(_xlfn.XLOOKUP(INDEX($B:$B, (ROW()-6)),'Relacion '!$E:$E,'Relacion '!$D:$D,""),{"01. ASIGNACION AREA";"02. MAPEO";"03. DESARROLLO";"04. VALIDA US";"05. VOBO US";"06. BW-EJECUCION";"07. VALIDACIÓN BAJAWARE";"08. CERRADA"},0),
 1,
 IF(
  MATCH(B611,{"01. ASIGNACION AREA";"02. MAPEO";"03. DESARROLLO";"04. VALIDA US";"05. VOBO US";"06. BW-EJECUCION";"07. VALIDACIÓN BAJAWARE";"08. CERRADA"},0)
  =
  MATCH(_xlfn.XLOOKUP(INDEX($B:$B, (ROW()-6)),'Relacion '!$E:$E,'Relacion '!$D:$D,""),{"01. ASIGNACION AREA";"02. MAPEO";"03. DESARROLLO";"04. VALIDA US";"05. VOBO US";"06. BW-EJECUCION";"07. VALIDACIÓN BAJAWARE";"08. CERRADA"},0),
  _xlfn.XLOOKUP(INDEX($B:$B, (ROW()-6)),'Relacion '!$E:$E,'Relacion '!#REF!,0),
  0
 )
)</f>
        <v>0</v>
      </c>
      <c r="I611" s="241">
        <f t="shared" ca="1" si="138"/>
        <v>0</v>
      </c>
      <c r="J611" s="241"/>
      <c r="K611" s="241"/>
      <c r="L611" s="238"/>
    </row>
    <row r="612" spans="2:12" outlineLevel="1">
      <c r="B612" s="237" t="s">
        <v>655</v>
      </c>
      <c r="C612" s="237" t="s">
        <v>655</v>
      </c>
      <c r="D612" s="238" t="str">
        <f>_xlfn.XLOOKUP(B612,'Relacion '!$E:$E,'Relacion '!$D:$D,"")</f>
        <v/>
      </c>
      <c r="E612" s="239">
        <f t="shared" si="136"/>
        <v>14</v>
      </c>
      <c r="F612" s="240" cm="1">
        <f t="array" ref="F612">MIN(INDEX('Relacion '!$AJ$5:$AK$493,MATCH(INDEX($B:$B, (ROW()-7)),'Relacion '!$E$5:$E$493,0),0))</f>
        <v>46178</v>
      </c>
      <c r="G612" s="240" cm="1">
        <f t="array" ref="G612">MAX(INDEX('Relacion '!$AJ$5:$AK$493,MATCH(INDEX($B:$B, (ROW()-7)),'Relacion '!$E$5:$E$493,0),0))</f>
        <v>46192</v>
      </c>
      <c r="H612" s="241" cm="1">
        <f t="array" ref="H612">IF(
 MATCH(B612,{"01. ASIGNACION AREA";"02. MAPEO";"03. DESARROLLO";"04. VALIDA US";"05. VOBO US";"06. BW-EJECUCION";"07. VALIDACIÓN BAJAWARE";"08. CERRADA"},0)
 &lt;
 MATCH(_xlfn.XLOOKUP(INDEX($B:$B, (ROW()-7)),'Relacion '!$E:$E,'Relacion '!$D:$D,""),{"01. ASIGNACION AREA";"02. MAPEO";"03. DESARROLLO";"04. VALIDA US";"05. VOBO US";"06. BW-EJECUCION";"07. VALIDACIÓN BAJAWARE";"08. CERRADA"},0),
 1,
 IF(
  MATCH(B612,{"01. ASIGNACION AREA";"02. MAPEO";"03. DESARROLLO";"04. VALIDA US";"05. VOBO US";"06. BW-EJECUCION";"07. VALIDACIÓN BAJAWARE";"08. CERRADA"},0)
  =
  MATCH(_xlfn.XLOOKUP(INDEX($B:$B, (ROW()-7)),'Relacion '!$E:$E,'Relacion '!$D:$D,""),{"01. ASIGNACION AREA";"02. MAPEO";"03. DESARROLLO";"04. VALIDA US";"05. VOBO US";"06. BW-EJECUCION";"07. VALIDACIÓN BAJAWARE";"08. CERRADA"},0),
  _xlfn.XLOOKUP(INDEX($B:$B, (ROW()-7)),'Relacion '!$E:$E,'Relacion '!#REF!,0),
  0
 )
)</f>
        <v>0</v>
      </c>
      <c r="I612" s="241">
        <f t="shared" ca="1" si="138"/>
        <v>0</v>
      </c>
      <c r="J612" s="241"/>
      <c r="K612" s="241"/>
      <c r="L612" s="238"/>
    </row>
    <row r="613" spans="2:12" outlineLevel="1">
      <c r="B613" s="237" t="s">
        <v>656</v>
      </c>
      <c r="C613" s="237" t="s">
        <v>656</v>
      </c>
      <c r="D613" s="238" t="str">
        <f>_xlfn.XLOOKUP(B613,'Relacion '!$E:$E,'Relacion '!$D:$D,"")</f>
        <v/>
      </c>
      <c r="E613" s="239">
        <f t="shared" si="136"/>
        <v>1</v>
      </c>
      <c r="F613" s="240" cm="1">
        <f t="array" ref="F613">MIN(INDEX('Relacion '!$AL$5:$AM$493,MATCH(INDEX($B:$B, (ROW()-8)),'Relacion '!$E$5:$E$493,0),0))</f>
        <v>46195</v>
      </c>
      <c r="G613" s="240" cm="1">
        <f t="array" ref="G613">MAX(INDEX('Relacion '!$AL$5:$AM$493,MATCH(INDEX($B:$B, (ROW()-8)),'Relacion '!$E$5:$E$493,0),0))</f>
        <v>46196</v>
      </c>
      <c r="H613" s="241" cm="1">
        <f t="array" ref="H613">IF(
 MATCH(B613,{"01. ASIGNACION AREA";"02. MAPEO";"03. DESARROLLO";"04. VALIDA US";"05. VOBO US";"06. BW-EJECUCION";"07. VALIDACIÓN BAJAWARE";"08. CERRADA"},0)
 &lt;
 MATCH(_xlfn.XLOOKUP(INDEX($B:$B, (ROW()-8)),'Relacion '!$E:$E,'Relacion '!$D:$D,""),{"01. ASIGNACION AREA";"02. MAPEO";"03. DESARROLLO";"04. VALIDA US";"05. VOBO US";"06. BW-EJECUCION";"07. VALIDACIÓN BAJAWARE";"08. CERRADA"},0),
 1,
 IF(
  MATCH(B613,{"01. ASIGNACION AREA";"02. MAPEO";"03. DESARROLLO";"04. VALIDA US";"05. VOBO US";"06. BW-EJECUCION";"07. VALIDACIÓN BAJAWARE";"08. CERRADA"},0)
  =
  MATCH(_xlfn.XLOOKUP(INDEX($B:$B, (ROW()-8)),'Relacion '!$E:$E,'Relacion '!$D:$D,""),{"01. ASIGNACION AREA";"02. MAPEO";"03. DESARROLLO";"04. VALIDA US";"05. VOBO US";"06. BW-EJECUCION";"07. VALIDACIÓN BAJAWARE";"08. CERRADA"},0),
  _xlfn.XLOOKUP(INDEX($B:$B, (ROW()-8)),'Relacion '!$E:$E,'Relacion '!#REF!,0),
  0
 )
)</f>
        <v>0</v>
      </c>
      <c r="I613" s="241">
        <f t="shared" ca="1" si="138"/>
        <v>0</v>
      </c>
      <c r="J613" s="241"/>
      <c r="K613" s="241"/>
      <c r="L613" s="238"/>
    </row>
    <row r="614" spans="2:12">
      <c r="B614" s="232" t="s">
        <v>500</v>
      </c>
      <c r="C614" s="174" t="s">
        <v>501</v>
      </c>
      <c r="D614" s="236" t="str">
        <f>_xlfn.XLOOKUP(B614,'Relacion '!$E:$E,'Relacion '!$D:$D,"")</f>
        <v>08. CERRADA</v>
      </c>
      <c r="E614" s="233">
        <f t="shared" si="136"/>
        <v>85</v>
      </c>
      <c r="F614" s="234" cm="1">
        <f t="array" ref="F614">MIN(INDEX('Relacion '!$X$5:$AM$493,MATCH(INDEX($B:$B, (ROW()-0)),'Relacion '!$E$5:$E$493,0),0))</f>
        <v>46024</v>
      </c>
      <c r="G614" s="234" cm="1">
        <f t="array" ref="G614">MAX(INDEX('Relacion '!$X$5:$AM$493,MATCH(INDEX($B:$B, (ROW()-0)),'Relacion '!$E$5:$E$493,0),0))</f>
        <v>46109</v>
      </c>
      <c r="H614" s="235" t="e">
        <f>AVERAGE(H615:H622)</f>
        <v>#REF!</v>
      </c>
      <c r="I614" s="235">
        <f t="shared" ref="I614" ca="1" si="145">AVERAGE(I615:I622)</f>
        <v>1</v>
      </c>
      <c r="J614" s="236" t="str">
        <f>IF(ISNUMBER(SEARCH("Rocha", _xlfn.XLOOKUP(B614,'Relacion '!$E:$E,'Relacion '!$I:$I,""))), "Sí", "No")</f>
        <v>No</v>
      </c>
      <c r="K614" s="236" t="str">
        <f>IF(ISNUMBER(SEARCH("Rocha", _xlfn.XLOOKUP(B614,'Relacion '!$E:$E,'Relacion '!$I:$I,""))), "RMC", _xlfn.XLOOKUP(B614,'Relacion '!$E:$E,'Relacion '!$B:$B,""))</f>
        <v>Tesorería </v>
      </c>
      <c r="L614" s="236" t="str">
        <f>_xlfn.XLOOKUP(B614,'Relacion '!$E:$E,'Relacion '!$C:$C,"")</f>
        <v>Eduardo Cabral</v>
      </c>
    </row>
    <row r="615" spans="2:12" outlineLevel="1">
      <c r="B615" s="237" t="s">
        <v>654</v>
      </c>
      <c r="C615" s="237" t="s">
        <v>654</v>
      </c>
      <c r="D615" s="238" t="str">
        <f>_xlfn.XLOOKUP(B615,'Relacion '!$E:$E,'Relacion '!$D:$D,"")</f>
        <v/>
      </c>
      <c r="E615" s="239">
        <f t="shared" si="136"/>
        <v>59</v>
      </c>
      <c r="F615" s="240" cm="1">
        <f t="array" ref="F615">MIN(INDEX('Relacion '!$X$5:$Y$493,MATCH(INDEX($B:$B, (ROW()-1)),'Relacion '!$E$5:$E$493,0),0))</f>
        <v>46024</v>
      </c>
      <c r="G615" s="240" cm="1">
        <f t="array" ref="G615">MAX(INDEX('Relacion '!$X$5:$Y$493,MATCH(INDEX($B:$B, (ROW()-1)),'Relacion '!$E$5:$E$493,0),0))</f>
        <v>46083</v>
      </c>
      <c r="H615" s="241" cm="1">
        <f t="array" ref="H615">IF(
 MATCH(B615,{"01. ASIGNACION AREA";"02. MAPEO";"03. DESARROLLO";"04. VALIDA US";"05. VOBO US";"06. BW-EJECUCION";"07. VALIDACIÓN BAJAWARE";"08. CERRADA"},0)
 &lt;
 MATCH(_xlfn.XLOOKUP(INDEX($B:$B, (ROW()-1)),'Relacion '!$E:$E,'Relacion '!$D:$D,""),{"01. ASIGNACION AREA";"02. MAPEO";"03. DESARROLLO";"04. VALIDA US";"05. VOBO US";"06. BW-EJECUCION";"07. VALIDACIÓN BAJAWARE";"08. CERRADA"},0),
 1,
 IF(
  MATCH(B615,{"01. ASIGNACION AREA";"02. MAPEO";"03. DESARROLLO";"04. VALIDA US";"05. VOBO US";"06. BW-EJECUCION";"07. VALIDACIÓN BAJAWARE";"08. CERRADA"},0)
  =
  MATCH(_xlfn.XLOOKUP(INDEX($B:$B, (ROW()-1)),'Relacion '!$E:$E,'Relacion '!$D:$D,""),{"01. ASIGNACION AREA";"02. MAPEO";"03. DESARROLLO";"04. VALIDA US";"05. VOBO US";"06. BW-EJECUCION";"07. VALIDACIÓN BAJAWARE";"08. CERRADA"},0),
  _xlfn.XLOOKUP(INDEX($B:$B, (ROW()-1)),'Relacion '!$E:$E,'Relacion '!#REF!,0),
  0
 )
)</f>
        <v>1</v>
      </c>
      <c r="I615" s="241">
        <f t="shared" ref="I615" ca="1" si="146">IF(G615&lt;=TODAY(), 1, 0)</f>
        <v>1</v>
      </c>
      <c r="J615" s="241"/>
      <c r="K615" s="241"/>
      <c r="L615" s="238"/>
    </row>
    <row r="616" spans="2:12" outlineLevel="1">
      <c r="B616" s="237" t="s">
        <v>195</v>
      </c>
      <c r="C616" s="237" t="s">
        <v>195</v>
      </c>
      <c r="D616" s="238" t="str">
        <f>_xlfn.XLOOKUP(B616,'Relacion '!$E:$E,'Relacion '!$D:$D,"")</f>
        <v/>
      </c>
      <c r="E616" s="239">
        <f t="shared" si="136"/>
        <v>0</v>
      </c>
      <c r="F616" s="240" cm="1">
        <f t="array" ref="F616">MIN(INDEX('Relacion '!$Z$5:$AA$493,MATCH(INDEX($B:$B, (ROW()-2)),'Relacion '!$E$5:$E$493,0),0))</f>
        <v>46108</v>
      </c>
      <c r="G616" s="240" cm="1">
        <f t="array" ref="G616">MAX(INDEX('Relacion '!$Z$5:$AA$493,MATCH(INDEX($B:$B, (ROW()-2)),'Relacion '!$E$5:$E$493,0),0))</f>
        <v>46108</v>
      </c>
      <c r="H616" s="241" cm="1">
        <f t="array" ref="H616">IF(
 MATCH(B616,{"01. ASIGNACION AREA";"02. MAPEO";"03. DESARROLLO";"04. VALIDA US";"05. VOBO US";"06. BW-EJECUCION";"07. VALIDACIÓN BAJAWARE";"08. CERRADA"},0)
 &lt;
 MATCH(_xlfn.XLOOKUP(INDEX($B:$B, (ROW()-2)),'Relacion '!$E:$E,'Relacion '!$D:$D,""),{"01. ASIGNACION AREA";"02. MAPEO";"03. DESARROLLO";"04. VALIDA US";"05. VOBO US";"06. BW-EJECUCION";"07. VALIDACIÓN BAJAWARE";"08. CERRADA"},0),
 1,
 IF(
  MATCH(B616,{"01. ASIGNACION AREA";"02. MAPEO";"03. DESARROLLO";"04. VALIDA US";"05. VOBO US";"06. BW-EJECUCION";"07. VALIDACIÓN BAJAWARE";"08. CERRADA"},0)
  =
  MATCH(_xlfn.XLOOKUP(INDEX($B:$B, (ROW()-2)),'Relacion '!$E:$E,'Relacion '!$D:$D,""),{"01. ASIGNACION AREA";"02. MAPEO";"03. DESARROLLO";"04. VALIDA US";"05. VOBO US";"06. BW-EJECUCION";"07. VALIDACIÓN BAJAWARE";"08. CERRADA"},0),
  _xlfn.XLOOKUP(INDEX($B:$B, (ROW()-2)),'Relacion '!$E:$E,'Relacion '!#REF!,0),
  0
 )
)</f>
        <v>1</v>
      </c>
      <c r="I616" s="241">
        <f t="shared" ca="1" si="138"/>
        <v>1</v>
      </c>
      <c r="J616" s="241"/>
      <c r="K616" s="241"/>
      <c r="L616" s="238"/>
    </row>
    <row r="617" spans="2:12" outlineLevel="1">
      <c r="B617" s="237" t="s">
        <v>49</v>
      </c>
      <c r="C617" s="237" t="s">
        <v>49</v>
      </c>
      <c r="D617" s="238" t="str">
        <f>_xlfn.XLOOKUP(B617,'Relacion '!$E:$E,'Relacion '!$D:$D,"")</f>
        <v/>
      </c>
      <c r="E617" s="239">
        <f t="shared" si="136"/>
        <v>0</v>
      </c>
      <c r="F617" s="240" cm="1">
        <f t="array" ref="F617">MIN(INDEX('Relacion '!$AB$5:$AC$493,MATCH(INDEX($B:$B, (ROW()-3)),'Relacion '!$E$5:$E$493,0),0))</f>
        <v>46108</v>
      </c>
      <c r="G617" s="240" cm="1">
        <f t="array" ref="G617">MAX(INDEX('Relacion '!$AB$5:$AC$493,MATCH(INDEX($B:$B, (ROW()-3)),'Relacion '!$E$5:$E$493,0),0))</f>
        <v>46108</v>
      </c>
      <c r="H617" s="241" cm="1">
        <f t="array" ref="H617">IF(
 MATCH(B617,{"01. ASIGNACION AREA";"02. MAPEO";"03. DESARROLLO";"04. VALIDA US";"05. VOBO US";"06. BW-EJECUCION";"07. VALIDACIÓN BAJAWARE";"08. CERRADA"},0)
 &lt;
 MATCH(_xlfn.XLOOKUP(INDEX($B:$B, (ROW()-3)),'Relacion '!$E:$E,'Relacion '!$D:$D,""),{"01. ASIGNACION AREA";"02. MAPEO";"03. DESARROLLO";"04. VALIDA US";"05. VOBO US";"06. BW-EJECUCION";"07. VALIDACIÓN BAJAWARE";"08. CERRADA"},0),
 1,
 IF(
  MATCH(B617,{"01. ASIGNACION AREA";"02. MAPEO";"03. DESARROLLO";"04. VALIDA US";"05. VOBO US";"06. BW-EJECUCION";"07. VALIDACIÓN BAJAWARE";"08. CERRADA"},0)
  =
  MATCH(_xlfn.XLOOKUP(INDEX($B:$B, (ROW()-3)),'Relacion '!$E:$E,'Relacion '!$D:$D,""),{"01. ASIGNACION AREA";"02. MAPEO";"03. DESARROLLO";"04. VALIDA US";"05. VOBO US";"06. BW-EJECUCION";"07. VALIDACIÓN BAJAWARE";"08. CERRADA"},0),
  _xlfn.XLOOKUP(INDEX($B:$B, (ROW()-3)),'Relacion '!$E:$E,'Relacion '!#REF!,0),
  0
 )
)</f>
        <v>1</v>
      </c>
      <c r="I617" s="241">
        <f t="shared" ca="1" si="138"/>
        <v>1</v>
      </c>
      <c r="J617" s="241"/>
      <c r="K617" s="241"/>
      <c r="L617" s="238"/>
    </row>
    <row r="618" spans="2:12" outlineLevel="1">
      <c r="B618" s="237" t="s">
        <v>324</v>
      </c>
      <c r="C618" s="237" t="s">
        <v>324</v>
      </c>
      <c r="D618" s="238" t="str">
        <f>_xlfn.XLOOKUP(B618,'Relacion '!$E:$E,'Relacion '!$D:$D,"")</f>
        <v/>
      </c>
      <c r="E618" s="239">
        <f t="shared" si="136"/>
        <v>0</v>
      </c>
      <c r="F618" s="240" cm="1">
        <f t="array" ref="F618">MIN(INDEX('Relacion '!$AD$5:$AE$493,MATCH(INDEX($B:$B, (ROW()-4)),'Relacion '!$E$5:$E$493,0),0))</f>
        <v>46108</v>
      </c>
      <c r="G618" s="240" cm="1">
        <f t="array" ref="G618">MAX(INDEX('Relacion '!$AD$5:$AE$493,MATCH(INDEX($B:$B, (ROW()-4)),'Relacion '!$E$5:$E$493,0),0))</f>
        <v>46108</v>
      </c>
      <c r="H618" s="241" cm="1">
        <f t="array" ref="H618">IF(
 MATCH(B618,{"01. ASIGNACION AREA";"02. MAPEO";"03. DESARROLLO";"04. VALIDA US";"05. VOBO US";"06. BW-EJECUCION";"07. VALIDACIÓN BAJAWARE";"08. CERRADA"},0)
 &lt;
 MATCH(_xlfn.XLOOKUP(INDEX($B:$B, (ROW()-4)),'Relacion '!$E:$E,'Relacion '!$D:$D,""),{"01. ASIGNACION AREA";"02. MAPEO";"03. DESARROLLO";"04. VALIDA US";"05. VOBO US";"06. BW-EJECUCION";"07. VALIDACIÓN BAJAWARE";"08. CERRADA"},0),
 1,
 IF(
  MATCH(B618,{"01. ASIGNACION AREA";"02. MAPEO";"03. DESARROLLO";"04. VALIDA US";"05. VOBO US";"06. BW-EJECUCION";"07. VALIDACIÓN BAJAWARE";"08. CERRADA"},0)
  =
  MATCH(_xlfn.XLOOKUP(INDEX($B:$B, (ROW()-4)),'Relacion '!$E:$E,'Relacion '!$D:$D,""),{"01. ASIGNACION AREA";"02. MAPEO";"03. DESARROLLO";"04. VALIDA US";"05. VOBO US";"06. BW-EJECUCION";"07. VALIDACIÓN BAJAWARE";"08. CERRADA"},0),
  _xlfn.XLOOKUP(INDEX($B:$B, (ROW()-4)),'Relacion '!$E:$E,'Relacion '!#REF!,0),
  0
 )
)</f>
        <v>1</v>
      </c>
      <c r="I618" s="241">
        <f t="shared" ca="1" si="138"/>
        <v>1</v>
      </c>
      <c r="J618" s="241"/>
      <c r="K618" s="241"/>
      <c r="L618" s="238"/>
    </row>
    <row r="619" spans="2:12" outlineLevel="1">
      <c r="B619" s="237" t="s">
        <v>320</v>
      </c>
      <c r="C619" s="237" t="s">
        <v>320</v>
      </c>
      <c r="D619" s="238" t="str">
        <f>_xlfn.XLOOKUP(B619,'Relacion '!$E:$E,'Relacion '!$D:$D,"")</f>
        <v/>
      </c>
      <c r="E619" s="239">
        <f t="shared" si="136"/>
        <v>0</v>
      </c>
      <c r="F619" s="240" cm="1">
        <f t="array" ref="F619">MIN(INDEX('Relacion '!$AF$5:$AG$493,MATCH(INDEX($B:$B, (ROW()-5)),'Relacion '!$E$5:$E$493,0),0))</f>
        <v>46108</v>
      </c>
      <c r="G619" s="240" cm="1">
        <f t="array" ref="G619">MAX(INDEX('Relacion '!$AF$5:$AG$493,MATCH(INDEX($B:$B, (ROW()-5)),'Relacion '!$E$5:$E$493,0),0))</f>
        <v>46108</v>
      </c>
      <c r="H619" s="241" cm="1">
        <f t="array" ref="H619">IF(
 MATCH(B619,{"01. ASIGNACION AREA";"02. MAPEO";"03. DESARROLLO";"04. VALIDA US";"05. VOBO US";"06. BW-EJECUCION";"07. VALIDACIÓN BAJAWARE";"08. CERRADA"},0)
 &lt;
 MATCH(_xlfn.XLOOKUP(INDEX($B:$B, (ROW()-5)),'Relacion '!$E:$E,'Relacion '!$D:$D,""),{"01. ASIGNACION AREA";"02. MAPEO";"03. DESARROLLO";"04. VALIDA US";"05. VOBO US";"06. BW-EJECUCION";"07. VALIDACIÓN BAJAWARE";"08. CERRADA"},0),
 1,
 IF(
  MATCH(B619,{"01. ASIGNACION AREA";"02. MAPEO";"03. DESARROLLO";"04. VALIDA US";"05. VOBO US";"06. BW-EJECUCION";"07. VALIDACIÓN BAJAWARE";"08. CERRADA"},0)
  =
  MATCH(_xlfn.XLOOKUP(INDEX($B:$B, (ROW()-5)),'Relacion '!$E:$E,'Relacion '!$D:$D,""),{"01. ASIGNACION AREA";"02. MAPEO";"03. DESARROLLO";"04. VALIDA US";"05. VOBO US";"06. BW-EJECUCION";"07. VALIDACIÓN BAJAWARE";"08. CERRADA"},0),
  _xlfn.XLOOKUP(INDEX($B:$B, (ROW()-5)),'Relacion '!$E:$E,'Relacion '!#REF!,0),
  0
 )
)</f>
        <v>1</v>
      </c>
      <c r="I619" s="241">
        <f t="shared" ca="1" si="138"/>
        <v>1</v>
      </c>
      <c r="J619" s="241"/>
      <c r="K619" s="241"/>
      <c r="L619" s="238"/>
    </row>
    <row r="620" spans="2:12" outlineLevel="1">
      <c r="B620" s="237" t="s">
        <v>710</v>
      </c>
      <c r="C620" s="237" t="s">
        <v>710</v>
      </c>
      <c r="D620" s="238" t="str">
        <f>_xlfn.XLOOKUP(B620,'Relacion '!$E:$E,'Relacion '!$D:$D,"")</f>
        <v/>
      </c>
      <c r="E620" s="239">
        <f t="shared" si="136"/>
        <v>0</v>
      </c>
      <c r="F620" s="240" cm="1">
        <f t="array" ref="F620">MIN(INDEX('Relacion '!$AH$5:$AI$493,MATCH(INDEX($B:$B, (ROW()-6)),'Relacion '!$E$5:$E$493,0),0))</f>
        <v>46108</v>
      </c>
      <c r="G620" s="240" cm="1">
        <f t="array" ref="G620">MAX(INDEX('Relacion '!$AH$5:$AI$493,MATCH(INDEX($B:$B, (ROW()-6)),'Relacion '!$E$5:$E$493,0),0))</f>
        <v>46108</v>
      </c>
      <c r="H620" s="241" cm="1">
        <f t="array" ref="H620">IF(
 MATCH(B620,{"01. ASIGNACION AREA";"02. MAPEO";"03. DESARROLLO";"04. VALIDA US";"05. VOBO US";"06. BW-EJECUCION";"07. VALIDACIÓN BAJAWARE";"08. CERRADA"},0)
 &lt;
 MATCH(_xlfn.XLOOKUP(INDEX($B:$B, (ROW()-6)),'Relacion '!$E:$E,'Relacion '!$D:$D,""),{"01. ASIGNACION AREA";"02. MAPEO";"03. DESARROLLO";"04. VALIDA US";"05. VOBO US";"06. BW-EJECUCION";"07. VALIDACIÓN BAJAWARE";"08. CERRADA"},0),
 1,
 IF(
  MATCH(B620,{"01. ASIGNACION AREA";"02. MAPEO";"03. DESARROLLO";"04. VALIDA US";"05. VOBO US";"06. BW-EJECUCION";"07. VALIDACIÓN BAJAWARE";"08. CERRADA"},0)
  =
  MATCH(_xlfn.XLOOKUP(INDEX($B:$B, (ROW()-6)),'Relacion '!$E:$E,'Relacion '!$D:$D,""),{"01. ASIGNACION AREA";"02. MAPEO";"03. DESARROLLO";"04. VALIDA US";"05. VOBO US";"06. BW-EJECUCION";"07. VALIDACIÓN BAJAWARE";"08. CERRADA"},0),
  _xlfn.XLOOKUP(INDEX($B:$B, (ROW()-6)),'Relacion '!$E:$E,'Relacion '!#REF!,0),
  0
 )
)</f>
        <v>1</v>
      </c>
      <c r="I620" s="241">
        <f t="shared" ca="1" si="138"/>
        <v>1</v>
      </c>
      <c r="J620" s="241"/>
      <c r="K620" s="241"/>
      <c r="L620" s="238"/>
    </row>
    <row r="621" spans="2:12" outlineLevel="1">
      <c r="B621" s="237" t="s">
        <v>655</v>
      </c>
      <c r="C621" s="237" t="s">
        <v>655</v>
      </c>
      <c r="D621" s="238" t="str">
        <f>_xlfn.XLOOKUP(B621,'Relacion '!$E:$E,'Relacion '!$D:$D,"")</f>
        <v/>
      </c>
      <c r="E621" s="239">
        <f t="shared" si="136"/>
        <v>0</v>
      </c>
      <c r="F621" s="240" cm="1">
        <f t="array" ref="F621">MIN(INDEX('Relacion '!$AJ$5:$AK$493,MATCH(INDEX($B:$B, (ROW()-7)),'Relacion '!$E$5:$E$493,0),0))</f>
        <v>46108</v>
      </c>
      <c r="G621" s="240" cm="1">
        <f t="array" ref="G621">MAX(INDEX('Relacion '!$AJ$5:$AK$493,MATCH(INDEX($B:$B, (ROW()-7)),'Relacion '!$E$5:$E$493,0),0))</f>
        <v>46108</v>
      </c>
      <c r="H621" s="241" cm="1">
        <f t="array" ref="H621">IF(
 MATCH(B621,{"01. ASIGNACION AREA";"02. MAPEO";"03. DESARROLLO";"04. VALIDA US";"05. VOBO US";"06. BW-EJECUCION";"07. VALIDACIÓN BAJAWARE";"08. CERRADA"},0)
 &lt;
 MATCH(_xlfn.XLOOKUP(INDEX($B:$B, (ROW()-7)),'Relacion '!$E:$E,'Relacion '!$D:$D,""),{"01. ASIGNACION AREA";"02. MAPEO";"03. DESARROLLO";"04. VALIDA US";"05. VOBO US";"06. BW-EJECUCION";"07. VALIDACIÓN BAJAWARE";"08. CERRADA"},0),
 1,
 IF(
  MATCH(B621,{"01. ASIGNACION AREA";"02. MAPEO";"03. DESARROLLO";"04. VALIDA US";"05. VOBO US";"06. BW-EJECUCION";"07. VALIDACIÓN BAJAWARE";"08. CERRADA"},0)
  =
  MATCH(_xlfn.XLOOKUP(INDEX($B:$B, (ROW()-7)),'Relacion '!$E:$E,'Relacion '!$D:$D,""),{"01. ASIGNACION AREA";"02. MAPEO";"03. DESARROLLO";"04. VALIDA US";"05. VOBO US";"06. BW-EJECUCION";"07. VALIDACIÓN BAJAWARE";"08. CERRADA"},0),
  _xlfn.XLOOKUP(INDEX($B:$B, (ROW()-7)),'Relacion '!$E:$E,'Relacion '!#REF!,0),
  0
 )
)</f>
        <v>1</v>
      </c>
      <c r="I621" s="241">
        <f t="shared" ca="1" si="138"/>
        <v>1</v>
      </c>
      <c r="J621" s="241"/>
      <c r="K621" s="241"/>
      <c r="L621" s="238"/>
    </row>
    <row r="622" spans="2:12" outlineLevel="1">
      <c r="B622" s="237" t="s">
        <v>656</v>
      </c>
      <c r="C622" s="237" t="s">
        <v>656</v>
      </c>
      <c r="D622" s="238" t="str">
        <f>_xlfn.XLOOKUP(B622,'Relacion '!$E:$E,'Relacion '!$D:$D,"")</f>
        <v/>
      </c>
      <c r="E622" s="239">
        <f t="shared" si="136"/>
        <v>0</v>
      </c>
      <c r="F622" s="240" cm="1">
        <f t="array" ref="F622">MIN(INDEX('Relacion '!$AL$5:$AM$493,MATCH(INDEX($B:$B, (ROW()-8)),'Relacion '!$E$5:$E$493,0),0))</f>
        <v>46109</v>
      </c>
      <c r="G622" s="240" cm="1">
        <f t="array" ref="G622">MAX(INDEX('Relacion '!$AL$5:$AM$493,MATCH(INDEX($B:$B, (ROW()-8)),'Relacion '!$E$5:$E$493,0),0))</f>
        <v>46109</v>
      </c>
      <c r="H622" s="241" t="e" cm="1">
        <f t="array" ref="H622">IF(
 MATCH(B622,{"01. ASIGNACION AREA";"02. MAPEO";"03. DESARROLLO";"04. VALIDA US";"05. VOBO US";"06. BW-EJECUCION";"07. VALIDACIÓN BAJAWARE";"08. CERRADA"},0)
 &lt;
 MATCH(_xlfn.XLOOKUP(INDEX($B:$B, (ROW()-8)),'Relacion '!$E:$E,'Relacion '!$D:$D,""),{"01. ASIGNACION AREA";"02. MAPEO";"03. DESARROLLO";"04. VALIDA US";"05. VOBO US";"06. BW-EJECUCION";"07. VALIDACIÓN BAJAWARE";"08. CERRADA"},0),
 1,
 IF(
  MATCH(B622,{"01. ASIGNACION AREA";"02. MAPEO";"03. DESARROLLO";"04. VALIDA US";"05. VOBO US";"06. BW-EJECUCION";"07. VALIDACIÓN BAJAWARE";"08. CERRADA"},0)
  =
  MATCH(_xlfn.XLOOKUP(INDEX($B:$B, (ROW()-8)),'Relacion '!$E:$E,'Relacion '!$D:$D,""),{"01. ASIGNACION AREA";"02. MAPEO";"03. DESARROLLO";"04. VALIDA US";"05. VOBO US";"06. BW-EJECUCION";"07. VALIDACIÓN BAJAWARE";"08. CERRADA"},0),
  _xlfn.XLOOKUP(INDEX($B:$B, (ROW()-8)),'Relacion '!$E:$E,'Relacion '!#REF!,0),
  0
 )
)</f>
        <v>#REF!</v>
      </c>
      <c r="I622" s="241">
        <f t="shared" ca="1" si="138"/>
        <v>1</v>
      </c>
      <c r="J622" s="241"/>
      <c r="K622" s="241"/>
      <c r="L622" s="238"/>
    </row>
    <row r="623" spans="2:12">
      <c r="B623" s="232" t="s">
        <v>301</v>
      </c>
      <c r="C623" s="137" t="s">
        <v>302</v>
      </c>
      <c r="D623" s="236" t="str">
        <f>_xlfn.XLOOKUP(B623,'Relacion '!$E:$E,'Relacion '!$D:$D,"")</f>
        <v>02. MAPEO</v>
      </c>
      <c r="E623" s="233">
        <f t="shared" si="136"/>
        <v>172</v>
      </c>
      <c r="F623" s="234" cm="1">
        <f t="array" ref="F623">MIN(INDEX('Relacion '!$X$5:$AM$493,MATCH(INDEX($B:$B, (ROW()-0)),'Relacion '!$E$5:$E$493,0),0))</f>
        <v>46024</v>
      </c>
      <c r="G623" s="234" cm="1">
        <f t="array" ref="G623">MAX(INDEX('Relacion '!$X$5:$AM$493,MATCH(INDEX($B:$B, (ROW()-0)),'Relacion '!$E$5:$E$493,0),0))</f>
        <v>46196</v>
      </c>
      <c r="H623" s="235" t="e">
        <f>AVERAGE(H624:H631)</f>
        <v>#REF!</v>
      </c>
      <c r="I623" s="235">
        <f t="shared" ref="I623" ca="1" si="147">AVERAGE(I624:I631)</f>
        <v>0.375</v>
      </c>
      <c r="J623" s="236" t="str">
        <f>IF(ISNUMBER(SEARCH("Rocha", _xlfn.XLOOKUP(B623,'Relacion '!$E:$E,'Relacion '!$I:$I,""))), "Sí", "No")</f>
        <v>No</v>
      </c>
      <c r="K623" s="236" t="str">
        <f>IF(ISNUMBER(SEARCH("Rocha", _xlfn.XLOOKUP(B623,'Relacion '!$E:$E,'Relacion '!$I:$I,""))), "RMC", _xlfn.XLOOKUP(B623,'Relacion '!$E:$E,'Relacion '!$B:$B,""))</f>
        <v>Tesorería </v>
      </c>
      <c r="L623" s="236" t="str">
        <f>_xlfn.XLOOKUP(B623,'Relacion '!$E:$E,'Relacion '!$C:$C,"")</f>
        <v>Eduardo Cabral</v>
      </c>
    </row>
    <row r="624" spans="2:12" outlineLevel="1">
      <c r="B624" s="237" t="s">
        <v>654</v>
      </c>
      <c r="C624" s="237" t="s">
        <v>654</v>
      </c>
      <c r="D624" s="238" t="str">
        <f>_xlfn.XLOOKUP(B624,'Relacion '!$E:$E,'Relacion '!$D:$D,"")</f>
        <v/>
      </c>
      <c r="E624" s="239">
        <f t="shared" si="136"/>
        <v>59</v>
      </c>
      <c r="F624" s="240" cm="1">
        <f t="array" ref="F624">MIN(INDEX('Relacion '!$X$5:$Y$493,MATCH(INDEX($B:$B, (ROW()-1)),'Relacion '!$E$5:$E$493,0),0))</f>
        <v>46024</v>
      </c>
      <c r="G624" s="240" cm="1">
        <f t="array" ref="G624">MAX(INDEX('Relacion '!$X$5:$Y$493,MATCH(INDEX($B:$B, (ROW()-1)),'Relacion '!$E$5:$E$493,0),0))</f>
        <v>46083</v>
      </c>
      <c r="H624" s="241" cm="1">
        <f t="array" ref="H624">IF(
 MATCH(B624,{"01. ASIGNACION AREA";"02. MAPEO";"03. DESARROLLO";"04. VALIDA US";"05. VOBO US";"06. BW-EJECUCION";"07. VALIDACIÓN BAJAWARE";"08. CERRADA"},0)
 &lt;
 MATCH(_xlfn.XLOOKUP(INDEX($B:$B, (ROW()-1)),'Relacion '!$E:$E,'Relacion '!$D:$D,""),{"01. ASIGNACION AREA";"02. MAPEO";"03. DESARROLLO";"04. VALIDA US";"05. VOBO US";"06. BW-EJECUCION";"07. VALIDACIÓN BAJAWARE";"08. CERRADA"},0),
 1,
 IF(
  MATCH(B624,{"01. ASIGNACION AREA";"02. MAPEO";"03. DESARROLLO";"04. VALIDA US";"05. VOBO US";"06. BW-EJECUCION";"07. VALIDACIÓN BAJAWARE";"08. CERRADA"},0)
  =
  MATCH(_xlfn.XLOOKUP(INDEX($B:$B, (ROW()-1)),'Relacion '!$E:$E,'Relacion '!$D:$D,""),{"01. ASIGNACION AREA";"02. MAPEO";"03. DESARROLLO";"04. VALIDA US";"05. VOBO US";"06. BW-EJECUCION";"07. VALIDACIÓN BAJAWARE";"08. CERRADA"},0),
  _xlfn.XLOOKUP(INDEX($B:$B, (ROW()-1)),'Relacion '!$E:$E,'Relacion '!#REF!,0),
  0
 )
)</f>
        <v>1</v>
      </c>
      <c r="I624" s="241">
        <f t="shared" ref="I624" ca="1" si="148">IF(G624&lt;=TODAY(), 1, 0)</f>
        <v>1</v>
      </c>
      <c r="J624" s="241"/>
      <c r="K624" s="241"/>
      <c r="L624" s="238"/>
    </row>
    <row r="625" spans="2:12" outlineLevel="1">
      <c r="B625" s="237" t="s">
        <v>195</v>
      </c>
      <c r="C625" s="237" t="s">
        <v>195</v>
      </c>
      <c r="D625" s="238" t="str">
        <f>_xlfn.XLOOKUP(B625,'Relacion '!$E:$E,'Relacion '!$D:$D,"")</f>
        <v/>
      </c>
      <c r="E625" s="239">
        <f t="shared" si="136"/>
        <v>80</v>
      </c>
      <c r="F625" s="240" cm="1">
        <f t="array" ref="F625">MIN(INDEX('Relacion '!$Z$5:$AA$493,MATCH(INDEX($B:$B, (ROW()-2)),'Relacion '!$E$5:$E$493,0),0))</f>
        <v>46056</v>
      </c>
      <c r="G625" s="240" cm="1">
        <f t="array" ref="G625">MAX(INDEX('Relacion '!$Z$5:$AA$493,MATCH(INDEX($B:$B, (ROW()-2)),'Relacion '!$E$5:$E$493,0),0))</f>
        <v>46136</v>
      </c>
      <c r="H625" s="241" t="e" cm="1">
        <f t="array" ref="H625">IF(
 MATCH(B625,{"01. ASIGNACION AREA";"02. MAPEO";"03. DESARROLLO";"04. VALIDA US";"05. VOBO US";"06. BW-EJECUCION";"07. VALIDACIÓN BAJAWARE";"08. CERRADA"},0)
 &lt;
 MATCH(_xlfn.XLOOKUP(INDEX($B:$B, (ROW()-2)),'Relacion '!$E:$E,'Relacion '!$D:$D,""),{"01. ASIGNACION AREA";"02. MAPEO";"03. DESARROLLO";"04. VALIDA US";"05. VOBO US";"06. BW-EJECUCION";"07. VALIDACIÓN BAJAWARE";"08. CERRADA"},0),
 1,
 IF(
  MATCH(B625,{"01. ASIGNACION AREA";"02. MAPEO";"03. DESARROLLO";"04. VALIDA US";"05. VOBO US";"06. BW-EJECUCION";"07. VALIDACIÓN BAJAWARE";"08. CERRADA"},0)
  =
  MATCH(_xlfn.XLOOKUP(INDEX($B:$B, (ROW()-2)),'Relacion '!$E:$E,'Relacion '!$D:$D,""),{"01. ASIGNACION AREA";"02. MAPEO";"03. DESARROLLO";"04. VALIDA US";"05. VOBO US";"06. BW-EJECUCION";"07. VALIDACIÓN BAJAWARE";"08. CERRADA"},0),
  _xlfn.XLOOKUP(INDEX($B:$B, (ROW()-2)),'Relacion '!$E:$E,'Relacion '!#REF!,0),
  0
 )
)</f>
        <v>#REF!</v>
      </c>
      <c r="I625" s="241">
        <f t="shared" ca="1" si="138"/>
        <v>1</v>
      </c>
      <c r="J625" s="241"/>
      <c r="K625" s="241"/>
      <c r="L625" s="238"/>
    </row>
    <row r="626" spans="2:12" outlineLevel="1">
      <c r="B626" s="237" t="s">
        <v>49</v>
      </c>
      <c r="C626" s="237" t="s">
        <v>49</v>
      </c>
      <c r="D626" s="238" t="str">
        <f>_xlfn.XLOOKUP(B626,'Relacion '!$E:$E,'Relacion '!$D:$D,"")</f>
        <v/>
      </c>
      <c r="E626" s="239">
        <f t="shared" si="136"/>
        <v>18</v>
      </c>
      <c r="F626" s="240" cm="1">
        <f t="array" ref="F626">MIN(INDEX('Relacion '!$AB$5:$AC$493,MATCH(INDEX($B:$B, (ROW()-3)),'Relacion '!$E$5:$E$493,0),0))</f>
        <v>46139</v>
      </c>
      <c r="G626" s="240" cm="1">
        <f t="array" ref="G626">MAX(INDEX('Relacion '!$AB$5:$AC$493,MATCH(INDEX($B:$B, (ROW()-3)),'Relacion '!$E$5:$E$493,0),0))</f>
        <v>46157</v>
      </c>
      <c r="H626" s="241" cm="1">
        <f t="array" ref="H626">IF(
 MATCH(B626,{"01. ASIGNACION AREA";"02. MAPEO";"03. DESARROLLO";"04. VALIDA US";"05. VOBO US";"06. BW-EJECUCION";"07. VALIDACIÓN BAJAWARE";"08. CERRADA"},0)
 &lt;
 MATCH(_xlfn.XLOOKUP(INDEX($B:$B, (ROW()-3)),'Relacion '!$E:$E,'Relacion '!$D:$D,""),{"01. ASIGNACION AREA";"02. MAPEO";"03. DESARROLLO";"04. VALIDA US";"05. VOBO US";"06. BW-EJECUCION";"07. VALIDACIÓN BAJAWARE";"08. CERRADA"},0),
 1,
 IF(
  MATCH(B626,{"01. ASIGNACION AREA";"02. MAPEO";"03. DESARROLLO";"04. VALIDA US";"05. VOBO US";"06. BW-EJECUCION";"07. VALIDACIÓN BAJAWARE";"08. CERRADA"},0)
  =
  MATCH(_xlfn.XLOOKUP(INDEX($B:$B, (ROW()-3)),'Relacion '!$E:$E,'Relacion '!$D:$D,""),{"01. ASIGNACION AREA";"02. MAPEO";"03. DESARROLLO";"04. VALIDA US";"05. VOBO US";"06. BW-EJECUCION";"07. VALIDACIÓN BAJAWARE";"08. CERRADA"},0),
  _xlfn.XLOOKUP(INDEX($B:$B, (ROW()-3)),'Relacion '!$E:$E,'Relacion '!#REF!,0),
  0
 )
)</f>
        <v>0</v>
      </c>
      <c r="I626" s="241">
        <f t="shared" ca="1" si="138"/>
        <v>1</v>
      </c>
      <c r="J626" s="241"/>
      <c r="K626" s="241"/>
      <c r="L626" s="238"/>
    </row>
    <row r="627" spans="2:12" outlineLevel="1">
      <c r="B627" s="237" t="s">
        <v>324</v>
      </c>
      <c r="C627" s="237" t="s">
        <v>324</v>
      </c>
      <c r="D627" s="238" t="str">
        <f>_xlfn.XLOOKUP(B627,'Relacion '!$E:$E,'Relacion '!$D:$D,"")</f>
        <v/>
      </c>
      <c r="E627" s="239">
        <f t="shared" si="136"/>
        <v>11</v>
      </c>
      <c r="F627" s="240" cm="1">
        <f t="array" ref="F627">MIN(INDEX('Relacion '!$AD$5:$AE$493,MATCH(INDEX($B:$B, (ROW()-4)),'Relacion '!$E$5:$E$493,0),0))</f>
        <v>46160</v>
      </c>
      <c r="G627" s="240" cm="1">
        <f t="array" ref="G627">MAX(INDEX('Relacion '!$AD$5:$AE$493,MATCH(INDEX($B:$B, (ROW()-4)),'Relacion '!$E$5:$E$493,0),0))</f>
        <v>46171</v>
      </c>
      <c r="H627" s="241" cm="1">
        <f t="array" ref="H627">IF(
 MATCH(B627,{"01. ASIGNACION AREA";"02. MAPEO";"03. DESARROLLO";"04. VALIDA US";"05. VOBO US";"06. BW-EJECUCION";"07. VALIDACIÓN BAJAWARE";"08. CERRADA"},0)
 &lt;
 MATCH(_xlfn.XLOOKUP(INDEX($B:$B, (ROW()-4)),'Relacion '!$E:$E,'Relacion '!$D:$D,""),{"01. ASIGNACION AREA";"02. MAPEO";"03. DESARROLLO";"04. VALIDA US";"05. VOBO US";"06. BW-EJECUCION";"07. VALIDACIÓN BAJAWARE";"08. CERRADA"},0),
 1,
 IF(
  MATCH(B627,{"01. ASIGNACION AREA";"02. MAPEO";"03. DESARROLLO";"04. VALIDA US";"05. VOBO US";"06. BW-EJECUCION";"07. VALIDACIÓN BAJAWARE";"08. CERRADA"},0)
  =
  MATCH(_xlfn.XLOOKUP(INDEX($B:$B, (ROW()-4)),'Relacion '!$E:$E,'Relacion '!$D:$D,""),{"01. ASIGNACION AREA";"02. MAPEO";"03. DESARROLLO";"04. VALIDA US";"05. VOBO US";"06. BW-EJECUCION";"07. VALIDACIÓN BAJAWARE";"08. CERRADA"},0),
  _xlfn.XLOOKUP(INDEX($B:$B, (ROW()-4)),'Relacion '!$E:$E,'Relacion '!#REF!,0),
  0
 )
)</f>
        <v>0</v>
      </c>
      <c r="I627" s="241">
        <f t="shared" ca="1" si="138"/>
        <v>0</v>
      </c>
      <c r="J627" s="241"/>
      <c r="K627" s="241"/>
      <c r="L627" s="238"/>
    </row>
    <row r="628" spans="2:12" outlineLevel="1">
      <c r="B628" s="237" t="s">
        <v>320</v>
      </c>
      <c r="C628" s="237" t="s">
        <v>320</v>
      </c>
      <c r="D628" s="238" t="str">
        <f>_xlfn.XLOOKUP(B628,'Relacion '!$E:$E,'Relacion '!$D:$D,"")</f>
        <v/>
      </c>
      <c r="E628" s="239">
        <f t="shared" si="136"/>
        <v>3</v>
      </c>
      <c r="F628" s="240" cm="1">
        <f t="array" ref="F628">MIN(INDEX('Relacion '!$AF$5:$AG$493,MATCH(INDEX($B:$B, (ROW()-5)),'Relacion '!$E$5:$E$493,0),0))</f>
        <v>46171</v>
      </c>
      <c r="G628" s="240" cm="1">
        <f t="array" ref="G628">MAX(INDEX('Relacion '!$AF$5:$AG$493,MATCH(INDEX($B:$B, (ROW()-5)),'Relacion '!$E$5:$E$493,0),0))</f>
        <v>46174</v>
      </c>
      <c r="H628" s="241" cm="1">
        <f t="array" ref="H628">IF(
 MATCH(B628,{"01. ASIGNACION AREA";"02. MAPEO";"03. DESARROLLO";"04. VALIDA US";"05. VOBO US";"06. BW-EJECUCION";"07. VALIDACIÓN BAJAWARE";"08. CERRADA"},0)
 &lt;
 MATCH(_xlfn.XLOOKUP(INDEX($B:$B, (ROW()-5)),'Relacion '!$E:$E,'Relacion '!$D:$D,""),{"01. ASIGNACION AREA";"02. MAPEO";"03. DESARROLLO";"04. VALIDA US";"05. VOBO US";"06. BW-EJECUCION";"07. VALIDACIÓN BAJAWARE";"08. CERRADA"},0),
 1,
 IF(
  MATCH(B628,{"01. ASIGNACION AREA";"02. MAPEO";"03. DESARROLLO";"04. VALIDA US";"05. VOBO US";"06. BW-EJECUCION";"07. VALIDACIÓN BAJAWARE";"08. CERRADA"},0)
  =
  MATCH(_xlfn.XLOOKUP(INDEX($B:$B, (ROW()-5)),'Relacion '!$E:$E,'Relacion '!$D:$D,""),{"01. ASIGNACION AREA";"02. MAPEO";"03. DESARROLLO";"04. VALIDA US";"05. VOBO US";"06. BW-EJECUCION";"07. VALIDACIÓN BAJAWARE";"08. CERRADA"},0),
  _xlfn.XLOOKUP(INDEX($B:$B, (ROW()-5)),'Relacion '!$E:$E,'Relacion '!#REF!,0),
  0
 )
)</f>
        <v>0</v>
      </c>
      <c r="I628" s="241">
        <f t="shared" ca="1" si="138"/>
        <v>0</v>
      </c>
      <c r="J628" s="241"/>
      <c r="K628" s="241"/>
      <c r="L628" s="238"/>
    </row>
    <row r="629" spans="2:12" outlineLevel="1">
      <c r="B629" s="237" t="s">
        <v>710</v>
      </c>
      <c r="C629" s="237" t="s">
        <v>710</v>
      </c>
      <c r="D629" s="238" t="str">
        <f>_xlfn.XLOOKUP(B629,'Relacion '!$E:$E,'Relacion '!$D:$D,"")</f>
        <v/>
      </c>
      <c r="E629" s="239">
        <f t="shared" si="136"/>
        <v>2</v>
      </c>
      <c r="F629" s="240" cm="1">
        <f t="array" ref="F629">MIN(INDEX('Relacion '!$AH$5:$AI$493,MATCH(INDEX($B:$B, (ROW()-6)),'Relacion '!$E$5:$E$493,0),0))</f>
        <v>46175</v>
      </c>
      <c r="G629" s="240" cm="1">
        <f t="array" ref="G629">MAX(INDEX('Relacion '!$AH$5:$AI$493,MATCH(INDEX($B:$B, (ROW()-6)),'Relacion '!$E$5:$E$493,0),0))</f>
        <v>46177</v>
      </c>
      <c r="H629" s="241" cm="1">
        <f t="array" ref="H629">IF(
 MATCH(B629,{"01. ASIGNACION AREA";"02. MAPEO";"03. DESARROLLO";"04. VALIDA US";"05. VOBO US";"06. BW-EJECUCION";"07. VALIDACIÓN BAJAWARE";"08. CERRADA"},0)
 &lt;
 MATCH(_xlfn.XLOOKUP(INDEX($B:$B, (ROW()-6)),'Relacion '!$E:$E,'Relacion '!$D:$D,""),{"01. ASIGNACION AREA";"02. MAPEO";"03. DESARROLLO";"04. VALIDA US";"05. VOBO US";"06. BW-EJECUCION";"07. VALIDACIÓN BAJAWARE";"08. CERRADA"},0),
 1,
 IF(
  MATCH(B629,{"01. ASIGNACION AREA";"02. MAPEO";"03. DESARROLLO";"04. VALIDA US";"05. VOBO US";"06. BW-EJECUCION";"07. VALIDACIÓN BAJAWARE";"08. CERRADA"},0)
  =
  MATCH(_xlfn.XLOOKUP(INDEX($B:$B, (ROW()-6)),'Relacion '!$E:$E,'Relacion '!$D:$D,""),{"01. ASIGNACION AREA";"02. MAPEO";"03. DESARROLLO";"04. VALIDA US";"05. VOBO US";"06. BW-EJECUCION";"07. VALIDACIÓN BAJAWARE";"08. CERRADA"},0),
  _xlfn.XLOOKUP(INDEX($B:$B, (ROW()-6)),'Relacion '!$E:$E,'Relacion '!#REF!,0),
  0
 )
)</f>
        <v>0</v>
      </c>
      <c r="I629" s="241">
        <f t="shared" ca="1" si="138"/>
        <v>0</v>
      </c>
      <c r="J629" s="241"/>
      <c r="K629" s="241"/>
      <c r="L629" s="238"/>
    </row>
    <row r="630" spans="2:12" outlineLevel="1">
      <c r="B630" s="237" t="s">
        <v>655</v>
      </c>
      <c r="C630" s="237" t="s">
        <v>655</v>
      </c>
      <c r="D630" s="238" t="str">
        <f>_xlfn.XLOOKUP(B630,'Relacion '!$E:$E,'Relacion '!$D:$D,"")</f>
        <v/>
      </c>
      <c r="E630" s="239">
        <f t="shared" si="136"/>
        <v>14</v>
      </c>
      <c r="F630" s="240" cm="1">
        <f t="array" ref="F630">MIN(INDEX('Relacion '!$AJ$5:$AK$493,MATCH(INDEX($B:$B, (ROW()-7)),'Relacion '!$E$5:$E$493,0),0))</f>
        <v>46178</v>
      </c>
      <c r="G630" s="240" cm="1">
        <f t="array" ref="G630">MAX(INDEX('Relacion '!$AJ$5:$AK$493,MATCH(INDEX($B:$B, (ROW()-7)),'Relacion '!$E$5:$E$493,0),0))</f>
        <v>46192</v>
      </c>
      <c r="H630" s="241" cm="1">
        <f t="array" ref="H630">IF(
 MATCH(B630,{"01. ASIGNACION AREA";"02. MAPEO";"03. DESARROLLO";"04. VALIDA US";"05. VOBO US";"06. BW-EJECUCION";"07. VALIDACIÓN BAJAWARE";"08. CERRADA"},0)
 &lt;
 MATCH(_xlfn.XLOOKUP(INDEX($B:$B, (ROW()-7)),'Relacion '!$E:$E,'Relacion '!$D:$D,""),{"01. ASIGNACION AREA";"02. MAPEO";"03. DESARROLLO";"04. VALIDA US";"05. VOBO US";"06. BW-EJECUCION";"07. VALIDACIÓN BAJAWARE";"08. CERRADA"},0),
 1,
 IF(
  MATCH(B630,{"01. ASIGNACION AREA";"02. MAPEO";"03. DESARROLLO";"04. VALIDA US";"05. VOBO US";"06. BW-EJECUCION";"07. VALIDACIÓN BAJAWARE";"08. CERRADA"},0)
  =
  MATCH(_xlfn.XLOOKUP(INDEX($B:$B, (ROW()-7)),'Relacion '!$E:$E,'Relacion '!$D:$D,""),{"01. ASIGNACION AREA";"02. MAPEO";"03. DESARROLLO";"04. VALIDA US";"05. VOBO US";"06. BW-EJECUCION";"07. VALIDACIÓN BAJAWARE";"08. CERRADA"},0),
  _xlfn.XLOOKUP(INDEX($B:$B, (ROW()-7)),'Relacion '!$E:$E,'Relacion '!#REF!,0),
  0
 )
)</f>
        <v>0</v>
      </c>
      <c r="I630" s="241">
        <f t="shared" ca="1" si="138"/>
        <v>0</v>
      </c>
      <c r="J630" s="241"/>
      <c r="K630" s="241"/>
      <c r="L630" s="238"/>
    </row>
    <row r="631" spans="2:12" outlineLevel="1">
      <c r="B631" s="237" t="s">
        <v>656</v>
      </c>
      <c r="C631" s="237" t="s">
        <v>656</v>
      </c>
      <c r="D631" s="238" t="str">
        <f>_xlfn.XLOOKUP(B631,'Relacion '!$E:$E,'Relacion '!$D:$D,"")</f>
        <v/>
      </c>
      <c r="E631" s="239">
        <f t="shared" si="136"/>
        <v>1</v>
      </c>
      <c r="F631" s="240" cm="1">
        <f t="array" ref="F631">MIN(INDEX('Relacion '!$AL$5:$AM$493,MATCH(INDEX($B:$B, (ROW()-8)),'Relacion '!$E$5:$E$493,0),0))</f>
        <v>46195</v>
      </c>
      <c r="G631" s="240" cm="1">
        <f t="array" ref="G631">MAX(INDEX('Relacion '!$AL$5:$AM$493,MATCH(INDEX($B:$B, (ROW()-8)),'Relacion '!$E$5:$E$493,0),0))</f>
        <v>46196</v>
      </c>
      <c r="H631" s="241" cm="1">
        <f t="array" ref="H631">IF(
 MATCH(B631,{"01. ASIGNACION AREA";"02. MAPEO";"03. DESARROLLO";"04. VALIDA US";"05. VOBO US";"06. BW-EJECUCION";"07. VALIDACIÓN BAJAWARE";"08. CERRADA"},0)
 &lt;
 MATCH(_xlfn.XLOOKUP(INDEX($B:$B, (ROW()-8)),'Relacion '!$E:$E,'Relacion '!$D:$D,""),{"01. ASIGNACION AREA";"02. MAPEO";"03. DESARROLLO";"04. VALIDA US";"05. VOBO US";"06. BW-EJECUCION";"07. VALIDACIÓN BAJAWARE";"08. CERRADA"},0),
 1,
 IF(
  MATCH(B631,{"01. ASIGNACION AREA";"02. MAPEO";"03. DESARROLLO";"04. VALIDA US";"05. VOBO US";"06. BW-EJECUCION";"07. VALIDACIÓN BAJAWARE";"08. CERRADA"},0)
  =
  MATCH(_xlfn.XLOOKUP(INDEX($B:$B, (ROW()-8)),'Relacion '!$E:$E,'Relacion '!$D:$D,""),{"01. ASIGNACION AREA";"02. MAPEO";"03. DESARROLLO";"04. VALIDA US";"05. VOBO US";"06. BW-EJECUCION";"07. VALIDACIÓN BAJAWARE";"08. CERRADA"},0),
  _xlfn.XLOOKUP(INDEX($B:$B, (ROW()-8)),'Relacion '!$E:$E,'Relacion '!#REF!,0),
  0
 )
)</f>
        <v>0</v>
      </c>
      <c r="I631" s="241">
        <f t="shared" ca="1" si="138"/>
        <v>0</v>
      </c>
      <c r="J631" s="241"/>
      <c r="K631" s="241"/>
      <c r="L631" s="238"/>
    </row>
    <row r="632" spans="2:12">
      <c r="B632" s="232" t="s">
        <v>496</v>
      </c>
      <c r="C632" s="168" t="s">
        <v>497</v>
      </c>
      <c r="D632" s="236" t="str">
        <f>_xlfn.XLOOKUP(B632,'Relacion '!$E:$E,'Relacion '!$D:$D,"")</f>
        <v>04. VALIDA US</v>
      </c>
      <c r="E632" s="233">
        <f t="shared" si="136"/>
        <v>482</v>
      </c>
      <c r="F632" s="234" cm="1">
        <f t="array" ref="F632">MIN(INDEX('Relacion '!$X$5:$AM$493,MATCH(INDEX($B:$B, (ROW()-0)),'Relacion '!$E$5:$E$493,0),0))</f>
        <v>45659</v>
      </c>
      <c r="G632" s="234" cm="1">
        <f t="array" ref="G632">MAX(INDEX('Relacion '!$X$5:$AM$493,MATCH(INDEX($B:$B, (ROW()-0)),'Relacion '!$E$5:$E$493,0),0))</f>
        <v>46141</v>
      </c>
      <c r="H632" s="235" t="e">
        <f>AVERAGE(H633:H640)</f>
        <v>#REF!</v>
      </c>
      <c r="I632" s="235">
        <f t="shared" ref="I632" ca="1" si="149">AVERAGE(I633:I640)</f>
        <v>1</v>
      </c>
      <c r="J632" s="236" t="str">
        <f>IF(ISNUMBER(SEARCH("Rocha", _xlfn.XLOOKUP(B632,'Relacion '!$E:$E,'Relacion '!$I:$I,""))), "Sí", "No")</f>
        <v>No</v>
      </c>
      <c r="K632" s="236" t="str">
        <f>IF(ISNUMBER(SEARCH("Rocha", _xlfn.XLOOKUP(B632,'Relacion '!$E:$E,'Relacion '!$I:$I,""))), "RMC", _xlfn.XLOOKUP(B632,'Relacion '!$E:$E,'Relacion '!$B:$B,""))</f>
        <v>Operaciones Captacion</v>
      </c>
      <c r="L632" s="236" t="str">
        <f>_xlfn.XLOOKUP(B632,'Relacion '!$E:$E,'Relacion '!$C:$C,"")</f>
        <v>Luis Alberto</v>
      </c>
    </row>
    <row r="633" spans="2:12" outlineLevel="1">
      <c r="B633" s="237" t="s">
        <v>654</v>
      </c>
      <c r="C633" s="237" t="s">
        <v>654</v>
      </c>
      <c r="D633" s="238" t="str">
        <f>_xlfn.XLOOKUP(B633,'Relacion '!$E:$E,'Relacion '!$D:$D,"")</f>
        <v/>
      </c>
      <c r="E633" s="239">
        <f t="shared" si="136"/>
        <v>424</v>
      </c>
      <c r="F633" s="240" cm="1">
        <f t="array" ref="F633">MIN(INDEX('Relacion '!$X$5:$Y$493,MATCH(INDEX($B:$B, (ROW()-1)),'Relacion '!$E$5:$E$493,0),0))</f>
        <v>45659</v>
      </c>
      <c r="G633" s="240" cm="1">
        <f t="array" ref="G633">MAX(INDEX('Relacion '!$X$5:$Y$493,MATCH(INDEX($B:$B, (ROW()-1)),'Relacion '!$E$5:$E$493,0),0))</f>
        <v>46083</v>
      </c>
      <c r="H633" s="241" cm="1">
        <f t="array" ref="H633">IF(
 MATCH(B633,{"01. ASIGNACION AREA";"02. MAPEO";"03. DESARROLLO";"04. VALIDA US";"05. VOBO US";"06. BW-EJECUCION";"07. VALIDACIÓN BAJAWARE";"08. CERRADA"},0)
 &lt;
 MATCH(_xlfn.XLOOKUP(INDEX($B:$B, (ROW()-1)),'Relacion '!$E:$E,'Relacion '!$D:$D,""),{"01. ASIGNACION AREA";"02. MAPEO";"03. DESARROLLO";"04. VALIDA US";"05. VOBO US";"06. BW-EJECUCION";"07. VALIDACIÓN BAJAWARE";"08. CERRADA"},0),
 1,
 IF(
  MATCH(B633,{"01. ASIGNACION AREA";"02. MAPEO";"03. DESARROLLO";"04. VALIDA US";"05. VOBO US";"06. BW-EJECUCION";"07. VALIDACIÓN BAJAWARE";"08. CERRADA"},0)
  =
  MATCH(_xlfn.XLOOKUP(INDEX($B:$B, (ROW()-1)),'Relacion '!$E:$E,'Relacion '!$D:$D,""),{"01. ASIGNACION AREA";"02. MAPEO";"03. DESARROLLO";"04. VALIDA US";"05. VOBO US";"06. BW-EJECUCION";"07. VALIDACIÓN BAJAWARE";"08. CERRADA"},0),
  _xlfn.XLOOKUP(INDEX($B:$B, (ROW()-1)),'Relacion '!$E:$E,'Relacion '!#REF!,0),
  0
 )
)</f>
        <v>1</v>
      </c>
      <c r="I633" s="241">
        <f t="shared" ref="I633" ca="1" si="150">IF(G633&lt;=TODAY(), 1, 0)</f>
        <v>1</v>
      </c>
      <c r="J633" s="241"/>
      <c r="K633" s="241"/>
      <c r="L633" s="238"/>
    </row>
    <row r="634" spans="2:12" outlineLevel="1">
      <c r="B634" s="237" t="s">
        <v>195</v>
      </c>
      <c r="C634" s="237" t="s">
        <v>195</v>
      </c>
      <c r="D634" s="238" t="str">
        <f>_xlfn.XLOOKUP(B634,'Relacion '!$E:$E,'Relacion '!$D:$D,"")</f>
        <v/>
      </c>
      <c r="E634" s="239">
        <f t="shared" si="136"/>
        <v>0</v>
      </c>
      <c r="F634" s="240" cm="1">
        <f t="array" ref="F634">MIN(INDEX('Relacion '!$Z$5:$AA$493,MATCH(INDEX($B:$B, (ROW()-2)),'Relacion '!$E$5:$E$493,0),0))</f>
        <v>46084</v>
      </c>
      <c r="G634" s="240" cm="1">
        <f t="array" ref="G634">MAX(INDEX('Relacion '!$Z$5:$AA$493,MATCH(INDEX($B:$B, (ROW()-2)),'Relacion '!$E$5:$E$493,0),0))</f>
        <v>46084</v>
      </c>
      <c r="H634" s="241" cm="1">
        <f t="array" ref="H634">IF(
 MATCH(B634,{"01. ASIGNACION AREA";"02. MAPEO";"03. DESARROLLO";"04. VALIDA US";"05. VOBO US";"06. BW-EJECUCION";"07. VALIDACIÓN BAJAWARE";"08. CERRADA"},0)
 &lt;
 MATCH(_xlfn.XLOOKUP(INDEX($B:$B, (ROW()-2)),'Relacion '!$E:$E,'Relacion '!$D:$D,""),{"01. ASIGNACION AREA";"02. MAPEO";"03. DESARROLLO";"04. VALIDA US";"05. VOBO US";"06. BW-EJECUCION";"07. VALIDACIÓN BAJAWARE";"08. CERRADA"},0),
 1,
 IF(
  MATCH(B634,{"01. ASIGNACION AREA";"02. MAPEO";"03. DESARROLLO";"04. VALIDA US";"05. VOBO US";"06. BW-EJECUCION";"07. VALIDACIÓN BAJAWARE";"08. CERRADA"},0)
  =
  MATCH(_xlfn.XLOOKUP(INDEX($B:$B, (ROW()-2)),'Relacion '!$E:$E,'Relacion '!$D:$D,""),{"01. ASIGNACION AREA";"02. MAPEO";"03. DESARROLLO";"04. VALIDA US";"05. VOBO US";"06. BW-EJECUCION";"07. VALIDACIÓN BAJAWARE";"08. CERRADA"},0),
  _xlfn.XLOOKUP(INDEX($B:$B, (ROW()-2)),'Relacion '!$E:$E,'Relacion '!#REF!,0),
  0
 )
)</f>
        <v>1</v>
      </c>
      <c r="I634" s="241">
        <f t="shared" ca="1" si="138"/>
        <v>1</v>
      </c>
      <c r="J634" s="241"/>
      <c r="K634" s="241"/>
      <c r="L634" s="238"/>
    </row>
    <row r="635" spans="2:12" outlineLevel="1">
      <c r="B635" s="237" t="s">
        <v>49</v>
      </c>
      <c r="C635" s="237" t="s">
        <v>49</v>
      </c>
      <c r="D635" s="238" t="str">
        <f>_xlfn.XLOOKUP(B635,'Relacion '!$E:$E,'Relacion '!$D:$D,"")</f>
        <v/>
      </c>
      <c r="E635" s="239">
        <f t="shared" si="136"/>
        <v>13</v>
      </c>
      <c r="F635" s="240" cm="1">
        <f t="array" ref="F635">MIN(INDEX('Relacion '!$AB$5:$AC$493,MATCH(INDEX($B:$B, (ROW()-3)),'Relacion '!$E$5:$E$493,0),0))</f>
        <v>46085</v>
      </c>
      <c r="G635" s="240" cm="1">
        <f t="array" ref="G635">MAX(INDEX('Relacion '!$AB$5:$AC$493,MATCH(INDEX($B:$B, (ROW()-3)),'Relacion '!$E$5:$E$493,0),0))</f>
        <v>46098</v>
      </c>
      <c r="H635" s="241" cm="1">
        <f t="array" ref="H635">IF(
 MATCH(B635,{"01. ASIGNACION AREA";"02. MAPEO";"03. DESARROLLO";"04. VALIDA US";"05. VOBO US";"06. BW-EJECUCION";"07. VALIDACIÓN BAJAWARE";"08. CERRADA"},0)
 &lt;
 MATCH(_xlfn.XLOOKUP(INDEX($B:$B, (ROW()-3)),'Relacion '!$E:$E,'Relacion '!$D:$D,""),{"01. ASIGNACION AREA";"02. MAPEO";"03. DESARROLLO";"04. VALIDA US";"05. VOBO US";"06. BW-EJECUCION";"07. VALIDACIÓN BAJAWARE";"08. CERRADA"},0),
 1,
 IF(
  MATCH(B635,{"01. ASIGNACION AREA";"02. MAPEO";"03. DESARROLLO";"04. VALIDA US";"05. VOBO US";"06. BW-EJECUCION";"07. VALIDACIÓN BAJAWARE";"08. CERRADA"},0)
  =
  MATCH(_xlfn.XLOOKUP(INDEX($B:$B, (ROW()-3)),'Relacion '!$E:$E,'Relacion '!$D:$D,""),{"01. ASIGNACION AREA";"02. MAPEO";"03. DESARROLLO";"04. VALIDA US";"05. VOBO US";"06. BW-EJECUCION";"07. VALIDACIÓN BAJAWARE";"08. CERRADA"},0),
  _xlfn.XLOOKUP(INDEX($B:$B, (ROW()-3)),'Relacion '!$E:$E,'Relacion '!#REF!,0),
  0
 )
)</f>
        <v>1</v>
      </c>
      <c r="I635" s="241">
        <f t="shared" ca="1" si="138"/>
        <v>1</v>
      </c>
      <c r="J635" s="241"/>
      <c r="K635" s="241"/>
      <c r="L635" s="238"/>
    </row>
    <row r="636" spans="2:12" outlineLevel="1">
      <c r="B636" s="237" t="s">
        <v>324</v>
      </c>
      <c r="C636" s="237" t="s">
        <v>324</v>
      </c>
      <c r="D636" s="238" t="str">
        <f>_xlfn.XLOOKUP(B636,'Relacion '!$E:$E,'Relacion '!$D:$D,"")</f>
        <v/>
      </c>
      <c r="E636" s="239">
        <f t="shared" si="136"/>
        <v>20</v>
      </c>
      <c r="F636" s="240" cm="1">
        <f t="array" ref="F636">MIN(INDEX('Relacion '!$AD$5:$AE$493,MATCH(INDEX($B:$B, (ROW()-4)),'Relacion '!$E$5:$E$493,0),0))</f>
        <v>46099</v>
      </c>
      <c r="G636" s="240" cm="1">
        <f t="array" ref="G636">MAX(INDEX('Relacion '!$AD$5:$AE$493,MATCH(INDEX($B:$B, (ROW()-4)),'Relacion '!$E$5:$E$493,0),0))</f>
        <v>46119</v>
      </c>
      <c r="H636" s="241" t="e" cm="1">
        <f t="array" ref="H636">IF(
 MATCH(B636,{"01. ASIGNACION AREA";"02. MAPEO";"03. DESARROLLO";"04. VALIDA US";"05. VOBO US";"06. BW-EJECUCION";"07. VALIDACIÓN BAJAWARE";"08. CERRADA"},0)
 &lt;
 MATCH(_xlfn.XLOOKUP(INDEX($B:$B, (ROW()-4)),'Relacion '!$E:$E,'Relacion '!$D:$D,""),{"01. ASIGNACION AREA";"02. MAPEO";"03. DESARROLLO";"04. VALIDA US";"05. VOBO US";"06. BW-EJECUCION";"07. VALIDACIÓN BAJAWARE";"08. CERRADA"},0),
 1,
 IF(
  MATCH(B636,{"01. ASIGNACION AREA";"02. MAPEO";"03. DESARROLLO";"04. VALIDA US";"05. VOBO US";"06. BW-EJECUCION";"07. VALIDACIÓN BAJAWARE";"08. CERRADA"},0)
  =
  MATCH(_xlfn.XLOOKUP(INDEX($B:$B, (ROW()-4)),'Relacion '!$E:$E,'Relacion '!$D:$D,""),{"01. ASIGNACION AREA";"02. MAPEO";"03. DESARROLLO";"04. VALIDA US";"05. VOBO US";"06. BW-EJECUCION";"07. VALIDACIÓN BAJAWARE";"08. CERRADA"},0),
  _xlfn.XLOOKUP(INDEX($B:$B, (ROW()-4)),'Relacion '!$E:$E,'Relacion '!#REF!,0),
  0
 )
)</f>
        <v>#REF!</v>
      </c>
      <c r="I636" s="241">
        <f t="shared" ca="1" si="138"/>
        <v>1</v>
      </c>
      <c r="J636" s="241"/>
      <c r="K636" s="241"/>
      <c r="L636" s="238"/>
    </row>
    <row r="637" spans="2:12" outlineLevel="1">
      <c r="B637" s="237" t="s">
        <v>320</v>
      </c>
      <c r="C637" s="237" t="s">
        <v>320</v>
      </c>
      <c r="D637" s="238" t="str">
        <f>_xlfn.XLOOKUP(B637,'Relacion '!$E:$E,'Relacion '!$D:$D,"")</f>
        <v/>
      </c>
      <c r="E637" s="239">
        <f t="shared" si="136"/>
        <v>1</v>
      </c>
      <c r="F637" s="240" cm="1">
        <f t="array" ref="F637">MIN(INDEX('Relacion '!$AF$5:$AG$493,MATCH(INDEX($B:$B, (ROW()-5)),'Relacion '!$E$5:$E$493,0),0))</f>
        <v>46119</v>
      </c>
      <c r="G637" s="240" cm="1">
        <f t="array" ref="G637">MAX(INDEX('Relacion '!$AF$5:$AG$493,MATCH(INDEX($B:$B, (ROW()-5)),'Relacion '!$E$5:$E$493,0),0))</f>
        <v>46120</v>
      </c>
      <c r="H637" s="241" cm="1">
        <f t="array" ref="H637">IF(
 MATCH(B637,{"01. ASIGNACION AREA";"02. MAPEO";"03. DESARROLLO";"04. VALIDA US";"05. VOBO US";"06. BW-EJECUCION";"07. VALIDACIÓN BAJAWARE";"08. CERRADA"},0)
 &lt;
 MATCH(_xlfn.XLOOKUP(INDEX($B:$B, (ROW()-5)),'Relacion '!$E:$E,'Relacion '!$D:$D,""),{"01. ASIGNACION AREA";"02. MAPEO";"03. DESARROLLO";"04. VALIDA US";"05. VOBO US";"06. BW-EJECUCION";"07. VALIDACIÓN BAJAWARE";"08. CERRADA"},0),
 1,
 IF(
  MATCH(B637,{"01. ASIGNACION AREA";"02. MAPEO";"03. DESARROLLO";"04. VALIDA US";"05. VOBO US";"06. BW-EJECUCION";"07. VALIDACIÓN BAJAWARE";"08. CERRADA"},0)
  =
  MATCH(_xlfn.XLOOKUP(INDEX($B:$B, (ROW()-5)),'Relacion '!$E:$E,'Relacion '!$D:$D,""),{"01. ASIGNACION AREA";"02. MAPEO";"03. DESARROLLO";"04. VALIDA US";"05. VOBO US";"06. BW-EJECUCION";"07. VALIDACIÓN BAJAWARE";"08. CERRADA"},0),
  _xlfn.XLOOKUP(INDEX($B:$B, (ROW()-5)),'Relacion '!$E:$E,'Relacion '!#REF!,0),
  0
 )
)</f>
        <v>0</v>
      </c>
      <c r="I637" s="241">
        <f t="shared" ca="1" si="138"/>
        <v>1</v>
      </c>
      <c r="J637" s="241"/>
      <c r="K637" s="241"/>
      <c r="L637" s="238"/>
    </row>
    <row r="638" spans="2:12" outlineLevel="1">
      <c r="B638" s="237" t="s">
        <v>710</v>
      </c>
      <c r="C638" s="237" t="s">
        <v>710</v>
      </c>
      <c r="D638" s="238" t="str">
        <f>_xlfn.XLOOKUP(B638,'Relacion '!$E:$E,'Relacion '!$D:$D,"")</f>
        <v/>
      </c>
      <c r="E638" s="239">
        <f t="shared" si="136"/>
        <v>4</v>
      </c>
      <c r="F638" s="240" cm="1">
        <f t="array" ref="F638">MIN(INDEX('Relacion '!$AH$5:$AI$493,MATCH(INDEX($B:$B, (ROW()-6)),'Relacion '!$E$5:$E$493,0),0))</f>
        <v>46121</v>
      </c>
      <c r="G638" s="240" cm="1">
        <f t="array" ref="G638">MAX(INDEX('Relacion '!$AH$5:$AI$493,MATCH(INDEX($B:$B, (ROW()-6)),'Relacion '!$E$5:$E$493,0),0))</f>
        <v>46125</v>
      </c>
      <c r="H638" s="241" cm="1">
        <f t="array" ref="H638">IF(
 MATCH(B638,{"01. ASIGNACION AREA";"02. MAPEO";"03. DESARROLLO";"04. VALIDA US";"05. VOBO US";"06. BW-EJECUCION";"07. VALIDACIÓN BAJAWARE";"08. CERRADA"},0)
 &lt;
 MATCH(_xlfn.XLOOKUP(INDEX($B:$B, (ROW()-6)),'Relacion '!$E:$E,'Relacion '!$D:$D,""),{"01. ASIGNACION AREA";"02. MAPEO";"03. DESARROLLO";"04. VALIDA US";"05. VOBO US";"06. BW-EJECUCION";"07. VALIDACIÓN BAJAWARE";"08. CERRADA"},0),
 1,
 IF(
  MATCH(B638,{"01. ASIGNACION AREA";"02. MAPEO";"03. DESARROLLO";"04. VALIDA US";"05. VOBO US";"06. BW-EJECUCION";"07. VALIDACIÓN BAJAWARE";"08. CERRADA"},0)
  =
  MATCH(_xlfn.XLOOKUP(INDEX($B:$B, (ROW()-6)),'Relacion '!$E:$E,'Relacion '!$D:$D,""),{"01. ASIGNACION AREA";"02. MAPEO";"03. DESARROLLO";"04. VALIDA US";"05. VOBO US";"06. BW-EJECUCION";"07. VALIDACIÓN BAJAWARE";"08. CERRADA"},0),
  _xlfn.XLOOKUP(INDEX($B:$B, (ROW()-6)),'Relacion '!$E:$E,'Relacion '!#REF!,0),
  0
 )
)</f>
        <v>0</v>
      </c>
      <c r="I638" s="241">
        <f t="shared" ca="1" si="138"/>
        <v>1</v>
      </c>
      <c r="J638" s="241"/>
      <c r="K638" s="241"/>
      <c r="L638" s="238"/>
    </row>
    <row r="639" spans="2:12" outlineLevel="1">
      <c r="B639" s="237" t="s">
        <v>655</v>
      </c>
      <c r="C639" s="237" t="s">
        <v>655</v>
      </c>
      <c r="D639" s="238" t="str">
        <f>_xlfn.XLOOKUP(B639,'Relacion '!$E:$E,'Relacion '!$D:$D,"")</f>
        <v/>
      </c>
      <c r="E639" s="239">
        <f t="shared" si="136"/>
        <v>14</v>
      </c>
      <c r="F639" s="240" cm="1">
        <f t="array" ref="F639">MIN(INDEX('Relacion '!$AJ$5:$AK$493,MATCH(INDEX($B:$B, (ROW()-7)),'Relacion '!$E$5:$E$493,0),0))</f>
        <v>46126</v>
      </c>
      <c r="G639" s="240" cm="1">
        <f t="array" ref="G639">MAX(INDEX('Relacion '!$AJ$5:$AK$493,MATCH(INDEX($B:$B, (ROW()-7)),'Relacion '!$E$5:$E$493,0),0))</f>
        <v>46140</v>
      </c>
      <c r="H639" s="241" cm="1">
        <f t="array" ref="H639">IF(
 MATCH(B639,{"01. ASIGNACION AREA";"02. MAPEO";"03. DESARROLLO";"04. VALIDA US";"05. VOBO US";"06. BW-EJECUCION";"07. VALIDACIÓN BAJAWARE";"08. CERRADA"},0)
 &lt;
 MATCH(_xlfn.XLOOKUP(INDEX($B:$B, (ROW()-7)),'Relacion '!$E:$E,'Relacion '!$D:$D,""),{"01. ASIGNACION AREA";"02. MAPEO";"03. DESARROLLO";"04. VALIDA US";"05. VOBO US";"06. BW-EJECUCION";"07. VALIDACIÓN BAJAWARE";"08. CERRADA"},0),
 1,
 IF(
  MATCH(B639,{"01. ASIGNACION AREA";"02. MAPEO";"03. DESARROLLO";"04. VALIDA US";"05. VOBO US";"06. BW-EJECUCION";"07. VALIDACIÓN BAJAWARE";"08. CERRADA"},0)
  =
  MATCH(_xlfn.XLOOKUP(INDEX($B:$B, (ROW()-7)),'Relacion '!$E:$E,'Relacion '!$D:$D,""),{"01. ASIGNACION AREA";"02. MAPEO";"03. DESARROLLO";"04. VALIDA US";"05. VOBO US";"06. BW-EJECUCION";"07. VALIDACIÓN BAJAWARE";"08. CERRADA"},0),
  _xlfn.XLOOKUP(INDEX($B:$B, (ROW()-7)),'Relacion '!$E:$E,'Relacion '!#REF!,0),
  0
 )
)</f>
        <v>0</v>
      </c>
      <c r="I639" s="241">
        <f t="shared" ca="1" si="138"/>
        <v>1</v>
      </c>
      <c r="J639" s="241"/>
      <c r="K639" s="241"/>
      <c r="L639" s="238"/>
    </row>
    <row r="640" spans="2:12" outlineLevel="1">
      <c r="B640" s="237" t="s">
        <v>656</v>
      </c>
      <c r="C640" s="237" t="s">
        <v>656</v>
      </c>
      <c r="D640" s="238" t="str">
        <f>_xlfn.XLOOKUP(B640,'Relacion '!$E:$E,'Relacion '!$D:$D,"")</f>
        <v/>
      </c>
      <c r="E640" s="239">
        <f t="shared" si="136"/>
        <v>0</v>
      </c>
      <c r="F640" s="240" cm="1">
        <f t="array" ref="F640">MIN(INDEX('Relacion '!$AL$5:$AM$493,MATCH(INDEX($B:$B, (ROW()-8)),'Relacion '!$E$5:$E$493,0),0))</f>
        <v>46141</v>
      </c>
      <c r="G640" s="240" cm="1">
        <f t="array" ref="G640">MAX(INDEX('Relacion '!$AL$5:$AM$493,MATCH(INDEX($B:$B, (ROW()-8)),'Relacion '!$E$5:$E$493,0),0))</f>
        <v>46141</v>
      </c>
      <c r="H640" s="241" cm="1">
        <f t="array" ref="H640">IF(
 MATCH(B640,{"01. ASIGNACION AREA";"02. MAPEO";"03. DESARROLLO";"04. VALIDA US";"05. VOBO US";"06. BW-EJECUCION";"07. VALIDACIÓN BAJAWARE";"08. CERRADA"},0)
 &lt;
 MATCH(_xlfn.XLOOKUP(INDEX($B:$B, (ROW()-8)),'Relacion '!$E:$E,'Relacion '!$D:$D,""),{"01. ASIGNACION AREA";"02. MAPEO";"03. DESARROLLO";"04. VALIDA US";"05. VOBO US";"06. BW-EJECUCION";"07. VALIDACIÓN BAJAWARE";"08. CERRADA"},0),
 1,
 IF(
  MATCH(B640,{"01. ASIGNACION AREA";"02. MAPEO";"03. DESARROLLO";"04. VALIDA US";"05. VOBO US";"06. BW-EJECUCION";"07. VALIDACIÓN BAJAWARE";"08. CERRADA"},0)
  =
  MATCH(_xlfn.XLOOKUP(INDEX($B:$B, (ROW()-8)),'Relacion '!$E:$E,'Relacion '!$D:$D,""),{"01. ASIGNACION AREA";"02. MAPEO";"03. DESARROLLO";"04. VALIDA US";"05. VOBO US";"06. BW-EJECUCION";"07. VALIDACIÓN BAJAWARE";"08. CERRADA"},0),
  _xlfn.XLOOKUP(INDEX($B:$B, (ROW()-8)),'Relacion '!$E:$E,'Relacion '!#REF!,0),
  0
 )
)</f>
        <v>0</v>
      </c>
      <c r="I640" s="241">
        <f t="shared" ca="1" si="138"/>
        <v>1</v>
      </c>
      <c r="J640" s="241"/>
      <c r="K640" s="241"/>
      <c r="L640" s="238"/>
    </row>
    <row r="641" spans="2:12">
      <c r="B641" s="232" t="s">
        <v>299</v>
      </c>
      <c r="C641" s="137" t="s">
        <v>300</v>
      </c>
      <c r="D641" s="236" t="str">
        <f>_xlfn.XLOOKUP(B641,'Relacion '!$E:$E,'Relacion '!$D:$D,"")</f>
        <v>02. MAPEO</v>
      </c>
      <c r="E641" s="233">
        <f t="shared" si="136"/>
        <v>172</v>
      </c>
      <c r="F641" s="234" cm="1">
        <f t="array" ref="F641">MIN(INDEX('Relacion '!$X$5:$AM$493,MATCH(INDEX($B:$B, (ROW()-0)),'Relacion '!$E$5:$E$493,0),0))</f>
        <v>46024</v>
      </c>
      <c r="G641" s="234" cm="1">
        <f t="array" ref="G641">MAX(INDEX('Relacion '!$X$5:$AM$493,MATCH(INDEX($B:$B, (ROW()-0)),'Relacion '!$E$5:$E$493,0),0))</f>
        <v>46196</v>
      </c>
      <c r="H641" s="235" t="e">
        <f>AVERAGE(H642:H649)</f>
        <v>#REF!</v>
      </c>
      <c r="I641" s="235">
        <f t="shared" ref="I641" ca="1" si="151">AVERAGE(I642:I649)</f>
        <v>0.375</v>
      </c>
      <c r="J641" s="236" t="str">
        <f>IF(ISNUMBER(SEARCH("Rocha", _xlfn.XLOOKUP(B641,'Relacion '!$E:$E,'Relacion '!$I:$I,""))), "Sí", "No")</f>
        <v>No</v>
      </c>
      <c r="K641" s="236" t="str">
        <f>IF(ISNUMBER(SEARCH("Rocha", _xlfn.XLOOKUP(B641,'Relacion '!$E:$E,'Relacion '!$I:$I,""))), "RMC", _xlfn.XLOOKUP(B641,'Relacion '!$E:$E,'Relacion '!$B:$B,""))</f>
        <v>Tesorería </v>
      </c>
      <c r="L641" s="236" t="str">
        <f>_xlfn.XLOOKUP(B641,'Relacion '!$E:$E,'Relacion '!$C:$C,"")</f>
        <v>Eduardo Cabral</v>
      </c>
    </row>
    <row r="642" spans="2:12" outlineLevel="1">
      <c r="B642" s="237" t="s">
        <v>654</v>
      </c>
      <c r="C642" s="237" t="s">
        <v>654</v>
      </c>
      <c r="D642" s="238" t="str">
        <f>_xlfn.XLOOKUP(B642,'Relacion '!$E:$E,'Relacion '!$D:$D,"")</f>
        <v/>
      </c>
      <c r="E642" s="239">
        <f t="shared" ref="E642:E705" si="152">IF(OR(F642="",G642=""),"",G642-F642)</f>
        <v>59</v>
      </c>
      <c r="F642" s="240" cm="1">
        <f t="array" ref="F642">MIN(INDEX('Relacion '!$X$5:$Y$493,MATCH(INDEX($B:$B, (ROW()-1)),'Relacion '!$E$5:$E$493,0),0))</f>
        <v>46024</v>
      </c>
      <c r="G642" s="240" cm="1">
        <f t="array" ref="G642">MAX(INDEX('Relacion '!$X$5:$Y$493,MATCH(INDEX($B:$B, (ROW()-1)),'Relacion '!$E$5:$E$493,0),0))</f>
        <v>46083</v>
      </c>
      <c r="H642" s="241" cm="1">
        <f t="array" ref="H642">IF(
 MATCH(B642,{"01. ASIGNACION AREA";"02. MAPEO";"03. DESARROLLO";"04. VALIDA US";"05. VOBO US";"06. BW-EJECUCION";"07. VALIDACIÓN BAJAWARE";"08. CERRADA"},0)
 &lt;
 MATCH(_xlfn.XLOOKUP(INDEX($B:$B, (ROW()-1)),'Relacion '!$E:$E,'Relacion '!$D:$D,""),{"01. ASIGNACION AREA";"02. MAPEO";"03. DESARROLLO";"04. VALIDA US";"05. VOBO US";"06. BW-EJECUCION";"07. VALIDACIÓN BAJAWARE";"08. CERRADA"},0),
 1,
 IF(
  MATCH(B642,{"01. ASIGNACION AREA";"02. MAPEO";"03. DESARROLLO";"04. VALIDA US";"05. VOBO US";"06. BW-EJECUCION";"07. VALIDACIÓN BAJAWARE";"08. CERRADA"},0)
  =
  MATCH(_xlfn.XLOOKUP(INDEX($B:$B, (ROW()-1)),'Relacion '!$E:$E,'Relacion '!$D:$D,""),{"01. ASIGNACION AREA";"02. MAPEO";"03. DESARROLLO";"04. VALIDA US";"05. VOBO US";"06. BW-EJECUCION";"07. VALIDACIÓN BAJAWARE";"08. CERRADA"},0),
  _xlfn.XLOOKUP(INDEX($B:$B, (ROW()-1)),'Relacion '!$E:$E,'Relacion '!#REF!,0),
  0
 )
)</f>
        <v>1</v>
      </c>
      <c r="I642" s="241">
        <f t="shared" ref="I642:I703" ca="1" si="153">IF(G642&lt;=TODAY(), 1, 0)</f>
        <v>1</v>
      </c>
      <c r="J642" s="241"/>
      <c r="K642" s="241"/>
      <c r="L642" s="238"/>
    </row>
    <row r="643" spans="2:12" outlineLevel="1">
      <c r="B643" s="237" t="s">
        <v>195</v>
      </c>
      <c r="C643" s="237" t="s">
        <v>195</v>
      </c>
      <c r="D643" s="238" t="str">
        <f>_xlfn.XLOOKUP(B643,'Relacion '!$E:$E,'Relacion '!$D:$D,"")</f>
        <v/>
      </c>
      <c r="E643" s="239">
        <f t="shared" si="152"/>
        <v>80</v>
      </c>
      <c r="F643" s="240" cm="1">
        <f t="array" ref="F643">MIN(INDEX('Relacion '!$Z$5:$AA$493,MATCH(INDEX($B:$B, (ROW()-2)),'Relacion '!$E$5:$E$493,0),0))</f>
        <v>46056</v>
      </c>
      <c r="G643" s="240" cm="1">
        <f t="array" ref="G643">MAX(INDEX('Relacion '!$Z$5:$AA$493,MATCH(INDEX($B:$B, (ROW()-2)),'Relacion '!$E$5:$E$493,0),0))</f>
        <v>46136</v>
      </c>
      <c r="H643" s="241" t="e" cm="1">
        <f t="array" ref="H643">IF(
 MATCH(B643,{"01. ASIGNACION AREA";"02. MAPEO";"03. DESARROLLO";"04. VALIDA US";"05. VOBO US";"06. BW-EJECUCION";"07. VALIDACIÓN BAJAWARE";"08. CERRADA"},0)
 &lt;
 MATCH(_xlfn.XLOOKUP(INDEX($B:$B, (ROW()-2)),'Relacion '!$E:$E,'Relacion '!$D:$D,""),{"01. ASIGNACION AREA";"02. MAPEO";"03. DESARROLLO";"04. VALIDA US";"05. VOBO US";"06. BW-EJECUCION";"07. VALIDACIÓN BAJAWARE";"08. CERRADA"},0),
 1,
 IF(
  MATCH(B643,{"01. ASIGNACION AREA";"02. MAPEO";"03. DESARROLLO";"04. VALIDA US";"05. VOBO US";"06. BW-EJECUCION";"07. VALIDACIÓN BAJAWARE";"08. CERRADA"},0)
  =
  MATCH(_xlfn.XLOOKUP(INDEX($B:$B, (ROW()-2)),'Relacion '!$E:$E,'Relacion '!$D:$D,""),{"01. ASIGNACION AREA";"02. MAPEO";"03. DESARROLLO";"04. VALIDA US";"05. VOBO US";"06. BW-EJECUCION";"07. VALIDACIÓN BAJAWARE";"08. CERRADA"},0),
  _xlfn.XLOOKUP(INDEX($B:$B, (ROW()-2)),'Relacion '!$E:$E,'Relacion '!#REF!,0),
  0
 )
)</f>
        <v>#REF!</v>
      </c>
      <c r="I643" s="241">
        <f t="shared" ca="1" si="153"/>
        <v>1</v>
      </c>
      <c r="J643" s="241"/>
      <c r="K643" s="241"/>
      <c r="L643" s="238"/>
    </row>
    <row r="644" spans="2:12" outlineLevel="1">
      <c r="B644" s="237" t="s">
        <v>49</v>
      </c>
      <c r="C644" s="237" t="s">
        <v>49</v>
      </c>
      <c r="D644" s="238" t="str">
        <f>_xlfn.XLOOKUP(B644,'Relacion '!$E:$E,'Relacion '!$D:$D,"")</f>
        <v/>
      </c>
      <c r="E644" s="239">
        <f t="shared" si="152"/>
        <v>18</v>
      </c>
      <c r="F644" s="240" cm="1">
        <f t="array" ref="F644">MIN(INDEX('Relacion '!$AB$5:$AC$493,MATCH(INDEX($B:$B, (ROW()-3)),'Relacion '!$E$5:$E$493,0),0))</f>
        <v>46139</v>
      </c>
      <c r="G644" s="240" cm="1">
        <f t="array" ref="G644">MAX(INDEX('Relacion '!$AB$5:$AC$493,MATCH(INDEX($B:$B, (ROW()-3)),'Relacion '!$E$5:$E$493,0),0))</f>
        <v>46157</v>
      </c>
      <c r="H644" s="241" cm="1">
        <f t="array" ref="H644">IF(
 MATCH(B644,{"01. ASIGNACION AREA";"02. MAPEO";"03. DESARROLLO";"04. VALIDA US";"05. VOBO US";"06. BW-EJECUCION";"07. VALIDACIÓN BAJAWARE";"08. CERRADA"},0)
 &lt;
 MATCH(_xlfn.XLOOKUP(INDEX($B:$B, (ROW()-3)),'Relacion '!$E:$E,'Relacion '!$D:$D,""),{"01. ASIGNACION AREA";"02. MAPEO";"03. DESARROLLO";"04. VALIDA US";"05. VOBO US";"06. BW-EJECUCION";"07. VALIDACIÓN BAJAWARE";"08. CERRADA"},0),
 1,
 IF(
  MATCH(B644,{"01. ASIGNACION AREA";"02. MAPEO";"03. DESARROLLO";"04. VALIDA US";"05. VOBO US";"06. BW-EJECUCION";"07. VALIDACIÓN BAJAWARE";"08. CERRADA"},0)
  =
  MATCH(_xlfn.XLOOKUP(INDEX($B:$B, (ROW()-3)),'Relacion '!$E:$E,'Relacion '!$D:$D,""),{"01. ASIGNACION AREA";"02. MAPEO";"03. DESARROLLO";"04. VALIDA US";"05. VOBO US";"06. BW-EJECUCION";"07. VALIDACIÓN BAJAWARE";"08. CERRADA"},0),
  _xlfn.XLOOKUP(INDEX($B:$B, (ROW()-3)),'Relacion '!$E:$E,'Relacion '!#REF!,0),
  0
 )
)</f>
        <v>0</v>
      </c>
      <c r="I644" s="241">
        <f t="shared" ca="1" si="153"/>
        <v>1</v>
      </c>
      <c r="J644" s="241"/>
      <c r="K644" s="241"/>
      <c r="L644" s="238"/>
    </row>
    <row r="645" spans="2:12" outlineLevel="1">
      <c r="B645" s="237" t="s">
        <v>324</v>
      </c>
      <c r="C645" s="237" t="s">
        <v>324</v>
      </c>
      <c r="D645" s="238" t="str">
        <f>_xlfn.XLOOKUP(B645,'Relacion '!$E:$E,'Relacion '!$D:$D,"")</f>
        <v/>
      </c>
      <c r="E645" s="239">
        <f t="shared" si="152"/>
        <v>11</v>
      </c>
      <c r="F645" s="240" cm="1">
        <f t="array" ref="F645">MIN(INDEX('Relacion '!$AD$5:$AE$493,MATCH(INDEX($B:$B, (ROW()-4)),'Relacion '!$E$5:$E$493,0),0))</f>
        <v>46160</v>
      </c>
      <c r="G645" s="240" cm="1">
        <f t="array" ref="G645">MAX(INDEX('Relacion '!$AD$5:$AE$493,MATCH(INDEX($B:$B, (ROW()-4)),'Relacion '!$E$5:$E$493,0),0))</f>
        <v>46171</v>
      </c>
      <c r="H645" s="241" cm="1">
        <f t="array" ref="H645">IF(
 MATCH(B645,{"01. ASIGNACION AREA";"02. MAPEO";"03. DESARROLLO";"04. VALIDA US";"05. VOBO US";"06. BW-EJECUCION";"07. VALIDACIÓN BAJAWARE";"08. CERRADA"},0)
 &lt;
 MATCH(_xlfn.XLOOKUP(INDEX($B:$B, (ROW()-4)),'Relacion '!$E:$E,'Relacion '!$D:$D,""),{"01. ASIGNACION AREA";"02. MAPEO";"03. DESARROLLO";"04. VALIDA US";"05. VOBO US";"06. BW-EJECUCION";"07. VALIDACIÓN BAJAWARE";"08. CERRADA"},0),
 1,
 IF(
  MATCH(B645,{"01. ASIGNACION AREA";"02. MAPEO";"03. DESARROLLO";"04. VALIDA US";"05. VOBO US";"06. BW-EJECUCION";"07. VALIDACIÓN BAJAWARE";"08. CERRADA"},0)
  =
  MATCH(_xlfn.XLOOKUP(INDEX($B:$B, (ROW()-4)),'Relacion '!$E:$E,'Relacion '!$D:$D,""),{"01. ASIGNACION AREA";"02. MAPEO";"03. DESARROLLO";"04. VALIDA US";"05. VOBO US";"06. BW-EJECUCION";"07. VALIDACIÓN BAJAWARE";"08. CERRADA"},0),
  _xlfn.XLOOKUP(INDEX($B:$B, (ROW()-4)),'Relacion '!$E:$E,'Relacion '!#REF!,0),
  0
 )
)</f>
        <v>0</v>
      </c>
      <c r="I645" s="241">
        <f t="shared" ca="1" si="153"/>
        <v>0</v>
      </c>
      <c r="J645" s="241"/>
      <c r="K645" s="241"/>
      <c r="L645" s="238"/>
    </row>
    <row r="646" spans="2:12" outlineLevel="1">
      <c r="B646" s="237" t="s">
        <v>320</v>
      </c>
      <c r="C646" s="237" t="s">
        <v>320</v>
      </c>
      <c r="D646" s="238" t="str">
        <f>_xlfn.XLOOKUP(B646,'Relacion '!$E:$E,'Relacion '!$D:$D,"")</f>
        <v/>
      </c>
      <c r="E646" s="239">
        <f t="shared" si="152"/>
        <v>3</v>
      </c>
      <c r="F646" s="240" cm="1">
        <f t="array" ref="F646">MIN(INDEX('Relacion '!$AF$5:$AG$493,MATCH(INDEX($B:$B, (ROW()-5)),'Relacion '!$E$5:$E$493,0),0))</f>
        <v>46171</v>
      </c>
      <c r="G646" s="240" cm="1">
        <f t="array" ref="G646">MAX(INDEX('Relacion '!$AF$5:$AG$493,MATCH(INDEX($B:$B, (ROW()-5)),'Relacion '!$E$5:$E$493,0),0))</f>
        <v>46174</v>
      </c>
      <c r="H646" s="241" cm="1">
        <f t="array" ref="H646">IF(
 MATCH(B646,{"01. ASIGNACION AREA";"02. MAPEO";"03. DESARROLLO";"04. VALIDA US";"05. VOBO US";"06. BW-EJECUCION";"07. VALIDACIÓN BAJAWARE";"08. CERRADA"},0)
 &lt;
 MATCH(_xlfn.XLOOKUP(INDEX($B:$B, (ROW()-5)),'Relacion '!$E:$E,'Relacion '!$D:$D,""),{"01. ASIGNACION AREA";"02. MAPEO";"03. DESARROLLO";"04. VALIDA US";"05. VOBO US";"06. BW-EJECUCION";"07. VALIDACIÓN BAJAWARE";"08. CERRADA"},0),
 1,
 IF(
  MATCH(B646,{"01. ASIGNACION AREA";"02. MAPEO";"03. DESARROLLO";"04. VALIDA US";"05. VOBO US";"06. BW-EJECUCION";"07. VALIDACIÓN BAJAWARE";"08. CERRADA"},0)
  =
  MATCH(_xlfn.XLOOKUP(INDEX($B:$B, (ROW()-5)),'Relacion '!$E:$E,'Relacion '!$D:$D,""),{"01. ASIGNACION AREA";"02. MAPEO";"03. DESARROLLO";"04. VALIDA US";"05. VOBO US";"06. BW-EJECUCION";"07. VALIDACIÓN BAJAWARE";"08. CERRADA"},0),
  _xlfn.XLOOKUP(INDEX($B:$B, (ROW()-5)),'Relacion '!$E:$E,'Relacion '!#REF!,0),
  0
 )
)</f>
        <v>0</v>
      </c>
      <c r="I646" s="241">
        <f t="shared" ca="1" si="153"/>
        <v>0</v>
      </c>
      <c r="J646" s="241"/>
      <c r="K646" s="241"/>
      <c r="L646" s="238"/>
    </row>
    <row r="647" spans="2:12" outlineLevel="1">
      <c r="B647" s="237" t="s">
        <v>710</v>
      </c>
      <c r="C647" s="237" t="s">
        <v>710</v>
      </c>
      <c r="D647" s="238" t="str">
        <f>_xlfn.XLOOKUP(B647,'Relacion '!$E:$E,'Relacion '!$D:$D,"")</f>
        <v/>
      </c>
      <c r="E647" s="239">
        <f t="shared" si="152"/>
        <v>2</v>
      </c>
      <c r="F647" s="240" cm="1">
        <f t="array" ref="F647">MIN(INDEX('Relacion '!$AH$5:$AI$493,MATCH(INDEX($B:$B, (ROW()-6)),'Relacion '!$E$5:$E$493,0),0))</f>
        <v>46175</v>
      </c>
      <c r="G647" s="240" cm="1">
        <f t="array" ref="G647">MAX(INDEX('Relacion '!$AH$5:$AI$493,MATCH(INDEX($B:$B, (ROW()-6)),'Relacion '!$E$5:$E$493,0),0))</f>
        <v>46177</v>
      </c>
      <c r="H647" s="241" cm="1">
        <f t="array" ref="H647">IF(
 MATCH(B647,{"01. ASIGNACION AREA";"02. MAPEO";"03. DESARROLLO";"04. VALIDA US";"05. VOBO US";"06. BW-EJECUCION";"07. VALIDACIÓN BAJAWARE";"08. CERRADA"},0)
 &lt;
 MATCH(_xlfn.XLOOKUP(INDEX($B:$B, (ROW()-6)),'Relacion '!$E:$E,'Relacion '!$D:$D,""),{"01. ASIGNACION AREA";"02. MAPEO";"03. DESARROLLO";"04. VALIDA US";"05. VOBO US";"06. BW-EJECUCION";"07. VALIDACIÓN BAJAWARE";"08. CERRADA"},0),
 1,
 IF(
  MATCH(B647,{"01. ASIGNACION AREA";"02. MAPEO";"03. DESARROLLO";"04. VALIDA US";"05. VOBO US";"06. BW-EJECUCION";"07. VALIDACIÓN BAJAWARE";"08. CERRADA"},0)
  =
  MATCH(_xlfn.XLOOKUP(INDEX($B:$B, (ROW()-6)),'Relacion '!$E:$E,'Relacion '!$D:$D,""),{"01. ASIGNACION AREA";"02. MAPEO";"03. DESARROLLO";"04. VALIDA US";"05. VOBO US";"06. BW-EJECUCION";"07. VALIDACIÓN BAJAWARE";"08. CERRADA"},0),
  _xlfn.XLOOKUP(INDEX($B:$B, (ROW()-6)),'Relacion '!$E:$E,'Relacion '!#REF!,0),
  0
 )
)</f>
        <v>0</v>
      </c>
      <c r="I647" s="241">
        <f t="shared" ca="1" si="153"/>
        <v>0</v>
      </c>
      <c r="J647" s="241"/>
      <c r="K647" s="241"/>
      <c r="L647" s="238"/>
    </row>
    <row r="648" spans="2:12" outlineLevel="1">
      <c r="B648" s="237" t="s">
        <v>655</v>
      </c>
      <c r="C648" s="237" t="s">
        <v>655</v>
      </c>
      <c r="D648" s="238" t="str">
        <f>_xlfn.XLOOKUP(B648,'Relacion '!$E:$E,'Relacion '!$D:$D,"")</f>
        <v/>
      </c>
      <c r="E648" s="239">
        <f t="shared" si="152"/>
        <v>14</v>
      </c>
      <c r="F648" s="240" cm="1">
        <f t="array" ref="F648">MIN(INDEX('Relacion '!$AJ$5:$AK$493,MATCH(INDEX($B:$B, (ROW()-7)),'Relacion '!$E$5:$E$493,0),0))</f>
        <v>46178</v>
      </c>
      <c r="G648" s="240" cm="1">
        <f t="array" ref="G648">MAX(INDEX('Relacion '!$AJ$5:$AK$493,MATCH(INDEX($B:$B, (ROW()-7)),'Relacion '!$E$5:$E$493,0),0))</f>
        <v>46192</v>
      </c>
      <c r="H648" s="241" cm="1">
        <f t="array" ref="H648">IF(
 MATCH(B648,{"01. ASIGNACION AREA";"02. MAPEO";"03. DESARROLLO";"04. VALIDA US";"05. VOBO US";"06. BW-EJECUCION";"07. VALIDACIÓN BAJAWARE";"08. CERRADA"},0)
 &lt;
 MATCH(_xlfn.XLOOKUP(INDEX($B:$B, (ROW()-7)),'Relacion '!$E:$E,'Relacion '!$D:$D,""),{"01. ASIGNACION AREA";"02. MAPEO";"03. DESARROLLO";"04. VALIDA US";"05. VOBO US";"06. BW-EJECUCION";"07. VALIDACIÓN BAJAWARE";"08. CERRADA"},0),
 1,
 IF(
  MATCH(B648,{"01. ASIGNACION AREA";"02. MAPEO";"03. DESARROLLO";"04. VALIDA US";"05. VOBO US";"06. BW-EJECUCION";"07. VALIDACIÓN BAJAWARE";"08. CERRADA"},0)
  =
  MATCH(_xlfn.XLOOKUP(INDEX($B:$B, (ROW()-7)),'Relacion '!$E:$E,'Relacion '!$D:$D,""),{"01. ASIGNACION AREA";"02. MAPEO";"03. DESARROLLO";"04. VALIDA US";"05. VOBO US";"06. BW-EJECUCION";"07. VALIDACIÓN BAJAWARE";"08. CERRADA"},0),
  _xlfn.XLOOKUP(INDEX($B:$B, (ROW()-7)),'Relacion '!$E:$E,'Relacion '!#REF!,0),
  0
 )
)</f>
        <v>0</v>
      </c>
      <c r="I648" s="241">
        <f t="shared" ca="1" si="153"/>
        <v>0</v>
      </c>
      <c r="J648" s="241"/>
      <c r="K648" s="241"/>
      <c r="L648" s="238"/>
    </row>
    <row r="649" spans="2:12" outlineLevel="1">
      <c r="B649" s="237" t="s">
        <v>656</v>
      </c>
      <c r="C649" s="237" t="s">
        <v>656</v>
      </c>
      <c r="D649" s="238" t="str">
        <f>_xlfn.XLOOKUP(B649,'Relacion '!$E:$E,'Relacion '!$D:$D,"")</f>
        <v/>
      </c>
      <c r="E649" s="239">
        <f t="shared" si="152"/>
        <v>1</v>
      </c>
      <c r="F649" s="240" cm="1">
        <f t="array" ref="F649">MIN(INDEX('Relacion '!$AL$5:$AM$493,MATCH(INDEX($B:$B, (ROW()-8)),'Relacion '!$E$5:$E$493,0),0))</f>
        <v>46195</v>
      </c>
      <c r="G649" s="240" cm="1">
        <f t="array" ref="G649">MAX(INDEX('Relacion '!$AL$5:$AM$493,MATCH(INDEX($B:$B, (ROW()-8)),'Relacion '!$E$5:$E$493,0),0))</f>
        <v>46196</v>
      </c>
      <c r="H649" s="241" cm="1">
        <f t="array" ref="H649">IF(
 MATCH(B649,{"01. ASIGNACION AREA";"02. MAPEO";"03. DESARROLLO";"04. VALIDA US";"05. VOBO US";"06. BW-EJECUCION";"07. VALIDACIÓN BAJAWARE";"08. CERRADA"},0)
 &lt;
 MATCH(_xlfn.XLOOKUP(INDEX($B:$B, (ROW()-8)),'Relacion '!$E:$E,'Relacion '!$D:$D,""),{"01. ASIGNACION AREA";"02. MAPEO";"03. DESARROLLO";"04. VALIDA US";"05. VOBO US";"06. BW-EJECUCION";"07. VALIDACIÓN BAJAWARE";"08. CERRADA"},0),
 1,
 IF(
  MATCH(B649,{"01. ASIGNACION AREA";"02. MAPEO";"03. DESARROLLO";"04. VALIDA US";"05. VOBO US";"06. BW-EJECUCION";"07. VALIDACIÓN BAJAWARE";"08. CERRADA"},0)
  =
  MATCH(_xlfn.XLOOKUP(INDEX($B:$B, (ROW()-8)),'Relacion '!$E:$E,'Relacion '!$D:$D,""),{"01. ASIGNACION AREA";"02. MAPEO";"03. DESARROLLO";"04. VALIDA US";"05. VOBO US";"06. BW-EJECUCION";"07. VALIDACIÓN BAJAWARE";"08. CERRADA"},0),
  _xlfn.XLOOKUP(INDEX($B:$B, (ROW()-8)),'Relacion '!$E:$E,'Relacion '!#REF!,0),
  0
 )
)</f>
        <v>0</v>
      </c>
      <c r="I649" s="241">
        <f t="shared" ca="1" si="153"/>
        <v>0</v>
      </c>
      <c r="J649" s="241"/>
      <c r="K649" s="241"/>
      <c r="L649" s="238"/>
    </row>
    <row r="650" spans="2:12">
      <c r="B650" s="232" t="s">
        <v>297</v>
      </c>
      <c r="C650" s="137" t="s">
        <v>298</v>
      </c>
      <c r="D650" s="236" t="str">
        <f>_xlfn.XLOOKUP(B650,'Relacion '!$E:$E,'Relacion '!$D:$D,"")</f>
        <v>02. MAPEO</v>
      </c>
      <c r="E650" s="233">
        <f t="shared" si="152"/>
        <v>172</v>
      </c>
      <c r="F650" s="234" cm="1">
        <f t="array" ref="F650">MIN(INDEX('Relacion '!$X$5:$AM$493,MATCH(INDEX($B:$B, (ROW()-0)),'Relacion '!$E$5:$E$493,0),0))</f>
        <v>46024</v>
      </c>
      <c r="G650" s="234" cm="1">
        <f t="array" ref="G650">MAX(INDEX('Relacion '!$X$5:$AM$493,MATCH(INDEX($B:$B, (ROW()-0)),'Relacion '!$E$5:$E$493,0),0))</f>
        <v>46196</v>
      </c>
      <c r="H650" s="235" t="e">
        <f>AVERAGE(H651:H658)</f>
        <v>#REF!</v>
      </c>
      <c r="I650" s="235">
        <f t="shared" ref="I650" ca="1" si="154">AVERAGE(I651:I658)</f>
        <v>0.375</v>
      </c>
      <c r="J650" s="236" t="str">
        <f>IF(ISNUMBER(SEARCH("Rocha", _xlfn.XLOOKUP(B650,'Relacion '!$E:$E,'Relacion '!$I:$I,""))), "Sí", "No")</f>
        <v>No</v>
      </c>
      <c r="K650" s="236" t="str">
        <f>IF(ISNUMBER(SEARCH("Rocha", _xlfn.XLOOKUP(B650,'Relacion '!$E:$E,'Relacion '!$I:$I,""))), "RMC", _xlfn.XLOOKUP(B650,'Relacion '!$E:$E,'Relacion '!$B:$B,""))</f>
        <v>Tesorería </v>
      </c>
      <c r="L650" s="236" t="str">
        <f>_xlfn.XLOOKUP(B650,'Relacion '!$E:$E,'Relacion '!$C:$C,"")</f>
        <v>Eduardo Cabral</v>
      </c>
    </row>
    <row r="651" spans="2:12" outlineLevel="1">
      <c r="B651" s="237" t="s">
        <v>654</v>
      </c>
      <c r="C651" s="237" t="s">
        <v>654</v>
      </c>
      <c r="D651" s="238" t="str">
        <f>_xlfn.XLOOKUP(B651,'Relacion '!$E:$E,'Relacion '!$D:$D,"")</f>
        <v/>
      </c>
      <c r="E651" s="239">
        <f t="shared" si="152"/>
        <v>59</v>
      </c>
      <c r="F651" s="240" cm="1">
        <f t="array" ref="F651">MIN(INDEX('Relacion '!$X$5:$Y$493,MATCH(INDEX($B:$B, (ROW()-1)),'Relacion '!$E$5:$E$493,0),0))</f>
        <v>46024</v>
      </c>
      <c r="G651" s="240" cm="1">
        <f t="array" ref="G651">MAX(INDEX('Relacion '!$X$5:$Y$493,MATCH(INDEX($B:$B, (ROW()-1)),'Relacion '!$E$5:$E$493,0),0))</f>
        <v>46083</v>
      </c>
      <c r="H651" s="241" cm="1">
        <f t="array" ref="H651">IF(
 MATCH(B651,{"01. ASIGNACION AREA";"02. MAPEO";"03. DESARROLLO";"04. VALIDA US";"05. VOBO US";"06. BW-EJECUCION";"07. VALIDACIÓN BAJAWARE";"08. CERRADA"},0)
 &lt;
 MATCH(_xlfn.XLOOKUP(INDEX($B:$B, (ROW()-1)),'Relacion '!$E:$E,'Relacion '!$D:$D,""),{"01. ASIGNACION AREA";"02. MAPEO";"03. DESARROLLO";"04. VALIDA US";"05. VOBO US";"06. BW-EJECUCION";"07. VALIDACIÓN BAJAWARE";"08. CERRADA"},0),
 1,
 IF(
  MATCH(B651,{"01. ASIGNACION AREA";"02. MAPEO";"03. DESARROLLO";"04. VALIDA US";"05. VOBO US";"06. BW-EJECUCION";"07. VALIDACIÓN BAJAWARE";"08. CERRADA"},0)
  =
  MATCH(_xlfn.XLOOKUP(INDEX($B:$B, (ROW()-1)),'Relacion '!$E:$E,'Relacion '!$D:$D,""),{"01. ASIGNACION AREA";"02. MAPEO";"03. DESARROLLO";"04. VALIDA US";"05. VOBO US";"06. BW-EJECUCION";"07. VALIDACIÓN BAJAWARE";"08. CERRADA"},0),
  _xlfn.XLOOKUP(INDEX($B:$B, (ROW()-1)),'Relacion '!$E:$E,'Relacion '!#REF!,0),
  0
 )
)</f>
        <v>1</v>
      </c>
      <c r="I651" s="241">
        <f t="shared" ref="I651" ca="1" si="155">IF(G651&lt;=TODAY(), 1, 0)</f>
        <v>1</v>
      </c>
      <c r="J651" s="241"/>
      <c r="K651" s="241"/>
      <c r="L651" s="238"/>
    </row>
    <row r="652" spans="2:12" outlineLevel="1">
      <c r="B652" s="237" t="s">
        <v>195</v>
      </c>
      <c r="C652" s="237" t="s">
        <v>195</v>
      </c>
      <c r="D652" s="238" t="str">
        <f>_xlfn.XLOOKUP(B652,'Relacion '!$E:$E,'Relacion '!$D:$D,"")</f>
        <v/>
      </c>
      <c r="E652" s="239">
        <f t="shared" si="152"/>
        <v>80</v>
      </c>
      <c r="F652" s="240" cm="1">
        <f t="array" ref="F652">MIN(INDEX('Relacion '!$Z$5:$AA$493,MATCH(INDEX($B:$B, (ROW()-2)),'Relacion '!$E$5:$E$493,0),0))</f>
        <v>46056</v>
      </c>
      <c r="G652" s="240" cm="1">
        <f t="array" ref="G652">MAX(INDEX('Relacion '!$Z$5:$AA$493,MATCH(INDEX($B:$B, (ROW()-2)),'Relacion '!$E$5:$E$493,0),0))</f>
        <v>46136</v>
      </c>
      <c r="H652" s="241" t="e" cm="1">
        <f t="array" ref="H652">IF(
 MATCH(B652,{"01. ASIGNACION AREA";"02. MAPEO";"03. DESARROLLO";"04. VALIDA US";"05. VOBO US";"06. BW-EJECUCION";"07. VALIDACIÓN BAJAWARE";"08. CERRADA"},0)
 &lt;
 MATCH(_xlfn.XLOOKUP(INDEX($B:$B, (ROW()-2)),'Relacion '!$E:$E,'Relacion '!$D:$D,""),{"01. ASIGNACION AREA";"02. MAPEO";"03. DESARROLLO";"04. VALIDA US";"05. VOBO US";"06. BW-EJECUCION";"07. VALIDACIÓN BAJAWARE";"08. CERRADA"},0),
 1,
 IF(
  MATCH(B652,{"01. ASIGNACION AREA";"02. MAPEO";"03. DESARROLLO";"04. VALIDA US";"05. VOBO US";"06. BW-EJECUCION";"07. VALIDACIÓN BAJAWARE";"08. CERRADA"},0)
  =
  MATCH(_xlfn.XLOOKUP(INDEX($B:$B, (ROW()-2)),'Relacion '!$E:$E,'Relacion '!$D:$D,""),{"01. ASIGNACION AREA";"02. MAPEO";"03. DESARROLLO";"04. VALIDA US";"05. VOBO US";"06. BW-EJECUCION";"07. VALIDACIÓN BAJAWARE";"08. CERRADA"},0),
  _xlfn.XLOOKUP(INDEX($B:$B, (ROW()-2)),'Relacion '!$E:$E,'Relacion '!#REF!,0),
  0
 )
)</f>
        <v>#REF!</v>
      </c>
      <c r="I652" s="241">
        <f t="shared" ca="1" si="153"/>
        <v>1</v>
      </c>
      <c r="J652" s="241"/>
      <c r="K652" s="241"/>
      <c r="L652" s="238"/>
    </row>
    <row r="653" spans="2:12" outlineLevel="1">
      <c r="B653" s="237" t="s">
        <v>49</v>
      </c>
      <c r="C653" s="237" t="s">
        <v>49</v>
      </c>
      <c r="D653" s="238" t="str">
        <f>_xlfn.XLOOKUP(B653,'Relacion '!$E:$E,'Relacion '!$D:$D,"")</f>
        <v/>
      </c>
      <c r="E653" s="239">
        <f t="shared" si="152"/>
        <v>18</v>
      </c>
      <c r="F653" s="240" cm="1">
        <f t="array" ref="F653">MIN(INDEX('Relacion '!$AB$5:$AC$493,MATCH(INDEX($B:$B, (ROW()-3)),'Relacion '!$E$5:$E$493,0),0))</f>
        <v>46139</v>
      </c>
      <c r="G653" s="240" cm="1">
        <f t="array" ref="G653">MAX(INDEX('Relacion '!$AB$5:$AC$493,MATCH(INDEX($B:$B, (ROW()-3)),'Relacion '!$E$5:$E$493,0),0))</f>
        <v>46157</v>
      </c>
      <c r="H653" s="241" cm="1">
        <f t="array" ref="H653">IF(
 MATCH(B653,{"01. ASIGNACION AREA";"02. MAPEO";"03. DESARROLLO";"04. VALIDA US";"05. VOBO US";"06. BW-EJECUCION";"07. VALIDACIÓN BAJAWARE";"08. CERRADA"},0)
 &lt;
 MATCH(_xlfn.XLOOKUP(INDEX($B:$B, (ROW()-3)),'Relacion '!$E:$E,'Relacion '!$D:$D,""),{"01. ASIGNACION AREA";"02. MAPEO";"03. DESARROLLO";"04. VALIDA US";"05. VOBO US";"06. BW-EJECUCION";"07. VALIDACIÓN BAJAWARE";"08. CERRADA"},0),
 1,
 IF(
  MATCH(B653,{"01. ASIGNACION AREA";"02. MAPEO";"03. DESARROLLO";"04. VALIDA US";"05. VOBO US";"06. BW-EJECUCION";"07. VALIDACIÓN BAJAWARE";"08. CERRADA"},0)
  =
  MATCH(_xlfn.XLOOKUP(INDEX($B:$B, (ROW()-3)),'Relacion '!$E:$E,'Relacion '!$D:$D,""),{"01. ASIGNACION AREA";"02. MAPEO";"03. DESARROLLO";"04. VALIDA US";"05. VOBO US";"06. BW-EJECUCION";"07. VALIDACIÓN BAJAWARE";"08. CERRADA"},0),
  _xlfn.XLOOKUP(INDEX($B:$B, (ROW()-3)),'Relacion '!$E:$E,'Relacion '!#REF!,0),
  0
 )
)</f>
        <v>0</v>
      </c>
      <c r="I653" s="241">
        <f t="shared" ca="1" si="153"/>
        <v>1</v>
      </c>
      <c r="J653" s="241"/>
      <c r="K653" s="241"/>
      <c r="L653" s="238"/>
    </row>
    <row r="654" spans="2:12" outlineLevel="1">
      <c r="B654" s="237" t="s">
        <v>324</v>
      </c>
      <c r="C654" s="237" t="s">
        <v>324</v>
      </c>
      <c r="D654" s="238" t="str">
        <f>_xlfn.XLOOKUP(B654,'Relacion '!$E:$E,'Relacion '!$D:$D,"")</f>
        <v/>
      </c>
      <c r="E654" s="239">
        <f t="shared" si="152"/>
        <v>11</v>
      </c>
      <c r="F654" s="240" cm="1">
        <f t="array" ref="F654">MIN(INDEX('Relacion '!$AD$5:$AE$493,MATCH(INDEX($B:$B, (ROW()-4)),'Relacion '!$E$5:$E$493,0),0))</f>
        <v>46160</v>
      </c>
      <c r="G654" s="240" cm="1">
        <f t="array" ref="G654">MAX(INDEX('Relacion '!$AD$5:$AE$493,MATCH(INDEX($B:$B, (ROW()-4)),'Relacion '!$E$5:$E$493,0),0))</f>
        <v>46171</v>
      </c>
      <c r="H654" s="241" cm="1">
        <f t="array" ref="H654">IF(
 MATCH(B654,{"01. ASIGNACION AREA";"02. MAPEO";"03. DESARROLLO";"04. VALIDA US";"05. VOBO US";"06. BW-EJECUCION";"07. VALIDACIÓN BAJAWARE";"08. CERRADA"},0)
 &lt;
 MATCH(_xlfn.XLOOKUP(INDEX($B:$B, (ROW()-4)),'Relacion '!$E:$E,'Relacion '!$D:$D,""),{"01. ASIGNACION AREA";"02. MAPEO";"03. DESARROLLO";"04. VALIDA US";"05. VOBO US";"06. BW-EJECUCION";"07. VALIDACIÓN BAJAWARE";"08. CERRADA"},0),
 1,
 IF(
  MATCH(B654,{"01. ASIGNACION AREA";"02. MAPEO";"03. DESARROLLO";"04. VALIDA US";"05. VOBO US";"06. BW-EJECUCION";"07. VALIDACIÓN BAJAWARE";"08. CERRADA"},0)
  =
  MATCH(_xlfn.XLOOKUP(INDEX($B:$B, (ROW()-4)),'Relacion '!$E:$E,'Relacion '!$D:$D,""),{"01. ASIGNACION AREA";"02. MAPEO";"03. DESARROLLO";"04. VALIDA US";"05. VOBO US";"06. BW-EJECUCION";"07. VALIDACIÓN BAJAWARE";"08. CERRADA"},0),
  _xlfn.XLOOKUP(INDEX($B:$B, (ROW()-4)),'Relacion '!$E:$E,'Relacion '!#REF!,0),
  0
 )
)</f>
        <v>0</v>
      </c>
      <c r="I654" s="241">
        <f t="shared" ca="1" si="153"/>
        <v>0</v>
      </c>
      <c r="J654" s="241"/>
      <c r="K654" s="241"/>
      <c r="L654" s="238"/>
    </row>
    <row r="655" spans="2:12" outlineLevel="1">
      <c r="B655" s="237" t="s">
        <v>320</v>
      </c>
      <c r="C655" s="237" t="s">
        <v>320</v>
      </c>
      <c r="D655" s="238" t="str">
        <f>_xlfn.XLOOKUP(B655,'Relacion '!$E:$E,'Relacion '!$D:$D,"")</f>
        <v/>
      </c>
      <c r="E655" s="239">
        <f t="shared" si="152"/>
        <v>3</v>
      </c>
      <c r="F655" s="240" cm="1">
        <f t="array" ref="F655">MIN(INDEX('Relacion '!$AF$5:$AG$493,MATCH(INDEX($B:$B, (ROW()-5)),'Relacion '!$E$5:$E$493,0),0))</f>
        <v>46171</v>
      </c>
      <c r="G655" s="240" cm="1">
        <f t="array" ref="G655">MAX(INDEX('Relacion '!$AF$5:$AG$493,MATCH(INDEX($B:$B, (ROW()-5)),'Relacion '!$E$5:$E$493,0),0))</f>
        <v>46174</v>
      </c>
      <c r="H655" s="241" cm="1">
        <f t="array" ref="H655">IF(
 MATCH(B655,{"01. ASIGNACION AREA";"02. MAPEO";"03. DESARROLLO";"04. VALIDA US";"05. VOBO US";"06. BW-EJECUCION";"07. VALIDACIÓN BAJAWARE";"08. CERRADA"},0)
 &lt;
 MATCH(_xlfn.XLOOKUP(INDEX($B:$B, (ROW()-5)),'Relacion '!$E:$E,'Relacion '!$D:$D,""),{"01. ASIGNACION AREA";"02. MAPEO";"03. DESARROLLO";"04. VALIDA US";"05. VOBO US";"06. BW-EJECUCION";"07. VALIDACIÓN BAJAWARE";"08. CERRADA"},0),
 1,
 IF(
  MATCH(B655,{"01. ASIGNACION AREA";"02. MAPEO";"03. DESARROLLO";"04. VALIDA US";"05. VOBO US";"06. BW-EJECUCION";"07. VALIDACIÓN BAJAWARE";"08. CERRADA"},0)
  =
  MATCH(_xlfn.XLOOKUP(INDEX($B:$B, (ROW()-5)),'Relacion '!$E:$E,'Relacion '!$D:$D,""),{"01. ASIGNACION AREA";"02. MAPEO";"03. DESARROLLO";"04. VALIDA US";"05. VOBO US";"06. BW-EJECUCION";"07. VALIDACIÓN BAJAWARE";"08. CERRADA"},0),
  _xlfn.XLOOKUP(INDEX($B:$B, (ROW()-5)),'Relacion '!$E:$E,'Relacion '!#REF!,0),
  0
 )
)</f>
        <v>0</v>
      </c>
      <c r="I655" s="241">
        <f t="shared" ca="1" si="153"/>
        <v>0</v>
      </c>
      <c r="J655" s="241"/>
      <c r="K655" s="241"/>
      <c r="L655" s="238"/>
    </row>
    <row r="656" spans="2:12" outlineLevel="1">
      <c r="B656" s="237" t="s">
        <v>710</v>
      </c>
      <c r="C656" s="237" t="s">
        <v>710</v>
      </c>
      <c r="D656" s="238" t="str">
        <f>_xlfn.XLOOKUP(B656,'Relacion '!$E:$E,'Relacion '!$D:$D,"")</f>
        <v/>
      </c>
      <c r="E656" s="239">
        <f t="shared" si="152"/>
        <v>2</v>
      </c>
      <c r="F656" s="240" cm="1">
        <f t="array" ref="F656">MIN(INDEX('Relacion '!$AH$5:$AI$493,MATCH(INDEX($B:$B, (ROW()-6)),'Relacion '!$E$5:$E$493,0),0))</f>
        <v>46175</v>
      </c>
      <c r="G656" s="240" cm="1">
        <f t="array" ref="G656">MAX(INDEX('Relacion '!$AH$5:$AI$493,MATCH(INDEX($B:$B, (ROW()-6)),'Relacion '!$E$5:$E$493,0),0))</f>
        <v>46177</v>
      </c>
      <c r="H656" s="241" cm="1">
        <f t="array" ref="H656">IF(
 MATCH(B656,{"01. ASIGNACION AREA";"02. MAPEO";"03. DESARROLLO";"04. VALIDA US";"05. VOBO US";"06. BW-EJECUCION";"07. VALIDACIÓN BAJAWARE";"08. CERRADA"},0)
 &lt;
 MATCH(_xlfn.XLOOKUP(INDEX($B:$B, (ROW()-6)),'Relacion '!$E:$E,'Relacion '!$D:$D,""),{"01. ASIGNACION AREA";"02. MAPEO";"03. DESARROLLO";"04. VALIDA US";"05. VOBO US";"06. BW-EJECUCION";"07. VALIDACIÓN BAJAWARE";"08. CERRADA"},0),
 1,
 IF(
  MATCH(B656,{"01. ASIGNACION AREA";"02. MAPEO";"03. DESARROLLO";"04. VALIDA US";"05. VOBO US";"06. BW-EJECUCION";"07. VALIDACIÓN BAJAWARE";"08. CERRADA"},0)
  =
  MATCH(_xlfn.XLOOKUP(INDEX($B:$B, (ROW()-6)),'Relacion '!$E:$E,'Relacion '!$D:$D,""),{"01. ASIGNACION AREA";"02. MAPEO";"03. DESARROLLO";"04. VALIDA US";"05. VOBO US";"06. BW-EJECUCION";"07. VALIDACIÓN BAJAWARE";"08. CERRADA"},0),
  _xlfn.XLOOKUP(INDEX($B:$B, (ROW()-6)),'Relacion '!$E:$E,'Relacion '!#REF!,0),
  0
 )
)</f>
        <v>0</v>
      </c>
      <c r="I656" s="241">
        <f t="shared" ca="1" si="153"/>
        <v>0</v>
      </c>
      <c r="J656" s="241"/>
      <c r="K656" s="241"/>
      <c r="L656" s="238"/>
    </row>
    <row r="657" spans="2:12" outlineLevel="1">
      <c r="B657" s="237" t="s">
        <v>655</v>
      </c>
      <c r="C657" s="237" t="s">
        <v>655</v>
      </c>
      <c r="D657" s="238" t="str">
        <f>_xlfn.XLOOKUP(B657,'Relacion '!$E:$E,'Relacion '!$D:$D,"")</f>
        <v/>
      </c>
      <c r="E657" s="239">
        <f t="shared" si="152"/>
        <v>14</v>
      </c>
      <c r="F657" s="240" cm="1">
        <f t="array" ref="F657">MIN(INDEX('Relacion '!$AJ$5:$AK$493,MATCH(INDEX($B:$B, (ROW()-7)),'Relacion '!$E$5:$E$493,0),0))</f>
        <v>46178</v>
      </c>
      <c r="G657" s="240" cm="1">
        <f t="array" ref="G657">MAX(INDEX('Relacion '!$AJ$5:$AK$493,MATCH(INDEX($B:$B, (ROW()-7)),'Relacion '!$E$5:$E$493,0),0))</f>
        <v>46192</v>
      </c>
      <c r="H657" s="241" cm="1">
        <f t="array" ref="H657">IF(
 MATCH(B657,{"01. ASIGNACION AREA";"02. MAPEO";"03. DESARROLLO";"04. VALIDA US";"05. VOBO US";"06. BW-EJECUCION";"07. VALIDACIÓN BAJAWARE";"08. CERRADA"},0)
 &lt;
 MATCH(_xlfn.XLOOKUP(INDEX($B:$B, (ROW()-7)),'Relacion '!$E:$E,'Relacion '!$D:$D,""),{"01. ASIGNACION AREA";"02. MAPEO";"03. DESARROLLO";"04. VALIDA US";"05. VOBO US";"06. BW-EJECUCION";"07. VALIDACIÓN BAJAWARE";"08. CERRADA"},0),
 1,
 IF(
  MATCH(B657,{"01. ASIGNACION AREA";"02. MAPEO";"03. DESARROLLO";"04. VALIDA US";"05. VOBO US";"06. BW-EJECUCION";"07. VALIDACIÓN BAJAWARE";"08. CERRADA"},0)
  =
  MATCH(_xlfn.XLOOKUP(INDEX($B:$B, (ROW()-7)),'Relacion '!$E:$E,'Relacion '!$D:$D,""),{"01. ASIGNACION AREA";"02. MAPEO";"03. DESARROLLO";"04. VALIDA US";"05. VOBO US";"06. BW-EJECUCION";"07. VALIDACIÓN BAJAWARE";"08. CERRADA"},0),
  _xlfn.XLOOKUP(INDEX($B:$B, (ROW()-7)),'Relacion '!$E:$E,'Relacion '!#REF!,0),
  0
 )
)</f>
        <v>0</v>
      </c>
      <c r="I657" s="241">
        <f t="shared" ca="1" si="153"/>
        <v>0</v>
      </c>
      <c r="J657" s="241"/>
      <c r="K657" s="241"/>
      <c r="L657" s="238"/>
    </row>
    <row r="658" spans="2:12" outlineLevel="1">
      <c r="B658" s="237" t="s">
        <v>656</v>
      </c>
      <c r="C658" s="237" t="s">
        <v>656</v>
      </c>
      <c r="D658" s="238" t="str">
        <f>_xlfn.XLOOKUP(B658,'Relacion '!$E:$E,'Relacion '!$D:$D,"")</f>
        <v/>
      </c>
      <c r="E658" s="239">
        <f t="shared" si="152"/>
        <v>1</v>
      </c>
      <c r="F658" s="240" cm="1">
        <f t="array" ref="F658">MIN(INDEX('Relacion '!$AL$5:$AM$493,MATCH(INDEX($B:$B, (ROW()-8)),'Relacion '!$E$5:$E$493,0),0))</f>
        <v>46195</v>
      </c>
      <c r="G658" s="240" cm="1">
        <f t="array" ref="G658">MAX(INDEX('Relacion '!$AL$5:$AM$493,MATCH(INDEX($B:$B, (ROW()-8)),'Relacion '!$E$5:$E$493,0),0))</f>
        <v>46196</v>
      </c>
      <c r="H658" s="241" cm="1">
        <f t="array" ref="H658">IF(
 MATCH(B658,{"01. ASIGNACION AREA";"02. MAPEO";"03. DESARROLLO";"04. VALIDA US";"05. VOBO US";"06. BW-EJECUCION";"07. VALIDACIÓN BAJAWARE";"08. CERRADA"},0)
 &lt;
 MATCH(_xlfn.XLOOKUP(INDEX($B:$B, (ROW()-8)),'Relacion '!$E:$E,'Relacion '!$D:$D,""),{"01. ASIGNACION AREA";"02. MAPEO";"03. DESARROLLO";"04. VALIDA US";"05. VOBO US";"06. BW-EJECUCION";"07. VALIDACIÓN BAJAWARE";"08. CERRADA"},0),
 1,
 IF(
  MATCH(B658,{"01. ASIGNACION AREA";"02. MAPEO";"03. DESARROLLO";"04. VALIDA US";"05. VOBO US";"06. BW-EJECUCION";"07. VALIDACIÓN BAJAWARE";"08. CERRADA"},0)
  =
  MATCH(_xlfn.XLOOKUP(INDEX($B:$B, (ROW()-8)),'Relacion '!$E:$E,'Relacion '!$D:$D,""),{"01. ASIGNACION AREA";"02. MAPEO";"03. DESARROLLO";"04. VALIDA US";"05. VOBO US";"06. BW-EJECUCION";"07. VALIDACIÓN BAJAWARE";"08. CERRADA"},0),
  _xlfn.XLOOKUP(INDEX($B:$B, (ROW()-8)),'Relacion '!$E:$E,'Relacion '!#REF!,0),
  0
 )
)</f>
        <v>0</v>
      </c>
      <c r="I658" s="241">
        <f t="shared" ca="1" si="153"/>
        <v>0</v>
      </c>
      <c r="J658" s="241"/>
      <c r="K658" s="241"/>
      <c r="L658" s="238"/>
    </row>
    <row r="659" spans="2:12">
      <c r="B659" s="232" t="s">
        <v>288</v>
      </c>
      <c r="C659" s="137" t="s">
        <v>289</v>
      </c>
      <c r="D659" s="236" t="str">
        <f>_xlfn.XLOOKUP(B659,'Relacion '!$E:$E,'Relacion '!$D:$D,"")</f>
        <v>02. MAPEO</v>
      </c>
      <c r="E659" s="233">
        <f t="shared" si="152"/>
        <v>172</v>
      </c>
      <c r="F659" s="234" cm="1">
        <f t="array" ref="F659">MIN(INDEX('Relacion '!$X$5:$AM$493,MATCH(INDEX($B:$B, (ROW()-0)),'Relacion '!$E$5:$E$493,0),0))</f>
        <v>46024</v>
      </c>
      <c r="G659" s="234" cm="1">
        <f t="array" ref="G659">MAX(INDEX('Relacion '!$X$5:$AM$493,MATCH(INDEX($B:$B, (ROW()-0)),'Relacion '!$E$5:$E$493,0),0))</f>
        <v>46196</v>
      </c>
      <c r="H659" s="235" t="e">
        <f>AVERAGE(H660:H667)</f>
        <v>#REF!</v>
      </c>
      <c r="I659" s="235">
        <f t="shared" ref="I659" ca="1" si="156">AVERAGE(I660:I667)</f>
        <v>0.375</v>
      </c>
      <c r="J659" s="236" t="str">
        <f>IF(ISNUMBER(SEARCH("Rocha", _xlfn.XLOOKUP(B659,'Relacion '!$E:$E,'Relacion '!$I:$I,""))), "Sí", "No")</f>
        <v>No</v>
      </c>
      <c r="K659" s="236" t="str">
        <f>IF(ISNUMBER(SEARCH("Rocha", _xlfn.XLOOKUP(B659,'Relacion '!$E:$E,'Relacion '!$I:$I,""))), "RMC", _xlfn.XLOOKUP(B659,'Relacion '!$E:$E,'Relacion '!$B:$B,""))</f>
        <v>Tesorería </v>
      </c>
      <c r="L659" s="236" t="str">
        <f>_xlfn.XLOOKUP(B659,'Relacion '!$E:$E,'Relacion '!$C:$C,"")</f>
        <v>Eduardo Cabral</v>
      </c>
    </row>
    <row r="660" spans="2:12" outlineLevel="1">
      <c r="B660" s="237" t="s">
        <v>654</v>
      </c>
      <c r="C660" s="237" t="s">
        <v>654</v>
      </c>
      <c r="D660" s="238" t="str">
        <f>_xlfn.XLOOKUP(B660,'Relacion '!$E:$E,'Relacion '!$D:$D,"")</f>
        <v/>
      </c>
      <c r="E660" s="239">
        <f t="shared" si="152"/>
        <v>59</v>
      </c>
      <c r="F660" s="240" cm="1">
        <f t="array" ref="F660">MIN(INDEX('Relacion '!$X$5:$Y$493,MATCH(INDEX($B:$B, (ROW()-1)),'Relacion '!$E$5:$E$493,0),0))</f>
        <v>46024</v>
      </c>
      <c r="G660" s="240" cm="1">
        <f t="array" ref="G660">MAX(INDEX('Relacion '!$X$5:$Y$493,MATCH(INDEX($B:$B, (ROW()-1)),'Relacion '!$E$5:$E$493,0),0))</f>
        <v>46083</v>
      </c>
      <c r="H660" s="241" cm="1">
        <f t="array" ref="H660">IF(
 MATCH(B660,{"01. ASIGNACION AREA";"02. MAPEO";"03. DESARROLLO";"04. VALIDA US";"05. VOBO US";"06. BW-EJECUCION";"07. VALIDACIÓN BAJAWARE";"08. CERRADA"},0)
 &lt;
 MATCH(_xlfn.XLOOKUP(INDEX($B:$B, (ROW()-1)),'Relacion '!$E:$E,'Relacion '!$D:$D,""),{"01. ASIGNACION AREA";"02. MAPEO";"03. DESARROLLO";"04. VALIDA US";"05. VOBO US";"06. BW-EJECUCION";"07. VALIDACIÓN BAJAWARE";"08. CERRADA"},0),
 1,
 IF(
  MATCH(B660,{"01. ASIGNACION AREA";"02. MAPEO";"03. DESARROLLO";"04. VALIDA US";"05. VOBO US";"06. BW-EJECUCION";"07. VALIDACIÓN BAJAWARE";"08. CERRADA"},0)
  =
  MATCH(_xlfn.XLOOKUP(INDEX($B:$B, (ROW()-1)),'Relacion '!$E:$E,'Relacion '!$D:$D,""),{"01. ASIGNACION AREA";"02. MAPEO";"03. DESARROLLO";"04. VALIDA US";"05. VOBO US";"06. BW-EJECUCION";"07. VALIDACIÓN BAJAWARE";"08. CERRADA"},0),
  _xlfn.XLOOKUP(INDEX($B:$B, (ROW()-1)),'Relacion '!$E:$E,'Relacion '!#REF!,0),
  0
 )
)</f>
        <v>1</v>
      </c>
      <c r="I660" s="241">
        <f t="shared" ref="I660" ca="1" si="157">IF(G660&lt;=TODAY(), 1, 0)</f>
        <v>1</v>
      </c>
      <c r="J660" s="241"/>
      <c r="K660" s="241"/>
      <c r="L660" s="238"/>
    </row>
    <row r="661" spans="2:12" outlineLevel="1">
      <c r="B661" s="237" t="s">
        <v>195</v>
      </c>
      <c r="C661" s="237" t="s">
        <v>195</v>
      </c>
      <c r="D661" s="238" t="str">
        <f>_xlfn.XLOOKUP(B661,'Relacion '!$E:$E,'Relacion '!$D:$D,"")</f>
        <v/>
      </c>
      <c r="E661" s="239">
        <f t="shared" si="152"/>
        <v>80</v>
      </c>
      <c r="F661" s="240" cm="1">
        <f t="array" ref="F661">MIN(INDEX('Relacion '!$Z$5:$AA$493,MATCH(INDEX($B:$B, (ROW()-2)),'Relacion '!$E$5:$E$493,0),0))</f>
        <v>46056</v>
      </c>
      <c r="G661" s="240" cm="1">
        <f t="array" ref="G661">MAX(INDEX('Relacion '!$Z$5:$AA$493,MATCH(INDEX($B:$B, (ROW()-2)),'Relacion '!$E$5:$E$493,0),0))</f>
        <v>46136</v>
      </c>
      <c r="H661" s="241" t="e" cm="1">
        <f t="array" ref="H661">IF(
 MATCH(B661,{"01. ASIGNACION AREA";"02. MAPEO";"03. DESARROLLO";"04. VALIDA US";"05. VOBO US";"06. BW-EJECUCION";"07. VALIDACIÓN BAJAWARE";"08. CERRADA"},0)
 &lt;
 MATCH(_xlfn.XLOOKUP(INDEX($B:$B, (ROW()-2)),'Relacion '!$E:$E,'Relacion '!$D:$D,""),{"01. ASIGNACION AREA";"02. MAPEO";"03. DESARROLLO";"04. VALIDA US";"05. VOBO US";"06. BW-EJECUCION";"07. VALIDACIÓN BAJAWARE";"08. CERRADA"},0),
 1,
 IF(
  MATCH(B661,{"01. ASIGNACION AREA";"02. MAPEO";"03. DESARROLLO";"04. VALIDA US";"05. VOBO US";"06. BW-EJECUCION";"07. VALIDACIÓN BAJAWARE";"08. CERRADA"},0)
  =
  MATCH(_xlfn.XLOOKUP(INDEX($B:$B, (ROW()-2)),'Relacion '!$E:$E,'Relacion '!$D:$D,""),{"01. ASIGNACION AREA";"02. MAPEO";"03. DESARROLLO";"04. VALIDA US";"05. VOBO US";"06. BW-EJECUCION";"07. VALIDACIÓN BAJAWARE";"08. CERRADA"},0),
  _xlfn.XLOOKUP(INDEX($B:$B, (ROW()-2)),'Relacion '!$E:$E,'Relacion '!#REF!,0),
  0
 )
)</f>
        <v>#REF!</v>
      </c>
      <c r="I661" s="241">
        <f t="shared" ca="1" si="153"/>
        <v>1</v>
      </c>
      <c r="J661" s="241"/>
      <c r="K661" s="241"/>
      <c r="L661" s="238"/>
    </row>
    <row r="662" spans="2:12" outlineLevel="1">
      <c r="B662" s="237" t="s">
        <v>49</v>
      </c>
      <c r="C662" s="237" t="s">
        <v>49</v>
      </c>
      <c r="D662" s="238" t="str">
        <f>_xlfn.XLOOKUP(B662,'Relacion '!$E:$E,'Relacion '!$D:$D,"")</f>
        <v/>
      </c>
      <c r="E662" s="239">
        <f t="shared" si="152"/>
        <v>18</v>
      </c>
      <c r="F662" s="240" cm="1">
        <f t="array" ref="F662">MIN(INDEX('Relacion '!$AB$5:$AC$493,MATCH(INDEX($B:$B, (ROW()-3)),'Relacion '!$E$5:$E$493,0),0))</f>
        <v>46139</v>
      </c>
      <c r="G662" s="240" cm="1">
        <f t="array" ref="G662">MAX(INDEX('Relacion '!$AB$5:$AC$493,MATCH(INDEX($B:$B, (ROW()-3)),'Relacion '!$E$5:$E$493,0),0))</f>
        <v>46157</v>
      </c>
      <c r="H662" s="241" cm="1">
        <f t="array" ref="H662">IF(
 MATCH(B662,{"01. ASIGNACION AREA";"02. MAPEO";"03. DESARROLLO";"04. VALIDA US";"05. VOBO US";"06. BW-EJECUCION";"07. VALIDACIÓN BAJAWARE";"08. CERRADA"},0)
 &lt;
 MATCH(_xlfn.XLOOKUP(INDEX($B:$B, (ROW()-3)),'Relacion '!$E:$E,'Relacion '!$D:$D,""),{"01. ASIGNACION AREA";"02. MAPEO";"03. DESARROLLO";"04. VALIDA US";"05. VOBO US";"06. BW-EJECUCION";"07. VALIDACIÓN BAJAWARE";"08. CERRADA"},0),
 1,
 IF(
  MATCH(B662,{"01. ASIGNACION AREA";"02. MAPEO";"03. DESARROLLO";"04. VALIDA US";"05. VOBO US";"06. BW-EJECUCION";"07. VALIDACIÓN BAJAWARE";"08. CERRADA"},0)
  =
  MATCH(_xlfn.XLOOKUP(INDEX($B:$B, (ROW()-3)),'Relacion '!$E:$E,'Relacion '!$D:$D,""),{"01. ASIGNACION AREA";"02. MAPEO";"03. DESARROLLO";"04. VALIDA US";"05. VOBO US";"06. BW-EJECUCION";"07. VALIDACIÓN BAJAWARE";"08. CERRADA"},0),
  _xlfn.XLOOKUP(INDEX($B:$B, (ROW()-3)),'Relacion '!$E:$E,'Relacion '!#REF!,0),
  0
 )
)</f>
        <v>0</v>
      </c>
      <c r="I662" s="241">
        <f t="shared" ca="1" si="153"/>
        <v>1</v>
      </c>
      <c r="J662" s="241"/>
      <c r="K662" s="241"/>
      <c r="L662" s="238"/>
    </row>
    <row r="663" spans="2:12" outlineLevel="1">
      <c r="B663" s="237" t="s">
        <v>324</v>
      </c>
      <c r="C663" s="237" t="s">
        <v>324</v>
      </c>
      <c r="D663" s="238" t="str">
        <f>_xlfn.XLOOKUP(B663,'Relacion '!$E:$E,'Relacion '!$D:$D,"")</f>
        <v/>
      </c>
      <c r="E663" s="239">
        <f t="shared" si="152"/>
        <v>11</v>
      </c>
      <c r="F663" s="240" cm="1">
        <f t="array" ref="F663">MIN(INDEX('Relacion '!$AD$5:$AE$493,MATCH(INDEX($B:$B, (ROW()-4)),'Relacion '!$E$5:$E$493,0),0))</f>
        <v>46160</v>
      </c>
      <c r="G663" s="240" cm="1">
        <f t="array" ref="G663">MAX(INDEX('Relacion '!$AD$5:$AE$493,MATCH(INDEX($B:$B, (ROW()-4)),'Relacion '!$E$5:$E$493,0),0))</f>
        <v>46171</v>
      </c>
      <c r="H663" s="241" cm="1">
        <f t="array" ref="H663">IF(
 MATCH(B663,{"01. ASIGNACION AREA";"02. MAPEO";"03. DESARROLLO";"04. VALIDA US";"05. VOBO US";"06. BW-EJECUCION";"07. VALIDACIÓN BAJAWARE";"08. CERRADA"},0)
 &lt;
 MATCH(_xlfn.XLOOKUP(INDEX($B:$B, (ROW()-4)),'Relacion '!$E:$E,'Relacion '!$D:$D,""),{"01. ASIGNACION AREA";"02. MAPEO";"03. DESARROLLO";"04. VALIDA US";"05. VOBO US";"06. BW-EJECUCION";"07. VALIDACIÓN BAJAWARE";"08. CERRADA"},0),
 1,
 IF(
  MATCH(B663,{"01. ASIGNACION AREA";"02. MAPEO";"03. DESARROLLO";"04. VALIDA US";"05. VOBO US";"06. BW-EJECUCION";"07. VALIDACIÓN BAJAWARE";"08. CERRADA"},0)
  =
  MATCH(_xlfn.XLOOKUP(INDEX($B:$B, (ROW()-4)),'Relacion '!$E:$E,'Relacion '!$D:$D,""),{"01. ASIGNACION AREA";"02. MAPEO";"03. DESARROLLO";"04. VALIDA US";"05. VOBO US";"06. BW-EJECUCION";"07. VALIDACIÓN BAJAWARE";"08. CERRADA"},0),
  _xlfn.XLOOKUP(INDEX($B:$B, (ROW()-4)),'Relacion '!$E:$E,'Relacion '!#REF!,0),
  0
 )
)</f>
        <v>0</v>
      </c>
      <c r="I663" s="241">
        <f t="shared" ca="1" si="153"/>
        <v>0</v>
      </c>
      <c r="J663" s="241"/>
      <c r="K663" s="241"/>
      <c r="L663" s="238"/>
    </row>
    <row r="664" spans="2:12" outlineLevel="1">
      <c r="B664" s="237" t="s">
        <v>320</v>
      </c>
      <c r="C664" s="237" t="s">
        <v>320</v>
      </c>
      <c r="D664" s="238" t="str">
        <f>_xlfn.XLOOKUP(B664,'Relacion '!$E:$E,'Relacion '!$D:$D,"")</f>
        <v/>
      </c>
      <c r="E664" s="239">
        <f t="shared" si="152"/>
        <v>3</v>
      </c>
      <c r="F664" s="240" cm="1">
        <f t="array" ref="F664">MIN(INDEX('Relacion '!$AF$5:$AG$493,MATCH(INDEX($B:$B, (ROW()-5)),'Relacion '!$E$5:$E$493,0),0))</f>
        <v>46171</v>
      </c>
      <c r="G664" s="240" cm="1">
        <f t="array" ref="G664">MAX(INDEX('Relacion '!$AF$5:$AG$493,MATCH(INDEX($B:$B, (ROW()-5)),'Relacion '!$E$5:$E$493,0),0))</f>
        <v>46174</v>
      </c>
      <c r="H664" s="241" cm="1">
        <f t="array" ref="H664">IF(
 MATCH(B664,{"01. ASIGNACION AREA";"02. MAPEO";"03. DESARROLLO";"04. VALIDA US";"05. VOBO US";"06. BW-EJECUCION";"07. VALIDACIÓN BAJAWARE";"08. CERRADA"},0)
 &lt;
 MATCH(_xlfn.XLOOKUP(INDEX($B:$B, (ROW()-5)),'Relacion '!$E:$E,'Relacion '!$D:$D,""),{"01. ASIGNACION AREA";"02. MAPEO";"03. DESARROLLO";"04. VALIDA US";"05. VOBO US";"06. BW-EJECUCION";"07. VALIDACIÓN BAJAWARE";"08. CERRADA"},0),
 1,
 IF(
  MATCH(B664,{"01. ASIGNACION AREA";"02. MAPEO";"03. DESARROLLO";"04. VALIDA US";"05. VOBO US";"06. BW-EJECUCION";"07. VALIDACIÓN BAJAWARE";"08. CERRADA"},0)
  =
  MATCH(_xlfn.XLOOKUP(INDEX($B:$B, (ROW()-5)),'Relacion '!$E:$E,'Relacion '!$D:$D,""),{"01. ASIGNACION AREA";"02. MAPEO";"03. DESARROLLO";"04. VALIDA US";"05. VOBO US";"06. BW-EJECUCION";"07. VALIDACIÓN BAJAWARE";"08. CERRADA"},0),
  _xlfn.XLOOKUP(INDEX($B:$B, (ROW()-5)),'Relacion '!$E:$E,'Relacion '!#REF!,0),
  0
 )
)</f>
        <v>0</v>
      </c>
      <c r="I664" s="241">
        <f t="shared" ca="1" si="153"/>
        <v>0</v>
      </c>
      <c r="J664" s="241"/>
      <c r="K664" s="241"/>
      <c r="L664" s="238"/>
    </row>
    <row r="665" spans="2:12" outlineLevel="1">
      <c r="B665" s="237" t="s">
        <v>710</v>
      </c>
      <c r="C665" s="237" t="s">
        <v>710</v>
      </c>
      <c r="D665" s="238" t="str">
        <f>_xlfn.XLOOKUP(B665,'Relacion '!$E:$E,'Relacion '!$D:$D,"")</f>
        <v/>
      </c>
      <c r="E665" s="239">
        <f t="shared" si="152"/>
        <v>2</v>
      </c>
      <c r="F665" s="240" cm="1">
        <f t="array" ref="F665">MIN(INDEX('Relacion '!$AH$5:$AI$493,MATCH(INDEX($B:$B, (ROW()-6)),'Relacion '!$E$5:$E$493,0),0))</f>
        <v>46175</v>
      </c>
      <c r="G665" s="240" cm="1">
        <f t="array" ref="G665">MAX(INDEX('Relacion '!$AH$5:$AI$493,MATCH(INDEX($B:$B, (ROW()-6)),'Relacion '!$E$5:$E$493,0),0))</f>
        <v>46177</v>
      </c>
      <c r="H665" s="241" cm="1">
        <f t="array" ref="H665">IF(
 MATCH(B665,{"01. ASIGNACION AREA";"02. MAPEO";"03. DESARROLLO";"04. VALIDA US";"05. VOBO US";"06. BW-EJECUCION";"07. VALIDACIÓN BAJAWARE";"08. CERRADA"},0)
 &lt;
 MATCH(_xlfn.XLOOKUP(INDEX($B:$B, (ROW()-6)),'Relacion '!$E:$E,'Relacion '!$D:$D,""),{"01. ASIGNACION AREA";"02. MAPEO";"03. DESARROLLO";"04. VALIDA US";"05. VOBO US";"06. BW-EJECUCION";"07. VALIDACIÓN BAJAWARE";"08. CERRADA"},0),
 1,
 IF(
  MATCH(B665,{"01. ASIGNACION AREA";"02. MAPEO";"03. DESARROLLO";"04. VALIDA US";"05. VOBO US";"06. BW-EJECUCION";"07. VALIDACIÓN BAJAWARE";"08. CERRADA"},0)
  =
  MATCH(_xlfn.XLOOKUP(INDEX($B:$B, (ROW()-6)),'Relacion '!$E:$E,'Relacion '!$D:$D,""),{"01. ASIGNACION AREA";"02. MAPEO";"03. DESARROLLO";"04. VALIDA US";"05. VOBO US";"06. BW-EJECUCION";"07. VALIDACIÓN BAJAWARE";"08. CERRADA"},0),
  _xlfn.XLOOKUP(INDEX($B:$B, (ROW()-6)),'Relacion '!$E:$E,'Relacion '!#REF!,0),
  0
 )
)</f>
        <v>0</v>
      </c>
      <c r="I665" s="241">
        <f t="shared" ca="1" si="153"/>
        <v>0</v>
      </c>
      <c r="J665" s="241"/>
      <c r="K665" s="241"/>
      <c r="L665" s="238"/>
    </row>
    <row r="666" spans="2:12" outlineLevel="1">
      <c r="B666" s="237" t="s">
        <v>655</v>
      </c>
      <c r="C666" s="237" t="s">
        <v>655</v>
      </c>
      <c r="D666" s="238" t="str">
        <f>_xlfn.XLOOKUP(B666,'Relacion '!$E:$E,'Relacion '!$D:$D,"")</f>
        <v/>
      </c>
      <c r="E666" s="239">
        <f t="shared" si="152"/>
        <v>14</v>
      </c>
      <c r="F666" s="240" cm="1">
        <f t="array" ref="F666">MIN(INDEX('Relacion '!$AJ$5:$AK$493,MATCH(INDEX($B:$B, (ROW()-7)),'Relacion '!$E$5:$E$493,0),0))</f>
        <v>46178</v>
      </c>
      <c r="G666" s="240" cm="1">
        <f t="array" ref="G666">MAX(INDEX('Relacion '!$AJ$5:$AK$493,MATCH(INDEX($B:$B, (ROW()-7)),'Relacion '!$E$5:$E$493,0),0))</f>
        <v>46192</v>
      </c>
      <c r="H666" s="241" cm="1">
        <f t="array" ref="H666">IF(
 MATCH(B666,{"01. ASIGNACION AREA";"02. MAPEO";"03. DESARROLLO";"04. VALIDA US";"05. VOBO US";"06. BW-EJECUCION";"07. VALIDACIÓN BAJAWARE";"08. CERRADA"},0)
 &lt;
 MATCH(_xlfn.XLOOKUP(INDEX($B:$B, (ROW()-7)),'Relacion '!$E:$E,'Relacion '!$D:$D,""),{"01. ASIGNACION AREA";"02. MAPEO";"03. DESARROLLO";"04. VALIDA US";"05. VOBO US";"06. BW-EJECUCION";"07. VALIDACIÓN BAJAWARE";"08. CERRADA"},0),
 1,
 IF(
  MATCH(B666,{"01. ASIGNACION AREA";"02. MAPEO";"03. DESARROLLO";"04. VALIDA US";"05. VOBO US";"06. BW-EJECUCION";"07. VALIDACIÓN BAJAWARE";"08. CERRADA"},0)
  =
  MATCH(_xlfn.XLOOKUP(INDEX($B:$B, (ROW()-7)),'Relacion '!$E:$E,'Relacion '!$D:$D,""),{"01. ASIGNACION AREA";"02. MAPEO";"03. DESARROLLO";"04. VALIDA US";"05. VOBO US";"06. BW-EJECUCION";"07. VALIDACIÓN BAJAWARE";"08. CERRADA"},0),
  _xlfn.XLOOKUP(INDEX($B:$B, (ROW()-7)),'Relacion '!$E:$E,'Relacion '!#REF!,0),
  0
 )
)</f>
        <v>0</v>
      </c>
      <c r="I666" s="241">
        <f t="shared" ca="1" si="153"/>
        <v>0</v>
      </c>
      <c r="J666" s="241"/>
      <c r="K666" s="241"/>
      <c r="L666" s="238"/>
    </row>
    <row r="667" spans="2:12" outlineLevel="1">
      <c r="B667" s="237" t="s">
        <v>656</v>
      </c>
      <c r="C667" s="237" t="s">
        <v>656</v>
      </c>
      <c r="D667" s="238" t="str">
        <f>_xlfn.XLOOKUP(B667,'Relacion '!$E:$E,'Relacion '!$D:$D,"")</f>
        <v/>
      </c>
      <c r="E667" s="239">
        <f t="shared" si="152"/>
        <v>1</v>
      </c>
      <c r="F667" s="240" cm="1">
        <f t="array" ref="F667">MIN(INDEX('Relacion '!$AL$5:$AM$493,MATCH(INDEX($B:$B, (ROW()-8)),'Relacion '!$E$5:$E$493,0),0))</f>
        <v>46195</v>
      </c>
      <c r="G667" s="240" cm="1">
        <f t="array" ref="G667">MAX(INDEX('Relacion '!$AL$5:$AM$493,MATCH(INDEX($B:$B, (ROW()-8)),'Relacion '!$E$5:$E$493,0),0))</f>
        <v>46196</v>
      </c>
      <c r="H667" s="241" cm="1">
        <f t="array" ref="H667">IF(
 MATCH(B667,{"01. ASIGNACION AREA";"02. MAPEO";"03. DESARROLLO";"04. VALIDA US";"05. VOBO US";"06. BW-EJECUCION";"07. VALIDACIÓN BAJAWARE";"08. CERRADA"},0)
 &lt;
 MATCH(_xlfn.XLOOKUP(INDEX($B:$B, (ROW()-8)),'Relacion '!$E:$E,'Relacion '!$D:$D,""),{"01. ASIGNACION AREA";"02. MAPEO";"03. DESARROLLO";"04. VALIDA US";"05. VOBO US";"06. BW-EJECUCION";"07. VALIDACIÓN BAJAWARE";"08. CERRADA"},0),
 1,
 IF(
  MATCH(B667,{"01. ASIGNACION AREA";"02. MAPEO";"03. DESARROLLO";"04. VALIDA US";"05. VOBO US";"06. BW-EJECUCION";"07. VALIDACIÓN BAJAWARE";"08. CERRADA"},0)
  =
  MATCH(_xlfn.XLOOKUP(INDEX($B:$B, (ROW()-8)),'Relacion '!$E:$E,'Relacion '!$D:$D,""),{"01. ASIGNACION AREA";"02. MAPEO";"03. DESARROLLO";"04. VALIDA US";"05. VOBO US";"06. BW-EJECUCION";"07. VALIDACIÓN BAJAWARE";"08. CERRADA"},0),
  _xlfn.XLOOKUP(INDEX($B:$B, (ROW()-8)),'Relacion '!$E:$E,'Relacion '!#REF!,0),
  0
 )
)</f>
        <v>0</v>
      </c>
      <c r="I667" s="241">
        <f t="shared" ca="1" si="153"/>
        <v>0</v>
      </c>
      <c r="J667" s="241"/>
      <c r="K667" s="241"/>
      <c r="L667" s="238"/>
    </row>
    <row r="668" spans="2:12">
      <c r="B668" s="232" t="s">
        <v>515</v>
      </c>
      <c r="C668" s="174" t="s">
        <v>516</v>
      </c>
      <c r="D668" s="236" t="str">
        <f>_xlfn.XLOOKUP(B668,'Relacion '!$E:$E,'Relacion '!$D:$D,"")</f>
        <v>08. CERRADA</v>
      </c>
      <c r="E668" s="233">
        <f t="shared" si="152"/>
        <v>85</v>
      </c>
      <c r="F668" s="234" cm="1">
        <f t="array" ref="F668">MIN(INDEX('Relacion '!$X$5:$AM$493,MATCH(INDEX($B:$B, (ROW()-0)),'Relacion '!$E$5:$E$493,0),0))</f>
        <v>46024</v>
      </c>
      <c r="G668" s="234" cm="1">
        <f t="array" ref="G668">MAX(INDEX('Relacion '!$X$5:$AM$493,MATCH(INDEX($B:$B, (ROW()-0)),'Relacion '!$E$5:$E$493,0),0))</f>
        <v>46109</v>
      </c>
      <c r="H668" s="235" t="e">
        <f>AVERAGE(H669:H676)</f>
        <v>#REF!</v>
      </c>
      <c r="I668" s="235">
        <f t="shared" ref="I668" ca="1" si="158">AVERAGE(I669:I676)</f>
        <v>1</v>
      </c>
      <c r="J668" s="236" t="str">
        <f>IF(ISNUMBER(SEARCH("Rocha", _xlfn.XLOOKUP(B668,'Relacion '!$E:$E,'Relacion '!$I:$I,""))), "Sí", "No")</f>
        <v>No</v>
      </c>
      <c r="K668" s="236" t="str">
        <f>IF(ISNUMBER(SEARCH("Rocha", _xlfn.XLOOKUP(B668,'Relacion '!$E:$E,'Relacion '!$I:$I,""))), "RMC", _xlfn.XLOOKUP(B668,'Relacion '!$E:$E,'Relacion '!$B:$B,""))</f>
        <v>Tesorería </v>
      </c>
      <c r="L668" s="236" t="str">
        <f>_xlfn.XLOOKUP(B668,'Relacion '!$E:$E,'Relacion '!$C:$C,"")</f>
        <v>Eduardo Cabral</v>
      </c>
    </row>
    <row r="669" spans="2:12" outlineLevel="1">
      <c r="B669" s="237" t="s">
        <v>654</v>
      </c>
      <c r="C669" s="237" t="s">
        <v>654</v>
      </c>
      <c r="D669" s="238" t="str">
        <f>_xlfn.XLOOKUP(B669,'Relacion '!$E:$E,'Relacion '!$D:$D,"")</f>
        <v/>
      </c>
      <c r="E669" s="239">
        <f t="shared" si="152"/>
        <v>59</v>
      </c>
      <c r="F669" s="240" cm="1">
        <f t="array" ref="F669">MIN(INDEX('Relacion '!$X$5:$Y$493,MATCH(INDEX($B:$B, (ROW()-1)),'Relacion '!$E$5:$E$493,0),0))</f>
        <v>46024</v>
      </c>
      <c r="G669" s="240" cm="1">
        <f t="array" ref="G669">MAX(INDEX('Relacion '!$X$5:$Y$493,MATCH(INDEX($B:$B, (ROW()-1)),'Relacion '!$E$5:$E$493,0),0))</f>
        <v>46083</v>
      </c>
      <c r="H669" s="241" cm="1">
        <f t="array" ref="H669">IF(
 MATCH(B669,{"01. ASIGNACION AREA";"02. MAPEO";"03. DESARROLLO";"04. VALIDA US";"05. VOBO US";"06. BW-EJECUCION";"07. VALIDACIÓN BAJAWARE";"08. CERRADA"},0)
 &lt;
 MATCH(_xlfn.XLOOKUP(INDEX($B:$B, (ROW()-1)),'Relacion '!$E:$E,'Relacion '!$D:$D,""),{"01. ASIGNACION AREA";"02. MAPEO";"03. DESARROLLO";"04. VALIDA US";"05. VOBO US";"06. BW-EJECUCION";"07. VALIDACIÓN BAJAWARE";"08. CERRADA"},0),
 1,
 IF(
  MATCH(B669,{"01. ASIGNACION AREA";"02. MAPEO";"03. DESARROLLO";"04. VALIDA US";"05. VOBO US";"06. BW-EJECUCION";"07. VALIDACIÓN BAJAWARE";"08. CERRADA"},0)
  =
  MATCH(_xlfn.XLOOKUP(INDEX($B:$B, (ROW()-1)),'Relacion '!$E:$E,'Relacion '!$D:$D,""),{"01. ASIGNACION AREA";"02. MAPEO";"03. DESARROLLO";"04. VALIDA US";"05. VOBO US";"06. BW-EJECUCION";"07. VALIDACIÓN BAJAWARE";"08. CERRADA"},0),
  _xlfn.XLOOKUP(INDEX($B:$B, (ROW()-1)),'Relacion '!$E:$E,'Relacion '!#REF!,0),
  0
 )
)</f>
        <v>1</v>
      </c>
      <c r="I669" s="241">
        <f t="shared" ref="I669" ca="1" si="159">IF(G669&lt;=TODAY(), 1, 0)</f>
        <v>1</v>
      </c>
      <c r="J669" s="241"/>
      <c r="K669" s="241"/>
      <c r="L669" s="238"/>
    </row>
    <row r="670" spans="2:12" outlineLevel="1">
      <c r="B670" s="237" t="s">
        <v>195</v>
      </c>
      <c r="C670" s="237" t="s">
        <v>195</v>
      </c>
      <c r="D670" s="238" t="str">
        <f>_xlfn.XLOOKUP(B670,'Relacion '!$E:$E,'Relacion '!$D:$D,"")</f>
        <v/>
      </c>
      <c r="E670" s="239">
        <f t="shared" si="152"/>
        <v>0</v>
      </c>
      <c r="F670" s="240" cm="1">
        <f t="array" ref="F670">MIN(INDEX('Relacion '!$Z$5:$AA$493,MATCH(INDEX($B:$B, (ROW()-2)),'Relacion '!$E$5:$E$493,0),0))</f>
        <v>46108</v>
      </c>
      <c r="G670" s="240" cm="1">
        <f t="array" ref="G670">MAX(INDEX('Relacion '!$Z$5:$AA$493,MATCH(INDEX($B:$B, (ROW()-2)),'Relacion '!$E$5:$E$493,0),0))</f>
        <v>46108</v>
      </c>
      <c r="H670" s="241" cm="1">
        <f t="array" ref="H670">IF(
 MATCH(B670,{"01. ASIGNACION AREA";"02. MAPEO";"03. DESARROLLO";"04. VALIDA US";"05. VOBO US";"06. BW-EJECUCION";"07. VALIDACIÓN BAJAWARE";"08. CERRADA"},0)
 &lt;
 MATCH(_xlfn.XLOOKUP(INDEX($B:$B, (ROW()-2)),'Relacion '!$E:$E,'Relacion '!$D:$D,""),{"01. ASIGNACION AREA";"02. MAPEO";"03. DESARROLLO";"04. VALIDA US";"05. VOBO US";"06. BW-EJECUCION";"07. VALIDACIÓN BAJAWARE";"08. CERRADA"},0),
 1,
 IF(
  MATCH(B670,{"01. ASIGNACION AREA";"02. MAPEO";"03. DESARROLLO";"04. VALIDA US";"05. VOBO US";"06. BW-EJECUCION";"07. VALIDACIÓN BAJAWARE";"08. CERRADA"},0)
  =
  MATCH(_xlfn.XLOOKUP(INDEX($B:$B, (ROW()-2)),'Relacion '!$E:$E,'Relacion '!$D:$D,""),{"01. ASIGNACION AREA";"02. MAPEO";"03. DESARROLLO";"04. VALIDA US";"05. VOBO US";"06. BW-EJECUCION";"07. VALIDACIÓN BAJAWARE";"08. CERRADA"},0),
  _xlfn.XLOOKUP(INDEX($B:$B, (ROW()-2)),'Relacion '!$E:$E,'Relacion '!#REF!,0),
  0
 )
)</f>
        <v>1</v>
      </c>
      <c r="I670" s="241">
        <f t="shared" ca="1" si="153"/>
        <v>1</v>
      </c>
      <c r="J670" s="241"/>
      <c r="K670" s="241"/>
      <c r="L670" s="238"/>
    </row>
    <row r="671" spans="2:12" outlineLevel="1">
      <c r="B671" s="237" t="s">
        <v>49</v>
      </c>
      <c r="C671" s="237" t="s">
        <v>49</v>
      </c>
      <c r="D671" s="238" t="str">
        <f>_xlfn.XLOOKUP(B671,'Relacion '!$E:$E,'Relacion '!$D:$D,"")</f>
        <v/>
      </c>
      <c r="E671" s="239">
        <f t="shared" si="152"/>
        <v>0</v>
      </c>
      <c r="F671" s="240" cm="1">
        <f t="array" ref="F671">MIN(INDEX('Relacion '!$AB$5:$AC$493,MATCH(INDEX($B:$B, (ROW()-3)),'Relacion '!$E$5:$E$493,0),0))</f>
        <v>46108</v>
      </c>
      <c r="G671" s="240" cm="1">
        <f t="array" ref="G671">MAX(INDEX('Relacion '!$AB$5:$AC$493,MATCH(INDEX($B:$B, (ROW()-3)),'Relacion '!$E$5:$E$493,0),0))</f>
        <v>46108</v>
      </c>
      <c r="H671" s="241" cm="1">
        <f t="array" ref="H671">IF(
 MATCH(B671,{"01. ASIGNACION AREA";"02. MAPEO";"03. DESARROLLO";"04. VALIDA US";"05. VOBO US";"06. BW-EJECUCION";"07. VALIDACIÓN BAJAWARE";"08. CERRADA"},0)
 &lt;
 MATCH(_xlfn.XLOOKUP(INDEX($B:$B, (ROW()-3)),'Relacion '!$E:$E,'Relacion '!$D:$D,""),{"01. ASIGNACION AREA";"02. MAPEO";"03. DESARROLLO";"04. VALIDA US";"05. VOBO US";"06. BW-EJECUCION";"07. VALIDACIÓN BAJAWARE";"08. CERRADA"},0),
 1,
 IF(
  MATCH(B671,{"01. ASIGNACION AREA";"02. MAPEO";"03. DESARROLLO";"04. VALIDA US";"05. VOBO US";"06. BW-EJECUCION";"07. VALIDACIÓN BAJAWARE";"08. CERRADA"},0)
  =
  MATCH(_xlfn.XLOOKUP(INDEX($B:$B, (ROW()-3)),'Relacion '!$E:$E,'Relacion '!$D:$D,""),{"01. ASIGNACION AREA";"02. MAPEO";"03. DESARROLLO";"04. VALIDA US";"05. VOBO US";"06. BW-EJECUCION";"07. VALIDACIÓN BAJAWARE";"08. CERRADA"},0),
  _xlfn.XLOOKUP(INDEX($B:$B, (ROW()-3)),'Relacion '!$E:$E,'Relacion '!#REF!,0),
  0
 )
)</f>
        <v>1</v>
      </c>
      <c r="I671" s="241">
        <f t="shared" ca="1" si="153"/>
        <v>1</v>
      </c>
      <c r="J671" s="241"/>
      <c r="K671" s="241"/>
      <c r="L671" s="238"/>
    </row>
    <row r="672" spans="2:12" outlineLevel="1">
      <c r="B672" s="237" t="s">
        <v>324</v>
      </c>
      <c r="C672" s="237" t="s">
        <v>324</v>
      </c>
      <c r="D672" s="238" t="str">
        <f>_xlfn.XLOOKUP(B672,'Relacion '!$E:$E,'Relacion '!$D:$D,"")</f>
        <v/>
      </c>
      <c r="E672" s="239">
        <f t="shared" si="152"/>
        <v>0</v>
      </c>
      <c r="F672" s="240" cm="1">
        <f t="array" ref="F672">MIN(INDEX('Relacion '!$AD$5:$AE$493,MATCH(INDEX($B:$B, (ROW()-4)),'Relacion '!$E$5:$E$493,0),0))</f>
        <v>46108</v>
      </c>
      <c r="G672" s="240" cm="1">
        <f t="array" ref="G672">MAX(INDEX('Relacion '!$AD$5:$AE$493,MATCH(INDEX($B:$B, (ROW()-4)),'Relacion '!$E$5:$E$493,0),0))</f>
        <v>46108</v>
      </c>
      <c r="H672" s="241" cm="1">
        <f t="array" ref="H672">IF(
 MATCH(B672,{"01. ASIGNACION AREA";"02. MAPEO";"03. DESARROLLO";"04. VALIDA US";"05. VOBO US";"06. BW-EJECUCION";"07. VALIDACIÓN BAJAWARE";"08. CERRADA"},0)
 &lt;
 MATCH(_xlfn.XLOOKUP(INDEX($B:$B, (ROW()-4)),'Relacion '!$E:$E,'Relacion '!$D:$D,""),{"01. ASIGNACION AREA";"02. MAPEO";"03. DESARROLLO";"04. VALIDA US";"05. VOBO US";"06. BW-EJECUCION";"07. VALIDACIÓN BAJAWARE";"08. CERRADA"},0),
 1,
 IF(
  MATCH(B672,{"01. ASIGNACION AREA";"02. MAPEO";"03. DESARROLLO";"04. VALIDA US";"05. VOBO US";"06. BW-EJECUCION";"07. VALIDACIÓN BAJAWARE";"08. CERRADA"},0)
  =
  MATCH(_xlfn.XLOOKUP(INDEX($B:$B, (ROW()-4)),'Relacion '!$E:$E,'Relacion '!$D:$D,""),{"01. ASIGNACION AREA";"02. MAPEO";"03. DESARROLLO";"04. VALIDA US";"05. VOBO US";"06. BW-EJECUCION";"07. VALIDACIÓN BAJAWARE";"08. CERRADA"},0),
  _xlfn.XLOOKUP(INDEX($B:$B, (ROW()-4)),'Relacion '!$E:$E,'Relacion '!#REF!,0),
  0
 )
)</f>
        <v>1</v>
      </c>
      <c r="I672" s="241">
        <f t="shared" ca="1" si="153"/>
        <v>1</v>
      </c>
      <c r="J672" s="241"/>
      <c r="K672" s="241"/>
      <c r="L672" s="238"/>
    </row>
    <row r="673" spans="2:12" outlineLevel="1">
      <c r="B673" s="237" t="s">
        <v>320</v>
      </c>
      <c r="C673" s="237" t="s">
        <v>320</v>
      </c>
      <c r="D673" s="238" t="str">
        <f>_xlfn.XLOOKUP(B673,'Relacion '!$E:$E,'Relacion '!$D:$D,"")</f>
        <v/>
      </c>
      <c r="E673" s="239">
        <f t="shared" si="152"/>
        <v>0</v>
      </c>
      <c r="F673" s="240" cm="1">
        <f t="array" ref="F673">MIN(INDEX('Relacion '!$AF$5:$AG$493,MATCH(INDEX($B:$B, (ROW()-5)),'Relacion '!$E$5:$E$493,0),0))</f>
        <v>46108</v>
      </c>
      <c r="G673" s="240" cm="1">
        <f t="array" ref="G673">MAX(INDEX('Relacion '!$AF$5:$AG$493,MATCH(INDEX($B:$B, (ROW()-5)),'Relacion '!$E$5:$E$493,0),0))</f>
        <v>46108</v>
      </c>
      <c r="H673" s="241" cm="1">
        <f t="array" ref="H673">IF(
 MATCH(B673,{"01. ASIGNACION AREA";"02. MAPEO";"03. DESARROLLO";"04. VALIDA US";"05. VOBO US";"06. BW-EJECUCION";"07. VALIDACIÓN BAJAWARE";"08. CERRADA"},0)
 &lt;
 MATCH(_xlfn.XLOOKUP(INDEX($B:$B, (ROW()-5)),'Relacion '!$E:$E,'Relacion '!$D:$D,""),{"01. ASIGNACION AREA";"02. MAPEO";"03. DESARROLLO";"04. VALIDA US";"05. VOBO US";"06. BW-EJECUCION";"07. VALIDACIÓN BAJAWARE";"08. CERRADA"},0),
 1,
 IF(
  MATCH(B673,{"01. ASIGNACION AREA";"02. MAPEO";"03. DESARROLLO";"04. VALIDA US";"05. VOBO US";"06. BW-EJECUCION";"07. VALIDACIÓN BAJAWARE";"08. CERRADA"},0)
  =
  MATCH(_xlfn.XLOOKUP(INDEX($B:$B, (ROW()-5)),'Relacion '!$E:$E,'Relacion '!$D:$D,""),{"01. ASIGNACION AREA";"02. MAPEO";"03. DESARROLLO";"04. VALIDA US";"05. VOBO US";"06. BW-EJECUCION";"07. VALIDACIÓN BAJAWARE";"08. CERRADA"},0),
  _xlfn.XLOOKUP(INDEX($B:$B, (ROW()-5)),'Relacion '!$E:$E,'Relacion '!#REF!,0),
  0
 )
)</f>
        <v>1</v>
      </c>
      <c r="I673" s="241">
        <f t="shared" ca="1" si="153"/>
        <v>1</v>
      </c>
      <c r="J673" s="241"/>
      <c r="K673" s="241"/>
      <c r="L673" s="238"/>
    </row>
    <row r="674" spans="2:12" outlineLevel="1">
      <c r="B674" s="237" t="s">
        <v>710</v>
      </c>
      <c r="C674" s="237" t="s">
        <v>710</v>
      </c>
      <c r="D674" s="238" t="str">
        <f>_xlfn.XLOOKUP(B674,'Relacion '!$E:$E,'Relacion '!$D:$D,"")</f>
        <v/>
      </c>
      <c r="E674" s="239">
        <f t="shared" si="152"/>
        <v>0</v>
      </c>
      <c r="F674" s="240" cm="1">
        <f t="array" ref="F674">MIN(INDEX('Relacion '!$AH$5:$AI$493,MATCH(INDEX($B:$B, (ROW()-6)),'Relacion '!$E$5:$E$493,0),0))</f>
        <v>46108</v>
      </c>
      <c r="G674" s="240" cm="1">
        <f t="array" ref="G674">MAX(INDEX('Relacion '!$AH$5:$AI$493,MATCH(INDEX($B:$B, (ROW()-6)),'Relacion '!$E$5:$E$493,0),0))</f>
        <v>46108</v>
      </c>
      <c r="H674" s="241" cm="1">
        <f t="array" ref="H674">IF(
 MATCH(B674,{"01. ASIGNACION AREA";"02. MAPEO";"03. DESARROLLO";"04. VALIDA US";"05. VOBO US";"06. BW-EJECUCION";"07. VALIDACIÓN BAJAWARE";"08. CERRADA"},0)
 &lt;
 MATCH(_xlfn.XLOOKUP(INDEX($B:$B, (ROW()-6)),'Relacion '!$E:$E,'Relacion '!$D:$D,""),{"01. ASIGNACION AREA";"02. MAPEO";"03. DESARROLLO";"04. VALIDA US";"05. VOBO US";"06. BW-EJECUCION";"07. VALIDACIÓN BAJAWARE";"08. CERRADA"},0),
 1,
 IF(
  MATCH(B674,{"01. ASIGNACION AREA";"02. MAPEO";"03. DESARROLLO";"04. VALIDA US";"05. VOBO US";"06. BW-EJECUCION";"07. VALIDACIÓN BAJAWARE";"08. CERRADA"},0)
  =
  MATCH(_xlfn.XLOOKUP(INDEX($B:$B, (ROW()-6)),'Relacion '!$E:$E,'Relacion '!$D:$D,""),{"01. ASIGNACION AREA";"02. MAPEO";"03. DESARROLLO";"04. VALIDA US";"05. VOBO US";"06. BW-EJECUCION";"07. VALIDACIÓN BAJAWARE";"08. CERRADA"},0),
  _xlfn.XLOOKUP(INDEX($B:$B, (ROW()-6)),'Relacion '!$E:$E,'Relacion '!#REF!,0),
  0
 )
)</f>
        <v>1</v>
      </c>
      <c r="I674" s="241">
        <f t="shared" ca="1" si="153"/>
        <v>1</v>
      </c>
      <c r="J674" s="241"/>
      <c r="K674" s="241"/>
      <c r="L674" s="238"/>
    </row>
    <row r="675" spans="2:12" outlineLevel="1">
      <c r="B675" s="237" t="s">
        <v>655</v>
      </c>
      <c r="C675" s="237" t="s">
        <v>655</v>
      </c>
      <c r="D675" s="238" t="str">
        <f>_xlfn.XLOOKUP(B675,'Relacion '!$E:$E,'Relacion '!$D:$D,"")</f>
        <v/>
      </c>
      <c r="E675" s="239">
        <f t="shared" si="152"/>
        <v>0</v>
      </c>
      <c r="F675" s="240" cm="1">
        <f t="array" ref="F675">MIN(INDEX('Relacion '!$AJ$5:$AK$493,MATCH(INDEX($B:$B, (ROW()-7)),'Relacion '!$E$5:$E$493,0),0))</f>
        <v>46108</v>
      </c>
      <c r="G675" s="240" cm="1">
        <f t="array" ref="G675">MAX(INDEX('Relacion '!$AJ$5:$AK$493,MATCH(INDEX($B:$B, (ROW()-7)),'Relacion '!$E$5:$E$493,0),0))</f>
        <v>46108</v>
      </c>
      <c r="H675" s="241" cm="1">
        <f t="array" ref="H675">IF(
 MATCH(B675,{"01. ASIGNACION AREA";"02. MAPEO";"03. DESARROLLO";"04. VALIDA US";"05. VOBO US";"06. BW-EJECUCION";"07. VALIDACIÓN BAJAWARE";"08. CERRADA"},0)
 &lt;
 MATCH(_xlfn.XLOOKUP(INDEX($B:$B, (ROW()-7)),'Relacion '!$E:$E,'Relacion '!$D:$D,""),{"01. ASIGNACION AREA";"02. MAPEO";"03. DESARROLLO";"04. VALIDA US";"05. VOBO US";"06. BW-EJECUCION";"07. VALIDACIÓN BAJAWARE";"08. CERRADA"},0),
 1,
 IF(
  MATCH(B675,{"01. ASIGNACION AREA";"02. MAPEO";"03. DESARROLLO";"04. VALIDA US";"05. VOBO US";"06. BW-EJECUCION";"07. VALIDACIÓN BAJAWARE";"08. CERRADA"},0)
  =
  MATCH(_xlfn.XLOOKUP(INDEX($B:$B, (ROW()-7)),'Relacion '!$E:$E,'Relacion '!$D:$D,""),{"01. ASIGNACION AREA";"02. MAPEO";"03. DESARROLLO";"04. VALIDA US";"05. VOBO US";"06. BW-EJECUCION";"07. VALIDACIÓN BAJAWARE";"08. CERRADA"},0),
  _xlfn.XLOOKUP(INDEX($B:$B, (ROW()-7)),'Relacion '!$E:$E,'Relacion '!#REF!,0),
  0
 )
)</f>
        <v>1</v>
      </c>
      <c r="I675" s="241">
        <f t="shared" ca="1" si="153"/>
        <v>1</v>
      </c>
      <c r="J675" s="241"/>
      <c r="K675" s="241"/>
      <c r="L675" s="238"/>
    </row>
    <row r="676" spans="2:12" outlineLevel="1">
      <c r="B676" s="237" t="s">
        <v>656</v>
      </c>
      <c r="C676" s="237" t="s">
        <v>656</v>
      </c>
      <c r="D676" s="238" t="str">
        <f>_xlfn.XLOOKUP(B676,'Relacion '!$E:$E,'Relacion '!$D:$D,"")</f>
        <v/>
      </c>
      <c r="E676" s="239">
        <f t="shared" si="152"/>
        <v>0</v>
      </c>
      <c r="F676" s="240" cm="1">
        <f t="array" ref="F676">MIN(INDEX('Relacion '!$AL$5:$AM$493,MATCH(INDEX($B:$B, (ROW()-8)),'Relacion '!$E$5:$E$493,0),0))</f>
        <v>46109</v>
      </c>
      <c r="G676" s="240" cm="1">
        <f t="array" ref="G676">MAX(INDEX('Relacion '!$AL$5:$AM$493,MATCH(INDEX($B:$B, (ROW()-8)),'Relacion '!$E$5:$E$493,0),0))</f>
        <v>46109</v>
      </c>
      <c r="H676" s="241" t="e" cm="1">
        <f t="array" ref="H676">IF(
 MATCH(B676,{"01. ASIGNACION AREA";"02. MAPEO";"03. DESARROLLO";"04. VALIDA US";"05. VOBO US";"06. BW-EJECUCION";"07. VALIDACIÓN BAJAWARE";"08. CERRADA"},0)
 &lt;
 MATCH(_xlfn.XLOOKUP(INDEX($B:$B, (ROW()-8)),'Relacion '!$E:$E,'Relacion '!$D:$D,""),{"01. ASIGNACION AREA";"02. MAPEO";"03. DESARROLLO";"04. VALIDA US";"05. VOBO US";"06. BW-EJECUCION";"07. VALIDACIÓN BAJAWARE";"08. CERRADA"},0),
 1,
 IF(
  MATCH(B676,{"01. ASIGNACION AREA";"02. MAPEO";"03. DESARROLLO";"04. VALIDA US";"05. VOBO US";"06. BW-EJECUCION";"07. VALIDACIÓN BAJAWARE";"08. CERRADA"},0)
  =
  MATCH(_xlfn.XLOOKUP(INDEX($B:$B, (ROW()-8)),'Relacion '!$E:$E,'Relacion '!$D:$D,""),{"01. ASIGNACION AREA";"02. MAPEO";"03. DESARROLLO";"04. VALIDA US";"05. VOBO US";"06. BW-EJECUCION";"07. VALIDACIÓN BAJAWARE";"08. CERRADA"},0),
  _xlfn.XLOOKUP(INDEX($B:$B, (ROW()-8)),'Relacion '!$E:$E,'Relacion '!#REF!,0),
  0
 )
)</f>
        <v>#REF!</v>
      </c>
      <c r="I676" s="241">
        <f t="shared" ca="1" si="153"/>
        <v>1</v>
      </c>
      <c r="J676" s="241"/>
      <c r="K676" s="241"/>
      <c r="L676" s="238"/>
    </row>
    <row r="677" spans="2:12">
      <c r="B677" s="232" t="s">
        <v>295</v>
      </c>
      <c r="C677" s="167" t="s">
        <v>296</v>
      </c>
      <c r="D677" s="236" t="str">
        <f>_xlfn.XLOOKUP(B677,'Relacion '!$E:$E,'Relacion '!$D:$D,"")</f>
        <v>02. MAPEO</v>
      </c>
      <c r="E677" s="233">
        <f t="shared" si="152"/>
        <v>543</v>
      </c>
      <c r="F677" s="234" cm="1">
        <f t="array" ref="F677">MIN(INDEX('Relacion '!$X$5:$AM$493,MATCH(INDEX($B:$B, (ROW()-0)),'Relacion '!$E$5:$E$493,0),0))</f>
        <v>45659</v>
      </c>
      <c r="G677" s="234" cm="1">
        <f t="array" ref="G677">MAX(INDEX('Relacion '!$X$5:$AM$493,MATCH(INDEX($B:$B, (ROW()-0)),'Relacion '!$E$5:$E$493,0),0))</f>
        <v>46202</v>
      </c>
      <c r="H677" s="235" t="e">
        <f>AVERAGE(H678:H685)</f>
        <v>#REF!</v>
      </c>
      <c r="I677" s="235">
        <f t="shared" ref="I677" ca="1" si="160">AVERAGE(I678:I685)</f>
        <v>0.375</v>
      </c>
      <c r="J677" s="236" t="str">
        <f>IF(ISNUMBER(SEARCH("Rocha", _xlfn.XLOOKUP(B677,'Relacion '!$E:$E,'Relacion '!$I:$I,""))), "Sí", "No")</f>
        <v>Sí</v>
      </c>
      <c r="K677" s="236" t="str">
        <f>IF(ISNUMBER(SEARCH("Rocha", _xlfn.XLOOKUP(B677,'Relacion '!$E:$E,'Relacion '!$I:$I,""))), "RMC", _xlfn.XLOOKUP(B677,'Relacion '!$E:$E,'Relacion '!$B:$B,""))</f>
        <v>RMC</v>
      </c>
      <c r="L677" s="236" t="str">
        <f>_xlfn.XLOOKUP(B677,'Relacion '!$E:$E,'Relacion '!$C:$C,"")</f>
        <v>Belem Alvarado</v>
      </c>
    </row>
    <row r="678" spans="2:12" outlineLevel="1">
      <c r="B678" s="237" t="s">
        <v>654</v>
      </c>
      <c r="C678" s="237" t="s">
        <v>654</v>
      </c>
      <c r="D678" s="238" t="str">
        <f>_xlfn.XLOOKUP(B678,'Relacion '!$E:$E,'Relacion '!$D:$D,"")</f>
        <v/>
      </c>
      <c r="E678" s="239">
        <f t="shared" si="152"/>
        <v>424</v>
      </c>
      <c r="F678" s="240" cm="1">
        <f t="array" ref="F678">MIN(INDEX('Relacion '!$X$5:$Y$493,MATCH(INDEX($B:$B, (ROW()-1)),'Relacion '!$E$5:$E$493,0),0))</f>
        <v>45659</v>
      </c>
      <c r="G678" s="240" cm="1">
        <f t="array" ref="G678">MAX(INDEX('Relacion '!$X$5:$Y$493,MATCH(INDEX($B:$B, (ROW()-1)),'Relacion '!$E$5:$E$493,0),0))</f>
        <v>46083</v>
      </c>
      <c r="H678" s="241" cm="1">
        <f t="array" ref="H678">IF(
 MATCH(B678,{"01. ASIGNACION AREA";"02. MAPEO";"03. DESARROLLO";"04. VALIDA US";"05. VOBO US";"06. BW-EJECUCION";"07. VALIDACIÓN BAJAWARE";"08. CERRADA"},0)
 &lt;
 MATCH(_xlfn.XLOOKUP(INDEX($B:$B, (ROW()-1)),'Relacion '!$E:$E,'Relacion '!$D:$D,""),{"01. ASIGNACION AREA";"02. MAPEO";"03. DESARROLLO";"04. VALIDA US";"05. VOBO US";"06. BW-EJECUCION";"07. VALIDACIÓN BAJAWARE";"08. CERRADA"},0),
 1,
 IF(
  MATCH(B678,{"01. ASIGNACION AREA";"02. MAPEO";"03. DESARROLLO";"04. VALIDA US";"05. VOBO US";"06. BW-EJECUCION";"07. VALIDACIÓN BAJAWARE";"08. CERRADA"},0)
  =
  MATCH(_xlfn.XLOOKUP(INDEX($B:$B, (ROW()-1)),'Relacion '!$E:$E,'Relacion '!$D:$D,""),{"01. ASIGNACION AREA";"02. MAPEO";"03. DESARROLLO";"04. VALIDA US";"05. VOBO US";"06. BW-EJECUCION";"07. VALIDACIÓN BAJAWARE";"08. CERRADA"},0),
  _xlfn.XLOOKUP(INDEX($B:$B, (ROW()-1)),'Relacion '!$E:$E,'Relacion '!#REF!,0),
  0
 )
)</f>
        <v>1</v>
      </c>
      <c r="I678" s="241">
        <f t="shared" ref="I678" ca="1" si="161">IF(G678&lt;=TODAY(), 1, 0)</f>
        <v>1</v>
      </c>
      <c r="J678" s="241"/>
      <c r="K678" s="241"/>
      <c r="L678" s="238"/>
    </row>
    <row r="679" spans="2:12" outlineLevel="1">
      <c r="B679" s="237" t="s">
        <v>195</v>
      </c>
      <c r="C679" s="237" t="s">
        <v>195</v>
      </c>
      <c r="D679" s="238" t="str">
        <f>_xlfn.XLOOKUP(B679,'Relacion '!$E:$E,'Relacion '!$D:$D,"")</f>
        <v/>
      </c>
      <c r="E679" s="239">
        <f t="shared" si="152"/>
        <v>49</v>
      </c>
      <c r="F679" s="240" cm="1">
        <f t="array" ref="F679">MIN(INDEX('Relacion '!$Z$5:$AA$493,MATCH(INDEX($B:$B, (ROW()-2)),'Relacion '!$E$5:$E$493,0),0))</f>
        <v>46093</v>
      </c>
      <c r="G679" s="240" cm="1">
        <f t="array" ref="G679">MAX(INDEX('Relacion '!$Z$5:$AA$493,MATCH(INDEX($B:$B, (ROW()-2)),'Relacion '!$E$5:$E$493,0),0))</f>
        <v>46142</v>
      </c>
      <c r="H679" s="241" t="e" cm="1">
        <f t="array" ref="H679">IF(
 MATCH(B679,{"01. ASIGNACION AREA";"02. MAPEO";"03. DESARROLLO";"04. VALIDA US";"05. VOBO US";"06. BW-EJECUCION";"07. VALIDACIÓN BAJAWARE";"08. CERRADA"},0)
 &lt;
 MATCH(_xlfn.XLOOKUP(INDEX($B:$B, (ROW()-2)),'Relacion '!$E:$E,'Relacion '!$D:$D,""),{"01. ASIGNACION AREA";"02. MAPEO";"03. DESARROLLO";"04. VALIDA US";"05. VOBO US";"06. BW-EJECUCION";"07. VALIDACIÓN BAJAWARE";"08. CERRADA"},0),
 1,
 IF(
  MATCH(B679,{"01. ASIGNACION AREA";"02. MAPEO";"03. DESARROLLO";"04. VALIDA US";"05. VOBO US";"06. BW-EJECUCION";"07. VALIDACIÓN BAJAWARE";"08. CERRADA"},0)
  =
  MATCH(_xlfn.XLOOKUP(INDEX($B:$B, (ROW()-2)),'Relacion '!$E:$E,'Relacion '!$D:$D,""),{"01. ASIGNACION AREA";"02. MAPEO";"03. DESARROLLO";"04. VALIDA US";"05. VOBO US";"06. BW-EJECUCION";"07. VALIDACIÓN BAJAWARE";"08. CERRADA"},0),
  _xlfn.XLOOKUP(INDEX($B:$B, (ROW()-2)),'Relacion '!$E:$E,'Relacion '!#REF!,0),
  0
 )
)</f>
        <v>#REF!</v>
      </c>
      <c r="I679" s="241">
        <f t="shared" ca="1" si="153"/>
        <v>1</v>
      </c>
      <c r="J679" s="241"/>
      <c r="K679" s="241"/>
      <c r="L679" s="238"/>
    </row>
    <row r="680" spans="2:12" outlineLevel="1">
      <c r="B680" s="237" t="s">
        <v>49</v>
      </c>
      <c r="C680" s="237" t="s">
        <v>49</v>
      </c>
      <c r="D680" s="238" t="str">
        <f>_xlfn.XLOOKUP(B680,'Relacion '!$E:$E,'Relacion '!$D:$D,"")</f>
        <v/>
      </c>
      <c r="E680" s="239">
        <f t="shared" si="152"/>
        <v>18</v>
      </c>
      <c r="F680" s="240" cm="1">
        <f t="array" ref="F680">MIN(INDEX('Relacion '!$AB$5:$AC$493,MATCH(INDEX($B:$B, (ROW()-3)),'Relacion '!$E$5:$E$493,0),0))</f>
        <v>46146</v>
      </c>
      <c r="G680" s="240" cm="1">
        <f t="array" ref="G680">MAX(INDEX('Relacion '!$AB$5:$AC$493,MATCH(INDEX($B:$B, (ROW()-3)),'Relacion '!$E$5:$E$493,0),0))</f>
        <v>46164</v>
      </c>
      <c r="H680" s="241" cm="1">
        <f t="array" ref="H680">IF(
 MATCH(B680,{"01. ASIGNACION AREA";"02. MAPEO";"03. DESARROLLO";"04. VALIDA US";"05. VOBO US";"06. BW-EJECUCION";"07. VALIDACIÓN BAJAWARE";"08. CERRADA"},0)
 &lt;
 MATCH(_xlfn.XLOOKUP(INDEX($B:$B, (ROW()-3)),'Relacion '!$E:$E,'Relacion '!$D:$D,""),{"01. ASIGNACION AREA";"02. MAPEO";"03. DESARROLLO";"04. VALIDA US";"05. VOBO US";"06. BW-EJECUCION";"07. VALIDACIÓN BAJAWARE";"08. CERRADA"},0),
 1,
 IF(
  MATCH(B680,{"01. ASIGNACION AREA";"02. MAPEO";"03. DESARROLLO";"04. VALIDA US";"05. VOBO US";"06. BW-EJECUCION";"07. VALIDACIÓN BAJAWARE";"08. CERRADA"},0)
  =
  MATCH(_xlfn.XLOOKUP(INDEX($B:$B, (ROW()-3)),'Relacion '!$E:$E,'Relacion '!$D:$D,""),{"01. ASIGNACION AREA";"02. MAPEO";"03. DESARROLLO";"04. VALIDA US";"05. VOBO US";"06. BW-EJECUCION";"07. VALIDACIÓN BAJAWARE";"08. CERRADA"},0),
  _xlfn.XLOOKUP(INDEX($B:$B, (ROW()-3)),'Relacion '!$E:$E,'Relacion '!#REF!,0),
  0
 )
)</f>
        <v>0</v>
      </c>
      <c r="I680" s="241">
        <f t="shared" ca="1" si="153"/>
        <v>1</v>
      </c>
      <c r="J680" s="241"/>
      <c r="K680" s="241"/>
      <c r="L680" s="238"/>
    </row>
    <row r="681" spans="2:12" outlineLevel="1">
      <c r="B681" s="237" t="s">
        <v>324</v>
      </c>
      <c r="C681" s="237" t="s">
        <v>324</v>
      </c>
      <c r="D681" s="238" t="str">
        <f>_xlfn.XLOOKUP(B681,'Relacion '!$E:$E,'Relacion '!$D:$D,"")</f>
        <v/>
      </c>
      <c r="E681" s="239">
        <f t="shared" si="152"/>
        <v>11</v>
      </c>
      <c r="F681" s="240" cm="1">
        <f t="array" ref="F681">MIN(INDEX('Relacion '!$AD$5:$AE$493,MATCH(INDEX($B:$B, (ROW()-4)),'Relacion '!$E$5:$E$493,0),0))</f>
        <v>46167</v>
      </c>
      <c r="G681" s="240" cm="1">
        <f t="array" ref="G681">MAX(INDEX('Relacion '!$AD$5:$AE$493,MATCH(INDEX($B:$B, (ROW()-4)),'Relacion '!$E$5:$E$493,0),0))</f>
        <v>46178</v>
      </c>
      <c r="H681" s="241" cm="1">
        <f t="array" ref="H681">IF(
 MATCH(B681,{"01. ASIGNACION AREA";"02. MAPEO";"03. DESARROLLO";"04. VALIDA US";"05. VOBO US";"06. BW-EJECUCION";"07. VALIDACIÓN BAJAWARE";"08. CERRADA"},0)
 &lt;
 MATCH(_xlfn.XLOOKUP(INDEX($B:$B, (ROW()-4)),'Relacion '!$E:$E,'Relacion '!$D:$D,""),{"01. ASIGNACION AREA";"02. MAPEO";"03. DESARROLLO";"04. VALIDA US";"05. VOBO US";"06. BW-EJECUCION";"07. VALIDACIÓN BAJAWARE";"08. CERRADA"},0),
 1,
 IF(
  MATCH(B681,{"01. ASIGNACION AREA";"02. MAPEO";"03. DESARROLLO";"04. VALIDA US";"05. VOBO US";"06. BW-EJECUCION";"07. VALIDACIÓN BAJAWARE";"08. CERRADA"},0)
  =
  MATCH(_xlfn.XLOOKUP(INDEX($B:$B, (ROW()-4)),'Relacion '!$E:$E,'Relacion '!$D:$D,""),{"01. ASIGNACION AREA";"02. MAPEO";"03. DESARROLLO";"04. VALIDA US";"05. VOBO US";"06. BW-EJECUCION";"07. VALIDACIÓN BAJAWARE";"08. CERRADA"},0),
  _xlfn.XLOOKUP(INDEX($B:$B, (ROW()-4)),'Relacion '!$E:$E,'Relacion '!#REF!,0),
  0
 )
)</f>
        <v>0</v>
      </c>
      <c r="I681" s="241">
        <f t="shared" ca="1" si="153"/>
        <v>0</v>
      </c>
      <c r="J681" s="241"/>
      <c r="K681" s="241"/>
      <c r="L681" s="238"/>
    </row>
    <row r="682" spans="2:12" outlineLevel="1">
      <c r="B682" s="237" t="s">
        <v>320</v>
      </c>
      <c r="C682" s="237" t="s">
        <v>320</v>
      </c>
      <c r="D682" s="238" t="str">
        <f>_xlfn.XLOOKUP(B682,'Relacion '!$E:$E,'Relacion '!$D:$D,"")</f>
        <v/>
      </c>
      <c r="E682" s="239">
        <f t="shared" si="152"/>
        <v>3</v>
      </c>
      <c r="F682" s="240" cm="1">
        <f t="array" ref="F682">MIN(INDEX('Relacion '!$AF$5:$AG$493,MATCH(INDEX($B:$B, (ROW()-5)),'Relacion '!$E$5:$E$493,0),0))</f>
        <v>46178</v>
      </c>
      <c r="G682" s="240" cm="1">
        <f t="array" ref="G682">MAX(INDEX('Relacion '!$AF$5:$AG$493,MATCH(INDEX($B:$B, (ROW()-5)),'Relacion '!$E$5:$E$493,0),0))</f>
        <v>46181</v>
      </c>
      <c r="H682" s="241" cm="1">
        <f t="array" ref="H682">IF(
 MATCH(B682,{"01. ASIGNACION AREA";"02. MAPEO";"03. DESARROLLO";"04. VALIDA US";"05. VOBO US";"06. BW-EJECUCION";"07. VALIDACIÓN BAJAWARE";"08. CERRADA"},0)
 &lt;
 MATCH(_xlfn.XLOOKUP(INDEX($B:$B, (ROW()-5)),'Relacion '!$E:$E,'Relacion '!$D:$D,""),{"01. ASIGNACION AREA";"02. MAPEO";"03. DESARROLLO";"04. VALIDA US";"05. VOBO US";"06. BW-EJECUCION";"07. VALIDACIÓN BAJAWARE";"08. CERRADA"},0),
 1,
 IF(
  MATCH(B682,{"01. ASIGNACION AREA";"02. MAPEO";"03. DESARROLLO";"04. VALIDA US";"05. VOBO US";"06. BW-EJECUCION";"07. VALIDACIÓN BAJAWARE";"08. CERRADA"},0)
  =
  MATCH(_xlfn.XLOOKUP(INDEX($B:$B, (ROW()-5)),'Relacion '!$E:$E,'Relacion '!$D:$D,""),{"01. ASIGNACION AREA";"02. MAPEO";"03. DESARROLLO";"04. VALIDA US";"05. VOBO US";"06. BW-EJECUCION";"07. VALIDACIÓN BAJAWARE";"08. CERRADA"},0),
  _xlfn.XLOOKUP(INDEX($B:$B, (ROW()-5)),'Relacion '!$E:$E,'Relacion '!#REF!,0),
  0
 )
)</f>
        <v>0</v>
      </c>
      <c r="I682" s="241">
        <f t="shared" ca="1" si="153"/>
        <v>0</v>
      </c>
      <c r="J682" s="241"/>
      <c r="K682" s="241"/>
      <c r="L682" s="238"/>
    </row>
    <row r="683" spans="2:12" outlineLevel="1">
      <c r="B683" s="237" t="s">
        <v>710</v>
      </c>
      <c r="C683" s="237" t="s">
        <v>710</v>
      </c>
      <c r="D683" s="238" t="str">
        <f>_xlfn.XLOOKUP(B683,'Relacion '!$E:$E,'Relacion '!$D:$D,"")</f>
        <v/>
      </c>
      <c r="E683" s="239">
        <f t="shared" si="152"/>
        <v>3</v>
      </c>
      <c r="F683" s="240" cm="1">
        <f t="array" ref="F683">MIN(INDEX('Relacion '!$AH$5:$AI$493,MATCH(INDEX($B:$B, (ROW()-6)),'Relacion '!$E$5:$E$493,0),0))</f>
        <v>46182</v>
      </c>
      <c r="G683" s="240" cm="1">
        <f t="array" ref="G683">MAX(INDEX('Relacion '!$AH$5:$AI$493,MATCH(INDEX($B:$B, (ROW()-6)),'Relacion '!$E$5:$E$493,0),0))</f>
        <v>46185</v>
      </c>
      <c r="H683" s="241" cm="1">
        <f t="array" ref="H683">IF(
 MATCH(B683,{"01. ASIGNACION AREA";"02. MAPEO";"03. DESARROLLO";"04. VALIDA US";"05. VOBO US";"06. BW-EJECUCION";"07. VALIDACIÓN BAJAWARE";"08. CERRADA"},0)
 &lt;
 MATCH(_xlfn.XLOOKUP(INDEX($B:$B, (ROW()-6)),'Relacion '!$E:$E,'Relacion '!$D:$D,""),{"01. ASIGNACION AREA";"02. MAPEO";"03. DESARROLLO";"04. VALIDA US";"05. VOBO US";"06. BW-EJECUCION";"07. VALIDACIÓN BAJAWARE";"08. CERRADA"},0),
 1,
 IF(
  MATCH(B683,{"01. ASIGNACION AREA";"02. MAPEO";"03. DESARROLLO";"04. VALIDA US";"05. VOBO US";"06. BW-EJECUCION";"07. VALIDACIÓN BAJAWARE";"08. CERRADA"},0)
  =
  MATCH(_xlfn.XLOOKUP(INDEX($B:$B, (ROW()-6)),'Relacion '!$E:$E,'Relacion '!$D:$D,""),{"01. ASIGNACION AREA";"02. MAPEO";"03. DESARROLLO";"04. VALIDA US";"05. VOBO US";"06. BW-EJECUCION";"07. VALIDACIÓN BAJAWARE";"08. CERRADA"},0),
  _xlfn.XLOOKUP(INDEX($B:$B, (ROW()-6)),'Relacion '!$E:$E,'Relacion '!#REF!,0),
  0
 )
)</f>
        <v>0</v>
      </c>
      <c r="I683" s="241">
        <f t="shared" ca="1" si="153"/>
        <v>0</v>
      </c>
      <c r="J683" s="241"/>
      <c r="K683" s="241"/>
      <c r="L683" s="238"/>
    </row>
    <row r="684" spans="2:12" outlineLevel="1">
      <c r="B684" s="237" t="s">
        <v>655</v>
      </c>
      <c r="C684" s="237" t="s">
        <v>655</v>
      </c>
      <c r="D684" s="238" t="str">
        <f>_xlfn.XLOOKUP(B684,'Relacion '!$E:$E,'Relacion '!$D:$D,"")</f>
        <v/>
      </c>
      <c r="E684" s="239">
        <f t="shared" si="152"/>
        <v>11</v>
      </c>
      <c r="F684" s="240" cm="1">
        <f t="array" ref="F684">MIN(INDEX('Relacion '!$AJ$5:$AK$493,MATCH(INDEX($B:$B, (ROW()-7)),'Relacion '!$E$5:$E$493,0),0))</f>
        <v>46188</v>
      </c>
      <c r="G684" s="240" cm="1">
        <f t="array" ref="G684">MAX(INDEX('Relacion '!$AJ$5:$AK$493,MATCH(INDEX($B:$B, (ROW()-7)),'Relacion '!$E$5:$E$493,0),0))</f>
        <v>46199</v>
      </c>
      <c r="H684" s="241" cm="1">
        <f t="array" ref="H684">IF(
 MATCH(B684,{"01. ASIGNACION AREA";"02. MAPEO";"03. DESARROLLO";"04. VALIDA US";"05. VOBO US";"06. BW-EJECUCION";"07. VALIDACIÓN BAJAWARE";"08. CERRADA"},0)
 &lt;
 MATCH(_xlfn.XLOOKUP(INDEX($B:$B, (ROW()-7)),'Relacion '!$E:$E,'Relacion '!$D:$D,""),{"01. ASIGNACION AREA";"02. MAPEO";"03. DESARROLLO";"04. VALIDA US";"05. VOBO US";"06. BW-EJECUCION";"07. VALIDACIÓN BAJAWARE";"08. CERRADA"},0),
 1,
 IF(
  MATCH(B684,{"01. ASIGNACION AREA";"02. MAPEO";"03. DESARROLLO";"04. VALIDA US";"05. VOBO US";"06. BW-EJECUCION";"07. VALIDACIÓN BAJAWARE";"08. CERRADA"},0)
  =
  MATCH(_xlfn.XLOOKUP(INDEX($B:$B, (ROW()-7)),'Relacion '!$E:$E,'Relacion '!$D:$D,""),{"01. ASIGNACION AREA";"02. MAPEO";"03. DESARROLLO";"04. VALIDA US";"05. VOBO US";"06. BW-EJECUCION";"07. VALIDACIÓN BAJAWARE";"08. CERRADA"},0),
  _xlfn.XLOOKUP(INDEX($B:$B, (ROW()-7)),'Relacion '!$E:$E,'Relacion '!#REF!,0),
  0
 )
)</f>
        <v>0</v>
      </c>
      <c r="I684" s="241">
        <f t="shared" ca="1" si="153"/>
        <v>0</v>
      </c>
      <c r="J684" s="241"/>
      <c r="K684" s="241"/>
      <c r="L684" s="238"/>
    </row>
    <row r="685" spans="2:12" outlineLevel="1">
      <c r="B685" s="237" t="s">
        <v>656</v>
      </c>
      <c r="C685" s="237" t="s">
        <v>656</v>
      </c>
      <c r="D685" s="238" t="str">
        <f>_xlfn.XLOOKUP(B685,'Relacion '!$E:$E,'Relacion '!$D:$D,"")</f>
        <v/>
      </c>
      <c r="E685" s="239">
        <f t="shared" si="152"/>
        <v>3</v>
      </c>
      <c r="F685" s="240" cm="1">
        <f t="array" ref="F685">MIN(INDEX('Relacion '!$AL$5:$AM$493,MATCH(INDEX($B:$B, (ROW()-8)),'Relacion '!$E$5:$E$493,0),0))</f>
        <v>46199</v>
      </c>
      <c r="G685" s="240" cm="1">
        <f t="array" ref="G685">MAX(INDEX('Relacion '!$AL$5:$AM$493,MATCH(INDEX($B:$B, (ROW()-8)),'Relacion '!$E$5:$E$493,0),0))</f>
        <v>46202</v>
      </c>
      <c r="H685" s="241" cm="1">
        <f t="array" ref="H685">IF(
 MATCH(B685,{"01. ASIGNACION AREA";"02. MAPEO";"03. DESARROLLO";"04. VALIDA US";"05. VOBO US";"06. BW-EJECUCION";"07. VALIDACIÓN BAJAWARE";"08. CERRADA"},0)
 &lt;
 MATCH(_xlfn.XLOOKUP(INDEX($B:$B, (ROW()-8)),'Relacion '!$E:$E,'Relacion '!$D:$D,""),{"01. ASIGNACION AREA";"02. MAPEO";"03. DESARROLLO";"04. VALIDA US";"05. VOBO US";"06. BW-EJECUCION";"07. VALIDACIÓN BAJAWARE";"08. CERRADA"},0),
 1,
 IF(
  MATCH(B685,{"01. ASIGNACION AREA";"02. MAPEO";"03. DESARROLLO";"04. VALIDA US";"05. VOBO US";"06. BW-EJECUCION";"07. VALIDACIÓN BAJAWARE";"08. CERRADA"},0)
  =
  MATCH(_xlfn.XLOOKUP(INDEX($B:$B, (ROW()-8)),'Relacion '!$E:$E,'Relacion '!$D:$D,""),{"01. ASIGNACION AREA";"02. MAPEO";"03. DESARROLLO";"04. VALIDA US";"05. VOBO US";"06. BW-EJECUCION";"07. VALIDACIÓN BAJAWARE";"08. CERRADA"},0),
  _xlfn.XLOOKUP(INDEX($B:$B, (ROW()-8)),'Relacion '!$E:$E,'Relacion '!#REF!,0),
  0
 )
)</f>
        <v>0</v>
      </c>
      <c r="I685" s="241">
        <f t="shared" ca="1" si="153"/>
        <v>0</v>
      </c>
      <c r="J685" s="241"/>
      <c r="K685" s="241"/>
      <c r="L685" s="238"/>
    </row>
    <row r="686" spans="2:12">
      <c r="B686" s="232" t="s">
        <v>504</v>
      </c>
      <c r="C686" s="167" t="s">
        <v>505</v>
      </c>
      <c r="D686" s="236" t="str">
        <f>_xlfn.XLOOKUP(B686,'Relacion '!$E:$E,'Relacion '!$D:$D,"")</f>
        <v>02. MAPEO</v>
      </c>
      <c r="E686" s="233">
        <f t="shared" si="152"/>
        <v>165</v>
      </c>
      <c r="F686" s="234" cm="1">
        <f t="array" ref="F686">MIN(INDEX('Relacion '!$X$5:$AM$493,MATCH(INDEX($B:$B, (ROW()-0)),'Relacion '!$E$5:$E$493,0),0))</f>
        <v>46024</v>
      </c>
      <c r="G686" s="234" cm="1">
        <f t="array" ref="G686">MAX(INDEX('Relacion '!$X$5:$AM$493,MATCH(INDEX($B:$B, (ROW()-0)),'Relacion '!$E$5:$E$493,0),0))</f>
        <v>46189</v>
      </c>
      <c r="H686" s="235" t="e">
        <f>AVERAGE(H687:H694)</f>
        <v>#REF!</v>
      </c>
      <c r="I686" s="235">
        <f t="shared" ref="I686" ca="1" si="162">AVERAGE(I687:I694)</f>
        <v>0.625</v>
      </c>
      <c r="J686" s="236" t="str">
        <f>IF(ISNUMBER(SEARCH("Rocha", _xlfn.XLOOKUP(B686,'Relacion '!$E:$E,'Relacion '!$I:$I,""))), "Sí", "No")</f>
        <v>No</v>
      </c>
      <c r="K686" s="236" t="str">
        <f>IF(ISNUMBER(SEARCH("Rocha", _xlfn.XLOOKUP(B686,'Relacion '!$E:$E,'Relacion '!$I:$I,""))), "RMC", _xlfn.XLOOKUP(B686,'Relacion '!$E:$E,'Relacion '!$B:$B,""))</f>
        <v>Contabilidad</v>
      </c>
      <c r="L686" s="236" t="str">
        <f>_xlfn.XLOOKUP(B686,'Relacion '!$E:$E,'Relacion '!$C:$C,"")</f>
        <v xml:space="preserve">Ramon Jaimes </v>
      </c>
    </row>
    <row r="687" spans="2:12" outlineLevel="1">
      <c r="B687" s="237" t="s">
        <v>654</v>
      </c>
      <c r="C687" s="237" t="s">
        <v>654</v>
      </c>
      <c r="D687" s="238" t="str">
        <f>_xlfn.XLOOKUP(B687,'Relacion '!$E:$E,'Relacion '!$D:$D,"")</f>
        <v/>
      </c>
      <c r="E687" s="239">
        <f t="shared" si="152"/>
        <v>14</v>
      </c>
      <c r="F687" s="240" cm="1">
        <f t="array" ref="F687">MIN(INDEX('Relacion '!$X$5:$Y$493,MATCH(INDEX($B:$B, (ROW()-1)),'Relacion '!$E$5:$E$493,0),0))</f>
        <v>46024</v>
      </c>
      <c r="G687" s="240" cm="1">
        <f t="array" ref="G687">MAX(INDEX('Relacion '!$X$5:$Y$493,MATCH(INDEX($B:$B, (ROW()-1)),'Relacion '!$E$5:$E$493,0),0))</f>
        <v>46038</v>
      </c>
      <c r="H687" s="241" cm="1">
        <f t="array" ref="H687">IF(
 MATCH(B687,{"01. ASIGNACION AREA";"02. MAPEO";"03. DESARROLLO";"04. VALIDA US";"05. VOBO US";"06. BW-EJECUCION";"07. VALIDACIÓN BAJAWARE";"08. CERRADA"},0)
 &lt;
 MATCH(_xlfn.XLOOKUP(INDEX($B:$B, (ROW()-1)),'Relacion '!$E:$E,'Relacion '!$D:$D,""),{"01. ASIGNACION AREA";"02. MAPEO";"03. DESARROLLO";"04. VALIDA US";"05. VOBO US";"06. BW-EJECUCION";"07. VALIDACIÓN BAJAWARE";"08. CERRADA"},0),
 1,
 IF(
  MATCH(B687,{"01. ASIGNACION AREA";"02. MAPEO";"03. DESARROLLO";"04. VALIDA US";"05. VOBO US";"06. BW-EJECUCION";"07. VALIDACIÓN BAJAWARE";"08. CERRADA"},0)
  =
  MATCH(_xlfn.XLOOKUP(INDEX($B:$B, (ROW()-1)),'Relacion '!$E:$E,'Relacion '!$D:$D,""),{"01. ASIGNACION AREA";"02. MAPEO";"03. DESARROLLO";"04. VALIDA US";"05. VOBO US";"06. BW-EJECUCION";"07. VALIDACIÓN BAJAWARE";"08. CERRADA"},0),
  _xlfn.XLOOKUP(INDEX($B:$B, (ROW()-1)),'Relacion '!$E:$E,'Relacion '!#REF!,0),
  0
 )
)</f>
        <v>1</v>
      </c>
      <c r="I687" s="241">
        <f t="shared" ref="I687" ca="1" si="163">IF(G687&lt;=TODAY(), 1, 0)</f>
        <v>1</v>
      </c>
      <c r="J687" s="241"/>
      <c r="K687" s="241"/>
      <c r="L687" s="238"/>
    </row>
    <row r="688" spans="2:12" outlineLevel="1">
      <c r="B688" s="237" t="s">
        <v>195</v>
      </c>
      <c r="C688" s="237" t="s">
        <v>195</v>
      </c>
      <c r="D688" s="238" t="str">
        <f>_xlfn.XLOOKUP(B688,'Relacion '!$E:$E,'Relacion '!$D:$D,"")</f>
        <v/>
      </c>
      <c r="E688" s="239">
        <f t="shared" si="152"/>
        <v>79</v>
      </c>
      <c r="F688" s="240" cm="1">
        <f t="array" ref="F688">MIN(INDEX('Relacion '!$Z$5:$AA$493,MATCH(INDEX($B:$B, (ROW()-2)),'Relacion '!$E$5:$E$493,0),0))</f>
        <v>46041</v>
      </c>
      <c r="G688" s="240" cm="1">
        <f t="array" ref="G688">MAX(INDEX('Relacion '!$Z$5:$AA$493,MATCH(INDEX($B:$B, (ROW()-2)),'Relacion '!$E$5:$E$493,0),0))</f>
        <v>46120</v>
      </c>
      <c r="H688" s="241" t="e" cm="1">
        <f t="array" ref="H688">IF(
 MATCH(B688,{"01. ASIGNACION AREA";"02. MAPEO";"03. DESARROLLO";"04. VALIDA US";"05. VOBO US";"06. BW-EJECUCION";"07. VALIDACIÓN BAJAWARE";"08. CERRADA"},0)
 &lt;
 MATCH(_xlfn.XLOOKUP(INDEX($B:$B, (ROW()-2)),'Relacion '!$E:$E,'Relacion '!$D:$D,""),{"01. ASIGNACION AREA";"02. MAPEO";"03. DESARROLLO";"04. VALIDA US";"05. VOBO US";"06. BW-EJECUCION";"07. VALIDACIÓN BAJAWARE";"08. CERRADA"},0),
 1,
 IF(
  MATCH(B688,{"01. ASIGNACION AREA";"02. MAPEO";"03. DESARROLLO";"04. VALIDA US";"05. VOBO US";"06. BW-EJECUCION";"07. VALIDACIÓN BAJAWARE";"08. CERRADA"},0)
  =
  MATCH(_xlfn.XLOOKUP(INDEX($B:$B, (ROW()-2)),'Relacion '!$E:$E,'Relacion '!$D:$D,""),{"01. ASIGNACION AREA";"02. MAPEO";"03. DESARROLLO";"04. VALIDA US";"05. VOBO US";"06. BW-EJECUCION";"07. VALIDACIÓN BAJAWARE";"08. CERRADA"},0),
  _xlfn.XLOOKUP(INDEX($B:$B, (ROW()-2)),'Relacion '!$E:$E,'Relacion '!#REF!,0),
  0
 )
)</f>
        <v>#REF!</v>
      </c>
      <c r="I688" s="241">
        <f t="shared" ca="1" si="153"/>
        <v>1</v>
      </c>
      <c r="J688" s="241"/>
      <c r="K688" s="241"/>
      <c r="L688" s="238"/>
    </row>
    <row r="689" spans="2:12" outlineLevel="1">
      <c r="B689" s="237" t="s">
        <v>49</v>
      </c>
      <c r="C689" s="237" t="s">
        <v>49</v>
      </c>
      <c r="D689" s="238" t="str">
        <f>_xlfn.XLOOKUP(B689,'Relacion '!$E:$E,'Relacion '!$D:$D,"")</f>
        <v/>
      </c>
      <c r="E689" s="239">
        <f t="shared" si="152"/>
        <v>14</v>
      </c>
      <c r="F689" s="240" cm="1">
        <f t="array" ref="F689">MIN(INDEX('Relacion '!$AB$5:$AC$493,MATCH(INDEX($B:$B, (ROW()-3)),'Relacion '!$E$5:$E$493,0),0))</f>
        <v>46125</v>
      </c>
      <c r="G689" s="240" cm="1">
        <f t="array" ref="G689">MAX(INDEX('Relacion '!$AB$5:$AC$493,MATCH(INDEX($B:$B, (ROW()-3)),'Relacion '!$E$5:$E$493,0),0))</f>
        <v>46139</v>
      </c>
      <c r="H689" s="241" cm="1">
        <f t="array" ref="H689">IF(
 MATCH(B689,{"01. ASIGNACION AREA";"02. MAPEO";"03. DESARROLLO";"04. VALIDA US";"05. VOBO US";"06. BW-EJECUCION";"07. VALIDACIÓN BAJAWARE";"08. CERRADA"},0)
 &lt;
 MATCH(_xlfn.XLOOKUP(INDEX($B:$B, (ROW()-3)),'Relacion '!$E:$E,'Relacion '!$D:$D,""),{"01. ASIGNACION AREA";"02. MAPEO";"03. DESARROLLO";"04. VALIDA US";"05. VOBO US";"06. BW-EJECUCION";"07. VALIDACIÓN BAJAWARE";"08. CERRADA"},0),
 1,
 IF(
  MATCH(B689,{"01. ASIGNACION AREA";"02. MAPEO";"03. DESARROLLO";"04. VALIDA US";"05. VOBO US";"06. BW-EJECUCION";"07. VALIDACIÓN BAJAWARE";"08. CERRADA"},0)
  =
  MATCH(_xlfn.XLOOKUP(INDEX($B:$B, (ROW()-3)),'Relacion '!$E:$E,'Relacion '!$D:$D,""),{"01. ASIGNACION AREA";"02. MAPEO";"03. DESARROLLO";"04. VALIDA US";"05. VOBO US";"06. BW-EJECUCION";"07. VALIDACIÓN BAJAWARE";"08. CERRADA"},0),
  _xlfn.XLOOKUP(INDEX($B:$B, (ROW()-3)),'Relacion '!$E:$E,'Relacion '!#REF!,0),
  0
 )
)</f>
        <v>0</v>
      </c>
      <c r="I689" s="241">
        <f t="shared" ca="1" si="153"/>
        <v>1</v>
      </c>
      <c r="J689" s="241"/>
      <c r="K689" s="241"/>
      <c r="L689" s="238"/>
    </row>
    <row r="690" spans="2:12" outlineLevel="1">
      <c r="B690" s="237" t="s">
        <v>324</v>
      </c>
      <c r="C690" s="237" t="s">
        <v>324</v>
      </c>
      <c r="D690" s="238" t="str">
        <f>_xlfn.XLOOKUP(B690,'Relacion '!$E:$E,'Relacion '!$D:$D,"")</f>
        <v/>
      </c>
      <c r="E690" s="239">
        <f t="shared" si="152"/>
        <v>14</v>
      </c>
      <c r="F690" s="240" cm="1">
        <f t="array" ref="F690">MIN(INDEX('Relacion '!$AD$5:$AE$493,MATCH(INDEX($B:$B, (ROW()-4)),'Relacion '!$E$5:$E$493,0),0))</f>
        <v>46140</v>
      </c>
      <c r="G690" s="240" cm="1">
        <f t="array" ref="G690">MAX(INDEX('Relacion '!$AD$5:$AE$493,MATCH(INDEX($B:$B, (ROW()-4)),'Relacion '!$E$5:$E$493,0),0))</f>
        <v>46154</v>
      </c>
      <c r="H690" s="241" cm="1">
        <f t="array" ref="H690">IF(
 MATCH(B690,{"01. ASIGNACION AREA";"02. MAPEO";"03. DESARROLLO";"04. VALIDA US";"05. VOBO US";"06. BW-EJECUCION";"07. VALIDACIÓN BAJAWARE";"08. CERRADA"},0)
 &lt;
 MATCH(_xlfn.XLOOKUP(INDEX($B:$B, (ROW()-4)),'Relacion '!$E:$E,'Relacion '!$D:$D,""),{"01. ASIGNACION AREA";"02. MAPEO";"03. DESARROLLO";"04. VALIDA US";"05. VOBO US";"06. BW-EJECUCION";"07. VALIDACIÓN BAJAWARE";"08. CERRADA"},0),
 1,
 IF(
  MATCH(B690,{"01. ASIGNACION AREA";"02. MAPEO";"03. DESARROLLO";"04. VALIDA US";"05. VOBO US";"06. BW-EJECUCION";"07. VALIDACIÓN BAJAWARE";"08. CERRADA"},0)
  =
  MATCH(_xlfn.XLOOKUP(INDEX($B:$B, (ROW()-4)),'Relacion '!$E:$E,'Relacion '!$D:$D,""),{"01. ASIGNACION AREA";"02. MAPEO";"03. DESARROLLO";"04. VALIDA US";"05. VOBO US";"06. BW-EJECUCION";"07. VALIDACIÓN BAJAWARE";"08. CERRADA"},0),
  _xlfn.XLOOKUP(INDEX($B:$B, (ROW()-4)),'Relacion '!$E:$E,'Relacion '!#REF!,0),
  0
 )
)</f>
        <v>0</v>
      </c>
      <c r="I690" s="241">
        <f t="shared" ca="1" si="153"/>
        <v>1</v>
      </c>
      <c r="J690" s="241"/>
      <c r="K690" s="241"/>
      <c r="L690" s="238"/>
    </row>
    <row r="691" spans="2:12" outlineLevel="1">
      <c r="B691" s="237" t="s">
        <v>320</v>
      </c>
      <c r="C691" s="237" t="s">
        <v>320</v>
      </c>
      <c r="D691" s="238" t="str">
        <f>_xlfn.XLOOKUP(B691,'Relacion '!$E:$E,'Relacion '!$D:$D,"")</f>
        <v/>
      </c>
      <c r="E691" s="239">
        <f t="shared" si="152"/>
        <v>1</v>
      </c>
      <c r="F691" s="240" cm="1">
        <f t="array" ref="F691">MIN(INDEX('Relacion '!$AF$5:$AG$493,MATCH(INDEX($B:$B, (ROW()-5)),'Relacion '!$E$5:$E$493,0),0))</f>
        <v>46154</v>
      </c>
      <c r="G691" s="240" cm="1">
        <f t="array" ref="G691">MAX(INDEX('Relacion '!$AF$5:$AG$493,MATCH(INDEX($B:$B, (ROW()-5)),'Relacion '!$E$5:$E$493,0),0))</f>
        <v>46155</v>
      </c>
      <c r="H691" s="241" cm="1">
        <f t="array" ref="H691">IF(
 MATCH(B691,{"01. ASIGNACION AREA";"02. MAPEO";"03. DESARROLLO";"04. VALIDA US";"05. VOBO US";"06. BW-EJECUCION";"07. VALIDACIÓN BAJAWARE";"08. CERRADA"},0)
 &lt;
 MATCH(_xlfn.XLOOKUP(INDEX($B:$B, (ROW()-5)),'Relacion '!$E:$E,'Relacion '!$D:$D,""),{"01. ASIGNACION AREA";"02. MAPEO";"03. DESARROLLO";"04. VALIDA US";"05. VOBO US";"06. BW-EJECUCION";"07. VALIDACIÓN BAJAWARE";"08. CERRADA"},0),
 1,
 IF(
  MATCH(B691,{"01. ASIGNACION AREA";"02. MAPEO";"03. DESARROLLO";"04. VALIDA US";"05. VOBO US";"06. BW-EJECUCION";"07. VALIDACIÓN BAJAWARE";"08. CERRADA"},0)
  =
  MATCH(_xlfn.XLOOKUP(INDEX($B:$B, (ROW()-5)),'Relacion '!$E:$E,'Relacion '!$D:$D,""),{"01. ASIGNACION AREA";"02. MAPEO";"03. DESARROLLO";"04. VALIDA US";"05. VOBO US";"06. BW-EJECUCION";"07. VALIDACIÓN BAJAWARE";"08. CERRADA"},0),
  _xlfn.XLOOKUP(INDEX($B:$B, (ROW()-5)),'Relacion '!$E:$E,'Relacion '!#REF!,0),
  0
 )
)</f>
        <v>0</v>
      </c>
      <c r="I691" s="241">
        <f t="shared" ca="1" si="153"/>
        <v>1</v>
      </c>
      <c r="J691" s="241"/>
      <c r="K691" s="241"/>
      <c r="L691" s="238"/>
    </row>
    <row r="692" spans="2:12" outlineLevel="1">
      <c r="B692" s="237" t="s">
        <v>710</v>
      </c>
      <c r="C692" s="237" t="s">
        <v>710</v>
      </c>
      <c r="D692" s="238" t="str">
        <f>_xlfn.XLOOKUP(B692,'Relacion '!$E:$E,'Relacion '!$D:$D,"")</f>
        <v/>
      </c>
      <c r="E692" s="239">
        <f t="shared" si="152"/>
        <v>14</v>
      </c>
      <c r="F692" s="240" cm="1">
        <f t="array" ref="F692">MIN(INDEX('Relacion '!$AH$5:$AI$493,MATCH(INDEX($B:$B, (ROW()-6)),'Relacion '!$E$5:$E$493,0),0))</f>
        <v>46160</v>
      </c>
      <c r="G692" s="240" cm="1">
        <f t="array" ref="G692">MAX(INDEX('Relacion '!$AH$5:$AI$493,MATCH(INDEX($B:$B, (ROW()-6)),'Relacion '!$E$5:$E$493,0),0))</f>
        <v>46174</v>
      </c>
      <c r="H692" s="241" cm="1">
        <f t="array" ref="H692">IF(
 MATCH(B692,{"01. ASIGNACION AREA";"02. MAPEO";"03. DESARROLLO";"04. VALIDA US";"05. VOBO US";"06. BW-EJECUCION";"07. VALIDACIÓN BAJAWARE";"08. CERRADA"},0)
 &lt;
 MATCH(_xlfn.XLOOKUP(INDEX($B:$B, (ROW()-6)),'Relacion '!$E:$E,'Relacion '!$D:$D,""),{"01. ASIGNACION AREA";"02. MAPEO";"03. DESARROLLO";"04. VALIDA US";"05. VOBO US";"06. BW-EJECUCION";"07. VALIDACIÓN BAJAWARE";"08. CERRADA"},0),
 1,
 IF(
  MATCH(B692,{"01. ASIGNACION AREA";"02. MAPEO";"03. DESARROLLO";"04. VALIDA US";"05. VOBO US";"06. BW-EJECUCION";"07. VALIDACIÓN BAJAWARE";"08. CERRADA"},0)
  =
  MATCH(_xlfn.XLOOKUP(INDEX($B:$B, (ROW()-6)),'Relacion '!$E:$E,'Relacion '!$D:$D,""),{"01. ASIGNACION AREA";"02. MAPEO";"03. DESARROLLO";"04. VALIDA US";"05. VOBO US";"06. BW-EJECUCION";"07. VALIDACIÓN BAJAWARE";"08. CERRADA"},0),
  _xlfn.XLOOKUP(INDEX($B:$B, (ROW()-6)),'Relacion '!$E:$E,'Relacion '!#REF!,0),
  0
 )
)</f>
        <v>0</v>
      </c>
      <c r="I692" s="241">
        <f t="shared" ca="1" si="153"/>
        <v>0</v>
      </c>
      <c r="J692" s="241"/>
      <c r="K692" s="241"/>
      <c r="L692" s="238"/>
    </row>
    <row r="693" spans="2:12" outlineLevel="1">
      <c r="B693" s="237" t="s">
        <v>655</v>
      </c>
      <c r="C693" s="237" t="s">
        <v>655</v>
      </c>
      <c r="D693" s="238" t="str">
        <f>_xlfn.XLOOKUP(B693,'Relacion '!$E:$E,'Relacion '!$D:$D,"")</f>
        <v/>
      </c>
      <c r="E693" s="239">
        <f t="shared" si="152"/>
        <v>14</v>
      </c>
      <c r="F693" s="240" cm="1">
        <f t="array" ref="F693">MIN(INDEX('Relacion '!$AJ$5:$AK$493,MATCH(INDEX($B:$B, (ROW()-7)),'Relacion '!$E$5:$E$493,0),0))</f>
        <v>46174</v>
      </c>
      <c r="G693" s="240" cm="1">
        <f t="array" ref="G693">MAX(INDEX('Relacion '!$AJ$5:$AK$493,MATCH(INDEX($B:$B, (ROW()-7)),'Relacion '!$E$5:$E$493,0),0))</f>
        <v>46188</v>
      </c>
      <c r="H693" s="241" cm="1">
        <f t="array" ref="H693">IF(
 MATCH(B693,{"01. ASIGNACION AREA";"02. MAPEO";"03. DESARROLLO";"04. VALIDA US";"05. VOBO US";"06. BW-EJECUCION";"07. VALIDACIÓN BAJAWARE";"08. CERRADA"},0)
 &lt;
 MATCH(_xlfn.XLOOKUP(INDEX($B:$B, (ROW()-7)),'Relacion '!$E:$E,'Relacion '!$D:$D,""),{"01. ASIGNACION AREA";"02. MAPEO";"03. DESARROLLO";"04. VALIDA US";"05. VOBO US";"06. BW-EJECUCION";"07. VALIDACIÓN BAJAWARE";"08. CERRADA"},0),
 1,
 IF(
  MATCH(B693,{"01. ASIGNACION AREA";"02. MAPEO";"03. DESARROLLO";"04. VALIDA US";"05. VOBO US";"06. BW-EJECUCION";"07. VALIDACIÓN BAJAWARE";"08. CERRADA"},0)
  =
  MATCH(_xlfn.XLOOKUP(INDEX($B:$B, (ROW()-7)),'Relacion '!$E:$E,'Relacion '!$D:$D,""),{"01. ASIGNACION AREA";"02. MAPEO";"03. DESARROLLO";"04. VALIDA US";"05. VOBO US";"06. BW-EJECUCION";"07. VALIDACIÓN BAJAWARE";"08. CERRADA"},0),
  _xlfn.XLOOKUP(INDEX($B:$B, (ROW()-7)),'Relacion '!$E:$E,'Relacion '!#REF!,0),
  0
 )
)</f>
        <v>0</v>
      </c>
      <c r="I693" s="241">
        <f t="shared" ca="1" si="153"/>
        <v>0</v>
      </c>
      <c r="J693" s="241"/>
      <c r="K693" s="241"/>
      <c r="L693" s="238"/>
    </row>
    <row r="694" spans="2:12" outlineLevel="1">
      <c r="B694" s="237" t="s">
        <v>656</v>
      </c>
      <c r="C694" s="237" t="s">
        <v>656</v>
      </c>
      <c r="D694" s="238" t="str">
        <f>_xlfn.XLOOKUP(B694,'Relacion '!$E:$E,'Relacion '!$D:$D,"")</f>
        <v/>
      </c>
      <c r="E694" s="239">
        <f t="shared" si="152"/>
        <v>0</v>
      </c>
      <c r="F694" s="240" cm="1">
        <f t="array" ref="F694">MIN(INDEX('Relacion '!$AL$5:$AM$493,MATCH(INDEX($B:$B, (ROW()-8)),'Relacion '!$E$5:$E$493,0),0))</f>
        <v>46189</v>
      </c>
      <c r="G694" s="240" cm="1">
        <f t="array" ref="G694">MAX(INDEX('Relacion '!$AL$5:$AM$493,MATCH(INDEX($B:$B, (ROW()-8)),'Relacion '!$E$5:$E$493,0),0))</f>
        <v>46189</v>
      </c>
      <c r="H694" s="241" cm="1">
        <f t="array" ref="H694">IF(
 MATCH(B694,{"01. ASIGNACION AREA";"02. MAPEO";"03. DESARROLLO";"04. VALIDA US";"05. VOBO US";"06. BW-EJECUCION";"07. VALIDACIÓN BAJAWARE";"08. CERRADA"},0)
 &lt;
 MATCH(_xlfn.XLOOKUP(INDEX($B:$B, (ROW()-8)),'Relacion '!$E:$E,'Relacion '!$D:$D,""),{"01. ASIGNACION AREA";"02. MAPEO";"03. DESARROLLO";"04. VALIDA US";"05. VOBO US";"06. BW-EJECUCION";"07. VALIDACIÓN BAJAWARE";"08. CERRADA"},0),
 1,
 IF(
  MATCH(B694,{"01. ASIGNACION AREA";"02. MAPEO";"03. DESARROLLO";"04. VALIDA US";"05. VOBO US";"06. BW-EJECUCION";"07. VALIDACIÓN BAJAWARE";"08. CERRADA"},0)
  =
  MATCH(_xlfn.XLOOKUP(INDEX($B:$B, (ROW()-8)),'Relacion '!$E:$E,'Relacion '!$D:$D,""),{"01. ASIGNACION AREA";"02. MAPEO";"03. DESARROLLO";"04. VALIDA US";"05. VOBO US";"06. BW-EJECUCION";"07. VALIDACIÓN BAJAWARE";"08. CERRADA"},0),
  _xlfn.XLOOKUP(INDEX($B:$B, (ROW()-8)),'Relacion '!$E:$E,'Relacion '!#REF!,0),
  0
 )
)</f>
        <v>0</v>
      </c>
      <c r="I694" s="241">
        <f t="shared" ca="1" si="153"/>
        <v>0</v>
      </c>
      <c r="J694" s="241"/>
      <c r="K694" s="241"/>
      <c r="L694" s="238"/>
    </row>
    <row r="695" spans="2:12" ht="30">
      <c r="B695" s="232" t="s">
        <v>507</v>
      </c>
      <c r="C695" s="167" t="s">
        <v>508</v>
      </c>
      <c r="D695" s="236" t="str">
        <f>_xlfn.XLOOKUP(B695,'Relacion '!$E:$E,'Relacion '!$D:$D,"")</f>
        <v>06. BW-EJECUCION</v>
      </c>
      <c r="E695" s="233">
        <f t="shared" si="152"/>
        <v>99</v>
      </c>
      <c r="F695" s="234" cm="1">
        <f t="array" ref="F695">MIN(INDEX('Relacion '!$X$5:$AM$493,MATCH(INDEX($B:$B, (ROW()-0)),'Relacion '!$E$5:$E$493,0),0))</f>
        <v>46024</v>
      </c>
      <c r="G695" s="234" cm="1">
        <f t="array" ref="G695">MAX(INDEX('Relacion '!$X$5:$AM$493,MATCH(INDEX($B:$B, (ROW()-0)),'Relacion '!$E$5:$E$493,0),0))</f>
        <v>46123</v>
      </c>
      <c r="H695" s="235" t="e">
        <f>AVERAGE(H696:H703)</f>
        <v>#REF!</v>
      </c>
      <c r="I695" s="235">
        <f t="shared" ref="I695" ca="1" si="164">AVERAGE(I696:I703)</f>
        <v>1</v>
      </c>
      <c r="J695" s="236" t="str">
        <f>IF(ISNUMBER(SEARCH("Rocha", _xlfn.XLOOKUP(B695,'Relacion '!$E:$E,'Relacion '!$I:$I,""))), "Sí", "No")</f>
        <v>No</v>
      </c>
      <c r="K695" s="236" t="str">
        <f>IF(ISNUMBER(SEARCH("Rocha", _xlfn.XLOOKUP(B695,'Relacion '!$E:$E,'Relacion '!$I:$I,""))), "RMC", _xlfn.XLOOKUP(B695,'Relacion '!$E:$E,'Relacion '!$B:$B,""))</f>
        <v>Riesgos</v>
      </c>
      <c r="L695" s="236" t="str">
        <f>_xlfn.XLOOKUP(B695,'Relacion '!$E:$E,'Relacion '!$C:$C,"")</f>
        <v>Homero Sanchez</v>
      </c>
    </row>
    <row r="696" spans="2:12" outlineLevel="1">
      <c r="B696" s="237" t="s">
        <v>654</v>
      </c>
      <c r="C696" s="237" t="s">
        <v>654</v>
      </c>
      <c r="D696" s="238" t="str">
        <f>_xlfn.XLOOKUP(B696,'Relacion '!$E:$E,'Relacion '!$D:$D,"")</f>
        <v/>
      </c>
      <c r="E696" s="239">
        <f t="shared" si="152"/>
        <v>59</v>
      </c>
      <c r="F696" s="240" cm="1">
        <f t="array" ref="F696">MIN(INDEX('Relacion '!$X$5:$Y$493,MATCH(INDEX($B:$B, (ROW()-1)),'Relacion '!$E$5:$E$493,0),0))</f>
        <v>46024</v>
      </c>
      <c r="G696" s="240" cm="1">
        <f t="array" ref="G696">MAX(INDEX('Relacion '!$X$5:$Y$493,MATCH(INDEX($B:$B, (ROW()-1)),'Relacion '!$E$5:$E$493,0),0))</f>
        <v>46083</v>
      </c>
      <c r="H696" s="241" cm="1">
        <f t="array" ref="H696">IF(
 MATCH(B696,{"01. ASIGNACION AREA";"02. MAPEO";"03. DESARROLLO";"04. VALIDA US";"05. VOBO US";"06. BW-EJECUCION";"07. VALIDACIÓN BAJAWARE";"08. CERRADA"},0)
 &lt;
 MATCH(_xlfn.XLOOKUP(INDEX($B:$B, (ROW()-1)),'Relacion '!$E:$E,'Relacion '!$D:$D,""),{"01. ASIGNACION AREA";"02. MAPEO";"03. DESARROLLO";"04. VALIDA US";"05. VOBO US";"06. BW-EJECUCION";"07. VALIDACIÓN BAJAWARE";"08. CERRADA"},0),
 1,
 IF(
  MATCH(B696,{"01. ASIGNACION AREA";"02. MAPEO";"03. DESARROLLO";"04. VALIDA US";"05. VOBO US";"06. BW-EJECUCION";"07. VALIDACIÓN BAJAWARE";"08. CERRADA"},0)
  =
  MATCH(_xlfn.XLOOKUP(INDEX($B:$B, (ROW()-1)),'Relacion '!$E:$E,'Relacion '!$D:$D,""),{"01. ASIGNACION AREA";"02. MAPEO";"03. DESARROLLO";"04. VALIDA US";"05. VOBO US";"06. BW-EJECUCION";"07. VALIDACIÓN BAJAWARE";"08. CERRADA"},0),
  _xlfn.XLOOKUP(INDEX($B:$B, (ROW()-1)),'Relacion '!$E:$E,'Relacion '!#REF!,0),
  0
 )
)</f>
        <v>1</v>
      </c>
      <c r="I696" s="241">
        <f t="shared" ref="I696" ca="1" si="165">IF(G696&lt;=TODAY(), 1, 0)</f>
        <v>1</v>
      </c>
      <c r="J696" s="241"/>
      <c r="K696" s="241"/>
      <c r="L696" s="238"/>
    </row>
    <row r="697" spans="2:12" outlineLevel="1">
      <c r="B697" s="237" t="s">
        <v>195</v>
      </c>
      <c r="C697" s="237" t="s">
        <v>195</v>
      </c>
      <c r="D697" s="238" t="str">
        <f>_xlfn.XLOOKUP(B697,'Relacion '!$E:$E,'Relacion '!$D:$D,"")</f>
        <v/>
      </c>
      <c r="E697" s="239">
        <f t="shared" si="152"/>
        <v>4</v>
      </c>
      <c r="F697" s="240" cm="1">
        <f t="array" ref="F697">MIN(INDEX('Relacion '!$Z$5:$AA$493,MATCH(INDEX($B:$B, (ROW()-2)),'Relacion '!$E$5:$E$493,0),0))</f>
        <v>46041</v>
      </c>
      <c r="G697" s="240" cm="1">
        <f t="array" ref="G697">MAX(INDEX('Relacion '!$Z$5:$AA$493,MATCH(INDEX($B:$B, (ROW()-2)),'Relacion '!$E$5:$E$493,0),0))</f>
        <v>46045</v>
      </c>
      <c r="H697" s="241" cm="1">
        <f t="array" ref="H697">IF(
 MATCH(B697,{"01. ASIGNACION AREA";"02. MAPEO";"03. DESARROLLO";"04. VALIDA US";"05. VOBO US";"06. BW-EJECUCION";"07. VALIDACIÓN BAJAWARE";"08. CERRADA"},0)
 &lt;
 MATCH(_xlfn.XLOOKUP(INDEX($B:$B, (ROW()-2)),'Relacion '!$E:$E,'Relacion '!$D:$D,""),{"01. ASIGNACION AREA";"02. MAPEO";"03. DESARROLLO";"04. VALIDA US";"05. VOBO US";"06. BW-EJECUCION";"07. VALIDACIÓN BAJAWARE";"08. CERRADA"},0),
 1,
 IF(
  MATCH(B697,{"01. ASIGNACION AREA";"02. MAPEO";"03. DESARROLLO";"04. VALIDA US";"05. VOBO US";"06. BW-EJECUCION";"07. VALIDACIÓN BAJAWARE";"08. CERRADA"},0)
  =
  MATCH(_xlfn.XLOOKUP(INDEX($B:$B, (ROW()-2)),'Relacion '!$E:$E,'Relacion '!$D:$D,""),{"01. ASIGNACION AREA";"02. MAPEO";"03. DESARROLLO";"04. VALIDA US";"05. VOBO US";"06. BW-EJECUCION";"07. VALIDACIÓN BAJAWARE";"08. CERRADA"},0),
  _xlfn.XLOOKUP(INDEX($B:$B, (ROW()-2)),'Relacion '!$E:$E,'Relacion '!#REF!,0),
  0
 )
)</f>
        <v>1</v>
      </c>
      <c r="I697" s="241">
        <f t="shared" ca="1" si="153"/>
        <v>1</v>
      </c>
      <c r="J697" s="241"/>
      <c r="K697" s="241"/>
      <c r="L697" s="238"/>
    </row>
    <row r="698" spans="2:12" outlineLevel="1">
      <c r="B698" s="237" t="s">
        <v>49</v>
      </c>
      <c r="C698" s="237" t="s">
        <v>49</v>
      </c>
      <c r="D698" s="238" t="str">
        <f>_xlfn.XLOOKUP(B698,'Relacion '!$E:$E,'Relacion '!$D:$D,"")</f>
        <v/>
      </c>
      <c r="E698" s="239">
        <f t="shared" si="152"/>
        <v>4</v>
      </c>
      <c r="F698" s="240" cm="1">
        <f t="array" ref="F698">MIN(INDEX('Relacion '!$AB$5:$AC$493,MATCH(INDEX($B:$B, (ROW()-3)),'Relacion '!$E$5:$E$493,0),0))</f>
        <v>46048</v>
      </c>
      <c r="G698" s="240" cm="1">
        <f t="array" ref="G698">MAX(INDEX('Relacion '!$AB$5:$AC$493,MATCH(INDEX($B:$B, (ROW()-3)),'Relacion '!$E$5:$E$493,0),0))</f>
        <v>46052</v>
      </c>
      <c r="H698" s="241" cm="1">
        <f t="array" ref="H698">IF(
 MATCH(B698,{"01. ASIGNACION AREA";"02. MAPEO";"03. DESARROLLO";"04. VALIDA US";"05. VOBO US";"06. BW-EJECUCION";"07. VALIDACIÓN BAJAWARE";"08. CERRADA"},0)
 &lt;
 MATCH(_xlfn.XLOOKUP(INDEX($B:$B, (ROW()-3)),'Relacion '!$E:$E,'Relacion '!$D:$D,""),{"01. ASIGNACION AREA";"02. MAPEO";"03. DESARROLLO";"04. VALIDA US";"05. VOBO US";"06. BW-EJECUCION";"07. VALIDACIÓN BAJAWARE";"08. CERRADA"},0),
 1,
 IF(
  MATCH(B698,{"01. ASIGNACION AREA";"02. MAPEO";"03. DESARROLLO";"04. VALIDA US";"05. VOBO US";"06. BW-EJECUCION";"07. VALIDACIÓN BAJAWARE";"08. CERRADA"},0)
  =
  MATCH(_xlfn.XLOOKUP(INDEX($B:$B, (ROW()-3)),'Relacion '!$E:$E,'Relacion '!$D:$D,""),{"01. ASIGNACION AREA";"02. MAPEO";"03. DESARROLLO";"04. VALIDA US";"05. VOBO US";"06. BW-EJECUCION";"07. VALIDACIÓN BAJAWARE";"08. CERRADA"},0),
  _xlfn.XLOOKUP(INDEX($B:$B, (ROW()-3)),'Relacion '!$E:$E,'Relacion '!#REF!,0),
  0
 )
)</f>
        <v>1</v>
      </c>
      <c r="I698" s="241">
        <f t="shared" ca="1" si="153"/>
        <v>1</v>
      </c>
      <c r="J698" s="241"/>
      <c r="K698" s="241"/>
      <c r="L698" s="238"/>
    </row>
    <row r="699" spans="2:12" outlineLevel="1">
      <c r="B699" s="237" t="s">
        <v>324</v>
      </c>
      <c r="C699" s="237" t="s">
        <v>324</v>
      </c>
      <c r="D699" s="238" t="str">
        <f>_xlfn.XLOOKUP(B699,'Relacion '!$E:$E,'Relacion '!$D:$D,"")</f>
        <v/>
      </c>
      <c r="E699" s="239">
        <f t="shared" si="152"/>
        <v>11</v>
      </c>
      <c r="F699" s="240" cm="1">
        <f t="array" ref="F699">MIN(INDEX('Relacion '!$AD$5:$AE$493,MATCH(INDEX($B:$B, (ROW()-4)),'Relacion '!$E$5:$E$493,0),0))</f>
        <v>46055</v>
      </c>
      <c r="G699" s="240" cm="1">
        <f t="array" ref="G699">MAX(INDEX('Relacion '!$AD$5:$AE$493,MATCH(INDEX($B:$B, (ROW()-4)),'Relacion '!$E$5:$E$493,0),0))</f>
        <v>46066</v>
      </c>
      <c r="H699" s="241" cm="1">
        <f t="array" ref="H699">IF(
 MATCH(B699,{"01. ASIGNACION AREA";"02. MAPEO";"03. DESARROLLO";"04. VALIDA US";"05. VOBO US";"06. BW-EJECUCION";"07. VALIDACIÓN BAJAWARE";"08. CERRADA"},0)
 &lt;
 MATCH(_xlfn.XLOOKUP(INDEX($B:$B, (ROW()-4)),'Relacion '!$E:$E,'Relacion '!$D:$D,""),{"01. ASIGNACION AREA";"02. MAPEO";"03. DESARROLLO";"04. VALIDA US";"05. VOBO US";"06. BW-EJECUCION";"07. VALIDACIÓN BAJAWARE";"08. CERRADA"},0),
 1,
 IF(
  MATCH(B699,{"01. ASIGNACION AREA";"02. MAPEO";"03. DESARROLLO";"04. VALIDA US";"05. VOBO US";"06. BW-EJECUCION";"07. VALIDACIÓN BAJAWARE";"08. CERRADA"},0)
  =
  MATCH(_xlfn.XLOOKUP(INDEX($B:$B, (ROW()-4)),'Relacion '!$E:$E,'Relacion '!$D:$D,""),{"01. ASIGNACION AREA";"02. MAPEO";"03. DESARROLLO";"04. VALIDA US";"05. VOBO US";"06. BW-EJECUCION";"07. VALIDACIÓN BAJAWARE";"08. CERRADA"},0),
  _xlfn.XLOOKUP(INDEX($B:$B, (ROW()-4)),'Relacion '!$E:$E,'Relacion '!#REF!,0),
  0
 )
)</f>
        <v>1</v>
      </c>
      <c r="I699" s="241">
        <f t="shared" ca="1" si="153"/>
        <v>1</v>
      </c>
      <c r="J699" s="241"/>
      <c r="K699" s="241"/>
      <c r="L699" s="238"/>
    </row>
    <row r="700" spans="2:12" outlineLevel="1">
      <c r="B700" s="237" t="s">
        <v>320</v>
      </c>
      <c r="C700" s="237" t="s">
        <v>320</v>
      </c>
      <c r="D700" s="238" t="str">
        <f>_xlfn.XLOOKUP(B700,'Relacion '!$E:$E,'Relacion '!$D:$D,"")</f>
        <v/>
      </c>
      <c r="E700" s="239">
        <f t="shared" si="152"/>
        <v>4</v>
      </c>
      <c r="F700" s="240" cm="1">
        <f t="array" ref="F700">MIN(INDEX('Relacion '!$AF$5:$AG$493,MATCH(INDEX($B:$B, (ROW()-5)),'Relacion '!$E$5:$E$493,0),0))</f>
        <v>46069</v>
      </c>
      <c r="G700" s="240" cm="1">
        <f t="array" ref="G700">MAX(INDEX('Relacion '!$AF$5:$AG$493,MATCH(INDEX($B:$B, (ROW()-5)),'Relacion '!$E$5:$E$493,0),0))</f>
        <v>46073</v>
      </c>
      <c r="H700" s="241" cm="1">
        <f t="array" ref="H700">IF(
 MATCH(B700,{"01. ASIGNACION AREA";"02. MAPEO";"03. DESARROLLO";"04. VALIDA US";"05. VOBO US";"06. BW-EJECUCION";"07. VALIDACIÓN BAJAWARE";"08. CERRADA"},0)
 &lt;
 MATCH(_xlfn.XLOOKUP(INDEX($B:$B, (ROW()-5)),'Relacion '!$E:$E,'Relacion '!$D:$D,""),{"01. ASIGNACION AREA";"02. MAPEO";"03. DESARROLLO";"04. VALIDA US";"05. VOBO US";"06. BW-EJECUCION";"07. VALIDACIÓN BAJAWARE";"08. CERRADA"},0),
 1,
 IF(
  MATCH(B700,{"01. ASIGNACION AREA";"02. MAPEO";"03. DESARROLLO";"04. VALIDA US";"05. VOBO US";"06. BW-EJECUCION";"07. VALIDACIÓN BAJAWARE";"08. CERRADA"},0)
  =
  MATCH(_xlfn.XLOOKUP(INDEX($B:$B, (ROW()-5)),'Relacion '!$E:$E,'Relacion '!$D:$D,""),{"01. ASIGNACION AREA";"02. MAPEO";"03. DESARROLLO";"04. VALIDA US";"05. VOBO US";"06. BW-EJECUCION";"07. VALIDACIÓN BAJAWARE";"08. CERRADA"},0),
  _xlfn.XLOOKUP(INDEX($B:$B, (ROW()-5)),'Relacion '!$E:$E,'Relacion '!#REF!,0),
  0
 )
)</f>
        <v>1</v>
      </c>
      <c r="I700" s="241">
        <f t="shared" ca="1" si="153"/>
        <v>1</v>
      </c>
      <c r="J700" s="241"/>
      <c r="K700" s="241"/>
      <c r="L700" s="238"/>
    </row>
    <row r="701" spans="2:12" outlineLevel="1">
      <c r="B701" s="237" t="s">
        <v>710</v>
      </c>
      <c r="C701" s="237" t="s">
        <v>710</v>
      </c>
      <c r="D701" s="238" t="str">
        <f>_xlfn.XLOOKUP(B701,'Relacion '!$E:$E,'Relacion '!$D:$D,"")</f>
        <v/>
      </c>
      <c r="E701" s="239">
        <f t="shared" si="152"/>
        <v>18</v>
      </c>
      <c r="F701" s="240" cm="1">
        <f t="array" ref="F701">MIN(INDEX('Relacion '!$AH$5:$AI$493,MATCH(INDEX($B:$B, (ROW()-6)),'Relacion '!$E$5:$E$493,0),0))</f>
        <v>46083</v>
      </c>
      <c r="G701" s="240" cm="1">
        <f t="array" ref="G701">MAX(INDEX('Relacion '!$AH$5:$AI$493,MATCH(INDEX($B:$B, (ROW()-6)),'Relacion '!$E$5:$E$493,0),0))</f>
        <v>46101</v>
      </c>
      <c r="H701" s="241" t="e" cm="1">
        <f t="array" ref="H701">IF(
 MATCH(B701,{"01. ASIGNACION AREA";"02. MAPEO";"03. DESARROLLO";"04. VALIDA US";"05. VOBO US";"06. BW-EJECUCION";"07. VALIDACIÓN BAJAWARE";"08. CERRADA"},0)
 &lt;
 MATCH(_xlfn.XLOOKUP(INDEX($B:$B, (ROW()-6)),'Relacion '!$E:$E,'Relacion '!$D:$D,""),{"01. ASIGNACION AREA";"02. MAPEO";"03. DESARROLLO";"04. VALIDA US";"05. VOBO US";"06. BW-EJECUCION";"07. VALIDACIÓN BAJAWARE";"08. CERRADA"},0),
 1,
 IF(
  MATCH(B701,{"01. ASIGNACION AREA";"02. MAPEO";"03. DESARROLLO";"04. VALIDA US";"05. VOBO US";"06. BW-EJECUCION";"07. VALIDACIÓN BAJAWARE";"08. CERRADA"},0)
  =
  MATCH(_xlfn.XLOOKUP(INDEX($B:$B, (ROW()-6)),'Relacion '!$E:$E,'Relacion '!$D:$D,""),{"01. ASIGNACION AREA";"02. MAPEO";"03. DESARROLLO";"04. VALIDA US";"05. VOBO US";"06. BW-EJECUCION";"07. VALIDACIÓN BAJAWARE";"08. CERRADA"},0),
  _xlfn.XLOOKUP(INDEX($B:$B, (ROW()-6)),'Relacion '!$E:$E,'Relacion '!#REF!,0),
  0
 )
)</f>
        <v>#REF!</v>
      </c>
      <c r="I701" s="241">
        <f t="shared" ca="1" si="153"/>
        <v>1</v>
      </c>
      <c r="J701" s="241"/>
      <c r="K701" s="241"/>
      <c r="L701" s="238"/>
    </row>
    <row r="702" spans="2:12" outlineLevel="1">
      <c r="B702" s="237" t="s">
        <v>655</v>
      </c>
      <c r="C702" s="237" t="s">
        <v>655</v>
      </c>
      <c r="D702" s="238" t="str">
        <f>_xlfn.XLOOKUP(B702,'Relacion '!$E:$E,'Relacion '!$D:$D,"")</f>
        <v/>
      </c>
      <c r="E702" s="239">
        <f t="shared" si="152"/>
        <v>18</v>
      </c>
      <c r="F702" s="240" cm="1">
        <f t="array" ref="F702">MIN(INDEX('Relacion '!$AJ$5:$AK$493,MATCH(INDEX($B:$B, (ROW()-7)),'Relacion '!$E$5:$E$493,0),0))</f>
        <v>46104</v>
      </c>
      <c r="G702" s="240" cm="1">
        <f t="array" ref="G702">MAX(INDEX('Relacion '!$AJ$5:$AK$493,MATCH(INDEX($B:$B, (ROW()-7)),'Relacion '!$E$5:$E$493,0),0))</f>
        <v>46122</v>
      </c>
      <c r="H702" s="241" cm="1">
        <f t="array" ref="H702">IF(
 MATCH(B702,{"01. ASIGNACION AREA";"02. MAPEO";"03. DESARROLLO";"04. VALIDA US";"05. VOBO US";"06. BW-EJECUCION";"07. VALIDACIÓN BAJAWARE";"08. CERRADA"},0)
 &lt;
 MATCH(_xlfn.XLOOKUP(INDEX($B:$B, (ROW()-7)),'Relacion '!$E:$E,'Relacion '!$D:$D,""),{"01. ASIGNACION AREA";"02. MAPEO";"03. DESARROLLO";"04. VALIDA US";"05. VOBO US";"06. BW-EJECUCION";"07. VALIDACIÓN BAJAWARE";"08. CERRADA"},0),
 1,
 IF(
  MATCH(B702,{"01. ASIGNACION AREA";"02. MAPEO";"03. DESARROLLO";"04. VALIDA US";"05. VOBO US";"06. BW-EJECUCION";"07. VALIDACIÓN BAJAWARE";"08. CERRADA"},0)
  =
  MATCH(_xlfn.XLOOKUP(INDEX($B:$B, (ROW()-7)),'Relacion '!$E:$E,'Relacion '!$D:$D,""),{"01. ASIGNACION AREA";"02. MAPEO";"03. DESARROLLO";"04. VALIDA US";"05. VOBO US";"06. BW-EJECUCION";"07. VALIDACIÓN BAJAWARE";"08. CERRADA"},0),
  _xlfn.XLOOKUP(INDEX($B:$B, (ROW()-7)),'Relacion '!$E:$E,'Relacion '!#REF!,0),
  0
 )
)</f>
        <v>0</v>
      </c>
      <c r="I702" s="241">
        <f t="shared" ca="1" si="153"/>
        <v>1</v>
      </c>
      <c r="J702" s="241"/>
      <c r="K702" s="241"/>
      <c r="L702" s="238"/>
    </row>
    <row r="703" spans="2:12" outlineLevel="1">
      <c r="B703" s="237" t="s">
        <v>656</v>
      </c>
      <c r="C703" s="237" t="s">
        <v>656</v>
      </c>
      <c r="D703" s="238" t="str">
        <f>_xlfn.XLOOKUP(B703,'Relacion '!$E:$E,'Relacion '!$D:$D,"")</f>
        <v/>
      </c>
      <c r="E703" s="239">
        <f t="shared" si="152"/>
        <v>0</v>
      </c>
      <c r="F703" s="240" cm="1">
        <f t="array" ref="F703">MIN(INDEX('Relacion '!$AL$5:$AM$493,MATCH(INDEX($B:$B, (ROW()-8)),'Relacion '!$E$5:$E$493,0),0))</f>
        <v>46123</v>
      </c>
      <c r="G703" s="240" cm="1">
        <f t="array" ref="G703">MAX(INDEX('Relacion '!$AL$5:$AM$493,MATCH(INDEX($B:$B, (ROW()-8)),'Relacion '!$E$5:$E$493,0),0))</f>
        <v>46123</v>
      </c>
      <c r="H703" s="241" cm="1">
        <f t="array" ref="H703">IF(
 MATCH(B703,{"01. ASIGNACION AREA";"02. MAPEO";"03. DESARROLLO";"04. VALIDA US";"05. VOBO US";"06. BW-EJECUCION";"07. VALIDACIÓN BAJAWARE";"08. CERRADA"},0)
 &lt;
 MATCH(_xlfn.XLOOKUP(INDEX($B:$B, (ROW()-8)),'Relacion '!$E:$E,'Relacion '!$D:$D,""),{"01. ASIGNACION AREA";"02. MAPEO";"03. DESARROLLO";"04. VALIDA US";"05. VOBO US";"06. BW-EJECUCION";"07. VALIDACIÓN BAJAWARE";"08. CERRADA"},0),
 1,
 IF(
  MATCH(B703,{"01. ASIGNACION AREA";"02. MAPEO";"03. DESARROLLO";"04. VALIDA US";"05. VOBO US";"06. BW-EJECUCION";"07. VALIDACIÓN BAJAWARE";"08. CERRADA"},0)
  =
  MATCH(_xlfn.XLOOKUP(INDEX($B:$B, (ROW()-8)),'Relacion '!$E:$E,'Relacion '!$D:$D,""),{"01. ASIGNACION AREA";"02. MAPEO";"03. DESARROLLO";"04. VALIDA US";"05. VOBO US";"06. BW-EJECUCION";"07. VALIDACIÓN BAJAWARE";"08. CERRADA"},0),
  _xlfn.XLOOKUP(INDEX($B:$B, (ROW()-8)),'Relacion '!$E:$E,'Relacion '!#REF!,0),
  0
 )
)</f>
        <v>0</v>
      </c>
      <c r="I703" s="241">
        <f t="shared" ca="1" si="153"/>
        <v>1</v>
      </c>
      <c r="J703" s="241"/>
      <c r="K703" s="241"/>
      <c r="L703" s="238"/>
    </row>
    <row r="704" spans="2:12">
      <c r="B704" s="232" t="s">
        <v>293</v>
      </c>
      <c r="C704" s="167" t="s">
        <v>294</v>
      </c>
      <c r="D704" s="236" t="str">
        <f>_xlfn.XLOOKUP(B704,'Relacion '!$E:$E,'Relacion '!$D:$D,"")</f>
        <v>02. MAPEO</v>
      </c>
      <c r="E704" s="233">
        <f t="shared" si="152"/>
        <v>543</v>
      </c>
      <c r="F704" s="234" cm="1">
        <f t="array" ref="F704">MIN(INDEX('Relacion '!$X$5:$AM$493,MATCH(INDEX($B:$B, (ROW()-0)),'Relacion '!$E$5:$E$493,0),0))</f>
        <v>45659</v>
      </c>
      <c r="G704" s="234" cm="1">
        <f t="array" ref="G704">MAX(INDEX('Relacion '!$X$5:$AM$493,MATCH(INDEX($B:$B, (ROW()-0)),'Relacion '!$E$5:$E$493,0),0))</f>
        <v>46202</v>
      </c>
      <c r="H704" s="235" t="e">
        <f>AVERAGE(H705:H712)</f>
        <v>#REF!</v>
      </c>
      <c r="I704" s="235">
        <f t="shared" ref="I704" ca="1" si="166">AVERAGE(I705:I712)</f>
        <v>0.375</v>
      </c>
      <c r="J704" s="236" t="str">
        <f>IF(ISNUMBER(SEARCH("Rocha", _xlfn.XLOOKUP(B704,'Relacion '!$E:$E,'Relacion '!$I:$I,""))), "Sí", "No")</f>
        <v>Sí</v>
      </c>
      <c r="K704" s="236" t="str">
        <f>IF(ISNUMBER(SEARCH("Rocha", _xlfn.XLOOKUP(B704,'Relacion '!$E:$E,'Relacion '!$I:$I,""))), "RMC", _xlfn.XLOOKUP(B704,'Relacion '!$E:$E,'Relacion '!$B:$B,""))</f>
        <v>RMC</v>
      </c>
      <c r="L704" s="236" t="str">
        <f>_xlfn.XLOOKUP(B704,'Relacion '!$E:$E,'Relacion '!$C:$C,"")</f>
        <v>Belem Alvarado</v>
      </c>
    </row>
    <row r="705" spans="2:12" outlineLevel="1">
      <c r="B705" s="237" t="s">
        <v>654</v>
      </c>
      <c r="C705" s="237" t="s">
        <v>654</v>
      </c>
      <c r="D705" s="238" t="str">
        <f>_xlfn.XLOOKUP(B705,'Relacion '!$E:$E,'Relacion '!$D:$D,"")</f>
        <v/>
      </c>
      <c r="E705" s="239">
        <f t="shared" si="152"/>
        <v>424</v>
      </c>
      <c r="F705" s="240" cm="1">
        <f t="array" ref="F705">MIN(INDEX('Relacion '!$X$5:$Y$493,MATCH(INDEX($B:$B, (ROW()-1)),'Relacion '!$E$5:$E$493,0),0))</f>
        <v>45659</v>
      </c>
      <c r="G705" s="240" cm="1">
        <f t="array" ref="G705">MAX(INDEX('Relacion '!$X$5:$Y$493,MATCH(INDEX($B:$B, (ROW()-1)),'Relacion '!$E$5:$E$493,0),0))</f>
        <v>46083</v>
      </c>
      <c r="H705" s="241" cm="1">
        <f t="array" ref="H705">IF(
 MATCH(B705,{"01. ASIGNACION AREA";"02. MAPEO";"03. DESARROLLO";"04. VALIDA US";"05. VOBO US";"06. BW-EJECUCION";"07. VALIDACIÓN BAJAWARE";"08. CERRADA"},0)
 &lt;
 MATCH(_xlfn.XLOOKUP(INDEX($B:$B, (ROW()-1)),'Relacion '!$E:$E,'Relacion '!$D:$D,""),{"01. ASIGNACION AREA";"02. MAPEO";"03. DESARROLLO";"04. VALIDA US";"05. VOBO US";"06. BW-EJECUCION";"07. VALIDACIÓN BAJAWARE";"08. CERRADA"},0),
 1,
 IF(
  MATCH(B705,{"01. ASIGNACION AREA";"02. MAPEO";"03. DESARROLLO";"04. VALIDA US";"05. VOBO US";"06. BW-EJECUCION";"07. VALIDACIÓN BAJAWARE";"08. CERRADA"},0)
  =
  MATCH(_xlfn.XLOOKUP(INDEX($B:$B, (ROW()-1)),'Relacion '!$E:$E,'Relacion '!$D:$D,""),{"01. ASIGNACION AREA";"02. MAPEO";"03. DESARROLLO";"04. VALIDA US";"05. VOBO US";"06. BW-EJECUCION";"07. VALIDACIÓN BAJAWARE";"08. CERRADA"},0),
  _xlfn.XLOOKUP(INDEX($B:$B, (ROW()-1)),'Relacion '!$E:$E,'Relacion '!#REF!,0),
  0
 )
)</f>
        <v>1</v>
      </c>
      <c r="I705" s="241">
        <f t="shared" ref="I705:I766" ca="1" si="167">IF(G705&lt;=TODAY(), 1, 0)</f>
        <v>1</v>
      </c>
      <c r="J705" s="241"/>
      <c r="K705" s="241"/>
      <c r="L705" s="238"/>
    </row>
    <row r="706" spans="2:12" outlineLevel="1">
      <c r="B706" s="237" t="s">
        <v>195</v>
      </c>
      <c r="C706" s="237" t="s">
        <v>195</v>
      </c>
      <c r="D706" s="238" t="str">
        <f>_xlfn.XLOOKUP(B706,'Relacion '!$E:$E,'Relacion '!$D:$D,"")</f>
        <v/>
      </c>
      <c r="E706" s="239">
        <f t="shared" ref="E706:E769" si="168">IF(OR(F706="",G706=""),"",G706-F706)</f>
        <v>49</v>
      </c>
      <c r="F706" s="240" cm="1">
        <f t="array" ref="F706">MIN(INDEX('Relacion '!$Z$5:$AA$493,MATCH(INDEX($B:$B, (ROW()-2)),'Relacion '!$E$5:$E$493,0),0))</f>
        <v>46093</v>
      </c>
      <c r="G706" s="240" cm="1">
        <f t="array" ref="G706">MAX(INDEX('Relacion '!$Z$5:$AA$493,MATCH(INDEX($B:$B, (ROW()-2)),'Relacion '!$E$5:$E$493,0),0))</f>
        <v>46142</v>
      </c>
      <c r="H706" s="241" t="e" cm="1">
        <f t="array" ref="H706">IF(
 MATCH(B706,{"01. ASIGNACION AREA";"02. MAPEO";"03. DESARROLLO";"04. VALIDA US";"05. VOBO US";"06. BW-EJECUCION";"07. VALIDACIÓN BAJAWARE";"08. CERRADA"},0)
 &lt;
 MATCH(_xlfn.XLOOKUP(INDEX($B:$B, (ROW()-2)),'Relacion '!$E:$E,'Relacion '!$D:$D,""),{"01. ASIGNACION AREA";"02. MAPEO";"03. DESARROLLO";"04. VALIDA US";"05. VOBO US";"06. BW-EJECUCION";"07. VALIDACIÓN BAJAWARE";"08. CERRADA"},0),
 1,
 IF(
  MATCH(B706,{"01. ASIGNACION AREA";"02. MAPEO";"03. DESARROLLO";"04. VALIDA US";"05. VOBO US";"06. BW-EJECUCION";"07. VALIDACIÓN BAJAWARE";"08. CERRADA"},0)
  =
  MATCH(_xlfn.XLOOKUP(INDEX($B:$B, (ROW()-2)),'Relacion '!$E:$E,'Relacion '!$D:$D,""),{"01. ASIGNACION AREA";"02. MAPEO";"03. DESARROLLO";"04. VALIDA US";"05. VOBO US";"06. BW-EJECUCION";"07. VALIDACIÓN BAJAWARE";"08. CERRADA"},0),
  _xlfn.XLOOKUP(INDEX($B:$B, (ROW()-2)),'Relacion '!$E:$E,'Relacion '!#REF!,0),
  0
 )
)</f>
        <v>#REF!</v>
      </c>
      <c r="I706" s="241">
        <f t="shared" ca="1" si="167"/>
        <v>1</v>
      </c>
      <c r="J706" s="241"/>
      <c r="K706" s="241"/>
      <c r="L706" s="238"/>
    </row>
    <row r="707" spans="2:12" outlineLevel="1">
      <c r="B707" s="237" t="s">
        <v>49</v>
      </c>
      <c r="C707" s="237" t="s">
        <v>49</v>
      </c>
      <c r="D707" s="238" t="str">
        <f>_xlfn.XLOOKUP(B707,'Relacion '!$E:$E,'Relacion '!$D:$D,"")</f>
        <v/>
      </c>
      <c r="E707" s="239">
        <f t="shared" si="168"/>
        <v>18</v>
      </c>
      <c r="F707" s="240" cm="1">
        <f t="array" ref="F707">MIN(INDEX('Relacion '!$AB$5:$AC$493,MATCH(INDEX($B:$B, (ROW()-3)),'Relacion '!$E$5:$E$493,0),0))</f>
        <v>46146</v>
      </c>
      <c r="G707" s="240" cm="1">
        <f t="array" ref="G707">MAX(INDEX('Relacion '!$AB$5:$AC$493,MATCH(INDEX($B:$B, (ROW()-3)),'Relacion '!$E$5:$E$493,0),0))</f>
        <v>46164</v>
      </c>
      <c r="H707" s="241" cm="1">
        <f t="array" ref="H707">IF(
 MATCH(B707,{"01. ASIGNACION AREA";"02. MAPEO";"03. DESARROLLO";"04. VALIDA US";"05. VOBO US";"06. BW-EJECUCION";"07. VALIDACIÓN BAJAWARE";"08. CERRADA"},0)
 &lt;
 MATCH(_xlfn.XLOOKUP(INDEX($B:$B, (ROW()-3)),'Relacion '!$E:$E,'Relacion '!$D:$D,""),{"01. ASIGNACION AREA";"02. MAPEO";"03. DESARROLLO";"04. VALIDA US";"05. VOBO US";"06. BW-EJECUCION";"07. VALIDACIÓN BAJAWARE";"08. CERRADA"},0),
 1,
 IF(
  MATCH(B707,{"01. ASIGNACION AREA";"02. MAPEO";"03. DESARROLLO";"04. VALIDA US";"05. VOBO US";"06. BW-EJECUCION";"07. VALIDACIÓN BAJAWARE";"08. CERRADA"},0)
  =
  MATCH(_xlfn.XLOOKUP(INDEX($B:$B, (ROW()-3)),'Relacion '!$E:$E,'Relacion '!$D:$D,""),{"01. ASIGNACION AREA";"02. MAPEO";"03. DESARROLLO";"04. VALIDA US";"05. VOBO US";"06. BW-EJECUCION";"07. VALIDACIÓN BAJAWARE";"08. CERRADA"},0),
  _xlfn.XLOOKUP(INDEX($B:$B, (ROW()-3)),'Relacion '!$E:$E,'Relacion '!#REF!,0),
  0
 )
)</f>
        <v>0</v>
      </c>
      <c r="I707" s="241">
        <f t="shared" ca="1" si="167"/>
        <v>1</v>
      </c>
      <c r="J707" s="241"/>
      <c r="K707" s="241"/>
      <c r="L707" s="238"/>
    </row>
    <row r="708" spans="2:12" outlineLevel="1">
      <c r="B708" s="237" t="s">
        <v>324</v>
      </c>
      <c r="C708" s="237" t="s">
        <v>324</v>
      </c>
      <c r="D708" s="238" t="str">
        <f>_xlfn.XLOOKUP(B708,'Relacion '!$E:$E,'Relacion '!$D:$D,"")</f>
        <v/>
      </c>
      <c r="E708" s="239">
        <f t="shared" si="168"/>
        <v>11</v>
      </c>
      <c r="F708" s="240" cm="1">
        <f t="array" ref="F708">MIN(INDEX('Relacion '!$AD$5:$AE$493,MATCH(INDEX($B:$B, (ROW()-4)),'Relacion '!$E$5:$E$493,0),0))</f>
        <v>46167</v>
      </c>
      <c r="G708" s="240" cm="1">
        <f t="array" ref="G708">MAX(INDEX('Relacion '!$AD$5:$AE$493,MATCH(INDEX($B:$B, (ROW()-4)),'Relacion '!$E$5:$E$493,0),0))</f>
        <v>46178</v>
      </c>
      <c r="H708" s="241" cm="1">
        <f t="array" ref="H708">IF(
 MATCH(B708,{"01. ASIGNACION AREA";"02. MAPEO";"03. DESARROLLO";"04. VALIDA US";"05. VOBO US";"06. BW-EJECUCION";"07. VALIDACIÓN BAJAWARE";"08. CERRADA"},0)
 &lt;
 MATCH(_xlfn.XLOOKUP(INDEX($B:$B, (ROW()-4)),'Relacion '!$E:$E,'Relacion '!$D:$D,""),{"01. ASIGNACION AREA";"02. MAPEO";"03. DESARROLLO";"04. VALIDA US";"05. VOBO US";"06. BW-EJECUCION";"07. VALIDACIÓN BAJAWARE";"08. CERRADA"},0),
 1,
 IF(
  MATCH(B708,{"01. ASIGNACION AREA";"02. MAPEO";"03. DESARROLLO";"04. VALIDA US";"05. VOBO US";"06. BW-EJECUCION";"07. VALIDACIÓN BAJAWARE";"08. CERRADA"},0)
  =
  MATCH(_xlfn.XLOOKUP(INDEX($B:$B, (ROW()-4)),'Relacion '!$E:$E,'Relacion '!$D:$D,""),{"01. ASIGNACION AREA";"02. MAPEO";"03. DESARROLLO";"04. VALIDA US";"05. VOBO US";"06. BW-EJECUCION";"07. VALIDACIÓN BAJAWARE";"08. CERRADA"},0),
  _xlfn.XLOOKUP(INDEX($B:$B, (ROW()-4)),'Relacion '!$E:$E,'Relacion '!#REF!,0),
  0
 )
)</f>
        <v>0</v>
      </c>
      <c r="I708" s="241">
        <f t="shared" ca="1" si="167"/>
        <v>0</v>
      </c>
      <c r="J708" s="241"/>
      <c r="K708" s="241"/>
      <c r="L708" s="238"/>
    </row>
    <row r="709" spans="2:12" outlineLevel="1">
      <c r="B709" s="237" t="s">
        <v>320</v>
      </c>
      <c r="C709" s="237" t="s">
        <v>320</v>
      </c>
      <c r="D709" s="238" t="str">
        <f>_xlfn.XLOOKUP(B709,'Relacion '!$E:$E,'Relacion '!$D:$D,"")</f>
        <v/>
      </c>
      <c r="E709" s="239">
        <f t="shared" si="168"/>
        <v>3</v>
      </c>
      <c r="F709" s="240" cm="1">
        <f t="array" ref="F709">MIN(INDEX('Relacion '!$AF$5:$AG$493,MATCH(INDEX($B:$B, (ROW()-5)),'Relacion '!$E$5:$E$493,0),0))</f>
        <v>46178</v>
      </c>
      <c r="G709" s="240" cm="1">
        <f t="array" ref="G709">MAX(INDEX('Relacion '!$AF$5:$AG$493,MATCH(INDEX($B:$B, (ROW()-5)),'Relacion '!$E$5:$E$493,0),0))</f>
        <v>46181</v>
      </c>
      <c r="H709" s="241" cm="1">
        <f t="array" ref="H709">IF(
 MATCH(B709,{"01. ASIGNACION AREA";"02. MAPEO";"03. DESARROLLO";"04. VALIDA US";"05. VOBO US";"06. BW-EJECUCION";"07. VALIDACIÓN BAJAWARE";"08. CERRADA"},0)
 &lt;
 MATCH(_xlfn.XLOOKUP(INDEX($B:$B, (ROW()-5)),'Relacion '!$E:$E,'Relacion '!$D:$D,""),{"01. ASIGNACION AREA";"02. MAPEO";"03. DESARROLLO";"04. VALIDA US";"05. VOBO US";"06. BW-EJECUCION";"07. VALIDACIÓN BAJAWARE";"08. CERRADA"},0),
 1,
 IF(
  MATCH(B709,{"01. ASIGNACION AREA";"02. MAPEO";"03. DESARROLLO";"04. VALIDA US";"05. VOBO US";"06. BW-EJECUCION";"07. VALIDACIÓN BAJAWARE";"08. CERRADA"},0)
  =
  MATCH(_xlfn.XLOOKUP(INDEX($B:$B, (ROW()-5)),'Relacion '!$E:$E,'Relacion '!$D:$D,""),{"01. ASIGNACION AREA";"02. MAPEO";"03. DESARROLLO";"04. VALIDA US";"05. VOBO US";"06. BW-EJECUCION";"07. VALIDACIÓN BAJAWARE";"08. CERRADA"},0),
  _xlfn.XLOOKUP(INDEX($B:$B, (ROW()-5)),'Relacion '!$E:$E,'Relacion '!#REF!,0),
  0
 )
)</f>
        <v>0</v>
      </c>
      <c r="I709" s="241">
        <f t="shared" ca="1" si="167"/>
        <v>0</v>
      </c>
      <c r="J709" s="241"/>
      <c r="K709" s="241"/>
      <c r="L709" s="238"/>
    </row>
    <row r="710" spans="2:12" outlineLevel="1">
      <c r="B710" s="237" t="s">
        <v>710</v>
      </c>
      <c r="C710" s="237" t="s">
        <v>710</v>
      </c>
      <c r="D710" s="238" t="str">
        <f>_xlfn.XLOOKUP(B710,'Relacion '!$E:$E,'Relacion '!$D:$D,"")</f>
        <v/>
      </c>
      <c r="E710" s="239">
        <f t="shared" si="168"/>
        <v>3</v>
      </c>
      <c r="F710" s="240" cm="1">
        <f t="array" ref="F710">MIN(INDEX('Relacion '!$AH$5:$AI$493,MATCH(INDEX($B:$B, (ROW()-6)),'Relacion '!$E$5:$E$493,0),0))</f>
        <v>46182</v>
      </c>
      <c r="G710" s="240" cm="1">
        <f t="array" ref="G710">MAX(INDEX('Relacion '!$AH$5:$AI$493,MATCH(INDEX($B:$B, (ROW()-6)),'Relacion '!$E$5:$E$493,0),0))</f>
        <v>46185</v>
      </c>
      <c r="H710" s="241" cm="1">
        <f t="array" ref="H710">IF(
 MATCH(B710,{"01. ASIGNACION AREA";"02. MAPEO";"03. DESARROLLO";"04. VALIDA US";"05. VOBO US";"06. BW-EJECUCION";"07. VALIDACIÓN BAJAWARE";"08. CERRADA"},0)
 &lt;
 MATCH(_xlfn.XLOOKUP(INDEX($B:$B, (ROW()-6)),'Relacion '!$E:$E,'Relacion '!$D:$D,""),{"01. ASIGNACION AREA";"02. MAPEO";"03. DESARROLLO";"04. VALIDA US";"05. VOBO US";"06. BW-EJECUCION";"07. VALIDACIÓN BAJAWARE";"08. CERRADA"},0),
 1,
 IF(
  MATCH(B710,{"01. ASIGNACION AREA";"02. MAPEO";"03. DESARROLLO";"04. VALIDA US";"05. VOBO US";"06. BW-EJECUCION";"07. VALIDACIÓN BAJAWARE";"08. CERRADA"},0)
  =
  MATCH(_xlfn.XLOOKUP(INDEX($B:$B, (ROW()-6)),'Relacion '!$E:$E,'Relacion '!$D:$D,""),{"01. ASIGNACION AREA";"02. MAPEO";"03. DESARROLLO";"04. VALIDA US";"05. VOBO US";"06. BW-EJECUCION";"07. VALIDACIÓN BAJAWARE";"08. CERRADA"},0),
  _xlfn.XLOOKUP(INDEX($B:$B, (ROW()-6)),'Relacion '!$E:$E,'Relacion '!#REF!,0),
  0
 )
)</f>
        <v>0</v>
      </c>
      <c r="I710" s="241">
        <f t="shared" ca="1" si="167"/>
        <v>0</v>
      </c>
      <c r="J710" s="241"/>
      <c r="K710" s="241"/>
      <c r="L710" s="238"/>
    </row>
    <row r="711" spans="2:12" outlineLevel="1">
      <c r="B711" s="237" t="s">
        <v>655</v>
      </c>
      <c r="C711" s="237" t="s">
        <v>655</v>
      </c>
      <c r="D711" s="238" t="str">
        <f>_xlfn.XLOOKUP(B711,'Relacion '!$E:$E,'Relacion '!$D:$D,"")</f>
        <v/>
      </c>
      <c r="E711" s="239">
        <f t="shared" si="168"/>
        <v>11</v>
      </c>
      <c r="F711" s="240" cm="1">
        <f t="array" ref="F711">MIN(INDEX('Relacion '!$AJ$5:$AK$493,MATCH(INDEX($B:$B, (ROW()-7)),'Relacion '!$E$5:$E$493,0),0))</f>
        <v>46188</v>
      </c>
      <c r="G711" s="240" cm="1">
        <f t="array" ref="G711">MAX(INDEX('Relacion '!$AJ$5:$AK$493,MATCH(INDEX($B:$B, (ROW()-7)),'Relacion '!$E$5:$E$493,0),0))</f>
        <v>46199</v>
      </c>
      <c r="H711" s="241" cm="1">
        <f t="array" ref="H711">IF(
 MATCH(B711,{"01. ASIGNACION AREA";"02. MAPEO";"03. DESARROLLO";"04. VALIDA US";"05. VOBO US";"06. BW-EJECUCION";"07. VALIDACIÓN BAJAWARE";"08. CERRADA"},0)
 &lt;
 MATCH(_xlfn.XLOOKUP(INDEX($B:$B, (ROW()-7)),'Relacion '!$E:$E,'Relacion '!$D:$D,""),{"01. ASIGNACION AREA";"02. MAPEO";"03. DESARROLLO";"04. VALIDA US";"05. VOBO US";"06. BW-EJECUCION";"07. VALIDACIÓN BAJAWARE";"08. CERRADA"},0),
 1,
 IF(
  MATCH(B711,{"01. ASIGNACION AREA";"02. MAPEO";"03. DESARROLLO";"04. VALIDA US";"05. VOBO US";"06. BW-EJECUCION";"07. VALIDACIÓN BAJAWARE";"08. CERRADA"},0)
  =
  MATCH(_xlfn.XLOOKUP(INDEX($B:$B, (ROW()-7)),'Relacion '!$E:$E,'Relacion '!$D:$D,""),{"01. ASIGNACION AREA";"02. MAPEO";"03. DESARROLLO";"04. VALIDA US";"05. VOBO US";"06. BW-EJECUCION";"07. VALIDACIÓN BAJAWARE";"08. CERRADA"},0),
  _xlfn.XLOOKUP(INDEX($B:$B, (ROW()-7)),'Relacion '!$E:$E,'Relacion '!#REF!,0),
  0
 )
)</f>
        <v>0</v>
      </c>
      <c r="I711" s="241">
        <f t="shared" ca="1" si="167"/>
        <v>0</v>
      </c>
      <c r="J711" s="241"/>
      <c r="K711" s="241"/>
      <c r="L711" s="238"/>
    </row>
    <row r="712" spans="2:12" outlineLevel="1">
      <c r="B712" s="237" t="s">
        <v>656</v>
      </c>
      <c r="C712" s="237" t="s">
        <v>656</v>
      </c>
      <c r="D712" s="238" t="str">
        <f>_xlfn.XLOOKUP(B712,'Relacion '!$E:$E,'Relacion '!$D:$D,"")</f>
        <v/>
      </c>
      <c r="E712" s="239">
        <f t="shared" si="168"/>
        <v>3</v>
      </c>
      <c r="F712" s="240" cm="1">
        <f t="array" ref="F712">MIN(INDEX('Relacion '!$AL$5:$AM$493,MATCH(INDEX($B:$B, (ROW()-8)),'Relacion '!$E$5:$E$493,0),0))</f>
        <v>46199</v>
      </c>
      <c r="G712" s="240" cm="1">
        <f t="array" ref="G712">MAX(INDEX('Relacion '!$AL$5:$AM$493,MATCH(INDEX($B:$B, (ROW()-8)),'Relacion '!$E$5:$E$493,0),0))</f>
        <v>46202</v>
      </c>
      <c r="H712" s="241" cm="1">
        <f t="array" ref="H712">IF(
 MATCH(B712,{"01. ASIGNACION AREA";"02. MAPEO";"03. DESARROLLO";"04. VALIDA US";"05. VOBO US";"06. BW-EJECUCION";"07. VALIDACIÓN BAJAWARE";"08. CERRADA"},0)
 &lt;
 MATCH(_xlfn.XLOOKUP(INDEX($B:$B, (ROW()-8)),'Relacion '!$E:$E,'Relacion '!$D:$D,""),{"01. ASIGNACION AREA";"02. MAPEO";"03. DESARROLLO";"04. VALIDA US";"05. VOBO US";"06. BW-EJECUCION";"07. VALIDACIÓN BAJAWARE";"08. CERRADA"},0),
 1,
 IF(
  MATCH(B712,{"01. ASIGNACION AREA";"02. MAPEO";"03. DESARROLLO";"04. VALIDA US";"05. VOBO US";"06. BW-EJECUCION";"07. VALIDACIÓN BAJAWARE";"08. CERRADA"},0)
  =
  MATCH(_xlfn.XLOOKUP(INDEX($B:$B, (ROW()-8)),'Relacion '!$E:$E,'Relacion '!$D:$D,""),{"01. ASIGNACION AREA";"02. MAPEO";"03. DESARROLLO";"04. VALIDA US";"05. VOBO US";"06. BW-EJECUCION";"07. VALIDACIÓN BAJAWARE";"08. CERRADA"},0),
  _xlfn.XLOOKUP(INDEX($B:$B, (ROW()-8)),'Relacion '!$E:$E,'Relacion '!#REF!,0),
  0
 )
)</f>
        <v>0</v>
      </c>
      <c r="I712" s="241">
        <f t="shared" ca="1" si="167"/>
        <v>0</v>
      </c>
      <c r="J712" s="241"/>
      <c r="K712" s="241"/>
      <c r="L712" s="238"/>
    </row>
    <row r="713" spans="2:12">
      <c r="B713" s="232" t="s">
        <v>282</v>
      </c>
      <c r="C713" s="137" t="s">
        <v>280</v>
      </c>
      <c r="D713" s="236" t="str">
        <f>_xlfn.XLOOKUP(B713,'Relacion '!$E:$E,'Relacion '!$D:$D,"")</f>
        <v>04. VALIDA US</v>
      </c>
      <c r="E713" s="233">
        <f t="shared" si="168"/>
        <v>117</v>
      </c>
      <c r="F713" s="234" cm="1">
        <f t="array" ref="F713">MIN(INDEX('Relacion '!$X$5:$AM$493,MATCH(INDEX($B:$B, (ROW()-0)),'Relacion '!$E$5:$E$493,0),0))</f>
        <v>46024</v>
      </c>
      <c r="G713" s="234" cm="1">
        <f t="array" ref="G713">MAX(INDEX('Relacion '!$X$5:$AM$493,MATCH(INDEX($B:$B, (ROW()-0)),'Relacion '!$E$5:$E$493,0),0))</f>
        <v>46141</v>
      </c>
      <c r="H713" s="235" t="e">
        <f>AVERAGE(H714:H721)</f>
        <v>#REF!</v>
      </c>
      <c r="I713" s="235">
        <f t="shared" ref="I713" ca="1" si="169">AVERAGE(I714:I721)</f>
        <v>1</v>
      </c>
      <c r="J713" s="236" t="str">
        <f>IF(ISNUMBER(SEARCH("Rocha", _xlfn.XLOOKUP(B713,'Relacion '!$E:$E,'Relacion '!$I:$I,""))), "Sí", "No")</f>
        <v>No</v>
      </c>
      <c r="K713" s="236" t="str">
        <f>IF(ISNUMBER(SEARCH("Rocha", _xlfn.XLOOKUP(B713,'Relacion '!$E:$E,'Relacion '!$I:$I,""))), "RMC", _xlfn.XLOOKUP(B713,'Relacion '!$E:$E,'Relacion '!$B:$B,""))</f>
        <v>Tesorería </v>
      </c>
      <c r="L713" s="236" t="str">
        <f>_xlfn.XLOOKUP(B713,'Relacion '!$E:$E,'Relacion '!$C:$C,"")</f>
        <v>Eduardo Cabral</v>
      </c>
    </row>
    <row r="714" spans="2:12" outlineLevel="1">
      <c r="B714" s="237" t="s">
        <v>654</v>
      </c>
      <c r="C714" s="237" t="s">
        <v>654</v>
      </c>
      <c r="D714" s="238" t="str">
        <f>_xlfn.XLOOKUP(B714,'Relacion '!$E:$E,'Relacion '!$D:$D,"")</f>
        <v/>
      </c>
      <c r="E714" s="239">
        <f t="shared" si="168"/>
        <v>59</v>
      </c>
      <c r="F714" s="240" cm="1">
        <f t="array" ref="F714">MIN(INDEX('Relacion '!$X$5:$Y$493,MATCH(INDEX($B:$B, (ROW()-1)),'Relacion '!$E$5:$E$493,0),0))</f>
        <v>46024</v>
      </c>
      <c r="G714" s="240" cm="1">
        <f t="array" ref="G714">MAX(INDEX('Relacion '!$X$5:$Y$493,MATCH(INDEX($B:$B, (ROW()-1)),'Relacion '!$E$5:$E$493,0),0))</f>
        <v>46083</v>
      </c>
      <c r="H714" s="241" cm="1">
        <f t="array" ref="H714">IF(
 MATCH(B714,{"01. ASIGNACION AREA";"02. MAPEO";"03. DESARROLLO";"04. VALIDA US";"05. VOBO US";"06. BW-EJECUCION";"07. VALIDACIÓN BAJAWARE";"08. CERRADA"},0)
 &lt;
 MATCH(_xlfn.XLOOKUP(INDEX($B:$B, (ROW()-1)),'Relacion '!$E:$E,'Relacion '!$D:$D,""),{"01. ASIGNACION AREA";"02. MAPEO";"03. DESARROLLO";"04. VALIDA US";"05. VOBO US";"06. BW-EJECUCION";"07. VALIDACIÓN BAJAWARE";"08. CERRADA"},0),
 1,
 IF(
  MATCH(B714,{"01. ASIGNACION AREA";"02. MAPEO";"03. DESARROLLO";"04. VALIDA US";"05. VOBO US";"06. BW-EJECUCION";"07. VALIDACIÓN BAJAWARE";"08. CERRADA"},0)
  =
  MATCH(_xlfn.XLOOKUP(INDEX($B:$B, (ROW()-1)),'Relacion '!$E:$E,'Relacion '!$D:$D,""),{"01. ASIGNACION AREA";"02. MAPEO";"03. DESARROLLO";"04. VALIDA US";"05. VOBO US";"06. BW-EJECUCION";"07. VALIDACIÓN BAJAWARE";"08. CERRADA"},0),
  _xlfn.XLOOKUP(INDEX($B:$B, (ROW()-1)),'Relacion '!$E:$E,'Relacion '!#REF!,0),
  0
 )
)</f>
        <v>1</v>
      </c>
      <c r="I714" s="241">
        <f t="shared" ref="I714" ca="1" si="170">IF(G714&lt;=TODAY(), 1, 0)</f>
        <v>1</v>
      </c>
      <c r="J714" s="241"/>
      <c r="K714" s="241"/>
      <c r="L714" s="238"/>
    </row>
    <row r="715" spans="2:12" outlineLevel="1">
      <c r="B715" s="237" t="s">
        <v>195</v>
      </c>
      <c r="C715" s="237" t="s">
        <v>195</v>
      </c>
      <c r="D715" s="238" t="str">
        <f>_xlfn.XLOOKUP(B715,'Relacion '!$E:$E,'Relacion '!$D:$D,"")</f>
        <v/>
      </c>
      <c r="E715" s="239">
        <f t="shared" si="168"/>
        <v>0</v>
      </c>
      <c r="F715" s="240" cm="1">
        <f t="array" ref="F715">MIN(INDEX('Relacion '!$Z$5:$AA$493,MATCH(INDEX($B:$B, (ROW()-2)),'Relacion '!$E$5:$E$493,0),0))</f>
        <v>46084</v>
      </c>
      <c r="G715" s="240" cm="1">
        <f t="array" ref="G715">MAX(INDEX('Relacion '!$Z$5:$AA$493,MATCH(INDEX($B:$B, (ROW()-2)),'Relacion '!$E$5:$E$493,0),0))</f>
        <v>46084</v>
      </c>
      <c r="H715" s="241" cm="1">
        <f t="array" ref="H715">IF(
 MATCH(B715,{"01. ASIGNACION AREA";"02. MAPEO";"03. DESARROLLO";"04. VALIDA US";"05. VOBO US";"06. BW-EJECUCION";"07. VALIDACIÓN BAJAWARE";"08. CERRADA"},0)
 &lt;
 MATCH(_xlfn.XLOOKUP(INDEX($B:$B, (ROW()-2)),'Relacion '!$E:$E,'Relacion '!$D:$D,""),{"01. ASIGNACION AREA";"02. MAPEO";"03. DESARROLLO";"04. VALIDA US";"05. VOBO US";"06. BW-EJECUCION";"07. VALIDACIÓN BAJAWARE";"08. CERRADA"},0),
 1,
 IF(
  MATCH(B715,{"01. ASIGNACION AREA";"02. MAPEO";"03. DESARROLLO";"04. VALIDA US";"05. VOBO US";"06. BW-EJECUCION";"07. VALIDACIÓN BAJAWARE";"08. CERRADA"},0)
  =
  MATCH(_xlfn.XLOOKUP(INDEX($B:$B, (ROW()-2)),'Relacion '!$E:$E,'Relacion '!$D:$D,""),{"01. ASIGNACION AREA";"02. MAPEO";"03. DESARROLLO";"04. VALIDA US";"05. VOBO US";"06. BW-EJECUCION";"07. VALIDACIÓN BAJAWARE";"08. CERRADA"},0),
  _xlfn.XLOOKUP(INDEX($B:$B, (ROW()-2)),'Relacion '!$E:$E,'Relacion '!#REF!,0),
  0
 )
)</f>
        <v>1</v>
      </c>
      <c r="I715" s="241">
        <f t="shared" ca="1" si="167"/>
        <v>1</v>
      </c>
      <c r="J715" s="241"/>
      <c r="K715" s="241"/>
      <c r="L715" s="238"/>
    </row>
    <row r="716" spans="2:12" outlineLevel="1">
      <c r="B716" s="237" t="s">
        <v>49</v>
      </c>
      <c r="C716" s="237" t="s">
        <v>49</v>
      </c>
      <c r="D716" s="238" t="str">
        <f>_xlfn.XLOOKUP(B716,'Relacion '!$E:$E,'Relacion '!$D:$D,"")</f>
        <v/>
      </c>
      <c r="E716" s="239">
        <f t="shared" si="168"/>
        <v>13</v>
      </c>
      <c r="F716" s="240" cm="1">
        <f t="array" ref="F716">MIN(INDEX('Relacion '!$AB$5:$AC$493,MATCH(INDEX($B:$B, (ROW()-3)),'Relacion '!$E$5:$E$493,0),0))</f>
        <v>46085</v>
      </c>
      <c r="G716" s="240" cm="1">
        <f t="array" ref="G716">MAX(INDEX('Relacion '!$AB$5:$AC$493,MATCH(INDEX($B:$B, (ROW()-3)),'Relacion '!$E$5:$E$493,0),0))</f>
        <v>46098</v>
      </c>
      <c r="H716" s="241" cm="1">
        <f t="array" ref="H716">IF(
 MATCH(B716,{"01. ASIGNACION AREA";"02. MAPEO";"03. DESARROLLO";"04. VALIDA US";"05. VOBO US";"06. BW-EJECUCION";"07. VALIDACIÓN BAJAWARE";"08. CERRADA"},0)
 &lt;
 MATCH(_xlfn.XLOOKUP(INDEX($B:$B, (ROW()-3)),'Relacion '!$E:$E,'Relacion '!$D:$D,""),{"01. ASIGNACION AREA";"02. MAPEO";"03. DESARROLLO";"04. VALIDA US";"05. VOBO US";"06. BW-EJECUCION";"07. VALIDACIÓN BAJAWARE";"08. CERRADA"},0),
 1,
 IF(
  MATCH(B716,{"01. ASIGNACION AREA";"02. MAPEO";"03. DESARROLLO";"04. VALIDA US";"05. VOBO US";"06. BW-EJECUCION";"07. VALIDACIÓN BAJAWARE";"08. CERRADA"},0)
  =
  MATCH(_xlfn.XLOOKUP(INDEX($B:$B, (ROW()-3)),'Relacion '!$E:$E,'Relacion '!$D:$D,""),{"01. ASIGNACION AREA";"02. MAPEO";"03. DESARROLLO";"04. VALIDA US";"05. VOBO US";"06. BW-EJECUCION";"07. VALIDACIÓN BAJAWARE";"08. CERRADA"},0),
  _xlfn.XLOOKUP(INDEX($B:$B, (ROW()-3)),'Relacion '!$E:$E,'Relacion '!#REF!,0),
  0
 )
)</f>
        <v>1</v>
      </c>
      <c r="I716" s="241">
        <f t="shared" ca="1" si="167"/>
        <v>1</v>
      </c>
      <c r="J716" s="241"/>
      <c r="K716" s="241"/>
      <c r="L716" s="238"/>
    </row>
    <row r="717" spans="2:12" outlineLevel="1">
      <c r="B717" s="237" t="s">
        <v>324</v>
      </c>
      <c r="C717" s="237" t="s">
        <v>324</v>
      </c>
      <c r="D717" s="238" t="str">
        <f>_xlfn.XLOOKUP(B717,'Relacion '!$E:$E,'Relacion '!$D:$D,"")</f>
        <v/>
      </c>
      <c r="E717" s="239">
        <f t="shared" si="168"/>
        <v>20</v>
      </c>
      <c r="F717" s="240" cm="1">
        <f t="array" ref="F717">MIN(INDEX('Relacion '!$AD$5:$AE$493,MATCH(INDEX($B:$B, (ROW()-4)),'Relacion '!$E$5:$E$493,0),0))</f>
        <v>46099</v>
      </c>
      <c r="G717" s="240" cm="1">
        <f t="array" ref="G717">MAX(INDEX('Relacion '!$AD$5:$AE$493,MATCH(INDEX($B:$B, (ROW()-4)),'Relacion '!$E$5:$E$493,0),0))</f>
        <v>46119</v>
      </c>
      <c r="H717" s="241" t="e" cm="1">
        <f t="array" ref="H717">IF(
 MATCH(B717,{"01. ASIGNACION AREA";"02. MAPEO";"03. DESARROLLO";"04. VALIDA US";"05. VOBO US";"06. BW-EJECUCION";"07. VALIDACIÓN BAJAWARE";"08. CERRADA"},0)
 &lt;
 MATCH(_xlfn.XLOOKUP(INDEX($B:$B, (ROW()-4)),'Relacion '!$E:$E,'Relacion '!$D:$D,""),{"01. ASIGNACION AREA";"02. MAPEO";"03. DESARROLLO";"04. VALIDA US";"05. VOBO US";"06. BW-EJECUCION";"07. VALIDACIÓN BAJAWARE";"08. CERRADA"},0),
 1,
 IF(
  MATCH(B717,{"01. ASIGNACION AREA";"02. MAPEO";"03. DESARROLLO";"04. VALIDA US";"05. VOBO US";"06. BW-EJECUCION";"07. VALIDACIÓN BAJAWARE";"08. CERRADA"},0)
  =
  MATCH(_xlfn.XLOOKUP(INDEX($B:$B, (ROW()-4)),'Relacion '!$E:$E,'Relacion '!$D:$D,""),{"01. ASIGNACION AREA";"02. MAPEO";"03. DESARROLLO";"04. VALIDA US";"05. VOBO US";"06. BW-EJECUCION";"07. VALIDACIÓN BAJAWARE";"08. CERRADA"},0),
  _xlfn.XLOOKUP(INDEX($B:$B, (ROW()-4)),'Relacion '!$E:$E,'Relacion '!#REF!,0),
  0
 )
)</f>
        <v>#REF!</v>
      </c>
      <c r="I717" s="241">
        <f t="shared" ca="1" si="167"/>
        <v>1</v>
      </c>
      <c r="J717" s="241"/>
      <c r="K717" s="241"/>
      <c r="L717" s="238"/>
    </row>
    <row r="718" spans="2:12" outlineLevel="1">
      <c r="B718" s="237" t="s">
        <v>320</v>
      </c>
      <c r="C718" s="237" t="s">
        <v>320</v>
      </c>
      <c r="D718" s="238" t="str">
        <f>_xlfn.XLOOKUP(B718,'Relacion '!$E:$E,'Relacion '!$D:$D,"")</f>
        <v/>
      </c>
      <c r="E718" s="239">
        <f t="shared" si="168"/>
        <v>1</v>
      </c>
      <c r="F718" s="240" cm="1">
        <f t="array" ref="F718">MIN(INDEX('Relacion '!$AF$5:$AG$493,MATCH(INDEX($B:$B, (ROW()-5)),'Relacion '!$E$5:$E$493,0),0))</f>
        <v>46119</v>
      </c>
      <c r="G718" s="240" cm="1">
        <f t="array" ref="G718">MAX(INDEX('Relacion '!$AF$5:$AG$493,MATCH(INDEX($B:$B, (ROW()-5)),'Relacion '!$E$5:$E$493,0),0))</f>
        <v>46120</v>
      </c>
      <c r="H718" s="241" cm="1">
        <f t="array" ref="H718">IF(
 MATCH(B718,{"01. ASIGNACION AREA";"02. MAPEO";"03. DESARROLLO";"04. VALIDA US";"05. VOBO US";"06. BW-EJECUCION";"07. VALIDACIÓN BAJAWARE";"08. CERRADA"},0)
 &lt;
 MATCH(_xlfn.XLOOKUP(INDEX($B:$B, (ROW()-5)),'Relacion '!$E:$E,'Relacion '!$D:$D,""),{"01. ASIGNACION AREA";"02. MAPEO";"03. DESARROLLO";"04. VALIDA US";"05. VOBO US";"06. BW-EJECUCION";"07. VALIDACIÓN BAJAWARE";"08. CERRADA"},0),
 1,
 IF(
  MATCH(B718,{"01. ASIGNACION AREA";"02. MAPEO";"03. DESARROLLO";"04. VALIDA US";"05. VOBO US";"06. BW-EJECUCION";"07. VALIDACIÓN BAJAWARE";"08. CERRADA"},0)
  =
  MATCH(_xlfn.XLOOKUP(INDEX($B:$B, (ROW()-5)),'Relacion '!$E:$E,'Relacion '!$D:$D,""),{"01. ASIGNACION AREA";"02. MAPEO";"03. DESARROLLO";"04. VALIDA US";"05. VOBO US";"06. BW-EJECUCION";"07. VALIDACIÓN BAJAWARE";"08. CERRADA"},0),
  _xlfn.XLOOKUP(INDEX($B:$B, (ROW()-5)),'Relacion '!$E:$E,'Relacion '!#REF!,0),
  0
 )
)</f>
        <v>0</v>
      </c>
      <c r="I718" s="241">
        <f t="shared" ca="1" si="167"/>
        <v>1</v>
      </c>
      <c r="J718" s="241"/>
      <c r="K718" s="241"/>
      <c r="L718" s="238"/>
    </row>
    <row r="719" spans="2:12" outlineLevel="1">
      <c r="B719" s="237" t="s">
        <v>710</v>
      </c>
      <c r="C719" s="237" t="s">
        <v>710</v>
      </c>
      <c r="D719" s="238" t="str">
        <f>_xlfn.XLOOKUP(B719,'Relacion '!$E:$E,'Relacion '!$D:$D,"")</f>
        <v/>
      </c>
      <c r="E719" s="239">
        <f t="shared" si="168"/>
        <v>4</v>
      </c>
      <c r="F719" s="240" cm="1">
        <f t="array" ref="F719">MIN(INDEX('Relacion '!$AH$5:$AI$493,MATCH(INDEX($B:$B, (ROW()-6)),'Relacion '!$E$5:$E$493,0),0))</f>
        <v>46121</v>
      </c>
      <c r="G719" s="240" cm="1">
        <f t="array" ref="G719">MAX(INDEX('Relacion '!$AH$5:$AI$493,MATCH(INDEX($B:$B, (ROW()-6)),'Relacion '!$E$5:$E$493,0),0))</f>
        <v>46125</v>
      </c>
      <c r="H719" s="241" cm="1">
        <f t="array" ref="H719">IF(
 MATCH(B719,{"01. ASIGNACION AREA";"02. MAPEO";"03. DESARROLLO";"04. VALIDA US";"05. VOBO US";"06. BW-EJECUCION";"07. VALIDACIÓN BAJAWARE";"08. CERRADA"},0)
 &lt;
 MATCH(_xlfn.XLOOKUP(INDEX($B:$B, (ROW()-6)),'Relacion '!$E:$E,'Relacion '!$D:$D,""),{"01. ASIGNACION AREA";"02. MAPEO";"03. DESARROLLO";"04. VALIDA US";"05. VOBO US";"06. BW-EJECUCION";"07. VALIDACIÓN BAJAWARE";"08. CERRADA"},0),
 1,
 IF(
  MATCH(B719,{"01. ASIGNACION AREA";"02. MAPEO";"03. DESARROLLO";"04. VALIDA US";"05. VOBO US";"06. BW-EJECUCION";"07. VALIDACIÓN BAJAWARE";"08. CERRADA"},0)
  =
  MATCH(_xlfn.XLOOKUP(INDEX($B:$B, (ROW()-6)),'Relacion '!$E:$E,'Relacion '!$D:$D,""),{"01. ASIGNACION AREA";"02. MAPEO";"03. DESARROLLO";"04. VALIDA US";"05. VOBO US";"06. BW-EJECUCION";"07. VALIDACIÓN BAJAWARE";"08. CERRADA"},0),
  _xlfn.XLOOKUP(INDEX($B:$B, (ROW()-6)),'Relacion '!$E:$E,'Relacion '!#REF!,0),
  0
 )
)</f>
        <v>0</v>
      </c>
      <c r="I719" s="241">
        <f t="shared" ca="1" si="167"/>
        <v>1</v>
      </c>
      <c r="J719" s="241"/>
      <c r="K719" s="241"/>
      <c r="L719" s="238"/>
    </row>
    <row r="720" spans="2:12" outlineLevel="1">
      <c r="B720" s="237" t="s">
        <v>655</v>
      </c>
      <c r="C720" s="237" t="s">
        <v>655</v>
      </c>
      <c r="D720" s="238" t="str">
        <f>_xlfn.XLOOKUP(B720,'Relacion '!$E:$E,'Relacion '!$D:$D,"")</f>
        <v/>
      </c>
      <c r="E720" s="239">
        <f t="shared" si="168"/>
        <v>14</v>
      </c>
      <c r="F720" s="240" cm="1">
        <f t="array" ref="F720">MIN(INDEX('Relacion '!$AJ$5:$AK$493,MATCH(INDEX($B:$B, (ROW()-7)),'Relacion '!$E$5:$E$493,0),0))</f>
        <v>46126</v>
      </c>
      <c r="G720" s="240" cm="1">
        <f t="array" ref="G720">MAX(INDEX('Relacion '!$AJ$5:$AK$493,MATCH(INDEX($B:$B, (ROW()-7)),'Relacion '!$E$5:$E$493,0),0))</f>
        <v>46140</v>
      </c>
      <c r="H720" s="241" cm="1">
        <f t="array" ref="H720">IF(
 MATCH(B720,{"01. ASIGNACION AREA";"02. MAPEO";"03. DESARROLLO";"04. VALIDA US";"05. VOBO US";"06. BW-EJECUCION";"07. VALIDACIÓN BAJAWARE";"08. CERRADA"},0)
 &lt;
 MATCH(_xlfn.XLOOKUP(INDEX($B:$B, (ROW()-7)),'Relacion '!$E:$E,'Relacion '!$D:$D,""),{"01. ASIGNACION AREA";"02. MAPEO";"03. DESARROLLO";"04. VALIDA US";"05. VOBO US";"06. BW-EJECUCION";"07. VALIDACIÓN BAJAWARE";"08. CERRADA"},0),
 1,
 IF(
  MATCH(B720,{"01. ASIGNACION AREA";"02. MAPEO";"03. DESARROLLO";"04. VALIDA US";"05. VOBO US";"06. BW-EJECUCION";"07. VALIDACIÓN BAJAWARE";"08. CERRADA"},0)
  =
  MATCH(_xlfn.XLOOKUP(INDEX($B:$B, (ROW()-7)),'Relacion '!$E:$E,'Relacion '!$D:$D,""),{"01. ASIGNACION AREA";"02. MAPEO";"03. DESARROLLO";"04. VALIDA US";"05. VOBO US";"06. BW-EJECUCION";"07. VALIDACIÓN BAJAWARE";"08. CERRADA"},0),
  _xlfn.XLOOKUP(INDEX($B:$B, (ROW()-7)),'Relacion '!$E:$E,'Relacion '!#REF!,0),
  0
 )
)</f>
        <v>0</v>
      </c>
      <c r="I720" s="241">
        <f t="shared" ca="1" si="167"/>
        <v>1</v>
      </c>
      <c r="J720" s="241"/>
      <c r="K720" s="241"/>
      <c r="L720" s="238"/>
    </row>
    <row r="721" spans="2:12" outlineLevel="1">
      <c r="B721" s="237" t="s">
        <v>656</v>
      </c>
      <c r="C721" s="237" t="s">
        <v>656</v>
      </c>
      <c r="D721" s="238" t="str">
        <f>_xlfn.XLOOKUP(B721,'Relacion '!$E:$E,'Relacion '!$D:$D,"")</f>
        <v/>
      </c>
      <c r="E721" s="239">
        <f t="shared" si="168"/>
        <v>0</v>
      </c>
      <c r="F721" s="240" cm="1">
        <f t="array" ref="F721">MIN(INDEX('Relacion '!$AL$5:$AM$493,MATCH(INDEX($B:$B, (ROW()-8)),'Relacion '!$E$5:$E$493,0),0))</f>
        <v>46141</v>
      </c>
      <c r="G721" s="240" cm="1">
        <f t="array" ref="G721">MAX(INDEX('Relacion '!$AL$5:$AM$493,MATCH(INDEX($B:$B, (ROW()-8)),'Relacion '!$E$5:$E$493,0),0))</f>
        <v>46141</v>
      </c>
      <c r="H721" s="241" cm="1">
        <f t="array" ref="H721">IF(
 MATCH(B721,{"01. ASIGNACION AREA";"02. MAPEO";"03. DESARROLLO";"04. VALIDA US";"05. VOBO US";"06. BW-EJECUCION";"07. VALIDACIÓN BAJAWARE";"08. CERRADA"},0)
 &lt;
 MATCH(_xlfn.XLOOKUP(INDEX($B:$B, (ROW()-8)),'Relacion '!$E:$E,'Relacion '!$D:$D,""),{"01. ASIGNACION AREA";"02. MAPEO";"03. DESARROLLO";"04. VALIDA US";"05. VOBO US";"06. BW-EJECUCION";"07. VALIDACIÓN BAJAWARE";"08. CERRADA"},0),
 1,
 IF(
  MATCH(B721,{"01. ASIGNACION AREA";"02. MAPEO";"03. DESARROLLO";"04. VALIDA US";"05. VOBO US";"06. BW-EJECUCION";"07. VALIDACIÓN BAJAWARE";"08. CERRADA"},0)
  =
  MATCH(_xlfn.XLOOKUP(INDEX($B:$B, (ROW()-8)),'Relacion '!$E:$E,'Relacion '!$D:$D,""),{"01. ASIGNACION AREA";"02. MAPEO";"03. DESARROLLO";"04. VALIDA US";"05. VOBO US";"06. BW-EJECUCION";"07. VALIDACIÓN BAJAWARE";"08. CERRADA"},0),
  _xlfn.XLOOKUP(INDEX($B:$B, (ROW()-8)),'Relacion '!$E:$E,'Relacion '!#REF!,0),
  0
 )
)</f>
        <v>0</v>
      </c>
      <c r="I721" s="241">
        <f t="shared" ca="1" si="167"/>
        <v>1</v>
      </c>
      <c r="J721" s="241"/>
      <c r="K721" s="241"/>
      <c r="L721" s="238"/>
    </row>
    <row r="722" spans="2:12">
      <c r="B722" s="232" t="s">
        <v>106</v>
      </c>
      <c r="C722" s="137" t="s">
        <v>107</v>
      </c>
      <c r="D722" s="236" t="str">
        <f>_xlfn.XLOOKUP(B722,'Relacion '!$E:$E,'Relacion '!$D:$D,"")</f>
        <v>02. MAPEO</v>
      </c>
      <c r="E722" s="233">
        <f t="shared" si="168"/>
        <v>582</v>
      </c>
      <c r="F722" s="234" cm="1">
        <f t="array" ref="F722">MIN(INDEX('Relacion '!$X$5:$AM$493,MATCH(INDEX($B:$B, (ROW()-0)),'Relacion '!$E$5:$E$493,0),0))</f>
        <v>45659</v>
      </c>
      <c r="G722" s="234" cm="1">
        <f t="array" ref="G722">MAX(INDEX('Relacion '!$X$5:$AM$493,MATCH(INDEX($B:$B, (ROW()-0)),'Relacion '!$E$5:$E$493,0),0))</f>
        <v>46241</v>
      </c>
      <c r="H722" s="235" t="e">
        <f>AVERAGE(H723:H730)</f>
        <v>#REF!</v>
      </c>
      <c r="I722" s="235">
        <f t="shared" ref="I722" ca="1" si="171">AVERAGE(I723:I730)</f>
        <v>0.25</v>
      </c>
      <c r="J722" s="236" t="str">
        <f>IF(ISNUMBER(SEARCH("Rocha", _xlfn.XLOOKUP(B722,'Relacion '!$E:$E,'Relacion '!$I:$I,""))), "Sí", "No")</f>
        <v>No</v>
      </c>
      <c r="K722" s="236" t="str">
        <f>IF(ISNUMBER(SEARCH("Rocha", _xlfn.XLOOKUP(B722,'Relacion '!$E:$E,'Relacion '!$I:$I,""))), "RMC", _xlfn.XLOOKUP(B722,'Relacion '!$E:$E,'Relacion '!$B:$B,""))</f>
        <v>Operaciones Captacion</v>
      </c>
      <c r="L722" s="236" t="str">
        <f>_xlfn.XLOOKUP(B722,'Relacion '!$E:$E,'Relacion '!$C:$C,"")</f>
        <v>Luis Alberto</v>
      </c>
    </row>
    <row r="723" spans="2:12" outlineLevel="1">
      <c r="B723" s="237" t="s">
        <v>654</v>
      </c>
      <c r="C723" s="237" t="s">
        <v>654</v>
      </c>
      <c r="D723" s="238" t="str">
        <f>_xlfn.XLOOKUP(B723,'Relacion '!$E:$E,'Relacion '!$D:$D,"")</f>
        <v/>
      </c>
      <c r="E723" s="239">
        <f t="shared" si="168"/>
        <v>424</v>
      </c>
      <c r="F723" s="240" cm="1">
        <f t="array" ref="F723">MIN(INDEX('Relacion '!$X$5:$Y$493,MATCH(INDEX($B:$B, (ROW()-1)),'Relacion '!$E$5:$E$493,0),0))</f>
        <v>45659</v>
      </c>
      <c r="G723" s="240" cm="1">
        <f t="array" ref="G723">MAX(INDEX('Relacion '!$X$5:$Y$493,MATCH(INDEX($B:$B, (ROW()-1)),'Relacion '!$E$5:$E$493,0),0))</f>
        <v>46083</v>
      </c>
      <c r="H723" s="241" cm="1">
        <f t="array" ref="H723">IF(
 MATCH(B723,{"01. ASIGNACION AREA";"02. MAPEO";"03. DESARROLLO";"04. VALIDA US";"05. VOBO US";"06. BW-EJECUCION";"07. VALIDACIÓN BAJAWARE";"08. CERRADA"},0)
 &lt;
 MATCH(_xlfn.XLOOKUP(INDEX($B:$B, (ROW()-1)),'Relacion '!$E:$E,'Relacion '!$D:$D,""),{"01. ASIGNACION AREA";"02. MAPEO";"03. DESARROLLO";"04. VALIDA US";"05. VOBO US";"06. BW-EJECUCION";"07. VALIDACIÓN BAJAWARE";"08. CERRADA"},0),
 1,
 IF(
  MATCH(B723,{"01. ASIGNACION AREA";"02. MAPEO";"03. DESARROLLO";"04. VALIDA US";"05. VOBO US";"06. BW-EJECUCION";"07. VALIDACIÓN BAJAWARE";"08. CERRADA"},0)
  =
  MATCH(_xlfn.XLOOKUP(INDEX($B:$B, (ROW()-1)),'Relacion '!$E:$E,'Relacion '!$D:$D,""),{"01. ASIGNACION AREA";"02. MAPEO";"03. DESARROLLO";"04. VALIDA US";"05. VOBO US";"06. BW-EJECUCION";"07. VALIDACIÓN BAJAWARE";"08. CERRADA"},0),
  _xlfn.XLOOKUP(INDEX($B:$B, (ROW()-1)),'Relacion '!$E:$E,'Relacion '!#REF!,0),
  0
 )
)</f>
        <v>1</v>
      </c>
      <c r="I723" s="241">
        <f t="shared" ref="I723" ca="1" si="172">IF(G723&lt;=TODAY(), 1, 0)</f>
        <v>1</v>
      </c>
      <c r="J723" s="241"/>
      <c r="K723" s="241"/>
      <c r="L723" s="238"/>
    </row>
    <row r="724" spans="2:12" outlineLevel="1">
      <c r="B724" s="237" t="s">
        <v>195</v>
      </c>
      <c r="C724" s="237" t="s">
        <v>195</v>
      </c>
      <c r="D724" s="238" t="str">
        <f>_xlfn.XLOOKUP(B724,'Relacion '!$E:$E,'Relacion '!$D:$D,"")</f>
        <v/>
      </c>
      <c r="E724" s="239">
        <f t="shared" si="168"/>
        <v>93</v>
      </c>
      <c r="F724" s="240" cm="1">
        <f t="array" ref="F724">MIN(INDEX('Relacion '!$Z$5:$AA$493,MATCH(INDEX($B:$B, (ROW()-2)),'Relacion '!$E$5:$E$493,0),0))</f>
        <v>46041</v>
      </c>
      <c r="G724" s="240" cm="1">
        <f t="array" ref="G724">MAX(INDEX('Relacion '!$Z$5:$AA$493,MATCH(INDEX($B:$B, (ROW()-2)),'Relacion '!$E$5:$E$493,0),0))</f>
        <v>46134</v>
      </c>
      <c r="H724" s="241" t="e" cm="1">
        <f t="array" ref="H724">IF(
 MATCH(B724,{"01. ASIGNACION AREA";"02. MAPEO";"03. DESARROLLO";"04. VALIDA US";"05. VOBO US";"06. BW-EJECUCION";"07. VALIDACIÓN BAJAWARE";"08. CERRADA"},0)
 &lt;
 MATCH(_xlfn.XLOOKUP(INDEX($B:$B, (ROW()-2)),'Relacion '!$E:$E,'Relacion '!$D:$D,""),{"01. ASIGNACION AREA";"02. MAPEO";"03. DESARROLLO";"04. VALIDA US";"05. VOBO US";"06. BW-EJECUCION";"07. VALIDACIÓN BAJAWARE";"08. CERRADA"},0),
 1,
 IF(
  MATCH(B724,{"01. ASIGNACION AREA";"02. MAPEO";"03. DESARROLLO";"04. VALIDA US";"05. VOBO US";"06. BW-EJECUCION";"07. VALIDACIÓN BAJAWARE";"08. CERRADA"},0)
  =
  MATCH(_xlfn.XLOOKUP(INDEX($B:$B, (ROW()-2)),'Relacion '!$E:$E,'Relacion '!$D:$D,""),{"01. ASIGNACION AREA";"02. MAPEO";"03. DESARROLLO";"04. VALIDA US";"05. VOBO US";"06. BW-EJECUCION";"07. VALIDACIÓN BAJAWARE";"08. CERRADA"},0),
  _xlfn.XLOOKUP(INDEX($B:$B, (ROW()-2)),'Relacion '!$E:$E,'Relacion '!#REF!,0),
  0
 )
)</f>
        <v>#REF!</v>
      </c>
      <c r="I724" s="241">
        <f t="shared" ca="1" si="167"/>
        <v>1</v>
      </c>
      <c r="J724" s="241"/>
      <c r="K724" s="241"/>
      <c r="L724" s="238"/>
    </row>
    <row r="725" spans="2:12" outlineLevel="1">
      <c r="B725" s="237" t="s">
        <v>49</v>
      </c>
      <c r="C725" s="237" t="s">
        <v>49</v>
      </c>
      <c r="D725" s="238" t="str">
        <f>_xlfn.XLOOKUP(B725,'Relacion '!$E:$E,'Relacion '!$D:$D,"")</f>
        <v/>
      </c>
      <c r="E725" s="239">
        <f t="shared" si="168"/>
        <v>70</v>
      </c>
      <c r="F725" s="240" cm="1">
        <f t="array" ref="F725">MIN(INDEX('Relacion '!$AB$5:$AC$493,MATCH(INDEX($B:$B, (ROW()-3)),'Relacion '!$E$5:$E$493,0),0))</f>
        <v>46135</v>
      </c>
      <c r="G725" s="240" cm="1">
        <f t="array" ref="G725">MAX(INDEX('Relacion '!$AB$5:$AC$493,MATCH(INDEX($B:$B, (ROW()-3)),'Relacion '!$E$5:$E$493,0),0))</f>
        <v>46205</v>
      </c>
      <c r="H725" s="241" cm="1">
        <f t="array" ref="H725">IF(
 MATCH(B725,{"01. ASIGNACION AREA";"02. MAPEO";"03. DESARROLLO";"04. VALIDA US";"05. VOBO US";"06. BW-EJECUCION";"07. VALIDACIÓN BAJAWARE";"08. CERRADA"},0)
 &lt;
 MATCH(_xlfn.XLOOKUP(INDEX($B:$B, (ROW()-3)),'Relacion '!$E:$E,'Relacion '!$D:$D,""),{"01. ASIGNACION AREA";"02. MAPEO";"03. DESARROLLO";"04. VALIDA US";"05. VOBO US";"06. BW-EJECUCION";"07. VALIDACIÓN BAJAWARE";"08. CERRADA"},0),
 1,
 IF(
  MATCH(B725,{"01. ASIGNACION AREA";"02. MAPEO";"03. DESARROLLO";"04. VALIDA US";"05. VOBO US";"06. BW-EJECUCION";"07. VALIDACIÓN BAJAWARE";"08. CERRADA"},0)
  =
  MATCH(_xlfn.XLOOKUP(INDEX($B:$B, (ROW()-3)),'Relacion '!$E:$E,'Relacion '!$D:$D,""),{"01. ASIGNACION AREA";"02. MAPEO";"03. DESARROLLO";"04. VALIDA US";"05. VOBO US";"06. BW-EJECUCION";"07. VALIDACIÓN BAJAWARE";"08. CERRADA"},0),
  _xlfn.XLOOKUP(INDEX($B:$B, (ROW()-3)),'Relacion '!$E:$E,'Relacion '!#REF!,0),
  0
 )
)</f>
        <v>0</v>
      </c>
      <c r="I725" s="241">
        <f t="shared" ca="1" si="167"/>
        <v>0</v>
      </c>
      <c r="J725" s="241"/>
      <c r="K725" s="241"/>
      <c r="L725" s="238"/>
    </row>
    <row r="726" spans="2:12" outlineLevel="1">
      <c r="B726" s="237" t="s">
        <v>324</v>
      </c>
      <c r="C726" s="237" t="s">
        <v>324</v>
      </c>
      <c r="D726" s="238" t="str">
        <f>_xlfn.XLOOKUP(B726,'Relacion '!$E:$E,'Relacion '!$D:$D,"")</f>
        <v/>
      </c>
      <c r="E726" s="239">
        <f t="shared" si="168"/>
        <v>14</v>
      </c>
      <c r="F726" s="240" cm="1">
        <f t="array" ref="F726">MIN(INDEX('Relacion '!$AD$5:$AE$493,MATCH(INDEX($B:$B, (ROW()-4)),'Relacion '!$E$5:$E$493,0),0))</f>
        <v>46206</v>
      </c>
      <c r="G726" s="240" cm="1">
        <f t="array" ref="G726">MAX(INDEX('Relacion '!$AD$5:$AE$493,MATCH(INDEX($B:$B, (ROW()-4)),'Relacion '!$E$5:$E$493,0),0))</f>
        <v>46220</v>
      </c>
      <c r="H726" s="241" cm="1">
        <f t="array" ref="H726">IF(
 MATCH(B726,{"01. ASIGNACION AREA";"02. MAPEO";"03. DESARROLLO";"04. VALIDA US";"05. VOBO US";"06. BW-EJECUCION";"07. VALIDACIÓN BAJAWARE";"08. CERRADA"},0)
 &lt;
 MATCH(_xlfn.XLOOKUP(INDEX($B:$B, (ROW()-4)),'Relacion '!$E:$E,'Relacion '!$D:$D,""),{"01. ASIGNACION AREA";"02. MAPEO";"03. DESARROLLO";"04. VALIDA US";"05. VOBO US";"06. BW-EJECUCION";"07. VALIDACIÓN BAJAWARE";"08. CERRADA"},0),
 1,
 IF(
  MATCH(B726,{"01. ASIGNACION AREA";"02. MAPEO";"03. DESARROLLO";"04. VALIDA US";"05. VOBO US";"06. BW-EJECUCION";"07. VALIDACIÓN BAJAWARE";"08. CERRADA"},0)
  =
  MATCH(_xlfn.XLOOKUP(INDEX($B:$B, (ROW()-4)),'Relacion '!$E:$E,'Relacion '!$D:$D,""),{"01. ASIGNACION AREA";"02. MAPEO";"03. DESARROLLO";"04. VALIDA US";"05. VOBO US";"06. BW-EJECUCION";"07. VALIDACIÓN BAJAWARE";"08. CERRADA"},0),
  _xlfn.XLOOKUP(INDEX($B:$B, (ROW()-4)),'Relacion '!$E:$E,'Relacion '!#REF!,0),
  0
 )
)</f>
        <v>0</v>
      </c>
      <c r="I726" s="241">
        <f t="shared" ca="1" si="167"/>
        <v>0</v>
      </c>
      <c r="J726" s="241"/>
      <c r="K726" s="241"/>
      <c r="L726" s="238"/>
    </row>
    <row r="727" spans="2:12" outlineLevel="1">
      <c r="B727" s="237" t="s">
        <v>320</v>
      </c>
      <c r="C727" s="237" t="s">
        <v>320</v>
      </c>
      <c r="D727" s="238" t="str">
        <f>_xlfn.XLOOKUP(B727,'Relacion '!$E:$E,'Relacion '!$D:$D,"")</f>
        <v/>
      </c>
      <c r="E727" s="239">
        <f t="shared" si="168"/>
        <v>1</v>
      </c>
      <c r="F727" s="240" cm="1">
        <f t="array" ref="F727">MIN(INDEX('Relacion '!$AF$5:$AG$493,MATCH(INDEX($B:$B, (ROW()-5)),'Relacion '!$E$5:$E$493,0),0))</f>
        <v>46223</v>
      </c>
      <c r="G727" s="240" cm="1">
        <f t="array" ref="G727">MAX(INDEX('Relacion '!$AF$5:$AG$493,MATCH(INDEX($B:$B, (ROW()-5)),'Relacion '!$E$5:$E$493,0),0))</f>
        <v>46224</v>
      </c>
      <c r="H727" s="241" cm="1">
        <f t="array" ref="H727">IF(
 MATCH(B727,{"01. ASIGNACION AREA";"02. MAPEO";"03. DESARROLLO";"04. VALIDA US";"05. VOBO US";"06. BW-EJECUCION";"07. VALIDACIÓN BAJAWARE";"08. CERRADA"},0)
 &lt;
 MATCH(_xlfn.XLOOKUP(INDEX($B:$B, (ROW()-5)),'Relacion '!$E:$E,'Relacion '!$D:$D,""),{"01. ASIGNACION AREA";"02. MAPEO";"03. DESARROLLO";"04. VALIDA US";"05. VOBO US";"06. BW-EJECUCION";"07. VALIDACIÓN BAJAWARE";"08. CERRADA"},0),
 1,
 IF(
  MATCH(B727,{"01. ASIGNACION AREA";"02. MAPEO";"03. DESARROLLO";"04. VALIDA US";"05. VOBO US";"06. BW-EJECUCION";"07. VALIDACIÓN BAJAWARE";"08. CERRADA"},0)
  =
  MATCH(_xlfn.XLOOKUP(INDEX($B:$B, (ROW()-5)),'Relacion '!$E:$E,'Relacion '!$D:$D,""),{"01. ASIGNACION AREA";"02. MAPEO";"03. DESARROLLO";"04. VALIDA US";"05. VOBO US";"06. BW-EJECUCION";"07. VALIDACIÓN BAJAWARE";"08. CERRADA"},0),
  _xlfn.XLOOKUP(INDEX($B:$B, (ROW()-5)),'Relacion '!$E:$E,'Relacion '!#REF!,0),
  0
 )
)</f>
        <v>0</v>
      </c>
      <c r="I727" s="241">
        <f t="shared" ca="1" si="167"/>
        <v>0</v>
      </c>
      <c r="J727" s="241"/>
      <c r="K727" s="241"/>
      <c r="L727" s="238"/>
    </row>
    <row r="728" spans="2:12" outlineLevel="1">
      <c r="B728" s="237" t="s">
        <v>710</v>
      </c>
      <c r="C728" s="237" t="s">
        <v>710</v>
      </c>
      <c r="D728" s="238" t="str">
        <f>_xlfn.XLOOKUP(B728,'Relacion '!$E:$E,'Relacion '!$D:$D,"")</f>
        <v/>
      </c>
      <c r="E728" s="239">
        <f t="shared" si="168"/>
        <v>14</v>
      </c>
      <c r="F728" s="240" cm="1">
        <f t="array" ref="F728">MIN(INDEX('Relacion '!$AH$5:$AI$493,MATCH(INDEX($B:$B, (ROW()-6)),'Relacion '!$E$5:$E$493,0),0))</f>
        <v>46225</v>
      </c>
      <c r="G728" s="240" cm="1">
        <f t="array" ref="G728">MAX(INDEX('Relacion '!$AH$5:$AI$493,MATCH(INDEX($B:$B, (ROW()-6)),'Relacion '!$E$5:$E$493,0),0))</f>
        <v>46239</v>
      </c>
      <c r="H728" s="241" cm="1">
        <f t="array" ref="H728">IF(
 MATCH(B728,{"01. ASIGNACION AREA";"02. MAPEO";"03. DESARROLLO";"04. VALIDA US";"05. VOBO US";"06. BW-EJECUCION";"07. VALIDACIÓN BAJAWARE";"08. CERRADA"},0)
 &lt;
 MATCH(_xlfn.XLOOKUP(INDEX($B:$B, (ROW()-6)),'Relacion '!$E:$E,'Relacion '!$D:$D,""),{"01. ASIGNACION AREA";"02. MAPEO";"03. DESARROLLO";"04. VALIDA US";"05. VOBO US";"06. BW-EJECUCION";"07. VALIDACIÓN BAJAWARE";"08. CERRADA"},0),
 1,
 IF(
  MATCH(B728,{"01. ASIGNACION AREA";"02. MAPEO";"03. DESARROLLO";"04. VALIDA US";"05. VOBO US";"06. BW-EJECUCION";"07. VALIDACIÓN BAJAWARE";"08. CERRADA"},0)
  =
  MATCH(_xlfn.XLOOKUP(INDEX($B:$B, (ROW()-6)),'Relacion '!$E:$E,'Relacion '!$D:$D,""),{"01. ASIGNACION AREA";"02. MAPEO";"03. DESARROLLO";"04. VALIDA US";"05. VOBO US";"06. BW-EJECUCION";"07. VALIDACIÓN BAJAWARE";"08. CERRADA"},0),
  _xlfn.XLOOKUP(INDEX($B:$B, (ROW()-6)),'Relacion '!$E:$E,'Relacion '!#REF!,0),
  0
 )
)</f>
        <v>0</v>
      </c>
      <c r="I728" s="241">
        <f t="shared" ca="1" si="167"/>
        <v>0</v>
      </c>
      <c r="J728" s="241"/>
      <c r="K728" s="241"/>
      <c r="L728" s="238"/>
    </row>
    <row r="729" spans="2:12" outlineLevel="1">
      <c r="B729" s="237" t="s">
        <v>655</v>
      </c>
      <c r="C729" s="237" t="s">
        <v>655</v>
      </c>
      <c r="D729" s="238" t="str">
        <f>_xlfn.XLOOKUP(B729,'Relacion '!$E:$E,'Relacion '!$D:$D,"")</f>
        <v/>
      </c>
      <c r="E729" s="239">
        <f t="shared" si="168"/>
        <v>1</v>
      </c>
      <c r="F729" s="240" cm="1">
        <f t="array" ref="F729">MIN(INDEX('Relacion '!$AJ$5:$AK$493,MATCH(INDEX($B:$B, (ROW()-7)),'Relacion '!$E$5:$E$493,0),0))</f>
        <v>46239</v>
      </c>
      <c r="G729" s="240" cm="1">
        <f t="array" ref="G729">MAX(INDEX('Relacion '!$AJ$5:$AK$493,MATCH(INDEX($B:$B, (ROW()-7)),'Relacion '!$E$5:$E$493,0),0))</f>
        <v>46240</v>
      </c>
      <c r="H729" s="241" cm="1">
        <f t="array" ref="H729">IF(
 MATCH(B729,{"01. ASIGNACION AREA";"02. MAPEO";"03. DESARROLLO";"04. VALIDA US";"05. VOBO US";"06. BW-EJECUCION";"07. VALIDACIÓN BAJAWARE";"08. CERRADA"},0)
 &lt;
 MATCH(_xlfn.XLOOKUP(INDEX($B:$B, (ROW()-7)),'Relacion '!$E:$E,'Relacion '!$D:$D,""),{"01. ASIGNACION AREA";"02. MAPEO";"03. DESARROLLO";"04. VALIDA US";"05. VOBO US";"06. BW-EJECUCION";"07. VALIDACIÓN BAJAWARE";"08. CERRADA"},0),
 1,
 IF(
  MATCH(B729,{"01. ASIGNACION AREA";"02. MAPEO";"03. DESARROLLO";"04. VALIDA US";"05. VOBO US";"06. BW-EJECUCION";"07. VALIDACIÓN BAJAWARE";"08. CERRADA"},0)
  =
  MATCH(_xlfn.XLOOKUP(INDEX($B:$B, (ROW()-7)),'Relacion '!$E:$E,'Relacion '!$D:$D,""),{"01. ASIGNACION AREA";"02. MAPEO";"03. DESARROLLO";"04. VALIDA US";"05. VOBO US";"06. BW-EJECUCION";"07. VALIDACIÓN BAJAWARE";"08. CERRADA"},0),
  _xlfn.XLOOKUP(INDEX($B:$B, (ROW()-7)),'Relacion '!$E:$E,'Relacion '!#REF!,0),
  0
 )
)</f>
        <v>0</v>
      </c>
      <c r="I729" s="241">
        <f t="shared" ca="1" si="167"/>
        <v>0</v>
      </c>
      <c r="J729" s="241"/>
      <c r="K729" s="241"/>
      <c r="L729" s="238"/>
    </row>
    <row r="730" spans="2:12" outlineLevel="1">
      <c r="B730" s="237" t="s">
        <v>656</v>
      </c>
      <c r="C730" s="237" t="s">
        <v>656</v>
      </c>
      <c r="D730" s="238" t="str">
        <f>_xlfn.XLOOKUP(B730,'Relacion '!$E:$E,'Relacion '!$D:$D,"")</f>
        <v/>
      </c>
      <c r="E730" s="239">
        <f t="shared" si="168"/>
        <v>0</v>
      </c>
      <c r="F730" s="240" cm="1">
        <f t="array" ref="F730">MIN(INDEX('Relacion '!$AL$5:$AM$493,MATCH(INDEX($B:$B, (ROW()-8)),'Relacion '!$E$5:$E$493,0),0))</f>
        <v>46241</v>
      </c>
      <c r="G730" s="240" cm="1">
        <f t="array" ref="G730">MAX(INDEX('Relacion '!$AL$5:$AM$493,MATCH(INDEX($B:$B, (ROW()-8)),'Relacion '!$E$5:$E$493,0),0))</f>
        <v>46241</v>
      </c>
      <c r="H730" s="241" cm="1">
        <f t="array" ref="H730">IF(
 MATCH(B730,{"01. ASIGNACION AREA";"02. MAPEO";"03. DESARROLLO";"04. VALIDA US";"05. VOBO US";"06. BW-EJECUCION";"07. VALIDACIÓN BAJAWARE";"08. CERRADA"},0)
 &lt;
 MATCH(_xlfn.XLOOKUP(INDEX($B:$B, (ROW()-8)),'Relacion '!$E:$E,'Relacion '!$D:$D,""),{"01. ASIGNACION AREA";"02. MAPEO";"03. DESARROLLO";"04. VALIDA US";"05. VOBO US";"06. BW-EJECUCION";"07. VALIDACIÓN BAJAWARE";"08. CERRADA"},0),
 1,
 IF(
  MATCH(B730,{"01. ASIGNACION AREA";"02. MAPEO";"03. DESARROLLO";"04. VALIDA US";"05. VOBO US";"06. BW-EJECUCION";"07. VALIDACIÓN BAJAWARE";"08. CERRADA"},0)
  =
  MATCH(_xlfn.XLOOKUP(INDEX($B:$B, (ROW()-8)),'Relacion '!$E:$E,'Relacion '!$D:$D,""),{"01. ASIGNACION AREA";"02. MAPEO";"03. DESARROLLO";"04. VALIDA US";"05. VOBO US";"06. BW-EJECUCION";"07. VALIDACIÓN BAJAWARE";"08. CERRADA"},0),
  _xlfn.XLOOKUP(INDEX($B:$B, (ROW()-8)),'Relacion '!$E:$E,'Relacion '!#REF!,0),
  0
 )
)</f>
        <v>0</v>
      </c>
      <c r="I730" s="241">
        <f t="shared" ca="1" si="167"/>
        <v>0</v>
      </c>
      <c r="J730" s="241"/>
      <c r="K730" s="241"/>
      <c r="L730" s="238"/>
    </row>
    <row r="731" spans="2:12">
      <c r="B731" s="232" t="s">
        <v>509</v>
      </c>
      <c r="C731" s="167" t="s">
        <v>514</v>
      </c>
      <c r="D731" s="236" t="str">
        <f>_xlfn.XLOOKUP(B731,'Relacion '!$E:$E,'Relacion '!$D:$D,"")</f>
        <v>08. CERRADO</v>
      </c>
      <c r="E731" s="233">
        <f t="shared" si="168"/>
        <v>109</v>
      </c>
      <c r="F731" s="234" cm="1">
        <f t="array" ref="F731">MIN(INDEX('Relacion '!$X$5:$AM$493,MATCH(INDEX($B:$B, (ROW()-0)),'Relacion '!$E$5:$E$493,0),0))</f>
        <v>46056</v>
      </c>
      <c r="G731" s="234" cm="1">
        <f t="array" ref="G731">MAX(INDEX('Relacion '!$X$5:$AM$493,MATCH(INDEX($B:$B, (ROW()-0)),'Relacion '!$E$5:$E$493,0),0))</f>
        <v>46165</v>
      </c>
      <c r="H731" s="235" t="e">
        <f>AVERAGE(H732:H739)</f>
        <v>#N/A</v>
      </c>
      <c r="I731" s="235">
        <f t="shared" ref="I731" ca="1" si="173">AVERAGE(I732:I739)</f>
        <v>1</v>
      </c>
      <c r="J731" s="236" t="str">
        <f>IF(ISNUMBER(SEARCH("Rocha", _xlfn.XLOOKUP(B731,'Relacion '!$E:$E,'Relacion '!$I:$I,""))), "Sí", "No")</f>
        <v>No</v>
      </c>
      <c r="K731" s="236" t="str">
        <f>IF(ISNUMBER(SEARCH("Rocha", _xlfn.XLOOKUP(B731,'Relacion '!$E:$E,'Relacion '!$I:$I,""))), "RMC", _xlfn.XLOOKUP(B731,'Relacion '!$E:$E,'Relacion '!$B:$B,""))</f>
        <v>Riesgos</v>
      </c>
      <c r="L731" s="236" t="str">
        <f>_xlfn.XLOOKUP(B731,'Relacion '!$E:$E,'Relacion '!$C:$C,"")</f>
        <v>Homero Sanchez</v>
      </c>
    </row>
    <row r="732" spans="2:12" outlineLevel="1">
      <c r="B732" s="237" t="s">
        <v>654</v>
      </c>
      <c r="C732" s="237" t="s">
        <v>654</v>
      </c>
      <c r="D732" s="238" t="str">
        <f>_xlfn.XLOOKUP(B732,'Relacion '!$E:$E,'Relacion '!$D:$D,"")</f>
        <v/>
      </c>
      <c r="E732" s="239">
        <f t="shared" si="168"/>
        <v>3</v>
      </c>
      <c r="F732" s="240" cm="1">
        <f t="array" ref="F732">MIN(INDEX('Relacion '!$X$5:$Y$493,MATCH(INDEX($B:$B, (ROW()-1)),'Relacion '!$E$5:$E$493,0),0))</f>
        <v>46056</v>
      </c>
      <c r="G732" s="240" cm="1">
        <f t="array" ref="G732">MAX(INDEX('Relacion '!$X$5:$Y$493,MATCH(INDEX($B:$B, (ROW()-1)),'Relacion '!$E$5:$E$493,0),0))</f>
        <v>46059</v>
      </c>
      <c r="H732" s="241" t="e" cm="1">
        <f t="array" ref="H732">IF(
 MATCH(B732,{"01. ASIGNACION AREA";"02. MAPEO";"03. DESARROLLO";"04. VALIDA US";"05. VOBO US";"06. BW-EJECUCION";"07. VALIDACIÓN BAJAWARE";"08. CERRADA"},0)
 &lt;
 MATCH(_xlfn.XLOOKUP(INDEX($B:$B, (ROW()-1)),'Relacion '!$E:$E,'Relacion '!$D:$D,""),{"01. ASIGNACION AREA";"02. MAPEO";"03. DESARROLLO";"04. VALIDA US";"05. VOBO US";"06. BW-EJECUCION";"07. VALIDACIÓN BAJAWARE";"08. CERRADA"},0),
 1,
 IF(
  MATCH(B732,{"01. ASIGNACION AREA";"02. MAPEO";"03. DESARROLLO";"04. VALIDA US";"05. VOBO US";"06. BW-EJECUCION";"07. VALIDACIÓN BAJAWARE";"08. CERRADA"},0)
  =
  MATCH(_xlfn.XLOOKUP(INDEX($B:$B, (ROW()-1)),'Relacion '!$E:$E,'Relacion '!$D:$D,""),{"01. ASIGNACION AREA";"02. MAPEO";"03. DESARROLLO";"04. VALIDA US";"05. VOBO US";"06. BW-EJECUCION";"07. VALIDACIÓN BAJAWARE";"08. CERRADA"},0),
  _xlfn.XLOOKUP(INDEX($B:$B, (ROW()-1)),'Relacion '!$E:$E,'Relacion '!#REF!,0),
  0
 )
)</f>
        <v>#N/A</v>
      </c>
      <c r="I732" s="241">
        <f t="shared" ref="I732" ca="1" si="174">IF(G732&lt;=TODAY(), 1, 0)</f>
        <v>1</v>
      </c>
      <c r="J732" s="241"/>
      <c r="K732" s="241"/>
      <c r="L732" s="238"/>
    </row>
    <row r="733" spans="2:12" outlineLevel="1">
      <c r="B733" s="237" t="s">
        <v>195</v>
      </c>
      <c r="C733" s="237" t="s">
        <v>195</v>
      </c>
      <c r="D733" s="238" t="str">
        <f>_xlfn.XLOOKUP(B733,'Relacion '!$E:$E,'Relacion '!$D:$D,"")</f>
        <v/>
      </c>
      <c r="E733" s="239">
        <f t="shared" si="168"/>
        <v>18</v>
      </c>
      <c r="F733" s="240" cm="1">
        <f t="array" ref="F733">MIN(INDEX('Relacion '!$Z$5:$AA$493,MATCH(INDEX($B:$B, (ROW()-2)),'Relacion '!$E$5:$E$493,0),0))</f>
        <v>46062</v>
      </c>
      <c r="G733" s="240" cm="1">
        <f t="array" ref="G733">MAX(INDEX('Relacion '!$Z$5:$AA$493,MATCH(INDEX($B:$B, (ROW()-2)),'Relacion '!$E$5:$E$493,0),0))</f>
        <v>46080</v>
      </c>
      <c r="H733" s="241" t="e" cm="1">
        <f t="array" ref="H733">IF(
 MATCH(B733,{"01. ASIGNACION AREA";"02. MAPEO";"03. DESARROLLO";"04. VALIDA US";"05. VOBO US";"06. BW-EJECUCION";"07. VALIDACIÓN BAJAWARE";"08. CERRADA"},0)
 &lt;
 MATCH(_xlfn.XLOOKUP(INDEX($B:$B, (ROW()-2)),'Relacion '!$E:$E,'Relacion '!$D:$D,""),{"01. ASIGNACION AREA";"02. MAPEO";"03. DESARROLLO";"04. VALIDA US";"05. VOBO US";"06. BW-EJECUCION";"07. VALIDACIÓN BAJAWARE";"08. CERRADA"},0),
 1,
 IF(
  MATCH(B733,{"01. ASIGNACION AREA";"02. MAPEO";"03. DESARROLLO";"04. VALIDA US";"05. VOBO US";"06. BW-EJECUCION";"07. VALIDACIÓN BAJAWARE";"08. CERRADA"},0)
  =
  MATCH(_xlfn.XLOOKUP(INDEX($B:$B, (ROW()-2)),'Relacion '!$E:$E,'Relacion '!$D:$D,""),{"01. ASIGNACION AREA";"02. MAPEO";"03. DESARROLLO";"04. VALIDA US";"05. VOBO US";"06. BW-EJECUCION";"07. VALIDACIÓN BAJAWARE";"08. CERRADA"},0),
  _xlfn.XLOOKUP(INDEX($B:$B, (ROW()-2)),'Relacion '!$E:$E,'Relacion '!#REF!,0),
  0
 )
)</f>
        <v>#N/A</v>
      </c>
      <c r="I733" s="241">
        <f t="shared" ca="1" si="167"/>
        <v>1</v>
      </c>
      <c r="J733" s="241"/>
      <c r="K733" s="241"/>
      <c r="L733" s="238"/>
    </row>
    <row r="734" spans="2:12" outlineLevel="1">
      <c r="B734" s="237" t="s">
        <v>49</v>
      </c>
      <c r="C734" s="237" t="s">
        <v>49</v>
      </c>
      <c r="D734" s="238" t="str">
        <f>_xlfn.XLOOKUP(B734,'Relacion '!$E:$E,'Relacion '!$D:$D,"")</f>
        <v/>
      </c>
      <c r="E734" s="239">
        <f t="shared" si="168"/>
        <v>18</v>
      </c>
      <c r="F734" s="240" cm="1">
        <f t="array" ref="F734">MIN(INDEX('Relacion '!$AB$5:$AC$493,MATCH(INDEX($B:$B, (ROW()-3)),'Relacion '!$E$5:$E$493,0),0))</f>
        <v>46083</v>
      </c>
      <c r="G734" s="240" cm="1">
        <f t="array" ref="G734">MAX(INDEX('Relacion '!$AB$5:$AC$493,MATCH(INDEX($B:$B, (ROW()-3)),'Relacion '!$E$5:$E$493,0),0))</f>
        <v>46101</v>
      </c>
      <c r="H734" s="241" t="e" cm="1">
        <f t="array" ref="H734">IF(
 MATCH(B734,{"01. ASIGNACION AREA";"02. MAPEO";"03. DESARROLLO";"04. VALIDA US";"05. VOBO US";"06. BW-EJECUCION";"07. VALIDACIÓN BAJAWARE";"08. CERRADA"},0)
 &lt;
 MATCH(_xlfn.XLOOKUP(INDEX($B:$B, (ROW()-3)),'Relacion '!$E:$E,'Relacion '!$D:$D,""),{"01. ASIGNACION AREA";"02. MAPEO";"03. DESARROLLO";"04. VALIDA US";"05. VOBO US";"06. BW-EJECUCION";"07. VALIDACIÓN BAJAWARE";"08. CERRADA"},0),
 1,
 IF(
  MATCH(B734,{"01. ASIGNACION AREA";"02. MAPEO";"03. DESARROLLO";"04. VALIDA US";"05. VOBO US";"06. BW-EJECUCION";"07. VALIDACIÓN BAJAWARE";"08. CERRADA"},0)
  =
  MATCH(_xlfn.XLOOKUP(INDEX($B:$B, (ROW()-3)),'Relacion '!$E:$E,'Relacion '!$D:$D,""),{"01. ASIGNACION AREA";"02. MAPEO";"03. DESARROLLO";"04. VALIDA US";"05. VOBO US";"06. BW-EJECUCION";"07. VALIDACIÓN BAJAWARE";"08. CERRADA"},0),
  _xlfn.XLOOKUP(INDEX($B:$B, (ROW()-3)),'Relacion '!$E:$E,'Relacion '!#REF!,0),
  0
 )
)</f>
        <v>#N/A</v>
      </c>
      <c r="I734" s="241">
        <f t="shared" ca="1" si="167"/>
        <v>1</v>
      </c>
      <c r="J734" s="241"/>
      <c r="K734" s="241"/>
      <c r="L734" s="238"/>
    </row>
    <row r="735" spans="2:12" outlineLevel="1">
      <c r="B735" s="237" t="s">
        <v>324</v>
      </c>
      <c r="C735" s="237" t="s">
        <v>324</v>
      </c>
      <c r="D735" s="238" t="str">
        <f>_xlfn.XLOOKUP(B735,'Relacion '!$E:$E,'Relacion '!$D:$D,"")</f>
        <v/>
      </c>
      <c r="E735" s="239">
        <f t="shared" si="168"/>
        <v>18</v>
      </c>
      <c r="F735" s="240" cm="1">
        <f t="array" ref="F735">MIN(INDEX('Relacion '!$AD$5:$AE$493,MATCH(INDEX($B:$B, (ROW()-4)),'Relacion '!$E$5:$E$493,0),0))</f>
        <v>46104</v>
      </c>
      <c r="G735" s="240" cm="1">
        <f t="array" ref="G735">MAX(INDEX('Relacion '!$AD$5:$AE$493,MATCH(INDEX($B:$B, (ROW()-4)),'Relacion '!$E$5:$E$493,0),0))</f>
        <v>46122</v>
      </c>
      <c r="H735" s="241" t="e" cm="1">
        <f t="array" ref="H735">IF(
 MATCH(B735,{"01. ASIGNACION AREA";"02. MAPEO";"03. DESARROLLO";"04. VALIDA US";"05. VOBO US";"06. BW-EJECUCION";"07. VALIDACIÓN BAJAWARE";"08. CERRADA"},0)
 &lt;
 MATCH(_xlfn.XLOOKUP(INDEX($B:$B, (ROW()-4)),'Relacion '!$E:$E,'Relacion '!$D:$D,""),{"01. ASIGNACION AREA";"02. MAPEO";"03. DESARROLLO";"04. VALIDA US";"05. VOBO US";"06. BW-EJECUCION";"07. VALIDACIÓN BAJAWARE";"08. CERRADA"},0),
 1,
 IF(
  MATCH(B735,{"01. ASIGNACION AREA";"02. MAPEO";"03. DESARROLLO";"04. VALIDA US";"05. VOBO US";"06. BW-EJECUCION";"07. VALIDACIÓN BAJAWARE";"08. CERRADA"},0)
  =
  MATCH(_xlfn.XLOOKUP(INDEX($B:$B, (ROW()-4)),'Relacion '!$E:$E,'Relacion '!$D:$D,""),{"01. ASIGNACION AREA";"02. MAPEO";"03. DESARROLLO";"04. VALIDA US";"05. VOBO US";"06. BW-EJECUCION";"07. VALIDACIÓN BAJAWARE";"08. CERRADA"},0),
  _xlfn.XLOOKUP(INDEX($B:$B, (ROW()-4)),'Relacion '!$E:$E,'Relacion '!#REF!,0),
  0
 )
)</f>
        <v>#N/A</v>
      </c>
      <c r="I735" s="241">
        <f t="shared" ca="1" si="167"/>
        <v>1</v>
      </c>
      <c r="J735" s="241"/>
      <c r="K735" s="241"/>
      <c r="L735" s="238"/>
    </row>
    <row r="736" spans="2:12" outlineLevel="1">
      <c r="B736" s="237" t="s">
        <v>320</v>
      </c>
      <c r="C736" s="237" t="s">
        <v>320</v>
      </c>
      <c r="D736" s="238" t="str">
        <f>_xlfn.XLOOKUP(B736,'Relacion '!$E:$E,'Relacion '!$D:$D,"")</f>
        <v/>
      </c>
      <c r="E736" s="239">
        <f t="shared" si="168"/>
        <v>1</v>
      </c>
      <c r="F736" s="240" cm="1">
        <f t="array" ref="F736">MIN(INDEX('Relacion '!$AF$5:$AG$493,MATCH(INDEX($B:$B, (ROW()-5)),'Relacion '!$E$5:$E$493,0),0))</f>
        <v>46121</v>
      </c>
      <c r="G736" s="240" cm="1">
        <f t="array" ref="G736">MAX(INDEX('Relacion '!$AF$5:$AG$493,MATCH(INDEX($B:$B, (ROW()-5)),'Relacion '!$E$5:$E$493,0),0))</f>
        <v>46122</v>
      </c>
      <c r="H736" s="241" t="e" cm="1">
        <f t="array" ref="H736">IF(
 MATCH(B736,{"01. ASIGNACION AREA";"02. MAPEO";"03. DESARROLLO";"04. VALIDA US";"05. VOBO US";"06. BW-EJECUCION";"07. VALIDACIÓN BAJAWARE";"08. CERRADA"},0)
 &lt;
 MATCH(_xlfn.XLOOKUP(INDEX($B:$B, (ROW()-5)),'Relacion '!$E:$E,'Relacion '!$D:$D,""),{"01. ASIGNACION AREA";"02. MAPEO";"03. DESARROLLO";"04. VALIDA US";"05. VOBO US";"06. BW-EJECUCION";"07. VALIDACIÓN BAJAWARE";"08. CERRADA"},0),
 1,
 IF(
  MATCH(B736,{"01. ASIGNACION AREA";"02. MAPEO";"03. DESARROLLO";"04. VALIDA US";"05. VOBO US";"06. BW-EJECUCION";"07. VALIDACIÓN BAJAWARE";"08. CERRADA"},0)
  =
  MATCH(_xlfn.XLOOKUP(INDEX($B:$B, (ROW()-5)),'Relacion '!$E:$E,'Relacion '!$D:$D,""),{"01. ASIGNACION AREA";"02. MAPEO";"03. DESARROLLO";"04. VALIDA US";"05. VOBO US";"06. BW-EJECUCION";"07. VALIDACIÓN BAJAWARE";"08. CERRADA"},0),
  _xlfn.XLOOKUP(INDEX($B:$B, (ROW()-5)),'Relacion '!$E:$E,'Relacion '!#REF!,0),
  0
 )
)</f>
        <v>#N/A</v>
      </c>
      <c r="I736" s="241">
        <f t="shared" ca="1" si="167"/>
        <v>1</v>
      </c>
      <c r="J736" s="241"/>
      <c r="K736" s="241"/>
      <c r="L736" s="238"/>
    </row>
    <row r="737" spans="2:12" outlineLevel="1">
      <c r="B737" s="237" t="s">
        <v>710</v>
      </c>
      <c r="C737" s="237" t="s">
        <v>710</v>
      </c>
      <c r="D737" s="238" t="str">
        <f>_xlfn.XLOOKUP(B737,'Relacion '!$E:$E,'Relacion '!$D:$D,"")</f>
        <v/>
      </c>
      <c r="E737" s="239">
        <f t="shared" si="168"/>
        <v>18</v>
      </c>
      <c r="F737" s="240" cm="1">
        <f t="array" ref="F737">MIN(INDEX('Relacion '!$AH$5:$AI$493,MATCH(INDEX($B:$B, (ROW()-6)),'Relacion '!$E$5:$E$493,0),0))</f>
        <v>46125</v>
      </c>
      <c r="G737" s="240" cm="1">
        <f t="array" ref="G737">MAX(INDEX('Relacion '!$AH$5:$AI$493,MATCH(INDEX($B:$B, (ROW()-6)),'Relacion '!$E$5:$E$493,0),0))</f>
        <v>46143</v>
      </c>
      <c r="H737" s="241" t="e" cm="1">
        <f t="array" ref="H737">IF(
 MATCH(B737,{"01. ASIGNACION AREA";"02. MAPEO";"03. DESARROLLO";"04. VALIDA US";"05. VOBO US";"06. BW-EJECUCION";"07. VALIDACIÓN BAJAWARE";"08. CERRADA"},0)
 &lt;
 MATCH(_xlfn.XLOOKUP(INDEX($B:$B, (ROW()-6)),'Relacion '!$E:$E,'Relacion '!$D:$D,""),{"01. ASIGNACION AREA";"02. MAPEO";"03. DESARROLLO";"04. VALIDA US";"05. VOBO US";"06. BW-EJECUCION";"07. VALIDACIÓN BAJAWARE";"08. CERRADA"},0),
 1,
 IF(
  MATCH(B737,{"01. ASIGNACION AREA";"02. MAPEO";"03. DESARROLLO";"04. VALIDA US";"05. VOBO US";"06. BW-EJECUCION";"07. VALIDACIÓN BAJAWARE";"08. CERRADA"},0)
  =
  MATCH(_xlfn.XLOOKUP(INDEX($B:$B, (ROW()-6)),'Relacion '!$E:$E,'Relacion '!$D:$D,""),{"01. ASIGNACION AREA";"02. MAPEO";"03. DESARROLLO";"04. VALIDA US";"05. VOBO US";"06. BW-EJECUCION";"07. VALIDACIÓN BAJAWARE";"08. CERRADA"},0),
  _xlfn.XLOOKUP(INDEX($B:$B, (ROW()-6)),'Relacion '!$E:$E,'Relacion '!#REF!,0),
  0
 )
)</f>
        <v>#N/A</v>
      </c>
      <c r="I737" s="241">
        <f t="shared" ca="1" si="167"/>
        <v>1</v>
      </c>
      <c r="J737" s="241"/>
      <c r="K737" s="241"/>
      <c r="L737" s="238"/>
    </row>
    <row r="738" spans="2:12" outlineLevel="1">
      <c r="B738" s="237" t="s">
        <v>655</v>
      </c>
      <c r="C738" s="237" t="s">
        <v>655</v>
      </c>
      <c r="D738" s="238" t="str">
        <f>_xlfn.XLOOKUP(B738,'Relacion '!$E:$E,'Relacion '!$D:$D,"")</f>
        <v/>
      </c>
      <c r="E738" s="239">
        <f t="shared" si="168"/>
        <v>18</v>
      </c>
      <c r="F738" s="240" cm="1">
        <f t="array" ref="F738">MIN(INDEX('Relacion '!$AJ$5:$AK$493,MATCH(INDEX($B:$B, (ROW()-7)),'Relacion '!$E$5:$E$493,0),0))</f>
        <v>46146</v>
      </c>
      <c r="G738" s="240" cm="1">
        <f t="array" ref="G738">MAX(INDEX('Relacion '!$AJ$5:$AK$493,MATCH(INDEX($B:$B, (ROW()-7)),'Relacion '!$E$5:$E$493,0),0))</f>
        <v>46164</v>
      </c>
      <c r="H738" s="241" t="e" cm="1">
        <f t="array" ref="H738">IF(
 MATCH(B738,{"01. ASIGNACION AREA";"02. MAPEO";"03. DESARROLLO";"04. VALIDA US";"05. VOBO US";"06. BW-EJECUCION";"07. VALIDACIÓN BAJAWARE";"08. CERRADA"},0)
 &lt;
 MATCH(_xlfn.XLOOKUP(INDEX($B:$B, (ROW()-7)),'Relacion '!$E:$E,'Relacion '!$D:$D,""),{"01. ASIGNACION AREA";"02. MAPEO";"03. DESARROLLO";"04. VALIDA US";"05. VOBO US";"06. BW-EJECUCION";"07. VALIDACIÓN BAJAWARE";"08. CERRADA"},0),
 1,
 IF(
  MATCH(B738,{"01. ASIGNACION AREA";"02. MAPEO";"03. DESARROLLO";"04. VALIDA US";"05. VOBO US";"06. BW-EJECUCION";"07. VALIDACIÓN BAJAWARE";"08. CERRADA"},0)
  =
  MATCH(_xlfn.XLOOKUP(INDEX($B:$B, (ROW()-7)),'Relacion '!$E:$E,'Relacion '!$D:$D,""),{"01. ASIGNACION AREA";"02. MAPEO";"03. DESARROLLO";"04. VALIDA US";"05. VOBO US";"06. BW-EJECUCION";"07. VALIDACIÓN BAJAWARE";"08. CERRADA"},0),
  _xlfn.XLOOKUP(INDEX($B:$B, (ROW()-7)),'Relacion '!$E:$E,'Relacion '!#REF!,0),
  0
 )
)</f>
        <v>#N/A</v>
      </c>
      <c r="I738" s="241">
        <f t="shared" ca="1" si="167"/>
        <v>1</v>
      </c>
      <c r="J738" s="241"/>
      <c r="K738" s="241"/>
      <c r="L738" s="238"/>
    </row>
    <row r="739" spans="2:12" outlineLevel="1">
      <c r="B739" s="237" t="s">
        <v>656</v>
      </c>
      <c r="C739" s="237" t="s">
        <v>656</v>
      </c>
      <c r="D739" s="238" t="str">
        <f>_xlfn.XLOOKUP(B739,'Relacion '!$E:$E,'Relacion '!$D:$D,"")</f>
        <v/>
      </c>
      <c r="E739" s="239">
        <f t="shared" si="168"/>
        <v>0</v>
      </c>
      <c r="F739" s="240" cm="1">
        <f t="array" ref="F739">MIN(INDEX('Relacion '!$AL$5:$AM$493,MATCH(INDEX($B:$B, (ROW()-8)),'Relacion '!$E$5:$E$493,0),0))</f>
        <v>46165</v>
      </c>
      <c r="G739" s="240" cm="1">
        <f t="array" ref="G739">MAX(INDEX('Relacion '!$AL$5:$AM$493,MATCH(INDEX($B:$B, (ROW()-8)),'Relacion '!$E$5:$E$493,0),0))</f>
        <v>46165</v>
      </c>
      <c r="H739" s="241" t="e" cm="1">
        <f t="array" ref="H739">IF(
 MATCH(B739,{"01. ASIGNACION AREA";"02. MAPEO";"03. DESARROLLO";"04. VALIDA US";"05. VOBO US";"06. BW-EJECUCION";"07. VALIDACIÓN BAJAWARE";"08. CERRADA"},0)
 &lt;
 MATCH(_xlfn.XLOOKUP(INDEX($B:$B, (ROW()-8)),'Relacion '!$E:$E,'Relacion '!$D:$D,""),{"01. ASIGNACION AREA";"02. MAPEO";"03. DESARROLLO";"04. VALIDA US";"05. VOBO US";"06. BW-EJECUCION";"07. VALIDACIÓN BAJAWARE";"08. CERRADA"},0),
 1,
 IF(
  MATCH(B739,{"01. ASIGNACION AREA";"02. MAPEO";"03. DESARROLLO";"04. VALIDA US";"05. VOBO US";"06. BW-EJECUCION";"07. VALIDACIÓN BAJAWARE";"08. CERRADA"},0)
  =
  MATCH(_xlfn.XLOOKUP(INDEX($B:$B, (ROW()-8)),'Relacion '!$E:$E,'Relacion '!$D:$D,""),{"01. ASIGNACION AREA";"02. MAPEO";"03. DESARROLLO";"04. VALIDA US";"05. VOBO US";"06. BW-EJECUCION";"07. VALIDACIÓN BAJAWARE";"08. CERRADA"},0),
  _xlfn.XLOOKUP(INDEX($B:$B, (ROW()-8)),'Relacion '!$E:$E,'Relacion '!#REF!,0),
  0
 )
)</f>
        <v>#N/A</v>
      </c>
      <c r="I739" s="241">
        <f t="shared" ca="1" si="167"/>
        <v>1</v>
      </c>
      <c r="J739" s="241"/>
      <c r="K739" s="241"/>
      <c r="L739" s="238"/>
    </row>
    <row r="740" spans="2:12">
      <c r="B740" s="232" t="s">
        <v>510</v>
      </c>
      <c r="C740" s="137" t="s">
        <v>514</v>
      </c>
      <c r="D740" s="236" t="str">
        <f>_xlfn.XLOOKUP(B740,'Relacion '!$E:$E,'Relacion '!$D:$D,"")</f>
        <v>04. VALIDA US</v>
      </c>
      <c r="E740" s="233">
        <f t="shared" si="168"/>
        <v>109</v>
      </c>
      <c r="F740" s="234" cm="1">
        <f t="array" ref="F740">MIN(INDEX('Relacion '!$X$5:$AM$493,MATCH(INDEX($B:$B, (ROW()-0)),'Relacion '!$E$5:$E$493,0),0))</f>
        <v>46056</v>
      </c>
      <c r="G740" s="234" cm="1">
        <f t="array" ref="G740">MAX(INDEX('Relacion '!$X$5:$AM$493,MATCH(INDEX($B:$B, (ROW()-0)),'Relacion '!$E$5:$E$493,0),0))</f>
        <v>46165</v>
      </c>
      <c r="H740" s="235" t="e">
        <f>AVERAGE(H741:H748)</f>
        <v>#REF!</v>
      </c>
      <c r="I740" s="235">
        <f t="shared" ref="I740" ca="1" si="175">AVERAGE(I741:I748)</f>
        <v>1</v>
      </c>
      <c r="J740" s="236" t="str">
        <f>IF(ISNUMBER(SEARCH("Rocha", _xlfn.XLOOKUP(B740,'Relacion '!$E:$E,'Relacion '!$I:$I,""))), "Sí", "No")</f>
        <v>No</v>
      </c>
      <c r="K740" s="236" t="str">
        <f>IF(ISNUMBER(SEARCH("Rocha", _xlfn.XLOOKUP(B740,'Relacion '!$E:$E,'Relacion '!$I:$I,""))), "RMC", _xlfn.XLOOKUP(B740,'Relacion '!$E:$E,'Relacion '!$B:$B,""))</f>
        <v>Riesgos</v>
      </c>
      <c r="L740" s="236" t="str">
        <f>_xlfn.XLOOKUP(B740,'Relacion '!$E:$E,'Relacion '!$C:$C,"")</f>
        <v>Homero Sanchez</v>
      </c>
    </row>
    <row r="741" spans="2:12" outlineLevel="1">
      <c r="B741" s="237" t="s">
        <v>654</v>
      </c>
      <c r="C741" s="237" t="s">
        <v>654</v>
      </c>
      <c r="D741" s="238" t="str">
        <f>_xlfn.XLOOKUP(B741,'Relacion '!$E:$E,'Relacion '!$D:$D,"")</f>
        <v/>
      </c>
      <c r="E741" s="239">
        <f t="shared" si="168"/>
        <v>3</v>
      </c>
      <c r="F741" s="240" cm="1">
        <f t="array" ref="F741">MIN(INDEX('Relacion '!$X$5:$Y$493,MATCH(INDEX($B:$B, (ROW()-1)),'Relacion '!$E$5:$E$493,0),0))</f>
        <v>46056</v>
      </c>
      <c r="G741" s="240" cm="1">
        <f t="array" ref="G741">MAX(INDEX('Relacion '!$X$5:$Y$493,MATCH(INDEX($B:$B, (ROW()-1)),'Relacion '!$E$5:$E$493,0),0))</f>
        <v>46059</v>
      </c>
      <c r="H741" s="241" cm="1">
        <f t="array" ref="H741">IF(
 MATCH(B741,{"01. ASIGNACION AREA";"02. MAPEO";"03. DESARROLLO";"04. VALIDA US";"05. VOBO US";"06. BW-EJECUCION";"07. VALIDACIÓN BAJAWARE";"08. CERRADA"},0)
 &lt;
 MATCH(_xlfn.XLOOKUP(INDEX($B:$B, (ROW()-1)),'Relacion '!$E:$E,'Relacion '!$D:$D,""),{"01. ASIGNACION AREA";"02. MAPEO";"03. DESARROLLO";"04. VALIDA US";"05. VOBO US";"06. BW-EJECUCION";"07. VALIDACIÓN BAJAWARE";"08. CERRADA"},0),
 1,
 IF(
  MATCH(B741,{"01. ASIGNACION AREA";"02. MAPEO";"03. DESARROLLO";"04. VALIDA US";"05. VOBO US";"06. BW-EJECUCION";"07. VALIDACIÓN BAJAWARE";"08. CERRADA"},0)
  =
  MATCH(_xlfn.XLOOKUP(INDEX($B:$B, (ROW()-1)),'Relacion '!$E:$E,'Relacion '!$D:$D,""),{"01. ASIGNACION AREA";"02. MAPEO";"03. DESARROLLO";"04. VALIDA US";"05. VOBO US";"06. BW-EJECUCION";"07. VALIDACIÓN BAJAWARE";"08. CERRADA"},0),
  _xlfn.XLOOKUP(INDEX($B:$B, (ROW()-1)),'Relacion '!$E:$E,'Relacion '!#REF!,0),
  0
 )
)</f>
        <v>1</v>
      </c>
      <c r="I741" s="241">
        <f t="shared" ref="I741" ca="1" si="176">IF(G741&lt;=TODAY(), 1, 0)</f>
        <v>1</v>
      </c>
      <c r="J741" s="241"/>
      <c r="K741" s="241"/>
      <c r="L741" s="238"/>
    </row>
    <row r="742" spans="2:12" outlineLevel="1">
      <c r="B742" s="237" t="s">
        <v>195</v>
      </c>
      <c r="C742" s="237" t="s">
        <v>195</v>
      </c>
      <c r="D742" s="238" t="str">
        <f>_xlfn.XLOOKUP(B742,'Relacion '!$E:$E,'Relacion '!$D:$D,"")</f>
        <v/>
      </c>
      <c r="E742" s="239">
        <f t="shared" si="168"/>
        <v>18</v>
      </c>
      <c r="F742" s="240" cm="1">
        <f t="array" ref="F742">MIN(INDEX('Relacion '!$Z$5:$AA$493,MATCH(INDEX($B:$B, (ROW()-2)),'Relacion '!$E$5:$E$493,0),0))</f>
        <v>46062</v>
      </c>
      <c r="G742" s="240" cm="1">
        <f t="array" ref="G742">MAX(INDEX('Relacion '!$Z$5:$AA$493,MATCH(INDEX($B:$B, (ROW()-2)),'Relacion '!$E$5:$E$493,0),0))</f>
        <v>46080</v>
      </c>
      <c r="H742" s="241" cm="1">
        <f t="array" ref="H742">IF(
 MATCH(B742,{"01. ASIGNACION AREA";"02. MAPEO";"03. DESARROLLO";"04. VALIDA US";"05. VOBO US";"06. BW-EJECUCION";"07. VALIDACIÓN BAJAWARE";"08. CERRADA"},0)
 &lt;
 MATCH(_xlfn.XLOOKUP(INDEX($B:$B, (ROW()-2)),'Relacion '!$E:$E,'Relacion '!$D:$D,""),{"01. ASIGNACION AREA";"02. MAPEO";"03. DESARROLLO";"04. VALIDA US";"05. VOBO US";"06. BW-EJECUCION";"07. VALIDACIÓN BAJAWARE";"08. CERRADA"},0),
 1,
 IF(
  MATCH(B742,{"01. ASIGNACION AREA";"02. MAPEO";"03. DESARROLLO";"04. VALIDA US";"05. VOBO US";"06. BW-EJECUCION";"07. VALIDACIÓN BAJAWARE";"08. CERRADA"},0)
  =
  MATCH(_xlfn.XLOOKUP(INDEX($B:$B, (ROW()-2)),'Relacion '!$E:$E,'Relacion '!$D:$D,""),{"01. ASIGNACION AREA";"02. MAPEO";"03. DESARROLLO";"04. VALIDA US";"05. VOBO US";"06. BW-EJECUCION";"07. VALIDACIÓN BAJAWARE";"08. CERRADA"},0),
  _xlfn.XLOOKUP(INDEX($B:$B, (ROW()-2)),'Relacion '!$E:$E,'Relacion '!#REF!,0),
  0
 )
)</f>
        <v>1</v>
      </c>
      <c r="I742" s="241">
        <f t="shared" ca="1" si="167"/>
        <v>1</v>
      </c>
      <c r="J742" s="241"/>
      <c r="K742" s="241"/>
      <c r="L742" s="238"/>
    </row>
    <row r="743" spans="2:12" outlineLevel="1">
      <c r="B743" s="237" t="s">
        <v>49</v>
      </c>
      <c r="C743" s="237" t="s">
        <v>49</v>
      </c>
      <c r="D743" s="238" t="str">
        <f>_xlfn.XLOOKUP(B743,'Relacion '!$E:$E,'Relacion '!$D:$D,"")</f>
        <v/>
      </c>
      <c r="E743" s="239">
        <f t="shared" si="168"/>
        <v>18</v>
      </c>
      <c r="F743" s="240" cm="1">
        <f t="array" ref="F743">MIN(INDEX('Relacion '!$AB$5:$AC$493,MATCH(INDEX($B:$B, (ROW()-3)),'Relacion '!$E$5:$E$493,0),0))</f>
        <v>46083</v>
      </c>
      <c r="G743" s="240" cm="1">
        <f t="array" ref="G743">MAX(INDEX('Relacion '!$AB$5:$AC$493,MATCH(INDEX($B:$B, (ROW()-3)),'Relacion '!$E$5:$E$493,0),0))</f>
        <v>46101</v>
      </c>
      <c r="H743" s="241" cm="1">
        <f t="array" ref="H743">IF(
 MATCH(B743,{"01. ASIGNACION AREA";"02. MAPEO";"03. DESARROLLO";"04. VALIDA US";"05. VOBO US";"06. BW-EJECUCION";"07. VALIDACIÓN BAJAWARE";"08. CERRADA"},0)
 &lt;
 MATCH(_xlfn.XLOOKUP(INDEX($B:$B, (ROW()-3)),'Relacion '!$E:$E,'Relacion '!$D:$D,""),{"01. ASIGNACION AREA";"02. MAPEO";"03. DESARROLLO";"04. VALIDA US";"05. VOBO US";"06. BW-EJECUCION";"07. VALIDACIÓN BAJAWARE";"08. CERRADA"},0),
 1,
 IF(
  MATCH(B743,{"01. ASIGNACION AREA";"02. MAPEO";"03. DESARROLLO";"04. VALIDA US";"05. VOBO US";"06. BW-EJECUCION";"07. VALIDACIÓN BAJAWARE";"08. CERRADA"},0)
  =
  MATCH(_xlfn.XLOOKUP(INDEX($B:$B, (ROW()-3)),'Relacion '!$E:$E,'Relacion '!$D:$D,""),{"01. ASIGNACION AREA";"02. MAPEO";"03. DESARROLLO";"04. VALIDA US";"05. VOBO US";"06. BW-EJECUCION";"07. VALIDACIÓN BAJAWARE";"08. CERRADA"},0),
  _xlfn.XLOOKUP(INDEX($B:$B, (ROW()-3)),'Relacion '!$E:$E,'Relacion '!#REF!,0),
  0
 )
)</f>
        <v>1</v>
      </c>
      <c r="I743" s="241">
        <f t="shared" ca="1" si="167"/>
        <v>1</v>
      </c>
      <c r="J743" s="241"/>
      <c r="K743" s="241"/>
      <c r="L743" s="238"/>
    </row>
    <row r="744" spans="2:12" outlineLevel="1">
      <c r="B744" s="237" t="s">
        <v>324</v>
      </c>
      <c r="C744" s="237" t="s">
        <v>324</v>
      </c>
      <c r="D744" s="238" t="str">
        <f>_xlfn.XLOOKUP(B744,'Relacion '!$E:$E,'Relacion '!$D:$D,"")</f>
        <v/>
      </c>
      <c r="E744" s="239">
        <f t="shared" si="168"/>
        <v>18</v>
      </c>
      <c r="F744" s="240" cm="1">
        <f t="array" ref="F744">MIN(INDEX('Relacion '!$AD$5:$AE$493,MATCH(INDEX($B:$B, (ROW()-4)),'Relacion '!$E$5:$E$493,0),0))</f>
        <v>46104</v>
      </c>
      <c r="G744" s="240" cm="1">
        <f t="array" ref="G744">MAX(INDEX('Relacion '!$AD$5:$AE$493,MATCH(INDEX($B:$B, (ROW()-4)),'Relacion '!$E$5:$E$493,0),0))</f>
        <v>46122</v>
      </c>
      <c r="H744" s="241" t="e" cm="1">
        <f t="array" ref="H744">IF(
 MATCH(B744,{"01. ASIGNACION AREA";"02. MAPEO";"03. DESARROLLO";"04. VALIDA US";"05. VOBO US";"06. BW-EJECUCION";"07. VALIDACIÓN BAJAWARE";"08. CERRADA"},0)
 &lt;
 MATCH(_xlfn.XLOOKUP(INDEX($B:$B, (ROW()-4)),'Relacion '!$E:$E,'Relacion '!$D:$D,""),{"01. ASIGNACION AREA";"02. MAPEO";"03. DESARROLLO";"04. VALIDA US";"05. VOBO US";"06. BW-EJECUCION";"07. VALIDACIÓN BAJAWARE";"08. CERRADA"},0),
 1,
 IF(
  MATCH(B744,{"01. ASIGNACION AREA";"02. MAPEO";"03. DESARROLLO";"04. VALIDA US";"05. VOBO US";"06. BW-EJECUCION";"07. VALIDACIÓN BAJAWARE";"08. CERRADA"},0)
  =
  MATCH(_xlfn.XLOOKUP(INDEX($B:$B, (ROW()-4)),'Relacion '!$E:$E,'Relacion '!$D:$D,""),{"01. ASIGNACION AREA";"02. MAPEO";"03. DESARROLLO";"04. VALIDA US";"05. VOBO US";"06. BW-EJECUCION";"07. VALIDACIÓN BAJAWARE";"08. CERRADA"},0),
  _xlfn.XLOOKUP(INDEX($B:$B, (ROW()-4)),'Relacion '!$E:$E,'Relacion '!#REF!,0),
  0
 )
)</f>
        <v>#REF!</v>
      </c>
      <c r="I744" s="241">
        <f t="shared" ca="1" si="167"/>
        <v>1</v>
      </c>
      <c r="J744" s="241"/>
      <c r="K744" s="241"/>
      <c r="L744" s="238"/>
    </row>
    <row r="745" spans="2:12" outlineLevel="1">
      <c r="B745" s="237" t="s">
        <v>320</v>
      </c>
      <c r="C745" s="237" t="s">
        <v>320</v>
      </c>
      <c r="D745" s="238" t="str">
        <f>_xlfn.XLOOKUP(B745,'Relacion '!$E:$E,'Relacion '!$D:$D,"")</f>
        <v/>
      </c>
      <c r="E745" s="239">
        <f t="shared" si="168"/>
        <v>1</v>
      </c>
      <c r="F745" s="240" cm="1">
        <f t="array" ref="F745">MIN(INDEX('Relacion '!$AF$5:$AG$493,MATCH(INDEX($B:$B, (ROW()-5)),'Relacion '!$E$5:$E$493,0),0))</f>
        <v>46121</v>
      </c>
      <c r="G745" s="240" cm="1">
        <f t="array" ref="G745">MAX(INDEX('Relacion '!$AF$5:$AG$493,MATCH(INDEX($B:$B, (ROW()-5)),'Relacion '!$E$5:$E$493,0),0))</f>
        <v>46122</v>
      </c>
      <c r="H745" s="241" cm="1">
        <f t="array" ref="H745">IF(
 MATCH(B745,{"01. ASIGNACION AREA";"02. MAPEO";"03. DESARROLLO";"04. VALIDA US";"05. VOBO US";"06. BW-EJECUCION";"07. VALIDACIÓN BAJAWARE";"08. CERRADA"},0)
 &lt;
 MATCH(_xlfn.XLOOKUP(INDEX($B:$B, (ROW()-5)),'Relacion '!$E:$E,'Relacion '!$D:$D,""),{"01. ASIGNACION AREA";"02. MAPEO";"03. DESARROLLO";"04. VALIDA US";"05. VOBO US";"06. BW-EJECUCION";"07. VALIDACIÓN BAJAWARE";"08. CERRADA"},0),
 1,
 IF(
  MATCH(B745,{"01. ASIGNACION AREA";"02. MAPEO";"03. DESARROLLO";"04. VALIDA US";"05. VOBO US";"06. BW-EJECUCION";"07. VALIDACIÓN BAJAWARE";"08. CERRADA"},0)
  =
  MATCH(_xlfn.XLOOKUP(INDEX($B:$B, (ROW()-5)),'Relacion '!$E:$E,'Relacion '!$D:$D,""),{"01. ASIGNACION AREA";"02. MAPEO";"03. DESARROLLO";"04. VALIDA US";"05. VOBO US";"06. BW-EJECUCION";"07. VALIDACIÓN BAJAWARE";"08. CERRADA"},0),
  _xlfn.XLOOKUP(INDEX($B:$B, (ROW()-5)),'Relacion '!$E:$E,'Relacion '!#REF!,0),
  0
 )
)</f>
        <v>0</v>
      </c>
      <c r="I745" s="241">
        <f t="shared" ca="1" si="167"/>
        <v>1</v>
      </c>
      <c r="J745" s="241"/>
      <c r="K745" s="241"/>
      <c r="L745" s="238"/>
    </row>
    <row r="746" spans="2:12" outlineLevel="1">
      <c r="B746" s="237" t="s">
        <v>710</v>
      </c>
      <c r="C746" s="237" t="s">
        <v>710</v>
      </c>
      <c r="D746" s="238" t="str">
        <f>_xlfn.XLOOKUP(B746,'Relacion '!$E:$E,'Relacion '!$D:$D,"")</f>
        <v/>
      </c>
      <c r="E746" s="239">
        <f t="shared" si="168"/>
        <v>18</v>
      </c>
      <c r="F746" s="240" cm="1">
        <f t="array" ref="F746">MIN(INDEX('Relacion '!$AH$5:$AI$493,MATCH(INDEX($B:$B, (ROW()-6)),'Relacion '!$E$5:$E$493,0),0))</f>
        <v>46125</v>
      </c>
      <c r="G746" s="240" cm="1">
        <f t="array" ref="G746">MAX(INDEX('Relacion '!$AH$5:$AI$493,MATCH(INDEX($B:$B, (ROW()-6)),'Relacion '!$E$5:$E$493,0),0))</f>
        <v>46143</v>
      </c>
      <c r="H746" s="241" cm="1">
        <f t="array" ref="H746">IF(
 MATCH(B746,{"01. ASIGNACION AREA";"02. MAPEO";"03. DESARROLLO";"04. VALIDA US";"05. VOBO US";"06. BW-EJECUCION";"07. VALIDACIÓN BAJAWARE";"08. CERRADA"},0)
 &lt;
 MATCH(_xlfn.XLOOKUP(INDEX($B:$B, (ROW()-6)),'Relacion '!$E:$E,'Relacion '!$D:$D,""),{"01. ASIGNACION AREA";"02. MAPEO";"03. DESARROLLO";"04. VALIDA US";"05. VOBO US";"06. BW-EJECUCION";"07. VALIDACIÓN BAJAWARE";"08. CERRADA"},0),
 1,
 IF(
  MATCH(B746,{"01. ASIGNACION AREA";"02. MAPEO";"03. DESARROLLO";"04. VALIDA US";"05. VOBO US";"06. BW-EJECUCION";"07. VALIDACIÓN BAJAWARE";"08. CERRADA"},0)
  =
  MATCH(_xlfn.XLOOKUP(INDEX($B:$B, (ROW()-6)),'Relacion '!$E:$E,'Relacion '!$D:$D,""),{"01. ASIGNACION AREA";"02. MAPEO";"03. DESARROLLO";"04. VALIDA US";"05. VOBO US";"06. BW-EJECUCION";"07. VALIDACIÓN BAJAWARE";"08. CERRADA"},0),
  _xlfn.XLOOKUP(INDEX($B:$B, (ROW()-6)),'Relacion '!$E:$E,'Relacion '!#REF!,0),
  0
 )
)</f>
        <v>0</v>
      </c>
      <c r="I746" s="241">
        <f t="shared" ca="1" si="167"/>
        <v>1</v>
      </c>
      <c r="J746" s="241"/>
      <c r="K746" s="241"/>
      <c r="L746" s="238"/>
    </row>
    <row r="747" spans="2:12" outlineLevel="1">
      <c r="B747" s="237" t="s">
        <v>655</v>
      </c>
      <c r="C747" s="237" t="s">
        <v>655</v>
      </c>
      <c r="D747" s="238" t="str">
        <f>_xlfn.XLOOKUP(B747,'Relacion '!$E:$E,'Relacion '!$D:$D,"")</f>
        <v/>
      </c>
      <c r="E747" s="239">
        <f t="shared" si="168"/>
        <v>18</v>
      </c>
      <c r="F747" s="240" cm="1">
        <f t="array" ref="F747">MIN(INDEX('Relacion '!$AJ$5:$AK$493,MATCH(INDEX($B:$B, (ROW()-7)),'Relacion '!$E$5:$E$493,0),0))</f>
        <v>46146</v>
      </c>
      <c r="G747" s="240" cm="1">
        <f t="array" ref="G747">MAX(INDEX('Relacion '!$AJ$5:$AK$493,MATCH(INDEX($B:$B, (ROW()-7)),'Relacion '!$E$5:$E$493,0),0))</f>
        <v>46164</v>
      </c>
      <c r="H747" s="241" cm="1">
        <f t="array" ref="H747">IF(
 MATCH(B747,{"01. ASIGNACION AREA";"02. MAPEO";"03. DESARROLLO";"04. VALIDA US";"05. VOBO US";"06. BW-EJECUCION";"07. VALIDACIÓN BAJAWARE";"08. CERRADA"},0)
 &lt;
 MATCH(_xlfn.XLOOKUP(INDEX($B:$B, (ROW()-7)),'Relacion '!$E:$E,'Relacion '!$D:$D,""),{"01. ASIGNACION AREA";"02. MAPEO";"03. DESARROLLO";"04. VALIDA US";"05. VOBO US";"06. BW-EJECUCION";"07. VALIDACIÓN BAJAWARE";"08. CERRADA"},0),
 1,
 IF(
  MATCH(B747,{"01. ASIGNACION AREA";"02. MAPEO";"03. DESARROLLO";"04. VALIDA US";"05. VOBO US";"06. BW-EJECUCION";"07. VALIDACIÓN BAJAWARE";"08. CERRADA"},0)
  =
  MATCH(_xlfn.XLOOKUP(INDEX($B:$B, (ROW()-7)),'Relacion '!$E:$E,'Relacion '!$D:$D,""),{"01. ASIGNACION AREA";"02. MAPEO";"03. DESARROLLO";"04. VALIDA US";"05. VOBO US";"06. BW-EJECUCION";"07. VALIDACIÓN BAJAWARE";"08. CERRADA"},0),
  _xlfn.XLOOKUP(INDEX($B:$B, (ROW()-7)),'Relacion '!$E:$E,'Relacion '!#REF!,0),
  0
 )
)</f>
        <v>0</v>
      </c>
      <c r="I747" s="241">
        <f t="shared" ca="1" si="167"/>
        <v>1</v>
      </c>
      <c r="J747" s="241"/>
      <c r="K747" s="241"/>
      <c r="L747" s="238"/>
    </row>
    <row r="748" spans="2:12" outlineLevel="1">
      <c r="B748" s="237" t="s">
        <v>656</v>
      </c>
      <c r="C748" s="237" t="s">
        <v>656</v>
      </c>
      <c r="D748" s="238" t="str">
        <f>_xlfn.XLOOKUP(B748,'Relacion '!$E:$E,'Relacion '!$D:$D,"")</f>
        <v/>
      </c>
      <c r="E748" s="239">
        <f t="shared" si="168"/>
        <v>0</v>
      </c>
      <c r="F748" s="240" cm="1">
        <f t="array" ref="F748">MIN(INDEX('Relacion '!$AL$5:$AM$493,MATCH(INDEX($B:$B, (ROW()-8)),'Relacion '!$E$5:$E$493,0),0))</f>
        <v>46165</v>
      </c>
      <c r="G748" s="240" cm="1">
        <f t="array" ref="G748">MAX(INDEX('Relacion '!$AL$5:$AM$493,MATCH(INDEX($B:$B, (ROW()-8)),'Relacion '!$E$5:$E$493,0),0))</f>
        <v>46165</v>
      </c>
      <c r="H748" s="241" cm="1">
        <f t="array" ref="H748">IF(
 MATCH(B748,{"01. ASIGNACION AREA";"02. MAPEO";"03. DESARROLLO";"04. VALIDA US";"05. VOBO US";"06. BW-EJECUCION";"07. VALIDACIÓN BAJAWARE";"08. CERRADA"},0)
 &lt;
 MATCH(_xlfn.XLOOKUP(INDEX($B:$B, (ROW()-8)),'Relacion '!$E:$E,'Relacion '!$D:$D,""),{"01. ASIGNACION AREA";"02. MAPEO";"03. DESARROLLO";"04. VALIDA US";"05. VOBO US";"06. BW-EJECUCION";"07. VALIDACIÓN BAJAWARE";"08. CERRADA"},0),
 1,
 IF(
  MATCH(B748,{"01. ASIGNACION AREA";"02. MAPEO";"03. DESARROLLO";"04. VALIDA US";"05. VOBO US";"06. BW-EJECUCION";"07. VALIDACIÓN BAJAWARE";"08. CERRADA"},0)
  =
  MATCH(_xlfn.XLOOKUP(INDEX($B:$B, (ROW()-8)),'Relacion '!$E:$E,'Relacion '!$D:$D,""),{"01. ASIGNACION AREA";"02. MAPEO";"03. DESARROLLO";"04. VALIDA US";"05. VOBO US";"06. BW-EJECUCION";"07. VALIDACIÓN BAJAWARE";"08. CERRADA"},0),
  _xlfn.XLOOKUP(INDEX($B:$B, (ROW()-8)),'Relacion '!$E:$E,'Relacion '!#REF!,0),
  0
 )
)</f>
        <v>0</v>
      </c>
      <c r="I748" s="241">
        <f t="shared" ca="1" si="167"/>
        <v>1</v>
      </c>
      <c r="J748" s="241"/>
      <c r="K748" s="241"/>
      <c r="L748" s="238"/>
    </row>
    <row r="749" spans="2:12" ht="30">
      <c r="B749" s="232" t="s">
        <v>511</v>
      </c>
      <c r="C749" s="167" t="s">
        <v>508</v>
      </c>
      <c r="D749" s="236" t="str">
        <f>_xlfn.XLOOKUP(B749,'Relacion '!$E:$E,'Relacion '!$D:$D,"")</f>
        <v>06. BW-EJECUCION</v>
      </c>
      <c r="E749" s="233">
        <f t="shared" si="168"/>
        <v>99</v>
      </c>
      <c r="F749" s="234" cm="1">
        <f t="array" ref="F749">MIN(INDEX('Relacion '!$X$5:$AM$493,MATCH(INDEX($B:$B, (ROW()-0)),'Relacion '!$E$5:$E$493,0),0))</f>
        <v>46024</v>
      </c>
      <c r="G749" s="234" cm="1">
        <f t="array" ref="G749">MAX(INDEX('Relacion '!$X$5:$AM$493,MATCH(INDEX($B:$B, (ROW()-0)),'Relacion '!$E$5:$E$493,0),0))</f>
        <v>46123</v>
      </c>
      <c r="H749" s="235" t="e">
        <f>AVERAGE(H750:H757)</f>
        <v>#REF!</v>
      </c>
      <c r="I749" s="235">
        <f t="shared" ref="I749" ca="1" si="177">AVERAGE(I750:I757)</f>
        <v>1</v>
      </c>
      <c r="J749" s="236" t="str">
        <f>IF(ISNUMBER(SEARCH("Rocha", _xlfn.XLOOKUP(B749,'Relacion '!$E:$E,'Relacion '!$I:$I,""))), "Sí", "No")</f>
        <v>No</v>
      </c>
      <c r="K749" s="236" t="str">
        <f>IF(ISNUMBER(SEARCH("Rocha", _xlfn.XLOOKUP(B749,'Relacion '!$E:$E,'Relacion '!$I:$I,""))), "RMC", _xlfn.XLOOKUP(B749,'Relacion '!$E:$E,'Relacion '!$B:$B,""))</f>
        <v>Riesgos</v>
      </c>
      <c r="L749" s="236" t="str">
        <f>_xlfn.XLOOKUP(B749,'Relacion '!$E:$E,'Relacion '!$C:$C,"")</f>
        <v>Homero Sanchez</v>
      </c>
    </row>
    <row r="750" spans="2:12" outlineLevel="1">
      <c r="B750" s="237" t="s">
        <v>654</v>
      </c>
      <c r="C750" s="237" t="s">
        <v>654</v>
      </c>
      <c r="D750" s="238" t="str">
        <f>_xlfn.XLOOKUP(B750,'Relacion '!$E:$E,'Relacion '!$D:$D,"")</f>
        <v/>
      </c>
      <c r="E750" s="239">
        <f t="shared" si="168"/>
        <v>59</v>
      </c>
      <c r="F750" s="240" cm="1">
        <f t="array" ref="F750">MIN(INDEX('Relacion '!$X$5:$Y$493,MATCH(INDEX($B:$B, (ROW()-1)),'Relacion '!$E$5:$E$493,0),0))</f>
        <v>46024</v>
      </c>
      <c r="G750" s="240" cm="1">
        <f t="array" ref="G750">MAX(INDEX('Relacion '!$X$5:$Y$493,MATCH(INDEX($B:$B, (ROW()-1)),'Relacion '!$E$5:$E$493,0),0))</f>
        <v>46083</v>
      </c>
      <c r="H750" s="241" cm="1">
        <f t="array" ref="H750">IF(
 MATCH(B750,{"01. ASIGNACION AREA";"02. MAPEO";"03. DESARROLLO";"04. VALIDA US";"05. VOBO US";"06. BW-EJECUCION";"07. VALIDACIÓN BAJAWARE";"08. CERRADA"},0)
 &lt;
 MATCH(_xlfn.XLOOKUP(INDEX($B:$B, (ROW()-1)),'Relacion '!$E:$E,'Relacion '!$D:$D,""),{"01. ASIGNACION AREA";"02. MAPEO";"03. DESARROLLO";"04. VALIDA US";"05. VOBO US";"06. BW-EJECUCION";"07. VALIDACIÓN BAJAWARE";"08. CERRADA"},0),
 1,
 IF(
  MATCH(B750,{"01. ASIGNACION AREA";"02. MAPEO";"03. DESARROLLO";"04. VALIDA US";"05. VOBO US";"06. BW-EJECUCION";"07. VALIDACIÓN BAJAWARE";"08. CERRADA"},0)
  =
  MATCH(_xlfn.XLOOKUP(INDEX($B:$B, (ROW()-1)),'Relacion '!$E:$E,'Relacion '!$D:$D,""),{"01. ASIGNACION AREA";"02. MAPEO";"03. DESARROLLO";"04. VALIDA US";"05. VOBO US";"06. BW-EJECUCION";"07. VALIDACIÓN BAJAWARE";"08. CERRADA"},0),
  _xlfn.XLOOKUP(INDEX($B:$B, (ROW()-1)),'Relacion '!$E:$E,'Relacion '!#REF!,0),
  0
 )
)</f>
        <v>1</v>
      </c>
      <c r="I750" s="241">
        <f t="shared" ref="I750" ca="1" si="178">IF(G750&lt;=TODAY(), 1, 0)</f>
        <v>1</v>
      </c>
      <c r="J750" s="241"/>
      <c r="K750" s="241"/>
      <c r="L750" s="238"/>
    </row>
    <row r="751" spans="2:12" outlineLevel="1">
      <c r="B751" s="237" t="s">
        <v>195</v>
      </c>
      <c r="C751" s="237" t="s">
        <v>195</v>
      </c>
      <c r="D751" s="238" t="str">
        <f>_xlfn.XLOOKUP(B751,'Relacion '!$E:$E,'Relacion '!$D:$D,"")</f>
        <v/>
      </c>
      <c r="E751" s="239">
        <f t="shared" si="168"/>
        <v>4</v>
      </c>
      <c r="F751" s="240" cm="1">
        <f t="array" ref="F751">MIN(INDEX('Relacion '!$Z$5:$AA$493,MATCH(INDEX($B:$B, (ROW()-2)),'Relacion '!$E$5:$E$493,0),0))</f>
        <v>46041</v>
      </c>
      <c r="G751" s="240" cm="1">
        <f t="array" ref="G751">MAX(INDEX('Relacion '!$Z$5:$AA$493,MATCH(INDEX($B:$B, (ROW()-2)),'Relacion '!$E$5:$E$493,0),0))</f>
        <v>46045</v>
      </c>
      <c r="H751" s="241" cm="1">
        <f t="array" ref="H751">IF(
 MATCH(B751,{"01. ASIGNACION AREA";"02. MAPEO";"03. DESARROLLO";"04. VALIDA US";"05. VOBO US";"06. BW-EJECUCION";"07. VALIDACIÓN BAJAWARE";"08. CERRADA"},0)
 &lt;
 MATCH(_xlfn.XLOOKUP(INDEX($B:$B, (ROW()-2)),'Relacion '!$E:$E,'Relacion '!$D:$D,""),{"01. ASIGNACION AREA";"02. MAPEO";"03. DESARROLLO";"04. VALIDA US";"05. VOBO US";"06. BW-EJECUCION";"07. VALIDACIÓN BAJAWARE";"08. CERRADA"},0),
 1,
 IF(
  MATCH(B751,{"01. ASIGNACION AREA";"02. MAPEO";"03. DESARROLLO";"04. VALIDA US";"05. VOBO US";"06. BW-EJECUCION";"07. VALIDACIÓN BAJAWARE";"08. CERRADA"},0)
  =
  MATCH(_xlfn.XLOOKUP(INDEX($B:$B, (ROW()-2)),'Relacion '!$E:$E,'Relacion '!$D:$D,""),{"01. ASIGNACION AREA";"02. MAPEO";"03. DESARROLLO";"04. VALIDA US";"05. VOBO US";"06. BW-EJECUCION";"07. VALIDACIÓN BAJAWARE";"08. CERRADA"},0),
  _xlfn.XLOOKUP(INDEX($B:$B, (ROW()-2)),'Relacion '!$E:$E,'Relacion '!#REF!,0),
  0
 )
)</f>
        <v>1</v>
      </c>
      <c r="I751" s="241">
        <f t="shared" ca="1" si="167"/>
        <v>1</v>
      </c>
      <c r="J751" s="241"/>
      <c r="K751" s="241"/>
      <c r="L751" s="238"/>
    </row>
    <row r="752" spans="2:12" outlineLevel="1">
      <c r="B752" s="237" t="s">
        <v>49</v>
      </c>
      <c r="C752" s="237" t="s">
        <v>49</v>
      </c>
      <c r="D752" s="238" t="str">
        <f>_xlfn.XLOOKUP(B752,'Relacion '!$E:$E,'Relacion '!$D:$D,"")</f>
        <v/>
      </c>
      <c r="E752" s="239">
        <f t="shared" si="168"/>
        <v>4</v>
      </c>
      <c r="F752" s="240" cm="1">
        <f t="array" ref="F752">MIN(INDEX('Relacion '!$AB$5:$AC$493,MATCH(INDEX($B:$B, (ROW()-3)),'Relacion '!$E$5:$E$493,0),0))</f>
        <v>46048</v>
      </c>
      <c r="G752" s="240" cm="1">
        <f t="array" ref="G752">MAX(INDEX('Relacion '!$AB$5:$AC$493,MATCH(INDEX($B:$B, (ROW()-3)),'Relacion '!$E$5:$E$493,0),0))</f>
        <v>46052</v>
      </c>
      <c r="H752" s="241" cm="1">
        <f t="array" ref="H752">IF(
 MATCH(B752,{"01. ASIGNACION AREA";"02. MAPEO";"03. DESARROLLO";"04. VALIDA US";"05. VOBO US";"06. BW-EJECUCION";"07. VALIDACIÓN BAJAWARE";"08. CERRADA"},0)
 &lt;
 MATCH(_xlfn.XLOOKUP(INDEX($B:$B, (ROW()-3)),'Relacion '!$E:$E,'Relacion '!$D:$D,""),{"01. ASIGNACION AREA";"02. MAPEO";"03. DESARROLLO";"04. VALIDA US";"05. VOBO US";"06. BW-EJECUCION";"07. VALIDACIÓN BAJAWARE";"08. CERRADA"},0),
 1,
 IF(
  MATCH(B752,{"01. ASIGNACION AREA";"02. MAPEO";"03. DESARROLLO";"04. VALIDA US";"05. VOBO US";"06. BW-EJECUCION";"07. VALIDACIÓN BAJAWARE";"08. CERRADA"},0)
  =
  MATCH(_xlfn.XLOOKUP(INDEX($B:$B, (ROW()-3)),'Relacion '!$E:$E,'Relacion '!$D:$D,""),{"01. ASIGNACION AREA";"02. MAPEO";"03. DESARROLLO";"04. VALIDA US";"05. VOBO US";"06. BW-EJECUCION";"07. VALIDACIÓN BAJAWARE";"08. CERRADA"},0),
  _xlfn.XLOOKUP(INDEX($B:$B, (ROW()-3)),'Relacion '!$E:$E,'Relacion '!#REF!,0),
  0
 )
)</f>
        <v>1</v>
      </c>
      <c r="I752" s="241">
        <f t="shared" ca="1" si="167"/>
        <v>1</v>
      </c>
      <c r="J752" s="241"/>
      <c r="K752" s="241"/>
      <c r="L752" s="238"/>
    </row>
    <row r="753" spans="2:12" outlineLevel="1">
      <c r="B753" s="237" t="s">
        <v>324</v>
      </c>
      <c r="C753" s="237" t="s">
        <v>324</v>
      </c>
      <c r="D753" s="238" t="str">
        <f>_xlfn.XLOOKUP(B753,'Relacion '!$E:$E,'Relacion '!$D:$D,"")</f>
        <v/>
      </c>
      <c r="E753" s="239">
        <f t="shared" si="168"/>
        <v>11</v>
      </c>
      <c r="F753" s="240" cm="1">
        <f t="array" ref="F753">MIN(INDEX('Relacion '!$AD$5:$AE$493,MATCH(INDEX($B:$B, (ROW()-4)),'Relacion '!$E$5:$E$493,0),0))</f>
        <v>46055</v>
      </c>
      <c r="G753" s="240" cm="1">
        <f t="array" ref="G753">MAX(INDEX('Relacion '!$AD$5:$AE$493,MATCH(INDEX($B:$B, (ROW()-4)),'Relacion '!$E$5:$E$493,0),0))</f>
        <v>46066</v>
      </c>
      <c r="H753" s="241" cm="1">
        <f t="array" ref="H753">IF(
 MATCH(B753,{"01. ASIGNACION AREA";"02. MAPEO";"03. DESARROLLO";"04. VALIDA US";"05. VOBO US";"06. BW-EJECUCION";"07. VALIDACIÓN BAJAWARE";"08. CERRADA"},0)
 &lt;
 MATCH(_xlfn.XLOOKUP(INDEX($B:$B, (ROW()-4)),'Relacion '!$E:$E,'Relacion '!$D:$D,""),{"01. ASIGNACION AREA";"02. MAPEO";"03. DESARROLLO";"04. VALIDA US";"05. VOBO US";"06. BW-EJECUCION";"07. VALIDACIÓN BAJAWARE";"08. CERRADA"},0),
 1,
 IF(
  MATCH(B753,{"01. ASIGNACION AREA";"02. MAPEO";"03. DESARROLLO";"04. VALIDA US";"05. VOBO US";"06. BW-EJECUCION";"07. VALIDACIÓN BAJAWARE";"08. CERRADA"},0)
  =
  MATCH(_xlfn.XLOOKUP(INDEX($B:$B, (ROW()-4)),'Relacion '!$E:$E,'Relacion '!$D:$D,""),{"01. ASIGNACION AREA";"02. MAPEO";"03. DESARROLLO";"04. VALIDA US";"05. VOBO US";"06. BW-EJECUCION";"07. VALIDACIÓN BAJAWARE";"08. CERRADA"},0),
  _xlfn.XLOOKUP(INDEX($B:$B, (ROW()-4)),'Relacion '!$E:$E,'Relacion '!#REF!,0),
  0
 )
)</f>
        <v>1</v>
      </c>
      <c r="I753" s="241">
        <f t="shared" ca="1" si="167"/>
        <v>1</v>
      </c>
      <c r="J753" s="241"/>
      <c r="K753" s="241"/>
      <c r="L753" s="238"/>
    </row>
    <row r="754" spans="2:12" outlineLevel="1">
      <c r="B754" s="237" t="s">
        <v>320</v>
      </c>
      <c r="C754" s="237" t="s">
        <v>320</v>
      </c>
      <c r="D754" s="238" t="str">
        <f>_xlfn.XLOOKUP(B754,'Relacion '!$E:$E,'Relacion '!$D:$D,"")</f>
        <v/>
      </c>
      <c r="E754" s="239">
        <f t="shared" si="168"/>
        <v>4</v>
      </c>
      <c r="F754" s="240" cm="1">
        <f t="array" ref="F754">MIN(INDEX('Relacion '!$AF$5:$AG$493,MATCH(INDEX($B:$B, (ROW()-5)),'Relacion '!$E$5:$E$493,0),0))</f>
        <v>46069</v>
      </c>
      <c r="G754" s="240" cm="1">
        <f t="array" ref="G754">MAX(INDEX('Relacion '!$AF$5:$AG$493,MATCH(INDEX($B:$B, (ROW()-5)),'Relacion '!$E$5:$E$493,0),0))</f>
        <v>46073</v>
      </c>
      <c r="H754" s="241" cm="1">
        <f t="array" ref="H754">IF(
 MATCH(B754,{"01. ASIGNACION AREA";"02. MAPEO";"03. DESARROLLO";"04. VALIDA US";"05. VOBO US";"06. BW-EJECUCION";"07. VALIDACIÓN BAJAWARE";"08. CERRADA"},0)
 &lt;
 MATCH(_xlfn.XLOOKUP(INDEX($B:$B, (ROW()-5)),'Relacion '!$E:$E,'Relacion '!$D:$D,""),{"01. ASIGNACION AREA";"02. MAPEO";"03. DESARROLLO";"04. VALIDA US";"05. VOBO US";"06. BW-EJECUCION";"07. VALIDACIÓN BAJAWARE";"08. CERRADA"},0),
 1,
 IF(
  MATCH(B754,{"01. ASIGNACION AREA";"02. MAPEO";"03. DESARROLLO";"04. VALIDA US";"05. VOBO US";"06. BW-EJECUCION";"07. VALIDACIÓN BAJAWARE";"08. CERRADA"},0)
  =
  MATCH(_xlfn.XLOOKUP(INDEX($B:$B, (ROW()-5)),'Relacion '!$E:$E,'Relacion '!$D:$D,""),{"01. ASIGNACION AREA";"02. MAPEO";"03. DESARROLLO";"04. VALIDA US";"05. VOBO US";"06. BW-EJECUCION";"07. VALIDACIÓN BAJAWARE";"08. CERRADA"},0),
  _xlfn.XLOOKUP(INDEX($B:$B, (ROW()-5)),'Relacion '!$E:$E,'Relacion '!#REF!,0),
  0
 )
)</f>
        <v>1</v>
      </c>
      <c r="I754" s="241">
        <f t="shared" ca="1" si="167"/>
        <v>1</v>
      </c>
      <c r="J754" s="241"/>
      <c r="K754" s="241"/>
      <c r="L754" s="238"/>
    </row>
    <row r="755" spans="2:12" outlineLevel="1">
      <c r="B755" s="237" t="s">
        <v>710</v>
      </c>
      <c r="C755" s="237" t="s">
        <v>710</v>
      </c>
      <c r="D755" s="238" t="str">
        <f>_xlfn.XLOOKUP(B755,'Relacion '!$E:$E,'Relacion '!$D:$D,"")</f>
        <v/>
      </c>
      <c r="E755" s="239">
        <f t="shared" si="168"/>
        <v>18</v>
      </c>
      <c r="F755" s="240" cm="1">
        <f t="array" ref="F755">MIN(INDEX('Relacion '!$AH$5:$AI$493,MATCH(INDEX($B:$B, (ROW()-6)),'Relacion '!$E$5:$E$493,0),0))</f>
        <v>46083</v>
      </c>
      <c r="G755" s="240" cm="1">
        <f t="array" ref="G755">MAX(INDEX('Relacion '!$AH$5:$AI$493,MATCH(INDEX($B:$B, (ROW()-6)),'Relacion '!$E$5:$E$493,0),0))</f>
        <v>46101</v>
      </c>
      <c r="H755" s="241" t="e" cm="1">
        <f t="array" ref="H755">IF(
 MATCH(B755,{"01. ASIGNACION AREA";"02. MAPEO";"03. DESARROLLO";"04. VALIDA US";"05. VOBO US";"06. BW-EJECUCION";"07. VALIDACIÓN BAJAWARE";"08. CERRADA"},0)
 &lt;
 MATCH(_xlfn.XLOOKUP(INDEX($B:$B, (ROW()-6)),'Relacion '!$E:$E,'Relacion '!$D:$D,""),{"01. ASIGNACION AREA";"02. MAPEO";"03. DESARROLLO";"04. VALIDA US";"05. VOBO US";"06. BW-EJECUCION";"07. VALIDACIÓN BAJAWARE";"08. CERRADA"},0),
 1,
 IF(
  MATCH(B755,{"01. ASIGNACION AREA";"02. MAPEO";"03. DESARROLLO";"04. VALIDA US";"05. VOBO US";"06. BW-EJECUCION";"07. VALIDACIÓN BAJAWARE";"08. CERRADA"},0)
  =
  MATCH(_xlfn.XLOOKUP(INDEX($B:$B, (ROW()-6)),'Relacion '!$E:$E,'Relacion '!$D:$D,""),{"01. ASIGNACION AREA";"02. MAPEO";"03. DESARROLLO";"04. VALIDA US";"05. VOBO US";"06. BW-EJECUCION";"07. VALIDACIÓN BAJAWARE";"08. CERRADA"},0),
  _xlfn.XLOOKUP(INDEX($B:$B, (ROW()-6)),'Relacion '!$E:$E,'Relacion '!#REF!,0),
  0
 )
)</f>
        <v>#REF!</v>
      </c>
      <c r="I755" s="241">
        <f t="shared" ca="1" si="167"/>
        <v>1</v>
      </c>
      <c r="J755" s="241"/>
      <c r="K755" s="241"/>
      <c r="L755" s="238"/>
    </row>
    <row r="756" spans="2:12" outlineLevel="1">
      <c r="B756" s="237" t="s">
        <v>655</v>
      </c>
      <c r="C756" s="237" t="s">
        <v>655</v>
      </c>
      <c r="D756" s="238" t="str">
        <f>_xlfn.XLOOKUP(B756,'Relacion '!$E:$E,'Relacion '!$D:$D,"")</f>
        <v/>
      </c>
      <c r="E756" s="239">
        <f t="shared" si="168"/>
        <v>18</v>
      </c>
      <c r="F756" s="240" cm="1">
        <f t="array" ref="F756">MIN(INDEX('Relacion '!$AJ$5:$AK$493,MATCH(INDEX($B:$B, (ROW()-7)),'Relacion '!$E$5:$E$493,0),0))</f>
        <v>46104</v>
      </c>
      <c r="G756" s="240" cm="1">
        <f t="array" ref="G756">MAX(INDEX('Relacion '!$AJ$5:$AK$493,MATCH(INDEX($B:$B, (ROW()-7)),'Relacion '!$E$5:$E$493,0),0))</f>
        <v>46122</v>
      </c>
      <c r="H756" s="241" cm="1">
        <f t="array" ref="H756">IF(
 MATCH(B756,{"01. ASIGNACION AREA";"02. MAPEO";"03. DESARROLLO";"04. VALIDA US";"05. VOBO US";"06. BW-EJECUCION";"07. VALIDACIÓN BAJAWARE";"08. CERRADA"},0)
 &lt;
 MATCH(_xlfn.XLOOKUP(INDEX($B:$B, (ROW()-7)),'Relacion '!$E:$E,'Relacion '!$D:$D,""),{"01. ASIGNACION AREA";"02. MAPEO";"03. DESARROLLO";"04. VALIDA US";"05. VOBO US";"06. BW-EJECUCION";"07. VALIDACIÓN BAJAWARE";"08. CERRADA"},0),
 1,
 IF(
  MATCH(B756,{"01. ASIGNACION AREA";"02. MAPEO";"03. DESARROLLO";"04. VALIDA US";"05. VOBO US";"06. BW-EJECUCION";"07. VALIDACIÓN BAJAWARE";"08. CERRADA"},0)
  =
  MATCH(_xlfn.XLOOKUP(INDEX($B:$B, (ROW()-7)),'Relacion '!$E:$E,'Relacion '!$D:$D,""),{"01. ASIGNACION AREA";"02. MAPEO";"03. DESARROLLO";"04. VALIDA US";"05. VOBO US";"06. BW-EJECUCION";"07. VALIDACIÓN BAJAWARE";"08. CERRADA"},0),
  _xlfn.XLOOKUP(INDEX($B:$B, (ROW()-7)),'Relacion '!$E:$E,'Relacion '!#REF!,0),
  0
 )
)</f>
        <v>0</v>
      </c>
      <c r="I756" s="241">
        <f t="shared" ca="1" si="167"/>
        <v>1</v>
      </c>
      <c r="J756" s="241"/>
      <c r="K756" s="241"/>
      <c r="L756" s="238"/>
    </row>
    <row r="757" spans="2:12" outlineLevel="1">
      <c r="B757" s="237" t="s">
        <v>656</v>
      </c>
      <c r="C757" s="237" t="s">
        <v>656</v>
      </c>
      <c r="D757" s="238" t="str">
        <f>_xlfn.XLOOKUP(B757,'Relacion '!$E:$E,'Relacion '!$D:$D,"")</f>
        <v/>
      </c>
      <c r="E757" s="239">
        <f t="shared" si="168"/>
        <v>0</v>
      </c>
      <c r="F757" s="240" cm="1">
        <f t="array" ref="F757">MIN(INDEX('Relacion '!$AL$5:$AM$493,MATCH(INDEX($B:$B, (ROW()-8)),'Relacion '!$E$5:$E$493,0),0))</f>
        <v>46123</v>
      </c>
      <c r="G757" s="240" cm="1">
        <f t="array" ref="G757">MAX(INDEX('Relacion '!$AL$5:$AM$493,MATCH(INDEX($B:$B, (ROW()-8)),'Relacion '!$E$5:$E$493,0),0))</f>
        <v>46123</v>
      </c>
      <c r="H757" s="241" cm="1">
        <f t="array" ref="H757">IF(
 MATCH(B757,{"01. ASIGNACION AREA";"02. MAPEO";"03. DESARROLLO";"04. VALIDA US";"05. VOBO US";"06. BW-EJECUCION";"07. VALIDACIÓN BAJAWARE";"08. CERRADA"},0)
 &lt;
 MATCH(_xlfn.XLOOKUP(INDEX($B:$B, (ROW()-8)),'Relacion '!$E:$E,'Relacion '!$D:$D,""),{"01. ASIGNACION AREA";"02. MAPEO";"03. DESARROLLO";"04. VALIDA US";"05. VOBO US";"06. BW-EJECUCION";"07. VALIDACIÓN BAJAWARE";"08. CERRADA"},0),
 1,
 IF(
  MATCH(B757,{"01. ASIGNACION AREA";"02. MAPEO";"03. DESARROLLO";"04. VALIDA US";"05. VOBO US";"06. BW-EJECUCION";"07. VALIDACIÓN BAJAWARE";"08. CERRADA"},0)
  =
  MATCH(_xlfn.XLOOKUP(INDEX($B:$B, (ROW()-8)),'Relacion '!$E:$E,'Relacion '!$D:$D,""),{"01. ASIGNACION AREA";"02. MAPEO";"03. DESARROLLO";"04. VALIDA US";"05. VOBO US";"06. BW-EJECUCION";"07. VALIDACIÓN BAJAWARE";"08. CERRADA"},0),
  _xlfn.XLOOKUP(INDEX($B:$B, (ROW()-8)),'Relacion '!$E:$E,'Relacion '!#REF!,0),
  0
 )
)</f>
        <v>0</v>
      </c>
      <c r="I757" s="241">
        <f t="shared" ca="1" si="167"/>
        <v>1</v>
      </c>
      <c r="J757" s="241"/>
      <c r="K757" s="241"/>
      <c r="L757" s="238"/>
    </row>
    <row r="758" spans="2:12">
      <c r="B758" s="232" t="s">
        <v>512</v>
      </c>
      <c r="C758" s="167" t="s">
        <v>514</v>
      </c>
      <c r="D758" s="236" t="str">
        <f>_xlfn.XLOOKUP(B758,'Relacion '!$E:$E,'Relacion '!$D:$D,"")</f>
        <v>02. MAPEO</v>
      </c>
      <c r="E758" s="233">
        <f t="shared" si="168"/>
        <v>515</v>
      </c>
      <c r="F758" s="234" cm="1">
        <f t="array" ref="F758">MIN(INDEX('Relacion '!$X$5:$AM$493,MATCH(INDEX($B:$B, (ROW()-0)),'Relacion '!$E$5:$E$493,0),0))</f>
        <v>45659</v>
      </c>
      <c r="G758" s="234" cm="1">
        <f t="array" ref="G758">MAX(INDEX('Relacion '!$X$5:$AM$493,MATCH(INDEX($B:$B, (ROW()-0)),'Relacion '!$E$5:$E$493,0),0))</f>
        <v>46174</v>
      </c>
      <c r="H758" s="235" t="e">
        <f>AVERAGE(H759:H766)</f>
        <v>#REF!</v>
      </c>
      <c r="I758" s="235">
        <f t="shared" ref="I758" ca="1" si="179">AVERAGE(I759:I766)</f>
        <v>0.75</v>
      </c>
      <c r="J758" s="236" t="str">
        <f>IF(ISNUMBER(SEARCH("Rocha", _xlfn.XLOOKUP(B758,'Relacion '!$E:$E,'Relacion '!$I:$I,""))), "Sí", "No")</f>
        <v>No</v>
      </c>
      <c r="K758" s="236" t="str">
        <f>IF(ISNUMBER(SEARCH("Rocha", _xlfn.XLOOKUP(B758,'Relacion '!$E:$E,'Relacion '!$I:$I,""))), "RMC", _xlfn.XLOOKUP(B758,'Relacion '!$E:$E,'Relacion '!$B:$B,""))</f>
        <v>Contabilidad</v>
      </c>
      <c r="L758" s="236" t="str">
        <f>_xlfn.XLOOKUP(B758,'Relacion '!$E:$E,'Relacion '!$C:$C,"")</f>
        <v xml:space="preserve">Ramon Jaimes </v>
      </c>
    </row>
    <row r="759" spans="2:12" outlineLevel="1">
      <c r="B759" s="237" t="s">
        <v>654</v>
      </c>
      <c r="C759" s="237" t="s">
        <v>654</v>
      </c>
      <c r="D759" s="238" t="str">
        <f>_xlfn.XLOOKUP(B759,'Relacion '!$E:$E,'Relacion '!$D:$D,"")</f>
        <v/>
      </c>
      <c r="E759" s="239">
        <f t="shared" si="168"/>
        <v>424</v>
      </c>
      <c r="F759" s="240" cm="1">
        <f t="array" ref="F759">MIN(INDEX('Relacion '!$X$5:$Y$493,MATCH(INDEX($B:$B, (ROW()-1)),'Relacion '!$E$5:$E$493,0),0))</f>
        <v>45659</v>
      </c>
      <c r="G759" s="240" cm="1">
        <f t="array" ref="G759">MAX(INDEX('Relacion '!$X$5:$Y$493,MATCH(INDEX($B:$B, (ROW()-1)),'Relacion '!$E$5:$E$493,0),0))</f>
        <v>46083</v>
      </c>
      <c r="H759" s="241" cm="1">
        <f t="array" ref="H759">IF(
 MATCH(B759,{"01. ASIGNACION AREA";"02. MAPEO";"03. DESARROLLO";"04. VALIDA US";"05. VOBO US";"06. BW-EJECUCION";"07. VALIDACIÓN BAJAWARE";"08. CERRADA"},0)
 &lt;
 MATCH(_xlfn.XLOOKUP(INDEX($B:$B, (ROW()-1)),'Relacion '!$E:$E,'Relacion '!$D:$D,""),{"01. ASIGNACION AREA";"02. MAPEO";"03. DESARROLLO";"04. VALIDA US";"05. VOBO US";"06. BW-EJECUCION";"07. VALIDACIÓN BAJAWARE";"08. CERRADA"},0),
 1,
 IF(
  MATCH(B759,{"01. ASIGNACION AREA";"02. MAPEO";"03. DESARROLLO";"04. VALIDA US";"05. VOBO US";"06. BW-EJECUCION";"07. VALIDACIÓN BAJAWARE";"08. CERRADA"},0)
  =
  MATCH(_xlfn.XLOOKUP(INDEX($B:$B, (ROW()-1)),'Relacion '!$E:$E,'Relacion '!$D:$D,""),{"01. ASIGNACION AREA";"02. MAPEO";"03. DESARROLLO";"04. VALIDA US";"05. VOBO US";"06. BW-EJECUCION";"07. VALIDACIÓN BAJAWARE";"08. CERRADA"},0),
  _xlfn.XLOOKUP(INDEX($B:$B, (ROW()-1)),'Relacion '!$E:$E,'Relacion '!#REF!,0),
  0
 )
)</f>
        <v>1</v>
      </c>
      <c r="I759" s="241">
        <f t="shared" ref="I759" ca="1" si="180">IF(G759&lt;=TODAY(), 1, 0)</f>
        <v>1</v>
      </c>
      <c r="J759" s="241"/>
      <c r="K759" s="241"/>
      <c r="L759" s="238"/>
    </row>
    <row r="760" spans="2:12" outlineLevel="1">
      <c r="B760" s="237" t="s">
        <v>195</v>
      </c>
      <c r="C760" s="237" t="s">
        <v>195</v>
      </c>
      <c r="D760" s="238" t="str">
        <f>_xlfn.XLOOKUP(B760,'Relacion '!$E:$E,'Relacion '!$D:$D,"")</f>
        <v/>
      </c>
      <c r="E760" s="239">
        <f t="shared" si="168"/>
        <v>53</v>
      </c>
      <c r="F760" s="240" cm="1">
        <f t="array" ref="F760">MIN(INDEX('Relacion '!$Z$5:$AA$493,MATCH(INDEX($B:$B, (ROW()-2)),'Relacion '!$E$5:$E$493,0),0))</f>
        <v>46069</v>
      </c>
      <c r="G760" s="240" cm="1">
        <f t="array" ref="G760">MAX(INDEX('Relacion '!$Z$5:$AA$493,MATCH(INDEX($B:$B, (ROW()-2)),'Relacion '!$E$5:$E$493,0),0))</f>
        <v>46122</v>
      </c>
      <c r="H760" s="241" t="e" cm="1">
        <f t="array" ref="H760">IF(
 MATCH(B760,{"01. ASIGNACION AREA";"02. MAPEO";"03. DESARROLLO";"04. VALIDA US";"05. VOBO US";"06. BW-EJECUCION";"07. VALIDACIÓN BAJAWARE";"08. CERRADA"},0)
 &lt;
 MATCH(_xlfn.XLOOKUP(INDEX($B:$B, (ROW()-2)),'Relacion '!$E:$E,'Relacion '!$D:$D,""),{"01. ASIGNACION AREA";"02. MAPEO";"03. DESARROLLO";"04. VALIDA US";"05. VOBO US";"06. BW-EJECUCION";"07. VALIDACIÓN BAJAWARE";"08. CERRADA"},0),
 1,
 IF(
  MATCH(B760,{"01. ASIGNACION AREA";"02. MAPEO";"03. DESARROLLO";"04. VALIDA US";"05. VOBO US";"06. BW-EJECUCION";"07. VALIDACIÓN BAJAWARE";"08. CERRADA"},0)
  =
  MATCH(_xlfn.XLOOKUP(INDEX($B:$B, (ROW()-2)),'Relacion '!$E:$E,'Relacion '!$D:$D,""),{"01. ASIGNACION AREA";"02. MAPEO";"03. DESARROLLO";"04. VALIDA US";"05. VOBO US";"06. BW-EJECUCION";"07. VALIDACIÓN BAJAWARE";"08. CERRADA"},0),
  _xlfn.XLOOKUP(INDEX($B:$B, (ROW()-2)),'Relacion '!$E:$E,'Relacion '!#REF!,0),
  0
 )
)</f>
        <v>#REF!</v>
      </c>
      <c r="I760" s="241">
        <f t="shared" ca="1" si="167"/>
        <v>1</v>
      </c>
      <c r="J760" s="241"/>
      <c r="K760" s="241"/>
      <c r="L760" s="238"/>
    </row>
    <row r="761" spans="2:12" outlineLevel="1">
      <c r="B761" s="237" t="s">
        <v>49</v>
      </c>
      <c r="C761" s="237" t="s">
        <v>49</v>
      </c>
      <c r="D761" s="238" t="str">
        <f>_xlfn.XLOOKUP(B761,'Relacion '!$E:$E,'Relacion '!$D:$D,"")</f>
        <v/>
      </c>
      <c r="E761" s="239">
        <f t="shared" si="168"/>
        <v>11</v>
      </c>
      <c r="F761" s="240" cm="1">
        <f t="array" ref="F761">MIN(INDEX('Relacion '!$AB$5:$AC$493,MATCH(INDEX($B:$B, (ROW()-3)),'Relacion '!$E$5:$E$493,0),0))</f>
        <v>46125</v>
      </c>
      <c r="G761" s="240" cm="1">
        <f t="array" ref="G761">MAX(INDEX('Relacion '!$AB$5:$AC$493,MATCH(INDEX($B:$B, (ROW()-3)),'Relacion '!$E$5:$E$493,0),0))</f>
        <v>46136</v>
      </c>
      <c r="H761" s="241" cm="1">
        <f t="array" ref="H761">IF(
 MATCH(B761,{"01. ASIGNACION AREA";"02. MAPEO";"03. DESARROLLO";"04. VALIDA US";"05. VOBO US";"06. BW-EJECUCION";"07. VALIDACIÓN BAJAWARE";"08. CERRADA"},0)
 &lt;
 MATCH(_xlfn.XLOOKUP(INDEX($B:$B, (ROW()-3)),'Relacion '!$E:$E,'Relacion '!$D:$D,""),{"01. ASIGNACION AREA";"02. MAPEO";"03. DESARROLLO";"04. VALIDA US";"05. VOBO US";"06. BW-EJECUCION";"07. VALIDACIÓN BAJAWARE";"08. CERRADA"},0),
 1,
 IF(
  MATCH(B761,{"01. ASIGNACION AREA";"02. MAPEO";"03. DESARROLLO";"04. VALIDA US";"05. VOBO US";"06. BW-EJECUCION";"07. VALIDACIÓN BAJAWARE";"08. CERRADA"},0)
  =
  MATCH(_xlfn.XLOOKUP(INDEX($B:$B, (ROW()-3)),'Relacion '!$E:$E,'Relacion '!$D:$D,""),{"01. ASIGNACION AREA";"02. MAPEO";"03. DESARROLLO";"04. VALIDA US";"05. VOBO US";"06. BW-EJECUCION";"07. VALIDACIÓN BAJAWARE";"08. CERRADA"},0),
  _xlfn.XLOOKUP(INDEX($B:$B, (ROW()-3)),'Relacion '!$E:$E,'Relacion '!#REF!,0),
  0
 )
)</f>
        <v>0</v>
      </c>
      <c r="I761" s="241">
        <f t="shared" ca="1" si="167"/>
        <v>1</v>
      </c>
      <c r="J761" s="241"/>
      <c r="K761" s="241"/>
      <c r="L761" s="238"/>
    </row>
    <row r="762" spans="2:12" outlineLevel="1">
      <c r="B762" s="237" t="s">
        <v>324</v>
      </c>
      <c r="C762" s="237" t="s">
        <v>324</v>
      </c>
      <c r="D762" s="238" t="str">
        <f>_xlfn.XLOOKUP(B762,'Relacion '!$E:$E,'Relacion '!$D:$D,"")</f>
        <v/>
      </c>
      <c r="E762" s="239">
        <f t="shared" si="168"/>
        <v>11</v>
      </c>
      <c r="F762" s="240" cm="1">
        <f t="array" ref="F762">MIN(INDEX('Relacion '!$AD$5:$AE$493,MATCH(INDEX($B:$B, (ROW()-4)),'Relacion '!$E$5:$E$493,0),0))</f>
        <v>46139</v>
      </c>
      <c r="G762" s="240" cm="1">
        <f t="array" ref="G762">MAX(INDEX('Relacion '!$AD$5:$AE$493,MATCH(INDEX($B:$B, (ROW()-4)),'Relacion '!$E$5:$E$493,0),0))</f>
        <v>46150</v>
      </c>
      <c r="H762" s="241" cm="1">
        <f t="array" ref="H762">IF(
 MATCH(B762,{"01. ASIGNACION AREA";"02. MAPEO";"03. DESARROLLO";"04. VALIDA US";"05. VOBO US";"06. BW-EJECUCION";"07. VALIDACIÓN BAJAWARE";"08. CERRADA"},0)
 &lt;
 MATCH(_xlfn.XLOOKUP(INDEX($B:$B, (ROW()-4)),'Relacion '!$E:$E,'Relacion '!$D:$D,""),{"01. ASIGNACION AREA";"02. MAPEO";"03. DESARROLLO";"04. VALIDA US";"05. VOBO US";"06. BW-EJECUCION";"07. VALIDACIÓN BAJAWARE";"08. CERRADA"},0),
 1,
 IF(
  MATCH(B762,{"01. ASIGNACION AREA";"02. MAPEO";"03. DESARROLLO";"04. VALIDA US";"05. VOBO US";"06. BW-EJECUCION";"07. VALIDACIÓN BAJAWARE";"08. CERRADA"},0)
  =
  MATCH(_xlfn.XLOOKUP(INDEX($B:$B, (ROW()-4)),'Relacion '!$E:$E,'Relacion '!$D:$D,""),{"01. ASIGNACION AREA";"02. MAPEO";"03. DESARROLLO";"04. VALIDA US";"05. VOBO US";"06. BW-EJECUCION";"07. VALIDACIÓN BAJAWARE";"08. CERRADA"},0),
  _xlfn.XLOOKUP(INDEX($B:$B, (ROW()-4)),'Relacion '!$E:$E,'Relacion '!#REF!,0),
  0
 )
)</f>
        <v>0</v>
      </c>
      <c r="I762" s="241">
        <f t="shared" ca="1" si="167"/>
        <v>1</v>
      </c>
      <c r="J762" s="241"/>
      <c r="K762" s="241"/>
      <c r="L762" s="238"/>
    </row>
    <row r="763" spans="2:12" outlineLevel="1">
      <c r="B763" s="237" t="s">
        <v>320</v>
      </c>
      <c r="C763" s="237" t="s">
        <v>320</v>
      </c>
      <c r="D763" s="238" t="str">
        <f>_xlfn.XLOOKUP(B763,'Relacion '!$E:$E,'Relacion '!$D:$D,"")</f>
        <v/>
      </c>
      <c r="E763" s="239">
        <f t="shared" si="168"/>
        <v>3</v>
      </c>
      <c r="F763" s="240" cm="1">
        <f t="array" ref="F763">MIN(INDEX('Relacion '!$AF$5:$AG$493,MATCH(INDEX($B:$B, (ROW()-5)),'Relacion '!$E$5:$E$493,0),0))</f>
        <v>46150</v>
      </c>
      <c r="G763" s="240" cm="1">
        <f t="array" ref="G763">MAX(INDEX('Relacion '!$AF$5:$AG$493,MATCH(INDEX($B:$B, (ROW()-5)),'Relacion '!$E$5:$E$493,0),0))</f>
        <v>46153</v>
      </c>
      <c r="H763" s="241" cm="1">
        <f t="array" ref="H763">IF(
 MATCH(B763,{"01. ASIGNACION AREA";"02. MAPEO";"03. DESARROLLO";"04. VALIDA US";"05. VOBO US";"06. BW-EJECUCION";"07. VALIDACIÓN BAJAWARE";"08. CERRADA"},0)
 &lt;
 MATCH(_xlfn.XLOOKUP(INDEX($B:$B, (ROW()-5)),'Relacion '!$E:$E,'Relacion '!$D:$D,""),{"01. ASIGNACION AREA";"02. MAPEO";"03. DESARROLLO";"04. VALIDA US";"05. VOBO US";"06. BW-EJECUCION";"07. VALIDACIÓN BAJAWARE";"08. CERRADA"},0),
 1,
 IF(
  MATCH(B763,{"01. ASIGNACION AREA";"02. MAPEO";"03. DESARROLLO";"04. VALIDA US";"05. VOBO US";"06. BW-EJECUCION";"07. VALIDACIÓN BAJAWARE";"08. CERRADA"},0)
  =
  MATCH(_xlfn.XLOOKUP(INDEX($B:$B, (ROW()-5)),'Relacion '!$E:$E,'Relacion '!$D:$D,""),{"01. ASIGNACION AREA";"02. MAPEO";"03. DESARROLLO";"04. VALIDA US";"05. VOBO US";"06. BW-EJECUCION";"07. VALIDACIÓN BAJAWARE";"08. CERRADA"},0),
  _xlfn.XLOOKUP(INDEX($B:$B, (ROW()-5)),'Relacion '!$E:$E,'Relacion '!#REF!,0),
  0
 )
)</f>
        <v>0</v>
      </c>
      <c r="I763" s="241">
        <f t="shared" ca="1" si="167"/>
        <v>1</v>
      </c>
      <c r="J763" s="241"/>
      <c r="K763" s="241"/>
      <c r="L763" s="238"/>
    </row>
    <row r="764" spans="2:12" outlineLevel="1">
      <c r="B764" s="237" t="s">
        <v>710</v>
      </c>
      <c r="C764" s="237" t="s">
        <v>710</v>
      </c>
      <c r="D764" s="238" t="str">
        <f>_xlfn.XLOOKUP(B764,'Relacion '!$E:$E,'Relacion '!$D:$D,"")</f>
        <v/>
      </c>
      <c r="E764" s="239">
        <f t="shared" si="168"/>
        <v>2</v>
      </c>
      <c r="F764" s="240" cm="1">
        <f t="array" ref="F764">MIN(INDEX('Relacion '!$AH$5:$AI$493,MATCH(INDEX($B:$B, (ROW()-6)),'Relacion '!$E$5:$E$493,0),0))</f>
        <v>46154</v>
      </c>
      <c r="G764" s="240" cm="1">
        <f t="array" ref="G764">MAX(INDEX('Relacion '!$AH$5:$AI$493,MATCH(INDEX($B:$B, (ROW()-6)),'Relacion '!$E$5:$E$493,0),0))</f>
        <v>46156</v>
      </c>
      <c r="H764" s="241" cm="1">
        <f t="array" ref="H764">IF(
 MATCH(B764,{"01. ASIGNACION AREA";"02. MAPEO";"03. DESARROLLO";"04. VALIDA US";"05. VOBO US";"06. BW-EJECUCION";"07. VALIDACIÓN BAJAWARE";"08. CERRADA"},0)
 &lt;
 MATCH(_xlfn.XLOOKUP(INDEX($B:$B, (ROW()-6)),'Relacion '!$E:$E,'Relacion '!$D:$D,""),{"01. ASIGNACION AREA";"02. MAPEO";"03. DESARROLLO";"04. VALIDA US";"05. VOBO US";"06. BW-EJECUCION";"07. VALIDACIÓN BAJAWARE";"08. CERRADA"},0),
 1,
 IF(
  MATCH(B764,{"01. ASIGNACION AREA";"02. MAPEO";"03. DESARROLLO";"04. VALIDA US";"05. VOBO US";"06. BW-EJECUCION";"07. VALIDACIÓN BAJAWARE";"08. CERRADA"},0)
  =
  MATCH(_xlfn.XLOOKUP(INDEX($B:$B, (ROW()-6)),'Relacion '!$E:$E,'Relacion '!$D:$D,""),{"01. ASIGNACION AREA";"02. MAPEO";"03. DESARROLLO";"04. VALIDA US";"05. VOBO US";"06. BW-EJECUCION";"07. VALIDACIÓN BAJAWARE";"08. CERRADA"},0),
  _xlfn.XLOOKUP(INDEX($B:$B, (ROW()-6)),'Relacion '!$E:$E,'Relacion '!#REF!,0),
  0
 )
)</f>
        <v>0</v>
      </c>
      <c r="I764" s="241">
        <f t="shared" ca="1" si="167"/>
        <v>1</v>
      </c>
      <c r="J764" s="241"/>
      <c r="K764" s="241"/>
      <c r="L764" s="238"/>
    </row>
    <row r="765" spans="2:12" outlineLevel="1">
      <c r="B765" s="237" t="s">
        <v>655</v>
      </c>
      <c r="C765" s="237" t="s">
        <v>655</v>
      </c>
      <c r="D765" s="238" t="str">
        <f>_xlfn.XLOOKUP(B765,'Relacion '!$E:$E,'Relacion '!$D:$D,"")</f>
        <v/>
      </c>
      <c r="E765" s="239">
        <f t="shared" si="168"/>
        <v>13</v>
      </c>
      <c r="F765" s="240" cm="1">
        <f t="array" ref="F765">MIN(INDEX('Relacion '!$AJ$5:$AK$493,MATCH(INDEX($B:$B, (ROW()-7)),'Relacion '!$E$5:$E$493,0),0))</f>
        <v>46157</v>
      </c>
      <c r="G765" s="240" cm="1">
        <f t="array" ref="G765">MAX(INDEX('Relacion '!$AJ$5:$AK$493,MATCH(INDEX($B:$B, (ROW()-7)),'Relacion '!$E$5:$E$493,0),0))</f>
        <v>46170</v>
      </c>
      <c r="H765" s="241" cm="1">
        <f t="array" ref="H765">IF(
 MATCH(B765,{"01. ASIGNACION AREA";"02. MAPEO";"03. DESARROLLO";"04. VALIDA US";"05. VOBO US";"06. BW-EJECUCION";"07. VALIDACIÓN BAJAWARE";"08. CERRADA"},0)
 &lt;
 MATCH(_xlfn.XLOOKUP(INDEX($B:$B, (ROW()-7)),'Relacion '!$E:$E,'Relacion '!$D:$D,""),{"01. ASIGNACION AREA";"02. MAPEO";"03. DESARROLLO";"04. VALIDA US";"05. VOBO US";"06. BW-EJECUCION";"07. VALIDACIÓN BAJAWARE";"08. CERRADA"},0),
 1,
 IF(
  MATCH(B765,{"01. ASIGNACION AREA";"02. MAPEO";"03. DESARROLLO";"04. VALIDA US";"05. VOBO US";"06. BW-EJECUCION";"07. VALIDACIÓN BAJAWARE";"08. CERRADA"},0)
  =
  MATCH(_xlfn.XLOOKUP(INDEX($B:$B, (ROW()-7)),'Relacion '!$E:$E,'Relacion '!$D:$D,""),{"01. ASIGNACION AREA";"02. MAPEO";"03. DESARROLLO";"04. VALIDA US";"05. VOBO US";"06. BW-EJECUCION";"07. VALIDACIÓN BAJAWARE";"08. CERRADA"},0),
  _xlfn.XLOOKUP(INDEX($B:$B, (ROW()-7)),'Relacion '!$E:$E,'Relacion '!#REF!,0),
  0
 )
)</f>
        <v>0</v>
      </c>
      <c r="I765" s="241">
        <f t="shared" ca="1" si="167"/>
        <v>0</v>
      </c>
      <c r="J765" s="241"/>
      <c r="K765" s="241"/>
      <c r="L765" s="238"/>
    </row>
    <row r="766" spans="2:12" outlineLevel="1">
      <c r="B766" s="237" t="s">
        <v>656</v>
      </c>
      <c r="C766" s="237" t="s">
        <v>656</v>
      </c>
      <c r="D766" s="238" t="str">
        <f>_xlfn.XLOOKUP(B766,'Relacion '!$E:$E,'Relacion '!$D:$D,"")</f>
        <v/>
      </c>
      <c r="E766" s="239">
        <f t="shared" si="168"/>
        <v>3</v>
      </c>
      <c r="F766" s="240" cm="1">
        <f t="array" ref="F766">MIN(INDEX('Relacion '!$AL$5:$AM$493,MATCH(INDEX($B:$B, (ROW()-8)),'Relacion '!$E$5:$E$493,0),0))</f>
        <v>46171</v>
      </c>
      <c r="G766" s="240" cm="1">
        <f t="array" ref="G766">MAX(INDEX('Relacion '!$AL$5:$AM$493,MATCH(INDEX($B:$B, (ROW()-8)),'Relacion '!$E$5:$E$493,0),0))</f>
        <v>46174</v>
      </c>
      <c r="H766" s="241" cm="1">
        <f t="array" ref="H766">IF(
 MATCH(B766,{"01. ASIGNACION AREA";"02. MAPEO";"03. DESARROLLO";"04. VALIDA US";"05. VOBO US";"06. BW-EJECUCION";"07. VALIDACIÓN BAJAWARE";"08. CERRADA"},0)
 &lt;
 MATCH(_xlfn.XLOOKUP(INDEX($B:$B, (ROW()-8)),'Relacion '!$E:$E,'Relacion '!$D:$D,""),{"01. ASIGNACION AREA";"02. MAPEO";"03. DESARROLLO";"04. VALIDA US";"05. VOBO US";"06. BW-EJECUCION";"07. VALIDACIÓN BAJAWARE";"08. CERRADA"},0),
 1,
 IF(
  MATCH(B766,{"01. ASIGNACION AREA";"02. MAPEO";"03. DESARROLLO";"04. VALIDA US";"05. VOBO US";"06. BW-EJECUCION";"07. VALIDACIÓN BAJAWARE";"08. CERRADA"},0)
  =
  MATCH(_xlfn.XLOOKUP(INDEX($B:$B, (ROW()-8)),'Relacion '!$E:$E,'Relacion '!$D:$D,""),{"01. ASIGNACION AREA";"02. MAPEO";"03. DESARROLLO";"04. VALIDA US";"05. VOBO US";"06. BW-EJECUCION";"07. VALIDACIÓN BAJAWARE";"08. CERRADA"},0),
  _xlfn.XLOOKUP(INDEX($B:$B, (ROW()-8)),'Relacion '!$E:$E,'Relacion '!#REF!,0),
  0
 )
)</f>
        <v>0</v>
      </c>
      <c r="I766" s="241">
        <f t="shared" ca="1" si="167"/>
        <v>0</v>
      </c>
      <c r="J766" s="241"/>
      <c r="K766" s="241"/>
      <c r="L766" s="238"/>
    </row>
    <row r="767" spans="2:12">
      <c r="B767" s="232" t="s">
        <v>513</v>
      </c>
      <c r="C767" s="137" t="s">
        <v>514</v>
      </c>
      <c r="D767" s="236" t="str">
        <f>_xlfn.XLOOKUP(B767,'Relacion '!$E:$E,'Relacion '!$D:$D,"")</f>
        <v>02. MAPEO</v>
      </c>
      <c r="E767" s="233">
        <f t="shared" si="168"/>
        <v>158</v>
      </c>
      <c r="F767" s="234" cm="1">
        <f t="array" ref="F767">MIN(INDEX('Relacion '!$X$5:$AM$493,MATCH(INDEX($B:$B, (ROW()-0)),'Relacion '!$E$5:$E$493,0),0))</f>
        <v>46024</v>
      </c>
      <c r="G767" s="234" cm="1">
        <f t="array" ref="G767">MAX(INDEX('Relacion '!$X$5:$AM$493,MATCH(INDEX($B:$B, (ROW()-0)),'Relacion '!$E$5:$E$493,0),0))</f>
        <v>46182</v>
      </c>
      <c r="H767" s="235" t="e">
        <f>AVERAGE(H768:H775)</f>
        <v>#REF!</v>
      </c>
      <c r="I767" s="235">
        <f t="shared" ref="I767" ca="1" si="181">AVERAGE(I768:I775)</f>
        <v>0.75</v>
      </c>
      <c r="J767" s="236" t="str">
        <f>IF(ISNUMBER(SEARCH("Rocha", _xlfn.XLOOKUP(B767,'Relacion '!$E:$E,'Relacion '!$I:$I,""))), "Sí", "No")</f>
        <v>No</v>
      </c>
      <c r="K767" s="236" t="str">
        <f>IF(ISNUMBER(SEARCH("Rocha", _xlfn.XLOOKUP(B767,'Relacion '!$E:$E,'Relacion '!$I:$I,""))), "RMC", _xlfn.XLOOKUP(B767,'Relacion '!$E:$E,'Relacion '!$B:$B,""))</f>
        <v>Riesgos</v>
      </c>
      <c r="L767" s="236" t="str">
        <f>_xlfn.XLOOKUP(B767,'Relacion '!$E:$E,'Relacion '!$C:$C,"")</f>
        <v>Homero Sanchez</v>
      </c>
    </row>
    <row r="768" spans="2:12" outlineLevel="1">
      <c r="B768" s="237" t="s">
        <v>654</v>
      </c>
      <c r="C768" s="237" t="s">
        <v>654</v>
      </c>
      <c r="D768" s="238" t="str">
        <f>_xlfn.XLOOKUP(B768,'Relacion '!$E:$E,'Relacion '!$D:$D,"")</f>
        <v/>
      </c>
      <c r="E768" s="239">
        <f t="shared" si="168"/>
        <v>14</v>
      </c>
      <c r="F768" s="240" cm="1">
        <f t="array" ref="F768">MIN(INDEX('Relacion '!$X$5:$Y$493,MATCH(INDEX($B:$B, (ROW()-1)),'Relacion '!$E$5:$E$493,0),0))</f>
        <v>46024</v>
      </c>
      <c r="G768" s="240" cm="1">
        <f t="array" ref="G768">MAX(INDEX('Relacion '!$X$5:$Y$493,MATCH(INDEX($B:$B, (ROW()-1)),'Relacion '!$E$5:$E$493,0),0))</f>
        <v>46038</v>
      </c>
      <c r="H768" s="241" cm="1">
        <f t="array" ref="H768">IF(
 MATCH(B768,{"01. ASIGNACION AREA";"02. MAPEO";"03. DESARROLLO";"04. VALIDA US";"05. VOBO US";"06. BW-EJECUCION";"07. VALIDACIÓN BAJAWARE";"08. CERRADA"},0)
 &lt;
 MATCH(_xlfn.XLOOKUP(INDEX($B:$B, (ROW()-1)),'Relacion '!$E:$E,'Relacion '!$D:$D,""),{"01. ASIGNACION AREA";"02. MAPEO";"03. DESARROLLO";"04. VALIDA US";"05. VOBO US";"06. BW-EJECUCION";"07. VALIDACIÓN BAJAWARE";"08. CERRADA"},0),
 1,
 IF(
  MATCH(B768,{"01. ASIGNACION AREA";"02. MAPEO";"03. DESARROLLO";"04. VALIDA US";"05. VOBO US";"06. BW-EJECUCION";"07. VALIDACIÓN BAJAWARE";"08. CERRADA"},0)
  =
  MATCH(_xlfn.XLOOKUP(INDEX($B:$B, (ROW()-1)),'Relacion '!$E:$E,'Relacion '!$D:$D,""),{"01. ASIGNACION AREA";"02. MAPEO";"03. DESARROLLO";"04. VALIDA US";"05. VOBO US";"06. BW-EJECUCION";"07. VALIDACIÓN BAJAWARE";"08. CERRADA"},0),
  _xlfn.XLOOKUP(INDEX($B:$B, (ROW()-1)),'Relacion '!$E:$E,'Relacion '!#REF!,0),
  0
 )
)</f>
        <v>1</v>
      </c>
      <c r="I768" s="241">
        <f t="shared" ref="I768:I829" ca="1" si="182">IF(G768&lt;=TODAY(), 1, 0)</f>
        <v>1</v>
      </c>
      <c r="J768" s="241"/>
      <c r="K768" s="241"/>
      <c r="L768" s="238"/>
    </row>
    <row r="769" spans="2:12" outlineLevel="1">
      <c r="B769" s="237" t="s">
        <v>195</v>
      </c>
      <c r="C769" s="237" t="s">
        <v>195</v>
      </c>
      <c r="D769" s="238" t="str">
        <f>_xlfn.XLOOKUP(B769,'Relacion '!$E:$E,'Relacion '!$D:$D,"")</f>
        <v/>
      </c>
      <c r="E769" s="239">
        <f t="shared" si="168"/>
        <v>86</v>
      </c>
      <c r="F769" s="240" cm="1">
        <f t="array" ref="F769">MIN(INDEX('Relacion '!$Z$5:$AA$493,MATCH(INDEX($B:$B, (ROW()-2)),'Relacion '!$E$5:$E$493,0),0))</f>
        <v>46041</v>
      </c>
      <c r="G769" s="240" cm="1">
        <f t="array" ref="G769">MAX(INDEX('Relacion '!$Z$5:$AA$493,MATCH(INDEX($B:$B, (ROW()-2)),'Relacion '!$E$5:$E$493,0),0))</f>
        <v>46127</v>
      </c>
      <c r="H769" s="241" t="e" cm="1">
        <f t="array" ref="H769">IF(
 MATCH(B769,{"01. ASIGNACION AREA";"02. MAPEO";"03. DESARROLLO";"04. VALIDA US";"05. VOBO US";"06. BW-EJECUCION";"07. VALIDACIÓN BAJAWARE";"08. CERRADA"},0)
 &lt;
 MATCH(_xlfn.XLOOKUP(INDEX($B:$B, (ROW()-2)),'Relacion '!$E:$E,'Relacion '!$D:$D,""),{"01. ASIGNACION AREA";"02. MAPEO";"03. DESARROLLO";"04. VALIDA US";"05. VOBO US";"06. BW-EJECUCION";"07. VALIDACIÓN BAJAWARE";"08. CERRADA"},0),
 1,
 IF(
  MATCH(B769,{"01. ASIGNACION AREA";"02. MAPEO";"03. DESARROLLO";"04. VALIDA US";"05. VOBO US";"06. BW-EJECUCION";"07. VALIDACIÓN BAJAWARE";"08. CERRADA"},0)
  =
  MATCH(_xlfn.XLOOKUP(INDEX($B:$B, (ROW()-2)),'Relacion '!$E:$E,'Relacion '!$D:$D,""),{"01. ASIGNACION AREA";"02. MAPEO";"03. DESARROLLO";"04. VALIDA US";"05. VOBO US";"06. BW-EJECUCION";"07. VALIDACIÓN BAJAWARE";"08. CERRADA"},0),
  _xlfn.XLOOKUP(INDEX($B:$B, (ROW()-2)),'Relacion '!$E:$E,'Relacion '!#REF!,0),
  0
 )
)</f>
        <v>#REF!</v>
      </c>
      <c r="I769" s="241">
        <f t="shared" ca="1" si="182"/>
        <v>1</v>
      </c>
      <c r="J769" s="241"/>
      <c r="K769" s="241"/>
      <c r="L769" s="238"/>
    </row>
    <row r="770" spans="2:12" outlineLevel="1">
      <c r="B770" s="237" t="s">
        <v>49</v>
      </c>
      <c r="C770" s="237" t="s">
        <v>49</v>
      </c>
      <c r="D770" s="238" t="str">
        <f>_xlfn.XLOOKUP(B770,'Relacion '!$E:$E,'Relacion '!$D:$D,"")</f>
        <v/>
      </c>
      <c r="E770" s="239">
        <f t="shared" ref="E770:E833" si="183">IF(OR(F770="",G770=""),"",G770-F770)</f>
        <v>14</v>
      </c>
      <c r="F770" s="240" cm="1">
        <f t="array" ref="F770">MIN(INDEX('Relacion '!$AB$5:$AC$493,MATCH(INDEX($B:$B, (ROW()-3)),'Relacion '!$E$5:$E$493,0),0))</f>
        <v>46128</v>
      </c>
      <c r="G770" s="240" cm="1">
        <f t="array" ref="G770">MAX(INDEX('Relacion '!$AB$5:$AC$493,MATCH(INDEX($B:$B, (ROW()-3)),'Relacion '!$E$5:$E$493,0),0))</f>
        <v>46142</v>
      </c>
      <c r="H770" s="241" cm="1">
        <f t="array" ref="H770">IF(
 MATCH(B770,{"01. ASIGNACION AREA";"02. MAPEO";"03. DESARROLLO";"04. VALIDA US";"05. VOBO US";"06. BW-EJECUCION";"07. VALIDACIÓN BAJAWARE";"08. CERRADA"},0)
 &lt;
 MATCH(_xlfn.XLOOKUP(INDEX($B:$B, (ROW()-3)),'Relacion '!$E:$E,'Relacion '!$D:$D,""),{"01. ASIGNACION AREA";"02. MAPEO";"03. DESARROLLO";"04. VALIDA US";"05. VOBO US";"06. BW-EJECUCION";"07. VALIDACIÓN BAJAWARE";"08. CERRADA"},0),
 1,
 IF(
  MATCH(B770,{"01. ASIGNACION AREA";"02. MAPEO";"03. DESARROLLO";"04. VALIDA US";"05. VOBO US";"06. BW-EJECUCION";"07. VALIDACIÓN BAJAWARE";"08. CERRADA"},0)
  =
  MATCH(_xlfn.XLOOKUP(INDEX($B:$B, (ROW()-3)),'Relacion '!$E:$E,'Relacion '!$D:$D,""),{"01. ASIGNACION AREA";"02. MAPEO";"03. DESARROLLO";"04. VALIDA US";"05. VOBO US";"06. BW-EJECUCION";"07. VALIDACIÓN BAJAWARE";"08. CERRADA"},0),
  _xlfn.XLOOKUP(INDEX($B:$B, (ROW()-3)),'Relacion '!$E:$E,'Relacion '!#REF!,0),
  0
 )
)</f>
        <v>0</v>
      </c>
      <c r="I770" s="241">
        <f t="shared" ca="1" si="182"/>
        <v>1</v>
      </c>
      <c r="J770" s="241"/>
      <c r="K770" s="241"/>
      <c r="L770" s="238"/>
    </row>
    <row r="771" spans="2:12" outlineLevel="1">
      <c r="B771" s="237" t="s">
        <v>324</v>
      </c>
      <c r="C771" s="237" t="s">
        <v>324</v>
      </c>
      <c r="D771" s="238" t="str">
        <f>_xlfn.XLOOKUP(B771,'Relacion '!$E:$E,'Relacion '!$D:$D,"")</f>
        <v/>
      </c>
      <c r="E771" s="239">
        <f t="shared" si="183"/>
        <v>11</v>
      </c>
      <c r="F771" s="240" cm="1">
        <f t="array" ref="F771">MIN(INDEX('Relacion '!$AD$5:$AE$493,MATCH(INDEX($B:$B, (ROW()-4)),'Relacion '!$E$5:$E$493,0),0))</f>
        <v>46146</v>
      </c>
      <c r="G771" s="240" cm="1">
        <f t="array" ref="G771">MAX(INDEX('Relacion '!$AD$5:$AE$493,MATCH(INDEX($B:$B, (ROW()-4)),'Relacion '!$E$5:$E$493,0),0))</f>
        <v>46157</v>
      </c>
      <c r="H771" s="241" cm="1">
        <f t="array" ref="H771">IF(
 MATCH(B771,{"01. ASIGNACION AREA";"02. MAPEO";"03. DESARROLLO";"04. VALIDA US";"05. VOBO US";"06. BW-EJECUCION";"07. VALIDACIÓN BAJAWARE";"08. CERRADA"},0)
 &lt;
 MATCH(_xlfn.XLOOKUP(INDEX($B:$B, (ROW()-4)),'Relacion '!$E:$E,'Relacion '!$D:$D,""),{"01. ASIGNACION AREA";"02. MAPEO";"03. DESARROLLO";"04. VALIDA US";"05. VOBO US";"06. BW-EJECUCION";"07. VALIDACIÓN BAJAWARE";"08. CERRADA"},0),
 1,
 IF(
  MATCH(B771,{"01. ASIGNACION AREA";"02. MAPEO";"03. DESARROLLO";"04. VALIDA US";"05. VOBO US";"06. BW-EJECUCION";"07. VALIDACIÓN BAJAWARE";"08. CERRADA"},0)
  =
  MATCH(_xlfn.XLOOKUP(INDEX($B:$B, (ROW()-4)),'Relacion '!$E:$E,'Relacion '!$D:$D,""),{"01. ASIGNACION AREA";"02. MAPEO";"03. DESARROLLO";"04. VALIDA US";"05. VOBO US";"06. BW-EJECUCION";"07. VALIDACIÓN BAJAWARE";"08. CERRADA"},0),
  _xlfn.XLOOKUP(INDEX($B:$B, (ROW()-4)),'Relacion '!$E:$E,'Relacion '!#REF!,0),
  0
 )
)</f>
        <v>0</v>
      </c>
      <c r="I771" s="241">
        <f t="shared" ca="1" si="182"/>
        <v>1</v>
      </c>
      <c r="J771" s="241"/>
      <c r="K771" s="241"/>
      <c r="L771" s="238"/>
    </row>
    <row r="772" spans="2:12" outlineLevel="1">
      <c r="B772" s="237" t="s">
        <v>320</v>
      </c>
      <c r="C772" s="237" t="s">
        <v>320</v>
      </c>
      <c r="D772" s="238" t="str">
        <f>_xlfn.XLOOKUP(B772,'Relacion '!$E:$E,'Relacion '!$D:$D,"")</f>
        <v/>
      </c>
      <c r="E772" s="239">
        <f t="shared" si="183"/>
        <v>3</v>
      </c>
      <c r="F772" s="240" cm="1">
        <f t="array" ref="F772">MIN(INDEX('Relacion '!$AF$5:$AG$493,MATCH(INDEX($B:$B, (ROW()-5)),'Relacion '!$E$5:$E$493,0),0))</f>
        <v>46157</v>
      </c>
      <c r="G772" s="240" cm="1">
        <f t="array" ref="G772">MAX(INDEX('Relacion '!$AF$5:$AG$493,MATCH(INDEX($B:$B, (ROW()-5)),'Relacion '!$E$5:$E$493,0),0))</f>
        <v>46160</v>
      </c>
      <c r="H772" s="241" cm="1">
        <f t="array" ref="H772">IF(
 MATCH(B772,{"01. ASIGNACION AREA";"02. MAPEO";"03. DESARROLLO";"04. VALIDA US";"05. VOBO US";"06. BW-EJECUCION";"07. VALIDACIÓN BAJAWARE";"08. CERRADA"},0)
 &lt;
 MATCH(_xlfn.XLOOKUP(INDEX($B:$B, (ROW()-5)),'Relacion '!$E:$E,'Relacion '!$D:$D,""),{"01. ASIGNACION AREA";"02. MAPEO";"03. DESARROLLO";"04. VALIDA US";"05. VOBO US";"06. BW-EJECUCION";"07. VALIDACIÓN BAJAWARE";"08. CERRADA"},0),
 1,
 IF(
  MATCH(B772,{"01. ASIGNACION AREA";"02. MAPEO";"03. DESARROLLO";"04. VALIDA US";"05. VOBO US";"06. BW-EJECUCION";"07. VALIDACIÓN BAJAWARE";"08. CERRADA"},0)
  =
  MATCH(_xlfn.XLOOKUP(INDEX($B:$B, (ROW()-5)),'Relacion '!$E:$E,'Relacion '!$D:$D,""),{"01. ASIGNACION AREA";"02. MAPEO";"03. DESARROLLO";"04. VALIDA US";"05. VOBO US";"06. BW-EJECUCION";"07. VALIDACIÓN BAJAWARE";"08. CERRADA"},0),
  _xlfn.XLOOKUP(INDEX($B:$B, (ROW()-5)),'Relacion '!$E:$E,'Relacion '!#REF!,0),
  0
 )
)</f>
        <v>0</v>
      </c>
      <c r="I772" s="241">
        <f t="shared" ca="1" si="182"/>
        <v>1</v>
      </c>
      <c r="J772" s="241"/>
      <c r="K772" s="241"/>
      <c r="L772" s="238"/>
    </row>
    <row r="773" spans="2:12" outlineLevel="1">
      <c r="B773" s="237" t="s">
        <v>710</v>
      </c>
      <c r="C773" s="237" t="s">
        <v>710</v>
      </c>
      <c r="D773" s="238" t="str">
        <f>_xlfn.XLOOKUP(B773,'Relacion '!$E:$E,'Relacion '!$D:$D,"")</f>
        <v/>
      </c>
      <c r="E773" s="239">
        <f t="shared" si="183"/>
        <v>2</v>
      </c>
      <c r="F773" s="240" cm="1">
        <f t="array" ref="F773">MIN(INDEX('Relacion '!$AH$5:$AI$493,MATCH(INDEX($B:$B, (ROW()-6)),'Relacion '!$E$5:$E$493,0),0))</f>
        <v>46161</v>
      </c>
      <c r="G773" s="240" cm="1">
        <f t="array" ref="G773">MAX(INDEX('Relacion '!$AH$5:$AI$493,MATCH(INDEX($B:$B, (ROW()-6)),'Relacion '!$E$5:$E$493,0),0))</f>
        <v>46163</v>
      </c>
      <c r="H773" s="241" cm="1">
        <f t="array" ref="H773">IF(
 MATCH(B773,{"01. ASIGNACION AREA";"02. MAPEO";"03. DESARROLLO";"04. VALIDA US";"05. VOBO US";"06. BW-EJECUCION";"07. VALIDACIÓN BAJAWARE";"08. CERRADA"},0)
 &lt;
 MATCH(_xlfn.XLOOKUP(INDEX($B:$B, (ROW()-6)),'Relacion '!$E:$E,'Relacion '!$D:$D,""),{"01. ASIGNACION AREA";"02. MAPEO";"03. DESARROLLO";"04. VALIDA US";"05. VOBO US";"06. BW-EJECUCION";"07. VALIDACIÓN BAJAWARE";"08. CERRADA"},0),
 1,
 IF(
  MATCH(B773,{"01. ASIGNACION AREA";"02. MAPEO";"03. DESARROLLO";"04. VALIDA US";"05. VOBO US";"06. BW-EJECUCION";"07. VALIDACIÓN BAJAWARE";"08. CERRADA"},0)
  =
  MATCH(_xlfn.XLOOKUP(INDEX($B:$B, (ROW()-6)),'Relacion '!$E:$E,'Relacion '!$D:$D,""),{"01. ASIGNACION AREA";"02. MAPEO";"03. DESARROLLO";"04. VALIDA US";"05. VOBO US";"06. BW-EJECUCION";"07. VALIDACIÓN BAJAWARE";"08. CERRADA"},0),
  _xlfn.XLOOKUP(INDEX($B:$B, (ROW()-6)),'Relacion '!$E:$E,'Relacion '!#REF!,0),
  0
 )
)</f>
        <v>0</v>
      </c>
      <c r="I773" s="241">
        <f t="shared" ca="1" si="182"/>
        <v>1</v>
      </c>
      <c r="J773" s="241"/>
      <c r="K773" s="241"/>
      <c r="L773" s="238"/>
    </row>
    <row r="774" spans="2:12" outlineLevel="1">
      <c r="B774" s="237" t="s">
        <v>655</v>
      </c>
      <c r="C774" s="237" t="s">
        <v>655</v>
      </c>
      <c r="D774" s="238" t="str">
        <f>_xlfn.XLOOKUP(B774,'Relacion '!$E:$E,'Relacion '!$D:$D,"")</f>
        <v/>
      </c>
      <c r="E774" s="239">
        <f t="shared" si="183"/>
        <v>14</v>
      </c>
      <c r="F774" s="240" cm="1">
        <f t="array" ref="F774">MIN(INDEX('Relacion '!$AJ$5:$AK$493,MATCH(INDEX($B:$B, (ROW()-7)),'Relacion '!$E$5:$E$493,0),0))</f>
        <v>46164</v>
      </c>
      <c r="G774" s="240" cm="1">
        <f t="array" ref="G774">MAX(INDEX('Relacion '!$AJ$5:$AK$493,MATCH(INDEX($B:$B, (ROW()-7)),'Relacion '!$E$5:$E$493,0),0))</f>
        <v>46178</v>
      </c>
      <c r="H774" s="241" cm="1">
        <f t="array" ref="H774">IF(
 MATCH(B774,{"01. ASIGNACION AREA";"02. MAPEO";"03. DESARROLLO";"04. VALIDA US";"05. VOBO US";"06. BW-EJECUCION";"07. VALIDACIÓN BAJAWARE";"08. CERRADA"},0)
 &lt;
 MATCH(_xlfn.XLOOKUP(INDEX($B:$B, (ROW()-7)),'Relacion '!$E:$E,'Relacion '!$D:$D,""),{"01. ASIGNACION AREA";"02. MAPEO";"03. DESARROLLO";"04. VALIDA US";"05. VOBO US";"06. BW-EJECUCION";"07. VALIDACIÓN BAJAWARE";"08. CERRADA"},0),
 1,
 IF(
  MATCH(B774,{"01. ASIGNACION AREA";"02. MAPEO";"03. DESARROLLO";"04. VALIDA US";"05. VOBO US";"06. BW-EJECUCION";"07. VALIDACIÓN BAJAWARE";"08. CERRADA"},0)
  =
  MATCH(_xlfn.XLOOKUP(INDEX($B:$B, (ROW()-7)),'Relacion '!$E:$E,'Relacion '!$D:$D,""),{"01. ASIGNACION AREA";"02. MAPEO";"03. DESARROLLO";"04. VALIDA US";"05. VOBO US";"06. BW-EJECUCION";"07. VALIDACIÓN BAJAWARE";"08. CERRADA"},0),
  _xlfn.XLOOKUP(INDEX($B:$B, (ROW()-7)),'Relacion '!$E:$E,'Relacion '!#REF!,0),
  0
 )
)</f>
        <v>0</v>
      </c>
      <c r="I774" s="241">
        <f t="shared" ca="1" si="182"/>
        <v>0</v>
      </c>
      <c r="J774" s="241"/>
      <c r="K774" s="241"/>
      <c r="L774" s="238"/>
    </row>
    <row r="775" spans="2:12" outlineLevel="1">
      <c r="B775" s="237" t="s">
        <v>656</v>
      </c>
      <c r="C775" s="237" t="s">
        <v>656</v>
      </c>
      <c r="D775" s="238" t="str">
        <f>_xlfn.XLOOKUP(B775,'Relacion '!$E:$E,'Relacion '!$D:$D,"")</f>
        <v/>
      </c>
      <c r="E775" s="239">
        <f t="shared" si="183"/>
        <v>1</v>
      </c>
      <c r="F775" s="240" cm="1">
        <f t="array" ref="F775">MIN(INDEX('Relacion '!$AL$5:$AM$493,MATCH(INDEX($B:$B, (ROW()-8)),'Relacion '!$E$5:$E$493,0),0))</f>
        <v>46181</v>
      </c>
      <c r="G775" s="240" cm="1">
        <f t="array" ref="G775">MAX(INDEX('Relacion '!$AL$5:$AM$493,MATCH(INDEX($B:$B, (ROW()-8)),'Relacion '!$E$5:$E$493,0),0))</f>
        <v>46182</v>
      </c>
      <c r="H775" s="241" cm="1">
        <f t="array" ref="H775">IF(
 MATCH(B775,{"01. ASIGNACION AREA";"02. MAPEO";"03. DESARROLLO";"04. VALIDA US";"05. VOBO US";"06. BW-EJECUCION";"07. VALIDACIÓN BAJAWARE";"08. CERRADA"},0)
 &lt;
 MATCH(_xlfn.XLOOKUP(INDEX($B:$B, (ROW()-8)),'Relacion '!$E:$E,'Relacion '!$D:$D,""),{"01. ASIGNACION AREA";"02. MAPEO";"03. DESARROLLO";"04. VALIDA US";"05. VOBO US";"06. BW-EJECUCION";"07. VALIDACIÓN BAJAWARE";"08. CERRADA"},0),
 1,
 IF(
  MATCH(B775,{"01. ASIGNACION AREA";"02. MAPEO";"03. DESARROLLO";"04. VALIDA US";"05. VOBO US";"06. BW-EJECUCION";"07. VALIDACIÓN BAJAWARE";"08. CERRADA"},0)
  =
  MATCH(_xlfn.XLOOKUP(INDEX($B:$B, (ROW()-8)),'Relacion '!$E:$E,'Relacion '!$D:$D,""),{"01. ASIGNACION AREA";"02. MAPEO";"03. DESARROLLO";"04. VALIDA US";"05. VOBO US";"06. BW-EJECUCION";"07. VALIDACIÓN BAJAWARE";"08. CERRADA"},0),
  _xlfn.XLOOKUP(INDEX($B:$B, (ROW()-8)),'Relacion '!$E:$E,'Relacion '!#REF!,0),
  0
 )
)</f>
        <v>0</v>
      </c>
      <c r="I775" s="241">
        <f t="shared" ca="1" si="182"/>
        <v>0</v>
      </c>
      <c r="J775" s="241"/>
      <c r="K775" s="241"/>
      <c r="L775" s="238"/>
    </row>
    <row r="776" spans="2:12">
      <c r="B776" s="232" t="s">
        <v>279</v>
      </c>
      <c r="C776" s="176" t="s">
        <v>280</v>
      </c>
      <c r="D776" s="236" t="str">
        <f>_xlfn.XLOOKUP(B776,'Relacion '!$E:$E,'Relacion '!$D:$D,"")</f>
        <v>04. VALIDA US</v>
      </c>
      <c r="E776" s="233">
        <f t="shared" si="183"/>
        <v>148</v>
      </c>
      <c r="F776" s="234" cm="1">
        <f t="array" ref="F776">MIN(INDEX('Relacion '!$X$5:$AM$493,MATCH(INDEX($B:$B, (ROW()-0)),'Relacion '!$E$5:$E$493,0),0))</f>
        <v>46024</v>
      </c>
      <c r="G776" s="234" cm="1">
        <f t="array" ref="G776">MAX(INDEX('Relacion '!$X$5:$AM$493,MATCH(INDEX($B:$B, (ROW()-0)),'Relacion '!$E$5:$E$493,0),0))</f>
        <v>46172</v>
      </c>
      <c r="H776" s="235" t="e">
        <f>AVERAGE(H777:H784)</f>
        <v>#REF!</v>
      </c>
      <c r="I776" s="235">
        <f t="shared" ref="I776" ca="1" si="184">AVERAGE(I777:I784)</f>
        <v>0.75</v>
      </c>
      <c r="J776" s="236" t="str">
        <f>IF(ISNUMBER(SEARCH("Rocha", _xlfn.XLOOKUP(B776,'Relacion '!$E:$E,'Relacion '!$I:$I,""))), "Sí", "No")</f>
        <v>No</v>
      </c>
      <c r="K776" s="236" t="str">
        <f>IF(ISNUMBER(SEARCH("Rocha", _xlfn.XLOOKUP(B776,'Relacion '!$E:$E,'Relacion '!$I:$I,""))), "RMC", _xlfn.XLOOKUP(B776,'Relacion '!$E:$E,'Relacion '!$B:$B,""))</f>
        <v>Tesorería </v>
      </c>
      <c r="L776" s="236" t="str">
        <f>_xlfn.XLOOKUP(B776,'Relacion '!$E:$E,'Relacion '!$C:$C,"")</f>
        <v>Eduardo Cabral</v>
      </c>
    </row>
    <row r="777" spans="2:12" outlineLevel="1">
      <c r="B777" s="237" t="s">
        <v>654</v>
      </c>
      <c r="C777" s="237" t="s">
        <v>654</v>
      </c>
      <c r="D777" s="238" t="str">
        <f>_xlfn.XLOOKUP(B777,'Relacion '!$E:$E,'Relacion '!$D:$D,"")</f>
        <v/>
      </c>
      <c r="E777" s="239">
        <f t="shared" si="183"/>
        <v>59</v>
      </c>
      <c r="F777" s="240" cm="1">
        <f t="array" ref="F777">MIN(INDEX('Relacion '!$X$5:$Y$493,MATCH(INDEX($B:$B, (ROW()-1)),'Relacion '!$E$5:$E$493,0),0))</f>
        <v>46024</v>
      </c>
      <c r="G777" s="240" cm="1">
        <f t="array" ref="G777">MAX(INDEX('Relacion '!$X$5:$Y$493,MATCH(INDEX($B:$B, (ROW()-1)),'Relacion '!$E$5:$E$493,0),0))</f>
        <v>46083</v>
      </c>
      <c r="H777" s="241" cm="1">
        <f t="array" ref="H777">IF(
 MATCH(B777,{"01. ASIGNACION AREA";"02. MAPEO";"03. DESARROLLO";"04. VALIDA US";"05. VOBO US";"06. BW-EJECUCION";"07. VALIDACIÓN BAJAWARE";"08. CERRADA"},0)
 &lt;
 MATCH(_xlfn.XLOOKUP(INDEX($B:$B, (ROW()-1)),'Relacion '!$E:$E,'Relacion '!$D:$D,""),{"01. ASIGNACION AREA";"02. MAPEO";"03. DESARROLLO";"04. VALIDA US";"05. VOBO US";"06. BW-EJECUCION";"07. VALIDACIÓN BAJAWARE";"08. CERRADA"},0),
 1,
 IF(
  MATCH(B777,{"01. ASIGNACION AREA";"02. MAPEO";"03. DESARROLLO";"04. VALIDA US";"05. VOBO US";"06. BW-EJECUCION";"07. VALIDACIÓN BAJAWARE";"08. CERRADA"},0)
  =
  MATCH(_xlfn.XLOOKUP(INDEX($B:$B, (ROW()-1)),'Relacion '!$E:$E,'Relacion '!$D:$D,""),{"01. ASIGNACION AREA";"02. MAPEO";"03. DESARROLLO";"04. VALIDA US";"05. VOBO US";"06. BW-EJECUCION";"07. VALIDACIÓN BAJAWARE";"08. CERRADA"},0),
  _xlfn.XLOOKUP(INDEX($B:$B, (ROW()-1)),'Relacion '!$E:$E,'Relacion '!#REF!,0),
  0
 )
)</f>
        <v>1</v>
      </c>
      <c r="I777" s="241">
        <f t="shared" ref="I777" ca="1" si="185">IF(G777&lt;=TODAY(), 1, 0)</f>
        <v>1</v>
      </c>
      <c r="J777" s="241"/>
      <c r="K777" s="241"/>
      <c r="L777" s="238"/>
    </row>
    <row r="778" spans="2:12" outlineLevel="1">
      <c r="B778" s="237" t="s">
        <v>195</v>
      </c>
      <c r="C778" s="237" t="s">
        <v>195</v>
      </c>
      <c r="D778" s="238" t="str">
        <f>_xlfn.XLOOKUP(B778,'Relacion '!$E:$E,'Relacion '!$D:$D,"")</f>
        <v/>
      </c>
      <c r="E778" s="239">
        <f t="shared" si="183"/>
        <v>24</v>
      </c>
      <c r="F778" s="240" cm="1">
        <f t="array" ref="F778">MIN(INDEX('Relacion '!$Z$5:$AA$493,MATCH(INDEX($B:$B, (ROW()-2)),'Relacion '!$E$5:$E$493,0),0))</f>
        <v>46056</v>
      </c>
      <c r="G778" s="240" cm="1">
        <f t="array" ref="G778">MAX(INDEX('Relacion '!$Z$5:$AA$493,MATCH(INDEX($B:$B, (ROW()-2)),'Relacion '!$E$5:$E$493,0),0))</f>
        <v>46080</v>
      </c>
      <c r="H778" s="241" cm="1">
        <f t="array" ref="H778">IF(
 MATCH(B778,{"01. ASIGNACION AREA";"02. MAPEO";"03. DESARROLLO";"04. VALIDA US";"05. VOBO US";"06. BW-EJECUCION";"07. VALIDACIÓN BAJAWARE";"08. CERRADA"},0)
 &lt;
 MATCH(_xlfn.XLOOKUP(INDEX($B:$B, (ROW()-2)),'Relacion '!$E:$E,'Relacion '!$D:$D,""),{"01. ASIGNACION AREA";"02. MAPEO";"03. DESARROLLO";"04. VALIDA US";"05. VOBO US";"06. BW-EJECUCION";"07. VALIDACIÓN BAJAWARE";"08. CERRADA"},0),
 1,
 IF(
  MATCH(B778,{"01. ASIGNACION AREA";"02. MAPEO";"03. DESARROLLO";"04. VALIDA US";"05. VOBO US";"06. BW-EJECUCION";"07. VALIDACIÓN BAJAWARE";"08. CERRADA"},0)
  =
  MATCH(_xlfn.XLOOKUP(INDEX($B:$B, (ROW()-2)),'Relacion '!$E:$E,'Relacion '!$D:$D,""),{"01. ASIGNACION AREA";"02. MAPEO";"03. DESARROLLO";"04. VALIDA US";"05. VOBO US";"06. BW-EJECUCION";"07. VALIDACIÓN BAJAWARE";"08. CERRADA"},0),
  _xlfn.XLOOKUP(INDEX($B:$B, (ROW()-2)),'Relacion '!$E:$E,'Relacion '!#REF!,0),
  0
 )
)</f>
        <v>1</v>
      </c>
      <c r="I778" s="241">
        <f t="shared" ca="1" si="182"/>
        <v>1</v>
      </c>
      <c r="J778" s="241"/>
      <c r="K778" s="241"/>
      <c r="L778" s="238"/>
    </row>
    <row r="779" spans="2:12" outlineLevel="1">
      <c r="B779" s="237" t="s">
        <v>49</v>
      </c>
      <c r="C779" s="237" t="s">
        <v>49</v>
      </c>
      <c r="D779" s="238" t="str">
        <f>_xlfn.XLOOKUP(B779,'Relacion '!$E:$E,'Relacion '!$D:$D,"")</f>
        <v/>
      </c>
      <c r="E779" s="239">
        <f t="shared" si="183"/>
        <v>39</v>
      </c>
      <c r="F779" s="240" cm="1">
        <f t="array" ref="F779">MIN(INDEX('Relacion '!$AB$5:$AC$493,MATCH(INDEX($B:$B, (ROW()-3)),'Relacion '!$E$5:$E$493,0),0))</f>
        <v>46083</v>
      </c>
      <c r="G779" s="240" cm="1">
        <f t="array" ref="G779">MAX(INDEX('Relacion '!$AB$5:$AC$493,MATCH(INDEX($B:$B, (ROW()-3)),'Relacion '!$E$5:$E$493,0),0))</f>
        <v>46122</v>
      </c>
      <c r="H779" s="241" cm="1">
        <f t="array" ref="H779">IF(
 MATCH(B779,{"01. ASIGNACION AREA";"02. MAPEO";"03. DESARROLLO";"04. VALIDA US";"05. VOBO US";"06. BW-EJECUCION";"07. VALIDACIÓN BAJAWARE";"08. CERRADA"},0)
 &lt;
 MATCH(_xlfn.XLOOKUP(INDEX($B:$B, (ROW()-3)),'Relacion '!$E:$E,'Relacion '!$D:$D,""),{"01. ASIGNACION AREA";"02. MAPEO";"03. DESARROLLO";"04. VALIDA US";"05. VOBO US";"06. BW-EJECUCION";"07. VALIDACIÓN BAJAWARE";"08. CERRADA"},0),
 1,
 IF(
  MATCH(B779,{"01. ASIGNACION AREA";"02. MAPEO";"03. DESARROLLO";"04. VALIDA US";"05. VOBO US";"06. BW-EJECUCION";"07. VALIDACIÓN BAJAWARE";"08. CERRADA"},0)
  =
  MATCH(_xlfn.XLOOKUP(INDEX($B:$B, (ROW()-3)),'Relacion '!$E:$E,'Relacion '!$D:$D,""),{"01. ASIGNACION AREA";"02. MAPEO";"03. DESARROLLO";"04. VALIDA US";"05. VOBO US";"06. BW-EJECUCION";"07. VALIDACIÓN BAJAWARE";"08. CERRADA"},0),
  _xlfn.XLOOKUP(INDEX($B:$B, (ROW()-3)),'Relacion '!$E:$E,'Relacion '!#REF!,0),
  0
 )
)</f>
        <v>1</v>
      </c>
      <c r="I779" s="241">
        <f t="shared" ca="1" si="182"/>
        <v>1</v>
      </c>
      <c r="J779" s="241"/>
      <c r="K779" s="241"/>
      <c r="L779" s="238"/>
    </row>
    <row r="780" spans="2:12" outlineLevel="1">
      <c r="B780" s="237" t="s">
        <v>324</v>
      </c>
      <c r="C780" s="237" t="s">
        <v>324</v>
      </c>
      <c r="D780" s="238" t="str">
        <f>_xlfn.XLOOKUP(B780,'Relacion '!$E:$E,'Relacion '!$D:$D,"")</f>
        <v/>
      </c>
      <c r="E780" s="239">
        <f t="shared" si="183"/>
        <v>25</v>
      </c>
      <c r="F780" s="240" cm="1">
        <f t="array" ref="F780">MIN(INDEX('Relacion '!$AD$5:$AE$493,MATCH(INDEX($B:$B, (ROW()-4)),'Relacion '!$E$5:$E$493,0),0))</f>
        <v>46111</v>
      </c>
      <c r="G780" s="240" cm="1">
        <f t="array" ref="G780">MAX(INDEX('Relacion '!$AD$5:$AE$493,MATCH(INDEX($B:$B, (ROW()-4)),'Relacion '!$E$5:$E$493,0),0))</f>
        <v>46136</v>
      </c>
      <c r="H780" s="241" t="e" cm="1">
        <f t="array" ref="H780">IF(
 MATCH(B780,{"01. ASIGNACION AREA";"02. MAPEO";"03. DESARROLLO";"04. VALIDA US";"05. VOBO US";"06. BW-EJECUCION";"07. VALIDACIÓN BAJAWARE";"08. CERRADA"},0)
 &lt;
 MATCH(_xlfn.XLOOKUP(INDEX($B:$B, (ROW()-4)),'Relacion '!$E:$E,'Relacion '!$D:$D,""),{"01. ASIGNACION AREA";"02. MAPEO";"03. DESARROLLO";"04. VALIDA US";"05. VOBO US";"06. BW-EJECUCION";"07. VALIDACIÓN BAJAWARE";"08. CERRADA"},0),
 1,
 IF(
  MATCH(B780,{"01. ASIGNACION AREA";"02. MAPEO";"03. DESARROLLO";"04. VALIDA US";"05. VOBO US";"06. BW-EJECUCION";"07. VALIDACIÓN BAJAWARE";"08. CERRADA"},0)
  =
  MATCH(_xlfn.XLOOKUP(INDEX($B:$B, (ROW()-4)),'Relacion '!$E:$E,'Relacion '!$D:$D,""),{"01. ASIGNACION AREA";"02. MAPEO";"03. DESARROLLO";"04. VALIDA US";"05. VOBO US";"06. BW-EJECUCION";"07. VALIDACIÓN BAJAWARE";"08. CERRADA"},0),
  _xlfn.XLOOKUP(INDEX($B:$B, (ROW()-4)),'Relacion '!$E:$E,'Relacion '!#REF!,0),
  0
 )
)</f>
        <v>#REF!</v>
      </c>
      <c r="I780" s="241">
        <f t="shared" ca="1" si="182"/>
        <v>1</v>
      </c>
      <c r="J780" s="241"/>
      <c r="K780" s="241"/>
      <c r="L780" s="238"/>
    </row>
    <row r="781" spans="2:12" outlineLevel="1">
      <c r="B781" s="237" t="s">
        <v>320</v>
      </c>
      <c r="C781" s="237" t="s">
        <v>320</v>
      </c>
      <c r="D781" s="238" t="str">
        <f>_xlfn.XLOOKUP(B781,'Relacion '!$E:$E,'Relacion '!$D:$D,"")</f>
        <v/>
      </c>
      <c r="E781" s="239">
        <f t="shared" si="183"/>
        <v>18</v>
      </c>
      <c r="F781" s="240" cm="1">
        <f t="array" ref="F781">MIN(INDEX('Relacion '!$AF$5:$AG$493,MATCH(INDEX($B:$B, (ROW()-5)),'Relacion '!$E$5:$E$493,0),0))</f>
        <v>46118</v>
      </c>
      <c r="G781" s="240" cm="1">
        <f t="array" ref="G781">MAX(INDEX('Relacion '!$AF$5:$AG$493,MATCH(INDEX($B:$B, (ROW()-5)),'Relacion '!$E$5:$E$493,0),0))</f>
        <v>46136</v>
      </c>
      <c r="H781" s="241" cm="1">
        <f t="array" ref="H781">IF(
 MATCH(B781,{"01. ASIGNACION AREA";"02. MAPEO";"03. DESARROLLO";"04. VALIDA US";"05. VOBO US";"06. BW-EJECUCION";"07. VALIDACIÓN BAJAWARE";"08. CERRADA"},0)
 &lt;
 MATCH(_xlfn.XLOOKUP(INDEX($B:$B, (ROW()-5)),'Relacion '!$E:$E,'Relacion '!$D:$D,""),{"01. ASIGNACION AREA";"02. MAPEO";"03. DESARROLLO";"04. VALIDA US";"05. VOBO US";"06. BW-EJECUCION";"07. VALIDACIÓN BAJAWARE";"08. CERRADA"},0),
 1,
 IF(
  MATCH(B781,{"01. ASIGNACION AREA";"02. MAPEO";"03. DESARROLLO";"04. VALIDA US";"05. VOBO US";"06. BW-EJECUCION";"07. VALIDACIÓN BAJAWARE";"08. CERRADA"},0)
  =
  MATCH(_xlfn.XLOOKUP(INDEX($B:$B, (ROW()-5)),'Relacion '!$E:$E,'Relacion '!$D:$D,""),{"01. ASIGNACION AREA";"02. MAPEO";"03. DESARROLLO";"04. VALIDA US";"05. VOBO US";"06. BW-EJECUCION";"07. VALIDACIÓN BAJAWARE";"08. CERRADA"},0),
  _xlfn.XLOOKUP(INDEX($B:$B, (ROW()-5)),'Relacion '!$E:$E,'Relacion '!#REF!,0),
  0
 )
)</f>
        <v>0</v>
      </c>
      <c r="I781" s="241">
        <f t="shared" ca="1" si="182"/>
        <v>1</v>
      </c>
      <c r="J781" s="241"/>
      <c r="K781" s="241"/>
      <c r="L781" s="238"/>
    </row>
    <row r="782" spans="2:12" outlineLevel="1">
      <c r="B782" s="237" t="s">
        <v>710</v>
      </c>
      <c r="C782" s="237" t="s">
        <v>710</v>
      </c>
      <c r="D782" s="238" t="str">
        <f>_xlfn.XLOOKUP(B782,'Relacion '!$E:$E,'Relacion '!$D:$D,"")</f>
        <v/>
      </c>
      <c r="E782" s="239">
        <f t="shared" si="183"/>
        <v>25</v>
      </c>
      <c r="F782" s="240" cm="1">
        <f t="array" ref="F782">MIN(INDEX('Relacion '!$AH$5:$AI$493,MATCH(INDEX($B:$B, (ROW()-6)),'Relacion '!$E$5:$E$493,0),0))</f>
        <v>46125</v>
      </c>
      <c r="G782" s="240" cm="1">
        <f t="array" ref="G782">MAX(INDEX('Relacion '!$AH$5:$AI$493,MATCH(INDEX($B:$B, (ROW()-6)),'Relacion '!$E$5:$E$493,0),0))</f>
        <v>46150</v>
      </c>
      <c r="H782" s="241" cm="1">
        <f t="array" ref="H782">IF(
 MATCH(B782,{"01. ASIGNACION AREA";"02. MAPEO";"03. DESARROLLO";"04. VALIDA US";"05. VOBO US";"06. BW-EJECUCION";"07. VALIDACIÓN BAJAWARE";"08. CERRADA"},0)
 &lt;
 MATCH(_xlfn.XLOOKUP(INDEX($B:$B, (ROW()-6)),'Relacion '!$E:$E,'Relacion '!$D:$D,""),{"01. ASIGNACION AREA";"02. MAPEO";"03. DESARROLLO";"04. VALIDA US";"05. VOBO US";"06. BW-EJECUCION";"07. VALIDACIÓN BAJAWARE";"08. CERRADA"},0),
 1,
 IF(
  MATCH(B782,{"01. ASIGNACION AREA";"02. MAPEO";"03. DESARROLLO";"04. VALIDA US";"05. VOBO US";"06. BW-EJECUCION";"07. VALIDACIÓN BAJAWARE";"08. CERRADA"},0)
  =
  MATCH(_xlfn.XLOOKUP(INDEX($B:$B, (ROW()-6)),'Relacion '!$E:$E,'Relacion '!$D:$D,""),{"01. ASIGNACION AREA";"02. MAPEO";"03. DESARROLLO";"04. VALIDA US";"05. VOBO US";"06. BW-EJECUCION";"07. VALIDACIÓN BAJAWARE";"08. CERRADA"},0),
  _xlfn.XLOOKUP(INDEX($B:$B, (ROW()-6)),'Relacion '!$E:$E,'Relacion '!#REF!,0),
  0
 )
)</f>
        <v>0</v>
      </c>
      <c r="I782" s="241">
        <f t="shared" ca="1" si="182"/>
        <v>1</v>
      </c>
      <c r="J782" s="241"/>
      <c r="K782" s="241"/>
      <c r="L782" s="238"/>
    </row>
    <row r="783" spans="2:12" outlineLevel="1">
      <c r="B783" s="237" t="s">
        <v>655</v>
      </c>
      <c r="C783" s="237" t="s">
        <v>655</v>
      </c>
      <c r="D783" s="238" t="str">
        <f>_xlfn.XLOOKUP(B783,'Relacion '!$E:$E,'Relacion '!$D:$D,"")</f>
        <v/>
      </c>
      <c r="E783" s="239">
        <f t="shared" si="183"/>
        <v>32</v>
      </c>
      <c r="F783" s="240" cm="1">
        <f t="array" ref="F783">MIN(INDEX('Relacion '!$AJ$5:$AK$493,MATCH(INDEX($B:$B, (ROW()-7)),'Relacion '!$E$5:$E$493,0),0))</f>
        <v>46139</v>
      </c>
      <c r="G783" s="240" cm="1">
        <f t="array" ref="G783">MAX(INDEX('Relacion '!$AJ$5:$AK$493,MATCH(INDEX($B:$B, (ROW()-7)),'Relacion '!$E$5:$E$493,0),0))</f>
        <v>46171</v>
      </c>
      <c r="H783" s="241" cm="1">
        <f t="array" ref="H783">IF(
 MATCH(B783,{"01. ASIGNACION AREA";"02. MAPEO";"03. DESARROLLO";"04. VALIDA US";"05. VOBO US";"06. BW-EJECUCION";"07. VALIDACIÓN BAJAWARE";"08. CERRADA"},0)
 &lt;
 MATCH(_xlfn.XLOOKUP(INDEX($B:$B, (ROW()-7)),'Relacion '!$E:$E,'Relacion '!$D:$D,""),{"01. ASIGNACION AREA";"02. MAPEO";"03. DESARROLLO";"04. VALIDA US";"05. VOBO US";"06. BW-EJECUCION";"07. VALIDACIÓN BAJAWARE";"08. CERRADA"},0),
 1,
 IF(
  MATCH(B783,{"01. ASIGNACION AREA";"02. MAPEO";"03. DESARROLLO";"04. VALIDA US";"05. VOBO US";"06. BW-EJECUCION";"07. VALIDACIÓN BAJAWARE";"08. CERRADA"},0)
  =
  MATCH(_xlfn.XLOOKUP(INDEX($B:$B, (ROW()-7)),'Relacion '!$E:$E,'Relacion '!$D:$D,""),{"01. ASIGNACION AREA";"02. MAPEO";"03. DESARROLLO";"04. VALIDA US";"05. VOBO US";"06. BW-EJECUCION";"07. VALIDACIÓN BAJAWARE";"08. CERRADA"},0),
  _xlfn.XLOOKUP(INDEX($B:$B, (ROW()-7)),'Relacion '!$E:$E,'Relacion '!#REF!,0),
  0
 )
)</f>
        <v>0</v>
      </c>
      <c r="I783" s="241">
        <f t="shared" ca="1" si="182"/>
        <v>0</v>
      </c>
      <c r="J783" s="241"/>
      <c r="K783" s="241"/>
      <c r="L783" s="238"/>
    </row>
    <row r="784" spans="2:12" outlineLevel="1">
      <c r="B784" s="237" t="s">
        <v>656</v>
      </c>
      <c r="C784" s="237" t="s">
        <v>656</v>
      </c>
      <c r="D784" s="238" t="str">
        <f>_xlfn.XLOOKUP(B784,'Relacion '!$E:$E,'Relacion '!$D:$D,"")</f>
        <v/>
      </c>
      <c r="E784" s="239">
        <f t="shared" si="183"/>
        <v>0</v>
      </c>
      <c r="F784" s="240" cm="1">
        <f t="array" ref="F784">MIN(INDEX('Relacion '!$AL$5:$AM$493,MATCH(INDEX($B:$B, (ROW()-8)),'Relacion '!$E$5:$E$493,0),0))</f>
        <v>46172</v>
      </c>
      <c r="G784" s="240" cm="1">
        <f t="array" ref="G784">MAX(INDEX('Relacion '!$AL$5:$AM$493,MATCH(INDEX($B:$B, (ROW()-8)),'Relacion '!$E$5:$E$493,0),0))</f>
        <v>46172</v>
      </c>
      <c r="H784" s="241" cm="1">
        <f t="array" ref="H784">IF(
 MATCH(B784,{"01. ASIGNACION AREA";"02. MAPEO";"03. DESARROLLO";"04. VALIDA US";"05. VOBO US";"06. BW-EJECUCION";"07. VALIDACIÓN BAJAWARE";"08. CERRADA"},0)
 &lt;
 MATCH(_xlfn.XLOOKUP(INDEX($B:$B, (ROW()-8)),'Relacion '!$E:$E,'Relacion '!$D:$D,""),{"01. ASIGNACION AREA";"02. MAPEO";"03. DESARROLLO";"04. VALIDA US";"05. VOBO US";"06. BW-EJECUCION";"07. VALIDACIÓN BAJAWARE";"08. CERRADA"},0),
 1,
 IF(
  MATCH(B784,{"01. ASIGNACION AREA";"02. MAPEO";"03. DESARROLLO";"04. VALIDA US";"05. VOBO US";"06. BW-EJECUCION";"07. VALIDACIÓN BAJAWARE";"08. CERRADA"},0)
  =
  MATCH(_xlfn.XLOOKUP(INDEX($B:$B, (ROW()-8)),'Relacion '!$E:$E,'Relacion '!$D:$D,""),{"01. ASIGNACION AREA";"02. MAPEO";"03. DESARROLLO";"04. VALIDA US";"05. VOBO US";"06. BW-EJECUCION";"07. VALIDACIÓN BAJAWARE";"08. CERRADA"},0),
  _xlfn.XLOOKUP(INDEX($B:$B, (ROW()-8)),'Relacion '!$E:$E,'Relacion '!#REF!,0),
  0
 )
)</f>
        <v>0</v>
      </c>
      <c r="I784" s="241">
        <f t="shared" ca="1" si="182"/>
        <v>0</v>
      </c>
      <c r="J784" s="241"/>
      <c r="K784" s="241"/>
      <c r="L784" s="238"/>
    </row>
    <row r="785" spans="2:12">
      <c r="B785" s="232" t="s">
        <v>278</v>
      </c>
      <c r="C785" s="137" t="s">
        <v>263</v>
      </c>
      <c r="D785" s="236" t="str">
        <f>_xlfn.XLOOKUP(B785,'Relacion '!$E:$E,'Relacion '!$D:$D,"")</f>
        <v>02. MAPEO</v>
      </c>
      <c r="E785" s="233">
        <f t="shared" si="183"/>
        <v>172</v>
      </c>
      <c r="F785" s="234" cm="1">
        <f t="array" ref="F785">MIN(INDEX('Relacion '!$X$5:$AM$493,MATCH(INDEX($B:$B, (ROW()-0)),'Relacion '!$E$5:$E$493,0),0))</f>
        <v>46024</v>
      </c>
      <c r="G785" s="234" cm="1">
        <f t="array" ref="G785">MAX(INDEX('Relacion '!$X$5:$AM$493,MATCH(INDEX($B:$B, (ROW()-0)),'Relacion '!$E$5:$E$493,0),0))</f>
        <v>46196</v>
      </c>
      <c r="H785" s="235" t="e">
        <f>AVERAGE(H786:H793)</f>
        <v>#REF!</v>
      </c>
      <c r="I785" s="235">
        <f t="shared" ref="I785" ca="1" si="186">AVERAGE(I786:I793)</f>
        <v>0.375</v>
      </c>
      <c r="J785" s="236" t="str">
        <f>IF(ISNUMBER(SEARCH("Rocha", _xlfn.XLOOKUP(B785,'Relacion '!$E:$E,'Relacion '!$I:$I,""))), "Sí", "No")</f>
        <v>No</v>
      </c>
      <c r="K785" s="236" t="str">
        <f>IF(ISNUMBER(SEARCH("Rocha", _xlfn.XLOOKUP(B785,'Relacion '!$E:$E,'Relacion '!$I:$I,""))), "RMC", _xlfn.XLOOKUP(B785,'Relacion '!$E:$E,'Relacion '!$B:$B,""))</f>
        <v>Tesorería </v>
      </c>
      <c r="L785" s="236" t="str">
        <f>_xlfn.XLOOKUP(B785,'Relacion '!$E:$E,'Relacion '!$C:$C,"")</f>
        <v>Eduardo Cabral</v>
      </c>
    </row>
    <row r="786" spans="2:12" outlineLevel="1">
      <c r="B786" s="237" t="s">
        <v>654</v>
      </c>
      <c r="C786" s="237" t="s">
        <v>654</v>
      </c>
      <c r="D786" s="238" t="str">
        <f>_xlfn.XLOOKUP(B786,'Relacion '!$E:$E,'Relacion '!$D:$D,"")</f>
        <v/>
      </c>
      <c r="E786" s="239">
        <f t="shared" si="183"/>
        <v>59</v>
      </c>
      <c r="F786" s="240" cm="1">
        <f t="array" ref="F786">MIN(INDEX('Relacion '!$X$5:$Y$493,MATCH(INDEX($B:$B, (ROW()-1)),'Relacion '!$E$5:$E$493,0),0))</f>
        <v>46024</v>
      </c>
      <c r="G786" s="240" cm="1">
        <f t="array" ref="G786">MAX(INDEX('Relacion '!$X$5:$Y$493,MATCH(INDEX($B:$B, (ROW()-1)),'Relacion '!$E$5:$E$493,0),0))</f>
        <v>46083</v>
      </c>
      <c r="H786" s="241" cm="1">
        <f t="array" ref="H786">IF(
 MATCH(B786,{"01. ASIGNACION AREA";"02. MAPEO";"03. DESARROLLO";"04. VALIDA US";"05. VOBO US";"06. BW-EJECUCION";"07. VALIDACIÓN BAJAWARE";"08. CERRADA"},0)
 &lt;
 MATCH(_xlfn.XLOOKUP(INDEX($B:$B, (ROW()-1)),'Relacion '!$E:$E,'Relacion '!$D:$D,""),{"01. ASIGNACION AREA";"02. MAPEO";"03. DESARROLLO";"04. VALIDA US";"05. VOBO US";"06. BW-EJECUCION";"07. VALIDACIÓN BAJAWARE";"08. CERRADA"},0),
 1,
 IF(
  MATCH(B786,{"01. ASIGNACION AREA";"02. MAPEO";"03. DESARROLLO";"04. VALIDA US";"05. VOBO US";"06. BW-EJECUCION";"07. VALIDACIÓN BAJAWARE";"08. CERRADA"},0)
  =
  MATCH(_xlfn.XLOOKUP(INDEX($B:$B, (ROW()-1)),'Relacion '!$E:$E,'Relacion '!$D:$D,""),{"01. ASIGNACION AREA";"02. MAPEO";"03. DESARROLLO";"04. VALIDA US";"05. VOBO US";"06. BW-EJECUCION";"07. VALIDACIÓN BAJAWARE";"08. CERRADA"},0),
  _xlfn.XLOOKUP(INDEX($B:$B, (ROW()-1)),'Relacion '!$E:$E,'Relacion '!#REF!,0),
  0
 )
)</f>
        <v>1</v>
      </c>
      <c r="I786" s="241">
        <f t="shared" ref="I786" ca="1" si="187">IF(G786&lt;=TODAY(), 1, 0)</f>
        <v>1</v>
      </c>
      <c r="J786" s="241"/>
      <c r="K786" s="241"/>
      <c r="L786" s="238"/>
    </row>
    <row r="787" spans="2:12" outlineLevel="1">
      <c r="B787" s="237" t="s">
        <v>195</v>
      </c>
      <c r="C787" s="237" t="s">
        <v>195</v>
      </c>
      <c r="D787" s="238" t="str">
        <f>_xlfn.XLOOKUP(B787,'Relacion '!$E:$E,'Relacion '!$D:$D,"")</f>
        <v/>
      </c>
      <c r="E787" s="239">
        <f t="shared" si="183"/>
        <v>80</v>
      </c>
      <c r="F787" s="240" cm="1">
        <f t="array" ref="F787">MIN(INDEX('Relacion '!$Z$5:$AA$493,MATCH(INDEX($B:$B, (ROW()-2)),'Relacion '!$E$5:$E$493,0),0))</f>
        <v>46056</v>
      </c>
      <c r="G787" s="240" cm="1">
        <f t="array" ref="G787">MAX(INDEX('Relacion '!$Z$5:$AA$493,MATCH(INDEX($B:$B, (ROW()-2)),'Relacion '!$E$5:$E$493,0),0))</f>
        <v>46136</v>
      </c>
      <c r="H787" s="241" t="e" cm="1">
        <f t="array" ref="H787">IF(
 MATCH(B787,{"01. ASIGNACION AREA";"02. MAPEO";"03. DESARROLLO";"04. VALIDA US";"05. VOBO US";"06. BW-EJECUCION";"07. VALIDACIÓN BAJAWARE";"08. CERRADA"},0)
 &lt;
 MATCH(_xlfn.XLOOKUP(INDEX($B:$B, (ROW()-2)),'Relacion '!$E:$E,'Relacion '!$D:$D,""),{"01. ASIGNACION AREA";"02. MAPEO";"03. DESARROLLO";"04. VALIDA US";"05. VOBO US";"06. BW-EJECUCION";"07. VALIDACIÓN BAJAWARE";"08. CERRADA"},0),
 1,
 IF(
  MATCH(B787,{"01. ASIGNACION AREA";"02. MAPEO";"03. DESARROLLO";"04. VALIDA US";"05. VOBO US";"06. BW-EJECUCION";"07. VALIDACIÓN BAJAWARE";"08. CERRADA"},0)
  =
  MATCH(_xlfn.XLOOKUP(INDEX($B:$B, (ROW()-2)),'Relacion '!$E:$E,'Relacion '!$D:$D,""),{"01. ASIGNACION AREA";"02. MAPEO";"03. DESARROLLO";"04. VALIDA US";"05. VOBO US";"06. BW-EJECUCION";"07. VALIDACIÓN BAJAWARE";"08. CERRADA"},0),
  _xlfn.XLOOKUP(INDEX($B:$B, (ROW()-2)),'Relacion '!$E:$E,'Relacion '!#REF!,0),
  0
 )
)</f>
        <v>#REF!</v>
      </c>
      <c r="I787" s="241">
        <f t="shared" ca="1" si="182"/>
        <v>1</v>
      </c>
      <c r="J787" s="241"/>
      <c r="K787" s="241"/>
      <c r="L787" s="238"/>
    </row>
    <row r="788" spans="2:12" outlineLevel="1">
      <c r="B788" s="237" t="s">
        <v>49</v>
      </c>
      <c r="C788" s="237" t="s">
        <v>49</v>
      </c>
      <c r="D788" s="238" t="str">
        <f>_xlfn.XLOOKUP(B788,'Relacion '!$E:$E,'Relacion '!$D:$D,"")</f>
        <v/>
      </c>
      <c r="E788" s="239">
        <f t="shared" si="183"/>
        <v>18</v>
      </c>
      <c r="F788" s="240" cm="1">
        <f t="array" ref="F788">MIN(INDEX('Relacion '!$AB$5:$AC$493,MATCH(INDEX($B:$B, (ROW()-3)),'Relacion '!$E$5:$E$493,0),0))</f>
        <v>46139</v>
      </c>
      <c r="G788" s="240" cm="1">
        <f t="array" ref="G788">MAX(INDEX('Relacion '!$AB$5:$AC$493,MATCH(INDEX($B:$B, (ROW()-3)),'Relacion '!$E$5:$E$493,0),0))</f>
        <v>46157</v>
      </c>
      <c r="H788" s="241" cm="1">
        <f t="array" ref="H788">IF(
 MATCH(B788,{"01. ASIGNACION AREA";"02. MAPEO";"03. DESARROLLO";"04. VALIDA US";"05. VOBO US";"06. BW-EJECUCION";"07. VALIDACIÓN BAJAWARE";"08. CERRADA"},0)
 &lt;
 MATCH(_xlfn.XLOOKUP(INDEX($B:$B, (ROW()-3)),'Relacion '!$E:$E,'Relacion '!$D:$D,""),{"01. ASIGNACION AREA";"02. MAPEO";"03. DESARROLLO";"04. VALIDA US";"05. VOBO US";"06. BW-EJECUCION";"07. VALIDACIÓN BAJAWARE";"08. CERRADA"},0),
 1,
 IF(
  MATCH(B788,{"01. ASIGNACION AREA";"02. MAPEO";"03. DESARROLLO";"04. VALIDA US";"05. VOBO US";"06. BW-EJECUCION";"07. VALIDACIÓN BAJAWARE";"08. CERRADA"},0)
  =
  MATCH(_xlfn.XLOOKUP(INDEX($B:$B, (ROW()-3)),'Relacion '!$E:$E,'Relacion '!$D:$D,""),{"01. ASIGNACION AREA";"02. MAPEO";"03. DESARROLLO";"04. VALIDA US";"05. VOBO US";"06. BW-EJECUCION";"07. VALIDACIÓN BAJAWARE";"08. CERRADA"},0),
  _xlfn.XLOOKUP(INDEX($B:$B, (ROW()-3)),'Relacion '!$E:$E,'Relacion '!#REF!,0),
  0
 )
)</f>
        <v>0</v>
      </c>
      <c r="I788" s="241">
        <f t="shared" ca="1" si="182"/>
        <v>1</v>
      </c>
      <c r="J788" s="241"/>
      <c r="K788" s="241"/>
      <c r="L788" s="238"/>
    </row>
    <row r="789" spans="2:12" outlineLevel="1">
      <c r="B789" s="237" t="s">
        <v>324</v>
      </c>
      <c r="C789" s="237" t="s">
        <v>324</v>
      </c>
      <c r="D789" s="238" t="str">
        <f>_xlfn.XLOOKUP(B789,'Relacion '!$E:$E,'Relacion '!$D:$D,"")</f>
        <v/>
      </c>
      <c r="E789" s="239">
        <f t="shared" si="183"/>
        <v>11</v>
      </c>
      <c r="F789" s="240" cm="1">
        <f t="array" ref="F789">MIN(INDEX('Relacion '!$AD$5:$AE$493,MATCH(INDEX($B:$B, (ROW()-4)),'Relacion '!$E$5:$E$493,0),0))</f>
        <v>46160</v>
      </c>
      <c r="G789" s="240" cm="1">
        <f t="array" ref="G789">MAX(INDEX('Relacion '!$AD$5:$AE$493,MATCH(INDEX($B:$B, (ROW()-4)),'Relacion '!$E$5:$E$493,0),0))</f>
        <v>46171</v>
      </c>
      <c r="H789" s="241" cm="1">
        <f t="array" ref="H789">IF(
 MATCH(B789,{"01. ASIGNACION AREA";"02. MAPEO";"03. DESARROLLO";"04. VALIDA US";"05. VOBO US";"06. BW-EJECUCION";"07. VALIDACIÓN BAJAWARE";"08. CERRADA"},0)
 &lt;
 MATCH(_xlfn.XLOOKUP(INDEX($B:$B, (ROW()-4)),'Relacion '!$E:$E,'Relacion '!$D:$D,""),{"01. ASIGNACION AREA";"02. MAPEO";"03. DESARROLLO";"04. VALIDA US";"05. VOBO US";"06. BW-EJECUCION";"07. VALIDACIÓN BAJAWARE";"08. CERRADA"},0),
 1,
 IF(
  MATCH(B789,{"01. ASIGNACION AREA";"02. MAPEO";"03. DESARROLLO";"04. VALIDA US";"05. VOBO US";"06. BW-EJECUCION";"07. VALIDACIÓN BAJAWARE";"08. CERRADA"},0)
  =
  MATCH(_xlfn.XLOOKUP(INDEX($B:$B, (ROW()-4)),'Relacion '!$E:$E,'Relacion '!$D:$D,""),{"01. ASIGNACION AREA";"02. MAPEO";"03. DESARROLLO";"04. VALIDA US";"05. VOBO US";"06. BW-EJECUCION";"07. VALIDACIÓN BAJAWARE";"08. CERRADA"},0),
  _xlfn.XLOOKUP(INDEX($B:$B, (ROW()-4)),'Relacion '!$E:$E,'Relacion '!#REF!,0),
  0
 )
)</f>
        <v>0</v>
      </c>
      <c r="I789" s="241">
        <f t="shared" ca="1" si="182"/>
        <v>0</v>
      </c>
      <c r="J789" s="241"/>
      <c r="K789" s="241"/>
      <c r="L789" s="238"/>
    </row>
    <row r="790" spans="2:12" outlineLevel="1">
      <c r="B790" s="237" t="s">
        <v>320</v>
      </c>
      <c r="C790" s="237" t="s">
        <v>320</v>
      </c>
      <c r="D790" s="238" t="str">
        <f>_xlfn.XLOOKUP(B790,'Relacion '!$E:$E,'Relacion '!$D:$D,"")</f>
        <v/>
      </c>
      <c r="E790" s="239">
        <f t="shared" si="183"/>
        <v>3</v>
      </c>
      <c r="F790" s="240" cm="1">
        <f t="array" ref="F790">MIN(INDEX('Relacion '!$AF$5:$AG$493,MATCH(INDEX($B:$B, (ROW()-5)),'Relacion '!$E$5:$E$493,0),0))</f>
        <v>46171</v>
      </c>
      <c r="G790" s="240" cm="1">
        <f t="array" ref="G790">MAX(INDEX('Relacion '!$AF$5:$AG$493,MATCH(INDEX($B:$B, (ROW()-5)),'Relacion '!$E$5:$E$493,0),0))</f>
        <v>46174</v>
      </c>
      <c r="H790" s="241" cm="1">
        <f t="array" ref="H790">IF(
 MATCH(B790,{"01. ASIGNACION AREA";"02. MAPEO";"03. DESARROLLO";"04. VALIDA US";"05. VOBO US";"06. BW-EJECUCION";"07. VALIDACIÓN BAJAWARE";"08. CERRADA"},0)
 &lt;
 MATCH(_xlfn.XLOOKUP(INDEX($B:$B, (ROW()-5)),'Relacion '!$E:$E,'Relacion '!$D:$D,""),{"01. ASIGNACION AREA";"02. MAPEO";"03. DESARROLLO";"04. VALIDA US";"05. VOBO US";"06. BW-EJECUCION";"07. VALIDACIÓN BAJAWARE";"08. CERRADA"},0),
 1,
 IF(
  MATCH(B790,{"01. ASIGNACION AREA";"02. MAPEO";"03. DESARROLLO";"04. VALIDA US";"05. VOBO US";"06. BW-EJECUCION";"07. VALIDACIÓN BAJAWARE";"08. CERRADA"},0)
  =
  MATCH(_xlfn.XLOOKUP(INDEX($B:$B, (ROW()-5)),'Relacion '!$E:$E,'Relacion '!$D:$D,""),{"01. ASIGNACION AREA";"02. MAPEO";"03. DESARROLLO";"04. VALIDA US";"05. VOBO US";"06. BW-EJECUCION";"07. VALIDACIÓN BAJAWARE";"08. CERRADA"},0),
  _xlfn.XLOOKUP(INDEX($B:$B, (ROW()-5)),'Relacion '!$E:$E,'Relacion '!#REF!,0),
  0
 )
)</f>
        <v>0</v>
      </c>
      <c r="I790" s="241">
        <f t="shared" ca="1" si="182"/>
        <v>0</v>
      </c>
      <c r="J790" s="241"/>
      <c r="K790" s="241"/>
      <c r="L790" s="238"/>
    </row>
    <row r="791" spans="2:12" outlineLevel="1">
      <c r="B791" s="237" t="s">
        <v>710</v>
      </c>
      <c r="C791" s="237" t="s">
        <v>710</v>
      </c>
      <c r="D791" s="238" t="str">
        <f>_xlfn.XLOOKUP(B791,'Relacion '!$E:$E,'Relacion '!$D:$D,"")</f>
        <v/>
      </c>
      <c r="E791" s="239">
        <f t="shared" si="183"/>
        <v>2</v>
      </c>
      <c r="F791" s="240" cm="1">
        <f t="array" ref="F791">MIN(INDEX('Relacion '!$AH$5:$AI$493,MATCH(INDEX($B:$B, (ROW()-6)),'Relacion '!$E$5:$E$493,0),0))</f>
        <v>46175</v>
      </c>
      <c r="G791" s="240" cm="1">
        <f t="array" ref="G791">MAX(INDEX('Relacion '!$AH$5:$AI$493,MATCH(INDEX($B:$B, (ROW()-6)),'Relacion '!$E$5:$E$493,0),0))</f>
        <v>46177</v>
      </c>
      <c r="H791" s="241" cm="1">
        <f t="array" ref="H791">IF(
 MATCH(B791,{"01. ASIGNACION AREA";"02. MAPEO";"03. DESARROLLO";"04. VALIDA US";"05. VOBO US";"06. BW-EJECUCION";"07. VALIDACIÓN BAJAWARE";"08. CERRADA"},0)
 &lt;
 MATCH(_xlfn.XLOOKUP(INDEX($B:$B, (ROW()-6)),'Relacion '!$E:$E,'Relacion '!$D:$D,""),{"01. ASIGNACION AREA";"02. MAPEO";"03. DESARROLLO";"04. VALIDA US";"05. VOBO US";"06. BW-EJECUCION";"07. VALIDACIÓN BAJAWARE";"08. CERRADA"},0),
 1,
 IF(
  MATCH(B791,{"01. ASIGNACION AREA";"02. MAPEO";"03. DESARROLLO";"04. VALIDA US";"05. VOBO US";"06. BW-EJECUCION";"07. VALIDACIÓN BAJAWARE";"08. CERRADA"},0)
  =
  MATCH(_xlfn.XLOOKUP(INDEX($B:$B, (ROW()-6)),'Relacion '!$E:$E,'Relacion '!$D:$D,""),{"01. ASIGNACION AREA";"02. MAPEO";"03. DESARROLLO";"04. VALIDA US";"05. VOBO US";"06. BW-EJECUCION";"07. VALIDACIÓN BAJAWARE";"08. CERRADA"},0),
  _xlfn.XLOOKUP(INDEX($B:$B, (ROW()-6)),'Relacion '!$E:$E,'Relacion '!#REF!,0),
  0
 )
)</f>
        <v>0</v>
      </c>
      <c r="I791" s="241">
        <f t="shared" ca="1" si="182"/>
        <v>0</v>
      </c>
      <c r="J791" s="241"/>
      <c r="K791" s="241"/>
      <c r="L791" s="238"/>
    </row>
    <row r="792" spans="2:12" outlineLevel="1">
      <c r="B792" s="237" t="s">
        <v>655</v>
      </c>
      <c r="C792" s="237" t="s">
        <v>655</v>
      </c>
      <c r="D792" s="238" t="str">
        <f>_xlfn.XLOOKUP(B792,'Relacion '!$E:$E,'Relacion '!$D:$D,"")</f>
        <v/>
      </c>
      <c r="E792" s="239">
        <f t="shared" si="183"/>
        <v>14</v>
      </c>
      <c r="F792" s="240" cm="1">
        <f t="array" ref="F792">MIN(INDEX('Relacion '!$AJ$5:$AK$493,MATCH(INDEX($B:$B, (ROW()-7)),'Relacion '!$E$5:$E$493,0),0))</f>
        <v>46178</v>
      </c>
      <c r="G792" s="240" cm="1">
        <f t="array" ref="G792">MAX(INDEX('Relacion '!$AJ$5:$AK$493,MATCH(INDEX($B:$B, (ROW()-7)),'Relacion '!$E$5:$E$493,0),0))</f>
        <v>46192</v>
      </c>
      <c r="H792" s="241" cm="1">
        <f t="array" ref="H792">IF(
 MATCH(B792,{"01. ASIGNACION AREA";"02. MAPEO";"03. DESARROLLO";"04. VALIDA US";"05. VOBO US";"06. BW-EJECUCION";"07. VALIDACIÓN BAJAWARE";"08. CERRADA"},0)
 &lt;
 MATCH(_xlfn.XLOOKUP(INDEX($B:$B, (ROW()-7)),'Relacion '!$E:$E,'Relacion '!$D:$D,""),{"01. ASIGNACION AREA";"02. MAPEO";"03. DESARROLLO";"04. VALIDA US";"05. VOBO US";"06. BW-EJECUCION";"07. VALIDACIÓN BAJAWARE";"08. CERRADA"},0),
 1,
 IF(
  MATCH(B792,{"01. ASIGNACION AREA";"02. MAPEO";"03. DESARROLLO";"04. VALIDA US";"05. VOBO US";"06. BW-EJECUCION";"07. VALIDACIÓN BAJAWARE";"08. CERRADA"},0)
  =
  MATCH(_xlfn.XLOOKUP(INDEX($B:$B, (ROW()-7)),'Relacion '!$E:$E,'Relacion '!$D:$D,""),{"01. ASIGNACION AREA";"02. MAPEO";"03. DESARROLLO";"04. VALIDA US";"05. VOBO US";"06. BW-EJECUCION";"07. VALIDACIÓN BAJAWARE";"08. CERRADA"},0),
  _xlfn.XLOOKUP(INDEX($B:$B, (ROW()-7)),'Relacion '!$E:$E,'Relacion '!#REF!,0),
  0
 )
)</f>
        <v>0</v>
      </c>
      <c r="I792" s="241">
        <f t="shared" ca="1" si="182"/>
        <v>0</v>
      </c>
      <c r="J792" s="241"/>
      <c r="K792" s="241"/>
      <c r="L792" s="238"/>
    </row>
    <row r="793" spans="2:12" outlineLevel="1">
      <c r="B793" s="237" t="s">
        <v>656</v>
      </c>
      <c r="C793" s="237" t="s">
        <v>656</v>
      </c>
      <c r="D793" s="238" t="str">
        <f>_xlfn.XLOOKUP(B793,'Relacion '!$E:$E,'Relacion '!$D:$D,"")</f>
        <v/>
      </c>
      <c r="E793" s="239">
        <f t="shared" si="183"/>
        <v>1</v>
      </c>
      <c r="F793" s="240" cm="1">
        <f t="array" ref="F793">MIN(INDEX('Relacion '!$AL$5:$AM$493,MATCH(INDEX($B:$B, (ROW()-8)),'Relacion '!$E$5:$E$493,0),0))</f>
        <v>46195</v>
      </c>
      <c r="G793" s="240" cm="1">
        <f t="array" ref="G793">MAX(INDEX('Relacion '!$AL$5:$AM$493,MATCH(INDEX($B:$B, (ROW()-8)),'Relacion '!$E$5:$E$493,0),0))</f>
        <v>46196</v>
      </c>
      <c r="H793" s="241" cm="1">
        <f t="array" ref="H793">IF(
 MATCH(B793,{"01. ASIGNACION AREA";"02. MAPEO";"03. DESARROLLO";"04. VALIDA US";"05. VOBO US";"06. BW-EJECUCION";"07. VALIDACIÓN BAJAWARE";"08. CERRADA"},0)
 &lt;
 MATCH(_xlfn.XLOOKUP(INDEX($B:$B, (ROW()-8)),'Relacion '!$E:$E,'Relacion '!$D:$D,""),{"01. ASIGNACION AREA";"02. MAPEO";"03. DESARROLLO";"04. VALIDA US";"05. VOBO US";"06. BW-EJECUCION";"07. VALIDACIÓN BAJAWARE";"08. CERRADA"},0),
 1,
 IF(
  MATCH(B793,{"01. ASIGNACION AREA";"02. MAPEO";"03. DESARROLLO";"04. VALIDA US";"05. VOBO US";"06. BW-EJECUCION";"07. VALIDACIÓN BAJAWARE";"08. CERRADA"},0)
  =
  MATCH(_xlfn.XLOOKUP(INDEX($B:$B, (ROW()-8)),'Relacion '!$E:$E,'Relacion '!$D:$D,""),{"01. ASIGNACION AREA";"02. MAPEO";"03. DESARROLLO";"04. VALIDA US";"05. VOBO US";"06. BW-EJECUCION";"07. VALIDACIÓN BAJAWARE";"08. CERRADA"},0),
  _xlfn.XLOOKUP(INDEX($B:$B, (ROW()-8)),'Relacion '!$E:$E,'Relacion '!#REF!,0),
  0
 )
)</f>
        <v>0</v>
      </c>
      <c r="I793" s="241">
        <f t="shared" ca="1" si="182"/>
        <v>0</v>
      </c>
      <c r="J793" s="241"/>
      <c r="K793" s="241"/>
      <c r="L793" s="238"/>
    </row>
    <row r="794" spans="2:12">
      <c r="B794" s="232" t="s">
        <v>277</v>
      </c>
      <c r="C794" s="137" t="s">
        <v>263</v>
      </c>
      <c r="D794" s="236" t="str">
        <f>_xlfn.XLOOKUP(B794,'Relacion '!$E:$E,'Relacion '!$D:$D,"")</f>
        <v>02. MAPEO</v>
      </c>
      <c r="E794" s="233">
        <f t="shared" si="183"/>
        <v>172</v>
      </c>
      <c r="F794" s="234" cm="1">
        <f t="array" ref="F794">MIN(INDEX('Relacion '!$X$5:$AM$493,MATCH(INDEX($B:$B, (ROW()-0)),'Relacion '!$E$5:$E$493,0),0))</f>
        <v>46024</v>
      </c>
      <c r="G794" s="234" cm="1">
        <f t="array" ref="G794">MAX(INDEX('Relacion '!$X$5:$AM$493,MATCH(INDEX($B:$B, (ROW()-0)),'Relacion '!$E$5:$E$493,0),0))</f>
        <v>46196</v>
      </c>
      <c r="H794" s="235" t="e">
        <f>AVERAGE(H795:H802)</f>
        <v>#REF!</v>
      </c>
      <c r="I794" s="235">
        <f t="shared" ref="I794" ca="1" si="188">AVERAGE(I795:I802)</f>
        <v>0.375</v>
      </c>
      <c r="J794" s="236" t="str">
        <f>IF(ISNUMBER(SEARCH("Rocha", _xlfn.XLOOKUP(B794,'Relacion '!$E:$E,'Relacion '!$I:$I,""))), "Sí", "No")</f>
        <v>No</v>
      </c>
      <c r="K794" s="236" t="str">
        <f>IF(ISNUMBER(SEARCH("Rocha", _xlfn.XLOOKUP(B794,'Relacion '!$E:$E,'Relacion '!$I:$I,""))), "RMC", _xlfn.XLOOKUP(B794,'Relacion '!$E:$E,'Relacion '!$B:$B,""))</f>
        <v>Tesorería </v>
      </c>
      <c r="L794" s="236" t="str">
        <f>_xlfn.XLOOKUP(B794,'Relacion '!$E:$E,'Relacion '!$C:$C,"")</f>
        <v>Eduardo Cabral</v>
      </c>
    </row>
    <row r="795" spans="2:12" outlineLevel="1">
      <c r="B795" s="237" t="s">
        <v>654</v>
      </c>
      <c r="C795" s="237" t="s">
        <v>654</v>
      </c>
      <c r="D795" s="238" t="str">
        <f>_xlfn.XLOOKUP(B795,'Relacion '!$E:$E,'Relacion '!$D:$D,"")</f>
        <v/>
      </c>
      <c r="E795" s="239">
        <f t="shared" si="183"/>
        <v>59</v>
      </c>
      <c r="F795" s="240" cm="1">
        <f t="array" ref="F795">MIN(INDEX('Relacion '!$X$5:$Y$493,MATCH(INDEX($B:$B, (ROW()-1)),'Relacion '!$E$5:$E$493,0),0))</f>
        <v>46024</v>
      </c>
      <c r="G795" s="240" cm="1">
        <f t="array" ref="G795">MAX(INDEX('Relacion '!$X$5:$Y$493,MATCH(INDEX($B:$B, (ROW()-1)),'Relacion '!$E$5:$E$493,0),0))</f>
        <v>46083</v>
      </c>
      <c r="H795" s="241" cm="1">
        <f t="array" ref="H795">IF(
 MATCH(B795,{"01. ASIGNACION AREA";"02. MAPEO";"03. DESARROLLO";"04. VALIDA US";"05. VOBO US";"06. BW-EJECUCION";"07. VALIDACIÓN BAJAWARE";"08. CERRADA"},0)
 &lt;
 MATCH(_xlfn.XLOOKUP(INDEX($B:$B, (ROW()-1)),'Relacion '!$E:$E,'Relacion '!$D:$D,""),{"01. ASIGNACION AREA";"02. MAPEO";"03. DESARROLLO";"04. VALIDA US";"05. VOBO US";"06. BW-EJECUCION";"07. VALIDACIÓN BAJAWARE";"08. CERRADA"},0),
 1,
 IF(
  MATCH(B795,{"01. ASIGNACION AREA";"02. MAPEO";"03. DESARROLLO";"04. VALIDA US";"05. VOBO US";"06. BW-EJECUCION";"07. VALIDACIÓN BAJAWARE";"08. CERRADA"},0)
  =
  MATCH(_xlfn.XLOOKUP(INDEX($B:$B, (ROW()-1)),'Relacion '!$E:$E,'Relacion '!$D:$D,""),{"01. ASIGNACION AREA";"02. MAPEO";"03. DESARROLLO";"04. VALIDA US";"05. VOBO US";"06. BW-EJECUCION";"07. VALIDACIÓN BAJAWARE";"08. CERRADA"},0),
  _xlfn.XLOOKUP(INDEX($B:$B, (ROW()-1)),'Relacion '!$E:$E,'Relacion '!#REF!,0),
  0
 )
)</f>
        <v>1</v>
      </c>
      <c r="I795" s="241">
        <f t="shared" ref="I795" ca="1" si="189">IF(G795&lt;=TODAY(), 1, 0)</f>
        <v>1</v>
      </c>
      <c r="J795" s="241"/>
      <c r="K795" s="241"/>
      <c r="L795" s="238"/>
    </row>
    <row r="796" spans="2:12" outlineLevel="1">
      <c r="B796" s="237" t="s">
        <v>195</v>
      </c>
      <c r="C796" s="237" t="s">
        <v>195</v>
      </c>
      <c r="D796" s="238" t="str">
        <f>_xlfn.XLOOKUP(B796,'Relacion '!$E:$E,'Relacion '!$D:$D,"")</f>
        <v/>
      </c>
      <c r="E796" s="239">
        <f t="shared" si="183"/>
        <v>80</v>
      </c>
      <c r="F796" s="240" cm="1">
        <f t="array" ref="F796">MIN(INDEX('Relacion '!$Z$5:$AA$493,MATCH(INDEX($B:$B, (ROW()-2)),'Relacion '!$E$5:$E$493,0),0))</f>
        <v>46056</v>
      </c>
      <c r="G796" s="240" cm="1">
        <f t="array" ref="G796">MAX(INDEX('Relacion '!$Z$5:$AA$493,MATCH(INDEX($B:$B, (ROW()-2)),'Relacion '!$E$5:$E$493,0),0))</f>
        <v>46136</v>
      </c>
      <c r="H796" s="241" t="e" cm="1">
        <f t="array" ref="H796">IF(
 MATCH(B796,{"01. ASIGNACION AREA";"02. MAPEO";"03. DESARROLLO";"04. VALIDA US";"05. VOBO US";"06. BW-EJECUCION";"07. VALIDACIÓN BAJAWARE";"08. CERRADA"},0)
 &lt;
 MATCH(_xlfn.XLOOKUP(INDEX($B:$B, (ROW()-2)),'Relacion '!$E:$E,'Relacion '!$D:$D,""),{"01. ASIGNACION AREA";"02. MAPEO";"03. DESARROLLO";"04. VALIDA US";"05. VOBO US";"06. BW-EJECUCION";"07. VALIDACIÓN BAJAWARE";"08. CERRADA"},0),
 1,
 IF(
  MATCH(B796,{"01. ASIGNACION AREA";"02. MAPEO";"03. DESARROLLO";"04. VALIDA US";"05. VOBO US";"06. BW-EJECUCION";"07. VALIDACIÓN BAJAWARE";"08. CERRADA"},0)
  =
  MATCH(_xlfn.XLOOKUP(INDEX($B:$B, (ROW()-2)),'Relacion '!$E:$E,'Relacion '!$D:$D,""),{"01. ASIGNACION AREA";"02. MAPEO";"03. DESARROLLO";"04. VALIDA US";"05. VOBO US";"06. BW-EJECUCION";"07. VALIDACIÓN BAJAWARE";"08. CERRADA"},0),
  _xlfn.XLOOKUP(INDEX($B:$B, (ROW()-2)),'Relacion '!$E:$E,'Relacion '!#REF!,0),
  0
 )
)</f>
        <v>#REF!</v>
      </c>
      <c r="I796" s="241">
        <f t="shared" ca="1" si="182"/>
        <v>1</v>
      </c>
      <c r="J796" s="241"/>
      <c r="K796" s="241"/>
      <c r="L796" s="238"/>
    </row>
    <row r="797" spans="2:12" outlineLevel="1">
      <c r="B797" s="237" t="s">
        <v>49</v>
      </c>
      <c r="C797" s="237" t="s">
        <v>49</v>
      </c>
      <c r="D797" s="238" t="str">
        <f>_xlfn.XLOOKUP(B797,'Relacion '!$E:$E,'Relacion '!$D:$D,"")</f>
        <v/>
      </c>
      <c r="E797" s="239">
        <f t="shared" si="183"/>
        <v>18</v>
      </c>
      <c r="F797" s="240" cm="1">
        <f t="array" ref="F797">MIN(INDEX('Relacion '!$AB$5:$AC$493,MATCH(INDEX($B:$B, (ROW()-3)),'Relacion '!$E$5:$E$493,0),0))</f>
        <v>46139</v>
      </c>
      <c r="G797" s="240" cm="1">
        <f t="array" ref="G797">MAX(INDEX('Relacion '!$AB$5:$AC$493,MATCH(INDEX($B:$B, (ROW()-3)),'Relacion '!$E$5:$E$493,0),0))</f>
        <v>46157</v>
      </c>
      <c r="H797" s="241" cm="1">
        <f t="array" ref="H797">IF(
 MATCH(B797,{"01. ASIGNACION AREA";"02. MAPEO";"03. DESARROLLO";"04. VALIDA US";"05. VOBO US";"06. BW-EJECUCION";"07. VALIDACIÓN BAJAWARE";"08. CERRADA"},0)
 &lt;
 MATCH(_xlfn.XLOOKUP(INDEX($B:$B, (ROW()-3)),'Relacion '!$E:$E,'Relacion '!$D:$D,""),{"01. ASIGNACION AREA";"02. MAPEO";"03. DESARROLLO";"04. VALIDA US";"05. VOBO US";"06. BW-EJECUCION";"07. VALIDACIÓN BAJAWARE";"08. CERRADA"},0),
 1,
 IF(
  MATCH(B797,{"01. ASIGNACION AREA";"02. MAPEO";"03. DESARROLLO";"04. VALIDA US";"05. VOBO US";"06. BW-EJECUCION";"07. VALIDACIÓN BAJAWARE";"08. CERRADA"},0)
  =
  MATCH(_xlfn.XLOOKUP(INDEX($B:$B, (ROW()-3)),'Relacion '!$E:$E,'Relacion '!$D:$D,""),{"01. ASIGNACION AREA";"02. MAPEO";"03. DESARROLLO";"04. VALIDA US";"05. VOBO US";"06. BW-EJECUCION";"07. VALIDACIÓN BAJAWARE";"08. CERRADA"},0),
  _xlfn.XLOOKUP(INDEX($B:$B, (ROW()-3)),'Relacion '!$E:$E,'Relacion '!#REF!,0),
  0
 )
)</f>
        <v>0</v>
      </c>
      <c r="I797" s="241">
        <f t="shared" ca="1" si="182"/>
        <v>1</v>
      </c>
      <c r="J797" s="241"/>
      <c r="K797" s="241"/>
      <c r="L797" s="238"/>
    </row>
    <row r="798" spans="2:12" outlineLevel="1">
      <c r="B798" s="237" t="s">
        <v>324</v>
      </c>
      <c r="C798" s="237" t="s">
        <v>324</v>
      </c>
      <c r="D798" s="238" t="str">
        <f>_xlfn.XLOOKUP(B798,'Relacion '!$E:$E,'Relacion '!$D:$D,"")</f>
        <v/>
      </c>
      <c r="E798" s="239">
        <f t="shared" si="183"/>
        <v>11</v>
      </c>
      <c r="F798" s="240" cm="1">
        <f t="array" ref="F798">MIN(INDEX('Relacion '!$AD$5:$AE$493,MATCH(INDEX($B:$B, (ROW()-4)),'Relacion '!$E$5:$E$493,0),0))</f>
        <v>46160</v>
      </c>
      <c r="G798" s="240" cm="1">
        <f t="array" ref="G798">MAX(INDEX('Relacion '!$AD$5:$AE$493,MATCH(INDEX($B:$B, (ROW()-4)),'Relacion '!$E$5:$E$493,0),0))</f>
        <v>46171</v>
      </c>
      <c r="H798" s="241" cm="1">
        <f t="array" ref="H798">IF(
 MATCH(B798,{"01. ASIGNACION AREA";"02. MAPEO";"03. DESARROLLO";"04. VALIDA US";"05. VOBO US";"06. BW-EJECUCION";"07. VALIDACIÓN BAJAWARE";"08. CERRADA"},0)
 &lt;
 MATCH(_xlfn.XLOOKUP(INDEX($B:$B, (ROW()-4)),'Relacion '!$E:$E,'Relacion '!$D:$D,""),{"01. ASIGNACION AREA";"02. MAPEO";"03. DESARROLLO";"04. VALIDA US";"05. VOBO US";"06. BW-EJECUCION";"07. VALIDACIÓN BAJAWARE";"08. CERRADA"},0),
 1,
 IF(
  MATCH(B798,{"01. ASIGNACION AREA";"02. MAPEO";"03. DESARROLLO";"04. VALIDA US";"05. VOBO US";"06. BW-EJECUCION";"07. VALIDACIÓN BAJAWARE";"08. CERRADA"},0)
  =
  MATCH(_xlfn.XLOOKUP(INDEX($B:$B, (ROW()-4)),'Relacion '!$E:$E,'Relacion '!$D:$D,""),{"01. ASIGNACION AREA";"02. MAPEO";"03. DESARROLLO";"04. VALIDA US";"05. VOBO US";"06. BW-EJECUCION";"07. VALIDACIÓN BAJAWARE";"08. CERRADA"},0),
  _xlfn.XLOOKUP(INDEX($B:$B, (ROW()-4)),'Relacion '!$E:$E,'Relacion '!#REF!,0),
  0
 )
)</f>
        <v>0</v>
      </c>
      <c r="I798" s="241">
        <f t="shared" ca="1" si="182"/>
        <v>0</v>
      </c>
      <c r="J798" s="241"/>
      <c r="K798" s="241"/>
      <c r="L798" s="238"/>
    </row>
    <row r="799" spans="2:12" outlineLevel="1">
      <c r="B799" s="237" t="s">
        <v>320</v>
      </c>
      <c r="C799" s="237" t="s">
        <v>320</v>
      </c>
      <c r="D799" s="238" t="str">
        <f>_xlfn.XLOOKUP(B799,'Relacion '!$E:$E,'Relacion '!$D:$D,"")</f>
        <v/>
      </c>
      <c r="E799" s="239">
        <f t="shared" si="183"/>
        <v>3</v>
      </c>
      <c r="F799" s="240" cm="1">
        <f t="array" ref="F799">MIN(INDEX('Relacion '!$AF$5:$AG$493,MATCH(INDEX($B:$B, (ROW()-5)),'Relacion '!$E$5:$E$493,0),0))</f>
        <v>46171</v>
      </c>
      <c r="G799" s="240" cm="1">
        <f t="array" ref="G799">MAX(INDEX('Relacion '!$AF$5:$AG$493,MATCH(INDEX($B:$B, (ROW()-5)),'Relacion '!$E$5:$E$493,0),0))</f>
        <v>46174</v>
      </c>
      <c r="H799" s="241" cm="1">
        <f t="array" ref="H799">IF(
 MATCH(B799,{"01. ASIGNACION AREA";"02. MAPEO";"03. DESARROLLO";"04. VALIDA US";"05. VOBO US";"06. BW-EJECUCION";"07. VALIDACIÓN BAJAWARE";"08. CERRADA"},0)
 &lt;
 MATCH(_xlfn.XLOOKUP(INDEX($B:$B, (ROW()-5)),'Relacion '!$E:$E,'Relacion '!$D:$D,""),{"01. ASIGNACION AREA";"02. MAPEO";"03. DESARROLLO";"04. VALIDA US";"05. VOBO US";"06. BW-EJECUCION";"07. VALIDACIÓN BAJAWARE";"08. CERRADA"},0),
 1,
 IF(
  MATCH(B799,{"01. ASIGNACION AREA";"02. MAPEO";"03. DESARROLLO";"04. VALIDA US";"05. VOBO US";"06. BW-EJECUCION";"07. VALIDACIÓN BAJAWARE";"08. CERRADA"},0)
  =
  MATCH(_xlfn.XLOOKUP(INDEX($B:$B, (ROW()-5)),'Relacion '!$E:$E,'Relacion '!$D:$D,""),{"01. ASIGNACION AREA";"02. MAPEO";"03. DESARROLLO";"04. VALIDA US";"05. VOBO US";"06. BW-EJECUCION";"07. VALIDACIÓN BAJAWARE";"08. CERRADA"},0),
  _xlfn.XLOOKUP(INDEX($B:$B, (ROW()-5)),'Relacion '!$E:$E,'Relacion '!#REF!,0),
  0
 )
)</f>
        <v>0</v>
      </c>
      <c r="I799" s="241">
        <f t="shared" ca="1" si="182"/>
        <v>0</v>
      </c>
      <c r="J799" s="241"/>
      <c r="K799" s="241"/>
      <c r="L799" s="238"/>
    </row>
    <row r="800" spans="2:12" outlineLevel="1">
      <c r="B800" s="237" t="s">
        <v>710</v>
      </c>
      <c r="C800" s="237" t="s">
        <v>710</v>
      </c>
      <c r="D800" s="238" t="str">
        <f>_xlfn.XLOOKUP(B800,'Relacion '!$E:$E,'Relacion '!$D:$D,"")</f>
        <v/>
      </c>
      <c r="E800" s="239">
        <f t="shared" si="183"/>
        <v>2</v>
      </c>
      <c r="F800" s="240" cm="1">
        <f t="array" ref="F800">MIN(INDEX('Relacion '!$AH$5:$AI$493,MATCH(INDEX($B:$B, (ROW()-6)),'Relacion '!$E$5:$E$493,0),0))</f>
        <v>46175</v>
      </c>
      <c r="G800" s="240" cm="1">
        <f t="array" ref="G800">MAX(INDEX('Relacion '!$AH$5:$AI$493,MATCH(INDEX($B:$B, (ROW()-6)),'Relacion '!$E$5:$E$493,0),0))</f>
        <v>46177</v>
      </c>
      <c r="H800" s="241" cm="1">
        <f t="array" ref="H800">IF(
 MATCH(B800,{"01. ASIGNACION AREA";"02. MAPEO";"03. DESARROLLO";"04. VALIDA US";"05. VOBO US";"06. BW-EJECUCION";"07. VALIDACIÓN BAJAWARE";"08. CERRADA"},0)
 &lt;
 MATCH(_xlfn.XLOOKUP(INDEX($B:$B, (ROW()-6)),'Relacion '!$E:$E,'Relacion '!$D:$D,""),{"01. ASIGNACION AREA";"02. MAPEO";"03. DESARROLLO";"04. VALIDA US";"05. VOBO US";"06. BW-EJECUCION";"07. VALIDACIÓN BAJAWARE";"08. CERRADA"},0),
 1,
 IF(
  MATCH(B800,{"01. ASIGNACION AREA";"02. MAPEO";"03. DESARROLLO";"04. VALIDA US";"05. VOBO US";"06. BW-EJECUCION";"07. VALIDACIÓN BAJAWARE";"08. CERRADA"},0)
  =
  MATCH(_xlfn.XLOOKUP(INDEX($B:$B, (ROW()-6)),'Relacion '!$E:$E,'Relacion '!$D:$D,""),{"01. ASIGNACION AREA";"02. MAPEO";"03. DESARROLLO";"04. VALIDA US";"05. VOBO US";"06. BW-EJECUCION";"07. VALIDACIÓN BAJAWARE";"08. CERRADA"},0),
  _xlfn.XLOOKUP(INDEX($B:$B, (ROW()-6)),'Relacion '!$E:$E,'Relacion '!#REF!,0),
  0
 )
)</f>
        <v>0</v>
      </c>
      <c r="I800" s="241">
        <f t="shared" ca="1" si="182"/>
        <v>0</v>
      </c>
      <c r="J800" s="241"/>
      <c r="K800" s="241"/>
      <c r="L800" s="238"/>
    </row>
    <row r="801" spans="2:12" outlineLevel="1">
      <c r="B801" s="237" t="s">
        <v>655</v>
      </c>
      <c r="C801" s="237" t="s">
        <v>655</v>
      </c>
      <c r="D801" s="238" t="str">
        <f>_xlfn.XLOOKUP(B801,'Relacion '!$E:$E,'Relacion '!$D:$D,"")</f>
        <v/>
      </c>
      <c r="E801" s="239">
        <f t="shared" si="183"/>
        <v>14</v>
      </c>
      <c r="F801" s="240" cm="1">
        <f t="array" ref="F801">MIN(INDEX('Relacion '!$AJ$5:$AK$493,MATCH(INDEX($B:$B, (ROW()-7)),'Relacion '!$E$5:$E$493,0),0))</f>
        <v>46178</v>
      </c>
      <c r="G801" s="240" cm="1">
        <f t="array" ref="G801">MAX(INDEX('Relacion '!$AJ$5:$AK$493,MATCH(INDEX($B:$B, (ROW()-7)),'Relacion '!$E$5:$E$493,0),0))</f>
        <v>46192</v>
      </c>
      <c r="H801" s="241" cm="1">
        <f t="array" ref="H801">IF(
 MATCH(B801,{"01. ASIGNACION AREA";"02. MAPEO";"03. DESARROLLO";"04. VALIDA US";"05. VOBO US";"06. BW-EJECUCION";"07. VALIDACIÓN BAJAWARE";"08. CERRADA"},0)
 &lt;
 MATCH(_xlfn.XLOOKUP(INDEX($B:$B, (ROW()-7)),'Relacion '!$E:$E,'Relacion '!$D:$D,""),{"01. ASIGNACION AREA";"02. MAPEO";"03. DESARROLLO";"04. VALIDA US";"05. VOBO US";"06. BW-EJECUCION";"07. VALIDACIÓN BAJAWARE";"08. CERRADA"},0),
 1,
 IF(
  MATCH(B801,{"01. ASIGNACION AREA";"02. MAPEO";"03. DESARROLLO";"04. VALIDA US";"05. VOBO US";"06. BW-EJECUCION";"07. VALIDACIÓN BAJAWARE";"08. CERRADA"},0)
  =
  MATCH(_xlfn.XLOOKUP(INDEX($B:$B, (ROW()-7)),'Relacion '!$E:$E,'Relacion '!$D:$D,""),{"01. ASIGNACION AREA";"02. MAPEO";"03. DESARROLLO";"04. VALIDA US";"05. VOBO US";"06. BW-EJECUCION";"07. VALIDACIÓN BAJAWARE";"08. CERRADA"},0),
  _xlfn.XLOOKUP(INDEX($B:$B, (ROW()-7)),'Relacion '!$E:$E,'Relacion '!#REF!,0),
  0
 )
)</f>
        <v>0</v>
      </c>
      <c r="I801" s="241">
        <f t="shared" ca="1" si="182"/>
        <v>0</v>
      </c>
      <c r="J801" s="241"/>
      <c r="K801" s="241"/>
      <c r="L801" s="238"/>
    </row>
    <row r="802" spans="2:12" outlineLevel="1">
      <c r="B802" s="237" t="s">
        <v>656</v>
      </c>
      <c r="C802" s="237" t="s">
        <v>656</v>
      </c>
      <c r="D802" s="238" t="str">
        <f>_xlfn.XLOOKUP(B802,'Relacion '!$E:$E,'Relacion '!$D:$D,"")</f>
        <v/>
      </c>
      <c r="E802" s="239">
        <f t="shared" si="183"/>
        <v>1</v>
      </c>
      <c r="F802" s="240" cm="1">
        <f t="array" ref="F802">MIN(INDEX('Relacion '!$AL$5:$AM$493,MATCH(INDEX($B:$B, (ROW()-8)),'Relacion '!$E$5:$E$493,0),0))</f>
        <v>46195</v>
      </c>
      <c r="G802" s="240" cm="1">
        <f t="array" ref="G802">MAX(INDEX('Relacion '!$AL$5:$AM$493,MATCH(INDEX($B:$B, (ROW()-8)),'Relacion '!$E$5:$E$493,0),0))</f>
        <v>46196</v>
      </c>
      <c r="H802" s="241" cm="1">
        <f t="array" ref="H802">IF(
 MATCH(B802,{"01. ASIGNACION AREA";"02. MAPEO";"03. DESARROLLO";"04. VALIDA US";"05. VOBO US";"06. BW-EJECUCION";"07. VALIDACIÓN BAJAWARE";"08. CERRADA"},0)
 &lt;
 MATCH(_xlfn.XLOOKUP(INDEX($B:$B, (ROW()-8)),'Relacion '!$E:$E,'Relacion '!$D:$D,""),{"01. ASIGNACION AREA";"02. MAPEO";"03. DESARROLLO";"04. VALIDA US";"05. VOBO US";"06. BW-EJECUCION";"07. VALIDACIÓN BAJAWARE";"08. CERRADA"},0),
 1,
 IF(
  MATCH(B802,{"01. ASIGNACION AREA";"02. MAPEO";"03. DESARROLLO";"04. VALIDA US";"05. VOBO US";"06. BW-EJECUCION";"07. VALIDACIÓN BAJAWARE";"08. CERRADA"},0)
  =
  MATCH(_xlfn.XLOOKUP(INDEX($B:$B, (ROW()-8)),'Relacion '!$E:$E,'Relacion '!$D:$D,""),{"01. ASIGNACION AREA";"02. MAPEO";"03. DESARROLLO";"04. VALIDA US";"05. VOBO US";"06. BW-EJECUCION";"07. VALIDACIÓN BAJAWARE";"08. CERRADA"},0),
  _xlfn.XLOOKUP(INDEX($B:$B, (ROW()-8)),'Relacion '!$E:$E,'Relacion '!#REF!,0),
  0
 )
)</f>
        <v>0</v>
      </c>
      <c r="I802" s="241">
        <f t="shared" ca="1" si="182"/>
        <v>0</v>
      </c>
      <c r="J802" s="241"/>
      <c r="K802" s="241"/>
      <c r="L802" s="238"/>
    </row>
    <row r="803" spans="2:12">
      <c r="B803" s="232" t="s">
        <v>271</v>
      </c>
      <c r="C803" s="137" t="s">
        <v>265</v>
      </c>
      <c r="D803" s="236" t="str">
        <f>_xlfn.XLOOKUP(B803,'Relacion '!$E:$E,'Relacion '!$D:$D,"")</f>
        <v>02. MAPEO</v>
      </c>
      <c r="E803" s="233">
        <f t="shared" si="183"/>
        <v>172</v>
      </c>
      <c r="F803" s="234" cm="1">
        <f t="array" ref="F803">MIN(INDEX('Relacion '!$X$5:$AM$493,MATCH(INDEX($B:$B, (ROW()-0)),'Relacion '!$E$5:$E$493,0),0))</f>
        <v>46024</v>
      </c>
      <c r="G803" s="234" cm="1">
        <f t="array" ref="G803">MAX(INDEX('Relacion '!$X$5:$AM$493,MATCH(INDEX($B:$B, (ROW()-0)),'Relacion '!$E$5:$E$493,0),0))</f>
        <v>46196</v>
      </c>
      <c r="H803" s="235" t="e">
        <f>AVERAGE(H804:H811)</f>
        <v>#REF!</v>
      </c>
      <c r="I803" s="235">
        <f t="shared" ref="I803" ca="1" si="190">AVERAGE(I804:I811)</f>
        <v>0.375</v>
      </c>
      <c r="J803" s="236" t="str">
        <f>IF(ISNUMBER(SEARCH("Rocha", _xlfn.XLOOKUP(B803,'Relacion '!$E:$E,'Relacion '!$I:$I,""))), "Sí", "No")</f>
        <v>No</v>
      </c>
      <c r="K803" s="236" t="str">
        <f>IF(ISNUMBER(SEARCH("Rocha", _xlfn.XLOOKUP(B803,'Relacion '!$E:$E,'Relacion '!$I:$I,""))), "RMC", _xlfn.XLOOKUP(B803,'Relacion '!$E:$E,'Relacion '!$B:$B,""))</f>
        <v>Tesorería </v>
      </c>
      <c r="L803" s="236" t="str">
        <f>_xlfn.XLOOKUP(B803,'Relacion '!$E:$E,'Relacion '!$C:$C,"")</f>
        <v>Eduardo Cabral</v>
      </c>
    </row>
    <row r="804" spans="2:12" outlineLevel="1">
      <c r="B804" s="237" t="s">
        <v>654</v>
      </c>
      <c r="C804" s="237" t="s">
        <v>654</v>
      </c>
      <c r="D804" s="238" t="str">
        <f>_xlfn.XLOOKUP(B804,'Relacion '!$E:$E,'Relacion '!$D:$D,"")</f>
        <v/>
      </c>
      <c r="E804" s="239">
        <f t="shared" si="183"/>
        <v>59</v>
      </c>
      <c r="F804" s="240" cm="1">
        <f t="array" ref="F804">MIN(INDEX('Relacion '!$X$5:$Y$493,MATCH(INDEX($B:$B, (ROW()-1)),'Relacion '!$E$5:$E$493,0),0))</f>
        <v>46024</v>
      </c>
      <c r="G804" s="240" cm="1">
        <f t="array" ref="G804">MAX(INDEX('Relacion '!$X$5:$Y$493,MATCH(INDEX($B:$B, (ROW()-1)),'Relacion '!$E$5:$E$493,0),0))</f>
        <v>46083</v>
      </c>
      <c r="H804" s="241" cm="1">
        <f t="array" ref="H804">IF(
 MATCH(B804,{"01. ASIGNACION AREA";"02. MAPEO";"03. DESARROLLO";"04. VALIDA US";"05. VOBO US";"06. BW-EJECUCION";"07. VALIDACIÓN BAJAWARE";"08. CERRADA"},0)
 &lt;
 MATCH(_xlfn.XLOOKUP(INDEX($B:$B, (ROW()-1)),'Relacion '!$E:$E,'Relacion '!$D:$D,""),{"01. ASIGNACION AREA";"02. MAPEO";"03. DESARROLLO";"04. VALIDA US";"05. VOBO US";"06. BW-EJECUCION";"07. VALIDACIÓN BAJAWARE";"08. CERRADA"},0),
 1,
 IF(
  MATCH(B804,{"01. ASIGNACION AREA";"02. MAPEO";"03. DESARROLLO";"04. VALIDA US";"05. VOBO US";"06. BW-EJECUCION";"07. VALIDACIÓN BAJAWARE";"08. CERRADA"},0)
  =
  MATCH(_xlfn.XLOOKUP(INDEX($B:$B, (ROW()-1)),'Relacion '!$E:$E,'Relacion '!$D:$D,""),{"01. ASIGNACION AREA";"02. MAPEO";"03. DESARROLLO";"04. VALIDA US";"05. VOBO US";"06. BW-EJECUCION";"07. VALIDACIÓN BAJAWARE";"08. CERRADA"},0),
  _xlfn.XLOOKUP(INDEX($B:$B, (ROW()-1)),'Relacion '!$E:$E,'Relacion '!#REF!,0),
  0
 )
)</f>
        <v>1</v>
      </c>
      <c r="I804" s="241">
        <f t="shared" ref="I804" ca="1" si="191">IF(G804&lt;=TODAY(), 1, 0)</f>
        <v>1</v>
      </c>
      <c r="J804" s="241"/>
      <c r="K804" s="241"/>
      <c r="L804" s="238"/>
    </row>
    <row r="805" spans="2:12" outlineLevel="1">
      <c r="B805" s="237" t="s">
        <v>195</v>
      </c>
      <c r="C805" s="237" t="s">
        <v>195</v>
      </c>
      <c r="D805" s="238" t="str">
        <f>_xlfn.XLOOKUP(B805,'Relacion '!$E:$E,'Relacion '!$D:$D,"")</f>
        <v/>
      </c>
      <c r="E805" s="239">
        <f t="shared" si="183"/>
        <v>80</v>
      </c>
      <c r="F805" s="240" cm="1">
        <f t="array" ref="F805">MIN(INDEX('Relacion '!$Z$5:$AA$493,MATCH(INDEX($B:$B, (ROW()-2)),'Relacion '!$E$5:$E$493,0),0))</f>
        <v>46056</v>
      </c>
      <c r="G805" s="240" cm="1">
        <f t="array" ref="G805">MAX(INDEX('Relacion '!$Z$5:$AA$493,MATCH(INDEX($B:$B, (ROW()-2)),'Relacion '!$E$5:$E$493,0),0))</f>
        <v>46136</v>
      </c>
      <c r="H805" s="241" t="e" cm="1">
        <f t="array" ref="H805">IF(
 MATCH(B805,{"01. ASIGNACION AREA";"02. MAPEO";"03. DESARROLLO";"04. VALIDA US";"05. VOBO US";"06. BW-EJECUCION";"07. VALIDACIÓN BAJAWARE";"08. CERRADA"},0)
 &lt;
 MATCH(_xlfn.XLOOKUP(INDEX($B:$B, (ROW()-2)),'Relacion '!$E:$E,'Relacion '!$D:$D,""),{"01. ASIGNACION AREA";"02. MAPEO";"03. DESARROLLO";"04. VALIDA US";"05. VOBO US";"06. BW-EJECUCION";"07. VALIDACIÓN BAJAWARE";"08. CERRADA"},0),
 1,
 IF(
  MATCH(B805,{"01. ASIGNACION AREA";"02. MAPEO";"03. DESARROLLO";"04. VALIDA US";"05. VOBO US";"06. BW-EJECUCION";"07. VALIDACIÓN BAJAWARE";"08. CERRADA"},0)
  =
  MATCH(_xlfn.XLOOKUP(INDEX($B:$B, (ROW()-2)),'Relacion '!$E:$E,'Relacion '!$D:$D,""),{"01. ASIGNACION AREA";"02. MAPEO";"03. DESARROLLO";"04. VALIDA US";"05. VOBO US";"06. BW-EJECUCION";"07. VALIDACIÓN BAJAWARE";"08. CERRADA"},0),
  _xlfn.XLOOKUP(INDEX($B:$B, (ROW()-2)),'Relacion '!$E:$E,'Relacion '!#REF!,0),
  0
 )
)</f>
        <v>#REF!</v>
      </c>
      <c r="I805" s="241">
        <f t="shared" ca="1" si="182"/>
        <v>1</v>
      </c>
      <c r="J805" s="241"/>
      <c r="K805" s="241"/>
      <c r="L805" s="238"/>
    </row>
    <row r="806" spans="2:12" outlineLevel="1">
      <c r="B806" s="237" t="s">
        <v>49</v>
      </c>
      <c r="C806" s="237" t="s">
        <v>49</v>
      </c>
      <c r="D806" s="238" t="str">
        <f>_xlfn.XLOOKUP(B806,'Relacion '!$E:$E,'Relacion '!$D:$D,"")</f>
        <v/>
      </c>
      <c r="E806" s="239">
        <f t="shared" si="183"/>
        <v>18</v>
      </c>
      <c r="F806" s="240" cm="1">
        <f t="array" ref="F806">MIN(INDEX('Relacion '!$AB$5:$AC$493,MATCH(INDEX($B:$B, (ROW()-3)),'Relacion '!$E$5:$E$493,0),0))</f>
        <v>46139</v>
      </c>
      <c r="G806" s="240" cm="1">
        <f t="array" ref="G806">MAX(INDEX('Relacion '!$AB$5:$AC$493,MATCH(INDEX($B:$B, (ROW()-3)),'Relacion '!$E$5:$E$493,0),0))</f>
        <v>46157</v>
      </c>
      <c r="H806" s="241" cm="1">
        <f t="array" ref="H806">IF(
 MATCH(B806,{"01. ASIGNACION AREA";"02. MAPEO";"03. DESARROLLO";"04. VALIDA US";"05. VOBO US";"06. BW-EJECUCION";"07. VALIDACIÓN BAJAWARE";"08. CERRADA"},0)
 &lt;
 MATCH(_xlfn.XLOOKUP(INDEX($B:$B, (ROW()-3)),'Relacion '!$E:$E,'Relacion '!$D:$D,""),{"01. ASIGNACION AREA";"02. MAPEO";"03. DESARROLLO";"04. VALIDA US";"05. VOBO US";"06. BW-EJECUCION";"07. VALIDACIÓN BAJAWARE";"08. CERRADA"},0),
 1,
 IF(
  MATCH(B806,{"01. ASIGNACION AREA";"02. MAPEO";"03. DESARROLLO";"04. VALIDA US";"05. VOBO US";"06. BW-EJECUCION";"07. VALIDACIÓN BAJAWARE";"08. CERRADA"},0)
  =
  MATCH(_xlfn.XLOOKUP(INDEX($B:$B, (ROW()-3)),'Relacion '!$E:$E,'Relacion '!$D:$D,""),{"01. ASIGNACION AREA";"02. MAPEO";"03. DESARROLLO";"04. VALIDA US";"05. VOBO US";"06. BW-EJECUCION";"07. VALIDACIÓN BAJAWARE";"08. CERRADA"},0),
  _xlfn.XLOOKUP(INDEX($B:$B, (ROW()-3)),'Relacion '!$E:$E,'Relacion '!#REF!,0),
  0
 )
)</f>
        <v>0</v>
      </c>
      <c r="I806" s="241">
        <f t="shared" ca="1" si="182"/>
        <v>1</v>
      </c>
      <c r="J806" s="241"/>
      <c r="K806" s="241"/>
      <c r="L806" s="238"/>
    </row>
    <row r="807" spans="2:12" outlineLevel="1">
      <c r="B807" s="237" t="s">
        <v>324</v>
      </c>
      <c r="C807" s="237" t="s">
        <v>324</v>
      </c>
      <c r="D807" s="238" t="str">
        <f>_xlfn.XLOOKUP(B807,'Relacion '!$E:$E,'Relacion '!$D:$D,"")</f>
        <v/>
      </c>
      <c r="E807" s="239">
        <f t="shared" si="183"/>
        <v>11</v>
      </c>
      <c r="F807" s="240" cm="1">
        <f t="array" ref="F807">MIN(INDEX('Relacion '!$AD$5:$AE$493,MATCH(INDEX($B:$B, (ROW()-4)),'Relacion '!$E$5:$E$493,0),0))</f>
        <v>46160</v>
      </c>
      <c r="G807" s="240" cm="1">
        <f t="array" ref="G807">MAX(INDEX('Relacion '!$AD$5:$AE$493,MATCH(INDEX($B:$B, (ROW()-4)),'Relacion '!$E$5:$E$493,0),0))</f>
        <v>46171</v>
      </c>
      <c r="H807" s="241" cm="1">
        <f t="array" ref="H807">IF(
 MATCH(B807,{"01. ASIGNACION AREA";"02. MAPEO";"03. DESARROLLO";"04. VALIDA US";"05. VOBO US";"06. BW-EJECUCION";"07. VALIDACIÓN BAJAWARE";"08. CERRADA"},0)
 &lt;
 MATCH(_xlfn.XLOOKUP(INDEX($B:$B, (ROW()-4)),'Relacion '!$E:$E,'Relacion '!$D:$D,""),{"01. ASIGNACION AREA";"02. MAPEO";"03. DESARROLLO";"04. VALIDA US";"05. VOBO US";"06. BW-EJECUCION";"07. VALIDACIÓN BAJAWARE";"08. CERRADA"},0),
 1,
 IF(
  MATCH(B807,{"01. ASIGNACION AREA";"02. MAPEO";"03. DESARROLLO";"04. VALIDA US";"05. VOBO US";"06. BW-EJECUCION";"07. VALIDACIÓN BAJAWARE";"08. CERRADA"},0)
  =
  MATCH(_xlfn.XLOOKUP(INDEX($B:$B, (ROW()-4)),'Relacion '!$E:$E,'Relacion '!$D:$D,""),{"01. ASIGNACION AREA";"02. MAPEO";"03. DESARROLLO";"04. VALIDA US";"05. VOBO US";"06. BW-EJECUCION";"07. VALIDACIÓN BAJAWARE";"08. CERRADA"},0),
  _xlfn.XLOOKUP(INDEX($B:$B, (ROW()-4)),'Relacion '!$E:$E,'Relacion '!#REF!,0),
  0
 )
)</f>
        <v>0</v>
      </c>
      <c r="I807" s="241">
        <f t="shared" ca="1" si="182"/>
        <v>0</v>
      </c>
      <c r="J807" s="241"/>
      <c r="K807" s="241"/>
      <c r="L807" s="238"/>
    </row>
    <row r="808" spans="2:12" outlineLevel="1">
      <c r="B808" s="237" t="s">
        <v>320</v>
      </c>
      <c r="C808" s="237" t="s">
        <v>320</v>
      </c>
      <c r="D808" s="238" t="str">
        <f>_xlfn.XLOOKUP(B808,'Relacion '!$E:$E,'Relacion '!$D:$D,"")</f>
        <v/>
      </c>
      <c r="E808" s="239">
        <f t="shared" si="183"/>
        <v>3</v>
      </c>
      <c r="F808" s="240" cm="1">
        <f t="array" ref="F808">MIN(INDEX('Relacion '!$AF$5:$AG$493,MATCH(INDEX($B:$B, (ROW()-5)),'Relacion '!$E$5:$E$493,0),0))</f>
        <v>46171</v>
      </c>
      <c r="G808" s="240" cm="1">
        <f t="array" ref="G808">MAX(INDEX('Relacion '!$AF$5:$AG$493,MATCH(INDEX($B:$B, (ROW()-5)),'Relacion '!$E$5:$E$493,0),0))</f>
        <v>46174</v>
      </c>
      <c r="H808" s="241" cm="1">
        <f t="array" ref="H808">IF(
 MATCH(B808,{"01. ASIGNACION AREA";"02. MAPEO";"03. DESARROLLO";"04. VALIDA US";"05. VOBO US";"06. BW-EJECUCION";"07. VALIDACIÓN BAJAWARE";"08. CERRADA"},0)
 &lt;
 MATCH(_xlfn.XLOOKUP(INDEX($B:$B, (ROW()-5)),'Relacion '!$E:$E,'Relacion '!$D:$D,""),{"01. ASIGNACION AREA";"02. MAPEO";"03. DESARROLLO";"04. VALIDA US";"05. VOBO US";"06. BW-EJECUCION";"07. VALIDACIÓN BAJAWARE";"08. CERRADA"},0),
 1,
 IF(
  MATCH(B808,{"01. ASIGNACION AREA";"02. MAPEO";"03. DESARROLLO";"04. VALIDA US";"05. VOBO US";"06. BW-EJECUCION";"07. VALIDACIÓN BAJAWARE";"08. CERRADA"},0)
  =
  MATCH(_xlfn.XLOOKUP(INDEX($B:$B, (ROW()-5)),'Relacion '!$E:$E,'Relacion '!$D:$D,""),{"01. ASIGNACION AREA";"02. MAPEO";"03. DESARROLLO";"04. VALIDA US";"05. VOBO US";"06. BW-EJECUCION";"07. VALIDACIÓN BAJAWARE";"08. CERRADA"},0),
  _xlfn.XLOOKUP(INDEX($B:$B, (ROW()-5)),'Relacion '!$E:$E,'Relacion '!#REF!,0),
  0
 )
)</f>
        <v>0</v>
      </c>
      <c r="I808" s="241">
        <f t="shared" ca="1" si="182"/>
        <v>0</v>
      </c>
      <c r="J808" s="241"/>
      <c r="K808" s="241"/>
      <c r="L808" s="238"/>
    </row>
    <row r="809" spans="2:12" outlineLevel="1">
      <c r="B809" s="237" t="s">
        <v>710</v>
      </c>
      <c r="C809" s="237" t="s">
        <v>710</v>
      </c>
      <c r="D809" s="238" t="str">
        <f>_xlfn.XLOOKUP(B809,'Relacion '!$E:$E,'Relacion '!$D:$D,"")</f>
        <v/>
      </c>
      <c r="E809" s="239">
        <f t="shared" si="183"/>
        <v>2</v>
      </c>
      <c r="F809" s="240" cm="1">
        <f t="array" ref="F809">MIN(INDEX('Relacion '!$AH$5:$AI$493,MATCH(INDEX($B:$B, (ROW()-6)),'Relacion '!$E$5:$E$493,0),0))</f>
        <v>46175</v>
      </c>
      <c r="G809" s="240" cm="1">
        <f t="array" ref="G809">MAX(INDEX('Relacion '!$AH$5:$AI$493,MATCH(INDEX($B:$B, (ROW()-6)),'Relacion '!$E$5:$E$493,0),0))</f>
        <v>46177</v>
      </c>
      <c r="H809" s="241" cm="1">
        <f t="array" ref="H809">IF(
 MATCH(B809,{"01. ASIGNACION AREA";"02. MAPEO";"03. DESARROLLO";"04. VALIDA US";"05. VOBO US";"06. BW-EJECUCION";"07. VALIDACIÓN BAJAWARE";"08. CERRADA"},0)
 &lt;
 MATCH(_xlfn.XLOOKUP(INDEX($B:$B, (ROW()-6)),'Relacion '!$E:$E,'Relacion '!$D:$D,""),{"01. ASIGNACION AREA";"02. MAPEO";"03. DESARROLLO";"04. VALIDA US";"05. VOBO US";"06. BW-EJECUCION";"07. VALIDACIÓN BAJAWARE";"08. CERRADA"},0),
 1,
 IF(
  MATCH(B809,{"01. ASIGNACION AREA";"02. MAPEO";"03. DESARROLLO";"04. VALIDA US";"05. VOBO US";"06. BW-EJECUCION";"07. VALIDACIÓN BAJAWARE";"08. CERRADA"},0)
  =
  MATCH(_xlfn.XLOOKUP(INDEX($B:$B, (ROW()-6)),'Relacion '!$E:$E,'Relacion '!$D:$D,""),{"01. ASIGNACION AREA";"02. MAPEO";"03. DESARROLLO";"04. VALIDA US";"05. VOBO US";"06. BW-EJECUCION";"07. VALIDACIÓN BAJAWARE";"08. CERRADA"},0),
  _xlfn.XLOOKUP(INDEX($B:$B, (ROW()-6)),'Relacion '!$E:$E,'Relacion '!#REF!,0),
  0
 )
)</f>
        <v>0</v>
      </c>
      <c r="I809" s="241">
        <f t="shared" ca="1" si="182"/>
        <v>0</v>
      </c>
      <c r="J809" s="241"/>
      <c r="K809" s="241"/>
      <c r="L809" s="238"/>
    </row>
    <row r="810" spans="2:12" outlineLevel="1">
      <c r="B810" s="237" t="s">
        <v>655</v>
      </c>
      <c r="C810" s="237" t="s">
        <v>655</v>
      </c>
      <c r="D810" s="238" t="str">
        <f>_xlfn.XLOOKUP(B810,'Relacion '!$E:$E,'Relacion '!$D:$D,"")</f>
        <v/>
      </c>
      <c r="E810" s="239">
        <f t="shared" si="183"/>
        <v>14</v>
      </c>
      <c r="F810" s="240" cm="1">
        <f t="array" ref="F810">MIN(INDEX('Relacion '!$AJ$5:$AK$493,MATCH(INDEX($B:$B, (ROW()-7)),'Relacion '!$E$5:$E$493,0),0))</f>
        <v>46178</v>
      </c>
      <c r="G810" s="240" cm="1">
        <f t="array" ref="G810">MAX(INDEX('Relacion '!$AJ$5:$AK$493,MATCH(INDEX($B:$B, (ROW()-7)),'Relacion '!$E$5:$E$493,0),0))</f>
        <v>46192</v>
      </c>
      <c r="H810" s="241" cm="1">
        <f t="array" ref="H810">IF(
 MATCH(B810,{"01. ASIGNACION AREA";"02. MAPEO";"03. DESARROLLO";"04. VALIDA US";"05. VOBO US";"06. BW-EJECUCION";"07. VALIDACIÓN BAJAWARE";"08. CERRADA"},0)
 &lt;
 MATCH(_xlfn.XLOOKUP(INDEX($B:$B, (ROW()-7)),'Relacion '!$E:$E,'Relacion '!$D:$D,""),{"01. ASIGNACION AREA";"02. MAPEO";"03. DESARROLLO";"04. VALIDA US";"05. VOBO US";"06. BW-EJECUCION";"07. VALIDACIÓN BAJAWARE";"08. CERRADA"},0),
 1,
 IF(
  MATCH(B810,{"01. ASIGNACION AREA";"02. MAPEO";"03. DESARROLLO";"04. VALIDA US";"05. VOBO US";"06. BW-EJECUCION";"07. VALIDACIÓN BAJAWARE";"08. CERRADA"},0)
  =
  MATCH(_xlfn.XLOOKUP(INDEX($B:$B, (ROW()-7)),'Relacion '!$E:$E,'Relacion '!$D:$D,""),{"01. ASIGNACION AREA";"02. MAPEO";"03. DESARROLLO";"04. VALIDA US";"05. VOBO US";"06. BW-EJECUCION";"07. VALIDACIÓN BAJAWARE";"08. CERRADA"},0),
  _xlfn.XLOOKUP(INDEX($B:$B, (ROW()-7)),'Relacion '!$E:$E,'Relacion '!#REF!,0),
  0
 )
)</f>
        <v>0</v>
      </c>
      <c r="I810" s="241">
        <f t="shared" ca="1" si="182"/>
        <v>0</v>
      </c>
      <c r="J810" s="241"/>
      <c r="K810" s="241"/>
      <c r="L810" s="238"/>
    </row>
    <row r="811" spans="2:12" outlineLevel="1">
      <c r="B811" s="237" t="s">
        <v>656</v>
      </c>
      <c r="C811" s="237" t="s">
        <v>656</v>
      </c>
      <c r="D811" s="238" t="str">
        <f>_xlfn.XLOOKUP(B811,'Relacion '!$E:$E,'Relacion '!$D:$D,"")</f>
        <v/>
      </c>
      <c r="E811" s="239">
        <f t="shared" si="183"/>
        <v>1</v>
      </c>
      <c r="F811" s="240" cm="1">
        <f t="array" ref="F811">MIN(INDEX('Relacion '!$AL$5:$AM$493,MATCH(INDEX($B:$B, (ROW()-8)),'Relacion '!$E$5:$E$493,0),0))</f>
        <v>46195</v>
      </c>
      <c r="G811" s="240" cm="1">
        <f t="array" ref="G811">MAX(INDEX('Relacion '!$AL$5:$AM$493,MATCH(INDEX($B:$B, (ROW()-8)),'Relacion '!$E$5:$E$493,0),0))</f>
        <v>46196</v>
      </c>
      <c r="H811" s="241" cm="1">
        <f t="array" ref="H811">IF(
 MATCH(B811,{"01. ASIGNACION AREA";"02. MAPEO";"03. DESARROLLO";"04. VALIDA US";"05. VOBO US";"06. BW-EJECUCION";"07. VALIDACIÓN BAJAWARE";"08. CERRADA"},0)
 &lt;
 MATCH(_xlfn.XLOOKUP(INDEX($B:$B, (ROW()-8)),'Relacion '!$E:$E,'Relacion '!$D:$D,""),{"01. ASIGNACION AREA";"02. MAPEO";"03. DESARROLLO";"04. VALIDA US";"05. VOBO US";"06. BW-EJECUCION";"07. VALIDACIÓN BAJAWARE";"08. CERRADA"},0),
 1,
 IF(
  MATCH(B811,{"01. ASIGNACION AREA";"02. MAPEO";"03. DESARROLLO";"04. VALIDA US";"05. VOBO US";"06. BW-EJECUCION";"07. VALIDACIÓN BAJAWARE";"08. CERRADA"},0)
  =
  MATCH(_xlfn.XLOOKUP(INDEX($B:$B, (ROW()-8)),'Relacion '!$E:$E,'Relacion '!$D:$D,""),{"01. ASIGNACION AREA";"02. MAPEO";"03. DESARROLLO";"04. VALIDA US";"05. VOBO US";"06. BW-EJECUCION";"07. VALIDACIÓN BAJAWARE";"08. CERRADA"},0),
  _xlfn.XLOOKUP(INDEX($B:$B, (ROW()-8)),'Relacion '!$E:$E,'Relacion '!#REF!,0),
  0
 )
)</f>
        <v>0</v>
      </c>
      <c r="I811" s="241">
        <f t="shared" ca="1" si="182"/>
        <v>0</v>
      </c>
      <c r="J811" s="241"/>
      <c r="K811" s="241"/>
      <c r="L811" s="238"/>
    </row>
    <row r="812" spans="2:12">
      <c r="B812" s="232" t="s">
        <v>264</v>
      </c>
      <c r="C812" s="137" t="s">
        <v>265</v>
      </c>
      <c r="D812" s="236" t="str">
        <f>_xlfn.XLOOKUP(B812,'Relacion '!$E:$E,'Relacion '!$D:$D,"")</f>
        <v>02. MAPEO</v>
      </c>
      <c r="E812" s="233">
        <f t="shared" si="183"/>
        <v>172</v>
      </c>
      <c r="F812" s="234" cm="1">
        <f t="array" ref="F812">MIN(INDEX('Relacion '!$X$5:$AM$493,MATCH(INDEX($B:$B, (ROW()-0)),'Relacion '!$E$5:$E$493,0),0))</f>
        <v>46024</v>
      </c>
      <c r="G812" s="234" cm="1">
        <f t="array" ref="G812">MAX(INDEX('Relacion '!$X$5:$AM$493,MATCH(INDEX($B:$B, (ROW()-0)),'Relacion '!$E$5:$E$493,0),0))</f>
        <v>46196</v>
      </c>
      <c r="H812" s="235" t="e">
        <f>AVERAGE(H813:H820)</f>
        <v>#REF!</v>
      </c>
      <c r="I812" s="235">
        <f t="shared" ref="I812" ca="1" si="192">AVERAGE(I813:I820)</f>
        <v>0.375</v>
      </c>
      <c r="J812" s="236" t="str">
        <f>IF(ISNUMBER(SEARCH("Rocha", _xlfn.XLOOKUP(B812,'Relacion '!$E:$E,'Relacion '!$I:$I,""))), "Sí", "No")</f>
        <v>No</v>
      </c>
      <c r="K812" s="236" t="str">
        <f>IF(ISNUMBER(SEARCH("Rocha", _xlfn.XLOOKUP(B812,'Relacion '!$E:$E,'Relacion '!$I:$I,""))), "RMC", _xlfn.XLOOKUP(B812,'Relacion '!$E:$E,'Relacion '!$B:$B,""))</f>
        <v>Tesorería </v>
      </c>
      <c r="L812" s="236" t="str">
        <f>_xlfn.XLOOKUP(B812,'Relacion '!$E:$E,'Relacion '!$C:$C,"")</f>
        <v>Eduardo Cabral</v>
      </c>
    </row>
    <row r="813" spans="2:12" outlineLevel="1">
      <c r="B813" s="237" t="s">
        <v>654</v>
      </c>
      <c r="C813" s="237" t="s">
        <v>654</v>
      </c>
      <c r="D813" s="238" t="str">
        <f>_xlfn.XLOOKUP(B813,'Relacion '!$E:$E,'Relacion '!$D:$D,"")</f>
        <v/>
      </c>
      <c r="E813" s="239">
        <f t="shared" si="183"/>
        <v>59</v>
      </c>
      <c r="F813" s="240" cm="1">
        <f t="array" ref="F813">MIN(INDEX('Relacion '!$X$5:$Y$493,MATCH(INDEX($B:$B, (ROW()-1)),'Relacion '!$E$5:$E$493,0),0))</f>
        <v>46024</v>
      </c>
      <c r="G813" s="240" cm="1">
        <f t="array" ref="G813">MAX(INDEX('Relacion '!$X$5:$Y$493,MATCH(INDEX($B:$B, (ROW()-1)),'Relacion '!$E$5:$E$493,0),0))</f>
        <v>46083</v>
      </c>
      <c r="H813" s="241" cm="1">
        <f t="array" ref="H813">IF(
 MATCH(B813,{"01. ASIGNACION AREA";"02. MAPEO";"03. DESARROLLO";"04. VALIDA US";"05. VOBO US";"06. BW-EJECUCION";"07. VALIDACIÓN BAJAWARE";"08. CERRADA"},0)
 &lt;
 MATCH(_xlfn.XLOOKUP(INDEX($B:$B, (ROW()-1)),'Relacion '!$E:$E,'Relacion '!$D:$D,""),{"01. ASIGNACION AREA";"02. MAPEO";"03. DESARROLLO";"04. VALIDA US";"05. VOBO US";"06. BW-EJECUCION";"07. VALIDACIÓN BAJAWARE";"08. CERRADA"},0),
 1,
 IF(
  MATCH(B813,{"01. ASIGNACION AREA";"02. MAPEO";"03. DESARROLLO";"04. VALIDA US";"05. VOBO US";"06. BW-EJECUCION";"07. VALIDACIÓN BAJAWARE";"08. CERRADA"},0)
  =
  MATCH(_xlfn.XLOOKUP(INDEX($B:$B, (ROW()-1)),'Relacion '!$E:$E,'Relacion '!$D:$D,""),{"01. ASIGNACION AREA";"02. MAPEO";"03. DESARROLLO";"04. VALIDA US";"05. VOBO US";"06. BW-EJECUCION";"07. VALIDACIÓN BAJAWARE";"08. CERRADA"},0),
  _xlfn.XLOOKUP(INDEX($B:$B, (ROW()-1)),'Relacion '!$E:$E,'Relacion '!#REF!,0),
  0
 )
)</f>
        <v>1</v>
      </c>
      <c r="I813" s="241">
        <f t="shared" ref="I813" ca="1" si="193">IF(G813&lt;=TODAY(), 1, 0)</f>
        <v>1</v>
      </c>
      <c r="J813" s="241"/>
      <c r="K813" s="241"/>
      <c r="L813" s="238"/>
    </row>
    <row r="814" spans="2:12" outlineLevel="1">
      <c r="B814" s="237" t="s">
        <v>195</v>
      </c>
      <c r="C814" s="237" t="s">
        <v>195</v>
      </c>
      <c r="D814" s="238" t="str">
        <f>_xlfn.XLOOKUP(B814,'Relacion '!$E:$E,'Relacion '!$D:$D,"")</f>
        <v/>
      </c>
      <c r="E814" s="239">
        <f t="shared" si="183"/>
        <v>80</v>
      </c>
      <c r="F814" s="240" cm="1">
        <f t="array" ref="F814">MIN(INDEX('Relacion '!$Z$5:$AA$493,MATCH(INDEX($B:$B, (ROW()-2)),'Relacion '!$E$5:$E$493,0),0))</f>
        <v>46056</v>
      </c>
      <c r="G814" s="240" cm="1">
        <f t="array" ref="G814">MAX(INDEX('Relacion '!$Z$5:$AA$493,MATCH(INDEX($B:$B, (ROW()-2)),'Relacion '!$E$5:$E$493,0),0))</f>
        <v>46136</v>
      </c>
      <c r="H814" s="241" t="e" cm="1">
        <f t="array" ref="H814">IF(
 MATCH(B814,{"01. ASIGNACION AREA";"02. MAPEO";"03. DESARROLLO";"04. VALIDA US";"05. VOBO US";"06. BW-EJECUCION";"07. VALIDACIÓN BAJAWARE";"08. CERRADA"},0)
 &lt;
 MATCH(_xlfn.XLOOKUP(INDEX($B:$B, (ROW()-2)),'Relacion '!$E:$E,'Relacion '!$D:$D,""),{"01. ASIGNACION AREA";"02. MAPEO";"03. DESARROLLO";"04. VALIDA US";"05. VOBO US";"06. BW-EJECUCION";"07. VALIDACIÓN BAJAWARE";"08. CERRADA"},0),
 1,
 IF(
  MATCH(B814,{"01. ASIGNACION AREA";"02. MAPEO";"03. DESARROLLO";"04. VALIDA US";"05. VOBO US";"06. BW-EJECUCION";"07. VALIDACIÓN BAJAWARE";"08. CERRADA"},0)
  =
  MATCH(_xlfn.XLOOKUP(INDEX($B:$B, (ROW()-2)),'Relacion '!$E:$E,'Relacion '!$D:$D,""),{"01. ASIGNACION AREA";"02. MAPEO";"03. DESARROLLO";"04. VALIDA US";"05. VOBO US";"06. BW-EJECUCION";"07. VALIDACIÓN BAJAWARE";"08. CERRADA"},0),
  _xlfn.XLOOKUP(INDEX($B:$B, (ROW()-2)),'Relacion '!$E:$E,'Relacion '!#REF!,0),
  0
 )
)</f>
        <v>#REF!</v>
      </c>
      <c r="I814" s="241">
        <f t="shared" ca="1" si="182"/>
        <v>1</v>
      </c>
      <c r="J814" s="241"/>
      <c r="K814" s="241"/>
      <c r="L814" s="238"/>
    </row>
    <row r="815" spans="2:12" outlineLevel="1">
      <c r="B815" s="237" t="s">
        <v>49</v>
      </c>
      <c r="C815" s="237" t="s">
        <v>49</v>
      </c>
      <c r="D815" s="238" t="str">
        <f>_xlfn.XLOOKUP(B815,'Relacion '!$E:$E,'Relacion '!$D:$D,"")</f>
        <v/>
      </c>
      <c r="E815" s="239">
        <f t="shared" si="183"/>
        <v>18</v>
      </c>
      <c r="F815" s="240" cm="1">
        <f t="array" ref="F815">MIN(INDEX('Relacion '!$AB$5:$AC$493,MATCH(INDEX($B:$B, (ROW()-3)),'Relacion '!$E$5:$E$493,0),0))</f>
        <v>46139</v>
      </c>
      <c r="G815" s="240" cm="1">
        <f t="array" ref="G815">MAX(INDEX('Relacion '!$AB$5:$AC$493,MATCH(INDEX($B:$B, (ROW()-3)),'Relacion '!$E$5:$E$493,0),0))</f>
        <v>46157</v>
      </c>
      <c r="H815" s="241" cm="1">
        <f t="array" ref="H815">IF(
 MATCH(B815,{"01. ASIGNACION AREA";"02. MAPEO";"03. DESARROLLO";"04. VALIDA US";"05. VOBO US";"06. BW-EJECUCION";"07. VALIDACIÓN BAJAWARE";"08. CERRADA"},0)
 &lt;
 MATCH(_xlfn.XLOOKUP(INDEX($B:$B, (ROW()-3)),'Relacion '!$E:$E,'Relacion '!$D:$D,""),{"01. ASIGNACION AREA";"02. MAPEO";"03. DESARROLLO";"04. VALIDA US";"05. VOBO US";"06. BW-EJECUCION";"07. VALIDACIÓN BAJAWARE";"08. CERRADA"},0),
 1,
 IF(
  MATCH(B815,{"01. ASIGNACION AREA";"02. MAPEO";"03. DESARROLLO";"04. VALIDA US";"05. VOBO US";"06. BW-EJECUCION";"07. VALIDACIÓN BAJAWARE";"08. CERRADA"},0)
  =
  MATCH(_xlfn.XLOOKUP(INDEX($B:$B, (ROW()-3)),'Relacion '!$E:$E,'Relacion '!$D:$D,""),{"01. ASIGNACION AREA";"02. MAPEO";"03. DESARROLLO";"04. VALIDA US";"05. VOBO US";"06. BW-EJECUCION";"07. VALIDACIÓN BAJAWARE";"08. CERRADA"},0),
  _xlfn.XLOOKUP(INDEX($B:$B, (ROW()-3)),'Relacion '!$E:$E,'Relacion '!#REF!,0),
  0
 )
)</f>
        <v>0</v>
      </c>
      <c r="I815" s="241">
        <f t="shared" ca="1" si="182"/>
        <v>1</v>
      </c>
      <c r="J815" s="241"/>
      <c r="K815" s="241"/>
      <c r="L815" s="238"/>
    </row>
    <row r="816" spans="2:12" outlineLevel="1">
      <c r="B816" s="237" t="s">
        <v>324</v>
      </c>
      <c r="C816" s="237" t="s">
        <v>324</v>
      </c>
      <c r="D816" s="238" t="str">
        <f>_xlfn.XLOOKUP(B816,'Relacion '!$E:$E,'Relacion '!$D:$D,"")</f>
        <v/>
      </c>
      <c r="E816" s="239">
        <f t="shared" si="183"/>
        <v>11</v>
      </c>
      <c r="F816" s="240" cm="1">
        <f t="array" ref="F816">MIN(INDEX('Relacion '!$AD$5:$AE$493,MATCH(INDEX($B:$B, (ROW()-4)),'Relacion '!$E$5:$E$493,0),0))</f>
        <v>46160</v>
      </c>
      <c r="G816" s="240" cm="1">
        <f t="array" ref="G816">MAX(INDEX('Relacion '!$AD$5:$AE$493,MATCH(INDEX($B:$B, (ROW()-4)),'Relacion '!$E$5:$E$493,0),0))</f>
        <v>46171</v>
      </c>
      <c r="H816" s="241" cm="1">
        <f t="array" ref="H816">IF(
 MATCH(B816,{"01. ASIGNACION AREA";"02. MAPEO";"03. DESARROLLO";"04. VALIDA US";"05. VOBO US";"06. BW-EJECUCION";"07. VALIDACIÓN BAJAWARE";"08. CERRADA"},0)
 &lt;
 MATCH(_xlfn.XLOOKUP(INDEX($B:$B, (ROW()-4)),'Relacion '!$E:$E,'Relacion '!$D:$D,""),{"01. ASIGNACION AREA";"02. MAPEO";"03. DESARROLLO";"04. VALIDA US";"05. VOBO US";"06. BW-EJECUCION";"07. VALIDACIÓN BAJAWARE";"08. CERRADA"},0),
 1,
 IF(
  MATCH(B816,{"01. ASIGNACION AREA";"02. MAPEO";"03. DESARROLLO";"04. VALIDA US";"05. VOBO US";"06. BW-EJECUCION";"07. VALIDACIÓN BAJAWARE";"08. CERRADA"},0)
  =
  MATCH(_xlfn.XLOOKUP(INDEX($B:$B, (ROW()-4)),'Relacion '!$E:$E,'Relacion '!$D:$D,""),{"01. ASIGNACION AREA";"02. MAPEO";"03. DESARROLLO";"04. VALIDA US";"05. VOBO US";"06. BW-EJECUCION";"07. VALIDACIÓN BAJAWARE";"08. CERRADA"},0),
  _xlfn.XLOOKUP(INDEX($B:$B, (ROW()-4)),'Relacion '!$E:$E,'Relacion '!#REF!,0),
  0
 )
)</f>
        <v>0</v>
      </c>
      <c r="I816" s="241">
        <f t="shared" ca="1" si="182"/>
        <v>0</v>
      </c>
      <c r="J816" s="241"/>
      <c r="K816" s="241"/>
      <c r="L816" s="238"/>
    </row>
    <row r="817" spans="2:12" outlineLevel="1">
      <c r="B817" s="237" t="s">
        <v>320</v>
      </c>
      <c r="C817" s="237" t="s">
        <v>320</v>
      </c>
      <c r="D817" s="238" t="str">
        <f>_xlfn.XLOOKUP(B817,'Relacion '!$E:$E,'Relacion '!$D:$D,"")</f>
        <v/>
      </c>
      <c r="E817" s="239">
        <f t="shared" si="183"/>
        <v>3</v>
      </c>
      <c r="F817" s="240" cm="1">
        <f t="array" ref="F817">MIN(INDEX('Relacion '!$AF$5:$AG$493,MATCH(INDEX($B:$B, (ROW()-5)),'Relacion '!$E$5:$E$493,0),0))</f>
        <v>46171</v>
      </c>
      <c r="G817" s="240" cm="1">
        <f t="array" ref="G817">MAX(INDEX('Relacion '!$AF$5:$AG$493,MATCH(INDEX($B:$B, (ROW()-5)),'Relacion '!$E$5:$E$493,0),0))</f>
        <v>46174</v>
      </c>
      <c r="H817" s="241" cm="1">
        <f t="array" ref="H817">IF(
 MATCH(B817,{"01. ASIGNACION AREA";"02. MAPEO";"03. DESARROLLO";"04. VALIDA US";"05. VOBO US";"06. BW-EJECUCION";"07. VALIDACIÓN BAJAWARE";"08. CERRADA"},0)
 &lt;
 MATCH(_xlfn.XLOOKUP(INDEX($B:$B, (ROW()-5)),'Relacion '!$E:$E,'Relacion '!$D:$D,""),{"01. ASIGNACION AREA";"02. MAPEO";"03. DESARROLLO";"04. VALIDA US";"05. VOBO US";"06. BW-EJECUCION";"07. VALIDACIÓN BAJAWARE";"08. CERRADA"},0),
 1,
 IF(
  MATCH(B817,{"01. ASIGNACION AREA";"02. MAPEO";"03. DESARROLLO";"04. VALIDA US";"05. VOBO US";"06. BW-EJECUCION";"07. VALIDACIÓN BAJAWARE";"08. CERRADA"},0)
  =
  MATCH(_xlfn.XLOOKUP(INDEX($B:$B, (ROW()-5)),'Relacion '!$E:$E,'Relacion '!$D:$D,""),{"01. ASIGNACION AREA";"02. MAPEO";"03. DESARROLLO";"04. VALIDA US";"05. VOBO US";"06. BW-EJECUCION";"07. VALIDACIÓN BAJAWARE";"08. CERRADA"},0),
  _xlfn.XLOOKUP(INDEX($B:$B, (ROW()-5)),'Relacion '!$E:$E,'Relacion '!#REF!,0),
  0
 )
)</f>
        <v>0</v>
      </c>
      <c r="I817" s="241">
        <f t="shared" ca="1" si="182"/>
        <v>0</v>
      </c>
      <c r="J817" s="241"/>
      <c r="K817" s="241"/>
      <c r="L817" s="238"/>
    </row>
    <row r="818" spans="2:12" outlineLevel="1">
      <c r="B818" s="237" t="s">
        <v>710</v>
      </c>
      <c r="C818" s="237" t="s">
        <v>710</v>
      </c>
      <c r="D818" s="238" t="str">
        <f>_xlfn.XLOOKUP(B818,'Relacion '!$E:$E,'Relacion '!$D:$D,"")</f>
        <v/>
      </c>
      <c r="E818" s="239">
        <f t="shared" si="183"/>
        <v>2</v>
      </c>
      <c r="F818" s="240" cm="1">
        <f t="array" ref="F818">MIN(INDEX('Relacion '!$AH$5:$AI$493,MATCH(INDEX($B:$B, (ROW()-6)),'Relacion '!$E$5:$E$493,0),0))</f>
        <v>46175</v>
      </c>
      <c r="G818" s="240" cm="1">
        <f t="array" ref="G818">MAX(INDEX('Relacion '!$AH$5:$AI$493,MATCH(INDEX($B:$B, (ROW()-6)),'Relacion '!$E$5:$E$493,0),0))</f>
        <v>46177</v>
      </c>
      <c r="H818" s="241" cm="1">
        <f t="array" ref="H818">IF(
 MATCH(B818,{"01. ASIGNACION AREA";"02. MAPEO";"03. DESARROLLO";"04. VALIDA US";"05. VOBO US";"06. BW-EJECUCION";"07. VALIDACIÓN BAJAWARE";"08. CERRADA"},0)
 &lt;
 MATCH(_xlfn.XLOOKUP(INDEX($B:$B, (ROW()-6)),'Relacion '!$E:$E,'Relacion '!$D:$D,""),{"01. ASIGNACION AREA";"02. MAPEO";"03. DESARROLLO";"04. VALIDA US";"05. VOBO US";"06. BW-EJECUCION";"07. VALIDACIÓN BAJAWARE";"08. CERRADA"},0),
 1,
 IF(
  MATCH(B818,{"01. ASIGNACION AREA";"02. MAPEO";"03. DESARROLLO";"04. VALIDA US";"05. VOBO US";"06. BW-EJECUCION";"07. VALIDACIÓN BAJAWARE";"08. CERRADA"},0)
  =
  MATCH(_xlfn.XLOOKUP(INDEX($B:$B, (ROW()-6)),'Relacion '!$E:$E,'Relacion '!$D:$D,""),{"01. ASIGNACION AREA";"02. MAPEO";"03. DESARROLLO";"04. VALIDA US";"05. VOBO US";"06. BW-EJECUCION";"07. VALIDACIÓN BAJAWARE";"08. CERRADA"},0),
  _xlfn.XLOOKUP(INDEX($B:$B, (ROW()-6)),'Relacion '!$E:$E,'Relacion '!#REF!,0),
  0
 )
)</f>
        <v>0</v>
      </c>
      <c r="I818" s="241">
        <f t="shared" ca="1" si="182"/>
        <v>0</v>
      </c>
      <c r="J818" s="241"/>
      <c r="K818" s="241"/>
      <c r="L818" s="238"/>
    </row>
    <row r="819" spans="2:12" outlineLevel="1">
      <c r="B819" s="237" t="s">
        <v>655</v>
      </c>
      <c r="C819" s="237" t="s">
        <v>655</v>
      </c>
      <c r="D819" s="238" t="str">
        <f>_xlfn.XLOOKUP(B819,'Relacion '!$E:$E,'Relacion '!$D:$D,"")</f>
        <v/>
      </c>
      <c r="E819" s="239">
        <f t="shared" si="183"/>
        <v>14</v>
      </c>
      <c r="F819" s="240" cm="1">
        <f t="array" ref="F819">MIN(INDEX('Relacion '!$AJ$5:$AK$493,MATCH(INDEX($B:$B, (ROW()-7)),'Relacion '!$E$5:$E$493,0),0))</f>
        <v>46178</v>
      </c>
      <c r="G819" s="240" cm="1">
        <f t="array" ref="G819">MAX(INDEX('Relacion '!$AJ$5:$AK$493,MATCH(INDEX($B:$B, (ROW()-7)),'Relacion '!$E$5:$E$493,0),0))</f>
        <v>46192</v>
      </c>
      <c r="H819" s="241" cm="1">
        <f t="array" ref="H819">IF(
 MATCH(B819,{"01. ASIGNACION AREA";"02. MAPEO";"03. DESARROLLO";"04. VALIDA US";"05. VOBO US";"06. BW-EJECUCION";"07. VALIDACIÓN BAJAWARE";"08. CERRADA"},0)
 &lt;
 MATCH(_xlfn.XLOOKUP(INDEX($B:$B, (ROW()-7)),'Relacion '!$E:$E,'Relacion '!$D:$D,""),{"01. ASIGNACION AREA";"02. MAPEO";"03. DESARROLLO";"04. VALIDA US";"05. VOBO US";"06. BW-EJECUCION";"07. VALIDACIÓN BAJAWARE";"08. CERRADA"},0),
 1,
 IF(
  MATCH(B819,{"01. ASIGNACION AREA";"02. MAPEO";"03. DESARROLLO";"04. VALIDA US";"05. VOBO US";"06. BW-EJECUCION";"07. VALIDACIÓN BAJAWARE";"08. CERRADA"},0)
  =
  MATCH(_xlfn.XLOOKUP(INDEX($B:$B, (ROW()-7)),'Relacion '!$E:$E,'Relacion '!$D:$D,""),{"01. ASIGNACION AREA";"02. MAPEO";"03. DESARROLLO";"04. VALIDA US";"05. VOBO US";"06. BW-EJECUCION";"07. VALIDACIÓN BAJAWARE";"08. CERRADA"},0),
  _xlfn.XLOOKUP(INDEX($B:$B, (ROW()-7)),'Relacion '!$E:$E,'Relacion '!#REF!,0),
  0
 )
)</f>
        <v>0</v>
      </c>
      <c r="I819" s="241">
        <f t="shared" ca="1" si="182"/>
        <v>0</v>
      </c>
      <c r="J819" s="241"/>
      <c r="K819" s="241"/>
      <c r="L819" s="238"/>
    </row>
    <row r="820" spans="2:12" outlineLevel="1">
      <c r="B820" s="237" t="s">
        <v>656</v>
      </c>
      <c r="C820" s="237" t="s">
        <v>656</v>
      </c>
      <c r="D820" s="238" t="str">
        <f>_xlfn.XLOOKUP(B820,'Relacion '!$E:$E,'Relacion '!$D:$D,"")</f>
        <v/>
      </c>
      <c r="E820" s="239">
        <f t="shared" si="183"/>
        <v>1</v>
      </c>
      <c r="F820" s="240" cm="1">
        <f t="array" ref="F820">MIN(INDEX('Relacion '!$AL$5:$AM$493,MATCH(INDEX($B:$B, (ROW()-8)),'Relacion '!$E$5:$E$493,0),0))</f>
        <v>46195</v>
      </c>
      <c r="G820" s="240" cm="1">
        <f t="array" ref="G820">MAX(INDEX('Relacion '!$AL$5:$AM$493,MATCH(INDEX($B:$B, (ROW()-8)),'Relacion '!$E$5:$E$493,0),0))</f>
        <v>46196</v>
      </c>
      <c r="H820" s="241" cm="1">
        <f t="array" ref="H820">IF(
 MATCH(B820,{"01. ASIGNACION AREA";"02. MAPEO";"03. DESARROLLO";"04. VALIDA US";"05. VOBO US";"06. BW-EJECUCION";"07. VALIDACIÓN BAJAWARE";"08. CERRADA"},0)
 &lt;
 MATCH(_xlfn.XLOOKUP(INDEX($B:$B, (ROW()-8)),'Relacion '!$E:$E,'Relacion '!$D:$D,""),{"01. ASIGNACION AREA";"02. MAPEO";"03. DESARROLLO";"04. VALIDA US";"05. VOBO US";"06. BW-EJECUCION";"07. VALIDACIÓN BAJAWARE";"08. CERRADA"},0),
 1,
 IF(
  MATCH(B820,{"01. ASIGNACION AREA";"02. MAPEO";"03. DESARROLLO";"04. VALIDA US";"05. VOBO US";"06. BW-EJECUCION";"07. VALIDACIÓN BAJAWARE";"08. CERRADA"},0)
  =
  MATCH(_xlfn.XLOOKUP(INDEX($B:$B, (ROW()-8)),'Relacion '!$E:$E,'Relacion '!$D:$D,""),{"01. ASIGNACION AREA";"02. MAPEO";"03. DESARROLLO";"04. VALIDA US";"05. VOBO US";"06. BW-EJECUCION";"07. VALIDACIÓN BAJAWARE";"08. CERRADA"},0),
  _xlfn.XLOOKUP(INDEX($B:$B, (ROW()-8)),'Relacion '!$E:$E,'Relacion '!#REF!,0),
  0
 )
)</f>
        <v>0</v>
      </c>
      <c r="I820" s="241">
        <f t="shared" ca="1" si="182"/>
        <v>0</v>
      </c>
      <c r="J820" s="241"/>
      <c r="K820" s="241"/>
      <c r="L820" s="238"/>
    </row>
    <row r="821" spans="2:12">
      <c r="B821" s="232" t="s">
        <v>262</v>
      </c>
      <c r="C821" s="137" t="s">
        <v>263</v>
      </c>
      <c r="D821" s="236" t="str">
        <f>_xlfn.XLOOKUP(B821,'Relacion '!$E:$E,'Relacion '!$D:$D,"")</f>
        <v>02. MAPEO</v>
      </c>
      <c r="E821" s="233">
        <f t="shared" si="183"/>
        <v>172</v>
      </c>
      <c r="F821" s="234" cm="1">
        <f t="array" ref="F821">MIN(INDEX('Relacion '!$X$5:$AM$493,MATCH(INDEX($B:$B, (ROW()-0)),'Relacion '!$E$5:$E$493,0),0))</f>
        <v>46024</v>
      </c>
      <c r="G821" s="234" cm="1">
        <f t="array" ref="G821">MAX(INDEX('Relacion '!$X$5:$AM$493,MATCH(INDEX($B:$B, (ROW()-0)),'Relacion '!$E$5:$E$493,0),0))</f>
        <v>46196</v>
      </c>
      <c r="H821" s="235" t="e">
        <f>AVERAGE(H822:H829)</f>
        <v>#REF!</v>
      </c>
      <c r="I821" s="235">
        <f t="shared" ref="I821" ca="1" si="194">AVERAGE(I822:I829)</f>
        <v>0.375</v>
      </c>
      <c r="J821" s="236" t="str">
        <f>IF(ISNUMBER(SEARCH("Rocha", _xlfn.XLOOKUP(B821,'Relacion '!$E:$E,'Relacion '!$I:$I,""))), "Sí", "No")</f>
        <v>No</v>
      </c>
      <c r="K821" s="236" t="str">
        <f>IF(ISNUMBER(SEARCH("Rocha", _xlfn.XLOOKUP(B821,'Relacion '!$E:$E,'Relacion '!$I:$I,""))), "RMC", _xlfn.XLOOKUP(B821,'Relacion '!$E:$E,'Relacion '!$B:$B,""))</f>
        <v>Tesorería </v>
      </c>
      <c r="L821" s="236" t="str">
        <f>_xlfn.XLOOKUP(B821,'Relacion '!$E:$E,'Relacion '!$C:$C,"")</f>
        <v>Eduardo Cabral</v>
      </c>
    </row>
    <row r="822" spans="2:12" outlineLevel="1">
      <c r="B822" s="237" t="s">
        <v>654</v>
      </c>
      <c r="C822" s="237" t="s">
        <v>654</v>
      </c>
      <c r="D822" s="238" t="str">
        <f>_xlfn.XLOOKUP(B822,'Relacion '!$E:$E,'Relacion '!$D:$D,"")</f>
        <v/>
      </c>
      <c r="E822" s="239">
        <f t="shared" si="183"/>
        <v>59</v>
      </c>
      <c r="F822" s="240" cm="1">
        <f t="array" ref="F822">MIN(INDEX('Relacion '!$X$5:$Y$493,MATCH(INDEX($B:$B, (ROW()-1)),'Relacion '!$E$5:$E$493,0),0))</f>
        <v>46024</v>
      </c>
      <c r="G822" s="240" cm="1">
        <f t="array" ref="G822">MAX(INDEX('Relacion '!$X$5:$Y$493,MATCH(INDEX($B:$B, (ROW()-1)),'Relacion '!$E$5:$E$493,0),0))</f>
        <v>46083</v>
      </c>
      <c r="H822" s="241" cm="1">
        <f t="array" ref="H822">IF(
 MATCH(B822,{"01. ASIGNACION AREA";"02. MAPEO";"03. DESARROLLO";"04. VALIDA US";"05. VOBO US";"06. BW-EJECUCION";"07. VALIDACIÓN BAJAWARE";"08. CERRADA"},0)
 &lt;
 MATCH(_xlfn.XLOOKUP(INDEX($B:$B, (ROW()-1)),'Relacion '!$E:$E,'Relacion '!$D:$D,""),{"01. ASIGNACION AREA";"02. MAPEO";"03. DESARROLLO";"04. VALIDA US";"05. VOBO US";"06. BW-EJECUCION";"07. VALIDACIÓN BAJAWARE";"08. CERRADA"},0),
 1,
 IF(
  MATCH(B822,{"01. ASIGNACION AREA";"02. MAPEO";"03. DESARROLLO";"04. VALIDA US";"05. VOBO US";"06. BW-EJECUCION";"07. VALIDACIÓN BAJAWARE";"08. CERRADA"},0)
  =
  MATCH(_xlfn.XLOOKUP(INDEX($B:$B, (ROW()-1)),'Relacion '!$E:$E,'Relacion '!$D:$D,""),{"01. ASIGNACION AREA";"02. MAPEO";"03. DESARROLLO";"04. VALIDA US";"05. VOBO US";"06. BW-EJECUCION";"07. VALIDACIÓN BAJAWARE";"08. CERRADA"},0),
  _xlfn.XLOOKUP(INDEX($B:$B, (ROW()-1)),'Relacion '!$E:$E,'Relacion '!#REF!,0),
  0
 )
)</f>
        <v>1</v>
      </c>
      <c r="I822" s="241">
        <f t="shared" ref="I822" ca="1" si="195">IF(G822&lt;=TODAY(), 1, 0)</f>
        <v>1</v>
      </c>
      <c r="J822" s="241"/>
      <c r="K822" s="241"/>
      <c r="L822" s="238"/>
    </row>
    <row r="823" spans="2:12" outlineLevel="1">
      <c r="B823" s="237" t="s">
        <v>195</v>
      </c>
      <c r="C823" s="237" t="s">
        <v>195</v>
      </c>
      <c r="D823" s="238" t="str">
        <f>_xlfn.XLOOKUP(B823,'Relacion '!$E:$E,'Relacion '!$D:$D,"")</f>
        <v/>
      </c>
      <c r="E823" s="239">
        <f t="shared" si="183"/>
        <v>80</v>
      </c>
      <c r="F823" s="240" cm="1">
        <f t="array" ref="F823">MIN(INDEX('Relacion '!$Z$5:$AA$493,MATCH(INDEX($B:$B, (ROW()-2)),'Relacion '!$E$5:$E$493,0),0))</f>
        <v>46056</v>
      </c>
      <c r="G823" s="240" cm="1">
        <f t="array" ref="G823">MAX(INDEX('Relacion '!$Z$5:$AA$493,MATCH(INDEX($B:$B, (ROW()-2)),'Relacion '!$E$5:$E$493,0),0))</f>
        <v>46136</v>
      </c>
      <c r="H823" s="241" t="e" cm="1">
        <f t="array" ref="H823">IF(
 MATCH(B823,{"01. ASIGNACION AREA";"02. MAPEO";"03. DESARROLLO";"04. VALIDA US";"05. VOBO US";"06. BW-EJECUCION";"07. VALIDACIÓN BAJAWARE";"08. CERRADA"},0)
 &lt;
 MATCH(_xlfn.XLOOKUP(INDEX($B:$B, (ROW()-2)),'Relacion '!$E:$E,'Relacion '!$D:$D,""),{"01. ASIGNACION AREA";"02. MAPEO";"03. DESARROLLO";"04. VALIDA US";"05. VOBO US";"06. BW-EJECUCION";"07. VALIDACIÓN BAJAWARE";"08. CERRADA"},0),
 1,
 IF(
  MATCH(B823,{"01. ASIGNACION AREA";"02. MAPEO";"03. DESARROLLO";"04. VALIDA US";"05. VOBO US";"06. BW-EJECUCION";"07. VALIDACIÓN BAJAWARE";"08. CERRADA"},0)
  =
  MATCH(_xlfn.XLOOKUP(INDEX($B:$B, (ROW()-2)),'Relacion '!$E:$E,'Relacion '!$D:$D,""),{"01. ASIGNACION AREA";"02. MAPEO";"03. DESARROLLO";"04. VALIDA US";"05. VOBO US";"06. BW-EJECUCION";"07. VALIDACIÓN BAJAWARE";"08. CERRADA"},0),
  _xlfn.XLOOKUP(INDEX($B:$B, (ROW()-2)),'Relacion '!$E:$E,'Relacion '!#REF!,0),
  0
 )
)</f>
        <v>#REF!</v>
      </c>
      <c r="I823" s="241">
        <f t="shared" ca="1" si="182"/>
        <v>1</v>
      </c>
      <c r="J823" s="241"/>
      <c r="K823" s="241"/>
      <c r="L823" s="238"/>
    </row>
    <row r="824" spans="2:12" outlineLevel="1">
      <c r="B824" s="237" t="s">
        <v>49</v>
      </c>
      <c r="C824" s="237" t="s">
        <v>49</v>
      </c>
      <c r="D824" s="238" t="str">
        <f>_xlfn.XLOOKUP(B824,'Relacion '!$E:$E,'Relacion '!$D:$D,"")</f>
        <v/>
      </c>
      <c r="E824" s="239">
        <f t="shared" si="183"/>
        <v>18</v>
      </c>
      <c r="F824" s="240" cm="1">
        <f t="array" ref="F824">MIN(INDEX('Relacion '!$AB$5:$AC$493,MATCH(INDEX($B:$B, (ROW()-3)),'Relacion '!$E$5:$E$493,0),0))</f>
        <v>46139</v>
      </c>
      <c r="G824" s="240" cm="1">
        <f t="array" ref="G824">MAX(INDEX('Relacion '!$AB$5:$AC$493,MATCH(INDEX($B:$B, (ROW()-3)),'Relacion '!$E$5:$E$493,0),0))</f>
        <v>46157</v>
      </c>
      <c r="H824" s="241" cm="1">
        <f t="array" ref="H824">IF(
 MATCH(B824,{"01. ASIGNACION AREA";"02. MAPEO";"03. DESARROLLO";"04. VALIDA US";"05. VOBO US";"06. BW-EJECUCION";"07. VALIDACIÓN BAJAWARE";"08. CERRADA"},0)
 &lt;
 MATCH(_xlfn.XLOOKUP(INDEX($B:$B, (ROW()-3)),'Relacion '!$E:$E,'Relacion '!$D:$D,""),{"01. ASIGNACION AREA";"02. MAPEO";"03. DESARROLLO";"04. VALIDA US";"05. VOBO US";"06. BW-EJECUCION";"07. VALIDACIÓN BAJAWARE";"08. CERRADA"},0),
 1,
 IF(
  MATCH(B824,{"01. ASIGNACION AREA";"02. MAPEO";"03. DESARROLLO";"04. VALIDA US";"05. VOBO US";"06. BW-EJECUCION";"07. VALIDACIÓN BAJAWARE";"08. CERRADA"},0)
  =
  MATCH(_xlfn.XLOOKUP(INDEX($B:$B, (ROW()-3)),'Relacion '!$E:$E,'Relacion '!$D:$D,""),{"01. ASIGNACION AREA";"02. MAPEO";"03. DESARROLLO";"04. VALIDA US";"05. VOBO US";"06. BW-EJECUCION";"07. VALIDACIÓN BAJAWARE";"08. CERRADA"},0),
  _xlfn.XLOOKUP(INDEX($B:$B, (ROW()-3)),'Relacion '!$E:$E,'Relacion '!#REF!,0),
  0
 )
)</f>
        <v>0</v>
      </c>
      <c r="I824" s="241">
        <f t="shared" ca="1" si="182"/>
        <v>1</v>
      </c>
      <c r="J824" s="241"/>
      <c r="K824" s="241"/>
      <c r="L824" s="238"/>
    </row>
    <row r="825" spans="2:12" outlineLevel="1">
      <c r="B825" s="237" t="s">
        <v>324</v>
      </c>
      <c r="C825" s="237" t="s">
        <v>324</v>
      </c>
      <c r="D825" s="238" t="str">
        <f>_xlfn.XLOOKUP(B825,'Relacion '!$E:$E,'Relacion '!$D:$D,"")</f>
        <v/>
      </c>
      <c r="E825" s="239">
        <f t="shared" si="183"/>
        <v>11</v>
      </c>
      <c r="F825" s="240" cm="1">
        <f t="array" ref="F825">MIN(INDEX('Relacion '!$AD$5:$AE$493,MATCH(INDEX($B:$B, (ROW()-4)),'Relacion '!$E$5:$E$493,0),0))</f>
        <v>46160</v>
      </c>
      <c r="G825" s="240" cm="1">
        <f t="array" ref="G825">MAX(INDEX('Relacion '!$AD$5:$AE$493,MATCH(INDEX($B:$B, (ROW()-4)),'Relacion '!$E$5:$E$493,0),0))</f>
        <v>46171</v>
      </c>
      <c r="H825" s="241" cm="1">
        <f t="array" ref="H825">IF(
 MATCH(B825,{"01. ASIGNACION AREA";"02. MAPEO";"03. DESARROLLO";"04. VALIDA US";"05. VOBO US";"06. BW-EJECUCION";"07. VALIDACIÓN BAJAWARE";"08. CERRADA"},0)
 &lt;
 MATCH(_xlfn.XLOOKUP(INDEX($B:$B, (ROW()-4)),'Relacion '!$E:$E,'Relacion '!$D:$D,""),{"01. ASIGNACION AREA";"02. MAPEO";"03. DESARROLLO";"04. VALIDA US";"05. VOBO US";"06. BW-EJECUCION";"07. VALIDACIÓN BAJAWARE";"08. CERRADA"},0),
 1,
 IF(
  MATCH(B825,{"01. ASIGNACION AREA";"02. MAPEO";"03. DESARROLLO";"04. VALIDA US";"05. VOBO US";"06. BW-EJECUCION";"07. VALIDACIÓN BAJAWARE";"08. CERRADA"},0)
  =
  MATCH(_xlfn.XLOOKUP(INDEX($B:$B, (ROW()-4)),'Relacion '!$E:$E,'Relacion '!$D:$D,""),{"01. ASIGNACION AREA";"02. MAPEO";"03. DESARROLLO";"04. VALIDA US";"05. VOBO US";"06. BW-EJECUCION";"07. VALIDACIÓN BAJAWARE";"08. CERRADA"},0),
  _xlfn.XLOOKUP(INDEX($B:$B, (ROW()-4)),'Relacion '!$E:$E,'Relacion '!#REF!,0),
  0
 )
)</f>
        <v>0</v>
      </c>
      <c r="I825" s="241">
        <f t="shared" ca="1" si="182"/>
        <v>0</v>
      </c>
      <c r="J825" s="241"/>
      <c r="K825" s="241"/>
      <c r="L825" s="238"/>
    </row>
    <row r="826" spans="2:12" outlineLevel="1">
      <c r="B826" s="237" t="s">
        <v>320</v>
      </c>
      <c r="C826" s="237" t="s">
        <v>320</v>
      </c>
      <c r="D826" s="238" t="str">
        <f>_xlfn.XLOOKUP(B826,'Relacion '!$E:$E,'Relacion '!$D:$D,"")</f>
        <v/>
      </c>
      <c r="E826" s="239">
        <f t="shared" si="183"/>
        <v>3</v>
      </c>
      <c r="F826" s="240" cm="1">
        <f t="array" ref="F826">MIN(INDEX('Relacion '!$AF$5:$AG$493,MATCH(INDEX($B:$B, (ROW()-5)),'Relacion '!$E$5:$E$493,0),0))</f>
        <v>46171</v>
      </c>
      <c r="G826" s="240" cm="1">
        <f t="array" ref="G826">MAX(INDEX('Relacion '!$AF$5:$AG$493,MATCH(INDEX($B:$B, (ROW()-5)),'Relacion '!$E$5:$E$493,0),0))</f>
        <v>46174</v>
      </c>
      <c r="H826" s="241" cm="1">
        <f t="array" ref="H826">IF(
 MATCH(B826,{"01. ASIGNACION AREA";"02. MAPEO";"03. DESARROLLO";"04. VALIDA US";"05. VOBO US";"06. BW-EJECUCION";"07. VALIDACIÓN BAJAWARE";"08. CERRADA"},0)
 &lt;
 MATCH(_xlfn.XLOOKUP(INDEX($B:$B, (ROW()-5)),'Relacion '!$E:$E,'Relacion '!$D:$D,""),{"01. ASIGNACION AREA";"02. MAPEO";"03. DESARROLLO";"04. VALIDA US";"05. VOBO US";"06. BW-EJECUCION";"07. VALIDACIÓN BAJAWARE";"08. CERRADA"},0),
 1,
 IF(
  MATCH(B826,{"01. ASIGNACION AREA";"02. MAPEO";"03. DESARROLLO";"04. VALIDA US";"05. VOBO US";"06. BW-EJECUCION";"07. VALIDACIÓN BAJAWARE";"08. CERRADA"},0)
  =
  MATCH(_xlfn.XLOOKUP(INDEX($B:$B, (ROW()-5)),'Relacion '!$E:$E,'Relacion '!$D:$D,""),{"01. ASIGNACION AREA";"02. MAPEO";"03. DESARROLLO";"04. VALIDA US";"05. VOBO US";"06. BW-EJECUCION";"07. VALIDACIÓN BAJAWARE";"08. CERRADA"},0),
  _xlfn.XLOOKUP(INDEX($B:$B, (ROW()-5)),'Relacion '!$E:$E,'Relacion '!#REF!,0),
  0
 )
)</f>
        <v>0</v>
      </c>
      <c r="I826" s="241">
        <f t="shared" ca="1" si="182"/>
        <v>0</v>
      </c>
      <c r="J826" s="241"/>
      <c r="K826" s="241"/>
      <c r="L826" s="238"/>
    </row>
    <row r="827" spans="2:12" outlineLevel="1">
      <c r="B827" s="237" t="s">
        <v>710</v>
      </c>
      <c r="C827" s="237" t="s">
        <v>710</v>
      </c>
      <c r="D827" s="238" t="str">
        <f>_xlfn.XLOOKUP(B827,'Relacion '!$E:$E,'Relacion '!$D:$D,"")</f>
        <v/>
      </c>
      <c r="E827" s="239">
        <f t="shared" si="183"/>
        <v>2</v>
      </c>
      <c r="F827" s="240" cm="1">
        <f t="array" ref="F827">MIN(INDEX('Relacion '!$AH$5:$AI$493,MATCH(INDEX($B:$B, (ROW()-6)),'Relacion '!$E$5:$E$493,0),0))</f>
        <v>46175</v>
      </c>
      <c r="G827" s="240" cm="1">
        <f t="array" ref="G827">MAX(INDEX('Relacion '!$AH$5:$AI$493,MATCH(INDEX($B:$B, (ROW()-6)),'Relacion '!$E$5:$E$493,0),0))</f>
        <v>46177</v>
      </c>
      <c r="H827" s="241" cm="1">
        <f t="array" ref="H827">IF(
 MATCH(B827,{"01. ASIGNACION AREA";"02. MAPEO";"03. DESARROLLO";"04. VALIDA US";"05. VOBO US";"06. BW-EJECUCION";"07. VALIDACIÓN BAJAWARE";"08. CERRADA"},0)
 &lt;
 MATCH(_xlfn.XLOOKUP(INDEX($B:$B, (ROW()-6)),'Relacion '!$E:$E,'Relacion '!$D:$D,""),{"01. ASIGNACION AREA";"02. MAPEO";"03. DESARROLLO";"04. VALIDA US";"05. VOBO US";"06. BW-EJECUCION";"07. VALIDACIÓN BAJAWARE";"08. CERRADA"},0),
 1,
 IF(
  MATCH(B827,{"01. ASIGNACION AREA";"02. MAPEO";"03. DESARROLLO";"04. VALIDA US";"05. VOBO US";"06. BW-EJECUCION";"07. VALIDACIÓN BAJAWARE";"08. CERRADA"},0)
  =
  MATCH(_xlfn.XLOOKUP(INDEX($B:$B, (ROW()-6)),'Relacion '!$E:$E,'Relacion '!$D:$D,""),{"01. ASIGNACION AREA";"02. MAPEO";"03. DESARROLLO";"04. VALIDA US";"05. VOBO US";"06. BW-EJECUCION";"07. VALIDACIÓN BAJAWARE";"08. CERRADA"},0),
  _xlfn.XLOOKUP(INDEX($B:$B, (ROW()-6)),'Relacion '!$E:$E,'Relacion '!#REF!,0),
  0
 )
)</f>
        <v>0</v>
      </c>
      <c r="I827" s="241">
        <f t="shared" ca="1" si="182"/>
        <v>0</v>
      </c>
      <c r="J827" s="241"/>
      <c r="K827" s="241"/>
      <c r="L827" s="238"/>
    </row>
    <row r="828" spans="2:12" outlineLevel="1">
      <c r="B828" s="237" t="s">
        <v>655</v>
      </c>
      <c r="C828" s="237" t="s">
        <v>655</v>
      </c>
      <c r="D828" s="238" t="str">
        <f>_xlfn.XLOOKUP(B828,'Relacion '!$E:$E,'Relacion '!$D:$D,"")</f>
        <v/>
      </c>
      <c r="E828" s="239">
        <f t="shared" si="183"/>
        <v>14</v>
      </c>
      <c r="F828" s="240" cm="1">
        <f t="array" ref="F828">MIN(INDEX('Relacion '!$AJ$5:$AK$493,MATCH(INDEX($B:$B, (ROW()-7)),'Relacion '!$E$5:$E$493,0),0))</f>
        <v>46178</v>
      </c>
      <c r="G828" s="240" cm="1">
        <f t="array" ref="G828">MAX(INDEX('Relacion '!$AJ$5:$AK$493,MATCH(INDEX($B:$B, (ROW()-7)),'Relacion '!$E$5:$E$493,0),0))</f>
        <v>46192</v>
      </c>
      <c r="H828" s="241" cm="1">
        <f t="array" ref="H828">IF(
 MATCH(B828,{"01. ASIGNACION AREA";"02. MAPEO";"03. DESARROLLO";"04. VALIDA US";"05. VOBO US";"06. BW-EJECUCION";"07. VALIDACIÓN BAJAWARE";"08. CERRADA"},0)
 &lt;
 MATCH(_xlfn.XLOOKUP(INDEX($B:$B, (ROW()-7)),'Relacion '!$E:$E,'Relacion '!$D:$D,""),{"01. ASIGNACION AREA";"02. MAPEO";"03. DESARROLLO";"04. VALIDA US";"05. VOBO US";"06. BW-EJECUCION";"07. VALIDACIÓN BAJAWARE";"08. CERRADA"},0),
 1,
 IF(
  MATCH(B828,{"01. ASIGNACION AREA";"02. MAPEO";"03. DESARROLLO";"04. VALIDA US";"05. VOBO US";"06. BW-EJECUCION";"07. VALIDACIÓN BAJAWARE";"08. CERRADA"},0)
  =
  MATCH(_xlfn.XLOOKUP(INDEX($B:$B, (ROW()-7)),'Relacion '!$E:$E,'Relacion '!$D:$D,""),{"01. ASIGNACION AREA";"02. MAPEO";"03. DESARROLLO";"04. VALIDA US";"05. VOBO US";"06. BW-EJECUCION";"07. VALIDACIÓN BAJAWARE";"08. CERRADA"},0),
  _xlfn.XLOOKUP(INDEX($B:$B, (ROW()-7)),'Relacion '!$E:$E,'Relacion '!#REF!,0),
  0
 )
)</f>
        <v>0</v>
      </c>
      <c r="I828" s="241">
        <f t="shared" ca="1" si="182"/>
        <v>0</v>
      </c>
      <c r="J828" s="241"/>
      <c r="K828" s="241"/>
      <c r="L828" s="238"/>
    </row>
    <row r="829" spans="2:12" outlineLevel="1">
      <c r="B829" s="237" t="s">
        <v>656</v>
      </c>
      <c r="C829" s="237" t="s">
        <v>656</v>
      </c>
      <c r="D829" s="238" t="str">
        <f>_xlfn.XLOOKUP(B829,'Relacion '!$E:$E,'Relacion '!$D:$D,"")</f>
        <v/>
      </c>
      <c r="E829" s="239">
        <f t="shared" si="183"/>
        <v>1</v>
      </c>
      <c r="F829" s="240" cm="1">
        <f t="array" ref="F829">MIN(INDEX('Relacion '!$AL$5:$AM$493,MATCH(INDEX($B:$B, (ROW()-8)),'Relacion '!$E$5:$E$493,0),0))</f>
        <v>46195</v>
      </c>
      <c r="G829" s="240" cm="1">
        <f t="array" ref="G829">MAX(INDEX('Relacion '!$AL$5:$AM$493,MATCH(INDEX($B:$B, (ROW()-8)),'Relacion '!$E$5:$E$493,0),0))</f>
        <v>46196</v>
      </c>
      <c r="H829" s="241" cm="1">
        <f t="array" ref="H829">IF(
 MATCH(B829,{"01. ASIGNACION AREA";"02. MAPEO";"03. DESARROLLO";"04. VALIDA US";"05. VOBO US";"06. BW-EJECUCION";"07. VALIDACIÓN BAJAWARE";"08. CERRADA"},0)
 &lt;
 MATCH(_xlfn.XLOOKUP(INDEX($B:$B, (ROW()-8)),'Relacion '!$E:$E,'Relacion '!$D:$D,""),{"01. ASIGNACION AREA";"02. MAPEO";"03. DESARROLLO";"04. VALIDA US";"05. VOBO US";"06. BW-EJECUCION";"07. VALIDACIÓN BAJAWARE";"08. CERRADA"},0),
 1,
 IF(
  MATCH(B829,{"01. ASIGNACION AREA";"02. MAPEO";"03. DESARROLLO";"04. VALIDA US";"05. VOBO US";"06. BW-EJECUCION";"07. VALIDACIÓN BAJAWARE";"08. CERRADA"},0)
  =
  MATCH(_xlfn.XLOOKUP(INDEX($B:$B, (ROW()-8)),'Relacion '!$E:$E,'Relacion '!$D:$D,""),{"01. ASIGNACION AREA";"02. MAPEO";"03. DESARROLLO";"04. VALIDA US";"05. VOBO US";"06. BW-EJECUCION";"07. VALIDACIÓN BAJAWARE";"08. CERRADA"},0),
  _xlfn.XLOOKUP(INDEX($B:$B, (ROW()-8)),'Relacion '!$E:$E,'Relacion '!#REF!,0),
  0
 )
)</f>
        <v>0</v>
      </c>
      <c r="I829" s="241">
        <f t="shared" ca="1" si="182"/>
        <v>0</v>
      </c>
      <c r="J829" s="241"/>
      <c r="K829" s="241"/>
      <c r="L829" s="238"/>
    </row>
    <row r="830" spans="2:12">
      <c r="B830" s="232" t="s">
        <v>260</v>
      </c>
      <c r="C830" s="137" t="s">
        <v>261</v>
      </c>
      <c r="D830" s="236" t="str">
        <f>_xlfn.XLOOKUP(B830,'Relacion '!$E:$E,'Relacion '!$D:$D,"")</f>
        <v>02. MAPEO</v>
      </c>
      <c r="E830" s="233">
        <f t="shared" si="183"/>
        <v>172</v>
      </c>
      <c r="F830" s="234" cm="1">
        <f t="array" ref="F830">MIN(INDEX('Relacion '!$X$5:$AM$493,MATCH(INDEX($B:$B, (ROW()-0)),'Relacion '!$E$5:$E$493,0),0))</f>
        <v>46024</v>
      </c>
      <c r="G830" s="234" cm="1">
        <f t="array" ref="G830">MAX(INDEX('Relacion '!$X$5:$AM$493,MATCH(INDEX($B:$B, (ROW()-0)),'Relacion '!$E$5:$E$493,0),0))</f>
        <v>46196</v>
      </c>
      <c r="H830" s="235" t="e">
        <f>AVERAGE(H831:H838)</f>
        <v>#REF!</v>
      </c>
      <c r="I830" s="235">
        <f t="shared" ref="I830" ca="1" si="196">AVERAGE(I831:I838)</f>
        <v>0.375</v>
      </c>
      <c r="J830" s="236" t="str">
        <f>IF(ISNUMBER(SEARCH("Rocha", _xlfn.XLOOKUP(B830,'Relacion '!$E:$E,'Relacion '!$I:$I,""))), "Sí", "No")</f>
        <v>No</v>
      </c>
      <c r="K830" s="236" t="str">
        <f>IF(ISNUMBER(SEARCH("Rocha", _xlfn.XLOOKUP(B830,'Relacion '!$E:$E,'Relacion '!$I:$I,""))), "RMC", _xlfn.XLOOKUP(B830,'Relacion '!$E:$E,'Relacion '!$B:$B,""))</f>
        <v>Tesorería </v>
      </c>
      <c r="L830" s="236" t="str">
        <f>_xlfn.XLOOKUP(B830,'Relacion '!$E:$E,'Relacion '!$C:$C,"")</f>
        <v>Eduardo Cabral</v>
      </c>
    </row>
    <row r="831" spans="2:12" outlineLevel="1">
      <c r="B831" s="237" t="s">
        <v>654</v>
      </c>
      <c r="C831" s="237" t="s">
        <v>654</v>
      </c>
      <c r="D831" s="238" t="str">
        <f>_xlfn.XLOOKUP(B831,'Relacion '!$E:$E,'Relacion '!$D:$D,"")</f>
        <v/>
      </c>
      <c r="E831" s="239">
        <f t="shared" si="183"/>
        <v>59</v>
      </c>
      <c r="F831" s="240" cm="1">
        <f t="array" ref="F831">MIN(INDEX('Relacion '!$X$5:$Y$493,MATCH(INDEX($B:$B, (ROW()-1)),'Relacion '!$E$5:$E$493,0),0))</f>
        <v>46024</v>
      </c>
      <c r="G831" s="240" cm="1">
        <f t="array" ref="G831">MAX(INDEX('Relacion '!$X$5:$Y$493,MATCH(INDEX($B:$B, (ROW()-1)),'Relacion '!$E$5:$E$493,0),0))</f>
        <v>46083</v>
      </c>
      <c r="H831" s="241" cm="1">
        <f t="array" ref="H831">IF(
 MATCH(B831,{"01. ASIGNACION AREA";"02. MAPEO";"03. DESARROLLO";"04. VALIDA US";"05. VOBO US";"06. BW-EJECUCION";"07. VALIDACIÓN BAJAWARE";"08. CERRADA"},0)
 &lt;
 MATCH(_xlfn.XLOOKUP(INDEX($B:$B, (ROW()-1)),'Relacion '!$E:$E,'Relacion '!$D:$D,""),{"01. ASIGNACION AREA";"02. MAPEO";"03. DESARROLLO";"04. VALIDA US";"05. VOBO US";"06. BW-EJECUCION";"07. VALIDACIÓN BAJAWARE";"08. CERRADA"},0),
 1,
 IF(
  MATCH(B831,{"01. ASIGNACION AREA";"02. MAPEO";"03. DESARROLLO";"04. VALIDA US";"05. VOBO US";"06. BW-EJECUCION";"07. VALIDACIÓN BAJAWARE";"08. CERRADA"},0)
  =
  MATCH(_xlfn.XLOOKUP(INDEX($B:$B, (ROW()-1)),'Relacion '!$E:$E,'Relacion '!$D:$D,""),{"01. ASIGNACION AREA";"02. MAPEO";"03. DESARROLLO";"04. VALIDA US";"05. VOBO US";"06. BW-EJECUCION";"07. VALIDACIÓN BAJAWARE";"08. CERRADA"},0),
  _xlfn.XLOOKUP(INDEX($B:$B, (ROW()-1)),'Relacion '!$E:$E,'Relacion '!#REF!,0),
  0
 )
)</f>
        <v>1</v>
      </c>
      <c r="I831" s="241">
        <f t="shared" ref="I831:I892" ca="1" si="197">IF(G831&lt;=TODAY(), 1, 0)</f>
        <v>1</v>
      </c>
      <c r="J831" s="241"/>
      <c r="K831" s="241"/>
      <c r="L831" s="238"/>
    </row>
    <row r="832" spans="2:12" outlineLevel="1">
      <c r="B832" s="237" t="s">
        <v>195</v>
      </c>
      <c r="C832" s="237" t="s">
        <v>195</v>
      </c>
      <c r="D832" s="238" t="str">
        <f>_xlfn.XLOOKUP(B832,'Relacion '!$E:$E,'Relacion '!$D:$D,"")</f>
        <v/>
      </c>
      <c r="E832" s="239">
        <f t="shared" si="183"/>
        <v>80</v>
      </c>
      <c r="F832" s="240" cm="1">
        <f t="array" ref="F832">MIN(INDEX('Relacion '!$Z$5:$AA$493,MATCH(INDEX($B:$B, (ROW()-2)),'Relacion '!$E$5:$E$493,0),0))</f>
        <v>46056</v>
      </c>
      <c r="G832" s="240" cm="1">
        <f t="array" ref="G832">MAX(INDEX('Relacion '!$Z$5:$AA$493,MATCH(INDEX($B:$B, (ROW()-2)),'Relacion '!$E$5:$E$493,0),0))</f>
        <v>46136</v>
      </c>
      <c r="H832" s="241" t="e" cm="1">
        <f t="array" ref="H832">IF(
 MATCH(B832,{"01. ASIGNACION AREA";"02. MAPEO";"03. DESARROLLO";"04. VALIDA US";"05. VOBO US";"06. BW-EJECUCION";"07. VALIDACIÓN BAJAWARE";"08. CERRADA"},0)
 &lt;
 MATCH(_xlfn.XLOOKUP(INDEX($B:$B, (ROW()-2)),'Relacion '!$E:$E,'Relacion '!$D:$D,""),{"01. ASIGNACION AREA";"02. MAPEO";"03. DESARROLLO";"04. VALIDA US";"05. VOBO US";"06. BW-EJECUCION";"07. VALIDACIÓN BAJAWARE";"08. CERRADA"},0),
 1,
 IF(
  MATCH(B832,{"01. ASIGNACION AREA";"02. MAPEO";"03. DESARROLLO";"04. VALIDA US";"05. VOBO US";"06. BW-EJECUCION";"07. VALIDACIÓN BAJAWARE";"08. CERRADA"},0)
  =
  MATCH(_xlfn.XLOOKUP(INDEX($B:$B, (ROW()-2)),'Relacion '!$E:$E,'Relacion '!$D:$D,""),{"01. ASIGNACION AREA";"02. MAPEO";"03. DESARROLLO";"04. VALIDA US";"05. VOBO US";"06. BW-EJECUCION";"07. VALIDACIÓN BAJAWARE";"08. CERRADA"},0),
  _xlfn.XLOOKUP(INDEX($B:$B, (ROW()-2)),'Relacion '!$E:$E,'Relacion '!#REF!,0),
  0
 )
)</f>
        <v>#REF!</v>
      </c>
      <c r="I832" s="241">
        <f t="shared" ca="1" si="197"/>
        <v>1</v>
      </c>
      <c r="J832" s="241"/>
      <c r="K832" s="241"/>
      <c r="L832" s="238"/>
    </row>
    <row r="833" spans="2:12" outlineLevel="1">
      <c r="B833" s="237" t="s">
        <v>49</v>
      </c>
      <c r="C833" s="237" t="s">
        <v>49</v>
      </c>
      <c r="D833" s="238" t="str">
        <f>_xlfn.XLOOKUP(B833,'Relacion '!$E:$E,'Relacion '!$D:$D,"")</f>
        <v/>
      </c>
      <c r="E833" s="239">
        <f t="shared" si="183"/>
        <v>18</v>
      </c>
      <c r="F833" s="240" cm="1">
        <f t="array" ref="F833">MIN(INDEX('Relacion '!$AB$5:$AC$493,MATCH(INDEX($B:$B, (ROW()-3)),'Relacion '!$E$5:$E$493,0),0))</f>
        <v>46139</v>
      </c>
      <c r="G833" s="240" cm="1">
        <f t="array" ref="G833">MAX(INDEX('Relacion '!$AB$5:$AC$493,MATCH(INDEX($B:$B, (ROW()-3)),'Relacion '!$E$5:$E$493,0),0))</f>
        <v>46157</v>
      </c>
      <c r="H833" s="241" cm="1">
        <f t="array" ref="H833">IF(
 MATCH(B833,{"01. ASIGNACION AREA";"02. MAPEO";"03. DESARROLLO";"04. VALIDA US";"05. VOBO US";"06. BW-EJECUCION";"07. VALIDACIÓN BAJAWARE";"08. CERRADA"},0)
 &lt;
 MATCH(_xlfn.XLOOKUP(INDEX($B:$B, (ROW()-3)),'Relacion '!$E:$E,'Relacion '!$D:$D,""),{"01. ASIGNACION AREA";"02. MAPEO";"03. DESARROLLO";"04. VALIDA US";"05. VOBO US";"06. BW-EJECUCION";"07. VALIDACIÓN BAJAWARE";"08. CERRADA"},0),
 1,
 IF(
  MATCH(B833,{"01. ASIGNACION AREA";"02. MAPEO";"03. DESARROLLO";"04. VALIDA US";"05. VOBO US";"06. BW-EJECUCION";"07. VALIDACIÓN BAJAWARE";"08. CERRADA"},0)
  =
  MATCH(_xlfn.XLOOKUP(INDEX($B:$B, (ROW()-3)),'Relacion '!$E:$E,'Relacion '!$D:$D,""),{"01. ASIGNACION AREA";"02. MAPEO";"03. DESARROLLO";"04. VALIDA US";"05. VOBO US";"06. BW-EJECUCION";"07. VALIDACIÓN BAJAWARE";"08. CERRADA"},0),
  _xlfn.XLOOKUP(INDEX($B:$B, (ROW()-3)),'Relacion '!$E:$E,'Relacion '!#REF!,0),
  0
 )
)</f>
        <v>0</v>
      </c>
      <c r="I833" s="241">
        <f t="shared" ca="1" si="197"/>
        <v>1</v>
      </c>
      <c r="J833" s="241"/>
      <c r="K833" s="241"/>
      <c r="L833" s="238"/>
    </row>
    <row r="834" spans="2:12" outlineLevel="1">
      <c r="B834" s="237" t="s">
        <v>324</v>
      </c>
      <c r="C834" s="237" t="s">
        <v>324</v>
      </c>
      <c r="D834" s="238" t="str">
        <f>_xlfn.XLOOKUP(B834,'Relacion '!$E:$E,'Relacion '!$D:$D,"")</f>
        <v/>
      </c>
      <c r="E834" s="239">
        <f t="shared" ref="E834:E897" si="198">IF(OR(F834="",G834=""),"",G834-F834)</f>
        <v>11</v>
      </c>
      <c r="F834" s="240" cm="1">
        <f t="array" ref="F834">MIN(INDEX('Relacion '!$AD$5:$AE$493,MATCH(INDEX($B:$B, (ROW()-4)),'Relacion '!$E$5:$E$493,0),0))</f>
        <v>46160</v>
      </c>
      <c r="G834" s="240" cm="1">
        <f t="array" ref="G834">MAX(INDEX('Relacion '!$AD$5:$AE$493,MATCH(INDEX($B:$B, (ROW()-4)),'Relacion '!$E$5:$E$493,0),0))</f>
        <v>46171</v>
      </c>
      <c r="H834" s="241" cm="1">
        <f t="array" ref="H834">IF(
 MATCH(B834,{"01. ASIGNACION AREA";"02. MAPEO";"03. DESARROLLO";"04. VALIDA US";"05. VOBO US";"06. BW-EJECUCION";"07. VALIDACIÓN BAJAWARE";"08. CERRADA"},0)
 &lt;
 MATCH(_xlfn.XLOOKUP(INDEX($B:$B, (ROW()-4)),'Relacion '!$E:$E,'Relacion '!$D:$D,""),{"01. ASIGNACION AREA";"02. MAPEO";"03. DESARROLLO";"04. VALIDA US";"05. VOBO US";"06. BW-EJECUCION";"07. VALIDACIÓN BAJAWARE";"08. CERRADA"},0),
 1,
 IF(
  MATCH(B834,{"01. ASIGNACION AREA";"02. MAPEO";"03. DESARROLLO";"04. VALIDA US";"05. VOBO US";"06. BW-EJECUCION";"07. VALIDACIÓN BAJAWARE";"08. CERRADA"},0)
  =
  MATCH(_xlfn.XLOOKUP(INDEX($B:$B, (ROW()-4)),'Relacion '!$E:$E,'Relacion '!$D:$D,""),{"01. ASIGNACION AREA";"02. MAPEO";"03. DESARROLLO";"04. VALIDA US";"05. VOBO US";"06. BW-EJECUCION";"07. VALIDACIÓN BAJAWARE";"08. CERRADA"},0),
  _xlfn.XLOOKUP(INDEX($B:$B, (ROW()-4)),'Relacion '!$E:$E,'Relacion '!#REF!,0),
  0
 )
)</f>
        <v>0</v>
      </c>
      <c r="I834" s="241">
        <f t="shared" ca="1" si="197"/>
        <v>0</v>
      </c>
      <c r="J834" s="241"/>
      <c r="K834" s="241"/>
      <c r="L834" s="238"/>
    </row>
    <row r="835" spans="2:12" outlineLevel="1">
      <c r="B835" s="237" t="s">
        <v>320</v>
      </c>
      <c r="C835" s="237" t="s">
        <v>320</v>
      </c>
      <c r="D835" s="238" t="str">
        <f>_xlfn.XLOOKUP(B835,'Relacion '!$E:$E,'Relacion '!$D:$D,"")</f>
        <v/>
      </c>
      <c r="E835" s="239">
        <f t="shared" si="198"/>
        <v>3</v>
      </c>
      <c r="F835" s="240" cm="1">
        <f t="array" ref="F835">MIN(INDEX('Relacion '!$AF$5:$AG$493,MATCH(INDEX($B:$B, (ROW()-5)),'Relacion '!$E$5:$E$493,0),0))</f>
        <v>46171</v>
      </c>
      <c r="G835" s="240" cm="1">
        <f t="array" ref="G835">MAX(INDEX('Relacion '!$AF$5:$AG$493,MATCH(INDEX($B:$B, (ROW()-5)),'Relacion '!$E$5:$E$493,0),0))</f>
        <v>46174</v>
      </c>
      <c r="H835" s="241" cm="1">
        <f t="array" ref="H835">IF(
 MATCH(B835,{"01. ASIGNACION AREA";"02. MAPEO";"03. DESARROLLO";"04. VALIDA US";"05. VOBO US";"06. BW-EJECUCION";"07. VALIDACIÓN BAJAWARE";"08. CERRADA"},0)
 &lt;
 MATCH(_xlfn.XLOOKUP(INDEX($B:$B, (ROW()-5)),'Relacion '!$E:$E,'Relacion '!$D:$D,""),{"01. ASIGNACION AREA";"02. MAPEO";"03. DESARROLLO";"04. VALIDA US";"05. VOBO US";"06. BW-EJECUCION";"07. VALIDACIÓN BAJAWARE";"08. CERRADA"},0),
 1,
 IF(
  MATCH(B835,{"01. ASIGNACION AREA";"02. MAPEO";"03. DESARROLLO";"04. VALIDA US";"05. VOBO US";"06. BW-EJECUCION";"07. VALIDACIÓN BAJAWARE";"08. CERRADA"},0)
  =
  MATCH(_xlfn.XLOOKUP(INDEX($B:$B, (ROW()-5)),'Relacion '!$E:$E,'Relacion '!$D:$D,""),{"01. ASIGNACION AREA";"02. MAPEO";"03. DESARROLLO";"04. VALIDA US";"05. VOBO US";"06. BW-EJECUCION";"07. VALIDACIÓN BAJAWARE";"08. CERRADA"},0),
  _xlfn.XLOOKUP(INDEX($B:$B, (ROW()-5)),'Relacion '!$E:$E,'Relacion '!#REF!,0),
  0
 )
)</f>
        <v>0</v>
      </c>
      <c r="I835" s="241">
        <f t="shared" ca="1" si="197"/>
        <v>0</v>
      </c>
      <c r="J835" s="241"/>
      <c r="K835" s="241"/>
      <c r="L835" s="238"/>
    </row>
    <row r="836" spans="2:12" outlineLevel="1">
      <c r="B836" s="237" t="s">
        <v>710</v>
      </c>
      <c r="C836" s="237" t="s">
        <v>710</v>
      </c>
      <c r="D836" s="238" t="str">
        <f>_xlfn.XLOOKUP(B836,'Relacion '!$E:$E,'Relacion '!$D:$D,"")</f>
        <v/>
      </c>
      <c r="E836" s="239">
        <f t="shared" si="198"/>
        <v>2</v>
      </c>
      <c r="F836" s="240" cm="1">
        <f t="array" ref="F836">MIN(INDEX('Relacion '!$AH$5:$AI$493,MATCH(INDEX($B:$B, (ROW()-6)),'Relacion '!$E$5:$E$493,0),0))</f>
        <v>46175</v>
      </c>
      <c r="G836" s="240" cm="1">
        <f t="array" ref="G836">MAX(INDEX('Relacion '!$AH$5:$AI$493,MATCH(INDEX($B:$B, (ROW()-6)),'Relacion '!$E$5:$E$493,0),0))</f>
        <v>46177</v>
      </c>
      <c r="H836" s="241" cm="1">
        <f t="array" ref="H836">IF(
 MATCH(B836,{"01. ASIGNACION AREA";"02. MAPEO";"03. DESARROLLO";"04. VALIDA US";"05. VOBO US";"06. BW-EJECUCION";"07. VALIDACIÓN BAJAWARE";"08. CERRADA"},0)
 &lt;
 MATCH(_xlfn.XLOOKUP(INDEX($B:$B, (ROW()-6)),'Relacion '!$E:$E,'Relacion '!$D:$D,""),{"01. ASIGNACION AREA";"02. MAPEO";"03. DESARROLLO";"04. VALIDA US";"05. VOBO US";"06. BW-EJECUCION";"07. VALIDACIÓN BAJAWARE";"08. CERRADA"},0),
 1,
 IF(
  MATCH(B836,{"01. ASIGNACION AREA";"02. MAPEO";"03. DESARROLLO";"04. VALIDA US";"05. VOBO US";"06. BW-EJECUCION";"07. VALIDACIÓN BAJAWARE";"08. CERRADA"},0)
  =
  MATCH(_xlfn.XLOOKUP(INDEX($B:$B, (ROW()-6)),'Relacion '!$E:$E,'Relacion '!$D:$D,""),{"01. ASIGNACION AREA";"02. MAPEO";"03. DESARROLLO";"04. VALIDA US";"05. VOBO US";"06. BW-EJECUCION";"07. VALIDACIÓN BAJAWARE";"08. CERRADA"},0),
  _xlfn.XLOOKUP(INDEX($B:$B, (ROW()-6)),'Relacion '!$E:$E,'Relacion '!#REF!,0),
  0
 )
)</f>
        <v>0</v>
      </c>
      <c r="I836" s="241">
        <f t="shared" ca="1" si="197"/>
        <v>0</v>
      </c>
      <c r="J836" s="241"/>
      <c r="K836" s="241"/>
      <c r="L836" s="238"/>
    </row>
    <row r="837" spans="2:12" outlineLevel="1">
      <c r="B837" s="237" t="s">
        <v>655</v>
      </c>
      <c r="C837" s="237" t="s">
        <v>655</v>
      </c>
      <c r="D837" s="238" t="str">
        <f>_xlfn.XLOOKUP(B837,'Relacion '!$E:$E,'Relacion '!$D:$D,"")</f>
        <v/>
      </c>
      <c r="E837" s="239">
        <f t="shared" si="198"/>
        <v>14</v>
      </c>
      <c r="F837" s="240" cm="1">
        <f t="array" ref="F837">MIN(INDEX('Relacion '!$AJ$5:$AK$493,MATCH(INDEX($B:$B, (ROW()-7)),'Relacion '!$E$5:$E$493,0),0))</f>
        <v>46178</v>
      </c>
      <c r="G837" s="240" cm="1">
        <f t="array" ref="G837">MAX(INDEX('Relacion '!$AJ$5:$AK$493,MATCH(INDEX($B:$B, (ROW()-7)),'Relacion '!$E$5:$E$493,0),0))</f>
        <v>46192</v>
      </c>
      <c r="H837" s="241" cm="1">
        <f t="array" ref="H837">IF(
 MATCH(B837,{"01. ASIGNACION AREA";"02. MAPEO";"03. DESARROLLO";"04. VALIDA US";"05. VOBO US";"06. BW-EJECUCION";"07. VALIDACIÓN BAJAWARE";"08. CERRADA"},0)
 &lt;
 MATCH(_xlfn.XLOOKUP(INDEX($B:$B, (ROW()-7)),'Relacion '!$E:$E,'Relacion '!$D:$D,""),{"01. ASIGNACION AREA";"02. MAPEO";"03. DESARROLLO";"04. VALIDA US";"05. VOBO US";"06. BW-EJECUCION";"07. VALIDACIÓN BAJAWARE";"08. CERRADA"},0),
 1,
 IF(
  MATCH(B837,{"01. ASIGNACION AREA";"02. MAPEO";"03. DESARROLLO";"04. VALIDA US";"05. VOBO US";"06. BW-EJECUCION";"07. VALIDACIÓN BAJAWARE";"08. CERRADA"},0)
  =
  MATCH(_xlfn.XLOOKUP(INDEX($B:$B, (ROW()-7)),'Relacion '!$E:$E,'Relacion '!$D:$D,""),{"01. ASIGNACION AREA";"02. MAPEO";"03. DESARROLLO";"04. VALIDA US";"05. VOBO US";"06. BW-EJECUCION";"07. VALIDACIÓN BAJAWARE";"08. CERRADA"},0),
  _xlfn.XLOOKUP(INDEX($B:$B, (ROW()-7)),'Relacion '!$E:$E,'Relacion '!#REF!,0),
  0
 )
)</f>
        <v>0</v>
      </c>
      <c r="I837" s="241">
        <f t="shared" ca="1" si="197"/>
        <v>0</v>
      </c>
      <c r="J837" s="241"/>
      <c r="K837" s="241"/>
      <c r="L837" s="238"/>
    </row>
    <row r="838" spans="2:12" outlineLevel="1">
      <c r="B838" s="237" t="s">
        <v>656</v>
      </c>
      <c r="C838" s="237" t="s">
        <v>656</v>
      </c>
      <c r="D838" s="238" t="str">
        <f>_xlfn.XLOOKUP(B838,'Relacion '!$E:$E,'Relacion '!$D:$D,"")</f>
        <v/>
      </c>
      <c r="E838" s="239">
        <f t="shared" si="198"/>
        <v>1</v>
      </c>
      <c r="F838" s="240" cm="1">
        <f t="array" ref="F838">MIN(INDEX('Relacion '!$AL$5:$AM$493,MATCH(INDEX($B:$B, (ROW()-8)),'Relacion '!$E$5:$E$493,0),0))</f>
        <v>46195</v>
      </c>
      <c r="G838" s="240" cm="1">
        <f t="array" ref="G838">MAX(INDEX('Relacion '!$AL$5:$AM$493,MATCH(INDEX($B:$B, (ROW()-8)),'Relacion '!$E$5:$E$493,0),0))</f>
        <v>46196</v>
      </c>
      <c r="H838" s="241" cm="1">
        <f t="array" ref="H838">IF(
 MATCH(B838,{"01. ASIGNACION AREA";"02. MAPEO";"03. DESARROLLO";"04. VALIDA US";"05. VOBO US";"06. BW-EJECUCION";"07. VALIDACIÓN BAJAWARE";"08. CERRADA"},0)
 &lt;
 MATCH(_xlfn.XLOOKUP(INDEX($B:$B, (ROW()-8)),'Relacion '!$E:$E,'Relacion '!$D:$D,""),{"01. ASIGNACION AREA";"02. MAPEO";"03. DESARROLLO";"04. VALIDA US";"05. VOBO US";"06. BW-EJECUCION";"07. VALIDACIÓN BAJAWARE";"08. CERRADA"},0),
 1,
 IF(
  MATCH(B838,{"01. ASIGNACION AREA";"02. MAPEO";"03. DESARROLLO";"04. VALIDA US";"05. VOBO US";"06. BW-EJECUCION";"07. VALIDACIÓN BAJAWARE";"08. CERRADA"},0)
  =
  MATCH(_xlfn.XLOOKUP(INDEX($B:$B, (ROW()-8)),'Relacion '!$E:$E,'Relacion '!$D:$D,""),{"01. ASIGNACION AREA";"02. MAPEO";"03. DESARROLLO";"04. VALIDA US";"05. VOBO US";"06. BW-EJECUCION";"07. VALIDACIÓN BAJAWARE";"08. CERRADA"},0),
  _xlfn.XLOOKUP(INDEX($B:$B, (ROW()-8)),'Relacion '!$E:$E,'Relacion '!#REF!,0),
  0
 )
)</f>
        <v>0</v>
      </c>
      <c r="I838" s="241">
        <f t="shared" ca="1" si="197"/>
        <v>0</v>
      </c>
      <c r="J838" s="241"/>
      <c r="K838" s="241"/>
      <c r="L838" s="238"/>
    </row>
    <row r="839" spans="2:12">
      <c r="B839" s="232" t="s">
        <v>95</v>
      </c>
      <c r="C839" s="179" t="s">
        <v>96</v>
      </c>
      <c r="D839" s="236" t="str">
        <f>_xlfn.XLOOKUP(B839,'Relacion '!$E:$E,'Relacion '!$D:$D,"")</f>
        <v>04. VALIDA US</v>
      </c>
      <c r="E839" s="233">
        <f t="shared" si="198"/>
        <v>113</v>
      </c>
      <c r="F839" s="234" cm="1">
        <f t="array" ref="F839">MIN(INDEX('Relacion '!$X$5:$AM$493,MATCH(INDEX($B:$B, (ROW()-0)),'Relacion '!$E$5:$E$493,0),0))</f>
        <v>46024</v>
      </c>
      <c r="G839" s="234" cm="1">
        <f t="array" ref="G839">MAX(INDEX('Relacion '!$X$5:$AM$493,MATCH(INDEX($B:$B, (ROW()-0)),'Relacion '!$E$5:$E$493,0),0))</f>
        <v>46137</v>
      </c>
      <c r="H839" s="235" t="e">
        <f>AVERAGE(H840:H847)</f>
        <v>#REF!</v>
      </c>
      <c r="I839" s="235">
        <f t="shared" ref="I839" ca="1" si="199">AVERAGE(I840:I847)</f>
        <v>1</v>
      </c>
      <c r="J839" s="236" t="str">
        <f>IF(ISNUMBER(SEARCH("Rocha", _xlfn.XLOOKUP(B839,'Relacion '!$E:$E,'Relacion '!$I:$I,""))), "Sí", "No")</f>
        <v>No</v>
      </c>
      <c r="K839" s="236" t="str">
        <f>IF(ISNUMBER(SEARCH("Rocha", _xlfn.XLOOKUP(B839,'Relacion '!$E:$E,'Relacion '!$I:$I,""))), "RMC", _xlfn.XLOOKUP(B839,'Relacion '!$E:$E,'Relacion '!$B:$B,""))</f>
        <v>Tesorería </v>
      </c>
      <c r="L839" s="236" t="str">
        <f>_xlfn.XLOOKUP(B839,'Relacion '!$E:$E,'Relacion '!$C:$C,"")</f>
        <v>Eduardo Cabral</v>
      </c>
    </row>
    <row r="840" spans="2:12" outlineLevel="1">
      <c r="B840" s="237" t="s">
        <v>654</v>
      </c>
      <c r="C840" s="237" t="s">
        <v>654</v>
      </c>
      <c r="D840" s="238" t="str">
        <f>_xlfn.XLOOKUP(B840,'Relacion '!$E:$E,'Relacion '!$D:$D,"")</f>
        <v/>
      </c>
      <c r="E840" s="239">
        <f t="shared" si="198"/>
        <v>59</v>
      </c>
      <c r="F840" s="240" cm="1">
        <f t="array" ref="F840">MIN(INDEX('Relacion '!$X$5:$Y$493,MATCH(INDEX($B:$B, (ROW()-1)),'Relacion '!$E$5:$E$493,0),0))</f>
        <v>46024</v>
      </c>
      <c r="G840" s="240" cm="1">
        <f t="array" ref="G840">MAX(INDEX('Relacion '!$X$5:$Y$493,MATCH(INDEX($B:$B, (ROW()-1)),'Relacion '!$E$5:$E$493,0),0))</f>
        <v>46083</v>
      </c>
      <c r="H840" s="241" cm="1">
        <f t="array" ref="H840">IF(
 MATCH(B840,{"01. ASIGNACION AREA";"02. MAPEO";"03. DESARROLLO";"04. VALIDA US";"05. VOBO US";"06. BW-EJECUCION";"07. VALIDACIÓN BAJAWARE";"08. CERRADA"},0)
 &lt;
 MATCH(_xlfn.XLOOKUP(INDEX($B:$B, (ROW()-1)),'Relacion '!$E:$E,'Relacion '!$D:$D,""),{"01. ASIGNACION AREA";"02. MAPEO";"03. DESARROLLO";"04. VALIDA US";"05. VOBO US";"06. BW-EJECUCION";"07. VALIDACIÓN BAJAWARE";"08. CERRADA"},0),
 1,
 IF(
  MATCH(B840,{"01. ASIGNACION AREA";"02. MAPEO";"03. DESARROLLO";"04. VALIDA US";"05. VOBO US";"06. BW-EJECUCION";"07. VALIDACIÓN BAJAWARE";"08. CERRADA"},0)
  =
  MATCH(_xlfn.XLOOKUP(INDEX($B:$B, (ROW()-1)),'Relacion '!$E:$E,'Relacion '!$D:$D,""),{"01. ASIGNACION AREA";"02. MAPEO";"03. DESARROLLO";"04. VALIDA US";"05. VOBO US";"06. BW-EJECUCION";"07. VALIDACIÓN BAJAWARE";"08. CERRADA"},0),
  _xlfn.XLOOKUP(INDEX($B:$B, (ROW()-1)),'Relacion '!$E:$E,'Relacion '!#REF!,0),
  0
 )
)</f>
        <v>1</v>
      </c>
      <c r="I840" s="241">
        <f t="shared" ref="I840" ca="1" si="200">IF(G840&lt;=TODAY(), 1, 0)</f>
        <v>1</v>
      </c>
      <c r="J840" s="241"/>
      <c r="K840" s="241"/>
      <c r="L840" s="238"/>
    </row>
    <row r="841" spans="2:12" outlineLevel="1">
      <c r="B841" s="237" t="s">
        <v>195</v>
      </c>
      <c r="C841" s="237" t="s">
        <v>195</v>
      </c>
      <c r="D841" s="238" t="str">
        <f>_xlfn.XLOOKUP(B841,'Relacion '!$E:$E,'Relacion '!$D:$D,"")</f>
        <v/>
      </c>
      <c r="E841" s="239">
        <f t="shared" si="198"/>
        <v>0</v>
      </c>
      <c r="F841" s="240" cm="1">
        <f t="array" ref="F841">MIN(INDEX('Relacion '!$Z$5:$AA$493,MATCH(INDEX($B:$B, (ROW()-2)),'Relacion '!$E$5:$E$493,0),0))</f>
        <v>0</v>
      </c>
      <c r="G841" s="240" cm="1">
        <f t="array" ref="G841">MAX(INDEX('Relacion '!$Z$5:$AA$493,MATCH(INDEX($B:$B, (ROW()-2)),'Relacion '!$E$5:$E$493,0),0))</f>
        <v>0</v>
      </c>
      <c r="H841" s="241" cm="1">
        <f t="array" ref="H841">IF(
 MATCH(B841,{"01. ASIGNACION AREA";"02. MAPEO";"03. DESARROLLO";"04. VALIDA US";"05. VOBO US";"06. BW-EJECUCION";"07. VALIDACIÓN BAJAWARE";"08. CERRADA"},0)
 &lt;
 MATCH(_xlfn.XLOOKUP(INDEX($B:$B, (ROW()-2)),'Relacion '!$E:$E,'Relacion '!$D:$D,""),{"01. ASIGNACION AREA";"02. MAPEO";"03. DESARROLLO";"04. VALIDA US";"05. VOBO US";"06. BW-EJECUCION";"07. VALIDACIÓN BAJAWARE";"08. CERRADA"},0),
 1,
 IF(
  MATCH(B841,{"01. ASIGNACION AREA";"02. MAPEO";"03. DESARROLLO";"04. VALIDA US";"05. VOBO US";"06. BW-EJECUCION";"07. VALIDACIÓN BAJAWARE";"08. CERRADA"},0)
  =
  MATCH(_xlfn.XLOOKUP(INDEX($B:$B, (ROW()-2)),'Relacion '!$E:$E,'Relacion '!$D:$D,""),{"01. ASIGNACION AREA";"02. MAPEO";"03. DESARROLLO";"04. VALIDA US";"05. VOBO US";"06. BW-EJECUCION";"07. VALIDACIÓN BAJAWARE";"08. CERRADA"},0),
  _xlfn.XLOOKUP(INDEX($B:$B, (ROW()-2)),'Relacion '!$E:$E,'Relacion '!#REF!,0),
  0
 )
)</f>
        <v>1</v>
      </c>
      <c r="I841" s="241">
        <f t="shared" ca="1" si="197"/>
        <v>1</v>
      </c>
      <c r="J841" s="241"/>
      <c r="K841" s="241"/>
      <c r="L841" s="238"/>
    </row>
    <row r="842" spans="2:12" outlineLevel="1">
      <c r="B842" s="237" t="s">
        <v>49</v>
      </c>
      <c r="C842" s="237" t="s">
        <v>49</v>
      </c>
      <c r="D842" s="238" t="str">
        <f>_xlfn.XLOOKUP(B842,'Relacion '!$E:$E,'Relacion '!$D:$D,"")</f>
        <v/>
      </c>
      <c r="E842" s="239">
        <f t="shared" si="198"/>
        <v>34</v>
      </c>
      <c r="F842" s="240" cm="1">
        <f t="array" ref="F842">MIN(INDEX('Relacion '!$AB$5:$AC$493,MATCH(INDEX($B:$B, (ROW()-3)),'Relacion '!$E$5:$E$493,0),0))</f>
        <v>46056</v>
      </c>
      <c r="G842" s="240" cm="1">
        <f t="array" ref="G842">MAX(INDEX('Relacion '!$AB$5:$AC$493,MATCH(INDEX($B:$B, (ROW()-3)),'Relacion '!$E$5:$E$493,0),0))</f>
        <v>46090</v>
      </c>
      <c r="H842" s="241" cm="1">
        <f t="array" ref="H842">IF(
 MATCH(B842,{"01. ASIGNACION AREA";"02. MAPEO";"03. DESARROLLO";"04. VALIDA US";"05. VOBO US";"06. BW-EJECUCION";"07. VALIDACIÓN BAJAWARE";"08. CERRADA"},0)
 &lt;
 MATCH(_xlfn.XLOOKUP(INDEX($B:$B, (ROW()-3)),'Relacion '!$E:$E,'Relacion '!$D:$D,""),{"01. ASIGNACION AREA";"02. MAPEO";"03. DESARROLLO";"04. VALIDA US";"05. VOBO US";"06. BW-EJECUCION";"07. VALIDACIÓN BAJAWARE";"08. CERRADA"},0),
 1,
 IF(
  MATCH(B842,{"01. ASIGNACION AREA";"02. MAPEO";"03. DESARROLLO";"04. VALIDA US";"05. VOBO US";"06. BW-EJECUCION";"07. VALIDACIÓN BAJAWARE";"08. CERRADA"},0)
  =
  MATCH(_xlfn.XLOOKUP(INDEX($B:$B, (ROW()-3)),'Relacion '!$E:$E,'Relacion '!$D:$D,""),{"01. ASIGNACION AREA";"02. MAPEO";"03. DESARROLLO";"04. VALIDA US";"05. VOBO US";"06. BW-EJECUCION";"07. VALIDACIÓN BAJAWARE";"08. CERRADA"},0),
  _xlfn.XLOOKUP(INDEX($B:$B, (ROW()-3)),'Relacion '!$E:$E,'Relacion '!#REF!,0),
  0
 )
)</f>
        <v>1</v>
      </c>
      <c r="I842" s="241">
        <f t="shared" ca="1" si="197"/>
        <v>1</v>
      </c>
      <c r="J842" s="241"/>
      <c r="K842" s="241"/>
      <c r="L842" s="238"/>
    </row>
    <row r="843" spans="2:12" outlineLevel="1">
      <c r="B843" s="237" t="s">
        <v>324</v>
      </c>
      <c r="C843" s="237" t="s">
        <v>324</v>
      </c>
      <c r="D843" s="238" t="str">
        <f>_xlfn.XLOOKUP(B843,'Relacion '!$E:$E,'Relacion '!$D:$D,"")</f>
        <v/>
      </c>
      <c r="E843" s="239">
        <f t="shared" si="198"/>
        <v>14</v>
      </c>
      <c r="F843" s="240" cm="1">
        <f t="array" ref="F843">MIN(INDEX('Relacion '!$AD$5:$AE$493,MATCH(INDEX($B:$B, (ROW()-4)),'Relacion '!$E$5:$E$493,0),0))</f>
        <v>46099</v>
      </c>
      <c r="G843" s="240" cm="1">
        <f t="array" ref="G843">MAX(INDEX('Relacion '!$AD$5:$AE$493,MATCH(INDEX($B:$B, (ROW()-4)),'Relacion '!$E$5:$E$493,0),0))</f>
        <v>46113</v>
      </c>
      <c r="H843" s="241" t="e" cm="1">
        <f t="array" ref="H843">IF(
 MATCH(B843,{"01. ASIGNACION AREA";"02. MAPEO";"03. DESARROLLO";"04. VALIDA US";"05. VOBO US";"06. BW-EJECUCION";"07. VALIDACIÓN BAJAWARE";"08. CERRADA"},0)
 &lt;
 MATCH(_xlfn.XLOOKUP(INDEX($B:$B, (ROW()-4)),'Relacion '!$E:$E,'Relacion '!$D:$D,""),{"01. ASIGNACION AREA";"02. MAPEO";"03. DESARROLLO";"04. VALIDA US";"05. VOBO US";"06. BW-EJECUCION";"07. VALIDACIÓN BAJAWARE";"08. CERRADA"},0),
 1,
 IF(
  MATCH(B843,{"01. ASIGNACION AREA";"02. MAPEO";"03. DESARROLLO";"04. VALIDA US";"05. VOBO US";"06. BW-EJECUCION";"07. VALIDACIÓN BAJAWARE";"08. CERRADA"},0)
  =
  MATCH(_xlfn.XLOOKUP(INDEX($B:$B, (ROW()-4)),'Relacion '!$E:$E,'Relacion '!$D:$D,""),{"01. ASIGNACION AREA";"02. MAPEO";"03. DESARROLLO";"04. VALIDA US";"05. VOBO US";"06. BW-EJECUCION";"07. VALIDACIÓN BAJAWARE";"08. CERRADA"},0),
  _xlfn.XLOOKUP(INDEX($B:$B, (ROW()-4)),'Relacion '!$E:$E,'Relacion '!#REF!,0),
  0
 )
)</f>
        <v>#REF!</v>
      </c>
      <c r="I843" s="241">
        <f t="shared" ca="1" si="197"/>
        <v>1</v>
      </c>
      <c r="J843" s="241"/>
      <c r="K843" s="241"/>
      <c r="L843" s="238"/>
    </row>
    <row r="844" spans="2:12" outlineLevel="1">
      <c r="B844" s="237" t="s">
        <v>320</v>
      </c>
      <c r="C844" s="237" t="s">
        <v>320</v>
      </c>
      <c r="D844" s="238" t="str">
        <f>_xlfn.XLOOKUP(B844,'Relacion '!$E:$E,'Relacion '!$D:$D,"")</f>
        <v/>
      </c>
      <c r="E844" s="239">
        <f t="shared" si="198"/>
        <v>5</v>
      </c>
      <c r="F844" s="240" cm="1">
        <f t="array" ref="F844">MIN(INDEX('Relacion '!$AF$5:$AG$493,MATCH(INDEX($B:$B, (ROW()-5)),'Relacion '!$E$5:$E$493,0),0))</f>
        <v>46113</v>
      </c>
      <c r="G844" s="240" cm="1">
        <f t="array" ref="G844">MAX(INDEX('Relacion '!$AF$5:$AG$493,MATCH(INDEX($B:$B, (ROW()-5)),'Relacion '!$E$5:$E$493,0),0))</f>
        <v>46118</v>
      </c>
      <c r="H844" s="241" cm="1">
        <f t="array" ref="H844">IF(
 MATCH(B844,{"01. ASIGNACION AREA";"02. MAPEO";"03. DESARROLLO";"04. VALIDA US";"05. VOBO US";"06. BW-EJECUCION";"07. VALIDACIÓN BAJAWARE";"08. CERRADA"},0)
 &lt;
 MATCH(_xlfn.XLOOKUP(INDEX($B:$B, (ROW()-5)),'Relacion '!$E:$E,'Relacion '!$D:$D,""),{"01. ASIGNACION AREA";"02. MAPEO";"03. DESARROLLO";"04. VALIDA US";"05. VOBO US";"06. BW-EJECUCION";"07. VALIDACIÓN BAJAWARE";"08. CERRADA"},0),
 1,
 IF(
  MATCH(B844,{"01. ASIGNACION AREA";"02. MAPEO";"03. DESARROLLO";"04. VALIDA US";"05. VOBO US";"06. BW-EJECUCION";"07. VALIDACIÓN BAJAWARE";"08. CERRADA"},0)
  =
  MATCH(_xlfn.XLOOKUP(INDEX($B:$B, (ROW()-5)),'Relacion '!$E:$E,'Relacion '!$D:$D,""),{"01. ASIGNACION AREA";"02. MAPEO";"03. DESARROLLO";"04. VALIDA US";"05. VOBO US";"06. BW-EJECUCION";"07. VALIDACIÓN BAJAWARE";"08. CERRADA"},0),
  _xlfn.XLOOKUP(INDEX($B:$B, (ROW()-5)),'Relacion '!$E:$E,'Relacion '!#REF!,0),
  0
 )
)</f>
        <v>0</v>
      </c>
      <c r="I844" s="241">
        <f t="shared" ca="1" si="197"/>
        <v>1</v>
      </c>
      <c r="J844" s="241"/>
      <c r="K844" s="241"/>
      <c r="L844" s="238"/>
    </row>
    <row r="845" spans="2:12" outlineLevel="1">
      <c r="B845" s="237" t="s">
        <v>710</v>
      </c>
      <c r="C845" s="237" t="s">
        <v>710</v>
      </c>
      <c r="D845" s="238" t="str">
        <f>_xlfn.XLOOKUP(B845,'Relacion '!$E:$E,'Relacion '!$D:$D,"")</f>
        <v/>
      </c>
      <c r="E845" s="239">
        <f t="shared" si="198"/>
        <v>2</v>
      </c>
      <c r="F845" s="240" cm="1">
        <f t="array" ref="F845">MIN(INDEX('Relacion '!$AH$5:$AI$493,MATCH(INDEX($B:$B, (ROW()-6)),'Relacion '!$E$5:$E$493,0),0))</f>
        <v>46119</v>
      </c>
      <c r="G845" s="240" cm="1">
        <f t="array" ref="G845">MAX(INDEX('Relacion '!$AH$5:$AI$493,MATCH(INDEX($B:$B, (ROW()-6)),'Relacion '!$E$5:$E$493,0),0))</f>
        <v>46121</v>
      </c>
      <c r="H845" s="241" cm="1">
        <f t="array" ref="H845">IF(
 MATCH(B845,{"01. ASIGNACION AREA";"02. MAPEO";"03. DESARROLLO";"04. VALIDA US";"05. VOBO US";"06. BW-EJECUCION";"07. VALIDACIÓN BAJAWARE";"08. CERRADA"},0)
 &lt;
 MATCH(_xlfn.XLOOKUP(INDEX($B:$B, (ROW()-6)),'Relacion '!$E:$E,'Relacion '!$D:$D,""),{"01. ASIGNACION AREA";"02. MAPEO";"03. DESARROLLO";"04. VALIDA US";"05. VOBO US";"06. BW-EJECUCION";"07. VALIDACIÓN BAJAWARE";"08. CERRADA"},0),
 1,
 IF(
  MATCH(B845,{"01. ASIGNACION AREA";"02. MAPEO";"03. DESARROLLO";"04. VALIDA US";"05. VOBO US";"06. BW-EJECUCION";"07. VALIDACIÓN BAJAWARE";"08. CERRADA"},0)
  =
  MATCH(_xlfn.XLOOKUP(INDEX($B:$B, (ROW()-6)),'Relacion '!$E:$E,'Relacion '!$D:$D,""),{"01. ASIGNACION AREA";"02. MAPEO";"03. DESARROLLO";"04. VALIDA US";"05. VOBO US";"06. BW-EJECUCION";"07. VALIDACIÓN BAJAWARE";"08. CERRADA"},0),
  _xlfn.XLOOKUP(INDEX($B:$B, (ROW()-6)),'Relacion '!$E:$E,'Relacion '!#REF!,0),
  0
 )
)</f>
        <v>0</v>
      </c>
      <c r="I845" s="241">
        <f t="shared" ca="1" si="197"/>
        <v>1</v>
      </c>
      <c r="J845" s="241"/>
      <c r="K845" s="241"/>
      <c r="L845" s="238"/>
    </row>
    <row r="846" spans="2:12" outlineLevel="1">
      <c r="B846" s="237" t="s">
        <v>655</v>
      </c>
      <c r="C846" s="237" t="s">
        <v>655</v>
      </c>
      <c r="D846" s="238" t="str">
        <f>_xlfn.XLOOKUP(B846,'Relacion '!$E:$E,'Relacion '!$D:$D,"")</f>
        <v/>
      </c>
      <c r="E846" s="239">
        <f t="shared" si="198"/>
        <v>14</v>
      </c>
      <c r="F846" s="240" cm="1">
        <f t="array" ref="F846">MIN(INDEX('Relacion '!$AJ$5:$AK$493,MATCH(INDEX($B:$B, (ROW()-7)),'Relacion '!$E$5:$E$493,0),0))</f>
        <v>46122</v>
      </c>
      <c r="G846" s="240" cm="1">
        <f t="array" ref="G846">MAX(INDEX('Relacion '!$AJ$5:$AK$493,MATCH(INDEX($B:$B, (ROW()-7)),'Relacion '!$E$5:$E$493,0),0))</f>
        <v>46136</v>
      </c>
      <c r="H846" s="241" cm="1">
        <f t="array" ref="H846">IF(
 MATCH(B846,{"01. ASIGNACION AREA";"02. MAPEO";"03. DESARROLLO";"04. VALIDA US";"05. VOBO US";"06. BW-EJECUCION";"07. VALIDACIÓN BAJAWARE";"08. CERRADA"},0)
 &lt;
 MATCH(_xlfn.XLOOKUP(INDEX($B:$B, (ROW()-7)),'Relacion '!$E:$E,'Relacion '!$D:$D,""),{"01. ASIGNACION AREA";"02. MAPEO";"03. DESARROLLO";"04. VALIDA US";"05. VOBO US";"06. BW-EJECUCION";"07. VALIDACIÓN BAJAWARE";"08. CERRADA"},0),
 1,
 IF(
  MATCH(B846,{"01. ASIGNACION AREA";"02. MAPEO";"03. DESARROLLO";"04. VALIDA US";"05. VOBO US";"06. BW-EJECUCION";"07. VALIDACIÓN BAJAWARE";"08. CERRADA"},0)
  =
  MATCH(_xlfn.XLOOKUP(INDEX($B:$B, (ROW()-7)),'Relacion '!$E:$E,'Relacion '!$D:$D,""),{"01. ASIGNACION AREA";"02. MAPEO";"03. DESARROLLO";"04. VALIDA US";"05. VOBO US";"06. BW-EJECUCION";"07. VALIDACIÓN BAJAWARE";"08. CERRADA"},0),
  _xlfn.XLOOKUP(INDEX($B:$B, (ROW()-7)),'Relacion '!$E:$E,'Relacion '!#REF!,0),
  0
 )
)</f>
        <v>0</v>
      </c>
      <c r="I846" s="241">
        <f t="shared" ca="1" si="197"/>
        <v>1</v>
      </c>
      <c r="J846" s="241"/>
      <c r="K846" s="241"/>
      <c r="L846" s="238"/>
    </row>
    <row r="847" spans="2:12" outlineLevel="1">
      <c r="B847" s="237" t="s">
        <v>656</v>
      </c>
      <c r="C847" s="237" t="s">
        <v>656</v>
      </c>
      <c r="D847" s="238" t="str">
        <f>_xlfn.XLOOKUP(B847,'Relacion '!$E:$E,'Relacion '!$D:$D,"")</f>
        <v/>
      </c>
      <c r="E847" s="239">
        <f t="shared" si="198"/>
        <v>0</v>
      </c>
      <c r="F847" s="240" cm="1">
        <f t="array" ref="F847">MIN(INDEX('Relacion '!$AL$5:$AM$493,MATCH(INDEX($B:$B, (ROW()-8)),'Relacion '!$E$5:$E$493,0),0))</f>
        <v>46137</v>
      </c>
      <c r="G847" s="240" cm="1">
        <f t="array" ref="G847">MAX(INDEX('Relacion '!$AL$5:$AM$493,MATCH(INDEX($B:$B, (ROW()-8)),'Relacion '!$E$5:$E$493,0),0))</f>
        <v>46137</v>
      </c>
      <c r="H847" s="241" cm="1">
        <f t="array" ref="H847">IF(
 MATCH(B847,{"01. ASIGNACION AREA";"02. MAPEO";"03. DESARROLLO";"04. VALIDA US";"05. VOBO US";"06. BW-EJECUCION";"07. VALIDACIÓN BAJAWARE";"08. CERRADA"},0)
 &lt;
 MATCH(_xlfn.XLOOKUP(INDEX($B:$B, (ROW()-8)),'Relacion '!$E:$E,'Relacion '!$D:$D,""),{"01. ASIGNACION AREA";"02. MAPEO";"03. DESARROLLO";"04. VALIDA US";"05. VOBO US";"06. BW-EJECUCION";"07. VALIDACIÓN BAJAWARE";"08. CERRADA"},0),
 1,
 IF(
  MATCH(B847,{"01. ASIGNACION AREA";"02. MAPEO";"03. DESARROLLO";"04. VALIDA US";"05. VOBO US";"06. BW-EJECUCION";"07. VALIDACIÓN BAJAWARE";"08. CERRADA"},0)
  =
  MATCH(_xlfn.XLOOKUP(INDEX($B:$B, (ROW()-8)),'Relacion '!$E:$E,'Relacion '!$D:$D,""),{"01. ASIGNACION AREA";"02. MAPEO";"03. DESARROLLO";"04. VALIDA US";"05. VOBO US";"06. BW-EJECUCION";"07. VALIDACIÓN BAJAWARE";"08. CERRADA"},0),
  _xlfn.XLOOKUP(INDEX($B:$B, (ROW()-8)),'Relacion '!$E:$E,'Relacion '!#REF!,0),
  0
 )
)</f>
        <v>0</v>
      </c>
      <c r="I847" s="241">
        <f t="shared" ca="1" si="197"/>
        <v>1</v>
      </c>
      <c r="J847" s="241"/>
      <c r="K847" s="241"/>
      <c r="L847" s="238"/>
    </row>
    <row r="848" spans="2:12">
      <c r="B848" s="232" t="s">
        <v>237</v>
      </c>
      <c r="C848" s="176" t="s">
        <v>238</v>
      </c>
      <c r="D848" s="236" t="str">
        <f>_xlfn.XLOOKUP(B848,'Relacion '!$E:$E,'Relacion '!$D:$D,"")</f>
        <v>02. MAPEO</v>
      </c>
      <c r="E848" s="233">
        <f t="shared" si="198"/>
        <v>172</v>
      </c>
      <c r="F848" s="234" cm="1">
        <f t="array" ref="F848">MIN(INDEX('Relacion '!$X$5:$AM$493,MATCH(INDEX($B:$B, (ROW()-0)),'Relacion '!$E$5:$E$493,0),0))</f>
        <v>46024</v>
      </c>
      <c r="G848" s="234" cm="1">
        <f t="array" ref="G848">MAX(INDEX('Relacion '!$X$5:$AM$493,MATCH(INDEX($B:$B, (ROW()-0)),'Relacion '!$E$5:$E$493,0),0))</f>
        <v>46196</v>
      </c>
      <c r="H848" s="235" t="e">
        <f>AVERAGE(H849:H856)</f>
        <v>#REF!</v>
      </c>
      <c r="I848" s="235">
        <f t="shared" ref="I848" ca="1" si="201">AVERAGE(I849:I856)</f>
        <v>0.375</v>
      </c>
      <c r="J848" s="236" t="str">
        <f>IF(ISNUMBER(SEARCH("Rocha", _xlfn.XLOOKUP(B848,'Relacion '!$E:$E,'Relacion '!$I:$I,""))), "Sí", "No")</f>
        <v>No</v>
      </c>
      <c r="K848" s="236" t="str">
        <f>IF(ISNUMBER(SEARCH("Rocha", _xlfn.XLOOKUP(B848,'Relacion '!$E:$E,'Relacion '!$I:$I,""))), "RMC", _xlfn.XLOOKUP(B848,'Relacion '!$E:$E,'Relacion '!$B:$B,""))</f>
        <v>Tesorería </v>
      </c>
      <c r="L848" s="236" t="str">
        <f>_xlfn.XLOOKUP(B848,'Relacion '!$E:$E,'Relacion '!$C:$C,"")</f>
        <v>Eduardo Cabral</v>
      </c>
    </row>
    <row r="849" spans="2:12" outlineLevel="1">
      <c r="B849" s="237" t="s">
        <v>654</v>
      </c>
      <c r="C849" s="237" t="s">
        <v>654</v>
      </c>
      <c r="D849" s="238" t="str">
        <f>_xlfn.XLOOKUP(B849,'Relacion '!$E:$E,'Relacion '!$D:$D,"")</f>
        <v/>
      </c>
      <c r="E849" s="239">
        <f t="shared" si="198"/>
        <v>59</v>
      </c>
      <c r="F849" s="240" cm="1">
        <f t="array" ref="F849">MIN(INDEX('Relacion '!$X$5:$Y$493,MATCH(INDEX($B:$B, (ROW()-1)),'Relacion '!$E$5:$E$493,0),0))</f>
        <v>46024</v>
      </c>
      <c r="G849" s="240" cm="1">
        <f t="array" ref="G849">MAX(INDEX('Relacion '!$X$5:$Y$493,MATCH(INDEX($B:$B, (ROW()-1)),'Relacion '!$E$5:$E$493,0),0))</f>
        <v>46083</v>
      </c>
      <c r="H849" s="241" cm="1">
        <f t="array" ref="H849">IF(
 MATCH(B849,{"01. ASIGNACION AREA";"02. MAPEO";"03. DESARROLLO";"04. VALIDA US";"05. VOBO US";"06. BW-EJECUCION";"07. VALIDACIÓN BAJAWARE";"08. CERRADA"},0)
 &lt;
 MATCH(_xlfn.XLOOKUP(INDEX($B:$B, (ROW()-1)),'Relacion '!$E:$E,'Relacion '!$D:$D,""),{"01. ASIGNACION AREA";"02. MAPEO";"03. DESARROLLO";"04. VALIDA US";"05. VOBO US";"06. BW-EJECUCION";"07. VALIDACIÓN BAJAWARE";"08. CERRADA"},0),
 1,
 IF(
  MATCH(B849,{"01. ASIGNACION AREA";"02. MAPEO";"03. DESARROLLO";"04. VALIDA US";"05. VOBO US";"06. BW-EJECUCION";"07. VALIDACIÓN BAJAWARE";"08. CERRADA"},0)
  =
  MATCH(_xlfn.XLOOKUP(INDEX($B:$B, (ROW()-1)),'Relacion '!$E:$E,'Relacion '!$D:$D,""),{"01. ASIGNACION AREA";"02. MAPEO";"03. DESARROLLO";"04. VALIDA US";"05. VOBO US";"06. BW-EJECUCION";"07. VALIDACIÓN BAJAWARE";"08. CERRADA"},0),
  _xlfn.XLOOKUP(INDEX($B:$B, (ROW()-1)),'Relacion '!$E:$E,'Relacion '!#REF!,0),
  0
 )
)</f>
        <v>1</v>
      </c>
      <c r="I849" s="241">
        <f t="shared" ref="I849" ca="1" si="202">IF(G849&lt;=TODAY(), 1, 0)</f>
        <v>1</v>
      </c>
      <c r="J849" s="241"/>
      <c r="K849" s="241"/>
      <c r="L849" s="238"/>
    </row>
    <row r="850" spans="2:12" outlineLevel="1">
      <c r="B850" s="237" t="s">
        <v>195</v>
      </c>
      <c r="C850" s="237" t="s">
        <v>195</v>
      </c>
      <c r="D850" s="238" t="str">
        <f>_xlfn.XLOOKUP(B850,'Relacion '!$E:$E,'Relacion '!$D:$D,"")</f>
        <v/>
      </c>
      <c r="E850" s="239">
        <f t="shared" si="198"/>
        <v>80</v>
      </c>
      <c r="F850" s="240" cm="1">
        <f t="array" ref="F850">MIN(INDEX('Relacion '!$Z$5:$AA$493,MATCH(INDEX($B:$B, (ROW()-2)),'Relacion '!$E$5:$E$493,0),0))</f>
        <v>46056</v>
      </c>
      <c r="G850" s="240" cm="1">
        <f t="array" ref="G850">MAX(INDEX('Relacion '!$Z$5:$AA$493,MATCH(INDEX($B:$B, (ROW()-2)),'Relacion '!$E$5:$E$493,0),0))</f>
        <v>46136</v>
      </c>
      <c r="H850" s="241" t="e" cm="1">
        <f t="array" ref="H850">IF(
 MATCH(B850,{"01. ASIGNACION AREA";"02. MAPEO";"03. DESARROLLO";"04. VALIDA US";"05. VOBO US";"06. BW-EJECUCION";"07. VALIDACIÓN BAJAWARE";"08. CERRADA"},0)
 &lt;
 MATCH(_xlfn.XLOOKUP(INDEX($B:$B, (ROW()-2)),'Relacion '!$E:$E,'Relacion '!$D:$D,""),{"01. ASIGNACION AREA";"02. MAPEO";"03. DESARROLLO";"04. VALIDA US";"05. VOBO US";"06. BW-EJECUCION";"07. VALIDACIÓN BAJAWARE";"08. CERRADA"},0),
 1,
 IF(
  MATCH(B850,{"01. ASIGNACION AREA";"02. MAPEO";"03. DESARROLLO";"04. VALIDA US";"05. VOBO US";"06. BW-EJECUCION";"07. VALIDACIÓN BAJAWARE";"08. CERRADA"},0)
  =
  MATCH(_xlfn.XLOOKUP(INDEX($B:$B, (ROW()-2)),'Relacion '!$E:$E,'Relacion '!$D:$D,""),{"01. ASIGNACION AREA";"02. MAPEO";"03. DESARROLLO";"04. VALIDA US";"05. VOBO US";"06. BW-EJECUCION";"07. VALIDACIÓN BAJAWARE";"08. CERRADA"},0),
  _xlfn.XLOOKUP(INDEX($B:$B, (ROW()-2)),'Relacion '!$E:$E,'Relacion '!#REF!,0),
  0
 )
)</f>
        <v>#REF!</v>
      </c>
      <c r="I850" s="241">
        <f t="shared" ca="1" si="197"/>
        <v>1</v>
      </c>
      <c r="J850" s="241"/>
      <c r="K850" s="241"/>
      <c r="L850" s="238"/>
    </row>
    <row r="851" spans="2:12" outlineLevel="1">
      <c r="B851" s="237" t="s">
        <v>49</v>
      </c>
      <c r="C851" s="237" t="s">
        <v>49</v>
      </c>
      <c r="D851" s="238" t="str">
        <f>_xlfn.XLOOKUP(B851,'Relacion '!$E:$E,'Relacion '!$D:$D,"")</f>
        <v/>
      </c>
      <c r="E851" s="239">
        <f t="shared" si="198"/>
        <v>18</v>
      </c>
      <c r="F851" s="240" cm="1">
        <f t="array" ref="F851">MIN(INDEX('Relacion '!$AB$5:$AC$493,MATCH(INDEX($B:$B, (ROW()-3)),'Relacion '!$E$5:$E$493,0),0))</f>
        <v>46139</v>
      </c>
      <c r="G851" s="240" cm="1">
        <f t="array" ref="G851">MAX(INDEX('Relacion '!$AB$5:$AC$493,MATCH(INDEX($B:$B, (ROW()-3)),'Relacion '!$E$5:$E$493,0),0))</f>
        <v>46157</v>
      </c>
      <c r="H851" s="241" cm="1">
        <f t="array" ref="H851">IF(
 MATCH(B851,{"01. ASIGNACION AREA";"02. MAPEO";"03. DESARROLLO";"04. VALIDA US";"05. VOBO US";"06. BW-EJECUCION";"07. VALIDACIÓN BAJAWARE";"08. CERRADA"},0)
 &lt;
 MATCH(_xlfn.XLOOKUP(INDEX($B:$B, (ROW()-3)),'Relacion '!$E:$E,'Relacion '!$D:$D,""),{"01. ASIGNACION AREA";"02. MAPEO";"03. DESARROLLO";"04. VALIDA US";"05. VOBO US";"06. BW-EJECUCION";"07. VALIDACIÓN BAJAWARE";"08. CERRADA"},0),
 1,
 IF(
  MATCH(B851,{"01. ASIGNACION AREA";"02. MAPEO";"03. DESARROLLO";"04. VALIDA US";"05. VOBO US";"06. BW-EJECUCION";"07. VALIDACIÓN BAJAWARE";"08. CERRADA"},0)
  =
  MATCH(_xlfn.XLOOKUP(INDEX($B:$B, (ROW()-3)),'Relacion '!$E:$E,'Relacion '!$D:$D,""),{"01. ASIGNACION AREA";"02. MAPEO";"03. DESARROLLO";"04. VALIDA US";"05. VOBO US";"06. BW-EJECUCION";"07. VALIDACIÓN BAJAWARE";"08. CERRADA"},0),
  _xlfn.XLOOKUP(INDEX($B:$B, (ROW()-3)),'Relacion '!$E:$E,'Relacion '!#REF!,0),
  0
 )
)</f>
        <v>0</v>
      </c>
      <c r="I851" s="241">
        <f t="shared" ca="1" si="197"/>
        <v>1</v>
      </c>
      <c r="J851" s="241"/>
      <c r="K851" s="241"/>
      <c r="L851" s="238"/>
    </row>
    <row r="852" spans="2:12" outlineLevel="1">
      <c r="B852" s="237" t="s">
        <v>324</v>
      </c>
      <c r="C852" s="237" t="s">
        <v>324</v>
      </c>
      <c r="D852" s="238" t="str">
        <f>_xlfn.XLOOKUP(B852,'Relacion '!$E:$E,'Relacion '!$D:$D,"")</f>
        <v/>
      </c>
      <c r="E852" s="239">
        <f t="shared" si="198"/>
        <v>11</v>
      </c>
      <c r="F852" s="240" cm="1">
        <f t="array" ref="F852">MIN(INDEX('Relacion '!$AD$5:$AE$493,MATCH(INDEX($B:$B, (ROW()-4)),'Relacion '!$E$5:$E$493,0),0))</f>
        <v>46160</v>
      </c>
      <c r="G852" s="240" cm="1">
        <f t="array" ref="G852">MAX(INDEX('Relacion '!$AD$5:$AE$493,MATCH(INDEX($B:$B, (ROW()-4)),'Relacion '!$E$5:$E$493,0),0))</f>
        <v>46171</v>
      </c>
      <c r="H852" s="241" cm="1">
        <f t="array" ref="H852">IF(
 MATCH(B852,{"01. ASIGNACION AREA";"02. MAPEO";"03. DESARROLLO";"04. VALIDA US";"05. VOBO US";"06. BW-EJECUCION";"07. VALIDACIÓN BAJAWARE";"08. CERRADA"},0)
 &lt;
 MATCH(_xlfn.XLOOKUP(INDEX($B:$B, (ROW()-4)),'Relacion '!$E:$E,'Relacion '!$D:$D,""),{"01. ASIGNACION AREA";"02. MAPEO";"03. DESARROLLO";"04. VALIDA US";"05. VOBO US";"06. BW-EJECUCION";"07. VALIDACIÓN BAJAWARE";"08. CERRADA"},0),
 1,
 IF(
  MATCH(B852,{"01. ASIGNACION AREA";"02. MAPEO";"03. DESARROLLO";"04. VALIDA US";"05. VOBO US";"06. BW-EJECUCION";"07. VALIDACIÓN BAJAWARE";"08. CERRADA"},0)
  =
  MATCH(_xlfn.XLOOKUP(INDEX($B:$B, (ROW()-4)),'Relacion '!$E:$E,'Relacion '!$D:$D,""),{"01. ASIGNACION AREA";"02. MAPEO";"03. DESARROLLO";"04. VALIDA US";"05. VOBO US";"06. BW-EJECUCION";"07. VALIDACIÓN BAJAWARE";"08. CERRADA"},0),
  _xlfn.XLOOKUP(INDEX($B:$B, (ROW()-4)),'Relacion '!$E:$E,'Relacion '!#REF!,0),
  0
 )
)</f>
        <v>0</v>
      </c>
      <c r="I852" s="241">
        <f t="shared" ca="1" si="197"/>
        <v>0</v>
      </c>
      <c r="J852" s="241"/>
      <c r="K852" s="241"/>
      <c r="L852" s="238"/>
    </row>
    <row r="853" spans="2:12" outlineLevel="1">
      <c r="B853" s="237" t="s">
        <v>320</v>
      </c>
      <c r="C853" s="237" t="s">
        <v>320</v>
      </c>
      <c r="D853" s="238" t="str">
        <f>_xlfn.XLOOKUP(B853,'Relacion '!$E:$E,'Relacion '!$D:$D,"")</f>
        <v/>
      </c>
      <c r="E853" s="239">
        <f t="shared" si="198"/>
        <v>3</v>
      </c>
      <c r="F853" s="240" cm="1">
        <f t="array" ref="F853">MIN(INDEX('Relacion '!$AF$5:$AG$493,MATCH(INDEX($B:$B, (ROW()-5)),'Relacion '!$E$5:$E$493,0),0))</f>
        <v>46171</v>
      </c>
      <c r="G853" s="240" cm="1">
        <f t="array" ref="G853">MAX(INDEX('Relacion '!$AF$5:$AG$493,MATCH(INDEX($B:$B, (ROW()-5)),'Relacion '!$E$5:$E$493,0),0))</f>
        <v>46174</v>
      </c>
      <c r="H853" s="241" cm="1">
        <f t="array" ref="H853">IF(
 MATCH(B853,{"01. ASIGNACION AREA";"02. MAPEO";"03. DESARROLLO";"04. VALIDA US";"05. VOBO US";"06. BW-EJECUCION";"07. VALIDACIÓN BAJAWARE";"08. CERRADA"},0)
 &lt;
 MATCH(_xlfn.XLOOKUP(INDEX($B:$B, (ROW()-5)),'Relacion '!$E:$E,'Relacion '!$D:$D,""),{"01. ASIGNACION AREA";"02. MAPEO";"03. DESARROLLO";"04. VALIDA US";"05. VOBO US";"06. BW-EJECUCION";"07. VALIDACIÓN BAJAWARE";"08. CERRADA"},0),
 1,
 IF(
  MATCH(B853,{"01. ASIGNACION AREA";"02. MAPEO";"03. DESARROLLO";"04. VALIDA US";"05. VOBO US";"06. BW-EJECUCION";"07. VALIDACIÓN BAJAWARE";"08. CERRADA"},0)
  =
  MATCH(_xlfn.XLOOKUP(INDEX($B:$B, (ROW()-5)),'Relacion '!$E:$E,'Relacion '!$D:$D,""),{"01. ASIGNACION AREA";"02. MAPEO";"03. DESARROLLO";"04. VALIDA US";"05. VOBO US";"06. BW-EJECUCION";"07. VALIDACIÓN BAJAWARE";"08. CERRADA"},0),
  _xlfn.XLOOKUP(INDEX($B:$B, (ROW()-5)),'Relacion '!$E:$E,'Relacion '!#REF!,0),
  0
 )
)</f>
        <v>0</v>
      </c>
      <c r="I853" s="241">
        <f t="shared" ca="1" si="197"/>
        <v>0</v>
      </c>
      <c r="J853" s="241"/>
      <c r="K853" s="241"/>
      <c r="L853" s="238"/>
    </row>
    <row r="854" spans="2:12" outlineLevel="1">
      <c r="B854" s="237" t="s">
        <v>710</v>
      </c>
      <c r="C854" s="237" t="s">
        <v>710</v>
      </c>
      <c r="D854" s="238" t="str">
        <f>_xlfn.XLOOKUP(B854,'Relacion '!$E:$E,'Relacion '!$D:$D,"")</f>
        <v/>
      </c>
      <c r="E854" s="239">
        <f t="shared" si="198"/>
        <v>2</v>
      </c>
      <c r="F854" s="240" cm="1">
        <f t="array" ref="F854">MIN(INDEX('Relacion '!$AH$5:$AI$493,MATCH(INDEX($B:$B, (ROW()-6)),'Relacion '!$E$5:$E$493,0),0))</f>
        <v>46175</v>
      </c>
      <c r="G854" s="240" cm="1">
        <f t="array" ref="G854">MAX(INDEX('Relacion '!$AH$5:$AI$493,MATCH(INDEX($B:$B, (ROW()-6)),'Relacion '!$E$5:$E$493,0),0))</f>
        <v>46177</v>
      </c>
      <c r="H854" s="241" cm="1">
        <f t="array" ref="H854">IF(
 MATCH(B854,{"01. ASIGNACION AREA";"02. MAPEO";"03. DESARROLLO";"04. VALIDA US";"05. VOBO US";"06. BW-EJECUCION";"07. VALIDACIÓN BAJAWARE";"08. CERRADA"},0)
 &lt;
 MATCH(_xlfn.XLOOKUP(INDEX($B:$B, (ROW()-6)),'Relacion '!$E:$E,'Relacion '!$D:$D,""),{"01. ASIGNACION AREA";"02. MAPEO";"03. DESARROLLO";"04. VALIDA US";"05. VOBO US";"06. BW-EJECUCION";"07. VALIDACIÓN BAJAWARE";"08. CERRADA"},0),
 1,
 IF(
  MATCH(B854,{"01. ASIGNACION AREA";"02. MAPEO";"03. DESARROLLO";"04. VALIDA US";"05. VOBO US";"06. BW-EJECUCION";"07. VALIDACIÓN BAJAWARE";"08. CERRADA"},0)
  =
  MATCH(_xlfn.XLOOKUP(INDEX($B:$B, (ROW()-6)),'Relacion '!$E:$E,'Relacion '!$D:$D,""),{"01. ASIGNACION AREA";"02. MAPEO";"03. DESARROLLO";"04. VALIDA US";"05. VOBO US";"06. BW-EJECUCION";"07. VALIDACIÓN BAJAWARE";"08. CERRADA"},0),
  _xlfn.XLOOKUP(INDEX($B:$B, (ROW()-6)),'Relacion '!$E:$E,'Relacion '!#REF!,0),
  0
 )
)</f>
        <v>0</v>
      </c>
      <c r="I854" s="241">
        <f t="shared" ca="1" si="197"/>
        <v>0</v>
      </c>
      <c r="J854" s="241"/>
      <c r="K854" s="241"/>
      <c r="L854" s="238"/>
    </row>
    <row r="855" spans="2:12" outlineLevel="1">
      <c r="B855" s="237" t="s">
        <v>655</v>
      </c>
      <c r="C855" s="237" t="s">
        <v>655</v>
      </c>
      <c r="D855" s="238" t="str">
        <f>_xlfn.XLOOKUP(B855,'Relacion '!$E:$E,'Relacion '!$D:$D,"")</f>
        <v/>
      </c>
      <c r="E855" s="239">
        <f t="shared" si="198"/>
        <v>14</v>
      </c>
      <c r="F855" s="240" cm="1">
        <f t="array" ref="F855">MIN(INDEX('Relacion '!$AJ$5:$AK$493,MATCH(INDEX($B:$B, (ROW()-7)),'Relacion '!$E$5:$E$493,0),0))</f>
        <v>46178</v>
      </c>
      <c r="G855" s="240" cm="1">
        <f t="array" ref="G855">MAX(INDEX('Relacion '!$AJ$5:$AK$493,MATCH(INDEX($B:$B, (ROW()-7)),'Relacion '!$E$5:$E$493,0),0))</f>
        <v>46192</v>
      </c>
      <c r="H855" s="241" cm="1">
        <f t="array" ref="H855">IF(
 MATCH(B855,{"01. ASIGNACION AREA";"02. MAPEO";"03. DESARROLLO";"04. VALIDA US";"05. VOBO US";"06. BW-EJECUCION";"07. VALIDACIÓN BAJAWARE";"08. CERRADA"},0)
 &lt;
 MATCH(_xlfn.XLOOKUP(INDEX($B:$B, (ROW()-7)),'Relacion '!$E:$E,'Relacion '!$D:$D,""),{"01. ASIGNACION AREA";"02. MAPEO";"03. DESARROLLO";"04. VALIDA US";"05. VOBO US";"06. BW-EJECUCION";"07. VALIDACIÓN BAJAWARE";"08. CERRADA"},0),
 1,
 IF(
  MATCH(B855,{"01. ASIGNACION AREA";"02. MAPEO";"03. DESARROLLO";"04. VALIDA US";"05. VOBO US";"06. BW-EJECUCION";"07. VALIDACIÓN BAJAWARE";"08. CERRADA"},0)
  =
  MATCH(_xlfn.XLOOKUP(INDEX($B:$B, (ROW()-7)),'Relacion '!$E:$E,'Relacion '!$D:$D,""),{"01. ASIGNACION AREA";"02. MAPEO";"03. DESARROLLO";"04. VALIDA US";"05. VOBO US";"06. BW-EJECUCION";"07. VALIDACIÓN BAJAWARE";"08. CERRADA"},0),
  _xlfn.XLOOKUP(INDEX($B:$B, (ROW()-7)),'Relacion '!$E:$E,'Relacion '!#REF!,0),
  0
 )
)</f>
        <v>0</v>
      </c>
      <c r="I855" s="241">
        <f t="shared" ca="1" si="197"/>
        <v>0</v>
      </c>
      <c r="J855" s="241"/>
      <c r="K855" s="241"/>
      <c r="L855" s="238"/>
    </row>
    <row r="856" spans="2:12" outlineLevel="1">
      <c r="B856" s="237" t="s">
        <v>656</v>
      </c>
      <c r="C856" s="237" t="s">
        <v>656</v>
      </c>
      <c r="D856" s="238" t="str">
        <f>_xlfn.XLOOKUP(B856,'Relacion '!$E:$E,'Relacion '!$D:$D,"")</f>
        <v/>
      </c>
      <c r="E856" s="239">
        <f t="shared" si="198"/>
        <v>1</v>
      </c>
      <c r="F856" s="240" cm="1">
        <f t="array" ref="F856">MIN(INDEX('Relacion '!$AL$5:$AM$493,MATCH(INDEX($B:$B, (ROW()-8)),'Relacion '!$E$5:$E$493,0),0))</f>
        <v>46195</v>
      </c>
      <c r="G856" s="240" cm="1">
        <f t="array" ref="G856">MAX(INDEX('Relacion '!$AL$5:$AM$493,MATCH(INDEX($B:$B, (ROW()-8)),'Relacion '!$E$5:$E$493,0),0))</f>
        <v>46196</v>
      </c>
      <c r="H856" s="241" cm="1">
        <f t="array" ref="H856">IF(
 MATCH(B856,{"01. ASIGNACION AREA";"02. MAPEO";"03. DESARROLLO";"04. VALIDA US";"05. VOBO US";"06. BW-EJECUCION";"07. VALIDACIÓN BAJAWARE";"08. CERRADA"},0)
 &lt;
 MATCH(_xlfn.XLOOKUP(INDEX($B:$B, (ROW()-8)),'Relacion '!$E:$E,'Relacion '!$D:$D,""),{"01. ASIGNACION AREA";"02. MAPEO";"03. DESARROLLO";"04. VALIDA US";"05. VOBO US";"06. BW-EJECUCION";"07. VALIDACIÓN BAJAWARE";"08. CERRADA"},0),
 1,
 IF(
  MATCH(B856,{"01. ASIGNACION AREA";"02. MAPEO";"03. DESARROLLO";"04. VALIDA US";"05. VOBO US";"06. BW-EJECUCION";"07. VALIDACIÓN BAJAWARE";"08. CERRADA"},0)
  =
  MATCH(_xlfn.XLOOKUP(INDEX($B:$B, (ROW()-8)),'Relacion '!$E:$E,'Relacion '!$D:$D,""),{"01. ASIGNACION AREA";"02. MAPEO";"03. DESARROLLO";"04. VALIDA US";"05. VOBO US";"06. BW-EJECUCION";"07. VALIDACIÓN BAJAWARE";"08. CERRADA"},0),
  _xlfn.XLOOKUP(INDEX($B:$B, (ROW()-8)),'Relacion '!$E:$E,'Relacion '!#REF!,0),
  0
 )
)</f>
        <v>0</v>
      </c>
      <c r="I856" s="241">
        <f t="shared" ca="1" si="197"/>
        <v>0</v>
      </c>
      <c r="J856" s="241"/>
      <c r="K856" s="241"/>
      <c r="L856" s="238"/>
    </row>
    <row r="857" spans="2:12">
      <c r="B857" s="232" t="s">
        <v>552</v>
      </c>
      <c r="C857" s="172" t="s">
        <v>553</v>
      </c>
      <c r="D857" s="236" t="str">
        <f>_xlfn.XLOOKUP(B857,'Relacion '!$E:$E,'Relacion '!$D:$D,"")</f>
        <v>08. CERRADA</v>
      </c>
      <c r="E857" s="233">
        <f t="shared" si="198"/>
        <v>85</v>
      </c>
      <c r="F857" s="234" cm="1">
        <f t="array" ref="F857">MIN(INDEX('Relacion '!$X$5:$AM$493,MATCH(INDEX($B:$B, (ROW()-0)),'Relacion '!$E$5:$E$493,0),0))</f>
        <v>46024</v>
      </c>
      <c r="G857" s="234" cm="1">
        <f t="array" ref="G857">MAX(INDEX('Relacion '!$X$5:$AM$493,MATCH(INDEX($B:$B, (ROW()-0)),'Relacion '!$E$5:$E$493,0),0))</f>
        <v>46109</v>
      </c>
      <c r="H857" s="235" t="e">
        <f>AVERAGE(H858:H865)</f>
        <v>#REF!</v>
      </c>
      <c r="I857" s="235">
        <f t="shared" ref="I857" ca="1" si="203">AVERAGE(I858:I865)</f>
        <v>1</v>
      </c>
      <c r="J857" s="236" t="str">
        <f>IF(ISNUMBER(SEARCH("Rocha", _xlfn.XLOOKUP(B857,'Relacion '!$E:$E,'Relacion '!$I:$I,""))), "Sí", "No")</f>
        <v>No</v>
      </c>
      <c r="K857" s="236" t="str">
        <f>IF(ISNUMBER(SEARCH("Rocha", _xlfn.XLOOKUP(B857,'Relacion '!$E:$E,'Relacion '!$I:$I,""))), "RMC", _xlfn.XLOOKUP(B857,'Relacion '!$E:$E,'Relacion '!$B:$B,""))</f>
        <v>Tesorería </v>
      </c>
      <c r="L857" s="236" t="str">
        <f>_xlfn.XLOOKUP(B857,'Relacion '!$E:$E,'Relacion '!$C:$C,"")</f>
        <v>Eduardo Cabral</v>
      </c>
    </row>
    <row r="858" spans="2:12" outlineLevel="1">
      <c r="B858" s="237" t="s">
        <v>654</v>
      </c>
      <c r="C858" s="237" t="s">
        <v>654</v>
      </c>
      <c r="D858" s="238" t="str">
        <f>_xlfn.XLOOKUP(B858,'Relacion '!$E:$E,'Relacion '!$D:$D,"")</f>
        <v/>
      </c>
      <c r="E858" s="239">
        <f t="shared" si="198"/>
        <v>59</v>
      </c>
      <c r="F858" s="240" cm="1">
        <f t="array" ref="F858">MIN(INDEX('Relacion '!$X$5:$Y$493,MATCH(INDEX($B:$B, (ROW()-1)),'Relacion '!$E$5:$E$493,0),0))</f>
        <v>46024</v>
      </c>
      <c r="G858" s="240" cm="1">
        <f t="array" ref="G858">MAX(INDEX('Relacion '!$X$5:$Y$493,MATCH(INDEX($B:$B, (ROW()-1)),'Relacion '!$E$5:$E$493,0),0))</f>
        <v>46083</v>
      </c>
      <c r="H858" s="241" cm="1">
        <f t="array" ref="H858">IF(
 MATCH(B858,{"01. ASIGNACION AREA";"02. MAPEO";"03. DESARROLLO";"04. VALIDA US";"05. VOBO US";"06. BW-EJECUCION";"07. VALIDACIÓN BAJAWARE";"08. CERRADA"},0)
 &lt;
 MATCH(_xlfn.XLOOKUP(INDEX($B:$B, (ROW()-1)),'Relacion '!$E:$E,'Relacion '!$D:$D,""),{"01. ASIGNACION AREA";"02. MAPEO";"03. DESARROLLO";"04. VALIDA US";"05. VOBO US";"06. BW-EJECUCION";"07. VALIDACIÓN BAJAWARE";"08. CERRADA"},0),
 1,
 IF(
  MATCH(B858,{"01. ASIGNACION AREA";"02. MAPEO";"03. DESARROLLO";"04. VALIDA US";"05. VOBO US";"06. BW-EJECUCION";"07. VALIDACIÓN BAJAWARE";"08. CERRADA"},0)
  =
  MATCH(_xlfn.XLOOKUP(INDEX($B:$B, (ROW()-1)),'Relacion '!$E:$E,'Relacion '!$D:$D,""),{"01. ASIGNACION AREA";"02. MAPEO";"03. DESARROLLO";"04. VALIDA US";"05. VOBO US";"06. BW-EJECUCION";"07. VALIDACIÓN BAJAWARE";"08. CERRADA"},0),
  _xlfn.XLOOKUP(INDEX($B:$B, (ROW()-1)),'Relacion '!$E:$E,'Relacion '!#REF!,0),
  0
 )
)</f>
        <v>1</v>
      </c>
      <c r="I858" s="241">
        <f t="shared" ref="I858" ca="1" si="204">IF(G858&lt;=TODAY(), 1, 0)</f>
        <v>1</v>
      </c>
      <c r="J858" s="241"/>
      <c r="K858" s="241"/>
      <c r="L858" s="238"/>
    </row>
    <row r="859" spans="2:12" outlineLevel="1">
      <c r="B859" s="237" t="s">
        <v>195</v>
      </c>
      <c r="C859" s="237" t="s">
        <v>195</v>
      </c>
      <c r="D859" s="238" t="str">
        <f>_xlfn.XLOOKUP(B859,'Relacion '!$E:$E,'Relacion '!$D:$D,"")</f>
        <v/>
      </c>
      <c r="E859" s="239">
        <f t="shared" si="198"/>
        <v>0</v>
      </c>
      <c r="F859" s="240" cm="1">
        <f t="array" ref="F859">MIN(INDEX('Relacion '!$Z$5:$AA$493,MATCH(INDEX($B:$B, (ROW()-2)),'Relacion '!$E$5:$E$493,0),0))</f>
        <v>46108</v>
      </c>
      <c r="G859" s="240" cm="1">
        <f t="array" ref="G859">MAX(INDEX('Relacion '!$Z$5:$AA$493,MATCH(INDEX($B:$B, (ROW()-2)),'Relacion '!$E$5:$E$493,0),0))</f>
        <v>46108</v>
      </c>
      <c r="H859" s="241" cm="1">
        <f t="array" ref="H859">IF(
 MATCH(B859,{"01. ASIGNACION AREA";"02. MAPEO";"03. DESARROLLO";"04. VALIDA US";"05. VOBO US";"06. BW-EJECUCION";"07. VALIDACIÓN BAJAWARE";"08. CERRADA"},0)
 &lt;
 MATCH(_xlfn.XLOOKUP(INDEX($B:$B, (ROW()-2)),'Relacion '!$E:$E,'Relacion '!$D:$D,""),{"01. ASIGNACION AREA";"02. MAPEO";"03. DESARROLLO";"04. VALIDA US";"05. VOBO US";"06. BW-EJECUCION";"07. VALIDACIÓN BAJAWARE";"08. CERRADA"},0),
 1,
 IF(
  MATCH(B859,{"01. ASIGNACION AREA";"02. MAPEO";"03. DESARROLLO";"04. VALIDA US";"05. VOBO US";"06. BW-EJECUCION";"07. VALIDACIÓN BAJAWARE";"08. CERRADA"},0)
  =
  MATCH(_xlfn.XLOOKUP(INDEX($B:$B, (ROW()-2)),'Relacion '!$E:$E,'Relacion '!$D:$D,""),{"01. ASIGNACION AREA";"02. MAPEO";"03. DESARROLLO";"04. VALIDA US";"05. VOBO US";"06. BW-EJECUCION";"07. VALIDACIÓN BAJAWARE";"08. CERRADA"},0),
  _xlfn.XLOOKUP(INDEX($B:$B, (ROW()-2)),'Relacion '!$E:$E,'Relacion '!#REF!,0),
  0
 )
)</f>
        <v>1</v>
      </c>
      <c r="I859" s="241">
        <f t="shared" ca="1" si="197"/>
        <v>1</v>
      </c>
      <c r="J859" s="241"/>
      <c r="K859" s="241"/>
      <c r="L859" s="238"/>
    </row>
    <row r="860" spans="2:12" outlineLevel="1">
      <c r="B860" s="237" t="s">
        <v>49</v>
      </c>
      <c r="C860" s="237" t="s">
        <v>49</v>
      </c>
      <c r="D860" s="238" t="str">
        <f>_xlfn.XLOOKUP(B860,'Relacion '!$E:$E,'Relacion '!$D:$D,"")</f>
        <v/>
      </c>
      <c r="E860" s="239">
        <f t="shared" si="198"/>
        <v>0</v>
      </c>
      <c r="F860" s="240" cm="1">
        <f t="array" ref="F860">MIN(INDEX('Relacion '!$AB$5:$AC$493,MATCH(INDEX($B:$B, (ROW()-3)),'Relacion '!$E$5:$E$493,0),0))</f>
        <v>46108</v>
      </c>
      <c r="G860" s="240" cm="1">
        <f t="array" ref="G860">MAX(INDEX('Relacion '!$AB$5:$AC$493,MATCH(INDEX($B:$B, (ROW()-3)),'Relacion '!$E$5:$E$493,0),0))</f>
        <v>46108</v>
      </c>
      <c r="H860" s="241" cm="1">
        <f t="array" ref="H860">IF(
 MATCH(B860,{"01. ASIGNACION AREA";"02. MAPEO";"03. DESARROLLO";"04. VALIDA US";"05. VOBO US";"06. BW-EJECUCION";"07. VALIDACIÓN BAJAWARE";"08. CERRADA"},0)
 &lt;
 MATCH(_xlfn.XLOOKUP(INDEX($B:$B, (ROW()-3)),'Relacion '!$E:$E,'Relacion '!$D:$D,""),{"01. ASIGNACION AREA";"02. MAPEO";"03. DESARROLLO";"04. VALIDA US";"05. VOBO US";"06. BW-EJECUCION";"07. VALIDACIÓN BAJAWARE";"08. CERRADA"},0),
 1,
 IF(
  MATCH(B860,{"01. ASIGNACION AREA";"02. MAPEO";"03. DESARROLLO";"04. VALIDA US";"05. VOBO US";"06. BW-EJECUCION";"07. VALIDACIÓN BAJAWARE";"08. CERRADA"},0)
  =
  MATCH(_xlfn.XLOOKUP(INDEX($B:$B, (ROW()-3)),'Relacion '!$E:$E,'Relacion '!$D:$D,""),{"01. ASIGNACION AREA";"02. MAPEO";"03. DESARROLLO";"04. VALIDA US";"05. VOBO US";"06. BW-EJECUCION";"07. VALIDACIÓN BAJAWARE";"08. CERRADA"},0),
  _xlfn.XLOOKUP(INDEX($B:$B, (ROW()-3)),'Relacion '!$E:$E,'Relacion '!#REF!,0),
  0
 )
)</f>
        <v>1</v>
      </c>
      <c r="I860" s="241">
        <f t="shared" ca="1" si="197"/>
        <v>1</v>
      </c>
      <c r="J860" s="241"/>
      <c r="K860" s="241"/>
      <c r="L860" s="238"/>
    </row>
    <row r="861" spans="2:12" outlineLevel="1">
      <c r="B861" s="237" t="s">
        <v>324</v>
      </c>
      <c r="C861" s="237" t="s">
        <v>324</v>
      </c>
      <c r="D861" s="238" t="str">
        <f>_xlfn.XLOOKUP(B861,'Relacion '!$E:$E,'Relacion '!$D:$D,"")</f>
        <v/>
      </c>
      <c r="E861" s="239">
        <f t="shared" si="198"/>
        <v>0</v>
      </c>
      <c r="F861" s="240" cm="1">
        <f t="array" ref="F861">MIN(INDEX('Relacion '!$AD$5:$AE$493,MATCH(INDEX($B:$B, (ROW()-4)),'Relacion '!$E$5:$E$493,0),0))</f>
        <v>46108</v>
      </c>
      <c r="G861" s="240" cm="1">
        <f t="array" ref="G861">MAX(INDEX('Relacion '!$AD$5:$AE$493,MATCH(INDEX($B:$B, (ROW()-4)),'Relacion '!$E$5:$E$493,0),0))</f>
        <v>46108</v>
      </c>
      <c r="H861" s="241" cm="1">
        <f t="array" ref="H861">IF(
 MATCH(B861,{"01. ASIGNACION AREA";"02. MAPEO";"03. DESARROLLO";"04. VALIDA US";"05. VOBO US";"06. BW-EJECUCION";"07. VALIDACIÓN BAJAWARE";"08. CERRADA"},0)
 &lt;
 MATCH(_xlfn.XLOOKUP(INDEX($B:$B, (ROW()-4)),'Relacion '!$E:$E,'Relacion '!$D:$D,""),{"01. ASIGNACION AREA";"02. MAPEO";"03. DESARROLLO";"04. VALIDA US";"05. VOBO US";"06. BW-EJECUCION";"07. VALIDACIÓN BAJAWARE";"08. CERRADA"},0),
 1,
 IF(
  MATCH(B861,{"01. ASIGNACION AREA";"02. MAPEO";"03. DESARROLLO";"04. VALIDA US";"05. VOBO US";"06. BW-EJECUCION";"07. VALIDACIÓN BAJAWARE";"08. CERRADA"},0)
  =
  MATCH(_xlfn.XLOOKUP(INDEX($B:$B, (ROW()-4)),'Relacion '!$E:$E,'Relacion '!$D:$D,""),{"01. ASIGNACION AREA";"02. MAPEO";"03. DESARROLLO";"04. VALIDA US";"05. VOBO US";"06. BW-EJECUCION";"07. VALIDACIÓN BAJAWARE";"08. CERRADA"},0),
  _xlfn.XLOOKUP(INDEX($B:$B, (ROW()-4)),'Relacion '!$E:$E,'Relacion '!#REF!,0),
  0
 )
)</f>
        <v>1</v>
      </c>
      <c r="I861" s="241">
        <f t="shared" ca="1" si="197"/>
        <v>1</v>
      </c>
      <c r="J861" s="241"/>
      <c r="K861" s="241"/>
      <c r="L861" s="238"/>
    </row>
    <row r="862" spans="2:12" outlineLevel="1">
      <c r="B862" s="237" t="s">
        <v>320</v>
      </c>
      <c r="C862" s="237" t="s">
        <v>320</v>
      </c>
      <c r="D862" s="238" t="str">
        <f>_xlfn.XLOOKUP(B862,'Relacion '!$E:$E,'Relacion '!$D:$D,"")</f>
        <v/>
      </c>
      <c r="E862" s="239">
        <f t="shared" si="198"/>
        <v>0</v>
      </c>
      <c r="F862" s="240" cm="1">
        <f t="array" ref="F862">MIN(INDEX('Relacion '!$AF$5:$AG$493,MATCH(INDEX($B:$B, (ROW()-5)),'Relacion '!$E$5:$E$493,0),0))</f>
        <v>46108</v>
      </c>
      <c r="G862" s="240" cm="1">
        <f t="array" ref="G862">MAX(INDEX('Relacion '!$AF$5:$AG$493,MATCH(INDEX($B:$B, (ROW()-5)),'Relacion '!$E$5:$E$493,0),0))</f>
        <v>46108</v>
      </c>
      <c r="H862" s="241" cm="1">
        <f t="array" ref="H862">IF(
 MATCH(B862,{"01. ASIGNACION AREA";"02. MAPEO";"03. DESARROLLO";"04. VALIDA US";"05. VOBO US";"06. BW-EJECUCION";"07. VALIDACIÓN BAJAWARE";"08. CERRADA"},0)
 &lt;
 MATCH(_xlfn.XLOOKUP(INDEX($B:$B, (ROW()-5)),'Relacion '!$E:$E,'Relacion '!$D:$D,""),{"01. ASIGNACION AREA";"02. MAPEO";"03. DESARROLLO";"04. VALIDA US";"05. VOBO US";"06. BW-EJECUCION";"07. VALIDACIÓN BAJAWARE";"08. CERRADA"},0),
 1,
 IF(
  MATCH(B862,{"01. ASIGNACION AREA";"02. MAPEO";"03. DESARROLLO";"04. VALIDA US";"05. VOBO US";"06. BW-EJECUCION";"07. VALIDACIÓN BAJAWARE";"08. CERRADA"},0)
  =
  MATCH(_xlfn.XLOOKUP(INDEX($B:$B, (ROW()-5)),'Relacion '!$E:$E,'Relacion '!$D:$D,""),{"01. ASIGNACION AREA";"02. MAPEO";"03. DESARROLLO";"04. VALIDA US";"05. VOBO US";"06. BW-EJECUCION";"07. VALIDACIÓN BAJAWARE";"08. CERRADA"},0),
  _xlfn.XLOOKUP(INDEX($B:$B, (ROW()-5)),'Relacion '!$E:$E,'Relacion '!#REF!,0),
  0
 )
)</f>
        <v>1</v>
      </c>
      <c r="I862" s="241">
        <f t="shared" ca="1" si="197"/>
        <v>1</v>
      </c>
      <c r="J862" s="241"/>
      <c r="K862" s="241"/>
      <c r="L862" s="238"/>
    </row>
    <row r="863" spans="2:12" outlineLevel="1">
      <c r="B863" s="237" t="s">
        <v>710</v>
      </c>
      <c r="C863" s="237" t="s">
        <v>710</v>
      </c>
      <c r="D863" s="238" t="str">
        <f>_xlfn.XLOOKUP(B863,'Relacion '!$E:$E,'Relacion '!$D:$D,"")</f>
        <v/>
      </c>
      <c r="E863" s="239">
        <f t="shared" si="198"/>
        <v>0</v>
      </c>
      <c r="F863" s="240" cm="1">
        <f t="array" ref="F863">MIN(INDEX('Relacion '!$AH$5:$AI$493,MATCH(INDEX($B:$B, (ROW()-6)),'Relacion '!$E$5:$E$493,0),0))</f>
        <v>46108</v>
      </c>
      <c r="G863" s="240" cm="1">
        <f t="array" ref="G863">MAX(INDEX('Relacion '!$AH$5:$AI$493,MATCH(INDEX($B:$B, (ROW()-6)),'Relacion '!$E$5:$E$493,0),0))</f>
        <v>46108</v>
      </c>
      <c r="H863" s="241" cm="1">
        <f t="array" ref="H863">IF(
 MATCH(B863,{"01. ASIGNACION AREA";"02. MAPEO";"03. DESARROLLO";"04. VALIDA US";"05. VOBO US";"06. BW-EJECUCION";"07. VALIDACIÓN BAJAWARE";"08. CERRADA"},0)
 &lt;
 MATCH(_xlfn.XLOOKUP(INDEX($B:$B, (ROW()-6)),'Relacion '!$E:$E,'Relacion '!$D:$D,""),{"01. ASIGNACION AREA";"02. MAPEO";"03. DESARROLLO";"04. VALIDA US";"05. VOBO US";"06. BW-EJECUCION";"07. VALIDACIÓN BAJAWARE";"08. CERRADA"},0),
 1,
 IF(
  MATCH(B863,{"01. ASIGNACION AREA";"02. MAPEO";"03. DESARROLLO";"04. VALIDA US";"05. VOBO US";"06. BW-EJECUCION";"07. VALIDACIÓN BAJAWARE";"08. CERRADA"},0)
  =
  MATCH(_xlfn.XLOOKUP(INDEX($B:$B, (ROW()-6)),'Relacion '!$E:$E,'Relacion '!$D:$D,""),{"01. ASIGNACION AREA";"02. MAPEO";"03. DESARROLLO";"04. VALIDA US";"05. VOBO US";"06. BW-EJECUCION";"07. VALIDACIÓN BAJAWARE";"08. CERRADA"},0),
  _xlfn.XLOOKUP(INDEX($B:$B, (ROW()-6)),'Relacion '!$E:$E,'Relacion '!#REF!,0),
  0
 )
)</f>
        <v>1</v>
      </c>
      <c r="I863" s="241">
        <f t="shared" ca="1" si="197"/>
        <v>1</v>
      </c>
      <c r="J863" s="241"/>
      <c r="K863" s="241"/>
      <c r="L863" s="238"/>
    </row>
    <row r="864" spans="2:12" outlineLevel="1">
      <c r="B864" s="237" t="s">
        <v>655</v>
      </c>
      <c r="C864" s="237" t="s">
        <v>655</v>
      </c>
      <c r="D864" s="238" t="str">
        <f>_xlfn.XLOOKUP(B864,'Relacion '!$E:$E,'Relacion '!$D:$D,"")</f>
        <v/>
      </c>
      <c r="E864" s="239">
        <f t="shared" si="198"/>
        <v>0</v>
      </c>
      <c r="F864" s="240" cm="1">
        <f t="array" ref="F864">MIN(INDEX('Relacion '!$AJ$5:$AK$493,MATCH(INDEX($B:$B, (ROW()-7)),'Relacion '!$E$5:$E$493,0),0))</f>
        <v>46108</v>
      </c>
      <c r="G864" s="240" cm="1">
        <f t="array" ref="G864">MAX(INDEX('Relacion '!$AJ$5:$AK$493,MATCH(INDEX($B:$B, (ROW()-7)),'Relacion '!$E$5:$E$493,0),0))</f>
        <v>46108</v>
      </c>
      <c r="H864" s="241" cm="1">
        <f t="array" ref="H864">IF(
 MATCH(B864,{"01. ASIGNACION AREA";"02. MAPEO";"03. DESARROLLO";"04. VALIDA US";"05. VOBO US";"06. BW-EJECUCION";"07. VALIDACIÓN BAJAWARE";"08. CERRADA"},0)
 &lt;
 MATCH(_xlfn.XLOOKUP(INDEX($B:$B, (ROW()-7)),'Relacion '!$E:$E,'Relacion '!$D:$D,""),{"01. ASIGNACION AREA";"02. MAPEO";"03. DESARROLLO";"04. VALIDA US";"05. VOBO US";"06. BW-EJECUCION";"07. VALIDACIÓN BAJAWARE";"08. CERRADA"},0),
 1,
 IF(
  MATCH(B864,{"01. ASIGNACION AREA";"02. MAPEO";"03. DESARROLLO";"04. VALIDA US";"05. VOBO US";"06. BW-EJECUCION";"07. VALIDACIÓN BAJAWARE";"08. CERRADA"},0)
  =
  MATCH(_xlfn.XLOOKUP(INDEX($B:$B, (ROW()-7)),'Relacion '!$E:$E,'Relacion '!$D:$D,""),{"01. ASIGNACION AREA";"02. MAPEO";"03. DESARROLLO";"04. VALIDA US";"05. VOBO US";"06. BW-EJECUCION";"07. VALIDACIÓN BAJAWARE";"08. CERRADA"},0),
  _xlfn.XLOOKUP(INDEX($B:$B, (ROW()-7)),'Relacion '!$E:$E,'Relacion '!#REF!,0),
  0
 )
)</f>
        <v>1</v>
      </c>
      <c r="I864" s="241">
        <f t="shared" ca="1" si="197"/>
        <v>1</v>
      </c>
      <c r="J864" s="241"/>
      <c r="K864" s="241"/>
      <c r="L864" s="238"/>
    </row>
    <row r="865" spans="2:12" outlineLevel="1">
      <c r="B865" s="237" t="s">
        <v>656</v>
      </c>
      <c r="C865" s="237" t="s">
        <v>656</v>
      </c>
      <c r="D865" s="238" t="str">
        <f>_xlfn.XLOOKUP(B865,'Relacion '!$E:$E,'Relacion '!$D:$D,"")</f>
        <v/>
      </c>
      <c r="E865" s="239">
        <f t="shared" si="198"/>
        <v>0</v>
      </c>
      <c r="F865" s="240" cm="1">
        <f t="array" ref="F865">MIN(INDEX('Relacion '!$AL$5:$AM$493,MATCH(INDEX($B:$B, (ROW()-8)),'Relacion '!$E$5:$E$493,0),0))</f>
        <v>46109</v>
      </c>
      <c r="G865" s="240" cm="1">
        <f t="array" ref="G865">MAX(INDEX('Relacion '!$AL$5:$AM$493,MATCH(INDEX($B:$B, (ROW()-8)),'Relacion '!$E$5:$E$493,0),0))</f>
        <v>46109</v>
      </c>
      <c r="H865" s="241" t="e" cm="1">
        <f t="array" ref="H865">IF(
 MATCH(B865,{"01. ASIGNACION AREA";"02. MAPEO";"03. DESARROLLO";"04. VALIDA US";"05. VOBO US";"06. BW-EJECUCION";"07. VALIDACIÓN BAJAWARE";"08. CERRADA"},0)
 &lt;
 MATCH(_xlfn.XLOOKUP(INDEX($B:$B, (ROW()-8)),'Relacion '!$E:$E,'Relacion '!$D:$D,""),{"01. ASIGNACION AREA";"02. MAPEO";"03. DESARROLLO";"04. VALIDA US";"05. VOBO US";"06. BW-EJECUCION";"07. VALIDACIÓN BAJAWARE";"08. CERRADA"},0),
 1,
 IF(
  MATCH(B865,{"01. ASIGNACION AREA";"02. MAPEO";"03. DESARROLLO";"04. VALIDA US";"05. VOBO US";"06. BW-EJECUCION";"07. VALIDACIÓN BAJAWARE";"08. CERRADA"},0)
  =
  MATCH(_xlfn.XLOOKUP(INDEX($B:$B, (ROW()-8)),'Relacion '!$E:$E,'Relacion '!$D:$D,""),{"01. ASIGNACION AREA";"02. MAPEO";"03. DESARROLLO";"04. VALIDA US";"05. VOBO US";"06. BW-EJECUCION";"07. VALIDACIÓN BAJAWARE";"08. CERRADA"},0),
  _xlfn.XLOOKUP(INDEX($B:$B, (ROW()-8)),'Relacion '!$E:$E,'Relacion '!#REF!,0),
  0
 )
)</f>
        <v>#REF!</v>
      </c>
      <c r="I865" s="241">
        <f t="shared" ca="1" si="197"/>
        <v>1</v>
      </c>
      <c r="J865" s="241"/>
      <c r="K865" s="241"/>
      <c r="L865" s="238"/>
    </row>
    <row r="866" spans="2:12">
      <c r="B866" s="232" t="s">
        <v>560</v>
      </c>
      <c r="C866" s="137" t="s">
        <v>561</v>
      </c>
      <c r="D866" s="236" t="str">
        <f>_xlfn.XLOOKUP(B866,'Relacion '!$E:$E,'Relacion '!$D:$D,"")</f>
        <v>02. MAPEO</v>
      </c>
      <c r="E866" s="233">
        <f t="shared" si="198"/>
        <v>158</v>
      </c>
      <c r="F866" s="234" cm="1">
        <f t="array" ref="F866">MIN(INDEX('Relacion '!$X$5:$AM$493,MATCH(INDEX($B:$B, (ROW()-0)),'Relacion '!$E$5:$E$493,0),0))</f>
        <v>46024</v>
      </c>
      <c r="G866" s="234" cm="1">
        <f t="array" ref="G866">MAX(INDEX('Relacion '!$X$5:$AM$493,MATCH(INDEX($B:$B, (ROW()-0)),'Relacion '!$E$5:$E$493,0),0))</f>
        <v>46182</v>
      </c>
      <c r="H866" s="235" t="e">
        <f>AVERAGE(H867:H874)</f>
        <v>#REF!</v>
      </c>
      <c r="I866" s="235">
        <f t="shared" ref="I866" ca="1" si="205">AVERAGE(I867:I874)</f>
        <v>0.75</v>
      </c>
      <c r="J866" s="236" t="str">
        <f>IF(ISNUMBER(SEARCH("Rocha", _xlfn.XLOOKUP(B866,'Relacion '!$E:$E,'Relacion '!$I:$I,""))), "Sí", "No")</f>
        <v>No</v>
      </c>
      <c r="K866" s="236" t="str">
        <f>IF(ISNUMBER(SEARCH("Rocha", _xlfn.XLOOKUP(B866,'Relacion '!$E:$E,'Relacion '!$I:$I,""))), "RMC", _xlfn.XLOOKUP(B866,'Relacion '!$E:$E,'Relacion '!$B:$B,""))</f>
        <v>Riesgos</v>
      </c>
      <c r="L866" s="236" t="str">
        <f>_xlfn.XLOOKUP(B866,'Relacion '!$E:$E,'Relacion '!$C:$C,"")</f>
        <v>Homero Sanchez</v>
      </c>
    </row>
    <row r="867" spans="2:12" outlineLevel="1">
      <c r="B867" s="237" t="s">
        <v>654</v>
      </c>
      <c r="C867" s="237" t="s">
        <v>654</v>
      </c>
      <c r="D867" s="238" t="str">
        <f>_xlfn.XLOOKUP(B867,'Relacion '!$E:$E,'Relacion '!$D:$D,"")</f>
        <v/>
      </c>
      <c r="E867" s="239">
        <f t="shared" si="198"/>
        <v>14</v>
      </c>
      <c r="F867" s="240" cm="1">
        <f t="array" ref="F867">MIN(INDEX('Relacion '!$X$5:$Y$493,MATCH(INDEX($B:$B, (ROW()-1)),'Relacion '!$E$5:$E$493,0),0))</f>
        <v>46024</v>
      </c>
      <c r="G867" s="240" cm="1">
        <f t="array" ref="G867">MAX(INDEX('Relacion '!$X$5:$Y$493,MATCH(INDEX($B:$B, (ROW()-1)),'Relacion '!$E$5:$E$493,0),0))</f>
        <v>46038</v>
      </c>
      <c r="H867" s="241" cm="1">
        <f t="array" ref="H867">IF(
 MATCH(B867,{"01. ASIGNACION AREA";"02. MAPEO";"03. DESARROLLO";"04. VALIDA US";"05. VOBO US";"06. BW-EJECUCION";"07. VALIDACIÓN BAJAWARE";"08. CERRADA"},0)
 &lt;
 MATCH(_xlfn.XLOOKUP(INDEX($B:$B, (ROW()-1)),'Relacion '!$E:$E,'Relacion '!$D:$D,""),{"01. ASIGNACION AREA";"02. MAPEO";"03. DESARROLLO";"04. VALIDA US";"05. VOBO US";"06. BW-EJECUCION";"07. VALIDACIÓN BAJAWARE";"08. CERRADA"},0),
 1,
 IF(
  MATCH(B867,{"01. ASIGNACION AREA";"02. MAPEO";"03. DESARROLLO";"04. VALIDA US";"05. VOBO US";"06. BW-EJECUCION";"07. VALIDACIÓN BAJAWARE";"08. CERRADA"},0)
  =
  MATCH(_xlfn.XLOOKUP(INDEX($B:$B, (ROW()-1)),'Relacion '!$E:$E,'Relacion '!$D:$D,""),{"01. ASIGNACION AREA";"02. MAPEO";"03. DESARROLLO";"04. VALIDA US";"05. VOBO US";"06. BW-EJECUCION";"07. VALIDACIÓN BAJAWARE";"08. CERRADA"},0),
  _xlfn.XLOOKUP(INDEX($B:$B, (ROW()-1)),'Relacion '!$E:$E,'Relacion '!#REF!,0),
  0
 )
)</f>
        <v>1</v>
      </c>
      <c r="I867" s="241">
        <f t="shared" ref="I867" ca="1" si="206">IF(G867&lt;=TODAY(), 1, 0)</f>
        <v>1</v>
      </c>
      <c r="J867" s="241"/>
      <c r="K867" s="241"/>
      <c r="L867" s="238"/>
    </row>
    <row r="868" spans="2:12" outlineLevel="1">
      <c r="B868" s="237" t="s">
        <v>195</v>
      </c>
      <c r="C868" s="237" t="s">
        <v>195</v>
      </c>
      <c r="D868" s="238" t="str">
        <f>_xlfn.XLOOKUP(B868,'Relacion '!$E:$E,'Relacion '!$D:$D,"")</f>
        <v/>
      </c>
      <c r="E868" s="239">
        <f t="shared" si="198"/>
        <v>86</v>
      </c>
      <c r="F868" s="240" cm="1">
        <f t="array" ref="F868">MIN(INDEX('Relacion '!$Z$5:$AA$493,MATCH(INDEX($B:$B, (ROW()-2)),'Relacion '!$E$5:$E$493,0),0))</f>
        <v>46041</v>
      </c>
      <c r="G868" s="240" cm="1">
        <f t="array" ref="G868">MAX(INDEX('Relacion '!$Z$5:$AA$493,MATCH(INDEX($B:$B, (ROW()-2)),'Relacion '!$E$5:$E$493,0),0))</f>
        <v>46127</v>
      </c>
      <c r="H868" s="241" t="e" cm="1">
        <f t="array" ref="H868">IF(
 MATCH(B868,{"01. ASIGNACION AREA";"02. MAPEO";"03. DESARROLLO";"04. VALIDA US";"05. VOBO US";"06. BW-EJECUCION";"07. VALIDACIÓN BAJAWARE";"08. CERRADA"},0)
 &lt;
 MATCH(_xlfn.XLOOKUP(INDEX($B:$B, (ROW()-2)),'Relacion '!$E:$E,'Relacion '!$D:$D,""),{"01. ASIGNACION AREA";"02. MAPEO";"03. DESARROLLO";"04. VALIDA US";"05. VOBO US";"06. BW-EJECUCION";"07. VALIDACIÓN BAJAWARE";"08. CERRADA"},0),
 1,
 IF(
  MATCH(B868,{"01. ASIGNACION AREA";"02. MAPEO";"03. DESARROLLO";"04. VALIDA US";"05. VOBO US";"06. BW-EJECUCION";"07. VALIDACIÓN BAJAWARE";"08. CERRADA"},0)
  =
  MATCH(_xlfn.XLOOKUP(INDEX($B:$B, (ROW()-2)),'Relacion '!$E:$E,'Relacion '!$D:$D,""),{"01. ASIGNACION AREA";"02. MAPEO";"03. DESARROLLO";"04. VALIDA US";"05. VOBO US";"06. BW-EJECUCION";"07. VALIDACIÓN BAJAWARE";"08. CERRADA"},0),
  _xlfn.XLOOKUP(INDEX($B:$B, (ROW()-2)),'Relacion '!$E:$E,'Relacion '!#REF!,0),
  0
 )
)</f>
        <v>#REF!</v>
      </c>
      <c r="I868" s="241">
        <f t="shared" ca="1" si="197"/>
        <v>1</v>
      </c>
      <c r="J868" s="241"/>
      <c r="K868" s="241"/>
      <c r="L868" s="238"/>
    </row>
    <row r="869" spans="2:12" outlineLevel="1">
      <c r="B869" s="237" t="s">
        <v>49</v>
      </c>
      <c r="C869" s="237" t="s">
        <v>49</v>
      </c>
      <c r="D869" s="238" t="str">
        <f>_xlfn.XLOOKUP(B869,'Relacion '!$E:$E,'Relacion '!$D:$D,"")</f>
        <v/>
      </c>
      <c r="E869" s="239">
        <f t="shared" si="198"/>
        <v>14</v>
      </c>
      <c r="F869" s="240" cm="1">
        <f t="array" ref="F869">MIN(INDEX('Relacion '!$AB$5:$AC$493,MATCH(INDEX($B:$B, (ROW()-3)),'Relacion '!$E$5:$E$493,0),0))</f>
        <v>46128</v>
      </c>
      <c r="G869" s="240" cm="1">
        <f t="array" ref="G869">MAX(INDEX('Relacion '!$AB$5:$AC$493,MATCH(INDEX($B:$B, (ROW()-3)),'Relacion '!$E$5:$E$493,0),0))</f>
        <v>46142</v>
      </c>
      <c r="H869" s="241" cm="1">
        <f t="array" ref="H869">IF(
 MATCH(B869,{"01. ASIGNACION AREA";"02. MAPEO";"03. DESARROLLO";"04. VALIDA US";"05. VOBO US";"06. BW-EJECUCION";"07. VALIDACIÓN BAJAWARE";"08. CERRADA"},0)
 &lt;
 MATCH(_xlfn.XLOOKUP(INDEX($B:$B, (ROW()-3)),'Relacion '!$E:$E,'Relacion '!$D:$D,""),{"01. ASIGNACION AREA";"02. MAPEO";"03. DESARROLLO";"04. VALIDA US";"05. VOBO US";"06. BW-EJECUCION";"07. VALIDACIÓN BAJAWARE";"08. CERRADA"},0),
 1,
 IF(
  MATCH(B869,{"01. ASIGNACION AREA";"02. MAPEO";"03. DESARROLLO";"04. VALIDA US";"05. VOBO US";"06. BW-EJECUCION";"07. VALIDACIÓN BAJAWARE";"08. CERRADA"},0)
  =
  MATCH(_xlfn.XLOOKUP(INDEX($B:$B, (ROW()-3)),'Relacion '!$E:$E,'Relacion '!$D:$D,""),{"01. ASIGNACION AREA";"02. MAPEO";"03. DESARROLLO";"04. VALIDA US";"05. VOBO US";"06. BW-EJECUCION";"07. VALIDACIÓN BAJAWARE";"08. CERRADA"},0),
  _xlfn.XLOOKUP(INDEX($B:$B, (ROW()-3)),'Relacion '!$E:$E,'Relacion '!#REF!,0),
  0
 )
)</f>
        <v>0</v>
      </c>
      <c r="I869" s="241">
        <f t="shared" ca="1" si="197"/>
        <v>1</v>
      </c>
      <c r="J869" s="241"/>
      <c r="K869" s="241"/>
      <c r="L869" s="238"/>
    </row>
    <row r="870" spans="2:12" outlineLevel="1">
      <c r="B870" s="237" t="s">
        <v>324</v>
      </c>
      <c r="C870" s="237" t="s">
        <v>324</v>
      </c>
      <c r="D870" s="238" t="str">
        <f>_xlfn.XLOOKUP(B870,'Relacion '!$E:$E,'Relacion '!$D:$D,"")</f>
        <v/>
      </c>
      <c r="E870" s="239">
        <f t="shared" si="198"/>
        <v>11</v>
      </c>
      <c r="F870" s="240" cm="1">
        <f t="array" ref="F870">MIN(INDEX('Relacion '!$AD$5:$AE$493,MATCH(INDEX($B:$B, (ROW()-4)),'Relacion '!$E$5:$E$493,0),0))</f>
        <v>46146</v>
      </c>
      <c r="G870" s="240" cm="1">
        <f t="array" ref="G870">MAX(INDEX('Relacion '!$AD$5:$AE$493,MATCH(INDEX($B:$B, (ROW()-4)),'Relacion '!$E$5:$E$493,0),0))</f>
        <v>46157</v>
      </c>
      <c r="H870" s="241" cm="1">
        <f t="array" ref="H870">IF(
 MATCH(B870,{"01. ASIGNACION AREA";"02. MAPEO";"03. DESARROLLO";"04. VALIDA US";"05. VOBO US";"06. BW-EJECUCION";"07. VALIDACIÓN BAJAWARE";"08. CERRADA"},0)
 &lt;
 MATCH(_xlfn.XLOOKUP(INDEX($B:$B, (ROW()-4)),'Relacion '!$E:$E,'Relacion '!$D:$D,""),{"01. ASIGNACION AREA";"02. MAPEO";"03. DESARROLLO";"04. VALIDA US";"05. VOBO US";"06. BW-EJECUCION";"07. VALIDACIÓN BAJAWARE";"08. CERRADA"},0),
 1,
 IF(
  MATCH(B870,{"01. ASIGNACION AREA";"02. MAPEO";"03. DESARROLLO";"04. VALIDA US";"05. VOBO US";"06. BW-EJECUCION";"07. VALIDACIÓN BAJAWARE";"08. CERRADA"},0)
  =
  MATCH(_xlfn.XLOOKUP(INDEX($B:$B, (ROW()-4)),'Relacion '!$E:$E,'Relacion '!$D:$D,""),{"01. ASIGNACION AREA";"02. MAPEO";"03. DESARROLLO";"04. VALIDA US";"05. VOBO US";"06. BW-EJECUCION";"07. VALIDACIÓN BAJAWARE";"08. CERRADA"},0),
  _xlfn.XLOOKUP(INDEX($B:$B, (ROW()-4)),'Relacion '!$E:$E,'Relacion '!#REF!,0),
  0
 )
)</f>
        <v>0</v>
      </c>
      <c r="I870" s="241">
        <f t="shared" ca="1" si="197"/>
        <v>1</v>
      </c>
      <c r="J870" s="241"/>
      <c r="K870" s="241"/>
      <c r="L870" s="238"/>
    </row>
    <row r="871" spans="2:12" outlineLevel="1">
      <c r="B871" s="237" t="s">
        <v>320</v>
      </c>
      <c r="C871" s="237" t="s">
        <v>320</v>
      </c>
      <c r="D871" s="238" t="str">
        <f>_xlfn.XLOOKUP(B871,'Relacion '!$E:$E,'Relacion '!$D:$D,"")</f>
        <v/>
      </c>
      <c r="E871" s="239">
        <f t="shared" si="198"/>
        <v>3</v>
      </c>
      <c r="F871" s="240" cm="1">
        <f t="array" ref="F871">MIN(INDEX('Relacion '!$AF$5:$AG$493,MATCH(INDEX($B:$B, (ROW()-5)),'Relacion '!$E$5:$E$493,0),0))</f>
        <v>46157</v>
      </c>
      <c r="G871" s="240" cm="1">
        <f t="array" ref="G871">MAX(INDEX('Relacion '!$AF$5:$AG$493,MATCH(INDEX($B:$B, (ROW()-5)),'Relacion '!$E$5:$E$493,0),0))</f>
        <v>46160</v>
      </c>
      <c r="H871" s="241" cm="1">
        <f t="array" ref="H871">IF(
 MATCH(B871,{"01. ASIGNACION AREA";"02. MAPEO";"03. DESARROLLO";"04. VALIDA US";"05. VOBO US";"06. BW-EJECUCION";"07. VALIDACIÓN BAJAWARE";"08. CERRADA"},0)
 &lt;
 MATCH(_xlfn.XLOOKUP(INDEX($B:$B, (ROW()-5)),'Relacion '!$E:$E,'Relacion '!$D:$D,""),{"01. ASIGNACION AREA";"02. MAPEO";"03. DESARROLLO";"04. VALIDA US";"05. VOBO US";"06. BW-EJECUCION";"07. VALIDACIÓN BAJAWARE";"08. CERRADA"},0),
 1,
 IF(
  MATCH(B871,{"01. ASIGNACION AREA";"02. MAPEO";"03. DESARROLLO";"04. VALIDA US";"05. VOBO US";"06. BW-EJECUCION";"07. VALIDACIÓN BAJAWARE";"08. CERRADA"},0)
  =
  MATCH(_xlfn.XLOOKUP(INDEX($B:$B, (ROW()-5)),'Relacion '!$E:$E,'Relacion '!$D:$D,""),{"01. ASIGNACION AREA";"02. MAPEO";"03. DESARROLLO";"04. VALIDA US";"05. VOBO US";"06. BW-EJECUCION";"07. VALIDACIÓN BAJAWARE";"08. CERRADA"},0),
  _xlfn.XLOOKUP(INDEX($B:$B, (ROW()-5)),'Relacion '!$E:$E,'Relacion '!#REF!,0),
  0
 )
)</f>
        <v>0</v>
      </c>
      <c r="I871" s="241">
        <f t="shared" ca="1" si="197"/>
        <v>1</v>
      </c>
      <c r="J871" s="241"/>
      <c r="K871" s="241"/>
      <c r="L871" s="238"/>
    </row>
    <row r="872" spans="2:12" outlineLevel="1">
      <c r="B872" s="237" t="s">
        <v>710</v>
      </c>
      <c r="C872" s="237" t="s">
        <v>710</v>
      </c>
      <c r="D872" s="238" t="str">
        <f>_xlfn.XLOOKUP(B872,'Relacion '!$E:$E,'Relacion '!$D:$D,"")</f>
        <v/>
      </c>
      <c r="E872" s="239">
        <f t="shared" si="198"/>
        <v>2</v>
      </c>
      <c r="F872" s="240" cm="1">
        <f t="array" ref="F872">MIN(INDEX('Relacion '!$AH$5:$AI$493,MATCH(INDEX($B:$B, (ROW()-6)),'Relacion '!$E$5:$E$493,0),0))</f>
        <v>46161</v>
      </c>
      <c r="G872" s="240" cm="1">
        <f t="array" ref="G872">MAX(INDEX('Relacion '!$AH$5:$AI$493,MATCH(INDEX($B:$B, (ROW()-6)),'Relacion '!$E$5:$E$493,0),0))</f>
        <v>46163</v>
      </c>
      <c r="H872" s="241" cm="1">
        <f t="array" ref="H872">IF(
 MATCH(B872,{"01. ASIGNACION AREA";"02. MAPEO";"03. DESARROLLO";"04. VALIDA US";"05. VOBO US";"06. BW-EJECUCION";"07. VALIDACIÓN BAJAWARE";"08. CERRADA"},0)
 &lt;
 MATCH(_xlfn.XLOOKUP(INDEX($B:$B, (ROW()-6)),'Relacion '!$E:$E,'Relacion '!$D:$D,""),{"01. ASIGNACION AREA";"02. MAPEO";"03. DESARROLLO";"04. VALIDA US";"05. VOBO US";"06. BW-EJECUCION";"07. VALIDACIÓN BAJAWARE";"08. CERRADA"},0),
 1,
 IF(
  MATCH(B872,{"01. ASIGNACION AREA";"02. MAPEO";"03. DESARROLLO";"04. VALIDA US";"05. VOBO US";"06. BW-EJECUCION";"07. VALIDACIÓN BAJAWARE";"08. CERRADA"},0)
  =
  MATCH(_xlfn.XLOOKUP(INDEX($B:$B, (ROW()-6)),'Relacion '!$E:$E,'Relacion '!$D:$D,""),{"01. ASIGNACION AREA";"02. MAPEO";"03. DESARROLLO";"04. VALIDA US";"05. VOBO US";"06. BW-EJECUCION";"07. VALIDACIÓN BAJAWARE";"08. CERRADA"},0),
  _xlfn.XLOOKUP(INDEX($B:$B, (ROW()-6)),'Relacion '!$E:$E,'Relacion '!#REF!,0),
  0
 )
)</f>
        <v>0</v>
      </c>
      <c r="I872" s="241">
        <f t="shared" ca="1" si="197"/>
        <v>1</v>
      </c>
      <c r="J872" s="241"/>
      <c r="K872" s="241"/>
      <c r="L872" s="238"/>
    </row>
    <row r="873" spans="2:12" outlineLevel="1">
      <c r="B873" s="237" t="s">
        <v>655</v>
      </c>
      <c r="C873" s="237" t="s">
        <v>655</v>
      </c>
      <c r="D873" s="238" t="str">
        <f>_xlfn.XLOOKUP(B873,'Relacion '!$E:$E,'Relacion '!$D:$D,"")</f>
        <v/>
      </c>
      <c r="E873" s="239">
        <f t="shared" si="198"/>
        <v>14</v>
      </c>
      <c r="F873" s="240" cm="1">
        <f t="array" ref="F873">MIN(INDEX('Relacion '!$AJ$5:$AK$493,MATCH(INDEX($B:$B, (ROW()-7)),'Relacion '!$E$5:$E$493,0),0))</f>
        <v>46164</v>
      </c>
      <c r="G873" s="240" cm="1">
        <f t="array" ref="G873">MAX(INDEX('Relacion '!$AJ$5:$AK$493,MATCH(INDEX($B:$B, (ROW()-7)),'Relacion '!$E$5:$E$493,0),0))</f>
        <v>46178</v>
      </c>
      <c r="H873" s="241" cm="1">
        <f t="array" ref="H873">IF(
 MATCH(B873,{"01. ASIGNACION AREA";"02. MAPEO";"03. DESARROLLO";"04. VALIDA US";"05. VOBO US";"06. BW-EJECUCION";"07. VALIDACIÓN BAJAWARE";"08. CERRADA"},0)
 &lt;
 MATCH(_xlfn.XLOOKUP(INDEX($B:$B, (ROW()-7)),'Relacion '!$E:$E,'Relacion '!$D:$D,""),{"01. ASIGNACION AREA";"02. MAPEO";"03. DESARROLLO";"04. VALIDA US";"05. VOBO US";"06. BW-EJECUCION";"07. VALIDACIÓN BAJAWARE";"08. CERRADA"},0),
 1,
 IF(
  MATCH(B873,{"01. ASIGNACION AREA";"02. MAPEO";"03. DESARROLLO";"04. VALIDA US";"05. VOBO US";"06. BW-EJECUCION";"07. VALIDACIÓN BAJAWARE";"08. CERRADA"},0)
  =
  MATCH(_xlfn.XLOOKUP(INDEX($B:$B, (ROW()-7)),'Relacion '!$E:$E,'Relacion '!$D:$D,""),{"01. ASIGNACION AREA";"02. MAPEO";"03. DESARROLLO";"04. VALIDA US";"05. VOBO US";"06. BW-EJECUCION";"07. VALIDACIÓN BAJAWARE";"08. CERRADA"},0),
  _xlfn.XLOOKUP(INDEX($B:$B, (ROW()-7)),'Relacion '!$E:$E,'Relacion '!#REF!,0),
  0
 )
)</f>
        <v>0</v>
      </c>
      <c r="I873" s="241">
        <f t="shared" ca="1" si="197"/>
        <v>0</v>
      </c>
      <c r="J873" s="241"/>
      <c r="K873" s="241"/>
      <c r="L873" s="238"/>
    </row>
    <row r="874" spans="2:12" outlineLevel="1">
      <c r="B874" s="237" t="s">
        <v>656</v>
      </c>
      <c r="C874" s="237" t="s">
        <v>656</v>
      </c>
      <c r="D874" s="238" t="str">
        <f>_xlfn.XLOOKUP(B874,'Relacion '!$E:$E,'Relacion '!$D:$D,"")</f>
        <v/>
      </c>
      <c r="E874" s="239">
        <f t="shared" si="198"/>
        <v>1</v>
      </c>
      <c r="F874" s="240" cm="1">
        <f t="array" ref="F874">MIN(INDEX('Relacion '!$AL$5:$AM$493,MATCH(INDEX($B:$B, (ROW()-8)),'Relacion '!$E$5:$E$493,0),0))</f>
        <v>46181</v>
      </c>
      <c r="G874" s="240" cm="1">
        <f t="array" ref="G874">MAX(INDEX('Relacion '!$AL$5:$AM$493,MATCH(INDEX($B:$B, (ROW()-8)),'Relacion '!$E$5:$E$493,0),0))</f>
        <v>46182</v>
      </c>
      <c r="H874" s="241" cm="1">
        <f t="array" ref="H874">IF(
 MATCH(B874,{"01. ASIGNACION AREA";"02. MAPEO";"03. DESARROLLO";"04. VALIDA US";"05. VOBO US";"06. BW-EJECUCION";"07. VALIDACIÓN BAJAWARE";"08. CERRADA"},0)
 &lt;
 MATCH(_xlfn.XLOOKUP(INDEX($B:$B, (ROW()-8)),'Relacion '!$E:$E,'Relacion '!$D:$D,""),{"01. ASIGNACION AREA";"02. MAPEO";"03. DESARROLLO";"04. VALIDA US";"05. VOBO US";"06. BW-EJECUCION";"07. VALIDACIÓN BAJAWARE";"08. CERRADA"},0),
 1,
 IF(
  MATCH(B874,{"01. ASIGNACION AREA";"02. MAPEO";"03. DESARROLLO";"04. VALIDA US";"05. VOBO US";"06. BW-EJECUCION";"07. VALIDACIÓN BAJAWARE";"08. CERRADA"},0)
  =
  MATCH(_xlfn.XLOOKUP(INDEX($B:$B, (ROW()-8)),'Relacion '!$E:$E,'Relacion '!$D:$D,""),{"01. ASIGNACION AREA";"02. MAPEO";"03. DESARROLLO";"04. VALIDA US";"05. VOBO US";"06. BW-EJECUCION";"07. VALIDACIÓN BAJAWARE";"08. CERRADA"},0),
  _xlfn.XLOOKUP(INDEX($B:$B, (ROW()-8)),'Relacion '!$E:$E,'Relacion '!#REF!,0),
  0
 )
)</f>
        <v>0</v>
      </c>
      <c r="I874" s="241">
        <f t="shared" ca="1" si="197"/>
        <v>0</v>
      </c>
      <c r="J874" s="241"/>
      <c r="K874" s="241"/>
      <c r="L874" s="238"/>
    </row>
    <row r="875" spans="2:12">
      <c r="B875" s="232" t="s">
        <v>224</v>
      </c>
      <c r="C875" s="137" t="s">
        <v>197</v>
      </c>
      <c r="D875" s="236" t="str">
        <f>_xlfn.XLOOKUP(B875,'Relacion '!$E:$E,'Relacion '!$D:$D,"")</f>
        <v>02. MAPEO</v>
      </c>
      <c r="E875" s="233">
        <f t="shared" si="198"/>
        <v>172</v>
      </c>
      <c r="F875" s="234" cm="1">
        <f t="array" ref="F875">MIN(INDEX('Relacion '!$X$5:$AM$493,MATCH(INDEX($B:$B, (ROW()-0)),'Relacion '!$E$5:$E$493,0),0))</f>
        <v>46024</v>
      </c>
      <c r="G875" s="234" cm="1">
        <f t="array" ref="G875">MAX(INDEX('Relacion '!$X$5:$AM$493,MATCH(INDEX($B:$B, (ROW()-0)),'Relacion '!$E$5:$E$493,0),0))</f>
        <v>46196</v>
      </c>
      <c r="H875" s="235" t="e">
        <f>AVERAGE(H876:H883)</f>
        <v>#REF!</v>
      </c>
      <c r="I875" s="235">
        <f t="shared" ref="I875" ca="1" si="207">AVERAGE(I876:I883)</f>
        <v>0.375</v>
      </c>
      <c r="J875" s="236" t="str">
        <f>IF(ISNUMBER(SEARCH("Rocha", _xlfn.XLOOKUP(B875,'Relacion '!$E:$E,'Relacion '!$I:$I,""))), "Sí", "No")</f>
        <v>No</v>
      </c>
      <c r="K875" s="236" t="str">
        <f>IF(ISNUMBER(SEARCH("Rocha", _xlfn.XLOOKUP(B875,'Relacion '!$E:$E,'Relacion '!$I:$I,""))), "RMC", _xlfn.XLOOKUP(B875,'Relacion '!$E:$E,'Relacion '!$B:$B,""))</f>
        <v>Tesorería </v>
      </c>
      <c r="L875" s="236" t="str">
        <f>_xlfn.XLOOKUP(B875,'Relacion '!$E:$E,'Relacion '!$C:$C,"")</f>
        <v>Eduardo Cabral</v>
      </c>
    </row>
    <row r="876" spans="2:12" outlineLevel="1">
      <c r="B876" s="237" t="s">
        <v>654</v>
      </c>
      <c r="C876" s="237" t="s">
        <v>654</v>
      </c>
      <c r="D876" s="238" t="str">
        <f>_xlfn.XLOOKUP(B876,'Relacion '!$E:$E,'Relacion '!$D:$D,"")</f>
        <v/>
      </c>
      <c r="E876" s="239">
        <f t="shared" si="198"/>
        <v>59</v>
      </c>
      <c r="F876" s="240" cm="1">
        <f t="array" ref="F876">MIN(INDEX('Relacion '!$X$5:$Y$493,MATCH(INDEX($B:$B, (ROW()-1)),'Relacion '!$E$5:$E$493,0),0))</f>
        <v>46024</v>
      </c>
      <c r="G876" s="240" cm="1">
        <f t="array" ref="G876">MAX(INDEX('Relacion '!$X$5:$Y$493,MATCH(INDEX($B:$B, (ROW()-1)),'Relacion '!$E$5:$E$493,0),0))</f>
        <v>46083</v>
      </c>
      <c r="H876" s="241" cm="1">
        <f t="array" ref="H876">IF(
 MATCH(B876,{"01. ASIGNACION AREA";"02. MAPEO";"03. DESARROLLO";"04. VALIDA US";"05. VOBO US";"06. BW-EJECUCION";"07. VALIDACIÓN BAJAWARE";"08. CERRADA"},0)
 &lt;
 MATCH(_xlfn.XLOOKUP(INDEX($B:$B, (ROW()-1)),'Relacion '!$E:$E,'Relacion '!$D:$D,""),{"01. ASIGNACION AREA";"02. MAPEO";"03. DESARROLLO";"04. VALIDA US";"05. VOBO US";"06. BW-EJECUCION";"07. VALIDACIÓN BAJAWARE";"08. CERRADA"},0),
 1,
 IF(
  MATCH(B876,{"01. ASIGNACION AREA";"02. MAPEO";"03. DESARROLLO";"04. VALIDA US";"05. VOBO US";"06. BW-EJECUCION";"07. VALIDACIÓN BAJAWARE";"08. CERRADA"},0)
  =
  MATCH(_xlfn.XLOOKUP(INDEX($B:$B, (ROW()-1)),'Relacion '!$E:$E,'Relacion '!$D:$D,""),{"01. ASIGNACION AREA";"02. MAPEO";"03. DESARROLLO";"04. VALIDA US";"05. VOBO US";"06. BW-EJECUCION";"07. VALIDACIÓN BAJAWARE";"08. CERRADA"},0),
  _xlfn.XLOOKUP(INDEX($B:$B, (ROW()-1)),'Relacion '!$E:$E,'Relacion '!#REF!,0),
  0
 )
)</f>
        <v>1</v>
      </c>
      <c r="I876" s="241">
        <f t="shared" ref="I876" ca="1" si="208">IF(G876&lt;=TODAY(), 1, 0)</f>
        <v>1</v>
      </c>
      <c r="J876" s="241"/>
      <c r="K876" s="241"/>
      <c r="L876" s="238"/>
    </row>
    <row r="877" spans="2:12" outlineLevel="1">
      <c r="B877" s="237" t="s">
        <v>195</v>
      </c>
      <c r="C877" s="237" t="s">
        <v>195</v>
      </c>
      <c r="D877" s="238" t="str">
        <f>_xlfn.XLOOKUP(B877,'Relacion '!$E:$E,'Relacion '!$D:$D,"")</f>
        <v/>
      </c>
      <c r="E877" s="239">
        <f t="shared" si="198"/>
        <v>80</v>
      </c>
      <c r="F877" s="240" cm="1">
        <f t="array" ref="F877">MIN(INDEX('Relacion '!$Z$5:$AA$493,MATCH(INDEX($B:$B, (ROW()-2)),'Relacion '!$E$5:$E$493,0),0))</f>
        <v>46056</v>
      </c>
      <c r="G877" s="240" cm="1">
        <f t="array" ref="G877">MAX(INDEX('Relacion '!$Z$5:$AA$493,MATCH(INDEX($B:$B, (ROW()-2)),'Relacion '!$E$5:$E$493,0),0))</f>
        <v>46136</v>
      </c>
      <c r="H877" s="241" t="e" cm="1">
        <f t="array" ref="H877">IF(
 MATCH(B877,{"01. ASIGNACION AREA";"02. MAPEO";"03. DESARROLLO";"04. VALIDA US";"05. VOBO US";"06. BW-EJECUCION";"07. VALIDACIÓN BAJAWARE";"08. CERRADA"},0)
 &lt;
 MATCH(_xlfn.XLOOKUP(INDEX($B:$B, (ROW()-2)),'Relacion '!$E:$E,'Relacion '!$D:$D,""),{"01. ASIGNACION AREA";"02. MAPEO";"03. DESARROLLO";"04. VALIDA US";"05. VOBO US";"06. BW-EJECUCION";"07. VALIDACIÓN BAJAWARE";"08. CERRADA"},0),
 1,
 IF(
  MATCH(B877,{"01. ASIGNACION AREA";"02. MAPEO";"03. DESARROLLO";"04. VALIDA US";"05. VOBO US";"06. BW-EJECUCION";"07. VALIDACIÓN BAJAWARE";"08. CERRADA"},0)
  =
  MATCH(_xlfn.XLOOKUP(INDEX($B:$B, (ROW()-2)),'Relacion '!$E:$E,'Relacion '!$D:$D,""),{"01. ASIGNACION AREA";"02. MAPEO";"03. DESARROLLO";"04. VALIDA US";"05. VOBO US";"06. BW-EJECUCION";"07. VALIDACIÓN BAJAWARE";"08. CERRADA"},0),
  _xlfn.XLOOKUP(INDEX($B:$B, (ROW()-2)),'Relacion '!$E:$E,'Relacion '!#REF!,0),
  0
 )
)</f>
        <v>#REF!</v>
      </c>
      <c r="I877" s="241">
        <f t="shared" ca="1" si="197"/>
        <v>1</v>
      </c>
      <c r="J877" s="241"/>
      <c r="K877" s="241"/>
      <c r="L877" s="238"/>
    </row>
    <row r="878" spans="2:12" outlineLevel="1">
      <c r="B878" s="237" t="s">
        <v>49</v>
      </c>
      <c r="C878" s="237" t="s">
        <v>49</v>
      </c>
      <c r="D878" s="238" t="str">
        <f>_xlfn.XLOOKUP(B878,'Relacion '!$E:$E,'Relacion '!$D:$D,"")</f>
        <v/>
      </c>
      <c r="E878" s="239">
        <f t="shared" si="198"/>
        <v>18</v>
      </c>
      <c r="F878" s="240" cm="1">
        <f t="array" ref="F878">MIN(INDEX('Relacion '!$AB$5:$AC$493,MATCH(INDEX($B:$B, (ROW()-3)),'Relacion '!$E$5:$E$493,0),0))</f>
        <v>46139</v>
      </c>
      <c r="G878" s="240" cm="1">
        <f t="array" ref="G878">MAX(INDEX('Relacion '!$AB$5:$AC$493,MATCH(INDEX($B:$B, (ROW()-3)),'Relacion '!$E$5:$E$493,0),0))</f>
        <v>46157</v>
      </c>
      <c r="H878" s="241" cm="1">
        <f t="array" ref="H878">IF(
 MATCH(B878,{"01. ASIGNACION AREA";"02. MAPEO";"03. DESARROLLO";"04. VALIDA US";"05. VOBO US";"06. BW-EJECUCION";"07. VALIDACIÓN BAJAWARE";"08. CERRADA"},0)
 &lt;
 MATCH(_xlfn.XLOOKUP(INDEX($B:$B, (ROW()-3)),'Relacion '!$E:$E,'Relacion '!$D:$D,""),{"01. ASIGNACION AREA";"02. MAPEO";"03. DESARROLLO";"04. VALIDA US";"05. VOBO US";"06. BW-EJECUCION";"07. VALIDACIÓN BAJAWARE";"08. CERRADA"},0),
 1,
 IF(
  MATCH(B878,{"01. ASIGNACION AREA";"02. MAPEO";"03. DESARROLLO";"04. VALIDA US";"05. VOBO US";"06. BW-EJECUCION";"07. VALIDACIÓN BAJAWARE";"08. CERRADA"},0)
  =
  MATCH(_xlfn.XLOOKUP(INDEX($B:$B, (ROW()-3)),'Relacion '!$E:$E,'Relacion '!$D:$D,""),{"01. ASIGNACION AREA";"02. MAPEO";"03. DESARROLLO";"04. VALIDA US";"05. VOBO US";"06. BW-EJECUCION";"07. VALIDACIÓN BAJAWARE";"08. CERRADA"},0),
  _xlfn.XLOOKUP(INDEX($B:$B, (ROW()-3)),'Relacion '!$E:$E,'Relacion '!#REF!,0),
  0
 )
)</f>
        <v>0</v>
      </c>
      <c r="I878" s="241">
        <f t="shared" ca="1" si="197"/>
        <v>1</v>
      </c>
      <c r="J878" s="241"/>
      <c r="K878" s="241"/>
      <c r="L878" s="238"/>
    </row>
    <row r="879" spans="2:12" outlineLevel="1">
      <c r="B879" s="237" t="s">
        <v>324</v>
      </c>
      <c r="C879" s="237" t="s">
        <v>324</v>
      </c>
      <c r="D879" s="238" t="str">
        <f>_xlfn.XLOOKUP(B879,'Relacion '!$E:$E,'Relacion '!$D:$D,"")</f>
        <v/>
      </c>
      <c r="E879" s="239">
        <f t="shared" si="198"/>
        <v>11</v>
      </c>
      <c r="F879" s="240" cm="1">
        <f t="array" ref="F879">MIN(INDEX('Relacion '!$AD$5:$AE$493,MATCH(INDEX($B:$B, (ROW()-4)),'Relacion '!$E$5:$E$493,0),0))</f>
        <v>46160</v>
      </c>
      <c r="G879" s="240" cm="1">
        <f t="array" ref="G879">MAX(INDEX('Relacion '!$AD$5:$AE$493,MATCH(INDEX($B:$B, (ROW()-4)),'Relacion '!$E$5:$E$493,0),0))</f>
        <v>46171</v>
      </c>
      <c r="H879" s="241" cm="1">
        <f t="array" ref="H879">IF(
 MATCH(B879,{"01. ASIGNACION AREA";"02. MAPEO";"03. DESARROLLO";"04. VALIDA US";"05. VOBO US";"06. BW-EJECUCION";"07. VALIDACIÓN BAJAWARE";"08. CERRADA"},0)
 &lt;
 MATCH(_xlfn.XLOOKUP(INDEX($B:$B, (ROW()-4)),'Relacion '!$E:$E,'Relacion '!$D:$D,""),{"01. ASIGNACION AREA";"02. MAPEO";"03. DESARROLLO";"04. VALIDA US";"05. VOBO US";"06. BW-EJECUCION";"07. VALIDACIÓN BAJAWARE";"08. CERRADA"},0),
 1,
 IF(
  MATCH(B879,{"01. ASIGNACION AREA";"02. MAPEO";"03. DESARROLLO";"04. VALIDA US";"05. VOBO US";"06. BW-EJECUCION";"07. VALIDACIÓN BAJAWARE";"08. CERRADA"},0)
  =
  MATCH(_xlfn.XLOOKUP(INDEX($B:$B, (ROW()-4)),'Relacion '!$E:$E,'Relacion '!$D:$D,""),{"01. ASIGNACION AREA";"02. MAPEO";"03. DESARROLLO";"04. VALIDA US";"05. VOBO US";"06. BW-EJECUCION";"07. VALIDACIÓN BAJAWARE";"08. CERRADA"},0),
  _xlfn.XLOOKUP(INDEX($B:$B, (ROW()-4)),'Relacion '!$E:$E,'Relacion '!#REF!,0),
  0
 )
)</f>
        <v>0</v>
      </c>
      <c r="I879" s="241">
        <f t="shared" ca="1" si="197"/>
        <v>0</v>
      </c>
      <c r="J879" s="241"/>
      <c r="K879" s="241"/>
      <c r="L879" s="238"/>
    </row>
    <row r="880" spans="2:12" outlineLevel="1">
      <c r="B880" s="237" t="s">
        <v>320</v>
      </c>
      <c r="C880" s="237" t="s">
        <v>320</v>
      </c>
      <c r="D880" s="238" t="str">
        <f>_xlfn.XLOOKUP(B880,'Relacion '!$E:$E,'Relacion '!$D:$D,"")</f>
        <v/>
      </c>
      <c r="E880" s="239">
        <f t="shared" si="198"/>
        <v>3</v>
      </c>
      <c r="F880" s="240" cm="1">
        <f t="array" ref="F880">MIN(INDEX('Relacion '!$AF$5:$AG$493,MATCH(INDEX($B:$B, (ROW()-5)),'Relacion '!$E$5:$E$493,0),0))</f>
        <v>46171</v>
      </c>
      <c r="G880" s="240" cm="1">
        <f t="array" ref="G880">MAX(INDEX('Relacion '!$AF$5:$AG$493,MATCH(INDEX($B:$B, (ROW()-5)),'Relacion '!$E$5:$E$493,0),0))</f>
        <v>46174</v>
      </c>
      <c r="H880" s="241" cm="1">
        <f t="array" ref="H880">IF(
 MATCH(B880,{"01. ASIGNACION AREA";"02. MAPEO";"03. DESARROLLO";"04. VALIDA US";"05. VOBO US";"06. BW-EJECUCION";"07. VALIDACIÓN BAJAWARE";"08. CERRADA"},0)
 &lt;
 MATCH(_xlfn.XLOOKUP(INDEX($B:$B, (ROW()-5)),'Relacion '!$E:$E,'Relacion '!$D:$D,""),{"01. ASIGNACION AREA";"02. MAPEO";"03. DESARROLLO";"04. VALIDA US";"05. VOBO US";"06. BW-EJECUCION";"07. VALIDACIÓN BAJAWARE";"08. CERRADA"},0),
 1,
 IF(
  MATCH(B880,{"01. ASIGNACION AREA";"02. MAPEO";"03. DESARROLLO";"04. VALIDA US";"05. VOBO US";"06. BW-EJECUCION";"07. VALIDACIÓN BAJAWARE";"08. CERRADA"},0)
  =
  MATCH(_xlfn.XLOOKUP(INDEX($B:$B, (ROW()-5)),'Relacion '!$E:$E,'Relacion '!$D:$D,""),{"01. ASIGNACION AREA";"02. MAPEO";"03. DESARROLLO";"04. VALIDA US";"05. VOBO US";"06. BW-EJECUCION";"07. VALIDACIÓN BAJAWARE";"08. CERRADA"},0),
  _xlfn.XLOOKUP(INDEX($B:$B, (ROW()-5)),'Relacion '!$E:$E,'Relacion '!#REF!,0),
  0
 )
)</f>
        <v>0</v>
      </c>
      <c r="I880" s="241">
        <f t="shared" ca="1" si="197"/>
        <v>0</v>
      </c>
      <c r="J880" s="241"/>
      <c r="K880" s="241"/>
      <c r="L880" s="238"/>
    </row>
    <row r="881" spans="2:12" outlineLevel="1">
      <c r="B881" s="237" t="s">
        <v>710</v>
      </c>
      <c r="C881" s="237" t="s">
        <v>710</v>
      </c>
      <c r="D881" s="238" t="str">
        <f>_xlfn.XLOOKUP(B881,'Relacion '!$E:$E,'Relacion '!$D:$D,"")</f>
        <v/>
      </c>
      <c r="E881" s="239">
        <f t="shared" si="198"/>
        <v>2</v>
      </c>
      <c r="F881" s="240" cm="1">
        <f t="array" ref="F881">MIN(INDEX('Relacion '!$AH$5:$AI$493,MATCH(INDEX($B:$B, (ROW()-6)),'Relacion '!$E$5:$E$493,0),0))</f>
        <v>46175</v>
      </c>
      <c r="G881" s="240" cm="1">
        <f t="array" ref="G881">MAX(INDEX('Relacion '!$AH$5:$AI$493,MATCH(INDEX($B:$B, (ROW()-6)),'Relacion '!$E$5:$E$493,0),0))</f>
        <v>46177</v>
      </c>
      <c r="H881" s="241" cm="1">
        <f t="array" ref="H881">IF(
 MATCH(B881,{"01. ASIGNACION AREA";"02. MAPEO";"03. DESARROLLO";"04. VALIDA US";"05. VOBO US";"06. BW-EJECUCION";"07. VALIDACIÓN BAJAWARE";"08. CERRADA"},0)
 &lt;
 MATCH(_xlfn.XLOOKUP(INDEX($B:$B, (ROW()-6)),'Relacion '!$E:$E,'Relacion '!$D:$D,""),{"01. ASIGNACION AREA";"02. MAPEO";"03. DESARROLLO";"04. VALIDA US";"05. VOBO US";"06. BW-EJECUCION";"07. VALIDACIÓN BAJAWARE";"08. CERRADA"},0),
 1,
 IF(
  MATCH(B881,{"01. ASIGNACION AREA";"02. MAPEO";"03. DESARROLLO";"04. VALIDA US";"05. VOBO US";"06. BW-EJECUCION";"07. VALIDACIÓN BAJAWARE";"08. CERRADA"},0)
  =
  MATCH(_xlfn.XLOOKUP(INDEX($B:$B, (ROW()-6)),'Relacion '!$E:$E,'Relacion '!$D:$D,""),{"01. ASIGNACION AREA";"02. MAPEO";"03. DESARROLLO";"04. VALIDA US";"05. VOBO US";"06. BW-EJECUCION";"07. VALIDACIÓN BAJAWARE";"08. CERRADA"},0),
  _xlfn.XLOOKUP(INDEX($B:$B, (ROW()-6)),'Relacion '!$E:$E,'Relacion '!#REF!,0),
  0
 )
)</f>
        <v>0</v>
      </c>
      <c r="I881" s="241">
        <f t="shared" ca="1" si="197"/>
        <v>0</v>
      </c>
      <c r="J881" s="241"/>
      <c r="K881" s="241"/>
      <c r="L881" s="238"/>
    </row>
    <row r="882" spans="2:12" outlineLevel="1">
      <c r="B882" s="237" t="s">
        <v>655</v>
      </c>
      <c r="C882" s="237" t="s">
        <v>655</v>
      </c>
      <c r="D882" s="238" t="str">
        <f>_xlfn.XLOOKUP(B882,'Relacion '!$E:$E,'Relacion '!$D:$D,"")</f>
        <v/>
      </c>
      <c r="E882" s="239">
        <f t="shared" si="198"/>
        <v>14</v>
      </c>
      <c r="F882" s="240" cm="1">
        <f t="array" ref="F882">MIN(INDEX('Relacion '!$AJ$5:$AK$493,MATCH(INDEX($B:$B, (ROW()-7)),'Relacion '!$E$5:$E$493,0),0))</f>
        <v>46178</v>
      </c>
      <c r="G882" s="240" cm="1">
        <f t="array" ref="G882">MAX(INDEX('Relacion '!$AJ$5:$AK$493,MATCH(INDEX($B:$B, (ROW()-7)),'Relacion '!$E$5:$E$493,0),0))</f>
        <v>46192</v>
      </c>
      <c r="H882" s="241" cm="1">
        <f t="array" ref="H882">IF(
 MATCH(B882,{"01. ASIGNACION AREA";"02. MAPEO";"03. DESARROLLO";"04. VALIDA US";"05. VOBO US";"06. BW-EJECUCION";"07. VALIDACIÓN BAJAWARE";"08. CERRADA"},0)
 &lt;
 MATCH(_xlfn.XLOOKUP(INDEX($B:$B, (ROW()-7)),'Relacion '!$E:$E,'Relacion '!$D:$D,""),{"01. ASIGNACION AREA";"02. MAPEO";"03. DESARROLLO";"04. VALIDA US";"05. VOBO US";"06. BW-EJECUCION";"07. VALIDACIÓN BAJAWARE";"08. CERRADA"},0),
 1,
 IF(
  MATCH(B882,{"01. ASIGNACION AREA";"02. MAPEO";"03. DESARROLLO";"04. VALIDA US";"05. VOBO US";"06. BW-EJECUCION";"07. VALIDACIÓN BAJAWARE";"08. CERRADA"},0)
  =
  MATCH(_xlfn.XLOOKUP(INDEX($B:$B, (ROW()-7)),'Relacion '!$E:$E,'Relacion '!$D:$D,""),{"01. ASIGNACION AREA";"02. MAPEO";"03. DESARROLLO";"04. VALIDA US";"05. VOBO US";"06. BW-EJECUCION";"07. VALIDACIÓN BAJAWARE";"08. CERRADA"},0),
  _xlfn.XLOOKUP(INDEX($B:$B, (ROW()-7)),'Relacion '!$E:$E,'Relacion '!#REF!,0),
  0
 )
)</f>
        <v>0</v>
      </c>
      <c r="I882" s="241">
        <f t="shared" ca="1" si="197"/>
        <v>0</v>
      </c>
      <c r="J882" s="241"/>
      <c r="K882" s="241"/>
      <c r="L882" s="238"/>
    </row>
    <row r="883" spans="2:12" outlineLevel="1">
      <c r="B883" s="237" t="s">
        <v>656</v>
      </c>
      <c r="C883" s="237" t="s">
        <v>656</v>
      </c>
      <c r="D883" s="238" t="str">
        <f>_xlfn.XLOOKUP(B883,'Relacion '!$E:$E,'Relacion '!$D:$D,"")</f>
        <v/>
      </c>
      <c r="E883" s="239">
        <f t="shared" si="198"/>
        <v>1</v>
      </c>
      <c r="F883" s="240" cm="1">
        <f t="array" ref="F883">MIN(INDEX('Relacion '!$AL$5:$AM$493,MATCH(INDEX($B:$B, (ROW()-8)),'Relacion '!$E$5:$E$493,0),0))</f>
        <v>46195</v>
      </c>
      <c r="G883" s="240" cm="1">
        <f t="array" ref="G883">MAX(INDEX('Relacion '!$AL$5:$AM$493,MATCH(INDEX($B:$B, (ROW()-8)),'Relacion '!$E$5:$E$493,0),0))</f>
        <v>46196</v>
      </c>
      <c r="H883" s="241" cm="1">
        <f t="array" ref="H883">IF(
 MATCH(B883,{"01. ASIGNACION AREA";"02. MAPEO";"03. DESARROLLO";"04. VALIDA US";"05. VOBO US";"06. BW-EJECUCION";"07. VALIDACIÓN BAJAWARE";"08. CERRADA"},0)
 &lt;
 MATCH(_xlfn.XLOOKUP(INDEX($B:$B, (ROW()-8)),'Relacion '!$E:$E,'Relacion '!$D:$D,""),{"01. ASIGNACION AREA";"02. MAPEO";"03. DESARROLLO";"04. VALIDA US";"05. VOBO US";"06. BW-EJECUCION";"07. VALIDACIÓN BAJAWARE";"08. CERRADA"},0),
 1,
 IF(
  MATCH(B883,{"01. ASIGNACION AREA";"02. MAPEO";"03. DESARROLLO";"04. VALIDA US";"05. VOBO US";"06. BW-EJECUCION";"07. VALIDACIÓN BAJAWARE";"08. CERRADA"},0)
  =
  MATCH(_xlfn.XLOOKUP(INDEX($B:$B, (ROW()-8)),'Relacion '!$E:$E,'Relacion '!$D:$D,""),{"01. ASIGNACION AREA";"02. MAPEO";"03. DESARROLLO";"04. VALIDA US";"05. VOBO US";"06. BW-EJECUCION";"07. VALIDACIÓN BAJAWARE";"08. CERRADA"},0),
  _xlfn.XLOOKUP(INDEX($B:$B, (ROW()-8)),'Relacion '!$E:$E,'Relacion '!#REF!,0),
  0
 )
)</f>
        <v>0</v>
      </c>
      <c r="I883" s="241">
        <f t="shared" ca="1" si="197"/>
        <v>0</v>
      </c>
      <c r="J883" s="241"/>
      <c r="K883" s="241"/>
      <c r="L883" s="238"/>
    </row>
    <row r="884" spans="2:12">
      <c r="B884" s="232" t="s">
        <v>213</v>
      </c>
      <c r="C884" s="137" t="s">
        <v>205</v>
      </c>
      <c r="D884" s="236" t="str">
        <f>_xlfn.XLOOKUP(B884,'Relacion '!$E:$E,'Relacion '!$D:$D,"")</f>
        <v>02. MAPEO</v>
      </c>
      <c r="E884" s="233">
        <f t="shared" si="198"/>
        <v>178</v>
      </c>
      <c r="F884" s="234" cm="1">
        <f t="array" ref="F884">MIN(INDEX('Relacion '!$X$5:$AM$493,MATCH(INDEX($B:$B, (ROW()-0)),'Relacion '!$E$5:$E$493,0),0))</f>
        <v>46024</v>
      </c>
      <c r="G884" s="234" cm="1">
        <f t="array" ref="G884">MAX(INDEX('Relacion '!$X$5:$AM$493,MATCH(INDEX($B:$B, (ROW()-0)),'Relacion '!$E$5:$E$493,0),0))</f>
        <v>46202</v>
      </c>
      <c r="H884" s="235" t="e">
        <f>AVERAGE(H885:H892)</f>
        <v>#REF!</v>
      </c>
      <c r="I884" s="235">
        <f t="shared" ref="I884" ca="1" si="209">AVERAGE(I885:I892)</f>
        <v>0.375</v>
      </c>
      <c r="J884" s="236" t="str">
        <f>IF(ISNUMBER(SEARCH("Rocha", _xlfn.XLOOKUP(B884,'Relacion '!$E:$E,'Relacion '!$I:$I,""))), "Sí", "No")</f>
        <v>Sí</v>
      </c>
      <c r="K884" s="236" t="str">
        <f>IF(ISNUMBER(SEARCH("Rocha", _xlfn.XLOOKUP(B884,'Relacion '!$E:$E,'Relacion '!$I:$I,""))), "RMC", _xlfn.XLOOKUP(B884,'Relacion '!$E:$E,'Relacion '!$B:$B,""))</f>
        <v>RMC</v>
      </c>
      <c r="L884" s="236" t="str">
        <f>_xlfn.XLOOKUP(B884,'Relacion '!$E:$E,'Relacion '!$C:$C,"")</f>
        <v>Eduardo Cabral</v>
      </c>
    </row>
    <row r="885" spans="2:12" outlineLevel="1">
      <c r="B885" s="237" t="s">
        <v>654</v>
      </c>
      <c r="C885" s="237" t="s">
        <v>654</v>
      </c>
      <c r="D885" s="238" t="str">
        <f>_xlfn.XLOOKUP(B885,'Relacion '!$E:$E,'Relacion '!$D:$D,"")</f>
        <v/>
      </c>
      <c r="E885" s="239">
        <f t="shared" si="198"/>
        <v>59</v>
      </c>
      <c r="F885" s="240" cm="1">
        <f t="array" ref="F885">MIN(INDEX('Relacion '!$X$5:$Y$493,MATCH(INDEX($B:$B, (ROW()-1)),'Relacion '!$E$5:$E$493,0),0))</f>
        <v>46024</v>
      </c>
      <c r="G885" s="240" cm="1">
        <f t="array" ref="G885">MAX(INDEX('Relacion '!$X$5:$Y$493,MATCH(INDEX($B:$B, (ROW()-1)),'Relacion '!$E$5:$E$493,0),0))</f>
        <v>46083</v>
      </c>
      <c r="H885" s="241" cm="1">
        <f t="array" ref="H885">IF(
 MATCH(B885,{"01. ASIGNACION AREA";"02. MAPEO";"03. DESARROLLO";"04. VALIDA US";"05. VOBO US";"06. BW-EJECUCION";"07. VALIDACIÓN BAJAWARE";"08. CERRADA"},0)
 &lt;
 MATCH(_xlfn.XLOOKUP(INDEX($B:$B, (ROW()-1)),'Relacion '!$E:$E,'Relacion '!$D:$D,""),{"01. ASIGNACION AREA";"02. MAPEO";"03. DESARROLLO";"04. VALIDA US";"05. VOBO US";"06. BW-EJECUCION";"07. VALIDACIÓN BAJAWARE";"08. CERRADA"},0),
 1,
 IF(
  MATCH(B885,{"01. ASIGNACION AREA";"02. MAPEO";"03. DESARROLLO";"04. VALIDA US";"05. VOBO US";"06. BW-EJECUCION";"07. VALIDACIÓN BAJAWARE";"08. CERRADA"},0)
  =
  MATCH(_xlfn.XLOOKUP(INDEX($B:$B, (ROW()-1)),'Relacion '!$E:$E,'Relacion '!$D:$D,""),{"01. ASIGNACION AREA";"02. MAPEO";"03. DESARROLLO";"04. VALIDA US";"05. VOBO US";"06. BW-EJECUCION";"07. VALIDACIÓN BAJAWARE";"08. CERRADA"},0),
  _xlfn.XLOOKUP(INDEX($B:$B, (ROW()-1)),'Relacion '!$E:$E,'Relacion '!#REF!,0),
  0
 )
)</f>
        <v>1</v>
      </c>
      <c r="I885" s="241">
        <f t="shared" ref="I885" ca="1" si="210">IF(G885&lt;=TODAY(), 1, 0)</f>
        <v>1</v>
      </c>
      <c r="J885" s="241"/>
      <c r="K885" s="241"/>
      <c r="L885" s="238"/>
    </row>
    <row r="886" spans="2:12" outlineLevel="1">
      <c r="B886" s="237" t="s">
        <v>195</v>
      </c>
      <c r="C886" s="237" t="s">
        <v>195</v>
      </c>
      <c r="D886" s="238" t="str">
        <f>_xlfn.XLOOKUP(B886,'Relacion '!$E:$E,'Relacion '!$D:$D,"")</f>
        <v/>
      </c>
      <c r="E886" s="239">
        <f t="shared" si="198"/>
        <v>49</v>
      </c>
      <c r="F886" s="240" cm="1">
        <f t="array" ref="F886">MIN(INDEX('Relacion '!$Z$5:$AA$493,MATCH(INDEX($B:$B, (ROW()-2)),'Relacion '!$E$5:$E$493,0),0))</f>
        <v>46093</v>
      </c>
      <c r="G886" s="240" cm="1">
        <f t="array" ref="G886">MAX(INDEX('Relacion '!$Z$5:$AA$493,MATCH(INDEX($B:$B, (ROW()-2)),'Relacion '!$E$5:$E$493,0),0))</f>
        <v>46142</v>
      </c>
      <c r="H886" s="241" t="e" cm="1">
        <f t="array" ref="H886">IF(
 MATCH(B886,{"01. ASIGNACION AREA";"02. MAPEO";"03. DESARROLLO";"04. VALIDA US";"05. VOBO US";"06. BW-EJECUCION";"07. VALIDACIÓN BAJAWARE";"08. CERRADA"},0)
 &lt;
 MATCH(_xlfn.XLOOKUP(INDEX($B:$B, (ROW()-2)),'Relacion '!$E:$E,'Relacion '!$D:$D,""),{"01. ASIGNACION AREA";"02. MAPEO";"03. DESARROLLO";"04. VALIDA US";"05. VOBO US";"06. BW-EJECUCION";"07. VALIDACIÓN BAJAWARE";"08. CERRADA"},0),
 1,
 IF(
  MATCH(B886,{"01. ASIGNACION AREA";"02. MAPEO";"03. DESARROLLO";"04. VALIDA US";"05. VOBO US";"06. BW-EJECUCION";"07. VALIDACIÓN BAJAWARE";"08. CERRADA"},0)
  =
  MATCH(_xlfn.XLOOKUP(INDEX($B:$B, (ROW()-2)),'Relacion '!$E:$E,'Relacion '!$D:$D,""),{"01. ASIGNACION AREA";"02. MAPEO";"03. DESARROLLO";"04. VALIDA US";"05. VOBO US";"06. BW-EJECUCION";"07. VALIDACIÓN BAJAWARE";"08. CERRADA"},0),
  _xlfn.XLOOKUP(INDEX($B:$B, (ROW()-2)),'Relacion '!$E:$E,'Relacion '!#REF!,0),
  0
 )
)</f>
        <v>#REF!</v>
      </c>
      <c r="I886" s="241">
        <f t="shared" ca="1" si="197"/>
        <v>1</v>
      </c>
      <c r="J886" s="241"/>
      <c r="K886" s="241"/>
      <c r="L886" s="238"/>
    </row>
    <row r="887" spans="2:12" outlineLevel="1">
      <c r="B887" s="237" t="s">
        <v>49</v>
      </c>
      <c r="C887" s="237" t="s">
        <v>49</v>
      </c>
      <c r="D887" s="238" t="str">
        <f>_xlfn.XLOOKUP(B887,'Relacion '!$E:$E,'Relacion '!$D:$D,"")</f>
        <v/>
      </c>
      <c r="E887" s="239">
        <f t="shared" si="198"/>
        <v>18</v>
      </c>
      <c r="F887" s="240" cm="1">
        <f t="array" ref="F887">MIN(INDEX('Relacion '!$AB$5:$AC$493,MATCH(INDEX($B:$B, (ROW()-3)),'Relacion '!$E$5:$E$493,0),0))</f>
        <v>46146</v>
      </c>
      <c r="G887" s="240" cm="1">
        <f t="array" ref="G887">MAX(INDEX('Relacion '!$AB$5:$AC$493,MATCH(INDEX($B:$B, (ROW()-3)),'Relacion '!$E$5:$E$493,0),0))</f>
        <v>46164</v>
      </c>
      <c r="H887" s="241" cm="1">
        <f t="array" ref="H887">IF(
 MATCH(B887,{"01. ASIGNACION AREA";"02. MAPEO";"03. DESARROLLO";"04. VALIDA US";"05. VOBO US";"06. BW-EJECUCION";"07. VALIDACIÓN BAJAWARE";"08. CERRADA"},0)
 &lt;
 MATCH(_xlfn.XLOOKUP(INDEX($B:$B, (ROW()-3)),'Relacion '!$E:$E,'Relacion '!$D:$D,""),{"01. ASIGNACION AREA";"02. MAPEO";"03. DESARROLLO";"04. VALIDA US";"05. VOBO US";"06. BW-EJECUCION";"07. VALIDACIÓN BAJAWARE";"08. CERRADA"},0),
 1,
 IF(
  MATCH(B887,{"01. ASIGNACION AREA";"02. MAPEO";"03. DESARROLLO";"04. VALIDA US";"05. VOBO US";"06. BW-EJECUCION";"07. VALIDACIÓN BAJAWARE";"08. CERRADA"},0)
  =
  MATCH(_xlfn.XLOOKUP(INDEX($B:$B, (ROW()-3)),'Relacion '!$E:$E,'Relacion '!$D:$D,""),{"01. ASIGNACION AREA";"02. MAPEO";"03. DESARROLLO";"04. VALIDA US";"05. VOBO US";"06. BW-EJECUCION";"07. VALIDACIÓN BAJAWARE";"08. CERRADA"},0),
  _xlfn.XLOOKUP(INDEX($B:$B, (ROW()-3)),'Relacion '!$E:$E,'Relacion '!#REF!,0),
  0
 )
)</f>
        <v>0</v>
      </c>
      <c r="I887" s="241">
        <f t="shared" ca="1" si="197"/>
        <v>1</v>
      </c>
      <c r="J887" s="241"/>
      <c r="K887" s="241"/>
      <c r="L887" s="238"/>
    </row>
    <row r="888" spans="2:12" outlineLevel="1">
      <c r="B888" s="237" t="s">
        <v>324</v>
      </c>
      <c r="C888" s="237" t="s">
        <v>324</v>
      </c>
      <c r="D888" s="238" t="str">
        <f>_xlfn.XLOOKUP(B888,'Relacion '!$E:$E,'Relacion '!$D:$D,"")</f>
        <v/>
      </c>
      <c r="E888" s="239">
        <f t="shared" si="198"/>
        <v>11</v>
      </c>
      <c r="F888" s="240" cm="1">
        <f t="array" ref="F888">MIN(INDEX('Relacion '!$AD$5:$AE$493,MATCH(INDEX($B:$B, (ROW()-4)),'Relacion '!$E$5:$E$493,0),0))</f>
        <v>46167</v>
      </c>
      <c r="G888" s="240" cm="1">
        <f t="array" ref="G888">MAX(INDEX('Relacion '!$AD$5:$AE$493,MATCH(INDEX($B:$B, (ROW()-4)),'Relacion '!$E$5:$E$493,0),0))</f>
        <v>46178</v>
      </c>
      <c r="H888" s="241" cm="1">
        <f t="array" ref="H888">IF(
 MATCH(B888,{"01. ASIGNACION AREA";"02. MAPEO";"03. DESARROLLO";"04. VALIDA US";"05. VOBO US";"06. BW-EJECUCION";"07. VALIDACIÓN BAJAWARE";"08. CERRADA"},0)
 &lt;
 MATCH(_xlfn.XLOOKUP(INDEX($B:$B, (ROW()-4)),'Relacion '!$E:$E,'Relacion '!$D:$D,""),{"01. ASIGNACION AREA";"02. MAPEO";"03. DESARROLLO";"04. VALIDA US";"05. VOBO US";"06. BW-EJECUCION";"07. VALIDACIÓN BAJAWARE";"08. CERRADA"},0),
 1,
 IF(
  MATCH(B888,{"01. ASIGNACION AREA";"02. MAPEO";"03. DESARROLLO";"04. VALIDA US";"05. VOBO US";"06. BW-EJECUCION";"07. VALIDACIÓN BAJAWARE";"08. CERRADA"},0)
  =
  MATCH(_xlfn.XLOOKUP(INDEX($B:$B, (ROW()-4)),'Relacion '!$E:$E,'Relacion '!$D:$D,""),{"01. ASIGNACION AREA";"02. MAPEO";"03. DESARROLLO";"04. VALIDA US";"05. VOBO US";"06. BW-EJECUCION";"07. VALIDACIÓN BAJAWARE";"08. CERRADA"},0),
  _xlfn.XLOOKUP(INDEX($B:$B, (ROW()-4)),'Relacion '!$E:$E,'Relacion '!#REF!,0),
  0
 )
)</f>
        <v>0</v>
      </c>
      <c r="I888" s="241">
        <f t="shared" ca="1" si="197"/>
        <v>0</v>
      </c>
      <c r="J888" s="241"/>
      <c r="K888" s="241"/>
      <c r="L888" s="238"/>
    </row>
    <row r="889" spans="2:12" outlineLevel="1">
      <c r="B889" s="237" t="s">
        <v>320</v>
      </c>
      <c r="C889" s="237" t="s">
        <v>320</v>
      </c>
      <c r="D889" s="238" t="str">
        <f>_xlfn.XLOOKUP(B889,'Relacion '!$E:$E,'Relacion '!$D:$D,"")</f>
        <v/>
      </c>
      <c r="E889" s="239">
        <f t="shared" si="198"/>
        <v>3</v>
      </c>
      <c r="F889" s="240" cm="1">
        <f t="array" ref="F889">MIN(INDEX('Relacion '!$AF$5:$AG$493,MATCH(INDEX($B:$B, (ROW()-5)),'Relacion '!$E$5:$E$493,0),0))</f>
        <v>46178</v>
      </c>
      <c r="G889" s="240" cm="1">
        <f t="array" ref="G889">MAX(INDEX('Relacion '!$AF$5:$AG$493,MATCH(INDEX($B:$B, (ROW()-5)),'Relacion '!$E$5:$E$493,0),0))</f>
        <v>46181</v>
      </c>
      <c r="H889" s="241" cm="1">
        <f t="array" ref="H889">IF(
 MATCH(B889,{"01. ASIGNACION AREA";"02. MAPEO";"03. DESARROLLO";"04. VALIDA US";"05. VOBO US";"06. BW-EJECUCION";"07. VALIDACIÓN BAJAWARE";"08. CERRADA"},0)
 &lt;
 MATCH(_xlfn.XLOOKUP(INDEX($B:$B, (ROW()-5)),'Relacion '!$E:$E,'Relacion '!$D:$D,""),{"01. ASIGNACION AREA";"02. MAPEO";"03. DESARROLLO";"04. VALIDA US";"05. VOBO US";"06. BW-EJECUCION";"07. VALIDACIÓN BAJAWARE";"08. CERRADA"},0),
 1,
 IF(
  MATCH(B889,{"01. ASIGNACION AREA";"02. MAPEO";"03. DESARROLLO";"04. VALIDA US";"05. VOBO US";"06. BW-EJECUCION";"07. VALIDACIÓN BAJAWARE";"08. CERRADA"},0)
  =
  MATCH(_xlfn.XLOOKUP(INDEX($B:$B, (ROW()-5)),'Relacion '!$E:$E,'Relacion '!$D:$D,""),{"01. ASIGNACION AREA";"02. MAPEO";"03. DESARROLLO";"04. VALIDA US";"05. VOBO US";"06. BW-EJECUCION";"07. VALIDACIÓN BAJAWARE";"08. CERRADA"},0),
  _xlfn.XLOOKUP(INDEX($B:$B, (ROW()-5)),'Relacion '!$E:$E,'Relacion '!#REF!,0),
  0
 )
)</f>
        <v>0</v>
      </c>
      <c r="I889" s="241">
        <f t="shared" ca="1" si="197"/>
        <v>0</v>
      </c>
      <c r="J889" s="241"/>
      <c r="K889" s="241"/>
      <c r="L889" s="238"/>
    </row>
    <row r="890" spans="2:12" outlineLevel="1">
      <c r="B890" s="237" t="s">
        <v>710</v>
      </c>
      <c r="C890" s="237" t="s">
        <v>710</v>
      </c>
      <c r="D890" s="238" t="str">
        <f>_xlfn.XLOOKUP(B890,'Relacion '!$E:$E,'Relacion '!$D:$D,"")</f>
        <v/>
      </c>
      <c r="E890" s="239">
        <f t="shared" si="198"/>
        <v>3</v>
      </c>
      <c r="F890" s="240" cm="1">
        <f t="array" ref="F890">MIN(INDEX('Relacion '!$AH$5:$AI$493,MATCH(INDEX($B:$B, (ROW()-6)),'Relacion '!$E$5:$E$493,0),0))</f>
        <v>46182</v>
      </c>
      <c r="G890" s="240" cm="1">
        <f t="array" ref="G890">MAX(INDEX('Relacion '!$AH$5:$AI$493,MATCH(INDEX($B:$B, (ROW()-6)),'Relacion '!$E$5:$E$493,0),0))</f>
        <v>46185</v>
      </c>
      <c r="H890" s="241" cm="1">
        <f t="array" ref="H890">IF(
 MATCH(B890,{"01. ASIGNACION AREA";"02. MAPEO";"03. DESARROLLO";"04. VALIDA US";"05. VOBO US";"06. BW-EJECUCION";"07. VALIDACIÓN BAJAWARE";"08. CERRADA"},0)
 &lt;
 MATCH(_xlfn.XLOOKUP(INDEX($B:$B, (ROW()-6)),'Relacion '!$E:$E,'Relacion '!$D:$D,""),{"01. ASIGNACION AREA";"02. MAPEO";"03. DESARROLLO";"04. VALIDA US";"05. VOBO US";"06. BW-EJECUCION";"07. VALIDACIÓN BAJAWARE";"08. CERRADA"},0),
 1,
 IF(
  MATCH(B890,{"01. ASIGNACION AREA";"02. MAPEO";"03. DESARROLLO";"04. VALIDA US";"05. VOBO US";"06. BW-EJECUCION";"07. VALIDACIÓN BAJAWARE";"08. CERRADA"},0)
  =
  MATCH(_xlfn.XLOOKUP(INDEX($B:$B, (ROW()-6)),'Relacion '!$E:$E,'Relacion '!$D:$D,""),{"01. ASIGNACION AREA";"02. MAPEO";"03. DESARROLLO";"04. VALIDA US";"05. VOBO US";"06. BW-EJECUCION";"07. VALIDACIÓN BAJAWARE";"08. CERRADA"},0),
  _xlfn.XLOOKUP(INDEX($B:$B, (ROW()-6)),'Relacion '!$E:$E,'Relacion '!#REF!,0),
  0
 )
)</f>
        <v>0</v>
      </c>
      <c r="I890" s="241">
        <f t="shared" ca="1" si="197"/>
        <v>0</v>
      </c>
      <c r="J890" s="241"/>
      <c r="K890" s="241"/>
      <c r="L890" s="238"/>
    </row>
    <row r="891" spans="2:12" outlineLevel="1">
      <c r="B891" s="237" t="s">
        <v>655</v>
      </c>
      <c r="C891" s="237" t="s">
        <v>655</v>
      </c>
      <c r="D891" s="238" t="str">
        <f>_xlfn.XLOOKUP(B891,'Relacion '!$E:$E,'Relacion '!$D:$D,"")</f>
        <v/>
      </c>
      <c r="E891" s="239">
        <f t="shared" si="198"/>
        <v>11</v>
      </c>
      <c r="F891" s="240" cm="1">
        <f t="array" ref="F891">MIN(INDEX('Relacion '!$AJ$5:$AK$493,MATCH(INDEX($B:$B, (ROW()-7)),'Relacion '!$E$5:$E$493,0),0))</f>
        <v>46188</v>
      </c>
      <c r="G891" s="240" cm="1">
        <f t="array" ref="G891">MAX(INDEX('Relacion '!$AJ$5:$AK$493,MATCH(INDEX($B:$B, (ROW()-7)),'Relacion '!$E$5:$E$493,0),0))</f>
        <v>46199</v>
      </c>
      <c r="H891" s="241" cm="1">
        <f t="array" ref="H891">IF(
 MATCH(B891,{"01. ASIGNACION AREA";"02. MAPEO";"03. DESARROLLO";"04. VALIDA US";"05. VOBO US";"06. BW-EJECUCION";"07. VALIDACIÓN BAJAWARE";"08. CERRADA"},0)
 &lt;
 MATCH(_xlfn.XLOOKUP(INDEX($B:$B, (ROW()-7)),'Relacion '!$E:$E,'Relacion '!$D:$D,""),{"01. ASIGNACION AREA";"02. MAPEO";"03. DESARROLLO";"04. VALIDA US";"05. VOBO US";"06. BW-EJECUCION";"07. VALIDACIÓN BAJAWARE";"08. CERRADA"},0),
 1,
 IF(
  MATCH(B891,{"01. ASIGNACION AREA";"02. MAPEO";"03. DESARROLLO";"04. VALIDA US";"05. VOBO US";"06. BW-EJECUCION";"07. VALIDACIÓN BAJAWARE";"08. CERRADA"},0)
  =
  MATCH(_xlfn.XLOOKUP(INDEX($B:$B, (ROW()-7)),'Relacion '!$E:$E,'Relacion '!$D:$D,""),{"01. ASIGNACION AREA";"02. MAPEO";"03. DESARROLLO";"04. VALIDA US";"05. VOBO US";"06. BW-EJECUCION";"07. VALIDACIÓN BAJAWARE";"08. CERRADA"},0),
  _xlfn.XLOOKUP(INDEX($B:$B, (ROW()-7)),'Relacion '!$E:$E,'Relacion '!#REF!,0),
  0
 )
)</f>
        <v>0</v>
      </c>
      <c r="I891" s="241">
        <f t="shared" ca="1" si="197"/>
        <v>0</v>
      </c>
      <c r="J891" s="241"/>
      <c r="K891" s="241"/>
      <c r="L891" s="238"/>
    </row>
    <row r="892" spans="2:12" outlineLevel="1">
      <c r="B892" s="237" t="s">
        <v>656</v>
      </c>
      <c r="C892" s="237" t="s">
        <v>656</v>
      </c>
      <c r="D892" s="238" t="str">
        <f>_xlfn.XLOOKUP(B892,'Relacion '!$E:$E,'Relacion '!$D:$D,"")</f>
        <v/>
      </c>
      <c r="E892" s="239">
        <f t="shared" si="198"/>
        <v>3</v>
      </c>
      <c r="F892" s="240" cm="1">
        <f t="array" ref="F892">MIN(INDEX('Relacion '!$AL$5:$AM$493,MATCH(INDEX($B:$B, (ROW()-8)),'Relacion '!$E$5:$E$493,0),0))</f>
        <v>46199</v>
      </c>
      <c r="G892" s="240" cm="1">
        <f t="array" ref="G892">MAX(INDEX('Relacion '!$AL$5:$AM$493,MATCH(INDEX($B:$B, (ROW()-8)),'Relacion '!$E$5:$E$493,0),0))</f>
        <v>46202</v>
      </c>
      <c r="H892" s="241" cm="1">
        <f t="array" ref="H892">IF(
 MATCH(B892,{"01. ASIGNACION AREA";"02. MAPEO";"03. DESARROLLO";"04. VALIDA US";"05. VOBO US";"06. BW-EJECUCION";"07. VALIDACIÓN BAJAWARE";"08. CERRADA"},0)
 &lt;
 MATCH(_xlfn.XLOOKUP(INDEX($B:$B, (ROW()-8)),'Relacion '!$E:$E,'Relacion '!$D:$D,""),{"01. ASIGNACION AREA";"02. MAPEO";"03. DESARROLLO";"04. VALIDA US";"05. VOBO US";"06. BW-EJECUCION";"07. VALIDACIÓN BAJAWARE";"08. CERRADA"},0),
 1,
 IF(
  MATCH(B892,{"01. ASIGNACION AREA";"02. MAPEO";"03. DESARROLLO";"04. VALIDA US";"05. VOBO US";"06. BW-EJECUCION";"07. VALIDACIÓN BAJAWARE";"08. CERRADA"},0)
  =
  MATCH(_xlfn.XLOOKUP(INDEX($B:$B, (ROW()-8)),'Relacion '!$E:$E,'Relacion '!$D:$D,""),{"01. ASIGNACION AREA";"02. MAPEO";"03. DESARROLLO";"04. VALIDA US";"05. VOBO US";"06. BW-EJECUCION";"07. VALIDACIÓN BAJAWARE";"08. CERRADA"},0),
  _xlfn.XLOOKUP(INDEX($B:$B, (ROW()-8)),'Relacion '!$E:$E,'Relacion '!#REF!,0),
  0
 )
)</f>
        <v>0</v>
      </c>
      <c r="I892" s="241">
        <f t="shared" ca="1" si="197"/>
        <v>0</v>
      </c>
      <c r="J892" s="241"/>
      <c r="K892" s="241"/>
      <c r="L892" s="238"/>
    </row>
    <row r="893" spans="2:12">
      <c r="B893" s="232" t="s">
        <v>104</v>
      </c>
      <c r="C893" s="137" t="s">
        <v>105</v>
      </c>
      <c r="D893" s="236" t="str">
        <f>_xlfn.XLOOKUP(B893,'Relacion '!$E:$E,'Relacion '!$D:$D,"")</f>
        <v>04. VALIDA US</v>
      </c>
      <c r="E893" s="233">
        <f t="shared" si="198"/>
        <v>478</v>
      </c>
      <c r="F893" s="234" cm="1">
        <f t="array" ref="F893">MIN(INDEX('Relacion '!$X$5:$AM$493,MATCH(INDEX($B:$B, (ROW()-0)),'Relacion '!$E$5:$E$493,0),0))</f>
        <v>45659</v>
      </c>
      <c r="G893" s="234" cm="1">
        <f t="array" ref="G893">MAX(INDEX('Relacion '!$X$5:$AM$493,MATCH(INDEX($B:$B, (ROW()-0)),'Relacion '!$E$5:$E$493,0),0))</f>
        <v>46137</v>
      </c>
      <c r="H893" s="235" t="e">
        <f>AVERAGE(H894:H901)</f>
        <v>#REF!</v>
      </c>
      <c r="I893" s="235">
        <f t="shared" ref="I893" ca="1" si="211">AVERAGE(I894:I901)</f>
        <v>1</v>
      </c>
      <c r="J893" s="236" t="str">
        <f>IF(ISNUMBER(SEARCH("Rocha", _xlfn.XLOOKUP(B893,'Relacion '!$E:$E,'Relacion '!$I:$I,""))), "Sí", "No")</f>
        <v>No</v>
      </c>
      <c r="K893" s="236" t="str">
        <f>IF(ISNUMBER(SEARCH("Rocha", _xlfn.XLOOKUP(B893,'Relacion '!$E:$E,'Relacion '!$I:$I,""))), "RMC", _xlfn.XLOOKUP(B893,'Relacion '!$E:$E,'Relacion '!$B:$B,""))</f>
        <v>Operaciones Captacion</v>
      </c>
      <c r="L893" s="236" t="str">
        <f>_xlfn.XLOOKUP(B893,'Relacion '!$E:$E,'Relacion '!$C:$C,"")</f>
        <v>Luis Alberto</v>
      </c>
    </row>
    <row r="894" spans="2:12" outlineLevel="1">
      <c r="B894" s="237" t="s">
        <v>654</v>
      </c>
      <c r="C894" s="237" t="s">
        <v>654</v>
      </c>
      <c r="D894" s="238" t="str">
        <f>_xlfn.XLOOKUP(B894,'Relacion '!$E:$E,'Relacion '!$D:$D,"")</f>
        <v/>
      </c>
      <c r="E894" s="239">
        <f t="shared" si="198"/>
        <v>424</v>
      </c>
      <c r="F894" s="240" cm="1">
        <f t="array" ref="F894">MIN(INDEX('Relacion '!$X$5:$Y$493,MATCH(INDEX($B:$B, (ROW()-1)),'Relacion '!$E$5:$E$493,0),0))</f>
        <v>45659</v>
      </c>
      <c r="G894" s="240" cm="1">
        <f t="array" ref="G894">MAX(INDEX('Relacion '!$X$5:$Y$493,MATCH(INDEX($B:$B, (ROW()-1)),'Relacion '!$E$5:$E$493,0),0))</f>
        <v>46083</v>
      </c>
      <c r="H894" s="241" cm="1">
        <f t="array" ref="H894">IF(
 MATCH(B894,{"01. ASIGNACION AREA";"02. MAPEO";"03. DESARROLLO";"04. VALIDA US";"05. VOBO US";"06. BW-EJECUCION";"07. VALIDACIÓN BAJAWARE";"08. CERRADA"},0)
 &lt;
 MATCH(_xlfn.XLOOKUP(INDEX($B:$B, (ROW()-1)),'Relacion '!$E:$E,'Relacion '!$D:$D,""),{"01. ASIGNACION AREA";"02. MAPEO";"03. DESARROLLO";"04. VALIDA US";"05. VOBO US";"06. BW-EJECUCION";"07. VALIDACIÓN BAJAWARE";"08. CERRADA"},0),
 1,
 IF(
  MATCH(B894,{"01. ASIGNACION AREA";"02. MAPEO";"03. DESARROLLO";"04. VALIDA US";"05. VOBO US";"06. BW-EJECUCION";"07. VALIDACIÓN BAJAWARE";"08. CERRADA"},0)
  =
  MATCH(_xlfn.XLOOKUP(INDEX($B:$B, (ROW()-1)),'Relacion '!$E:$E,'Relacion '!$D:$D,""),{"01. ASIGNACION AREA";"02. MAPEO";"03. DESARROLLO";"04. VALIDA US";"05. VOBO US";"06. BW-EJECUCION";"07. VALIDACIÓN BAJAWARE";"08. CERRADA"},0),
  _xlfn.XLOOKUP(INDEX($B:$B, (ROW()-1)),'Relacion '!$E:$E,'Relacion '!#REF!,0),
  0
 )
)</f>
        <v>1</v>
      </c>
      <c r="I894" s="241">
        <f t="shared" ref="I894:I955" ca="1" si="212">IF(G894&lt;=TODAY(), 1, 0)</f>
        <v>1</v>
      </c>
      <c r="J894" s="241"/>
      <c r="K894" s="241"/>
      <c r="L894" s="238"/>
    </row>
    <row r="895" spans="2:12" outlineLevel="1">
      <c r="B895" s="237" t="s">
        <v>195</v>
      </c>
      <c r="C895" s="237" t="s">
        <v>195</v>
      </c>
      <c r="D895" s="238" t="str">
        <f>_xlfn.XLOOKUP(B895,'Relacion '!$E:$E,'Relacion '!$D:$D,"")</f>
        <v/>
      </c>
      <c r="E895" s="239">
        <f t="shared" si="198"/>
        <v>14</v>
      </c>
      <c r="F895" s="240" cm="1">
        <f t="array" ref="F895">MIN(INDEX('Relacion '!$Z$5:$AA$493,MATCH(INDEX($B:$B, (ROW()-2)),'Relacion '!$E$5:$E$493,0),0))</f>
        <v>46041</v>
      </c>
      <c r="G895" s="240" cm="1">
        <f t="array" ref="G895">MAX(INDEX('Relacion '!$Z$5:$AA$493,MATCH(INDEX($B:$B, (ROW()-2)),'Relacion '!$E$5:$E$493,0),0))</f>
        <v>46055</v>
      </c>
      <c r="H895" s="241" cm="1">
        <f t="array" ref="H895">IF(
 MATCH(B895,{"01. ASIGNACION AREA";"02. MAPEO";"03. DESARROLLO";"04. VALIDA US";"05. VOBO US";"06. BW-EJECUCION";"07. VALIDACIÓN BAJAWARE";"08. CERRADA"},0)
 &lt;
 MATCH(_xlfn.XLOOKUP(INDEX($B:$B, (ROW()-2)),'Relacion '!$E:$E,'Relacion '!$D:$D,""),{"01. ASIGNACION AREA";"02. MAPEO";"03. DESARROLLO";"04. VALIDA US";"05. VOBO US";"06. BW-EJECUCION";"07. VALIDACIÓN BAJAWARE";"08. CERRADA"},0),
 1,
 IF(
  MATCH(B895,{"01. ASIGNACION AREA";"02. MAPEO";"03. DESARROLLO";"04. VALIDA US";"05. VOBO US";"06. BW-EJECUCION";"07. VALIDACIÓN BAJAWARE";"08. CERRADA"},0)
  =
  MATCH(_xlfn.XLOOKUP(INDEX($B:$B, (ROW()-2)),'Relacion '!$E:$E,'Relacion '!$D:$D,""),{"01. ASIGNACION AREA";"02. MAPEO";"03. DESARROLLO";"04. VALIDA US";"05. VOBO US";"06. BW-EJECUCION";"07. VALIDACIÓN BAJAWARE";"08. CERRADA"},0),
  _xlfn.XLOOKUP(INDEX($B:$B, (ROW()-2)),'Relacion '!$E:$E,'Relacion '!#REF!,0),
  0
 )
)</f>
        <v>1</v>
      </c>
      <c r="I895" s="241">
        <f t="shared" ca="1" si="212"/>
        <v>1</v>
      </c>
      <c r="J895" s="241"/>
      <c r="K895" s="241"/>
      <c r="L895" s="238"/>
    </row>
    <row r="896" spans="2:12" outlineLevel="1">
      <c r="B896" s="237" t="s">
        <v>49</v>
      </c>
      <c r="C896" s="237" t="s">
        <v>49</v>
      </c>
      <c r="D896" s="238" t="str">
        <f>_xlfn.XLOOKUP(B896,'Relacion '!$E:$E,'Relacion '!$D:$D,"")</f>
        <v/>
      </c>
      <c r="E896" s="239">
        <f t="shared" si="198"/>
        <v>17</v>
      </c>
      <c r="F896" s="240" cm="1">
        <f t="array" ref="F896">MIN(INDEX('Relacion '!$AB$5:$AC$493,MATCH(INDEX($B:$B, (ROW()-3)),'Relacion '!$E$5:$E$493,0),0))</f>
        <v>46056</v>
      </c>
      <c r="G896" s="240" cm="1">
        <f t="array" ref="G896">MAX(INDEX('Relacion '!$AB$5:$AC$493,MATCH(INDEX($B:$B, (ROW()-3)),'Relacion '!$E$5:$E$493,0),0))</f>
        <v>46073</v>
      </c>
      <c r="H896" s="241" cm="1">
        <f t="array" ref="H896">IF(
 MATCH(B896,{"01. ASIGNACION AREA";"02. MAPEO";"03. DESARROLLO";"04. VALIDA US";"05. VOBO US";"06. BW-EJECUCION";"07. VALIDACIÓN BAJAWARE";"08. CERRADA"},0)
 &lt;
 MATCH(_xlfn.XLOOKUP(INDEX($B:$B, (ROW()-3)),'Relacion '!$E:$E,'Relacion '!$D:$D,""),{"01. ASIGNACION AREA";"02. MAPEO";"03. DESARROLLO";"04. VALIDA US";"05. VOBO US";"06. BW-EJECUCION";"07. VALIDACIÓN BAJAWARE";"08. CERRADA"},0),
 1,
 IF(
  MATCH(B896,{"01. ASIGNACION AREA";"02. MAPEO";"03. DESARROLLO";"04. VALIDA US";"05. VOBO US";"06. BW-EJECUCION";"07. VALIDACIÓN BAJAWARE";"08. CERRADA"},0)
  =
  MATCH(_xlfn.XLOOKUP(INDEX($B:$B, (ROW()-3)),'Relacion '!$E:$E,'Relacion '!$D:$D,""),{"01. ASIGNACION AREA";"02. MAPEO";"03. DESARROLLO";"04. VALIDA US";"05. VOBO US";"06. BW-EJECUCION";"07. VALIDACIÓN BAJAWARE";"08. CERRADA"},0),
  _xlfn.XLOOKUP(INDEX($B:$B, (ROW()-3)),'Relacion '!$E:$E,'Relacion '!#REF!,0),
  0
 )
)</f>
        <v>1</v>
      </c>
      <c r="I896" s="241">
        <f t="shared" ca="1" si="212"/>
        <v>1</v>
      </c>
      <c r="J896" s="241"/>
      <c r="K896" s="241"/>
      <c r="L896" s="238"/>
    </row>
    <row r="897" spans="2:12" outlineLevel="1">
      <c r="B897" s="237" t="s">
        <v>324</v>
      </c>
      <c r="C897" s="237" t="s">
        <v>324</v>
      </c>
      <c r="D897" s="238" t="str">
        <f>_xlfn.XLOOKUP(B897,'Relacion '!$E:$E,'Relacion '!$D:$D,"")</f>
        <v/>
      </c>
      <c r="E897" s="239">
        <f t="shared" si="198"/>
        <v>18</v>
      </c>
      <c r="F897" s="240" cm="1">
        <f t="array" ref="F897">MIN(INDEX('Relacion '!$AD$5:$AE$493,MATCH(INDEX($B:$B, (ROW()-4)),'Relacion '!$E$5:$E$493,0),0))</f>
        <v>46076</v>
      </c>
      <c r="G897" s="240" cm="1">
        <f t="array" ref="G897">MAX(INDEX('Relacion '!$AD$5:$AE$493,MATCH(INDEX($B:$B, (ROW()-4)),'Relacion '!$E$5:$E$493,0),0))</f>
        <v>46094</v>
      </c>
      <c r="H897" s="241" t="e" cm="1">
        <f t="array" ref="H897">IF(
 MATCH(B897,{"01. ASIGNACION AREA";"02. MAPEO";"03. DESARROLLO";"04. VALIDA US";"05. VOBO US";"06. BW-EJECUCION";"07. VALIDACIÓN BAJAWARE";"08. CERRADA"},0)
 &lt;
 MATCH(_xlfn.XLOOKUP(INDEX($B:$B, (ROW()-4)),'Relacion '!$E:$E,'Relacion '!$D:$D,""),{"01. ASIGNACION AREA";"02. MAPEO";"03. DESARROLLO";"04. VALIDA US";"05. VOBO US";"06. BW-EJECUCION";"07. VALIDACIÓN BAJAWARE";"08. CERRADA"},0),
 1,
 IF(
  MATCH(B897,{"01. ASIGNACION AREA";"02. MAPEO";"03. DESARROLLO";"04. VALIDA US";"05. VOBO US";"06. BW-EJECUCION";"07. VALIDACIÓN BAJAWARE";"08. CERRADA"},0)
  =
  MATCH(_xlfn.XLOOKUP(INDEX($B:$B, (ROW()-4)),'Relacion '!$E:$E,'Relacion '!$D:$D,""),{"01. ASIGNACION AREA";"02. MAPEO";"03. DESARROLLO";"04. VALIDA US";"05. VOBO US";"06. BW-EJECUCION";"07. VALIDACIÓN BAJAWARE";"08. CERRADA"},0),
  _xlfn.XLOOKUP(INDEX($B:$B, (ROW()-4)),'Relacion '!$E:$E,'Relacion '!#REF!,0),
  0
 )
)</f>
        <v>#REF!</v>
      </c>
      <c r="I897" s="241">
        <f t="shared" ca="1" si="212"/>
        <v>1</v>
      </c>
      <c r="J897" s="241"/>
      <c r="K897" s="241"/>
      <c r="L897" s="238"/>
    </row>
    <row r="898" spans="2:12" outlineLevel="1">
      <c r="B898" s="237" t="s">
        <v>320</v>
      </c>
      <c r="C898" s="237" t="s">
        <v>320</v>
      </c>
      <c r="D898" s="238" t="str">
        <f>_xlfn.XLOOKUP(B898,'Relacion '!$E:$E,'Relacion '!$D:$D,"")</f>
        <v/>
      </c>
      <c r="E898" s="239">
        <f t="shared" ref="E898:E961" si="213">IF(OR(F898="",G898=""),"",G898-F898)</f>
        <v>1</v>
      </c>
      <c r="F898" s="240" cm="1">
        <f t="array" ref="F898">MIN(INDEX('Relacion '!$AF$5:$AG$493,MATCH(INDEX($B:$B, (ROW()-5)),'Relacion '!$E$5:$E$493,0),0))</f>
        <v>46093</v>
      </c>
      <c r="G898" s="240" cm="1">
        <f t="array" ref="G898">MAX(INDEX('Relacion '!$AF$5:$AG$493,MATCH(INDEX($B:$B, (ROW()-5)),'Relacion '!$E$5:$E$493,0),0))</f>
        <v>46094</v>
      </c>
      <c r="H898" s="241" cm="1">
        <f t="array" ref="H898">IF(
 MATCH(B898,{"01. ASIGNACION AREA";"02. MAPEO";"03. DESARROLLO";"04. VALIDA US";"05. VOBO US";"06. BW-EJECUCION";"07. VALIDACIÓN BAJAWARE";"08. CERRADA"},0)
 &lt;
 MATCH(_xlfn.XLOOKUP(INDEX($B:$B, (ROW()-5)),'Relacion '!$E:$E,'Relacion '!$D:$D,""),{"01. ASIGNACION AREA";"02. MAPEO";"03. DESARROLLO";"04. VALIDA US";"05. VOBO US";"06. BW-EJECUCION";"07. VALIDACIÓN BAJAWARE";"08. CERRADA"},0),
 1,
 IF(
  MATCH(B898,{"01. ASIGNACION AREA";"02. MAPEO";"03. DESARROLLO";"04. VALIDA US";"05. VOBO US";"06. BW-EJECUCION";"07. VALIDACIÓN BAJAWARE";"08. CERRADA"},0)
  =
  MATCH(_xlfn.XLOOKUP(INDEX($B:$B, (ROW()-5)),'Relacion '!$E:$E,'Relacion '!$D:$D,""),{"01. ASIGNACION AREA";"02. MAPEO";"03. DESARROLLO";"04. VALIDA US";"05. VOBO US";"06. BW-EJECUCION";"07. VALIDACIÓN BAJAWARE";"08. CERRADA"},0),
  _xlfn.XLOOKUP(INDEX($B:$B, (ROW()-5)),'Relacion '!$E:$E,'Relacion '!#REF!,0),
  0
 )
)</f>
        <v>0</v>
      </c>
      <c r="I898" s="241">
        <f t="shared" ca="1" si="212"/>
        <v>1</v>
      </c>
      <c r="J898" s="241"/>
      <c r="K898" s="241"/>
      <c r="L898" s="238"/>
    </row>
    <row r="899" spans="2:12" outlineLevel="1">
      <c r="B899" s="237" t="s">
        <v>710</v>
      </c>
      <c r="C899" s="237" t="s">
        <v>710</v>
      </c>
      <c r="D899" s="238" t="str">
        <f>_xlfn.XLOOKUP(B899,'Relacion '!$E:$E,'Relacion '!$D:$D,"")</f>
        <v/>
      </c>
      <c r="E899" s="239">
        <f t="shared" si="213"/>
        <v>18</v>
      </c>
      <c r="F899" s="240" cm="1">
        <f t="array" ref="F899">MIN(INDEX('Relacion '!$AH$5:$AI$493,MATCH(INDEX($B:$B, (ROW()-6)),'Relacion '!$E$5:$E$493,0),0))</f>
        <v>46097</v>
      </c>
      <c r="G899" s="240" cm="1">
        <f t="array" ref="G899">MAX(INDEX('Relacion '!$AH$5:$AI$493,MATCH(INDEX($B:$B, (ROW()-6)),'Relacion '!$E$5:$E$493,0),0))</f>
        <v>46115</v>
      </c>
      <c r="H899" s="241" cm="1">
        <f t="array" ref="H899">IF(
 MATCH(B899,{"01. ASIGNACION AREA";"02. MAPEO";"03. DESARROLLO";"04. VALIDA US";"05. VOBO US";"06. BW-EJECUCION";"07. VALIDACIÓN BAJAWARE";"08. CERRADA"},0)
 &lt;
 MATCH(_xlfn.XLOOKUP(INDEX($B:$B, (ROW()-6)),'Relacion '!$E:$E,'Relacion '!$D:$D,""),{"01. ASIGNACION AREA";"02. MAPEO";"03. DESARROLLO";"04. VALIDA US";"05. VOBO US";"06. BW-EJECUCION";"07. VALIDACIÓN BAJAWARE";"08. CERRADA"},0),
 1,
 IF(
  MATCH(B899,{"01. ASIGNACION AREA";"02. MAPEO";"03. DESARROLLO";"04. VALIDA US";"05. VOBO US";"06. BW-EJECUCION";"07. VALIDACIÓN BAJAWARE";"08. CERRADA"},0)
  =
  MATCH(_xlfn.XLOOKUP(INDEX($B:$B, (ROW()-6)),'Relacion '!$E:$E,'Relacion '!$D:$D,""),{"01. ASIGNACION AREA";"02. MAPEO";"03. DESARROLLO";"04. VALIDA US";"05. VOBO US";"06. BW-EJECUCION";"07. VALIDACIÓN BAJAWARE";"08. CERRADA"},0),
  _xlfn.XLOOKUP(INDEX($B:$B, (ROW()-6)),'Relacion '!$E:$E,'Relacion '!#REF!,0),
  0
 )
)</f>
        <v>0</v>
      </c>
      <c r="I899" s="241">
        <f t="shared" ca="1" si="212"/>
        <v>1</v>
      </c>
      <c r="J899" s="241"/>
      <c r="K899" s="241"/>
      <c r="L899" s="238"/>
    </row>
    <row r="900" spans="2:12" outlineLevel="1">
      <c r="B900" s="237" t="s">
        <v>655</v>
      </c>
      <c r="C900" s="237" t="s">
        <v>655</v>
      </c>
      <c r="D900" s="238" t="str">
        <f>_xlfn.XLOOKUP(B900,'Relacion '!$E:$E,'Relacion '!$D:$D,"")</f>
        <v/>
      </c>
      <c r="E900" s="239">
        <f t="shared" si="213"/>
        <v>18</v>
      </c>
      <c r="F900" s="240" cm="1">
        <f t="array" ref="F900">MIN(INDEX('Relacion '!$AJ$5:$AK$493,MATCH(INDEX($B:$B, (ROW()-7)),'Relacion '!$E$5:$E$493,0),0))</f>
        <v>46118</v>
      </c>
      <c r="G900" s="240" cm="1">
        <f t="array" ref="G900">MAX(INDEX('Relacion '!$AJ$5:$AK$493,MATCH(INDEX($B:$B, (ROW()-7)),'Relacion '!$E$5:$E$493,0),0))</f>
        <v>46136</v>
      </c>
      <c r="H900" s="241" cm="1">
        <f t="array" ref="H900">IF(
 MATCH(B900,{"01. ASIGNACION AREA";"02. MAPEO";"03. DESARROLLO";"04. VALIDA US";"05. VOBO US";"06. BW-EJECUCION";"07. VALIDACIÓN BAJAWARE";"08. CERRADA"},0)
 &lt;
 MATCH(_xlfn.XLOOKUP(INDEX($B:$B, (ROW()-7)),'Relacion '!$E:$E,'Relacion '!$D:$D,""),{"01. ASIGNACION AREA";"02. MAPEO";"03. DESARROLLO";"04. VALIDA US";"05. VOBO US";"06. BW-EJECUCION";"07. VALIDACIÓN BAJAWARE";"08. CERRADA"},0),
 1,
 IF(
  MATCH(B900,{"01. ASIGNACION AREA";"02. MAPEO";"03. DESARROLLO";"04. VALIDA US";"05. VOBO US";"06. BW-EJECUCION";"07. VALIDACIÓN BAJAWARE";"08. CERRADA"},0)
  =
  MATCH(_xlfn.XLOOKUP(INDEX($B:$B, (ROW()-7)),'Relacion '!$E:$E,'Relacion '!$D:$D,""),{"01. ASIGNACION AREA";"02. MAPEO";"03. DESARROLLO";"04. VALIDA US";"05. VOBO US";"06. BW-EJECUCION";"07. VALIDACIÓN BAJAWARE";"08. CERRADA"},0),
  _xlfn.XLOOKUP(INDEX($B:$B, (ROW()-7)),'Relacion '!$E:$E,'Relacion '!#REF!,0),
  0
 )
)</f>
        <v>0</v>
      </c>
      <c r="I900" s="241">
        <f t="shared" ca="1" si="212"/>
        <v>1</v>
      </c>
      <c r="J900" s="241"/>
      <c r="K900" s="241"/>
      <c r="L900" s="238"/>
    </row>
    <row r="901" spans="2:12" outlineLevel="1">
      <c r="B901" s="237" t="s">
        <v>656</v>
      </c>
      <c r="C901" s="237" t="s">
        <v>656</v>
      </c>
      <c r="D901" s="238" t="str">
        <f>_xlfn.XLOOKUP(B901,'Relacion '!$E:$E,'Relacion '!$D:$D,"")</f>
        <v/>
      </c>
      <c r="E901" s="239">
        <f t="shared" si="213"/>
        <v>0</v>
      </c>
      <c r="F901" s="240" cm="1">
        <f t="array" ref="F901">MIN(INDEX('Relacion '!$AL$5:$AM$493,MATCH(INDEX($B:$B, (ROW()-8)),'Relacion '!$E$5:$E$493,0),0))</f>
        <v>46137</v>
      </c>
      <c r="G901" s="240" cm="1">
        <f t="array" ref="G901">MAX(INDEX('Relacion '!$AL$5:$AM$493,MATCH(INDEX($B:$B, (ROW()-8)),'Relacion '!$E$5:$E$493,0),0))</f>
        <v>46137</v>
      </c>
      <c r="H901" s="241" cm="1">
        <f t="array" ref="H901">IF(
 MATCH(B901,{"01. ASIGNACION AREA";"02. MAPEO";"03. DESARROLLO";"04. VALIDA US";"05. VOBO US";"06. BW-EJECUCION";"07. VALIDACIÓN BAJAWARE";"08. CERRADA"},0)
 &lt;
 MATCH(_xlfn.XLOOKUP(INDEX($B:$B, (ROW()-8)),'Relacion '!$E:$E,'Relacion '!$D:$D,""),{"01. ASIGNACION AREA";"02. MAPEO";"03. DESARROLLO";"04. VALIDA US";"05. VOBO US";"06. BW-EJECUCION";"07. VALIDACIÓN BAJAWARE";"08. CERRADA"},0),
 1,
 IF(
  MATCH(B901,{"01. ASIGNACION AREA";"02. MAPEO";"03. DESARROLLO";"04. VALIDA US";"05. VOBO US";"06. BW-EJECUCION";"07. VALIDACIÓN BAJAWARE";"08. CERRADA"},0)
  =
  MATCH(_xlfn.XLOOKUP(INDEX($B:$B, (ROW()-8)),'Relacion '!$E:$E,'Relacion '!$D:$D,""),{"01. ASIGNACION AREA";"02. MAPEO";"03. DESARROLLO";"04. VALIDA US";"05. VOBO US";"06. BW-EJECUCION";"07. VALIDACIÓN BAJAWARE";"08. CERRADA"},0),
  _xlfn.XLOOKUP(INDEX($B:$B, (ROW()-8)),'Relacion '!$E:$E,'Relacion '!#REF!,0),
  0
 )
)</f>
        <v>0</v>
      </c>
      <c r="I901" s="241">
        <f t="shared" ca="1" si="212"/>
        <v>1</v>
      </c>
      <c r="J901" s="241"/>
      <c r="K901" s="241"/>
      <c r="L901" s="238"/>
    </row>
    <row r="902" spans="2:12">
      <c r="B902" s="232" t="s">
        <v>100</v>
      </c>
      <c r="C902" s="137" t="s">
        <v>101</v>
      </c>
      <c r="D902" s="236" t="str">
        <f>_xlfn.XLOOKUP(B902,'Relacion '!$E:$E,'Relacion '!$D:$D,"")</f>
        <v>02 MAPEO</v>
      </c>
      <c r="E902" s="233">
        <f t="shared" si="213"/>
        <v>478</v>
      </c>
      <c r="F902" s="234" cm="1">
        <f t="array" ref="F902">MIN(INDEX('Relacion '!$X$5:$AM$493,MATCH(INDEX($B:$B, (ROW()-0)),'Relacion '!$E$5:$E$493,0),0))</f>
        <v>45659</v>
      </c>
      <c r="G902" s="234" cm="1">
        <f t="array" ref="G902">MAX(INDEX('Relacion '!$X$5:$AM$493,MATCH(INDEX($B:$B, (ROW()-0)),'Relacion '!$E$5:$E$493,0),0))</f>
        <v>46137</v>
      </c>
      <c r="H902" s="235" t="e">
        <f>AVERAGE(H903:H910)</f>
        <v>#N/A</v>
      </c>
      <c r="I902" s="235">
        <f t="shared" ref="I902" ca="1" si="214">AVERAGE(I903:I910)</f>
        <v>1</v>
      </c>
      <c r="J902" s="236" t="str">
        <f>IF(ISNUMBER(SEARCH("Rocha", _xlfn.XLOOKUP(B902,'Relacion '!$E:$E,'Relacion '!$I:$I,""))), "Sí", "No")</f>
        <v>No</v>
      </c>
      <c r="K902" s="236" t="str">
        <f>IF(ISNUMBER(SEARCH("Rocha", _xlfn.XLOOKUP(B902,'Relacion '!$E:$E,'Relacion '!$I:$I,""))), "RMC", _xlfn.XLOOKUP(B902,'Relacion '!$E:$E,'Relacion '!$B:$B,""))</f>
        <v>Operaciones Captacion</v>
      </c>
      <c r="L902" s="236" t="str">
        <f>_xlfn.XLOOKUP(B902,'Relacion '!$E:$E,'Relacion '!$C:$C,"")</f>
        <v>Luis Alberto</v>
      </c>
    </row>
    <row r="903" spans="2:12" outlineLevel="1">
      <c r="B903" s="237" t="s">
        <v>654</v>
      </c>
      <c r="C903" s="237" t="s">
        <v>654</v>
      </c>
      <c r="D903" s="238" t="str">
        <f>_xlfn.XLOOKUP(B903,'Relacion '!$E:$E,'Relacion '!$D:$D,"")</f>
        <v/>
      </c>
      <c r="E903" s="239">
        <f t="shared" si="213"/>
        <v>424</v>
      </c>
      <c r="F903" s="240" cm="1">
        <f t="array" ref="F903">MIN(INDEX('Relacion '!$X$5:$Y$493,MATCH(INDEX($B:$B, (ROW()-1)),'Relacion '!$E$5:$E$493,0),0))</f>
        <v>45659</v>
      </c>
      <c r="G903" s="240" cm="1">
        <f t="array" ref="G903">MAX(INDEX('Relacion '!$X$5:$Y$493,MATCH(INDEX($B:$B, (ROW()-1)),'Relacion '!$E$5:$E$493,0),0))</f>
        <v>46083</v>
      </c>
      <c r="H903" s="241" t="e" cm="1">
        <f t="array" ref="H903">IF(
 MATCH(B903,{"01. ASIGNACION AREA";"02. MAPEO";"03. DESARROLLO";"04. VALIDA US";"05. VOBO US";"06. BW-EJECUCION";"07. VALIDACIÓN BAJAWARE";"08. CERRADA"},0)
 &lt;
 MATCH(_xlfn.XLOOKUP(INDEX($B:$B, (ROW()-1)),'Relacion '!$E:$E,'Relacion '!$D:$D,""),{"01. ASIGNACION AREA";"02. MAPEO";"03. DESARROLLO";"04. VALIDA US";"05. VOBO US";"06. BW-EJECUCION";"07. VALIDACIÓN BAJAWARE";"08. CERRADA"},0),
 1,
 IF(
  MATCH(B903,{"01. ASIGNACION AREA";"02. MAPEO";"03. DESARROLLO";"04. VALIDA US";"05. VOBO US";"06. BW-EJECUCION";"07. VALIDACIÓN BAJAWARE";"08. CERRADA"},0)
  =
  MATCH(_xlfn.XLOOKUP(INDEX($B:$B, (ROW()-1)),'Relacion '!$E:$E,'Relacion '!$D:$D,""),{"01. ASIGNACION AREA";"02. MAPEO";"03. DESARROLLO";"04. VALIDA US";"05. VOBO US";"06. BW-EJECUCION";"07. VALIDACIÓN BAJAWARE";"08. CERRADA"},0),
  _xlfn.XLOOKUP(INDEX($B:$B, (ROW()-1)),'Relacion '!$E:$E,'Relacion '!#REF!,0),
  0
 )
)</f>
        <v>#N/A</v>
      </c>
      <c r="I903" s="241">
        <f t="shared" ref="I903" ca="1" si="215">IF(G903&lt;=TODAY(), 1, 0)</f>
        <v>1</v>
      </c>
      <c r="J903" s="241"/>
      <c r="K903" s="241"/>
      <c r="L903" s="238"/>
    </row>
    <row r="904" spans="2:12" outlineLevel="1">
      <c r="B904" s="237" t="s">
        <v>195</v>
      </c>
      <c r="C904" s="237" t="s">
        <v>195</v>
      </c>
      <c r="D904" s="238" t="str">
        <f>_xlfn.XLOOKUP(B904,'Relacion '!$E:$E,'Relacion '!$D:$D,"")</f>
        <v/>
      </c>
      <c r="E904" s="239">
        <f t="shared" si="213"/>
        <v>14</v>
      </c>
      <c r="F904" s="240" cm="1">
        <f t="array" ref="F904">MIN(INDEX('Relacion '!$Z$5:$AA$493,MATCH(INDEX($B:$B, (ROW()-2)),'Relacion '!$E$5:$E$493,0),0))</f>
        <v>46041</v>
      </c>
      <c r="G904" s="240" cm="1">
        <f t="array" ref="G904">MAX(INDEX('Relacion '!$Z$5:$AA$493,MATCH(INDEX($B:$B, (ROW()-2)),'Relacion '!$E$5:$E$493,0),0))</f>
        <v>46055</v>
      </c>
      <c r="H904" s="241" t="e" cm="1">
        <f t="array" ref="H904">IF(
 MATCH(B904,{"01. ASIGNACION AREA";"02. MAPEO";"03. DESARROLLO";"04. VALIDA US";"05. VOBO US";"06. BW-EJECUCION";"07. VALIDACIÓN BAJAWARE";"08. CERRADA"},0)
 &lt;
 MATCH(_xlfn.XLOOKUP(INDEX($B:$B, (ROW()-2)),'Relacion '!$E:$E,'Relacion '!$D:$D,""),{"01. ASIGNACION AREA";"02. MAPEO";"03. DESARROLLO";"04. VALIDA US";"05. VOBO US";"06. BW-EJECUCION";"07. VALIDACIÓN BAJAWARE";"08. CERRADA"},0),
 1,
 IF(
  MATCH(B904,{"01. ASIGNACION AREA";"02. MAPEO";"03. DESARROLLO";"04. VALIDA US";"05. VOBO US";"06. BW-EJECUCION";"07. VALIDACIÓN BAJAWARE";"08. CERRADA"},0)
  =
  MATCH(_xlfn.XLOOKUP(INDEX($B:$B, (ROW()-2)),'Relacion '!$E:$E,'Relacion '!$D:$D,""),{"01. ASIGNACION AREA";"02. MAPEO";"03. DESARROLLO";"04. VALIDA US";"05. VOBO US";"06. BW-EJECUCION";"07. VALIDACIÓN BAJAWARE";"08. CERRADA"},0),
  _xlfn.XLOOKUP(INDEX($B:$B, (ROW()-2)),'Relacion '!$E:$E,'Relacion '!#REF!,0),
  0
 )
)</f>
        <v>#N/A</v>
      </c>
      <c r="I904" s="241">
        <f t="shared" ca="1" si="212"/>
        <v>1</v>
      </c>
      <c r="J904" s="241"/>
      <c r="K904" s="241"/>
      <c r="L904" s="238"/>
    </row>
    <row r="905" spans="2:12" outlineLevel="1">
      <c r="B905" s="237" t="s">
        <v>49</v>
      </c>
      <c r="C905" s="237" t="s">
        <v>49</v>
      </c>
      <c r="D905" s="238" t="str">
        <f>_xlfn.XLOOKUP(B905,'Relacion '!$E:$E,'Relacion '!$D:$D,"")</f>
        <v/>
      </c>
      <c r="E905" s="239">
        <f t="shared" si="213"/>
        <v>17</v>
      </c>
      <c r="F905" s="240" cm="1">
        <f t="array" ref="F905">MIN(INDEX('Relacion '!$AB$5:$AC$493,MATCH(INDEX($B:$B, (ROW()-3)),'Relacion '!$E$5:$E$493,0),0))</f>
        <v>46056</v>
      </c>
      <c r="G905" s="240" cm="1">
        <f t="array" ref="G905">MAX(INDEX('Relacion '!$AB$5:$AC$493,MATCH(INDEX($B:$B, (ROW()-3)),'Relacion '!$E$5:$E$493,0),0))</f>
        <v>46073</v>
      </c>
      <c r="H905" s="241" t="e" cm="1">
        <f t="array" ref="H905">IF(
 MATCH(B905,{"01. ASIGNACION AREA";"02. MAPEO";"03. DESARROLLO";"04. VALIDA US";"05. VOBO US";"06. BW-EJECUCION";"07. VALIDACIÓN BAJAWARE";"08. CERRADA"},0)
 &lt;
 MATCH(_xlfn.XLOOKUP(INDEX($B:$B, (ROW()-3)),'Relacion '!$E:$E,'Relacion '!$D:$D,""),{"01. ASIGNACION AREA";"02. MAPEO";"03. DESARROLLO";"04. VALIDA US";"05. VOBO US";"06. BW-EJECUCION";"07. VALIDACIÓN BAJAWARE";"08. CERRADA"},0),
 1,
 IF(
  MATCH(B905,{"01. ASIGNACION AREA";"02. MAPEO";"03. DESARROLLO";"04. VALIDA US";"05. VOBO US";"06. BW-EJECUCION";"07. VALIDACIÓN BAJAWARE";"08. CERRADA"},0)
  =
  MATCH(_xlfn.XLOOKUP(INDEX($B:$B, (ROW()-3)),'Relacion '!$E:$E,'Relacion '!$D:$D,""),{"01. ASIGNACION AREA";"02. MAPEO";"03. DESARROLLO";"04. VALIDA US";"05. VOBO US";"06. BW-EJECUCION";"07. VALIDACIÓN BAJAWARE";"08. CERRADA"},0),
  _xlfn.XLOOKUP(INDEX($B:$B, (ROW()-3)),'Relacion '!$E:$E,'Relacion '!#REF!,0),
  0
 )
)</f>
        <v>#N/A</v>
      </c>
      <c r="I905" s="241">
        <f t="shared" ca="1" si="212"/>
        <v>1</v>
      </c>
      <c r="J905" s="241"/>
      <c r="K905" s="241"/>
      <c r="L905" s="238"/>
    </row>
    <row r="906" spans="2:12" outlineLevel="1">
      <c r="B906" s="237" t="s">
        <v>324</v>
      </c>
      <c r="C906" s="237" t="s">
        <v>324</v>
      </c>
      <c r="D906" s="238" t="str">
        <f>_xlfn.XLOOKUP(B906,'Relacion '!$E:$E,'Relacion '!$D:$D,"")</f>
        <v/>
      </c>
      <c r="E906" s="239">
        <f t="shared" si="213"/>
        <v>18</v>
      </c>
      <c r="F906" s="240" cm="1">
        <f t="array" ref="F906">MIN(INDEX('Relacion '!$AD$5:$AE$493,MATCH(INDEX($B:$B, (ROW()-4)),'Relacion '!$E$5:$E$493,0),0))</f>
        <v>46076</v>
      </c>
      <c r="G906" s="240" cm="1">
        <f t="array" ref="G906">MAX(INDEX('Relacion '!$AD$5:$AE$493,MATCH(INDEX($B:$B, (ROW()-4)),'Relacion '!$E$5:$E$493,0),0))</f>
        <v>46094</v>
      </c>
      <c r="H906" s="241" t="e" cm="1">
        <f t="array" ref="H906">IF(
 MATCH(B906,{"01. ASIGNACION AREA";"02. MAPEO";"03. DESARROLLO";"04. VALIDA US";"05. VOBO US";"06. BW-EJECUCION";"07. VALIDACIÓN BAJAWARE";"08. CERRADA"},0)
 &lt;
 MATCH(_xlfn.XLOOKUP(INDEX($B:$B, (ROW()-4)),'Relacion '!$E:$E,'Relacion '!$D:$D,""),{"01. ASIGNACION AREA";"02. MAPEO";"03. DESARROLLO";"04. VALIDA US";"05. VOBO US";"06. BW-EJECUCION";"07. VALIDACIÓN BAJAWARE";"08. CERRADA"},0),
 1,
 IF(
  MATCH(B906,{"01. ASIGNACION AREA";"02. MAPEO";"03. DESARROLLO";"04. VALIDA US";"05. VOBO US";"06. BW-EJECUCION";"07. VALIDACIÓN BAJAWARE";"08. CERRADA"},0)
  =
  MATCH(_xlfn.XLOOKUP(INDEX($B:$B, (ROW()-4)),'Relacion '!$E:$E,'Relacion '!$D:$D,""),{"01. ASIGNACION AREA";"02. MAPEO";"03. DESARROLLO";"04. VALIDA US";"05. VOBO US";"06. BW-EJECUCION";"07. VALIDACIÓN BAJAWARE";"08. CERRADA"},0),
  _xlfn.XLOOKUP(INDEX($B:$B, (ROW()-4)),'Relacion '!$E:$E,'Relacion '!#REF!,0),
  0
 )
)</f>
        <v>#N/A</v>
      </c>
      <c r="I906" s="241">
        <f t="shared" ca="1" si="212"/>
        <v>1</v>
      </c>
      <c r="J906" s="241"/>
      <c r="K906" s="241"/>
      <c r="L906" s="238"/>
    </row>
    <row r="907" spans="2:12" outlineLevel="1">
      <c r="B907" s="237" t="s">
        <v>320</v>
      </c>
      <c r="C907" s="237" t="s">
        <v>320</v>
      </c>
      <c r="D907" s="238" t="str">
        <f>_xlfn.XLOOKUP(B907,'Relacion '!$E:$E,'Relacion '!$D:$D,"")</f>
        <v/>
      </c>
      <c r="E907" s="239">
        <f t="shared" si="213"/>
        <v>1</v>
      </c>
      <c r="F907" s="240" cm="1">
        <f t="array" ref="F907">MIN(INDEX('Relacion '!$AF$5:$AG$493,MATCH(INDEX($B:$B, (ROW()-5)),'Relacion '!$E$5:$E$493,0),0))</f>
        <v>46093</v>
      </c>
      <c r="G907" s="240" cm="1">
        <f t="array" ref="G907">MAX(INDEX('Relacion '!$AF$5:$AG$493,MATCH(INDEX($B:$B, (ROW()-5)),'Relacion '!$E$5:$E$493,0),0))</f>
        <v>46094</v>
      </c>
      <c r="H907" s="241" t="e" cm="1">
        <f t="array" ref="H907">IF(
 MATCH(B907,{"01. ASIGNACION AREA";"02. MAPEO";"03. DESARROLLO";"04. VALIDA US";"05. VOBO US";"06. BW-EJECUCION";"07. VALIDACIÓN BAJAWARE";"08. CERRADA"},0)
 &lt;
 MATCH(_xlfn.XLOOKUP(INDEX($B:$B, (ROW()-5)),'Relacion '!$E:$E,'Relacion '!$D:$D,""),{"01. ASIGNACION AREA";"02. MAPEO";"03. DESARROLLO";"04. VALIDA US";"05. VOBO US";"06. BW-EJECUCION";"07. VALIDACIÓN BAJAWARE";"08. CERRADA"},0),
 1,
 IF(
  MATCH(B907,{"01. ASIGNACION AREA";"02. MAPEO";"03. DESARROLLO";"04. VALIDA US";"05. VOBO US";"06. BW-EJECUCION";"07. VALIDACIÓN BAJAWARE";"08. CERRADA"},0)
  =
  MATCH(_xlfn.XLOOKUP(INDEX($B:$B, (ROW()-5)),'Relacion '!$E:$E,'Relacion '!$D:$D,""),{"01. ASIGNACION AREA";"02. MAPEO";"03. DESARROLLO";"04. VALIDA US";"05. VOBO US";"06. BW-EJECUCION";"07. VALIDACIÓN BAJAWARE";"08. CERRADA"},0),
  _xlfn.XLOOKUP(INDEX($B:$B, (ROW()-5)),'Relacion '!$E:$E,'Relacion '!#REF!,0),
  0
 )
)</f>
        <v>#N/A</v>
      </c>
      <c r="I907" s="241">
        <f t="shared" ca="1" si="212"/>
        <v>1</v>
      </c>
      <c r="J907" s="241"/>
      <c r="K907" s="241"/>
      <c r="L907" s="238"/>
    </row>
    <row r="908" spans="2:12" outlineLevel="1">
      <c r="B908" s="237" t="s">
        <v>710</v>
      </c>
      <c r="C908" s="237" t="s">
        <v>710</v>
      </c>
      <c r="D908" s="238" t="str">
        <f>_xlfn.XLOOKUP(B908,'Relacion '!$E:$E,'Relacion '!$D:$D,"")</f>
        <v/>
      </c>
      <c r="E908" s="239">
        <f t="shared" si="213"/>
        <v>18</v>
      </c>
      <c r="F908" s="240" cm="1">
        <f t="array" ref="F908">MIN(INDEX('Relacion '!$AH$5:$AI$493,MATCH(INDEX($B:$B, (ROW()-6)),'Relacion '!$E$5:$E$493,0),0))</f>
        <v>46097</v>
      </c>
      <c r="G908" s="240" cm="1">
        <f t="array" ref="G908">MAX(INDEX('Relacion '!$AH$5:$AI$493,MATCH(INDEX($B:$B, (ROW()-6)),'Relacion '!$E$5:$E$493,0),0))</f>
        <v>46115</v>
      </c>
      <c r="H908" s="241" t="e" cm="1">
        <f t="array" ref="H908">IF(
 MATCH(B908,{"01. ASIGNACION AREA";"02. MAPEO";"03. DESARROLLO";"04. VALIDA US";"05. VOBO US";"06. BW-EJECUCION";"07. VALIDACIÓN BAJAWARE";"08. CERRADA"},0)
 &lt;
 MATCH(_xlfn.XLOOKUP(INDEX($B:$B, (ROW()-6)),'Relacion '!$E:$E,'Relacion '!$D:$D,""),{"01. ASIGNACION AREA";"02. MAPEO";"03. DESARROLLO";"04. VALIDA US";"05. VOBO US";"06. BW-EJECUCION";"07. VALIDACIÓN BAJAWARE";"08. CERRADA"},0),
 1,
 IF(
  MATCH(B908,{"01. ASIGNACION AREA";"02. MAPEO";"03. DESARROLLO";"04. VALIDA US";"05. VOBO US";"06. BW-EJECUCION";"07. VALIDACIÓN BAJAWARE";"08. CERRADA"},0)
  =
  MATCH(_xlfn.XLOOKUP(INDEX($B:$B, (ROW()-6)),'Relacion '!$E:$E,'Relacion '!$D:$D,""),{"01. ASIGNACION AREA";"02. MAPEO";"03. DESARROLLO";"04. VALIDA US";"05. VOBO US";"06. BW-EJECUCION";"07. VALIDACIÓN BAJAWARE";"08. CERRADA"},0),
  _xlfn.XLOOKUP(INDEX($B:$B, (ROW()-6)),'Relacion '!$E:$E,'Relacion '!#REF!,0),
  0
 )
)</f>
        <v>#N/A</v>
      </c>
      <c r="I908" s="241">
        <f t="shared" ca="1" si="212"/>
        <v>1</v>
      </c>
      <c r="J908" s="241"/>
      <c r="K908" s="241"/>
      <c r="L908" s="238"/>
    </row>
    <row r="909" spans="2:12" outlineLevel="1">
      <c r="B909" s="237" t="s">
        <v>655</v>
      </c>
      <c r="C909" s="237" t="s">
        <v>655</v>
      </c>
      <c r="D909" s="238" t="str">
        <f>_xlfn.XLOOKUP(B909,'Relacion '!$E:$E,'Relacion '!$D:$D,"")</f>
        <v/>
      </c>
      <c r="E909" s="239">
        <f t="shared" si="213"/>
        <v>18</v>
      </c>
      <c r="F909" s="240" cm="1">
        <f t="array" ref="F909">MIN(INDEX('Relacion '!$AJ$5:$AK$493,MATCH(INDEX($B:$B, (ROW()-7)),'Relacion '!$E$5:$E$493,0),0))</f>
        <v>46118</v>
      </c>
      <c r="G909" s="240" cm="1">
        <f t="array" ref="G909">MAX(INDEX('Relacion '!$AJ$5:$AK$493,MATCH(INDEX($B:$B, (ROW()-7)),'Relacion '!$E$5:$E$493,0),0))</f>
        <v>46136</v>
      </c>
      <c r="H909" s="241" t="e" cm="1">
        <f t="array" ref="H909">IF(
 MATCH(B909,{"01. ASIGNACION AREA";"02. MAPEO";"03. DESARROLLO";"04. VALIDA US";"05. VOBO US";"06. BW-EJECUCION";"07. VALIDACIÓN BAJAWARE";"08. CERRADA"},0)
 &lt;
 MATCH(_xlfn.XLOOKUP(INDEX($B:$B, (ROW()-7)),'Relacion '!$E:$E,'Relacion '!$D:$D,""),{"01. ASIGNACION AREA";"02. MAPEO";"03. DESARROLLO";"04. VALIDA US";"05. VOBO US";"06. BW-EJECUCION";"07. VALIDACIÓN BAJAWARE";"08. CERRADA"},0),
 1,
 IF(
  MATCH(B909,{"01. ASIGNACION AREA";"02. MAPEO";"03. DESARROLLO";"04. VALIDA US";"05. VOBO US";"06. BW-EJECUCION";"07. VALIDACIÓN BAJAWARE";"08. CERRADA"},0)
  =
  MATCH(_xlfn.XLOOKUP(INDEX($B:$B, (ROW()-7)),'Relacion '!$E:$E,'Relacion '!$D:$D,""),{"01. ASIGNACION AREA";"02. MAPEO";"03. DESARROLLO";"04. VALIDA US";"05. VOBO US";"06. BW-EJECUCION";"07. VALIDACIÓN BAJAWARE";"08. CERRADA"},0),
  _xlfn.XLOOKUP(INDEX($B:$B, (ROW()-7)),'Relacion '!$E:$E,'Relacion '!#REF!,0),
  0
 )
)</f>
        <v>#N/A</v>
      </c>
      <c r="I909" s="241">
        <f t="shared" ca="1" si="212"/>
        <v>1</v>
      </c>
      <c r="J909" s="241"/>
      <c r="K909" s="241"/>
      <c r="L909" s="238"/>
    </row>
    <row r="910" spans="2:12" outlineLevel="1">
      <c r="B910" s="237" t="s">
        <v>656</v>
      </c>
      <c r="C910" s="237" t="s">
        <v>656</v>
      </c>
      <c r="D910" s="238" t="str">
        <f>_xlfn.XLOOKUP(B910,'Relacion '!$E:$E,'Relacion '!$D:$D,"")</f>
        <v/>
      </c>
      <c r="E910" s="239">
        <f t="shared" si="213"/>
        <v>0</v>
      </c>
      <c r="F910" s="240" cm="1">
        <f t="array" ref="F910">MIN(INDEX('Relacion '!$AL$5:$AM$493,MATCH(INDEX($B:$B, (ROW()-8)),'Relacion '!$E$5:$E$493,0),0))</f>
        <v>46137</v>
      </c>
      <c r="G910" s="240" cm="1">
        <f t="array" ref="G910">MAX(INDEX('Relacion '!$AL$5:$AM$493,MATCH(INDEX($B:$B, (ROW()-8)),'Relacion '!$E$5:$E$493,0),0))</f>
        <v>46137</v>
      </c>
      <c r="H910" s="241" t="e" cm="1">
        <f t="array" ref="H910">IF(
 MATCH(B910,{"01. ASIGNACION AREA";"02. MAPEO";"03. DESARROLLO";"04. VALIDA US";"05. VOBO US";"06. BW-EJECUCION";"07. VALIDACIÓN BAJAWARE";"08. CERRADA"},0)
 &lt;
 MATCH(_xlfn.XLOOKUP(INDEX($B:$B, (ROW()-8)),'Relacion '!$E:$E,'Relacion '!$D:$D,""),{"01. ASIGNACION AREA";"02. MAPEO";"03. DESARROLLO";"04. VALIDA US";"05. VOBO US";"06. BW-EJECUCION";"07. VALIDACIÓN BAJAWARE";"08. CERRADA"},0),
 1,
 IF(
  MATCH(B910,{"01. ASIGNACION AREA";"02. MAPEO";"03. DESARROLLO";"04. VALIDA US";"05. VOBO US";"06. BW-EJECUCION";"07. VALIDACIÓN BAJAWARE";"08. CERRADA"},0)
  =
  MATCH(_xlfn.XLOOKUP(INDEX($B:$B, (ROW()-8)),'Relacion '!$E:$E,'Relacion '!$D:$D,""),{"01. ASIGNACION AREA";"02. MAPEO";"03. DESARROLLO";"04. VALIDA US";"05. VOBO US";"06. BW-EJECUCION";"07. VALIDACIÓN BAJAWARE";"08. CERRADA"},0),
  _xlfn.XLOOKUP(INDEX($B:$B, (ROW()-8)),'Relacion '!$E:$E,'Relacion '!#REF!,0),
  0
 )
)</f>
        <v>#N/A</v>
      </c>
      <c r="I910" s="241">
        <f t="shared" ca="1" si="212"/>
        <v>1</v>
      </c>
      <c r="J910" s="241"/>
      <c r="K910" s="241"/>
      <c r="L910" s="238"/>
    </row>
    <row r="911" spans="2:12">
      <c r="B911" s="232" t="s">
        <v>275</v>
      </c>
      <c r="C911" s="137" t="s">
        <v>276</v>
      </c>
      <c r="D911" s="236" t="str">
        <f>_xlfn.XLOOKUP(B911,'Relacion '!$E:$E,'Relacion '!$D:$D,"")</f>
        <v>02. MAPEO</v>
      </c>
      <c r="E911" s="233">
        <f t="shared" si="213"/>
        <v>178</v>
      </c>
      <c r="F911" s="234" cm="1">
        <f t="array" ref="F911">MIN(INDEX('Relacion '!$X$5:$AM$493,MATCH(INDEX($B:$B, (ROW()-0)),'Relacion '!$E$5:$E$493,0),0))</f>
        <v>46024</v>
      </c>
      <c r="G911" s="234" cm="1">
        <f t="array" ref="G911">MAX(INDEX('Relacion '!$X$5:$AM$493,MATCH(INDEX($B:$B, (ROW()-0)),'Relacion '!$E$5:$E$493,0),0))</f>
        <v>46202</v>
      </c>
      <c r="H911" s="235" t="e">
        <f>AVERAGE(H912:H919)</f>
        <v>#REF!</v>
      </c>
      <c r="I911" s="235">
        <f t="shared" ref="I911" ca="1" si="216">AVERAGE(I912:I919)</f>
        <v>0.375</v>
      </c>
      <c r="J911" s="236" t="str">
        <f>IF(ISNUMBER(SEARCH("Rocha", _xlfn.XLOOKUP(B911,'Relacion '!$E:$E,'Relacion '!$I:$I,""))), "Sí", "No")</f>
        <v>Sí</v>
      </c>
      <c r="K911" s="236" t="str">
        <f>IF(ISNUMBER(SEARCH("Rocha", _xlfn.XLOOKUP(B911,'Relacion '!$E:$E,'Relacion '!$I:$I,""))), "RMC", _xlfn.XLOOKUP(B911,'Relacion '!$E:$E,'Relacion '!$B:$B,""))</f>
        <v>RMC</v>
      </c>
      <c r="L911" s="236" t="str">
        <f>_xlfn.XLOOKUP(B911,'Relacion '!$E:$E,'Relacion '!$C:$C,"")</f>
        <v>Homero Sanchez</v>
      </c>
    </row>
    <row r="912" spans="2:12" outlineLevel="1">
      <c r="B912" s="237" t="s">
        <v>654</v>
      </c>
      <c r="C912" s="237" t="s">
        <v>654</v>
      </c>
      <c r="D912" s="238" t="str">
        <f>_xlfn.XLOOKUP(B912,'Relacion '!$E:$E,'Relacion '!$D:$D,"")</f>
        <v/>
      </c>
      <c r="E912" s="239">
        <f t="shared" si="213"/>
        <v>59</v>
      </c>
      <c r="F912" s="240" cm="1">
        <f t="array" ref="F912">MIN(INDEX('Relacion '!$X$5:$Y$493,MATCH(INDEX($B:$B, (ROW()-1)),'Relacion '!$E$5:$E$493,0),0))</f>
        <v>46024</v>
      </c>
      <c r="G912" s="240" cm="1">
        <f t="array" ref="G912">MAX(INDEX('Relacion '!$X$5:$Y$493,MATCH(INDEX($B:$B, (ROW()-1)),'Relacion '!$E$5:$E$493,0),0))</f>
        <v>46083</v>
      </c>
      <c r="H912" s="241" cm="1">
        <f t="array" ref="H912">IF(
 MATCH(B912,{"01. ASIGNACION AREA";"02. MAPEO";"03. DESARROLLO";"04. VALIDA US";"05. VOBO US";"06. BW-EJECUCION";"07. VALIDACIÓN BAJAWARE";"08. CERRADA"},0)
 &lt;
 MATCH(_xlfn.XLOOKUP(INDEX($B:$B, (ROW()-1)),'Relacion '!$E:$E,'Relacion '!$D:$D,""),{"01. ASIGNACION AREA";"02. MAPEO";"03. DESARROLLO";"04. VALIDA US";"05. VOBO US";"06. BW-EJECUCION";"07. VALIDACIÓN BAJAWARE";"08. CERRADA"},0),
 1,
 IF(
  MATCH(B912,{"01. ASIGNACION AREA";"02. MAPEO";"03. DESARROLLO";"04. VALIDA US";"05. VOBO US";"06. BW-EJECUCION";"07. VALIDACIÓN BAJAWARE";"08. CERRADA"},0)
  =
  MATCH(_xlfn.XLOOKUP(INDEX($B:$B, (ROW()-1)),'Relacion '!$E:$E,'Relacion '!$D:$D,""),{"01. ASIGNACION AREA";"02. MAPEO";"03. DESARROLLO";"04. VALIDA US";"05. VOBO US";"06. BW-EJECUCION";"07. VALIDACIÓN BAJAWARE";"08. CERRADA"},0),
  _xlfn.XLOOKUP(INDEX($B:$B, (ROW()-1)),'Relacion '!$E:$E,'Relacion '!#REF!,0),
  0
 )
)</f>
        <v>1</v>
      </c>
      <c r="I912" s="241">
        <f t="shared" ref="I912" ca="1" si="217">IF(G912&lt;=TODAY(), 1, 0)</f>
        <v>1</v>
      </c>
      <c r="J912" s="241"/>
      <c r="K912" s="241"/>
      <c r="L912" s="238"/>
    </row>
    <row r="913" spans="2:12" outlineLevel="1">
      <c r="B913" s="237" t="s">
        <v>195</v>
      </c>
      <c r="C913" s="237" t="s">
        <v>195</v>
      </c>
      <c r="D913" s="238" t="str">
        <f>_xlfn.XLOOKUP(B913,'Relacion '!$E:$E,'Relacion '!$D:$D,"")</f>
        <v/>
      </c>
      <c r="E913" s="239">
        <f t="shared" si="213"/>
        <v>49</v>
      </c>
      <c r="F913" s="240" cm="1">
        <f t="array" ref="F913">MIN(INDEX('Relacion '!$Z$5:$AA$493,MATCH(INDEX($B:$B, (ROW()-2)),'Relacion '!$E$5:$E$493,0),0))</f>
        <v>46093</v>
      </c>
      <c r="G913" s="240" cm="1">
        <f t="array" ref="G913">MAX(INDEX('Relacion '!$Z$5:$AA$493,MATCH(INDEX($B:$B, (ROW()-2)),'Relacion '!$E$5:$E$493,0),0))</f>
        <v>46142</v>
      </c>
      <c r="H913" s="241" t="e" cm="1">
        <f t="array" ref="H913">IF(
 MATCH(B913,{"01. ASIGNACION AREA";"02. MAPEO";"03. DESARROLLO";"04. VALIDA US";"05. VOBO US";"06. BW-EJECUCION";"07. VALIDACIÓN BAJAWARE";"08. CERRADA"},0)
 &lt;
 MATCH(_xlfn.XLOOKUP(INDEX($B:$B, (ROW()-2)),'Relacion '!$E:$E,'Relacion '!$D:$D,""),{"01. ASIGNACION AREA";"02. MAPEO";"03. DESARROLLO";"04. VALIDA US";"05. VOBO US";"06. BW-EJECUCION";"07. VALIDACIÓN BAJAWARE";"08. CERRADA"},0),
 1,
 IF(
  MATCH(B913,{"01. ASIGNACION AREA";"02. MAPEO";"03. DESARROLLO";"04. VALIDA US";"05. VOBO US";"06. BW-EJECUCION";"07. VALIDACIÓN BAJAWARE";"08. CERRADA"},0)
  =
  MATCH(_xlfn.XLOOKUP(INDEX($B:$B, (ROW()-2)),'Relacion '!$E:$E,'Relacion '!$D:$D,""),{"01. ASIGNACION AREA";"02. MAPEO";"03. DESARROLLO";"04. VALIDA US";"05. VOBO US";"06. BW-EJECUCION";"07. VALIDACIÓN BAJAWARE";"08. CERRADA"},0),
  _xlfn.XLOOKUP(INDEX($B:$B, (ROW()-2)),'Relacion '!$E:$E,'Relacion '!#REF!,0),
  0
 )
)</f>
        <v>#REF!</v>
      </c>
      <c r="I913" s="241">
        <f t="shared" ca="1" si="212"/>
        <v>1</v>
      </c>
      <c r="J913" s="241"/>
      <c r="K913" s="241"/>
      <c r="L913" s="238"/>
    </row>
    <row r="914" spans="2:12" outlineLevel="1">
      <c r="B914" s="237" t="s">
        <v>49</v>
      </c>
      <c r="C914" s="237" t="s">
        <v>49</v>
      </c>
      <c r="D914" s="238" t="str">
        <f>_xlfn.XLOOKUP(B914,'Relacion '!$E:$E,'Relacion '!$D:$D,"")</f>
        <v/>
      </c>
      <c r="E914" s="239">
        <f t="shared" si="213"/>
        <v>18</v>
      </c>
      <c r="F914" s="240" cm="1">
        <f t="array" ref="F914">MIN(INDEX('Relacion '!$AB$5:$AC$493,MATCH(INDEX($B:$B, (ROW()-3)),'Relacion '!$E$5:$E$493,0),0))</f>
        <v>46146</v>
      </c>
      <c r="G914" s="240" cm="1">
        <f t="array" ref="G914">MAX(INDEX('Relacion '!$AB$5:$AC$493,MATCH(INDEX($B:$B, (ROW()-3)),'Relacion '!$E$5:$E$493,0),0))</f>
        <v>46164</v>
      </c>
      <c r="H914" s="241" cm="1">
        <f t="array" ref="H914">IF(
 MATCH(B914,{"01. ASIGNACION AREA";"02. MAPEO";"03. DESARROLLO";"04. VALIDA US";"05. VOBO US";"06. BW-EJECUCION";"07. VALIDACIÓN BAJAWARE";"08. CERRADA"},0)
 &lt;
 MATCH(_xlfn.XLOOKUP(INDEX($B:$B, (ROW()-3)),'Relacion '!$E:$E,'Relacion '!$D:$D,""),{"01. ASIGNACION AREA";"02. MAPEO";"03. DESARROLLO";"04. VALIDA US";"05. VOBO US";"06. BW-EJECUCION";"07. VALIDACIÓN BAJAWARE";"08. CERRADA"},0),
 1,
 IF(
  MATCH(B914,{"01. ASIGNACION AREA";"02. MAPEO";"03. DESARROLLO";"04. VALIDA US";"05. VOBO US";"06. BW-EJECUCION";"07. VALIDACIÓN BAJAWARE";"08. CERRADA"},0)
  =
  MATCH(_xlfn.XLOOKUP(INDEX($B:$B, (ROW()-3)),'Relacion '!$E:$E,'Relacion '!$D:$D,""),{"01. ASIGNACION AREA";"02. MAPEO";"03. DESARROLLO";"04. VALIDA US";"05. VOBO US";"06. BW-EJECUCION";"07. VALIDACIÓN BAJAWARE";"08. CERRADA"},0),
  _xlfn.XLOOKUP(INDEX($B:$B, (ROW()-3)),'Relacion '!$E:$E,'Relacion '!#REF!,0),
  0
 )
)</f>
        <v>0</v>
      </c>
      <c r="I914" s="241">
        <f t="shared" ca="1" si="212"/>
        <v>1</v>
      </c>
      <c r="J914" s="241"/>
      <c r="K914" s="241"/>
      <c r="L914" s="238"/>
    </row>
    <row r="915" spans="2:12" outlineLevel="1">
      <c r="B915" s="237" t="s">
        <v>324</v>
      </c>
      <c r="C915" s="237" t="s">
        <v>324</v>
      </c>
      <c r="D915" s="238" t="str">
        <f>_xlfn.XLOOKUP(B915,'Relacion '!$E:$E,'Relacion '!$D:$D,"")</f>
        <v/>
      </c>
      <c r="E915" s="239">
        <f t="shared" si="213"/>
        <v>11</v>
      </c>
      <c r="F915" s="240" cm="1">
        <f t="array" ref="F915">MIN(INDEX('Relacion '!$AD$5:$AE$493,MATCH(INDEX($B:$B, (ROW()-4)),'Relacion '!$E$5:$E$493,0),0))</f>
        <v>46167</v>
      </c>
      <c r="G915" s="240" cm="1">
        <f t="array" ref="G915">MAX(INDEX('Relacion '!$AD$5:$AE$493,MATCH(INDEX($B:$B, (ROW()-4)),'Relacion '!$E$5:$E$493,0),0))</f>
        <v>46178</v>
      </c>
      <c r="H915" s="241" cm="1">
        <f t="array" ref="H915">IF(
 MATCH(B915,{"01. ASIGNACION AREA";"02. MAPEO";"03. DESARROLLO";"04. VALIDA US";"05. VOBO US";"06. BW-EJECUCION";"07. VALIDACIÓN BAJAWARE";"08. CERRADA"},0)
 &lt;
 MATCH(_xlfn.XLOOKUP(INDEX($B:$B, (ROW()-4)),'Relacion '!$E:$E,'Relacion '!$D:$D,""),{"01. ASIGNACION AREA";"02. MAPEO";"03. DESARROLLO";"04. VALIDA US";"05. VOBO US";"06. BW-EJECUCION";"07. VALIDACIÓN BAJAWARE";"08. CERRADA"},0),
 1,
 IF(
  MATCH(B915,{"01. ASIGNACION AREA";"02. MAPEO";"03. DESARROLLO";"04. VALIDA US";"05. VOBO US";"06. BW-EJECUCION";"07. VALIDACIÓN BAJAWARE";"08. CERRADA"},0)
  =
  MATCH(_xlfn.XLOOKUP(INDEX($B:$B, (ROW()-4)),'Relacion '!$E:$E,'Relacion '!$D:$D,""),{"01. ASIGNACION AREA";"02. MAPEO";"03. DESARROLLO";"04. VALIDA US";"05. VOBO US";"06. BW-EJECUCION";"07. VALIDACIÓN BAJAWARE";"08. CERRADA"},0),
  _xlfn.XLOOKUP(INDEX($B:$B, (ROW()-4)),'Relacion '!$E:$E,'Relacion '!#REF!,0),
  0
 )
)</f>
        <v>0</v>
      </c>
      <c r="I915" s="241">
        <f t="shared" ca="1" si="212"/>
        <v>0</v>
      </c>
      <c r="J915" s="241"/>
      <c r="K915" s="241"/>
      <c r="L915" s="238"/>
    </row>
    <row r="916" spans="2:12" outlineLevel="1">
      <c r="B916" s="237" t="s">
        <v>320</v>
      </c>
      <c r="C916" s="237" t="s">
        <v>320</v>
      </c>
      <c r="D916" s="238" t="str">
        <f>_xlfn.XLOOKUP(B916,'Relacion '!$E:$E,'Relacion '!$D:$D,"")</f>
        <v/>
      </c>
      <c r="E916" s="239">
        <f t="shared" si="213"/>
        <v>3</v>
      </c>
      <c r="F916" s="240" cm="1">
        <f t="array" ref="F916">MIN(INDEX('Relacion '!$AF$5:$AG$493,MATCH(INDEX($B:$B, (ROW()-5)),'Relacion '!$E$5:$E$493,0),0))</f>
        <v>46178</v>
      </c>
      <c r="G916" s="240" cm="1">
        <f t="array" ref="G916">MAX(INDEX('Relacion '!$AF$5:$AG$493,MATCH(INDEX($B:$B, (ROW()-5)),'Relacion '!$E$5:$E$493,0),0))</f>
        <v>46181</v>
      </c>
      <c r="H916" s="241" cm="1">
        <f t="array" ref="H916">IF(
 MATCH(B916,{"01. ASIGNACION AREA";"02. MAPEO";"03. DESARROLLO";"04. VALIDA US";"05. VOBO US";"06. BW-EJECUCION";"07. VALIDACIÓN BAJAWARE";"08. CERRADA"},0)
 &lt;
 MATCH(_xlfn.XLOOKUP(INDEX($B:$B, (ROW()-5)),'Relacion '!$E:$E,'Relacion '!$D:$D,""),{"01. ASIGNACION AREA";"02. MAPEO";"03. DESARROLLO";"04. VALIDA US";"05. VOBO US";"06. BW-EJECUCION";"07. VALIDACIÓN BAJAWARE";"08. CERRADA"},0),
 1,
 IF(
  MATCH(B916,{"01. ASIGNACION AREA";"02. MAPEO";"03. DESARROLLO";"04. VALIDA US";"05. VOBO US";"06. BW-EJECUCION";"07. VALIDACIÓN BAJAWARE";"08. CERRADA"},0)
  =
  MATCH(_xlfn.XLOOKUP(INDEX($B:$B, (ROW()-5)),'Relacion '!$E:$E,'Relacion '!$D:$D,""),{"01. ASIGNACION AREA";"02. MAPEO";"03. DESARROLLO";"04. VALIDA US";"05. VOBO US";"06. BW-EJECUCION";"07. VALIDACIÓN BAJAWARE";"08. CERRADA"},0),
  _xlfn.XLOOKUP(INDEX($B:$B, (ROW()-5)),'Relacion '!$E:$E,'Relacion '!#REF!,0),
  0
 )
)</f>
        <v>0</v>
      </c>
      <c r="I916" s="241">
        <f t="shared" ca="1" si="212"/>
        <v>0</v>
      </c>
      <c r="J916" s="241"/>
      <c r="K916" s="241"/>
      <c r="L916" s="238"/>
    </row>
    <row r="917" spans="2:12" outlineLevel="1">
      <c r="B917" s="237" t="s">
        <v>710</v>
      </c>
      <c r="C917" s="237" t="s">
        <v>710</v>
      </c>
      <c r="D917" s="238" t="str">
        <f>_xlfn.XLOOKUP(B917,'Relacion '!$E:$E,'Relacion '!$D:$D,"")</f>
        <v/>
      </c>
      <c r="E917" s="239">
        <f t="shared" si="213"/>
        <v>3</v>
      </c>
      <c r="F917" s="240" cm="1">
        <f t="array" ref="F917">MIN(INDEX('Relacion '!$AH$5:$AI$493,MATCH(INDEX($B:$B, (ROW()-6)),'Relacion '!$E$5:$E$493,0),0))</f>
        <v>46182</v>
      </c>
      <c r="G917" s="240" cm="1">
        <f t="array" ref="G917">MAX(INDEX('Relacion '!$AH$5:$AI$493,MATCH(INDEX($B:$B, (ROW()-6)),'Relacion '!$E$5:$E$493,0),0))</f>
        <v>46185</v>
      </c>
      <c r="H917" s="241" cm="1">
        <f t="array" ref="H917">IF(
 MATCH(B917,{"01. ASIGNACION AREA";"02. MAPEO";"03. DESARROLLO";"04. VALIDA US";"05. VOBO US";"06. BW-EJECUCION";"07. VALIDACIÓN BAJAWARE";"08. CERRADA"},0)
 &lt;
 MATCH(_xlfn.XLOOKUP(INDEX($B:$B, (ROW()-6)),'Relacion '!$E:$E,'Relacion '!$D:$D,""),{"01. ASIGNACION AREA";"02. MAPEO";"03. DESARROLLO";"04. VALIDA US";"05. VOBO US";"06. BW-EJECUCION";"07. VALIDACIÓN BAJAWARE";"08. CERRADA"},0),
 1,
 IF(
  MATCH(B917,{"01. ASIGNACION AREA";"02. MAPEO";"03. DESARROLLO";"04. VALIDA US";"05. VOBO US";"06. BW-EJECUCION";"07. VALIDACIÓN BAJAWARE";"08. CERRADA"},0)
  =
  MATCH(_xlfn.XLOOKUP(INDEX($B:$B, (ROW()-6)),'Relacion '!$E:$E,'Relacion '!$D:$D,""),{"01. ASIGNACION AREA";"02. MAPEO";"03. DESARROLLO";"04. VALIDA US";"05. VOBO US";"06. BW-EJECUCION";"07. VALIDACIÓN BAJAWARE";"08. CERRADA"},0),
  _xlfn.XLOOKUP(INDEX($B:$B, (ROW()-6)),'Relacion '!$E:$E,'Relacion '!#REF!,0),
  0
 )
)</f>
        <v>0</v>
      </c>
      <c r="I917" s="241">
        <f t="shared" ca="1" si="212"/>
        <v>0</v>
      </c>
      <c r="J917" s="241"/>
      <c r="K917" s="241"/>
      <c r="L917" s="238"/>
    </row>
    <row r="918" spans="2:12" outlineLevel="1">
      <c r="B918" s="237" t="s">
        <v>655</v>
      </c>
      <c r="C918" s="237" t="s">
        <v>655</v>
      </c>
      <c r="D918" s="238" t="str">
        <f>_xlfn.XLOOKUP(B918,'Relacion '!$E:$E,'Relacion '!$D:$D,"")</f>
        <v/>
      </c>
      <c r="E918" s="239">
        <f t="shared" si="213"/>
        <v>11</v>
      </c>
      <c r="F918" s="240" cm="1">
        <f t="array" ref="F918">MIN(INDEX('Relacion '!$AJ$5:$AK$493,MATCH(INDEX($B:$B, (ROW()-7)),'Relacion '!$E$5:$E$493,0),0))</f>
        <v>46188</v>
      </c>
      <c r="G918" s="240" cm="1">
        <f t="array" ref="G918">MAX(INDEX('Relacion '!$AJ$5:$AK$493,MATCH(INDEX($B:$B, (ROW()-7)),'Relacion '!$E$5:$E$493,0),0))</f>
        <v>46199</v>
      </c>
      <c r="H918" s="241" cm="1">
        <f t="array" ref="H918">IF(
 MATCH(B918,{"01. ASIGNACION AREA";"02. MAPEO";"03. DESARROLLO";"04. VALIDA US";"05. VOBO US";"06. BW-EJECUCION";"07. VALIDACIÓN BAJAWARE";"08. CERRADA"},0)
 &lt;
 MATCH(_xlfn.XLOOKUP(INDEX($B:$B, (ROW()-7)),'Relacion '!$E:$E,'Relacion '!$D:$D,""),{"01. ASIGNACION AREA";"02. MAPEO";"03. DESARROLLO";"04. VALIDA US";"05. VOBO US";"06. BW-EJECUCION";"07. VALIDACIÓN BAJAWARE";"08. CERRADA"},0),
 1,
 IF(
  MATCH(B918,{"01. ASIGNACION AREA";"02. MAPEO";"03. DESARROLLO";"04. VALIDA US";"05. VOBO US";"06. BW-EJECUCION";"07. VALIDACIÓN BAJAWARE";"08. CERRADA"},0)
  =
  MATCH(_xlfn.XLOOKUP(INDEX($B:$B, (ROW()-7)),'Relacion '!$E:$E,'Relacion '!$D:$D,""),{"01. ASIGNACION AREA";"02. MAPEO";"03. DESARROLLO";"04. VALIDA US";"05. VOBO US";"06. BW-EJECUCION";"07. VALIDACIÓN BAJAWARE";"08. CERRADA"},0),
  _xlfn.XLOOKUP(INDEX($B:$B, (ROW()-7)),'Relacion '!$E:$E,'Relacion '!#REF!,0),
  0
 )
)</f>
        <v>0</v>
      </c>
      <c r="I918" s="241">
        <f t="shared" ca="1" si="212"/>
        <v>0</v>
      </c>
      <c r="J918" s="241"/>
      <c r="K918" s="241"/>
      <c r="L918" s="238"/>
    </row>
    <row r="919" spans="2:12" outlineLevel="1">
      <c r="B919" s="237" t="s">
        <v>656</v>
      </c>
      <c r="C919" s="237" t="s">
        <v>656</v>
      </c>
      <c r="D919" s="238" t="str">
        <f>_xlfn.XLOOKUP(B919,'Relacion '!$E:$E,'Relacion '!$D:$D,"")</f>
        <v/>
      </c>
      <c r="E919" s="239">
        <f t="shared" si="213"/>
        <v>3</v>
      </c>
      <c r="F919" s="240" cm="1">
        <f t="array" ref="F919">MIN(INDEX('Relacion '!$AL$5:$AM$493,MATCH(INDEX($B:$B, (ROW()-8)),'Relacion '!$E$5:$E$493,0),0))</f>
        <v>46199</v>
      </c>
      <c r="G919" s="240" cm="1">
        <f t="array" ref="G919">MAX(INDEX('Relacion '!$AL$5:$AM$493,MATCH(INDEX($B:$B, (ROW()-8)),'Relacion '!$E$5:$E$493,0),0))</f>
        <v>46202</v>
      </c>
      <c r="H919" s="241" cm="1">
        <f t="array" ref="H919">IF(
 MATCH(B919,{"01. ASIGNACION AREA";"02. MAPEO";"03. DESARROLLO";"04. VALIDA US";"05. VOBO US";"06. BW-EJECUCION";"07. VALIDACIÓN BAJAWARE";"08. CERRADA"},0)
 &lt;
 MATCH(_xlfn.XLOOKUP(INDEX($B:$B, (ROW()-8)),'Relacion '!$E:$E,'Relacion '!$D:$D,""),{"01. ASIGNACION AREA";"02. MAPEO";"03. DESARROLLO";"04. VALIDA US";"05. VOBO US";"06. BW-EJECUCION";"07. VALIDACIÓN BAJAWARE";"08. CERRADA"},0),
 1,
 IF(
  MATCH(B919,{"01. ASIGNACION AREA";"02. MAPEO";"03. DESARROLLO";"04. VALIDA US";"05. VOBO US";"06. BW-EJECUCION";"07. VALIDACIÓN BAJAWARE";"08. CERRADA"},0)
  =
  MATCH(_xlfn.XLOOKUP(INDEX($B:$B, (ROW()-8)),'Relacion '!$E:$E,'Relacion '!$D:$D,""),{"01. ASIGNACION AREA";"02. MAPEO";"03. DESARROLLO";"04. VALIDA US";"05. VOBO US";"06. BW-EJECUCION";"07. VALIDACIÓN BAJAWARE";"08. CERRADA"},0),
  _xlfn.XLOOKUP(INDEX($B:$B, (ROW()-8)),'Relacion '!$E:$E,'Relacion '!#REF!,0),
  0
 )
)</f>
        <v>0</v>
      </c>
      <c r="I919" s="241">
        <f t="shared" ca="1" si="212"/>
        <v>0</v>
      </c>
      <c r="J919" s="241"/>
      <c r="K919" s="241"/>
      <c r="L919" s="238"/>
    </row>
    <row r="920" spans="2:12">
      <c r="B920" s="232" t="s">
        <v>210</v>
      </c>
      <c r="C920" s="137" t="s">
        <v>205</v>
      </c>
      <c r="D920" s="236" t="str">
        <f>_xlfn.XLOOKUP(B920,'Relacion '!$E:$E,'Relacion '!$D:$D,"")</f>
        <v>02. MAPEO</v>
      </c>
      <c r="E920" s="233">
        <f t="shared" si="213"/>
        <v>178</v>
      </c>
      <c r="F920" s="234" cm="1">
        <f t="array" ref="F920">MIN(INDEX('Relacion '!$X$5:$AM$493,MATCH(INDEX($B:$B, (ROW()-0)),'Relacion '!$E$5:$E$493,0),0))</f>
        <v>46024</v>
      </c>
      <c r="G920" s="234" cm="1">
        <f t="array" ref="G920">MAX(INDEX('Relacion '!$X$5:$AM$493,MATCH(INDEX($B:$B, (ROW()-0)),'Relacion '!$E$5:$E$493,0),0))</f>
        <v>46202</v>
      </c>
      <c r="H920" s="235" t="e">
        <f>AVERAGE(H921:H928)</f>
        <v>#REF!</v>
      </c>
      <c r="I920" s="235">
        <f t="shared" ref="I920" ca="1" si="218">AVERAGE(I921:I928)</f>
        <v>0.375</v>
      </c>
      <c r="J920" s="236" t="str">
        <f>IF(ISNUMBER(SEARCH("Rocha", _xlfn.XLOOKUP(B920,'Relacion '!$E:$E,'Relacion '!$I:$I,""))), "Sí", "No")</f>
        <v>Sí</v>
      </c>
      <c r="K920" s="236" t="str">
        <f>IF(ISNUMBER(SEARCH("Rocha", _xlfn.XLOOKUP(B920,'Relacion '!$E:$E,'Relacion '!$I:$I,""))), "RMC", _xlfn.XLOOKUP(B920,'Relacion '!$E:$E,'Relacion '!$B:$B,""))</f>
        <v>RMC</v>
      </c>
      <c r="L920" s="236" t="str">
        <f>_xlfn.XLOOKUP(B920,'Relacion '!$E:$E,'Relacion '!$C:$C,"")</f>
        <v>Eduardo Cabral</v>
      </c>
    </row>
    <row r="921" spans="2:12" outlineLevel="1">
      <c r="B921" s="237" t="s">
        <v>654</v>
      </c>
      <c r="C921" s="237" t="s">
        <v>654</v>
      </c>
      <c r="D921" s="238" t="str">
        <f>_xlfn.XLOOKUP(B921,'Relacion '!$E:$E,'Relacion '!$D:$D,"")</f>
        <v/>
      </c>
      <c r="E921" s="239">
        <f t="shared" si="213"/>
        <v>59</v>
      </c>
      <c r="F921" s="240" cm="1">
        <f t="array" ref="F921">MIN(INDEX('Relacion '!$X$5:$Y$493,MATCH(INDEX($B:$B, (ROW()-1)),'Relacion '!$E$5:$E$493,0),0))</f>
        <v>46024</v>
      </c>
      <c r="G921" s="240" cm="1">
        <f t="array" ref="G921">MAX(INDEX('Relacion '!$X$5:$Y$493,MATCH(INDEX($B:$B, (ROW()-1)),'Relacion '!$E$5:$E$493,0),0))</f>
        <v>46083</v>
      </c>
      <c r="H921" s="241" cm="1">
        <f t="array" ref="H921">IF(
 MATCH(B921,{"01. ASIGNACION AREA";"02. MAPEO";"03. DESARROLLO";"04. VALIDA US";"05. VOBO US";"06. BW-EJECUCION";"07. VALIDACIÓN BAJAWARE";"08. CERRADA"},0)
 &lt;
 MATCH(_xlfn.XLOOKUP(INDEX($B:$B, (ROW()-1)),'Relacion '!$E:$E,'Relacion '!$D:$D,""),{"01. ASIGNACION AREA";"02. MAPEO";"03. DESARROLLO";"04. VALIDA US";"05. VOBO US";"06. BW-EJECUCION";"07. VALIDACIÓN BAJAWARE";"08. CERRADA"},0),
 1,
 IF(
  MATCH(B921,{"01. ASIGNACION AREA";"02. MAPEO";"03. DESARROLLO";"04. VALIDA US";"05. VOBO US";"06. BW-EJECUCION";"07. VALIDACIÓN BAJAWARE";"08. CERRADA"},0)
  =
  MATCH(_xlfn.XLOOKUP(INDEX($B:$B, (ROW()-1)),'Relacion '!$E:$E,'Relacion '!$D:$D,""),{"01. ASIGNACION AREA";"02. MAPEO";"03. DESARROLLO";"04. VALIDA US";"05. VOBO US";"06. BW-EJECUCION";"07. VALIDACIÓN BAJAWARE";"08. CERRADA"},0),
  _xlfn.XLOOKUP(INDEX($B:$B, (ROW()-1)),'Relacion '!$E:$E,'Relacion '!#REF!,0),
  0
 )
)</f>
        <v>1</v>
      </c>
      <c r="I921" s="241">
        <f t="shared" ref="I921" ca="1" si="219">IF(G921&lt;=TODAY(), 1, 0)</f>
        <v>1</v>
      </c>
      <c r="J921" s="241"/>
      <c r="K921" s="241"/>
      <c r="L921" s="238"/>
    </row>
    <row r="922" spans="2:12" outlineLevel="1">
      <c r="B922" s="237" t="s">
        <v>195</v>
      </c>
      <c r="C922" s="237" t="s">
        <v>195</v>
      </c>
      <c r="D922" s="238" t="str">
        <f>_xlfn.XLOOKUP(B922,'Relacion '!$E:$E,'Relacion '!$D:$D,"")</f>
        <v/>
      </c>
      <c r="E922" s="239">
        <f t="shared" si="213"/>
        <v>49</v>
      </c>
      <c r="F922" s="240" cm="1">
        <f t="array" ref="F922">MIN(INDEX('Relacion '!$Z$5:$AA$493,MATCH(INDEX($B:$B, (ROW()-2)),'Relacion '!$E$5:$E$493,0),0))</f>
        <v>46093</v>
      </c>
      <c r="G922" s="240" cm="1">
        <f t="array" ref="G922">MAX(INDEX('Relacion '!$Z$5:$AA$493,MATCH(INDEX($B:$B, (ROW()-2)),'Relacion '!$E$5:$E$493,0),0))</f>
        <v>46142</v>
      </c>
      <c r="H922" s="241" t="e" cm="1">
        <f t="array" ref="H922">IF(
 MATCH(B922,{"01. ASIGNACION AREA";"02. MAPEO";"03. DESARROLLO";"04. VALIDA US";"05. VOBO US";"06. BW-EJECUCION";"07. VALIDACIÓN BAJAWARE";"08. CERRADA"},0)
 &lt;
 MATCH(_xlfn.XLOOKUP(INDEX($B:$B, (ROW()-2)),'Relacion '!$E:$E,'Relacion '!$D:$D,""),{"01. ASIGNACION AREA";"02. MAPEO";"03. DESARROLLO";"04. VALIDA US";"05. VOBO US";"06. BW-EJECUCION";"07. VALIDACIÓN BAJAWARE";"08. CERRADA"},0),
 1,
 IF(
  MATCH(B922,{"01. ASIGNACION AREA";"02. MAPEO";"03. DESARROLLO";"04. VALIDA US";"05. VOBO US";"06. BW-EJECUCION";"07. VALIDACIÓN BAJAWARE";"08. CERRADA"},0)
  =
  MATCH(_xlfn.XLOOKUP(INDEX($B:$B, (ROW()-2)),'Relacion '!$E:$E,'Relacion '!$D:$D,""),{"01. ASIGNACION AREA";"02. MAPEO";"03. DESARROLLO";"04. VALIDA US";"05. VOBO US";"06. BW-EJECUCION";"07. VALIDACIÓN BAJAWARE";"08. CERRADA"},0),
  _xlfn.XLOOKUP(INDEX($B:$B, (ROW()-2)),'Relacion '!$E:$E,'Relacion '!#REF!,0),
  0
 )
)</f>
        <v>#REF!</v>
      </c>
      <c r="I922" s="241">
        <f t="shared" ca="1" si="212"/>
        <v>1</v>
      </c>
      <c r="J922" s="241"/>
      <c r="K922" s="241"/>
      <c r="L922" s="238"/>
    </row>
    <row r="923" spans="2:12" outlineLevel="1">
      <c r="B923" s="237" t="s">
        <v>49</v>
      </c>
      <c r="C923" s="237" t="s">
        <v>49</v>
      </c>
      <c r="D923" s="238" t="str">
        <f>_xlfn.XLOOKUP(B923,'Relacion '!$E:$E,'Relacion '!$D:$D,"")</f>
        <v/>
      </c>
      <c r="E923" s="239">
        <f t="shared" si="213"/>
        <v>18</v>
      </c>
      <c r="F923" s="240" cm="1">
        <f t="array" ref="F923">MIN(INDEX('Relacion '!$AB$5:$AC$493,MATCH(INDEX($B:$B, (ROW()-3)),'Relacion '!$E$5:$E$493,0),0))</f>
        <v>46146</v>
      </c>
      <c r="G923" s="240" cm="1">
        <f t="array" ref="G923">MAX(INDEX('Relacion '!$AB$5:$AC$493,MATCH(INDEX($B:$B, (ROW()-3)),'Relacion '!$E$5:$E$493,0),0))</f>
        <v>46164</v>
      </c>
      <c r="H923" s="241" cm="1">
        <f t="array" ref="H923">IF(
 MATCH(B923,{"01. ASIGNACION AREA";"02. MAPEO";"03. DESARROLLO";"04. VALIDA US";"05. VOBO US";"06. BW-EJECUCION";"07. VALIDACIÓN BAJAWARE";"08. CERRADA"},0)
 &lt;
 MATCH(_xlfn.XLOOKUP(INDEX($B:$B, (ROW()-3)),'Relacion '!$E:$E,'Relacion '!$D:$D,""),{"01. ASIGNACION AREA";"02. MAPEO";"03. DESARROLLO";"04. VALIDA US";"05. VOBO US";"06. BW-EJECUCION";"07. VALIDACIÓN BAJAWARE";"08. CERRADA"},0),
 1,
 IF(
  MATCH(B923,{"01. ASIGNACION AREA";"02. MAPEO";"03. DESARROLLO";"04. VALIDA US";"05. VOBO US";"06. BW-EJECUCION";"07. VALIDACIÓN BAJAWARE";"08. CERRADA"},0)
  =
  MATCH(_xlfn.XLOOKUP(INDEX($B:$B, (ROW()-3)),'Relacion '!$E:$E,'Relacion '!$D:$D,""),{"01. ASIGNACION AREA";"02. MAPEO";"03. DESARROLLO";"04. VALIDA US";"05. VOBO US";"06. BW-EJECUCION";"07. VALIDACIÓN BAJAWARE";"08. CERRADA"},0),
  _xlfn.XLOOKUP(INDEX($B:$B, (ROW()-3)),'Relacion '!$E:$E,'Relacion '!#REF!,0),
  0
 )
)</f>
        <v>0</v>
      </c>
      <c r="I923" s="241">
        <f t="shared" ca="1" si="212"/>
        <v>1</v>
      </c>
      <c r="J923" s="241"/>
      <c r="K923" s="241"/>
      <c r="L923" s="238"/>
    </row>
    <row r="924" spans="2:12" outlineLevel="1">
      <c r="B924" s="237" t="s">
        <v>324</v>
      </c>
      <c r="C924" s="237" t="s">
        <v>324</v>
      </c>
      <c r="D924" s="238" t="str">
        <f>_xlfn.XLOOKUP(B924,'Relacion '!$E:$E,'Relacion '!$D:$D,"")</f>
        <v/>
      </c>
      <c r="E924" s="239">
        <f t="shared" si="213"/>
        <v>11</v>
      </c>
      <c r="F924" s="240" cm="1">
        <f t="array" ref="F924">MIN(INDEX('Relacion '!$AD$5:$AE$493,MATCH(INDEX($B:$B, (ROW()-4)),'Relacion '!$E$5:$E$493,0),0))</f>
        <v>46167</v>
      </c>
      <c r="G924" s="240" cm="1">
        <f t="array" ref="G924">MAX(INDEX('Relacion '!$AD$5:$AE$493,MATCH(INDEX($B:$B, (ROW()-4)),'Relacion '!$E$5:$E$493,0),0))</f>
        <v>46178</v>
      </c>
      <c r="H924" s="241" cm="1">
        <f t="array" ref="H924">IF(
 MATCH(B924,{"01. ASIGNACION AREA";"02. MAPEO";"03. DESARROLLO";"04. VALIDA US";"05. VOBO US";"06. BW-EJECUCION";"07. VALIDACIÓN BAJAWARE";"08. CERRADA"},0)
 &lt;
 MATCH(_xlfn.XLOOKUP(INDEX($B:$B, (ROW()-4)),'Relacion '!$E:$E,'Relacion '!$D:$D,""),{"01. ASIGNACION AREA";"02. MAPEO";"03. DESARROLLO";"04. VALIDA US";"05. VOBO US";"06. BW-EJECUCION";"07. VALIDACIÓN BAJAWARE";"08. CERRADA"},0),
 1,
 IF(
  MATCH(B924,{"01. ASIGNACION AREA";"02. MAPEO";"03. DESARROLLO";"04. VALIDA US";"05. VOBO US";"06. BW-EJECUCION";"07. VALIDACIÓN BAJAWARE";"08. CERRADA"},0)
  =
  MATCH(_xlfn.XLOOKUP(INDEX($B:$B, (ROW()-4)),'Relacion '!$E:$E,'Relacion '!$D:$D,""),{"01. ASIGNACION AREA";"02. MAPEO";"03. DESARROLLO";"04. VALIDA US";"05. VOBO US";"06. BW-EJECUCION";"07. VALIDACIÓN BAJAWARE";"08. CERRADA"},0),
  _xlfn.XLOOKUP(INDEX($B:$B, (ROW()-4)),'Relacion '!$E:$E,'Relacion '!#REF!,0),
  0
 )
)</f>
        <v>0</v>
      </c>
      <c r="I924" s="241">
        <f t="shared" ca="1" si="212"/>
        <v>0</v>
      </c>
      <c r="J924" s="241"/>
      <c r="K924" s="241"/>
      <c r="L924" s="238"/>
    </row>
    <row r="925" spans="2:12" outlineLevel="1">
      <c r="B925" s="237" t="s">
        <v>320</v>
      </c>
      <c r="C925" s="237" t="s">
        <v>320</v>
      </c>
      <c r="D925" s="238" t="str">
        <f>_xlfn.XLOOKUP(B925,'Relacion '!$E:$E,'Relacion '!$D:$D,"")</f>
        <v/>
      </c>
      <c r="E925" s="239">
        <f t="shared" si="213"/>
        <v>3</v>
      </c>
      <c r="F925" s="240" cm="1">
        <f t="array" ref="F925">MIN(INDEX('Relacion '!$AF$5:$AG$493,MATCH(INDEX($B:$B, (ROW()-5)),'Relacion '!$E$5:$E$493,0),0))</f>
        <v>46178</v>
      </c>
      <c r="G925" s="240" cm="1">
        <f t="array" ref="G925">MAX(INDEX('Relacion '!$AF$5:$AG$493,MATCH(INDEX($B:$B, (ROW()-5)),'Relacion '!$E$5:$E$493,0),0))</f>
        <v>46181</v>
      </c>
      <c r="H925" s="241" cm="1">
        <f t="array" ref="H925">IF(
 MATCH(B925,{"01. ASIGNACION AREA";"02. MAPEO";"03. DESARROLLO";"04. VALIDA US";"05. VOBO US";"06. BW-EJECUCION";"07. VALIDACIÓN BAJAWARE";"08. CERRADA"},0)
 &lt;
 MATCH(_xlfn.XLOOKUP(INDEX($B:$B, (ROW()-5)),'Relacion '!$E:$E,'Relacion '!$D:$D,""),{"01. ASIGNACION AREA";"02. MAPEO";"03. DESARROLLO";"04. VALIDA US";"05. VOBO US";"06. BW-EJECUCION";"07. VALIDACIÓN BAJAWARE";"08. CERRADA"},0),
 1,
 IF(
  MATCH(B925,{"01. ASIGNACION AREA";"02. MAPEO";"03. DESARROLLO";"04. VALIDA US";"05. VOBO US";"06. BW-EJECUCION";"07. VALIDACIÓN BAJAWARE";"08. CERRADA"},0)
  =
  MATCH(_xlfn.XLOOKUP(INDEX($B:$B, (ROW()-5)),'Relacion '!$E:$E,'Relacion '!$D:$D,""),{"01. ASIGNACION AREA";"02. MAPEO";"03. DESARROLLO";"04. VALIDA US";"05. VOBO US";"06. BW-EJECUCION";"07. VALIDACIÓN BAJAWARE";"08. CERRADA"},0),
  _xlfn.XLOOKUP(INDEX($B:$B, (ROW()-5)),'Relacion '!$E:$E,'Relacion '!#REF!,0),
  0
 )
)</f>
        <v>0</v>
      </c>
      <c r="I925" s="241">
        <f t="shared" ca="1" si="212"/>
        <v>0</v>
      </c>
      <c r="J925" s="241"/>
      <c r="K925" s="241"/>
      <c r="L925" s="238"/>
    </row>
    <row r="926" spans="2:12" outlineLevel="1">
      <c r="B926" s="237" t="s">
        <v>710</v>
      </c>
      <c r="C926" s="237" t="s">
        <v>710</v>
      </c>
      <c r="D926" s="238" t="str">
        <f>_xlfn.XLOOKUP(B926,'Relacion '!$E:$E,'Relacion '!$D:$D,"")</f>
        <v/>
      </c>
      <c r="E926" s="239">
        <f t="shared" si="213"/>
        <v>3</v>
      </c>
      <c r="F926" s="240" cm="1">
        <f t="array" ref="F926">MIN(INDEX('Relacion '!$AH$5:$AI$493,MATCH(INDEX($B:$B, (ROW()-6)),'Relacion '!$E$5:$E$493,0),0))</f>
        <v>46182</v>
      </c>
      <c r="G926" s="240" cm="1">
        <f t="array" ref="G926">MAX(INDEX('Relacion '!$AH$5:$AI$493,MATCH(INDEX($B:$B, (ROW()-6)),'Relacion '!$E$5:$E$493,0),0))</f>
        <v>46185</v>
      </c>
      <c r="H926" s="241" cm="1">
        <f t="array" ref="H926">IF(
 MATCH(B926,{"01. ASIGNACION AREA";"02. MAPEO";"03. DESARROLLO";"04. VALIDA US";"05. VOBO US";"06. BW-EJECUCION";"07. VALIDACIÓN BAJAWARE";"08. CERRADA"},0)
 &lt;
 MATCH(_xlfn.XLOOKUP(INDEX($B:$B, (ROW()-6)),'Relacion '!$E:$E,'Relacion '!$D:$D,""),{"01. ASIGNACION AREA";"02. MAPEO";"03. DESARROLLO";"04. VALIDA US";"05. VOBO US";"06. BW-EJECUCION";"07. VALIDACIÓN BAJAWARE";"08. CERRADA"},0),
 1,
 IF(
  MATCH(B926,{"01. ASIGNACION AREA";"02. MAPEO";"03. DESARROLLO";"04. VALIDA US";"05. VOBO US";"06. BW-EJECUCION";"07. VALIDACIÓN BAJAWARE";"08. CERRADA"},0)
  =
  MATCH(_xlfn.XLOOKUP(INDEX($B:$B, (ROW()-6)),'Relacion '!$E:$E,'Relacion '!$D:$D,""),{"01. ASIGNACION AREA";"02. MAPEO";"03. DESARROLLO";"04. VALIDA US";"05. VOBO US";"06. BW-EJECUCION";"07. VALIDACIÓN BAJAWARE";"08. CERRADA"},0),
  _xlfn.XLOOKUP(INDEX($B:$B, (ROW()-6)),'Relacion '!$E:$E,'Relacion '!#REF!,0),
  0
 )
)</f>
        <v>0</v>
      </c>
      <c r="I926" s="241">
        <f t="shared" ca="1" si="212"/>
        <v>0</v>
      </c>
      <c r="J926" s="241"/>
      <c r="K926" s="241"/>
      <c r="L926" s="238"/>
    </row>
    <row r="927" spans="2:12" outlineLevel="1">
      <c r="B927" s="237" t="s">
        <v>655</v>
      </c>
      <c r="C927" s="237" t="s">
        <v>655</v>
      </c>
      <c r="D927" s="238" t="str">
        <f>_xlfn.XLOOKUP(B927,'Relacion '!$E:$E,'Relacion '!$D:$D,"")</f>
        <v/>
      </c>
      <c r="E927" s="239">
        <f t="shared" si="213"/>
        <v>11</v>
      </c>
      <c r="F927" s="240" cm="1">
        <f t="array" ref="F927">MIN(INDEX('Relacion '!$AJ$5:$AK$493,MATCH(INDEX($B:$B, (ROW()-7)),'Relacion '!$E$5:$E$493,0),0))</f>
        <v>46188</v>
      </c>
      <c r="G927" s="240" cm="1">
        <f t="array" ref="G927">MAX(INDEX('Relacion '!$AJ$5:$AK$493,MATCH(INDEX($B:$B, (ROW()-7)),'Relacion '!$E$5:$E$493,0),0))</f>
        <v>46199</v>
      </c>
      <c r="H927" s="241" cm="1">
        <f t="array" ref="H927">IF(
 MATCH(B927,{"01. ASIGNACION AREA";"02. MAPEO";"03. DESARROLLO";"04. VALIDA US";"05. VOBO US";"06. BW-EJECUCION";"07. VALIDACIÓN BAJAWARE";"08. CERRADA"},0)
 &lt;
 MATCH(_xlfn.XLOOKUP(INDEX($B:$B, (ROW()-7)),'Relacion '!$E:$E,'Relacion '!$D:$D,""),{"01. ASIGNACION AREA";"02. MAPEO";"03. DESARROLLO";"04. VALIDA US";"05. VOBO US";"06. BW-EJECUCION";"07. VALIDACIÓN BAJAWARE";"08. CERRADA"},0),
 1,
 IF(
  MATCH(B927,{"01. ASIGNACION AREA";"02. MAPEO";"03. DESARROLLO";"04. VALIDA US";"05. VOBO US";"06. BW-EJECUCION";"07. VALIDACIÓN BAJAWARE";"08. CERRADA"},0)
  =
  MATCH(_xlfn.XLOOKUP(INDEX($B:$B, (ROW()-7)),'Relacion '!$E:$E,'Relacion '!$D:$D,""),{"01. ASIGNACION AREA";"02. MAPEO";"03. DESARROLLO";"04. VALIDA US";"05. VOBO US";"06. BW-EJECUCION";"07. VALIDACIÓN BAJAWARE";"08. CERRADA"},0),
  _xlfn.XLOOKUP(INDEX($B:$B, (ROW()-7)),'Relacion '!$E:$E,'Relacion '!#REF!,0),
  0
 )
)</f>
        <v>0</v>
      </c>
      <c r="I927" s="241">
        <f t="shared" ca="1" si="212"/>
        <v>0</v>
      </c>
      <c r="J927" s="241"/>
      <c r="K927" s="241"/>
      <c r="L927" s="238"/>
    </row>
    <row r="928" spans="2:12" outlineLevel="1">
      <c r="B928" s="237" t="s">
        <v>656</v>
      </c>
      <c r="C928" s="237" t="s">
        <v>656</v>
      </c>
      <c r="D928" s="238" t="str">
        <f>_xlfn.XLOOKUP(B928,'Relacion '!$E:$E,'Relacion '!$D:$D,"")</f>
        <v/>
      </c>
      <c r="E928" s="239">
        <f t="shared" si="213"/>
        <v>3</v>
      </c>
      <c r="F928" s="240" cm="1">
        <f t="array" ref="F928">MIN(INDEX('Relacion '!$AL$5:$AM$493,MATCH(INDEX($B:$B, (ROW()-8)),'Relacion '!$E$5:$E$493,0),0))</f>
        <v>46199</v>
      </c>
      <c r="G928" s="240" cm="1">
        <f t="array" ref="G928">MAX(INDEX('Relacion '!$AL$5:$AM$493,MATCH(INDEX($B:$B, (ROW()-8)),'Relacion '!$E$5:$E$493,0),0))</f>
        <v>46202</v>
      </c>
      <c r="H928" s="241" cm="1">
        <f t="array" ref="H928">IF(
 MATCH(B928,{"01. ASIGNACION AREA";"02. MAPEO";"03. DESARROLLO";"04. VALIDA US";"05. VOBO US";"06. BW-EJECUCION";"07. VALIDACIÓN BAJAWARE";"08. CERRADA"},0)
 &lt;
 MATCH(_xlfn.XLOOKUP(INDEX($B:$B, (ROW()-8)),'Relacion '!$E:$E,'Relacion '!$D:$D,""),{"01. ASIGNACION AREA";"02. MAPEO";"03. DESARROLLO";"04. VALIDA US";"05. VOBO US";"06. BW-EJECUCION";"07. VALIDACIÓN BAJAWARE";"08. CERRADA"},0),
 1,
 IF(
  MATCH(B928,{"01. ASIGNACION AREA";"02. MAPEO";"03. DESARROLLO";"04. VALIDA US";"05. VOBO US";"06. BW-EJECUCION";"07. VALIDACIÓN BAJAWARE";"08. CERRADA"},0)
  =
  MATCH(_xlfn.XLOOKUP(INDEX($B:$B, (ROW()-8)),'Relacion '!$E:$E,'Relacion '!$D:$D,""),{"01. ASIGNACION AREA";"02. MAPEO";"03. DESARROLLO";"04. VALIDA US";"05. VOBO US";"06. BW-EJECUCION";"07. VALIDACIÓN BAJAWARE";"08. CERRADA"},0),
  _xlfn.XLOOKUP(INDEX($B:$B, (ROW()-8)),'Relacion '!$E:$E,'Relacion '!#REF!,0),
  0
 )
)</f>
        <v>0</v>
      </c>
      <c r="I928" s="241">
        <f t="shared" ca="1" si="212"/>
        <v>0</v>
      </c>
      <c r="J928" s="241"/>
      <c r="K928" s="241"/>
      <c r="L928" s="238"/>
    </row>
    <row r="929" spans="2:12">
      <c r="B929" s="232" t="s">
        <v>209</v>
      </c>
      <c r="C929" s="137" t="s">
        <v>205</v>
      </c>
      <c r="D929" s="236" t="str">
        <f>_xlfn.XLOOKUP(B929,'Relacion '!$E:$E,'Relacion '!$D:$D,"")</f>
        <v>02. MAPEO</v>
      </c>
      <c r="E929" s="233">
        <f t="shared" si="213"/>
        <v>178</v>
      </c>
      <c r="F929" s="234" cm="1">
        <f t="array" ref="F929">MIN(INDEX('Relacion '!$X$5:$AM$493,MATCH(INDEX($B:$B, (ROW()-0)),'Relacion '!$E$5:$E$493,0),0))</f>
        <v>46024</v>
      </c>
      <c r="G929" s="234" cm="1">
        <f t="array" ref="G929">MAX(INDEX('Relacion '!$X$5:$AM$493,MATCH(INDEX($B:$B, (ROW()-0)),'Relacion '!$E$5:$E$493,0),0))</f>
        <v>46202</v>
      </c>
      <c r="H929" s="235" t="e">
        <f>AVERAGE(H930:H937)</f>
        <v>#REF!</v>
      </c>
      <c r="I929" s="235">
        <f t="shared" ref="I929" ca="1" si="220">AVERAGE(I930:I937)</f>
        <v>0.375</v>
      </c>
      <c r="J929" s="236" t="str">
        <f>IF(ISNUMBER(SEARCH("Rocha", _xlfn.XLOOKUP(B929,'Relacion '!$E:$E,'Relacion '!$I:$I,""))), "Sí", "No")</f>
        <v>Sí</v>
      </c>
      <c r="K929" s="236" t="str">
        <f>IF(ISNUMBER(SEARCH("Rocha", _xlfn.XLOOKUP(B929,'Relacion '!$E:$E,'Relacion '!$I:$I,""))), "RMC", _xlfn.XLOOKUP(B929,'Relacion '!$E:$E,'Relacion '!$B:$B,""))</f>
        <v>RMC</v>
      </c>
      <c r="L929" s="236" t="str">
        <f>_xlfn.XLOOKUP(B929,'Relacion '!$E:$E,'Relacion '!$C:$C,"")</f>
        <v>Eduardo Cabral</v>
      </c>
    </row>
    <row r="930" spans="2:12" outlineLevel="1">
      <c r="B930" s="237" t="s">
        <v>654</v>
      </c>
      <c r="C930" s="237" t="s">
        <v>654</v>
      </c>
      <c r="D930" s="238" t="str">
        <f>_xlfn.XLOOKUP(B930,'Relacion '!$E:$E,'Relacion '!$D:$D,"")</f>
        <v/>
      </c>
      <c r="E930" s="239">
        <f t="shared" si="213"/>
        <v>59</v>
      </c>
      <c r="F930" s="240" cm="1">
        <f t="array" ref="F930">MIN(INDEX('Relacion '!$X$5:$Y$493,MATCH(INDEX($B:$B, (ROW()-1)),'Relacion '!$E$5:$E$493,0),0))</f>
        <v>46024</v>
      </c>
      <c r="G930" s="240" cm="1">
        <f t="array" ref="G930">MAX(INDEX('Relacion '!$X$5:$Y$493,MATCH(INDEX($B:$B, (ROW()-1)),'Relacion '!$E$5:$E$493,0),0))</f>
        <v>46083</v>
      </c>
      <c r="H930" s="241" cm="1">
        <f t="array" ref="H930">IF(
 MATCH(B930,{"01. ASIGNACION AREA";"02. MAPEO";"03. DESARROLLO";"04. VALIDA US";"05. VOBO US";"06. BW-EJECUCION";"07. VALIDACIÓN BAJAWARE";"08. CERRADA"},0)
 &lt;
 MATCH(_xlfn.XLOOKUP(INDEX($B:$B, (ROW()-1)),'Relacion '!$E:$E,'Relacion '!$D:$D,""),{"01. ASIGNACION AREA";"02. MAPEO";"03. DESARROLLO";"04. VALIDA US";"05. VOBO US";"06. BW-EJECUCION";"07. VALIDACIÓN BAJAWARE";"08. CERRADA"},0),
 1,
 IF(
  MATCH(B930,{"01. ASIGNACION AREA";"02. MAPEO";"03. DESARROLLO";"04. VALIDA US";"05. VOBO US";"06. BW-EJECUCION";"07. VALIDACIÓN BAJAWARE";"08. CERRADA"},0)
  =
  MATCH(_xlfn.XLOOKUP(INDEX($B:$B, (ROW()-1)),'Relacion '!$E:$E,'Relacion '!$D:$D,""),{"01. ASIGNACION AREA";"02. MAPEO";"03. DESARROLLO";"04. VALIDA US";"05. VOBO US";"06. BW-EJECUCION";"07. VALIDACIÓN BAJAWARE";"08. CERRADA"},0),
  _xlfn.XLOOKUP(INDEX($B:$B, (ROW()-1)),'Relacion '!$E:$E,'Relacion '!#REF!,0),
  0
 )
)</f>
        <v>1</v>
      </c>
      <c r="I930" s="241">
        <f t="shared" ref="I930" ca="1" si="221">IF(G930&lt;=TODAY(), 1, 0)</f>
        <v>1</v>
      </c>
      <c r="J930" s="241"/>
      <c r="K930" s="241"/>
      <c r="L930" s="238"/>
    </row>
    <row r="931" spans="2:12" outlineLevel="1">
      <c r="B931" s="237" t="s">
        <v>195</v>
      </c>
      <c r="C931" s="237" t="s">
        <v>195</v>
      </c>
      <c r="D931" s="238" t="str">
        <f>_xlfn.XLOOKUP(B931,'Relacion '!$E:$E,'Relacion '!$D:$D,"")</f>
        <v/>
      </c>
      <c r="E931" s="239">
        <f t="shared" si="213"/>
        <v>49</v>
      </c>
      <c r="F931" s="240" cm="1">
        <f t="array" ref="F931">MIN(INDEX('Relacion '!$Z$5:$AA$493,MATCH(INDEX($B:$B, (ROW()-2)),'Relacion '!$E$5:$E$493,0),0))</f>
        <v>46093</v>
      </c>
      <c r="G931" s="240" cm="1">
        <f t="array" ref="G931">MAX(INDEX('Relacion '!$Z$5:$AA$493,MATCH(INDEX($B:$B, (ROW()-2)),'Relacion '!$E$5:$E$493,0),0))</f>
        <v>46142</v>
      </c>
      <c r="H931" s="241" t="e" cm="1">
        <f t="array" ref="H931">IF(
 MATCH(B931,{"01. ASIGNACION AREA";"02. MAPEO";"03. DESARROLLO";"04. VALIDA US";"05. VOBO US";"06. BW-EJECUCION";"07. VALIDACIÓN BAJAWARE";"08. CERRADA"},0)
 &lt;
 MATCH(_xlfn.XLOOKUP(INDEX($B:$B, (ROW()-2)),'Relacion '!$E:$E,'Relacion '!$D:$D,""),{"01. ASIGNACION AREA";"02. MAPEO";"03. DESARROLLO";"04. VALIDA US";"05. VOBO US";"06. BW-EJECUCION";"07. VALIDACIÓN BAJAWARE";"08. CERRADA"},0),
 1,
 IF(
  MATCH(B931,{"01. ASIGNACION AREA";"02. MAPEO";"03. DESARROLLO";"04. VALIDA US";"05. VOBO US";"06. BW-EJECUCION";"07. VALIDACIÓN BAJAWARE";"08. CERRADA"},0)
  =
  MATCH(_xlfn.XLOOKUP(INDEX($B:$B, (ROW()-2)),'Relacion '!$E:$E,'Relacion '!$D:$D,""),{"01. ASIGNACION AREA";"02. MAPEO";"03. DESARROLLO";"04. VALIDA US";"05. VOBO US";"06. BW-EJECUCION";"07. VALIDACIÓN BAJAWARE";"08. CERRADA"},0),
  _xlfn.XLOOKUP(INDEX($B:$B, (ROW()-2)),'Relacion '!$E:$E,'Relacion '!#REF!,0),
  0
 )
)</f>
        <v>#REF!</v>
      </c>
      <c r="I931" s="241">
        <f t="shared" ca="1" si="212"/>
        <v>1</v>
      </c>
      <c r="J931" s="241"/>
      <c r="K931" s="241"/>
      <c r="L931" s="238"/>
    </row>
    <row r="932" spans="2:12" outlineLevel="1">
      <c r="B932" s="237" t="s">
        <v>49</v>
      </c>
      <c r="C932" s="237" t="s">
        <v>49</v>
      </c>
      <c r="D932" s="238" t="str">
        <f>_xlfn.XLOOKUP(B932,'Relacion '!$E:$E,'Relacion '!$D:$D,"")</f>
        <v/>
      </c>
      <c r="E932" s="239">
        <f t="shared" si="213"/>
        <v>18</v>
      </c>
      <c r="F932" s="240" cm="1">
        <f t="array" ref="F932">MIN(INDEX('Relacion '!$AB$5:$AC$493,MATCH(INDEX($B:$B, (ROW()-3)),'Relacion '!$E$5:$E$493,0),0))</f>
        <v>46146</v>
      </c>
      <c r="G932" s="240" cm="1">
        <f t="array" ref="G932">MAX(INDEX('Relacion '!$AB$5:$AC$493,MATCH(INDEX($B:$B, (ROW()-3)),'Relacion '!$E$5:$E$493,0),0))</f>
        <v>46164</v>
      </c>
      <c r="H932" s="241" cm="1">
        <f t="array" ref="H932">IF(
 MATCH(B932,{"01. ASIGNACION AREA";"02. MAPEO";"03. DESARROLLO";"04. VALIDA US";"05. VOBO US";"06. BW-EJECUCION";"07. VALIDACIÓN BAJAWARE";"08. CERRADA"},0)
 &lt;
 MATCH(_xlfn.XLOOKUP(INDEX($B:$B, (ROW()-3)),'Relacion '!$E:$E,'Relacion '!$D:$D,""),{"01. ASIGNACION AREA";"02. MAPEO";"03. DESARROLLO";"04. VALIDA US";"05. VOBO US";"06. BW-EJECUCION";"07. VALIDACIÓN BAJAWARE";"08. CERRADA"},0),
 1,
 IF(
  MATCH(B932,{"01. ASIGNACION AREA";"02. MAPEO";"03. DESARROLLO";"04. VALIDA US";"05. VOBO US";"06. BW-EJECUCION";"07. VALIDACIÓN BAJAWARE";"08. CERRADA"},0)
  =
  MATCH(_xlfn.XLOOKUP(INDEX($B:$B, (ROW()-3)),'Relacion '!$E:$E,'Relacion '!$D:$D,""),{"01. ASIGNACION AREA";"02. MAPEO";"03. DESARROLLO";"04. VALIDA US";"05. VOBO US";"06. BW-EJECUCION";"07. VALIDACIÓN BAJAWARE";"08. CERRADA"},0),
  _xlfn.XLOOKUP(INDEX($B:$B, (ROW()-3)),'Relacion '!$E:$E,'Relacion '!#REF!,0),
  0
 )
)</f>
        <v>0</v>
      </c>
      <c r="I932" s="241">
        <f t="shared" ca="1" si="212"/>
        <v>1</v>
      </c>
      <c r="J932" s="241"/>
      <c r="K932" s="241"/>
      <c r="L932" s="238"/>
    </row>
    <row r="933" spans="2:12" outlineLevel="1">
      <c r="B933" s="237" t="s">
        <v>324</v>
      </c>
      <c r="C933" s="237" t="s">
        <v>324</v>
      </c>
      <c r="D933" s="238" t="str">
        <f>_xlfn.XLOOKUP(B933,'Relacion '!$E:$E,'Relacion '!$D:$D,"")</f>
        <v/>
      </c>
      <c r="E933" s="239">
        <f t="shared" si="213"/>
        <v>11</v>
      </c>
      <c r="F933" s="240" cm="1">
        <f t="array" ref="F933">MIN(INDEX('Relacion '!$AD$5:$AE$493,MATCH(INDEX($B:$B, (ROW()-4)),'Relacion '!$E$5:$E$493,0),0))</f>
        <v>46167</v>
      </c>
      <c r="G933" s="240" cm="1">
        <f t="array" ref="G933">MAX(INDEX('Relacion '!$AD$5:$AE$493,MATCH(INDEX($B:$B, (ROW()-4)),'Relacion '!$E$5:$E$493,0),0))</f>
        <v>46178</v>
      </c>
      <c r="H933" s="241" cm="1">
        <f t="array" ref="H933">IF(
 MATCH(B933,{"01. ASIGNACION AREA";"02. MAPEO";"03. DESARROLLO";"04. VALIDA US";"05. VOBO US";"06. BW-EJECUCION";"07. VALIDACIÓN BAJAWARE";"08. CERRADA"},0)
 &lt;
 MATCH(_xlfn.XLOOKUP(INDEX($B:$B, (ROW()-4)),'Relacion '!$E:$E,'Relacion '!$D:$D,""),{"01. ASIGNACION AREA";"02. MAPEO";"03. DESARROLLO";"04. VALIDA US";"05. VOBO US";"06. BW-EJECUCION";"07. VALIDACIÓN BAJAWARE";"08. CERRADA"},0),
 1,
 IF(
  MATCH(B933,{"01. ASIGNACION AREA";"02. MAPEO";"03. DESARROLLO";"04. VALIDA US";"05. VOBO US";"06. BW-EJECUCION";"07. VALIDACIÓN BAJAWARE";"08. CERRADA"},0)
  =
  MATCH(_xlfn.XLOOKUP(INDEX($B:$B, (ROW()-4)),'Relacion '!$E:$E,'Relacion '!$D:$D,""),{"01. ASIGNACION AREA";"02. MAPEO";"03. DESARROLLO";"04. VALIDA US";"05. VOBO US";"06. BW-EJECUCION";"07. VALIDACIÓN BAJAWARE";"08. CERRADA"},0),
  _xlfn.XLOOKUP(INDEX($B:$B, (ROW()-4)),'Relacion '!$E:$E,'Relacion '!#REF!,0),
  0
 )
)</f>
        <v>0</v>
      </c>
      <c r="I933" s="241">
        <f t="shared" ca="1" si="212"/>
        <v>0</v>
      </c>
      <c r="J933" s="241"/>
      <c r="K933" s="241"/>
      <c r="L933" s="238"/>
    </row>
    <row r="934" spans="2:12" outlineLevel="1">
      <c r="B934" s="237" t="s">
        <v>320</v>
      </c>
      <c r="C934" s="237" t="s">
        <v>320</v>
      </c>
      <c r="D934" s="238" t="str">
        <f>_xlfn.XLOOKUP(B934,'Relacion '!$E:$E,'Relacion '!$D:$D,"")</f>
        <v/>
      </c>
      <c r="E934" s="239">
        <f t="shared" si="213"/>
        <v>3</v>
      </c>
      <c r="F934" s="240" cm="1">
        <f t="array" ref="F934">MIN(INDEX('Relacion '!$AF$5:$AG$493,MATCH(INDEX($B:$B, (ROW()-5)),'Relacion '!$E$5:$E$493,0),0))</f>
        <v>46178</v>
      </c>
      <c r="G934" s="240" cm="1">
        <f t="array" ref="G934">MAX(INDEX('Relacion '!$AF$5:$AG$493,MATCH(INDEX($B:$B, (ROW()-5)),'Relacion '!$E$5:$E$493,0),0))</f>
        <v>46181</v>
      </c>
      <c r="H934" s="241" cm="1">
        <f t="array" ref="H934">IF(
 MATCH(B934,{"01. ASIGNACION AREA";"02. MAPEO";"03. DESARROLLO";"04. VALIDA US";"05. VOBO US";"06. BW-EJECUCION";"07. VALIDACIÓN BAJAWARE";"08. CERRADA"},0)
 &lt;
 MATCH(_xlfn.XLOOKUP(INDEX($B:$B, (ROW()-5)),'Relacion '!$E:$E,'Relacion '!$D:$D,""),{"01. ASIGNACION AREA";"02. MAPEO";"03. DESARROLLO";"04. VALIDA US";"05. VOBO US";"06. BW-EJECUCION";"07. VALIDACIÓN BAJAWARE";"08. CERRADA"},0),
 1,
 IF(
  MATCH(B934,{"01. ASIGNACION AREA";"02. MAPEO";"03. DESARROLLO";"04. VALIDA US";"05. VOBO US";"06. BW-EJECUCION";"07. VALIDACIÓN BAJAWARE";"08. CERRADA"},0)
  =
  MATCH(_xlfn.XLOOKUP(INDEX($B:$B, (ROW()-5)),'Relacion '!$E:$E,'Relacion '!$D:$D,""),{"01. ASIGNACION AREA";"02. MAPEO";"03. DESARROLLO";"04. VALIDA US";"05. VOBO US";"06. BW-EJECUCION";"07. VALIDACIÓN BAJAWARE";"08. CERRADA"},0),
  _xlfn.XLOOKUP(INDEX($B:$B, (ROW()-5)),'Relacion '!$E:$E,'Relacion '!#REF!,0),
  0
 )
)</f>
        <v>0</v>
      </c>
      <c r="I934" s="241">
        <f t="shared" ca="1" si="212"/>
        <v>0</v>
      </c>
      <c r="J934" s="241"/>
      <c r="K934" s="241"/>
      <c r="L934" s="238"/>
    </row>
    <row r="935" spans="2:12" outlineLevel="1">
      <c r="B935" s="237" t="s">
        <v>710</v>
      </c>
      <c r="C935" s="237" t="s">
        <v>710</v>
      </c>
      <c r="D935" s="238" t="str">
        <f>_xlfn.XLOOKUP(B935,'Relacion '!$E:$E,'Relacion '!$D:$D,"")</f>
        <v/>
      </c>
      <c r="E935" s="239">
        <f t="shared" si="213"/>
        <v>3</v>
      </c>
      <c r="F935" s="240" cm="1">
        <f t="array" ref="F935">MIN(INDEX('Relacion '!$AH$5:$AI$493,MATCH(INDEX($B:$B, (ROW()-6)),'Relacion '!$E$5:$E$493,0),0))</f>
        <v>46182</v>
      </c>
      <c r="G935" s="240" cm="1">
        <f t="array" ref="G935">MAX(INDEX('Relacion '!$AH$5:$AI$493,MATCH(INDEX($B:$B, (ROW()-6)),'Relacion '!$E$5:$E$493,0),0))</f>
        <v>46185</v>
      </c>
      <c r="H935" s="241" cm="1">
        <f t="array" ref="H935">IF(
 MATCH(B935,{"01. ASIGNACION AREA";"02. MAPEO";"03. DESARROLLO";"04. VALIDA US";"05. VOBO US";"06. BW-EJECUCION";"07. VALIDACIÓN BAJAWARE";"08. CERRADA"},0)
 &lt;
 MATCH(_xlfn.XLOOKUP(INDEX($B:$B, (ROW()-6)),'Relacion '!$E:$E,'Relacion '!$D:$D,""),{"01. ASIGNACION AREA";"02. MAPEO";"03. DESARROLLO";"04. VALIDA US";"05. VOBO US";"06. BW-EJECUCION";"07. VALIDACIÓN BAJAWARE";"08. CERRADA"},0),
 1,
 IF(
  MATCH(B935,{"01. ASIGNACION AREA";"02. MAPEO";"03. DESARROLLO";"04. VALIDA US";"05. VOBO US";"06. BW-EJECUCION";"07. VALIDACIÓN BAJAWARE";"08. CERRADA"},0)
  =
  MATCH(_xlfn.XLOOKUP(INDEX($B:$B, (ROW()-6)),'Relacion '!$E:$E,'Relacion '!$D:$D,""),{"01. ASIGNACION AREA";"02. MAPEO";"03. DESARROLLO";"04. VALIDA US";"05. VOBO US";"06. BW-EJECUCION";"07. VALIDACIÓN BAJAWARE";"08. CERRADA"},0),
  _xlfn.XLOOKUP(INDEX($B:$B, (ROW()-6)),'Relacion '!$E:$E,'Relacion '!#REF!,0),
  0
 )
)</f>
        <v>0</v>
      </c>
      <c r="I935" s="241">
        <f t="shared" ca="1" si="212"/>
        <v>0</v>
      </c>
      <c r="J935" s="241"/>
      <c r="K935" s="241"/>
      <c r="L935" s="238"/>
    </row>
    <row r="936" spans="2:12" outlineLevel="1">
      <c r="B936" s="237" t="s">
        <v>655</v>
      </c>
      <c r="C936" s="237" t="s">
        <v>655</v>
      </c>
      <c r="D936" s="238" t="str">
        <f>_xlfn.XLOOKUP(B936,'Relacion '!$E:$E,'Relacion '!$D:$D,"")</f>
        <v/>
      </c>
      <c r="E936" s="239">
        <f t="shared" si="213"/>
        <v>11</v>
      </c>
      <c r="F936" s="240" cm="1">
        <f t="array" ref="F936">MIN(INDEX('Relacion '!$AJ$5:$AK$493,MATCH(INDEX($B:$B, (ROW()-7)),'Relacion '!$E$5:$E$493,0),0))</f>
        <v>46188</v>
      </c>
      <c r="G936" s="240" cm="1">
        <f t="array" ref="G936">MAX(INDEX('Relacion '!$AJ$5:$AK$493,MATCH(INDEX($B:$B, (ROW()-7)),'Relacion '!$E$5:$E$493,0),0))</f>
        <v>46199</v>
      </c>
      <c r="H936" s="241" cm="1">
        <f t="array" ref="H936">IF(
 MATCH(B936,{"01. ASIGNACION AREA";"02. MAPEO";"03. DESARROLLO";"04. VALIDA US";"05. VOBO US";"06. BW-EJECUCION";"07. VALIDACIÓN BAJAWARE";"08. CERRADA"},0)
 &lt;
 MATCH(_xlfn.XLOOKUP(INDEX($B:$B, (ROW()-7)),'Relacion '!$E:$E,'Relacion '!$D:$D,""),{"01. ASIGNACION AREA";"02. MAPEO";"03. DESARROLLO";"04. VALIDA US";"05. VOBO US";"06. BW-EJECUCION";"07. VALIDACIÓN BAJAWARE";"08. CERRADA"},0),
 1,
 IF(
  MATCH(B936,{"01. ASIGNACION AREA";"02. MAPEO";"03. DESARROLLO";"04. VALIDA US";"05. VOBO US";"06. BW-EJECUCION";"07. VALIDACIÓN BAJAWARE";"08. CERRADA"},0)
  =
  MATCH(_xlfn.XLOOKUP(INDEX($B:$B, (ROW()-7)),'Relacion '!$E:$E,'Relacion '!$D:$D,""),{"01. ASIGNACION AREA";"02. MAPEO";"03. DESARROLLO";"04. VALIDA US";"05. VOBO US";"06. BW-EJECUCION";"07. VALIDACIÓN BAJAWARE";"08. CERRADA"},0),
  _xlfn.XLOOKUP(INDEX($B:$B, (ROW()-7)),'Relacion '!$E:$E,'Relacion '!#REF!,0),
  0
 )
)</f>
        <v>0</v>
      </c>
      <c r="I936" s="241">
        <f t="shared" ca="1" si="212"/>
        <v>0</v>
      </c>
      <c r="J936" s="241"/>
      <c r="K936" s="241"/>
      <c r="L936" s="238"/>
    </row>
    <row r="937" spans="2:12" outlineLevel="1">
      <c r="B937" s="237" t="s">
        <v>656</v>
      </c>
      <c r="C937" s="237" t="s">
        <v>656</v>
      </c>
      <c r="D937" s="238" t="str">
        <f>_xlfn.XLOOKUP(B937,'Relacion '!$E:$E,'Relacion '!$D:$D,"")</f>
        <v/>
      </c>
      <c r="E937" s="239">
        <f t="shared" si="213"/>
        <v>3</v>
      </c>
      <c r="F937" s="240" cm="1">
        <f t="array" ref="F937">MIN(INDEX('Relacion '!$AL$5:$AM$493,MATCH(INDEX($B:$B, (ROW()-8)),'Relacion '!$E$5:$E$493,0),0))</f>
        <v>46199</v>
      </c>
      <c r="G937" s="240" cm="1">
        <f t="array" ref="G937">MAX(INDEX('Relacion '!$AL$5:$AM$493,MATCH(INDEX($B:$B, (ROW()-8)),'Relacion '!$E$5:$E$493,0),0))</f>
        <v>46202</v>
      </c>
      <c r="H937" s="241" cm="1">
        <f t="array" ref="H937">IF(
 MATCH(B937,{"01. ASIGNACION AREA";"02. MAPEO";"03. DESARROLLO";"04. VALIDA US";"05. VOBO US";"06. BW-EJECUCION";"07. VALIDACIÓN BAJAWARE";"08. CERRADA"},0)
 &lt;
 MATCH(_xlfn.XLOOKUP(INDEX($B:$B, (ROW()-8)),'Relacion '!$E:$E,'Relacion '!$D:$D,""),{"01. ASIGNACION AREA";"02. MAPEO";"03. DESARROLLO";"04. VALIDA US";"05. VOBO US";"06. BW-EJECUCION";"07. VALIDACIÓN BAJAWARE";"08. CERRADA"},0),
 1,
 IF(
  MATCH(B937,{"01. ASIGNACION AREA";"02. MAPEO";"03. DESARROLLO";"04. VALIDA US";"05. VOBO US";"06. BW-EJECUCION";"07. VALIDACIÓN BAJAWARE";"08. CERRADA"},0)
  =
  MATCH(_xlfn.XLOOKUP(INDEX($B:$B, (ROW()-8)),'Relacion '!$E:$E,'Relacion '!$D:$D,""),{"01. ASIGNACION AREA";"02. MAPEO";"03. DESARROLLO";"04. VALIDA US";"05. VOBO US";"06. BW-EJECUCION";"07. VALIDACIÓN BAJAWARE";"08. CERRADA"},0),
  _xlfn.XLOOKUP(INDEX($B:$B, (ROW()-8)),'Relacion '!$E:$E,'Relacion '!#REF!,0),
  0
 )
)</f>
        <v>0</v>
      </c>
      <c r="I937" s="241">
        <f t="shared" ca="1" si="212"/>
        <v>0</v>
      </c>
      <c r="J937" s="241"/>
      <c r="K937" s="241"/>
      <c r="L937" s="238"/>
    </row>
    <row r="938" spans="2:12">
      <c r="B938" s="232" t="s">
        <v>208</v>
      </c>
      <c r="C938" s="137" t="s">
        <v>205</v>
      </c>
      <c r="D938" s="236" t="str">
        <f>_xlfn.XLOOKUP(B938,'Relacion '!$E:$E,'Relacion '!$D:$D,"")</f>
        <v>02. MAPEO</v>
      </c>
      <c r="E938" s="233">
        <f t="shared" si="213"/>
        <v>178</v>
      </c>
      <c r="F938" s="234" cm="1">
        <f t="array" ref="F938">MIN(INDEX('Relacion '!$X$5:$AM$493,MATCH(INDEX($B:$B, (ROW()-0)),'Relacion '!$E$5:$E$493,0),0))</f>
        <v>46024</v>
      </c>
      <c r="G938" s="234" cm="1">
        <f t="array" ref="G938">MAX(INDEX('Relacion '!$X$5:$AM$493,MATCH(INDEX($B:$B, (ROW()-0)),'Relacion '!$E$5:$E$493,0),0))</f>
        <v>46202</v>
      </c>
      <c r="H938" s="235" t="e">
        <f>AVERAGE(H939:H946)</f>
        <v>#REF!</v>
      </c>
      <c r="I938" s="235">
        <f t="shared" ref="I938" ca="1" si="222">AVERAGE(I939:I946)</f>
        <v>0.375</v>
      </c>
      <c r="J938" s="236" t="str">
        <f>IF(ISNUMBER(SEARCH("Rocha", _xlfn.XLOOKUP(B938,'Relacion '!$E:$E,'Relacion '!$I:$I,""))), "Sí", "No")</f>
        <v>Sí</v>
      </c>
      <c r="K938" s="236" t="str">
        <f>IF(ISNUMBER(SEARCH("Rocha", _xlfn.XLOOKUP(B938,'Relacion '!$E:$E,'Relacion '!$I:$I,""))), "RMC", _xlfn.XLOOKUP(B938,'Relacion '!$E:$E,'Relacion '!$B:$B,""))</f>
        <v>RMC</v>
      </c>
      <c r="L938" s="236" t="str">
        <f>_xlfn.XLOOKUP(B938,'Relacion '!$E:$E,'Relacion '!$C:$C,"")</f>
        <v>Eduardo Cabral</v>
      </c>
    </row>
    <row r="939" spans="2:12" outlineLevel="1">
      <c r="B939" s="237" t="s">
        <v>654</v>
      </c>
      <c r="C939" s="237" t="s">
        <v>654</v>
      </c>
      <c r="D939" s="238" t="str">
        <f>_xlfn.XLOOKUP(B939,'Relacion '!$E:$E,'Relacion '!$D:$D,"")</f>
        <v/>
      </c>
      <c r="E939" s="239">
        <f t="shared" si="213"/>
        <v>59</v>
      </c>
      <c r="F939" s="240" cm="1">
        <f t="array" ref="F939">MIN(INDEX('Relacion '!$X$5:$Y$493,MATCH(INDEX($B:$B, (ROW()-1)),'Relacion '!$E$5:$E$493,0),0))</f>
        <v>46024</v>
      </c>
      <c r="G939" s="240" cm="1">
        <f t="array" ref="G939">MAX(INDEX('Relacion '!$X$5:$Y$493,MATCH(INDEX($B:$B, (ROW()-1)),'Relacion '!$E$5:$E$493,0),0))</f>
        <v>46083</v>
      </c>
      <c r="H939" s="241" cm="1">
        <f t="array" ref="H939">IF(
 MATCH(B939,{"01. ASIGNACION AREA";"02. MAPEO";"03. DESARROLLO";"04. VALIDA US";"05. VOBO US";"06. BW-EJECUCION";"07. VALIDACIÓN BAJAWARE";"08. CERRADA"},0)
 &lt;
 MATCH(_xlfn.XLOOKUP(INDEX($B:$B, (ROW()-1)),'Relacion '!$E:$E,'Relacion '!$D:$D,""),{"01. ASIGNACION AREA";"02. MAPEO";"03. DESARROLLO";"04. VALIDA US";"05. VOBO US";"06. BW-EJECUCION";"07. VALIDACIÓN BAJAWARE";"08. CERRADA"},0),
 1,
 IF(
  MATCH(B939,{"01. ASIGNACION AREA";"02. MAPEO";"03. DESARROLLO";"04. VALIDA US";"05. VOBO US";"06. BW-EJECUCION";"07. VALIDACIÓN BAJAWARE";"08. CERRADA"},0)
  =
  MATCH(_xlfn.XLOOKUP(INDEX($B:$B, (ROW()-1)),'Relacion '!$E:$E,'Relacion '!$D:$D,""),{"01. ASIGNACION AREA";"02. MAPEO";"03. DESARROLLO";"04. VALIDA US";"05. VOBO US";"06. BW-EJECUCION";"07. VALIDACIÓN BAJAWARE";"08. CERRADA"},0),
  _xlfn.XLOOKUP(INDEX($B:$B, (ROW()-1)),'Relacion '!$E:$E,'Relacion '!#REF!,0),
  0
 )
)</f>
        <v>1</v>
      </c>
      <c r="I939" s="241">
        <f t="shared" ref="I939" ca="1" si="223">IF(G939&lt;=TODAY(), 1, 0)</f>
        <v>1</v>
      </c>
      <c r="J939" s="241"/>
      <c r="K939" s="241"/>
      <c r="L939" s="238"/>
    </row>
    <row r="940" spans="2:12" outlineLevel="1">
      <c r="B940" s="237" t="s">
        <v>195</v>
      </c>
      <c r="C940" s="237" t="s">
        <v>195</v>
      </c>
      <c r="D940" s="238" t="str">
        <f>_xlfn.XLOOKUP(B940,'Relacion '!$E:$E,'Relacion '!$D:$D,"")</f>
        <v/>
      </c>
      <c r="E940" s="239">
        <f t="shared" si="213"/>
        <v>49</v>
      </c>
      <c r="F940" s="240" cm="1">
        <f t="array" ref="F940">MIN(INDEX('Relacion '!$Z$5:$AA$493,MATCH(INDEX($B:$B, (ROW()-2)),'Relacion '!$E$5:$E$493,0),0))</f>
        <v>46093</v>
      </c>
      <c r="G940" s="240" cm="1">
        <f t="array" ref="G940">MAX(INDEX('Relacion '!$Z$5:$AA$493,MATCH(INDEX($B:$B, (ROW()-2)),'Relacion '!$E$5:$E$493,0),0))</f>
        <v>46142</v>
      </c>
      <c r="H940" s="241" t="e" cm="1">
        <f t="array" ref="H940">IF(
 MATCH(B940,{"01. ASIGNACION AREA";"02. MAPEO";"03. DESARROLLO";"04. VALIDA US";"05. VOBO US";"06. BW-EJECUCION";"07. VALIDACIÓN BAJAWARE";"08. CERRADA"},0)
 &lt;
 MATCH(_xlfn.XLOOKUP(INDEX($B:$B, (ROW()-2)),'Relacion '!$E:$E,'Relacion '!$D:$D,""),{"01. ASIGNACION AREA";"02. MAPEO";"03. DESARROLLO";"04. VALIDA US";"05. VOBO US";"06. BW-EJECUCION";"07. VALIDACIÓN BAJAWARE";"08. CERRADA"},0),
 1,
 IF(
  MATCH(B940,{"01. ASIGNACION AREA";"02. MAPEO";"03. DESARROLLO";"04. VALIDA US";"05. VOBO US";"06. BW-EJECUCION";"07. VALIDACIÓN BAJAWARE";"08. CERRADA"},0)
  =
  MATCH(_xlfn.XLOOKUP(INDEX($B:$B, (ROW()-2)),'Relacion '!$E:$E,'Relacion '!$D:$D,""),{"01. ASIGNACION AREA";"02. MAPEO";"03. DESARROLLO";"04. VALIDA US";"05. VOBO US";"06. BW-EJECUCION";"07. VALIDACIÓN BAJAWARE";"08. CERRADA"},0),
  _xlfn.XLOOKUP(INDEX($B:$B, (ROW()-2)),'Relacion '!$E:$E,'Relacion '!#REF!,0),
  0
 )
)</f>
        <v>#REF!</v>
      </c>
      <c r="I940" s="241">
        <f t="shared" ca="1" si="212"/>
        <v>1</v>
      </c>
      <c r="J940" s="241"/>
      <c r="K940" s="241"/>
      <c r="L940" s="238"/>
    </row>
    <row r="941" spans="2:12" outlineLevel="1">
      <c r="B941" s="237" t="s">
        <v>49</v>
      </c>
      <c r="C941" s="237" t="s">
        <v>49</v>
      </c>
      <c r="D941" s="238" t="str">
        <f>_xlfn.XLOOKUP(B941,'Relacion '!$E:$E,'Relacion '!$D:$D,"")</f>
        <v/>
      </c>
      <c r="E941" s="239">
        <f t="shared" si="213"/>
        <v>18</v>
      </c>
      <c r="F941" s="240" cm="1">
        <f t="array" ref="F941">MIN(INDEX('Relacion '!$AB$5:$AC$493,MATCH(INDEX($B:$B, (ROW()-3)),'Relacion '!$E$5:$E$493,0),0))</f>
        <v>46146</v>
      </c>
      <c r="G941" s="240" cm="1">
        <f t="array" ref="G941">MAX(INDEX('Relacion '!$AB$5:$AC$493,MATCH(INDEX($B:$B, (ROW()-3)),'Relacion '!$E$5:$E$493,0),0))</f>
        <v>46164</v>
      </c>
      <c r="H941" s="241" cm="1">
        <f t="array" ref="H941">IF(
 MATCH(B941,{"01. ASIGNACION AREA";"02. MAPEO";"03. DESARROLLO";"04. VALIDA US";"05. VOBO US";"06. BW-EJECUCION";"07. VALIDACIÓN BAJAWARE";"08. CERRADA"},0)
 &lt;
 MATCH(_xlfn.XLOOKUP(INDEX($B:$B, (ROW()-3)),'Relacion '!$E:$E,'Relacion '!$D:$D,""),{"01. ASIGNACION AREA";"02. MAPEO";"03. DESARROLLO";"04. VALIDA US";"05. VOBO US";"06. BW-EJECUCION";"07. VALIDACIÓN BAJAWARE";"08. CERRADA"},0),
 1,
 IF(
  MATCH(B941,{"01. ASIGNACION AREA";"02. MAPEO";"03. DESARROLLO";"04. VALIDA US";"05. VOBO US";"06. BW-EJECUCION";"07. VALIDACIÓN BAJAWARE";"08. CERRADA"},0)
  =
  MATCH(_xlfn.XLOOKUP(INDEX($B:$B, (ROW()-3)),'Relacion '!$E:$E,'Relacion '!$D:$D,""),{"01. ASIGNACION AREA";"02. MAPEO";"03. DESARROLLO";"04. VALIDA US";"05. VOBO US";"06. BW-EJECUCION";"07. VALIDACIÓN BAJAWARE";"08. CERRADA"},0),
  _xlfn.XLOOKUP(INDEX($B:$B, (ROW()-3)),'Relacion '!$E:$E,'Relacion '!#REF!,0),
  0
 )
)</f>
        <v>0</v>
      </c>
      <c r="I941" s="241">
        <f t="shared" ca="1" si="212"/>
        <v>1</v>
      </c>
      <c r="J941" s="241"/>
      <c r="K941" s="241"/>
      <c r="L941" s="238"/>
    </row>
    <row r="942" spans="2:12" outlineLevel="1">
      <c r="B942" s="237" t="s">
        <v>324</v>
      </c>
      <c r="C942" s="237" t="s">
        <v>324</v>
      </c>
      <c r="D942" s="238" t="str">
        <f>_xlfn.XLOOKUP(B942,'Relacion '!$E:$E,'Relacion '!$D:$D,"")</f>
        <v/>
      </c>
      <c r="E942" s="239">
        <f t="shared" si="213"/>
        <v>11</v>
      </c>
      <c r="F942" s="240" cm="1">
        <f t="array" ref="F942">MIN(INDEX('Relacion '!$AD$5:$AE$493,MATCH(INDEX($B:$B, (ROW()-4)),'Relacion '!$E$5:$E$493,0),0))</f>
        <v>46167</v>
      </c>
      <c r="G942" s="240" cm="1">
        <f t="array" ref="G942">MAX(INDEX('Relacion '!$AD$5:$AE$493,MATCH(INDEX($B:$B, (ROW()-4)),'Relacion '!$E$5:$E$493,0),0))</f>
        <v>46178</v>
      </c>
      <c r="H942" s="241" cm="1">
        <f t="array" ref="H942">IF(
 MATCH(B942,{"01. ASIGNACION AREA";"02. MAPEO";"03. DESARROLLO";"04. VALIDA US";"05. VOBO US";"06. BW-EJECUCION";"07. VALIDACIÓN BAJAWARE";"08. CERRADA"},0)
 &lt;
 MATCH(_xlfn.XLOOKUP(INDEX($B:$B, (ROW()-4)),'Relacion '!$E:$E,'Relacion '!$D:$D,""),{"01. ASIGNACION AREA";"02. MAPEO";"03. DESARROLLO";"04. VALIDA US";"05. VOBO US";"06. BW-EJECUCION";"07. VALIDACIÓN BAJAWARE";"08. CERRADA"},0),
 1,
 IF(
  MATCH(B942,{"01. ASIGNACION AREA";"02. MAPEO";"03. DESARROLLO";"04. VALIDA US";"05. VOBO US";"06. BW-EJECUCION";"07. VALIDACIÓN BAJAWARE";"08. CERRADA"},0)
  =
  MATCH(_xlfn.XLOOKUP(INDEX($B:$B, (ROW()-4)),'Relacion '!$E:$E,'Relacion '!$D:$D,""),{"01. ASIGNACION AREA";"02. MAPEO";"03. DESARROLLO";"04. VALIDA US";"05. VOBO US";"06. BW-EJECUCION";"07. VALIDACIÓN BAJAWARE";"08. CERRADA"},0),
  _xlfn.XLOOKUP(INDEX($B:$B, (ROW()-4)),'Relacion '!$E:$E,'Relacion '!#REF!,0),
  0
 )
)</f>
        <v>0</v>
      </c>
      <c r="I942" s="241">
        <f t="shared" ca="1" si="212"/>
        <v>0</v>
      </c>
      <c r="J942" s="241"/>
      <c r="K942" s="241"/>
      <c r="L942" s="238"/>
    </row>
    <row r="943" spans="2:12" outlineLevel="1">
      <c r="B943" s="237" t="s">
        <v>320</v>
      </c>
      <c r="C943" s="237" t="s">
        <v>320</v>
      </c>
      <c r="D943" s="238" t="str">
        <f>_xlfn.XLOOKUP(B943,'Relacion '!$E:$E,'Relacion '!$D:$D,"")</f>
        <v/>
      </c>
      <c r="E943" s="239">
        <f t="shared" si="213"/>
        <v>3</v>
      </c>
      <c r="F943" s="240" cm="1">
        <f t="array" ref="F943">MIN(INDEX('Relacion '!$AF$5:$AG$493,MATCH(INDEX($B:$B, (ROW()-5)),'Relacion '!$E$5:$E$493,0),0))</f>
        <v>46178</v>
      </c>
      <c r="G943" s="240" cm="1">
        <f t="array" ref="G943">MAX(INDEX('Relacion '!$AF$5:$AG$493,MATCH(INDEX($B:$B, (ROW()-5)),'Relacion '!$E$5:$E$493,0),0))</f>
        <v>46181</v>
      </c>
      <c r="H943" s="241" cm="1">
        <f t="array" ref="H943">IF(
 MATCH(B943,{"01. ASIGNACION AREA";"02. MAPEO";"03. DESARROLLO";"04. VALIDA US";"05. VOBO US";"06. BW-EJECUCION";"07. VALIDACIÓN BAJAWARE";"08. CERRADA"},0)
 &lt;
 MATCH(_xlfn.XLOOKUP(INDEX($B:$B, (ROW()-5)),'Relacion '!$E:$E,'Relacion '!$D:$D,""),{"01. ASIGNACION AREA";"02. MAPEO";"03. DESARROLLO";"04. VALIDA US";"05. VOBO US";"06. BW-EJECUCION";"07. VALIDACIÓN BAJAWARE";"08. CERRADA"},0),
 1,
 IF(
  MATCH(B943,{"01. ASIGNACION AREA";"02. MAPEO";"03. DESARROLLO";"04. VALIDA US";"05. VOBO US";"06. BW-EJECUCION";"07. VALIDACIÓN BAJAWARE";"08. CERRADA"},0)
  =
  MATCH(_xlfn.XLOOKUP(INDEX($B:$B, (ROW()-5)),'Relacion '!$E:$E,'Relacion '!$D:$D,""),{"01. ASIGNACION AREA";"02. MAPEO";"03. DESARROLLO";"04. VALIDA US";"05. VOBO US";"06. BW-EJECUCION";"07. VALIDACIÓN BAJAWARE";"08. CERRADA"},0),
  _xlfn.XLOOKUP(INDEX($B:$B, (ROW()-5)),'Relacion '!$E:$E,'Relacion '!#REF!,0),
  0
 )
)</f>
        <v>0</v>
      </c>
      <c r="I943" s="241">
        <f t="shared" ca="1" si="212"/>
        <v>0</v>
      </c>
      <c r="J943" s="241"/>
      <c r="K943" s="241"/>
      <c r="L943" s="238"/>
    </row>
    <row r="944" spans="2:12" outlineLevel="1">
      <c r="B944" s="237" t="s">
        <v>710</v>
      </c>
      <c r="C944" s="237" t="s">
        <v>710</v>
      </c>
      <c r="D944" s="238" t="str">
        <f>_xlfn.XLOOKUP(B944,'Relacion '!$E:$E,'Relacion '!$D:$D,"")</f>
        <v/>
      </c>
      <c r="E944" s="239">
        <f t="shared" si="213"/>
        <v>3</v>
      </c>
      <c r="F944" s="240" cm="1">
        <f t="array" ref="F944">MIN(INDEX('Relacion '!$AH$5:$AI$493,MATCH(INDEX($B:$B, (ROW()-6)),'Relacion '!$E$5:$E$493,0),0))</f>
        <v>46182</v>
      </c>
      <c r="G944" s="240" cm="1">
        <f t="array" ref="G944">MAX(INDEX('Relacion '!$AH$5:$AI$493,MATCH(INDEX($B:$B, (ROW()-6)),'Relacion '!$E$5:$E$493,0),0))</f>
        <v>46185</v>
      </c>
      <c r="H944" s="241" cm="1">
        <f t="array" ref="H944">IF(
 MATCH(B944,{"01. ASIGNACION AREA";"02. MAPEO";"03. DESARROLLO";"04. VALIDA US";"05. VOBO US";"06. BW-EJECUCION";"07. VALIDACIÓN BAJAWARE";"08. CERRADA"},0)
 &lt;
 MATCH(_xlfn.XLOOKUP(INDEX($B:$B, (ROW()-6)),'Relacion '!$E:$E,'Relacion '!$D:$D,""),{"01. ASIGNACION AREA";"02. MAPEO";"03. DESARROLLO";"04. VALIDA US";"05. VOBO US";"06. BW-EJECUCION";"07. VALIDACIÓN BAJAWARE";"08. CERRADA"},0),
 1,
 IF(
  MATCH(B944,{"01. ASIGNACION AREA";"02. MAPEO";"03. DESARROLLO";"04. VALIDA US";"05. VOBO US";"06. BW-EJECUCION";"07. VALIDACIÓN BAJAWARE";"08. CERRADA"},0)
  =
  MATCH(_xlfn.XLOOKUP(INDEX($B:$B, (ROW()-6)),'Relacion '!$E:$E,'Relacion '!$D:$D,""),{"01. ASIGNACION AREA";"02. MAPEO";"03. DESARROLLO";"04. VALIDA US";"05. VOBO US";"06. BW-EJECUCION";"07. VALIDACIÓN BAJAWARE";"08. CERRADA"},0),
  _xlfn.XLOOKUP(INDEX($B:$B, (ROW()-6)),'Relacion '!$E:$E,'Relacion '!#REF!,0),
  0
 )
)</f>
        <v>0</v>
      </c>
      <c r="I944" s="241">
        <f t="shared" ca="1" si="212"/>
        <v>0</v>
      </c>
      <c r="J944" s="241"/>
      <c r="K944" s="241"/>
      <c r="L944" s="238"/>
    </row>
    <row r="945" spans="2:12" outlineLevel="1">
      <c r="B945" s="237" t="s">
        <v>655</v>
      </c>
      <c r="C945" s="237" t="s">
        <v>655</v>
      </c>
      <c r="D945" s="238" t="str">
        <f>_xlfn.XLOOKUP(B945,'Relacion '!$E:$E,'Relacion '!$D:$D,"")</f>
        <v/>
      </c>
      <c r="E945" s="239">
        <f t="shared" si="213"/>
        <v>11</v>
      </c>
      <c r="F945" s="240" cm="1">
        <f t="array" ref="F945">MIN(INDEX('Relacion '!$AJ$5:$AK$493,MATCH(INDEX($B:$B, (ROW()-7)),'Relacion '!$E$5:$E$493,0),0))</f>
        <v>46188</v>
      </c>
      <c r="G945" s="240" cm="1">
        <f t="array" ref="G945">MAX(INDEX('Relacion '!$AJ$5:$AK$493,MATCH(INDEX($B:$B, (ROW()-7)),'Relacion '!$E$5:$E$493,0),0))</f>
        <v>46199</v>
      </c>
      <c r="H945" s="241" cm="1">
        <f t="array" ref="H945">IF(
 MATCH(B945,{"01. ASIGNACION AREA";"02. MAPEO";"03. DESARROLLO";"04. VALIDA US";"05. VOBO US";"06. BW-EJECUCION";"07. VALIDACIÓN BAJAWARE";"08. CERRADA"},0)
 &lt;
 MATCH(_xlfn.XLOOKUP(INDEX($B:$B, (ROW()-7)),'Relacion '!$E:$E,'Relacion '!$D:$D,""),{"01. ASIGNACION AREA";"02. MAPEO";"03. DESARROLLO";"04. VALIDA US";"05. VOBO US";"06. BW-EJECUCION";"07. VALIDACIÓN BAJAWARE";"08. CERRADA"},0),
 1,
 IF(
  MATCH(B945,{"01. ASIGNACION AREA";"02. MAPEO";"03. DESARROLLO";"04. VALIDA US";"05. VOBO US";"06. BW-EJECUCION";"07. VALIDACIÓN BAJAWARE";"08. CERRADA"},0)
  =
  MATCH(_xlfn.XLOOKUP(INDEX($B:$B, (ROW()-7)),'Relacion '!$E:$E,'Relacion '!$D:$D,""),{"01. ASIGNACION AREA";"02. MAPEO";"03. DESARROLLO";"04. VALIDA US";"05. VOBO US";"06. BW-EJECUCION";"07. VALIDACIÓN BAJAWARE";"08. CERRADA"},0),
  _xlfn.XLOOKUP(INDEX($B:$B, (ROW()-7)),'Relacion '!$E:$E,'Relacion '!#REF!,0),
  0
 )
)</f>
        <v>0</v>
      </c>
      <c r="I945" s="241">
        <f t="shared" ca="1" si="212"/>
        <v>0</v>
      </c>
      <c r="J945" s="241"/>
      <c r="K945" s="241"/>
      <c r="L945" s="238"/>
    </row>
    <row r="946" spans="2:12" outlineLevel="1">
      <c r="B946" s="237" t="s">
        <v>656</v>
      </c>
      <c r="C946" s="237" t="s">
        <v>656</v>
      </c>
      <c r="D946" s="238" t="str">
        <f>_xlfn.XLOOKUP(B946,'Relacion '!$E:$E,'Relacion '!$D:$D,"")</f>
        <v/>
      </c>
      <c r="E946" s="239">
        <f t="shared" si="213"/>
        <v>3</v>
      </c>
      <c r="F946" s="240" cm="1">
        <f t="array" ref="F946">MIN(INDEX('Relacion '!$AL$5:$AM$493,MATCH(INDEX($B:$B, (ROW()-8)),'Relacion '!$E$5:$E$493,0),0))</f>
        <v>46199</v>
      </c>
      <c r="G946" s="240" cm="1">
        <f t="array" ref="G946">MAX(INDEX('Relacion '!$AL$5:$AM$493,MATCH(INDEX($B:$B, (ROW()-8)),'Relacion '!$E$5:$E$493,0),0))</f>
        <v>46202</v>
      </c>
      <c r="H946" s="241" cm="1">
        <f t="array" ref="H946">IF(
 MATCH(B946,{"01. ASIGNACION AREA";"02. MAPEO";"03. DESARROLLO";"04. VALIDA US";"05. VOBO US";"06. BW-EJECUCION";"07. VALIDACIÓN BAJAWARE";"08. CERRADA"},0)
 &lt;
 MATCH(_xlfn.XLOOKUP(INDEX($B:$B, (ROW()-8)),'Relacion '!$E:$E,'Relacion '!$D:$D,""),{"01. ASIGNACION AREA";"02. MAPEO";"03. DESARROLLO";"04. VALIDA US";"05. VOBO US";"06. BW-EJECUCION";"07. VALIDACIÓN BAJAWARE";"08. CERRADA"},0),
 1,
 IF(
  MATCH(B946,{"01. ASIGNACION AREA";"02. MAPEO";"03. DESARROLLO";"04. VALIDA US";"05. VOBO US";"06. BW-EJECUCION";"07. VALIDACIÓN BAJAWARE";"08. CERRADA"},0)
  =
  MATCH(_xlfn.XLOOKUP(INDEX($B:$B, (ROW()-8)),'Relacion '!$E:$E,'Relacion '!$D:$D,""),{"01. ASIGNACION AREA";"02. MAPEO";"03. DESARROLLO";"04. VALIDA US";"05. VOBO US";"06. BW-EJECUCION";"07. VALIDACIÓN BAJAWARE";"08. CERRADA"},0),
  _xlfn.XLOOKUP(INDEX($B:$B, (ROW()-8)),'Relacion '!$E:$E,'Relacion '!#REF!,0),
  0
 )
)</f>
        <v>0</v>
      </c>
      <c r="I946" s="241">
        <f t="shared" ca="1" si="212"/>
        <v>0</v>
      </c>
      <c r="J946" s="241"/>
      <c r="K946" s="241"/>
      <c r="L946" s="238"/>
    </row>
    <row r="947" spans="2:12">
      <c r="B947" s="232" t="s">
        <v>204</v>
      </c>
      <c r="C947" s="137" t="s">
        <v>205</v>
      </c>
      <c r="D947" s="236" t="str">
        <f>_xlfn.XLOOKUP(B947,'Relacion '!$E:$E,'Relacion '!$D:$D,"")</f>
        <v>02. MAPEO</v>
      </c>
      <c r="E947" s="233">
        <f t="shared" si="213"/>
        <v>178</v>
      </c>
      <c r="F947" s="234" cm="1">
        <f t="array" ref="F947">MIN(INDEX('Relacion '!$X$5:$AM$493,MATCH(INDEX($B:$B, (ROW()-0)),'Relacion '!$E$5:$E$493,0),0))</f>
        <v>46024</v>
      </c>
      <c r="G947" s="234" cm="1">
        <f t="array" ref="G947">MAX(INDEX('Relacion '!$X$5:$AM$493,MATCH(INDEX($B:$B, (ROW()-0)),'Relacion '!$E$5:$E$493,0),0))</f>
        <v>46202</v>
      </c>
      <c r="H947" s="235" t="e">
        <f>AVERAGE(H948:H955)</f>
        <v>#REF!</v>
      </c>
      <c r="I947" s="235">
        <f t="shared" ref="I947" ca="1" si="224">AVERAGE(I948:I955)</f>
        <v>0.375</v>
      </c>
      <c r="J947" s="236" t="str">
        <f>IF(ISNUMBER(SEARCH("Rocha", _xlfn.XLOOKUP(B947,'Relacion '!$E:$E,'Relacion '!$I:$I,""))), "Sí", "No")</f>
        <v>Sí</v>
      </c>
      <c r="K947" s="236" t="str">
        <f>IF(ISNUMBER(SEARCH("Rocha", _xlfn.XLOOKUP(B947,'Relacion '!$E:$E,'Relacion '!$I:$I,""))), "RMC", _xlfn.XLOOKUP(B947,'Relacion '!$E:$E,'Relacion '!$B:$B,""))</f>
        <v>RMC</v>
      </c>
      <c r="L947" s="236" t="str">
        <f>_xlfn.XLOOKUP(B947,'Relacion '!$E:$E,'Relacion '!$C:$C,"")</f>
        <v>Eduardo Cabral</v>
      </c>
    </row>
    <row r="948" spans="2:12" outlineLevel="1">
      <c r="B948" s="237" t="s">
        <v>654</v>
      </c>
      <c r="C948" s="237" t="s">
        <v>654</v>
      </c>
      <c r="D948" s="238" t="str">
        <f>_xlfn.XLOOKUP(B948,'Relacion '!$E:$E,'Relacion '!$D:$D,"")</f>
        <v/>
      </c>
      <c r="E948" s="239">
        <f t="shared" si="213"/>
        <v>59</v>
      </c>
      <c r="F948" s="240" cm="1">
        <f t="array" ref="F948">MIN(INDEX('Relacion '!$X$5:$Y$493,MATCH(INDEX($B:$B, (ROW()-1)),'Relacion '!$E$5:$E$493,0),0))</f>
        <v>46024</v>
      </c>
      <c r="G948" s="240" cm="1">
        <f t="array" ref="G948">MAX(INDEX('Relacion '!$X$5:$Y$493,MATCH(INDEX($B:$B, (ROW()-1)),'Relacion '!$E$5:$E$493,0),0))</f>
        <v>46083</v>
      </c>
      <c r="H948" s="241" cm="1">
        <f t="array" ref="H948">IF(
 MATCH(B948,{"01. ASIGNACION AREA";"02. MAPEO";"03. DESARROLLO";"04. VALIDA US";"05. VOBO US";"06. BW-EJECUCION";"07. VALIDACIÓN BAJAWARE";"08. CERRADA"},0)
 &lt;
 MATCH(_xlfn.XLOOKUP(INDEX($B:$B, (ROW()-1)),'Relacion '!$E:$E,'Relacion '!$D:$D,""),{"01. ASIGNACION AREA";"02. MAPEO";"03. DESARROLLO";"04. VALIDA US";"05. VOBO US";"06. BW-EJECUCION";"07. VALIDACIÓN BAJAWARE";"08. CERRADA"},0),
 1,
 IF(
  MATCH(B948,{"01. ASIGNACION AREA";"02. MAPEO";"03. DESARROLLO";"04. VALIDA US";"05. VOBO US";"06. BW-EJECUCION";"07. VALIDACIÓN BAJAWARE";"08. CERRADA"},0)
  =
  MATCH(_xlfn.XLOOKUP(INDEX($B:$B, (ROW()-1)),'Relacion '!$E:$E,'Relacion '!$D:$D,""),{"01. ASIGNACION AREA";"02. MAPEO";"03. DESARROLLO";"04. VALIDA US";"05. VOBO US";"06. BW-EJECUCION";"07. VALIDACIÓN BAJAWARE";"08. CERRADA"},0),
  _xlfn.XLOOKUP(INDEX($B:$B, (ROW()-1)),'Relacion '!$E:$E,'Relacion '!#REF!,0),
  0
 )
)</f>
        <v>1</v>
      </c>
      <c r="I948" s="241">
        <f t="shared" ref="I948" ca="1" si="225">IF(G948&lt;=TODAY(), 1, 0)</f>
        <v>1</v>
      </c>
      <c r="J948" s="241"/>
      <c r="K948" s="241"/>
      <c r="L948" s="238"/>
    </row>
    <row r="949" spans="2:12" outlineLevel="1">
      <c r="B949" s="237" t="s">
        <v>195</v>
      </c>
      <c r="C949" s="237" t="s">
        <v>195</v>
      </c>
      <c r="D949" s="238" t="str">
        <f>_xlfn.XLOOKUP(B949,'Relacion '!$E:$E,'Relacion '!$D:$D,"")</f>
        <v/>
      </c>
      <c r="E949" s="239">
        <f t="shared" si="213"/>
        <v>49</v>
      </c>
      <c r="F949" s="240" cm="1">
        <f t="array" ref="F949">MIN(INDEX('Relacion '!$Z$5:$AA$493,MATCH(INDEX($B:$B, (ROW()-2)),'Relacion '!$E$5:$E$493,0),0))</f>
        <v>46093</v>
      </c>
      <c r="G949" s="240" cm="1">
        <f t="array" ref="G949">MAX(INDEX('Relacion '!$Z$5:$AA$493,MATCH(INDEX($B:$B, (ROW()-2)),'Relacion '!$E$5:$E$493,0),0))</f>
        <v>46142</v>
      </c>
      <c r="H949" s="241" t="e" cm="1">
        <f t="array" ref="H949">IF(
 MATCH(B949,{"01. ASIGNACION AREA";"02. MAPEO";"03. DESARROLLO";"04. VALIDA US";"05. VOBO US";"06. BW-EJECUCION";"07. VALIDACIÓN BAJAWARE";"08. CERRADA"},0)
 &lt;
 MATCH(_xlfn.XLOOKUP(INDEX($B:$B, (ROW()-2)),'Relacion '!$E:$E,'Relacion '!$D:$D,""),{"01. ASIGNACION AREA";"02. MAPEO";"03. DESARROLLO";"04. VALIDA US";"05. VOBO US";"06. BW-EJECUCION";"07. VALIDACIÓN BAJAWARE";"08. CERRADA"},0),
 1,
 IF(
  MATCH(B949,{"01. ASIGNACION AREA";"02. MAPEO";"03. DESARROLLO";"04. VALIDA US";"05. VOBO US";"06. BW-EJECUCION";"07. VALIDACIÓN BAJAWARE";"08. CERRADA"},0)
  =
  MATCH(_xlfn.XLOOKUP(INDEX($B:$B, (ROW()-2)),'Relacion '!$E:$E,'Relacion '!$D:$D,""),{"01. ASIGNACION AREA";"02. MAPEO";"03. DESARROLLO";"04. VALIDA US";"05. VOBO US";"06. BW-EJECUCION";"07. VALIDACIÓN BAJAWARE";"08. CERRADA"},0),
  _xlfn.XLOOKUP(INDEX($B:$B, (ROW()-2)),'Relacion '!$E:$E,'Relacion '!#REF!,0),
  0
 )
)</f>
        <v>#REF!</v>
      </c>
      <c r="I949" s="241">
        <f t="shared" ca="1" si="212"/>
        <v>1</v>
      </c>
      <c r="J949" s="241"/>
      <c r="K949" s="241"/>
      <c r="L949" s="238"/>
    </row>
    <row r="950" spans="2:12" outlineLevel="1">
      <c r="B950" s="237" t="s">
        <v>49</v>
      </c>
      <c r="C950" s="237" t="s">
        <v>49</v>
      </c>
      <c r="D950" s="238" t="str">
        <f>_xlfn.XLOOKUP(B950,'Relacion '!$E:$E,'Relacion '!$D:$D,"")</f>
        <v/>
      </c>
      <c r="E950" s="239">
        <f t="shared" si="213"/>
        <v>18</v>
      </c>
      <c r="F950" s="240" cm="1">
        <f t="array" ref="F950">MIN(INDEX('Relacion '!$AB$5:$AC$493,MATCH(INDEX($B:$B, (ROW()-3)),'Relacion '!$E$5:$E$493,0),0))</f>
        <v>46146</v>
      </c>
      <c r="G950" s="240" cm="1">
        <f t="array" ref="G950">MAX(INDEX('Relacion '!$AB$5:$AC$493,MATCH(INDEX($B:$B, (ROW()-3)),'Relacion '!$E$5:$E$493,0),0))</f>
        <v>46164</v>
      </c>
      <c r="H950" s="241" cm="1">
        <f t="array" ref="H950">IF(
 MATCH(B950,{"01. ASIGNACION AREA";"02. MAPEO";"03. DESARROLLO";"04. VALIDA US";"05. VOBO US";"06. BW-EJECUCION";"07. VALIDACIÓN BAJAWARE";"08. CERRADA"},0)
 &lt;
 MATCH(_xlfn.XLOOKUP(INDEX($B:$B, (ROW()-3)),'Relacion '!$E:$E,'Relacion '!$D:$D,""),{"01. ASIGNACION AREA";"02. MAPEO";"03. DESARROLLO";"04. VALIDA US";"05. VOBO US";"06. BW-EJECUCION";"07. VALIDACIÓN BAJAWARE";"08. CERRADA"},0),
 1,
 IF(
  MATCH(B950,{"01. ASIGNACION AREA";"02. MAPEO";"03. DESARROLLO";"04. VALIDA US";"05. VOBO US";"06. BW-EJECUCION";"07. VALIDACIÓN BAJAWARE";"08. CERRADA"},0)
  =
  MATCH(_xlfn.XLOOKUP(INDEX($B:$B, (ROW()-3)),'Relacion '!$E:$E,'Relacion '!$D:$D,""),{"01. ASIGNACION AREA";"02. MAPEO";"03. DESARROLLO";"04. VALIDA US";"05. VOBO US";"06. BW-EJECUCION";"07. VALIDACIÓN BAJAWARE";"08. CERRADA"},0),
  _xlfn.XLOOKUP(INDEX($B:$B, (ROW()-3)),'Relacion '!$E:$E,'Relacion '!#REF!,0),
  0
 )
)</f>
        <v>0</v>
      </c>
      <c r="I950" s="241">
        <f t="shared" ca="1" si="212"/>
        <v>1</v>
      </c>
      <c r="J950" s="241"/>
      <c r="K950" s="241"/>
      <c r="L950" s="238"/>
    </row>
    <row r="951" spans="2:12" outlineLevel="1">
      <c r="B951" s="237" t="s">
        <v>324</v>
      </c>
      <c r="C951" s="237" t="s">
        <v>324</v>
      </c>
      <c r="D951" s="238" t="str">
        <f>_xlfn.XLOOKUP(B951,'Relacion '!$E:$E,'Relacion '!$D:$D,"")</f>
        <v/>
      </c>
      <c r="E951" s="239">
        <f t="shared" si="213"/>
        <v>11</v>
      </c>
      <c r="F951" s="240" cm="1">
        <f t="array" ref="F951">MIN(INDEX('Relacion '!$AD$5:$AE$493,MATCH(INDEX($B:$B, (ROW()-4)),'Relacion '!$E$5:$E$493,0),0))</f>
        <v>46167</v>
      </c>
      <c r="G951" s="240" cm="1">
        <f t="array" ref="G951">MAX(INDEX('Relacion '!$AD$5:$AE$493,MATCH(INDEX($B:$B, (ROW()-4)),'Relacion '!$E$5:$E$493,0),0))</f>
        <v>46178</v>
      </c>
      <c r="H951" s="241" cm="1">
        <f t="array" ref="H951">IF(
 MATCH(B951,{"01. ASIGNACION AREA";"02. MAPEO";"03. DESARROLLO";"04. VALIDA US";"05. VOBO US";"06. BW-EJECUCION";"07. VALIDACIÓN BAJAWARE";"08. CERRADA"},0)
 &lt;
 MATCH(_xlfn.XLOOKUP(INDEX($B:$B, (ROW()-4)),'Relacion '!$E:$E,'Relacion '!$D:$D,""),{"01. ASIGNACION AREA";"02. MAPEO";"03. DESARROLLO";"04. VALIDA US";"05. VOBO US";"06. BW-EJECUCION";"07. VALIDACIÓN BAJAWARE";"08. CERRADA"},0),
 1,
 IF(
  MATCH(B951,{"01. ASIGNACION AREA";"02. MAPEO";"03. DESARROLLO";"04. VALIDA US";"05. VOBO US";"06. BW-EJECUCION";"07. VALIDACIÓN BAJAWARE";"08. CERRADA"},0)
  =
  MATCH(_xlfn.XLOOKUP(INDEX($B:$B, (ROW()-4)),'Relacion '!$E:$E,'Relacion '!$D:$D,""),{"01. ASIGNACION AREA";"02. MAPEO";"03. DESARROLLO";"04. VALIDA US";"05. VOBO US";"06. BW-EJECUCION";"07. VALIDACIÓN BAJAWARE";"08. CERRADA"},0),
  _xlfn.XLOOKUP(INDEX($B:$B, (ROW()-4)),'Relacion '!$E:$E,'Relacion '!#REF!,0),
  0
 )
)</f>
        <v>0</v>
      </c>
      <c r="I951" s="241">
        <f t="shared" ca="1" si="212"/>
        <v>0</v>
      </c>
      <c r="J951" s="241"/>
      <c r="K951" s="241"/>
      <c r="L951" s="238"/>
    </row>
    <row r="952" spans="2:12" outlineLevel="1">
      <c r="B952" s="237" t="s">
        <v>320</v>
      </c>
      <c r="C952" s="237" t="s">
        <v>320</v>
      </c>
      <c r="D952" s="238" t="str">
        <f>_xlfn.XLOOKUP(B952,'Relacion '!$E:$E,'Relacion '!$D:$D,"")</f>
        <v/>
      </c>
      <c r="E952" s="239">
        <f t="shared" si="213"/>
        <v>3</v>
      </c>
      <c r="F952" s="240" cm="1">
        <f t="array" ref="F952">MIN(INDEX('Relacion '!$AF$5:$AG$493,MATCH(INDEX($B:$B, (ROW()-5)),'Relacion '!$E$5:$E$493,0),0))</f>
        <v>46178</v>
      </c>
      <c r="G952" s="240" cm="1">
        <f t="array" ref="G952">MAX(INDEX('Relacion '!$AF$5:$AG$493,MATCH(INDEX($B:$B, (ROW()-5)),'Relacion '!$E$5:$E$493,0),0))</f>
        <v>46181</v>
      </c>
      <c r="H952" s="241" cm="1">
        <f t="array" ref="H952">IF(
 MATCH(B952,{"01. ASIGNACION AREA";"02. MAPEO";"03. DESARROLLO";"04. VALIDA US";"05. VOBO US";"06. BW-EJECUCION";"07. VALIDACIÓN BAJAWARE";"08. CERRADA"},0)
 &lt;
 MATCH(_xlfn.XLOOKUP(INDEX($B:$B, (ROW()-5)),'Relacion '!$E:$E,'Relacion '!$D:$D,""),{"01. ASIGNACION AREA";"02. MAPEO";"03. DESARROLLO";"04. VALIDA US";"05. VOBO US";"06. BW-EJECUCION";"07. VALIDACIÓN BAJAWARE";"08. CERRADA"},0),
 1,
 IF(
  MATCH(B952,{"01. ASIGNACION AREA";"02. MAPEO";"03. DESARROLLO";"04. VALIDA US";"05. VOBO US";"06. BW-EJECUCION";"07. VALIDACIÓN BAJAWARE";"08. CERRADA"},0)
  =
  MATCH(_xlfn.XLOOKUP(INDEX($B:$B, (ROW()-5)),'Relacion '!$E:$E,'Relacion '!$D:$D,""),{"01. ASIGNACION AREA";"02. MAPEO";"03. DESARROLLO";"04. VALIDA US";"05. VOBO US";"06. BW-EJECUCION";"07. VALIDACIÓN BAJAWARE";"08. CERRADA"},0),
  _xlfn.XLOOKUP(INDEX($B:$B, (ROW()-5)),'Relacion '!$E:$E,'Relacion '!#REF!,0),
  0
 )
)</f>
        <v>0</v>
      </c>
      <c r="I952" s="241">
        <f t="shared" ca="1" si="212"/>
        <v>0</v>
      </c>
      <c r="J952" s="241"/>
      <c r="K952" s="241"/>
      <c r="L952" s="238"/>
    </row>
    <row r="953" spans="2:12" outlineLevel="1">
      <c r="B953" s="237" t="s">
        <v>710</v>
      </c>
      <c r="C953" s="237" t="s">
        <v>710</v>
      </c>
      <c r="D953" s="238" t="str">
        <f>_xlfn.XLOOKUP(B953,'Relacion '!$E:$E,'Relacion '!$D:$D,"")</f>
        <v/>
      </c>
      <c r="E953" s="239">
        <f t="shared" si="213"/>
        <v>3</v>
      </c>
      <c r="F953" s="240" cm="1">
        <f t="array" ref="F953">MIN(INDEX('Relacion '!$AH$5:$AI$493,MATCH(INDEX($B:$B, (ROW()-6)),'Relacion '!$E$5:$E$493,0),0))</f>
        <v>46182</v>
      </c>
      <c r="G953" s="240" cm="1">
        <f t="array" ref="G953">MAX(INDEX('Relacion '!$AH$5:$AI$493,MATCH(INDEX($B:$B, (ROW()-6)),'Relacion '!$E$5:$E$493,0),0))</f>
        <v>46185</v>
      </c>
      <c r="H953" s="241" cm="1">
        <f t="array" ref="H953">IF(
 MATCH(B953,{"01. ASIGNACION AREA";"02. MAPEO";"03. DESARROLLO";"04. VALIDA US";"05. VOBO US";"06. BW-EJECUCION";"07. VALIDACIÓN BAJAWARE";"08. CERRADA"},0)
 &lt;
 MATCH(_xlfn.XLOOKUP(INDEX($B:$B, (ROW()-6)),'Relacion '!$E:$E,'Relacion '!$D:$D,""),{"01. ASIGNACION AREA";"02. MAPEO";"03. DESARROLLO";"04. VALIDA US";"05. VOBO US";"06. BW-EJECUCION";"07. VALIDACIÓN BAJAWARE";"08. CERRADA"},0),
 1,
 IF(
  MATCH(B953,{"01. ASIGNACION AREA";"02. MAPEO";"03. DESARROLLO";"04. VALIDA US";"05. VOBO US";"06. BW-EJECUCION";"07. VALIDACIÓN BAJAWARE";"08. CERRADA"},0)
  =
  MATCH(_xlfn.XLOOKUP(INDEX($B:$B, (ROW()-6)),'Relacion '!$E:$E,'Relacion '!$D:$D,""),{"01. ASIGNACION AREA";"02. MAPEO";"03. DESARROLLO";"04. VALIDA US";"05. VOBO US";"06. BW-EJECUCION";"07. VALIDACIÓN BAJAWARE";"08. CERRADA"},0),
  _xlfn.XLOOKUP(INDEX($B:$B, (ROW()-6)),'Relacion '!$E:$E,'Relacion '!#REF!,0),
  0
 )
)</f>
        <v>0</v>
      </c>
      <c r="I953" s="241">
        <f t="shared" ca="1" si="212"/>
        <v>0</v>
      </c>
      <c r="J953" s="241"/>
      <c r="K953" s="241"/>
      <c r="L953" s="238"/>
    </row>
    <row r="954" spans="2:12" outlineLevel="1">
      <c r="B954" s="237" t="s">
        <v>655</v>
      </c>
      <c r="C954" s="237" t="s">
        <v>655</v>
      </c>
      <c r="D954" s="238" t="str">
        <f>_xlfn.XLOOKUP(B954,'Relacion '!$E:$E,'Relacion '!$D:$D,"")</f>
        <v/>
      </c>
      <c r="E954" s="239">
        <f t="shared" si="213"/>
        <v>11</v>
      </c>
      <c r="F954" s="240" cm="1">
        <f t="array" ref="F954">MIN(INDEX('Relacion '!$AJ$5:$AK$493,MATCH(INDEX($B:$B, (ROW()-7)),'Relacion '!$E$5:$E$493,0),0))</f>
        <v>46188</v>
      </c>
      <c r="G954" s="240" cm="1">
        <f t="array" ref="G954">MAX(INDEX('Relacion '!$AJ$5:$AK$493,MATCH(INDEX($B:$B, (ROW()-7)),'Relacion '!$E$5:$E$493,0),0))</f>
        <v>46199</v>
      </c>
      <c r="H954" s="241" cm="1">
        <f t="array" ref="H954">IF(
 MATCH(B954,{"01. ASIGNACION AREA";"02. MAPEO";"03. DESARROLLO";"04. VALIDA US";"05. VOBO US";"06. BW-EJECUCION";"07. VALIDACIÓN BAJAWARE";"08. CERRADA"},0)
 &lt;
 MATCH(_xlfn.XLOOKUP(INDEX($B:$B, (ROW()-7)),'Relacion '!$E:$E,'Relacion '!$D:$D,""),{"01. ASIGNACION AREA";"02. MAPEO";"03. DESARROLLO";"04. VALIDA US";"05. VOBO US";"06. BW-EJECUCION";"07. VALIDACIÓN BAJAWARE";"08. CERRADA"},0),
 1,
 IF(
  MATCH(B954,{"01. ASIGNACION AREA";"02. MAPEO";"03. DESARROLLO";"04. VALIDA US";"05. VOBO US";"06. BW-EJECUCION";"07. VALIDACIÓN BAJAWARE";"08. CERRADA"},0)
  =
  MATCH(_xlfn.XLOOKUP(INDEX($B:$B, (ROW()-7)),'Relacion '!$E:$E,'Relacion '!$D:$D,""),{"01. ASIGNACION AREA";"02. MAPEO";"03. DESARROLLO";"04. VALIDA US";"05. VOBO US";"06. BW-EJECUCION";"07. VALIDACIÓN BAJAWARE";"08. CERRADA"},0),
  _xlfn.XLOOKUP(INDEX($B:$B, (ROW()-7)),'Relacion '!$E:$E,'Relacion '!#REF!,0),
  0
 )
)</f>
        <v>0</v>
      </c>
      <c r="I954" s="241">
        <f t="shared" ca="1" si="212"/>
        <v>0</v>
      </c>
      <c r="J954" s="241"/>
      <c r="K954" s="241"/>
      <c r="L954" s="238"/>
    </row>
    <row r="955" spans="2:12" outlineLevel="1">
      <c r="B955" s="237" t="s">
        <v>656</v>
      </c>
      <c r="C955" s="237" t="s">
        <v>656</v>
      </c>
      <c r="D955" s="238" t="str">
        <f>_xlfn.XLOOKUP(B955,'Relacion '!$E:$E,'Relacion '!$D:$D,"")</f>
        <v/>
      </c>
      <c r="E955" s="239">
        <f t="shared" si="213"/>
        <v>3</v>
      </c>
      <c r="F955" s="240" cm="1">
        <f t="array" ref="F955">MIN(INDEX('Relacion '!$AL$5:$AM$493,MATCH(INDEX($B:$B, (ROW()-8)),'Relacion '!$E$5:$E$493,0),0))</f>
        <v>46199</v>
      </c>
      <c r="G955" s="240" cm="1">
        <f t="array" ref="G955">MAX(INDEX('Relacion '!$AL$5:$AM$493,MATCH(INDEX($B:$B, (ROW()-8)),'Relacion '!$E$5:$E$493,0),0))</f>
        <v>46202</v>
      </c>
      <c r="H955" s="241" cm="1">
        <f t="array" ref="H955">IF(
 MATCH(B955,{"01. ASIGNACION AREA";"02. MAPEO";"03. DESARROLLO";"04. VALIDA US";"05. VOBO US";"06. BW-EJECUCION";"07. VALIDACIÓN BAJAWARE";"08. CERRADA"},0)
 &lt;
 MATCH(_xlfn.XLOOKUP(INDEX($B:$B, (ROW()-8)),'Relacion '!$E:$E,'Relacion '!$D:$D,""),{"01. ASIGNACION AREA";"02. MAPEO";"03. DESARROLLO";"04. VALIDA US";"05. VOBO US";"06. BW-EJECUCION";"07. VALIDACIÓN BAJAWARE";"08. CERRADA"},0),
 1,
 IF(
  MATCH(B955,{"01. ASIGNACION AREA";"02. MAPEO";"03. DESARROLLO";"04. VALIDA US";"05. VOBO US";"06. BW-EJECUCION";"07. VALIDACIÓN BAJAWARE";"08. CERRADA"},0)
  =
  MATCH(_xlfn.XLOOKUP(INDEX($B:$B, (ROW()-8)),'Relacion '!$E:$E,'Relacion '!$D:$D,""),{"01. ASIGNACION AREA";"02. MAPEO";"03. DESARROLLO";"04. VALIDA US";"05. VOBO US";"06. BW-EJECUCION";"07. VALIDACIÓN BAJAWARE";"08. CERRADA"},0),
  _xlfn.XLOOKUP(INDEX($B:$B, (ROW()-8)),'Relacion '!$E:$E,'Relacion '!#REF!,0),
  0
 )
)</f>
        <v>0</v>
      </c>
      <c r="I955" s="241">
        <f t="shared" ca="1" si="212"/>
        <v>0</v>
      </c>
      <c r="J955" s="241"/>
      <c r="K955" s="241"/>
      <c r="L955" s="238"/>
    </row>
    <row r="956" spans="2:12">
      <c r="B956" s="232" t="s">
        <v>254</v>
      </c>
      <c r="C956" s="137" t="s">
        <v>255</v>
      </c>
      <c r="D956" s="236" t="str">
        <f>_xlfn.XLOOKUP(B956,'Relacion '!$E:$E,'Relacion '!$D:$D,"")</f>
        <v>02. MAPEO</v>
      </c>
      <c r="E956" s="233">
        <f t="shared" si="213"/>
        <v>178</v>
      </c>
      <c r="F956" s="234" cm="1">
        <f t="array" ref="F956">MIN(INDEX('Relacion '!$X$5:$AM$493,MATCH(INDEX($B:$B, (ROW()-0)),'Relacion '!$E$5:$E$493,0),0))</f>
        <v>46024</v>
      </c>
      <c r="G956" s="234" cm="1">
        <f t="array" ref="G956">MAX(INDEX('Relacion '!$X$5:$AM$493,MATCH(INDEX($B:$B, (ROW()-0)),'Relacion '!$E$5:$E$493,0),0))</f>
        <v>46202</v>
      </c>
      <c r="H956" s="235" t="e">
        <f>AVERAGE(H957:H964)</f>
        <v>#REF!</v>
      </c>
      <c r="I956" s="235">
        <f t="shared" ref="I956" ca="1" si="226">AVERAGE(I957:I964)</f>
        <v>0.375</v>
      </c>
      <c r="J956" s="236" t="str">
        <f>IF(ISNUMBER(SEARCH("Rocha", _xlfn.XLOOKUP(B956,'Relacion '!$E:$E,'Relacion '!$I:$I,""))), "Sí", "No")</f>
        <v>Sí</v>
      </c>
      <c r="K956" s="236" t="str">
        <f>IF(ISNUMBER(SEARCH("Rocha", _xlfn.XLOOKUP(B956,'Relacion '!$E:$E,'Relacion '!$I:$I,""))), "RMC", _xlfn.XLOOKUP(B956,'Relacion '!$E:$E,'Relacion '!$B:$B,""))</f>
        <v>RMC</v>
      </c>
      <c r="L956" s="236" t="str">
        <f>_xlfn.XLOOKUP(B956,'Relacion '!$E:$E,'Relacion '!$C:$C,"")</f>
        <v>Homero Sanchez</v>
      </c>
    </row>
    <row r="957" spans="2:12" outlineLevel="1">
      <c r="B957" s="237" t="s">
        <v>654</v>
      </c>
      <c r="C957" s="237" t="s">
        <v>654</v>
      </c>
      <c r="D957" s="238" t="str">
        <f>_xlfn.XLOOKUP(B957,'Relacion '!$E:$E,'Relacion '!$D:$D,"")</f>
        <v/>
      </c>
      <c r="E957" s="239">
        <f t="shared" si="213"/>
        <v>59</v>
      </c>
      <c r="F957" s="240" cm="1">
        <f t="array" ref="F957">MIN(INDEX('Relacion '!$X$5:$Y$493,MATCH(INDEX($B:$B, (ROW()-1)),'Relacion '!$E$5:$E$493,0),0))</f>
        <v>46024</v>
      </c>
      <c r="G957" s="240" cm="1">
        <f t="array" ref="G957">MAX(INDEX('Relacion '!$X$5:$Y$493,MATCH(INDEX($B:$B, (ROW()-1)),'Relacion '!$E$5:$E$493,0),0))</f>
        <v>46083</v>
      </c>
      <c r="H957" s="241" cm="1">
        <f t="array" ref="H957">IF(
 MATCH(B957,{"01. ASIGNACION AREA";"02. MAPEO";"03. DESARROLLO";"04. VALIDA US";"05. VOBO US";"06. BW-EJECUCION";"07. VALIDACIÓN BAJAWARE";"08. CERRADA"},0)
 &lt;
 MATCH(_xlfn.XLOOKUP(INDEX($B:$B, (ROW()-1)),'Relacion '!$E:$E,'Relacion '!$D:$D,""),{"01. ASIGNACION AREA";"02. MAPEO";"03. DESARROLLO";"04. VALIDA US";"05. VOBO US";"06. BW-EJECUCION";"07. VALIDACIÓN BAJAWARE";"08. CERRADA"},0),
 1,
 IF(
  MATCH(B957,{"01. ASIGNACION AREA";"02. MAPEO";"03. DESARROLLO";"04. VALIDA US";"05. VOBO US";"06. BW-EJECUCION";"07. VALIDACIÓN BAJAWARE";"08. CERRADA"},0)
  =
  MATCH(_xlfn.XLOOKUP(INDEX($B:$B, (ROW()-1)),'Relacion '!$E:$E,'Relacion '!$D:$D,""),{"01. ASIGNACION AREA";"02. MAPEO";"03. DESARROLLO";"04. VALIDA US";"05. VOBO US";"06. BW-EJECUCION";"07. VALIDACIÓN BAJAWARE";"08. CERRADA"},0),
  _xlfn.XLOOKUP(INDEX($B:$B, (ROW()-1)),'Relacion '!$E:$E,'Relacion '!#REF!,0),
  0
 )
)</f>
        <v>1</v>
      </c>
      <c r="I957" s="241">
        <f t="shared" ref="I957:I1018" ca="1" si="227">IF(G957&lt;=TODAY(), 1, 0)</f>
        <v>1</v>
      </c>
      <c r="J957" s="241"/>
      <c r="K957" s="241"/>
      <c r="L957" s="238"/>
    </row>
    <row r="958" spans="2:12" outlineLevel="1">
      <c r="B958" s="237" t="s">
        <v>195</v>
      </c>
      <c r="C958" s="237" t="s">
        <v>195</v>
      </c>
      <c r="D958" s="238" t="str">
        <f>_xlfn.XLOOKUP(B958,'Relacion '!$E:$E,'Relacion '!$D:$D,"")</f>
        <v/>
      </c>
      <c r="E958" s="239">
        <f t="shared" si="213"/>
        <v>49</v>
      </c>
      <c r="F958" s="240" cm="1">
        <f t="array" ref="F958">MIN(INDEX('Relacion '!$Z$5:$AA$493,MATCH(INDEX($B:$B, (ROW()-2)),'Relacion '!$E$5:$E$493,0),0))</f>
        <v>46093</v>
      </c>
      <c r="G958" s="240" cm="1">
        <f t="array" ref="G958">MAX(INDEX('Relacion '!$Z$5:$AA$493,MATCH(INDEX($B:$B, (ROW()-2)),'Relacion '!$E$5:$E$493,0),0))</f>
        <v>46142</v>
      </c>
      <c r="H958" s="241" t="e" cm="1">
        <f t="array" ref="H958">IF(
 MATCH(B958,{"01. ASIGNACION AREA";"02. MAPEO";"03. DESARROLLO";"04. VALIDA US";"05. VOBO US";"06. BW-EJECUCION";"07. VALIDACIÓN BAJAWARE";"08. CERRADA"},0)
 &lt;
 MATCH(_xlfn.XLOOKUP(INDEX($B:$B, (ROW()-2)),'Relacion '!$E:$E,'Relacion '!$D:$D,""),{"01. ASIGNACION AREA";"02. MAPEO";"03. DESARROLLO";"04. VALIDA US";"05. VOBO US";"06. BW-EJECUCION";"07. VALIDACIÓN BAJAWARE";"08. CERRADA"},0),
 1,
 IF(
  MATCH(B958,{"01. ASIGNACION AREA";"02. MAPEO";"03. DESARROLLO";"04. VALIDA US";"05. VOBO US";"06. BW-EJECUCION";"07. VALIDACIÓN BAJAWARE";"08. CERRADA"},0)
  =
  MATCH(_xlfn.XLOOKUP(INDEX($B:$B, (ROW()-2)),'Relacion '!$E:$E,'Relacion '!$D:$D,""),{"01. ASIGNACION AREA";"02. MAPEO";"03. DESARROLLO";"04. VALIDA US";"05. VOBO US";"06. BW-EJECUCION";"07. VALIDACIÓN BAJAWARE";"08. CERRADA"},0),
  _xlfn.XLOOKUP(INDEX($B:$B, (ROW()-2)),'Relacion '!$E:$E,'Relacion '!#REF!,0),
  0
 )
)</f>
        <v>#REF!</v>
      </c>
      <c r="I958" s="241">
        <f t="shared" ca="1" si="227"/>
        <v>1</v>
      </c>
      <c r="J958" s="241"/>
      <c r="K958" s="241"/>
      <c r="L958" s="238"/>
    </row>
    <row r="959" spans="2:12" outlineLevel="1">
      <c r="B959" s="237" t="s">
        <v>49</v>
      </c>
      <c r="C959" s="237" t="s">
        <v>49</v>
      </c>
      <c r="D959" s="238" t="str">
        <f>_xlfn.XLOOKUP(B959,'Relacion '!$E:$E,'Relacion '!$D:$D,"")</f>
        <v/>
      </c>
      <c r="E959" s="239">
        <f t="shared" si="213"/>
        <v>18</v>
      </c>
      <c r="F959" s="240" cm="1">
        <f t="array" ref="F959">MIN(INDEX('Relacion '!$AB$5:$AC$493,MATCH(INDEX($B:$B, (ROW()-3)),'Relacion '!$E$5:$E$493,0),0))</f>
        <v>46146</v>
      </c>
      <c r="G959" s="240" cm="1">
        <f t="array" ref="G959">MAX(INDEX('Relacion '!$AB$5:$AC$493,MATCH(INDEX($B:$B, (ROW()-3)),'Relacion '!$E$5:$E$493,0),0))</f>
        <v>46164</v>
      </c>
      <c r="H959" s="241" cm="1">
        <f t="array" ref="H959">IF(
 MATCH(B959,{"01. ASIGNACION AREA";"02. MAPEO";"03. DESARROLLO";"04. VALIDA US";"05. VOBO US";"06. BW-EJECUCION";"07. VALIDACIÓN BAJAWARE";"08. CERRADA"},0)
 &lt;
 MATCH(_xlfn.XLOOKUP(INDEX($B:$B, (ROW()-3)),'Relacion '!$E:$E,'Relacion '!$D:$D,""),{"01. ASIGNACION AREA";"02. MAPEO";"03. DESARROLLO";"04. VALIDA US";"05. VOBO US";"06. BW-EJECUCION";"07. VALIDACIÓN BAJAWARE";"08. CERRADA"},0),
 1,
 IF(
  MATCH(B959,{"01. ASIGNACION AREA";"02. MAPEO";"03. DESARROLLO";"04. VALIDA US";"05. VOBO US";"06. BW-EJECUCION";"07. VALIDACIÓN BAJAWARE";"08. CERRADA"},0)
  =
  MATCH(_xlfn.XLOOKUP(INDEX($B:$B, (ROW()-3)),'Relacion '!$E:$E,'Relacion '!$D:$D,""),{"01. ASIGNACION AREA";"02. MAPEO";"03. DESARROLLO";"04. VALIDA US";"05. VOBO US";"06. BW-EJECUCION";"07. VALIDACIÓN BAJAWARE";"08. CERRADA"},0),
  _xlfn.XLOOKUP(INDEX($B:$B, (ROW()-3)),'Relacion '!$E:$E,'Relacion '!#REF!,0),
  0
 )
)</f>
        <v>0</v>
      </c>
      <c r="I959" s="241">
        <f t="shared" ca="1" si="227"/>
        <v>1</v>
      </c>
      <c r="J959" s="241"/>
      <c r="K959" s="241"/>
      <c r="L959" s="238"/>
    </row>
    <row r="960" spans="2:12" outlineLevel="1">
      <c r="B960" s="237" t="s">
        <v>324</v>
      </c>
      <c r="C960" s="237" t="s">
        <v>324</v>
      </c>
      <c r="D960" s="238" t="str">
        <f>_xlfn.XLOOKUP(B960,'Relacion '!$E:$E,'Relacion '!$D:$D,"")</f>
        <v/>
      </c>
      <c r="E960" s="239">
        <f t="shared" si="213"/>
        <v>11</v>
      </c>
      <c r="F960" s="240" cm="1">
        <f t="array" ref="F960">MIN(INDEX('Relacion '!$AD$5:$AE$493,MATCH(INDEX($B:$B, (ROW()-4)),'Relacion '!$E$5:$E$493,0),0))</f>
        <v>46167</v>
      </c>
      <c r="G960" s="240" cm="1">
        <f t="array" ref="G960">MAX(INDEX('Relacion '!$AD$5:$AE$493,MATCH(INDEX($B:$B, (ROW()-4)),'Relacion '!$E$5:$E$493,0),0))</f>
        <v>46178</v>
      </c>
      <c r="H960" s="241" cm="1">
        <f t="array" ref="H960">IF(
 MATCH(B960,{"01. ASIGNACION AREA";"02. MAPEO";"03. DESARROLLO";"04. VALIDA US";"05. VOBO US";"06. BW-EJECUCION";"07. VALIDACIÓN BAJAWARE";"08. CERRADA"},0)
 &lt;
 MATCH(_xlfn.XLOOKUP(INDEX($B:$B, (ROW()-4)),'Relacion '!$E:$E,'Relacion '!$D:$D,""),{"01. ASIGNACION AREA";"02. MAPEO";"03. DESARROLLO";"04. VALIDA US";"05. VOBO US";"06. BW-EJECUCION";"07. VALIDACIÓN BAJAWARE";"08. CERRADA"},0),
 1,
 IF(
  MATCH(B960,{"01. ASIGNACION AREA";"02. MAPEO";"03. DESARROLLO";"04. VALIDA US";"05. VOBO US";"06. BW-EJECUCION";"07. VALIDACIÓN BAJAWARE";"08. CERRADA"},0)
  =
  MATCH(_xlfn.XLOOKUP(INDEX($B:$B, (ROW()-4)),'Relacion '!$E:$E,'Relacion '!$D:$D,""),{"01. ASIGNACION AREA";"02. MAPEO";"03. DESARROLLO";"04. VALIDA US";"05. VOBO US";"06. BW-EJECUCION";"07. VALIDACIÓN BAJAWARE";"08. CERRADA"},0),
  _xlfn.XLOOKUP(INDEX($B:$B, (ROW()-4)),'Relacion '!$E:$E,'Relacion '!#REF!,0),
  0
 )
)</f>
        <v>0</v>
      </c>
      <c r="I960" s="241">
        <f t="shared" ca="1" si="227"/>
        <v>0</v>
      </c>
      <c r="J960" s="241"/>
      <c r="K960" s="241"/>
      <c r="L960" s="238"/>
    </row>
    <row r="961" spans="2:12" outlineLevel="1">
      <c r="B961" s="237" t="s">
        <v>320</v>
      </c>
      <c r="C961" s="237" t="s">
        <v>320</v>
      </c>
      <c r="D961" s="238" t="str">
        <f>_xlfn.XLOOKUP(B961,'Relacion '!$E:$E,'Relacion '!$D:$D,"")</f>
        <v/>
      </c>
      <c r="E961" s="239">
        <f t="shared" si="213"/>
        <v>3</v>
      </c>
      <c r="F961" s="240" cm="1">
        <f t="array" ref="F961">MIN(INDEX('Relacion '!$AF$5:$AG$493,MATCH(INDEX($B:$B, (ROW()-5)),'Relacion '!$E$5:$E$493,0),0))</f>
        <v>46178</v>
      </c>
      <c r="G961" s="240" cm="1">
        <f t="array" ref="G961">MAX(INDEX('Relacion '!$AF$5:$AG$493,MATCH(INDEX($B:$B, (ROW()-5)),'Relacion '!$E$5:$E$493,0),0))</f>
        <v>46181</v>
      </c>
      <c r="H961" s="241" cm="1">
        <f t="array" ref="H961">IF(
 MATCH(B961,{"01. ASIGNACION AREA";"02. MAPEO";"03. DESARROLLO";"04. VALIDA US";"05. VOBO US";"06. BW-EJECUCION";"07. VALIDACIÓN BAJAWARE";"08. CERRADA"},0)
 &lt;
 MATCH(_xlfn.XLOOKUP(INDEX($B:$B, (ROW()-5)),'Relacion '!$E:$E,'Relacion '!$D:$D,""),{"01. ASIGNACION AREA";"02. MAPEO";"03. DESARROLLO";"04. VALIDA US";"05. VOBO US";"06. BW-EJECUCION";"07. VALIDACIÓN BAJAWARE";"08. CERRADA"},0),
 1,
 IF(
  MATCH(B961,{"01. ASIGNACION AREA";"02. MAPEO";"03. DESARROLLO";"04. VALIDA US";"05. VOBO US";"06. BW-EJECUCION";"07. VALIDACIÓN BAJAWARE";"08. CERRADA"},0)
  =
  MATCH(_xlfn.XLOOKUP(INDEX($B:$B, (ROW()-5)),'Relacion '!$E:$E,'Relacion '!$D:$D,""),{"01. ASIGNACION AREA";"02. MAPEO";"03. DESARROLLO";"04. VALIDA US";"05. VOBO US";"06. BW-EJECUCION";"07. VALIDACIÓN BAJAWARE";"08. CERRADA"},0),
  _xlfn.XLOOKUP(INDEX($B:$B, (ROW()-5)),'Relacion '!$E:$E,'Relacion '!#REF!,0),
  0
 )
)</f>
        <v>0</v>
      </c>
      <c r="I961" s="241">
        <f t="shared" ca="1" si="227"/>
        <v>0</v>
      </c>
      <c r="J961" s="241"/>
      <c r="K961" s="241"/>
      <c r="L961" s="238"/>
    </row>
    <row r="962" spans="2:12" outlineLevel="1">
      <c r="B962" s="237" t="s">
        <v>710</v>
      </c>
      <c r="C962" s="237" t="s">
        <v>710</v>
      </c>
      <c r="D962" s="238" t="str">
        <f>_xlfn.XLOOKUP(B962,'Relacion '!$E:$E,'Relacion '!$D:$D,"")</f>
        <v/>
      </c>
      <c r="E962" s="239">
        <f t="shared" ref="E962:E1025" si="228">IF(OR(F962="",G962=""),"",G962-F962)</f>
        <v>3</v>
      </c>
      <c r="F962" s="240" cm="1">
        <f t="array" ref="F962">MIN(INDEX('Relacion '!$AH$5:$AI$493,MATCH(INDEX($B:$B, (ROW()-6)),'Relacion '!$E$5:$E$493,0),0))</f>
        <v>46182</v>
      </c>
      <c r="G962" s="240" cm="1">
        <f t="array" ref="G962">MAX(INDEX('Relacion '!$AH$5:$AI$493,MATCH(INDEX($B:$B, (ROW()-6)),'Relacion '!$E$5:$E$493,0),0))</f>
        <v>46185</v>
      </c>
      <c r="H962" s="241" cm="1">
        <f t="array" ref="H962">IF(
 MATCH(B962,{"01. ASIGNACION AREA";"02. MAPEO";"03. DESARROLLO";"04. VALIDA US";"05. VOBO US";"06. BW-EJECUCION";"07. VALIDACIÓN BAJAWARE";"08. CERRADA"},0)
 &lt;
 MATCH(_xlfn.XLOOKUP(INDEX($B:$B, (ROW()-6)),'Relacion '!$E:$E,'Relacion '!$D:$D,""),{"01. ASIGNACION AREA";"02. MAPEO";"03. DESARROLLO";"04. VALIDA US";"05. VOBO US";"06. BW-EJECUCION";"07. VALIDACIÓN BAJAWARE";"08. CERRADA"},0),
 1,
 IF(
  MATCH(B962,{"01. ASIGNACION AREA";"02. MAPEO";"03. DESARROLLO";"04. VALIDA US";"05. VOBO US";"06. BW-EJECUCION";"07. VALIDACIÓN BAJAWARE";"08. CERRADA"},0)
  =
  MATCH(_xlfn.XLOOKUP(INDEX($B:$B, (ROW()-6)),'Relacion '!$E:$E,'Relacion '!$D:$D,""),{"01. ASIGNACION AREA";"02. MAPEO";"03. DESARROLLO";"04. VALIDA US";"05. VOBO US";"06. BW-EJECUCION";"07. VALIDACIÓN BAJAWARE";"08. CERRADA"},0),
  _xlfn.XLOOKUP(INDEX($B:$B, (ROW()-6)),'Relacion '!$E:$E,'Relacion '!#REF!,0),
  0
 )
)</f>
        <v>0</v>
      </c>
      <c r="I962" s="241">
        <f t="shared" ca="1" si="227"/>
        <v>0</v>
      </c>
      <c r="J962" s="241"/>
      <c r="K962" s="241"/>
      <c r="L962" s="238"/>
    </row>
    <row r="963" spans="2:12" outlineLevel="1">
      <c r="B963" s="237" t="s">
        <v>655</v>
      </c>
      <c r="C963" s="237" t="s">
        <v>655</v>
      </c>
      <c r="D963" s="238" t="str">
        <f>_xlfn.XLOOKUP(B963,'Relacion '!$E:$E,'Relacion '!$D:$D,"")</f>
        <v/>
      </c>
      <c r="E963" s="239">
        <f t="shared" si="228"/>
        <v>11</v>
      </c>
      <c r="F963" s="240" cm="1">
        <f t="array" ref="F963">MIN(INDEX('Relacion '!$AJ$5:$AK$493,MATCH(INDEX($B:$B, (ROW()-7)),'Relacion '!$E$5:$E$493,0),0))</f>
        <v>46188</v>
      </c>
      <c r="G963" s="240" cm="1">
        <f t="array" ref="G963">MAX(INDEX('Relacion '!$AJ$5:$AK$493,MATCH(INDEX($B:$B, (ROW()-7)),'Relacion '!$E$5:$E$493,0),0))</f>
        <v>46199</v>
      </c>
      <c r="H963" s="241" cm="1">
        <f t="array" ref="H963">IF(
 MATCH(B963,{"01. ASIGNACION AREA";"02. MAPEO";"03. DESARROLLO";"04. VALIDA US";"05. VOBO US";"06. BW-EJECUCION";"07. VALIDACIÓN BAJAWARE";"08. CERRADA"},0)
 &lt;
 MATCH(_xlfn.XLOOKUP(INDEX($B:$B, (ROW()-7)),'Relacion '!$E:$E,'Relacion '!$D:$D,""),{"01. ASIGNACION AREA";"02. MAPEO";"03. DESARROLLO";"04. VALIDA US";"05. VOBO US";"06. BW-EJECUCION";"07. VALIDACIÓN BAJAWARE";"08. CERRADA"},0),
 1,
 IF(
  MATCH(B963,{"01. ASIGNACION AREA";"02. MAPEO";"03. DESARROLLO";"04. VALIDA US";"05. VOBO US";"06. BW-EJECUCION";"07. VALIDACIÓN BAJAWARE";"08. CERRADA"},0)
  =
  MATCH(_xlfn.XLOOKUP(INDEX($B:$B, (ROW()-7)),'Relacion '!$E:$E,'Relacion '!$D:$D,""),{"01. ASIGNACION AREA";"02. MAPEO";"03. DESARROLLO";"04. VALIDA US";"05. VOBO US";"06. BW-EJECUCION";"07. VALIDACIÓN BAJAWARE";"08. CERRADA"},0),
  _xlfn.XLOOKUP(INDEX($B:$B, (ROW()-7)),'Relacion '!$E:$E,'Relacion '!#REF!,0),
  0
 )
)</f>
        <v>0</v>
      </c>
      <c r="I963" s="241">
        <f t="shared" ca="1" si="227"/>
        <v>0</v>
      </c>
      <c r="J963" s="241"/>
      <c r="K963" s="241"/>
      <c r="L963" s="238"/>
    </row>
    <row r="964" spans="2:12" outlineLevel="1">
      <c r="B964" s="237" t="s">
        <v>656</v>
      </c>
      <c r="C964" s="237" t="s">
        <v>656</v>
      </c>
      <c r="D964" s="238" t="str">
        <f>_xlfn.XLOOKUP(B964,'Relacion '!$E:$E,'Relacion '!$D:$D,"")</f>
        <v/>
      </c>
      <c r="E964" s="239">
        <f t="shared" si="228"/>
        <v>3</v>
      </c>
      <c r="F964" s="240" cm="1">
        <f t="array" ref="F964">MIN(INDEX('Relacion '!$AL$5:$AM$493,MATCH(INDEX($B:$B, (ROW()-8)),'Relacion '!$E$5:$E$493,0),0))</f>
        <v>46199</v>
      </c>
      <c r="G964" s="240" cm="1">
        <f t="array" ref="G964">MAX(INDEX('Relacion '!$AL$5:$AM$493,MATCH(INDEX($B:$B, (ROW()-8)),'Relacion '!$E$5:$E$493,0),0))</f>
        <v>46202</v>
      </c>
      <c r="H964" s="241" cm="1">
        <f t="array" ref="H964">IF(
 MATCH(B964,{"01. ASIGNACION AREA";"02. MAPEO";"03. DESARROLLO";"04. VALIDA US";"05. VOBO US";"06. BW-EJECUCION";"07. VALIDACIÓN BAJAWARE";"08. CERRADA"},0)
 &lt;
 MATCH(_xlfn.XLOOKUP(INDEX($B:$B, (ROW()-8)),'Relacion '!$E:$E,'Relacion '!$D:$D,""),{"01. ASIGNACION AREA";"02. MAPEO";"03. DESARROLLO";"04. VALIDA US";"05. VOBO US";"06. BW-EJECUCION";"07. VALIDACIÓN BAJAWARE";"08. CERRADA"},0),
 1,
 IF(
  MATCH(B964,{"01. ASIGNACION AREA";"02. MAPEO";"03. DESARROLLO";"04. VALIDA US";"05. VOBO US";"06. BW-EJECUCION";"07. VALIDACIÓN BAJAWARE";"08. CERRADA"},0)
  =
  MATCH(_xlfn.XLOOKUP(INDEX($B:$B, (ROW()-8)),'Relacion '!$E:$E,'Relacion '!$D:$D,""),{"01. ASIGNACION AREA";"02. MAPEO";"03. DESARROLLO";"04. VALIDA US";"05. VOBO US";"06. BW-EJECUCION";"07. VALIDACIÓN BAJAWARE";"08. CERRADA"},0),
  _xlfn.XLOOKUP(INDEX($B:$B, (ROW()-8)),'Relacion '!$E:$E,'Relacion '!#REF!,0),
  0
 )
)</f>
        <v>0</v>
      </c>
      <c r="I964" s="241">
        <f t="shared" ca="1" si="227"/>
        <v>0</v>
      </c>
      <c r="J964" s="241"/>
      <c r="K964" s="241"/>
      <c r="L964" s="238"/>
    </row>
    <row r="965" spans="2:12" ht="30">
      <c r="B965" s="232" t="s">
        <v>527</v>
      </c>
      <c r="C965" s="167" t="s">
        <v>508</v>
      </c>
      <c r="D965" s="236" t="str">
        <f>_xlfn.XLOOKUP(B965,'Relacion '!$E:$E,'Relacion '!$D:$D,"")</f>
        <v>06. BW-EJECUCION</v>
      </c>
      <c r="E965" s="233">
        <f t="shared" si="228"/>
        <v>99</v>
      </c>
      <c r="F965" s="234" cm="1">
        <f t="array" ref="F965">MIN(INDEX('Relacion '!$X$5:$AM$493,MATCH(INDEX($B:$B, (ROW()-0)),'Relacion '!$E$5:$E$493,0),0))</f>
        <v>46024</v>
      </c>
      <c r="G965" s="234" cm="1">
        <f t="array" ref="G965">MAX(INDEX('Relacion '!$X$5:$AM$493,MATCH(INDEX($B:$B, (ROW()-0)),'Relacion '!$E$5:$E$493,0),0))</f>
        <v>46123</v>
      </c>
      <c r="H965" s="235" t="e">
        <f>AVERAGE(H966:H973)</f>
        <v>#REF!</v>
      </c>
      <c r="I965" s="235">
        <f t="shared" ref="I965" ca="1" si="229">AVERAGE(I966:I973)</f>
        <v>1</v>
      </c>
      <c r="J965" s="236" t="str">
        <f>IF(ISNUMBER(SEARCH("Rocha", _xlfn.XLOOKUP(B965,'Relacion '!$E:$E,'Relacion '!$I:$I,""))), "Sí", "No")</f>
        <v>No</v>
      </c>
      <c r="K965" s="236" t="str">
        <f>IF(ISNUMBER(SEARCH("Rocha", _xlfn.XLOOKUP(B965,'Relacion '!$E:$E,'Relacion '!$I:$I,""))), "RMC", _xlfn.XLOOKUP(B965,'Relacion '!$E:$E,'Relacion '!$B:$B,""))</f>
        <v>Riesgos</v>
      </c>
      <c r="L965" s="236" t="str">
        <f>_xlfn.XLOOKUP(B965,'Relacion '!$E:$E,'Relacion '!$C:$C,"")</f>
        <v>Homero Sanchez</v>
      </c>
    </row>
    <row r="966" spans="2:12" outlineLevel="1">
      <c r="B966" s="237" t="s">
        <v>654</v>
      </c>
      <c r="C966" s="237" t="s">
        <v>654</v>
      </c>
      <c r="D966" s="238" t="str">
        <f>_xlfn.XLOOKUP(B966,'Relacion '!$E:$E,'Relacion '!$D:$D,"")</f>
        <v/>
      </c>
      <c r="E966" s="239">
        <f t="shared" si="228"/>
        <v>59</v>
      </c>
      <c r="F966" s="240" cm="1">
        <f t="array" ref="F966">MIN(INDEX('Relacion '!$X$5:$Y$493,MATCH(INDEX($B:$B, (ROW()-1)),'Relacion '!$E$5:$E$493,0),0))</f>
        <v>46024</v>
      </c>
      <c r="G966" s="240" cm="1">
        <f t="array" ref="G966">MAX(INDEX('Relacion '!$X$5:$Y$493,MATCH(INDEX($B:$B, (ROW()-1)),'Relacion '!$E$5:$E$493,0),0))</f>
        <v>46083</v>
      </c>
      <c r="H966" s="241" cm="1">
        <f t="array" ref="H966">IF(
 MATCH(B966,{"01. ASIGNACION AREA";"02. MAPEO";"03. DESARROLLO";"04. VALIDA US";"05. VOBO US";"06. BW-EJECUCION";"07. VALIDACIÓN BAJAWARE";"08. CERRADA"},0)
 &lt;
 MATCH(_xlfn.XLOOKUP(INDEX($B:$B, (ROW()-1)),'Relacion '!$E:$E,'Relacion '!$D:$D,""),{"01. ASIGNACION AREA";"02. MAPEO";"03. DESARROLLO";"04. VALIDA US";"05. VOBO US";"06. BW-EJECUCION";"07. VALIDACIÓN BAJAWARE";"08. CERRADA"},0),
 1,
 IF(
  MATCH(B966,{"01. ASIGNACION AREA";"02. MAPEO";"03. DESARROLLO";"04. VALIDA US";"05. VOBO US";"06. BW-EJECUCION";"07. VALIDACIÓN BAJAWARE";"08. CERRADA"},0)
  =
  MATCH(_xlfn.XLOOKUP(INDEX($B:$B, (ROW()-1)),'Relacion '!$E:$E,'Relacion '!$D:$D,""),{"01. ASIGNACION AREA";"02. MAPEO";"03. DESARROLLO";"04. VALIDA US";"05. VOBO US";"06. BW-EJECUCION";"07. VALIDACIÓN BAJAWARE";"08. CERRADA"},0),
  _xlfn.XLOOKUP(INDEX($B:$B, (ROW()-1)),'Relacion '!$E:$E,'Relacion '!#REF!,0),
  0
 )
)</f>
        <v>1</v>
      </c>
      <c r="I966" s="241">
        <f t="shared" ref="I966" ca="1" si="230">IF(G966&lt;=TODAY(), 1, 0)</f>
        <v>1</v>
      </c>
      <c r="J966" s="241"/>
      <c r="K966" s="241"/>
      <c r="L966" s="238"/>
    </row>
    <row r="967" spans="2:12" outlineLevel="1">
      <c r="B967" s="237" t="s">
        <v>195</v>
      </c>
      <c r="C967" s="237" t="s">
        <v>195</v>
      </c>
      <c r="D967" s="238" t="str">
        <f>_xlfn.XLOOKUP(B967,'Relacion '!$E:$E,'Relacion '!$D:$D,"")</f>
        <v/>
      </c>
      <c r="E967" s="239">
        <f t="shared" si="228"/>
        <v>4</v>
      </c>
      <c r="F967" s="240" cm="1">
        <f t="array" ref="F967">MIN(INDEX('Relacion '!$Z$5:$AA$493,MATCH(INDEX($B:$B, (ROW()-2)),'Relacion '!$E$5:$E$493,0),0))</f>
        <v>46041</v>
      </c>
      <c r="G967" s="240" cm="1">
        <f t="array" ref="G967">MAX(INDEX('Relacion '!$Z$5:$AA$493,MATCH(INDEX($B:$B, (ROW()-2)),'Relacion '!$E$5:$E$493,0),0))</f>
        <v>46045</v>
      </c>
      <c r="H967" s="241" cm="1">
        <f t="array" ref="H967">IF(
 MATCH(B967,{"01. ASIGNACION AREA";"02. MAPEO";"03. DESARROLLO";"04. VALIDA US";"05. VOBO US";"06. BW-EJECUCION";"07. VALIDACIÓN BAJAWARE";"08. CERRADA"},0)
 &lt;
 MATCH(_xlfn.XLOOKUP(INDEX($B:$B, (ROW()-2)),'Relacion '!$E:$E,'Relacion '!$D:$D,""),{"01. ASIGNACION AREA";"02. MAPEO";"03. DESARROLLO";"04. VALIDA US";"05. VOBO US";"06. BW-EJECUCION";"07. VALIDACIÓN BAJAWARE";"08. CERRADA"},0),
 1,
 IF(
  MATCH(B967,{"01. ASIGNACION AREA";"02. MAPEO";"03. DESARROLLO";"04. VALIDA US";"05. VOBO US";"06. BW-EJECUCION";"07. VALIDACIÓN BAJAWARE";"08. CERRADA"},0)
  =
  MATCH(_xlfn.XLOOKUP(INDEX($B:$B, (ROW()-2)),'Relacion '!$E:$E,'Relacion '!$D:$D,""),{"01. ASIGNACION AREA";"02. MAPEO";"03. DESARROLLO";"04. VALIDA US";"05. VOBO US";"06. BW-EJECUCION";"07. VALIDACIÓN BAJAWARE";"08. CERRADA"},0),
  _xlfn.XLOOKUP(INDEX($B:$B, (ROW()-2)),'Relacion '!$E:$E,'Relacion '!#REF!,0),
  0
 )
)</f>
        <v>1</v>
      </c>
      <c r="I967" s="241">
        <f t="shared" ca="1" si="227"/>
        <v>1</v>
      </c>
      <c r="J967" s="241"/>
      <c r="K967" s="241"/>
      <c r="L967" s="238"/>
    </row>
    <row r="968" spans="2:12" outlineLevel="1">
      <c r="B968" s="237" t="s">
        <v>49</v>
      </c>
      <c r="C968" s="237" t="s">
        <v>49</v>
      </c>
      <c r="D968" s="238" t="str">
        <f>_xlfn.XLOOKUP(B968,'Relacion '!$E:$E,'Relacion '!$D:$D,"")</f>
        <v/>
      </c>
      <c r="E968" s="239">
        <f t="shared" si="228"/>
        <v>4</v>
      </c>
      <c r="F968" s="240" cm="1">
        <f t="array" ref="F968">MIN(INDEX('Relacion '!$AB$5:$AC$493,MATCH(INDEX($B:$B, (ROW()-3)),'Relacion '!$E$5:$E$493,0),0))</f>
        <v>46048</v>
      </c>
      <c r="G968" s="240" cm="1">
        <f t="array" ref="G968">MAX(INDEX('Relacion '!$AB$5:$AC$493,MATCH(INDEX($B:$B, (ROW()-3)),'Relacion '!$E$5:$E$493,0),0))</f>
        <v>46052</v>
      </c>
      <c r="H968" s="241" cm="1">
        <f t="array" ref="H968">IF(
 MATCH(B968,{"01. ASIGNACION AREA";"02. MAPEO";"03. DESARROLLO";"04. VALIDA US";"05. VOBO US";"06. BW-EJECUCION";"07. VALIDACIÓN BAJAWARE";"08. CERRADA"},0)
 &lt;
 MATCH(_xlfn.XLOOKUP(INDEX($B:$B, (ROW()-3)),'Relacion '!$E:$E,'Relacion '!$D:$D,""),{"01. ASIGNACION AREA";"02. MAPEO";"03. DESARROLLO";"04. VALIDA US";"05. VOBO US";"06. BW-EJECUCION";"07. VALIDACIÓN BAJAWARE";"08. CERRADA"},0),
 1,
 IF(
  MATCH(B968,{"01. ASIGNACION AREA";"02. MAPEO";"03. DESARROLLO";"04. VALIDA US";"05. VOBO US";"06. BW-EJECUCION";"07. VALIDACIÓN BAJAWARE";"08. CERRADA"},0)
  =
  MATCH(_xlfn.XLOOKUP(INDEX($B:$B, (ROW()-3)),'Relacion '!$E:$E,'Relacion '!$D:$D,""),{"01. ASIGNACION AREA";"02. MAPEO";"03. DESARROLLO";"04. VALIDA US";"05. VOBO US";"06. BW-EJECUCION";"07. VALIDACIÓN BAJAWARE";"08. CERRADA"},0),
  _xlfn.XLOOKUP(INDEX($B:$B, (ROW()-3)),'Relacion '!$E:$E,'Relacion '!#REF!,0),
  0
 )
)</f>
        <v>1</v>
      </c>
      <c r="I968" s="241">
        <f t="shared" ca="1" si="227"/>
        <v>1</v>
      </c>
      <c r="J968" s="241"/>
      <c r="K968" s="241"/>
      <c r="L968" s="238"/>
    </row>
    <row r="969" spans="2:12" outlineLevel="1">
      <c r="B969" s="237" t="s">
        <v>324</v>
      </c>
      <c r="C969" s="237" t="s">
        <v>324</v>
      </c>
      <c r="D969" s="238" t="str">
        <f>_xlfn.XLOOKUP(B969,'Relacion '!$E:$E,'Relacion '!$D:$D,"")</f>
        <v/>
      </c>
      <c r="E969" s="239">
        <f t="shared" si="228"/>
        <v>11</v>
      </c>
      <c r="F969" s="240" cm="1">
        <f t="array" ref="F969">MIN(INDEX('Relacion '!$AD$5:$AE$493,MATCH(INDEX($B:$B, (ROW()-4)),'Relacion '!$E$5:$E$493,0),0))</f>
        <v>46055</v>
      </c>
      <c r="G969" s="240" cm="1">
        <f t="array" ref="G969">MAX(INDEX('Relacion '!$AD$5:$AE$493,MATCH(INDEX($B:$B, (ROW()-4)),'Relacion '!$E$5:$E$493,0),0))</f>
        <v>46066</v>
      </c>
      <c r="H969" s="241" cm="1">
        <f t="array" ref="H969">IF(
 MATCH(B969,{"01. ASIGNACION AREA";"02. MAPEO";"03. DESARROLLO";"04. VALIDA US";"05. VOBO US";"06. BW-EJECUCION";"07. VALIDACIÓN BAJAWARE";"08. CERRADA"},0)
 &lt;
 MATCH(_xlfn.XLOOKUP(INDEX($B:$B, (ROW()-4)),'Relacion '!$E:$E,'Relacion '!$D:$D,""),{"01. ASIGNACION AREA";"02. MAPEO";"03. DESARROLLO";"04. VALIDA US";"05. VOBO US";"06. BW-EJECUCION";"07. VALIDACIÓN BAJAWARE";"08. CERRADA"},0),
 1,
 IF(
  MATCH(B969,{"01. ASIGNACION AREA";"02. MAPEO";"03. DESARROLLO";"04. VALIDA US";"05. VOBO US";"06. BW-EJECUCION";"07. VALIDACIÓN BAJAWARE";"08. CERRADA"},0)
  =
  MATCH(_xlfn.XLOOKUP(INDEX($B:$B, (ROW()-4)),'Relacion '!$E:$E,'Relacion '!$D:$D,""),{"01. ASIGNACION AREA";"02. MAPEO";"03. DESARROLLO";"04. VALIDA US";"05. VOBO US";"06. BW-EJECUCION";"07. VALIDACIÓN BAJAWARE";"08. CERRADA"},0),
  _xlfn.XLOOKUP(INDEX($B:$B, (ROW()-4)),'Relacion '!$E:$E,'Relacion '!#REF!,0),
  0
 )
)</f>
        <v>1</v>
      </c>
      <c r="I969" s="241">
        <f t="shared" ca="1" si="227"/>
        <v>1</v>
      </c>
      <c r="J969" s="241"/>
      <c r="K969" s="241"/>
      <c r="L969" s="238"/>
    </row>
    <row r="970" spans="2:12" outlineLevel="1">
      <c r="B970" s="237" t="s">
        <v>320</v>
      </c>
      <c r="C970" s="237" t="s">
        <v>320</v>
      </c>
      <c r="D970" s="238" t="str">
        <f>_xlfn.XLOOKUP(B970,'Relacion '!$E:$E,'Relacion '!$D:$D,"")</f>
        <v/>
      </c>
      <c r="E970" s="239">
        <f t="shared" si="228"/>
        <v>4</v>
      </c>
      <c r="F970" s="240" cm="1">
        <f t="array" ref="F970">MIN(INDEX('Relacion '!$AF$5:$AG$493,MATCH(INDEX($B:$B, (ROW()-5)),'Relacion '!$E$5:$E$493,0),0))</f>
        <v>46069</v>
      </c>
      <c r="G970" s="240" cm="1">
        <f t="array" ref="G970">MAX(INDEX('Relacion '!$AF$5:$AG$493,MATCH(INDEX($B:$B, (ROW()-5)),'Relacion '!$E$5:$E$493,0),0))</f>
        <v>46073</v>
      </c>
      <c r="H970" s="241" cm="1">
        <f t="array" ref="H970">IF(
 MATCH(B970,{"01. ASIGNACION AREA";"02. MAPEO";"03. DESARROLLO";"04. VALIDA US";"05. VOBO US";"06. BW-EJECUCION";"07. VALIDACIÓN BAJAWARE";"08. CERRADA"},0)
 &lt;
 MATCH(_xlfn.XLOOKUP(INDEX($B:$B, (ROW()-5)),'Relacion '!$E:$E,'Relacion '!$D:$D,""),{"01. ASIGNACION AREA";"02. MAPEO";"03. DESARROLLO";"04. VALIDA US";"05. VOBO US";"06. BW-EJECUCION";"07. VALIDACIÓN BAJAWARE";"08. CERRADA"},0),
 1,
 IF(
  MATCH(B970,{"01. ASIGNACION AREA";"02. MAPEO";"03. DESARROLLO";"04. VALIDA US";"05. VOBO US";"06. BW-EJECUCION";"07. VALIDACIÓN BAJAWARE";"08. CERRADA"},0)
  =
  MATCH(_xlfn.XLOOKUP(INDEX($B:$B, (ROW()-5)),'Relacion '!$E:$E,'Relacion '!$D:$D,""),{"01. ASIGNACION AREA";"02. MAPEO";"03. DESARROLLO";"04. VALIDA US";"05. VOBO US";"06. BW-EJECUCION";"07. VALIDACIÓN BAJAWARE";"08. CERRADA"},0),
  _xlfn.XLOOKUP(INDEX($B:$B, (ROW()-5)),'Relacion '!$E:$E,'Relacion '!#REF!,0),
  0
 )
)</f>
        <v>1</v>
      </c>
      <c r="I970" s="241">
        <f t="shared" ca="1" si="227"/>
        <v>1</v>
      </c>
      <c r="J970" s="241"/>
      <c r="K970" s="241"/>
      <c r="L970" s="238"/>
    </row>
    <row r="971" spans="2:12" outlineLevel="1">
      <c r="B971" s="237" t="s">
        <v>710</v>
      </c>
      <c r="C971" s="237" t="s">
        <v>710</v>
      </c>
      <c r="D971" s="238" t="str">
        <f>_xlfn.XLOOKUP(B971,'Relacion '!$E:$E,'Relacion '!$D:$D,"")</f>
        <v/>
      </c>
      <c r="E971" s="239">
        <f t="shared" si="228"/>
        <v>18</v>
      </c>
      <c r="F971" s="240" cm="1">
        <f t="array" ref="F971">MIN(INDEX('Relacion '!$AH$5:$AI$493,MATCH(INDEX($B:$B, (ROW()-6)),'Relacion '!$E$5:$E$493,0),0))</f>
        <v>46083</v>
      </c>
      <c r="G971" s="240" cm="1">
        <f t="array" ref="G971">MAX(INDEX('Relacion '!$AH$5:$AI$493,MATCH(INDEX($B:$B, (ROW()-6)),'Relacion '!$E$5:$E$493,0),0))</f>
        <v>46101</v>
      </c>
      <c r="H971" s="241" t="e" cm="1">
        <f t="array" ref="H971">IF(
 MATCH(B971,{"01. ASIGNACION AREA";"02. MAPEO";"03. DESARROLLO";"04. VALIDA US";"05. VOBO US";"06. BW-EJECUCION";"07. VALIDACIÓN BAJAWARE";"08. CERRADA"},0)
 &lt;
 MATCH(_xlfn.XLOOKUP(INDEX($B:$B, (ROW()-6)),'Relacion '!$E:$E,'Relacion '!$D:$D,""),{"01. ASIGNACION AREA";"02. MAPEO";"03. DESARROLLO";"04. VALIDA US";"05. VOBO US";"06. BW-EJECUCION";"07. VALIDACIÓN BAJAWARE";"08. CERRADA"},0),
 1,
 IF(
  MATCH(B971,{"01. ASIGNACION AREA";"02. MAPEO";"03. DESARROLLO";"04. VALIDA US";"05. VOBO US";"06. BW-EJECUCION";"07. VALIDACIÓN BAJAWARE";"08. CERRADA"},0)
  =
  MATCH(_xlfn.XLOOKUP(INDEX($B:$B, (ROW()-6)),'Relacion '!$E:$E,'Relacion '!$D:$D,""),{"01. ASIGNACION AREA";"02. MAPEO";"03. DESARROLLO";"04. VALIDA US";"05. VOBO US";"06. BW-EJECUCION";"07. VALIDACIÓN BAJAWARE";"08. CERRADA"},0),
  _xlfn.XLOOKUP(INDEX($B:$B, (ROW()-6)),'Relacion '!$E:$E,'Relacion '!#REF!,0),
  0
 )
)</f>
        <v>#REF!</v>
      </c>
      <c r="I971" s="241">
        <f t="shared" ca="1" si="227"/>
        <v>1</v>
      </c>
      <c r="J971" s="241"/>
      <c r="K971" s="241"/>
      <c r="L971" s="238"/>
    </row>
    <row r="972" spans="2:12" outlineLevel="1">
      <c r="B972" s="237" t="s">
        <v>655</v>
      </c>
      <c r="C972" s="237" t="s">
        <v>655</v>
      </c>
      <c r="D972" s="238" t="str">
        <f>_xlfn.XLOOKUP(B972,'Relacion '!$E:$E,'Relacion '!$D:$D,"")</f>
        <v/>
      </c>
      <c r="E972" s="239">
        <f t="shared" si="228"/>
        <v>18</v>
      </c>
      <c r="F972" s="240" cm="1">
        <f t="array" ref="F972">MIN(INDEX('Relacion '!$AJ$5:$AK$493,MATCH(INDEX($B:$B, (ROW()-7)),'Relacion '!$E$5:$E$493,0),0))</f>
        <v>46104</v>
      </c>
      <c r="G972" s="240" cm="1">
        <f t="array" ref="G972">MAX(INDEX('Relacion '!$AJ$5:$AK$493,MATCH(INDEX($B:$B, (ROW()-7)),'Relacion '!$E$5:$E$493,0),0))</f>
        <v>46122</v>
      </c>
      <c r="H972" s="241" cm="1">
        <f t="array" ref="H972">IF(
 MATCH(B972,{"01. ASIGNACION AREA";"02. MAPEO";"03. DESARROLLO";"04. VALIDA US";"05. VOBO US";"06. BW-EJECUCION";"07. VALIDACIÓN BAJAWARE";"08. CERRADA"},0)
 &lt;
 MATCH(_xlfn.XLOOKUP(INDEX($B:$B, (ROW()-7)),'Relacion '!$E:$E,'Relacion '!$D:$D,""),{"01. ASIGNACION AREA";"02. MAPEO";"03. DESARROLLO";"04. VALIDA US";"05. VOBO US";"06. BW-EJECUCION";"07. VALIDACIÓN BAJAWARE";"08. CERRADA"},0),
 1,
 IF(
  MATCH(B972,{"01. ASIGNACION AREA";"02. MAPEO";"03. DESARROLLO";"04. VALIDA US";"05. VOBO US";"06. BW-EJECUCION";"07. VALIDACIÓN BAJAWARE";"08. CERRADA"},0)
  =
  MATCH(_xlfn.XLOOKUP(INDEX($B:$B, (ROW()-7)),'Relacion '!$E:$E,'Relacion '!$D:$D,""),{"01. ASIGNACION AREA";"02. MAPEO";"03. DESARROLLO";"04. VALIDA US";"05. VOBO US";"06. BW-EJECUCION";"07. VALIDACIÓN BAJAWARE";"08. CERRADA"},0),
  _xlfn.XLOOKUP(INDEX($B:$B, (ROW()-7)),'Relacion '!$E:$E,'Relacion '!#REF!,0),
  0
 )
)</f>
        <v>0</v>
      </c>
      <c r="I972" s="241">
        <f t="shared" ca="1" si="227"/>
        <v>1</v>
      </c>
      <c r="J972" s="241"/>
      <c r="K972" s="241"/>
      <c r="L972" s="238"/>
    </row>
    <row r="973" spans="2:12" outlineLevel="1">
      <c r="B973" s="237" t="s">
        <v>656</v>
      </c>
      <c r="C973" s="237" t="s">
        <v>656</v>
      </c>
      <c r="D973" s="238" t="str">
        <f>_xlfn.XLOOKUP(B973,'Relacion '!$E:$E,'Relacion '!$D:$D,"")</f>
        <v/>
      </c>
      <c r="E973" s="239">
        <f t="shared" si="228"/>
        <v>0</v>
      </c>
      <c r="F973" s="240" cm="1">
        <f t="array" ref="F973">MIN(INDEX('Relacion '!$AL$5:$AM$493,MATCH(INDEX($B:$B, (ROW()-8)),'Relacion '!$E$5:$E$493,0),0))</f>
        <v>46123</v>
      </c>
      <c r="G973" s="240" cm="1">
        <f t="array" ref="G973">MAX(INDEX('Relacion '!$AL$5:$AM$493,MATCH(INDEX($B:$B, (ROW()-8)),'Relacion '!$E$5:$E$493,0),0))</f>
        <v>46123</v>
      </c>
      <c r="H973" s="241" cm="1">
        <f t="array" ref="H973">IF(
 MATCH(B973,{"01. ASIGNACION AREA";"02. MAPEO";"03. DESARROLLO";"04. VALIDA US";"05. VOBO US";"06. BW-EJECUCION";"07. VALIDACIÓN BAJAWARE";"08. CERRADA"},0)
 &lt;
 MATCH(_xlfn.XLOOKUP(INDEX($B:$B, (ROW()-8)),'Relacion '!$E:$E,'Relacion '!$D:$D,""),{"01. ASIGNACION AREA";"02. MAPEO";"03. DESARROLLO";"04. VALIDA US";"05. VOBO US";"06. BW-EJECUCION";"07. VALIDACIÓN BAJAWARE";"08. CERRADA"},0),
 1,
 IF(
  MATCH(B973,{"01. ASIGNACION AREA";"02. MAPEO";"03. DESARROLLO";"04. VALIDA US";"05. VOBO US";"06. BW-EJECUCION";"07. VALIDACIÓN BAJAWARE";"08. CERRADA"},0)
  =
  MATCH(_xlfn.XLOOKUP(INDEX($B:$B, (ROW()-8)),'Relacion '!$E:$E,'Relacion '!$D:$D,""),{"01. ASIGNACION AREA";"02. MAPEO";"03. DESARROLLO";"04. VALIDA US";"05. VOBO US";"06. BW-EJECUCION";"07. VALIDACIÓN BAJAWARE";"08. CERRADA"},0),
  _xlfn.XLOOKUP(INDEX($B:$B, (ROW()-8)),'Relacion '!$E:$E,'Relacion '!#REF!,0),
  0
 )
)</f>
        <v>0</v>
      </c>
      <c r="I973" s="241">
        <f t="shared" ca="1" si="227"/>
        <v>1</v>
      </c>
      <c r="J973" s="241"/>
      <c r="K973" s="241"/>
      <c r="L973" s="238"/>
    </row>
    <row r="974" spans="2:12" ht="30">
      <c r="B974" s="232" t="s">
        <v>528</v>
      </c>
      <c r="C974" s="167" t="s">
        <v>508</v>
      </c>
      <c r="D974" s="236" t="str">
        <f>_xlfn.XLOOKUP(B974,'Relacion '!$E:$E,'Relacion '!$D:$D,"")</f>
        <v>06. BW-EJECUCION</v>
      </c>
      <c r="E974" s="233">
        <f t="shared" si="228"/>
        <v>99</v>
      </c>
      <c r="F974" s="234" cm="1">
        <f t="array" ref="F974">MIN(INDEX('Relacion '!$X$5:$AM$493,MATCH(INDEX($B:$B, (ROW()-0)),'Relacion '!$E$5:$E$493,0),0))</f>
        <v>46024</v>
      </c>
      <c r="G974" s="234" cm="1">
        <f t="array" ref="G974">MAX(INDEX('Relacion '!$X$5:$AM$493,MATCH(INDEX($B:$B, (ROW()-0)),'Relacion '!$E$5:$E$493,0),0))</f>
        <v>46123</v>
      </c>
      <c r="H974" s="235" t="e">
        <f>AVERAGE(H975:H982)</f>
        <v>#REF!</v>
      </c>
      <c r="I974" s="235">
        <f t="shared" ref="I974" ca="1" si="231">AVERAGE(I975:I982)</f>
        <v>1</v>
      </c>
      <c r="J974" s="236" t="str">
        <f>IF(ISNUMBER(SEARCH("Rocha", _xlfn.XLOOKUP(B974,'Relacion '!$E:$E,'Relacion '!$I:$I,""))), "Sí", "No")</f>
        <v>No</v>
      </c>
      <c r="K974" s="236" t="str">
        <f>IF(ISNUMBER(SEARCH("Rocha", _xlfn.XLOOKUP(B974,'Relacion '!$E:$E,'Relacion '!$I:$I,""))), "RMC", _xlfn.XLOOKUP(B974,'Relacion '!$E:$E,'Relacion '!$B:$B,""))</f>
        <v>Riesgos</v>
      </c>
      <c r="L974" s="236" t="str">
        <f>_xlfn.XLOOKUP(B974,'Relacion '!$E:$E,'Relacion '!$C:$C,"")</f>
        <v>Homero Sanchez</v>
      </c>
    </row>
    <row r="975" spans="2:12" outlineLevel="1">
      <c r="B975" s="237" t="s">
        <v>654</v>
      </c>
      <c r="C975" s="237" t="s">
        <v>654</v>
      </c>
      <c r="D975" s="238" t="str">
        <f>_xlfn.XLOOKUP(B975,'Relacion '!$E:$E,'Relacion '!$D:$D,"")</f>
        <v/>
      </c>
      <c r="E975" s="239">
        <f t="shared" si="228"/>
        <v>59</v>
      </c>
      <c r="F975" s="240" cm="1">
        <f t="array" ref="F975">MIN(INDEX('Relacion '!$X$5:$Y$493,MATCH(INDEX($B:$B, (ROW()-1)),'Relacion '!$E$5:$E$493,0),0))</f>
        <v>46024</v>
      </c>
      <c r="G975" s="240" cm="1">
        <f t="array" ref="G975">MAX(INDEX('Relacion '!$X$5:$Y$493,MATCH(INDEX($B:$B, (ROW()-1)),'Relacion '!$E$5:$E$493,0),0))</f>
        <v>46083</v>
      </c>
      <c r="H975" s="241" cm="1">
        <f t="array" ref="H975">IF(
 MATCH(B975,{"01. ASIGNACION AREA";"02. MAPEO";"03. DESARROLLO";"04. VALIDA US";"05. VOBO US";"06. BW-EJECUCION";"07. VALIDACIÓN BAJAWARE";"08. CERRADA"},0)
 &lt;
 MATCH(_xlfn.XLOOKUP(INDEX($B:$B, (ROW()-1)),'Relacion '!$E:$E,'Relacion '!$D:$D,""),{"01. ASIGNACION AREA";"02. MAPEO";"03. DESARROLLO";"04. VALIDA US";"05. VOBO US";"06. BW-EJECUCION";"07. VALIDACIÓN BAJAWARE";"08. CERRADA"},0),
 1,
 IF(
  MATCH(B975,{"01. ASIGNACION AREA";"02. MAPEO";"03. DESARROLLO";"04. VALIDA US";"05. VOBO US";"06. BW-EJECUCION";"07. VALIDACIÓN BAJAWARE";"08. CERRADA"},0)
  =
  MATCH(_xlfn.XLOOKUP(INDEX($B:$B, (ROW()-1)),'Relacion '!$E:$E,'Relacion '!$D:$D,""),{"01. ASIGNACION AREA";"02. MAPEO";"03. DESARROLLO";"04. VALIDA US";"05. VOBO US";"06. BW-EJECUCION";"07. VALIDACIÓN BAJAWARE";"08. CERRADA"},0),
  _xlfn.XLOOKUP(INDEX($B:$B, (ROW()-1)),'Relacion '!$E:$E,'Relacion '!#REF!,0),
  0
 )
)</f>
        <v>1</v>
      </c>
      <c r="I975" s="241">
        <f t="shared" ref="I975" ca="1" si="232">IF(G975&lt;=TODAY(), 1, 0)</f>
        <v>1</v>
      </c>
      <c r="J975" s="241"/>
      <c r="K975" s="241"/>
      <c r="L975" s="238"/>
    </row>
    <row r="976" spans="2:12" outlineLevel="1">
      <c r="B976" s="237" t="s">
        <v>195</v>
      </c>
      <c r="C976" s="237" t="s">
        <v>195</v>
      </c>
      <c r="D976" s="238" t="str">
        <f>_xlfn.XLOOKUP(B976,'Relacion '!$E:$E,'Relacion '!$D:$D,"")</f>
        <v/>
      </c>
      <c r="E976" s="239">
        <f t="shared" si="228"/>
        <v>4</v>
      </c>
      <c r="F976" s="240" cm="1">
        <f t="array" ref="F976">MIN(INDEX('Relacion '!$Z$5:$AA$493,MATCH(INDEX($B:$B, (ROW()-2)),'Relacion '!$E$5:$E$493,0),0))</f>
        <v>46041</v>
      </c>
      <c r="G976" s="240" cm="1">
        <f t="array" ref="G976">MAX(INDEX('Relacion '!$Z$5:$AA$493,MATCH(INDEX($B:$B, (ROW()-2)),'Relacion '!$E$5:$E$493,0),0))</f>
        <v>46045</v>
      </c>
      <c r="H976" s="241" cm="1">
        <f t="array" ref="H976">IF(
 MATCH(B976,{"01. ASIGNACION AREA";"02. MAPEO";"03. DESARROLLO";"04. VALIDA US";"05. VOBO US";"06. BW-EJECUCION";"07. VALIDACIÓN BAJAWARE";"08. CERRADA"},0)
 &lt;
 MATCH(_xlfn.XLOOKUP(INDEX($B:$B, (ROW()-2)),'Relacion '!$E:$E,'Relacion '!$D:$D,""),{"01. ASIGNACION AREA";"02. MAPEO";"03. DESARROLLO";"04. VALIDA US";"05. VOBO US";"06. BW-EJECUCION";"07. VALIDACIÓN BAJAWARE";"08. CERRADA"},0),
 1,
 IF(
  MATCH(B976,{"01. ASIGNACION AREA";"02. MAPEO";"03. DESARROLLO";"04. VALIDA US";"05. VOBO US";"06. BW-EJECUCION";"07. VALIDACIÓN BAJAWARE";"08. CERRADA"},0)
  =
  MATCH(_xlfn.XLOOKUP(INDEX($B:$B, (ROW()-2)),'Relacion '!$E:$E,'Relacion '!$D:$D,""),{"01. ASIGNACION AREA";"02. MAPEO";"03. DESARROLLO";"04. VALIDA US";"05. VOBO US";"06. BW-EJECUCION";"07. VALIDACIÓN BAJAWARE";"08. CERRADA"},0),
  _xlfn.XLOOKUP(INDEX($B:$B, (ROW()-2)),'Relacion '!$E:$E,'Relacion '!#REF!,0),
  0
 )
)</f>
        <v>1</v>
      </c>
      <c r="I976" s="241">
        <f t="shared" ca="1" si="227"/>
        <v>1</v>
      </c>
      <c r="J976" s="241"/>
      <c r="K976" s="241"/>
      <c r="L976" s="238"/>
    </row>
    <row r="977" spans="2:12" outlineLevel="1">
      <c r="B977" s="237" t="s">
        <v>49</v>
      </c>
      <c r="C977" s="237" t="s">
        <v>49</v>
      </c>
      <c r="D977" s="238" t="str">
        <f>_xlfn.XLOOKUP(B977,'Relacion '!$E:$E,'Relacion '!$D:$D,"")</f>
        <v/>
      </c>
      <c r="E977" s="239">
        <f t="shared" si="228"/>
        <v>4</v>
      </c>
      <c r="F977" s="240" cm="1">
        <f t="array" ref="F977">MIN(INDEX('Relacion '!$AB$5:$AC$493,MATCH(INDEX($B:$B, (ROW()-3)),'Relacion '!$E$5:$E$493,0),0))</f>
        <v>46048</v>
      </c>
      <c r="G977" s="240" cm="1">
        <f t="array" ref="G977">MAX(INDEX('Relacion '!$AB$5:$AC$493,MATCH(INDEX($B:$B, (ROW()-3)),'Relacion '!$E$5:$E$493,0),0))</f>
        <v>46052</v>
      </c>
      <c r="H977" s="241" cm="1">
        <f t="array" ref="H977">IF(
 MATCH(B977,{"01. ASIGNACION AREA";"02. MAPEO";"03. DESARROLLO";"04. VALIDA US";"05. VOBO US";"06. BW-EJECUCION";"07. VALIDACIÓN BAJAWARE";"08. CERRADA"},0)
 &lt;
 MATCH(_xlfn.XLOOKUP(INDEX($B:$B, (ROW()-3)),'Relacion '!$E:$E,'Relacion '!$D:$D,""),{"01. ASIGNACION AREA";"02. MAPEO";"03. DESARROLLO";"04. VALIDA US";"05. VOBO US";"06. BW-EJECUCION";"07. VALIDACIÓN BAJAWARE";"08. CERRADA"},0),
 1,
 IF(
  MATCH(B977,{"01. ASIGNACION AREA";"02. MAPEO";"03. DESARROLLO";"04. VALIDA US";"05. VOBO US";"06. BW-EJECUCION";"07. VALIDACIÓN BAJAWARE";"08. CERRADA"},0)
  =
  MATCH(_xlfn.XLOOKUP(INDEX($B:$B, (ROW()-3)),'Relacion '!$E:$E,'Relacion '!$D:$D,""),{"01. ASIGNACION AREA";"02. MAPEO";"03. DESARROLLO";"04. VALIDA US";"05. VOBO US";"06. BW-EJECUCION";"07. VALIDACIÓN BAJAWARE";"08. CERRADA"},0),
  _xlfn.XLOOKUP(INDEX($B:$B, (ROW()-3)),'Relacion '!$E:$E,'Relacion '!#REF!,0),
  0
 )
)</f>
        <v>1</v>
      </c>
      <c r="I977" s="241">
        <f t="shared" ca="1" si="227"/>
        <v>1</v>
      </c>
      <c r="J977" s="241"/>
      <c r="K977" s="241"/>
      <c r="L977" s="238"/>
    </row>
    <row r="978" spans="2:12" outlineLevel="1">
      <c r="B978" s="237" t="s">
        <v>324</v>
      </c>
      <c r="C978" s="237" t="s">
        <v>324</v>
      </c>
      <c r="D978" s="238" t="str">
        <f>_xlfn.XLOOKUP(B978,'Relacion '!$E:$E,'Relacion '!$D:$D,"")</f>
        <v/>
      </c>
      <c r="E978" s="239">
        <f t="shared" si="228"/>
        <v>11</v>
      </c>
      <c r="F978" s="240" cm="1">
        <f t="array" ref="F978">MIN(INDEX('Relacion '!$AD$5:$AE$493,MATCH(INDEX($B:$B, (ROW()-4)),'Relacion '!$E$5:$E$493,0),0))</f>
        <v>46055</v>
      </c>
      <c r="G978" s="240" cm="1">
        <f t="array" ref="G978">MAX(INDEX('Relacion '!$AD$5:$AE$493,MATCH(INDEX($B:$B, (ROW()-4)),'Relacion '!$E$5:$E$493,0),0))</f>
        <v>46066</v>
      </c>
      <c r="H978" s="241" cm="1">
        <f t="array" ref="H978">IF(
 MATCH(B978,{"01. ASIGNACION AREA";"02. MAPEO";"03. DESARROLLO";"04. VALIDA US";"05. VOBO US";"06. BW-EJECUCION";"07. VALIDACIÓN BAJAWARE";"08. CERRADA"},0)
 &lt;
 MATCH(_xlfn.XLOOKUP(INDEX($B:$B, (ROW()-4)),'Relacion '!$E:$E,'Relacion '!$D:$D,""),{"01. ASIGNACION AREA";"02. MAPEO";"03. DESARROLLO";"04. VALIDA US";"05. VOBO US";"06. BW-EJECUCION";"07. VALIDACIÓN BAJAWARE";"08. CERRADA"},0),
 1,
 IF(
  MATCH(B978,{"01. ASIGNACION AREA";"02. MAPEO";"03. DESARROLLO";"04. VALIDA US";"05. VOBO US";"06. BW-EJECUCION";"07. VALIDACIÓN BAJAWARE";"08. CERRADA"},0)
  =
  MATCH(_xlfn.XLOOKUP(INDEX($B:$B, (ROW()-4)),'Relacion '!$E:$E,'Relacion '!$D:$D,""),{"01. ASIGNACION AREA";"02. MAPEO";"03. DESARROLLO";"04. VALIDA US";"05. VOBO US";"06. BW-EJECUCION";"07. VALIDACIÓN BAJAWARE";"08. CERRADA"},0),
  _xlfn.XLOOKUP(INDEX($B:$B, (ROW()-4)),'Relacion '!$E:$E,'Relacion '!#REF!,0),
  0
 )
)</f>
        <v>1</v>
      </c>
      <c r="I978" s="241">
        <f t="shared" ca="1" si="227"/>
        <v>1</v>
      </c>
      <c r="J978" s="241"/>
      <c r="K978" s="241"/>
      <c r="L978" s="238"/>
    </row>
    <row r="979" spans="2:12" outlineLevel="1">
      <c r="B979" s="237" t="s">
        <v>320</v>
      </c>
      <c r="C979" s="237" t="s">
        <v>320</v>
      </c>
      <c r="D979" s="238" t="str">
        <f>_xlfn.XLOOKUP(B979,'Relacion '!$E:$E,'Relacion '!$D:$D,"")</f>
        <v/>
      </c>
      <c r="E979" s="239">
        <f t="shared" si="228"/>
        <v>4</v>
      </c>
      <c r="F979" s="240" cm="1">
        <f t="array" ref="F979">MIN(INDEX('Relacion '!$AF$5:$AG$493,MATCH(INDEX($B:$B, (ROW()-5)),'Relacion '!$E$5:$E$493,0),0))</f>
        <v>46069</v>
      </c>
      <c r="G979" s="240" cm="1">
        <f t="array" ref="G979">MAX(INDEX('Relacion '!$AF$5:$AG$493,MATCH(INDEX($B:$B, (ROW()-5)),'Relacion '!$E$5:$E$493,0),0))</f>
        <v>46073</v>
      </c>
      <c r="H979" s="241" cm="1">
        <f t="array" ref="H979">IF(
 MATCH(B979,{"01. ASIGNACION AREA";"02. MAPEO";"03. DESARROLLO";"04. VALIDA US";"05. VOBO US";"06. BW-EJECUCION";"07. VALIDACIÓN BAJAWARE";"08. CERRADA"},0)
 &lt;
 MATCH(_xlfn.XLOOKUP(INDEX($B:$B, (ROW()-5)),'Relacion '!$E:$E,'Relacion '!$D:$D,""),{"01. ASIGNACION AREA";"02. MAPEO";"03. DESARROLLO";"04. VALIDA US";"05. VOBO US";"06. BW-EJECUCION";"07. VALIDACIÓN BAJAWARE";"08. CERRADA"},0),
 1,
 IF(
  MATCH(B979,{"01. ASIGNACION AREA";"02. MAPEO";"03. DESARROLLO";"04. VALIDA US";"05. VOBO US";"06. BW-EJECUCION";"07. VALIDACIÓN BAJAWARE";"08. CERRADA"},0)
  =
  MATCH(_xlfn.XLOOKUP(INDEX($B:$B, (ROW()-5)),'Relacion '!$E:$E,'Relacion '!$D:$D,""),{"01. ASIGNACION AREA";"02. MAPEO";"03. DESARROLLO";"04. VALIDA US";"05. VOBO US";"06. BW-EJECUCION";"07. VALIDACIÓN BAJAWARE";"08. CERRADA"},0),
  _xlfn.XLOOKUP(INDEX($B:$B, (ROW()-5)),'Relacion '!$E:$E,'Relacion '!#REF!,0),
  0
 )
)</f>
        <v>1</v>
      </c>
      <c r="I979" s="241">
        <f t="shared" ca="1" si="227"/>
        <v>1</v>
      </c>
      <c r="J979" s="241"/>
      <c r="K979" s="241"/>
      <c r="L979" s="238"/>
    </row>
    <row r="980" spans="2:12" outlineLevel="1">
      <c r="B980" s="237" t="s">
        <v>710</v>
      </c>
      <c r="C980" s="237" t="s">
        <v>710</v>
      </c>
      <c r="D980" s="238" t="str">
        <f>_xlfn.XLOOKUP(B980,'Relacion '!$E:$E,'Relacion '!$D:$D,"")</f>
        <v/>
      </c>
      <c r="E980" s="239">
        <f t="shared" si="228"/>
        <v>18</v>
      </c>
      <c r="F980" s="240" cm="1">
        <f t="array" ref="F980">MIN(INDEX('Relacion '!$AH$5:$AI$493,MATCH(INDEX($B:$B, (ROW()-6)),'Relacion '!$E$5:$E$493,0),0))</f>
        <v>46083</v>
      </c>
      <c r="G980" s="240" cm="1">
        <f t="array" ref="G980">MAX(INDEX('Relacion '!$AH$5:$AI$493,MATCH(INDEX($B:$B, (ROW()-6)),'Relacion '!$E$5:$E$493,0),0))</f>
        <v>46101</v>
      </c>
      <c r="H980" s="241" t="e" cm="1">
        <f t="array" ref="H980">IF(
 MATCH(B980,{"01. ASIGNACION AREA";"02. MAPEO";"03. DESARROLLO";"04. VALIDA US";"05. VOBO US";"06. BW-EJECUCION";"07. VALIDACIÓN BAJAWARE";"08. CERRADA"},0)
 &lt;
 MATCH(_xlfn.XLOOKUP(INDEX($B:$B, (ROW()-6)),'Relacion '!$E:$E,'Relacion '!$D:$D,""),{"01. ASIGNACION AREA";"02. MAPEO";"03. DESARROLLO";"04. VALIDA US";"05. VOBO US";"06. BW-EJECUCION";"07. VALIDACIÓN BAJAWARE";"08. CERRADA"},0),
 1,
 IF(
  MATCH(B980,{"01. ASIGNACION AREA";"02. MAPEO";"03. DESARROLLO";"04. VALIDA US";"05. VOBO US";"06. BW-EJECUCION";"07. VALIDACIÓN BAJAWARE";"08. CERRADA"},0)
  =
  MATCH(_xlfn.XLOOKUP(INDEX($B:$B, (ROW()-6)),'Relacion '!$E:$E,'Relacion '!$D:$D,""),{"01. ASIGNACION AREA";"02. MAPEO";"03. DESARROLLO";"04. VALIDA US";"05. VOBO US";"06. BW-EJECUCION";"07. VALIDACIÓN BAJAWARE";"08. CERRADA"},0),
  _xlfn.XLOOKUP(INDEX($B:$B, (ROW()-6)),'Relacion '!$E:$E,'Relacion '!#REF!,0),
  0
 )
)</f>
        <v>#REF!</v>
      </c>
      <c r="I980" s="241">
        <f t="shared" ca="1" si="227"/>
        <v>1</v>
      </c>
      <c r="J980" s="241"/>
      <c r="K980" s="241"/>
      <c r="L980" s="238"/>
    </row>
    <row r="981" spans="2:12" outlineLevel="1">
      <c r="B981" s="237" t="s">
        <v>655</v>
      </c>
      <c r="C981" s="237" t="s">
        <v>655</v>
      </c>
      <c r="D981" s="238" t="str">
        <f>_xlfn.XLOOKUP(B981,'Relacion '!$E:$E,'Relacion '!$D:$D,"")</f>
        <v/>
      </c>
      <c r="E981" s="239">
        <f t="shared" si="228"/>
        <v>18</v>
      </c>
      <c r="F981" s="240" cm="1">
        <f t="array" ref="F981">MIN(INDEX('Relacion '!$AJ$5:$AK$493,MATCH(INDEX($B:$B, (ROW()-7)),'Relacion '!$E$5:$E$493,0),0))</f>
        <v>46104</v>
      </c>
      <c r="G981" s="240" cm="1">
        <f t="array" ref="G981">MAX(INDEX('Relacion '!$AJ$5:$AK$493,MATCH(INDEX($B:$B, (ROW()-7)),'Relacion '!$E$5:$E$493,0),0))</f>
        <v>46122</v>
      </c>
      <c r="H981" s="241" cm="1">
        <f t="array" ref="H981">IF(
 MATCH(B981,{"01. ASIGNACION AREA";"02. MAPEO";"03. DESARROLLO";"04. VALIDA US";"05. VOBO US";"06. BW-EJECUCION";"07. VALIDACIÓN BAJAWARE";"08. CERRADA"},0)
 &lt;
 MATCH(_xlfn.XLOOKUP(INDEX($B:$B, (ROW()-7)),'Relacion '!$E:$E,'Relacion '!$D:$D,""),{"01. ASIGNACION AREA";"02. MAPEO";"03. DESARROLLO";"04. VALIDA US";"05. VOBO US";"06. BW-EJECUCION";"07. VALIDACIÓN BAJAWARE";"08. CERRADA"},0),
 1,
 IF(
  MATCH(B981,{"01. ASIGNACION AREA";"02. MAPEO";"03. DESARROLLO";"04. VALIDA US";"05. VOBO US";"06. BW-EJECUCION";"07. VALIDACIÓN BAJAWARE";"08. CERRADA"},0)
  =
  MATCH(_xlfn.XLOOKUP(INDEX($B:$B, (ROW()-7)),'Relacion '!$E:$E,'Relacion '!$D:$D,""),{"01. ASIGNACION AREA";"02. MAPEO";"03. DESARROLLO";"04. VALIDA US";"05. VOBO US";"06. BW-EJECUCION";"07. VALIDACIÓN BAJAWARE";"08. CERRADA"},0),
  _xlfn.XLOOKUP(INDEX($B:$B, (ROW()-7)),'Relacion '!$E:$E,'Relacion '!#REF!,0),
  0
 )
)</f>
        <v>0</v>
      </c>
      <c r="I981" s="241">
        <f t="shared" ca="1" si="227"/>
        <v>1</v>
      </c>
      <c r="J981" s="241"/>
      <c r="K981" s="241"/>
      <c r="L981" s="238"/>
    </row>
    <row r="982" spans="2:12" outlineLevel="1">
      <c r="B982" s="237" t="s">
        <v>656</v>
      </c>
      <c r="C982" s="237" t="s">
        <v>656</v>
      </c>
      <c r="D982" s="238" t="str">
        <f>_xlfn.XLOOKUP(B982,'Relacion '!$E:$E,'Relacion '!$D:$D,"")</f>
        <v/>
      </c>
      <c r="E982" s="239">
        <f t="shared" si="228"/>
        <v>0</v>
      </c>
      <c r="F982" s="240" cm="1">
        <f t="array" ref="F982">MIN(INDEX('Relacion '!$AL$5:$AM$493,MATCH(INDEX($B:$B, (ROW()-8)),'Relacion '!$E$5:$E$493,0),0))</f>
        <v>46123</v>
      </c>
      <c r="G982" s="240" cm="1">
        <f t="array" ref="G982">MAX(INDEX('Relacion '!$AL$5:$AM$493,MATCH(INDEX($B:$B, (ROW()-8)),'Relacion '!$E$5:$E$493,0),0))</f>
        <v>46123</v>
      </c>
      <c r="H982" s="241" cm="1">
        <f t="array" ref="H982">IF(
 MATCH(B982,{"01. ASIGNACION AREA";"02. MAPEO";"03. DESARROLLO";"04. VALIDA US";"05. VOBO US";"06. BW-EJECUCION";"07. VALIDACIÓN BAJAWARE";"08. CERRADA"},0)
 &lt;
 MATCH(_xlfn.XLOOKUP(INDEX($B:$B, (ROW()-8)),'Relacion '!$E:$E,'Relacion '!$D:$D,""),{"01. ASIGNACION AREA";"02. MAPEO";"03. DESARROLLO";"04. VALIDA US";"05. VOBO US";"06. BW-EJECUCION";"07. VALIDACIÓN BAJAWARE";"08. CERRADA"},0),
 1,
 IF(
  MATCH(B982,{"01. ASIGNACION AREA";"02. MAPEO";"03. DESARROLLO";"04. VALIDA US";"05. VOBO US";"06. BW-EJECUCION";"07. VALIDACIÓN BAJAWARE";"08. CERRADA"},0)
  =
  MATCH(_xlfn.XLOOKUP(INDEX($B:$B, (ROW()-8)),'Relacion '!$E:$E,'Relacion '!$D:$D,""),{"01. ASIGNACION AREA";"02. MAPEO";"03. DESARROLLO";"04. VALIDA US";"05. VOBO US";"06. BW-EJECUCION";"07. VALIDACIÓN BAJAWARE";"08. CERRADA"},0),
  _xlfn.XLOOKUP(INDEX($B:$B, (ROW()-8)),'Relacion '!$E:$E,'Relacion '!#REF!,0),
  0
 )
)</f>
        <v>0</v>
      </c>
      <c r="I982" s="241">
        <f t="shared" ca="1" si="227"/>
        <v>1</v>
      </c>
      <c r="J982" s="241"/>
      <c r="K982" s="241"/>
      <c r="L982" s="238"/>
    </row>
    <row r="983" spans="2:12">
      <c r="B983" s="232" t="s">
        <v>86</v>
      </c>
      <c r="C983" s="137" t="s">
        <v>87</v>
      </c>
      <c r="D983" s="236" t="str">
        <f>_xlfn.XLOOKUP(B983,'Relacion '!$E:$E,'Relacion '!$D:$D,"")</f>
        <v>02. MAPEO</v>
      </c>
      <c r="E983" s="233">
        <f t="shared" si="228"/>
        <v>478</v>
      </c>
      <c r="F983" s="234" cm="1">
        <f t="array" ref="F983">MIN(INDEX('Relacion '!$X$5:$AM$493,MATCH(INDEX($B:$B, (ROW()-0)),'Relacion '!$E$5:$E$493,0),0))</f>
        <v>45659</v>
      </c>
      <c r="G983" s="234" cm="1">
        <f t="array" ref="G983">MAX(INDEX('Relacion '!$X$5:$AM$493,MATCH(INDEX($B:$B, (ROW()-0)),'Relacion '!$E$5:$E$493,0),0))</f>
        <v>46137</v>
      </c>
      <c r="H983" s="235" t="e">
        <f>AVERAGE(H984:H991)</f>
        <v>#REF!</v>
      </c>
      <c r="I983" s="235">
        <f t="shared" ref="I983" ca="1" si="233">AVERAGE(I984:I991)</f>
        <v>1</v>
      </c>
      <c r="J983" s="236" t="str">
        <f>IF(ISNUMBER(SEARCH("Rocha", _xlfn.XLOOKUP(B983,'Relacion '!$E:$E,'Relacion '!$I:$I,""))), "Sí", "No")</f>
        <v>No</v>
      </c>
      <c r="K983" s="236" t="str">
        <f>IF(ISNUMBER(SEARCH("Rocha", _xlfn.XLOOKUP(B983,'Relacion '!$E:$E,'Relacion '!$I:$I,""))), "RMC", _xlfn.XLOOKUP(B983,'Relacion '!$E:$E,'Relacion '!$B:$B,""))</f>
        <v>Operaciones Captacion</v>
      </c>
      <c r="L983" s="236" t="str">
        <f>_xlfn.XLOOKUP(B983,'Relacion '!$E:$E,'Relacion '!$C:$C,"")</f>
        <v>Luis Alberto</v>
      </c>
    </row>
    <row r="984" spans="2:12" outlineLevel="1">
      <c r="B984" s="237" t="s">
        <v>654</v>
      </c>
      <c r="C984" s="237" t="s">
        <v>654</v>
      </c>
      <c r="D984" s="238" t="str">
        <f>_xlfn.XLOOKUP(B984,'Relacion '!$E:$E,'Relacion '!$D:$D,"")</f>
        <v/>
      </c>
      <c r="E984" s="239">
        <f t="shared" si="228"/>
        <v>424</v>
      </c>
      <c r="F984" s="240" cm="1">
        <f t="array" ref="F984">MIN(INDEX('Relacion '!$X$5:$Y$493,MATCH(INDEX($B:$B, (ROW()-1)),'Relacion '!$E$5:$E$493,0),0))</f>
        <v>45659</v>
      </c>
      <c r="G984" s="240" cm="1">
        <f t="array" ref="G984">MAX(INDEX('Relacion '!$X$5:$Y$493,MATCH(INDEX($B:$B, (ROW()-1)),'Relacion '!$E$5:$E$493,0),0))</f>
        <v>46083</v>
      </c>
      <c r="H984" s="241" cm="1">
        <f t="array" ref="H984">IF(
 MATCH(B984,{"01. ASIGNACION AREA";"02. MAPEO";"03. DESARROLLO";"04. VALIDA US";"05. VOBO US";"06. BW-EJECUCION";"07. VALIDACIÓN BAJAWARE";"08. CERRADA"},0)
 &lt;
 MATCH(_xlfn.XLOOKUP(INDEX($B:$B, (ROW()-1)),'Relacion '!$E:$E,'Relacion '!$D:$D,""),{"01. ASIGNACION AREA";"02. MAPEO";"03. DESARROLLO";"04. VALIDA US";"05. VOBO US";"06. BW-EJECUCION";"07. VALIDACIÓN BAJAWARE";"08. CERRADA"},0),
 1,
 IF(
  MATCH(B984,{"01. ASIGNACION AREA";"02. MAPEO";"03. DESARROLLO";"04. VALIDA US";"05. VOBO US";"06. BW-EJECUCION";"07. VALIDACIÓN BAJAWARE";"08. CERRADA"},0)
  =
  MATCH(_xlfn.XLOOKUP(INDEX($B:$B, (ROW()-1)),'Relacion '!$E:$E,'Relacion '!$D:$D,""),{"01. ASIGNACION AREA";"02. MAPEO";"03. DESARROLLO";"04. VALIDA US";"05. VOBO US";"06. BW-EJECUCION";"07. VALIDACIÓN BAJAWARE";"08. CERRADA"},0),
  _xlfn.XLOOKUP(INDEX($B:$B, (ROW()-1)),'Relacion '!$E:$E,'Relacion '!#REF!,0),
  0
 )
)</f>
        <v>1</v>
      </c>
      <c r="I984" s="241">
        <f t="shared" ref="I984" ca="1" si="234">IF(G984&lt;=TODAY(), 1, 0)</f>
        <v>1</v>
      </c>
      <c r="J984" s="241"/>
      <c r="K984" s="241"/>
      <c r="L984" s="238"/>
    </row>
    <row r="985" spans="2:12" outlineLevel="1">
      <c r="B985" s="237" t="s">
        <v>195</v>
      </c>
      <c r="C985" s="237" t="s">
        <v>195</v>
      </c>
      <c r="D985" s="238" t="str">
        <f>_xlfn.XLOOKUP(B985,'Relacion '!$E:$E,'Relacion '!$D:$D,"")</f>
        <v/>
      </c>
      <c r="E985" s="239">
        <f t="shared" si="228"/>
        <v>14</v>
      </c>
      <c r="F985" s="240" cm="1">
        <f t="array" ref="F985">MIN(INDEX('Relacion '!$Z$5:$AA$493,MATCH(INDEX($B:$B, (ROW()-2)),'Relacion '!$E$5:$E$493,0),0))</f>
        <v>46041</v>
      </c>
      <c r="G985" s="240" cm="1">
        <f t="array" ref="G985">MAX(INDEX('Relacion '!$Z$5:$AA$493,MATCH(INDEX($B:$B, (ROW()-2)),'Relacion '!$E$5:$E$493,0),0))</f>
        <v>46055</v>
      </c>
      <c r="H985" s="241" t="e" cm="1">
        <f t="array" ref="H985">IF(
 MATCH(B985,{"01. ASIGNACION AREA";"02. MAPEO";"03. DESARROLLO";"04. VALIDA US";"05. VOBO US";"06. BW-EJECUCION";"07. VALIDACIÓN BAJAWARE";"08. CERRADA"},0)
 &lt;
 MATCH(_xlfn.XLOOKUP(INDEX($B:$B, (ROW()-2)),'Relacion '!$E:$E,'Relacion '!$D:$D,""),{"01. ASIGNACION AREA";"02. MAPEO";"03. DESARROLLO";"04. VALIDA US";"05. VOBO US";"06. BW-EJECUCION";"07. VALIDACIÓN BAJAWARE";"08. CERRADA"},0),
 1,
 IF(
  MATCH(B985,{"01. ASIGNACION AREA";"02. MAPEO";"03. DESARROLLO";"04. VALIDA US";"05. VOBO US";"06. BW-EJECUCION";"07. VALIDACIÓN BAJAWARE";"08. CERRADA"},0)
  =
  MATCH(_xlfn.XLOOKUP(INDEX($B:$B, (ROW()-2)),'Relacion '!$E:$E,'Relacion '!$D:$D,""),{"01. ASIGNACION AREA";"02. MAPEO";"03. DESARROLLO";"04. VALIDA US";"05. VOBO US";"06. BW-EJECUCION";"07. VALIDACIÓN BAJAWARE";"08. CERRADA"},0),
  _xlfn.XLOOKUP(INDEX($B:$B, (ROW()-2)),'Relacion '!$E:$E,'Relacion '!#REF!,0),
  0
 )
)</f>
        <v>#REF!</v>
      </c>
      <c r="I985" s="241">
        <f t="shared" ca="1" si="227"/>
        <v>1</v>
      </c>
      <c r="J985" s="241"/>
      <c r="K985" s="241"/>
      <c r="L985" s="238"/>
    </row>
    <row r="986" spans="2:12" outlineLevel="1">
      <c r="B986" s="237" t="s">
        <v>49</v>
      </c>
      <c r="C986" s="237" t="s">
        <v>49</v>
      </c>
      <c r="D986" s="238" t="str">
        <f>_xlfn.XLOOKUP(B986,'Relacion '!$E:$E,'Relacion '!$D:$D,"")</f>
        <v/>
      </c>
      <c r="E986" s="239">
        <f t="shared" si="228"/>
        <v>24</v>
      </c>
      <c r="F986" s="240" cm="1">
        <f t="array" ref="F986">MIN(INDEX('Relacion '!$AB$5:$AC$493,MATCH(INDEX($B:$B, (ROW()-3)),'Relacion '!$E$5:$E$493,0),0))</f>
        <v>46056</v>
      </c>
      <c r="G986" s="240" cm="1">
        <f t="array" ref="G986">MAX(INDEX('Relacion '!$AB$5:$AC$493,MATCH(INDEX($B:$B, (ROW()-3)),'Relacion '!$E$5:$E$493,0),0))</f>
        <v>46080</v>
      </c>
      <c r="H986" s="241" cm="1">
        <f t="array" ref="H986">IF(
 MATCH(B986,{"01. ASIGNACION AREA";"02. MAPEO";"03. DESARROLLO";"04. VALIDA US";"05. VOBO US";"06. BW-EJECUCION";"07. VALIDACIÓN BAJAWARE";"08. CERRADA"},0)
 &lt;
 MATCH(_xlfn.XLOOKUP(INDEX($B:$B, (ROW()-3)),'Relacion '!$E:$E,'Relacion '!$D:$D,""),{"01. ASIGNACION AREA";"02. MAPEO";"03. DESARROLLO";"04. VALIDA US";"05. VOBO US";"06. BW-EJECUCION";"07. VALIDACIÓN BAJAWARE";"08. CERRADA"},0),
 1,
 IF(
  MATCH(B986,{"01. ASIGNACION AREA";"02. MAPEO";"03. DESARROLLO";"04. VALIDA US";"05. VOBO US";"06. BW-EJECUCION";"07. VALIDACIÓN BAJAWARE";"08. CERRADA"},0)
  =
  MATCH(_xlfn.XLOOKUP(INDEX($B:$B, (ROW()-3)),'Relacion '!$E:$E,'Relacion '!$D:$D,""),{"01. ASIGNACION AREA";"02. MAPEO";"03. DESARROLLO";"04. VALIDA US";"05. VOBO US";"06. BW-EJECUCION";"07. VALIDACIÓN BAJAWARE";"08. CERRADA"},0),
  _xlfn.XLOOKUP(INDEX($B:$B, (ROW()-3)),'Relacion '!$E:$E,'Relacion '!#REF!,0),
  0
 )
)</f>
        <v>0</v>
      </c>
      <c r="I986" s="241">
        <f t="shared" ca="1" si="227"/>
        <v>1</v>
      </c>
      <c r="J986" s="241"/>
      <c r="K986" s="241"/>
      <c r="L986" s="238"/>
    </row>
    <row r="987" spans="2:12" outlineLevel="1">
      <c r="B987" s="237" t="s">
        <v>324</v>
      </c>
      <c r="C987" s="237" t="s">
        <v>324</v>
      </c>
      <c r="D987" s="238" t="str">
        <f>_xlfn.XLOOKUP(B987,'Relacion '!$E:$E,'Relacion '!$D:$D,"")</f>
        <v/>
      </c>
      <c r="E987" s="239">
        <f t="shared" si="228"/>
        <v>14</v>
      </c>
      <c r="F987" s="240" cm="1">
        <f t="array" ref="F987">MIN(INDEX('Relacion '!$AD$5:$AE$493,MATCH(INDEX($B:$B, (ROW()-4)),'Relacion '!$E$5:$E$493,0),0))</f>
        <v>46099</v>
      </c>
      <c r="G987" s="240" cm="1">
        <f t="array" ref="G987">MAX(INDEX('Relacion '!$AD$5:$AE$493,MATCH(INDEX($B:$B, (ROW()-4)),'Relacion '!$E$5:$E$493,0),0))</f>
        <v>46113</v>
      </c>
      <c r="H987" s="241" cm="1">
        <f t="array" ref="H987">IF(
 MATCH(B987,{"01. ASIGNACION AREA";"02. MAPEO";"03. DESARROLLO";"04. VALIDA US";"05. VOBO US";"06. BW-EJECUCION";"07. VALIDACIÓN BAJAWARE";"08. CERRADA"},0)
 &lt;
 MATCH(_xlfn.XLOOKUP(INDEX($B:$B, (ROW()-4)),'Relacion '!$E:$E,'Relacion '!$D:$D,""),{"01. ASIGNACION AREA";"02. MAPEO";"03. DESARROLLO";"04. VALIDA US";"05. VOBO US";"06. BW-EJECUCION";"07. VALIDACIÓN BAJAWARE";"08. CERRADA"},0),
 1,
 IF(
  MATCH(B987,{"01. ASIGNACION AREA";"02. MAPEO";"03. DESARROLLO";"04. VALIDA US";"05. VOBO US";"06. BW-EJECUCION";"07. VALIDACIÓN BAJAWARE";"08. CERRADA"},0)
  =
  MATCH(_xlfn.XLOOKUP(INDEX($B:$B, (ROW()-4)),'Relacion '!$E:$E,'Relacion '!$D:$D,""),{"01. ASIGNACION AREA";"02. MAPEO";"03. DESARROLLO";"04. VALIDA US";"05. VOBO US";"06. BW-EJECUCION";"07. VALIDACIÓN BAJAWARE";"08. CERRADA"},0),
  _xlfn.XLOOKUP(INDEX($B:$B, (ROW()-4)),'Relacion '!$E:$E,'Relacion '!#REF!,0),
  0
 )
)</f>
        <v>0</v>
      </c>
      <c r="I987" s="241">
        <f t="shared" ca="1" si="227"/>
        <v>1</v>
      </c>
      <c r="J987" s="241"/>
      <c r="K987" s="241"/>
      <c r="L987" s="238"/>
    </row>
    <row r="988" spans="2:12" outlineLevel="1">
      <c r="B988" s="237" t="s">
        <v>320</v>
      </c>
      <c r="C988" s="237" t="s">
        <v>320</v>
      </c>
      <c r="D988" s="238" t="str">
        <f>_xlfn.XLOOKUP(B988,'Relacion '!$E:$E,'Relacion '!$D:$D,"")</f>
        <v/>
      </c>
      <c r="E988" s="239">
        <f t="shared" si="228"/>
        <v>5</v>
      </c>
      <c r="F988" s="240" cm="1">
        <f t="array" ref="F988">MIN(INDEX('Relacion '!$AF$5:$AG$493,MATCH(INDEX($B:$B, (ROW()-5)),'Relacion '!$E$5:$E$493,0),0))</f>
        <v>46113</v>
      </c>
      <c r="G988" s="240" cm="1">
        <f t="array" ref="G988">MAX(INDEX('Relacion '!$AF$5:$AG$493,MATCH(INDEX($B:$B, (ROW()-5)),'Relacion '!$E$5:$E$493,0),0))</f>
        <v>46118</v>
      </c>
      <c r="H988" s="241" cm="1">
        <f t="array" ref="H988">IF(
 MATCH(B988,{"01. ASIGNACION AREA";"02. MAPEO";"03. DESARROLLO";"04. VALIDA US";"05. VOBO US";"06. BW-EJECUCION";"07. VALIDACIÓN BAJAWARE";"08. CERRADA"},0)
 &lt;
 MATCH(_xlfn.XLOOKUP(INDEX($B:$B, (ROW()-5)),'Relacion '!$E:$E,'Relacion '!$D:$D,""),{"01. ASIGNACION AREA";"02. MAPEO";"03. DESARROLLO";"04. VALIDA US";"05. VOBO US";"06. BW-EJECUCION";"07. VALIDACIÓN BAJAWARE";"08. CERRADA"},0),
 1,
 IF(
  MATCH(B988,{"01. ASIGNACION AREA";"02. MAPEO";"03. DESARROLLO";"04. VALIDA US";"05. VOBO US";"06. BW-EJECUCION";"07. VALIDACIÓN BAJAWARE";"08. CERRADA"},0)
  =
  MATCH(_xlfn.XLOOKUP(INDEX($B:$B, (ROW()-5)),'Relacion '!$E:$E,'Relacion '!$D:$D,""),{"01. ASIGNACION AREA";"02. MAPEO";"03. DESARROLLO";"04. VALIDA US";"05. VOBO US";"06. BW-EJECUCION";"07. VALIDACIÓN BAJAWARE";"08. CERRADA"},0),
  _xlfn.XLOOKUP(INDEX($B:$B, (ROW()-5)),'Relacion '!$E:$E,'Relacion '!#REF!,0),
  0
 )
)</f>
        <v>0</v>
      </c>
      <c r="I988" s="241">
        <f t="shared" ca="1" si="227"/>
        <v>1</v>
      </c>
      <c r="J988" s="241"/>
      <c r="K988" s="241"/>
      <c r="L988" s="238"/>
    </row>
    <row r="989" spans="2:12" outlineLevel="1">
      <c r="B989" s="237" t="s">
        <v>710</v>
      </c>
      <c r="C989" s="237" t="s">
        <v>710</v>
      </c>
      <c r="D989" s="238" t="str">
        <f>_xlfn.XLOOKUP(B989,'Relacion '!$E:$E,'Relacion '!$D:$D,"")</f>
        <v/>
      </c>
      <c r="E989" s="239">
        <f t="shared" si="228"/>
        <v>2</v>
      </c>
      <c r="F989" s="240" cm="1">
        <f t="array" ref="F989">MIN(INDEX('Relacion '!$AH$5:$AI$493,MATCH(INDEX($B:$B, (ROW()-6)),'Relacion '!$E$5:$E$493,0),0))</f>
        <v>46119</v>
      </c>
      <c r="G989" s="240" cm="1">
        <f t="array" ref="G989">MAX(INDEX('Relacion '!$AH$5:$AI$493,MATCH(INDEX($B:$B, (ROW()-6)),'Relacion '!$E$5:$E$493,0),0))</f>
        <v>46121</v>
      </c>
      <c r="H989" s="241" cm="1">
        <f t="array" ref="H989">IF(
 MATCH(B989,{"01. ASIGNACION AREA";"02. MAPEO";"03. DESARROLLO";"04. VALIDA US";"05. VOBO US";"06. BW-EJECUCION";"07. VALIDACIÓN BAJAWARE";"08. CERRADA"},0)
 &lt;
 MATCH(_xlfn.XLOOKUP(INDEX($B:$B, (ROW()-6)),'Relacion '!$E:$E,'Relacion '!$D:$D,""),{"01. ASIGNACION AREA";"02. MAPEO";"03. DESARROLLO";"04. VALIDA US";"05. VOBO US";"06. BW-EJECUCION";"07. VALIDACIÓN BAJAWARE";"08. CERRADA"},0),
 1,
 IF(
  MATCH(B989,{"01. ASIGNACION AREA";"02. MAPEO";"03. DESARROLLO";"04. VALIDA US";"05. VOBO US";"06. BW-EJECUCION";"07. VALIDACIÓN BAJAWARE";"08. CERRADA"},0)
  =
  MATCH(_xlfn.XLOOKUP(INDEX($B:$B, (ROW()-6)),'Relacion '!$E:$E,'Relacion '!$D:$D,""),{"01. ASIGNACION AREA";"02. MAPEO";"03. DESARROLLO";"04. VALIDA US";"05. VOBO US";"06. BW-EJECUCION";"07. VALIDACIÓN BAJAWARE";"08. CERRADA"},0),
  _xlfn.XLOOKUP(INDEX($B:$B, (ROW()-6)),'Relacion '!$E:$E,'Relacion '!#REF!,0),
  0
 )
)</f>
        <v>0</v>
      </c>
      <c r="I989" s="241">
        <f t="shared" ca="1" si="227"/>
        <v>1</v>
      </c>
      <c r="J989" s="241"/>
      <c r="K989" s="241"/>
      <c r="L989" s="238"/>
    </row>
    <row r="990" spans="2:12" outlineLevel="1">
      <c r="B990" s="237" t="s">
        <v>655</v>
      </c>
      <c r="C990" s="237" t="s">
        <v>655</v>
      </c>
      <c r="D990" s="238" t="str">
        <f>_xlfn.XLOOKUP(B990,'Relacion '!$E:$E,'Relacion '!$D:$D,"")</f>
        <v/>
      </c>
      <c r="E990" s="239">
        <f t="shared" si="228"/>
        <v>14</v>
      </c>
      <c r="F990" s="240" cm="1">
        <f t="array" ref="F990">MIN(INDEX('Relacion '!$AJ$5:$AK$493,MATCH(INDEX($B:$B, (ROW()-7)),'Relacion '!$E$5:$E$493,0),0))</f>
        <v>46122</v>
      </c>
      <c r="G990" s="240" cm="1">
        <f t="array" ref="G990">MAX(INDEX('Relacion '!$AJ$5:$AK$493,MATCH(INDEX($B:$B, (ROW()-7)),'Relacion '!$E$5:$E$493,0),0))</f>
        <v>46136</v>
      </c>
      <c r="H990" s="241" cm="1">
        <f t="array" ref="H990">IF(
 MATCH(B990,{"01. ASIGNACION AREA";"02. MAPEO";"03. DESARROLLO";"04. VALIDA US";"05. VOBO US";"06. BW-EJECUCION";"07. VALIDACIÓN BAJAWARE";"08. CERRADA"},0)
 &lt;
 MATCH(_xlfn.XLOOKUP(INDEX($B:$B, (ROW()-7)),'Relacion '!$E:$E,'Relacion '!$D:$D,""),{"01. ASIGNACION AREA";"02. MAPEO";"03. DESARROLLO";"04. VALIDA US";"05. VOBO US";"06. BW-EJECUCION";"07. VALIDACIÓN BAJAWARE";"08. CERRADA"},0),
 1,
 IF(
  MATCH(B990,{"01. ASIGNACION AREA";"02. MAPEO";"03. DESARROLLO";"04. VALIDA US";"05. VOBO US";"06. BW-EJECUCION";"07. VALIDACIÓN BAJAWARE";"08. CERRADA"},0)
  =
  MATCH(_xlfn.XLOOKUP(INDEX($B:$B, (ROW()-7)),'Relacion '!$E:$E,'Relacion '!$D:$D,""),{"01. ASIGNACION AREA";"02. MAPEO";"03. DESARROLLO";"04. VALIDA US";"05. VOBO US";"06. BW-EJECUCION";"07. VALIDACIÓN BAJAWARE";"08. CERRADA"},0),
  _xlfn.XLOOKUP(INDEX($B:$B, (ROW()-7)),'Relacion '!$E:$E,'Relacion '!#REF!,0),
  0
 )
)</f>
        <v>0</v>
      </c>
      <c r="I990" s="241">
        <f t="shared" ca="1" si="227"/>
        <v>1</v>
      </c>
      <c r="J990" s="241"/>
      <c r="K990" s="241"/>
      <c r="L990" s="238"/>
    </row>
    <row r="991" spans="2:12" outlineLevel="1">
      <c r="B991" s="237" t="s">
        <v>656</v>
      </c>
      <c r="C991" s="237" t="s">
        <v>656</v>
      </c>
      <c r="D991" s="238" t="str">
        <f>_xlfn.XLOOKUP(B991,'Relacion '!$E:$E,'Relacion '!$D:$D,"")</f>
        <v/>
      </c>
      <c r="E991" s="239">
        <f t="shared" si="228"/>
        <v>0</v>
      </c>
      <c r="F991" s="240" cm="1">
        <f t="array" ref="F991">MIN(INDEX('Relacion '!$AL$5:$AM$493,MATCH(INDEX($B:$B, (ROW()-8)),'Relacion '!$E$5:$E$493,0),0))</f>
        <v>46137</v>
      </c>
      <c r="G991" s="240" cm="1">
        <f t="array" ref="G991">MAX(INDEX('Relacion '!$AL$5:$AM$493,MATCH(INDEX($B:$B, (ROW()-8)),'Relacion '!$E$5:$E$493,0),0))</f>
        <v>46137</v>
      </c>
      <c r="H991" s="241" cm="1">
        <f t="array" ref="H991">IF(
 MATCH(B991,{"01. ASIGNACION AREA";"02. MAPEO";"03. DESARROLLO";"04. VALIDA US";"05. VOBO US";"06. BW-EJECUCION";"07. VALIDACIÓN BAJAWARE";"08. CERRADA"},0)
 &lt;
 MATCH(_xlfn.XLOOKUP(INDEX($B:$B, (ROW()-8)),'Relacion '!$E:$E,'Relacion '!$D:$D,""),{"01. ASIGNACION AREA";"02. MAPEO";"03. DESARROLLO";"04. VALIDA US";"05. VOBO US";"06. BW-EJECUCION";"07. VALIDACIÓN BAJAWARE";"08. CERRADA"},0),
 1,
 IF(
  MATCH(B991,{"01. ASIGNACION AREA";"02. MAPEO";"03. DESARROLLO";"04. VALIDA US";"05. VOBO US";"06. BW-EJECUCION";"07. VALIDACIÓN BAJAWARE";"08. CERRADA"},0)
  =
  MATCH(_xlfn.XLOOKUP(INDEX($B:$B, (ROW()-8)),'Relacion '!$E:$E,'Relacion '!$D:$D,""),{"01. ASIGNACION AREA";"02. MAPEO";"03. DESARROLLO";"04. VALIDA US";"05. VOBO US";"06. BW-EJECUCION";"07. VALIDACIÓN BAJAWARE";"08. CERRADA"},0),
  _xlfn.XLOOKUP(INDEX($B:$B, (ROW()-8)),'Relacion '!$E:$E,'Relacion '!#REF!,0),
  0
 )
)</f>
        <v>0</v>
      </c>
      <c r="I991" s="241">
        <f t="shared" ca="1" si="227"/>
        <v>1</v>
      </c>
      <c r="J991" s="241"/>
      <c r="K991" s="241"/>
      <c r="L991" s="238"/>
    </row>
    <row r="992" spans="2:12" ht="30">
      <c r="B992" s="232" t="s">
        <v>529</v>
      </c>
      <c r="C992" s="167" t="s">
        <v>508</v>
      </c>
      <c r="D992" s="236" t="str">
        <f>_xlfn.XLOOKUP(B992,'Relacion '!$E:$E,'Relacion '!$D:$D,"")</f>
        <v>06. BW-EJECUCION</v>
      </c>
      <c r="E992" s="233">
        <f t="shared" si="228"/>
        <v>99</v>
      </c>
      <c r="F992" s="234" cm="1">
        <f t="array" ref="F992">MIN(INDEX('Relacion '!$X$5:$AM$493,MATCH(INDEX($B:$B, (ROW()-0)),'Relacion '!$E$5:$E$493,0),0))</f>
        <v>46024</v>
      </c>
      <c r="G992" s="234" cm="1">
        <f t="array" ref="G992">MAX(INDEX('Relacion '!$X$5:$AM$493,MATCH(INDEX($B:$B, (ROW()-0)),'Relacion '!$E$5:$E$493,0),0))</f>
        <v>46123</v>
      </c>
      <c r="H992" s="235" t="e">
        <f>AVERAGE(H993:H1000)</f>
        <v>#REF!</v>
      </c>
      <c r="I992" s="235">
        <f t="shared" ref="I992" ca="1" si="235">AVERAGE(I993:I1000)</f>
        <v>1</v>
      </c>
      <c r="J992" s="236" t="str">
        <f>IF(ISNUMBER(SEARCH("Rocha", _xlfn.XLOOKUP(B992,'Relacion '!$E:$E,'Relacion '!$I:$I,""))), "Sí", "No")</f>
        <v>No</v>
      </c>
      <c r="K992" s="236" t="str">
        <f>IF(ISNUMBER(SEARCH("Rocha", _xlfn.XLOOKUP(B992,'Relacion '!$E:$E,'Relacion '!$I:$I,""))), "RMC", _xlfn.XLOOKUP(B992,'Relacion '!$E:$E,'Relacion '!$B:$B,""))</f>
        <v>Riesgos</v>
      </c>
      <c r="L992" s="236" t="str">
        <f>_xlfn.XLOOKUP(B992,'Relacion '!$E:$E,'Relacion '!$C:$C,"")</f>
        <v>Homero Sanchez</v>
      </c>
    </row>
    <row r="993" spans="2:12" outlineLevel="1">
      <c r="B993" s="237" t="s">
        <v>654</v>
      </c>
      <c r="C993" s="237" t="s">
        <v>654</v>
      </c>
      <c r="D993" s="238" t="str">
        <f>_xlfn.XLOOKUP(B993,'Relacion '!$E:$E,'Relacion '!$D:$D,"")</f>
        <v/>
      </c>
      <c r="E993" s="239">
        <f t="shared" si="228"/>
        <v>59</v>
      </c>
      <c r="F993" s="240" cm="1">
        <f t="array" ref="F993">MIN(INDEX('Relacion '!$X$5:$Y$493,MATCH(INDEX($B:$B, (ROW()-1)),'Relacion '!$E$5:$E$493,0),0))</f>
        <v>46024</v>
      </c>
      <c r="G993" s="240" cm="1">
        <f t="array" ref="G993">MAX(INDEX('Relacion '!$X$5:$Y$493,MATCH(INDEX($B:$B, (ROW()-1)),'Relacion '!$E$5:$E$493,0),0))</f>
        <v>46083</v>
      </c>
      <c r="H993" s="241" cm="1">
        <f t="array" ref="H993">IF(
 MATCH(B993,{"01. ASIGNACION AREA";"02. MAPEO";"03. DESARROLLO";"04. VALIDA US";"05. VOBO US";"06. BW-EJECUCION";"07. VALIDACIÓN BAJAWARE";"08. CERRADA"},0)
 &lt;
 MATCH(_xlfn.XLOOKUP(INDEX($B:$B, (ROW()-1)),'Relacion '!$E:$E,'Relacion '!$D:$D,""),{"01. ASIGNACION AREA";"02. MAPEO";"03. DESARROLLO";"04. VALIDA US";"05. VOBO US";"06. BW-EJECUCION";"07. VALIDACIÓN BAJAWARE";"08. CERRADA"},0),
 1,
 IF(
  MATCH(B993,{"01. ASIGNACION AREA";"02. MAPEO";"03. DESARROLLO";"04. VALIDA US";"05. VOBO US";"06. BW-EJECUCION";"07. VALIDACIÓN BAJAWARE";"08. CERRADA"},0)
  =
  MATCH(_xlfn.XLOOKUP(INDEX($B:$B, (ROW()-1)),'Relacion '!$E:$E,'Relacion '!$D:$D,""),{"01. ASIGNACION AREA";"02. MAPEO";"03. DESARROLLO";"04. VALIDA US";"05. VOBO US";"06. BW-EJECUCION";"07. VALIDACIÓN BAJAWARE";"08. CERRADA"},0),
  _xlfn.XLOOKUP(INDEX($B:$B, (ROW()-1)),'Relacion '!$E:$E,'Relacion '!#REF!,0),
  0
 )
)</f>
        <v>1</v>
      </c>
      <c r="I993" s="241">
        <f t="shared" ref="I993" ca="1" si="236">IF(G993&lt;=TODAY(), 1, 0)</f>
        <v>1</v>
      </c>
      <c r="J993" s="241"/>
      <c r="K993" s="241"/>
      <c r="L993" s="238"/>
    </row>
    <row r="994" spans="2:12" outlineLevel="1">
      <c r="B994" s="237" t="s">
        <v>195</v>
      </c>
      <c r="C994" s="237" t="s">
        <v>195</v>
      </c>
      <c r="D994" s="238" t="str">
        <f>_xlfn.XLOOKUP(B994,'Relacion '!$E:$E,'Relacion '!$D:$D,"")</f>
        <v/>
      </c>
      <c r="E994" s="239">
        <f t="shared" si="228"/>
        <v>4</v>
      </c>
      <c r="F994" s="240" cm="1">
        <f t="array" ref="F994">MIN(INDEX('Relacion '!$Z$5:$AA$493,MATCH(INDEX($B:$B, (ROW()-2)),'Relacion '!$E$5:$E$493,0),0))</f>
        <v>46041</v>
      </c>
      <c r="G994" s="240" cm="1">
        <f t="array" ref="G994">MAX(INDEX('Relacion '!$Z$5:$AA$493,MATCH(INDEX($B:$B, (ROW()-2)),'Relacion '!$E$5:$E$493,0),0))</f>
        <v>46045</v>
      </c>
      <c r="H994" s="241" cm="1">
        <f t="array" ref="H994">IF(
 MATCH(B994,{"01. ASIGNACION AREA";"02. MAPEO";"03. DESARROLLO";"04. VALIDA US";"05. VOBO US";"06. BW-EJECUCION";"07. VALIDACIÓN BAJAWARE";"08. CERRADA"},0)
 &lt;
 MATCH(_xlfn.XLOOKUP(INDEX($B:$B, (ROW()-2)),'Relacion '!$E:$E,'Relacion '!$D:$D,""),{"01. ASIGNACION AREA";"02. MAPEO";"03. DESARROLLO";"04. VALIDA US";"05. VOBO US";"06. BW-EJECUCION";"07. VALIDACIÓN BAJAWARE";"08. CERRADA"},0),
 1,
 IF(
  MATCH(B994,{"01. ASIGNACION AREA";"02. MAPEO";"03. DESARROLLO";"04. VALIDA US";"05. VOBO US";"06. BW-EJECUCION";"07. VALIDACIÓN BAJAWARE";"08. CERRADA"},0)
  =
  MATCH(_xlfn.XLOOKUP(INDEX($B:$B, (ROW()-2)),'Relacion '!$E:$E,'Relacion '!$D:$D,""),{"01. ASIGNACION AREA";"02. MAPEO";"03. DESARROLLO";"04. VALIDA US";"05. VOBO US";"06. BW-EJECUCION";"07. VALIDACIÓN BAJAWARE";"08. CERRADA"},0),
  _xlfn.XLOOKUP(INDEX($B:$B, (ROW()-2)),'Relacion '!$E:$E,'Relacion '!#REF!,0),
  0
 )
)</f>
        <v>1</v>
      </c>
      <c r="I994" s="241">
        <f t="shared" ca="1" si="227"/>
        <v>1</v>
      </c>
      <c r="J994" s="241"/>
      <c r="K994" s="241"/>
      <c r="L994" s="238"/>
    </row>
    <row r="995" spans="2:12" outlineLevel="1">
      <c r="B995" s="237" t="s">
        <v>49</v>
      </c>
      <c r="C995" s="237" t="s">
        <v>49</v>
      </c>
      <c r="D995" s="238" t="str">
        <f>_xlfn.XLOOKUP(B995,'Relacion '!$E:$E,'Relacion '!$D:$D,"")</f>
        <v/>
      </c>
      <c r="E995" s="239">
        <f t="shared" si="228"/>
        <v>4</v>
      </c>
      <c r="F995" s="240" cm="1">
        <f t="array" ref="F995">MIN(INDEX('Relacion '!$AB$5:$AC$493,MATCH(INDEX($B:$B, (ROW()-3)),'Relacion '!$E$5:$E$493,0),0))</f>
        <v>46048</v>
      </c>
      <c r="G995" s="240" cm="1">
        <f t="array" ref="G995">MAX(INDEX('Relacion '!$AB$5:$AC$493,MATCH(INDEX($B:$B, (ROW()-3)),'Relacion '!$E$5:$E$493,0),0))</f>
        <v>46052</v>
      </c>
      <c r="H995" s="241" cm="1">
        <f t="array" ref="H995">IF(
 MATCH(B995,{"01. ASIGNACION AREA";"02. MAPEO";"03. DESARROLLO";"04. VALIDA US";"05. VOBO US";"06. BW-EJECUCION";"07. VALIDACIÓN BAJAWARE";"08. CERRADA"},0)
 &lt;
 MATCH(_xlfn.XLOOKUP(INDEX($B:$B, (ROW()-3)),'Relacion '!$E:$E,'Relacion '!$D:$D,""),{"01. ASIGNACION AREA";"02. MAPEO";"03. DESARROLLO";"04. VALIDA US";"05. VOBO US";"06. BW-EJECUCION";"07. VALIDACIÓN BAJAWARE";"08. CERRADA"},0),
 1,
 IF(
  MATCH(B995,{"01. ASIGNACION AREA";"02. MAPEO";"03. DESARROLLO";"04. VALIDA US";"05. VOBO US";"06. BW-EJECUCION";"07. VALIDACIÓN BAJAWARE";"08. CERRADA"},0)
  =
  MATCH(_xlfn.XLOOKUP(INDEX($B:$B, (ROW()-3)),'Relacion '!$E:$E,'Relacion '!$D:$D,""),{"01. ASIGNACION AREA";"02. MAPEO";"03. DESARROLLO";"04. VALIDA US";"05. VOBO US";"06. BW-EJECUCION";"07. VALIDACIÓN BAJAWARE";"08. CERRADA"},0),
  _xlfn.XLOOKUP(INDEX($B:$B, (ROW()-3)),'Relacion '!$E:$E,'Relacion '!#REF!,0),
  0
 )
)</f>
        <v>1</v>
      </c>
      <c r="I995" s="241">
        <f t="shared" ca="1" si="227"/>
        <v>1</v>
      </c>
      <c r="J995" s="241"/>
      <c r="K995" s="241"/>
      <c r="L995" s="238"/>
    </row>
    <row r="996" spans="2:12" outlineLevel="1">
      <c r="B996" s="237" t="s">
        <v>324</v>
      </c>
      <c r="C996" s="237" t="s">
        <v>324</v>
      </c>
      <c r="D996" s="238" t="str">
        <f>_xlfn.XLOOKUP(B996,'Relacion '!$E:$E,'Relacion '!$D:$D,"")</f>
        <v/>
      </c>
      <c r="E996" s="239">
        <f t="shared" si="228"/>
        <v>11</v>
      </c>
      <c r="F996" s="240" cm="1">
        <f t="array" ref="F996">MIN(INDEX('Relacion '!$AD$5:$AE$493,MATCH(INDEX($B:$B, (ROW()-4)),'Relacion '!$E$5:$E$493,0),0))</f>
        <v>46055</v>
      </c>
      <c r="G996" s="240" cm="1">
        <f t="array" ref="G996">MAX(INDEX('Relacion '!$AD$5:$AE$493,MATCH(INDEX($B:$B, (ROW()-4)),'Relacion '!$E$5:$E$493,0),0))</f>
        <v>46066</v>
      </c>
      <c r="H996" s="241" cm="1">
        <f t="array" ref="H996">IF(
 MATCH(B996,{"01. ASIGNACION AREA";"02. MAPEO";"03. DESARROLLO";"04. VALIDA US";"05. VOBO US";"06. BW-EJECUCION";"07. VALIDACIÓN BAJAWARE";"08. CERRADA"},0)
 &lt;
 MATCH(_xlfn.XLOOKUP(INDEX($B:$B, (ROW()-4)),'Relacion '!$E:$E,'Relacion '!$D:$D,""),{"01. ASIGNACION AREA";"02. MAPEO";"03. DESARROLLO";"04. VALIDA US";"05. VOBO US";"06. BW-EJECUCION";"07. VALIDACIÓN BAJAWARE";"08. CERRADA"},0),
 1,
 IF(
  MATCH(B996,{"01. ASIGNACION AREA";"02. MAPEO";"03. DESARROLLO";"04. VALIDA US";"05. VOBO US";"06. BW-EJECUCION";"07. VALIDACIÓN BAJAWARE";"08. CERRADA"},0)
  =
  MATCH(_xlfn.XLOOKUP(INDEX($B:$B, (ROW()-4)),'Relacion '!$E:$E,'Relacion '!$D:$D,""),{"01. ASIGNACION AREA";"02. MAPEO";"03. DESARROLLO";"04. VALIDA US";"05. VOBO US";"06. BW-EJECUCION";"07. VALIDACIÓN BAJAWARE";"08. CERRADA"},0),
  _xlfn.XLOOKUP(INDEX($B:$B, (ROW()-4)),'Relacion '!$E:$E,'Relacion '!#REF!,0),
  0
 )
)</f>
        <v>1</v>
      </c>
      <c r="I996" s="241">
        <f t="shared" ca="1" si="227"/>
        <v>1</v>
      </c>
      <c r="J996" s="241"/>
      <c r="K996" s="241"/>
      <c r="L996" s="238"/>
    </row>
    <row r="997" spans="2:12" outlineLevel="1">
      <c r="B997" s="237" t="s">
        <v>320</v>
      </c>
      <c r="C997" s="237" t="s">
        <v>320</v>
      </c>
      <c r="D997" s="238" t="str">
        <f>_xlfn.XLOOKUP(B997,'Relacion '!$E:$E,'Relacion '!$D:$D,"")</f>
        <v/>
      </c>
      <c r="E997" s="239">
        <f t="shared" si="228"/>
        <v>4</v>
      </c>
      <c r="F997" s="240" cm="1">
        <f t="array" ref="F997">MIN(INDEX('Relacion '!$AF$5:$AG$493,MATCH(INDEX($B:$B, (ROW()-5)),'Relacion '!$E$5:$E$493,0),0))</f>
        <v>46069</v>
      </c>
      <c r="G997" s="240" cm="1">
        <f t="array" ref="G997">MAX(INDEX('Relacion '!$AF$5:$AG$493,MATCH(INDEX($B:$B, (ROW()-5)),'Relacion '!$E$5:$E$493,0),0))</f>
        <v>46073</v>
      </c>
      <c r="H997" s="241" cm="1">
        <f t="array" ref="H997">IF(
 MATCH(B997,{"01. ASIGNACION AREA";"02. MAPEO";"03. DESARROLLO";"04. VALIDA US";"05. VOBO US";"06. BW-EJECUCION";"07. VALIDACIÓN BAJAWARE";"08. CERRADA"},0)
 &lt;
 MATCH(_xlfn.XLOOKUP(INDEX($B:$B, (ROW()-5)),'Relacion '!$E:$E,'Relacion '!$D:$D,""),{"01. ASIGNACION AREA";"02. MAPEO";"03. DESARROLLO";"04. VALIDA US";"05. VOBO US";"06. BW-EJECUCION";"07. VALIDACIÓN BAJAWARE";"08. CERRADA"},0),
 1,
 IF(
  MATCH(B997,{"01. ASIGNACION AREA";"02. MAPEO";"03. DESARROLLO";"04. VALIDA US";"05. VOBO US";"06. BW-EJECUCION";"07. VALIDACIÓN BAJAWARE";"08. CERRADA"},0)
  =
  MATCH(_xlfn.XLOOKUP(INDEX($B:$B, (ROW()-5)),'Relacion '!$E:$E,'Relacion '!$D:$D,""),{"01. ASIGNACION AREA";"02. MAPEO";"03. DESARROLLO";"04. VALIDA US";"05. VOBO US";"06. BW-EJECUCION";"07. VALIDACIÓN BAJAWARE";"08. CERRADA"},0),
  _xlfn.XLOOKUP(INDEX($B:$B, (ROW()-5)),'Relacion '!$E:$E,'Relacion '!#REF!,0),
  0
 )
)</f>
        <v>1</v>
      </c>
      <c r="I997" s="241">
        <f t="shared" ca="1" si="227"/>
        <v>1</v>
      </c>
      <c r="J997" s="241"/>
      <c r="K997" s="241"/>
      <c r="L997" s="238"/>
    </row>
    <row r="998" spans="2:12" outlineLevel="1">
      <c r="B998" s="237" t="s">
        <v>710</v>
      </c>
      <c r="C998" s="237" t="s">
        <v>710</v>
      </c>
      <c r="D998" s="238" t="str">
        <f>_xlfn.XLOOKUP(B998,'Relacion '!$E:$E,'Relacion '!$D:$D,"")</f>
        <v/>
      </c>
      <c r="E998" s="239">
        <f t="shared" si="228"/>
        <v>18</v>
      </c>
      <c r="F998" s="240" cm="1">
        <f t="array" ref="F998">MIN(INDEX('Relacion '!$AH$5:$AI$493,MATCH(INDEX($B:$B, (ROW()-6)),'Relacion '!$E$5:$E$493,0),0))</f>
        <v>46083</v>
      </c>
      <c r="G998" s="240" cm="1">
        <f t="array" ref="G998">MAX(INDEX('Relacion '!$AH$5:$AI$493,MATCH(INDEX($B:$B, (ROW()-6)),'Relacion '!$E$5:$E$493,0),0))</f>
        <v>46101</v>
      </c>
      <c r="H998" s="241" t="e" cm="1">
        <f t="array" ref="H998">IF(
 MATCH(B998,{"01. ASIGNACION AREA";"02. MAPEO";"03. DESARROLLO";"04. VALIDA US";"05. VOBO US";"06. BW-EJECUCION";"07. VALIDACIÓN BAJAWARE";"08. CERRADA"},0)
 &lt;
 MATCH(_xlfn.XLOOKUP(INDEX($B:$B, (ROW()-6)),'Relacion '!$E:$E,'Relacion '!$D:$D,""),{"01. ASIGNACION AREA";"02. MAPEO";"03. DESARROLLO";"04. VALIDA US";"05. VOBO US";"06. BW-EJECUCION";"07. VALIDACIÓN BAJAWARE";"08. CERRADA"},0),
 1,
 IF(
  MATCH(B998,{"01. ASIGNACION AREA";"02. MAPEO";"03. DESARROLLO";"04. VALIDA US";"05. VOBO US";"06. BW-EJECUCION";"07. VALIDACIÓN BAJAWARE";"08. CERRADA"},0)
  =
  MATCH(_xlfn.XLOOKUP(INDEX($B:$B, (ROW()-6)),'Relacion '!$E:$E,'Relacion '!$D:$D,""),{"01. ASIGNACION AREA";"02. MAPEO";"03. DESARROLLO";"04. VALIDA US";"05. VOBO US";"06. BW-EJECUCION";"07. VALIDACIÓN BAJAWARE";"08. CERRADA"},0),
  _xlfn.XLOOKUP(INDEX($B:$B, (ROW()-6)),'Relacion '!$E:$E,'Relacion '!#REF!,0),
  0
 )
)</f>
        <v>#REF!</v>
      </c>
      <c r="I998" s="241">
        <f t="shared" ca="1" si="227"/>
        <v>1</v>
      </c>
      <c r="J998" s="241"/>
      <c r="K998" s="241"/>
      <c r="L998" s="238"/>
    </row>
    <row r="999" spans="2:12" outlineLevel="1">
      <c r="B999" s="237" t="s">
        <v>655</v>
      </c>
      <c r="C999" s="237" t="s">
        <v>655</v>
      </c>
      <c r="D999" s="238" t="str">
        <f>_xlfn.XLOOKUP(B999,'Relacion '!$E:$E,'Relacion '!$D:$D,"")</f>
        <v/>
      </c>
      <c r="E999" s="239">
        <f t="shared" si="228"/>
        <v>18</v>
      </c>
      <c r="F999" s="240" cm="1">
        <f t="array" ref="F999">MIN(INDEX('Relacion '!$AJ$5:$AK$493,MATCH(INDEX($B:$B, (ROW()-7)),'Relacion '!$E$5:$E$493,0),0))</f>
        <v>46104</v>
      </c>
      <c r="G999" s="240" cm="1">
        <f t="array" ref="G999">MAX(INDEX('Relacion '!$AJ$5:$AK$493,MATCH(INDEX($B:$B, (ROW()-7)),'Relacion '!$E$5:$E$493,0),0))</f>
        <v>46122</v>
      </c>
      <c r="H999" s="241" cm="1">
        <f t="array" ref="H999">IF(
 MATCH(B999,{"01. ASIGNACION AREA";"02. MAPEO";"03. DESARROLLO";"04. VALIDA US";"05. VOBO US";"06. BW-EJECUCION";"07. VALIDACIÓN BAJAWARE";"08. CERRADA"},0)
 &lt;
 MATCH(_xlfn.XLOOKUP(INDEX($B:$B, (ROW()-7)),'Relacion '!$E:$E,'Relacion '!$D:$D,""),{"01. ASIGNACION AREA";"02. MAPEO";"03. DESARROLLO";"04. VALIDA US";"05. VOBO US";"06. BW-EJECUCION";"07. VALIDACIÓN BAJAWARE";"08. CERRADA"},0),
 1,
 IF(
  MATCH(B999,{"01. ASIGNACION AREA";"02. MAPEO";"03. DESARROLLO";"04. VALIDA US";"05. VOBO US";"06. BW-EJECUCION";"07. VALIDACIÓN BAJAWARE";"08. CERRADA"},0)
  =
  MATCH(_xlfn.XLOOKUP(INDEX($B:$B, (ROW()-7)),'Relacion '!$E:$E,'Relacion '!$D:$D,""),{"01. ASIGNACION AREA";"02. MAPEO";"03. DESARROLLO";"04. VALIDA US";"05. VOBO US";"06. BW-EJECUCION";"07. VALIDACIÓN BAJAWARE";"08. CERRADA"},0),
  _xlfn.XLOOKUP(INDEX($B:$B, (ROW()-7)),'Relacion '!$E:$E,'Relacion '!#REF!,0),
  0
 )
)</f>
        <v>0</v>
      </c>
      <c r="I999" s="241">
        <f t="shared" ca="1" si="227"/>
        <v>1</v>
      </c>
      <c r="J999" s="241"/>
      <c r="K999" s="241"/>
      <c r="L999" s="238"/>
    </row>
    <row r="1000" spans="2:12" outlineLevel="1">
      <c r="B1000" s="237" t="s">
        <v>656</v>
      </c>
      <c r="C1000" s="237" t="s">
        <v>656</v>
      </c>
      <c r="D1000" s="238" t="str">
        <f>_xlfn.XLOOKUP(B1000,'Relacion '!$E:$E,'Relacion '!$D:$D,"")</f>
        <v/>
      </c>
      <c r="E1000" s="239">
        <f t="shared" si="228"/>
        <v>0</v>
      </c>
      <c r="F1000" s="240" cm="1">
        <f t="array" ref="F1000">MIN(INDEX('Relacion '!$AL$5:$AM$493,MATCH(INDEX($B:$B, (ROW()-8)),'Relacion '!$E$5:$E$493,0),0))</f>
        <v>46123</v>
      </c>
      <c r="G1000" s="240" cm="1">
        <f t="array" ref="G1000">MAX(INDEX('Relacion '!$AL$5:$AM$493,MATCH(INDEX($B:$B, (ROW()-8)),'Relacion '!$E$5:$E$493,0),0))</f>
        <v>46123</v>
      </c>
      <c r="H1000" s="241" cm="1">
        <f t="array" ref="H1000">IF(
 MATCH(B1000,{"01. ASIGNACION AREA";"02. MAPEO";"03. DESARROLLO";"04. VALIDA US";"05. VOBO US";"06. BW-EJECUCION";"07. VALIDACIÓN BAJAWARE";"08. CERRADA"},0)
 &lt;
 MATCH(_xlfn.XLOOKUP(INDEX($B:$B, (ROW()-8)),'Relacion '!$E:$E,'Relacion '!$D:$D,""),{"01. ASIGNACION AREA";"02. MAPEO";"03. DESARROLLO";"04. VALIDA US";"05. VOBO US";"06. BW-EJECUCION";"07. VALIDACIÓN BAJAWARE";"08. CERRADA"},0),
 1,
 IF(
  MATCH(B1000,{"01. ASIGNACION AREA";"02. MAPEO";"03. DESARROLLO";"04. VALIDA US";"05. VOBO US";"06. BW-EJECUCION";"07. VALIDACIÓN BAJAWARE";"08. CERRADA"},0)
  =
  MATCH(_xlfn.XLOOKUP(INDEX($B:$B, (ROW()-8)),'Relacion '!$E:$E,'Relacion '!$D:$D,""),{"01. ASIGNACION AREA";"02. MAPEO";"03. DESARROLLO";"04. VALIDA US";"05. VOBO US";"06. BW-EJECUCION";"07. VALIDACIÓN BAJAWARE";"08. CERRADA"},0),
  _xlfn.XLOOKUP(INDEX($B:$B, (ROW()-8)),'Relacion '!$E:$E,'Relacion '!#REF!,0),
  0
 )
)</f>
        <v>0</v>
      </c>
      <c r="I1000" s="241">
        <f t="shared" ca="1" si="227"/>
        <v>1</v>
      </c>
      <c r="J1000" s="241"/>
      <c r="K1000" s="241"/>
      <c r="L1000" s="238"/>
    </row>
    <row r="1001" spans="2:12">
      <c r="B1001" s="232" t="s">
        <v>252</v>
      </c>
      <c r="C1001" s="167" t="s">
        <v>253</v>
      </c>
      <c r="D1001" s="236" t="str">
        <f>_xlfn.XLOOKUP(B1001,'Relacion '!$E:$E,'Relacion '!$D:$D,"")</f>
        <v>02. MAPEO</v>
      </c>
      <c r="E1001" s="233">
        <f t="shared" si="228"/>
        <v>543</v>
      </c>
      <c r="F1001" s="234" cm="1">
        <f t="array" ref="F1001">MIN(INDEX('Relacion '!$X$5:$AM$493,MATCH(INDEX($B:$B, (ROW()-0)),'Relacion '!$E$5:$E$493,0),0))</f>
        <v>45659</v>
      </c>
      <c r="G1001" s="234" cm="1">
        <f t="array" ref="G1001">MAX(INDEX('Relacion '!$X$5:$AM$493,MATCH(INDEX($B:$B, (ROW()-0)),'Relacion '!$E$5:$E$493,0),0))</f>
        <v>46202</v>
      </c>
      <c r="H1001" s="235" t="e">
        <f>AVERAGE(H1002:H1009)</f>
        <v>#REF!</v>
      </c>
      <c r="I1001" s="235">
        <f t="shared" ref="I1001" ca="1" si="237">AVERAGE(I1002:I1009)</f>
        <v>0.375</v>
      </c>
      <c r="J1001" s="236" t="str">
        <f>IF(ISNUMBER(SEARCH("Rocha", _xlfn.XLOOKUP(B1001,'Relacion '!$E:$E,'Relacion '!$I:$I,""))), "Sí", "No")</f>
        <v>Sí</v>
      </c>
      <c r="K1001" s="236" t="str">
        <f>IF(ISNUMBER(SEARCH("Rocha", _xlfn.XLOOKUP(B1001,'Relacion '!$E:$E,'Relacion '!$I:$I,""))), "RMC", _xlfn.XLOOKUP(B1001,'Relacion '!$E:$E,'Relacion '!$B:$B,""))</f>
        <v>RMC</v>
      </c>
      <c r="L1001" s="236" t="str">
        <f>_xlfn.XLOOKUP(B1001,'Relacion '!$E:$E,'Relacion '!$C:$C,"")</f>
        <v>Belem Alvarado</v>
      </c>
    </row>
    <row r="1002" spans="2:12" outlineLevel="1">
      <c r="B1002" s="237" t="s">
        <v>654</v>
      </c>
      <c r="C1002" s="237" t="s">
        <v>654</v>
      </c>
      <c r="D1002" s="238" t="str">
        <f>_xlfn.XLOOKUP(B1002,'Relacion '!$E:$E,'Relacion '!$D:$D,"")</f>
        <v/>
      </c>
      <c r="E1002" s="239">
        <f t="shared" si="228"/>
        <v>424</v>
      </c>
      <c r="F1002" s="240" cm="1">
        <f t="array" ref="F1002">MIN(INDEX('Relacion '!$X$5:$Y$493,MATCH(INDEX($B:$B, (ROW()-1)),'Relacion '!$E$5:$E$493,0),0))</f>
        <v>45659</v>
      </c>
      <c r="G1002" s="240" cm="1">
        <f t="array" ref="G1002">MAX(INDEX('Relacion '!$X$5:$Y$493,MATCH(INDEX($B:$B, (ROW()-1)),'Relacion '!$E$5:$E$493,0),0))</f>
        <v>46083</v>
      </c>
      <c r="H1002" s="241" cm="1">
        <f t="array" ref="H1002">IF(
 MATCH(B1002,{"01. ASIGNACION AREA";"02. MAPEO";"03. DESARROLLO";"04. VALIDA US";"05. VOBO US";"06. BW-EJECUCION";"07. VALIDACIÓN BAJAWARE";"08. CERRADA"},0)
 &lt;
 MATCH(_xlfn.XLOOKUP(INDEX($B:$B, (ROW()-1)),'Relacion '!$E:$E,'Relacion '!$D:$D,""),{"01. ASIGNACION AREA";"02. MAPEO";"03. DESARROLLO";"04. VALIDA US";"05. VOBO US";"06. BW-EJECUCION";"07. VALIDACIÓN BAJAWARE";"08. CERRADA"},0),
 1,
 IF(
  MATCH(B1002,{"01. ASIGNACION AREA";"02. MAPEO";"03. DESARROLLO";"04. VALIDA US";"05. VOBO US";"06. BW-EJECUCION";"07. VALIDACIÓN BAJAWARE";"08. CERRADA"},0)
  =
  MATCH(_xlfn.XLOOKUP(INDEX($B:$B, (ROW()-1)),'Relacion '!$E:$E,'Relacion '!$D:$D,""),{"01. ASIGNACION AREA";"02. MAPEO";"03. DESARROLLO";"04. VALIDA US";"05. VOBO US";"06. BW-EJECUCION";"07. VALIDACIÓN BAJAWARE";"08. CERRADA"},0),
  _xlfn.XLOOKUP(INDEX($B:$B, (ROW()-1)),'Relacion '!$E:$E,'Relacion '!#REF!,0),
  0
 )
)</f>
        <v>1</v>
      </c>
      <c r="I1002" s="241">
        <f t="shared" ref="I1002" ca="1" si="238">IF(G1002&lt;=TODAY(), 1, 0)</f>
        <v>1</v>
      </c>
      <c r="J1002" s="241"/>
      <c r="K1002" s="241"/>
      <c r="L1002" s="238"/>
    </row>
    <row r="1003" spans="2:12" outlineLevel="1">
      <c r="B1003" s="237" t="s">
        <v>195</v>
      </c>
      <c r="C1003" s="237" t="s">
        <v>195</v>
      </c>
      <c r="D1003" s="238" t="str">
        <f>_xlfn.XLOOKUP(B1003,'Relacion '!$E:$E,'Relacion '!$D:$D,"")</f>
        <v/>
      </c>
      <c r="E1003" s="239">
        <f t="shared" si="228"/>
        <v>49</v>
      </c>
      <c r="F1003" s="240" cm="1">
        <f t="array" ref="F1003">MIN(INDEX('Relacion '!$Z$5:$AA$493,MATCH(INDEX($B:$B, (ROW()-2)),'Relacion '!$E$5:$E$493,0),0))</f>
        <v>46093</v>
      </c>
      <c r="G1003" s="240" cm="1">
        <f t="array" ref="G1003">MAX(INDEX('Relacion '!$Z$5:$AA$493,MATCH(INDEX($B:$B, (ROW()-2)),'Relacion '!$E$5:$E$493,0),0))</f>
        <v>46142</v>
      </c>
      <c r="H1003" s="241" t="e" cm="1">
        <f t="array" ref="H1003">IF(
 MATCH(B1003,{"01. ASIGNACION AREA";"02. MAPEO";"03. DESARROLLO";"04. VALIDA US";"05. VOBO US";"06. BW-EJECUCION";"07. VALIDACIÓN BAJAWARE";"08. CERRADA"},0)
 &lt;
 MATCH(_xlfn.XLOOKUP(INDEX($B:$B, (ROW()-2)),'Relacion '!$E:$E,'Relacion '!$D:$D,""),{"01. ASIGNACION AREA";"02. MAPEO";"03. DESARROLLO";"04. VALIDA US";"05. VOBO US";"06. BW-EJECUCION";"07. VALIDACIÓN BAJAWARE";"08. CERRADA"},0),
 1,
 IF(
  MATCH(B1003,{"01. ASIGNACION AREA";"02. MAPEO";"03. DESARROLLO";"04. VALIDA US";"05. VOBO US";"06. BW-EJECUCION";"07. VALIDACIÓN BAJAWARE";"08. CERRADA"},0)
  =
  MATCH(_xlfn.XLOOKUP(INDEX($B:$B, (ROW()-2)),'Relacion '!$E:$E,'Relacion '!$D:$D,""),{"01. ASIGNACION AREA";"02. MAPEO";"03. DESARROLLO";"04. VALIDA US";"05. VOBO US";"06. BW-EJECUCION";"07. VALIDACIÓN BAJAWARE";"08. CERRADA"},0),
  _xlfn.XLOOKUP(INDEX($B:$B, (ROW()-2)),'Relacion '!$E:$E,'Relacion '!#REF!,0),
  0
 )
)</f>
        <v>#REF!</v>
      </c>
      <c r="I1003" s="241">
        <f t="shared" ca="1" si="227"/>
        <v>1</v>
      </c>
      <c r="J1003" s="241"/>
      <c r="K1003" s="241"/>
      <c r="L1003" s="238"/>
    </row>
    <row r="1004" spans="2:12" outlineLevel="1">
      <c r="B1004" s="237" t="s">
        <v>49</v>
      </c>
      <c r="C1004" s="237" t="s">
        <v>49</v>
      </c>
      <c r="D1004" s="238" t="str">
        <f>_xlfn.XLOOKUP(B1004,'Relacion '!$E:$E,'Relacion '!$D:$D,"")</f>
        <v/>
      </c>
      <c r="E1004" s="239">
        <f t="shared" si="228"/>
        <v>18</v>
      </c>
      <c r="F1004" s="240" cm="1">
        <f t="array" ref="F1004">MIN(INDEX('Relacion '!$AB$5:$AC$493,MATCH(INDEX($B:$B, (ROW()-3)),'Relacion '!$E$5:$E$493,0),0))</f>
        <v>46146</v>
      </c>
      <c r="G1004" s="240" cm="1">
        <f t="array" ref="G1004">MAX(INDEX('Relacion '!$AB$5:$AC$493,MATCH(INDEX($B:$B, (ROW()-3)),'Relacion '!$E$5:$E$493,0),0))</f>
        <v>46164</v>
      </c>
      <c r="H1004" s="241" cm="1">
        <f t="array" ref="H1004">IF(
 MATCH(B1004,{"01. ASIGNACION AREA";"02. MAPEO";"03. DESARROLLO";"04. VALIDA US";"05. VOBO US";"06. BW-EJECUCION";"07. VALIDACIÓN BAJAWARE";"08. CERRADA"},0)
 &lt;
 MATCH(_xlfn.XLOOKUP(INDEX($B:$B, (ROW()-3)),'Relacion '!$E:$E,'Relacion '!$D:$D,""),{"01. ASIGNACION AREA";"02. MAPEO";"03. DESARROLLO";"04. VALIDA US";"05. VOBO US";"06. BW-EJECUCION";"07. VALIDACIÓN BAJAWARE";"08. CERRADA"},0),
 1,
 IF(
  MATCH(B1004,{"01. ASIGNACION AREA";"02. MAPEO";"03. DESARROLLO";"04. VALIDA US";"05. VOBO US";"06. BW-EJECUCION";"07. VALIDACIÓN BAJAWARE";"08. CERRADA"},0)
  =
  MATCH(_xlfn.XLOOKUP(INDEX($B:$B, (ROW()-3)),'Relacion '!$E:$E,'Relacion '!$D:$D,""),{"01. ASIGNACION AREA";"02. MAPEO";"03. DESARROLLO";"04. VALIDA US";"05. VOBO US";"06. BW-EJECUCION";"07. VALIDACIÓN BAJAWARE";"08. CERRADA"},0),
  _xlfn.XLOOKUP(INDEX($B:$B, (ROW()-3)),'Relacion '!$E:$E,'Relacion '!#REF!,0),
  0
 )
)</f>
        <v>0</v>
      </c>
      <c r="I1004" s="241">
        <f t="shared" ca="1" si="227"/>
        <v>1</v>
      </c>
      <c r="J1004" s="241"/>
      <c r="K1004" s="241"/>
      <c r="L1004" s="238"/>
    </row>
    <row r="1005" spans="2:12" outlineLevel="1">
      <c r="B1005" s="237" t="s">
        <v>324</v>
      </c>
      <c r="C1005" s="237" t="s">
        <v>324</v>
      </c>
      <c r="D1005" s="238" t="str">
        <f>_xlfn.XLOOKUP(B1005,'Relacion '!$E:$E,'Relacion '!$D:$D,"")</f>
        <v/>
      </c>
      <c r="E1005" s="239">
        <f t="shared" si="228"/>
        <v>11</v>
      </c>
      <c r="F1005" s="240" cm="1">
        <f t="array" ref="F1005">MIN(INDEX('Relacion '!$AD$5:$AE$493,MATCH(INDEX($B:$B, (ROW()-4)),'Relacion '!$E$5:$E$493,0),0))</f>
        <v>46167</v>
      </c>
      <c r="G1005" s="240" cm="1">
        <f t="array" ref="G1005">MAX(INDEX('Relacion '!$AD$5:$AE$493,MATCH(INDEX($B:$B, (ROW()-4)),'Relacion '!$E$5:$E$493,0),0))</f>
        <v>46178</v>
      </c>
      <c r="H1005" s="241" cm="1">
        <f t="array" ref="H1005">IF(
 MATCH(B1005,{"01. ASIGNACION AREA";"02. MAPEO";"03. DESARROLLO";"04. VALIDA US";"05. VOBO US";"06. BW-EJECUCION";"07. VALIDACIÓN BAJAWARE";"08. CERRADA"},0)
 &lt;
 MATCH(_xlfn.XLOOKUP(INDEX($B:$B, (ROW()-4)),'Relacion '!$E:$E,'Relacion '!$D:$D,""),{"01. ASIGNACION AREA";"02. MAPEO";"03. DESARROLLO";"04. VALIDA US";"05. VOBO US";"06. BW-EJECUCION";"07. VALIDACIÓN BAJAWARE";"08. CERRADA"},0),
 1,
 IF(
  MATCH(B1005,{"01. ASIGNACION AREA";"02. MAPEO";"03. DESARROLLO";"04. VALIDA US";"05. VOBO US";"06. BW-EJECUCION";"07. VALIDACIÓN BAJAWARE";"08. CERRADA"},0)
  =
  MATCH(_xlfn.XLOOKUP(INDEX($B:$B, (ROW()-4)),'Relacion '!$E:$E,'Relacion '!$D:$D,""),{"01. ASIGNACION AREA";"02. MAPEO";"03. DESARROLLO";"04. VALIDA US";"05. VOBO US";"06. BW-EJECUCION";"07. VALIDACIÓN BAJAWARE";"08. CERRADA"},0),
  _xlfn.XLOOKUP(INDEX($B:$B, (ROW()-4)),'Relacion '!$E:$E,'Relacion '!#REF!,0),
  0
 )
)</f>
        <v>0</v>
      </c>
      <c r="I1005" s="241">
        <f t="shared" ca="1" si="227"/>
        <v>0</v>
      </c>
      <c r="J1005" s="241"/>
      <c r="K1005" s="241"/>
      <c r="L1005" s="238"/>
    </row>
    <row r="1006" spans="2:12" outlineLevel="1">
      <c r="B1006" s="237" t="s">
        <v>320</v>
      </c>
      <c r="C1006" s="237" t="s">
        <v>320</v>
      </c>
      <c r="D1006" s="238" t="str">
        <f>_xlfn.XLOOKUP(B1006,'Relacion '!$E:$E,'Relacion '!$D:$D,"")</f>
        <v/>
      </c>
      <c r="E1006" s="239">
        <f t="shared" si="228"/>
        <v>3</v>
      </c>
      <c r="F1006" s="240" cm="1">
        <f t="array" ref="F1006">MIN(INDEX('Relacion '!$AF$5:$AG$493,MATCH(INDEX($B:$B, (ROW()-5)),'Relacion '!$E$5:$E$493,0),0))</f>
        <v>46178</v>
      </c>
      <c r="G1006" s="240" cm="1">
        <f t="array" ref="G1006">MAX(INDEX('Relacion '!$AF$5:$AG$493,MATCH(INDEX($B:$B, (ROW()-5)),'Relacion '!$E$5:$E$493,0),0))</f>
        <v>46181</v>
      </c>
      <c r="H1006" s="241" cm="1">
        <f t="array" ref="H1006">IF(
 MATCH(B1006,{"01. ASIGNACION AREA";"02. MAPEO";"03. DESARROLLO";"04. VALIDA US";"05. VOBO US";"06. BW-EJECUCION";"07. VALIDACIÓN BAJAWARE";"08. CERRADA"},0)
 &lt;
 MATCH(_xlfn.XLOOKUP(INDEX($B:$B, (ROW()-5)),'Relacion '!$E:$E,'Relacion '!$D:$D,""),{"01. ASIGNACION AREA";"02. MAPEO";"03. DESARROLLO";"04. VALIDA US";"05. VOBO US";"06. BW-EJECUCION";"07. VALIDACIÓN BAJAWARE";"08. CERRADA"},0),
 1,
 IF(
  MATCH(B1006,{"01. ASIGNACION AREA";"02. MAPEO";"03. DESARROLLO";"04. VALIDA US";"05. VOBO US";"06. BW-EJECUCION";"07. VALIDACIÓN BAJAWARE";"08. CERRADA"},0)
  =
  MATCH(_xlfn.XLOOKUP(INDEX($B:$B, (ROW()-5)),'Relacion '!$E:$E,'Relacion '!$D:$D,""),{"01. ASIGNACION AREA";"02. MAPEO";"03. DESARROLLO";"04. VALIDA US";"05. VOBO US";"06. BW-EJECUCION";"07. VALIDACIÓN BAJAWARE";"08. CERRADA"},0),
  _xlfn.XLOOKUP(INDEX($B:$B, (ROW()-5)),'Relacion '!$E:$E,'Relacion '!#REF!,0),
  0
 )
)</f>
        <v>0</v>
      </c>
      <c r="I1006" s="241">
        <f t="shared" ca="1" si="227"/>
        <v>0</v>
      </c>
      <c r="J1006" s="241"/>
      <c r="K1006" s="241"/>
      <c r="L1006" s="238"/>
    </row>
    <row r="1007" spans="2:12" outlineLevel="1">
      <c r="B1007" s="237" t="s">
        <v>710</v>
      </c>
      <c r="C1007" s="237" t="s">
        <v>710</v>
      </c>
      <c r="D1007" s="238" t="str">
        <f>_xlfn.XLOOKUP(B1007,'Relacion '!$E:$E,'Relacion '!$D:$D,"")</f>
        <v/>
      </c>
      <c r="E1007" s="239">
        <f t="shared" si="228"/>
        <v>3</v>
      </c>
      <c r="F1007" s="240" cm="1">
        <f t="array" ref="F1007">MIN(INDEX('Relacion '!$AH$5:$AI$493,MATCH(INDEX($B:$B, (ROW()-6)),'Relacion '!$E$5:$E$493,0),0))</f>
        <v>46182</v>
      </c>
      <c r="G1007" s="240" cm="1">
        <f t="array" ref="G1007">MAX(INDEX('Relacion '!$AH$5:$AI$493,MATCH(INDEX($B:$B, (ROW()-6)),'Relacion '!$E$5:$E$493,0),0))</f>
        <v>46185</v>
      </c>
      <c r="H1007" s="241" cm="1">
        <f t="array" ref="H1007">IF(
 MATCH(B1007,{"01. ASIGNACION AREA";"02. MAPEO";"03. DESARROLLO";"04. VALIDA US";"05. VOBO US";"06. BW-EJECUCION";"07. VALIDACIÓN BAJAWARE";"08. CERRADA"},0)
 &lt;
 MATCH(_xlfn.XLOOKUP(INDEX($B:$B, (ROW()-6)),'Relacion '!$E:$E,'Relacion '!$D:$D,""),{"01. ASIGNACION AREA";"02. MAPEO";"03. DESARROLLO";"04. VALIDA US";"05. VOBO US";"06. BW-EJECUCION";"07. VALIDACIÓN BAJAWARE";"08. CERRADA"},0),
 1,
 IF(
  MATCH(B1007,{"01. ASIGNACION AREA";"02. MAPEO";"03. DESARROLLO";"04. VALIDA US";"05. VOBO US";"06. BW-EJECUCION";"07. VALIDACIÓN BAJAWARE";"08. CERRADA"},0)
  =
  MATCH(_xlfn.XLOOKUP(INDEX($B:$B, (ROW()-6)),'Relacion '!$E:$E,'Relacion '!$D:$D,""),{"01. ASIGNACION AREA";"02. MAPEO";"03. DESARROLLO";"04. VALIDA US";"05. VOBO US";"06. BW-EJECUCION";"07. VALIDACIÓN BAJAWARE";"08. CERRADA"},0),
  _xlfn.XLOOKUP(INDEX($B:$B, (ROW()-6)),'Relacion '!$E:$E,'Relacion '!#REF!,0),
  0
 )
)</f>
        <v>0</v>
      </c>
      <c r="I1007" s="241">
        <f t="shared" ca="1" si="227"/>
        <v>0</v>
      </c>
      <c r="J1007" s="241"/>
      <c r="K1007" s="241"/>
      <c r="L1007" s="238"/>
    </row>
    <row r="1008" spans="2:12" outlineLevel="1">
      <c r="B1008" s="237" t="s">
        <v>655</v>
      </c>
      <c r="C1008" s="237" t="s">
        <v>655</v>
      </c>
      <c r="D1008" s="238" t="str">
        <f>_xlfn.XLOOKUP(B1008,'Relacion '!$E:$E,'Relacion '!$D:$D,"")</f>
        <v/>
      </c>
      <c r="E1008" s="239">
        <f t="shared" si="228"/>
        <v>11</v>
      </c>
      <c r="F1008" s="240" cm="1">
        <f t="array" ref="F1008">MIN(INDEX('Relacion '!$AJ$5:$AK$493,MATCH(INDEX($B:$B, (ROW()-7)),'Relacion '!$E$5:$E$493,0),0))</f>
        <v>46188</v>
      </c>
      <c r="G1008" s="240" cm="1">
        <f t="array" ref="G1008">MAX(INDEX('Relacion '!$AJ$5:$AK$493,MATCH(INDEX($B:$B, (ROW()-7)),'Relacion '!$E$5:$E$493,0),0))</f>
        <v>46199</v>
      </c>
      <c r="H1008" s="241" cm="1">
        <f t="array" ref="H1008">IF(
 MATCH(B1008,{"01. ASIGNACION AREA";"02. MAPEO";"03. DESARROLLO";"04. VALIDA US";"05. VOBO US";"06. BW-EJECUCION";"07. VALIDACIÓN BAJAWARE";"08. CERRADA"},0)
 &lt;
 MATCH(_xlfn.XLOOKUP(INDEX($B:$B, (ROW()-7)),'Relacion '!$E:$E,'Relacion '!$D:$D,""),{"01. ASIGNACION AREA";"02. MAPEO";"03. DESARROLLO";"04. VALIDA US";"05. VOBO US";"06. BW-EJECUCION";"07. VALIDACIÓN BAJAWARE";"08. CERRADA"},0),
 1,
 IF(
  MATCH(B1008,{"01. ASIGNACION AREA";"02. MAPEO";"03. DESARROLLO";"04. VALIDA US";"05. VOBO US";"06. BW-EJECUCION";"07. VALIDACIÓN BAJAWARE";"08. CERRADA"},0)
  =
  MATCH(_xlfn.XLOOKUP(INDEX($B:$B, (ROW()-7)),'Relacion '!$E:$E,'Relacion '!$D:$D,""),{"01. ASIGNACION AREA";"02. MAPEO";"03. DESARROLLO";"04. VALIDA US";"05. VOBO US";"06. BW-EJECUCION";"07. VALIDACIÓN BAJAWARE";"08. CERRADA"},0),
  _xlfn.XLOOKUP(INDEX($B:$B, (ROW()-7)),'Relacion '!$E:$E,'Relacion '!#REF!,0),
  0
 )
)</f>
        <v>0</v>
      </c>
      <c r="I1008" s="241">
        <f t="shared" ca="1" si="227"/>
        <v>0</v>
      </c>
      <c r="J1008" s="241"/>
      <c r="K1008" s="241"/>
      <c r="L1008" s="238"/>
    </row>
    <row r="1009" spans="2:12" outlineLevel="1">
      <c r="B1009" s="237" t="s">
        <v>656</v>
      </c>
      <c r="C1009" s="237" t="s">
        <v>656</v>
      </c>
      <c r="D1009" s="238" t="str">
        <f>_xlfn.XLOOKUP(B1009,'Relacion '!$E:$E,'Relacion '!$D:$D,"")</f>
        <v/>
      </c>
      <c r="E1009" s="239">
        <f t="shared" si="228"/>
        <v>3</v>
      </c>
      <c r="F1009" s="240" cm="1">
        <f t="array" ref="F1009">MIN(INDEX('Relacion '!$AL$5:$AM$493,MATCH(INDEX($B:$B, (ROW()-8)),'Relacion '!$E$5:$E$493,0),0))</f>
        <v>46199</v>
      </c>
      <c r="G1009" s="240" cm="1">
        <f t="array" ref="G1009">MAX(INDEX('Relacion '!$AL$5:$AM$493,MATCH(INDEX($B:$B, (ROW()-8)),'Relacion '!$E$5:$E$493,0),0))</f>
        <v>46202</v>
      </c>
      <c r="H1009" s="241" cm="1">
        <f t="array" ref="H1009">IF(
 MATCH(B1009,{"01. ASIGNACION AREA";"02. MAPEO";"03. DESARROLLO";"04. VALIDA US";"05. VOBO US";"06. BW-EJECUCION";"07. VALIDACIÓN BAJAWARE";"08. CERRADA"},0)
 &lt;
 MATCH(_xlfn.XLOOKUP(INDEX($B:$B, (ROW()-8)),'Relacion '!$E:$E,'Relacion '!$D:$D,""),{"01. ASIGNACION AREA";"02. MAPEO";"03. DESARROLLO";"04. VALIDA US";"05. VOBO US";"06. BW-EJECUCION";"07. VALIDACIÓN BAJAWARE";"08. CERRADA"},0),
 1,
 IF(
  MATCH(B1009,{"01. ASIGNACION AREA";"02. MAPEO";"03. DESARROLLO";"04. VALIDA US";"05. VOBO US";"06. BW-EJECUCION";"07. VALIDACIÓN BAJAWARE";"08. CERRADA"},0)
  =
  MATCH(_xlfn.XLOOKUP(INDEX($B:$B, (ROW()-8)),'Relacion '!$E:$E,'Relacion '!$D:$D,""),{"01. ASIGNACION AREA";"02. MAPEO";"03. DESARROLLO";"04. VALIDA US";"05. VOBO US";"06. BW-EJECUCION";"07. VALIDACIÓN BAJAWARE";"08. CERRADA"},0),
  _xlfn.XLOOKUP(INDEX($B:$B, (ROW()-8)),'Relacion '!$E:$E,'Relacion '!#REF!,0),
  0
 )
)</f>
        <v>0</v>
      </c>
      <c r="I1009" s="241">
        <f t="shared" ca="1" si="227"/>
        <v>0</v>
      </c>
      <c r="J1009" s="241"/>
      <c r="K1009" s="241"/>
      <c r="L1009" s="238"/>
    </row>
    <row r="1010" spans="2:12">
      <c r="B1010" s="232" t="s">
        <v>249</v>
      </c>
      <c r="C1010" s="181" t="s">
        <v>250</v>
      </c>
      <c r="D1010" s="236" t="str">
        <f>_xlfn.XLOOKUP(B1010,'Relacion '!$E:$E,'Relacion '!$D:$D,"")</f>
        <v>02. MAPEO</v>
      </c>
      <c r="E1010" s="233">
        <f t="shared" si="228"/>
        <v>543</v>
      </c>
      <c r="F1010" s="234" cm="1">
        <f t="array" ref="F1010">MIN(INDEX('Relacion '!$X$5:$AM$493,MATCH(INDEX($B:$B, (ROW()-0)),'Relacion '!$E$5:$E$493,0),0))</f>
        <v>45659</v>
      </c>
      <c r="G1010" s="234" cm="1">
        <f t="array" ref="G1010">MAX(INDEX('Relacion '!$X$5:$AM$493,MATCH(INDEX($B:$B, (ROW()-0)),'Relacion '!$E$5:$E$493,0),0))</f>
        <v>46202</v>
      </c>
      <c r="H1010" s="235" t="e">
        <f>AVERAGE(H1011:H1018)</f>
        <v>#REF!</v>
      </c>
      <c r="I1010" s="235">
        <f t="shared" ref="I1010" ca="1" si="239">AVERAGE(I1011:I1018)</f>
        <v>0.375</v>
      </c>
      <c r="J1010" s="236" t="str">
        <f>IF(ISNUMBER(SEARCH("Rocha", _xlfn.XLOOKUP(B1010,'Relacion '!$E:$E,'Relacion '!$I:$I,""))), "Sí", "No")</f>
        <v>Sí</v>
      </c>
      <c r="K1010" s="236" t="str">
        <f>IF(ISNUMBER(SEARCH("Rocha", _xlfn.XLOOKUP(B1010,'Relacion '!$E:$E,'Relacion '!$I:$I,""))), "RMC", _xlfn.XLOOKUP(B1010,'Relacion '!$E:$E,'Relacion '!$B:$B,""))</f>
        <v>RMC</v>
      </c>
      <c r="L1010" s="236" t="str">
        <f>_xlfn.XLOOKUP(B1010,'Relacion '!$E:$E,'Relacion '!$C:$C,"")</f>
        <v>Belem Alvarado</v>
      </c>
    </row>
    <row r="1011" spans="2:12" outlineLevel="1">
      <c r="B1011" s="237" t="s">
        <v>654</v>
      </c>
      <c r="C1011" s="237" t="s">
        <v>654</v>
      </c>
      <c r="D1011" s="238" t="str">
        <f>_xlfn.XLOOKUP(B1011,'Relacion '!$E:$E,'Relacion '!$D:$D,"")</f>
        <v/>
      </c>
      <c r="E1011" s="239">
        <f t="shared" si="228"/>
        <v>424</v>
      </c>
      <c r="F1011" s="240" cm="1">
        <f t="array" ref="F1011">MIN(INDEX('Relacion '!$X$5:$Y$493,MATCH(INDEX($B:$B, (ROW()-1)),'Relacion '!$E$5:$E$493,0),0))</f>
        <v>45659</v>
      </c>
      <c r="G1011" s="240" cm="1">
        <f t="array" ref="G1011">MAX(INDEX('Relacion '!$X$5:$Y$493,MATCH(INDEX($B:$B, (ROW()-1)),'Relacion '!$E$5:$E$493,0),0))</f>
        <v>46083</v>
      </c>
      <c r="H1011" s="241" cm="1">
        <f t="array" ref="H1011">IF(
 MATCH(B1011,{"01. ASIGNACION AREA";"02. MAPEO";"03. DESARROLLO";"04. VALIDA US";"05. VOBO US";"06. BW-EJECUCION";"07. VALIDACIÓN BAJAWARE";"08. CERRADA"},0)
 &lt;
 MATCH(_xlfn.XLOOKUP(INDEX($B:$B, (ROW()-1)),'Relacion '!$E:$E,'Relacion '!$D:$D,""),{"01. ASIGNACION AREA";"02. MAPEO";"03. DESARROLLO";"04. VALIDA US";"05. VOBO US";"06. BW-EJECUCION";"07. VALIDACIÓN BAJAWARE";"08. CERRADA"},0),
 1,
 IF(
  MATCH(B1011,{"01. ASIGNACION AREA";"02. MAPEO";"03. DESARROLLO";"04. VALIDA US";"05. VOBO US";"06. BW-EJECUCION";"07. VALIDACIÓN BAJAWARE";"08. CERRADA"},0)
  =
  MATCH(_xlfn.XLOOKUP(INDEX($B:$B, (ROW()-1)),'Relacion '!$E:$E,'Relacion '!$D:$D,""),{"01. ASIGNACION AREA";"02. MAPEO";"03. DESARROLLO";"04. VALIDA US";"05. VOBO US";"06. BW-EJECUCION";"07. VALIDACIÓN BAJAWARE";"08. CERRADA"},0),
  _xlfn.XLOOKUP(INDEX($B:$B, (ROW()-1)),'Relacion '!$E:$E,'Relacion '!#REF!,0),
  0
 )
)</f>
        <v>1</v>
      </c>
      <c r="I1011" s="241">
        <f t="shared" ref="I1011" ca="1" si="240">IF(G1011&lt;=TODAY(), 1, 0)</f>
        <v>1</v>
      </c>
      <c r="J1011" s="241"/>
      <c r="K1011" s="241"/>
      <c r="L1011" s="238"/>
    </row>
    <row r="1012" spans="2:12" outlineLevel="1">
      <c r="B1012" s="237" t="s">
        <v>195</v>
      </c>
      <c r="C1012" s="237" t="s">
        <v>195</v>
      </c>
      <c r="D1012" s="238" t="str">
        <f>_xlfn.XLOOKUP(B1012,'Relacion '!$E:$E,'Relacion '!$D:$D,"")</f>
        <v/>
      </c>
      <c r="E1012" s="239">
        <f t="shared" si="228"/>
        <v>49</v>
      </c>
      <c r="F1012" s="240" cm="1">
        <f t="array" ref="F1012">MIN(INDEX('Relacion '!$Z$5:$AA$493,MATCH(INDEX($B:$B, (ROW()-2)),'Relacion '!$E$5:$E$493,0),0))</f>
        <v>46093</v>
      </c>
      <c r="G1012" s="240" cm="1">
        <f t="array" ref="G1012">MAX(INDEX('Relacion '!$Z$5:$AA$493,MATCH(INDEX($B:$B, (ROW()-2)),'Relacion '!$E$5:$E$493,0),0))</f>
        <v>46142</v>
      </c>
      <c r="H1012" s="241" t="e" cm="1">
        <f t="array" ref="H1012">IF(
 MATCH(B1012,{"01. ASIGNACION AREA";"02. MAPEO";"03. DESARROLLO";"04. VALIDA US";"05. VOBO US";"06. BW-EJECUCION";"07. VALIDACIÓN BAJAWARE";"08. CERRADA"},0)
 &lt;
 MATCH(_xlfn.XLOOKUP(INDEX($B:$B, (ROW()-2)),'Relacion '!$E:$E,'Relacion '!$D:$D,""),{"01. ASIGNACION AREA";"02. MAPEO";"03. DESARROLLO";"04. VALIDA US";"05. VOBO US";"06. BW-EJECUCION";"07. VALIDACIÓN BAJAWARE";"08. CERRADA"},0),
 1,
 IF(
  MATCH(B1012,{"01. ASIGNACION AREA";"02. MAPEO";"03. DESARROLLO";"04. VALIDA US";"05. VOBO US";"06. BW-EJECUCION";"07. VALIDACIÓN BAJAWARE";"08. CERRADA"},0)
  =
  MATCH(_xlfn.XLOOKUP(INDEX($B:$B, (ROW()-2)),'Relacion '!$E:$E,'Relacion '!$D:$D,""),{"01. ASIGNACION AREA";"02. MAPEO";"03. DESARROLLO";"04. VALIDA US";"05. VOBO US";"06. BW-EJECUCION";"07. VALIDACIÓN BAJAWARE";"08. CERRADA"},0),
  _xlfn.XLOOKUP(INDEX($B:$B, (ROW()-2)),'Relacion '!$E:$E,'Relacion '!#REF!,0),
  0
 )
)</f>
        <v>#REF!</v>
      </c>
      <c r="I1012" s="241">
        <f t="shared" ca="1" si="227"/>
        <v>1</v>
      </c>
      <c r="J1012" s="241"/>
      <c r="K1012" s="241"/>
      <c r="L1012" s="238"/>
    </row>
    <row r="1013" spans="2:12" outlineLevel="1">
      <c r="B1013" s="237" t="s">
        <v>49</v>
      </c>
      <c r="C1013" s="237" t="s">
        <v>49</v>
      </c>
      <c r="D1013" s="238" t="str">
        <f>_xlfn.XLOOKUP(B1013,'Relacion '!$E:$E,'Relacion '!$D:$D,"")</f>
        <v/>
      </c>
      <c r="E1013" s="239">
        <f t="shared" si="228"/>
        <v>18</v>
      </c>
      <c r="F1013" s="240" cm="1">
        <f t="array" ref="F1013">MIN(INDEX('Relacion '!$AB$5:$AC$493,MATCH(INDEX($B:$B, (ROW()-3)),'Relacion '!$E$5:$E$493,0),0))</f>
        <v>46146</v>
      </c>
      <c r="G1013" s="240" cm="1">
        <f t="array" ref="G1013">MAX(INDEX('Relacion '!$AB$5:$AC$493,MATCH(INDEX($B:$B, (ROW()-3)),'Relacion '!$E$5:$E$493,0),0))</f>
        <v>46164</v>
      </c>
      <c r="H1013" s="241" cm="1">
        <f t="array" ref="H1013">IF(
 MATCH(B1013,{"01. ASIGNACION AREA";"02. MAPEO";"03. DESARROLLO";"04. VALIDA US";"05. VOBO US";"06. BW-EJECUCION";"07. VALIDACIÓN BAJAWARE";"08. CERRADA"},0)
 &lt;
 MATCH(_xlfn.XLOOKUP(INDEX($B:$B, (ROW()-3)),'Relacion '!$E:$E,'Relacion '!$D:$D,""),{"01. ASIGNACION AREA";"02. MAPEO";"03. DESARROLLO";"04. VALIDA US";"05. VOBO US";"06. BW-EJECUCION";"07. VALIDACIÓN BAJAWARE";"08. CERRADA"},0),
 1,
 IF(
  MATCH(B1013,{"01. ASIGNACION AREA";"02. MAPEO";"03. DESARROLLO";"04. VALIDA US";"05. VOBO US";"06. BW-EJECUCION";"07. VALIDACIÓN BAJAWARE";"08. CERRADA"},0)
  =
  MATCH(_xlfn.XLOOKUP(INDEX($B:$B, (ROW()-3)),'Relacion '!$E:$E,'Relacion '!$D:$D,""),{"01. ASIGNACION AREA";"02. MAPEO";"03. DESARROLLO";"04. VALIDA US";"05. VOBO US";"06. BW-EJECUCION";"07. VALIDACIÓN BAJAWARE";"08. CERRADA"},0),
  _xlfn.XLOOKUP(INDEX($B:$B, (ROW()-3)),'Relacion '!$E:$E,'Relacion '!#REF!,0),
  0
 )
)</f>
        <v>0</v>
      </c>
      <c r="I1013" s="241">
        <f t="shared" ca="1" si="227"/>
        <v>1</v>
      </c>
      <c r="J1013" s="241"/>
      <c r="K1013" s="241"/>
      <c r="L1013" s="238"/>
    </row>
    <row r="1014" spans="2:12" outlineLevel="1">
      <c r="B1014" s="237" t="s">
        <v>324</v>
      </c>
      <c r="C1014" s="237" t="s">
        <v>324</v>
      </c>
      <c r="D1014" s="238" t="str">
        <f>_xlfn.XLOOKUP(B1014,'Relacion '!$E:$E,'Relacion '!$D:$D,"")</f>
        <v/>
      </c>
      <c r="E1014" s="239">
        <f t="shared" si="228"/>
        <v>11</v>
      </c>
      <c r="F1014" s="240" cm="1">
        <f t="array" ref="F1014">MIN(INDEX('Relacion '!$AD$5:$AE$493,MATCH(INDEX($B:$B, (ROW()-4)),'Relacion '!$E$5:$E$493,0),0))</f>
        <v>46167</v>
      </c>
      <c r="G1014" s="240" cm="1">
        <f t="array" ref="G1014">MAX(INDEX('Relacion '!$AD$5:$AE$493,MATCH(INDEX($B:$B, (ROW()-4)),'Relacion '!$E$5:$E$493,0),0))</f>
        <v>46178</v>
      </c>
      <c r="H1014" s="241" cm="1">
        <f t="array" ref="H1014">IF(
 MATCH(B1014,{"01. ASIGNACION AREA";"02. MAPEO";"03. DESARROLLO";"04. VALIDA US";"05. VOBO US";"06. BW-EJECUCION";"07. VALIDACIÓN BAJAWARE";"08. CERRADA"},0)
 &lt;
 MATCH(_xlfn.XLOOKUP(INDEX($B:$B, (ROW()-4)),'Relacion '!$E:$E,'Relacion '!$D:$D,""),{"01. ASIGNACION AREA";"02. MAPEO";"03. DESARROLLO";"04. VALIDA US";"05. VOBO US";"06. BW-EJECUCION";"07. VALIDACIÓN BAJAWARE";"08. CERRADA"},0),
 1,
 IF(
  MATCH(B1014,{"01. ASIGNACION AREA";"02. MAPEO";"03. DESARROLLO";"04. VALIDA US";"05. VOBO US";"06. BW-EJECUCION";"07. VALIDACIÓN BAJAWARE";"08. CERRADA"},0)
  =
  MATCH(_xlfn.XLOOKUP(INDEX($B:$B, (ROW()-4)),'Relacion '!$E:$E,'Relacion '!$D:$D,""),{"01. ASIGNACION AREA";"02. MAPEO";"03. DESARROLLO";"04. VALIDA US";"05. VOBO US";"06. BW-EJECUCION";"07. VALIDACIÓN BAJAWARE";"08. CERRADA"},0),
  _xlfn.XLOOKUP(INDEX($B:$B, (ROW()-4)),'Relacion '!$E:$E,'Relacion '!#REF!,0),
  0
 )
)</f>
        <v>0</v>
      </c>
      <c r="I1014" s="241">
        <f t="shared" ca="1" si="227"/>
        <v>0</v>
      </c>
      <c r="J1014" s="241"/>
      <c r="K1014" s="241"/>
      <c r="L1014" s="238"/>
    </row>
    <row r="1015" spans="2:12" outlineLevel="1">
      <c r="B1015" s="237" t="s">
        <v>320</v>
      </c>
      <c r="C1015" s="237" t="s">
        <v>320</v>
      </c>
      <c r="D1015" s="238" t="str">
        <f>_xlfn.XLOOKUP(B1015,'Relacion '!$E:$E,'Relacion '!$D:$D,"")</f>
        <v/>
      </c>
      <c r="E1015" s="239">
        <f t="shared" si="228"/>
        <v>3</v>
      </c>
      <c r="F1015" s="240" cm="1">
        <f t="array" ref="F1015">MIN(INDEX('Relacion '!$AF$5:$AG$493,MATCH(INDEX($B:$B, (ROW()-5)),'Relacion '!$E$5:$E$493,0),0))</f>
        <v>46178</v>
      </c>
      <c r="G1015" s="240" cm="1">
        <f t="array" ref="G1015">MAX(INDEX('Relacion '!$AF$5:$AG$493,MATCH(INDEX($B:$B, (ROW()-5)),'Relacion '!$E$5:$E$493,0),0))</f>
        <v>46181</v>
      </c>
      <c r="H1015" s="241" cm="1">
        <f t="array" ref="H1015">IF(
 MATCH(B1015,{"01. ASIGNACION AREA";"02. MAPEO";"03. DESARROLLO";"04. VALIDA US";"05. VOBO US";"06. BW-EJECUCION";"07. VALIDACIÓN BAJAWARE";"08. CERRADA"},0)
 &lt;
 MATCH(_xlfn.XLOOKUP(INDEX($B:$B, (ROW()-5)),'Relacion '!$E:$E,'Relacion '!$D:$D,""),{"01. ASIGNACION AREA";"02. MAPEO";"03. DESARROLLO";"04. VALIDA US";"05. VOBO US";"06. BW-EJECUCION";"07. VALIDACIÓN BAJAWARE";"08. CERRADA"},0),
 1,
 IF(
  MATCH(B1015,{"01. ASIGNACION AREA";"02. MAPEO";"03. DESARROLLO";"04. VALIDA US";"05. VOBO US";"06. BW-EJECUCION";"07. VALIDACIÓN BAJAWARE";"08. CERRADA"},0)
  =
  MATCH(_xlfn.XLOOKUP(INDEX($B:$B, (ROW()-5)),'Relacion '!$E:$E,'Relacion '!$D:$D,""),{"01. ASIGNACION AREA";"02. MAPEO";"03. DESARROLLO";"04. VALIDA US";"05. VOBO US";"06. BW-EJECUCION";"07. VALIDACIÓN BAJAWARE";"08. CERRADA"},0),
  _xlfn.XLOOKUP(INDEX($B:$B, (ROW()-5)),'Relacion '!$E:$E,'Relacion '!#REF!,0),
  0
 )
)</f>
        <v>0</v>
      </c>
      <c r="I1015" s="241">
        <f t="shared" ca="1" si="227"/>
        <v>0</v>
      </c>
      <c r="J1015" s="241"/>
      <c r="K1015" s="241"/>
      <c r="L1015" s="238"/>
    </row>
    <row r="1016" spans="2:12" outlineLevel="1">
      <c r="B1016" s="237" t="s">
        <v>710</v>
      </c>
      <c r="C1016" s="237" t="s">
        <v>710</v>
      </c>
      <c r="D1016" s="238" t="str">
        <f>_xlfn.XLOOKUP(B1016,'Relacion '!$E:$E,'Relacion '!$D:$D,"")</f>
        <v/>
      </c>
      <c r="E1016" s="239">
        <f t="shared" si="228"/>
        <v>3</v>
      </c>
      <c r="F1016" s="240" cm="1">
        <f t="array" ref="F1016">MIN(INDEX('Relacion '!$AH$5:$AI$493,MATCH(INDEX($B:$B, (ROW()-6)),'Relacion '!$E$5:$E$493,0),0))</f>
        <v>46182</v>
      </c>
      <c r="G1016" s="240" cm="1">
        <f t="array" ref="G1016">MAX(INDEX('Relacion '!$AH$5:$AI$493,MATCH(INDEX($B:$B, (ROW()-6)),'Relacion '!$E$5:$E$493,0),0))</f>
        <v>46185</v>
      </c>
      <c r="H1016" s="241" cm="1">
        <f t="array" ref="H1016">IF(
 MATCH(B1016,{"01. ASIGNACION AREA";"02. MAPEO";"03. DESARROLLO";"04. VALIDA US";"05. VOBO US";"06. BW-EJECUCION";"07. VALIDACIÓN BAJAWARE";"08. CERRADA"},0)
 &lt;
 MATCH(_xlfn.XLOOKUP(INDEX($B:$B, (ROW()-6)),'Relacion '!$E:$E,'Relacion '!$D:$D,""),{"01. ASIGNACION AREA";"02. MAPEO";"03. DESARROLLO";"04. VALIDA US";"05. VOBO US";"06. BW-EJECUCION";"07. VALIDACIÓN BAJAWARE";"08. CERRADA"},0),
 1,
 IF(
  MATCH(B1016,{"01. ASIGNACION AREA";"02. MAPEO";"03. DESARROLLO";"04. VALIDA US";"05. VOBO US";"06. BW-EJECUCION";"07. VALIDACIÓN BAJAWARE";"08. CERRADA"},0)
  =
  MATCH(_xlfn.XLOOKUP(INDEX($B:$B, (ROW()-6)),'Relacion '!$E:$E,'Relacion '!$D:$D,""),{"01. ASIGNACION AREA";"02. MAPEO";"03. DESARROLLO";"04. VALIDA US";"05. VOBO US";"06. BW-EJECUCION";"07. VALIDACIÓN BAJAWARE";"08. CERRADA"},0),
  _xlfn.XLOOKUP(INDEX($B:$B, (ROW()-6)),'Relacion '!$E:$E,'Relacion '!#REF!,0),
  0
 )
)</f>
        <v>0</v>
      </c>
      <c r="I1016" s="241">
        <f t="shared" ca="1" si="227"/>
        <v>0</v>
      </c>
      <c r="J1016" s="241"/>
      <c r="K1016" s="241"/>
      <c r="L1016" s="238"/>
    </row>
    <row r="1017" spans="2:12" outlineLevel="1">
      <c r="B1017" s="237" t="s">
        <v>655</v>
      </c>
      <c r="C1017" s="237" t="s">
        <v>655</v>
      </c>
      <c r="D1017" s="238" t="str">
        <f>_xlfn.XLOOKUP(B1017,'Relacion '!$E:$E,'Relacion '!$D:$D,"")</f>
        <v/>
      </c>
      <c r="E1017" s="239">
        <f t="shared" si="228"/>
        <v>11</v>
      </c>
      <c r="F1017" s="240" cm="1">
        <f t="array" ref="F1017">MIN(INDEX('Relacion '!$AJ$5:$AK$493,MATCH(INDEX($B:$B, (ROW()-7)),'Relacion '!$E$5:$E$493,0),0))</f>
        <v>46188</v>
      </c>
      <c r="G1017" s="240" cm="1">
        <f t="array" ref="G1017">MAX(INDEX('Relacion '!$AJ$5:$AK$493,MATCH(INDEX($B:$B, (ROW()-7)),'Relacion '!$E$5:$E$493,0),0))</f>
        <v>46199</v>
      </c>
      <c r="H1017" s="241" cm="1">
        <f t="array" ref="H1017">IF(
 MATCH(B1017,{"01. ASIGNACION AREA";"02. MAPEO";"03. DESARROLLO";"04. VALIDA US";"05. VOBO US";"06. BW-EJECUCION";"07. VALIDACIÓN BAJAWARE";"08. CERRADA"},0)
 &lt;
 MATCH(_xlfn.XLOOKUP(INDEX($B:$B, (ROW()-7)),'Relacion '!$E:$E,'Relacion '!$D:$D,""),{"01. ASIGNACION AREA";"02. MAPEO";"03. DESARROLLO";"04. VALIDA US";"05. VOBO US";"06. BW-EJECUCION";"07. VALIDACIÓN BAJAWARE";"08. CERRADA"},0),
 1,
 IF(
  MATCH(B1017,{"01. ASIGNACION AREA";"02. MAPEO";"03. DESARROLLO";"04. VALIDA US";"05. VOBO US";"06. BW-EJECUCION";"07. VALIDACIÓN BAJAWARE";"08. CERRADA"},0)
  =
  MATCH(_xlfn.XLOOKUP(INDEX($B:$B, (ROW()-7)),'Relacion '!$E:$E,'Relacion '!$D:$D,""),{"01. ASIGNACION AREA";"02. MAPEO";"03. DESARROLLO";"04. VALIDA US";"05. VOBO US";"06. BW-EJECUCION";"07. VALIDACIÓN BAJAWARE";"08. CERRADA"},0),
  _xlfn.XLOOKUP(INDEX($B:$B, (ROW()-7)),'Relacion '!$E:$E,'Relacion '!#REF!,0),
  0
 )
)</f>
        <v>0</v>
      </c>
      <c r="I1017" s="241">
        <f t="shared" ca="1" si="227"/>
        <v>0</v>
      </c>
      <c r="J1017" s="241"/>
      <c r="K1017" s="241"/>
      <c r="L1017" s="238"/>
    </row>
    <row r="1018" spans="2:12" outlineLevel="1">
      <c r="B1018" s="237" t="s">
        <v>656</v>
      </c>
      <c r="C1018" s="237" t="s">
        <v>656</v>
      </c>
      <c r="D1018" s="238" t="str">
        <f>_xlfn.XLOOKUP(B1018,'Relacion '!$E:$E,'Relacion '!$D:$D,"")</f>
        <v/>
      </c>
      <c r="E1018" s="239">
        <f t="shared" si="228"/>
        <v>3</v>
      </c>
      <c r="F1018" s="240" cm="1">
        <f t="array" ref="F1018">MIN(INDEX('Relacion '!$AL$5:$AM$493,MATCH(INDEX($B:$B, (ROW()-8)),'Relacion '!$E$5:$E$493,0),0))</f>
        <v>46199</v>
      </c>
      <c r="G1018" s="240" cm="1">
        <f t="array" ref="G1018">MAX(INDEX('Relacion '!$AL$5:$AM$493,MATCH(INDEX($B:$B, (ROW()-8)),'Relacion '!$E$5:$E$493,0),0))</f>
        <v>46202</v>
      </c>
      <c r="H1018" s="241" cm="1">
        <f t="array" ref="H1018">IF(
 MATCH(B1018,{"01. ASIGNACION AREA";"02. MAPEO";"03. DESARROLLO";"04. VALIDA US";"05. VOBO US";"06. BW-EJECUCION";"07. VALIDACIÓN BAJAWARE";"08. CERRADA"},0)
 &lt;
 MATCH(_xlfn.XLOOKUP(INDEX($B:$B, (ROW()-8)),'Relacion '!$E:$E,'Relacion '!$D:$D,""),{"01. ASIGNACION AREA";"02. MAPEO";"03. DESARROLLO";"04. VALIDA US";"05. VOBO US";"06. BW-EJECUCION";"07. VALIDACIÓN BAJAWARE";"08. CERRADA"},0),
 1,
 IF(
  MATCH(B1018,{"01. ASIGNACION AREA";"02. MAPEO";"03. DESARROLLO";"04. VALIDA US";"05. VOBO US";"06. BW-EJECUCION";"07. VALIDACIÓN BAJAWARE";"08. CERRADA"},0)
  =
  MATCH(_xlfn.XLOOKUP(INDEX($B:$B, (ROW()-8)),'Relacion '!$E:$E,'Relacion '!$D:$D,""),{"01. ASIGNACION AREA";"02. MAPEO";"03. DESARROLLO";"04. VALIDA US";"05. VOBO US";"06. BW-EJECUCION";"07. VALIDACIÓN BAJAWARE";"08. CERRADA"},0),
  _xlfn.XLOOKUP(INDEX($B:$B, (ROW()-8)),'Relacion '!$E:$E,'Relacion '!#REF!,0),
  0
 )
)</f>
        <v>0</v>
      </c>
      <c r="I1018" s="241">
        <f t="shared" ca="1" si="227"/>
        <v>0</v>
      </c>
      <c r="J1018" s="241"/>
      <c r="K1018" s="241"/>
      <c r="L1018" s="238"/>
    </row>
    <row r="1019" spans="2:12">
      <c r="B1019" s="232" t="s">
        <v>247</v>
      </c>
      <c r="C1019" s="167" t="s">
        <v>248</v>
      </c>
      <c r="D1019" s="236" t="str">
        <f>_xlfn.XLOOKUP(B1019,'Relacion '!$E:$E,'Relacion '!$D:$D,"")</f>
        <v>02. MAPEO</v>
      </c>
      <c r="E1019" s="233">
        <f t="shared" si="228"/>
        <v>543</v>
      </c>
      <c r="F1019" s="234" cm="1">
        <f t="array" ref="F1019">MIN(INDEX('Relacion '!$X$5:$AM$493,MATCH(INDEX($B:$B, (ROW()-0)),'Relacion '!$E$5:$E$493,0),0))</f>
        <v>45659</v>
      </c>
      <c r="G1019" s="234" cm="1">
        <f t="array" ref="G1019">MAX(INDEX('Relacion '!$X$5:$AM$493,MATCH(INDEX($B:$B, (ROW()-0)),'Relacion '!$E$5:$E$493,0),0))</f>
        <v>46202</v>
      </c>
      <c r="H1019" s="235" t="e">
        <f>AVERAGE(H1020:H1027)</f>
        <v>#REF!</v>
      </c>
      <c r="I1019" s="235">
        <f t="shared" ref="I1019" ca="1" si="241">AVERAGE(I1020:I1027)</f>
        <v>0.375</v>
      </c>
      <c r="J1019" s="236" t="str">
        <f>IF(ISNUMBER(SEARCH("Rocha", _xlfn.XLOOKUP(B1019,'Relacion '!$E:$E,'Relacion '!$I:$I,""))), "Sí", "No")</f>
        <v>Sí</v>
      </c>
      <c r="K1019" s="236" t="str">
        <f>IF(ISNUMBER(SEARCH("Rocha", _xlfn.XLOOKUP(B1019,'Relacion '!$E:$E,'Relacion '!$I:$I,""))), "RMC", _xlfn.XLOOKUP(B1019,'Relacion '!$E:$E,'Relacion '!$B:$B,""))</f>
        <v>RMC</v>
      </c>
      <c r="L1019" s="236" t="str">
        <f>_xlfn.XLOOKUP(B1019,'Relacion '!$E:$E,'Relacion '!$C:$C,"")</f>
        <v>Belem Alvarado</v>
      </c>
    </row>
    <row r="1020" spans="2:12" outlineLevel="1">
      <c r="B1020" s="237" t="s">
        <v>654</v>
      </c>
      <c r="C1020" s="237" t="s">
        <v>654</v>
      </c>
      <c r="D1020" s="238" t="str">
        <f>_xlfn.XLOOKUP(B1020,'Relacion '!$E:$E,'Relacion '!$D:$D,"")</f>
        <v/>
      </c>
      <c r="E1020" s="239">
        <f t="shared" si="228"/>
        <v>424</v>
      </c>
      <c r="F1020" s="240" cm="1">
        <f t="array" ref="F1020">MIN(INDEX('Relacion '!$X$5:$Y$493,MATCH(INDEX($B:$B, (ROW()-1)),'Relacion '!$E$5:$E$493,0),0))</f>
        <v>45659</v>
      </c>
      <c r="G1020" s="240" cm="1">
        <f t="array" ref="G1020">MAX(INDEX('Relacion '!$X$5:$Y$493,MATCH(INDEX($B:$B, (ROW()-1)),'Relacion '!$E$5:$E$493,0),0))</f>
        <v>46083</v>
      </c>
      <c r="H1020" s="241" cm="1">
        <f t="array" ref="H1020">IF(
 MATCH(B1020,{"01. ASIGNACION AREA";"02. MAPEO";"03. DESARROLLO";"04. VALIDA US";"05. VOBO US";"06. BW-EJECUCION";"07. VALIDACIÓN BAJAWARE";"08. CERRADA"},0)
 &lt;
 MATCH(_xlfn.XLOOKUP(INDEX($B:$B, (ROW()-1)),'Relacion '!$E:$E,'Relacion '!$D:$D,""),{"01. ASIGNACION AREA";"02. MAPEO";"03. DESARROLLO";"04. VALIDA US";"05. VOBO US";"06. BW-EJECUCION";"07. VALIDACIÓN BAJAWARE";"08. CERRADA"},0),
 1,
 IF(
  MATCH(B1020,{"01. ASIGNACION AREA";"02. MAPEO";"03. DESARROLLO";"04. VALIDA US";"05. VOBO US";"06. BW-EJECUCION";"07. VALIDACIÓN BAJAWARE";"08. CERRADA"},0)
  =
  MATCH(_xlfn.XLOOKUP(INDEX($B:$B, (ROW()-1)),'Relacion '!$E:$E,'Relacion '!$D:$D,""),{"01. ASIGNACION AREA";"02. MAPEO";"03. DESARROLLO";"04. VALIDA US";"05. VOBO US";"06. BW-EJECUCION";"07. VALIDACIÓN BAJAWARE";"08. CERRADA"},0),
  _xlfn.XLOOKUP(INDEX($B:$B, (ROW()-1)),'Relacion '!$E:$E,'Relacion '!#REF!,0),
  0
 )
)</f>
        <v>1</v>
      </c>
      <c r="I1020" s="241">
        <f t="shared" ref="I1020:I1081" ca="1" si="242">IF(G1020&lt;=TODAY(), 1, 0)</f>
        <v>1</v>
      </c>
      <c r="J1020" s="241"/>
      <c r="K1020" s="241"/>
      <c r="L1020" s="238"/>
    </row>
    <row r="1021" spans="2:12" outlineLevel="1">
      <c r="B1021" s="237" t="s">
        <v>195</v>
      </c>
      <c r="C1021" s="237" t="s">
        <v>195</v>
      </c>
      <c r="D1021" s="238" t="str">
        <f>_xlfn.XLOOKUP(B1021,'Relacion '!$E:$E,'Relacion '!$D:$D,"")</f>
        <v/>
      </c>
      <c r="E1021" s="239">
        <f t="shared" si="228"/>
        <v>49</v>
      </c>
      <c r="F1021" s="240" cm="1">
        <f t="array" ref="F1021">MIN(INDEX('Relacion '!$Z$5:$AA$493,MATCH(INDEX($B:$B, (ROW()-2)),'Relacion '!$E$5:$E$493,0),0))</f>
        <v>46093</v>
      </c>
      <c r="G1021" s="240" cm="1">
        <f t="array" ref="G1021">MAX(INDEX('Relacion '!$Z$5:$AA$493,MATCH(INDEX($B:$B, (ROW()-2)),'Relacion '!$E$5:$E$493,0),0))</f>
        <v>46142</v>
      </c>
      <c r="H1021" s="241" t="e" cm="1">
        <f t="array" ref="H1021">IF(
 MATCH(B1021,{"01. ASIGNACION AREA";"02. MAPEO";"03. DESARROLLO";"04. VALIDA US";"05. VOBO US";"06. BW-EJECUCION";"07. VALIDACIÓN BAJAWARE";"08. CERRADA"},0)
 &lt;
 MATCH(_xlfn.XLOOKUP(INDEX($B:$B, (ROW()-2)),'Relacion '!$E:$E,'Relacion '!$D:$D,""),{"01. ASIGNACION AREA";"02. MAPEO";"03. DESARROLLO";"04. VALIDA US";"05. VOBO US";"06. BW-EJECUCION";"07. VALIDACIÓN BAJAWARE";"08. CERRADA"},0),
 1,
 IF(
  MATCH(B1021,{"01. ASIGNACION AREA";"02. MAPEO";"03. DESARROLLO";"04. VALIDA US";"05. VOBO US";"06. BW-EJECUCION";"07. VALIDACIÓN BAJAWARE";"08. CERRADA"},0)
  =
  MATCH(_xlfn.XLOOKUP(INDEX($B:$B, (ROW()-2)),'Relacion '!$E:$E,'Relacion '!$D:$D,""),{"01. ASIGNACION AREA";"02. MAPEO";"03. DESARROLLO";"04. VALIDA US";"05. VOBO US";"06. BW-EJECUCION";"07. VALIDACIÓN BAJAWARE";"08. CERRADA"},0),
  _xlfn.XLOOKUP(INDEX($B:$B, (ROW()-2)),'Relacion '!$E:$E,'Relacion '!#REF!,0),
  0
 )
)</f>
        <v>#REF!</v>
      </c>
      <c r="I1021" s="241">
        <f t="shared" ca="1" si="242"/>
        <v>1</v>
      </c>
      <c r="J1021" s="241"/>
      <c r="K1021" s="241"/>
      <c r="L1021" s="238"/>
    </row>
    <row r="1022" spans="2:12" outlineLevel="1">
      <c r="B1022" s="237" t="s">
        <v>49</v>
      </c>
      <c r="C1022" s="237" t="s">
        <v>49</v>
      </c>
      <c r="D1022" s="238" t="str">
        <f>_xlfn.XLOOKUP(B1022,'Relacion '!$E:$E,'Relacion '!$D:$D,"")</f>
        <v/>
      </c>
      <c r="E1022" s="239">
        <f t="shared" si="228"/>
        <v>18</v>
      </c>
      <c r="F1022" s="240" cm="1">
        <f t="array" ref="F1022">MIN(INDEX('Relacion '!$AB$5:$AC$493,MATCH(INDEX($B:$B, (ROW()-3)),'Relacion '!$E$5:$E$493,0),0))</f>
        <v>46146</v>
      </c>
      <c r="G1022" s="240" cm="1">
        <f t="array" ref="G1022">MAX(INDEX('Relacion '!$AB$5:$AC$493,MATCH(INDEX($B:$B, (ROW()-3)),'Relacion '!$E$5:$E$493,0),0))</f>
        <v>46164</v>
      </c>
      <c r="H1022" s="241" cm="1">
        <f t="array" ref="H1022">IF(
 MATCH(B1022,{"01. ASIGNACION AREA";"02. MAPEO";"03. DESARROLLO";"04. VALIDA US";"05. VOBO US";"06. BW-EJECUCION";"07. VALIDACIÓN BAJAWARE";"08. CERRADA"},0)
 &lt;
 MATCH(_xlfn.XLOOKUP(INDEX($B:$B, (ROW()-3)),'Relacion '!$E:$E,'Relacion '!$D:$D,""),{"01. ASIGNACION AREA";"02. MAPEO";"03. DESARROLLO";"04. VALIDA US";"05. VOBO US";"06. BW-EJECUCION";"07. VALIDACIÓN BAJAWARE";"08. CERRADA"},0),
 1,
 IF(
  MATCH(B1022,{"01. ASIGNACION AREA";"02. MAPEO";"03. DESARROLLO";"04. VALIDA US";"05. VOBO US";"06. BW-EJECUCION";"07. VALIDACIÓN BAJAWARE";"08. CERRADA"},0)
  =
  MATCH(_xlfn.XLOOKUP(INDEX($B:$B, (ROW()-3)),'Relacion '!$E:$E,'Relacion '!$D:$D,""),{"01. ASIGNACION AREA";"02. MAPEO";"03. DESARROLLO";"04. VALIDA US";"05. VOBO US";"06. BW-EJECUCION";"07. VALIDACIÓN BAJAWARE";"08. CERRADA"},0),
  _xlfn.XLOOKUP(INDEX($B:$B, (ROW()-3)),'Relacion '!$E:$E,'Relacion '!#REF!,0),
  0
 )
)</f>
        <v>0</v>
      </c>
      <c r="I1022" s="241">
        <f t="shared" ca="1" si="242"/>
        <v>1</v>
      </c>
      <c r="J1022" s="241"/>
      <c r="K1022" s="241"/>
      <c r="L1022" s="238"/>
    </row>
    <row r="1023" spans="2:12" outlineLevel="1">
      <c r="B1023" s="237" t="s">
        <v>324</v>
      </c>
      <c r="C1023" s="237" t="s">
        <v>324</v>
      </c>
      <c r="D1023" s="238" t="str">
        <f>_xlfn.XLOOKUP(B1023,'Relacion '!$E:$E,'Relacion '!$D:$D,"")</f>
        <v/>
      </c>
      <c r="E1023" s="239">
        <f t="shared" si="228"/>
        <v>11</v>
      </c>
      <c r="F1023" s="240" cm="1">
        <f t="array" ref="F1023">MIN(INDEX('Relacion '!$AD$5:$AE$493,MATCH(INDEX($B:$B, (ROW()-4)),'Relacion '!$E$5:$E$493,0),0))</f>
        <v>46167</v>
      </c>
      <c r="G1023" s="240" cm="1">
        <f t="array" ref="G1023">MAX(INDEX('Relacion '!$AD$5:$AE$493,MATCH(INDEX($B:$B, (ROW()-4)),'Relacion '!$E$5:$E$493,0),0))</f>
        <v>46178</v>
      </c>
      <c r="H1023" s="241" cm="1">
        <f t="array" ref="H1023">IF(
 MATCH(B1023,{"01. ASIGNACION AREA";"02. MAPEO";"03. DESARROLLO";"04. VALIDA US";"05. VOBO US";"06. BW-EJECUCION";"07. VALIDACIÓN BAJAWARE";"08. CERRADA"},0)
 &lt;
 MATCH(_xlfn.XLOOKUP(INDEX($B:$B, (ROW()-4)),'Relacion '!$E:$E,'Relacion '!$D:$D,""),{"01. ASIGNACION AREA";"02. MAPEO";"03. DESARROLLO";"04. VALIDA US";"05. VOBO US";"06. BW-EJECUCION";"07. VALIDACIÓN BAJAWARE";"08. CERRADA"},0),
 1,
 IF(
  MATCH(B1023,{"01. ASIGNACION AREA";"02. MAPEO";"03. DESARROLLO";"04. VALIDA US";"05. VOBO US";"06. BW-EJECUCION";"07. VALIDACIÓN BAJAWARE";"08. CERRADA"},0)
  =
  MATCH(_xlfn.XLOOKUP(INDEX($B:$B, (ROW()-4)),'Relacion '!$E:$E,'Relacion '!$D:$D,""),{"01. ASIGNACION AREA";"02. MAPEO";"03. DESARROLLO";"04. VALIDA US";"05. VOBO US";"06. BW-EJECUCION";"07. VALIDACIÓN BAJAWARE";"08. CERRADA"},0),
  _xlfn.XLOOKUP(INDEX($B:$B, (ROW()-4)),'Relacion '!$E:$E,'Relacion '!#REF!,0),
  0
 )
)</f>
        <v>0</v>
      </c>
      <c r="I1023" s="241">
        <f t="shared" ca="1" si="242"/>
        <v>0</v>
      </c>
      <c r="J1023" s="241"/>
      <c r="K1023" s="241"/>
      <c r="L1023" s="238"/>
    </row>
    <row r="1024" spans="2:12" outlineLevel="1">
      <c r="B1024" s="237" t="s">
        <v>320</v>
      </c>
      <c r="C1024" s="237" t="s">
        <v>320</v>
      </c>
      <c r="D1024" s="238" t="str">
        <f>_xlfn.XLOOKUP(B1024,'Relacion '!$E:$E,'Relacion '!$D:$D,"")</f>
        <v/>
      </c>
      <c r="E1024" s="239">
        <f t="shared" si="228"/>
        <v>3</v>
      </c>
      <c r="F1024" s="240" cm="1">
        <f t="array" ref="F1024">MIN(INDEX('Relacion '!$AF$5:$AG$493,MATCH(INDEX($B:$B, (ROW()-5)),'Relacion '!$E$5:$E$493,0),0))</f>
        <v>46178</v>
      </c>
      <c r="G1024" s="240" cm="1">
        <f t="array" ref="G1024">MAX(INDEX('Relacion '!$AF$5:$AG$493,MATCH(INDEX($B:$B, (ROW()-5)),'Relacion '!$E$5:$E$493,0),0))</f>
        <v>46181</v>
      </c>
      <c r="H1024" s="241" cm="1">
        <f t="array" ref="H1024">IF(
 MATCH(B1024,{"01. ASIGNACION AREA";"02. MAPEO";"03. DESARROLLO";"04. VALIDA US";"05. VOBO US";"06. BW-EJECUCION";"07. VALIDACIÓN BAJAWARE";"08. CERRADA"},0)
 &lt;
 MATCH(_xlfn.XLOOKUP(INDEX($B:$B, (ROW()-5)),'Relacion '!$E:$E,'Relacion '!$D:$D,""),{"01. ASIGNACION AREA";"02. MAPEO";"03. DESARROLLO";"04. VALIDA US";"05. VOBO US";"06. BW-EJECUCION";"07. VALIDACIÓN BAJAWARE";"08. CERRADA"},0),
 1,
 IF(
  MATCH(B1024,{"01. ASIGNACION AREA";"02. MAPEO";"03. DESARROLLO";"04. VALIDA US";"05. VOBO US";"06. BW-EJECUCION";"07. VALIDACIÓN BAJAWARE";"08. CERRADA"},0)
  =
  MATCH(_xlfn.XLOOKUP(INDEX($B:$B, (ROW()-5)),'Relacion '!$E:$E,'Relacion '!$D:$D,""),{"01. ASIGNACION AREA";"02. MAPEO";"03. DESARROLLO";"04. VALIDA US";"05. VOBO US";"06. BW-EJECUCION";"07. VALIDACIÓN BAJAWARE";"08. CERRADA"},0),
  _xlfn.XLOOKUP(INDEX($B:$B, (ROW()-5)),'Relacion '!$E:$E,'Relacion '!#REF!,0),
  0
 )
)</f>
        <v>0</v>
      </c>
      <c r="I1024" s="241">
        <f t="shared" ca="1" si="242"/>
        <v>0</v>
      </c>
      <c r="J1024" s="241"/>
      <c r="K1024" s="241"/>
      <c r="L1024" s="238"/>
    </row>
    <row r="1025" spans="2:12" outlineLevel="1">
      <c r="B1025" s="237" t="s">
        <v>710</v>
      </c>
      <c r="C1025" s="237" t="s">
        <v>710</v>
      </c>
      <c r="D1025" s="238" t="str">
        <f>_xlfn.XLOOKUP(B1025,'Relacion '!$E:$E,'Relacion '!$D:$D,"")</f>
        <v/>
      </c>
      <c r="E1025" s="239">
        <f t="shared" si="228"/>
        <v>3</v>
      </c>
      <c r="F1025" s="240" cm="1">
        <f t="array" ref="F1025">MIN(INDEX('Relacion '!$AH$5:$AI$493,MATCH(INDEX($B:$B, (ROW()-6)),'Relacion '!$E$5:$E$493,0),0))</f>
        <v>46182</v>
      </c>
      <c r="G1025" s="240" cm="1">
        <f t="array" ref="G1025">MAX(INDEX('Relacion '!$AH$5:$AI$493,MATCH(INDEX($B:$B, (ROW()-6)),'Relacion '!$E$5:$E$493,0),0))</f>
        <v>46185</v>
      </c>
      <c r="H1025" s="241" cm="1">
        <f t="array" ref="H1025">IF(
 MATCH(B1025,{"01. ASIGNACION AREA";"02. MAPEO";"03. DESARROLLO";"04. VALIDA US";"05. VOBO US";"06. BW-EJECUCION";"07. VALIDACIÓN BAJAWARE";"08. CERRADA"},0)
 &lt;
 MATCH(_xlfn.XLOOKUP(INDEX($B:$B, (ROW()-6)),'Relacion '!$E:$E,'Relacion '!$D:$D,""),{"01. ASIGNACION AREA";"02. MAPEO";"03. DESARROLLO";"04. VALIDA US";"05. VOBO US";"06. BW-EJECUCION";"07. VALIDACIÓN BAJAWARE";"08. CERRADA"},0),
 1,
 IF(
  MATCH(B1025,{"01. ASIGNACION AREA";"02. MAPEO";"03. DESARROLLO";"04. VALIDA US";"05. VOBO US";"06. BW-EJECUCION";"07. VALIDACIÓN BAJAWARE";"08. CERRADA"},0)
  =
  MATCH(_xlfn.XLOOKUP(INDEX($B:$B, (ROW()-6)),'Relacion '!$E:$E,'Relacion '!$D:$D,""),{"01. ASIGNACION AREA";"02. MAPEO";"03. DESARROLLO";"04. VALIDA US";"05. VOBO US";"06. BW-EJECUCION";"07. VALIDACIÓN BAJAWARE";"08. CERRADA"},0),
  _xlfn.XLOOKUP(INDEX($B:$B, (ROW()-6)),'Relacion '!$E:$E,'Relacion '!#REF!,0),
  0
 )
)</f>
        <v>0</v>
      </c>
      <c r="I1025" s="241">
        <f t="shared" ca="1" si="242"/>
        <v>0</v>
      </c>
      <c r="J1025" s="241"/>
      <c r="K1025" s="241"/>
      <c r="L1025" s="238"/>
    </row>
    <row r="1026" spans="2:12" outlineLevel="1">
      <c r="B1026" s="237" t="s">
        <v>655</v>
      </c>
      <c r="C1026" s="237" t="s">
        <v>655</v>
      </c>
      <c r="D1026" s="238" t="str">
        <f>_xlfn.XLOOKUP(B1026,'Relacion '!$E:$E,'Relacion '!$D:$D,"")</f>
        <v/>
      </c>
      <c r="E1026" s="239">
        <f t="shared" ref="E1026:E1089" si="243">IF(OR(F1026="",G1026=""),"",G1026-F1026)</f>
        <v>11</v>
      </c>
      <c r="F1026" s="240" cm="1">
        <f t="array" ref="F1026">MIN(INDEX('Relacion '!$AJ$5:$AK$493,MATCH(INDEX($B:$B, (ROW()-7)),'Relacion '!$E$5:$E$493,0),0))</f>
        <v>46188</v>
      </c>
      <c r="G1026" s="240" cm="1">
        <f t="array" ref="G1026">MAX(INDEX('Relacion '!$AJ$5:$AK$493,MATCH(INDEX($B:$B, (ROW()-7)),'Relacion '!$E$5:$E$493,0),0))</f>
        <v>46199</v>
      </c>
      <c r="H1026" s="241" cm="1">
        <f t="array" ref="H1026">IF(
 MATCH(B1026,{"01. ASIGNACION AREA";"02. MAPEO";"03. DESARROLLO";"04. VALIDA US";"05. VOBO US";"06. BW-EJECUCION";"07. VALIDACIÓN BAJAWARE";"08. CERRADA"},0)
 &lt;
 MATCH(_xlfn.XLOOKUP(INDEX($B:$B, (ROW()-7)),'Relacion '!$E:$E,'Relacion '!$D:$D,""),{"01. ASIGNACION AREA";"02. MAPEO";"03. DESARROLLO";"04. VALIDA US";"05. VOBO US";"06. BW-EJECUCION";"07. VALIDACIÓN BAJAWARE";"08. CERRADA"},0),
 1,
 IF(
  MATCH(B1026,{"01. ASIGNACION AREA";"02. MAPEO";"03. DESARROLLO";"04. VALIDA US";"05. VOBO US";"06. BW-EJECUCION";"07. VALIDACIÓN BAJAWARE";"08. CERRADA"},0)
  =
  MATCH(_xlfn.XLOOKUP(INDEX($B:$B, (ROW()-7)),'Relacion '!$E:$E,'Relacion '!$D:$D,""),{"01. ASIGNACION AREA";"02. MAPEO";"03. DESARROLLO";"04. VALIDA US";"05. VOBO US";"06. BW-EJECUCION";"07. VALIDACIÓN BAJAWARE";"08. CERRADA"},0),
  _xlfn.XLOOKUP(INDEX($B:$B, (ROW()-7)),'Relacion '!$E:$E,'Relacion '!#REF!,0),
  0
 )
)</f>
        <v>0</v>
      </c>
      <c r="I1026" s="241">
        <f t="shared" ca="1" si="242"/>
        <v>0</v>
      </c>
      <c r="J1026" s="241"/>
      <c r="K1026" s="241"/>
      <c r="L1026" s="238"/>
    </row>
    <row r="1027" spans="2:12" outlineLevel="1">
      <c r="B1027" s="237" t="s">
        <v>656</v>
      </c>
      <c r="C1027" s="237" t="s">
        <v>656</v>
      </c>
      <c r="D1027" s="238" t="str">
        <f>_xlfn.XLOOKUP(B1027,'Relacion '!$E:$E,'Relacion '!$D:$D,"")</f>
        <v/>
      </c>
      <c r="E1027" s="239">
        <f t="shared" si="243"/>
        <v>3</v>
      </c>
      <c r="F1027" s="240" cm="1">
        <f t="array" ref="F1027">MIN(INDEX('Relacion '!$AL$5:$AM$493,MATCH(INDEX($B:$B, (ROW()-8)),'Relacion '!$E$5:$E$493,0),0))</f>
        <v>46199</v>
      </c>
      <c r="G1027" s="240" cm="1">
        <f t="array" ref="G1027">MAX(INDEX('Relacion '!$AL$5:$AM$493,MATCH(INDEX($B:$B, (ROW()-8)),'Relacion '!$E$5:$E$493,0),0))</f>
        <v>46202</v>
      </c>
      <c r="H1027" s="241" cm="1">
        <f t="array" ref="H1027">IF(
 MATCH(B1027,{"01. ASIGNACION AREA";"02. MAPEO";"03. DESARROLLO";"04. VALIDA US";"05. VOBO US";"06. BW-EJECUCION";"07. VALIDACIÓN BAJAWARE";"08. CERRADA"},0)
 &lt;
 MATCH(_xlfn.XLOOKUP(INDEX($B:$B, (ROW()-8)),'Relacion '!$E:$E,'Relacion '!$D:$D,""),{"01. ASIGNACION AREA";"02. MAPEO";"03. DESARROLLO";"04. VALIDA US";"05. VOBO US";"06. BW-EJECUCION";"07. VALIDACIÓN BAJAWARE";"08. CERRADA"},0),
 1,
 IF(
  MATCH(B1027,{"01. ASIGNACION AREA";"02. MAPEO";"03. DESARROLLO";"04. VALIDA US";"05. VOBO US";"06. BW-EJECUCION";"07. VALIDACIÓN BAJAWARE";"08. CERRADA"},0)
  =
  MATCH(_xlfn.XLOOKUP(INDEX($B:$B, (ROW()-8)),'Relacion '!$E:$E,'Relacion '!$D:$D,""),{"01. ASIGNACION AREA";"02. MAPEO";"03. DESARROLLO";"04. VALIDA US";"05. VOBO US";"06. BW-EJECUCION";"07. VALIDACIÓN BAJAWARE";"08. CERRADA"},0),
  _xlfn.XLOOKUP(INDEX($B:$B, (ROW()-8)),'Relacion '!$E:$E,'Relacion '!#REF!,0),
  0
 )
)</f>
        <v>0</v>
      </c>
      <c r="I1027" s="241">
        <f t="shared" ca="1" si="242"/>
        <v>0</v>
      </c>
      <c r="J1027" s="241"/>
      <c r="K1027" s="241"/>
      <c r="L1027" s="238"/>
    </row>
    <row r="1028" spans="2:12">
      <c r="B1028" s="232" t="s">
        <v>530</v>
      </c>
      <c r="C1028" s="167" t="s">
        <v>531</v>
      </c>
      <c r="D1028" s="236" t="str">
        <f>_xlfn.XLOOKUP(B1028,'Relacion '!$E:$E,'Relacion '!$D:$D,"")</f>
        <v>06. BW-EJECUCION</v>
      </c>
      <c r="E1028" s="233">
        <f t="shared" si="243"/>
        <v>106</v>
      </c>
      <c r="F1028" s="234" cm="1">
        <f t="array" ref="F1028">MIN(INDEX('Relacion '!$X$5:$AM$493,MATCH(INDEX($B:$B, (ROW()-0)),'Relacion '!$E$5:$E$493,0),0))</f>
        <v>46024</v>
      </c>
      <c r="G1028" s="234" cm="1">
        <f t="array" ref="G1028">MAX(INDEX('Relacion '!$X$5:$AM$493,MATCH(INDEX($B:$B, (ROW()-0)),'Relacion '!$E$5:$E$493,0),0))</f>
        <v>46130</v>
      </c>
      <c r="H1028" s="235" t="e">
        <f>AVERAGE(H1029:H1036)</f>
        <v>#REF!</v>
      </c>
      <c r="I1028" s="235">
        <f t="shared" ref="I1028" ca="1" si="244">AVERAGE(I1029:I1036)</f>
        <v>1</v>
      </c>
      <c r="J1028" s="236" t="str">
        <f>IF(ISNUMBER(SEARCH("Rocha", _xlfn.XLOOKUP(B1028,'Relacion '!$E:$E,'Relacion '!$I:$I,""))), "Sí", "No")</f>
        <v>No</v>
      </c>
      <c r="K1028" s="236" t="str">
        <f>IF(ISNUMBER(SEARCH("Rocha", _xlfn.XLOOKUP(B1028,'Relacion '!$E:$E,'Relacion '!$I:$I,""))), "RMC", _xlfn.XLOOKUP(B1028,'Relacion '!$E:$E,'Relacion '!$B:$B,""))</f>
        <v>Riesgos</v>
      </c>
      <c r="L1028" s="236" t="str">
        <f>_xlfn.XLOOKUP(B1028,'Relacion '!$E:$E,'Relacion '!$C:$C,"")</f>
        <v>Homero Sanchez</v>
      </c>
    </row>
    <row r="1029" spans="2:12" outlineLevel="1">
      <c r="B1029" s="237" t="s">
        <v>654</v>
      </c>
      <c r="C1029" s="237" t="s">
        <v>654</v>
      </c>
      <c r="D1029" s="238" t="str">
        <f>_xlfn.XLOOKUP(B1029,'Relacion '!$E:$E,'Relacion '!$D:$D,"")</f>
        <v/>
      </c>
      <c r="E1029" s="239">
        <f t="shared" si="243"/>
        <v>59</v>
      </c>
      <c r="F1029" s="240" cm="1">
        <f t="array" ref="F1029">MIN(INDEX('Relacion '!$X$5:$Y$493,MATCH(INDEX($B:$B, (ROW()-1)),'Relacion '!$E$5:$E$493,0),0))</f>
        <v>46024</v>
      </c>
      <c r="G1029" s="240" cm="1">
        <f t="array" ref="G1029">MAX(INDEX('Relacion '!$X$5:$Y$493,MATCH(INDEX($B:$B, (ROW()-1)),'Relacion '!$E$5:$E$493,0),0))</f>
        <v>46083</v>
      </c>
      <c r="H1029" s="241" cm="1">
        <f t="array" ref="H1029">IF(
 MATCH(B1029,{"01. ASIGNACION AREA";"02. MAPEO";"03. DESARROLLO";"04. VALIDA US";"05. VOBO US";"06. BW-EJECUCION";"07. VALIDACIÓN BAJAWARE";"08. CERRADA"},0)
 &lt;
 MATCH(_xlfn.XLOOKUP(INDEX($B:$B, (ROW()-1)),'Relacion '!$E:$E,'Relacion '!$D:$D,""),{"01. ASIGNACION AREA";"02. MAPEO";"03. DESARROLLO";"04. VALIDA US";"05. VOBO US";"06. BW-EJECUCION";"07. VALIDACIÓN BAJAWARE";"08. CERRADA"},0),
 1,
 IF(
  MATCH(B1029,{"01. ASIGNACION AREA";"02. MAPEO";"03. DESARROLLO";"04. VALIDA US";"05. VOBO US";"06. BW-EJECUCION";"07. VALIDACIÓN BAJAWARE";"08. CERRADA"},0)
  =
  MATCH(_xlfn.XLOOKUP(INDEX($B:$B, (ROW()-1)),'Relacion '!$E:$E,'Relacion '!$D:$D,""),{"01. ASIGNACION AREA";"02. MAPEO";"03. DESARROLLO";"04. VALIDA US";"05. VOBO US";"06. BW-EJECUCION";"07. VALIDACIÓN BAJAWARE";"08. CERRADA"},0),
  _xlfn.XLOOKUP(INDEX($B:$B, (ROW()-1)),'Relacion '!$E:$E,'Relacion '!#REF!,0),
  0
 )
)</f>
        <v>1</v>
      </c>
      <c r="I1029" s="241">
        <f t="shared" ref="I1029" ca="1" si="245">IF(G1029&lt;=TODAY(), 1, 0)</f>
        <v>1</v>
      </c>
      <c r="J1029" s="241"/>
      <c r="K1029" s="241"/>
      <c r="L1029" s="238"/>
    </row>
    <row r="1030" spans="2:12" outlineLevel="1">
      <c r="B1030" s="237" t="s">
        <v>195</v>
      </c>
      <c r="C1030" s="237" t="s">
        <v>195</v>
      </c>
      <c r="D1030" s="238" t="str">
        <f>_xlfn.XLOOKUP(B1030,'Relacion '!$E:$E,'Relacion '!$D:$D,"")</f>
        <v/>
      </c>
      <c r="E1030" s="239">
        <f t="shared" si="243"/>
        <v>4</v>
      </c>
      <c r="F1030" s="240" cm="1">
        <f t="array" ref="F1030">MIN(INDEX('Relacion '!$Z$5:$AA$493,MATCH(INDEX($B:$B, (ROW()-2)),'Relacion '!$E$5:$E$493,0),0))</f>
        <v>46041</v>
      </c>
      <c r="G1030" s="240" cm="1">
        <f t="array" ref="G1030">MAX(INDEX('Relacion '!$Z$5:$AA$493,MATCH(INDEX($B:$B, (ROW()-2)),'Relacion '!$E$5:$E$493,0),0))</f>
        <v>46045</v>
      </c>
      <c r="H1030" s="241" cm="1">
        <f t="array" ref="H1030">IF(
 MATCH(B1030,{"01. ASIGNACION AREA";"02. MAPEO";"03. DESARROLLO";"04. VALIDA US";"05. VOBO US";"06. BW-EJECUCION";"07. VALIDACIÓN BAJAWARE";"08. CERRADA"},0)
 &lt;
 MATCH(_xlfn.XLOOKUP(INDEX($B:$B, (ROW()-2)),'Relacion '!$E:$E,'Relacion '!$D:$D,""),{"01. ASIGNACION AREA";"02. MAPEO";"03. DESARROLLO";"04. VALIDA US";"05. VOBO US";"06. BW-EJECUCION";"07. VALIDACIÓN BAJAWARE";"08. CERRADA"},0),
 1,
 IF(
  MATCH(B1030,{"01. ASIGNACION AREA";"02. MAPEO";"03. DESARROLLO";"04. VALIDA US";"05. VOBO US";"06. BW-EJECUCION";"07. VALIDACIÓN BAJAWARE";"08. CERRADA"},0)
  =
  MATCH(_xlfn.XLOOKUP(INDEX($B:$B, (ROW()-2)),'Relacion '!$E:$E,'Relacion '!$D:$D,""),{"01. ASIGNACION AREA";"02. MAPEO";"03. DESARROLLO";"04. VALIDA US";"05. VOBO US";"06. BW-EJECUCION";"07. VALIDACIÓN BAJAWARE";"08. CERRADA"},0),
  _xlfn.XLOOKUP(INDEX($B:$B, (ROW()-2)),'Relacion '!$E:$E,'Relacion '!#REF!,0),
  0
 )
)</f>
        <v>1</v>
      </c>
      <c r="I1030" s="241">
        <f t="shared" ca="1" si="242"/>
        <v>1</v>
      </c>
      <c r="J1030" s="241"/>
      <c r="K1030" s="241"/>
      <c r="L1030" s="238"/>
    </row>
    <row r="1031" spans="2:12" outlineLevel="1">
      <c r="B1031" s="237" t="s">
        <v>49</v>
      </c>
      <c r="C1031" s="237" t="s">
        <v>49</v>
      </c>
      <c r="D1031" s="238" t="str">
        <f>_xlfn.XLOOKUP(B1031,'Relacion '!$E:$E,'Relacion '!$D:$D,"")</f>
        <v/>
      </c>
      <c r="E1031" s="239">
        <f t="shared" si="243"/>
        <v>4</v>
      </c>
      <c r="F1031" s="240" cm="1">
        <f t="array" ref="F1031">MIN(INDEX('Relacion '!$AB$5:$AC$493,MATCH(INDEX($B:$B, (ROW()-3)),'Relacion '!$E$5:$E$493,0),0))</f>
        <v>46048</v>
      </c>
      <c r="G1031" s="240" cm="1">
        <f t="array" ref="G1031">MAX(INDEX('Relacion '!$AB$5:$AC$493,MATCH(INDEX($B:$B, (ROW()-3)),'Relacion '!$E$5:$E$493,0),0))</f>
        <v>46052</v>
      </c>
      <c r="H1031" s="241" cm="1">
        <f t="array" ref="H1031">IF(
 MATCH(B1031,{"01. ASIGNACION AREA";"02. MAPEO";"03. DESARROLLO";"04. VALIDA US";"05. VOBO US";"06. BW-EJECUCION";"07. VALIDACIÓN BAJAWARE";"08. CERRADA"},0)
 &lt;
 MATCH(_xlfn.XLOOKUP(INDEX($B:$B, (ROW()-3)),'Relacion '!$E:$E,'Relacion '!$D:$D,""),{"01. ASIGNACION AREA";"02. MAPEO";"03. DESARROLLO";"04. VALIDA US";"05. VOBO US";"06. BW-EJECUCION";"07. VALIDACIÓN BAJAWARE";"08. CERRADA"},0),
 1,
 IF(
  MATCH(B1031,{"01. ASIGNACION AREA";"02. MAPEO";"03. DESARROLLO";"04. VALIDA US";"05. VOBO US";"06. BW-EJECUCION";"07. VALIDACIÓN BAJAWARE";"08. CERRADA"},0)
  =
  MATCH(_xlfn.XLOOKUP(INDEX($B:$B, (ROW()-3)),'Relacion '!$E:$E,'Relacion '!$D:$D,""),{"01. ASIGNACION AREA";"02. MAPEO";"03. DESARROLLO";"04. VALIDA US";"05. VOBO US";"06. BW-EJECUCION";"07. VALIDACIÓN BAJAWARE";"08. CERRADA"},0),
  _xlfn.XLOOKUP(INDEX($B:$B, (ROW()-3)),'Relacion '!$E:$E,'Relacion '!#REF!,0),
  0
 )
)</f>
        <v>1</v>
      </c>
      <c r="I1031" s="241">
        <f t="shared" ca="1" si="242"/>
        <v>1</v>
      </c>
      <c r="J1031" s="241"/>
      <c r="K1031" s="241"/>
      <c r="L1031" s="238"/>
    </row>
    <row r="1032" spans="2:12" outlineLevel="1">
      <c r="B1032" s="237" t="s">
        <v>324</v>
      </c>
      <c r="C1032" s="237" t="s">
        <v>324</v>
      </c>
      <c r="D1032" s="238" t="str">
        <f>_xlfn.XLOOKUP(B1032,'Relacion '!$E:$E,'Relacion '!$D:$D,"")</f>
        <v/>
      </c>
      <c r="E1032" s="239">
        <f t="shared" si="243"/>
        <v>11</v>
      </c>
      <c r="F1032" s="240" cm="1">
        <f t="array" ref="F1032">MIN(INDEX('Relacion '!$AD$5:$AE$493,MATCH(INDEX($B:$B, (ROW()-4)),'Relacion '!$E$5:$E$493,0),0))</f>
        <v>46055</v>
      </c>
      <c r="G1032" s="240" cm="1">
        <f t="array" ref="G1032">MAX(INDEX('Relacion '!$AD$5:$AE$493,MATCH(INDEX($B:$B, (ROW()-4)),'Relacion '!$E$5:$E$493,0),0))</f>
        <v>46066</v>
      </c>
      <c r="H1032" s="241" cm="1">
        <f t="array" ref="H1032">IF(
 MATCH(B1032,{"01. ASIGNACION AREA";"02. MAPEO";"03. DESARROLLO";"04. VALIDA US";"05. VOBO US";"06. BW-EJECUCION";"07. VALIDACIÓN BAJAWARE";"08. CERRADA"},0)
 &lt;
 MATCH(_xlfn.XLOOKUP(INDEX($B:$B, (ROW()-4)),'Relacion '!$E:$E,'Relacion '!$D:$D,""),{"01. ASIGNACION AREA";"02. MAPEO";"03. DESARROLLO";"04. VALIDA US";"05. VOBO US";"06. BW-EJECUCION";"07. VALIDACIÓN BAJAWARE";"08. CERRADA"},0),
 1,
 IF(
  MATCH(B1032,{"01. ASIGNACION AREA";"02. MAPEO";"03. DESARROLLO";"04. VALIDA US";"05. VOBO US";"06. BW-EJECUCION";"07. VALIDACIÓN BAJAWARE";"08. CERRADA"},0)
  =
  MATCH(_xlfn.XLOOKUP(INDEX($B:$B, (ROW()-4)),'Relacion '!$E:$E,'Relacion '!$D:$D,""),{"01. ASIGNACION AREA";"02. MAPEO";"03. DESARROLLO";"04. VALIDA US";"05. VOBO US";"06. BW-EJECUCION";"07. VALIDACIÓN BAJAWARE";"08. CERRADA"},0),
  _xlfn.XLOOKUP(INDEX($B:$B, (ROW()-4)),'Relacion '!$E:$E,'Relacion '!#REF!,0),
  0
 )
)</f>
        <v>1</v>
      </c>
      <c r="I1032" s="241">
        <f t="shared" ca="1" si="242"/>
        <v>1</v>
      </c>
      <c r="J1032" s="241"/>
      <c r="K1032" s="241"/>
      <c r="L1032" s="238"/>
    </row>
    <row r="1033" spans="2:12" outlineLevel="1">
      <c r="B1033" s="237" t="s">
        <v>320</v>
      </c>
      <c r="C1033" s="237" t="s">
        <v>320</v>
      </c>
      <c r="D1033" s="238" t="str">
        <f>_xlfn.XLOOKUP(B1033,'Relacion '!$E:$E,'Relacion '!$D:$D,"")</f>
        <v/>
      </c>
      <c r="E1033" s="239">
        <f t="shared" si="243"/>
        <v>4</v>
      </c>
      <c r="F1033" s="240" cm="1">
        <f t="array" ref="F1033">MIN(INDEX('Relacion '!$AF$5:$AG$493,MATCH(INDEX($B:$B, (ROW()-5)),'Relacion '!$E$5:$E$493,0),0))</f>
        <v>46069</v>
      </c>
      <c r="G1033" s="240" cm="1">
        <f t="array" ref="G1033">MAX(INDEX('Relacion '!$AF$5:$AG$493,MATCH(INDEX($B:$B, (ROW()-5)),'Relacion '!$E$5:$E$493,0),0))</f>
        <v>46073</v>
      </c>
      <c r="H1033" s="241" cm="1">
        <f t="array" ref="H1033">IF(
 MATCH(B1033,{"01. ASIGNACION AREA";"02. MAPEO";"03. DESARROLLO";"04. VALIDA US";"05. VOBO US";"06. BW-EJECUCION";"07. VALIDACIÓN BAJAWARE";"08. CERRADA"},0)
 &lt;
 MATCH(_xlfn.XLOOKUP(INDEX($B:$B, (ROW()-5)),'Relacion '!$E:$E,'Relacion '!$D:$D,""),{"01. ASIGNACION AREA";"02. MAPEO";"03. DESARROLLO";"04. VALIDA US";"05. VOBO US";"06. BW-EJECUCION";"07. VALIDACIÓN BAJAWARE";"08. CERRADA"},0),
 1,
 IF(
  MATCH(B1033,{"01. ASIGNACION AREA";"02. MAPEO";"03. DESARROLLO";"04. VALIDA US";"05. VOBO US";"06. BW-EJECUCION";"07. VALIDACIÓN BAJAWARE";"08. CERRADA"},0)
  =
  MATCH(_xlfn.XLOOKUP(INDEX($B:$B, (ROW()-5)),'Relacion '!$E:$E,'Relacion '!$D:$D,""),{"01. ASIGNACION AREA";"02. MAPEO";"03. DESARROLLO";"04. VALIDA US";"05. VOBO US";"06. BW-EJECUCION";"07. VALIDACIÓN BAJAWARE";"08. CERRADA"},0),
  _xlfn.XLOOKUP(INDEX($B:$B, (ROW()-5)),'Relacion '!$E:$E,'Relacion '!#REF!,0),
  0
 )
)</f>
        <v>1</v>
      </c>
      <c r="I1033" s="241">
        <f t="shared" ca="1" si="242"/>
        <v>1</v>
      </c>
      <c r="J1033" s="241"/>
      <c r="K1033" s="241"/>
      <c r="L1033" s="238"/>
    </row>
    <row r="1034" spans="2:12" outlineLevel="1">
      <c r="B1034" s="237" t="s">
        <v>710</v>
      </c>
      <c r="C1034" s="237" t="s">
        <v>710</v>
      </c>
      <c r="D1034" s="238" t="str">
        <f>_xlfn.XLOOKUP(B1034,'Relacion '!$E:$E,'Relacion '!$D:$D,"")</f>
        <v/>
      </c>
      <c r="E1034" s="239">
        <f t="shared" si="243"/>
        <v>25</v>
      </c>
      <c r="F1034" s="240" cm="1">
        <f t="array" ref="F1034">MIN(INDEX('Relacion '!$AH$5:$AI$493,MATCH(INDEX($B:$B, (ROW()-6)),'Relacion '!$E$5:$E$493,0),0))</f>
        <v>46076</v>
      </c>
      <c r="G1034" s="240" cm="1">
        <f t="array" ref="G1034">MAX(INDEX('Relacion '!$AH$5:$AI$493,MATCH(INDEX($B:$B, (ROW()-6)),'Relacion '!$E$5:$E$493,0),0))</f>
        <v>46101</v>
      </c>
      <c r="H1034" s="241" t="e" cm="1">
        <f t="array" ref="H1034">IF(
 MATCH(B1034,{"01. ASIGNACION AREA";"02. MAPEO";"03. DESARROLLO";"04. VALIDA US";"05. VOBO US";"06. BW-EJECUCION";"07. VALIDACIÓN BAJAWARE";"08. CERRADA"},0)
 &lt;
 MATCH(_xlfn.XLOOKUP(INDEX($B:$B, (ROW()-6)),'Relacion '!$E:$E,'Relacion '!$D:$D,""),{"01. ASIGNACION AREA";"02. MAPEO";"03. DESARROLLO";"04. VALIDA US";"05. VOBO US";"06. BW-EJECUCION";"07. VALIDACIÓN BAJAWARE";"08. CERRADA"},0),
 1,
 IF(
  MATCH(B1034,{"01. ASIGNACION AREA";"02. MAPEO";"03. DESARROLLO";"04. VALIDA US";"05. VOBO US";"06. BW-EJECUCION";"07. VALIDACIÓN BAJAWARE";"08. CERRADA"},0)
  =
  MATCH(_xlfn.XLOOKUP(INDEX($B:$B, (ROW()-6)),'Relacion '!$E:$E,'Relacion '!$D:$D,""),{"01. ASIGNACION AREA";"02. MAPEO";"03. DESARROLLO";"04. VALIDA US";"05. VOBO US";"06. BW-EJECUCION";"07. VALIDACIÓN BAJAWARE";"08. CERRADA"},0),
  _xlfn.XLOOKUP(INDEX($B:$B, (ROW()-6)),'Relacion '!$E:$E,'Relacion '!#REF!,0),
  0
 )
)</f>
        <v>#REF!</v>
      </c>
      <c r="I1034" s="241">
        <f t="shared" ca="1" si="242"/>
        <v>1</v>
      </c>
      <c r="J1034" s="241"/>
      <c r="K1034" s="241"/>
      <c r="L1034" s="238"/>
    </row>
    <row r="1035" spans="2:12" outlineLevel="1">
      <c r="B1035" s="237" t="s">
        <v>655</v>
      </c>
      <c r="C1035" s="237" t="s">
        <v>655</v>
      </c>
      <c r="D1035" s="238" t="str">
        <f>_xlfn.XLOOKUP(B1035,'Relacion '!$E:$E,'Relacion '!$D:$D,"")</f>
        <v/>
      </c>
      <c r="E1035" s="239">
        <f t="shared" si="243"/>
        <v>25</v>
      </c>
      <c r="F1035" s="240" cm="1">
        <f t="array" ref="F1035">MIN(INDEX('Relacion '!$AJ$5:$AK$493,MATCH(INDEX($B:$B, (ROW()-7)),'Relacion '!$E$5:$E$493,0),0))</f>
        <v>46104</v>
      </c>
      <c r="G1035" s="240" cm="1">
        <f t="array" ref="G1035">MAX(INDEX('Relacion '!$AJ$5:$AK$493,MATCH(INDEX($B:$B, (ROW()-7)),'Relacion '!$E$5:$E$493,0),0))</f>
        <v>46129</v>
      </c>
      <c r="H1035" s="241" cm="1">
        <f t="array" ref="H1035">IF(
 MATCH(B1035,{"01. ASIGNACION AREA";"02. MAPEO";"03. DESARROLLO";"04. VALIDA US";"05. VOBO US";"06. BW-EJECUCION";"07. VALIDACIÓN BAJAWARE";"08. CERRADA"},0)
 &lt;
 MATCH(_xlfn.XLOOKUP(INDEX($B:$B, (ROW()-7)),'Relacion '!$E:$E,'Relacion '!$D:$D,""),{"01. ASIGNACION AREA";"02. MAPEO";"03. DESARROLLO";"04. VALIDA US";"05. VOBO US";"06. BW-EJECUCION";"07. VALIDACIÓN BAJAWARE";"08. CERRADA"},0),
 1,
 IF(
  MATCH(B1035,{"01. ASIGNACION AREA";"02. MAPEO";"03. DESARROLLO";"04. VALIDA US";"05. VOBO US";"06. BW-EJECUCION";"07. VALIDACIÓN BAJAWARE";"08. CERRADA"},0)
  =
  MATCH(_xlfn.XLOOKUP(INDEX($B:$B, (ROW()-7)),'Relacion '!$E:$E,'Relacion '!$D:$D,""),{"01. ASIGNACION AREA";"02. MAPEO";"03. DESARROLLO";"04. VALIDA US";"05. VOBO US";"06. BW-EJECUCION";"07. VALIDACIÓN BAJAWARE";"08. CERRADA"},0),
  _xlfn.XLOOKUP(INDEX($B:$B, (ROW()-7)),'Relacion '!$E:$E,'Relacion '!#REF!,0),
  0
 )
)</f>
        <v>0</v>
      </c>
      <c r="I1035" s="241">
        <f t="shared" ca="1" si="242"/>
        <v>1</v>
      </c>
      <c r="J1035" s="241"/>
      <c r="K1035" s="241"/>
      <c r="L1035" s="238"/>
    </row>
    <row r="1036" spans="2:12" outlineLevel="1">
      <c r="B1036" s="237" t="s">
        <v>656</v>
      </c>
      <c r="C1036" s="237" t="s">
        <v>656</v>
      </c>
      <c r="D1036" s="238" t="str">
        <f>_xlfn.XLOOKUP(B1036,'Relacion '!$E:$E,'Relacion '!$D:$D,"")</f>
        <v/>
      </c>
      <c r="E1036" s="239">
        <f t="shared" si="243"/>
        <v>0</v>
      </c>
      <c r="F1036" s="240" cm="1">
        <f t="array" ref="F1036">MIN(INDEX('Relacion '!$AL$5:$AM$493,MATCH(INDEX($B:$B, (ROW()-8)),'Relacion '!$E$5:$E$493,0),0))</f>
        <v>46130</v>
      </c>
      <c r="G1036" s="240" cm="1">
        <f t="array" ref="G1036">MAX(INDEX('Relacion '!$AL$5:$AM$493,MATCH(INDEX($B:$B, (ROW()-8)),'Relacion '!$E$5:$E$493,0),0))</f>
        <v>46130</v>
      </c>
      <c r="H1036" s="241" cm="1">
        <f t="array" ref="H1036">IF(
 MATCH(B1036,{"01. ASIGNACION AREA";"02. MAPEO";"03. DESARROLLO";"04. VALIDA US";"05. VOBO US";"06. BW-EJECUCION";"07. VALIDACIÓN BAJAWARE";"08. CERRADA"},0)
 &lt;
 MATCH(_xlfn.XLOOKUP(INDEX($B:$B, (ROW()-8)),'Relacion '!$E:$E,'Relacion '!$D:$D,""),{"01. ASIGNACION AREA";"02. MAPEO";"03. DESARROLLO";"04. VALIDA US";"05. VOBO US";"06. BW-EJECUCION";"07. VALIDACIÓN BAJAWARE";"08. CERRADA"},0),
 1,
 IF(
  MATCH(B1036,{"01. ASIGNACION AREA";"02. MAPEO";"03. DESARROLLO";"04. VALIDA US";"05. VOBO US";"06. BW-EJECUCION";"07. VALIDACIÓN BAJAWARE";"08. CERRADA"},0)
  =
  MATCH(_xlfn.XLOOKUP(INDEX($B:$B, (ROW()-8)),'Relacion '!$E:$E,'Relacion '!$D:$D,""),{"01. ASIGNACION AREA";"02. MAPEO";"03. DESARROLLO";"04. VALIDA US";"05. VOBO US";"06. BW-EJECUCION";"07. VALIDACIÓN BAJAWARE";"08. CERRADA"},0),
  _xlfn.XLOOKUP(INDEX($B:$B, (ROW()-8)),'Relacion '!$E:$E,'Relacion '!#REF!,0),
  0
 )
)</f>
        <v>0</v>
      </c>
      <c r="I1036" s="241">
        <f t="shared" ca="1" si="242"/>
        <v>1</v>
      </c>
      <c r="J1036" s="241"/>
      <c r="K1036" s="241"/>
      <c r="L1036" s="238"/>
    </row>
    <row r="1037" spans="2:12">
      <c r="B1037" s="232" t="s">
        <v>534</v>
      </c>
      <c r="C1037" s="167" t="s">
        <v>417</v>
      </c>
      <c r="D1037" s="236" t="str">
        <f>_xlfn.XLOOKUP(B1037,'Relacion '!$E:$E,'Relacion '!$D:$D,"")</f>
        <v>06. BW-EJECUCION</v>
      </c>
      <c r="E1037" s="233">
        <f t="shared" si="243"/>
        <v>471</v>
      </c>
      <c r="F1037" s="234" cm="1">
        <f t="array" ref="F1037">MIN(INDEX('Relacion '!$X$5:$AM$493,MATCH(INDEX($B:$B, (ROW()-0)),'Relacion '!$E$5:$E$493,0),0))</f>
        <v>45659</v>
      </c>
      <c r="G1037" s="234" cm="1">
        <f t="array" ref="G1037">MAX(INDEX('Relacion '!$X$5:$AM$493,MATCH(INDEX($B:$B, (ROW()-0)),'Relacion '!$E$5:$E$493,0),0))</f>
        <v>46130</v>
      </c>
      <c r="H1037" s="235" t="e">
        <f>AVERAGE(H1038:H1045)</f>
        <v>#REF!</v>
      </c>
      <c r="I1037" s="235">
        <f t="shared" ref="I1037" ca="1" si="246">AVERAGE(I1038:I1045)</f>
        <v>1</v>
      </c>
      <c r="J1037" s="236" t="str">
        <f>IF(ISNUMBER(SEARCH("Rocha", _xlfn.XLOOKUP(B1037,'Relacion '!$E:$E,'Relacion '!$I:$I,""))), "Sí", "No")</f>
        <v>No</v>
      </c>
      <c r="K1037" s="236" t="str">
        <f>IF(ISNUMBER(SEARCH("Rocha", _xlfn.XLOOKUP(B1037,'Relacion '!$E:$E,'Relacion '!$I:$I,""))), "RMC", _xlfn.XLOOKUP(B1037,'Relacion '!$E:$E,'Relacion '!$B:$B,""))</f>
        <v>Producto</v>
      </c>
      <c r="L1037" s="236" t="str">
        <f>_xlfn.XLOOKUP(B1037,'Relacion '!$E:$E,'Relacion '!$C:$C,"")</f>
        <v>Claudia Barroso</v>
      </c>
    </row>
    <row r="1038" spans="2:12" outlineLevel="1">
      <c r="B1038" s="237" t="s">
        <v>654</v>
      </c>
      <c r="C1038" s="237" t="s">
        <v>654</v>
      </c>
      <c r="D1038" s="238" t="str">
        <f>_xlfn.XLOOKUP(B1038,'Relacion '!$E:$E,'Relacion '!$D:$D,"")</f>
        <v/>
      </c>
      <c r="E1038" s="239">
        <f t="shared" si="243"/>
        <v>424</v>
      </c>
      <c r="F1038" s="240" cm="1">
        <f t="array" ref="F1038">MIN(INDEX('Relacion '!$X$5:$Y$493,MATCH(INDEX($B:$B, (ROW()-1)),'Relacion '!$E$5:$E$493,0),0))</f>
        <v>45659</v>
      </c>
      <c r="G1038" s="240" cm="1">
        <f t="array" ref="G1038">MAX(INDEX('Relacion '!$X$5:$Y$493,MATCH(INDEX($B:$B, (ROW()-1)),'Relacion '!$E$5:$E$493,0),0))</f>
        <v>46083</v>
      </c>
      <c r="H1038" s="241" cm="1">
        <f t="array" ref="H1038">IF(
 MATCH(B1038,{"01. ASIGNACION AREA";"02. MAPEO";"03. DESARROLLO";"04. VALIDA US";"05. VOBO US";"06. BW-EJECUCION";"07. VALIDACIÓN BAJAWARE";"08. CERRADA"},0)
 &lt;
 MATCH(_xlfn.XLOOKUP(INDEX($B:$B, (ROW()-1)),'Relacion '!$E:$E,'Relacion '!$D:$D,""),{"01. ASIGNACION AREA";"02. MAPEO";"03. DESARROLLO";"04. VALIDA US";"05. VOBO US";"06. BW-EJECUCION";"07. VALIDACIÓN BAJAWARE";"08. CERRADA"},0),
 1,
 IF(
  MATCH(B1038,{"01. ASIGNACION AREA";"02. MAPEO";"03. DESARROLLO";"04. VALIDA US";"05. VOBO US";"06. BW-EJECUCION";"07. VALIDACIÓN BAJAWARE";"08. CERRADA"},0)
  =
  MATCH(_xlfn.XLOOKUP(INDEX($B:$B, (ROW()-1)),'Relacion '!$E:$E,'Relacion '!$D:$D,""),{"01. ASIGNACION AREA";"02. MAPEO";"03. DESARROLLO";"04. VALIDA US";"05. VOBO US";"06. BW-EJECUCION";"07. VALIDACIÓN BAJAWARE";"08. CERRADA"},0),
  _xlfn.XLOOKUP(INDEX($B:$B, (ROW()-1)),'Relacion '!$E:$E,'Relacion '!#REF!,0),
  0
 )
)</f>
        <v>1</v>
      </c>
      <c r="I1038" s="241">
        <f t="shared" ref="I1038" ca="1" si="247">IF(G1038&lt;=TODAY(), 1, 0)</f>
        <v>1</v>
      </c>
      <c r="J1038" s="241"/>
      <c r="K1038" s="241"/>
      <c r="L1038" s="238"/>
    </row>
    <row r="1039" spans="2:12" outlineLevel="1">
      <c r="B1039" s="237" t="s">
        <v>195</v>
      </c>
      <c r="C1039" s="237" t="s">
        <v>195</v>
      </c>
      <c r="D1039" s="238" t="str">
        <f>_xlfn.XLOOKUP(B1039,'Relacion '!$E:$E,'Relacion '!$D:$D,"")</f>
        <v/>
      </c>
      <c r="E1039" s="239">
        <f t="shared" si="243"/>
        <v>4</v>
      </c>
      <c r="F1039" s="240" cm="1">
        <f t="array" ref="F1039">MIN(INDEX('Relacion '!$Z$5:$AA$493,MATCH(INDEX($B:$B, (ROW()-2)),'Relacion '!$E$5:$E$493,0),0))</f>
        <v>46034</v>
      </c>
      <c r="G1039" s="240" cm="1">
        <f t="array" ref="G1039">MAX(INDEX('Relacion '!$Z$5:$AA$493,MATCH(INDEX($B:$B, (ROW()-2)),'Relacion '!$E$5:$E$493,0),0))</f>
        <v>46038</v>
      </c>
      <c r="H1039" s="241" cm="1">
        <f t="array" ref="H1039">IF(
 MATCH(B1039,{"01. ASIGNACION AREA";"02. MAPEO";"03. DESARROLLO";"04. VALIDA US";"05. VOBO US";"06. BW-EJECUCION";"07. VALIDACIÓN BAJAWARE";"08. CERRADA"},0)
 &lt;
 MATCH(_xlfn.XLOOKUP(INDEX($B:$B, (ROW()-2)),'Relacion '!$E:$E,'Relacion '!$D:$D,""),{"01. ASIGNACION AREA";"02. MAPEO";"03. DESARROLLO";"04. VALIDA US";"05. VOBO US";"06. BW-EJECUCION";"07. VALIDACIÓN BAJAWARE";"08. CERRADA"},0),
 1,
 IF(
  MATCH(B1039,{"01. ASIGNACION AREA";"02. MAPEO";"03. DESARROLLO";"04. VALIDA US";"05. VOBO US";"06. BW-EJECUCION";"07. VALIDACIÓN BAJAWARE";"08. CERRADA"},0)
  =
  MATCH(_xlfn.XLOOKUP(INDEX($B:$B, (ROW()-2)),'Relacion '!$E:$E,'Relacion '!$D:$D,""),{"01. ASIGNACION AREA";"02. MAPEO";"03. DESARROLLO";"04. VALIDA US";"05. VOBO US";"06. BW-EJECUCION";"07. VALIDACIÓN BAJAWARE";"08. CERRADA"},0),
  _xlfn.XLOOKUP(INDEX($B:$B, (ROW()-2)),'Relacion '!$E:$E,'Relacion '!#REF!,0),
  0
 )
)</f>
        <v>1</v>
      </c>
      <c r="I1039" s="241">
        <f t="shared" ca="1" si="242"/>
        <v>1</v>
      </c>
      <c r="J1039" s="241"/>
      <c r="K1039" s="241"/>
      <c r="L1039" s="238"/>
    </row>
    <row r="1040" spans="2:12" outlineLevel="1">
      <c r="B1040" s="237" t="s">
        <v>49</v>
      </c>
      <c r="C1040" s="237" t="s">
        <v>49</v>
      </c>
      <c r="D1040" s="238" t="str">
        <f>_xlfn.XLOOKUP(B1040,'Relacion '!$E:$E,'Relacion '!$D:$D,"")</f>
        <v/>
      </c>
      <c r="E1040" s="239">
        <f t="shared" si="243"/>
        <v>4</v>
      </c>
      <c r="F1040" s="240" cm="1">
        <f t="array" ref="F1040">MIN(INDEX('Relacion '!$AB$5:$AC$493,MATCH(INDEX($B:$B, (ROW()-3)),'Relacion '!$E$5:$E$493,0),0))</f>
        <v>46041</v>
      </c>
      <c r="G1040" s="240" cm="1">
        <f t="array" ref="G1040">MAX(INDEX('Relacion '!$AB$5:$AC$493,MATCH(INDEX($B:$B, (ROW()-3)),'Relacion '!$E$5:$E$493,0),0))</f>
        <v>46045</v>
      </c>
      <c r="H1040" s="241" cm="1">
        <f t="array" ref="H1040">IF(
 MATCH(B1040,{"01. ASIGNACION AREA";"02. MAPEO";"03. DESARROLLO";"04. VALIDA US";"05. VOBO US";"06. BW-EJECUCION";"07. VALIDACIÓN BAJAWARE";"08. CERRADA"},0)
 &lt;
 MATCH(_xlfn.XLOOKUP(INDEX($B:$B, (ROW()-3)),'Relacion '!$E:$E,'Relacion '!$D:$D,""),{"01. ASIGNACION AREA";"02. MAPEO";"03. DESARROLLO";"04. VALIDA US";"05. VOBO US";"06. BW-EJECUCION";"07. VALIDACIÓN BAJAWARE";"08. CERRADA"},0),
 1,
 IF(
  MATCH(B1040,{"01. ASIGNACION AREA";"02. MAPEO";"03. DESARROLLO";"04. VALIDA US";"05. VOBO US";"06. BW-EJECUCION";"07. VALIDACIÓN BAJAWARE";"08. CERRADA"},0)
  =
  MATCH(_xlfn.XLOOKUP(INDEX($B:$B, (ROW()-3)),'Relacion '!$E:$E,'Relacion '!$D:$D,""),{"01. ASIGNACION AREA";"02. MAPEO";"03. DESARROLLO";"04. VALIDA US";"05. VOBO US";"06. BW-EJECUCION";"07. VALIDACIÓN BAJAWARE";"08. CERRADA"},0),
  _xlfn.XLOOKUP(INDEX($B:$B, (ROW()-3)),'Relacion '!$E:$E,'Relacion '!#REF!,0),
  0
 )
)</f>
        <v>1</v>
      </c>
      <c r="I1040" s="241">
        <f t="shared" ca="1" si="242"/>
        <v>1</v>
      </c>
      <c r="J1040" s="241"/>
      <c r="K1040" s="241"/>
      <c r="L1040" s="238"/>
    </row>
    <row r="1041" spans="2:12" outlineLevel="1">
      <c r="B1041" s="237" t="s">
        <v>324</v>
      </c>
      <c r="C1041" s="237" t="s">
        <v>324</v>
      </c>
      <c r="D1041" s="238" t="str">
        <f>_xlfn.XLOOKUP(B1041,'Relacion '!$E:$E,'Relacion '!$D:$D,"")</f>
        <v/>
      </c>
      <c r="E1041" s="239">
        <f t="shared" si="243"/>
        <v>4</v>
      </c>
      <c r="F1041" s="240" cm="1">
        <f t="array" ref="F1041">MIN(INDEX('Relacion '!$AD$5:$AE$493,MATCH(INDEX($B:$B, (ROW()-4)),'Relacion '!$E$5:$E$493,0),0))</f>
        <v>46048</v>
      </c>
      <c r="G1041" s="240" cm="1">
        <f t="array" ref="G1041">MAX(INDEX('Relacion '!$AD$5:$AE$493,MATCH(INDEX($B:$B, (ROW()-4)),'Relacion '!$E$5:$E$493,0),0))</f>
        <v>46052</v>
      </c>
      <c r="H1041" s="241" cm="1">
        <f t="array" ref="H1041">IF(
 MATCH(B1041,{"01. ASIGNACION AREA";"02. MAPEO";"03. DESARROLLO";"04. VALIDA US";"05. VOBO US";"06. BW-EJECUCION";"07. VALIDACIÓN BAJAWARE";"08. CERRADA"},0)
 &lt;
 MATCH(_xlfn.XLOOKUP(INDEX($B:$B, (ROW()-4)),'Relacion '!$E:$E,'Relacion '!$D:$D,""),{"01. ASIGNACION AREA";"02. MAPEO";"03. DESARROLLO";"04. VALIDA US";"05. VOBO US";"06. BW-EJECUCION";"07. VALIDACIÓN BAJAWARE";"08. CERRADA"},0),
 1,
 IF(
  MATCH(B1041,{"01. ASIGNACION AREA";"02. MAPEO";"03. DESARROLLO";"04. VALIDA US";"05. VOBO US";"06. BW-EJECUCION";"07. VALIDACIÓN BAJAWARE";"08. CERRADA"},0)
  =
  MATCH(_xlfn.XLOOKUP(INDEX($B:$B, (ROW()-4)),'Relacion '!$E:$E,'Relacion '!$D:$D,""),{"01. ASIGNACION AREA";"02. MAPEO";"03. DESARROLLO";"04. VALIDA US";"05. VOBO US";"06. BW-EJECUCION";"07. VALIDACIÓN BAJAWARE";"08. CERRADA"},0),
  _xlfn.XLOOKUP(INDEX($B:$B, (ROW()-4)),'Relacion '!$E:$E,'Relacion '!#REF!,0),
  0
 )
)</f>
        <v>1</v>
      </c>
      <c r="I1041" s="241">
        <f t="shared" ca="1" si="242"/>
        <v>1</v>
      </c>
      <c r="J1041" s="241"/>
      <c r="K1041" s="241"/>
      <c r="L1041" s="238"/>
    </row>
    <row r="1042" spans="2:12" outlineLevel="1">
      <c r="B1042" s="237" t="s">
        <v>320</v>
      </c>
      <c r="C1042" s="237" t="s">
        <v>320</v>
      </c>
      <c r="D1042" s="238" t="str">
        <f>_xlfn.XLOOKUP(B1042,'Relacion '!$E:$E,'Relacion '!$D:$D,"")</f>
        <v/>
      </c>
      <c r="E1042" s="239">
        <f t="shared" si="243"/>
        <v>7</v>
      </c>
      <c r="F1042" s="240" cm="1">
        <f t="array" ref="F1042">MIN(INDEX('Relacion '!$AF$5:$AG$493,MATCH(INDEX($B:$B, (ROW()-5)),'Relacion '!$E$5:$E$493,0),0))</f>
        <v>46055</v>
      </c>
      <c r="G1042" s="240" cm="1">
        <f t="array" ref="G1042">MAX(INDEX('Relacion '!$AF$5:$AG$493,MATCH(INDEX($B:$B, (ROW()-5)),'Relacion '!$E$5:$E$493,0),0))</f>
        <v>46062</v>
      </c>
      <c r="H1042" s="241" cm="1">
        <f t="array" ref="H1042">IF(
 MATCH(B1042,{"01. ASIGNACION AREA";"02. MAPEO";"03. DESARROLLO";"04. VALIDA US";"05. VOBO US";"06. BW-EJECUCION";"07. VALIDACIÓN BAJAWARE";"08. CERRADA"},0)
 &lt;
 MATCH(_xlfn.XLOOKUP(INDEX($B:$B, (ROW()-5)),'Relacion '!$E:$E,'Relacion '!$D:$D,""),{"01. ASIGNACION AREA";"02. MAPEO";"03. DESARROLLO";"04. VALIDA US";"05. VOBO US";"06. BW-EJECUCION";"07. VALIDACIÓN BAJAWARE";"08. CERRADA"},0),
 1,
 IF(
  MATCH(B1042,{"01. ASIGNACION AREA";"02. MAPEO";"03. DESARROLLO";"04. VALIDA US";"05. VOBO US";"06. BW-EJECUCION";"07. VALIDACIÓN BAJAWARE";"08. CERRADA"},0)
  =
  MATCH(_xlfn.XLOOKUP(INDEX($B:$B, (ROW()-5)),'Relacion '!$E:$E,'Relacion '!$D:$D,""),{"01. ASIGNACION AREA";"02. MAPEO";"03. DESARROLLO";"04. VALIDA US";"05. VOBO US";"06. BW-EJECUCION";"07. VALIDACIÓN BAJAWARE";"08. CERRADA"},0),
  _xlfn.XLOOKUP(INDEX($B:$B, (ROW()-5)),'Relacion '!$E:$E,'Relacion '!#REF!,0),
  0
 )
)</f>
        <v>1</v>
      </c>
      <c r="I1042" s="241">
        <f t="shared" ca="1" si="242"/>
        <v>1</v>
      </c>
      <c r="J1042" s="241"/>
      <c r="K1042" s="241"/>
      <c r="L1042" s="238"/>
    </row>
    <row r="1043" spans="2:12" outlineLevel="1">
      <c r="B1043" s="237" t="s">
        <v>710</v>
      </c>
      <c r="C1043" s="237" t="s">
        <v>710</v>
      </c>
      <c r="D1043" s="238" t="str">
        <f>_xlfn.XLOOKUP(B1043,'Relacion '!$E:$E,'Relacion '!$D:$D,"")</f>
        <v/>
      </c>
      <c r="E1043" s="239">
        <f t="shared" si="243"/>
        <v>25</v>
      </c>
      <c r="F1043" s="240" cm="1">
        <f t="array" ref="F1043">MIN(INDEX('Relacion '!$AH$5:$AI$493,MATCH(INDEX($B:$B, (ROW()-6)),'Relacion '!$E$5:$E$493,0),0))</f>
        <v>46076</v>
      </c>
      <c r="G1043" s="240" cm="1">
        <f t="array" ref="G1043">MAX(INDEX('Relacion '!$AH$5:$AI$493,MATCH(INDEX($B:$B, (ROW()-6)),'Relacion '!$E$5:$E$493,0),0))</f>
        <v>46101</v>
      </c>
      <c r="H1043" s="241" t="e" cm="1">
        <f t="array" ref="H1043">IF(
 MATCH(B1043,{"01. ASIGNACION AREA";"02. MAPEO";"03. DESARROLLO";"04. VALIDA US";"05. VOBO US";"06. BW-EJECUCION";"07. VALIDACIÓN BAJAWARE";"08. CERRADA"},0)
 &lt;
 MATCH(_xlfn.XLOOKUP(INDEX($B:$B, (ROW()-6)),'Relacion '!$E:$E,'Relacion '!$D:$D,""),{"01. ASIGNACION AREA";"02. MAPEO";"03. DESARROLLO";"04. VALIDA US";"05. VOBO US";"06. BW-EJECUCION";"07. VALIDACIÓN BAJAWARE";"08. CERRADA"},0),
 1,
 IF(
  MATCH(B1043,{"01. ASIGNACION AREA";"02. MAPEO";"03. DESARROLLO";"04. VALIDA US";"05. VOBO US";"06. BW-EJECUCION";"07. VALIDACIÓN BAJAWARE";"08. CERRADA"},0)
  =
  MATCH(_xlfn.XLOOKUP(INDEX($B:$B, (ROW()-6)),'Relacion '!$E:$E,'Relacion '!$D:$D,""),{"01. ASIGNACION AREA";"02. MAPEO";"03. DESARROLLO";"04. VALIDA US";"05. VOBO US";"06. BW-EJECUCION";"07. VALIDACIÓN BAJAWARE";"08. CERRADA"},0),
  _xlfn.XLOOKUP(INDEX($B:$B, (ROW()-6)),'Relacion '!$E:$E,'Relacion '!#REF!,0),
  0
 )
)</f>
        <v>#REF!</v>
      </c>
      <c r="I1043" s="241">
        <f t="shared" ca="1" si="242"/>
        <v>1</v>
      </c>
      <c r="J1043" s="241"/>
      <c r="K1043" s="241"/>
      <c r="L1043" s="238"/>
    </row>
    <row r="1044" spans="2:12" outlineLevel="1">
      <c r="B1044" s="237" t="s">
        <v>655</v>
      </c>
      <c r="C1044" s="237" t="s">
        <v>655</v>
      </c>
      <c r="D1044" s="238" t="str">
        <f>_xlfn.XLOOKUP(B1044,'Relacion '!$E:$E,'Relacion '!$D:$D,"")</f>
        <v/>
      </c>
      <c r="E1044" s="239">
        <f t="shared" si="243"/>
        <v>25</v>
      </c>
      <c r="F1044" s="240" cm="1">
        <f t="array" ref="F1044">MIN(INDEX('Relacion '!$AJ$5:$AK$493,MATCH(INDEX($B:$B, (ROW()-7)),'Relacion '!$E$5:$E$493,0),0))</f>
        <v>46104</v>
      </c>
      <c r="G1044" s="240" cm="1">
        <f t="array" ref="G1044">MAX(INDEX('Relacion '!$AJ$5:$AK$493,MATCH(INDEX($B:$B, (ROW()-7)),'Relacion '!$E$5:$E$493,0),0))</f>
        <v>46129</v>
      </c>
      <c r="H1044" s="241" cm="1">
        <f t="array" ref="H1044">IF(
 MATCH(B1044,{"01. ASIGNACION AREA";"02. MAPEO";"03. DESARROLLO";"04. VALIDA US";"05. VOBO US";"06. BW-EJECUCION";"07. VALIDACIÓN BAJAWARE";"08. CERRADA"},0)
 &lt;
 MATCH(_xlfn.XLOOKUP(INDEX($B:$B, (ROW()-7)),'Relacion '!$E:$E,'Relacion '!$D:$D,""),{"01. ASIGNACION AREA";"02. MAPEO";"03. DESARROLLO";"04. VALIDA US";"05. VOBO US";"06. BW-EJECUCION";"07. VALIDACIÓN BAJAWARE";"08. CERRADA"},0),
 1,
 IF(
  MATCH(B1044,{"01. ASIGNACION AREA";"02. MAPEO";"03. DESARROLLO";"04. VALIDA US";"05. VOBO US";"06. BW-EJECUCION";"07. VALIDACIÓN BAJAWARE";"08. CERRADA"},0)
  =
  MATCH(_xlfn.XLOOKUP(INDEX($B:$B, (ROW()-7)),'Relacion '!$E:$E,'Relacion '!$D:$D,""),{"01. ASIGNACION AREA";"02. MAPEO";"03. DESARROLLO";"04. VALIDA US";"05. VOBO US";"06. BW-EJECUCION";"07. VALIDACIÓN BAJAWARE";"08. CERRADA"},0),
  _xlfn.XLOOKUP(INDEX($B:$B, (ROW()-7)),'Relacion '!$E:$E,'Relacion '!#REF!,0),
  0
 )
)</f>
        <v>0</v>
      </c>
      <c r="I1044" s="241">
        <f t="shared" ca="1" si="242"/>
        <v>1</v>
      </c>
      <c r="J1044" s="241"/>
      <c r="K1044" s="241"/>
      <c r="L1044" s="238"/>
    </row>
    <row r="1045" spans="2:12" outlineLevel="1">
      <c r="B1045" s="237" t="s">
        <v>656</v>
      </c>
      <c r="C1045" s="237" t="s">
        <v>656</v>
      </c>
      <c r="D1045" s="238" t="str">
        <f>_xlfn.XLOOKUP(B1045,'Relacion '!$E:$E,'Relacion '!$D:$D,"")</f>
        <v/>
      </c>
      <c r="E1045" s="239">
        <f t="shared" si="243"/>
        <v>0</v>
      </c>
      <c r="F1045" s="240" cm="1">
        <f t="array" ref="F1045">MIN(INDEX('Relacion '!$AL$5:$AM$493,MATCH(INDEX($B:$B, (ROW()-8)),'Relacion '!$E$5:$E$493,0),0))</f>
        <v>46130</v>
      </c>
      <c r="G1045" s="240" cm="1">
        <f t="array" ref="G1045">MAX(INDEX('Relacion '!$AL$5:$AM$493,MATCH(INDEX($B:$B, (ROW()-8)),'Relacion '!$E$5:$E$493,0),0))</f>
        <v>46130</v>
      </c>
      <c r="H1045" s="241" cm="1">
        <f t="array" ref="H1045">IF(
 MATCH(B1045,{"01. ASIGNACION AREA";"02. MAPEO";"03. DESARROLLO";"04. VALIDA US";"05. VOBO US";"06. BW-EJECUCION";"07. VALIDACIÓN BAJAWARE";"08. CERRADA"},0)
 &lt;
 MATCH(_xlfn.XLOOKUP(INDEX($B:$B, (ROW()-8)),'Relacion '!$E:$E,'Relacion '!$D:$D,""),{"01. ASIGNACION AREA";"02. MAPEO";"03. DESARROLLO";"04. VALIDA US";"05. VOBO US";"06. BW-EJECUCION";"07. VALIDACIÓN BAJAWARE";"08. CERRADA"},0),
 1,
 IF(
  MATCH(B1045,{"01. ASIGNACION AREA";"02. MAPEO";"03. DESARROLLO";"04. VALIDA US";"05. VOBO US";"06. BW-EJECUCION";"07. VALIDACIÓN BAJAWARE";"08. CERRADA"},0)
  =
  MATCH(_xlfn.XLOOKUP(INDEX($B:$B, (ROW()-8)),'Relacion '!$E:$E,'Relacion '!$D:$D,""),{"01. ASIGNACION AREA";"02. MAPEO";"03. DESARROLLO";"04. VALIDA US";"05. VOBO US";"06. BW-EJECUCION";"07. VALIDACIÓN BAJAWARE";"08. CERRADA"},0),
  _xlfn.XLOOKUP(INDEX($B:$B, (ROW()-8)),'Relacion '!$E:$E,'Relacion '!#REF!,0),
  0
 )
)</f>
        <v>0</v>
      </c>
      <c r="I1045" s="241">
        <f t="shared" ca="1" si="242"/>
        <v>1</v>
      </c>
      <c r="J1045" s="241"/>
      <c r="K1045" s="241"/>
      <c r="L1045" s="238"/>
    </row>
    <row r="1046" spans="2:12">
      <c r="B1046" s="232" t="s">
        <v>243</v>
      </c>
      <c r="C1046" s="167" t="s">
        <v>244</v>
      </c>
      <c r="D1046" s="236" t="str">
        <f>_xlfn.XLOOKUP(B1046,'Relacion '!$E:$E,'Relacion '!$D:$D,"")</f>
        <v>04. VALIDA US</v>
      </c>
      <c r="E1046" s="233">
        <f t="shared" si="243"/>
        <v>127</v>
      </c>
      <c r="F1046" s="234" cm="1">
        <f t="array" ref="F1046">MIN(INDEX('Relacion '!$X$5:$AM$493,MATCH(INDEX($B:$B, (ROW()-0)),'Relacion '!$E$5:$E$493,0),0))</f>
        <v>46024</v>
      </c>
      <c r="G1046" s="234" cm="1">
        <f t="array" ref="G1046">MAX(INDEX('Relacion '!$X$5:$AM$493,MATCH(INDEX($B:$B, (ROW()-0)),'Relacion '!$E$5:$E$493,0),0))</f>
        <v>46151</v>
      </c>
      <c r="H1046" s="235" t="e">
        <f>AVERAGE(H1047:H1054)</f>
        <v>#REF!</v>
      </c>
      <c r="I1046" s="235">
        <f t="shared" ref="I1046" ca="1" si="248">AVERAGE(I1047:I1054)</f>
        <v>1</v>
      </c>
      <c r="J1046" s="236" t="str">
        <f>IF(ISNUMBER(SEARCH("Rocha", _xlfn.XLOOKUP(B1046,'Relacion '!$E:$E,'Relacion '!$I:$I,""))), "Sí", "No")</f>
        <v>No</v>
      </c>
      <c r="K1046" s="236" t="str">
        <f>IF(ISNUMBER(SEARCH("Rocha", _xlfn.XLOOKUP(B1046,'Relacion '!$E:$E,'Relacion '!$I:$I,""))), "RMC", _xlfn.XLOOKUP(B1046,'Relacion '!$E:$E,'Relacion '!$B:$B,""))</f>
        <v>Contabilidad</v>
      </c>
      <c r="L1046" s="236" t="str">
        <f>_xlfn.XLOOKUP(B1046,'Relacion '!$E:$E,'Relacion '!$C:$C,"")</f>
        <v xml:space="preserve">Ramon Jaimes </v>
      </c>
    </row>
    <row r="1047" spans="2:12" outlineLevel="1">
      <c r="B1047" s="237" t="s">
        <v>654</v>
      </c>
      <c r="C1047" s="237" t="s">
        <v>654</v>
      </c>
      <c r="D1047" s="238" t="str">
        <f>_xlfn.XLOOKUP(B1047,'Relacion '!$E:$E,'Relacion '!$D:$D,"")</f>
        <v/>
      </c>
      <c r="E1047" s="239">
        <f t="shared" si="243"/>
        <v>14</v>
      </c>
      <c r="F1047" s="240" cm="1">
        <f t="array" ref="F1047">MIN(INDEX('Relacion '!$X$5:$Y$493,MATCH(INDEX($B:$B, (ROW()-1)),'Relacion '!$E$5:$E$493,0),0))</f>
        <v>46024</v>
      </c>
      <c r="G1047" s="240" cm="1">
        <f t="array" ref="G1047">MAX(INDEX('Relacion '!$X$5:$Y$493,MATCH(INDEX($B:$B, (ROW()-1)),'Relacion '!$E$5:$E$493,0),0))</f>
        <v>46038</v>
      </c>
      <c r="H1047" s="241" cm="1">
        <f t="array" ref="H1047">IF(
 MATCH(B1047,{"01. ASIGNACION AREA";"02. MAPEO";"03. DESARROLLO";"04. VALIDA US";"05. VOBO US";"06. BW-EJECUCION";"07. VALIDACIÓN BAJAWARE";"08. CERRADA"},0)
 &lt;
 MATCH(_xlfn.XLOOKUP(INDEX($B:$B, (ROW()-1)),'Relacion '!$E:$E,'Relacion '!$D:$D,""),{"01. ASIGNACION AREA";"02. MAPEO";"03. DESARROLLO";"04. VALIDA US";"05. VOBO US";"06. BW-EJECUCION";"07. VALIDACIÓN BAJAWARE";"08. CERRADA"},0),
 1,
 IF(
  MATCH(B1047,{"01. ASIGNACION AREA";"02. MAPEO";"03. DESARROLLO";"04. VALIDA US";"05. VOBO US";"06. BW-EJECUCION";"07. VALIDACIÓN BAJAWARE";"08. CERRADA"},0)
  =
  MATCH(_xlfn.XLOOKUP(INDEX($B:$B, (ROW()-1)),'Relacion '!$E:$E,'Relacion '!$D:$D,""),{"01. ASIGNACION AREA";"02. MAPEO";"03. DESARROLLO";"04. VALIDA US";"05. VOBO US";"06. BW-EJECUCION";"07. VALIDACIÓN BAJAWARE";"08. CERRADA"},0),
  _xlfn.XLOOKUP(INDEX($B:$B, (ROW()-1)),'Relacion '!$E:$E,'Relacion '!#REF!,0),
  0
 )
)</f>
        <v>1</v>
      </c>
      <c r="I1047" s="241">
        <f t="shared" ref="I1047" ca="1" si="249">IF(G1047&lt;=TODAY(), 1, 0)</f>
        <v>1</v>
      </c>
      <c r="J1047" s="241"/>
      <c r="K1047" s="241"/>
      <c r="L1047" s="238"/>
    </row>
    <row r="1048" spans="2:12" outlineLevel="1">
      <c r="B1048" s="237" t="s">
        <v>195</v>
      </c>
      <c r="C1048" s="237" t="s">
        <v>195</v>
      </c>
      <c r="D1048" s="238" t="str">
        <f>_xlfn.XLOOKUP(B1048,'Relacion '!$E:$E,'Relacion '!$D:$D,"")</f>
        <v/>
      </c>
      <c r="E1048" s="239">
        <f t="shared" si="243"/>
        <v>17</v>
      </c>
      <c r="F1048" s="240" cm="1">
        <f t="array" ref="F1048">MIN(INDEX('Relacion '!$Z$5:$AA$493,MATCH(INDEX($B:$B, (ROW()-2)),'Relacion '!$E$5:$E$493,0),0))</f>
        <v>46056</v>
      </c>
      <c r="G1048" s="240" cm="1">
        <f t="array" ref="G1048">MAX(INDEX('Relacion '!$Z$5:$AA$493,MATCH(INDEX($B:$B, (ROW()-2)),'Relacion '!$E$5:$E$493,0),0))</f>
        <v>46073</v>
      </c>
      <c r="H1048" s="241" cm="1">
        <f t="array" ref="H1048">IF(
 MATCH(B1048,{"01. ASIGNACION AREA";"02. MAPEO";"03. DESARROLLO";"04. VALIDA US";"05. VOBO US";"06. BW-EJECUCION";"07. VALIDACIÓN BAJAWARE";"08. CERRADA"},0)
 &lt;
 MATCH(_xlfn.XLOOKUP(INDEX($B:$B, (ROW()-2)),'Relacion '!$E:$E,'Relacion '!$D:$D,""),{"01. ASIGNACION AREA";"02. MAPEO";"03. DESARROLLO";"04. VALIDA US";"05. VOBO US";"06. BW-EJECUCION";"07. VALIDACIÓN BAJAWARE";"08. CERRADA"},0),
 1,
 IF(
  MATCH(B1048,{"01. ASIGNACION AREA";"02. MAPEO";"03. DESARROLLO";"04. VALIDA US";"05. VOBO US";"06. BW-EJECUCION";"07. VALIDACIÓN BAJAWARE";"08. CERRADA"},0)
  =
  MATCH(_xlfn.XLOOKUP(INDEX($B:$B, (ROW()-2)),'Relacion '!$E:$E,'Relacion '!$D:$D,""),{"01. ASIGNACION AREA";"02. MAPEO";"03. DESARROLLO";"04. VALIDA US";"05. VOBO US";"06. BW-EJECUCION";"07. VALIDACIÓN BAJAWARE";"08. CERRADA"},0),
  _xlfn.XLOOKUP(INDEX($B:$B, (ROW()-2)),'Relacion '!$E:$E,'Relacion '!#REF!,0),
  0
 )
)</f>
        <v>1</v>
      </c>
      <c r="I1048" s="241">
        <f t="shared" ca="1" si="242"/>
        <v>1</v>
      </c>
      <c r="J1048" s="241"/>
      <c r="K1048" s="241"/>
      <c r="L1048" s="238"/>
    </row>
    <row r="1049" spans="2:12" outlineLevel="1">
      <c r="B1049" s="237" t="s">
        <v>49</v>
      </c>
      <c r="C1049" s="237" t="s">
        <v>49</v>
      </c>
      <c r="D1049" s="238" t="str">
        <f>_xlfn.XLOOKUP(B1049,'Relacion '!$E:$E,'Relacion '!$D:$D,"")</f>
        <v/>
      </c>
      <c r="E1049" s="239">
        <f t="shared" si="243"/>
        <v>18</v>
      </c>
      <c r="F1049" s="240" cm="1">
        <f t="array" ref="F1049">MIN(INDEX('Relacion '!$AB$5:$AC$493,MATCH(INDEX($B:$B, (ROW()-3)),'Relacion '!$E$5:$E$493,0),0))</f>
        <v>46076</v>
      </c>
      <c r="G1049" s="240" cm="1">
        <f t="array" ref="G1049">MAX(INDEX('Relacion '!$AB$5:$AC$493,MATCH(INDEX($B:$B, (ROW()-3)),'Relacion '!$E$5:$E$493,0),0))</f>
        <v>46094</v>
      </c>
      <c r="H1049" s="241" cm="1">
        <f t="array" ref="H1049">IF(
 MATCH(B1049,{"01. ASIGNACION AREA";"02. MAPEO";"03. DESARROLLO";"04. VALIDA US";"05. VOBO US";"06. BW-EJECUCION";"07. VALIDACIÓN BAJAWARE";"08. CERRADA"},0)
 &lt;
 MATCH(_xlfn.XLOOKUP(INDEX($B:$B, (ROW()-3)),'Relacion '!$E:$E,'Relacion '!$D:$D,""),{"01. ASIGNACION AREA";"02. MAPEO";"03. DESARROLLO";"04. VALIDA US";"05. VOBO US";"06. BW-EJECUCION";"07. VALIDACIÓN BAJAWARE";"08. CERRADA"},0),
 1,
 IF(
  MATCH(B1049,{"01. ASIGNACION AREA";"02. MAPEO";"03. DESARROLLO";"04. VALIDA US";"05. VOBO US";"06. BW-EJECUCION";"07. VALIDACIÓN BAJAWARE";"08. CERRADA"},0)
  =
  MATCH(_xlfn.XLOOKUP(INDEX($B:$B, (ROW()-3)),'Relacion '!$E:$E,'Relacion '!$D:$D,""),{"01. ASIGNACION AREA";"02. MAPEO";"03. DESARROLLO";"04. VALIDA US";"05. VOBO US";"06. BW-EJECUCION";"07. VALIDACIÓN BAJAWARE";"08. CERRADA"},0),
  _xlfn.XLOOKUP(INDEX($B:$B, (ROW()-3)),'Relacion '!$E:$E,'Relacion '!#REF!,0),
  0
 )
)</f>
        <v>1</v>
      </c>
      <c r="I1049" s="241">
        <f t="shared" ca="1" si="242"/>
        <v>1</v>
      </c>
      <c r="J1049" s="241"/>
      <c r="K1049" s="241"/>
      <c r="L1049" s="238"/>
    </row>
    <row r="1050" spans="2:12" outlineLevel="1">
      <c r="B1050" s="237" t="s">
        <v>324</v>
      </c>
      <c r="C1050" s="237" t="s">
        <v>324</v>
      </c>
      <c r="D1050" s="238" t="str">
        <f>_xlfn.XLOOKUP(B1050,'Relacion '!$E:$E,'Relacion '!$D:$D,"")</f>
        <v/>
      </c>
      <c r="E1050" s="239">
        <f t="shared" si="243"/>
        <v>11</v>
      </c>
      <c r="F1050" s="240" cm="1">
        <f t="array" ref="F1050">MIN(INDEX('Relacion '!$AD$5:$AE$493,MATCH(INDEX($B:$B, (ROW()-4)),'Relacion '!$E$5:$E$493,0),0))</f>
        <v>46097</v>
      </c>
      <c r="G1050" s="240" cm="1">
        <f t="array" ref="G1050">MAX(INDEX('Relacion '!$AD$5:$AE$493,MATCH(INDEX($B:$B, (ROW()-4)),'Relacion '!$E$5:$E$493,0),0))</f>
        <v>46108</v>
      </c>
      <c r="H1050" s="241" t="e" cm="1">
        <f t="array" ref="H1050">IF(
 MATCH(B1050,{"01. ASIGNACION AREA";"02. MAPEO";"03. DESARROLLO";"04. VALIDA US";"05. VOBO US";"06. BW-EJECUCION";"07. VALIDACIÓN BAJAWARE";"08. CERRADA"},0)
 &lt;
 MATCH(_xlfn.XLOOKUP(INDEX($B:$B, (ROW()-4)),'Relacion '!$E:$E,'Relacion '!$D:$D,""),{"01. ASIGNACION AREA";"02. MAPEO";"03. DESARROLLO";"04. VALIDA US";"05. VOBO US";"06. BW-EJECUCION";"07. VALIDACIÓN BAJAWARE";"08. CERRADA"},0),
 1,
 IF(
  MATCH(B1050,{"01. ASIGNACION AREA";"02. MAPEO";"03. DESARROLLO";"04. VALIDA US";"05. VOBO US";"06. BW-EJECUCION";"07. VALIDACIÓN BAJAWARE";"08. CERRADA"},0)
  =
  MATCH(_xlfn.XLOOKUP(INDEX($B:$B, (ROW()-4)),'Relacion '!$E:$E,'Relacion '!$D:$D,""),{"01. ASIGNACION AREA";"02. MAPEO";"03. DESARROLLO";"04. VALIDA US";"05. VOBO US";"06. BW-EJECUCION";"07. VALIDACIÓN BAJAWARE";"08. CERRADA"},0),
  _xlfn.XLOOKUP(INDEX($B:$B, (ROW()-4)),'Relacion '!$E:$E,'Relacion '!#REF!,0),
  0
 )
)</f>
        <v>#REF!</v>
      </c>
      <c r="I1050" s="241">
        <f t="shared" ca="1" si="242"/>
        <v>1</v>
      </c>
      <c r="J1050" s="241"/>
      <c r="K1050" s="241"/>
      <c r="L1050" s="238"/>
    </row>
    <row r="1051" spans="2:12" outlineLevel="1">
      <c r="B1051" s="237" t="s">
        <v>320</v>
      </c>
      <c r="C1051" s="237" t="s">
        <v>320</v>
      </c>
      <c r="D1051" s="238" t="str">
        <f>_xlfn.XLOOKUP(B1051,'Relacion '!$E:$E,'Relacion '!$D:$D,"")</f>
        <v/>
      </c>
      <c r="E1051" s="239">
        <f t="shared" si="243"/>
        <v>1</v>
      </c>
      <c r="F1051" s="240" cm="1">
        <f t="array" ref="F1051">MIN(INDEX('Relacion '!$AF$5:$AG$493,MATCH(INDEX($B:$B, (ROW()-5)),'Relacion '!$E$5:$E$493,0),0))</f>
        <v>46107</v>
      </c>
      <c r="G1051" s="240" cm="1">
        <f t="array" ref="G1051">MAX(INDEX('Relacion '!$AF$5:$AG$493,MATCH(INDEX($B:$B, (ROW()-5)),'Relacion '!$E$5:$E$493,0),0))</f>
        <v>46108</v>
      </c>
      <c r="H1051" s="241" cm="1">
        <f t="array" ref="H1051">IF(
 MATCH(B1051,{"01. ASIGNACION AREA";"02. MAPEO";"03. DESARROLLO";"04. VALIDA US";"05. VOBO US";"06. BW-EJECUCION";"07. VALIDACIÓN BAJAWARE";"08. CERRADA"},0)
 &lt;
 MATCH(_xlfn.XLOOKUP(INDEX($B:$B, (ROW()-5)),'Relacion '!$E:$E,'Relacion '!$D:$D,""),{"01. ASIGNACION AREA";"02. MAPEO";"03. DESARROLLO";"04. VALIDA US";"05. VOBO US";"06. BW-EJECUCION";"07. VALIDACIÓN BAJAWARE";"08. CERRADA"},0),
 1,
 IF(
  MATCH(B1051,{"01. ASIGNACION AREA";"02. MAPEO";"03. DESARROLLO";"04. VALIDA US";"05. VOBO US";"06. BW-EJECUCION";"07. VALIDACIÓN BAJAWARE";"08. CERRADA"},0)
  =
  MATCH(_xlfn.XLOOKUP(INDEX($B:$B, (ROW()-5)),'Relacion '!$E:$E,'Relacion '!$D:$D,""),{"01. ASIGNACION AREA";"02. MAPEO";"03. DESARROLLO";"04. VALIDA US";"05. VOBO US";"06. BW-EJECUCION";"07. VALIDACIÓN BAJAWARE";"08. CERRADA"},0),
  _xlfn.XLOOKUP(INDEX($B:$B, (ROW()-5)),'Relacion '!$E:$E,'Relacion '!#REF!,0),
  0
 )
)</f>
        <v>0</v>
      </c>
      <c r="I1051" s="241">
        <f t="shared" ca="1" si="242"/>
        <v>1</v>
      </c>
      <c r="J1051" s="241"/>
      <c r="K1051" s="241"/>
      <c r="L1051" s="238"/>
    </row>
    <row r="1052" spans="2:12" outlineLevel="1">
      <c r="B1052" s="237" t="s">
        <v>710</v>
      </c>
      <c r="C1052" s="237" t="s">
        <v>710</v>
      </c>
      <c r="D1052" s="238" t="str">
        <f>_xlfn.XLOOKUP(B1052,'Relacion '!$E:$E,'Relacion '!$D:$D,"")</f>
        <v/>
      </c>
      <c r="E1052" s="239">
        <f t="shared" si="243"/>
        <v>18</v>
      </c>
      <c r="F1052" s="240" cm="1">
        <f t="array" ref="F1052">MIN(INDEX('Relacion '!$AH$5:$AI$493,MATCH(INDEX($B:$B, (ROW()-6)),'Relacion '!$E$5:$E$493,0),0))</f>
        <v>46111</v>
      </c>
      <c r="G1052" s="240" cm="1">
        <f t="array" ref="G1052">MAX(INDEX('Relacion '!$AH$5:$AI$493,MATCH(INDEX($B:$B, (ROW()-6)),'Relacion '!$E$5:$E$493,0),0))</f>
        <v>46129</v>
      </c>
      <c r="H1052" s="241" cm="1">
        <f t="array" ref="H1052">IF(
 MATCH(B1052,{"01. ASIGNACION AREA";"02. MAPEO";"03. DESARROLLO";"04. VALIDA US";"05. VOBO US";"06. BW-EJECUCION";"07. VALIDACIÓN BAJAWARE";"08. CERRADA"},0)
 &lt;
 MATCH(_xlfn.XLOOKUP(INDEX($B:$B, (ROW()-6)),'Relacion '!$E:$E,'Relacion '!$D:$D,""),{"01. ASIGNACION AREA";"02. MAPEO";"03. DESARROLLO";"04. VALIDA US";"05. VOBO US";"06. BW-EJECUCION";"07. VALIDACIÓN BAJAWARE";"08. CERRADA"},0),
 1,
 IF(
  MATCH(B1052,{"01. ASIGNACION AREA";"02. MAPEO";"03. DESARROLLO";"04. VALIDA US";"05. VOBO US";"06. BW-EJECUCION";"07. VALIDACIÓN BAJAWARE";"08. CERRADA"},0)
  =
  MATCH(_xlfn.XLOOKUP(INDEX($B:$B, (ROW()-6)),'Relacion '!$E:$E,'Relacion '!$D:$D,""),{"01. ASIGNACION AREA";"02. MAPEO";"03. DESARROLLO";"04. VALIDA US";"05. VOBO US";"06. BW-EJECUCION";"07. VALIDACIÓN BAJAWARE";"08. CERRADA"},0),
  _xlfn.XLOOKUP(INDEX($B:$B, (ROW()-6)),'Relacion '!$E:$E,'Relacion '!#REF!,0),
  0
 )
)</f>
        <v>0</v>
      </c>
      <c r="I1052" s="241">
        <f t="shared" ca="1" si="242"/>
        <v>1</v>
      </c>
      <c r="J1052" s="241"/>
      <c r="K1052" s="241"/>
      <c r="L1052" s="238"/>
    </row>
    <row r="1053" spans="2:12" outlineLevel="1">
      <c r="B1053" s="237" t="s">
        <v>655</v>
      </c>
      <c r="C1053" s="237" t="s">
        <v>655</v>
      </c>
      <c r="D1053" s="238" t="str">
        <f>_xlfn.XLOOKUP(B1053,'Relacion '!$E:$E,'Relacion '!$D:$D,"")</f>
        <v/>
      </c>
      <c r="E1053" s="239">
        <f t="shared" si="243"/>
        <v>18</v>
      </c>
      <c r="F1053" s="240" cm="1">
        <f t="array" ref="F1053">MIN(INDEX('Relacion '!$AJ$5:$AK$493,MATCH(INDEX($B:$B, (ROW()-7)),'Relacion '!$E$5:$E$493,0),0))</f>
        <v>46132</v>
      </c>
      <c r="G1053" s="240" cm="1">
        <f t="array" ref="G1053">MAX(INDEX('Relacion '!$AJ$5:$AK$493,MATCH(INDEX($B:$B, (ROW()-7)),'Relacion '!$E$5:$E$493,0),0))</f>
        <v>46150</v>
      </c>
      <c r="H1053" s="241" cm="1">
        <f t="array" ref="H1053">IF(
 MATCH(B1053,{"01. ASIGNACION AREA";"02. MAPEO";"03. DESARROLLO";"04. VALIDA US";"05. VOBO US";"06. BW-EJECUCION";"07. VALIDACIÓN BAJAWARE";"08. CERRADA"},0)
 &lt;
 MATCH(_xlfn.XLOOKUP(INDEX($B:$B, (ROW()-7)),'Relacion '!$E:$E,'Relacion '!$D:$D,""),{"01. ASIGNACION AREA";"02. MAPEO";"03. DESARROLLO";"04. VALIDA US";"05. VOBO US";"06. BW-EJECUCION";"07. VALIDACIÓN BAJAWARE";"08. CERRADA"},0),
 1,
 IF(
  MATCH(B1053,{"01. ASIGNACION AREA";"02. MAPEO";"03. DESARROLLO";"04. VALIDA US";"05. VOBO US";"06. BW-EJECUCION";"07. VALIDACIÓN BAJAWARE";"08. CERRADA"},0)
  =
  MATCH(_xlfn.XLOOKUP(INDEX($B:$B, (ROW()-7)),'Relacion '!$E:$E,'Relacion '!$D:$D,""),{"01. ASIGNACION AREA";"02. MAPEO";"03. DESARROLLO";"04. VALIDA US";"05. VOBO US";"06. BW-EJECUCION";"07. VALIDACIÓN BAJAWARE";"08. CERRADA"},0),
  _xlfn.XLOOKUP(INDEX($B:$B, (ROW()-7)),'Relacion '!$E:$E,'Relacion '!#REF!,0),
  0
 )
)</f>
        <v>0</v>
      </c>
      <c r="I1053" s="241">
        <f t="shared" ca="1" si="242"/>
        <v>1</v>
      </c>
      <c r="J1053" s="241"/>
      <c r="K1053" s="241"/>
      <c r="L1053" s="238"/>
    </row>
    <row r="1054" spans="2:12" outlineLevel="1">
      <c r="B1054" s="237" t="s">
        <v>656</v>
      </c>
      <c r="C1054" s="237" t="s">
        <v>656</v>
      </c>
      <c r="D1054" s="238" t="str">
        <f>_xlfn.XLOOKUP(B1054,'Relacion '!$E:$E,'Relacion '!$D:$D,"")</f>
        <v/>
      </c>
      <c r="E1054" s="239">
        <f t="shared" si="243"/>
        <v>0</v>
      </c>
      <c r="F1054" s="240" cm="1">
        <f t="array" ref="F1054">MIN(INDEX('Relacion '!$AL$5:$AM$493,MATCH(INDEX($B:$B, (ROW()-8)),'Relacion '!$E$5:$E$493,0),0))</f>
        <v>46151</v>
      </c>
      <c r="G1054" s="240" cm="1">
        <f t="array" ref="G1054">MAX(INDEX('Relacion '!$AL$5:$AM$493,MATCH(INDEX($B:$B, (ROW()-8)),'Relacion '!$E$5:$E$493,0),0))</f>
        <v>46151</v>
      </c>
      <c r="H1054" s="241" cm="1">
        <f t="array" ref="H1054">IF(
 MATCH(B1054,{"01. ASIGNACION AREA";"02. MAPEO";"03. DESARROLLO";"04. VALIDA US";"05. VOBO US";"06. BW-EJECUCION";"07. VALIDACIÓN BAJAWARE";"08. CERRADA"},0)
 &lt;
 MATCH(_xlfn.XLOOKUP(INDEX($B:$B, (ROW()-8)),'Relacion '!$E:$E,'Relacion '!$D:$D,""),{"01. ASIGNACION AREA";"02. MAPEO";"03. DESARROLLO";"04. VALIDA US";"05. VOBO US";"06. BW-EJECUCION";"07. VALIDACIÓN BAJAWARE";"08. CERRADA"},0),
 1,
 IF(
  MATCH(B1054,{"01. ASIGNACION AREA";"02. MAPEO";"03. DESARROLLO";"04. VALIDA US";"05. VOBO US";"06. BW-EJECUCION";"07. VALIDACIÓN BAJAWARE";"08. CERRADA"},0)
  =
  MATCH(_xlfn.XLOOKUP(INDEX($B:$B, (ROW()-8)),'Relacion '!$E:$E,'Relacion '!$D:$D,""),{"01. ASIGNACION AREA";"02. MAPEO";"03. DESARROLLO";"04. VALIDA US";"05. VOBO US";"06. BW-EJECUCION";"07. VALIDACIÓN BAJAWARE";"08. CERRADA"},0),
  _xlfn.XLOOKUP(INDEX($B:$B, (ROW()-8)),'Relacion '!$E:$E,'Relacion '!#REF!,0),
  0
 )
)</f>
        <v>0</v>
      </c>
      <c r="I1054" s="241">
        <f t="shared" ca="1" si="242"/>
        <v>1</v>
      </c>
      <c r="J1054" s="241"/>
      <c r="K1054" s="241"/>
      <c r="L1054" s="238"/>
    </row>
    <row r="1055" spans="2:12">
      <c r="B1055" s="232" t="s">
        <v>81</v>
      </c>
      <c r="C1055" s="137" t="s">
        <v>82</v>
      </c>
      <c r="D1055" s="236" t="str">
        <f>_xlfn.XLOOKUP(B1055,'Relacion '!$E:$E,'Relacion '!$D:$D,"")</f>
        <v>04. VALIDA US</v>
      </c>
      <c r="E1055" s="233">
        <f t="shared" si="243"/>
        <v>478</v>
      </c>
      <c r="F1055" s="234" cm="1">
        <f t="array" ref="F1055">MIN(INDEX('Relacion '!$X$5:$AM$493,MATCH(INDEX($B:$B, (ROW()-0)),'Relacion '!$E$5:$E$493,0),0))</f>
        <v>45659</v>
      </c>
      <c r="G1055" s="234" cm="1">
        <f t="array" ref="G1055">MAX(INDEX('Relacion '!$X$5:$AM$493,MATCH(INDEX($B:$B, (ROW()-0)),'Relacion '!$E$5:$E$493,0),0))</f>
        <v>46137</v>
      </c>
      <c r="H1055" s="235" t="e">
        <f>AVERAGE(H1056:H1063)</f>
        <v>#REF!</v>
      </c>
      <c r="I1055" s="235">
        <f t="shared" ref="I1055" ca="1" si="250">AVERAGE(I1056:I1063)</f>
        <v>1</v>
      </c>
      <c r="J1055" s="236" t="str">
        <f>IF(ISNUMBER(SEARCH("Rocha", _xlfn.XLOOKUP(B1055,'Relacion '!$E:$E,'Relacion '!$I:$I,""))), "Sí", "No")</f>
        <v>No</v>
      </c>
      <c r="K1055" s="236" t="str">
        <f>IF(ISNUMBER(SEARCH("Rocha", _xlfn.XLOOKUP(B1055,'Relacion '!$E:$E,'Relacion '!$I:$I,""))), "RMC", _xlfn.XLOOKUP(B1055,'Relacion '!$E:$E,'Relacion '!$B:$B,""))</f>
        <v>Operaciones Captacion</v>
      </c>
      <c r="L1055" s="236" t="str">
        <f>_xlfn.XLOOKUP(B1055,'Relacion '!$E:$E,'Relacion '!$C:$C,"")</f>
        <v>Luis Alberto</v>
      </c>
    </row>
    <row r="1056" spans="2:12" outlineLevel="1">
      <c r="B1056" s="237" t="s">
        <v>654</v>
      </c>
      <c r="C1056" s="237" t="s">
        <v>654</v>
      </c>
      <c r="D1056" s="238" t="str">
        <f>_xlfn.XLOOKUP(B1056,'Relacion '!$E:$E,'Relacion '!$D:$D,"")</f>
        <v/>
      </c>
      <c r="E1056" s="239">
        <f t="shared" si="243"/>
        <v>424</v>
      </c>
      <c r="F1056" s="240" cm="1">
        <f t="array" ref="F1056">MIN(INDEX('Relacion '!$X$5:$Y$493,MATCH(INDEX($B:$B, (ROW()-1)),'Relacion '!$E$5:$E$493,0),0))</f>
        <v>45659</v>
      </c>
      <c r="G1056" s="240" cm="1">
        <f t="array" ref="G1056">MAX(INDEX('Relacion '!$X$5:$Y$493,MATCH(INDEX($B:$B, (ROW()-1)),'Relacion '!$E$5:$E$493,0),0))</f>
        <v>46083</v>
      </c>
      <c r="H1056" s="241" cm="1">
        <f t="array" ref="H1056">IF(
 MATCH(B1056,{"01. ASIGNACION AREA";"02. MAPEO";"03. DESARROLLO";"04. VALIDA US";"05. VOBO US";"06. BW-EJECUCION";"07. VALIDACIÓN BAJAWARE";"08. CERRADA"},0)
 &lt;
 MATCH(_xlfn.XLOOKUP(INDEX($B:$B, (ROW()-1)),'Relacion '!$E:$E,'Relacion '!$D:$D,""),{"01. ASIGNACION AREA";"02. MAPEO";"03. DESARROLLO";"04. VALIDA US";"05. VOBO US";"06. BW-EJECUCION";"07. VALIDACIÓN BAJAWARE";"08. CERRADA"},0),
 1,
 IF(
  MATCH(B1056,{"01. ASIGNACION AREA";"02. MAPEO";"03. DESARROLLO";"04. VALIDA US";"05. VOBO US";"06. BW-EJECUCION";"07. VALIDACIÓN BAJAWARE";"08. CERRADA"},0)
  =
  MATCH(_xlfn.XLOOKUP(INDEX($B:$B, (ROW()-1)),'Relacion '!$E:$E,'Relacion '!$D:$D,""),{"01. ASIGNACION AREA";"02. MAPEO";"03. DESARROLLO";"04. VALIDA US";"05. VOBO US";"06. BW-EJECUCION";"07. VALIDACIÓN BAJAWARE";"08. CERRADA"},0),
  _xlfn.XLOOKUP(INDEX($B:$B, (ROW()-1)),'Relacion '!$E:$E,'Relacion '!#REF!,0),
  0
 )
)</f>
        <v>1</v>
      </c>
      <c r="I1056" s="241">
        <f t="shared" ref="I1056" ca="1" si="251">IF(G1056&lt;=TODAY(), 1, 0)</f>
        <v>1</v>
      </c>
      <c r="J1056" s="241"/>
      <c r="K1056" s="241"/>
      <c r="L1056" s="238"/>
    </row>
    <row r="1057" spans="2:12" outlineLevel="1">
      <c r="B1057" s="237" t="s">
        <v>195</v>
      </c>
      <c r="C1057" s="237" t="s">
        <v>195</v>
      </c>
      <c r="D1057" s="238" t="str">
        <f>_xlfn.XLOOKUP(B1057,'Relacion '!$E:$E,'Relacion '!$D:$D,"")</f>
        <v/>
      </c>
      <c r="E1057" s="239">
        <f t="shared" si="243"/>
        <v>14</v>
      </c>
      <c r="F1057" s="240" cm="1">
        <f t="array" ref="F1057">MIN(INDEX('Relacion '!$Z$5:$AA$493,MATCH(INDEX($B:$B, (ROW()-2)),'Relacion '!$E$5:$E$493,0),0))</f>
        <v>46041</v>
      </c>
      <c r="G1057" s="240" cm="1">
        <f t="array" ref="G1057">MAX(INDEX('Relacion '!$Z$5:$AA$493,MATCH(INDEX($B:$B, (ROW()-2)),'Relacion '!$E$5:$E$493,0),0))</f>
        <v>46055</v>
      </c>
      <c r="H1057" s="241" cm="1">
        <f t="array" ref="H1057">IF(
 MATCH(B1057,{"01. ASIGNACION AREA";"02. MAPEO";"03. DESARROLLO";"04. VALIDA US";"05. VOBO US";"06. BW-EJECUCION";"07. VALIDACIÓN BAJAWARE";"08. CERRADA"},0)
 &lt;
 MATCH(_xlfn.XLOOKUP(INDEX($B:$B, (ROW()-2)),'Relacion '!$E:$E,'Relacion '!$D:$D,""),{"01. ASIGNACION AREA";"02. MAPEO";"03. DESARROLLO";"04. VALIDA US";"05. VOBO US";"06. BW-EJECUCION";"07. VALIDACIÓN BAJAWARE";"08. CERRADA"},0),
 1,
 IF(
  MATCH(B1057,{"01. ASIGNACION AREA";"02. MAPEO";"03. DESARROLLO";"04. VALIDA US";"05. VOBO US";"06. BW-EJECUCION";"07. VALIDACIÓN BAJAWARE";"08. CERRADA"},0)
  =
  MATCH(_xlfn.XLOOKUP(INDEX($B:$B, (ROW()-2)),'Relacion '!$E:$E,'Relacion '!$D:$D,""),{"01. ASIGNACION AREA";"02. MAPEO";"03. DESARROLLO";"04. VALIDA US";"05. VOBO US";"06. BW-EJECUCION";"07. VALIDACIÓN BAJAWARE";"08. CERRADA"},0),
  _xlfn.XLOOKUP(INDEX($B:$B, (ROW()-2)),'Relacion '!$E:$E,'Relacion '!#REF!,0),
  0
 )
)</f>
        <v>1</v>
      </c>
      <c r="I1057" s="241">
        <f t="shared" ca="1" si="242"/>
        <v>1</v>
      </c>
      <c r="J1057" s="241"/>
      <c r="K1057" s="241"/>
      <c r="L1057" s="238"/>
    </row>
    <row r="1058" spans="2:12" outlineLevel="1">
      <c r="B1058" s="237" t="s">
        <v>49</v>
      </c>
      <c r="C1058" s="237" t="s">
        <v>49</v>
      </c>
      <c r="D1058" s="238" t="str">
        <f>_xlfn.XLOOKUP(B1058,'Relacion '!$E:$E,'Relacion '!$D:$D,"")</f>
        <v/>
      </c>
      <c r="E1058" s="239">
        <f t="shared" si="243"/>
        <v>24</v>
      </c>
      <c r="F1058" s="240" cm="1">
        <f t="array" ref="F1058">MIN(INDEX('Relacion '!$AB$5:$AC$493,MATCH(INDEX($B:$B, (ROW()-3)),'Relacion '!$E$5:$E$493,0),0))</f>
        <v>46056</v>
      </c>
      <c r="G1058" s="240" cm="1">
        <f t="array" ref="G1058">MAX(INDEX('Relacion '!$AB$5:$AC$493,MATCH(INDEX($B:$B, (ROW()-3)),'Relacion '!$E$5:$E$493,0),0))</f>
        <v>46080</v>
      </c>
      <c r="H1058" s="241" cm="1">
        <f t="array" ref="H1058">IF(
 MATCH(B1058,{"01. ASIGNACION AREA";"02. MAPEO";"03. DESARROLLO";"04. VALIDA US";"05. VOBO US";"06. BW-EJECUCION";"07. VALIDACIÓN BAJAWARE";"08. CERRADA"},0)
 &lt;
 MATCH(_xlfn.XLOOKUP(INDEX($B:$B, (ROW()-3)),'Relacion '!$E:$E,'Relacion '!$D:$D,""),{"01. ASIGNACION AREA";"02. MAPEO";"03. DESARROLLO";"04. VALIDA US";"05. VOBO US";"06. BW-EJECUCION";"07. VALIDACIÓN BAJAWARE";"08. CERRADA"},0),
 1,
 IF(
  MATCH(B1058,{"01. ASIGNACION AREA";"02. MAPEO";"03. DESARROLLO";"04. VALIDA US";"05. VOBO US";"06. BW-EJECUCION";"07. VALIDACIÓN BAJAWARE";"08. CERRADA"},0)
  =
  MATCH(_xlfn.XLOOKUP(INDEX($B:$B, (ROW()-3)),'Relacion '!$E:$E,'Relacion '!$D:$D,""),{"01. ASIGNACION AREA";"02. MAPEO";"03. DESARROLLO";"04. VALIDA US";"05. VOBO US";"06. BW-EJECUCION";"07. VALIDACIÓN BAJAWARE";"08. CERRADA"},0),
  _xlfn.XLOOKUP(INDEX($B:$B, (ROW()-3)),'Relacion '!$E:$E,'Relacion '!#REF!,0),
  0
 )
)</f>
        <v>1</v>
      </c>
      <c r="I1058" s="241">
        <f t="shared" ca="1" si="242"/>
        <v>1</v>
      </c>
      <c r="J1058" s="241"/>
      <c r="K1058" s="241"/>
      <c r="L1058" s="238"/>
    </row>
    <row r="1059" spans="2:12" outlineLevel="1">
      <c r="B1059" s="237" t="s">
        <v>324</v>
      </c>
      <c r="C1059" s="237" t="s">
        <v>324</v>
      </c>
      <c r="D1059" s="238" t="str">
        <f>_xlfn.XLOOKUP(B1059,'Relacion '!$E:$E,'Relacion '!$D:$D,"")</f>
        <v/>
      </c>
      <c r="E1059" s="239">
        <f t="shared" si="243"/>
        <v>14</v>
      </c>
      <c r="F1059" s="240" cm="1">
        <f t="array" ref="F1059">MIN(INDEX('Relacion '!$AD$5:$AE$493,MATCH(INDEX($B:$B, (ROW()-4)),'Relacion '!$E$5:$E$493,0),0))</f>
        <v>46099</v>
      </c>
      <c r="G1059" s="240" cm="1">
        <f t="array" ref="G1059">MAX(INDEX('Relacion '!$AD$5:$AE$493,MATCH(INDEX($B:$B, (ROW()-4)),'Relacion '!$E$5:$E$493,0),0))</f>
        <v>46113</v>
      </c>
      <c r="H1059" s="241" t="e" cm="1">
        <f t="array" ref="H1059">IF(
 MATCH(B1059,{"01. ASIGNACION AREA";"02. MAPEO";"03. DESARROLLO";"04. VALIDA US";"05. VOBO US";"06. BW-EJECUCION";"07. VALIDACIÓN BAJAWARE";"08. CERRADA"},0)
 &lt;
 MATCH(_xlfn.XLOOKUP(INDEX($B:$B, (ROW()-4)),'Relacion '!$E:$E,'Relacion '!$D:$D,""),{"01. ASIGNACION AREA";"02. MAPEO";"03. DESARROLLO";"04. VALIDA US";"05. VOBO US";"06. BW-EJECUCION";"07. VALIDACIÓN BAJAWARE";"08. CERRADA"},0),
 1,
 IF(
  MATCH(B1059,{"01. ASIGNACION AREA";"02. MAPEO";"03. DESARROLLO";"04. VALIDA US";"05. VOBO US";"06. BW-EJECUCION";"07. VALIDACIÓN BAJAWARE";"08. CERRADA"},0)
  =
  MATCH(_xlfn.XLOOKUP(INDEX($B:$B, (ROW()-4)),'Relacion '!$E:$E,'Relacion '!$D:$D,""),{"01. ASIGNACION AREA";"02. MAPEO";"03. DESARROLLO";"04. VALIDA US";"05. VOBO US";"06. BW-EJECUCION";"07. VALIDACIÓN BAJAWARE";"08. CERRADA"},0),
  _xlfn.XLOOKUP(INDEX($B:$B, (ROW()-4)),'Relacion '!$E:$E,'Relacion '!#REF!,0),
  0
 )
)</f>
        <v>#REF!</v>
      </c>
      <c r="I1059" s="241">
        <f t="shared" ca="1" si="242"/>
        <v>1</v>
      </c>
      <c r="J1059" s="241"/>
      <c r="K1059" s="241"/>
      <c r="L1059" s="238"/>
    </row>
    <row r="1060" spans="2:12" outlineLevel="1">
      <c r="B1060" s="237" t="s">
        <v>320</v>
      </c>
      <c r="C1060" s="237" t="s">
        <v>320</v>
      </c>
      <c r="D1060" s="238" t="str">
        <f>_xlfn.XLOOKUP(B1060,'Relacion '!$E:$E,'Relacion '!$D:$D,"")</f>
        <v/>
      </c>
      <c r="E1060" s="239">
        <f t="shared" si="243"/>
        <v>5</v>
      </c>
      <c r="F1060" s="240" cm="1">
        <f t="array" ref="F1060">MIN(INDEX('Relacion '!$AF$5:$AG$493,MATCH(INDEX($B:$B, (ROW()-5)),'Relacion '!$E$5:$E$493,0),0))</f>
        <v>46113</v>
      </c>
      <c r="G1060" s="240" cm="1">
        <f t="array" ref="G1060">MAX(INDEX('Relacion '!$AF$5:$AG$493,MATCH(INDEX($B:$B, (ROW()-5)),'Relacion '!$E$5:$E$493,0),0))</f>
        <v>46118</v>
      </c>
      <c r="H1060" s="241" cm="1">
        <f t="array" ref="H1060">IF(
 MATCH(B1060,{"01. ASIGNACION AREA";"02. MAPEO";"03. DESARROLLO";"04. VALIDA US";"05. VOBO US";"06. BW-EJECUCION";"07. VALIDACIÓN BAJAWARE";"08. CERRADA"},0)
 &lt;
 MATCH(_xlfn.XLOOKUP(INDEX($B:$B, (ROW()-5)),'Relacion '!$E:$E,'Relacion '!$D:$D,""),{"01. ASIGNACION AREA";"02. MAPEO";"03. DESARROLLO";"04. VALIDA US";"05. VOBO US";"06. BW-EJECUCION";"07. VALIDACIÓN BAJAWARE";"08. CERRADA"},0),
 1,
 IF(
  MATCH(B1060,{"01. ASIGNACION AREA";"02. MAPEO";"03. DESARROLLO";"04. VALIDA US";"05. VOBO US";"06. BW-EJECUCION";"07. VALIDACIÓN BAJAWARE";"08. CERRADA"},0)
  =
  MATCH(_xlfn.XLOOKUP(INDEX($B:$B, (ROW()-5)),'Relacion '!$E:$E,'Relacion '!$D:$D,""),{"01. ASIGNACION AREA";"02. MAPEO";"03. DESARROLLO";"04. VALIDA US";"05. VOBO US";"06. BW-EJECUCION";"07. VALIDACIÓN BAJAWARE";"08. CERRADA"},0),
  _xlfn.XLOOKUP(INDEX($B:$B, (ROW()-5)),'Relacion '!$E:$E,'Relacion '!#REF!,0),
  0
 )
)</f>
        <v>0</v>
      </c>
      <c r="I1060" s="241">
        <f t="shared" ca="1" si="242"/>
        <v>1</v>
      </c>
      <c r="J1060" s="241"/>
      <c r="K1060" s="241"/>
      <c r="L1060" s="238"/>
    </row>
    <row r="1061" spans="2:12" outlineLevel="1">
      <c r="B1061" s="237" t="s">
        <v>710</v>
      </c>
      <c r="C1061" s="237" t="s">
        <v>710</v>
      </c>
      <c r="D1061" s="238" t="str">
        <f>_xlfn.XLOOKUP(B1061,'Relacion '!$E:$E,'Relacion '!$D:$D,"")</f>
        <v/>
      </c>
      <c r="E1061" s="239">
        <f t="shared" si="243"/>
        <v>2</v>
      </c>
      <c r="F1061" s="240" cm="1">
        <f t="array" ref="F1061">MIN(INDEX('Relacion '!$AH$5:$AI$493,MATCH(INDEX($B:$B, (ROW()-6)),'Relacion '!$E$5:$E$493,0),0))</f>
        <v>46119</v>
      </c>
      <c r="G1061" s="240" cm="1">
        <f t="array" ref="G1061">MAX(INDEX('Relacion '!$AH$5:$AI$493,MATCH(INDEX($B:$B, (ROW()-6)),'Relacion '!$E$5:$E$493,0),0))</f>
        <v>46121</v>
      </c>
      <c r="H1061" s="241" cm="1">
        <f t="array" ref="H1061">IF(
 MATCH(B1061,{"01. ASIGNACION AREA";"02. MAPEO";"03. DESARROLLO";"04. VALIDA US";"05. VOBO US";"06. BW-EJECUCION";"07. VALIDACIÓN BAJAWARE";"08. CERRADA"},0)
 &lt;
 MATCH(_xlfn.XLOOKUP(INDEX($B:$B, (ROW()-6)),'Relacion '!$E:$E,'Relacion '!$D:$D,""),{"01. ASIGNACION AREA";"02. MAPEO";"03. DESARROLLO";"04. VALIDA US";"05. VOBO US";"06. BW-EJECUCION";"07. VALIDACIÓN BAJAWARE";"08. CERRADA"},0),
 1,
 IF(
  MATCH(B1061,{"01. ASIGNACION AREA";"02. MAPEO";"03. DESARROLLO";"04. VALIDA US";"05. VOBO US";"06. BW-EJECUCION";"07. VALIDACIÓN BAJAWARE";"08. CERRADA"},0)
  =
  MATCH(_xlfn.XLOOKUP(INDEX($B:$B, (ROW()-6)),'Relacion '!$E:$E,'Relacion '!$D:$D,""),{"01. ASIGNACION AREA";"02. MAPEO";"03. DESARROLLO";"04. VALIDA US";"05. VOBO US";"06. BW-EJECUCION";"07. VALIDACIÓN BAJAWARE";"08. CERRADA"},0),
  _xlfn.XLOOKUP(INDEX($B:$B, (ROW()-6)),'Relacion '!$E:$E,'Relacion '!#REF!,0),
  0
 )
)</f>
        <v>0</v>
      </c>
      <c r="I1061" s="241">
        <f t="shared" ca="1" si="242"/>
        <v>1</v>
      </c>
      <c r="J1061" s="241"/>
      <c r="K1061" s="241"/>
      <c r="L1061" s="238"/>
    </row>
    <row r="1062" spans="2:12" outlineLevel="1">
      <c r="B1062" s="237" t="s">
        <v>655</v>
      </c>
      <c r="C1062" s="237" t="s">
        <v>655</v>
      </c>
      <c r="D1062" s="238" t="str">
        <f>_xlfn.XLOOKUP(B1062,'Relacion '!$E:$E,'Relacion '!$D:$D,"")</f>
        <v/>
      </c>
      <c r="E1062" s="239">
        <f t="shared" si="243"/>
        <v>14</v>
      </c>
      <c r="F1062" s="240" cm="1">
        <f t="array" ref="F1062">MIN(INDEX('Relacion '!$AJ$5:$AK$493,MATCH(INDEX($B:$B, (ROW()-7)),'Relacion '!$E$5:$E$493,0),0))</f>
        <v>46122</v>
      </c>
      <c r="G1062" s="240" cm="1">
        <f t="array" ref="G1062">MAX(INDEX('Relacion '!$AJ$5:$AK$493,MATCH(INDEX($B:$B, (ROW()-7)),'Relacion '!$E$5:$E$493,0),0))</f>
        <v>46136</v>
      </c>
      <c r="H1062" s="241" cm="1">
        <f t="array" ref="H1062">IF(
 MATCH(B1062,{"01. ASIGNACION AREA";"02. MAPEO";"03. DESARROLLO";"04. VALIDA US";"05. VOBO US";"06. BW-EJECUCION";"07. VALIDACIÓN BAJAWARE";"08. CERRADA"},0)
 &lt;
 MATCH(_xlfn.XLOOKUP(INDEX($B:$B, (ROW()-7)),'Relacion '!$E:$E,'Relacion '!$D:$D,""),{"01. ASIGNACION AREA";"02. MAPEO";"03. DESARROLLO";"04. VALIDA US";"05. VOBO US";"06. BW-EJECUCION";"07. VALIDACIÓN BAJAWARE";"08. CERRADA"},0),
 1,
 IF(
  MATCH(B1062,{"01. ASIGNACION AREA";"02. MAPEO";"03. DESARROLLO";"04. VALIDA US";"05. VOBO US";"06. BW-EJECUCION";"07. VALIDACIÓN BAJAWARE";"08. CERRADA"},0)
  =
  MATCH(_xlfn.XLOOKUP(INDEX($B:$B, (ROW()-7)),'Relacion '!$E:$E,'Relacion '!$D:$D,""),{"01. ASIGNACION AREA";"02. MAPEO";"03. DESARROLLO";"04. VALIDA US";"05. VOBO US";"06. BW-EJECUCION";"07. VALIDACIÓN BAJAWARE";"08. CERRADA"},0),
  _xlfn.XLOOKUP(INDEX($B:$B, (ROW()-7)),'Relacion '!$E:$E,'Relacion '!#REF!,0),
  0
 )
)</f>
        <v>0</v>
      </c>
      <c r="I1062" s="241">
        <f t="shared" ca="1" si="242"/>
        <v>1</v>
      </c>
      <c r="J1062" s="241"/>
      <c r="K1062" s="241"/>
      <c r="L1062" s="238"/>
    </row>
    <row r="1063" spans="2:12" outlineLevel="1">
      <c r="B1063" s="237" t="s">
        <v>656</v>
      </c>
      <c r="C1063" s="237" t="s">
        <v>656</v>
      </c>
      <c r="D1063" s="238" t="str">
        <f>_xlfn.XLOOKUP(B1063,'Relacion '!$E:$E,'Relacion '!$D:$D,"")</f>
        <v/>
      </c>
      <c r="E1063" s="239">
        <f t="shared" si="243"/>
        <v>0</v>
      </c>
      <c r="F1063" s="240" cm="1">
        <f t="array" ref="F1063">MIN(INDEX('Relacion '!$AL$5:$AM$493,MATCH(INDEX($B:$B, (ROW()-8)),'Relacion '!$E$5:$E$493,0),0))</f>
        <v>46137</v>
      </c>
      <c r="G1063" s="240" cm="1">
        <f t="array" ref="G1063">MAX(INDEX('Relacion '!$AL$5:$AM$493,MATCH(INDEX($B:$B, (ROW()-8)),'Relacion '!$E$5:$E$493,0),0))</f>
        <v>46137</v>
      </c>
      <c r="H1063" s="241" cm="1">
        <f t="array" ref="H1063">IF(
 MATCH(B1063,{"01. ASIGNACION AREA";"02. MAPEO";"03. DESARROLLO";"04. VALIDA US";"05. VOBO US";"06. BW-EJECUCION";"07. VALIDACIÓN BAJAWARE";"08. CERRADA"},0)
 &lt;
 MATCH(_xlfn.XLOOKUP(INDEX($B:$B, (ROW()-8)),'Relacion '!$E:$E,'Relacion '!$D:$D,""),{"01. ASIGNACION AREA";"02. MAPEO";"03. DESARROLLO";"04. VALIDA US";"05. VOBO US";"06. BW-EJECUCION";"07. VALIDACIÓN BAJAWARE";"08. CERRADA"},0),
 1,
 IF(
  MATCH(B1063,{"01. ASIGNACION AREA";"02. MAPEO";"03. DESARROLLO";"04. VALIDA US";"05. VOBO US";"06. BW-EJECUCION";"07. VALIDACIÓN BAJAWARE";"08. CERRADA"},0)
  =
  MATCH(_xlfn.XLOOKUP(INDEX($B:$B, (ROW()-8)),'Relacion '!$E:$E,'Relacion '!$D:$D,""),{"01. ASIGNACION AREA";"02. MAPEO";"03. DESARROLLO";"04. VALIDA US";"05. VOBO US";"06. BW-EJECUCION";"07. VALIDACIÓN BAJAWARE";"08. CERRADA"},0),
  _xlfn.XLOOKUP(INDEX($B:$B, (ROW()-8)),'Relacion '!$E:$E,'Relacion '!#REF!,0),
  0
 )
)</f>
        <v>0</v>
      </c>
      <c r="I1063" s="241">
        <f t="shared" ca="1" si="242"/>
        <v>1</v>
      </c>
      <c r="J1063" s="241"/>
      <c r="K1063" s="241"/>
      <c r="L1063" s="238"/>
    </row>
    <row r="1064" spans="2:12">
      <c r="B1064" s="232" t="s">
        <v>535</v>
      </c>
      <c r="C1064" s="167" t="s">
        <v>536</v>
      </c>
      <c r="D1064" s="236" t="str">
        <f>_xlfn.XLOOKUP(B1064,'Relacion '!$E:$E,'Relacion '!$D:$D,"")</f>
        <v>06. BW-EJECUCION</v>
      </c>
      <c r="E1064" s="233">
        <f t="shared" si="243"/>
        <v>106</v>
      </c>
      <c r="F1064" s="234" cm="1">
        <f t="array" ref="F1064">MIN(INDEX('Relacion '!$X$5:$AM$493,MATCH(INDEX($B:$B, (ROW()-0)),'Relacion '!$E$5:$E$493,0),0))</f>
        <v>46024</v>
      </c>
      <c r="G1064" s="234" cm="1">
        <f t="array" ref="G1064">MAX(INDEX('Relacion '!$X$5:$AM$493,MATCH(INDEX($B:$B, (ROW()-0)),'Relacion '!$E$5:$E$493,0),0))</f>
        <v>46130</v>
      </c>
      <c r="H1064" s="235" t="e">
        <f>AVERAGE(H1065:H1072)</f>
        <v>#REF!</v>
      </c>
      <c r="I1064" s="235">
        <f t="shared" ref="I1064" ca="1" si="252">AVERAGE(I1065:I1072)</f>
        <v>1</v>
      </c>
      <c r="J1064" s="236" t="str">
        <f>IF(ISNUMBER(SEARCH("Rocha", _xlfn.XLOOKUP(B1064,'Relacion '!$E:$E,'Relacion '!$I:$I,""))), "Sí", "No")</f>
        <v>No</v>
      </c>
      <c r="K1064" s="236" t="str">
        <f>IF(ISNUMBER(SEARCH("Rocha", _xlfn.XLOOKUP(B1064,'Relacion '!$E:$E,'Relacion '!$I:$I,""))), "RMC", _xlfn.XLOOKUP(B1064,'Relacion '!$E:$E,'Relacion '!$B:$B,""))</f>
        <v>Contabilidad</v>
      </c>
      <c r="L1064" s="236" t="str">
        <f>_xlfn.XLOOKUP(B1064,'Relacion '!$E:$E,'Relacion '!$C:$C,"")</f>
        <v xml:space="preserve">Ramon Jaimes </v>
      </c>
    </row>
    <row r="1065" spans="2:12" outlineLevel="1">
      <c r="B1065" s="237" t="s">
        <v>654</v>
      </c>
      <c r="C1065" s="237" t="s">
        <v>654</v>
      </c>
      <c r="D1065" s="238" t="str">
        <f>_xlfn.XLOOKUP(B1065,'Relacion '!$E:$E,'Relacion '!$D:$D,"")</f>
        <v/>
      </c>
      <c r="E1065" s="239">
        <f t="shared" si="243"/>
        <v>14</v>
      </c>
      <c r="F1065" s="240" cm="1">
        <f t="array" ref="F1065">MIN(INDEX('Relacion '!$X$5:$Y$493,MATCH(INDEX($B:$B, (ROW()-1)),'Relacion '!$E$5:$E$493,0),0))</f>
        <v>46024</v>
      </c>
      <c r="G1065" s="240" cm="1">
        <f t="array" ref="G1065">MAX(INDEX('Relacion '!$X$5:$Y$493,MATCH(INDEX($B:$B, (ROW()-1)),'Relacion '!$E$5:$E$493,0),0))</f>
        <v>46038</v>
      </c>
      <c r="H1065" s="241" cm="1">
        <f t="array" ref="H1065">IF(
 MATCH(B1065,{"01. ASIGNACION AREA";"02. MAPEO";"03. DESARROLLO";"04. VALIDA US";"05. VOBO US";"06. BW-EJECUCION";"07. VALIDACIÓN BAJAWARE";"08. CERRADA"},0)
 &lt;
 MATCH(_xlfn.XLOOKUP(INDEX($B:$B, (ROW()-1)),'Relacion '!$E:$E,'Relacion '!$D:$D,""),{"01. ASIGNACION AREA";"02. MAPEO";"03. DESARROLLO";"04. VALIDA US";"05. VOBO US";"06. BW-EJECUCION";"07. VALIDACIÓN BAJAWARE";"08. CERRADA"},0),
 1,
 IF(
  MATCH(B1065,{"01. ASIGNACION AREA";"02. MAPEO";"03. DESARROLLO";"04. VALIDA US";"05. VOBO US";"06. BW-EJECUCION";"07. VALIDACIÓN BAJAWARE";"08. CERRADA"},0)
  =
  MATCH(_xlfn.XLOOKUP(INDEX($B:$B, (ROW()-1)),'Relacion '!$E:$E,'Relacion '!$D:$D,""),{"01. ASIGNACION AREA";"02. MAPEO";"03. DESARROLLO";"04. VALIDA US";"05. VOBO US";"06. BW-EJECUCION";"07. VALIDACIÓN BAJAWARE";"08. CERRADA"},0),
  _xlfn.XLOOKUP(INDEX($B:$B, (ROW()-1)),'Relacion '!$E:$E,'Relacion '!#REF!,0),
  0
 )
)</f>
        <v>1</v>
      </c>
      <c r="I1065" s="241">
        <f t="shared" ref="I1065" ca="1" si="253">IF(G1065&lt;=TODAY(), 1, 0)</f>
        <v>1</v>
      </c>
      <c r="J1065" s="241"/>
      <c r="K1065" s="241"/>
      <c r="L1065" s="238"/>
    </row>
    <row r="1066" spans="2:12" outlineLevel="1">
      <c r="B1066" s="237" t="s">
        <v>195</v>
      </c>
      <c r="C1066" s="237" t="s">
        <v>195</v>
      </c>
      <c r="D1066" s="238" t="str">
        <f>_xlfn.XLOOKUP(B1066,'Relacion '!$E:$E,'Relacion '!$D:$D,"")</f>
        <v/>
      </c>
      <c r="E1066" s="239">
        <f t="shared" si="243"/>
        <v>11</v>
      </c>
      <c r="F1066" s="240" cm="1">
        <f t="array" ref="F1066">MIN(INDEX('Relacion '!$Z$5:$AA$493,MATCH(INDEX($B:$B, (ROW()-2)),'Relacion '!$E$5:$E$493,0),0))</f>
        <v>46041</v>
      </c>
      <c r="G1066" s="240" cm="1">
        <f t="array" ref="G1066">MAX(INDEX('Relacion '!$Z$5:$AA$493,MATCH(INDEX($B:$B, (ROW()-2)),'Relacion '!$E$5:$E$493,0),0))</f>
        <v>46052</v>
      </c>
      <c r="H1066" s="241" cm="1">
        <f t="array" ref="H1066">IF(
 MATCH(B1066,{"01. ASIGNACION AREA";"02. MAPEO";"03. DESARROLLO";"04. VALIDA US";"05. VOBO US";"06. BW-EJECUCION";"07. VALIDACIÓN BAJAWARE";"08. CERRADA"},0)
 &lt;
 MATCH(_xlfn.XLOOKUP(INDEX($B:$B, (ROW()-2)),'Relacion '!$E:$E,'Relacion '!$D:$D,""),{"01. ASIGNACION AREA";"02. MAPEO";"03. DESARROLLO";"04. VALIDA US";"05. VOBO US";"06. BW-EJECUCION";"07. VALIDACIÓN BAJAWARE";"08. CERRADA"},0),
 1,
 IF(
  MATCH(B1066,{"01. ASIGNACION AREA";"02. MAPEO";"03. DESARROLLO";"04. VALIDA US";"05. VOBO US";"06. BW-EJECUCION";"07. VALIDACIÓN BAJAWARE";"08. CERRADA"},0)
  =
  MATCH(_xlfn.XLOOKUP(INDEX($B:$B, (ROW()-2)),'Relacion '!$E:$E,'Relacion '!$D:$D,""),{"01. ASIGNACION AREA";"02. MAPEO";"03. DESARROLLO";"04. VALIDA US";"05. VOBO US";"06. BW-EJECUCION";"07. VALIDACIÓN BAJAWARE";"08. CERRADA"},0),
  _xlfn.XLOOKUP(INDEX($B:$B, (ROW()-2)),'Relacion '!$E:$E,'Relacion '!#REF!,0),
  0
 )
)</f>
        <v>1</v>
      </c>
      <c r="I1066" s="241">
        <f t="shared" ca="1" si="242"/>
        <v>1</v>
      </c>
      <c r="J1066" s="241"/>
      <c r="K1066" s="241"/>
      <c r="L1066" s="238"/>
    </row>
    <row r="1067" spans="2:12" outlineLevel="1">
      <c r="B1067" s="237" t="s">
        <v>49</v>
      </c>
      <c r="C1067" s="237" t="s">
        <v>49</v>
      </c>
      <c r="D1067" s="238" t="str">
        <f>_xlfn.XLOOKUP(B1067,'Relacion '!$E:$E,'Relacion '!$D:$D,"")</f>
        <v/>
      </c>
      <c r="E1067" s="239">
        <f t="shared" si="243"/>
        <v>13</v>
      </c>
      <c r="F1067" s="240" cm="1">
        <f t="array" ref="F1067">MIN(INDEX('Relacion '!$AB$5:$AC$493,MATCH(INDEX($B:$B, (ROW()-3)),'Relacion '!$E$5:$E$493,0),0))</f>
        <v>46056</v>
      </c>
      <c r="G1067" s="240" cm="1">
        <f t="array" ref="G1067">MAX(INDEX('Relacion '!$AB$5:$AC$493,MATCH(INDEX($B:$B, (ROW()-3)),'Relacion '!$E$5:$E$493,0),0))</f>
        <v>46069</v>
      </c>
      <c r="H1067" s="241" cm="1">
        <f t="array" ref="H1067">IF(
 MATCH(B1067,{"01. ASIGNACION AREA";"02. MAPEO";"03. DESARROLLO";"04. VALIDA US";"05. VOBO US";"06. BW-EJECUCION";"07. VALIDACIÓN BAJAWARE";"08. CERRADA"},0)
 &lt;
 MATCH(_xlfn.XLOOKUP(INDEX($B:$B, (ROW()-3)),'Relacion '!$E:$E,'Relacion '!$D:$D,""),{"01. ASIGNACION AREA";"02. MAPEO";"03. DESARROLLO";"04. VALIDA US";"05. VOBO US";"06. BW-EJECUCION";"07. VALIDACIÓN BAJAWARE";"08. CERRADA"},0),
 1,
 IF(
  MATCH(B1067,{"01. ASIGNACION AREA";"02. MAPEO";"03. DESARROLLO";"04. VALIDA US";"05. VOBO US";"06. BW-EJECUCION";"07. VALIDACIÓN BAJAWARE";"08. CERRADA"},0)
  =
  MATCH(_xlfn.XLOOKUP(INDEX($B:$B, (ROW()-3)),'Relacion '!$E:$E,'Relacion '!$D:$D,""),{"01. ASIGNACION AREA";"02. MAPEO";"03. DESARROLLO";"04. VALIDA US";"05. VOBO US";"06. BW-EJECUCION";"07. VALIDACIÓN BAJAWARE";"08. CERRADA"},0),
  _xlfn.XLOOKUP(INDEX($B:$B, (ROW()-3)),'Relacion '!$E:$E,'Relacion '!#REF!,0),
  0
 )
)</f>
        <v>1</v>
      </c>
      <c r="I1067" s="241">
        <f t="shared" ca="1" si="242"/>
        <v>1</v>
      </c>
      <c r="J1067" s="241"/>
      <c r="K1067" s="241"/>
      <c r="L1067" s="238"/>
    </row>
    <row r="1068" spans="2:12" outlineLevel="1">
      <c r="B1068" s="237" t="s">
        <v>324</v>
      </c>
      <c r="C1068" s="237" t="s">
        <v>324</v>
      </c>
      <c r="D1068" s="238" t="str">
        <f>_xlfn.XLOOKUP(B1068,'Relacion '!$E:$E,'Relacion '!$D:$D,"")</f>
        <v/>
      </c>
      <c r="E1068" s="239">
        <f t="shared" si="243"/>
        <v>2</v>
      </c>
      <c r="F1068" s="240" cm="1">
        <f t="array" ref="F1068">MIN(INDEX('Relacion '!$AD$5:$AE$493,MATCH(INDEX($B:$B, (ROW()-4)),'Relacion '!$E$5:$E$493,0),0))</f>
        <v>46070</v>
      </c>
      <c r="G1068" s="240" cm="1">
        <f t="array" ref="G1068">MAX(INDEX('Relacion '!$AD$5:$AE$493,MATCH(INDEX($B:$B, (ROW()-4)),'Relacion '!$E$5:$E$493,0),0))</f>
        <v>46072</v>
      </c>
      <c r="H1068" s="241" cm="1">
        <f t="array" ref="H1068">IF(
 MATCH(B1068,{"01. ASIGNACION AREA";"02. MAPEO";"03. DESARROLLO";"04. VALIDA US";"05. VOBO US";"06. BW-EJECUCION";"07. VALIDACIÓN BAJAWARE";"08. CERRADA"},0)
 &lt;
 MATCH(_xlfn.XLOOKUP(INDEX($B:$B, (ROW()-4)),'Relacion '!$E:$E,'Relacion '!$D:$D,""),{"01. ASIGNACION AREA";"02. MAPEO";"03. DESARROLLO";"04. VALIDA US";"05. VOBO US";"06. BW-EJECUCION";"07. VALIDACIÓN BAJAWARE";"08. CERRADA"},0),
 1,
 IF(
  MATCH(B1068,{"01. ASIGNACION AREA";"02. MAPEO";"03. DESARROLLO";"04. VALIDA US";"05. VOBO US";"06. BW-EJECUCION";"07. VALIDACIÓN BAJAWARE";"08. CERRADA"},0)
  =
  MATCH(_xlfn.XLOOKUP(INDEX($B:$B, (ROW()-4)),'Relacion '!$E:$E,'Relacion '!$D:$D,""),{"01. ASIGNACION AREA";"02. MAPEO";"03. DESARROLLO";"04. VALIDA US";"05. VOBO US";"06. BW-EJECUCION";"07. VALIDACIÓN BAJAWARE";"08. CERRADA"},0),
  _xlfn.XLOOKUP(INDEX($B:$B, (ROW()-4)),'Relacion '!$E:$E,'Relacion '!#REF!,0),
  0
 )
)</f>
        <v>1</v>
      </c>
      <c r="I1068" s="241">
        <f t="shared" ca="1" si="242"/>
        <v>1</v>
      </c>
      <c r="J1068" s="241"/>
      <c r="K1068" s="241"/>
      <c r="L1068" s="238"/>
    </row>
    <row r="1069" spans="2:12" outlineLevel="1">
      <c r="B1069" s="237" t="s">
        <v>320</v>
      </c>
      <c r="C1069" s="237" t="s">
        <v>320</v>
      </c>
      <c r="D1069" s="238" t="str">
        <f>_xlfn.XLOOKUP(B1069,'Relacion '!$E:$E,'Relacion '!$D:$D,"")</f>
        <v/>
      </c>
      <c r="E1069" s="239">
        <f t="shared" si="243"/>
        <v>0</v>
      </c>
      <c r="F1069" s="240" cm="1">
        <f t="array" ref="F1069">MIN(INDEX('Relacion '!$AF$5:$AG$493,MATCH(INDEX($B:$B, (ROW()-5)),'Relacion '!$E$5:$E$493,0),0))</f>
        <v>46073</v>
      </c>
      <c r="G1069" s="240" cm="1">
        <f t="array" ref="G1069">MAX(INDEX('Relacion '!$AF$5:$AG$493,MATCH(INDEX($B:$B, (ROW()-5)),'Relacion '!$E$5:$E$493,0),0))</f>
        <v>46073</v>
      </c>
      <c r="H1069" s="241" cm="1">
        <f t="array" ref="H1069">IF(
 MATCH(B1069,{"01. ASIGNACION AREA";"02. MAPEO";"03. DESARROLLO";"04. VALIDA US";"05. VOBO US";"06. BW-EJECUCION";"07. VALIDACIÓN BAJAWARE";"08. CERRADA"},0)
 &lt;
 MATCH(_xlfn.XLOOKUP(INDEX($B:$B, (ROW()-5)),'Relacion '!$E:$E,'Relacion '!$D:$D,""),{"01. ASIGNACION AREA";"02. MAPEO";"03. DESARROLLO";"04. VALIDA US";"05. VOBO US";"06. BW-EJECUCION";"07. VALIDACIÓN BAJAWARE";"08. CERRADA"},0),
 1,
 IF(
  MATCH(B1069,{"01. ASIGNACION AREA";"02. MAPEO";"03. DESARROLLO";"04. VALIDA US";"05. VOBO US";"06. BW-EJECUCION";"07. VALIDACIÓN BAJAWARE";"08. CERRADA"},0)
  =
  MATCH(_xlfn.XLOOKUP(INDEX($B:$B, (ROW()-5)),'Relacion '!$E:$E,'Relacion '!$D:$D,""),{"01. ASIGNACION AREA";"02. MAPEO";"03. DESARROLLO";"04. VALIDA US";"05. VOBO US";"06. BW-EJECUCION";"07. VALIDACIÓN BAJAWARE";"08. CERRADA"},0),
  _xlfn.XLOOKUP(INDEX($B:$B, (ROW()-5)),'Relacion '!$E:$E,'Relacion '!#REF!,0),
  0
 )
)</f>
        <v>1</v>
      </c>
      <c r="I1069" s="241">
        <f t="shared" ca="1" si="242"/>
        <v>1</v>
      </c>
      <c r="J1069" s="241"/>
      <c r="K1069" s="241"/>
      <c r="L1069" s="238"/>
    </row>
    <row r="1070" spans="2:12" outlineLevel="1">
      <c r="B1070" s="237" t="s">
        <v>710</v>
      </c>
      <c r="C1070" s="237" t="s">
        <v>710</v>
      </c>
      <c r="D1070" s="238" t="str">
        <f>_xlfn.XLOOKUP(B1070,'Relacion '!$E:$E,'Relacion '!$D:$D,"")</f>
        <v/>
      </c>
      <c r="E1070" s="239">
        <f t="shared" si="243"/>
        <v>25</v>
      </c>
      <c r="F1070" s="240" cm="1">
        <f t="array" ref="F1070">MIN(INDEX('Relacion '!$AH$5:$AI$493,MATCH(INDEX($B:$B, (ROW()-6)),'Relacion '!$E$5:$E$493,0),0))</f>
        <v>46076</v>
      </c>
      <c r="G1070" s="240" cm="1">
        <f t="array" ref="G1070">MAX(INDEX('Relacion '!$AH$5:$AI$493,MATCH(INDEX($B:$B, (ROW()-6)),'Relacion '!$E$5:$E$493,0),0))</f>
        <v>46101</v>
      </c>
      <c r="H1070" s="241" t="e" cm="1">
        <f t="array" ref="H1070">IF(
 MATCH(B1070,{"01. ASIGNACION AREA";"02. MAPEO";"03. DESARROLLO";"04. VALIDA US";"05. VOBO US";"06. BW-EJECUCION";"07. VALIDACIÓN BAJAWARE";"08. CERRADA"},0)
 &lt;
 MATCH(_xlfn.XLOOKUP(INDEX($B:$B, (ROW()-6)),'Relacion '!$E:$E,'Relacion '!$D:$D,""),{"01. ASIGNACION AREA";"02. MAPEO";"03. DESARROLLO";"04. VALIDA US";"05. VOBO US";"06. BW-EJECUCION";"07. VALIDACIÓN BAJAWARE";"08. CERRADA"},0),
 1,
 IF(
  MATCH(B1070,{"01. ASIGNACION AREA";"02. MAPEO";"03. DESARROLLO";"04. VALIDA US";"05. VOBO US";"06. BW-EJECUCION";"07. VALIDACIÓN BAJAWARE";"08. CERRADA"},0)
  =
  MATCH(_xlfn.XLOOKUP(INDEX($B:$B, (ROW()-6)),'Relacion '!$E:$E,'Relacion '!$D:$D,""),{"01. ASIGNACION AREA";"02. MAPEO";"03. DESARROLLO";"04. VALIDA US";"05. VOBO US";"06. BW-EJECUCION";"07. VALIDACIÓN BAJAWARE";"08. CERRADA"},0),
  _xlfn.XLOOKUP(INDEX($B:$B, (ROW()-6)),'Relacion '!$E:$E,'Relacion '!#REF!,0),
  0
 )
)</f>
        <v>#REF!</v>
      </c>
      <c r="I1070" s="241">
        <f t="shared" ca="1" si="242"/>
        <v>1</v>
      </c>
      <c r="J1070" s="241"/>
      <c r="K1070" s="241"/>
      <c r="L1070" s="238"/>
    </row>
    <row r="1071" spans="2:12" outlineLevel="1">
      <c r="B1071" s="237" t="s">
        <v>655</v>
      </c>
      <c r="C1071" s="237" t="s">
        <v>655</v>
      </c>
      <c r="D1071" s="238" t="str">
        <f>_xlfn.XLOOKUP(B1071,'Relacion '!$E:$E,'Relacion '!$D:$D,"")</f>
        <v/>
      </c>
      <c r="E1071" s="239">
        <f t="shared" si="243"/>
        <v>25</v>
      </c>
      <c r="F1071" s="240" cm="1">
        <f t="array" ref="F1071">MIN(INDEX('Relacion '!$AJ$5:$AK$493,MATCH(INDEX($B:$B, (ROW()-7)),'Relacion '!$E$5:$E$493,0),0))</f>
        <v>46104</v>
      </c>
      <c r="G1071" s="240" cm="1">
        <f t="array" ref="G1071">MAX(INDEX('Relacion '!$AJ$5:$AK$493,MATCH(INDEX($B:$B, (ROW()-7)),'Relacion '!$E$5:$E$493,0),0))</f>
        <v>46129</v>
      </c>
      <c r="H1071" s="241" cm="1">
        <f t="array" ref="H1071">IF(
 MATCH(B1071,{"01. ASIGNACION AREA";"02. MAPEO";"03. DESARROLLO";"04. VALIDA US";"05. VOBO US";"06. BW-EJECUCION";"07. VALIDACIÓN BAJAWARE";"08. CERRADA"},0)
 &lt;
 MATCH(_xlfn.XLOOKUP(INDEX($B:$B, (ROW()-7)),'Relacion '!$E:$E,'Relacion '!$D:$D,""),{"01. ASIGNACION AREA";"02. MAPEO";"03. DESARROLLO";"04. VALIDA US";"05. VOBO US";"06. BW-EJECUCION";"07. VALIDACIÓN BAJAWARE";"08. CERRADA"},0),
 1,
 IF(
  MATCH(B1071,{"01. ASIGNACION AREA";"02. MAPEO";"03. DESARROLLO";"04. VALIDA US";"05. VOBO US";"06. BW-EJECUCION";"07. VALIDACIÓN BAJAWARE";"08. CERRADA"},0)
  =
  MATCH(_xlfn.XLOOKUP(INDEX($B:$B, (ROW()-7)),'Relacion '!$E:$E,'Relacion '!$D:$D,""),{"01. ASIGNACION AREA";"02. MAPEO";"03. DESARROLLO";"04. VALIDA US";"05. VOBO US";"06. BW-EJECUCION";"07. VALIDACIÓN BAJAWARE";"08. CERRADA"},0),
  _xlfn.XLOOKUP(INDEX($B:$B, (ROW()-7)),'Relacion '!$E:$E,'Relacion '!#REF!,0),
  0
 )
)</f>
        <v>0</v>
      </c>
      <c r="I1071" s="241">
        <f t="shared" ca="1" si="242"/>
        <v>1</v>
      </c>
      <c r="J1071" s="241"/>
      <c r="K1071" s="241"/>
      <c r="L1071" s="238"/>
    </row>
    <row r="1072" spans="2:12" outlineLevel="1">
      <c r="B1072" s="237" t="s">
        <v>656</v>
      </c>
      <c r="C1072" s="237" t="s">
        <v>656</v>
      </c>
      <c r="D1072" s="238" t="str">
        <f>_xlfn.XLOOKUP(B1072,'Relacion '!$E:$E,'Relacion '!$D:$D,"")</f>
        <v/>
      </c>
      <c r="E1072" s="239">
        <f t="shared" si="243"/>
        <v>0</v>
      </c>
      <c r="F1072" s="240" cm="1">
        <f t="array" ref="F1072">MIN(INDEX('Relacion '!$AL$5:$AM$493,MATCH(INDEX($B:$B, (ROW()-8)),'Relacion '!$E$5:$E$493,0),0))</f>
        <v>46130</v>
      </c>
      <c r="G1072" s="240" cm="1">
        <f t="array" ref="G1072">MAX(INDEX('Relacion '!$AL$5:$AM$493,MATCH(INDEX($B:$B, (ROW()-8)),'Relacion '!$E$5:$E$493,0),0))</f>
        <v>46130</v>
      </c>
      <c r="H1072" s="241" cm="1">
        <f t="array" ref="H1072">IF(
 MATCH(B1072,{"01. ASIGNACION AREA";"02. MAPEO";"03. DESARROLLO";"04. VALIDA US";"05. VOBO US";"06. BW-EJECUCION";"07. VALIDACIÓN BAJAWARE";"08. CERRADA"},0)
 &lt;
 MATCH(_xlfn.XLOOKUP(INDEX($B:$B, (ROW()-8)),'Relacion '!$E:$E,'Relacion '!$D:$D,""),{"01. ASIGNACION AREA";"02. MAPEO";"03. DESARROLLO";"04. VALIDA US";"05. VOBO US";"06. BW-EJECUCION";"07. VALIDACIÓN BAJAWARE";"08. CERRADA"},0),
 1,
 IF(
  MATCH(B1072,{"01. ASIGNACION AREA";"02. MAPEO";"03. DESARROLLO";"04. VALIDA US";"05. VOBO US";"06. BW-EJECUCION";"07. VALIDACIÓN BAJAWARE";"08. CERRADA"},0)
  =
  MATCH(_xlfn.XLOOKUP(INDEX($B:$B, (ROW()-8)),'Relacion '!$E:$E,'Relacion '!$D:$D,""),{"01. ASIGNACION AREA";"02. MAPEO";"03. DESARROLLO";"04. VALIDA US";"05. VOBO US";"06. BW-EJECUCION";"07. VALIDACIÓN BAJAWARE";"08. CERRADA"},0),
  _xlfn.XLOOKUP(INDEX($B:$B, (ROW()-8)),'Relacion '!$E:$E,'Relacion '!#REF!,0),
  0
 )
)</f>
        <v>0</v>
      </c>
      <c r="I1072" s="241">
        <f t="shared" ca="1" si="242"/>
        <v>1</v>
      </c>
      <c r="J1072" s="241"/>
      <c r="K1072" s="241"/>
      <c r="L1072" s="238"/>
    </row>
    <row r="1073" spans="2:12">
      <c r="B1073" s="232" t="s">
        <v>538</v>
      </c>
      <c r="C1073" s="167" t="s">
        <v>417</v>
      </c>
      <c r="D1073" s="236" t="str">
        <f>_xlfn.XLOOKUP(B1073,'Relacion '!$E:$E,'Relacion '!$D:$D,"")</f>
        <v>06. BW-EJECUCION</v>
      </c>
      <c r="E1073" s="233">
        <f t="shared" si="243"/>
        <v>471</v>
      </c>
      <c r="F1073" s="234" cm="1">
        <f t="array" ref="F1073">MIN(INDEX('Relacion '!$X$5:$AM$493,MATCH(INDEX($B:$B, (ROW()-0)),'Relacion '!$E$5:$E$493,0),0))</f>
        <v>45659</v>
      </c>
      <c r="G1073" s="234" cm="1">
        <f t="array" ref="G1073">MAX(INDEX('Relacion '!$X$5:$AM$493,MATCH(INDEX($B:$B, (ROW()-0)),'Relacion '!$E$5:$E$493,0),0))</f>
        <v>46130</v>
      </c>
      <c r="H1073" s="235" t="e">
        <f>AVERAGE(H1074:H1081)</f>
        <v>#REF!</v>
      </c>
      <c r="I1073" s="235">
        <f t="shared" ref="I1073" ca="1" si="254">AVERAGE(I1074:I1081)</f>
        <v>1</v>
      </c>
      <c r="J1073" s="236" t="str">
        <f>IF(ISNUMBER(SEARCH("Rocha", _xlfn.XLOOKUP(B1073,'Relacion '!$E:$E,'Relacion '!$I:$I,""))), "Sí", "No")</f>
        <v>No</v>
      </c>
      <c r="K1073" s="236" t="str">
        <f>IF(ISNUMBER(SEARCH("Rocha", _xlfn.XLOOKUP(B1073,'Relacion '!$E:$E,'Relacion '!$I:$I,""))), "RMC", _xlfn.XLOOKUP(B1073,'Relacion '!$E:$E,'Relacion '!$B:$B,""))</f>
        <v>Producto</v>
      </c>
      <c r="L1073" s="236" t="str">
        <f>_xlfn.XLOOKUP(B1073,'Relacion '!$E:$E,'Relacion '!$C:$C,"")</f>
        <v>Claudia Barroso</v>
      </c>
    </row>
    <row r="1074" spans="2:12" outlineLevel="1">
      <c r="B1074" s="237" t="s">
        <v>654</v>
      </c>
      <c r="C1074" s="237" t="s">
        <v>654</v>
      </c>
      <c r="D1074" s="238" t="str">
        <f>_xlfn.XLOOKUP(B1074,'Relacion '!$E:$E,'Relacion '!$D:$D,"")</f>
        <v/>
      </c>
      <c r="E1074" s="239">
        <f t="shared" si="243"/>
        <v>424</v>
      </c>
      <c r="F1074" s="240" cm="1">
        <f t="array" ref="F1074">MIN(INDEX('Relacion '!$X$5:$Y$493,MATCH(INDEX($B:$B, (ROW()-1)),'Relacion '!$E$5:$E$493,0),0))</f>
        <v>45659</v>
      </c>
      <c r="G1074" s="240" cm="1">
        <f t="array" ref="G1074">MAX(INDEX('Relacion '!$X$5:$Y$493,MATCH(INDEX($B:$B, (ROW()-1)),'Relacion '!$E$5:$E$493,0),0))</f>
        <v>46083</v>
      </c>
      <c r="H1074" s="241" cm="1">
        <f t="array" ref="H1074">IF(
 MATCH(B1074,{"01. ASIGNACION AREA";"02. MAPEO";"03. DESARROLLO";"04. VALIDA US";"05. VOBO US";"06. BW-EJECUCION";"07. VALIDACIÓN BAJAWARE";"08. CERRADA"},0)
 &lt;
 MATCH(_xlfn.XLOOKUP(INDEX($B:$B, (ROW()-1)),'Relacion '!$E:$E,'Relacion '!$D:$D,""),{"01. ASIGNACION AREA";"02. MAPEO";"03. DESARROLLO";"04. VALIDA US";"05. VOBO US";"06. BW-EJECUCION";"07. VALIDACIÓN BAJAWARE";"08. CERRADA"},0),
 1,
 IF(
  MATCH(B1074,{"01. ASIGNACION AREA";"02. MAPEO";"03. DESARROLLO";"04. VALIDA US";"05. VOBO US";"06. BW-EJECUCION";"07. VALIDACIÓN BAJAWARE";"08. CERRADA"},0)
  =
  MATCH(_xlfn.XLOOKUP(INDEX($B:$B, (ROW()-1)),'Relacion '!$E:$E,'Relacion '!$D:$D,""),{"01. ASIGNACION AREA";"02. MAPEO";"03. DESARROLLO";"04. VALIDA US";"05. VOBO US";"06. BW-EJECUCION";"07. VALIDACIÓN BAJAWARE";"08. CERRADA"},0),
  _xlfn.XLOOKUP(INDEX($B:$B, (ROW()-1)),'Relacion '!$E:$E,'Relacion '!#REF!,0),
  0
 )
)</f>
        <v>1</v>
      </c>
      <c r="I1074" s="241">
        <f t="shared" ref="I1074" ca="1" si="255">IF(G1074&lt;=TODAY(), 1, 0)</f>
        <v>1</v>
      </c>
      <c r="J1074" s="241"/>
      <c r="K1074" s="241"/>
      <c r="L1074" s="238"/>
    </row>
    <row r="1075" spans="2:12" outlineLevel="1">
      <c r="B1075" s="237" t="s">
        <v>195</v>
      </c>
      <c r="C1075" s="237" t="s">
        <v>195</v>
      </c>
      <c r="D1075" s="238" t="str">
        <f>_xlfn.XLOOKUP(B1075,'Relacion '!$E:$E,'Relacion '!$D:$D,"")</f>
        <v/>
      </c>
      <c r="E1075" s="239">
        <f t="shared" si="243"/>
        <v>4</v>
      </c>
      <c r="F1075" s="240" cm="1">
        <f t="array" ref="F1075">MIN(INDEX('Relacion '!$Z$5:$AA$493,MATCH(INDEX($B:$B, (ROW()-2)),'Relacion '!$E$5:$E$493,0),0))</f>
        <v>46034</v>
      </c>
      <c r="G1075" s="240" cm="1">
        <f t="array" ref="G1075">MAX(INDEX('Relacion '!$Z$5:$AA$493,MATCH(INDEX($B:$B, (ROW()-2)),'Relacion '!$E$5:$E$493,0),0))</f>
        <v>46038</v>
      </c>
      <c r="H1075" s="241" cm="1">
        <f t="array" ref="H1075">IF(
 MATCH(B1075,{"01. ASIGNACION AREA";"02. MAPEO";"03. DESARROLLO";"04. VALIDA US";"05. VOBO US";"06. BW-EJECUCION";"07. VALIDACIÓN BAJAWARE";"08. CERRADA"},0)
 &lt;
 MATCH(_xlfn.XLOOKUP(INDEX($B:$B, (ROW()-2)),'Relacion '!$E:$E,'Relacion '!$D:$D,""),{"01. ASIGNACION AREA";"02. MAPEO";"03. DESARROLLO";"04. VALIDA US";"05. VOBO US";"06. BW-EJECUCION";"07. VALIDACIÓN BAJAWARE";"08. CERRADA"},0),
 1,
 IF(
  MATCH(B1075,{"01. ASIGNACION AREA";"02. MAPEO";"03. DESARROLLO";"04. VALIDA US";"05. VOBO US";"06. BW-EJECUCION";"07. VALIDACIÓN BAJAWARE";"08. CERRADA"},0)
  =
  MATCH(_xlfn.XLOOKUP(INDEX($B:$B, (ROW()-2)),'Relacion '!$E:$E,'Relacion '!$D:$D,""),{"01. ASIGNACION AREA";"02. MAPEO";"03. DESARROLLO";"04. VALIDA US";"05. VOBO US";"06. BW-EJECUCION";"07. VALIDACIÓN BAJAWARE";"08. CERRADA"},0),
  _xlfn.XLOOKUP(INDEX($B:$B, (ROW()-2)),'Relacion '!$E:$E,'Relacion '!#REF!,0),
  0
 )
)</f>
        <v>1</v>
      </c>
      <c r="I1075" s="241">
        <f t="shared" ca="1" si="242"/>
        <v>1</v>
      </c>
      <c r="J1075" s="241"/>
      <c r="K1075" s="241"/>
      <c r="L1075" s="238"/>
    </row>
    <row r="1076" spans="2:12" outlineLevel="1">
      <c r="B1076" s="237" t="s">
        <v>49</v>
      </c>
      <c r="C1076" s="237" t="s">
        <v>49</v>
      </c>
      <c r="D1076" s="238" t="str">
        <f>_xlfn.XLOOKUP(B1076,'Relacion '!$E:$E,'Relacion '!$D:$D,"")</f>
        <v/>
      </c>
      <c r="E1076" s="239">
        <f t="shared" si="243"/>
        <v>4</v>
      </c>
      <c r="F1076" s="240" cm="1">
        <f t="array" ref="F1076">MIN(INDEX('Relacion '!$AB$5:$AC$493,MATCH(INDEX($B:$B, (ROW()-3)),'Relacion '!$E$5:$E$493,0),0))</f>
        <v>46041</v>
      </c>
      <c r="G1076" s="240" cm="1">
        <f t="array" ref="G1076">MAX(INDEX('Relacion '!$AB$5:$AC$493,MATCH(INDEX($B:$B, (ROW()-3)),'Relacion '!$E$5:$E$493,0),0))</f>
        <v>46045</v>
      </c>
      <c r="H1076" s="241" cm="1">
        <f t="array" ref="H1076">IF(
 MATCH(B1076,{"01. ASIGNACION AREA";"02. MAPEO";"03. DESARROLLO";"04. VALIDA US";"05. VOBO US";"06. BW-EJECUCION";"07. VALIDACIÓN BAJAWARE";"08. CERRADA"},0)
 &lt;
 MATCH(_xlfn.XLOOKUP(INDEX($B:$B, (ROW()-3)),'Relacion '!$E:$E,'Relacion '!$D:$D,""),{"01. ASIGNACION AREA";"02. MAPEO";"03. DESARROLLO";"04. VALIDA US";"05. VOBO US";"06. BW-EJECUCION";"07. VALIDACIÓN BAJAWARE";"08. CERRADA"},0),
 1,
 IF(
  MATCH(B1076,{"01. ASIGNACION AREA";"02. MAPEO";"03. DESARROLLO";"04. VALIDA US";"05. VOBO US";"06. BW-EJECUCION";"07. VALIDACIÓN BAJAWARE";"08. CERRADA"},0)
  =
  MATCH(_xlfn.XLOOKUP(INDEX($B:$B, (ROW()-3)),'Relacion '!$E:$E,'Relacion '!$D:$D,""),{"01. ASIGNACION AREA";"02. MAPEO";"03. DESARROLLO";"04. VALIDA US";"05. VOBO US";"06. BW-EJECUCION";"07. VALIDACIÓN BAJAWARE";"08. CERRADA"},0),
  _xlfn.XLOOKUP(INDEX($B:$B, (ROW()-3)),'Relacion '!$E:$E,'Relacion '!#REF!,0),
  0
 )
)</f>
        <v>1</v>
      </c>
      <c r="I1076" s="241">
        <f t="shared" ca="1" si="242"/>
        <v>1</v>
      </c>
      <c r="J1076" s="241"/>
      <c r="K1076" s="241"/>
      <c r="L1076" s="238"/>
    </row>
    <row r="1077" spans="2:12" outlineLevel="1">
      <c r="B1077" s="237" t="s">
        <v>324</v>
      </c>
      <c r="C1077" s="237" t="s">
        <v>324</v>
      </c>
      <c r="D1077" s="238" t="str">
        <f>_xlfn.XLOOKUP(B1077,'Relacion '!$E:$E,'Relacion '!$D:$D,"")</f>
        <v/>
      </c>
      <c r="E1077" s="239">
        <f t="shared" si="243"/>
        <v>4</v>
      </c>
      <c r="F1077" s="240" cm="1">
        <f t="array" ref="F1077">MIN(INDEX('Relacion '!$AD$5:$AE$493,MATCH(INDEX($B:$B, (ROW()-4)),'Relacion '!$E$5:$E$493,0),0))</f>
        <v>46048</v>
      </c>
      <c r="G1077" s="240" cm="1">
        <f t="array" ref="G1077">MAX(INDEX('Relacion '!$AD$5:$AE$493,MATCH(INDEX($B:$B, (ROW()-4)),'Relacion '!$E$5:$E$493,0),0))</f>
        <v>46052</v>
      </c>
      <c r="H1077" s="241" cm="1">
        <f t="array" ref="H1077">IF(
 MATCH(B1077,{"01. ASIGNACION AREA";"02. MAPEO";"03. DESARROLLO";"04. VALIDA US";"05. VOBO US";"06. BW-EJECUCION";"07. VALIDACIÓN BAJAWARE";"08. CERRADA"},0)
 &lt;
 MATCH(_xlfn.XLOOKUP(INDEX($B:$B, (ROW()-4)),'Relacion '!$E:$E,'Relacion '!$D:$D,""),{"01. ASIGNACION AREA";"02. MAPEO";"03. DESARROLLO";"04. VALIDA US";"05. VOBO US";"06. BW-EJECUCION";"07. VALIDACIÓN BAJAWARE";"08. CERRADA"},0),
 1,
 IF(
  MATCH(B1077,{"01. ASIGNACION AREA";"02. MAPEO";"03. DESARROLLO";"04. VALIDA US";"05. VOBO US";"06. BW-EJECUCION";"07. VALIDACIÓN BAJAWARE";"08. CERRADA"},0)
  =
  MATCH(_xlfn.XLOOKUP(INDEX($B:$B, (ROW()-4)),'Relacion '!$E:$E,'Relacion '!$D:$D,""),{"01. ASIGNACION AREA";"02. MAPEO";"03. DESARROLLO";"04. VALIDA US";"05. VOBO US";"06. BW-EJECUCION";"07. VALIDACIÓN BAJAWARE";"08. CERRADA"},0),
  _xlfn.XLOOKUP(INDEX($B:$B, (ROW()-4)),'Relacion '!$E:$E,'Relacion '!#REF!,0),
  0
 )
)</f>
        <v>1</v>
      </c>
      <c r="I1077" s="241">
        <f t="shared" ca="1" si="242"/>
        <v>1</v>
      </c>
      <c r="J1077" s="241"/>
      <c r="K1077" s="241"/>
      <c r="L1077" s="238"/>
    </row>
    <row r="1078" spans="2:12" outlineLevel="1">
      <c r="B1078" s="237" t="s">
        <v>320</v>
      </c>
      <c r="C1078" s="237" t="s">
        <v>320</v>
      </c>
      <c r="D1078" s="238" t="str">
        <f>_xlfn.XLOOKUP(B1078,'Relacion '!$E:$E,'Relacion '!$D:$D,"")</f>
        <v/>
      </c>
      <c r="E1078" s="239">
        <f t="shared" si="243"/>
        <v>7</v>
      </c>
      <c r="F1078" s="240" cm="1">
        <f t="array" ref="F1078">MIN(INDEX('Relacion '!$AF$5:$AG$493,MATCH(INDEX($B:$B, (ROW()-5)),'Relacion '!$E$5:$E$493,0),0))</f>
        <v>46055</v>
      </c>
      <c r="G1078" s="240" cm="1">
        <f t="array" ref="G1078">MAX(INDEX('Relacion '!$AF$5:$AG$493,MATCH(INDEX($B:$B, (ROW()-5)),'Relacion '!$E$5:$E$493,0),0))</f>
        <v>46062</v>
      </c>
      <c r="H1078" s="241" cm="1">
        <f t="array" ref="H1078">IF(
 MATCH(B1078,{"01. ASIGNACION AREA";"02. MAPEO";"03. DESARROLLO";"04. VALIDA US";"05. VOBO US";"06. BW-EJECUCION";"07. VALIDACIÓN BAJAWARE";"08. CERRADA"},0)
 &lt;
 MATCH(_xlfn.XLOOKUP(INDEX($B:$B, (ROW()-5)),'Relacion '!$E:$E,'Relacion '!$D:$D,""),{"01. ASIGNACION AREA";"02. MAPEO";"03. DESARROLLO";"04. VALIDA US";"05. VOBO US";"06. BW-EJECUCION";"07. VALIDACIÓN BAJAWARE";"08. CERRADA"},0),
 1,
 IF(
  MATCH(B1078,{"01. ASIGNACION AREA";"02. MAPEO";"03. DESARROLLO";"04. VALIDA US";"05. VOBO US";"06. BW-EJECUCION";"07. VALIDACIÓN BAJAWARE";"08. CERRADA"},0)
  =
  MATCH(_xlfn.XLOOKUP(INDEX($B:$B, (ROW()-5)),'Relacion '!$E:$E,'Relacion '!$D:$D,""),{"01. ASIGNACION AREA";"02. MAPEO";"03. DESARROLLO";"04. VALIDA US";"05. VOBO US";"06. BW-EJECUCION";"07. VALIDACIÓN BAJAWARE";"08. CERRADA"},0),
  _xlfn.XLOOKUP(INDEX($B:$B, (ROW()-5)),'Relacion '!$E:$E,'Relacion '!#REF!,0),
  0
 )
)</f>
        <v>1</v>
      </c>
      <c r="I1078" s="241">
        <f t="shared" ca="1" si="242"/>
        <v>1</v>
      </c>
      <c r="J1078" s="241"/>
      <c r="K1078" s="241"/>
      <c r="L1078" s="238"/>
    </row>
    <row r="1079" spans="2:12" outlineLevel="1">
      <c r="B1079" s="237" t="s">
        <v>710</v>
      </c>
      <c r="C1079" s="237" t="s">
        <v>710</v>
      </c>
      <c r="D1079" s="238" t="str">
        <f>_xlfn.XLOOKUP(B1079,'Relacion '!$E:$E,'Relacion '!$D:$D,"")</f>
        <v/>
      </c>
      <c r="E1079" s="239">
        <f t="shared" si="243"/>
        <v>25</v>
      </c>
      <c r="F1079" s="240" cm="1">
        <f t="array" ref="F1079">MIN(INDEX('Relacion '!$AH$5:$AI$493,MATCH(INDEX($B:$B, (ROW()-6)),'Relacion '!$E$5:$E$493,0),0))</f>
        <v>46076</v>
      </c>
      <c r="G1079" s="240" cm="1">
        <f t="array" ref="G1079">MAX(INDEX('Relacion '!$AH$5:$AI$493,MATCH(INDEX($B:$B, (ROW()-6)),'Relacion '!$E$5:$E$493,0),0))</f>
        <v>46101</v>
      </c>
      <c r="H1079" s="241" t="e" cm="1">
        <f t="array" ref="H1079">IF(
 MATCH(B1079,{"01. ASIGNACION AREA";"02. MAPEO";"03. DESARROLLO";"04. VALIDA US";"05. VOBO US";"06. BW-EJECUCION";"07. VALIDACIÓN BAJAWARE";"08. CERRADA"},0)
 &lt;
 MATCH(_xlfn.XLOOKUP(INDEX($B:$B, (ROW()-6)),'Relacion '!$E:$E,'Relacion '!$D:$D,""),{"01. ASIGNACION AREA";"02. MAPEO";"03. DESARROLLO";"04. VALIDA US";"05. VOBO US";"06. BW-EJECUCION";"07. VALIDACIÓN BAJAWARE";"08. CERRADA"},0),
 1,
 IF(
  MATCH(B1079,{"01. ASIGNACION AREA";"02. MAPEO";"03. DESARROLLO";"04. VALIDA US";"05. VOBO US";"06. BW-EJECUCION";"07. VALIDACIÓN BAJAWARE";"08. CERRADA"},0)
  =
  MATCH(_xlfn.XLOOKUP(INDEX($B:$B, (ROW()-6)),'Relacion '!$E:$E,'Relacion '!$D:$D,""),{"01. ASIGNACION AREA";"02. MAPEO";"03. DESARROLLO";"04. VALIDA US";"05. VOBO US";"06. BW-EJECUCION";"07. VALIDACIÓN BAJAWARE";"08. CERRADA"},0),
  _xlfn.XLOOKUP(INDEX($B:$B, (ROW()-6)),'Relacion '!$E:$E,'Relacion '!#REF!,0),
  0
 )
)</f>
        <v>#REF!</v>
      </c>
      <c r="I1079" s="241">
        <f t="shared" ca="1" si="242"/>
        <v>1</v>
      </c>
      <c r="J1079" s="241"/>
      <c r="K1079" s="241"/>
      <c r="L1079" s="238"/>
    </row>
    <row r="1080" spans="2:12" outlineLevel="1">
      <c r="B1080" s="237" t="s">
        <v>655</v>
      </c>
      <c r="C1080" s="237" t="s">
        <v>655</v>
      </c>
      <c r="D1080" s="238" t="str">
        <f>_xlfn.XLOOKUP(B1080,'Relacion '!$E:$E,'Relacion '!$D:$D,"")</f>
        <v/>
      </c>
      <c r="E1080" s="239">
        <f t="shared" si="243"/>
        <v>25</v>
      </c>
      <c r="F1080" s="240" cm="1">
        <f t="array" ref="F1080">MIN(INDEX('Relacion '!$AJ$5:$AK$493,MATCH(INDEX($B:$B, (ROW()-7)),'Relacion '!$E$5:$E$493,0),0))</f>
        <v>46104</v>
      </c>
      <c r="G1080" s="240" cm="1">
        <f t="array" ref="G1080">MAX(INDEX('Relacion '!$AJ$5:$AK$493,MATCH(INDEX($B:$B, (ROW()-7)),'Relacion '!$E$5:$E$493,0),0))</f>
        <v>46129</v>
      </c>
      <c r="H1080" s="241" cm="1">
        <f t="array" ref="H1080">IF(
 MATCH(B1080,{"01. ASIGNACION AREA";"02. MAPEO";"03. DESARROLLO";"04. VALIDA US";"05. VOBO US";"06. BW-EJECUCION";"07. VALIDACIÓN BAJAWARE";"08. CERRADA"},0)
 &lt;
 MATCH(_xlfn.XLOOKUP(INDEX($B:$B, (ROW()-7)),'Relacion '!$E:$E,'Relacion '!$D:$D,""),{"01. ASIGNACION AREA";"02. MAPEO";"03. DESARROLLO";"04. VALIDA US";"05. VOBO US";"06. BW-EJECUCION";"07. VALIDACIÓN BAJAWARE";"08. CERRADA"},0),
 1,
 IF(
  MATCH(B1080,{"01. ASIGNACION AREA";"02. MAPEO";"03. DESARROLLO";"04. VALIDA US";"05. VOBO US";"06. BW-EJECUCION";"07. VALIDACIÓN BAJAWARE";"08. CERRADA"},0)
  =
  MATCH(_xlfn.XLOOKUP(INDEX($B:$B, (ROW()-7)),'Relacion '!$E:$E,'Relacion '!$D:$D,""),{"01. ASIGNACION AREA";"02. MAPEO";"03. DESARROLLO";"04. VALIDA US";"05. VOBO US";"06. BW-EJECUCION";"07. VALIDACIÓN BAJAWARE";"08. CERRADA"},0),
  _xlfn.XLOOKUP(INDEX($B:$B, (ROW()-7)),'Relacion '!$E:$E,'Relacion '!#REF!,0),
  0
 )
)</f>
        <v>0</v>
      </c>
      <c r="I1080" s="241">
        <f t="shared" ca="1" si="242"/>
        <v>1</v>
      </c>
      <c r="J1080" s="241"/>
      <c r="K1080" s="241"/>
      <c r="L1080" s="238"/>
    </row>
    <row r="1081" spans="2:12" outlineLevel="1">
      <c r="B1081" s="237" t="s">
        <v>656</v>
      </c>
      <c r="C1081" s="237" t="s">
        <v>656</v>
      </c>
      <c r="D1081" s="238" t="str">
        <f>_xlfn.XLOOKUP(B1081,'Relacion '!$E:$E,'Relacion '!$D:$D,"")</f>
        <v/>
      </c>
      <c r="E1081" s="239">
        <f t="shared" si="243"/>
        <v>0</v>
      </c>
      <c r="F1081" s="240" cm="1">
        <f t="array" ref="F1081">MIN(INDEX('Relacion '!$AL$5:$AM$493,MATCH(INDEX($B:$B, (ROW()-8)),'Relacion '!$E$5:$E$493,0),0))</f>
        <v>46130</v>
      </c>
      <c r="G1081" s="240" cm="1">
        <f t="array" ref="G1081">MAX(INDEX('Relacion '!$AL$5:$AM$493,MATCH(INDEX($B:$B, (ROW()-8)),'Relacion '!$E$5:$E$493,0),0))</f>
        <v>46130</v>
      </c>
      <c r="H1081" s="241" cm="1">
        <f t="array" ref="H1081">IF(
 MATCH(B1081,{"01. ASIGNACION AREA";"02. MAPEO";"03. DESARROLLO";"04. VALIDA US";"05. VOBO US";"06. BW-EJECUCION";"07. VALIDACIÓN BAJAWARE";"08. CERRADA"},0)
 &lt;
 MATCH(_xlfn.XLOOKUP(INDEX($B:$B, (ROW()-8)),'Relacion '!$E:$E,'Relacion '!$D:$D,""),{"01. ASIGNACION AREA";"02. MAPEO";"03. DESARROLLO";"04. VALIDA US";"05. VOBO US";"06. BW-EJECUCION";"07. VALIDACIÓN BAJAWARE";"08. CERRADA"},0),
 1,
 IF(
  MATCH(B1081,{"01. ASIGNACION AREA";"02. MAPEO";"03. DESARROLLO";"04. VALIDA US";"05. VOBO US";"06. BW-EJECUCION";"07. VALIDACIÓN BAJAWARE";"08. CERRADA"},0)
  =
  MATCH(_xlfn.XLOOKUP(INDEX($B:$B, (ROW()-8)),'Relacion '!$E:$E,'Relacion '!$D:$D,""),{"01. ASIGNACION AREA";"02. MAPEO";"03. DESARROLLO";"04. VALIDA US";"05. VOBO US";"06. BW-EJECUCION";"07. VALIDACIÓN BAJAWARE";"08. CERRADA"},0),
  _xlfn.XLOOKUP(INDEX($B:$B, (ROW()-8)),'Relacion '!$E:$E,'Relacion '!#REF!,0),
  0
 )
)</f>
        <v>0</v>
      </c>
      <c r="I1081" s="241">
        <f t="shared" ca="1" si="242"/>
        <v>1</v>
      </c>
      <c r="J1081" s="241"/>
      <c r="K1081" s="241"/>
      <c r="L1081" s="238"/>
    </row>
    <row r="1082" spans="2:12">
      <c r="B1082" s="232" t="s">
        <v>539</v>
      </c>
      <c r="C1082" s="174" t="s">
        <v>417</v>
      </c>
      <c r="D1082" s="236" t="str">
        <f>_xlfn.XLOOKUP(B1082,'Relacion '!$E:$E,'Relacion '!$D:$D,"")</f>
        <v>08. CERRADA</v>
      </c>
      <c r="E1082" s="233">
        <f t="shared" si="243"/>
        <v>449</v>
      </c>
      <c r="F1082" s="234" cm="1">
        <f t="array" ref="F1082">MIN(INDEX('Relacion '!$X$5:$AM$493,MATCH(INDEX($B:$B, (ROW()-0)),'Relacion '!$E$5:$E$493,0),0))</f>
        <v>45659</v>
      </c>
      <c r="G1082" s="234" cm="1">
        <f t="array" ref="G1082">MAX(INDEX('Relacion '!$X$5:$AM$493,MATCH(INDEX($B:$B, (ROW()-0)),'Relacion '!$E$5:$E$493,0),0))</f>
        <v>46108</v>
      </c>
      <c r="H1082" s="235" t="e">
        <f>AVERAGE(H1083:H1090)</f>
        <v>#REF!</v>
      </c>
      <c r="I1082" s="235">
        <f t="shared" ref="I1082" ca="1" si="256">AVERAGE(I1083:I1090)</f>
        <v>1</v>
      </c>
      <c r="J1082" s="236" t="str">
        <f>IF(ISNUMBER(SEARCH("Rocha", _xlfn.XLOOKUP(B1082,'Relacion '!$E:$E,'Relacion '!$I:$I,""))), "Sí", "No")</f>
        <v>No</v>
      </c>
      <c r="K1082" s="236" t="str">
        <f>IF(ISNUMBER(SEARCH("Rocha", _xlfn.XLOOKUP(B1082,'Relacion '!$E:$E,'Relacion '!$I:$I,""))), "RMC", _xlfn.XLOOKUP(B1082,'Relacion '!$E:$E,'Relacion '!$B:$B,""))</f>
        <v>Producto</v>
      </c>
      <c r="L1082" s="236" t="str">
        <f>_xlfn.XLOOKUP(B1082,'Relacion '!$E:$E,'Relacion '!$C:$C,"")</f>
        <v>Claudia Barroso</v>
      </c>
    </row>
    <row r="1083" spans="2:12" outlineLevel="1">
      <c r="B1083" s="237" t="s">
        <v>654</v>
      </c>
      <c r="C1083" s="237" t="s">
        <v>654</v>
      </c>
      <c r="D1083" s="238" t="str">
        <f>_xlfn.XLOOKUP(B1083,'Relacion '!$E:$E,'Relacion '!$D:$D,"")</f>
        <v/>
      </c>
      <c r="E1083" s="239">
        <f t="shared" si="243"/>
        <v>424</v>
      </c>
      <c r="F1083" s="240" cm="1">
        <f t="array" ref="F1083">MIN(INDEX('Relacion '!$X$5:$Y$493,MATCH(INDEX($B:$B, (ROW()-1)),'Relacion '!$E$5:$E$493,0),0))</f>
        <v>45659</v>
      </c>
      <c r="G1083" s="240" cm="1">
        <f t="array" ref="G1083">MAX(INDEX('Relacion '!$X$5:$Y$493,MATCH(INDEX($B:$B, (ROW()-1)),'Relacion '!$E$5:$E$493,0),0))</f>
        <v>46083</v>
      </c>
      <c r="H1083" s="241" cm="1">
        <f t="array" ref="H1083">IF(
 MATCH(B1083,{"01. ASIGNACION AREA";"02. MAPEO";"03. DESARROLLO";"04. VALIDA US";"05. VOBO US";"06. BW-EJECUCION";"07. VALIDACIÓN BAJAWARE";"08. CERRADA"},0)
 &lt;
 MATCH(_xlfn.XLOOKUP(INDEX($B:$B, (ROW()-1)),'Relacion '!$E:$E,'Relacion '!$D:$D,""),{"01. ASIGNACION AREA";"02. MAPEO";"03. DESARROLLO";"04. VALIDA US";"05. VOBO US";"06. BW-EJECUCION";"07. VALIDACIÓN BAJAWARE";"08. CERRADA"},0),
 1,
 IF(
  MATCH(B1083,{"01. ASIGNACION AREA";"02. MAPEO";"03. DESARROLLO";"04. VALIDA US";"05. VOBO US";"06. BW-EJECUCION";"07. VALIDACIÓN BAJAWARE";"08. CERRADA"},0)
  =
  MATCH(_xlfn.XLOOKUP(INDEX($B:$B, (ROW()-1)),'Relacion '!$E:$E,'Relacion '!$D:$D,""),{"01. ASIGNACION AREA";"02. MAPEO";"03. DESARROLLO";"04. VALIDA US";"05. VOBO US";"06. BW-EJECUCION";"07. VALIDACIÓN BAJAWARE";"08. CERRADA"},0),
  _xlfn.XLOOKUP(INDEX($B:$B, (ROW()-1)),'Relacion '!$E:$E,'Relacion '!#REF!,0),
  0
 )
)</f>
        <v>1</v>
      </c>
      <c r="I1083" s="241">
        <f t="shared" ref="I1083:I1144" ca="1" si="257">IF(G1083&lt;=TODAY(), 1, 0)</f>
        <v>1</v>
      </c>
      <c r="J1083" s="241"/>
      <c r="K1083" s="241"/>
      <c r="L1083" s="238"/>
    </row>
    <row r="1084" spans="2:12" outlineLevel="1">
      <c r="B1084" s="237" t="s">
        <v>195</v>
      </c>
      <c r="C1084" s="237" t="s">
        <v>195</v>
      </c>
      <c r="D1084" s="238" t="str">
        <f>_xlfn.XLOOKUP(B1084,'Relacion '!$E:$E,'Relacion '!$D:$D,"")</f>
        <v/>
      </c>
      <c r="E1084" s="239">
        <f t="shared" si="243"/>
        <v>0</v>
      </c>
      <c r="F1084" s="240" cm="1">
        <f t="array" ref="F1084">MIN(INDEX('Relacion '!$Z$5:$AA$493,MATCH(INDEX($B:$B, (ROW()-2)),'Relacion '!$E$5:$E$493,0),0))</f>
        <v>46108</v>
      </c>
      <c r="G1084" s="240" cm="1">
        <f t="array" ref="G1084">MAX(INDEX('Relacion '!$Z$5:$AA$493,MATCH(INDEX($B:$B, (ROW()-2)),'Relacion '!$E$5:$E$493,0),0))</f>
        <v>46108</v>
      </c>
      <c r="H1084" s="241" cm="1">
        <f t="array" ref="H1084">IF(
 MATCH(B1084,{"01. ASIGNACION AREA";"02. MAPEO";"03. DESARROLLO";"04. VALIDA US";"05. VOBO US";"06. BW-EJECUCION";"07. VALIDACIÓN BAJAWARE";"08. CERRADA"},0)
 &lt;
 MATCH(_xlfn.XLOOKUP(INDEX($B:$B, (ROW()-2)),'Relacion '!$E:$E,'Relacion '!$D:$D,""),{"01. ASIGNACION AREA";"02. MAPEO";"03. DESARROLLO";"04. VALIDA US";"05. VOBO US";"06. BW-EJECUCION";"07. VALIDACIÓN BAJAWARE";"08. CERRADA"},0),
 1,
 IF(
  MATCH(B1084,{"01. ASIGNACION AREA";"02. MAPEO";"03. DESARROLLO";"04. VALIDA US";"05. VOBO US";"06. BW-EJECUCION";"07. VALIDACIÓN BAJAWARE";"08. CERRADA"},0)
  =
  MATCH(_xlfn.XLOOKUP(INDEX($B:$B, (ROW()-2)),'Relacion '!$E:$E,'Relacion '!$D:$D,""),{"01. ASIGNACION AREA";"02. MAPEO";"03. DESARROLLO";"04. VALIDA US";"05. VOBO US";"06. BW-EJECUCION";"07. VALIDACIÓN BAJAWARE";"08. CERRADA"},0),
  _xlfn.XLOOKUP(INDEX($B:$B, (ROW()-2)),'Relacion '!$E:$E,'Relacion '!#REF!,0),
  0
 )
)</f>
        <v>1</v>
      </c>
      <c r="I1084" s="241">
        <f t="shared" ca="1" si="257"/>
        <v>1</v>
      </c>
      <c r="J1084" s="241"/>
      <c r="K1084" s="241"/>
      <c r="L1084" s="238"/>
    </row>
    <row r="1085" spans="2:12" outlineLevel="1">
      <c r="B1085" s="237" t="s">
        <v>49</v>
      </c>
      <c r="C1085" s="237" t="s">
        <v>49</v>
      </c>
      <c r="D1085" s="238" t="str">
        <f>_xlfn.XLOOKUP(B1085,'Relacion '!$E:$E,'Relacion '!$D:$D,"")</f>
        <v/>
      </c>
      <c r="E1085" s="239">
        <f t="shared" si="243"/>
        <v>0</v>
      </c>
      <c r="F1085" s="240" cm="1">
        <f t="array" ref="F1085">MIN(INDEX('Relacion '!$AB$5:$AC$493,MATCH(INDEX($B:$B, (ROW()-3)),'Relacion '!$E$5:$E$493,0),0))</f>
        <v>46108</v>
      </c>
      <c r="G1085" s="240" cm="1">
        <f t="array" ref="G1085">MAX(INDEX('Relacion '!$AB$5:$AC$493,MATCH(INDEX($B:$B, (ROW()-3)),'Relacion '!$E$5:$E$493,0),0))</f>
        <v>46108</v>
      </c>
      <c r="H1085" s="241" cm="1">
        <f t="array" ref="H1085">IF(
 MATCH(B1085,{"01. ASIGNACION AREA";"02. MAPEO";"03. DESARROLLO";"04. VALIDA US";"05. VOBO US";"06. BW-EJECUCION";"07. VALIDACIÓN BAJAWARE";"08. CERRADA"},0)
 &lt;
 MATCH(_xlfn.XLOOKUP(INDEX($B:$B, (ROW()-3)),'Relacion '!$E:$E,'Relacion '!$D:$D,""),{"01. ASIGNACION AREA";"02. MAPEO";"03. DESARROLLO";"04. VALIDA US";"05. VOBO US";"06. BW-EJECUCION";"07. VALIDACIÓN BAJAWARE";"08. CERRADA"},0),
 1,
 IF(
  MATCH(B1085,{"01. ASIGNACION AREA";"02. MAPEO";"03. DESARROLLO";"04. VALIDA US";"05. VOBO US";"06. BW-EJECUCION";"07. VALIDACIÓN BAJAWARE";"08. CERRADA"},0)
  =
  MATCH(_xlfn.XLOOKUP(INDEX($B:$B, (ROW()-3)),'Relacion '!$E:$E,'Relacion '!$D:$D,""),{"01. ASIGNACION AREA";"02. MAPEO";"03. DESARROLLO";"04. VALIDA US";"05. VOBO US";"06. BW-EJECUCION";"07. VALIDACIÓN BAJAWARE";"08. CERRADA"},0),
  _xlfn.XLOOKUP(INDEX($B:$B, (ROW()-3)),'Relacion '!$E:$E,'Relacion '!#REF!,0),
  0
 )
)</f>
        <v>1</v>
      </c>
      <c r="I1085" s="241">
        <f t="shared" ca="1" si="257"/>
        <v>1</v>
      </c>
      <c r="J1085" s="241"/>
      <c r="K1085" s="241"/>
      <c r="L1085" s="238"/>
    </row>
    <row r="1086" spans="2:12" outlineLevel="1">
      <c r="B1086" s="237" t="s">
        <v>324</v>
      </c>
      <c r="C1086" s="237" t="s">
        <v>324</v>
      </c>
      <c r="D1086" s="238" t="str">
        <f>_xlfn.XLOOKUP(B1086,'Relacion '!$E:$E,'Relacion '!$D:$D,"")</f>
        <v/>
      </c>
      <c r="E1086" s="239">
        <f t="shared" si="243"/>
        <v>0</v>
      </c>
      <c r="F1086" s="240" cm="1">
        <f t="array" ref="F1086">MIN(INDEX('Relacion '!$AD$5:$AE$493,MATCH(INDEX($B:$B, (ROW()-4)),'Relacion '!$E$5:$E$493,0),0))</f>
        <v>46108</v>
      </c>
      <c r="G1086" s="240" cm="1">
        <f t="array" ref="G1086">MAX(INDEX('Relacion '!$AD$5:$AE$493,MATCH(INDEX($B:$B, (ROW()-4)),'Relacion '!$E$5:$E$493,0),0))</f>
        <v>46108</v>
      </c>
      <c r="H1086" s="241" cm="1">
        <f t="array" ref="H1086">IF(
 MATCH(B1086,{"01. ASIGNACION AREA";"02. MAPEO";"03. DESARROLLO";"04. VALIDA US";"05. VOBO US";"06. BW-EJECUCION";"07. VALIDACIÓN BAJAWARE";"08. CERRADA"},0)
 &lt;
 MATCH(_xlfn.XLOOKUP(INDEX($B:$B, (ROW()-4)),'Relacion '!$E:$E,'Relacion '!$D:$D,""),{"01. ASIGNACION AREA";"02. MAPEO";"03. DESARROLLO";"04. VALIDA US";"05. VOBO US";"06. BW-EJECUCION";"07. VALIDACIÓN BAJAWARE";"08. CERRADA"},0),
 1,
 IF(
  MATCH(B1086,{"01. ASIGNACION AREA";"02. MAPEO";"03. DESARROLLO";"04. VALIDA US";"05. VOBO US";"06. BW-EJECUCION";"07. VALIDACIÓN BAJAWARE";"08. CERRADA"},0)
  =
  MATCH(_xlfn.XLOOKUP(INDEX($B:$B, (ROW()-4)),'Relacion '!$E:$E,'Relacion '!$D:$D,""),{"01. ASIGNACION AREA";"02. MAPEO";"03. DESARROLLO";"04. VALIDA US";"05. VOBO US";"06. BW-EJECUCION";"07. VALIDACIÓN BAJAWARE";"08. CERRADA"},0),
  _xlfn.XLOOKUP(INDEX($B:$B, (ROW()-4)),'Relacion '!$E:$E,'Relacion '!#REF!,0),
  0
 )
)</f>
        <v>1</v>
      </c>
      <c r="I1086" s="241">
        <f t="shared" ca="1" si="257"/>
        <v>1</v>
      </c>
      <c r="J1086" s="241"/>
      <c r="K1086" s="241"/>
      <c r="L1086" s="238"/>
    </row>
    <row r="1087" spans="2:12" outlineLevel="1">
      <c r="B1087" s="237" t="s">
        <v>320</v>
      </c>
      <c r="C1087" s="237" t="s">
        <v>320</v>
      </c>
      <c r="D1087" s="238" t="str">
        <f>_xlfn.XLOOKUP(B1087,'Relacion '!$E:$E,'Relacion '!$D:$D,"")</f>
        <v/>
      </c>
      <c r="E1087" s="239">
        <f t="shared" si="243"/>
        <v>0</v>
      </c>
      <c r="F1087" s="240" cm="1">
        <f t="array" ref="F1087">MIN(INDEX('Relacion '!$AF$5:$AG$493,MATCH(INDEX($B:$B, (ROW()-5)),'Relacion '!$E$5:$E$493,0),0))</f>
        <v>46108</v>
      </c>
      <c r="G1087" s="240" cm="1">
        <f t="array" ref="G1087">MAX(INDEX('Relacion '!$AF$5:$AG$493,MATCH(INDEX($B:$B, (ROW()-5)),'Relacion '!$E$5:$E$493,0),0))</f>
        <v>46108</v>
      </c>
      <c r="H1087" s="241" cm="1">
        <f t="array" ref="H1087">IF(
 MATCH(B1087,{"01. ASIGNACION AREA";"02. MAPEO";"03. DESARROLLO";"04. VALIDA US";"05. VOBO US";"06. BW-EJECUCION";"07. VALIDACIÓN BAJAWARE";"08. CERRADA"},0)
 &lt;
 MATCH(_xlfn.XLOOKUP(INDEX($B:$B, (ROW()-5)),'Relacion '!$E:$E,'Relacion '!$D:$D,""),{"01. ASIGNACION AREA";"02. MAPEO";"03. DESARROLLO";"04. VALIDA US";"05. VOBO US";"06. BW-EJECUCION";"07. VALIDACIÓN BAJAWARE";"08. CERRADA"},0),
 1,
 IF(
  MATCH(B1087,{"01. ASIGNACION AREA";"02. MAPEO";"03. DESARROLLO";"04. VALIDA US";"05. VOBO US";"06. BW-EJECUCION";"07. VALIDACIÓN BAJAWARE";"08. CERRADA"},0)
  =
  MATCH(_xlfn.XLOOKUP(INDEX($B:$B, (ROW()-5)),'Relacion '!$E:$E,'Relacion '!$D:$D,""),{"01. ASIGNACION AREA";"02. MAPEO";"03. DESARROLLO";"04. VALIDA US";"05. VOBO US";"06. BW-EJECUCION";"07. VALIDACIÓN BAJAWARE";"08. CERRADA"},0),
  _xlfn.XLOOKUP(INDEX($B:$B, (ROW()-5)),'Relacion '!$E:$E,'Relacion '!#REF!,0),
  0
 )
)</f>
        <v>1</v>
      </c>
      <c r="I1087" s="241">
        <f t="shared" ca="1" si="257"/>
        <v>1</v>
      </c>
      <c r="J1087" s="241"/>
      <c r="K1087" s="241"/>
      <c r="L1087" s="238"/>
    </row>
    <row r="1088" spans="2:12" outlineLevel="1">
      <c r="B1088" s="237" t="s">
        <v>710</v>
      </c>
      <c r="C1088" s="237" t="s">
        <v>710</v>
      </c>
      <c r="D1088" s="238" t="str">
        <f>_xlfn.XLOOKUP(B1088,'Relacion '!$E:$E,'Relacion '!$D:$D,"")</f>
        <v/>
      </c>
      <c r="E1088" s="239">
        <f t="shared" si="243"/>
        <v>0</v>
      </c>
      <c r="F1088" s="240" cm="1">
        <f t="array" ref="F1088">MIN(INDEX('Relacion '!$AH$5:$AI$493,MATCH(INDEX($B:$B, (ROW()-6)),'Relacion '!$E$5:$E$493,0),0))</f>
        <v>46108</v>
      </c>
      <c r="G1088" s="240" cm="1">
        <f t="array" ref="G1088">MAX(INDEX('Relacion '!$AH$5:$AI$493,MATCH(INDEX($B:$B, (ROW()-6)),'Relacion '!$E$5:$E$493,0),0))</f>
        <v>46108</v>
      </c>
      <c r="H1088" s="241" cm="1">
        <f t="array" ref="H1088">IF(
 MATCH(B1088,{"01. ASIGNACION AREA";"02. MAPEO";"03. DESARROLLO";"04. VALIDA US";"05. VOBO US";"06. BW-EJECUCION";"07. VALIDACIÓN BAJAWARE";"08. CERRADA"},0)
 &lt;
 MATCH(_xlfn.XLOOKUP(INDEX($B:$B, (ROW()-6)),'Relacion '!$E:$E,'Relacion '!$D:$D,""),{"01. ASIGNACION AREA";"02. MAPEO";"03. DESARROLLO";"04. VALIDA US";"05. VOBO US";"06. BW-EJECUCION";"07. VALIDACIÓN BAJAWARE";"08. CERRADA"},0),
 1,
 IF(
  MATCH(B1088,{"01. ASIGNACION AREA";"02. MAPEO";"03. DESARROLLO";"04. VALIDA US";"05. VOBO US";"06. BW-EJECUCION";"07. VALIDACIÓN BAJAWARE";"08. CERRADA"},0)
  =
  MATCH(_xlfn.XLOOKUP(INDEX($B:$B, (ROW()-6)),'Relacion '!$E:$E,'Relacion '!$D:$D,""),{"01. ASIGNACION AREA";"02. MAPEO";"03. DESARROLLO";"04. VALIDA US";"05. VOBO US";"06. BW-EJECUCION";"07. VALIDACIÓN BAJAWARE";"08. CERRADA"},0),
  _xlfn.XLOOKUP(INDEX($B:$B, (ROW()-6)),'Relacion '!$E:$E,'Relacion '!#REF!,0),
  0
 )
)</f>
        <v>1</v>
      </c>
      <c r="I1088" s="241">
        <f t="shared" ca="1" si="257"/>
        <v>1</v>
      </c>
      <c r="J1088" s="241"/>
      <c r="K1088" s="241"/>
      <c r="L1088" s="238"/>
    </row>
    <row r="1089" spans="2:12" outlineLevel="1">
      <c r="B1089" s="237" t="s">
        <v>655</v>
      </c>
      <c r="C1089" s="237" t="s">
        <v>655</v>
      </c>
      <c r="D1089" s="238" t="str">
        <f>_xlfn.XLOOKUP(B1089,'Relacion '!$E:$E,'Relacion '!$D:$D,"")</f>
        <v/>
      </c>
      <c r="E1089" s="239">
        <f t="shared" si="243"/>
        <v>0</v>
      </c>
      <c r="F1089" s="240" cm="1">
        <f t="array" ref="F1089">MIN(INDEX('Relacion '!$AJ$5:$AK$493,MATCH(INDEX($B:$B, (ROW()-7)),'Relacion '!$E$5:$E$493,0),0))</f>
        <v>46108</v>
      </c>
      <c r="G1089" s="240" cm="1">
        <f t="array" ref="G1089">MAX(INDEX('Relacion '!$AJ$5:$AK$493,MATCH(INDEX($B:$B, (ROW()-7)),'Relacion '!$E$5:$E$493,0),0))</f>
        <v>46108</v>
      </c>
      <c r="H1089" s="241" cm="1">
        <f t="array" ref="H1089">IF(
 MATCH(B1089,{"01. ASIGNACION AREA";"02. MAPEO";"03. DESARROLLO";"04. VALIDA US";"05. VOBO US";"06. BW-EJECUCION";"07. VALIDACIÓN BAJAWARE";"08. CERRADA"},0)
 &lt;
 MATCH(_xlfn.XLOOKUP(INDEX($B:$B, (ROW()-7)),'Relacion '!$E:$E,'Relacion '!$D:$D,""),{"01. ASIGNACION AREA";"02. MAPEO";"03. DESARROLLO";"04. VALIDA US";"05. VOBO US";"06. BW-EJECUCION";"07. VALIDACIÓN BAJAWARE";"08. CERRADA"},0),
 1,
 IF(
  MATCH(B1089,{"01. ASIGNACION AREA";"02. MAPEO";"03. DESARROLLO";"04. VALIDA US";"05. VOBO US";"06. BW-EJECUCION";"07. VALIDACIÓN BAJAWARE";"08. CERRADA"},0)
  =
  MATCH(_xlfn.XLOOKUP(INDEX($B:$B, (ROW()-7)),'Relacion '!$E:$E,'Relacion '!$D:$D,""),{"01. ASIGNACION AREA";"02. MAPEO";"03. DESARROLLO";"04. VALIDA US";"05. VOBO US";"06. BW-EJECUCION";"07. VALIDACIÓN BAJAWARE";"08. CERRADA"},0),
  _xlfn.XLOOKUP(INDEX($B:$B, (ROW()-7)),'Relacion '!$E:$E,'Relacion '!#REF!,0),
  0
 )
)</f>
        <v>1</v>
      </c>
      <c r="I1089" s="241">
        <f t="shared" ca="1" si="257"/>
        <v>1</v>
      </c>
      <c r="J1089" s="241"/>
      <c r="K1089" s="241"/>
      <c r="L1089" s="238"/>
    </row>
    <row r="1090" spans="2:12" outlineLevel="1">
      <c r="B1090" s="237" t="s">
        <v>656</v>
      </c>
      <c r="C1090" s="237" t="s">
        <v>656</v>
      </c>
      <c r="D1090" s="238" t="str">
        <f>_xlfn.XLOOKUP(B1090,'Relacion '!$E:$E,'Relacion '!$D:$D,"")</f>
        <v/>
      </c>
      <c r="E1090" s="239">
        <f t="shared" ref="E1090:E1153" si="258">IF(OR(F1090="",G1090=""),"",G1090-F1090)</f>
        <v>0</v>
      </c>
      <c r="F1090" s="240" cm="1">
        <f t="array" ref="F1090">MIN(INDEX('Relacion '!$AL$5:$AM$493,MATCH(INDEX($B:$B, (ROW()-8)),'Relacion '!$E$5:$E$493,0),0))</f>
        <v>46108</v>
      </c>
      <c r="G1090" s="240" cm="1">
        <f t="array" ref="G1090">MAX(INDEX('Relacion '!$AL$5:$AM$493,MATCH(INDEX($B:$B, (ROW()-8)),'Relacion '!$E$5:$E$493,0),0))</f>
        <v>46108</v>
      </c>
      <c r="H1090" s="241" t="e" cm="1">
        <f t="array" ref="H1090">IF(
 MATCH(B1090,{"01. ASIGNACION AREA";"02. MAPEO";"03. DESARROLLO";"04. VALIDA US";"05. VOBO US";"06. BW-EJECUCION";"07. VALIDACIÓN BAJAWARE";"08. CERRADA"},0)
 &lt;
 MATCH(_xlfn.XLOOKUP(INDEX($B:$B, (ROW()-8)),'Relacion '!$E:$E,'Relacion '!$D:$D,""),{"01. ASIGNACION AREA";"02. MAPEO";"03. DESARROLLO";"04. VALIDA US";"05. VOBO US";"06. BW-EJECUCION";"07. VALIDACIÓN BAJAWARE";"08. CERRADA"},0),
 1,
 IF(
  MATCH(B1090,{"01. ASIGNACION AREA";"02. MAPEO";"03. DESARROLLO";"04. VALIDA US";"05. VOBO US";"06. BW-EJECUCION";"07. VALIDACIÓN BAJAWARE";"08. CERRADA"},0)
  =
  MATCH(_xlfn.XLOOKUP(INDEX($B:$B, (ROW()-8)),'Relacion '!$E:$E,'Relacion '!$D:$D,""),{"01. ASIGNACION AREA";"02. MAPEO";"03. DESARROLLO";"04. VALIDA US";"05. VOBO US";"06. BW-EJECUCION";"07. VALIDACIÓN BAJAWARE";"08. CERRADA"},0),
  _xlfn.XLOOKUP(INDEX($B:$B, (ROW()-8)),'Relacion '!$E:$E,'Relacion '!#REF!,0),
  0
 )
)</f>
        <v>#REF!</v>
      </c>
      <c r="I1090" s="241">
        <f t="shared" ca="1" si="257"/>
        <v>1</v>
      </c>
      <c r="J1090" s="241"/>
      <c r="K1090" s="241"/>
      <c r="L1090" s="238"/>
    </row>
    <row r="1091" spans="2:12">
      <c r="B1091" s="232" t="s">
        <v>540</v>
      </c>
      <c r="C1091" s="174" t="s">
        <v>417</v>
      </c>
      <c r="D1091" s="236" t="str">
        <f>_xlfn.XLOOKUP(B1091,'Relacion '!$E:$E,'Relacion '!$D:$D,"")</f>
        <v>08. CERRADA</v>
      </c>
      <c r="E1091" s="233">
        <f t="shared" si="258"/>
        <v>449</v>
      </c>
      <c r="F1091" s="234" cm="1">
        <f t="array" ref="F1091">MIN(INDEX('Relacion '!$X$5:$AM$493,MATCH(INDEX($B:$B, (ROW()-0)),'Relacion '!$E$5:$E$493,0),0))</f>
        <v>45659</v>
      </c>
      <c r="G1091" s="234" cm="1">
        <f t="array" ref="G1091">MAX(INDEX('Relacion '!$X$5:$AM$493,MATCH(INDEX($B:$B, (ROW()-0)),'Relacion '!$E$5:$E$493,0),0))</f>
        <v>46108</v>
      </c>
      <c r="H1091" s="235" t="e">
        <f>AVERAGE(H1092:H1099)</f>
        <v>#REF!</v>
      </c>
      <c r="I1091" s="235">
        <f t="shared" ref="I1091" ca="1" si="259">AVERAGE(I1092:I1099)</f>
        <v>1</v>
      </c>
      <c r="J1091" s="236" t="str">
        <f>IF(ISNUMBER(SEARCH("Rocha", _xlfn.XLOOKUP(B1091,'Relacion '!$E:$E,'Relacion '!$I:$I,""))), "Sí", "No")</f>
        <v>No</v>
      </c>
      <c r="K1091" s="236" t="str">
        <f>IF(ISNUMBER(SEARCH("Rocha", _xlfn.XLOOKUP(B1091,'Relacion '!$E:$E,'Relacion '!$I:$I,""))), "RMC", _xlfn.XLOOKUP(B1091,'Relacion '!$E:$E,'Relacion '!$B:$B,""))</f>
        <v>Producto</v>
      </c>
      <c r="L1091" s="236" t="str">
        <f>_xlfn.XLOOKUP(B1091,'Relacion '!$E:$E,'Relacion '!$C:$C,"")</f>
        <v>Claudia Barroso</v>
      </c>
    </row>
    <row r="1092" spans="2:12" outlineLevel="1">
      <c r="B1092" s="237" t="s">
        <v>654</v>
      </c>
      <c r="C1092" s="237" t="s">
        <v>654</v>
      </c>
      <c r="D1092" s="238" t="str">
        <f>_xlfn.XLOOKUP(B1092,'Relacion '!$E:$E,'Relacion '!$D:$D,"")</f>
        <v/>
      </c>
      <c r="E1092" s="239">
        <f t="shared" si="258"/>
        <v>424</v>
      </c>
      <c r="F1092" s="240" cm="1">
        <f t="array" ref="F1092">MIN(INDEX('Relacion '!$X$5:$Y$493,MATCH(INDEX($B:$B, (ROW()-1)),'Relacion '!$E$5:$E$493,0),0))</f>
        <v>45659</v>
      </c>
      <c r="G1092" s="240" cm="1">
        <f t="array" ref="G1092">MAX(INDEX('Relacion '!$X$5:$Y$493,MATCH(INDEX($B:$B, (ROW()-1)),'Relacion '!$E$5:$E$493,0),0))</f>
        <v>46083</v>
      </c>
      <c r="H1092" s="241" cm="1">
        <f t="array" ref="H1092">IF(
 MATCH(B1092,{"01. ASIGNACION AREA";"02. MAPEO";"03. DESARROLLO";"04. VALIDA US";"05. VOBO US";"06. BW-EJECUCION";"07. VALIDACIÓN BAJAWARE";"08. CERRADA"},0)
 &lt;
 MATCH(_xlfn.XLOOKUP(INDEX($B:$B, (ROW()-1)),'Relacion '!$E:$E,'Relacion '!$D:$D,""),{"01. ASIGNACION AREA";"02. MAPEO";"03. DESARROLLO";"04. VALIDA US";"05. VOBO US";"06. BW-EJECUCION";"07. VALIDACIÓN BAJAWARE";"08. CERRADA"},0),
 1,
 IF(
  MATCH(B1092,{"01. ASIGNACION AREA";"02. MAPEO";"03. DESARROLLO";"04. VALIDA US";"05. VOBO US";"06. BW-EJECUCION";"07. VALIDACIÓN BAJAWARE";"08. CERRADA"},0)
  =
  MATCH(_xlfn.XLOOKUP(INDEX($B:$B, (ROW()-1)),'Relacion '!$E:$E,'Relacion '!$D:$D,""),{"01. ASIGNACION AREA";"02. MAPEO";"03. DESARROLLO";"04. VALIDA US";"05. VOBO US";"06. BW-EJECUCION";"07. VALIDACIÓN BAJAWARE";"08. CERRADA"},0),
  _xlfn.XLOOKUP(INDEX($B:$B, (ROW()-1)),'Relacion '!$E:$E,'Relacion '!#REF!,0),
  0
 )
)</f>
        <v>1</v>
      </c>
      <c r="I1092" s="241">
        <f t="shared" ref="I1092" ca="1" si="260">IF(G1092&lt;=TODAY(), 1, 0)</f>
        <v>1</v>
      </c>
      <c r="J1092" s="241"/>
      <c r="K1092" s="241"/>
      <c r="L1092" s="238"/>
    </row>
    <row r="1093" spans="2:12" outlineLevel="1">
      <c r="B1093" s="237" t="s">
        <v>195</v>
      </c>
      <c r="C1093" s="237" t="s">
        <v>195</v>
      </c>
      <c r="D1093" s="238" t="str">
        <f>_xlfn.XLOOKUP(B1093,'Relacion '!$E:$E,'Relacion '!$D:$D,"")</f>
        <v/>
      </c>
      <c r="E1093" s="239">
        <f t="shared" si="258"/>
        <v>0</v>
      </c>
      <c r="F1093" s="240" cm="1">
        <f t="array" ref="F1093">MIN(INDEX('Relacion '!$Z$5:$AA$493,MATCH(INDEX($B:$B, (ROW()-2)),'Relacion '!$E$5:$E$493,0),0))</f>
        <v>46108</v>
      </c>
      <c r="G1093" s="240" cm="1">
        <f t="array" ref="G1093">MAX(INDEX('Relacion '!$Z$5:$AA$493,MATCH(INDEX($B:$B, (ROW()-2)),'Relacion '!$E$5:$E$493,0),0))</f>
        <v>46108</v>
      </c>
      <c r="H1093" s="241" cm="1">
        <f t="array" ref="H1093">IF(
 MATCH(B1093,{"01. ASIGNACION AREA";"02. MAPEO";"03. DESARROLLO";"04. VALIDA US";"05. VOBO US";"06. BW-EJECUCION";"07. VALIDACIÓN BAJAWARE";"08. CERRADA"},0)
 &lt;
 MATCH(_xlfn.XLOOKUP(INDEX($B:$B, (ROW()-2)),'Relacion '!$E:$E,'Relacion '!$D:$D,""),{"01. ASIGNACION AREA";"02. MAPEO";"03. DESARROLLO";"04. VALIDA US";"05. VOBO US";"06. BW-EJECUCION";"07. VALIDACIÓN BAJAWARE";"08. CERRADA"},0),
 1,
 IF(
  MATCH(B1093,{"01. ASIGNACION AREA";"02. MAPEO";"03. DESARROLLO";"04. VALIDA US";"05. VOBO US";"06. BW-EJECUCION";"07. VALIDACIÓN BAJAWARE";"08. CERRADA"},0)
  =
  MATCH(_xlfn.XLOOKUP(INDEX($B:$B, (ROW()-2)),'Relacion '!$E:$E,'Relacion '!$D:$D,""),{"01. ASIGNACION AREA";"02. MAPEO";"03. DESARROLLO";"04. VALIDA US";"05. VOBO US";"06. BW-EJECUCION";"07. VALIDACIÓN BAJAWARE";"08. CERRADA"},0),
  _xlfn.XLOOKUP(INDEX($B:$B, (ROW()-2)),'Relacion '!$E:$E,'Relacion '!#REF!,0),
  0
 )
)</f>
        <v>1</v>
      </c>
      <c r="I1093" s="241">
        <f t="shared" ca="1" si="257"/>
        <v>1</v>
      </c>
      <c r="J1093" s="241"/>
      <c r="K1093" s="241"/>
      <c r="L1093" s="238"/>
    </row>
    <row r="1094" spans="2:12" outlineLevel="1">
      <c r="B1094" s="237" t="s">
        <v>49</v>
      </c>
      <c r="C1094" s="237" t="s">
        <v>49</v>
      </c>
      <c r="D1094" s="238" t="str">
        <f>_xlfn.XLOOKUP(B1094,'Relacion '!$E:$E,'Relacion '!$D:$D,"")</f>
        <v/>
      </c>
      <c r="E1094" s="239">
        <f t="shared" si="258"/>
        <v>0</v>
      </c>
      <c r="F1094" s="240" cm="1">
        <f t="array" ref="F1094">MIN(INDEX('Relacion '!$AB$5:$AC$493,MATCH(INDEX($B:$B, (ROW()-3)),'Relacion '!$E$5:$E$493,0),0))</f>
        <v>46108</v>
      </c>
      <c r="G1094" s="240" cm="1">
        <f t="array" ref="G1094">MAX(INDEX('Relacion '!$AB$5:$AC$493,MATCH(INDEX($B:$B, (ROW()-3)),'Relacion '!$E$5:$E$493,0),0))</f>
        <v>46108</v>
      </c>
      <c r="H1094" s="241" cm="1">
        <f t="array" ref="H1094">IF(
 MATCH(B1094,{"01. ASIGNACION AREA";"02. MAPEO";"03. DESARROLLO";"04. VALIDA US";"05. VOBO US";"06. BW-EJECUCION";"07. VALIDACIÓN BAJAWARE";"08. CERRADA"},0)
 &lt;
 MATCH(_xlfn.XLOOKUP(INDEX($B:$B, (ROW()-3)),'Relacion '!$E:$E,'Relacion '!$D:$D,""),{"01. ASIGNACION AREA";"02. MAPEO";"03. DESARROLLO";"04. VALIDA US";"05. VOBO US";"06. BW-EJECUCION";"07. VALIDACIÓN BAJAWARE";"08. CERRADA"},0),
 1,
 IF(
  MATCH(B1094,{"01. ASIGNACION AREA";"02. MAPEO";"03. DESARROLLO";"04. VALIDA US";"05. VOBO US";"06. BW-EJECUCION";"07. VALIDACIÓN BAJAWARE";"08. CERRADA"},0)
  =
  MATCH(_xlfn.XLOOKUP(INDEX($B:$B, (ROW()-3)),'Relacion '!$E:$E,'Relacion '!$D:$D,""),{"01. ASIGNACION AREA";"02. MAPEO";"03. DESARROLLO";"04. VALIDA US";"05. VOBO US";"06. BW-EJECUCION";"07. VALIDACIÓN BAJAWARE";"08. CERRADA"},0),
  _xlfn.XLOOKUP(INDEX($B:$B, (ROW()-3)),'Relacion '!$E:$E,'Relacion '!#REF!,0),
  0
 )
)</f>
        <v>1</v>
      </c>
      <c r="I1094" s="241">
        <f t="shared" ca="1" si="257"/>
        <v>1</v>
      </c>
      <c r="J1094" s="241"/>
      <c r="K1094" s="241"/>
      <c r="L1094" s="238"/>
    </row>
    <row r="1095" spans="2:12" outlineLevel="1">
      <c r="B1095" s="237" t="s">
        <v>324</v>
      </c>
      <c r="C1095" s="237" t="s">
        <v>324</v>
      </c>
      <c r="D1095" s="238" t="str">
        <f>_xlfn.XLOOKUP(B1095,'Relacion '!$E:$E,'Relacion '!$D:$D,"")</f>
        <v/>
      </c>
      <c r="E1095" s="239">
        <f t="shared" si="258"/>
        <v>0</v>
      </c>
      <c r="F1095" s="240" cm="1">
        <f t="array" ref="F1095">MIN(INDEX('Relacion '!$AD$5:$AE$493,MATCH(INDEX($B:$B, (ROW()-4)),'Relacion '!$E$5:$E$493,0),0))</f>
        <v>46108</v>
      </c>
      <c r="G1095" s="240" cm="1">
        <f t="array" ref="G1095">MAX(INDEX('Relacion '!$AD$5:$AE$493,MATCH(INDEX($B:$B, (ROW()-4)),'Relacion '!$E$5:$E$493,0),0))</f>
        <v>46108</v>
      </c>
      <c r="H1095" s="241" cm="1">
        <f t="array" ref="H1095">IF(
 MATCH(B1095,{"01. ASIGNACION AREA";"02. MAPEO";"03. DESARROLLO";"04. VALIDA US";"05. VOBO US";"06. BW-EJECUCION";"07. VALIDACIÓN BAJAWARE";"08. CERRADA"},0)
 &lt;
 MATCH(_xlfn.XLOOKUP(INDEX($B:$B, (ROW()-4)),'Relacion '!$E:$E,'Relacion '!$D:$D,""),{"01. ASIGNACION AREA";"02. MAPEO";"03. DESARROLLO";"04. VALIDA US";"05. VOBO US";"06. BW-EJECUCION";"07. VALIDACIÓN BAJAWARE";"08. CERRADA"},0),
 1,
 IF(
  MATCH(B1095,{"01. ASIGNACION AREA";"02. MAPEO";"03. DESARROLLO";"04. VALIDA US";"05. VOBO US";"06. BW-EJECUCION";"07. VALIDACIÓN BAJAWARE";"08. CERRADA"},0)
  =
  MATCH(_xlfn.XLOOKUP(INDEX($B:$B, (ROW()-4)),'Relacion '!$E:$E,'Relacion '!$D:$D,""),{"01. ASIGNACION AREA";"02. MAPEO";"03. DESARROLLO";"04. VALIDA US";"05. VOBO US";"06. BW-EJECUCION";"07. VALIDACIÓN BAJAWARE";"08. CERRADA"},0),
  _xlfn.XLOOKUP(INDEX($B:$B, (ROW()-4)),'Relacion '!$E:$E,'Relacion '!#REF!,0),
  0
 )
)</f>
        <v>1</v>
      </c>
      <c r="I1095" s="241">
        <f t="shared" ca="1" si="257"/>
        <v>1</v>
      </c>
      <c r="J1095" s="241"/>
      <c r="K1095" s="241"/>
      <c r="L1095" s="238"/>
    </row>
    <row r="1096" spans="2:12" outlineLevel="1">
      <c r="B1096" s="237" t="s">
        <v>320</v>
      </c>
      <c r="C1096" s="237" t="s">
        <v>320</v>
      </c>
      <c r="D1096" s="238" t="str">
        <f>_xlfn.XLOOKUP(B1096,'Relacion '!$E:$E,'Relacion '!$D:$D,"")</f>
        <v/>
      </c>
      <c r="E1096" s="239">
        <f t="shared" si="258"/>
        <v>0</v>
      </c>
      <c r="F1096" s="240" cm="1">
        <f t="array" ref="F1096">MIN(INDEX('Relacion '!$AF$5:$AG$493,MATCH(INDEX($B:$B, (ROW()-5)),'Relacion '!$E$5:$E$493,0),0))</f>
        <v>46108</v>
      </c>
      <c r="G1096" s="240" cm="1">
        <f t="array" ref="G1096">MAX(INDEX('Relacion '!$AF$5:$AG$493,MATCH(INDEX($B:$B, (ROW()-5)),'Relacion '!$E$5:$E$493,0),0))</f>
        <v>46108</v>
      </c>
      <c r="H1096" s="241" cm="1">
        <f t="array" ref="H1096">IF(
 MATCH(B1096,{"01. ASIGNACION AREA";"02. MAPEO";"03. DESARROLLO";"04. VALIDA US";"05. VOBO US";"06. BW-EJECUCION";"07. VALIDACIÓN BAJAWARE";"08. CERRADA"},0)
 &lt;
 MATCH(_xlfn.XLOOKUP(INDEX($B:$B, (ROW()-5)),'Relacion '!$E:$E,'Relacion '!$D:$D,""),{"01. ASIGNACION AREA";"02. MAPEO";"03. DESARROLLO";"04. VALIDA US";"05. VOBO US";"06. BW-EJECUCION";"07. VALIDACIÓN BAJAWARE";"08. CERRADA"},0),
 1,
 IF(
  MATCH(B1096,{"01. ASIGNACION AREA";"02. MAPEO";"03. DESARROLLO";"04. VALIDA US";"05. VOBO US";"06. BW-EJECUCION";"07. VALIDACIÓN BAJAWARE";"08. CERRADA"},0)
  =
  MATCH(_xlfn.XLOOKUP(INDEX($B:$B, (ROW()-5)),'Relacion '!$E:$E,'Relacion '!$D:$D,""),{"01. ASIGNACION AREA";"02. MAPEO";"03. DESARROLLO";"04. VALIDA US";"05. VOBO US";"06. BW-EJECUCION";"07. VALIDACIÓN BAJAWARE";"08. CERRADA"},0),
  _xlfn.XLOOKUP(INDEX($B:$B, (ROW()-5)),'Relacion '!$E:$E,'Relacion '!#REF!,0),
  0
 )
)</f>
        <v>1</v>
      </c>
      <c r="I1096" s="241">
        <f t="shared" ca="1" si="257"/>
        <v>1</v>
      </c>
      <c r="J1096" s="241"/>
      <c r="K1096" s="241"/>
      <c r="L1096" s="238"/>
    </row>
    <row r="1097" spans="2:12" outlineLevel="1">
      <c r="B1097" s="237" t="s">
        <v>710</v>
      </c>
      <c r="C1097" s="237" t="s">
        <v>710</v>
      </c>
      <c r="D1097" s="238" t="str">
        <f>_xlfn.XLOOKUP(B1097,'Relacion '!$E:$E,'Relacion '!$D:$D,"")</f>
        <v/>
      </c>
      <c r="E1097" s="239">
        <f t="shared" si="258"/>
        <v>0</v>
      </c>
      <c r="F1097" s="240" cm="1">
        <f t="array" ref="F1097">MIN(INDEX('Relacion '!$AH$5:$AI$493,MATCH(INDEX($B:$B, (ROW()-6)),'Relacion '!$E$5:$E$493,0),0))</f>
        <v>46108</v>
      </c>
      <c r="G1097" s="240" cm="1">
        <f t="array" ref="G1097">MAX(INDEX('Relacion '!$AH$5:$AI$493,MATCH(INDEX($B:$B, (ROW()-6)),'Relacion '!$E$5:$E$493,0),0))</f>
        <v>46108</v>
      </c>
      <c r="H1097" s="241" cm="1">
        <f t="array" ref="H1097">IF(
 MATCH(B1097,{"01. ASIGNACION AREA";"02. MAPEO";"03. DESARROLLO";"04. VALIDA US";"05. VOBO US";"06. BW-EJECUCION";"07. VALIDACIÓN BAJAWARE";"08. CERRADA"},0)
 &lt;
 MATCH(_xlfn.XLOOKUP(INDEX($B:$B, (ROW()-6)),'Relacion '!$E:$E,'Relacion '!$D:$D,""),{"01. ASIGNACION AREA";"02. MAPEO";"03. DESARROLLO";"04. VALIDA US";"05. VOBO US";"06. BW-EJECUCION";"07. VALIDACIÓN BAJAWARE";"08. CERRADA"},0),
 1,
 IF(
  MATCH(B1097,{"01. ASIGNACION AREA";"02. MAPEO";"03. DESARROLLO";"04. VALIDA US";"05. VOBO US";"06. BW-EJECUCION";"07. VALIDACIÓN BAJAWARE";"08. CERRADA"},0)
  =
  MATCH(_xlfn.XLOOKUP(INDEX($B:$B, (ROW()-6)),'Relacion '!$E:$E,'Relacion '!$D:$D,""),{"01. ASIGNACION AREA";"02. MAPEO";"03. DESARROLLO";"04. VALIDA US";"05. VOBO US";"06. BW-EJECUCION";"07. VALIDACIÓN BAJAWARE";"08. CERRADA"},0),
  _xlfn.XLOOKUP(INDEX($B:$B, (ROW()-6)),'Relacion '!$E:$E,'Relacion '!#REF!,0),
  0
 )
)</f>
        <v>1</v>
      </c>
      <c r="I1097" s="241">
        <f t="shared" ca="1" si="257"/>
        <v>1</v>
      </c>
      <c r="J1097" s="241"/>
      <c r="K1097" s="241"/>
      <c r="L1097" s="238"/>
    </row>
    <row r="1098" spans="2:12" outlineLevel="1">
      <c r="B1098" s="237" t="s">
        <v>655</v>
      </c>
      <c r="C1098" s="237" t="s">
        <v>655</v>
      </c>
      <c r="D1098" s="238" t="str">
        <f>_xlfn.XLOOKUP(B1098,'Relacion '!$E:$E,'Relacion '!$D:$D,"")</f>
        <v/>
      </c>
      <c r="E1098" s="239">
        <f t="shared" si="258"/>
        <v>0</v>
      </c>
      <c r="F1098" s="240" cm="1">
        <f t="array" ref="F1098">MIN(INDEX('Relacion '!$AJ$5:$AK$493,MATCH(INDEX($B:$B, (ROW()-7)),'Relacion '!$E$5:$E$493,0),0))</f>
        <v>46108</v>
      </c>
      <c r="G1098" s="240" cm="1">
        <f t="array" ref="G1098">MAX(INDEX('Relacion '!$AJ$5:$AK$493,MATCH(INDEX($B:$B, (ROW()-7)),'Relacion '!$E$5:$E$493,0),0))</f>
        <v>46108</v>
      </c>
      <c r="H1098" s="241" cm="1">
        <f t="array" ref="H1098">IF(
 MATCH(B1098,{"01. ASIGNACION AREA";"02. MAPEO";"03. DESARROLLO";"04. VALIDA US";"05. VOBO US";"06. BW-EJECUCION";"07. VALIDACIÓN BAJAWARE";"08. CERRADA"},0)
 &lt;
 MATCH(_xlfn.XLOOKUP(INDEX($B:$B, (ROW()-7)),'Relacion '!$E:$E,'Relacion '!$D:$D,""),{"01. ASIGNACION AREA";"02. MAPEO";"03. DESARROLLO";"04. VALIDA US";"05. VOBO US";"06. BW-EJECUCION";"07. VALIDACIÓN BAJAWARE";"08. CERRADA"},0),
 1,
 IF(
  MATCH(B1098,{"01. ASIGNACION AREA";"02. MAPEO";"03. DESARROLLO";"04. VALIDA US";"05. VOBO US";"06. BW-EJECUCION";"07. VALIDACIÓN BAJAWARE";"08. CERRADA"},0)
  =
  MATCH(_xlfn.XLOOKUP(INDEX($B:$B, (ROW()-7)),'Relacion '!$E:$E,'Relacion '!$D:$D,""),{"01. ASIGNACION AREA";"02. MAPEO";"03. DESARROLLO";"04. VALIDA US";"05. VOBO US";"06. BW-EJECUCION";"07. VALIDACIÓN BAJAWARE";"08. CERRADA"},0),
  _xlfn.XLOOKUP(INDEX($B:$B, (ROW()-7)),'Relacion '!$E:$E,'Relacion '!#REF!,0),
  0
 )
)</f>
        <v>1</v>
      </c>
      <c r="I1098" s="241">
        <f t="shared" ca="1" si="257"/>
        <v>1</v>
      </c>
      <c r="J1098" s="241"/>
      <c r="K1098" s="241"/>
      <c r="L1098" s="238"/>
    </row>
    <row r="1099" spans="2:12" outlineLevel="1">
      <c r="B1099" s="237" t="s">
        <v>656</v>
      </c>
      <c r="C1099" s="237" t="s">
        <v>656</v>
      </c>
      <c r="D1099" s="238" t="str">
        <f>_xlfn.XLOOKUP(B1099,'Relacion '!$E:$E,'Relacion '!$D:$D,"")</f>
        <v/>
      </c>
      <c r="E1099" s="239">
        <f t="shared" si="258"/>
        <v>0</v>
      </c>
      <c r="F1099" s="240" cm="1">
        <f t="array" ref="F1099">MIN(INDEX('Relacion '!$AL$5:$AM$493,MATCH(INDEX($B:$B, (ROW()-8)),'Relacion '!$E$5:$E$493,0),0))</f>
        <v>46108</v>
      </c>
      <c r="G1099" s="240" cm="1">
        <f t="array" ref="G1099">MAX(INDEX('Relacion '!$AL$5:$AM$493,MATCH(INDEX($B:$B, (ROW()-8)),'Relacion '!$E$5:$E$493,0),0))</f>
        <v>46108</v>
      </c>
      <c r="H1099" s="241" t="e" cm="1">
        <f t="array" ref="H1099">IF(
 MATCH(B1099,{"01. ASIGNACION AREA";"02. MAPEO";"03. DESARROLLO";"04. VALIDA US";"05. VOBO US";"06. BW-EJECUCION";"07. VALIDACIÓN BAJAWARE";"08. CERRADA"},0)
 &lt;
 MATCH(_xlfn.XLOOKUP(INDEX($B:$B, (ROW()-8)),'Relacion '!$E:$E,'Relacion '!$D:$D,""),{"01. ASIGNACION AREA";"02. MAPEO";"03. DESARROLLO";"04. VALIDA US";"05. VOBO US";"06. BW-EJECUCION";"07. VALIDACIÓN BAJAWARE";"08. CERRADA"},0),
 1,
 IF(
  MATCH(B1099,{"01. ASIGNACION AREA";"02. MAPEO";"03. DESARROLLO";"04. VALIDA US";"05. VOBO US";"06. BW-EJECUCION";"07. VALIDACIÓN BAJAWARE";"08. CERRADA"},0)
  =
  MATCH(_xlfn.XLOOKUP(INDEX($B:$B, (ROW()-8)),'Relacion '!$E:$E,'Relacion '!$D:$D,""),{"01. ASIGNACION AREA";"02. MAPEO";"03. DESARROLLO";"04. VALIDA US";"05. VOBO US";"06. BW-EJECUCION";"07. VALIDACIÓN BAJAWARE";"08. CERRADA"},0),
  _xlfn.XLOOKUP(INDEX($B:$B, (ROW()-8)),'Relacion '!$E:$E,'Relacion '!#REF!,0),
  0
 )
)</f>
        <v>#REF!</v>
      </c>
      <c r="I1099" s="241">
        <f t="shared" ca="1" si="257"/>
        <v>1</v>
      </c>
      <c r="J1099" s="241"/>
      <c r="K1099" s="241"/>
      <c r="L1099" s="238"/>
    </row>
    <row r="1100" spans="2:12">
      <c r="B1100" s="232" t="s">
        <v>78</v>
      </c>
      <c r="C1100" s="137" t="s">
        <v>66</v>
      </c>
      <c r="D1100" s="236" t="str">
        <f>_xlfn.XLOOKUP(B1100,'Relacion '!$E:$E,'Relacion '!$D:$D,"")</f>
        <v>04. VALIDA US</v>
      </c>
      <c r="E1100" s="233">
        <f t="shared" si="258"/>
        <v>478</v>
      </c>
      <c r="F1100" s="234" cm="1">
        <f t="array" ref="F1100">MIN(INDEX('Relacion '!$X$5:$AM$493,MATCH(INDEX($B:$B, (ROW()-0)),'Relacion '!$E$5:$E$493,0),0))</f>
        <v>45659</v>
      </c>
      <c r="G1100" s="234" cm="1">
        <f t="array" ref="G1100">MAX(INDEX('Relacion '!$X$5:$AM$493,MATCH(INDEX($B:$B, (ROW()-0)),'Relacion '!$E$5:$E$493,0),0))</f>
        <v>46137</v>
      </c>
      <c r="H1100" s="235" t="e">
        <f>AVERAGE(H1101:H1108)</f>
        <v>#REF!</v>
      </c>
      <c r="I1100" s="235">
        <f t="shared" ref="I1100" ca="1" si="261">AVERAGE(I1101:I1108)</f>
        <v>1</v>
      </c>
      <c r="J1100" s="236" t="str">
        <f>IF(ISNUMBER(SEARCH("Rocha", _xlfn.XLOOKUP(B1100,'Relacion '!$E:$E,'Relacion '!$I:$I,""))), "Sí", "No")</f>
        <v>No</v>
      </c>
      <c r="K1100" s="236" t="str">
        <f>IF(ISNUMBER(SEARCH("Rocha", _xlfn.XLOOKUP(B1100,'Relacion '!$E:$E,'Relacion '!$I:$I,""))), "RMC", _xlfn.XLOOKUP(B1100,'Relacion '!$E:$E,'Relacion '!$B:$B,""))</f>
        <v>Operaciones Credito</v>
      </c>
      <c r="L1100" s="236" t="str">
        <f>_xlfn.XLOOKUP(B1100,'Relacion '!$E:$E,'Relacion '!$C:$C,"")</f>
        <v>Luis Alberto</v>
      </c>
    </row>
    <row r="1101" spans="2:12" outlineLevel="1">
      <c r="B1101" s="237" t="s">
        <v>654</v>
      </c>
      <c r="C1101" s="237" t="s">
        <v>654</v>
      </c>
      <c r="D1101" s="238" t="str">
        <f>_xlfn.XLOOKUP(B1101,'Relacion '!$E:$E,'Relacion '!$D:$D,"")</f>
        <v/>
      </c>
      <c r="E1101" s="239">
        <f t="shared" si="258"/>
        <v>379</v>
      </c>
      <c r="F1101" s="240" cm="1">
        <f t="array" ref="F1101">MIN(INDEX('Relacion '!$X$5:$Y$493,MATCH(INDEX($B:$B, (ROW()-1)),'Relacion '!$E$5:$E$493,0),0))</f>
        <v>45659</v>
      </c>
      <c r="G1101" s="240" cm="1">
        <f t="array" ref="G1101">MAX(INDEX('Relacion '!$X$5:$Y$493,MATCH(INDEX($B:$B, (ROW()-1)),'Relacion '!$E$5:$E$493,0),0))</f>
        <v>46038</v>
      </c>
      <c r="H1101" s="241" cm="1">
        <f t="array" ref="H1101">IF(
 MATCH(B1101,{"01. ASIGNACION AREA";"02. MAPEO";"03. DESARROLLO";"04. VALIDA US";"05. VOBO US";"06. BW-EJECUCION";"07. VALIDACIÓN BAJAWARE";"08. CERRADA"},0)
 &lt;
 MATCH(_xlfn.XLOOKUP(INDEX($B:$B, (ROW()-1)),'Relacion '!$E:$E,'Relacion '!$D:$D,""),{"01. ASIGNACION AREA";"02. MAPEO";"03. DESARROLLO";"04. VALIDA US";"05. VOBO US";"06. BW-EJECUCION";"07. VALIDACIÓN BAJAWARE";"08. CERRADA"},0),
 1,
 IF(
  MATCH(B1101,{"01. ASIGNACION AREA";"02. MAPEO";"03. DESARROLLO";"04. VALIDA US";"05. VOBO US";"06. BW-EJECUCION";"07. VALIDACIÓN BAJAWARE";"08. CERRADA"},0)
  =
  MATCH(_xlfn.XLOOKUP(INDEX($B:$B, (ROW()-1)),'Relacion '!$E:$E,'Relacion '!$D:$D,""),{"01. ASIGNACION AREA";"02. MAPEO";"03. DESARROLLO";"04. VALIDA US";"05. VOBO US";"06. BW-EJECUCION";"07. VALIDACIÓN BAJAWARE";"08. CERRADA"},0),
  _xlfn.XLOOKUP(INDEX($B:$B, (ROW()-1)),'Relacion '!$E:$E,'Relacion '!#REF!,0),
  0
 )
)</f>
        <v>1</v>
      </c>
      <c r="I1101" s="241">
        <f t="shared" ref="I1101" ca="1" si="262">IF(G1101&lt;=TODAY(), 1, 0)</f>
        <v>1</v>
      </c>
      <c r="J1101" s="241"/>
      <c r="K1101" s="241"/>
      <c r="L1101" s="238"/>
    </row>
    <row r="1102" spans="2:12" outlineLevel="1">
      <c r="B1102" s="237" t="s">
        <v>195</v>
      </c>
      <c r="C1102" s="237" t="s">
        <v>195</v>
      </c>
      <c r="D1102" s="238" t="str">
        <f>_xlfn.XLOOKUP(B1102,'Relacion '!$E:$E,'Relacion '!$D:$D,"")</f>
        <v/>
      </c>
      <c r="E1102" s="239">
        <f t="shared" si="258"/>
        <v>18</v>
      </c>
      <c r="F1102" s="240" cm="1">
        <f t="array" ref="F1102">MIN(INDEX('Relacion '!$Z$5:$AA$493,MATCH(INDEX($B:$B, (ROW()-2)),'Relacion '!$E$5:$E$493,0),0))</f>
        <v>46041</v>
      </c>
      <c r="G1102" s="240" cm="1">
        <f t="array" ref="G1102">MAX(INDEX('Relacion '!$Z$5:$AA$493,MATCH(INDEX($B:$B, (ROW()-2)),'Relacion '!$E$5:$E$493,0),0))</f>
        <v>46059</v>
      </c>
      <c r="H1102" s="241" cm="1">
        <f t="array" ref="H1102">IF(
 MATCH(B1102,{"01. ASIGNACION AREA";"02. MAPEO";"03. DESARROLLO";"04. VALIDA US";"05. VOBO US";"06. BW-EJECUCION";"07. VALIDACIÓN BAJAWARE";"08. CERRADA"},0)
 &lt;
 MATCH(_xlfn.XLOOKUP(INDEX($B:$B, (ROW()-2)),'Relacion '!$E:$E,'Relacion '!$D:$D,""),{"01. ASIGNACION AREA";"02. MAPEO";"03. DESARROLLO";"04. VALIDA US";"05. VOBO US";"06. BW-EJECUCION";"07. VALIDACIÓN BAJAWARE";"08. CERRADA"},0),
 1,
 IF(
  MATCH(B1102,{"01. ASIGNACION AREA";"02. MAPEO";"03. DESARROLLO";"04. VALIDA US";"05. VOBO US";"06. BW-EJECUCION";"07. VALIDACIÓN BAJAWARE";"08. CERRADA"},0)
  =
  MATCH(_xlfn.XLOOKUP(INDEX($B:$B, (ROW()-2)),'Relacion '!$E:$E,'Relacion '!$D:$D,""),{"01. ASIGNACION AREA";"02. MAPEO";"03. DESARROLLO";"04. VALIDA US";"05. VOBO US";"06. BW-EJECUCION";"07. VALIDACIÓN BAJAWARE";"08. CERRADA"},0),
  _xlfn.XLOOKUP(INDEX($B:$B, (ROW()-2)),'Relacion '!$E:$E,'Relacion '!#REF!,0),
  0
 )
)</f>
        <v>1</v>
      </c>
      <c r="I1102" s="241">
        <f t="shared" ca="1" si="257"/>
        <v>1</v>
      </c>
      <c r="J1102" s="241"/>
      <c r="K1102" s="241"/>
      <c r="L1102" s="238"/>
    </row>
    <row r="1103" spans="2:12" outlineLevel="1">
      <c r="B1103" s="237" t="s">
        <v>49</v>
      </c>
      <c r="C1103" s="237" t="s">
        <v>49</v>
      </c>
      <c r="D1103" s="238" t="str">
        <f>_xlfn.XLOOKUP(B1103,'Relacion '!$E:$E,'Relacion '!$D:$D,"")</f>
        <v/>
      </c>
      <c r="E1103" s="239">
        <f t="shared" si="258"/>
        <v>18</v>
      </c>
      <c r="F1103" s="240" cm="1">
        <f t="array" ref="F1103">MIN(INDEX('Relacion '!$AB$5:$AC$493,MATCH(INDEX($B:$B, (ROW()-3)),'Relacion '!$E$5:$E$493,0),0))</f>
        <v>46062</v>
      </c>
      <c r="G1103" s="240" cm="1">
        <f t="array" ref="G1103">MAX(INDEX('Relacion '!$AB$5:$AC$493,MATCH(INDEX($B:$B, (ROW()-3)),'Relacion '!$E$5:$E$493,0),0))</f>
        <v>46080</v>
      </c>
      <c r="H1103" s="241" cm="1">
        <f t="array" ref="H1103">IF(
 MATCH(B1103,{"01. ASIGNACION AREA";"02. MAPEO";"03. DESARROLLO";"04. VALIDA US";"05. VOBO US";"06. BW-EJECUCION";"07. VALIDACIÓN BAJAWARE";"08. CERRADA"},0)
 &lt;
 MATCH(_xlfn.XLOOKUP(INDEX($B:$B, (ROW()-3)),'Relacion '!$E:$E,'Relacion '!$D:$D,""),{"01. ASIGNACION AREA";"02. MAPEO";"03. DESARROLLO";"04. VALIDA US";"05. VOBO US";"06. BW-EJECUCION";"07. VALIDACIÓN BAJAWARE";"08. CERRADA"},0),
 1,
 IF(
  MATCH(B1103,{"01. ASIGNACION AREA";"02. MAPEO";"03. DESARROLLO";"04. VALIDA US";"05. VOBO US";"06. BW-EJECUCION";"07. VALIDACIÓN BAJAWARE";"08. CERRADA"},0)
  =
  MATCH(_xlfn.XLOOKUP(INDEX($B:$B, (ROW()-3)),'Relacion '!$E:$E,'Relacion '!$D:$D,""),{"01. ASIGNACION AREA";"02. MAPEO";"03. DESARROLLO";"04. VALIDA US";"05. VOBO US";"06. BW-EJECUCION";"07. VALIDACIÓN BAJAWARE";"08. CERRADA"},0),
  _xlfn.XLOOKUP(INDEX($B:$B, (ROW()-3)),'Relacion '!$E:$E,'Relacion '!#REF!,0),
  0
 )
)</f>
        <v>1</v>
      </c>
      <c r="I1103" s="241">
        <f t="shared" ca="1" si="257"/>
        <v>1</v>
      </c>
      <c r="J1103" s="241"/>
      <c r="K1103" s="241"/>
      <c r="L1103" s="238"/>
    </row>
    <row r="1104" spans="2:12" outlineLevel="1">
      <c r="B1104" s="237" t="s">
        <v>324</v>
      </c>
      <c r="C1104" s="237" t="s">
        <v>324</v>
      </c>
      <c r="D1104" s="238" t="str">
        <f>_xlfn.XLOOKUP(B1104,'Relacion '!$E:$E,'Relacion '!$D:$D,"")</f>
        <v/>
      </c>
      <c r="E1104" s="239">
        <f t="shared" si="258"/>
        <v>14</v>
      </c>
      <c r="F1104" s="240" cm="1">
        <f t="array" ref="F1104">MIN(INDEX('Relacion '!$AD$5:$AE$493,MATCH(INDEX($B:$B, (ROW()-4)),'Relacion '!$E$5:$E$493,0),0))</f>
        <v>46099</v>
      </c>
      <c r="G1104" s="240" cm="1">
        <f t="array" ref="G1104">MAX(INDEX('Relacion '!$AD$5:$AE$493,MATCH(INDEX($B:$B, (ROW()-4)),'Relacion '!$E$5:$E$493,0),0))</f>
        <v>46113</v>
      </c>
      <c r="H1104" s="241" t="e" cm="1">
        <f t="array" ref="H1104">IF(
 MATCH(B1104,{"01. ASIGNACION AREA";"02. MAPEO";"03. DESARROLLO";"04. VALIDA US";"05. VOBO US";"06. BW-EJECUCION";"07. VALIDACIÓN BAJAWARE";"08. CERRADA"},0)
 &lt;
 MATCH(_xlfn.XLOOKUP(INDEX($B:$B, (ROW()-4)),'Relacion '!$E:$E,'Relacion '!$D:$D,""),{"01. ASIGNACION AREA";"02. MAPEO";"03. DESARROLLO";"04. VALIDA US";"05. VOBO US";"06. BW-EJECUCION";"07. VALIDACIÓN BAJAWARE";"08. CERRADA"},0),
 1,
 IF(
  MATCH(B1104,{"01. ASIGNACION AREA";"02. MAPEO";"03. DESARROLLO";"04. VALIDA US";"05. VOBO US";"06. BW-EJECUCION";"07. VALIDACIÓN BAJAWARE";"08. CERRADA"},0)
  =
  MATCH(_xlfn.XLOOKUP(INDEX($B:$B, (ROW()-4)),'Relacion '!$E:$E,'Relacion '!$D:$D,""),{"01. ASIGNACION AREA";"02. MAPEO";"03. DESARROLLO";"04. VALIDA US";"05. VOBO US";"06. BW-EJECUCION";"07. VALIDACIÓN BAJAWARE";"08. CERRADA"},0),
  _xlfn.XLOOKUP(INDEX($B:$B, (ROW()-4)),'Relacion '!$E:$E,'Relacion '!#REF!,0),
  0
 )
)</f>
        <v>#REF!</v>
      </c>
      <c r="I1104" s="241">
        <f t="shared" ca="1" si="257"/>
        <v>1</v>
      </c>
      <c r="J1104" s="241"/>
      <c r="K1104" s="241"/>
      <c r="L1104" s="238"/>
    </row>
    <row r="1105" spans="2:12" outlineLevel="1">
      <c r="B1105" s="237" t="s">
        <v>320</v>
      </c>
      <c r="C1105" s="237" t="s">
        <v>320</v>
      </c>
      <c r="D1105" s="238" t="str">
        <f>_xlfn.XLOOKUP(B1105,'Relacion '!$E:$E,'Relacion '!$D:$D,"")</f>
        <v/>
      </c>
      <c r="E1105" s="239">
        <f t="shared" si="258"/>
        <v>5</v>
      </c>
      <c r="F1105" s="240" cm="1">
        <f t="array" ref="F1105">MIN(INDEX('Relacion '!$AF$5:$AG$493,MATCH(INDEX($B:$B, (ROW()-5)),'Relacion '!$E$5:$E$493,0),0))</f>
        <v>46113</v>
      </c>
      <c r="G1105" s="240" cm="1">
        <f t="array" ref="G1105">MAX(INDEX('Relacion '!$AF$5:$AG$493,MATCH(INDEX($B:$B, (ROW()-5)),'Relacion '!$E$5:$E$493,0),0))</f>
        <v>46118</v>
      </c>
      <c r="H1105" s="241" cm="1">
        <f t="array" ref="H1105">IF(
 MATCH(B1105,{"01. ASIGNACION AREA";"02. MAPEO";"03. DESARROLLO";"04. VALIDA US";"05. VOBO US";"06. BW-EJECUCION";"07. VALIDACIÓN BAJAWARE";"08. CERRADA"},0)
 &lt;
 MATCH(_xlfn.XLOOKUP(INDEX($B:$B, (ROW()-5)),'Relacion '!$E:$E,'Relacion '!$D:$D,""),{"01. ASIGNACION AREA";"02. MAPEO";"03. DESARROLLO";"04. VALIDA US";"05. VOBO US";"06. BW-EJECUCION";"07. VALIDACIÓN BAJAWARE";"08. CERRADA"},0),
 1,
 IF(
  MATCH(B1105,{"01. ASIGNACION AREA";"02. MAPEO";"03. DESARROLLO";"04. VALIDA US";"05. VOBO US";"06. BW-EJECUCION";"07. VALIDACIÓN BAJAWARE";"08. CERRADA"},0)
  =
  MATCH(_xlfn.XLOOKUP(INDEX($B:$B, (ROW()-5)),'Relacion '!$E:$E,'Relacion '!$D:$D,""),{"01. ASIGNACION AREA";"02. MAPEO";"03. DESARROLLO";"04. VALIDA US";"05. VOBO US";"06. BW-EJECUCION";"07. VALIDACIÓN BAJAWARE";"08. CERRADA"},0),
  _xlfn.XLOOKUP(INDEX($B:$B, (ROW()-5)),'Relacion '!$E:$E,'Relacion '!#REF!,0),
  0
 )
)</f>
        <v>0</v>
      </c>
      <c r="I1105" s="241">
        <f t="shared" ca="1" si="257"/>
        <v>1</v>
      </c>
      <c r="J1105" s="241"/>
      <c r="K1105" s="241"/>
      <c r="L1105" s="238"/>
    </row>
    <row r="1106" spans="2:12" outlineLevel="1">
      <c r="B1106" s="237" t="s">
        <v>710</v>
      </c>
      <c r="C1106" s="237" t="s">
        <v>710</v>
      </c>
      <c r="D1106" s="238" t="str">
        <f>_xlfn.XLOOKUP(B1106,'Relacion '!$E:$E,'Relacion '!$D:$D,"")</f>
        <v/>
      </c>
      <c r="E1106" s="239">
        <f t="shared" si="258"/>
        <v>2</v>
      </c>
      <c r="F1106" s="240" cm="1">
        <f t="array" ref="F1106">MIN(INDEX('Relacion '!$AH$5:$AI$493,MATCH(INDEX($B:$B, (ROW()-6)),'Relacion '!$E$5:$E$493,0),0))</f>
        <v>46119</v>
      </c>
      <c r="G1106" s="240" cm="1">
        <f t="array" ref="G1106">MAX(INDEX('Relacion '!$AH$5:$AI$493,MATCH(INDEX($B:$B, (ROW()-6)),'Relacion '!$E$5:$E$493,0),0))</f>
        <v>46121</v>
      </c>
      <c r="H1106" s="241" cm="1">
        <f t="array" ref="H1106">IF(
 MATCH(B1106,{"01. ASIGNACION AREA";"02. MAPEO";"03. DESARROLLO";"04. VALIDA US";"05. VOBO US";"06. BW-EJECUCION";"07. VALIDACIÓN BAJAWARE";"08. CERRADA"},0)
 &lt;
 MATCH(_xlfn.XLOOKUP(INDEX($B:$B, (ROW()-6)),'Relacion '!$E:$E,'Relacion '!$D:$D,""),{"01. ASIGNACION AREA";"02. MAPEO";"03. DESARROLLO";"04. VALIDA US";"05. VOBO US";"06. BW-EJECUCION";"07. VALIDACIÓN BAJAWARE";"08. CERRADA"},0),
 1,
 IF(
  MATCH(B1106,{"01. ASIGNACION AREA";"02. MAPEO";"03. DESARROLLO";"04. VALIDA US";"05. VOBO US";"06. BW-EJECUCION";"07. VALIDACIÓN BAJAWARE";"08. CERRADA"},0)
  =
  MATCH(_xlfn.XLOOKUP(INDEX($B:$B, (ROW()-6)),'Relacion '!$E:$E,'Relacion '!$D:$D,""),{"01. ASIGNACION AREA";"02. MAPEO";"03. DESARROLLO";"04. VALIDA US";"05. VOBO US";"06. BW-EJECUCION";"07. VALIDACIÓN BAJAWARE";"08. CERRADA"},0),
  _xlfn.XLOOKUP(INDEX($B:$B, (ROW()-6)),'Relacion '!$E:$E,'Relacion '!#REF!,0),
  0
 )
)</f>
        <v>0</v>
      </c>
      <c r="I1106" s="241">
        <f t="shared" ca="1" si="257"/>
        <v>1</v>
      </c>
      <c r="J1106" s="241"/>
      <c r="K1106" s="241"/>
      <c r="L1106" s="238"/>
    </row>
    <row r="1107" spans="2:12" outlineLevel="1">
      <c r="B1107" s="237" t="s">
        <v>655</v>
      </c>
      <c r="C1107" s="237" t="s">
        <v>655</v>
      </c>
      <c r="D1107" s="238" t="str">
        <f>_xlfn.XLOOKUP(B1107,'Relacion '!$E:$E,'Relacion '!$D:$D,"")</f>
        <v/>
      </c>
      <c r="E1107" s="239">
        <f t="shared" si="258"/>
        <v>14</v>
      </c>
      <c r="F1107" s="240" cm="1">
        <f t="array" ref="F1107">MIN(INDEX('Relacion '!$AJ$5:$AK$493,MATCH(INDEX($B:$B, (ROW()-7)),'Relacion '!$E$5:$E$493,0),0))</f>
        <v>46122</v>
      </c>
      <c r="G1107" s="240" cm="1">
        <f t="array" ref="G1107">MAX(INDEX('Relacion '!$AJ$5:$AK$493,MATCH(INDEX($B:$B, (ROW()-7)),'Relacion '!$E$5:$E$493,0),0))</f>
        <v>46136</v>
      </c>
      <c r="H1107" s="241" cm="1">
        <f t="array" ref="H1107">IF(
 MATCH(B1107,{"01. ASIGNACION AREA";"02. MAPEO";"03. DESARROLLO";"04. VALIDA US";"05. VOBO US";"06. BW-EJECUCION";"07. VALIDACIÓN BAJAWARE";"08. CERRADA"},0)
 &lt;
 MATCH(_xlfn.XLOOKUP(INDEX($B:$B, (ROW()-7)),'Relacion '!$E:$E,'Relacion '!$D:$D,""),{"01. ASIGNACION AREA";"02. MAPEO";"03. DESARROLLO";"04. VALIDA US";"05. VOBO US";"06. BW-EJECUCION";"07. VALIDACIÓN BAJAWARE";"08. CERRADA"},0),
 1,
 IF(
  MATCH(B1107,{"01. ASIGNACION AREA";"02. MAPEO";"03. DESARROLLO";"04. VALIDA US";"05. VOBO US";"06. BW-EJECUCION";"07. VALIDACIÓN BAJAWARE";"08. CERRADA"},0)
  =
  MATCH(_xlfn.XLOOKUP(INDEX($B:$B, (ROW()-7)),'Relacion '!$E:$E,'Relacion '!$D:$D,""),{"01. ASIGNACION AREA";"02. MAPEO";"03. DESARROLLO";"04. VALIDA US";"05. VOBO US";"06. BW-EJECUCION";"07. VALIDACIÓN BAJAWARE";"08. CERRADA"},0),
  _xlfn.XLOOKUP(INDEX($B:$B, (ROW()-7)),'Relacion '!$E:$E,'Relacion '!#REF!,0),
  0
 )
)</f>
        <v>0</v>
      </c>
      <c r="I1107" s="241">
        <f t="shared" ca="1" si="257"/>
        <v>1</v>
      </c>
      <c r="J1107" s="241"/>
      <c r="K1107" s="241"/>
      <c r="L1107" s="238"/>
    </row>
    <row r="1108" spans="2:12" outlineLevel="1">
      <c r="B1108" s="237" t="s">
        <v>656</v>
      </c>
      <c r="C1108" s="237" t="s">
        <v>656</v>
      </c>
      <c r="D1108" s="238" t="str">
        <f>_xlfn.XLOOKUP(B1108,'Relacion '!$E:$E,'Relacion '!$D:$D,"")</f>
        <v/>
      </c>
      <c r="E1108" s="239">
        <f t="shared" si="258"/>
        <v>0</v>
      </c>
      <c r="F1108" s="240" cm="1">
        <f t="array" ref="F1108">MIN(INDEX('Relacion '!$AL$5:$AM$493,MATCH(INDEX($B:$B, (ROW()-8)),'Relacion '!$E$5:$E$493,0),0))</f>
        <v>46137</v>
      </c>
      <c r="G1108" s="240" cm="1">
        <f t="array" ref="G1108">MAX(INDEX('Relacion '!$AL$5:$AM$493,MATCH(INDEX($B:$B, (ROW()-8)),'Relacion '!$E$5:$E$493,0),0))</f>
        <v>46137</v>
      </c>
      <c r="H1108" s="241" cm="1">
        <f t="array" ref="H1108">IF(
 MATCH(B1108,{"01. ASIGNACION AREA";"02. MAPEO";"03. DESARROLLO";"04. VALIDA US";"05. VOBO US";"06. BW-EJECUCION";"07. VALIDACIÓN BAJAWARE";"08. CERRADA"},0)
 &lt;
 MATCH(_xlfn.XLOOKUP(INDEX($B:$B, (ROW()-8)),'Relacion '!$E:$E,'Relacion '!$D:$D,""),{"01. ASIGNACION AREA";"02. MAPEO";"03. DESARROLLO";"04. VALIDA US";"05. VOBO US";"06. BW-EJECUCION";"07. VALIDACIÓN BAJAWARE";"08. CERRADA"},0),
 1,
 IF(
  MATCH(B1108,{"01. ASIGNACION AREA";"02. MAPEO";"03. DESARROLLO";"04. VALIDA US";"05. VOBO US";"06. BW-EJECUCION";"07. VALIDACIÓN BAJAWARE";"08. CERRADA"},0)
  =
  MATCH(_xlfn.XLOOKUP(INDEX($B:$B, (ROW()-8)),'Relacion '!$E:$E,'Relacion '!$D:$D,""),{"01. ASIGNACION AREA";"02. MAPEO";"03. DESARROLLO";"04. VALIDA US";"05. VOBO US";"06. BW-EJECUCION";"07. VALIDACIÓN BAJAWARE";"08. CERRADA"},0),
  _xlfn.XLOOKUP(INDEX($B:$B, (ROW()-8)),'Relacion '!$E:$E,'Relacion '!#REF!,0),
  0
 )
)</f>
        <v>0</v>
      </c>
      <c r="I1108" s="241">
        <f t="shared" ca="1" si="257"/>
        <v>1</v>
      </c>
      <c r="J1108" s="241"/>
      <c r="K1108" s="241"/>
      <c r="L1108" s="238"/>
    </row>
    <row r="1109" spans="2:12">
      <c r="B1109" s="232" t="s">
        <v>76</v>
      </c>
      <c r="C1109" s="137" t="s">
        <v>66</v>
      </c>
      <c r="D1109" s="236" t="str">
        <f>_xlfn.XLOOKUP(B1109,'Relacion '!$E:$E,'Relacion '!$D:$D,"")</f>
        <v>04. VALIDA US</v>
      </c>
      <c r="E1109" s="233">
        <f t="shared" si="258"/>
        <v>478</v>
      </c>
      <c r="F1109" s="234" cm="1">
        <f t="array" ref="F1109">MIN(INDEX('Relacion '!$X$5:$AM$493,MATCH(INDEX($B:$B, (ROW()-0)),'Relacion '!$E$5:$E$493,0),0))</f>
        <v>45659</v>
      </c>
      <c r="G1109" s="234" cm="1">
        <f t="array" ref="G1109">MAX(INDEX('Relacion '!$X$5:$AM$493,MATCH(INDEX($B:$B, (ROW()-0)),'Relacion '!$E$5:$E$493,0),0))</f>
        <v>46137</v>
      </c>
      <c r="H1109" s="235" t="e">
        <f>AVERAGE(H1110:H1117)</f>
        <v>#REF!</v>
      </c>
      <c r="I1109" s="235">
        <f t="shared" ref="I1109" ca="1" si="263">AVERAGE(I1110:I1117)</f>
        <v>1</v>
      </c>
      <c r="J1109" s="236" t="str">
        <f>IF(ISNUMBER(SEARCH("Rocha", _xlfn.XLOOKUP(B1109,'Relacion '!$E:$E,'Relacion '!$I:$I,""))), "Sí", "No")</f>
        <v>No</v>
      </c>
      <c r="K1109" s="236" t="str">
        <f>IF(ISNUMBER(SEARCH("Rocha", _xlfn.XLOOKUP(B1109,'Relacion '!$E:$E,'Relacion '!$I:$I,""))), "RMC", _xlfn.XLOOKUP(B1109,'Relacion '!$E:$E,'Relacion '!$B:$B,""))</f>
        <v>Operaciones Credito</v>
      </c>
      <c r="L1109" s="236" t="str">
        <f>_xlfn.XLOOKUP(B1109,'Relacion '!$E:$E,'Relacion '!$C:$C,"")</f>
        <v>Luis Alberto</v>
      </c>
    </row>
    <row r="1110" spans="2:12" outlineLevel="1">
      <c r="B1110" s="237" t="s">
        <v>654</v>
      </c>
      <c r="C1110" s="237" t="s">
        <v>654</v>
      </c>
      <c r="D1110" s="238" t="str">
        <f>_xlfn.XLOOKUP(B1110,'Relacion '!$E:$E,'Relacion '!$D:$D,"")</f>
        <v/>
      </c>
      <c r="E1110" s="239">
        <f t="shared" si="258"/>
        <v>379</v>
      </c>
      <c r="F1110" s="240" cm="1">
        <f t="array" ref="F1110">MIN(INDEX('Relacion '!$X$5:$Y$493,MATCH(INDEX($B:$B, (ROW()-1)),'Relacion '!$E$5:$E$493,0),0))</f>
        <v>45659</v>
      </c>
      <c r="G1110" s="240" cm="1">
        <f t="array" ref="G1110">MAX(INDEX('Relacion '!$X$5:$Y$493,MATCH(INDEX($B:$B, (ROW()-1)),'Relacion '!$E$5:$E$493,0),0))</f>
        <v>46038</v>
      </c>
      <c r="H1110" s="241" cm="1">
        <f t="array" ref="H1110">IF(
 MATCH(B1110,{"01. ASIGNACION AREA";"02. MAPEO";"03. DESARROLLO";"04. VALIDA US";"05. VOBO US";"06. BW-EJECUCION";"07. VALIDACIÓN BAJAWARE";"08. CERRADA"},0)
 &lt;
 MATCH(_xlfn.XLOOKUP(INDEX($B:$B, (ROW()-1)),'Relacion '!$E:$E,'Relacion '!$D:$D,""),{"01. ASIGNACION AREA";"02. MAPEO";"03. DESARROLLO";"04. VALIDA US";"05. VOBO US";"06. BW-EJECUCION";"07. VALIDACIÓN BAJAWARE";"08. CERRADA"},0),
 1,
 IF(
  MATCH(B1110,{"01. ASIGNACION AREA";"02. MAPEO";"03. DESARROLLO";"04. VALIDA US";"05. VOBO US";"06. BW-EJECUCION";"07. VALIDACIÓN BAJAWARE";"08. CERRADA"},0)
  =
  MATCH(_xlfn.XLOOKUP(INDEX($B:$B, (ROW()-1)),'Relacion '!$E:$E,'Relacion '!$D:$D,""),{"01. ASIGNACION AREA";"02. MAPEO";"03. DESARROLLO";"04. VALIDA US";"05. VOBO US";"06. BW-EJECUCION";"07. VALIDACIÓN BAJAWARE";"08. CERRADA"},0),
  _xlfn.XLOOKUP(INDEX($B:$B, (ROW()-1)),'Relacion '!$E:$E,'Relacion '!#REF!,0),
  0
 )
)</f>
        <v>1</v>
      </c>
      <c r="I1110" s="241">
        <f t="shared" ref="I1110" ca="1" si="264">IF(G1110&lt;=TODAY(), 1, 0)</f>
        <v>1</v>
      </c>
      <c r="J1110" s="241"/>
      <c r="K1110" s="241"/>
      <c r="L1110" s="238"/>
    </row>
    <row r="1111" spans="2:12" outlineLevel="1">
      <c r="B1111" s="237" t="s">
        <v>195</v>
      </c>
      <c r="C1111" s="237" t="s">
        <v>195</v>
      </c>
      <c r="D1111" s="238" t="str">
        <f>_xlfn.XLOOKUP(B1111,'Relacion '!$E:$E,'Relacion '!$D:$D,"")</f>
        <v/>
      </c>
      <c r="E1111" s="239">
        <f t="shared" si="258"/>
        <v>18</v>
      </c>
      <c r="F1111" s="240" cm="1">
        <f t="array" ref="F1111">MIN(INDEX('Relacion '!$Z$5:$AA$493,MATCH(INDEX($B:$B, (ROW()-2)),'Relacion '!$E$5:$E$493,0),0))</f>
        <v>46041</v>
      </c>
      <c r="G1111" s="240" cm="1">
        <f t="array" ref="G1111">MAX(INDEX('Relacion '!$Z$5:$AA$493,MATCH(INDEX($B:$B, (ROW()-2)),'Relacion '!$E$5:$E$493,0),0))</f>
        <v>46059</v>
      </c>
      <c r="H1111" s="241" cm="1">
        <f t="array" ref="H1111">IF(
 MATCH(B1111,{"01. ASIGNACION AREA";"02. MAPEO";"03. DESARROLLO";"04. VALIDA US";"05. VOBO US";"06. BW-EJECUCION";"07. VALIDACIÓN BAJAWARE";"08. CERRADA"},0)
 &lt;
 MATCH(_xlfn.XLOOKUP(INDEX($B:$B, (ROW()-2)),'Relacion '!$E:$E,'Relacion '!$D:$D,""),{"01. ASIGNACION AREA";"02. MAPEO";"03. DESARROLLO";"04. VALIDA US";"05. VOBO US";"06. BW-EJECUCION";"07. VALIDACIÓN BAJAWARE";"08. CERRADA"},0),
 1,
 IF(
  MATCH(B1111,{"01. ASIGNACION AREA";"02. MAPEO";"03. DESARROLLO";"04. VALIDA US";"05. VOBO US";"06. BW-EJECUCION";"07. VALIDACIÓN BAJAWARE";"08. CERRADA"},0)
  =
  MATCH(_xlfn.XLOOKUP(INDEX($B:$B, (ROW()-2)),'Relacion '!$E:$E,'Relacion '!$D:$D,""),{"01. ASIGNACION AREA";"02. MAPEO";"03. DESARROLLO";"04. VALIDA US";"05. VOBO US";"06. BW-EJECUCION";"07. VALIDACIÓN BAJAWARE";"08. CERRADA"},0),
  _xlfn.XLOOKUP(INDEX($B:$B, (ROW()-2)),'Relacion '!$E:$E,'Relacion '!#REF!,0),
  0
 )
)</f>
        <v>1</v>
      </c>
      <c r="I1111" s="241">
        <f t="shared" ca="1" si="257"/>
        <v>1</v>
      </c>
      <c r="J1111" s="241"/>
      <c r="K1111" s="241"/>
      <c r="L1111" s="238"/>
    </row>
    <row r="1112" spans="2:12" outlineLevel="1">
      <c r="B1112" s="237" t="s">
        <v>49</v>
      </c>
      <c r="C1112" s="237" t="s">
        <v>49</v>
      </c>
      <c r="D1112" s="238" t="str">
        <f>_xlfn.XLOOKUP(B1112,'Relacion '!$E:$E,'Relacion '!$D:$D,"")</f>
        <v/>
      </c>
      <c r="E1112" s="239">
        <f t="shared" si="258"/>
        <v>18</v>
      </c>
      <c r="F1112" s="240" cm="1">
        <f t="array" ref="F1112">MIN(INDEX('Relacion '!$AB$5:$AC$493,MATCH(INDEX($B:$B, (ROW()-3)),'Relacion '!$E$5:$E$493,0),0))</f>
        <v>46062</v>
      </c>
      <c r="G1112" s="240" cm="1">
        <f t="array" ref="G1112">MAX(INDEX('Relacion '!$AB$5:$AC$493,MATCH(INDEX($B:$B, (ROW()-3)),'Relacion '!$E$5:$E$493,0),0))</f>
        <v>46080</v>
      </c>
      <c r="H1112" s="241" cm="1">
        <f t="array" ref="H1112">IF(
 MATCH(B1112,{"01. ASIGNACION AREA";"02. MAPEO";"03. DESARROLLO";"04. VALIDA US";"05. VOBO US";"06. BW-EJECUCION";"07. VALIDACIÓN BAJAWARE";"08. CERRADA"},0)
 &lt;
 MATCH(_xlfn.XLOOKUP(INDEX($B:$B, (ROW()-3)),'Relacion '!$E:$E,'Relacion '!$D:$D,""),{"01. ASIGNACION AREA";"02. MAPEO";"03. DESARROLLO";"04. VALIDA US";"05. VOBO US";"06. BW-EJECUCION";"07. VALIDACIÓN BAJAWARE";"08. CERRADA"},0),
 1,
 IF(
  MATCH(B1112,{"01. ASIGNACION AREA";"02. MAPEO";"03. DESARROLLO";"04. VALIDA US";"05. VOBO US";"06. BW-EJECUCION";"07. VALIDACIÓN BAJAWARE";"08. CERRADA"},0)
  =
  MATCH(_xlfn.XLOOKUP(INDEX($B:$B, (ROW()-3)),'Relacion '!$E:$E,'Relacion '!$D:$D,""),{"01. ASIGNACION AREA";"02. MAPEO";"03. DESARROLLO";"04. VALIDA US";"05. VOBO US";"06. BW-EJECUCION";"07. VALIDACIÓN BAJAWARE";"08. CERRADA"},0),
  _xlfn.XLOOKUP(INDEX($B:$B, (ROW()-3)),'Relacion '!$E:$E,'Relacion '!#REF!,0),
  0
 )
)</f>
        <v>1</v>
      </c>
      <c r="I1112" s="241">
        <f t="shared" ca="1" si="257"/>
        <v>1</v>
      </c>
      <c r="J1112" s="241"/>
      <c r="K1112" s="241"/>
      <c r="L1112" s="238"/>
    </row>
    <row r="1113" spans="2:12" outlineLevel="1">
      <c r="B1113" s="237" t="s">
        <v>324</v>
      </c>
      <c r="C1113" s="237" t="s">
        <v>324</v>
      </c>
      <c r="D1113" s="238" t="str">
        <f>_xlfn.XLOOKUP(B1113,'Relacion '!$E:$E,'Relacion '!$D:$D,"")</f>
        <v/>
      </c>
      <c r="E1113" s="239">
        <f t="shared" si="258"/>
        <v>14</v>
      </c>
      <c r="F1113" s="240" cm="1">
        <f t="array" ref="F1113">MIN(INDEX('Relacion '!$AD$5:$AE$493,MATCH(INDEX($B:$B, (ROW()-4)),'Relacion '!$E$5:$E$493,0),0))</f>
        <v>46099</v>
      </c>
      <c r="G1113" s="240" cm="1">
        <f t="array" ref="G1113">MAX(INDEX('Relacion '!$AD$5:$AE$493,MATCH(INDEX($B:$B, (ROW()-4)),'Relacion '!$E$5:$E$493,0),0))</f>
        <v>46113</v>
      </c>
      <c r="H1113" s="241" t="e" cm="1">
        <f t="array" ref="H1113">IF(
 MATCH(B1113,{"01. ASIGNACION AREA";"02. MAPEO";"03. DESARROLLO";"04. VALIDA US";"05. VOBO US";"06. BW-EJECUCION";"07. VALIDACIÓN BAJAWARE";"08. CERRADA"},0)
 &lt;
 MATCH(_xlfn.XLOOKUP(INDEX($B:$B, (ROW()-4)),'Relacion '!$E:$E,'Relacion '!$D:$D,""),{"01. ASIGNACION AREA";"02. MAPEO";"03. DESARROLLO";"04. VALIDA US";"05. VOBO US";"06. BW-EJECUCION";"07. VALIDACIÓN BAJAWARE";"08. CERRADA"},0),
 1,
 IF(
  MATCH(B1113,{"01. ASIGNACION AREA";"02. MAPEO";"03. DESARROLLO";"04. VALIDA US";"05. VOBO US";"06. BW-EJECUCION";"07. VALIDACIÓN BAJAWARE";"08. CERRADA"},0)
  =
  MATCH(_xlfn.XLOOKUP(INDEX($B:$B, (ROW()-4)),'Relacion '!$E:$E,'Relacion '!$D:$D,""),{"01. ASIGNACION AREA";"02. MAPEO";"03. DESARROLLO";"04. VALIDA US";"05. VOBO US";"06. BW-EJECUCION";"07. VALIDACIÓN BAJAWARE";"08. CERRADA"},0),
  _xlfn.XLOOKUP(INDEX($B:$B, (ROW()-4)),'Relacion '!$E:$E,'Relacion '!#REF!,0),
  0
 )
)</f>
        <v>#REF!</v>
      </c>
      <c r="I1113" s="241">
        <f t="shared" ca="1" si="257"/>
        <v>1</v>
      </c>
      <c r="J1113" s="241"/>
      <c r="K1113" s="241"/>
      <c r="L1113" s="238"/>
    </row>
    <row r="1114" spans="2:12" outlineLevel="1">
      <c r="B1114" s="237" t="s">
        <v>320</v>
      </c>
      <c r="C1114" s="237" t="s">
        <v>320</v>
      </c>
      <c r="D1114" s="238" t="str">
        <f>_xlfn.XLOOKUP(B1114,'Relacion '!$E:$E,'Relacion '!$D:$D,"")</f>
        <v/>
      </c>
      <c r="E1114" s="239">
        <f t="shared" si="258"/>
        <v>5</v>
      </c>
      <c r="F1114" s="240" cm="1">
        <f t="array" ref="F1114">MIN(INDEX('Relacion '!$AF$5:$AG$493,MATCH(INDEX($B:$B, (ROW()-5)),'Relacion '!$E$5:$E$493,0),0))</f>
        <v>46113</v>
      </c>
      <c r="G1114" s="240" cm="1">
        <f t="array" ref="G1114">MAX(INDEX('Relacion '!$AF$5:$AG$493,MATCH(INDEX($B:$B, (ROW()-5)),'Relacion '!$E$5:$E$493,0),0))</f>
        <v>46118</v>
      </c>
      <c r="H1114" s="241" cm="1">
        <f t="array" ref="H1114">IF(
 MATCH(B1114,{"01. ASIGNACION AREA";"02. MAPEO";"03. DESARROLLO";"04. VALIDA US";"05. VOBO US";"06. BW-EJECUCION";"07. VALIDACIÓN BAJAWARE";"08. CERRADA"},0)
 &lt;
 MATCH(_xlfn.XLOOKUP(INDEX($B:$B, (ROW()-5)),'Relacion '!$E:$E,'Relacion '!$D:$D,""),{"01. ASIGNACION AREA";"02. MAPEO";"03. DESARROLLO";"04. VALIDA US";"05. VOBO US";"06. BW-EJECUCION";"07. VALIDACIÓN BAJAWARE";"08. CERRADA"},0),
 1,
 IF(
  MATCH(B1114,{"01. ASIGNACION AREA";"02. MAPEO";"03. DESARROLLO";"04. VALIDA US";"05. VOBO US";"06. BW-EJECUCION";"07. VALIDACIÓN BAJAWARE";"08. CERRADA"},0)
  =
  MATCH(_xlfn.XLOOKUP(INDEX($B:$B, (ROW()-5)),'Relacion '!$E:$E,'Relacion '!$D:$D,""),{"01. ASIGNACION AREA";"02. MAPEO";"03. DESARROLLO";"04. VALIDA US";"05. VOBO US";"06. BW-EJECUCION";"07. VALIDACIÓN BAJAWARE";"08. CERRADA"},0),
  _xlfn.XLOOKUP(INDEX($B:$B, (ROW()-5)),'Relacion '!$E:$E,'Relacion '!#REF!,0),
  0
 )
)</f>
        <v>0</v>
      </c>
      <c r="I1114" s="241">
        <f t="shared" ca="1" si="257"/>
        <v>1</v>
      </c>
      <c r="J1114" s="241"/>
      <c r="K1114" s="241"/>
      <c r="L1114" s="238"/>
    </row>
    <row r="1115" spans="2:12" outlineLevel="1">
      <c r="B1115" s="237" t="s">
        <v>710</v>
      </c>
      <c r="C1115" s="237" t="s">
        <v>710</v>
      </c>
      <c r="D1115" s="238" t="str">
        <f>_xlfn.XLOOKUP(B1115,'Relacion '!$E:$E,'Relacion '!$D:$D,"")</f>
        <v/>
      </c>
      <c r="E1115" s="239">
        <f t="shared" si="258"/>
        <v>2</v>
      </c>
      <c r="F1115" s="240" cm="1">
        <f t="array" ref="F1115">MIN(INDEX('Relacion '!$AH$5:$AI$493,MATCH(INDEX($B:$B, (ROW()-6)),'Relacion '!$E$5:$E$493,0),0))</f>
        <v>46119</v>
      </c>
      <c r="G1115" s="240" cm="1">
        <f t="array" ref="G1115">MAX(INDEX('Relacion '!$AH$5:$AI$493,MATCH(INDEX($B:$B, (ROW()-6)),'Relacion '!$E$5:$E$493,0),0))</f>
        <v>46121</v>
      </c>
      <c r="H1115" s="241" cm="1">
        <f t="array" ref="H1115">IF(
 MATCH(B1115,{"01. ASIGNACION AREA";"02. MAPEO";"03. DESARROLLO";"04. VALIDA US";"05. VOBO US";"06. BW-EJECUCION";"07. VALIDACIÓN BAJAWARE";"08. CERRADA"},0)
 &lt;
 MATCH(_xlfn.XLOOKUP(INDEX($B:$B, (ROW()-6)),'Relacion '!$E:$E,'Relacion '!$D:$D,""),{"01. ASIGNACION AREA";"02. MAPEO";"03. DESARROLLO";"04. VALIDA US";"05. VOBO US";"06. BW-EJECUCION";"07. VALIDACIÓN BAJAWARE";"08. CERRADA"},0),
 1,
 IF(
  MATCH(B1115,{"01. ASIGNACION AREA";"02. MAPEO";"03. DESARROLLO";"04. VALIDA US";"05. VOBO US";"06. BW-EJECUCION";"07. VALIDACIÓN BAJAWARE";"08. CERRADA"},0)
  =
  MATCH(_xlfn.XLOOKUP(INDEX($B:$B, (ROW()-6)),'Relacion '!$E:$E,'Relacion '!$D:$D,""),{"01. ASIGNACION AREA";"02. MAPEO";"03. DESARROLLO";"04. VALIDA US";"05. VOBO US";"06. BW-EJECUCION";"07. VALIDACIÓN BAJAWARE";"08. CERRADA"},0),
  _xlfn.XLOOKUP(INDEX($B:$B, (ROW()-6)),'Relacion '!$E:$E,'Relacion '!#REF!,0),
  0
 )
)</f>
        <v>0</v>
      </c>
      <c r="I1115" s="241">
        <f t="shared" ca="1" si="257"/>
        <v>1</v>
      </c>
      <c r="J1115" s="241"/>
      <c r="K1115" s="241"/>
      <c r="L1115" s="238"/>
    </row>
    <row r="1116" spans="2:12" outlineLevel="1">
      <c r="B1116" s="237" t="s">
        <v>655</v>
      </c>
      <c r="C1116" s="237" t="s">
        <v>655</v>
      </c>
      <c r="D1116" s="238" t="str">
        <f>_xlfn.XLOOKUP(B1116,'Relacion '!$E:$E,'Relacion '!$D:$D,"")</f>
        <v/>
      </c>
      <c r="E1116" s="239">
        <f t="shared" si="258"/>
        <v>14</v>
      </c>
      <c r="F1116" s="240" cm="1">
        <f t="array" ref="F1116">MIN(INDEX('Relacion '!$AJ$5:$AK$493,MATCH(INDEX($B:$B, (ROW()-7)),'Relacion '!$E$5:$E$493,0),0))</f>
        <v>46122</v>
      </c>
      <c r="G1116" s="240" cm="1">
        <f t="array" ref="G1116">MAX(INDEX('Relacion '!$AJ$5:$AK$493,MATCH(INDEX($B:$B, (ROW()-7)),'Relacion '!$E$5:$E$493,0),0))</f>
        <v>46136</v>
      </c>
      <c r="H1116" s="241" cm="1">
        <f t="array" ref="H1116">IF(
 MATCH(B1116,{"01. ASIGNACION AREA";"02. MAPEO";"03. DESARROLLO";"04. VALIDA US";"05. VOBO US";"06. BW-EJECUCION";"07. VALIDACIÓN BAJAWARE";"08. CERRADA"},0)
 &lt;
 MATCH(_xlfn.XLOOKUP(INDEX($B:$B, (ROW()-7)),'Relacion '!$E:$E,'Relacion '!$D:$D,""),{"01. ASIGNACION AREA";"02. MAPEO";"03. DESARROLLO";"04. VALIDA US";"05. VOBO US";"06. BW-EJECUCION";"07. VALIDACIÓN BAJAWARE";"08. CERRADA"},0),
 1,
 IF(
  MATCH(B1116,{"01. ASIGNACION AREA";"02. MAPEO";"03. DESARROLLO";"04. VALIDA US";"05. VOBO US";"06. BW-EJECUCION";"07. VALIDACIÓN BAJAWARE";"08. CERRADA"},0)
  =
  MATCH(_xlfn.XLOOKUP(INDEX($B:$B, (ROW()-7)),'Relacion '!$E:$E,'Relacion '!$D:$D,""),{"01. ASIGNACION AREA";"02. MAPEO";"03. DESARROLLO";"04. VALIDA US";"05. VOBO US";"06. BW-EJECUCION";"07. VALIDACIÓN BAJAWARE";"08. CERRADA"},0),
  _xlfn.XLOOKUP(INDEX($B:$B, (ROW()-7)),'Relacion '!$E:$E,'Relacion '!#REF!,0),
  0
 )
)</f>
        <v>0</v>
      </c>
      <c r="I1116" s="241">
        <f t="shared" ca="1" si="257"/>
        <v>1</v>
      </c>
      <c r="J1116" s="241"/>
      <c r="K1116" s="241"/>
      <c r="L1116" s="238"/>
    </row>
    <row r="1117" spans="2:12" outlineLevel="1">
      <c r="B1117" s="237" t="s">
        <v>656</v>
      </c>
      <c r="C1117" s="237" t="s">
        <v>656</v>
      </c>
      <c r="D1117" s="238" t="str">
        <f>_xlfn.XLOOKUP(B1117,'Relacion '!$E:$E,'Relacion '!$D:$D,"")</f>
        <v/>
      </c>
      <c r="E1117" s="239">
        <f t="shared" si="258"/>
        <v>0</v>
      </c>
      <c r="F1117" s="240" cm="1">
        <f t="array" ref="F1117">MIN(INDEX('Relacion '!$AL$5:$AM$493,MATCH(INDEX($B:$B, (ROW()-8)),'Relacion '!$E$5:$E$493,0),0))</f>
        <v>46137</v>
      </c>
      <c r="G1117" s="240" cm="1">
        <f t="array" ref="G1117">MAX(INDEX('Relacion '!$AL$5:$AM$493,MATCH(INDEX($B:$B, (ROW()-8)),'Relacion '!$E$5:$E$493,0),0))</f>
        <v>46137</v>
      </c>
      <c r="H1117" s="241" cm="1">
        <f t="array" ref="H1117">IF(
 MATCH(B1117,{"01. ASIGNACION AREA";"02. MAPEO";"03. DESARROLLO";"04. VALIDA US";"05. VOBO US";"06. BW-EJECUCION";"07. VALIDACIÓN BAJAWARE";"08. CERRADA"},0)
 &lt;
 MATCH(_xlfn.XLOOKUP(INDEX($B:$B, (ROW()-8)),'Relacion '!$E:$E,'Relacion '!$D:$D,""),{"01. ASIGNACION AREA";"02. MAPEO";"03. DESARROLLO";"04. VALIDA US";"05. VOBO US";"06. BW-EJECUCION";"07. VALIDACIÓN BAJAWARE";"08. CERRADA"},0),
 1,
 IF(
  MATCH(B1117,{"01. ASIGNACION AREA";"02. MAPEO";"03. DESARROLLO";"04. VALIDA US";"05. VOBO US";"06. BW-EJECUCION";"07. VALIDACIÓN BAJAWARE";"08. CERRADA"},0)
  =
  MATCH(_xlfn.XLOOKUP(INDEX($B:$B, (ROW()-8)),'Relacion '!$E:$E,'Relacion '!$D:$D,""),{"01. ASIGNACION AREA";"02. MAPEO";"03. DESARROLLO";"04. VALIDA US";"05. VOBO US";"06. BW-EJECUCION";"07. VALIDACIÓN BAJAWARE";"08. CERRADA"},0),
  _xlfn.XLOOKUP(INDEX($B:$B, (ROW()-8)),'Relacion '!$E:$E,'Relacion '!#REF!,0),
  0
 )
)</f>
        <v>0</v>
      </c>
      <c r="I1117" s="241">
        <f t="shared" ca="1" si="257"/>
        <v>1</v>
      </c>
      <c r="J1117" s="241"/>
      <c r="K1117" s="241"/>
      <c r="L1117" s="238"/>
    </row>
    <row r="1118" spans="2:12">
      <c r="B1118" s="232" t="s">
        <v>65</v>
      </c>
      <c r="C1118" s="137" t="s">
        <v>66</v>
      </c>
      <c r="D1118" s="236" t="str">
        <f>_xlfn.XLOOKUP(B1118,'Relacion '!$E:$E,'Relacion '!$D:$D,"")</f>
        <v>04. VALIDA US</v>
      </c>
      <c r="E1118" s="233">
        <f t="shared" si="258"/>
        <v>478</v>
      </c>
      <c r="F1118" s="234" cm="1">
        <f t="array" ref="F1118">MIN(INDEX('Relacion '!$X$5:$AM$493,MATCH(INDEX($B:$B, (ROW()-0)),'Relacion '!$E$5:$E$493,0),0))</f>
        <v>45659</v>
      </c>
      <c r="G1118" s="234" cm="1">
        <f t="array" ref="G1118">MAX(INDEX('Relacion '!$X$5:$AM$493,MATCH(INDEX($B:$B, (ROW()-0)),'Relacion '!$E$5:$E$493,0),0))</f>
        <v>46137</v>
      </c>
      <c r="H1118" s="235" t="e">
        <f>AVERAGE(H1119:H1126)</f>
        <v>#REF!</v>
      </c>
      <c r="I1118" s="235">
        <f t="shared" ref="I1118" ca="1" si="265">AVERAGE(I1119:I1126)</f>
        <v>1</v>
      </c>
      <c r="J1118" s="236" t="str">
        <f>IF(ISNUMBER(SEARCH("Rocha", _xlfn.XLOOKUP(B1118,'Relacion '!$E:$E,'Relacion '!$I:$I,""))), "Sí", "No")</f>
        <v>No</v>
      </c>
      <c r="K1118" s="236" t="str">
        <f>IF(ISNUMBER(SEARCH("Rocha", _xlfn.XLOOKUP(B1118,'Relacion '!$E:$E,'Relacion '!$I:$I,""))), "RMC", _xlfn.XLOOKUP(B1118,'Relacion '!$E:$E,'Relacion '!$B:$B,""))</f>
        <v>Operaciones Credito</v>
      </c>
      <c r="L1118" s="236" t="str">
        <f>_xlfn.XLOOKUP(B1118,'Relacion '!$E:$E,'Relacion '!$C:$C,"")</f>
        <v>Luis Alberto</v>
      </c>
    </row>
    <row r="1119" spans="2:12" outlineLevel="1">
      <c r="B1119" s="237" t="s">
        <v>654</v>
      </c>
      <c r="C1119" s="237" t="s">
        <v>654</v>
      </c>
      <c r="D1119" s="238" t="str">
        <f>_xlfn.XLOOKUP(B1119,'Relacion '!$E:$E,'Relacion '!$D:$D,"")</f>
        <v/>
      </c>
      <c r="E1119" s="239">
        <f t="shared" si="258"/>
        <v>379</v>
      </c>
      <c r="F1119" s="240" cm="1">
        <f t="array" ref="F1119">MIN(INDEX('Relacion '!$X$5:$Y$493,MATCH(INDEX($B:$B, (ROW()-1)),'Relacion '!$E$5:$E$493,0),0))</f>
        <v>45659</v>
      </c>
      <c r="G1119" s="240" cm="1">
        <f t="array" ref="G1119">MAX(INDEX('Relacion '!$X$5:$Y$493,MATCH(INDEX($B:$B, (ROW()-1)),'Relacion '!$E$5:$E$493,0),0))</f>
        <v>46038</v>
      </c>
      <c r="H1119" s="241" cm="1">
        <f t="array" ref="H1119">IF(
 MATCH(B1119,{"01. ASIGNACION AREA";"02. MAPEO";"03. DESARROLLO";"04. VALIDA US";"05. VOBO US";"06. BW-EJECUCION";"07. VALIDACIÓN BAJAWARE";"08. CERRADA"},0)
 &lt;
 MATCH(_xlfn.XLOOKUP(INDEX($B:$B, (ROW()-1)),'Relacion '!$E:$E,'Relacion '!$D:$D,""),{"01. ASIGNACION AREA";"02. MAPEO";"03. DESARROLLO";"04. VALIDA US";"05. VOBO US";"06. BW-EJECUCION";"07. VALIDACIÓN BAJAWARE";"08. CERRADA"},0),
 1,
 IF(
  MATCH(B1119,{"01. ASIGNACION AREA";"02. MAPEO";"03. DESARROLLO";"04. VALIDA US";"05. VOBO US";"06. BW-EJECUCION";"07. VALIDACIÓN BAJAWARE";"08. CERRADA"},0)
  =
  MATCH(_xlfn.XLOOKUP(INDEX($B:$B, (ROW()-1)),'Relacion '!$E:$E,'Relacion '!$D:$D,""),{"01. ASIGNACION AREA";"02. MAPEO";"03. DESARROLLO";"04. VALIDA US";"05. VOBO US";"06. BW-EJECUCION";"07. VALIDACIÓN BAJAWARE";"08. CERRADA"},0),
  _xlfn.XLOOKUP(INDEX($B:$B, (ROW()-1)),'Relacion '!$E:$E,'Relacion '!#REF!,0),
  0
 )
)</f>
        <v>1</v>
      </c>
      <c r="I1119" s="241">
        <f t="shared" ref="I1119" ca="1" si="266">IF(G1119&lt;=TODAY(), 1, 0)</f>
        <v>1</v>
      </c>
      <c r="J1119" s="241"/>
      <c r="K1119" s="241"/>
      <c r="L1119" s="238"/>
    </row>
    <row r="1120" spans="2:12" outlineLevel="1">
      <c r="B1120" s="237" t="s">
        <v>195</v>
      </c>
      <c r="C1120" s="237" t="s">
        <v>195</v>
      </c>
      <c r="D1120" s="238" t="str">
        <f>_xlfn.XLOOKUP(B1120,'Relacion '!$E:$E,'Relacion '!$D:$D,"")</f>
        <v/>
      </c>
      <c r="E1120" s="239">
        <f t="shared" si="258"/>
        <v>18</v>
      </c>
      <c r="F1120" s="240" cm="1">
        <f t="array" ref="F1120">MIN(INDEX('Relacion '!$Z$5:$AA$493,MATCH(INDEX($B:$B, (ROW()-2)),'Relacion '!$E$5:$E$493,0),0))</f>
        <v>46041</v>
      </c>
      <c r="G1120" s="240" cm="1">
        <f t="array" ref="G1120">MAX(INDEX('Relacion '!$Z$5:$AA$493,MATCH(INDEX($B:$B, (ROW()-2)),'Relacion '!$E$5:$E$493,0),0))</f>
        <v>46059</v>
      </c>
      <c r="H1120" s="241" cm="1">
        <f t="array" ref="H1120">IF(
 MATCH(B1120,{"01. ASIGNACION AREA";"02. MAPEO";"03. DESARROLLO";"04. VALIDA US";"05. VOBO US";"06. BW-EJECUCION";"07. VALIDACIÓN BAJAWARE";"08. CERRADA"},0)
 &lt;
 MATCH(_xlfn.XLOOKUP(INDEX($B:$B, (ROW()-2)),'Relacion '!$E:$E,'Relacion '!$D:$D,""),{"01. ASIGNACION AREA";"02. MAPEO";"03. DESARROLLO";"04. VALIDA US";"05. VOBO US";"06. BW-EJECUCION";"07. VALIDACIÓN BAJAWARE";"08. CERRADA"},0),
 1,
 IF(
  MATCH(B1120,{"01. ASIGNACION AREA";"02. MAPEO";"03. DESARROLLO";"04. VALIDA US";"05. VOBO US";"06. BW-EJECUCION";"07. VALIDACIÓN BAJAWARE";"08. CERRADA"},0)
  =
  MATCH(_xlfn.XLOOKUP(INDEX($B:$B, (ROW()-2)),'Relacion '!$E:$E,'Relacion '!$D:$D,""),{"01. ASIGNACION AREA";"02. MAPEO";"03. DESARROLLO";"04. VALIDA US";"05. VOBO US";"06. BW-EJECUCION";"07. VALIDACIÓN BAJAWARE";"08. CERRADA"},0),
  _xlfn.XLOOKUP(INDEX($B:$B, (ROW()-2)),'Relacion '!$E:$E,'Relacion '!#REF!,0),
  0
 )
)</f>
        <v>1</v>
      </c>
      <c r="I1120" s="241">
        <f t="shared" ca="1" si="257"/>
        <v>1</v>
      </c>
      <c r="J1120" s="241"/>
      <c r="K1120" s="241"/>
      <c r="L1120" s="238"/>
    </row>
    <row r="1121" spans="2:12" outlineLevel="1">
      <c r="B1121" s="237" t="s">
        <v>49</v>
      </c>
      <c r="C1121" s="237" t="s">
        <v>49</v>
      </c>
      <c r="D1121" s="238" t="str">
        <f>_xlfn.XLOOKUP(B1121,'Relacion '!$E:$E,'Relacion '!$D:$D,"")</f>
        <v/>
      </c>
      <c r="E1121" s="239">
        <f t="shared" si="258"/>
        <v>24</v>
      </c>
      <c r="F1121" s="240" cm="1">
        <f t="array" ref="F1121">MIN(INDEX('Relacion '!$AB$5:$AC$493,MATCH(INDEX($B:$B, (ROW()-3)),'Relacion '!$E$5:$E$493,0),0))</f>
        <v>46056</v>
      </c>
      <c r="G1121" s="240" cm="1">
        <f t="array" ref="G1121">MAX(INDEX('Relacion '!$AB$5:$AC$493,MATCH(INDEX($B:$B, (ROW()-3)),'Relacion '!$E$5:$E$493,0),0))</f>
        <v>46080</v>
      </c>
      <c r="H1121" s="241" cm="1">
        <f t="array" ref="H1121">IF(
 MATCH(B1121,{"01. ASIGNACION AREA";"02. MAPEO";"03. DESARROLLO";"04. VALIDA US";"05. VOBO US";"06. BW-EJECUCION";"07. VALIDACIÓN BAJAWARE";"08. CERRADA"},0)
 &lt;
 MATCH(_xlfn.XLOOKUP(INDEX($B:$B, (ROW()-3)),'Relacion '!$E:$E,'Relacion '!$D:$D,""),{"01. ASIGNACION AREA";"02. MAPEO";"03. DESARROLLO";"04. VALIDA US";"05. VOBO US";"06. BW-EJECUCION";"07. VALIDACIÓN BAJAWARE";"08. CERRADA"},0),
 1,
 IF(
  MATCH(B1121,{"01. ASIGNACION AREA";"02. MAPEO";"03. DESARROLLO";"04. VALIDA US";"05. VOBO US";"06. BW-EJECUCION";"07. VALIDACIÓN BAJAWARE";"08. CERRADA"},0)
  =
  MATCH(_xlfn.XLOOKUP(INDEX($B:$B, (ROW()-3)),'Relacion '!$E:$E,'Relacion '!$D:$D,""),{"01. ASIGNACION AREA";"02. MAPEO";"03. DESARROLLO";"04. VALIDA US";"05. VOBO US";"06. BW-EJECUCION";"07. VALIDACIÓN BAJAWARE";"08. CERRADA"},0),
  _xlfn.XLOOKUP(INDEX($B:$B, (ROW()-3)),'Relacion '!$E:$E,'Relacion '!#REF!,0),
  0
 )
)</f>
        <v>1</v>
      </c>
      <c r="I1121" s="241">
        <f t="shared" ca="1" si="257"/>
        <v>1</v>
      </c>
      <c r="J1121" s="241"/>
      <c r="K1121" s="241"/>
      <c r="L1121" s="238"/>
    </row>
    <row r="1122" spans="2:12" outlineLevel="1">
      <c r="B1122" s="237" t="s">
        <v>324</v>
      </c>
      <c r="C1122" s="237" t="s">
        <v>324</v>
      </c>
      <c r="D1122" s="238" t="str">
        <f>_xlfn.XLOOKUP(B1122,'Relacion '!$E:$E,'Relacion '!$D:$D,"")</f>
        <v/>
      </c>
      <c r="E1122" s="239">
        <f t="shared" si="258"/>
        <v>14</v>
      </c>
      <c r="F1122" s="240" cm="1">
        <f t="array" ref="F1122">MIN(INDEX('Relacion '!$AD$5:$AE$493,MATCH(INDEX($B:$B, (ROW()-4)),'Relacion '!$E$5:$E$493,0),0))</f>
        <v>46099</v>
      </c>
      <c r="G1122" s="240" cm="1">
        <f t="array" ref="G1122">MAX(INDEX('Relacion '!$AD$5:$AE$493,MATCH(INDEX($B:$B, (ROW()-4)),'Relacion '!$E$5:$E$493,0),0))</f>
        <v>46113</v>
      </c>
      <c r="H1122" s="241" t="e" cm="1">
        <f t="array" ref="H1122">IF(
 MATCH(B1122,{"01. ASIGNACION AREA";"02. MAPEO";"03. DESARROLLO";"04. VALIDA US";"05. VOBO US";"06. BW-EJECUCION";"07. VALIDACIÓN BAJAWARE";"08. CERRADA"},0)
 &lt;
 MATCH(_xlfn.XLOOKUP(INDEX($B:$B, (ROW()-4)),'Relacion '!$E:$E,'Relacion '!$D:$D,""),{"01. ASIGNACION AREA";"02. MAPEO";"03. DESARROLLO";"04. VALIDA US";"05. VOBO US";"06. BW-EJECUCION";"07. VALIDACIÓN BAJAWARE";"08. CERRADA"},0),
 1,
 IF(
  MATCH(B1122,{"01. ASIGNACION AREA";"02. MAPEO";"03. DESARROLLO";"04. VALIDA US";"05. VOBO US";"06. BW-EJECUCION";"07. VALIDACIÓN BAJAWARE";"08. CERRADA"},0)
  =
  MATCH(_xlfn.XLOOKUP(INDEX($B:$B, (ROW()-4)),'Relacion '!$E:$E,'Relacion '!$D:$D,""),{"01. ASIGNACION AREA";"02. MAPEO";"03. DESARROLLO";"04. VALIDA US";"05. VOBO US";"06. BW-EJECUCION";"07. VALIDACIÓN BAJAWARE";"08. CERRADA"},0),
  _xlfn.XLOOKUP(INDEX($B:$B, (ROW()-4)),'Relacion '!$E:$E,'Relacion '!#REF!,0),
  0
 )
)</f>
        <v>#REF!</v>
      </c>
      <c r="I1122" s="241">
        <f t="shared" ca="1" si="257"/>
        <v>1</v>
      </c>
      <c r="J1122" s="241"/>
      <c r="K1122" s="241"/>
      <c r="L1122" s="238"/>
    </row>
    <row r="1123" spans="2:12" outlineLevel="1">
      <c r="B1123" s="237" t="s">
        <v>320</v>
      </c>
      <c r="C1123" s="237" t="s">
        <v>320</v>
      </c>
      <c r="D1123" s="238" t="str">
        <f>_xlfn.XLOOKUP(B1123,'Relacion '!$E:$E,'Relacion '!$D:$D,"")</f>
        <v/>
      </c>
      <c r="E1123" s="239">
        <f t="shared" si="258"/>
        <v>5</v>
      </c>
      <c r="F1123" s="240" cm="1">
        <f t="array" ref="F1123">MIN(INDEX('Relacion '!$AF$5:$AG$493,MATCH(INDEX($B:$B, (ROW()-5)),'Relacion '!$E$5:$E$493,0),0))</f>
        <v>46113</v>
      </c>
      <c r="G1123" s="240" cm="1">
        <f t="array" ref="G1123">MAX(INDEX('Relacion '!$AF$5:$AG$493,MATCH(INDEX($B:$B, (ROW()-5)),'Relacion '!$E$5:$E$493,0),0))</f>
        <v>46118</v>
      </c>
      <c r="H1123" s="241" cm="1">
        <f t="array" ref="H1123">IF(
 MATCH(B1123,{"01. ASIGNACION AREA";"02. MAPEO";"03. DESARROLLO";"04. VALIDA US";"05. VOBO US";"06. BW-EJECUCION";"07. VALIDACIÓN BAJAWARE";"08. CERRADA"},0)
 &lt;
 MATCH(_xlfn.XLOOKUP(INDEX($B:$B, (ROW()-5)),'Relacion '!$E:$E,'Relacion '!$D:$D,""),{"01. ASIGNACION AREA";"02. MAPEO";"03. DESARROLLO";"04. VALIDA US";"05. VOBO US";"06. BW-EJECUCION";"07. VALIDACIÓN BAJAWARE";"08. CERRADA"},0),
 1,
 IF(
  MATCH(B1123,{"01. ASIGNACION AREA";"02. MAPEO";"03. DESARROLLO";"04. VALIDA US";"05. VOBO US";"06. BW-EJECUCION";"07. VALIDACIÓN BAJAWARE";"08. CERRADA"},0)
  =
  MATCH(_xlfn.XLOOKUP(INDEX($B:$B, (ROW()-5)),'Relacion '!$E:$E,'Relacion '!$D:$D,""),{"01. ASIGNACION AREA";"02. MAPEO";"03. DESARROLLO";"04. VALIDA US";"05. VOBO US";"06. BW-EJECUCION";"07. VALIDACIÓN BAJAWARE";"08. CERRADA"},0),
  _xlfn.XLOOKUP(INDEX($B:$B, (ROW()-5)),'Relacion '!$E:$E,'Relacion '!#REF!,0),
  0
 )
)</f>
        <v>0</v>
      </c>
      <c r="I1123" s="241">
        <f t="shared" ca="1" si="257"/>
        <v>1</v>
      </c>
      <c r="J1123" s="241"/>
      <c r="K1123" s="241"/>
      <c r="L1123" s="238"/>
    </row>
    <row r="1124" spans="2:12" outlineLevel="1">
      <c r="B1124" s="237" t="s">
        <v>710</v>
      </c>
      <c r="C1124" s="237" t="s">
        <v>710</v>
      </c>
      <c r="D1124" s="238" t="str">
        <f>_xlfn.XLOOKUP(B1124,'Relacion '!$E:$E,'Relacion '!$D:$D,"")</f>
        <v/>
      </c>
      <c r="E1124" s="239">
        <f t="shared" si="258"/>
        <v>2</v>
      </c>
      <c r="F1124" s="240" cm="1">
        <f t="array" ref="F1124">MIN(INDEX('Relacion '!$AH$5:$AI$493,MATCH(INDEX($B:$B, (ROW()-6)),'Relacion '!$E$5:$E$493,0),0))</f>
        <v>46119</v>
      </c>
      <c r="G1124" s="240" cm="1">
        <f t="array" ref="G1124">MAX(INDEX('Relacion '!$AH$5:$AI$493,MATCH(INDEX($B:$B, (ROW()-6)),'Relacion '!$E$5:$E$493,0),0))</f>
        <v>46121</v>
      </c>
      <c r="H1124" s="241" cm="1">
        <f t="array" ref="H1124">IF(
 MATCH(B1124,{"01. ASIGNACION AREA";"02. MAPEO";"03. DESARROLLO";"04. VALIDA US";"05. VOBO US";"06. BW-EJECUCION";"07. VALIDACIÓN BAJAWARE";"08. CERRADA"},0)
 &lt;
 MATCH(_xlfn.XLOOKUP(INDEX($B:$B, (ROW()-6)),'Relacion '!$E:$E,'Relacion '!$D:$D,""),{"01. ASIGNACION AREA";"02. MAPEO";"03. DESARROLLO";"04. VALIDA US";"05. VOBO US";"06. BW-EJECUCION";"07. VALIDACIÓN BAJAWARE";"08. CERRADA"},0),
 1,
 IF(
  MATCH(B1124,{"01. ASIGNACION AREA";"02. MAPEO";"03. DESARROLLO";"04. VALIDA US";"05. VOBO US";"06. BW-EJECUCION";"07. VALIDACIÓN BAJAWARE";"08. CERRADA"},0)
  =
  MATCH(_xlfn.XLOOKUP(INDEX($B:$B, (ROW()-6)),'Relacion '!$E:$E,'Relacion '!$D:$D,""),{"01. ASIGNACION AREA";"02. MAPEO";"03. DESARROLLO";"04. VALIDA US";"05. VOBO US";"06. BW-EJECUCION";"07. VALIDACIÓN BAJAWARE";"08. CERRADA"},0),
  _xlfn.XLOOKUP(INDEX($B:$B, (ROW()-6)),'Relacion '!$E:$E,'Relacion '!#REF!,0),
  0
 )
)</f>
        <v>0</v>
      </c>
      <c r="I1124" s="241">
        <f t="shared" ca="1" si="257"/>
        <v>1</v>
      </c>
      <c r="J1124" s="241"/>
      <c r="K1124" s="241"/>
      <c r="L1124" s="238"/>
    </row>
    <row r="1125" spans="2:12" outlineLevel="1">
      <c r="B1125" s="237" t="s">
        <v>655</v>
      </c>
      <c r="C1125" s="237" t="s">
        <v>655</v>
      </c>
      <c r="D1125" s="238" t="str">
        <f>_xlfn.XLOOKUP(B1125,'Relacion '!$E:$E,'Relacion '!$D:$D,"")</f>
        <v/>
      </c>
      <c r="E1125" s="239">
        <f t="shared" si="258"/>
        <v>14</v>
      </c>
      <c r="F1125" s="240" cm="1">
        <f t="array" ref="F1125">MIN(INDEX('Relacion '!$AJ$5:$AK$493,MATCH(INDEX($B:$B, (ROW()-7)),'Relacion '!$E$5:$E$493,0),0))</f>
        <v>46122</v>
      </c>
      <c r="G1125" s="240" cm="1">
        <f t="array" ref="G1125">MAX(INDEX('Relacion '!$AJ$5:$AK$493,MATCH(INDEX($B:$B, (ROW()-7)),'Relacion '!$E$5:$E$493,0),0))</f>
        <v>46136</v>
      </c>
      <c r="H1125" s="241" cm="1">
        <f t="array" ref="H1125">IF(
 MATCH(B1125,{"01. ASIGNACION AREA";"02. MAPEO";"03. DESARROLLO";"04. VALIDA US";"05. VOBO US";"06. BW-EJECUCION";"07. VALIDACIÓN BAJAWARE";"08. CERRADA"},0)
 &lt;
 MATCH(_xlfn.XLOOKUP(INDEX($B:$B, (ROW()-7)),'Relacion '!$E:$E,'Relacion '!$D:$D,""),{"01. ASIGNACION AREA";"02. MAPEO";"03. DESARROLLO";"04. VALIDA US";"05. VOBO US";"06. BW-EJECUCION";"07. VALIDACIÓN BAJAWARE";"08. CERRADA"},0),
 1,
 IF(
  MATCH(B1125,{"01. ASIGNACION AREA";"02. MAPEO";"03. DESARROLLO";"04. VALIDA US";"05. VOBO US";"06. BW-EJECUCION";"07. VALIDACIÓN BAJAWARE";"08. CERRADA"},0)
  =
  MATCH(_xlfn.XLOOKUP(INDEX($B:$B, (ROW()-7)),'Relacion '!$E:$E,'Relacion '!$D:$D,""),{"01. ASIGNACION AREA";"02. MAPEO";"03. DESARROLLO";"04. VALIDA US";"05. VOBO US";"06. BW-EJECUCION";"07. VALIDACIÓN BAJAWARE";"08. CERRADA"},0),
  _xlfn.XLOOKUP(INDEX($B:$B, (ROW()-7)),'Relacion '!$E:$E,'Relacion '!#REF!,0),
  0
 )
)</f>
        <v>0</v>
      </c>
      <c r="I1125" s="241">
        <f t="shared" ca="1" si="257"/>
        <v>1</v>
      </c>
      <c r="J1125" s="241"/>
      <c r="K1125" s="241"/>
      <c r="L1125" s="238"/>
    </row>
    <row r="1126" spans="2:12" outlineLevel="1">
      <c r="B1126" s="237" t="s">
        <v>656</v>
      </c>
      <c r="C1126" s="237" t="s">
        <v>656</v>
      </c>
      <c r="D1126" s="238" t="str">
        <f>_xlfn.XLOOKUP(B1126,'Relacion '!$E:$E,'Relacion '!$D:$D,"")</f>
        <v/>
      </c>
      <c r="E1126" s="239">
        <f t="shared" si="258"/>
        <v>0</v>
      </c>
      <c r="F1126" s="240" cm="1">
        <f t="array" ref="F1126">MIN(INDEX('Relacion '!$AL$5:$AM$493,MATCH(INDEX($B:$B, (ROW()-8)),'Relacion '!$E$5:$E$493,0),0))</f>
        <v>46137</v>
      </c>
      <c r="G1126" s="240" cm="1">
        <f t="array" ref="G1126">MAX(INDEX('Relacion '!$AL$5:$AM$493,MATCH(INDEX($B:$B, (ROW()-8)),'Relacion '!$E$5:$E$493,0),0))</f>
        <v>46137</v>
      </c>
      <c r="H1126" s="241" cm="1">
        <f t="array" ref="H1126">IF(
 MATCH(B1126,{"01. ASIGNACION AREA";"02. MAPEO";"03. DESARROLLO";"04. VALIDA US";"05. VOBO US";"06. BW-EJECUCION";"07. VALIDACIÓN BAJAWARE";"08. CERRADA"},0)
 &lt;
 MATCH(_xlfn.XLOOKUP(INDEX($B:$B, (ROW()-8)),'Relacion '!$E:$E,'Relacion '!$D:$D,""),{"01. ASIGNACION AREA";"02. MAPEO";"03. DESARROLLO";"04. VALIDA US";"05. VOBO US";"06. BW-EJECUCION";"07. VALIDACIÓN BAJAWARE";"08. CERRADA"},0),
 1,
 IF(
  MATCH(B1126,{"01. ASIGNACION AREA";"02. MAPEO";"03. DESARROLLO";"04. VALIDA US";"05. VOBO US";"06. BW-EJECUCION";"07. VALIDACIÓN BAJAWARE";"08. CERRADA"},0)
  =
  MATCH(_xlfn.XLOOKUP(INDEX($B:$B, (ROW()-8)),'Relacion '!$E:$E,'Relacion '!$D:$D,""),{"01. ASIGNACION AREA";"02. MAPEO";"03. DESARROLLO";"04. VALIDA US";"05. VOBO US";"06. BW-EJECUCION";"07. VALIDACIÓN BAJAWARE";"08. CERRADA"},0),
  _xlfn.XLOOKUP(INDEX($B:$B, (ROW()-8)),'Relacion '!$E:$E,'Relacion '!#REF!,0),
  0
 )
)</f>
        <v>0</v>
      </c>
      <c r="I1126" s="241">
        <f t="shared" ca="1" si="257"/>
        <v>1</v>
      </c>
      <c r="J1126" s="241"/>
      <c r="K1126" s="241"/>
      <c r="L1126" s="238"/>
    </row>
    <row r="1127" spans="2:12">
      <c r="B1127" s="232" t="s">
        <v>541</v>
      </c>
      <c r="C1127" s="174" t="s">
        <v>417</v>
      </c>
      <c r="D1127" s="236" t="str">
        <f>_xlfn.XLOOKUP(B1127,'Relacion '!$E:$E,'Relacion '!$D:$D,"")</f>
        <v>08. CERRADA</v>
      </c>
      <c r="E1127" s="233">
        <f t="shared" si="258"/>
        <v>449</v>
      </c>
      <c r="F1127" s="234" cm="1">
        <f t="array" ref="F1127">MIN(INDEX('Relacion '!$X$5:$AM$493,MATCH(INDEX($B:$B, (ROW()-0)),'Relacion '!$E$5:$E$493,0),0))</f>
        <v>45659</v>
      </c>
      <c r="G1127" s="234" cm="1">
        <f t="array" ref="G1127">MAX(INDEX('Relacion '!$X$5:$AM$493,MATCH(INDEX($B:$B, (ROW()-0)),'Relacion '!$E$5:$E$493,0),0))</f>
        <v>46108</v>
      </c>
      <c r="H1127" s="235" t="e">
        <f>AVERAGE(H1128:H1135)</f>
        <v>#REF!</v>
      </c>
      <c r="I1127" s="235">
        <f t="shared" ref="I1127" ca="1" si="267">AVERAGE(I1128:I1135)</f>
        <v>1</v>
      </c>
      <c r="J1127" s="236" t="str">
        <f>IF(ISNUMBER(SEARCH("Rocha", _xlfn.XLOOKUP(B1127,'Relacion '!$E:$E,'Relacion '!$I:$I,""))), "Sí", "No")</f>
        <v>No</v>
      </c>
      <c r="K1127" s="236" t="str">
        <f>IF(ISNUMBER(SEARCH("Rocha", _xlfn.XLOOKUP(B1127,'Relacion '!$E:$E,'Relacion '!$I:$I,""))), "RMC", _xlfn.XLOOKUP(B1127,'Relacion '!$E:$E,'Relacion '!$B:$B,""))</f>
        <v>Producto</v>
      </c>
      <c r="L1127" s="236" t="str">
        <f>_xlfn.XLOOKUP(B1127,'Relacion '!$E:$E,'Relacion '!$C:$C,"")</f>
        <v>Claudia Barroso</v>
      </c>
    </row>
    <row r="1128" spans="2:12" outlineLevel="1">
      <c r="B1128" s="237" t="s">
        <v>654</v>
      </c>
      <c r="C1128" s="237" t="s">
        <v>654</v>
      </c>
      <c r="D1128" s="238" t="str">
        <f>_xlfn.XLOOKUP(B1128,'Relacion '!$E:$E,'Relacion '!$D:$D,"")</f>
        <v/>
      </c>
      <c r="E1128" s="239">
        <f t="shared" si="258"/>
        <v>424</v>
      </c>
      <c r="F1128" s="240" cm="1">
        <f t="array" ref="F1128">MIN(INDEX('Relacion '!$X$5:$Y$493,MATCH(INDEX($B:$B, (ROW()-1)),'Relacion '!$E$5:$E$493,0),0))</f>
        <v>45659</v>
      </c>
      <c r="G1128" s="240" cm="1">
        <f t="array" ref="G1128">MAX(INDEX('Relacion '!$X$5:$Y$493,MATCH(INDEX($B:$B, (ROW()-1)),'Relacion '!$E$5:$E$493,0),0))</f>
        <v>46083</v>
      </c>
      <c r="H1128" s="241" cm="1">
        <f t="array" ref="H1128">IF(
 MATCH(B1128,{"01. ASIGNACION AREA";"02. MAPEO";"03. DESARROLLO";"04. VALIDA US";"05. VOBO US";"06. BW-EJECUCION";"07. VALIDACIÓN BAJAWARE";"08. CERRADA"},0)
 &lt;
 MATCH(_xlfn.XLOOKUP(INDEX($B:$B, (ROW()-1)),'Relacion '!$E:$E,'Relacion '!$D:$D,""),{"01. ASIGNACION AREA";"02. MAPEO";"03. DESARROLLO";"04. VALIDA US";"05. VOBO US";"06. BW-EJECUCION";"07. VALIDACIÓN BAJAWARE";"08. CERRADA"},0),
 1,
 IF(
  MATCH(B1128,{"01. ASIGNACION AREA";"02. MAPEO";"03. DESARROLLO";"04. VALIDA US";"05. VOBO US";"06. BW-EJECUCION";"07. VALIDACIÓN BAJAWARE";"08. CERRADA"},0)
  =
  MATCH(_xlfn.XLOOKUP(INDEX($B:$B, (ROW()-1)),'Relacion '!$E:$E,'Relacion '!$D:$D,""),{"01. ASIGNACION AREA";"02. MAPEO";"03. DESARROLLO";"04. VALIDA US";"05. VOBO US";"06. BW-EJECUCION";"07. VALIDACIÓN BAJAWARE";"08. CERRADA"},0),
  _xlfn.XLOOKUP(INDEX($B:$B, (ROW()-1)),'Relacion '!$E:$E,'Relacion '!#REF!,0),
  0
 )
)</f>
        <v>1</v>
      </c>
      <c r="I1128" s="241">
        <f t="shared" ref="I1128" ca="1" si="268">IF(G1128&lt;=TODAY(), 1, 0)</f>
        <v>1</v>
      </c>
      <c r="J1128" s="241"/>
      <c r="K1128" s="241"/>
      <c r="L1128" s="238"/>
    </row>
    <row r="1129" spans="2:12" outlineLevel="1">
      <c r="B1129" s="237" t="s">
        <v>195</v>
      </c>
      <c r="C1129" s="237" t="s">
        <v>195</v>
      </c>
      <c r="D1129" s="238" t="str">
        <f>_xlfn.XLOOKUP(B1129,'Relacion '!$E:$E,'Relacion '!$D:$D,"")</f>
        <v/>
      </c>
      <c r="E1129" s="239">
        <f t="shared" si="258"/>
        <v>0</v>
      </c>
      <c r="F1129" s="240" cm="1">
        <f t="array" ref="F1129">MIN(INDEX('Relacion '!$Z$5:$AA$493,MATCH(INDEX($B:$B, (ROW()-2)),'Relacion '!$E$5:$E$493,0),0))</f>
        <v>46108</v>
      </c>
      <c r="G1129" s="240" cm="1">
        <f t="array" ref="G1129">MAX(INDEX('Relacion '!$Z$5:$AA$493,MATCH(INDEX($B:$B, (ROW()-2)),'Relacion '!$E$5:$E$493,0),0))</f>
        <v>46108</v>
      </c>
      <c r="H1129" s="241" cm="1">
        <f t="array" ref="H1129">IF(
 MATCH(B1129,{"01. ASIGNACION AREA";"02. MAPEO";"03. DESARROLLO";"04. VALIDA US";"05. VOBO US";"06. BW-EJECUCION";"07. VALIDACIÓN BAJAWARE";"08. CERRADA"},0)
 &lt;
 MATCH(_xlfn.XLOOKUP(INDEX($B:$B, (ROW()-2)),'Relacion '!$E:$E,'Relacion '!$D:$D,""),{"01. ASIGNACION AREA";"02. MAPEO";"03. DESARROLLO";"04. VALIDA US";"05. VOBO US";"06. BW-EJECUCION";"07. VALIDACIÓN BAJAWARE";"08. CERRADA"},0),
 1,
 IF(
  MATCH(B1129,{"01. ASIGNACION AREA";"02. MAPEO";"03. DESARROLLO";"04. VALIDA US";"05. VOBO US";"06. BW-EJECUCION";"07. VALIDACIÓN BAJAWARE";"08. CERRADA"},0)
  =
  MATCH(_xlfn.XLOOKUP(INDEX($B:$B, (ROW()-2)),'Relacion '!$E:$E,'Relacion '!$D:$D,""),{"01. ASIGNACION AREA";"02. MAPEO";"03. DESARROLLO";"04. VALIDA US";"05. VOBO US";"06. BW-EJECUCION";"07. VALIDACIÓN BAJAWARE";"08. CERRADA"},0),
  _xlfn.XLOOKUP(INDEX($B:$B, (ROW()-2)),'Relacion '!$E:$E,'Relacion '!#REF!,0),
  0
 )
)</f>
        <v>1</v>
      </c>
      <c r="I1129" s="241">
        <f t="shared" ca="1" si="257"/>
        <v>1</v>
      </c>
      <c r="J1129" s="241"/>
      <c r="K1129" s="241"/>
      <c r="L1129" s="238"/>
    </row>
    <row r="1130" spans="2:12" outlineLevel="1">
      <c r="B1130" s="237" t="s">
        <v>49</v>
      </c>
      <c r="C1130" s="237" t="s">
        <v>49</v>
      </c>
      <c r="D1130" s="238" t="str">
        <f>_xlfn.XLOOKUP(B1130,'Relacion '!$E:$E,'Relacion '!$D:$D,"")</f>
        <v/>
      </c>
      <c r="E1130" s="239">
        <f t="shared" si="258"/>
        <v>0</v>
      </c>
      <c r="F1130" s="240" cm="1">
        <f t="array" ref="F1130">MIN(INDEX('Relacion '!$AB$5:$AC$493,MATCH(INDEX($B:$B, (ROW()-3)),'Relacion '!$E$5:$E$493,0),0))</f>
        <v>46108</v>
      </c>
      <c r="G1130" s="240" cm="1">
        <f t="array" ref="G1130">MAX(INDEX('Relacion '!$AB$5:$AC$493,MATCH(INDEX($B:$B, (ROW()-3)),'Relacion '!$E$5:$E$493,0),0))</f>
        <v>46108</v>
      </c>
      <c r="H1130" s="241" cm="1">
        <f t="array" ref="H1130">IF(
 MATCH(B1130,{"01. ASIGNACION AREA";"02. MAPEO";"03. DESARROLLO";"04. VALIDA US";"05. VOBO US";"06. BW-EJECUCION";"07. VALIDACIÓN BAJAWARE";"08. CERRADA"},0)
 &lt;
 MATCH(_xlfn.XLOOKUP(INDEX($B:$B, (ROW()-3)),'Relacion '!$E:$E,'Relacion '!$D:$D,""),{"01. ASIGNACION AREA";"02. MAPEO";"03. DESARROLLO";"04. VALIDA US";"05. VOBO US";"06. BW-EJECUCION";"07. VALIDACIÓN BAJAWARE";"08. CERRADA"},0),
 1,
 IF(
  MATCH(B1130,{"01. ASIGNACION AREA";"02. MAPEO";"03. DESARROLLO";"04. VALIDA US";"05. VOBO US";"06. BW-EJECUCION";"07. VALIDACIÓN BAJAWARE";"08. CERRADA"},0)
  =
  MATCH(_xlfn.XLOOKUP(INDEX($B:$B, (ROW()-3)),'Relacion '!$E:$E,'Relacion '!$D:$D,""),{"01. ASIGNACION AREA";"02. MAPEO";"03. DESARROLLO";"04. VALIDA US";"05. VOBO US";"06. BW-EJECUCION";"07. VALIDACIÓN BAJAWARE";"08. CERRADA"},0),
  _xlfn.XLOOKUP(INDEX($B:$B, (ROW()-3)),'Relacion '!$E:$E,'Relacion '!#REF!,0),
  0
 )
)</f>
        <v>1</v>
      </c>
      <c r="I1130" s="241">
        <f t="shared" ca="1" si="257"/>
        <v>1</v>
      </c>
      <c r="J1130" s="241"/>
      <c r="K1130" s="241"/>
      <c r="L1130" s="238"/>
    </row>
    <row r="1131" spans="2:12" outlineLevel="1">
      <c r="B1131" s="237" t="s">
        <v>324</v>
      </c>
      <c r="C1131" s="237" t="s">
        <v>324</v>
      </c>
      <c r="D1131" s="238" t="str">
        <f>_xlfn.XLOOKUP(B1131,'Relacion '!$E:$E,'Relacion '!$D:$D,"")</f>
        <v/>
      </c>
      <c r="E1131" s="239">
        <f t="shared" si="258"/>
        <v>0</v>
      </c>
      <c r="F1131" s="240" cm="1">
        <f t="array" ref="F1131">MIN(INDEX('Relacion '!$AD$5:$AE$493,MATCH(INDEX($B:$B, (ROW()-4)),'Relacion '!$E$5:$E$493,0),0))</f>
        <v>46108</v>
      </c>
      <c r="G1131" s="240" cm="1">
        <f t="array" ref="G1131">MAX(INDEX('Relacion '!$AD$5:$AE$493,MATCH(INDEX($B:$B, (ROW()-4)),'Relacion '!$E$5:$E$493,0),0))</f>
        <v>46108</v>
      </c>
      <c r="H1131" s="241" cm="1">
        <f t="array" ref="H1131">IF(
 MATCH(B1131,{"01. ASIGNACION AREA";"02. MAPEO";"03. DESARROLLO";"04. VALIDA US";"05. VOBO US";"06. BW-EJECUCION";"07. VALIDACIÓN BAJAWARE";"08. CERRADA"},0)
 &lt;
 MATCH(_xlfn.XLOOKUP(INDEX($B:$B, (ROW()-4)),'Relacion '!$E:$E,'Relacion '!$D:$D,""),{"01. ASIGNACION AREA";"02. MAPEO";"03. DESARROLLO";"04. VALIDA US";"05. VOBO US";"06. BW-EJECUCION";"07. VALIDACIÓN BAJAWARE";"08. CERRADA"},0),
 1,
 IF(
  MATCH(B1131,{"01. ASIGNACION AREA";"02. MAPEO";"03. DESARROLLO";"04. VALIDA US";"05. VOBO US";"06. BW-EJECUCION";"07. VALIDACIÓN BAJAWARE";"08. CERRADA"},0)
  =
  MATCH(_xlfn.XLOOKUP(INDEX($B:$B, (ROW()-4)),'Relacion '!$E:$E,'Relacion '!$D:$D,""),{"01. ASIGNACION AREA";"02. MAPEO";"03. DESARROLLO";"04. VALIDA US";"05. VOBO US";"06. BW-EJECUCION";"07. VALIDACIÓN BAJAWARE";"08. CERRADA"},0),
  _xlfn.XLOOKUP(INDEX($B:$B, (ROW()-4)),'Relacion '!$E:$E,'Relacion '!#REF!,0),
  0
 )
)</f>
        <v>1</v>
      </c>
      <c r="I1131" s="241">
        <f t="shared" ca="1" si="257"/>
        <v>1</v>
      </c>
      <c r="J1131" s="241"/>
      <c r="K1131" s="241"/>
      <c r="L1131" s="238"/>
    </row>
    <row r="1132" spans="2:12" outlineLevel="1">
      <c r="B1132" s="237" t="s">
        <v>320</v>
      </c>
      <c r="C1132" s="237" t="s">
        <v>320</v>
      </c>
      <c r="D1132" s="238" t="str">
        <f>_xlfn.XLOOKUP(B1132,'Relacion '!$E:$E,'Relacion '!$D:$D,"")</f>
        <v/>
      </c>
      <c r="E1132" s="239">
        <f t="shared" si="258"/>
        <v>0</v>
      </c>
      <c r="F1132" s="240" cm="1">
        <f t="array" ref="F1132">MIN(INDEX('Relacion '!$AF$5:$AG$493,MATCH(INDEX($B:$B, (ROW()-5)),'Relacion '!$E$5:$E$493,0),0))</f>
        <v>46108</v>
      </c>
      <c r="G1132" s="240" cm="1">
        <f t="array" ref="G1132">MAX(INDEX('Relacion '!$AF$5:$AG$493,MATCH(INDEX($B:$B, (ROW()-5)),'Relacion '!$E$5:$E$493,0),0))</f>
        <v>46108</v>
      </c>
      <c r="H1132" s="241" cm="1">
        <f t="array" ref="H1132">IF(
 MATCH(B1132,{"01. ASIGNACION AREA";"02. MAPEO";"03. DESARROLLO";"04. VALIDA US";"05. VOBO US";"06. BW-EJECUCION";"07. VALIDACIÓN BAJAWARE";"08. CERRADA"},0)
 &lt;
 MATCH(_xlfn.XLOOKUP(INDEX($B:$B, (ROW()-5)),'Relacion '!$E:$E,'Relacion '!$D:$D,""),{"01. ASIGNACION AREA";"02. MAPEO";"03. DESARROLLO";"04. VALIDA US";"05. VOBO US";"06. BW-EJECUCION";"07. VALIDACIÓN BAJAWARE";"08. CERRADA"},0),
 1,
 IF(
  MATCH(B1132,{"01. ASIGNACION AREA";"02. MAPEO";"03. DESARROLLO";"04. VALIDA US";"05. VOBO US";"06. BW-EJECUCION";"07. VALIDACIÓN BAJAWARE";"08. CERRADA"},0)
  =
  MATCH(_xlfn.XLOOKUP(INDEX($B:$B, (ROW()-5)),'Relacion '!$E:$E,'Relacion '!$D:$D,""),{"01. ASIGNACION AREA";"02. MAPEO";"03. DESARROLLO";"04. VALIDA US";"05. VOBO US";"06. BW-EJECUCION";"07. VALIDACIÓN BAJAWARE";"08. CERRADA"},0),
  _xlfn.XLOOKUP(INDEX($B:$B, (ROW()-5)),'Relacion '!$E:$E,'Relacion '!#REF!,0),
  0
 )
)</f>
        <v>1</v>
      </c>
      <c r="I1132" s="241">
        <f t="shared" ca="1" si="257"/>
        <v>1</v>
      </c>
      <c r="J1132" s="241"/>
      <c r="K1132" s="241"/>
      <c r="L1132" s="238"/>
    </row>
    <row r="1133" spans="2:12" outlineLevel="1">
      <c r="B1133" s="237" t="s">
        <v>710</v>
      </c>
      <c r="C1133" s="237" t="s">
        <v>710</v>
      </c>
      <c r="D1133" s="238" t="str">
        <f>_xlfn.XLOOKUP(B1133,'Relacion '!$E:$E,'Relacion '!$D:$D,"")</f>
        <v/>
      </c>
      <c r="E1133" s="239">
        <f t="shared" si="258"/>
        <v>0</v>
      </c>
      <c r="F1133" s="240" cm="1">
        <f t="array" ref="F1133">MIN(INDEX('Relacion '!$AH$5:$AI$493,MATCH(INDEX($B:$B, (ROW()-6)),'Relacion '!$E$5:$E$493,0),0))</f>
        <v>46108</v>
      </c>
      <c r="G1133" s="240" cm="1">
        <f t="array" ref="G1133">MAX(INDEX('Relacion '!$AH$5:$AI$493,MATCH(INDEX($B:$B, (ROW()-6)),'Relacion '!$E$5:$E$493,0),0))</f>
        <v>46108</v>
      </c>
      <c r="H1133" s="241" cm="1">
        <f t="array" ref="H1133">IF(
 MATCH(B1133,{"01. ASIGNACION AREA";"02. MAPEO";"03. DESARROLLO";"04. VALIDA US";"05. VOBO US";"06. BW-EJECUCION";"07. VALIDACIÓN BAJAWARE";"08. CERRADA"},0)
 &lt;
 MATCH(_xlfn.XLOOKUP(INDEX($B:$B, (ROW()-6)),'Relacion '!$E:$E,'Relacion '!$D:$D,""),{"01. ASIGNACION AREA";"02. MAPEO";"03. DESARROLLO";"04. VALIDA US";"05. VOBO US";"06. BW-EJECUCION";"07. VALIDACIÓN BAJAWARE";"08. CERRADA"},0),
 1,
 IF(
  MATCH(B1133,{"01. ASIGNACION AREA";"02. MAPEO";"03. DESARROLLO";"04. VALIDA US";"05. VOBO US";"06. BW-EJECUCION";"07. VALIDACIÓN BAJAWARE";"08. CERRADA"},0)
  =
  MATCH(_xlfn.XLOOKUP(INDEX($B:$B, (ROW()-6)),'Relacion '!$E:$E,'Relacion '!$D:$D,""),{"01. ASIGNACION AREA";"02. MAPEO";"03. DESARROLLO";"04. VALIDA US";"05. VOBO US";"06. BW-EJECUCION";"07. VALIDACIÓN BAJAWARE";"08. CERRADA"},0),
  _xlfn.XLOOKUP(INDEX($B:$B, (ROW()-6)),'Relacion '!$E:$E,'Relacion '!#REF!,0),
  0
 )
)</f>
        <v>1</v>
      </c>
      <c r="I1133" s="241">
        <f t="shared" ca="1" si="257"/>
        <v>1</v>
      </c>
      <c r="J1133" s="241"/>
      <c r="K1133" s="241"/>
      <c r="L1133" s="238"/>
    </row>
    <row r="1134" spans="2:12" outlineLevel="1">
      <c r="B1134" s="237" t="s">
        <v>655</v>
      </c>
      <c r="C1134" s="237" t="s">
        <v>655</v>
      </c>
      <c r="D1134" s="238" t="str">
        <f>_xlfn.XLOOKUP(B1134,'Relacion '!$E:$E,'Relacion '!$D:$D,"")</f>
        <v/>
      </c>
      <c r="E1134" s="239">
        <f t="shared" si="258"/>
        <v>0</v>
      </c>
      <c r="F1134" s="240" cm="1">
        <f t="array" ref="F1134">MIN(INDEX('Relacion '!$AJ$5:$AK$493,MATCH(INDEX($B:$B, (ROW()-7)),'Relacion '!$E$5:$E$493,0),0))</f>
        <v>46108</v>
      </c>
      <c r="G1134" s="240" cm="1">
        <f t="array" ref="G1134">MAX(INDEX('Relacion '!$AJ$5:$AK$493,MATCH(INDEX($B:$B, (ROW()-7)),'Relacion '!$E$5:$E$493,0),0))</f>
        <v>46108</v>
      </c>
      <c r="H1134" s="241" cm="1">
        <f t="array" ref="H1134">IF(
 MATCH(B1134,{"01. ASIGNACION AREA";"02. MAPEO";"03. DESARROLLO";"04. VALIDA US";"05. VOBO US";"06. BW-EJECUCION";"07. VALIDACIÓN BAJAWARE";"08. CERRADA"},0)
 &lt;
 MATCH(_xlfn.XLOOKUP(INDEX($B:$B, (ROW()-7)),'Relacion '!$E:$E,'Relacion '!$D:$D,""),{"01. ASIGNACION AREA";"02. MAPEO";"03. DESARROLLO";"04. VALIDA US";"05. VOBO US";"06. BW-EJECUCION";"07. VALIDACIÓN BAJAWARE";"08. CERRADA"},0),
 1,
 IF(
  MATCH(B1134,{"01. ASIGNACION AREA";"02. MAPEO";"03. DESARROLLO";"04. VALIDA US";"05. VOBO US";"06. BW-EJECUCION";"07. VALIDACIÓN BAJAWARE";"08. CERRADA"},0)
  =
  MATCH(_xlfn.XLOOKUP(INDEX($B:$B, (ROW()-7)),'Relacion '!$E:$E,'Relacion '!$D:$D,""),{"01. ASIGNACION AREA";"02. MAPEO";"03. DESARROLLO";"04. VALIDA US";"05. VOBO US";"06. BW-EJECUCION";"07. VALIDACIÓN BAJAWARE";"08. CERRADA"},0),
  _xlfn.XLOOKUP(INDEX($B:$B, (ROW()-7)),'Relacion '!$E:$E,'Relacion '!#REF!,0),
  0
 )
)</f>
        <v>1</v>
      </c>
      <c r="I1134" s="241">
        <f t="shared" ca="1" si="257"/>
        <v>1</v>
      </c>
      <c r="J1134" s="241"/>
      <c r="K1134" s="241"/>
      <c r="L1134" s="238"/>
    </row>
    <row r="1135" spans="2:12" outlineLevel="1">
      <c r="B1135" s="237" t="s">
        <v>656</v>
      </c>
      <c r="C1135" s="237" t="s">
        <v>656</v>
      </c>
      <c r="D1135" s="238" t="str">
        <f>_xlfn.XLOOKUP(B1135,'Relacion '!$E:$E,'Relacion '!$D:$D,"")</f>
        <v/>
      </c>
      <c r="E1135" s="239">
        <f t="shared" si="258"/>
        <v>0</v>
      </c>
      <c r="F1135" s="240" cm="1">
        <f t="array" ref="F1135">MIN(INDEX('Relacion '!$AL$5:$AM$493,MATCH(INDEX($B:$B, (ROW()-8)),'Relacion '!$E$5:$E$493,0),0))</f>
        <v>46108</v>
      </c>
      <c r="G1135" s="240" cm="1">
        <f t="array" ref="G1135">MAX(INDEX('Relacion '!$AL$5:$AM$493,MATCH(INDEX($B:$B, (ROW()-8)),'Relacion '!$E$5:$E$493,0),0))</f>
        <v>46108</v>
      </c>
      <c r="H1135" s="241" t="e" cm="1">
        <f t="array" ref="H1135">IF(
 MATCH(B1135,{"01. ASIGNACION AREA";"02. MAPEO";"03. DESARROLLO";"04. VALIDA US";"05. VOBO US";"06. BW-EJECUCION";"07. VALIDACIÓN BAJAWARE";"08. CERRADA"},0)
 &lt;
 MATCH(_xlfn.XLOOKUP(INDEX($B:$B, (ROW()-8)),'Relacion '!$E:$E,'Relacion '!$D:$D,""),{"01. ASIGNACION AREA";"02. MAPEO";"03. DESARROLLO";"04. VALIDA US";"05. VOBO US";"06. BW-EJECUCION";"07. VALIDACIÓN BAJAWARE";"08. CERRADA"},0),
 1,
 IF(
  MATCH(B1135,{"01. ASIGNACION AREA";"02. MAPEO";"03. DESARROLLO";"04. VALIDA US";"05. VOBO US";"06. BW-EJECUCION";"07. VALIDACIÓN BAJAWARE";"08. CERRADA"},0)
  =
  MATCH(_xlfn.XLOOKUP(INDEX($B:$B, (ROW()-8)),'Relacion '!$E:$E,'Relacion '!$D:$D,""),{"01. ASIGNACION AREA";"02. MAPEO";"03. DESARROLLO";"04. VALIDA US";"05. VOBO US";"06. BW-EJECUCION";"07. VALIDACIÓN BAJAWARE";"08. CERRADA"},0),
  _xlfn.XLOOKUP(INDEX($B:$B, (ROW()-8)),'Relacion '!$E:$E,'Relacion '!#REF!,0),
  0
 )
)</f>
        <v>#REF!</v>
      </c>
      <c r="I1135" s="241">
        <f t="shared" ca="1" si="257"/>
        <v>1</v>
      </c>
      <c r="J1135" s="241"/>
      <c r="K1135" s="241"/>
      <c r="L1135" s="238"/>
    </row>
    <row r="1136" spans="2:12">
      <c r="B1136" s="232" t="s">
        <v>542</v>
      </c>
      <c r="C1136" s="174" t="s">
        <v>543</v>
      </c>
      <c r="D1136" s="236" t="str">
        <f>_xlfn.XLOOKUP(B1136,'Relacion '!$E:$E,'Relacion '!$D:$D,"")</f>
        <v>08. CERRADA</v>
      </c>
      <c r="E1136" s="233">
        <f t="shared" si="258"/>
        <v>450</v>
      </c>
      <c r="F1136" s="234" cm="1">
        <f t="array" ref="F1136">MIN(INDEX('Relacion '!$X$5:$AM$493,MATCH(INDEX($B:$B, (ROW()-0)),'Relacion '!$E$5:$E$493,0),0))</f>
        <v>45659</v>
      </c>
      <c r="G1136" s="234" cm="1">
        <f t="array" ref="G1136">MAX(INDEX('Relacion '!$X$5:$AM$493,MATCH(INDEX($B:$B, (ROW()-0)),'Relacion '!$E$5:$E$493,0),0))</f>
        <v>46109</v>
      </c>
      <c r="H1136" s="235" t="e">
        <f>AVERAGE(H1137:H1144)</f>
        <v>#REF!</v>
      </c>
      <c r="I1136" s="235">
        <f t="shared" ref="I1136" ca="1" si="269">AVERAGE(I1137:I1144)</f>
        <v>1</v>
      </c>
      <c r="J1136" s="236" t="str">
        <f>IF(ISNUMBER(SEARCH("Rocha", _xlfn.XLOOKUP(B1136,'Relacion '!$E:$E,'Relacion '!$I:$I,""))), "Sí", "No")</f>
        <v>No</v>
      </c>
      <c r="K1136" s="236" t="str">
        <f>IF(ISNUMBER(SEARCH("Rocha", _xlfn.XLOOKUP(B1136,'Relacion '!$E:$E,'Relacion '!$I:$I,""))), "RMC", _xlfn.XLOOKUP(B1136,'Relacion '!$E:$E,'Relacion '!$B:$B,""))</f>
        <v>Operaciones Captacion</v>
      </c>
      <c r="L1136" s="236" t="str">
        <f>_xlfn.XLOOKUP(B1136,'Relacion '!$E:$E,'Relacion '!$C:$C,"")</f>
        <v>Luis Alberto</v>
      </c>
    </row>
    <row r="1137" spans="2:12" outlineLevel="1">
      <c r="B1137" s="237" t="s">
        <v>654</v>
      </c>
      <c r="C1137" s="237" t="s">
        <v>654</v>
      </c>
      <c r="D1137" s="238" t="str">
        <f>_xlfn.XLOOKUP(B1137,'Relacion '!$E:$E,'Relacion '!$D:$D,"")</f>
        <v/>
      </c>
      <c r="E1137" s="239">
        <f t="shared" si="258"/>
        <v>424</v>
      </c>
      <c r="F1137" s="240" cm="1">
        <f t="array" ref="F1137">MIN(INDEX('Relacion '!$X$5:$Y$493,MATCH(INDEX($B:$B, (ROW()-1)),'Relacion '!$E$5:$E$493,0),0))</f>
        <v>45659</v>
      </c>
      <c r="G1137" s="240" cm="1">
        <f t="array" ref="G1137">MAX(INDEX('Relacion '!$X$5:$Y$493,MATCH(INDEX($B:$B, (ROW()-1)),'Relacion '!$E$5:$E$493,0),0))</f>
        <v>46083</v>
      </c>
      <c r="H1137" s="241" cm="1">
        <f t="array" ref="H1137">IF(
 MATCH(B1137,{"01. ASIGNACION AREA";"02. MAPEO";"03. DESARROLLO";"04. VALIDA US";"05. VOBO US";"06. BW-EJECUCION";"07. VALIDACIÓN BAJAWARE";"08. CERRADA"},0)
 &lt;
 MATCH(_xlfn.XLOOKUP(INDEX($B:$B, (ROW()-1)),'Relacion '!$E:$E,'Relacion '!$D:$D,""),{"01. ASIGNACION AREA";"02. MAPEO";"03. DESARROLLO";"04. VALIDA US";"05. VOBO US";"06. BW-EJECUCION";"07. VALIDACIÓN BAJAWARE";"08. CERRADA"},0),
 1,
 IF(
  MATCH(B1137,{"01. ASIGNACION AREA";"02. MAPEO";"03. DESARROLLO";"04. VALIDA US";"05. VOBO US";"06. BW-EJECUCION";"07. VALIDACIÓN BAJAWARE";"08. CERRADA"},0)
  =
  MATCH(_xlfn.XLOOKUP(INDEX($B:$B, (ROW()-1)),'Relacion '!$E:$E,'Relacion '!$D:$D,""),{"01. ASIGNACION AREA";"02. MAPEO";"03. DESARROLLO";"04. VALIDA US";"05. VOBO US";"06. BW-EJECUCION";"07. VALIDACIÓN BAJAWARE";"08. CERRADA"},0),
  _xlfn.XLOOKUP(INDEX($B:$B, (ROW()-1)),'Relacion '!$E:$E,'Relacion '!#REF!,0),
  0
 )
)</f>
        <v>1</v>
      </c>
      <c r="I1137" s="241">
        <f t="shared" ref="I1137" ca="1" si="270">IF(G1137&lt;=TODAY(), 1, 0)</f>
        <v>1</v>
      </c>
      <c r="J1137" s="241"/>
      <c r="K1137" s="241"/>
      <c r="L1137" s="238"/>
    </row>
    <row r="1138" spans="2:12" outlineLevel="1">
      <c r="B1138" s="237" t="s">
        <v>195</v>
      </c>
      <c r="C1138" s="237" t="s">
        <v>195</v>
      </c>
      <c r="D1138" s="238" t="str">
        <f>_xlfn.XLOOKUP(B1138,'Relacion '!$E:$E,'Relacion '!$D:$D,"")</f>
        <v/>
      </c>
      <c r="E1138" s="239">
        <f t="shared" si="258"/>
        <v>0</v>
      </c>
      <c r="F1138" s="240" cm="1">
        <f t="array" ref="F1138">MIN(INDEX('Relacion '!$Z$5:$AA$493,MATCH(INDEX($B:$B, (ROW()-2)),'Relacion '!$E$5:$E$493,0),0))</f>
        <v>46108</v>
      </c>
      <c r="G1138" s="240" cm="1">
        <f t="array" ref="G1138">MAX(INDEX('Relacion '!$Z$5:$AA$493,MATCH(INDEX($B:$B, (ROW()-2)),'Relacion '!$E$5:$E$493,0),0))</f>
        <v>46108</v>
      </c>
      <c r="H1138" s="241" cm="1">
        <f t="array" ref="H1138">IF(
 MATCH(B1138,{"01. ASIGNACION AREA";"02. MAPEO";"03. DESARROLLO";"04. VALIDA US";"05. VOBO US";"06. BW-EJECUCION";"07. VALIDACIÓN BAJAWARE";"08. CERRADA"},0)
 &lt;
 MATCH(_xlfn.XLOOKUP(INDEX($B:$B, (ROW()-2)),'Relacion '!$E:$E,'Relacion '!$D:$D,""),{"01. ASIGNACION AREA";"02. MAPEO";"03. DESARROLLO";"04. VALIDA US";"05. VOBO US";"06. BW-EJECUCION";"07. VALIDACIÓN BAJAWARE";"08. CERRADA"},0),
 1,
 IF(
  MATCH(B1138,{"01. ASIGNACION AREA";"02. MAPEO";"03. DESARROLLO";"04. VALIDA US";"05. VOBO US";"06. BW-EJECUCION";"07. VALIDACIÓN BAJAWARE";"08. CERRADA"},0)
  =
  MATCH(_xlfn.XLOOKUP(INDEX($B:$B, (ROW()-2)),'Relacion '!$E:$E,'Relacion '!$D:$D,""),{"01. ASIGNACION AREA";"02. MAPEO";"03. DESARROLLO";"04. VALIDA US";"05. VOBO US";"06. BW-EJECUCION";"07. VALIDACIÓN BAJAWARE";"08. CERRADA"},0),
  _xlfn.XLOOKUP(INDEX($B:$B, (ROW()-2)),'Relacion '!$E:$E,'Relacion '!#REF!,0),
  0
 )
)</f>
        <v>1</v>
      </c>
      <c r="I1138" s="241">
        <f t="shared" ca="1" si="257"/>
        <v>1</v>
      </c>
      <c r="J1138" s="241"/>
      <c r="K1138" s="241"/>
      <c r="L1138" s="238"/>
    </row>
    <row r="1139" spans="2:12" outlineLevel="1">
      <c r="B1139" s="237" t="s">
        <v>49</v>
      </c>
      <c r="C1139" s="237" t="s">
        <v>49</v>
      </c>
      <c r="D1139" s="238" t="str">
        <f>_xlfn.XLOOKUP(B1139,'Relacion '!$E:$E,'Relacion '!$D:$D,"")</f>
        <v/>
      </c>
      <c r="E1139" s="239">
        <f t="shared" si="258"/>
        <v>0</v>
      </c>
      <c r="F1139" s="240" cm="1">
        <f t="array" ref="F1139">MIN(INDEX('Relacion '!$AB$5:$AC$493,MATCH(INDEX($B:$B, (ROW()-3)),'Relacion '!$E$5:$E$493,0),0))</f>
        <v>46108</v>
      </c>
      <c r="G1139" s="240" cm="1">
        <f t="array" ref="G1139">MAX(INDEX('Relacion '!$AB$5:$AC$493,MATCH(INDEX($B:$B, (ROW()-3)),'Relacion '!$E$5:$E$493,0),0))</f>
        <v>46108</v>
      </c>
      <c r="H1139" s="241" cm="1">
        <f t="array" ref="H1139">IF(
 MATCH(B1139,{"01. ASIGNACION AREA";"02. MAPEO";"03. DESARROLLO";"04. VALIDA US";"05. VOBO US";"06. BW-EJECUCION";"07. VALIDACIÓN BAJAWARE";"08. CERRADA"},0)
 &lt;
 MATCH(_xlfn.XLOOKUP(INDEX($B:$B, (ROW()-3)),'Relacion '!$E:$E,'Relacion '!$D:$D,""),{"01. ASIGNACION AREA";"02. MAPEO";"03. DESARROLLO";"04. VALIDA US";"05. VOBO US";"06. BW-EJECUCION";"07. VALIDACIÓN BAJAWARE";"08. CERRADA"},0),
 1,
 IF(
  MATCH(B1139,{"01. ASIGNACION AREA";"02. MAPEO";"03. DESARROLLO";"04. VALIDA US";"05. VOBO US";"06. BW-EJECUCION";"07. VALIDACIÓN BAJAWARE";"08. CERRADA"},0)
  =
  MATCH(_xlfn.XLOOKUP(INDEX($B:$B, (ROW()-3)),'Relacion '!$E:$E,'Relacion '!$D:$D,""),{"01. ASIGNACION AREA";"02. MAPEO";"03. DESARROLLO";"04. VALIDA US";"05. VOBO US";"06. BW-EJECUCION";"07. VALIDACIÓN BAJAWARE";"08. CERRADA"},0),
  _xlfn.XLOOKUP(INDEX($B:$B, (ROW()-3)),'Relacion '!$E:$E,'Relacion '!#REF!,0),
  0
 )
)</f>
        <v>1</v>
      </c>
      <c r="I1139" s="241">
        <f t="shared" ca="1" si="257"/>
        <v>1</v>
      </c>
      <c r="J1139" s="241"/>
      <c r="K1139" s="241"/>
      <c r="L1139" s="238"/>
    </row>
    <row r="1140" spans="2:12" outlineLevel="1">
      <c r="B1140" s="237" t="s">
        <v>324</v>
      </c>
      <c r="C1140" s="237" t="s">
        <v>324</v>
      </c>
      <c r="D1140" s="238" t="str">
        <f>_xlfn.XLOOKUP(B1140,'Relacion '!$E:$E,'Relacion '!$D:$D,"")</f>
        <v/>
      </c>
      <c r="E1140" s="239">
        <f t="shared" si="258"/>
        <v>0</v>
      </c>
      <c r="F1140" s="240" cm="1">
        <f t="array" ref="F1140">MIN(INDEX('Relacion '!$AD$5:$AE$493,MATCH(INDEX($B:$B, (ROW()-4)),'Relacion '!$E$5:$E$493,0),0))</f>
        <v>46108</v>
      </c>
      <c r="G1140" s="240" cm="1">
        <f t="array" ref="G1140">MAX(INDEX('Relacion '!$AD$5:$AE$493,MATCH(INDEX($B:$B, (ROW()-4)),'Relacion '!$E$5:$E$493,0),0))</f>
        <v>46108</v>
      </c>
      <c r="H1140" s="241" cm="1">
        <f t="array" ref="H1140">IF(
 MATCH(B1140,{"01. ASIGNACION AREA";"02. MAPEO";"03. DESARROLLO";"04. VALIDA US";"05. VOBO US";"06. BW-EJECUCION";"07. VALIDACIÓN BAJAWARE";"08. CERRADA"},0)
 &lt;
 MATCH(_xlfn.XLOOKUP(INDEX($B:$B, (ROW()-4)),'Relacion '!$E:$E,'Relacion '!$D:$D,""),{"01. ASIGNACION AREA";"02. MAPEO";"03. DESARROLLO";"04. VALIDA US";"05. VOBO US";"06. BW-EJECUCION";"07. VALIDACIÓN BAJAWARE";"08. CERRADA"},0),
 1,
 IF(
  MATCH(B1140,{"01. ASIGNACION AREA";"02. MAPEO";"03. DESARROLLO";"04. VALIDA US";"05. VOBO US";"06. BW-EJECUCION";"07. VALIDACIÓN BAJAWARE";"08. CERRADA"},0)
  =
  MATCH(_xlfn.XLOOKUP(INDEX($B:$B, (ROW()-4)),'Relacion '!$E:$E,'Relacion '!$D:$D,""),{"01. ASIGNACION AREA";"02. MAPEO";"03. DESARROLLO";"04. VALIDA US";"05. VOBO US";"06. BW-EJECUCION";"07. VALIDACIÓN BAJAWARE";"08. CERRADA"},0),
  _xlfn.XLOOKUP(INDEX($B:$B, (ROW()-4)),'Relacion '!$E:$E,'Relacion '!#REF!,0),
  0
 )
)</f>
        <v>1</v>
      </c>
      <c r="I1140" s="241">
        <f t="shared" ca="1" si="257"/>
        <v>1</v>
      </c>
      <c r="J1140" s="241"/>
      <c r="K1140" s="241"/>
      <c r="L1140" s="238"/>
    </row>
    <row r="1141" spans="2:12" outlineLevel="1">
      <c r="B1141" s="237" t="s">
        <v>320</v>
      </c>
      <c r="C1141" s="237" t="s">
        <v>320</v>
      </c>
      <c r="D1141" s="238" t="str">
        <f>_xlfn.XLOOKUP(B1141,'Relacion '!$E:$E,'Relacion '!$D:$D,"")</f>
        <v/>
      </c>
      <c r="E1141" s="239">
        <f t="shared" si="258"/>
        <v>0</v>
      </c>
      <c r="F1141" s="240" cm="1">
        <f t="array" ref="F1141">MIN(INDEX('Relacion '!$AF$5:$AG$493,MATCH(INDEX($B:$B, (ROW()-5)),'Relacion '!$E$5:$E$493,0),0))</f>
        <v>46108</v>
      </c>
      <c r="G1141" s="240" cm="1">
        <f t="array" ref="G1141">MAX(INDEX('Relacion '!$AF$5:$AG$493,MATCH(INDEX($B:$B, (ROW()-5)),'Relacion '!$E$5:$E$493,0),0))</f>
        <v>46108</v>
      </c>
      <c r="H1141" s="241" cm="1">
        <f t="array" ref="H1141">IF(
 MATCH(B1141,{"01. ASIGNACION AREA";"02. MAPEO";"03. DESARROLLO";"04. VALIDA US";"05. VOBO US";"06. BW-EJECUCION";"07. VALIDACIÓN BAJAWARE";"08. CERRADA"},0)
 &lt;
 MATCH(_xlfn.XLOOKUP(INDEX($B:$B, (ROW()-5)),'Relacion '!$E:$E,'Relacion '!$D:$D,""),{"01. ASIGNACION AREA";"02. MAPEO";"03. DESARROLLO";"04. VALIDA US";"05. VOBO US";"06. BW-EJECUCION";"07. VALIDACIÓN BAJAWARE";"08. CERRADA"},0),
 1,
 IF(
  MATCH(B1141,{"01. ASIGNACION AREA";"02. MAPEO";"03. DESARROLLO";"04. VALIDA US";"05. VOBO US";"06. BW-EJECUCION";"07. VALIDACIÓN BAJAWARE";"08. CERRADA"},0)
  =
  MATCH(_xlfn.XLOOKUP(INDEX($B:$B, (ROW()-5)),'Relacion '!$E:$E,'Relacion '!$D:$D,""),{"01. ASIGNACION AREA";"02. MAPEO";"03. DESARROLLO";"04. VALIDA US";"05. VOBO US";"06. BW-EJECUCION";"07. VALIDACIÓN BAJAWARE";"08. CERRADA"},0),
  _xlfn.XLOOKUP(INDEX($B:$B, (ROW()-5)),'Relacion '!$E:$E,'Relacion '!#REF!,0),
  0
 )
)</f>
        <v>1</v>
      </c>
      <c r="I1141" s="241">
        <f t="shared" ca="1" si="257"/>
        <v>1</v>
      </c>
      <c r="J1141" s="241"/>
      <c r="K1141" s="241"/>
      <c r="L1141" s="238"/>
    </row>
    <row r="1142" spans="2:12" outlineLevel="1">
      <c r="B1142" s="237" t="s">
        <v>710</v>
      </c>
      <c r="C1142" s="237" t="s">
        <v>710</v>
      </c>
      <c r="D1142" s="238" t="str">
        <f>_xlfn.XLOOKUP(B1142,'Relacion '!$E:$E,'Relacion '!$D:$D,"")</f>
        <v/>
      </c>
      <c r="E1142" s="239">
        <f t="shared" si="258"/>
        <v>0</v>
      </c>
      <c r="F1142" s="240" cm="1">
        <f t="array" ref="F1142">MIN(INDEX('Relacion '!$AH$5:$AI$493,MATCH(INDEX($B:$B, (ROW()-6)),'Relacion '!$E$5:$E$493,0),0))</f>
        <v>46108</v>
      </c>
      <c r="G1142" s="240" cm="1">
        <f t="array" ref="G1142">MAX(INDEX('Relacion '!$AH$5:$AI$493,MATCH(INDEX($B:$B, (ROW()-6)),'Relacion '!$E$5:$E$493,0),0))</f>
        <v>46108</v>
      </c>
      <c r="H1142" s="241" cm="1">
        <f t="array" ref="H1142">IF(
 MATCH(B1142,{"01. ASIGNACION AREA";"02. MAPEO";"03. DESARROLLO";"04. VALIDA US";"05. VOBO US";"06. BW-EJECUCION";"07. VALIDACIÓN BAJAWARE";"08. CERRADA"},0)
 &lt;
 MATCH(_xlfn.XLOOKUP(INDEX($B:$B, (ROW()-6)),'Relacion '!$E:$E,'Relacion '!$D:$D,""),{"01. ASIGNACION AREA";"02. MAPEO";"03. DESARROLLO";"04. VALIDA US";"05. VOBO US";"06. BW-EJECUCION";"07. VALIDACIÓN BAJAWARE";"08. CERRADA"},0),
 1,
 IF(
  MATCH(B1142,{"01. ASIGNACION AREA";"02. MAPEO";"03. DESARROLLO";"04. VALIDA US";"05. VOBO US";"06. BW-EJECUCION";"07. VALIDACIÓN BAJAWARE";"08. CERRADA"},0)
  =
  MATCH(_xlfn.XLOOKUP(INDEX($B:$B, (ROW()-6)),'Relacion '!$E:$E,'Relacion '!$D:$D,""),{"01. ASIGNACION AREA";"02. MAPEO";"03. DESARROLLO";"04. VALIDA US";"05. VOBO US";"06. BW-EJECUCION";"07. VALIDACIÓN BAJAWARE";"08. CERRADA"},0),
  _xlfn.XLOOKUP(INDEX($B:$B, (ROW()-6)),'Relacion '!$E:$E,'Relacion '!#REF!,0),
  0
 )
)</f>
        <v>1</v>
      </c>
      <c r="I1142" s="241">
        <f t="shared" ca="1" si="257"/>
        <v>1</v>
      </c>
      <c r="J1142" s="241"/>
      <c r="K1142" s="241"/>
      <c r="L1142" s="238"/>
    </row>
    <row r="1143" spans="2:12" outlineLevel="1">
      <c r="B1143" s="237" t="s">
        <v>655</v>
      </c>
      <c r="C1143" s="237" t="s">
        <v>655</v>
      </c>
      <c r="D1143" s="238" t="str">
        <f>_xlfn.XLOOKUP(B1143,'Relacion '!$E:$E,'Relacion '!$D:$D,"")</f>
        <v/>
      </c>
      <c r="E1143" s="239">
        <f t="shared" si="258"/>
        <v>0</v>
      </c>
      <c r="F1143" s="240" cm="1">
        <f t="array" ref="F1143">MIN(INDEX('Relacion '!$AJ$5:$AK$493,MATCH(INDEX($B:$B, (ROW()-7)),'Relacion '!$E$5:$E$493,0),0))</f>
        <v>46108</v>
      </c>
      <c r="G1143" s="240" cm="1">
        <f t="array" ref="G1143">MAX(INDEX('Relacion '!$AJ$5:$AK$493,MATCH(INDEX($B:$B, (ROW()-7)),'Relacion '!$E$5:$E$493,0),0))</f>
        <v>46108</v>
      </c>
      <c r="H1143" s="241" cm="1">
        <f t="array" ref="H1143">IF(
 MATCH(B1143,{"01. ASIGNACION AREA";"02. MAPEO";"03. DESARROLLO";"04. VALIDA US";"05. VOBO US";"06. BW-EJECUCION";"07. VALIDACIÓN BAJAWARE";"08. CERRADA"},0)
 &lt;
 MATCH(_xlfn.XLOOKUP(INDEX($B:$B, (ROW()-7)),'Relacion '!$E:$E,'Relacion '!$D:$D,""),{"01. ASIGNACION AREA";"02. MAPEO";"03. DESARROLLO";"04. VALIDA US";"05. VOBO US";"06. BW-EJECUCION";"07. VALIDACIÓN BAJAWARE";"08. CERRADA"},0),
 1,
 IF(
  MATCH(B1143,{"01. ASIGNACION AREA";"02. MAPEO";"03. DESARROLLO";"04. VALIDA US";"05. VOBO US";"06. BW-EJECUCION";"07. VALIDACIÓN BAJAWARE";"08. CERRADA"},0)
  =
  MATCH(_xlfn.XLOOKUP(INDEX($B:$B, (ROW()-7)),'Relacion '!$E:$E,'Relacion '!$D:$D,""),{"01. ASIGNACION AREA";"02. MAPEO";"03. DESARROLLO";"04. VALIDA US";"05. VOBO US";"06. BW-EJECUCION";"07. VALIDACIÓN BAJAWARE";"08. CERRADA"},0),
  _xlfn.XLOOKUP(INDEX($B:$B, (ROW()-7)),'Relacion '!$E:$E,'Relacion '!#REF!,0),
  0
 )
)</f>
        <v>1</v>
      </c>
      <c r="I1143" s="241">
        <f t="shared" ca="1" si="257"/>
        <v>1</v>
      </c>
      <c r="J1143" s="241"/>
      <c r="K1143" s="241"/>
      <c r="L1143" s="238"/>
    </row>
    <row r="1144" spans="2:12" outlineLevel="1">
      <c r="B1144" s="237" t="s">
        <v>656</v>
      </c>
      <c r="C1144" s="237" t="s">
        <v>656</v>
      </c>
      <c r="D1144" s="238" t="str">
        <f>_xlfn.XLOOKUP(B1144,'Relacion '!$E:$E,'Relacion '!$D:$D,"")</f>
        <v/>
      </c>
      <c r="E1144" s="239">
        <f t="shared" si="258"/>
        <v>0</v>
      </c>
      <c r="F1144" s="240" cm="1">
        <f t="array" ref="F1144">MIN(INDEX('Relacion '!$AL$5:$AM$493,MATCH(INDEX($B:$B, (ROW()-8)),'Relacion '!$E$5:$E$493,0),0))</f>
        <v>46109</v>
      </c>
      <c r="G1144" s="240" cm="1">
        <f t="array" ref="G1144">MAX(INDEX('Relacion '!$AL$5:$AM$493,MATCH(INDEX($B:$B, (ROW()-8)),'Relacion '!$E$5:$E$493,0),0))</f>
        <v>46109</v>
      </c>
      <c r="H1144" s="241" t="e" cm="1">
        <f t="array" ref="H1144">IF(
 MATCH(B1144,{"01. ASIGNACION AREA";"02. MAPEO";"03. DESARROLLO";"04. VALIDA US";"05. VOBO US";"06. BW-EJECUCION";"07. VALIDACIÓN BAJAWARE";"08. CERRADA"},0)
 &lt;
 MATCH(_xlfn.XLOOKUP(INDEX($B:$B, (ROW()-8)),'Relacion '!$E:$E,'Relacion '!$D:$D,""),{"01. ASIGNACION AREA";"02. MAPEO";"03. DESARROLLO";"04. VALIDA US";"05. VOBO US";"06. BW-EJECUCION";"07. VALIDACIÓN BAJAWARE";"08. CERRADA"},0),
 1,
 IF(
  MATCH(B1144,{"01. ASIGNACION AREA";"02. MAPEO";"03. DESARROLLO";"04. VALIDA US";"05. VOBO US";"06. BW-EJECUCION";"07. VALIDACIÓN BAJAWARE";"08. CERRADA"},0)
  =
  MATCH(_xlfn.XLOOKUP(INDEX($B:$B, (ROW()-8)),'Relacion '!$E:$E,'Relacion '!$D:$D,""),{"01. ASIGNACION AREA";"02. MAPEO";"03. DESARROLLO";"04. VALIDA US";"05. VOBO US";"06. BW-EJECUCION";"07. VALIDACIÓN BAJAWARE";"08. CERRADA"},0),
  _xlfn.XLOOKUP(INDEX($B:$B, (ROW()-8)),'Relacion '!$E:$E,'Relacion '!#REF!,0),
  0
 )
)</f>
        <v>#REF!</v>
      </c>
      <c r="I1144" s="241">
        <f t="shared" ca="1" si="257"/>
        <v>1</v>
      </c>
      <c r="J1144" s="241"/>
      <c r="K1144" s="241"/>
      <c r="L1144" s="238"/>
    </row>
    <row r="1145" spans="2:12">
      <c r="B1145" s="232" t="s">
        <v>62</v>
      </c>
      <c r="C1145" s="137" t="s">
        <v>63</v>
      </c>
      <c r="D1145" s="236" t="str">
        <f>_xlfn.XLOOKUP(B1145,'Relacion '!$E:$E,'Relacion '!$D:$D,"")</f>
        <v>04. VALIDA US</v>
      </c>
      <c r="E1145" s="233">
        <f t="shared" si="258"/>
        <v>478</v>
      </c>
      <c r="F1145" s="234" cm="1">
        <f t="array" ref="F1145">MIN(INDEX('Relacion '!$X$5:$AM$493,MATCH(INDEX($B:$B, (ROW()-0)),'Relacion '!$E$5:$E$493,0),0))</f>
        <v>45659</v>
      </c>
      <c r="G1145" s="234" cm="1">
        <f t="array" ref="G1145">MAX(INDEX('Relacion '!$X$5:$AM$493,MATCH(INDEX($B:$B, (ROW()-0)),'Relacion '!$E$5:$E$493,0),0))</f>
        <v>46137</v>
      </c>
      <c r="H1145" s="235" t="e">
        <f>AVERAGE(H1146:H1153)</f>
        <v>#REF!</v>
      </c>
      <c r="I1145" s="235">
        <f t="shared" ref="I1145" ca="1" si="271">AVERAGE(I1146:I1153)</f>
        <v>1</v>
      </c>
      <c r="J1145" s="236" t="str">
        <f>IF(ISNUMBER(SEARCH("Rocha", _xlfn.XLOOKUP(B1145,'Relacion '!$E:$E,'Relacion '!$I:$I,""))), "Sí", "No")</f>
        <v>No</v>
      </c>
      <c r="K1145" s="236" t="str">
        <f>IF(ISNUMBER(SEARCH("Rocha", _xlfn.XLOOKUP(B1145,'Relacion '!$E:$E,'Relacion '!$I:$I,""))), "RMC", _xlfn.XLOOKUP(B1145,'Relacion '!$E:$E,'Relacion '!$B:$B,""))</f>
        <v>Operaciones Credito</v>
      </c>
      <c r="L1145" s="236" t="str">
        <f>_xlfn.XLOOKUP(B1145,'Relacion '!$E:$E,'Relacion '!$C:$C,"")</f>
        <v>Luis Alberto</v>
      </c>
    </row>
    <row r="1146" spans="2:12" outlineLevel="1">
      <c r="B1146" s="237" t="s">
        <v>654</v>
      </c>
      <c r="C1146" s="237" t="s">
        <v>654</v>
      </c>
      <c r="D1146" s="238" t="str">
        <f>_xlfn.XLOOKUP(B1146,'Relacion '!$E:$E,'Relacion '!$D:$D,"")</f>
        <v/>
      </c>
      <c r="E1146" s="239">
        <f t="shared" si="258"/>
        <v>379</v>
      </c>
      <c r="F1146" s="240" cm="1">
        <f t="array" ref="F1146">MIN(INDEX('Relacion '!$X$5:$Y$493,MATCH(INDEX($B:$B, (ROW()-1)),'Relacion '!$E$5:$E$493,0),0))</f>
        <v>45659</v>
      </c>
      <c r="G1146" s="240" cm="1">
        <f t="array" ref="G1146">MAX(INDEX('Relacion '!$X$5:$Y$493,MATCH(INDEX($B:$B, (ROW()-1)),'Relacion '!$E$5:$E$493,0),0))</f>
        <v>46038</v>
      </c>
      <c r="H1146" s="241" cm="1">
        <f t="array" ref="H1146">IF(
 MATCH(B1146,{"01. ASIGNACION AREA";"02. MAPEO";"03. DESARROLLO";"04. VALIDA US";"05. VOBO US";"06. BW-EJECUCION";"07. VALIDACIÓN BAJAWARE";"08. CERRADA"},0)
 &lt;
 MATCH(_xlfn.XLOOKUP(INDEX($B:$B, (ROW()-1)),'Relacion '!$E:$E,'Relacion '!$D:$D,""),{"01. ASIGNACION AREA";"02. MAPEO";"03. DESARROLLO";"04. VALIDA US";"05. VOBO US";"06. BW-EJECUCION";"07. VALIDACIÓN BAJAWARE";"08. CERRADA"},0),
 1,
 IF(
  MATCH(B1146,{"01. ASIGNACION AREA";"02. MAPEO";"03. DESARROLLO";"04. VALIDA US";"05. VOBO US";"06. BW-EJECUCION";"07. VALIDACIÓN BAJAWARE";"08. CERRADA"},0)
  =
  MATCH(_xlfn.XLOOKUP(INDEX($B:$B, (ROW()-1)),'Relacion '!$E:$E,'Relacion '!$D:$D,""),{"01. ASIGNACION AREA";"02. MAPEO";"03. DESARROLLO";"04. VALIDA US";"05. VOBO US";"06. BW-EJECUCION";"07. VALIDACIÓN BAJAWARE";"08. CERRADA"},0),
  _xlfn.XLOOKUP(INDEX($B:$B, (ROW()-1)),'Relacion '!$E:$E,'Relacion '!#REF!,0),
  0
 )
)</f>
        <v>1</v>
      </c>
      <c r="I1146" s="241">
        <f t="shared" ref="I1146:I1207" ca="1" si="272">IF(G1146&lt;=TODAY(), 1, 0)</f>
        <v>1</v>
      </c>
      <c r="J1146" s="241"/>
      <c r="K1146" s="241"/>
      <c r="L1146" s="238"/>
    </row>
    <row r="1147" spans="2:12" outlineLevel="1">
      <c r="B1147" s="237" t="s">
        <v>195</v>
      </c>
      <c r="C1147" s="237" t="s">
        <v>195</v>
      </c>
      <c r="D1147" s="238" t="str">
        <f>_xlfn.XLOOKUP(B1147,'Relacion '!$E:$E,'Relacion '!$D:$D,"")</f>
        <v/>
      </c>
      <c r="E1147" s="239">
        <f t="shared" si="258"/>
        <v>18</v>
      </c>
      <c r="F1147" s="240" cm="1">
        <f t="array" ref="F1147">MIN(INDEX('Relacion '!$Z$5:$AA$493,MATCH(INDEX($B:$B, (ROW()-2)),'Relacion '!$E$5:$E$493,0),0))</f>
        <v>46041</v>
      </c>
      <c r="G1147" s="240" cm="1">
        <f t="array" ref="G1147">MAX(INDEX('Relacion '!$Z$5:$AA$493,MATCH(INDEX($B:$B, (ROW()-2)),'Relacion '!$E$5:$E$493,0),0))</f>
        <v>46059</v>
      </c>
      <c r="H1147" s="241" cm="1">
        <f t="array" ref="H1147">IF(
 MATCH(B1147,{"01. ASIGNACION AREA";"02. MAPEO";"03. DESARROLLO";"04. VALIDA US";"05. VOBO US";"06. BW-EJECUCION";"07. VALIDACIÓN BAJAWARE";"08. CERRADA"},0)
 &lt;
 MATCH(_xlfn.XLOOKUP(INDEX($B:$B, (ROW()-2)),'Relacion '!$E:$E,'Relacion '!$D:$D,""),{"01. ASIGNACION AREA";"02. MAPEO";"03. DESARROLLO";"04. VALIDA US";"05. VOBO US";"06. BW-EJECUCION";"07. VALIDACIÓN BAJAWARE";"08. CERRADA"},0),
 1,
 IF(
  MATCH(B1147,{"01. ASIGNACION AREA";"02. MAPEO";"03. DESARROLLO";"04. VALIDA US";"05. VOBO US";"06. BW-EJECUCION";"07. VALIDACIÓN BAJAWARE";"08. CERRADA"},0)
  =
  MATCH(_xlfn.XLOOKUP(INDEX($B:$B, (ROW()-2)),'Relacion '!$E:$E,'Relacion '!$D:$D,""),{"01. ASIGNACION AREA";"02. MAPEO";"03. DESARROLLO";"04. VALIDA US";"05. VOBO US";"06. BW-EJECUCION";"07. VALIDACIÓN BAJAWARE";"08. CERRADA"},0),
  _xlfn.XLOOKUP(INDEX($B:$B, (ROW()-2)),'Relacion '!$E:$E,'Relacion '!#REF!,0),
  0
 )
)</f>
        <v>1</v>
      </c>
      <c r="I1147" s="241">
        <f t="shared" ca="1" si="272"/>
        <v>1</v>
      </c>
      <c r="J1147" s="241"/>
      <c r="K1147" s="241"/>
      <c r="L1147" s="238"/>
    </row>
    <row r="1148" spans="2:12" outlineLevel="1">
      <c r="B1148" s="237" t="s">
        <v>49</v>
      </c>
      <c r="C1148" s="237" t="s">
        <v>49</v>
      </c>
      <c r="D1148" s="238" t="str">
        <f>_xlfn.XLOOKUP(B1148,'Relacion '!$E:$E,'Relacion '!$D:$D,"")</f>
        <v/>
      </c>
      <c r="E1148" s="239">
        <f t="shared" si="258"/>
        <v>24</v>
      </c>
      <c r="F1148" s="240" cm="1">
        <f t="array" ref="F1148">MIN(INDEX('Relacion '!$AB$5:$AC$493,MATCH(INDEX($B:$B, (ROW()-3)),'Relacion '!$E$5:$E$493,0),0))</f>
        <v>46056</v>
      </c>
      <c r="G1148" s="240" cm="1">
        <f t="array" ref="G1148">MAX(INDEX('Relacion '!$AB$5:$AC$493,MATCH(INDEX($B:$B, (ROW()-3)),'Relacion '!$E$5:$E$493,0),0))</f>
        <v>46080</v>
      </c>
      <c r="H1148" s="241" cm="1">
        <f t="array" ref="H1148">IF(
 MATCH(B1148,{"01. ASIGNACION AREA";"02. MAPEO";"03. DESARROLLO";"04. VALIDA US";"05. VOBO US";"06. BW-EJECUCION";"07. VALIDACIÓN BAJAWARE";"08. CERRADA"},0)
 &lt;
 MATCH(_xlfn.XLOOKUP(INDEX($B:$B, (ROW()-3)),'Relacion '!$E:$E,'Relacion '!$D:$D,""),{"01. ASIGNACION AREA";"02. MAPEO";"03. DESARROLLO";"04. VALIDA US";"05. VOBO US";"06. BW-EJECUCION";"07. VALIDACIÓN BAJAWARE";"08. CERRADA"},0),
 1,
 IF(
  MATCH(B1148,{"01. ASIGNACION AREA";"02. MAPEO";"03. DESARROLLO";"04. VALIDA US";"05. VOBO US";"06. BW-EJECUCION";"07. VALIDACIÓN BAJAWARE";"08. CERRADA"},0)
  =
  MATCH(_xlfn.XLOOKUP(INDEX($B:$B, (ROW()-3)),'Relacion '!$E:$E,'Relacion '!$D:$D,""),{"01. ASIGNACION AREA";"02. MAPEO";"03. DESARROLLO";"04. VALIDA US";"05. VOBO US";"06. BW-EJECUCION";"07. VALIDACIÓN BAJAWARE";"08. CERRADA"},0),
  _xlfn.XLOOKUP(INDEX($B:$B, (ROW()-3)),'Relacion '!$E:$E,'Relacion '!#REF!,0),
  0
 )
)</f>
        <v>1</v>
      </c>
      <c r="I1148" s="241">
        <f t="shared" ca="1" si="272"/>
        <v>1</v>
      </c>
      <c r="J1148" s="241"/>
      <c r="K1148" s="241"/>
      <c r="L1148" s="238"/>
    </row>
    <row r="1149" spans="2:12" outlineLevel="1">
      <c r="B1149" s="237" t="s">
        <v>324</v>
      </c>
      <c r="C1149" s="237" t="s">
        <v>324</v>
      </c>
      <c r="D1149" s="238" t="str">
        <f>_xlfn.XLOOKUP(B1149,'Relacion '!$E:$E,'Relacion '!$D:$D,"")</f>
        <v/>
      </c>
      <c r="E1149" s="239">
        <f t="shared" si="258"/>
        <v>14</v>
      </c>
      <c r="F1149" s="240" cm="1">
        <f t="array" ref="F1149">MIN(INDEX('Relacion '!$AD$5:$AE$493,MATCH(INDEX($B:$B, (ROW()-4)),'Relacion '!$E$5:$E$493,0),0))</f>
        <v>46099</v>
      </c>
      <c r="G1149" s="240" cm="1">
        <f t="array" ref="G1149">MAX(INDEX('Relacion '!$AD$5:$AE$493,MATCH(INDEX($B:$B, (ROW()-4)),'Relacion '!$E$5:$E$493,0),0))</f>
        <v>46113</v>
      </c>
      <c r="H1149" s="241" t="e" cm="1">
        <f t="array" ref="H1149">IF(
 MATCH(B1149,{"01. ASIGNACION AREA";"02. MAPEO";"03. DESARROLLO";"04. VALIDA US";"05. VOBO US";"06. BW-EJECUCION";"07. VALIDACIÓN BAJAWARE";"08. CERRADA"},0)
 &lt;
 MATCH(_xlfn.XLOOKUP(INDEX($B:$B, (ROW()-4)),'Relacion '!$E:$E,'Relacion '!$D:$D,""),{"01. ASIGNACION AREA";"02. MAPEO";"03. DESARROLLO";"04. VALIDA US";"05. VOBO US";"06. BW-EJECUCION";"07. VALIDACIÓN BAJAWARE";"08. CERRADA"},0),
 1,
 IF(
  MATCH(B1149,{"01. ASIGNACION AREA";"02. MAPEO";"03. DESARROLLO";"04. VALIDA US";"05. VOBO US";"06. BW-EJECUCION";"07. VALIDACIÓN BAJAWARE";"08. CERRADA"},0)
  =
  MATCH(_xlfn.XLOOKUP(INDEX($B:$B, (ROW()-4)),'Relacion '!$E:$E,'Relacion '!$D:$D,""),{"01. ASIGNACION AREA";"02. MAPEO";"03. DESARROLLO";"04. VALIDA US";"05. VOBO US";"06. BW-EJECUCION";"07. VALIDACIÓN BAJAWARE";"08. CERRADA"},0),
  _xlfn.XLOOKUP(INDEX($B:$B, (ROW()-4)),'Relacion '!$E:$E,'Relacion '!#REF!,0),
  0
 )
)</f>
        <v>#REF!</v>
      </c>
      <c r="I1149" s="241">
        <f t="shared" ca="1" si="272"/>
        <v>1</v>
      </c>
      <c r="J1149" s="241"/>
      <c r="K1149" s="241"/>
      <c r="L1149" s="238"/>
    </row>
    <row r="1150" spans="2:12" outlineLevel="1">
      <c r="B1150" s="237" t="s">
        <v>320</v>
      </c>
      <c r="C1150" s="237" t="s">
        <v>320</v>
      </c>
      <c r="D1150" s="238" t="str">
        <f>_xlfn.XLOOKUP(B1150,'Relacion '!$E:$E,'Relacion '!$D:$D,"")</f>
        <v/>
      </c>
      <c r="E1150" s="239">
        <f t="shared" si="258"/>
        <v>5</v>
      </c>
      <c r="F1150" s="240" cm="1">
        <f t="array" ref="F1150">MIN(INDEX('Relacion '!$AF$5:$AG$493,MATCH(INDEX($B:$B, (ROW()-5)),'Relacion '!$E$5:$E$493,0),0))</f>
        <v>46113</v>
      </c>
      <c r="G1150" s="240" cm="1">
        <f t="array" ref="G1150">MAX(INDEX('Relacion '!$AF$5:$AG$493,MATCH(INDEX($B:$B, (ROW()-5)),'Relacion '!$E$5:$E$493,0),0))</f>
        <v>46118</v>
      </c>
      <c r="H1150" s="241" cm="1">
        <f t="array" ref="H1150">IF(
 MATCH(B1150,{"01. ASIGNACION AREA";"02. MAPEO";"03. DESARROLLO";"04. VALIDA US";"05. VOBO US";"06. BW-EJECUCION";"07. VALIDACIÓN BAJAWARE";"08. CERRADA"},0)
 &lt;
 MATCH(_xlfn.XLOOKUP(INDEX($B:$B, (ROW()-5)),'Relacion '!$E:$E,'Relacion '!$D:$D,""),{"01. ASIGNACION AREA";"02. MAPEO";"03. DESARROLLO";"04. VALIDA US";"05. VOBO US";"06. BW-EJECUCION";"07. VALIDACIÓN BAJAWARE";"08. CERRADA"},0),
 1,
 IF(
  MATCH(B1150,{"01. ASIGNACION AREA";"02. MAPEO";"03. DESARROLLO";"04. VALIDA US";"05. VOBO US";"06. BW-EJECUCION";"07. VALIDACIÓN BAJAWARE";"08. CERRADA"},0)
  =
  MATCH(_xlfn.XLOOKUP(INDEX($B:$B, (ROW()-5)),'Relacion '!$E:$E,'Relacion '!$D:$D,""),{"01. ASIGNACION AREA";"02. MAPEO";"03. DESARROLLO";"04. VALIDA US";"05. VOBO US";"06. BW-EJECUCION";"07. VALIDACIÓN BAJAWARE";"08. CERRADA"},0),
  _xlfn.XLOOKUP(INDEX($B:$B, (ROW()-5)),'Relacion '!$E:$E,'Relacion '!#REF!,0),
  0
 )
)</f>
        <v>0</v>
      </c>
      <c r="I1150" s="241">
        <f t="shared" ca="1" si="272"/>
        <v>1</v>
      </c>
      <c r="J1150" s="241"/>
      <c r="K1150" s="241"/>
      <c r="L1150" s="238"/>
    </row>
    <row r="1151" spans="2:12" outlineLevel="1">
      <c r="B1151" s="237" t="s">
        <v>710</v>
      </c>
      <c r="C1151" s="237" t="s">
        <v>710</v>
      </c>
      <c r="D1151" s="238" t="str">
        <f>_xlfn.XLOOKUP(B1151,'Relacion '!$E:$E,'Relacion '!$D:$D,"")</f>
        <v/>
      </c>
      <c r="E1151" s="239">
        <f t="shared" si="258"/>
        <v>2</v>
      </c>
      <c r="F1151" s="240" cm="1">
        <f t="array" ref="F1151">MIN(INDEX('Relacion '!$AH$5:$AI$493,MATCH(INDEX($B:$B, (ROW()-6)),'Relacion '!$E$5:$E$493,0),0))</f>
        <v>46119</v>
      </c>
      <c r="G1151" s="240" cm="1">
        <f t="array" ref="G1151">MAX(INDEX('Relacion '!$AH$5:$AI$493,MATCH(INDEX($B:$B, (ROW()-6)),'Relacion '!$E$5:$E$493,0),0))</f>
        <v>46121</v>
      </c>
      <c r="H1151" s="241" cm="1">
        <f t="array" ref="H1151">IF(
 MATCH(B1151,{"01. ASIGNACION AREA";"02. MAPEO";"03. DESARROLLO";"04. VALIDA US";"05. VOBO US";"06. BW-EJECUCION";"07. VALIDACIÓN BAJAWARE";"08. CERRADA"},0)
 &lt;
 MATCH(_xlfn.XLOOKUP(INDEX($B:$B, (ROW()-6)),'Relacion '!$E:$E,'Relacion '!$D:$D,""),{"01. ASIGNACION AREA";"02. MAPEO";"03. DESARROLLO";"04. VALIDA US";"05. VOBO US";"06. BW-EJECUCION";"07. VALIDACIÓN BAJAWARE";"08. CERRADA"},0),
 1,
 IF(
  MATCH(B1151,{"01. ASIGNACION AREA";"02. MAPEO";"03. DESARROLLO";"04. VALIDA US";"05. VOBO US";"06. BW-EJECUCION";"07. VALIDACIÓN BAJAWARE";"08. CERRADA"},0)
  =
  MATCH(_xlfn.XLOOKUP(INDEX($B:$B, (ROW()-6)),'Relacion '!$E:$E,'Relacion '!$D:$D,""),{"01. ASIGNACION AREA";"02. MAPEO";"03. DESARROLLO";"04. VALIDA US";"05. VOBO US";"06. BW-EJECUCION";"07. VALIDACIÓN BAJAWARE";"08. CERRADA"},0),
  _xlfn.XLOOKUP(INDEX($B:$B, (ROW()-6)),'Relacion '!$E:$E,'Relacion '!#REF!,0),
  0
 )
)</f>
        <v>0</v>
      </c>
      <c r="I1151" s="241">
        <f t="shared" ca="1" si="272"/>
        <v>1</v>
      </c>
      <c r="J1151" s="241"/>
      <c r="K1151" s="241"/>
      <c r="L1151" s="238"/>
    </row>
    <row r="1152" spans="2:12" outlineLevel="1">
      <c r="B1152" s="237" t="s">
        <v>655</v>
      </c>
      <c r="C1152" s="237" t="s">
        <v>655</v>
      </c>
      <c r="D1152" s="238" t="str">
        <f>_xlfn.XLOOKUP(B1152,'Relacion '!$E:$E,'Relacion '!$D:$D,"")</f>
        <v/>
      </c>
      <c r="E1152" s="239">
        <f t="shared" si="258"/>
        <v>14</v>
      </c>
      <c r="F1152" s="240" cm="1">
        <f t="array" ref="F1152">MIN(INDEX('Relacion '!$AJ$5:$AK$493,MATCH(INDEX($B:$B, (ROW()-7)),'Relacion '!$E$5:$E$493,0),0))</f>
        <v>46122</v>
      </c>
      <c r="G1152" s="240" cm="1">
        <f t="array" ref="G1152">MAX(INDEX('Relacion '!$AJ$5:$AK$493,MATCH(INDEX($B:$B, (ROW()-7)),'Relacion '!$E$5:$E$493,0),0))</f>
        <v>46136</v>
      </c>
      <c r="H1152" s="241" cm="1">
        <f t="array" ref="H1152">IF(
 MATCH(B1152,{"01. ASIGNACION AREA";"02. MAPEO";"03. DESARROLLO";"04. VALIDA US";"05. VOBO US";"06. BW-EJECUCION";"07. VALIDACIÓN BAJAWARE";"08. CERRADA"},0)
 &lt;
 MATCH(_xlfn.XLOOKUP(INDEX($B:$B, (ROW()-7)),'Relacion '!$E:$E,'Relacion '!$D:$D,""),{"01. ASIGNACION AREA";"02. MAPEO";"03. DESARROLLO";"04. VALIDA US";"05. VOBO US";"06. BW-EJECUCION";"07. VALIDACIÓN BAJAWARE";"08. CERRADA"},0),
 1,
 IF(
  MATCH(B1152,{"01. ASIGNACION AREA";"02. MAPEO";"03. DESARROLLO";"04. VALIDA US";"05. VOBO US";"06. BW-EJECUCION";"07. VALIDACIÓN BAJAWARE";"08. CERRADA"},0)
  =
  MATCH(_xlfn.XLOOKUP(INDEX($B:$B, (ROW()-7)),'Relacion '!$E:$E,'Relacion '!$D:$D,""),{"01. ASIGNACION AREA";"02. MAPEO";"03. DESARROLLO";"04. VALIDA US";"05. VOBO US";"06. BW-EJECUCION";"07. VALIDACIÓN BAJAWARE";"08. CERRADA"},0),
  _xlfn.XLOOKUP(INDEX($B:$B, (ROW()-7)),'Relacion '!$E:$E,'Relacion '!#REF!,0),
  0
 )
)</f>
        <v>0</v>
      </c>
      <c r="I1152" s="241">
        <f t="shared" ca="1" si="272"/>
        <v>1</v>
      </c>
      <c r="J1152" s="241"/>
      <c r="K1152" s="241"/>
      <c r="L1152" s="238"/>
    </row>
    <row r="1153" spans="2:12" outlineLevel="1">
      <c r="B1153" s="237" t="s">
        <v>656</v>
      </c>
      <c r="C1153" s="237" t="s">
        <v>656</v>
      </c>
      <c r="D1153" s="238" t="str">
        <f>_xlfn.XLOOKUP(B1153,'Relacion '!$E:$E,'Relacion '!$D:$D,"")</f>
        <v/>
      </c>
      <c r="E1153" s="239">
        <f t="shared" si="258"/>
        <v>0</v>
      </c>
      <c r="F1153" s="240" cm="1">
        <f t="array" ref="F1153">MIN(INDEX('Relacion '!$AL$5:$AM$493,MATCH(INDEX($B:$B, (ROW()-8)),'Relacion '!$E$5:$E$493,0),0))</f>
        <v>46137</v>
      </c>
      <c r="G1153" s="240" cm="1">
        <f t="array" ref="G1153">MAX(INDEX('Relacion '!$AL$5:$AM$493,MATCH(INDEX($B:$B, (ROW()-8)),'Relacion '!$E$5:$E$493,0),0))</f>
        <v>46137</v>
      </c>
      <c r="H1153" s="241" cm="1">
        <f t="array" ref="H1153">IF(
 MATCH(B1153,{"01. ASIGNACION AREA";"02. MAPEO";"03. DESARROLLO";"04. VALIDA US";"05. VOBO US";"06. BW-EJECUCION";"07. VALIDACIÓN BAJAWARE";"08. CERRADA"},0)
 &lt;
 MATCH(_xlfn.XLOOKUP(INDEX($B:$B, (ROW()-8)),'Relacion '!$E:$E,'Relacion '!$D:$D,""),{"01. ASIGNACION AREA";"02. MAPEO";"03. DESARROLLO";"04. VALIDA US";"05. VOBO US";"06. BW-EJECUCION";"07. VALIDACIÓN BAJAWARE";"08. CERRADA"},0),
 1,
 IF(
  MATCH(B1153,{"01. ASIGNACION AREA";"02. MAPEO";"03. DESARROLLO";"04. VALIDA US";"05. VOBO US";"06. BW-EJECUCION";"07. VALIDACIÓN BAJAWARE";"08. CERRADA"},0)
  =
  MATCH(_xlfn.XLOOKUP(INDEX($B:$B, (ROW()-8)),'Relacion '!$E:$E,'Relacion '!$D:$D,""),{"01. ASIGNACION AREA";"02. MAPEO";"03. DESARROLLO";"04. VALIDA US";"05. VOBO US";"06. BW-EJECUCION";"07. VALIDACIÓN BAJAWARE";"08. CERRADA"},0),
  _xlfn.XLOOKUP(INDEX($B:$B, (ROW()-8)),'Relacion '!$E:$E,'Relacion '!#REF!,0),
  0
 )
)</f>
        <v>0</v>
      </c>
      <c r="I1153" s="241">
        <f t="shared" ca="1" si="272"/>
        <v>1</v>
      </c>
      <c r="J1153" s="241"/>
      <c r="K1153" s="241"/>
      <c r="L1153" s="238"/>
    </row>
    <row r="1154" spans="2:12">
      <c r="B1154" s="232" t="s">
        <v>544</v>
      </c>
      <c r="C1154" s="167" t="s">
        <v>545</v>
      </c>
      <c r="D1154" s="236" t="str">
        <f>_xlfn.XLOOKUP(B1154,'Relacion '!$E:$E,'Relacion '!$D:$D,"")</f>
        <v>06. BW-EJECUCION</v>
      </c>
      <c r="E1154" s="233">
        <f t="shared" ref="E1154:E1217" si="273">IF(OR(F1154="",G1154=""),"",G1154-F1154)</f>
        <v>106</v>
      </c>
      <c r="F1154" s="234" cm="1">
        <f t="array" ref="F1154">MIN(INDEX('Relacion '!$X$5:$AM$493,MATCH(INDEX($B:$B, (ROW()-0)),'Relacion '!$E$5:$E$493,0),0))</f>
        <v>46024</v>
      </c>
      <c r="G1154" s="234" cm="1">
        <f t="array" ref="G1154">MAX(INDEX('Relacion '!$X$5:$AM$493,MATCH(INDEX($B:$B, (ROW()-0)),'Relacion '!$E$5:$E$493,0),0))</f>
        <v>46130</v>
      </c>
      <c r="H1154" s="235" t="e">
        <f>AVERAGE(H1155:H1162)</f>
        <v>#REF!</v>
      </c>
      <c r="I1154" s="235">
        <f t="shared" ref="I1154" ca="1" si="274">AVERAGE(I1155:I1162)</f>
        <v>1</v>
      </c>
      <c r="J1154" s="236" t="str">
        <f>IF(ISNUMBER(SEARCH("Rocha", _xlfn.XLOOKUP(B1154,'Relacion '!$E:$E,'Relacion '!$I:$I,""))), "Sí", "No")</f>
        <v>No</v>
      </c>
      <c r="K1154" s="236" t="str">
        <f>IF(ISNUMBER(SEARCH("Rocha", _xlfn.XLOOKUP(B1154,'Relacion '!$E:$E,'Relacion '!$I:$I,""))), "RMC", _xlfn.XLOOKUP(B1154,'Relacion '!$E:$E,'Relacion '!$B:$B,""))</f>
        <v>Contabilidad</v>
      </c>
      <c r="L1154" s="236" t="str">
        <f>_xlfn.XLOOKUP(B1154,'Relacion '!$E:$E,'Relacion '!$C:$C,"")</f>
        <v xml:space="preserve">Ramon Jaimes </v>
      </c>
    </row>
    <row r="1155" spans="2:12" outlineLevel="1">
      <c r="B1155" s="237" t="s">
        <v>654</v>
      </c>
      <c r="C1155" s="237" t="s">
        <v>654</v>
      </c>
      <c r="D1155" s="238" t="str">
        <f>_xlfn.XLOOKUP(B1155,'Relacion '!$E:$E,'Relacion '!$D:$D,"")</f>
        <v/>
      </c>
      <c r="E1155" s="239">
        <f t="shared" si="273"/>
        <v>14</v>
      </c>
      <c r="F1155" s="240" cm="1">
        <f t="array" ref="F1155">MIN(INDEX('Relacion '!$X$5:$Y$493,MATCH(INDEX($B:$B, (ROW()-1)),'Relacion '!$E$5:$E$493,0),0))</f>
        <v>46024</v>
      </c>
      <c r="G1155" s="240" cm="1">
        <f t="array" ref="G1155">MAX(INDEX('Relacion '!$X$5:$Y$493,MATCH(INDEX($B:$B, (ROW()-1)),'Relacion '!$E$5:$E$493,0),0))</f>
        <v>46038</v>
      </c>
      <c r="H1155" s="241" cm="1">
        <f t="array" ref="H1155">IF(
 MATCH(B1155,{"01. ASIGNACION AREA";"02. MAPEO";"03. DESARROLLO";"04. VALIDA US";"05. VOBO US";"06. BW-EJECUCION";"07. VALIDACIÓN BAJAWARE";"08. CERRADA"},0)
 &lt;
 MATCH(_xlfn.XLOOKUP(INDEX($B:$B, (ROW()-1)),'Relacion '!$E:$E,'Relacion '!$D:$D,""),{"01. ASIGNACION AREA";"02. MAPEO";"03. DESARROLLO";"04. VALIDA US";"05. VOBO US";"06. BW-EJECUCION";"07. VALIDACIÓN BAJAWARE";"08. CERRADA"},0),
 1,
 IF(
  MATCH(B1155,{"01. ASIGNACION AREA";"02. MAPEO";"03. DESARROLLO";"04. VALIDA US";"05. VOBO US";"06. BW-EJECUCION";"07. VALIDACIÓN BAJAWARE";"08. CERRADA"},0)
  =
  MATCH(_xlfn.XLOOKUP(INDEX($B:$B, (ROW()-1)),'Relacion '!$E:$E,'Relacion '!$D:$D,""),{"01. ASIGNACION AREA";"02. MAPEO";"03. DESARROLLO";"04. VALIDA US";"05. VOBO US";"06. BW-EJECUCION";"07. VALIDACIÓN BAJAWARE";"08. CERRADA"},0),
  _xlfn.XLOOKUP(INDEX($B:$B, (ROW()-1)),'Relacion '!$E:$E,'Relacion '!#REF!,0),
  0
 )
)</f>
        <v>1</v>
      </c>
      <c r="I1155" s="241">
        <f t="shared" ref="I1155" ca="1" si="275">IF(G1155&lt;=TODAY(), 1, 0)</f>
        <v>1</v>
      </c>
      <c r="J1155" s="241"/>
      <c r="K1155" s="241"/>
      <c r="L1155" s="238"/>
    </row>
    <row r="1156" spans="2:12" outlineLevel="1">
      <c r="B1156" s="237" t="s">
        <v>195</v>
      </c>
      <c r="C1156" s="237" t="s">
        <v>195</v>
      </c>
      <c r="D1156" s="238" t="str">
        <f>_xlfn.XLOOKUP(B1156,'Relacion '!$E:$E,'Relacion '!$D:$D,"")</f>
        <v/>
      </c>
      <c r="E1156" s="239">
        <f t="shared" si="273"/>
        <v>11</v>
      </c>
      <c r="F1156" s="240" cm="1">
        <f t="array" ref="F1156">MIN(INDEX('Relacion '!$Z$5:$AA$493,MATCH(INDEX($B:$B, (ROW()-2)),'Relacion '!$E$5:$E$493,0),0))</f>
        <v>46041</v>
      </c>
      <c r="G1156" s="240" cm="1">
        <f t="array" ref="G1156">MAX(INDEX('Relacion '!$Z$5:$AA$493,MATCH(INDEX($B:$B, (ROW()-2)),'Relacion '!$E$5:$E$493,0),0))</f>
        <v>46052</v>
      </c>
      <c r="H1156" s="241" cm="1">
        <f t="array" ref="H1156">IF(
 MATCH(B1156,{"01. ASIGNACION AREA";"02. MAPEO";"03. DESARROLLO";"04. VALIDA US";"05. VOBO US";"06. BW-EJECUCION";"07. VALIDACIÓN BAJAWARE";"08. CERRADA"},0)
 &lt;
 MATCH(_xlfn.XLOOKUP(INDEX($B:$B, (ROW()-2)),'Relacion '!$E:$E,'Relacion '!$D:$D,""),{"01. ASIGNACION AREA";"02. MAPEO";"03. DESARROLLO";"04. VALIDA US";"05. VOBO US";"06. BW-EJECUCION";"07. VALIDACIÓN BAJAWARE";"08. CERRADA"},0),
 1,
 IF(
  MATCH(B1156,{"01. ASIGNACION AREA";"02. MAPEO";"03. DESARROLLO";"04. VALIDA US";"05. VOBO US";"06. BW-EJECUCION";"07. VALIDACIÓN BAJAWARE";"08. CERRADA"},0)
  =
  MATCH(_xlfn.XLOOKUP(INDEX($B:$B, (ROW()-2)),'Relacion '!$E:$E,'Relacion '!$D:$D,""),{"01. ASIGNACION AREA";"02. MAPEO";"03. DESARROLLO";"04. VALIDA US";"05. VOBO US";"06. BW-EJECUCION";"07. VALIDACIÓN BAJAWARE";"08. CERRADA"},0),
  _xlfn.XLOOKUP(INDEX($B:$B, (ROW()-2)),'Relacion '!$E:$E,'Relacion '!#REF!,0),
  0
 )
)</f>
        <v>1</v>
      </c>
      <c r="I1156" s="241">
        <f t="shared" ca="1" si="272"/>
        <v>1</v>
      </c>
      <c r="J1156" s="241"/>
      <c r="K1156" s="241"/>
      <c r="L1156" s="238"/>
    </row>
    <row r="1157" spans="2:12" outlineLevel="1">
      <c r="B1157" s="237" t="s">
        <v>49</v>
      </c>
      <c r="C1157" s="237" t="s">
        <v>49</v>
      </c>
      <c r="D1157" s="238" t="str">
        <f>_xlfn.XLOOKUP(B1157,'Relacion '!$E:$E,'Relacion '!$D:$D,"")</f>
        <v/>
      </c>
      <c r="E1157" s="239">
        <f t="shared" si="273"/>
        <v>13</v>
      </c>
      <c r="F1157" s="240" cm="1">
        <f t="array" ref="F1157">MIN(INDEX('Relacion '!$AB$5:$AC$493,MATCH(INDEX($B:$B, (ROW()-3)),'Relacion '!$E$5:$E$493,0),0))</f>
        <v>46056</v>
      </c>
      <c r="G1157" s="240" cm="1">
        <f t="array" ref="G1157">MAX(INDEX('Relacion '!$AB$5:$AC$493,MATCH(INDEX($B:$B, (ROW()-3)),'Relacion '!$E$5:$E$493,0),0))</f>
        <v>46069</v>
      </c>
      <c r="H1157" s="241" cm="1">
        <f t="array" ref="H1157">IF(
 MATCH(B1157,{"01. ASIGNACION AREA";"02. MAPEO";"03. DESARROLLO";"04. VALIDA US";"05. VOBO US";"06. BW-EJECUCION";"07. VALIDACIÓN BAJAWARE";"08. CERRADA"},0)
 &lt;
 MATCH(_xlfn.XLOOKUP(INDEX($B:$B, (ROW()-3)),'Relacion '!$E:$E,'Relacion '!$D:$D,""),{"01. ASIGNACION AREA";"02. MAPEO";"03. DESARROLLO";"04. VALIDA US";"05. VOBO US";"06. BW-EJECUCION";"07. VALIDACIÓN BAJAWARE";"08. CERRADA"},0),
 1,
 IF(
  MATCH(B1157,{"01. ASIGNACION AREA";"02. MAPEO";"03. DESARROLLO";"04. VALIDA US";"05. VOBO US";"06. BW-EJECUCION";"07. VALIDACIÓN BAJAWARE";"08. CERRADA"},0)
  =
  MATCH(_xlfn.XLOOKUP(INDEX($B:$B, (ROW()-3)),'Relacion '!$E:$E,'Relacion '!$D:$D,""),{"01. ASIGNACION AREA";"02. MAPEO";"03. DESARROLLO";"04. VALIDA US";"05. VOBO US";"06. BW-EJECUCION";"07. VALIDACIÓN BAJAWARE";"08. CERRADA"},0),
  _xlfn.XLOOKUP(INDEX($B:$B, (ROW()-3)),'Relacion '!$E:$E,'Relacion '!#REF!,0),
  0
 )
)</f>
        <v>1</v>
      </c>
      <c r="I1157" s="241">
        <f t="shared" ca="1" si="272"/>
        <v>1</v>
      </c>
      <c r="J1157" s="241"/>
      <c r="K1157" s="241"/>
      <c r="L1157" s="238"/>
    </row>
    <row r="1158" spans="2:12" outlineLevel="1">
      <c r="B1158" s="237" t="s">
        <v>324</v>
      </c>
      <c r="C1158" s="237" t="s">
        <v>324</v>
      </c>
      <c r="D1158" s="238" t="str">
        <f>_xlfn.XLOOKUP(B1158,'Relacion '!$E:$E,'Relacion '!$D:$D,"")</f>
        <v/>
      </c>
      <c r="E1158" s="239">
        <f t="shared" si="273"/>
        <v>2</v>
      </c>
      <c r="F1158" s="240" cm="1">
        <f t="array" ref="F1158">MIN(INDEX('Relacion '!$AD$5:$AE$493,MATCH(INDEX($B:$B, (ROW()-4)),'Relacion '!$E$5:$E$493,0),0))</f>
        <v>46070</v>
      </c>
      <c r="G1158" s="240" cm="1">
        <f t="array" ref="G1158">MAX(INDEX('Relacion '!$AD$5:$AE$493,MATCH(INDEX($B:$B, (ROW()-4)),'Relacion '!$E$5:$E$493,0),0))</f>
        <v>46072</v>
      </c>
      <c r="H1158" s="241" cm="1">
        <f t="array" ref="H1158">IF(
 MATCH(B1158,{"01. ASIGNACION AREA";"02. MAPEO";"03. DESARROLLO";"04. VALIDA US";"05. VOBO US";"06. BW-EJECUCION";"07. VALIDACIÓN BAJAWARE";"08. CERRADA"},0)
 &lt;
 MATCH(_xlfn.XLOOKUP(INDEX($B:$B, (ROW()-4)),'Relacion '!$E:$E,'Relacion '!$D:$D,""),{"01. ASIGNACION AREA";"02. MAPEO";"03. DESARROLLO";"04. VALIDA US";"05. VOBO US";"06. BW-EJECUCION";"07. VALIDACIÓN BAJAWARE";"08. CERRADA"},0),
 1,
 IF(
  MATCH(B1158,{"01. ASIGNACION AREA";"02. MAPEO";"03. DESARROLLO";"04. VALIDA US";"05. VOBO US";"06. BW-EJECUCION";"07. VALIDACIÓN BAJAWARE";"08. CERRADA"},0)
  =
  MATCH(_xlfn.XLOOKUP(INDEX($B:$B, (ROW()-4)),'Relacion '!$E:$E,'Relacion '!$D:$D,""),{"01. ASIGNACION AREA";"02. MAPEO";"03. DESARROLLO";"04. VALIDA US";"05. VOBO US";"06. BW-EJECUCION";"07. VALIDACIÓN BAJAWARE";"08. CERRADA"},0),
  _xlfn.XLOOKUP(INDEX($B:$B, (ROW()-4)),'Relacion '!$E:$E,'Relacion '!#REF!,0),
  0
 )
)</f>
        <v>1</v>
      </c>
      <c r="I1158" s="241">
        <f t="shared" ca="1" si="272"/>
        <v>1</v>
      </c>
      <c r="J1158" s="241"/>
      <c r="K1158" s="241"/>
      <c r="L1158" s="238"/>
    </row>
    <row r="1159" spans="2:12" outlineLevel="1">
      <c r="B1159" s="237" t="s">
        <v>320</v>
      </c>
      <c r="C1159" s="237" t="s">
        <v>320</v>
      </c>
      <c r="D1159" s="238" t="str">
        <f>_xlfn.XLOOKUP(B1159,'Relacion '!$E:$E,'Relacion '!$D:$D,"")</f>
        <v/>
      </c>
      <c r="E1159" s="239">
        <f t="shared" si="273"/>
        <v>0</v>
      </c>
      <c r="F1159" s="240" cm="1">
        <f t="array" ref="F1159">MIN(INDEX('Relacion '!$AF$5:$AG$493,MATCH(INDEX($B:$B, (ROW()-5)),'Relacion '!$E$5:$E$493,0),0))</f>
        <v>46073</v>
      </c>
      <c r="G1159" s="240" cm="1">
        <f t="array" ref="G1159">MAX(INDEX('Relacion '!$AF$5:$AG$493,MATCH(INDEX($B:$B, (ROW()-5)),'Relacion '!$E$5:$E$493,0),0))</f>
        <v>46073</v>
      </c>
      <c r="H1159" s="241" cm="1">
        <f t="array" ref="H1159">IF(
 MATCH(B1159,{"01. ASIGNACION AREA";"02. MAPEO";"03. DESARROLLO";"04. VALIDA US";"05. VOBO US";"06. BW-EJECUCION";"07. VALIDACIÓN BAJAWARE";"08. CERRADA"},0)
 &lt;
 MATCH(_xlfn.XLOOKUP(INDEX($B:$B, (ROW()-5)),'Relacion '!$E:$E,'Relacion '!$D:$D,""),{"01. ASIGNACION AREA";"02. MAPEO";"03. DESARROLLO";"04. VALIDA US";"05. VOBO US";"06. BW-EJECUCION";"07. VALIDACIÓN BAJAWARE";"08. CERRADA"},0),
 1,
 IF(
  MATCH(B1159,{"01. ASIGNACION AREA";"02. MAPEO";"03. DESARROLLO";"04. VALIDA US";"05. VOBO US";"06. BW-EJECUCION";"07. VALIDACIÓN BAJAWARE";"08. CERRADA"},0)
  =
  MATCH(_xlfn.XLOOKUP(INDEX($B:$B, (ROW()-5)),'Relacion '!$E:$E,'Relacion '!$D:$D,""),{"01. ASIGNACION AREA";"02. MAPEO";"03. DESARROLLO";"04. VALIDA US";"05. VOBO US";"06. BW-EJECUCION";"07. VALIDACIÓN BAJAWARE";"08. CERRADA"},0),
  _xlfn.XLOOKUP(INDEX($B:$B, (ROW()-5)),'Relacion '!$E:$E,'Relacion '!#REF!,0),
  0
 )
)</f>
        <v>1</v>
      </c>
      <c r="I1159" s="241">
        <f t="shared" ca="1" si="272"/>
        <v>1</v>
      </c>
      <c r="J1159" s="241"/>
      <c r="K1159" s="241"/>
      <c r="L1159" s="238"/>
    </row>
    <row r="1160" spans="2:12" outlineLevel="1">
      <c r="B1160" s="237" t="s">
        <v>710</v>
      </c>
      <c r="C1160" s="237" t="s">
        <v>710</v>
      </c>
      <c r="D1160" s="238" t="str">
        <f>_xlfn.XLOOKUP(B1160,'Relacion '!$E:$E,'Relacion '!$D:$D,"")</f>
        <v/>
      </c>
      <c r="E1160" s="239">
        <f t="shared" si="273"/>
        <v>25</v>
      </c>
      <c r="F1160" s="240" cm="1">
        <f t="array" ref="F1160">MIN(INDEX('Relacion '!$AH$5:$AI$493,MATCH(INDEX($B:$B, (ROW()-6)),'Relacion '!$E$5:$E$493,0),0))</f>
        <v>46076</v>
      </c>
      <c r="G1160" s="240" cm="1">
        <f t="array" ref="G1160">MAX(INDEX('Relacion '!$AH$5:$AI$493,MATCH(INDEX($B:$B, (ROW()-6)),'Relacion '!$E$5:$E$493,0),0))</f>
        <v>46101</v>
      </c>
      <c r="H1160" s="241" t="e" cm="1">
        <f t="array" ref="H1160">IF(
 MATCH(B1160,{"01. ASIGNACION AREA";"02. MAPEO";"03. DESARROLLO";"04. VALIDA US";"05. VOBO US";"06. BW-EJECUCION";"07. VALIDACIÓN BAJAWARE";"08. CERRADA"},0)
 &lt;
 MATCH(_xlfn.XLOOKUP(INDEX($B:$B, (ROW()-6)),'Relacion '!$E:$E,'Relacion '!$D:$D,""),{"01. ASIGNACION AREA";"02. MAPEO";"03. DESARROLLO";"04. VALIDA US";"05. VOBO US";"06. BW-EJECUCION";"07. VALIDACIÓN BAJAWARE";"08. CERRADA"},0),
 1,
 IF(
  MATCH(B1160,{"01. ASIGNACION AREA";"02. MAPEO";"03. DESARROLLO";"04. VALIDA US";"05. VOBO US";"06. BW-EJECUCION";"07. VALIDACIÓN BAJAWARE";"08. CERRADA"},0)
  =
  MATCH(_xlfn.XLOOKUP(INDEX($B:$B, (ROW()-6)),'Relacion '!$E:$E,'Relacion '!$D:$D,""),{"01. ASIGNACION AREA";"02. MAPEO";"03. DESARROLLO";"04. VALIDA US";"05. VOBO US";"06. BW-EJECUCION";"07. VALIDACIÓN BAJAWARE";"08. CERRADA"},0),
  _xlfn.XLOOKUP(INDEX($B:$B, (ROW()-6)),'Relacion '!$E:$E,'Relacion '!#REF!,0),
  0
 )
)</f>
        <v>#REF!</v>
      </c>
      <c r="I1160" s="241">
        <f t="shared" ca="1" si="272"/>
        <v>1</v>
      </c>
      <c r="J1160" s="241"/>
      <c r="K1160" s="241"/>
      <c r="L1160" s="238"/>
    </row>
    <row r="1161" spans="2:12" outlineLevel="1">
      <c r="B1161" s="237" t="s">
        <v>655</v>
      </c>
      <c r="C1161" s="237" t="s">
        <v>655</v>
      </c>
      <c r="D1161" s="238" t="str">
        <f>_xlfn.XLOOKUP(B1161,'Relacion '!$E:$E,'Relacion '!$D:$D,"")</f>
        <v/>
      </c>
      <c r="E1161" s="239">
        <f t="shared" si="273"/>
        <v>25</v>
      </c>
      <c r="F1161" s="240" cm="1">
        <f t="array" ref="F1161">MIN(INDEX('Relacion '!$AJ$5:$AK$493,MATCH(INDEX($B:$B, (ROW()-7)),'Relacion '!$E$5:$E$493,0),0))</f>
        <v>46104</v>
      </c>
      <c r="G1161" s="240" cm="1">
        <f t="array" ref="G1161">MAX(INDEX('Relacion '!$AJ$5:$AK$493,MATCH(INDEX($B:$B, (ROW()-7)),'Relacion '!$E$5:$E$493,0),0))</f>
        <v>46129</v>
      </c>
      <c r="H1161" s="241" cm="1">
        <f t="array" ref="H1161">IF(
 MATCH(B1161,{"01. ASIGNACION AREA";"02. MAPEO";"03. DESARROLLO";"04. VALIDA US";"05. VOBO US";"06. BW-EJECUCION";"07. VALIDACIÓN BAJAWARE";"08. CERRADA"},0)
 &lt;
 MATCH(_xlfn.XLOOKUP(INDEX($B:$B, (ROW()-7)),'Relacion '!$E:$E,'Relacion '!$D:$D,""),{"01. ASIGNACION AREA";"02. MAPEO";"03. DESARROLLO";"04. VALIDA US";"05. VOBO US";"06. BW-EJECUCION";"07. VALIDACIÓN BAJAWARE";"08. CERRADA"},0),
 1,
 IF(
  MATCH(B1161,{"01. ASIGNACION AREA";"02. MAPEO";"03. DESARROLLO";"04. VALIDA US";"05. VOBO US";"06. BW-EJECUCION";"07. VALIDACIÓN BAJAWARE";"08. CERRADA"},0)
  =
  MATCH(_xlfn.XLOOKUP(INDEX($B:$B, (ROW()-7)),'Relacion '!$E:$E,'Relacion '!$D:$D,""),{"01. ASIGNACION AREA";"02. MAPEO";"03. DESARROLLO";"04. VALIDA US";"05. VOBO US";"06. BW-EJECUCION";"07. VALIDACIÓN BAJAWARE";"08. CERRADA"},0),
  _xlfn.XLOOKUP(INDEX($B:$B, (ROW()-7)),'Relacion '!$E:$E,'Relacion '!#REF!,0),
  0
 )
)</f>
        <v>0</v>
      </c>
      <c r="I1161" s="241">
        <f t="shared" ca="1" si="272"/>
        <v>1</v>
      </c>
      <c r="J1161" s="241"/>
      <c r="K1161" s="241"/>
      <c r="L1161" s="238"/>
    </row>
    <row r="1162" spans="2:12" outlineLevel="1">
      <c r="B1162" s="237" t="s">
        <v>656</v>
      </c>
      <c r="C1162" s="237" t="s">
        <v>656</v>
      </c>
      <c r="D1162" s="238" t="str">
        <f>_xlfn.XLOOKUP(B1162,'Relacion '!$E:$E,'Relacion '!$D:$D,"")</f>
        <v/>
      </c>
      <c r="E1162" s="239">
        <f t="shared" si="273"/>
        <v>0</v>
      </c>
      <c r="F1162" s="240" cm="1">
        <f t="array" ref="F1162">MIN(INDEX('Relacion '!$AL$5:$AM$493,MATCH(INDEX($B:$B, (ROW()-8)),'Relacion '!$E$5:$E$493,0),0))</f>
        <v>46130</v>
      </c>
      <c r="G1162" s="240" cm="1">
        <f t="array" ref="G1162">MAX(INDEX('Relacion '!$AL$5:$AM$493,MATCH(INDEX($B:$B, (ROW()-8)),'Relacion '!$E$5:$E$493,0),0))</f>
        <v>46130</v>
      </c>
      <c r="H1162" s="241" cm="1">
        <f t="array" ref="H1162">IF(
 MATCH(B1162,{"01. ASIGNACION AREA";"02. MAPEO";"03. DESARROLLO";"04. VALIDA US";"05. VOBO US";"06. BW-EJECUCION";"07. VALIDACIÓN BAJAWARE";"08. CERRADA"},0)
 &lt;
 MATCH(_xlfn.XLOOKUP(INDEX($B:$B, (ROW()-8)),'Relacion '!$E:$E,'Relacion '!$D:$D,""),{"01. ASIGNACION AREA";"02. MAPEO";"03. DESARROLLO";"04. VALIDA US";"05. VOBO US";"06. BW-EJECUCION";"07. VALIDACIÓN BAJAWARE";"08. CERRADA"},0),
 1,
 IF(
  MATCH(B1162,{"01. ASIGNACION AREA";"02. MAPEO";"03. DESARROLLO";"04. VALIDA US";"05. VOBO US";"06. BW-EJECUCION";"07. VALIDACIÓN BAJAWARE";"08. CERRADA"},0)
  =
  MATCH(_xlfn.XLOOKUP(INDEX($B:$B, (ROW()-8)),'Relacion '!$E:$E,'Relacion '!$D:$D,""),{"01. ASIGNACION AREA";"02. MAPEO";"03. DESARROLLO";"04. VALIDA US";"05. VOBO US";"06. BW-EJECUCION";"07. VALIDACIÓN BAJAWARE";"08. CERRADA"},0),
  _xlfn.XLOOKUP(INDEX($B:$B, (ROW()-8)),'Relacion '!$E:$E,'Relacion '!#REF!,0),
  0
 )
)</f>
        <v>0</v>
      </c>
      <c r="I1162" s="241">
        <f t="shared" ca="1" si="272"/>
        <v>1</v>
      </c>
      <c r="J1162" s="241"/>
      <c r="K1162" s="241"/>
      <c r="L1162" s="238"/>
    </row>
    <row r="1163" spans="2:12">
      <c r="B1163" s="232" t="s">
        <v>26</v>
      </c>
      <c r="C1163" s="167" t="s">
        <v>548</v>
      </c>
      <c r="D1163" s="236" t="str">
        <f>_xlfn.XLOOKUP(B1163,'Relacion '!$E:$E,'Relacion '!$D:$D,"")</f>
        <v>06. BW-EJECUCION</v>
      </c>
      <c r="E1163" s="233">
        <f t="shared" si="273"/>
        <v>96</v>
      </c>
      <c r="F1163" s="234" cm="1">
        <f t="array" ref="F1163">MIN(INDEX('Relacion '!$X$5:$AM$493,MATCH(INDEX($B:$B, (ROW()-0)),'Relacion '!$E$5:$E$493,0),0))</f>
        <v>46024</v>
      </c>
      <c r="G1163" s="234" cm="1">
        <f t="array" ref="G1163">MAX(INDEX('Relacion '!$X$5:$AM$493,MATCH(INDEX($B:$B, (ROW()-0)),'Relacion '!$E$5:$E$493,0),0))</f>
        <v>46120</v>
      </c>
      <c r="H1163" s="235" t="e">
        <f>AVERAGE(H1164:H1171)</f>
        <v>#REF!</v>
      </c>
      <c r="I1163" s="235">
        <f t="shared" ref="I1163" ca="1" si="276">AVERAGE(I1164:I1171)</f>
        <v>1</v>
      </c>
      <c r="J1163" s="236" t="str">
        <f>IF(ISNUMBER(SEARCH("Rocha", _xlfn.XLOOKUP(B1163,'Relacion '!$E:$E,'Relacion '!$I:$I,""))), "Sí", "No")</f>
        <v>No</v>
      </c>
      <c r="K1163" s="236" t="str">
        <f>IF(ISNUMBER(SEARCH("Rocha", _xlfn.XLOOKUP(B1163,'Relacion '!$E:$E,'Relacion '!$I:$I,""))), "RMC", _xlfn.XLOOKUP(B1163,'Relacion '!$E:$E,'Relacion '!$B:$B,""))</f>
        <v>Contabilidad</v>
      </c>
      <c r="L1163" s="236" t="str">
        <f>_xlfn.XLOOKUP(B1163,'Relacion '!$E:$E,'Relacion '!$C:$C,"")</f>
        <v xml:space="preserve">Ramon Jaimes </v>
      </c>
    </row>
    <row r="1164" spans="2:12" outlineLevel="1">
      <c r="B1164" s="237" t="s">
        <v>654</v>
      </c>
      <c r="C1164" s="237" t="s">
        <v>654</v>
      </c>
      <c r="D1164" s="238" t="str">
        <f>_xlfn.XLOOKUP(B1164,'Relacion '!$E:$E,'Relacion '!$D:$D,"")</f>
        <v/>
      </c>
      <c r="E1164" s="239">
        <f t="shared" si="273"/>
        <v>14</v>
      </c>
      <c r="F1164" s="240" cm="1">
        <f t="array" ref="F1164">MIN(INDEX('Relacion '!$X$5:$Y$493,MATCH(INDEX($B:$B, (ROW()-1)),'Relacion '!$E$5:$E$493,0),0))</f>
        <v>46024</v>
      </c>
      <c r="G1164" s="240" cm="1">
        <f t="array" ref="G1164">MAX(INDEX('Relacion '!$X$5:$Y$493,MATCH(INDEX($B:$B, (ROW()-1)),'Relacion '!$E$5:$E$493,0),0))</f>
        <v>46038</v>
      </c>
      <c r="H1164" s="241" cm="1">
        <f t="array" ref="H1164">IF(
 MATCH(B1164,{"01. ASIGNACION AREA";"02. MAPEO";"03. DESARROLLO";"04. VALIDA US";"05. VOBO US";"06. BW-EJECUCION";"07. VALIDACIÓN BAJAWARE";"08. CERRADA"},0)
 &lt;
 MATCH(_xlfn.XLOOKUP(INDEX($B:$B, (ROW()-1)),'Relacion '!$E:$E,'Relacion '!$D:$D,""),{"01. ASIGNACION AREA";"02. MAPEO";"03. DESARROLLO";"04. VALIDA US";"05. VOBO US";"06. BW-EJECUCION";"07. VALIDACIÓN BAJAWARE";"08. CERRADA"},0),
 1,
 IF(
  MATCH(B1164,{"01. ASIGNACION AREA";"02. MAPEO";"03. DESARROLLO";"04. VALIDA US";"05. VOBO US";"06. BW-EJECUCION";"07. VALIDACIÓN BAJAWARE";"08. CERRADA"},0)
  =
  MATCH(_xlfn.XLOOKUP(INDEX($B:$B, (ROW()-1)),'Relacion '!$E:$E,'Relacion '!$D:$D,""),{"01. ASIGNACION AREA";"02. MAPEO";"03. DESARROLLO";"04. VALIDA US";"05. VOBO US";"06. BW-EJECUCION";"07. VALIDACIÓN BAJAWARE";"08. CERRADA"},0),
  _xlfn.XLOOKUP(INDEX($B:$B, (ROW()-1)),'Relacion '!$E:$E,'Relacion '!#REF!,0),
  0
 )
)</f>
        <v>1</v>
      </c>
      <c r="I1164" s="241">
        <f t="shared" ref="I1164" ca="1" si="277">IF(G1164&lt;=TODAY(), 1, 0)</f>
        <v>1</v>
      </c>
      <c r="J1164" s="241"/>
      <c r="K1164" s="241"/>
      <c r="L1164" s="238"/>
    </row>
    <row r="1165" spans="2:12" outlineLevel="1">
      <c r="B1165" s="237" t="s">
        <v>195</v>
      </c>
      <c r="C1165" s="237" t="s">
        <v>195</v>
      </c>
      <c r="D1165" s="238" t="str">
        <f>_xlfn.XLOOKUP(B1165,'Relacion '!$E:$E,'Relacion '!$D:$D,"")</f>
        <v/>
      </c>
      <c r="E1165" s="239">
        <f t="shared" si="273"/>
        <v>11</v>
      </c>
      <c r="F1165" s="240" cm="1">
        <f t="array" ref="F1165">MIN(INDEX('Relacion '!$Z$5:$AA$493,MATCH(INDEX($B:$B, (ROW()-2)),'Relacion '!$E$5:$E$493,0),0))</f>
        <v>46041</v>
      </c>
      <c r="G1165" s="240" cm="1">
        <f t="array" ref="G1165">MAX(INDEX('Relacion '!$Z$5:$AA$493,MATCH(INDEX($B:$B, (ROW()-2)),'Relacion '!$E$5:$E$493,0),0))</f>
        <v>46052</v>
      </c>
      <c r="H1165" s="241" cm="1">
        <f t="array" ref="H1165">IF(
 MATCH(B1165,{"01. ASIGNACION AREA";"02. MAPEO";"03. DESARROLLO";"04. VALIDA US";"05. VOBO US";"06. BW-EJECUCION";"07. VALIDACIÓN BAJAWARE";"08. CERRADA"},0)
 &lt;
 MATCH(_xlfn.XLOOKUP(INDEX($B:$B, (ROW()-2)),'Relacion '!$E:$E,'Relacion '!$D:$D,""),{"01. ASIGNACION AREA";"02. MAPEO";"03. DESARROLLO";"04. VALIDA US";"05. VOBO US";"06. BW-EJECUCION";"07. VALIDACIÓN BAJAWARE";"08. CERRADA"},0),
 1,
 IF(
  MATCH(B1165,{"01. ASIGNACION AREA";"02. MAPEO";"03. DESARROLLO";"04. VALIDA US";"05. VOBO US";"06. BW-EJECUCION";"07. VALIDACIÓN BAJAWARE";"08. CERRADA"},0)
  =
  MATCH(_xlfn.XLOOKUP(INDEX($B:$B, (ROW()-2)),'Relacion '!$E:$E,'Relacion '!$D:$D,""),{"01. ASIGNACION AREA";"02. MAPEO";"03. DESARROLLO";"04. VALIDA US";"05. VOBO US";"06. BW-EJECUCION";"07. VALIDACIÓN BAJAWARE";"08. CERRADA"},0),
  _xlfn.XLOOKUP(INDEX($B:$B, (ROW()-2)),'Relacion '!$E:$E,'Relacion '!#REF!,0),
  0
 )
)</f>
        <v>1</v>
      </c>
      <c r="I1165" s="241">
        <f t="shared" ca="1" si="272"/>
        <v>1</v>
      </c>
      <c r="J1165" s="241"/>
      <c r="K1165" s="241"/>
      <c r="L1165" s="238"/>
    </row>
    <row r="1166" spans="2:12" outlineLevel="1">
      <c r="B1166" s="237" t="s">
        <v>49</v>
      </c>
      <c r="C1166" s="237" t="s">
        <v>49</v>
      </c>
      <c r="D1166" s="238" t="str">
        <f>_xlfn.XLOOKUP(B1166,'Relacion '!$E:$E,'Relacion '!$D:$D,"")</f>
        <v/>
      </c>
      <c r="E1166" s="239">
        <f t="shared" si="273"/>
        <v>13</v>
      </c>
      <c r="F1166" s="240" cm="1">
        <f t="array" ref="F1166">MIN(INDEX('Relacion '!$AB$5:$AC$493,MATCH(INDEX($B:$B, (ROW()-3)),'Relacion '!$E$5:$E$493,0),0))</f>
        <v>46056</v>
      </c>
      <c r="G1166" s="240" cm="1">
        <f t="array" ref="G1166">MAX(INDEX('Relacion '!$AB$5:$AC$493,MATCH(INDEX($B:$B, (ROW()-3)),'Relacion '!$E$5:$E$493,0),0))</f>
        <v>46069</v>
      </c>
      <c r="H1166" s="241" cm="1">
        <f t="array" ref="H1166">IF(
 MATCH(B1166,{"01. ASIGNACION AREA";"02. MAPEO";"03. DESARROLLO";"04. VALIDA US";"05. VOBO US";"06. BW-EJECUCION";"07. VALIDACIÓN BAJAWARE";"08. CERRADA"},0)
 &lt;
 MATCH(_xlfn.XLOOKUP(INDEX($B:$B, (ROW()-3)),'Relacion '!$E:$E,'Relacion '!$D:$D,""),{"01. ASIGNACION AREA";"02. MAPEO";"03. DESARROLLO";"04. VALIDA US";"05. VOBO US";"06. BW-EJECUCION";"07. VALIDACIÓN BAJAWARE";"08. CERRADA"},0),
 1,
 IF(
  MATCH(B1166,{"01. ASIGNACION AREA";"02. MAPEO";"03. DESARROLLO";"04. VALIDA US";"05. VOBO US";"06. BW-EJECUCION";"07. VALIDACIÓN BAJAWARE";"08. CERRADA"},0)
  =
  MATCH(_xlfn.XLOOKUP(INDEX($B:$B, (ROW()-3)),'Relacion '!$E:$E,'Relacion '!$D:$D,""),{"01. ASIGNACION AREA";"02. MAPEO";"03. DESARROLLO";"04. VALIDA US";"05. VOBO US";"06. BW-EJECUCION";"07. VALIDACIÓN BAJAWARE";"08. CERRADA"},0),
  _xlfn.XLOOKUP(INDEX($B:$B, (ROW()-3)),'Relacion '!$E:$E,'Relacion '!#REF!,0),
  0
 )
)</f>
        <v>1</v>
      </c>
      <c r="I1166" s="241">
        <f t="shared" ca="1" si="272"/>
        <v>1</v>
      </c>
      <c r="J1166" s="241"/>
      <c r="K1166" s="241"/>
      <c r="L1166" s="238"/>
    </row>
    <row r="1167" spans="2:12" outlineLevel="1">
      <c r="B1167" s="237" t="s">
        <v>324</v>
      </c>
      <c r="C1167" s="237" t="s">
        <v>324</v>
      </c>
      <c r="D1167" s="238" t="str">
        <f>_xlfn.XLOOKUP(B1167,'Relacion '!$E:$E,'Relacion '!$D:$D,"")</f>
        <v/>
      </c>
      <c r="E1167" s="239">
        <f t="shared" si="273"/>
        <v>2</v>
      </c>
      <c r="F1167" s="240" cm="1">
        <f t="array" ref="F1167">MIN(INDEX('Relacion '!$AD$5:$AE$493,MATCH(INDEX($B:$B, (ROW()-4)),'Relacion '!$E$5:$E$493,0),0))</f>
        <v>46070</v>
      </c>
      <c r="G1167" s="240" cm="1">
        <f t="array" ref="G1167">MAX(INDEX('Relacion '!$AD$5:$AE$493,MATCH(INDEX($B:$B, (ROW()-4)),'Relacion '!$E$5:$E$493,0),0))</f>
        <v>46072</v>
      </c>
      <c r="H1167" s="241" cm="1">
        <f t="array" ref="H1167">IF(
 MATCH(B1167,{"01. ASIGNACION AREA";"02. MAPEO";"03. DESARROLLO";"04. VALIDA US";"05. VOBO US";"06. BW-EJECUCION";"07. VALIDACIÓN BAJAWARE";"08. CERRADA"},0)
 &lt;
 MATCH(_xlfn.XLOOKUP(INDEX($B:$B, (ROW()-4)),'Relacion '!$E:$E,'Relacion '!$D:$D,""),{"01. ASIGNACION AREA";"02. MAPEO";"03. DESARROLLO";"04. VALIDA US";"05. VOBO US";"06. BW-EJECUCION";"07. VALIDACIÓN BAJAWARE";"08. CERRADA"},0),
 1,
 IF(
  MATCH(B1167,{"01. ASIGNACION AREA";"02. MAPEO";"03. DESARROLLO";"04. VALIDA US";"05. VOBO US";"06. BW-EJECUCION";"07. VALIDACIÓN BAJAWARE";"08. CERRADA"},0)
  =
  MATCH(_xlfn.XLOOKUP(INDEX($B:$B, (ROW()-4)),'Relacion '!$E:$E,'Relacion '!$D:$D,""),{"01. ASIGNACION AREA";"02. MAPEO";"03. DESARROLLO";"04. VALIDA US";"05. VOBO US";"06. BW-EJECUCION";"07. VALIDACIÓN BAJAWARE";"08. CERRADA"},0),
  _xlfn.XLOOKUP(INDEX($B:$B, (ROW()-4)),'Relacion '!$E:$E,'Relacion '!#REF!,0),
  0
 )
)</f>
        <v>1</v>
      </c>
      <c r="I1167" s="241">
        <f t="shared" ca="1" si="272"/>
        <v>1</v>
      </c>
      <c r="J1167" s="241"/>
      <c r="K1167" s="241"/>
      <c r="L1167" s="238"/>
    </row>
    <row r="1168" spans="2:12" outlineLevel="1">
      <c r="B1168" s="237" t="s">
        <v>320</v>
      </c>
      <c r="C1168" s="237" t="s">
        <v>320</v>
      </c>
      <c r="D1168" s="238" t="str">
        <f>_xlfn.XLOOKUP(B1168,'Relacion '!$E:$E,'Relacion '!$D:$D,"")</f>
        <v/>
      </c>
      <c r="E1168" s="239">
        <f t="shared" si="273"/>
        <v>0</v>
      </c>
      <c r="F1168" s="240" cm="1">
        <f t="array" ref="F1168">MIN(INDEX('Relacion '!$AF$5:$AG$493,MATCH(INDEX($B:$B, (ROW()-5)),'Relacion '!$E$5:$E$493,0),0))</f>
        <v>46073</v>
      </c>
      <c r="G1168" s="240" cm="1">
        <f t="array" ref="G1168">MAX(INDEX('Relacion '!$AF$5:$AG$493,MATCH(INDEX($B:$B, (ROW()-5)),'Relacion '!$E$5:$E$493,0),0))</f>
        <v>46073</v>
      </c>
      <c r="H1168" s="241" cm="1">
        <f t="array" ref="H1168">IF(
 MATCH(B1168,{"01. ASIGNACION AREA";"02. MAPEO";"03. DESARROLLO";"04. VALIDA US";"05. VOBO US";"06. BW-EJECUCION";"07. VALIDACIÓN BAJAWARE";"08. CERRADA"},0)
 &lt;
 MATCH(_xlfn.XLOOKUP(INDEX($B:$B, (ROW()-5)),'Relacion '!$E:$E,'Relacion '!$D:$D,""),{"01. ASIGNACION AREA";"02. MAPEO";"03. DESARROLLO";"04. VALIDA US";"05. VOBO US";"06. BW-EJECUCION";"07. VALIDACIÓN BAJAWARE";"08. CERRADA"},0),
 1,
 IF(
  MATCH(B1168,{"01. ASIGNACION AREA";"02. MAPEO";"03. DESARROLLO";"04. VALIDA US";"05. VOBO US";"06. BW-EJECUCION";"07. VALIDACIÓN BAJAWARE";"08. CERRADA"},0)
  =
  MATCH(_xlfn.XLOOKUP(INDEX($B:$B, (ROW()-5)),'Relacion '!$E:$E,'Relacion '!$D:$D,""),{"01. ASIGNACION AREA";"02. MAPEO";"03. DESARROLLO";"04. VALIDA US";"05. VOBO US";"06. BW-EJECUCION";"07. VALIDACIÓN BAJAWARE";"08. CERRADA"},0),
  _xlfn.XLOOKUP(INDEX($B:$B, (ROW()-5)),'Relacion '!$E:$E,'Relacion '!#REF!,0),
  0
 )
)</f>
        <v>1</v>
      </c>
      <c r="I1168" s="241">
        <f t="shared" ca="1" si="272"/>
        <v>1</v>
      </c>
      <c r="J1168" s="241"/>
      <c r="K1168" s="241"/>
      <c r="L1168" s="238"/>
    </row>
    <row r="1169" spans="2:12" outlineLevel="1">
      <c r="B1169" s="237" t="s">
        <v>710</v>
      </c>
      <c r="C1169" s="237" t="s">
        <v>710</v>
      </c>
      <c r="D1169" s="238" t="str">
        <f>_xlfn.XLOOKUP(B1169,'Relacion '!$E:$E,'Relacion '!$D:$D,"")</f>
        <v/>
      </c>
      <c r="E1169" s="239">
        <f t="shared" si="273"/>
        <v>18</v>
      </c>
      <c r="F1169" s="240" cm="1">
        <f t="array" ref="F1169">MIN(INDEX('Relacion '!$AH$5:$AI$493,MATCH(INDEX($B:$B, (ROW()-6)),'Relacion '!$E$5:$E$493,0),0))</f>
        <v>46076</v>
      </c>
      <c r="G1169" s="240" cm="1">
        <f t="array" ref="G1169">MAX(INDEX('Relacion '!$AH$5:$AI$493,MATCH(INDEX($B:$B, (ROW()-6)),'Relacion '!$E$5:$E$493,0),0))</f>
        <v>46094</v>
      </c>
      <c r="H1169" s="241" t="e" cm="1">
        <f t="array" ref="H1169">IF(
 MATCH(B1169,{"01. ASIGNACION AREA";"02. MAPEO";"03. DESARROLLO";"04. VALIDA US";"05. VOBO US";"06. BW-EJECUCION";"07. VALIDACIÓN BAJAWARE";"08. CERRADA"},0)
 &lt;
 MATCH(_xlfn.XLOOKUP(INDEX($B:$B, (ROW()-6)),'Relacion '!$E:$E,'Relacion '!$D:$D,""),{"01. ASIGNACION AREA";"02. MAPEO";"03. DESARROLLO";"04. VALIDA US";"05. VOBO US";"06. BW-EJECUCION";"07. VALIDACIÓN BAJAWARE";"08. CERRADA"},0),
 1,
 IF(
  MATCH(B1169,{"01. ASIGNACION AREA";"02. MAPEO";"03. DESARROLLO";"04. VALIDA US";"05. VOBO US";"06. BW-EJECUCION";"07. VALIDACIÓN BAJAWARE";"08. CERRADA"},0)
  =
  MATCH(_xlfn.XLOOKUP(INDEX($B:$B, (ROW()-6)),'Relacion '!$E:$E,'Relacion '!$D:$D,""),{"01. ASIGNACION AREA";"02. MAPEO";"03. DESARROLLO";"04. VALIDA US";"05. VOBO US";"06. BW-EJECUCION";"07. VALIDACIÓN BAJAWARE";"08. CERRADA"},0),
  _xlfn.XLOOKUP(INDEX($B:$B, (ROW()-6)),'Relacion '!$E:$E,'Relacion '!#REF!,0),
  0
 )
)</f>
        <v>#REF!</v>
      </c>
      <c r="I1169" s="241">
        <f t="shared" ca="1" si="272"/>
        <v>1</v>
      </c>
      <c r="J1169" s="241"/>
      <c r="K1169" s="241"/>
      <c r="L1169" s="238"/>
    </row>
    <row r="1170" spans="2:12" outlineLevel="1">
      <c r="B1170" s="237" t="s">
        <v>655</v>
      </c>
      <c r="C1170" s="237" t="s">
        <v>655</v>
      </c>
      <c r="D1170" s="238" t="str">
        <f>_xlfn.XLOOKUP(B1170,'Relacion '!$E:$E,'Relacion '!$D:$D,"")</f>
        <v/>
      </c>
      <c r="E1170" s="239">
        <f t="shared" si="273"/>
        <v>18</v>
      </c>
      <c r="F1170" s="240" cm="1">
        <f t="array" ref="F1170">MIN(INDEX('Relacion '!$AJ$5:$AK$493,MATCH(INDEX($B:$B, (ROW()-7)),'Relacion '!$E$5:$E$493,0),0))</f>
        <v>46097</v>
      </c>
      <c r="G1170" s="240" cm="1">
        <f t="array" ref="G1170">MAX(INDEX('Relacion '!$AJ$5:$AK$493,MATCH(INDEX($B:$B, (ROW()-7)),'Relacion '!$E$5:$E$493,0),0))</f>
        <v>46115</v>
      </c>
      <c r="H1170" s="241" cm="1">
        <f t="array" ref="H1170">IF(
 MATCH(B1170,{"01. ASIGNACION AREA";"02. MAPEO";"03. DESARROLLO";"04. VALIDA US";"05. VOBO US";"06. BW-EJECUCION";"07. VALIDACIÓN BAJAWARE";"08. CERRADA"},0)
 &lt;
 MATCH(_xlfn.XLOOKUP(INDEX($B:$B, (ROW()-7)),'Relacion '!$E:$E,'Relacion '!$D:$D,""),{"01. ASIGNACION AREA";"02. MAPEO";"03. DESARROLLO";"04. VALIDA US";"05. VOBO US";"06. BW-EJECUCION";"07. VALIDACIÓN BAJAWARE";"08. CERRADA"},0),
 1,
 IF(
  MATCH(B1170,{"01. ASIGNACION AREA";"02. MAPEO";"03. DESARROLLO";"04. VALIDA US";"05. VOBO US";"06. BW-EJECUCION";"07. VALIDACIÓN BAJAWARE";"08. CERRADA"},0)
  =
  MATCH(_xlfn.XLOOKUP(INDEX($B:$B, (ROW()-7)),'Relacion '!$E:$E,'Relacion '!$D:$D,""),{"01. ASIGNACION AREA";"02. MAPEO";"03. DESARROLLO";"04. VALIDA US";"05. VOBO US";"06. BW-EJECUCION";"07. VALIDACIÓN BAJAWARE";"08. CERRADA"},0),
  _xlfn.XLOOKUP(INDEX($B:$B, (ROW()-7)),'Relacion '!$E:$E,'Relacion '!#REF!,0),
  0
 )
)</f>
        <v>0</v>
      </c>
      <c r="I1170" s="241">
        <f t="shared" ca="1" si="272"/>
        <v>1</v>
      </c>
      <c r="J1170" s="241"/>
      <c r="K1170" s="241"/>
      <c r="L1170" s="238"/>
    </row>
    <row r="1171" spans="2:12" outlineLevel="1">
      <c r="B1171" s="237" t="s">
        <v>656</v>
      </c>
      <c r="C1171" s="237" t="s">
        <v>656</v>
      </c>
      <c r="D1171" s="238" t="str">
        <f>_xlfn.XLOOKUP(B1171,'Relacion '!$E:$E,'Relacion '!$D:$D,"")</f>
        <v/>
      </c>
      <c r="E1171" s="239">
        <f t="shared" si="273"/>
        <v>2</v>
      </c>
      <c r="F1171" s="240" cm="1">
        <f t="array" ref="F1171">MIN(INDEX('Relacion '!$AL$5:$AM$493,MATCH(INDEX($B:$B, (ROW()-8)),'Relacion '!$E$5:$E$493,0),0))</f>
        <v>46118</v>
      </c>
      <c r="G1171" s="240" cm="1">
        <f t="array" ref="G1171">MAX(INDEX('Relacion '!$AL$5:$AM$493,MATCH(INDEX($B:$B, (ROW()-8)),'Relacion '!$E$5:$E$493,0),0))</f>
        <v>46120</v>
      </c>
      <c r="H1171" s="241" cm="1">
        <f t="array" ref="H1171">IF(
 MATCH(B1171,{"01. ASIGNACION AREA";"02. MAPEO";"03. DESARROLLO";"04. VALIDA US";"05. VOBO US";"06. BW-EJECUCION";"07. VALIDACIÓN BAJAWARE";"08. CERRADA"},0)
 &lt;
 MATCH(_xlfn.XLOOKUP(INDEX($B:$B, (ROW()-8)),'Relacion '!$E:$E,'Relacion '!$D:$D,""),{"01. ASIGNACION AREA";"02. MAPEO";"03. DESARROLLO";"04. VALIDA US";"05. VOBO US";"06. BW-EJECUCION";"07. VALIDACIÓN BAJAWARE";"08. CERRADA"},0),
 1,
 IF(
  MATCH(B1171,{"01. ASIGNACION AREA";"02. MAPEO";"03. DESARROLLO";"04. VALIDA US";"05. VOBO US";"06. BW-EJECUCION";"07. VALIDACIÓN BAJAWARE";"08. CERRADA"},0)
  =
  MATCH(_xlfn.XLOOKUP(INDEX($B:$B, (ROW()-8)),'Relacion '!$E:$E,'Relacion '!$D:$D,""),{"01. ASIGNACION AREA";"02. MAPEO";"03. DESARROLLO";"04. VALIDA US";"05. VOBO US";"06. BW-EJECUCION";"07. VALIDACIÓN BAJAWARE";"08. CERRADA"},0),
  _xlfn.XLOOKUP(INDEX($B:$B, (ROW()-8)),'Relacion '!$E:$E,'Relacion '!#REF!,0),
  0
 )
)</f>
        <v>0</v>
      </c>
      <c r="I1171" s="241">
        <f t="shared" ca="1" si="272"/>
        <v>1</v>
      </c>
      <c r="J1171" s="241"/>
      <c r="K1171" s="241"/>
      <c r="L1171" s="238"/>
    </row>
    <row r="1172" spans="2:12">
      <c r="B1172" s="232" t="s">
        <v>549</v>
      </c>
      <c r="C1172" s="174" t="s">
        <v>417</v>
      </c>
      <c r="D1172" s="236" t="str">
        <f>_xlfn.XLOOKUP(B1172,'Relacion '!$E:$E,'Relacion '!$D:$D,"")</f>
        <v>08. CERRADA</v>
      </c>
      <c r="E1172" s="233">
        <f t="shared" si="273"/>
        <v>449</v>
      </c>
      <c r="F1172" s="234" cm="1">
        <f t="array" ref="F1172">MIN(INDEX('Relacion '!$X$5:$AM$493,MATCH(INDEX($B:$B, (ROW()-0)),'Relacion '!$E$5:$E$493,0),0))</f>
        <v>45659</v>
      </c>
      <c r="G1172" s="234" cm="1">
        <f t="array" ref="G1172">MAX(INDEX('Relacion '!$X$5:$AM$493,MATCH(INDEX($B:$B, (ROW()-0)),'Relacion '!$E$5:$E$493,0),0))</f>
        <v>46108</v>
      </c>
      <c r="H1172" s="235" t="e">
        <f>AVERAGE(H1173:H1180)</f>
        <v>#REF!</v>
      </c>
      <c r="I1172" s="235">
        <f t="shared" ref="I1172" ca="1" si="278">AVERAGE(I1173:I1180)</f>
        <v>1</v>
      </c>
      <c r="J1172" s="236" t="str">
        <f>IF(ISNUMBER(SEARCH("Rocha", _xlfn.XLOOKUP(B1172,'Relacion '!$E:$E,'Relacion '!$I:$I,""))), "Sí", "No")</f>
        <v>No</v>
      </c>
      <c r="K1172" s="236" t="str">
        <f>IF(ISNUMBER(SEARCH("Rocha", _xlfn.XLOOKUP(B1172,'Relacion '!$E:$E,'Relacion '!$I:$I,""))), "RMC", _xlfn.XLOOKUP(B1172,'Relacion '!$E:$E,'Relacion '!$B:$B,""))</f>
        <v>Producto</v>
      </c>
      <c r="L1172" s="236" t="str">
        <f>_xlfn.XLOOKUP(B1172,'Relacion '!$E:$E,'Relacion '!$C:$C,"")</f>
        <v>Claudia Barroso</v>
      </c>
    </row>
    <row r="1173" spans="2:12" outlineLevel="1">
      <c r="B1173" s="237" t="s">
        <v>654</v>
      </c>
      <c r="C1173" s="237" t="s">
        <v>654</v>
      </c>
      <c r="D1173" s="238" t="str">
        <f>_xlfn.XLOOKUP(B1173,'Relacion '!$E:$E,'Relacion '!$D:$D,"")</f>
        <v/>
      </c>
      <c r="E1173" s="239">
        <f t="shared" si="273"/>
        <v>424</v>
      </c>
      <c r="F1173" s="240" cm="1">
        <f t="array" ref="F1173">MIN(INDEX('Relacion '!$X$5:$Y$493,MATCH(INDEX($B:$B, (ROW()-1)),'Relacion '!$E$5:$E$493,0),0))</f>
        <v>45659</v>
      </c>
      <c r="G1173" s="240" cm="1">
        <f t="array" ref="G1173">MAX(INDEX('Relacion '!$X$5:$Y$493,MATCH(INDEX($B:$B, (ROW()-1)),'Relacion '!$E$5:$E$493,0),0))</f>
        <v>46083</v>
      </c>
      <c r="H1173" s="241" cm="1">
        <f t="array" ref="H1173">IF(
 MATCH(B1173,{"01. ASIGNACION AREA";"02. MAPEO";"03. DESARROLLO";"04. VALIDA US";"05. VOBO US";"06. BW-EJECUCION";"07. VALIDACIÓN BAJAWARE";"08. CERRADA"},0)
 &lt;
 MATCH(_xlfn.XLOOKUP(INDEX($B:$B, (ROW()-1)),'Relacion '!$E:$E,'Relacion '!$D:$D,""),{"01. ASIGNACION AREA";"02. MAPEO";"03. DESARROLLO";"04. VALIDA US";"05. VOBO US";"06. BW-EJECUCION";"07. VALIDACIÓN BAJAWARE";"08. CERRADA"},0),
 1,
 IF(
  MATCH(B1173,{"01. ASIGNACION AREA";"02. MAPEO";"03. DESARROLLO";"04. VALIDA US";"05. VOBO US";"06. BW-EJECUCION";"07. VALIDACIÓN BAJAWARE";"08. CERRADA"},0)
  =
  MATCH(_xlfn.XLOOKUP(INDEX($B:$B, (ROW()-1)),'Relacion '!$E:$E,'Relacion '!$D:$D,""),{"01. ASIGNACION AREA";"02. MAPEO";"03. DESARROLLO";"04. VALIDA US";"05. VOBO US";"06. BW-EJECUCION";"07. VALIDACIÓN BAJAWARE";"08. CERRADA"},0),
  _xlfn.XLOOKUP(INDEX($B:$B, (ROW()-1)),'Relacion '!$E:$E,'Relacion '!#REF!,0),
  0
 )
)</f>
        <v>1</v>
      </c>
      <c r="I1173" s="241">
        <f t="shared" ref="I1173" ca="1" si="279">IF(G1173&lt;=TODAY(), 1, 0)</f>
        <v>1</v>
      </c>
      <c r="J1173" s="241"/>
      <c r="K1173" s="241"/>
      <c r="L1173" s="238"/>
    </row>
    <row r="1174" spans="2:12" outlineLevel="1">
      <c r="B1174" s="237" t="s">
        <v>195</v>
      </c>
      <c r="C1174" s="237" t="s">
        <v>195</v>
      </c>
      <c r="D1174" s="238" t="str">
        <f>_xlfn.XLOOKUP(B1174,'Relacion '!$E:$E,'Relacion '!$D:$D,"")</f>
        <v/>
      </c>
      <c r="E1174" s="239">
        <f t="shared" si="273"/>
        <v>0</v>
      </c>
      <c r="F1174" s="240" cm="1">
        <f t="array" ref="F1174">MIN(INDEX('Relacion '!$Z$5:$AA$493,MATCH(INDEX($B:$B, (ROW()-2)),'Relacion '!$E$5:$E$493,0),0))</f>
        <v>46108</v>
      </c>
      <c r="G1174" s="240" cm="1">
        <f t="array" ref="G1174">MAX(INDEX('Relacion '!$Z$5:$AA$493,MATCH(INDEX($B:$B, (ROW()-2)),'Relacion '!$E$5:$E$493,0),0))</f>
        <v>46108</v>
      </c>
      <c r="H1174" s="241" cm="1">
        <f t="array" ref="H1174">IF(
 MATCH(B1174,{"01. ASIGNACION AREA";"02. MAPEO";"03. DESARROLLO";"04. VALIDA US";"05. VOBO US";"06. BW-EJECUCION";"07. VALIDACIÓN BAJAWARE";"08. CERRADA"},0)
 &lt;
 MATCH(_xlfn.XLOOKUP(INDEX($B:$B, (ROW()-2)),'Relacion '!$E:$E,'Relacion '!$D:$D,""),{"01. ASIGNACION AREA";"02. MAPEO";"03. DESARROLLO";"04. VALIDA US";"05. VOBO US";"06. BW-EJECUCION";"07. VALIDACIÓN BAJAWARE";"08. CERRADA"},0),
 1,
 IF(
  MATCH(B1174,{"01. ASIGNACION AREA";"02. MAPEO";"03. DESARROLLO";"04. VALIDA US";"05. VOBO US";"06. BW-EJECUCION";"07. VALIDACIÓN BAJAWARE";"08. CERRADA"},0)
  =
  MATCH(_xlfn.XLOOKUP(INDEX($B:$B, (ROW()-2)),'Relacion '!$E:$E,'Relacion '!$D:$D,""),{"01. ASIGNACION AREA";"02. MAPEO";"03. DESARROLLO";"04. VALIDA US";"05. VOBO US";"06. BW-EJECUCION";"07. VALIDACIÓN BAJAWARE";"08. CERRADA"},0),
  _xlfn.XLOOKUP(INDEX($B:$B, (ROW()-2)),'Relacion '!$E:$E,'Relacion '!#REF!,0),
  0
 )
)</f>
        <v>1</v>
      </c>
      <c r="I1174" s="241">
        <f t="shared" ca="1" si="272"/>
        <v>1</v>
      </c>
      <c r="J1174" s="241"/>
      <c r="K1174" s="241"/>
      <c r="L1174" s="238"/>
    </row>
    <row r="1175" spans="2:12" outlineLevel="1">
      <c r="B1175" s="237" t="s">
        <v>49</v>
      </c>
      <c r="C1175" s="237" t="s">
        <v>49</v>
      </c>
      <c r="D1175" s="238" t="str">
        <f>_xlfn.XLOOKUP(B1175,'Relacion '!$E:$E,'Relacion '!$D:$D,"")</f>
        <v/>
      </c>
      <c r="E1175" s="239">
        <f t="shared" si="273"/>
        <v>0</v>
      </c>
      <c r="F1175" s="240" cm="1">
        <f t="array" ref="F1175">MIN(INDEX('Relacion '!$AB$5:$AC$493,MATCH(INDEX($B:$B, (ROW()-3)),'Relacion '!$E$5:$E$493,0),0))</f>
        <v>46108</v>
      </c>
      <c r="G1175" s="240" cm="1">
        <f t="array" ref="G1175">MAX(INDEX('Relacion '!$AB$5:$AC$493,MATCH(INDEX($B:$B, (ROW()-3)),'Relacion '!$E$5:$E$493,0),0))</f>
        <v>46108</v>
      </c>
      <c r="H1175" s="241" cm="1">
        <f t="array" ref="H1175">IF(
 MATCH(B1175,{"01. ASIGNACION AREA";"02. MAPEO";"03. DESARROLLO";"04. VALIDA US";"05. VOBO US";"06. BW-EJECUCION";"07. VALIDACIÓN BAJAWARE";"08. CERRADA"},0)
 &lt;
 MATCH(_xlfn.XLOOKUP(INDEX($B:$B, (ROW()-3)),'Relacion '!$E:$E,'Relacion '!$D:$D,""),{"01. ASIGNACION AREA";"02. MAPEO";"03. DESARROLLO";"04. VALIDA US";"05. VOBO US";"06. BW-EJECUCION";"07. VALIDACIÓN BAJAWARE";"08. CERRADA"},0),
 1,
 IF(
  MATCH(B1175,{"01. ASIGNACION AREA";"02. MAPEO";"03. DESARROLLO";"04. VALIDA US";"05. VOBO US";"06. BW-EJECUCION";"07. VALIDACIÓN BAJAWARE";"08. CERRADA"},0)
  =
  MATCH(_xlfn.XLOOKUP(INDEX($B:$B, (ROW()-3)),'Relacion '!$E:$E,'Relacion '!$D:$D,""),{"01. ASIGNACION AREA";"02. MAPEO";"03. DESARROLLO";"04. VALIDA US";"05. VOBO US";"06. BW-EJECUCION";"07. VALIDACIÓN BAJAWARE";"08. CERRADA"},0),
  _xlfn.XLOOKUP(INDEX($B:$B, (ROW()-3)),'Relacion '!$E:$E,'Relacion '!#REF!,0),
  0
 )
)</f>
        <v>1</v>
      </c>
      <c r="I1175" s="241">
        <f t="shared" ca="1" si="272"/>
        <v>1</v>
      </c>
      <c r="J1175" s="241"/>
      <c r="K1175" s="241"/>
      <c r="L1175" s="238"/>
    </row>
    <row r="1176" spans="2:12" outlineLevel="1">
      <c r="B1176" s="237" t="s">
        <v>324</v>
      </c>
      <c r="C1176" s="237" t="s">
        <v>324</v>
      </c>
      <c r="D1176" s="238" t="str">
        <f>_xlfn.XLOOKUP(B1176,'Relacion '!$E:$E,'Relacion '!$D:$D,"")</f>
        <v/>
      </c>
      <c r="E1176" s="239">
        <f t="shared" si="273"/>
        <v>0</v>
      </c>
      <c r="F1176" s="240" cm="1">
        <f t="array" ref="F1176">MIN(INDEX('Relacion '!$AD$5:$AE$493,MATCH(INDEX($B:$B, (ROW()-4)),'Relacion '!$E$5:$E$493,0),0))</f>
        <v>46108</v>
      </c>
      <c r="G1176" s="240" cm="1">
        <f t="array" ref="G1176">MAX(INDEX('Relacion '!$AD$5:$AE$493,MATCH(INDEX($B:$B, (ROW()-4)),'Relacion '!$E$5:$E$493,0),0))</f>
        <v>46108</v>
      </c>
      <c r="H1176" s="241" cm="1">
        <f t="array" ref="H1176">IF(
 MATCH(B1176,{"01. ASIGNACION AREA";"02. MAPEO";"03. DESARROLLO";"04. VALIDA US";"05. VOBO US";"06. BW-EJECUCION";"07. VALIDACIÓN BAJAWARE";"08. CERRADA"},0)
 &lt;
 MATCH(_xlfn.XLOOKUP(INDEX($B:$B, (ROW()-4)),'Relacion '!$E:$E,'Relacion '!$D:$D,""),{"01. ASIGNACION AREA";"02. MAPEO";"03. DESARROLLO";"04. VALIDA US";"05. VOBO US";"06. BW-EJECUCION";"07. VALIDACIÓN BAJAWARE";"08. CERRADA"},0),
 1,
 IF(
  MATCH(B1176,{"01. ASIGNACION AREA";"02. MAPEO";"03. DESARROLLO";"04. VALIDA US";"05. VOBO US";"06. BW-EJECUCION";"07. VALIDACIÓN BAJAWARE";"08. CERRADA"},0)
  =
  MATCH(_xlfn.XLOOKUP(INDEX($B:$B, (ROW()-4)),'Relacion '!$E:$E,'Relacion '!$D:$D,""),{"01. ASIGNACION AREA";"02. MAPEO";"03. DESARROLLO";"04. VALIDA US";"05. VOBO US";"06. BW-EJECUCION";"07. VALIDACIÓN BAJAWARE";"08. CERRADA"},0),
  _xlfn.XLOOKUP(INDEX($B:$B, (ROW()-4)),'Relacion '!$E:$E,'Relacion '!#REF!,0),
  0
 )
)</f>
        <v>1</v>
      </c>
      <c r="I1176" s="241">
        <f t="shared" ca="1" si="272"/>
        <v>1</v>
      </c>
      <c r="J1176" s="241"/>
      <c r="K1176" s="241"/>
      <c r="L1176" s="238"/>
    </row>
    <row r="1177" spans="2:12" outlineLevel="1">
      <c r="B1177" s="237" t="s">
        <v>320</v>
      </c>
      <c r="C1177" s="237" t="s">
        <v>320</v>
      </c>
      <c r="D1177" s="238" t="str">
        <f>_xlfn.XLOOKUP(B1177,'Relacion '!$E:$E,'Relacion '!$D:$D,"")</f>
        <v/>
      </c>
      <c r="E1177" s="239">
        <f t="shared" si="273"/>
        <v>0</v>
      </c>
      <c r="F1177" s="240" cm="1">
        <f t="array" ref="F1177">MIN(INDEX('Relacion '!$AF$5:$AG$493,MATCH(INDEX($B:$B, (ROW()-5)),'Relacion '!$E$5:$E$493,0),0))</f>
        <v>46108</v>
      </c>
      <c r="G1177" s="240" cm="1">
        <f t="array" ref="G1177">MAX(INDEX('Relacion '!$AF$5:$AG$493,MATCH(INDEX($B:$B, (ROW()-5)),'Relacion '!$E$5:$E$493,0),0))</f>
        <v>46108</v>
      </c>
      <c r="H1177" s="241" cm="1">
        <f t="array" ref="H1177">IF(
 MATCH(B1177,{"01. ASIGNACION AREA";"02. MAPEO";"03. DESARROLLO";"04. VALIDA US";"05. VOBO US";"06. BW-EJECUCION";"07. VALIDACIÓN BAJAWARE";"08. CERRADA"},0)
 &lt;
 MATCH(_xlfn.XLOOKUP(INDEX($B:$B, (ROW()-5)),'Relacion '!$E:$E,'Relacion '!$D:$D,""),{"01. ASIGNACION AREA";"02. MAPEO";"03. DESARROLLO";"04. VALIDA US";"05. VOBO US";"06. BW-EJECUCION";"07. VALIDACIÓN BAJAWARE";"08. CERRADA"},0),
 1,
 IF(
  MATCH(B1177,{"01. ASIGNACION AREA";"02. MAPEO";"03. DESARROLLO";"04. VALIDA US";"05. VOBO US";"06. BW-EJECUCION";"07. VALIDACIÓN BAJAWARE";"08. CERRADA"},0)
  =
  MATCH(_xlfn.XLOOKUP(INDEX($B:$B, (ROW()-5)),'Relacion '!$E:$E,'Relacion '!$D:$D,""),{"01. ASIGNACION AREA";"02. MAPEO";"03. DESARROLLO";"04. VALIDA US";"05. VOBO US";"06. BW-EJECUCION";"07. VALIDACIÓN BAJAWARE";"08. CERRADA"},0),
  _xlfn.XLOOKUP(INDEX($B:$B, (ROW()-5)),'Relacion '!$E:$E,'Relacion '!#REF!,0),
  0
 )
)</f>
        <v>1</v>
      </c>
      <c r="I1177" s="241">
        <f t="shared" ca="1" si="272"/>
        <v>1</v>
      </c>
      <c r="J1177" s="241"/>
      <c r="K1177" s="241"/>
      <c r="L1177" s="238"/>
    </row>
    <row r="1178" spans="2:12" outlineLevel="1">
      <c r="B1178" s="237" t="s">
        <v>710</v>
      </c>
      <c r="C1178" s="237" t="s">
        <v>710</v>
      </c>
      <c r="D1178" s="238" t="str">
        <f>_xlfn.XLOOKUP(B1178,'Relacion '!$E:$E,'Relacion '!$D:$D,"")</f>
        <v/>
      </c>
      <c r="E1178" s="239">
        <f t="shared" si="273"/>
        <v>0</v>
      </c>
      <c r="F1178" s="240" cm="1">
        <f t="array" ref="F1178">MIN(INDEX('Relacion '!$AH$5:$AI$493,MATCH(INDEX($B:$B, (ROW()-6)),'Relacion '!$E$5:$E$493,0),0))</f>
        <v>46108</v>
      </c>
      <c r="G1178" s="240" cm="1">
        <f t="array" ref="G1178">MAX(INDEX('Relacion '!$AH$5:$AI$493,MATCH(INDEX($B:$B, (ROW()-6)),'Relacion '!$E$5:$E$493,0),0))</f>
        <v>46108</v>
      </c>
      <c r="H1178" s="241" cm="1">
        <f t="array" ref="H1178">IF(
 MATCH(B1178,{"01. ASIGNACION AREA";"02. MAPEO";"03. DESARROLLO";"04. VALIDA US";"05. VOBO US";"06. BW-EJECUCION";"07. VALIDACIÓN BAJAWARE";"08. CERRADA"},0)
 &lt;
 MATCH(_xlfn.XLOOKUP(INDEX($B:$B, (ROW()-6)),'Relacion '!$E:$E,'Relacion '!$D:$D,""),{"01. ASIGNACION AREA";"02. MAPEO";"03. DESARROLLO";"04. VALIDA US";"05. VOBO US";"06. BW-EJECUCION";"07. VALIDACIÓN BAJAWARE";"08. CERRADA"},0),
 1,
 IF(
  MATCH(B1178,{"01. ASIGNACION AREA";"02. MAPEO";"03. DESARROLLO";"04. VALIDA US";"05. VOBO US";"06. BW-EJECUCION";"07. VALIDACIÓN BAJAWARE";"08. CERRADA"},0)
  =
  MATCH(_xlfn.XLOOKUP(INDEX($B:$B, (ROW()-6)),'Relacion '!$E:$E,'Relacion '!$D:$D,""),{"01. ASIGNACION AREA";"02. MAPEO";"03. DESARROLLO";"04. VALIDA US";"05. VOBO US";"06. BW-EJECUCION";"07. VALIDACIÓN BAJAWARE";"08. CERRADA"},0),
  _xlfn.XLOOKUP(INDEX($B:$B, (ROW()-6)),'Relacion '!$E:$E,'Relacion '!#REF!,0),
  0
 )
)</f>
        <v>1</v>
      </c>
      <c r="I1178" s="241">
        <f t="shared" ca="1" si="272"/>
        <v>1</v>
      </c>
      <c r="J1178" s="241"/>
      <c r="K1178" s="241"/>
      <c r="L1178" s="238"/>
    </row>
    <row r="1179" spans="2:12" outlineLevel="1">
      <c r="B1179" s="237" t="s">
        <v>655</v>
      </c>
      <c r="C1179" s="237" t="s">
        <v>655</v>
      </c>
      <c r="D1179" s="238" t="str">
        <f>_xlfn.XLOOKUP(B1179,'Relacion '!$E:$E,'Relacion '!$D:$D,"")</f>
        <v/>
      </c>
      <c r="E1179" s="239">
        <f t="shared" si="273"/>
        <v>0</v>
      </c>
      <c r="F1179" s="240" cm="1">
        <f t="array" ref="F1179">MIN(INDEX('Relacion '!$AJ$5:$AK$493,MATCH(INDEX($B:$B, (ROW()-7)),'Relacion '!$E$5:$E$493,0),0))</f>
        <v>46108</v>
      </c>
      <c r="G1179" s="240" cm="1">
        <f t="array" ref="G1179">MAX(INDEX('Relacion '!$AJ$5:$AK$493,MATCH(INDEX($B:$B, (ROW()-7)),'Relacion '!$E$5:$E$493,0),0))</f>
        <v>46108</v>
      </c>
      <c r="H1179" s="241" cm="1">
        <f t="array" ref="H1179">IF(
 MATCH(B1179,{"01. ASIGNACION AREA";"02. MAPEO";"03. DESARROLLO";"04. VALIDA US";"05. VOBO US";"06. BW-EJECUCION";"07. VALIDACIÓN BAJAWARE";"08. CERRADA"},0)
 &lt;
 MATCH(_xlfn.XLOOKUP(INDEX($B:$B, (ROW()-7)),'Relacion '!$E:$E,'Relacion '!$D:$D,""),{"01. ASIGNACION AREA";"02. MAPEO";"03. DESARROLLO";"04. VALIDA US";"05. VOBO US";"06. BW-EJECUCION";"07. VALIDACIÓN BAJAWARE";"08. CERRADA"},0),
 1,
 IF(
  MATCH(B1179,{"01. ASIGNACION AREA";"02. MAPEO";"03. DESARROLLO";"04. VALIDA US";"05. VOBO US";"06. BW-EJECUCION";"07. VALIDACIÓN BAJAWARE";"08. CERRADA"},0)
  =
  MATCH(_xlfn.XLOOKUP(INDEX($B:$B, (ROW()-7)),'Relacion '!$E:$E,'Relacion '!$D:$D,""),{"01. ASIGNACION AREA";"02. MAPEO";"03. DESARROLLO";"04. VALIDA US";"05. VOBO US";"06. BW-EJECUCION";"07. VALIDACIÓN BAJAWARE";"08. CERRADA"},0),
  _xlfn.XLOOKUP(INDEX($B:$B, (ROW()-7)),'Relacion '!$E:$E,'Relacion '!#REF!,0),
  0
 )
)</f>
        <v>1</v>
      </c>
      <c r="I1179" s="241">
        <f t="shared" ca="1" si="272"/>
        <v>1</v>
      </c>
      <c r="J1179" s="241"/>
      <c r="K1179" s="241"/>
      <c r="L1179" s="238"/>
    </row>
    <row r="1180" spans="2:12" outlineLevel="1">
      <c r="B1180" s="237" t="s">
        <v>656</v>
      </c>
      <c r="C1180" s="237" t="s">
        <v>656</v>
      </c>
      <c r="D1180" s="238" t="str">
        <f>_xlfn.XLOOKUP(B1180,'Relacion '!$E:$E,'Relacion '!$D:$D,"")</f>
        <v/>
      </c>
      <c r="E1180" s="239">
        <f t="shared" si="273"/>
        <v>0</v>
      </c>
      <c r="F1180" s="240" cm="1">
        <f t="array" ref="F1180">MIN(INDEX('Relacion '!$AL$5:$AM$493,MATCH(INDEX($B:$B, (ROW()-8)),'Relacion '!$E$5:$E$493,0),0))</f>
        <v>46108</v>
      </c>
      <c r="G1180" s="240" cm="1">
        <f t="array" ref="G1180">MAX(INDEX('Relacion '!$AL$5:$AM$493,MATCH(INDEX($B:$B, (ROW()-8)),'Relacion '!$E$5:$E$493,0),0))</f>
        <v>46108</v>
      </c>
      <c r="H1180" s="241" t="e" cm="1">
        <f t="array" ref="H1180">IF(
 MATCH(B1180,{"01. ASIGNACION AREA";"02. MAPEO";"03. DESARROLLO";"04. VALIDA US";"05. VOBO US";"06. BW-EJECUCION";"07. VALIDACIÓN BAJAWARE";"08. CERRADA"},0)
 &lt;
 MATCH(_xlfn.XLOOKUP(INDEX($B:$B, (ROW()-8)),'Relacion '!$E:$E,'Relacion '!$D:$D,""),{"01. ASIGNACION AREA";"02. MAPEO";"03. DESARROLLO";"04. VALIDA US";"05. VOBO US";"06. BW-EJECUCION";"07. VALIDACIÓN BAJAWARE";"08. CERRADA"},0),
 1,
 IF(
  MATCH(B1180,{"01. ASIGNACION AREA";"02. MAPEO";"03. DESARROLLO";"04. VALIDA US";"05. VOBO US";"06. BW-EJECUCION";"07. VALIDACIÓN BAJAWARE";"08. CERRADA"},0)
  =
  MATCH(_xlfn.XLOOKUP(INDEX($B:$B, (ROW()-8)),'Relacion '!$E:$E,'Relacion '!$D:$D,""),{"01. ASIGNACION AREA";"02. MAPEO";"03. DESARROLLO";"04. VALIDA US";"05. VOBO US";"06. BW-EJECUCION";"07. VALIDACIÓN BAJAWARE";"08. CERRADA"},0),
  _xlfn.XLOOKUP(INDEX($B:$B, (ROW()-8)),'Relacion '!$E:$E,'Relacion '!#REF!,0),
  0
 )
)</f>
        <v>#REF!</v>
      </c>
      <c r="I1180" s="241">
        <f t="shared" ca="1" si="272"/>
        <v>1</v>
      </c>
      <c r="J1180" s="241"/>
      <c r="K1180" s="241"/>
      <c r="L1180" s="238"/>
    </row>
    <row r="1181" spans="2:12" ht="30">
      <c r="B1181" s="232" t="s">
        <v>50</v>
      </c>
      <c r="C1181" s="137" t="s">
        <v>51</v>
      </c>
      <c r="D1181" s="236" t="str">
        <f>_xlfn.XLOOKUP(B1181,'Relacion '!$E:$E,'Relacion '!$D:$D,"")</f>
        <v xml:space="preserve">04. VALIDA US </v>
      </c>
      <c r="E1181" s="233">
        <f t="shared" si="273"/>
        <v>478</v>
      </c>
      <c r="F1181" s="234" cm="1">
        <f t="array" ref="F1181">MIN(INDEX('Relacion '!$X$5:$AM$493,MATCH(INDEX($B:$B, (ROW()-0)),'Relacion '!$E$5:$E$493,0),0))</f>
        <v>45659</v>
      </c>
      <c r="G1181" s="234" cm="1">
        <f t="array" ref="G1181">MAX(INDEX('Relacion '!$X$5:$AM$493,MATCH(INDEX($B:$B, (ROW()-0)),'Relacion '!$E$5:$E$493,0),0))</f>
        <v>46137</v>
      </c>
      <c r="H1181" s="235" t="e">
        <f>AVERAGE(H1182:H1189)</f>
        <v>#N/A</v>
      </c>
      <c r="I1181" s="235">
        <f t="shared" ref="I1181" ca="1" si="280">AVERAGE(I1182:I1189)</f>
        <v>1</v>
      </c>
      <c r="J1181" s="236" t="str">
        <f>IF(ISNUMBER(SEARCH("Rocha", _xlfn.XLOOKUP(B1181,'Relacion '!$E:$E,'Relacion '!$I:$I,""))), "Sí", "No")</f>
        <v>No</v>
      </c>
      <c r="K1181" s="236" t="str">
        <f>IF(ISNUMBER(SEARCH("Rocha", _xlfn.XLOOKUP(B1181,'Relacion '!$E:$E,'Relacion '!$I:$I,""))), "RMC", _xlfn.XLOOKUP(B1181,'Relacion '!$E:$E,'Relacion '!$B:$B,""))</f>
        <v>Operaciones Captacion y credito</v>
      </c>
      <c r="L1181" s="236" t="str">
        <f>_xlfn.XLOOKUP(B1181,'Relacion '!$E:$E,'Relacion '!$C:$C,"")</f>
        <v>Luis Alberto</v>
      </c>
    </row>
    <row r="1182" spans="2:12" outlineLevel="1">
      <c r="B1182" s="237" t="s">
        <v>654</v>
      </c>
      <c r="C1182" s="237" t="s">
        <v>654</v>
      </c>
      <c r="D1182" s="238" t="str">
        <f>_xlfn.XLOOKUP(B1182,'Relacion '!$E:$E,'Relacion '!$D:$D,"")</f>
        <v/>
      </c>
      <c r="E1182" s="239">
        <f t="shared" si="273"/>
        <v>379</v>
      </c>
      <c r="F1182" s="240" cm="1">
        <f t="array" ref="F1182">MIN(INDEX('Relacion '!$X$5:$Y$493,MATCH(INDEX($B:$B, (ROW()-1)),'Relacion '!$E$5:$E$493,0),0))</f>
        <v>45659</v>
      </c>
      <c r="G1182" s="240" cm="1">
        <f t="array" ref="G1182">MAX(INDEX('Relacion '!$X$5:$Y$493,MATCH(INDEX($B:$B, (ROW()-1)),'Relacion '!$E$5:$E$493,0),0))</f>
        <v>46038</v>
      </c>
      <c r="H1182" s="241" t="e" cm="1">
        <f t="array" ref="H1182">IF(
 MATCH(B1182,{"01. ASIGNACION AREA";"02. MAPEO";"03. DESARROLLO";"04. VALIDA US";"05. VOBO US";"06. BW-EJECUCION";"07. VALIDACIÓN BAJAWARE";"08. CERRADA"},0)
 &lt;
 MATCH(_xlfn.XLOOKUP(INDEX($B:$B, (ROW()-1)),'Relacion '!$E:$E,'Relacion '!$D:$D,""),{"01. ASIGNACION AREA";"02. MAPEO";"03. DESARROLLO";"04. VALIDA US";"05. VOBO US";"06. BW-EJECUCION";"07. VALIDACIÓN BAJAWARE";"08. CERRADA"},0),
 1,
 IF(
  MATCH(B1182,{"01. ASIGNACION AREA";"02. MAPEO";"03. DESARROLLO";"04. VALIDA US";"05. VOBO US";"06. BW-EJECUCION";"07. VALIDACIÓN BAJAWARE";"08. CERRADA"},0)
  =
  MATCH(_xlfn.XLOOKUP(INDEX($B:$B, (ROW()-1)),'Relacion '!$E:$E,'Relacion '!$D:$D,""),{"01. ASIGNACION AREA";"02. MAPEO";"03. DESARROLLO";"04. VALIDA US";"05. VOBO US";"06. BW-EJECUCION";"07. VALIDACIÓN BAJAWARE";"08. CERRADA"},0),
  _xlfn.XLOOKUP(INDEX($B:$B, (ROW()-1)),'Relacion '!$E:$E,'Relacion '!#REF!,0),
  0
 )
)</f>
        <v>#N/A</v>
      </c>
      <c r="I1182" s="241">
        <f t="shared" ref="I1182" ca="1" si="281">IF(G1182&lt;=TODAY(), 1, 0)</f>
        <v>1</v>
      </c>
      <c r="J1182" s="241"/>
      <c r="K1182" s="241"/>
      <c r="L1182" s="238"/>
    </row>
    <row r="1183" spans="2:12" outlineLevel="1">
      <c r="B1183" s="237" t="s">
        <v>195</v>
      </c>
      <c r="C1183" s="237" t="s">
        <v>195</v>
      </c>
      <c r="D1183" s="238" t="str">
        <f>_xlfn.XLOOKUP(B1183,'Relacion '!$E:$E,'Relacion '!$D:$D,"")</f>
        <v/>
      </c>
      <c r="E1183" s="239">
        <f t="shared" si="273"/>
        <v>11</v>
      </c>
      <c r="F1183" s="240" cm="1">
        <f t="array" ref="F1183">MIN(INDEX('Relacion '!$Z$5:$AA$493,MATCH(INDEX($B:$B, (ROW()-2)),'Relacion '!$E$5:$E$493,0),0))</f>
        <v>46041</v>
      </c>
      <c r="G1183" s="240" cm="1">
        <f t="array" ref="G1183">MAX(INDEX('Relacion '!$Z$5:$AA$493,MATCH(INDEX($B:$B, (ROW()-2)),'Relacion '!$E$5:$E$493,0),0))</f>
        <v>46052</v>
      </c>
      <c r="H1183" s="241" t="e" cm="1">
        <f t="array" ref="H1183">IF(
 MATCH(B1183,{"01. ASIGNACION AREA";"02. MAPEO";"03. DESARROLLO";"04. VALIDA US";"05. VOBO US";"06. BW-EJECUCION";"07. VALIDACIÓN BAJAWARE";"08. CERRADA"},0)
 &lt;
 MATCH(_xlfn.XLOOKUP(INDEX($B:$B, (ROW()-2)),'Relacion '!$E:$E,'Relacion '!$D:$D,""),{"01. ASIGNACION AREA";"02. MAPEO";"03. DESARROLLO";"04. VALIDA US";"05. VOBO US";"06. BW-EJECUCION";"07. VALIDACIÓN BAJAWARE";"08. CERRADA"},0),
 1,
 IF(
  MATCH(B1183,{"01. ASIGNACION AREA";"02. MAPEO";"03. DESARROLLO";"04. VALIDA US";"05. VOBO US";"06. BW-EJECUCION";"07. VALIDACIÓN BAJAWARE";"08. CERRADA"},0)
  =
  MATCH(_xlfn.XLOOKUP(INDEX($B:$B, (ROW()-2)),'Relacion '!$E:$E,'Relacion '!$D:$D,""),{"01. ASIGNACION AREA";"02. MAPEO";"03. DESARROLLO";"04. VALIDA US";"05. VOBO US";"06. BW-EJECUCION";"07. VALIDACIÓN BAJAWARE";"08. CERRADA"},0),
  _xlfn.XLOOKUP(INDEX($B:$B, (ROW()-2)),'Relacion '!$E:$E,'Relacion '!#REF!,0),
  0
 )
)</f>
        <v>#N/A</v>
      </c>
      <c r="I1183" s="241">
        <f t="shared" ca="1" si="272"/>
        <v>1</v>
      </c>
      <c r="J1183" s="241"/>
      <c r="K1183" s="241"/>
      <c r="L1183" s="238"/>
    </row>
    <row r="1184" spans="2:12" outlineLevel="1">
      <c r="B1184" s="237" t="s">
        <v>49</v>
      </c>
      <c r="C1184" s="237" t="s">
        <v>49</v>
      </c>
      <c r="D1184" s="238" t="str">
        <f>_xlfn.XLOOKUP(B1184,'Relacion '!$E:$E,'Relacion '!$D:$D,"")</f>
        <v/>
      </c>
      <c r="E1184" s="239">
        <f t="shared" si="273"/>
        <v>24</v>
      </c>
      <c r="F1184" s="240" cm="1">
        <f t="array" ref="F1184">MIN(INDEX('Relacion '!$AB$5:$AC$493,MATCH(INDEX($B:$B, (ROW()-3)),'Relacion '!$E$5:$E$493,0),0))</f>
        <v>46056</v>
      </c>
      <c r="G1184" s="240" cm="1">
        <f t="array" ref="G1184">MAX(INDEX('Relacion '!$AB$5:$AC$493,MATCH(INDEX($B:$B, (ROW()-3)),'Relacion '!$E$5:$E$493,0),0))</f>
        <v>46080</v>
      </c>
      <c r="H1184" s="241" t="e" cm="1">
        <f t="array" ref="H1184">IF(
 MATCH(B1184,{"01. ASIGNACION AREA";"02. MAPEO";"03. DESARROLLO";"04. VALIDA US";"05. VOBO US";"06. BW-EJECUCION";"07. VALIDACIÓN BAJAWARE";"08. CERRADA"},0)
 &lt;
 MATCH(_xlfn.XLOOKUP(INDEX($B:$B, (ROW()-3)),'Relacion '!$E:$E,'Relacion '!$D:$D,""),{"01. ASIGNACION AREA";"02. MAPEO";"03. DESARROLLO";"04. VALIDA US";"05. VOBO US";"06. BW-EJECUCION";"07. VALIDACIÓN BAJAWARE";"08. CERRADA"},0),
 1,
 IF(
  MATCH(B1184,{"01. ASIGNACION AREA";"02. MAPEO";"03. DESARROLLO";"04. VALIDA US";"05. VOBO US";"06. BW-EJECUCION";"07. VALIDACIÓN BAJAWARE";"08. CERRADA"},0)
  =
  MATCH(_xlfn.XLOOKUP(INDEX($B:$B, (ROW()-3)),'Relacion '!$E:$E,'Relacion '!$D:$D,""),{"01. ASIGNACION AREA";"02. MAPEO";"03. DESARROLLO";"04. VALIDA US";"05. VOBO US";"06. BW-EJECUCION";"07. VALIDACIÓN BAJAWARE";"08. CERRADA"},0),
  _xlfn.XLOOKUP(INDEX($B:$B, (ROW()-3)),'Relacion '!$E:$E,'Relacion '!#REF!,0),
  0
 )
)</f>
        <v>#N/A</v>
      </c>
      <c r="I1184" s="241">
        <f t="shared" ca="1" si="272"/>
        <v>1</v>
      </c>
      <c r="J1184" s="241"/>
      <c r="K1184" s="241"/>
      <c r="L1184" s="238"/>
    </row>
    <row r="1185" spans="2:12" outlineLevel="1">
      <c r="B1185" s="237" t="s">
        <v>324</v>
      </c>
      <c r="C1185" s="237" t="s">
        <v>324</v>
      </c>
      <c r="D1185" s="238" t="str">
        <f>_xlfn.XLOOKUP(B1185,'Relacion '!$E:$E,'Relacion '!$D:$D,"")</f>
        <v/>
      </c>
      <c r="E1185" s="239">
        <f t="shared" si="273"/>
        <v>14</v>
      </c>
      <c r="F1185" s="240" cm="1">
        <f t="array" ref="F1185">MIN(INDEX('Relacion '!$AD$5:$AE$493,MATCH(INDEX($B:$B, (ROW()-4)),'Relacion '!$E$5:$E$493,0),0))</f>
        <v>46099</v>
      </c>
      <c r="G1185" s="240" cm="1">
        <f t="array" ref="G1185">MAX(INDEX('Relacion '!$AD$5:$AE$493,MATCH(INDEX($B:$B, (ROW()-4)),'Relacion '!$E$5:$E$493,0),0))</f>
        <v>46113</v>
      </c>
      <c r="H1185" s="241" t="e" cm="1">
        <f t="array" ref="H1185">IF(
 MATCH(B1185,{"01. ASIGNACION AREA";"02. MAPEO";"03. DESARROLLO";"04. VALIDA US";"05. VOBO US";"06. BW-EJECUCION";"07. VALIDACIÓN BAJAWARE";"08. CERRADA"},0)
 &lt;
 MATCH(_xlfn.XLOOKUP(INDEX($B:$B, (ROW()-4)),'Relacion '!$E:$E,'Relacion '!$D:$D,""),{"01. ASIGNACION AREA";"02. MAPEO";"03. DESARROLLO";"04. VALIDA US";"05. VOBO US";"06. BW-EJECUCION";"07. VALIDACIÓN BAJAWARE";"08. CERRADA"},0),
 1,
 IF(
  MATCH(B1185,{"01. ASIGNACION AREA";"02. MAPEO";"03. DESARROLLO";"04. VALIDA US";"05. VOBO US";"06. BW-EJECUCION";"07. VALIDACIÓN BAJAWARE";"08. CERRADA"},0)
  =
  MATCH(_xlfn.XLOOKUP(INDEX($B:$B, (ROW()-4)),'Relacion '!$E:$E,'Relacion '!$D:$D,""),{"01. ASIGNACION AREA";"02. MAPEO";"03. DESARROLLO";"04. VALIDA US";"05. VOBO US";"06. BW-EJECUCION";"07. VALIDACIÓN BAJAWARE";"08. CERRADA"},0),
  _xlfn.XLOOKUP(INDEX($B:$B, (ROW()-4)),'Relacion '!$E:$E,'Relacion '!#REF!,0),
  0
 )
)</f>
        <v>#N/A</v>
      </c>
      <c r="I1185" s="241">
        <f t="shared" ca="1" si="272"/>
        <v>1</v>
      </c>
      <c r="J1185" s="241"/>
      <c r="K1185" s="241"/>
      <c r="L1185" s="238"/>
    </row>
    <row r="1186" spans="2:12" outlineLevel="1">
      <c r="B1186" s="237" t="s">
        <v>320</v>
      </c>
      <c r="C1186" s="237" t="s">
        <v>320</v>
      </c>
      <c r="D1186" s="238" t="str">
        <f>_xlfn.XLOOKUP(B1186,'Relacion '!$E:$E,'Relacion '!$D:$D,"")</f>
        <v/>
      </c>
      <c r="E1186" s="239">
        <f t="shared" si="273"/>
        <v>5</v>
      </c>
      <c r="F1186" s="240" cm="1">
        <f t="array" ref="F1186">MIN(INDEX('Relacion '!$AF$5:$AG$493,MATCH(INDEX($B:$B, (ROW()-5)),'Relacion '!$E$5:$E$493,0),0))</f>
        <v>46113</v>
      </c>
      <c r="G1186" s="240" cm="1">
        <f t="array" ref="G1186">MAX(INDEX('Relacion '!$AF$5:$AG$493,MATCH(INDEX($B:$B, (ROW()-5)),'Relacion '!$E$5:$E$493,0),0))</f>
        <v>46118</v>
      </c>
      <c r="H1186" s="241" t="e" cm="1">
        <f t="array" ref="H1186">IF(
 MATCH(B1186,{"01. ASIGNACION AREA";"02. MAPEO";"03. DESARROLLO";"04. VALIDA US";"05. VOBO US";"06. BW-EJECUCION";"07. VALIDACIÓN BAJAWARE";"08. CERRADA"},0)
 &lt;
 MATCH(_xlfn.XLOOKUP(INDEX($B:$B, (ROW()-5)),'Relacion '!$E:$E,'Relacion '!$D:$D,""),{"01. ASIGNACION AREA";"02. MAPEO";"03. DESARROLLO";"04. VALIDA US";"05. VOBO US";"06. BW-EJECUCION";"07. VALIDACIÓN BAJAWARE";"08. CERRADA"},0),
 1,
 IF(
  MATCH(B1186,{"01. ASIGNACION AREA";"02. MAPEO";"03. DESARROLLO";"04. VALIDA US";"05. VOBO US";"06. BW-EJECUCION";"07. VALIDACIÓN BAJAWARE";"08. CERRADA"},0)
  =
  MATCH(_xlfn.XLOOKUP(INDEX($B:$B, (ROW()-5)),'Relacion '!$E:$E,'Relacion '!$D:$D,""),{"01. ASIGNACION AREA";"02. MAPEO";"03. DESARROLLO";"04. VALIDA US";"05. VOBO US";"06. BW-EJECUCION";"07. VALIDACIÓN BAJAWARE";"08. CERRADA"},0),
  _xlfn.XLOOKUP(INDEX($B:$B, (ROW()-5)),'Relacion '!$E:$E,'Relacion '!#REF!,0),
  0
 )
)</f>
        <v>#N/A</v>
      </c>
      <c r="I1186" s="241">
        <f t="shared" ca="1" si="272"/>
        <v>1</v>
      </c>
      <c r="J1186" s="241"/>
      <c r="K1186" s="241"/>
      <c r="L1186" s="238"/>
    </row>
    <row r="1187" spans="2:12" outlineLevel="1">
      <c r="B1187" s="237" t="s">
        <v>710</v>
      </c>
      <c r="C1187" s="237" t="s">
        <v>710</v>
      </c>
      <c r="D1187" s="238" t="str">
        <f>_xlfn.XLOOKUP(B1187,'Relacion '!$E:$E,'Relacion '!$D:$D,"")</f>
        <v/>
      </c>
      <c r="E1187" s="239">
        <f t="shared" si="273"/>
        <v>2</v>
      </c>
      <c r="F1187" s="240" cm="1">
        <f t="array" ref="F1187">MIN(INDEX('Relacion '!$AH$5:$AI$493,MATCH(INDEX($B:$B, (ROW()-6)),'Relacion '!$E$5:$E$493,0),0))</f>
        <v>46119</v>
      </c>
      <c r="G1187" s="240" cm="1">
        <f t="array" ref="G1187">MAX(INDEX('Relacion '!$AH$5:$AI$493,MATCH(INDEX($B:$B, (ROW()-6)),'Relacion '!$E$5:$E$493,0),0))</f>
        <v>46121</v>
      </c>
      <c r="H1187" s="241" t="e" cm="1">
        <f t="array" ref="H1187">IF(
 MATCH(B1187,{"01. ASIGNACION AREA";"02. MAPEO";"03. DESARROLLO";"04. VALIDA US";"05. VOBO US";"06. BW-EJECUCION";"07. VALIDACIÓN BAJAWARE";"08. CERRADA"},0)
 &lt;
 MATCH(_xlfn.XLOOKUP(INDEX($B:$B, (ROW()-6)),'Relacion '!$E:$E,'Relacion '!$D:$D,""),{"01. ASIGNACION AREA";"02. MAPEO";"03. DESARROLLO";"04. VALIDA US";"05. VOBO US";"06. BW-EJECUCION";"07. VALIDACIÓN BAJAWARE";"08. CERRADA"},0),
 1,
 IF(
  MATCH(B1187,{"01. ASIGNACION AREA";"02. MAPEO";"03. DESARROLLO";"04. VALIDA US";"05. VOBO US";"06. BW-EJECUCION";"07. VALIDACIÓN BAJAWARE";"08. CERRADA"},0)
  =
  MATCH(_xlfn.XLOOKUP(INDEX($B:$B, (ROW()-6)),'Relacion '!$E:$E,'Relacion '!$D:$D,""),{"01. ASIGNACION AREA";"02. MAPEO";"03. DESARROLLO";"04. VALIDA US";"05. VOBO US";"06. BW-EJECUCION";"07. VALIDACIÓN BAJAWARE";"08. CERRADA"},0),
  _xlfn.XLOOKUP(INDEX($B:$B, (ROW()-6)),'Relacion '!$E:$E,'Relacion '!#REF!,0),
  0
 )
)</f>
        <v>#N/A</v>
      </c>
      <c r="I1187" s="241">
        <f t="shared" ca="1" si="272"/>
        <v>1</v>
      </c>
      <c r="J1187" s="241"/>
      <c r="K1187" s="241"/>
      <c r="L1187" s="238"/>
    </row>
    <row r="1188" spans="2:12" outlineLevel="1">
      <c r="B1188" s="237" t="s">
        <v>655</v>
      </c>
      <c r="C1188" s="237" t="s">
        <v>655</v>
      </c>
      <c r="D1188" s="238" t="str">
        <f>_xlfn.XLOOKUP(B1188,'Relacion '!$E:$E,'Relacion '!$D:$D,"")</f>
        <v/>
      </c>
      <c r="E1188" s="239">
        <f t="shared" si="273"/>
        <v>14</v>
      </c>
      <c r="F1188" s="240" cm="1">
        <f t="array" ref="F1188">MIN(INDEX('Relacion '!$AJ$5:$AK$493,MATCH(INDEX($B:$B, (ROW()-7)),'Relacion '!$E$5:$E$493,0),0))</f>
        <v>46122</v>
      </c>
      <c r="G1188" s="240" cm="1">
        <f t="array" ref="G1188">MAX(INDEX('Relacion '!$AJ$5:$AK$493,MATCH(INDEX($B:$B, (ROW()-7)),'Relacion '!$E$5:$E$493,0),0))</f>
        <v>46136</v>
      </c>
      <c r="H1188" s="241" t="e" cm="1">
        <f t="array" ref="H1188">IF(
 MATCH(B1188,{"01. ASIGNACION AREA";"02. MAPEO";"03. DESARROLLO";"04. VALIDA US";"05. VOBO US";"06. BW-EJECUCION";"07. VALIDACIÓN BAJAWARE";"08. CERRADA"},0)
 &lt;
 MATCH(_xlfn.XLOOKUP(INDEX($B:$B, (ROW()-7)),'Relacion '!$E:$E,'Relacion '!$D:$D,""),{"01. ASIGNACION AREA";"02. MAPEO";"03. DESARROLLO";"04. VALIDA US";"05. VOBO US";"06. BW-EJECUCION";"07. VALIDACIÓN BAJAWARE";"08. CERRADA"},0),
 1,
 IF(
  MATCH(B1188,{"01. ASIGNACION AREA";"02. MAPEO";"03. DESARROLLO";"04. VALIDA US";"05. VOBO US";"06. BW-EJECUCION";"07. VALIDACIÓN BAJAWARE";"08. CERRADA"},0)
  =
  MATCH(_xlfn.XLOOKUP(INDEX($B:$B, (ROW()-7)),'Relacion '!$E:$E,'Relacion '!$D:$D,""),{"01. ASIGNACION AREA";"02. MAPEO";"03. DESARROLLO";"04. VALIDA US";"05. VOBO US";"06. BW-EJECUCION";"07. VALIDACIÓN BAJAWARE";"08. CERRADA"},0),
  _xlfn.XLOOKUP(INDEX($B:$B, (ROW()-7)),'Relacion '!$E:$E,'Relacion '!#REF!,0),
  0
 )
)</f>
        <v>#N/A</v>
      </c>
      <c r="I1188" s="241">
        <f t="shared" ca="1" si="272"/>
        <v>1</v>
      </c>
      <c r="J1188" s="241"/>
      <c r="K1188" s="241"/>
      <c r="L1188" s="238"/>
    </row>
    <row r="1189" spans="2:12" outlineLevel="1">
      <c r="B1189" s="237" t="s">
        <v>656</v>
      </c>
      <c r="C1189" s="237" t="s">
        <v>656</v>
      </c>
      <c r="D1189" s="238" t="str">
        <f>_xlfn.XLOOKUP(B1189,'Relacion '!$E:$E,'Relacion '!$D:$D,"")</f>
        <v/>
      </c>
      <c r="E1189" s="239">
        <f t="shared" si="273"/>
        <v>0</v>
      </c>
      <c r="F1189" s="240" cm="1">
        <f t="array" ref="F1189">MIN(INDEX('Relacion '!$AL$5:$AM$493,MATCH(INDEX($B:$B, (ROW()-8)),'Relacion '!$E$5:$E$493,0),0))</f>
        <v>46137</v>
      </c>
      <c r="G1189" s="240" cm="1">
        <f t="array" ref="G1189">MAX(INDEX('Relacion '!$AL$5:$AM$493,MATCH(INDEX($B:$B, (ROW()-8)),'Relacion '!$E$5:$E$493,0),0))</f>
        <v>46137</v>
      </c>
      <c r="H1189" s="241" t="e" cm="1">
        <f t="array" ref="H1189">IF(
 MATCH(B1189,{"01. ASIGNACION AREA";"02. MAPEO";"03. DESARROLLO";"04. VALIDA US";"05. VOBO US";"06. BW-EJECUCION";"07. VALIDACIÓN BAJAWARE";"08. CERRADA"},0)
 &lt;
 MATCH(_xlfn.XLOOKUP(INDEX($B:$B, (ROW()-8)),'Relacion '!$E:$E,'Relacion '!$D:$D,""),{"01. ASIGNACION AREA";"02. MAPEO";"03. DESARROLLO";"04. VALIDA US";"05. VOBO US";"06. BW-EJECUCION";"07. VALIDACIÓN BAJAWARE";"08. CERRADA"},0),
 1,
 IF(
  MATCH(B1189,{"01. ASIGNACION AREA";"02. MAPEO";"03. DESARROLLO";"04. VALIDA US";"05. VOBO US";"06. BW-EJECUCION";"07. VALIDACIÓN BAJAWARE";"08. CERRADA"},0)
  =
  MATCH(_xlfn.XLOOKUP(INDEX($B:$B, (ROW()-8)),'Relacion '!$E:$E,'Relacion '!$D:$D,""),{"01. ASIGNACION AREA";"02. MAPEO";"03. DESARROLLO";"04. VALIDA US";"05. VOBO US";"06. BW-EJECUCION";"07. VALIDACIÓN BAJAWARE";"08. CERRADA"},0),
  _xlfn.XLOOKUP(INDEX($B:$B, (ROW()-8)),'Relacion '!$E:$E,'Relacion '!#REF!,0),
  0
 )
)</f>
        <v>#N/A</v>
      </c>
      <c r="I1189" s="241">
        <f t="shared" ca="1" si="272"/>
        <v>1</v>
      </c>
      <c r="J1189" s="241"/>
      <c r="K1189" s="241"/>
      <c r="L1189" s="238"/>
    </row>
    <row r="1190" spans="2:12">
      <c r="B1190" s="232" t="s">
        <v>550</v>
      </c>
      <c r="C1190" s="174" t="s">
        <v>551</v>
      </c>
      <c r="D1190" s="236" t="str">
        <f>_xlfn.XLOOKUP(B1190,'Relacion '!$E:$E,'Relacion '!$D:$D,"")</f>
        <v>08. CERRADA</v>
      </c>
      <c r="E1190" s="233">
        <f t="shared" si="273"/>
        <v>450</v>
      </c>
      <c r="F1190" s="234" cm="1">
        <f t="array" ref="F1190">MIN(INDEX('Relacion '!$X$5:$AM$493,MATCH(INDEX($B:$B, (ROW()-0)),'Relacion '!$E$5:$E$493,0),0))</f>
        <v>45659</v>
      </c>
      <c r="G1190" s="234" cm="1">
        <f t="array" ref="G1190">MAX(INDEX('Relacion '!$X$5:$AM$493,MATCH(INDEX($B:$B, (ROW()-0)),'Relacion '!$E$5:$E$493,0),0))</f>
        <v>46109</v>
      </c>
      <c r="H1190" s="235" t="e">
        <f>AVERAGE(H1191:H1198)</f>
        <v>#REF!</v>
      </c>
      <c r="I1190" s="235">
        <f t="shared" ref="I1190" ca="1" si="282">AVERAGE(I1191:I1198)</f>
        <v>1</v>
      </c>
      <c r="J1190" s="236" t="str">
        <f>IF(ISNUMBER(SEARCH("Rocha", _xlfn.XLOOKUP(B1190,'Relacion '!$E:$E,'Relacion '!$I:$I,""))), "Sí", "No")</f>
        <v>No</v>
      </c>
      <c r="K1190" s="236" t="str">
        <f>IF(ISNUMBER(SEARCH("Rocha", _xlfn.XLOOKUP(B1190,'Relacion '!$E:$E,'Relacion '!$I:$I,""))), "RMC", _xlfn.XLOOKUP(B1190,'Relacion '!$E:$E,'Relacion '!$B:$B,""))</f>
        <v>Operaciones Captacion</v>
      </c>
      <c r="L1190" s="236" t="str">
        <f>_xlfn.XLOOKUP(B1190,'Relacion '!$E:$E,'Relacion '!$C:$C,"")</f>
        <v>Luis Alberto</v>
      </c>
    </row>
    <row r="1191" spans="2:12" outlineLevel="1">
      <c r="B1191" s="237" t="s">
        <v>654</v>
      </c>
      <c r="C1191" s="237" t="s">
        <v>654</v>
      </c>
      <c r="D1191" s="238" t="str">
        <f>_xlfn.XLOOKUP(B1191,'Relacion '!$E:$E,'Relacion '!$D:$D,"")</f>
        <v/>
      </c>
      <c r="E1191" s="239">
        <f t="shared" si="273"/>
        <v>424</v>
      </c>
      <c r="F1191" s="240" cm="1">
        <f t="array" ref="F1191">MIN(INDEX('Relacion '!$X$5:$Y$493,MATCH(INDEX($B:$B, (ROW()-1)),'Relacion '!$E$5:$E$493,0),0))</f>
        <v>45659</v>
      </c>
      <c r="G1191" s="240" cm="1">
        <f t="array" ref="G1191">MAX(INDEX('Relacion '!$X$5:$Y$493,MATCH(INDEX($B:$B, (ROW()-1)),'Relacion '!$E$5:$E$493,0),0))</f>
        <v>46083</v>
      </c>
      <c r="H1191" s="241" cm="1">
        <f t="array" ref="H1191">IF(
 MATCH(B1191,{"01. ASIGNACION AREA";"02. MAPEO";"03. DESARROLLO";"04. VALIDA US";"05. VOBO US";"06. BW-EJECUCION";"07. VALIDACIÓN BAJAWARE";"08. CERRADA"},0)
 &lt;
 MATCH(_xlfn.XLOOKUP(INDEX($B:$B, (ROW()-1)),'Relacion '!$E:$E,'Relacion '!$D:$D,""),{"01. ASIGNACION AREA";"02. MAPEO";"03. DESARROLLO";"04. VALIDA US";"05. VOBO US";"06. BW-EJECUCION";"07. VALIDACIÓN BAJAWARE";"08. CERRADA"},0),
 1,
 IF(
  MATCH(B1191,{"01. ASIGNACION AREA";"02. MAPEO";"03. DESARROLLO";"04. VALIDA US";"05. VOBO US";"06. BW-EJECUCION";"07. VALIDACIÓN BAJAWARE";"08. CERRADA"},0)
  =
  MATCH(_xlfn.XLOOKUP(INDEX($B:$B, (ROW()-1)),'Relacion '!$E:$E,'Relacion '!$D:$D,""),{"01. ASIGNACION AREA";"02. MAPEO";"03. DESARROLLO";"04. VALIDA US";"05. VOBO US";"06. BW-EJECUCION";"07. VALIDACIÓN BAJAWARE";"08. CERRADA"},0),
  _xlfn.XLOOKUP(INDEX($B:$B, (ROW()-1)),'Relacion '!$E:$E,'Relacion '!#REF!,0),
  0
 )
)</f>
        <v>1</v>
      </c>
      <c r="I1191" s="241">
        <f t="shared" ref="I1191" ca="1" si="283">IF(G1191&lt;=TODAY(), 1, 0)</f>
        <v>1</v>
      </c>
      <c r="J1191" s="241"/>
      <c r="K1191" s="241"/>
      <c r="L1191" s="238"/>
    </row>
    <row r="1192" spans="2:12" outlineLevel="1">
      <c r="B1192" s="237" t="s">
        <v>195</v>
      </c>
      <c r="C1192" s="237" t="s">
        <v>195</v>
      </c>
      <c r="D1192" s="238" t="str">
        <f>_xlfn.XLOOKUP(B1192,'Relacion '!$E:$E,'Relacion '!$D:$D,"")</f>
        <v/>
      </c>
      <c r="E1192" s="239">
        <f t="shared" si="273"/>
        <v>0</v>
      </c>
      <c r="F1192" s="240" cm="1">
        <f t="array" ref="F1192">MIN(INDEX('Relacion '!$Z$5:$AA$493,MATCH(INDEX($B:$B, (ROW()-2)),'Relacion '!$E$5:$E$493,0),0))</f>
        <v>46108</v>
      </c>
      <c r="G1192" s="240" cm="1">
        <f t="array" ref="G1192">MAX(INDEX('Relacion '!$Z$5:$AA$493,MATCH(INDEX($B:$B, (ROW()-2)),'Relacion '!$E$5:$E$493,0),0))</f>
        <v>46108</v>
      </c>
      <c r="H1192" s="241" cm="1">
        <f t="array" ref="H1192">IF(
 MATCH(B1192,{"01. ASIGNACION AREA";"02. MAPEO";"03. DESARROLLO";"04. VALIDA US";"05. VOBO US";"06. BW-EJECUCION";"07. VALIDACIÓN BAJAWARE";"08. CERRADA"},0)
 &lt;
 MATCH(_xlfn.XLOOKUP(INDEX($B:$B, (ROW()-2)),'Relacion '!$E:$E,'Relacion '!$D:$D,""),{"01. ASIGNACION AREA";"02. MAPEO";"03. DESARROLLO";"04. VALIDA US";"05. VOBO US";"06. BW-EJECUCION";"07. VALIDACIÓN BAJAWARE";"08. CERRADA"},0),
 1,
 IF(
  MATCH(B1192,{"01. ASIGNACION AREA";"02. MAPEO";"03. DESARROLLO";"04. VALIDA US";"05. VOBO US";"06. BW-EJECUCION";"07. VALIDACIÓN BAJAWARE";"08. CERRADA"},0)
  =
  MATCH(_xlfn.XLOOKUP(INDEX($B:$B, (ROW()-2)),'Relacion '!$E:$E,'Relacion '!$D:$D,""),{"01. ASIGNACION AREA";"02. MAPEO";"03. DESARROLLO";"04. VALIDA US";"05. VOBO US";"06. BW-EJECUCION";"07. VALIDACIÓN BAJAWARE";"08. CERRADA"},0),
  _xlfn.XLOOKUP(INDEX($B:$B, (ROW()-2)),'Relacion '!$E:$E,'Relacion '!#REF!,0),
  0
 )
)</f>
        <v>1</v>
      </c>
      <c r="I1192" s="241">
        <f t="shared" ca="1" si="272"/>
        <v>1</v>
      </c>
      <c r="J1192" s="241"/>
      <c r="K1192" s="241"/>
      <c r="L1192" s="238"/>
    </row>
    <row r="1193" spans="2:12" outlineLevel="1">
      <c r="B1193" s="237" t="s">
        <v>49</v>
      </c>
      <c r="C1193" s="237" t="s">
        <v>49</v>
      </c>
      <c r="D1193" s="238" t="str">
        <f>_xlfn.XLOOKUP(B1193,'Relacion '!$E:$E,'Relacion '!$D:$D,"")</f>
        <v/>
      </c>
      <c r="E1193" s="239">
        <f t="shared" si="273"/>
        <v>0</v>
      </c>
      <c r="F1193" s="240" cm="1">
        <f t="array" ref="F1193">MIN(INDEX('Relacion '!$AB$5:$AC$493,MATCH(INDEX($B:$B, (ROW()-3)),'Relacion '!$E$5:$E$493,0),0))</f>
        <v>46108</v>
      </c>
      <c r="G1193" s="240" cm="1">
        <f t="array" ref="G1193">MAX(INDEX('Relacion '!$AB$5:$AC$493,MATCH(INDEX($B:$B, (ROW()-3)),'Relacion '!$E$5:$E$493,0),0))</f>
        <v>46108</v>
      </c>
      <c r="H1193" s="241" cm="1">
        <f t="array" ref="H1193">IF(
 MATCH(B1193,{"01. ASIGNACION AREA";"02. MAPEO";"03. DESARROLLO";"04. VALIDA US";"05. VOBO US";"06. BW-EJECUCION";"07. VALIDACIÓN BAJAWARE";"08. CERRADA"},0)
 &lt;
 MATCH(_xlfn.XLOOKUP(INDEX($B:$B, (ROW()-3)),'Relacion '!$E:$E,'Relacion '!$D:$D,""),{"01. ASIGNACION AREA";"02. MAPEO";"03. DESARROLLO";"04. VALIDA US";"05. VOBO US";"06. BW-EJECUCION";"07. VALIDACIÓN BAJAWARE";"08. CERRADA"},0),
 1,
 IF(
  MATCH(B1193,{"01. ASIGNACION AREA";"02. MAPEO";"03. DESARROLLO";"04. VALIDA US";"05. VOBO US";"06. BW-EJECUCION";"07. VALIDACIÓN BAJAWARE";"08. CERRADA"},0)
  =
  MATCH(_xlfn.XLOOKUP(INDEX($B:$B, (ROW()-3)),'Relacion '!$E:$E,'Relacion '!$D:$D,""),{"01. ASIGNACION AREA";"02. MAPEO";"03. DESARROLLO";"04. VALIDA US";"05. VOBO US";"06. BW-EJECUCION";"07. VALIDACIÓN BAJAWARE";"08. CERRADA"},0),
  _xlfn.XLOOKUP(INDEX($B:$B, (ROW()-3)),'Relacion '!$E:$E,'Relacion '!#REF!,0),
  0
 )
)</f>
        <v>1</v>
      </c>
      <c r="I1193" s="241">
        <f t="shared" ca="1" si="272"/>
        <v>1</v>
      </c>
      <c r="J1193" s="241"/>
      <c r="K1193" s="241"/>
      <c r="L1193" s="238"/>
    </row>
    <row r="1194" spans="2:12" outlineLevel="1">
      <c r="B1194" s="237" t="s">
        <v>324</v>
      </c>
      <c r="C1194" s="237" t="s">
        <v>324</v>
      </c>
      <c r="D1194" s="238" t="str">
        <f>_xlfn.XLOOKUP(B1194,'Relacion '!$E:$E,'Relacion '!$D:$D,"")</f>
        <v/>
      </c>
      <c r="E1194" s="239">
        <f t="shared" si="273"/>
        <v>0</v>
      </c>
      <c r="F1194" s="240" cm="1">
        <f t="array" ref="F1194">MIN(INDEX('Relacion '!$AD$5:$AE$493,MATCH(INDEX($B:$B, (ROW()-4)),'Relacion '!$E$5:$E$493,0),0))</f>
        <v>46108</v>
      </c>
      <c r="G1194" s="240" cm="1">
        <f t="array" ref="G1194">MAX(INDEX('Relacion '!$AD$5:$AE$493,MATCH(INDEX($B:$B, (ROW()-4)),'Relacion '!$E$5:$E$493,0),0))</f>
        <v>46108</v>
      </c>
      <c r="H1194" s="241" cm="1">
        <f t="array" ref="H1194">IF(
 MATCH(B1194,{"01. ASIGNACION AREA";"02. MAPEO";"03. DESARROLLO";"04. VALIDA US";"05. VOBO US";"06. BW-EJECUCION";"07. VALIDACIÓN BAJAWARE";"08. CERRADA"},0)
 &lt;
 MATCH(_xlfn.XLOOKUP(INDEX($B:$B, (ROW()-4)),'Relacion '!$E:$E,'Relacion '!$D:$D,""),{"01. ASIGNACION AREA";"02. MAPEO";"03. DESARROLLO";"04. VALIDA US";"05. VOBO US";"06. BW-EJECUCION";"07. VALIDACIÓN BAJAWARE";"08. CERRADA"},0),
 1,
 IF(
  MATCH(B1194,{"01. ASIGNACION AREA";"02. MAPEO";"03. DESARROLLO";"04. VALIDA US";"05. VOBO US";"06. BW-EJECUCION";"07. VALIDACIÓN BAJAWARE";"08. CERRADA"},0)
  =
  MATCH(_xlfn.XLOOKUP(INDEX($B:$B, (ROW()-4)),'Relacion '!$E:$E,'Relacion '!$D:$D,""),{"01. ASIGNACION AREA";"02. MAPEO";"03. DESARROLLO";"04. VALIDA US";"05. VOBO US";"06. BW-EJECUCION";"07. VALIDACIÓN BAJAWARE";"08. CERRADA"},0),
  _xlfn.XLOOKUP(INDEX($B:$B, (ROW()-4)),'Relacion '!$E:$E,'Relacion '!#REF!,0),
  0
 )
)</f>
        <v>1</v>
      </c>
      <c r="I1194" s="241">
        <f t="shared" ca="1" si="272"/>
        <v>1</v>
      </c>
      <c r="J1194" s="241"/>
      <c r="K1194" s="241"/>
      <c r="L1194" s="238"/>
    </row>
    <row r="1195" spans="2:12" outlineLevel="1">
      <c r="B1195" s="237" t="s">
        <v>320</v>
      </c>
      <c r="C1195" s="237" t="s">
        <v>320</v>
      </c>
      <c r="D1195" s="238" t="str">
        <f>_xlfn.XLOOKUP(B1195,'Relacion '!$E:$E,'Relacion '!$D:$D,"")</f>
        <v/>
      </c>
      <c r="E1195" s="239">
        <f t="shared" si="273"/>
        <v>0</v>
      </c>
      <c r="F1195" s="240" cm="1">
        <f t="array" ref="F1195">MIN(INDEX('Relacion '!$AF$5:$AG$493,MATCH(INDEX($B:$B, (ROW()-5)),'Relacion '!$E$5:$E$493,0),0))</f>
        <v>46108</v>
      </c>
      <c r="G1195" s="240" cm="1">
        <f t="array" ref="G1195">MAX(INDEX('Relacion '!$AF$5:$AG$493,MATCH(INDEX($B:$B, (ROW()-5)),'Relacion '!$E$5:$E$493,0),0))</f>
        <v>46108</v>
      </c>
      <c r="H1195" s="241" cm="1">
        <f t="array" ref="H1195">IF(
 MATCH(B1195,{"01. ASIGNACION AREA";"02. MAPEO";"03. DESARROLLO";"04. VALIDA US";"05. VOBO US";"06. BW-EJECUCION";"07. VALIDACIÓN BAJAWARE";"08. CERRADA"},0)
 &lt;
 MATCH(_xlfn.XLOOKUP(INDEX($B:$B, (ROW()-5)),'Relacion '!$E:$E,'Relacion '!$D:$D,""),{"01. ASIGNACION AREA";"02. MAPEO";"03. DESARROLLO";"04. VALIDA US";"05. VOBO US";"06. BW-EJECUCION";"07. VALIDACIÓN BAJAWARE";"08. CERRADA"},0),
 1,
 IF(
  MATCH(B1195,{"01. ASIGNACION AREA";"02. MAPEO";"03. DESARROLLO";"04. VALIDA US";"05. VOBO US";"06. BW-EJECUCION";"07. VALIDACIÓN BAJAWARE";"08. CERRADA"},0)
  =
  MATCH(_xlfn.XLOOKUP(INDEX($B:$B, (ROW()-5)),'Relacion '!$E:$E,'Relacion '!$D:$D,""),{"01. ASIGNACION AREA";"02. MAPEO";"03. DESARROLLO";"04. VALIDA US";"05. VOBO US";"06. BW-EJECUCION";"07. VALIDACIÓN BAJAWARE";"08. CERRADA"},0),
  _xlfn.XLOOKUP(INDEX($B:$B, (ROW()-5)),'Relacion '!$E:$E,'Relacion '!#REF!,0),
  0
 )
)</f>
        <v>1</v>
      </c>
      <c r="I1195" s="241">
        <f t="shared" ca="1" si="272"/>
        <v>1</v>
      </c>
      <c r="J1195" s="241"/>
      <c r="K1195" s="241"/>
      <c r="L1195" s="238"/>
    </row>
    <row r="1196" spans="2:12" outlineLevel="1">
      <c r="B1196" s="237" t="s">
        <v>710</v>
      </c>
      <c r="C1196" s="237" t="s">
        <v>710</v>
      </c>
      <c r="D1196" s="238" t="str">
        <f>_xlfn.XLOOKUP(B1196,'Relacion '!$E:$E,'Relacion '!$D:$D,"")</f>
        <v/>
      </c>
      <c r="E1196" s="239">
        <f t="shared" si="273"/>
        <v>0</v>
      </c>
      <c r="F1196" s="240" cm="1">
        <f t="array" ref="F1196">MIN(INDEX('Relacion '!$AH$5:$AI$493,MATCH(INDEX($B:$B, (ROW()-6)),'Relacion '!$E$5:$E$493,0),0))</f>
        <v>46108</v>
      </c>
      <c r="G1196" s="240" cm="1">
        <f t="array" ref="G1196">MAX(INDEX('Relacion '!$AH$5:$AI$493,MATCH(INDEX($B:$B, (ROW()-6)),'Relacion '!$E$5:$E$493,0),0))</f>
        <v>46108</v>
      </c>
      <c r="H1196" s="241" cm="1">
        <f t="array" ref="H1196">IF(
 MATCH(B1196,{"01. ASIGNACION AREA";"02. MAPEO";"03. DESARROLLO";"04. VALIDA US";"05. VOBO US";"06. BW-EJECUCION";"07. VALIDACIÓN BAJAWARE";"08. CERRADA"},0)
 &lt;
 MATCH(_xlfn.XLOOKUP(INDEX($B:$B, (ROW()-6)),'Relacion '!$E:$E,'Relacion '!$D:$D,""),{"01. ASIGNACION AREA";"02. MAPEO";"03. DESARROLLO";"04. VALIDA US";"05. VOBO US";"06. BW-EJECUCION";"07. VALIDACIÓN BAJAWARE";"08. CERRADA"},0),
 1,
 IF(
  MATCH(B1196,{"01. ASIGNACION AREA";"02. MAPEO";"03. DESARROLLO";"04. VALIDA US";"05. VOBO US";"06. BW-EJECUCION";"07. VALIDACIÓN BAJAWARE";"08. CERRADA"},0)
  =
  MATCH(_xlfn.XLOOKUP(INDEX($B:$B, (ROW()-6)),'Relacion '!$E:$E,'Relacion '!$D:$D,""),{"01. ASIGNACION AREA";"02. MAPEO";"03. DESARROLLO";"04. VALIDA US";"05. VOBO US";"06. BW-EJECUCION";"07. VALIDACIÓN BAJAWARE";"08. CERRADA"},0),
  _xlfn.XLOOKUP(INDEX($B:$B, (ROW()-6)),'Relacion '!$E:$E,'Relacion '!#REF!,0),
  0
 )
)</f>
        <v>1</v>
      </c>
      <c r="I1196" s="241">
        <f t="shared" ca="1" si="272"/>
        <v>1</v>
      </c>
      <c r="J1196" s="241"/>
      <c r="K1196" s="241"/>
      <c r="L1196" s="238"/>
    </row>
    <row r="1197" spans="2:12" outlineLevel="1">
      <c r="B1197" s="237" t="s">
        <v>655</v>
      </c>
      <c r="C1197" s="237" t="s">
        <v>655</v>
      </c>
      <c r="D1197" s="238" t="str">
        <f>_xlfn.XLOOKUP(B1197,'Relacion '!$E:$E,'Relacion '!$D:$D,"")</f>
        <v/>
      </c>
      <c r="E1197" s="239">
        <f t="shared" si="273"/>
        <v>0</v>
      </c>
      <c r="F1197" s="240" cm="1">
        <f t="array" ref="F1197">MIN(INDEX('Relacion '!$AJ$5:$AK$493,MATCH(INDEX($B:$B, (ROW()-7)),'Relacion '!$E$5:$E$493,0),0))</f>
        <v>46108</v>
      </c>
      <c r="G1197" s="240" cm="1">
        <f t="array" ref="G1197">MAX(INDEX('Relacion '!$AJ$5:$AK$493,MATCH(INDEX($B:$B, (ROW()-7)),'Relacion '!$E$5:$E$493,0),0))</f>
        <v>46108</v>
      </c>
      <c r="H1197" s="241" cm="1">
        <f t="array" ref="H1197">IF(
 MATCH(B1197,{"01. ASIGNACION AREA";"02. MAPEO";"03. DESARROLLO";"04. VALIDA US";"05. VOBO US";"06. BW-EJECUCION";"07. VALIDACIÓN BAJAWARE";"08. CERRADA"},0)
 &lt;
 MATCH(_xlfn.XLOOKUP(INDEX($B:$B, (ROW()-7)),'Relacion '!$E:$E,'Relacion '!$D:$D,""),{"01. ASIGNACION AREA";"02. MAPEO";"03. DESARROLLO";"04. VALIDA US";"05. VOBO US";"06. BW-EJECUCION";"07. VALIDACIÓN BAJAWARE";"08. CERRADA"},0),
 1,
 IF(
  MATCH(B1197,{"01. ASIGNACION AREA";"02. MAPEO";"03. DESARROLLO";"04. VALIDA US";"05. VOBO US";"06. BW-EJECUCION";"07. VALIDACIÓN BAJAWARE";"08. CERRADA"},0)
  =
  MATCH(_xlfn.XLOOKUP(INDEX($B:$B, (ROW()-7)),'Relacion '!$E:$E,'Relacion '!$D:$D,""),{"01. ASIGNACION AREA";"02. MAPEO";"03. DESARROLLO";"04. VALIDA US";"05. VOBO US";"06. BW-EJECUCION";"07. VALIDACIÓN BAJAWARE";"08. CERRADA"},0),
  _xlfn.XLOOKUP(INDEX($B:$B, (ROW()-7)),'Relacion '!$E:$E,'Relacion '!#REF!,0),
  0
 )
)</f>
        <v>1</v>
      </c>
      <c r="I1197" s="241">
        <f t="shared" ca="1" si="272"/>
        <v>1</v>
      </c>
      <c r="J1197" s="241"/>
      <c r="K1197" s="241"/>
      <c r="L1197" s="238"/>
    </row>
    <row r="1198" spans="2:12" outlineLevel="1">
      <c r="B1198" s="237" t="s">
        <v>656</v>
      </c>
      <c r="C1198" s="237" t="s">
        <v>656</v>
      </c>
      <c r="D1198" s="238" t="str">
        <f>_xlfn.XLOOKUP(B1198,'Relacion '!$E:$E,'Relacion '!$D:$D,"")</f>
        <v/>
      </c>
      <c r="E1198" s="239">
        <f t="shared" si="273"/>
        <v>0</v>
      </c>
      <c r="F1198" s="240" cm="1">
        <f t="array" ref="F1198">MIN(INDEX('Relacion '!$AL$5:$AM$493,MATCH(INDEX($B:$B, (ROW()-8)),'Relacion '!$E$5:$E$493,0),0))</f>
        <v>46109</v>
      </c>
      <c r="G1198" s="240" cm="1">
        <f t="array" ref="G1198">MAX(INDEX('Relacion '!$AL$5:$AM$493,MATCH(INDEX($B:$B, (ROW()-8)),'Relacion '!$E$5:$E$493,0),0))</f>
        <v>46109</v>
      </c>
      <c r="H1198" s="241" t="e" cm="1">
        <f t="array" ref="H1198">IF(
 MATCH(B1198,{"01. ASIGNACION AREA";"02. MAPEO";"03. DESARROLLO";"04. VALIDA US";"05. VOBO US";"06. BW-EJECUCION";"07. VALIDACIÓN BAJAWARE";"08. CERRADA"},0)
 &lt;
 MATCH(_xlfn.XLOOKUP(INDEX($B:$B, (ROW()-8)),'Relacion '!$E:$E,'Relacion '!$D:$D,""),{"01. ASIGNACION AREA";"02. MAPEO";"03. DESARROLLO";"04. VALIDA US";"05. VOBO US";"06. BW-EJECUCION";"07. VALIDACIÓN BAJAWARE";"08. CERRADA"},0),
 1,
 IF(
  MATCH(B1198,{"01. ASIGNACION AREA";"02. MAPEO";"03. DESARROLLO";"04. VALIDA US";"05. VOBO US";"06. BW-EJECUCION";"07. VALIDACIÓN BAJAWARE";"08. CERRADA"},0)
  =
  MATCH(_xlfn.XLOOKUP(INDEX($B:$B, (ROW()-8)),'Relacion '!$E:$E,'Relacion '!$D:$D,""),{"01. ASIGNACION AREA";"02. MAPEO";"03. DESARROLLO";"04. VALIDA US";"05. VOBO US";"06. BW-EJECUCION";"07. VALIDACIÓN BAJAWARE";"08. CERRADA"},0),
  _xlfn.XLOOKUP(INDEX($B:$B, (ROW()-8)),'Relacion '!$E:$E,'Relacion '!#REF!,0),
  0
 )
)</f>
        <v>#REF!</v>
      </c>
      <c r="I1198" s="241">
        <f t="shared" ca="1" si="272"/>
        <v>1</v>
      </c>
      <c r="J1198" s="241"/>
      <c r="K1198" s="241"/>
      <c r="L1198" s="238"/>
    </row>
    <row r="1199" spans="2:12">
      <c r="B1199" s="232" t="s">
        <v>25</v>
      </c>
      <c r="C1199" s="167" t="s">
        <v>360</v>
      </c>
      <c r="D1199" s="236" t="str">
        <f>_xlfn.XLOOKUP(B1199,'Relacion '!$E:$E,'Relacion '!$D:$D,"")</f>
        <v>04. VALIDA US</v>
      </c>
      <c r="E1199" s="233">
        <f t="shared" si="273"/>
        <v>113</v>
      </c>
      <c r="F1199" s="234" cm="1">
        <f t="array" ref="F1199">MIN(INDEX('Relacion '!$X$5:$AM$493,MATCH(INDEX($B:$B, (ROW()-0)),'Relacion '!$E$5:$E$493,0),0))</f>
        <v>46024</v>
      </c>
      <c r="G1199" s="234" cm="1">
        <f t="array" ref="G1199">MAX(INDEX('Relacion '!$X$5:$AM$493,MATCH(INDEX($B:$B, (ROW()-0)),'Relacion '!$E$5:$E$493,0),0))</f>
        <v>46137</v>
      </c>
      <c r="H1199" s="235" t="e">
        <f>AVERAGE(H1200:H1207)</f>
        <v>#REF!</v>
      </c>
      <c r="I1199" s="235">
        <f t="shared" ref="I1199" ca="1" si="284">AVERAGE(I1200:I1207)</f>
        <v>1</v>
      </c>
      <c r="J1199" s="236" t="str">
        <f>IF(ISNUMBER(SEARCH("Rocha", _xlfn.XLOOKUP(B1199,'Relacion '!$E:$E,'Relacion '!$I:$I,""))), "Sí", "No")</f>
        <v>No</v>
      </c>
      <c r="K1199" s="236" t="str">
        <f>IF(ISNUMBER(SEARCH("Rocha", _xlfn.XLOOKUP(B1199,'Relacion '!$E:$E,'Relacion '!$I:$I,""))), "RMC", _xlfn.XLOOKUP(B1199,'Relacion '!$E:$E,'Relacion '!$B:$B,""))</f>
        <v>Contabilidad</v>
      </c>
      <c r="L1199" s="236" t="str">
        <f>_xlfn.XLOOKUP(B1199,'Relacion '!$E:$E,'Relacion '!$C:$C,"")</f>
        <v xml:space="preserve">Ramon Jaimes </v>
      </c>
    </row>
    <row r="1200" spans="2:12" outlineLevel="1">
      <c r="B1200" s="237" t="s">
        <v>654</v>
      </c>
      <c r="C1200" s="237" t="s">
        <v>654</v>
      </c>
      <c r="D1200" s="238" t="str">
        <f>_xlfn.XLOOKUP(B1200,'Relacion '!$E:$E,'Relacion '!$D:$D,"")</f>
        <v/>
      </c>
      <c r="E1200" s="239">
        <f t="shared" si="273"/>
        <v>14</v>
      </c>
      <c r="F1200" s="240" cm="1">
        <f t="array" ref="F1200">MIN(INDEX('Relacion '!$X$5:$Y$493,MATCH(INDEX($B:$B, (ROW()-1)),'Relacion '!$E$5:$E$493,0),0))</f>
        <v>46024</v>
      </c>
      <c r="G1200" s="240" cm="1">
        <f t="array" ref="G1200">MAX(INDEX('Relacion '!$X$5:$Y$493,MATCH(INDEX($B:$B, (ROW()-1)),'Relacion '!$E$5:$E$493,0),0))</f>
        <v>46038</v>
      </c>
      <c r="H1200" s="241" cm="1">
        <f t="array" ref="H1200">IF(
 MATCH(B1200,{"01. ASIGNACION AREA";"02. MAPEO";"03. DESARROLLO";"04. VALIDA US";"05. VOBO US";"06. BW-EJECUCION";"07. VALIDACIÓN BAJAWARE";"08. CERRADA"},0)
 &lt;
 MATCH(_xlfn.XLOOKUP(INDEX($B:$B, (ROW()-1)),'Relacion '!$E:$E,'Relacion '!$D:$D,""),{"01. ASIGNACION AREA";"02. MAPEO";"03. DESARROLLO";"04. VALIDA US";"05. VOBO US";"06. BW-EJECUCION";"07. VALIDACIÓN BAJAWARE";"08. CERRADA"},0),
 1,
 IF(
  MATCH(B1200,{"01. ASIGNACION AREA";"02. MAPEO";"03. DESARROLLO";"04. VALIDA US";"05. VOBO US";"06. BW-EJECUCION";"07. VALIDACIÓN BAJAWARE";"08. CERRADA"},0)
  =
  MATCH(_xlfn.XLOOKUP(INDEX($B:$B, (ROW()-1)),'Relacion '!$E:$E,'Relacion '!$D:$D,""),{"01. ASIGNACION AREA";"02. MAPEO";"03. DESARROLLO";"04. VALIDA US";"05. VOBO US";"06. BW-EJECUCION";"07. VALIDACIÓN BAJAWARE";"08. CERRADA"},0),
  _xlfn.XLOOKUP(INDEX($B:$B, (ROW()-1)),'Relacion '!$E:$E,'Relacion '!#REF!,0),
  0
 )
)</f>
        <v>1</v>
      </c>
      <c r="I1200" s="241">
        <f t="shared" ref="I1200" ca="1" si="285">IF(G1200&lt;=TODAY(), 1, 0)</f>
        <v>1</v>
      </c>
      <c r="J1200" s="241"/>
      <c r="K1200" s="241"/>
      <c r="L1200" s="238"/>
    </row>
    <row r="1201" spans="2:12" outlineLevel="1">
      <c r="B1201" s="237" t="s">
        <v>195</v>
      </c>
      <c r="C1201" s="237" t="s">
        <v>195</v>
      </c>
      <c r="D1201" s="238" t="str">
        <f>_xlfn.XLOOKUP(B1201,'Relacion '!$E:$E,'Relacion '!$D:$D,"")</f>
        <v/>
      </c>
      <c r="E1201" s="239">
        <f t="shared" si="273"/>
        <v>27</v>
      </c>
      <c r="F1201" s="240" cm="1">
        <f t="array" ref="F1201">MIN(INDEX('Relacion '!$Z$5:$AA$493,MATCH(INDEX($B:$B, (ROW()-2)),'Relacion '!$E$5:$E$493,0),0))</f>
        <v>46045</v>
      </c>
      <c r="G1201" s="240" cm="1">
        <f t="array" ref="G1201">MAX(INDEX('Relacion '!$Z$5:$AA$493,MATCH(INDEX($B:$B, (ROW()-2)),'Relacion '!$E$5:$E$493,0),0))</f>
        <v>46072</v>
      </c>
      <c r="H1201" s="241" cm="1">
        <f t="array" ref="H1201">IF(
 MATCH(B1201,{"01. ASIGNACION AREA";"02. MAPEO";"03. DESARROLLO";"04. VALIDA US";"05. VOBO US";"06. BW-EJECUCION";"07. VALIDACIÓN BAJAWARE";"08. CERRADA"},0)
 &lt;
 MATCH(_xlfn.XLOOKUP(INDEX($B:$B, (ROW()-2)),'Relacion '!$E:$E,'Relacion '!$D:$D,""),{"01. ASIGNACION AREA";"02. MAPEO";"03. DESARROLLO";"04. VALIDA US";"05. VOBO US";"06. BW-EJECUCION";"07. VALIDACIÓN BAJAWARE";"08. CERRADA"},0),
 1,
 IF(
  MATCH(B1201,{"01. ASIGNACION AREA";"02. MAPEO";"03. DESARROLLO";"04. VALIDA US";"05. VOBO US";"06. BW-EJECUCION";"07. VALIDACIÓN BAJAWARE";"08. CERRADA"},0)
  =
  MATCH(_xlfn.XLOOKUP(INDEX($B:$B, (ROW()-2)),'Relacion '!$E:$E,'Relacion '!$D:$D,""),{"01. ASIGNACION AREA";"02. MAPEO";"03. DESARROLLO";"04. VALIDA US";"05. VOBO US";"06. BW-EJECUCION";"07. VALIDACIÓN BAJAWARE";"08. CERRADA"},0),
  _xlfn.XLOOKUP(INDEX($B:$B, (ROW()-2)),'Relacion '!$E:$E,'Relacion '!#REF!,0),
  0
 )
)</f>
        <v>1</v>
      </c>
      <c r="I1201" s="241">
        <f t="shared" ca="1" si="272"/>
        <v>1</v>
      </c>
      <c r="J1201" s="241"/>
      <c r="K1201" s="241"/>
      <c r="L1201" s="238"/>
    </row>
    <row r="1202" spans="2:12" outlineLevel="1">
      <c r="B1202" s="237" t="s">
        <v>49</v>
      </c>
      <c r="C1202" s="237" t="s">
        <v>49</v>
      </c>
      <c r="D1202" s="238" t="str">
        <f>_xlfn.XLOOKUP(B1202,'Relacion '!$E:$E,'Relacion '!$D:$D,"")</f>
        <v/>
      </c>
      <c r="E1202" s="239">
        <f t="shared" si="273"/>
        <v>10</v>
      </c>
      <c r="F1202" s="240" cm="1">
        <f t="array" ref="F1202">MIN(INDEX('Relacion '!$AB$5:$AC$493,MATCH(INDEX($B:$B, (ROW()-3)),'Relacion '!$E$5:$E$493,0),0))</f>
        <v>46045</v>
      </c>
      <c r="G1202" s="240" cm="1">
        <f t="array" ref="G1202">MAX(INDEX('Relacion '!$AB$5:$AC$493,MATCH(INDEX($B:$B, (ROW()-3)),'Relacion '!$E$5:$E$493,0),0))</f>
        <v>46055</v>
      </c>
      <c r="H1202" s="241" cm="1">
        <f t="array" ref="H1202">IF(
 MATCH(B1202,{"01. ASIGNACION AREA";"02. MAPEO";"03. DESARROLLO";"04. VALIDA US";"05. VOBO US";"06. BW-EJECUCION";"07. VALIDACIÓN BAJAWARE";"08. CERRADA"},0)
 &lt;
 MATCH(_xlfn.XLOOKUP(INDEX($B:$B, (ROW()-3)),'Relacion '!$E:$E,'Relacion '!$D:$D,""),{"01. ASIGNACION AREA";"02. MAPEO";"03. DESARROLLO";"04. VALIDA US";"05. VOBO US";"06. BW-EJECUCION";"07. VALIDACIÓN BAJAWARE";"08. CERRADA"},0),
 1,
 IF(
  MATCH(B1202,{"01. ASIGNACION AREA";"02. MAPEO";"03. DESARROLLO";"04. VALIDA US";"05. VOBO US";"06. BW-EJECUCION";"07. VALIDACIÓN BAJAWARE";"08. CERRADA"},0)
  =
  MATCH(_xlfn.XLOOKUP(INDEX($B:$B, (ROW()-3)),'Relacion '!$E:$E,'Relacion '!$D:$D,""),{"01. ASIGNACION AREA";"02. MAPEO";"03. DESARROLLO";"04. VALIDA US";"05. VOBO US";"06. BW-EJECUCION";"07. VALIDACIÓN BAJAWARE";"08. CERRADA"},0),
  _xlfn.XLOOKUP(INDEX($B:$B, (ROW()-3)),'Relacion '!$E:$E,'Relacion '!#REF!,0),
  0
 )
)</f>
        <v>1</v>
      </c>
      <c r="I1202" s="241">
        <f t="shared" ca="1" si="272"/>
        <v>1</v>
      </c>
      <c r="J1202" s="241"/>
      <c r="K1202" s="241"/>
      <c r="L1202" s="238"/>
    </row>
    <row r="1203" spans="2:12" outlineLevel="1">
      <c r="B1203" s="237" t="s">
        <v>324</v>
      </c>
      <c r="C1203" s="237" t="s">
        <v>324</v>
      </c>
      <c r="D1203" s="238" t="str">
        <f>_xlfn.XLOOKUP(B1203,'Relacion '!$E:$E,'Relacion '!$D:$D,"")</f>
        <v/>
      </c>
      <c r="E1203" s="239">
        <f t="shared" si="273"/>
        <v>14</v>
      </c>
      <c r="F1203" s="240" cm="1">
        <f t="array" ref="F1203">MIN(INDEX('Relacion '!$AD$5:$AE$493,MATCH(INDEX($B:$B, (ROW()-4)),'Relacion '!$E$5:$E$493,0),0))</f>
        <v>46099</v>
      </c>
      <c r="G1203" s="240" cm="1">
        <f t="array" ref="G1203">MAX(INDEX('Relacion '!$AD$5:$AE$493,MATCH(INDEX($B:$B, (ROW()-4)),'Relacion '!$E$5:$E$493,0),0))</f>
        <v>46113</v>
      </c>
      <c r="H1203" s="241" t="e" cm="1">
        <f t="array" ref="H1203">IF(
 MATCH(B1203,{"01. ASIGNACION AREA";"02. MAPEO";"03. DESARROLLO";"04. VALIDA US";"05. VOBO US";"06. BW-EJECUCION";"07. VALIDACIÓN BAJAWARE";"08. CERRADA"},0)
 &lt;
 MATCH(_xlfn.XLOOKUP(INDEX($B:$B, (ROW()-4)),'Relacion '!$E:$E,'Relacion '!$D:$D,""),{"01. ASIGNACION AREA";"02. MAPEO";"03. DESARROLLO";"04. VALIDA US";"05. VOBO US";"06. BW-EJECUCION";"07. VALIDACIÓN BAJAWARE";"08. CERRADA"},0),
 1,
 IF(
  MATCH(B1203,{"01. ASIGNACION AREA";"02. MAPEO";"03. DESARROLLO";"04. VALIDA US";"05. VOBO US";"06. BW-EJECUCION";"07. VALIDACIÓN BAJAWARE";"08. CERRADA"},0)
  =
  MATCH(_xlfn.XLOOKUP(INDEX($B:$B, (ROW()-4)),'Relacion '!$E:$E,'Relacion '!$D:$D,""),{"01. ASIGNACION AREA";"02. MAPEO";"03. DESARROLLO";"04. VALIDA US";"05. VOBO US";"06. BW-EJECUCION";"07. VALIDACIÓN BAJAWARE";"08. CERRADA"},0),
  _xlfn.XLOOKUP(INDEX($B:$B, (ROW()-4)),'Relacion '!$E:$E,'Relacion '!#REF!,0),
  0
 )
)</f>
        <v>#REF!</v>
      </c>
      <c r="I1203" s="241">
        <f t="shared" ca="1" si="272"/>
        <v>1</v>
      </c>
      <c r="J1203" s="241"/>
      <c r="K1203" s="241"/>
      <c r="L1203" s="238"/>
    </row>
    <row r="1204" spans="2:12" outlineLevel="1">
      <c r="B1204" s="237" t="s">
        <v>320</v>
      </c>
      <c r="C1204" s="237" t="s">
        <v>320</v>
      </c>
      <c r="D1204" s="238" t="str">
        <f>_xlfn.XLOOKUP(B1204,'Relacion '!$E:$E,'Relacion '!$D:$D,"")</f>
        <v/>
      </c>
      <c r="E1204" s="239">
        <f t="shared" si="273"/>
        <v>5</v>
      </c>
      <c r="F1204" s="240" cm="1">
        <f t="array" ref="F1204">MIN(INDEX('Relacion '!$AF$5:$AG$493,MATCH(INDEX($B:$B, (ROW()-5)),'Relacion '!$E$5:$E$493,0),0))</f>
        <v>46113</v>
      </c>
      <c r="G1204" s="240" cm="1">
        <f t="array" ref="G1204">MAX(INDEX('Relacion '!$AF$5:$AG$493,MATCH(INDEX($B:$B, (ROW()-5)),'Relacion '!$E$5:$E$493,0),0))</f>
        <v>46118</v>
      </c>
      <c r="H1204" s="241" cm="1">
        <f t="array" ref="H1204">IF(
 MATCH(B1204,{"01. ASIGNACION AREA";"02. MAPEO";"03. DESARROLLO";"04. VALIDA US";"05. VOBO US";"06. BW-EJECUCION";"07. VALIDACIÓN BAJAWARE";"08. CERRADA"},0)
 &lt;
 MATCH(_xlfn.XLOOKUP(INDEX($B:$B, (ROW()-5)),'Relacion '!$E:$E,'Relacion '!$D:$D,""),{"01. ASIGNACION AREA";"02. MAPEO";"03. DESARROLLO";"04. VALIDA US";"05. VOBO US";"06. BW-EJECUCION";"07. VALIDACIÓN BAJAWARE";"08. CERRADA"},0),
 1,
 IF(
  MATCH(B1204,{"01. ASIGNACION AREA";"02. MAPEO";"03. DESARROLLO";"04. VALIDA US";"05. VOBO US";"06. BW-EJECUCION";"07. VALIDACIÓN BAJAWARE";"08. CERRADA"},0)
  =
  MATCH(_xlfn.XLOOKUP(INDEX($B:$B, (ROW()-5)),'Relacion '!$E:$E,'Relacion '!$D:$D,""),{"01. ASIGNACION AREA";"02. MAPEO";"03. DESARROLLO";"04. VALIDA US";"05. VOBO US";"06. BW-EJECUCION";"07. VALIDACIÓN BAJAWARE";"08. CERRADA"},0),
  _xlfn.XLOOKUP(INDEX($B:$B, (ROW()-5)),'Relacion '!$E:$E,'Relacion '!#REF!,0),
  0
 )
)</f>
        <v>0</v>
      </c>
      <c r="I1204" s="241">
        <f t="shared" ca="1" si="272"/>
        <v>1</v>
      </c>
      <c r="J1204" s="241"/>
      <c r="K1204" s="241"/>
      <c r="L1204" s="238"/>
    </row>
    <row r="1205" spans="2:12" outlineLevel="1">
      <c r="B1205" s="237" t="s">
        <v>710</v>
      </c>
      <c r="C1205" s="237" t="s">
        <v>710</v>
      </c>
      <c r="D1205" s="238" t="str">
        <f>_xlfn.XLOOKUP(B1205,'Relacion '!$E:$E,'Relacion '!$D:$D,"")</f>
        <v/>
      </c>
      <c r="E1205" s="239">
        <f t="shared" si="273"/>
        <v>2</v>
      </c>
      <c r="F1205" s="240" cm="1">
        <f t="array" ref="F1205">MIN(INDEX('Relacion '!$AH$5:$AI$493,MATCH(INDEX($B:$B, (ROW()-6)),'Relacion '!$E$5:$E$493,0),0))</f>
        <v>46119</v>
      </c>
      <c r="G1205" s="240" cm="1">
        <f t="array" ref="G1205">MAX(INDEX('Relacion '!$AH$5:$AI$493,MATCH(INDEX($B:$B, (ROW()-6)),'Relacion '!$E$5:$E$493,0),0))</f>
        <v>46121</v>
      </c>
      <c r="H1205" s="241" cm="1">
        <f t="array" ref="H1205">IF(
 MATCH(B1205,{"01. ASIGNACION AREA";"02. MAPEO";"03. DESARROLLO";"04. VALIDA US";"05. VOBO US";"06. BW-EJECUCION";"07. VALIDACIÓN BAJAWARE";"08. CERRADA"},0)
 &lt;
 MATCH(_xlfn.XLOOKUP(INDEX($B:$B, (ROW()-6)),'Relacion '!$E:$E,'Relacion '!$D:$D,""),{"01. ASIGNACION AREA";"02. MAPEO";"03. DESARROLLO";"04. VALIDA US";"05. VOBO US";"06. BW-EJECUCION";"07. VALIDACIÓN BAJAWARE";"08. CERRADA"},0),
 1,
 IF(
  MATCH(B1205,{"01. ASIGNACION AREA";"02. MAPEO";"03. DESARROLLO";"04. VALIDA US";"05. VOBO US";"06. BW-EJECUCION";"07. VALIDACIÓN BAJAWARE";"08. CERRADA"},0)
  =
  MATCH(_xlfn.XLOOKUP(INDEX($B:$B, (ROW()-6)),'Relacion '!$E:$E,'Relacion '!$D:$D,""),{"01. ASIGNACION AREA";"02. MAPEO";"03. DESARROLLO";"04. VALIDA US";"05. VOBO US";"06. BW-EJECUCION";"07. VALIDACIÓN BAJAWARE";"08. CERRADA"},0),
  _xlfn.XLOOKUP(INDEX($B:$B, (ROW()-6)),'Relacion '!$E:$E,'Relacion '!#REF!,0),
  0
 )
)</f>
        <v>0</v>
      </c>
      <c r="I1205" s="241">
        <f t="shared" ca="1" si="272"/>
        <v>1</v>
      </c>
      <c r="J1205" s="241"/>
      <c r="K1205" s="241"/>
      <c r="L1205" s="238"/>
    </row>
    <row r="1206" spans="2:12" outlineLevel="1">
      <c r="B1206" s="237" t="s">
        <v>655</v>
      </c>
      <c r="C1206" s="237" t="s">
        <v>655</v>
      </c>
      <c r="D1206" s="238" t="str">
        <f>_xlfn.XLOOKUP(B1206,'Relacion '!$E:$E,'Relacion '!$D:$D,"")</f>
        <v/>
      </c>
      <c r="E1206" s="239">
        <f t="shared" si="273"/>
        <v>14</v>
      </c>
      <c r="F1206" s="240" cm="1">
        <f t="array" ref="F1206">MIN(INDEX('Relacion '!$AJ$5:$AK$493,MATCH(INDEX($B:$B, (ROW()-7)),'Relacion '!$E$5:$E$493,0),0))</f>
        <v>46122</v>
      </c>
      <c r="G1206" s="240" cm="1">
        <f t="array" ref="G1206">MAX(INDEX('Relacion '!$AJ$5:$AK$493,MATCH(INDEX($B:$B, (ROW()-7)),'Relacion '!$E$5:$E$493,0),0))</f>
        <v>46136</v>
      </c>
      <c r="H1206" s="241" cm="1">
        <f t="array" ref="H1206">IF(
 MATCH(B1206,{"01. ASIGNACION AREA";"02. MAPEO";"03. DESARROLLO";"04. VALIDA US";"05. VOBO US";"06. BW-EJECUCION";"07. VALIDACIÓN BAJAWARE";"08. CERRADA"},0)
 &lt;
 MATCH(_xlfn.XLOOKUP(INDEX($B:$B, (ROW()-7)),'Relacion '!$E:$E,'Relacion '!$D:$D,""),{"01. ASIGNACION AREA";"02. MAPEO";"03. DESARROLLO";"04. VALIDA US";"05. VOBO US";"06. BW-EJECUCION";"07. VALIDACIÓN BAJAWARE";"08. CERRADA"},0),
 1,
 IF(
  MATCH(B1206,{"01. ASIGNACION AREA";"02. MAPEO";"03. DESARROLLO";"04. VALIDA US";"05. VOBO US";"06. BW-EJECUCION";"07. VALIDACIÓN BAJAWARE";"08. CERRADA"},0)
  =
  MATCH(_xlfn.XLOOKUP(INDEX($B:$B, (ROW()-7)),'Relacion '!$E:$E,'Relacion '!$D:$D,""),{"01. ASIGNACION AREA";"02. MAPEO";"03. DESARROLLO";"04. VALIDA US";"05. VOBO US";"06. BW-EJECUCION";"07. VALIDACIÓN BAJAWARE";"08. CERRADA"},0),
  _xlfn.XLOOKUP(INDEX($B:$B, (ROW()-7)),'Relacion '!$E:$E,'Relacion '!#REF!,0),
  0
 )
)</f>
        <v>0</v>
      </c>
      <c r="I1206" s="241">
        <f t="shared" ca="1" si="272"/>
        <v>1</v>
      </c>
      <c r="J1206" s="241"/>
      <c r="K1206" s="241"/>
      <c r="L1206" s="238"/>
    </row>
    <row r="1207" spans="2:12" outlineLevel="1">
      <c r="B1207" s="237" t="s">
        <v>656</v>
      </c>
      <c r="C1207" s="237" t="s">
        <v>656</v>
      </c>
      <c r="D1207" s="238" t="str">
        <f>_xlfn.XLOOKUP(B1207,'Relacion '!$E:$E,'Relacion '!$D:$D,"")</f>
        <v/>
      </c>
      <c r="E1207" s="239">
        <f t="shared" si="273"/>
        <v>0</v>
      </c>
      <c r="F1207" s="240" cm="1">
        <f t="array" ref="F1207">MIN(INDEX('Relacion '!$AL$5:$AM$493,MATCH(INDEX($B:$B, (ROW()-8)),'Relacion '!$E$5:$E$493,0),0))</f>
        <v>46137</v>
      </c>
      <c r="G1207" s="240" cm="1">
        <f t="array" ref="G1207">MAX(INDEX('Relacion '!$AL$5:$AM$493,MATCH(INDEX($B:$B, (ROW()-8)),'Relacion '!$E$5:$E$493,0),0))</f>
        <v>46137</v>
      </c>
      <c r="H1207" s="241" cm="1">
        <f t="array" ref="H1207">IF(
 MATCH(B1207,{"01. ASIGNACION AREA";"02. MAPEO";"03. DESARROLLO";"04. VALIDA US";"05. VOBO US";"06. BW-EJECUCION";"07. VALIDACIÓN BAJAWARE";"08. CERRADA"},0)
 &lt;
 MATCH(_xlfn.XLOOKUP(INDEX($B:$B, (ROW()-8)),'Relacion '!$E:$E,'Relacion '!$D:$D,""),{"01. ASIGNACION AREA";"02. MAPEO";"03. DESARROLLO";"04. VALIDA US";"05. VOBO US";"06. BW-EJECUCION";"07. VALIDACIÓN BAJAWARE";"08. CERRADA"},0),
 1,
 IF(
  MATCH(B1207,{"01. ASIGNACION AREA";"02. MAPEO";"03. DESARROLLO";"04. VALIDA US";"05. VOBO US";"06. BW-EJECUCION";"07. VALIDACIÓN BAJAWARE";"08. CERRADA"},0)
  =
  MATCH(_xlfn.XLOOKUP(INDEX($B:$B, (ROW()-8)),'Relacion '!$E:$E,'Relacion '!$D:$D,""),{"01. ASIGNACION AREA";"02. MAPEO";"03. DESARROLLO";"04. VALIDA US";"05. VOBO US";"06. BW-EJECUCION";"07. VALIDACIÓN BAJAWARE";"08. CERRADA"},0),
  _xlfn.XLOOKUP(INDEX($B:$B, (ROW()-8)),'Relacion '!$E:$E,'Relacion '!#REF!,0),
  0
 )
)</f>
        <v>0</v>
      </c>
      <c r="I1207" s="241">
        <f t="shared" ca="1" si="272"/>
        <v>1</v>
      </c>
      <c r="J1207" s="241"/>
      <c r="K1207" s="241"/>
      <c r="L1207" s="238"/>
    </row>
    <row r="1208" spans="2:12">
      <c r="B1208" s="232" t="s">
        <v>557</v>
      </c>
      <c r="C1208" s="174" t="s">
        <v>417</v>
      </c>
      <c r="D1208" s="236" t="str">
        <f>_xlfn.XLOOKUP(B1208,'Relacion '!$E:$E,'Relacion '!$D:$D,"")</f>
        <v>08. CERRADA</v>
      </c>
      <c r="E1208" s="233">
        <f t="shared" si="273"/>
        <v>449</v>
      </c>
      <c r="F1208" s="234" cm="1">
        <f t="array" ref="F1208">MIN(INDEX('Relacion '!$X$5:$AM$493,MATCH(INDEX($B:$B, (ROW()-0)),'Relacion '!$E$5:$E$493,0),0))</f>
        <v>45659</v>
      </c>
      <c r="G1208" s="234" cm="1">
        <f t="array" ref="G1208">MAX(INDEX('Relacion '!$X$5:$AM$493,MATCH(INDEX($B:$B, (ROW()-0)),'Relacion '!$E$5:$E$493,0),0))</f>
        <v>46108</v>
      </c>
      <c r="H1208" s="235" t="e">
        <f>AVERAGE(H1209:H1216)</f>
        <v>#REF!</v>
      </c>
      <c r="I1208" s="235">
        <f t="shared" ref="I1208" ca="1" si="286">AVERAGE(I1209:I1216)</f>
        <v>1</v>
      </c>
      <c r="J1208" s="236" t="str">
        <f>IF(ISNUMBER(SEARCH("Rocha", _xlfn.XLOOKUP(B1208,'Relacion '!$E:$E,'Relacion '!$I:$I,""))), "Sí", "No")</f>
        <v>No</v>
      </c>
      <c r="K1208" s="236" t="str">
        <f>IF(ISNUMBER(SEARCH("Rocha", _xlfn.XLOOKUP(B1208,'Relacion '!$E:$E,'Relacion '!$I:$I,""))), "RMC", _xlfn.XLOOKUP(B1208,'Relacion '!$E:$E,'Relacion '!$B:$B,""))</f>
        <v>Producto</v>
      </c>
      <c r="L1208" s="236" t="str">
        <f>_xlfn.XLOOKUP(B1208,'Relacion '!$E:$E,'Relacion '!$C:$C,"")</f>
        <v>Claudia Barroso</v>
      </c>
    </row>
    <row r="1209" spans="2:12" outlineLevel="1">
      <c r="B1209" s="237" t="s">
        <v>654</v>
      </c>
      <c r="C1209" s="237" t="s">
        <v>654</v>
      </c>
      <c r="D1209" s="238" t="str">
        <f>_xlfn.XLOOKUP(B1209,'Relacion '!$E:$E,'Relacion '!$D:$D,"")</f>
        <v/>
      </c>
      <c r="E1209" s="239">
        <f t="shared" si="273"/>
        <v>424</v>
      </c>
      <c r="F1209" s="240" cm="1">
        <f t="array" ref="F1209">MIN(INDEX('Relacion '!$X$5:$Y$493,MATCH(INDEX($B:$B, (ROW()-1)),'Relacion '!$E$5:$E$493,0),0))</f>
        <v>45659</v>
      </c>
      <c r="G1209" s="240" cm="1">
        <f t="array" ref="G1209">MAX(INDEX('Relacion '!$X$5:$Y$493,MATCH(INDEX($B:$B, (ROW()-1)),'Relacion '!$E$5:$E$493,0),0))</f>
        <v>46083</v>
      </c>
      <c r="H1209" s="241" cm="1">
        <f t="array" ref="H1209">IF(
 MATCH(B1209,{"01. ASIGNACION AREA";"02. MAPEO";"03. DESARROLLO";"04. VALIDA US";"05. VOBO US";"06. BW-EJECUCION";"07. VALIDACIÓN BAJAWARE";"08. CERRADA"},0)
 &lt;
 MATCH(_xlfn.XLOOKUP(INDEX($B:$B, (ROW()-1)),'Relacion '!$E:$E,'Relacion '!$D:$D,""),{"01. ASIGNACION AREA";"02. MAPEO";"03. DESARROLLO";"04. VALIDA US";"05. VOBO US";"06. BW-EJECUCION";"07. VALIDACIÓN BAJAWARE";"08. CERRADA"},0),
 1,
 IF(
  MATCH(B1209,{"01. ASIGNACION AREA";"02. MAPEO";"03. DESARROLLO";"04. VALIDA US";"05. VOBO US";"06. BW-EJECUCION";"07. VALIDACIÓN BAJAWARE";"08. CERRADA"},0)
  =
  MATCH(_xlfn.XLOOKUP(INDEX($B:$B, (ROW()-1)),'Relacion '!$E:$E,'Relacion '!$D:$D,""),{"01. ASIGNACION AREA";"02. MAPEO";"03. DESARROLLO";"04. VALIDA US";"05. VOBO US";"06. BW-EJECUCION";"07. VALIDACIÓN BAJAWARE";"08. CERRADA"},0),
  _xlfn.XLOOKUP(INDEX($B:$B, (ROW()-1)),'Relacion '!$E:$E,'Relacion '!#REF!,0),
  0
 )
)</f>
        <v>1</v>
      </c>
      <c r="I1209" s="241">
        <f t="shared" ref="I1209:I1270" ca="1" si="287">IF(G1209&lt;=TODAY(), 1, 0)</f>
        <v>1</v>
      </c>
      <c r="J1209" s="241"/>
      <c r="K1209" s="241"/>
      <c r="L1209" s="238"/>
    </row>
    <row r="1210" spans="2:12" outlineLevel="1">
      <c r="B1210" s="237" t="s">
        <v>195</v>
      </c>
      <c r="C1210" s="237" t="s">
        <v>195</v>
      </c>
      <c r="D1210" s="238" t="str">
        <f>_xlfn.XLOOKUP(B1210,'Relacion '!$E:$E,'Relacion '!$D:$D,"")</f>
        <v/>
      </c>
      <c r="E1210" s="239">
        <f t="shared" si="273"/>
        <v>0</v>
      </c>
      <c r="F1210" s="240" cm="1">
        <f t="array" ref="F1210">MIN(INDEX('Relacion '!$Z$5:$AA$493,MATCH(INDEX($B:$B, (ROW()-2)),'Relacion '!$E$5:$E$493,0),0))</f>
        <v>46108</v>
      </c>
      <c r="G1210" s="240" cm="1">
        <f t="array" ref="G1210">MAX(INDEX('Relacion '!$Z$5:$AA$493,MATCH(INDEX($B:$B, (ROW()-2)),'Relacion '!$E$5:$E$493,0),0))</f>
        <v>46108</v>
      </c>
      <c r="H1210" s="241" cm="1">
        <f t="array" ref="H1210">IF(
 MATCH(B1210,{"01. ASIGNACION AREA";"02. MAPEO";"03. DESARROLLO";"04. VALIDA US";"05. VOBO US";"06. BW-EJECUCION";"07. VALIDACIÓN BAJAWARE";"08. CERRADA"},0)
 &lt;
 MATCH(_xlfn.XLOOKUP(INDEX($B:$B, (ROW()-2)),'Relacion '!$E:$E,'Relacion '!$D:$D,""),{"01. ASIGNACION AREA";"02. MAPEO";"03. DESARROLLO";"04. VALIDA US";"05. VOBO US";"06. BW-EJECUCION";"07. VALIDACIÓN BAJAWARE";"08. CERRADA"},0),
 1,
 IF(
  MATCH(B1210,{"01. ASIGNACION AREA";"02. MAPEO";"03. DESARROLLO";"04. VALIDA US";"05. VOBO US";"06. BW-EJECUCION";"07. VALIDACIÓN BAJAWARE";"08. CERRADA"},0)
  =
  MATCH(_xlfn.XLOOKUP(INDEX($B:$B, (ROW()-2)),'Relacion '!$E:$E,'Relacion '!$D:$D,""),{"01. ASIGNACION AREA";"02. MAPEO";"03. DESARROLLO";"04. VALIDA US";"05. VOBO US";"06. BW-EJECUCION";"07. VALIDACIÓN BAJAWARE";"08. CERRADA"},0),
  _xlfn.XLOOKUP(INDEX($B:$B, (ROW()-2)),'Relacion '!$E:$E,'Relacion '!#REF!,0),
  0
 )
)</f>
        <v>1</v>
      </c>
      <c r="I1210" s="241">
        <f t="shared" ca="1" si="287"/>
        <v>1</v>
      </c>
      <c r="J1210" s="241"/>
      <c r="K1210" s="241"/>
      <c r="L1210" s="238"/>
    </row>
    <row r="1211" spans="2:12" outlineLevel="1">
      <c r="B1211" s="237" t="s">
        <v>49</v>
      </c>
      <c r="C1211" s="237" t="s">
        <v>49</v>
      </c>
      <c r="D1211" s="238" t="str">
        <f>_xlfn.XLOOKUP(B1211,'Relacion '!$E:$E,'Relacion '!$D:$D,"")</f>
        <v/>
      </c>
      <c r="E1211" s="239">
        <f t="shared" si="273"/>
        <v>0</v>
      </c>
      <c r="F1211" s="240" cm="1">
        <f t="array" ref="F1211">MIN(INDEX('Relacion '!$AB$5:$AC$493,MATCH(INDEX($B:$B, (ROW()-3)),'Relacion '!$E$5:$E$493,0),0))</f>
        <v>46108</v>
      </c>
      <c r="G1211" s="240" cm="1">
        <f t="array" ref="G1211">MAX(INDEX('Relacion '!$AB$5:$AC$493,MATCH(INDEX($B:$B, (ROW()-3)),'Relacion '!$E$5:$E$493,0),0))</f>
        <v>46108</v>
      </c>
      <c r="H1211" s="241" cm="1">
        <f t="array" ref="H1211">IF(
 MATCH(B1211,{"01. ASIGNACION AREA";"02. MAPEO";"03. DESARROLLO";"04. VALIDA US";"05. VOBO US";"06. BW-EJECUCION";"07. VALIDACIÓN BAJAWARE";"08. CERRADA"},0)
 &lt;
 MATCH(_xlfn.XLOOKUP(INDEX($B:$B, (ROW()-3)),'Relacion '!$E:$E,'Relacion '!$D:$D,""),{"01. ASIGNACION AREA";"02. MAPEO";"03. DESARROLLO";"04. VALIDA US";"05. VOBO US";"06. BW-EJECUCION";"07. VALIDACIÓN BAJAWARE";"08. CERRADA"},0),
 1,
 IF(
  MATCH(B1211,{"01. ASIGNACION AREA";"02. MAPEO";"03. DESARROLLO";"04. VALIDA US";"05. VOBO US";"06. BW-EJECUCION";"07. VALIDACIÓN BAJAWARE";"08. CERRADA"},0)
  =
  MATCH(_xlfn.XLOOKUP(INDEX($B:$B, (ROW()-3)),'Relacion '!$E:$E,'Relacion '!$D:$D,""),{"01. ASIGNACION AREA";"02. MAPEO";"03. DESARROLLO";"04. VALIDA US";"05. VOBO US";"06. BW-EJECUCION";"07. VALIDACIÓN BAJAWARE";"08. CERRADA"},0),
  _xlfn.XLOOKUP(INDEX($B:$B, (ROW()-3)),'Relacion '!$E:$E,'Relacion '!#REF!,0),
  0
 )
)</f>
        <v>1</v>
      </c>
      <c r="I1211" s="241">
        <f t="shared" ca="1" si="287"/>
        <v>1</v>
      </c>
      <c r="J1211" s="241"/>
      <c r="K1211" s="241"/>
      <c r="L1211" s="238"/>
    </row>
    <row r="1212" spans="2:12" outlineLevel="1">
      <c r="B1212" s="237" t="s">
        <v>324</v>
      </c>
      <c r="C1212" s="237" t="s">
        <v>324</v>
      </c>
      <c r="D1212" s="238" t="str">
        <f>_xlfn.XLOOKUP(B1212,'Relacion '!$E:$E,'Relacion '!$D:$D,"")</f>
        <v/>
      </c>
      <c r="E1212" s="239">
        <f t="shared" si="273"/>
        <v>0</v>
      </c>
      <c r="F1212" s="240" cm="1">
        <f t="array" ref="F1212">MIN(INDEX('Relacion '!$AD$5:$AE$493,MATCH(INDEX($B:$B, (ROW()-4)),'Relacion '!$E$5:$E$493,0),0))</f>
        <v>46108</v>
      </c>
      <c r="G1212" s="240" cm="1">
        <f t="array" ref="G1212">MAX(INDEX('Relacion '!$AD$5:$AE$493,MATCH(INDEX($B:$B, (ROW()-4)),'Relacion '!$E$5:$E$493,0),0))</f>
        <v>46108</v>
      </c>
      <c r="H1212" s="241" cm="1">
        <f t="array" ref="H1212">IF(
 MATCH(B1212,{"01. ASIGNACION AREA";"02. MAPEO";"03. DESARROLLO";"04. VALIDA US";"05. VOBO US";"06. BW-EJECUCION";"07. VALIDACIÓN BAJAWARE";"08. CERRADA"},0)
 &lt;
 MATCH(_xlfn.XLOOKUP(INDEX($B:$B, (ROW()-4)),'Relacion '!$E:$E,'Relacion '!$D:$D,""),{"01. ASIGNACION AREA";"02. MAPEO";"03. DESARROLLO";"04. VALIDA US";"05. VOBO US";"06. BW-EJECUCION";"07. VALIDACIÓN BAJAWARE";"08. CERRADA"},0),
 1,
 IF(
  MATCH(B1212,{"01. ASIGNACION AREA";"02. MAPEO";"03. DESARROLLO";"04. VALIDA US";"05. VOBO US";"06. BW-EJECUCION";"07. VALIDACIÓN BAJAWARE";"08. CERRADA"},0)
  =
  MATCH(_xlfn.XLOOKUP(INDEX($B:$B, (ROW()-4)),'Relacion '!$E:$E,'Relacion '!$D:$D,""),{"01. ASIGNACION AREA";"02. MAPEO";"03. DESARROLLO";"04. VALIDA US";"05. VOBO US";"06. BW-EJECUCION";"07. VALIDACIÓN BAJAWARE";"08. CERRADA"},0),
  _xlfn.XLOOKUP(INDEX($B:$B, (ROW()-4)),'Relacion '!$E:$E,'Relacion '!#REF!,0),
  0
 )
)</f>
        <v>1</v>
      </c>
      <c r="I1212" s="241">
        <f t="shared" ca="1" si="287"/>
        <v>1</v>
      </c>
      <c r="J1212" s="241"/>
      <c r="K1212" s="241"/>
      <c r="L1212" s="238"/>
    </row>
    <row r="1213" spans="2:12" outlineLevel="1">
      <c r="B1213" s="237" t="s">
        <v>320</v>
      </c>
      <c r="C1213" s="237" t="s">
        <v>320</v>
      </c>
      <c r="D1213" s="238" t="str">
        <f>_xlfn.XLOOKUP(B1213,'Relacion '!$E:$E,'Relacion '!$D:$D,"")</f>
        <v/>
      </c>
      <c r="E1213" s="239">
        <f t="shared" si="273"/>
        <v>0</v>
      </c>
      <c r="F1213" s="240" cm="1">
        <f t="array" ref="F1213">MIN(INDEX('Relacion '!$AF$5:$AG$493,MATCH(INDEX($B:$B, (ROW()-5)),'Relacion '!$E$5:$E$493,0),0))</f>
        <v>46108</v>
      </c>
      <c r="G1213" s="240" cm="1">
        <f t="array" ref="G1213">MAX(INDEX('Relacion '!$AF$5:$AG$493,MATCH(INDEX($B:$B, (ROW()-5)),'Relacion '!$E$5:$E$493,0),0))</f>
        <v>46108</v>
      </c>
      <c r="H1213" s="241" cm="1">
        <f t="array" ref="H1213">IF(
 MATCH(B1213,{"01. ASIGNACION AREA";"02. MAPEO";"03. DESARROLLO";"04. VALIDA US";"05. VOBO US";"06. BW-EJECUCION";"07. VALIDACIÓN BAJAWARE";"08. CERRADA"},0)
 &lt;
 MATCH(_xlfn.XLOOKUP(INDEX($B:$B, (ROW()-5)),'Relacion '!$E:$E,'Relacion '!$D:$D,""),{"01. ASIGNACION AREA";"02. MAPEO";"03. DESARROLLO";"04. VALIDA US";"05. VOBO US";"06. BW-EJECUCION";"07. VALIDACIÓN BAJAWARE";"08. CERRADA"},0),
 1,
 IF(
  MATCH(B1213,{"01. ASIGNACION AREA";"02. MAPEO";"03. DESARROLLO";"04. VALIDA US";"05. VOBO US";"06. BW-EJECUCION";"07. VALIDACIÓN BAJAWARE";"08. CERRADA"},0)
  =
  MATCH(_xlfn.XLOOKUP(INDEX($B:$B, (ROW()-5)),'Relacion '!$E:$E,'Relacion '!$D:$D,""),{"01. ASIGNACION AREA";"02. MAPEO";"03. DESARROLLO";"04. VALIDA US";"05. VOBO US";"06. BW-EJECUCION";"07. VALIDACIÓN BAJAWARE";"08. CERRADA"},0),
  _xlfn.XLOOKUP(INDEX($B:$B, (ROW()-5)),'Relacion '!$E:$E,'Relacion '!#REF!,0),
  0
 )
)</f>
        <v>1</v>
      </c>
      <c r="I1213" s="241">
        <f t="shared" ca="1" si="287"/>
        <v>1</v>
      </c>
      <c r="J1213" s="241"/>
      <c r="K1213" s="241"/>
      <c r="L1213" s="238"/>
    </row>
    <row r="1214" spans="2:12" outlineLevel="1">
      <c r="B1214" s="237" t="s">
        <v>710</v>
      </c>
      <c r="C1214" s="237" t="s">
        <v>710</v>
      </c>
      <c r="D1214" s="238" t="str">
        <f>_xlfn.XLOOKUP(B1214,'Relacion '!$E:$E,'Relacion '!$D:$D,"")</f>
        <v/>
      </c>
      <c r="E1214" s="239">
        <f t="shared" si="273"/>
        <v>0</v>
      </c>
      <c r="F1214" s="240" cm="1">
        <f t="array" ref="F1214">MIN(INDEX('Relacion '!$AH$5:$AI$493,MATCH(INDEX($B:$B, (ROW()-6)),'Relacion '!$E$5:$E$493,0),0))</f>
        <v>46108</v>
      </c>
      <c r="G1214" s="240" cm="1">
        <f t="array" ref="G1214">MAX(INDEX('Relacion '!$AH$5:$AI$493,MATCH(INDEX($B:$B, (ROW()-6)),'Relacion '!$E$5:$E$493,0),0))</f>
        <v>46108</v>
      </c>
      <c r="H1214" s="241" cm="1">
        <f t="array" ref="H1214">IF(
 MATCH(B1214,{"01. ASIGNACION AREA";"02. MAPEO";"03. DESARROLLO";"04. VALIDA US";"05. VOBO US";"06. BW-EJECUCION";"07. VALIDACIÓN BAJAWARE";"08. CERRADA"},0)
 &lt;
 MATCH(_xlfn.XLOOKUP(INDEX($B:$B, (ROW()-6)),'Relacion '!$E:$E,'Relacion '!$D:$D,""),{"01. ASIGNACION AREA";"02. MAPEO";"03. DESARROLLO";"04. VALIDA US";"05. VOBO US";"06. BW-EJECUCION";"07. VALIDACIÓN BAJAWARE";"08. CERRADA"},0),
 1,
 IF(
  MATCH(B1214,{"01. ASIGNACION AREA";"02. MAPEO";"03. DESARROLLO";"04. VALIDA US";"05. VOBO US";"06. BW-EJECUCION";"07. VALIDACIÓN BAJAWARE";"08. CERRADA"},0)
  =
  MATCH(_xlfn.XLOOKUP(INDEX($B:$B, (ROW()-6)),'Relacion '!$E:$E,'Relacion '!$D:$D,""),{"01. ASIGNACION AREA";"02. MAPEO";"03. DESARROLLO";"04. VALIDA US";"05. VOBO US";"06. BW-EJECUCION";"07. VALIDACIÓN BAJAWARE";"08. CERRADA"},0),
  _xlfn.XLOOKUP(INDEX($B:$B, (ROW()-6)),'Relacion '!$E:$E,'Relacion '!#REF!,0),
  0
 )
)</f>
        <v>1</v>
      </c>
      <c r="I1214" s="241">
        <f t="shared" ca="1" si="287"/>
        <v>1</v>
      </c>
      <c r="J1214" s="241"/>
      <c r="K1214" s="241"/>
      <c r="L1214" s="238"/>
    </row>
    <row r="1215" spans="2:12" outlineLevel="1">
      <c r="B1215" s="237" t="s">
        <v>655</v>
      </c>
      <c r="C1215" s="237" t="s">
        <v>655</v>
      </c>
      <c r="D1215" s="238" t="str">
        <f>_xlfn.XLOOKUP(B1215,'Relacion '!$E:$E,'Relacion '!$D:$D,"")</f>
        <v/>
      </c>
      <c r="E1215" s="239">
        <f t="shared" si="273"/>
        <v>0</v>
      </c>
      <c r="F1215" s="240" cm="1">
        <f t="array" ref="F1215">MIN(INDEX('Relacion '!$AJ$5:$AK$493,MATCH(INDEX($B:$B, (ROW()-7)),'Relacion '!$E$5:$E$493,0),0))</f>
        <v>46108</v>
      </c>
      <c r="G1215" s="240" cm="1">
        <f t="array" ref="G1215">MAX(INDEX('Relacion '!$AJ$5:$AK$493,MATCH(INDEX($B:$B, (ROW()-7)),'Relacion '!$E$5:$E$493,0),0))</f>
        <v>46108</v>
      </c>
      <c r="H1215" s="241" cm="1">
        <f t="array" ref="H1215">IF(
 MATCH(B1215,{"01. ASIGNACION AREA";"02. MAPEO";"03. DESARROLLO";"04. VALIDA US";"05. VOBO US";"06. BW-EJECUCION";"07. VALIDACIÓN BAJAWARE";"08. CERRADA"},0)
 &lt;
 MATCH(_xlfn.XLOOKUP(INDEX($B:$B, (ROW()-7)),'Relacion '!$E:$E,'Relacion '!$D:$D,""),{"01. ASIGNACION AREA";"02. MAPEO";"03. DESARROLLO";"04. VALIDA US";"05. VOBO US";"06. BW-EJECUCION";"07. VALIDACIÓN BAJAWARE";"08. CERRADA"},0),
 1,
 IF(
  MATCH(B1215,{"01. ASIGNACION AREA";"02. MAPEO";"03. DESARROLLO";"04. VALIDA US";"05. VOBO US";"06. BW-EJECUCION";"07. VALIDACIÓN BAJAWARE";"08. CERRADA"},0)
  =
  MATCH(_xlfn.XLOOKUP(INDEX($B:$B, (ROW()-7)),'Relacion '!$E:$E,'Relacion '!$D:$D,""),{"01. ASIGNACION AREA";"02. MAPEO";"03. DESARROLLO";"04. VALIDA US";"05. VOBO US";"06. BW-EJECUCION";"07. VALIDACIÓN BAJAWARE";"08. CERRADA"},0),
  _xlfn.XLOOKUP(INDEX($B:$B, (ROW()-7)),'Relacion '!$E:$E,'Relacion '!#REF!,0),
  0
 )
)</f>
        <v>1</v>
      </c>
      <c r="I1215" s="241">
        <f t="shared" ca="1" si="287"/>
        <v>1</v>
      </c>
      <c r="J1215" s="241"/>
      <c r="K1215" s="241"/>
      <c r="L1215" s="238"/>
    </row>
    <row r="1216" spans="2:12" outlineLevel="1">
      <c r="B1216" s="237" t="s">
        <v>656</v>
      </c>
      <c r="C1216" s="237" t="s">
        <v>656</v>
      </c>
      <c r="D1216" s="238" t="str">
        <f>_xlfn.XLOOKUP(B1216,'Relacion '!$E:$E,'Relacion '!$D:$D,"")</f>
        <v/>
      </c>
      <c r="E1216" s="239">
        <f t="shared" si="273"/>
        <v>0</v>
      </c>
      <c r="F1216" s="240" cm="1">
        <f t="array" ref="F1216">MIN(INDEX('Relacion '!$AL$5:$AM$493,MATCH(INDEX($B:$B, (ROW()-8)),'Relacion '!$E$5:$E$493,0),0))</f>
        <v>46108</v>
      </c>
      <c r="G1216" s="240" cm="1">
        <f t="array" ref="G1216">MAX(INDEX('Relacion '!$AL$5:$AM$493,MATCH(INDEX($B:$B, (ROW()-8)),'Relacion '!$E$5:$E$493,0),0))</f>
        <v>46108</v>
      </c>
      <c r="H1216" s="241" t="e" cm="1">
        <f t="array" ref="H1216">IF(
 MATCH(B1216,{"01. ASIGNACION AREA";"02. MAPEO";"03. DESARROLLO";"04. VALIDA US";"05. VOBO US";"06. BW-EJECUCION";"07. VALIDACIÓN BAJAWARE";"08. CERRADA"},0)
 &lt;
 MATCH(_xlfn.XLOOKUP(INDEX($B:$B, (ROW()-8)),'Relacion '!$E:$E,'Relacion '!$D:$D,""),{"01. ASIGNACION AREA";"02. MAPEO";"03. DESARROLLO";"04. VALIDA US";"05. VOBO US";"06. BW-EJECUCION";"07. VALIDACIÓN BAJAWARE";"08. CERRADA"},0),
 1,
 IF(
  MATCH(B1216,{"01. ASIGNACION AREA";"02. MAPEO";"03. DESARROLLO";"04. VALIDA US";"05. VOBO US";"06. BW-EJECUCION";"07. VALIDACIÓN BAJAWARE";"08. CERRADA"},0)
  =
  MATCH(_xlfn.XLOOKUP(INDEX($B:$B, (ROW()-8)),'Relacion '!$E:$E,'Relacion '!$D:$D,""),{"01. ASIGNACION AREA";"02. MAPEO";"03. DESARROLLO";"04. VALIDA US";"05. VOBO US";"06. BW-EJECUCION";"07. VALIDACIÓN BAJAWARE";"08. CERRADA"},0),
  _xlfn.XLOOKUP(INDEX($B:$B, (ROW()-8)),'Relacion '!$E:$E,'Relacion '!#REF!,0),
  0
 )
)</f>
        <v>#REF!</v>
      </c>
      <c r="I1216" s="241">
        <f t="shared" ca="1" si="287"/>
        <v>1</v>
      </c>
      <c r="J1216" s="241"/>
      <c r="K1216" s="241"/>
      <c r="L1216" s="238"/>
    </row>
    <row r="1217" spans="2:12" ht="30">
      <c r="B1217" s="232" t="s">
        <v>558</v>
      </c>
      <c r="C1217" s="167" t="s">
        <v>559</v>
      </c>
      <c r="D1217" s="236" t="str">
        <f>_xlfn.XLOOKUP(B1217,'Relacion '!$E:$E,'Relacion '!$D:$D,"")</f>
        <v>06. BW-EJECUCION</v>
      </c>
      <c r="E1217" s="233">
        <f t="shared" si="273"/>
        <v>99</v>
      </c>
      <c r="F1217" s="234" cm="1">
        <f t="array" ref="F1217">MIN(INDEX('Relacion '!$X$5:$AM$493,MATCH(INDEX($B:$B, (ROW()-0)),'Relacion '!$E$5:$E$493,0),0))</f>
        <v>46024</v>
      </c>
      <c r="G1217" s="234" cm="1">
        <f t="array" ref="G1217">MAX(INDEX('Relacion '!$X$5:$AM$493,MATCH(INDEX($B:$B, (ROW()-0)),'Relacion '!$E$5:$E$493,0),0))</f>
        <v>46123</v>
      </c>
      <c r="H1217" s="235" t="e">
        <f>AVERAGE(H1218:H1225)</f>
        <v>#REF!</v>
      </c>
      <c r="I1217" s="235">
        <f t="shared" ref="I1217" ca="1" si="288">AVERAGE(I1218:I1225)</f>
        <v>1</v>
      </c>
      <c r="J1217" s="236" t="str">
        <f>IF(ISNUMBER(SEARCH("Rocha", _xlfn.XLOOKUP(B1217,'Relacion '!$E:$E,'Relacion '!$I:$I,""))), "Sí", "No")</f>
        <v>No</v>
      </c>
      <c r="K1217" s="236" t="str">
        <f>IF(ISNUMBER(SEARCH("Rocha", _xlfn.XLOOKUP(B1217,'Relacion '!$E:$E,'Relacion '!$I:$I,""))), "RMC", _xlfn.XLOOKUP(B1217,'Relacion '!$E:$E,'Relacion '!$B:$B,""))</f>
        <v>Riesgos</v>
      </c>
      <c r="L1217" s="236" t="str">
        <f>_xlfn.XLOOKUP(B1217,'Relacion '!$E:$E,'Relacion '!$C:$C,"")</f>
        <v>Homero Sanchez</v>
      </c>
    </row>
    <row r="1218" spans="2:12" outlineLevel="1">
      <c r="B1218" s="237" t="s">
        <v>654</v>
      </c>
      <c r="C1218" s="237" t="s">
        <v>654</v>
      </c>
      <c r="D1218" s="238" t="str">
        <f>_xlfn.XLOOKUP(B1218,'Relacion '!$E:$E,'Relacion '!$D:$D,"")</f>
        <v/>
      </c>
      <c r="E1218" s="239">
        <f t="shared" ref="E1218:E1281" si="289">IF(OR(F1218="",G1218=""),"",G1218-F1218)</f>
        <v>59</v>
      </c>
      <c r="F1218" s="240" cm="1">
        <f t="array" ref="F1218">MIN(INDEX('Relacion '!$X$5:$Y$493,MATCH(INDEX($B:$B, (ROW()-1)),'Relacion '!$E$5:$E$493,0),0))</f>
        <v>46024</v>
      </c>
      <c r="G1218" s="240" cm="1">
        <f t="array" ref="G1218">MAX(INDEX('Relacion '!$X$5:$Y$493,MATCH(INDEX($B:$B, (ROW()-1)),'Relacion '!$E$5:$E$493,0),0))</f>
        <v>46083</v>
      </c>
      <c r="H1218" s="241" cm="1">
        <f t="array" ref="H1218">IF(
 MATCH(B1218,{"01. ASIGNACION AREA";"02. MAPEO";"03. DESARROLLO";"04. VALIDA US";"05. VOBO US";"06. BW-EJECUCION";"07. VALIDACIÓN BAJAWARE";"08. CERRADA"},0)
 &lt;
 MATCH(_xlfn.XLOOKUP(INDEX($B:$B, (ROW()-1)),'Relacion '!$E:$E,'Relacion '!$D:$D,""),{"01. ASIGNACION AREA";"02. MAPEO";"03. DESARROLLO";"04. VALIDA US";"05. VOBO US";"06. BW-EJECUCION";"07. VALIDACIÓN BAJAWARE";"08. CERRADA"},0),
 1,
 IF(
  MATCH(B1218,{"01. ASIGNACION AREA";"02. MAPEO";"03. DESARROLLO";"04. VALIDA US";"05. VOBO US";"06. BW-EJECUCION";"07. VALIDACIÓN BAJAWARE";"08. CERRADA"},0)
  =
  MATCH(_xlfn.XLOOKUP(INDEX($B:$B, (ROW()-1)),'Relacion '!$E:$E,'Relacion '!$D:$D,""),{"01. ASIGNACION AREA";"02. MAPEO";"03. DESARROLLO";"04. VALIDA US";"05. VOBO US";"06. BW-EJECUCION";"07. VALIDACIÓN BAJAWARE";"08. CERRADA"},0),
  _xlfn.XLOOKUP(INDEX($B:$B, (ROW()-1)),'Relacion '!$E:$E,'Relacion '!#REF!,0),
  0
 )
)</f>
        <v>1</v>
      </c>
      <c r="I1218" s="241">
        <f t="shared" ref="I1218" ca="1" si="290">IF(G1218&lt;=TODAY(), 1, 0)</f>
        <v>1</v>
      </c>
      <c r="J1218" s="241"/>
      <c r="K1218" s="241"/>
      <c r="L1218" s="238"/>
    </row>
    <row r="1219" spans="2:12" outlineLevel="1">
      <c r="B1219" s="237" t="s">
        <v>195</v>
      </c>
      <c r="C1219" s="237" t="s">
        <v>195</v>
      </c>
      <c r="D1219" s="238" t="str">
        <f>_xlfn.XLOOKUP(B1219,'Relacion '!$E:$E,'Relacion '!$D:$D,"")</f>
        <v/>
      </c>
      <c r="E1219" s="239">
        <f t="shared" si="289"/>
        <v>4</v>
      </c>
      <c r="F1219" s="240" cm="1">
        <f t="array" ref="F1219">MIN(INDEX('Relacion '!$Z$5:$AA$493,MATCH(INDEX($B:$B, (ROW()-2)),'Relacion '!$E$5:$E$493,0),0))</f>
        <v>46041</v>
      </c>
      <c r="G1219" s="240" cm="1">
        <f t="array" ref="G1219">MAX(INDEX('Relacion '!$Z$5:$AA$493,MATCH(INDEX($B:$B, (ROW()-2)),'Relacion '!$E$5:$E$493,0),0))</f>
        <v>46045</v>
      </c>
      <c r="H1219" s="241" cm="1">
        <f t="array" ref="H1219">IF(
 MATCH(B1219,{"01. ASIGNACION AREA";"02. MAPEO";"03. DESARROLLO";"04. VALIDA US";"05. VOBO US";"06. BW-EJECUCION";"07. VALIDACIÓN BAJAWARE";"08. CERRADA"},0)
 &lt;
 MATCH(_xlfn.XLOOKUP(INDEX($B:$B, (ROW()-2)),'Relacion '!$E:$E,'Relacion '!$D:$D,""),{"01. ASIGNACION AREA";"02. MAPEO";"03. DESARROLLO";"04. VALIDA US";"05. VOBO US";"06. BW-EJECUCION";"07. VALIDACIÓN BAJAWARE";"08. CERRADA"},0),
 1,
 IF(
  MATCH(B1219,{"01. ASIGNACION AREA";"02. MAPEO";"03. DESARROLLO";"04. VALIDA US";"05. VOBO US";"06. BW-EJECUCION";"07. VALIDACIÓN BAJAWARE";"08. CERRADA"},0)
  =
  MATCH(_xlfn.XLOOKUP(INDEX($B:$B, (ROW()-2)),'Relacion '!$E:$E,'Relacion '!$D:$D,""),{"01. ASIGNACION AREA";"02. MAPEO";"03. DESARROLLO";"04. VALIDA US";"05. VOBO US";"06. BW-EJECUCION";"07. VALIDACIÓN BAJAWARE";"08. CERRADA"},0),
  _xlfn.XLOOKUP(INDEX($B:$B, (ROW()-2)),'Relacion '!$E:$E,'Relacion '!#REF!,0),
  0
 )
)</f>
        <v>1</v>
      </c>
      <c r="I1219" s="241">
        <f t="shared" ca="1" si="287"/>
        <v>1</v>
      </c>
      <c r="J1219" s="241"/>
      <c r="K1219" s="241"/>
      <c r="L1219" s="238"/>
    </row>
    <row r="1220" spans="2:12" outlineLevel="1">
      <c r="B1220" s="237" t="s">
        <v>49</v>
      </c>
      <c r="C1220" s="237" t="s">
        <v>49</v>
      </c>
      <c r="D1220" s="238" t="str">
        <f>_xlfn.XLOOKUP(B1220,'Relacion '!$E:$E,'Relacion '!$D:$D,"")</f>
        <v/>
      </c>
      <c r="E1220" s="239">
        <f t="shared" si="289"/>
        <v>4</v>
      </c>
      <c r="F1220" s="240" cm="1">
        <f t="array" ref="F1220">MIN(INDEX('Relacion '!$AB$5:$AC$493,MATCH(INDEX($B:$B, (ROW()-3)),'Relacion '!$E$5:$E$493,0),0))</f>
        <v>46048</v>
      </c>
      <c r="G1220" s="240" cm="1">
        <f t="array" ref="G1220">MAX(INDEX('Relacion '!$AB$5:$AC$493,MATCH(INDEX($B:$B, (ROW()-3)),'Relacion '!$E$5:$E$493,0),0))</f>
        <v>46052</v>
      </c>
      <c r="H1220" s="241" cm="1">
        <f t="array" ref="H1220">IF(
 MATCH(B1220,{"01. ASIGNACION AREA";"02. MAPEO";"03. DESARROLLO";"04. VALIDA US";"05. VOBO US";"06. BW-EJECUCION";"07. VALIDACIÓN BAJAWARE";"08. CERRADA"},0)
 &lt;
 MATCH(_xlfn.XLOOKUP(INDEX($B:$B, (ROW()-3)),'Relacion '!$E:$E,'Relacion '!$D:$D,""),{"01. ASIGNACION AREA";"02. MAPEO";"03. DESARROLLO";"04. VALIDA US";"05. VOBO US";"06. BW-EJECUCION";"07. VALIDACIÓN BAJAWARE";"08. CERRADA"},0),
 1,
 IF(
  MATCH(B1220,{"01. ASIGNACION AREA";"02. MAPEO";"03. DESARROLLO";"04. VALIDA US";"05. VOBO US";"06. BW-EJECUCION";"07. VALIDACIÓN BAJAWARE";"08. CERRADA"},0)
  =
  MATCH(_xlfn.XLOOKUP(INDEX($B:$B, (ROW()-3)),'Relacion '!$E:$E,'Relacion '!$D:$D,""),{"01. ASIGNACION AREA";"02. MAPEO";"03. DESARROLLO";"04. VALIDA US";"05. VOBO US";"06. BW-EJECUCION";"07. VALIDACIÓN BAJAWARE";"08. CERRADA"},0),
  _xlfn.XLOOKUP(INDEX($B:$B, (ROW()-3)),'Relacion '!$E:$E,'Relacion '!#REF!,0),
  0
 )
)</f>
        <v>1</v>
      </c>
      <c r="I1220" s="241">
        <f t="shared" ca="1" si="287"/>
        <v>1</v>
      </c>
      <c r="J1220" s="241"/>
      <c r="K1220" s="241"/>
      <c r="L1220" s="238"/>
    </row>
    <row r="1221" spans="2:12" outlineLevel="1">
      <c r="B1221" s="237" t="s">
        <v>324</v>
      </c>
      <c r="C1221" s="237" t="s">
        <v>324</v>
      </c>
      <c r="D1221" s="238" t="str">
        <f>_xlfn.XLOOKUP(B1221,'Relacion '!$E:$E,'Relacion '!$D:$D,"")</f>
        <v/>
      </c>
      <c r="E1221" s="239">
        <f t="shared" si="289"/>
        <v>11</v>
      </c>
      <c r="F1221" s="240" cm="1">
        <f t="array" ref="F1221">MIN(INDEX('Relacion '!$AD$5:$AE$493,MATCH(INDEX($B:$B, (ROW()-4)),'Relacion '!$E$5:$E$493,0),0))</f>
        <v>46055</v>
      </c>
      <c r="G1221" s="240" cm="1">
        <f t="array" ref="G1221">MAX(INDEX('Relacion '!$AD$5:$AE$493,MATCH(INDEX($B:$B, (ROW()-4)),'Relacion '!$E$5:$E$493,0),0))</f>
        <v>46066</v>
      </c>
      <c r="H1221" s="241" cm="1">
        <f t="array" ref="H1221">IF(
 MATCH(B1221,{"01. ASIGNACION AREA";"02. MAPEO";"03. DESARROLLO";"04. VALIDA US";"05. VOBO US";"06. BW-EJECUCION";"07. VALIDACIÓN BAJAWARE";"08. CERRADA"},0)
 &lt;
 MATCH(_xlfn.XLOOKUP(INDEX($B:$B, (ROW()-4)),'Relacion '!$E:$E,'Relacion '!$D:$D,""),{"01. ASIGNACION AREA";"02. MAPEO";"03. DESARROLLO";"04. VALIDA US";"05. VOBO US";"06. BW-EJECUCION";"07. VALIDACIÓN BAJAWARE";"08. CERRADA"},0),
 1,
 IF(
  MATCH(B1221,{"01. ASIGNACION AREA";"02. MAPEO";"03. DESARROLLO";"04. VALIDA US";"05. VOBO US";"06. BW-EJECUCION";"07. VALIDACIÓN BAJAWARE";"08. CERRADA"},0)
  =
  MATCH(_xlfn.XLOOKUP(INDEX($B:$B, (ROW()-4)),'Relacion '!$E:$E,'Relacion '!$D:$D,""),{"01. ASIGNACION AREA";"02. MAPEO";"03. DESARROLLO";"04. VALIDA US";"05. VOBO US";"06. BW-EJECUCION";"07. VALIDACIÓN BAJAWARE";"08. CERRADA"},0),
  _xlfn.XLOOKUP(INDEX($B:$B, (ROW()-4)),'Relacion '!$E:$E,'Relacion '!#REF!,0),
  0
 )
)</f>
        <v>1</v>
      </c>
      <c r="I1221" s="241">
        <f t="shared" ca="1" si="287"/>
        <v>1</v>
      </c>
      <c r="J1221" s="241"/>
      <c r="K1221" s="241"/>
      <c r="L1221" s="238"/>
    </row>
    <row r="1222" spans="2:12" outlineLevel="1">
      <c r="B1222" s="237" t="s">
        <v>320</v>
      </c>
      <c r="C1222" s="237" t="s">
        <v>320</v>
      </c>
      <c r="D1222" s="238" t="str">
        <f>_xlfn.XLOOKUP(B1222,'Relacion '!$E:$E,'Relacion '!$D:$D,"")</f>
        <v/>
      </c>
      <c r="E1222" s="239">
        <f t="shared" si="289"/>
        <v>4</v>
      </c>
      <c r="F1222" s="240" cm="1">
        <f t="array" ref="F1222">MIN(INDEX('Relacion '!$AF$5:$AG$493,MATCH(INDEX($B:$B, (ROW()-5)),'Relacion '!$E$5:$E$493,0),0))</f>
        <v>46069</v>
      </c>
      <c r="G1222" s="240" cm="1">
        <f t="array" ref="G1222">MAX(INDEX('Relacion '!$AF$5:$AG$493,MATCH(INDEX($B:$B, (ROW()-5)),'Relacion '!$E$5:$E$493,0),0))</f>
        <v>46073</v>
      </c>
      <c r="H1222" s="241" cm="1">
        <f t="array" ref="H1222">IF(
 MATCH(B1222,{"01. ASIGNACION AREA";"02. MAPEO";"03. DESARROLLO";"04. VALIDA US";"05. VOBO US";"06. BW-EJECUCION";"07. VALIDACIÓN BAJAWARE";"08. CERRADA"},0)
 &lt;
 MATCH(_xlfn.XLOOKUP(INDEX($B:$B, (ROW()-5)),'Relacion '!$E:$E,'Relacion '!$D:$D,""),{"01. ASIGNACION AREA";"02. MAPEO";"03. DESARROLLO";"04. VALIDA US";"05. VOBO US";"06. BW-EJECUCION";"07. VALIDACIÓN BAJAWARE";"08. CERRADA"},0),
 1,
 IF(
  MATCH(B1222,{"01. ASIGNACION AREA";"02. MAPEO";"03. DESARROLLO";"04. VALIDA US";"05. VOBO US";"06. BW-EJECUCION";"07. VALIDACIÓN BAJAWARE";"08. CERRADA"},0)
  =
  MATCH(_xlfn.XLOOKUP(INDEX($B:$B, (ROW()-5)),'Relacion '!$E:$E,'Relacion '!$D:$D,""),{"01. ASIGNACION AREA";"02. MAPEO";"03. DESARROLLO";"04. VALIDA US";"05. VOBO US";"06. BW-EJECUCION";"07. VALIDACIÓN BAJAWARE";"08. CERRADA"},0),
  _xlfn.XLOOKUP(INDEX($B:$B, (ROW()-5)),'Relacion '!$E:$E,'Relacion '!#REF!,0),
  0
 )
)</f>
        <v>1</v>
      </c>
      <c r="I1222" s="241">
        <f t="shared" ca="1" si="287"/>
        <v>1</v>
      </c>
      <c r="J1222" s="241"/>
      <c r="K1222" s="241"/>
      <c r="L1222" s="238"/>
    </row>
    <row r="1223" spans="2:12" outlineLevel="1">
      <c r="B1223" s="237" t="s">
        <v>710</v>
      </c>
      <c r="C1223" s="237" t="s">
        <v>710</v>
      </c>
      <c r="D1223" s="238" t="str">
        <f>_xlfn.XLOOKUP(B1223,'Relacion '!$E:$E,'Relacion '!$D:$D,"")</f>
        <v/>
      </c>
      <c r="E1223" s="239">
        <f t="shared" si="289"/>
        <v>18</v>
      </c>
      <c r="F1223" s="240" cm="1">
        <f t="array" ref="F1223">MIN(INDEX('Relacion '!$AH$5:$AI$493,MATCH(INDEX($B:$B, (ROW()-6)),'Relacion '!$E$5:$E$493,0),0))</f>
        <v>46083</v>
      </c>
      <c r="G1223" s="240" cm="1">
        <f t="array" ref="G1223">MAX(INDEX('Relacion '!$AH$5:$AI$493,MATCH(INDEX($B:$B, (ROW()-6)),'Relacion '!$E$5:$E$493,0),0))</f>
        <v>46101</v>
      </c>
      <c r="H1223" s="241" t="e" cm="1">
        <f t="array" ref="H1223">IF(
 MATCH(B1223,{"01. ASIGNACION AREA";"02. MAPEO";"03. DESARROLLO";"04. VALIDA US";"05. VOBO US";"06. BW-EJECUCION";"07. VALIDACIÓN BAJAWARE";"08. CERRADA"},0)
 &lt;
 MATCH(_xlfn.XLOOKUP(INDEX($B:$B, (ROW()-6)),'Relacion '!$E:$E,'Relacion '!$D:$D,""),{"01. ASIGNACION AREA";"02. MAPEO";"03. DESARROLLO";"04. VALIDA US";"05. VOBO US";"06. BW-EJECUCION";"07. VALIDACIÓN BAJAWARE";"08. CERRADA"},0),
 1,
 IF(
  MATCH(B1223,{"01. ASIGNACION AREA";"02. MAPEO";"03. DESARROLLO";"04. VALIDA US";"05. VOBO US";"06. BW-EJECUCION";"07. VALIDACIÓN BAJAWARE";"08. CERRADA"},0)
  =
  MATCH(_xlfn.XLOOKUP(INDEX($B:$B, (ROW()-6)),'Relacion '!$E:$E,'Relacion '!$D:$D,""),{"01. ASIGNACION AREA";"02. MAPEO";"03. DESARROLLO";"04. VALIDA US";"05. VOBO US";"06. BW-EJECUCION";"07. VALIDACIÓN BAJAWARE";"08. CERRADA"},0),
  _xlfn.XLOOKUP(INDEX($B:$B, (ROW()-6)),'Relacion '!$E:$E,'Relacion '!#REF!,0),
  0
 )
)</f>
        <v>#REF!</v>
      </c>
      <c r="I1223" s="241">
        <f t="shared" ca="1" si="287"/>
        <v>1</v>
      </c>
      <c r="J1223" s="241"/>
      <c r="K1223" s="241"/>
      <c r="L1223" s="238"/>
    </row>
    <row r="1224" spans="2:12" outlineLevel="1">
      <c r="B1224" s="237" t="s">
        <v>655</v>
      </c>
      <c r="C1224" s="237" t="s">
        <v>655</v>
      </c>
      <c r="D1224" s="238" t="str">
        <f>_xlfn.XLOOKUP(B1224,'Relacion '!$E:$E,'Relacion '!$D:$D,"")</f>
        <v/>
      </c>
      <c r="E1224" s="239">
        <f t="shared" si="289"/>
        <v>18</v>
      </c>
      <c r="F1224" s="240" cm="1">
        <f t="array" ref="F1224">MIN(INDEX('Relacion '!$AJ$5:$AK$493,MATCH(INDEX($B:$B, (ROW()-7)),'Relacion '!$E$5:$E$493,0),0))</f>
        <v>46104</v>
      </c>
      <c r="G1224" s="240" cm="1">
        <f t="array" ref="G1224">MAX(INDEX('Relacion '!$AJ$5:$AK$493,MATCH(INDEX($B:$B, (ROW()-7)),'Relacion '!$E$5:$E$493,0),0))</f>
        <v>46122</v>
      </c>
      <c r="H1224" s="241" cm="1">
        <f t="array" ref="H1224">IF(
 MATCH(B1224,{"01. ASIGNACION AREA";"02. MAPEO";"03. DESARROLLO";"04. VALIDA US";"05. VOBO US";"06. BW-EJECUCION";"07. VALIDACIÓN BAJAWARE";"08. CERRADA"},0)
 &lt;
 MATCH(_xlfn.XLOOKUP(INDEX($B:$B, (ROW()-7)),'Relacion '!$E:$E,'Relacion '!$D:$D,""),{"01. ASIGNACION AREA";"02. MAPEO";"03. DESARROLLO";"04. VALIDA US";"05. VOBO US";"06. BW-EJECUCION";"07. VALIDACIÓN BAJAWARE";"08. CERRADA"},0),
 1,
 IF(
  MATCH(B1224,{"01. ASIGNACION AREA";"02. MAPEO";"03. DESARROLLO";"04. VALIDA US";"05. VOBO US";"06. BW-EJECUCION";"07. VALIDACIÓN BAJAWARE";"08. CERRADA"},0)
  =
  MATCH(_xlfn.XLOOKUP(INDEX($B:$B, (ROW()-7)),'Relacion '!$E:$E,'Relacion '!$D:$D,""),{"01. ASIGNACION AREA";"02. MAPEO";"03. DESARROLLO";"04. VALIDA US";"05. VOBO US";"06. BW-EJECUCION";"07. VALIDACIÓN BAJAWARE";"08. CERRADA"},0),
  _xlfn.XLOOKUP(INDEX($B:$B, (ROW()-7)),'Relacion '!$E:$E,'Relacion '!#REF!,0),
  0
 )
)</f>
        <v>0</v>
      </c>
      <c r="I1224" s="241">
        <f t="shared" ca="1" si="287"/>
        <v>1</v>
      </c>
      <c r="J1224" s="241"/>
      <c r="K1224" s="241"/>
      <c r="L1224" s="238"/>
    </row>
    <row r="1225" spans="2:12" outlineLevel="1">
      <c r="B1225" s="237" t="s">
        <v>656</v>
      </c>
      <c r="C1225" s="237" t="s">
        <v>656</v>
      </c>
      <c r="D1225" s="238" t="str">
        <f>_xlfn.XLOOKUP(B1225,'Relacion '!$E:$E,'Relacion '!$D:$D,"")</f>
        <v/>
      </c>
      <c r="E1225" s="239">
        <f t="shared" si="289"/>
        <v>0</v>
      </c>
      <c r="F1225" s="240" cm="1">
        <f t="array" ref="F1225">MIN(INDEX('Relacion '!$AL$5:$AM$493,MATCH(INDEX($B:$B, (ROW()-8)),'Relacion '!$E$5:$E$493,0),0))</f>
        <v>46123</v>
      </c>
      <c r="G1225" s="240" cm="1">
        <f t="array" ref="G1225">MAX(INDEX('Relacion '!$AL$5:$AM$493,MATCH(INDEX($B:$B, (ROW()-8)),'Relacion '!$E$5:$E$493,0),0))</f>
        <v>46123</v>
      </c>
      <c r="H1225" s="241" cm="1">
        <f t="array" ref="H1225">IF(
 MATCH(B1225,{"01. ASIGNACION AREA";"02. MAPEO";"03. DESARROLLO";"04. VALIDA US";"05. VOBO US";"06. BW-EJECUCION";"07. VALIDACIÓN BAJAWARE";"08. CERRADA"},0)
 &lt;
 MATCH(_xlfn.XLOOKUP(INDEX($B:$B, (ROW()-8)),'Relacion '!$E:$E,'Relacion '!$D:$D,""),{"01. ASIGNACION AREA";"02. MAPEO";"03. DESARROLLO";"04. VALIDA US";"05. VOBO US";"06. BW-EJECUCION";"07. VALIDACIÓN BAJAWARE";"08. CERRADA"},0),
 1,
 IF(
  MATCH(B1225,{"01. ASIGNACION AREA";"02. MAPEO";"03. DESARROLLO";"04. VALIDA US";"05. VOBO US";"06. BW-EJECUCION";"07. VALIDACIÓN BAJAWARE";"08. CERRADA"},0)
  =
  MATCH(_xlfn.XLOOKUP(INDEX($B:$B, (ROW()-8)),'Relacion '!$E:$E,'Relacion '!$D:$D,""),{"01. ASIGNACION AREA";"02. MAPEO";"03. DESARROLLO";"04. VALIDA US";"05. VOBO US";"06. BW-EJECUCION";"07. VALIDACIÓN BAJAWARE";"08. CERRADA"},0),
  _xlfn.XLOOKUP(INDEX($B:$B, (ROW()-8)),'Relacion '!$E:$E,'Relacion '!#REF!,0),
  0
 )
)</f>
        <v>0</v>
      </c>
      <c r="I1225" s="241">
        <f t="shared" ca="1" si="287"/>
        <v>1</v>
      </c>
      <c r="J1225" s="241"/>
      <c r="K1225" s="241"/>
      <c r="L1225" s="238"/>
    </row>
    <row r="1226" spans="2:12" ht="30">
      <c r="B1226" s="232" t="s">
        <v>232</v>
      </c>
      <c r="C1226" s="176" t="s">
        <v>233</v>
      </c>
      <c r="D1226" s="236" t="str">
        <f>_xlfn.XLOOKUP(B1226,'Relacion '!$E:$E,'Relacion '!$D:$D,"")</f>
        <v>04. VALIDA US</v>
      </c>
      <c r="E1226" s="233">
        <f t="shared" si="289"/>
        <v>110</v>
      </c>
      <c r="F1226" s="234" cm="1">
        <f t="array" ref="F1226">MIN(INDEX('Relacion '!$X$5:$AM$493,MATCH(INDEX($B:$B, (ROW()-0)),'Relacion '!$E$5:$E$493,0),0))</f>
        <v>46024</v>
      </c>
      <c r="G1226" s="234" cm="1">
        <f t="array" ref="G1226">MAX(INDEX('Relacion '!$X$5:$AM$493,MATCH(INDEX($B:$B, (ROW()-0)),'Relacion '!$E$5:$E$493,0),0))</f>
        <v>46134</v>
      </c>
      <c r="H1226" s="235" t="e">
        <f>AVERAGE(H1227:H1234)</f>
        <v>#REF!</v>
      </c>
      <c r="I1226" s="235">
        <f t="shared" ref="I1226" ca="1" si="291">AVERAGE(I1227:I1234)</f>
        <v>1</v>
      </c>
      <c r="J1226" s="236" t="str">
        <f>IF(ISNUMBER(SEARCH("Rocha", _xlfn.XLOOKUP(B1226,'Relacion '!$E:$E,'Relacion '!$I:$I,""))), "Sí", "No")</f>
        <v>No</v>
      </c>
      <c r="K1226" s="236" t="str">
        <f>IF(ISNUMBER(SEARCH("Rocha", _xlfn.XLOOKUP(B1226,'Relacion '!$E:$E,'Relacion '!$I:$I,""))), "RMC", _xlfn.XLOOKUP(B1226,'Relacion '!$E:$E,'Relacion '!$B:$B,""))</f>
        <v>Riesgos | Eduardo Santiago</v>
      </c>
      <c r="L1226" s="236" t="str">
        <f>_xlfn.XLOOKUP(B1226,'Relacion '!$E:$E,'Relacion '!$C:$C,"")</f>
        <v>Homero Sanchez</v>
      </c>
    </row>
    <row r="1227" spans="2:12" outlineLevel="1">
      <c r="B1227" s="237" t="s">
        <v>654</v>
      </c>
      <c r="C1227" s="237" t="s">
        <v>654</v>
      </c>
      <c r="D1227" s="238" t="str">
        <f>_xlfn.XLOOKUP(B1227,'Relacion '!$E:$E,'Relacion '!$D:$D,"")</f>
        <v/>
      </c>
      <c r="E1227" s="239">
        <f t="shared" si="289"/>
        <v>59</v>
      </c>
      <c r="F1227" s="240" cm="1">
        <f t="array" ref="F1227">MIN(INDEX('Relacion '!$X$5:$Y$493,MATCH(INDEX($B:$B, (ROW()-1)),'Relacion '!$E$5:$E$493,0),0))</f>
        <v>46024</v>
      </c>
      <c r="G1227" s="240" cm="1">
        <f t="array" ref="G1227">MAX(INDEX('Relacion '!$X$5:$Y$493,MATCH(INDEX($B:$B, (ROW()-1)),'Relacion '!$E$5:$E$493,0),0))</f>
        <v>46083</v>
      </c>
      <c r="H1227" s="241" cm="1">
        <f t="array" ref="H1227">IF(
 MATCH(B1227,{"01. ASIGNACION AREA";"02. MAPEO";"03. DESARROLLO";"04. VALIDA US";"05. VOBO US";"06. BW-EJECUCION";"07. VALIDACIÓN BAJAWARE";"08. CERRADA"},0)
 &lt;
 MATCH(_xlfn.XLOOKUP(INDEX($B:$B, (ROW()-1)),'Relacion '!$E:$E,'Relacion '!$D:$D,""),{"01. ASIGNACION AREA";"02. MAPEO";"03. DESARROLLO";"04. VALIDA US";"05. VOBO US";"06. BW-EJECUCION";"07. VALIDACIÓN BAJAWARE";"08. CERRADA"},0),
 1,
 IF(
  MATCH(B1227,{"01. ASIGNACION AREA";"02. MAPEO";"03. DESARROLLO";"04. VALIDA US";"05. VOBO US";"06. BW-EJECUCION";"07. VALIDACIÓN BAJAWARE";"08. CERRADA"},0)
  =
  MATCH(_xlfn.XLOOKUP(INDEX($B:$B, (ROW()-1)),'Relacion '!$E:$E,'Relacion '!$D:$D,""),{"01. ASIGNACION AREA";"02. MAPEO";"03. DESARROLLO";"04. VALIDA US";"05. VOBO US";"06. BW-EJECUCION";"07. VALIDACIÓN BAJAWARE";"08. CERRADA"},0),
  _xlfn.XLOOKUP(INDEX($B:$B, (ROW()-1)),'Relacion '!$E:$E,'Relacion '!#REF!,0),
  0
 )
)</f>
        <v>1</v>
      </c>
      <c r="I1227" s="241">
        <f t="shared" ref="I1227" ca="1" si="292">IF(G1227&lt;=TODAY(), 1, 0)</f>
        <v>1</v>
      </c>
      <c r="J1227" s="241"/>
      <c r="K1227" s="241"/>
      <c r="L1227" s="238"/>
    </row>
    <row r="1228" spans="2:12" outlineLevel="1">
      <c r="B1228" s="237" t="s">
        <v>195</v>
      </c>
      <c r="C1228" s="237" t="s">
        <v>195</v>
      </c>
      <c r="D1228" s="238" t="str">
        <f>_xlfn.XLOOKUP(B1228,'Relacion '!$E:$E,'Relacion '!$D:$D,"")</f>
        <v/>
      </c>
      <c r="E1228" s="239">
        <f t="shared" si="289"/>
        <v>4</v>
      </c>
      <c r="F1228" s="240" cm="1">
        <f t="array" ref="F1228">MIN(INDEX('Relacion '!$Z$5:$AA$493,MATCH(INDEX($B:$B, (ROW()-2)),'Relacion '!$E$5:$E$493,0),0))</f>
        <v>46041</v>
      </c>
      <c r="G1228" s="240" cm="1">
        <f t="array" ref="G1228">MAX(INDEX('Relacion '!$Z$5:$AA$493,MATCH(INDEX($B:$B, (ROW()-2)),'Relacion '!$E$5:$E$493,0),0))</f>
        <v>46045</v>
      </c>
      <c r="H1228" s="241" cm="1">
        <f t="array" ref="H1228">IF(
 MATCH(B1228,{"01. ASIGNACION AREA";"02. MAPEO";"03. DESARROLLO";"04. VALIDA US";"05. VOBO US";"06. BW-EJECUCION";"07. VALIDACIÓN BAJAWARE";"08. CERRADA"},0)
 &lt;
 MATCH(_xlfn.XLOOKUP(INDEX($B:$B, (ROW()-2)),'Relacion '!$E:$E,'Relacion '!$D:$D,""),{"01. ASIGNACION AREA";"02. MAPEO";"03. DESARROLLO";"04. VALIDA US";"05. VOBO US";"06. BW-EJECUCION";"07. VALIDACIÓN BAJAWARE";"08. CERRADA"},0),
 1,
 IF(
  MATCH(B1228,{"01. ASIGNACION AREA";"02. MAPEO";"03. DESARROLLO";"04. VALIDA US";"05. VOBO US";"06. BW-EJECUCION";"07. VALIDACIÓN BAJAWARE";"08. CERRADA"},0)
  =
  MATCH(_xlfn.XLOOKUP(INDEX($B:$B, (ROW()-2)),'Relacion '!$E:$E,'Relacion '!$D:$D,""),{"01. ASIGNACION AREA";"02. MAPEO";"03. DESARROLLO";"04. VALIDA US";"05. VOBO US";"06. BW-EJECUCION";"07. VALIDACIÓN BAJAWARE";"08. CERRADA"},0),
  _xlfn.XLOOKUP(INDEX($B:$B, (ROW()-2)),'Relacion '!$E:$E,'Relacion '!#REF!,0),
  0
 )
)</f>
        <v>1</v>
      </c>
      <c r="I1228" s="241">
        <f t="shared" ca="1" si="287"/>
        <v>1</v>
      </c>
      <c r="J1228" s="241"/>
      <c r="K1228" s="241"/>
      <c r="L1228" s="238"/>
    </row>
    <row r="1229" spans="2:12" outlineLevel="1">
      <c r="B1229" s="237" t="s">
        <v>49</v>
      </c>
      <c r="C1229" s="237" t="s">
        <v>49</v>
      </c>
      <c r="D1229" s="238" t="str">
        <f>_xlfn.XLOOKUP(B1229,'Relacion '!$E:$E,'Relacion '!$D:$D,"")</f>
        <v/>
      </c>
      <c r="E1229" s="239">
        <f t="shared" si="289"/>
        <v>4</v>
      </c>
      <c r="F1229" s="240" cm="1">
        <f t="array" ref="F1229">MIN(INDEX('Relacion '!$AB$5:$AC$493,MATCH(INDEX($B:$B, (ROW()-3)),'Relacion '!$E$5:$E$493,0),0))</f>
        <v>46048</v>
      </c>
      <c r="G1229" s="240" cm="1">
        <f t="array" ref="G1229">MAX(INDEX('Relacion '!$AB$5:$AC$493,MATCH(INDEX($B:$B, (ROW()-3)),'Relacion '!$E$5:$E$493,0),0))</f>
        <v>46052</v>
      </c>
      <c r="H1229" s="241" cm="1">
        <f t="array" ref="H1229">IF(
 MATCH(B1229,{"01. ASIGNACION AREA";"02. MAPEO";"03. DESARROLLO";"04. VALIDA US";"05. VOBO US";"06. BW-EJECUCION";"07. VALIDACIÓN BAJAWARE";"08. CERRADA"},0)
 &lt;
 MATCH(_xlfn.XLOOKUP(INDEX($B:$B, (ROW()-3)),'Relacion '!$E:$E,'Relacion '!$D:$D,""),{"01. ASIGNACION AREA";"02. MAPEO";"03. DESARROLLO";"04. VALIDA US";"05. VOBO US";"06. BW-EJECUCION";"07. VALIDACIÓN BAJAWARE";"08. CERRADA"},0),
 1,
 IF(
  MATCH(B1229,{"01. ASIGNACION AREA";"02. MAPEO";"03. DESARROLLO";"04. VALIDA US";"05. VOBO US";"06. BW-EJECUCION";"07. VALIDACIÓN BAJAWARE";"08. CERRADA"},0)
  =
  MATCH(_xlfn.XLOOKUP(INDEX($B:$B, (ROW()-3)),'Relacion '!$E:$E,'Relacion '!$D:$D,""),{"01. ASIGNACION AREA";"02. MAPEO";"03. DESARROLLO";"04. VALIDA US";"05. VOBO US";"06. BW-EJECUCION";"07. VALIDACIÓN BAJAWARE";"08. CERRADA"},0),
  _xlfn.XLOOKUP(INDEX($B:$B, (ROW()-3)),'Relacion '!$E:$E,'Relacion '!#REF!,0),
  0
 )
)</f>
        <v>1</v>
      </c>
      <c r="I1229" s="241">
        <f t="shared" ca="1" si="287"/>
        <v>1</v>
      </c>
      <c r="J1229" s="241"/>
      <c r="K1229" s="241"/>
      <c r="L1229" s="238"/>
    </row>
    <row r="1230" spans="2:12" outlineLevel="1">
      <c r="B1230" s="237" t="s">
        <v>324</v>
      </c>
      <c r="C1230" s="237" t="s">
        <v>324</v>
      </c>
      <c r="D1230" s="238" t="str">
        <f>_xlfn.XLOOKUP(B1230,'Relacion '!$E:$E,'Relacion '!$D:$D,"")</f>
        <v/>
      </c>
      <c r="E1230" s="239">
        <f t="shared" si="289"/>
        <v>14</v>
      </c>
      <c r="F1230" s="240" cm="1">
        <f t="array" ref="F1230">MIN(INDEX('Relacion '!$AD$5:$AE$493,MATCH(INDEX($B:$B, (ROW()-4)),'Relacion '!$E$5:$E$493,0),0))</f>
        <v>46094</v>
      </c>
      <c r="G1230" s="240" cm="1">
        <f t="array" ref="G1230">MAX(INDEX('Relacion '!$AD$5:$AE$493,MATCH(INDEX($B:$B, (ROW()-4)),'Relacion '!$E$5:$E$493,0),0))</f>
        <v>46108</v>
      </c>
      <c r="H1230" s="241" t="e" cm="1">
        <f t="array" ref="H1230">IF(
 MATCH(B1230,{"01. ASIGNACION AREA";"02. MAPEO";"03. DESARROLLO";"04. VALIDA US";"05. VOBO US";"06. BW-EJECUCION";"07. VALIDACIÓN BAJAWARE";"08. CERRADA"},0)
 &lt;
 MATCH(_xlfn.XLOOKUP(INDEX($B:$B, (ROW()-4)),'Relacion '!$E:$E,'Relacion '!$D:$D,""),{"01. ASIGNACION AREA";"02. MAPEO";"03. DESARROLLO";"04. VALIDA US";"05. VOBO US";"06. BW-EJECUCION";"07. VALIDACIÓN BAJAWARE";"08. CERRADA"},0),
 1,
 IF(
  MATCH(B1230,{"01. ASIGNACION AREA";"02. MAPEO";"03. DESARROLLO";"04. VALIDA US";"05. VOBO US";"06. BW-EJECUCION";"07. VALIDACIÓN BAJAWARE";"08. CERRADA"},0)
  =
  MATCH(_xlfn.XLOOKUP(INDEX($B:$B, (ROW()-4)),'Relacion '!$E:$E,'Relacion '!$D:$D,""),{"01. ASIGNACION AREA";"02. MAPEO";"03. DESARROLLO";"04. VALIDA US";"05. VOBO US";"06. BW-EJECUCION";"07. VALIDACIÓN BAJAWARE";"08. CERRADA"},0),
  _xlfn.XLOOKUP(INDEX($B:$B, (ROW()-4)),'Relacion '!$E:$E,'Relacion '!#REF!,0),
  0
 )
)</f>
        <v>#REF!</v>
      </c>
      <c r="I1230" s="241">
        <f t="shared" ca="1" si="287"/>
        <v>1</v>
      </c>
      <c r="J1230" s="241"/>
      <c r="K1230" s="241"/>
      <c r="L1230" s="238"/>
    </row>
    <row r="1231" spans="2:12" outlineLevel="1">
      <c r="B1231" s="237" t="s">
        <v>320</v>
      </c>
      <c r="C1231" s="237" t="s">
        <v>320</v>
      </c>
      <c r="D1231" s="238" t="str">
        <f>_xlfn.XLOOKUP(B1231,'Relacion '!$E:$E,'Relacion '!$D:$D,"")</f>
        <v/>
      </c>
      <c r="E1231" s="239">
        <f t="shared" si="289"/>
        <v>3</v>
      </c>
      <c r="F1231" s="240" cm="1">
        <f t="array" ref="F1231">MIN(INDEX('Relacion '!$AF$5:$AG$493,MATCH(INDEX($B:$B, (ROW()-5)),'Relacion '!$E$5:$E$493,0),0))</f>
        <v>46108</v>
      </c>
      <c r="G1231" s="240" cm="1">
        <f t="array" ref="G1231">MAX(INDEX('Relacion '!$AF$5:$AG$493,MATCH(INDEX($B:$B, (ROW()-5)),'Relacion '!$E$5:$E$493,0),0))</f>
        <v>46111</v>
      </c>
      <c r="H1231" s="241" cm="1">
        <f t="array" ref="H1231">IF(
 MATCH(B1231,{"01. ASIGNACION AREA";"02. MAPEO";"03. DESARROLLO";"04. VALIDA US";"05. VOBO US";"06. BW-EJECUCION";"07. VALIDACIÓN BAJAWARE";"08. CERRADA"},0)
 &lt;
 MATCH(_xlfn.XLOOKUP(INDEX($B:$B, (ROW()-5)),'Relacion '!$E:$E,'Relacion '!$D:$D,""),{"01. ASIGNACION AREA";"02. MAPEO";"03. DESARROLLO";"04. VALIDA US";"05. VOBO US";"06. BW-EJECUCION";"07. VALIDACIÓN BAJAWARE";"08. CERRADA"},0),
 1,
 IF(
  MATCH(B1231,{"01. ASIGNACION AREA";"02. MAPEO";"03. DESARROLLO";"04. VALIDA US";"05. VOBO US";"06. BW-EJECUCION";"07. VALIDACIÓN BAJAWARE";"08. CERRADA"},0)
  =
  MATCH(_xlfn.XLOOKUP(INDEX($B:$B, (ROW()-5)),'Relacion '!$E:$E,'Relacion '!$D:$D,""),{"01. ASIGNACION AREA";"02. MAPEO";"03. DESARROLLO";"04. VALIDA US";"05. VOBO US";"06. BW-EJECUCION";"07. VALIDACIÓN BAJAWARE";"08. CERRADA"},0),
  _xlfn.XLOOKUP(INDEX($B:$B, (ROW()-5)),'Relacion '!$E:$E,'Relacion '!#REF!,0),
  0
 )
)</f>
        <v>0</v>
      </c>
      <c r="I1231" s="241">
        <f t="shared" ca="1" si="287"/>
        <v>1</v>
      </c>
      <c r="J1231" s="241"/>
      <c r="K1231" s="241"/>
      <c r="L1231" s="238"/>
    </row>
    <row r="1232" spans="2:12" outlineLevel="1">
      <c r="B1232" s="237" t="s">
        <v>710</v>
      </c>
      <c r="C1232" s="237" t="s">
        <v>710</v>
      </c>
      <c r="D1232" s="238" t="str">
        <f>_xlfn.XLOOKUP(B1232,'Relacion '!$E:$E,'Relacion '!$D:$D,"")</f>
        <v/>
      </c>
      <c r="E1232" s="239">
        <f t="shared" si="289"/>
        <v>6</v>
      </c>
      <c r="F1232" s="240" cm="1">
        <f t="array" ref="F1232">MIN(INDEX('Relacion '!$AH$5:$AI$493,MATCH(INDEX($B:$B, (ROW()-6)),'Relacion '!$E$5:$E$493,0),0))</f>
        <v>46112</v>
      </c>
      <c r="G1232" s="240" cm="1">
        <f t="array" ref="G1232">MAX(INDEX('Relacion '!$AH$5:$AI$493,MATCH(INDEX($B:$B, (ROW()-6)),'Relacion '!$E$5:$E$493,0),0))</f>
        <v>46118</v>
      </c>
      <c r="H1232" s="241" cm="1">
        <f t="array" ref="H1232">IF(
 MATCH(B1232,{"01. ASIGNACION AREA";"02. MAPEO";"03. DESARROLLO";"04. VALIDA US";"05. VOBO US";"06. BW-EJECUCION";"07. VALIDACIÓN BAJAWARE";"08. CERRADA"},0)
 &lt;
 MATCH(_xlfn.XLOOKUP(INDEX($B:$B, (ROW()-6)),'Relacion '!$E:$E,'Relacion '!$D:$D,""),{"01. ASIGNACION AREA";"02. MAPEO";"03. DESARROLLO";"04. VALIDA US";"05. VOBO US";"06. BW-EJECUCION";"07. VALIDACIÓN BAJAWARE";"08. CERRADA"},0),
 1,
 IF(
  MATCH(B1232,{"01. ASIGNACION AREA";"02. MAPEO";"03. DESARROLLO";"04. VALIDA US";"05. VOBO US";"06. BW-EJECUCION";"07. VALIDACIÓN BAJAWARE";"08. CERRADA"},0)
  =
  MATCH(_xlfn.XLOOKUP(INDEX($B:$B, (ROW()-6)),'Relacion '!$E:$E,'Relacion '!$D:$D,""),{"01. ASIGNACION AREA";"02. MAPEO";"03. DESARROLLO";"04. VALIDA US";"05. VOBO US";"06. BW-EJECUCION";"07. VALIDACIÓN BAJAWARE";"08. CERRADA"},0),
  _xlfn.XLOOKUP(INDEX($B:$B, (ROW()-6)),'Relacion '!$E:$E,'Relacion '!#REF!,0),
  0
 )
)</f>
        <v>0</v>
      </c>
      <c r="I1232" s="241">
        <f t="shared" ca="1" si="287"/>
        <v>1</v>
      </c>
      <c r="J1232" s="241"/>
      <c r="K1232" s="241"/>
      <c r="L1232" s="238"/>
    </row>
    <row r="1233" spans="2:12" outlineLevel="1">
      <c r="B1233" s="237" t="s">
        <v>655</v>
      </c>
      <c r="C1233" s="237" t="s">
        <v>655</v>
      </c>
      <c r="D1233" s="238" t="str">
        <f>_xlfn.XLOOKUP(B1233,'Relacion '!$E:$E,'Relacion '!$D:$D,"")</f>
        <v/>
      </c>
      <c r="E1233" s="239">
        <f t="shared" si="289"/>
        <v>14</v>
      </c>
      <c r="F1233" s="240" cm="1">
        <f t="array" ref="F1233">MIN(INDEX('Relacion '!$AJ$5:$AK$493,MATCH(INDEX($B:$B, (ROW()-7)),'Relacion '!$E$5:$E$493,0),0))</f>
        <v>46119</v>
      </c>
      <c r="G1233" s="240" cm="1">
        <f t="array" ref="G1233">MAX(INDEX('Relacion '!$AJ$5:$AK$493,MATCH(INDEX($B:$B, (ROW()-7)),'Relacion '!$E$5:$E$493,0),0))</f>
        <v>46133</v>
      </c>
      <c r="H1233" s="241" cm="1">
        <f t="array" ref="H1233">IF(
 MATCH(B1233,{"01. ASIGNACION AREA";"02. MAPEO";"03. DESARROLLO";"04. VALIDA US";"05. VOBO US";"06. BW-EJECUCION";"07. VALIDACIÓN BAJAWARE";"08. CERRADA"},0)
 &lt;
 MATCH(_xlfn.XLOOKUP(INDEX($B:$B, (ROW()-7)),'Relacion '!$E:$E,'Relacion '!$D:$D,""),{"01. ASIGNACION AREA";"02. MAPEO";"03. DESARROLLO";"04. VALIDA US";"05. VOBO US";"06. BW-EJECUCION";"07. VALIDACIÓN BAJAWARE";"08. CERRADA"},0),
 1,
 IF(
  MATCH(B1233,{"01. ASIGNACION AREA";"02. MAPEO";"03. DESARROLLO";"04. VALIDA US";"05. VOBO US";"06. BW-EJECUCION";"07. VALIDACIÓN BAJAWARE";"08. CERRADA"},0)
  =
  MATCH(_xlfn.XLOOKUP(INDEX($B:$B, (ROW()-7)),'Relacion '!$E:$E,'Relacion '!$D:$D,""),{"01. ASIGNACION AREA";"02. MAPEO";"03. DESARROLLO";"04. VALIDA US";"05. VOBO US";"06. BW-EJECUCION";"07. VALIDACIÓN BAJAWARE";"08. CERRADA"},0),
  _xlfn.XLOOKUP(INDEX($B:$B, (ROW()-7)),'Relacion '!$E:$E,'Relacion '!#REF!,0),
  0
 )
)</f>
        <v>0</v>
      </c>
      <c r="I1233" s="241">
        <f t="shared" ca="1" si="287"/>
        <v>1</v>
      </c>
      <c r="J1233" s="241"/>
      <c r="K1233" s="241"/>
      <c r="L1233" s="238"/>
    </row>
    <row r="1234" spans="2:12" outlineLevel="1">
      <c r="B1234" s="237" t="s">
        <v>656</v>
      </c>
      <c r="C1234" s="237" t="s">
        <v>656</v>
      </c>
      <c r="D1234" s="238" t="str">
        <f>_xlfn.XLOOKUP(B1234,'Relacion '!$E:$E,'Relacion '!$D:$D,"")</f>
        <v/>
      </c>
      <c r="E1234" s="239">
        <f t="shared" si="289"/>
        <v>0</v>
      </c>
      <c r="F1234" s="240" cm="1">
        <f t="array" ref="F1234">MIN(INDEX('Relacion '!$AL$5:$AM$493,MATCH(INDEX($B:$B, (ROW()-8)),'Relacion '!$E$5:$E$493,0),0))</f>
        <v>46134</v>
      </c>
      <c r="G1234" s="240" cm="1">
        <f t="array" ref="G1234">MAX(INDEX('Relacion '!$AL$5:$AM$493,MATCH(INDEX($B:$B, (ROW()-8)),'Relacion '!$E$5:$E$493,0),0))</f>
        <v>46134</v>
      </c>
      <c r="H1234" s="241" cm="1">
        <f t="array" ref="H1234">IF(
 MATCH(B1234,{"01. ASIGNACION AREA";"02. MAPEO";"03. DESARROLLO";"04. VALIDA US";"05. VOBO US";"06. BW-EJECUCION";"07. VALIDACIÓN BAJAWARE";"08. CERRADA"},0)
 &lt;
 MATCH(_xlfn.XLOOKUP(INDEX($B:$B, (ROW()-8)),'Relacion '!$E:$E,'Relacion '!$D:$D,""),{"01. ASIGNACION AREA";"02. MAPEO";"03. DESARROLLO";"04. VALIDA US";"05. VOBO US";"06. BW-EJECUCION";"07. VALIDACIÓN BAJAWARE";"08. CERRADA"},0),
 1,
 IF(
  MATCH(B1234,{"01. ASIGNACION AREA";"02. MAPEO";"03. DESARROLLO";"04. VALIDA US";"05. VOBO US";"06. BW-EJECUCION";"07. VALIDACIÓN BAJAWARE";"08. CERRADA"},0)
  =
  MATCH(_xlfn.XLOOKUP(INDEX($B:$B, (ROW()-8)),'Relacion '!$E:$E,'Relacion '!$D:$D,""),{"01. ASIGNACION AREA";"02. MAPEO";"03. DESARROLLO";"04. VALIDA US";"05. VOBO US";"06. BW-EJECUCION";"07. VALIDACIÓN BAJAWARE";"08. CERRADA"},0),
  _xlfn.XLOOKUP(INDEX($B:$B, (ROW()-8)),'Relacion '!$E:$E,'Relacion '!#REF!,0),
  0
 )
)</f>
        <v>0</v>
      </c>
      <c r="I1234" s="241">
        <f t="shared" ca="1" si="287"/>
        <v>1</v>
      </c>
      <c r="J1234" s="241"/>
      <c r="K1234" s="241"/>
      <c r="L1234" s="238"/>
    </row>
    <row r="1235" spans="2:12" ht="30">
      <c r="B1235" s="232" t="s">
        <v>226</v>
      </c>
      <c r="C1235" s="176" t="s">
        <v>227</v>
      </c>
      <c r="D1235" s="236" t="str">
        <f>_xlfn.XLOOKUP(B1235,'Relacion '!$E:$E,'Relacion '!$D:$D,"")</f>
        <v>04. VALIDA US</v>
      </c>
      <c r="E1235" s="233">
        <f t="shared" si="289"/>
        <v>110</v>
      </c>
      <c r="F1235" s="234" cm="1">
        <f t="array" ref="F1235">MIN(INDEX('Relacion '!$X$5:$AM$493,MATCH(INDEX($B:$B, (ROW()-0)),'Relacion '!$E$5:$E$493,0),0))</f>
        <v>46024</v>
      </c>
      <c r="G1235" s="234" cm="1">
        <f t="array" ref="G1235">MAX(INDEX('Relacion '!$X$5:$AM$493,MATCH(INDEX($B:$B, (ROW()-0)),'Relacion '!$E$5:$E$493,0),0))</f>
        <v>46134</v>
      </c>
      <c r="H1235" s="235" t="e">
        <f>AVERAGE(H1236:H1243)</f>
        <v>#REF!</v>
      </c>
      <c r="I1235" s="235">
        <f t="shared" ref="I1235" ca="1" si="293">AVERAGE(I1236:I1243)</f>
        <v>1</v>
      </c>
      <c r="J1235" s="236" t="str">
        <f>IF(ISNUMBER(SEARCH("Rocha", _xlfn.XLOOKUP(B1235,'Relacion '!$E:$E,'Relacion '!$I:$I,""))), "Sí", "No")</f>
        <v>No</v>
      </c>
      <c r="K1235" s="236" t="str">
        <f>IF(ISNUMBER(SEARCH("Rocha", _xlfn.XLOOKUP(B1235,'Relacion '!$E:$E,'Relacion '!$I:$I,""))), "RMC", _xlfn.XLOOKUP(B1235,'Relacion '!$E:$E,'Relacion '!$B:$B,""))</f>
        <v>Riesgos | Eduardo Santiago</v>
      </c>
      <c r="L1235" s="236" t="str">
        <f>_xlfn.XLOOKUP(B1235,'Relacion '!$E:$E,'Relacion '!$C:$C,"")</f>
        <v>Homero Sanchez</v>
      </c>
    </row>
    <row r="1236" spans="2:12" outlineLevel="1">
      <c r="B1236" s="237" t="s">
        <v>654</v>
      </c>
      <c r="C1236" s="237" t="s">
        <v>654</v>
      </c>
      <c r="D1236" s="238" t="str">
        <f>_xlfn.XLOOKUP(B1236,'Relacion '!$E:$E,'Relacion '!$D:$D,"")</f>
        <v/>
      </c>
      <c r="E1236" s="239">
        <f t="shared" si="289"/>
        <v>59</v>
      </c>
      <c r="F1236" s="240" cm="1">
        <f t="array" ref="F1236">MIN(INDEX('Relacion '!$X$5:$Y$493,MATCH(INDEX($B:$B, (ROW()-1)),'Relacion '!$E$5:$E$493,0),0))</f>
        <v>46024</v>
      </c>
      <c r="G1236" s="240" cm="1">
        <f t="array" ref="G1236">MAX(INDEX('Relacion '!$X$5:$Y$493,MATCH(INDEX($B:$B, (ROW()-1)),'Relacion '!$E$5:$E$493,0),0))</f>
        <v>46083</v>
      </c>
      <c r="H1236" s="241" cm="1">
        <f t="array" ref="H1236">IF(
 MATCH(B1236,{"01. ASIGNACION AREA";"02. MAPEO";"03. DESARROLLO";"04. VALIDA US";"05. VOBO US";"06. BW-EJECUCION";"07. VALIDACIÓN BAJAWARE";"08. CERRADA"},0)
 &lt;
 MATCH(_xlfn.XLOOKUP(INDEX($B:$B, (ROW()-1)),'Relacion '!$E:$E,'Relacion '!$D:$D,""),{"01. ASIGNACION AREA";"02. MAPEO";"03. DESARROLLO";"04. VALIDA US";"05. VOBO US";"06. BW-EJECUCION";"07. VALIDACIÓN BAJAWARE";"08. CERRADA"},0),
 1,
 IF(
  MATCH(B1236,{"01. ASIGNACION AREA";"02. MAPEO";"03. DESARROLLO";"04. VALIDA US";"05. VOBO US";"06. BW-EJECUCION";"07. VALIDACIÓN BAJAWARE";"08. CERRADA"},0)
  =
  MATCH(_xlfn.XLOOKUP(INDEX($B:$B, (ROW()-1)),'Relacion '!$E:$E,'Relacion '!$D:$D,""),{"01. ASIGNACION AREA";"02. MAPEO";"03. DESARROLLO";"04. VALIDA US";"05. VOBO US";"06. BW-EJECUCION";"07. VALIDACIÓN BAJAWARE";"08. CERRADA"},0),
  _xlfn.XLOOKUP(INDEX($B:$B, (ROW()-1)),'Relacion '!$E:$E,'Relacion '!#REF!,0),
  0
 )
)</f>
        <v>1</v>
      </c>
      <c r="I1236" s="241">
        <f t="shared" ref="I1236" ca="1" si="294">IF(G1236&lt;=TODAY(), 1, 0)</f>
        <v>1</v>
      </c>
      <c r="J1236" s="241"/>
      <c r="K1236" s="241"/>
      <c r="L1236" s="238"/>
    </row>
    <row r="1237" spans="2:12" outlineLevel="1">
      <c r="B1237" s="237" t="s">
        <v>195</v>
      </c>
      <c r="C1237" s="237" t="s">
        <v>195</v>
      </c>
      <c r="D1237" s="238" t="str">
        <f>_xlfn.XLOOKUP(B1237,'Relacion '!$E:$E,'Relacion '!$D:$D,"")</f>
        <v/>
      </c>
      <c r="E1237" s="239">
        <f t="shared" si="289"/>
        <v>7</v>
      </c>
      <c r="F1237" s="240" cm="1">
        <f t="array" ref="F1237">MIN(INDEX('Relacion '!$Z$5:$AA$493,MATCH(INDEX($B:$B, (ROW()-2)),'Relacion '!$E$5:$E$493,0),0))</f>
        <v>46087</v>
      </c>
      <c r="G1237" s="240" cm="1">
        <f t="array" ref="G1237">MAX(INDEX('Relacion '!$Z$5:$AA$493,MATCH(INDEX($B:$B, (ROW()-2)),'Relacion '!$E$5:$E$493,0),0))</f>
        <v>46094</v>
      </c>
      <c r="H1237" s="241" cm="1">
        <f t="array" ref="H1237">IF(
 MATCH(B1237,{"01. ASIGNACION AREA";"02. MAPEO";"03. DESARROLLO";"04. VALIDA US";"05. VOBO US";"06. BW-EJECUCION";"07. VALIDACIÓN BAJAWARE";"08. CERRADA"},0)
 &lt;
 MATCH(_xlfn.XLOOKUP(INDEX($B:$B, (ROW()-2)),'Relacion '!$E:$E,'Relacion '!$D:$D,""),{"01. ASIGNACION AREA";"02. MAPEO";"03. DESARROLLO";"04. VALIDA US";"05. VOBO US";"06. BW-EJECUCION";"07. VALIDACIÓN BAJAWARE";"08. CERRADA"},0),
 1,
 IF(
  MATCH(B1237,{"01. ASIGNACION AREA";"02. MAPEO";"03. DESARROLLO";"04. VALIDA US";"05. VOBO US";"06. BW-EJECUCION";"07. VALIDACIÓN BAJAWARE";"08. CERRADA"},0)
  =
  MATCH(_xlfn.XLOOKUP(INDEX($B:$B, (ROW()-2)),'Relacion '!$E:$E,'Relacion '!$D:$D,""),{"01. ASIGNACION AREA";"02. MAPEO";"03. DESARROLLO";"04. VALIDA US";"05. VOBO US";"06. BW-EJECUCION";"07. VALIDACIÓN BAJAWARE";"08. CERRADA"},0),
  _xlfn.XLOOKUP(INDEX($B:$B, (ROW()-2)),'Relacion '!$E:$E,'Relacion '!#REF!,0),
  0
 )
)</f>
        <v>1</v>
      </c>
      <c r="I1237" s="241">
        <f t="shared" ca="1" si="287"/>
        <v>1</v>
      </c>
      <c r="J1237" s="241"/>
      <c r="K1237" s="241"/>
      <c r="L1237" s="238"/>
    </row>
    <row r="1238" spans="2:12" outlineLevel="1">
      <c r="B1238" s="237" t="s">
        <v>49</v>
      </c>
      <c r="C1238" s="237" t="s">
        <v>49</v>
      </c>
      <c r="D1238" s="238" t="str">
        <f>_xlfn.XLOOKUP(B1238,'Relacion '!$E:$E,'Relacion '!$D:$D,"")</f>
        <v/>
      </c>
      <c r="E1238" s="239">
        <f t="shared" si="289"/>
        <v>7</v>
      </c>
      <c r="F1238" s="240" cm="1">
        <f t="array" ref="F1238">MIN(INDEX('Relacion '!$AB$5:$AC$493,MATCH(INDEX($B:$B, (ROW()-3)),'Relacion '!$E$5:$E$493,0),0))</f>
        <v>46090</v>
      </c>
      <c r="G1238" s="240" cm="1">
        <f t="array" ref="G1238">MAX(INDEX('Relacion '!$AB$5:$AC$493,MATCH(INDEX($B:$B, (ROW()-3)),'Relacion '!$E$5:$E$493,0),0))</f>
        <v>46097</v>
      </c>
      <c r="H1238" s="241" cm="1">
        <f t="array" ref="H1238">IF(
 MATCH(B1238,{"01. ASIGNACION AREA";"02. MAPEO";"03. DESARROLLO";"04. VALIDA US";"05. VOBO US";"06. BW-EJECUCION";"07. VALIDACIÓN BAJAWARE";"08. CERRADA"},0)
 &lt;
 MATCH(_xlfn.XLOOKUP(INDEX($B:$B, (ROW()-3)),'Relacion '!$E:$E,'Relacion '!$D:$D,""),{"01. ASIGNACION AREA";"02. MAPEO";"03. DESARROLLO";"04. VALIDA US";"05. VOBO US";"06. BW-EJECUCION";"07. VALIDACIÓN BAJAWARE";"08. CERRADA"},0),
 1,
 IF(
  MATCH(B1238,{"01. ASIGNACION AREA";"02. MAPEO";"03. DESARROLLO";"04. VALIDA US";"05. VOBO US";"06. BW-EJECUCION";"07. VALIDACIÓN BAJAWARE";"08. CERRADA"},0)
  =
  MATCH(_xlfn.XLOOKUP(INDEX($B:$B, (ROW()-3)),'Relacion '!$E:$E,'Relacion '!$D:$D,""),{"01. ASIGNACION AREA";"02. MAPEO";"03. DESARROLLO";"04. VALIDA US";"05. VOBO US";"06. BW-EJECUCION";"07. VALIDACIÓN BAJAWARE";"08. CERRADA"},0),
  _xlfn.XLOOKUP(INDEX($B:$B, (ROW()-3)),'Relacion '!$E:$E,'Relacion '!#REF!,0),
  0
 )
)</f>
        <v>1</v>
      </c>
      <c r="I1238" s="241">
        <f t="shared" ca="1" si="287"/>
        <v>1</v>
      </c>
      <c r="J1238" s="241"/>
      <c r="K1238" s="241"/>
      <c r="L1238" s="238"/>
    </row>
    <row r="1239" spans="2:12" outlineLevel="1">
      <c r="B1239" s="237" t="s">
        <v>324</v>
      </c>
      <c r="C1239" s="237" t="s">
        <v>324</v>
      </c>
      <c r="D1239" s="238" t="str">
        <f>_xlfn.XLOOKUP(B1239,'Relacion '!$E:$E,'Relacion '!$D:$D,"")</f>
        <v/>
      </c>
      <c r="E1239" s="239">
        <f t="shared" si="289"/>
        <v>14</v>
      </c>
      <c r="F1239" s="240" cm="1">
        <f t="array" ref="F1239">MIN(INDEX('Relacion '!$AD$5:$AE$493,MATCH(INDEX($B:$B, (ROW()-4)),'Relacion '!$E$5:$E$493,0),0))</f>
        <v>46094</v>
      </c>
      <c r="G1239" s="240" cm="1">
        <f t="array" ref="G1239">MAX(INDEX('Relacion '!$AD$5:$AE$493,MATCH(INDEX($B:$B, (ROW()-4)),'Relacion '!$E$5:$E$493,0),0))</f>
        <v>46108</v>
      </c>
      <c r="H1239" s="241" t="e" cm="1">
        <f t="array" ref="H1239">IF(
 MATCH(B1239,{"01. ASIGNACION AREA";"02. MAPEO";"03. DESARROLLO";"04. VALIDA US";"05. VOBO US";"06. BW-EJECUCION";"07. VALIDACIÓN BAJAWARE";"08. CERRADA"},0)
 &lt;
 MATCH(_xlfn.XLOOKUP(INDEX($B:$B, (ROW()-4)),'Relacion '!$E:$E,'Relacion '!$D:$D,""),{"01. ASIGNACION AREA";"02. MAPEO";"03. DESARROLLO";"04. VALIDA US";"05. VOBO US";"06. BW-EJECUCION";"07. VALIDACIÓN BAJAWARE";"08. CERRADA"},0),
 1,
 IF(
  MATCH(B1239,{"01. ASIGNACION AREA";"02. MAPEO";"03. DESARROLLO";"04. VALIDA US";"05. VOBO US";"06. BW-EJECUCION";"07. VALIDACIÓN BAJAWARE";"08. CERRADA"},0)
  =
  MATCH(_xlfn.XLOOKUP(INDEX($B:$B, (ROW()-4)),'Relacion '!$E:$E,'Relacion '!$D:$D,""),{"01. ASIGNACION AREA";"02. MAPEO";"03. DESARROLLO";"04. VALIDA US";"05. VOBO US";"06. BW-EJECUCION";"07. VALIDACIÓN BAJAWARE";"08. CERRADA"},0),
  _xlfn.XLOOKUP(INDEX($B:$B, (ROW()-4)),'Relacion '!$E:$E,'Relacion '!#REF!,0),
  0
 )
)</f>
        <v>#REF!</v>
      </c>
      <c r="I1239" s="241">
        <f t="shared" ca="1" si="287"/>
        <v>1</v>
      </c>
      <c r="J1239" s="241"/>
      <c r="K1239" s="241"/>
      <c r="L1239" s="238"/>
    </row>
    <row r="1240" spans="2:12" outlineLevel="1">
      <c r="B1240" s="237" t="s">
        <v>320</v>
      </c>
      <c r="C1240" s="237" t="s">
        <v>320</v>
      </c>
      <c r="D1240" s="238" t="str">
        <f>_xlfn.XLOOKUP(B1240,'Relacion '!$E:$E,'Relacion '!$D:$D,"")</f>
        <v/>
      </c>
      <c r="E1240" s="239">
        <f t="shared" si="289"/>
        <v>3</v>
      </c>
      <c r="F1240" s="240" cm="1">
        <f t="array" ref="F1240">MIN(INDEX('Relacion '!$AF$5:$AG$493,MATCH(INDEX($B:$B, (ROW()-5)),'Relacion '!$E$5:$E$493,0),0))</f>
        <v>46108</v>
      </c>
      <c r="G1240" s="240" cm="1">
        <f t="array" ref="G1240">MAX(INDEX('Relacion '!$AF$5:$AG$493,MATCH(INDEX($B:$B, (ROW()-5)),'Relacion '!$E$5:$E$493,0),0))</f>
        <v>46111</v>
      </c>
      <c r="H1240" s="241" cm="1">
        <f t="array" ref="H1240">IF(
 MATCH(B1240,{"01. ASIGNACION AREA";"02. MAPEO";"03. DESARROLLO";"04. VALIDA US";"05. VOBO US";"06. BW-EJECUCION";"07. VALIDACIÓN BAJAWARE";"08. CERRADA"},0)
 &lt;
 MATCH(_xlfn.XLOOKUP(INDEX($B:$B, (ROW()-5)),'Relacion '!$E:$E,'Relacion '!$D:$D,""),{"01. ASIGNACION AREA";"02. MAPEO";"03. DESARROLLO";"04. VALIDA US";"05. VOBO US";"06. BW-EJECUCION";"07. VALIDACIÓN BAJAWARE";"08. CERRADA"},0),
 1,
 IF(
  MATCH(B1240,{"01. ASIGNACION AREA";"02. MAPEO";"03. DESARROLLO";"04. VALIDA US";"05. VOBO US";"06. BW-EJECUCION";"07. VALIDACIÓN BAJAWARE";"08. CERRADA"},0)
  =
  MATCH(_xlfn.XLOOKUP(INDEX($B:$B, (ROW()-5)),'Relacion '!$E:$E,'Relacion '!$D:$D,""),{"01. ASIGNACION AREA";"02. MAPEO";"03. DESARROLLO";"04. VALIDA US";"05. VOBO US";"06. BW-EJECUCION";"07. VALIDACIÓN BAJAWARE";"08. CERRADA"},0),
  _xlfn.XLOOKUP(INDEX($B:$B, (ROW()-5)),'Relacion '!$E:$E,'Relacion '!#REF!,0),
  0
 )
)</f>
        <v>0</v>
      </c>
      <c r="I1240" s="241">
        <f t="shared" ca="1" si="287"/>
        <v>1</v>
      </c>
      <c r="J1240" s="241"/>
      <c r="K1240" s="241"/>
      <c r="L1240" s="238"/>
    </row>
    <row r="1241" spans="2:12" outlineLevel="1">
      <c r="B1241" s="237" t="s">
        <v>710</v>
      </c>
      <c r="C1241" s="237" t="s">
        <v>710</v>
      </c>
      <c r="D1241" s="238" t="str">
        <f>_xlfn.XLOOKUP(B1241,'Relacion '!$E:$E,'Relacion '!$D:$D,"")</f>
        <v/>
      </c>
      <c r="E1241" s="239">
        <f t="shared" si="289"/>
        <v>6</v>
      </c>
      <c r="F1241" s="240" cm="1">
        <f t="array" ref="F1241">MIN(INDEX('Relacion '!$AH$5:$AI$493,MATCH(INDEX($B:$B, (ROW()-6)),'Relacion '!$E$5:$E$493,0),0))</f>
        <v>46112</v>
      </c>
      <c r="G1241" s="240" cm="1">
        <f t="array" ref="G1241">MAX(INDEX('Relacion '!$AH$5:$AI$493,MATCH(INDEX($B:$B, (ROW()-6)),'Relacion '!$E$5:$E$493,0),0))</f>
        <v>46118</v>
      </c>
      <c r="H1241" s="241" cm="1">
        <f t="array" ref="H1241">IF(
 MATCH(B1241,{"01. ASIGNACION AREA";"02. MAPEO";"03. DESARROLLO";"04. VALIDA US";"05. VOBO US";"06. BW-EJECUCION";"07. VALIDACIÓN BAJAWARE";"08. CERRADA"},0)
 &lt;
 MATCH(_xlfn.XLOOKUP(INDEX($B:$B, (ROW()-6)),'Relacion '!$E:$E,'Relacion '!$D:$D,""),{"01. ASIGNACION AREA";"02. MAPEO";"03. DESARROLLO";"04. VALIDA US";"05. VOBO US";"06. BW-EJECUCION";"07. VALIDACIÓN BAJAWARE";"08. CERRADA"},0),
 1,
 IF(
  MATCH(B1241,{"01. ASIGNACION AREA";"02. MAPEO";"03. DESARROLLO";"04. VALIDA US";"05. VOBO US";"06. BW-EJECUCION";"07. VALIDACIÓN BAJAWARE";"08. CERRADA"},0)
  =
  MATCH(_xlfn.XLOOKUP(INDEX($B:$B, (ROW()-6)),'Relacion '!$E:$E,'Relacion '!$D:$D,""),{"01. ASIGNACION AREA";"02. MAPEO";"03. DESARROLLO";"04. VALIDA US";"05. VOBO US";"06. BW-EJECUCION";"07. VALIDACIÓN BAJAWARE";"08. CERRADA"},0),
  _xlfn.XLOOKUP(INDEX($B:$B, (ROW()-6)),'Relacion '!$E:$E,'Relacion '!#REF!,0),
  0
 )
)</f>
        <v>0</v>
      </c>
      <c r="I1241" s="241">
        <f t="shared" ca="1" si="287"/>
        <v>1</v>
      </c>
      <c r="J1241" s="241"/>
      <c r="K1241" s="241"/>
      <c r="L1241" s="238"/>
    </row>
    <row r="1242" spans="2:12" outlineLevel="1">
      <c r="B1242" s="237" t="s">
        <v>655</v>
      </c>
      <c r="C1242" s="237" t="s">
        <v>655</v>
      </c>
      <c r="D1242" s="238" t="str">
        <f>_xlfn.XLOOKUP(B1242,'Relacion '!$E:$E,'Relacion '!$D:$D,"")</f>
        <v/>
      </c>
      <c r="E1242" s="239">
        <f t="shared" si="289"/>
        <v>14</v>
      </c>
      <c r="F1242" s="240" cm="1">
        <f t="array" ref="F1242">MIN(INDEX('Relacion '!$AJ$5:$AK$493,MATCH(INDEX($B:$B, (ROW()-7)),'Relacion '!$E$5:$E$493,0),0))</f>
        <v>46119</v>
      </c>
      <c r="G1242" s="240" cm="1">
        <f t="array" ref="G1242">MAX(INDEX('Relacion '!$AJ$5:$AK$493,MATCH(INDEX($B:$B, (ROW()-7)),'Relacion '!$E$5:$E$493,0),0))</f>
        <v>46133</v>
      </c>
      <c r="H1242" s="241" cm="1">
        <f t="array" ref="H1242">IF(
 MATCH(B1242,{"01. ASIGNACION AREA";"02. MAPEO";"03. DESARROLLO";"04. VALIDA US";"05. VOBO US";"06. BW-EJECUCION";"07. VALIDACIÓN BAJAWARE";"08. CERRADA"},0)
 &lt;
 MATCH(_xlfn.XLOOKUP(INDEX($B:$B, (ROW()-7)),'Relacion '!$E:$E,'Relacion '!$D:$D,""),{"01. ASIGNACION AREA";"02. MAPEO";"03. DESARROLLO";"04. VALIDA US";"05. VOBO US";"06. BW-EJECUCION";"07. VALIDACIÓN BAJAWARE";"08. CERRADA"},0),
 1,
 IF(
  MATCH(B1242,{"01. ASIGNACION AREA";"02. MAPEO";"03. DESARROLLO";"04. VALIDA US";"05. VOBO US";"06. BW-EJECUCION";"07. VALIDACIÓN BAJAWARE";"08. CERRADA"},0)
  =
  MATCH(_xlfn.XLOOKUP(INDEX($B:$B, (ROW()-7)),'Relacion '!$E:$E,'Relacion '!$D:$D,""),{"01. ASIGNACION AREA";"02. MAPEO";"03. DESARROLLO";"04. VALIDA US";"05. VOBO US";"06. BW-EJECUCION";"07. VALIDACIÓN BAJAWARE";"08. CERRADA"},0),
  _xlfn.XLOOKUP(INDEX($B:$B, (ROW()-7)),'Relacion '!$E:$E,'Relacion '!#REF!,0),
  0
 )
)</f>
        <v>0</v>
      </c>
      <c r="I1242" s="241">
        <f t="shared" ca="1" si="287"/>
        <v>1</v>
      </c>
      <c r="J1242" s="241"/>
      <c r="K1242" s="241"/>
      <c r="L1242" s="238"/>
    </row>
    <row r="1243" spans="2:12" outlineLevel="1">
      <c r="B1243" s="237" t="s">
        <v>656</v>
      </c>
      <c r="C1243" s="237" t="s">
        <v>656</v>
      </c>
      <c r="D1243" s="238" t="str">
        <f>_xlfn.XLOOKUP(B1243,'Relacion '!$E:$E,'Relacion '!$D:$D,"")</f>
        <v/>
      </c>
      <c r="E1243" s="239">
        <f t="shared" si="289"/>
        <v>0</v>
      </c>
      <c r="F1243" s="240" cm="1">
        <f t="array" ref="F1243">MIN(INDEX('Relacion '!$AL$5:$AM$493,MATCH(INDEX($B:$B, (ROW()-8)),'Relacion '!$E$5:$E$493,0),0))</f>
        <v>46134</v>
      </c>
      <c r="G1243" s="240" cm="1">
        <f t="array" ref="G1243">MAX(INDEX('Relacion '!$AL$5:$AM$493,MATCH(INDEX($B:$B, (ROW()-8)),'Relacion '!$E$5:$E$493,0),0))</f>
        <v>46134</v>
      </c>
      <c r="H1243" s="241" cm="1">
        <f t="array" ref="H1243">IF(
 MATCH(B1243,{"01. ASIGNACION AREA";"02. MAPEO";"03. DESARROLLO";"04. VALIDA US";"05. VOBO US";"06. BW-EJECUCION";"07. VALIDACIÓN BAJAWARE";"08. CERRADA"},0)
 &lt;
 MATCH(_xlfn.XLOOKUP(INDEX($B:$B, (ROW()-8)),'Relacion '!$E:$E,'Relacion '!$D:$D,""),{"01. ASIGNACION AREA";"02. MAPEO";"03. DESARROLLO";"04. VALIDA US";"05. VOBO US";"06. BW-EJECUCION";"07. VALIDACIÓN BAJAWARE";"08. CERRADA"},0),
 1,
 IF(
  MATCH(B1243,{"01. ASIGNACION AREA";"02. MAPEO";"03. DESARROLLO";"04. VALIDA US";"05. VOBO US";"06. BW-EJECUCION";"07. VALIDACIÓN BAJAWARE";"08. CERRADA"},0)
  =
  MATCH(_xlfn.XLOOKUP(INDEX($B:$B, (ROW()-8)),'Relacion '!$E:$E,'Relacion '!$D:$D,""),{"01. ASIGNACION AREA";"02. MAPEO";"03. DESARROLLO";"04. VALIDA US";"05. VOBO US";"06. BW-EJECUCION";"07. VALIDACIÓN BAJAWARE";"08. CERRADA"},0),
  _xlfn.XLOOKUP(INDEX($B:$B, (ROW()-8)),'Relacion '!$E:$E,'Relacion '!#REF!,0),
  0
 )
)</f>
        <v>0</v>
      </c>
      <c r="I1243" s="241">
        <f t="shared" ca="1" si="287"/>
        <v>1</v>
      </c>
      <c r="J1243" s="241"/>
      <c r="K1243" s="241"/>
      <c r="L1243" s="238"/>
    </row>
    <row r="1244" spans="2:12">
      <c r="B1244" s="232" t="s">
        <v>562</v>
      </c>
      <c r="C1244" s="167" t="s">
        <v>563</v>
      </c>
      <c r="D1244" s="236" t="str">
        <f>_xlfn.XLOOKUP(B1244,'Relacion '!$E:$E,'Relacion '!$D:$D,"")</f>
        <v>06. BW-EJECUCION</v>
      </c>
      <c r="E1244" s="233">
        <f t="shared" si="289"/>
        <v>106</v>
      </c>
      <c r="F1244" s="234" cm="1">
        <f t="array" ref="F1244">MIN(INDEX('Relacion '!$X$5:$AM$493,MATCH(INDEX($B:$B, (ROW()-0)),'Relacion '!$E$5:$E$493,0),0))</f>
        <v>46024</v>
      </c>
      <c r="G1244" s="234" cm="1">
        <f t="array" ref="G1244">MAX(INDEX('Relacion '!$X$5:$AM$493,MATCH(INDEX($B:$B, (ROW()-0)),'Relacion '!$E$5:$E$493,0),0))</f>
        <v>46130</v>
      </c>
      <c r="H1244" s="235" t="e">
        <f>AVERAGE(H1245:H1252)</f>
        <v>#REF!</v>
      </c>
      <c r="I1244" s="235">
        <f t="shared" ref="I1244" ca="1" si="295">AVERAGE(I1245:I1252)</f>
        <v>1</v>
      </c>
      <c r="J1244" s="236" t="str">
        <f>IF(ISNUMBER(SEARCH("Rocha", _xlfn.XLOOKUP(B1244,'Relacion '!$E:$E,'Relacion '!$I:$I,""))), "Sí", "No")</f>
        <v>No</v>
      </c>
      <c r="K1244" s="236" t="str">
        <f>IF(ISNUMBER(SEARCH("Rocha", _xlfn.XLOOKUP(B1244,'Relacion '!$E:$E,'Relacion '!$I:$I,""))), "RMC", _xlfn.XLOOKUP(B1244,'Relacion '!$E:$E,'Relacion '!$B:$B,""))</f>
        <v>Contabilidad</v>
      </c>
      <c r="L1244" s="236" t="str">
        <f>_xlfn.XLOOKUP(B1244,'Relacion '!$E:$E,'Relacion '!$C:$C,"")</f>
        <v xml:space="preserve">Ramon Jaimes </v>
      </c>
    </row>
    <row r="1245" spans="2:12" outlineLevel="1">
      <c r="B1245" s="237" t="s">
        <v>654</v>
      </c>
      <c r="C1245" s="237" t="s">
        <v>654</v>
      </c>
      <c r="D1245" s="238" t="str">
        <f>_xlfn.XLOOKUP(B1245,'Relacion '!$E:$E,'Relacion '!$D:$D,"")</f>
        <v/>
      </c>
      <c r="E1245" s="239">
        <f t="shared" si="289"/>
        <v>14</v>
      </c>
      <c r="F1245" s="240" cm="1">
        <f t="array" ref="F1245">MIN(INDEX('Relacion '!$X$5:$Y$493,MATCH(INDEX($B:$B, (ROW()-1)),'Relacion '!$E$5:$E$493,0),0))</f>
        <v>46024</v>
      </c>
      <c r="G1245" s="240" cm="1">
        <f t="array" ref="G1245">MAX(INDEX('Relacion '!$X$5:$Y$493,MATCH(INDEX($B:$B, (ROW()-1)),'Relacion '!$E$5:$E$493,0),0))</f>
        <v>46038</v>
      </c>
      <c r="H1245" s="241" cm="1">
        <f t="array" ref="H1245">IF(
 MATCH(B1245,{"01. ASIGNACION AREA";"02. MAPEO";"03. DESARROLLO";"04. VALIDA US";"05. VOBO US";"06. BW-EJECUCION";"07. VALIDACIÓN BAJAWARE";"08. CERRADA"},0)
 &lt;
 MATCH(_xlfn.XLOOKUP(INDEX($B:$B, (ROW()-1)),'Relacion '!$E:$E,'Relacion '!$D:$D,""),{"01. ASIGNACION AREA";"02. MAPEO";"03. DESARROLLO";"04. VALIDA US";"05. VOBO US";"06. BW-EJECUCION";"07. VALIDACIÓN BAJAWARE";"08. CERRADA"},0),
 1,
 IF(
  MATCH(B1245,{"01. ASIGNACION AREA";"02. MAPEO";"03. DESARROLLO";"04. VALIDA US";"05. VOBO US";"06. BW-EJECUCION";"07. VALIDACIÓN BAJAWARE";"08. CERRADA"},0)
  =
  MATCH(_xlfn.XLOOKUP(INDEX($B:$B, (ROW()-1)),'Relacion '!$E:$E,'Relacion '!$D:$D,""),{"01. ASIGNACION AREA";"02. MAPEO";"03. DESARROLLO";"04. VALIDA US";"05. VOBO US";"06. BW-EJECUCION";"07. VALIDACIÓN BAJAWARE";"08. CERRADA"},0),
  _xlfn.XLOOKUP(INDEX($B:$B, (ROW()-1)),'Relacion '!$E:$E,'Relacion '!#REF!,0),
  0
 )
)</f>
        <v>1</v>
      </c>
      <c r="I1245" s="241">
        <f t="shared" ref="I1245" ca="1" si="296">IF(G1245&lt;=TODAY(), 1, 0)</f>
        <v>1</v>
      </c>
      <c r="J1245" s="241"/>
      <c r="K1245" s="241"/>
      <c r="L1245" s="238"/>
    </row>
    <row r="1246" spans="2:12" outlineLevel="1">
      <c r="B1246" s="237" t="s">
        <v>195</v>
      </c>
      <c r="C1246" s="237" t="s">
        <v>195</v>
      </c>
      <c r="D1246" s="238" t="str">
        <f>_xlfn.XLOOKUP(B1246,'Relacion '!$E:$E,'Relacion '!$D:$D,"")</f>
        <v/>
      </c>
      <c r="E1246" s="239">
        <f t="shared" si="289"/>
        <v>11</v>
      </c>
      <c r="F1246" s="240" cm="1">
        <f t="array" ref="F1246">MIN(INDEX('Relacion '!$Z$5:$AA$493,MATCH(INDEX($B:$B, (ROW()-2)),'Relacion '!$E$5:$E$493,0),0))</f>
        <v>46041</v>
      </c>
      <c r="G1246" s="240" cm="1">
        <f t="array" ref="G1246">MAX(INDEX('Relacion '!$Z$5:$AA$493,MATCH(INDEX($B:$B, (ROW()-2)),'Relacion '!$E$5:$E$493,0),0))</f>
        <v>46052</v>
      </c>
      <c r="H1246" s="241" cm="1">
        <f t="array" ref="H1246">IF(
 MATCH(B1246,{"01. ASIGNACION AREA";"02. MAPEO";"03. DESARROLLO";"04. VALIDA US";"05. VOBO US";"06. BW-EJECUCION";"07. VALIDACIÓN BAJAWARE";"08. CERRADA"},0)
 &lt;
 MATCH(_xlfn.XLOOKUP(INDEX($B:$B, (ROW()-2)),'Relacion '!$E:$E,'Relacion '!$D:$D,""),{"01. ASIGNACION AREA";"02. MAPEO";"03. DESARROLLO";"04. VALIDA US";"05. VOBO US";"06. BW-EJECUCION";"07. VALIDACIÓN BAJAWARE";"08. CERRADA"},0),
 1,
 IF(
  MATCH(B1246,{"01. ASIGNACION AREA";"02. MAPEO";"03. DESARROLLO";"04. VALIDA US";"05. VOBO US";"06. BW-EJECUCION";"07. VALIDACIÓN BAJAWARE";"08. CERRADA"},0)
  =
  MATCH(_xlfn.XLOOKUP(INDEX($B:$B, (ROW()-2)),'Relacion '!$E:$E,'Relacion '!$D:$D,""),{"01. ASIGNACION AREA";"02. MAPEO";"03. DESARROLLO";"04. VALIDA US";"05. VOBO US";"06. BW-EJECUCION";"07. VALIDACIÓN BAJAWARE";"08. CERRADA"},0),
  _xlfn.XLOOKUP(INDEX($B:$B, (ROW()-2)),'Relacion '!$E:$E,'Relacion '!#REF!,0),
  0
 )
)</f>
        <v>1</v>
      </c>
      <c r="I1246" s="241">
        <f t="shared" ca="1" si="287"/>
        <v>1</v>
      </c>
      <c r="J1246" s="241"/>
      <c r="K1246" s="241"/>
      <c r="L1246" s="238"/>
    </row>
    <row r="1247" spans="2:12" outlineLevel="1">
      <c r="B1247" s="237" t="s">
        <v>49</v>
      </c>
      <c r="C1247" s="237" t="s">
        <v>49</v>
      </c>
      <c r="D1247" s="238" t="str">
        <f>_xlfn.XLOOKUP(B1247,'Relacion '!$E:$E,'Relacion '!$D:$D,"")</f>
        <v/>
      </c>
      <c r="E1247" s="239">
        <f t="shared" si="289"/>
        <v>13</v>
      </c>
      <c r="F1247" s="240" cm="1">
        <f t="array" ref="F1247">MIN(INDEX('Relacion '!$AB$5:$AC$493,MATCH(INDEX($B:$B, (ROW()-3)),'Relacion '!$E$5:$E$493,0),0))</f>
        <v>46056</v>
      </c>
      <c r="G1247" s="240" cm="1">
        <f t="array" ref="G1247">MAX(INDEX('Relacion '!$AB$5:$AC$493,MATCH(INDEX($B:$B, (ROW()-3)),'Relacion '!$E$5:$E$493,0),0))</f>
        <v>46069</v>
      </c>
      <c r="H1247" s="241" cm="1">
        <f t="array" ref="H1247">IF(
 MATCH(B1247,{"01. ASIGNACION AREA";"02. MAPEO";"03. DESARROLLO";"04. VALIDA US";"05. VOBO US";"06. BW-EJECUCION";"07. VALIDACIÓN BAJAWARE";"08. CERRADA"},0)
 &lt;
 MATCH(_xlfn.XLOOKUP(INDEX($B:$B, (ROW()-3)),'Relacion '!$E:$E,'Relacion '!$D:$D,""),{"01. ASIGNACION AREA";"02. MAPEO";"03. DESARROLLO";"04. VALIDA US";"05. VOBO US";"06. BW-EJECUCION";"07. VALIDACIÓN BAJAWARE";"08. CERRADA"},0),
 1,
 IF(
  MATCH(B1247,{"01. ASIGNACION AREA";"02. MAPEO";"03. DESARROLLO";"04. VALIDA US";"05. VOBO US";"06. BW-EJECUCION";"07. VALIDACIÓN BAJAWARE";"08. CERRADA"},0)
  =
  MATCH(_xlfn.XLOOKUP(INDEX($B:$B, (ROW()-3)),'Relacion '!$E:$E,'Relacion '!$D:$D,""),{"01. ASIGNACION AREA";"02. MAPEO";"03. DESARROLLO";"04. VALIDA US";"05. VOBO US";"06. BW-EJECUCION";"07. VALIDACIÓN BAJAWARE";"08. CERRADA"},0),
  _xlfn.XLOOKUP(INDEX($B:$B, (ROW()-3)),'Relacion '!$E:$E,'Relacion '!#REF!,0),
  0
 )
)</f>
        <v>1</v>
      </c>
      <c r="I1247" s="241">
        <f t="shared" ca="1" si="287"/>
        <v>1</v>
      </c>
      <c r="J1247" s="241"/>
      <c r="K1247" s="241"/>
      <c r="L1247" s="238"/>
    </row>
    <row r="1248" spans="2:12" outlineLevel="1">
      <c r="B1248" s="237" t="s">
        <v>324</v>
      </c>
      <c r="C1248" s="237" t="s">
        <v>324</v>
      </c>
      <c r="D1248" s="238" t="str">
        <f>_xlfn.XLOOKUP(B1248,'Relacion '!$E:$E,'Relacion '!$D:$D,"")</f>
        <v/>
      </c>
      <c r="E1248" s="239">
        <f t="shared" si="289"/>
        <v>2</v>
      </c>
      <c r="F1248" s="240" cm="1">
        <f t="array" ref="F1248">MIN(INDEX('Relacion '!$AD$5:$AE$493,MATCH(INDEX($B:$B, (ROW()-4)),'Relacion '!$E$5:$E$493,0),0))</f>
        <v>46070</v>
      </c>
      <c r="G1248" s="240" cm="1">
        <f t="array" ref="G1248">MAX(INDEX('Relacion '!$AD$5:$AE$493,MATCH(INDEX($B:$B, (ROW()-4)),'Relacion '!$E$5:$E$493,0),0))</f>
        <v>46072</v>
      </c>
      <c r="H1248" s="241" cm="1">
        <f t="array" ref="H1248">IF(
 MATCH(B1248,{"01. ASIGNACION AREA";"02. MAPEO";"03. DESARROLLO";"04. VALIDA US";"05. VOBO US";"06. BW-EJECUCION";"07. VALIDACIÓN BAJAWARE";"08. CERRADA"},0)
 &lt;
 MATCH(_xlfn.XLOOKUP(INDEX($B:$B, (ROW()-4)),'Relacion '!$E:$E,'Relacion '!$D:$D,""),{"01. ASIGNACION AREA";"02. MAPEO";"03. DESARROLLO";"04. VALIDA US";"05. VOBO US";"06. BW-EJECUCION";"07. VALIDACIÓN BAJAWARE";"08. CERRADA"},0),
 1,
 IF(
  MATCH(B1248,{"01. ASIGNACION AREA";"02. MAPEO";"03. DESARROLLO";"04. VALIDA US";"05. VOBO US";"06. BW-EJECUCION";"07. VALIDACIÓN BAJAWARE";"08. CERRADA"},0)
  =
  MATCH(_xlfn.XLOOKUP(INDEX($B:$B, (ROW()-4)),'Relacion '!$E:$E,'Relacion '!$D:$D,""),{"01. ASIGNACION AREA";"02. MAPEO";"03. DESARROLLO";"04. VALIDA US";"05. VOBO US";"06. BW-EJECUCION";"07. VALIDACIÓN BAJAWARE";"08. CERRADA"},0),
  _xlfn.XLOOKUP(INDEX($B:$B, (ROW()-4)),'Relacion '!$E:$E,'Relacion '!#REF!,0),
  0
 )
)</f>
        <v>1</v>
      </c>
      <c r="I1248" s="241">
        <f t="shared" ca="1" si="287"/>
        <v>1</v>
      </c>
      <c r="J1248" s="241"/>
      <c r="K1248" s="241"/>
      <c r="L1248" s="238"/>
    </row>
    <row r="1249" spans="2:12" outlineLevel="1">
      <c r="B1249" s="237" t="s">
        <v>320</v>
      </c>
      <c r="C1249" s="237" t="s">
        <v>320</v>
      </c>
      <c r="D1249" s="238" t="str">
        <f>_xlfn.XLOOKUP(B1249,'Relacion '!$E:$E,'Relacion '!$D:$D,"")</f>
        <v/>
      </c>
      <c r="E1249" s="239">
        <f t="shared" si="289"/>
        <v>0</v>
      </c>
      <c r="F1249" s="240" cm="1">
        <f t="array" ref="F1249">MIN(INDEX('Relacion '!$AF$5:$AG$493,MATCH(INDEX($B:$B, (ROW()-5)),'Relacion '!$E$5:$E$493,0),0))</f>
        <v>46073</v>
      </c>
      <c r="G1249" s="240" cm="1">
        <f t="array" ref="G1249">MAX(INDEX('Relacion '!$AF$5:$AG$493,MATCH(INDEX($B:$B, (ROW()-5)),'Relacion '!$E$5:$E$493,0),0))</f>
        <v>46073</v>
      </c>
      <c r="H1249" s="241" cm="1">
        <f t="array" ref="H1249">IF(
 MATCH(B1249,{"01. ASIGNACION AREA";"02. MAPEO";"03. DESARROLLO";"04. VALIDA US";"05. VOBO US";"06. BW-EJECUCION";"07. VALIDACIÓN BAJAWARE";"08. CERRADA"},0)
 &lt;
 MATCH(_xlfn.XLOOKUP(INDEX($B:$B, (ROW()-5)),'Relacion '!$E:$E,'Relacion '!$D:$D,""),{"01. ASIGNACION AREA";"02. MAPEO";"03. DESARROLLO";"04. VALIDA US";"05. VOBO US";"06. BW-EJECUCION";"07. VALIDACIÓN BAJAWARE";"08. CERRADA"},0),
 1,
 IF(
  MATCH(B1249,{"01. ASIGNACION AREA";"02. MAPEO";"03. DESARROLLO";"04. VALIDA US";"05. VOBO US";"06. BW-EJECUCION";"07. VALIDACIÓN BAJAWARE";"08. CERRADA"},0)
  =
  MATCH(_xlfn.XLOOKUP(INDEX($B:$B, (ROW()-5)),'Relacion '!$E:$E,'Relacion '!$D:$D,""),{"01. ASIGNACION AREA";"02. MAPEO";"03. DESARROLLO";"04. VALIDA US";"05. VOBO US";"06. BW-EJECUCION";"07. VALIDACIÓN BAJAWARE";"08. CERRADA"},0),
  _xlfn.XLOOKUP(INDEX($B:$B, (ROW()-5)),'Relacion '!$E:$E,'Relacion '!#REF!,0),
  0
 )
)</f>
        <v>1</v>
      </c>
      <c r="I1249" s="241">
        <f t="shared" ca="1" si="287"/>
        <v>1</v>
      </c>
      <c r="J1249" s="241"/>
      <c r="K1249" s="241"/>
      <c r="L1249" s="238"/>
    </row>
    <row r="1250" spans="2:12" outlineLevel="1">
      <c r="B1250" s="237" t="s">
        <v>710</v>
      </c>
      <c r="C1250" s="237" t="s">
        <v>710</v>
      </c>
      <c r="D1250" s="238" t="str">
        <f>_xlfn.XLOOKUP(B1250,'Relacion '!$E:$E,'Relacion '!$D:$D,"")</f>
        <v/>
      </c>
      <c r="E1250" s="239">
        <f t="shared" si="289"/>
        <v>25</v>
      </c>
      <c r="F1250" s="240" cm="1">
        <f t="array" ref="F1250">MIN(INDEX('Relacion '!$AH$5:$AI$493,MATCH(INDEX($B:$B, (ROW()-6)),'Relacion '!$E$5:$E$493,0),0))</f>
        <v>46076</v>
      </c>
      <c r="G1250" s="240" cm="1">
        <f t="array" ref="G1250">MAX(INDEX('Relacion '!$AH$5:$AI$493,MATCH(INDEX($B:$B, (ROW()-6)),'Relacion '!$E$5:$E$493,0),0))</f>
        <v>46101</v>
      </c>
      <c r="H1250" s="241" t="e" cm="1">
        <f t="array" ref="H1250">IF(
 MATCH(B1250,{"01. ASIGNACION AREA";"02. MAPEO";"03. DESARROLLO";"04. VALIDA US";"05. VOBO US";"06. BW-EJECUCION";"07. VALIDACIÓN BAJAWARE";"08. CERRADA"},0)
 &lt;
 MATCH(_xlfn.XLOOKUP(INDEX($B:$B, (ROW()-6)),'Relacion '!$E:$E,'Relacion '!$D:$D,""),{"01. ASIGNACION AREA";"02. MAPEO";"03. DESARROLLO";"04. VALIDA US";"05. VOBO US";"06. BW-EJECUCION";"07. VALIDACIÓN BAJAWARE";"08. CERRADA"},0),
 1,
 IF(
  MATCH(B1250,{"01. ASIGNACION AREA";"02. MAPEO";"03. DESARROLLO";"04. VALIDA US";"05. VOBO US";"06. BW-EJECUCION";"07. VALIDACIÓN BAJAWARE";"08. CERRADA"},0)
  =
  MATCH(_xlfn.XLOOKUP(INDEX($B:$B, (ROW()-6)),'Relacion '!$E:$E,'Relacion '!$D:$D,""),{"01. ASIGNACION AREA";"02. MAPEO";"03. DESARROLLO";"04. VALIDA US";"05. VOBO US";"06. BW-EJECUCION";"07. VALIDACIÓN BAJAWARE";"08. CERRADA"},0),
  _xlfn.XLOOKUP(INDEX($B:$B, (ROW()-6)),'Relacion '!$E:$E,'Relacion '!#REF!,0),
  0
 )
)</f>
        <v>#REF!</v>
      </c>
      <c r="I1250" s="241">
        <f t="shared" ca="1" si="287"/>
        <v>1</v>
      </c>
      <c r="J1250" s="241"/>
      <c r="K1250" s="241"/>
      <c r="L1250" s="238"/>
    </row>
    <row r="1251" spans="2:12" outlineLevel="1">
      <c r="B1251" s="237" t="s">
        <v>655</v>
      </c>
      <c r="C1251" s="237" t="s">
        <v>655</v>
      </c>
      <c r="D1251" s="238" t="str">
        <f>_xlfn.XLOOKUP(B1251,'Relacion '!$E:$E,'Relacion '!$D:$D,"")</f>
        <v/>
      </c>
      <c r="E1251" s="239">
        <f t="shared" si="289"/>
        <v>25</v>
      </c>
      <c r="F1251" s="240" cm="1">
        <f t="array" ref="F1251">MIN(INDEX('Relacion '!$AJ$5:$AK$493,MATCH(INDEX($B:$B, (ROW()-7)),'Relacion '!$E$5:$E$493,0),0))</f>
        <v>46104</v>
      </c>
      <c r="G1251" s="240" cm="1">
        <f t="array" ref="G1251">MAX(INDEX('Relacion '!$AJ$5:$AK$493,MATCH(INDEX($B:$B, (ROW()-7)),'Relacion '!$E$5:$E$493,0),0))</f>
        <v>46129</v>
      </c>
      <c r="H1251" s="241" cm="1">
        <f t="array" ref="H1251">IF(
 MATCH(B1251,{"01. ASIGNACION AREA";"02. MAPEO";"03. DESARROLLO";"04. VALIDA US";"05. VOBO US";"06. BW-EJECUCION";"07. VALIDACIÓN BAJAWARE";"08. CERRADA"},0)
 &lt;
 MATCH(_xlfn.XLOOKUP(INDEX($B:$B, (ROW()-7)),'Relacion '!$E:$E,'Relacion '!$D:$D,""),{"01. ASIGNACION AREA";"02. MAPEO";"03. DESARROLLO";"04. VALIDA US";"05. VOBO US";"06. BW-EJECUCION";"07. VALIDACIÓN BAJAWARE";"08. CERRADA"},0),
 1,
 IF(
  MATCH(B1251,{"01. ASIGNACION AREA";"02. MAPEO";"03. DESARROLLO";"04. VALIDA US";"05. VOBO US";"06. BW-EJECUCION";"07. VALIDACIÓN BAJAWARE";"08. CERRADA"},0)
  =
  MATCH(_xlfn.XLOOKUP(INDEX($B:$B, (ROW()-7)),'Relacion '!$E:$E,'Relacion '!$D:$D,""),{"01. ASIGNACION AREA";"02. MAPEO";"03. DESARROLLO";"04. VALIDA US";"05. VOBO US";"06. BW-EJECUCION";"07. VALIDACIÓN BAJAWARE";"08. CERRADA"},0),
  _xlfn.XLOOKUP(INDEX($B:$B, (ROW()-7)),'Relacion '!$E:$E,'Relacion '!#REF!,0),
  0
 )
)</f>
        <v>0</v>
      </c>
      <c r="I1251" s="241">
        <f t="shared" ca="1" si="287"/>
        <v>1</v>
      </c>
      <c r="J1251" s="241"/>
      <c r="K1251" s="241"/>
      <c r="L1251" s="238"/>
    </row>
    <row r="1252" spans="2:12" outlineLevel="1">
      <c r="B1252" s="237" t="s">
        <v>656</v>
      </c>
      <c r="C1252" s="237" t="s">
        <v>656</v>
      </c>
      <c r="D1252" s="238" t="str">
        <f>_xlfn.XLOOKUP(B1252,'Relacion '!$E:$E,'Relacion '!$D:$D,"")</f>
        <v/>
      </c>
      <c r="E1252" s="239">
        <f t="shared" si="289"/>
        <v>0</v>
      </c>
      <c r="F1252" s="240" cm="1">
        <f t="array" ref="F1252">MIN(INDEX('Relacion '!$AL$5:$AM$493,MATCH(INDEX($B:$B, (ROW()-8)),'Relacion '!$E$5:$E$493,0),0))</f>
        <v>46130</v>
      </c>
      <c r="G1252" s="240" cm="1">
        <f t="array" ref="G1252">MAX(INDEX('Relacion '!$AL$5:$AM$493,MATCH(INDEX($B:$B, (ROW()-8)),'Relacion '!$E$5:$E$493,0),0))</f>
        <v>46130</v>
      </c>
      <c r="H1252" s="241" cm="1">
        <f t="array" ref="H1252">IF(
 MATCH(B1252,{"01. ASIGNACION AREA";"02. MAPEO";"03. DESARROLLO";"04. VALIDA US";"05. VOBO US";"06. BW-EJECUCION";"07. VALIDACIÓN BAJAWARE";"08. CERRADA"},0)
 &lt;
 MATCH(_xlfn.XLOOKUP(INDEX($B:$B, (ROW()-8)),'Relacion '!$E:$E,'Relacion '!$D:$D,""),{"01. ASIGNACION AREA";"02. MAPEO";"03. DESARROLLO";"04. VALIDA US";"05. VOBO US";"06. BW-EJECUCION";"07. VALIDACIÓN BAJAWARE";"08. CERRADA"},0),
 1,
 IF(
  MATCH(B1252,{"01. ASIGNACION AREA";"02. MAPEO";"03. DESARROLLO";"04. VALIDA US";"05. VOBO US";"06. BW-EJECUCION";"07. VALIDACIÓN BAJAWARE";"08. CERRADA"},0)
  =
  MATCH(_xlfn.XLOOKUP(INDEX($B:$B, (ROW()-8)),'Relacion '!$E:$E,'Relacion '!$D:$D,""),{"01. ASIGNACION AREA";"02. MAPEO";"03. DESARROLLO";"04. VALIDA US";"05. VOBO US";"06. BW-EJECUCION";"07. VALIDACIÓN BAJAWARE";"08. CERRADA"},0),
  _xlfn.XLOOKUP(INDEX($B:$B, (ROW()-8)),'Relacion '!$E:$E,'Relacion '!#REF!,0),
  0
 )
)</f>
        <v>0</v>
      </c>
      <c r="I1252" s="241">
        <f t="shared" ca="1" si="287"/>
        <v>1</v>
      </c>
      <c r="J1252" s="241"/>
      <c r="K1252" s="241"/>
      <c r="L1252" s="238"/>
    </row>
    <row r="1253" spans="2:12">
      <c r="B1253" s="232" t="s">
        <v>564</v>
      </c>
      <c r="C1253" s="167" t="s">
        <v>417</v>
      </c>
      <c r="D1253" s="236" t="str">
        <f>_xlfn.XLOOKUP(B1253,'Relacion '!$E:$E,'Relacion '!$D:$D,"")</f>
        <v>06. BW-EJECUCION</v>
      </c>
      <c r="E1253" s="233">
        <f t="shared" si="289"/>
        <v>471</v>
      </c>
      <c r="F1253" s="234" cm="1">
        <f t="array" ref="F1253">MIN(INDEX('Relacion '!$X$5:$AM$493,MATCH(INDEX($B:$B, (ROW()-0)),'Relacion '!$E$5:$E$493,0),0))</f>
        <v>45659</v>
      </c>
      <c r="G1253" s="234" cm="1">
        <f t="array" ref="G1253">MAX(INDEX('Relacion '!$X$5:$AM$493,MATCH(INDEX($B:$B, (ROW()-0)),'Relacion '!$E$5:$E$493,0),0))</f>
        <v>46130</v>
      </c>
      <c r="H1253" s="235" t="e">
        <f>AVERAGE(H1254:H1261)</f>
        <v>#REF!</v>
      </c>
      <c r="I1253" s="235">
        <f t="shared" ref="I1253" ca="1" si="297">AVERAGE(I1254:I1261)</f>
        <v>1</v>
      </c>
      <c r="J1253" s="236" t="str">
        <f>IF(ISNUMBER(SEARCH("Rocha", _xlfn.XLOOKUP(B1253,'Relacion '!$E:$E,'Relacion '!$I:$I,""))), "Sí", "No")</f>
        <v>No</v>
      </c>
      <c r="K1253" s="236" t="str">
        <f>IF(ISNUMBER(SEARCH("Rocha", _xlfn.XLOOKUP(B1253,'Relacion '!$E:$E,'Relacion '!$I:$I,""))), "RMC", _xlfn.XLOOKUP(B1253,'Relacion '!$E:$E,'Relacion '!$B:$B,""))</f>
        <v>Producto</v>
      </c>
      <c r="L1253" s="236" t="str">
        <f>_xlfn.XLOOKUP(B1253,'Relacion '!$E:$E,'Relacion '!$C:$C,"")</f>
        <v>Claudia Barroso</v>
      </c>
    </row>
    <row r="1254" spans="2:12" outlineLevel="1">
      <c r="B1254" s="237" t="s">
        <v>654</v>
      </c>
      <c r="C1254" s="237" t="s">
        <v>654</v>
      </c>
      <c r="D1254" s="238" t="str">
        <f>_xlfn.XLOOKUP(B1254,'Relacion '!$E:$E,'Relacion '!$D:$D,"")</f>
        <v/>
      </c>
      <c r="E1254" s="239">
        <f t="shared" si="289"/>
        <v>424</v>
      </c>
      <c r="F1254" s="240" cm="1">
        <f t="array" ref="F1254">MIN(INDEX('Relacion '!$X$5:$Y$493,MATCH(INDEX($B:$B, (ROW()-1)),'Relacion '!$E$5:$E$493,0),0))</f>
        <v>45659</v>
      </c>
      <c r="G1254" s="240" cm="1">
        <f t="array" ref="G1254">MAX(INDEX('Relacion '!$X$5:$Y$493,MATCH(INDEX($B:$B, (ROW()-1)),'Relacion '!$E$5:$E$493,0),0))</f>
        <v>46083</v>
      </c>
      <c r="H1254" s="241" cm="1">
        <f t="array" ref="H1254">IF(
 MATCH(B1254,{"01. ASIGNACION AREA";"02. MAPEO";"03. DESARROLLO";"04. VALIDA US";"05. VOBO US";"06. BW-EJECUCION";"07. VALIDACIÓN BAJAWARE";"08. CERRADA"},0)
 &lt;
 MATCH(_xlfn.XLOOKUP(INDEX($B:$B, (ROW()-1)),'Relacion '!$E:$E,'Relacion '!$D:$D,""),{"01. ASIGNACION AREA";"02. MAPEO";"03. DESARROLLO";"04. VALIDA US";"05. VOBO US";"06. BW-EJECUCION";"07. VALIDACIÓN BAJAWARE";"08. CERRADA"},0),
 1,
 IF(
  MATCH(B1254,{"01. ASIGNACION AREA";"02. MAPEO";"03. DESARROLLO";"04. VALIDA US";"05. VOBO US";"06. BW-EJECUCION";"07. VALIDACIÓN BAJAWARE";"08. CERRADA"},0)
  =
  MATCH(_xlfn.XLOOKUP(INDEX($B:$B, (ROW()-1)),'Relacion '!$E:$E,'Relacion '!$D:$D,""),{"01. ASIGNACION AREA";"02. MAPEO";"03. DESARROLLO";"04. VALIDA US";"05. VOBO US";"06. BW-EJECUCION";"07. VALIDACIÓN BAJAWARE";"08. CERRADA"},0),
  _xlfn.XLOOKUP(INDEX($B:$B, (ROW()-1)),'Relacion '!$E:$E,'Relacion '!#REF!,0),
  0
 )
)</f>
        <v>1</v>
      </c>
      <c r="I1254" s="241">
        <f t="shared" ref="I1254" ca="1" si="298">IF(G1254&lt;=TODAY(), 1, 0)</f>
        <v>1</v>
      </c>
      <c r="J1254" s="241"/>
      <c r="K1254" s="241"/>
      <c r="L1254" s="238"/>
    </row>
    <row r="1255" spans="2:12" outlineLevel="1">
      <c r="B1255" s="237" t="s">
        <v>195</v>
      </c>
      <c r="C1255" s="237" t="s">
        <v>195</v>
      </c>
      <c r="D1255" s="238" t="str">
        <f>_xlfn.XLOOKUP(B1255,'Relacion '!$E:$E,'Relacion '!$D:$D,"")</f>
        <v/>
      </c>
      <c r="E1255" s="239">
        <f t="shared" si="289"/>
        <v>4</v>
      </c>
      <c r="F1255" s="240" cm="1">
        <f t="array" ref="F1255">MIN(INDEX('Relacion '!$Z$5:$AA$493,MATCH(INDEX($B:$B, (ROW()-2)),'Relacion '!$E$5:$E$493,0),0))</f>
        <v>46034</v>
      </c>
      <c r="G1255" s="240" cm="1">
        <f t="array" ref="G1255">MAX(INDEX('Relacion '!$Z$5:$AA$493,MATCH(INDEX($B:$B, (ROW()-2)),'Relacion '!$E$5:$E$493,0),0))</f>
        <v>46038</v>
      </c>
      <c r="H1255" s="241" cm="1">
        <f t="array" ref="H1255">IF(
 MATCH(B1255,{"01. ASIGNACION AREA";"02. MAPEO";"03. DESARROLLO";"04. VALIDA US";"05. VOBO US";"06. BW-EJECUCION";"07. VALIDACIÓN BAJAWARE";"08. CERRADA"},0)
 &lt;
 MATCH(_xlfn.XLOOKUP(INDEX($B:$B, (ROW()-2)),'Relacion '!$E:$E,'Relacion '!$D:$D,""),{"01. ASIGNACION AREA";"02. MAPEO";"03. DESARROLLO";"04. VALIDA US";"05. VOBO US";"06. BW-EJECUCION";"07. VALIDACIÓN BAJAWARE";"08. CERRADA"},0),
 1,
 IF(
  MATCH(B1255,{"01. ASIGNACION AREA";"02. MAPEO";"03. DESARROLLO";"04. VALIDA US";"05. VOBO US";"06. BW-EJECUCION";"07. VALIDACIÓN BAJAWARE";"08. CERRADA"},0)
  =
  MATCH(_xlfn.XLOOKUP(INDEX($B:$B, (ROW()-2)),'Relacion '!$E:$E,'Relacion '!$D:$D,""),{"01. ASIGNACION AREA";"02. MAPEO";"03. DESARROLLO";"04. VALIDA US";"05. VOBO US";"06. BW-EJECUCION";"07. VALIDACIÓN BAJAWARE";"08. CERRADA"},0),
  _xlfn.XLOOKUP(INDEX($B:$B, (ROW()-2)),'Relacion '!$E:$E,'Relacion '!#REF!,0),
  0
 )
)</f>
        <v>1</v>
      </c>
      <c r="I1255" s="241">
        <f t="shared" ca="1" si="287"/>
        <v>1</v>
      </c>
      <c r="J1255" s="241"/>
      <c r="K1255" s="241"/>
      <c r="L1255" s="238"/>
    </row>
    <row r="1256" spans="2:12" outlineLevel="1">
      <c r="B1256" s="237" t="s">
        <v>49</v>
      </c>
      <c r="C1256" s="237" t="s">
        <v>49</v>
      </c>
      <c r="D1256" s="238" t="str">
        <f>_xlfn.XLOOKUP(B1256,'Relacion '!$E:$E,'Relacion '!$D:$D,"")</f>
        <v/>
      </c>
      <c r="E1256" s="239">
        <f t="shared" si="289"/>
        <v>4</v>
      </c>
      <c r="F1256" s="240" cm="1">
        <f t="array" ref="F1256">MIN(INDEX('Relacion '!$AB$5:$AC$493,MATCH(INDEX($B:$B, (ROW()-3)),'Relacion '!$E$5:$E$493,0),0))</f>
        <v>46041</v>
      </c>
      <c r="G1256" s="240" cm="1">
        <f t="array" ref="G1256">MAX(INDEX('Relacion '!$AB$5:$AC$493,MATCH(INDEX($B:$B, (ROW()-3)),'Relacion '!$E$5:$E$493,0),0))</f>
        <v>46045</v>
      </c>
      <c r="H1256" s="241" cm="1">
        <f t="array" ref="H1256">IF(
 MATCH(B1256,{"01. ASIGNACION AREA";"02. MAPEO";"03. DESARROLLO";"04. VALIDA US";"05. VOBO US";"06. BW-EJECUCION";"07. VALIDACIÓN BAJAWARE";"08. CERRADA"},0)
 &lt;
 MATCH(_xlfn.XLOOKUP(INDEX($B:$B, (ROW()-3)),'Relacion '!$E:$E,'Relacion '!$D:$D,""),{"01. ASIGNACION AREA";"02. MAPEO";"03. DESARROLLO";"04. VALIDA US";"05. VOBO US";"06. BW-EJECUCION";"07. VALIDACIÓN BAJAWARE";"08. CERRADA"},0),
 1,
 IF(
  MATCH(B1256,{"01. ASIGNACION AREA";"02. MAPEO";"03. DESARROLLO";"04. VALIDA US";"05. VOBO US";"06. BW-EJECUCION";"07. VALIDACIÓN BAJAWARE";"08. CERRADA"},0)
  =
  MATCH(_xlfn.XLOOKUP(INDEX($B:$B, (ROW()-3)),'Relacion '!$E:$E,'Relacion '!$D:$D,""),{"01. ASIGNACION AREA";"02. MAPEO";"03. DESARROLLO";"04. VALIDA US";"05. VOBO US";"06. BW-EJECUCION";"07. VALIDACIÓN BAJAWARE";"08. CERRADA"},0),
  _xlfn.XLOOKUP(INDEX($B:$B, (ROW()-3)),'Relacion '!$E:$E,'Relacion '!#REF!,0),
  0
 )
)</f>
        <v>1</v>
      </c>
      <c r="I1256" s="241">
        <f t="shared" ca="1" si="287"/>
        <v>1</v>
      </c>
      <c r="J1256" s="241"/>
      <c r="K1256" s="241"/>
      <c r="L1256" s="238"/>
    </row>
    <row r="1257" spans="2:12" outlineLevel="1">
      <c r="B1257" s="237" t="s">
        <v>324</v>
      </c>
      <c r="C1257" s="237" t="s">
        <v>324</v>
      </c>
      <c r="D1257" s="238" t="str">
        <f>_xlfn.XLOOKUP(B1257,'Relacion '!$E:$E,'Relacion '!$D:$D,"")</f>
        <v/>
      </c>
      <c r="E1257" s="239">
        <f t="shared" si="289"/>
        <v>4</v>
      </c>
      <c r="F1257" s="240" cm="1">
        <f t="array" ref="F1257">MIN(INDEX('Relacion '!$AD$5:$AE$493,MATCH(INDEX($B:$B, (ROW()-4)),'Relacion '!$E$5:$E$493,0),0))</f>
        <v>46048</v>
      </c>
      <c r="G1257" s="240" cm="1">
        <f t="array" ref="G1257">MAX(INDEX('Relacion '!$AD$5:$AE$493,MATCH(INDEX($B:$B, (ROW()-4)),'Relacion '!$E$5:$E$493,0),0))</f>
        <v>46052</v>
      </c>
      <c r="H1257" s="241" cm="1">
        <f t="array" ref="H1257">IF(
 MATCH(B1257,{"01. ASIGNACION AREA";"02. MAPEO";"03. DESARROLLO";"04. VALIDA US";"05. VOBO US";"06. BW-EJECUCION";"07. VALIDACIÓN BAJAWARE";"08. CERRADA"},0)
 &lt;
 MATCH(_xlfn.XLOOKUP(INDEX($B:$B, (ROW()-4)),'Relacion '!$E:$E,'Relacion '!$D:$D,""),{"01. ASIGNACION AREA";"02. MAPEO";"03. DESARROLLO";"04. VALIDA US";"05. VOBO US";"06. BW-EJECUCION";"07. VALIDACIÓN BAJAWARE";"08. CERRADA"},0),
 1,
 IF(
  MATCH(B1257,{"01. ASIGNACION AREA";"02. MAPEO";"03. DESARROLLO";"04. VALIDA US";"05. VOBO US";"06. BW-EJECUCION";"07. VALIDACIÓN BAJAWARE";"08. CERRADA"},0)
  =
  MATCH(_xlfn.XLOOKUP(INDEX($B:$B, (ROW()-4)),'Relacion '!$E:$E,'Relacion '!$D:$D,""),{"01. ASIGNACION AREA";"02. MAPEO";"03. DESARROLLO";"04. VALIDA US";"05. VOBO US";"06. BW-EJECUCION";"07. VALIDACIÓN BAJAWARE";"08. CERRADA"},0),
  _xlfn.XLOOKUP(INDEX($B:$B, (ROW()-4)),'Relacion '!$E:$E,'Relacion '!#REF!,0),
  0
 )
)</f>
        <v>1</v>
      </c>
      <c r="I1257" s="241">
        <f t="shared" ca="1" si="287"/>
        <v>1</v>
      </c>
      <c r="J1257" s="241"/>
      <c r="K1257" s="241"/>
      <c r="L1257" s="238"/>
    </row>
    <row r="1258" spans="2:12" outlineLevel="1">
      <c r="B1258" s="237" t="s">
        <v>320</v>
      </c>
      <c r="C1258" s="237" t="s">
        <v>320</v>
      </c>
      <c r="D1258" s="238" t="str">
        <f>_xlfn.XLOOKUP(B1258,'Relacion '!$E:$E,'Relacion '!$D:$D,"")</f>
        <v/>
      </c>
      <c r="E1258" s="239">
        <f t="shared" si="289"/>
        <v>7</v>
      </c>
      <c r="F1258" s="240" cm="1">
        <f t="array" ref="F1258">MIN(INDEX('Relacion '!$AF$5:$AG$493,MATCH(INDEX($B:$B, (ROW()-5)),'Relacion '!$E$5:$E$493,0),0))</f>
        <v>46055</v>
      </c>
      <c r="G1258" s="240" cm="1">
        <f t="array" ref="G1258">MAX(INDEX('Relacion '!$AF$5:$AG$493,MATCH(INDEX($B:$B, (ROW()-5)),'Relacion '!$E$5:$E$493,0),0))</f>
        <v>46062</v>
      </c>
      <c r="H1258" s="241" cm="1">
        <f t="array" ref="H1258">IF(
 MATCH(B1258,{"01. ASIGNACION AREA";"02. MAPEO";"03. DESARROLLO";"04. VALIDA US";"05. VOBO US";"06. BW-EJECUCION";"07. VALIDACIÓN BAJAWARE";"08. CERRADA"},0)
 &lt;
 MATCH(_xlfn.XLOOKUP(INDEX($B:$B, (ROW()-5)),'Relacion '!$E:$E,'Relacion '!$D:$D,""),{"01. ASIGNACION AREA";"02. MAPEO";"03. DESARROLLO";"04. VALIDA US";"05. VOBO US";"06. BW-EJECUCION";"07. VALIDACIÓN BAJAWARE";"08. CERRADA"},0),
 1,
 IF(
  MATCH(B1258,{"01. ASIGNACION AREA";"02. MAPEO";"03. DESARROLLO";"04. VALIDA US";"05. VOBO US";"06. BW-EJECUCION";"07. VALIDACIÓN BAJAWARE";"08. CERRADA"},0)
  =
  MATCH(_xlfn.XLOOKUP(INDEX($B:$B, (ROW()-5)),'Relacion '!$E:$E,'Relacion '!$D:$D,""),{"01. ASIGNACION AREA";"02. MAPEO";"03. DESARROLLO";"04. VALIDA US";"05. VOBO US";"06. BW-EJECUCION";"07. VALIDACIÓN BAJAWARE";"08. CERRADA"},0),
  _xlfn.XLOOKUP(INDEX($B:$B, (ROW()-5)),'Relacion '!$E:$E,'Relacion '!#REF!,0),
  0
 )
)</f>
        <v>1</v>
      </c>
      <c r="I1258" s="241">
        <f t="shared" ca="1" si="287"/>
        <v>1</v>
      </c>
      <c r="J1258" s="241"/>
      <c r="K1258" s="241"/>
      <c r="L1258" s="238"/>
    </row>
    <row r="1259" spans="2:12" outlineLevel="1">
      <c r="B1259" s="237" t="s">
        <v>710</v>
      </c>
      <c r="C1259" s="237" t="s">
        <v>710</v>
      </c>
      <c r="D1259" s="238" t="str">
        <f>_xlfn.XLOOKUP(B1259,'Relacion '!$E:$E,'Relacion '!$D:$D,"")</f>
        <v/>
      </c>
      <c r="E1259" s="239">
        <f t="shared" si="289"/>
        <v>25</v>
      </c>
      <c r="F1259" s="240" cm="1">
        <f t="array" ref="F1259">MIN(INDEX('Relacion '!$AH$5:$AI$493,MATCH(INDEX($B:$B, (ROW()-6)),'Relacion '!$E$5:$E$493,0),0))</f>
        <v>46076</v>
      </c>
      <c r="G1259" s="240" cm="1">
        <f t="array" ref="G1259">MAX(INDEX('Relacion '!$AH$5:$AI$493,MATCH(INDEX($B:$B, (ROW()-6)),'Relacion '!$E$5:$E$493,0),0))</f>
        <v>46101</v>
      </c>
      <c r="H1259" s="241" t="e" cm="1">
        <f t="array" ref="H1259">IF(
 MATCH(B1259,{"01. ASIGNACION AREA";"02. MAPEO";"03. DESARROLLO";"04. VALIDA US";"05. VOBO US";"06. BW-EJECUCION";"07. VALIDACIÓN BAJAWARE";"08. CERRADA"},0)
 &lt;
 MATCH(_xlfn.XLOOKUP(INDEX($B:$B, (ROW()-6)),'Relacion '!$E:$E,'Relacion '!$D:$D,""),{"01. ASIGNACION AREA";"02. MAPEO";"03. DESARROLLO";"04. VALIDA US";"05. VOBO US";"06. BW-EJECUCION";"07. VALIDACIÓN BAJAWARE";"08. CERRADA"},0),
 1,
 IF(
  MATCH(B1259,{"01. ASIGNACION AREA";"02. MAPEO";"03. DESARROLLO";"04. VALIDA US";"05. VOBO US";"06. BW-EJECUCION";"07. VALIDACIÓN BAJAWARE";"08. CERRADA"},0)
  =
  MATCH(_xlfn.XLOOKUP(INDEX($B:$B, (ROW()-6)),'Relacion '!$E:$E,'Relacion '!$D:$D,""),{"01. ASIGNACION AREA";"02. MAPEO";"03. DESARROLLO";"04. VALIDA US";"05. VOBO US";"06. BW-EJECUCION";"07. VALIDACIÓN BAJAWARE";"08. CERRADA"},0),
  _xlfn.XLOOKUP(INDEX($B:$B, (ROW()-6)),'Relacion '!$E:$E,'Relacion '!#REF!,0),
  0
 )
)</f>
        <v>#REF!</v>
      </c>
      <c r="I1259" s="241">
        <f t="shared" ca="1" si="287"/>
        <v>1</v>
      </c>
      <c r="J1259" s="241"/>
      <c r="K1259" s="241"/>
      <c r="L1259" s="238"/>
    </row>
    <row r="1260" spans="2:12" outlineLevel="1">
      <c r="B1260" s="237" t="s">
        <v>655</v>
      </c>
      <c r="C1260" s="237" t="s">
        <v>655</v>
      </c>
      <c r="D1260" s="238" t="str">
        <f>_xlfn.XLOOKUP(B1260,'Relacion '!$E:$E,'Relacion '!$D:$D,"")</f>
        <v/>
      </c>
      <c r="E1260" s="239">
        <f t="shared" si="289"/>
        <v>25</v>
      </c>
      <c r="F1260" s="240" cm="1">
        <f t="array" ref="F1260">MIN(INDEX('Relacion '!$AJ$5:$AK$493,MATCH(INDEX($B:$B, (ROW()-7)),'Relacion '!$E$5:$E$493,0),0))</f>
        <v>46104</v>
      </c>
      <c r="G1260" s="240" cm="1">
        <f t="array" ref="G1260">MAX(INDEX('Relacion '!$AJ$5:$AK$493,MATCH(INDEX($B:$B, (ROW()-7)),'Relacion '!$E$5:$E$493,0),0))</f>
        <v>46129</v>
      </c>
      <c r="H1260" s="241" cm="1">
        <f t="array" ref="H1260">IF(
 MATCH(B1260,{"01. ASIGNACION AREA";"02. MAPEO";"03. DESARROLLO";"04. VALIDA US";"05. VOBO US";"06. BW-EJECUCION";"07. VALIDACIÓN BAJAWARE";"08. CERRADA"},0)
 &lt;
 MATCH(_xlfn.XLOOKUP(INDEX($B:$B, (ROW()-7)),'Relacion '!$E:$E,'Relacion '!$D:$D,""),{"01. ASIGNACION AREA";"02. MAPEO";"03. DESARROLLO";"04. VALIDA US";"05. VOBO US";"06. BW-EJECUCION";"07. VALIDACIÓN BAJAWARE";"08. CERRADA"},0),
 1,
 IF(
  MATCH(B1260,{"01. ASIGNACION AREA";"02. MAPEO";"03. DESARROLLO";"04. VALIDA US";"05. VOBO US";"06. BW-EJECUCION";"07. VALIDACIÓN BAJAWARE";"08. CERRADA"},0)
  =
  MATCH(_xlfn.XLOOKUP(INDEX($B:$B, (ROW()-7)),'Relacion '!$E:$E,'Relacion '!$D:$D,""),{"01. ASIGNACION AREA";"02. MAPEO";"03. DESARROLLO";"04. VALIDA US";"05. VOBO US";"06. BW-EJECUCION";"07. VALIDACIÓN BAJAWARE";"08. CERRADA"},0),
  _xlfn.XLOOKUP(INDEX($B:$B, (ROW()-7)),'Relacion '!$E:$E,'Relacion '!#REF!,0),
  0
 )
)</f>
        <v>0</v>
      </c>
      <c r="I1260" s="241">
        <f t="shared" ca="1" si="287"/>
        <v>1</v>
      </c>
      <c r="J1260" s="241"/>
      <c r="K1260" s="241"/>
      <c r="L1260" s="238"/>
    </row>
    <row r="1261" spans="2:12" outlineLevel="1">
      <c r="B1261" s="237" t="s">
        <v>656</v>
      </c>
      <c r="C1261" s="237" t="s">
        <v>656</v>
      </c>
      <c r="D1261" s="238" t="str">
        <f>_xlfn.XLOOKUP(B1261,'Relacion '!$E:$E,'Relacion '!$D:$D,"")</f>
        <v/>
      </c>
      <c r="E1261" s="239">
        <f t="shared" si="289"/>
        <v>0</v>
      </c>
      <c r="F1261" s="240" cm="1">
        <f t="array" ref="F1261">MIN(INDEX('Relacion '!$AL$5:$AM$493,MATCH(INDEX($B:$B, (ROW()-8)),'Relacion '!$E$5:$E$493,0),0))</f>
        <v>46130</v>
      </c>
      <c r="G1261" s="240" cm="1">
        <f t="array" ref="G1261">MAX(INDEX('Relacion '!$AL$5:$AM$493,MATCH(INDEX($B:$B, (ROW()-8)),'Relacion '!$E$5:$E$493,0),0))</f>
        <v>46130</v>
      </c>
      <c r="H1261" s="241" cm="1">
        <f t="array" ref="H1261">IF(
 MATCH(B1261,{"01. ASIGNACION AREA";"02. MAPEO";"03. DESARROLLO";"04. VALIDA US";"05. VOBO US";"06. BW-EJECUCION";"07. VALIDACIÓN BAJAWARE";"08. CERRADA"},0)
 &lt;
 MATCH(_xlfn.XLOOKUP(INDEX($B:$B, (ROW()-8)),'Relacion '!$E:$E,'Relacion '!$D:$D,""),{"01. ASIGNACION AREA";"02. MAPEO";"03. DESARROLLO";"04. VALIDA US";"05. VOBO US";"06. BW-EJECUCION";"07. VALIDACIÓN BAJAWARE";"08. CERRADA"},0),
 1,
 IF(
  MATCH(B1261,{"01. ASIGNACION AREA";"02. MAPEO";"03. DESARROLLO";"04. VALIDA US";"05. VOBO US";"06. BW-EJECUCION";"07. VALIDACIÓN BAJAWARE";"08. CERRADA"},0)
  =
  MATCH(_xlfn.XLOOKUP(INDEX($B:$B, (ROW()-8)),'Relacion '!$E:$E,'Relacion '!$D:$D,""),{"01. ASIGNACION AREA";"02. MAPEO";"03. DESARROLLO";"04. VALIDA US";"05. VOBO US";"06. BW-EJECUCION";"07. VALIDACIÓN BAJAWARE";"08. CERRADA"},0),
  _xlfn.XLOOKUP(INDEX($B:$B, (ROW()-8)),'Relacion '!$E:$E,'Relacion '!#REF!,0),
  0
 )
)</f>
        <v>0</v>
      </c>
      <c r="I1261" s="241">
        <f t="shared" ca="1" si="287"/>
        <v>1</v>
      </c>
      <c r="J1261" s="241"/>
      <c r="K1261" s="241"/>
      <c r="L1261" s="238"/>
    </row>
    <row r="1262" spans="2:12" ht="30">
      <c r="B1262" s="232" t="s">
        <v>565</v>
      </c>
      <c r="C1262" s="167" t="s">
        <v>508</v>
      </c>
      <c r="D1262" s="236" t="str">
        <f>_xlfn.XLOOKUP(B1262,'Relacion '!$E:$E,'Relacion '!$D:$D,"")</f>
        <v>06. BW-EJECUCION</v>
      </c>
      <c r="E1262" s="233">
        <f t="shared" si="289"/>
        <v>99</v>
      </c>
      <c r="F1262" s="234" cm="1">
        <f t="array" ref="F1262">MIN(INDEX('Relacion '!$X$5:$AM$493,MATCH(INDEX($B:$B, (ROW()-0)),'Relacion '!$E$5:$E$493,0),0))</f>
        <v>46024</v>
      </c>
      <c r="G1262" s="234" cm="1">
        <f t="array" ref="G1262">MAX(INDEX('Relacion '!$X$5:$AM$493,MATCH(INDEX($B:$B, (ROW()-0)),'Relacion '!$E$5:$E$493,0),0))</f>
        <v>46123</v>
      </c>
      <c r="H1262" s="235" t="e">
        <f>AVERAGE(H1263:H1270)</f>
        <v>#REF!</v>
      </c>
      <c r="I1262" s="235">
        <f t="shared" ref="I1262" ca="1" si="299">AVERAGE(I1263:I1270)</f>
        <v>1</v>
      </c>
      <c r="J1262" s="236" t="str">
        <f>IF(ISNUMBER(SEARCH("Rocha", _xlfn.XLOOKUP(B1262,'Relacion '!$E:$E,'Relacion '!$I:$I,""))), "Sí", "No")</f>
        <v>No</v>
      </c>
      <c r="K1262" s="236" t="str">
        <f>IF(ISNUMBER(SEARCH("Rocha", _xlfn.XLOOKUP(B1262,'Relacion '!$E:$E,'Relacion '!$I:$I,""))), "RMC", _xlfn.XLOOKUP(B1262,'Relacion '!$E:$E,'Relacion '!$B:$B,""))</f>
        <v>Riesgos</v>
      </c>
      <c r="L1262" s="236" t="str">
        <f>_xlfn.XLOOKUP(B1262,'Relacion '!$E:$E,'Relacion '!$C:$C,"")</f>
        <v>Homero Sanchez</v>
      </c>
    </row>
    <row r="1263" spans="2:12" outlineLevel="1">
      <c r="B1263" s="237" t="s">
        <v>654</v>
      </c>
      <c r="C1263" s="237" t="s">
        <v>654</v>
      </c>
      <c r="D1263" s="238" t="str">
        <f>_xlfn.XLOOKUP(B1263,'Relacion '!$E:$E,'Relacion '!$D:$D,"")</f>
        <v/>
      </c>
      <c r="E1263" s="239">
        <f t="shared" si="289"/>
        <v>59</v>
      </c>
      <c r="F1263" s="240" cm="1">
        <f t="array" ref="F1263">MIN(INDEX('Relacion '!$X$5:$Y$493,MATCH(INDEX($B:$B, (ROW()-1)),'Relacion '!$E$5:$E$493,0),0))</f>
        <v>46024</v>
      </c>
      <c r="G1263" s="240" cm="1">
        <f t="array" ref="G1263">MAX(INDEX('Relacion '!$X$5:$Y$493,MATCH(INDEX($B:$B, (ROW()-1)),'Relacion '!$E$5:$E$493,0),0))</f>
        <v>46083</v>
      </c>
      <c r="H1263" s="241" cm="1">
        <f t="array" ref="H1263">IF(
 MATCH(B1263,{"01. ASIGNACION AREA";"02. MAPEO";"03. DESARROLLO";"04. VALIDA US";"05. VOBO US";"06. BW-EJECUCION";"07. VALIDACIÓN BAJAWARE";"08. CERRADA"},0)
 &lt;
 MATCH(_xlfn.XLOOKUP(INDEX($B:$B, (ROW()-1)),'Relacion '!$E:$E,'Relacion '!$D:$D,""),{"01. ASIGNACION AREA";"02. MAPEO";"03. DESARROLLO";"04. VALIDA US";"05. VOBO US";"06. BW-EJECUCION";"07. VALIDACIÓN BAJAWARE";"08. CERRADA"},0),
 1,
 IF(
  MATCH(B1263,{"01. ASIGNACION AREA";"02. MAPEO";"03. DESARROLLO";"04. VALIDA US";"05. VOBO US";"06. BW-EJECUCION";"07. VALIDACIÓN BAJAWARE";"08. CERRADA"},0)
  =
  MATCH(_xlfn.XLOOKUP(INDEX($B:$B, (ROW()-1)),'Relacion '!$E:$E,'Relacion '!$D:$D,""),{"01. ASIGNACION AREA";"02. MAPEO";"03. DESARROLLO";"04. VALIDA US";"05. VOBO US";"06. BW-EJECUCION";"07. VALIDACIÓN BAJAWARE";"08. CERRADA"},0),
  _xlfn.XLOOKUP(INDEX($B:$B, (ROW()-1)),'Relacion '!$E:$E,'Relacion '!#REF!,0),
  0
 )
)</f>
        <v>1</v>
      </c>
      <c r="I1263" s="241">
        <f t="shared" ref="I1263" ca="1" si="300">IF(G1263&lt;=TODAY(), 1, 0)</f>
        <v>1</v>
      </c>
      <c r="J1263" s="241"/>
      <c r="K1263" s="241"/>
      <c r="L1263" s="238"/>
    </row>
    <row r="1264" spans="2:12" outlineLevel="1">
      <c r="B1264" s="237" t="s">
        <v>195</v>
      </c>
      <c r="C1264" s="237" t="s">
        <v>195</v>
      </c>
      <c r="D1264" s="238" t="str">
        <f>_xlfn.XLOOKUP(B1264,'Relacion '!$E:$E,'Relacion '!$D:$D,"")</f>
        <v/>
      </c>
      <c r="E1264" s="239">
        <f t="shared" si="289"/>
        <v>4</v>
      </c>
      <c r="F1264" s="240" cm="1">
        <f t="array" ref="F1264">MIN(INDEX('Relacion '!$Z$5:$AA$493,MATCH(INDEX($B:$B, (ROW()-2)),'Relacion '!$E$5:$E$493,0),0))</f>
        <v>46041</v>
      </c>
      <c r="G1264" s="240" cm="1">
        <f t="array" ref="G1264">MAX(INDEX('Relacion '!$Z$5:$AA$493,MATCH(INDEX($B:$B, (ROW()-2)),'Relacion '!$E$5:$E$493,0),0))</f>
        <v>46045</v>
      </c>
      <c r="H1264" s="241" cm="1">
        <f t="array" ref="H1264">IF(
 MATCH(B1264,{"01. ASIGNACION AREA";"02. MAPEO";"03. DESARROLLO";"04. VALIDA US";"05. VOBO US";"06. BW-EJECUCION";"07. VALIDACIÓN BAJAWARE";"08. CERRADA"},0)
 &lt;
 MATCH(_xlfn.XLOOKUP(INDEX($B:$B, (ROW()-2)),'Relacion '!$E:$E,'Relacion '!$D:$D,""),{"01. ASIGNACION AREA";"02. MAPEO";"03. DESARROLLO";"04. VALIDA US";"05. VOBO US";"06. BW-EJECUCION";"07. VALIDACIÓN BAJAWARE";"08. CERRADA"},0),
 1,
 IF(
  MATCH(B1264,{"01. ASIGNACION AREA";"02. MAPEO";"03. DESARROLLO";"04. VALIDA US";"05. VOBO US";"06. BW-EJECUCION";"07. VALIDACIÓN BAJAWARE";"08. CERRADA"},0)
  =
  MATCH(_xlfn.XLOOKUP(INDEX($B:$B, (ROW()-2)),'Relacion '!$E:$E,'Relacion '!$D:$D,""),{"01. ASIGNACION AREA";"02. MAPEO";"03. DESARROLLO";"04. VALIDA US";"05. VOBO US";"06. BW-EJECUCION";"07. VALIDACIÓN BAJAWARE";"08. CERRADA"},0),
  _xlfn.XLOOKUP(INDEX($B:$B, (ROW()-2)),'Relacion '!$E:$E,'Relacion '!#REF!,0),
  0
 )
)</f>
        <v>1</v>
      </c>
      <c r="I1264" s="241">
        <f t="shared" ca="1" si="287"/>
        <v>1</v>
      </c>
      <c r="J1264" s="241"/>
      <c r="K1264" s="241"/>
      <c r="L1264" s="238"/>
    </row>
    <row r="1265" spans="2:12" outlineLevel="1">
      <c r="B1265" s="237" t="s">
        <v>49</v>
      </c>
      <c r="C1265" s="237" t="s">
        <v>49</v>
      </c>
      <c r="D1265" s="238" t="str">
        <f>_xlfn.XLOOKUP(B1265,'Relacion '!$E:$E,'Relacion '!$D:$D,"")</f>
        <v/>
      </c>
      <c r="E1265" s="239">
        <f t="shared" si="289"/>
        <v>4</v>
      </c>
      <c r="F1265" s="240" cm="1">
        <f t="array" ref="F1265">MIN(INDEX('Relacion '!$AB$5:$AC$493,MATCH(INDEX($B:$B, (ROW()-3)),'Relacion '!$E$5:$E$493,0),0))</f>
        <v>46048</v>
      </c>
      <c r="G1265" s="240" cm="1">
        <f t="array" ref="G1265">MAX(INDEX('Relacion '!$AB$5:$AC$493,MATCH(INDEX($B:$B, (ROW()-3)),'Relacion '!$E$5:$E$493,0),0))</f>
        <v>46052</v>
      </c>
      <c r="H1265" s="241" cm="1">
        <f t="array" ref="H1265">IF(
 MATCH(B1265,{"01. ASIGNACION AREA";"02. MAPEO";"03. DESARROLLO";"04. VALIDA US";"05. VOBO US";"06. BW-EJECUCION";"07. VALIDACIÓN BAJAWARE";"08. CERRADA"},0)
 &lt;
 MATCH(_xlfn.XLOOKUP(INDEX($B:$B, (ROW()-3)),'Relacion '!$E:$E,'Relacion '!$D:$D,""),{"01. ASIGNACION AREA";"02. MAPEO";"03. DESARROLLO";"04. VALIDA US";"05. VOBO US";"06. BW-EJECUCION";"07. VALIDACIÓN BAJAWARE";"08. CERRADA"},0),
 1,
 IF(
  MATCH(B1265,{"01. ASIGNACION AREA";"02. MAPEO";"03. DESARROLLO";"04. VALIDA US";"05. VOBO US";"06. BW-EJECUCION";"07. VALIDACIÓN BAJAWARE";"08. CERRADA"},0)
  =
  MATCH(_xlfn.XLOOKUP(INDEX($B:$B, (ROW()-3)),'Relacion '!$E:$E,'Relacion '!$D:$D,""),{"01. ASIGNACION AREA";"02. MAPEO";"03. DESARROLLO";"04. VALIDA US";"05. VOBO US";"06. BW-EJECUCION";"07. VALIDACIÓN BAJAWARE";"08. CERRADA"},0),
  _xlfn.XLOOKUP(INDEX($B:$B, (ROW()-3)),'Relacion '!$E:$E,'Relacion '!#REF!,0),
  0
 )
)</f>
        <v>1</v>
      </c>
      <c r="I1265" s="241">
        <f t="shared" ca="1" si="287"/>
        <v>1</v>
      </c>
      <c r="J1265" s="241"/>
      <c r="K1265" s="241"/>
      <c r="L1265" s="238"/>
    </row>
    <row r="1266" spans="2:12" outlineLevel="1">
      <c r="B1266" s="237" t="s">
        <v>324</v>
      </c>
      <c r="C1266" s="237" t="s">
        <v>324</v>
      </c>
      <c r="D1266" s="238" t="str">
        <f>_xlfn.XLOOKUP(B1266,'Relacion '!$E:$E,'Relacion '!$D:$D,"")</f>
        <v/>
      </c>
      <c r="E1266" s="239">
        <f t="shared" si="289"/>
        <v>11</v>
      </c>
      <c r="F1266" s="240" cm="1">
        <f t="array" ref="F1266">MIN(INDEX('Relacion '!$AD$5:$AE$493,MATCH(INDEX($B:$B, (ROW()-4)),'Relacion '!$E$5:$E$493,0),0))</f>
        <v>46055</v>
      </c>
      <c r="G1266" s="240" cm="1">
        <f t="array" ref="G1266">MAX(INDEX('Relacion '!$AD$5:$AE$493,MATCH(INDEX($B:$B, (ROW()-4)),'Relacion '!$E$5:$E$493,0),0))</f>
        <v>46066</v>
      </c>
      <c r="H1266" s="241" cm="1">
        <f t="array" ref="H1266">IF(
 MATCH(B1266,{"01. ASIGNACION AREA";"02. MAPEO";"03. DESARROLLO";"04. VALIDA US";"05. VOBO US";"06. BW-EJECUCION";"07. VALIDACIÓN BAJAWARE";"08. CERRADA"},0)
 &lt;
 MATCH(_xlfn.XLOOKUP(INDEX($B:$B, (ROW()-4)),'Relacion '!$E:$E,'Relacion '!$D:$D,""),{"01. ASIGNACION AREA";"02. MAPEO";"03. DESARROLLO";"04. VALIDA US";"05. VOBO US";"06. BW-EJECUCION";"07. VALIDACIÓN BAJAWARE";"08. CERRADA"},0),
 1,
 IF(
  MATCH(B1266,{"01. ASIGNACION AREA";"02. MAPEO";"03. DESARROLLO";"04. VALIDA US";"05. VOBO US";"06. BW-EJECUCION";"07. VALIDACIÓN BAJAWARE";"08. CERRADA"},0)
  =
  MATCH(_xlfn.XLOOKUP(INDEX($B:$B, (ROW()-4)),'Relacion '!$E:$E,'Relacion '!$D:$D,""),{"01. ASIGNACION AREA";"02. MAPEO";"03. DESARROLLO";"04. VALIDA US";"05. VOBO US";"06. BW-EJECUCION";"07. VALIDACIÓN BAJAWARE";"08. CERRADA"},0),
  _xlfn.XLOOKUP(INDEX($B:$B, (ROW()-4)),'Relacion '!$E:$E,'Relacion '!#REF!,0),
  0
 )
)</f>
        <v>1</v>
      </c>
      <c r="I1266" s="241">
        <f t="shared" ca="1" si="287"/>
        <v>1</v>
      </c>
      <c r="J1266" s="241"/>
      <c r="K1266" s="241"/>
      <c r="L1266" s="238"/>
    </row>
    <row r="1267" spans="2:12" outlineLevel="1">
      <c r="B1267" s="237" t="s">
        <v>320</v>
      </c>
      <c r="C1267" s="237" t="s">
        <v>320</v>
      </c>
      <c r="D1267" s="238" t="str">
        <f>_xlfn.XLOOKUP(B1267,'Relacion '!$E:$E,'Relacion '!$D:$D,"")</f>
        <v/>
      </c>
      <c r="E1267" s="239">
        <f t="shared" si="289"/>
        <v>4</v>
      </c>
      <c r="F1267" s="240" cm="1">
        <f t="array" ref="F1267">MIN(INDEX('Relacion '!$AF$5:$AG$493,MATCH(INDEX($B:$B, (ROW()-5)),'Relacion '!$E$5:$E$493,0),0))</f>
        <v>46069</v>
      </c>
      <c r="G1267" s="240" cm="1">
        <f t="array" ref="G1267">MAX(INDEX('Relacion '!$AF$5:$AG$493,MATCH(INDEX($B:$B, (ROW()-5)),'Relacion '!$E$5:$E$493,0),0))</f>
        <v>46073</v>
      </c>
      <c r="H1267" s="241" cm="1">
        <f t="array" ref="H1267">IF(
 MATCH(B1267,{"01. ASIGNACION AREA";"02. MAPEO";"03. DESARROLLO";"04. VALIDA US";"05. VOBO US";"06. BW-EJECUCION";"07. VALIDACIÓN BAJAWARE";"08. CERRADA"},0)
 &lt;
 MATCH(_xlfn.XLOOKUP(INDEX($B:$B, (ROW()-5)),'Relacion '!$E:$E,'Relacion '!$D:$D,""),{"01. ASIGNACION AREA";"02. MAPEO";"03. DESARROLLO";"04. VALIDA US";"05. VOBO US";"06. BW-EJECUCION";"07. VALIDACIÓN BAJAWARE";"08. CERRADA"},0),
 1,
 IF(
  MATCH(B1267,{"01. ASIGNACION AREA";"02. MAPEO";"03. DESARROLLO";"04. VALIDA US";"05. VOBO US";"06. BW-EJECUCION";"07. VALIDACIÓN BAJAWARE";"08. CERRADA"},0)
  =
  MATCH(_xlfn.XLOOKUP(INDEX($B:$B, (ROW()-5)),'Relacion '!$E:$E,'Relacion '!$D:$D,""),{"01. ASIGNACION AREA";"02. MAPEO";"03. DESARROLLO";"04. VALIDA US";"05. VOBO US";"06. BW-EJECUCION";"07. VALIDACIÓN BAJAWARE";"08. CERRADA"},0),
  _xlfn.XLOOKUP(INDEX($B:$B, (ROW()-5)),'Relacion '!$E:$E,'Relacion '!#REF!,0),
  0
 )
)</f>
        <v>1</v>
      </c>
      <c r="I1267" s="241">
        <f t="shared" ca="1" si="287"/>
        <v>1</v>
      </c>
      <c r="J1267" s="241"/>
      <c r="K1267" s="241"/>
      <c r="L1267" s="238"/>
    </row>
    <row r="1268" spans="2:12" outlineLevel="1">
      <c r="B1268" s="237" t="s">
        <v>710</v>
      </c>
      <c r="C1268" s="237" t="s">
        <v>710</v>
      </c>
      <c r="D1268" s="238" t="str">
        <f>_xlfn.XLOOKUP(B1268,'Relacion '!$E:$E,'Relacion '!$D:$D,"")</f>
        <v/>
      </c>
      <c r="E1268" s="239">
        <f t="shared" si="289"/>
        <v>18</v>
      </c>
      <c r="F1268" s="240" cm="1">
        <f t="array" ref="F1268">MIN(INDEX('Relacion '!$AH$5:$AI$493,MATCH(INDEX($B:$B, (ROW()-6)),'Relacion '!$E$5:$E$493,0),0))</f>
        <v>46083</v>
      </c>
      <c r="G1268" s="240" cm="1">
        <f t="array" ref="G1268">MAX(INDEX('Relacion '!$AH$5:$AI$493,MATCH(INDEX($B:$B, (ROW()-6)),'Relacion '!$E$5:$E$493,0),0))</f>
        <v>46101</v>
      </c>
      <c r="H1268" s="241" t="e" cm="1">
        <f t="array" ref="H1268">IF(
 MATCH(B1268,{"01. ASIGNACION AREA";"02. MAPEO";"03. DESARROLLO";"04. VALIDA US";"05. VOBO US";"06. BW-EJECUCION";"07. VALIDACIÓN BAJAWARE";"08. CERRADA"},0)
 &lt;
 MATCH(_xlfn.XLOOKUP(INDEX($B:$B, (ROW()-6)),'Relacion '!$E:$E,'Relacion '!$D:$D,""),{"01. ASIGNACION AREA";"02. MAPEO";"03. DESARROLLO";"04. VALIDA US";"05. VOBO US";"06. BW-EJECUCION";"07. VALIDACIÓN BAJAWARE";"08. CERRADA"},0),
 1,
 IF(
  MATCH(B1268,{"01. ASIGNACION AREA";"02. MAPEO";"03. DESARROLLO";"04. VALIDA US";"05. VOBO US";"06. BW-EJECUCION";"07. VALIDACIÓN BAJAWARE";"08. CERRADA"},0)
  =
  MATCH(_xlfn.XLOOKUP(INDEX($B:$B, (ROW()-6)),'Relacion '!$E:$E,'Relacion '!$D:$D,""),{"01. ASIGNACION AREA";"02. MAPEO";"03. DESARROLLO";"04. VALIDA US";"05. VOBO US";"06. BW-EJECUCION";"07. VALIDACIÓN BAJAWARE";"08. CERRADA"},0),
  _xlfn.XLOOKUP(INDEX($B:$B, (ROW()-6)),'Relacion '!$E:$E,'Relacion '!#REF!,0),
  0
 )
)</f>
        <v>#REF!</v>
      </c>
      <c r="I1268" s="241">
        <f t="shared" ca="1" si="287"/>
        <v>1</v>
      </c>
      <c r="J1268" s="241"/>
      <c r="K1268" s="241"/>
      <c r="L1268" s="238"/>
    </row>
    <row r="1269" spans="2:12" outlineLevel="1">
      <c r="B1269" s="237" t="s">
        <v>655</v>
      </c>
      <c r="C1269" s="237" t="s">
        <v>655</v>
      </c>
      <c r="D1269" s="238" t="str">
        <f>_xlfn.XLOOKUP(B1269,'Relacion '!$E:$E,'Relacion '!$D:$D,"")</f>
        <v/>
      </c>
      <c r="E1269" s="239">
        <f t="shared" si="289"/>
        <v>18</v>
      </c>
      <c r="F1269" s="240" cm="1">
        <f t="array" ref="F1269">MIN(INDEX('Relacion '!$AJ$5:$AK$493,MATCH(INDEX($B:$B, (ROW()-7)),'Relacion '!$E$5:$E$493,0),0))</f>
        <v>46104</v>
      </c>
      <c r="G1269" s="240" cm="1">
        <f t="array" ref="G1269">MAX(INDEX('Relacion '!$AJ$5:$AK$493,MATCH(INDEX($B:$B, (ROW()-7)),'Relacion '!$E$5:$E$493,0),0))</f>
        <v>46122</v>
      </c>
      <c r="H1269" s="241" cm="1">
        <f t="array" ref="H1269">IF(
 MATCH(B1269,{"01. ASIGNACION AREA";"02. MAPEO";"03. DESARROLLO";"04. VALIDA US";"05. VOBO US";"06. BW-EJECUCION";"07. VALIDACIÓN BAJAWARE";"08. CERRADA"},0)
 &lt;
 MATCH(_xlfn.XLOOKUP(INDEX($B:$B, (ROW()-7)),'Relacion '!$E:$E,'Relacion '!$D:$D,""),{"01. ASIGNACION AREA";"02. MAPEO";"03. DESARROLLO";"04. VALIDA US";"05. VOBO US";"06. BW-EJECUCION";"07. VALIDACIÓN BAJAWARE";"08. CERRADA"},0),
 1,
 IF(
  MATCH(B1269,{"01. ASIGNACION AREA";"02. MAPEO";"03. DESARROLLO";"04. VALIDA US";"05. VOBO US";"06. BW-EJECUCION";"07. VALIDACIÓN BAJAWARE";"08. CERRADA"},0)
  =
  MATCH(_xlfn.XLOOKUP(INDEX($B:$B, (ROW()-7)),'Relacion '!$E:$E,'Relacion '!$D:$D,""),{"01. ASIGNACION AREA";"02. MAPEO";"03. DESARROLLO";"04. VALIDA US";"05. VOBO US";"06. BW-EJECUCION";"07. VALIDACIÓN BAJAWARE";"08. CERRADA"},0),
  _xlfn.XLOOKUP(INDEX($B:$B, (ROW()-7)),'Relacion '!$E:$E,'Relacion '!#REF!,0),
  0
 )
)</f>
        <v>0</v>
      </c>
      <c r="I1269" s="241">
        <f t="shared" ca="1" si="287"/>
        <v>1</v>
      </c>
      <c r="J1269" s="241"/>
      <c r="K1269" s="241"/>
      <c r="L1269" s="238"/>
    </row>
    <row r="1270" spans="2:12" outlineLevel="1">
      <c r="B1270" s="237" t="s">
        <v>656</v>
      </c>
      <c r="C1270" s="237" t="s">
        <v>656</v>
      </c>
      <c r="D1270" s="238" t="str">
        <f>_xlfn.XLOOKUP(B1270,'Relacion '!$E:$E,'Relacion '!$D:$D,"")</f>
        <v/>
      </c>
      <c r="E1270" s="239">
        <f t="shared" si="289"/>
        <v>0</v>
      </c>
      <c r="F1270" s="240" cm="1">
        <f t="array" ref="F1270">MIN(INDEX('Relacion '!$AL$5:$AM$493,MATCH(INDEX($B:$B, (ROW()-8)),'Relacion '!$E$5:$E$493,0),0))</f>
        <v>46123</v>
      </c>
      <c r="G1270" s="240" cm="1">
        <f t="array" ref="G1270">MAX(INDEX('Relacion '!$AL$5:$AM$493,MATCH(INDEX($B:$B, (ROW()-8)),'Relacion '!$E$5:$E$493,0),0))</f>
        <v>46123</v>
      </c>
      <c r="H1270" s="241" cm="1">
        <f t="array" ref="H1270">IF(
 MATCH(B1270,{"01. ASIGNACION AREA";"02. MAPEO";"03. DESARROLLO";"04. VALIDA US";"05. VOBO US";"06. BW-EJECUCION";"07. VALIDACIÓN BAJAWARE";"08. CERRADA"},0)
 &lt;
 MATCH(_xlfn.XLOOKUP(INDEX($B:$B, (ROW()-8)),'Relacion '!$E:$E,'Relacion '!$D:$D,""),{"01. ASIGNACION AREA";"02. MAPEO";"03. DESARROLLO";"04. VALIDA US";"05. VOBO US";"06. BW-EJECUCION";"07. VALIDACIÓN BAJAWARE";"08. CERRADA"},0),
 1,
 IF(
  MATCH(B1270,{"01. ASIGNACION AREA";"02. MAPEO";"03. DESARROLLO";"04. VALIDA US";"05. VOBO US";"06. BW-EJECUCION";"07. VALIDACIÓN BAJAWARE";"08. CERRADA"},0)
  =
  MATCH(_xlfn.XLOOKUP(INDEX($B:$B, (ROW()-8)),'Relacion '!$E:$E,'Relacion '!$D:$D,""),{"01. ASIGNACION AREA";"02. MAPEO";"03. DESARROLLO";"04. VALIDA US";"05. VOBO US";"06. BW-EJECUCION";"07. VALIDACIÓN BAJAWARE";"08. CERRADA"},0),
  _xlfn.XLOOKUP(INDEX($B:$B, (ROW()-8)),'Relacion '!$E:$E,'Relacion '!#REF!,0),
  0
 )
)</f>
        <v>0</v>
      </c>
      <c r="I1270" s="241">
        <f t="shared" ca="1" si="287"/>
        <v>1</v>
      </c>
      <c r="J1270" s="241"/>
      <c r="K1270" s="241"/>
      <c r="L1270" s="238"/>
    </row>
    <row r="1271" spans="2:12">
      <c r="B1271" s="232" t="s">
        <v>566</v>
      </c>
      <c r="C1271" s="167" t="s">
        <v>66</v>
      </c>
      <c r="D1271" s="236" t="str">
        <f>_xlfn.XLOOKUP(B1271,'Relacion '!$E:$E,'Relacion '!$D:$D,"")</f>
        <v>06. BW-EJECUCION</v>
      </c>
      <c r="E1271" s="233">
        <f t="shared" si="289"/>
        <v>106</v>
      </c>
      <c r="F1271" s="234" cm="1">
        <f t="array" ref="F1271">MIN(INDEX('Relacion '!$X$5:$AM$493,MATCH(INDEX($B:$B, (ROW()-0)),'Relacion '!$E$5:$E$493,0),0))</f>
        <v>46024</v>
      </c>
      <c r="G1271" s="234" cm="1">
        <f t="array" ref="G1271">MAX(INDEX('Relacion '!$X$5:$AM$493,MATCH(INDEX($B:$B, (ROW()-0)),'Relacion '!$E$5:$E$493,0),0))</f>
        <v>46130</v>
      </c>
      <c r="H1271" s="235" t="e">
        <f>AVERAGE(H1272:H1279)</f>
        <v>#REF!</v>
      </c>
      <c r="I1271" s="235">
        <f t="shared" ref="I1271" ca="1" si="301">AVERAGE(I1272:I1279)</f>
        <v>1</v>
      </c>
      <c r="J1271" s="236" t="str">
        <f>IF(ISNUMBER(SEARCH("Rocha", _xlfn.XLOOKUP(B1271,'Relacion '!$E:$E,'Relacion '!$I:$I,""))), "Sí", "No")</f>
        <v>No</v>
      </c>
      <c r="K1271" s="236" t="str">
        <f>IF(ISNUMBER(SEARCH("Rocha", _xlfn.XLOOKUP(B1271,'Relacion '!$E:$E,'Relacion '!$I:$I,""))), "RMC", _xlfn.XLOOKUP(B1271,'Relacion '!$E:$E,'Relacion '!$B:$B,""))</f>
        <v>Riesgos</v>
      </c>
      <c r="L1271" s="236" t="str">
        <f>_xlfn.XLOOKUP(B1271,'Relacion '!$E:$E,'Relacion '!$C:$C,"")</f>
        <v>Homero Sanchez</v>
      </c>
    </row>
    <row r="1272" spans="2:12" outlineLevel="1">
      <c r="B1272" s="237" t="s">
        <v>654</v>
      </c>
      <c r="C1272" s="237" t="s">
        <v>654</v>
      </c>
      <c r="D1272" s="238" t="str">
        <f>_xlfn.XLOOKUP(B1272,'Relacion '!$E:$E,'Relacion '!$D:$D,"")</f>
        <v/>
      </c>
      <c r="E1272" s="239">
        <f t="shared" si="289"/>
        <v>59</v>
      </c>
      <c r="F1272" s="240" cm="1">
        <f t="array" ref="F1272">MIN(INDEX('Relacion '!$X$5:$Y$493,MATCH(INDEX($B:$B, (ROW()-1)),'Relacion '!$E$5:$E$493,0),0))</f>
        <v>46024</v>
      </c>
      <c r="G1272" s="240" cm="1">
        <f t="array" ref="G1272">MAX(INDEX('Relacion '!$X$5:$Y$493,MATCH(INDEX($B:$B, (ROW()-1)),'Relacion '!$E$5:$E$493,0),0))</f>
        <v>46083</v>
      </c>
      <c r="H1272" s="241" cm="1">
        <f t="array" ref="H1272">IF(
 MATCH(B1272,{"01. ASIGNACION AREA";"02. MAPEO";"03. DESARROLLO";"04. VALIDA US";"05. VOBO US";"06. BW-EJECUCION";"07. VALIDACIÓN BAJAWARE";"08. CERRADA"},0)
 &lt;
 MATCH(_xlfn.XLOOKUP(INDEX($B:$B, (ROW()-1)),'Relacion '!$E:$E,'Relacion '!$D:$D,""),{"01. ASIGNACION AREA";"02. MAPEO";"03. DESARROLLO";"04. VALIDA US";"05. VOBO US";"06. BW-EJECUCION";"07. VALIDACIÓN BAJAWARE";"08. CERRADA"},0),
 1,
 IF(
  MATCH(B1272,{"01. ASIGNACION AREA";"02. MAPEO";"03. DESARROLLO";"04. VALIDA US";"05. VOBO US";"06. BW-EJECUCION";"07. VALIDACIÓN BAJAWARE";"08. CERRADA"},0)
  =
  MATCH(_xlfn.XLOOKUP(INDEX($B:$B, (ROW()-1)),'Relacion '!$E:$E,'Relacion '!$D:$D,""),{"01. ASIGNACION AREA";"02. MAPEO";"03. DESARROLLO";"04. VALIDA US";"05. VOBO US";"06. BW-EJECUCION";"07. VALIDACIÓN BAJAWARE";"08. CERRADA"},0),
  _xlfn.XLOOKUP(INDEX($B:$B, (ROW()-1)),'Relacion '!$E:$E,'Relacion '!#REF!,0),
  0
 )
)</f>
        <v>1</v>
      </c>
      <c r="I1272" s="241">
        <f t="shared" ref="I1272:I1333" ca="1" si="302">IF(G1272&lt;=TODAY(), 1, 0)</f>
        <v>1</v>
      </c>
      <c r="J1272" s="241"/>
      <c r="K1272" s="241"/>
      <c r="L1272" s="238"/>
    </row>
    <row r="1273" spans="2:12" outlineLevel="1">
      <c r="B1273" s="237" t="s">
        <v>195</v>
      </c>
      <c r="C1273" s="237" t="s">
        <v>195</v>
      </c>
      <c r="D1273" s="238" t="str">
        <f>_xlfn.XLOOKUP(B1273,'Relacion '!$E:$E,'Relacion '!$D:$D,"")</f>
        <v/>
      </c>
      <c r="E1273" s="239">
        <f t="shared" si="289"/>
        <v>4</v>
      </c>
      <c r="F1273" s="240" cm="1">
        <f t="array" ref="F1273">MIN(INDEX('Relacion '!$Z$5:$AA$493,MATCH(INDEX($B:$B, (ROW()-2)),'Relacion '!$E$5:$E$493,0),0))</f>
        <v>46041</v>
      </c>
      <c r="G1273" s="240" cm="1">
        <f t="array" ref="G1273">MAX(INDEX('Relacion '!$Z$5:$AA$493,MATCH(INDEX($B:$B, (ROW()-2)),'Relacion '!$E$5:$E$493,0),0))</f>
        <v>46045</v>
      </c>
      <c r="H1273" s="241" cm="1">
        <f t="array" ref="H1273">IF(
 MATCH(B1273,{"01. ASIGNACION AREA";"02. MAPEO";"03. DESARROLLO";"04. VALIDA US";"05. VOBO US";"06. BW-EJECUCION";"07. VALIDACIÓN BAJAWARE";"08. CERRADA"},0)
 &lt;
 MATCH(_xlfn.XLOOKUP(INDEX($B:$B, (ROW()-2)),'Relacion '!$E:$E,'Relacion '!$D:$D,""),{"01. ASIGNACION AREA";"02. MAPEO";"03. DESARROLLO";"04. VALIDA US";"05. VOBO US";"06. BW-EJECUCION";"07. VALIDACIÓN BAJAWARE";"08. CERRADA"},0),
 1,
 IF(
  MATCH(B1273,{"01. ASIGNACION AREA";"02. MAPEO";"03. DESARROLLO";"04. VALIDA US";"05. VOBO US";"06. BW-EJECUCION";"07. VALIDACIÓN BAJAWARE";"08. CERRADA"},0)
  =
  MATCH(_xlfn.XLOOKUP(INDEX($B:$B, (ROW()-2)),'Relacion '!$E:$E,'Relacion '!$D:$D,""),{"01. ASIGNACION AREA";"02. MAPEO";"03. DESARROLLO";"04. VALIDA US";"05. VOBO US";"06. BW-EJECUCION";"07. VALIDACIÓN BAJAWARE";"08. CERRADA"},0),
  _xlfn.XLOOKUP(INDEX($B:$B, (ROW()-2)),'Relacion '!$E:$E,'Relacion '!#REF!,0),
  0
 )
)</f>
        <v>1</v>
      </c>
      <c r="I1273" s="241">
        <f t="shared" ca="1" si="302"/>
        <v>1</v>
      </c>
      <c r="J1273" s="241"/>
      <c r="K1273" s="241"/>
      <c r="L1273" s="238"/>
    </row>
    <row r="1274" spans="2:12" outlineLevel="1">
      <c r="B1274" s="237" t="s">
        <v>49</v>
      </c>
      <c r="C1274" s="237" t="s">
        <v>49</v>
      </c>
      <c r="D1274" s="238" t="str">
        <f>_xlfn.XLOOKUP(B1274,'Relacion '!$E:$E,'Relacion '!$D:$D,"")</f>
        <v/>
      </c>
      <c r="E1274" s="239">
        <f t="shared" si="289"/>
        <v>4</v>
      </c>
      <c r="F1274" s="240" cm="1">
        <f t="array" ref="F1274">MIN(INDEX('Relacion '!$AB$5:$AC$493,MATCH(INDEX($B:$B, (ROW()-3)),'Relacion '!$E$5:$E$493,0),0))</f>
        <v>46048</v>
      </c>
      <c r="G1274" s="240" cm="1">
        <f t="array" ref="G1274">MAX(INDEX('Relacion '!$AB$5:$AC$493,MATCH(INDEX($B:$B, (ROW()-3)),'Relacion '!$E$5:$E$493,0),0))</f>
        <v>46052</v>
      </c>
      <c r="H1274" s="241" cm="1">
        <f t="array" ref="H1274">IF(
 MATCH(B1274,{"01. ASIGNACION AREA";"02. MAPEO";"03. DESARROLLO";"04. VALIDA US";"05. VOBO US";"06. BW-EJECUCION";"07. VALIDACIÓN BAJAWARE";"08. CERRADA"},0)
 &lt;
 MATCH(_xlfn.XLOOKUP(INDEX($B:$B, (ROW()-3)),'Relacion '!$E:$E,'Relacion '!$D:$D,""),{"01. ASIGNACION AREA";"02. MAPEO";"03. DESARROLLO";"04. VALIDA US";"05. VOBO US";"06. BW-EJECUCION";"07. VALIDACIÓN BAJAWARE";"08. CERRADA"},0),
 1,
 IF(
  MATCH(B1274,{"01. ASIGNACION AREA";"02. MAPEO";"03. DESARROLLO";"04. VALIDA US";"05. VOBO US";"06. BW-EJECUCION";"07. VALIDACIÓN BAJAWARE";"08. CERRADA"},0)
  =
  MATCH(_xlfn.XLOOKUP(INDEX($B:$B, (ROW()-3)),'Relacion '!$E:$E,'Relacion '!$D:$D,""),{"01. ASIGNACION AREA";"02. MAPEO";"03. DESARROLLO";"04. VALIDA US";"05. VOBO US";"06. BW-EJECUCION";"07. VALIDACIÓN BAJAWARE";"08. CERRADA"},0),
  _xlfn.XLOOKUP(INDEX($B:$B, (ROW()-3)),'Relacion '!$E:$E,'Relacion '!#REF!,0),
  0
 )
)</f>
        <v>1</v>
      </c>
      <c r="I1274" s="241">
        <f t="shared" ca="1" si="302"/>
        <v>1</v>
      </c>
      <c r="J1274" s="241"/>
      <c r="K1274" s="241"/>
      <c r="L1274" s="238"/>
    </row>
    <row r="1275" spans="2:12" outlineLevel="1">
      <c r="B1275" s="237" t="s">
        <v>324</v>
      </c>
      <c r="C1275" s="237" t="s">
        <v>324</v>
      </c>
      <c r="D1275" s="238" t="str">
        <f>_xlfn.XLOOKUP(B1275,'Relacion '!$E:$E,'Relacion '!$D:$D,"")</f>
        <v/>
      </c>
      <c r="E1275" s="239">
        <f t="shared" si="289"/>
        <v>11</v>
      </c>
      <c r="F1275" s="240" cm="1">
        <f t="array" ref="F1275">MIN(INDEX('Relacion '!$AD$5:$AE$493,MATCH(INDEX($B:$B, (ROW()-4)),'Relacion '!$E$5:$E$493,0),0))</f>
        <v>46055</v>
      </c>
      <c r="G1275" s="240" cm="1">
        <f t="array" ref="G1275">MAX(INDEX('Relacion '!$AD$5:$AE$493,MATCH(INDEX($B:$B, (ROW()-4)),'Relacion '!$E$5:$E$493,0),0))</f>
        <v>46066</v>
      </c>
      <c r="H1275" s="241" cm="1">
        <f t="array" ref="H1275">IF(
 MATCH(B1275,{"01. ASIGNACION AREA";"02. MAPEO";"03. DESARROLLO";"04. VALIDA US";"05. VOBO US";"06. BW-EJECUCION";"07. VALIDACIÓN BAJAWARE";"08. CERRADA"},0)
 &lt;
 MATCH(_xlfn.XLOOKUP(INDEX($B:$B, (ROW()-4)),'Relacion '!$E:$E,'Relacion '!$D:$D,""),{"01. ASIGNACION AREA";"02. MAPEO";"03. DESARROLLO";"04. VALIDA US";"05. VOBO US";"06. BW-EJECUCION";"07. VALIDACIÓN BAJAWARE";"08. CERRADA"},0),
 1,
 IF(
  MATCH(B1275,{"01. ASIGNACION AREA";"02. MAPEO";"03. DESARROLLO";"04. VALIDA US";"05. VOBO US";"06. BW-EJECUCION";"07. VALIDACIÓN BAJAWARE";"08. CERRADA"},0)
  =
  MATCH(_xlfn.XLOOKUP(INDEX($B:$B, (ROW()-4)),'Relacion '!$E:$E,'Relacion '!$D:$D,""),{"01. ASIGNACION AREA";"02. MAPEO";"03. DESARROLLO";"04. VALIDA US";"05. VOBO US";"06. BW-EJECUCION";"07. VALIDACIÓN BAJAWARE";"08. CERRADA"},0),
  _xlfn.XLOOKUP(INDEX($B:$B, (ROW()-4)),'Relacion '!$E:$E,'Relacion '!#REF!,0),
  0
 )
)</f>
        <v>1</v>
      </c>
      <c r="I1275" s="241">
        <f t="shared" ca="1" si="302"/>
        <v>1</v>
      </c>
      <c r="J1275" s="241"/>
      <c r="K1275" s="241"/>
      <c r="L1275" s="238"/>
    </row>
    <row r="1276" spans="2:12" outlineLevel="1">
      <c r="B1276" s="237" t="s">
        <v>320</v>
      </c>
      <c r="C1276" s="237" t="s">
        <v>320</v>
      </c>
      <c r="D1276" s="238" t="str">
        <f>_xlfn.XLOOKUP(B1276,'Relacion '!$E:$E,'Relacion '!$D:$D,"")</f>
        <v/>
      </c>
      <c r="E1276" s="239">
        <f t="shared" si="289"/>
        <v>4</v>
      </c>
      <c r="F1276" s="240" cm="1">
        <f t="array" ref="F1276">MIN(INDEX('Relacion '!$AF$5:$AG$493,MATCH(INDEX($B:$B, (ROW()-5)),'Relacion '!$E$5:$E$493,0),0))</f>
        <v>46069</v>
      </c>
      <c r="G1276" s="240" cm="1">
        <f t="array" ref="G1276">MAX(INDEX('Relacion '!$AF$5:$AG$493,MATCH(INDEX($B:$B, (ROW()-5)),'Relacion '!$E$5:$E$493,0),0))</f>
        <v>46073</v>
      </c>
      <c r="H1276" s="241" cm="1">
        <f t="array" ref="H1276">IF(
 MATCH(B1276,{"01. ASIGNACION AREA";"02. MAPEO";"03. DESARROLLO";"04. VALIDA US";"05. VOBO US";"06. BW-EJECUCION";"07. VALIDACIÓN BAJAWARE";"08. CERRADA"},0)
 &lt;
 MATCH(_xlfn.XLOOKUP(INDEX($B:$B, (ROW()-5)),'Relacion '!$E:$E,'Relacion '!$D:$D,""),{"01. ASIGNACION AREA";"02. MAPEO";"03. DESARROLLO";"04. VALIDA US";"05. VOBO US";"06. BW-EJECUCION";"07. VALIDACIÓN BAJAWARE";"08. CERRADA"},0),
 1,
 IF(
  MATCH(B1276,{"01. ASIGNACION AREA";"02. MAPEO";"03. DESARROLLO";"04. VALIDA US";"05. VOBO US";"06. BW-EJECUCION";"07. VALIDACIÓN BAJAWARE";"08. CERRADA"},0)
  =
  MATCH(_xlfn.XLOOKUP(INDEX($B:$B, (ROW()-5)),'Relacion '!$E:$E,'Relacion '!$D:$D,""),{"01. ASIGNACION AREA";"02. MAPEO";"03. DESARROLLO";"04. VALIDA US";"05. VOBO US";"06. BW-EJECUCION";"07. VALIDACIÓN BAJAWARE";"08. CERRADA"},0),
  _xlfn.XLOOKUP(INDEX($B:$B, (ROW()-5)),'Relacion '!$E:$E,'Relacion '!#REF!,0),
  0
 )
)</f>
        <v>1</v>
      </c>
      <c r="I1276" s="241">
        <f t="shared" ca="1" si="302"/>
        <v>1</v>
      </c>
      <c r="J1276" s="241"/>
      <c r="K1276" s="241"/>
      <c r="L1276" s="238"/>
    </row>
    <row r="1277" spans="2:12" outlineLevel="1">
      <c r="B1277" s="237" t="s">
        <v>710</v>
      </c>
      <c r="C1277" s="237" t="s">
        <v>710</v>
      </c>
      <c r="D1277" s="238" t="str">
        <f>_xlfn.XLOOKUP(B1277,'Relacion '!$E:$E,'Relacion '!$D:$D,"")</f>
        <v/>
      </c>
      <c r="E1277" s="239">
        <f t="shared" si="289"/>
        <v>25</v>
      </c>
      <c r="F1277" s="240" cm="1">
        <f t="array" ref="F1277">MIN(INDEX('Relacion '!$AH$5:$AI$493,MATCH(INDEX($B:$B, (ROW()-6)),'Relacion '!$E$5:$E$493,0),0))</f>
        <v>46076</v>
      </c>
      <c r="G1277" s="240" cm="1">
        <f t="array" ref="G1277">MAX(INDEX('Relacion '!$AH$5:$AI$493,MATCH(INDEX($B:$B, (ROW()-6)),'Relacion '!$E$5:$E$493,0),0))</f>
        <v>46101</v>
      </c>
      <c r="H1277" s="241" t="e" cm="1">
        <f t="array" ref="H1277">IF(
 MATCH(B1277,{"01. ASIGNACION AREA";"02. MAPEO";"03. DESARROLLO";"04. VALIDA US";"05. VOBO US";"06. BW-EJECUCION";"07. VALIDACIÓN BAJAWARE";"08. CERRADA"},0)
 &lt;
 MATCH(_xlfn.XLOOKUP(INDEX($B:$B, (ROW()-6)),'Relacion '!$E:$E,'Relacion '!$D:$D,""),{"01. ASIGNACION AREA";"02. MAPEO";"03. DESARROLLO";"04. VALIDA US";"05. VOBO US";"06. BW-EJECUCION";"07. VALIDACIÓN BAJAWARE";"08. CERRADA"},0),
 1,
 IF(
  MATCH(B1277,{"01. ASIGNACION AREA";"02. MAPEO";"03. DESARROLLO";"04. VALIDA US";"05. VOBO US";"06. BW-EJECUCION";"07. VALIDACIÓN BAJAWARE";"08. CERRADA"},0)
  =
  MATCH(_xlfn.XLOOKUP(INDEX($B:$B, (ROW()-6)),'Relacion '!$E:$E,'Relacion '!$D:$D,""),{"01. ASIGNACION AREA";"02. MAPEO";"03. DESARROLLO";"04. VALIDA US";"05. VOBO US";"06. BW-EJECUCION";"07. VALIDACIÓN BAJAWARE";"08. CERRADA"},0),
  _xlfn.XLOOKUP(INDEX($B:$B, (ROW()-6)),'Relacion '!$E:$E,'Relacion '!#REF!,0),
  0
 )
)</f>
        <v>#REF!</v>
      </c>
      <c r="I1277" s="241">
        <f t="shared" ca="1" si="302"/>
        <v>1</v>
      </c>
      <c r="J1277" s="241"/>
      <c r="K1277" s="241"/>
      <c r="L1277" s="238"/>
    </row>
    <row r="1278" spans="2:12" outlineLevel="1">
      <c r="B1278" s="237" t="s">
        <v>655</v>
      </c>
      <c r="C1278" s="237" t="s">
        <v>655</v>
      </c>
      <c r="D1278" s="238" t="str">
        <f>_xlfn.XLOOKUP(B1278,'Relacion '!$E:$E,'Relacion '!$D:$D,"")</f>
        <v/>
      </c>
      <c r="E1278" s="239">
        <f t="shared" si="289"/>
        <v>25</v>
      </c>
      <c r="F1278" s="240" cm="1">
        <f t="array" ref="F1278">MIN(INDEX('Relacion '!$AJ$5:$AK$493,MATCH(INDEX($B:$B, (ROW()-7)),'Relacion '!$E$5:$E$493,0),0))</f>
        <v>46104</v>
      </c>
      <c r="G1278" s="240" cm="1">
        <f t="array" ref="G1278">MAX(INDEX('Relacion '!$AJ$5:$AK$493,MATCH(INDEX($B:$B, (ROW()-7)),'Relacion '!$E$5:$E$493,0),0))</f>
        <v>46129</v>
      </c>
      <c r="H1278" s="241" cm="1">
        <f t="array" ref="H1278">IF(
 MATCH(B1278,{"01. ASIGNACION AREA";"02. MAPEO";"03. DESARROLLO";"04. VALIDA US";"05. VOBO US";"06. BW-EJECUCION";"07. VALIDACIÓN BAJAWARE";"08. CERRADA"},0)
 &lt;
 MATCH(_xlfn.XLOOKUP(INDEX($B:$B, (ROW()-7)),'Relacion '!$E:$E,'Relacion '!$D:$D,""),{"01. ASIGNACION AREA";"02. MAPEO";"03. DESARROLLO";"04. VALIDA US";"05. VOBO US";"06. BW-EJECUCION";"07. VALIDACIÓN BAJAWARE";"08. CERRADA"},0),
 1,
 IF(
  MATCH(B1278,{"01. ASIGNACION AREA";"02. MAPEO";"03. DESARROLLO";"04. VALIDA US";"05. VOBO US";"06. BW-EJECUCION";"07. VALIDACIÓN BAJAWARE";"08. CERRADA"},0)
  =
  MATCH(_xlfn.XLOOKUP(INDEX($B:$B, (ROW()-7)),'Relacion '!$E:$E,'Relacion '!$D:$D,""),{"01. ASIGNACION AREA";"02. MAPEO";"03. DESARROLLO";"04. VALIDA US";"05. VOBO US";"06. BW-EJECUCION";"07. VALIDACIÓN BAJAWARE";"08. CERRADA"},0),
  _xlfn.XLOOKUP(INDEX($B:$B, (ROW()-7)),'Relacion '!$E:$E,'Relacion '!#REF!,0),
  0
 )
)</f>
        <v>0</v>
      </c>
      <c r="I1278" s="241">
        <f t="shared" ca="1" si="302"/>
        <v>1</v>
      </c>
      <c r="J1278" s="241"/>
      <c r="K1278" s="241"/>
      <c r="L1278" s="238"/>
    </row>
    <row r="1279" spans="2:12" outlineLevel="1">
      <c r="B1279" s="237" t="s">
        <v>656</v>
      </c>
      <c r="C1279" s="237" t="s">
        <v>656</v>
      </c>
      <c r="D1279" s="238" t="str">
        <f>_xlfn.XLOOKUP(B1279,'Relacion '!$E:$E,'Relacion '!$D:$D,"")</f>
        <v/>
      </c>
      <c r="E1279" s="239">
        <f t="shared" si="289"/>
        <v>0</v>
      </c>
      <c r="F1279" s="240" cm="1">
        <f t="array" ref="F1279">MIN(INDEX('Relacion '!$AL$5:$AM$493,MATCH(INDEX($B:$B, (ROW()-8)),'Relacion '!$E$5:$E$493,0),0))</f>
        <v>46130</v>
      </c>
      <c r="G1279" s="240" cm="1">
        <f t="array" ref="G1279">MAX(INDEX('Relacion '!$AL$5:$AM$493,MATCH(INDEX($B:$B, (ROW()-8)),'Relacion '!$E$5:$E$493,0),0))</f>
        <v>46130</v>
      </c>
      <c r="H1279" s="241" cm="1">
        <f t="array" ref="H1279">IF(
 MATCH(B1279,{"01. ASIGNACION AREA";"02. MAPEO";"03. DESARROLLO";"04. VALIDA US";"05. VOBO US";"06. BW-EJECUCION";"07. VALIDACIÓN BAJAWARE";"08. CERRADA"},0)
 &lt;
 MATCH(_xlfn.XLOOKUP(INDEX($B:$B, (ROW()-8)),'Relacion '!$E:$E,'Relacion '!$D:$D,""),{"01. ASIGNACION AREA";"02. MAPEO";"03. DESARROLLO";"04. VALIDA US";"05. VOBO US";"06. BW-EJECUCION";"07. VALIDACIÓN BAJAWARE";"08. CERRADA"},0),
 1,
 IF(
  MATCH(B1279,{"01. ASIGNACION AREA";"02. MAPEO";"03. DESARROLLO";"04. VALIDA US";"05. VOBO US";"06. BW-EJECUCION";"07. VALIDACIÓN BAJAWARE";"08. CERRADA"},0)
  =
  MATCH(_xlfn.XLOOKUP(INDEX($B:$B, (ROW()-8)),'Relacion '!$E:$E,'Relacion '!$D:$D,""),{"01. ASIGNACION AREA";"02. MAPEO";"03. DESARROLLO";"04. VALIDA US";"05. VOBO US";"06. BW-EJECUCION";"07. VALIDACIÓN BAJAWARE";"08. CERRADA"},0),
  _xlfn.XLOOKUP(INDEX($B:$B, (ROW()-8)),'Relacion '!$E:$E,'Relacion '!#REF!,0),
  0
 )
)</f>
        <v>0</v>
      </c>
      <c r="I1279" s="241">
        <f t="shared" ca="1" si="302"/>
        <v>1</v>
      </c>
      <c r="J1279" s="241"/>
      <c r="K1279" s="241"/>
      <c r="L1279" s="238"/>
    </row>
    <row r="1280" spans="2:12">
      <c r="B1280" s="232" t="s">
        <v>568</v>
      </c>
      <c r="C1280" s="167" t="s">
        <v>66</v>
      </c>
      <c r="D1280" s="236" t="str">
        <f>_xlfn.XLOOKUP(B1280,'Relacion '!$E:$E,'Relacion '!$D:$D,"")</f>
        <v>06. BW-EJECUCION</v>
      </c>
      <c r="E1280" s="233">
        <f t="shared" si="289"/>
        <v>106</v>
      </c>
      <c r="F1280" s="234" cm="1">
        <f t="array" ref="F1280">MIN(INDEX('Relacion '!$X$5:$AM$493,MATCH(INDEX($B:$B, (ROW()-0)),'Relacion '!$E$5:$E$493,0),0))</f>
        <v>46024</v>
      </c>
      <c r="G1280" s="234" cm="1">
        <f t="array" ref="G1280">MAX(INDEX('Relacion '!$X$5:$AM$493,MATCH(INDEX($B:$B, (ROW()-0)),'Relacion '!$E$5:$E$493,0),0))</f>
        <v>46130</v>
      </c>
      <c r="H1280" s="235" t="e">
        <f>AVERAGE(H1281:H1288)</f>
        <v>#REF!</v>
      </c>
      <c r="I1280" s="235">
        <f t="shared" ref="I1280" ca="1" si="303">AVERAGE(I1281:I1288)</f>
        <v>1</v>
      </c>
      <c r="J1280" s="236" t="str">
        <f>IF(ISNUMBER(SEARCH("Rocha", _xlfn.XLOOKUP(B1280,'Relacion '!$E:$E,'Relacion '!$I:$I,""))), "Sí", "No")</f>
        <v>No</v>
      </c>
      <c r="K1280" s="236" t="str">
        <f>IF(ISNUMBER(SEARCH("Rocha", _xlfn.XLOOKUP(B1280,'Relacion '!$E:$E,'Relacion '!$I:$I,""))), "RMC", _xlfn.XLOOKUP(B1280,'Relacion '!$E:$E,'Relacion '!$B:$B,""))</f>
        <v>Riesgos</v>
      </c>
      <c r="L1280" s="236" t="str">
        <f>_xlfn.XLOOKUP(B1280,'Relacion '!$E:$E,'Relacion '!$C:$C,"")</f>
        <v>Homero Sanchez</v>
      </c>
    </row>
    <row r="1281" spans="2:12" outlineLevel="1">
      <c r="B1281" s="237" t="s">
        <v>654</v>
      </c>
      <c r="C1281" s="237" t="s">
        <v>654</v>
      </c>
      <c r="D1281" s="238" t="str">
        <f>_xlfn.XLOOKUP(B1281,'Relacion '!$E:$E,'Relacion '!$D:$D,"")</f>
        <v/>
      </c>
      <c r="E1281" s="239">
        <f t="shared" si="289"/>
        <v>59</v>
      </c>
      <c r="F1281" s="240" cm="1">
        <f t="array" ref="F1281">MIN(INDEX('Relacion '!$X$5:$Y$493,MATCH(INDEX($B:$B, (ROW()-1)),'Relacion '!$E$5:$E$493,0),0))</f>
        <v>46024</v>
      </c>
      <c r="G1281" s="240" cm="1">
        <f t="array" ref="G1281">MAX(INDEX('Relacion '!$X$5:$Y$493,MATCH(INDEX($B:$B, (ROW()-1)),'Relacion '!$E$5:$E$493,0),0))</f>
        <v>46083</v>
      </c>
      <c r="H1281" s="241" cm="1">
        <f t="array" ref="H1281">IF(
 MATCH(B1281,{"01. ASIGNACION AREA";"02. MAPEO";"03. DESARROLLO";"04. VALIDA US";"05. VOBO US";"06. BW-EJECUCION";"07. VALIDACIÓN BAJAWARE";"08. CERRADA"},0)
 &lt;
 MATCH(_xlfn.XLOOKUP(INDEX($B:$B, (ROW()-1)),'Relacion '!$E:$E,'Relacion '!$D:$D,""),{"01. ASIGNACION AREA";"02. MAPEO";"03. DESARROLLO";"04. VALIDA US";"05. VOBO US";"06. BW-EJECUCION";"07. VALIDACIÓN BAJAWARE";"08. CERRADA"},0),
 1,
 IF(
  MATCH(B1281,{"01. ASIGNACION AREA";"02. MAPEO";"03. DESARROLLO";"04. VALIDA US";"05. VOBO US";"06. BW-EJECUCION";"07. VALIDACIÓN BAJAWARE";"08. CERRADA"},0)
  =
  MATCH(_xlfn.XLOOKUP(INDEX($B:$B, (ROW()-1)),'Relacion '!$E:$E,'Relacion '!$D:$D,""),{"01. ASIGNACION AREA";"02. MAPEO";"03. DESARROLLO";"04. VALIDA US";"05. VOBO US";"06. BW-EJECUCION";"07. VALIDACIÓN BAJAWARE";"08. CERRADA"},0),
  _xlfn.XLOOKUP(INDEX($B:$B, (ROW()-1)),'Relacion '!$E:$E,'Relacion '!#REF!,0),
  0
 )
)</f>
        <v>1</v>
      </c>
      <c r="I1281" s="241">
        <f t="shared" ref="I1281" ca="1" si="304">IF(G1281&lt;=TODAY(), 1, 0)</f>
        <v>1</v>
      </c>
      <c r="J1281" s="241"/>
      <c r="K1281" s="241"/>
      <c r="L1281" s="238"/>
    </row>
    <row r="1282" spans="2:12" outlineLevel="1">
      <c r="B1282" s="237" t="s">
        <v>195</v>
      </c>
      <c r="C1282" s="237" t="s">
        <v>195</v>
      </c>
      <c r="D1282" s="238" t="str">
        <f>_xlfn.XLOOKUP(B1282,'Relacion '!$E:$E,'Relacion '!$D:$D,"")</f>
        <v/>
      </c>
      <c r="E1282" s="239">
        <f t="shared" ref="E1282:E1345" si="305">IF(OR(F1282="",G1282=""),"",G1282-F1282)</f>
        <v>4</v>
      </c>
      <c r="F1282" s="240" cm="1">
        <f t="array" ref="F1282">MIN(INDEX('Relacion '!$Z$5:$AA$493,MATCH(INDEX($B:$B, (ROW()-2)),'Relacion '!$E$5:$E$493,0),0))</f>
        <v>46041</v>
      </c>
      <c r="G1282" s="240" cm="1">
        <f t="array" ref="G1282">MAX(INDEX('Relacion '!$Z$5:$AA$493,MATCH(INDEX($B:$B, (ROW()-2)),'Relacion '!$E$5:$E$493,0),0))</f>
        <v>46045</v>
      </c>
      <c r="H1282" s="241" cm="1">
        <f t="array" ref="H1282">IF(
 MATCH(B1282,{"01. ASIGNACION AREA";"02. MAPEO";"03. DESARROLLO";"04. VALIDA US";"05. VOBO US";"06. BW-EJECUCION";"07. VALIDACIÓN BAJAWARE";"08. CERRADA"},0)
 &lt;
 MATCH(_xlfn.XLOOKUP(INDEX($B:$B, (ROW()-2)),'Relacion '!$E:$E,'Relacion '!$D:$D,""),{"01. ASIGNACION AREA";"02. MAPEO";"03. DESARROLLO";"04. VALIDA US";"05. VOBO US";"06. BW-EJECUCION";"07. VALIDACIÓN BAJAWARE";"08. CERRADA"},0),
 1,
 IF(
  MATCH(B1282,{"01. ASIGNACION AREA";"02. MAPEO";"03. DESARROLLO";"04. VALIDA US";"05. VOBO US";"06. BW-EJECUCION";"07. VALIDACIÓN BAJAWARE";"08. CERRADA"},0)
  =
  MATCH(_xlfn.XLOOKUP(INDEX($B:$B, (ROW()-2)),'Relacion '!$E:$E,'Relacion '!$D:$D,""),{"01. ASIGNACION AREA";"02. MAPEO";"03. DESARROLLO";"04. VALIDA US";"05. VOBO US";"06. BW-EJECUCION";"07. VALIDACIÓN BAJAWARE";"08. CERRADA"},0),
  _xlfn.XLOOKUP(INDEX($B:$B, (ROW()-2)),'Relacion '!$E:$E,'Relacion '!#REF!,0),
  0
 )
)</f>
        <v>1</v>
      </c>
      <c r="I1282" s="241">
        <f t="shared" ca="1" si="302"/>
        <v>1</v>
      </c>
      <c r="J1282" s="241"/>
      <c r="K1282" s="241"/>
      <c r="L1282" s="238"/>
    </row>
    <row r="1283" spans="2:12" outlineLevel="1">
      <c r="B1283" s="237" t="s">
        <v>49</v>
      </c>
      <c r="C1283" s="237" t="s">
        <v>49</v>
      </c>
      <c r="D1283" s="238" t="str">
        <f>_xlfn.XLOOKUP(B1283,'Relacion '!$E:$E,'Relacion '!$D:$D,"")</f>
        <v/>
      </c>
      <c r="E1283" s="239">
        <f t="shared" si="305"/>
        <v>4</v>
      </c>
      <c r="F1283" s="240" cm="1">
        <f t="array" ref="F1283">MIN(INDEX('Relacion '!$AB$5:$AC$493,MATCH(INDEX($B:$B, (ROW()-3)),'Relacion '!$E$5:$E$493,0),0))</f>
        <v>46048</v>
      </c>
      <c r="G1283" s="240" cm="1">
        <f t="array" ref="G1283">MAX(INDEX('Relacion '!$AB$5:$AC$493,MATCH(INDEX($B:$B, (ROW()-3)),'Relacion '!$E$5:$E$493,0),0))</f>
        <v>46052</v>
      </c>
      <c r="H1283" s="241" cm="1">
        <f t="array" ref="H1283">IF(
 MATCH(B1283,{"01. ASIGNACION AREA";"02. MAPEO";"03. DESARROLLO";"04. VALIDA US";"05. VOBO US";"06. BW-EJECUCION";"07. VALIDACIÓN BAJAWARE";"08. CERRADA"},0)
 &lt;
 MATCH(_xlfn.XLOOKUP(INDEX($B:$B, (ROW()-3)),'Relacion '!$E:$E,'Relacion '!$D:$D,""),{"01. ASIGNACION AREA";"02. MAPEO";"03. DESARROLLO";"04. VALIDA US";"05. VOBO US";"06. BW-EJECUCION";"07. VALIDACIÓN BAJAWARE";"08. CERRADA"},0),
 1,
 IF(
  MATCH(B1283,{"01. ASIGNACION AREA";"02. MAPEO";"03. DESARROLLO";"04. VALIDA US";"05. VOBO US";"06. BW-EJECUCION";"07. VALIDACIÓN BAJAWARE";"08. CERRADA"},0)
  =
  MATCH(_xlfn.XLOOKUP(INDEX($B:$B, (ROW()-3)),'Relacion '!$E:$E,'Relacion '!$D:$D,""),{"01. ASIGNACION AREA";"02. MAPEO";"03. DESARROLLO";"04. VALIDA US";"05. VOBO US";"06. BW-EJECUCION";"07. VALIDACIÓN BAJAWARE";"08. CERRADA"},0),
  _xlfn.XLOOKUP(INDEX($B:$B, (ROW()-3)),'Relacion '!$E:$E,'Relacion '!#REF!,0),
  0
 )
)</f>
        <v>1</v>
      </c>
      <c r="I1283" s="241">
        <f t="shared" ca="1" si="302"/>
        <v>1</v>
      </c>
      <c r="J1283" s="241"/>
      <c r="K1283" s="241"/>
      <c r="L1283" s="238"/>
    </row>
    <row r="1284" spans="2:12" outlineLevel="1">
      <c r="B1284" s="237" t="s">
        <v>324</v>
      </c>
      <c r="C1284" s="237" t="s">
        <v>324</v>
      </c>
      <c r="D1284" s="238" t="str">
        <f>_xlfn.XLOOKUP(B1284,'Relacion '!$E:$E,'Relacion '!$D:$D,"")</f>
        <v/>
      </c>
      <c r="E1284" s="239">
        <f t="shared" si="305"/>
        <v>11</v>
      </c>
      <c r="F1284" s="240" cm="1">
        <f t="array" ref="F1284">MIN(INDEX('Relacion '!$AD$5:$AE$493,MATCH(INDEX($B:$B, (ROW()-4)),'Relacion '!$E$5:$E$493,0),0))</f>
        <v>46055</v>
      </c>
      <c r="G1284" s="240" cm="1">
        <f t="array" ref="G1284">MAX(INDEX('Relacion '!$AD$5:$AE$493,MATCH(INDEX($B:$B, (ROW()-4)),'Relacion '!$E$5:$E$493,0),0))</f>
        <v>46066</v>
      </c>
      <c r="H1284" s="241" cm="1">
        <f t="array" ref="H1284">IF(
 MATCH(B1284,{"01. ASIGNACION AREA";"02. MAPEO";"03. DESARROLLO";"04. VALIDA US";"05. VOBO US";"06. BW-EJECUCION";"07. VALIDACIÓN BAJAWARE";"08. CERRADA"},0)
 &lt;
 MATCH(_xlfn.XLOOKUP(INDEX($B:$B, (ROW()-4)),'Relacion '!$E:$E,'Relacion '!$D:$D,""),{"01. ASIGNACION AREA";"02. MAPEO";"03. DESARROLLO";"04. VALIDA US";"05. VOBO US";"06. BW-EJECUCION";"07. VALIDACIÓN BAJAWARE";"08. CERRADA"},0),
 1,
 IF(
  MATCH(B1284,{"01. ASIGNACION AREA";"02. MAPEO";"03. DESARROLLO";"04. VALIDA US";"05. VOBO US";"06. BW-EJECUCION";"07. VALIDACIÓN BAJAWARE";"08. CERRADA"},0)
  =
  MATCH(_xlfn.XLOOKUP(INDEX($B:$B, (ROW()-4)),'Relacion '!$E:$E,'Relacion '!$D:$D,""),{"01. ASIGNACION AREA";"02. MAPEO";"03. DESARROLLO";"04. VALIDA US";"05. VOBO US";"06. BW-EJECUCION";"07. VALIDACIÓN BAJAWARE";"08. CERRADA"},0),
  _xlfn.XLOOKUP(INDEX($B:$B, (ROW()-4)),'Relacion '!$E:$E,'Relacion '!#REF!,0),
  0
 )
)</f>
        <v>1</v>
      </c>
      <c r="I1284" s="241">
        <f t="shared" ca="1" si="302"/>
        <v>1</v>
      </c>
      <c r="J1284" s="241"/>
      <c r="K1284" s="241"/>
      <c r="L1284" s="238"/>
    </row>
    <row r="1285" spans="2:12" outlineLevel="1">
      <c r="B1285" s="237" t="s">
        <v>320</v>
      </c>
      <c r="C1285" s="237" t="s">
        <v>320</v>
      </c>
      <c r="D1285" s="238" t="str">
        <f>_xlfn.XLOOKUP(B1285,'Relacion '!$E:$E,'Relacion '!$D:$D,"")</f>
        <v/>
      </c>
      <c r="E1285" s="239">
        <f t="shared" si="305"/>
        <v>4</v>
      </c>
      <c r="F1285" s="240" cm="1">
        <f t="array" ref="F1285">MIN(INDEX('Relacion '!$AF$5:$AG$493,MATCH(INDEX($B:$B, (ROW()-5)),'Relacion '!$E$5:$E$493,0),0))</f>
        <v>46069</v>
      </c>
      <c r="G1285" s="240" cm="1">
        <f t="array" ref="G1285">MAX(INDEX('Relacion '!$AF$5:$AG$493,MATCH(INDEX($B:$B, (ROW()-5)),'Relacion '!$E$5:$E$493,0),0))</f>
        <v>46073</v>
      </c>
      <c r="H1285" s="241" cm="1">
        <f t="array" ref="H1285">IF(
 MATCH(B1285,{"01. ASIGNACION AREA";"02. MAPEO";"03. DESARROLLO";"04. VALIDA US";"05. VOBO US";"06. BW-EJECUCION";"07. VALIDACIÓN BAJAWARE";"08. CERRADA"},0)
 &lt;
 MATCH(_xlfn.XLOOKUP(INDEX($B:$B, (ROW()-5)),'Relacion '!$E:$E,'Relacion '!$D:$D,""),{"01. ASIGNACION AREA";"02. MAPEO";"03. DESARROLLO";"04. VALIDA US";"05. VOBO US";"06. BW-EJECUCION";"07. VALIDACIÓN BAJAWARE";"08. CERRADA"},0),
 1,
 IF(
  MATCH(B1285,{"01. ASIGNACION AREA";"02. MAPEO";"03. DESARROLLO";"04. VALIDA US";"05. VOBO US";"06. BW-EJECUCION";"07. VALIDACIÓN BAJAWARE";"08. CERRADA"},0)
  =
  MATCH(_xlfn.XLOOKUP(INDEX($B:$B, (ROW()-5)),'Relacion '!$E:$E,'Relacion '!$D:$D,""),{"01. ASIGNACION AREA";"02. MAPEO";"03. DESARROLLO";"04. VALIDA US";"05. VOBO US";"06. BW-EJECUCION";"07. VALIDACIÓN BAJAWARE";"08. CERRADA"},0),
  _xlfn.XLOOKUP(INDEX($B:$B, (ROW()-5)),'Relacion '!$E:$E,'Relacion '!#REF!,0),
  0
 )
)</f>
        <v>1</v>
      </c>
      <c r="I1285" s="241">
        <f t="shared" ca="1" si="302"/>
        <v>1</v>
      </c>
      <c r="J1285" s="241"/>
      <c r="K1285" s="241"/>
      <c r="L1285" s="238"/>
    </row>
    <row r="1286" spans="2:12" outlineLevel="1">
      <c r="B1286" s="237" t="s">
        <v>710</v>
      </c>
      <c r="C1286" s="237" t="s">
        <v>710</v>
      </c>
      <c r="D1286" s="238" t="str">
        <f>_xlfn.XLOOKUP(B1286,'Relacion '!$E:$E,'Relacion '!$D:$D,"")</f>
        <v/>
      </c>
      <c r="E1286" s="239">
        <f t="shared" si="305"/>
        <v>25</v>
      </c>
      <c r="F1286" s="240" cm="1">
        <f t="array" ref="F1286">MIN(INDEX('Relacion '!$AH$5:$AI$493,MATCH(INDEX($B:$B, (ROW()-6)),'Relacion '!$E$5:$E$493,0),0))</f>
        <v>46076</v>
      </c>
      <c r="G1286" s="240" cm="1">
        <f t="array" ref="G1286">MAX(INDEX('Relacion '!$AH$5:$AI$493,MATCH(INDEX($B:$B, (ROW()-6)),'Relacion '!$E$5:$E$493,0),0))</f>
        <v>46101</v>
      </c>
      <c r="H1286" s="241" t="e" cm="1">
        <f t="array" ref="H1286">IF(
 MATCH(B1286,{"01. ASIGNACION AREA";"02. MAPEO";"03. DESARROLLO";"04. VALIDA US";"05. VOBO US";"06. BW-EJECUCION";"07. VALIDACIÓN BAJAWARE";"08. CERRADA"},0)
 &lt;
 MATCH(_xlfn.XLOOKUP(INDEX($B:$B, (ROW()-6)),'Relacion '!$E:$E,'Relacion '!$D:$D,""),{"01. ASIGNACION AREA";"02. MAPEO";"03. DESARROLLO";"04. VALIDA US";"05. VOBO US";"06. BW-EJECUCION";"07. VALIDACIÓN BAJAWARE";"08. CERRADA"},0),
 1,
 IF(
  MATCH(B1286,{"01. ASIGNACION AREA";"02. MAPEO";"03. DESARROLLO";"04. VALIDA US";"05. VOBO US";"06. BW-EJECUCION";"07. VALIDACIÓN BAJAWARE";"08. CERRADA"},0)
  =
  MATCH(_xlfn.XLOOKUP(INDEX($B:$B, (ROW()-6)),'Relacion '!$E:$E,'Relacion '!$D:$D,""),{"01. ASIGNACION AREA";"02. MAPEO";"03. DESARROLLO";"04. VALIDA US";"05. VOBO US";"06. BW-EJECUCION";"07. VALIDACIÓN BAJAWARE";"08. CERRADA"},0),
  _xlfn.XLOOKUP(INDEX($B:$B, (ROW()-6)),'Relacion '!$E:$E,'Relacion '!#REF!,0),
  0
 )
)</f>
        <v>#REF!</v>
      </c>
      <c r="I1286" s="241">
        <f t="shared" ca="1" si="302"/>
        <v>1</v>
      </c>
      <c r="J1286" s="241"/>
      <c r="K1286" s="241"/>
      <c r="L1286" s="238"/>
    </row>
    <row r="1287" spans="2:12" outlineLevel="1">
      <c r="B1287" s="237" t="s">
        <v>655</v>
      </c>
      <c r="C1287" s="237" t="s">
        <v>655</v>
      </c>
      <c r="D1287" s="238" t="str">
        <f>_xlfn.XLOOKUP(B1287,'Relacion '!$E:$E,'Relacion '!$D:$D,"")</f>
        <v/>
      </c>
      <c r="E1287" s="239">
        <f t="shared" si="305"/>
        <v>25</v>
      </c>
      <c r="F1287" s="240" cm="1">
        <f t="array" ref="F1287">MIN(INDEX('Relacion '!$AJ$5:$AK$493,MATCH(INDEX($B:$B, (ROW()-7)),'Relacion '!$E$5:$E$493,0),0))</f>
        <v>46104</v>
      </c>
      <c r="G1287" s="240" cm="1">
        <f t="array" ref="G1287">MAX(INDEX('Relacion '!$AJ$5:$AK$493,MATCH(INDEX($B:$B, (ROW()-7)),'Relacion '!$E$5:$E$493,0),0))</f>
        <v>46129</v>
      </c>
      <c r="H1287" s="241" cm="1">
        <f t="array" ref="H1287">IF(
 MATCH(B1287,{"01. ASIGNACION AREA";"02. MAPEO";"03. DESARROLLO";"04. VALIDA US";"05. VOBO US";"06. BW-EJECUCION";"07. VALIDACIÓN BAJAWARE";"08. CERRADA"},0)
 &lt;
 MATCH(_xlfn.XLOOKUP(INDEX($B:$B, (ROW()-7)),'Relacion '!$E:$E,'Relacion '!$D:$D,""),{"01. ASIGNACION AREA";"02. MAPEO";"03. DESARROLLO";"04. VALIDA US";"05. VOBO US";"06. BW-EJECUCION";"07. VALIDACIÓN BAJAWARE";"08. CERRADA"},0),
 1,
 IF(
  MATCH(B1287,{"01. ASIGNACION AREA";"02. MAPEO";"03. DESARROLLO";"04. VALIDA US";"05. VOBO US";"06. BW-EJECUCION";"07. VALIDACIÓN BAJAWARE";"08. CERRADA"},0)
  =
  MATCH(_xlfn.XLOOKUP(INDEX($B:$B, (ROW()-7)),'Relacion '!$E:$E,'Relacion '!$D:$D,""),{"01. ASIGNACION AREA";"02. MAPEO";"03. DESARROLLO";"04. VALIDA US";"05. VOBO US";"06. BW-EJECUCION";"07. VALIDACIÓN BAJAWARE";"08. CERRADA"},0),
  _xlfn.XLOOKUP(INDEX($B:$B, (ROW()-7)),'Relacion '!$E:$E,'Relacion '!#REF!,0),
  0
 )
)</f>
        <v>0</v>
      </c>
      <c r="I1287" s="241">
        <f t="shared" ca="1" si="302"/>
        <v>1</v>
      </c>
      <c r="J1287" s="241"/>
      <c r="K1287" s="241"/>
      <c r="L1287" s="238"/>
    </row>
    <row r="1288" spans="2:12" outlineLevel="1">
      <c r="B1288" s="237" t="s">
        <v>656</v>
      </c>
      <c r="C1288" s="237" t="s">
        <v>656</v>
      </c>
      <c r="D1288" s="238" t="str">
        <f>_xlfn.XLOOKUP(B1288,'Relacion '!$E:$E,'Relacion '!$D:$D,"")</f>
        <v/>
      </c>
      <c r="E1288" s="239">
        <f t="shared" si="305"/>
        <v>0</v>
      </c>
      <c r="F1288" s="240" cm="1">
        <f t="array" ref="F1288">MIN(INDEX('Relacion '!$AL$5:$AM$493,MATCH(INDEX($B:$B, (ROW()-8)),'Relacion '!$E$5:$E$493,0),0))</f>
        <v>46130</v>
      </c>
      <c r="G1288" s="240" cm="1">
        <f t="array" ref="G1288">MAX(INDEX('Relacion '!$AL$5:$AM$493,MATCH(INDEX($B:$B, (ROW()-8)),'Relacion '!$E$5:$E$493,0),0))</f>
        <v>46130</v>
      </c>
      <c r="H1288" s="241" cm="1">
        <f t="array" ref="H1288">IF(
 MATCH(B1288,{"01. ASIGNACION AREA";"02. MAPEO";"03. DESARROLLO";"04. VALIDA US";"05. VOBO US";"06. BW-EJECUCION";"07. VALIDACIÓN BAJAWARE";"08. CERRADA"},0)
 &lt;
 MATCH(_xlfn.XLOOKUP(INDEX($B:$B, (ROW()-8)),'Relacion '!$E:$E,'Relacion '!$D:$D,""),{"01. ASIGNACION AREA";"02. MAPEO";"03. DESARROLLO";"04. VALIDA US";"05. VOBO US";"06. BW-EJECUCION";"07. VALIDACIÓN BAJAWARE";"08. CERRADA"},0),
 1,
 IF(
  MATCH(B1288,{"01. ASIGNACION AREA";"02. MAPEO";"03. DESARROLLO";"04. VALIDA US";"05. VOBO US";"06. BW-EJECUCION";"07. VALIDACIÓN BAJAWARE";"08. CERRADA"},0)
  =
  MATCH(_xlfn.XLOOKUP(INDEX($B:$B, (ROW()-8)),'Relacion '!$E:$E,'Relacion '!$D:$D,""),{"01. ASIGNACION AREA";"02. MAPEO";"03. DESARROLLO";"04. VALIDA US";"05. VOBO US";"06. BW-EJECUCION";"07. VALIDACIÓN BAJAWARE";"08. CERRADA"},0),
  _xlfn.XLOOKUP(INDEX($B:$B, (ROW()-8)),'Relacion '!$E:$E,'Relacion '!#REF!,0),
  0
 )
)</f>
        <v>0</v>
      </c>
      <c r="I1288" s="241">
        <f t="shared" ca="1" si="302"/>
        <v>1</v>
      </c>
      <c r="J1288" s="241"/>
      <c r="K1288" s="241"/>
      <c r="L1288" s="238"/>
    </row>
    <row r="1289" spans="2:12">
      <c r="B1289" s="232" t="s">
        <v>569</v>
      </c>
      <c r="C1289" s="174" t="s">
        <v>66</v>
      </c>
      <c r="D1289" s="236" t="str">
        <f>_xlfn.XLOOKUP(B1289,'Relacion '!$E:$E,'Relacion '!$D:$D,"")</f>
        <v>08. CERRADA</v>
      </c>
      <c r="E1289" s="233">
        <f t="shared" si="305"/>
        <v>450</v>
      </c>
      <c r="F1289" s="234" cm="1">
        <f t="array" ref="F1289">MIN(INDEX('Relacion '!$X$5:$AM$493,MATCH(INDEX($B:$B, (ROW()-0)),'Relacion '!$E$5:$E$493,0),0))</f>
        <v>45659</v>
      </c>
      <c r="G1289" s="234" cm="1">
        <f t="array" ref="G1289">MAX(INDEX('Relacion '!$X$5:$AM$493,MATCH(INDEX($B:$B, (ROW()-0)),'Relacion '!$E$5:$E$493,0),0))</f>
        <v>46109</v>
      </c>
      <c r="H1289" s="235" t="e">
        <f>AVERAGE(H1290:H1297)</f>
        <v>#REF!</v>
      </c>
      <c r="I1289" s="235">
        <f t="shared" ref="I1289" ca="1" si="306">AVERAGE(I1290:I1297)</f>
        <v>1</v>
      </c>
      <c r="J1289" s="236" t="str">
        <f>IF(ISNUMBER(SEARCH("Rocha", _xlfn.XLOOKUP(B1289,'Relacion '!$E:$E,'Relacion '!$I:$I,""))), "Sí", "No")</f>
        <v>No</v>
      </c>
      <c r="K1289" s="236" t="str">
        <f>IF(ISNUMBER(SEARCH("Rocha", _xlfn.XLOOKUP(B1289,'Relacion '!$E:$E,'Relacion '!$I:$I,""))), "RMC", _xlfn.XLOOKUP(B1289,'Relacion '!$E:$E,'Relacion '!$B:$B,""))</f>
        <v>Operaciones Credito</v>
      </c>
      <c r="L1289" s="236" t="str">
        <f>_xlfn.XLOOKUP(B1289,'Relacion '!$E:$E,'Relacion '!$C:$C,"")</f>
        <v>Luis Alberto</v>
      </c>
    </row>
    <row r="1290" spans="2:12" outlineLevel="1">
      <c r="B1290" s="237" t="s">
        <v>654</v>
      </c>
      <c r="C1290" s="237" t="s">
        <v>654</v>
      </c>
      <c r="D1290" s="238" t="str">
        <f>_xlfn.XLOOKUP(B1290,'Relacion '!$E:$E,'Relacion '!$D:$D,"")</f>
        <v/>
      </c>
      <c r="E1290" s="239">
        <f t="shared" si="305"/>
        <v>424</v>
      </c>
      <c r="F1290" s="240" cm="1">
        <f t="array" ref="F1290">MIN(INDEX('Relacion '!$X$5:$Y$493,MATCH(INDEX($B:$B, (ROW()-1)),'Relacion '!$E$5:$E$493,0),0))</f>
        <v>45659</v>
      </c>
      <c r="G1290" s="240" cm="1">
        <f t="array" ref="G1290">MAX(INDEX('Relacion '!$X$5:$Y$493,MATCH(INDEX($B:$B, (ROW()-1)),'Relacion '!$E$5:$E$493,0),0))</f>
        <v>46083</v>
      </c>
      <c r="H1290" s="241" cm="1">
        <f t="array" ref="H1290">IF(
 MATCH(B1290,{"01. ASIGNACION AREA";"02. MAPEO";"03. DESARROLLO";"04. VALIDA US";"05. VOBO US";"06. BW-EJECUCION";"07. VALIDACIÓN BAJAWARE";"08. CERRADA"},0)
 &lt;
 MATCH(_xlfn.XLOOKUP(INDEX($B:$B, (ROW()-1)),'Relacion '!$E:$E,'Relacion '!$D:$D,""),{"01. ASIGNACION AREA";"02. MAPEO";"03. DESARROLLO";"04. VALIDA US";"05. VOBO US";"06. BW-EJECUCION";"07. VALIDACIÓN BAJAWARE";"08. CERRADA"},0),
 1,
 IF(
  MATCH(B1290,{"01. ASIGNACION AREA";"02. MAPEO";"03. DESARROLLO";"04. VALIDA US";"05. VOBO US";"06. BW-EJECUCION";"07. VALIDACIÓN BAJAWARE";"08. CERRADA"},0)
  =
  MATCH(_xlfn.XLOOKUP(INDEX($B:$B, (ROW()-1)),'Relacion '!$E:$E,'Relacion '!$D:$D,""),{"01. ASIGNACION AREA";"02. MAPEO";"03. DESARROLLO";"04. VALIDA US";"05. VOBO US";"06. BW-EJECUCION";"07. VALIDACIÓN BAJAWARE";"08. CERRADA"},0),
  _xlfn.XLOOKUP(INDEX($B:$B, (ROW()-1)),'Relacion '!$E:$E,'Relacion '!#REF!,0),
  0
 )
)</f>
        <v>1</v>
      </c>
      <c r="I1290" s="241">
        <f t="shared" ref="I1290" ca="1" si="307">IF(G1290&lt;=TODAY(), 1, 0)</f>
        <v>1</v>
      </c>
      <c r="J1290" s="241"/>
      <c r="K1290" s="241"/>
      <c r="L1290" s="238"/>
    </row>
    <row r="1291" spans="2:12" outlineLevel="1">
      <c r="B1291" s="237" t="s">
        <v>195</v>
      </c>
      <c r="C1291" s="237" t="s">
        <v>195</v>
      </c>
      <c r="D1291" s="238" t="str">
        <f>_xlfn.XLOOKUP(B1291,'Relacion '!$E:$E,'Relacion '!$D:$D,"")</f>
        <v/>
      </c>
      <c r="E1291" s="239">
        <f t="shared" si="305"/>
        <v>0</v>
      </c>
      <c r="F1291" s="240" cm="1">
        <f t="array" ref="F1291">MIN(INDEX('Relacion '!$Z$5:$AA$493,MATCH(INDEX($B:$B, (ROW()-2)),'Relacion '!$E$5:$E$493,0),0))</f>
        <v>46108</v>
      </c>
      <c r="G1291" s="240" cm="1">
        <f t="array" ref="G1291">MAX(INDEX('Relacion '!$Z$5:$AA$493,MATCH(INDEX($B:$B, (ROW()-2)),'Relacion '!$E$5:$E$493,0),0))</f>
        <v>46108</v>
      </c>
      <c r="H1291" s="241" cm="1">
        <f t="array" ref="H1291">IF(
 MATCH(B1291,{"01. ASIGNACION AREA";"02. MAPEO";"03. DESARROLLO";"04. VALIDA US";"05. VOBO US";"06. BW-EJECUCION";"07. VALIDACIÓN BAJAWARE";"08. CERRADA"},0)
 &lt;
 MATCH(_xlfn.XLOOKUP(INDEX($B:$B, (ROW()-2)),'Relacion '!$E:$E,'Relacion '!$D:$D,""),{"01. ASIGNACION AREA";"02. MAPEO";"03. DESARROLLO";"04. VALIDA US";"05. VOBO US";"06. BW-EJECUCION";"07. VALIDACIÓN BAJAWARE";"08. CERRADA"},0),
 1,
 IF(
  MATCH(B1291,{"01. ASIGNACION AREA";"02. MAPEO";"03. DESARROLLO";"04. VALIDA US";"05. VOBO US";"06. BW-EJECUCION";"07. VALIDACIÓN BAJAWARE";"08. CERRADA"},0)
  =
  MATCH(_xlfn.XLOOKUP(INDEX($B:$B, (ROW()-2)),'Relacion '!$E:$E,'Relacion '!$D:$D,""),{"01. ASIGNACION AREA";"02. MAPEO";"03. DESARROLLO";"04. VALIDA US";"05. VOBO US";"06. BW-EJECUCION";"07. VALIDACIÓN BAJAWARE";"08. CERRADA"},0),
  _xlfn.XLOOKUP(INDEX($B:$B, (ROW()-2)),'Relacion '!$E:$E,'Relacion '!#REF!,0),
  0
 )
)</f>
        <v>1</v>
      </c>
      <c r="I1291" s="241">
        <f t="shared" ca="1" si="302"/>
        <v>1</v>
      </c>
      <c r="J1291" s="241"/>
      <c r="K1291" s="241"/>
      <c r="L1291" s="238"/>
    </row>
    <row r="1292" spans="2:12" outlineLevel="1">
      <c r="B1292" s="237" t="s">
        <v>49</v>
      </c>
      <c r="C1292" s="237" t="s">
        <v>49</v>
      </c>
      <c r="D1292" s="238" t="str">
        <f>_xlfn.XLOOKUP(B1292,'Relacion '!$E:$E,'Relacion '!$D:$D,"")</f>
        <v/>
      </c>
      <c r="E1292" s="239">
        <f t="shared" si="305"/>
        <v>0</v>
      </c>
      <c r="F1292" s="240" cm="1">
        <f t="array" ref="F1292">MIN(INDEX('Relacion '!$AB$5:$AC$493,MATCH(INDEX($B:$B, (ROW()-3)),'Relacion '!$E$5:$E$493,0),0))</f>
        <v>46108</v>
      </c>
      <c r="G1292" s="240" cm="1">
        <f t="array" ref="G1292">MAX(INDEX('Relacion '!$AB$5:$AC$493,MATCH(INDEX($B:$B, (ROW()-3)),'Relacion '!$E$5:$E$493,0),0))</f>
        <v>46108</v>
      </c>
      <c r="H1292" s="241" cm="1">
        <f t="array" ref="H1292">IF(
 MATCH(B1292,{"01. ASIGNACION AREA";"02. MAPEO";"03. DESARROLLO";"04. VALIDA US";"05. VOBO US";"06. BW-EJECUCION";"07. VALIDACIÓN BAJAWARE";"08. CERRADA"},0)
 &lt;
 MATCH(_xlfn.XLOOKUP(INDEX($B:$B, (ROW()-3)),'Relacion '!$E:$E,'Relacion '!$D:$D,""),{"01. ASIGNACION AREA";"02. MAPEO";"03. DESARROLLO";"04. VALIDA US";"05. VOBO US";"06. BW-EJECUCION";"07. VALIDACIÓN BAJAWARE";"08. CERRADA"},0),
 1,
 IF(
  MATCH(B1292,{"01. ASIGNACION AREA";"02. MAPEO";"03. DESARROLLO";"04. VALIDA US";"05. VOBO US";"06. BW-EJECUCION";"07. VALIDACIÓN BAJAWARE";"08. CERRADA"},0)
  =
  MATCH(_xlfn.XLOOKUP(INDEX($B:$B, (ROW()-3)),'Relacion '!$E:$E,'Relacion '!$D:$D,""),{"01. ASIGNACION AREA";"02. MAPEO";"03. DESARROLLO";"04. VALIDA US";"05. VOBO US";"06. BW-EJECUCION";"07. VALIDACIÓN BAJAWARE";"08. CERRADA"},0),
  _xlfn.XLOOKUP(INDEX($B:$B, (ROW()-3)),'Relacion '!$E:$E,'Relacion '!#REF!,0),
  0
 )
)</f>
        <v>1</v>
      </c>
      <c r="I1292" s="241">
        <f t="shared" ca="1" si="302"/>
        <v>1</v>
      </c>
      <c r="J1292" s="241"/>
      <c r="K1292" s="241"/>
      <c r="L1292" s="238"/>
    </row>
    <row r="1293" spans="2:12" outlineLevel="1">
      <c r="B1293" s="237" t="s">
        <v>324</v>
      </c>
      <c r="C1293" s="237" t="s">
        <v>324</v>
      </c>
      <c r="D1293" s="238" t="str">
        <f>_xlfn.XLOOKUP(B1293,'Relacion '!$E:$E,'Relacion '!$D:$D,"")</f>
        <v/>
      </c>
      <c r="E1293" s="239">
        <f t="shared" si="305"/>
        <v>0</v>
      </c>
      <c r="F1293" s="240" cm="1">
        <f t="array" ref="F1293">MIN(INDEX('Relacion '!$AD$5:$AE$493,MATCH(INDEX($B:$B, (ROW()-4)),'Relacion '!$E$5:$E$493,0),0))</f>
        <v>46108</v>
      </c>
      <c r="G1293" s="240" cm="1">
        <f t="array" ref="G1293">MAX(INDEX('Relacion '!$AD$5:$AE$493,MATCH(INDEX($B:$B, (ROW()-4)),'Relacion '!$E$5:$E$493,0),0))</f>
        <v>46108</v>
      </c>
      <c r="H1293" s="241" cm="1">
        <f t="array" ref="H1293">IF(
 MATCH(B1293,{"01. ASIGNACION AREA";"02. MAPEO";"03. DESARROLLO";"04. VALIDA US";"05. VOBO US";"06. BW-EJECUCION";"07. VALIDACIÓN BAJAWARE";"08. CERRADA"},0)
 &lt;
 MATCH(_xlfn.XLOOKUP(INDEX($B:$B, (ROW()-4)),'Relacion '!$E:$E,'Relacion '!$D:$D,""),{"01. ASIGNACION AREA";"02. MAPEO";"03. DESARROLLO";"04. VALIDA US";"05. VOBO US";"06. BW-EJECUCION";"07. VALIDACIÓN BAJAWARE";"08. CERRADA"},0),
 1,
 IF(
  MATCH(B1293,{"01. ASIGNACION AREA";"02. MAPEO";"03. DESARROLLO";"04. VALIDA US";"05. VOBO US";"06. BW-EJECUCION";"07. VALIDACIÓN BAJAWARE";"08. CERRADA"},0)
  =
  MATCH(_xlfn.XLOOKUP(INDEX($B:$B, (ROW()-4)),'Relacion '!$E:$E,'Relacion '!$D:$D,""),{"01. ASIGNACION AREA";"02. MAPEO";"03. DESARROLLO";"04. VALIDA US";"05. VOBO US";"06. BW-EJECUCION";"07. VALIDACIÓN BAJAWARE";"08. CERRADA"},0),
  _xlfn.XLOOKUP(INDEX($B:$B, (ROW()-4)),'Relacion '!$E:$E,'Relacion '!#REF!,0),
  0
 )
)</f>
        <v>1</v>
      </c>
      <c r="I1293" s="241">
        <f t="shared" ca="1" si="302"/>
        <v>1</v>
      </c>
      <c r="J1293" s="241"/>
      <c r="K1293" s="241"/>
      <c r="L1293" s="238"/>
    </row>
    <row r="1294" spans="2:12" outlineLevel="1">
      <c r="B1294" s="237" t="s">
        <v>320</v>
      </c>
      <c r="C1294" s="237" t="s">
        <v>320</v>
      </c>
      <c r="D1294" s="238" t="str">
        <f>_xlfn.XLOOKUP(B1294,'Relacion '!$E:$E,'Relacion '!$D:$D,"")</f>
        <v/>
      </c>
      <c r="E1294" s="239">
        <f t="shared" si="305"/>
        <v>0</v>
      </c>
      <c r="F1294" s="240" cm="1">
        <f t="array" ref="F1294">MIN(INDEX('Relacion '!$AF$5:$AG$493,MATCH(INDEX($B:$B, (ROW()-5)),'Relacion '!$E$5:$E$493,0),0))</f>
        <v>46108</v>
      </c>
      <c r="G1294" s="240" cm="1">
        <f t="array" ref="G1294">MAX(INDEX('Relacion '!$AF$5:$AG$493,MATCH(INDEX($B:$B, (ROW()-5)),'Relacion '!$E$5:$E$493,0),0))</f>
        <v>46108</v>
      </c>
      <c r="H1294" s="241" cm="1">
        <f t="array" ref="H1294">IF(
 MATCH(B1294,{"01. ASIGNACION AREA";"02. MAPEO";"03. DESARROLLO";"04. VALIDA US";"05. VOBO US";"06. BW-EJECUCION";"07. VALIDACIÓN BAJAWARE";"08. CERRADA"},0)
 &lt;
 MATCH(_xlfn.XLOOKUP(INDEX($B:$B, (ROW()-5)),'Relacion '!$E:$E,'Relacion '!$D:$D,""),{"01. ASIGNACION AREA";"02. MAPEO";"03. DESARROLLO";"04. VALIDA US";"05. VOBO US";"06. BW-EJECUCION";"07. VALIDACIÓN BAJAWARE";"08. CERRADA"},0),
 1,
 IF(
  MATCH(B1294,{"01. ASIGNACION AREA";"02. MAPEO";"03. DESARROLLO";"04. VALIDA US";"05. VOBO US";"06. BW-EJECUCION";"07. VALIDACIÓN BAJAWARE";"08. CERRADA"},0)
  =
  MATCH(_xlfn.XLOOKUP(INDEX($B:$B, (ROW()-5)),'Relacion '!$E:$E,'Relacion '!$D:$D,""),{"01. ASIGNACION AREA";"02. MAPEO";"03. DESARROLLO";"04. VALIDA US";"05. VOBO US";"06. BW-EJECUCION";"07. VALIDACIÓN BAJAWARE";"08. CERRADA"},0),
  _xlfn.XLOOKUP(INDEX($B:$B, (ROW()-5)),'Relacion '!$E:$E,'Relacion '!#REF!,0),
  0
 )
)</f>
        <v>1</v>
      </c>
      <c r="I1294" s="241">
        <f t="shared" ca="1" si="302"/>
        <v>1</v>
      </c>
      <c r="J1294" s="241"/>
      <c r="K1294" s="241"/>
      <c r="L1294" s="238"/>
    </row>
    <row r="1295" spans="2:12" outlineLevel="1">
      <c r="B1295" s="237" t="s">
        <v>710</v>
      </c>
      <c r="C1295" s="237" t="s">
        <v>710</v>
      </c>
      <c r="D1295" s="238" t="str">
        <f>_xlfn.XLOOKUP(B1295,'Relacion '!$E:$E,'Relacion '!$D:$D,"")</f>
        <v/>
      </c>
      <c r="E1295" s="239">
        <f t="shared" si="305"/>
        <v>0</v>
      </c>
      <c r="F1295" s="240" cm="1">
        <f t="array" ref="F1295">MIN(INDEX('Relacion '!$AH$5:$AI$493,MATCH(INDEX($B:$B, (ROW()-6)),'Relacion '!$E$5:$E$493,0),0))</f>
        <v>46108</v>
      </c>
      <c r="G1295" s="240" cm="1">
        <f t="array" ref="G1295">MAX(INDEX('Relacion '!$AH$5:$AI$493,MATCH(INDEX($B:$B, (ROW()-6)),'Relacion '!$E$5:$E$493,0),0))</f>
        <v>46108</v>
      </c>
      <c r="H1295" s="241" cm="1">
        <f t="array" ref="H1295">IF(
 MATCH(B1295,{"01. ASIGNACION AREA";"02. MAPEO";"03. DESARROLLO";"04. VALIDA US";"05. VOBO US";"06. BW-EJECUCION";"07. VALIDACIÓN BAJAWARE";"08. CERRADA"},0)
 &lt;
 MATCH(_xlfn.XLOOKUP(INDEX($B:$B, (ROW()-6)),'Relacion '!$E:$E,'Relacion '!$D:$D,""),{"01. ASIGNACION AREA";"02. MAPEO";"03. DESARROLLO";"04. VALIDA US";"05. VOBO US";"06. BW-EJECUCION";"07. VALIDACIÓN BAJAWARE";"08. CERRADA"},0),
 1,
 IF(
  MATCH(B1295,{"01. ASIGNACION AREA";"02. MAPEO";"03. DESARROLLO";"04. VALIDA US";"05. VOBO US";"06. BW-EJECUCION";"07. VALIDACIÓN BAJAWARE";"08. CERRADA"},0)
  =
  MATCH(_xlfn.XLOOKUP(INDEX($B:$B, (ROW()-6)),'Relacion '!$E:$E,'Relacion '!$D:$D,""),{"01. ASIGNACION AREA";"02. MAPEO";"03. DESARROLLO";"04. VALIDA US";"05. VOBO US";"06. BW-EJECUCION";"07. VALIDACIÓN BAJAWARE";"08. CERRADA"},0),
  _xlfn.XLOOKUP(INDEX($B:$B, (ROW()-6)),'Relacion '!$E:$E,'Relacion '!#REF!,0),
  0
 )
)</f>
        <v>1</v>
      </c>
      <c r="I1295" s="241">
        <f t="shared" ca="1" si="302"/>
        <v>1</v>
      </c>
      <c r="J1295" s="241"/>
      <c r="K1295" s="241"/>
      <c r="L1295" s="238"/>
    </row>
    <row r="1296" spans="2:12" outlineLevel="1">
      <c r="B1296" s="237" t="s">
        <v>655</v>
      </c>
      <c r="C1296" s="237" t="s">
        <v>655</v>
      </c>
      <c r="D1296" s="238" t="str">
        <f>_xlfn.XLOOKUP(B1296,'Relacion '!$E:$E,'Relacion '!$D:$D,"")</f>
        <v/>
      </c>
      <c r="E1296" s="239">
        <f t="shared" si="305"/>
        <v>0</v>
      </c>
      <c r="F1296" s="240" cm="1">
        <f t="array" ref="F1296">MIN(INDEX('Relacion '!$AJ$5:$AK$493,MATCH(INDEX($B:$B, (ROW()-7)),'Relacion '!$E$5:$E$493,0),0))</f>
        <v>46108</v>
      </c>
      <c r="G1296" s="240" cm="1">
        <f t="array" ref="G1296">MAX(INDEX('Relacion '!$AJ$5:$AK$493,MATCH(INDEX($B:$B, (ROW()-7)),'Relacion '!$E$5:$E$493,0),0))</f>
        <v>46108</v>
      </c>
      <c r="H1296" s="241" cm="1">
        <f t="array" ref="H1296">IF(
 MATCH(B1296,{"01. ASIGNACION AREA";"02. MAPEO";"03. DESARROLLO";"04. VALIDA US";"05. VOBO US";"06. BW-EJECUCION";"07. VALIDACIÓN BAJAWARE";"08. CERRADA"},0)
 &lt;
 MATCH(_xlfn.XLOOKUP(INDEX($B:$B, (ROW()-7)),'Relacion '!$E:$E,'Relacion '!$D:$D,""),{"01. ASIGNACION AREA";"02. MAPEO";"03. DESARROLLO";"04. VALIDA US";"05. VOBO US";"06. BW-EJECUCION";"07. VALIDACIÓN BAJAWARE";"08. CERRADA"},0),
 1,
 IF(
  MATCH(B1296,{"01. ASIGNACION AREA";"02. MAPEO";"03. DESARROLLO";"04. VALIDA US";"05. VOBO US";"06. BW-EJECUCION";"07. VALIDACIÓN BAJAWARE";"08. CERRADA"},0)
  =
  MATCH(_xlfn.XLOOKUP(INDEX($B:$B, (ROW()-7)),'Relacion '!$E:$E,'Relacion '!$D:$D,""),{"01. ASIGNACION AREA";"02. MAPEO";"03. DESARROLLO";"04. VALIDA US";"05. VOBO US";"06. BW-EJECUCION";"07. VALIDACIÓN BAJAWARE";"08. CERRADA"},0),
  _xlfn.XLOOKUP(INDEX($B:$B, (ROW()-7)),'Relacion '!$E:$E,'Relacion '!#REF!,0),
  0
 )
)</f>
        <v>1</v>
      </c>
      <c r="I1296" s="241">
        <f t="shared" ca="1" si="302"/>
        <v>1</v>
      </c>
      <c r="J1296" s="241"/>
      <c r="K1296" s="241"/>
      <c r="L1296" s="238"/>
    </row>
    <row r="1297" spans="2:12" outlineLevel="1">
      <c r="B1297" s="237" t="s">
        <v>656</v>
      </c>
      <c r="C1297" s="237" t="s">
        <v>656</v>
      </c>
      <c r="D1297" s="238" t="str">
        <f>_xlfn.XLOOKUP(B1297,'Relacion '!$E:$E,'Relacion '!$D:$D,"")</f>
        <v/>
      </c>
      <c r="E1297" s="239">
        <f t="shared" si="305"/>
        <v>0</v>
      </c>
      <c r="F1297" s="240" cm="1">
        <f t="array" ref="F1297">MIN(INDEX('Relacion '!$AL$5:$AM$493,MATCH(INDEX($B:$B, (ROW()-8)),'Relacion '!$E$5:$E$493,0),0))</f>
        <v>46109</v>
      </c>
      <c r="G1297" s="240" cm="1">
        <f t="array" ref="G1297">MAX(INDEX('Relacion '!$AL$5:$AM$493,MATCH(INDEX($B:$B, (ROW()-8)),'Relacion '!$E$5:$E$493,0),0))</f>
        <v>46109</v>
      </c>
      <c r="H1297" s="241" t="e" cm="1">
        <f t="array" ref="H1297">IF(
 MATCH(B1297,{"01. ASIGNACION AREA";"02. MAPEO";"03. DESARROLLO";"04. VALIDA US";"05. VOBO US";"06. BW-EJECUCION";"07. VALIDACIÓN BAJAWARE";"08. CERRADA"},0)
 &lt;
 MATCH(_xlfn.XLOOKUP(INDEX($B:$B, (ROW()-8)),'Relacion '!$E:$E,'Relacion '!$D:$D,""),{"01. ASIGNACION AREA";"02. MAPEO";"03. DESARROLLO";"04. VALIDA US";"05. VOBO US";"06. BW-EJECUCION";"07. VALIDACIÓN BAJAWARE";"08. CERRADA"},0),
 1,
 IF(
  MATCH(B1297,{"01. ASIGNACION AREA";"02. MAPEO";"03. DESARROLLO";"04. VALIDA US";"05. VOBO US";"06. BW-EJECUCION";"07. VALIDACIÓN BAJAWARE";"08. CERRADA"},0)
  =
  MATCH(_xlfn.XLOOKUP(INDEX($B:$B, (ROW()-8)),'Relacion '!$E:$E,'Relacion '!$D:$D,""),{"01. ASIGNACION AREA";"02. MAPEO";"03. DESARROLLO";"04. VALIDA US";"05. VOBO US";"06. BW-EJECUCION";"07. VALIDACIÓN BAJAWARE";"08. CERRADA"},0),
  _xlfn.XLOOKUP(INDEX($B:$B, (ROW()-8)),'Relacion '!$E:$E,'Relacion '!#REF!,0),
  0
 )
)</f>
        <v>#REF!</v>
      </c>
      <c r="I1297" s="241">
        <f t="shared" ca="1" si="302"/>
        <v>1</v>
      </c>
      <c r="J1297" s="241"/>
      <c r="K1297" s="241"/>
      <c r="L1297" s="238"/>
    </row>
    <row r="1298" spans="2:12">
      <c r="B1298" s="232" t="s">
        <v>570</v>
      </c>
      <c r="C1298" s="167" t="s">
        <v>66</v>
      </c>
      <c r="D1298" s="236" t="str">
        <f>_xlfn.XLOOKUP(B1298,'Relacion '!$E:$E,'Relacion '!$D:$D,"")</f>
        <v>06. BW-EJECUCION</v>
      </c>
      <c r="E1298" s="233">
        <f t="shared" si="305"/>
        <v>106</v>
      </c>
      <c r="F1298" s="234" cm="1">
        <f t="array" ref="F1298">MIN(INDEX('Relacion '!$X$5:$AM$493,MATCH(INDEX($B:$B, (ROW()-0)),'Relacion '!$E$5:$E$493,0),0))</f>
        <v>46024</v>
      </c>
      <c r="G1298" s="234" cm="1">
        <f t="array" ref="G1298">MAX(INDEX('Relacion '!$X$5:$AM$493,MATCH(INDEX($B:$B, (ROW()-0)),'Relacion '!$E$5:$E$493,0),0))</f>
        <v>46130</v>
      </c>
      <c r="H1298" s="235" t="e">
        <f>AVERAGE(H1299:H1306)</f>
        <v>#REF!</v>
      </c>
      <c r="I1298" s="235">
        <f t="shared" ref="I1298" ca="1" si="308">AVERAGE(I1299:I1306)</f>
        <v>1</v>
      </c>
      <c r="J1298" s="236" t="str">
        <f>IF(ISNUMBER(SEARCH("Rocha", _xlfn.XLOOKUP(B1298,'Relacion '!$E:$E,'Relacion '!$I:$I,""))), "Sí", "No")</f>
        <v>No</v>
      </c>
      <c r="K1298" s="236" t="str">
        <f>IF(ISNUMBER(SEARCH("Rocha", _xlfn.XLOOKUP(B1298,'Relacion '!$E:$E,'Relacion '!$I:$I,""))), "RMC", _xlfn.XLOOKUP(B1298,'Relacion '!$E:$E,'Relacion '!$B:$B,""))</f>
        <v>Riesgos</v>
      </c>
      <c r="L1298" s="236" t="str">
        <f>_xlfn.XLOOKUP(B1298,'Relacion '!$E:$E,'Relacion '!$C:$C,"")</f>
        <v>Homero Sanchez</v>
      </c>
    </row>
    <row r="1299" spans="2:12" outlineLevel="1">
      <c r="B1299" s="237" t="s">
        <v>654</v>
      </c>
      <c r="C1299" s="237" t="s">
        <v>654</v>
      </c>
      <c r="D1299" s="238" t="str">
        <f>_xlfn.XLOOKUP(B1299,'Relacion '!$E:$E,'Relacion '!$D:$D,"")</f>
        <v/>
      </c>
      <c r="E1299" s="239">
        <f t="shared" si="305"/>
        <v>59</v>
      </c>
      <c r="F1299" s="240" cm="1">
        <f t="array" ref="F1299">MIN(INDEX('Relacion '!$X$5:$Y$493,MATCH(INDEX($B:$B, (ROW()-1)),'Relacion '!$E$5:$E$493,0),0))</f>
        <v>46024</v>
      </c>
      <c r="G1299" s="240" cm="1">
        <f t="array" ref="G1299">MAX(INDEX('Relacion '!$X$5:$Y$493,MATCH(INDEX($B:$B, (ROW()-1)),'Relacion '!$E$5:$E$493,0),0))</f>
        <v>46083</v>
      </c>
      <c r="H1299" s="241" cm="1">
        <f t="array" ref="H1299">IF(
 MATCH(B1299,{"01. ASIGNACION AREA";"02. MAPEO";"03. DESARROLLO";"04. VALIDA US";"05. VOBO US";"06. BW-EJECUCION";"07. VALIDACIÓN BAJAWARE";"08. CERRADA"},0)
 &lt;
 MATCH(_xlfn.XLOOKUP(INDEX($B:$B, (ROW()-1)),'Relacion '!$E:$E,'Relacion '!$D:$D,""),{"01. ASIGNACION AREA";"02. MAPEO";"03. DESARROLLO";"04. VALIDA US";"05. VOBO US";"06. BW-EJECUCION";"07. VALIDACIÓN BAJAWARE";"08. CERRADA"},0),
 1,
 IF(
  MATCH(B1299,{"01. ASIGNACION AREA";"02. MAPEO";"03. DESARROLLO";"04. VALIDA US";"05. VOBO US";"06. BW-EJECUCION";"07. VALIDACIÓN BAJAWARE";"08. CERRADA"},0)
  =
  MATCH(_xlfn.XLOOKUP(INDEX($B:$B, (ROW()-1)),'Relacion '!$E:$E,'Relacion '!$D:$D,""),{"01. ASIGNACION AREA";"02. MAPEO";"03. DESARROLLO";"04. VALIDA US";"05. VOBO US";"06. BW-EJECUCION";"07. VALIDACIÓN BAJAWARE";"08. CERRADA"},0),
  _xlfn.XLOOKUP(INDEX($B:$B, (ROW()-1)),'Relacion '!$E:$E,'Relacion '!#REF!,0),
  0
 )
)</f>
        <v>1</v>
      </c>
      <c r="I1299" s="241">
        <f t="shared" ref="I1299" ca="1" si="309">IF(G1299&lt;=TODAY(), 1, 0)</f>
        <v>1</v>
      </c>
      <c r="J1299" s="241"/>
      <c r="K1299" s="241"/>
      <c r="L1299" s="238"/>
    </row>
    <row r="1300" spans="2:12" outlineLevel="1">
      <c r="B1300" s="237" t="s">
        <v>195</v>
      </c>
      <c r="C1300" s="237" t="s">
        <v>195</v>
      </c>
      <c r="D1300" s="238" t="str">
        <f>_xlfn.XLOOKUP(B1300,'Relacion '!$E:$E,'Relacion '!$D:$D,"")</f>
        <v/>
      </c>
      <c r="E1300" s="239">
        <f t="shared" si="305"/>
        <v>4</v>
      </c>
      <c r="F1300" s="240" cm="1">
        <f t="array" ref="F1300">MIN(INDEX('Relacion '!$Z$5:$AA$493,MATCH(INDEX($B:$B, (ROW()-2)),'Relacion '!$E$5:$E$493,0),0))</f>
        <v>46041</v>
      </c>
      <c r="G1300" s="240" cm="1">
        <f t="array" ref="G1300">MAX(INDEX('Relacion '!$Z$5:$AA$493,MATCH(INDEX($B:$B, (ROW()-2)),'Relacion '!$E$5:$E$493,0),0))</f>
        <v>46045</v>
      </c>
      <c r="H1300" s="241" cm="1">
        <f t="array" ref="H1300">IF(
 MATCH(B1300,{"01. ASIGNACION AREA";"02. MAPEO";"03. DESARROLLO";"04. VALIDA US";"05. VOBO US";"06. BW-EJECUCION";"07. VALIDACIÓN BAJAWARE";"08. CERRADA"},0)
 &lt;
 MATCH(_xlfn.XLOOKUP(INDEX($B:$B, (ROW()-2)),'Relacion '!$E:$E,'Relacion '!$D:$D,""),{"01. ASIGNACION AREA";"02. MAPEO";"03. DESARROLLO";"04. VALIDA US";"05. VOBO US";"06. BW-EJECUCION";"07. VALIDACIÓN BAJAWARE";"08. CERRADA"},0),
 1,
 IF(
  MATCH(B1300,{"01. ASIGNACION AREA";"02. MAPEO";"03. DESARROLLO";"04. VALIDA US";"05. VOBO US";"06. BW-EJECUCION";"07. VALIDACIÓN BAJAWARE";"08. CERRADA"},0)
  =
  MATCH(_xlfn.XLOOKUP(INDEX($B:$B, (ROW()-2)),'Relacion '!$E:$E,'Relacion '!$D:$D,""),{"01. ASIGNACION AREA";"02. MAPEO";"03. DESARROLLO";"04. VALIDA US";"05. VOBO US";"06. BW-EJECUCION";"07. VALIDACIÓN BAJAWARE";"08. CERRADA"},0),
  _xlfn.XLOOKUP(INDEX($B:$B, (ROW()-2)),'Relacion '!$E:$E,'Relacion '!#REF!,0),
  0
 )
)</f>
        <v>1</v>
      </c>
      <c r="I1300" s="241">
        <f t="shared" ca="1" si="302"/>
        <v>1</v>
      </c>
      <c r="J1300" s="241"/>
      <c r="K1300" s="241"/>
      <c r="L1300" s="238"/>
    </row>
    <row r="1301" spans="2:12" outlineLevel="1">
      <c r="B1301" s="237" t="s">
        <v>49</v>
      </c>
      <c r="C1301" s="237" t="s">
        <v>49</v>
      </c>
      <c r="D1301" s="238" t="str">
        <f>_xlfn.XLOOKUP(B1301,'Relacion '!$E:$E,'Relacion '!$D:$D,"")</f>
        <v/>
      </c>
      <c r="E1301" s="239">
        <f t="shared" si="305"/>
        <v>4</v>
      </c>
      <c r="F1301" s="240" cm="1">
        <f t="array" ref="F1301">MIN(INDEX('Relacion '!$AB$5:$AC$493,MATCH(INDEX($B:$B, (ROW()-3)),'Relacion '!$E$5:$E$493,0),0))</f>
        <v>46048</v>
      </c>
      <c r="G1301" s="240" cm="1">
        <f t="array" ref="G1301">MAX(INDEX('Relacion '!$AB$5:$AC$493,MATCH(INDEX($B:$B, (ROW()-3)),'Relacion '!$E$5:$E$493,0),0))</f>
        <v>46052</v>
      </c>
      <c r="H1301" s="241" cm="1">
        <f t="array" ref="H1301">IF(
 MATCH(B1301,{"01. ASIGNACION AREA";"02. MAPEO";"03. DESARROLLO";"04. VALIDA US";"05. VOBO US";"06. BW-EJECUCION";"07. VALIDACIÓN BAJAWARE";"08. CERRADA"},0)
 &lt;
 MATCH(_xlfn.XLOOKUP(INDEX($B:$B, (ROW()-3)),'Relacion '!$E:$E,'Relacion '!$D:$D,""),{"01. ASIGNACION AREA";"02. MAPEO";"03. DESARROLLO";"04. VALIDA US";"05. VOBO US";"06. BW-EJECUCION";"07. VALIDACIÓN BAJAWARE";"08. CERRADA"},0),
 1,
 IF(
  MATCH(B1301,{"01. ASIGNACION AREA";"02. MAPEO";"03. DESARROLLO";"04. VALIDA US";"05. VOBO US";"06. BW-EJECUCION";"07. VALIDACIÓN BAJAWARE";"08. CERRADA"},0)
  =
  MATCH(_xlfn.XLOOKUP(INDEX($B:$B, (ROW()-3)),'Relacion '!$E:$E,'Relacion '!$D:$D,""),{"01. ASIGNACION AREA";"02. MAPEO";"03. DESARROLLO";"04. VALIDA US";"05. VOBO US";"06. BW-EJECUCION";"07. VALIDACIÓN BAJAWARE";"08. CERRADA"},0),
  _xlfn.XLOOKUP(INDEX($B:$B, (ROW()-3)),'Relacion '!$E:$E,'Relacion '!#REF!,0),
  0
 )
)</f>
        <v>1</v>
      </c>
      <c r="I1301" s="241">
        <f t="shared" ca="1" si="302"/>
        <v>1</v>
      </c>
      <c r="J1301" s="241"/>
      <c r="K1301" s="241"/>
      <c r="L1301" s="238"/>
    </row>
    <row r="1302" spans="2:12" outlineLevel="1">
      <c r="B1302" s="237" t="s">
        <v>324</v>
      </c>
      <c r="C1302" s="237" t="s">
        <v>324</v>
      </c>
      <c r="D1302" s="238" t="str">
        <f>_xlfn.XLOOKUP(B1302,'Relacion '!$E:$E,'Relacion '!$D:$D,"")</f>
        <v/>
      </c>
      <c r="E1302" s="239">
        <f t="shared" si="305"/>
        <v>11</v>
      </c>
      <c r="F1302" s="240" cm="1">
        <f t="array" ref="F1302">MIN(INDEX('Relacion '!$AD$5:$AE$493,MATCH(INDEX($B:$B, (ROW()-4)),'Relacion '!$E$5:$E$493,0),0))</f>
        <v>46055</v>
      </c>
      <c r="G1302" s="240" cm="1">
        <f t="array" ref="G1302">MAX(INDEX('Relacion '!$AD$5:$AE$493,MATCH(INDEX($B:$B, (ROW()-4)),'Relacion '!$E$5:$E$493,0),0))</f>
        <v>46066</v>
      </c>
      <c r="H1302" s="241" cm="1">
        <f t="array" ref="H1302">IF(
 MATCH(B1302,{"01. ASIGNACION AREA";"02. MAPEO";"03. DESARROLLO";"04. VALIDA US";"05. VOBO US";"06. BW-EJECUCION";"07. VALIDACIÓN BAJAWARE";"08. CERRADA"},0)
 &lt;
 MATCH(_xlfn.XLOOKUP(INDEX($B:$B, (ROW()-4)),'Relacion '!$E:$E,'Relacion '!$D:$D,""),{"01. ASIGNACION AREA";"02. MAPEO";"03. DESARROLLO";"04. VALIDA US";"05. VOBO US";"06. BW-EJECUCION";"07. VALIDACIÓN BAJAWARE";"08. CERRADA"},0),
 1,
 IF(
  MATCH(B1302,{"01. ASIGNACION AREA";"02. MAPEO";"03. DESARROLLO";"04. VALIDA US";"05. VOBO US";"06. BW-EJECUCION";"07. VALIDACIÓN BAJAWARE";"08. CERRADA"},0)
  =
  MATCH(_xlfn.XLOOKUP(INDEX($B:$B, (ROW()-4)),'Relacion '!$E:$E,'Relacion '!$D:$D,""),{"01. ASIGNACION AREA";"02. MAPEO";"03. DESARROLLO";"04. VALIDA US";"05. VOBO US";"06. BW-EJECUCION";"07. VALIDACIÓN BAJAWARE";"08. CERRADA"},0),
  _xlfn.XLOOKUP(INDEX($B:$B, (ROW()-4)),'Relacion '!$E:$E,'Relacion '!#REF!,0),
  0
 )
)</f>
        <v>1</v>
      </c>
      <c r="I1302" s="241">
        <f t="shared" ca="1" si="302"/>
        <v>1</v>
      </c>
      <c r="J1302" s="241"/>
      <c r="K1302" s="241"/>
      <c r="L1302" s="238"/>
    </row>
    <row r="1303" spans="2:12" outlineLevel="1">
      <c r="B1303" s="237" t="s">
        <v>320</v>
      </c>
      <c r="C1303" s="237" t="s">
        <v>320</v>
      </c>
      <c r="D1303" s="238" t="str">
        <f>_xlfn.XLOOKUP(B1303,'Relacion '!$E:$E,'Relacion '!$D:$D,"")</f>
        <v/>
      </c>
      <c r="E1303" s="239">
        <f t="shared" si="305"/>
        <v>4</v>
      </c>
      <c r="F1303" s="240" cm="1">
        <f t="array" ref="F1303">MIN(INDEX('Relacion '!$AF$5:$AG$493,MATCH(INDEX($B:$B, (ROW()-5)),'Relacion '!$E$5:$E$493,0),0))</f>
        <v>46069</v>
      </c>
      <c r="G1303" s="240" cm="1">
        <f t="array" ref="G1303">MAX(INDEX('Relacion '!$AF$5:$AG$493,MATCH(INDEX($B:$B, (ROW()-5)),'Relacion '!$E$5:$E$493,0),0))</f>
        <v>46073</v>
      </c>
      <c r="H1303" s="241" cm="1">
        <f t="array" ref="H1303">IF(
 MATCH(B1303,{"01. ASIGNACION AREA";"02. MAPEO";"03. DESARROLLO";"04. VALIDA US";"05. VOBO US";"06. BW-EJECUCION";"07. VALIDACIÓN BAJAWARE";"08. CERRADA"},0)
 &lt;
 MATCH(_xlfn.XLOOKUP(INDEX($B:$B, (ROW()-5)),'Relacion '!$E:$E,'Relacion '!$D:$D,""),{"01. ASIGNACION AREA";"02. MAPEO";"03. DESARROLLO";"04. VALIDA US";"05. VOBO US";"06. BW-EJECUCION";"07. VALIDACIÓN BAJAWARE";"08. CERRADA"},0),
 1,
 IF(
  MATCH(B1303,{"01. ASIGNACION AREA";"02. MAPEO";"03. DESARROLLO";"04. VALIDA US";"05. VOBO US";"06. BW-EJECUCION";"07. VALIDACIÓN BAJAWARE";"08. CERRADA"},0)
  =
  MATCH(_xlfn.XLOOKUP(INDEX($B:$B, (ROW()-5)),'Relacion '!$E:$E,'Relacion '!$D:$D,""),{"01. ASIGNACION AREA";"02. MAPEO";"03. DESARROLLO";"04. VALIDA US";"05. VOBO US";"06. BW-EJECUCION";"07. VALIDACIÓN BAJAWARE";"08. CERRADA"},0),
  _xlfn.XLOOKUP(INDEX($B:$B, (ROW()-5)),'Relacion '!$E:$E,'Relacion '!#REF!,0),
  0
 )
)</f>
        <v>1</v>
      </c>
      <c r="I1303" s="241">
        <f t="shared" ca="1" si="302"/>
        <v>1</v>
      </c>
      <c r="J1303" s="241"/>
      <c r="K1303" s="241"/>
      <c r="L1303" s="238"/>
    </row>
    <row r="1304" spans="2:12" outlineLevel="1">
      <c r="B1304" s="237" t="s">
        <v>710</v>
      </c>
      <c r="C1304" s="237" t="s">
        <v>710</v>
      </c>
      <c r="D1304" s="238" t="str">
        <f>_xlfn.XLOOKUP(B1304,'Relacion '!$E:$E,'Relacion '!$D:$D,"")</f>
        <v/>
      </c>
      <c r="E1304" s="239">
        <f t="shared" si="305"/>
        <v>25</v>
      </c>
      <c r="F1304" s="240" cm="1">
        <f t="array" ref="F1304">MIN(INDEX('Relacion '!$AH$5:$AI$493,MATCH(INDEX($B:$B, (ROW()-6)),'Relacion '!$E$5:$E$493,0),0))</f>
        <v>46076</v>
      </c>
      <c r="G1304" s="240" cm="1">
        <f t="array" ref="G1304">MAX(INDEX('Relacion '!$AH$5:$AI$493,MATCH(INDEX($B:$B, (ROW()-6)),'Relacion '!$E$5:$E$493,0),0))</f>
        <v>46101</v>
      </c>
      <c r="H1304" s="241" t="e" cm="1">
        <f t="array" ref="H1304">IF(
 MATCH(B1304,{"01. ASIGNACION AREA";"02. MAPEO";"03. DESARROLLO";"04. VALIDA US";"05. VOBO US";"06. BW-EJECUCION";"07. VALIDACIÓN BAJAWARE";"08. CERRADA"},0)
 &lt;
 MATCH(_xlfn.XLOOKUP(INDEX($B:$B, (ROW()-6)),'Relacion '!$E:$E,'Relacion '!$D:$D,""),{"01. ASIGNACION AREA";"02. MAPEO";"03. DESARROLLO";"04. VALIDA US";"05. VOBO US";"06. BW-EJECUCION";"07. VALIDACIÓN BAJAWARE";"08. CERRADA"},0),
 1,
 IF(
  MATCH(B1304,{"01. ASIGNACION AREA";"02. MAPEO";"03. DESARROLLO";"04. VALIDA US";"05. VOBO US";"06. BW-EJECUCION";"07. VALIDACIÓN BAJAWARE";"08. CERRADA"},0)
  =
  MATCH(_xlfn.XLOOKUP(INDEX($B:$B, (ROW()-6)),'Relacion '!$E:$E,'Relacion '!$D:$D,""),{"01. ASIGNACION AREA";"02. MAPEO";"03. DESARROLLO";"04. VALIDA US";"05. VOBO US";"06. BW-EJECUCION";"07. VALIDACIÓN BAJAWARE";"08. CERRADA"},0),
  _xlfn.XLOOKUP(INDEX($B:$B, (ROW()-6)),'Relacion '!$E:$E,'Relacion '!#REF!,0),
  0
 )
)</f>
        <v>#REF!</v>
      </c>
      <c r="I1304" s="241">
        <f t="shared" ca="1" si="302"/>
        <v>1</v>
      </c>
      <c r="J1304" s="241"/>
      <c r="K1304" s="241"/>
      <c r="L1304" s="238"/>
    </row>
    <row r="1305" spans="2:12" outlineLevel="1">
      <c r="B1305" s="237" t="s">
        <v>655</v>
      </c>
      <c r="C1305" s="237" t="s">
        <v>655</v>
      </c>
      <c r="D1305" s="238" t="str">
        <f>_xlfn.XLOOKUP(B1305,'Relacion '!$E:$E,'Relacion '!$D:$D,"")</f>
        <v/>
      </c>
      <c r="E1305" s="239">
        <f t="shared" si="305"/>
        <v>25</v>
      </c>
      <c r="F1305" s="240" cm="1">
        <f t="array" ref="F1305">MIN(INDEX('Relacion '!$AJ$5:$AK$493,MATCH(INDEX($B:$B, (ROW()-7)),'Relacion '!$E$5:$E$493,0),0))</f>
        <v>46104</v>
      </c>
      <c r="G1305" s="240" cm="1">
        <f t="array" ref="G1305">MAX(INDEX('Relacion '!$AJ$5:$AK$493,MATCH(INDEX($B:$B, (ROW()-7)),'Relacion '!$E$5:$E$493,0),0))</f>
        <v>46129</v>
      </c>
      <c r="H1305" s="241" cm="1">
        <f t="array" ref="H1305">IF(
 MATCH(B1305,{"01. ASIGNACION AREA";"02. MAPEO";"03. DESARROLLO";"04. VALIDA US";"05. VOBO US";"06. BW-EJECUCION";"07. VALIDACIÓN BAJAWARE";"08. CERRADA"},0)
 &lt;
 MATCH(_xlfn.XLOOKUP(INDEX($B:$B, (ROW()-7)),'Relacion '!$E:$E,'Relacion '!$D:$D,""),{"01. ASIGNACION AREA";"02. MAPEO";"03. DESARROLLO";"04. VALIDA US";"05. VOBO US";"06. BW-EJECUCION";"07. VALIDACIÓN BAJAWARE";"08. CERRADA"},0),
 1,
 IF(
  MATCH(B1305,{"01. ASIGNACION AREA";"02. MAPEO";"03. DESARROLLO";"04. VALIDA US";"05. VOBO US";"06. BW-EJECUCION";"07. VALIDACIÓN BAJAWARE";"08. CERRADA"},0)
  =
  MATCH(_xlfn.XLOOKUP(INDEX($B:$B, (ROW()-7)),'Relacion '!$E:$E,'Relacion '!$D:$D,""),{"01. ASIGNACION AREA";"02. MAPEO";"03. DESARROLLO";"04. VALIDA US";"05. VOBO US";"06. BW-EJECUCION";"07. VALIDACIÓN BAJAWARE";"08. CERRADA"},0),
  _xlfn.XLOOKUP(INDEX($B:$B, (ROW()-7)),'Relacion '!$E:$E,'Relacion '!#REF!,0),
  0
 )
)</f>
        <v>0</v>
      </c>
      <c r="I1305" s="241">
        <f t="shared" ca="1" si="302"/>
        <v>1</v>
      </c>
      <c r="J1305" s="241"/>
      <c r="K1305" s="241"/>
      <c r="L1305" s="238"/>
    </row>
    <row r="1306" spans="2:12" outlineLevel="1">
      <c r="B1306" s="237" t="s">
        <v>656</v>
      </c>
      <c r="C1306" s="237" t="s">
        <v>656</v>
      </c>
      <c r="D1306" s="238" t="str">
        <f>_xlfn.XLOOKUP(B1306,'Relacion '!$E:$E,'Relacion '!$D:$D,"")</f>
        <v/>
      </c>
      <c r="E1306" s="239">
        <f t="shared" si="305"/>
        <v>0</v>
      </c>
      <c r="F1306" s="240" cm="1">
        <f t="array" ref="F1306">MIN(INDEX('Relacion '!$AL$5:$AM$493,MATCH(INDEX($B:$B, (ROW()-8)),'Relacion '!$E$5:$E$493,0),0))</f>
        <v>46130</v>
      </c>
      <c r="G1306" s="240" cm="1">
        <f t="array" ref="G1306">MAX(INDEX('Relacion '!$AL$5:$AM$493,MATCH(INDEX($B:$B, (ROW()-8)),'Relacion '!$E$5:$E$493,0),0))</f>
        <v>46130</v>
      </c>
      <c r="H1306" s="241" cm="1">
        <f t="array" ref="H1306">IF(
 MATCH(B1306,{"01. ASIGNACION AREA";"02. MAPEO";"03. DESARROLLO";"04. VALIDA US";"05. VOBO US";"06. BW-EJECUCION";"07. VALIDACIÓN BAJAWARE";"08. CERRADA"},0)
 &lt;
 MATCH(_xlfn.XLOOKUP(INDEX($B:$B, (ROW()-8)),'Relacion '!$E:$E,'Relacion '!$D:$D,""),{"01. ASIGNACION AREA";"02. MAPEO";"03. DESARROLLO";"04. VALIDA US";"05. VOBO US";"06. BW-EJECUCION";"07. VALIDACIÓN BAJAWARE";"08. CERRADA"},0),
 1,
 IF(
  MATCH(B1306,{"01. ASIGNACION AREA";"02. MAPEO";"03. DESARROLLO";"04. VALIDA US";"05. VOBO US";"06. BW-EJECUCION";"07. VALIDACIÓN BAJAWARE";"08. CERRADA"},0)
  =
  MATCH(_xlfn.XLOOKUP(INDEX($B:$B, (ROW()-8)),'Relacion '!$E:$E,'Relacion '!$D:$D,""),{"01. ASIGNACION AREA";"02. MAPEO";"03. DESARROLLO";"04. VALIDA US";"05. VOBO US";"06. BW-EJECUCION";"07. VALIDACIÓN BAJAWARE";"08. CERRADA"},0),
  _xlfn.XLOOKUP(INDEX($B:$B, (ROW()-8)),'Relacion '!$E:$E,'Relacion '!#REF!,0),
  0
 )
)</f>
        <v>0</v>
      </c>
      <c r="I1306" s="241">
        <f t="shared" ca="1" si="302"/>
        <v>1</v>
      </c>
      <c r="J1306" s="241"/>
      <c r="K1306" s="241"/>
      <c r="L1306" s="238"/>
    </row>
    <row r="1307" spans="2:12">
      <c r="B1307" s="232" t="s">
        <v>572</v>
      </c>
      <c r="C1307" s="174" t="s">
        <v>66</v>
      </c>
      <c r="D1307" s="236" t="str">
        <f>_xlfn.XLOOKUP(B1307,'Relacion '!$E:$E,'Relacion '!$D:$D,"")</f>
        <v>08. CERRADA</v>
      </c>
      <c r="E1307" s="233">
        <f t="shared" si="305"/>
        <v>450</v>
      </c>
      <c r="F1307" s="234" cm="1">
        <f t="array" ref="F1307">MIN(INDEX('Relacion '!$X$5:$AM$493,MATCH(INDEX($B:$B, (ROW()-0)),'Relacion '!$E$5:$E$493,0),0))</f>
        <v>45659</v>
      </c>
      <c r="G1307" s="234" cm="1">
        <f t="array" ref="G1307">MAX(INDEX('Relacion '!$X$5:$AM$493,MATCH(INDEX($B:$B, (ROW()-0)),'Relacion '!$E$5:$E$493,0),0))</f>
        <v>46109</v>
      </c>
      <c r="H1307" s="235" t="e">
        <f>AVERAGE(H1308:H1315)</f>
        <v>#REF!</v>
      </c>
      <c r="I1307" s="235">
        <f t="shared" ref="I1307" ca="1" si="310">AVERAGE(I1308:I1315)</f>
        <v>1</v>
      </c>
      <c r="J1307" s="236" t="str">
        <f>IF(ISNUMBER(SEARCH("Rocha", _xlfn.XLOOKUP(B1307,'Relacion '!$E:$E,'Relacion '!$I:$I,""))), "Sí", "No")</f>
        <v>No</v>
      </c>
      <c r="K1307" s="236" t="str">
        <f>IF(ISNUMBER(SEARCH("Rocha", _xlfn.XLOOKUP(B1307,'Relacion '!$E:$E,'Relacion '!$I:$I,""))), "RMC", _xlfn.XLOOKUP(B1307,'Relacion '!$E:$E,'Relacion '!$B:$B,""))</f>
        <v>Operaciones Credito</v>
      </c>
      <c r="L1307" s="236" t="str">
        <f>_xlfn.XLOOKUP(B1307,'Relacion '!$E:$E,'Relacion '!$C:$C,"")</f>
        <v>Luis Alberto</v>
      </c>
    </row>
    <row r="1308" spans="2:12" outlineLevel="1">
      <c r="B1308" s="237" t="s">
        <v>654</v>
      </c>
      <c r="C1308" s="237" t="s">
        <v>654</v>
      </c>
      <c r="D1308" s="238" t="str">
        <f>_xlfn.XLOOKUP(B1308,'Relacion '!$E:$E,'Relacion '!$D:$D,"")</f>
        <v/>
      </c>
      <c r="E1308" s="239">
        <f t="shared" si="305"/>
        <v>424</v>
      </c>
      <c r="F1308" s="240" cm="1">
        <f t="array" ref="F1308">MIN(INDEX('Relacion '!$X$5:$Y$493,MATCH(INDEX($B:$B, (ROW()-1)),'Relacion '!$E$5:$E$493,0),0))</f>
        <v>45659</v>
      </c>
      <c r="G1308" s="240" cm="1">
        <f t="array" ref="G1308">MAX(INDEX('Relacion '!$X$5:$Y$493,MATCH(INDEX($B:$B, (ROW()-1)),'Relacion '!$E$5:$E$493,0),0))</f>
        <v>46083</v>
      </c>
      <c r="H1308" s="241" cm="1">
        <f t="array" ref="H1308">IF(
 MATCH(B1308,{"01. ASIGNACION AREA";"02. MAPEO";"03. DESARROLLO";"04. VALIDA US";"05. VOBO US";"06. BW-EJECUCION";"07. VALIDACIÓN BAJAWARE";"08. CERRADA"},0)
 &lt;
 MATCH(_xlfn.XLOOKUP(INDEX($B:$B, (ROW()-1)),'Relacion '!$E:$E,'Relacion '!$D:$D,""),{"01. ASIGNACION AREA";"02. MAPEO";"03. DESARROLLO";"04. VALIDA US";"05. VOBO US";"06. BW-EJECUCION";"07. VALIDACIÓN BAJAWARE";"08. CERRADA"},0),
 1,
 IF(
  MATCH(B1308,{"01. ASIGNACION AREA";"02. MAPEO";"03. DESARROLLO";"04. VALIDA US";"05. VOBO US";"06. BW-EJECUCION";"07. VALIDACIÓN BAJAWARE";"08. CERRADA"},0)
  =
  MATCH(_xlfn.XLOOKUP(INDEX($B:$B, (ROW()-1)),'Relacion '!$E:$E,'Relacion '!$D:$D,""),{"01. ASIGNACION AREA";"02. MAPEO";"03. DESARROLLO";"04. VALIDA US";"05. VOBO US";"06. BW-EJECUCION";"07. VALIDACIÓN BAJAWARE";"08. CERRADA"},0),
  _xlfn.XLOOKUP(INDEX($B:$B, (ROW()-1)),'Relacion '!$E:$E,'Relacion '!#REF!,0),
  0
 )
)</f>
        <v>1</v>
      </c>
      <c r="I1308" s="241">
        <f t="shared" ref="I1308" ca="1" si="311">IF(G1308&lt;=TODAY(), 1, 0)</f>
        <v>1</v>
      </c>
      <c r="J1308" s="241"/>
      <c r="K1308" s="241"/>
      <c r="L1308" s="238"/>
    </row>
    <row r="1309" spans="2:12" outlineLevel="1">
      <c r="B1309" s="237" t="s">
        <v>195</v>
      </c>
      <c r="C1309" s="237" t="s">
        <v>195</v>
      </c>
      <c r="D1309" s="238" t="str">
        <f>_xlfn.XLOOKUP(B1309,'Relacion '!$E:$E,'Relacion '!$D:$D,"")</f>
        <v/>
      </c>
      <c r="E1309" s="239">
        <f t="shared" si="305"/>
        <v>0</v>
      </c>
      <c r="F1309" s="240" cm="1">
        <f t="array" ref="F1309">MIN(INDEX('Relacion '!$Z$5:$AA$493,MATCH(INDEX($B:$B, (ROW()-2)),'Relacion '!$E$5:$E$493,0),0))</f>
        <v>46108</v>
      </c>
      <c r="G1309" s="240" cm="1">
        <f t="array" ref="G1309">MAX(INDEX('Relacion '!$Z$5:$AA$493,MATCH(INDEX($B:$B, (ROW()-2)),'Relacion '!$E$5:$E$493,0),0))</f>
        <v>46108</v>
      </c>
      <c r="H1309" s="241" cm="1">
        <f t="array" ref="H1309">IF(
 MATCH(B1309,{"01. ASIGNACION AREA";"02. MAPEO";"03. DESARROLLO";"04. VALIDA US";"05. VOBO US";"06. BW-EJECUCION";"07. VALIDACIÓN BAJAWARE";"08. CERRADA"},0)
 &lt;
 MATCH(_xlfn.XLOOKUP(INDEX($B:$B, (ROW()-2)),'Relacion '!$E:$E,'Relacion '!$D:$D,""),{"01. ASIGNACION AREA";"02. MAPEO";"03. DESARROLLO";"04. VALIDA US";"05. VOBO US";"06. BW-EJECUCION";"07. VALIDACIÓN BAJAWARE";"08. CERRADA"},0),
 1,
 IF(
  MATCH(B1309,{"01. ASIGNACION AREA";"02. MAPEO";"03. DESARROLLO";"04. VALIDA US";"05. VOBO US";"06. BW-EJECUCION";"07. VALIDACIÓN BAJAWARE";"08. CERRADA"},0)
  =
  MATCH(_xlfn.XLOOKUP(INDEX($B:$B, (ROW()-2)),'Relacion '!$E:$E,'Relacion '!$D:$D,""),{"01. ASIGNACION AREA";"02. MAPEO";"03. DESARROLLO";"04. VALIDA US";"05. VOBO US";"06. BW-EJECUCION";"07. VALIDACIÓN BAJAWARE";"08. CERRADA"},0),
  _xlfn.XLOOKUP(INDEX($B:$B, (ROW()-2)),'Relacion '!$E:$E,'Relacion '!#REF!,0),
  0
 )
)</f>
        <v>1</v>
      </c>
      <c r="I1309" s="241">
        <f t="shared" ca="1" si="302"/>
        <v>1</v>
      </c>
      <c r="J1309" s="241"/>
      <c r="K1309" s="241"/>
      <c r="L1309" s="238"/>
    </row>
    <row r="1310" spans="2:12" outlineLevel="1">
      <c r="B1310" s="237" t="s">
        <v>49</v>
      </c>
      <c r="C1310" s="237" t="s">
        <v>49</v>
      </c>
      <c r="D1310" s="238" t="str">
        <f>_xlfn.XLOOKUP(B1310,'Relacion '!$E:$E,'Relacion '!$D:$D,"")</f>
        <v/>
      </c>
      <c r="E1310" s="239">
        <f t="shared" si="305"/>
        <v>0</v>
      </c>
      <c r="F1310" s="240" cm="1">
        <f t="array" ref="F1310">MIN(INDEX('Relacion '!$AB$5:$AC$493,MATCH(INDEX($B:$B, (ROW()-3)),'Relacion '!$E$5:$E$493,0),0))</f>
        <v>46108</v>
      </c>
      <c r="G1310" s="240" cm="1">
        <f t="array" ref="G1310">MAX(INDEX('Relacion '!$AB$5:$AC$493,MATCH(INDEX($B:$B, (ROW()-3)),'Relacion '!$E$5:$E$493,0),0))</f>
        <v>46108</v>
      </c>
      <c r="H1310" s="241" cm="1">
        <f t="array" ref="H1310">IF(
 MATCH(B1310,{"01. ASIGNACION AREA";"02. MAPEO";"03. DESARROLLO";"04. VALIDA US";"05. VOBO US";"06. BW-EJECUCION";"07. VALIDACIÓN BAJAWARE";"08. CERRADA"},0)
 &lt;
 MATCH(_xlfn.XLOOKUP(INDEX($B:$B, (ROW()-3)),'Relacion '!$E:$E,'Relacion '!$D:$D,""),{"01. ASIGNACION AREA";"02. MAPEO";"03. DESARROLLO";"04. VALIDA US";"05. VOBO US";"06. BW-EJECUCION";"07. VALIDACIÓN BAJAWARE";"08. CERRADA"},0),
 1,
 IF(
  MATCH(B1310,{"01. ASIGNACION AREA";"02. MAPEO";"03. DESARROLLO";"04. VALIDA US";"05. VOBO US";"06. BW-EJECUCION";"07. VALIDACIÓN BAJAWARE";"08. CERRADA"},0)
  =
  MATCH(_xlfn.XLOOKUP(INDEX($B:$B, (ROW()-3)),'Relacion '!$E:$E,'Relacion '!$D:$D,""),{"01. ASIGNACION AREA";"02. MAPEO";"03. DESARROLLO";"04. VALIDA US";"05. VOBO US";"06. BW-EJECUCION";"07. VALIDACIÓN BAJAWARE";"08. CERRADA"},0),
  _xlfn.XLOOKUP(INDEX($B:$B, (ROW()-3)),'Relacion '!$E:$E,'Relacion '!#REF!,0),
  0
 )
)</f>
        <v>1</v>
      </c>
      <c r="I1310" s="241">
        <f t="shared" ca="1" si="302"/>
        <v>1</v>
      </c>
      <c r="J1310" s="241"/>
      <c r="K1310" s="241"/>
      <c r="L1310" s="238"/>
    </row>
    <row r="1311" spans="2:12" outlineLevel="1">
      <c r="B1311" s="237" t="s">
        <v>324</v>
      </c>
      <c r="C1311" s="237" t="s">
        <v>324</v>
      </c>
      <c r="D1311" s="238" t="str">
        <f>_xlfn.XLOOKUP(B1311,'Relacion '!$E:$E,'Relacion '!$D:$D,"")</f>
        <v/>
      </c>
      <c r="E1311" s="239">
        <f t="shared" si="305"/>
        <v>0</v>
      </c>
      <c r="F1311" s="240" cm="1">
        <f t="array" ref="F1311">MIN(INDEX('Relacion '!$AD$5:$AE$493,MATCH(INDEX($B:$B, (ROW()-4)),'Relacion '!$E$5:$E$493,0),0))</f>
        <v>46108</v>
      </c>
      <c r="G1311" s="240" cm="1">
        <f t="array" ref="G1311">MAX(INDEX('Relacion '!$AD$5:$AE$493,MATCH(INDEX($B:$B, (ROW()-4)),'Relacion '!$E$5:$E$493,0),0))</f>
        <v>46108</v>
      </c>
      <c r="H1311" s="241" cm="1">
        <f t="array" ref="H1311">IF(
 MATCH(B1311,{"01. ASIGNACION AREA";"02. MAPEO";"03. DESARROLLO";"04. VALIDA US";"05. VOBO US";"06. BW-EJECUCION";"07. VALIDACIÓN BAJAWARE";"08. CERRADA"},0)
 &lt;
 MATCH(_xlfn.XLOOKUP(INDEX($B:$B, (ROW()-4)),'Relacion '!$E:$E,'Relacion '!$D:$D,""),{"01. ASIGNACION AREA";"02. MAPEO";"03. DESARROLLO";"04. VALIDA US";"05. VOBO US";"06. BW-EJECUCION";"07. VALIDACIÓN BAJAWARE";"08. CERRADA"},0),
 1,
 IF(
  MATCH(B1311,{"01. ASIGNACION AREA";"02. MAPEO";"03. DESARROLLO";"04. VALIDA US";"05. VOBO US";"06. BW-EJECUCION";"07. VALIDACIÓN BAJAWARE";"08. CERRADA"},0)
  =
  MATCH(_xlfn.XLOOKUP(INDEX($B:$B, (ROW()-4)),'Relacion '!$E:$E,'Relacion '!$D:$D,""),{"01. ASIGNACION AREA";"02. MAPEO";"03. DESARROLLO";"04. VALIDA US";"05. VOBO US";"06. BW-EJECUCION";"07. VALIDACIÓN BAJAWARE";"08. CERRADA"},0),
  _xlfn.XLOOKUP(INDEX($B:$B, (ROW()-4)),'Relacion '!$E:$E,'Relacion '!#REF!,0),
  0
 )
)</f>
        <v>1</v>
      </c>
      <c r="I1311" s="241">
        <f t="shared" ca="1" si="302"/>
        <v>1</v>
      </c>
      <c r="J1311" s="241"/>
      <c r="K1311" s="241"/>
      <c r="L1311" s="238"/>
    </row>
    <row r="1312" spans="2:12" outlineLevel="1">
      <c r="B1312" s="237" t="s">
        <v>320</v>
      </c>
      <c r="C1312" s="237" t="s">
        <v>320</v>
      </c>
      <c r="D1312" s="238" t="str">
        <f>_xlfn.XLOOKUP(B1312,'Relacion '!$E:$E,'Relacion '!$D:$D,"")</f>
        <v/>
      </c>
      <c r="E1312" s="239">
        <f t="shared" si="305"/>
        <v>0</v>
      </c>
      <c r="F1312" s="240" cm="1">
        <f t="array" ref="F1312">MIN(INDEX('Relacion '!$AF$5:$AG$493,MATCH(INDEX($B:$B, (ROW()-5)),'Relacion '!$E$5:$E$493,0),0))</f>
        <v>46108</v>
      </c>
      <c r="G1312" s="240" cm="1">
        <f t="array" ref="G1312">MAX(INDEX('Relacion '!$AF$5:$AG$493,MATCH(INDEX($B:$B, (ROW()-5)),'Relacion '!$E$5:$E$493,0),0))</f>
        <v>46108</v>
      </c>
      <c r="H1312" s="241" cm="1">
        <f t="array" ref="H1312">IF(
 MATCH(B1312,{"01. ASIGNACION AREA";"02. MAPEO";"03. DESARROLLO";"04. VALIDA US";"05. VOBO US";"06. BW-EJECUCION";"07. VALIDACIÓN BAJAWARE";"08. CERRADA"},0)
 &lt;
 MATCH(_xlfn.XLOOKUP(INDEX($B:$B, (ROW()-5)),'Relacion '!$E:$E,'Relacion '!$D:$D,""),{"01. ASIGNACION AREA";"02. MAPEO";"03. DESARROLLO";"04. VALIDA US";"05. VOBO US";"06. BW-EJECUCION";"07. VALIDACIÓN BAJAWARE";"08. CERRADA"},0),
 1,
 IF(
  MATCH(B1312,{"01. ASIGNACION AREA";"02. MAPEO";"03. DESARROLLO";"04. VALIDA US";"05. VOBO US";"06. BW-EJECUCION";"07. VALIDACIÓN BAJAWARE";"08. CERRADA"},0)
  =
  MATCH(_xlfn.XLOOKUP(INDEX($B:$B, (ROW()-5)),'Relacion '!$E:$E,'Relacion '!$D:$D,""),{"01. ASIGNACION AREA";"02. MAPEO";"03. DESARROLLO";"04. VALIDA US";"05. VOBO US";"06. BW-EJECUCION";"07. VALIDACIÓN BAJAWARE";"08. CERRADA"},0),
  _xlfn.XLOOKUP(INDEX($B:$B, (ROW()-5)),'Relacion '!$E:$E,'Relacion '!#REF!,0),
  0
 )
)</f>
        <v>1</v>
      </c>
      <c r="I1312" s="241">
        <f t="shared" ca="1" si="302"/>
        <v>1</v>
      </c>
      <c r="J1312" s="241"/>
      <c r="K1312" s="241"/>
      <c r="L1312" s="238"/>
    </row>
    <row r="1313" spans="2:12" outlineLevel="1">
      <c r="B1313" s="237" t="s">
        <v>710</v>
      </c>
      <c r="C1313" s="237" t="s">
        <v>710</v>
      </c>
      <c r="D1313" s="238" t="str">
        <f>_xlfn.XLOOKUP(B1313,'Relacion '!$E:$E,'Relacion '!$D:$D,"")</f>
        <v/>
      </c>
      <c r="E1313" s="239">
        <f t="shared" si="305"/>
        <v>0</v>
      </c>
      <c r="F1313" s="240" cm="1">
        <f t="array" ref="F1313">MIN(INDEX('Relacion '!$AH$5:$AI$493,MATCH(INDEX($B:$B, (ROW()-6)),'Relacion '!$E$5:$E$493,0),0))</f>
        <v>46108</v>
      </c>
      <c r="G1313" s="240" cm="1">
        <f t="array" ref="G1313">MAX(INDEX('Relacion '!$AH$5:$AI$493,MATCH(INDEX($B:$B, (ROW()-6)),'Relacion '!$E$5:$E$493,0),0))</f>
        <v>46108</v>
      </c>
      <c r="H1313" s="241" cm="1">
        <f t="array" ref="H1313">IF(
 MATCH(B1313,{"01. ASIGNACION AREA";"02. MAPEO";"03. DESARROLLO";"04. VALIDA US";"05. VOBO US";"06. BW-EJECUCION";"07. VALIDACIÓN BAJAWARE";"08. CERRADA"},0)
 &lt;
 MATCH(_xlfn.XLOOKUP(INDEX($B:$B, (ROW()-6)),'Relacion '!$E:$E,'Relacion '!$D:$D,""),{"01. ASIGNACION AREA";"02. MAPEO";"03. DESARROLLO";"04. VALIDA US";"05. VOBO US";"06. BW-EJECUCION";"07. VALIDACIÓN BAJAWARE";"08. CERRADA"},0),
 1,
 IF(
  MATCH(B1313,{"01. ASIGNACION AREA";"02. MAPEO";"03. DESARROLLO";"04. VALIDA US";"05. VOBO US";"06. BW-EJECUCION";"07. VALIDACIÓN BAJAWARE";"08. CERRADA"},0)
  =
  MATCH(_xlfn.XLOOKUP(INDEX($B:$B, (ROW()-6)),'Relacion '!$E:$E,'Relacion '!$D:$D,""),{"01. ASIGNACION AREA";"02. MAPEO";"03. DESARROLLO";"04. VALIDA US";"05. VOBO US";"06. BW-EJECUCION";"07. VALIDACIÓN BAJAWARE";"08. CERRADA"},0),
  _xlfn.XLOOKUP(INDEX($B:$B, (ROW()-6)),'Relacion '!$E:$E,'Relacion '!#REF!,0),
  0
 )
)</f>
        <v>1</v>
      </c>
      <c r="I1313" s="241">
        <f t="shared" ca="1" si="302"/>
        <v>1</v>
      </c>
      <c r="J1313" s="241"/>
      <c r="K1313" s="241"/>
      <c r="L1313" s="238"/>
    </row>
    <row r="1314" spans="2:12" outlineLevel="1">
      <c r="B1314" s="237" t="s">
        <v>655</v>
      </c>
      <c r="C1314" s="237" t="s">
        <v>655</v>
      </c>
      <c r="D1314" s="238" t="str">
        <f>_xlfn.XLOOKUP(B1314,'Relacion '!$E:$E,'Relacion '!$D:$D,"")</f>
        <v/>
      </c>
      <c r="E1314" s="239">
        <f t="shared" si="305"/>
        <v>0</v>
      </c>
      <c r="F1314" s="240" cm="1">
        <f t="array" ref="F1314">MIN(INDEX('Relacion '!$AJ$5:$AK$493,MATCH(INDEX($B:$B, (ROW()-7)),'Relacion '!$E$5:$E$493,0),0))</f>
        <v>46108</v>
      </c>
      <c r="G1314" s="240" cm="1">
        <f t="array" ref="G1314">MAX(INDEX('Relacion '!$AJ$5:$AK$493,MATCH(INDEX($B:$B, (ROW()-7)),'Relacion '!$E$5:$E$493,0),0))</f>
        <v>46108</v>
      </c>
      <c r="H1314" s="241" cm="1">
        <f t="array" ref="H1314">IF(
 MATCH(B1314,{"01. ASIGNACION AREA";"02. MAPEO";"03. DESARROLLO";"04. VALIDA US";"05. VOBO US";"06. BW-EJECUCION";"07. VALIDACIÓN BAJAWARE";"08. CERRADA"},0)
 &lt;
 MATCH(_xlfn.XLOOKUP(INDEX($B:$B, (ROW()-7)),'Relacion '!$E:$E,'Relacion '!$D:$D,""),{"01. ASIGNACION AREA";"02. MAPEO";"03. DESARROLLO";"04. VALIDA US";"05. VOBO US";"06. BW-EJECUCION";"07. VALIDACIÓN BAJAWARE";"08. CERRADA"},0),
 1,
 IF(
  MATCH(B1314,{"01. ASIGNACION AREA";"02. MAPEO";"03. DESARROLLO";"04. VALIDA US";"05. VOBO US";"06. BW-EJECUCION";"07. VALIDACIÓN BAJAWARE";"08. CERRADA"},0)
  =
  MATCH(_xlfn.XLOOKUP(INDEX($B:$B, (ROW()-7)),'Relacion '!$E:$E,'Relacion '!$D:$D,""),{"01. ASIGNACION AREA";"02. MAPEO";"03. DESARROLLO";"04. VALIDA US";"05. VOBO US";"06. BW-EJECUCION";"07. VALIDACIÓN BAJAWARE";"08. CERRADA"},0),
  _xlfn.XLOOKUP(INDEX($B:$B, (ROW()-7)),'Relacion '!$E:$E,'Relacion '!#REF!,0),
  0
 )
)</f>
        <v>1</v>
      </c>
      <c r="I1314" s="241">
        <f t="shared" ca="1" si="302"/>
        <v>1</v>
      </c>
      <c r="J1314" s="241"/>
      <c r="K1314" s="241"/>
      <c r="L1314" s="238"/>
    </row>
    <row r="1315" spans="2:12" outlineLevel="1">
      <c r="B1315" s="237" t="s">
        <v>656</v>
      </c>
      <c r="C1315" s="237" t="s">
        <v>656</v>
      </c>
      <c r="D1315" s="238" t="str">
        <f>_xlfn.XLOOKUP(B1315,'Relacion '!$E:$E,'Relacion '!$D:$D,"")</f>
        <v/>
      </c>
      <c r="E1315" s="239">
        <f t="shared" si="305"/>
        <v>0</v>
      </c>
      <c r="F1315" s="240" cm="1">
        <f t="array" ref="F1315">MIN(INDEX('Relacion '!$AL$5:$AM$493,MATCH(INDEX($B:$B, (ROW()-8)),'Relacion '!$E$5:$E$493,0),0))</f>
        <v>46109</v>
      </c>
      <c r="G1315" s="240" cm="1">
        <f t="array" ref="G1315">MAX(INDEX('Relacion '!$AL$5:$AM$493,MATCH(INDEX($B:$B, (ROW()-8)),'Relacion '!$E$5:$E$493,0),0))</f>
        <v>46109</v>
      </c>
      <c r="H1315" s="241" t="e" cm="1">
        <f t="array" ref="H1315">IF(
 MATCH(B1315,{"01. ASIGNACION AREA";"02. MAPEO";"03. DESARROLLO";"04. VALIDA US";"05. VOBO US";"06. BW-EJECUCION";"07. VALIDACIÓN BAJAWARE";"08. CERRADA"},0)
 &lt;
 MATCH(_xlfn.XLOOKUP(INDEX($B:$B, (ROW()-8)),'Relacion '!$E:$E,'Relacion '!$D:$D,""),{"01. ASIGNACION AREA";"02. MAPEO";"03. DESARROLLO";"04. VALIDA US";"05. VOBO US";"06. BW-EJECUCION";"07. VALIDACIÓN BAJAWARE";"08. CERRADA"},0),
 1,
 IF(
  MATCH(B1315,{"01. ASIGNACION AREA";"02. MAPEO";"03. DESARROLLO";"04. VALIDA US";"05. VOBO US";"06. BW-EJECUCION";"07. VALIDACIÓN BAJAWARE";"08. CERRADA"},0)
  =
  MATCH(_xlfn.XLOOKUP(INDEX($B:$B, (ROW()-8)),'Relacion '!$E:$E,'Relacion '!$D:$D,""),{"01. ASIGNACION AREA";"02. MAPEO";"03. DESARROLLO";"04. VALIDA US";"05. VOBO US";"06. BW-EJECUCION";"07. VALIDACIÓN BAJAWARE";"08. CERRADA"},0),
  _xlfn.XLOOKUP(INDEX($B:$B, (ROW()-8)),'Relacion '!$E:$E,'Relacion '!#REF!,0),
  0
 )
)</f>
        <v>#REF!</v>
      </c>
      <c r="I1315" s="241">
        <f t="shared" ca="1" si="302"/>
        <v>1</v>
      </c>
      <c r="J1315" s="241"/>
      <c r="K1315" s="241"/>
      <c r="L1315" s="238"/>
    </row>
    <row r="1316" spans="2:12">
      <c r="B1316" s="232" t="s">
        <v>573</v>
      </c>
      <c r="C1316" s="167" t="s">
        <v>574</v>
      </c>
      <c r="D1316" s="236" t="str">
        <f>_xlfn.XLOOKUP(B1316,'Relacion '!$E:$E,'Relacion '!$D:$D,"")</f>
        <v>06. BW-EJECUCION</v>
      </c>
      <c r="E1316" s="233">
        <f t="shared" si="305"/>
        <v>106</v>
      </c>
      <c r="F1316" s="234" cm="1">
        <f t="array" ref="F1316">MIN(INDEX('Relacion '!$X$5:$AM$493,MATCH(INDEX($B:$B, (ROW()-0)),'Relacion '!$E$5:$E$493,0),0))</f>
        <v>46024</v>
      </c>
      <c r="G1316" s="234" cm="1">
        <f t="array" ref="G1316">MAX(INDEX('Relacion '!$X$5:$AM$493,MATCH(INDEX($B:$B, (ROW()-0)),'Relacion '!$E$5:$E$493,0),0))</f>
        <v>46130</v>
      </c>
      <c r="H1316" s="235" t="e">
        <f>AVERAGE(H1317:H1324)</f>
        <v>#REF!</v>
      </c>
      <c r="I1316" s="235">
        <f t="shared" ref="I1316" ca="1" si="312">AVERAGE(I1317:I1324)</f>
        <v>1</v>
      </c>
      <c r="J1316" s="236" t="str">
        <f>IF(ISNUMBER(SEARCH("Rocha", _xlfn.XLOOKUP(B1316,'Relacion '!$E:$E,'Relacion '!$I:$I,""))), "Sí", "No")</f>
        <v>No</v>
      </c>
      <c r="K1316" s="236" t="str">
        <f>IF(ISNUMBER(SEARCH("Rocha", _xlfn.XLOOKUP(B1316,'Relacion '!$E:$E,'Relacion '!$I:$I,""))), "RMC", _xlfn.XLOOKUP(B1316,'Relacion '!$E:$E,'Relacion '!$B:$B,""))</f>
        <v>Riesgos</v>
      </c>
      <c r="L1316" s="236" t="str">
        <f>_xlfn.XLOOKUP(B1316,'Relacion '!$E:$E,'Relacion '!$C:$C,"")</f>
        <v>Homero Sanchez</v>
      </c>
    </row>
    <row r="1317" spans="2:12" outlineLevel="1">
      <c r="B1317" s="237" t="s">
        <v>654</v>
      </c>
      <c r="C1317" s="237" t="s">
        <v>654</v>
      </c>
      <c r="D1317" s="238" t="str">
        <f>_xlfn.XLOOKUP(B1317,'Relacion '!$E:$E,'Relacion '!$D:$D,"")</f>
        <v/>
      </c>
      <c r="E1317" s="239">
        <f t="shared" si="305"/>
        <v>59</v>
      </c>
      <c r="F1317" s="240" cm="1">
        <f t="array" ref="F1317">MIN(INDEX('Relacion '!$X$5:$Y$493,MATCH(INDEX($B:$B, (ROW()-1)),'Relacion '!$E$5:$E$493,0),0))</f>
        <v>46024</v>
      </c>
      <c r="G1317" s="240" cm="1">
        <f t="array" ref="G1317">MAX(INDEX('Relacion '!$X$5:$Y$493,MATCH(INDEX($B:$B, (ROW()-1)),'Relacion '!$E$5:$E$493,0),0))</f>
        <v>46083</v>
      </c>
      <c r="H1317" s="241" cm="1">
        <f t="array" ref="H1317">IF(
 MATCH(B1317,{"01. ASIGNACION AREA";"02. MAPEO";"03. DESARROLLO";"04. VALIDA US";"05. VOBO US";"06. BW-EJECUCION";"07. VALIDACIÓN BAJAWARE";"08. CERRADA"},0)
 &lt;
 MATCH(_xlfn.XLOOKUP(INDEX($B:$B, (ROW()-1)),'Relacion '!$E:$E,'Relacion '!$D:$D,""),{"01. ASIGNACION AREA";"02. MAPEO";"03. DESARROLLO";"04. VALIDA US";"05. VOBO US";"06. BW-EJECUCION";"07. VALIDACIÓN BAJAWARE";"08. CERRADA"},0),
 1,
 IF(
  MATCH(B1317,{"01. ASIGNACION AREA";"02. MAPEO";"03. DESARROLLO";"04. VALIDA US";"05. VOBO US";"06. BW-EJECUCION";"07. VALIDACIÓN BAJAWARE";"08. CERRADA"},0)
  =
  MATCH(_xlfn.XLOOKUP(INDEX($B:$B, (ROW()-1)),'Relacion '!$E:$E,'Relacion '!$D:$D,""),{"01. ASIGNACION AREA";"02. MAPEO";"03. DESARROLLO";"04. VALIDA US";"05. VOBO US";"06. BW-EJECUCION";"07. VALIDACIÓN BAJAWARE";"08. CERRADA"},0),
  _xlfn.XLOOKUP(INDEX($B:$B, (ROW()-1)),'Relacion '!$E:$E,'Relacion '!#REF!,0),
  0
 )
)</f>
        <v>1</v>
      </c>
      <c r="I1317" s="241">
        <f t="shared" ref="I1317" ca="1" si="313">IF(G1317&lt;=TODAY(), 1, 0)</f>
        <v>1</v>
      </c>
      <c r="J1317" s="241"/>
      <c r="K1317" s="241"/>
      <c r="L1317" s="238"/>
    </row>
    <row r="1318" spans="2:12" outlineLevel="1">
      <c r="B1318" s="237" t="s">
        <v>195</v>
      </c>
      <c r="C1318" s="237" t="s">
        <v>195</v>
      </c>
      <c r="D1318" s="238" t="str">
        <f>_xlfn.XLOOKUP(B1318,'Relacion '!$E:$E,'Relacion '!$D:$D,"")</f>
        <v/>
      </c>
      <c r="E1318" s="239">
        <f t="shared" si="305"/>
        <v>4</v>
      </c>
      <c r="F1318" s="240" cm="1">
        <f t="array" ref="F1318">MIN(INDEX('Relacion '!$Z$5:$AA$493,MATCH(INDEX($B:$B, (ROW()-2)),'Relacion '!$E$5:$E$493,0),0))</f>
        <v>46041</v>
      </c>
      <c r="G1318" s="240" cm="1">
        <f t="array" ref="G1318">MAX(INDEX('Relacion '!$Z$5:$AA$493,MATCH(INDEX($B:$B, (ROW()-2)),'Relacion '!$E$5:$E$493,0),0))</f>
        <v>46045</v>
      </c>
      <c r="H1318" s="241" cm="1">
        <f t="array" ref="H1318">IF(
 MATCH(B1318,{"01. ASIGNACION AREA";"02. MAPEO";"03. DESARROLLO";"04. VALIDA US";"05. VOBO US";"06. BW-EJECUCION";"07. VALIDACIÓN BAJAWARE";"08. CERRADA"},0)
 &lt;
 MATCH(_xlfn.XLOOKUP(INDEX($B:$B, (ROW()-2)),'Relacion '!$E:$E,'Relacion '!$D:$D,""),{"01. ASIGNACION AREA";"02. MAPEO";"03. DESARROLLO";"04. VALIDA US";"05. VOBO US";"06. BW-EJECUCION";"07. VALIDACIÓN BAJAWARE";"08. CERRADA"},0),
 1,
 IF(
  MATCH(B1318,{"01. ASIGNACION AREA";"02. MAPEO";"03. DESARROLLO";"04. VALIDA US";"05. VOBO US";"06. BW-EJECUCION";"07. VALIDACIÓN BAJAWARE";"08. CERRADA"},0)
  =
  MATCH(_xlfn.XLOOKUP(INDEX($B:$B, (ROW()-2)),'Relacion '!$E:$E,'Relacion '!$D:$D,""),{"01. ASIGNACION AREA";"02. MAPEO";"03. DESARROLLO";"04. VALIDA US";"05. VOBO US";"06. BW-EJECUCION";"07. VALIDACIÓN BAJAWARE";"08. CERRADA"},0),
  _xlfn.XLOOKUP(INDEX($B:$B, (ROW()-2)),'Relacion '!$E:$E,'Relacion '!#REF!,0),
  0
 )
)</f>
        <v>1</v>
      </c>
      <c r="I1318" s="241">
        <f t="shared" ca="1" si="302"/>
        <v>1</v>
      </c>
      <c r="J1318" s="241"/>
      <c r="K1318" s="241"/>
      <c r="L1318" s="238"/>
    </row>
    <row r="1319" spans="2:12" outlineLevel="1">
      <c r="B1319" s="237" t="s">
        <v>49</v>
      </c>
      <c r="C1319" s="237" t="s">
        <v>49</v>
      </c>
      <c r="D1319" s="238" t="str">
        <f>_xlfn.XLOOKUP(B1319,'Relacion '!$E:$E,'Relacion '!$D:$D,"")</f>
        <v/>
      </c>
      <c r="E1319" s="239">
        <f t="shared" si="305"/>
        <v>4</v>
      </c>
      <c r="F1319" s="240" cm="1">
        <f t="array" ref="F1319">MIN(INDEX('Relacion '!$AB$5:$AC$493,MATCH(INDEX($B:$B, (ROW()-3)),'Relacion '!$E$5:$E$493,0),0))</f>
        <v>46048</v>
      </c>
      <c r="G1319" s="240" cm="1">
        <f t="array" ref="G1319">MAX(INDEX('Relacion '!$AB$5:$AC$493,MATCH(INDEX($B:$B, (ROW()-3)),'Relacion '!$E$5:$E$493,0),0))</f>
        <v>46052</v>
      </c>
      <c r="H1319" s="241" cm="1">
        <f t="array" ref="H1319">IF(
 MATCH(B1319,{"01. ASIGNACION AREA";"02. MAPEO";"03. DESARROLLO";"04. VALIDA US";"05. VOBO US";"06. BW-EJECUCION";"07. VALIDACIÓN BAJAWARE";"08. CERRADA"},0)
 &lt;
 MATCH(_xlfn.XLOOKUP(INDEX($B:$B, (ROW()-3)),'Relacion '!$E:$E,'Relacion '!$D:$D,""),{"01. ASIGNACION AREA";"02. MAPEO";"03. DESARROLLO";"04. VALIDA US";"05. VOBO US";"06. BW-EJECUCION";"07. VALIDACIÓN BAJAWARE";"08. CERRADA"},0),
 1,
 IF(
  MATCH(B1319,{"01. ASIGNACION AREA";"02. MAPEO";"03. DESARROLLO";"04. VALIDA US";"05. VOBO US";"06. BW-EJECUCION";"07. VALIDACIÓN BAJAWARE";"08. CERRADA"},0)
  =
  MATCH(_xlfn.XLOOKUP(INDEX($B:$B, (ROW()-3)),'Relacion '!$E:$E,'Relacion '!$D:$D,""),{"01. ASIGNACION AREA";"02. MAPEO";"03. DESARROLLO";"04. VALIDA US";"05. VOBO US";"06. BW-EJECUCION";"07. VALIDACIÓN BAJAWARE";"08. CERRADA"},0),
  _xlfn.XLOOKUP(INDEX($B:$B, (ROW()-3)),'Relacion '!$E:$E,'Relacion '!#REF!,0),
  0
 )
)</f>
        <v>1</v>
      </c>
      <c r="I1319" s="241">
        <f t="shared" ca="1" si="302"/>
        <v>1</v>
      </c>
      <c r="J1319" s="241"/>
      <c r="K1319" s="241"/>
      <c r="L1319" s="238"/>
    </row>
    <row r="1320" spans="2:12" outlineLevel="1">
      <c r="B1320" s="237" t="s">
        <v>324</v>
      </c>
      <c r="C1320" s="237" t="s">
        <v>324</v>
      </c>
      <c r="D1320" s="238" t="str">
        <f>_xlfn.XLOOKUP(B1320,'Relacion '!$E:$E,'Relacion '!$D:$D,"")</f>
        <v/>
      </c>
      <c r="E1320" s="239">
        <f t="shared" si="305"/>
        <v>11</v>
      </c>
      <c r="F1320" s="240" cm="1">
        <f t="array" ref="F1320">MIN(INDEX('Relacion '!$AD$5:$AE$493,MATCH(INDEX($B:$B, (ROW()-4)),'Relacion '!$E$5:$E$493,0),0))</f>
        <v>46055</v>
      </c>
      <c r="G1320" s="240" cm="1">
        <f t="array" ref="G1320">MAX(INDEX('Relacion '!$AD$5:$AE$493,MATCH(INDEX($B:$B, (ROW()-4)),'Relacion '!$E$5:$E$493,0),0))</f>
        <v>46066</v>
      </c>
      <c r="H1320" s="241" cm="1">
        <f t="array" ref="H1320">IF(
 MATCH(B1320,{"01. ASIGNACION AREA";"02. MAPEO";"03. DESARROLLO";"04. VALIDA US";"05. VOBO US";"06. BW-EJECUCION";"07. VALIDACIÓN BAJAWARE";"08. CERRADA"},0)
 &lt;
 MATCH(_xlfn.XLOOKUP(INDEX($B:$B, (ROW()-4)),'Relacion '!$E:$E,'Relacion '!$D:$D,""),{"01. ASIGNACION AREA";"02. MAPEO";"03. DESARROLLO";"04. VALIDA US";"05. VOBO US";"06. BW-EJECUCION";"07. VALIDACIÓN BAJAWARE";"08. CERRADA"},0),
 1,
 IF(
  MATCH(B1320,{"01. ASIGNACION AREA";"02. MAPEO";"03. DESARROLLO";"04. VALIDA US";"05. VOBO US";"06. BW-EJECUCION";"07. VALIDACIÓN BAJAWARE";"08. CERRADA"},0)
  =
  MATCH(_xlfn.XLOOKUP(INDEX($B:$B, (ROW()-4)),'Relacion '!$E:$E,'Relacion '!$D:$D,""),{"01. ASIGNACION AREA";"02. MAPEO";"03. DESARROLLO";"04. VALIDA US";"05. VOBO US";"06. BW-EJECUCION";"07. VALIDACIÓN BAJAWARE";"08. CERRADA"},0),
  _xlfn.XLOOKUP(INDEX($B:$B, (ROW()-4)),'Relacion '!$E:$E,'Relacion '!#REF!,0),
  0
 )
)</f>
        <v>1</v>
      </c>
      <c r="I1320" s="241">
        <f t="shared" ca="1" si="302"/>
        <v>1</v>
      </c>
      <c r="J1320" s="241"/>
      <c r="K1320" s="241"/>
      <c r="L1320" s="238"/>
    </row>
    <row r="1321" spans="2:12" outlineLevel="1">
      <c r="B1321" s="237" t="s">
        <v>320</v>
      </c>
      <c r="C1321" s="237" t="s">
        <v>320</v>
      </c>
      <c r="D1321" s="238" t="str">
        <f>_xlfn.XLOOKUP(B1321,'Relacion '!$E:$E,'Relacion '!$D:$D,"")</f>
        <v/>
      </c>
      <c r="E1321" s="239">
        <f t="shared" si="305"/>
        <v>4</v>
      </c>
      <c r="F1321" s="240" cm="1">
        <f t="array" ref="F1321">MIN(INDEX('Relacion '!$AF$5:$AG$493,MATCH(INDEX($B:$B, (ROW()-5)),'Relacion '!$E$5:$E$493,0),0))</f>
        <v>46069</v>
      </c>
      <c r="G1321" s="240" cm="1">
        <f t="array" ref="G1321">MAX(INDEX('Relacion '!$AF$5:$AG$493,MATCH(INDEX($B:$B, (ROW()-5)),'Relacion '!$E$5:$E$493,0),0))</f>
        <v>46073</v>
      </c>
      <c r="H1321" s="241" cm="1">
        <f t="array" ref="H1321">IF(
 MATCH(B1321,{"01. ASIGNACION AREA";"02. MAPEO";"03. DESARROLLO";"04. VALIDA US";"05. VOBO US";"06. BW-EJECUCION";"07. VALIDACIÓN BAJAWARE";"08. CERRADA"},0)
 &lt;
 MATCH(_xlfn.XLOOKUP(INDEX($B:$B, (ROW()-5)),'Relacion '!$E:$E,'Relacion '!$D:$D,""),{"01. ASIGNACION AREA";"02. MAPEO";"03. DESARROLLO";"04. VALIDA US";"05. VOBO US";"06. BW-EJECUCION";"07. VALIDACIÓN BAJAWARE";"08. CERRADA"},0),
 1,
 IF(
  MATCH(B1321,{"01. ASIGNACION AREA";"02. MAPEO";"03. DESARROLLO";"04. VALIDA US";"05. VOBO US";"06. BW-EJECUCION";"07. VALIDACIÓN BAJAWARE";"08. CERRADA"},0)
  =
  MATCH(_xlfn.XLOOKUP(INDEX($B:$B, (ROW()-5)),'Relacion '!$E:$E,'Relacion '!$D:$D,""),{"01. ASIGNACION AREA";"02. MAPEO";"03. DESARROLLO";"04. VALIDA US";"05. VOBO US";"06. BW-EJECUCION";"07. VALIDACIÓN BAJAWARE";"08. CERRADA"},0),
  _xlfn.XLOOKUP(INDEX($B:$B, (ROW()-5)),'Relacion '!$E:$E,'Relacion '!#REF!,0),
  0
 )
)</f>
        <v>1</v>
      </c>
      <c r="I1321" s="241">
        <f t="shared" ca="1" si="302"/>
        <v>1</v>
      </c>
      <c r="J1321" s="241"/>
      <c r="K1321" s="241"/>
      <c r="L1321" s="238"/>
    </row>
    <row r="1322" spans="2:12" outlineLevel="1">
      <c r="B1322" s="237" t="s">
        <v>710</v>
      </c>
      <c r="C1322" s="237" t="s">
        <v>710</v>
      </c>
      <c r="D1322" s="238" t="str">
        <f>_xlfn.XLOOKUP(B1322,'Relacion '!$E:$E,'Relacion '!$D:$D,"")</f>
        <v/>
      </c>
      <c r="E1322" s="239">
        <f t="shared" si="305"/>
        <v>25</v>
      </c>
      <c r="F1322" s="240" cm="1">
        <f t="array" ref="F1322">MIN(INDEX('Relacion '!$AH$5:$AI$493,MATCH(INDEX($B:$B, (ROW()-6)),'Relacion '!$E$5:$E$493,0),0))</f>
        <v>46076</v>
      </c>
      <c r="G1322" s="240" cm="1">
        <f t="array" ref="G1322">MAX(INDEX('Relacion '!$AH$5:$AI$493,MATCH(INDEX($B:$B, (ROW()-6)),'Relacion '!$E$5:$E$493,0),0))</f>
        <v>46101</v>
      </c>
      <c r="H1322" s="241" t="e" cm="1">
        <f t="array" ref="H1322">IF(
 MATCH(B1322,{"01. ASIGNACION AREA";"02. MAPEO";"03. DESARROLLO";"04. VALIDA US";"05. VOBO US";"06. BW-EJECUCION";"07. VALIDACIÓN BAJAWARE";"08. CERRADA"},0)
 &lt;
 MATCH(_xlfn.XLOOKUP(INDEX($B:$B, (ROW()-6)),'Relacion '!$E:$E,'Relacion '!$D:$D,""),{"01. ASIGNACION AREA";"02. MAPEO";"03. DESARROLLO";"04. VALIDA US";"05. VOBO US";"06. BW-EJECUCION";"07. VALIDACIÓN BAJAWARE";"08. CERRADA"},0),
 1,
 IF(
  MATCH(B1322,{"01. ASIGNACION AREA";"02. MAPEO";"03. DESARROLLO";"04. VALIDA US";"05. VOBO US";"06. BW-EJECUCION";"07. VALIDACIÓN BAJAWARE";"08. CERRADA"},0)
  =
  MATCH(_xlfn.XLOOKUP(INDEX($B:$B, (ROW()-6)),'Relacion '!$E:$E,'Relacion '!$D:$D,""),{"01. ASIGNACION AREA";"02. MAPEO";"03. DESARROLLO";"04. VALIDA US";"05. VOBO US";"06. BW-EJECUCION";"07. VALIDACIÓN BAJAWARE";"08. CERRADA"},0),
  _xlfn.XLOOKUP(INDEX($B:$B, (ROW()-6)),'Relacion '!$E:$E,'Relacion '!#REF!,0),
  0
 )
)</f>
        <v>#REF!</v>
      </c>
      <c r="I1322" s="241">
        <f t="shared" ca="1" si="302"/>
        <v>1</v>
      </c>
      <c r="J1322" s="241"/>
      <c r="K1322" s="241"/>
      <c r="L1322" s="238"/>
    </row>
    <row r="1323" spans="2:12" outlineLevel="1">
      <c r="B1323" s="237" t="s">
        <v>655</v>
      </c>
      <c r="C1323" s="237" t="s">
        <v>655</v>
      </c>
      <c r="D1323" s="238" t="str">
        <f>_xlfn.XLOOKUP(B1323,'Relacion '!$E:$E,'Relacion '!$D:$D,"")</f>
        <v/>
      </c>
      <c r="E1323" s="239">
        <f t="shared" si="305"/>
        <v>25</v>
      </c>
      <c r="F1323" s="240" cm="1">
        <f t="array" ref="F1323">MIN(INDEX('Relacion '!$AJ$5:$AK$493,MATCH(INDEX($B:$B, (ROW()-7)),'Relacion '!$E$5:$E$493,0),0))</f>
        <v>46104</v>
      </c>
      <c r="G1323" s="240" cm="1">
        <f t="array" ref="G1323">MAX(INDEX('Relacion '!$AJ$5:$AK$493,MATCH(INDEX($B:$B, (ROW()-7)),'Relacion '!$E$5:$E$493,0),0))</f>
        <v>46129</v>
      </c>
      <c r="H1323" s="241" cm="1">
        <f t="array" ref="H1323">IF(
 MATCH(B1323,{"01. ASIGNACION AREA";"02. MAPEO";"03. DESARROLLO";"04. VALIDA US";"05. VOBO US";"06. BW-EJECUCION";"07. VALIDACIÓN BAJAWARE";"08. CERRADA"},0)
 &lt;
 MATCH(_xlfn.XLOOKUP(INDEX($B:$B, (ROW()-7)),'Relacion '!$E:$E,'Relacion '!$D:$D,""),{"01. ASIGNACION AREA";"02. MAPEO";"03. DESARROLLO";"04. VALIDA US";"05. VOBO US";"06. BW-EJECUCION";"07. VALIDACIÓN BAJAWARE";"08. CERRADA"},0),
 1,
 IF(
  MATCH(B1323,{"01. ASIGNACION AREA";"02. MAPEO";"03. DESARROLLO";"04. VALIDA US";"05. VOBO US";"06. BW-EJECUCION";"07. VALIDACIÓN BAJAWARE";"08. CERRADA"},0)
  =
  MATCH(_xlfn.XLOOKUP(INDEX($B:$B, (ROW()-7)),'Relacion '!$E:$E,'Relacion '!$D:$D,""),{"01. ASIGNACION AREA";"02. MAPEO";"03. DESARROLLO";"04. VALIDA US";"05. VOBO US";"06. BW-EJECUCION";"07. VALIDACIÓN BAJAWARE";"08. CERRADA"},0),
  _xlfn.XLOOKUP(INDEX($B:$B, (ROW()-7)),'Relacion '!$E:$E,'Relacion '!#REF!,0),
  0
 )
)</f>
        <v>0</v>
      </c>
      <c r="I1323" s="241">
        <f t="shared" ca="1" si="302"/>
        <v>1</v>
      </c>
      <c r="J1323" s="241"/>
      <c r="K1323" s="241"/>
      <c r="L1323" s="238"/>
    </row>
    <row r="1324" spans="2:12" outlineLevel="1">
      <c r="B1324" s="237" t="s">
        <v>656</v>
      </c>
      <c r="C1324" s="237" t="s">
        <v>656</v>
      </c>
      <c r="D1324" s="238" t="str">
        <f>_xlfn.XLOOKUP(B1324,'Relacion '!$E:$E,'Relacion '!$D:$D,"")</f>
        <v/>
      </c>
      <c r="E1324" s="239">
        <f t="shared" si="305"/>
        <v>0</v>
      </c>
      <c r="F1324" s="240" cm="1">
        <f t="array" ref="F1324">MIN(INDEX('Relacion '!$AL$5:$AM$493,MATCH(INDEX($B:$B, (ROW()-8)),'Relacion '!$E$5:$E$493,0),0))</f>
        <v>46130</v>
      </c>
      <c r="G1324" s="240" cm="1">
        <f t="array" ref="G1324">MAX(INDEX('Relacion '!$AL$5:$AM$493,MATCH(INDEX($B:$B, (ROW()-8)),'Relacion '!$E$5:$E$493,0),0))</f>
        <v>46130</v>
      </c>
      <c r="H1324" s="241" cm="1">
        <f t="array" ref="H1324">IF(
 MATCH(B1324,{"01. ASIGNACION AREA";"02. MAPEO";"03. DESARROLLO";"04. VALIDA US";"05. VOBO US";"06. BW-EJECUCION";"07. VALIDACIÓN BAJAWARE";"08. CERRADA"},0)
 &lt;
 MATCH(_xlfn.XLOOKUP(INDEX($B:$B, (ROW()-8)),'Relacion '!$E:$E,'Relacion '!$D:$D,""),{"01. ASIGNACION AREA";"02. MAPEO";"03. DESARROLLO";"04. VALIDA US";"05. VOBO US";"06. BW-EJECUCION";"07. VALIDACIÓN BAJAWARE";"08. CERRADA"},0),
 1,
 IF(
  MATCH(B1324,{"01. ASIGNACION AREA";"02. MAPEO";"03. DESARROLLO";"04. VALIDA US";"05. VOBO US";"06. BW-EJECUCION";"07. VALIDACIÓN BAJAWARE";"08. CERRADA"},0)
  =
  MATCH(_xlfn.XLOOKUP(INDEX($B:$B, (ROW()-8)),'Relacion '!$E:$E,'Relacion '!$D:$D,""),{"01. ASIGNACION AREA";"02. MAPEO";"03. DESARROLLO";"04. VALIDA US";"05. VOBO US";"06. BW-EJECUCION";"07. VALIDACIÓN BAJAWARE";"08. CERRADA"},0),
  _xlfn.XLOOKUP(INDEX($B:$B, (ROW()-8)),'Relacion '!$E:$E,'Relacion '!#REF!,0),
  0
 )
)</f>
        <v>0</v>
      </c>
      <c r="I1324" s="241">
        <f t="shared" ca="1" si="302"/>
        <v>1</v>
      </c>
      <c r="J1324" s="241"/>
      <c r="K1324" s="241"/>
      <c r="L1324" s="238"/>
    </row>
    <row r="1325" spans="2:12">
      <c r="B1325" s="232" t="s">
        <v>24</v>
      </c>
      <c r="C1325" s="167" t="s">
        <v>218</v>
      </c>
      <c r="D1325" s="236" t="str">
        <f>_xlfn.XLOOKUP(B1325,'Relacion '!$E:$E,'Relacion '!$D:$D,"")</f>
        <v>02. MAPEO</v>
      </c>
      <c r="E1325" s="233">
        <f t="shared" si="305"/>
        <v>515</v>
      </c>
      <c r="F1325" s="234" cm="1">
        <f t="array" ref="F1325">MIN(INDEX('Relacion '!$X$5:$AM$493,MATCH(INDEX($B:$B, (ROW()-0)),'Relacion '!$E$5:$E$493,0),0))</f>
        <v>45659</v>
      </c>
      <c r="G1325" s="234" cm="1">
        <f t="array" ref="G1325">MAX(INDEX('Relacion '!$X$5:$AM$493,MATCH(INDEX($B:$B, (ROW()-0)),'Relacion '!$E$5:$E$493,0),0))</f>
        <v>46174</v>
      </c>
      <c r="H1325" s="235" t="e">
        <f>AVERAGE(H1326:H1333)</f>
        <v>#REF!</v>
      </c>
      <c r="I1325" s="235">
        <f t="shared" ref="I1325" ca="1" si="314">AVERAGE(I1326:I1333)</f>
        <v>0.75</v>
      </c>
      <c r="J1325" s="236" t="str">
        <f>IF(ISNUMBER(SEARCH("Rocha", _xlfn.XLOOKUP(B1325,'Relacion '!$E:$E,'Relacion '!$I:$I,""))), "Sí", "No")</f>
        <v>No</v>
      </c>
      <c r="K1325" s="236" t="str">
        <f>IF(ISNUMBER(SEARCH("Rocha", _xlfn.XLOOKUP(B1325,'Relacion '!$E:$E,'Relacion '!$I:$I,""))), "RMC", _xlfn.XLOOKUP(B1325,'Relacion '!$E:$E,'Relacion '!$B:$B,""))</f>
        <v>Contabilidad</v>
      </c>
      <c r="L1325" s="236" t="str">
        <f>_xlfn.XLOOKUP(B1325,'Relacion '!$E:$E,'Relacion '!$C:$C,"")</f>
        <v xml:space="preserve">Ramon Jaimes </v>
      </c>
    </row>
    <row r="1326" spans="2:12" outlineLevel="1">
      <c r="B1326" s="237" t="s">
        <v>654</v>
      </c>
      <c r="C1326" s="237" t="s">
        <v>654</v>
      </c>
      <c r="D1326" s="238" t="str">
        <f>_xlfn.XLOOKUP(B1326,'Relacion '!$E:$E,'Relacion '!$D:$D,"")</f>
        <v/>
      </c>
      <c r="E1326" s="239">
        <f t="shared" si="305"/>
        <v>424</v>
      </c>
      <c r="F1326" s="240" cm="1">
        <f t="array" ref="F1326">MIN(INDEX('Relacion '!$X$5:$Y$493,MATCH(INDEX($B:$B, (ROW()-1)),'Relacion '!$E$5:$E$493,0),0))</f>
        <v>45659</v>
      </c>
      <c r="G1326" s="240" cm="1">
        <f t="array" ref="G1326">MAX(INDEX('Relacion '!$X$5:$Y$493,MATCH(INDEX($B:$B, (ROW()-1)),'Relacion '!$E$5:$E$493,0),0))</f>
        <v>46083</v>
      </c>
      <c r="H1326" s="241" cm="1">
        <f t="array" ref="H1326">IF(
 MATCH(B1326,{"01. ASIGNACION AREA";"02. MAPEO";"03. DESARROLLO";"04. VALIDA US";"05. VOBO US";"06. BW-EJECUCION";"07. VALIDACIÓN BAJAWARE";"08. CERRADA"},0)
 &lt;
 MATCH(_xlfn.XLOOKUP(INDEX($B:$B, (ROW()-1)),'Relacion '!$E:$E,'Relacion '!$D:$D,""),{"01. ASIGNACION AREA";"02. MAPEO";"03. DESARROLLO";"04. VALIDA US";"05. VOBO US";"06. BW-EJECUCION";"07. VALIDACIÓN BAJAWARE";"08. CERRADA"},0),
 1,
 IF(
  MATCH(B1326,{"01. ASIGNACION AREA";"02. MAPEO";"03. DESARROLLO";"04. VALIDA US";"05. VOBO US";"06. BW-EJECUCION";"07. VALIDACIÓN BAJAWARE";"08. CERRADA"},0)
  =
  MATCH(_xlfn.XLOOKUP(INDEX($B:$B, (ROW()-1)),'Relacion '!$E:$E,'Relacion '!$D:$D,""),{"01. ASIGNACION AREA";"02. MAPEO";"03. DESARROLLO";"04. VALIDA US";"05. VOBO US";"06. BW-EJECUCION";"07. VALIDACIÓN BAJAWARE";"08. CERRADA"},0),
  _xlfn.XLOOKUP(INDEX($B:$B, (ROW()-1)),'Relacion '!$E:$E,'Relacion '!#REF!,0),
  0
 )
)</f>
        <v>1</v>
      </c>
      <c r="I1326" s="241">
        <f t="shared" ref="I1326" ca="1" si="315">IF(G1326&lt;=TODAY(), 1, 0)</f>
        <v>1</v>
      </c>
      <c r="J1326" s="241"/>
      <c r="K1326" s="241"/>
      <c r="L1326" s="238"/>
    </row>
    <row r="1327" spans="2:12" outlineLevel="1">
      <c r="B1327" s="237" t="s">
        <v>195</v>
      </c>
      <c r="C1327" s="237" t="s">
        <v>195</v>
      </c>
      <c r="D1327" s="238" t="str">
        <f>_xlfn.XLOOKUP(B1327,'Relacion '!$E:$E,'Relacion '!$D:$D,"")</f>
        <v/>
      </c>
      <c r="E1327" s="239">
        <f t="shared" si="305"/>
        <v>53</v>
      </c>
      <c r="F1327" s="240" cm="1">
        <f t="array" ref="F1327">MIN(INDEX('Relacion '!$Z$5:$AA$493,MATCH(INDEX($B:$B, (ROW()-2)),'Relacion '!$E$5:$E$493,0),0))</f>
        <v>46069</v>
      </c>
      <c r="G1327" s="240" cm="1">
        <f t="array" ref="G1327">MAX(INDEX('Relacion '!$Z$5:$AA$493,MATCH(INDEX($B:$B, (ROW()-2)),'Relacion '!$E$5:$E$493,0),0))</f>
        <v>46122</v>
      </c>
      <c r="H1327" s="241" t="e" cm="1">
        <f t="array" ref="H1327">IF(
 MATCH(B1327,{"01. ASIGNACION AREA";"02. MAPEO";"03. DESARROLLO";"04. VALIDA US";"05. VOBO US";"06. BW-EJECUCION";"07. VALIDACIÓN BAJAWARE";"08. CERRADA"},0)
 &lt;
 MATCH(_xlfn.XLOOKUP(INDEX($B:$B, (ROW()-2)),'Relacion '!$E:$E,'Relacion '!$D:$D,""),{"01. ASIGNACION AREA";"02. MAPEO";"03. DESARROLLO";"04. VALIDA US";"05. VOBO US";"06. BW-EJECUCION";"07. VALIDACIÓN BAJAWARE";"08. CERRADA"},0),
 1,
 IF(
  MATCH(B1327,{"01. ASIGNACION AREA";"02. MAPEO";"03. DESARROLLO";"04. VALIDA US";"05. VOBO US";"06. BW-EJECUCION";"07. VALIDACIÓN BAJAWARE";"08. CERRADA"},0)
  =
  MATCH(_xlfn.XLOOKUP(INDEX($B:$B, (ROW()-2)),'Relacion '!$E:$E,'Relacion '!$D:$D,""),{"01. ASIGNACION AREA";"02. MAPEO";"03. DESARROLLO";"04. VALIDA US";"05. VOBO US";"06. BW-EJECUCION";"07. VALIDACIÓN BAJAWARE";"08. CERRADA"},0),
  _xlfn.XLOOKUP(INDEX($B:$B, (ROW()-2)),'Relacion '!$E:$E,'Relacion '!#REF!,0),
  0
 )
)</f>
        <v>#REF!</v>
      </c>
      <c r="I1327" s="241">
        <f t="shared" ca="1" si="302"/>
        <v>1</v>
      </c>
      <c r="J1327" s="241"/>
      <c r="K1327" s="241"/>
      <c r="L1327" s="238"/>
    </row>
    <row r="1328" spans="2:12" outlineLevel="1">
      <c r="B1328" s="237" t="s">
        <v>49</v>
      </c>
      <c r="C1328" s="237" t="s">
        <v>49</v>
      </c>
      <c r="D1328" s="238" t="str">
        <f>_xlfn.XLOOKUP(B1328,'Relacion '!$E:$E,'Relacion '!$D:$D,"")</f>
        <v/>
      </c>
      <c r="E1328" s="239">
        <f t="shared" si="305"/>
        <v>11</v>
      </c>
      <c r="F1328" s="240" cm="1">
        <f t="array" ref="F1328">MIN(INDEX('Relacion '!$AB$5:$AC$493,MATCH(INDEX($B:$B, (ROW()-3)),'Relacion '!$E$5:$E$493,0),0))</f>
        <v>46125</v>
      </c>
      <c r="G1328" s="240" cm="1">
        <f t="array" ref="G1328">MAX(INDEX('Relacion '!$AB$5:$AC$493,MATCH(INDEX($B:$B, (ROW()-3)),'Relacion '!$E$5:$E$493,0),0))</f>
        <v>46136</v>
      </c>
      <c r="H1328" s="241" cm="1">
        <f t="array" ref="H1328">IF(
 MATCH(B1328,{"01. ASIGNACION AREA";"02. MAPEO";"03. DESARROLLO";"04. VALIDA US";"05. VOBO US";"06. BW-EJECUCION";"07. VALIDACIÓN BAJAWARE";"08. CERRADA"},0)
 &lt;
 MATCH(_xlfn.XLOOKUP(INDEX($B:$B, (ROW()-3)),'Relacion '!$E:$E,'Relacion '!$D:$D,""),{"01. ASIGNACION AREA";"02. MAPEO";"03. DESARROLLO";"04. VALIDA US";"05. VOBO US";"06. BW-EJECUCION";"07. VALIDACIÓN BAJAWARE";"08. CERRADA"},0),
 1,
 IF(
  MATCH(B1328,{"01. ASIGNACION AREA";"02. MAPEO";"03. DESARROLLO";"04. VALIDA US";"05. VOBO US";"06. BW-EJECUCION";"07. VALIDACIÓN BAJAWARE";"08. CERRADA"},0)
  =
  MATCH(_xlfn.XLOOKUP(INDEX($B:$B, (ROW()-3)),'Relacion '!$E:$E,'Relacion '!$D:$D,""),{"01. ASIGNACION AREA";"02. MAPEO";"03. DESARROLLO";"04. VALIDA US";"05. VOBO US";"06. BW-EJECUCION";"07. VALIDACIÓN BAJAWARE";"08. CERRADA"},0),
  _xlfn.XLOOKUP(INDEX($B:$B, (ROW()-3)),'Relacion '!$E:$E,'Relacion '!#REF!,0),
  0
 )
)</f>
        <v>0</v>
      </c>
      <c r="I1328" s="241">
        <f t="shared" ca="1" si="302"/>
        <v>1</v>
      </c>
      <c r="J1328" s="241"/>
      <c r="K1328" s="241"/>
      <c r="L1328" s="238"/>
    </row>
    <row r="1329" spans="2:12" outlineLevel="1">
      <c r="B1329" s="237" t="s">
        <v>324</v>
      </c>
      <c r="C1329" s="237" t="s">
        <v>324</v>
      </c>
      <c r="D1329" s="238" t="str">
        <f>_xlfn.XLOOKUP(B1329,'Relacion '!$E:$E,'Relacion '!$D:$D,"")</f>
        <v/>
      </c>
      <c r="E1329" s="239">
        <f t="shared" si="305"/>
        <v>11</v>
      </c>
      <c r="F1329" s="240" cm="1">
        <f t="array" ref="F1329">MIN(INDEX('Relacion '!$AD$5:$AE$493,MATCH(INDEX($B:$B, (ROW()-4)),'Relacion '!$E$5:$E$493,0),0))</f>
        <v>46139</v>
      </c>
      <c r="G1329" s="240" cm="1">
        <f t="array" ref="G1329">MAX(INDEX('Relacion '!$AD$5:$AE$493,MATCH(INDEX($B:$B, (ROW()-4)),'Relacion '!$E$5:$E$493,0),0))</f>
        <v>46150</v>
      </c>
      <c r="H1329" s="241" cm="1">
        <f t="array" ref="H1329">IF(
 MATCH(B1329,{"01. ASIGNACION AREA";"02. MAPEO";"03. DESARROLLO";"04. VALIDA US";"05. VOBO US";"06. BW-EJECUCION";"07. VALIDACIÓN BAJAWARE";"08. CERRADA"},0)
 &lt;
 MATCH(_xlfn.XLOOKUP(INDEX($B:$B, (ROW()-4)),'Relacion '!$E:$E,'Relacion '!$D:$D,""),{"01. ASIGNACION AREA";"02. MAPEO";"03. DESARROLLO";"04. VALIDA US";"05. VOBO US";"06. BW-EJECUCION";"07. VALIDACIÓN BAJAWARE";"08. CERRADA"},0),
 1,
 IF(
  MATCH(B1329,{"01. ASIGNACION AREA";"02. MAPEO";"03. DESARROLLO";"04. VALIDA US";"05. VOBO US";"06. BW-EJECUCION";"07. VALIDACIÓN BAJAWARE";"08. CERRADA"},0)
  =
  MATCH(_xlfn.XLOOKUP(INDEX($B:$B, (ROW()-4)),'Relacion '!$E:$E,'Relacion '!$D:$D,""),{"01. ASIGNACION AREA";"02. MAPEO";"03. DESARROLLO";"04. VALIDA US";"05. VOBO US";"06. BW-EJECUCION";"07. VALIDACIÓN BAJAWARE";"08. CERRADA"},0),
  _xlfn.XLOOKUP(INDEX($B:$B, (ROW()-4)),'Relacion '!$E:$E,'Relacion '!#REF!,0),
  0
 )
)</f>
        <v>0</v>
      </c>
      <c r="I1329" s="241">
        <f t="shared" ca="1" si="302"/>
        <v>1</v>
      </c>
      <c r="J1329" s="241"/>
      <c r="K1329" s="241"/>
      <c r="L1329" s="238"/>
    </row>
    <row r="1330" spans="2:12" outlineLevel="1">
      <c r="B1330" s="237" t="s">
        <v>320</v>
      </c>
      <c r="C1330" s="237" t="s">
        <v>320</v>
      </c>
      <c r="D1330" s="238" t="str">
        <f>_xlfn.XLOOKUP(B1330,'Relacion '!$E:$E,'Relacion '!$D:$D,"")</f>
        <v/>
      </c>
      <c r="E1330" s="239">
        <f t="shared" si="305"/>
        <v>3</v>
      </c>
      <c r="F1330" s="240" cm="1">
        <f t="array" ref="F1330">MIN(INDEX('Relacion '!$AF$5:$AG$493,MATCH(INDEX($B:$B, (ROW()-5)),'Relacion '!$E$5:$E$493,0),0))</f>
        <v>46150</v>
      </c>
      <c r="G1330" s="240" cm="1">
        <f t="array" ref="G1330">MAX(INDEX('Relacion '!$AF$5:$AG$493,MATCH(INDEX($B:$B, (ROW()-5)),'Relacion '!$E$5:$E$493,0),0))</f>
        <v>46153</v>
      </c>
      <c r="H1330" s="241" cm="1">
        <f t="array" ref="H1330">IF(
 MATCH(B1330,{"01. ASIGNACION AREA";"02. MAPEO";"03. DESARROLLO";"04. VALIDA US";"05. VOBO US";"06. BW-EJECUCION";"07. VALIDACIÓN BAJAWARE";"08. CERRADA"},0)
 &lt;
 MATCH(_xlfn.XLOOKUP(INDEX($B:$B, (ROW()-5)),'Relacion '!$E:$E,'Relacion '!$D:$D,""),{"01. ASIGNACION AREA";"02. MAPEO";"03. DESARROLLO";"04. VALIDA US";"05. VOBO US";"06. BW-EJECUCION";"07. VALIDACIÓN BAJAWARE";"08. CERRADA"},0),
 1,
 IF(
  MATCH(B1330,{"01. ASIGNACION AREA";"02. MAPEO";"03. DESARROLLO";"04. VALIDA US";"05. VOBO US";"06. BW-EJECUCION";"07. VALIDACIÓN BAJAWARE";"08. CERRADA"},0)
  =
  MATCH(_xlfn.XLOOKUP(INDEX($B:$B, (ROW()-5)),'Relacion '!$E:$E,'Relacion '!$D:$D,""),{"01. ASIGNACION AREA";"02. MAPEO";"03. DESARROLLO";"04. VALIDA US";"05. VOBO US";"06. BW-EJECUCION";"07. VALIDACIÓN BAJAWARE";"08. CERRADA"},0),
  _xlfn.XLOOKUP(INDEX($B:$B, (ROW()-5)),'Relacion '!$E:$E,'Relacion '!#REF!,0),
  0
 )
)</f>
        <v>0</v>
      </c>
      <c r="I1330" s="241">
        <f t="shared" ca="1" si="302"/>
        <v>1</v>
      </c>
      <c r="J1330" s="241"/>
      <c r="K1330" s="241"/>
      <c r="L1330" s="238"/>
    </row>
    <row r="1331" spans="2:12" outlineLevel="1">
      <c r="B1331" s="237" t="s">
        <v>710</v>
      </c>
      <c r="C1331" s="237" t="s">
        <v>710</v>
      </c>
      <c r="D1331" s="238" t="str">
        <f>_xlfn.XLOOKUP(B1331,'Relacion '!$E:$E,'Relacion '!$D:$D,"")</f>
        <v/>
      </c>
      <c r="E1331" s="239">
        <f t="shared" si="305"/>
        <v>2</v>
      </c>
      <c r="F1331" s="240" cm="1">
        <f t="array" ref="F1331">MIN(INDEX('Relacion '!$AH$5:$AI$493,MATCH(INDEX($B:$B, (ROW()-6)),'Relacion '!$E$5:$E$493,0),0))</f>
        <v>46154</v>
      </c>
      <c r="G1331" s="240" cm="1">
        <f t="array" ref="G1331">MAX(INDEX('Relacion '!$AH$5:$AI$493,MATCH(INDEX($B:$B, (ROW()-6)),'Relacion '!$E$5:$E$493,0),0))</f>
        <v>46156</v>
      </c>
      <c r="H1331" s="241" cm="1">
        <f t="array" ref="H1331">IF(
 MATCH(B1331,{"01. ASIGNACION AREA";"02. MAPEO";"03. DESARROLLO";"04. VALIDA US";"05. VOBO US";"06. BW-EJECUCION";"07. VALIDACIÓN BAJAWARE";"08. CERRADA"},0)
 &lt;
 MATCH(_xlfn.XLOOKUP(INDEX($B:$B, (ROW()-6)),'Relacion '!$E:$E,'Relacion '!$D:$D,""),{"01. ASIGNACION AREA";"02. MAPEO";"03. DESARROLLO";"04. VALIDA US";"05. VOBO US";"06. BW-EJECUCION";"07. VALIDACIÓN BAJAWARE";"08. CERRADA"},0),
 1,
 IF(
  MATCH(B1331,{"01. ASIGNACION AREA";"02. MAPEO";"03. DESARROLLO";"04. VALIDA US";"05. VOBO US";"06. BW-EJECUCION";"07. VALIDACIÓN BAJAWARE";"08. CERRADA"},0)
  =
  MATCH(_xlfn.XLOOKUP(INDEX($B:$B, (ROW()-6)),'Relacion '!$E:$E,'Relacion '!$D:$D,""),{"01. ASIGNACION AREA";"02. MAPEO";"03. DESARROLLO";"04. VALIDA US";"05. VOBO US";"06. BW-EJECUCION";"07. VALIDACIÓN BAJAWARE";"08. CERRADA"},0),
  _xlfn.XLOOKUP(INDEX($B:$B, (ROW()-6)),'Relacion '!$E:$E,'Relacion '!#REF!,0),
  0
 )
)</f>
        <v>0</v>
      </c>
      <c r="I1331" s="241">
        <f t="shared" ca="1" si="302"/>
        <v>1</v>
      </c>
      <c r="J1331" s="241"/>
      <c r="K1331" s="241"/>
      <c r="L1331" s="238"/>
    </row>
    <row r="1332" spans="2:12" outlineLevel="1">
      <c r="B1332" s="237" t="s">
        <v>655</v>
      </c>
      <c r="C1332" s="237" t="s">
        <v>655</v>
      </c>
      <c r="D1332" s="238" t="str">
        <f>_xlfn.XLOOKUP(B1332,'Relacion '!$E:$E,'Relacion '!$D:$D,"")</f>
        <v/>
      </c>
      <c r="E1332" s="239">
        <f t="shared" si="305"/>
        <v>13</v>
      </c>
      <c r="F1332" s="240" cm="1">
        <f t="array" ref="F1332">MIN(INDEX('Relacion '!$AJ$5:$AK$493,MATCH(INDEX($B:$B, (ROW()-7)),'Relacion '!$E$5:$E$493,0),0))</f>
        <v>46157</v>
      </c>
      <c r="G1332" s="240" cm="1">
        <f t="array" ref="G1332">MAX(INDEX('Relacion '!$AJ$5:$AK$493,MATCH(INDEX($B:$B, (ROW()-7)),'Relacion '!$E$5:$E$493,0),0))</f>
        <v>46170</v>
      </c>
      <c r="H1332" s="241" cm="1">
        <f t="array" ref="H1332">IF(
 MATCH(B1332,{"01. ASIGNACION AREA";"02. MAPEO";"03. DESARROLLO";"04. VALIDA US";"05. VOBO US";"06. BW-EJECUCION";"07. VALIDACIÓN BAJAWARE";"08. CERRADA"},0)
 &lt;
 MATCH(_xlfn.XLOOKUP(INDEX($B:$B, (ROW()-7)),'Relacion '!$E:$E,'Relacion '!$D:$D,""),{"01. ASIGNACION AREA";"02. MAPEO";"03. DESARROLLO";"04. VALIDA US";"05. VOBO US";"06. BW-EJECUCION";"07. VALIDACIÓN BAJAWARE";"08. CERRADA"},0),
 1,
 IF(
  MATCH(B1332,{"01. ASIGNACION AREA";"02. MAPEO";"03. DESARROLLO";"04. VALIDA US";"05. VOBO US";"06. BW-EJECUCION";"07. VALIDACIÓN BAJAWARE";"08. CERRADA"},0)
  =
  MATCH(_xlfn.XLOOKUP(INDEX($B:$B, (ROW()-7)),'Relacion '!$E:$E,'Relacion '!$D:$D,""),{"01. ASIGNACION AREA";"02. MAPEO";"03. DESARROLLO";"04. VALIDA US";"05. VOBO US";"06. BW-EJECUCION";"07. VALIDACIÓN BAJAWARE";"08. CERRADA"},0),
  _xlfn.XLOOKUP(INDEX($B:$B, (ROW()-7)),'Relacion '!$E:$E,'Relacion '!#REF!,0),
  0
 )
)</f>
        <v>0</v>
      </c>
      <c r="I1332" s="241">
        <f t="shared" ca="1" si="302"/>
        <v>0</v>
      </c>
      <c r="J1332" s="241"/>
      <c r="K1332" s="241"/>
      <c r="L1332" s="238"/>
    </row>
    <row r="1333" spans="2:12" outlineLevel="1">
      <c r="B1333" s="237" t="s">
        <v>656</v>
      </c>
      <c r="C1333" s="237" t="s">
        <v>656</v>
      </c>
      <c r="D1333" s="238" t="str">
        <f>_xlfn.XLOOKUP(B1333,'Relacion '!$E:$E,'Relacion '!$D:$D,"")</f>
        <v/>
      </c>
      <c r="E1333" s="239">
        <f t="shared" si="305"/>
        <v>3</v>
      </c>
      <c r="F1333" s="240" cm="1">
        <f t="array" ref="F1333">MIN(INDEX('Relacion '!$AL$5:$AM$493,MATCH(INDEX($B:$B, (ROW()-8)),'Relacion '!$E$5:$E$493,0),0))</f>
        <v>46171</v>
      </c>
      <c r="G1333" s="240" cm="1">
        <f t="array" ref="G1333">MAX(INDEX('Relacion '!$AL$5:$AM$493,MATCH(INDEX($B:$B, (ROW()-8)),'Relacion '!$E$5:$E$493,0),0))</f>
        <v>46174</v>
      </c>
      <c r="H1333" s="241" cm="1">
        <f t="array" ref="H1333">IF(
 MATCH(B1333,{"01. ASIGNACION AREA";"02. MAPEO";"03. DESARROLLO";"04. VALIDA US";"05. VOBO US";"06. BW-EJECUCION";"07. VALIDACIÓN BAJAWARE";"08. CERRADA"},0)
 &lt;
 MATCH(_xlfn.XLOOKUP(INDEX($B:$B, (ROW()-8)),'Relacion '!$E:$E,'Relacion '!$D:$D,""),{"01. ASIGNACION AREA";"02. MAPEO";"03. DESARROLLO";"04. VALIDA US";"05. VOBO US";"06. BW-EJECUCION";"07. VALIDACIÓN BAJAWARE";"08. CERRADA"},0),
 1,
 IF(
  MATCH(B1333,{"01. ASIGNACION AREA";"02. MAPEO";"03. DESARROLLO";"04. VALIDA US";"05. VOBO US";"06. BW-EJECUCION";"07. VALIDACIÓN BAJAWARE";"08. CERRADA"},0)
  =
  MATCH(_xlfn.XLOOKUP(INDEX($B:$B, (ROW()-8)),'Relacion '!$E:$E,'Relacion '!$D:$D,""),{"01. ASIGNACION AREA";"02. MAPEO";"03. DESARROLLO";"04. VALIDA US";"05. VOBO US";"06. BW-EJECUCION";"07. VALIDACIÓN BAJAWARE";"08. CERRADA"},0),
  _xlfn.XLOOKUP(INDEX($B:$B, (ROW()-8)),'Relacion '!$E:$E,'Relacion '!#REF!,0),
  0
 )
)</f>
        <v>0</v>
      </c>
      <c r="I1333" s="241">
        <f t="shared" ca="1" si="302"/>
        <v>0</v>
      </c>
      <c r="J1333" s="241"/>
      <c r="K1333" s="241"/>
      <c r="L1333" s="238"/>
    </row>
    <row r="1334" spans="2:12">
      <c r="B1334" s="232" t="s">
        <v>21</v>
      </c>
      <c r="C1334" s="167" t="s">
        <v>218</v>
      </c>
      <c r="D1334" s="236" t="str">
        <f>_xlfn.XLOOKUP(B1334,'Relacion '!$E:$E,'Relacion '!$D:$D,"")</f>
        <v>02. MAPEO</v>
      </c>
      <c r="E1334" s="233">
        <f t="shared" si="305"/>
        <v>515</v>
      </c>
      <c r="F1334" s="234" cm="1">
        <f t="array" ref="F1334">MIN(INDEX('Relacion '!$X$5:$AM$493,MATCH(INDEX($B:$B, (ROW()-0)),'Relacion '!$E$5:$E$493,0),0))</f>
        <v>45659</v>
      </c>
      <c r="G1334" s="234" cm="1">
        <f t="array" ref="G1334">MAX(INDEX('Relacion '!$X$5:$AM$493,MATCH(INDEX($B:$B, (ROW()-0)),'Relacion '!$E$5:$E$493,0),0))</f>
        <v>46174</v>
      </c>
      <c r="H1334" s="235" t="e">
        <f>AVERAGE(H1335:H1342)</f>
        <v>#REF!</v>
      </c>
      <c r="I1334" s="235">
        <f t="shared" ref="I1334" ca="1" si="316">AVERAGE(I1335:I1342)</f>
        <v>0.75</v>
      </c>
      <c r="J1334" s="236" t="str">
        <f>IF(ISNUMBER(SEARCH("Rocha", _xlfn.XLOOKUP(B1334,'Relacion '!$E:$E,'Relacion '!$I:$I,""))), "Sí", "No")</f>
        <v>No</v>
      </c>
      <c r="K1334" s="236" t="str">
        <f>IF(ISNUMBER(SEARCH("Rocha", _xlfn.XLOOKUP(B1334,'Relacion '!$E:$E,'Relacion '!$I:$I,""))), "RMC", _xlfn.XLOOKUP(B1334,'Relacion '!$E:$E,'Relacion '!$B:$B,""))</f>
        <v>Contabilidad</v>
      </c>
      <c r="L1334" s="236" t="str">
        <f>_xlfn.XLOOKUP(B1334,'Relacion '!$E:$E,'Relacion '!$C:$C,"")</f>
        <v xml:space="preserve">Ramon Jaimes </v>
      </c>
    </row>
    <row r="1335" spans="2:12" outlineLevel="1">
      <c r="B1335" s="237" t="s">
        <v>654</v>
      </c>
      <c r="C1335" s="237" t="s">
        <v>654</v>
      </c>
      <c r="D1335" s="238" t="str">
        <f>_xlfn.XLOOKUP(B1335,'Relacion '!$E:$E,'Relacion '!$D:$D,"")</f>
        <v/>
      </c>
      <c r="E1335" s="239">
        <f t="shared" si="305"/>
        <v>424</v>
      </c>
      <c r="F1335" s="240" cm="1">
        <f t="array" ref="F1335">MIN(INDEX('Relacion '!$X$5:$Y$493,MATCH(INDEX($B:$B, (ROW()-1)),'Relacion '!$E$5:$E$493,0),0))</f>
        <v>45659</v>
      </c>
      <c r="G1335" s="240" cm="1">
        <f t="array" ref="G1335">MAX(INDEX('Relacion '!$X$5:$Y$493,MATCH(INDEX($B:$B, (ROW()-1)),'Relacion '!$E$5:$E$493,0),0))</f>
        <v>46083</v>
      </c>
      <c r="H1335" s="241" cm="1">
        <f t="array" ref="H1335">IF(
 MATCH(B1335,{"01. ASIGNACION AREA";"02. MAPEO";"03. DESARROLLO";"04. VALIDA US";"05. VOBO US";"06. BW-EJECUCION";"07. VALIDACIÓN BAJAWARE";"08. CERRADA"},0)
 &lt;
 MATCH(_xlfn.XLOOKUP(INDEX($B:$B, (ROW()-1)),'Relacion '!$E:$E,'Relacion '!$D:$D,""),{"01. ASIGNACION AREA";"02. MAPEO";"03. DESARROLLO";"04. VALIDA US";"05. VOBO US";"06. BW-EJECUCION";"07. VALIDACIÓN BAJAWARE";"08. CERRADA"},0),
 1,
 IF(
  MATCH(B1335,{"01. ASIGNACION AREA";"02. MAPEO";"03. DESARROLLO";"04. VALIDA US";"05. VOBO US";"06. BW-EJECUCION";"07. VALIDACIÓN BAJAWARE";"08. CERRADA"},0)
  =
  MATCH(_xlfn.XLOOKUP(INDEX($B:$B, (ROW()-1)),'Relacion '!$E:$E,'Relacion '!$D:$D,""),{"01. ASIGNACION AREA";"02. MAPEO";"03. DESARROLLO";"04. VALIDA US";"05. VOBO US";"06. BW-EJECUCION";"07. VALIDACIÓN BAJAWARE";"08. CERRADA"},0),
  _xlfn.XLOOKUP(INDEX($B:$B, (ROW()-1)),'Relacion '!$E:$E,'Relacion '!#REF!,0),
  0
 )
)</f>
        <v>1</v>
      </c>
      <c r="I1335" s="241">
        <f t="shared" ref="I1335:I1396" ca="1" si="317">IF(G1335&lt;=TODAY(), 1, 0)</f>
        <v>1</v>
      </c>
      <c r="J1335" s="241"/>
      <c r="K1335" s="241"/>
      <c r="L1335" s="238"/>
    </row>
    <row r="1336" spans="2:12" outlineLevel="1">
      <c r="B1336" s="237" t="s">
        <v>195</v>
      </c>
      <c r="C1336" s="237" t="s">
        <v>195</v>
      </c>
      <c r="D1336" s="238" t="str">
        <f>_xlfn.XLOOKUP(B1336,'Relacion '!$E:$E,'Relacion '!$D:$D,"")</f>
        <v/>
      </c>
      <c r="E1336" s="239">
        <f t="shared" si="305"/>
        <v>53</v>
      </c>
      <c r="F1336" s="240" cm="1">
        <f t="array" ref="F1336">MIN(INDEX('Relacion '!$Z$5:$AA$493,MATCH(INDEX($B:$B, (ROW()-2)),'Relacion '!$E$5:$E$493,0),0))</f>
        <v>46069</v>
      </c>
      <c r="G1336" s="240" cm="1">
        <f t="array" ref="G1336">MAX(INDEX('Relacion '!$Z$5:$AA$493,MATCH(INDEX($B:$B, (ROW()-2)),'Relacion '!$E$5:$E$493,0),0))</f>
        <v>46122</v>
      </c>
      <c r="H1336" s="241" t="e" cm="1">
        <f t="array" ref="H1336">IF(
 MATCH(B1336,{"01. ASIGNACION AREA";"02. MAPEO";"03. DESARROLLO";"04. VALIDA US";"05. VOBO US";"06. BW-EJECUCION";"07. VALIDACIÓN BAJAWARE";"08. CERRADA"},0)
 &lt;
 MATCH(_xlfn.XLOOKUP(INDEX($B:$B, (ROW()-2)),'Relacion '!$E:$E,'Relacion '!$D:$D,""),{"01. ASIGNACION AREA";"02. MAPEO";"03. DESARROLLO";"04. VALIDA US";"05. VOBO US";"06. BW-EJECUCION";"07. VALIDACIÓN BAJAWARE";"08. CERRADA"},0),
 1,
 IF(
  MATCH(B1336,{"01. ASIGNACION AREA";"02. MAPEO";"03. DESARROLLO";"04. VALIDA US";"05. VOBO US";"06. BW-EJECUCION";"07. VALIDACIÓN BAJAWARE";"08. CERRADA"},0)
  =
  MATCH(_xlfn.XLOOKUP(INDEX($B:$B, (ROW()-2)),'Relacion '!$E:$E,'Relacion '!$D:$D,""),{"01. ASIGNACION AREA";"02. MAPEO";"03. DESARROLLO";"04. VALIDA US";"05. VOBO US";"06. BW-EJECUCION";"07. VALIDACIÓN BAJAWARE";"08. CERRADA"},0),
  _xlfn.XLOOKUP(INDEX($B:$B, (ROW()-2)),'Relacion '!$E:$E,'Relacion '!#REF!,0),
  0
 )
)</f>
        <v>#REF!</v>
      </c>
      <c r="I1336" s="241">
        <f t="shared" ca="1" si="317"/>
        <v>1</v>
      </c>
      <c r="J1336" s="241"/>
      <c r="K1336" s="241"/>
      <c r="L1336" s="238"/>
    </row>
    <row r="1337" spans="2:12" outlineLevel="1">
      <c r="B1337" s="237" t="s">
        <v>49</v>
      </c>
      <c r="C1337" s="237" t="s">
        <v>49</v>
      </c>
      <c r="D1337" s="238" t="str">
        <f>_xlfn.XLOOKUP(B1337,'Relacion '!$E:$E,'Relacion '!$D:$D,"")</f>
        <v/>
      </c>
      <c r="E1337" s="239">
        <f t="shared" si="305"/>
        <v>11</v>
      </c>
      <c r="F1337" s="240" cm="1">
        <f t="array" ref="F1337">MIN(INDEX('Relacion '!$AB$5:$AC$493,MATCH(INDEX($B:$B, (ROW()-3)),'Relacion '!$E$5:$E$493,0),0))</f>
        <v>46125</v>
      </c>
      <c r="G1337" s="240" cm="1">
        <f t="array" ref="G1337">MAX(INDEX('Relacion '!$AB$5:$AC$493,MATCH(INDEX($B:$B, (ROW()-3)),'Relacion '!$E$5:$E$493,0),0))</f>
        <v>46136</v>
      </c>
      <c r="H1337" s="241" cm="1">
        <f t="array" ref="H1337">IF(
 MATCH(B1337,{"01. ASIGNACION AREA";"02. MAPEO";"03. DESARROLLO";"04. VALIDA US";"05. VOBO US";"06. BW-EJECUCION";"07. VALIDACIÓN BAJAWARE";"08. CERRADA"},0)
 &lt;
 MATCH(_xlfn.XLOOKUP(INDEX($B:$B, (ROW()-3)),'Relacion '!$E:$E,'Relacion '!$D:$D,""),{"01. ASIGNACION AREA";"02. MAPEO";"03. DESARROLLO";"04. VALIDA US";"05. VOBO US";"06. BW-EJECUCION";"07. VALIDACIÓN BAJAWARE";"08. CERRADA"},0),
 1,
 IF(
  MATCH(B1337,{"01. ASIGNACION AREA";"02. MAPEO";"03. DESARROLLO";"04. VALIDA US";"05. VOBO US";"06. BW-EJECUCION";"07. VALIDACIÓN BAJAWARE";"08. CERRADA"},0)
  =
  MATCH(_xlfn.XLOOKUP(INDEX($B:$B, (ROW()-3)),'Relacion '!$E:$E,'Relacion '!$D:$D,""),{"01. ASIGNACION AREA";"02. MAPEO";"03. DESARROLLO";"04. VALIDA US";"05. VOBO US";"06. BW-EJECUCION";"07. VALIDACIÓN BAJAWARE";"08. CERRADA"},0),
  _xlfn.XLOOKUP(INDEX($B:$B, (ROW()-3)),'Relacion '!$E:$E,'Relacion '!#REF!,0),
  0
 )
)</f>
        <v>0</v>
      </c>
      <c r="I1337" s="241">
        <f t="shared" ca="1" si="317"/>
        <v>1</v>
      </c>
      <c r="J1337" s="241"/>
      <c r="K1337" s="241"/>
      <c r="L1337" s="238"/>
    </row>
    <row r="1338" spans="2:12" outlineLevel="1">
      <c r="B1338" s="237" t="s">
        <v>324</v>
      </c>
      <c r="C1338" s="237" t="s">
        <v>324</v>
      </c>
      <c r="D1338" s="238" t="str">
        <f>_xlfn.XLOOKUP(B1338,'Relacion '!$E:$E,'Relacion '!$D:$D,"")</f>
        <v/>
      </c>
      <c r="E1338" s="239">
        <f t="shared" si="305"/>
        <v>11</v>
      </c>
      <c r="F1338" s="240" cm="1">
        <f t="array" ref="F1338">MIN(INDEX('Relacion '!$AD$5:$AE$493,MATCH(INDEX($B:$B, (ROW()-4)),'Relacion '!$E$5:$E$493,0),0))</f>
        <v>46139</v>
      </c>
      <c r="G1338" s="240" cm="1">
        <f t="array" ref="G1338">MAX(INDEX('Relacion '!$AD$5:$AE$493,MATCH(INDEX($B:$B, (ROW()-4)),'Relacion '!$E$5:$E$493,0),0))</f>
        <v>46150</v>
      </c>
      <c r="H1338" s="241" cm="1">
        <f t="array" ref="H1338">IF(
 MATCH(B1338,{"01. ASIGNACION AREA";"02. MAPEO";"03. DESARROLLO";"04. VALIDA US";"05. VOBO US";"06. BW-EJECUCION";"07. VALIDACIÓN BAJAWARE";"08. CERRADA"},0)
 &lt;
 MATCH(_xlfn.XLOOKUP(INDEX($B:$B, (ROW()-4)),'Relacion '!$E:$E,'Relacion '!$D:$D,""),{"01. ASIGNACION AREA";"02. MAPEO";"03. DESARROLLO";"04. VALIDA US";"05. VOBO US";"06. BW-EJECUCION";"07. VALIDACIÓN BAJAWARE";"08. CERRADA"},0),
 1,
 IF(
  MATCH(B1338,{"01. ASIGNACION AREA";"02. MAPEO";"03. DESARROLLO";"04. VALIDA US";"05. VOBO US";"06. BW-EJECUCION";"07. VALIDACIÓN BAJAWARE";"08. CERRADA"},0)
  =
  MATCH(_xlfn.XLOOKUP(INDEX($B:$B, (ROW()-4)),'Relacion '!$E:$E,'Relacion '!$D:$D,""),{"01. ASIGNACION AREA";"02. MAPEO";"03. DESARROLLO";"04. VALIDA US";"05. VOBO US";"06. BW-EJECUCION";"07. VALIDACIÓN BAJAWARE";"08. CERRADA"},0),
  _xlfn.XLOOKUP(INDEX($B:$B, (ROW()-4)),'Relacion '!$E:$E,'Relacion '!#REF!,0),
  0
 )
)</f>
        <v>0</v>
      </c>
      <c r="I1338" s="241">
        <f t="shared" ca="1" si="317"/>
        <v>1</v>
      </c>
      <c r="J1338" s="241"/>
      <c r="K1338" s="241"/>
      <c r="L1338" s="238"/>
    </row>
    <row r="1339" spans="2:12" outlineLevel="1">
      <c r="B1339" s="237" t="s">
        <v>320</v>
      </c>
      <c r="C1339" s="237" t="s">
        <v>320</v>
      </c>
      <c r="D1339" s="238" t="str">
        <f>_xlfn.XLOOKUP(B1339,'Relacion '!$E:$E,'Relacion '!$D:$D,"")</f>
        <v/>
      </c>
      <c r="E1339" s="239">
        <f t="shared" si="305"/>
        <v>3</v>
      </c>
      <c r="F1339" s="240" cm="1">
        <f t="array" ref="F1339">MIN(INDEX('Relacion '!$AF$5:$AG$493,MATCH(INDEX($B:$B, (ROW()-5)),'Relacion '!$E$5:$E$493,0),0))</f>
        <v>46150</v>
      </c>
      <c r="G1339" s="240" cm="1">
        <f t="array" ref="G1339">MAX(INDEX('Relacion '!$AF$5:$AG$493,MATCH(INDEX($B:$B, (ROW()-5)),'Relacion '!$E$5:$E$493,0),0))</f>
        <v>46153</v>
      </c>
      <c r="H1339" s="241" cm="1">
        <f t="array" ref="H1339">IF(
 MATCH(B1339,{"01. ASIGNACION AREA";"02. MAPEO";"03. DESARROLLO";"04. VALIDA US";"05. VOBO US";"06. BW-EJECUCION";"07. VALIDACIÓN BAJAWARE";"08. CERRADA"},0)
 &lt;
 MATCH(_xlfn.XLOOKUP(INDEX($B:$B, (ROW()-5)),'Relacion '!$E:$E,'Relacion '!$D:$D,""),{"01. ASIGNACION AREA";"02. MAPEO";"03. DESARROLLO";"04. VALIDA US";"05. VOBO US";"06. BW-EJECUCION";"07. VALIDACIÓN BAJAWARE";"08. CERRADA"},0),
 1,
 IF(
  MATCH(B1339,{"01. ASIGNACION AREA";"02. MAPEO";"03. DESARROLLO";"04. VALIDA US";"05. VOBO US";"06. BW-EJECUCION";"07. VALIDACIÓN BAJAWARE";"08. CERRADA"},0)
  =
  MATCH(_xlfn.XLOOKUP(INDEX($B:$B, (ROW()-5)),'Relacion '!$E:$E,'Relacion '!$D:$D,""),{"01. ASIGNACION AREA";"02. MAPEO";"03. DESARROLLO";"04. VALIDA US";"05. VOBO US";"06. BW-EJECUCION";"07. VALIDACIÓN BAJAWARE";"08. CERRADA"},0),
  _xlfn.XLOOKUP(INDEX($B:$B, (ROW()-5)),'Relacion '!$E:$E,'Relacion '!#REF!,0),
  0
 )
)</f>
        <v>0</v>
      </c>
      <c r="I1339" s="241">
        <f t="shared" ca="1" si="317"/>
        <v>1</v>
      </c>
      <c r="J1339" s="241"/>
      <c r="K1339" s="241"/>
      <c r="L1339" s="238"/>
    </row>
    <row r="1340" spans="2:12" outlineLevel="1">
      <c r="B1340" s="237" t="s">
        <v>710</v>
      </c>
      <c r="C1340" s="237" t="s">
        <v>710</v>
      </c>
      <c r="D1340" s="238" t="str">
        <f>_xlfn.XLOOKUP(B1340,'Relacion '!$E:$E,'Relacion '!$D:$D,"")</f>
        <v/>
      </c>
      <c r="E1340" s="239">
        <f t="shared" si="305"/>
        <v>2</v>
      </c>
      <c r="F1340" s="240" cm="1">
        <f t="array" ref="F1340">MIN(INDEX('Relacion '!$AH$5:$AI$493,MATCH(INDEX($B:$B, (ROW()-6)),'Relacion '!$E$5:$E$493,0),0))</f>
        <v>46154</v>
      </c>
      <c r="G1340" s="240" cm="1">
        <f t="array" ref="G1340">MAX(INDEX('Relacion '!$AH$5:$AI$493,MATCH(INDEX($B:$B, (ROW()-6)),'Relacion '!$E$5:$E$493,0),0))</f>
        <v>46156</v>
      </c>
      <c r="H1340" s="241" cm="1">
        <f t="array" ref="H1340">IF(
 MATCH(B1340,{"01. ASIGNACION AREA";"02. MAPEO";"03. DESARROLLO";"04. VALIDA US";"05. VOBO US";"06. BW-EJECUCION";"07. VALIDACIÓN BAJAWARE";"08. CERRADA"},0)
 &lt;
 MATCH(_xlfn.XLOOKUP(INDEX($B:$B, (ROW()-6)),'Relacion '!$E:$E,'Relacion '!$D:$D,""),{"01. ASIGNACION AREA";"02. MAPEO";"03. DESARROLLO";"04. VALIDA US";"05. VOBO US";"06. BW-EJECUCION";"07. VALIDACIÓN BAJAWARE";"08. CERRADA"},0),
 1,
 IF(
  MATCH(B1340,{"01. ASIGNACION AREA";"02. MAPEO";"03. DESARROLLO";"04. VALIDA US";"05. VOBO US";"06. BW-EJECUCION";"07. VALIDACIÓN BAJAWARE";"08. CERRADA"},0)
  =
  MATCH(_xlfn.XLOOKUP(INDEX($B:$B, (ROW()-6)),'Relacion '!$E:$E,'Relacion '!$D:$D,""),{"01. ASIGNACION AREA";"02. MAPEO";"03. DESARROLLO";"04. VALIDA US";"05. VOBO US";"06. BW-EJECUCION";"07. VALIDACIÓN BAJAWARE";"08. CERRADA"},0),
  _xlfn.XLOOKUP(INDEX($B:$B, (ROW()-6)),'Relacion '!$E:$E,'Relacion '!#REF!,0),
  0
 )
)</f>
        <v>0</v>
      </c>
      <c r="I1340" s="241">
        <f t="shared" ca="1" si="317"/>
        <v>1</v>
      </c>
      <c r="J1340" s="241"/>
      <c r="K1340" s="241"/>
      <c r="L1340" s="238"/>
    </row>
    <row r="1341" spans="2:12" outlineLevel="1">
      <c r="B1341" s="237" t="s">
        <v>655</v>
      </c>
      <c r="C1341" s="237" t="s">
        <v>655</v>
      </c>
      <c r="D1341" s="238" t="str">
        <f>_xlfn.XLOOKUP(B1341,'Relacion '!$E:$E,'Relacion '!$D:$D,"")</f>
        <v/>
      </c>
      <c r="E1341" s="239">
        <f t="shared" si="305"/>
        <v>13</v>
      </c>
      <c r="F1341" s="240" cm="1">
        <f t="array" ref="F1341">MIN(INDEX('Relacion '!$AJ$5:$AK$493,MATCH(INDEX($B:$B, (ROW()-7)),'Relacion '!$E$5:$E$493,0),0))</f>
        <v>46157</v>
      </c>
      <c r="G1341" s="240" cm="1">
        <f t="array" ref="G1341">MAX(INDEX('Relacion '!$AJ$5:$AK$493,MATCH(INDEX($B:$B, (ROW()-7)),'Relacion '!$E$5:$E$493,0),0))</f>
        <v>46170</v>
      </c>
      <c r="H1341" s="241" cm="1">
        <f t="array" ref="H1341">IF(
 MATCH(B1341,{"01. ASIGNACION AREA";"02. MAPEO";"03. DESARROLLO";"04. VALIDA US";"05. VOBO US";"06. BW-EJECUCION";"07. VALIDACIÓN BAJAWARE";"08. CERRADA"},0)
 &lt;
 MATCH(_xlfn.XLOOKUP(INDEX($B:$B, (ROW()-7)),'Relacion '!$E:$E,'Relacion '!$D:$D,""),{"01. ASIGNACION AREA";"02. MAPEO";"03. DESARROLLO";"04. VALIDA US";"05. VOBO US";"06. BW-EJECUCION";"07. VALIDACIÓN BAJAWARE";"08. CERRADA"},0),
 1,
 IF(
  MATCH(B1341,{"01. ASIGNACION AREA";"02. MAPEO";"03. DESARROLLO";"04. VALIDA US";"05. VOBO US";"06. BW-EJECUCION";"07. VALIDACIÓN BAJAWARE";"08. CERRADA"},0)
  =
  MATCH(_xlfn.XLOOKUP(INDEX($B:$B, (ROW()-7)),'Relacion '!$E:$E,'Relacion '!$D:$D,""),{"01. ASIGNACION AREA";"02. MAPEO";"03. DESARROLLO";"04. VALIDA US";"05. VOBO US";"06. BW-EJECUCION";"07. VALIDACIÓN BAJAWARE";"08. CERRADA"},0),
  _xlfn.XLOOKUP(INDEX($B:$B, (ROW()-7)),'Relacion '!$E:$E,'Relacion '!#REF!,0),
  0
 )
)</f>
        <v>0</v>
      </c>
      <c r="I1341" s="241">
        <f t="shared" ca="1" si="317"/>
        <v>0</v>
      </c>
      <c r="J1341" s="241"/>
      <c r="K1341" s="241"/>
      <c r="L1341" s="238"/>
    </row>
    <row r="1342" spans="2:12" outlineLevel="1">
      <c r="B1342" s="237" t="s">
        <v>656</v>
      </c>
      <c r="C1342" s="237" t="s">
        <v>656</v>
      </c>
      <c r="D1342" s="238" t="str">
        <f>_xlfn.XLOOKUP(B1342,'Relacion '!$E:$E,'Relacion '!$D:$D,"")</f>
        <v/>
      </c>
      <c r="E1342" s="239">
        <f t="shared" si="305"/>
        <v>3</v>
      </c>
      <c r="F1342" s="240" cm="1">
        <f t="array" ref="F1342">MIN(INDEX('Relacion '!$AL$5:$AM$493,MATCH(INDEX($B:$B, (ROW()-8)),'Relacion '!$E$5:$E$493,0),0))</f>
        <v>46171</v>
      </c>
      <c r="G1342" s="240" cm="1">
        <f t="array" ref="G1342">MAX(INDEX('Relacion '!$AL$5:$AM$493,MATCH(INDEX($B:$B, (ROW()-8)),'Relacion '!$E$5:$E$493,0),0))</f>
        <v>46174</v>
      </c>
      <c r="H1342" s="241" cm="1">
        <f t="array" ref="H1342">IF(
 MATCH(B1342,{"01. ASIGNACION AREA";"02. MAPEO";"03. DESARROLLO";"04. VALIDA US";"05. VOBO US";"06. BW-EJECUCION";"07. VALIDACIÓN BAJAWARE";"08. CERRADA"},0)
 &lt;
 MATCH(_xlfn.XLOOKUP(INDEX($B:$B, (ROW()-8)),'Relacion '!$E:$E,'Relacion '!$D:$D,""),{"01. ASIGNACION AREA";"02. MAPEO";"03. DESARROLLO";"04. VALIDA US";"05. VOBO US";"06. BW-EJECUCION";"07. VALIDACIÓN BAJAWARE";"08. CERRADA"},0),
 1,
 IF(
  MATCH(B1342,{"01. ASIGNACION AREA";"02. MAPEO";"03. DESARROLLO";"04. VALIDA US";"05. VOBO US";"06. BW-EJECUCION";"07. VALIDACIÓN BAJAWARE";"08. CERRADA"},0)
  =
  MATCH(_xlfn.XLOOKUP(INDEX($B:$B, (ROW()-8)),'Relacion '!$E:$E,'Relacion '!$D:$D,""),{"01. ASIGNACION AREA";"02. MAPEO";"03. DESARROLLO";"04. VALIDA US";"05. VOBO US";"06. BW-EJECUCION";"07. VALIDACIÓN BAJAWARE";"08. CERRADA"},0),
  _xlfn.XLOOKUP(INDEX($B:$B, (ROW()-8)),'Relacion '!$E:$E,'Relacion '!#REF!,0),
  0
 )
)</f>
        <v>0</v>
      </c>
      <c r="I1342" s="241">
        <f t="shared" ca="1" si="317"/>
        <v>0</v>
      </c>
      <c r="J1342" s="241"/>
      <c r="K1342" s="241"/>
      <c r="L1342" s="238"/>
    </row>
    <row r="1343" spans="2:12">
      <c r="B1343" s="232" t="s">
        <v>575</v>
      </c>
      <c r="C1343" s="174" t="s">
        <v>63</v>
      </c>
      <c r="D1343" s="236" t="str">
        <f>_xlfn.XLOOKUP(B1343,'Relacion '!$E:$E,'Relacion '!$D:$D,"")</f>
        <v>08. CERRADA</v>
      </c>
      <c r="E1343" s="233">
        <f t="shared" si="305"/>
        <v>450</v>
      </c>
      <c r="F1343" s="234" cm="1">
        <f t="array" ref="F1343">MIN(INDEX('Relacion '!$X$5:$AM$493,MATCH(INDEX($B:$B, (ROW()-0)),'Relacion '!$E$5:$E$493,0),0))</f>
        <v>45659</v>
      </c>
      <c r="G1343" s="234" cm="1">
        <f t="array" ref="G1343">MAX(INDEX('Relacion '!$X$5:$AM$493,MATCH(INDEX($B:$B, (ROW()-0)),'Relacion '!$E$5:$E$493,0),0))</f>
        <v>46109</v>
      </c>
      <c r="H1343" s="235" t="e">
        <f>AVERAGE(H1344:H1351)</f>
        <v>#REF!</v>
      </c>
      <c r="I1343" s="235">
        <f t="shared" ref="I1343" ca="1" si="318">AVERAGE(I1344:I1351)</f>
        <v>1</v>
      </c>
      <c r="J1343" s="236" t="str">
        <f>IF(ISNUMBER(SEARCH("Rocha", _xlfn.XLOOKUP(B1343,'Relacion '!$E:$E,'Relacion '!$I:$I,""))), "Sí", "No")</f>
        <v>No</v>
      </c>
      <c r="K1343" s="236" t="str">
        <f>IF(ISNUMBER(SEARCH("Rocha", _xlfn.XLOOKUP(B1343,'Relacion '!$E:$E,'Relacion '!$I:$I,""))), "RMC", _xlfn.XLOOKUP(B1343,'Relacion '!$E:$E,'Relacion '!$B:$B,""))</f>
        <v>Operaciones Credito</v>
      </c>
      <c r="L1343" s="236" t="str">
        <f>_xlfn.XLOOKUP(B1343,'Relacion '!$E:$E,'Relacion '!$C:$C,"")</f>
        <v>Luis Alberto</v>
      </c>
    </row>
    <row r="1344" spans="2:12" outlineLevel="1">
      <c r="B1344" s="237" t="s">
        <v>654</v>
      </c>
      <c r="C1344" s="237" t="s">
        <v>654</v>
      </c>
      <c r="D1344" s="238" t="str">
        <f>_xlfn.XLOOKUP(B1344,'Relacion '!$E:$E,'Relacion '!$D:$D,"")</f>
        <v/>
      </c>
      <c r="E1344" s="239">
        <f t="shared" si="305"/>
        <v>424</v>
      </c>
      <c r="F1344" s="240" cm="1">
        <f t="array" ref="F1344">MIN(INDEX('Relacion '!$X$5:$Y$493,MATCH(INDEX($B:$B, (ROW()-1)),'Relacion '!$E$5:$E$493,0),0))</f>
        <v>45659</v>
      </c>
      <c r="G1344" s="240" cm="1">
        <f t="array" ref="G1344">MAX(INDEX('Relacion '!$X$5:$Y$493,MATCH(INDEX($B:$B, (ROW()-1)),'Relacion '!$E$5:$E$493,0),0))</f>
        <v>46083</v>
      </c>
      <c r="H1344" s="241" cm="1">
        <f t="array" ref="H1344">IF(
 MATCH(B1344,{"01. ASIGNACION AREA";"02. MAPEO";"03. DESARROLLO";"04. VALIDA US";"05. VOBO US";"06. BW-EJECUCION";"07. VALIDACIÓN BAJAWARE";"08. CERRADA"},0)
 &lt;
 MATCH(_xlfn.XLOOKUP(INDEX($B:$B, (ROW()-1)),'Relacion '!$E:$E,'Relacion '!$D:$D,""),{"01. ASIGNACION AREA";"02. MAPEO";"03. DESARROLLO";"04. VALIDA US";"05. VOBO US";"06. BW-EJECUCION";"07. VALIDACIÓN BAJAWARE";"08. CERRADA"},0),
 1,
 IF(
  MATCH(B1344,{"01. ASIGNACION AREA";"02. MAPEO";"03. DESARROLLO";"04. VALIDA US";"05. VOBO US";"06. BW-EJECUCION";"07. VALIDACIÓN BAJAWARE";"08. CERRADA"},0)
  =
  MATCH(_xlfn.XLOOKUP(INDEX($B:$B, (ROW()-1)),'Relacion '!$E:$E,'Relacion '!$D:$D,""),{"01. ASIGNACION AREA";"02. MAPEO";"03. DESARROLLO";"04. VALIDA US";"05. VOBO US";"06. BW-EJECUCION";"07. VALIDACIÓN BAJAWARE";"08. CERRADA"},0),
  _xlfn.XLOOKUP(INDEX($B:$B, (ROW()-1)),'Relacion '!$E:$E,'Relacion '!#REF!,0),
  0
 )
)</f>
        <v>1</v>
      </c>
      <c r="I1344" s="241">
        <f t="shared" ref="I1344" ca="1" si="319">IF(G1344&lt;=TODAY(), 1, 0)</f>
        <v>1</v>
      </c>
      <c r="J1344" s="241"/>
      <c r="K1344" s="241"/>
      <c r="L1344" s="238"/>
    </row>
    <row r="1345" spans="2:12" outlineLevel="1">
      <c r="B1345" s="237" t="s">
        <v>195</v>
      </c>
      <c r="C1345" s="237" t="s">
        <v>195</v>
      </c>
      <c r="D1345" s="238" t="str">
        <f>_xlfn.XLOOKUP(B1345,'Relacion '!$E:$E,'Relacion '!$D:$D,"")</f>
        <v/>
      </c>
      <c r="E1345" s="239">
        <f t="shared" si="305"/>
        <v>0</v>
      </c>
      <c r="F1345" s="240" cm="1">
        <f t="array" ref="F1345">MIN(INDEX('Relacion '!$Z$5:$AA$493,MATCH(INDEX($B:$B, (ROW()-2)),'Relacion '!$E$5:$E$493,0),0))</f>
        <v>46108</v>
      </c>
      <c r="G1345" s="240" cm="1">
        <f t="array" ref="G1345">MAX(INDEX('Relacion '!$Z$5:$AA$493,MATCH(INDEX($B:$B, (ROW()-2)),'Relacion '!$E$5:$E$493,0),0))</f>
        <v>46108</v>
      </c>
      <c r="H1345" s="241" cm="1">
        <f t="array" ref="H1345">IF(
 MATCH(B1345,{"01. ASIGNACION AREA";"02. MAPEO";"03. DESARROLLO";"04. VALIDA US";"05. VOBO US";"06. BW-EJECUCION";"07. VALIDACIÓN BAJAWARE";"08. CERRADA"},0)
 &lt;
 MATCH(_xlfn.XLOOKUP(INDEX($B:$B, (ROW()-2)),'Relacion '!$E:$E,'Relacion '!$D:$D,""),{"01. ASIGNACION AREA";"02. MAPEO";"03. DESARROLLO";"04. VALIDA US";"05. VOBO US";"06. BW-EJECUCION";"07. VALIDACIÓN BAJAWARE";"08. CERRADA"},0),
 1,
 IF(
  MATCH(B1345,{"01. ASIGNACION AREA";"02. MAPEO";"03. DESARROLLO";"04. VALIDA US";"05. VOBO US";"06. BW-EJECUCION";"07. VALIDACIÓN BAJAWARE";"08. CERRADA"},0)
  =
  MATCH(_xlfn.XLOOKUP(INDEX($B:$B, (ROW()-2)),'Relacion '!$E:$E,'Relacion '!$D:$D,""),{"01. ASIGNACION AREA";"02. MAPEO";"03. DESARROLLO";"04. VALIDA US";"05. VOBO US";"06. BW-EJECUCION";"07. VALIDACIÓN BAJAWARE";"08. CERRADA"},0),
  _xlfn.XLOOKUP(INDEX($B:$B, (ROW()-2)),'Relacion '!$E:$E,'Relacion '!#REF!,0),
  0
 )
)</f>
        <v>1</v>
      </c>
      <c r="I1345" s="241">
        <f t="shared" ca="1" si="317"/>
        <v>1</v>
      </c>
      <c r="J1345" s="241"/>
      <c r="K1345" s="241"/>
      <c r="L1345" s="238"/>
    </row>
    <row r="1346" spans="2:12" outlineLevel="1">
      <c r="B1346" s="237" t="s">
        <v>49</v>
      </c>
      <c r="C1346" s="237" t="s">
        <v>49</v>
      </c>
      <c r="D1346" s="238" t="str">
        <f>_xlfn.XLOOKUP(B1346,'Relacion '!$E:$E,'Relacion '!$D:$D,"")</f>
        <v/>
      </c>
      <c r="E1346" s="239">
        <f t="shared" ref="E1346:E1409" si="320">IF(OR(F1346="",G1346=""),"",G1346-F1346)</f>
        <v>0</v>
      </c>
      <c r="F1346" s="240" cm="1">
        <f t="array" ref="F1346">MIN(INDEX('Relacion '!$AB$5:$AC$493,MATCH(INDEX($B:$B, (ROW()-3)),'Relacion '!$E$5:$E$493,0),0))</f>
        <v>46108</v>
      </c>
      <c r="G1346" s="240" cm="1">
        <f t="array" ref="G1346">MAX(INDEX('Relacion '!$AB$5:$AC$493,MATCH(INDEX($B:$B, (ROW()-3)),'Relacion '!$E$5:$E$493,0),0))</f>
        <v>46108</v>
      </c>
      <c r="H1346" s="241" cm="1">
        <f t="array" ref="H1346">IF(
 MATCH(B1346,{"01. ASIGNACION AREA";"02. MAPEO";"03. DESARROLLO";"04. VALIDA US";"05. VOBO US";"06. BW-EJECUCION";"07. VALIDACIÓN BAJAWARE";"08. CERRADA"},0)
 &lt;
 MATCH(_xlfn.XLOOKUP(INDEX($B:$B, (ROW()-3)),'Relacion '!$E:$E,'Relacion '!$D:$D,""),{"01. ASIGNACION AREA";"02. MAPEO";"03. DESARROLLO";"04. VALIDA US";"05. VOBO US";"06. BW-EJECUCION";"07. VALIDACIÓN BAJAWARE";"08. CERRADA"},0),
 1,
 IF(
  MATCH(B1346,{"01. ASIGNACION AREA";"02. MAPEO";"03. DESARROLLO";"04. VALIDA US";"05. VOBO US";"06. BW-EJECUCION";"07. VALIDACIÓN BAJAWARE";"08. CERRADA"},0)
  =
  MATCH(_xlfn.XLOOKUP(INDEX($B:$B, (ROW()-3)),'Relacion '!$E:$E,'Relacion '!$D:$D,""),{"01. ASIGNACION AREA";"02. MAPEO";"03. DESARROLLO";"04. VALIDA US";"05. VOBO US";"06. BW-EJECUCION";"07. VALIDACIÓN BAJAWARE";"08. CERRADA"},0),
  _xlfn.XLOOKUP(INDEX($B:$B, (ROW()-3)),'Relacion '!$E:$E,'Relacion '!#REF!,0),
  0
 )
)</f>
        <v>1</v>
      </c>
      <c r="I1346" s="241">
        <f t="shared" ca="1" si="317"/>
        <v>1</v>
      </c>
      <c r="J1346" s="241"/>
      <c r="K1346" s="241"/>
      <c r="L1346" s="238"/>
    </row>
    <row r="1347" spans="2:12" outlineLevel="1">
      <c r="B1347" s="237" t="s">
        <v>324</v>
      </c>
      <c r="C1347" s="237" t="s">
        <v>324</v>
      </c>
      <c r="D1347" s="238" t="str">
        <f>_xlfn.XLOOKUP(B1347,'Relacion '!$E:$E,'Relacion '!$D:$D,"")</f>
        <v/>
      </c>
      <c r="E1347" s="239">
        <f t="shared" si="320"/>
        <v>0</v>
      </c>
      <c r="F1347" s="240" cm="1">
        <f t="array" ref="F1347">MIN(INDEX('Relacion '!$AD$5:$AE$493,MATCH(INDEX($B:$B, (ROW()-4)),'Relacion '!$E$5:$E$493,0),0))</f>
        <v>46108</v>
      </c>
      <c r="G1347" s="240" cm="1">
        <f t="array" ref="G1347">MAX(INDEX('Relacion '!$AD$5:$AE$493,MATCH(INDEX($B:$B, (ROW()-4)),'Relacion '!$E$5:$E$493,0),0))</f>
        <v>46108</v>
      </c>
      <c r="H1347" s="241" cm="1">
        <f t="array" ref="H1347">IF(
 MATCH(B1347,{"01. ASIGNACION AREA";"02. MAPEO";"03. DESARROLLO";"04. VALIDA US";"05. VOBO US";"06. BW-EJECUCION";"07. VALIDACIÓN BAJAWARE";"08. CERRADA"},0)
 &lt;
 MATCH(_xlfn.XLOOKUP(INDEX($B:$B, (ROW()-4)),'Relacion '!$E:$E,'Relacion '!$D:$D,""),{"01. ASIGNACION AREA";"02. MAPEO";"03. DESARROLLO";"04. VALIDA US";"05. VOBO US";"06. BW-EJECUCION";"07. VALIDACIÓN BAJAWARE";"08. CERRADA"},0),
 1,
 IF(
  MATCH(B1347,{"01. ASIGNACION AREA";"02. MAPEO";"03. DESARROLLO";"04. VALIDA US";"05. VOBO US";"06. BW-EJECUCION";"07. VALIDACIÓN BAJAWARE";"08. CERRADA"},0)
  =
  MATCH(_xlfn.XLOOKUP(INDEX($B:$B, (ROW()-4)),'Relacion '!$E:$E,'Relacion '!$D:$D,""),{"01. ASIGNACION AREA";"02. MAPEO";"03. DESARROLLO";"04. VALIDA US";"05. VOBO US";"06. BW-EJECUCION";"07. VALIDACIÓN BAJAWARE";"08. CERRADA"},0),
  _xlfn.XLOOKUP(INDEX($B:$B, (ROW()-4)),'Relacion '!$E:$E,'Relacion '!#REF!,0),
  0
 )
)</f>
        <v>1</v>
      </c>
      <c r="I1347" s="241">
        <f t="shared" ca="1" si="317"/>
        <v>1</v>
      </c>
      <c r="J1347" s="241"/>
      <c r="K1347" s="241"/>
      <c r="L1347" s="238"/>
    </row>
    <row r="1348" spans="2:12" outlineLevel="1">
      <c r="B1348" s="237" t="s">
        <v>320</v>
      </c>
      <c r="C1348" s="237" t="s">
        <v>320</v>
      </c>
      <c r="D1348" s="238" t="str">
        <f>_xlfn.XLOOKUP(B1348,'Relacion '!$E:$E,'Relacion '!$D:$D,"")</f>
        <v/>
      </c>
      <c r="E1348" s="239">
        <f t="shared" si="320"/>
        <v>0</v>
      </c>
      <c r="F1348" s="240" cm="1">
        <f t="array" ref="F1348">MIN(INDEX('Relacion '!$AF$5:$AG$493,MATCH(INDEX($B:$B, (ROW()-5)),'Relacion '!$E$5:$E$493,0),0))</f>
        <v>46108</v>
      </c>
      <c r="G1348" s="240" cm="1">
        <f t="array" ref="G1348">MAX(INDEX('Relacion '!$AF$5:$AG$493,MATCH(INDEX($B:$B, (ROW()-5)),'Relacion '!$E$5:$E$493,0),0))</f>
        <v>46108</v>
      </c>
      <c r="H1348" s="241" cm="1">
        <f t="array" ref="H1348">IF(
 MATCH(B1348,{"01. ASIGNACION AREA";"02. MAPEO";"03. DESARROLLO";"04. VALIDA US";"05. VOBO US";"06. BW-EJECUCION";"07. VALIDACIÓN BAJAWARE";"08. CERRADA"},0)
 &lt;
 MATCH(_xlfn.XLOOKUP(INDEX($B:$B, (ROW()-5)),'Relacion '!$E:$E,'Relacion '!$D:$D,""),{"01. ASIGNACION AREA";"02. MAPEO";"03. DESARROLLO";"04. VALIDA US";"05. VOBO US";"06. BW-EJECUCION";"07. VALIDACIÓN BAJAWARE";"08. CERRADA"},0),
 1,
 IF(
  MATCH(B1348,{"01. ASIGNACION AREA";"02. MAPEO";"03. DESARROLLO";"04. VALIDA US";"05. VOBO US";"06. BW-EJECUCION";"07. VALIDACIÓN BAJAWARE";"08. CERRADA"},0)
  =
  MATCH(_xlfn.XLOOKUP(INDEX($B:$B, (ROW()-5)),'Relacion '!$E:$E,'Relacion '!$D:$D,""),{"01. ASIGNACION AREA";"02. MAPEO";"03. DESARROLLO";"04. VALIDA US";"05. VOBO US";"06. BW-EJECUCION";"07. VALIDACIÓN BAJAWARE";"08. CERRADA"},0),
  _xlfn.XLOOKUP(INDEX($B:$B, (ROW()-5)),'Relacion '!$E:$E,'Relacion '!#REF!,0),
  0
 )
)</f>
        <v>1</v>
      </c>
      <c r="I1348" s="241">
        <f t="shared" ca="1" si="317"/>
        <v>1</v>
      </c>
      <c r="J1348" s="241"/>
      <c r="K1348" s="241"/>
      <c r="L1348" s="238"/>
    </row>
    <row r="1349" spans="2:12" outlineLevel="1">
      <c r="B1349" s="237" t="s">
        <v>710</v>
      </c>
      <c r="C1349" s="237" t="s">
        <v>710</v>
      </c>
      <c r="D1349" s="238" t="str">
        <f>_xlfn.XLOOKUP(B1349,'Relacion '!$E:$E,'Relacion '!$D:$D,"")</f>
        <v/>
      </c>
      <c r="E1349" s="239">
        <f t="shared" si="320"/>
        <v>0</v>
      </c>
      <c r="F1349" s="240" cm="1">
        <f t="array" ref="F1349">MIN(INDEX('Relacion '!$AH$5:$AI$493,MATCH(INDEX($B:$B, (ROW()-6)),'Relacion '!$E$5:$E$493,0),0))</f>
        <v>46108</v>
      </c>
      <c r="G1349" s="240" cm="1">
        <f t="array" ref="G1349">MAX(INDEX('Relacion '!$AH$5:$AI$493,MATCH(INDEX($B:$B, (ROW()-6)),'Relacion '!$E$5:$E$493,0),0))</f>
        <v>46108</v>
      </c>
      <c r="H1349" s="241" cm="1">
        <f t="array" ref="H1349">IF(
 MATCH(B1349,{"01. ASIGNACION AREA";"02. MAPEO";"03. DESARROLLO";"04. VALIDA US";"05. VOBO US";"06. BW-EJECUCION";"07. VALIDACIÓN BAJAWARE";"08. CERRADA"},0)
 &lt;
 MATCH(_xlfn.XLOOKUP(INDEX($B:$B, (ROW()-6)),'Relacion '!$E:$E,'Relacion '!$D:$D,""),{"01. ASIGNACION AREA";"02. MAPEO";"03. DESARROLLO";"04. VALIDA US";"05. VOBO US";"06. BW-EJECUCION";"07. VALIDACIÓN BAJAWARE";"08. CERRADA"},0),
 1,
 IF(
  MATCH(B1349,{"01. ASIGNACION AREA";"02. MAPEO";"03. DESARROLLO";"04. VALIDA US";"05. VOBO US";"06. BW-EJECUCION";"07. VALIDACIÓN BAJAWARE";"08. CERRADA"},0)
  =
  MATCH(_xlfn.XLOOKUP(INDEX($B:$B, (ROW()-6)),'Relacion '!$E:$E,'Relacion '!$D:$D,""),{"01. ASIGNACION AREA";"02. MAPEO";"03. DESARROLLO";"04. VALIDA US";"05. VOBO US";"06. BW-EJECUCION";"07. VALIDACIÓN BAJAWARE";"08. CERRADA"},0),
  _xlfn.XLOOKUP(INDEX($B:$B, (ROW()-6)),'Relacion '!$E:$E,'Relacion '!#REF!,0),
  0
 )
)</f>
        <v>1</v>
      </c>
      <c r="I1349" s="241">
        <f t="shared" ca="1" si="317"/>
        <v>1</v>
      </c>
      <c r="J1349" s="241"/>
      <c r="K1349" s="241"/>
      <c r="L1349" s="238"/>
    </row>
    <row r="1350" spans="2:12" outlineLevel="1">
      <c r="B1350" s="237" t="s">
        <v>655</v>
      </c>
      <c r="C1350" s="237" t="s">
        <v>655</v>
      </c>
      <c r="D1350" s="238" t="str">
        <f>_xlfn.XLOOKUP(B1350,'Relacion '!$E:$E,'Relacion '!$D:$D,"")</f>
        <v/>
      </c>
      <c r="E1350" s="239">
        <f t="shared" si="320"/>
        <v>0</v>
      </c>
      <c r="F1350" s="240" cm="1">
        <f t="array" ref="F1350">MIN(INDEX('Relacion '!$AJ$5:$AK$493,MATCH(INDEX($B:$B, (ROW()-7)),'Relacion '!$E$5:$E$493,0),0))</f>
        <v>46108</v>
      </c>
      <c r="G1350" s="240" cm="1">
        <f t="array" ref="G1350">MAX(INDEX('Relacion '!$AJ$5:$AK$493,MATCH(INDEX($B:$B, (ROW()-7)),'Relacion '!$E$5:$E$493,0),0))</f>
        <v>46108</v>
      </c>
      <c r="H1350" s="241" cm="1">
        <f t="array" ref="H1350">IF(
 MATCH(B1350,{"01. ASIGNACION AREA";"02. MAPEO";"03. DESARROLLO";"04. VALIDA US";"05. VOBO US";"06. BW-EJECUCION";"07. VALIDACIÓN BAJAWARE";"08. CERRADA"},0)
 &lt;
 MATCH(_xlfn.XLOOKUP(INDEX($B:$B, (ROW()-7)),'Relacion '!$E:$E,'Relacion '!$D:$D,""),{"01. ASIGNACION AREA";"02. MAPEO";"03. DESARROLLO";"04. VALIDA US";"05. VOBO US";"06. BW-EJECUCION";"07. VALIDACIÓN BAJAWARE";"08. CERRADA"},0),
 1,
 IF(
  MATCH(B1350,{"01. ASIGNACION AREA";"02. MAPEO";"03. DESARROLLO";"04. VALIDA US";"05. VOBO US";"06. BW-EJECUCION";"07. VALIDACIÓN BAJAWARE";"08. CERRADA"},0)
  =
  MATCH(_xlfn.XLOOKUP(INDEX($B:$B, (ROW()-7)),'Relacion '!$E:$E,'Relacion '!$D:$D,""),{"01. ASIGNACION AREA";"02. MAPEO";"03. DESARROLLO";"04. VALIDA US";"05. VOBO US";"06. BW-EJECUCION";"07. VALIDACIÓN BAJAWARE";"08. CERRADA"},0),
  _xlfn.XLOOKUP(INDEX($B:$B, (ROW()-7)),'Relacion '!$E:$E,'Relacion '!#REF!,0),
  0
 )
)</f>
        <v>1</v>
      </c>
      <c r="I1350" s="241">
        <f t="shared" ca="1" si="317"/>
        <v>1</v>
      </c>
      <c r="J1350" s="241"/>
      <c r="K1350" s="241"/>
      <c r="L1350" s="238"/>
    </row>
    <row r="1351" spans="2:12" outlineLevel="1">
      <c r="B1351" s="237" t="s">
        <v>656</v>
      </c>
      <c r="C1351" s="237" t="s">
        <v>656</v>
      </c>
      <c r="D1351" s="238" t="str">
        <f>_xlfn.XLOOKUP(B1351,'Relacion '!$E:$E,'Relacion '!$D:$D,"")</f>
        <v/>
      </c>
      <c r="E1351" s="239">
        <f t="shared" si="320"/>
        <v>0</v>
      </c>
      <c r="F1351" s="240" cm="1">
        <f t="array" ref="F1351">MIN(INDEX('Relacion '!$AL$5:$AM$493,MATCH(INDEX($B:$B, (ROW()-8)),'Relacion '!$E$5:$E$493,0),0))</f>
        <v>46109</v>
      </c>
      <c r="G1351" s="240" cm="1">
        <f t="array" ref="G1351">MAX(INDEX('Relacion '!$AL$5:$AM$493,MATCH(INDEX($B:$B, (ROW()-8)),'Relacion '!$E$5:$E$493,0),0))</f>
        <v>46109</v>
      </c>
      <c r="H1351" s="241" t="e" cm="1">
        <f t="array" ref="H1351">IF(
 MATCH(B1351,{"01. ASIGNACION AREA";"02. MAPEO";"03. DESARROLLO";"04. VALIDA US";"05. VOBO US";"06. BW-EJECUCION";"07. VALIDACIÓN BAJAWARE";"08. CERRADA"},0)
 &lt;
 MATCH(_xlfn.XLOOKUP(INDEX($B:$B, (ROW()-8)),'Relacion '!$E:$E,'Relacion '!$D:$D,""),{"01. ASIGNACION AREA";"02. MAPEO";"03. DESARROLLO";"04. VALIDA US";"05. VOBO US";"06. BW-EJECUCION";"07. VALIDACIÓN BAJAWARE";"08. CERRADA"},0),
 1,
 IF(
  MATCH(B1351,{"01. ASIGNACION AREA";"02. MAPEO";"03. DESARROLLO";"04. VALIDA US";"05. VOBO US";"06. BW-EJECUCION";"07. VALIDACIÓN BAJAWARE";"08. CERRADA"},0)
  =
  MATCH(_xlfn.XLOOKUP(INDEX($B:$B, (ROW()-8)),'Relacion '!$E:$E,'Relacion '!$D:$D,""),{"01. ASIGNACION AREA";"02. MAPEO";"03. DESARROLLO";"04. VALIDA US";"05. VOBO US";"06. BW-EJECUCION";"07. VALIDACIÓN BAJAWARE";"08. CERRADA"},0),
  _xlfn.XLOOKUP(INDEX($B:$B, (ROW()-8)),'Relacion '!$E:$E,'Relacion '!#REF!,0),
  0
 )
)</f>
        <v>#REF!</v>
      </c>
      <c r="I1351" s="241">
        <f t="shared" ca="1" si="317"/>
        <v>1</v>
      </c>
      <c r="J1351" s="241"/>
      <c r="K1351" s="241"/>
      <c r="L1351" s="238"/>
    </row>
    <row r="1352" spans="2:12">
      <c r="B1352" s="232" t="s">
        <v>576</v>
      </c>
      <c r="C1352" s="174" t="s">
        <v>63</v>
      </c>
      <c r="D1352" s="236" t="str">
        <f>_xlfn.XLOOKUP(B1352,'Relacion '!$E:$E,'Relacion '!$D:$D,"")</f>
        <v>08. CERRADA</v>
      </c>
      <c r="E1352" s="233">
        <f t="shared" si="320"/>
        <v>450</v>
      </c>
      <c r="F1352" s="234" cm="1">
        <f t="array" ref="F1352">MIN(INDEX('Relacion '!$X$5:$AM$493,MATCH(INDEX($B:$B, (ROW()-0)),'Relacion '!$E$5:$E$493,0),0))</f>
        <v>45659</v>
      </c>
      <c r="G1352" s="234" cm="1">
        <f t="array" ref="G1352">MAX(INDEX('Relacion '!$X$5:$AM$493,MATCH(INDEX($B:$B, (ROW()-0)),'Relacion '!$E$5:$E$493,0),0))</f>
        <v>46109</v>
      </c>
      <c r="H1352" s="235" t="e">
        <f>AVERAGE(H1353:H1360)</f>
        <v>#REF!</v>
      </c>
      <c r="I1352" s="235">
        <f t="shared" ref="I1352" ca="1" si="321">AVERAGE(I1353:I1360)</f>
        <v>1</v>
      </c>
      <c r="J1352" s="236" t="str">
        <f>IF(ISNUMBER(SEARCH("Rocha", _xlfn.XLOOKUP(B1352,'Relacion '!$E:$E,'Relacion '!$I:$I,""))), "Sí", "No")</f>
        <v>No</v>
      </c>
      <c r="K1352" s="236" t="str">
        <f>IF(ISNUMBER(SEARCH("Rocha", _xlfn.XLOOKUP(B1352,'Relacion '!$E:$E,'Relacion '!$I:$I,""))), "RMC", _xlfn.XLOOKUP(B1352,'Relacion '!$E:$E,'Relacion '!$B:$B,""))</f>
        <v>Operaciones Credito</v>
      </c>
      <c r="L1352" s="236" t="str">
        <f>_xlfn.XLOOKUP(B1352,'Relacion '!$E:$E,'Relacion '!$C:$C,"")</f>
        <v>Luis Alberto</v>
      </c>
    </row>
    <row r="1353" spans="2:12" outlineLevel="1">
      <c r="B1353" s="237" t="s">
        <v>654</v>
      </c>
      <c r="C1353" s="237" t="s">
        <v>654</v>
      </c>
      <c r="D1353" s="238" t="str">
        <f>_xlfn.XLOOKUP(B1353,'Relacion '!$E:$E,'Relacion '!$D:$D,"")</f>
        <v/>
      </c>
      <c r="E1353" s="239">
        <f t="shared" si="320"/>
        <v>424</v>
      </c>
      <c r="F1353" s="240" cm="1">
        <f t="array" ref="F1353">MIN(INDEX('Relacion '!$X$5:$Y$493,MATCH(INDEX($B:$B, (ROW()-1)),'Relacion '!$E$5:$E$493,0),0))</f>
        <v>45659</v>
      </c>
      <c r="G1353" s="240" cm="1">
        <f t="array" ref="G1353">MAX(INDEX('Relacion '!$X$5:$Y$493,MATCH(INDEX($B:$B, (ROW()-1)),'Relacion '!$E$5:$E$493,0),0))</f>
        <v>46083</v>
      </c>
      <c r="H1353" s="241" cm="1">
        <f t="array" ref="H1353">IF(
 MATCH(B1353,{"01. ASIGNACION AREA";"02. MAPEO";"03. DESARROLLO";"04. VALIDA US";"05. VOBO US";"06. BW-EJECUCION";"07. VALIDACIÓN BAJAWARE";"08. CERRADA"},0)
 &lt;
 MATCH(_xlfn.XLOOKUP(INDEX($B:$B, (ROW()-1)),'Relacion '!$E:$E,'Relacion '!$D:$D,""),{"01. ASIGNACION AREA";"02. MAPEO";"03. DESARROLLO";"04. VALIDA US";"05. VOBO US";"06. BW-EJECUCION";"07. VALIDACIÓN BAJAWARE";"08. CERRADA"},0),
 1,
 IF(
  MATCH(B1353,{"01. ASIGNACION AREA";"02. MAPEO";"03. DESARROLLO";"04. VALIDA US";"05. VOBO US";"06. BW-EJECUCION";"07. VALIDACIÓN BAJAWARE";"08. CERRADA"},0)
  =
  MATCH(_xlfn.XLOOKUP(INDEX($B:$B, (ROW()-1)),'Relacion '!$E:$E,'Relacion '!$D:$D,""),{"01. ASIGNACION AREA";"02. MAPEO";"03. DESARROLLO";"04. VALIDA US";"05. VOBO US";"06. BW-EJECUCION";"07. VALIDACIÓN BAJAWARE";"08. CERRADA"},0),
  _xlfn.XLOOKUP(INDEX($B:$B, (ROW()-1)),'Relacion '!$E:$E,'Relacion '!#REF!,0),
  0
 )
)</f>
        <v>1</v>
      </c>
      <c r="I1353" s="241">
        <f t="shared" ref="I1353" ca="1" si="322">IF(G1353&lt;=TODAY(), 1, 0)</f>
        <v>1</v>
      </c>
      <c r="J1353" s="241"/>
      <c r="K1353" s="241"/>
      <c r="L1353" s="238"/>
    </row>
    <row r="1354" spans="2:12" outlineLevel="1">
      <c r="B1354" s="237" t="s">
        <v>195</v>
      </c>
      <c r="C1354" s="237" t="s">
        <v>195</v>
      </c>
      <c r="D1354" s="238" t="str">
        <f>_xlfn.XLOOKUP(B1354,'Relacion '!$E:$E,'Relacion '!$D:$D,"")</f>
        <v/>
      </c>
      <c r="E1354" s="239">
        <f t="shared" si="320"/>
        <v>0</v>
      </c>
      <c r="F1354" s="240" cm="1">
        <f t="array" ref="F1354">MIN(INDEX('Relacion '!$Z$5:$AA$493,MATCH(INDEX($B:$B, (ROW()-2)),'Relacion '!$E$5:$E$493,0),0))</f>
        <v>46108</v>
      </c>
      <c r="G1354" s="240" cm="1">
        <f t="array" ref="G1354">MAX(INDEX('Relacion '!$Z$5:$AA$493,MATCH(INDEX($B:$B, (ROW()-2)),'Relacion '!$E$5:$E$493,0),0))</f>
        <v>46108</v>
      </c>
      <c r="H1354" s="241" cm="1">
        <f t="array" ref="H1354">IF(
 MATCH(B1354,{"01. ASIGNACION AREA";"02. MAPEO";"03. DESARROLLO";"04. VALIDA US";"05. VOBO US";"06. BW-EJECUCION";"07. VALIDACIÓN BAJAWARE";"08. CERRADA"},0)
 &lt;
 MATCH(_xlfn.XLOOKUP(INDEX($B:$B, (ROW()-2)),'Relacion '!$E:$E,'Relacion '!$D:$D,""),{"01. ASIGNACION AREA";"02. MAPEO";"03. DESARROLLO";"04. VALIDA US";"05. VOBO US";"06. BW-EJECUCION";"07. VALIDACIÓN BAJAWARE";"08. CERRADA"},0),
 1,
 IF(
  MATCH(B1354,{"01. ASIGNACION AREA";"02. MAPEO";"03. DESARROLLO";"04. VALIDA US";"05. VOBO US";"06. BW-EJECUCION";"07. VALIDACIÓN BAJAWARE";"08. CERRADA"},0)
  =
  MATCH(_xlfn.XLOOKUP(INDEX($B:$B, (ROW()-2)),'Relacion '!$E:$E,'Relacion '!$D:$D,""),{"01. ASIGNACION AREA";"02. MAPEO";"03. DESARROLLO";"04. VALIDA US";"05. VOBO US";"06. BW-EJECUCION";"07. VALIDACIÓN BAJAWARE";"08. CERRADA"},0),
  _xlfn.XLOOKUP(INDEX($B:$B, (ROW()-2)),'Relacion '!$E:$E,'Relacion '!#REF!,0),
  0
 )
)</f>
        <v>1</v>
      </c>
      <c r="I1354" s="241">
        <f t="shared" ca="1" si="317"/>
        <v>1</v>
      </c>
      <c r="J1354" s="241"/>
      <c r="K1354" s="241"/>
      <c r="L1354" s="238"/>
    </row>
    <row r="1355" spans="2:12" outlineLevel="1">
      <c r="B1355" s="237" t="s">
        <v>49</v>
      </c>
      <c r="C1355" s="237" t="s">
        <v>49</v>
      </c>
      <c r="D1355" s="238" t="str">
        <f>_xlfn.XLOOKUP(B1355,'Relacion '!$E:$E,'Relacion '!$D:$D,"")</f>
        <v/>
      </c>
      <c r="E1355" s="239">
        <f t="shared" si="320"/>
        <v>0</v>
      </c>
      <c r="F1355" s="240" cm="1">
        <f t="array" ref="F1355">MIN(INDEX('Relacion '!$AB$5:$AC$493,MATCH(INDEX($B:$B, (ROW()-3)),'Relacion '!$E$5:$E$493,0),0))</f>
        <v>46108</v>
      </c>
      <c r="G1355" s="240" cm="1">
        <f t="array" ref="G1355">MAX(INDEX('Relacion '!$AB$5:$AC$493,MATCH(INDEX($B:$B, (ROW()-3)),'Relacion '!$E$5:$E$493,0),0))</f>
        <v>46108</v>
      </c>
      <c r="H1355" s="241" cm="1">
        <f t="array" ref="H1355">IF(
 MATCH(B1355,{"01. ASIGNACION AREA";"02. MAPEO";"03. DESARROLLO";"04. VALIDA US";"05. VOBO US";"06. BW-EJECUCION";"07. VALIDACIÓN BAJAWARE";"08. CERRADA"},0)
 &lt;
 MATCH(_xlfn.XLOOKUP(INDEX($B:$B, (ROW()-3)),'Relacion '!$E:$E,'Relacion '!$D:$D,""),{"01. ASIGNACION AREA";"02. MAPEO";"03. DESARROLLO";"04. VALIDA US";"05. VOBO US";"06. BW-EJECUCION";"07. VALIDACIÓN BAJAWARE";"08. CERRADA"},0),
 1,
 IF(
  MATCH(B1355,{"01. ASIGNACION AREA";"02. MAPEO";"03. DESARROLLO";"04. VALIDA US";"05. VOBO US";"06. BW-EJECUCION";"07. VALIDACIÓN BAJAWARE";"08. CERRADA"},0)
  =
  MATCH(_xlfn.XLOOKUP(INDEX($B:$B, (ROW()-3)),'Relacion '!$E:$E,'Relacion '!$D:$D,""),{"01. ASIGNACION AREA";"02. MAPEO";"03. DESARROLLO";"04. VALIDA US";"05. VOBO US";"06. BW-EJECUCION";"07. VALIDACIÓN BAJAWARE";"08. CERRADA"},0),
  _xlfn.XLOOKUP(INDEX($B:$B, (ROW()-3)),'Relacion '!$E:$E,'Relacion '!#REF!,0),
  0
 )
)</f>
        <v>1</v>
      </c>
      <c r="I1355" s="241">
        <f t="shared" ca="1" si="317"/>
        <v>1</v>
      </c>
      <c r="J1355" s="241"/>
      <c r="K1355" s="241"/>
      <c r="L1355" s="238"/>
    </row>
    <row r="1356" spans="2:12" outlineLevel="1">
      <c r="B1356" s="237" t="s">
        <v>324</v>
      </c>
      <c r="C1356" s="237" t="s">
        <v>324</v>
      </c>
      <c r="D1356" s="238" t="str">
        <f>_xlfn.XLOOKUP(B1356,'Relacion '!$E:$E,'Relacion '!$D:$D,"")</f>
        <v/>
      </c>
      <c r="E1356" s="239">
        <f t="shared" si="320"/>
        <v>0</v>
      </c>
      <c r="F1356" s="240" cm="1">
        <f t="array" ref="F1356">MIN(INDEX('Relacion '!$AD$5:$AE$493,MATCH(INDEX($B:$B, (ROW()-4)),'Relacion '!$E$5:$E$493,0),0))</f>
        <v>46108</v>
      </c>
      <c r="G1356" s="240" cm="1">
        <f t="array" ref="G1356">MAX(INDEX('Relacion '!$AD$5:$AE$493,MATCH(INDEX($B:$B, (ROW()-4)),'Relacion '!$E$5:$E$493,0),0))</f>
        <v>46108</v>
      </c>
      <c r="H1356" s="241" cm="1">
        <f t="array" ref="H1356">IF(
 MATCH(B1356,{"01. ASIGNACION AREA";"02. MAPEO";"03. DESARROLLO";"04. VALIDA US";"05. VOBO US";"06. BW-EJECUCION";"07. VALIDACIÓN BAJAWARE";"08. CERRADA"},0)
 &lt;
 MATCH(_xlfn.XLOOKUP(INDEX($B:$B, (ROW()-4)),'Relacion '!$E:$E,'Relacion '!$D:$D,""),{"01. ASIGNACION AREA";"02. MAPEO";"03. DESARROLLO";"04. VALIDA US";"05. VOBO US";"06. BW-EJECUCION";"07. VALIDACIÓN BAJAWARE";"08. CERRADA"},0),
 1,
 IF(
  MATCH(B1356,{"01. ASIGNACION AREA";"02. MAPEO";"03. DESARROLLO";"04. VALIDA US";"05. VOBO US";"06. BW-EJECUCION";"07. VALIDACIÓN BAJAWARE";"08. CERRADA"},0)
  =
  MATCH(_xlfn.XLOOKUP(INDEX($B:$B, (ROW()-4)),'Relacion '!$E:$E,'Relacion '!$D:$D,""),{"01. ASIGNACION AREA";"02. MAPEO";"03. DESARROLLO";"04. VALIDA US";"05. VOBO US";"06. BW-EJECUCION";"07. VALIDACIÓN BAJAWARE";"08. CERRADA"},0),
  _xlfn.XLOOKUP(INDEX($B:$B, (ROW()-4)),'Relacion '!$E:$E,'Relacion '!#REF!,0),
  0
 )
)</f>
        <v>1</v>
      </c>
      <c r="I1356" s="241">
        <f t="shared" ca="1" si="317"/>
        <v>1</v>
      </c>
      <c r="J1356" s="241"/>
      <c r="K1356" s="241"/>
      <c r="L1356" s="238"/>
    </row>
    <row r="1357" spans="2:12" outlineLevel="1">
      <c r="B1357" s="237" t="s">
        <v>320</v>
      </c>
      <c r="C1357" s="237" t="s">
        <v>320</v>
      </c>
      <c r="D1357" s="238" t="str">
        <f>_xlfn.XLOOKUP(B1357,'Relacion '!$E:$E,'Relacion '!$D:$D,"")</f>
        <v/>
      </c>
      <c r="E1357" s="239">
        <f t="shared" si="320"/>
        <v>0</v>
      </c>
      <c r="F1357" s="240" cm="1">
        <f t="array" ref="F1357">MIN(INDEX('Relacion '!$AF$5:$AG$493,MATCH(INDEX($B:$B, (ROW()-5)),'Relacion '!$E$5:$E$493,0),0))</f>
        <v>46108</v>
      </c>
      <c r="G1357" s="240" cm="1">
        <f t="array" ref="G1357">MAX(INDEX('Relacion '!$AF$5:$AG$493,MATCH(INDEX($B:$B, (ROW()-5)),'Relacion '!$E$5:$E$493,0),0))</f>
        <v>46108</v>
      </c>
      <c r="H1357" s="241" cm="1">
        <f t="array" ref="H1357">IF(
 MATCH(B1357,{"01. ASIGNACION AREA";"02. MAPEO";"03. DESARROLLO";"04. VALIDA US";"05. VOBO US";"06. BW-EJECUCION";"07. VALIDACIÓN BAJAWARE";"08. CERRADA"},0)
 &lt;
 MATCH(_xlfn.XLOOKUP(INDEX($B:$B, (ROW()-5)),'Relacion '!$E:$E,'Relacion '!$D:$D,""),{"01. ASIGNACION AREA";"02. MAPEO";"03. DESARROLLO";"04. VALIDA US";"05. VOBO US";"06. BW-EJECUCION";"07. VALIDACIÓN BAJAWARE";"08. CERRADA"},0),
 1,
 IF(
  MATCH(B1357,{"01. ASIGNACION AREA";"02. MAPEO";"03. DESARROLLO";"04. VALIDA US";"05. VOBO US";"06. BW-EJECUCION";"07. VALIDACIÓN BAJAWARE";"08. CERRADA"},0)
  =
  MATCH(_xlfn.XLOOKUP(INDEX($B:$B, (ROW()-5)),'Relacion '!$E:$E,'Relacion '!$D:$D,""),{"01. ASIGNACION AREA";"02. MAPEO";"03. DESARROLLO";"04. VALIDA US";"05. VOBO US";"06. BW-EJECUCION";"07. VALIDACIÓN BAJAWARE";"08. CERRADA"},0),
  _xlfn.XLOOKUP(INDEX($B:$B, (ROW()-5)),'Relacion '!$E:$E,'Relacion '!#REF!,0),
  0
 )
)</f>
        <v>1</v>
      </c>
      <c r="I1357" s="241">
        <f t="shared" ca="1" si="317"/>
        <v>1</v>
      </c>
      <c r="J1357" s="241"/>
      <c r="K1357" s="241"/>
      <c r="L1357" s="238"/>
    </row>
    <row r="1358" spans="2:12" outlineLevel="1">
      <c r="B1358" s="237" t="s">
        <v>710</v>
      </c>
      <c r="C1358" s="237" t="s">
        <v>710</v>
      </c>
      <c r="D1358" s="238" t="str">
        <f>_xlfn.XLOOKUP(B1358,'Relacion '!$E:$E,'Relacion '!$D:$D,"")</f>
        <v/>
      </c>
      <c r="E1358" s="239">
        <f t="shared" si="320"/>
        <v>0</v>
      </c>
      <c r="F1358" s="240" cm="1">
        <f t="array" ref="F1358">MIN(INDEX('Relacion '!$AH$5:$AI$493,MATCH(INDEX($B:$B, (ROW()-6)),'Relacion '!$E$5:$E$493,0),0))</f>
        <v>46108</v>
      </c>
      <c r="G1358" s="240" cm="1">
        <f t="array" ref="G1358">MAX(INDEX('Relacion '!$AH$5:$AI$493,MATCH(INDEX($B:$B, (ROW()-6)),'Relacion '!$E$5:$E$493,0),0))</f>
        <v>46108</v>
      </c>
      <c r="H1358" s="241" cm="1">
        <f t="array" ref="H1358">IF(
 MATCH(B1358,{"01. ASIGNACION AREA";"02. MAPEO";"03. DESARROLLO";"04. VALIDA US";"05. VOBO US";"06. BW-EJECUCION";"07. VALIDACIÓN BAJAWARE";"08. CERRADA"},0)
 &lt;
 MATCH(_xlfn.XLOOKUP(INDEX($B:$B, (ROW()-6)),'Relacion '!$E:$E,'Relacion '!$D:$D,""),{"01. ASIGNACION AREA";"02. MAPEO";"03. DESARROLLO";"04. VALIDA US";"05. VOBO US";"06. BW-EJECUCION";"07. VALIDACIÓN BAJAWARE";"08. CERRADA"},0),
 1,
 IF(
  MATCH(B1358,{"01. ASIGNACION AREA";"02. MAPEO";"03. DESARROLLO";"04. VALIDA US";"05. VOBO US";"06. BW-EJECUCION";"07. VALIDACIÓN BAJAWARE";"08. CERRADA"},0)
  =
  MATCH(_xlfn.XLOOKUP(INDEX($B:$B, (ROW()-6)),'Relacion '!$E:$E,'Relacion '!$D:$D,""),{"01. ASIGNACION AREA";"02. MAPEO";"03. DESARROLLO";"04. VALIDA US";"05. VOBO US";"06. BW-EJECUCION";"07. VALIDACIÓN BAJAWARE";"08. CERRADA"},0),
  _xlfn.XLOOKUP(INDEX($B:$B, (ROW()-6)),'Relacion '!$E:$E,'Relacion '!#REF!,0),
  0
 )
)</f>
        <v>1</v>
      </c>
      <c r="I1358" s="241">
        <f t="shared" ca="1" si="317"/>
        <v>1</v>
      </c>
      <c r="J1358" s="241"/>
      <c r="K1358" s="241"/>
      <c r="L1358" s="238"/>
    </row>
    <row r="1359" spans="2:12" outlineLevel="1">
      <c r="B1359" s="237" t="s">
        <v>655</v>
      </c>
      <c r="C1359" s="237" t="s">
        <v>655</v>
      </c>
      <c r="D1359" s="238" t="str">
        <f>_xlfn.XLOOKUP(B1359,'Relacion '!$E:$E,'Relacion '!$D:$D,"")</f>
        <v/>
      </c>
      <c r="E1359" s="239">
        <f t="shared" si="320"/>
        <v>0</v>
      </c>
      <c r="F1359" s="240" cm="1">
        <f t="array" ref="F1359">MIN(INDEX('Relacion '!$AJ$5:$AK$493,MATCH(INDEX($B:$B, (ROW()-7)),'Relacion '!$E$5:$E$493,0),0))</f>
        <v>46108</v>
      </c>
      <c r="G1359" s="240" cm="1">
        <f t="array" ref="G1359">MAX(INDEX('Relacion '!$AJ$5:$AK$493,MATCH(INDEX($B:$B, (ROW()-7)),'Relacion '!$E$5:$E$493,0),0))</f>
        <v>46108</v>
      </c>
      <c r="H1359" s="241" cm="1">
        <f t="array" ref="H1359">IF(
 MATCH(B1359,{"01. ASIGNACION AREA";"02. MAPEO";"03. DESARROLLO";"04. VALIDA US";"05. VOBO US";"06. BW-EJECUCION";"07. VALIDACIÓN BAJAWARE";"08. CERRADA"},0)
 &lt;
 MATCH(_xlfn.XLOOKUP(INDEX($B:$B, (ROW()-7)),'Relacion '!$E:$E,'Relacion '!$D:$D,""),{"01. ASIGNACION AREA";"02. MAPEO";"03. DESARROLLO";"04. VALIDA US";"05. VOBO US";"06. BW-EJECUCION";"07. VALIDACIÓN BAJAWARE";"08. CERRADA"},0),
 1,
 IF(
  MATCH(B1359,{"01. ASIGNACION AREA";"02. MAPEO";"03. DESARROLLO";"04. VALIDA US";"05. VOBO US";"06. BW-EJECUCION";"07. VALIDACIÓN BAJAWARE";"08. CERRADA"},0)
  =
  MATCH(_xlfn.XLOOKUP(INDEX($B:$B, (ROW()-7)),'Relacion '!$E:$E,'Relacion '!$D:$D,""),{"01. ASIGNACION AREA";"02. MAPEO";"03. DESARROLLO";"04. VALIDA US";"05. VOBO US";"06. BW-EJECUCION";"07. VALIDACIÓN BAJAWARE";"08. CERRADA"},0),
  _xlfn.XLOOKUP(INDEX($B:$B, (ROW()-7)),'Relacion '!$E:$E,'Relacion '!#REF!,0),
  0
 )
)</f>
        <v>1</v>
      </c>
      <c r="I1359" s="241">
        <f t="shared" ca="1" si="317"/>
        <v>1</v>
      </c>
      <c r="J1359" s="241"/>
      <c r="K1359" s="241"/>
      <c r="L1359" s="238"/>
    </row>
    <row r="1360" spans="2:12" outlineLevel="1">
      <c r="B1360" s="237" t="s">
        <v>656</v>
      </c>
      <c r="C1360" s="237" t="s">
        <v>656</v>
      </c>
      <c r="D1360" s="238" t="str">
        <f>_xlfn.XLOOKUP(B1360,'Relacion '!$E:$E,'Relacion '!$D:$D,"")</f>
        <v/>
      </c>
      <c r="E1360" s="239">
        <f t="shared" si="320"/>
        <v>0</v>
      </c>
      <c r="F1360" s="240" cm="1">
        <f t="array" ref="F1360">MIN(INDEX('Relacion '!$AL$5:$AM$493,MATCH(INDEX($B:$B, (ROW()-8)),'Relacion '!$E$5:$E$493,0),0))</f>
        <v>46109</v>
      </c>
      <c r="G1360" s="240" cm="1">
        <f t="array" ref="G1360">MAX(INDEX('Relacion '!$AL$5:$AM$493,MATCH(INDEX($B:$B, (ROW()-8)),'Relacion '!$E$5:$E$493,0),0))</f>
        <v>46109</v>
      </c>
      <c r="H1360" s="241" t="e" cm="1">
        <f t="array" ref="H1360">IF(
 MATCH(B1360,{"01. ASIGNACION AREA";"02. MAPEO";"03. DESARROLLO";"04. VALIDA US";"05. VOBO US";"06. BW-EJECUCION";"07. VALIDACIÓN BAJAWARE";"08. CERRADA"},0)
 &lt;
 MATCH(_xlfn.XLOOKUP(INDEX($B:$B, (ROW()-8)),'Relacion '!$E:$E,'Relacion '!$D:$D,""),{"01. ASIGNACION AREA";"02. MAPEO";"03. DESARROLLO";"04. VALIDA US";"05. VOBO US";"06. BW-EJECUCION";"07. VALIDACIÓN BAJAWARE";"08. CERRADA"},0),
 1,
 IF(
  MATCH(B1360,{"01. ASIGNACION AREA";"02. MAPEO";"03. DESARROLLO";"04. VALIDA US";"05. VOBO US";"06. BW-EJECUCION";"07. VALIDACIÓN BAJAWARE";"08. CERRADA"},0)
  =
  MATCH(_xlfn.XLOOKUP(INDEX($B:$B, (ROW()-8)),'Relacion '!$E:$E,'Relacion '!$D:$D,""),{"01. ASIGNACION AREA";"02. MAPEO";"03. DESARROLLO";"04. VALIDA US";"05. VOBO US";"06. BW-EJECUCION";"07. VALIDACIÓN BAJAWARE";"08. CERRADA"},0),
  _xlfn.XLOOKUP(INDEX($B:$B, (ROW()-8)),'Relacion '!$E:$E,'Relacion '!#REF!,0),
  0
 )
)</f>
        <v>#REF!</v>
      </c>
      <c r="I1360" s="241">
        <f t="shared" ca="1" si="317"/>
        <v>1</v>
      </c>
      <c r="J1360" s="241"/>
      <c r="K1360" s="241"/>
      <c r="L1360" s="238"/>
    </row>
    <row r="1361" spans="2:12" ht="30">
      <c r="B1361" s="232" t="s">
        <v>577</v>
      </c>
      <c r="C1361" s="167" t="s">
        <v>578</v>
      </c>
      <c r="D1361" s="236" t="str">
        <f>_xlfn.XLOOKUP(B1361,'Relacion '!$E:$E,'Relacion '!$D:$D,"")</f>
        <v>06. BW-EJECUCION</v>
      </c>
      <c r="E1361" s="233">
        <f t="shared" si="320"/>
        <v>471</v>
      </c>
      <c r="F1361" s="234" cm="1">
        <f t="array" ref="F1361">MIN(INDEX('Relacion '!$X$5:$AM$493,MATCH(INDEX($B:$B, (ROW()-0)),'Relacion '!$E$5:$E$493,0),0))</f>
        <v>45659</v>
      </c>
      <c r="G1361" s="234" cm="1">
        <f t="array" ref="G1361">MAX(INDEX('Relacion '!$X$5:$AM$493,MATCH(INDEX($B:$B, (ROW()-0)),'Relacion '!$E$5:$E$493,0),0))</f>
        <v>46130</v>
      </c>
      <c r="H1361" s="235" t="e">
        <f>AVERAGE(H1362:H1369)</f>
        <v>#REF!</v>
      </c>
      <c r="I1361" s="235">
        <f t="shared" ref="I1361" ca="1" si="323">AVERAGE(I1362:I1369)</f>
        <v>1</v>
      </c>
      <c r="J1361" s="236" t="str">
        <f>IF(ISNUMBER(SEARCH("Rocha", _xlfn.XLOOKUP(B1361,'Relacion '!$E:$E,'Relacion '!$I:$I,""))), "Sí", "No")</f>
        <v>No</v>
      </c>
      <c r="K1361" s="236" t="str">
        <f>IF(ISNUMBER(SEARCH("Rocha", _xlfn.XLOOKUP(B1361,'Relacion '!$E:$E,'Relacion '!$I:$I,""))), "RMC", _xlfn.XLOOKUP(B1361,'Relacion '!$E:$E,'Relacion '!$B:$B,""))</f>
        <v>Producto</v>
      </c>
      <c r="L1361" s="236" t="str">
        <f>_xlfn.XLOOKUP(B1361,'Relacion '!$E:$E,'Relacion '!$C:$C,"")</f>
        <v>Claudia Barroso</v>
      </c>
    </row>
    <row r="1362" spans="2:12" outlineLevel="1">
      <c r="B1362" s="237" t="s">
        <v>654</v>
      </c>
      <c r="C1362" s="237" t="s">
        <v>654</v>
      </c>
      <c r="D1362" s="238" t="str">
        <f>_xlfn.XLOOKUP(B1362,'Relacion '!$E:$E,'Relacion '!$D:$D,"")</f>
        <v/>
      </c>
      <c r="E1362" s="239">
        <f t="shared" si="320"/>
        <v>424</v>
      </c>
      <c r="F1362" s="240" cm="1">
        <f t="array" ref="F1362">MIN(INDEX('Relacion '!$X$5:$Y$493,MATCH(INDEX($B:$B, (ROW()-1)),'Relacion '!$E$5:$E$493,0),0))</f>
        <v>45659</v>
      </c>
      <c r="G1362" s="240" cm="1">
        <f t="array" ref="G1362">MAX(INDEX('Relacion '!$X$5:$Y$493,MATCH(INDEX($B:$B, (ROW()-1)),'Relacion '!$E$5:$E$493,0),0))</f>
        <v>46083</v>
      </c>
      <c r="H1362" s="241" cm="1">
        <f t="array" ref="H1362">IF(
 MATCH(B1362,{"01. ASIGNACION AREA";"02. MAPEO";"03. DESARROLLO";"04. VALIDA US";"05. VOBO US";"06. BW-EJECUCION";"07. VALIDACIÓN BAJAWARE";"08. CERRADA"},0)
 &lt;
 MATCH(_xlfn.XLOOKUP(INDEX($B:$B, (ROW()-1)),'Relacion '!$E:$E,'Relacion '!$D:$D,""),{"01. ASIGNACION AREA";"02. MAPEO";"03. DESARROLLO";"04. VALIDA US";"05. VOBO US";"06. BW-EJECUCION";"07. VALIDACIÓN BAJAWARE";"08. CERRADA"},0),
 1,
 IF(
  MATCH(B1362,{"01. ASIGNACION AREA";"02. MAPEO";"03. DESARROLLO";"04. VALIDA US";"05. VOBO US";"06. BW-EJECUCION";"07. VALIDACIÓN BAJAWARE";"08. CERRADA"},0)
  =
  MATCH(_xlfn.XLOOKUP(INDEX($B:$B, (ROW()-1)),'Relacion '!$E:$E,'Relacion '!$D:$D,""),{"01. ASIGNACION AREA";"02. MAPEO";"03. DESARROLLO";"04. VALIDA US";"05. VOBO US";"06. BW-EJECUCION";"07. VALIDACIÓN BAJAWARE";"08. CERRADA"},0),
  _xlfn.XLOOKUP(INDEX($B:$B, (ROW()-1)),'Relacion '!$E:$E,'Relacion '!#REF!,0),
  0
 )
)</f>
        <v>1</v>
      </c>
      <c r="I1362" s="241">
        <f t="shared" ref="I1362" ca="1" si="324">IF(G1362&lt;=TODAY(), 1, 0)</f>
        <v>1</v>
      </c>
      <c r="J1362" s="241"/>
      <c r="K1362" s="241"/>
      <c r="L1362" s="238"/>
    </row>
    <row r="1363" spans="2:12" outlineLevel="1">
      <c r="B1363" s="237" t="s">
        <v>195</v>
      </c>
      <c r="C1363" s="237" t="s">
        <v>195</v>
      </c>
      <c r="D1363" s="238" t="str">
        <f>_xlfn.XLOOKUP(B1363,'Relacion '!$E:$E,'Relacion '!$D:$D,"")</f>
        <v/>
      </c>
      <c r="E1363" s="239">
        <f t="shared" si="320"/>
        <v>4</v>
      </c>
      <c r="F1363" s="240" cm="1">
        <f t="array" ref="F1363">MIN(INDEX('Relacion '!$Z$5:$AA$493,MATCH(INDEX($B:$B, (ROW()-2)),'Relacion '!$E$5:$E$493,0),0))</f>
        <v>46034</v>
      </c>
      <c r="G1363" s="240" cm="1">
        <f t="array" ref="G1363">MAX(INDEX('Relacion '!$Z$5:$AA$493,MATCH(INDEX($B:$B, (ROW()-2)),'Relacion '!$E$5:$E$493,0),0))</f>
        <v>46038</v>
      </c>
      <c r="H1363" s="241" cm="1">
        <f t="array" ref="H1363">IF(
 MATCH(B1363,{"01. ASIGNACION AREA";"02. MAPEO";"03. DESARROLLO";"04. VALIDA US";"05. VOBO US";"06. BW-EJECUCION";"07. VALIDACIÓN BAJAWARE";"08. CERRADA"},0)
 &lt;
 MATCH(_xlfn.XLOOKUP(INDEX($B:$B, (ROW()-2)),'Relacion '!$E:$E,'Relacion '!$D:$D,""),{"01. ASIGNACION AREA";"02. MAPEO";"03. DESARROLLO";"04. VALIDA US";"05. VOBO US";"06. BW-EJECUCION";"07. VALIDACIÓN BAJAWARE";"08. CERRADA"},0),
 1,
 IF(
  MATCH(B1363,{"01. ASIGNACION AREA";"02. MAPEO";"03. DESARROLLO";"04. VALIDA US";"05. VOBO US";"06. BW-EJECUCION";"07. VALIDACIÓN BAJAWARE";"08. CERRADA"},0)
  =
  MATCH(_xlfn.XLOOKUP(INDEX($B:$B, (ROW()-2)),'Relacion '!$E:$E,'Relacion '!$D:$D,""),{"01. ASIGNACION AREA";"02. MAPEO";"03. DESARROLLO";"04. VALIDA US";"05. VOBO US";"06. BW-EJECUCION";"07. VALIDACIÓN BAJAWARE";"08. CERRADA"},0),
  _xlfn.XLOOKUP(INDEX($B:$B, (ROW()-2)),'Relacion '!$E:$E,'Relacion '!#REF!,0),
  0
 )
)</f>
        <v>1</v>
      </c>
      <c r="I1363" s="241">
        <f t="shared" ca="1" si="317"/>
        <v>1</v>
      </c>
      <c r="J1363" s="241"/>
      <c r="K1363" s="241"/>
      <c r="L1363" s="238"/>
    </row>
    <row r="1364" spans="2:12" outlineLevel="1">
      <c r="B1364" s="237" t="s">
        <v>49</v>
      </c>
      <c r="C1364" s="237" t="s">
        <v>49</v>
      </c>
      <c r="D1364" s="238" t="str">
        <f>_xlfn.XLOOKUP(B1364,'Relacion '!$E:$E,'Relacion '!$D:$D,"")</f>
        <v/>
      </c>
      <c r="E1364" s="239">
        <f t="shared" si="320"/>
        <v>4</v>
      </c>
      <c r="F1364" s="240" cm="1">
        <f t="array" ref="F1364">MIN(INDEX('Relacion '!$AB$5:$AC$493,MATCH(INDEX($B:$B, (ROW()-3)),'Relacion '!$E$5:$E$493,0),0))</f>
        <v>46041</v>
      </c>
      <c r="G1364" s="240" cm="1">
        <f t="array" ref="G1364">MAX(INDEX('Relacion '!$AB$5:$AC$493,MATCH(INDEX($B:$B, (ROW()-3)),'Relacion '!$E$5:$E$493,0),0))</f>
        <v>46045</v>
      </c>
      <c r="H1364" s="241" cm="1">
        <f t="array" ref="H1364">IF(
 MATCH(B1364,{"01. ASIGNACION AREA";"02. MAPEO";"03. DESARROLLO";"04. VALIDA US";"05. VOBO US";"06. BW-EJECUCION";"07. VALIDACIÓN BAJAWARE";"08. CERRADA"},0)
 &lt;
 MATCH(_xlfn.XLOOKUP(INDEX($B:$B, (ROW()-3)),'Relacion '!$E:$E,'Relacion '!$D:$D,""),{"01. ASIGNACION AREA";"02. MAPEO";"03. DESARROLLO";"04. VALIDA US";"05. VOBO US";"06. BW-EJECUCION";"07. VALIDACIÓN BAJAWARE";"08. CERRADA"},0),
 1,
 IF(
  MATCH(B1364,{"01. ASIGNACION AREA";"02. MAPEO";"03. DESARROLLO";"04. VALIDA US";"05. VOBO US";"06. BW-EJECUCION";"07. VALIDACIÓN BAJAWARE";"08. CERRADA"},0)
  =
  MATCH(_xlfn.XLOOKUP(INDEX($B:$B, (ROW()-3)),'Relacion '!$E:$E,'Relacion '!$D:$D,""),{"01. ASIGNACION AREA";"02. MAPEO";"03. DESARROLLO";"04. VALIDA US";"05. VOBO US";"06. BW-EJECUCION";"07. VALIDACIÓN BAJAWARE";"08. CERRADA"},0),
  _xlfn.XLOOKUP(INDEX($B:$B, (ROW()-3)),'Relacion '!$E:$E,'Relacion '!#REF!,0),
  0
 )
)</f>
        <v>1</v>
      </c>
      <c r="I1364" s="241">
        <f t="shared" ca="1" si="317"/>
        <v>1</v>
      </c>
      <c r="J1364" s="241"/>
      <c r="K1364" s="241"/>
      <c r="L1364" s="238"/>
    </row>
    <row r="1365" spans="2:12" outlineLevel="1">
      <c r="B1365" s="237" t="s">
        <v>324</v>
      </c>
      <c r="C1365" s="237" t="s">
        <v>324</v>
      </c>
      <c r="D1365" s="238" t="str">
        <f>_xlfn.XLOOKUP(B1365,'Relacion '!$E:$E,'Relacion '!$D:$D,"")</f>
        <v/>
      </c>
      <c r="E1365" s="239">
        <f t="shared" si="320"/>
        <v>4</v>
      </c>
      <c r="F1365" s="240" cm="1">
        <f t="array" ref="F1365">MIN(INDEX('Relacion '!$AD$5:$AE$493,MATCH(INDEX($B:$B, (ROW()-4)),'Relacion '!$E$5:$E$493,0),0))</f>
        <v>46048</v>
      </c>
      <c r="G1365" s="240" cm="1">
        <f t="array" ref="G1365">MAX(INDEX('Relacion '!$AD$5:$AE$493,MATCH(INDEX($B:$B, (ROW()-4)),'Relacion '!$E$5:$E$493,0),0))</f>
        <v>46052</v>
      </c>
      <c r="H1365" s="241" cm="1">
        <f t="array" ref="H1365">IF(
 MATCH(B1365,{"01. ASIGNACION AREA";"02. MAPEO";"03. DESARROLLO";"04. VALIDA US";"05. VOBO US";"06. BW-EJECUCION";"07. VALIDACIÓN BAJAWARE";"08. CERRADA"},0)
 &lt;
 MATCH(_xlfn.XLOOKUP(INDEX($B:$B, (ROW()-4)),'Relacion '!$E:$E,'Relacion '!$D:$D,""),{"01. ASIGNACION AREA";"02. MAPEO";"03. DESARROLLO";"04. VALIDA US";"05. VOBO US";"06. BW-EJECUCION";"07. VALIDACIÓN BAJAWARE";"08. CERRADA"},0),
 1,
 IF(
  MATCH(B1365,{"01. ASIGNACION AREA";"02. MAPEO";"03. DESARROLLO";"04. VALIDA US";"05. VOBO US";"06. BW-EJECUCION";"07. VALIDACIÓN BAJAWARE";"08. CERRADA"},0)
  =
  MATCH(_xlfn.XLOOKUP(INDEX($B:$B, (ROW()-4)),'Relacion '!$E:$E,'Relacion '!$D:$D,""),{"01. ASIGNACION AREA";"02. MAPEO";"03. DESARROLLO";"04. VALIDA US";"05. VOBO US";"06. BW-EJECUCION";"07. VALIDACIÓN BAJAWARE";"08. CERRADA"},0),
  _xlfn.XLOOKUP(INDEX($B:$B, (ROW()-4)),'Relacion '!$E:$E,'Relacion '!#REF!,0),
  0
 )
)</f>
        <v>1</v>
      </c>
      <c r="I1365" s="241">
        <f t="shared" ca="1" si="317"/>
        <v>1</v>
      </c>
      <c r="J1365" s="241"/>
      <c r="K1365" s="241"/>
      <c r="L1365" s="238"/>
    </row>
    <row r="1366" spans="2:12" outlineLevel="1">
      <c r="B1366" s="237" t="s">
        <v>320</v>
      </c>
      <c r="C1366" s="237" t="s">
        <v>320</v>
      </c>
      <c r="D1366" s="238" t="str">
        <f>_xlfn.XLOOKUP(B1366,'Relacion '!$E:$E,'Relacion '!$D:$D,"")</f>
        <v/>
      </c>
      <c r="E1366" s="239">
        <f t="shared" si="320"/>
        <v>7</v>
      </c>
      <c r="F1366" s="240" cm="1">
        <f t="array" ref="F1366">MIN(INDEX('Relacion '!$AF$5:$AG$493,MATCH(INDEX($B:$B, (ROW()-5)),'Relacion '!$E$5:$E$493,0),0))</f>
        <v>46055</v>
      </c>
      <c r="G1366" s="240" cm="1">
        <f t="array" ref="G1366">MAX(INDEX('Relacion '!$AF$5:$AG$493,MATCH(INDEX($B:$B, (ROW()-5)),'Relacion '!$E$5:$E$493,0),0))</f>
        <v>46062</v>
      </c>
      <c r="H1366" s="241" cm="1">
        <f t="array" ref="H1366">IF(
 MATCH(B1366,{"01. ASIGNACION AREA";"02. MAPEO";"03. DESARROLLO";"04. VALIDA US";"05. VOBO US";"06. BW-EJECUCION";"07. VALIDACIÓN BAJAWARE";"08. CERRADA"},0)
 &lt;
 MATCH(_xlfn.XLOOKUP(INDEX($B:$B, (ROW()-5)),'Relacion '!$E:$E,'Relacion '!$D:$D,""),{"01. ASIGNACION AREA";"02. MAPEO";"03. DESARROLLO";"04. VALIDA US";"05. VOBO US";"06. BW-EJECUCION";"07. VALIDACIÓN BAJAWARE";"08. CERRADA"},0),
 1,
 IF(
  MATCH(B1366,{"01. ASIGNACION AREA";"02. MAPEO";"03. DESARROLLO";"04. VALIDA US";"05. VOBO US";"06. BW-EJECUCION";"07. VALIDACIÓN BAJAWARE";"08. CERRADA"},0)
  =
  MATCH(_xlfn.XLOOKUP(INDEX($B:$B, (ROW()-5)),'Relacion '!$E:$E,'Relacion '!$D:$D,""),{"01. ASIGNACION AREA";"02. MAPEO";"03. DESARROLLO";"04. VALIDA US";"05. VOBO US";"06. BW-EJECUCION";"07. VALIDACIÓN BAJAWARE";"08. CERRADA"},0),
  _xlfn.XLOOKUP(INDEX($B:$B, (ROW()-5)),'Relacion '!$E:$E,'Relacion '!#REF!,0),
  0
 )
)</f>
        <v>1</v>
      </c>
      <c r="I1366" s="241">
        <f t="shared" ca="1" si="317"/>
        <v>1</v>
      </c>
      <c r="J1366" s="241"/>
      <c r="K1366" s="241"/>
      <c r="L1366" s="238"/>
    </row>
    <row r="1367" spans="2:12" outlineLevel="1">
      <c r="B1367" s="237" t="s">
        <v>710</v>
      </c>
      <c r="C1367" s="237" t="s">
        <v>710</v>
      </c>
      <c r="D1367" s="238" t="str">
        <f>_xlfn.XLOOKUP(B1367,'Relacion '!$E:$E,'Relacion '!$D:$D,"")</f>
        <v/>
      </c>
      <c r="E1367" s="239">
        <f t="shared" si="320"/>
        <v>25</v>
      </c>
      <c r="F1367" s="240" cm="1">
        <f t="array" ref="F1367">MIN(INDEX('Relacion '!$AH$5:$AI$493,MATCH(INDEX($B:$B, (ROW()-6)),'Relacion '!$E$5:$E$493,0),0))</f>
        <v>46076</v>
      </c>
      <c r="G1367" s="240" cm="1">
        <f t="array" ref="G1367">MAX(INDEX('Relacion '!$AH$5:$AI$493,MATCH(INDEX($B:$B, (ROW()-6)),'Relacion '!$E$5:$E$493,0),0))</f>
        <v>46101</v>
      </c>
      <c r="H1367" s="241" t="e" cm="1">
        <f t="array" ref="H1367">IF(
 MATCH(B1367,{"01. ASIGNACION AREA";"02. MAPEO";"03. DESARROLLO";"04. VALIDA US";"05. VOBO US";"06. BW-EJECUCION";"07. VALIDACIÓN BAJAWARE";"08. CERRADA"},0)
 &lt;
 MATCH(_xlfn.XLOOKUP(INDEX($B:$B, (ROW()-6)),'Relacion '!$E:$E,'Relacion '!$D:$D,""),{"01. ASIGNACION AREA";"02. MAPEO";"03. DESARROLLO";"04. VALIDA US";"05. VOBO US";"06. BW-EJECUCION";"07. VALIDACIÓN BAJAWARE";"08. CERRADA"},0),
 1,
 IF(
  MATCH(B1367,{"01. ASIGNACION AREA";"02. MAPEO";"03. DESARROLLO";"04. VALIDA US";"05. VOBO US";"06. BW-EJECUCION";"07. VALIDACIÓN BAJAWARE";"08. CERRADA"},0)
  =
  MATCH(_xlfn.XLOOKUP(INDEX($B:$B, (ROW()-6)),'Relacion '!$E:$E,'Relacion '!$D:$D,""),{"01. ASIGNACION AREA";"02. MAPEO";"03. DESARROLLO";"04. VALIDA US";"05. VOBO US";"06. BW-EJECUCION";"07. VALIDACIÓN BAJAWARE";"08. CERRADA"},0),
  _xlfn.XLOOKUP(INDEX($B:$B, (ROW()-6)),'Relacion '!$E:$E,'Relacion '!#REF!,0),
  0
 )
)</f>
        <v>#REF!</v>
      </c>
      <c r="I1367" s="241">
        <f t="shared" ca="1" si="317"/>
        <v>1</v>
      </c>
      <c r="J1367" s="241"/>
      <c r="K1367" s="241"/>
      <c r="L1367" s="238"/>
    </row>
    <row r="1368" spans="2:12" outlineLevel="1">
      <c r="B1368" s="237" t="s">
        <v>655</v>
      </c>
      <c r="C1368" s="237" t="s">
        <v>655</v>
      </c>
      <c r="D1368" s="238" t="str">
        <f>_xlfn.XLOOKUP(B1368,'Relacion '!$E:$E,'Relacion '!$D:$D,"")</f>
        <v/>
      </c>
      <c r="E1368" s="239">
        <f t="shared" si="320"/>
        <v>25</v>
      </c>
      <c r="F1368" s="240" cm="1">
        <f t="array" ref="F1368">MIN(INDEX('Relacion '!$AJ$5:$AK$493,MATCH(INDEX($B:$B, (ROW()-7)),'Relacion '!$E$5:$E$493,0),0))</f>
        <v>46104</v>
      </c>
      <c r="G1368" s="240" cm="1">
        <f t="array" ref="G1368">MAX(INDEX('Relacion '!$AJ$5:$AK$493,MATCH(INDEX($B:$B, (ROW()-7)),'Relacion '!$E$5:$E$493,0),0))</f>
        <v>46129</v>
      </c>
      <c r="H1368" s="241" cm="1">
        <f t="array" ref="H1368">IF(
 MATCH(B1368,{"01. ASIGNACION AREA";"02. MAPEO";"03. DESARROLLO";"04. VALIDA US";"05. VOBO US";"06. BW-EJECUCION";"07. VALIDACIÓN BAJAWARE";"08. CERRADA"},0)
 &lt;
 MATCH(_xlfn.XLOOKUP(INDEX($B:$B, (ROW()-7)),'Relacion '!$E:$E,'Relacion '!$D:$D,""),{"01. ASIGNACION AREA";"02. MAPEO";"03. DESARROLLO";"04. VALIDA US";"05. VOBO US";"06. BW-EJECUCION";"07. VALIDACIÓN BAJAWARE";"08. CERRADA"},0),
 1,
 IF(
  MATCH(B1368,{"01. ASIGNACION AREA";"02. MAPEO";"03. DESARROLLO";"04. VALIDA US";"05. VOBO US";"06. BW-EJECUCION";"07. VALIDACIÓN BAJAWARE";"08. CERRADA"},0)
  =
  MATCH(_xlfn.XLOOKUP(INDEX($B:$B, (ROW()-7)),'Relacion '!$E:$E,'Relacion '!$D:$D,""),{"01. ASIGNACION AREA";"02. MAPEO";"03. DESARROLLO";"04. VALIDA US";"05. VOBO US";"06. BW-EJECUCION";"07. VALIDACIÓN BAJAWARE";"08. CERRADA"},0),
  _xlfn.XLOOKUP(INDEX($B:$B, (ROW()-7)),'Relacion '!$E:$E,'Relacion '!#REF!,0),
  0
 )
)</f>
        <v>0</v>
      </c>
      <c r="I1368" s="241">
        <f t="shared" ca="1" si="317"/>
        <v>1</v>
      </c>
      <c r="J1368" s="241"/>
      <c r="K1368" s="241"/>
      <c r="L1368" s="238"/>
    </row>
    <row r="1369" spans="2:12" outlineLevel="1">
      <c r="B1369" s="237" t="s">
        <v>656</v>
      </c>
      <c r="C1369" s="237" t="s">
        <v>656</v>
      </c>
      <c r="D1369" s="238" t="str">
        <f>_xlfn.XLOOKUP(B1369,'Relacion '!$E:$E,'Relacion '!$D:$D,"")</f>
        <v/>
      </c>
      <c r="E1369" s="239">
        <f t="shared" si="320"/>
        <v>0</v>
      </c>
      <c r="F1369" s="240" cm="1">
        <f t="array" ref="F1369">MIN(INDEX('Relacion '!$AL$5:$AM$493,MATCH(INDEX($B:$B, (ROW()-8)),'Relacion '!$E$5:$E$493,0),0))</f>
        <v>46130</v>
      </c>
      <c r="G1369" s="240" cm="1">
        <f t="array" ref="G1369">MAX(INDEX('Relacion '!$AL$5:$AM$493,MATCH(INDEX($B:$B, (ROW()-8)),'Relacion '!$E$5:$E$493,0),0))</f>
        <v>46130</v>
      </c>
      <c r="H1369" s="241" cm="1">
        <f t="array" ref="H1369">IF(
 MATCH(B1369,{"01. ASIGNACION AREA";"02. MAPEO";"03. DESARROLLO";"04. VALIDA US";"05. VOBO US";"06. BW-EJECUCION";"07. VALIDACIÓN BAJAWARE";"08. CERRADA"},0)
 &lt;
 MATCH(_xlfn.XLOOKUP(INDEX($B:$B, (ROW()-8)),'Relacion '!$E:$E,'Relacion '!$D:$D,""),{"01. ASIGNACION AREA";"02. MAPEO";"03. DESARROLLO";"04. VALIDA US";"05. VOBO US";"06. BW-EJECUCION";"07. VALIDACIÓN BAJAWARE";"08. CERRADA"},0),
 1,
 IF(
  MATCH(B1369,{"01. ASIGNACION AREA";"02. MAPEO";"03. DESARROLLO";"04. VALIDA US";"05. VOBO US";"06. BW-EJECUCION";"07. VALIDACIÓN BAJAWARE";"08. CERRADA"},0)
  =
  MATCH(_xlfn.XLOOKUP(INDEX($B:$B, (ROW()-8)),'Relacion '!$E:$E,'Relacion '!$D:$D,""),{"01. ASIGNACION AREA";"02. MAPEO";"03. DESARROLLO";"04. VALIDA US";"05. VOBO US";"06. BW-EJECUCION";"07. VALIDACIÓN BAJAWARE";"08. CERRADA"},0),
  _xlfn.XLOOKUP(INDEX($B:$B, (ROW()-8)),'Relacion '!$E:$E,'Relacion '!#REF!,0),
  0
 )
)</f>
        <v>0</v>
      </c>
      <c r="I1369" s="241">
        <f t="shared" ca="1" si="317"/>
        <v>1</v>
      </c>
      <c r="J1369" s="241"/>
      <c r="K1369" s="241"/>
      <c r="L1369" s="238"/>
    </row>
    <row r="1370" spans="2:12">
      <c r="B1370" s="232" t="s">
        <v>580</v>
      </c>
      <c r="C1370" s="167" t="s">
        <v>578</v>
      </c>
      <c r="D1370" s="236" t="str">
        <f>_xlfn.XLOOKUP(B1370,'Relacion '!$E:$E,'Relacion '!$D:$D,"")</f>
        <v>06. BW-EJECUCION</v>
      </c>
      <c r="E1370" s="233">
        <f t="shared" si="320"/>
        <v>471</v>
      </c>
      <c r="F1370" s="234" cm="1">
        <f t="array" ref="F1370">MIN(INDEX('Relacion '!$X$5:$AM$493,MATCH(INDEX($B:$B, (ROW()-0)),'Relacion '!$E$5:$E$493,0),0))</f>
        <v>45659</v>
      </c>
      <c r="G1370" s="234" cm="1">
        <f t="array" ref="G1370">MAX(INDEX('Relacion '!$X$5:$AM$493,MATCH(INDEX($B:$B, (ROW()-0)),'Relacion '!$E$5:$E$493,0),0))</f>
        <v>46130</v>
      </c>
      <c r="H1370" s="235" t="e">
        <f>AVERAGE(H1371:H1378)</f>
        <v>#REF!</v>
      </c>
      <c r="I1370" s="235">
        <f t="shared" ref="I1370" ca="1" si="325">AVERAGE(I1371:I1378)</f>
        <v>1</v>
      </c>
      <c r="J1370" s="236" t="str">
        <f>IF(ISNUMBER(SEARCH("Rocha", _xlfn.XLOOKUP(B1370,'Relacion '!$E:$E,'Relacion '!$I:$I,""))), "Sí", "No")</f>
        <v>No</v>
      </c>
      <c r="K1370" s="236" t="str">
        <f>IF(ISNUMBER(SEARCH("Rocha", _xlfn.XLOOKUP(B1370,'Relacion '!$E:$E,'Relacion '!$I:$I,""))), "RMC", _xlfn.XLOOKUP(B1370,'Relacion '!$E:$E,'Relacion '!$B:$B,""))</f>
        <v>Producto</v>
      </c>
      <c r="L1370" s="236" t="str">
        <f>_xlfn.XLOOKUP(B1370,'Relacion '!$E:$E,'Relacion '!$C:$C,"")</f>
        <v>Claudia Barroso</v>
      </c>
    </row>
    <row r="1371" spans="2:12" outlineLevel="1">
      <c r="B1371" s="237" t="s">
        <v>654</v>
      </c>
      <c r="C1371" s="237" t="s">
        <v>654</v>
      </c>
      <c r="D1371" s="238" t="str">
        <f>_xlfn.XLOOKUP(B1371,'Relacion '!$E:$E,'Relacion '!$D:$D,"")</f>
        <v/>
      </c>
      <c r="E1371" s="239">
        <f t="shared" si="320"/>
        <v>424</v>
      </c>
      <c r="F1371" s="240" cm="1">
        <f t="array" ref="F1371">MIN(INDEX('Relacion '!$X$5:$Y$493,MATCH(INDEX($B:$B, (ROW()-1)),'Relacion '!$E$5:$E$493,0),0))</f>
        <v>45659</v>
      </c>
      <c r="G1371" s="240" cm="1">
        <f t="array" ref="G1371">MAX(INDEX('Relacion '!$X$5:$Y$493,MATCH(INDEX($B:$B, (ROW()-1)),'Relacion '!$E$5:$E$493,0),0))</f>
        <v>46083</v>
      </c>
      <c r="H1371" s="241" cm="1">
        <f t="array" ref="H1371">IF(
 MATCH(B1371,{"01. ASIGNACION AREA";"02. MAPEO";"03. DESARROLLO";"04. VALIDA US";"05. VOBO US";"06. BW-EJECUCION";"07. VALIDACIÓN BAJAWARE";"08. CERRADA"},0)
 &lt;
 MATCH(_xlfn.XLOOKUP(INDEX($B:$B, (ROW()-1)),'Relacion '!$E:$E,'Relacion '!$D:$D,""),{"01. ASIGNACION AREA";"02. MAPEO";"03. DESARROLLO";"04. VALIDA US";"05. VOBO US";"06. BW-EJECUCION";"07. VALIDACIÓN BAJAWARE";"08. CERRADA"},0),
 1,
 IF(
  MATCH(B1371,{"01. ASIGNACION AREA";"02. MAPEO";"03. DESARROLLO";"04. VALIDA US";"05. VOBO US";"06. BW-EJECUCION";"07. VALIDACIÓN BAJAWARE";"08. CERRADA"},0)
  =
  MATCH(_xlfn.XLOOKUP(INDEX($B:$B, (ROW()-1)),'Relacion '!$E:$E,'Relacion '!$D:$D,""),{"01. ASIGNACION AREA";"02. MAPEO";"03. DESARROLLO";"04. VALIDA US";"05. VOBO US";"06. BW-EJECUCION";"07. VALIDACIÓN BAJAWARE";"08. CERRADA"},0),
  _xlfn.XLOOKUP(INDEX($B:$B, (ROW()-1)),'Relacion '!$E:$E,'Relacion '!#REF!,0),
  0
 )
)</f>
        <v>1</v>
      </c>
      <c r="I1371" s="241">
        <f t="shared" ref="I1371" ca="1" si="326">IF(G1371&lt;=TODAY(), 1, 0)</f>
        <v>1</v>
      </c>
      <c r="J1371" s="241"/>
      <c r="K1371" s="241"/>
      <c r="L1371" s="238"/>
    </row>
    <row r="1372" spans="2:12" outlineLevel="1">
      <c r="B1372" s="237" t="s">
        <v>195</v>
      </c>
      <c r="C1372" s="237" t="s">
        <v>195</v>
      </c>
      <c r="D1372" s="238" t="str">
        <f>_xlfn.XLOOKUP(B1372,'Relacion '!$E:$E,'Relacion '!$D:$D,"")</f>
        <v/>
      </c>
      <c r="E1372" s="239">
        <f t="shared" si="320"/>
        <v>4</v>
      </c>
      <c r="F1372" s="240" cm="1">
        <f t="array" ref="F1372">MIN(INDEX('Relacion '!$Z$5:$AA$493,MATCH(INDEX($B:$B, (ROW()-2)),'Relacion '!$E$5:$E$493,0),0))</f>
        <v>46034</v>
      </c>
      <c r="G1372" s="240" cm="1">
        <f t="array" ref="G1372">MAX(INDEX('Relacion '!$Z$5:$AA$493,MATCH(INDEX($B:$B, (ROW()-2)),'Relacion '!$E$5:$E$493,0),0))</f>
        <v>46038</v>
      </c>
      <c r="H1372" s="241" cm="1">
        <f t="array" ref="H1372">IF(
 MATCH(B1372,{"01. ASIGNACION AREA";"02. MAPEO";"03. DESARROLLO";"04. VALIDA US";"05. VOBO US";"06. BW-EJECUCION";"07. VALIDACIÓN BAJAWARE";"08. CERRADA"},0)
 &lt;
 MATCH(_xlfn.XLOOKUP(INDEX($B:$B, (ROW()-2)),'Relacion '!$E:$E,'Relacion '!$D:$D,""),{"01. ASIGNACION AREA";"02. MAPEO";"03. DESARROLLO";"04. VALIDA US";"05. VOBO US";"06. BW-EJECUCION";"07. VALIDACIÓN BAJAWARE";"08. CERRADA"},0),
 1,
 IF(
  MATCH(B1372,{"01. ASIGNACION AREA";"02. MAPEO";"03. DESARROLLO";"04. VALIDA US";"05. VOBO US";"06. BW-EJECUCION";"07. VALIDACIÓN BAJAWARE";"08. CERRADA"},0)
  =
  MATCH(_xlfn.XLOOKUP(INDEX($B:$B, (ROW()-2)),'Relacion '!$E:$E,'Relacion '!$D:$D,""),{"01. ASIGNACION AREA";"02. MAPEO";"03. DESARROLLO";"04. VALIDA US";"05. VOBO US";"06. BW-EJECUCION";"07. VALIDACIÓN BAJAWARE";"08. CERRADA"},0),
  _xlfn.XLOOKUP(INDEX($B:$B, (ROW()-2)),'Relacion '!$E:$E,'Relacion '!#REF!,0),
  0
 )
)</f>
        <v>1</v>
      </c>
      <c r="I1372" s="241">
        <f t="shared" ca="1" si="317"/>
        <v>1</v>
      </c>
      <c r="J1372" s="241"/>
      <c r="K1372" s="241"/>
      <c r="L1372" s="238"/>
    </row>
    <row r="1373" spans="2:12" outlineLevel="1">
      <c r="B1373" s="237" t="s">
        <v>49</v>
      </c>
      <c r="C1373" s="237" t="s">
        <v>49</v>
      </c>
      <c r="D1373" s="238" t="str">
        <f>_xlfn.XLOOKUP(B1373,'Relacion '!$E:$E,'Relacion '!$D:$D,"")</f>
        <v/>
      </c>
      <c r="E1373" s="239">
        <f t="shared" si="320"/>
        <v>4</v>
      </c>
      <c r="F1373" s="240" cm="1">
        <f t="array" ref="F1373">MIN(INDEX('Relacion '!$AB$5:$AC$493,MATCH(INDEX($B:$B, (ROW()-3)),'Relacion '!$E$5:$E$493,0),0))</f>
        <v>46041</v>
      </c>
      <c r="G1373" s="240" cm="1">
        <f t="array" ref="G1373">MAX(INDEX('Relacion '!$AB$5:$AC$493,MATCH(INDEX($B:$B, (ROW()-3)),'Relacion '!$E$5:$E$493,0),0))</f>
        <v>46045</v>
      </c>
      <c r="H1373" s="241" cm="1">
        <f t="array" ref="H1373">IF(
 MATCH(B1373,{"01. ASIGNACION AREA";"02. MAPEO";"03. DESARROLLO";"04. VALIDA US";"05. VOBO US";"06. BW-EJECUCION";"07. VALIDACIÓN BAJAWARE";"08. CERRADA"},0)
 &lt;
 MATCH(_xlfn.XLOOKUP(INDEX($B:$B, (ROW()-3)),'Relacion '!$E:$E,'Relacion '!$D:$D,""),{"01. ASIGNACION AREA";"02. MAPEO";"03. DESARROLLO";"04. VALIDA US";"05. VOBO US";"06. BW-EJECUCION";"07. VALIDACIÓN BAJAWARE";"08. CERRADA"},0),
 1,
 IF(
  MATCH(B1373,{"01. ASIGNACION AREA";"02. MAPEO";"03. DESARROLLO";"04. VALIDA US";"05. VOBO US";"06. BW-EJECUCION";"07. VALIDACIÓN BAJAWARE";"08. CERRADA"},0)
  =
  MATCH(_xlfn.XLOOKUP(INDEX($B:$B, (ROW()-3)),'Relacion '!$E:$E,'Relacion '!$D:$D,""),{"01. ASIGNACION AREA";"02. MAPEO";"03. DESARROLLO";"04. VALIDA US";"05. VOBO US";"06. BW-EJECUCION";"07. VALIDACIÓN BAJAWARE";"08. CERRADA"},0),
  _xlfn.XLOOKUP(INDEX($B:$B, (ROW()-3)),'Relacion '!$E:$E,'Relacion '!#REF!,0),
  0
 )
)</f>
        <v>1</v>
      </c>
      <c r="I1373" s="241">
        <f t="shared" ca="1" si="317"/>
        <v>1</v>
      </c>
      <c r="J1373" s="241"/>
      <c r="K1373" s="241"/>
      <c r="L1373" s="238"/>
    </row>
    <row r="1374" spans="2:12" outlineLevel="1">
      <c r="B1374" s="237" t="s">
        <v>324</v>
      </c>
      <c r="C1374" s="237" t="s">
        <v>324</v>
      </c>
      <c r="D1374" s="238" t="str">
        <f>_xlfn.XLOOKUP(B1374,'Relacion '!$E:$E,'Relacion '!$D:$D,"")</f>
        <v/>
      </c>
      <c r="E1374" s="239">
        <f t="shared" si="320"/>
        <v>4</v>
      </c>
      <c r="F1374" s="240" cm="1">
        <f t="array" ref="F1374">MIN(INDEX('Relacion '!$AD$5:$AE$493,MATCH(INDEX($B:$B, (ROW()-4)),'Relacion '!$E$5:$E$493,0),0))</f>
        <v>46048</v>
      </c>
      <c r="G1374" s="240" cm="1">
        <f t="array" ref="G1374">MAX(INDEX('Relacion '!$AD$5:$AE$493,MATCH(INDEX($B:$B, (ROW()-4)),'Relacion '!$E$5:$E$493,0),0))</f>
        <v>46052</v>
      </c>
      <c r="H1374" s="241" cm="1">
        <f t="array" ref="H1374">IF(
 MATCH(B1374,{"01. ASIGNACION AREA";"02. MAPEO";"03. DESARROLLO";"04. VALIDA US";"05. VOBO US";"06. BW-EJECUCION";"07. VALIDACIÓN BAJAWARE";"08. CERRADA"},0)
 &lt;
 MATCH(_xlfn.XLOOKUP(INDEX($B:$B, (ROW()-4)),'Relacion '!$E:$E,'Relacion '!$D:$D,""),{"01. ASIGNACION AREA";"02. MAPEO";"03. DESARROLLO";"04. VALIDA US";"05. VOBO US";"06. BW-EJECUCION";"07. VALIDACIÓN BAJAWARE";"08. CERRADA"},0),
 1,
 IF(
  MATCH(B1374,{"01. ASIGNACION AREA";"02. MAPEO";"03. DESARROLLO";"04. VALIDA US";"05. VOBO US";"06. BW-EJECUCION";"07. VALIDACIÓN BAJAWARE";"08. CERRADA"},0)
  =
  MATCH(_xlfn.XLOOKUP(INDEX($B:$B, (ROW()-4)),'Relacion '!$E:$E,'Relacion '!$D:$D,""),{"01. ASIGNACION AREA";"02. MAPEO";"03. DESARROLLO";"04. VALIDA US";"05. VOBO US";"06. BW-EJECUCION";"07. VALIDACIÓN BAJAWARE";"08. CERRADA"},0),
  _xlfn.XLOOKUP(INDEX($B:$B, (ROW()-4)),'Relacion '!$E:$E,'Relacion '!#REF!,0),
  0
 )
)</f>
        <v>1</v>
      </c>
      <c r="I1374" s="241">
        <f t="shared" ca="1" si="317"/>
        <v>1</v>
      </c>
      <c r="J1374" s="241"/>
      <c r="K1374" s="241"/>
      <c r="L1374" s="238"/>
    </row>
    <row r="1375" spans="2:12" outlineLevel="1">
      <c r="B1375" s="237" t="s">
        <v>320</v>
      </c>
      <c r="C1375" s="237" t="s">
        <v>320</v>
      </c>
      <c r="D1375" s="238" t="str">
        <f>_xlfn.XLOOKUP(B1375,'Relacion '!$E:$E,'Relacion '!$D:$D,"")</f>
        <v/>
      </c>
      <c r="E1375" s="239">
        <f t="shared" si="320"/>
        <v>7</v>
      </c>
      <c r="F1375" s="240" cm="1">
        <f t="array" ref="F1375">MIN(INDEX('Relacion '!$AF$5:$AG$493,MATCH(INDEX($B:$B, (ROW()-5)),'Relacion '!$E$5:$E$493,0),0))</f>
        <v>46055</v>
      </c>
      <c r="G1375" s="240" cm="1">
        <f t="array" ref="G1375">MAX(INDEX('Relacion '!$AF$5:$AG$493,MATCH(INDEX($B:$B, (ROW()-5)),'Relacion '!$E$5:$E$493,0),0))</f>
        <v>46062</v>
      </c>
      <c r="H1375" s="241" cm="1">
        <f t="array" ref="H1375">IF(
 MATCH(B1375,{"01. ASIGNACION AREA";"02. MAPEO";"03. DESARROLLO";"04. VALIDA US";"05. VOBO US";"06. BW-EJECUCION";"07. VALIDACIÓN BAJAWARE";"08. CERRADA"},0)
 &lt;
 MATCH(_xlfn.XLOOKUP(INDEX($B:$B, (ROW()-5)),'Relacion '!$E:$E,'Relacion '!$D:$D,""),{"01. ASIGNACION AREA";"02. MAPEO";"03. DESARROLLO";"04. VALIDA US";"05. VOBO US";"06. BW-EJECUCION";"07. VALIDACIÓN BAJAWARE";"08. CERRADA"},0),
 1,
 IF(
  MATCH(B1375,{"01. ASIGNACION AREA";"02. MAPEO";"03. DESARROLLO";"04. VALIDA US";"05. VOBO US";"06. BW-EJECUCION";"07. VALIDACIÓN BAJAWARE";"08. CERRADA"},0)
  =
  MATCH(_xlfn.XLOOKUP(INDEX($B:$B, (ROW()-5)),'Relacion '!$E:$E,'Relacion '!$D:$D,""),{"01. ASIGNACION AREA";"02. MAPEO";"03. DESARROLLO";"04. VALIDA US";"05. VOBO US";"06. BW-EJECUCION";"07. VALIDACIÓN BAJAWARE";"08. CERRADA"},0),
  _xlfn.XLOOKUP(INDEX($B:$B, (ROW()-5)),'Relacion '!$E:$E,'Relacion '!#REF!,0),
  0
 )
)</f>
        <v>1</v>
      </c>
      <c r="I1375" s="241">
        <f t="shared" ca="1" si="317"/>
        <v>1</v>
      </c>
      <c r="J1375" s="241"/>
      <c r="K1375" s="241"/>
      <c r="L1375" s="238"/>
    </row>
    <row r="1376" spans="2:12" outlineLevel="1">
      <c r="B1376" s="237" t="s">
        <v>710</v>
      </c>
      <c r="C1376" s="237" t="s">
        <v>710</v>
      </c>
      <c r="D1376" s="238" t="str">
        <f>_xlfn.XLOOKUP(B1376,'Relacion '!$E:$E,'Relacion '!$D:$D,"")</f>
        <v/>
      </c>
      <c r="E1376" s="239">
        <f t="shared" si="320"/>
        <v>25</v>
      </c>
      <c r="F1376" s="240" cm="1">
        <f t="array" ref="F1376">MIN(INDEX('Relacion '!$AH$5:$AI$493,MATCH(INDEX($B:$B, (ROW()-6)),'Relacion '!$E$5:$E$493,0),0))</f>
        <v>46076</v>
      </c>
      <c r="G1376" s="240" cm="1">
        <f t="array" ref="G1376">MAX(INDEX('Relacion '!$AH$5:$AI$493,MATCH(INDEX($B:$B, (ROW()-6)),'Relacion '!$E$5:$E$493,0),0))</f>
        <v>46101</v>
      </c>
      <c r="H1376" s="241" t="e" cm="1">
        <f t="array" ref="H1376">IF(
 MATCH(B1376,{"01. ASIGNACION AREA";"02. MAPEO";"03. DESARROLLO";"04. VALIDA US";"05. VOBO US";"06. BW-EJECUCION";"07. VALIDACIÓN BAJAWARE";"08. CERRADA"},0)
 &lt;
 MATCH(_xlfn.XLOOKUP(INDEX($B:$B, (ROW()-6)),'Relacion '!$E:$E,'Relacion '!$D:$D,""),{"01. ASIGNACION AREA";"02. MAPEO";"03. DESARROLLO";"04. VALIDA US";"05. VOBO US";"06. BW-EJECUCION";"07. VALIDACIÓN BAJAWARE";"08. CERRADA"},0),
 1,
 IF(
  MATCH(B1376,{"01. ASIGNACION AREA";"02. MAPEO";"03. DESARROLLO";"04. VALIDA US";"05. VOBO US";"06. BW-EJECUCION";"07. VALIDACIÓN BAJAWARE";"08. CERRADA"},0)
  =
  MATCH(_xlfn.XLOOKUP(INDEX($B:$B, (ROW()-6)),'Relacion '!$E:$E,'Relacion '!$D:$D,""),{"01. ASIGNACION AREA";"02. MAPEO";"03. DESARROLLO";"04. VALIDA US";"05. VOBO US";"06. BW-EJECUCION";"07. VALIDACIÓN BAJAWARE";"08. CERRADA"},0),
  _xlfn.XLOOKUP(INDEX($B:$B, (ROW()-6)),'Relacion '!$E:$E,'Relacion '!#REF!,0),
  0
 )
)</f>
        <v>#REF!</v>
      </c>
      <c r="I1376" s="241">
        <f t="shared" ca="1" si="317"/>
        <v>1</v>
      </c>
      <c r="J1376" s="241"/>
      <c r="K1376" s="241"/>
      <c r="L1376" s="238"/>
    </row>
    <row r="1377" spans="2:12" outlineLevel="1">
      <c r="B1377" s="237" t="s">
        <v>655</v>
      </c>
      <c r="C1377" s="237" t="s">
        <v>655</v>
      </c>
      <c r="D1377" s="238" t="str">
        <f>_xlfn.XLOOKUP(B1377,'Relacion '!$E:$E,'Relacion '!$D:$D,"")</f>
        <v/>
      </c>
      <c r="E1377" s="239">
        <f t="shared" si="320"/>
        <v>25</v>
      </c>
      <c r="F1377" s="240" cm="1">
        <f t="array" ref="F1377">MIN(INDEX('Relacion '!$AJ$5:$AK$493,MATCH(INDEX($B:$B, (ROW()-7)),'Relacion '!$E$5:$E$493,0),0))</f>
        <v>46104</v>
      </c>
      <c r="G1377" s="240" cm="1">
        <f t="array" ref="G1377">MAX(INDEX('Relacion '!$AJ$5:$AK$493,MATCH(INDEX($B:$B, (ROW()-7)),'Relacion '!$E$5:$E$493,0),0))</f>
        <v>46129</v>
      </c>
      <c r="H1377" s="241" cm="1">
        <f t="array" ref="H1377">IF(
 MATCH(B1377,{"01. ASIGNACION AREA";"02. MAPEO";"03. DESARROLLO";"04. VALIDA US";"05. VOBO US";"06. BW-EJECUCION";"07. VALIDACIÓN BAJAWARE";"08. CERRADA"},0)
 &lt;
 MATCH(_xlfn.XLOOKUP(INDEX($B:$B, (ROW()-7)),'Relacion '!$E:$E,'Relacion '!$D:$D,""),{"01. ASIGNACION AREA";"02. MAPEO";"03. DESARROLLO";"04. VALIDA US";"05. VOBO US";"06. BW-EJECUCION";"07. VALIDACIÓN BAJAWARE";"08. CERRADA"},0),
 1,
 IF(
  MATCH(B1377,{"01. ASIGNACION AREA";"02. MAPEO";"03. DESARROLLO";"04. VALIDA US";"05. VOBO US";"06. BW-EJECUCION";"07. VALIDACIÓN BAJAWARE";"08. CERRADA"},0)
  =
  MATCH(_xlfn.XLOOKUP(INDEX($B:$B, (ROW()-7)),'Relacion '!$E:$E,'Relacion '!$D:$D,""),{"01. ASIGNACION AREA";"02. MAPEO";"03. DESARROLLO";"04. VALIDA US";"05. VOBO US";"06. BW-EJECUCION";"07. VALIDACIÓN BAJAWARE";"08. CERRADA"},0),
  _xlfn.XLOOKUP(INDEX($B:$B, (ROW()-7)),'Relacion '!$E:$E,'Relacion '!#REF!,0),
  0
 )
)</f>
        <v>0</v>
      </c>
      <c r="I1377" s="241">
        <f t="shared" ca="1" si="317"/>
        <v>1</v>
      </c>
      <c r="J1377" s="241"/>
      <c r="K1377" s="241"/>
      <c r="L1377" s="238"/>
    </row>
    <row r="1378" spans="2:12" outlineLevel="1">
      <c r="B1378" s="237" t="s">
        <v>656</v>
      </c>
      <c r="C1378" s="237" t="s">
        <v>656</v>
      </c>
      <c r="D1378" s="238" t="str">
        <f>_xlfn.XLOOKUP(B1378,'Relacion '!$E:$E,'Relacion '!$D:$D,"")</f>
        <v/>
      </c>
      <c r="E1378" s="239">
        <f t="shared" si="320"/>
        <v>0</v>
      </c>
      <c r="F1378" s="240" cm="1">
        <f t="array" ref="F1378">MIN(INDEX('Relacion '!$AL$5:$AM$493,MATCH(INDEX($B:$B, (ROW()-8)),'Relacion '!$E$5:$E$493,0),0))</f>
        <v>46130</v>
      </c>
      <c r="G1378" s="240" cm="1">
        <f t="array" ref="G1378">MAX(INDEX('Relacion '!$AL$5:$AM$493,MATCH(INDEX($B:$B, (ROW()-8)),'Relacion '!$E$5:$E$493,0),0))</f>
        <v>46130</v>
      </c>
      <c r="H1378" s="241" cm="1">
        <f t="array" ref="H1378">IF(
 MATCH(B1378,{"01. ASIGNACION AREA";"02. MAPEO";"03. DESARROLLO";"04. VALIDA US";"05. VOBO US";"06. BW-EJECUCION";"07. VALIDACIÓN BAJAWARE";"08. CERRADA"},0)
 &lt;
 MATCH(_xlfn.XLOOKUP(INDEX($B:$B, (ROW()-8)),'Relacion '!$E:$E,'Relacion '!$D:$D,""),{"01. ASIGNACION AREA";"02. MAPEO";"03. DESARROLLO";"04. VALIDA US";"05. VOBO US";"06. BW-EJECUCION";"07. VALIDACIÓN BAJAWARE";"08. CERRADA"},0),
 1,
 IF(
  MATCH(B1378,{"01. ASIGNACION AREA";"02. MAPEO";"03. DESARROLLO";"04. VALIDA US";"05. VOBO US";"06. BW-EJECUCION";"07. VALIDACIÓN BAJAWARE";"08. CERRADA"},0)
  =
  MATCH(_xlfn.XLOOKUP(INDEX($B:$B, (ROW()-8)),'Relacion '!$E:$E,'Relacion '!$D:$D,""),{"01. ASIGNACION AREA";"02. MAPEO";"03. DESARROLLO";"04. VALIDA US";"05. VOBO US";"06. BW-EJECUCION";"07. VALIDACIÓN BAJAWARE";"08. CERRADA"},0),
  _xlfn.XLOOKUP(INDEX($B:$B, (ROW()-8)),'Relacion '!$E:$E,'Relacion '!#REF!,0),
  0
 )
)</f>
        <v>0</v>
      </c>
      <c r="I1378" s="241">
        <f t="shared" ca="1" si="317"/>
        <v>1</v>
      </c>
      <c r="J1378" s="241"/>
      <c r="K1378" s="241"/>
      <c r="L1378" s="238"/>
    </row>
    <row r="1379" spans="2:12">
      <c r="B1379" s="232" t="s">
        <v>581</v>
      </c>
      <c r="C1379" s="167" t="s">
        <v>578</v>
      </c>
      <c r="D1379" s="236" t="str">
        <f>_xlfn.XLOOKUP(B1379,'Relacion '!$E:$E,'Relacion '!$D:$D,"")</f>
        <v>06. BW-EJECUCION</v>
      </c>
      <c r="E1379" s="233">
        <f t="shared" si="320"/>
        <v>471</v>
      </c>
      <c r="F1379" s="234" cm="1">
        <f t="array" ref="F1379">MIN(INDEX('Relacion '!$X$5:$AM$493,MATCH(INDEX($B:$B, (ROW()-0)),'Relacion '!$E$5:$E$493,0),0))</f>
        <v>45659</v>
      </c>
      <c r="G1379" s="234" cm="1">
        <f t="array" ref="G1379">MAX(INDEX('Relacion '!$X$5:$AM$493,MATCH(INDEX($B:$B, (ROW()-0)),'Relacion '!$E$5:$E$493,0),0))</f>
        <v>46130</v>
      </c>
      <c r="H1379" s="235" t="e">
        <f>AVERAGE(H1380:H1387)</f>
        <v>#REF!</v>
      </c>
      <c r="I1379" s="235">
        <f t="shared" ref="I1379" ca="1" si="327">AVERAGE(I1380:I1387)</f>
        <v>1</v>
      </c>
      <c r="J1379" s="236" t="str">
        <f>IF(ISNUMBER(SEARCH("Rocha", _xlfn.XLOOKUP(B1379,'Relacion '!$E:$E,'Relacion '!$I:$I,""))), "Sí", "No")</f>
        <v>No</v>
      </c>
      <c r="K1379" s="236" t="str">
        <f>IF(ISNUMBER(SEARCH("Rocha", _xlfn.XLOOKUP(B1379,'Relacion '!$E:$E,'Relacion '!$I:$I,""))), "RMC", _xlfn.XLOOKUP(B1379,'Relacion '!$E:$E,'Relacion '!$B:$B,""))</f>
        <v>Producto</v>
      </c>
      <c r="L1379" s="236" t="str">
        <f>_xlfn.XLOOKUP(B1379,'Relacion '!$E:$E,'Relacion '!$C:$C,"")</f>
        <v>Claudia Barroso</v>
      </c>
    </row>
    <row r="1380" spans="2:12" outlineLevel="1">
      <c r="B1380" s="237" t="s">
        <v>654</v>
      </c>
      <c r="C1380" s="237" t="s">
        <v>654</v>
      </c>
      <c r="D1380" s="238" t="str">
        <f>_xlfn.XLOOKUP(B1380,'Relacion '!$E:$E,'Relacion '!$D:$D,"")</f>
        <v/>
      </c>
      <c r="E1380" s="239">
        <f t="shared" si="320"/>
        <v>424</v>
      </c>
      <c r="F1380" s="240" cm="1">
        <f t="array" ref="F1380">MIN(INDEX('Relacion '!$X$5:$Y$493,MATCH(INDEX($B:$B, (ROW()-1)),'Relacion '!$E$5:$E$493,0),0))</f>
        <v>45659</v>
      </c>
      <c r="G1380" s="240" cm="1">
        <f t="array" ref="G1380">MAX(INDEX('Relacion '!$X$5:$Y$493,MATCH(INDEX($B:$B, (ROW()-1)),'Relacion '!$E$5:$E$493,0),0))</f>
        <v>46083</v>
      </c>
      <c r="H1380" s="241" cm="1">
        <f t="array" ref="H1380">IF(
 MATCH(B1380,{"01. ASIGNACION AREA";"02. MAPEO";"03. DESARROLLO";"04. VALIDA US";"05. VOBO US";"06. BW-EJECUCION";"07. VALIDACIÓN BAJAWARE";"08. CERRADA"},0)
 &lt;
 MATCH(_xlfn.XLOOKUP(INDEX($B:$B, (ROW()-1)),'Relacion '!$E:$E,'Relacion '!$D:$D,""),{"01. ASIGNACION AREA";"02. MAPEO";"03. DESARROLLO";"04. VALIDA US";"05. VOBO US";"06. BW-EJECUCION";"07. VALIDACIÓN BAJAWARE";"08. CERRADA"},0),
 1,
 IF(
  MATCH(B1380,{"01. ASIGNACION AREA";"02. MAPEO";"03. DESARROLLO";"04. VALIDA US";"05. VOBO US";"06. BW-EJECUCION";"07. VALIDACIÓN BAJAWARE";"08. CERRADA"},0)
  =
  MATCH(_xlfn.XLOOKUP(INDEX($B:$B, (ROW()-1)),'Relacion '!$E:$E,'Relacion '!$D:$D,""),{"01. ASIGNACION AREA";"02. MAPEO";"03. DESARROLLO";"04. VALIDA US";"05. VOBO US";"06. BW-EJECUCION";"07. VALIDACIÓN BAJAWARE";"08. CERRADA"},0),
  _xlfn.XLOOKUP(INDEX($B:$B, (ROW()-1)),'Relacion '!$E:$E,'Relacion '!#REF!,0),
  0
 )
)</f>
        <v>1</v>
      </c>
      <c r="I1380" s="241">
        <f t="shared" ref="I1380" ca="1" si="328">IF(G1380&lt;=TODAY(), 1, 0)</f>
        <v>1</v>
      </c>
      <c r="J1380" s="241"/>
      <c r="K1380" s="241"/>
      <c r="L1380" s="238"/>
    </row>
    <row r="1381" spans="2:12" outlineLevel="1">
      <c r="B1381" s="237" t="s">
        <v>195</v>
      </c>
      <c r="C1381" s="237" t="s">
        <v>195</v>
      </c>
      <c r="D1381" s="238" t="str">
        <f>_xlfn.XLOOKUP(B1381,'Relacion '!$E:$E,'Relacion '!$D:$D,"")</f>
        <v/>
      </c>
      <c r="E1381" s="239">
        <f t="shared" si="320"/>
        <v>4</v>
      </c>
      <c r="F1381" s="240" cm="1">
        <f t="array" ref="F1381">MIN(INDEX('Relacion '!$Z$5:$AA$493,MATCH(INDEX($B:$B, (ROW()-2)),'Relacion '!$E$5:$E$493,0),0))</f>
        <v>46034</v>
      </c>
      <c r="G1381" s="240" cm="1">
        <f t="array" ref="G1381">MAX(INDEX('Relacion '!$Z$5:$AA$493,MATCH(INDEX($B:$B, (ROW()-2)),'Relacion '!$E$5:$E$493,0),0))</f>
        <v>46038</v>
      </c>
      <c r="H1381" s="241" cm="1">
        <f t="array" ref="H1381">IF(
 MATCH(B1381,{"01. ASIGNACION AREA";"02. MAPEO";"03. DESARROLLO";"04. VALIDA US";"05. VOBO US";"06. BW-EJECUCION";"07. VALIDACIÓN BAJAWARE";"08. CERRADA"},0)
 &lt;
 MATCH(_xlfn.XLOOKUP(INDEX($B:$B, (ROW()-2)),'Relacion '!$E:$E,'Relacion '!$D:$D,""),{"01. ASIGNACION AREA";"02. MAPEO";"03. DESARROLLO";"04. VALIDA US";"05. VOBO US";"06. BW-EJECUCION";"07. VALIDACIÓN BAJAWARE";"08. CERRADA"},0),
 1,
 IF(
  MATCH(B1381,{"01. ASIGNACION AREA";"02. MAPEO";"03. DESARROLLO";"04. VALIDA US";"05. VOBO US";"06. BW-EJECUCION";"07. VALIDACIÓN BAJAWARE";"08. CERRADA"},0)
  =
  MATCH(_xlfn.XLOOKUP(INDEX($B:$B, (ROW()-2)),'Relacion '!$E:$E,'Relacion '!$D:$D,""),{"01. ASIGNACION AREA";"02. MAPEO";"03. DESARROLLO";"04. VALIDA US";"05. VOBO US";"06. BW-EJECUCION";"07. VALIDACIÓN BAJAWARE";"08. CERRADA"},0),
  _xlfn.XLOOKUP(INDEX($B:$B, (ROW()-2)),'Relacion '!$E:$E,'Relacion '!#REF!,0),
  0
 )
)</f>
        <v>1</v>
      </c>
      <c r="I1381" s="241">
        <f t="shared" ca="1" si="317"/>
        <v>1</v>
      </c>
      <c r="J1381" s="241"/>
      <c r="K1381" s="241"/>
      <c r="L1381" s="238"/>
    </row>
    <row r="1382" spans="2:12" outlineLevel="1">
      <c r="B1382" s="237" t="s">
        <v>49</v>
      </c>
      <c r="C1382" s="237" t="s">
        <v>49</v>
      </c>
      <c r="D1382" s="238" t="str">
        <f>_xlfn.XLOOKUP(B1382,'Relacion '!$E:$E,'Relacion '!$D:$D,"")</f>
        <v/>
      </c>
      <c r="E1382" s="239">
        <f t="shared" si="320"/>
        <v>4</v>
      </c>
      <c r="F1382" s="240" cm="1">
        <f t="array" ref="F1382">MIN(INDEX('Relacion '!$AB$5:$AC$493,MATCH(INDEX($B:$B, (ROW()-3)),'Relacion '!$E$5:$E$493,0),0))</f>
        <v>46041</v>
      </c>
      <c r="G1382" s="240" cm="1">
        <f t="array" ref="G1382">MAX(INDEX('Relacion '!$AB$5:$AC$493,MATCH(INDEX($B:$B, (ROW()-3)),'Relacion '!$E$5:$E$493,0),0))</f>
        <v>46045</v>
      </c>
      <c r="H1382" s="241" cm="1">
        <f t="array" ref="H1382">IF(
 MATCH(B1382,{"01. ASIGNACION AREA";"02. MAPEO";"03. DESARROLLO";"04. VALIDA US";"05. VOBO US";"06. BW-EJECUCION";"07. VALIDACIÓN BAJAWARE";"08. CERRADA"},0)
 &lt;
 MATCH(_xlfn.XLOOKUP(INDEX($B:$B, (ROW()-3)),'Relacion '!$E:$E,'Relacion '!$D:$D,""),{"01. ASIGNACION AREA";"02. MAPEO";"03. DESARROLLO";"04. VALIDA US";"05. VOBO US";"06. BW-EJECUCION";"07. VALIDACIÓN BAJAWARE";"08. CERRADA"},0),
 1,
 IF(
  MATCH(B1382,{"01. ASIGNACION AREA";"02. MAPEO";"03. DESARROLLO";"04. VALIDA US";"05. VOBO US";"06. BW-EJECUCION";"07. VALIDACIÓN BAJAWARE";"08. CERRADA"},0)
  =
  MATCH(_xlfn.XLOOKUP(INDEX($B:$B, (ROW()-3)),'Relacion '!$E:$E,'Relacion '!$D:$D,""),{"01. ASIGNACION AREA";"02. MAPEO";"03. DESARROLLO";"04. VALIDA US";"05. VOBO US";"06. BW-EJECUCION";"07. VALIDACIÓN BAJAWARE";"08. CERRADA"},0),
  _xlfn.XLOOKUP(INDEX($B:$B, (ROW()-3)),'Relacion '!$E:$E,'Relacion '!#REF!,0),
  0
 )
)</f>
        <v>1</v>
      </c>
      <c r="I1382" s="241">
        <f t="shared" ca="1" si="317"/>
        <v>1</v>
      </c>
      <c r="J1382" s="241"/>
      <c r="K1382" s="241"/>
      <c r="L1382" s="238"/>
    </row>
    <row r="1383" spans="2:12" outlineLevel="1">
      <c r="B1383" s="237" t="s">
        <v>324</v>
      </c>
      <c r="C1383" s="237" t="s">
        <v>324</v>
      </c>
      <c r="D1383" s="238" t="str">
        <f>_xlfn.XLOOKUP(B1383,'Relacion '!$E:$E,'Relacion '!$D:$D,"")</f>
        <v/>
      </c>
      <c r="E1383" s="239">
        <f t="shared" si="320"/>
        <v>4</v>
      </c>
      <c r="F1383" s="240" cm="1">
        <f t="array" ref="F1383">MIN(INDEX('Relacion '!$AD$5:$AE$493,MATCH(INDEX($B:$B, (ROW()-4)),'Relacion '!$E$5:$E$493,0),0))</f>
        <v>46048</v>
      </c>
      <c r="G1383" s="240" cm="1">
        <f t="array" ref="G1383">MAX(INDEX('Relacion '!$AD$5:$AE$493,MATCH(INDEX($B:$B, (ROW()-4)),'Relacion '!$E$5:$E$493,0),0))</f>
        <v>46052</v>
      </c>
      <c r="H1383" s="241" cm="1">
        <f t="array" ref="H1383">IF(
 MATCH(B1383,{"01. ASIGNACION AREA";"02. MAPEO";"03. DESARROLLO";"04. VALIDA US";"05. VOBO US";"06. BW-EJECUCION";"07. VALIDACIÓN BAJAWARE";"08. CERRADA"},0)
 &lt;
 MATCH(_xlfn.XLOOKUP(INDEX($B:$B, (ROW()-4)),'Relacion '!$E:$E,'Relacion '!$D:$D,""),{"01. ASIGNACION AREA";"02. MAPEO";"03. DESARROLLO";"04. VALIDA US";"05. VOBO US";"06. BW-EJECUCION";"07. VALIDACIÓN BAJAWARE";"08. CERRADA"},0),
 1,
 IF(
  MATCH(B1383,{"01. ASIGNACION AREA";"02. MAPEO";"03. DESARROLLO";"04. VALIDA US";"05. VOBO US";"06. BW-EJECUCION";"07. VALIDACIÓN BAJAWARE";"08. CERRADA"},0)
  =
  MATCH(_xlfn.XLOOKUP(INDEX($B:$B, (ROW()-4)),'Relacion '!$E:$E,'Relacion '!$D:$D,""),{"01. ASIGNACION AREA";"02. MAPEO";"03. DESARROLLO";"04. VALIDA US";"05. VOBO US";"06. BW-EJECUCION";"07. VALIDACIÓN BAJAWARE";"08. CERRADA"},0),
  _xlfn.XLOOKUP(INDEX($B:$B, (ROW()-4)),'Relacion '!$E:$E,'Relacion '!#REF!,0),
  0
 )
)</f>
        <v>1</v>
      </c>
      <c r="I1383" s="241">
        <f t="shared" ca="1" si="317"/>
        <v>1</v>
      </c>
      <c r="J1383" s="241"/>
      <c r="K1383" s="241"/>
      <c r="L1383" s="238"/>
    </row>
    <row r="1384" spans="2:12" outlineLevel="1">
      <c r="B1384" s="237" t="s">
        <v>320</v>
      </c>
      <c r="C1384" s="237" t="s">
        <v>320</v>
      </c>
      <c r="D1384" s="238" t="str">
        <f>_xlfn.XLOOKUP(B1384,'Relacion '!$E:$E,'Relacion '!$D:$D,"")</f>
        <v/>
      </c>
      <c r="E1384" s="239">
        <f t="shared" si="320"/>
        <v>7</v>
      </c>
      <c r="F1384" s="240" cm="1">
        <f t="array" ref="F1384">MIN(INDEX('Relacion '!$AF$5:$AG$493,MATCH(INDEX($B:$B, (ROW()-5)),'Relacion '!$E$5:$E$493,0),0))</f>
        <v>46055</v>
      </c>
      <c r="G1384" s="240" cm="1">
        <f t="array" ref="G1384">MAX(INDEX('Relacion '!$AF$5:$AG$493,MATCH(INDEX($B:$B, (ROW()-5)),'Relacion '!$E$5:$E$493,0),0))</f>
        <v>46062</v>
      </c>
      <c r="H1384" s="241" cm="1">
        <f t="array" ref="H1384">IF(
 MATCH(B1384,{"01. ASIGNACION AREA";"02. MAPEO";"03. DESARROLLO";"04. VALIDA US";"05. VOBO US";"06. BW-EJECUCION";"07. VALIDACIÓN BAJAWARE";"08. CERRADA"},0)
 &lt;
 MATCH(_xlfn.XLOOKUP(INDEX($B:$B, (ROW()-5)),'Relacion '!$E:$E,'Relacion '!$D:$D,""),{"01. ASIGNACION AREA";"02. MAPEO";"03. DESARROLLO";"04. VALIDA US";"05. VOBO US";"06. BW-EJECUCION";"07. VALIDACIÓN BAJAWARE";"08. CERRADA"},0),
 1,
 IF(
  MATCH(B1384,{"01. ASIGNACION AREA";"02. MAPEO";"03. DESARROLLO";"04. VALIDA US";"05. VOBO US";"06. BW-EJECUCION";"07. VALIDACIÓN BAJAWARE";"08. CERRADA"},0)
  =
  MATCH(_xlfn.XLOOKUP(INDEX($B:$B, (ROW()-5)),'Relacion '!$E:$E,'Relacion '!$D:$D,""),{"01. ASIGNACION AREA";"02. MAPEO";"03. DESARROLLO";"04. VALIDA US";"05. VOBO US";"06. BW-EJECUCION";"07. VALIDACIÓN BAJAWARE";"08. CERRADA"},0),
  _xlfn.XLOOKUP(INDEX($B:$B, (ROW()-5)),'Relacion '!$E:$E,'Relacion '!#REF!,0),
  0
 )
)</f>
        <v>1</v>
      </c>
      <c r="I1384" s="241">
        <f t="shared" ca="1" si="317"/>
        <v>1</v>
      </c>
      <c r="J1384" s="241"/>
      <c r="K1384" s="241"/>
      <c r="L1384" s="238"/>
    </row>
    <row r="1385" spans="2:12" outlineLevel="1">
      <c r="B1385" s="237" t="s">
        <v>710</v>
      </c>
      <c r="C1385" s="237" t="s">
        <v>710</v>
      </c>
      <c r="D1385" s="238" t="str">
        <f>_xlfn.XLOOKUP(B1385,'Relacion '!$E:$E,'Relacion '!$D:$D,"")</f>
        <v/>
      </c>
      <c r="E1385" s="239">
        <f t="shared" si="320"/>
        <v>25</v>
      </c>
      <c r="F1385" s="240" cm="1">
        <f t="array" ref="F1385">MIN(INDEX('Relacion '!$AH$5:$AI$493,MATCH(INDEX($B:$B, (ROW()-6)),'Relacion '!$E$5:$E$493,0),0))</f>
        <v>46076</v>
      </c>
      <c r="G1385" s="240" cm="1">
        <f t="array" ref="G1385">MAX(INDEX('Relacion '!$AH$5:$AI$493,MATCH(INDEX($B:$B, (ROW()-6)),'Relacion '!$E$5:$E$493,0),0))</f>
        <v>46101</v>
      </c>
      <c r="H1385" s="241" t="e" cm="1">
        <f t="array" ref="H1385">IF(
 MATCH(B1385,{"01. ASIGNACION AREA";"02. MAPEO";"03. DESARROLLO";"04. VALIDA US";"05. VOBO US";"06. BW-EJECUCION";"07. VALIDACIÓN BAJAWARE";"08. CERRADA"},0)
 &lt;
 MATCH(_xlfn.XLOOKUP(INDEX($B:$B, (ROW()-6)),'Relacion '!$E:$E,'Relacion '!$D:$D,""),{"01. ASIGNACION AREA";"02. MAPEO";"03. DESARROLLO";"04. VALIDA US";"05. VOBO US";"06. BW-EJECUCION";"07. VALIDACIÓN BAJAWARE";"08. CERRADA"},0),
 1,
 IF(
  MATCH(B1385,{"01. ASIGNACION AREA";"02. MAPEO";"03. DESARROLLO";"04. VALIDA US";"05. VOBO US";"06. BW-EJECUCION";"07. VALIDACIÓN BAJAWARE";"08. CERRADA"},0)
  =
  MATCH(_xlfn.XLOOKUP(INDEX($B:$B, (ROW()-6)),'Relacion '!$E:$E,'Relacion '!$D:$D,""),{"01. ASIGNACION AREA";"02. MAPEO";"03. DESARROLLO";"04. VALIDA US";"05. VOBO US";"06. BW-EJECUCION";"07. VALIDACIÓN BAJAWARE";"08. CERRADA"},0),
  _xlfn.XLOOKUP(INDEX($B:$B, (ROW()-6)),'Relacion '!$E:$E,'Relacion '!#REF!,0),
  0
 )
)</f>
        <v>#REF!</v>
      </c>
      <c r="I1385" s="241">
        <f t="shared" ca="1" si="317"/>
        <v>1</v>
      </c>
      <c r="J1385" s="241"/>
      <c r="K1385" s="241"/>
      <c r="L1385" s="238"/>
    </row>
    <row r="1386" spans="2:12" outlineLevel="1">
      <c r="B1386" s="237" t="s">
        <v>655</v>
      </c>
      <c r="C1386" s="237" t="s">
        <v>655</v>
      </c>
      <c r="D1386" s="238" t="str">
        <f>_xlfn.XLOOKUP(B1386,'Relacion '!$E:$E,'Relacion '!$D:$D,"")</f>
        <v/>
      </c>
      <c r="E1386" s="239">
        <f t="shared" si="320"/>
        <v>25</v>
      </c>
      <c r="F1386" s="240" cm="1">
        <f t="array" ref="F1386">MIN(INDEX('Relacion '!$AJ$5:$AK$493,MATCH(INDEX($B:$B, (ROW()-7)),'Relacion '!$E$5:$E$493,0),0))</f>
        <v>46104</v>
      </c>
      <c r="G1386" s="240" cm="1">
        <f t="array" ref="G1386">MAX(INDEX('Relacion '!$AJ$5:$AK$493,MATCH(INDEX($B:$B, (ROW()-7)),'Relacion '!$E$5:$E$493,0),0))</f>
        <v>46129</v>
      </c>
      <c r="H1386" s="241" cm="1">
        <f t="array" ref="H1386">IF(
 MATCH(B1386,{"01. ASIGNACION AREA";"02. MAPEO";"03. DESARROLLO";"04. VALIDA US";"05. VOBO US";"06. BW-EJECUCION";"07. VALIDACIÓN BAJAWARE";"08. CERRADA"},0)
 &lt;
 MATCH(_xlfn.XLOOKUP(INDEX($B:$B, (ROW()-7)),'Relacion '!$E:$E,'Relacion '!$D:$D,""),{"01. ASIGNACION AREA";"02. MAPEO";"03. DESARROLLO";"04. VALIDA US";"05. VOBO US";"06. BW-EJECUCION";"07. VALIDACIÓN BAJAWARE";"08. CERRADA"},0),
 1,
 IF(
  MATCH(B1386,{"01. ASIGNACION AREA";"02. MAPEO";"03. DESARROLLO";"04. VALIDA US";"05. VOBO US";"06. BW-EJECUCION";"07. VALIDACIÓN BAJAWARE";"08. CERRADA"},0)
  =
  MATCH(_xlfn.XLOOKUP(INDEX($B:$B, (ROW()-7)),'Relacion '!$E:$E,'Relacion '!$D:$D,""),{"01. ASIGNACION AREA";"02. MAPEO";"03. DESARROLLO";"04. VALIDA US";"05. VOBO US";"06. BW-EJECUCION";"07. VALIDACIÓN BAJAWARE";"08. CERRADA"},0),
  _xlfn.XLOOKUP(INDEX($B:$B, (ROW()-7)),'Relacion '!$E:$E,'Relacion '!#REF!,0),
  0
 )
)</f>
        <v>0</v>
      </c>
      <c r="I1386" s="241">
        <f t="shared" ca="1" si="317"/>
        <v>1</v>
      </c>
      <c r="J1386" s="241"/>
      <c r="K1386" s="241"/>
      <c r="L1386" s="238"/>
    </row>
    <row r="1387" spans="2:12" outlineLevel="1">
      <c r="B1387" s="237" t="s">
        <v>656</v>
      </c>
      <c r="C1387" s="237" t="s">
        <v>656</v>
      </c>
      <c r="D1387" s="238" t="str">
        <f>_xlfn.XLOOKUP(B1387,'Relacion '!$E:$E,'Relacion '!$D:$D,"")</f>
        <v/>
      </c>
      <c r="E1387" s="239">
        <f t="shared" si="320"/>
        <v>0</v>
      </c>
      <c r="F1387" s="240" cm="1">
        <f t="array" ref="F1387">MIN(INDEX('Relacion '!$AL$5:$AM$493,MATCH(INDEX($B:$B, (ROW()-8)),'Relacion '!$E$5:$E$493,0),0))</f>
        <v>46130</v>
      </c>
      <c r="G1387" s="240" cm="1">
        <f t="array" ref="G1387">MAX(INDEX('Relacion '!$AL$5:$AM$493,MATCH(INDEX($B:$B, (ROW()-8)),'Relacion '!$E$5:$E$493,0),0))</f>
        <v>46130</v>
      </c>
      <c r="H1387" s="241" cm="1">
        <f t="array" ref="H1387">IF(
 MATCH(B1387,{"01. ASIGNACION AREA";"02. MAPEO";"03. DESARROLLO";"04. VALIDA US";"05. VOBO US";"06. BW-EJECUCION";"07. VALIDACIÓN BAJAWARE";"08. CERRADA"},0)
 &lt;
 MATCH(_xlfn.XLOOKUP(INDEX($B:$B, (ROW()-8)),'Relacion '!$E:$E,'Relacion '!$D:$D,""),{"01. ASIGNACION AREA";"02. MAPEO";"03. DESARROLLO";"04. VALIDA US";"05. VOBO US";"06. BW-EJECUCION";"07. VALIDACIÓN BAJAWARE";"08. CERRADA"},0),
 1,
 IF(
  MATCH(B1387,{"01. ASIGNACION AREA";"02. MAPEO";"03. DESARROLLO";"04. VALIDA US";"05. VOBO US";"06. BW-EJECUCION";"07. VALIDACIÓN BAJAWARE";"08. CERRADA"},0)
  =
  MATCH(_xlfn.XLOOKUP(INDEX($B:$B, (ROW()-8)),'Relacion '!$E:$E,'Relacion '!$D:$D,""),{"01. ASIGNACION AREA";"02. MAPEO";"03. DESARROLLO";"04. VALIDA US";"05. VOBO US";"06. BW-EJECUCION";"07. VALIDACIÓN BAJAWARE";"08. CERRADA"},0),
  _xlfn.XLOOKUP(INDEX($B:$B, (ROW()-8)),'Relacion '!$E:$E,'Relacion '!#REF!,0),
  0
 )
)</f>
        <v>0</v>
      </c>
      <c r="I1387" s="241">
        <f t="shared" ca="1" si="317"/>
        <v>1</v>
      </c>
      <c r="J1387" s="241"/>
      <c r="K1387" s="241"/>
      <c r="L1387" s="238"/>
    </row>
    <row r="1388" spans="2:12">
      <c r="B1388" s="232" t="s">
        <v>582</v>
      </c>
      <c r="C1388" s="167" t="s">
        <v>578</v>
      </c>
      <c r="D1388" s="236" t="str">
        <f>_xlfn.XLOOKUP(B1388,'Relacion '!$E:$E,'Relacion '!$D:$D,"")</f>
        <v>06. BW-EJECUCION</v>
      </c>
      <c r="E1388" s="233">
        <f t="shared" si="320"/>
        <v>471</v>
      </c>
      <c r="F1388" s="234" cm="1">
        <f t="array" ref="F1388">MIN(INDEX('Relacion '!$X$5:$AM$493,MATCH(INDEX($B:$B, (ROW()-0)),'Relacion '!$E$5:$E$493,0),0))</f>
        <v>45659</v>
      </c>
      <c r="G1388" s="234" cm="1">
        <f t="array" ref="G1388">MAX(INDEX('Relacion '!$X$5:$AM$493,MATCH(INDEX($B:$B, (ROW()-0)),'Relacion '!$E$5:$E$493,0),0))</f>
        <v>46130</v>
      </c>
      <c r="H1388" s="235" t="e">
        <f>AVERAGE(H1389:H1396)</f>
        <v>#REF!</v>
      </c>
      <c r="I1388" s="235">
        <f t="shared" ref="I1388" ca="1" si="329">AVERAGE(I1389:I1396)</f>
        <v>1</v>
      </c>
      <c r="J1388" s="236" t="str">
        <f>IF(ISNUMBER(SEARCH("Rocha", _xlfn.XLOOKUP(B1388,'Relacion '!$E:$E,'Relacion '!$I:$I,""))), "Sí", "No")</f>
        <v>No</v>
      </c>
      <c r="K1388" s="236" t="str">
        <f>IF(ISNUMBER(SEARCH("Rocha", _xlfn.XLOOKUP(B1388,'Relacion '!$E:$E,'Relacion '!$I:$I,""))), "RMC", _xlfn.XLOOKUP(B1388,'Relacion '!$E:$E,'Relacion '!$B:$B,""))</f>
        <v>Producto</v>
      </c>
      <c r="L1388" s="236" t="str">
        <f>_xlfn.XLOOKUP(B1388,'Relacion '!$E:$E,'Relacion '!$C:$C,"")</f>
        <v>Claudia Barroso</v>
      </c>
    </row>
    <row r="1389" spans="2:12" outlineLevel="1">
      <c r="B1389" s="237" t="s">
        <v>654</v>
      </c>
      <c r="C1389" s="237" t="s">
        <v>654</v>
      </c>
      <c r="D1389" s="238" t="str">
        <f>_xlfn.XLOOKUP(B1389,'Relacion '!$E:$E,'Relacion '!$D:$D,"")</f>
        <v/>
      </c>
      <c r="E1389" s="239">
        <f t="shared" si="320"/>
        <v>424</v>
      </c>
      <c r="F1389" s="240" cm="1">
        <f t="array" ref="F1389">MIN(INDEX('Relacion '!$X$5:$Y$493,MATCH(INDEX($B:$B, (ROW()-1)),'Relacion '!$E$5:$E$493,0),0))</f>
        <v>45659</v>
      </c>
      <c r="G1389" s="240" cm="1">
        <f t="array" ref="G1389">MAX(INDEX('Relacion '!$X$5:$Y$493,MATCH(INDEX($B:$B, (ROW()-1)),'Relacion '!$E$5:$E$493,0),0))</f>
        <v>46083</v>
      </c>
      <c r="H1389" s="241" cm="1">
        <f t="array" ref="H1389">IF(
 MATCH(B1389,{"01. ASIGNACION AREA";"02. MAPEO";"03. DESARROLLO";"04. VALIDA US";"05. VOBO US";"06. BW-EJECUCION";"07. VALIDACIÓN BAJAWARE";"08. CERRADA"},0)
 &lt;
 MATCH(_xlfn.XLOOKUP(INDEX($B:$B, (ROW()-1)),'Relacion '!$E:$E,'Relacion '!$D:$D,""),{"01. ASIGNACION AREA";"02. MAPEO";"03. DESARROLLO";"04. VALIDA US";"05. VOBO US";"06. BW-EJECUCION";"07. VALIDACIÓN BAJAWARE";"08. CERRADA"},0),
 1,
 IF(
  MATCH(B1389,{"01. ASIGNACION AREA";"02. MAPEO";"03. DESARROLLO";"04. VALIDA US";"05. VOBO US";"06. BW-EJECUCION";"07. VALIDACIÓN BAJAWARE";"08. CERRADA"},0)
  =
  MATCH(_xlfn.XLOOKUP(INDEX($B:$B, (ROW()-1)),'Relacion '!$E:$E,'Relacion '!$D:$D,""),{"01. ASIGNACION AREA";"02. MAPEO";"03. DESARROLLO";"04. VALIDA US";"05. VOBO US";"06. BW-EJECUCION";"07. VALIDACIÓN BAJAWARE";"08. CERRADA"},0),
  _xlfn.XLOOKUP(INDEX($B:$B, (ROW()-1)),'Relacion '!$E:$E,'Relacion '!#REF!,0),
  0
 )
)</f>
        <v>1</v>
      </c>
      <c r="I1389" s="241">
        <f t="shared" ref="I1389" ca="1" si="330">IF(G1389&lt;=TODAY(), 1, 0)</f>
        <v>1</v>
      </c>
      <c r="J1389" s="241"/>
      <c r="K1389" s="241"/>
      <c r="L1389" s="238"/>
    </row>
    <row r="1390" spans="2:12" outlineLevel="1">
      <c r="B1390" s="237" t="s">
        <v>195</v>
      </c>
      <c r="C1390" s="237" t="s">
        <v>195</v>
      </c>
      <c r="D1390" s="238" t="str">
        <f>_xlfn.XLOOKUP(B1390,'Relacion '!$E:$E,'Relacion '!$D:$D,"")</f>
        <v/>
      </c>
      <c r="E1390" s="239">
        <f t="shared" si="320"/>
        <v>4</v>
      </c>
      <c r="F1390" s="240" cm="1">
        <f t="array" ref="F1390">MIN(INDEX('Relacion '!$Z$5:$AA$493,MATCH(INDEX($B:$B, (ROW()-2)),'Relacion '!$E$5:$E$493,0),0))</f>
        <v>46034</v>
      </c>
      <c r="G1390" s="240" cm="1">
        <f t="array" ref="G1390">MAX(INDEX('Relacion '!$Z$5:$AA$493,MATCH(INDEX($B:$B, (ROW()-2)),'Relacion '!$E$5:$E$493,0),0))</f>
        <v>46038</v>
      </c>
      <c r="H1390" s="241" cm="1">
        <f t="array" ref="H1390">IF(
 MATCH(B1390,{"01. ASIGNACION AREA";"02. MAPEO";"03. DESARROLLO";"04. VALIDA US";"05. VOBO US";"06. BW-EJECUCION";"07. VALIDACIÓN BAJAWARE";"08. CERRADA"},0)
 &lt;
 MATCH(_xlfn.XLOOKUP(INDEX($B:$B, (ROW()-2)),'Relacion '!$E:$E,'Relacion '!$D:$D,""),{"01. ASIGNACION AREA";"02. MAPEO";"03. DESARROLLO";"04. VALIDA US";"05. VOBO US";"06. BW-EJECUCION";"07. VALIDACIÓN BAJAWARE";"08. CERRADA"},0),
 1,
 IF(
  MATCH(B1390,{"01. ASIGNACION AREA";"02. MAPEO";"03. DESARROLLO";"04. VALIDA US";"05. VOBO US";"06. BW-EJECUCION";"07. VALIDACIÓN BAJAWARE";"08. CERRADA"},0)
  =
  MATCH(_xlfn.XLOOKUP(INDEX($B:$B, (ROW()-2)),'Relacion '!$E:$E,'Relacion '!$D:$D,""),{"01. ASIGNACION AREA";"02. MAPEO";"03. DESARROLLO";"04. VALIDA US";"05. VOBO US";"06. BW-EJECUCION";"07. VALIDACIÓN BAJAWARE";"08. CERRADA"},0),
  _xlfn.XLOOKUP(INDEX($B:$B, (ROW()-2)),'Relacion '!$E:$E,'Relacion '!#REF!,0),
  0
 )
)</f>
        <v>1</v>
      </c>
      <c r="I1390" s="241">
        <f t="shared" ca="1" si="317"/>
        <v>1</v>
      </c>
      <c r="J1390" s="241"/>
      <c r="K1390" s="241"/>
      <c r="L1390" s="238"/>
    </row>
    <row r="1391" spans="2:12" outlineLevel="1">
      <c r="B1391" s="237" t="s">
        <v>49</v>
      </c>
      <c r="C1391" s="237" t="s">
        <v>49</v>
      </c>
      <c r="D1391" s="238" t="str">
        <f>_xlfn.XLOOKUP(B1391,'Relacion '!$E:$E,'Relacion '!$D:$D,"")</f>
        <v/>
      </c>
      <c r="E1391" s="239">
        <f t="shared" si="320"/>
        <v>4</v>
      </c>
      <c r="F1391" s="240" cm="1">
        <f t="array" ref="F1391">MIN(INDEX('Relacion '!$AB$5:$AC$493,MATCH(INDEX($B:$B, (ROW()-3)),'Relacion '!$E$5:$E$493,0),0))</f>
        <v>46041</v>
      </c>
      <c r="G1391" s="240" cm="1">
        <f t="array" ref="G1391">MAX(INDEX('Relacion '!$AB$5:$AC$493,MATCH(INDEX($B:$B, (ROW()-3)),'Relacion '!$E$5:$E$493,0),0))</f>
        <v>46045</v>
      </c>
      <c r="H1391" s="241" cm="1">
        <f t="array" ref="H1391">IF(
 MATCH(B1391,{"01. ASIGNACION AREA";"02. MAPEO";"03. DESARROLLO";"04. VALIDA US";"05. VOBO US";"06. BW-EJECUCION";"07. VALIDACIÓN BAJAWARE";"08. CERRADA"},0)
 &lt;
 MATCH(_xlfn.XLOOKUP(INDEX($B:$B, (ROW()-3)),'Relacion '!$E:$E,'Relacion '!$D:$D,""),{"01. ASIGNACION AREA";"02. MAPEO";"03. DESARROLLO";"04. VALIDA US";"05. VOBO US";"06. BW-EJECUCION";"07. VALIDACIÓN BAJAWARE";"08. CERRADA"},0),
 1,
 IF(
  MATCH(B1391,{"01. ASIGNACION AREA";"02. MAPEO";"03. DESARROLLO";"04. VALIDA US";"05. VOBO US";"06. BW-EJECUCION";"07. VALIDACIÓN BAJAWARE";"08. CERRADA"},0)
  =
  MATCH(_xlfn.XLOOKUP(INDEX($B:$B, (ROW()-3)),'Relacion '!$E:$E,'Relacion '!$D:$D,""),{"01. ASIGNACION AREA";"02. MAPEO";"03. DESARROLLO";"04. VALIDA US";"05. VOBO US";"06. BW-EJECUCION";"07. VALIDACIÓN BAJAWARE";"08. CERRADA"},0),
  _xlfn.XLOOKUP(INDEX($B:$B, (ROW()-3)),'Relacion '!$E:$E,'Relacion '!#REF!,0),
  0
 )
)</f>
        <v>1</v>
      </c>
      <c r="I1391" s="241">
        <f t="shared" ca="1" si="317"/>
        <v>1</v>
      </c>
      <c r="J1391" s="241"/>
      <c r="K1391" s="241"/>
      <c r="L1391" s="238"/>
    </row>
    <row r="1392" spans="2:12" outlineLevel="1">
      <c r="B1392" s="237" t="s">
        <v>324</v>
      </c>
      <c r="C1392" s="237" t="s">
        <v>324</v>
      </c>
      <c r="D1392" s="238" t="str">
        <f>_xlfn.XLOOKUP(B1392,'Relacion '!$E:$E,'Relacion '!$D:$D,"")</f>
        <v/>
      </c>
      <c r="E1392" s="239">
        <f t="shared" si="320"/>
        <v>4</v>
      </c>
      <c r="F1392" s="240" cm="1">
        <f t="array" ref="F1392">MIN(INDEX('Relacion '!$AD$5:$AE$493,MATCH(INDEX($B:$B, (ROW()-4)),'Relacion '!$E$5:$E$493,0),0))</f>
        <v>46048</v>
      </c>
      <c r="G1392" s="240" cm="1">
        <f t="array" ref="G1392">MAX(INDEX('Relacion '!$AD$5:$AE$493,MATCH(INDEX($B:$B, (ROW()-4)),'Relacion '!$E$5:$E$493,0),0))</f>
        <v>46052</v>
      </c>
      <c r="H1392" s="241" cm="1">
        <f t="array" ref="H1392">IF(
 MATCH(B1392,{"01. ASIGNACION AREA";"02. MAPEO";"03. DESARROLLO";"04. VALIDA US";"05. VOBO US";"06. BW-EJECUCION";"07. VALIDACIÓN BAJAWARE";"08. CERRADA"},0)
 &lt;
 MATCH(_xlfn.XLOOKUP(INDEX($B:$B, (ROW()-4)),'Relacion '!$E:$E,'Relacion '!$D:$D,""),{"01. ASIGNACION AREA";"02. MAPEO";"03. DESARROLLO";"04. VALIDA US";"05. VOBO US";"06. BW-EJECUCION";"07. VALIDACIÓN BAJAWARE";"08. CERRADA"},0),
 1,
 IF(
  MATCH(B1392,{"01. ASIGNACION AREA";"02. MAPEO";"03. DESARROLLO";"04. VALIDA US";"05. VOBO US";"06. BW-EJECUCION";"07. VALIDACIÓN BAJAWARE";"08. CERRADA"},0)
  =
  MATCH(_xlfn.XLOOKUP(INDEX($B:$B, (ROW()-4)),'Relacion '!$E:$E,'Relacion '!$D:$D,""),{"01. ASIGNACION AREA";"02. MAPEO";"03. DESARROLLO";"04. VALIDA US";"05. VOBO US";"06. BW-EJECUCION";"07. VALIDACIÓN BAJAWARE";"08. CERRADA"},0),
  _xlfn.XLOOKUP(INDEX($B:$B, (ROW()-4)),'Relacion '!$E:$E,'Relacion '!#REF!,0),
  0
 )
)</f>
        <v>1</v>
      </c>
      <c r="I1392" s="241">
        <f t="shared" ca="1" si="317"/>
        <v>1</v>
      </c>
      <c r="J1392" s="241"/>
      <c r="K1392" s="241"/>
      <c r="L1392" s="238"/>
    </row>
    <row r="1393" spans="2:12" outlineLevel="1">
      <c r="B1393" s="237" t="s">
        <v>320</v>
      </c>
      <c r="C1393" s="237" t="s">
        <v>320</v>
      </c>
      <c r="D1393" s="238" t="str">
        <f>_xlfn.XLOOKUP(B1393,'Relacion '!$E:$E,'Relacion '!$D:$D,"")</f>
        <v/>
      </c>
      <c r="E1393" s="239">
        <f t="shared" si="320"/>
        <v>7</v>
      </c>
      <c r="F1393" s="240" cm="1">
        <f t="array" ref="F1393">MIN(INDEX('Relacion '!$AF$5:$AG$493,MATCH(INDEX($B:$B, (ROW()-5)),'Relacion '!$E$5:$E$493,0),0))</f>
        <v>46055</v>
      </c>
      <c r="G1393" s="240" cm="1">
        <f t="array" ref="G1393">MAX(INDEX('Relacion '!$AF$5:$AG$493,MATCH(INDEX($B:$B, (ROW()-5)),'Relacion '!$E$5:$E$493,0),0))</f>
        <v>46062</v>
      </c>
      <c r="H1393" s="241" cm="1">
        <f t="array" ref="H1393">IF(
 MATCH(B1393,{"01. ASIGNACION AREA";"02. MAPEO";"03. DESARROLLO";"04. VALIDA US";"05. VOBO US";"06. BW-EJECUCION";"07. VALIDACIÓN BAJAWARE";"08. CERRADA"},0)
 &lt;
 MATCH(_xlfn.XLOOKUP(INDEX($B:$B, (ROW()-5)),'Relacion '!$E:$E,'Relacion '!$D:$D,""),{"01. ASIGNACION AREA";"02. MAPEO";"03. DESARROLLO";"04. VALIDA US";"05. VOBO US";"06. BW-EJECUCION";"07. VALIDACIÓN BAJAWARE";"08. CERRADA"},0),
 1,
 IF(
  MATCH(B1393,{"01. ASIGNACION AREA";"02. MAPEO";"03. DESARROLLO";"04. VALIDA US";"05. VOBO US";"06. BW-EJECUCION";"07. VALIDACIÓN BAJAWARE";"08. CERRADA"},0)
  =
  MATCH(_xlfn.XLOOKUP(INDEX($B:$B, (ROW()-5)),'Relacion '!$E:$E,'Relacion '!$D:$D,""),{"01. ASIGNACION AREA";"02. MAPEO";"03. DESARROLLO";"04. VALIDA US";"05. VOBO US";"06. BW-EJECUCION";"07. VALIDACIÓN BAJAWARE";"08. CERRADA"},0),
  _xlfn.XLOOKUP(INDEX($B:$B, (ROW()-5)),'Relacion '!$E:$E,'Relacion '!#REF!,0),
  0
 )
)</f>
        <v>1</v>
      </c>
      <c r="I1393" s="241">
        <f t="shared" ca="1" si="317"/>
        <v>1</v>
      </c>
      <c r="J1393" s="241"/>
      <c r="K1393" s="241"/>
      <c r="L1393" s="238"/>
    </row>
    <row r="1394" spans="2:12" outlineLevel="1">
      <c r="B1394" s="237" t="s">
        <v>710</v>
      </c>
      <c r="C1394" s="237" t="s">
        <v>710</v>
      </c>
      <c r="D1394" s="238" t="str">
        <f>_xlfn.XLOOKUP(B1394,'Relacion '!$E:$E,'Relacion '!$D:$D,"")</f>
        <v/>
      </c>
      <c r="E1394" s="239">
        <f t="shared" si="320"/>
        <v>25</v>
      </c>
      <c r="F1394" s="240" cm="1">
        <f t="array" ref="F1394">MIN(INDEX('Relacion '!$AH$5:$AI$493,MATCH(INDEX($B:$B, (ROW()-6)),'Relacion '!$E$5:$E$493,0),0))</f>
        <v>46076</v>
      </c>
      <c r="G1394" s="240" cm="1">
        <f t="array" ref="G1394">MAX(INDEX('Relacion '!$AH$5:$AI$493,MATCH(INDEX($B:$B, (ROW()-6)),'Relacion '!$E$5:$E$493,0),0))</f>
        <v>46101</v>
      </c>
      <c r="H1394" s="241" t="e" cm="1">
        <f t="array" ref="H1394">IF(
 MATCH(B1394,{"01. ASIGNACION AREA";"02. MAPEO";"03. DESARROLLO";"04. VALIDA US";"05. VOBO US";"06. BW-EJECUCION";"07. VALIDACIÓN BAJAWARE";"08. CERRADA"},0)
 &lt;
 MATCH(_xlfn.XLOOKUP(INDEX($B:$B, (ROW()-6)),'Relacion '!$E:$E,'Relacion '!$D:$D,""),{"01. ASIGNACION AREA";"02. MAPEO";"03. DESARROLLO";"04. VALIDA US";"05. VOBO US";"06. BW-EJECUCION";"07. VALIDACIÓN BAJAWARE";"08. CERRADA"},0),
 1,
 IF(
  MATCH(B1394,{"01. ASIGNACION AREA";"02. MAPEO";"03. DESARROLLO";"04. VALIDA US";"05. VOBO US";"06. BW-EJECUCION";"07. VALIDACIÓN BAJAWARE";"08. CERRADA"},0)
  =
  MATCH(_xlfn.XLOOKUP(INDEX($B:$B, (ROW()-6)),'Relacion '!$E:$E,'Relacion '!$D:$D,""),{"01. ASIGNACION AREA";"02. MAPEO";"03. DESARROLLO";"04. VALIDA US";"05. VOBO US";"06. BW-EJECUCION";"07. VALIDACIÓN BAJAWARE";"08. CERRADA"},0),
  _xlfn.XLOOKUP(INDEX($B:$B, (ROW()-6)),'Relacion '!$E:$E,'Relacion '!#REF!,0),
  0
 )
)</f>
        <v>#REF!</v>
      </c>
      <c r="I1394" s="241">
        <f t="shared" ca="1" si="317"/>
        <v>1</v>
      </c>
      <c r="J1394" s="241"/>
      <c r="K1394" s="241"/>
      <c r="L1394" s="238"/>
    </row>
    <row r="1395" spans="2:12" outlineLevel="1">
      <c r="B1395" s="237" t="s">
        <v>655</v>
      </c>
      <c r="C1395" s="237" t="s">
        <v>655</v>
      </c>
      <c r="D1395" s="238" t="str">
        <f>_xlfn.XLOOKUP(B1395,'Relacion '!$E:$E,'Relacion '!$D:$D,"")</f>
        <v/>
      </c>
      <c r="E1395" s="239">
        <f t="shared" si="320"/>
        <v>25</v>
      </c>
      <c r="F1395" s="240" cm="1">
        <f t="array" ref="F1395">MIN(INDEX('Relacion '!$AJ$5:$AK$493,MATCH(INDEX($B:$B, (ROW()-7)),'Relacion '!$E$5:$E$493,0),0))</f>
        <v>46104</v>
      </c>
      <c r="G1395" s="240" cm="1">
        <f t="array" ref="G1395">MAX(INDEX('Relacion '!$AJ$5:$AK$493,MATCH(INDEX($B:$B, (ROW()-7)),'Relacion '!$E$5:$E$493,0),0))</f>
        <v>46129</v>
      </c>
      <c r="H1395" s="241" cm="1">
        <f t="array" ref="H1395">IF(
 MATCH(B1395,{"01. ASIGNACION AREA";"02. MAPEO";"03. DESARROLLO";"04. VALIDA US";"05. VOBO US";"06. BW-EJECUCION";"07. VALIDACIÓN BAJAWARE";"08. CERRADA"},0)
 &lt;
 MATCH(_xlfn.XLOOKUP(INDEX($B:$B, (ROW()-7)),'Relacion '!$E:$E,'Relacion '!$D:$D,""),{"01. ASIGNACION AREA";"02. MAPEO";"03. DESARROLLO";"04. VALIDA US";"05. VOBO US";"06. BW-EJECUCION";"07. VALIDACIÓN BAJAWARE";"08. CERRADA"},0),
 1,
 IF(
  MATCH(B1395,{"01. ASIGNACION AREA";"02. MAPEO";"03. DESARROLLO";"04. VALIDA US";"05. VOBO US";"06. BW-EJECUCION";"07. VALIDACIÓN BAJAWARE";"08. CERRADA"},0)
  =
  MATCH(_xlfn.XLOOKUP(INDEX($B:$B, (ROW()-7)),'Relacion '!$E:$E,'Relacion '!$D:$D,""),{"01. ASIGNACION AREA";"02. MAPEO";"03. DESARROLLO";"04. VALIDA US";"05. VOBO US";"06. BW-EJECUCION";"07. VALIDACIÓN BAJAWARE";"08. CERRADA"},0),
  _xlfn.XLOOKUP(INDEX($B:$B, (ROW()-7)),'Relacion '!$E:$E,'Relacion '!#REF!,0),
  0
 )
)</f>
        <v>0</v>
      </c>
      <c r="I1395" s="241">
        <f t="shared" ca="1" si="317"/>
        <v>1</v>
      </c>
      <c r="J1395" s="241"/>
      <c r="K1395" s="241"/>
      <c r="L1395" s="238"/>
    </row>
    <row r="1396" spans="2:12" outlineLevel="1">
      <c r="B1396" s="237" t="s">
        <v>656</v>
      </c>
      <c r="C1396" s="237" t="s">
        <v>656</v>
      </c>
      <c r="D1396" s="238" t="str">
        <f>_xlfn.XLOOKUP(B1396,'Relacion '!$E:$E,'Relacion '!$D:$D,"")</f>
        <v/>
      </c>
      <c r="E1396" s="239">
        <f t="shared" si="320"/>
        <v>0</v>
      </c>
      <c r="F1396" s="240" cm="1">
        <f t="array" ref="F1396">MIN(INDEX('Relacion '!$AL$5:$AM$493,MATCH(INDEX($B:$B, (ROW()-8)),'Relacion '!$E$5:$E$493,0),0))</f>
        <v>46130</v>
      </c>
      <c r="G1396" s="240" cm="1">
        <f t="array" ref="G1396">MAX(INDEX('Relacion '!$AL$5:$AM$493,MATCH(INDEX($B:$B, (ROW()-8)),'Relacion '!$E$5:$E$493,0),0))</f>
        <v>46130</v>
      </c>
      <c r="H1396" s="241" cm="1">
        <f t="array" ref="H1396">IF(
 MATCH(B1396,{"01. ASIGNACION AREA";"02. MAPEO";"03. DESARROLLO";"04. VALIDA US";"05. VOBO US";"06. BW-EJECUCION";"07. VALIDACIÓN BAJAWARE";"08. CERRADA"},0)
 &lt;
 MATCH(_xlfn.XLOOKUP(INDEX($B:$B, (ROW()-8)),'Relacion '!$E:$E,'Relacion '!$D:$D,""),{"01. ASIGNACION AREA";"02. MAPEO";"03. DESARROLLO";"04. VALIDA US";"05. VOBO US";"06. BW-EJECUCION";"07. VALIDACIÓN BAJAWARE";"08. CERRADA"},0),
 1,
 IF(
  MATCH(B1396,{"01. ASIGNACION AREA";"02. MAPEO";"03. DESARROLLO";"04. VALIDA US";"05. VOBO US";"06. BW-EJECUCION";"07. VALIDACIÓN BAJAWARE";"08. CERRADA"},0)
  =
  MATCH(_xlfn.XLOOKUP(INDEX($B:$B, (ROW()-8)),'Relacion '!$E:$E,'Relacion '!$D:$D,""),{"01. ASIGNACION AREA";"02. MAPEO";"03. DESARROLLO";"04. VALIDA US";"05. VOBO US";"06. BW-EJECUCION";"07. VALIDACIÓN BAJAWARE";"08. CERRADA"},0),
  _xlfn.XLOOKUP(INDEX($B:$B, (ROW()-8)),'Relacion '!$E:$E,'Relacion '!#REF!,0),
  0
 )
)</f>
        <v>0</v>
      </c>
      <c r="I1396" s="241">
        <f t="shared" ca="1" si="317"/>
        <v>1</v>
      </c>
      <c r="J1396" s="241"/>
      <c r="K1396" s="241"/>
      <c r="L1396" s="238"/>
    </row>
    <row r="1397" spans="2:12">
      <c r="B1397" s="232" t="s">
        <v>583</v>
      </c>
      <c r="C1397" s="167" t="s">
        <v>578</v>
      </c>
      <c r="D1397" s="236" t="str">
        <f>_xlfn.XLOOKUP(B1397,'Relacion '!$E:$E,'Relacion '!$D:$D,"")</f>
        <v>06. BW-EJECUCION</v>
      </c>
      <c r="E1397" s="233">
        <f t="shared" si="320"/>
        <v>471</v>
      </c>
      <c r="F1397" s="234" cm="1">
        <f t="array" ref="F1397">MIN(INDEX('Relacion '!$X$5:$AM$493,MATCH(INDEX($B:$B, (ROW()-0)),'Relacion '!$E$5:$E$493,0),0))</f>
        <v>45659</v>
      </c>
      <c r="G1397" s="234" cm="1">
        <f t="array" ref="G1397">MAX(INDEX('Relacion '!$X$5:$AM$493,MATCH(INDEX($B:$B, (ROW()-0)),'Relacion '!$E$5:$E$493,0),0))</f>
        <v>46130</v>
      </c>
      <c r="H1397" s="235" t="e">
        <f>AVERAGE(H1398:H1405)</f>
        <v>#REF!</v>
      </c>
      <c r="I1397" s="235">
        <f t="shared" ref="I1397" ca="1" si="331">AVERAGE(I1398:I1405)</f>
        <v>1</v>
      </c>
      <c r="J1397" s="236" t="str">
        <f>IF(ISNUMBER(SEARCH("Rocha", _xlfn.XLOOKUP(B1397,'Relacion '!$E:$E,'Relacion '!$I:$I,""))), "Sí", "No")</f>
        <v>No</v>
      </c>
      <c r="K1397" s="236" t="str">
        <f>IF(ISNUMBER(SEARCH("Rocha", _xlfn.XLOOKUP(B1397,'Relacion '!$E:$E,'Relacion '!$I:$I,""))), "RMC", _xlfn.XLOOKUP(B1397,'Relacion '!$E:$E,'Relacion '!$B:$B,""))</f>
        <v>Producto</v>
      </c>
      <c r="L1397" s="236" t="str">
        <f>_xlfn.XLOOKUP(B1397,'Relacion '!$E:$E,'Relacion '!$C:$C,"")</f>
        <v>Claudia Barroso</v>
      </c>
    </row>
    <row r="1398" spans="2:12" outlineLevel="1">
      <c r="B1398" s="237" t="s">
        <v>654</v>
      </c>
      <c r="C1398" s="237" t="s">
        <v>654</v>
      </c>
      <c r="D1398" s="238" t="str">
        <f>_xlfn.XLOOKUP(B1398,'Relacion '!$E:$E,'Relacion '!$D:$D,"")</f>
        <v/>
      </c>
      <c r="E1398" s="239">
        <f t="shared" si="320"/>
        <v>424</v>
      </c>
      <c r="F1398" s="240" cm="1">
        <f t="array" ref="F1398">MIN(INDEX('Relacion '!$X$5:$Y$493,MATCH(INDEX($B:$B, (ROW()-1)),'Relacion '!$E$5:$E$493,0),0))</f>
        <v>45659</v>
      </c>
      <c r="G1398" s="240" cm="1">
        <f t="array" ref="G1398">MAX(INDEX('Relacion '!$X$5:$Y$493,MATCH(INDEX($B:$B, (ROW()-1)),'Relacion '!$E$5:$E$493,0),0))</f>
        <v>46083</v>
      </c>
      <c r="H1398" s="241" cm="1">
        <f t="array" ref="H1398">IF(
 MATCH(B1398,{"01. ASIGNACION AREA";"02. MAPEO";"03. DESARROLLO";"04. VALIDA US";"05. VOBO US";"06. BW-EJECUCION";"07. VALIDACIÓN BAJAWARE";"08. CERRADA"},0)
 &lt;
 MATCH(_xlfn.XLOOKUP(INDEX($B:$B, (ROW()-1)),'Relacion '!$E:$E,'Relacion '!$D:$D,""),{"01. ASIGNACION AREA";"02. MAPEO";"03. DESARROLLO";"04. VALIDA US";"05. VOBO US";"06. BW-EJECUCION";"07. VALIDACIÓN BAJAWARE";"08. CERRADA"},0),
 1,
 IF(
  MATCH(B1398,{"01. ASIGNACION AREA";"02. MAPEO";"03. DESARROLLO";"04. VALIDA US";"05. VOBO US";"06. BW-EJECUCION";"07. VALIDACIÓN BAJAWARE";"08. CERRADA"},0)
  =
  MATCH(_xlfn.XLOOKUP(INDEX($B:$B, (ROW()-1)),'Relacion '!$E:$E,'Relacion '!$D:$D,""),{"01. ASIGNACION AREA";"02. MAPEO";"03. DESARROLLO";"04. VALIDA US";"05. VOBO US";"06. BW-EJECUCION";"07. VALIDACIÓN BAJAWARE";"08. CERRADA"},0),
  _xlfn.XLOOKUP(INDEX($B:$B, (ROW()-1)),'Relacion '!$E:$E,'Relacion '!#REF!,0),
  0
 )
)</f>
        <v>1</v>
      </c>
      <c r="I1398" s="241">
        <f t="shared" ref="I1398:I1459" ca="1" si="332">IF(G1398&lt;=TODAY(), 1, 0)</f>
        <v>1</v>
      </c>
      <c r="J1398" s="241"/>
      <c r="K1398" s="241"/>
      <c r="L1398" s="238"/>
    </row>
    <row r="1399" spans="2:12" outlineLevel="1">
      <c r="B1399" s="237" t="s">
        <v>195</v>
      </c>
      <c r="C1399" s="237" t="s">
        <v>195</v>
      </c>
      <c r="D1399" s="238" t="str">
        <f>_xlfn.XLOOKUP(B1399,'Relacion '!$E:$E,'Relacion '!$D:$D,"")</f>
        <v/>
      </c>
      <c r="E1399" s="239">
        <f t="shared" si="320"/>
        <v>4</v>
      </c>
      <c r="F1399" s="240" cm="1">
        <f t="array" ref="F1399">MIN(INDEX('Relacion '!$Z$5:$AA$493,MATCH(INDEX($B:$B, (ROW()-2)),'Relacion '!$E$5:$E$493,0),0))</f>
        <v>46034</v>
      </c>
      <c r="G1399" s="240" cm="1">
        <f t="array" ref="G1399">MAX(INDEX('Relacion '!$Z$5:$AA$493,MATCH(INDEX($B:$B, (ROW()-2)),'Relacion '!$E$5:$E$493,0),0))</f>
        <v>46038</v>
      </c>
      <c r="H1399" s="241" cm="1">
        <f t="array" ref="H1399">IF(
 MATCH(B1399,{"01. ASIGNACION AREA";"02. MAPEO";"03. DESARROLLO";"04. VALIDA US";"05. VOBO US";"06. BW-EJECUCION";"07. VALIDACIÓN BAJAWARE";"08. CERRADA"},0)
 &lt;
 MATCH(_xlfn.XLOOKUP(INDEX($B:$B, (ROW()-2)),'Relacion '!$E:$E,'Relacion '!$D:$D,""),{"01. ASIGNACION AREA";"02. MAPEO";"03. DESARROLLO";"04. VALIDA US";"05. VOBO US";"06. BW-EJECUCION";"07. VALIDACIÓN BAJAWARE";"08. CERRADA"},0),
 1,
 IF(
  MATCH(B1399,{"01. ASIGNACION AREA";"02. MAPEO";"03. DESARROLLO";"04. VALIDA US";"05. VOBO US";"06. BW-EJECUCION";"07. VALIDACIÓN BAJAWARE";"08. CERRADA"},0)
  =
  MATCH(_xlfn.XLOOKUP(INDEX($B:$B, (ROW()-2)),'Relacion '!$E:$E,'Relacion '!$D:$D,""),{"01. ASIGNACION AREA";"02. MAPEO";"03. DESARROLLO";"04. VALIDA US";"05. VOBO US";"06. BW-EJECUCION";"07. VALIDACIÓN BAJAWARE";"08. CERRADA"},0),
  _xlfn.XLOOKUP(INDEX($B:$B, (ROW()-2)),'Relacion '!$E:$E,'Relacion '!#REF!,0),
  0
 )
)</f>
        <v>1</v>
      </c>
      <c r="I1399" s="241">
        <f t="shared" ca="1" si="332"/>
        <v>1</v>
      </c>
      <c r="J1399" s="241"/>
      <c r="K1399" s="241"/>
      <c r="L1399" s="238"/>
    </row>
    <row r="1400" spans="2:12" outlineLevel="1">
      <c r="B1400" s="237" t="s">
        <v>49</v>
      </c>
      <c r="C1400" s="237" t="s">
        <v>49</v>
      </c>
      <c r="D1400" s="238" t="str">
        <f>_xlfn.XLOOKUP(B1400,'Relacion '!$E:$E,'Relacion '!$D:$D,"")</f>
        <v/>
      </c>
      <c r="E1400" s="239">
        <f t="shared" si="320"/>
        <v>4</v>
      </c>
      <c r="F1400" s="240" cm="1">
        <f t="array" ref="F1400">MIN(INDEX('Relacion '!$AB$5:$AC$493,MATCH(INDEX($B:$B, (ROW()-3)),'Relacion '!$E$5:$E$493,0),0))</f>
        <v>46041</v>
      </c>
      <c r="G1400" s="240" cm="1">
        <f t="array" ref="G1400">MAX(INDEX('Relacion '!$AB$5:$AC$493,MATCH(INDEX($B:$B, (ROW()-3)),'Relacion '!$E$5:$E$493,0),0))</f>
        <v>46045</v>
      </c>
      <c r="H1400" s="241" cm="1">
        <f t="array" ref="H1400">IF(
 MATCH(B1400,{"01. ASIGNACION AREA";"02. MAPEO";"03. DESARROLLO";"04. VALIDA US";"05. VOBO US";"06. BW-EJECUCION";"07. VALIDACIÓN BAJAWARE";"08. CERRADA"},0)
 &lt;
 MATCH(_xlfn.XLOOKUP(INDEX($B:$B, (ROW()-3)),'Relacion '!$E:$E,'Relacion '!$D:$D,""),{"01. ASIGNACION AREA";"02. MAPEO";"03. DESARROLLO";"04. VALIDA US";"05. VOBO US";"06. BW-EJECUCION";"07. VALIDACIÓN BAJAWARE";"08. CERRADA"},0),
 1,
 IF(
  MATCH(B1400,{"01. ASIGNACION AREA";"02. MAPEO";"03. DESARROLLO";"04. VALIDA US";"05. VOBO US";"06. BW-EJECUCION";"07. VALIDACIÓN BAJAWARE";"08. CERRADA"},0)
  =
  MATCH(_xlfn.XLOOKUP(INDEX($B:$B, (ROW()-3)),'Relacion '!$E:$E,'Relacion '!$D:$D,""),{"01. ASIGNACION AREA";"02. MAPEO";"03. DESARROLLO";"04. VALIDA US";"05. VOBO US";"06. BW-EJECUCION";"07. VALIDACIÓN BAJAWARE";"08. CERRADA"},0),
  _xlfn.XLOOKUP(INDEX($B:$B, (ROW()-3)),'Relacion '!$E:$E,'Relacion '!#REF!,0),
  0
 )
)</f>
        <v>1</v>
      </c>
      <c r="I1400" s="241">
        <f t="shared" ca="1" si="332"/>
        <v>1</v>
      </c>
      <c r="J1400" s="241"/>
      <c r="K1400" s="241"/>
      <c r="L1400" s="238"/>
    </row>
    <row r="1401" spans="2:12" outlineLevel="1">
      <c r="B1401" s="237" t="s">
        <v>324</v>
      </c>
      <c r="C1401" s="237" t="s">
        <v>324</v>
      </c>
      <c r="D1401" s="238" t="str">
        <f>_xlfn.XLOOKUP(B1401,'Relacion '!$E:$E,'Relacion '!$D:$D,"")</f>
        <v/>
      </c>
      <c r="E1401" s="239">
        <f t="shared" si="320"/>
        <v>4</v>
      </c>
      <c r="F1401" s="240" cm="1">
        <f t="array" ref="F1401">MIN(INDEX('Relacion '!$AD$5:$AE$493,MATCH(INDEX($B:$B, (ROW()-4)),'Relacion '!$E$5:$E$493,0),0))</f>
        <v>46048</v>
      </c>
      <c r="G1401" s="240" cm="1">
        <f t="array" ref="G1401">MAX(INDEX('Relacion '!$AD$5:$AE$493,MATCH(INDEX($B:$B, (ROW()-4)),'Relacion '!$E$5:$E$493,0),0))</f>
        <v>46052</v>
      </c>
      <c r="H1401" s="241" cm="1">
        <f t="array" ref="H1401">IF(
 MATCH(B1401,{"01. ASIGNACION AREA";"02. MAPEO";"03. DESARROLLO";"04. VALIDA US";"05. VOBO US";"06. BW-EJECUCION";"07. VALIDACIÓN BAJAWARE";"08. CERRADA"},0)
 &lt;
 MATCH(_xlfn.XLOOKUP(INDEX($B:$B, (ROW()-4)),'Relacion '!$E:$E,'Relacion '!$D:$D,""),{"01. ASIGNACION AREA";"02. MAPEO";"03. DESARROLLO";"04. VALIDA US";"05. VOBO US";"06. BW-EJECUCION";"07. VALIDACIÓN BAJAWARE";"08. CERRADA"},0),
 1,
 IF(
  MATCH(B1401,{"01. ASIGNACION AREA";"02. MAPEO";"03. DESARROLLO";"04. VALIDA US";"05. VOBO US";"06. BW-EJECUCION";"07. VALIDACIÓN BAJAWARE";"08. CERRADA"},0)
  =
  MATCH(_xlfn.XLOOKUP(INDEX($B:$B, (ROW()-4)),'Relacion '!$E:$E,'Relacion '!$D:$D,""),{"01. ASIGNACION AREA";"02. MAPEO";"03. DESARROLLO";"04. VALIDA US";"05. VOBO US";"06. BW-EJECUCION";"07. VALIDACIÓN BAJAWARE";"08. CERRADA"},0),
  _xlfn.XLOOKUP(INDEX($B:$B, (ROW()-4)),'Relacion '!$E:$E,'Relacion '!#REF!,0),
  0
 )
)</f>
        <v>1</v>
      </c>
      <c r="I1401" s="241">
        <f t="shared" ca="1" si="332"/>
        <v>1</v>
      </c>
      <c r="J1401" s="241"/>
      <c r="K1401" s="241"/>
      <c r="L1401" s="238"/>
    </row>
    <row r="1402" spans="2:12" outlineLevel="1">
      <c r="B1402" s="237" t="s">
        <v>320</v>
      </c>
      <c r="C1402" s="237" t="s">
        <v>320</v>
      </c>
      <c r="D1402" s="238" t="str">
        <f>_xlfn.XLOOKUP(B1402,'Relacion '!$E:$E,'Relacion '!$D:$D,"")</f>
        <v/>
      </c>
      <c r="E1402" s="239">
        <f t="shared" si="320"/>
        <v>7</v>
      </c>
      <c r="F1402" s="240" cm="1">
        <f t="array" ref="F1402">MIN(INDEX('Relacion '!$AF$5:$AG$493,MATCH(INDEX($B:$B, (ROW()-5)),'Relacion '!$E$5:$E$493,0),0))</f>
        <v>46055</v>
      </c>
      <c r="G1402" s="240" cm="1">
        <f t="array" ref="G1402">MAX(INDEX('Relacion '!$AF$5:$AG$493,MATCH(INDEX($B:$B, (ROW()-5)),'Relacion '!$E$5:$E$493,0),0))</f>
        <v>46062</v>
      </c>
      <c r="H1402" s="241" cm="1">
        <f t="array" ref="H1402">IF(
 MATCH(B1402,{"01. ASIGNACION AREA";"02. MAPEO";"03. DESARROLLO";"04. VALIDA US";"05. VOBO US";"06. BW-EJECUCION";"07. VALIDACIÓN BAJAWARE";"08. CERRADA"},0)
 &lt;
 MATCH(_xlfn.XLOOKUP(INDEX($B:$B, (ROW()-5)),'Relacion '!$E:$E,'Relacion '!$D:$D,""),{"01. ASIGNACION AREA";"02. MAPEO";"03. DESARROLLO";"04. VALIDA US";"05. VOBO US";"06. BW-EJECUCION";"07. VALIDACIÓN BAJAWARE";"08. CERRADA"},0),
 1,
 IF(
  MATCH(B1402,{"01. ASIGNACION AREA";"02. MAPEO";"03. DESARROLLO";"04. VALIDA US";"05. VOBO US";"06. BW-EJECUCION";"07. VALIDACIÓN BAJAWARE";"08. CERRADA"},0)
  =
  MATCH(_xlfn.XLOOKUP(INDEX($B:$B, (ROW()-5)),'Relacion '!$E:$E,'Relacion '!$D:$D,""),{"01. ASIGNACION AREA";"02. MAPEO";"03. DESARROLLO";"04. VALIDA US";"05. VOBO US";"06. BW-EJECUCION";"07. VALIDACIÓN BAJAWARE";"08. CERRADA"},0),
  _xlfn.XLOOKUP(INDEX($B:$B, (ROW()-5)),'Relacion '!$E:$E,'Relacion '!#REF!,0),
  0
 )
)</f>
        <v>1</v>
      </c>
      <c r="I1402" s="241">
        <f t="shared" ca="1" si="332"/>
        <v>1</v>
      </c>
      <c r="J1402" s="241"/>
      <c r="K1402" s="241"/>
      <c r="L1402" s="238"/>
    </row>
    <row r="1403" spans="2:12" outlineLevel="1">
      <c r="B1403" s="237" t="s">
        <v>710</v>
      </c>
      <c r="C1403" s="237" t="s">
        <v>710</v>
      </c>
      <c r="D1403" s="238" t="str">
        <f>_xlfn.XLOOKUP(B1403,'Relacion '!$E:$E,'Relacion '!$D:$D,"")</f>
        <v/>
      </c>
      <c r="E1403" s="239">
        <f t="shared" si="320"/>
        <v>25</v>
      </c>
      <c r="F1403" s="240" cm="1">
        <f t="array" ref="F1403">MIN(INDEX('Relacion '!$AH$5:$AI$493,MATCH(INDEX($B:$B, (ROW()-6)),'Relacion '!$E$5:$E$493,0),0))</f>
        <v>46076</v>
      </c>
      <c r="G1403" s="240" cm="1">
        <f t="array" ref="G1403">MAX(INDEX('Relacion '!$AH$5:$AI$493,MATCH(INDEX($B:$B, (ROW()-6)),'Relacion '!$E$5:$E$493,0),0))</f>
        <v>46101</v>
      </c>
      <c r="H1403" s="241" t="e" cm="1">
        <f t="array" ref="H1403">IF(
 MATCH(B1403,{"01. ASIGNACION AREA";"02. MAPEO";"03. DESARROLLO";"04. VALIDA US";"05. VOBO US";"06. BW-EJECUCION";"07. VALIDACIÓN BAJAWARE";"08. CERRADA"},0)
 &lt;
 MATCH(_xlfn.XLOOKUP(INDEX($B:$B, (ROW()-6)),'Relacion '!$E:$E,'Relacion '!$D:$D,""),{"01. ASIGNACION AREA";"02. MAPEO";"03. DESARROLLO";"04. VALIDA US";"05. VOBO US";"06. BW-EJECUCION";"07. VALIDACIÓN BAJAWARE";"08. CERRADA"},0),
 1,
 IF(
  MATCH(B1403,{"01. ASIGNACION AREA";"02. MAPEO";"03. DESARROLLO";"04. VALIDA US";"05. VOBO US";"06. BW-EJECUCION";"07. VALIDACIÓN BAJAWARE";"08. CERRADA"},0)
  =
  MATCH(_xlfn.XLOOKUP(INDEX($B:$B, (ROW()-6)),'Relacion '!$E:$E,'Relacion '!$D:$D,""),{"01. ASIGNACION AREA";"02. MAPEO";"03. DESARROLLO";"04. VALIDA US";"05. VOBO US";"06. BW-EJECUCION";"07. VALIDACIÓN BAJAWARE";"08. CERRADA"},0),
  _xlfn.XLOOKUP(INDEX($B:$B, (ROW()-6)),'Relacion '!$E:$E,'Relacion '!#REF!,0),
  0
 )
)</f>
        <v>#REF!</v>
      </c>
      <c r="I1403" s="241">
        <f t="shared" ca="1" si="332"/>
        <v>1</v>
      </c>
      <c r="J1403" s="241"/>
      <c r="K1403" s="241"/>
      <c r="L1403" s="238"/>
    </row>
    <row r="1404" spans="2:12" outlineLevel="1">
      <c r="B1404" s="237" t="s">
        <v>655</v>
      </c>
      <c r="C1404" s="237" t="s">
        <v>655</v>
      </c>
      <c r="D1404" s="238" t="str">
        <f>_xlfn.XLOOKUP(B1404,'Relacion '!$E:$E,'Relacion '!$D:$D,"")</f>
        <v/>
      </c>
      <c r="E1404" s="239">
        <f t="shared" si="320"/>
        <v>25</v>
      </c>
      <c r="F1404" s="240" cm="1">
        <f t="array" ref="F1404">MIN(INDEX('Relacion '!$AJ$5:$AK$493,MATCH(INDEX($B:$B, (ROW()-7)),'Relacion '!$E$5:$E$493,0),0))</f>
        <v>46104</v>
      </c>
      <c r="G1404" s="240" cm="1">
        <f t="array" ref="G1404">MAX(INDEX('Relacion '!$AJ$5:$AK$493,MATCH(INDEX($B:$B, (ROW()-7)),'Relacion '!$E$5:$E$493,0),0))</f>
        <v>46129</v>
      </c>
      <c r="H1404" s="241" cm="1">
        <f t="array" ref="H1404">IF(
 MATCH(B1404,{"01. ASIGNACION AREA";"02. MAPEO";"03. DESARROLLO";"04. VALIDA US";"05. VOBO US";"06. BW-EJECUCION";"07. VALIDACIÓN BAJAWARE";"08. CERRADA"},0)
 &lt;
 MATCH(_xlfn.XLOOKUP(INDEX($B:$B, (ROW()-7)),'Relacion '!$E:$E,'Relacion '!$D:$D,""),{"01. ASIGNACION AREA";"02. MAPEO";"03. DESARROLLO";"04. VALIDA US";"05. VOBO US";"06. BW-EJECUCION";"07. VALIDACIÓN BAJAWARE";"08. CERRADA"},0),
 1,
 IF(
  MATCH(B1404,{"01. ASIGNACION AREA";"02. MAPEO";"03. DESARROLLO";"04. VALIDA US";"05. VOBO US";"06. BW-EJECUCION";"07. VALIDACIÓN BAJAWARE";"08. CERRADA"},0)
  =
  MATCH(_xlfn.XLOOKUP(INDEX($B:$B, (ROW()-7)),'Relacion '!$E:$E,'Relacion '!$D:$D,""),{"01. ASIGNACION AREA";"02. MAPEO";"03. DESARROLLO";"04. VALIDA US";"05. VOBO US";"06. BW-EJECUCION";"07. VALIDACIÓN BAJAWARE";"08. CERRADA"},0),
  _xlfn.XLOOKUP(INDEX($B:$B, (ROW()-7)),'Relacion '!$E:$E,'Relacion '!#REF!,0),
  0
 )
)</f>
        <v>0</v>
      </c>
      <c r="I1404" s="241">
        <f t="shared" ca="1" si="332"/>
        <v>1</v>
      </c>
      <c r="J1404" s="241"/>
      <c r="K1404" s="241"/>
      <c r="L1404" s="238"/>
    </row>
    <row r="1405" spans="2:12" outlineLevel="1">
      <c r="B1405" s="237" t="s">
        <v>656</v>
      </c>
      <c r="C1405" s="237" t="s">
        <v>656</v>
      </c>
      <c r="D1405" s="238" t="str">
        <f>_xlfn.XLOOKUP(B1405,'Relacion '!$E:$E,'Relacion '!$D:$D,"")</f>
        <v/>
      </c>
      <c r="E1405" s="239">
        <f t="shared" si="320"/>
        <v>0</v>
      </c>
      <c r="F1405" s="240" cm="1">
        <f t="array" ref="F1405">MIN(INDEX('Relacion '!$AL$5:$AM$493,MATCH(INDEX($B:$B, (ROW()-8)),'Relacion '!$E$5:$E$493,0),0))</f>
        <v>46130</v>
      </c>
      <c r="G1405" s="240" cm="1">
        <f t="array" ref="G1405">MAX(INDEX('Relacion '!$AL$5:$AM$493,MATCH(INDEX($B:$B, (ROW()-8)),'Relacion '!$E$5:$E$493,0),0))</f>
        <v>46130</v>
      </c>
      <c r="H1405" s="241" cm="1">
        <f t="array" ref="H1405">IF(
 MATCH(B1405,{"01. ASIGNACION AREA";"02. MAPEO";"03. DESARROLLO";"04. VALIDA US";"05. VOBO US";"06. BW-EJECUCION";"07. VALIDACIÓN BAJAWARE";"08. CERRADA"},0)
 &lt;
 MATCH(_xlfn.XLOOKUP(INDEX($B:$B, (ROW()-8)),'Relacion '!$E:$E,'Relacion '!$D:$D,""),{"01. ASIGNACION AREA";"02. MAPEO";"03. DESARROLLO";"04. VALIDA US";"05. VOBO US";"06. BW-EJECUCION";"07. VALIDACIÓN BAJAWARE";"08. CERRADA"},0),
 1,
 IF(
  MATCH(B1405,{"01. ASIGNACION AREA";"02. MAPEO";"03. DESARROLLO";"04. VALIDA US";"05. VOBO US";"06. BW-EJECUCION";"07. VALIDACIÓN BAJAWARE";"08. CERRADA"},0)
  =
  MATCH(_xlfn.XLOOKUP(INDEX($B:$B, (ROW()-8)),'Relacion '!$E:$E,'Relacion '!$D:$D,""),{"01. ASIGNACION AREA";"02. MAPEO";"03. DESARROLLO";"04. VALIDA US";"05. VOBO US";"06. BW-EJECUCION";"07. VALIDACIÓN BAJAWARE";"08. CERRADA"},0),
  _xlfn.XLOOKUP(INDEX($B:$B, (ROW()-8)),'Relacion '!$E:$E,'Relacion '!#REF!,0),
  0
 )
)</f>
        <v>0</v>
      </c>
      <c r="I1405" s="241">
        <f t="shared" ca="1" si="332"/>
        <v>1</v>
      </c>
      <c r="J1405" s="241"/>
      <c r="K1405" s="241"/>
      <c r="L1405" s="238"/>
    </row>
    <row r="1406" spans="2:12">
      <c r="B1406" s="232" t="s">
        <v>584</v>
      </c>
      <c r="C1406" s="167" t="s">
        <v>578</v>
      </c>
      <c r="D1406" s="236" t="str">
        <f>_xlfn.XLOOKUP(B1406,'Relacion '!$E:$E,'Relacion '!$D:$D,"")</f>
        <v>06. BW-EJECUCION</v>
      </c>
      <c r="E1406" s="233">
        <f t="shared" si="320"/>
        <v>471</v>
      </c>
      <c r="F1406" s="234" cm="1">
        <f t="array" ref="F1406">MIN(INDEX('Relacion '!$X$5:$AM$493,MATCH(INDEX($B:$B, (ROW()-0)),'Relacion '!$E$5:$E$493,0),0))</f>
        <v>45659</v>
      </c>
      <c r="G1406" s="234" cm="1">
        <f t="array" ref="G1406">MAX(INDEX('Relacion '!$X$5:$AM$493,MATCH(INDEX($B:$B, (ROW()-0)),'Relacion '!$E$5:$E$493,0),0))</f>
        <v>46130</v>
      </c>
      <c r="H1406" s="235" t="e">
        <f>AVERAGE(H1407:H1414)</f>
        <v>#REF!</v>
      </c>
      <c r="I1406" s="235">
        <f t="shared" ref="I1406" ca="1" si="333">AVERAGE(I1407:I1414)</f>
        <v>1</v>
      </c>
      <c r="J1406" s="236" t="str">
        <f>IF(ISNUMBER(SEARCH("Rocha", _xlfn.XLOOKUP(B1406,'Relacion '!$E:$E,'Relacion '!$I:$I,""))), "Sí", "No")</f>
        <v>No</v>
      </c>
      <c r="K1406" s="236" t="str">
        <f>IF(ISNUMBER(SEARCH("Rocha", _xlfn.XLOOKUP(B1406,'Relacion '!$E:$E,'Relacion '!$I:$I,""))), "RMC", _xlfn.XLOOKUP(B1406,'Relacion '!$E:$E,'Relacion '!$B:$B,""))</f>
        <v>Producto</v>
      </c>
      <c r="L1406" s="236" t="str">
        <f>_xlfn.XLOOKUP(B1406,'Relacion '!$E:$E,'Relacion '!$C:$C,"")</f>
        <v>Claudia Barroso</v>
      </c>
    </row>
    <row r="1407" spans="2:12" outlineLevel="1">
      <c r="B1407" s="237" t="s">
        <v>654</v>
      </c>
      <c r="C1407" s="237" t="s">
        <v>654</v>
      </c>
      <c r="D1407" s="238" t="str">
        <f>_xlfn.XLOOKUP(B1407,'Relacion '!$E:$E,'Relacion '!$D:$D,"")</f>
        <v/>
      </c>
      <c r="E1407" s="239">
        <f t="shared" si="320"/>
        <v>424</v>
      </c>
      <c r="F1407" s="240" cm="1">
        <f t="array" ref="F1407">MIN(INDEX('Relacion '!$X$5:$Y$493,MATCH(INDEX($B:$B, (ROW()-1)),'Relacion '!$E$5:$E$493,0),0))</f>
        <v>45659</v>
      </c>
      <c r="G1407" s="240" cm="1">
        <f t="array" ref="G1407">MAX(INDEX('Relacion '!$X$5:$Y$493,MATCH(INDEX($B:$B, (ROW()-1)),'Relacion '!$E$5:$E$493,0),0))</f>
        <v>46083</v>
      </c>
      <c r="H1407" s="241" cm="1">
        <f t="array" ref="H1407">IF(
 MATCH(B1407,{"01. ASIGNACION AREA";"02. MAPEO";"03. DESARROLLO";"04. VALIDA US";"05. VOBO US";"06. BW-EJECUCION";"07. VALIDACIÓN BAJAWARE";"08. CERRADA"},0)
 &lt;
 MATCH(_xlfn.XLOOKUP(INDEX($B:$B, (ROW()-1)),'Relacion '!$E:$E,'Relacion '!$D:$D,""),{"01. ASIGNACION AREA";"02. MAPEO";"03. DESARROLLO";"04. VALIDA US";"05. VOBO US";"06. BW-EJECUCION";"07. VALIDACIÓN BAJAWARE";"08. CERRADA"},0),
 1,
 IF(
  MATCH(B1407,{"01. ASIGNACION AREA";"02. MAPEO";"03. DESARROLLO";"04. VALIDA US";"05. VOBO US";"06. BW-EJECUCION";"07. VALIDACIÓN BAJAWARE";"08. CERRADA"},0)
  =
  MATCH(_xlfn.XLOOKUP(INDEX($B:$B, (ROW()-1)),'Relacion '!$E:$E,'Relacion '!$D:$D,""),{"01. ASIGNACION AREA";"02. MAPEO";"03. DESARROLLO";"04. VALIDA US";"05. VOBO US";"06. BW-EJECUCION";"07. VALIDACIÓN BAJAWARE";"08. CERRADA"},0),
  _xlfn.XLOOKUP(INDEX($B:$B, (ROW()-1)),'Relacion '!$E:$E,'Relacion '!#REF!,0),
  0
 )
)</f>
        <v>1</v>
      </c>
      <c r="I1407" s="241">
        <f t="shared" ref="I1407" ca="1" si="334">IF(G1407&lt;=TODAY(), 1, 0)</f>
        <v>1</v>
      </c>
      <c r="J1407" s="241"/>
      <c r="K1407" s="241"/>
      <c r="L1407" s="238"/>
    </row>
    <row r="1408" spans="2:12" outlineLevel="1">
      <c r="B1408" s="237" t="s">
        <v>195</v>
      </c>
      <c r="C1408" s="237" t="s">
        <v>195</v>
      </c>
      <c r="D1408" s="238" t="str">
        <f>_xlfn.XLOOKUP(B1408,'Relacion '!$E:$E,'Relacion '!$D:$D,"")</f>
        <v/>
      </c>
      <c r="E1408" s="239">
        <f t="shared" si="320"/>
        <v>4</v>
      </c>
      <c r="F1408" s="240" cm="1">
        <f t="array" ref="F1408">MIN(INDEX('Relacion '!$Z$5:$AA$493,MATCH(INDEX($B:$B, (ROW()-2)),'Relacion '!$E$5:$E$493,0),0))</f>
        <v>46034</v>
      </c>
      <c r="G1408" s="240" cm="1">
        <f t="array" ref="G1408">MAX(INDEX('Relacion '!$Z$5:$AA$493,MATCH(INDEX($B:$B, (ROW()-2)),'Relacion '!$E$5:$E$493,0),0))</f>
        <v>46038</v>
      </c>
      <c r="H1408" s="241" cm="1">
        <f t="array" ref="H1408">IF(
 MATCH(B1408,{"01. ASIGNACION AREA";"02. MAPEO";"03. DESARROLLO";"04. VALIDA US";"05. VOBO US";"06. BW-EJECUCION";"07. VALIDACIÓN BAJAWARE";"08. CERRADA"},0)
 &lt;
 MATCH(_xlfn.XLOOKUP(INDEX($B:$B, (ROW()-2)),'Relacion '!$E:$E,'Relacion '!$D:$D,""),{"01. ASIGNACION AREA";"02. MAPEO";"03. DESARROLLO";"04. VALIDA US";"05. VOBO US";"06. BW-EJECUCION";"07. VALIDACIÓN BAJAWARE";"08. CERRADA"},0),
 1,
 IF(
  MATCH(B1408,{"01. ASIGNACION AREA";"02. MAPEO";"03. DESARROLLO";"04. VALIDA US";"05. VOBO US";"06. BW-EJECUCION";"07. VALIDACIÓN BAJAWARE";"08. CERRADA"},0)
  =
  MATCH(_xlfn.XLOOKUP(INDEX($B:$B, (ROW()-2)),'Relacion '!$E:$E,'Relacion '!$D:$D,""),{"01. ASIGNACION AREA";"02. MAPEO";"03. DESARROLLO";"04. VALIDA US";"05. VOBO US";"06. BW-EJECUCION";"07. VALIDACIÓN BAJAWARE";"08. CERRADA"},0),
  _xlfn.XLOOKUP(INDEX($B:$B, (ROW()-2)),'Relacion '!$E:$E,'Relacion '!#REF!,0),
  0
 )
)</f>
        <v>1</v>
      </c>
      <c r="I1408" s="241">
        <f t="shared" ca="1" si="332"/>
        <v>1</v>
      </c>
      <c r="J1408" s="241"/>
      <c r="K1408" s="241"/>
      <c r="L1408" s="238"/>
    </row>
    <row r="1409" spans="2:12" outlineLevel="1">
      <c r="B1409" s="237" t="s">
        <v>49</v>
      </c>
      <c r="C1409" s="237" t="s">
        <v>49</v>
      </c>
      <c r="D1409" s="238" t="str">
        <f>_xlfn.XLOOKUP(B1409,'Relacion '!$E:$E,'Relacion '!$D:$D,"")</f>
        <v/>
      </c>
      <c r="E1409" s="239">
        <f t="shared" si="320"/>
        <v>4</v>
      </c>
      <c r="F1409" s="240" cm="1">
        <f t="array" ref="F1409">MIN(INDEX('Relacion '!$AB$5:$AC$493,MATCH(INDEX($B:$B, (ROW()-3)),'Relacion '!$E$5:$E$493,0),0))</f>
        <v>46041</v>
      </c>
      <c r="G1409" s="240" cm="1">
        <f t="array" ref="G1409">MAX(INDEX('Relacion '!$AB$5:$AC$493,MATCH(INDEX($B:$B, (ROW()-3)),'Relacion '!$E$5:$E$493,0),0))</f>
        <v>46045</v>
      </c>
      <c r="H1409" s="241" cm="1">
        <f t="array" ref="H1409">IF(
 MATCH(B1409,{"01. ASIGNACION AREA";"02. MAPEO";"03. DESARROLLO";"04. VALIDA US";"05. VOBO US";"06. BW-EJECUCION";"07. VALIDACIÓN BAJAWARE";"08. CERRADA"},0)
 &lt;
 MATCH(_xlfn.XLOOKUP(INDEX($B:$B, (ROW()-3)),'Relacion '!$E:$E,'Relacion '!$D:$D,""),{"01. ASIGNACION AREA";"02. MAPEO";"03. DESARROLLO";"04. VALIDA US";"05. VOBO US";"06. BW-EJECUCION";"07. VALIDACIÓN BAJAWARE";"08. CERRADA"},0),
 1,
 IF(
  MATCH(B1409,{"01. ASIGNACION AREA";"02. MAPEO";"03. DESARROLLO";"04. VALIDA US";"05. VOBO US";"06. BW-EJECUCION";"07. VALIDACIÓN BAJAWARE";"08. CERRADA"},0)
  =
  MATCH(_xlfn.XLOOKUP(INDEX($B:$B, (ROW()-3)),'Relacion '!$E:$E,'Relacion '!$D:$D,""),{"01. ASIGNACION AREA";"02. MAPEO";"03. DESARROLLO";"04. VALIDA US";"05. VOBO US";"06. BW-EJECUCION";"07. VALIDACIÓN BAJAWARE";"08. CERRADA"},0),
  _xlfn.XLOOKUP(INDEX($B:$B, (ROW()-3)),'Relacion '!$E:$E,'Relacion '!#REF!,0),
  0
 )
)</f>
        <v>1</v>
      </c>
      <c r="I1409" s="241">
        <f t="shared" ca="1" si="332"/>
        <v>1</v>
      </c>
      <c r="J1409" s="241"/>
      <c r="K1409" s="241"/>
      <c r="L1409" s="238"/>
    </row>
    <row r="1410" spans="2:12" outlineLevel="1">
      <c r="B1410" s="237" t="s">
        <v>324</v>
      </c>
      <c r="C1410" s="237" t="s">
        <v>324</v>
      </c>
      <c r="D1410" s="238" t="str">
        <f>_xlfn.XLOOKUP(B1410,'Relacion '!$E:$E,'Relacion '!$D:$D,"")</f>
        <v/>
      </c>
      <c r="E1410" s="239">
        <f t="shared" ref="E1410:E1473" si="335">IF(OR(F1410="",G1410=""),"",G1410-F1410)</f>
        <v>4</v>
      </c>
      <c r="F1410" s="240" cm="1">
        <f t="array" ref="F1410">MIN(INDEX('Relacion '!$AD$5:$AE$493,MATCH(INDEX($B:$B, (ROW()-4)),'Relacion '!$E$5:$E$493,0),0))</f>
        <v>46048</v>
      </c>
      <c r="G1410" s="240" cm="1">
        <f t="array" ref="G1410">MAX(INDEX('Relacion '!$AD$5:$AE$493,MATCH(INDEX($B:$B, (ROW()-4)),'Relacion '!$E$5:$E$493,0),0))</f>
        <v>46052</v>
      </c>
      <c r="H1410" s="241" cm="1">
        <f t="array" ref="H1410">IF(
 MATCH(B1410,{"01. ASIGNACION AREA";"02. MAPEO";"03. DESARROLLO";"04. VALIDA US";"05. VOBO US";"06. BW-EJECUCION";"07. VALIDACIÓN BAJAWARE";"08. CERRADA"},0)
 &lt;
 MATCH(_xlfn.XLOOKUP(INDEX($B:$B, (ROW()-4)),'Relacion '!$E:$E,'Relacion '!$D:$D,""),{"01. ASIGNACION AREA";"02. MAPEO";"03. DESARROLLO";"04. VALIDA US";"05. VOBO US";"06. BW-EJECUCION";"07. VALIDACIÓN BAJAWARE";"08. CERRADA"},0),
 1,
 IF(
  MATCH(B1410,{"01. ASIGNACION AREA";"02. MAPEO";"03. DESARROLLO";"04. VALIDA US";"05. VOBO US";"06. BW-EJECUCION";"07. VALIDACIÓN BAJAWARE";"08. CERRADA"},0)
  =
  MATCH(_xlfn.XLOOKUP(INDEX($B:$B, (ROW()-4)),'Relacion '!$E:$E,'Relacion '!$D:$D,""),{"01. ASIGNACION AREA";"02. MAPEO";"03. DESARROLLO";"04. VALIDA US";"05. VOBO US";"06. BW-EJECUCION";"07. VALIDACIÓN BAJAWARE";"08. CERRADA"},0),
  _xlfn.XLOOKUP(INDEX($B:$B, (ROW()-4)),'Relacion '!$E:$E,'Relacion '!#REF!,0),
  0
 )
)</f>
        <v>1</v>
      </c>
      <c r="I1410" s="241">
        <f t="shared" ca="1" si="332"/>
        <v>1</v>
      </c>
      <c r="J1410" s="241"/>
      <c r="K1410" s="241"/>
      <c r="L1410" s="238"/>
    </row>
    <row r="1411" spans="2:12" outlineLevel="1">
      <c r="B1411" s="237" t="s">
        <v>320</v>
      </c>
      <c r="C1411" s="237" t="s">
        <v>320</v>
      </c>
      <c r="D1411" s="238" t="str">
        <f>_xlfn.XLOOKUP(B1411,'Relacion '!$E:$E,'Relacion '!$D:$D,"")</f>
        <v/>
      </c>
      <c r="E1411" s="239">
        <f t="shared" si="335"/>
        <v>7</v>
      </c>
      <c r="F1411" s="240" cm="1">
        <f t="array" ref="F1411">MIN(INDEX('Relacion '!$AF$5:$AG$493,MATCH(INDEX($B:$B, (ROW()-5)),'Relacion '!$E$5:$E$493,0),0))</f>
        <v>46055</v>
      </c>
      <c r="G1411" s="240" cm="1">
        <f t="array" ref="G1411">MAX(INDEX('Relacion '!$AF$5:$AG$493,MATCH(INDEX($B:$B, (ROW()-5)),'Relacion '!$E$5:$E$493,0),0))</f>
        <v>46062</v>
      </c>
      <c r="H1411" s="241" cm="1">
        <f t="array" ref="H1411">IF(
 MATCH(B1411,{"01. ASIGNACION AREA";"02. MAPEO";"03. DESARROLLO";"04. VALIDA US";"05. VOBO US";"06. BW-EJECUCION";"07. VALIDACIÓN BAJAWARE";"08. CERRADA"},0)
 &lt;
 MATCH(_xlfn.XLOOKUP(INDEX($B:$B, (ROW()-5)),'Relacion '!$E:$E,'Relacion '!$D:$D,""),{"01. ASIGNACION AREA";"02. MAPEO";"03. DESARROLLO";"04. VALIDA US";"05. VOBO US";"06. BW-EJECUCION";"07. VALIDACIÓN BAJAWARE";"08. CERRADA"},0),
 1,
 IF(
  MATCH(B1411,{"01. ASIGNACION AREA";"02. MAPEO";"03. DESARROLLO";"04. VALIDA US";"05. VOBO US";"06. BW-EJECUCION";"07. VALIDACIÓN BAJAWARE";"08. CERRADA"},0)
  =
  MATCH(_xlfn.XLOOKUP(INDEX($B:$B, (ROW()-5)),'Relacion '!$E:$E,'Relacion '!$D:$D,""),{"01. ASIGNACION AREA";"02. MAPEO";"03. DESARROLLO";"04. VALIDA US";"05. VOBO US";"06. BW-EJECUCION";"07. VALIDACIÓN BAJAWARE";"08. CERRADA"},0),
  _xlfn.XLOOKUP(INDEX($B:$B, (ROW()-5)),'Relacion '!$E:$E,'Relacion '!#REF!,0),
  0
 )
)</f>
        <v>1</v>
      </c>
      <c r="I1411" s="241">
        <f t="shared" ca="1" si="332"/>
        <v>1</v>
      </c>
      <c r="J1411" s="241"/>
      <c r="K1411" s="241"/>
      <c r="L1411" s="238"/>
    </row>
    <row r="1412" spans="2:12" outlineLevel="1">
      <c r="B1412" s="237" t="s">
        <v>710</v>
      </c>
      <c r="C1412" s="237" t="s">
        <v>710</v>
      </c>
      <c r="D1412" s="238" t="str">
        <f>_xlfn.XLOOKUP(B1412,'Relacion '!$E:$E,'Relacion '!$D:$D,"")</f>
        <v/>
      </c>
      <c r="E1412" s="239">
        <f t="shared" si="335"/>
        <v>25</v>
      </c>
      <c r="F1412" s="240" cm="1">
        <f t="array" ref="F1412">MIN(INDEX('Relacion '!$AH$5:$AI$493,MATCH(INDEX($B:$B, (ROW()-6)),'Relacion '!$E$5:$E$493,0),0))</f>
        <v>46076</v>
      </c>
      <c r="G1412" s="240" cm="1">
        <f t="array" ref="G1412">MAX(INDEX('Relacion '!$AH$5:$AI$493,MATCH(INDEX($B:$B, (ROW()-6)),'Relacion '!$E$5:$E$493,0),0))</f>
        <v>46101</v>
      </c>
      <c r="H1412" s="241" t="e" cm="1">
        <f t="array" ref="H1412">IF(
 MATCH(B1412,{"01. ASIGNACION AREA";"02. MAPEO";"03. DESARROLLO";"04. VALIDA US";"05. VOBO US";"06. BW-EJECUCION";"07. VALIDACIÓN BAJAWARE";"08. CERRADA"},0)
 &lt;
 MATCH(_xlfn.XLOOKUP(INDEX($B:$B, (ROW()-6)),'Relacion '!$E:$E,'Relacion '!$D:$D,""),{"01. ASIGNACION AREA";"02. MAPEO";"03. DESARROLLO";"04. VALIDA US";"05. VOBO US";"06. BW-EJECUCION";"07. VALIDACIÓN BAJAWARE";"08. CERRADA"},0),
 1,
 IF(
  MATCH(B1412,{"01. ASIGNACION AREA";"02. MAPEO";"03. DESARROLLO";"04. VALIDA US";"05. VOBO US";"06. BW-EJECUCION";"07. VALIDACIÓN BAJAWARE";"08. CERRADA"},0)
  =
  MATCH(_xlfn.XLOOKUP(INDEX($B:$B, (ROW()-6)),'Relacion '!$E:$E,'Relacion '!$D:$D,""),{"01. ASIGNACION AREA";"02. MAPEO";"03. DESARROLLO";"04. VALIDA US";"05. VOBO US";"06. BW-EJECUCION";"07. VALIDACIÓN BAJAWARE";"08. CERRADA"},0),
  _xlfn.XLOOKUP(INDEX($B:$B, (ROW()-6)),'Relacion '!$E:$E,'Relacion '!#REF!,0),
  0
 )
)</f>
        <v>#REF!</v>
      </c>
      <c r="I1412" s="241">
        <f t="shared" ca="1" si="332"/>
        <v>1</v>
      </c>
      <c r="J1412" s="241"/>
      <c r="K1412" s="241"/>
      <c r="L1412" s="238"/>
    </row>
    <row r="1413" spans="2:12" outlineLevel="1">
      <c r="B1413" s="237" t="s">
        <v>655</v>
      </c>
      <c r="C1413" s="237" t="s">
        <v>655</v>
      </c>
      <c r="D1413" s="238" t="str">
        <f>_xlfn.XLOOKUP(B1413,'Relacion '!$E:$E,'Relacion '!$D:$D,"")</f>
        <v/>
      </c>
      <c r="E1413" s="239">
        <f t="shared" si="335"/>
        <v>25</v>
      </c>
      <c r="F1413" s="240" cm="1">
        <f t="array" ref="F1413">MIN(INDEX('Relacion '!$AJ$5:$AK$493,MATCH(INDEX($B:$B, (ROW()-7)),'Relacion '!$E$5:$E$493,0),0))</f>
        <v>46104</v>
      </c>
      <c r="G1413" s="240" cm="1">
        <f t="array" ref="G1413">MAX(INDEX('Relacion '!$AJ$5:$AK$493,MATCH(INDEX($B:$B, (ROW()-7)),'Relacion '!$E$5:$E$493,0),0))</f>
        <v>46129</v>
      </c>
      <c r="H1413" s="241" cm="1">
        <f t="array" ref="H1413">IF(
 MATCH(B1413,{"01. ASIGNACION AREA";"02. MAPEO";"03. DESARROLLO";"04. VALIDA US";"05. VOBO US";"06. BW-EJECUCION";"07. VALIDACIÓN BAJAWARE";"08. CERRADA"},0)
 &lt;
 MATCH(_xlfn.XLOOKUP(INDEX($B:$B, (ROW()-7)),'Relacion '!$E:$E,'Relacion '!$D:$D,""),{"01. ASIGNACION AREA";"02. MAPEO";"03. DESARROLLO";"04. VALIDA US";"05. VOBO US";"06. BW-EJECUCION";"07. VALIDACIÓN BAJAWARE";"08. CERRADA"},0),
 1,
 IF(
  MATCH(B1413,{"01. ASIGNACION AREA";"02. MAPEO";"03. DESARROLLO";"04. VALIDA US";"05. VOBO US";"06. BW-EJECUCION";"07. VALIDACIÓN BAJAWARE";"08. CERRADA"},0)
  =
  MATCH(_xlfn.XLOOKUP(INDEX($B:$B, (ROW()-7)),'Relacion '!$E:$E,'Relacion '!$D:$D,""),{"01. ASIGNACION AREA";"02. MAPEO";"03. DESARROLLO";"04. VALIDA US";"05. VOBO US";"06. BW-EJECUCION";"07. VALIDACIÓN BAJAWARE";"08. CERRADA"},0),
  _xlfn.XLOOKUP(INDEX($B:$B, (ROW()-7)),'Relacion '!$E:$E,'Relacion '!#REF!,0),
  0
 )
)</f>
        <v>0</v>
      </c>
      <c r="I1413" s="241">
        <f t="shared" ca="1" si="332"/>
        <v>1</v>
      </c>
      <c r="J1413" s="241"/>
      <c r="K1413" s="241"/>
      <c r="L1413" s="238"/>
    </row>
    <row r="1414" spans="2:12" outlineLevel="1">
      <c r="B1414" s="237" t="s">
        <v>656</v>
      </c>
      <c r="C1414" s="237" t="s">
        <v>656</v>
      </c>
      <c r="D1414" s="238" t="str">
        <f>_xlfn.XLOOKUP(B1414,'Relacion '!$E:$E,'Relacion '!$D:$D,"")</f>
        <v/>
      </c>
      <c r="E1414" s="239">
        <f t="shared" si="335"/>
        <v>0</v>
      </c>
      <c r="F1414" s="240" cm="1">
        <f t="array" ref="F1414">MIN(INDEX('Relacion '!$AL$5:$AM$493,MATCH(INDEX($B:$B, (ROW()-8)),'Relacion '!$E$5:$E$493,0),0))</f>
        <v>46130</v>
      </c>
      <c r="G1414" s="240" cm="1">
        <f t="array" ref="G1414">MAX(INDEX('Relacion '!$AL$5:$AM$493,MATCH(INDEX($B:$B, (ROW()-8)),'Relacion '!$E$5:$E$493,0),0))</f>
        <v>46130</v>
      </c>
      <c r="H1414" s="241" cm="1">
        <f t="array" ref="H1414">IF(
 MATCH(B1414,{"01. ASIGNACION AREA";"02. MAPEO";"03. DESARROLLO";"04. VALIDA US";"05. VOBO US";"06. BW-EJECUCION";"07. VALIDACIÓN BAJAWARE";"08. CERRADA"},0)
 &lt;
 MATCH(_xlfn.XLOOKUP(INDEX($B:$B, (ROW()-8)),'Relacion '!$E:$E,'Relacion '!$D:$D,""),{"01. ASIGNACION AREA";"02. MAPEO";"03. DESARROLLO";"04. VALIDA US";"05. VOBO US";"06. BW-EJECUCION";"07. VALIDACIÓN BAJAWARE";"08. CERRADA"},0),
 1,
 IF(
  MATCH(B1414,{"01. ASIGNACION AREA";"02. MAPEO";"03. DESARROLLO";"04. VALIDA US";"05. VOBO US";"06. BW-EJECUCION";"07. VALIDACIÓN BAJAWARE";"08. CERRADA"},0)
  =
  MATCH(_xlfn.XLOOKUP(INDEX($B:$B, (ROW()-8)),'Relacion '!$E:$E,'Relacion '!$D:$D,""),{"01. ASIGNACION AREA";"02. MAPEO";"03. DESARROLLO";"04. VALIDA US";"05. VOBO US";"06. BW-EJECUCION";"07. VALIDACIÓN BAJAWARE";"08. CERRADA"},0),
  _xlfn.XLOOKUP(INDEX($B:$B, (ROW()-8)),'Relacion '!$E:$E,'Relacion '!#REF!,0),
  0
 )
)</f>
        <v>0</v>
      </c>
      <c r="I1414" s="241">
        <f t="shared" ca="1" si="332"/>
        <v>1</v>
      </c>
      <c r="J1414" s="241"/>
      <c r="K1414" s="241"/>
      <c r="L1414" s="238"/>
    </row>
    <row r="1415" spans="2:12">
      <c r="B1415" s="232" t="s">
        <v>585</v>
      </c>
      <c r="C1415" s="167" t="s">
        <v>578</v>
      </c>
      <c r="D1415" s="236" t="str">
        <f>_xlfn.XLOOKUP(B1415,'Relacion '!$E:$E,'Relacion '!$D:$D,"")</f>
        <v>06. BW-EJECUCION</v>
      </c>
      <c r="E1415" s="233">
        <f t="shared" si="335"/>
        <v>471</v>
      </c>
      <c r="F1415" s="234" cm="1">
        <f t="array" ref="F1415">MIN(INDEX('Relacion '!$X$5:$AM$493,MATCH(INDEX($B:$B, (ROW()-0)),'Relacion '!$E$5:$E$493,0),0))</f>
        <v>45659</v>
      </c>
      <c r="G1415" s="234" cm="1">
        <f t="array" ref="G1415">MAX(INDEX('Relacion '!$X$5:$AM$493,MATCH(INDEX($B:$B, (ROW()-0)),'Relacion '!$E$5:$E$493,0),0))</f>
        <v>46130</v>
      </c>
      <c r="H1415" s="235" t="e">
        <f>AVERAGE(H1416:H1423)</f>
        <v>#REF!</v>
      </c>
      <c r="I1415" s="235">
        <f t="shared" ref="I1415" ca="1" si="336">AVERAGE(I1416:I1423)</f>
        <v>1</v>
      </c>
      <c r="J1415" s="236" t="str">
        <f>IF(ISNUMBER(SEARCH("Rocha", _xlfn.XLOOKUP(B1415,'Relacion '!$E:$E,'Relacion '!$I:$I,""))), "Sí", "No")</f>
        <v>No</v>
      </c>
      <c r="K1415" s="236" t="str">
        <f>IF(ISNUMBER(SEARCH("Rocha", _xlfn.XLOOKUP(B1415,'Relacion '!$E:$E,'Relacion '!$I:$I,""))), "RMC", _xlfn.XLOOKUP(B1415,'Relacion '!$E:$E,'Relacion '!$B:$B,""))</f>
        <v>Producto</v>
      </c>
      <c r="L1415" s="236" t="str">
        <f>_xlfn.XLOOKUP(B1415,'Relacion '!$E:$E,'Relacion '!$C:$C,"")</f>
        <v>Claudia Barroso</v>
      </c>
    </row>
    <row r="1416" spans="2:12" outlineLevel="1">
      <c r="B1416" s="237" t="s">
        <v>654</v>
      </c>
      <c r="C1416" s="237" t="s">
        <v>654</v>
      </c>
      <c r="D1416" s="238" t="str">
        <f>_xlfn.XLOOKUP(B1416,'Relacion '!$E:$E,'Relacion '!$D:$D,"")</f>
        <v/>
      </c>
      <c r="E1416" s="239">
        <f t="shared" si="335"/>
        <v>424</v>
      </c>
      <c r="F1416" s="240" cm="1">
        <f t="array" ref="F1416">MIN(INDEX('Relacion '!$X$5:$Y$493,MATCH(INDEX($B:$B, (ROW()-1)),'Relacion '!$E$5:$E$493,0),0))</f>
        <v>45659</v>
      </c>
      <c r="G1416" s="240" cm="1">
        <f t="array" ref="G1416">MAX(INDEX('Relacion '!$X$5:$Y$493,MATCH(INDEX($B:$B, (ROW()-1)),'Relacion '!$E$5:$E$493,0),0))</f>
        <v>46083</v>
      </c>
      <c r="H1416" s="241" cm="1">
        <f t="array" ref="H1416">IF(
 MATCH(B1416,{"01. ASIGNACION AREA";"02. MAPEO";"03. DESARROLLO";"04. VALIDA US";"05. VOBO US";"06. BW-EJECUCION";"07. VALIDACIÓN BAJAWARE";"08. CERRADA"},0)
 &lt;
 MATCH(_xlfn.XLOOKUP(INDEX($B:$B, (ROW()-1)),'Relacion '!$E:$E,'Relacion '!$D:$D,""),{"01. ASIGNACION AREA";"02. MAPEO";"03. DESARROLLO";"04. VALIDA US";"05. VOBO US";"06. BW-EJECUCION";"07. VALIDACIÓN BAJAWARE";"08. CERRADA"},0),
 1,
 IF(
  MATCH(B1416,{"01. ASIGNACION AREA";"02. MAPEO";"03. DESARROLLO";"04. VALIDA US";"05. VOBO US";"06. BW-EJECUCION";"07. VALIDACIÓN BAJAWARE";"08. CERRADA"},0)
  =
  MATCH(_xlfn.XLOOKUP(INDEX($B:$B, (ROW()-1)),'Relacion '!$E:$E,'Relacion '!$D:$D,""),{"01. ASIGNACION AREA";"02. MAPEO";"03. DESARROLLO";"04. VALIDA US";"05. VOBO US";"06. BW-EJECUCION";"07. VALIDACIÓN BAJAWARE";"08. CERRADA"},0),
  _xlfn.XLOOKUP(INDEX($B:$B, (ROW()-1)),'Relacion '!$E:$E,'Relacion '!#REF!,0),
  0
 )
)</f>
        <v>1</v>
      </c>
      <c r="I1416" s="241">
        <f t="shared" ref="I1416" ca="1" si="337">IF(G1416&lt;=TODAY(), 1, 0)</f>
        <v>1</v>
      </c>
      <c r="J1416" s="241"/>
      <c r="K1416" s="241"/>
      <c r="L1416" s="238"/>
    </row>
    <row r="1417" spans="2:12" outlineLevel="1">
      <c r="B1417" s="237" t="s">
        <v>195</v>
      </c>
      <c r="C1417" s="237" t="s">
        <v>195</v>
      </c>
      <c r="D1417" s="238" t="str">
        <f>_xlfn.XLOOKUP(B1417,'Relacion '!$E:$E,'Relacion '!$D:$D,"")</f>
        <v/>
      </c>
      <c r="E1417" s="239">
        <f t="shared" si="335"/>
        <v>4</v>
      </c>
      <c r="F1417" s="240" cm="1">
        <f t="array" ref="F1417">MIN(INDEX('Relacion '!$Z$5:$AA$493,MATCH(INDEX($B:$B, (ROW()-2)),'Relacion '!$E$5:$E$493,0),0))</f>
        <v>46034</v>
      </c>
      <c r="G1417" s="240" cm="1">
        <f t="array" ref="G1417">MAX(INDEX('Relacion '!$Z$5:$AA$493,MATCH(INDEX($B:$B, (ROW()-2)),'Relacion '!$E$5:$E$493,0),0))</f>
        <v>46038</v>
      </c>
      <c r="H1417" s="241" cm="1">
        <f t="array" ref="H1417">IF(
 MATCH(B1417,{"01. ASIGNACION AREA";"02. MAPEO";"03. DESARROLLO";"04. VALIDA US";"05. VOBO US";"06. BW-EJECUCION";"07. VALIDACIÓN BAJAWARE";"08. CERRADA"},0)
 &lt;
 MATCH(_xlfn.XLOOKUP(INDEX($B:$B, (ROW()-2)),'Relacion '!$E:$E,'Relacion '!$D:$D,""),{"01. ASIGNACION AREA";"02. MAPEO";"03. DESARROLLO";"04. VALIDA US";"05. VOBO US";"06. BW-EJECUCION";"07. VALIDACIÓN BAJAWARE";"08. CERRADA"},0),
 1,
 IF(
  MATCH(B1417,{"01. ASIGNACION AREA";"02. MAPEO";"03. DESARROLLO";"04. VALIDA US";"05. VOBO US";"06. BW-EJECUCION";"07. VALIDACIÓN BAJAWARE";"08. CERRADA"},0)
  =
  MATCH(_xlfn.XLOOKUP(INDEX($B:$B, (ROW()-2)),'Relacion '!$E:$E,'Relacion '!$D:$D,""),{"01. ASIGNACION AREA";"02. MAPEO";"03. DESARROLLO";"04. VALIDA US";"05. VOBO US";"06. BW-EJECUCION";"07. VALIDACIÓN BAJAWARE";"08. CERRADA"},0),
  _xlfn.XLOOKUP(INDEX($B:$B, (ROW()-2)),'Relacion '!$E:$E,'Relacion '!#REF!,0),
  0
 )
)</f>
        <v>1</v>
      </c>
      <c r="I1417" s="241">
        <f t="shared" ca="1" si="332"/>
        <v>1</v>
      </c>
      <c r="J1417" s="241"/>
      <c r="K1417" s="241"/>
      <c r="L1417" s="238"/>
    </row>
    <row r="1418" spans="2:12" outlineLevel="1">
      <c r="B1418" s="237" t="s">
        <v>49</v>
      </c>
      <c r="C1418" s="237" t="s">
        <v>49</v>
      </c>
      <c r="D1418" s="238" t="str">
        <f>_xlfn.XLOOKUP(B1418,'Relacion '!$E:$E,'Relacion '!$D:$D,"")</f>
        <v/>
      </c>
      <c r="E1418" s="239">
        <f t="shared" si="335"/>
        <v>4</v>
      </c>
      <c r="F1418" s="240" cm="1">
        <f t="array" ref="F1418">MIN(INDEX('Relacion '!$AB$5:$AC$493,MATCH(INDEX($B:$B, (ROW()-3)),'Relacion '!$E$5:$E$493,0),0))</f>
        <v>46041</v>
      </c>
      <c r="G1418" s="240" cm="1">
        <f t="array" ref="G1418">MAX(INDEX('Relacion '!$AB$5:$AC$493,MATCH(INDEX($B:$B, (ROW()-3)),'Relacion '!$E$5:$E$493,0),0))</f>
        <v>46045</v>
      </c>
      <c r="H1418" s="241" cm="1">
        <f t="array" ref="H1418">IF(
 MATCH(B1418,{"01. ASIGNACION AREA";"02. MAPEO";"03. DESARROLLO";"04. VALIDA US";"05. VOBO US";"06. BW-EJECUCION";"07. VALIDACIÓN BAJAWARE";"08. CERRADA"},0)
 &lt;
 MATCH(_xlfn.XLOOKUP(INDEX($B:$B, (ROW()-3)),'Relacion '!$E:$E,'Relacion '!$D:$D,""),{"01. ASIGNACION AREA";"02. MAPEO";"03. DESARROLLO";"04. VALIDA US";"05. VOBO US";"06. BW-EJECUCION";"07. VALIDACIÓN BAJAWARE";"08. CERRADA"},0),
 1,
 IF(
  MATCH(B1418,{"01. ASIGNACION AREA";"02. MAPEO";"03. DESARROLLO";"04. VALIDA US";"05. VOBO US";"06. BW-EJECUCION";"07. VALIDACIÓN BAJAWARE";"08. CERRADA"},0)
  =
  MATCH(_xlfn.XLOOKUP(INDEX($B:$B, (ROW()-3)),'Relacion '!$E:$E,'Relacion '!$D:$D,""),{"01. ASIGNACION AREA";"02. MAPEO";"03. DESARROLLO";"04. VALIDA US";"05. VOBO US";"06. BW-EJECUCION";"07. VALIDACIÓN BAJAWARE";"08. CERRADA"},0),
  _xlfn.XLOOKUP(INDEX($B:$B, (ROW()-3)),'Relacion '!$E:$E,'Relacion '!#REF!,0),
  0
 )
)</f>
        <v>1</v>
      </c>
      <c r="I1418" s="241">
        <f t="shared" ca="1" si="332"/>
        <v>1</v>
      </c>
      <c r="J1418" s="241"/>
      <c r="K1418" s="241"/>
      <c r="L1418" s="238"/>
    </row>
    <row r="1419" spans="2:12" outlineLevel="1">
      <c r="B1419" s="237" t="s">
        <v>324</v>
      </c>
      <c r="C1419" s="237" t="s">
        <v>324</v>
      </c>
      <c r="D1419" s="238" t="str">
        <f>_xlfn.XLOOKUP(B1419,'Relacion '!$E:$E,'Relacion '!$D:$D,"")</f>
        <v/>
      </c>
      <c r="E1419" s="239">
        <f t="shared" si="335"/>
        <v>4</v>
      </c>
      <c r="F1419" s="240" cm="1">
        <f t="array" ref="F1419">MIN(INDEX('Relacion '!$AD$5:$AE$493,MATCH(INDEX($B:$B, (ROW()-4)),'Relacion '!$E$5:$E$493,0),0))</f>
        <v>46048</v>
      </c>
      <c r="G1419" s="240" cm="1">
        <f t="array" ref="G1419">MAX(INDEX('Relacion '!$AD$5:$AE$493,MATCH(INDEX($B:$B, (ROW()-4)),'Relacion '!$E$5:$E$493,0),0))</f>
        <v>46052</v>
      </c>
      <c r="H1419" s="241" cm="1">
        <f t="array" ref="H1419">IF(
 MATCH(B1419,{"01. ASIGNACION AREA";"02. MAPEO";"03. DESARROLLO";"04. VALIDA US";"05. VOBO US";"06. BW-EJECUCION";"07. VALIDACIÓN BAJAWARE";"08. CERRADA"},0)
 &lt;
 MATCH(_xlfn.XLOOKUP(INDEX($B:$B, (ROW()-4)),'Relacion '!$E:$E,'Relacion '!$D:$D,""),{"01. ASIGNACION AREA";"02. MAPEO";"03. DESARROLLO";"04. VALIDA US";"05. VOBO US";"06. BW-EJECUCION";"07. VALIDACIÓN BAJAWARE";"08. CERRADA"},0),
 1,
 IF(
  MATCH(B1419,{"01. ASIGNACION AREA";"02. MAPEO";"03. DESARROLLO";"04. VALIDA US";"05. VOBO US";"06. BW-EJECUCION";"07. VALIDACIÓN BAJAWARE";"08. CERRADA"},0)
  =
  MATCH(_xlfn.XLOOKUP(INDEX($B:$B, (ROW()-4)),'Relacion '!$E:$E,'Relacion '!$D:$D,""),{"01. ASIGNACION AREA";"02. MAPEO";"03. DESARROLLO";"04. VALIDA US";"05. VOBO US";"06. BW-EJECUCION";"07. VALIDACIÓN BAJAWARE";"08. CERRADA"},0),
  _xlfn.XLOOKUP(INDEX($B:$B, (ROW()-4)),'Relacion '!$E:$E,'Relacion '!#REF!,0),
  0
 )
)</f>
        <v>1</v>
      </c>
      <c r="I1419" s="241">
        <f t="shared" ca="1" si="332"/>
        <v>1</v>
      </c>
      <c r="J1419" s="241"/>
      <c r="K1419" s="241"/>
      <c r="L1419" s="238"/>
    </row>
    <row r="1420" spans="2:12" outlineLevel="1">
      <c r="B1420" s="237" t="s">
        <v>320</v>
      </c>
      <c r="C1420" s="237" t="s">
        <v>320</v>
      </c>
      <c r="D1420" s="238" t="str">
        <f>_xlfn.XLOOKUP(B1420,'Relacion '!$E:$E,'Relacion '!$D:$D,"")</f>
        <v/>
      </c>
      <c r="E1420" s="239">
        <f t="shared" si="335"/>
        <v>7</v>
      </c>
      <c r="F1420" s="240" cm="1">
        <f t="array" ref="F1420">MIN(INDEX('Relacion '!$AF$5:$AG$493,MATCH(INDEX($B:$B, (ROW()-5)),'Relacion '!$E$5:$E$493,0),0))</f>
        <v>46055</v>
      </c>
      <c r="G1420" s="240" cm="1">
        <f t="array" ref="G1420">MAX(INDEX('Relacion '!$AF$5:$AG$493,MATCH(INDEX($B:$B, (ROW()-5)),'Relacion '!$E$5:$E$493,0),0))</f>
        <v>46062</v>
      </c>
      <c r="H1420" s="241" cm="1">
        <f t="array" ref="H1420">IF(
 MATCH(B1420,{"01. ASIGNACION AREA";"02. MAPEO";"03. DESARROLLO";"04. VALIDA US";"05. VOBO US";"06. BW-EJECUCION";"07. VALIDACIÓN BAJAWARE";"08. CERRADA"},0)
 &lt;
 MATCH(_xlfn.XLOOKUP(INDEX($B:$B, (ROW()-5)),'Relacion '!$E:$E,'Relacion '!$D:$D,""),{"01. ASIGNACION AREA";"02. MAPEO";"03. DESARROLLO";"04. VALIDA US";"05. VOBO US";"06. BW-EJECUCION";"07. VALIDACIÓN BAJAWARE";"08. CERRADA"},0),
 1,
 IF(
  MATCH(B1420,{"01. ASIGNACION AREA";"02. MAPEO";"03. DESARROLLO";"04. VALIDA US";"05. VOBO US";"06. BW-EJECUCION";"07. VALIDACIÓN BAJAWARE";"08. CERRADA"},0)
  =
  MATCH(_xlfn.XLOOKUP(INDEX($B:$B, (ROW()-5)),'Relacion '!$E:$E,'Relacion '!$D:$D,""),{"01. ASIGNACION AREA";"02. MAPEO";"03. DESARROLLO";"04. VALIDA US";"05. VOBO US";"06. BW-EJECUCION";"07. VALIDACIÓN BAJAWARE";"08. CERRADA"},0),
  _xlfn.XLOOKUP(INDEX($B:$B, (ROW()-5)),'Relacion '!$E:$E,'Relacion '!#REF!,0),
  0
 )
)</f>
        <v>1</v>
      </c>
      <c r="I1420" s="241">
        <f t="shared" ca="1" si="332"/>
        <v>1</v>
      </c>
      <c r="J1420" s="241"/>
      <c r="K1420" s="241"/>
      <c r="L1420" s="238"/>
    </row>
    <row r="1421" spans="2:12" outlineLevel="1">
      <c r="B1421" s="237" t="s">
        <v>710</v>
      </c>
      <c r="C1421" s="237" t="s">
        <v>710</v>
      </c>
      <c r="D1421" s="238" t="str">
        <f>_xlfn.XLOOKUP(B1421,'Relacion '!$E:$E,'Relacion '!$D:$D,"")</f>
        <v/>
      </c>
      <c r="E1421" s="239">
        <f t="shared" si="335"/>
        <v>25</v>
      </c>
      <c r="F1421" s="240" cm="1">
        <f t="array" ref="F1421">MIN(INDEX('Relacion '!$AH$5:$AI$493,MATCH(INDEX($B:$B, (ROW()-6)),'Relacion '!$E$5:$E$493,0),0))</f>
        <v>46076</v>
      </c>
      <c r="G1421" s="240" cm="1">
        <f t="array" ref="G1421">MAX(INDEX('Relacion '!$AH$5:$AI$493,MATCH(INDEX($B:$B, (ROW()-6)),'Relacion '!$E$5:$E$493,0),0))</f>
        <v>46101</v>
      </c>
      <c r="H1421" s="241" t="e" cm="1">
        <f t="array" ref="H1421">IF(
 MATCH(B1421,{"01. ASIGNACION AREA";"02. MAPEO";"03. DESARROLLO";"04. VALIDA US";"05. VOBO US";"06. BW-EJECUCION";"07. VALIDACIÓN BAJAWARE";"08. CERRADA"},0)
 &lt;
 MATCH(_xlfn.XLOOKUP(INDEX($B:$B, (ROW()-6)),'Relacion '!$E:$E,'Relacion '!$D:$D,""),{"01. ASIGNACION AREA";"02. MAPEO";"03. DESARROLLO";"04. VALIDA US";"05. VOBO US";"06. BW-EJECUCION";"07. VALIDACIÓN BAJAWARE";"08. CERRADA"},0),
 1,
 IF(
  MATCH(B1421,{"01. ASIGNACION AREA";"02. MAPEO";"03. DESARROLLO";"04. VALIDA US";"05. VOBO US";"06. BW-EJECUCION";"07. VALIDACIÓN BAJAWARE";"08. CERRADA"},0)
  =
  MATCH(_xlfn.XLOOKUP(INDEX($B:$B, (ROW()-6)),'Relacion '!$E:$E,'Relacion '!$D:$D,""),{"01. ASIGNACION AREA";"02. MAPEO";"03. DESARROLLO";"04. VALIDA US";"05. VOBO US";"06. BW-EJECUCION";"07. VALIDACIÓN BAJAWARE";"08. CERRADA"},0),
  _xlfn.XLOOKUP(INDEX($B:$B, (ROW()-6)),'Relacion '!$E:$E,'Relacion '!#REF!,0),
  0
 )
)</f>
        <v>#REF!</v>
      </c>
      <c r="I1421" s="241">
        <f t="shared" ca="1" si="332"/>
        <v>1</v>
      </c>
      <c r="J1421" s="241"/>
      <c r="K1421" s="241"/>
      <c r="L1421" s="238"/>
    </row>
    <row r="1422" spans="2:12" outlineLevel="1">
      <c r="B1422" s="237" t="s">
        <v>655</v>
      </c>
      <c r="C1422" s="237" t="s">
        <v>655</v>
      </c>
      <c r="D1422" s="238" t="str">
        <f>_xlfn.XLOOKUP(B1422,'Relacion '!$E:$E,'Relacion '!$D:$D,"")</f>
        <v/>
      </c>
      <c r="E1422" s="239">
        <f t="shared" si="335"/>
        <v>25</v>
      </c>
      <c r="F1422" s="240" cm="1">
        <f t="array" ref="F1422">MIN(INDEX('Relacion '!$AJ$5:$AK$493,MATCH(INDEX($B:$B, (ROW()-7)),'Relacion '!$E$5:$E$493,0),0))</f>
        <v>46104</v>
      </c>
      <c r="G1422" s="240" cm="1">
        <f t="array" ref="G1422">MAX(INDEX('Relacion '!$AJ$5:$AK$493,MATCH(INDEX($B:$B, (ROW()-7)),'Relacion '!$E$5:$E$493,0),0))</f>
        <v>46129</v>
      </c>
      <c r="H1422" s="241" cm="1">
        <f t="array" ref="H1422">IF(
 MATCH(B1422,{"01. ASIGNACION AREA";"02. MAPEO";"03. DESARROLLO";"04. VALIDA US";"05. VOBO US";"06. BW-EJECUCION";"07. VALIDACIÓN BAJAWARE";"08. CERRADA"},0)
 &lt;
 MATCH(_xlfn.XLOOKUP(INDEX($B:$B, (ROW()-7)),'Relacion '!$E:$E,'Relacion '!$D:$D,""),{"01. ASIGNACION AREA";"02. MAPEO";"03. DESARROLLO";"04. VALIDA US";"05. VOBO US";"06. BW-EJECUCION";"07. VALIDACIÓN BAJAWARE";"08. CERRADA"},0),
 1,
 IF(
  MATCH(B1422,{"01. ASIGNACION AREA";"02. MAPEO";"03. DESARROLLO";"04. VALIDA US";"05. VOBO US";"06. BW-EJECUCION";"07. VALIDACIÓN BAJAWARE";"08. CERRADA"},0)
  =
  MATCH(_xlfn.XLOOKUP(INDEX($B:$B, (ROW()-7)),'Relacion '!$E:$E,'Relacion '!$D:$D,""),{"01. ASIGNACION AREA";"02. MAPEO";"03. DESARROLLO";"04. VALIDA US";"05. VOBO US";"06. BW-EJECUCION";"07. VALIDACIÓN BAJAWARE";"08. CERRADA"},0),
  _xlfn.XLOOKUP(INDEX($B:$B, (ROW()-7)),'Relacion '!$E:$E,'Relacion '!#REF!,0),
  0
 )
)</f>
        <v>0</v>
      </c>
      <c r="I1422" s="241">
        <f t="shared" ca="1" si="332"/>
        <v>1</v>
      </c>
      <c r="J1422" s="241"/>
      <c r="K1422" s="241"/>
      <c r="L1422" s="238"/>
    </row>
    <row r="1423" spans="2:12" outlineLevel="1">
      <c r="B1423" s="237" t="s">
        <v>656</v>
      </c>
      <c r="C1423" s="237" t="s">
        <v>656</v>
      </c>
      <c r="D1423" s="238" t="str">
        <f>_xlfn.XLOOKUP(B1423,'Relacion '!$E:$E,'Relacion '!$D:$D,"")</f>
        <v/>
      </c>
      <c r="E1423" s="239">
        <f t="shared" si="335"/>
        <v>0</v>
      </c>
      <c r="F1423" s="240" cm="1">
        <f t="array" ref="F1423">MIN(INDEX('Relacion '!$AL$5:$AM$493,MATCH(INDEX($B:$B, (ROW()-8)),'Relacion '!$E$5:$E$493,0),0))</f>
        <v>46130</v>
      </c>
      <c r="G1423" s="240" cm="1">
        <f t="array" ref="G1423">MAX(INDEX('Relacion '!$AL$5:$AM$493,MATCH(INDEX($B:$B, (ROW()-8)),'Relacion '!$E$5:$E$493,0),0))</f>
        <v>46130</v>
      </c>
      <c r="H1423" s="241" cm="1">
        <f t="array" ref="H1423">IF(
 MATCH(B1423,{"01. ASIGNACION AREA";"02. MAPEO";"03. DESARROLLO";"04. VALIDA US";"05. VOBO US";"06. BW-EJECUCION";"07. VALIDACIÓN BAJAWARE";"08. CERRADA"},0)
 &lt;
 MATCH(_xlfn.XLOOKUP(INDEX($B:$B, (ROW()-8)),'Relacion '!$E:$E,'Relacion '!$D:$D,""),{"01. ASIGNACION AREA";"02. MAPEO";"03. DESARROLLO";"04. VALIDA US";"05. VOBO US";"06. BW-EJECUCION";"07. VALIDACIÓN BAJAWARE";"08. CERRADA"},0),
 1,
 IF(
  MATCH(B1423,{"01. ASIGNACION AREA";"02. MAPEO";"03. DESARROLLO";"04. VALIDA US";"05. VOBO US";"06. BW-EJECUCION";"07. VALIDACIÓN BAJAWARE";"08. CERRADA"},0)
  =
  MATCH(_xlfn.XLOOKUP(INDEX($B:$B, (ROW()-8)),'Relacion '!$E:$E,'Relacion '!$D:$D,""),{"01. ASIGNACION AREA";"02. MAPEO";"03. DESARROLLO";"04. VALIDA US";"05. VOBO US";"06. BW-EJECUCION";"07. VALIDACIÓN BAJAWARE";"08. CERRADA"},0),
  _xlfn.XLOOKUP(INDEX($B:$B, (ROW()-8)),'Relacion '!$E:$E,'Relacion '!#REF!,0),
  0
 )
)</f>
        <v>0</v>
      </c>
      <c r="I1423" s="241">
        <f t="shared" ca="1" si="332"/>
        <v>1</v>
      </c>
      <c r="J1423" s="241"/>
      <c r="K1423" s="241"/>
      <c r="L1423" s="238"/>
    </row>
    <row r="1424" spans="2:12">
      <c r="B1424" s="232" t="s">
        <v>586</v>
      </c>
      <c r="C1424" s="167" t="s">
        <v>578</v>
      </c>
      <c r="D1424" s="236" t="str">
        <f>_xlfn.XLOOKUP(B1424,'Relacion '!$E:$E,'Relacion '!$D:$D,"")</f>
        <v>06. BW-EJECUCION</v>
      </c>
      <c r="E1424" s="233">
        <f t="shared" si="335"/>
        <v>471</v>
      </c>
      <c r="F1424" s="234" cm="1">
        <f t="array" ref="F1424">MIN(INDEX('Relacion '!$X$5:$AM$493,MATCH(INDEX($B:$B, (ROW()-0)),'Relacion '!$E$5:$E$493,0),0))</f>
        <v>45659</v>
      </c>
      <c r="G1424" s="234" cm="1">
        <f t="array" ref="G1424">MAX(INDEX('Relacion '!$X$5:$AM$493,MATCH(INDEX($B:$B, (ROW()-0)),'Relacion '!$E$5:$E$493,0),0))</f>
        <v>46130</v>
      </c>
      <c r="H1424" s="235" t="e">
        <f>AVERAGE(H1425:H1432)</f>
        <v>#REF!</v>
      </c>
      <c r="I1424" s="235">
        <f t="shared" ref="I1424" ca="1" si="338">AVERAGE(I1425:I1432)</f>
        <v>1</v>
      </c>
      <c r="J1424" s="236" t="str">
        <f>IF(ISNUMBER(SEARCH("Rocha", _xlfn.XLOOKUP(B1424,'Relacion '!$E:$E,'Relacion '!$I:$I,""))), "Sí", "No")</f>
        <v>No</v>
      </c>
      <c r="K1424" s="236" t="str">
        <f>IF(ISNUMBER(SEARCH("Rocha", _xlfn.XLOOKUP(B1424,'Relacion '!$E:$E,'Relacion '!$I:$I,""))), "RMC", _xlfn.XLOOKUP(B1424,'Relacion '!$E:$E,'Relacion '!$B:$B,""))</f>
        <v>Producto</v>
      </c>
      <c r="L1424" s="236" t="str">
        <f>_xlfn.XLOOKUP(B1424,'Relacion '!$E:$E,'Relacion '!$C:$C,"")</f>
        <v>Claudia Barroso</v>
      </c>
    </row>
    <row r="1425" spans="2:12" outlineLevel="1">
      <c r="B1425" s="237" t="s">
        <v>654</v>
      </c>
      <c r="C1425" s="237" t="s">
        <v>654</v>
      </c>
      <c r="D1425" s="238" t="str">
        <f>_xlfn.XLOOKUP(B1425,'Relacion '!$E:$E,'Relacion '!$D:$D,"")</f>
        <v/>
      </c>
      <c r="E1425" s="239">
        <f t="shared" si="335"/>
        <v>424</v>
      </c>
      <c r="F1425" s="240" cm="1">
        <f t="array" ref="F1425">MIN(INDEX('Relacion '!$X$5:$Y$493,MATCH(INDEX($B:$B, (ROW()-1)),'Relacion '!$E$5:$E$493,0),0))</f>
        <v>45659</v>
      </c>
      <c r="G1425" s="240" cm="1">
        <f t="array" ref="G1425">MAX(INDEX('Relacion '!$X$5:$Y$493,MATCH(INDEX($B:$B, (ROW()-1)),'Relacion '!$E$5:$E$493,0),0))</f>
        <v>46083</v>
      </c>
      <c r="H1425" s="241" cm="1">
        <f t="array" ref="H1425">IF(
 MATCH(B1425,{"01. ASIGNACION AREA";"02. MAPEO";"03. DESARROLLO";"04. VALIDA US";"05. VOBO US";"06. BW-EJECUCION";"07. VALIDACIÓN BAJAWARE";"08. CERRADA"},0)
 &lt;
 MATCH(_xlfn.XLOOKUP(INDEX($B:$B, (ROW()-1)),'Relacion '!$E:$E,'Relacion '!$D:$D,""),{"01. ASIGNACION AREA";"02. MAPEO";"03. DESARROLLO";"04. VALIDA US";"05. VOBO US";"06. BW-EJECUCION";"07. VALIDACIÓN BAJAWARE";"08. CERRADA"},0),
 1,
 IF(
  MATCH(B1425,{"01. ASIGNACION AREA";"02. MAPEO";"03. DESARROLLO";"04. VALIDA US";"05. VOBO US";"06. BW-EJECUCION";"07. VALIDACIÓN BAJAWARE";"08. CERRADA"},0)
  =
  MATCH(_xlfn.XLOOKUP(INDEX($B:$B, (ROW()-1)),'Relacion '!$E:$E,'Relacion '!$D:$D,""),{"01. ASIGNACION AREA";"02. MAPEO";"03. DESARROLLO";"04. VALIDA US";"05. VOBO US";"06. BW-EJECUCION";"07. VALIDACIÓN BAJAWARE";"08. CERRADA"},0),
  _xlfn.XLOOKUP(INDEX($B:$B, (ROW()-1)),'Relacion '!$E:$E,'Relacion '!#REF!,0),
  0
 )
)</f>
        <v>1</v>
      </c>
      <c r="I1425" s="241">
        <f t="shared" ref="I1425" ca="1" si="339">IF(G1425&lt;=TODAY(), 1, 0)</f>
        <v>1</v>
      </c>
      <c r="J1425" s="241"/>
      <c r="K1425" s="241"/>
      <c r="L1425" s="238"/>
    </row>
    <row r="1426" spans="2:12" outlineLevel="1">
      <c r="B1426" s="237" t="s">
        <v>195</v>
      </c>
      <c r="C1426" s="237" t="s">
        <v>195</v>
      </c>
      <c r="D1426" s="238" t="str">
        <f>_xlfn.XLOOKUP(B1426,'Relacion '!$E:$E,'Relacion '!$D:$D,"")</f>
        <v/>
      </c>
      <c r="E1426" s="239">
        <f t="shared" si="335"/>
        <v>4</v>
      </c>
      <c r="F1426" s="240" cm="1">
        <f t="array" ref="F1426">MIN(INDEX('Relacion '!$Z$5:$AA$493,MATCH(INDEX($B:$B, (ROW()-2)),'Relacion '!$E$5:$E$493,0),0))</f>
        <v>46034</v>
      </c>
      <c r="G1426" s="240" cm="1">
        <f t="array" ref="G1426">MAX(INDEX('Relacion '!$Z$5:$AA$493,MATCH(INDEX($B:$B, (ROW()-2)),'Relacion '!$E$5:$E$493,0),0))</f>
        <v>46038</v>
      </c>
      <c r="H1426" s="241" cm="1">
        <f t="array" ref="H1426">IF(
 MATCH(B1426,{"01. ASIGNACION AREA";"02. MAPEO";"03. DESARROLLO";"04. VALIDA US";"05. VOBO US";"06. BW-EJECUCION";"07. VALIDACIÓN BAJAWARE";"08. CERRADA"},0)
 &lt;
 MATCH(_xlfn.XLOOKUP(INDEX($B:$B, (ROW()-2)),'Relacion '!$E:$E,'Relacion '!$D:$D,""),{"01. ASIGNACION AREA";"02. MAPEO";"03. DESARROLLO";"04. VALIDA US";"05. VOBO US";"06. BW-EJECUCION";"07. VALIDACIÓN BAJAWARE";"08. CERRADA"},0),
 1,
 IF(
  MATCH(B1426,{"01. ASIGNACION AREA";"02. MAPEO";"03. DESARROLLO";"04. VALIDA US";"05. VOBO US";"06. BW-EJECUCION";"07. VALIDACIÓN BAJAWARE";"08. CERRADA"},0)
  =
  MATCH(_xlfn.XLOOKUP(INDEX($B:$B, (ROW()-2)),'Relacion '!$E:$E,'Relacion '!$D:$D,""),{"01. ASIGNACION AREA";"02. MAPEO";"03. DESARROLLO";"04. VALIDA US";"05. VOBO US";"06. BW-EJECUCION";"07. VALIDACIÓN BAJAWARE";"08. CERRADA"},0),
  _xlfn.XLOOKUP(INDEX($B:$B, (ROW()-2)),'Relacion '!$E:$E,'Relacion '!#REF!,0),
  0
 )
)</f>
        <v>1</v>
      </c>
      <c r="I1426" s="241">
        <f t="shared" ca="1" si="332"/>
        <v>1</v>
      </c>
      <c r="J1426" s="241"/>
      <c r="K1426" s="241"/>
      <c r="L1426" s="238"/>
    </row>
    <row r="1427" spans="2:12" outlineLevel="1">
      <c r="B1427" s="237" t="s">
        <v>49</v>
      </c>
      <c r="C1427" s="237" t="s">
        <v>49</v>
      </c>
      <c r="D1427" s="238" t="str">
        <f>_xlfn.XLOOKUP(B1427,'Relacion '!$E:$E,'Relacion '!$D:$D,"")</f>
        <v/>
      </c>
      <c r="E1427" s="239">
        <f t="shared" si="335"/>
        <v>4</v>
      </c>
      <c r="F1427" s="240" cm="1">
        <f t="array" ref="F1427">MIN(INDEX('Relacion '!$AB$5:$AC$493,MATCH(INDEX($B:$B, (ROW()-3)),'Relacion '!$E$5:$E$493,0),0))</f>
        <v>46041</v>
      </c>
      <c r="G1427" s="240" cm="1">
        <f t="array" ref="G1427">MAX(INDEX('Relacion '!$AB$5:$AC$493,MATCH(INDEX($B:$B, (ROW()-3)),'Relacion '!$E$5:$E$493,0),0))</f>
        <v>46045</v>
      </c>
      <c r="H1427" s="241" cm="1">
        <f t="array" ref="H1427">IF(
 MATCH(B1427,{"01. ASIGNACION AREA";"02. MAPEO";"03. DESARROLLO";"04. VALIDA US";"05. VOBO US";"06. BW-EJECUCION";"07. VALIDACIÓN BAJAWARE";"08. CERRADA"},0)
 &lt;
 MATCH(_xlfn.XLOOKUP(INDEX($B:$B, (ROW()-3)),'Relacion '!$E:$E,'Relacion '!$D:$D,""),{"01. ASIGNACION AREA";"02. MAPEO";"03. DESARROLLO";"04. VALIDA US";"05. VOBO US";"06. BW-EJECUCION";"07. VALIDACIÓN BAJAWARE";"08. CERRADA"},0),
 1,
 IF(
  MATCH(B1427,{"01. ASIGNACION AREA";"02. MAPEO";"03. DESARROLLO";"04. VALIDA US";"05. VOBO US";"06. BW-EJECUCION";"07. VALIDACIÓN BAJAWARE";"08. CERRADA"},0)
  =
  MATCH(_xlfn.XLOOKUP(INDEX($B:$B, (ROW()-3)),'Relacion '!$E:$E,'Relacion '!$D:$D,""),{"01. ASIGNACION AREA";"02. MAPEO";"03. DESARROLLO";"04. VALIDA US";"05. VOBO US";"06. BW-EJECUCION";"07. VALIDACIÓN BAJAWARE";"08. CERRADA"},0),
  _xlfn.XLOOKUP(INDEX($B:$B, (ROW()-3)),'Relacion '!$E:$E,'Relacion '!#REF!,0),
  0
 )
)</f>
        <v>1</v>
      </c>
      <c r="I1427" s="241">
        <f t="shared" ca="1" si="332"/>
        <v>1</v>
      </c>
      <c r="J1427" s="241"/>
      <c r="K1427" s="241"/>
      <c r="L1427" s="238"/>
    </row>
    <row r="1428" spans="2:12" outlineLevel="1">
      <c r="B1428" s="237" t="s">
        <v>324</v>
      </c>
      <c r="C1428" s="237" t="s">
        <v>324</v>
      </c>
      <c r="D1428" s="238" t="str">
        <f>_xlfn.XLOOKUP(B1428,'Relacion '!$E:$E,'Relacion '!$D:$D,"")</f>
        <v/>
      </c>
      <c r="E1428" s="239">
        <f t="shared" si="335"/>
        <v>4</v>
      </c>
      <c r="F1428" s="240" cm="1">
        <f t="array" ref="F1428">MIN(INDEX('Relacion '!$AD$5:$AE$493,MATCH(INDEX($B:$B, (ROW()-4)),'Relacion '!$E$5:$E$493,0),0))</f>
        <v>46048</v>
      </c>
      <c r="G1428" s="240" cm="1">
        <f t="array" ref="G1428">MAX(INDEX('Relacion '!$AD$5:$AE$493,MATCH(INDEX($B:$B, (ROW()-4)),'Relacion '!$E$5:$E$493,0),0))</f>
        <v>46052</v>
      </c>
      <c r="H1428" s="241" cm="1">
        <f t="array" ref="H1428">IF(
 MATCH(B1428,{"01. ASIGNACION AREA";"02. MAPEO";"03. DESARROLLO";"04. VALIDA US";"05. VOBO US";"06. BW-EJECUCION";"07. VALIDACIÓN BAJAWARE";"08. CERRADA"},0)
 &lt;
 MATCH(_xlfn.XLOOKUP(INDEX($B:$B, (ROW()-4)),'Relacion '!$E:$E,'Relacion '!$D:$D,""),{"01. ASIGNACION AREA";"02. MAPEO";"03. DESARROLLO";"04. VALIDA US";"05. VOBO US";"06. BW-EJECUCION";"07. VALIDACIÓN BAJAWARE";"08. CERRADA"},0),
 1,
 IF(
  MATCH(B1428,{"01. ASIGNACION AREA";"02. MAPEO";"03. DESARROLLO";"04. VALIDA US";"05. VOBO US";"06. BW-EJECUCION";"07. VALIDACIÓN BAJAWARE";"08. CERRADA"},0)
  =
  MATCH(_xlfn.XLOOKUP(INDEX($B:$B, (ROW()-4)),'Relacion '!$E:$E,'Relacion '!$D:$D,""),{"01. ASIGNACION AREA";"02. MAPEO";"03. DESARROLLO";"04. VALIDA US";"05. VOBO US";"06. BW-EJECUCION";"07. VALIDACIÓN BAJAWARE";"08. CERRADA"},0),
  _xlfn.XLOOKUP(INDEX($B:$B, (ROW()-4)),'Relacion '!$E:$E,'Relacion '!#REF!,0),
  0
 )
)</f>
        <v>1</v>
      </c>
      <c r="I1428" s="241">
        <f t="shared" ca="1" si="332"/>
        <v>1</v>
      </c>
      <c r="J1428" s="241"/>
      <c r="K1428" s="241"/>
      <c r="L1428" s="238"/>
    </row>
    <row r="1429" spans="2:12" outlineLevel="1">
      <c r="B1429" s="237" t="s">
        <v>320</v>
      </c>
      <c r="C1429" s="237" t="s">
        <v>320</v>
      </c>
      <c r="D1429" s="238" t="str">
        <f>_xlfn.XLOOKUP(B1429,'Relacion '!$E:$E,'Relacion '!$D:$D,"")</f>
        <v/>
      </c>
      <c r="E1429" s="239">
        <f t="shared" si="335"/>
        <v>7</v>
      </c>
      <c r="F1429" s="240" cm="1">
        <f t="array" ref="F1429">MIN(INDEX('Relacion '!$AF$5:$AG$493,MATCH(INDEX($B:$B, (ROW()-5)),'Relacion '!$E$5:$E$493,0),0))</f>
        <v>46055</v>
      </c>
      <c r="G1429" s="240" cm="1">
        <f t="array" ref="G1429">MAX(INDEX('Relacion '!$AF$5:$AG$493,MATCH(INDEX($B:$B, (ROW()-5)),'Relacion '!$E$5:$E$493,0),0))</f>
        <v>46062</v>
      </c>
      <c r="H1429" s="241" cm="1">
        <f t="array" ref="H1429">IF(
 MATCH(B1429,{"01. ASIGNACION AREA";"02. MAPEO";"03. DESARROLLO";"04. VALIDA US";"05. VOBO US";"06. BW-EJECUCION";"07. VALIDACIÓN BAJAWARE";"08. CERRADA"},0)
 &lt;
 MATCH(_xlfn.XLOOKUP(INDEX($B:$B, (ROW()-5)),'Relacion '!$E:$E,'Relacion '!$D:$D,""),{"01. ASIGNACION AREA";"02. MAPEO";"03. DESARROLLO";"04. VALIDA US";"05. VOBO US";"06. BW-EJECUCION";"07. VALIDACIÓN BAJAWARE";"08. CERRADA"},0),
 1,
 IF(
  MATCH(B1429,{"01. ASIGNACION AREA";"02. MAPEO";"03. DESARROLLO";"04. VALIDA US";"05. VOBO US";"06. BW-EJECUCION";"07. VALIDACIÓN BAJAWARE";"08. CERRADA"},0)
  =
  MATCH(_xlfn.XLOOKUP(INDEX($B:$B, (ROW()-5)),'Relacion '!$E:$E,'Relacion '!$D:$D,""),{"01. ASIGNACION AREA";"02. MAPEO";"03. DESARROLLO";"04. VALIDA US";"05. VOBO US";"06. BW-EJECUCION";"07. VALIDACIÓN BAJAWARE";"08. CERRADA"},0),
  _xlfn.XLOOKUP(INDEX($B:$B, (ROW()-5)),'Relacion '!$E:$E,'Relacion '!#REF!,0),
  0
 )
)</f>
        <v>1</v>
      </c>
      <c r="I1429" s="241">
        <f t="shared" ca="1" si="332"/>
        <v>1</v>
      </c>
      <c r="J1429" s="241"/>
      <c r="K1429" s="241"/>
      <c r="L1429" s="238"/>
    </row>
    <row r="1430" spans="2:12" outlineLevel="1">
      <c r="B1430" s="237" t="s">
        <v>710</v>
      </c>
      <c r="C1430" s="237" t="s">
        <v>710</v>
      </c>
      <c r="D1430" s="238" t="str">
        <f>_xlfn.XLOOKUP(B1430,'Relacion '!$E:$E,'Relacion '!$D:$D,"")</f>
        <v/>
      </c>
      <c r="E1430" s="239">
        <f t="shared" si="335"/>
        <v>25</v>
      </c>
      <c r="F1430" s="240" cm="1">
        <f t="array" ref="F1430">MIN(INDEX('Relacion '!$AH$5:$AI$493,MATCH(INDEX($B:$B, (ROW()-6)),'Relacion '!$E$5:$E$493,0),0))</f>
        <v>46076</v>
      </c>
      <c r="G1430" s="240" cm="1">
        <f t="array" ref="G1430">MAX(INDEX('Relacion '!$AH$5:$AI$493,MATCH(INDEX($B:$B, (ROW()-6)),'Relacion '!$E$5:$E$493,0),0))</f>
        <v>46101</v>
      </c>
      <c r="H1430" s="241" t="e" cm="1">
        <f t="array" ref="H1430">IF(
 MATCH(B1430,{"01. ASIGNACION AREA";"02. MAPEO";"03. DESARROLLO";"04. VALIDA US";"05. VOBO US";"06. BW-EJECUCION";"07. VALIDACIÓN BAJAWARE";"08. CERRADA"},0)
 &lt;
 MATCH(_xlfn.XLOOKUP(INDEX($B:$B, (ROW()-6)),'Relacion '!$E:$E,'Relacion '!$D:$D,""),{"01. ASIGNACION AREA";"02. MAPEO";"03. DESARROLLO";"04. VALIDA US";"05. VOBO US";"06. BW-EJECUCION";"07. VALIDACIÓN BAJAWARE";"08. CERRADA"},0),
 1,
 IF(
  MATCH(B1430,{"01. ASIGNACION AREA";"02. MAPEO";"03. DESARROLLO";"04. VALIDA US";"05. VOBO US";"06. BW-EJECUCION";"07. VALIDACIÓN BAJAWARE";"08. CERRADA"},0)
  =
  MATCH(_xlfn.XLOOKUP(INDEX($B:$B, (ROW()-6)),'Relacion '!$E:$E,'Relacion '!$D:$D,""),{"01. ASIGNACION AREA";"02. MAPEO";"03. DESARROLLO";"04. VALIDA US";"05. VOBO US";"06. BW-EJECUCION";"07. VALIDACIÓN BAJAWARE";"08. CERRADA"},0),
  _xlfn.XLOOKUP(INDEX($B:$B, (ROW()-6)),'Relacion '!$E:$E,'Relacion '!#REF!,0),
  0
 )
)</f>
        <v>#REF!</v>
      </c>
      <c r="I1430" s="241">
        <f t="shared" ca="1" si="332"/>
        <v>1</v>
      </c>
      <c r="J1430" s="241"/>
      <c r="K1430" s="241"/>
      <c r="L1430" s="238"/>
    </row>
    <row r="1431" spans="2:12" outlineLevel="1">
      <c r="B1431" s="237" t="s">
        <v>655</v>
      </c>
      <c r="C1431" s="237" t="s">
        <v>655</v>
      </c>
      <c r="D1431" s="238" t="str">
        <f>_xlfn.XLOOKUP(B1431,'Relacion '!$E:$E,'Relacion '!$D:$D,"")</f>
        <v/>
      </c>
      <c r="E1431" s="239">
        <f t="shared" si="335"/>
        <v>25</v>
      </c>
      <c r="F1431" s="240" cm="1">
        <f t="array" ref="F1431">MIN(INDEX('Relacion '!$AJ$5:$AK$493,MATCH(INDEX($B:$B, (ROW()-7)),'Relacion '!$E$5:$E$493,0),0))</f>
        <v>46104</v>
      </c>
      <c r="G1431" s="240" cm="1">
        <f t="array" ref="G1431">MAX(INDEX('Relacion '!$AJ$5:$AK$493,MATCH(INDEX($B:$B, (ROW()-7)),'Relacion '!$E$5:$E$493,0),0))</f>
        <v>46129</v>
      </c>
      <c r="H1431" s="241" cm="1">
        <f t="array" ref="H1431">IF(
 MATCH(B1431,{"01. ASIGNACION AREA";"02. MAPEO";"03. DESARROLLO";"04. VALIDA US";"05. VOBO US";"06. BW-EJECUCION";"07. VALIDACIÓN BAJAWARE";"08. CERRADA"},0)
 &lt;
 MATCH(_xlfn.XLOOKUP(INDEX($B:$B, (ROW()-7)),'Relacion '!$E:$E,'Relacion '!$D:$D,""),{"01. ASIGNACION AREA";"02. MAPEO";"03. DESARROLLO";"04. VALIDA US";"05. VOBO US";"06. BW-EJECUCION";"07. VALIDACIÓN BAJAWARE";"08. CERRADA"},0),
 1,
 IF(
  MATCH(B1431,{"01. ASIGNACION AREA";"02. MAPEO";"03. DESARROLLO";"04. VALIDA US";"05. VOBO US";"06. BW-EJECUCION";"07. VALIDACIÓN BAJAWARE";"08. CERRADA"},0)
  =
  MATCH(_xlfn.XLOOKUP(INDEX($B:$B, (ROW()-7)),'Relacion '!$E:$E,'Relacion '!$D:$D,""),{"01. ASIGNACION AREA";"02. MAPEO";"03. DESARROLLO";"04. VALIDA US";"05. VOBO US";"06. BW-EJECUCION";"07. VALIDACIÓN BAJAWARE";"08. CERRADA"},0),
  _xlfn.XLOOKUP(INDEX($B:$B, (ROW()-7)),'Relacion '!$E:$E,'Relacion '!#REF!,0),
  0
 )
)</f>
        <v>0</v>
      </c>
      <c r="I1431" s="241">
        <f t="shared" ca="1" si="332"/>
        <v>1</v>
      </c>
      <c r="J1431" s="241"/>
      <c r="K1431" s="241"/>
      <c r="L1431" s="238"/>
    </row>
    <row r="1432" spans="2:12" outlineLevel="1">
      <c r="B1432" s="237" t="s">
        <v>656</v>
      </c>
      <c r="C1432" s="237" t="s">
        <v>656</v>
      </c>
      <c r="D1432" s="238" t="str">
        <f>_xlfn.XLOOKUP(B1432,'Relacion '!$E:$E,'Relacion '!$D:$D,"")</f>
        <v/>
      </c>
      <c r="E1432" s="239">
        <f t="shared" si="335"/>
        <v>0</v>
      </c>
      <c r="F1432" s="240" cm="1">
        <f t="array" ref="F1432">MIN(INDEX('Relacion '!$AL$5:$AM$493,MATCH(INDEX($B:$B, (ROW()-8)),'Relacion '!$E$5:$E$493,0),0))</f>
        <v>46130</v>
      </c>
      <c r="G1432" s="240" cm="1">
        <f t="array" ref="G1432">MAX(INDEX('Relacion '!$AL$5:$AM$493,MATCH(INDEX($B:$B, (ROW()-8)),'Relacion '!$E$5:$E$493,0),0))</f>
        <v>46130</v>
      </c>
      <c r="H1432" s="241" cm="1">
        <f t="array" ref="H1432">IF(
 MATCH(B1432,{"01. ASIGNACION AREA";"02. MAPEO";"03. DESARROLLO";"04. VALIDA US";"05. VOBO US";"06. BW-EJECUCION";"07. VALIDACIÓN BAJAWARE";"08. CERRADA"},0)
 &lt;
 MATCH(_xlfn.XLOOKUP(INDEX($B:$B, (ROW()-8)),'Relacion '!$E:$E,'Relacion '!$D:$D,""),{"01. ASIGNACION AREA";"02. MAPEO";"03. DESARROLLO";"04. VALIDA US";"05. VOBO US";"06. BW-EJECUCION";"07. VALIDACIÓN BAJAWARE";"08. CERRADA"},0),
 1,
 IF(
  MATCH(B1432,{"01. ASIGNACION AREA";"02. MAPEO";"03. DESARROLLO";"04. VALIDA US";"05. VOBO US";"06. BW-EJECUCION";"07. VALIDACIÓN BAJAWARE";"08. CERRADA"},0)
  =
  MATCH(_xlfn.XLOOKUP(INDEX($B:$B, (ROW()-8)),'Relacion '!$E:$E,'Relacion '!$D:$D,""),{"01. ASIGNACION AREA";"02. MAPEO";"03. DESARROLLO";"04. VALIDA US";"05. VOBO US";"06. BW-EJECUCION";"07. VALIDACIÓN BAJAWARE";"08. CERRADA"},0),
  _xlfn.XLOOKUP(INDEX($B:$B, (ROW()-8)),'Relacion '!$E:$E,'Relacion '!#REF!,0),
  0
 )
)</f>
        <v>0</v>
      </c>
      <c r="I1432" s="241">
        <f t="shared" ca="1" si="332"/>
        <v>1</v>
      </c>
      <c r="J1432" s="241"/>
      <c r="K1432" s="241"/>
      <c r="L1432" s="238"/>
    </row>
    <row r="1433" spans="2:12">
      <c r="B1433" s="232" t="s">
        <v>587</v>
      </c>
      <c r="C1433" s="167" t="s">
        <v>578</v>
      </c>
      <c r="D1433" s="236" t="str">
        <f>_xlfn.XLOOKUP(B1433,'Relacion '!$E:$E,'Relacion '!$D:$D,"")</f>
        <v>06. BW-EJECUCION</v>
      </c>
      <c r="E1433" s="233">
        <f t="shared" si="335"/>
        <v>471</v>
      </c>
      <c r="F1433" s="234" cm="1">
        <f t="array" ref="F1433">MIN(INDEX('Relacion '!$X$5:$AM$493,MATCH(INDEX($B:$B, (ROW()-0)),'Relacion '!$E$5:$E$493,0),0))</f>
        <v>45659</v>
      </c>
      <c r="G1433" s="234" cm="1">
        <f t="array" ref="G1433">MAX(INDEX('Relacion '!$X$5:$AM$493,MATCH(INDEX($B:$B, (ROW()-0)),'Relacion '!$E$5:$E$493,0),0))</f>
        <v>46130</v>
      </c>
      <c r="H1433" s="235" t="e">
        <f>AVERAGE(H1434:H1441)</f>
        <v>#REF!</v>
      </c>
      <c r="I1433" s="235">
        <f t="shared" ref="I1433" ca="1" si="340">AVERAGE(I1434:I1441)</f>
        <v>1</v>
      </c>
      <c r="J1433" s="236" t="str">
        <f>IF(ISNUMBER(SEARCH("Rocha", _xlfn.XLOOKUP(B1433,'Relacion '!$E:$E,'Relacion '!$I:$I,""))), "Sí", "No")</f>
        <v>No</v>
      </c>
      <c r="K1433" s="236" t="str">
        <f>IF(ISNUMBER(SEARCH("Rocha", _xlfn.XLOOKUP(B1433,'Relacion '!$E:$E,'Relacion '!$I:$I,""))), "RMC", _xlfn.XLOOKUP(B1433,'Relacion '!$E:$E,'Relacion '!$B:$B,""))</f>
        <v>Producto</v>
      </c>
      <c r="L1433" s="236" t="str">
        <f>_xlfn.XLOOKUP(B1433,'Relacion '!$E:$E,'Relacion '!$C:$C,"")</f>
        <v>Claudia Barroso</v>
      </c>
    </row>
    <row r="1434" spans="2:12" outlineLevel="1">
      <c r="B1434" s="237" t="s">
        <v>654</v>
      </c>
      <c r="C1434" s="237" t="s">
        <v>654</v>
      </c>
      <c r="D1434" s="238" t="str">
        <f>_xlfn.XLOOKUP(B1434,'Relacion '!$E:$E,'Relacion '!$D:$D,"")</f>
        <v/>
      </c>
      <c r="E1434" s="239">
        <f t="shared" si="335"/>
        <v>424</v>
      </c>
      <c r="F1434" s="240" cm="1">
        <f t="array" ref="F1434">MIN(INDEX('Relacion '!$X$5:$Y$493,MATCH(INDEX($B:$B, (ROW()-1)),'Relacion '!$E$5:$E$493,0),0))</f>
        <v>45659</v>
      </c>
      <c r="G1434" s="240" cm="1">
        <f t="array" ref="G1434">MAX(INDEX('Relacion '!$X$5:$Y$493,MATCH(INDEX($B:$B, (ROW()-1)),'Relacion '!$E$5:$E$493,0),0))</f>
        <v>46083</v>
      </c>
      <c r="H1434" s="241" cm="1">
        <f t="array" ref="H1434">IF(
 MATCH(B1434,{"01. ASIGNACION AREA";"02. MAPEO";"03. DESARROLLO";"04. VALIDA US";"05. VOBO US";"06. BW-EJECUCION";"07. VALIDACIÓN BAJAWARE";"08. CERRADA"},0)
 &lt;
 MATCH(_xlfn.XLOOKUP(INDEX($B:$B, (ROW()-1)),'Relacion '!$E:$E,'Relacion '!$D:$D,""),{"01. ASIGNACION AREA";"02. MAPEO";"03. DESARROLLO";"04. VALIDA US";"05. VOBO US";"06. BW-EJECUCION";"07. VALIDACIÓN BAJAWARE";"08. CERRADA"},0),
 1,
 IF(
  MATCH(B1434,{"01. ASIGNACION AREA";"02. MAPEO";"03. DESARROLLO";"04. VALIDA US";"05. VOBO US";"06. BW-EJECUCION";"07. VALIDACIÓN BAJAWARE";"08. CERRADA"},0)
  =
  MATCH(_xlfn.XLOOKUP(INDEX($B:$B, (ROW()-1)),'Relacion '!$E:$E,'Relacion '!$D:$D,""),{"01. ASIGNACION AREA";"02. MAPEO";"03. DESARROLLO";"04. VALIDA US";"05. VOBO US";"06. BW-EJECUCION";"07. VALIDACIÓN BAJAWARE";"08. CERRADA"},0),
  _xlfn.XLOOKUP(INDEX($B:$B, (ROW()-1)),'Relacion '!$E:$E,'Relacion '!#REF!,0),
  0
 )
)</f>
        <v>1</v>
      </c>
      <c r="I1434" s="241">
        <f t="shared" ref="I1434" ca="1" si="341">IF(G1434&lt;=TODAY(), 1, 0)</f>
        <v>1</v>
      </c>
      <c r="J1434" s="241"/>
      <c r="K1434" s="241"/>
      <c r="L1434" s="238"/>
    </row>
    <row r="1435" spans="2:12" outlineLevel="1">
      <c r="B1435" s="237" t="s">
        <v>195</v>
      </c>
      <c r="C1435" s="237" t="s">
        <v>195</v>
      </c>
      <c r="D1435" s="238" t="str">
        <f>_xlfn.XLOOKUP(B1435,'Relacion '!$E:$E,'Relacion '!$D:$D,"")</f>
        <v/>
      </c>
      <c r="E1435" s="239">
        <f t="shared" si="335"/>
        <v>4</v>
      </c>
      <c r="F1435" s="240" cm="1">
        <f t="array" ref="F1435">MIN(INDEX('Relacion '!$Z$5:$AA$493,MATCH(INDEX($B:$B, (ROW()-2)),'Relacion '!$E$5:$E$493,0),0))</f>
        <v>46034</v>
      </c>
      <c r="G1435" s="240" cm="1">
        <f t="array" ref="G1435">MAX(INDEX('Relacion '!$Z$5:$AA$493,MATCH(INDEX($B:$B, (ROW()-2)),'Relacion '!$E$5:$E$493,0),0))</f>
        <v>46038</v>
      </c>
      <c r="H1435" s="241" cm="1">
        <f t="array" ref="H1435">IF(
 MATCH(B1435,{"01. ASIGNACION AREA";"02. MAPEO";"03. DESARROLLO";"04. VALIDA US";"05. VOBO US";"06. BW-EJECUCION";"07. VALIDACIÓN BAJAWARE";"08. CERRADA"},0)
 &lt;
 MATCH(_xlfn.XLOOKUP(INDEX($B:$B, (ROW()-2)),'Relacion '!$E:$E,'Relacion '!$D:$D,""),{"01. ASIGNACION AREA";"02. MAPEO";"03. DESARROLLO";"04. VALIDA US";"05. VOBO US";"06. BW-EJECUCION";"07. VALIDACIÓN BAJAWARE";"08. CERRADA"},0),
 1,
 IF(
  MATCH(B1435,{"01. ASIGNACION AREA";"02. MAPEO";"03. DESARROLLO";"04. VALIDA US";"05. VOBO US";"06. BW-EJECUCION";"07. VALIDACIÓN BAJAWARE";"08. CERRADA"},0)
  =
  MATCH(_xlfn.XLOOKUP(INDEX($B:$B, (ROW()-2)),'Relacion '!$E:$E,'Relacion '!$D:$D,""),{"01. ASIGNACION AREA";"02. MAPEO";"03. DESARROLLO";"04. VALIDA US";"05. VOBO US";"06. BW-EJECUCION";"07. VALIDACIÓN BAJAWARE";"08. CERRADA"},0),
  _xlfn.XLOOKUP(INDEX($B:$B, (ROW()-2)),'Relacion '!$E:$E,'Relacion '!#REF!,0),
  0
 )
)</f>
        <v>1</v>
      </c>
      <c r="I1435" s="241">
        <f t="shared" ca="1" si="332"/>
        <v>1</v>
      </c>
      <c r="J1435" s="241"/>
      <c r="K1435" s="241"/>
      <c r="L1435" s="238"/>
    </row>
    <row r="1436" spans="2:12" outlineLevel="1">
      <c r="B1436" s="237" t="s">
        <v>49</v>
      </c>
      <c r="C1436" s="237" t="s">
        <v>49</v>
      </c>
      <c r="D1436" s="238" t="str">
        <f>_xlfn.XLOOKUP(B1436,'Relacion '!$E:$E,'Relacion '!$D:$D,"")</f>
        <v/>
      </c>
      <c r="E1436" s="239">
        <f t="shared" si="335"/>
        <v>4</v>
      </c>
      <c r="F1436" s="240" cm="1">
        <f t="array" ref="F1436">MIN(INDEX('Relacion '!$AB$5:$AC$493,MATCH(INDEX($B:$B, (ROW()-3)),'Relacion '!$E$5:$E$493,0),0))</f>
        <v>46041</v>
      </c>
      <c r="G1436" s="240" cm="1">
        <f t="array" ref="G1436">MAX(INDEX('Relacion '!$AB$5:$AC$493,MATCH(INDEX($B:$B, (ROW()-3)),'Relacion '!$E$5:$E$493,0),0))</f>
        <v>46045</v>
      </c>
      <c r="H1436" s="241" cm="1">
        <f t="array" ref="H1436">IF(
 MATCH(B1436,{"01. ASIGNACION AREA";"02. MAPEO";"03. DESARROLLO";"04. VALIDA US";"05. VOBO US";"06. BW-EJECUCION";"07. VALIDACIÓN BAJAWARE";"08. CERRADA"},0)
 &lt;
 MATCH(_xlfn.XLOOKUP(INDEX($B:$B, (ROW()-3)),'Relacion '!$E:$E,'Relacion '!$D:$D,""),{"01. ASIGNACION AREA";"02. MAPEO";"03. DESARROLLO";"04. VALIDA US";"05. VOBO US";"06. BW-EJECUCION";"07. VALIDACIÓN BAJAWARE";"08. CERRADA"},0),
 1,
 IF(
  MATCH(B1436,{"01. ASIGNACION AREA";"02. MAPEO";"03. DESARROLLO";"04. VALIDA US";"05. VOBO US";"06. BW-EJECUCION";"07. VALIDACIÓN BAJAWARE";"08. CERRADA"},0)
  =
  MATCH(_xlfn.XLOOKUP(INDEX($B:$B, (ROW()-3)),'Relacion '!$E:$E,'Relacion '!$D:$D,""),{"01. ASIGNACION AREA";"02. MAPEO";"03. DESARROLLO";"04. VALIDA US";"05. VOBO US";"06. BW-EJECUCION";"07. VALIDACIÓN BAJAWARE";"08. CERRADA"},0),
  _xlfn.XLOOKUP(INDEX($B:$B, (ROW()-3)),'Relacion '!$E:$E,'Relacion '!#REF!,0),
  0
 )
)</f>
        <v>1</v>
      </c>
      <c r="I1436" s="241">
        <f t="shared" ca="1" si="332"/>
        <v>1</v>
      </c>
      <c r="J1436" s="241"/>
      <c r="K1436" s="241"/>
      <c r="L1436" s="238"/>
    </row>
    <row r="1437" spans="2:12" outlineLevel="1">
      <c r="B1437" s="237" t="s">
        <v>324</v>
      </c>
      <c r="C1437" s="237" t="s">
        <v>324</v>
      </c>
      <c r="D1437" s="238" t="str">
        <f>_xlfn.XLOOKUP(B1437,'Relacion '!$E:$E,'Relacion '!$D:$D,"")</f>
        <v/>
      </c>
      <c r="E1437" s="239">
        <f t="shared" si="335"/>
        <v>4</v>
      </c>
      <c r="F1437" s="240" cm="1">
        <f t="array" ref="F1437">MIN(INDEX('Relacion '!$AD$5:$AE$493,MATCH(INDEX($B:$B, (ROW()-4)),'Relacion '!$E$5:$E$493,0),0))</f>
        <v>46048</v>
      </c>
      <c r="G1437" s="240" cm="1">
        <f t="array" ref="G1437">MAX(INDEX('Relacion '!$AD$5:$AE$493,MATCH(INDEX($B:$B, (ROW()-4)),'Relacion '!$E$5:$E$493,0),0))</f>
        <v>46052</v>
      </c>
      <c r="H1437" s="241" cm="1">
        <f t="array" ref="H1437">IF(
 MATCH(B1437,{"01. ASIGNACION AREA";"02. MAPEO";"03. DESARROLLO";"04. VALIDA US";"05. VOBO US";"06. BW-EJECUCION";"07. VALIDACIÓN BAJAWARE";"08. CERRADA"},0)
 &lt;
 MATCH(_xlfn.XLOOKUP(INDEX($B:$B, (ROW()-4)),'Relacion '!$E:$E,'Relacion '!$D:$D,""),{"01. ASIGNACION AREA";"02. MAPEO";"03. DESARROLLO";"04. VALIDA US";"05. VOBO US";"06. BW-EJECUCION";"07. VALIDACIÓN BAJAWARE";"08. CERRADA"},0),
 1,
 IF(
  MATCH(B1437,{"01. ASIGNACION AREA";"02. MAPEO";"03. DESARROLLO";"04. VALIDA US";"05. VOBO US";"06. BW-EJECUCION";"07. VALIDACIÓN BAJAWARE";"08. CERRADA"},0)
  =
  MATCH(_xlfn.XLOOKUP(INDEX($B:$B, (ROW()-4)),'Relacion '!$E:$E,'Relacion '!$D:$D,""),{"01. ASIGNACION AREA";"02. MAPEO";"03. DESARROLLO";"04. VALIDA US";"05. VOBO US";"06. BW-EJECUCION";"07. VALIDACIÓN BAJAWARE";"08. CERRADA"},0),
  _xlfn.XLOOKUP(INDEX($B:$B, (ROW()-4)),'Relacion '!$E:$E,'Relacion '!#REF!,0),
  0
 )
)</f>
        <v>1</v>
      </c>
      <c r="I1437" s="241">
        <f t="shared" ca="1" si="332"/>
        <v>1</v>
      </c>
      <c r="J1437" s="241"/>
      <c r="K1437" s="241"/>
      <c r="L1437" s="238"/>
    </row>
    <row r="1438" spans="2:12" outlineLevel="1">
      <c r="B1438" s="237" t="s">
        <v>320</v>
      </c>
      <c r="C1438" s="237" t="s">
        <v>320</v>
      </c>
      <c r="D1438" s="238" t="str">
        <f>_xlfn.XLOOKUP(B1438,'Relacion '!$E:$E,'Relacion '!$D:$D,"")</f>
        <v/>
      </c>
      <c r="E1438" s="239">
        <f t="shared" si="335"/>
        <v>7</v>
      </c>
      <c r="F1438" s="240" cm="1">
        <f t="array" ref="F1438">MIN(INDEX('Relacion '!$AF$5:$AG$493,MATCH(INDEX($B:$B, (ROW()-5)),'Relacion '!$E$5:$E$493,0),0))</f>
        <v>46055</v>
      </c>
      <c r="G1438" s="240" cm="1">
        <f t="array" ref="G1438">MAX(INDEX('Relacion '!$AF$5:$AG$493,MATCH(INDEX($B:$B, (ROW()-5)),'Relacion '!$E$5:$E$493,0),0))</f>
        <v>46062</v>
      </c>
      <c r="H1438" s="241" cm="1">
        <f t="array" ref="H1438">IF(
 MATCH(B1438,{"01. ASIGNACION AREA";"02. MAPEO";"03. DESARROLLO";"04. VALIDA US";"05. VOBO US";"06. BW-EJECUCION";"07. VALIDACIÓN BAJAWARE";"08. CERRADA"},0)
 &lt;
 MATCH(_xlfn.XLOOKUP(INDEX($B:$B, (ROW()-5)),'Relacion '!$E:$E,'Relacion '!$D:$D,""),{"01. ASIGNACION AREA";"02. MAPEO";"03. DESARROLLO";"04. VALIDA US";"05. VOBO US";"06. BW-EJECUCION";"07. VALIDACIÓN BAJAWARE";"08. CERRADA"},0),
 1,
 IF(
  MATCH(B1438,{"01. ASIGNACION AREA";"02. MAPEO";"03. DESARROLLO";"04. VALIDA US";"05. VOBO US";"06. BW-EJECUCION";"07. VALIDACIÓN BAJAWARE";"08. CERRADA"},0)
  =
  MATCH(_xlfn.XLOOKUP(INDEX($B:$B, (ROW()-5)),'Relacion '!$E:$E,'Relacion '!$D:$D,""),{"01. ASIGNACION AREA";"02. MAPEO";"03. DESARROLLO";"04. VALIDA US";"05. VOBO US";"06. BW-EJECUCION";"07. VALIDACIÓN BAJAWARE";"08. CERRADA"},0),
  _xlfn.XLOOKUP(INDEX($B:$B, (ROW()-5)),'Relacion '!$E:$E,'Relacion '!#REF!,0),
  0
 )
)</f>
        <v>1</v>
      </c>
      <c r="I1438" s="241">
        <f t="shared" ca="1" si="332"/>
        <v>1</v>
      </c>
      <c r="J1438" s="241"/>
      <c r="K1438" s="241"/>
      <c r="L1438" s="238"/>
    </row>
    <row r="1439" spans="2:12" outlineLevel="1">
      <c r="B1439" s="237" t="s">
        <v>710</v>
      </c>
      <c r="C1439" s="237" t="s">
        <v>710</v>
      </c>
      <c r="D1439" s="238" t="str">
        <f>_xlfn.XLOOKUP(B1439,'Relacion '!$E:$E,'Relacion '!$D:$D,"")</f>
        <v/>
      </c>
      <c r="E1439" s="239">
        <f t="shared" si="335"/>
        <v>25</v>
      </c>
      <c r="F1439" s="240" cm="1">
        <f t="array" ref="F1439">MIN(INDEX('Relacion '!$AH$5:$AI$493,MATCH(INDEX($B:$B, (ROW()-6)),'Relacion '!$E$5:$E$493,0),0))</f>
        <v>46076</v>
      </c>
      <c r="G1439" s="240" cm="1">
        <f t="array" ref="G1439">MAX(INDEX('Relacion '!$AH$5:$AI$493,MATCH(INDEX($B:$B, (ROW()-6)),'Relacion '!$E$5:$E$493,0),0))</f>
        <v>46101</v>
      </c>
      <c r="H1439" s="241" t="e" cm="1">
        <f t="array" ref="H1439">IF(
 MATCH(B1439,{"01. ASIGNACION AREA";"02. MAPEO";"03. DESARROLLO";"04. VALIDA US";"05. VOBO US";"06. BW-EJECUCION";"07. VALIDACIÓN BAJAWARE";"08. CERRADA"},0)
 &lt;
 MATCH(_xlfn.XLOOKUP(INDEX($B:$B, (ROW()-6)),'Relacion '!$E:$E,'Relacion '!$D:$D,""),{"01. ASIGNACION AREA";"02. MAPEO";"03. DESARROLLO";"04. VALIDA US";"05. VOBO US";"06. BW-EJECUCION";"07. VALIDACIÓN BAJAWARE";"08. CERRADA"},0),
 1,
 IF(
  MATCH(B1439,{"01. ASIGNACION AREA";"02. MAPEO";"03. DESARROLLO";"04. VALIDA US";"05. VOBO US";"06. BW-EJECUCION";"07. VALIDACIÓN BAJAWARE";"08. CERRADA"},0)
  =
  MATCH(_xlfn.XLOOKUP(INDEX($B:$B, (ROW()-6)),'Relacion '!$E:$E,'Relacion '!$D:$D,""),{"01. ASIGNACION AREA";"02. MAPEO";"03. DESARROLLO";"04. VALIDA US";"05. VOBO US";"06. BW-EJECUCION";"07. VALIDACIÓN BAJAWARE";"08. CERRADA"},0),
  _xlfn.XLOOKUP(INDEX($B:$B, (ROW()-6)),'Relacion '!$E:$E,'Relacion '!#REF!,0),
  0
 )
)</f>
        <v>#REF!</v>
      </c>
      <c r="I1439" s="241">
        <f t="shared" ca="1" si="332"/>
        <v>1</v>
      </c>
      <c r="J1439" s="241"/>
      <c r="K1439" s="241"/>
      <c r="L1439" s="238"/>
    </row>
    <row r="1440" spans="2:12" outlineLevel="1">
      <c r="B1440" s="237" t="s">
        <v>655</v>
      </c>
      <c r="C1440" s="237" t="s">
        <v>655</v>
      </c>
      <c r="D1440" s="238" t="str">
        <f>_xlfn.XLOOKUP(B1440,'Relacion '!$E:$E,'Relacion '!$D:$D,"")</f>
        <v/>
      </c>
      <c r="E1440" s="239">
        <f t="shared" si="335"/>
        <v>25</v>
      </c>
      <c r="F1440" s="240" cm="1">
        <f t="array" ref="F1440">MIN(INDEX('Relacion '!$AJ$5:$AK$493,MATCH(INDEX($B:$B, (ROW()-7)),'Relacion '!$E$5:$E$493,0),0))</f>
        <v>46104</v>
      </c>
      <c r="G1440" s="240" cm="1">
        <f t="array" ref="G1440">MAX(INDEX('Relacion '!$AJ$5:$AK$493,MATCH(INDEX($B:$B, (ROW()-7)),'Relacion '!$E$5:$E$493,0),0))</f>
        <v>46129</v>
      </c>
      <c r="H1440" s="241" cm="1">
        <f t="array" ref="H1440">IF(
 MATCH(B1440,{"01. ASIGNACION AREA";"02. MAPEO";"03. DESARROLLO";"04. VALIDA US";"05. VOBO US";"06. BW-EJECUCION";"07. VALIDACIÓN BAJAWARE";"08. CERRADA"},0)
 &lt;
 MATCH(_xlfn.XLOOKUP(INDEX($B:$B, (ROW()-7)),'Relacion '!$E:$E,'Relacion '!$D:$D,""),{"01. ASIGNACION AREA";"02. MAPEO";"03. DESARROLLO";"04. VALIDA US";"05. VOBO US";"06. BW-EJECUCION";"07. VALIDACIÓN BAJAWARE";"08. CERRADA"},0),
 1,
 IF(
  MATCH(B1440,{"01. ASIGNACION AREA";"02. MAPEO";"03. DESARROLLO";"04. VALIDA US";"05. VOBO US";"06. BW-EJECUCION";"07. VALIDACIÓN BAJAWARE";"08. CERRADA"},0)
  =
  MATCH(_xlfn.XLOOKUP(INDEX($B:$B, (ROW()-7)),'Relacion '!$E:$E,'Relacion '!$D:$D,""),{"01. ASIGNACION AREA";"02. MAPEO";"03. DESARROLLO";"04. VALIDA US";"05. VOBO US";"06. BW-EJECUCION";"07. VALIDACIÓN BAJAWARE";"08. CERRADA"},0),
  _xlfn.XLOOKUP(INDEX($B:$B, (ROW()-7)),'Relacion '!$E:$E,'Relacion '!#REF!,0),
  0
 )
)</f>
        <v>0</v>
      </c>
      <c r="I1440" s="241">
        <f t="shared" ca="1" si="332"/>
        <v>1</v>
      </c>
      <c r="J1440" s="241"/>
      <c r="K1440" s="241"/>
      <c r="L1440" s="238"/>
    </row>
    <row r="1441" spans="2:12" outlineLevel="1">
      <c r="B1441" s="237" t="s">
        <v>656</v>
      </c>
      <c r="C1441" s="237" t="s">
        <v>656</v>
      </c>
      <c r="D1441" s="238" t="str">
        <f>_xlfn.XLOOKUP(B1441,'Relacion '!$E:$E,'Relacion '!$D:$D,"")</f>
        <v/>
      </c>
      <c r="E1441" s="239">
        <f t="shared" si="335"/>
        <v>0</v>
      </c>
      <c r="F1441" s="240" cm="1">
        <f t="array" ref="F1441">MIN(INDEX('Relacion '!$AL$5:$AM$493,MATCH(INDEX($B:$B, (ROW()-8)),'Relacion '!$E$5:$E$493,0),0))</f>
        <v>46130</v>
      </c>
      <c r="G1441" s="240" cm="1">
        <f t="array" ref="G1441">MAX(INDEX('Relacion '!$AL$5:$AM$493,MATCH(INDEX($B:$B, (ROW()-8)),'Relacion '!$E$5:$E$493,0),0))</f>
        <v>46130</v>
      </c>
      <c r="H1441" s="241" cm="1">
        <f t="array" ref="H1441">IF(
 MATCH(B1441,{"01. ASIGNACION AREA";"02. MAPEO";"03. DESARROLLO";"04. VALIDA US";"05. VOBO US";"06. BW-EJECUCION";"07. VALIDACIÓN BAJAWARE";"08. CERRADA"},0)
 &lt;
 MATCH(_xlfn.XLOOKUP(INDEX($B:$B, (ROW()-8)),'Relacion '!$E:$E,'Relacion '!$D:$D,""),{"01. ASIGNACION AREA";"02. MAPEO";"03. DESARROLLO";"04. VALIDA US";"05. VOBO US";"06. BW-EJECUCION";"07. VALIDACIÓN BAJAWARE";"08. CERRADA"},0),
 1,
 IF(
  MATCH(B1441,{"01. ASIGNACION AREA";"02. MAPEO";"03. DESARROLLO";"04. VALIDA US";"05. VOBO US";"06. BW-EJECUCION";"07. VALIDACIÓN BAJAWARE";"08. CERRADA"},0)
  =
  MATCH(_xlfn.XLOOKUP(INDEX($B:$B, (ROW()-8)),'Relacion '!$E:$E,'Relacion '!$D:$D,""),{"01. ASIGNACION AREA";"02. MAPEO";"03. DESARROLLO";"04. VALIDA US";"05. VOBO US";"06. BW-EJECUCION";"07. VALIDACIÓN BAJAWARE";"08. CERRADA"},0),
  _xlfn.XLOOKUP(INDEX($B:$B, (ROW()-8)),'Relacion '!$E:$E,'Relacion '!#REF!,0),
  0
 )
)</f>
        <v>0</v>
      </c>
      <c r="I1441" s="241">
        <f t="shared" ca="1" si="332"/>
        <v>1</v>
      </c>
      <c r="J1441" s="241"/>
      <c r="K1441" s="241"/>
      <c r="L1441" s="238"/>
    </row>
    <row r="1442" spans="2:12">
      <c r="B1442" s="232" t="s">
        <v>588</v>
      </c>
      <c r="C1442" s="167" t="s">
        <v>578</v>
      </c>
      <c r="D1442" s="236" t="str">
        <f>_xlfn.XLOOKUP(B1442,'Relacion '!$E:$E,'Relacion '!$D:$D,"")</f>
        <v>06. BW-EJECUCION</v>
      </c>
      <c r="E1442" s="233">
        <f t="shared" si="335"/>
        <v>471</v>
      </c>
      <c r="F1442" s="234" cm="1">
        <f t="array" ref="F1442">MIN(INDEX('Relacion '!$X$5:$AM$493,MATCH(INDEX($B:$B, (ROW()-0)),'Relacion '!$E$5:$E$493,0),0))</f>
        <v>45659</v>
      </c>
      <c r="G1442" s="234" cm="1">
        <f t="array" ref="G1442">MAX(INDEX('Relacion '!$X$5:$AM$493,MATCH(INDEX($B:$B, (ROW()-0)),'Relacion '!$E$5:$E$493,0),0))</f>
        <v>46130</v>
      </c>
      <c r="H1442" s="235" t="e">
        <f>AVERAGE(H1443:H1450)</f>
        <v>#REF!</v>
      </c>
      <c r="I1442" s="235">
        <f t="shared" ref="I1442" ca="1" si="342">AVERAGE(I1443:I1450)</f>
        <v>1</v>
      </c>
      <c r="J1442" s="236" t="str">
        <f>IF(ISNUMBER(SEARCH("Rocha", _xlfn.XLOOKUP(B1442,'Relacion '!$E:$E,'Relacion '!$I:$I,""))), "Sí", "No")</f>
        <v>No</v>
      </c>
      <c r="K1442" s="236" t="str">
        <f>IF(ISNUMBER(SEARCH("Rocha", _xlfn.XLOOKUP(B1442,'Relacion '!$E:$E,'Relacion '!$I:$I,""))), "RMC", _xlfn.XLOOKUP(B1442,'Relacion '!$E:$E,'Relacion '!$B:$B,""))</f>
        <v>Producto</v>
      </c>
      <c r="L1442" s="236" t="str">
        <f>_xlfn.XLOOKUP(B1442,'Relacion '!$E:$E,'Relacion '!$C:$C,"")</f>
        <v>Claudia Barroso</v>
      </c>
    </row>
    <row r="1443" spans="2:12" outlineLevel="1">
      <c r="B1443" s="237" t="s">
        <v>654</v>
      </c>
      <c r="C1443" s="237" t="s">
        <v>654</v>
      </c>
      <c r="D1443" s="238" t="str">
        <f>_xlfn.XLOOKUP(B1443,'Relacion '!$E:$E,'Relacion '!$D:$D,"")</f>
        <v/>
      </c>
      <c r="E1443" s="239">
        <f t="shared" si="335"/>
        <v>424</v>
      </c>
      <c r="F1443" s="240" cm="1">
        <f t="array" ref="F1443">MIN(INDEX('Relacion '!$X$5:$Y$493,MATCH(INDEX($B:$B, (ROW()-1)),'Relacion '!$E$5:$E$493,0),0))</f>
        <v>45659</v>
      </c>
      <c r="G1443" s="240" cm="1">
        <f t="array" ref="G1443">MAX(INDEX('Relacion '!$X$5:$Y$493,MATCH(INDEX($B:$B, (ROW()-1)),'Relacion '!$E$5:$E$493,0),0))</f>
        <v>46083</v>
      </c>
      <c r="H1443" s="241" cm="1">
        <f t="array" ref="H1443">IF(
 MATCH(B1443,{"01. ASIGNACION AREA";"02. MAPEO";"03. DESARROLLO";"04. VALIDA US";"05. VOBO US";"06. BW-EJECUCION";"07. VALIDACIÓN BAJAWARE";"08. CERRADA"},0)
 &lt;
 MATCH(_xlfn.XLOOKUP(INDEX($B:$B, (ROW()-1)),'Relacion '!$E:$E,'Relacion '!$D:$D,""),{"01. ASIGNACION AREA";"02. MAPEO";"03. DESARROLLO";"04. VALIDA US";"05. VOBO US";"06. BW-EJECUCION";"07. VALIDACIÓN BAJAWARE";"08. CERRADA"},0),
 1,
 IF(
  MATCH(B1443,{"01. ASIGNACION AREA";"02. MAPEO";"03. DESARROLLO";"04. VALIDA US";"05. VOBO US";"06. BW-EJECUCION";"07. VALIDACIÓN BAJAWARE";"08. CERRADA"},0)
  =
  MATCH(_xlfn.XLOOKUP(INDEX($B:$B, (ROW()-1)),'Relacion '!$E:$E,'Relacion '!$D:$D,""),{"01. ASIGNACION AREA";"02. MAPEO";"03. DESARROLLO";"04. VALIDA US";"05. VOBO US";"06. BW-EJECUCION";"07. VALIDACIÓN BAJAWARE";"08. CERRADA"},0),
  _xlfn.XLOOKUP(INDEX($B:$B, (ROW()-1)),'Relacion '!$E:$E,'Relacion '!#REF!,0),
  0
 )
)</f>
        <v>1</v>
      </c>
      <c r="I1443" s="241">
        <f t="shared" ref="I1443" ca="1" si="343">IF(G1443&lt;=TODAY(), 1, 0)</f>
        <v>1</v>
      </c>
      <c r="J1443" s="241"/>
      <c r="K1443" s="241"/>
      <c r="L1443" s="238"/>
    </row>
    <row r="1444" spans="2:12" outlineLevel="1">
      <c r="B1444" s="237" t="s">
        <v>195</v>
      </c>
      <c r="C1444" s="237" t="s">
        <v>195</v>
      </c>
      <c r="D1444" s="238" t="str">
        <f>_xlfn.XLOOKUP(B1444,'Relacion '!$E:$E,'Relacion '!$D:$D,"")</f>
        <v/>
      </c>
      <c r="E1444" s="239">
        <f t="shared" si="335"/>
        <v>4</v>
      </c>
      <c r="F1444" s="240" cm="1">
        <f t="array" ref="F1444">MIN(INDEX('Relacion '!$Z$5:$AA$493,MATCH(INDEX($B:$B, (ROW()-2)),'Relacion '!$E$5:$E$493,0),0))</f>
        <v>46034</v>
      </c>
      <c r="G1444" s="240" cm="1">
        <f t="array" ref="G1444">MAX(INDEX('Relacion '!$Z$5:$AA$493,MATCH(INDEX($B:$B, (ROW()-2)),'Relacion '!$E$5:$E$493,0),0))</f>
        <v>46038</v>
      </c>
      <c r="H1444" s="241" cm="1">
        <f t="array" ref="H1444">IF(
 MATCH(B1444,{"01. ASIGNACION AREA";"02. MAPEO";"03. DESARROLLO";"04. VALIDA US";"05. VOBO US";"06. BW-EJECUCION";"07. VALIDACIÓN BAJAWARE";"08. CERRADA"},0)
 &lt;
 MATCH(_xlfn.XLOOKUP(INDEX($B:$B, (ROW()-2)),'Relacion '!$E:$E,'Relacion '!$D:$D,""),{"01. ASIGNACION AREA";"02. MAPEO";"03. DESARROLLO";"04. VALIDA US";"05. VOBO US";"06. BW-EJECUCION";"07. VALIDACIÓN BAJAWARE";"08. CERRADA"},0),
 1,
 IF(
  MATCH(B1444,{"01. ASIGNACION AREA";"02. MAPEO";"03. DESARROLLO";"04. VALIDA US";"05. VOBO US";"06. BW-EJECUCION";"07. VALIDACIÓN BAJAWARE";"08. CERRADA"},0)
  =
  MATCH(_xlfn.XLOOKUP(INDEX($B:$B, (ROW()-2)),'Relacion '!$E:$E,'Relacion '!$D:$D,""),{"01. ASIGNACION AREA";"02. MAPEO";"03. DESARROLLO";"04. VALIDA US";"05. VOBO US";"06. BW-EJECUCION";"07. VALIDACIÓN BAJAWARE";"08. CERRADA"},0),
  _xlfn.XLOOKUP(INDEX($B:$B, (ROW()-2)),'Relacion '!$E:$E,'Relacion '!#REF!,0),
  0
 )
)</f>
        <v>1</v>
      </c>
      <c r="I1444" s="241">
        <f t="shared" ca="1" si="332"/>
        <v>1</v>
      </c>
      <c r="J1444" s="241"/>
      <c r="K1444" s="241"/>
      <c r="L1444" s="238"/>
    </row>
    <row r="1445" spans="2:12" outlineLevel="1">
      <c r="B1445" s="237" t="s">
        <v>49</v>
      </c>
      <c r="C1445" s="237" t="s">
        <v>49</v>
      </c>
      <c r="D1445" s="238" t="str">
        <f>_xlfn.XLOOKUP(B1445,'Relacion '!$E:$E,'Relacion '!$D:$D,"")</f>
        <v/>
      </c>
      <c r="E1445" s="239">
        <f t="shared" si="335"/>
        <v>4</v>
      </c>
      <c r="F1445" s="240" cm="1">
        <f t="array" ref="F1445">MIN(INDEX('Relacion '!$AB$5:$AC$493,MATCH(INDEX($B:$B, (ROW()-3)),'Relacion '!$E$5:$E$493,0),0))</f>
        <v>46041</v>
      </c>
      <c r="G1445" s="240" cm="1">
        <f t="array" ref="G1445">MAX(INDEX('Relacion '!$AB$5:$AC$493,MATCH(INDEX($B:$B, (ROW()-3)),'Relacion '!$E$5:$E$493,0),0))</f>
        <v>46045</v>
      </c>
      <c r="H1445" s="241" cm="1">
        <f t="array" ref="H1445">IF(
 MATCH(B1445,{"01. ASIGNACION AREA";"02. MAPEO";"03. DESARROLLO";"04. VALIDA US";"05. VOBO US";"06. BW-EJECUCION";"07. VALIDACIÓN BAJAWARE";"08. CERRADA"},0)
 &lt;
 MATCH(_xlfn.XLOOKUP(INDEX($B:$B, (ROW()-3)),'Relacion '!$E:$E,'Relacion '!$D:$D,""),{"01. ASIGNACION AREA";"02. MAPEO";"03. DESARROLLO";"04. VALIDA US";"05. VOBO US";"06. BW-EJECUCION";"07. VALIDACIÓN BAJAWARE";"08. CERRADA"},0),
 1,
 IF(
  MATCH(B1445,{"01. ASIGNACION AREA";"02. MAPEO";"03. DESARROLLO";"04. VALIDA US";"05. VOBO US";"06. BW-EJECUCION";"07. VALIDACIÓN BAJAWARE";"08. CERRADA"},0)
  =
  MATCH(_xlfn.XLOOKUP(INDEX($B:$B, (ROW()-3)),'Relacion '!$E:$E,'Relacion '!$D:$D,""),{"01. ASIGNACION AREA";"02. MAPEO";"03. DESARROLLO";"04. VALIDA US";"05. VOBO US";"06. BW-EJECUCION";"07. VALIDACIÓN BAJAWARE";"08. CERRADA"},0),
  _xlfn.XLOOKUP(INDEX($B:$B, (ROW()-3)),'Relacion '!$E:$E,'Relacion '!#REF!,0),
  0
 )
)</f>
        <v>1</v>
      </c>
      <c r="I1445" s="241">
        <f t="shared" ca="1" si="332"/>
        <v>1</v>
      </c>
      <c r="J1445" s="241"/>
      <c r="K1445" s="241"/>
      <c r="L1445" s="238"/>
    </row>
    <row r="1446" spans="2:12" outlineLevel="1">
      <c r="B1446" s="237" t="s">
        <v>324</v>
      </c>
      <c r="C1446" s="237" t="s">
        <v>324</v>
      </c>
      <c r="D1446" s="238" t="str">
        <f>_xlfn.XLOOKUP(B1446,'Relacion '!$E:$E,'Relacion '!$D:$D,"")</f>
        <v/>
      </c>
      <c r="E1446" s="239">
        <f t="shared" si="335"/>
        <v>4</v>
      </c>
      <c r="F1446" s="240" cm="1">
        <f t="array" ref="F1446">MIN(INDEX('Relacion '!$AD$5:$AE$493,MATCH(INDEX($B:$B, (ROW()-4)),'Relacion '!$E$5:$E$493,0),0))</f>
        <v>46048</v>
      </c>
      <c r="G1446" s="240" cm="1">
        <f t="array" ref="G1446">MAX(INDEX('Relacion '!$AD$5:$AE$493,MATCH(INDEX($B:$B, (ROW()-4)),'Relacion '!$E$5:$E$493,0),0))</f>
        <v>46052</v>
      </c>
      <c r="H1446" s="241" cm="1">
        <f t="array" ref="H1446">IF(
 MATCH(B1446,{"01. ASIGNACION AREA";"02. MAPEO";"03. DESARROLLO";"04. VALIDA US";"05. VOBO US";"06. BW-EJECUCION";"07. VALIDACIÓN BAJAWARE";"08. CERRADA"},0)
 &lt;
 MATCH(_xlfn.XLOOKUP(INDEX($B:$B, (ROW()-4)),'Relacion '!$E:$E,'Relacion '!$D:$D,""),{"01. ASIGNACION AREA";"02. MAPEO";"03. DESARROLLO";"04. VALIDA US";"05. VOBO US";"06. BW-EJECUCION";"07. VALIDACIÓN BAJAWARE";"08. CERRADA"},0),
 1,
 IF(
  MATCH(B1446,{"01. ASIGNACION AREA";"02. MAPEO";"03. DESARROLLO";"04. VALIDA US";"05. VOBO US";"06. BW-EJECUCION";"07. VALIDACIÓN BAJAWARE";"08. CERRADA"},0)
  =
  MATCH(_xlfn.XLOOKUP(INDEX($B:$B, (ROW()-4)),'Relacion '!$E:$E,'Relacion '!$D:$D,""),{"01. ASIGNACION AREA";"02. MAPEO";"03. DESARROLLO";"04. VALIDA US";"05. VOBO US";"06. BW-EJECUCION";"07. VALIDACIÓN BAJAWARE";"08. CERRADA"},0),
  _xlfn.XLOOKUP(INDEX($B:$B, (ROW()-4)),'Relacion '!$E:$E,'Relacion '!#REF!,0),
  0
 )
)</f>
        <v>1</v>
      </c>
      <c r="I1446" s="241">
        <f t="shared" ca="1" si="332"/>
        <v>1</v>
      </c>
      <c r="J1446" s="241"/>
      <c r="K1446" s="241"/>
      <c r="L1446" s="238"/>
    </row>
    <row r="1447" spans="2:12" outlineLevel="1">
      <c r="B1447" s="237" t="s">
        <v>320</v>
      </c>
      <c r="C1447" s="237" t="s">
        <v>320</v>
      </c>
      <c r="D1447" s="238" t="str">
        <f>_xlfn.XLOOKUP(B1447,'Relacion '!$E:$E,'Relacion '!$D:$D,"")</f>
        <v/>
      </c>
      <c r="E1447" s="239">
        <f t="shared" si="335"/>
        <v>7</v>
      </c>
      <c r="F1447" s="240" cm="1">
        <f t="array" ref="F1447">MIN(INDEX('Relacion '!$AF$5:$AG$493,MATCH(INDEX($B:$B, (ROW()-5)),'Relacion '!$E$5:$E$493,0),0))</f>
        <v>46055</v>
      </c>
      <c r="G1447" s="240" cm="1">
        <f t="array" ref="G1447">MAX(INDEX('Relacion '!$AF$5:$AG$493,MATCH(INDEX($B:$B, (ROW()-5)),'Relacion '!$E$5:$E$493,0),0))</f>
        <v>46062</v>
      </c>
      <c r="H1447" s="241" cm="1">
        <f t="array" ref="H1447">IF(
 MATCH(B1447,{"01. ASIGNACION AREA";"02. MAPEO";"03. DESARROLLO";"04. VALIDA US";"05. VOBO US";"06. BW-EJECUCION";"07. VALIDACIÓN BAJAWARE";"08. CERRADA"},0)
 &lt;
 MATCH(_xlfn.XLOOKUP(INDEX($B:$B, (ROW()-5)),'Relacion '!$E:$E,'Relacion '!$D:$D,""),{"01. ASIGNACION AREA";"02. MAPEO";"03. DESARROLLO";"04. VALIDA US";"05. VOBO US";"06. BW-EJECUCION";"07. VALIDACIÓN BAJAWARE";"08. CERRADA"},0),
 1,
 IF(
  MATCH(B1447,{"01. ASIGNACION AREA";"02. MAPEO";"03. DESARROLLO";"04. VALIDA US";"05. VOBO US";"06. BW-EJECUCION";"07. VALIDACIÓN BAJAWARE";"08. CERRADA"},0)
  =
  MATCH(_xlfn.XLOOKUP(INDEX($B:$B, (ROW()-5)),'Relacion '!$E:$E,'Relacion '!$D:$D,""),{"01. ASIGNACION AREA";"02. MAPEO";"03. DESARROLLO";"04. VALIDA US";"05. VOBO US";"06. BW-EJECUCION";"07. VALIDACIÓN BAJAWARE";"08. CERRADA"},0),
  _xlfn.XLOOKUP(INDEX($B:$B, (ROW()-5)),'Relacion '!$E:$E,'Relacion '!#REF!,0),
  0
 )
)</f>
        <v>1</v>
      </c>
      <c r="I1447" s="241">
        <f t="shared" ca="1" si="332"/>
        <v>1</v>
      </c>
      <c r="J1447" s="241"/>
      <c r="K1447" s="241"/>
      <c r="L1447" s="238"/>
    </row>
    <row r="1448" spans="2:12" outlineLevel="1">
      <c r="B1448" s="237" t="s">
        <v>710</v>
      </c>
      <c r="C1448" s="237" t="s">
        <v>710</v>
      </c>
      <c r="D1448" s="238" t="str">
        <f>_xlfn.XLOOKUP(B1448,'Relacion '!$E:$E,'Relacion '!$D:$D,"")</f>
        <v/>
      </c>
      <c r="E1448" s="239">
        <f t="shared" si="335"/>
        <v>25</v>
      </c>
      <c r="F1448" s="240" cm="1">
        <f t="array" ref="F1448">MIN(INDEX('Relacion '!$AH$5:$AI$493,MATCH(INDEX($B:$B, (ROW()-6)),'Relacion '!$E$5:$E$493,0),0))</f>
        <v>46076</v>
      </c>
      <c r="G1448" s="240" cm="1">
        <f t="array" ref="G1448">MAX(INDEX('Relacion '!$AH$5:$AI$493,MATCH(INDEX($B:$B, (ROW()-6)),'Relacion '!$E$5:$E$493,0),0))</f>
        <v>46101</v>
      </c>
      <c r="H1448" s="241" t="e" cm="1">
        <f t="array" ref="H1448">IF(
 MATCH(B1448,{"01. ASIGNACION AREA";"02. MAPEO";"03. DESARROLLO";"04. VALIDA US";"05. VOBO US";"06. BW-EJECUCION";"07. VALIDACIÓN BAJAWARE";"08. CERRADA"},0)
 &lt;
 MATCH(_xlfn.XLOOKUP(INDEX($B:$B, (ROW()-6)),'Relacion '!$E:$E,'Relacion '!$D:$D,""),{"01. ASIGNACION AREA";"02. MAPEO";"03. DESARROLLO";"04. VALIDA US";"05. VOBO US";"06. BW-EJECUCION";"07. VALIDACIÓN BAJAWARE";"08. CERRADA"},0),
 1,
 IF(
  MATCH(B1448,{"01. ASIGNACION AREA";"02. MAPEO";"03. DESARROLLO";"04. VALIDA US";"05. VOBO US";"06. BW-EJECUCION";"07. VALIDACIÓN BAJAWARE";"08. CERRADA"},0)
  =
  MATCH(_xlfn.XLOOKUP(INDEX($B:$B, (ROW()-6)),'Relacion '!$E:$E,'Relacion '!$D:$D,""),{"01. ASIGNACION AREA";"02. MAPEO";"03. DESARROLLO";"04. VALIDA US";"05. VOBO US";"06. BW-EJECUCION";"07. VALIDACIÓN BAJAWARE";"08. CERRADA"},0),
  _xlfn.XLOOKUP(INDEX($B:$B, (ROW()-6)),'Relacion '!$E:$E,'Relacion '!#REF!,0),
  0
 )
)</f>
        <v>#REF!</v>
      </c>
      <c r="I1448" s="241">
        <f t="shared" ca="1" si="332"/>
        <v>1</v>
      </c>
      <c r="J1448" s="241"/>
      <c r="K1448" s="241"/>
      <c r="L1448" s="238"/>
    </row>
    <row r="1449" spans="2:12" outlineLevel="1">
      <c r="B1449" s="237" t="s">
        <v>655</v>
      </c>
      <c r="C1449" s="237" t="s">
        <v>655</v>
      </c>
      <c r="D1449" s="238" t="str">
        <f>_xlfn.XLOOKUP(B1449,'Relacion '!$E:$E,'Relacion '!$D:$D,"")</f>
        <v/>
      </c>
      <c r="E1449" s="239">
        <f t="shared" si="335"/>
        <v>25</v>
      </c>
      <c r="F1449" s="240" cm="1">
        <f t="array" ref="F1449">MIN(INDEX('Relacion '!$AJ$5:$AK$493,MATCH(INDEX($B:$B, (ROW()-7)),'Relacion '!$E$5:$E$493,0),0))</f>
        <v>46104</v>
      </c>
      <c r="G1449" s="240" cm="1">
        <f t="array" ref="G1449">MAX(INDEX('Relacion '!$AJ$5:$AK$493,MATCH(INDEX($B:$B, (ROW()-7)),'Relacion '!$E$5:$E$493,0),0))</f>
        <v>46129</v>
      </c>
      <c r="H1449" s="241" cm="1">
        <f t="array" ref="H1449">IF(
 MATCH(B1449,{"01. ASIGNACION AREA";"02. MAPEO";"03. DESARROLLO";"04. VALIDA US";"05. VOBO US";"06. BW-EJECUCION";"07. VALIDACIÓN BAJAWARE";"08. CERRADA"},0)
 &lt;
 MATCH(_xlfn.XLOOKUP(INDEX($B:$B, (ROW()-7)),'Relacion '!$E:$E,'Relacion '!$D:$D,""),{"01. ASIGNACION AREA";"02. MAPEO";"03. DESARROLLO";"04. VALIDA US";"05. VOBO US";"06. BW-EJECUCION";"07. VALIDACIÓN BAJAWARE";"08. CERRADA"},0),
 1,
 IF(
  MATCH(B1449,{"01. ASIGNACION AREA";"02. MAPEO";"03. DESARROLLO";"04. VALIDA US";"05. VOBO US";"06. BW-EJECUCION";"07. VALIDACIÓN BAJAWARE";"08. CERRADA"},0)
  =
  MATCH(_xlfn.XLOOKUP(INDEX($B:$B, (ROW()-7)),'Relacion '!$E:$E,'Relacion '!$D:$D,""),{"01. ASIGNACION AREA";"02. MAPEO";"03. DESARROLLO";"04. VALIDA US";"05. VOBO US";"06. BW-EJECUCION";"07. VALIDACIÓN BAJAWARE";"08. CERRADA"},0),
  _xlfn.XLOOKUP(INDEX($B:$B, (ROW()-7)),'Relacion '!$E:$E,'Relacion '!#REF!,0),
  0
 )
)</f>
        <v>0</v>
      </c>
      <c r="I1449" s="241">
        <f t="shared" ca="1" si="332"/>
        <v>1</v>
      </c>
      <c r="J1449" s="241"/>
      <c r="K1449" s="241"/>
      <c r="L1449" s="238"/>
    </row>
    <row r="1450" spans="2:12" outlineLevel="1">
      <c r="B1450" s="237" t="s">
        <v>656</v>
      </c>
      <c r="C1450" s="237" t="s">
        <v>656</v>
      </c>
      <c r="D1450" s="238" t="str">
        <f>_xlfn.XLOOKUP(B1450,'Relacion '!$E:$E,'Relacion '!$D:$D,"")</f>
        <v/>
      </c>
      <c r="E1450" s="239">
        <f t="shared" si="335"/>
        <v>0</v>
      </c>
      <c r="F1450" s="240" cm="1">
        <f t="array" ref="F1450">MIN(INDEX('Relacion '!$AL$5:$AM$493,MATCH(INDEX($B:$B, (ROW()-8)),'Relacion '!$E$5:$E$493,0),0))</f>
        <v>46130</v>
      </c>
      <c r="G1450" s="240" cm="1">
        <f t="array" ref="G1450">MAX(INDEX('Relacion '!$AL$5:$AM$493,MATCH(INDEX($B:$B, (ROW()-8)),'Relacion '!$E$5:$E$493,0),0))</f>
        <v>46130</v>
      </c>
      <c r="H1450" s="241" cm="1">
        <f t="array" ref="H1450">IF(
 MATCH(B1450,{"01. ASIGNACION AREA";"02. MAPEO";"03. DESARROLLO";"04. VALIDA US";"05. VOBO US";"06. BW-EJECUCION";"07. VALIDACIÓN BAJAWARE";"08. CERRADA"},0)
 &lt;
 MATCH(_xlfn.XLOOKUP(INDEX($B:$B, (ROW()-8)),'Relacion '!$E:$E,'Relacion '!$D:$D,""),{"01. ASIGNACION AREA";"02. MAPEO";"03. DESARROLLO";"04. VALIDA US";"05. VOBO US";"06. BW-EJECUCION";"07. VALIDACIÓN BAJAWARE";"08. CERRADA"},0),
 1,
 IF(
  MATCH(B1450,{"01. ASIGNACION AREA";"02. MAPEO";"03. DESARROLLO";"04. VALIDA US";"05. VOBO US";"06. BW-EJECUCION";"07. VALIDACIÓN BAJAWARE";"08. CERRADA"},0)
  =
  MATCH(_xlfn.XLOOKUP(INDEX($B:$B, (ROW()-8)),'Relacion '!$E:$E,'Relacion '!$D:$D,""),{"01. ASIGNACION AREA";"02. MAPEO";"03. DESARROLLO";"04. VALIDA US";"05. VOBO US";"06. BW-EJECUCION";"07. VALIDACIÓN BAJAWARE";"08. CERRADA"},0),
  _xlfn.XLOOKUP(INDEX($B:$B, (ROW()-8)),'Relacion '!$E:$E,'Relacion '!#REF!,0),
  0
 )
)</f>
        <v>0</v>
      </c>
      <c r="I1450" s="241">
        <f t="shared" ca="1" si="332"/>
        <v>1</v>
      </c>
      <c r="J1450" s="241"/>
      <c r="K1450" s="241"/>
      <c r="L1450" s="238"/>
    </row>
    <row r="1451" spans="2:12" ht="30">
      <c r="B1451" s="232" t="s">
        <v>589</v>
      </c>
      <c r="C1451" s="167" t="s">
        <v>590</v>
      </c>
      <c r="D1451" s="236" t="str">
        <f>_xlfn.XLOOKUP(B1451,'Relacion '!$E:$E,'Relacion '!$D:$D,"")</f>
        <v>06. BW-EJECUCION</v>
      </c>
      <c r="E1451" s="233">
        <f t="shared" si="335"/>
        <v>471</v>
      </c>
      <c r="F1451" s="234" cm="1">
        <f t="array" ref="F1451">MIN(INDEX('Relacion '!$X$5:$AM$493,MATCH(INDEX($B:$B, (ROW()-0)),'Relacion '!$E$5:$E$493,0),0))</f>
        <v>45659</v>
      </c>
      <c r="G1451" s="234" cm="1">
        <f t="array" ref="G1451">MAX(INDEX('Relacion '!$X$5:$AM$493,MATCH(INDEX($B:$B, (ROW()-0)),'Relacion '!$E$5:$E$493,0),0))</f>
        <v>46130</v>
      </c>
      <c r="H1451" s="235" t="e">
        <f>AVERAGE(H1452:H1459)</f>
        <v>#REF!</v>
      </c>
      <c r="I1451" s="235">
        <f t="shared" ref="I1451" ca="1" si="344">AVERAGE(I1452:I1459)</f>
        <v>1</v>
      </c>
      <c r="J1451" s="236" t="str">
        <f>IF(ISNUMBER(SEARCH("Rocha", _xlfn.XLOOKUP(B1451,'Relacion '!$E:$E,'Relacion '!$I:$I,""))), "Sí", "No")</f>
        <v>No</v>
      </c>
      <c r="K1451" s="236" t="str">
        <f>IF(ISNUMBER(SEARCH("Rocha", _xlfn.XLOOKUP(B1451,'Relacion '!$E:$E,'Relacion '!$I:$I,""))), "RMC", _xlfn.XLOOKUP(B1451,'Relacion '!$E:$E,'Relacion '!$B:$B,""))</f>
        <v>Producto</v>
      </c>
      <c r="L1451" s="236" t="str">
        <f>_xlfn.XLOOKUP(B1451,'Relacion '!$E:$E,'Relacion '!$C:$C,"")</f>
        <v>Claudia Barroso</v>
      </c>
    </row>
    <row r="1452" spans="2:12" outlineLevel="1">
      <c r="B1452" s="237" t="s">
        <v>654</v>
      </c>
      <c r="C1452" s="237" t="s">
        <v>654</v>
      </c>
      <c r="D1452" s="238" t="str">
        <f>_xlfn.XLOOKUP(B1452,'Relacion '!$E:$E,'Relacion '!$D:$D,"")</f>
        <v/>
      </c>
      <c r="E1452" s="239">
        <f t="shared" si="335"/>
        <v>424</v>
      </c>
      <c r="F1452" s="240" cm="1">
        <f t="array" ref="F1452">MIN(INDEX('Relacion '!$X$5:$Y$493,MATCH(INDEX($B:$B, (ROW()-1)),'Relacion '!$E$5:$E$493,0),0))</f>
        <v>45659</v>
      </c>
      <c r="G1452" s="240" cm="1">
        <f t="array" ref="G1452">MAX(INDEX('Relacion '!$X$5:$Y$493,MATCH(INDEX($B:$B, (ROW()-1)),'Relacion '!$E$5:$E$493,0),0))</f>
        <v>46083</v>
      </c>
      <c r="H1452" s="241" cm="1">
        <f t="array" ref="H1452">IF(
 MATCH(B1452,{"01. ASIGNACION AREA";"02. MAPEO";"03. DESARROLLO";"04. VALIDA US";"05. VOBO US";"06. BW-EJECUCION";"07. VALIDACIÓN BAJAWARE";"08. CERRADA"},0)
 &lt;
 MATCH(_xlfn.XLOOKUP(INDEX($B:$B, (ROW()-1)),'Relacion '!$E:$E,'Relacion '!$D:$D,""),{"01. ASIGNACION AREA";"02. MAPEO";"03. DESARROLLO";"04. VALIDA US";"05. VOBO US";"06. BW-EJECUCION";"07. VALIDACIÓN BAJAWARE";"08. CERRADA"},0),
 1,
 IF(
  MATCH(B1452,{"01. ASIGNACION AREA";"02. MAPEO";"03. DESARROLLO";"04. VALIDA US";"05. VOBO US";"06. BW-EJECUCION";"07. VALIDACIÓN BAJAWARE";"08. CERRADA"},0)
  =
  MATCH(_xlfn.XLOOKUP(INDEX($B:$B, (ROW()-1)),'Relacion '!$E:$E,'Relacion '!$D:$D,""),{"01. ASIGNACION AREA";"02. MAPEO";"03. DESARROLLO";"04. VALIDA US";"05. VOBO US";"06. BW-EJECUCION";"07. VALIDACIÓN BAJAWARE";"08. CERRADA"},0),
  _xlfn.XLOOKUP(INDEX($B:$B, (ROW()-1)),'Relacion '!$E:$E,'Relacion '!#REF!,0),
  0
 )
)</f>
        <v>1</v>
      </c>
      <c r="I1452" s="241">
        <f t="shared" ref="I1452" ca="1" si="345">IF(G1452&lt;=TODAY(), 1, 0)</f>
        <v>1</v>
      </c>
      <c r="J1452" s="241"/>
      <c r="K1452" s="241"/>
      <c r="L1452" s="238"/>
    </row>
    <row r="1453" spans="2:12" outlineLevel="1">
      <c r="B1453" s="237" t="s">
        <v>195</v>
      </c>
      <c r="C1453" s="237" t="s">
        <v>195</v>
      </c>
      <c r="D1453" s="238" t="str">
        <f>_xlfn.XLOOKUP(B1453,'Relacion '!$E:$E,'Relacion '!$D:$D,"")</f>
        <v/>
      </c>
      <c r="E1453" s="239">
        <f t="shared" si="335"/>
        <v>4</v>
      </c>
      <c r="F1453" s="240" cm="1">
        <f t="array" ref="F1453">MIN(INDEX('Relacion '!$Z$5:$AA$493,MATCH(INDEX($B:$B, (ROW()-2)),'Relacion '!$E$5:$E$493,0),0))</f>
        <v>46034</v>
      </c>
      <c r="G1453" s="240" cm="1">
        <f t="array" ref="G1453">MAX(INDEX('Relacion '!$Z$5:$AA$493,MATCH(INDEX($B:$B, (ROW()-2)),'Relacion '!$E$5:$E$493,0),0))</f>
        <v>46038</v>
      </c>
      <c r="H1453" s="241" cm="1">
        <f t="array" ref="H1453">IF(
 MATCH(B1453,{"01. ASIGNACION AREA";"02. MAPEO";"03. DESARROLLO";"04. VALIDA US";"05. VOBO US";"06. BW-EJECUCION";"07. VALIDACIÓN BAJAWARE";"08. CERRADA"},0)
 &lt;
 MATCH(_xlfn.XLOOKUP(INDEX($B:$B, (ROW()-2)),'Relacion '!$E:$E,'Relacion '!$D:$D,""),{"01. ASIGNACION AREA";"02. MAPEO";"03. DESARROLLO";"04. VALIDA US";"05. VOBO US";"06. BW-EJECUCION";"07. VALIDACIÓN BAJAWARE";"08. CERRADA"},0),
 1,
 IF(
  MATCH(B1453,{"01. ASIGNACION AREA";"02. MAPEO";"03. DESARROLLO";"04. VALIDA US";"05. VOBO US";"06. BW-EJECUCION";"07. VALIDACIÓN BAJAWARE";"08. CERRADA"},0)
  =
  MATCH(_xlfn.XLOOKUP(INDEX($B:$B, (ROW()-2)),'Relacion '!$E:$E,'Relacion '!$D:$D,""),{"01. ASIGNACION AREA";"02. MAPEO";"03. DESARROLLO";"04. VALIDA US";"05. VOBO US";"06. BW-EJECUCION";"07. VALIDACIÓN BAJAWARE";"08. CERRADA"},0),
  _xlfn.XLOOKUP(INDEX($B:$B, (ROW()-2)),'Relacion '!$E:$E,'Relacion '!#REF!,0),
  0
 )
)</f>
        <v>1</v>
      </c>
      <c r="I1453" s="241">
        <f t="shared" ca="1" si="332"/>
        <v>1</v>
      </c>
      <c r="J1453" s="241"/>
      <c r="K1453" s="241"/>
      <c r="L1453" s="238"/>
    </row>
    <row r="1454" spans="2:12" outlineLevel="1">
      <c r="B1454" s="237" t="s">
        <v>49</v>
      </c>
      <c r="C1454" s="237" t="s">
        <v>49</v>
      </c>
      <c r="D1454" s="238" t="str">
        <f>_xlfn.XLOOKUP(B1454,'Relacion '!$E:$E,'Relacion '!$D:$D,"")</f>
        <v/>
      </c>
      <c r="E1454" s="239">
        <f t="shared" si="335"/>
        <v>4</v>
      </c>
      <c r="F1454" s="240" cm="1">
        <f t="array" ref="F1454">MIN(INDEX('Relacion '!$AB$5:$AC$493,MATCH(INDEX($B:$B, (ROW()-3)),'Relacion '!$E$5:$E$493,0),0))</f>
        <v>46041</v>
      </c>
      <c r="G1454" s="240" cm="1">
        <f t="array" ref="G1454">MAX(INDEX('Relacion '!$AB$5:$AC$493,MATCH(INDEX($B:$B, (ROW()-3)),'Relacion '!$E$5:$E$493,0),0))</f>
        <v>46045</v>
      </c>
      <c r="H1454" s="241" cm="1">
        <f t="array" ref="H1454">IF(
 MATCH(B1454,{"01. ASIGNACION AREA";"02. MAPEO";"03. DESARROLLO";"04. VALIDA US";"05. VOBO US";"06. BW-EJECUCION";"07. VALIDACIÓN BAJAWARE";"08. CERRADA"},0)
 &lt;
 MATCH(_xlfn.XLOOKUP(INDEX($B:$B, (ROW()-3)),'Relacion '!$E:$E,'Relacion '!$D:$D,""),{"01. ASIGNACION AREA";"02. MAPEO";"03. DESARROLLO";"04. VALIDA US";"05. VOBO US";"06. BW-EJECUCION";"07. VALIDACIÓN BAJAWARE";"08. CERRADA"},0),
 1,
 IF(
  MATCH(B1454,{"01. ASIGNACION AREA";"02. MAPEO";"03. DESARROLLO";"04. VALIDA US";"05. VOBO US";"06. BW-EJECUCION";"07. VALIDACIÓN BAJAWARE";"08. CERRADA"},0)
  =
  MATCH(_xlfn.XLOOKUP(INDEX($B:$B, (ROW()-3)),'Relacion '!$E:$E,'Relacion '!$D:$D,""),{"01. ASIGNACION AREA";"02. MAPEO";"03. DESARROLLO";"04. VALIDA US";"05. VOBO US";"06. BW-EJECUCION";"07. VALIDACIÓN BAJAWARE";"08. CERRADA"},0),
  _xlfn.XLOOKUP(INDEX($B:$B, (ROW()-3)),'Relacion '!$E:$E,'Relacion '!#REF!,0),
  0
 )
)</f>
        <v>1</v>
      </c>
      <c r="I1454" s="241">
        <f t="shared" ca="1" si="332"/>
        <v>1</v>
      </c>
      <c r="J1454" s="241"/>
      <c r="K1454" s="241"/>
      <c r="L1454" s="238"/>
    </row>
    <row r="1455" spans="2:12" outlineLevel="1">
      <c r="B1455" s="237" t="s">
        <v>324</v>
      </c>
      <c r="C1455" s="237" t="s">
        <v>324</v>
      </c>
      <c r="D1455" s="238" t="str">
        <f>_xlfn.XLOOKUP(B1455,'Relacion '!$E:$E,'Relacion '!$D:$D,"")</f>
        <v/>
      </c>
      <c r="E1455" s="239">
        <f t="shared" si="335"/>
        <v>4</v>
      </c>
      <c r="F1455" s="240" cm="1">
        <f t="array" ref="F1455">MIN(INDEX('Relacion '!$AD$5:$AE$493,MATCH(INDEX($B:$B, (ROW()-4)),'Relacion '!$E$5:$E$493,0),0))</f>
        <v>46048</v>
      </c>
      <c r="G1455" s="240" cm="1">
        <f t="array" ref="G1455">MAX(INDEX('Relacion '!$AD$5:$AE$493,MATCH(INDEX($B:$B, (ROW()-4)),'Relacion '!$E$5:$E$493,0),0))</f>
        <v>46052</v>
      </c>
      <c r="H1455" s="241" cm="1">
        <f t="array" ref="H1455">IF(
 MATCH(B1455,{"01. ASIGNACION AREA";"02. MAPEO";"03. DESARROLLO";"04. VALIDA US";"05. VOBO US";"06. BW-EJECUCION";"07. VALIDACIÓN BAJAWARE";"08. CERRADA"},0)
 &lt;
 MATCH(_xlfn.XLOOKUP(INDEX($B:$B, (ROW()-4)),'Relacion '!$E:$E,'Relacion '!$D:$D,""),{"01. ASIGNACION AREA";"02. MAPEO";"03. DESARROLLO";"04. VALIDA US";"05. VOBO US";"06. BW-EJECUCION";"07. VALIDACIÓN BAJAWARE";"08. CERRADA"},0),
 1,
 IF(
  MATCH(B1455,{"01. ASIGNACION AREA";"02. MAPEO";"03. DESARROLLO";"04. VALIDA US";"05. VOBO US";"06. BW-EJECUCION";"07. VALIDACIÓN BAJAWARE";"08. CERRADA"},0)
  =
  MATCH(_xlfn.XLOOKUP(INDEX($B:$B, (ROW()-4)),'Relacion '!$E:$E,'Relacion '!$D:$D,""),{"01. ASIGNACION AREA";"02. MAPEO";"03. DESARROLLO";"04. VALIDA US";"05. VOBO US";"06. BW-EJECUCION";"07. VALIDACIÓN BAJAWARE";"08. CERRADA"},0),
  _xlfn.XLOOKUP(INDEX($B:$B, (ROW()-4)),'Relacion '!$E:$E,'Relacion '!#REF!,0),
  0
 )
)</f>
        <v>1</v>
      </c>
      <c r="I1455" s="241">
        <f t="shared" ca="1" si="332"/>
        <v>1</v>
      </c>
      <c r="J1455" s="241"/>
      <c r="K1455" s="241"/>
      <c r="L1455" s="238"/>
    </row>
    <row r="1456" spans="2:12" outlineLevel="1">
      <c r="B1456" s="237" t="s">
        <v>320</v>
      </c>
      <c r="C1456" s="237" t="s">
        <v>320</v>
      </c>
      <c r="D1456" s="238" t="str">
        <f>_xlfn.XLOOKUP(B1456,'Relacion '!$E:$E,'Relacion '!$D:$D,"")</f>
        <v/>
      </c>
      <c r="E1456" s="239">
        <f t="shared" si="335"/>
        <v>7</v>
      </c>
      <c r="F1456" s="240" cm="1">
        <f t="array" ref="F1456">MIN(INDEX('Relacion '!$AF$5:$AG$493,MATCH(INDEX($B:$B, (ROW()-5)),'Relacion '!$E$5:$E$493,0),0))</f>
        <v>46055</v>
      </c>
      <c r="G1456" s="240" cm="1">
        <f t="array" ref="G1456">MAX(INDEX('Relacion '!$AF$5:$AG$493,MATCH(INDEX($B:$B, (ROW()-5)),'Relacion '!$E$5:$E$493,0),0))</f>
        <v>46062</v>
      </c>
      <c r="H1456" s="241" cm="1">
        <f t="array" ref="H1456">IF(
 MATCH(B1456,{"01. ASIGNACION AREA";"02. MAPEO";"03. DESARROLLO";"04. VALIDA US";"05. VOBO US";"06. BW-EJECUCION";"07. VALIDACIÓN BAJAWARE";"08. CERRADA"},0)
 &lt;
 MATCH(_xlfn.XLOOKUP(INDEX($B:$B, (ROW()-5)),'Relacion '!$E:$E,'Relacion '!$D:$D,""),{"01. ASIGNACION AREA";"02. MAPEO";"03. DESARROLLO";"04. VALIDA US";"05. VOBO US";"06. BW-EJECUCION";"07. VALIDACIÓN BAJAWARE";"08. CERRADA"},0),
 1,
 IF(
  MATCH(B1456,{"01. ASIGNACION AREA";"02. MAPEO";"03. DESARROLLO";"04. VALIDA US";"05. VOBO US";"06. BW-EJECUCION";"07. VALIDACIÓN BAJAWARE";"08. CERRADA"},0)
  =
  MATCH(_xlfn.XLOOKUP(INDEX($B:$B, (ROW()-5)),'Relacion '!$E:$E,'Relacion '!$D:$D,""),{"01. ASIGNACION AREA";"02. MAPEO";"03. DESARROLLO";"04. VALIDA US";"05. VOBO US";"06. BW-EJECUCION";"07. VALIDACIÓN BAJAWARE";"08. CERRADA"},0),
  _xlfn.XLOOKUP(INDEX($B:$B, (ROW()-5)),'Relacion '!$E:$E,'Relacion '!#REF!,0),
  0
 )
)</f>
        <v>1</v>
      </c>
      <c r="I1456" s="241">
        <f t="shared" ca="1" si="332"/>
        <v>1</v>
      </c>
      <c r="J1456" s="241"/>
      <c r="K1456" s="241"/>
      <c r="L1456" s="238"/>
    </row>
    <row r="1457" spans="2:12" outlineLevel="1">
      <c r="B1457" s="237" t="s">
        <v>710</v>
      </c>
      <c r="C1457" s="237" t="s">
        <v>710</v>
      </c>
      <c r="D1457" s="238" t="str">
        <f>_xlfn.XLOOKUP(B1457,'Relacion '!$E:$E,'Relacion '!$D:$D,"")</f>
        <v/>
      </c>
      <c r="E1457" s="239">
        <f t="shared" si="335"/>
        <v>25</v>
      </c>
      <c r="F1457" s="240" cm="1">
        <f t="array" ref="F1457">MIN(INDEX('Relacion '!$AH$5:$AI$493,MATCH(INDEX($B:$B, (ROW()-6)),'Relacion '!$E$5:$E$493,0),0))</f>
        <v>46076</v>
      </c>
      <c r="G1457" s="240" cm="1">
        <f t="array" ref="G1457">MAX(INDEX('Relacion '!$AH$5:$AI$493,MATCH(INDEX($B:$B, (ROW()-6)),'Relacion '!$E$5:$E$493,0),0))</f>
        <v>46101</v>
      </c>
      <c r="H1457" s="241" t="e" cm="1">
        <f t="array" ref="H1457">IF(
 MATCH(B1457,{"01. ASIGNACION AREA";"02. MAPEO";"03. DESARROLLO";"04. VALIDA US";"05. VOBO US";"06. BW-EJECUCION";"07. VALIDACIÓN BAJAWARE";"08. CERRADA"},0)
 &lt;
 MATCH(_xlfn.XLOOKUP(INDEX($B:$B, (ROW()-6)),'Relacion '!$E:$E,'Relacion '!$D:$D,""),{"01. ASIGNACION AREA";"02. MAPEO";"03. DESARROLLO";"04. VALIDA US";"05. VOBO US";"06. BW-EJECUCION";"07. VALIDACIÓN BAJAWARE";"08. CERRADA"},0),
 1,
 IF(
  MATCH(B1457,{"01. ASIGNACION AREA";"02. MAPEO";"03. DESARROLLO";"04. VALIDA US";"05. VOBO US";"06. BW-EJECUCION";"07. VALIDACIÓN BAJAWARE";"08. CERRADA"},0)
  =
  MATCH(_xlfn.XLOOKUP(INDEX($B:$B, (ROW()-6)),'Relacion '!$E:$E,'Relacion '!$D:$D,""),{"01. ASIGNACION AREA";"02. MAPEO";"03. DESARROLLO";"04. VALIDA US";"05. VOBO US";"06. BW-EJECUCION";"07. VALIDACIÓN BAJAWARE";"08. CERRADA"},0),
  _xlfn.XLOOKUP(INDEX($B:$B, (ROW()-6)),'Relacion '!$E:$E,'Relacion '!#REF!,0),
  0
 )
)</f>
        <v>#REF!</v>
      </c>
      <c r="I1457" s="241">
        <f t="shared" ca="1" si="332"/>
        <v>1</v>
      </c>
      <c r="J1457" s="241"/>
      <c r="K1457" s="241"/>
      <c r="L1457" s="238"/>
    </row>
    <row r="1458" spans="2:12" outlineLevel="1">
      <c r="B1458" s="237" t="s">
        <v>655</v>
      </c>
      <c r="C1458" s="237" t="s">
        <v>655</v>
      </c>
      <c r="D1458" s="238" t="str">
        <f>_xlfn.XLOOKUP(B1458,'Relacion '!$E:$E,'Relacion '!$D:$D,"")</f>
        <v/>
      </c>
      <c r="E1458" s="239">
        <f t="shared" si="335"/>
        <v>25</v>
      </c>
      <c r="F1458" s="240" cm="1">
        <f t="array" ref="F1458">MIN(INDEX('Relacion '!$AJ$5:$AK$493,MATCH(INDEX($B:$B, (ROW()-7)),'Relacion '!$E$5:$E$493,0),0))</f>
        <v>46104</v>
      </c>
      <c r="G1458" s="240" cm="1">
        <f t="array" ref="G1458">MAX(INDEX('Relacion '!$AJ$5:$AK$493,MATCH(INDEX($B:$B, (ROW()-7)),'Relacion '!$E$5:$E$493,0),0))</f>
        <v>46129</v>
      </c>
      <c r="H1458" s="241" cm="1">
        <f t="array" ref="H1458">IF(
 MATCH(B1458,{"01. ASIGNACION AREA";"02. MAPEO";"03. DESARROLLO";"04. VALIDA US";"05. VOBO US";"06. BW-EJECUCION";"07. VALIDACIÓN BAJAWARE";"08. CERRADA"},0)
 &lt;
 MATCH(_xlfn.XLOOKUP(INDEX($B:$B, (ROW()-7)),'Relacion '!$E:$E,'Relacion '!$D:$D,""),{"01. ASIGNACION AREA";"02. MAPEO";"03. DESARROLLO";"04. VALIDA US";"05. VOBO US";"06. BW-EJECUCION";"07. VALIDACIÓN BAJAWARE";"08. CERRADA"},0),
 1,
 IF(
  MATCH(B1458,{"01. ASIGNACION AREA";"02. MAPEO";"03. DESARROLLO";"04. VALIDA US";"05. VOBO US";"06. BW-EJECUCION";"07. VALIDACIÓN BAJAWARE";"08. CERRADA"},0)
  =
  MATCH(_xlfn.XLOOKUP(INDEX($B:$B, (ROW()-7)),'Relacion '!$E:$E,'Relacion '!$D:$D,""),{"01. ASIGNACION AREA";"02. MAPEO";"03. DESARROLLO";"04. VALIDA US";"05. VOBO US";"06. BW-EJECUCION";"07. VALIDACIÓN BAJAWARE";"08. CERRADA"},0),
  _xlfn.XLOOKUP(INDEX($B:$B, (ROW()-7)),'Relacion '!$E:$E,'Relacion '!#REF!,0),
  0
 )
)</f>
        <v>0</v>
      </c>
      <c r="I1458" s="241">
        <f t="shared" ca="1" si="332"/>
        <v>1</v>
      </c>
      <c r="J1458" s="241"/>
      <c r="K1458" s="241"/>
      <c r="L1458" s="238"/>
    </row>
    <row r="1459" spans="2:12" outlineLevel="1">
      <c r="B1459" s="237" t="s">
        <v>656</v>
      </c>
      <c r="C1459" s="237" t="s">
        <v>656</v>
      </c>
      <c r="D1459" s="238" t="str">
        <f>_xlfn.XLOOKUP(B1459,'Relacion '!$E:$E,'Relacion '!$D:$D,"")</f>
        <v/>
      </c>
      <c r="E1459" s="239">
        <f t="shared" si="335"/>
        <v>0</v>
      </c>
      <c r="F1459" s="240" cm="1">
        <f t="array" ref="F1459">MIN(INDEX('Relacion '!$AL$5:$AM$493,MATCH(INDEX($B:$B, (ROW()-8)),'Relacion '!$E$5:$E$493,0),0))</f>
        <v>46130</v>
      </c>
      <c r="G1459" s="240" cm="1">
        <f t="array" ref="G1459">MAX(INDEX('Relacion '!$AL$5:$AM$493,MATCH(INDEX($B:$B, (ROW()-8)),'Relacion '!$E$5:$E$493,0),0))</f>
        <v>46130</v>
      </c>
      <c r="H1459" s="241" cm="1">
        <f t="array" ref="H1459">IF(
 MATCH(B1459,{"01. ASIGNACION AREA";"02. MAPEO";"03. DESARROLLO";"04. VALIDA US";"05. VOBO US";"06. BW-EJECUCION";"07. VALIDACIÓN BAJAWARE";"08. CERRADA"},0)
 &lt;
 MATCH(_xlfn.XLOOKUP(INDEX($B:$B, (ROW()-8)),'Relacion '!$E:$E,'Relacion '!$D:$D,""),{"01. ASIGNACION AREA";"02. MAPEO";"03. DESARROLLO";"04. VALIDA US";"05. VOBO US";"06. BW-EJECUCION";"07. VALIDACIÓN BAJAWARE";"08. CERRADA"},0),
 1,
 IF(
  MATCH(B1459,{"01. ASIGNACION AREA";"02. MAPEO";"03. DESARROLLO";"04. VALIDA US";"05. VOBO US";"06. BW-EJECUCION";"07. VALIDACIÓN BAJAWARE";"08. CERRADA"},0)
  =
  MATCH(_xlfn.XLOOKUP(INDEX($B:$B, (ROW()-8)),'Relacion '!$E:$E,'Relacion '!$D:$D,""),{"01. ASIGNACION AREA";"02. MAPEO";"03. DESARROLLO";"04. VALIDA US";"05. VOBO US";"06. BW-EJECUCION";"07. VALIDACIÓN BAJAWARE";"08. CERRADA"},0),
  _xlfn.XLOOKUP(INDEX($B:$B, (ROW()-8)),'Relacion '!$E:$E,'Relacion '!#REF!,0),
  0
 )
)</f>
        <v>0</v>
      </c>
      <c r="I1459" s="241">
        <f t="shared" ca="1" si="332"/>
        <v>1</v>
      </c>
      <c r="J1459" s="241"/>
      <c r="K1459" s="241"/>
      <c r="L1459" s="238"/>
    </row>
    <row r="1460" spans="2:12">
      <c r="B1460" s="232" t="s">
        <v>591</v>
      </c>
      <c r="C1460" s="167" t="s">
        <v>590</v>
      </c>
      <c r="D1460" s="236" t="str">
        <f>_xlfn.XLOOKUP(B1460,'Relacion '!$E:$E,'Relacion '!$D:$D,"")</f>
        <v>06. BW-EJECUCION</v>
      </c>
      <c r="E1460" s="233">
        <f t="shared" si="335"/>
        <v>471</v>
      </c>
      <c r="F1460" s="234" cm="1">
        <f t="array" ref="F1460">MIN(INDEX('Relacion '!$X$5:$AM$493,MATCH(INDEX($B:$B, (ROW()-0)),'Relacion '!$E$5:$E$493,0),0))</f>
        <v>45659</v>
      </c>
      <c r="G1460" s="234" cm="1">
        <f t="array" ref="G1460">MAX(INDEX('Relacion '!$X$5:$AM$493,MATCH(INDEX($B:$B, (ROW()-0)),'Relacion '!$E$5:$E$493,0),0))</f>
        <v>46130</v>
      </c>
      <c r="H1460" s="235" t="e">
        <f>AVERAGE(H1461:H1468)</f>
        <v>#REF!</v>
      </c>
      <c r="I1460" s="235">
        <f t="shared" ref="I1460" ca="1" si="346">AVERAGE(I1461:I1468)</f>
        <v>1</v>
      </c>
      <c r="J1460" s="236" t="str">
        <f>IF(ISNUMBER(SEARCH("Rocha", _xlfn.XLOOKUP(B1460,'Relacion '!$E:$E,'Relacion '!$I:$I,""))), "Sí", "No")</f>
        <v>No</v>
      </c>
      <c r="K1460" s="236" t="str">
        <f>IF(ISNUMBER(SEARCH("Rocha", _xlfn.XLOOKUP(B1460,'Relacion '!$E:$E,'Relacion '!$I:$I,""))), "RMC", _xlfn.XLOOKUP(B1460,'Relacion '!$E:$E,'Relacion '!$B:$B,""))</f>
        <v>Producto</v>
      </c>
      <c r="L1460" s="236" t="str">
        <f>_xlfn.XLOOKUP(B1460,'Relacion '!$E:$E,'Relacion '!$C:$C,"")</f>
        <v>Claudia Barroso</v>
      </c>
    </row>
    <row r="1461" spans="2:12" outlineLevel="1">
      <c r="B1461" s="237" t="s">
        <v>654</v>
      </c>
      <c r="C1461" s="237" t="s">
        <v>654</v>
      </c>
      <c r="D1461" s="238" t="str">
        <f>_xlfn.XLOOKUP(B1461,'Relacion '!$E:$E,'Relacion '!$D:$D,"")</f>
        <v/>
      </c>
      <c r="E1461" s="239">
        <f t="shared" si="335"/>
        <v>424</v>
      </c>
      <c r="F1461" s="240" cm="1">
        <f t="array" ref="F1461">MIN(INDEX('Relacion '!$X$5:$Y$493,MATCH(INDEX($B:$B, (ROW()-1)),'Relacion '!$E$5:$E$493,0),0))</f>
        <v>45659</v>
      </c>
      <c r="G1461" s="240" cm="1">
        <f t="array" ref="G1461">MAX(INDEX('Relacion '!$X$5:$Y$493,MATCH(INDEX($B:$B, (ROW()-1)),'Relacion '!$E$5:$E$493,0),0))</f>
        <v>46083</v>
      </c>
      <c r="H1461" s="241" cm="1">
        <f t="array" ref="H1461">IF(
 MATCH(B1461,{"01. ASIGNACION AREA";"02. MAPEO";"03. DESARROLLO";"04. VALIDA US";"05. VOBO US";"06. BW-EJECUCION";"07. VALIDACIÓN BAJAWARE";"08. CERRADA"},0)
 &lt;
 MATCH(_xlfn.XLOOKUP(INDEX($B:$B, (ROW()-1)),'Relacion '!$E:$E,'Relacion '!$D:$D,""),{"01. ASIGNACION AREA";"02. MAPEO";"03. DESARROLLO";"04. VALIDA US";"05. VOBO US";"06. BW-EJECUCION";"07. VALIDACIÓN BAJAWARE";"08. CERRADA"},0),
 1,
 IF(
  MATCH(B1461,{"01. ASIGNACION AREA";"02. MAPEO";"03. DESARROLLO";"04. VALIDA US";"05. VOBO US";"06. BW-EJECUCION";"07. VALIDACIÓN BAJAWARE";"08. CERRADA"},0)
  =
  MATCH(_xlfn.XLOOKUP(INDEX($B:$B, (ROW()-1)),'Relacion '!$E:$E,'Relacion '!$D:$D,""),{"01. ASIGNACION AREA";"02. MAPEO";"03. DESARROLLO";"04. VALIDA US";"05. VOBO US";"06. BW-EJECUCION";"07. VALIDACIÓN BAJAWARE";"08. CERRADA"},0),
  _xlfn.XLOOKUP(INDEX($B:$B, (ROW()-1)),'Relacion '!$E:$E,'Relacion '!#REF!,0),
  0
 )
)</f>
        <v>1</v>
      </c>
      <c r="I1461" s="241">
        <f t="shared" ref="I1461:I1522" ca="1" si="347">IF(G1461&lt;=TODAY(), 1, 0)</f>
        <v>1</v>
      </c>
      <c r="J1461" s="241"/>
      <c r="K1461" s="241"/>
      <c r="L1461" s="238"/>
    </row>
    <row r="1462" spans="2:12" outlineLevel="1">
      <c r="B1462" s="237" t="s">
        <v>195</v>
      </c>
      <c r="C1462" s="237" t="s">
        <v>195</v>
      </c>
      <c r="D1462" s="238" t="str">
        <f>_xlfn.XLOOKUP(B1462,'Relacion '!$E:$E,'Relacion '!$D:$D,"")</f>
        <v/>
      </c>
      <c r="E1462" s="239">
        <f t="shared" si="335"/>
        <v>4</v>
      </c>
      <c r="F1462" s="240" cm="1">
        <f t="array" ref="F1462">MIN(INDEX('Relacion '!$Z$5:$AA$493,MATCH(INDEX($B:$B, (ROW()-2)),'Relacion '!$E$5:$E$493,0),0))</f>
        <v>46034</v>
      </c>
      <c r="G1462" s="240" cm="1">
        <f t="array" ref="G1462">MAX(INDEX('Relacion '!$Z$5:$AA$493,MATCH(INDEX($B:$B, (ROW()-2)),'Relacion '!$E$5:$E$493,0),0))</f>
        <v>46038</v>
      </c>
      <c r="H1462" s="241" cm="1">
        <f t="array" ref="H1462">IF(
 MATCH(B1462,{"01. ASIGNACION AREA";"02. MAPEO";"03. DESARROLLO";"04. VALIDA US";"05. VOBO US";"06. BW-EJECUCION";"07. VALIDACIÓN BAJAWARE";"08. CERRADA"},0)
 &lt;
 MATCH(_xlfn.XLOOKUP(INDEX($B:$B, (ROW()-2)),'Relacion '!$E:$E,'Relacion '!$D:$D,""),{"01. ASIGNACION AREA";"02. MAPEO";"03. DESARROLLO";"04. VALIDA US";"05. VOBO US";"06. BW-EJECUCION";"07. VALIDACIÓN BAJAWARE";"08. CERRADA"},0),
 1,
 IF(
  MATCH(B1462,{"01. ASIGNACION AREA";"02. MAPEO";"03. DESARROLLO";"04. VALIDA US";"05. VOBO US";"06. BW-EJECUCION";"07. VALIDACIÓN BAJAWARE";"08. CERRADA"},0)
  =
  MATCH(_xlfn.XLOOKUP(INDEX($B:$B, (ROW()-2)),'Relacion '!$E:$E,'Relacion '!$D:$D,""),{"01. ASIGNACION AREA";"02. MAPEO";"03. DESARROLLO";"04. VALIDA US";"05. VOBO US";"06. BW-EJECUCION";"07. VALIDACIÓN BAJAWARE";"08. CERRADA"},0),
  _xlfn.XLOOKUP(INDEX($B:$B, (ROW()-2)),'Relacion '!$E:$E,'Relacion '!#REF!,0),
  0
 )
)</f>
        <v>1</v>
      </c>
      <c r="I1462" s="241">
        <f t="shared" ca="1" si="347"/>
        <v>1</v>
      </c>
      <c r="J1462" s="241"/>
      <c r="K1462" s="241"/>
      <c r="L1462" s="238"/>
    </row>
    <row r="1463" spans="2:12" outlineLevel="1">
      <c r="B1463" s="237" t="s">
        <v>49</v>
      </c>
      <c r="C1463" s="237" t="s">
        <v>49</v>
      </c>
      <c r="D1463" s="238" t="str">
        <f>_xlfn.XLOOKUP(B1463,'Relacion '!$E:$E,'Relacion '!$D:$D,"")</f>
        <v/>
      </c>
      <c r="E1463" s="239">
        <f t="shared" si="335"/>
        <v>4</v>
      </c>
      <c r="F1463" s="240" cm="1">
        <f t="array" ref="F1463">MIN(INDEX('Relacion '!$AB$5:$AC$493,MATCH(INDEX($B:$B, (ROW()-3)),'Relacion '!$E$5:$E$493,0),0))</f>
        <v>46041</v>
      </c>
      <c r="G1463" s="240" cm="1">
        <f t="array" ref="G1463">MAX(INDEX('Relacion '!$AB$5:$AC$493,MATCH(INDEX($B:$B, (ROW()-3)),'Relacion '!$E$5:$E$493,0),0))</f>
        <v>46045</v>
      </c>
      <c r="H1463" s="241" cm="1">
        <f t="array" ref="H1463">IF(
 MATCH(B1463,{"01. ASIGNACION AREA";"02. MAPEO";"03. DESARROLLO";"04. VALIDA US";"05. VOBO US";"06. BW-EJECUCION";"07. VALIDACIÓN BAJAWARE";"08. CERRADA"},0)
 &lt;
 MATCH(_xlfn.XLOOKUP(INDEX($B:$B, (ROW()-3)),'Relacion '!$E:$E,'Relacion '!$D:$D,""),{"01. ASIGNACION AREA";"02. MAPEO";"03. DESARROLLO";"04. VALIDA US";"05. VOBO US";"06. BW-EJECUCION";"07. VALIDACIÓN BAJAWARE";"08. CERRADA"},0),
 1,
 IF(
  MATCH(B1463,{"01. ASIGNACION AREA";"02. MAPEO";"03. DESARROLLO";"04. VALIDA US";"05. VOBO US";"06. BW-EJECUCION";"07. VALIDACIÓN BAJAWARE";"08. CERRADA"},0)
  =
  MATCH(_xlfn.XLOOKUP(INDEX($B:$B, (ROW()-3)),'Relacion '!$E:$E,'Relacion '!$D:$D,""),{"01. ASIGNACION AREA";"02. MAPEO";"03. DESARROLLO";"04. VALIDA US";"05. VOBO US";"06. BW-EJECUCION";"07. VALIDACIÓN BAJAWARE";"08. CERRADA"},0),
  _xlfn.XLOOKUP(INDEX($B:$B, (ROW()-3)),'Relacion '!$E:$E,'Relacion '!#REF!,0),
  0
 )
)</f>
        <v>1</v>
      </c>
      <c r="I1463" s="241">
        <f t="shared" ca="1" si="347"/>
        <v>1</v>
      </c>
      <c r="J1463" s="241"/>
      <c r="K1463" s="241"/>
      <c r="L1463" s="238"/>
    </row>
    <row r="1464" spans="2:12" outlineLevel="1">
      <c r="B1464" s="237" t="s">
        <v>324</v>
      </c>
      <c r="C1464" s="237" t="s">
        <v>324</v>
      </c>
      <c r="D1464" s="238" t="str">
        <f>_xlfn.XLOOKUP(B1464,'Relacion '!$E:$E,'Relacion '!$D:$D,"")</f>
        <v/>
      </c>
      <c r="E1464" s="239">
        <f t="shared" si="335"/>
        <v>4</v>
      </c>
      <c r="F1464" s="240" cm="1">
        <f t="array" ref="F1464">MIN(INDEX('Relacion '!$AD$5:$AE$493,MATCH(INDEX($B:$B, (ROW()-4)),'Relacion '!$E$5:$E$493,0),0))</f>
        <v>46048</v>
      </c>
      <c r="G1464" s="240" cm="1">
        <f t="array" ref="G1464">MAX(INDEX('Relacion '!$AD$5:$AE$493,MATCH(INDEX($B:$B, (ROW()-4)),'Relacion '!$E$5:$E$493,0),0))</f>
        <v>46052</v>
      </c>
      <c r="H1464" s="241" cm="1">
        <f t="array" ref="H1464">IF(
 MATCH(B1464,{"01. ASIGNACION AREA";"02. MAPEO";"03. DESARROLLO";"04. VALIDA US";"05. VOBO US";"06. BW-EJECUCION";"07. VALIDACIÓN BAJAWARE";"08. CERRADA"},0)
 &lt;
 MATCH(_xlfn.XLOOKUP(INDEX($B:$B, (ROW()-4)),'Relacion '!$E:$E,'Relacion '!$D:$D,""),{"01. ASIGNACION AREA";"02. MAPEO";"03. DESARROLLO";"04. VALIDA US";"05. VOBO US";"06. BW-EJECUCION";"07. VALIDACIÓN BAJAWARE";"08. CERRADA"},0),
 1,
 IF(
  MATCH(B1464,{"01. ASIGNACION AREA";"02. MAPEO";"03. DESARROLLO";"04. VALIDA US";"05. VOBO US";"06. BW-EJECUCION";"07. VALIDACIÓN BAJAWARE";"08. CERRADA"},0)
  =
  MATCH(_xlfn.XLOOKUP(INDEX($B:$B, (ROW()-4)),'Relacion '!$E:$E,'Relacion '!$D:$D,""),{"01. ASIGNACION AREA";"02. MAPEO";"03. DESARROLLO";"04. VALIDA US";"05. VOBO US";"06. BW-EJECUCION";"07. VALIDACIÓN BAJAWARE";"08. CERRADA"},0),
  _xlfn.XLOOKUP(INDEX($B:$B, (ROW()-4)),'Relacion '!$E:$E,'Relacion '!#REF!,0),
  0
 )
)</f>
        <v>1</v>
      </c>
      <c r="I1464" s="241">
        <f t="shared" ca="1" si="347"/>
        <v>1</v>
      </c>
      <c r="J1464" s="241"/>
      <c r="K1464" s="241"/>
      <c r="L1464" s="238"/>
    </row>
    <row r="1465" spans="2:12" outlineLevel="1">
      <c r="B1465" s="237" t="s">
        <v>320</v>
      </c>
      <c r="C1465" s="237" t="s">
        <v>320</v>
      </c>
      <c r="D1465" s="238" t="str">
        <f>_xlfn.XLOOKUP(B1465,'Relacion '!$E:$E,'Relacion '!$D:$D,"")</f>
        <v/>
      </c>
      <c r="E1465" s="239">
        <f t="shared" si="335"/>
        <v>7</v>
      </c>
      <c r="F1465" s="240" cm="1">
        <f t="array" ref="F1465">MIN(INDEX('Relacion '!$AF$5:$AG$493,MATCH(INDEX($B:$B, (ROW()-5)),'Relacion '!$E$5:$E$493,0),0))</f>
        <v>46055</v>
      </c>
      <c r="G1465" s="240" cm="1">
        <f t="array" ref="G1465">MAX(INDEX('Relacion '!$AF$5:$AG$493,MATCH(INDEX($B:$B, (ROW()-5)),'Relacion '!$E$5:$E$493,0),0))</f>
        <v>46062</v>
      </c>
      <c r="H1465" s="241" cm="1">
        <f t="array" ref="H1465">IF(
 MATCH(B1465,{"01. ASIGNACION AREA";"02. MAPEO";"03. DESARROLLO";"04. VALIDA US";"05. VOBO US";"06. BW-EJECUCION";"07. VALIDACIÓN BAJAWARE";"08. CERRADA"},0)
 &lt;
 MATCH(_xlfn.XLOOKUP(INDEX($B:$B, (ROW()-5)),'Relacion '!$E:$E,'Relacion '!$D:$D,""),{"01. ASIGNACION AREA";"02. MAPEO";"03. DESARROLLO";"04. VALIDA US";"05. VOBO US";"06. BW-EJECUCION";"07. VALIDACIÓN BAJAWARE";"08. CERRADA"},0),
 1,
 IF(
  MATCH(B1465,{"01. ASIGNACION AREA";"02. MAPEO";"03. DESARROLLO";"04. VALIDA US";"05. VOBO US";"06. BW-EJECUCION";"07. VALIDACIÓN BAJAWARE";"08. CERRADA"},0)
  =
  MATCH(_xlfn.XLOOKUP(INDEX($B:$B, (ROW()-5)),'Relacion '!$E:$E,'Relacion '!$D:$D,""),{"01. ASIGNACION AREA";"02. MAPEO";"03. DESARROLLO";"04. VALIDA US";"05. VOBO US";"06. BW-EJECUCION";"07. VALIDACIÓN BAJAWARE";"08. CERRADA"},0),
  _xlfn.XLOOKUP(INDEX($B:$B, (ROW()-5)),'Relacion '!$E:$E,'Relacion '!#REF!,0),
  0
 )
)</f>
        <v>1</v>
      </c>
      <c r="I1465" s="241">
        <f t="shared" ca="1" si="347"/>
        <v>1</v>
      </c>
      <c r="J1465" s="241"/>
      <c r="K1465" s="241"/>
      <c r="L1465" s="238"/>
    </row>
    <row r="1466" spans="2:12" outlineLevel="1">
      <c r="B1466" s="237" t="s">
        <v>710</v>
      </c>
      <c r="C1466" s="237" t="s">
        <v>710</v>
      </c>
      <c r="D1466" s="238" t="str">
        <f>_xlfn.XLOOKUP(B1466,'Relacion '!$E:$E,'Relacion '!$D:$D,"")</f>
        <v/>
      </c>
      <c r="E1466" s="239">
        <f t="shared" si="335"/>
        <v>25</v>
      </c>
      <c r="F1466" s="240" cm="1">
        <f t="array" ref="F1466">MIN(INDEX('Relacion '!$AH$5:$AI$493,MATCH(INDEX($B:$B, (ROW()-6)),'Relacion '!$E$5:$E$493,0),0))</f>
        <v>46076</v>
      </c>
      <c r="G1466" s="240" cm="1">
        <f t="array" ref="G1466">MAX(INDEX('Relacion '!$AH$5:$AI$493,MATCH(INDEX($B:$B, (ROW()-6)),'Relacion '!$E$5:$E$493,0),0))</f>
        <v>46101</v>
      </c>
      <c r="H1466" s="241" t="e" cm="1">
        <f t="array" ref="H1466">IF(
 MATCH(B1466,{"01. ASIGNACION AREA";"02. MAPEO";"03. DESARROLLO";"04. VALIDA US";"05. VOBO US";"06. BW-EJECUCION";"07. VALIDACIÓN BAJAWARE";"08. CERRADA"},0)
 &lt;
 MATCH(_xlfn.XLOOKUP(INDEX($B:$B, (ROW()-6)),'Relacion '!$E:$E,'Relacion '!$D:$D,""),{"01. ASIGNACION AREA";"02. MAPEO";"03. DESARROLLO";"04. VALIDA US";"05. VOBO US";"06. BW-EJECUCION";"07. VALIDACIÓN BAJAWARE";"08. CERRADA"},0),
 1,
 IF(
  MATCH(B1466,{"01. ASIGNACION AREA";"02. MAPEO";"03. DESARROLLO";"04. VALIDA US";"05. VOBO US";"06. BW-EJECUCION";"07. VALIDACIÓN BAJAWARE";"08. CERRADA"},0)
  =
  MATCH(_xlfn.XLOOKUP(INDEX($B:$B, (ROW()-6)),'Relacion '!$E:$E,'Relacion '!$D:$D,""),{"01. ASIGNACION AREA";"02. MAPEO";"03. DESARROLLO";"04. VALIDA US";"05. VOBO US";"06. BW-EJECUCION";"07. VALIDACIÓN BAJAWARE";"08. CERRADA"},0),
  _xlfn.XLOOKUP(INDEX($B:$B, (ROW()-6)),'Relacion '!$E:$E,'Relacion '!#REF!,0),
  0
 )
)</f>
        <v>#REF!</v>
      </c>
      <c r="I1466" s="241">
        <f t="shared" ca="1" si="347"/>
        <v>1</v>
      </c>
      <c r="J1466" s="241"/>
      <c r="K1466" s="241"/>
      <c r="L1466" s="238"/>
    </row>
    <row r="1467" spans="2:12" outlineLevel="1">
      <c r="B1467" s="237" t="s">
        <v>655</v>
      </c>
      <c r="C1467" s="237" t="s">
        <v>655</v>
      </c>
      <c r="D1467" s="238" t="str">
        <f>_xlfn.XLOOKUP(B1467,'Relacion '!$E:$E,'Relacion '!$D:$D,"")</f>
        <v/>
      </c>
      <c r="E1467" s="239">
        <f t="shared" si="335"/>
        <v>25</v>
      </c>
      <c r="F1467" s="240" cm="1">
        <f t="array" ref="F1467">MIN(INDEX('Relacion '!$AJ$5:$AK$493,MATCH(INDEX($B:$B, (ROW()-7)),'Relacion '!$E$5:$E$493,0),0))</f>
        <v>46104</v>
      </c>
      <c r="G1467" s="240" cm="1">
        <f t="array" ref="G1467">MAX(INDEX('Relacion '!$AJ$5:$AK$493,MATCH(INDEX($B:$B, (ROW()-7)),'Relacion '!$E$5:$E$493,0),0))</f>
        <v>46129</v>
      </c>
      <c r="H1467" s="241" cm="1">
        <f t="array" ref="H1467">IF(
 MATCH(B1467,{"01. ASIGNACION AREA";"02. MAPEO";"03. DESARROLLO";"04. VALIDA US";"05. VOBO US";"06. BW-EJECUCION";"07. VALIDACIÓN BAJAWARE";"08. CERRADA"},0)
 &lt;
 MATCH(_xlfn.XLOOKUP(INDEX($B:$B, (ROW()-7)),'Relacion '!$E:$E,'Relacion '!$D:$D,""),{"01. ASIGNACION AREA";"02. MAPEO";"03. DESARROLLO";"04. VALIDA US";"05. VOBO US";"06. BW-EJECUCION";"07. VALIDACIÓN BAJAWARE";"08. CERRADA"},0),
 1,
 IF(
  MATCH(B1467,{"01. ASIGNACION AREA";"02. MAPEO";"03. DESARROLLO";"04. VALIDA US";"05. VOBO US";"06. BW-EJECUCION";"07. VALIDACIÓN BAJAWARE";"08. CERRADA"},0)
  =
  MATCH(_xlfn.XLOOKUP(INDEX($B:$B, (ROW()-7)),'Relacion '!$E:$E,'Relacion '!$D:$D,""),{"01. ASIGNACION AREA";"02. MAPEO";"03. DESARROLLO";"04. VALIDA US";"05. VOBO US";"06. BW-EJECUCION";"07. VALIDACIÓN BAJAWARE";"08. CERRADA"},0),
  _xlfn.XLOOKUP(INDEX($B:$B, (ROW()-7)),'Relacion '!$E:$E,'Relacion '!#REF!,0),
  0
 )
)</f>
        <v>0</v>
      </c>
      <c r="I1467" s="241">
        <f t="shared" ca="1" si="347"/>
        <v>1</v>
      </c>
      <c r="J1467" s="241"/>
      <c r="K1467" s="241"/>
      <c r="L1467" s="238"/>
    </row>
    <row r="1468" spans="2:12" outlineLevel="1">
      <c r="B1468" s="237" t="s">
        <v>656</v>
      </c>
      <c r="C1468" s="237" t="s">
        <v>656</v>
      </c>
      <c r="D1468" s="238" t="str">
        <f>_xlfn.XLOOKUP(B1468,'Relacion '!$E:$E,'Relacion '!$D:$D,"")</f>
        <v/>
      </c>
      <c r="E1468" s="239">
        <f t="shared" si="335"/>
        <v>0</v>
      </c>
      <c r="F1468" s="240" cm="1">
        <f t="array" ref="F1468">MIN(INDEX('Relacion '!$AL$5:$AM$493,MATCH(INDEX($B:$B, (ROW()-8)),'Relacion '!$E$5:$E$493,0),0))</f>
        <v>46130</v>
      </c>
      <c r="G1468" s="240" cm="1">
        <f t="array" ref="G1468">MAX(INDEX('Relacion '!$AL$5:$AM$493,MATCH(INDEX($B:$B, (ROW()-8)),'Relacion '!$E$5:$E$493,0),0))</f>
        <v>46130</v>
      </c>
      <c r="H1468" s="241" cm="1">
        <f t="array" ref="H1468">IF(
 MATCH(B1468,{"01. ASIGNACION AREA";"02. MAPEO";"03. DESARROLLO";"04. VALIDA US";"05. VOBO US";"06. BW-EJECUCION";"07. VALIDACIÓN BAJAWARE";"08. CERRADA"},0)
 &lt;
 MATCH(_xlfn.XLOOKUP(INDEX($B:$B, (ROW()-8)),'Relacion '!$E:$E,'Relacion '!$D:$D,""),{"01. ASIGNACION AREA";"02. MAPEO";"03. DESARROLLO";"04. VALIDA US";"05. VOBO US";"06. BW-EJECUCION";"07. VALIDACIÓN BAJAWARE";"08. CERRADA"},0),
 1,
 IF(
  MATCH(B1468,{"01. ASIGNACION AREA";"02. MAPEO";"03. DESARROLLO";"04. VALIDA US";"05. VOBO US";"06. BW-EJECUCION";"07. VALIDACIÓN BAJAWARE";"08. CERRADA"},0)
  =
  MATCH(_xlfn.XLOOKUP(INDEX($B:$B, (ROW()-8)),'Relacion '!$E:$E,'Relacion '!$D:$D,""),{"01. ASIGNACION AREA";"02. MAPEO";"03. DESARROLLO";"04. VALIDA US";"05. VOBO US";"06. BW-EJECUCION";"07. VALIDACIÓN BAJAWARE";"08. CERRADA"},0),
  _xlfn.XLOOKUP(INDEX($B:$B, (ROW()-8)),'Relacion '!$E:$E,'Relacion '!#REF!,0),
  0
 )
)</f>
        <v>0</v>
      </c>
      <c r="I1468" s="241">
        <f t="shared" ca="1" si="347"/>
        <v>1</v>
      </c>
      <c r="J1468" s="241"/>
      <c r="K1468" s="241"/>
      <c r="L1468" s="238"/>
    </row>
    <row r="1469" spans="2:12">
      <c r="B1469" s="232" t="s">
        <v>592</v>
      </c>
      <c r="C1469" s="167" t="s">
        <v>590</v>
      </c>
      <c r="D1469" s="236" t="str">
        <f>_xlfn.XLOOKUP(B1469,'Relacion '!$E:$E,'Relacion '!$D:$D,"")</f>
        <v>06. BW-EJECUCION</v>
      </c>
      <c r="E1469" s="233">
        <f t="shared" si="335"/>
        <v>471</v>
      </c>
      <c r="F1469" s="234" cm="1">
        <f t="array" ref="F1469">MIN(INDEX('Relacion '!$X$5:$AM$493,MATCH(INDEX($B:$B, (ROW()-0)),'Relacion '!$E$5:$E$493,0),0))</f>
        <v>45659</v>
      </c>
      <c r="G1469" s="234" cm="1">
        <f t="array" ref="G1469">MAX(INDEX('Relacion '!$X$5:$AM$493,MATCH(INDEX($B:$B, (ROW()-0)),'Relacion '!$E$5:$E$493,0),0))</f>
        <v>46130</v>
      </c>
      <c r="H1469" s="235" t="e">
        <f>AVERAGE(H1470:H1477)</f>
        <v>#REF!</v>
      </c>
      <c r="I1469" s="235">
        <f t="shared" ref="I1469" ca="1" si="348">AVERAGE(I1470:I1477)</f>
        <v>1</v>
      </c>
      <c r="J1469" s="236" t="str">
        <f>IF(ISNUMBER(SEARCH("Rocha", _xlfn.XLOOKUP(B1469,'Relacion '!$E:$E,'Relacion '!$I:$I,""))), "Sí", "No")</f>
        <v>No</v>
      </c>
      <c r="K1469" s="236" t="str">
        <f>IF(ISNUMBER(SEARCH("Rocha", _xlfn.XLOOKUP(B1469,'Relacion '!$E:$E,'Relacion '!$I:$I,""))), "RMC", _xlfn.XLOOKUP(B1469,'Relacion '!$E:$E,'Relacion '!$B:$B,""))</f>
        <v>Producto</v>
      </c>
      <c r="L1469" s="236" t="str">
        <f>_xlfn.XLOOKUP(B1469,'Relacion '!$E:$E,'Relacion '!$C:$C,"")</f>
        <v>Claudia Barroso</v>
      </c>
    </row>
    <row r="1470" spans="2:12" outlineLevel="1">
      <c r="B1470" s="237" t="s">
        <v>654</v>
      </c>
      <c r="C1470" s="237" t="s">
        <v>654</v>
      </c>
      <c r="D1470" s="238" t="str">
        <f>_xlfn.XLOOKUP(B1470,'Relacion '!$E:$E,'Relacion '!$D:$D,"")</f>
        <v/>
      </c>
      <c r="E1470" s="239">
        <f t="shared" si="335"/>
        <v>424</v>
      </c>
      <c r="F1470" s="240" cm="1">
        <f t="array" ref="F1470">MIN(INDEX('Relacion '!$X$5:$Y$493,MATCH(INDEX($B:$B, (ROW()-1)),'Relacion '!$E$5:$E$493,0),0))</f>
        <v>45659</v>
      </c>
      <c r="G1470" s="240" cm="1">
        <f t="array" ref="G1470">MAX(INDEX('Relacion '!$X$5:$Y$493,MATCH(INDEX($B:$B, (ROW()-1)),'Relacion '!$E$5:$E$493,0),0))</f>
        <v>46083</v>
      </c>
      <c r="H1470" s="241" cm="1">
        <f t="array" ref="H1470">IF(
 MATCH(B1470,{"01. ASIGNACION AREA";"02. MAPEO";"03. DESARROLLO";"04. VALIDA US";"05. VOBO US";"06. BW-EJECUCION";"07. VALIDACIÓN BAJAWARE";"08. CERRADA"},0)
 &lt;
 MATCH(_xlfn.XLOOKUP(INDEX($B:$B, (ROW()-1)),'Relacion '!$E:$E,'Relacion '!$D:$D,""),{"01. ASIGNACION AREA";"02. MAPEO";"03. DESARROLLO";"04. VALIDA US";"05. VOBO US";"06. BW-EJECUCION";"07. VALIDACIÓN BAJAWARE";"08. CERRADA"},0),
 1,
 IF(
  MATCH(B1470,{"01. ASIGNACION AREA";"02. MAPEO";"03. DESARROLLO";"04. VALIDA US";"05. VOBO US";"06. BW-EJECUCION";"07. VALIDACIÓN BAJAWARE";"08. CERRADA"},0)
  =
  MATCH(_xlfn.XLOOKUP(INDEX($B:$B, (ROW()-1)),'Relacion '!$E:$E,'Relacion '!$D:$D,""),{"01. ASIGNACION AREA";"02. MAPEO";"03. DESARROLLO";"04. VALIDA US";"05. VOBO US";"06. BW-EJECUCION";"07. VALIDACIÓN BAJAWARE";"08. CERRADA"},0),
  _xlfn.XLOOKUP(INDEX($B:$B, (ROW()-1)),'Relacion '!$E:$E,'Relacion '!#REF!,0),
  0
 )
)</f>
        <v>1</v>
      </c>
      <c r="I1470" s="241">
        <f t="shared" ref="I1470" ca="1" si="349">IF(G1470&lt;=TODAY(), 1, 0)</f>
        <v>1</v>
      </c>
      <c r="J1470" s="241"/>
      <c r="K1470" s="241"/>
      <c r="L1470" s="238"/>
    </row>
    <row r="1471" spans="2:12" outlineLevel="1">
      <c r="B1471" s="237" t="s">
        <v>195</v>
      </c>
      <c r="C1471" s="237" t="s">
        <v>195</v>
      </c>
      <c r="D1471" s="238" t="str">
        <f>_xlfn.XLOOKUP(B1471,'Relacion '!$E:$E,'Relacion '!$D:$D,"")</f>
        <v/>
      </c>
      <c r="E1471" s="239">
        <f t="shared" si="335"/>
        <v>4</v>
      </c>
      <c r="F1471" s="240" cm="1">
        <f t="array" ref="F1471">MIN(INDEX('Relacion '!$Z$5:$AA$493,MATCH(INDEX($B:$B, (ROW()-2)),'Relacion '!$E$5:$E$493,0),0))</f>
        <v>46034</v>
      </c>
      <c r="G1471" s="240" cm="1">
        <f t="array" ref="G1471">MAX(INDEX('Relacion '!$Z$5:$AA$493,MATCH(INDEX($B:$B, (ROW()-2)),'Relacion '!$E$5:$E$493,0),0))</f>
        <v>46038</v>
      </c>
      <c r="H1471" s="241" cm="1">
        <f t="array" ref="H1471">IF(
 MATCH(B1471,{"01. ASIGNACION AREA";"02. MAPEO";"03. DESARROLLO";"04. VALIDA US";"05. VOBO US";"06. BW-EJECUCION";"07. VALIDACIÓN BAJAWARE";"08. CERRADA"},0)
 &lt;
 MATCH(_xlfn.XLOOKUP(INDEX($B:$B, (ROW()-2)),'Relacion '!$E:$E,'Relacion '!$D:$D,""),{"01. ASIGNACION AREA";"02. MAPEO";"03. DESARROLLO";"04. VALIDA US";"05. VOBO US";"06. BW-EJECUCION";"07. VALIDACIÓN BAJAWARE";"08. CERRADA"},0),
 1,
 IF(
  MATCH(B1471,{"01. ASIGNACION AREA";"02. MAPEO";"03. DESARROLLO";"04. VALIDA US";"05. VOBO US";"06. BW-EJECUCION";"07. VALIDACIÓN BAJAWARE";"08. CERRADA"},0)
  =
  MATCH(_xlfn.XLOOKUP(INDEX($B:$B, (ROW()-2)),'Relacion '!$E:$E,'Relacion '!$D:$D,""),{"01. ASIGNACION AREA";"02. MAPEO";"03. DESARROLLO";"04. VALIDA US";"05. VOBO US";"06. BW-EJECUCION";"07. VALIDACIÓN BAJAWARE";"08. CERRADA"},0),
  _xlfn.XLOOKUP(INDEX($B:$B, (ROW()-2)),'Relacion '!$E:$E,'Relacion '!#REF!,0),
  0
 )
)</f>
        <v>1</v>
      </c>
      <c r="I1471" s="241">
        <f t="shared" ca="1" si="347"/>
        <v>1</v>
      </c>
      <c r="J1471" s="241"/>
      <c r="K1471" s="241"/>
      <c r="L1471" s="238"/>
    </row>
    <row r="1472" spans="2:12" outlineLevel="1">
      <c r="B1472" s="237" t="s">
        <v>49</v>
      </c>
      <c r="C1472" s="237" t="s">
        <v>49</v>
      </c>
      <c r="D1472" s="238" t="str">
        <f>_xlfn.XLOOKUP(B1472,'Relacion '!$E:$E,'Relacion '!$D:$D,"")</f>
        <v/>
      </c>
      <c r="E1472" s="239">
        <f t="shared" si="335"/>
        <v>4</v>
      </c>
      <c r="F1472" s="240" cm="1">
        <f t="array" ref="F1472">MIN(INDEX('Relacion '!$AB$5:$AC$493,MATCH(INDEX($B:$B, (ROW()-3)),'Relacion '!$E$5:$E$493,0),0))</f>
        <v>46041</v>
      </c>
      <c r="G1472" s="240" cm="1">
        <f t="array" ref="G1472">MAX(INDEX('Relacion '!$AB$5:$AC$493,MATCH(INDEX($B:$B, (ROW()-3)),'Relacion '!$E$5:$E$493,0),0))</f>
        <v>46045</v>
      </c>
      <c r="H1472" s="241" cm="1">
        <f t="array" ref="H1472">IF(
 MATCH(B1472,{"01. ASIGNACION AREA";"02. MAPEO";"03. DESARROLLO";"04. VALIDA US";"05. VOBO US";"06. BW-EJECUCION";"07. VALIDACIÓN BAJAWARE";"08. CERRADA"},0)
 &lt;
 MATCH(_xlfn.XLOOKUP(INDEX($B:$B, (ROW()-3)),'Relacion '!$E:$E,'Relacion '!$D:$D,""),{"01. ASIGNACION AREA";"02. MAPEO";"03. DESARROLLO";"04. VALIDA US";"05. VOBO US";"06. BW-EJECUCION";"07. VALIDACIÓN BAJAWARE";"08. CERRADA"},0),
 1,
 IF(
  MATCH(B1472,{"01. ASIGNACION AREA";"02. MAPEO";"03. DESARROLLO";"04. VALIDA US";"05. VOBO US";"06. BW-EJECUCION";"07. VALIDACIÓN BAJAWARE";"08. CERRADA"},0)
  =
  MATCH(_xlfn.XLOOKUP(INDEX($B:$B, (ROW()-3)),'Relacion '!$E:$E,'Relacion '!$D:$D,""),{"01. ASIGNACION AREA";"02. MAPEO";"03. DESARROLLO";"04. VALIDA US";"05. VOBO US";"06. BW-EJECUCION";"07. VALIDACIÓN BAJAWARE";"08. CERRADA"},0),
  _xlfn.XLOOKUP(INDEX($B:$B, (ROW()-3)),'Relacion '!$E:$E,'Relacion '!#REF!,0),
  0
 )
)</f>
        <v>1</v>
      </c>
      <c r="I1472" s="241">
        <f t="shared" ca="1" si="347"/>
        <v>1</v>
      </c>
      <c r="J1472" s="241"/>
      <c r="K1472" s="241"/>
      <c r="L1472" s="238"/>
    </row>
    <row r="1473" spans="2:12" outlineLevel="1">
      <c r="B1473" s="237" t="s">
        <v>324</v>
      </c>
      <c r="C1473" s="237" t="s">
        <v>324</v>
      </c>
      <c r="D1473" s="238" t="str">
        <f>_xlfn.XLOOKUP(B1473,'Relacion '!$E:$E,'Relacion '!$D:$D,"")</f>
        <v/>
      </c>
      <c r="E1473" s="239">
        <f t="shared" si="335"/>
        <v>4</v>
      </c>
      <c r="F1473" s="240" cm="1">
        <f t="array" ref="F1473">MIN(INDEX('Relacion '!$AD$5:$AE$493,MATCH(INDEX($B:$B, (ROW()-4)),'Relacion '!$E$5:$E$493,0),0))</f>
        <v>46048</v>
      </c>
      <c r="G1473" s="240" cm="1">
        <f t="array" ref="G1473">MAX(INDEX('Relacion '!$AD$5:$AE$493,MATCH(INDEX($B:$B, (ROW()-4)),'Relacion '!$E$5:$E$493,0),0))</f>
        <v>46052</v>
      </c>
      <c r="H1473" s="241" cm="1">
        <f t="array" ref="H1473">IF(
 MATCH(B1473,{"01. ASIGNACION AREA";"02. MAPEO";"03. DESARROLLO";"04. VALIDA US";"05. VOBO US";"06. BW-EJECUCION";"07. VALIDACIÓN BAJAWARE";"08. CERRADA"},0)
 &lt;
 MATCH(_xlfn.XLOOKUP(INDEX($B:$B, (ROW()-4)),'Relacion '!$E:$E,'Relacion '!$D:$D,""),{"01. ASIGNACION AREA";"02. MAPEO";"03. DESARROLLO";"04. VALIDA US";"05. VOBO US";"06. BW-EJECUCION";"07. VALIDACIÓN BAJAWARE";"08. CERRADA"},0),
 1,
 IF(
  MATCH(B1473,{"01. ASIGNACION AREA";"02. MAPEO";"03. DESARROLLO";"04. VALIDA US";"05. VOBO US";"06. BW-EJECUCION";"07. VALIDACIÓN BAJAWARE";"08. CERRADA"},0)
  =
  MATCH(_xlfn.XLOOKUP(INDEX($B:$B, (ROW()-4)),'Relacion '!$E:$E,'Relacion '!$D:$D,""),{"01. ASIGNACION AREA";"02. MAPEO";"03. DESARROLLO";"04. VALIDA US";"05. VOBO US";"06. BW-EJECUCION";"07. VALIDACIÓN BAJAWARE";"08. CERRADA"},0),
  _xlfn.XLOOKUP(INDEX($B:$B, (ROW()-4)),'Relacion '!$E:$E,'Relacion '!#REF!,0),
  0
 )
)</f>
        <v>1</v>
      </c>
      <c r="I1473" s="241">
        <f t="shared" ca="1" si="347"/>
        <v>1</v>
      </c>
      <c r="J1473" s="241"/>
      <c r="K1473" s="241"/>
      <c r="L1473" s="238"/>
    </row>
    <row r="1474" spans="2:12" outlineLevel="1">
      <c r="B1474" s="237" t="s">
        <v>320</v>
      </c>
      <c r="C1474" s="237" t="s">
        <v>320</v>
      </c>
      <c r="D1474" s="238" t="str">
        <f>_xlfn.XLOOKUP(B1474,'Relacion '!$E:$E,'Relacion '!$D:$D,"")</f>
        <v/>
      </c>
      <c r="E1474" s="239">
        <f t="shared" ref="E1474:E1537" si="350">IF(OR(F1474="",G1474=""),"",G1474-F1474)</f>
        <v>7</v>
      </c>
      <c r="F1474" s="240" cm="1">
        <f t="array" ref="F1474">MIN(INDEX('Relacion '!$AF$5:$AG$493,MATCH(INDEX($B:$B, (ROW()-5)),'Relacion '!$E$5:$E$493,0),0))</f>
        <v>46055</v>
      </c>
      <c r="G1474" s="240" cm="1">
        <f t="array" ref="G1474">MAX(INDEX('Relacion '!$AF$5:$AG$493,MATCH(INDEX($B:$B, (ROW()-5)),'Relacion '!$E$5:$E$493,0),0))</f>
        <v>46062</v>
      </c>
      <c r="H1474" s="241" cm="1">
        <f t="array" ref="H1474">IF(
 MATCH(B1474,{"01. ASIGNACION AREA";"02. MAPEO";"03. DESARROLLO";"04. VALIDA US";"05. VOBO US";"06. BW-EJECUCION";"07. VALIDACIÓN BAJAWARE";"08. CERRADA"},0)
 &lt;
 MATCH(_xlfn.XLOOKUP(INDEX($B:$B, (ROW()-5)),'Relacion '!$E:$E,'Relacion '!$D:$D,""),{"01. ASIGNACION AREA";"02. MAPEO";"03. DESARROLLO";"04. VALIDA US";"05. VOBO US";"06. BW-EJECUCION";"07. VALIDACIÓN BAJAWARE";"08. CERRADA"},0),
 1,
 IF(
  MATCH(B1474,{"01. ASIGNACION AREA";"02. MAPEO";"03. DESARROLLO";"04. VALIDA US";"05. VOBO US";"06. BW-EJECUCION";"07. VALIDACIÓN BAJAWARE";"08. CERRADA"},0)
  =
  MATCH(_xlfn.XLOOKUP(INDEX($B:$B, (ROW()-5)),'Relacion '!$E:$E,'Relacion '!$D:$D,""),{"01. ASIGNACION AREA";"02. MAPEO";"03. DESARROLLO";"04. VALIDA US";"05. VOBO US";"06. BW-EJECUCION";"07. VALIDACIÓN BAJAWARE";"08. CERRADA"},0),
  _xlfn.XLOOKUP(INDEX($B:$B, (ROW()-5)),'Relacion '!$E:$E,'Relacion '!#REF!,0),
  0
 )
)</f>
        <v>1</v>
      </c>
      <c r="I1474" s="241">
        <f t="shared" ca="1" si="347"/>
        <v>1</v>
      </c>
      <c r="J1474" s="241"/>
      <c r="K1474" s="241"/>
      <c r="L1474" s="238"/>
    </row>
    <row r="1475" spans="2:12" outlineLevel="1">
      <c r="B1475" s="237" t="s">
        <v>710</v>
      </c>
      <c r="C1475" s="237" t="s">
        <v>710</v>
      </c>
      <c r="D1475" s="238" t="str">
        <f>_xlfn.XLOOKUP(B1475,'Relacion '!$E:$E,'Relacion '!$D:$D,"")</f>
        <v/>
      </c>
      <c r="E1475" s="239">
        <f t="shared" si="350"/>
        <v>25</v>
      </c>
      <c r="F1475" s="240" cm="1">
        <f t="array" ref="F1475">MIN(INDEX('Relacion '!$AH$5:$AI$493,MATCH(INDEX($B:$B, (ROW()-6)),'Relacion '!$E$5:$E$493,0),0))</f>
        <v>46076</v>
      </c>
      <c r="G1475" s="240" cm="1">
        <f t="array" ref="G1475">MAX(INDEX('Relacion '!$AH$5:$AI$493,MATCH(INDEX($B:$B, (ROW()-6)),'Relacion '!$E$5:$E$493,0),0))</f>
        <v>46101</v>
      </c>
      <c r="H1475" s="241" t="e" cm="1">
        <f t="array" ref="H1475">IF(
 MATCH(B1475,{"01. ASIGNACION AREA";"02. MAPEO";"03. DESARROLLO";"04. VALIDA US";"05. VOBO US";"06. BW-EJECUCION";"07. VALIDACIÓN BAJAWARE";"08. CERRADA"},0)
 &lt;
 MATCH(_xlfn.XLOOKUP(INDEX($B:$B, (ROW()-6)),'Relacion '!$E:$E,'Relacion '!$D:$D,""),{"01. ASIGNACION AREA";"02. MAPEO";"03. DESARROLLO";"04. VALIDA US";"05. VOBO US";"06. BW-EJECUCION";"07. VALIDACIÓN BAJAWARE";"08. CERRADA"},0),
 1,
 IF(
  MATCH(B1475,{"01. ASIGNACION AREA";"02. MAPEO";"03. DESARROLLO";"04. VALIDA US";"05. VOBO US";"06. BW-EJECUCION";"07. VALIDACIÓN BAJAWARE";"08. CERRADA"},0)
  =
  MATCH(_xlfn.XLOOKUP(INDEX($B:$B, (ROW()-6)),'Relacion '!$E:$E,'Relacion '!$D:$D,""),{"01. ASIGNACION AREA";"02. MAPEO";"03. DESARROLLO";"04. VALIDA US";"05. VOBO US";"06. BW-EJECUCION";"07. VALIDACIÓN BAJAWARE";"08. CERRADA"},0),
  _xlfn.XLOOKUP(INDEX($B:$B, (ROW()-6)),'Relacion '!$E:$E,'Relacion '!#REF!,0),
  0
 )
)</f>
        <v>#REF!</v>
      </c>
      <c r="I1475" s="241">
        <f t="shared" ca="1" si="347"/>
        <v>1</v>
      </c>
      <c r="J1475" s="241"/>
      <c r="K1475" s="241"/>
      <c r="L1475" s="238"/>
    </row>
    <row r="1476" spans="2:12" outlineLevel="1">
      <c r="B1476" s="237" t="s">
        <v>655</v>
      </c>
      <c r="C1476" s="237" t="s">
        <v>655</v>
      </c>
      <c r="D1476" s="238" t="str">
        <f>_xlfn.XLOOKUP(B1476,'Relacion '!$E:$E,'Relacion '!$D:$D,"")</f>
        <v/>
      </c>
      <c r="E1476" s="239">
        <f t="shared" si="350"/>
        <v>25</v>
      </c>
      <c r="F1476" s="240" cm="1">
        <f t="array" ref="F1476">MIN(INDEX('Relacion '!$AJ$5:$AK$493,MATCH(INDEX($B:$B, (ROW()-7)),'Relacion '!$E$5:$E$493,0),0))</f>
        <v>46104</v>
      </c>
      <c r="G1476" s="240" cm="1">
        <f t="array" ref="G1476">MAX(INDEX('Relacion '!$AJ$5:$AK$493,MATCH(INDEX($B:$B, (ROW()-7)),'Relacion '!$E$5:$E$493,0),0))</f>
        <v>46129</v>
      </c>
      <c r="H1476" s="241" cm="1">
        <f t="array" ref="H1476">IF(
 MATCH(B1476,{"01. ASIGNACION AREA";"02. MAPEO";"03. DESARROLLO";"04. VALIDA US";"05. VOBO US";"06. BW-EJECUCION";"07. VALIDACIÓN BAJAWARE";"08. CERRADA"},0)
 &lt;
 MATCH(_xlfn.XLOOKUP(INDEX($B:$B, (ROW()-7)),'Relacion '!$E:$E,'Relacion '!$D:$D,""),{"01. ASIGNACION AREA";"02. MAPEO";"03. DESARROLLO";"04. VALIDA US";"05. VOBO US";"06. BW-EJECUCION";"07. VALIDACIÓN BAJAWARE";"08. CERRADA"},0),
 1,
 IF(
  MATCH(B1476,{"01. ASIGNACION AREA";"02. MAPEO";"03. DESARROLLO";"04. VALIDA US";"05. VOBO US";"06. BW-EJECUCION";"07. VALIDACIÓN BAJAWARE";"08. CERRADA"},0)
  =
  MATCH(_xlfn.XLOOKUP(INDEX($B:$B, (ROW()-7)),'Relacion '!$E:$E,'Relacion '!$D:$D,""),{"01. ASIGNACION AREA";"02. MAPEO";"03. DESARROLLO";"04. VALIDA US";"05. VOBO US";"06. BW-EJECUCION";"07. VALIDACIÓN BAJAWARE";"08. CERRADA"},0),
  _xlfn.XLOOKUP(INDEX($B:$B, (ROW()-7)),'Relacion '!$E:$E,'Relacion '!#REF!,0),
  0
 )
)</f>
        <v>0</v>
      </c>
      <c r="I1476" s="241">
        <f t="shared" ca="1" si="347"/>
        <v>1</v>
      </c>
      <c r="J1476" s="241"/>
      <c r="K1476" s="241"/>
      <c r="L1476" s="238"/>
    </row>
    <row r="1477" spans="2:12" outlineLevel="1">
      <c r="B1477" s="237" t="s">
        <v>656</v>
      </c>
      <c r="C1477" s="237" t="s">
        <v>656</v>
      </c>
      <c r="D1477" s="238" t="str">
        <f>_xlfn.XLOOKUP(B1477,'Relacion '!$E:$E,'Relacion '!$D:$D,"")</f>
        <v/>
      </c>
      <c r="E1477" s="239">
        <f t="shared" si="350"/>
        <v>0</v>
      </c>
      <c r="F1477" s="240" cm="1">
        <f t="array" ref="F1477">MIN(INDEX('Relacion '!$AL$5:$AM$493,MATCH(INDEX($B:$B, (ROW()-8)),'Relacion '!$E$5:$E$493,0),0))</f>
        <v>46130</v>
      </c>
      <c r="G1477" s="240" cm="1">
        <f t="array" ref="G1477">MAX(INDEX('Relacion '!$AL$5:$AM$493,MATCH(INDEX($B:$B, (ROW()-8)),'Relacion '!$E$5:$E$493,0),0))</f>
        <v>46130</v>
      </c>
      <c r="H1477" s="241" cm="1">
        <f t="array" ref="H1477">IF(
 MATCH(B1477,{"01. ASIGNACION AREA";"02. MAPEO";"03. DESARROLLO";"04. VALIDA US";"05. VOBO US";"06. BW-EJECUCION";"07. VALIDACIÓN BAJAWARE";"08. CERRADA"},0)
 &lt;
 MATCH(_xlfn.XLOOKUP(INDEX($B:$B, (ROW()-8)),'Relacion '!$E:$E,'Relacion '!$D:$D,""),{"01. ASIGNACION AREA";"02. MAPEO";"03. DESARROLLO";"04. VALIDA US";"05. VOBO US";"06. BW-EJECUCION";"07. VALIDACIÓN BAJAWARE";"08. CERRADA"},0),
 1,
 IF(
  MATCH(B1477,{"01. ASIGNACION AREA";"02. MAPEO";"03. DESARROLLO";"04. VALIDA US";"05. VOBO US";"06. BW-EJECUCION";"07. VALIDACIÓN BAJAWARE";"08. CERRADA"},0)
  =
  MATCH(_xlfn.XLOOKUP(INDEX($B:$B, (ROW()-8)),'Relacion '!$E:$E,'Relacion '!$D:$D,""),{"01. ASIGNACION AREA";"02. MAPEO";"03. DESARROLLO";"04. VALIDA US";"05. VOBO US";"06. BW-EJECUCION";"07. VALIDACIÓN BAJAWARE";"08. CERRADA"},0),
  _xlfn.XLOOKUP(INDEX($B:$B, (ROW()-8)),'Relacion '!$E:$E,'Relacion '!#REF!,0),
  0
 )
)</f>
        <v>0</v>
      </c>
      <c r="I1477" s="241">
        <f t="shared" ca="1" si="347"/>
        <v>1</v>
      </c>
      <c r="J1477" s="241"/>
      <c r="K1477" s="241"/>
      <c r="L1477" s="238"/>
    </row>
    <row r="1478" spans="2:12">
      <c r="B1478" s="232" t="s">
        <v>593</v>
      </c>
      <c r="C1478" s="167" t="s">
        <v>590</v>
      </c>
      <c r="D1478" s="236" t="str">
        <f>_xlfn.XLOOKUP(B1478,'Relacion '!$E:$E,'Relacion '!$D:$D,"")</f>
        <v>06. BW-EJECUCION</v>
      </c>
      <c r="E1478" s="233">
        <f t="shared" si="350"/>
        <v>471</v>
      </c>
      <c r="F1478" s="234" cm="1">
        <f t="array" ref="F1478">MIN(INDEX('Relacion '!$X$5:$AM$493,MATCH(INDEX($B:$B, (ROW()-0)),'Relacion '!$E$5:$E$493,0),0))</f>
        <v>45659</v>
      </c>
      <c r="G1478" s="234" cm="1">
        <f t="array" ref="G1478">MAX(INDEX('Relacion '!$X$5:$AM$493,MATCH(INDEX($B:$B, (ROW()-0)),'Relacion '!$E$5:$E$493,0),0))</f>
        <v>46130</v>
      </c>
      <c r="H1478" s="235" t="e">
        <f>AVERAGE(H1479:H1486)</f>
        <v>#REF!</v>
      </c>
      <c r="I1478" s="235">
        <f t="shared" ref="I1478" ca="1" si="351">AVERAGE(I1479:I1486)</f>
        <v>1</v>
      </c>
      <c r="J1478" s="236" t="str">
        <f>IF(ISNUMBER(SEARCH("Rocha", _xlfn.XLOOKUP(B1478,'Relacion '!$E:$E,'Relacion '!$I:$I,""))), "Sí", "No")</f>
        <v>No</v>
      </c>
      <c r="K1478" s="236" t="str">
        <f>IF(ISNUMBER(SEARCH("Rocha", _xlfn.XLOOKUP(B1478,'Relacion '!$E:$E,'Relacion '!$I:$I,""))), "RMC", _xlfn.XLOOKUP(B1478,'Relacion '!$E:$E,'Relacion '!$B:$B,""))</f>
        <v>Producto</v>
      </c>
      <c r="L1478" s="236" t="str">
        <f>_xlfn.XLOOKUP(B1478,'Relacion '!$E:$E,'Relacion '!$C:$C,"")</f>
        <v>Claudia Barroso</v>
      </c>
    </row>
    <row r="1479" spans="2:12" outlineLevel="1">
      <c r="B1479" s="237" t="s">
        <v>654</v>
      </c>
      <c r="C1479" s="237" t="s">
        <v>654</v>
      </c>
      <c r="D1479" s="238" t="str">
        <f>_xlfn.XLOOKUP(B1479,'Relacion '!$E:$E,'Relacion '!$D:$D,"")</f>
        <v/>
      </c>
      <c r="E1479" s="239">
        <f t="shared" si="350"/>
        <v>424</v>
      </c>
      <c r="F1479" s="240" cm="1">
        <f t="array" ref="F1479">MIN(INDEX('Relacion '!$X$5:$Y$493,MATCH(INDEX($B:$B, (ROW()-1)),'Relacion '!$E$5:$E$493,0),0))</f>
        <v>45659</v>
      </c>
      <c r="G1479" s="240" cm="1">
        <f t="array" ref="G1479">MAX(INDEX('Relacion '!$X$5:$Y$493,MATCH(INDEX($B:$B, (ROW()-1)),'Relacion '!$E$5:$E$493,0),0))</f>
        <v>46083</v>
      </c>
      <c r="H1479" s="241" cm="1">
        <f t="array" ref="H1479">IF(
 MATCH(B1479,{"01. ASIGNACION AREA";"02. MAPEO";"03. DESARROLLO";"04. VALIDA US";"05. VOBO US";"06. BW-EJECUCION";"07. VALIDACIÓN BAJAWARE";"08. CERRADA"},0)
 &lt;
 MATCH(_xlfn.XLOOKUP(INDEX($B:$B, (ROW()-1)),'Relacion '!$E:$E,'Relacion '!$D:$D,""),{"01. ASIGNACION AREA";"02. MAPEO";"03. DESARROLLO";"04. VALIDA US";"05. VOBO US";"06. BW-EJECUCION";"07. VALIDACIÓN BAJAWARE";"08. CERRADA"},0),
 1,
 IF(
  MATCH(B1479,{"01. ASIGNACION AREA";"02. MAPEO";"03. DESARROLLO";"04. VALIDA US";"05. VOBO US";"06. BW-EJECUCION";"07. VALIDACIÓN BAJAWARE";"08. CERRADA"},0)
  =
  MATCH(_xlfn.XLOOKUP(INDEX($B:$B, (ROW()-1)),'Relacion '!$E:$E,'Relacion '!$D:$D,""),{"01. ASIGNACION AREA";"02. MAPEO";"03. DESARROLLO";"04. VALIDA US";"05. VOBO US";"06. BW-EJECUCION";"07. VALIDACIÓN BAJAWARE";"08. CERRADA"},0),
  _xlfn.XLOOKUP(INDEX($B:$B, (ROW()-1)),'Relacion '!$E:$E,'Relacion '!#REF!,0),
  0
 )
)</f>
        <v>1</v>
      </c>
      <c r="I1479" s="241">
        <f t="shared" ref="I1479" ca="1" si="352">IF(G1479&lt;=TODAY(), 1, 0)</f>
        <v>1</v>
      </c>
      <c r="J1479" s="241"/>
      <c r="K1479" s="241"/>
      <c r="L1479" s="238"/>
    </row>
    <row r="1480" spans="2:12" outlineLevel="1">
      <c r="B1480" s="237" t="s">
        <v>195</v>
      </c>
      <c r="C1480" s="237" t="s">
        <v>195</v>
      </c>
      <c r="D1480" s="238" t="str">
        <f>_xlfn.XLOOKUP(B1480,'Relacion '!$E:$E,'Relacion '!$D:$D,"")</f>
        <v/>
      </c>
      <c r="E1480" s="239">
        <f t="shared" si="350"/>
        <v>4</v>
      </c>
      <c r="F1480" s="240" cm="1">
        <f t="array" ref="F1480">MIN(INDEX('Relacion '!$Z$5:$AA$493,MATCH(INDEX($B:$B, (ROW()-2)),'Relacion '!$E$5:$E$493,0),0))</f>
        <v>46034</v>
      </c>
      <c r="G1480" s="240" cm="1">
        <f t="array" ref="G1480">MAX(INDEX('Relacion '!$Z$5:$AA$493,MATCH(INDEX($B:$B, (ROW()-2)),'Relacion '!$E$5:$E$493,0),0))</f>
        <v>46038</v>
      </c>
      <c r="H1480" s="241" cm="1">
        <f t="array" ref="H1480">IF(
 MATCH(B1480,{"01. ASIGNACION AREA";"02. MAPEO";"03. DESARROLLO";"04. VALIDA US";"05. VOBO US";"06. BW-EJECUCION";"07. VALIDACIÓN BAJAWARE";"08. CERRADA"},0)
 &lt;
 MATCH(_xlfn.XLOOKUP(INDEX($B:$B, (ROW()-2)),'Relacion '!$E:$E,'Relacion '!$D:$D,""),{"01. ASIGNACION AREA";"02. MAPEO";"03. DESARROLLO";"04. VALIDA US";"05. VOBO US";"06. BW-EJECUCION";"07. VALIDACIÓN BAJAWARE";"08. CERRADA"},0),
 1,
 IF(
  MATCH(B1480,{"01. ASIGNACION AREA";"02. MAPEO";"03. DESARROLLO";"04. VALIDA US";"05. VOBO US";"06. BW-EJECUCION";"07. VALIDACIÓN BAJAWARE";"08. CERRADA"},0)
  =
  MATCH(_xlfn.XLOOKUP(INDEX($B:$B, (ROW()-2)),'Relacion '!$E:$E,'Relacion '!$D:$D,""),{"01. ASIGNACION AREA";"02. MAPEO";"03. DESARROLLO";"04. VALIDA US";"05. VOBO US";"06. BW-EJECUCION";"07. VALIDACIÓN BAJAWARE";"08. CERRADA"},0),
  _xlfn.XLOOKUP(INDEX($B:$B, (ROW()-2)),'Relacion '!$E:$E,'Relacion '!#REF!,0),
  0
 )
)</f>
        <v>1</v>
      </c>
      <c r="I1480" s="241">
        <f t="shared" ca="1" si="347"/>
        <v>1</v>
      </c>
      <c r="J1480" s="241"/>
      <c r="K1480" s="241"/>
      <c r="L1480" s="238"/>
    </row>
    <row r="1481" spans="2:12" outlineLevel="1">
      <c r="B1481" s="237" t="s">
        <v>49</v>
      </c>
      <c r="C1481" s="237" t="s">
        <v>49</v>
      </c>
      <c r="D1481" s="238" t="str">
        <f>_xlfn.XLOOKUP(B1481,'Relacion '!$E:$E,'Relacion '!$D:$D,"")</f>
        <v/>
      </c>
      <c r="E1481" s="239">
        <f t="shared" si="350"/>
        <v>4</v>
      </c>
      <c r="F1481" s="240" cm="1">
        <f t="array" ref="F1481">MIN(INDEX('Relacion '!$AB$5:$AC$493,MATCH(INDEX($B:$B, (ROW()-3)),'Relacion '!$E$5:$E$493,0),0))</f>
        <v>46041</v>
      </c>
      <c r="G1481" s="240" cm="1">
        <f t="array" ref="G1481">MAX(INDEX('Relacion '!$AB$5:$AC$493,MATCH(INDEX($B:$B, (ROW()-3)),'Relacion '!$E$5:$E$493,0),0))</f>
        <v>46045</v>
      </c>
      <c r="H1481" s="241" cm="1">
        <f t="array" ref="H1481">IF(
 MATCH(B1481,{"01. ASIGNACION AREA";"02. MAPEO";"03. DESARROLLO";"04. VALIDA US";"05. VOBO US";"06. BW-EJECUCION";"07. VALIDACIÓN BAJAWARE";"08. CERRADA"},0)
 &lt;
 MATCH(_xlfn.XLOOKUP(INDEX($B:$B, (ROW()-3)),'Relacion '!$E:$E,'Relacion '!$D:$D,""),{"01. ASIGNACION AREA";"02. MAPEO";"03. DESARROLLO";"04. VALIDA US";"05. VOBO US";"06. BW-EJECUCION";"07. VALIDACIÓN BAJAWARE";"08. CERRADA"},0),
 1,
 IF(
  MATCH(B1481,{"01. ASIGNACION AREA";"02. MAPEO";"03. DESARROLLO";"04. VALIDA US";"05. VOBO US";"06. BW-EJECUCION";"07. VALIDACIÓN BAJAWARE";"08. CERRADA"},0)
  =
  MATCH(_xlfn.XLOOKUP(INDEX($B:$B, (ROW()-3)),'Relacion '!$E:$E,'Relacion '!$D:$D,""),{"01. ASIGNACION AREA";"02. MAPEO";"03. DESARROLLO";"04. VALIDA US";"05. VOBO US";"06. BW-EJECUCION";"07. VALIDACIÓN BAJAWARE";"08. CERRADA"},0),
  _xlfn.XLOOKUP(INDEX($B:$B, (ROW()-3)),'Relacion '!$E:$E,'Relacion '!#REF!,0),
  0
 )
)</f>
        <v>1</v>
      </c>
      <c r="I1481" s="241">
        <f t="shared" ca="1" si="347"/>
        <v>1</v>
      </c>
      <c r="J1481" s="241"/>
      <c r="K1481" s="241"/>
      <c r="L1481" s="238"/>
    </row>
    <row r="1482" spans="2:12" outlineLevel="1">
      <c r="B1482" s="237" t="s">
        <v>324</v>
      </c>
      <c r="C1482" s="237" t="s">
        <v>324</v>
      </c>
      <c r="D1482" s="238" t="str">
        <f>_xlfn.XLOOKUP(B1482,'Relacion '!$E:$E,'Relacion '!$D:$D,"")</f>
        <v/>
      </c>
      <c r="E1482" s="239">
        <f t="shared" si="350"/>
        <v>4</v>
      </c>
      <c r="F1482" s="240" cm="1">
        <f t="array" ref="F1482">MIN(INDEX('Relacion '!$AD$5:$AE$493,MATCH(INDEX($B:$B, (ROW()-4)),'Relacion '!$E$5:$E$493,0),0))</f>
        <v>46048</v>
      </c>
      <c r="G1482" s="240" cm="1">
        <f t="array" ref="G1482">MAX(INDEX('Relacion '!$AD$5:$AE$493,MATCH(INDEX($B:$B, (ROW()-4)),'Relacion '!$E$5:$E$493,0),0))</f>
        <v>46052</v>
      </c>
      <c r="H1482" s="241" cm="1">
        <f t="array" ref="H1482">IF(
 MATCH(B1482,{"01. ASIGNACION AREA";"02. MAPEO";"03. DESARROLLO";"04. VALIDA US";"05. VOBO US";"06. BW-EJECUCION";"07. VALIDACIÓN BAJAWARE";"08. CERRADA"},0)
 &lt;
 MATCH(_xlfn.XLOOKUP(INDEX($B:$B, (ROW()-4)),'Relacion '!$E:$E,'Relacion '!$D:$D,""),{"01. ASIGNACION AREA";"02. MAPEO";"03. DESARROLLO";"04. VALIDA US";"05. VOBO US";"06. BW-EJECUCION";"07. VALIDACIÓN BAJAWARE";"08. CERRADA"},0),
 1,
 IF(
  MATCH(B1482,{"01. ASIGNACION AREA";"02. MAPEO";"03. DESARROLLO";"04. VALIDA US";"05. VOBO US";"06. BW-EJECUCION";"07. VALIDACIÓN BAJAWARE";"08. CERRADA"},0)
  =
  MATCH(_xlfn.XLOOKUP(INDEX($B:$B, (ROW()-4)),'Relacion '!$E:$E,'Relacion '!$D:$D,""),{"01. ASIGNACION AREA";"02. MAPEO";"03. DESARROLLO";"04. VALIDA US";"05. VOBO US";"06. BW-EJECUCION";"07. VALIDACIÓN BAJAWARE";"08. CERRADA"},0),
  _xlfn.XLOOKUP(INDEX($B:$B, (ROW()-4)),'Relacion '!$E:$E,'Relacion '!#REF!,0),
  0
 )
)</f>
        <v>1</v>
      </c>
      <c r="I1482" s="241">
        <f t="shared" ca="1" si="347"/>
        <v>1</v>
      </c>
      <c r="J1482" s="241"/>
      <c r="K1482" s="241"/>
      <c r="L1482" s="238"/>
    </row>
    <row r="1483" spans="2:12" outlineLevel="1">
      <c r="B1483" s="237" t="s">
        <v>320</v>
      </c>
      <c r="C1483" s="237" t="s">
        <v>320</v>
      </c>
      <c r="D1483" s="238" t="str">
        <f>_xlfn.XLOOKUP(B1483,'Relacion '!$E:$E,'Relacion '!$D:$D,"")</f>
        <v/>
      </c>
      <c r="E1483" s="239">
        <f t="shared" si="350"/>
        <v>7</v>
      </c>
      <c r="F1483" s="240" cm="1">
        <f t="array" ref="F1483">MIN(INDEX('Relacion '!$AF$5:$AG$493,MATCH(INDEX($B:$B, (ROW()-5)),'Relacion '!$E$5:$E$493,0),0))</f>
        <v>46055</v>
      </c>
      <c r="G1483" s="240" cm="1">
        <f t="array" ref="G1483">MAX(INDEX('Relacion '!$AF$5:$AG$493,MATCH(INDEX($B:$B, (ROW()-5)),'Relacion '!$E$5:$E$493,0),0))</f>
        <v>46062</v>
      </c>
      <c r="H1483" s="241" cm="1">
        <f t="array" ref="H1483">IF(
 MATCH(B1483,{"01. ASIGNACION AREA";"02. MAPEO";"03. DESARROLLO";"04. VALIDA US";"05. VOBO US";"06. BW-EJECUCION";"07. VALIDACIÓN BAJAWARE";"08. CERRADA"},0)
 &lt;
 MATCH(_xlfn.XLOOKUP(INDEX($B:$B, (ROW()-5)),'Relacion '!$E:$E,'Relacion '!$D:$D,""),{"01. ASIGNACION AREA";"02. MAPEO";"03. DESARROLLO";"04. VALIDA US";"05. VOBO US";"06. BW-EJECUCION";"07. VALIDACIÓN BAJAWARE";"08. CERRADA"},0),
 1,
 IF(
  MATCH(B1483,{"01. ASIGNACION AREA";"02. MAPEO";"03. DESARROLLO";"04. VALIDA US";"05. VOBO US";"06. BW-EJECUCION";"07. VALIDACIÓN BAJAWARE";"08. CERRADA"},0)
  =
  MATCH(_xlfn.XLOOKUP(INDEX($B:$B, (ROW()-5)),'Relacion '!$E:$E,'Relacion '!$D:$D,""),{"01. ASIGNACION AREA";"02. MAPEO";"03. DESARROLLO";"04. VALIDA US";"05. VOBO US";"06. BW-EJECUCION";"07. VALIDACIÓN BAJAWARE";"08. CERRADA"},0),
  _xlfn.XLOOKUP(INDEX($B:$B, (ROW()-5)),'Relacion '!$E:$E,'Relacion '!#REF!,0),
  0
 )
)</f>
        <v>1</v>
      </c>
      <c r="I1483" s="241">
        <f t="shared" ca="1" si="347"/>
        <v>1</v>
      </c>
      <c r="J1483" s="241"/>
      <c r="K1483" s="241"/>
      <c r="L1483" s="238"/>
    </row>
    <row r="1484" spans="2:12" outlineLevel="1">
      <c r="B1484" s="237" t="s">
        <v>710</v>
      </c>
      <c r="C1484" s="237" t="s">
        <v>710</v>
      </c>
      <c r="D1484" s="238" t="str">
        <f>_xlfn.XLOOKUP(B1484,'Relacion '!$E:$E,'Relacion '!$D:$D,"")</f>
        <v/>
      </c>
      <c r="E1484" s="239">
        <f t="shared" si="350"/>
        <v>25</v>
      </c>
      <c r="F1484" s="240" cm="1">
        <f t="array" ref="F1484">MIN(INDEX('Relacion '!$AH$5:$AI$493,MATCH(INDEX($B:$B, (ROW()-6)),'Relacion '!$E$5:$E$493,0),0))</f>
        <v>46076</v>
      </c>
      <c r="G1484" s="240" cm="1">
        <f t="array" ref="G1484">MAX(INDEX('Relacion '!$AH$5:$AI$493,MATCH(INDEX($B:$B, (ROW()-6)),'Relacion '!$E$5:$E$493,0),0))</f>
        <v>46101</v>
      </c>
      <c r="H1484" s="241" t="e" cm="1">
        <f t="array" ref="H1484">IF(
 MATCH(B1484,{"01. ASIGNACION AREA";"02. MAPEO";"03. DESARROLLO";"04. VALIDA US";"05. VOBO US";"06. BW-EJECUCION";"07. VALIDACIÓN BAJAWARE";"08. CERRADA"},0)
 &lt;
 MATCH(_xlfn.XLOOKUP(INDEX($B:$B, (ROW()-6)),'Relacion '!$E:$E,'Relacion '!$D:$D,""),{"01. ASIGNACION AREA";"02. MAPEO";"03. DESARROLLO";"04. VALIDA US";"05. VOBO US";"06. BW-EJECUCION";"07. VALIDACIÓN BAJAWARE";"08. CERRADA"},0),
 1,
 IF(
  MATCH(B1484,{"01. ASIGNACION AREA";"02. MAPEO";"03. DESARROLLO";"04. VALIDA US";"05. VOBO US";"06. BW-EJECUCION";"07. VALIDACIÓN BAJAWARE";"08. CERRADA"},0)
  =
  MATCH(_xlfn.XLOOKUP(INDEX($B:$B, (ROW()-6)),'Relacion '!$E:$E,'Relacion '!$D:$D,""),{"01. ASIGNACION AREA";"02. MAPEO";"03. DESARROLLO";"04. VALIDA US";"05. VOBO US";"06. BW-EJECUCION";"07. VALIDACIÓN BAJAWARE";"08. CERRADA"},0),
  _xlfn.XLOOKUP(INDEX($B:$B, (ROW()-6)),'Relacion '!$E:$E,'Relacion '!#REF!,0),
  0
 )
)</f>
        <v>#REF!</v>
      </c>
      <c r="I1484" s="241">
        <f t="shared" ca="1" si="347"/>
        <v>1</v>
      </c>
      <c r="J1484" s="241"/>
      <c r="K1484" s="241"/>
      <c r="L1484" s="238"/>
    </row>
    <row r="1485" spans="2:12" outlineLevel="1">
      <c r="B1485" s="237" t="s">
        <v>655</v>
      </c>
      <c r="C1485" s="237" t="s">
        <v>655</v>
      </c>
      <c r="D1485" s="238" t="str">
        <f>_xlfn.XLOOKUP(B1485,'Relacion '!$E:$E,'Relacion '!$D:$D,"")</f>
        <v/>
      </c>
      <c r="E1485" s="239">
        <f t="shared" si="350"/>
        <v>25</v>
      </c>
      <c r="F1485" s="240" cm="1">
        <f t="array" ref="F1485">MIN(INDEX('Relacion '!$AJ$5:$AK$493,MATCH(INDEX($B:$B, (ROW()-7)),'Relacion '!$E$5:$E$493,0),0))</f>
        <v>46104</v>
      </c>
      <c r="G1485" s="240" cm="1">
        <f t="array" ref="G1485">MAX(INDEX('Relacion '!$AJ$5:$AK$493,MATCH(INDEX($B:$B, (ROW()-7)),'Relacion '!$E$5:$E$493,0),0))</f>
        <v>46129</v>
      </c>
      <c r="H1485" s="241" cm="1">
        <f t="array" ref="H1485">IF(
 MATCH(B1485,{"01. ASIGNACION AREA";"02. MAPEO";"03. DESARROLLO";"04. VALIDA US";"05. VOBO US";"06. BW-EJECUCION";"07. VALIDACIÓN BAJAWARE";"08. CERRADA"},0)
 &lt;
 MATCH(_xlfn.XLOOKUP(INDEX($B:$B, (ROW()-7)),'Relacion '!$E:$E,'Relacion '!$D:$D,""),{"01. ASIGNACION AREA";"02. MAPEO";"03. DESARROLLO";"04. VALIDA US";"05. VOBO US";"06. BW-EJECUCION";"07. VALIDACIÓN BAJAWARE";"08. CERRADA"},0),
 1,
 IF(
  MATCH(B1485,{"01. ASIGNACION AREA";"02. MAPEO";"03. DESARROLLO";"04. VALIDA US";"05. VOBO US";"06. BW-EJECUCION";"07. VALIDACIÓN BAJAWARE";"08. CERRADA"},0)
  =
  MATCH(_xlfn.XLOOKUP(INDEX($B:$B, (ROW()-7)),'Relacion '!$E:$E,'Relacion '!$D:$D,""),{"01. ASIGNACION AREA";"02. MAPEO";"03. DESARROLLO";"04. VALIDA US";"05. VOBO US";"06. BW-EJECUCION";"07. VALIDACIÓN BAJAWARE";"08. CERRADA"},0),
  _xlfn.XLOOKUP(INDEX($B:$B, (ROW()-7)),'Relacion '!$E:$E,'Relacion '!#REF!,0),
  0
 )
)</f>
        <v>0</v>
      </c>
      <c r="I1485" s="241">
        <f t="shared" ca="1" si="347"/>
        <v>1</v>
      </c>
      <c r="J1485" s="241"/>
      <c r="K1485" s="241"/>
      <c r="L1485" s="238"/>
    </row>
    <row r="1486" spans="2:12" outlineLevel="1">
      <c r="B1486" s="237" t="s">
        <v>656</v>
      </c>
      <c r="C1486" s="237" t="s">
        <v>656</v>
      </c>
      <c r="D1486" s="238" t="str">
        <f>_xlfn.XLOOKUP(B1486,'Relacion '!$E:$E,'Relacion '!$D:$D,"")</f>
        <v/>
      </c>
      <c r="E1486" s="239">
        <f t="shared" si="350"/>
        <v>0</v>
      </c>
      <c r="F1486" s="240" cm="1">
        <f t="array" ref="F1486">MIN(INDEX('Relacion '!$AL$5:$AM$493,MATCH(INDEX($B:$B, (ROW()-8)),'Relacion '!$E$5:$E$493,0),0))</f>
        <v>46130</v>
      </c>
      <c r="G1486" s="240" cm="1">
        <f t="array" ref="G1486">MAX(INDEX('Relacion '!$AL$5:$AM$493,MATCH(INDEX($B:$B, (ROW()-8)),'Relacion '!$E$5:$E$493,0),0))</f>
        <v>46130</v>
      </c>
      <c r="H1486" s="241" cm="1">
        <f t="array" ref="H1486">IF(
 MATCH(B1486,{"01. ASIGNACION AREA";"02. MAPEO";"03. DESARROLLO";"04. VALIDA US";"05. VOBO US";"06. BW-EJECUCION";"07. VALIDACIÓN BAJAWARE";"08. CERRADA"},0)
 &lt;
 MATCH(_xlfn.XLOOKUP(INDEX($B:$B, (ROW()-8)),'Relacion '!$E:$E,'Relacion '!$D:$D,""),{"01. ASIGNACION AREA";"02. MAPEO";"03. DESARROLLO";"04. VALIDA US";"05. VOBO US";"06. BW-EJECUCION";"07. VALIDACIÓN BAJAWARE";"08. CERRADA"},0),
 1,
 IF(
  MATCH(B1486,{"01. ASIGNACION AREA";"02. MAPEO";"03. DESARROLLO";"04. VALIDA US";"05. VOBO US";"06. BW-EJECUCION";"07. VALIDACIÓN BAJAWARE";"08. CERRADA"},0)
  =
  MATCH(_xlfn.XLOOKUP(INDEX($B:$B, (ROW()-8)),'Relacion '!$E:$E,'Relacion '!$D:$D,""),{"01. ASIGNACION AREA";"02. MAPEO";"03. DESARROLLO";"04. VALIDA US";"05. VOBO US";"06. BW-EJECUCION";"07. VALIDACIÓN BAJAWARE";"08. CERRADA"},0),
  _xlfn.XLOOKUP(INDEX($B:$B, (ROW()-8)),'Relacion '!$E:$E,'Relacion '!#REF!,0),
  0
 )
)</f>
        <v>0</v>
      </c>
      <c r="I1486" s="241">
        <f t="shared" ca="1" si="347"/>
        <v>1</v>
      </c>
      <c r="J1486" s="241"/>
      <c r="K1486" s="241"/>
      <c r="L1486" s="238"/>
    </row>
    <row r="1487" spans="2:12">
      <c r="B1487" s="232" t="s">
        <v>594</v>
      </c>
      <c r="C1487" s="167" t="s">
        <v>590</v>
      </c>
      <c r="D1487" s="236" t="str">
        <f>_xlfn.XLOOKUP(B1487,'Relacion '!$E:$E,'Relacion '!$D:$D,"")</f>
        <v>06. BW-EJECUCION</v>
      </c>
      <c r="E1487" s="233">
        <f t="shared" si="350"/>
        <v>471</v>
      </c>
      <c r="F1487" s="234" cm="1">
        <f t="array" ref="F1487">MIN(INDEX('Relacion '!$X$5:$AM$493,MATCH(INDEX($B:$B, (ROW()-0)),'Relacion '!$E$5:$E$493,0),0))</f>
        <v>45659</v>
      </c>
      <c r="G1487" s="234" cm="1">
        <f t="array" ref="G1487">MAX(INDEX('Relacion '!$X$5:$AM$493,MATCH(INDEX($B:$B, (ROW()-0)),'Relacion '!$E$5:$E$493,0),0))</f>
        <v>46130</v>
      </c>
      <c r="H1487" s="235" t="e">
        <f>AVERAGE(H1488:H1495)</f>
        <v>#REF!</v>
      </c>
      <c r="I1487" s="235">
        <f t="shared" ref="I1487" ca="1" si="353">AVERAGE(I1488:I1495)</f>
        <v>1</v>
      </c>
      <c r="J1487" s="236" t="str">
        <f>IF(ISNUMBER(SEARCH("Rocha", _xlfn.XLOOKUP(B1487,'Relacion '!$E:$E,'Relacion '!$I:$I,""))), "Sí", "No")</f>
        <v>No</v>
      </c>
      <c r="K1487" s="236" t="str">
        <f>IF(ISNUMBER(SEARCH("Rocha", _xlfn.XLOOKUP(B1487,'Relacion '!$E:$E,'Relacion '!$I:$I,""))), "RMC", _xlfn.XLOOKUP(B1487,'Relacion '!$E:$E,'Relacion '!$B:$B,""))</f>
        <v>Producto</v>
      </c>
      <c r="L1487" s="236" t="str">
        <f>_xlfn.XLOOKUP(B1487,'Relacion '!$E:$E,'Relacion '!$C:$C,"")</f>
        <v>Claudia Barroso</v>
      </c>
    </row>
    <row r="1488" spans="2:12" outlineLevel="1">
      <c r="B1488" s="237" t="s">
        <v>654</v>
      </c>
      <c r="C1488" s="237" t="s">
        <v>654</v>
      </c>
      <c r="D1488" s="238" t="str">
        <f>_xlfn.XLOOKUP(B1488,'Relacion '!$E:$E,'Relacion '!$D:$D,"")</f>
        <v/>
      </c>
      <c r="E1488" s="239">
        <f t="shared" si="350"/>
        <v>424</v>
      </c>
      <c r="F1488" s="240" cm="1">
        <f t="array" ref="F1488">MIN(INDEX('Relacion '!$X$5:$Y$493,MATCH(INDEX($B:$B, (ROW()-1)),'Relacion '!$E$5:$E$493,0),0))</f>
        <v>45659</v>
      </c>
      <c r="G1488" s="240" cm="1">
        <f t="array" ref="G1488">MAX(INDEX('Relacion '!$X$5:$Y$493,MATCH(INDEX($B:$B, (ROW()-1)),'Relacion '!$E$5:$E$493,0),0))</f>
        <v>46083</v>
      </c>
      <c r="H1488" s="241" cm="1">
        <f t="array" ref="H1488">IF(
 MATCH(B1488,{"01. ASIGNACION AREA";"02. MAPEO";"03. DESARROLLO";"04. VALIDA US";"05. VOBO US";"06. BW-EJECUCION";"07. VALIDACIÓN BAJAWARE";"08. CERRADA"},0)
 &lt;
 MATCH(_xlfn.XLOOKUP(INDEX($B:$B, (ROW()-1)),'Relacion '!$E:$E,'Relacion '!$D:$D,""),{"01. ASIGNACION AREA";"02. MAPEO";"03. DESARROLLO";"04. VALIDA US";"05. VOBO US";"06. BW-EJECUCION";"07. VALIDACIÓN BAJAWARE";"08. CERRADA"},0),
 1,
 IF(
  MATCH(B1488,{"01. ASIGNACION AREA";"02. MAPEO";"03. DESARROLLO";"04. VALIDA US";"05. VOBO US";"06. BW-EJECUCION";"07. VALIDACIÓN BAJAWARE";"08. CERRADA"},0)
  =
  MATCH(_xlfn.XLOOKUP(INDEX($B:$B, (ROW()-1)),'Relacion '!$E:$E,'Relacion '!$D:$D,""),{"01. ASIGNACION AREA";"02. MAPEO";"03. DESARROLLO";"04. VALIDA US";"05. VOBO US";"06. BW-EJECUCION";"07. VALIDACIÓN BAJAWARE";"08. CERRADA"},0),
  _xlfn.XLOOKUP(INDEX($B:$B, (ROW()-1)),'Relacion '!$E:$E,'Relacion '!#REF!,0),
  0
 )
)</f>
        <v>1</v>
      </c>
      <c r="I1488" s="241">
        <f t="shared" ref="I1488" ca="1" si="354">IF(G1488&lt;=TODAY(), 1, 0)</f>
        <v>1</v>
      </c>
      <c r="J1488" s="241"/>
      <c r="K1488" s="241"/>
      <c r="L1488" s="238"/>
    </row>
    <row r="1489" spans="2:12" outlineLevel="1">
      <c r="B1489" s="237" t="s">
        <v>195</v>
      </c>
      <c r="C1489" s="237" t="s">
        <v>195</v>
      </c>
      <c r="D1489" s="238" t="str">
        <f>_xlfn.XLOOKUP(B1489,'Relacion '!$E:$E,'Relacion '!$D:$D,"")</f>
        <v/>
      </c>
      <c r="E1489" s="239">
        <f t="shared" si="350"/>
        <v>4</v>
      </c>
      <c r="F1489" s="240" cm="1">
        <f t="array" ref="F1489">MIN(INDEX('Relacion '!$Z$5:$AA$493,MATCH(INDEX($B:$B, (ROW()-2)),'Relacion '!$E$5:$E$493,0),0))</f>
        <v>46034</v>
      </c>
      <c r="G1489" s="240" cm="1">
        <f t="array" ref="G1489">MAX(INDEX('Relacion '!$Z$5:$AA$493,MATCH(INDEX($B:$B, (ROW()-2)),'Relacion '!$E$5:$E$493,0),0))</f>
        <v>46038</v>
      </c>
      <c r="H1489" s="241" cm="1">
        <f t="array" ref="H1489">IF(
 MATCH(B1489,{"01. ASIGNACION AREA";"02. MAPEO";"03. DESARROLLO";"04. VALIDA US";"05. VOBO US";"06. BW-EJECUCION";"07. VALIDACIÓN BAJAWARE";"08. CERRADA"},0)
 &lt;
 MATCH(_xlfn.XLOOKUP(INDEX($B:$B, (ROW()-2)),'Relacion '!$E:$E,'Relacion '!$D:$D,""),{"01. ASIGNACION AREA";"02. MAPEO";"03. DESARROLLO";"04. VALIDA US";"05. VOBO US";"06. BW-EJECUCION";"07. VALIDACIÓN BAJAWARE";"08. CERRADA"},0),
 1,
 IF(
  MATCH(B1489,{"01. ASIGNACION AREA";"02. MAPEO";"03. DESARROLLO";"04. VALIDA US";"05. VOBO US";"06. BW-EJECUCION";"07. VALIDACIÓN BAJAWARE";"08. CERRADA"},0)
  =
  MATCH(_xlfn.XLOOKUP(INDEX($B:$B, (ROW()-2)),'Relacion '!$E:$E,'Relacion '!$D:$D,""),{"01. ASIGNACION AREA";"02. MAPEO";"03. DESARROLLO";"04. VALIDA US";"05. VOBO US";"06. BW-EJECUCION";"07. VALIDACIÓN BAJAWARE";"08. CERRADA"},0),
  _xlfn.XLOOKUP(INDEX($B:$B, (ROW()-2)),'Relacion '!$E:$E,'Relacion '!#REF!,0),
  0
 )
)</f>
        <v>1</v>
      </c>
      <c r="I1489" s="241">
        <f t="shared" ca="1" si="347"/>
        <v>1</v>
      </c>
      <c r="J1489" s="241"/>
      <c r="K1489" s="241"/>
      <c r="L1489" s="238"/>
    </row>
    <row r="1490" spans="2:12" outlineLevel="1">
      <c r="B1490" s="237" t="s">
        <v>49</v>
      </c>
      <c r="C1490" s="237" t="s">
        <v>49</v>
      </c>
      <c r="D1490" s="238" t="str">
        <f>_xlfn.XLOOKUP(B1490,'Relacion '!$E:$E,'Relacion '!$D:$D,"")</f>
        <v/>
      </c>
      <c r="E1490" s="239">
        <f t="shared" si="350"/>
        <v>4</v>
      </c>
      <c r="F1490" s="240" cm="1">
        <f t="array" ref="F1490">MIN(INDEX('Relacion '!$AB$5:$AC$493,MATCH(INDEX($B:$B, (ROW()-3)),'Relacion '!$E$5:$E$493,0),0))</f>
        <v>46041</v>
      </c>
      <c r="G1490" s="240" cm="1">
        <f t="array" ref="G1490">MAX(INDEX('Relacion '!$AB$5:$AC$493,MATCH(INDEX($B:$B, (ROW()-3)),'Relacion '!$E$5:$E$493,0),0))</f>
        <v>46045</v>
      </c>
      <c r="H1490" s="241" cm="1">
        <f t="array" ref="H1490">IF(
 MATCH(B1490,{"01. ASIGNACION AREA";"02. MAPEO";"03. DESARROLLO";"04. VALIDA US";"05. VOBO US";"06. BW-EJECUCION";"07. VALIDACIÓN BAJAWARE";"08. CERRADA"},0)
 &lt;
 MATCH(_xlfn.XLOOKUP(INDEX($B:$B, (ROW()-3)),'Relacion '!$E:$E,'Relacion '!$D:$D,""),{"01. ASIGNACION AREA";"02. MAPEO";"03. DESARROLLO";"04. VALIDA US";"05. VOBO US";"06. BW-EJECUCION";"07. VALIDACIÓN BAJAWARE";"08. CERRADA"},0),
 1,
 IF(
  MATCH(B1490,{"01. ASIGNACION AREA";"02. MAPEO";"03. DESARROLLO";"04. VALIDA US";"05. VOBO US";"06. BW-EJECUCION";"07. VALIDACIÓN BAJAWARE";"08. CERRADA"},0)
  =
  MATCH(_xlfn.XLOOKUP(INDEX($B:$B, (ROW()-3)),'Relacion '!$E:$E,'Relacion '!$D:$D,""),{"01. ASIGNACION AREA";"02. MAPEO";"03. DESARROLLO";"04. VALIDA US";"05. VOBO US";"06. BW-EJECUCION";"07. VALIDACIÓN BAJAWARE";"08. CERRADA"},0),
  _xlfn.XLOOKUP(INDEX($B:$B, (ROW()-3)),'Relacion '!$E:$E,'Relacion '!#REF!,0),
  0
 )
)</f>
        <v>1</v>
      </c>
      <c r="I1490" s="241">
        <f t="shared" ca="1" si="347"/>
        <v>1</v>
      </c>
      <c r="J1490" s="241"/>
      <c r="K1490" s="241"/>
      <c r="L1490" s="238"/>
    </row>
    <row r="1491" spans="2:12" outlineLevel="1">
      <c r="B1491" s="237" t="s">
        <v>324</v>
      </c>
      <c r="C1491" s="237" t="s">
        <v>324</v>
      </c>
      <c r="D1491" s="238" t="str">
        <f>_xlfn.XLOOKUP(B1491,'Relacion '!$E:$E,'Relacion '!$D:$D,"")</f>
        <v/>
      </c>
      <c r="E1491" s="239">
        <f t="shared" si="350"/>
        <v>4</v>
      </c>
      <c r="F1491" s="240" cm="1">
        <f t="array" ref="F1491">MIN(INDEX('Relacion '!$AD$5:$AE$493,MATCH(INDEX($B:$B, (ROW()-4)),'Relacion '!$E$5:$E$493,0),0))</f>
        <v>46048</v>
      </c>
      <c r="G1491" s="240" cm="1">
        <f t="array" ref="G1491">MAX(INDEX('Relacion '!$AD$5:$AE$493,MATCH(INDEX($B:$B, (ROW()-4)),'Relacion '!$E$5:$E$493,0),0))</f>
        <v>46052</v>
      </c>
      <c r="H1491" s="241" cm="1">
        <f t="array" ref="H1491">IF(
 MATCH(B1491,{"01. ASIGNACION AREA";"02. MAPEO";"03. DESARROLLO";"04. VALIDA US";"05. VOBO US";"06. BW-EJECUCION";"07. VALIDACIÓN BAJAWARE";"08. CERRADA"},0)
 &lt;
 MATCH(_xlfn.XLOOKUP(INDEX($B:$B, (ROW()-4)),'Relacion '!$E:$E,'Relacion '!$D:$D,""),{"01. ASIGNACION AREA";"02. MAPEO";"03. DESARROLLO";"04. VALIDA US";"05. VOBO US";"06. BW-EJECUCION";"07. VALIDACIÓN BAJAWARE";"08. CERRADA"},0),
 1,
 IF(
  MATCH(B1491,{"01. ASIGNACION AREA";"02. MAPEO";"03. DESARROLLO";"04. VALIDA US";"05. VOBO US";"06. BW-EJECUCION";"07. VALIDACIÓN BAJAWARE";"08. CERRADA"},0)
  =
  MATCH(_xlfn.XLOOKUP(INDEX($B:$B, (ROW()-4)),'Relacion '!$E:$E,'Relacion '!$D:$D,""),{"01. ASIGNACION AREA";"02. MAPEO";"03. DESARROLLO";"04. VALIDA US";"05. VOBO US";"06. BW-EJECUCION";"07. VALIDACIÓN BAJAWARE";"08. CERRADA"},0),
  _xlfn.XLOOKUP(INDEX($B:$B, (ROW()-4)),'Relacion '!$E:$E,'Relacion '!#REF!,0),
  0
 )
)</f>
        <v>1</v>
      </c>
      <c r="I1491" s="241">
        <f t="shared" ca="1" si="347"/>
        <v>1</v>
      </c>
      <c r="J1491" s="241"/>
      <c r="K1491" s="241"/>
      <c r="L1491" s="238"/>
    </row>
    <row r="1492" spans="2:12" outlineLevel="1">
      <c r="B1492" s="237" t="s">
        <v>320</v>
      </c>
      <c r="C1492" s="237" t="s">
        <v>320</v>
      </c>
      <c r="D1492" s="238" t="str">
        <f>_xlfn.XLOOKUP(B1492,'Relacion '!$E:$E,'Relacion '!$D:$D,"")</f>
        <v/>
      </c>
      <c r="E1492" s="239">
        <f t="shared" si="350"/>
        <v>7</v>
      </c>
      <c r="F1492" s="240" cm="1">
        <f t="array" ref="F1492">MIN(INDEX('Relacion '!$AF$5:$AG$493,MATCH(INDEX($B:$B, (ROW()-5)),'Relacion '!$E$5:$E$493,0),0))</f>
        <v>46055</v>
      </c>
      <c r="G1492" s="240" cm="1">
        <f t="array" ref="G1492">MAX(INDEX('Relacion '!$AF$5:$AG$493,MATCH(INDEX($B:$B, (ROW()-5)),'Relacion '!$E$5:$E$493,0),0))</f>
        <v>46062</v>
      </c>
      <c r="H1492" s="241" cm="1">
        <f t="array" ref="H1492">IF(
 MATCH(B1492,{"01. ASIGNACION AREA";"02. MAPEO";"03. DESARROLLO";"04. VALIDA US";"05. VOBO US";"06. BW-EJECUCION";"07. VALIDACIÓN BAJAWARE";"08. CERRADA"},0)
 &lt;
 MATCH(_xlfn.XLOOKUP(INDEX($B:$B, (ROW()-5)),'Relacion '!$E:$E,'Relacion '!$D:$D,""),{"01. ASIGNACION AREA";"02. MAPEO";"03. DESARROLLO";"04. VALIDA US";"05. VOBO US";"06. BW-EJECUCION";"07. VALIDACIÓN BAJAWARE";"08. CERRADA"},0),
 1,
 IF(
  MATCH(B1492,{"01. ASIGNACION AREA";"02. MAPEO";"03. DESARROLLO";"04. VALIDA US";"05. VOBO US";"06. BW-EJECUCION";"07. VALIDACIÓN BAJAWARE";"08. CERRADA"},0)
  =
  MATCH(_xlfn.XLOOKUP(INDEX($B:$B, (ROW()-5)),'Relacion '!$E:$E,'Relacion '!$D:$D,""),{"01. ASIGNACION AREA";"02. MAPEO";"03. DESARROLLO";"04. VALIDA US";"05. VOBO US";"06. BW-EJECUCION";"07. VALIDACIÓN BAJAWARE";"08. CERRADA"},0),
  _xlfn.XLOOKUP(INDEX($B:$B, (ROW()-5)),'Relacion '!$E:$E,'Relacion '!#REF!,0),
  0
 )
)</f>
        <v>1</v>
      </c>
      <c r="I1492" s="241">
        <f t="shared" ca="1" si="347"/>
        <v>1</v>
      </c>
      <c r="J1492" s="241"/>
      <c r="K1492" s="241"/>
      <c r="L1492" s="238"/>
    </row>
    <row r="1493" spans="2:12" outlineLevel="1">
      <c r="B1493" s="237" t="s">
        <v>710</v>
      </c>
      <c r="C1493" s="237" t="s">
        <v>710</v>
      </c>
      <c r="D1493" s="238" t="str">
        <f>_xlfn.XLOOKUP(B1493,'Relacion '!$E:$E,'Relacion '!$D:$D,"")</f>
        <v/>
      </c>
      <c r="E1493" s="239">
        <f t="shared" si="350"/>
        <v>25</v>
      </c>
      <c r="F1493" s="240" cm="1">
        <f t="array" ref="F1493">MIN(INDEX('Relacion '!$AH$5:$AI$493,MATCH(INDEX($B:$B, (ROW()-6)),'Relacion '!$E$5:$E$493,0),0))</f>
        <v>46076</v>
      </c>
      <c r="G1493" s="240" cm="1">
        <f t="array" ref="G1493">MAX(INDEX('Relacion '!$AH$5:$AI$493,MATCH(INDEX($B:$B, (ROW()-6)),'Relacion '!$E$5:$E$493,0),0))</f>
        <v>46101</v>
      </c>
      <c r="H1493" s="241" t="e" cm="1">
        <f t="array" ref="H1493">IF(
 MATCH(B1493,{"01. ASIGNACION AREA";"02. MAPEO";"03. DESARROLLO";"04. VALIDA US";"05. VOBO US";"06. BW-EJECUCION";"07. VALIDACIÓN BAJAWARE";"08. CERRADA"},0)
 &lt;
 MATCH(_xlfn.XLOOKUP(INDEX($B:$B, (ROW()-6)),'Relacion '!$E:$E,'Relacion '!$D:$D,""),{"01. ASIGNACION AREA";"02. MAPEO";"03. DESARROLLO";"04. VALIDA US";"05. VOBO US";"06. BW-EJECUCION";"07. VALIDACIÓN BAJAWARE";"08. CERRADA"},0),
 1,
 IF(
  MATCH(B1493,{"01. ASIGNACION AREA";"02. MAPEO";"03. DESARROLLO";"04. VALIDA US";"05. VOBO US";"06. BW-EJECUCION";"07. VALIDACIÓN BAJAWARE";"08. CERRADA"},0)
  =
  MATCH(_xlfn.XLOOKUP(INDEX($B:$B, (ROW()-6)),'Relacion '!$E:$E,'Relacion '!$D:$D,""),{"01. ASIGNACION AREA";"02. MAPEO";"03. DESARROLLO";"04. VALIDA US";"05. VOBO US";"06. BW-EJECUCION";"07. VALIDACIÓN BAJAWARE";"08. CERRADA"},0),
  _xlfn.XLOOKUP(INDEX($B:$B, (ROW()-6)),'Relacion '!$E:$E,'Relacion '!#REF!,0),
  0
 )
)</f>
        <v>#REF!</v>
      </c>
      <c r="I1493" s="241">
        <f t="shared" ca="1" si="347"/>
        <v>1</v>
      </c>
      <c r="J1493" s="241"/>
      <c r="K1493" s="241"/>
      <c r="L1493" s="238"/>
    </row>
    <row r="1494" spans="2:12" outlineLevel="1">
      <c r="B1494" s="237" t="s">
        <v>655</v>
      </c>
      <c r="C1494" s="237" t="s">
        <v>655</v>
      </c>
      <c r="D1494" s="238" t="str">
        <f>_xlfn.XLOOKUP(B1494,'Relacion '!$E:$E,'Relacion '!$D:$D,"")</f>
        <v/>
      </c>
      <c r="E1494" s="239">
        <f t="shared" si="350"/>
        <v>25</v>
      </c>
      <c r="F1494" s="240" cm="1">
        <f t="array" ref="F1494">MIN(INDEX('Relacion '!$AJ$5:$AK$493,MATCH(INDEX($B:$B, (ROW()-7)),'Relacion '!$E$5:$E$493,0),0))</f>
        <v>46104</v>
      </c>
      <c r="G1494" s="240" cm="1">
        <f t="array" ref="G1494">MAX(INDEX('Relacion '!$AJ$5:$AK$493,MATCH(INDEX($B:$B, (ROW()-7)),'Relacion '!$E$5:$E$493,0),0))</f>
        <v>46129</v>
      </c>
      <c r="H1494" s="241" cm="1">
        <f t="array" ref="H1494">IF(
 MATCH(B1494,{"01. ASIGNACION AREA";"02. MAPEO";"03. DESARROLLO";"04. VALIDA US";"05. VOBO US";"06. BW-EJECUCION";"07. VALIDACIÓN BAJAWARE";"08. CERRADA"},0)
 &lt;
 MATCH(_xlfn.XLOOKUP(INDEX($B:$B, (ROW()-7)),'Relacion '!$E:$E,'Relacion '!$D:$D,""),{"01. ASIGNACION AREA";"02. MAPEO";"03. DESARROLLO";"04. VALIDA US";"05. VOBO US";"06. BW-EJECUCION";"07. VALIDACIÓN BAJAWARE";"08. CERRADA"},0),
 1,
 IF(
  MATCH(B1494,{"01. ASIGNACION AREA";"02. MAPEO";"03. DESARROLLO";"04. VALIDA US";"05. VOBO US";"06. BW-EJECUCION";"07. VALIDACIÓN BAJAWARE";"08. CERRADA"},0)
  =
  MATCH(_xlfn.XLOOKUP(INDEX($B:$B, (ROW()-7)),'Relacion '!$E:$E,'Relacion '!$D:$D,""),{"01. ASIGNACION AREA";"02. MAPEO";"03. DESARROLLO";"04. VALIDA US";"05. VOBO US";"06. BW-EJECUCION";"07. VALIDACIÓN BAJAWARE";"08. CERRADA"},0),
  _xlfn.XLOOKUP(INDEX($B:$B, (ROW()-7)),'Relacion '!$E:$E,'Relacion '!#REF!,0),
  0
 )
)</f>
        <v>0</v>
      </c>
      <c r="I1494" s="241">
        <f t="shared" ca="1" si="347"/>
        <v>1</v>
      </c>
      <c r="J1494" s="241"/>
      <c r="K1494" s="241"/>
      <c r="L1494" s="238"/>
    </row>
    <row r="1495" spans="2:12" outlineLevel="1">
      <c r="B1495" s="237" t="s">
        <v>656</v>
      </c>
      <c r="C1495" s="237" t="s">
        <v>656</v>
      </c>
      <c r="D1495" s="238" t="str">
        <f>_xlfn.XLOOKUP(B1495,'Relacion '!$E:$E,'Relacion '!$D:$D,"")</f>
        <v/>
      </c>
      <c r="E1495" s="239">
        <f t="shared" si="350"/>
        <v>0</v>
      </c>
      <c r="F1495" s="240" cm="1">
        <f t="array" ref="F1495">MIN(INDEX('Relacion '!$AL$5:$AM$493,MATCH(INDEX($B:$B, (ROW()-8)),'Relacion '!$E$5:$E$493,0),0))</f>
        <v>46130</v>
      </c>
      <c r="G1495" s="240" cm="1">
        <f t="array" ref="G1495">MAX(INDEX('Relacion '!$AL$5:$AM$493,MATCH(INDEX($B:$B, (ROW()-8)),'Relacion '!$E$5:$E$493,0),0))</f>
        <v>46130</v>
      </c>
      <c r="H1495" s="241" cm="1">
        <f t="array" ref="H1495">IF(
 MATCH(B1495,{"01. ASIGNACION AREA";"02. MAPEO";"03. DESARROLLO";"04. VALIDA US";"05. VOBO US";"06. BW-EJECUCION";"07. VALIDACIÓN BAJAWARE";"08. CERRADA"},0)
 &lt;
 MATCH(_xlfn.XLOOKUP(INDEX($B:$B, (ROW()-8)),'Relacion '!$E:$E,'Relacion '!$D:$D,""),{"01. ASIGNACION AREA";"02. MAPEO";"03. DESARROLLO";"04. VALIDA US";"05. VOBO US";"06. BW-EJECUCION";"07. VALIDACIÓN BAJAWARE";"08. CERRADA"},0),
 1,
 IF(
  MATCH(B1495,{"01. ASIGNACION AREA";"02. MAPEO";"03. DESARROLLO";"04. VALIDA US";"05. VOBO US";"06. BW-EJECUCION";"07. VALIDACIÓN BAJAWARE";"08. CERRADA"},0)
  =
  MATCH(_xlfn.XLOOKUP(INDEX($B:$B, (ROW()-8)),'Relacion '!$E:$E,'Relacion '!$D:$D,""),{"01. ASIGNACION AREA";"02. MAPEO";"03. DESARROLLO";"04. VALIDA US";"05. VOBO US";"06. BW-EJECUCION";"07. VALIDACIÓN BAJAWARE";"08. CERRADA"},0),
  _xlfn.XLOOKUP(INDEX($B:$B, (ROW()-8)),'Relacion '!$E:$E,'Relacion '!#REF!,0),
  0
 )
)</f>
        <v>0</v>
      </c>
      <c r="I1495" s="241">
        <f t="shared" ca="1" si="347"/>
        <v>1</v>
      </c>
      <c r="J1495" s="241"/>
      <c r="K1495" s="241"/>
      <c r="L1495" s="238"/>
    </row>
    <row r="1496" spans="2:12">
      <c r="B1496" s="232" t="s">
        <v>595</v>
      </c>
      <c r="C1496" s="167" t="s">
        <v>590</v>
      </c>
      <c r="D1496" s="236" t="str">
        <f>_xlfn.XLOOKUP(B1496,'Relacion '!$E:$E,'Relacion '!$D:$D,"")</f>
        <v>06. BW-EJECUCION</v>
      </c>
      <c r="E1496" s="233">
        <f t="shared" si="350"/>
        <v>471</v>
      </c>
      <c r="F1496" s="234" cm="1">
        <f t="array" ref="F1496">MIN(INDEX('Relacion '!$X$5:$AM$493,MATCH(INDEX($B:$B, (ROW()-0)),'Relacion '!$E$5:$E$493,0),0))</f>
        <v>45659</v>
      </c>
      <c r="G1496" s="234" cm="1">
        <f t="array" ref="G1496">MAX(INDEX('Relacion '!$X$5:$AM$493,MATCH(INDEX($B:$B, (ROW()-0)),'Relacion '!$E$5:$E$493,0),0))</f>
        <v>46130</v>
      </c>
      <c r="H1496" s="235" t="e">
        <f>AVERAGE(H1497:H1504)</f>
        <v>#REF!</v>
      </c>
      <c r="I1496" s="235">
        <f t="shared" ref="I1496" ca="1" si="355">AVERAGE(I1497:I1504)</f>
        <v>1</v>
      </c>
      <c r="J1496" s="236" t="str">
        <f>IF(ISNUMBER(SEARCH("Rocha", _xlfn.XLOOKUP(B1496,'Relacion '!$E:$E,'Relacion '!$I:$I,""))), "Sí", "No")</f>
        <v>No</v>
      </c>
      <c r="K1496" s="236" t="str">
        <f>IF(ISNUMBER(SEARCH("Rocha", _xlfn.XLOOKUP(B1496,'Relacion '!$E:$E,'Relacion '!$I:$I,""))), "RMC", _xlfn.XLOOKUP(B1496,'Relacion '!$E:$E,'Relacion '!$B:$B,""))</f>
        <v>Producto</v>
      </c>
      <c r="L1496" s="236" t="str">
        <f>_xlfn.XLOOKUP(B1496,'Relacion '!$E:$E,'Relacion '!$C:$C,"")</f>
        <v>Claudia Barroso</v>
      </c>
    </row>
    <row r="1497" spans="2:12" outlineLevel="1">
      <c r="B1497" s="237" t="s">
        <v>654</v>
      </c>
      <c r="C1497" s="237" t="s">
        <v>654</v>
      </c>
      <c r="D1497" s="238" t="str">
        <f>_xlfn.XLOOKUP(B1497,'Relacion '!$E:$E,'Relacion '!$D:$D,"")</f>
        <v/>
      </c>
      <c r="E1497" s="239">
        <f t="shared" si="350"/>
        <v>424</v>
      </c>
      <c r="F1497" s="240" cm="1">
        <f t="array" ref="F1497">MIN(INDEX('Relacion '!$X$5:$Y$493,MATCH(INDEX($B:$B, (ROW()-1)),'Relacion '!$E$5:$E$493,0),0))</f>
        <v>45659</v>
      </c>
      <c r="G1497" s="240" cm="1">
        <f t="array" ref="G1497">MAX(INDEX('Relacion '!$X$5:$Y$493,MATCH(INDEX($B:$B, (ROW()-1)),'Relacion '!$E$5:$E$493,0),0))</f>
        <v>46083</v>
      </c>
      <c r="H1497" s="241" cm="1">
        <f t="array" ref="H1497">IF(
 MATCH(B1497,{"01. ASIGNACION AREA";"02. MAPEO";"03. DESARROLLO";"04. VALIDA US";"05. VOBO US";"06. BW-EJECUCION";"07. VALIDACIÓN BAJAWARE";"08. CERRADA"},0)
 &lt;
 MATCH(_xlfn.XLOOKUP(INDEX($B:$B, (ROW()-1)),'Relacion '!$E:$E,'Relacion '!$D:$D,""),{"01. ASIGNACION AREA";"02. MAPEO";"03. DESARROLLO";"04. VALIDA US";"05. VOBO US";"06. BW-EJECUCION";"07. VALIDACIÓN BAJAWARE";"08. CERRADA"},0),
 1,
 IF(
  MATCH(B1497,{"01. ASIGNACION AREA";"02. MAPEO";"03. DESARROLLO";"04. VALIDA US";"05. VOBO US";"06. BW-EJECUCION";"07. VALIDACIÓN BAJAWARE";"08. CERRADA"},0)
  =
  MATCH(_xlfn.XLOOKUP(INDEX($B:$B, (ROW()-1)),'Relacion '!$E:$E,'Relacion '!$D:$D,""),{"01. ASIGNACION AREA";"02. MAPEO";"03. DESARROLLO";"04. VALIDA US";"05. VOBO US";"06. BW-EJECUCION";"07. VALIDACIÓN BAJAWARE";"08. CERRADA"},0),
  _xlfn.XLOOKUP(INDEX($B:$B, (ROW()-1)),'Relacion '!$E:$E,'Relacion '!#REF!,0),
  0
 )
)</f>
        <v>1</v>
      </c>
      <c r="I1497" s="241">
        <f t="shared" ref="I1497" ca="1" si="356">IF(G1497&lt;=TODAY(), 1, 0)</f>
        <v>1</v>
      </c>
      <c r="J1497" s="241"/>
      <c r="K1497" s="241"/>
      <c r="L1497" s="238"/>
    </row>
    <row r="1498" spans="2:12" outlineLevel="1">
      <c r="B1498" s="237" t="s">
        <v>195</v>
      </c>
      <c r="C1498" s="237" t="s">
        <v>195</v>
      </c>
      <c r="D1498" s="238" t="str">
        <f>_xlfn.XLOOKUP(B1498,'Relacion '!$E:$E,'Relacion '!$D:$D,"")</f>
        <v/>
      </c>
      <c r="E1498" s="239">
        <f t="shared" si="350"/>
        <v>4</v>
      </c>
      <c r="F1498" s="240" cm="1">
        <f t="array" ref="F1498">MIN(INDEX('Relacion '!$Z$5:$AA$493,MATCH(INDEX($B:$B, (ROW()-2)),'Relacion '!$E$5:$E$493,0),0))</f>
        <v>46034</v>
      </c>
      <c r="G1498" s="240" cm="1">
        <f t="array" ref="G1498">MAX(INDEX('Relacion '!$Z$5:$AA$493,MATCH(INDEX($B:$B, (ROW()-2)),'Relacion '!$E$5:$E$493,0),0))</f>
        <v>46038</v>
      </c>
      <c r="H1498" s="241" cm="1">
        <f t="array" ref="H1498">IF(
 MATCH(B1498,{"01. ASIGNACION AREA";"02. MAPEO";"03. DESARROLLO";"04. VALIDA US";"05. VOBO US";"06. BW-EJECUCION";"07. VALIDACIÓN BAJAWARE";"08. CERRADA"},0)
 &lt;
 MATCH(_xlfn.XLOOKUP(INDEX($B:$B, (ROW()-2)),'Relacion '!$E:$E,'Relacion '!$D:$D,""),{"01. ASIGNACION AREA";"02. MAPEO";"03. DESARROLLO";"04. VALIDA US";"05. VOBO US";"06. BW-EJECUCION";"07. VALIDACIÓN BAJAWARE";"08. CERRADA"},0),
 1,
 IF(
  MATCH(B1498,{"01. ASIGNACION AREA";"02. MAPEO";"03. DESARROLLO";"04. VALIDA US";"05. VOBO US";"06. BW-EJECUCION";"07. VALIDACIÓN BAJAWARE";"08. CERRADA"},0)
  =
  MATCH(_xlfn.XLOOKUP(INDEX($B:$B, (ROW()-2)),'Relacion '!$E:$E,'Relacion '!$D:$D,""),{"01. ASIGNACION AREA";"02. MAPEO";"03. DESARROLLO";"04. VALIDA US";"05. VOBO US";"06. BW-EJECUCION";"07. VALIDACIÓN BAJAWARE";"08. CERRADA"},0),
  _xlfn.XLOOKUP(INDEX($B:$B, (ROW()-2)),'Relacion '!$E:$E,'Relacion '!#REF!,0),
  0
 )
)</f>
        <v>1</v>
      </c>
      <c r="I1498" s="241">
        <f t="shared" ca="1" si="347"/>
        <v>1</v>
      </c>
      <c r="J1498" s="241"/>
      <c r="K1498" s="241"/>
      <c r="L1498" s="238"/>
    </row>
    <row r="1499" spans="2:12" outlineLevel="1">
      <c r="B1499" s="237" t="s">
        <v>49</v>
      </c>
      <c r="C1499" s="237" t="s">
        <v>49</v>
      </c>
      <c r="D1499" s="238" t="str">
        <f>_xlfn.XLOOKUP(B1499,'Relacion '!$E:$E,'Relacion '!$D:$D,"")</f>
        <v/>
      </c>
      <c r="E1499" s="239">
        <f t="shared" si="350"/>
        <v>4</v>
      </c>
      <c r="F1499" s="240" cm="1">
        <f t="array" ref="F1499">MIN(INDEX('Relacion '!$AB$5:$AC$493,MATCH(INDEX($B:$B, (ROW()-3)),'Relacion '!$E$5:$E$493,0),0))</f>
        <v>46041</v>
      </c>
      <c r="G1499" s="240" cm="1">
        <f t="array" ref="G1499">MAX(INDEX('Relacion '!$AB$5:$AC$493,MATCH(INDEX($B:$B, (ROW()-3)),'Relacion '!$E$5:$E$493,0),0))</f>
        <v>46045</v>
      </c>
      <c r="H1499" s="241" cm="1">
        <f t="array" ref="H1499">IF(
 MATCH(B1499,{"01. ASIGNACION AREA";"02. MAPEO";"03. DESARROLLO";"04. VALIDA US";"05. VOBO US";"06. BW-EJECUCION";"07. VALIDACIÓN BAJAWARE";"08. CERRADA"},0)
 &lt;
 MATCH(_xlfn.XLOOKUP(INDEX($B:$B, (ROW()-3)),'Relacion '!$E:$E,'Relacion '!$D:$D,""),{"01. ASIGNACION AREA";"02. MAPEO";"03. DESARROLLO";"04. VALIDA US";"05. VOBO US";"06. BW-EJECUCION";"07. VALIDACIÓN BAJAWARE";"08. CERRADA"},0),
 1,
 IF(
  MATCH(B1499,{"01. ASIGNACION AREA";"02. MAPEO";"03. DESARROLLO";"04. VALIDA US";"05. VOBO US";"06. BW-EJECUCION";"07. VALIDACIÓN BAJAWARE";"08. CERRADA"},0)
  =
  MATCH(_xlfn.XLOOKUP(INDEX($B:$B, (ROW()-3)),'Relacion '!$E:$E,'Relacion '!$D:$D,""),{"01. ASIGNACION AREA";"02. MAPEO";"03. DESARROLLO";"04. VALIDA US";"05. VOBO US";"06. BW-EJECUCION";"07. VALIDACIÓN BAJAWARE";"08. CERRADA"},0),
  _xlfn.XLOOKUP(INDEX($B:$B, (ROW()-3)),'Relacion '!$E:$E,'Relacion '!#REF!,0),
  0
 )
)</f>
        <v>1</v>
      </c>
      <c r="I1499" s="241">
        <f t="shared" ca="1" si="347"/>
        <v>1</v>
      </c>
      <c r="J1499" s="241"/>
      <c r="K1499" s="241"/>
      <c r="L1499" s="238"/>
    </row>
    <row r="1500" spans="2:12" outlineLevel="1">
      <c r="B1500" s="237" t="s">
        <v>324</v>
      </c>
      <c r="C1500" s="237" t="s">
        <v>324</v>
      </c>
      <c r="D1500" s="238" t="str">
        <f>_xlfn.XLOOKUP(B1500,'Relacion '!$E:$E,'Relacion '!$D:$D,"")</f>
        <v/>
      </c>
      <c r="E1500" s="239">
        <f t="shared" si="350"/>
        <v>4</v>
      </c>
      <c r="F1500" s="240" cm="1">
        <f t="array" ref="F1500">MIN(INDEX('Relacion '!$AD$5:$AE$493,MATCH(INDEX($B:$B, (ROW()-4)),'Relacion '!$E$5:$E$493,0),0))</f>
        <v>46048</v>
      </c>
      <c r="G1500" s="240" cm="1">
        <f t="array" ref="G1500">MAX(INDEX('Relacion '!$AD$5:$AE$493,MATCH(INDEX($B:$B, (ROW()-4)),'Relacion '!$E$5:$E$493,0),0))</f>
        <v>46052</v>
      </c>
      <c r="H1500" s="241" cm="1">
        <f t="array" ref="H1500">IF(
 MATCH(B1500,{"01. ASIGNACION AREA";"02. MAPEO";"03. DESARROLLO";"04. VALIDA US";"05. VOBO US";"06. BW-EJECUCION";"07. VALIDACIÓN BAJAWARE";"08. CERRADA"},0)
 &lt;
 MATCH(_xlfn.XLOOKUP(INDEX($B:$B, (ROW()-4)),'Relacion '!$E:$E,'Relacion '!$D:$D,""),{"01. ASIGNACION AREA";"02. MAPEO";"03. DESARROLLO";"04. VALIDA US";"05. VOBO US";"06. BW-EJECUCION";"07. VALIDACIÓN BAJAWARE";"08. CERRADA"},0),
 1,
 IF(
  MATCH(B1500,{"01. ASIGNACION AREA";"02. MAPEO";"03. DESARROLLO";"04. VALIDA US";"05. VOBO US";"06. BW-EJECUCION";"07. VALIDACIÓN BAJAWARE";"08. CERRADA"},0)
  =
  MATCH(_xlfn.XLOOKUP(INDEX($B:$B, (ROW()-4)),'Relacion '!$E:$E,'Relacion '!$D:$D,""),{"01. ASIGNACION AREA";"02. MAPEO";"03. DESARROLLO";"04. VALIDA US";"05. VOBO US";"06. BW-EJECUCION";"07. VALIDACIÓN BAJAWARE";"08. CERRADA"},0),
  _xlfn.XLOOKUP(INDEX($B:$B, (ROW()-4)),'Relacion '!$E:$E,'Relacion '!#REF!,0),
  0
 )
)</f>
        <v>1</v>
      </c>
      <c r="I1500" s="241">
        <f t="shared" ca="1" si="347"/>
        <v>1</v>
      </c>
      <c r="J1500" s="241"/>
      <c r="K1500" s="241"/>
      <c r="L1500" s="238"/>
    </row>
    <row r="1501" spans="2:12" outlineLevel="1">
      <c r="B1501" s="237" t="s">
        <v>320</v>
      </c>
      <c r="C1501" s="237" t="s">
        <v>320</v>
      </c>
      <c r="D1501" s="238" t="str">
        <f>_xlfn.XLOOKUP(B1501,'Relacion '!$E:$E,'Relacion '!$D:$D,"")</f>
        <v/>
      </c>
      <c r="E1501" s="239">
        <f t="shared" si="350"/>
        <v>7</v>
      </c>
      <c r="F1501" s="240" cm="1">
        <f t="array" ref="F1501">MIN(INDEX('Relacion '!$AF$5:$AG$493,MATCH(INDEX($B:$B, (ROW()-5)),'Relacion '!$E$5:$E$493,0),0))</f>
        <v>46055</v>
      </c>
      <c r="G1501" s="240" cm="1">
        <f t="array" ref="G1501">MAX(INDEX('Relacion '!$AF$5:$AG$493,MATCH(INDEX($B:$B, (ROW()-5)),'Relacion '!$E$5:$E$493,0),0))</f>
        <v>46062</v>
      </c>
      <c r="H1501" s="241" cm="1">
        <f t="array" ref="H1501">IF(
 MATCH(B1501,{"01. ASIGNACION AREA";"02. MAPEO";"03. DESARROLLO";"04. VALIDA US";"05. VOBO US";"06. BW-EJECUCION";"07. VALIDACIÓN BAJAWARE";"08. CERRADA"},0)
 &lt;
 MATCH(_xlfn.XLOOKUP(INDEX($B:$B, (ROW()-5)),'Relacion '!$E:$E,'Relacion '!$D:$D,""),{"01. ASIGNACION AREA";"02. MAPEO";"03. DESARROLLO";"04. VALIDA US";"05. VOBO US";"06. BW-EJECUCION";"07. VALIDACIÓN BAJAWARE";"08. CERRADA"},0),
 1,
 IF(
  MATCH(B1501,{"01. ASIGNACION AREA";"02. MAPEO";"03. DESARROLLO";"04. VALIDA US";"05. VOBO US";"06. BW-EJECUCION";"07. VALIDACIÓN BAJAWARE";"08. CERRADA"},0)
  =
  MATCH(_xlfn.XLOOKUP(INDEX($B:$B, (ROW()-5)),'Relacion '!$E:$E,'Relacion '!$D:$D,""),{"01. ASIGNACION AREA";"02. MAPEO";"03. DESARROLLO";"04. VALIDA US";"05. VOBO US";"06. BW-EJECUCION";"07. VALIDACIÓN BAJAWARE";"08. CERRADA"},0),
  _xlfn.XLOOKUP(INDEX($B:$B, (ROW()-5)),'Relacion '!$E:$E,'Relacion '!#REF!,0),
  0
 )
)</f>
        <v>1</v>
      </c>
      <c r="I1501" s="241">
        <f t="shared" ca="1" si="347"/>
        <v>1</v>
      </c>
      <c r="J1501" s="241"/>
      <c r="K1501" s="241"/>
      <c r="L1501" s="238"/>
    </row>
    <row r="1502" spans="2:12" outlineLevel="1">
      <c r="B1502" s="237" t="s">
        <v>710</v>
      </c>
      <c r="C1502" s="237" t="s">
        <v>710</v>
      </c>
      <c r="D1502" s="238" t="str">
        <f>_xlfn.XLOOKUP(B1502,'Relacion '!$E:$E,'Relacion '!$D:$D,"")</f>
        <v/>
      </c>
      <c r="E1502" s="239">
        <f t="shared" si="350"/>
        <v>25</v>
      </c>
      <c r="F1502" s="240" cm="1">
        <f t="array" ref="F1502">MIN(INDEX('Relacion '!$AH$5:$AI$493,MATCH(INDEX($B:$B, (ROW()-6)),'Relacion '!$E$5:$E$493,0),0))</f>
        <v>46076</v>
      </c>
      <c r="G1502" s="240" cm="1">
        <f t="array" ref="G1502">MAX(INDEX('Relacion '!$AH$5:$AI$493,MATCH(INDEX($B:$B, (ROW()-6)),'Relacion '!$E$5:$E$493,0),0))</f>
        <v>46101</v>
      </c>
      <c r="H1502" s="241" t="e" cm="1">
        <f t="array" ref="H1502">IF(
 MATCH(B1502,{"01. ASIGNACION AREA";"02. MAPEO";"03. DESARROLLO";"04. VALIDA US";"05. VOBO US";"06. BW-EJECUCION";"07. VALIDACIÓN BAJAWARE";"08. CERRADA"},0)
 &lt;
 MATCH(_xlfn.XLOOKUP(INDEX($B:$B, (ROW()-6)),'Relacion '!$E:$E,'Relacion '!$D:$D,""),{"01. ASIGNACION AREA";"02. MAPEO";"03. DESARROLLO";"04. VALIDA US";"05. VOBO US";"06. BW-EJECUCION";"07. VALIDACIÓN BAJAWARE";"08. CERRADA"},0),
 1,
 IF(
  MATCH(B1502,{"01. ASIGNACION AREA";"02. MAPEO";"03. DESARROLLO";"04. VALIDA US";"05. VOBO US";"06. BW-EJECUCION";"07. VALIDACIÓN BAJAWARE";"08. CERRADA"},0)
  =
  MATCH(_xlfn.XLOOKUP(INDEX($B:$B, (ROW()-6)),'Relacion '!$E:$E,'Relacion '!$D:$D,""),{"01. ASIGNACION AREA";"02. MAPEO";"03. DESARROLLO";"04. VALIDA US";"05. VOBO US";"06. BW-EJECUCION";"07. VALIDACIÓN BAJAWARE";"08. CERRADA"},0),
  _xlfn.XLOOKUP(INDEX($B:$B, (ROW()-6)),'Relacion '!$E:$E,'Relacion '!#REF!,0),
  0
 )
)</f>
        <v>#REF!</v>
      </c>
      <c r="I1502" s="241">
        <f t="shared" ca="1" si="347"/>
        <v>1</v>
      </c>
      <c r="J1502" s="241"/>
      <c r="K1502" s="241"/>
      <c r="L1502" s="238"/>
    </row>
    <row r="1503" spans="2:12" outlineLevel="1">
      <c r="B1503" s="237" t="s">
        <v>655</v>
      </c>
      <c r="C1503" s="237" t="s">
        <v>655</v>
      </c>
      <c r="D1503" s="238" t="str">
        <f>_xlfn.XLOOKUP(B1503,'Relacion '!$E:$E,'Relacion '!$D:$D,"")</f>
        <v/>
      </c>
      <c r="E1503" s="239">
        <f t="shared" si="350"/>
        <v>25</v>
      </c>
      <c r="F1503" s="240" cm="1">
        <f t="array" ref="F1503">MIN(INDEX('Relacion '!$AJ$5:$AK$493,MATCH(INDEX($B:$B, (ROW()-7)),'Relacion '!$E$5:$E$493,0),0))</f>
        <v>46104</v>
      </c>
      <c r="G1503" s="240" cm="1">
        <f t="array" ref="G1503">MAX(INDEX('Relacion '!$AJ$5:$AK$493,MATCH(INDEX($B:$B, (ROW()-7)),'Relacion '!$E$5:$E$493,0),0))</f>
        <v>46129</v>
      </c>
      <c r="H1503" s="241" cm="1">
        <f t="array" ref="H1503">IF(
 MATCH(B1503,{"01. ASIGNACION AREA";"02. MAPEO";"03. DESARROLLO";"04. VALIDA US";"05. VOBO US";"06. BW-EJECUCION";"07. VALIDACIÓN BAJAWARE";"08. CERRADA"},0)
 &lt;
 MATCH(_xlfn.XLOOKUP(INDEX($B:$B, (ROW()-7)),'Relacion '!$E:$E,'Relacion '!$D:$D,""),{"01. ASIGNACION AREA";"02. MAPEO";"03. DESARROLLO";"04. VALIDA US";"05. VOBO US";"06. BW-EJECUCION";"07. VALIDACIÓN BAJAWARE";"08. CERRADA"},0),
 1,
 IF(
  MATCH(B1503,{"01. ASIGNACION AREA";"02. MAPEO";"03. DESARROLLO";"04. VALIDA US";"05. VOBO US";"06. BW-EJECUCION";"07. VALIDACIÓN BAJAWARE";"08. CERRADA"},0)
  =
  MATCH(_xlfn.XLOOKUP(INDEX($B:$B, (ROW()-7)),'Relacion '!$E:$E,'Relacion '!$D:$D,""),{"01. ASIGNACION AREA";"02. MAPEO";"03. DESARROLLO";"04. VALIDA US";"05. VOBO US";"06. BW-EJECUCION";"07. VALIDACIÓN BAJAWARE";"08. CERRADA"},0),
  _xlfn.XLOOKUP(INDEX($B:$B, (ROW()-7)),'Relacion '!$E:$E,'Relacion '!#REF!,0),
  0
 )
)</f>
        <v>0</v>
      </c>
      <c r="I1503" s="241">
        <f t="shared" ca="1" si="347"/>
        <v>1</v>
      </c>
      <c r="J1503" s="241"/>
      <c r="K1503" s="241"/>
      <c r="L1503" s="238"/>
    </row>
    <row r="1504" spans="2:12" outlineLevel="1">
      <c r="B1504" s="237" t="s">
        <v>656</v>
      </c>
      <c r="C1504" s="237" t="s">
        <v>656</v>
      </c>
      <c r="D1504" s="238" t="str">
        <f>_xlfn.XLOOKUP(B1504,'Relacion '!$E:$E,'Relacion '!$D:$D,"")</f>
        <v/>
      </c>
      <c r="E1504" s="239">
        <f t="shared" si="350"/>
        <v>0</v>
      </c>
      <c r="F1504" s="240" cm="1">
        <f t="array" ref="F1504">MIN(INDEX('Relacion '!$AL$5:$AM$493,MATCH(INDEX($B:$B, (ROW()-8)),'Relacion '!$E$5:$E$493,0),0))</f>
        <v>46130</v>
      </c>
      <c r="G1504" s="240" cm="1">
        <f t="array" ref="G1504">MAX(INDEX('Relacion '!$AL$5:$AM$493,MATCH(INDEX($B:$B, (ROW()-8)),'Relacion '!$E$5:$E$493,0),0))</f>
        <v>46130</v>
      </c>
      <c r="H1504" s="241" cm="1">
        <f t="array" ref="H1504">IF(
 MATCH(B1504,{"01. ASIGNACION AREA";"02. MAPEO";"03. DESARROLLO";"04. VALIDA US";"05. VOBO US";"06. BW-EJECUCION";"07. VALIDACIÓN BAJAWARE";"08. CERRADA"},0)
 &lt;
 MATCH(_xlfn.XLOOKUP(INDEX($B:$B, (ROW()-8)),'Relacion '!$E:$E,'Relacion '!$D:$D,""),{"01. ASIGNACION AREA";"02. MAPEO";"03. DESARROLLO";"04. VALIDA US";"05. VOBO US";"06. BW-EJECUCION";"07. VALIDACIÓN BAJAWARE";"08. CERRADA"},0),
 1,
 IF(
  MATCH(B1504,{"01. ASIGNACION AREA";"02. MAPEO";"03. DESARROLLO";"04. VALIDA US";"05. VOBO US";"06. BW-EJECUCION";"07. VALIDACIÓN BAJAWARE";"08. CERRADA"},0)
  =
  MATCH(_xlfn.XLOOKUP(INDEX($B:$B, (ROW()-8)),'Relacion '!$E:$E,'Relacion '!$D:$D,""),{"01. ASIGNACION AREA";"02. MAPEO";"03. DESARROLLO";"04. VALIDA US";"05. VOBO US";"06. BW-EJECUCION";"07. VALIDACIÓN BAJAWARE";"08. CERRADA"},0),
  _xlfn.XLOOKUP(INDEX($B:$B, (ROW()-8)),'Relacion '!$E:$E,'Relacion '!#REF!,0),
  0
 )
)</f>
        <v>0</v>
      </c>
      <c r="I1504" s="241">
        <f t="shared" ca="1" si="347"/>
        <v>1</v>
      </c>
      <c r="J1504" s="241"/>
      <c r="K1504" s="241"/>
      <c r="L1504" s="238"/>
    </row>
    <row r="1505" spans="2:12" ht="30">
      <c r="B1505" s="232" t="s">
        <v>596</v>
      </c>
      <c r="C1505" s="167" t="s">
        <v>590</v>
      </c>
      <c r="D1505" s="236" t="str">
        <f>_xlfn.XLOOKUP(B1505,'Relacion '!$E:$E,'Relacion '!$D:$D,"")</f>
        <v>06. BW-EJECUCION</v>
      </c>
      <c r="E1505" s="233">
        <f t="shared" si="350"/>
        <v>471</v>
      </c>
      <c r="F1505" s="234" cm="1">
        <f t="array" ref="F1505">MIN(INDEX('Relacion '!$X$5:$AM$493,MATCH(INDEX($B:$B, (ROW()-0)),'Relacion '!$E$5:$E$493,0),0))</f>
        <v>45659</v>
      </c>
      <c r="G1505" s="234" cm="1">
        <f t="array" ref="G1505">MAX(INDEX('Relacion '!$X$5:$AM$493,MATCH(INDEX($B:$B, (ROW()-0)),'Relacion '!$E$5:$E$493,0),0))</f>
        <v>46130</v>
      </c>
      <c r="H1505" s="235" t="e">
        <f>AVERAGE(H1506:H1513)</f>
        <v>#REF!</v>
      </c>
      <c r="I1505" s="235">
        <f t="shared" ref="I1505" ca="1" si="357">AVERAGE(I1506:I1513)</f>
        <v>1</v>
      </c>
      <c r="J1505" s="236" t="str">
        <f>IF(ISNUMBER(SEARCH("Rocha", _xlfn.XLOOKUP(B1505,'Relacion '!$E:$E,'Relacion '!$I:$I,""))), "Sí", "No")</f>
        <v>No</v>
      </c>
      <c r="K1505" s="236" t="str">
        <f>IF(ISNUMBER(SEARCH("Rocha", _xlfn.XLOOKUP(B1505,'Relacion '!$E:$E,'Relacion '!$I:$I,""))), "RMC", _xlfn.XLOOKUP(B1505,'Relacion '!$E:$E,'Relacion '!$B:$B,""))</f>
        <v>Producto</v>
      </c>
      <c r="L1505" s="236" t="str">
        <f>_xlfn.XLOOKUP(B1505,'Relacion '!$E:$E,'Relacion '!$C:$C,"")</f>
        <v>Claudia Barroso</v>
      </c>
    </row>
    <row r="1506" spans="2:12" outlineLevel="1">
      <c r="B1506" s="237" t="s">
        <v>654</v>
      </c>
      <c r="C1506" s="237" t="s">
        <v>654</v>
      </c>
      <c r="D1506" s="238" t="str">
        <f>_xlfn.XLOOKUP(B1506,'Relacion '!$E:$E,'Relacion '!$D:$D,"")</f>
        <v/>
      </c>
      <c r="E1506" s="239">
        <f t="shared" si="350"/>
        <v>424</v>
      </c>
      <c r="F1506" s="240" cm="1">
        <f t="array" ref="F1506">MIN(INDEX('Relacion '!$X$5:$Y$493,MATCH(INDEX($B:$B, (ROW()-1)),'Relacion '!$E$5:$E$493,0),0))</f>
        <v>45659</v>
      </c>
      <c r="G1506" s="240" cm="1">
        <f t="array" ref="G1506">MAX(INDEX('Relacion '!$X$5:$Y$493,MATCH(INDEX($B:$B, (ROW()-1)),'Relacion '!$E$5:$E$493,0),0))</f>
        <v>46083</v>
      </c>
      <c r="H1506" s="241" cm="1">
        <f t="array" ref="H1506">IF(
 MATCH(B1506,{"01. ASIGNACION AREA";"02. MAPEO";"03. DESARROLLO";"04. VALIDA US";"05. VOBO US";"06. BW-EJECUCION";"07. VALIDACIÓN BAJAWARE";"08. CERRADA"},0)
 &lt;
 MATCH(_xlfn.XLOOKUP(INDEX($B:$B, (ROW()-1)),'Relacion '!$E:$E,'Relacion '!$D:$D,""),{"01. ASIGNACION AREA";"02. MAPEO";"03. DESARROLLO";"04. VALIDA US";"05. VOBO US";"06. BW-EJECUCION";"07. VALIDACIÓN BAJAWARE";"08. CERRADA"},0),
 1,
 IF(
  MATCH(B1506,{"01. ASIGNACION AREA";"02. MAPEO";"03. DESARROLLO";"04. VALIDA US";"05. VOBO US";"06. BW-EJECUCION";"07. VALIDACIÓN BAJAWARE";"08. CERRADA"},0)
  =
  MATCH(_xlfn.XLOOKUP(INDEX($B:$B, (ROW()-1)),'Relacion '!$E:$E,'Relacion '!$D:$D,""),{"01. ASIGNACION AREA";"02. MAPEO";"03. DESARROLLO";"04. VALIDA US";"05. VOBO US";"06. BW-EJECUCION";"07. VALIDACIÓN BAJAWARE";"08. CERRADA"},0),
  _xlfn.XLOOKUP(INDEX($B:$B, (ROW()-1)),'Relacion '!$E:$E,'Relacion '!#REF!,0),
  0
 )
)</f>
        <v>1</v>
      </c>
      <c r="I1506" s="241">
        <f t="shared" ref="I1506" ca="1" si="358">IF(G1506&lt;=TODAY(), 1, 0)</f>
        <v>1</v>
      </c>
      <c r="J1506" s="241"/>
      <c r="K1506" s="241"/>
      <c r="L1506" s="238"/>
    </row>
    <row r="1507" spans="2:12" outlineLevel="1">
      <c r="B1507" s="237" t="s">
        <v>195</v>
      </c>
      <c r="C1507" s="237" t="s">
        <v>195</v>
      </c>
      <c r="D1507" s="238" t="str">
        <f>_xlfn.XLOOKUP(B1507,'Relacion '!$E:$E,'Relacion '!$D:$D,"")</f>
        <v/>
      </c>
      <c r="E1507" s="239">
        <f t="shared" si="350"/>
        <v>4</v>
      </c>
      <c r="F1507" s="240" cm="1">
        <f t="array" ref="F1507">MIN(INDEX('Relacion '!$Z$5:$AA$493,MATCH(INDEX($B:$B, (ROW()-2)),'Relacion '!$E$5:$E$493,0),0))</f>
        <v>46034</v>
      </c>
      <c r="G1507" s="240" cm="1">
        <f t="array" ref="G1507">MAX(INDEX('Relacion '!$Z$5:$AA$493,MATCH(INDEX($B:$B, (ROW()-2)),'Relacion '!$E$5:$E$493,0),0))</f>
        <v>46038</v>
      </c>
      <c r="H1507" s="241" cm="1">
        <f t="array" ref="H1507">IF(
 MATCH(B1507,{"01. ASIGNACION AREA";"02. MAPEO";"03. DESARROLLO";"04. VALIDA US";"05. VOBO US";"06. BW-EJECUCION";"07. VALIDACIÓN BAJAWARE";"08. CERRADA"},0)
 &lt;
 MATCH(_xlfn.XLOOKUP(INDEX($B:$B, (ROW()-2)),'Relacion '!$E:$E,'Relacion '!$D:$D,""),{"01. ASIGNACION AREA";"02. MAPEO";"03. DESARROLLO";"04. VALIDA US";"05. VOBO US";"06. BW-EJECUCION";"07. VALIDACIÓN BAJAWARE";"08. CERRADA"},0),
 1,
 IF(
  MATCH(B1507,{"01. ASIGNACION AREA";"02. MAPEO";"03. DESARROLLO";"04. VALIDA US";"05. VOBO US";"06. BW-EJECUCION";"07. VALIDACIÓN BAJAWARE";"08. CERRADA"},0)
  =
  MATCH(_xlfn.XLOOKUP(INDEX($B:$B, (ROW()-2)),'Relacion '!$E:$E,'Relacion '!$D:$D,""),{"01. ASIGNACION AREA";"02. MAPEO";"03. DESARROLLO";"04. VALIDA US";"05. VOBO US";"06. BW-EJECUCION";"07. VALIDACIÓN BAJAWARE";"08. CERRADA"},0),
  _xlfn.XLOOKUP(INDEX($B:$B, (ROW()-2)),'Relacion '!$E:$E,'Relacion '!#REF!,0),
  0
 )
)</f>
        <v>1</v>
      </c>
      <c r="I1507" s="241">
        <f t="shared" ca="1" si="347"/>
        <v>1</v>
      </c>
      <c r="J1507" s="241"/>
      <c r="K1507" s="241"/>
      <c r="L1507" s="238"/>
    </row>
    <row r="1508" spans="2:12" outlineLevel="1">
      <c r="B1508" s="237" t="s">
        <v>49</v>
      </c>
      <c r="C1508" s="237" t="s">
        <v>49</v>
      </c>
      <c r="D1508" s="238" t="str">
        <f>_xlfn.XLOOKUP(B1508,'Relacion '!$E:$E,'Relacion '!$D:$D,"")</f>
        <v/>
      </c>
      <c r="E1508" s="239">
        <f t="shared" si="350"/>
        <v>4</v>
      </c>
      <c r="F1508" s="240" cm="1">
        <f t="array" ref="F1508">MIN(INDEX('Relacion '!$AB$5:$AC$493,MATCH(INDEX($B:$B, (ROW()-3)),'Relacion '!$E$5:$E$493,0),0))</f>
        <v>46041</v>
      </c>
      <c r="G1508" s="240" cm="1">
        <f t="array" ref="G1508">MAX(INDEX('Relacion '!$AB$5:$AC$493,MATCH(INDEX($B:$B, (ROW()-3)),'Relacion '!$E$5:$E$493,0),0))</f>
        <v>46045</v>
      </c>
      <c r="H1508" s="241" cm="1">
        <f t="array" ref="H1508">IF(
 MATCH(B1508,{"01. ASIGNACION AREA";"02. MAPEO";"03. DESARROLLO";"04. VALIDA US";"05. VOBO US";"06. BW-EJECUCION";"07. VALIDACIÓN BAJAWARE";"08. CERRADA"},0)
 &lt;
 MATCH(_xlfn.XLOOKUP(INDEX($B:$B, (ROW()-3)),'Relacion '!$E:$E,'Relacion '!$D:$D,""),{"01. ASIGNACION AREA";"02. MAPEO";"03. DESARROLLO";"04. VALIDA US";"05. VOBO US";"06. BW-EJECUCION";"07. VALIDACIÓN BAJAWARE";"08. CERRADA"},0),
 1,
 IF(
  MATCH(B1508,{"01. ASIGNACION AREA";"02. MAPEO";"03. DESARROLLO";"04. VALIDA US";"05. VOBO US";"06. BW-EJECUCION";"07. VALIDACIÓN BAJAWARE";"08. CERRADA"},0)
  =
  MATCH(_xlfn.XLOOKUP(INDEX($B:$B, (ROW()-3)),'Relacion '!$E:$E,'Relacion '!$D:$D,""),{"01. ASIGNACION AREA";"02. MAPEO";"03. DESARROLLO";"04. VALIDA US";"05. VOBO US";"06. BW-EJECUCION";"07. VALIDACIÓN BAJAWARE";"08. CERRADA"},0),
  _xlfn.XLOOKUP(INDEX($B:$B, (ROW()-3)),'Relacion '!$E:$E,'Relacion '!#REF!,0),
  0
 )
)</f>
        <v>1</v>
      </c>
      <c r="I1508" s="241">
        <f t="shared" ca="1" si="347"/>
        <v>1</v>
      </c>
      <c r="J1508" s="241"/>
      <c r="K1508" s="241"/>
      <c r="L1508" s="238"/>
    </row>
    <row r="1509" spans="2:12" outlineLevel="1">
      <c r="B1509" s="237" t="s">
        <v>324</v>
      </c>
      <c r="C1509" s="237" t="s">
        <v>324</v>
      </c>
      <c r="D1509" s="238" t="str">
        <f>_xlfn.XLOOKUP(B1509,'Relacion '!$E:$E,'Relacion '!$D:$D,"")</f>
        <v/>
      </c>
      <c r="E1509" s="239">
        <f t="shared" si="350"/>
        <v>4</v>
      </c>
      <c r="F1509" s="240" cm="1">
        <f t="array" ref="F1509">MIN(INDEX('Relacion '!$AD$5:$AE$493,MATCH(INDEX($B:$B, (ROW()-4)),'Relacion '!$E$5:$E$493,0),0))</f>
        <v>46048</v>
      </c>
      <c r="G1509" s="240" cm="1">
        <f t="array" ref="G1509">MAX(INDEX('Relacion '!$AD$5:$AE$493,MATCH(INDEX($B:$B, (ROW()-4)),'Relacion '!$E$5:$E$493,0),0))</f>
        <v>46052</v>
      </c>
      <c r="H1509" s="241" cm="1">
        <f t="array" ref="H1509">IF(
 MATCH(B1509,{"01. ASIGNACION AREA";"02. MAPEO";"03. DESARROLLO";"04. VALIDA US";"05. VOBO US";"06. BW-EJECUCION";"07. VALIDACIÓN BAJAWARE";"08. CERRADA"},0)
 &lt;
 MATCH(_xlfn.XLOOKUP(INDEX($B:$B, (ROW()-4)),'Relacion '!$E:$E,'Relacion '!$D:$D,""),{"01. ASIGNACION AREA";"02. MAPEO";"03. DESARROLLO";"04. VALIDA US";"05. VOBO US";"06. BW-EJECUCION";"07. VALIDACIÓN BAJAWARE";"08. CERRADA"},0),
 1,
 IF(
  MATCH(B1509,{"01. ASIGNACION AREA";"02. MAPEO";"03. DESARROLLO";"04. VALIDA US";"05. VOBO US";"06. BW-EJECUCION";"07. VALIDACIÓN BAJAWARE";"08. CERRADA"},0)
  =
  MATCH(_xlfn.XLOOKUP(INDEX($B:$B, (ROW()-4)),'Relacion '!$E:$E,'Relacion '!$D:$D,""),{"01. ASIGNACION AREA";"02. MAPEO";"03. DESARROLLO";"04. VALIDA US";"05. VOBO US";"06. BW-EJECUCION";"07. VALIDACIÓN BAJAWARE";"08. CERRADA"},0),
  _xlfn.XLOOKUP(INDEX($B:$B, (ROW()-4)),'Relacion '!$E:$E,'Relacion '!#REF!,0),
  0
 )
)</f>
        <v>1</v>
      </c>
      <c r="I1509" s="241">
        <f t="shared" ca="1" si="347"/>
        <v>1</v>
      </c>
      <c r="J1509" s="241"/>
      <c r="K1509" s="241"/>
      <c r="L1509" s="238"/>
    </row>
    <row r="1510" spans="2:12" outlineLevel="1">
      <c r="B1510" s="237" t="s">
        <v>320</v>
      </c>
      <c r="C1510" s="237" t="s">
        <v>320</v>
      </c>
      <c r="D1510" s="238" t="str">
        <f>_xlfn.XLOOKUP(B1510,'Relacion '!$E:$E,'Relacion '!$D:$D,"")</f>
        <v/>
      </c>
      <c r="E1510" s="239">
        <f t="shared" si="350"/>
        <v>7</v>
      </c>
      <c r="F1510" s="240" cm="1">
        <f t="array" ref="F1510">MIN(INDEX('Relacion '!$AF$5:$AG$493,MATCH(INDEX($B:$B, (ROW()-5)),'Relacion '!$E$5:$E$493,0),0))</f>
        <v>46055</v>
      </c>
      <c r="G1510" s="240" cm="1">
        <f t="array" ref="G1510">MAX(INDEX('Relacion '!$AF$5:$AG$493,MATCH(INDEX($B:$B, (ROW()-5)),'Relacion '!$E$5:$E$493,0),0))</f>
        <v>46062</v>
      </c>
      <c r="H1510" s="241" cm="1">
        <f t="array" ref="H1510">IF(
 MATCH(B1510,{"01. ASIGNACION AREA";"02. MAPEO";"03. DESARROLLO";"04. VALIDA US";"05. VOBO US";"06. BW-EJECUCION";"07. VALIDACIÓN BAJAWARE";"08. CERRADA"},0)
 &lt;
 MATCH(_xlfn.XLOOKUP(INDEX($B:$B, (ROW()-5)),'Relacion '!$E:$E,'Relacion '!$D:$D,""),{"01. ASIGNACION AREA";"02. MAPEO";"03. DESARROLLO";"04. VALIDA US";"05. VOBO US";"06. BW-EJECUCION";"07. VALIDACIÓN BAJAWARE";"08. CERRADA"},0),
 1,
 IF(
  MATCH(B1510,{"01. ASIGNACION AREA";"02. MAPEO";"03. DESARROLLO";"04. VALIDA US";"05. VOBO US";"06. BW-EJECUCION";"07. VALIDACIÓN BAJAWARE";"08. CERRADA"},0)
  =
  MATCH(_xlfn.XLOOKUP(INDEX($B:$B, (ROW()-5)),'Relacion '!$E:$E,'Relacion '!$D:$D,""),{"01. ASIGNACION AREA";"02. MAPEO";"03. DESARROLLO";"04. VALIDA US";"05. VOBO US";"06. BW-EJECUCION";"07. VALIDACIÓN BAJAWARE";"08. CERRADA"},0),
  _xlfn.XLOOKUP(INDEX($B:$B, (ROW()-5)),'Relacion '!$E:$E,'Relacion '!#REF!,0),
  0
 )
)</f>
        <v>1</v>
      </c>
      <c r="I1510" s="241">
        <f t="shared" ca="1" si="347"/>
        <v>1</v>
      </c>
      <c r="J1510" s="241"/>
      <c r="K1510" s="241"/>
      <c r="L1510" s="238"/>
    </row>
    <row r="1511" spans="2:12" outlineLevel="1">
      <c r="B1511" s="237" t="s">
        <v>710</v>
      </c>
      <c r="C1511" s="237" t="s">
        <v>710</v>
      </c>
      <c r="D1511" s="238" t="str">
        <f>_xlfn.XLOOKUP(B1511,'Relacion '!$E:$E,'Relacion '!$D:$D,"")</f>
        <v/>
      </c>
      <c r="E1511" s="239">
        <f t="shared" si="350"/>
        <v>25</v>
      </c>
      <c r="F1511" s="240" cm="1">
        <f t="array" ref="F1511">MIN(INDEX('Relacion '!$AH$5:$AI$493,MATCH(INDEX($B:$B, (ROW()-6)),'Relacion '!$E$5:$E$493,0),0))</f>
        <v>46076</v>
      </c>
      <c r="G1511" s="240" cm="1">
        <f t="array" ref="G1511">MAX(INDEX('Relacion '!$AH$5:$AI$493,MATCH(INDEX($B:$B, (ROW()-6)),'Relacion '!$E$5:$E$493,0),0))</f>
        <v>46101</v>
      </c>
      <c r="H1511" s="241" t="e" cm="1">
        <f t="array" ref="H1511">IF(
 MATCH(B1511,{"01. ASIGNACION AREA";"02. MAPEO";"03. DESARROLLO";"04. VALIDA US";"05. VOBO US";"06. BW-EJECUCION";"07. VALIDACIÓN BAJAWARE";"08. CERRADA"},0)
 &lt;
 MATCH(_xlfn.XLOOKUP(INDEX($B:$B, (ROW()-6)),'Relacion '!$E:$E,'Relacion '!$D:$D,""),{"01. ASIGNACION AREA";"02. MAPEO";"03. DESARROLLO";"04. VALIDA US";"05. VOBO US";"06. BW-EJECUCION";"07. VALIDACIÓN BAJAWARE";"08. CERRADA"},0),
 1,
 IF(
  MATCH(B1511,{"01. ASIGNACION AREA";"02. MAPEO";"03. DESARROLLO";"04. VALIDA US";"05. VOBO US";"06. BW-EJECUCION";"07. VALIDACIÓN BAJAWARE";"08. CERRADA"},0)
  =
  MATCH(_xlfn.XLOOKUP(INDEX($B:$B, (ROW()-6)),'Relacion '!$E:$E,'Relacion '!$D:$D,""),{"01. ASIGNACION AREA";"02. MAPEO";"03. DESARROLLO";"04. VALIDA US";"05. VOBO US";"06. BW-EJECUCION";"07. VALIDACIÓN BAJAWARE";"08. CERRADA"},0),
  _xlfn.XLOOKUP(INDEX($B:$B, (ROW()-6)),'Relacion '!$E:$E,'Relacion '!#REF!,0),
  0
 )
)</f>
        <v>#REF!</v>
      </c>
      <c r="I1511" s="241">
        <f t="shared" ca="1" si="347"/>
        <v>1</v>
      </c>
      <c r="J1511" s="241"/>
      <c r="K1511" s="241"/>
      <c r="L1511" s="238"/>
    </row>
    <row r="1512" spans="2:12" outlineLevel="1">
      <c r="B1512" s="237" t="s">
        <v>655</v>
      </c>
      <c r="C1512" s="237" t="s">
        <v>655</v>
      </c>
      <c r="D1512" s="238" t="str">
        <f>_xlfn.XLOOKUP(B1512,'Relacion '!$E:$E,'Relacion '!$D:$D,"")</f>
        <v/>
      </c>
      <c r="E1512" s="239">
        <f t="shared" si="350"/>
        <v>25</v>
      </c>
      <c r="F1512" s="240" cm="1">
        <f t="array" ref="F1512">MIN(INDEX('Relacion '!$AJ$5:$AK$493,MATCH(INDEX($B:$B, (ROW()-7)),'Relacion '!$E$5:$E$493,0),0))</f>
        <v>46104</v>
      </c>
      <c r="G1512" s="240" cm="1">
        <f t="array" ref="G1512">MAX(INDEX('Relacion '!$AJ$5:$AK$493,MATCH(INDEX($B:$B, (ROW()-7)),'Relacion '!$E$5:$E$493,0),0))</f>
        <v>46129</v>
      </c>
      <c r="H1512" s="241" cm="1">
        <f t="array" ref="H1512">IF(
 MATCH(B1512,{"01. ASIGNACION AREA";"02. MAPEO";"03. DESARROLLO";"04. VALIDA US";"05. VOBO US";"06. BW-EJECUCION";"07. VALIDACIÓN BAJAWARE";"08. CERRADA"},0)
 &lt;
 MATCH(_xlfn.XLOOKUP(INDEX($B:$B, (ROW()-7)),'Relacion '!$E:$E,'Relacion '!$D:$D,""),{"01. ASIGNACION AREA";"02. MAPEO";"03. DESARROLLO";"04. VALIDA US";"05. VOBO US";"06. BW-EJECUCION";"07. VALIDACIÓN BAJAWARE";"08. CERRADA"},0),
 1,
 IF(
  MATCH(B1512,{"01. ASIGNACION AREA";"02. MAPEO";"03. DESARROLLO";"04. VALIDA US";"05. VOBO US";"06. BW-EJECUCION";"07. VALIDACIÓN BAJAWARE";"08. CERRADA"},0)
  =
  MATCH(_xlfn.XLOOKUP(INDEX($B:$B, (ROW()-7)),'Relacion '!$E:$E,'Relacion '!$D:$D,""),{"01. ASIGNACION AREA";"02. MAPEO";"03. DESARROLLO";"04. VALIDA US";"05. VOBO US";"06. BW-EJECUCION";"07. VALIDACIÓN BAJAWARE";"08. CERRADA"},0),
  _xlfn.XLOOKUP(INDEX($B:$B, (ROW()-7)),'Relacion '!$E:$E,'Relacion '!#REF!,0),
  0
 )
)</f>
        <v>0</v>
      </c>
      <c r="I1512" s="241">
        <f t="shared" ca="1" si="347"/>
        <v>1</v>
      </c>
      <c r="J1512" s="241"/>
      <c r="K1512" s="241"/>
      <c r="L1512" s="238"/>
    </row>
    <row r="1513" spans="2:12" outlineLevel="1">
      <c r="B1513" s="237" t="s">
        <v>656</v>
      </c>
      <c r="C1513" s="237" t="s">
        <v>656</v>
      </c>
      <c r="D1513" s="238" t="str">
        <f>_xlfn.XLOOKUP(B1513,'Relacion '!$E:$E,'Relacion '!$D:$D,"")</f>
        <v/>
      </c>
      <c r="E1513" s="239">
        <f t="shared" si="350"/>
        <v>0</v>
      </c>
      <c r="F1513" s="240" cm="1">
        <f t="array" ref="F1513">MIN(INDEX('Relacion '!$AL$5:$AM$493,MATCH(INDEX($B:$B, (ROW()-8)),'Relacion '!$E$5:$E$493,0),0))</f>
        <v>46130</v>
      </c>
      <c r="G1513" s="240" cm="1">
        <f t="array" ref="G1513">MAX(INDEX('Relacion '!$AL$5:$AM$493,MATCH(INDEX($B:$B, (ROW()-8)),'Relacion '!$E$5:$E$493,0),0))</f>
        <v>46130</v>
      </c>
      <c r="H1513" s="241" cm="1">
        <f t="array" ref="H1513">IF(
 MATCH(B1513,{"01. ASIGNACION AREA";"02. MAPEO";"03. DESARROLLO";"04. VALIDA US";"05. VOBO US";"06. BW-EJECUCION";"07. VALIDACIÓN BAJAWARE";"08. CERRADA"},0)
 &lt;
 MATCH(_xlfn.XLOOKUP(INDEX($B:$B, (ROW()-8)),'Relacion '!$E:$E,'Relacion '!$D:$D,""),{"01. ASIGNACION AREA";"02. MAPEO";"03. DESARROLLO";"04. VALIDA US";"05. VOBO US";"06. BW-EJECUCION";"07. VALIDACIÓN BAJAWARE";"08. CERRADA"},0),
 1,
 IF(
  MATCH(B1513,{"01. ASIGNACION AREA";"02. MAPEO";"03. DESARROLLO";"04. VALIDA US";"05. VOBO US";"06. BW-EJECUCION";"07. VALIDACIÓN BAJAWARE";"08. CERRADA"},0)
  =
  MATCH(_xlfn.XLOOKUP(INDEX($B:$B, (ROW()-8)),'Relacion '!$E:$E,'Relacion '!$D:$D,""),{"01. ASIGNACION AREA";"02. MAPEO";"03. DESARROLLO";"04. VALIDA US";"05. VOBO US";"06. BW-EJECUCION";"07. VALIDACIÓN BAJAWARE";"08. CERRADA"},0),
  _xlfn.XLOOKUP(INDEX($B:$B, (ROW()-8)),'Relacion '!$E:$E,'Relacion '!#REF!,0),
  0
 )
)</f>
        <v>0</v>
      </c>
      <c r="I1513" s="241">
        <f t="shared" ca="1" si="347"/>
        <v>1</v>
      </c>
      <c r="J1513" s="241"/>
      <c r="K1513" s="241"/>
      <c r="L1513" s="238"/>
    </row>
    <row r="1514" spans="2:12" ht="30">
      <c r="B1514" s="232" t="s">
        <v>597</v>
      </c>
      <c r="C1514" s="167" t="s">
        <v>590</v>
      </c>
      <c r="D1514" s="236" t="str">
        <f>_xlfn.XLOOKUP(B1514,'Relacion '!$E:$E,'Relacion '!$D:$D,"")</f>
        <v>06. BW-EJECUCION</v>
      </c>
      <c r="E1514" s="233">
        <f t="shared" si="350"/>
        <v>471</v>
      </c>
      <c r="F1514" s="234" cm="1">
        <f t="array" ref="F1514">MIN(INDEX('Relacion '!$X$5:$AM$493,MATCH(INDEX($B:$B, (ROW()-0)),'Relacion '!$E$5:$E$493,0),0))</f>
        <v>45659</v>
      </c>
      <c r="G1514" s="234" cm="1">
        <f t="array" ref="G1514">MAX(INDEX('Relacion '!$X$5:$AM$493,MATCH(INDEX($B:$B, (ROW()-0)),'Relacion '!$E$5:$E$493,0),0))</f>
        <v>46130</v>
      </c>
      <c r="H1514" s="235" t="e">
        <f>AVERAGE(H1515:H1522)</f>
        <v>#REF!</v>
      </c>
      <c r="I1514" s="235">
        <f t="shared" ref="I1514" ca="1" si="359">AVERAGE(I1515:I1522)</f>
        <v>1</v>
      </c>
      <c r="J1514" s="236" t="str">
        <f>IF(ISNUMBER(SEARCH("Rocha", _xlfn.XLOOKUP(B1514,'Relacion '!$E:$E,'Relacion '!$I:$I,""))), "Sí", "No")</f>
        <v>No</v>
      </c>
      <c r="K1514" s="236" t="str">
        <f>IF(ISNUMBER(SEARCH("Rocha", _xlfn.XLOOKUP(B1514,'Relacion '!$E:$E,'Relacion '!$I:$I,""))), "RMC", _xlfn.XLOOKUP(B1514,'Relacion '!$E:$E,'Relacion '!$B:$B,""))</f>
        <v>Producto</v>
      </c>
      <c r="L1514" s="236" t="str">
        <f>_xlfn.XLOOKUP(B1514,'Relacion '!$E:$E,'Relacion '!$C:$C,"")</f>
        <v>Claudia Barroso</v>
      </c>
    </row>
    <row r="1515" spans="2:12" outlineLevel="1">
      <c r="B1515" s="237" t="s">
        <v>654</v>
      </c>
      <c r="C1515" s="237" t="s">
        <v>654</v>
      </c>
      <c r="D1515" s="238" t="str">
        <f>_xlfn.XLOOKUP(B1515,'Relacion '!$E:$E,'Relacion '!$D:$D,"")</f>
        <v/>
      </c>
      <c r="E1515" s="239">
        <f t="shared" si="350"/>
        <v>424</v>
      </c>
      <c r="F1515" s="240" cm="1">
        <f t="array" ref="F1515">MIN(INDEX('Relacion '!$X$5:$Y$493,MATCH(INDEX($B:$B, (ROW()-1)),'Relacion '!$E$5:$E$493,0),0))</f>
        <v>45659</v>
      </c>
      <c r="G1515" s="240" cm="1">
        <f t="array" ref="G1515">MAX(INDEX('Relacion '!$X$5:$Y$493,MATCH(INDEX($B:$B, (ROW()-1)),'Relacion '!$E$5:$E$493,0),0))</f>
        <v>46083</v>
      </c>
      <c r="H1515" s="241" cm="1">
        <f t="array" ref="H1515">IF(
 MATCH(B1515,{"01. ASIGNACION AREA";"02. MAPEO";"03. DESARROLLO";"04. VALIDA US";"05. VOBO US";"06. BW-EJECUCION";"07. VALIDACIÓN BAJAWARE";"08. CERRADA"},0)
 &lt;
 MATCH(_xlfn.XLOOKUP(INDEX($B:$B, (ROW()-1)),'Relacion '!$E:$E,'Relacion '!$D:$D,""),{"01. ASIGNACION AREA";"02. MAPEO";"03. DESARROLLO";"04. VALIDA US";"05. VOBO US";"06. BW-EJECUCION";"07. VALIDACIÓN BAJAWARE";"08. CERRADA"},0),
 1,
 IF(
  MATCH(B1515,{"01. ASIGNACION AREA";"02. MAPEO";"03. DESARROLLO";"04. VALIDA US";"05. VOBO US";"06. BW-EJECUCION";"07. VALIDACIÓN BAJAWARE";"08. CERRADA"},0)
  =
  MATCH(_xlfn.XLOOKUP(INDEX($B:$B, (ROW()-1)),'Relacion '!$E:$E,'Relacion '!$D:$D,""),{"01. ASIGNACION AREA";"02. MAPEO";"03. DESARROLLO";"04. VALIDA US";"05. VOBO US";"06. BW-EJECUCION";"07. VALIDACIÓN BAJAWARE";"08. CERRADA"},0),
  _xlfn.XLOOKUP(INDEX($B:$B, (ROW()-1)),'Relacion '!$E:$E,'Relacion '!#REF!,0),
  0
 )
)</f>
        <v>1</v>
      </c>
      <c r="I1515" s="241">
        <f t="shared" ref="I1515" ca="1" si="360">IF(G1515&lt;=TODAY(), 1, 0)</f>
        <v>1</v>
      </c>
      <c r="J1515" s="241"/>
      <c r="K1515" s="241"/>
      <c r="L1515" s="238"/>
    </row>
    <row r="1516" spans="2:12" outlineLevel="1">
      <c r="B1516" s="237" t="s">
        <v>195</v>
      </c>
      <c r="C1516" s="237" t="s">
        <v>195</v>
      </c>
      <c r="D1516" s="238" t="str">
        <f>_xlfn.XLOOKUP(B1516,'Relacion '!$E:$E,'Relacion '!$D:$D,"")</f>
        <v/>
      </c>
      <c r="E1516" s="239">
        <f t="shared" si="350"/>
        <v>4</v>
      </c>
      <c r="F1516" s="240" cm="1">
        <f t="array" ref="F1516">MIN(INDEX('Relacion '!$Z$5:$AA$493,MATCH(INDEX($B:$B, (ROW()-2)),'Relacion '!$E$5:$E$493,0),0))</f>
        <v>46034</v>
      </c>
      <c r="G1516" s="240" cm="1">
        <f t="array" ref="G1516">MAX(INDEX('Relacion '!$Z$5:$AA$493,MATCH(INDEX($B:$B, (ROW()-2)),'Relacion '!$E$5:$E$493,0),0))</f>
        <v>46038</v>
      </c>
      <c r="H1516" s="241" cm="1">
        <f t="array" ref="H1516">IF(
 MATCH(B1516,{"01. ASIGNACION AREA";"02. MAPEO";"03. DESARROLLO";"04. VALIDA US";"05. VOBO US";"06. BW-EJECUCION";"07. VALIDACIÓN BAJAWARE";"08. CERRADA"},0)
 &lt;
 MATCH(_xlfn.XLOOKUP(INDEX($B:$B, (ROW()-2)),'Relacion '!$E:$E,'Relacion '!$D:$D,""),{"01. ASIGNACION AREA";"02. MAPEO";"03. DESARROLLO";"04. VALIDA US";"05. VOBO US";"06. BW-EJECUCION";"07. VALIDACIÓN BAJAWARE";"08. CERRADA"},0),
 1,
 IF(
  MATCH(B1516,{"01. ASIGNACION AREA";"02. MAPEO";"03. DESARROLLO";"04. VALIDA US";"05. VOBO US";"06. BW-EJECUCION";"07. VALIDACIÓN BAJAWARE";"08. CERRADA"},0)
  =
  MATCH(_xlfn.XLOOKUP(INDEX($B:$B, (ROW()-2)),'Relacion '!$E:$E,'Relacion '!$D:$D,""),{"01. ASIGNACION AREA";"02. MAPEO";"03. DESARROLLO";"04. VALIDA US";"05. VOBO US";"06. BW-EJECUCION";"07. VALIDACIÓN BAJAWARE";"08. CERRADA"},0),
  _xlfn.XLOOKUP(INDEX($B:$B, (ROW()-2)),'Relacion '!$E:$E,'Relacion '!#REF!,0),
  0
 )
)</f>
        <v>1</v>
      </c>
      <c r="I1516" s="241">
        <f t="shared" ca="1" si="347"/>
        <v>1</v>
      </c>
      <c r="J1516" s="241"/>
      <c r="K1516" s="241"/>
      <c r="L1516" s="238"/>
    </row>
    <row r="1517" spans="2:12" outlineLevel="1">
      <c r="B1517" s="237" t="s">
        <v>49</v>
      </c>
      <c r="C1517" s="237" t="s">
        <v>49</v>
      </c>
      <c r="D1517" s="238" t="str">
        <f>_xlfn.XLOOKUP(B1517,'Relacion '!$E:$E,'Relacion '!$D:$D,"")</f>
        <v/>
      </c>
      <c r="E1517" s="239">
        <f t="shared" si="350"/>
        <v>4</v>
      </c>
      <c r="F1517" s="240" cm="1">
        <f t="array" ref="F1517">MIN(INDEX('Relacion '!$AB$5:$AC$493,MATCH(INDEX($B:$B, (ROW()-3)),'Relacion '!$E$5:$E$493,0),0))</f>
        <v>46041</v>
      </c>
      <c r="G1517" s="240" cm="1">
        <f t="array" ref="G1517">MAX(INDEX('Relacion '!$AB$5:$AC$493,MATCH(INDEX($B:$B, (ROW()-3)),'Relacion '!$E$5:$E$493,0),0))</f>
        <v>46045</v>
      </c>
      <c r="H1517" s="241" cm="1">
        <f t="array" ref="H1517">IF(
 MATCH(B1517,{"01. ASIGNACION AREA";"02. MAPEO";"03. DESARROLLO";"04. VALIDA US";"05. VOBO US";"06. BW-EJECUCION";"07. VALIDACIÓN BAJAWARE";"08. CERRADA"},0)
 &lt;
 MATCH(_xlfn.XLOOKUP(INDEX($B:$B, (ROW()-3)),'Relacion '!$E:$E,'Relacion '!$D:$D,""),{"01. ASIGNACION AREA";"02. MAPEO";"03. DESARROLLO";"04. VALIDA US";"05. VOBO US";"06. BW-EJECUCION";"07. VALIDACIÓN BAJAWARE";"08. CERRADA"},0),
 1,
 IF(
  MATCH(B1517,{"01. ASIGNACION AREA";"02. MAPEO";"03. DESARROLLO";"04. VALIDA US";"05. VOBO US";"06. BW-EJECUCION";"07. VALIDACIÓN BAJAWARE";"08. CERRADA"},0)
  =
  MATCH(_xlfn.XLOOKUP(INDEX($B:$B, (ROW()-3)),'Relacion '!$E:$E,'Relacion '!$D:$D,""),{"01. ASIGNACION AREA";"02. MAPEO";"03. DESARROLLO";"04. VALIDA US";"05. VOBO US";"06. BW-EJECUCION";"07. VALIDACIÓN BAJAWARE";"08. CERRADA"},0),
  _xlfn.XLOOKUP(INDEX($B:$B, (ROW()-3)),'Relacion '!$E:$E,'Relacion '!#REF!,0),
  0
 )
)</f>
        <v>1</v>
      </c>
      <c r="I1517" s="241">
        <f t="shared" ca="1" si="347"/>
        <v>1</v>
      </c>
      <c r="J1517" s="241"/>
      <c r="K1517" s="241"/>
      <c r="L1517" s="238"/>
    </row>
    <row r="1518" spans="2:12" outlineLevel="1">
      <c r="B1518" s="237" t="s">
        <v>324</v>
      </c>
      <c r="C1518" s="237" t="s">
        <v>324</v>
      </c>
      <c r="D1518" s="238" t="str">
        <f>_xlfn.XLOOKUP(B1518,'Relacion '!$E:$E,'Relacion '!$D:$D,"")</f>
        <v/>
      </c>
      <c r="E1518" s="239">
        <f t="shared" si="350"/>
        <v>4</v>
      </c>
      <c r="F1518" s="240" cm="1">
        <f t="array" ref="F1518">MIN(INDEX('Relacion '!$AD$5:$AE$493,MATCH(INDEX($B:$B, (ROW()-4)),'Relacion '!$E$5:$E$493,0),0))</f>
        <v>46048</v>
      </c>
      <c r="G1518" s="240" cm="1">
        <f t="array" ref="G1518">MAX(INDEX('Relacion '!$AD$5:$AE$493,MATCH(INDEX($B:$B, (ROW()-4)),'Relacion '!$E$5:$E$493,0),0))</f>
        <v>46052</v>
      </c>
      <c r="H1518" s="241" cm="1">
        <f t="array" ref="H1518">IF(
 MATCH(B1518,{"01. ASIGNACION AREA";"02. MAPEO";"03. DESARROLLO";"04. VALIDA US";"05. VOBO US";"06. BW-EJECUCION";"07. VALIDACIÓN BAJAWARE";"08. CERRADA"},0)
 &lt;
 MATCH(_xlfn.XLOOKUP(INDEX($B:$B, (ROW()-4)),'Relacion '!$E:$E,'Relacion '!$D:$D,""),{"01. ASIGNACION AREA";"02. MAPEO";"03. DESARROLLO";"04. VALIDA US";"05. VOBO US";"06. BW-EJECUCION";"07. VALIDACIÓN BAJAWARE";"08. CERRADA"},0),
 1,
 IF(
  MATCH(B1518,{"01. ASIGNACION AREA";"02. MAPEO";"03. DESARROLLO";"04. VALIDA US";"05. VOBO US";"06. BW-EJECUCION";"07. VALIDACIÓN BAJAWARE";"08. CERRADA"},0)
  =
  MATCH(_xlfn.XLOOKUP(INDEX($B:$B, (ROW()-4)),'Relacion '!$E:$E,'Relacion '!$D:$D,""),{"01. ASIGNACION AREA";"02. MAPEO";"03. DESARROLLO";"04. VALIDA US";"05. VOBO US";"06. BW-EJECUCION";"07. VALIDACIÓN BAJAWARE";"08. CERRADA"},0),
  _xlfn.XLOOKUP(INDEX($B:$B, (ROW()-4)),'Relacion '!$E:$E,'Relacion '!#REF!,0),
  0
 )
)</f>
        <v>1</v>
      </c>
      <c r="I1518" s="241">
        <f t="shared" ca="1" si="347"/>
        <v>1</v>
      </c>
      <c r="J1518" s="241"/>
      <c r="K1518" s="241"/>
      <c r="L1518" s="238"/>
    </row>
    <row r="1519" spans="2:12" outlineLevel="1">
      <c r="B1519" s="237" t="s">
        <v>320</v>
      </c>
      <c r="C1519" s="237" t="s">
        <v>320</v>
      </c>
      <c r="D1519" s="238" t="str">
        <f>_xlfn.XLOOKUP(B1519,'Relacion '!$E:$E,'Relacion '!$D:$D,"")</f>
        <v/>
      </c>
      <c r="E1519" s="239">
        <f t="shared" si="350"/>
        <v>7</v>
      </c>
      <c r="F1519" s="240" cm="1">
        <f t="array" ref="F1519">MIN(INDEX('Relacion '!$AF$5:$AG$493,MATCH(INDEX($B:$B, (ROW()-5)),'Relacion '!$E$5:$E$493,0),0))</f>
        <v>46055</v>
      </c>
      <c r="G1519" s="240" cm="1">
        <f t="array" ref="G1519">MAX(INDEX('Relacion '!$AF$5:$AG$493,MATCH(INDEX($B:$B, (ROW()-5)),'Relacion '!$E$5:$E$493,0),0))</f>
        <v>46062</v>
      </c>
      <c r="H1519" s="241" cm="1">
        <f t="array" ref="H1519">IF(
 MATCH(B1519,{"01. ASIGNACION AREA";"02. MAPEO";"03. DESARROLLO";"04. VALIDA US";"05. VOBO US";"06. BW-EJECUCION";"07. VALIDACIÓN BAJAWARE";"08. CERRADA"},0)
 &lt;
 MATCH(_xlfn.XLOOKUP(INDEX($B:$B, (ROW()-5)),'Relacion '!$E:$E,'Relacion '!$D:$D,""),{"01. ASIGNACION AREA";"02. MAPEO";"03. DESARROLLO";"04. VALIDA US";"05. VOBO US";"06. BW-EJECUCION";"07. VALIDACIÓN BAJAWARE";"08. CERRADA"},0),
 1,
 IF(
  MATCH(B1519,{"01. ASIGNACION AREA";"02. MAPEO";"03. DESARROLLO";"04. VALIDA US";"05. VOBO US";"06. BW-EJECUCION";"07. VALIDACIÓN BAJAWARE";"08. CERRADA"},0)
  =
  MATCH(_xlfn.XLOOKUP(INDEX($B:$B, (ROW()-5)),'Relacion '!$E:$E,'Relacion '!$D:$D,""),{"01. ASIGNACION AREA";"02. MAPEO";"03. DESARROLLO";"04. VALIDA US";"05. VOBO US";"06. BW-EJECUCION";"07. VALIDACIÓN BAJAWARE";"08. CERRADA"},0),
  _xlfn.XLOOKUP(INDEX($B:$B, (ROW()-5)),'Relacion '!$E:$E,'Relacion '!#REF!,0),
  0
 )
)</f>
        <v>1</v>
      </c>
      <c r="I1519" s="241">
        <f t="shared" ca="1" si="347"/>
        <v>1</v>
      </c>
      <c r="J1519" s="241"/>
      <c r="K1519" s="241"/>
      <c r="L1519" s="238"/>
    </row>
    <row r="1520" spans="2:12" outlineLevel="1">
      <c r="B1520" s="237" t="s">
        <v>710</v>
      </c>
      <c r="C1520" s="237" t="s">
        <v>710</v>
      </c>
      <c r="D1520" s="238" t="str">
        <f>_xlfn.XLOOKUP(B1520,'Relacion '!$E:$E,'Relacion '!$D:$D,"")</f>
        <v/>
      </c>
      <c r="E1520" s="239">
        <f t="shared" si="350"/>
        <v>25</v>
      </c>
      <c r="F1520" s="240" cm="1">
        <f t="array" ref="F1520">MIN(INDEX('Relacion '!$AH$5:$AI$493,MATCH(INDEX($B:$B, (ROW()-6)),'Relacion '!$E$5:$E$493,0),0))</f>
        <v>46076</v>
      </c>
      <c r="G1520" s="240" cm="1">
        <f t="array" ref="G1520">MAX(INDEX('Relacion '!$AH$5:$AI$493,MATCH(INDEX($B:$B, (ROW()-6)),'Relacion '!$E$5:$E$493,0),0))</f>
        <v>46101</v>
      </c>
      <c r="H1520" s="241" t="e" cm="1">
        <f t="array" ref="H1520">IF(
 MATCH(B1520,{"01. ASIGNACION AREA";"02. MAPEO";"03. DESARROLLO";"04. VALIDA US";"05. VOBO US";"06. BW-EJECUCION";"07. VALIDACIÓN BAJAWARE";"08. CERRADA"},0)
 &lt;
 MATCH(_xlfn.XLOOKUP(INDEX($B:$B, (ROW()-6)),'Relacion '!$E:$E,'Relacion '!$D:$D,""),{"01. ASIGNACION AREA";"02. MAPEO";"03. DESARROLLO";"04. VALIDA US";"05. VOBO US";"06. BW-EJECUCION";"07. VALIDACIÓN BAJAWARE";"08. CERRADA"},0),
 1,
 IF(
  MATCH(B1520,{"01. ASIGNACION AREA";"02. MAPEO";"03. DESARROLLO";"04. VALIDA US";"05. VOBO US";"06. BW-EJECUCION";"07. VALIDACIÓN BAJAWARE";"08. CERRADA"},0)
  =
  MATCH(_xlfn.XLOOKUP(INDEX($B:$B, (ROW()-6)),'Relacion '!$E:$E,'Relacion '!$D:$D,""),{"01. ASIGNACION AREA";"02. MAPEO";"03. DESARROLLO";"04. VALIDA US";"05. VOBO US";"06. BW-EJECUCION";"07. VALIDACIÓN BAJAWARE";"08. CERRADA"},0),
  _xlfn.XLOOKUP(INDEX($B:$B, (ROW()-6)),'Relacion '!$E:$E,'Relacion '!#REF!,0),
  0
 )
)</f>
        <v>#REF!</v>
      </c>
      <c r="I1520" s="241">
        <f t="shared" ca="1" si="347"/>
        <v>1</v>
      </c>
      <c r="J1520" s="241"/>
      <c r="K1520" s="241"/>
      <c r="L1520" s="238"/>
    </row>
    <row r="1521" spans="2:12" outlineLevel="1">
      <c r="B1521" s="237" t="s">
        <v>655</v>
      </c>
      <c r="C1521" s="237" t="s">
        <v>655</v>
      </c>
      <c r="D1521" s="238" t="str">
        <f>_xlfn.XLOOKUP(B1521,'Relacion '!$E:$E,'Relacion '!$D:$D,"")</f>
        <v/>
      </c>
      <c r="E1521" s="239">
        <f t="shared" si="350"/>
        <v>25</v>
      </c>
      <c r="F1521" s="240" cm="1">
        <f t="array" ref="F1521">MIN(INDEX('Relacion '!$AJ$5:$AK$493,MATCH(INDEX($B:$B, (ROW()-7)),'Relacion '!$E$5:$E$493,0),0))</f>
        <v>46104</v>
      </c>
      <c r="G1521" s="240" cm="1">
        <f t="array" ref="G1521">MAX(INDEX('Relacion '!$AJ$5:$AK$493,MATCH(INDEX($B:$B, (ROW()-7)),'Relacion '!$E$5:$E$493,0),0))</f>
        <v>46129</v>
      </c>
      <c r="H1521" s="241" cm="1">
        <f t="array" ref="H1521">IF(
 MATCH(B1521,{"01. ASIGNACION AREA";"02. MAPEO";"03. DESARROLLO";"04. VALIDA US";"05. VOBO US";"06. BW-EJECUCION";"07. VALIDACIÓN BAJAWARE";"08. CERRADA"},0)
 &lt;
 MATCH(_xlfn.XLOOKUP(INDEX($B:$B, (ROW()-7)),'Relacion '!$E:$E,'Relacion '!$D:$D,""),{"01. ASIGNACION AREA";"02. MAPEO";"03. DESARROLLO";"04. VALIDA US";"05. VOBO US";"06. BW-EJECUCION";"07. VALIDACIÓN BAJAWARE";"08. CERRADA"},0),
 1,
 IF(
  MATCH(B1521,{"01. ASIGNACION AREA";"02. MAPEO";"03. DESARROLLO";"04. VALIDA US";"05. VOBO US";"06. BW-EJECUCION";"07. VALIDACIÓN BAJAWARE";"08. CERRADA"},0)
  =
  MATCH(_xlfn.XLOOKUP(INDEX($B:$B, (ROW()-7)),'Relacion '!$E:$E,'Relacion '!$D:$D,""),{"01. ASIGNACION AREA";"02. MAPEO";"03. DESARROLLO";"04. VALIDA US";"05. VOBO US";"06. BW-EJECUCION";"07. VALIDACIÓN BAJAWARE";"08. CERRADA"},0),
  _xlfn.XLOOKUP(INDEX($B:$B, (ROW()-7)),'Relacion '!$E:$E,'Relacion '!#REF!,0),
  0
 )
)</f>
        <v>0</v>
      </c>
      <c r="I1521" s="241">
        <f t="shared" ca="1" si="347"/>
        <v>1</v>
      </c>
      <c r="J1521" s="241"/>
      <c r="K1521" s="241"/>
      <c r="L1521" s="238"/>
    </row>
    <row r="1522" spans="2:12" outlineLevel="1">
      <c r="B1522" s="237" t="s">
        <v>656</v>
      </c>
      <c r="C1522" s="237" t="s">
        <v>656</v>
      </c>
      <c r="D1522" s="238" t="str">
        <f>_xlfn.XLOOKUP(B1522,'Relacion '!$E:$E,'Relacion '!$D:$D,"")</f>
        <v/>
      </c>
      <c r="E1522" s="239">
        <f t="shared" si="350"/>
        <v>0</v>
      </c>
      <c r="F1522" s="240" cm="1">
        <f t="array" ref="F1522">MIN(INDEX('Relacion '!$AL$5:$AM$493,MATCH(INDEX($B:$B, (ROW()-8)),'Relacion '!$E$5:$E$493,0),0))</f>
        <v>46130</v>
      </c>
      <c r="G1522" s="240" cm="1">
        <f t="array" ref="G1522">MAX(INDEX('Relacion '!$AL$5:$AM$493,MATCH(INDEX($B:$B, (ROW()-8)),'Relacion '!$E$5:$E$493,0),0))</f>
        <v>46130</v>
      </c>
      <c r="H1522" s="241" cm="1">
        <f t="array" ref="H1522">IF(
 MATCH(B1522,{"01. ASIGNACION AREA";"02. MAPEO";"03. DESARROLLO";"04. VALIDA US";"05. VOBO US";"06. BW-EJECUCION";"07. VALIDACIÓN BAJAWARE";"08. CERRADA"},0)
 &lt;
 MATCH(_xlfn.XLOOKUP(INDEX($B:$B, (ROW()-8)),'Relacion '!$E:$E,'Relacion '!$D:$D,""),{"01. ASIGNACION AREA";"02. MAPEO";"03. DESARROLLO";"04. VALIDA US";"05. VOBO US";"06. BW-EJECUCION";"07. VALIDACIÓN BAJAWARE";"08. CERRADA"},0),
 1,
 IF(
  MATCH(B1522,{"01. ASIGNACION AREA";"02. MAPEO";"03. DESARROLLO";"04. VALIDA US";"05. VOBO US";"06. BW-EJECUCION";"07. VALIDACIÓN BAJAWARE";"08. CERRADA"},0)
  =
  MATCH(_xlfn.XLOOKUP(INDEX($B:$B, (ROW()-8)),'Relacion '!$E:$E,'Relacion '!$D:$D,""),{"01. ASIGNACION AREA";"02. MAPEO";"03. DESARROLLO";"04. VALIDA US";"05. VOBO US";"06. BW-EJECUCION";"07. VALIDACIÓN BAJAWARE";"08. CERRADA"},0),
  _xlfn.XLOOKUP(INDEX($B:$B, (ROW()-8)),'Relacion '!$E:$E,'Relacion '!#REF!,0),
  0
 )
)</f>
        <v>0</v>
      </c>
      <c r="I1522" s="241">
        <f t="shared" ca="1" si="347"/>
        <v>1</v>
      </c>
      <c r="J1522" s="241"/>
      <c r="K1522" s="241"/>
      <c r="L1522" s="238"/>
    </row>
    <row r="1523" spans="2:12">
      <c r="B1523" s="232" t="s">
        <v>598</v>
      </c>
      <c r="C1523" s="167" t="s">
        <v>590</v>
      </c>
      <c r="D1523" s="236" t="str">
        <f>_xlfn.XLOOKUP(B1523,'Relacion '!$E:$E,'Relacion '!$D:$D,"")</f>
        <v>06. BW-EJECUCION</v>
      </c>
      <c r="E1523" s="233">
        <f t="shared" si="350"/>
        <v>471</v>
      </c>
      <c r="F1523" s="234" cm="1">
        <f t="array" ref="F1523">MIN(INDEX('Relacion '!$X$5:$AM$493,MATCH(INDEX($B:$B, (ROW()-0)),'Relacion '!$E$5:$E$493,0),0))</f>
        <v>45659</v>
      </c>
      <c r="G1523" s="234" cm="1">
        <f t="array" ref="G1523">MAX(INDEX('Relacion '!$X$5:$AM$493,MATCH(INDEX($B:$B, (ROW()-0)),'Relacion '!$E$5:$E$493,0),0))</f>
        <v>46130</v>
      </c>
      <c r="H1523" s="235" t="e">
        <f>AVERAGE(H1524:H1531)</f>
        <v>#REF!</v>
      </c>
      <c r="I1523" s="235">
        <f t="shared" ref="I1523" ca="1" si="361">AVERAGE(I1524:I1531)</f>
        <v>1</v>
      </c>
      <c r="J1523" s="236" t="str">
        <f>IF(ISNUMBER(SEARCH("Rocha", _xlfn.XLOOKUP(B1523,'Relacion '!$E:$E,'Relacion '!$I:$I,""))), "Sí", "No")</f>
        <v>No</v>
      </c>
      <c r="K1523" s="236" t="str">
        <f>IF(ISNUMBER(SEARCH("Rocha", _xlfn.XLOOKUP(B1523,'Relacion '!$E:$E,'Relacion '!$I:$I,""))), "RMC", _xlfn.XLOOKUP(B1523,'Relacion '!$E:$E,'Relacion '!$B:$B,""))</f>
        <v>Producto</v>
      </c>
      <c r="L1523" s="236" t="str">
        <f>_xlfn.XLOOKUP(B1523,'Relacion '!$E:$E,'Relacion '!$C:$C,"")</f>
        <v>Claudia Barroso</v>
      </c>
    </row>
    <row r="1524" spans="2:12" outlineLevel="1">
      <c r="B1524" s="237" t="s">
        <v>654</v>
      </c>
      <c r="C1524" s="237" t="s">
        <v>654</v>
      </c>
      <c r="D1524" s="238" t="str">
        <f>_xlfn.XLOOKUP(B1524,'Relacion '!$E:$E,'Relacion '!$D:$D,"")</f>
        <v/>
      </c>
      <c r="E1524" s="239">
        <f t="shared" si="350"/>
        <v>424</v>
      </c>
      <c r="F1524" s="240" cm="1">
        <f t="array" ref="F1524">MIN(INDEX('Relacion '!$X$5:$Y$493,MATCH(INDEX($B:$B, (ROW()-1)),'Relacion '!$E$5:$E$493,0),0))</f>
        <v>45659</v>
      </c>
      <c r="G1524" s="240" cm="1">
        <f t="array" ref="G1524">MAX(INDEX('Relacion '!$X$5:$Y$493,MATCH(INDEX($B:$B, (ROW()-1)),'Relacion '!$E$5:$E$493,0),0))</f>
        <v>46083</v>
      </c>
      <c r="H1524" s="241" cm="1">
        <f t="array" ref="H1524">IF(
 MATCH(B1524,{"01. ASIGNACION AREA";"02. MAPEO";"03. DESARROLLO";"04. VALIDA US";"05. VOBO US";"06. BW-EJECUCION";"07. VALIDACIÓN BAJAWARE";"08. CERRADA"},0)
 &lt;
 MATCH(_xlfn.XLOOKUP(INDEX($B:$B, (ROW()-1)),'Relacion '!$E:$E,'Relacion '!$D:$D,""),{"01. ASIGNACION AREA";"02. MAPEO";"03. DESARROLLO";"04. VALIDA US";"05. VOBO US";"06. BW-EJECUCION";"07. VALIDACIÓN BAJAWARE";"08. CERRADA"},0),
 1,
 IF(
  MATCH(B1524,{"01. ASIGNACION AREA";"02. MAPEO";"03. DESARROLLO";"04. VALIDA US";"05. VOBO US";"06. BW-EJECUCION";"07. VALIDACIÓN BAJAWARE";"08. CERRADA"},0)
  =
  MATCH(_xlfn.XLOOKUP(INDEX($B:$B, (ROW()-1)),'Relacion '!$E:$E,'Relacion '!$D:$D,""),{"01. ASIGNACION AREA";"02. MAPEO";"03. DESARROLLO";"04. VALIDA US";"05. VOBO US";"06. BW-EJECUCION";"07. VALIDACIÓN BAJAWARE";"08. CERRADA"},0),
  _xlfn.XLOOKUP(INDEX($B:$B, (ROW()-1)),'Relacion '!$E:$E,'Relacion '!#REF!,0),
  0
 )
)</f>
        <v>1</v>
      </c>
      <c r="I1524" s="241">
        <f t="shared" ref="I1524:I1585" ca="1" si="362">IF(G1524&lt;=TODAY(), 1, 0)</f>
        <v>1</v>
      </c>
      <c r="J1524" s="241"/>
      <c r="K1524" s="241"/>
      <c r="L1524" s="238"/>
    </row>
    <row r="1525" spans="2:12" outlineLevel="1">
      <c r="B1525" s="237" t="s">
        <v>195</v>
      </c>
      <c r="C1525" s="237" t="s">
        <v>195</v>
      </c>
      <c r="D1525" s="238" t="str">
        <f>_xlfn.XLOOKUP(B1525,'Relacion '!$E:$E,'Relacion '!$D:$D,"")</f>
        <v/>
      </c>
      <c r="E1525" s="239">
        <f t="shared" si="350"/>
        <v>4</v>
      </c>
      <c r="F1525" s="240" cm="1">
        <f t="array" ref="F1525">MIN(INDEX('Relacion '!$Z$5:$AA$493,MATCH(INDEX($B:$B, (ROW()-2)),'Relacion '!$E$5:$E$493,0),0))</f>
        <v>46034</v>
      </c>
      <c r="G1525" s="240" cm="1">
        <f t="array" ref="G1525">MAX(INDEX('Relacion '!$Z$5:$AA$493,MATCH(INDEX($B:$B, (ROW()-2)),'Relacion '!$E$5:$E$493,0),0))</f>
        <v>46038</v>
      </c>
      <c r="H1525" s="241" cm="1">
        <f t="array" ref="H1525">IF(
 MATCH(B1525,{"01. ASIGNACION AREA";"02. MAPEO";"03. DESARROLLO";"04. VALIDA US";"05. VOBO US";"06. BW-EJECUCION";"07. VALIDACIÓN BAJAWARE";"08. CERRADA"},0)
 &lt;
 MATCH(_xlfn.XLOOKUP(INDEX($B:$B, (ROW()-2)),'Relacion '!$E:$E,'Relacion '!$D:$D,""),{"01. ASIGNACION AREA";"02. MAPEO";"03. DESARROLLO";"04. VALIDA US";"05. VOBO US";"06. BW-EJECUCION";"07. VALIDACIÓN BAJAWARE";"08. CERRADA"},0),
 1,
 IF(
  MATCH(B1525,{"01. ASIGNACION AREA";"02. MAPEO";"03. DESARROLLO";"04. VALIDA US";"05. VOBO US";"06. BW-EJECUCION";"07. VALIDACIÓN BAJAWARE";"08. CERRADA"},0)
  =
  MATCH(_xlfn.XLOOKUP(INDEX($B:$B, (ROW()-2)),'Relacion '!$E:$E,'Relacion '!$D:$D,""),{"01. ASIGNACION AREA";"02. MAPEO";"03. DESARROLLO";"04. VALIDA US";"05. VOBO US";"06. BW-EJECUCION";"07. VALIDACIÓN BAJAWARE";"08. CERRADA"},0),
  _xlfn.XLOOKUP(INDEX($B:$B, (ROW()-2)),'Relacion '!$E:$E,'Relacion '!#REF!,0),
  0
 )
)</f>
        <v>1</v>
      </c>
      <c r="I1525" s="241">
        <f t="shared" ca="1" si="362"/>
        <v>1</v>
      </c>
      <c r="J1525" s="241"/>
      <c r="K1525" s="241"/>
      <c r="L1525" s="238"/>
    </row>
    <row r="1526" spans="2:12" outlineLevel="1">
      <c r="B1526" s="237" t="s">
        <v>49</v>
      </c>
      <c r="C1526" s="237" t="s">
        <v>49</v>
      </c>
      <c r="D1526" s="238" t="str">
        <f>_xlfn.XLOOKUP(B1526,'Relacion '!$E:$E,'Relacion '!$D:$D,"")</f>
        <v/>
      </c>
      <c r="E1526" s="239">
        <f t="shared" si="350"/>
        <v>4</v>
      </c>
      <c r="F1526" s="240" cm="1">
        <f t="array" ref="F1526">MIN(INDEX('Relacion '!$AB$5:$AC$493,MATCH(INDEX($B:$B, (ROW()-3)),'Relacion '!$E$5:$E$493,0),0))</f>
        <v>46041</v>
      </c>
      <c r="G1526" s="240" cm="1">
        <f t="array" ref="G1526">MAX(INDEX('Relacion '!$AB$5:$AC$493,MATCH(INDEX($B:$B, (ROW()-3)),'Relacion '!$E$5:$E$493,0),0))</f>
        <v>46045</v>
      </c>
      <c r="H1526" s="241" cm="1">
        <f t="array" ref="H1526">IF(
 MATCH(B1526,{"01. ASIGNACION AREA";"02. MAPEO";"03. DESARROLLO";"04. VALIDA US";"05. VOBO US";"06. BW-EJECUCION";"07. VALIDACIÓN BAJAWARE";"08. CERRADA"},0)
 &lt;
 MATCH(_xlfn.XLOOKUP(INDEX($B:$B, (ROW()-3)),'Relacion '!$E:$E,'Relacion '!$D:$D,""),{"01. ASIGNACION AREA";"02. MAPEO";"03. DESARROLLO";"04. VALIDA US";"05. VOBO US";"06. BW-EJECUCION";"07. VALIDACIÓN BAJAWARE";"08. CERRADA"},0),
 1,
 IF(
  MATCH(B1526,{"01. ASIGNACION AREA";"02. MAPEO";"03. DESARROLLO";"04. VALIDA US";"05. VOBO US";"06. BW-EJECUCION";"07. VALIDACIÓN BAJAWARE";"08. CERRADA"},0)
  =
  MATCH(_xlfn.XLOOKUP(INDEX($B:$B, (ROW()-3)),'Relacion '!$E:$E,'Relacion '!$D:$D,""),{"01. ASIGNACION AREA";"02. MAPEO";"03. DESARROLLO";"04. VALIDA US";"05. VOBO US";"06. BW-EJECUCION";"07. VALIDACIÓN BAJAWARE";"08. CERRADA"},0),
  _xlfn.XLOOKUP(INDEX($B:$B, (ROW()-3)),'Relacion '!$E:$E,'Relacion '!#REF!,0),
  0
 )
)</f>
        <v>1</v>
      </c>
      <c r="I1526" s="241">
        <f t="shared" ca="1" si="362"/>
        <v>1</v>
      </c>
      <c r="J1526" s="241"/>
      <c r="K1526" s="241"/>
      <c r="L1526" s="238"/>
    </row>
    <row r="1527" spans="2:12" outlineLevel="1">
      <c r="B1527" s="237" t="s">
        <v>324</v>
      </c>
      <c r="C1527" s="237" t="s">
        <v>324</v>
      </c>
      <c r="D1527" s="238" t="str">
        <f>_xlfn.XLOOKUP(B1527,'Relacion '!$E:$E,'Relacion '!$D:$D,"")</f>
        <v/>
      </c>
      <c r="E1527" s="239">
        <f t="shared" si="350"/>
        <v>4</v>
      </c>
      <c r="F1527" s="240" cm="1">
        <f t="array" ref="F1527">MIN(INDEX('Relacion '!$AD$5:$AE$493,MATCH(INDEX($B:$B, (ROW()-4)),'Relacion '!$E$5:$E$493,0),0))</f>
        <v>46048</v>
      </c>
      <c r="G1527" s="240" cm="1">
        <f t="array" ref="G1527">MAX(INDEX('Relacion '!$AD$5:$AE$493,MATCH(INDEX($B:$B, (ROW()-4)),'Relacion '!$E$5:$E$493,0),0))</f>
        <v>46052</v>
      </c>
      <c r="H1527" s="241" cm="1">
        <f t="array" ref="H1527">IF(
 MATCH(B1527,{"01. ASIGNACION AREA";"02. MAPEO";"03. DESARROLLO";"04. VALIDA US";"05. VOBO US";"06. BW-EJECUCION";"07. VALIDACIÓN BAJAWARE";"08. CERRADA"},0)
 &lt;
 MATCH(_xlfn.XLOOKUP(INDEX($B:$B, (ROW()-4)),'Relacion '!$E:$E,'Relacion '!$D:$D,""),{"01. ASIGNACION AREA";"02. MAPEO";"03. DESARROLLO";"04. VALIDA US";"05. VOBO US";"06. BW-EJECUCION";"07. VALIDACIÓN BAJAWARE";"08. CERRADA"},0),
 1,
 IF(
  MATCH(B1527,{"01. ASIGNACION AREA";"02. MAPEO";"03. DESARROLLO";"04. VALIDA US";"05. VOBO US";"06. BW-EJECUCION";"07. VALIDACIÓN BAJAWARE";"08. CERRADA"},0)
  =
  MATCH(_xlfn.XLOOKUP(INDEX($B:$B, (ROW()-4)),'Relacion '!$E:$E,'Relacion '!$D:$D,""),{"01. ASIGNACION AREA";"02. MAPEO";"03. DESARROLLO";"04. VALIDA US";"05. VOBO US";"06. BW-EJECUCION";"07. VALIDACIÓN BAJAWARE";"08. CERRADA"},0),
  _xlfn.XLOOKUP(INDEX($B:$B, (ROW()-4)),'Relacion '!$E:$E,'Relacion '!#REF!,0),
  0
 )
)</f>
        <v>1</v>
      </c>
      <c r="I1527" s="241">
        <f t="shared" ca="1" si="362"/>
        <v>1</v>
      </c>
      <c r="J1527" s="241"/>
      <c r="K1527" s="241"/>
      <c r="L1527" s="238"/>
    </row>
    <row r="1528" spans="2:12" outlineLevel="1">
      <c r="B1528" s="237" t="s">
        <v>320</v>
      </c>
      <c r="C1528" s="237" t="s">
        <v>320</v>
      </c>
      <c r="D1528" s="238" t="str">
        <f>_xlfn.XLOOKUP(B1528,'Relacion '!$E:$E,'Relacion '!$D:$D,"")</f>
        <v/>
      </c>
      <c r="E1528" s="239">
        <f t="shared" si="350"/>
        <v>7</v>
      </c>
      <c r="F1528" s="240" cm="1">
        <f t="array" ref="F1528">MIN(INDEX('Relacion '!$AF$5:$AG$493,MATCH(INDEX($B:$B, (ROW()-5)),'Relacion '!$E$5:$E$493,0),0))</f>
        <v>46055</v>
      </c>
      <c r="G1528" s="240" cm="1">
        <f t="array" ref="G1528">MAX(INDEX('Relacion '!$AF$5:$AG$493,MATCH(INDEX($B:$B, (ROW()-5)),'Relacion '!$E$5:$E$493,0),0))</f>
        <v>46062</v>
      </c>
      <c r="H1528" s="241" cm="1">
        <f t="array" ref="H1528">IF(
 MATCH(B1528,{"01. ASIGNACION AREA";"02. MAPEO";"03. DESARROLLO";"04. VALIDA US";"05. VOBO US";"06. BW-EJECUCION";"07. VALIDACIÓN BAJAWARE";"08. CERRADA"},0)
 &lt;
 MATCH(_xlfn.XLOOKUP(INDEX($B:$B, (ROW()-5)),'Relacion '!$E:$E,'Relacion '!$D:$D,""),{"01. ASIGNACION AREA";"02. MAPEO";"03. DESARROLLO";"04. VALIDA US";"05. VOBO US";"06. BW-EJECUCION";"07. VALIDACIÓN BAJAWARE";"08. CERRADA"},0),
 1,
 IF(
  MATCH(B1528,{"01. ASIGNACION AREA";"02. MAPEO";"03. DESARROLLO";"04. VALIDA US";"05. VOBO US";"06. BW-EJECUCION";"07. VALIDACIÓN BAJAWARE";"08. CERRADA"},0)
  =
  MATCH(_xlfn.XLOOKUP(INDEX($B:$B, (ROW()-5)),'Relacion '!$E:$E,'Relacion '!$D:$D,""),{"01. ASIGNACION AREA";"02. MAPEO";"03. DESARROLLO";"04. VALIDA US";"05. VOBO US";"06. BW-EJECUCION";"07. VALIDACIÓN BAJAWARE";"08. CERRADA"},0),
  _xlfn.XLOOKUP(INDEX($B:$B, (ROW()-5)),'Relacion '!$E:$E,'Relacion '!#REF!,0),
  0
 )
)</f>
        <v>1</v>
      </c>
      <c r="I1528" s="241">
        <f t="shared" ca="1" si="362"/>
        <v>1</v>
      </c>
      <c r="J1528" s="241"/>
      <c r="K1528" s="241"/>
      <c r="L1528" s="238"/>
    </row>
    <row r="1529" spans="2:12" outlineLevel="1">
      <c r="B1529" s="237" t="s">
        <v>710</v>
      </c>
      <c r="C1529" s="237" t="s">
        <v>710</v>
      </c>
      <c r="D1529" s="238" t="str">
        <f>_xlfn.XLOOKUP(B1529,'Relacion '!$E:$E,'Relacion '!$D:$D,"")</f>
        <v/>
      </c>
      <c r="E1529" s="239">
        <f t="shared" si="350"/>
        <v>25</v>
      </c>
      <c r="F1529" s="240" cm="1">
        <f t="array" ref="F1529">MIN(INDEX('Relacion '!$AH$5:$AI$493,MATCH(INDEX($B:$B, (ROW()-6)),'Relacion '!$E$5:$E$493,0),0))</f>
        <v>46076</v>
      </c>
      <c r="G1529" s="240" cm="1">
        <f t="array" ref="G1529">MAX(INDEX('Relacion '!$AH$5:$AI$493,MATCH(INDEX($B:$B, (ROW()-6)),'Relacion '!$E$5:$E$493,0),0))</f>
        <v>46101</v>
      </c>
      <c r="H1529" s="241" t="e" cm="1">
        <f t="array" ref="H1529">IF(
 MATCH(B1529,{"01. ASIGNACION AREA";"02. MAPEO";"03. DESARROLLO";"04. VALIDA US";"05. VOBO US";"06. BW-EJECUCION";"07. VALIDACIÓN BAJAWARE";"08. CERRADA"},0)
 &lt;
 MATCH(_xlfn.XLOOKUP(INDEX($B:$B, (ROW()-6)),'Relacion '!$E:$E,'Relacion '!$D:$D,""),{"01. ASIGNACION AREA";"02. MAPEO";"03. DESARROLLO";"04. VALIDA US";"05. VOBO US";"06. BW-EJECUCION";"07. VALIDACIÓN BAJAWARE";"08. CERRADA"},0),
 1,
 IF(
  MATCH(B1529,{"01. ASIGNACION AREA";"02. MAPEO";"03. DESARROLLO";"04. VALIDA US";"05. VOBO US";"06. BW-EJECUCION";"07. VALIDACIÓN BAJAWARE";"08. CERRADA"},0)
  =
  MATCH(_xlfn.XLOOKUP(INDEX($B:$B, (ROW()-6)),'Relacion '!$E:$E,'Relacion '!$D:$D,""),{"01. ASIGNACION AREA";"02. MAPEO";"03. DESARROLLO";"04. VALIDA US";"05. VOBO US";"06. BW-EJECUCION";"07. VALIDACIÓN BAJAWARE";"08. CERRADA"},0),
  _xlfn.XLOOKUP(INDEX($B:$B, (ROW()-6)),'Relacion '!$E:$E,'Relacion '!#REF!,0),
  0
 )
)</f>
        <v>#REF!</v>
      </c>
      <c r="I1529" s="241">
        <f t="shared" ca="1" si="362"/>
        <v>1</v>
      </c>
      <c r="J1529" s="241"/>
      <c r="K1529" s="241"/>
      <c r="L1529" s="238"/>
    </row>
    <row r="1530" spans="2:12" outlineLevel="1">
      <c r="B1530" s="237" t="s">
        <v>655</v>
      </c>
      <c r="C1530" s="237" t="s">
        <v>655</v>
      </c>
      <c r="D1530" s="238" t="str">
        <f>_xlfn.XLOOKUP(B1530,'Relacion '!$E:$E,'Relacion '!$D:$D,"")</f>
        <v/>
      </c>
      <c r="E1530" s="239">
        <f t="shared" si="350"/>
        <v>25</v>
      </c>
      <c r="F1530" s="240" cm="1">
        <f t="array" ref="F1530">MIN(INDEX('Relacion '!$AJ$5:$AK$493,MATCH(INDEX($B:$B, (ROW()-7)),'Relacion '!$E$5:$E$493,0),0))</f>
        <v>46104</v>
      </c>
      <c r="G1530" s="240" cm="1">
        <f t="array" ref="G1530">MAX(INDEX('Relacion '!$AJ$5:$AK$493,MATCH(INDEX($B:$B, (ROW()-7)),'Relacion '!$E$5:$E$493,0),0))</f>
        <v>46129</v>
      </c>
      <c r="H1530" s="241" cm="1">
        <f t="array" ref="H1530">IF(
 MATCH(B1530,{"01. ASIGNACION AREA";"02. MAPEO";"03. DESARROLLO";"04. VALIDA US";"05. VOBO US";"06. BW-EJECUCION";"07. VALIDACIÓN BAJAWARE";"08. CERRADA"},0)
 &lt;
 MATCH(_xlfn.XLOOKUP(INDEX($B:$B, (ROW()-7)),'Relacion '!$E:$E,'Relacion '!$D:$D,""),{"01. ASIGNACION AREA";"02. MAPEO";"03. DESARROLLO";"04. VALIDA US";"05. VOBO US";"06. BW-EJECUCION";"07. VALIDACIÓN BAJAWARE";"08. CERRADA"},0),
 1,
 IF(
  MATCH(B1530,{"01. ASIGNACION AREA";"02. MAPEO";"03. DESARROLLO";"04. VALIDA US";"05. VOBO US";"06. BW-EJECUCION";"07. VALIDACIÓN BAJAWARE";"08. CERRADA"},0)
  =
  MATCH(_xlfn.XLOOKUP(INDEX($B:$B, (ROW()-7)),'Relacion '!$E:$E,'Relacion '!$D:$D,""),{"01. ASIGNACION AREA";"02. MAPEO";"03. DESARROLLO";"04. VALIDA US";"05. VOBO US";"06. BW-EJECUCION";"07. VALIDACIÓN BAJAWARE";"08. CERRADA"},0),
  _xlfn.XLOOKUP(INDEX($B:$B, (ROW()-7)),'Relacion '!$E:$E,'Relacion '!#REF!,0),
  0
 )
)</f>
        <v>0</v>
      </c>
      <c r="I1530" s="241">
        <f t="shared" ca="1" si="362"/>
        <v>1</v>
      </c>
      <c r="J1530" s="241"/>
      <c r="K1530" s="241"/>
      <c r="L1530" s="238"/>
    </row>
    <row r="1531" spans="2:12" outlineLevel="1">
      <c r="B1531" s="237" t="s">
        <v>656</v>
      </c>
      <c r="C1531" s="237" t="s">
        <v>656</v>
      </c>
      <c r="D1531" s="238" t="str">
        <f>_xlfn.XLOOKUP(B1531,'Relacion '!$E:$E,'Relacion '!$D:$D,"")</f>
        <v/>
      </c>
      <c r="E1531" s="239">
        <f t="shared" si="350"/>
        <v>0</v>
      </c>
      <c r="F1531" s="240" cm="1">
        <f t="array" ref="F1531">MIN(INDEX('Relacion '!$AL$5:$AM$493,MATCH(INDEX($B:$B, (ROW()-8)),'Relacion '!$E$5:$E$493,0),0))</f>
        <v>46130</v>
      </c>
      <c r="G1531" s="240" cm="1">
        <f t="array" ref="G1531">MAX(INDEX('Relacion '!$AL$5:$AM$493,MATCH(INDEX($B:$B, (ROW()-8)),'Relacion '!$E$5:$E$493,0),0))</f>
        <v>46130</v>
      </c>
      <c r="H1531" s="241" cm="1">
        <f t="array" ref="H1531">IF(
 MATCH(B1531,{"01. ASIGNACION AREA";"02. MAPEO";"03. DESARROLLO";"04. VALIDA US";"05. VOBO US";"06. BW-EJECUCION";"07. VALIDACIÓN BAJAWARE";"08. CERRADA"},0)
 &lt;
 MATCH(_xlfn.XLOOKUP(INDEX($B:$B, (ROW()-8)),'Relacion '!$E:$E,'Relacion '!$D:$D,""),{"01. ASIGNACION AREA";"02. MAPEO";"03. DESARROLLO";"04. VALIDA US";"05. VOBO US";"06. BW-EJECUCION";"07. VALIDACIÓN BAJAWARE";"08. CERRADA"},0),
 1,
 IF(
  MATCH(B1531,{"01. ASIGNACION AREA";"02. MAPEO";"03. DESARROLLO";"04. VALIDA US";"05. VOBO US";"06. BW-EJECUCION";"07. VALIDACIÓN BAJAWARE";"08. CERRADA"},0)
  =
  MATCH(_xlfn.XLOOKUP(INDEX($B:$B, (ROW()-8)),'Relacion '!$E:$E,'Relacion '!$D:$D,""),{"01. ASIGNACION AREA";"02. MAPEO";"03. DESARROLLO";"04. VALIDA US";"05. VOBO US";"06. BW-EJECUCION";"07. VALIDACIÓN BAJAWARE";"08. CERRADA"},0),
  _xlfn.XLOOKUP(INDEX($B:$B, (ROW()-8)),'Relacion '!$E:$E,'Relacion '!#REF!,0),
  0
 )
)</f>
        <v>0</v>
      </c>
      <c r="I1531" s="241">
        <f t="shared" ca="1" si="362"/>
        <v>1</v>
      </c>
      <c r="J1531" s="241"/>
      <c r="K1531" s="241"/>
      <c r="L1531" s="238"/>
    </row>
    <row r="1532" spans="2:12">
      <c r="B1532" s="232" t="s">
        <v>599</v>
      </c>
      <c r="C1532" s="167" t="s">
        <v>590</v>
      </c>
      <c r="D1532" s="236" t="str">
        <f>_xlfn.XLOOKUP(B1532,'Relacion '!$E:$E,'Relacion '!$D:$D,"")</f>
        <v>06. BW-EJECUCION</v>
      </c>
      <c r="E1532" s="233">
        <f t="shared" si="350"/>
        <v>471</v>
      </c>
      <c r="F1532" s="234" cm="1">
        <f t="array" ref="F1532">MIN(INDEX('Relacion '!$X$5:$AM$493,MATCH(INDEX($B:$B, (ROW()-0)),'Relacion '!$E$5:$E$493,0),0))</f>
        <v>45659</v>
      </c>
      <c r="G1532" s="234" cm="1">
        <f t="array" ref="G1532">MAX(INDEX('Relacion '!$X$5:$AM$493,MATCH(INDEX($B:$B, (ROW()-0)),'Relacion '!$E$5:$E$493,0),0))</f>
        <v>46130</v>
      </c>
      <c r="H1532" s="235" t="e">
        <f>AVERAGE(H1533:H1540)</f>
        <v>#REF!</v>
      </c>
      <c r="I1532" s="235">
        <f t="shared" ref="I1532" ca="1" si="363">AVERAGE(I1533:I1540)</f>
        <v>1</v>
      </c>
      <c r="J1532" s="236" t="str">
        <f>IF(ISNUMBER(SEARCH("Rocha", _xlfn.XLOOKUP(B1532,'Relacion '!$E:$E,'Relacion '!$I:$I,""))), "Sí", "No")</f>
        <v>No</v>
      </c>
      <c r="K1532" s="236" t="str">
        <f>IF(ISNUMBER(SEARCH("Rocha", _xlfn.XLOOKUP(B1532,'Relacion '!$E:$E,'Relacion '!$I:$I,""))), "RMC", _xlfn.XLOOKUP(B1532,'Relacion '!$E:$E,'Relacion '!$B:$B,""))</f>
        <v>Producto</v>
      </c>
      <c r="L1532" s="236" t="str">
        <f>_xlfn.XLOOKUP(B1532,'Relacion '!$E:$E,'Relacion '!$C:$C,"")</f>
        <v>Claudia Barroso</v>
      </c>
    </row>
    <row r="1533" spans="2:12" outlineLevel="1">
      <c r="B1533" s="237" t="s">
        <v>654</v>
      </c>
      <c r="C1533" s="237" t="s">
        <v>654</v>
      </c>
      <c r="D1533" s="238" t="str">
        <f>_xlfn.XLOOKUP(B1533,'Relacion '!$E:$E,'Relacion '!$D:$D,"")</f>
        <v/>
      </c>
      <c r="E1533" s="239">
        <f t="shared" si="350"/>
        <v>424</v>
      </c>
      <c r="F1533" s="240" cm="1">
        <f t="array" ref="F1533">MIN(INDEX('Relacion '!$X$5:$Y$493,MATCH(INDEX($B:$B, (ROW()-1)),'Relacion '!$E$5:$E$493,0),0))</f>
        <v>45659</v>
      </c>
      <c r="G1533" s="240" cm="1">
        <f t="array" ref="G1533">MAX(INDEX('Relacion '!$X$5:$Y$493,MATCH(INDEX($B:$B, (ROW()-1)),'Relacion '!$E$5:$E$493,0),0))</f>
        <v>46083</v>
      </c>
      <c r="H1533" s="241" cm="1">
        <f t="array" ref="H1533">IF(
 MATCH(B1533,{"01. ASIGNACION AREA";"02. MAPEO";"03. DESARROLLO";"04. VALIDA US";"05. VOBO US";"06. BW-EJECUCION";"07. VALIDACIÓN BAJAWARE";"08. CERRADA"},0)
 &lt;
 MATCH(_xlfn.XLOOKUP(INDEX($B:$B, (ROW()-1)),'Relacion '!$E:$E,'Relacion '!$D:$D,""),{"01. ASIGNACION AREA";"02. MAPEO";"03. DESARROLLO";"04. VALIDA US";"05. VOBO US";"06. BW-EJECUCION";"07. VALIDACIÓN BAJAWARE";"08. CERRADA"},0),
 1,
 IF(
  MATCH(B1533,{"01. ASIGNACION AREA";"02. MAPEO";"03. DESARROLLO";"04. VALIDA US";"05. VOBO US";"06. BW-EJECUCION";"07. VALIDACIÓN BAJAWARE";"08. CERRADA"},0)
  =
  MATCH(_xlfn.XLOOKUP(INDEX($B:$B, (ROW()-1)),'Relacion '!$E:$E,'Relacion '!$D:$D,""),{"01. ASIGNACION AREA";"02. MAPEO";"03. DESARROLLO";"04. VALIDA US";"05. VOBO US";"06. BW-EJECUCION";"07. VALIDACIÓN BAJAWARE";"08. CERRADA"},0),
  _xlfn.XLOOKUP(INDEX($B:$B, (ROW()-1)),'Relacion '!$E:$E,'Relacion '!#REF!,0),
  0
 )
)</f>
        <v>1</v>
      </c>
      <c r="I1533" s="241">
        <f t="shared" ref="I1533" ca="1" si="364">IF(G1533&lt;=TODAY(), 1, 0)</f>
        <v>1</v>
      </c>
      <c r="J1533" s="241"/>
      <c r="K1533" s="241"/>
      <c r="L1533" s="238"/>
    </row>
    <row r="1534" spans="2:12" outlineLevel="1">
      <c r="B1534" s="237" t="s">
        <v>195</v>
      </c>
      <c r="C1534" s="237" t="s">
        <v>195</v>
      </c>
      <c r="D1534" s="238" t="str">
        <f>_xlfn.XLOOKUP(B1534,'Relacion '!$E:$E,'Relacion '!$D:$D,"")</f>
        <v/>
      </c>
      <c r="E1534" s="239">
        <f t="shared" si="350"/>
        <v>4</v>
      </c>
      <c r="F1534" s="240" cm="1">
        <f t="array" ref="F1534">MIN(INDEX('Relacion '!$Z$5:$AA$493,MATCH(INDEX($B:$B, (ROW()-2)),'Relacion '!$E$5:$E$493,0),0))</f>
        <v>46034</v>
      </c>
      <c r="G1534" s="240" cm="1">
        <f t="array" ref="G1534">MAX(INDEX('Relacion '!$Z$5:$AA$493,MATCH(INDEX($B:$B, (ROW()-2)),'Relacion '!$E$5:$E$493,0),0))</f>
        <v>46038</v>
      </c>
      <c r="H1534" s="241" cm="1">
        <f t="array" ref="H1534">IF(
 MATCH(B1534,{"01. ASIGNACION AREA";"02. MAPEO";"03. DESARROLLO";"04. VALIDA US";"05. VOBO US";"06. BW-EJECUCION";"07. VALIDACIÓN BAJAWARE";"08. CERRADA"},0)
 &lt;
 MATCH(_xlfn.XLOOKUP(INDEX($B:$B, (ROW()-2)),'Relacion '!$E:$E,'Relacion '!$D:$D,""),{"01. ASIGNACION AREA";"02. MAPEO";"03. DESARROLLO";"04. VALIDA US";"05. VOBO US";"06. BW-EJECUCION";"07. VALIDACIÓN BAJAWARE";"08. CERRADA"},0),
 1,
 IF(
  MATCH(B1534,{"01. ASIGNACION AREA";"02. MAPEO";"03. DESARROLLO";"04. VALIDA US";"05. VOBO US";"06. BW-EJECUCION";"07. VALIDACIÓN BAJAWARE";"08. CERRADA"},0)
  =
  MATCH(_xlfn.XLOOKUP(INDEX($B:$B, (ROW()-2)),'Relacion '!$E:$E,'Relacion '!$D:$D,""),{"01. ASIGNACION AREA";"02. MAPEO";"03. DESARROLLO";"04. VALIDA US";"05. VOBO US";"06. BW-EJECUCION";"07. VALIDACIÓN BAJAWARE";"08. CERRADA"},0),
  _xlfn.XLOOKUP(INDEX($B:$B, (ROW()-2)),'Relacion '!$E:$E,'Relacion '!#REF!,0),
  0
 )
)</f>
        <v>1</v>
      </c>
      <c r="I1534" s="241">
        <f t="shared" ca="1" si="362"/>
        <v>1</v>
      </c>
      <c r="J1534" s="241"/>
      <c r="K1534" s="241"/>
      <c r="L1534" s="238"/>
    </row>
    <row r="1535" spans="2:12" outlineLevel="1">
      <c r="B1535" s="237" t="s">
        <v>49</v>
      </c>
      <c r="C1535" s="237" t="s">
        <v>49</v>
      </c>
      <c r="D1535" s="238" t="str">
        <f>_xlfn.XLOOKUP(B1535,'Relacion '!$E:$E,'Relacion '!$D:$D,"")</f>
        <v/>
      </c>
      <c r="E1535" s="239">
        <f t="shared" si="350"/>
        <v>4</v>
      </c>
      <c r="F1535" s="240" cm="1">
        <f t="array" ref="F1535">MIN(INDEX('Relacion '!$AB$5:$AC$493,MATCH(INDEX($B:$B, (ROW()-3)),'Relacion '!$E$5:$E$493,0),0))</f>
        <v>46041</v>
      </c>
      <c r="G1535" s="240" cm="1">
        <f t="array" ref="G1535">MAX(INDEX('Relacion '!$AB$5:$AC$493,MATCH(INDEX($B:$B, (ROW()-3)),'Relacion '!$E$5:$E$493,0),0))</f>
        <v>46045</v>
      </c>
      <c r="H1535" s="241" cm="1">
        <f t="array" ref="H1535">IF(
 MATCH(B1535,{"01. ASIGNACION AREA";"02. MAPEO";"03. DESARROLLO";"04. VALIDA US";"05. VOBO US";"06. BW-EJECUCION";"07. VALIDACIÓN BAJAWARE";"08. CERRADA"},0)
 &lt;
 MATCH(_xlfn.XLOOKUP(INDEX($B:$B, (ROW()-3)),'Relacion '!$E:$E,'Relacion '!$D:$D,""),{"01. ASIGNACION AREA";"02. MAPEO";"03. DESARROLLO";"04. VALIDA US";"05. VOBO US";"06. BW-EJECUCION";"07. VALIDACIÓN BAJAWARE";"08. CERRADA"},0),
 1,
 IF(
  MATCH(B1535,{"01. ASIGNACION AREA";"02. MAPEO";"03. DESARROLLO";"04. VALIDA US";"05. VOBO US";"06. BW-EJECUCION";"07. VALIDACIÓN BAJAWARE";"08. CERRADA"},0)
  =
  MATCH(_xlfn.XLOOKUP(INDEX($B:$B, (ROW()-3)),'Relacion '!$E:$E,'Relacion '!$D:$D,""),{"01. ASIGNACION AREA";"02. MAPEO";"03. DESARROLLO";"04. VALIDA US";"05. VOBO US";"06. BW-EJECUCION";"07. VALIDACIÓN BAJAWARE";"08. CERRADA"},0),
  _xlfn.XLOOKUP(INDEX($B:$B, (ROW()-3)),'Relacion '!$E:$E,'Relacion '!#REF!,0),
  0
 )
)</f>
        <v>1</v>
      </c>
      <c r="I1535" s="241">
        <f t="shared" ca="1" si="362"/>
        <v>1</v>
      </c>
      <c r="J1535" s="241"/>
      <c r="K1535" s="241"/>
      <c r="L1535" s="238"/>
    </row>
    <row r="1536" spans="2:12" outlineLevel="1">
      <c r="B1536" s="237" t="s">
        <v>324</v>
      </c>
      <c r="C1536" s="237" t="s">
        <v>324</v>
      </c>
      <c r="D1536" s="238" t="str">
        <f>_xlfn.XLOOKUP(B1536,'Relacion '!$E:$E,'Relacion '!$D:$D,"")</f>
        <v/>
      </c>
      <c r="E1536" s="239">
        <f t="shared" si="350"/>
        <v>4</v>
      </c>
      <c r="F1536" s="240" cm="1">
        <f t="array" ref="F1536">MIN(INDEX('Relacion '!$AD$5:$AE$493,MATCH(INDEX($B:$B, (ROW()-4)),'Relacion '!$E$5:$E$493,0),0))</f>
        <v>46048</v>
      </c>
      <c r="G1536" s="240" cm="1">
        <f t="array" ref="G1536">MAX(INDEX('Relacion '!$AD$5:$AE$493,MATCH(INDEX($B:$B, (ROW()-4)),'Relacion '!$E$5:$E$493,0),0))</f>
        <v>46052</v>
      </c>
      <c r="H1536" s="241" cm="1">
        <f t="array" ref="H1536">IF(
 MATCH(B1536,{"01. ASIGNACION AREA";"02. MAPEO";"03. DESARROLLO";"04. VALIDA US";"05. VOBO US";"06. BW-EJECUCION";"07. VALIDACIÓN BAJAWARE";"08. CERRADA"},0)
 &lt;
 MATCH(_xlfn.XLOOKUP(INDEX($B:$B, (ROW()-4)),'Relacion '!$E:$E,'Relacion '!$D:$D,""),{"01. ASIGNACION AREA";"02. MAPEO";"03. DESARROLLO";"04. VALIDA US";"05. VOBO US";"06. BW-EJECUCION";"07. VALIDACIÓN BAJAWARE";"08. CERRADA"},0),
 1,
 IF(
  MATCH(B1536,{"01. ASIGNACION AREA";"02. MAPEO";"03. DESARROLLO";"04. VALIDA US";"05. VOBO US";"06. BW-EJECUCION";"07. VALIDACIÓN BAJAWARE";"08. CERRADA"},0)
  =
  MATCH(_xlfn.XLOOKUP(INDEX($B:$B, (ROW()-4)),'Relacion '!$E:$E,'Relacion '!$D:$D,""),{"01. ASIGNACION AREA";"02. MAPEO";"03. DESARROLLO";"04. VALIDA US";"05. VOBO US";"06. BW-EJECUCION";"07. VALIDACIÓN BAJAWARE";"08. CERRADA"},0),
  _xlfn.XLOOKUP(INDEX($B:$B, (ROW()-4)),'Relacion '!$E:$E,'Relacion '!#REF!,0),
  0
 )
)</f>
        <v>1</v>
      </c>
      <c r="I1536" s="241">
        <f t="shared" ca="1" si="362"/>
        <v>1</v>
      </c>
      <c r="J1536" s="241"/>
      <c r="K1536" s="241"/>
      <c r="L1536" s="238"/>
    </row>
    <row r="1537" spans="2:12" outlineLevel="1">
      <c r="B1537" s="237" t="s">
        <v>320</v>
      </c>
      <c r="C1537" s="237" t="s">
        <v>320</v>
      </c>
      <c r="D1537" s="238" t="str">
        <f>_xlfn.XLOOKUP(B1537,'Relacion '!$E:$E,'Relacion '!$D:$D,"")</f>
        <v/>
      </c>
      <c r="E1537" s="239">
        <f t="shared" si="350"/>
        <v>7</v>
      </c>
      <c r="F1537" s="240" cm="1">
        <f t="array" ref="F1537">MIN(INDEX('Relacion '!$AF$5:$AG$493,MATCH(INDEX($B:$B, (ROW()-5)),'Relacion '!$E$5:$E$493,0),0))</f>
        <v>46055</v>
      </c>
      <c r="G1537" s="240" cm="1">
        <f t="array" ref="G1537">MAX(INDEX('Relacion '!$AF$5:$AG$493,MATCH(INDEX($B:$B, (ROW()-5)),'Relacion '!$E$5:$E$493,0),0))</f>
        <v>46062</v>
      </c>
      <c r="H1537" s="241" cm="1">
        <f t="array" ref="H1537">IF(
 MATCH(B1537,{"01. ASIGNACION AREA";"02. MAPEO";"03. DESARROLLO";"04. VALIDA US";"05. VOBO US";"06. BW-EJECUCION";"07. VALIDACIÓN BAJAWARE";"08. CERRADA"},0)
 &lt;
 MATCH(_xlfn.XLOOKUP(INDEX($B:$B, (ROW()-5)),'Relacion '!$E:$E,'Relacion '!$D:$D,""),{"01. ASIGNACION AREA";"02. MAPEO";"03. DESARROLLO";"04. VALIDA US";"05. VOBO US";"06. BW-EJECUCION";"07. VALIDACIÓN BAJAWARE";"08. CERRADA"},0),
 1,
 IF(
  MATCH(B1537,{"01. ASIGNACION AREA";"02. MAPEO";"03. DESARROLLO";"04. VALIDA US";"05. VOBO US";"06. BW-EJECUCION";"07. VALIDACIÓN BAJAWARE";"08. CERRADA"},0)
  =
  MATCH(_xlfn.XLOOKUP(INDEX($B:$B, (ROW()-5)),'Relacion '!$E:$E,'Relacion '!$D:$D,""),{"01. ASIGNACION AREA";"02. MAPEO";"03. DESARROLLO";"04. VALIDA US";"05. VOBO US";"06. BW-EJECUCION";"07. VALIDACIÓN BAJAWARE";"08. CERRADA"},0),
  _xlfn.XLOOKUP(INDEX($B:$B, (ROW()-5)),'Relacion '!$E:$E,'Relacion '!#REF!,0),
  0
 )
)</f>
        <v>1</v>
      </c>
      <c r="I1537" s="241">
        <f t="shared" ca="1" si="362"/>
        <v>1</v>
      </c>
      <c r="J1537" s="241"/>
      <c r="K1537" s="241"/>
      <c r="L1537" s="238"/>
    </row>
    <row r="1538" spans="2:12" outlineLevel="1">
      <c r="B1538" s="237" t="s">
        <v>710</v>
      </c>
      <c r="C1538" s="237" t="s">
        <v>710</v>
      </c>
      <c r="D1538" s="238" t="str">
        <f>_xlfn.XLOOKUP(B1538,'Relacion '!$E:$E,'Relacion '!$D:$D,"")</f>
        <v/>
      </c>
      <c r="E1538" s="239">
        <f t="shared" ref="E1538:E1601" si="365">IF(OR(F1538="",G1538=""),"",G1538-F1538)</f>
        <v>25</v>
      </c>
      <c r="F1538" s="240" cm="1">
        <f t="array" ref="F1538">MIN(INDEX('Relacion '!$AH$5:$AI$493,MATCH(INDEX($B:$B, (ROW()-6)),'Relacion '!$E$5:$E$493,0),0))</f>
        <v>46076</v>
      </c>
      <c r="G1538" s="240" cm="1">
        <f t="array" ref="G1538">MAX(INDEX('Relacion '!$AH$5:$AI$493,MATCH(INDEX($B:$B, (ROW()-6)),'Relacion '!$E$5:$E$493,0),0))</f>
        <v>46101</v>
      </c>
      <c r="H1538" s="241" t="e" cm="1">
        <f t="array" ref="H1538">IF(
 MATCH(B1538,{"01. ASIGNACION AREA";"02. MAPEO";"03. DESARROLLO";"04. VALIDA US";"05. VOBO US";"06. BW-EJECUCION";"07. VALIDACIÓN BAJAWARE";"08. CERRADA"},0)
 &lt;
 MATCH(_xlfn.XLOOKUP(INDEX($B:$B, (ROW()-6)),'Relacion '!$E:$E,'Relacion '!$D:$D,""),{"01. ASIGNACION AREA";"02. MAPEO";"03. DESARROLLO";"04. VALIDA US";"05. VOBO US";"06. BW-EJECUCION";"07. VALIDACIÓN BAJAWARE";"08. CERRADA"},0),
 1,
 IF(
  MATCH(B1538,{"01. ASIGNACION AREA";"02. MAPEO";"03. DESARROLLO";"04. VALIDA US";"05. VOBO US";"06. BW-EJECUCION";"07. VALIDACIÓN BAJAWARE";"08. CERRADA"},0)
  =
  MATCH(_xlfn.XLOOKUP(INDEX($B:$B, (ROW()-6)),'Relacion '!$E:$E,'Relacion '!$D:$D,""),{"01. ASIGNACION AREA";"02. MAPEO";"03. DESARROLLO";"04. VALIDA US";"05. VOBO US";"06. BW-EJECUCION";"07. VALIDACIÓN BAJAWARE";"08. CERRADA"},0),
  _xlfn.XLOOKUP(INDEX($B:$B, (ROW()-6)),'Relacion '!$E:$E,'Relacion '!#REF!,0),
  0
 )
)</f>
        <v>#REF!</v>
      </c>
      <c r="I1538" s="241">
        <f t="shared" ca="1" si="362"/>
        <v>1</v>
      </c>
      <c r="J1538" s="241"/>
      <c r="K1538" s="241"/>
      <c r="L1538" s="238"/>
    </row>
    <row r="1539" spans="2:12" outlineLevel="1">
      <c r="B1539" s="237" t="s">
        <v>655</v>
      </c>
      <c r="C1539" s="237" t="s">
        <v>655</v>
      </c>
      <c r="D1539" s="238" t="str">
        <f>_xlfn.XLOOKUP(B1539,'Relacion '!$E:$E,'Relacion '!$D:$D,"")</f>
        <v/>
      </c>
      <c r="E1539" s="239">
        <f t="shared" si="365"/>
        <v>25</v>
      </c>
      <c r="F1539" s="240" cm="1">
        <f t="array" ref="F1539">MIN(INDEX('Relacion '!$AJ$5:$AK$493,MATCH(INDEX($B:$B, (ROW()-7)),'Relacion '!$E$5:$E$493,0),0))</f>
        <v>46104</v>
      </c>
      <c r="G1539" s="240" cm="1">
        <f t="array" ref="G1539">MAX(INDEX('Relacion '!$AJ$5:$AK$493,MATCH(INDEX($B:$B, (ROW()-7)),'Relacion '!$E$5:$E$493,0),0))</f>
        <v>46129</v>
      </c>
      <c r="H1539" s="241" cm="1">
        <f t="array" ref="H1539">IF(
 MATCH(B1539,{"01. ASIGNACION AREA";"02. MAPEO";"03. DESARROLLO";"04. VALIDA US";"05. VOBO US";"06. BW-EJECUCION";"07. VALIDACIÓN BAJAWARE";"08. CERRADA"},0)
 &lt;
 MATCH(_xlfn.XLOOKUP(INDEX($B:$B, (ROW()-7)),'Relacion '!$E:$E,'Relacion '!$D:$D,""),{"01. ASIGNACION AREA";"02. MAPEO";"03. DESARROLLO";"04. VALIDA US";"05. VOBO US";"06. BW-EJECUCION";"07. VALIDACIÓN BAJAWARE";"08. CERRADA"},0),
 1,
 IF(
  MATCH(B1539,{"01. ASIGNACION AREA";"02. MAPEO";"03. DESARROLLO";"04. VALIDA US";"05. VOBO US";"06. BW-EJECUCION";"07. VALIDACIÓN BAJAWARE";"08. CERRADA"},0)
  =
  MATCH(_xlfn.XLOOKUP(INDEX($B:$B, (ROW()-7)),'Relacion '!$E:$E,'Relacion '!$D:$D,""),{"01. ASIGNACION AREA";"02. MAPEO";"03. DESARROLLO";"04. VALIDA US";"05. VOBO US";"06. BW-EJECUCION";"07. VALIDACIÓN BAJAWARE";"08. CERRADA"},0),
  _xlfn.XLOOKUP(INDEX($B:$B, (ROW()-7)),'Relacion '!$E:$E,'Relacion '!#REF!,0),
  0
 )
)</f>
        <v>0</v>
      </c>
      <c r="I1539" s="241">
        <f t="shared" ca="1" si="362"/>
        <v>1</v>
      </c>
      <c r="J1539" s="241"/>
      <c r="K1539" s="241"/>
      <c r="L1539" s="238"/>
    </row>
    <row r="1540" spans="2:12" outlineLevel="1">
      <c r="B1540" s="237" t="s">
        <v>656</v>
      </c>
      <c r="C1540" s="237" t="s">
        <v>656</v>
      </c>
      <c r="D1540" s="238" t="str">
        <f>_xlfn.XLOOKUP(B1540,'Relacion '!$E:$E,'Relacion '!$D:$D,"")</f>
        <v/>
      </c>
      <c r="E1540" s="239">
        <f t="shared" si="365"/>
        <v>0</v>
      </c>
      <c r="F1540" s="240" cm="1">
        <f t="array" ref="F1540">MIN(INDEX('Relacion '!$AL$5:$AM$493,MATCH(INDEX($B:$B, (ROW()-8)),'Relacion '!$E$5:$E$493,0),0))</f>
        <v>46130</v>
      </c>
      <c r="G1540" s="240" cm="1">
        <f t="array" ref="G1540">MAX(INDEX('Relacion '!$AL$5:$AM$493,MATCH(INDEX($B:$B, (ROW()-8)),'Relacion '!$E$5:$E$493,0),0))</f>
        <v>46130</v>
      </c>
      <c r="H1540" s="241" cm="1">
        <f t="array" ref="H1540">IF(
 MATCH(B1540,{"01. ASIGNACION AREA";"02. MAPEO";"03. DESARROLLO";"04. VALIDA US";"05. VOBO US";"06. BW-EJECUCION";"07. VALIDACIÓN BAJAWARE";"08. CERRADA"},0)
 &lt;
 MATCH(_xlfn.XLOOKUP(INDEX($B:$B, (ROW()-8)),'Relacion '!$E:$E,'Relacion '!$D:$D,""),{"01. ASIGNACION AREA";"02. MAPEO";"03. DESARROLLO";"04. VALIDA US";"05. VOBO US";"06. BW-EJECUCION";"07. VALIDACIÓN BAJAWARE";"08. CERRADA"},0),
 1,
 IF(
  MATCH(B1540,{"01. ASIGNACION AREA";"02. MAPEO";"03. DESARROLLO";"04. VALIDA US";"05. VOBO US";"06. BW-EJECUCION";"07. VALIDACIÓN BAJAWARE";"08. CERRADA"},0)
  =
  MATCH(_xlfn.XLOOKUP(INDEX($B:$B, (ROW()-8)),'Relacion '!$E:$E,'Relacion '!$D:$D,""),{"01. ASIGNACION AREA";"02. MAPEO";"03. DESARROLLO";"04. VALIDA US";"05. VOBO US";"06. BW-EJECUCION";"07. VALIDACIÓN BAJAWARE";"08. CERRADA"},0),
  _xlfn.XLOOKUP(INDEX($B:$B, (ROW()-8)),'Relacion '!$E:$E,'Relacion '!#REF!,0),
  0
 )
)</f>
        <v>0</v>
      </c>
      <c r="I1540" s="241">
        <f t="shared" ca="1" si="362"/>
        <v>1</v>
      </c>
      <c r="J1540" s="241"/>
      <c r="K1540" s="241"/>
      <c r="L1540" s="238"/>
    </row>
    <row r="1541" spans="2:12">
      <c r="B1541" s="232" t="s">
        <v>600</v>
      </c>
      <c r="C1541" s="167" t="s">
        <v>601</v>
      </c>
      <c r="D1541" s="236" t="str">
        <f>_xlfn.XLOOKUP(B1541,'Relacion '!$E:$E,'Relacion '!$D:$D,"")</f>
        <v>06. BW-EJECUCION</v>
      </c>
      <c r="E1541" s="233">
        <f t="shared" si="365"/>
        <v>471</v>
      </c>
      <c r="F1541" s="234" cm="1">
        <f t="array" ref="F1541">MIN(INDEX('Relacion '!$X$5:$AM$493,MATCH(INDEX($B:$B, (ROW()-0)),'Relacion '!$E$5:$E$493,0),0))</f>
        <v>45659</v>
      </c>
      <c r="G1541" s="234" cm="1">
        <f t="array" ref="G1541">MAX(INDEX('Relacion '!$X$5:$AM$493,MATCH(INDEX($B:$B, (ROW()-0)),'Relacion '!$E$5:$E$493,0),0))</f>
        <v>46130</v>
      </c>
      <c r="H1541" s="235" t="e">
        <f>AVERAGE(H1542:H1549)</f>
        <v>#REF!</v>
      </c>
      <c r="I1541" s="235">
        <f t="shared" ref="I1541" ca="1" si="366">AVERAGE(I1542:I1549)</f>
        <v>1</v>
      </c>
      <c r="J1541" s="236" t="str">
        <f>IF(ISNUMBER(SEARCH("Rocha", _xlfn.XLOOKUP(B1541,'Relacion '!$E:$E,'Relacion '!$I:$I,""))), "Sí", "No")</f>
        <v>No</v>
      </c>
      <c r="K1541" s="236" t="str">
        <f>IF(ISNUMBER(SEARCH("Rocha", _xlfn.XLOOKUP(B1541,'Relacion '!$E:$E,'Relacion '!$I:$I,""))), "RMC", _xlfn.XLOOKUP(B1541,'Relacion '!$E:$E,'Relacion '!$B:$B,""))</f>
        <v>Producto</v>
      </c>
      <c r="L1541" s="236" t="str">
        <f>_xlfn.XLOOKUP(B1541,'Relacion '!$E:$E,'Relacion '!$C:$C,"")</f>
        <v>Claudia Barroso</v>
      </c>
    </row>
    <row r="1542" spans="2:12" outlineLevel="1">
      <c r="B1542" s="237" t="s">
        <v>654</v>
      </c>
      <c r="C1542" s="237" t="s">
        <v>654</v>
      </c>
      <c r="D1542" s="238" t="str">
        <f>_xlfn.XLOOKUP(B1542,'Relacion '!$E:$E,'Relacion '!$D:$D,"")</f>
        <v/>
      </c>
      <c r="E1542" s="239">
        <f t="shared" si="365"/>
        <v>424</v>
      </c>
      <c r="F1542" s="240" cm="1">
        <f t="array" ref="F1542">MIN(INDEX('Relacion '!$X$5:$Y$493,MATCH(INDEX($B:$B, (ROW()-1)),'Relacion '!$E$5:$E$493,0),0))</f>
        <v>45659</v>
      </c>
      <c r="G1542" s="240" cm="1">
        <f t="array" ref="G1542">MAX(INDEX('Relacion '!$X$5:$Y$493,MATCH(INDEX($B:$B, (ROW()-1)),'Relacion '!$E$5:$E$493,0),0))</f>
        <v>46083</v>
      </c>
      <c r="H1542" s="241" cm="1">
        <f t="array" ref="H1542">IF(
 MATCH(B1542,{"01. ASIGNACION AREA";"02. MAPEO";"03. DESARROLLO";"04. VALIDA US";"05. VOBO US";"06. BW-EJECUCION";"07. VALIDACIÓN BAJAWARE";"08. CERRADA"},0)
 &lt;
 MATCH(_xlfn.XLOOKUP(INDEX($B:$B, (ROW()-1)),'Relacion '!$E:$E,'Relacion '!$D:$D,""),{"01. ASIGNACION AREA";"02. MAPEO";"03. DESARROLLO";"04. VALIDA US";"05. VOBO US";"06. BW-EJECUCION";"07. VALIDACIÓN BAJAWARE";"08. CERRADA"},0),
 1,
 IF(
  MATCH(B1542,{"01. ASIGNACION AREA";"02. MAPEO";"03. DESARROLLO";"04. VALIDA US";"05. VOBO US";"06. BW-EJECUCION";"07. VALIDACIÓN BAJAWARE";"08. CERRADA"},0)
  =
  MATCH(_xlfn.XLOOKUP(INDEX($B:$B, (ROW()-1)),'Relacion '!$E:$E,'Relacion '!$D:$D,""),{"01. ASIGNACION AREA";"02. MAPEO";"03. DESARROLLO";"04. VALIDA US";"05. VOBO US";"06. BW-EJECUCION";"07. VALIDACIÓN BAJAWARE";"08. CERRADA"},0),
  _xlfn.XLOOKUP(INDEX($B:$B, (ROW()-1)),'Relacion '!$E:$E,'Relacion '!#REF!,0),
  0
 )
)</f>
        <v>1</v>
      </c>
      <c r="I1542" s="241">
        <f t="shared" ref="I1542" ca="1" si="367">IF(G1542&lt;=TODAY(), 1, 0)</f>
        <v>1</v>
      </c>
      <c r="J1542" s="241"/>
      <c r="K1542" s="241"/>
      <c r="L1542" s="238"/>
    </row>
    <row r="1543" spans="2:12" outlineLevel="1">
      <c r="B1543" s="237" t="s">
        <v>195</v>
      </c>
      <c r="C1543" s="237" t="s">
        <v>195</v>
      </c>
      <c r="D1543" s="238" t="str">
        <f>_xlfn.XLOOKUP(B1543,'Relacion '!$E:$E,'Relacion '!$D:$D,"")</f>
        <v/>
      </c>
      <c r="E1543" s="239">
        <f t="shared" si="365"/>
        <v>4</v>
      </c>
      <c r="F1543" s="240" cm="1">
        <f t="array" ref="F1543">MIN(INDEX('Relacion '!$Z$5:$AA$493,MATCH(INDEX($B:$B, (ROW()-2)),'Relacion '!$E$5:$E$493,0),0))</f>
        <v>46034</v>
      </c>
      <c r="G1543" s="240" cm="1">
        <f t="array" ref="G1543">MAX(INDEX('Relacion '!$Z$5:$AA$493,MATCH(INDEX($B:$B, (ROW()-2)),'Relacion '!$E$5:$E$493,0),0))</f>
        <v>46038</v>
      </c>
      <c r="H1543" s="241" cm="1">
        <f t="array" ref="H1543">IF(
 MATCH(B1543,{"01. ASIGNACION AREA";"02. MAPEO";"03. DESARROLLO";"04. VALIDA US";"05. VOBO US";"06. BW-EJECUCION";"07. VALIDACIÓN BAJAWARE";"08. CERRADA"},0)
 &lt;
 MATCH(_xlfn.XLOOKUP(INDEX($B:$B, (ROW()-2)),'Relacion '!$E:$E,'Relacion '!$D:$D,""),{"01. ASIGNACION AREA";"02. MAPEO";"03. DESARROLLO";"04. VALIDA US";"05. VOBO US";"06. BW-EJECUCION";"07. VALIDACIÓN BAJAWARE";"08. CERRADA"},0),
 1,
 IF(
  MATCH(B1543,{"01. ASIGNACION AREA";"02. MAPEO";"03. DESARROLLO";"04. VALIDA US";"05. VOBO US";"06. BW-EJECUCION";"07. VALIDACIÓN BAJAWARE";"08. CERRADA"},0)
  =
  MATCH(_xlfn.XLOOKUP(INDEX($B:$B, (ROW()-2)),'Relacion '!$E:$E,'Relacion '!$D:$D,""),{"01. ASIGNACION AREA";"02. MAPEO";"03. DESARROLLO";"04. VALIDA US";"05. VOBO US";"06. BW-EJECUCION";"07. VALIDACIÓN BAJAWARE";"08. CERRADA"},0),
  _xlfn.XLOOKUP(INDEX($B:$B, (ROW()-2)),'Relacion '!$E:$E,'Relacion '!#REF!,0),
  0
 )
)</f>
        <v>1</v>
      </c>
      <c r="I1543" s="241">
        <f t="shared" ca="1" si="362"/>
        <v>1</v>
      </c>
      <c r="J1543" s="241"/>
      <c r="K1543" s="241"/>
      <c r="L1543" s="238"/>
    </row>
    <row r="1544" spans="2:12" outlineLevel="1">
      <c r="B1544" s="237" t="s">
        <v>49</v>
      </c>
      <c r="C1544" s="237" t="s">
        <v>49</v>
      </c>
      <c r="D1544" s="238" t="str">
        <f>_xlfn.XLOOKUP(B1544,'Relacion '!$E:$E,'Relacion '!$D:$D,"")</f>
        <v/>
      </c>
      <c r="E1544" s="239">
        <f t="shared" si="365"/>
        <v>4</v>
      </c>
      <c r="F1544" s="240" cm="1">
        <f t="array" ref="F1544">MIN(INDEX('Relacion '!$AB$5:$AC$493,MATCH(INDEX($B:$B, (ROW()-3)),'Relacion '!$E$5:$E$493,0),0))</f>
        <v>46041</v>
      </c>
      <c r="G1544" s="240" cm="1">
        <f t="array" ref="G1544">MAX(INDEX('Relacion '!$AB$5:$AC$493,MATCH(INDEX($B:$B, (ROW()-3)),'Relacion '!$E$5:$E$493,0),0))</f>
        <v>46045</v>
      </c>
      <c r="H1544" s="241" cm="1">
        <f t="array" ref="H1544">IF(
 MATCH(B1544,{"01. ASIGNACION AREA";"02. MAPEO";"03. DESARROLLO";"04. VALIDA US";"05. VOBO US";"06. BW-EJECUCION";"07. VALIDACIÓN BAJAWARE";"08. CERRADA"},0)
 &lt;
 MATCH(_xlfn.XLOOKUP(INDEX($B:$B, (ROW()-3)),'Relacion '!$E:$E,'Relacion '!$D:$D,""),{"01. ASIGNACION AREA";"02. MAPEO";"03. DESARROLLO";"04. VALIDA US";"05. VOBO US";"06. BW-EJECUCION";"07. VALIDACIÓN BAJAWARE";"08. CERRADA"},0),
 1,
 IF(
  MATCH(B1544,{"01. ASIGNACION AREA";"02. MAPEO";"03. DESARROLLO";"04. VALIDA US";"05. VOBO US";"06. BW-EJECUCION";"07. VALIDACIÓN BAJAWARE";"08. CERRADA"},0)
  =
  MATCH(_xlfn.XLOOKUP(INDEX($B:$B, (ROW()-3)),'Relacion '!$E:$E,'Relacion '!$D:$D,""),{"01. ASIGNACION AREA";"02. MAPEO";"03. DESARROLLO";"04. VALIDA US";"05. VOBO US";"06. BW-EJECUCION";"07. VALIDACIÓN BAJAWARE";"08. CERRADA"},0),
  _xlfn.XLOOKUP(INDEX($B:$B, (ROW()-3)),'Relacion '!$E:$E,'Relacion '!#REF!,0),
  0
 )
)</f>
        <v>1</v>
      </c>
      <c r="I1544" s="241">
        <f t="shared" ca="1" si="362"/>
        <v>1</v>
      </c>
      <c r="J1544" s="241"/>
      <c r="K1544" s="241"/>
      <c r="L1544" s="238"/>
    </row>
    <row r="1545" spans="2:12" outlineLevel="1">
      <c r="B1545" s="237" t="s">
        <v>324</v>
      </c>
      <c r="C1545" s="237" t="s">
        <v>324</v>
      </c>
      <c r="D1545" s="238" t="str">
        <f>_xlfn.XLOOKUP(B1545,'Relacion '!$E:$E,'Relacion '!$D:$D,"")</f>
        <v/>
      </c>
      <c r="E1545" s="239">
        <f t="shared" si="365"/>
        <v>4</v>
      </c>
      <c r="F1545" s="240" cm="1">
        <f t="array" ref="F1545">MIN(INDEX('Relacion '!$AD$5:$AE$493,MATCH(INDEX($B:$B, (ROW()-4)),'Relacion '!$E$5:$E$493,0),0))</f>
        <v>46048</v>
      </c>
      <c r="G1545" s="240" cm="1">
        <f t="array" ref="G1545">MAX(INDEX('Relacion '!$AD$5:$AE$493,MATCH(INDEX($B:$B, (ROW()-4)),'Relacion '!$E$5:$E$493,0),0))</f>
        <v>46052</v>
      </c>
      <c r="H1545" s="241" cm="1">
        <f t="array" ref="H1545">IF(
 MATCH(B1545,{"01. ASIGNACION AREA";"02. MAPEO";"03. DESARROLLO";"04. VALIDA US";"05. VOBO US";"06. BW-EJECUCION";"07. VALIDACIÓN BAJAWARE";"08. CERRADA"},0)
 &lt;
 MATCH(_xlfn.XLOOKUP(INDEX($B:$B, (ROW()-4)),'Relacion '!$E:$E,'Relacion '!$D:$D,""),{"01. ASIGNACION AREA";"02. MAPEO";"03. DESARROLLO";"04. VALIDA US";"05. VOBO US";"06. BW-EJECUCION";"07. VALIDACIÓN BAJAWARE";"08. CERRADA"},0),
 1,
 IF(
  MATCH(B1545,{"01. ASIGNACION AREA";"02. MAPEO";"03. DESARROLLO";"04. VALIDA US";"05. VOBO US";"06. BW-EJECUCION";"07. VALIDACIÓN BAJAWARE";"08. CERRADA"},0)
  =
  MATCH(_xlfn.XLOOKUP(INDEX($B:$B, (ROW()-4)),'Relacion '!$E:$E,'Relacion '!$D:$D,""),{"01. ASIGNACION AREA";"02. MAPEO";"03. DESARROLLO";"04. VALIDA US";"05. VOBO US";"06. BW-EJECUCION";"07. VALIDACIÓN BAJAWARE";"08. CERRADA"},0),
  _xlfn.XLOOKUP(INDEX($B:$B, (ROW()-4)),'Relacion '!$E:$E,'Relacion '!#REF!,0),
  0
 )
)</f>
        <v>1</v>
      </c>
      <c r="I1545" s="241">
        <f t="shared" ca="1" si="362"/>
        <v>1</v>
      </c>
      <c r="J1545" s="241"/>
      <c r="K1545" s="241"/>
      <c r="L1545" s="238"/>
    </row>
    <row r="1546" spans="2:12" outlineLevel="1">
      <c r="B1546" s="237" t="s">
        <v>320</v>
      </c>
      <c r="C1546" s="237" t="s">
        <v>320</v>
      </c>
      <c r="D1546" s="238" t="str">
        <f>_xlfn.XLOOKUP(B1546,'Relacion '!$E:$E,'Relacion '!$D:$D,"")</f>
        <v/>
      </c>
      <c r="E1546" s="239">
        <f t="shared" si="365"/>
        <v>7</v>
      </c>
      <c r="F1546" s="240" cm="1">
        <f t="array" ref="F1546">MIN(INDEX('Relacion '!$AF$5:$AG$493,MATCH(INDEX($B:$B, (ROW()-5)),'Relacion '!$E$5:$E$493,0),0))</f>
        <v>46055</v>
      </c>
      <c r="G1546" s="240" cm="1">
        <f t="array" ref="G1546">MAX(INDEX('Relacion '!$AF$5:$AG$493,MATCH(INDEX($B:$B, (ROW()-5)),'Relacion '!$E$5:$E$493,0),0))</f>
        <v>46062</v>
      </c>
      <c r="H1546" s="241" cm="1">
        <f t="array" ref="H1546">IF(
 MATCH(B1546,{"01. ASIGNACION AREA";"02. MAPEO";"03. DESARROLLO";"04. VALIDA US";"05. VOBO US";"06. BW-EJECUCION";"07. VALIDACIÓN BAJAWARE";"08. CERRADA"},0)
 &lt;
 MATCH(_xlfn.XLOOKUP(INDEX($B:$B, (ROW()-5)),'Relacion '!$E:$E,'Relacion '!$D:$D,""),{"01. ASIGNACION AREA";"02. MAPEO";"03. DESARROLLO";"04. VALIDA US";"05. VOBO US";"06. BW-EJECUCION";"07. VALIDACIÓN BAJAWARE";"08. CERRADA"},0),
 1,
 IF(
  MATCH(B1546,{"01. ASIGNACION AREA";"02. MAPEO";"03. DESARROLLO";"04. VALIDA US";"05. VOBO US";"06. BW-EJECUCION";"07. VALIDACIÓN BAJAWARE";"08. CERRADA"},0)
  =
  MATCH(_xlfn.XLOOKUP(INDEX($B:$B, (ROW()-5)),'Relacion '!$E:$E,'Relacion '!$D:$D,""),{"01. ASIGNACION AREA";"02. MAPEO";"03. DESARROLLO";"04. VALIDA US";"05. VOBO US";"06. BW-EJECUCION";"07. VALIDACIÓN BAJAWARE";"08. CERRADA"},0),
  _xlfn.XLOOKUP(INDEX($B:$B, (ROW()-5)),'Relacion '!$E:$E,'Relacion '!#REF!,0),
  0
 )
)</f>
        <v>1</v>
      </c>
      <c r="I1546" s="241">
        <f t="shared" ca="1" si="362"/>
        <v>1</v>
      </c>
      <c r="J1546" s="241"/>
      <c r="K1546" s="241"/>
      <c r="L1546" s="238"/>
    </row>
    <row r="1547" spans="2:12" outlineLevel="1">
      <c r="B1547" s="237" t="s">
        <v>710</v>
      </c>
      <c r="C1547" s="237" t="s">
        <v>710</v>
      </c>
      <c r="D1547" s="238" t="str">
        <f>_xlfn.XLOOKUP(B1547,'Relacion '!$E:$E,'Relacion '!$D:$D,"")</f>
        <v/>
      </c>
      <c r="E1547" s="239">
        <f t="shared" si="365"/>
        <v>25</v>
      </c>
      <c r="F1547" s="240" cm="1">
        <f t="array" ref="F1547">MIN(INDEX('Relacion '!$AH$5:$AI$493,MATCH(INDEX($B:$B, (ROW()-6)),'Relacion '!$E$5:$E$493,0),0))</f>
        <v>46076</v>
      </c>
      <c r="G1547" s="240" cm="1">
        <f t="array" ref="G1547">MAX(INDEX('Relacion '!$AH$5:$AI$493,MATCH(INDEX($B:$B, (ROW()-6)),'Relacion '!$E$5:$E$493,0),0))</f>
        <v>46101</v>
      </c>
      <c r="H1547" s="241" t="e" cm="1">
        <f t="array" ref="H1547">IF(
 MATCH(B1547,{"01. ASIGNACION AREA";"02. MAPEO";"03. DESARROLLO";"04. VALIDA US";"05. VOBO US";"06. BW-EJECUCION";"07. VALIDACIÓN BAJAWARE";"08. CERRADA"},0)
 &lt;
 MATCH(_xlfn.XLOOKUP(INDEX($B:$B, (ROW()-6)),'Relacion '!$E:$E,'Relacion '!$D:$D,""),{"01. ASIGNACION AREA";"02. MAPEO";"03. DESARROLLO";"04. VALIDA US";"05. VOBO US";"06. BW-EJECUCION";"07. VALIDACIÓN BAJAWARE";"08. CERRADA"},0),
 1,
 IF(
  MATCH(B1547,{"01. ASIGNACION AREA";"02. MAPEO";"03. DESARROLLO";"04. VALIDA US";"05. VOBO US";"06. BW-EJECUCION";"07. VALIDACIÓN BAJAWARE";"08. CERRADA"},0)
  =
  MATCH(_xlfn.XLOOKUP(INDEX($B:$B, (ROW()-6)),'Relacion '!$E:$E,'Relacion '!$D:$D,""),{"01. ASIGNACION AREA";"02. MAPEO";"03. DESARROLLO";"04. VALIDA US";"05. VOBO US";"06. BW-EJECUCION";"07. VALIDACIÓN BAJAWARE";"08. CERRADA"},0),
  _xlfn.XLOOKUP(INDEX($B:$B, (ROW()-6)),'Relacion '!$E:$E,'Relacion '!#REF!,0),
  0
 )
)</f>
        <v>#REF!</v>
      </c>
      <c r="I1547" s="241">
        <f t="shared" ca="1" si="362"/>
        <v>1</v>
      </c>
      <c r="J1547" s="241"/>
      <c r="K1547" s="241"/>
      <c r="L1547" s="238"/>
    </row>
    <row r="1548" spans="2:12" outlineLevel="1">
      <c r="B1548" s="237" t="s">
        <v>655</v>
      </c>
      <c r="C1548" s="237" t="s">
        <v>655</v>
      </c>
      <c r="D1548" s="238" t="str">
        <f>_xlfn.XLOOKUP(B1548,'Relacion '!$E:$E,'Relacion '!$D:$D,"")</f>
        <v/>
      </c>
      <c r="E1548" s="239">
        <f t="shared" si="365"/>
        <v>25</v>
      </c>
      <c r="F1548" s="240" cm="1">
        <f t="array" ref="F1548">MIN(INDEX('Relacion '!$AJ$5:$AK$493,MATCH(INDEX($B:$B, (ROW()-7)),'Relacion '!$E$5:$E$493,0),0))</f>
        <v>46104</v>
      </c>
      <c r="G1548" s="240" cm="1">
        <f t="array" ref="G1548">MAX(INDEX('Relacion '!$AJ$5:$AK$493,MATCH(INDEX($B:$B, (ROW()-7)),'Relacion '!$E$5:$E$493,0),0))</f>
        <v>46129</v>
      </c>
      <c r="H1548" s="241" cm="1">
        <f t="array" ref="H1548">IF(
 MATCH(B1548,{"01. ASIGNACION AREA";"02. MAPEO";"03. DESARROLLO";"04. VALIDA US";"05. VOBO US";"06. BW-EJECUCION";"07. VALIDACIÓN BAJAWARE";"08. CERRADA"},0)
 &lt;
 MATCH(_xlfn.XLOOKUP(INDEX($B:$B, (ROW()-7)),'Relacion '!$E:$E,'Relacion '!$D:$D,""),{"01. ASIGNACION AREA";"02. MAPEO";"03. DESARROLLO";"04. VALIDA US";"05. VOBO US";"06. BW-EJECUCION";"07. VALIDACIÓN BAJAWARE";"08. CERRADA"},0),
 1,
 IF(
  MATCH(B1548,{"01. ASIGNACION AREA";"02. MAPEO";"03. DESARROLLO";"04. VALIDA US";"05. VOBO US";"06. BW-EJECUCION";"07. VALIDACIÓN BAJAWARE";"08. CERRADA"},0)
  =
  MATCH(_xlfn.XLOOKUP(INDEX($B:$B, (ROW()-7)),'Relacion '!$E:$E,'Relacion '!$D:$D,""),{"01. ASIGNACION AREA";"02. MAPEO";"03. DESARROLLO";"04. VALIDA US";"05. VOBO US";"06. BW-EJECUCION";"07. VALIDACIÓN BAJAWARE";"08. CERRADA"},0),
  _xlfn.XLOOKUP(INDEX($B:$B, (ROW()-7)),'Relacion '!$E:$E,'Relacion '!#REF!,0),
  0
 )
)</f>
        <v>0</v>
      </c>
      <c r="I1548" s="241">
        <f t="shared" ca="1" si="362"/>
        <v>1</v>
      </c>
      <c r="J1548" s="241"/>
      <c r="K1548" s="241"/>
      <c r="L1548" s="238"/>
    </row>
    <row r="1549" spans="2:12" outlineLevel="1">
      <c r="B1549" s="237" t="s">
        <v>656</v>
      </c>
      <c r="C1549" s="237" t="s">
        <v>656</v>
      </c>
      <c r="D1549" s="238" t="str">
        <f>_xlfn.XLOOKUP(B1549,'Relacion '!$E:$E,'Relacion '!$D:$D,"")</f>
        <v/>
      </c>
      <c r="E1549" s="239">
        <f t="shared" si="365"/>
        <v>0</v>
      </c>
      <c r="F1549" s="240" cm="1">
        <f t="array" ref="F1549">MIN(INDEX('Relacion '!$AL$5:$AM$493,MATCH(INDEX($B:$B, (ROW()-8)),'Relacion '!$E$5:$E$493,0),0))</f>
        <v>46130</v>
      </c>
      <c r="G1549" s="240" cm="1">
        <f t="array" ref="G1549">MAX(INDEX('Relacion '!$AL$5:$AM$493,MATCH(INDEX($B:$B, (ROW()-8)),'Relacion '!$E$5:$E$493,0),0))</f>
        <v>46130</v>
      </c>
      <c r="H1549" s="241" cm="1">
        <f t="array" ref="H1549">IF(
 MATCH(B1549,{"01. ASIGNACION AREA";"02. MAPEO";"03. DESARROLLO";"04. VALIDA US";"05. VOBO US";"06. BW-EJECUCION";"07. VALIDACIÓN BAJAWARE";"08. CERRADA"},0)
 &lt;
 MATCH(_xlfn.XLOOKUP(INDEX($B:$B, (ROW()-8)),'Relacion '!$E:$E,'Relacion '!$D:$D,""),{"01. ASIGNACION AREA";"02. MAPEO";"03. DESARROLLO";"04. VALIDA US";"05. VOBO US";"06. BW-EJECUCION";"07. VALIDACIÓN BAJAWARE";"08. CERRADA"},0),
 1,
 IF(
  MATCH(B1549,{"01. ASIGNACION AREA";"02. MAPEO";"03. DESARROLLO";"04. VALIDA US";"05. VOBO US";"06. BW-EJECUCION";"07. VALIDACIÓN BAJAWARE";"08. CERRADA"},0)
  =
  MATCH(_xlfn.XLOOKUP(INDEX($B:$B, (ROW()-8)),'Relacion '!$E:$E,'Relacion '!$D:$D,""),{"01. ASIGNACION AREA";"02. MAPEO";"03. DESARROLLO";"04. VALIDA US";"05. VOBO US";"06. BW-EJECUCION";"07. VALIDACIÓN BAJAWARE";"08. CERRADA"},0),
  _xlfn.XLOOKUP(INDEX($B:$B, (ROW()-8)),'Relacion '!$E:$E,'Relacion '!#REF!,0),
  0
 )
)</f>
        <v>0</v>
      </c>
      <c r="I1549" s="241">
        <f t="shared" ca="1" si="362"/>
        <v>1</v>
      </c>
      <c r="J1549" s="241"/>
      <c r="K1549" s="241"/>
      <c r="L1549" s="238"/>
    </row>
    <row r="1550" spans="2:12">
      <c r="B1550" s="232" t="s">
        <v>602</v>
      </c>
      <c r="C1550" s="167" t="s">
        <v>603</v>
      </c>
      <c r="D1550" s="236" t="str">
        <f>_xlfn.XLOOKUP(B1550,'Relacion '!$E:$E,'Relacion '!$D:$D,"")</f>
        <v>06. BW-EJECUCION</v>
      </c>
      <c r="E1550" s="233">
        <f t="shared" si="365"/>
        <v>471</v>
      </c>
      <c r="F1550" s="234" cm="1">
        <f t="array" ref="F1550">MIN(INDEX('Relacion '!$X$5:$AM$493,MATCH(INDEX($B:$B, (ROW()-0)),'Relacion '!$E$5:$E$493,0),0))</f>
        <v>45659</v>
      </c>
      <c r="G1550" s="234" cm="1">
        <f t="array" ref="G1550">MAX(INDEX('Relacion '!$X$5:$AM$493,MATCH(INDEX($B:$B, (ROW()-0)),'Relacion '!$E$5:$E$493,0),0))</f>
        <v>46130</v>
      </c>
      <c r="H1550" s="235" t="e">
        <f>AVERAGE(H1551:H1558)</f>
        <v>#REF!</v>
      </c>
      <c r="I1550" s="235">
        <f t="shared" ref="I1550" ca="1" si="368">AVERAGE(I1551:I1558)</f>
        <v>1</v>
      </c>
      <c r="J1550" s="236" t="str">
        <f>IF(ISNUMBER(SEARCH("Rocha", _xlfn.XLOOKUP(B1550,'Relacion '!$E:$E,'Relacion '!$I:$I,""))), "Sí", "No")</f>
        <v>No</v>
      </c>
      <c r="K1550" s="236" t="str">
        <f>IF(ISNUMBER(SEARCH("Rocha", _xlfn.XLOOKUP(B1550,'Relacion '!$E:$E,'Relacion '!$I:$I,""))), "RMC", _xlfn.XLOOKUP(B1550,'Relacion '!$E:$E,'Relacion '!$B:$B,""))</f>
        <v>Producto</v>
      </c>
      <c r="L1550" s="236" t="str">
        <f>_xlfn.XLOOKUP(B1550,'Relacion '!$E:$E,'Relacion '!$C:$C,"")</f>
        <v>Claudia Barroso</v>
      </c>
    </row>
    <row r="1551" spans="2:12" outlineLevel="1">
      <c r="B1551" s="237" t="s">
        <v>654</v>
      </c>
      <c r="C1551" s="237" t="s">
        <v>654</v>
      </c>
      <c r="D1551" s="238" t="str">
        <f>_xlfn.XLOOKUP(B1551,'Relacion '!$E:$E,'Relacion '!$D:$D,"")</f>
        <v/>
      </c>
      <c r="E1551" s="239">
        <f t="shared" si="365"/>
        <v>424</v>
      </c>
      <c r="F1551" s="240" cm="1">
        <f t="array" ref="F1551">MIN(INDEX('Relacion '!$X$5:$Y$493,MATCH(INDEX($B:$B, (ROW()-1)),'Relacion '!$E$5:$E$493,0),0))</f>
        <v>45659</v>
      </c>
      <c r="G1551" s="240" cm="1">
        <f t="array" ref="G1551">MAX(INDEX('Relacion '!$X$5:$Y$493,MATCH(INDEX($B:$B, (ROW()-1)),'Relacion '!$E$5:$E$493,0),0))</f>
        <v>46083</v>
      </c>
      <c r="H1551" s="241" cm="1">
        <f t="array" ref="H1551">IF(
 MATCH(B1551,{"01. ASIGNACION AREA";"02. MAPEO";"03. DESARROLLO";"04. VALIDA US";"05. VOBO US";"06. BW-EJECUCION";"07. VALIDACIÓN BAJAWARE";"08. CERRADA"},0)
 &lt;
 MATCH(_xlfn.XLOOKUP(INDEX($B:$B, (ROW()-1)),'Relacion '!$E:$E,'Relacion '!$D:$D,""),{"01. ASIGNACION AREA";"02. MAPEO";"03. DESARROLLO";"04. VALIDA US";"05. VOBO US";"06. BW-EJECUCION";"07. VALIDACIÓN BAJAWARE";"08. CERRADA"},0),
 1,
 IF(
  MATCH(B1551,{"01. ASIGNACION AREA";"02. MAPEO";"03. DESARROLLO";"04. VALIDA US";"05. VOBO US";"06. BW-EJECUCION";"07. VALIDACIÓN BAJAWARE";"08. CERRADA"},0)
  =
  MATCH(_xlfn.XLOOKUP(INDEX($B:$B, (ROW()-1)),'Relacion '!$E:$E,'Relacion '!$D:$D,""),{"01. ASIGNACION AREA";"02. MAPEO";"03. DESARROLLO";"04. VALIDA US";"05. VOBO US";"06. BW-EJECUCION";"07. VALIDACIÓN BAJAWARE";"08. CERRADA"},0),
  _xlfn.XLOOKUP(INDEX($B:$B, (ROW()-1)),'Relacion '!$E:$E,'Relacion '!#REF!,0),
  0
 )
)</f>
        <v>1</v>
      </c>
      <c r="I1551" s="241">
        <f t="shared" ref="I1551" ca="1" si="369">IF(G1551&lt;=TODAY(), 1, 0)</f>
        <v>1</v>
      </c>
      <c r="J1551" s="241"/>
      <c r="K1551" s="241"/>
      <c r="L1551" s="238"/>
    </row>
    <row r="1552" spans="2:12" outlineLevel="1">
      <c r="B1552" s="237" t="s">
        <v>195</v>
      </c>
      <c r="C1552" s="237" t="s">
        <v>195</v>
      </c>
      <c r="D1552" s="238" t="str">
        <f>_xlfn.XLOOKUP(B1552,'Relacion '!$E:$E,'Relacion '!$D:$D,"")</f>
        <v/>
      </c>
      <c r="E1552" s="239">
        <f t="shared" si="365"/>
        <v>4</v>
      </c>
      <c r="F1552" s="240" cm="1">
        <f t="array" ref="F1552">MIN(INDEX('Relacion '!$Z$5:$AA$493,MATCH(INDEX($B:$B, (ROW()-2)),'Relacion '!$E$5:$E$493,0),0))</f>
        <v>46034</v>
      </c>
      <c r="G1552" s="240" cm="1">
        <f t="array" ref="G1552">MAX(INDEX('Relacion '!$Z$5:$AA$493,MATCH(INDEX($B:$B, (ROW()-2)),'Relacion '!$E$5:$E$493,0),0))</f>
        <v>46038</v>
      </c>
      <c r="H1552" s="241" cm="1">
        <f t="array" ref="H1552">IF(
 MATCH(B1552,{"01. ASIGNACION AREA";"02. MAPEO";"03. DESARROLLO";"04. VALIDA US";"05. VOBO US";"06. BW-EJECUCION";"07. VALIDACIÓN BAJAWARE";"08. CERRADA"},0)
 &lt;
 MATCH(_xlfn.XLOOKUP(INDEX($B:$B, (ROW()-2)),'Relacion '!$E:$E,'Relacion '!$D:$D,""),{"01. ASIGNACION AREA";"02. MAPEO";"03. DESARROLLO";"04. VALIDA US";"05. VOBO US";"06. BW-EJECUCION";"07. VALIDACIÓN BAJAWARE";"08. CERRADA"},0),
 1,
 IF(
  MATCH(B1552,{"01. ASIGNACION AREA";"02. MAPEO";"03. DESARROLLO";"04. VALIDA US";"05. VOBO US";"06. BW-EJECUCION";"07. VALIDACIÓN BAJAWARE";"08. CERRADA"},0)
  =
  MATCH(_xlfn.XLOOKUP(INDEX($B:$B, (ROW()-2)),'Relacion '!$E:$E,'Relacion '!$D:$D,""),{"01. ASIGNACION AREA";"02. MAPEO";"03. DESARROLLO";"04. VALIDA US";"05. VOBO US";"06. BW-EJECUCION";"07. VALIDACIÓN BAJAWARE";"08. CERRADA"},0),
  _xlfn.XLOOKUP(INDEX($B:$B, (ROW()-2)),'Relacion '!$E:$E,'Relacion '!#REF!,0),
  0
 )
)</f>
        <v>1</v>
      </c>
      <c r="I1552" s="241">
        <f t="shared" ca="1" si="362"/>
        <v>1</v>
      </c>
      <c r="J1552" s="241"/>
      <c r="K1552" s="241"/>
      <c r="L1552" s="238"/>
    </row>
    <row r="1553" spans="2:12" outlineLevel="1">
      <c r="B1553" s="237" t="s">
        <v>49</v>
      </c>
      <c r="C1553" s="237" t="s">
        <v>49</v>
      </c>
      <c r="D1553" s="238" t="str">
        <f>_xlfn.XLOOKUP(B1553,'Relacion '!$E:$E,'Relacion '!$D:$D,"")</f>
        <v/>
      </c>
      <c r="E1553" s="239">
        <f t="shared" si="365"/>
        <v>4</v>
      </c>
      <c r="F1553" s="240" cm="1">
        <f t="array" ref="F1553">MIN(INDEX('Relacion '!$AB$5:$AC$493,MATCH(INDEX($B:$B, (ROW()-3)),'Relacion '!$E$5:$E$493,0),0))</f>
        <v>46041</v>
      </c>
      <c r="G1553" s="240" cm="1">
        <f t="array" ref="G1553">MAX(INDEX('Relacion '!$AB$5:$AC$493,MATCH(INDEX($B:$B, (ROW()-3)),'Relacion '!$E$5:$E$493,0),0))</f>
        <v>46045</v>
      </c>
      <c r="H1553" s="241" cm="1">
        <f t="array" ref="H1553">IF(
 MATCH(B1553,{"01. ASIGNACION AREA";"02. MAPEO";"03. DESARROLLO";"04. VALIDA US";"05. VOBO US";"06. BW-EJECUCION";"07. VALIDACIÓN BAJAWARE";"08. CERRADA"},0)
 &lt;
 MATCH(_xlfn.XLOOKUP(INDEX($B:$B, (ROW()-3)),'Relacion '!$E:$E,'Relacion '!$D:$D,""),{"01. ASIGNACION AREA";"02. MAPEO";"03. DESARROLLO";"04. VALIDA US";"05. VOBO US";"06. BW-EJECUCION";"07. VALIDACIÓN BAJAWARE";"08. CERRADA"},0),
 1,
 IF(
  MATCH(B1553,{"01. ASIGNACION AREA";"02. MAPEO";"03. DESARROLLO";"04. VALIDA US";"05. VOBO US";"06. BW-EJECUCION";"07. VALIDACIÓN BAJAWARE";"08. CERRADA"},0)
  =
  MATCH(_xlfn.XLOOKUP(INDEX($B:$B, (ROW()-3)),'Relacion '!$E:$E,'Relacion '!$D:$D,""),{"01. ASIGNACION AREA";"02. MAPEO";"03. DESARROLLO";"04. VALIDA US";"05. VOBO US";"06. BW-EJECUCION";"07. VALIDACIÓN BAJAWARE";"08. CERRADA"},0),
  _xlfn.XLOOKUP(INDEX($B:$B, (ROW()-3)),'Relacion '!$E:$E,'Relacion '!#REF!,0),
  0
 )
)</f>
        <v>1</v>
      </c>
      <c r="I1553" s="241">
        <f t="shared" ca="1" si="362"/>
        <v>1</v>
      </c>
      <c r="J1553" s="241"/>
      <c r="K1553" s="241"/>
      <c r="L1553" s="238"/>
    </row>
    <row r="1554" spans="2:12" outlineLevel="1">
      <c r="B1554" s="237" t="s">
        <v>324</v>
      </c>
      <c r="C1554" s="237" t="s">
        <v>324</v>
      </c>
      <c r="D1554" s="238" t="str">
        <f>_xlfn.XLOOKUP(B1554,'Relacion '!$E:$E,'Relacion '!$D:$D,"")</f>
        <v/>
      </c>
      <c r="E1554" s="239">
        <f t="shared" si="365"/>
        <v>4</v>
      </c>
      <c r="F1554" s="240" cm="1">
        <f t="array" ref="F1554">MIN(INDEX('Relacion '!$AD$5:$AE$493,MATCH(INDEX($B:$B, (ROW()-4)),'Relacion '!$E$5:$E$493,0),0))</f>
        <v>46048</v>
      </c>
      <c r="G1554" s="240" cm="1">
        <f t="array" ref="G1554">MAX(INDEX('Relacion '!$AD$5:$AE$493,MATCH(INDEX($B:$B, (ROW()-4)),'Relacion '!$E$5:$E$493,0),0))</f>
        <v>46052</v>
      </c>
      <c r="H1554" s="241" cm="1">
        <f t="array" ref="H1554">IF(
 MATCH(B1554,{"01. ASIGNACION AREA";"02. MAPEO";"03. DESARROLLO";"04. VALIDA US";"05. VOBO US";"06. BW-EJECUCION";"07. VALIDACIÓN BAJAWARE";"08. CERRADA"},0)
 &lt;
 MATCH(_xlfn.XLOOKUP(INDEX($B:$B, (ROW()-4)),'Relacion '!$E:$E,'Relacion '!$D:$D,""),{"01. ASIGNACION AREA";"02. MAPEO";"03. DESARROLLO";"04. VALIDA US";"05. VOBO US";"06. BW-EJECUCION";"07. VALIDACIÓN BAJAWARE";"08. CERRADA"},0),
 1,
 IF(
  MATCH(B1554,{"01. ASIGNACION AREA";"02. MAPEO";"03. DESARROLLO";"04. VALIDA US";"05. VOBO US";"06. BW-EJECUCION";"07. VALIDACIÓN BAJAWARE";"08. CERRADA"},0)
  =
  MATCH(_xlfn.XLOOKUP(INDEX($B:$B, (ROW()-4)),'Relacion '!$E:$E,'Relacion '!$D:$D,""),{"01. ASIGNACION AREA";"02. MAPEO";"03. DESARROLLO";"04. VALIDA US";"05. VOBO US";"06. BW-EJECUCION";"07. VALIDACIÓN BAJAWARE";"08. CERRADA"},0),
  _xlfn.XLOOKUP(INDEX($B:$B, (ROW()-4)),'Relacion '!$E:$E,'Relacion '!#REF!,0),
  0
 )
)</f>
        <v>1</v>
      </c>
      <c r="I1554" s="241">
        <f t="shared" ca="1" si="362"/>
        <v>1</v>
      </c>
      <c r="J1554" s="241"/>
      <c r="K1554" s="241"/>
      <c r="L1554" s="238"/>
    </row>
    <row r="1555" spans="2:12" outlineLevel="1">
      <c r="B1555" s="237" t="s">
        <v>320</v>
      </c>
      <c r="C1555" s="237" t="s">
        <v>320</v>
      </c>
      <c r="D1555" s="238" t="str">
        <f>_xlfn.XLOOKUP(B1555,'Relacion '!$E:$E,'Relacion '!$D:$D,"")</f>
        <v/>
      </c>
      <c r="E1555" s="239">
        <f t="shared" si="365"/>
        <v>7</v>
      </c>
      <c r="F1555" s="240" cm="1">
        <f t="array" ref="F1555">MIN(INDEX('Relacion '!$AF$5:$AG$493,MATCH(INDEX($B:$B, (ROW()-5)),'Relacion '!$E$5:$E$493,0),0))</f>
        <v>46055</v>
      </c>
      <c r="G1555" s="240" cm="1">
        <f t="array" ref="G1555">MAX(INDEX('Relacion '!$AF$5:$AG$493,MATCH(INDEX($B:$B, (ROW()-5)),'Relacion '!$E$5:$E$493,0),0))</f>
        <v>46062</v>
      </c>
      <c r="H1555" s="241" cm="1">
        <f t="array" ref="H1555">IF(
 MATCH(B1555,{"01. ASIGNACION AREA";"02. MAPEO";"03. DESARROLLO";"04. VALIDA US";"05. VOBO US";"06. BW-EJECUCION";"07. VALIDACIÓN BAJAWARE";"08. CERRADA"},0)
 &lt;
 MATCH(_xlfn.XLOOKUP(INDEX($B:$B, (ROW()-5)),'Relacion '!$E:$E,'Relacion '!$D:$D,""),{"01. ASIGNACION AREA";"02. MAPEO";"03. DESARROLLO";"04. VALIDA US";"05. VOBO US";"06. BW-EJECUCION";"07. VALIDACIÓN BAJAWARE";"08. CERRADA"},0),
 1,
 IF(
  MATCH(B1555,{"01. ASIGNACION AREA";"02. MAPEO";"03. DESARROLLO";"04. VALIDA US";"05. VOBO US";"06. BW-EJECUCION";"07. VALIDACIÓN BAJAWARE";"08. CERRADA"},0)
  =
  MATCH(_xlfn.XLOOKUP(INDEX($B:$B, (ROW()-5)),'Relacion '!$E:$E,'Relacion '!$D:$D,""),{"01. ASIGNACION AREA";"02. MAPEO";"03. DESARROLLO";"04. VALIDA US";"05. VOBO US";"06. BW-EJECUCION";"07. VALIDACIÓN BAJAWARE";"08. CERRADA"},0),
  _xlfn.XLOOKUP(INDEX($B:$B, (ROW()-5)),'Relacion '!$E:$E,'Relacion '!#REF!,0),
  0
 )
)</f>
        <v>1</v>
      </c>
      <c r="I1555" s="241">
        <f t="shared" ca="1" si="362"/>
        <v>1</v>
      </c>
      <c r="J1555" s="241"/>
      <c r="K1555" s="241"/>
      <c r="L1555" s="238"/>
    </row>
    <row r="1556" spans="2:12" outlineLevel="1">
      <c r="B1556" s="237" t="s">
        <v>710</v>
      </c>
      <c r="C1556" s="237" t="s">
        <v>710</v>
      </c>
      <c r="D1556" s="238" t="str">
        <f>_xlfn.XLOOKUP(B1556,'Relacion '!$E:$E,'Relacion '!$D:$D,"")</f>
        <v/>
      </c>
      <c r="E1556" s="239">
        <f t="shared" si="365"/>
        <v>25</v>
      </c>
      <c r="F1556" s="240" cm="1">
        <f t="array" ref="F1556">MIN(INDEX('Relacion '!$AH$5:$AI$493,MATCH(INDEX($B:$B, (ROW()-6)),'Relacion '!$E$5:$E$493,0),0))</f>
        <v>46076</v>
      </c>
      <c r="G1556" s="240" cm="1">
        <f t="array" ref="G1556">MAX(INDEX('Relacion '!$AH$5:$AI$493,MATCH(INDEX($B:$B, (ROW()-6)),'Relacion '!$E$5:$E$493,0),0))</f>
        <v>46101</v>
      </c>
      <c r="H1556" s="241" t="e" cm="1">
        <f t="array" ref="H1556">IF(
 MATCH(B1556,{"01. ASIGNACION AREA";"02. MAPEO";"03. DESARROLLO";"04. VALIDA US";"05. VOBO US";"06. BW-EJECUCION";"07. VALIDACIÓN BAJAWARE";"08. CERRADA"},0)
 &lt;
 MATCH(_xlfn.XLOOKUP(INDEX($B:$B, (ROW()-6)),'Relacion '!$E:$E,'Relacion '!$D:$D,""),{"01. ASIGNACION AREA";"02. MAPEO";"03. DESARROLLO";"04. VALIDA US";"05. VOBO US";"06. BW-EJECUCION";"07. VALIDACIÓN BAJAWARE";"08. CERRADA"},0),
 1,
 IF(
  MATCH(B1556,{"01. ASIGNACION AREA";"02. MAPEO";"03. DESARROLLO";"04. VALIDA US";"05. VOBO US";"06. BW-EJECUCION";"07. VALIDACIÓN BAJAWARE";"08. CERRADA"},0)
  =
  MATCH(_xlfn.XLOOKUP(INDEX($B:$B, (ROW()-6)),'Relacion '!$E:$E,'Relacion '!$D:$D,""),{"01. ASIGNACION AREA";"02. MAPEO";"03. DESARROLLO";"04. VALIDA US";"05. VOBO US";"06. BW-EJECUCION";"07. VALIDACIÓN BAJAWARE";"08. CERRADA"},0),
  _xlfn.XLOOKUP(INDEX($B:$B, (ROW()-6)),'Relacion '!$E:$E,'Relacion '!#REF!,0),
  0
 )
)</f>
        <v>#REF!</v>
      </c>
      <c r="I1556" s="241">
        <f t="shared" ca="1" si="362"/>
        <v>1</v>
      </c>
      <c r="J1556" s="241"/>
      <c r="K1556" s="241"/>
      <c r="L1556" s="238"/>
    </row>
    <row r="1557" spans="2:12" outlineLevel="1">
      <c r="B1557" s="237" t="s">
        <v>655</v>
      </c>
      <c r="C1557" s="237" t="s">
        <v>655</v>
      </c>
      <c r="D1557" s="238" t="str">
        <f>_xlfn.XLOOKUP(B1557,'Relacion '!$E:$E,'Relacion '!$D:$D,"")</f>
        <v/>
      </c>
      <c r="E1557" s="239">
        <f t="shared" si="365"/>
        <v>25</v>
      </c>
      <c r="F1557" s="240" cm="1">
        <f t="array" ref="F1557">MIN(INDEX('Relacion '!$AJ$5:$AK$493,MATCH(INDEX($B:$B, (ROW()-7)),'Relacion '!$E$5:$E$493,0),0))</f>
        <v>46104</v>
      </c>
      <c r="G1557" s="240" cm="1">
        <f t="array" ref="G1557">MAX(INDEX('Relacion '!$AJ$5:$AK$493,MATCH(INDEX($B:$B, (ROW()-7)),'Relacion '!$E$5:$E$493,0),0))</f>
        <v>46129</v>
      </c>
      <c r="H1557" s="241" cm="1">
        <f t="array" ref="H1557">IF(
 MATCH(B1557,{"01. ASIGNACION AREA";"02. MAPEO";"03. DESARROLLO";"04. VALIDA US";"05. VOBO US";"06. BW-EJECUCION";"07. VALIDACIÓN BAJAWARE";"08. CERRADA"},0)
 &lt;
 MATCH(_xlfn.XLOOKUP(INDEX($B:$B, (ROW()-7)),'Relacion '!$E:$E,'Relacion '!$D:$D,""),{"01. ASIGNACION AREA";"02. MAPEO";"03. DESARROLLO";"04. VALIDA US";"05. VOBO US";"06. BW-EJECUCION";"07. VALIDACIÓN BAJAWARE";"08. CERRADA"},0),
 1,
 IF(
  MATCH(B1557,{"01. ASIGNACION AREA";"02. MAPEO";"03. DESARROLLO";"04. VALIDA US";"05. VOBO US";"06. BW-EJECUCION";"07. VALIDACIÓN BAJAWARE";"08. CERRADA"},0)
  =
  MATCH(_xlfn.XLOOKUP(INDEX($B:$B, (ROW()-7)),'Relacion '!$E:$E,'Relacion '!$D:$D,""),{"01. ASIGNACION AREA";"02. MAPEO";"03. DESARROLLO";"04. VALIDA US";"05. VOBO US";"06. BW-EJECUCION";"07. VALIDACIÓN BAJAWARE";"08. CERRADA"},0),
  _xlfn.XLOOKUP(INDEX($B:$B, (ROW()-7)),'Relacion '!$E:$E,'Relacion '!#REF!,0),
  0
 )
)</f>
        <v>0</v>
      </c>
      <c r="I1557" s="241">
        <f t="shared" ca="1" si="362"/>
        <v>1</v>
      </c>
      <c r="J1557" s="241"/>
      <c r="K1557" s="241"/>
      <c r="L1557" s="238"/>
    </row>
    <row r="1558" spans="2:12" outlineLevel="1">
      <c r="B1558" s="237" t="s">
        <v>656</v>
      </c>
      <c r="C1558" s="237" t="s">
        <v>656</v>
      </c>
      <c r="D1558" s="238" t="str">
        <f>_xlfn.XLOOKUP(B1558,'Relacion '!$E:$E,'Relacion '!$D:$D,"")</f>
        <v/>
      </c>
      <c r="E1558" s="239">
        <f t="shared" si="365"/>
        <v>0</v>
      </c>
      <c r="F1558" s="240" cm="1">
        <f t="array" ref="F1558">MIN(INDEX('Relacion '!$AL$5:$AM$493,MATCH(INDEX($B:$B, (ROW()-8)),'Relacion '!$E$5:$E$493,0),0))</f>
        <v>46130</v>
      </c>
      <c r="G1558" s="240" cm="1">
        <f t="array" ref="G1558">MAX(INDEX('Relacion '!$AL$5:$AM$493,MATCH(INDEX($B:$B, (ROW()-8)),'Relacion '!$E$5:$E$493,0),0))</f>
        <v>46130</v>
      </c>
      <c r="H1558" s="241" cm="1">
        <f t="array" ref="H1558">IF(
 MATCH(B1558,{"01. ASIGNACION AREA";"02. MAPEO";"03. DESARROLLO";"04. VALIDA US";"05. VOBO US";"06. BW-EJECUCION";"07. VALIDACIÓN BAJAWARE";"08. CERRADA"},0)
 &lt;
 MATCH(_xlfn.XLOOKUP(INDEX($B:$B, (ROW()-8)),'Relacion '!$E:$E,'Relacion '!$D:$D,""),{"01. ASIGNACION AREA";"02. MAPEO";"03. DESARROLLO";"04. VALIDA US";"05. VOBO US";"06. BW-EJECUCION";"07. VALIDACIÓN BAJAWARE";"08. CERRADA"},0),
 1,
 IF(
  MATCH(B1558,{"01. ASIGNACION AREA";"02. MAPEO";"03. DESARROLLO";"04. VALIDA US";"05. VOBO US";"06. BW-EJECUCION";"07. VALIDACIÓN BAJAWARE";"08. CERRADA"},0)
  =
  MATCH(_xlfn.XLOOKUP(INDEX($B:$B, (ROW()-8)),'Relacion '!$E:$E,'Relacion '!$D:$D,""),{"01. ASIGNACION AREA";"02. MAPEO";"03. DESARROLLO";"04. VALIDA US";"05. VOBO US";"06. BW-EJECUCION";"07. VALIDACIÓN BAJAWARE";"08. CERRADA"},0),
  _xlfn.XLOOKUP(INDEX($B:$B, (ROW()-8)),'Relacion '!$E:$E,'Relacion '!#REF!,0),
  0
 )
)</f>
        <v>0</v>
      </c>
      <c r="I1558" s="241">
        <f t="shared" ca="1" si="362"/>
        <v>1</v>
      </c>
      <c r="J1558" s="241"/>
      <c r="K1558" s="241"/>
      <c r="L1558" s="238"/>
    </row>
    <row r="1559" spans="2:12">
      <c r="B1559" s="232" t="s">
        <v>604</v>
      </c>
      <c r="C1559" s="167" t="s">
        <v>605</v>
      </c>
      <c r="D1559" s="236" t="str">
        <f>_xlfn.XLOOKUP(B1559,'Relacion '!$E:$E,'Relacion '!$D:$D,"")</f>
        <v>06. BW-EJECUCION</v>
      </c>
      <c r="E1559" s="233">
        <f t="shared" si="365"/>
        <v>471</v>
      </c>
      <c r="F1559" s="234" cm="1">
        <f t="array" ref="F1559">MIN(INDEX('Relacion '!$X$5:$AM$493,MATCH(INDEX($B:$B, (ROW()-0)),'Relacion '!$E$5:$E$493,0),0))</f>
        <v>45659</v>
      </c>
      <c r="G1559" s="234" cm="1">
        <f t="array" ref="G1559">MAX(INDEX('Relacion '!$X$5:$AM$493,MATCH(INDEX($B:$B, (ROW()-0)),'Relacion '!$E$5:$E$493,0),0))</f>
        <v>46130</v>
      </c>
      <c r="H1559" s="235" t="e">
        <f>AVERAGE(H1560:H1567)</f>
        <v>#REF!</v>
      </c>
      <c r="I1559" s="235">
        <f t="shared" ref="I1559" ca="1" si="370">AVERAGE(I1560:I1567)</f>
        <v>1</v>
      </c>
      <c r="J1559" s="236" t="str">
        <f>IF(ISNUMBER(SEARCH("Rocha", _xlfn.XLOOKUP(B1559,'Relacion '!$E:$E,'Relacion '!$I:$I,""))), "Sí", "No")</f>
        <v>No</v>
      </c>
      <c r="K1559" s="236" t="str">
        <f>IF(ISNUMBER(SEARCH("Rocha", _xlfn.XLOOKUP(B1559,'Relacion '!$E:$E,'Relacion '!$I:$I,""))), "RMC", _xlfn.XLOOKUP(B1559,'Relacion '!$E:$E,'Relacion '!$B:$B,""))</f>
        <v>Producto</v>
      </c>
      <c r="L1559" s="236" t="str">
        <f>_xlfn.XLOOKUP(B1559,'Relacion '!$E:$E,'Relacion '!$C:$C,"")</f>
        <v>Claudia Barroso</v>
      </c>
    </row>
    <row r="1560" spans="2:12" outlineLevel="1">
      <c r="B1560" s="237" t="s">
        <v>654</v>
      </c>
      <c r="C1560" s="237" t="s">
        <v>654</v>
      </c>
      <c r="D1560" s="238" t="str">
        <f>_xlfn.XLOOKUP(B1560,'Relacion '!$E:$E,'Relacion '!$D:$D,"")</f>
        <v/>
      </c>
      <c r="E1560" s="239">
        <f t="shared" si="365"/>
        <v>424</v>
      </c>
      <c r="F1560" s="240" cm="1">
        <f t="array" ref="F1560">MIN(INDEX('Relacion '!$X$5:$Y$493,MATCH(INDEX($B:$B, (ROW()-1)),'Relacion '!$E$5:$E$493,0),0))</f>
        <v>45659</v>
      </c>
      <c r="G1560" s="240" cm="1">
        <f t="array" ref="G1560">MAX(INDEX('Relacion '!$X$5:$Y$493,MATCH(INDEX($B:$B, (ROW()-1)),'Relacion '!$E$5:$E$493,0),0))</f>
        <v>46083</v>
      </c>
      <c r="H1560" s="241" cm="1">
        <f t="array" ref="H1560">IF(
 MATCH(B1560,{"01. ASIGNACION AREA";"02. MAPEO";"03. DESARROLLO";"04. VALIDA US";"05. VOBO US";"06. BW-EJECUCION";"07. VALIDACIÓN BAJAWARE";"08. CERRADA"},0)
 &lt;
 MATCH(_xlfn.XLOOKUP(INDEX($B:$B, (ROW()-1)),'Relacion '!$E:$E,'Relacion '!$D:$D,""),{"01. ASIGNACION AREA";"02. MAPEO";"03. DESARROLLO";"04. VALIDA US";"05. VOBO US";"06. BW-EJECUCION";"07. VALIDACIÓN BAJAWARE";"08. CERRADA"},0),
 1,
 IF(
  MATCH(B1560,{"01. ASIGNACION AREA";"02. MAPEO";"03. DESARROLLO";"04. VALIDA US";"05. VOBO US";"06. BW-EJECUCION";"07. VALIDACIÓN BAJAWARE";"08. CERRADA"},0)
  =
  MATCH(_xlfn.XLOOKUP(INDEX($B:$B, (ROW()-1)),'Relacion '!$E:$E,'Relacion '!$D:$D,""),{"01. ASIGNACION AREA";"02. MAPEO";"03. DESARROLLO";"04. VALIDA US";"05. VOBO US";"06. BW-EJECUCION";"07. VALIDACIÓN BAJAWARE";"08. CERRADA"},0),
  _xlfn.XLOOKUP(INDEX($B:$B, (ROW()-1)),'Relacion '!$E:$E,'Relacion '!#REF!,0),
  0
 )
)</f>
        <v>1</v>
      </c>
      <c r="I1560" s="241">
        <f t="shared" ref="I1560" ca="1" si="371">IF(G1560&lt;=TODAY(), 1, 0)</f>
        <v>1</v>
      </c>
      <c r="J1560" s="241"/>
      <c r="K1560" s="241"/>
      <c r="L1560" s="238"/>
    </row>
    <row r="1561" spans="2:12" outlineLevel="1">
      <c r="B1561" s="237" t="s">
        <v>195</v>
      </c>
      <c r="C1561" s="237" t="s">
        <v>195</v>
      </c>
      <c r="D1561" s="238" t="str">
        <f>_xlfn.XLOOKUP(B1561,'Relacion '!$E:$E,'Relacion '!$D:$D,"")</f>
        <v/>
      </c>
      <c r="E1561" s="239">
        <f t="shared" si="365"/>
        <v>4</v>
      </c>
      <c r="F1561" s="240" cm="1">
        <f t="array" ref="F1561">MIN(INDEX('Relacion '!$Z$5:$AA$493,MATCH(INDEX($B:$B, (ROW()-2)),'Relacion '!$E$5:$E$493,0),0))</f>
        <v>46034</v>
      </c>
      <c r="G1561" s="240" cm="1">
        <f t="array" ref="G1561">MAX(INDEX('Relacion '!$Z$5:$AA$493,MATCH(INDEX($B:$B, (ROW()-2)),'Relacion '!$E$5:$E$493,0),0))</f>
        <v>46038</v>
      </c>
      <c r="H1561" s="241" cm="1">
        <f t="array" ref="H1561">IF(
 MATCH(B1561,{"01. ASIGNACION AREA";"02. MAPEO";"03. DESARROLLO";"04. VALIDA US";"05. VOBO US";"06. BW-EJECUCION";"07. VALIDACIÓN BAJAWARE";"08. CERRADA"},0)
 &lt;
 MATCH(_xlfn.XLOOKUP(INDEX($B:$B, (ROW()-2)),'Relacion '!$E:$E,'Relacion '!$D:$D,""),{"01. ASIGNACION AREA";"02. MAPEO";"03. DESARROLLO";"04. VALIDA US";"05. VOBO US";"06. BW-EJECUCION";"07. VALIDACIÓN BAJAWARE";"08. CERRADA"},0),
 1,
 IF(
  MATCH(B1561,{"01. ASIGNACION AREA";"02. MAPEO";"03. DESARROLLO";"04. VALIDA US";"05. VOBO US";"06. BW-EJECUCION";"07. VALIDACIÓN BAJAWARE";"08. CERRADA"},0)
  =
  MATCH(_xlfn.XLOOKUP(INDEX($B:$B, (ROW()-2)),'Relacion '!$E:$E,'Relacion '!$D:$D,""),{"01. ASIGNACION AREA";"02. MAPEO";"03. DESARROLLO";"04. VALIDA US";"05. VOBO US";"06. BW-EJECUCION";"07. VALIDACIÓN BAJAWARE";"08. CERRADA"},0),
  _xlfn.XLOOKUP(INDEX($B:$B, (ROW()-2)),'Relacion '!$E:$E,'Relacion '!#REF!,0),
  0
 )
)</f>
        <v>1</v>
      </c>
      <c r="I1561" s="241">
        <f t="shared" ca="1" si="362"/>
        <v>1</v>
      </c>
      <c r="J1561" s="241"/>
      <c r="K1561" s="241"/>
      <c r="L1561" s="238"/>
    </row>
    <row r="1562" spans="2:12" outlineLevel="1">
      <c r="B1562" s="237" t="s">
        <v>49</v>
      </c>
      <c r="C1562" s="237" t="s">
        <v>49</v>
      </c>
      <c r="D1562" s="238" t="str">
        <f>_xlfn.XLOOKUP(B1562,'Relacion '!$E:$E,'Relacion '!$D:$D,"")</f>
        <v/>
      </c>
      <c r="E1562" s="239">
        <f t="shared" si="365"/>
        <v>4</v>
      </c>
      <c r="F1562" s="240" cm="1">
        <f t="array" ref="F1562">MIN(INDEX('Relacion '!$AB$5:$AC$493,MATCH(INDEX($B:$B, (ROW()-3)),'Relacion '!$E$5:$E$493,0),0))</f>
        <v>46041</v>
      </c>
      <c r="G1562" s="240" cm="1">
        <f t="array" ref="G1562">MAX(INDEX('Relacion '!$AB$5:$AC$493,MATCH(INDEX($B:$B, (ROW()-3)),'Relacion '!$E$5:$E$493,0),0))</f>
        <v>46045</v>
      </c>
      <c r="H1562" s="241" cm="1">
        <f t="array" ref="H1562">IF(
 MATCH(B1562,{"01. ASIGNACION AREA";"02. MAPEO";"03. DESARROLLO";"04. VALIDA US";"05. VOBO US";"06. BW-EJECUCION";"07. VALIDACIÓN BAJAWARE";"08. CERRADA"},0)
 &lt;
 MATCH(_xlfn.XLOOKUP(INDEX($B:$B, (ROW()-3)),'Relacion '!$E:$E,'Relacion '!$D:$D,""),{"01. ASIGNACION AREA";"02. MAPEO";"03. DESARROLLO";"04. VALIDA US";"05. VOBO US";"06. BW-EJECUCION";"07. VALIDACIÓN BAJAWARE";"08. CERRADA"},0),
 1,
 IF(
  MATCH(B1562,{"01. ASIGNACION AREA";"02. MAPEO";"03. DESARROLLO";"04. VALIDA US";"05. VOBO US";"06. BW-EJECUCION";"07. VALIDACIÓN BAJAWARE";"08. CERRADA"},0)
  =
  MATCH(_xlfn.XLOOKUP(INDEX($B:$B, (ROW()-3)),'Relacion '!$E:$E,'Relacion '!$D:$D,""),{"01. ASIGNACION AREA";"02. MAPEO";"03. DESARROLLO";"04. VALIDA US";"05. VOBO US";"06. BW-EJECUCION";"07. VALIDACIÓN BAJAWARE";"08. CERRADA"},0),
  _xlfn.XLOOKUP(INDEX($B:$B, (ROW()-3)),'Relacion '!$E:$E,'Relacion '!#REF!,0),
  0
 )
)</f>
        <v>1</v>
      </c>
      <c r="I1562" s="241">
        <f t="shared" ca="1" si="362"/>
        <v>1</v>
      </c>
      <c r="J1562" s="241"/>
      <c r="K1562" s="241"/>
      <c r="L1562" s="238"/>
    </row>
    <row r="1563" spans="2:12" outlineLevel="1">
      <c r="B1563" s="237" t="s">
        <v>324</v>
      </c>
      <c r="C1563" s="237" t="s">
        <v>324</v>
      </c>
      <c r="D1563" s="238" t="str">
        <f>_xlfn.XLOOKUP(B1563,'Relacion '!$E:$E,'Relacion '!$D:$D,"")</f>
        <v/>
      </c>
      <c r="E1563" s="239">
        <f t="shared" si="365"/>
        <v>4</v>
      </c>
      <c r="F1563" s="240" cm="1">
        <f t="array" ref="F1563">MIN(INDEX('Relacion '!$AD$5:$AE$493,MATCH(INDEX($B:$B, (ROW()-4)),'Relacion '!$E$5:$E$493,0),0))</f>
        <v>46048</v>
      </c>
      <c r="G1563" s="240" cm="1">
        <f t="array" ref="G1563">MAX(INDEX('Relacion '!$AD$5:$AE$493,MATCH(INDEX($B:$B, (ROW()-4)),'Relacion '!$E$5:$E$493,0),0))</f>
        <v>46052</v>
      </c>
      <c r="H1563" s="241" cm="1">
        <f t="array" ref="H1563">IF(
 MATCH(B1563,{"01. ASIGNACION AREA";"02. MAPEO";"03. DESARROLLO";"04. VALIDA US";"05. VOBO US";"06. BW-EJECUCION";"07. VALIDACIÓN BAJAWARE";"08. CERRADA"},0)
 &lt;
 MATCH(_xlfn.XLOOKUP(INDEX($B:$B, (ROW()-4)),'Relacion '!$E:$E,'Relacion '!$D:$D,""),{"01. ASIGNACION AREA";"02. MAPEO";"03. DESARROLLO";"04. VALIDA US";"05. VOBO US";"06. BW-EJECUCION";"07. VALIDACIÓN BAJAWARE";"08. CERRADA"},0),
 1,
 IF(
  MATCH(B1563,{"01. ASIGNACION AREA";"02. MAPEO";"03. DESARROLLO";"04. VALIDA US";"05. VOBO US";"06. BW-EJECUCION";"07. VALIDACIÓN BAJAWARE";"08. CERRADA"},0)
  =
  MATCH(_xlfn.XLOOKUP(INDEX($B:$B, (ROW()-4)),'Relacion '!$E:$E,'Relacion '!$D:$D,""),{"01. ASIGNACION AREA";"02. MAPEO";"03. DESARROLLO";"04. VALIDA US";"05. VOBO US";"06. BW-EJECUCION";"07. VALIDACIÓN BAJAWARE";"08. CERRADA"},0),
  _xlfn.XLOOKUP(INDEX($B:$B, (ROW()-4)),'Relacion '!$E:$E,'Relacion '!#REF!,0),
  0
 )
)</f>
        <v>1</v>
      </c>
      <c r="I1563" s="241">
        <f t="shared" ca="1" si="362"/>
        <v>1</v>
      </c>
      <c r="J1563" s="241"/>
      <c r="K1563" s="241"/>
      <c r="L1563" s="238"/>
    </row>
    <row r="1564" spans="2:12" outlineLevel="1">
      <c r="B1564" s="237" t="s">
        <v>320</v>
      </c>
      <c r="C1564" s="237" t="s">
        <v>320</v>
      </c>
      <c r="D1564" s="238" t="str">
        <f>_xlfn.XLOOKUP(B1564,'Relacion '!$E:$E,'Relacion '!$D:$D,"")</f>
        <v/>
      </c>
      <c r="E1564" s="239">
        <f t="shared" si="365"/>
        <v>7</v>
      </c>
      <c r="F1564" s="240" cm="1">
        <f t="array" ref="F1564">MIN(INDEX('Relacion '!$AF$5:$AG$493,MATCH(INDEX($B:$B, (ROW()-5)),'Relacion '!$E$5:$E$493,0),0))</f>
        <v>46055</v>
      </c>
      <c r="G1564" s="240" cm="1">
        <f t="array" ref="G1564">MAX(INDEX('Relacion '!$AF$5:$AG$493,MATCH(INDEX($B:$B, (ROW()-5)),'Relacion '!$E$5:$E$493,0),0))</f>
        <v>46062</v>
      </c>
      <c r="H1564" s="241" cm="1">
        <f t="array" ref="H1564">IF(
 MATCH(B1564,{"01. ASIGNACION AREA";"02. MAPEO";"03. DESARROLLO";"04. VALIDA US";"05. VOBO US";"06. BW-EJECUCION";"07. VALIDACIÓN BAJAWARE";"08. CERRADA"},0)
 &lt;
 MATCH(_xlfn.XLOOKUP(INDEX($B:$B, (ROW()-5)),'Relacion '!$E:$E,'Relacion '!$D:$D,""),{"01. ASIGNACION AREA";"02. MAPEO";"03. DESARROLLO";"04. VALIDA US";"05. VOBO US";"06. BW-EJECUCION";"07. VALIDACIÓN BAJAWARE";"08. CERRADA"},0),
 1,
 IF(
  MATCH(B1564,{"01. ASIGNACION AREA";"02. MAPEO";"03. DESARROLLO";"04. VALIDA US";"05. VOBO US";"06. BW-EJECUCION";"07. VALIDACIÓN BAJAWARE";"08. CERRADA"},0)
  =
  MATCH(_xlfn.XLOOKUP(INDEX($B:$B, (ROW()-5)),'Relacion '!$E:$E,'Relacion '!$D:$D,""),{"01. ASIGNACION AREA";"02. MAPEO";"03. DESARROLLO";"04. VALIDA US";"05. VOBO US";"06. BW-EJECUCION";"07. VALIDACIÓN BAJAWARE";"08. CERRADA"},0),
  _xlfn.XLOOKUP(INDEX($B:$B, (ROW()-5)),'Relacion '!$E:$E,'Relacion '!#REF!,0),
  0
 )
)</f>
        <v>1</v>
      </c>
      <c r="I1564" s="241">
        <f t="shared" ca="1" si="362"/>
        <v>1</v>
      </c>
      <c r="J1564" s="241"/>
      <c r="K1564" s="241"/>
      <c r="L1564" s="238"/>
    </row>
    <row r="1565" spans="2:12" outlineLevel="1">
      <c r="B1565" s="237" t="s">
        <v>710</v>
      </c>
      <c r="C1565" s="237" t="s">
        <v>710</v>
      </c>
      <c r="D1565" s="238" t="str">
        <f>_xlfn.XLOOKUP(B1565,'Relacion '!$E:$E,'Relacion '!$D:$D,"")</f>
        <v/>
      </c>
      <c r="E1565" s="239">
        <f t="shared" si="365"/>
        <v>25</v>
      </c>
      <c r="F1565" s="240" cm="1">
        <f t="array" ref="F1565">MIN(INDEX('Relacion '!$AH$5:$AI$493,MATCH(INDEX($B:$B, (ROW()-6)),'Relacion '!$E$5:$E$493,0),0))</f>
        <v>46076</v>
      </c>
      <c r="G1565" s="240" cm="1">
        <f t="array" ref="G1565">MAX(INDEX('Relacion '!$AH$5:$AI$493,MATCH(INDEX($B:$B, (ROW()-6)),'Relacion '!$E$5:$E$493,0),0))</f>
        <v>46101</v>
      </c>
      <c r="H1565" s="241" t="e" cm="1">
        <f t="array" ref="H1565">IF(
 MATCH(B1565,{"01. ASIGNACION AREA";"02. MAPEO";"03. DESARROLLO";"04. VALIDA US";"05. VOBO US";"06. BW-EJECUCION";"07. VALIDACIÓN BAJAWARE";"08. CERRADA"},0)
 &lt;
 MATCH(_xlfn.XLOOKUP(INDEX($B:$B, (ROW()-6)),'Relacion '!$E:$E,'Relacion '!$D:$D,""),{"01. ASIGNACION AREA";"02. MAPEO";"03. DESARROLLO";"04. VALIDA US";"05. VOBO US";"06. BW-EJECUCION";"07. VALIDACIÓN BAJAWARE";"08. CERRADA"},0),
 1,
 IF(
  MATCH(B1565,{"01. ASIGNACION AREA";"02. MAPEO";"03. DESARROLLO";"04. VALIDA US";"05. VOBO US";"06. BW-EJECUCION";"07. VALIDACIÓN BAJAWARE";"08. CERRADA"},0)
  =
  MATCH(_xlfn.XLOOKUP(INDEX($B:$B, (ROW()-6)),'Relacion '!$E:$E,'Relacion '!$D:$D,""),{"01. ASIGNACION AREA";"02. MAPEO";"03. DESARROLLO";"04. VALIDA US";"05. VOBO US";"06. BW-EJECUCION";"07. VALIDACIÓN BAJAWARE";"08. CERRADA"},0),
  _xlfn.XLOOKUP(INDEX($B:$B, (ROW()-6)),'Relacion '!$E:$E,'Relacion '!#REF!,0),
  0
 )
)</f>
        <v>#REF!</v>
      </c>
      <c r="I1565" s="241">
        <f t="shared" ca="1" si="362"/>
        <v>1</v>
      </c>
      <c r="J1565" s="241"/>
      <c r="K1565" s="241"/>
      <c r="L1565" s="238"/>
    </row>
    <row r="1566" spans="2:12" outlineLevel="1">
      <c r="B1566" s="237" t="s">
        <v>655</v>
      </c>
      <c r="C1566" s="237" t="s">
        <v>655</v>
      </c>
      <c r="D1566" s="238" t="str">
        <f>_xlfn.XLOOKUP(B1566,'Relacion '!$E:$E,'Relacion '!$D:$D,"")</f>
        <v/>
      </c>
      <c r="E1566" s="239">
        <f t="shared" si="365"/>
        <v>25</v>
      </c>
      <c r="F1566" s="240" cm="1">
        <f t="array" ref="F1566">MIN(INDEX('Relacion '!$AJ$5:$AK$493,MATCH(INDEX($B:$B, (ROW()-7)),'Relacion '!$E$5:$E$493,0),0))</f>
        <v>46104</v>
      </c>
      <c r="G1566" s="240" cm="1">
        <f t="array" ref="G1566">MAX(INDEX('Relacion '!$AJ$5:$AK$493,MATCH(INDEX($B:$B, (ROW()-7)),'Relacion '!$E$5:$E$493,0),0))</f>
        <v>46129</v>
      </c>
      <c r="H1566" s="241" cm="1">
        <f t="array" ref="H1566">IF(
 MATCH(B1566,{"01. ASIGNACION AREA";"02. MAPEO";"03. DESARROLLO";"04. VALIDA US";"05. VOBO US";"06. BW-EJECUCION";"07. VALIDACIÓN BAJAWARE";"08. CERRADA"},0)
 &lt;
 MATCH(_xlfn.XLOOKUP(INDEX($B:$B, (ROW()-7)),'Relacion '!$E:$E,'Relacion '!$D:$D,""),{"01. ASIGNACION AREA";"02. MAPEO";"03. DESARROLLO";"04. VALIDA US";"05. VOBO US";"06. BW-EJECUCION";"07. VALIDACIÓN BAJAWARE";"08. CERRADA"},0),
 1,
 IF(
  MATCH(B1566,{"01. ASIGNACION AREA";"02. MAPEO";"03. DESARROLLO";"04. VALIDA US";"05. VOBO US";"06. BW-EJECUCION";"07. VALIDACIÓN BAJAWARE";"08. CERRADA"},0)
  =
  MATCH(_xlfn.XLOOKUP(INDEX($B:$B, (ROW()-7)),'Relacion '!$E:$E,'Relacion '!$D:$D,""),{"01. ASIGNACION AREA";"02. MAPEO";"03. DESARROLLO";"04. VALIDA US";"05. VOBO US";"06. BW-EJECUCION";"07. VALIDACIÓN BAJAWARE";"08. CERRADA"},0),
  _xlfn.XLOOKUP(INDEX($B:$B, (ROW()-7)),'Relacion '!$E:$E,'Relacion '!#REF!,0),
  0
 )
)</f>
        <v>0</v>
      </c>
      <c r="I1566" s="241">
        <f t="shared" ca="1" si="362"/>
        <v>1</v>
      </c>
      <c r="J1566" s="241"/>
      <c r="K1566" s="241"/>
      <c r="L1566" s="238"/>
    </row>
    <row r="1567" spans="2:12" outlineLevel="1">
      <c r="B1567" s="237" t="s">
        <v>656</v>
      </c>
      <c r="C1567" s="237" t="s">
        <v>656</v>
      </c>
      <c r="D1567" s="238" t="str">
        <f>_xlfn.XLOOKUP(B1567,'Relacion '!$E:$E,'Relacion '!$D:$D,"")</f>
        <v/>
      </c>
      <c r="E1567" s="239">
        <f t="shared" si="365"/>
        <v>0</v>
      </c>
      <c r="F1567" s="240" cm="1">
        <f t="array" ref="F1567">MIN(INDEX('Relacion '!$AL$5:$AM$493,MATCH(INDEX($B:$B, (ROW()-8)),'Relacion '!$E$5:$E$493,0),0))</f>
        <v>46130</v>
      </c>
      <c r="G1567" s="240" cm="1">
        <f t="array" ref="G1567">MAX(INDEX('Relacion '!$AL$5:$AM$493,MATCH(INDEX($B:$B, (ROW()-8)),'Relacion '!$E$5:$E$493,0),0))</f>
        <v>46130</v>
      </c>
      <c r="H1567" s="241" cm="1">
        <f t="array" ref="H1567">IF(
 MATCH(B1567,{"01. ASIGNACION AREA";"02. MAPEO";"03. DESARROLLO";"04. VALIDA US";"05. VOBO US";"06. BW-EJECUCION";"07. VALIDACIÓN BAJAWARE";"08. CERRADA"},0)
 &lt;
 MATCH(_xlfn.XLOOKUP(INDEX($B:$B, (ROW()-8)),'Relacion '!$E:$E,'Relacion '!$D:$D,""),{"01. ASIGNACION AREA";"02. MAPEO";"03. DESARROLLO";"04. VALIDA US";"05. VOBO US";"06. BW-EJECUCION";"07. VALIDACIÓN BAJAWARE";"08. CERRADA"},0),
 1,
 IF(
  MATCH(B1567,{"01. ASIGNACION AREA";"02. MAPEO";"03. DESARROLLO";"04. VALIDA US";"05. VOBO US";"06. BW-EJECUCION";"07. VALIDACIÓN BAJAWARE";"08. CERRADA"},0)
  =
  MATCH(_xlfn.XLOOKUP(INDEX($B:$B, (ROW()-8)),'Relacion '!$E:$E,'Relacion '!$D:$D,""),{"01. ASIGNACION AREA";"02. MAPEO";"03. DESARROLLO";"04. VALIDA US";"05. VOBO US";"06. BW-EJECUCION";"07. VALIDACIÓN BAJAWARE";"08. CERRADA"},0),
  _xlfn.XLOOKUP(INDEX($B:$B, (ROW()-8)),'Relacion '!$E:$E,'Relacion '!#REF!,0),
  0
 )
)</f>
        <v>0</v>
      </c>
      <c r="I1567" s="241">
        <f t="shared" ca="1" si="362"/>
        <v>1</v>
      </c>
      <c r="J1567" s="241"/>
      <c r="K1567" s="241"/>
      <c r="L1567" s="238"/>
    </row>
    <row r="1568" spans="2:12" ht="30">
      <c r="B1568" s="232" t="s">
        <v>606</v>
      </c>
      <c r="C1568" s="167" t="s">
        <v>607</v>
      </c>
      <c r="D1568" s="236" t="str">
        <f>_xlfn.XLOOKUP(B1568,'Relacion '!$E:$E,'Relacion '!$D:$D,"")</f>
        <v>06. BW-EJECUCION</v>
      </c>
      <c r="E1568" s="233">
        <f t="shared" si="365"/>
        <v>471</v>
      </c>
      <c r="F1568" s="234" cm="1">
        <f t="array" ref="F1568">MIN(INDEX('Relacion '!$X$5:$AM$493,MATCH(INDEX($B:$B, (ROW()-0)),'Relacion '!$E$5:$E$493,0),0))</f>
        <v>45659</v>
      </c>
      <c r="G1568" s="234" cm="1">
        <f t="array" ref="G1568">MAX(INDEX('Relacion '!$X$5:$AM$493,MATCH(INDEX($B:$B, (ROW()-0)),'Relacion '!$E$5:$E$493,0),0))</f>
        <v>46130</v>
      </c>
      <c r="H1568" s="235" t="e">
        <f>AVERAGE(H1569:H1576)</f>
        <v>#REF!</v>
      </c>
      <c r="I1568" s="235">
        <f t="shared" ref="I1568" ca="1" si="372">AVERAGE(I1569:I1576)</f>
        <v>1</v>
      </c>
      <c r="J1568" s="236" t="str">
        <f>IF(ISNUMBER(SEARCH("Rocha", _xlfn.XLOOKUP(B1568,'Relacion '!$E:$E,'Relacion '!$I:$I,""))), "Sí", "No")</f>
        <v>No</v>
      </c>
      <c r="K1568" s="236" t="str">
        <f>IF(ISNUMBER(SEARCH("Rocha", _xlfn.XLOOKUP(B1568,'Relacion '!$E:$E,'Relacion '!$I:$I,""))), "RMC", _xlfn.XLOOKUP(B1568,'Relacion '!$E:$E,'Relacion '!$B:$B,""))</f>
        <v>Producto</v>
      </c>
      <c r="L1568" s="236" t="str">
        <f>_xlfn.XLOOKUP(B1568,'Relacion '!$E:$E,'Relacion '!$C:$C,"")</f>
        <v>Claudia Barroso</v>
      </c>
    </row>
    <row r="1569" spans="2:12" outlineLevel="1">
      <c r="B1569" s="237" t="s">
        <v>654</v>
      </c>
      <c r="C1569" s="237" t="s">
        <v>654</v>
      </c>
      <c r="D1569" s="238" t="str">
        <f>_xlfn.XLOOKUP(B1569,'Relacion '!$E:$E,'Relacion '!$D:$D,"")</f>
        <v/>
      </c>
      <c r="E1569" s="239">
        <f t="shared" si="365"/>
        <v>424</v>
      </c>
      <c r="F1569" s="240" cm="1">
        <f t="array" ref="F1569">MIN(INDEX('Relacion '!$X$5:$Y$493,MATCH(INDEX($B:$B, (ROW()-1)),'Relacion '!$E$5:$E$493,0),0))</f>
        <v>45659</v>
      </c>
      <c r="G1569" s="240" cm="1">
        <f t="array" ref="G1569">MAX(INDEX('Relacion '!$X$5:$Y$493,MATCH(INDEX($B:$B, (ROW()-1)),'Relacion '!$E$5:$E$493,0),0))</f>
        <v>46083</v>
      </c>
      <c r="H1569" s="241" cm="1">
        <f t="array" ref="H1569">IF(
 MATCH(B1569,{"01. ASIGNACION AREA";"02. MAPEO";"03. DESARROLLO";"04. VALIDA US";"05. VOBO US";"06. BW-EJECUCION";"07. VALIDACIÓN BAJAWARE";"08. CERRADA"},0)
 &lt;
 MATCH(_xlfn.XLOOKUP(INDEX($B:$B, (ROW()-1)),'Relacion '!$E:$E,'Relacion '!$D:$D,""),{"01. ASIGNACION AREA";"02. MAPEO";"03. DESARROLLO";"04. VALIDA US";"05. VOBO US";"06. BW-EJECUCION";"07. VALIDACIÓN BAJAWARE";"08. CERRADA"},0),
 1,
 IF(
  MATCH(B1569,{"01. ASIGNACION AREA";"02. MAPEO";"03. DESARROLLO";"04. VALIDA US";"05. VOBO US";"06. BW-EJECUCION";"07. VALIDACIÓN BAJAWARE";"08. CERRADA"},0)
  =
  MATCH(_xlfn.XLOOKUP(INDEX($B:$B, (ROW()-1)),'Relacion '!$E:$E,'Relacion '!$D:$D,""),{"01. ASIGNACION AREA";"02. MAPEO";"03. DESARROLLO";"04. VALIDA US";"05. VOBO US";"06. BW-EJECUCION";"07. VALIDACIÓN BAJAWARE";"08. CERRADA"},0),
  _xlfn.XLOOKUP(INDEX($B:$B, (ROW()-1)),'Relacion '!$E:$E,'Relacion '!#REF!,0),
  0
 )
)</f>
        <v>1</v>
      </c>
      <c r="I1569" s="241">
        <f t="shared" ref="I1569" ca="1" si="373">IF(G1569&lt;=TODAY(), 1, 0)</f>
        <v>1</v>
      </c>
      <c r="J1569" s="241"/>
      <c r="K1569" s="241"/>
      <c r="L1569" s="238"/>
    </row>
    <row r="1570" spans="2:12" outlineLevel="1">
      <c r="B1570" s="237" t="s">
        <v>195</v>
      </c>
      <c r="C1570" s="237" t="s">
        <v>195</v>
      </c>
      <c r="D1570" s="238" t="str">
        <f>_xlfn.XLOOKUP(B1570,'Relacion '!$E:$E,'Relacion '!$D:$D,"")</f>
        <v/>
      </c>
      <c r="E1570" s="239">
        <f t="shared" si="365"/>
        <v>4</v>
      </c>
      <c r="F1570" s="240" cm="1">
        <f t="array" ref="F1570">MIN(INDEX('Relacion '!$Z$5:$AA$493,MATCH(INDEX($B:$B, (ROW()-2)),'Relacion '!$E$5:$E$493,0),0))</f>
        <v>46034</v>
      </c>
      <c r="G1570" s="240" cm="1">
        <f t="array" ref="G1570">MAX(INDEX('Relacion '!$Z$5:$AA$493,MATCH(INDEX($B:$B, (ROW()-2)),'Relacion '!$E$5:$E$493,0),0))</f>
        <v>46038</v>
      </c>
      <c r="H1570" s="241" cm="1">
        <f t="array" ref="H1570">IF(
 MATCH(B1570,{"01. ASIGNACION AREA";"02. MAPEO";"03. DESARROLLO";"04. VALIDA US";"05. VOBO US";"06. BW-EJECUCION";"07. VALIDACIÓN BAJAWARE";"08. CERRADA"},0)
 &lt;
 MATCH(_xlfn.XLOOKUP(INDEX($B:$B, (ROW()-2)),'Relacion '!$E:$E,'Relacion '!$D:$D,""),{"01. ASIGNACION AREA";"02. MAPEO";"03. DESARROLLO";"04. VALIDA US";"05. VOBO US";"06. BW-EJECUCION";"07. VALIDACIÓN BAJAWARE";"08. CERRADA"},0),
 1,
 IF(
  MATCH(B1570,{"01. ASIGNACION AREA";"02. MAPEO";"03. DESARROLLO";"04. VALIDA US";"05. VOBO US";"06. BW-EJECUCION";"07. VALIDACIÓN BAJAWARE";"08. CERRADA"},0)
  =
  MATCH(_xlfn.XLOOKUP(INDEX($B:$B, (ROW()-2)),'Relacion '!$E:$E,'Relacion '!$D:$D,""),{"01. ASIGNACION AREA";"02. MAPEO";"03. DESARROLLO";"04. VALIDA US";"05. VOBO US";"06. BW-EJECUCION";"07. VALIDACIÓN BAJAWARE";"08. CERRADA"},0),
  _xlfn.XLOOKUP(INDEX($B:$B, (ROW()-2)),'Relacion '!$E:$E,'Relacion '!#REF!,0),
  0
 )
)</f>
        <v>1</v>
      </c>
      <c r="I1570" s="241">
        <f t="shared" ca="1" si="362"/>
        <v>1</v>
      </c>
      <c r="J1570" s="241"/>
      <c r="K1570" s="241"/>
      <c r="L1570" s="238"/>
    </row>
    <row r="1571" spans="2:12" outlineLevel="1">
      <c r="B1571" s="237" t="s">
        <v>49</v>
      </c>
      <c r="C1571" s="237" t="s">
        <v>49</v>
      </c>
      <c r="D1571" s="238" t="str">
        <f>_xlfn.XLOOKUP(B1571,'Relacion '!$E:$E,'Relacion '!$D:$D,"")</f>
        <v/>
      </c>
      <c r="E1571" s="239">
        <f t="shared" si="365"/>
        <v>4</v>
      </c>
      <c r="F1571" s="240" cm="1">
        <f t="array" ref="F1571">MIN(INDEX('Relacion '!$AB$5:$AC$493,MATCH(INDEX($B:$B, (ROW()-3)),'Relacion '!$E$5:$E$493,0),0))</f>
        <v>46041</v>
      </c>
      <c r="G1571" s="240" cm="1">
        <f t="array" ref="G1571">MAX(INDEX('Relacion '!$AB$5:$AC$493,MATCH(INDEX($B:$B, (ROW()-3)),'Relacion '!$E$5:$E$493,0),0))</f>
        <v>46045</v>
      </c>
      <c r="H1571" s="241" cm="1">
        <f t="array" ref="H1571">IF(
 MATCH(B1571,{"01. ASIGNACION AREA";"02. MAPEO";"03. DESARROLLO";"04. VALIDA US";"05. VOBO US";"06. BW-EJECUCION";"07. VALIDACIÓN BAJAWARE";"08. CERRADA"},0)
 &lt;
 MATCH(_xlfn.XLOOKUP(INDEX($B:$B, (ROW()-3)),'Relacion '!$E:$E,'Relacion '!$D:$D,""),{"01. ASIGNACION AREA";"02. MAPEO";"03. DESARROLLO";"04. VALIDA US";"05. VOBO US";"06. BW-EJECUCION";"07. VALIDACIÓN BAJAWARE";"08. CERRADA"},0),
 1,
 IF(
  MATCH(B1571,{"01. ASIGNACION AREA";"02. MAPEO";"03. DESARROLLO";"04. VALIDA US";"05. VOBO US";"06. BW-EJECUCION";"07. VALIDACIÓN BAJAWARE";"08. CERRADA"},0)
  =
  MATCH(_xlfn.XLOOKUP(INDEX($B:$B, (ROW()-3)),'Relacion '!$E:$E,'Relacion '!$D:$D,""),{"01. ASIGNACION AREA";"02. MAPEO";"03. DESARROLLO";"04. VALIDA US";"05. VOBO US";"06. BW-EJECUCION";"07. VALIDACIÓN BAJAWARE";"08. CERRADA"},0),
  _xlfn.XLOOKUP(INDEX($B:$B, (ROW()-3)),'Relacion '!$E:$E,'Relacion '!#REF!,0),
  0
 )
)</f>
        <v>1</v>
      </c>
      <c r="I1571" s="241">
        <f t="shared" ca="1" si="362"/>
        <v>1</v>
      </c>
      <c r="J1571" s="241"/>
      <c r="K1571" s="241"/>
      <c r="L1571" s="238"/>
    </row>
    <row r="1572" spans="2:12" outlineLevel="1">
      <c r="B1572" s="237" t="s">
        <v>324</v>
      </c>
      <c r="C1572" s="237" t="s">
        <v>324</v>
      </c>
      <c r="D1572" s="238" t="str">
        <f>_xlfn.XLOOKUP(B1572,'Relacion '!$E:$E,'Relacion '!$D:$D,"")</f>
        <v/>
      </c>
      <c r="E1572" s="239">
        <f t="shared" si="365"/>
        <v>4</v>
      </c>
      <c r="F1572" s="240" cm="1">
        <f t="array" ref="F1572">MIN(INDEX('Relacion '!$AD$5:$AE$493,MATCH(INDEX($B:$B, (ROW()-4)),'Relacion '!$E$5:$E$493,0),0))</f>
        <v>46048</v>
      </c>
      <c r="G1572" s="240" cm="1">
        <f t="array" ref="G1572">MAX(INDEX('Relacion '!$AD$5:$AE$493,MATCH(INDEX($B:$B, (ROW()-4)),'Relacion '!$E$5:$E$493,0),0))</f>
        <v>46052</v>
      </c>
      <c r="H1572" s="241" cm="1">
        <f t="array" ref="H1572">IF(
 MATCH(B1572,{"01. ASIGNACION AREA";"02. MAPEO";"03. DESARROLLO";"04. VALIDA US";"05. VOBO US";"06. BW-EJECUCION";"07. VALIDACIÓN BAJAWARE";"08. CERRADA"},0)
 &lt;
 MATCH(_xlfn.XLOOKUP(INDEX($B:$B, (ROW()-4)),'Relacion '!$E:$E,'Relacion '!$D:$D,""),{"01. ASIGNACION AREA";"02. MAPEO";"03. DESARROLLO";"04. VALIDA US";"05. VOBO US";"06. BW-EJECUCION";"07. VALIDACIÓN BAJAWARE";"08. CERRADA"},0),
 1,
 IF(
  MATCH(B1572,{"01. ASIGNACION AREA";"02. MAPEO";"03. DESARROLLO";"04. VALIDA US";"05. VOBO US";"06. BW-EJECUCION";"07. VALIDACIÓN BAJAWARE";"08. CERRADA"},0)
  =
  MATCH(_xlfn.XLOOKUP(INDEX($B:$B, (ROW()-4)),'Relacion '!$E:$E,'Relacion '!$D:$D,""),{"01. ASIGNACION AREA";"02. MAPEO";"03. DESARROLLO";"04. VALIDA US";"05. VOBO US";"06. BW-EJECUCION";"07. VALIDACIÓN BAJAWARE";"08. CERRADA"},0),
  _xlfn.XLOOKUP(INDEX($B:$B, (ROW()-4)),'Relacion '!$E:$E,'Relacion '!#REF!,0),
  0
 )
)</f>
        <v>1</v>
      </c>
      <c r="I1572" s="241">
        <f t="shared" ca="1" si="362"/>
        <v>1</v>
      </c>
      <c r="J1572" s="241"/>
      <c r="K1572" s="241"/>
      <c r="L1572" s="238"/>
    </row>
    <row r="1573" spans="2:12" outlineLevel="1">
      <c r="B1573" s="237" t="s">
        <v>320</v>
      </c>
      <c r="C1573" s="237" t="s">
        <v>320</v>
      </c>
      <c r="D1573" s="238" t="str">
        <f>_xlfn.XLOOKUP(B1573,'Relacion '!$E:$E,'Relacion '!$D:$D,"")</f>
        <v/>
      </c>
      <c r="E1573" s="239">
        <f t="shared" si="365"/>
        <v>7</v>
      </c>
      <c r="F1573" s="240" cm="1">
        <f t="array" ref="F1573">MIN(INDEX('Relacion '!$AF$5:$AG$493,MATCH(INDEX($B:$B, (ROW()-5)),'Relacion '!$E$5:$E$493,0),0))</f>
        <v>46055</v>
      </c>
      <c r="G1573" s="240" cm="1">
        <f t="array" ref="G1573">MAX(INDEX('Relacion '!$AF$5:$AG$493,MATCH(INDEX($B:$B, (ROW()-5)),'Relacion '!$E$5:$E$493,0),0))</f>
        <v>46062</v>
      </c>
      <c r="H1573" s="241" cm="1">
        <f t="array" ref="H1573">IF(
 MATCH(B1573,{"01. ASIGNACION AREA";"02. MAPEO";"03. DESARROLLO";"04. VALIDA US";"05. VOBO US";"06. BW-EJECUCION";"07. VALIDACIÓN BAJAWARE";"08. CERRADA"},0)
 &lt;
 MATCH(_xlfn.XLOOKUP(INDEX($B:$B, (ROW()-5)),'Relacion '!$E:$E,'Relacion '!$D:$D,""),{"01. ASIGNACION AREA";"02. MAPEO";"03. DESARROLLO";"04. VALIDA US";"05. VOBO US";"06. BW-EJECUCION";"07. VALIDACIÓN BAJAWARE";"08. CERRADA"},0),
 1,
 IF(
  MATCH(B1573,{"01. ASIGNACION AREA";"02. MAPEO";"03. DESARROLLO";"04. VALIDA US";"05. VOBO US";"06. BW-EJECUCION";"07. VALIDACIÓN BAJAWARE";"08. CERRADA"},0)
  =
  MATCH(_xlfn.XLOOKUP(INDEX($B:$B, (ROW()-5)),'Relacion '!$E:$E,'Relacion '!$D:$D,""),{"01. ASIGNACION AREA";"02. MAPEO";"03. DESARROLLO";"04. VALIDA US";"05. VOBO US";"06. BW-EJECUCION";"07. VALIDACIÓN BAJAWARE";"08. CERRADA"},0),
  _xlfn.XLOOKUP(INDEX($B:$B, (ROW()-5)),'Relacion '!$E:$E,'Relacion '!#REF!,0),
  0
 )
)</f>
        <v>1</v>
      </c>
      <c r="I1573" s="241">
        <f t="shared" ca="1" si="362"/>
        <v>1</v>
      </c>
      <c r="J1573" s="241"/>
      <c r="K1573" s="241"/>
      <c r="L1573" s="238"/>
    </row>
    <row r="1574" spans="2:12" outlineLevel="1">
      <c r="B1574" s="237" t="s">
        <v>710</v>
      </c>
      <c r="C1574" s="237" t="s">
        <v>710</v>
      </c>
      <c r="D1574" s="238" t="str">
        <f>_xlfn.XLOOKUP(B1574,'Relacion '!$E:$E,'Relacion '!$D:$D,"")</f>
        <v/>
      </c>
      <c r="E1574" s="239">
        <f t="shared" si="365"/>
        <v>25</v>
      </c>
      <c r="F1574" s="240" cm="1">
        <f t="array" ref="F1574">MIN(INDEX('Relacion '!$AH$5:$AI$493,MATCH(INDEX($B:$B, (ROW()-6)),'Relacion '!$E$5:$E$493,0),0))</f>
        <v>46076</v>
      </c>
      <c r="G1574" s="240" cm="1">
        <f t="array" ref="G1574">MAX(INDEX('Relacion '!$AH$5:$AI$493,MATCH(INDEX($B:$B, (ROW()-6)),'Relacion '!$E$5:$E$493,0),0))</f>
        <v>46101</v>
      </c>
      <c r="H1574" s="241" t="e" cm="1">
        <f t="array" ref="H1574">IF(
 MATCH(B1574,{"01. ASIGNACION AREA";"02. MAPEO";"03. DESARROLLO";"04. VALIDA US";"05. VOBO US";"06. BW-EJECUCION";"07. VALIDACIÓN BAJAWARE";"08. CERRADA"},0)
 &lt;
 MATCH(_xlfn.XLOOKUP(INDEX($B:$B, (ROW()-6)),'Relacion '!$E:$E,'Relacion '!$D:$D,""),{"01. ASIGNACION AREA";"02. MAPEO";"03. DESARROLLO";"04. VALIDA US";"05. VOBO US";"06. BW-EJECUCION";"07. VALIDACIÓN BAJAWARE";"08. CERRADA"},0),
 1,
 IF(
  MATCH(B1574,{"01. ASIGNACION AREA";"02. MAPEO";"03. DESARROLLO";"04. VALIDA US";"05. VOBO US";"06. BW-EJECUCION";"07. VALIDACIÓN BAJAWARE";"08. CERRADA"},0)
  =
  MATCH(_xlfn.XLOOKUP(INDEX($B:$B, (ROW()-6)),'Relacion '!$E:$E,'Relacion '!$D:$D,""),{"01. ASIGNACION AREA";"02. MAPEO";"03. DESARROLLO";"04. VALIDA US";"05. VOBO US";"06. BW-EJECUCION";"07. VALIDACIÓN BAJAWARE";"08. CERRADA"},0),
  _xlfn.XLOOKUP(INDEX($B:$B, (ROW()-6)),'Relacion '!$E:$E,'Relacion '!#REF!,0),
  0
 )
)</f>
        <v>#REF!</v>
      </c>
      <c r="I1574" s="241">
        <f t="shared" ca="1" si="362"/>
        <v>1</v>
      </c>
      <c r="J1574" s="241"/>
      <c r="K1574" s="241"/>
      <c r="L1574" s="238"/>
    </row>
    <row r="1575" spans="2:12" outlineLevel="1">
      <c r="B1575" s="237" t="s">
        <v>655</v>
      </c>
      <c r="C1575" s="237" t="s">
        <v>655</v>
      </c>
      <c r="D1575" s="238" t="str">
        <f>_xlfn.XLOOKUP(B1575,'Relacion '!$E:$E,'Relacion '!$D:$D,"")</f>
        <v/>
      </c>
      <c r="E1575" s="239">
        <f t="shared" si="365"/>
        <v>25</v>
      </c>
      <c r="F1575" s="240" cm="1">
        <f t="array" ref="F1575">MIN(INDEX('Relacion '!$AJ$5:$AK$493,MATCH(INDEX($B:$B, (ROW()-7)),'Relacion '!$E$5:$E$493,0),0))</f>
        <v>46104</v>
      </c>
      <c r="G1575" s="240" cm="1">
        <f t="array" ref="G1575">MAX(INDEX('Relacion '!$AJ$5:$AK$493,MATCH(INDEX($B:$B, (ROW()-7)),'Relacion '!$E$5:$E$493,0),0))</f>
        <v>46129</v>
      </c>
      <c r="H1575" s="241" cm="1">
        <f t="array" ref="H1575">IF(
 MATCH(B1575,{"01. ASIGNACION AREA";"02. MAPEO";"03. DESARROLLO";"04. VALIDA US";"05. VOBO US";"06. BW-EJECUCION";"07. VALIDACIÓN BAJAWARE";"08. CERRADA"},0)
 &lt;
 MATCH(_xlfn.XLOOKUP(INDEX($B:$B, (ROW()-7)),'Relacion '!$E:$E,'Relacion '!$D:$D,""),{"01. ASIGNACION AREA";"02. MAPEO";"03. DESARROLLO";"04. VALIDA US";"05. VOBO US";"06. BW-EJECUCION";"07. VALIDACIÓN BAJAWARE";"08. CERRADA"},0),
 1,
 IF(
  MATCH(B1575,{"01. ASIGNACION AREA";"02. MAPEO";"03. DESARROLLO";"04. VALIDA US";"05. VOBO US";"06. BW-EJECUCION";"07. VALIDACIÓN BAJAWARE";"08. CERRADA"},0)
  =
  MATCH(_xlfn.XLOOKUP(INDEX($B:$B, (ROW()-7)),'Relacion '!$E:$E,'Relacion '!$D:$D,""),{"01. ASIGNACION AREA";"02. MAPEO";"03. DESARROLLO";"04. VALIDA US";"05. VOBO US";"06. BW-EJECUCION";"07. VALIDACIÓN BAJAWARE";"08. CERRADA"},0),
  _xlfn.XLOOKUP(INDEX($B:$B, (ROW()-7)),'Relacion '!$E:$E,'Relacion '!#REF!,0),
  0
 )
)</f>
        <v>0</v>
      </c>
      <c r="I1575" s="241">
        <f t="shared" ca="1" si="362"/>
        <v>1</v>
      </c>
      <c r="J1575" s="241"/>
      <c r="K1575" s="241"/>
      <c r="L1575" s="238"/>
    </row>
    <row r="1576" spans="2:12" outlineLevel="1">
      <c r="B1576" s="237" t="s">
        <v>656</v>
      </c>
      <c r="C1576" s="237" t="s">
        <v>656</v>
      </c>
      <c r="D1576" s="238" t="str">
        <f>_xlfn.XLOOKUP(B1576,'Relacion '!$E:$E,'Relacion '!$D:$D,"")</f>
        <v/>
      </c>
      <c r="E1576" s="239">
        <f t="shared" si="365"/>
        <v>0</v>
      </c>
      <c r="F1576" s="240" cm="1">
        <f t="array" ref="F1576">MIN(INDEX('Relacion '!$AL$5:$AM$493,MATCH(INDEX($B:$B, (ROW()-8)),'Relacion '!$E$5:$E$493,0),0))</f>
        <v>46130</v>
      </c>
      <c r="G1576" s="240" cm="1">
        <f t="array" ref="G1576">MAX(INDEX('Relacion '!$AL$5:$AM$493,MATCH(INDEX($B:$B, (ROW()-8)),'Relacion '!$E$5:$E$493,0),0))</f>
        <v>46130</v>
      </c>
      <c r="H1576" s="241" cm="1">
        <f t="array" ref="H1576">IF(
 MATCH(B1576,{"01. ASIGNACION AREA";"02. MAPEO";"03. DESARROLLO";"04. VALIDA US";"05. VOBO US";"06. BW-EJECUCION";"07. VALIDACIÓN BAJAWARE";"08. CERRADA"},0)
 &lt;
 MATCH(_xlfn.XLOOKUP(INDEX($B:$B, (ROW()-8)),'Relacion '!$E:$E,'Relacion '!$D:$D,""),{"01. ASIGNACION AREA";"02. MAPEO";"03. DESARROLLO";"04. VALIDA US";"05. VOBO US";"06. BW-EJECUCION";"07. VALIDACIÓN BAJAWARE";"08. CERRADA"},0),
 1,
 IF(
  MATCH(B1576,{"01. ASIGNACION AREA";"02. MAPEO";"03. DESARROLLO";"04. VALIDA US";"05. VOBO US";"06. BW-EJECUCION";"07. VALIDACIÓN BAJAWARE";"08. CERRADA"},0)
  =
  MATCH(_xlfn.XLOOKUP(INDEX($B:$B, (ROW()-8)),'Relacion '!$E:$E,'Relacion '!$D:$D,""),{"01. ASIGNACION AREA";"02. MAPEO";"03. DESARROLLO";"04. VALIDA US";"05. VOBO US";"06. BW-EJECUCION";"07. VALIDACIÓN BAJAWARE";"08. CERRADA"},0),
  _xlfn.XLOOKUP(INDEX($B:$B, (ROW()-8)),'Relacion '!$E:$E,'Relacion '!#REF!,0),
  0
 )
)</f>
        <v>0</v>
      </c>
      <c r="I1576" s="241">
        <f t="shared" ca="1" si="362"/>
        <v>1</v>
      </c>
      <c r="J1576" s="241"/>
      <c r="K1576" s="241"/>
      <c r="L1576" s="238"/>
    </row>
    <row r="1577" spans="2:12">
      <c r="B1577" s="232" t="s">
        <v>608</v>
      </c>
      <c r="C1577" s="167" t="s">
        <v>607</v>
      </c>
      <c r="D1577" s="236" t="str">
        <f>_xlfn.XLOOKUP(B1577,'Relacion '!$E:$E,'Relacion '!$D:$D,"")</f>
        <v>06. BW-EJECUCION</v>
      </c>
      <c r="E1577" s="233">
        <f t="shared" si="365"/>
        <v>471</v>
      </c>
      <c r="F1577" s="234" cm="1">
        <f t="array" ref="F1577">MIN(INDEX('Relacion '!$X$5:$AM$493,MATCH(INDEX($B:$B, (ROW()-0)),'Relacion '!$E$5:$E$493,0),0))</f>
        <v>45659</v>
      </c>
      <c r="G1577" s="234" cm="1">
        <f t="array" ref="G1577">MAX(INDEX('Relacion '!$X$5:$AM$493,MATCH(INDEX($B:$B, (ROW()-0)),'Relacion '!$E$5:$E$493,0),0))</f>
        <v>46130</v>
      </c>
      <c r="H1577" s="235" t="e">
        <f>AVERAGE(H1578:H1585)</f>
        <v>#REF!</v>
      </c>
      <c r="I1577" s="235">
        <f t="shared" ref="I1577" ca="1" si="374">AVERAGE(I1578:I1585)</f>
        <v>1</v>
      </c>
      <c r="J1577" s="236" t="str">
        <f>IF(ISNUMBER(SEARCH("Rocha", _xlfn.XLOOKUP(B1577,'Relacion '!$E:$E,'Relacion '!$I:$I,""))), "Sí", "No")</f>
        <v>No</v>
      </c>
      <c r="K1577" s="236" t="str">
        <f>IF(ISNUMBER(SEARCH("Rocha", _xlfn.XLOOKUP(B1577,'Relacion '!$E:$E,'Relacion '!$I:$I,""))), "RMC", _xlfn.XLOOKUP(B1577,'Relacion '!$E:$E,'Relacion '!$B:$B,""))</f>
        <v>Producto</v>
      </c>
      <c r="L1577" s="236" t="str">
        <f>_xlfn.XLOOKUP(B1577,'Relacion '!$E:$E,'Relacion '!$C:$C,"")</f>
        <v>Claudia Barroso</v>
      </c>
    </row>
    <row r="1578" spans="2:12" outlineLevel="1">
      <c r="B1578" s="237" t="s">
        <v>654</v>
      </c>
      <c r="C1578" s="237" t="s">
        <v>654</v>
      </c>
      <c r="D1578" s="238" t="str">
        <f>_xlfn.XLOOKUP(B1578,'Relacion '!$E:$E,'Relacion '!$D:$D,"")</f>
        <v/>
      </c>
      <c r="E1578" s="239">
        <f t="shared" si="365"/>
        <v>424</v>
      </c>
      <c r="F1578" s="240" cm="1">
        <f t="array" ref="F1578">MIN(INDEX('Relacion '!$X$5:$Y$493,MATCH(INDEX($B:$B, (ROW()-1)),'Relacion '!$E$5:$E$493,0),0))</f>
        <v>45659</v>
      </c>
      <c r="G1578" s="240" cm="1">
        <f t="array" ref="G1578">MAX(INDEX('Relacion '!$X$5:$Y$493,MATCH(INDEX($B:$B, (ROW()-1)),'Relacion '!$E$5:$E$493,0),0))</f>
        <v>46083</v>
      </c>
      <c r="H1578" s="241" cm="1">
        <f t="array" ref="H1578">IF(
 MATCH(B1578,{"01. ASIGNACION AREA";"02. MAPEO";"03. DESARROLLO";"04. VALIDA US";"05. VOBO US";"06. BW-EJECUCION";"07. VALIDACIÓN BAJAWARE";"08. CERRADA"},0)
 &lt;
 MATCH(_xlfn.XLOOKUP(INDEX($B:$B, (ROW()-1)),'Relacion '!$E:$E,'Relacion '!$D:$D,""),{"01. ASIGNACION AREA";"02. MAPEO";"03. DESARROLLO";"04. VALIDA US";"05. VOBO US";"06. BW-EJECUCION";"07. VALIDACIÓN BAJAWARE";"08. CERRADA"},0),
 1,
 IF(
  MATCH(B1578,{"01. ASIGNACION AREA";"02. MAPEO";"03. DESARROLLO";"04. VALIDA US";"05. VOBO US";"06. BW-EJECUCION";"07. VALIDACIÓN BAJAWARE";"08. CERRADA"},0)
  =
  MATCH(_xlfn.XLOOKUP(INDEX($B:$B, (ROW()-1)),'Relacion '!$E:$E,'Relacion '!$D:$D,""),{"01. ASIGNACION AREA";"02. MAPEO";"03. DESARROLLO";"04. VALIDA US";"05. VOBO US";"06. BW-EJECUCION";"07. VALIDACIÓN BAJAWARE";"08. CERRADA"},0),
  _xlfn.XLOOKUP(INDEX($B:$B, (ROW()-1)),'Relacion '!$E:$E,'Relacion '!#REF!,0),
  0
 )
)</f>
        <v>1</v>
      </c>
      <c r="I1578" s="241">
        <f t="shared" ref="I1578" ca="1" si="375">IF(G1578&lt;=TODAY(), 1, 0)</f>
        <v>1</v>
      </c>
      <c r="J1578" s="241"/>
      <c r="K1578" s="241"/>
      <c r="L1578" s="238"/>
    </row>
    <row r="1579" spans="2:12" outlineLevel="1">
      <c r="B1579" s="237" t="s">
        <v>195</v>
      </c>
      <c r="C1579" s="237" t="s">
        <v>195</v>
      </c>
      <c r="D1579" s="238" t="str">
        <f>_xlfn.XLOOKUP(B1579,'Relacion '!$E:$E,'Relacion '!$D:$D,"")</f>
        <v/>
      </c>
      <c r="E1579" s="239">
        <f t="shared" si="365"/>
        <v>4</v>
      </c>
      <c r="F1579" s="240" cm="1">
        <f t="array" ref="F1579">MIN(INDEX('Relacion '!$Z$5:$AA$493,MATCH(INDEX($B:$B, (ROW()-2)),'Relacion '!$E$5:$E$493,0),0))</f>
        <v>46034</v>
      </c>
      <c r="G1579" s="240" cm="1">
        <f t="array" ref="G1579">MAX(INDEX('Relacion '!$Z$5:$AA$493,MATCH(INDEX($B:$B, (ROW()-2)),'Relacion '!$E$5:$E$493,0),0))</f>
        <v>46038</v>
      </c>
      <c r="H1579" s="241" cm="1">
        <f t="array" ref="H1579">IF(
 MATCH(B1579,{"01. ASIGNACION AREA";"02. MAPEO";"03. DESARROLLO";"04. VALIDA US";"05. VOBO US";"06. BW-EJECUCION";"07. VALIDACIÓN BAJAWARE";"08. CERRADA"},0)
 &lt;
 MATCH(_xlfn.XLOOKUP(INDEX($B:$B, (ROW()-2)),'Relacion '!$E:$E,'Relacion '!$D:$D,""),{"01. ASIGNACION AREA";"02. MAPEO";"03. DESARROLLO";"04. VALIDA US";"05. VOBO US";"06. BW-EJECUCION";"07. VALIDACIÓN BAJAWARE";"08. CERRADA"},0),
 1,
 IF(
  MATCH(B1579,{"01. ASIGNACION AREA";"02. MAPEO";"03. DESARROLLO";"04. VALIDA US";"05. VOBO US";"06. BW-EJECUCION";"07. VALIDACIÓN BAJAWARE";"08. CERRADA"},0)
  =
  MATCH(_xlfn.XLOOKUP(INDEX($B:$B, (ROW()-2)),'Relacion '!$E:$E,'Relacion '!$D:$D,""),{"01. ASIGNACION AREA";"02. MAPEO";"03. DESARROLLO";"04. VALIDA US";"05. VOBO US";"06. BW-EJECUCION";"07. VALIDACIÓN BAJAWARE";"08. CERRADA"},0),
  _xlfn.XLOOKUP(INDEX($B:$B, (ROW()-2)),'Relacion '!$E:$E,'Relacion '!#REF!,0),
  0
 )
)</f>
        <v>1</v>
      </c>
      <c r="I1579" s="241">
        <f t="shared" ca="1" si="362"/>
        <v>1</v>
      </c>
      <c r="J1579" s="241"/>
      <c r="K1579" s="241"/>
      <c r="L1579" s="238"/>
    </row>
    <row r="1580" spans="2:12" outlineLevel="1">
      <c r="B1580" s="237" t="s">
        <v>49</v>
      </c>
      <c r="C1580" s="237" t="s">
        <v>49</v>
      </c>
      <c r="D1580" s="238" t="str">
        <f>_xlfn.XLOOKUP(B1580,'Relacion '!$E:$E,'Relacion '!$D:$D,"")</f>
        <v/>
      </c>
      <c r="E1580" s="239">
        <f t="shared" si="365"/>
        <v>4</v>
      </c>
      <c r="F1580" s="240" cm="1">
        <f t="array" ref="F1580">MIN(INDEX('Relacion '!$AB$5:$AC$493,MATCH(INDEX($B:$B, (ROW()-3)),'Relacion '!$E$5:$E$493,0),0))</f>
        <v>46041</v>
      </c>
      <c r="G1580" s="240" cm="1">
        <f t="array" ref="G1580">MAX(INDEX('Relacion '!$AB$5:$AC$493,MATCH(INDEX($B:$B, (ROW()-3)),'Relacion '!$E$5:$E$493,0),0))</f>
        <v>46045</v>
      </c>
      <c r="H1580" s="241" cm="1">
        <f t="array" ref="H1580">IF(
 MATCH(B1580,{"01. ASIGNACION AREA";"02. MAPEO";"03. DESARROLLO";"04. VALIDA US";"05. VOBO US";"06. BW-EJECUCION";"07. VALIDACIÓN BAJAWARE";"08. CERRADA"},0)
 &lt;
 MATCH(_xlfn.XLOOKUP(INDEX($B:$B, (ROW()-3)),'Relacion '!$E:$E,'Relacion '!$D:$D,""),{"01. ASIGNACION AREA";"02. MAPEO";"03. DESARROLLO";"04. VALIDA US";"05. VOBO US";"06. BW-EJECUCION";"07. VALIDACIÓN BAJAWARE";"08. CERRADA"},0),
 1,
 IF(
  MATCH(B1580,{"01. ASIGNACION AREA";"02. MAPEO";"03. DESARROLLO";"04. VALIDA US";"05. VOBO US";"06. BW-EJECUCION";"07. VALIDACIÓN BAJAWARE";"08. CERRADA"},0)
  =
  MATCH(_xlfn.XLOOKUP(INDEX($B:$B, (ROW()-3)),'Relacion '!$E:$E,'Relacion '!$D:$D,""),{"01. ASIGNACION AREA";"02. MAPEO";"03. DESARROLLO";"04. VALIDA US";"05. VOBO US";"06. BW-EJECUCION";"07. VALIDACIÓN BAJAWARE";"08. CERRADA"},0),
  _xlfn.XLOOKUP(INDEX($B:$B, (ROW()-3)),'Relacion '!$E:$E,'Relacion '!#REF!,0),
  0
 )
)</f>
        <v>1</v>
      </c>
      <c r="I1580" s="241">
        <f t="shared" ca="1" si="362"/>
        <v>1</v>
      </c>
      <c r="J1580" s="241"/>
      <c r="K1580" s="241"/>
      <c r="L1580" s="238"/>
    </row>
    <row r="1581" spans="2:12" outlineLevel="1">
      <c r="B1581" s="237" t="s">
        <v>324</v>
      </c>
      <c r="C1581" s="237" t="s">
        <v>324</v>
      </c>
      <c r="D1581" s="238" t="str">
        <f>_xlfn.XLOOKUP(B1581,'Relacion '!$E:$E,'Relacion '!$D:$D,"")</f>
        <v/>
      </c>
      <c r="E1581" s="239">
        <f t="shared" si="365"/>
        <v>4</v>
      </c>
      <c r="F1581" s="240" cm="1">
        <f t="array" ref="F1581">MIN(INDEX('Relacion '!$AD$5:$AE$493,MATCH(INDEX($B:$B, (ROW()-4)),'Relacion '!$E$5:$E$493,0),0))</f>
        <v>46048</v>
      </c>
      <c r="G1581" s="240" cm="1">
        <f t="array" ref="G1581">MAX(INDEX('Relacion '!$AD$5:$AE$493,MATCH(INDEX($B:$B, (ROW()-4)),'Relacion '!$E$5:$E$493,0),0))</f>
        <v>46052</v>
      </c>
      <c r="H1581" s="241" cm="1">
        <f t="array" ref="H1581">IF(
 MATCH(B1581,{"01. ASIGNACION AREA";"02. MAPEO";"03. DESARROLLO";"04. VALIDA US";"05. VOBO US";"06. BW-EJECUCION";"07. VALIDACIÓN BAJAWARE";"08. CERRADA"},0)
 &lt;
 MATCH(_xlfn.XLOOKUP(INDEX($B:$B, (ROW()-4)),'Relacion '!$E:$E,'Relacion '!$D:$D,""),{"01. ASIGNACION AREA";"02. MAPEO";"03. DESARROLLO";"04. VALIDA US";"05. VOBO US";"06. BW-EJECUCION";"07. VALIDACIÓN BAJAWARE";"08. CERRADA"},0),
 1,
 IF(
  MATCH(B1581,{"01. ASIGNACION AREA";"02. MAPEO";"03. DESARROLLO";"04. VALIDA US";"05. VOBO US";"06. BW-EJECUCION";"07. VALIDACIÓN BAJAWARE";"08. CERRADA"},0)
  =
  MATCH(_xlfn.XLOOKUP(INDEX($B:$B, (ROW()-4)),'Relacion '!$E:$E,'Relacion '!$D:$D,""),{"01. ASIGNACION AREA";"02. MAPEO";"03. DESARROLLO";"04. VALIDA US";"05. VOBO US";"06. BW-EJECUCION";"07. VALIDACIÓN BAJAWARE";"08. CERRADA"},0),
  _xlfn.XLOOKUP(INDEX($B:$B, (ROW()-4)),'Relacion '!$E:$E,'Relacion '!#REF!,0),
  0
 )
)</f>
        <v>1</v>
      </c>
      <c r="I1581" s="241">
        <f t="shared" ca="1" si="362"/>
        <v>1</v>
      </c>
      <c r="J1581" s="241"/>
      <c r="K1581" s="241"/>
      <c r="L1581" s="238"/>
    </row>
    <row r="1582" spans="2:12" outlineLevel="1">
      <c r="B1582" s="237" t="s">
        <v>320</v>
      </c>
      <c r="C1582" s="237" t="s">
        <v>320</v>
      </c>
      <c r="D1582" s="238" t="str">
        <f>_xlfn.XLOOKUP(B1582,'Relacion '!$E:$E,'Relacion '!$D:$D,"")</f>
        <v/>
      </c>
      <c r="E1582" s="239">
        <f t="shared" si="365"/>
        <v>7</v>
      </c>
      <c r="F1582" s="240" cm="1">
        <f t="array" ref="F1582">MIN(INDEX('Relacion '!$AF$5:$AG$493,MATCH(INDEX($B:$B, (ROW()-5)),'Relacion '!$E$5:$E$493,0),0))</f>
        <v>46055</v>
      </c>
      <c r="G1582" s="240" cm="1">
        <f t="array" ref="G1582">MAX(INDEX('Relacion '!$AF$5:$AG$493,MATCH(INDEX($B:$B, (ROW()-5)),'Relacion '!$E$5:$E$493,0),0))</f>
        <v>46062</v>
      </c>
      <c r="H1582" s="241" cm="1">
        <f t="array" ref="H1582">IF(
 MATCH(B1582,{"01. ASIGNACION AREA";"02. MAPEO";"03. DESARROLLO";"04. VALIDA US";"05. VOBO US";"06. BW-EJECUCION";"07. VALIDACIÓN BAJAWARE";"08. CERRADA"},0)
 &lt;
 MATCH(_xlfn.XLOOKUP(INDEX($B:$B, (ROW()-5)),'Relacion '!$E:$E,'Relacion '!$D:$D,""),{"01. ASIGNACION AREA";"02. MAPEO";"03. DESARROLLO";"04. VALIDA US";"05. VOBO US";"06. BW-EJECUCION";"07. VALIDACIÓN BAJAWARE";"08. CERRADA"},0),
 1,
 IF(
  MATCH(B1582,{"01. ASIGNACION AREA";"02. MAPEO";"03. DESARROLLO";"04. VALIDA US";"05. VOBO US";"06. BW-EJECUCION";"07. VALIDACIÓN BAJAWARE";"08. CERRADA"},0)
  =
  MATCH(_xlfn.XLOOKUP(INDEX($B:$B, (ROW()-5)),'Relacion '!$E:$E,'Relacion '!$D:$D,""),{"01. ASIGNACION AREA";"02. MAPEO";"03. DESARROLLO";"04. VALIDA US";"05. VOBO US";"06. BW-EJECUCION";"07. VALIDACIÓN BAJAWARE";"08. CERRADA"},0),
  _xlfn.XLOOKUP(INDEX($B:$B, (ROW()-5)),'Relacion '!$E:$E,'Relacion '!#REF!,0),
  0
 )
)</f>
        <v>1</v>
      </c>
      <c r="I1582" s="241">
        <f t="shared" ca="1" si="362"/>
        <v>1</v>
      </c>
      <c r="J1582" s="241"/>
      <c r="K1582" s="241"/>
      <c r="L1582" s="238"/>
    </row>
    <row r="1583" spans="2:12" outlineLevel="1">
      <c r="B1583" s="237" t="s">
        <v>710</v>
      </c>
      <c r="C1583" s="237" t="s">
        <v>710</v>
      </c>
      <c r="D1583" s="238" t="str">
        <f>_xlfn.XLOOKUP(B1583,'Relacion '!$E:$E,'Relacion '!$D:$D,"")</f>
        <v/>
      </c>
      <c r="E1583" s="239">
        <f t="shared" si="365"/>
        <v>25</v>
      </c>
      <c r="F1583" s="240" cm="1">
        <f t="array" ref="F1583">MIN(INDEX('Relacion '!$AH$5:$AI$493,MATCH(INDEX($B:$B, (ROW()-6)),'Relacion '!$E$5:$E$493,0),0))</f>
        <v>46076</v>
      </c>
      <c r="G1583" s="240" cm="1">
        <f t="array" ref="G1583">MAX(INDEX('Relacion '!$AH$5:$AI$493,MATCH(INDEX($B:$B, (ROW()-6)),'Relacion '!$E$5:$E$493,0),0))</f>
        <v>46101</v>
      </c>
      <c r="H1583" s="241" t="e" cm="1">
        <f t="array" ref="H1583">IF(
 MATCH(B1583,{"01. ASIGNACION AREA";"02. MAPEO";"03. DESARROLLO";"04. VALIDA US";"05. VOBO US";"06. BW-EJECUCION";"07. VALIDACIÓN BAJAWARE";"08. CERRADA"},0)
 &lt;
 MATCH(_xlfn.XLOOKUP(INDEX($B:$B, (ROW()-6)),'Relacion '!$E:$E,'Relacion '!$D:$D,""),{"01. ASIGNACION AREA";"02. MAPEO";"03. DESARROLLO";"04. VALIDA US";"05. VOBO US";"06. BW-EJECUCION";"07. VALIDACIÓN BAJAWARE";"08. CERRADA"},0),
 1,
 IF(
  MATCH(B1583,{"01. ASIGNACION AREA";"02. MAPEO";"03. DESARROLLO";"04. VALIDA US";"05. VOBO US";"06. BW-EJECUCION";"07. VALIDACIÓN BAJAWARE";"08. CERRADA"},0)
  =
  MATCH(_xlfn.XLOOKUP(INDEX($B:$B, (ROW()-6)),'Relacion '!$E:$E,'Relacion '!$D:$D,""),{"01. ASIGNACION AREA";"02. MAPEO";"03. DESARROLLO";"04. VALIDA US";"05. VOBO US";"06. BW-EJECUCION";"07. VALIDACIÓN BAJAWARE";"08. CERRADA"},0),
  _xlfn.XLOOKUP(INDEX($B:$B, (ROW()-6)),'Relacion '!$E:$E,'Relacion '!#REF!,0),
  0
 )
)</f>
        <v>#REF!</v>
      </c>
      <c r="I1583" s="241">
        <f t="shared" ca="1" si="362"/>
        <v>1</v>
      </c>
      <c r="J1583" s="241"/>
      <c r="K1583" s="241"/>
      <c r="L1583" s="238"/>
    </row>
    <row r="1584" spans="2:12" outlineLevel="1">
      <c r="B1584" s="237" t="s">
        <v>655</v>
      </c>
      <c r="C1584" s="237" t="s">
        <v>655</v>
      </c>
      <c r="D1584" s="238" t="str">
        <f>_xlfn.XLOOKUP(B1584,'Relacion '!$E:$E,'Relacion '!$D:$D,"")</f>
        <v/>
      </c>
      <c r="E1584" s="239">
        <f t="shared" si="365"/>
        <v>25</v>
      </c>
      <c r="F1584" s="240" cm="1">
        <f t="array" ref="F1584">MIN(INDEX('Relacion '!$AJ$5:$AK$493,MATCH(INDEX($B:$B, (ROW()-7)),'Relacion '!$E$5:$E$493,0),0))</f>
        <v>46104</v>
      </c>
      <c r="G1584" s="240" cm="1">
        <f t="array" ref="G1584">MAX(INDEX('Relacion '!$AJ$5:$AK$493,MATCH(INDEX($B:$B, (ROW()-7)),'Relacion '!$E$5:$E$493,0),0))</f>
        <v>46129</v>
      </c>
      <c r="H1584" s="241" cm="1">
        <f t="array" ref="H1584">IF(
 MATCH(B1584,{"01. ASIGNACION AREA";"02. MAPEO";"03. DESARROLLO";"04. VALIDA US";"05. VOBO US";"06. BW-EJECUCION";"07. VALIDACIÓN BAJAWARE";"08. CERRADA"},0)
 &lt;
 MATCH(_xlfn.XLOOKUP(INDEX($B:$B, (ROW()-7)),'Relacion '!$E:$E,'Relacion '!$D:$D,""),{"01. ASIGNACION AREA";"02. MAPEO";"03. DESARROLLO";"04. VALIDA US";"05. VOBO US";"06. BW-EJECUCION";"07. VALIDACIÓN BAJAWARE";"08. CERRADA"},0),
 1,
 IF(
  MATCH(B1584,{"01. ASIGNACION AREA";"02. MAPEO";"03. DESARROLLO";"04. VALIDA US";"05. VOBO US";"06. BW-EJECUCION";"07. VALIDACIÓN BAJAWARE";"08. CERRADA"},0)
  =
  MATCH(_xlfn.XLOOKUP(INDEX($B:$B, (ROW()-7)),'Relacion '!$E:$E,'Relacion '!$D:$D,""),{"01. ASIGNACION AREA";"02. MAPEO";"03. DESARROLLO";"04. VALIDA US";"05. VOBO US";"06. BW-EJECUCION";"07. VALIDACIÓN BAJAWARE";"08. CERRADA"},0),
  _xlfn.XLOOKUP(INDEX($B:$B, (ROW()-7)),'Relacion '!$E:$E,'Relacion '!#REF!,0),
  0
 )
)</f>
        <v>0</v>
      </c>
      <c r="I1584" s="241">
        <f t="shared" ca="1" si="362"/>
        <v>1</v>
      </c>
      <c r="J1584" s="241"/>
      <c r="K1584" s="241"/>
      <c r="L1584" s="238"/>
    </row>
    <row r="1585" spans="2:12" outlineLevel="1">
      <c r="B1585" s="237" t="s">
        <v>656</v>
      </c>
      <c r="C1585" s="237" t="s">
        <v>656</v>
      </c>
      <c r="D1585" s="238" t="str">
        <f>_xlfn.XLOOKUP(B1585,'Relacion '!$E:$E,'Relacion '!$D:$D,"")</f>
        <v/>
      </c>
      <c r="E1585" s="239">
        <f t="shared" si="365"/>
        <v>0</v>
      </c>
      <c r="F1585" s="240" cm="1">
        <f t="array" ref="F1585">MIN(INDEX('Relacion '!$AL$5:$AM$493,MATCH(INDEX($B:$B, (ROW()-8)),'Relacion '!$E$5:$E$493,0),0))</f>
        <v>46130</v>
      </c>
      <c r="G1585" s="240" cm="1">
        <f t="array" ref="G1585">MAX(INDEX('Relacion '!$AL$5:$AM$493,MATCH(INDEX($B:$B, (ROW()-8)),'Relacion '!$E$5:$E$493,0),0))</f>
        <v>46130</v>
      </c>
      <c r="H1585" s="241" cm="1">
        <f t="array" ref="H1585">IF(
 MATCH(B1585,{"01. ASIGNACION AREA";"02. MAPEO";"03. DESARROLLO";"04. VALIDA US";"05. VOBO US";"06. BW-EJECUCION";"07. VALIDACIÓN BAJAWARE";"08. CERRADA"},0)
 &lt;
 MATCH(_xlfn.XLOOKUP(INDEX($B:$B, (ROW()-8)),'Relacion '!$E:$E,'Relacion '!$D:$D,""),{"01. ASIGNACION AREA";"02. MAPEO";"03. DESARROLLO";"04. VALIDA US";"05. VOBO US";"06. BW-EJECUCION";"07. VALIDACIÓN BAJAWARE";"08. CERRADA"},0),
 1,
 IF(
  MATCH(B1585,{"01. ASIGNACION AREA";"02. MAPEO";"03. DESARROLLO";"04. VALIDA US";"05. VOBO US";"06. BW-EJECUCION";"07. VALIDACIÓN BAJAWARE";"08. CERRADA"},0)
  =
  MATCH(_xlfn.XLOOKUP(INDEX($B:$B, (ROW()-8)),'Relacion '!$E:$E,'Relacion '!$D:$D,""),{"01. ASIGNACION AREA";"02. MAPEO";"03. DESARROLLO";"04. VALIDA US";"05. VOBO US";"06. BW-EJECUCION";"07. VALIDACIÓN BAJAWARE";"08. CERRADA"},0),
  _xlfn.XLOOKUP(INDEX($B:$B, (ROW()-8)),'Relacion '!$E:$E,'Relacion '!#REF!,0),
  0
 )
)</f>
        <v>0</v>
      </c>
      <c r="I1585" s="241">
        <f t="shared" ca="1" si="362"/>
        <v>1</v>
      </c>
      <c r="J1585" s="241"/>
      <c r="K1585" s="241"/>
      <c r="L1585" s="238"/>
    </row>
    <row r="1586" spans="2:12">
      <c r="B1586" s="232" t="s">
        <v>609</v>
      </c>
      <c r="C1586" s="167" t="s">
        <v>607</v>
      </c>
      <c r="D1586" s="236" t="str">
        <f>_xlfn.XLOOKUP(B1586,'Relacion '!$E:$E,'Relacion '!$D:$D,"")</f>
        <v>06. BW-EJECUCION</v>
      </c>
      <c r="E1586" s="233">
        <f t="shared" si="365"/>
        <v>471</v>
      </c>
      <c r="F1586" s="234" cm="1">
        <f t="array" ref="F1586">MIN(INDEX('Relacion '!$X$5:$AM$493,MATCH(INDEX($B:$B, (ROW()-0)),'Relacion '!$E$5:$E$493,0),0))</f>
        <v>45659</v>
      </c>
      <c r="G1586" s="234" cm="1">
        <f t="array" ref="G1586">MAX(INDEX('Relacion '!$X$5:$AM$493,MATCH(INDEX($B:$B, (ROW()-0)),'Relacion '!$E$5:$E$493,0),0))</f>
        <v>46130</v>
      </c>
      <c r="H1586" s="235" t="e">
        <f>AVERAGE(H1587:H1594)</f>
        <v>#REF!</v>
      </c>
      <c r="I1586" s="235">
        <f t="shared" ref="I1586" ca="1" si="376">AVERAGE(I1587:I1594)</f>
        <v>1</v>
      </c>
      <c r="J1586" s="236" t="str">
        <f>IF(ISNUMBER(SEARCH("Rocha", _xlfn.XLOOKUP(B1586,'Relacion '!$E:$E,'Relacion '!$I:$I,""))), "Sí", "No")</f>
        <v>No</v>
      </c>
      <c r="K1586" s="236" t="str">
        <f>IF(ISNUMBER(SEARCH("Rocha", _xlfn.XLOOKUP(B1586,'Relacion '!$E:$E,'Relacion '!$I:$I,""))), "RMC", _xlfn.XLOOKUP(B1586,'Relacion '!$E:$E,'Relacion '!$B:$B,""))</f>
        <v>Producto</v>
      </c>
      <c r="L1586" s="236" t="str">
        <f>_xlfn.XLOOKUP(B1586,'Relacion '!$E:$E,'Relacion '!$C:$C,"")</f>
        <v>Claudia Barroso</v>
      </c>
    </row>
    <row r="1587" spans="2:12" outlineLevel="1">
      <c r="B1587" s="237" t="s">
        <v>654</v>
      </c>
      <c r="C1587" s="237" t="s">
        <v>654</v>
      </c>
      <c r="D1587" s="238" t="str">
        <f>_xlfn.XLOOKUP(B1587,'Relacion '!$E:$E,'Relacion '!$D:$D,"")</f>
        <v/>
      </c>
      <c r="E1587" s="239">
        <f t="shared" si="365"/>
        <v>424</v>
      </c>
      <c r="F1587" s="240" cm="1">
        <f t="array" ref="F1587">MIN(INDEX('Relacion '!$X$5:$Y$493,MATCH(INDEX($B:$B, (ROW()-1)),'Relacion '!$E$5:$E$493,0),0))</f>
        <v>45659</v>
      </c>
      <c r="G1587" s="240" cm="1">
        <f t="array" ref="G1587">MAX(INDEX('Relacion '!$X$5:$Y$493,MATCH(INDEX($B:$B, (ROW()-1)),'Relacion '!$E$5:$E$493,0),0))</f>
        <v>46083</v>
      </c>
      <c r="H1587" s="241" cm="1">
        <f t="array" ref="H1587">IF(
 MATCH(B1587,{"01. ASIGNACION AREA";"02. MAPEO";"03. DESARROLLO";"04. VALIDA US";"05. VOBO US";"06. BW-EJECUCION";"07. VALIDACIÓN BAJAWARE";"08. CERRADA"},0)
 &lt;
 MATCH(_xlfn.XLOOKUP(INDEX($B:$B, (ROW()-1)),'Relacion '!$E:$E,'Relacion '!$D:$D,""),{"01. ASIGNACION AREA";"02. MAPEO";"03. DESARROLLO";"04. VALIDA US";"05. VOBO US";"06. BW-EJECUCION";"07. VALIDACIÓN BAJAWARE";"08. CERRADA"},0),
 1,
 IF(
  MATCH(B1587,{"01. ASIGNACION AREA";"02. MAPEO";"03. DESARROLLO";"04. VALIDA US";"05. VOBO US";"06. BW-EJECUCION";"07. VALIDACIÓN BAJAWARE";"08. CERRADA"},0)
  =
  MATCH(_xlfn.XLOOKUP(INDEX($B:$B, (ROW()-1)),'Relacion '!$E:$E,'Relacion '!$D:$D,""),{"01. ASIGNACION AREA";"02. MAPEO";"03. DESARROLLO";"04. VALIDA US";"05. VOBO US";"06. BW-EJECUCION";"07. VALIDACIÓN BAJAWARE";"08. CERRADA"},0),
  _xlfn.XLOOKUP(INDEX($B:$B, (ROW()-1)),'Relacion '!$E:$E,'Relacion '!#REF!,0),
  0
 )
)</f>
        <v>1</v>
      </c>
      <c r="I1587" s="241">
        <f t="shared" ref="I1587:I1648" ca="1" si="377">IF(G1587&lt;=TODAY(), 1, 0)</f>
        <v>1</v>
      </c>
      <c r="J1587" s="241"/>
      <c r="K1587" s="241"/>
      <c r="L1587" s="238"/>
    </row>
    <row r="1588" spans="2:12" outlineLevel="1">
      <c r="B1588" s="237" t="s">
        <v>195</v>
      </c>
      <c r="C1588" s="237" t="s">
        <v>195</v>
      </c>
      <c r="D1588" s="238" t="str">
        <f>_xlfn.XLOOKUP(B1588,'Relacion '!$E:$E,'Relacion '!$D:$D,"")</f>
        <v/>
      </c>
      <c r="E1588" s="239">
        <f t="shared" si="365"/>
        <v>4</v>
      </c>
      <c r="F1588" s="240" cm="1">
        <f t="array" ref="F1588">MIN(INDEX('Relacion '!$Z$5:$AA$493,MATCH(INDEX($B:$B, (ROW()-2)),'Relacion '!$E$5:$E$493,0),0))</f>
        <v>46034</v>
      </c>
      <c r="G1588" s="240" cm="1">
        <f t="array" ref="G1588">MAX(INDEX('Relacion '!$Z$5:$AA$493,MATCH(INDEX($B:$B, (ROW()-2)),'Relacion '!$E$5:$E$493,0),0))</f>
        <v>46038</v>
      </c>
      <c r="H1588" s="241" cm="1">
        <f t="array" ref="H1588">IF(
 MATCH(B1588,{"01. ASIGNACION AREA";"02. MAPEO";"03. DESARROLLO";"04. VALIDA US";"05. VOBO US";"06. BW-EJECUCION";"07. VALIDACIÓN BAJAWARE";"08. CERRADA"},0)
 &lt;
 MATCH(_xlfn.XLOOKUP(INDEX($B:$B, (ROW()-2)),'Relacion '!$E:$E,'Relacion '!$D:$D,""),{"01. ASIGNACION AREA";"02. MAPEO";"03. DESARROLLO";"04. VALIDA US";"05. VOBO US";"06. BW-EJECUCION";"07. VALIDACIÓN BAJAWARE";"08. CERRADA"},0),
 1,
 IF(
  MATCH(B1588,{"01. ASIGNACION AREA";"02. MAPEO";"03. DESARROLLO";"04. VALIDA US";"05. VOBO US";"06. BW-EJECUCION";"07. VALIDACIÓN BAJAWARE";"08. CERRADA"},0)
  =
  MATCH(_xlfn.XLOOKUP(INDEX($B:$B, (ROW()-2)),'Relacion '!$E:$E,'Relacion '!$D:$D,""),{"01. ASIGNACION AREA";"02. MAPEO";"03. DESARROLLO";"04. VALIDA US";"05. VOBO US";"06. BW-EJECUCION";"07. VALIDACIÓN BAJAWARE";"08. CERRADA"},0),
  _xlfn.XLOOKUP(INDEX($B:$B, (ROW()-2)),'Relacion '!$E:$E,'Relacion '!#REF!,0),
  0
 )
)</f>
        <v>1</v>
      </c>
      <c r="I1588" s="241">
        <f t="shared" ca="1" si="377"/>
        <v>1</v>
      </c>
      <c r="J1588" s="241"/>
      <c r="K1588" s="241"/>
      <c r="L1588" s="238"/>
    </row>
    <row r="1589" spans="2:12" outlineLevel="1">
      <c r="B1589" s="237" t="s">
        <v>49</v>
      </c>
      <c r="C1589" s="237" t="s">
        <v>49</v>
      </c>
      <c r="D1589" s="238" t="str">
        <f>_xlfn.XLOOKUP(B1589,'Relacion '!$E:$E,'Relacion '!$D:$D,"")</f>
        <v/>
      </c>
      <c r="E1589" s="239">
        <f t="shared" si="365"/>
        <v>4</v>
      </c>
      <c r="F1589" s="240" cm="1">
        <f t="array" ref="F1589">MIN(INDEX('Relacion '!$AB$5:$AC$493,MATCH(INDEX($B:$B, (ROW()-3)),'Relacion '!$E$5:$E$493,0),0))</f>
        <v>46041</v>
      </c>
      <c r="G1589" s="240" cm="1">
        <f t="array" ref="G1589">MAX(INDEX('Relacion '!$AB$5:$AC$493,MATCH(INDEX($B:$B, (ROW()-3)),'Relacion '!$E$5:$E$493,0),0))</f>
        <v>46045</v>
      </c>
      <c r="H1589" s="241" cm="1">
        <f t="array" ref="H1589">IF(
 MATCH(B1589,{"01. ASIGNACION AREA";"02. MAPEO";"03. DESARROLLO";"04. VALIDA US";"05. VOBO US";"06. BW-EJECUCION";"07. VALIDACIÓN BAJAWARE";"08. CERRADA"},0)
 &lt;
 MATCH(_xlfn.XLOOKUP(INDEX($B:$B, (ROW()-3)),'Relacion '!$E:$E,'Relacion '!$D:$D,""),{"01. ASIGNACION AREA";"02. MAPEO";"03. DESARROLLO";"04. VALIDA US";"05. VOBO US";"06. BW-EJECUCION";"07. VALIDACIÓN BAJAWARE";"08. CERRADA"},0),
 1,
 IF(
  MATCH(B1589,{"01. ASIGNACION AREA";"02. MAPEO";"03. DESARROLLO";"04. VALIDA US";"05. VOBO US";"06. BW-EJECUCION";"07. VALIDACIÓN BAJAWARE";"08. CERRADA"},0)
  =
  MATCH(_xlfn.XLOOKUP(INDEX($B:$B, (ROW()-3)),'Relacion '!$E:$E,'Relacion '!$D:$D,""),{"01. ASIGNACION AREA";"02. MAPEO";"03. DESARROLLO";"04. VALIDA US";"05. VOBO US";"06. BW-EJECUCION";"07. VALIDACIÓN BAJAWARE";"08. CERRADA"},0),
  _xlfn.XLOOKUP(INDEX($B:$B, (ROW()-3)),'Relacion '!$E:$E,'Relacion '!#REF!,0),
  0
 )
)</f>
        <v>1</v>
      </c>
      <c r="I1589" s="241">
        <f t="shared" ca="1" si="377"/>
        <v>1</v>
      </c>
      <c r="J1589" s="241"/>
      <c r="K1589" s="241"/>
      <c r="L1589" s="238"/>
    </row>
    <row r="1590" spans="2:12" outlineLevel="1">
      <c r="B1590" s="237" t="s">
        <v>324</v>
      </c>
      <c r="C1590" s="237" t="s">
        <v>324</v>
      </c>
      <c r="D1590" s="238" t="str">
        <f>_xlfn.XLOOKUP(B1590,'Relacion '!$E:$E,'Relacion '!$D:$D,"")</f>
        <v/>
      </c>
      <c r="E1590" s="239">
        <f t="shared" si="365"/>
        <v>4</v>
      </c>
      <c r="F1590" s="240" cm="1">
        <f t="array" ref="F1590">MIN(INDEX('Relacion '!$AD$5:$AE$493,MATCH(INDEX($B:$B, (ROW()-4)),'Relacion '!$E$5:$E$493,0),0))</f>
        <v>46048</v>
      </c>
      <c r="G1590" s="240" cm="1">
        <f t="array" ref="G1590">MAX(INDEX('Relacion '!$AD$5:$AE$493,MATCH(INDEX($B:$B, (ROW()-4)),'Relacion '!$E$5:$E$493,0),0))</f>
        <v>46052</v>
      </c>
      <c r="H1590" s="241" cm="1">
        <f t="array" ref="H1590">IF(
 MATCH(B1590,{"01. ASIGNACION AREA";"02. MAPEO";"03. DESARROLLO";"04. VALIDA US";"05. VOBO US";"06. BW-EJECUCION";"07. VALIDACIÓN BAJAWARE";"08. CERRADA"},0)
 &lt;
 MATCH(_xlfn.XLOOKUP(INDEX($B:$B, (ROW()-4)),'Relacion '!$E:$E,'Relacion '!$D:$D,""),{"01. ASIGNACION AREA";"02. MAPEO";"03. DESARROLLO";"04. VALIDA US";"05. VOBO US";"06. BW-EJECUCION";"07. VALIDACIÓN BAJAWARE";"08. CERRADA"},0),
 1,
 IF(
  MATCH(B1590,{"01. ASIGNACION AREA";"02. MAPEO";"03. DESARROLLO";"04. VALIDA US";"05. VOBO US";"06. BW-EJECUCION";"07. VALIDACIÓN BAJAWARE";"08. CERRADA"},0)
  =
  MATCH(_xlfn.XLOOKUP(INDEX($B:$B, (ROW()-4)),'Relacion '!$E:$E,'Relacion '!$D:$D,""),{"01. ASIGNACION AREA";"02. MAPEO";"03. DESARROLLO";"04. VALIDA US";"05. VOBO US";"06. BW-EJECUCION";"07. VALIDACIÓN BAJAWARE";"08. CERRADA"},0),
  _xlfn.XLOOKUP(INDEX($B:$B, (ROW()-4)),'Relacion '!$E:$E,'Relacion '!#REF!,0),
  0
 )
)</f>
        <v>1</v>
      </c>
      <c r="I1590" s="241">
        <f t="shared" ca="1" si="377"/>
        <v>1</v>
      </c>
      <c r="J1590" s="241"/>
      <c r="K1590" s="241"/>
      <c r="L1590" s="238"/>
    </row>
    <row r="1591" spans="2:12" outlineLevel="1">
      <c r="B1591" s="237" t="s">
        <v>320</v>
      </c>
      <c r="C1591" s="237" t="s">
        <v>320</v>
      </c>
      <c r="D1591" s="238" t="str">
        <f>_xlfn.XLOOKUP(B1591,'Relacion '!$E:$E,'Relacion '!$D:$D,"")</f>
        <v/>
      </c>
      <c r="E1591" s="239">
        <f t="shared" si="365"/>
        <v>7</v>
      </c>
      <c r="F1591" s="240" cm="1">
        <f t="array" ref="F1591">MIN(INDEX('Relacion '!$AF$5:$AG$493,MATCH(INDEX($B:$B, (ROW()-5)),'Relacion '!$E$5:$E$493,0),0))</f>
        <v>46055</v>
      </c>
      <c r="G1591" s="240" cm="1">
        <f t="array" ref="G1591">MAX(INDEX('Relacion '!$AF$5:$AG$493,MATCH(INDEX($B:$B, (ROW()-5)),'Relacion '!$E$5:$E$493,0),0))</f>
        <v>46062</v>
      </c>
      <c r="H1591" s="241" cm="1">
        <f t="array" ref="H1591">IF(
 MATCH(B1591,{"01. ASIGNACION AREA";"02. MAPEO";"03. DESARROLLO";"04. VALIDA US";"05. VOBO US";"06. BW-EJECUCION";"07. VALIDACIÓN BAJAWARE";"08. CERRADA"},0)
 &lt;
 MATCH(_xlfn.XLOOKUP(INDEX($B:$B, (ROW()-5)),'Relacion '!$E:$E,'Relacion '!$D:$D,""),{"01. ASIGNACION AREA";"02. MAPEO";"03. DESARROLLO";"04. VALIDA US";"05. VOBO US";"06. BW-EJECUCION";"07. VALIDACIÓN BAJAWARE";"08. CERRADA"},0),
 1,
 IF(
  MATCH(B1591,{"01. ASIGNACION AREA";"02. MAPEO";"03. DESARROLLO";"04. VALIDA US";"05. VOBO US";"06. BW-EJECUCION";"07. VALIDACIÓN BAJAWARE";"08. CERRADA"},0)
  =
  MATCH(_xlfn.XLOOKUP(INDEX($B:$B, (ROW()-5)),'Relacion '!$E:$E,'Relacion '!$D:$D,""),{"01. ASIGNACION AREA";"02. MAPEO";"03. DESARROLLO";"04. VALIDA US";"05. VOBO US";"06. BW-EJECUCION";"07. VALIDACIÓN BAJAWARE";"08. CERRADA"},0),
  _xlfn.XLOOKUP(INDEX($B:$B, (ROW()-5)),'Relacion '!$E:$E,'Relacion '!#REF!,0),
  0
 )
)</f>
        <v>1</v>
      </c>
      <c r="I1591" s="241">
        <f t="shared" ca="1" si="377"/>
        <v>1</v>
      </c>
      <c r="J1591" s="241"/>
      <c r="K1591" s="241"/>
      <c r="L1591" s="238"/>
    </row>
    <row r="1592" spans="2:12" outlineLevel="1">
      <c r="B1592" s="237" t="s">
        <v>710</v>
      </c>
      <c r="C1592" s="237" t="s">
        <v>710</v>
      </c>
      <c r="D1592" s="238" t="str">
        <f>_xlfn.XLOOKUP(B1592,'Relacion '!$E:$E,'Relacion '!$D:$D,"")</f>
        <v/>
      </c>
      <c r="E1592" s="239">
        <f t="shared" si="365"/>
        <v>25</v>
      </c>
      <c r="F1592" s="240" cm="1">
        <f t="array" ref="F1592">MIN(INDEX('Relacion '!$AH$5:$AI$493,MATCH(INDEX($B:$B, (ROW()-6)),'Relacion '!$E$5:$E$493,0),0))</f>
        <v>46076</v>
      </c>
      <c r="G1592" s="240" cm="1">
        <f t="array" ref="G1592">MAX(INDEX('Relacion '!$AH$5:$AI$493,MATCH(INDEX($B:$B, (ROW()-6)),'Relacion '!$E$5:$E$493,0),0))</f>
        <v>46101</v>
      </c>
      <c r="H1592" s="241" t="e" cm="1">
        <f t="array" ref="H1592">IF(
 MATCH(B1592,{"01. ASIGNACION AREA";"02. MAPEO";"03. DESARROLLO";"04. VALIDA US";"05. VOBO US";"06. BW-EJECUCION";"07. VALIDACIÓN BAJAWARE";"08. CERRADA"},0)
 &lt;
 MATCH(_xlfn.XLOOKUP(INDEX($B:$B, (ROW()-6)),'Relacion '!$E:$E,'Relacion '!$D:$D,""),{"01. ASIGNACION AREA";"02. MAPEO";"03. DESARROLLO";"04. VALIDA US";"05. VOBO US";"06. BW-EJECUCION";"07. VALIDACIÓN BAJAWARE";"08. CERRADA"},0),
 1,
 IF(
  MATCH(B1592,{"01. ASIGNACION AREA";"02. MAPEO";"03. DESARROLLO";"04. VALIDA US";"05. VOBO US";"06. BW-EJECUCION";"07. VALIDACIÓN BAJAWARE";"08. CERRADA"},0)
  =
  MATCH(_xlfn.XLOOKUP(INDEX($B:$B, (ROW()-6)),'Relacion '!$E:$E,'Relacion '!$D:$D,""),{"01. ASIGNACION AREA";"02. MAPEO";"03. DESARROLLO";"04. VALIDA US";"05. VOBO US";"06. BW-EJECUCION";"07. VALIDACIÓN BAJAWARE";"08. CERRADA"},0),
  _xlfn.XLOOKUP(INDEX($B:$B, (ROW()-6)),'Relacion '!$E:$E,'Relacion '!#REF!,0),
  0
 )
)</f>
        <v>#REF!</v>
      </c>
      <c r="I1592" s="241">
        <f t="shared" ca="1" si="377"/>
        <v>1</v>
      </c>
      <c r="J1592" s="241"/>
      <c r="K1592" s="241"/>
      <c r="L1592" s="238"/>
    </row>
    <row r="1593" spans="2:12" outlineLevel="1">
      <c r="B1593" s="237" t="s">
        <v>655</v>
      </c>
      <c r="C1593" s="237" t="s">
        <v>655</v>
      </c>
      <c r="D1593" s="238" t="str">
        <f>_xlfn.XLOOKUP(B1593,'Relacion '!$E:$E,'Relacion '!$D:$D,"")</f>
        <v/>
      </c>
      <c r="E1593" s="239">
        <f t="shared" si="365"/>
        <v>25</v>
      </c>
      <c r="F1593" s="240" cm="1">
        <f t="array" ref="F1593">MIN(INDEX('Relacion '!$AJ$5:$AK$493,MATCH(INDEX($B:$B, (ROW()-7)),'Relacion '!$E$5:$E$493,0),0))</f>
        <v>46104</v>
      </c>
      <c r="G1593" s="240" cm="1">
        <f t="array" ref="G1593">MAX(INDEX('Relacion '!$AJ$5:$AK$493,MATCH(INDEX($B:$B, (ROW()-7)),'Relacion '!$E$5:$E$493,0),0))</f>
        <v>46129</v>
      </c>
      <c r="H1593" s="241" cm="1">
        <f t="array" ref="H1593">IF(
 MATCH(B1593,{"01. ASIGNACION AREA";"02. MAPEO";"03. DESARROLLO";"04. VALIDA US";"05. VOBO US";"06. BW-EJECUCION";"07. VALIDACIÓN BAJAWARE";"08. CERRADA"},0)
 &lt;
 MATCH(_xlfn.XLOOKUP(INDEX($B:$B, (ROW()-7)),'Relacion '!$E:$E,'Relacion '!$D:$D,""),{"01. ASIGNACION AREA";"02. MAPEO";"03. DESARROLLO";"04. VALIDA US";"05. VOBO US";"06. BW-EJECUCION";"07. VALIDACIÓN BAJAWARE";"08. CERRADA"},0),
 1,
 IF(
  MATCH(B1593,{"01. ASIGNACION AREA";"02. MAPEO";"03. DESARROLLO";"04. VALIDA US";"05. VOBO US";"06. BW-EJECUCION";"07. VALIDACIÓN BAJAWARE";"08. CERRADA"},0)
  =
  MATCH(_xlfn.XLOOKUP(INDEX($B:$B, (ROW()-7)),'Relacion '!$E:$E,'Relacion '!$D:$D,""),{"01. ASIGNACION AREA";"02. MAPEO";"03. DESARROLLO";"04. VALIDA US";"05. VOBO US";"06. BW-EJECUCION";"07. VALIDACIÓN BAJAWARE";"08. CERRADA"},0),
  _xlfn.XLOOKUP(INDEX($B:$B, (ROW()-7)),'Relacion '!$E:$E,'Relacion '!#REF!,0),
  0
 )
)</f>
        <v>0</v>
      </c>
      <c r="I1593" s="241">
        <f t="shared" ca="1" si="377"/>
        <v>1</v>
      </c>
      <c r="J1593" s="241"/>
      <c r="K1593" s="241"/>
      <c r="L1593" s="238"/>
    </row>
    <row r="1594" spans="2:12" outlineLevel="1">
      <c r="B1594" s="237" t="s">
        <v>656</v>
      </c>
      <c r="C1594" s="237" t="s">
        <v>656</v>
      </c>
      <c r="D1594" s="238" t="str">
        <f>_xlfn.XLOOKUP(B1594,'Relacion '!$E:$E,'Relacion '!$D:$D,"")</f>
        <v/>
      </c>
      <c r="E1594" s="239">
        <f t="shared" si="365"/>
        <v>0</v>
      </c>
      <c r="F1594" s="240" cm="1">
        <f t="array" ref="F1594">MIN(INDEX('Relacion '!$AL$5:$AM$493,MATCH(INDEX($B:$B, (ROW()-8)),'Relacion '!$E$5:$E$493,0),0))</f>
        <v>46130</v>
      </c>
      <c r="G1594" s="240" cm="1">
        <f t="array" ref="G1594">MAX(INDEX('Relacion '!$AL$5:$AM$493,MATCH(INDEX($B:$B, (ROW()-8)),'Relacion '!$E$5:$E$493,0),0))</f>
        <v>46130</v>
      </c>
      <c r="H1594" s="241" cm="1">
        <f t="array" ref="H1594">IF(
 MATCH(B1594,{"01. ASIGNACION AREA";"02. MAPEO";"03. DESARROLLO";"04. VALIDA US";"05. VOBO US";"06. BW-EJECUCION";"07. VALIDACIÓN BAJAWARE";"08. CERRADA"},0)
 &lt;
 MATCH(_xlfn.XLOOKUP(INDEX($B:$B, (ROW()-8)),'Relacion '!$E:$E,'Relacion '!$D:$D,""),{"01. ASIGNACION AREA";"02. MAPEO";"03. DESARROLLO";"04. VALIDA US";"05. VOBO US";"06. BW-EJECUCION";"07. VALIDACIÓN BAJAWARE";"08. CERRADA"},0),
 1,
 IF(
  MATCH(B1594,{"01. ASIGNACION AREA";"02. MAPEO";"03. DESARROLLO";"04. VALIDA US";"05. VOBO US";"06. BW-EJECUCION";"07. VALIDACIÓN BAJAWARE";"08. CERRADA"},0)
  =
  MATCH(_xlfn.XLOOKUP(INDEX($B:$B, (ROW()-8)),'Relacion '!$E:$E,'Relacion '!$D:$D,""),{"01. ASIGNACION AREA";"02. MAPEO";"03. DESARROLLO";"04. VALIDA US";"05. VOBO US";"06. BW-EJECUCION";"07. VALIDACIÓN BAJAWARE";"08. CERRADA"},0),
  _xlfn.XLOOKUP(INDEX($B:$B, (ROW()-8)),'Relacion '!$E:$E,'Relacion '!#REF!,0),
  0
 )
)</f>
        <v>0</v>
      </c>
      <c r="I1594" s="241">
        <f t="shared" ca="1" si="377"/>
        <v>1</v>
      </c>
      <c r="J1594" s="241"/>
      <c r="K1594" s="241"/>
      <c r="L1594" s="238"/>
    </row>
    <row r="1595" spans="2:12">
      <c r="B1595" s="232" t="s">
        <v>610</v>
      </c>
      <c r="C1595" s="167" t="s">
        <v>607</v>
      </c>
      <c r="D1595" s="236" t="str">
        <f>_xlfn.XLOOKUP(B1595,'Relacion '!$E:$E,'Relacion '!$D:$D,"")</f>
        <v>06. BW-EJECUCION</v>
      </c>
      <c r="E1595" s="233">
        <f t="shared" si="365"/>
        <v>471</v>
      </c>
      <c r="F1595" s="234" cm="1">
        <f t="array" ref="F1595">MIN(INDEX('Relacion '!$X$5:$AM$493,MATCH(INDEX($B:$B, (ROW()-0)),'Relacion '!$E$5:$E$493,0),0))</f>
        <v>45659</v>
      </c>
      <c r="G1595" s="234" cm="1">
        <f t="array" ref="G1595">MAX(INDEX('Relacion '!$X$5:$AM$493,MATCH(INDEX($B:$B, (ROW()-0)),'Relacion '!$E$5:$E$493,0),0))</f>
        <v>46130</v>
      </c>
      <c r="H1595" s="235" t="e">
        <f>AVERAGE(H1596:H1603)</f>
        <v>#REF!</v>
      </c>
      <c r="I1595" s="235">
        <f t="shared" ref="I1595" ca="1" si="378">AVERAGE(I1596:I1603)</f>
        <v>1</v>
      </c>
      <c r="J1595" s="236" t="str">
        <f>IF(ISNUMBER(SEARCH("Rocha", _xlfn.XLOOKUP(B1595,'Relacion '!$E:$E,'Relacion '!$I:$I,""))), "Sí", "No")</f>
        <v>No</v>
      </c>
      <c r="K1595" s="236" t="str">
        <f>IF(ISNUMBER(SEARCH("Rocha", _xlfn.XLOOKUP(B1595,'Relacion '!$E:$E,'Relacion '!$I:$I,""))), "RMC", _xlfn.XLOOKUP(B1595,'Relacion '!$E:$E,'Relacion '!$B:$B,""))</f>
        <v>Producto</v>
      </c>
      <c r="L1595" s="236" t="str">
        <f>_xlfn.XLOOKUP(B1595,'Relacion '!$E:$E,'Relacion '!$C:$C,"")</f>
        <v>Claudia Barroso</v>
      </c>
    </row>
    <row r="1596" spans="2:12" outlineLevel="1">
      <c r="B1596" s="237" t="s">
        <v>654</v>
      </c>
      <c r="C1596" s="237" t="s">
        <v>654</v>
      </c>
      <c r="D1596" s="238" t="str">
        <f>_xlfn.XLOOKUP(B1596,'Relacion '!$E:$E,'Relacion '!$D:$D,"")</f>
        <v/>
      </c>
      <c r="E1596" s="239">
        <f t="shared" si="365"/>
        <v>424</v>
      </c>
      <c r="F1596" s="240" cm="1">
        <f t="array" ref="F1596">MIN(INDEX('Relacion '!$X$5:$Y$493,MATCH(INDEX($B:$B, (ROW()-1)),'Relacion '!$E$5:$E$493,0),0))</f>
        <v>45659</v>
      </c>
      <c r="G1596" s="240" cm="1">
        <f t="array" ref="G1596">MAX(INDEX('Relacion '!$X$5:$Y$493,MATCH(INDEX($B:$B, (ROW()-1)),'Relacion '!$E$5:$E$493,0),0))</f>
        <v>46083</v>
      </c>
      <c r="H1596" s="241" cm="1">
        <f t="array" ref="H1596">IF(
 MATCH(B1596,{"01. ASIGNACION AREA";"02. MAPEO";"03. DESARROLLO";"04. VALIDA US";"05. VOBO US";"06. BW-EJECUCION";"07. VALIDACIÓN BAJAWARE";"08. CERRADA"},0)
 &lt;
 MATCH(_xlfn.XLOOKUP(INDEX($B:$B, (ROW()-1)),'Relacion '!$E:$E,'Relacion '!$D:$D,""),{"01. ASIGNACION AREA";"02. MAPEO";"03. DESARROLLO";"04. VALIDA US";"05. VOBO US";"06. BW-EJECUCION";"07. VALIDACIÓN BAJAWARE";"08. CERRADA"},0),
 1,
 IF(
  MATCH(B1596,{"01. ASIGNACION AREA";"02. MAPEO";"03. DESARROLLO";"04. VALIDA US";"05. VOBO US";"06. BW-EJECUCION";"07. VALIDACIÓN BAJAWARE";"08. CERRADA"},0)
  =
  MATCH(_xlfn.XLOOKUP(INDEX($B:$B, (ROW()-1)),'Relacion '!$E:$E,'Relacion '!$D:$D,""),{"01. ASIGNACION AREA";"02. MAPEO";"03. DESARROLLO";"04. VALIDA US";"05. VOBO US";"06. BW-EJECUCION";"07. VALIDACIÓN BAJAWARE";"08. CERRADA"},0),
  _xlfn.XLOOKUP(INDEX($B:$B, (ROW()-1)),'Relacion '!$E:$E,'Relacion '!#REF!,0),
  0
 )
)</f>
        <v>1</v>
      </c>
      <c r="I1596" s="241">
        <f t="shared" ref="I1596" ca="1" si="379">IF(G1596&lt;=TODAY(), 1, 0)</f>
        <v>1</v>
      </c>
      <c r="J1596" s="241"/>
      <c r="K1596" s="241"/>
      <c r="L1596" s="238"/>
    </row>
    <row r="1597" spans="2:12" outlineLevel="1">
      <c r="B1597" s="237" t="s">
        <v>195</v>
      </c>
      <c r="C1597" s="237" t="s">
        <v>195</v>
      </c>
      <c r="D1597" s="238" t="str">
        <f>_xlfn.XLOOKUP(B1597,'Relacion '!$E:$E,'Relacion '!$D:$D,"")</f>
        <v/>
      </c>
      <c r="E1597" s="239">
        <f t="shared" si="365"/>
        <v>4</v>
      </c>
      <c r="F1597" s="240" cm="1">
        <f t="array" ref="F1597">MIN(INDEX('Relacion '!$Z$5:$AA$493,MATCH(INDEX($B:$B, (ROW()-2)),'Relacion '!$E$5:$E$493,0),0))</f>
        <v>46034</v>
      </c>
      <c r="G1597" s="240" cm="1">
        <f t="array" ref="G1597">MAX(INDEX('Relacion '!$Z$5:$AA$493,MATCH(INDEX($B:$B, (ROW()-2)),'Relacion '!$E$5:$E$493,0),0))</f>
        <v>46038</v>
      </c>
      <c r="H1597" s="241" cm="1">
        <f t="array" ref="H1597">IF(
 MATCH(B1597,{"01. ASIGNACION AREA";"02. MAPEO";"03. DESARROLLO";"04. VALIDA US";"05. VOBO US";"06. BW-EJECUCION";"07. VALIDACIÓN BAJAWARE";"08. CERRADA"},0)
 &lt;
 MATCH(_xlfn.XLOOKUP(INDEX($B:$B, (ROW()-2)),'Relacion '!$E:$E,'Relacion '!$D:$D,""),{"01. ASIGNACION AREA";"02. MAPEO";"03. DESARROLLO";"04. VALIDA US";"05. VOBO US";"06. BW-EJECUCION";"07. VALIDACIÓN BAJAWARE";"08. CERRADA"},0),
 1,
 IF(
  MATCH(B1597,{"01. ASIGNACION AREA";"02. MAPEO";"03. DESARROLLO";"04. VALIDA US";"05. VOBO US";"06. BW-EJECUCION";"07. VALIDACIÓN BAJAWARE";"08. CERRADA"},0)
  =
  MATCH(_xlfn.XLOOKUP(INDEX($B:$B, (ROW()-2)),'Relacion '!$E:$E,'Relacion '!$D:$D,""),{"01. ASIGNACION AREA";"02. MAPEO";"03. DESARROLLO";"04. VALIDA US";"05. VOBO US";"06. BW-EJECUCION";"07. VALIDACIÓN BAJAWARE";"08. CERRADA"},0),
  _xlfn.XLOOKUP(INDEX($B:$B, (ROW()-2)),'Relacion '!$E:$E,'Relacion '!#REF!,0),
  0
 )
)</f>
        <v>1</v>
      </c>
      <c r="I1597" s="241">
        <f t="shared" ca="1" si="377"/>
        <v>1</v>
      </c>
      <c r="J1597" s="241"/>
      <c r="K1597" s="241"/>
      <c r="L1597" s="238"/>
    </row>
    <row r="1598" spans="2:12" outlineLevel="1">
      <c r="B1598" s="237" t="s">
        <v>49</v>
      </c>
      <c r="C1598" s="237" t="s">
        <v>49</v>
      </c>
      <c r="D1598" s="238" t="str">
        <f>_xlfn.XLOOKUP(B1598,'Relacion '!$E:$E,'Relacion '!$D:$D,"")</f>
        <v/>
      </c>
      <c r="E1598" s="239">
        <f t="shared" si="365"/>
        <v>4</v>
      </c>
      <c r="F1598" s="240" cm="1">
        <f t="array" ref="F1598">MIN(INDEX('Relacion '!$AB$5:$AC$493,MATCH(INDEX($B:$B, (ROW()-3)),'Relacion '!$E$5:$E$493,0),0))</f>
        <v>46041</v>
      </c>
      <c r="G1598" s="240" cm="1">
        <f t="array" ref="G1598">MAX(INDEX('Relacion '!$AB$5:$AC$493,MATCH(INDEX($B:$B, (ROW()-3)),'Relacion '!$E$5:$E$493,0),0))</f>
        <v>46045</v>
      </c>
      <c r="H1598" s="241" cm="1">
        <f t="array" ref="H1598">IF(
 MATCH(B1598,{"01. ASIGNACION AREA";"02. MAPEO";"03. DESARROLLO";"04. VALIDA US";"05. VOBO US";"06. BW-EJECUCION";"07. VALIDACIÓN BAJAWARE";"08. CERRADA"},0)
 &lt;
 MATCH(_xlfn.XLOOKUP(INDEX($B:$B, (ROW()-3)),'Relacion '!$E:$E,'Relacion '!$D:$D,""),{"01. ASIGNACION AREA";"02. MAPEO";"03. DESARROLLO";"04. VALIDA US";"05. VOBO US";"06. BW-EJECUCION";"07. VALIDACIÓN BAJAWARE";"08. CERRADA"},0),
 1,
 IF(
  MATCH(B1598,{"01. ASIGNACION AREA";"02. MAPEO";"03. DESARROLLO";"04. VALIDA US";"05. VOBO US";"06. BW-EJECUCION";"07. VALIDACIÓN BAJAWARE";"08. CERRADA"},0)
  =
  MATCH(_xlfn.XLOOKUP(INDEX($B:$B, (ROW()-3)),'Relacion '!$E:$E,'Relacion '!$D:$D,""),{"01. ASIGNACION AREA";"02. MAPEO";"03. DESARROLLO";"04. VALIDA US";"05. VOBO US";"06. BW-EJECUCION";"07. VALIDACIÓN BAJAWARE";"08. CERRADA"},0),
  _xlfn.XLOOKUP(INDEX($B:$B, (ROW()-3)),'Relacion '!$E:$E,'Relacion '!#REF!,0),
  0
 )
)</f>
        <v>1</v>
      </c>
      <c r="I1598" s="241">
        <f t="shared" ca="1" si="377"/>
        <v>1</v>
      </c>
      <c r="J1598" s="241"/>
      <c r="K1598" s="241"/>
      <c r="L1598" s="238"/>
    </row>
    <row r="1599" spans="2:12" outlineLevel="1">
      <c r="B1599" s="237" t="s">
        <v>324</v>
      </c>
      <c r="C1599" s="237" t="s">
        <v>324</v>
      </c>
      <c r="D1599" s="238" t="str">
        <f>_xlfn.XLOOKUP(B1599,'Relacion '!$E:$E,'Relacion '!$D:$D,"")</f>
        <v/>
      </c>
      <c r="E1599" s="239">
        <f t="shared" si="365"/>
        <v>4</v>
      </c>
      <c r="F1599" s="240" cm="1">
        <f t="array" ref="F1599">MIN(INDEX('Relacion '!$AD$5:$AE$493,MATCH(INDEX($B:$B, (ROW()-4)),'Relacion '!$E$5:$E$493,0),0))</f>
        <v>46048</v>
      </c>
      <c r="G1599" s="240" cm="1">
        <f t="array" ref="G1599">MAX(INDEX('Relacion '!$AD$5:$AE$493,MATCH(INDEX($B:$B, (ROW()-4)),'Relacion '!$E$5:$E$493,0),0))</f>
        <v>46052</v>
      </c>
      <c r="H1599" s="241" cm="1">
        <f t="array" ref="H1599">IF(
 MATCH(B1599,{"01. ASIGNACION AREA";"02. MAPEO";"03. DESARROLLO";"04. VALIDA US";"05. VOBO US";"06. BW-EJECUCION";"07. VALIDACIÓN BAJAWARE";"08. CERRADA"},0)
 &lt;
 MATCH(_xlfn.XLOOKUP(INDEX($B:$B, (ROW()-4)),'Relacion '!$E:$E,'Relacion '!$D:$D,""),{"01. ASIGNACION AREA";"02. MAPEO";"03. DESARROLLO";"04. VALIDA US";"05. VOBO US";"06. BW-EJECUCION";"07. VALIDACIÓN BAJAWARE";"08. CERRADA"},0),
 1,
 IF(
  MATCH(B1599,{"01. ASIGNACION AREA";"02. MAPEO";"03. DESARROLLO";"04. VALIDA US";"05. VOBO US";"06. BW-EJECUCION";"07. VALIDACIÓN BAJAWARE";"08. CERRADA"},0)
  =
  MATCH(_xlfn.XLOOKUP(INDEX($B:$B, (ROW()-4)),'Relacion '!$E:$E,'Relacion '!$D:$D,""),{"01. ASIGNACION AREA";"02. MAPEO";"03. DESARROLLO";"04. VALIDA US";"05. VOBO US";"06. BW-EJECUCION";"07. VALIDACIÓN BAJAWARE";"08. CERRADA"},0),
  _xlfn.XLOOKUP(INDEX($B:$B, (ROW()-4)),'Relacion '!$E:$E,'Relacion '!#REF!,0),
  0
 )
)</f>
        <v>1</v>
      </c>
      <c r="I1599" s="241">
        <f t="shared" ca="1" si="377"/>
        <v>1</v>
      </c>
      <c r="J1599" s="241"/>
      <c r="K1599" s="241"/>
      <c r="L1599" s="238"/>
    </row>
    <row r="1600" spans="2:12" outlineLevel="1">
      <c r="B1600" s="237" t="s">
        <v>320</v>
      </c>
      <c r="C1600" s="237" t="s">
        <v>320</v>
      </c>
      <c r="D1600" s="238" t="str">
        <f>_xlfn.XLOOKUP(B1600,'Relacion '!$E:$E,'Relacion '!$D:$D,"")</f>
        <v/>
      </c>
      <c r="E1600" s="239">
        <f t="shared" si="365"/>
        <v>7</v>
      </c>
      <c r="F1600" s="240" cm="1">
        <f t="array" ref="F1600">MIN(INDEX('Relacion '!$AF$5:$AG$493,MATCH(INDEX($B:$B, (ROW()-5)),'Relacion '!$E$5:$E$493,0),0))</f>
        <v>46055</v>
      </c>
      <c r="G1600" s="240" cm="1">
        <f t="array" ref="G1600">MAX(INDEX('Relacion '!$AF$5:$AG$493,MATCH(INDEX($B:$B, (ROW()-5)),'Relacion '!$E$5:$E$493,0),0))</f>
        <v>46062</v>
      </c>
      <c r="H1600" s="241" cm="1">
        <f t="array" ref="H1600">IF(
 MATCH(B1600,{"01. ASIGNACION AREA";"02. MAPEO";"03. DESARROLLO";"04. VALIDA US";"05. VOBO US";"06. BW-EJECUCION";"07. VALIDACIÓN BAJAWARE";"08. CERRADA"},0)
 &lt;
 MATCH(_xlfn.XLOOKUP(INDEX($B:$B, (ROW()-5)),'Relacion '!$E:$E,'Relacion '!$D:$D,""),{"01. ASIGNACION AREA";"02. MAPEO";"03. DESARROLLO";"04. VALIDA US";"05. VOBO US";"06. BW-EJECUCION";"07. VALIDACIÓN BAJAWARE";"08. CERRADA"},0),
 1,
 IF(
  MATCH(B1600,{"01. ASIGNACION AREA";"02. MAPEO";"03. DESARROLLO";"04. VALIDA US";"05. VOBO US";"06. BW-EJECUCION";"07. VALIDACIÓN BAJAWARE";"08. CERRADA"},0)
  =
  MATCH(_xlfn.XLOOKUP(INDEX($B:$B, (ROW()-5)),'Relacion '!$E:$E,'Relacion '!$D:$D,""),{"01. ASIGNACION AREA";"02. MAPEO";"03. DESARROLLO";"04. VALIDA US";"05. VOBO US";"06. BW-EJECUCION";"07. VALIDACIÓN BAJAWARE";"08. CERRADA"},0),
  _xlfn.XLOOKUP(INDEX($B:$B, (ROW()-5)),'Relacion '!$E:$E,'Relacion '!#REF!,0),
  0
 )
)</f>
        <v>1</v>
      </c>
      <c r="I1600" s="241">
        <f t="shared" ca="1" si="377"/>
        <v>1</v>
      </c>
      <c r="J1600" s="241"/>
      <c r="K1600" s="241"/>
      <c r="L1600" s="238"/>
    </row>
    <row r="1601" spans="2:12" outlineLevel="1">
      <c r="B1601" s="237" t="s">
        <v>710</v>
      </c>
      <c r="C1601" s="237" t="s">
        <v>710</v>
      </c>
      <c r="D1601" s="238" t="str">
        <f>_xlfn.XLOOKUP(B1601,'Relacion '!$E:$E,'Relacion '!$D:$D,"")</f>
        <v/>
      </c>
      <c r="E1601" s="239">
        <f t="shared" si="365"/>
        <v>25</v>
      </c>
      <c r="F1601" s="240" cm="1">
        <f t="array" ref="F1601">MIN(INDEX('Relacion '!$AH$5:$AI$493,MATCH(INDEX($B:$B, (ROW()-6)),'Relacion '!$E$5:$E$493,0),0))</f>
        <v>46076</v>
      </c>
      <c r="G1601" s="240" cm="1">
        <f t="array" ref="G1601">MAX(INDEX('Relacion '!$AH$5:$AI$493,MATCH(INDEX($B:$B, (ROW()-6)),'Relacion '!$E$5:$E$493,0),0))</f>
        <v>46101</v>
      </c>
      <c r="H1601" s="241" t="e" cm="1">
        <f t="array" ref="H1601">IF(
 MATCH(B1601,{"01. ASIGNACION AREA";"02. MAPEO";"03. DESARROLLO";"04. VALIDA US";"05. VOBO US";"06. BW-EJECUCION";"07. VALIDACIÓN BAJAWARE";"08. CERRADA"},0)
 &lt;
 MATCH(_xlfn.XLOOKUP(INDEX($B:$B, (ROW()-6)),'Relacion '!$E:$E,'Relacion '!$D:$D,""),{"01. ASIGNACION AREA";"02. MAPEO";"03. DESARROLLO";"04. VALIDA US";"05. VOBO US";"06. BW-EJECUCION";"07. VALIDACIÓN BAJAWARE";"08. CERRADA"},0),
 1,
 IF(
  MATCH(B1601,{"01. ASIGNACION AREA";"02. MAPEO";"03. DESARROLLO";"04. VALIDA US";"05. VOBO US";"06. BW-EJECUCION";"07. VALIDACIÓN BAJAWARE";"08. CERRADA"},0)
  =
  MATCH(_xlfn.XLOOKUP(INDEX($B:$B, (ROW()-6)),'Relacion '!$E:$E,'Relacion '!$D:$D,""),{"01. ASIGNACION AREA";"02. MAPEO";"03. DESARROLLO";"04. VALIDA US";"05. VOBO US";"06. BW-EJECUCION";"07. VALIDACIÓN BAJAWARE";"08. CERRADA"},0),
  _xlfn.XLOOKUP(INDEX($B:$B, (ROW()-6)),'Relacion '!$E:$E,'Relacion '!#REF!,0),
  0
 )
)</f>
        <v>#REF!</v>
      </c>
      <c r="I1601" s="241">
        <f t="shared" ca="1" si="377"/>
        <v>1</v>
      </c>
      <c r="J1601" s="241"/>
      <c r="K1601" s="241"/>
      <c r="L1601" s="238"/>
    </row>
    <row r="1602" spans="2:12" outlineLevel="1">
      <c r="B1602" s="237" t="s">
        <v>655</v>
      </c>
      <c r="C1602" s="237" t="s">
        <v>655</v>
      </c>
      <c r="D1602" s="238" t="str">
        <f>_xlfn.XLOOKUP(B1602,'Relacion '!$E:$E,'Relacion '!$D:$D,"")</f>
        <v/>
      </c>
      <c r="E1602" s="239">
        <f t="shared" ref="E1602:E1665" si="380">IF(OR(F1602="",G1602=""),"",G1602-F1602)</f>
        <v>25</v>
      </c>
      <c r="F1602" s="240" cm="1">
        <f t="array" ref="F1602">MIN(INDEX('Relacion '!$AJ$5:$AK$493,MATCH(INDEX($B:$B, (ROW()-7)),'Relacion '!$E$5:$E$493,0),0))</f>
        <v>46104</v>
      </c>
      <c r="G1602" s="240" cm="1">
        <f t="array" ref="G1602">MAX(INDEX('Relacion '!$AJ$5:$AK$493,MATCH(INDEX($B:$B, (ROW()-7)),'Relacion '!$E$5:$E$493,0),0))</f>
        <v>46129</v>
      </c>
      <c r="H1602" s="241" cm="1">
        <f t="array" ref="H1602">IF(
 MATCH(B1602,{"01. ASIGNACION AREA";"02. MAPEO";"03. DESARROLLO";"04. VALIDA US";"05. VOBO US";"06. BW-EJECUCION";"07. VALIDACIÓN BAJAWARE";"08. CERRADA"},0)
 &lt;
 MATCH(_xlfn.XLOOKUP(INDEX($B:$B, (ROW()-7)),'Relacion '!$E:$E,'Relacion '!$D:$D,""),{"01. ASIGNACION AREA";"02. MAPEO";"03. DESARROLLO";"04. VALIDA US";"05. VOBO US";"06. BW-EJECUCION";"07. VALIDACIÓN BAJAWARE";"08. CERRADA"},0),
 1,
 IF(
  MATCH(B1602,{"01. ASIGNACION AREA";"02. MAPEO";"03. DESARROLLO";"04. VALIDA US";"05. VOBO US";"06. BW-EJECUCION";"07. VALIDACIÓN BAJAWARE";"08. CERRADA"},0)
  =
  MATCH(_xlfn.XLOOKUP(INDEX($B:$B, (ROW()-7)),'Relacion '!$E:$E,'Relacion '!$D:$D,""),{"01. ASIGNACION AREA";"02. MAPEO";"03. DESARROLLO";"04. VALIDA US";"05. VOBO US";"06. BW-EJECUCION";"07. VALIDACIÓN BAJAWARE";"08. CERRADA"},0),
  _xlfn.XLOOKUP(INDEX($B:$B, (ROW()-7)),'Relacion '!$E:$E,'Relacion '!#REF!,0),
  0
 )
)</f>
        <v>0</v>
      </c>
      <c r="I1602" s="241">
        <f t="shared" ca="1" si="377"/>
        <v>1</v>
      </c>
      <c r="J1602" s="241"/>
      <c r="K1602" s="241"/>
      <c r="L1602" s="238"/>
    </row>
    <row r="1603" spans="2:12" outlineLevel="1">
      <c r="B1603" s="237" t="s">
        <v>656</v>
      </c>
      <c r="C1603" s="237" t="s">
        <v>656</v>
      </c>
      <c r="D1603" s="238" t="str">
        <f>_xlfn.XLOOKUP(B1603,'Relacion '!$E:$E,'Relacion '!$D:$D,"")</f>
        <v/>
      </c>
      <c r="E1603" s="239">
        <f t="shared" si="380"/>
        <v>0</v>
      </c>
      <c r="F1603" s="240" cm="1">
        <f t="array" ref="F1603">MIN(INDEX('Relacion '!$AL$5:$AM$493,MATCH(INDEX($B:$B, (ROW()-8)),'Relacion '!$E$5:$E$493,0),0))</f>
        <v>46130</v>
      </c>
      <c r="G1603" s="240" cm="1">
        <f t="array" ref="G1603">MAX(INDEX('Relacion '!$AL$5:$AM$493,MATCH(INDEX($B:$B, (ROW()-8)),'Relacion '!$E$5:$E$493,0),0))</f>
        <v>46130</v>
      </c>
      <c r="H1603" s="241" cm="1">
        <f t="array" ref="H1603">IF(
 MATCH(B1603,{"01. ASIGNACION AREA";"02. MAPEO";"03. DESARROLLO";"04. VALIDA US";"05. VOBO US";"06. BW-EJECUCION";"07. VALIDACIÓN BAJAWARE";"08. CERRADA"},0)
 &lt;
 MATCH(_xlfn.XLOOKUP(INDEX($B:$B, (ROW()-8)),'Relacion '!$E:$E,'Relacion '!$D:$D,""),{"01. ASIGNACION AREA";"02. MAPEO";"03. DESARROLLO";"04. VALIDA US";"05. VOBO US";"06. BW-EJECUCION";"07. VALIDACIÓN BAJAWARE";"08. CERRADA"},0),
 1,
 IF(
  MATCH(B1603,{"01. ASIGNACION AREA";"02. MAPEO";"03. DESARROLLO";"04. VALIDA US";"05. VOBO US";"06. BW-EJECUCION";"07. VALIDACIÓN BAJAWARE";"08. CERRADA"},0)
  =
  MATCH(_xlfn.XLOOKUP(INDEX($B:$B, (ROW()-8)),'Relacion '!$E:$E,'Relacion '!$D:$D,""),{"01. ASIGNACION AREA";"02. MAPEO";"03. DESARROLLO";"04. VALIDA US";"05. VOBO US";"06. BW-EJECUCION";"07. VALIDACIÓN BAJAWARE";"08. CERRADA"},0),
  _xlfn.XLOOKUP(INDEX($B:$B, (ROW()-8)),'Relacion '!$E:$E,'Relacion '!#REF!,0),
  0
 )
)</f>
        <v>0</v>
      </c>
      <c r="I1603" s="241">
        <f t="shared" ca="1" si="377"/>
        <v>1</v>
      </c>
      <c r="J1603" s="241"/>
      <c r="K1603" s="241"/>
      <c r="L1603" s="238"/>
    </row>
    <row r="1604" spans="2:12">
      <c r="B1604" s="232" t="s">
        <v>611</v>
      </c>
      <c r="C1604" s="167" t="s">
        <v>607</v>
      </c>
      <c r="D1604" s="236" t="str">
        <f>_xlfn.XLOOKUP(B1604,'Relacion '!$E:$E,'Relacion '!$D:$D,"")</f>
        <v>06. BW-EJECUCION</v>
      </c>
      <c r="E1604" s="233">
        <f t="shared" si="380"/>
        <v>471</v>
      </c>
      <c r="F1604" s="234" cm="1">
        <f t="array" ref="F1604">MIN(INDEX('Relacion '!$X$5:$AM$493,MATCH(INDEX($B:$B, (ROW()-0)),'Relacion '!$E$5:$E$493,0),0))</f>
        <v>45659</v>
      </c>
      <c r="G1604" s="234" cm="1">
        <f t="array" ref="G1604">MAX(INDEX('Relacion '!$X$5:$AM$493,MATCH(INDEX($B:$B, (ROW()-0)),'Relacion '!$E$5:$E$493,0),0))</f>
        <v>46130</v>
      </c>
      <c r="H1604" s="235" t="e">
        <f>AVERAGE(H1605:H1612)</f>
        <v>#REF!</v>
      </c>
      <c r="I1604" s="235">
        <f t="shared" ref="I1604" ca="1" si="381">AVERAGE(I1605:I1612)</f>
        <v>1</v>
      </c>
      <c r="J1604" s="236" t="str">
        <f>IF(ISNUMBER(SEARCH("Rocha", _xlfn.XLOOKUP(B1604,'Relacion '!$E:$E,'Relacion '!$I:$I,""))), "Sí", "No")</f>
        <v>No</v>
      </c>
      <c r="K1604" s="236" t="str">
        <f>IF(ISNUMBER(SEARCH("Rocha", _xlfn.XLOOKUP(B1604,'Relacion '!$E:$E,'Relacion '!$I:$I,""))), "RMC", _xlfn.XLOOKUP(B1604,'Relacion '!$E:$E,'Relacion '!$B:$B,""))</f>
        <v>Producto</v>
      </c>
      <c r="L1604" s="236" t="str">
        <f>_xlfn.XLOOKUP(B1604,'Relacion '!$E:$E,'Relacion '!$C:$C,"")</f>
        <v>Claudia Barroso</v>
      </c>
    </row>
    <row r="1605" spans="2:12" outlineLevel="1">
      <c r="B1605" s="237" t="s">
        <v>654</v>
      </c>
      <c r="C1605" s="237" t="s">
        <v>654</v>
      </c>
      <c r="D1605" s="238" t="str">
        <f>_xlfn.XLOOKUP(B1605,'Relacion '!$E:$E,'Relacion '!$D:$D,"")</f>
        <v/>
      </c>
      <c r="E1605" s="239">
        <f t="shared" si="380"/>
        <v>424</v>
      </c>
      <c r="F1605" s="240" cm="1">
        <f t="array" ref="F1605">MIN(INDEX('Relacion '!$X$5:$Y$493,MATCH(INDEX($B:$B, (ROW()-1)),'Relacion '!$E$5:$E$493,0),0))</f>
        <v>45659</v>
      </c>
      <c r="G1605" s="240" cm="1">
        <f t="array" ref="G1605">MAX(INDEX('Relacion '!$X$5:$Y$493,MATCH(INDEX($B:$B, (ROW()-1)),'Relacion '!$E$5:$E$493,0),0))</f>
        <v>46083</v>
      </c>
      <c r="H1605" s="241" cm="1">
        <f t="array" ref="H1605">IF(
 MATCH(B1605,{"01. ASIGNACION AREA";"02. MAPEO";"03. DESARROLLO";"04. VALIDA US";"05. VOBO US";"06. BW-EJECUCION";"07. VALIDACIÓN BAJAWARE";"08. CERRADA"},0)
 &lt;
 MATCH(_xlfn.XLOOKUP(INDEX($B:$B, (ROW()-1)),'Relacion '!$E:$E,'Relacion '!$D:$D,""),{"01. ASIGNACION AREA";"02. MAPEO";"03. DESARROLLO";"04. VALIDA US";"05. VOBO US";"06. BW-EJECUCION";"07. VALIDACIÓN BAJAWARE";"08. CERRADA"},0),
 1,
 IF(
  MATCH(B1605,{"01. ASIGNACION AREA";"02. MAPEO";"03. DESARROLLO";"04. VALIDA US";"05. VOBO US";"06. BW-EJECUCION";"07. VALIDACIÓN BAJAWARE";"08. CERRADA"},0)
  =
  MATCH(_xlfn.XLOOKUP(INDEX($B:$B, (ROW()-1)),'Relacion '!$E:$E,'Relacion '!$D:$D,""),{"01. ASIGNACION AREA";"02. MAPEO";"03. DESARROLLO";"04. VALIDA US";"05. VOBO US";"06. BW-EJECUCION";"07. VALIDACIÓN BAJAWARE";"08. CERRADA"},0),
  _xlfn.XLOOKUP(INDEX($B:$B, (ROW()-1)),'Relacion '!$E:$E,'Relacion '!#REF!,0),
  0
 )
)</f>
        <v>1</v>
      </c>
      <c r="I1605" s="241">
        <f t="shared" ref="I1605" ca="1" si="382">IF(G1605&lt;=TODAY(), 1, 0)</f>
        <v>1</v>
      </c>
      <c r="J1605" s="241"/>
      <c r="K1605" s="241"/>
      <c r="L1605" s="238"/>
    </row>
    <row r="1606" spans="2:12" outlineLevel="1">
      <c r="B1606" s="237" t="s">
        <v>195</v>
      </c>
      <c r="C1606" s="237" t="s">
        <v>195</v>
      </c>
      <c r="D1606" s="238" t="str">
        <f>_xlfn.XLOOKUP(B1606,'Relacion '!$E:$E,'Relacion '!$D:$D,"")</f>
        <v/>
      </c>
      <c r="E1606" s="239">
        <f t="shared" si="380"/>
        <v>4</v>
      </c>
      <c r="F1606" s="240" cm="1">
        <f t="array" ref="F1606">MIN(INDEX('Relacion '!$Z$5:$AA$493,MATCH(INDEX($B:$B, (ROW()-2)),'Relacion '!$E$5:$E$493,0),0))</f>
        <v>46034</v>
      </c>
      <c r="G1606" s="240" cm="1">
        <f t="array" ref="G1606">MAX(INDEX('Relacion '!$Z$5:$AA$493,MATCH(INDEX($B:$B, (ROW()-2)),'Relacion '!$E$5:$E$493,0),0))</f>
        <v>46038</v>
      </c>
      <c r="H1606" s="241" cm="1">
        <f t="array" ref="H1606">IF(
 MATCH(B1606,{"01. ASIGNACION AREA";"02. MAPEO";"03. DESARROLLO";"04. VALIDA US";"05. VOBO US";"06. BW-EJECUCION";"07. VALIDACIÓN BAJAWARE";"08. CERRADA"},0)
 &lt;
 MATCH(_xlfn.XLOOKUP(INDEX($B:$B, (ROW()-2)),'Relacion '!$E:$E,'Relacion '!$D:$D,""),{"01. ASIGNACION AREA";"02. MAPEO";"03. DESARROLLO";"04. VALIDA US";"05. VOBO US";"06. BW-EJECUCION";"07. VALIDACIÓN BAJAWARE";"08. CERRADA"},0),
 1,
 IF(
  MATCH(B1606,{"01. ASIGNACION AREA";"02. MAPEO";"03. DESARROLLO";"04. VALIDA US";"05. VOBO US";"06. BW-EJECUCION";"07. VALIDACIÓN BAJAWARE";"08. CERRADA"},0)
  =
  MATCH(_xlfn.XLOOKUP(INDEX($B:$B, (ROW()-2)),'Relacion '!$E:$E,'Relacion '!$D:$D,""),{"01. ASIGNACION AREA";"02. MAPEO";"03. DESARROLLO";"04. VALIDA US";"05. VOBO US";"06. BW-EJECUCION";"07. VALIDACIÓN BAJAWARE";"08. CERRADA"},0),
  _xlfn.XLOOKUP(INDEX($B:$B, (ROW()-2)),'Relacion '!$E:$E,'Relacion '!#REF!,0),
  0
 )
)</f>
        <v>1</v>
      </c>
      <c r="I1606" s="241">
        <f t="shared" ca="1" si="377"/>
        <v>1</v>
      </c>
      <c r="J1606" s="241"/>
      <c r="K1606" s="241"/>
      <c r="L1606" s="238"/>
    </row>
    <row r="1607" spans="2:12" outlineLevel="1">
      <c r="B1607" s="237" t="s">
        <v>49</v>
      </c>
      <c r="C1607" s="237" t="s">
        <v>49</v>
      </c>
      <c r="D1607" s="238" t="str">
        <f>_xlfn.XLOOKUP(B1607,'Relacion '!$E:$E,'Relacion '!$D:$D,"")</f>
        <v/>
      </c>
      <c r="E1607" s="239">
        <f t="shared" si="380"/>
        <v>4</v>
      </c>
      <c r="F1607" s="240" cm="1">
        <f t="array" ref="F1607">MIN(INDEX('Relacion '!$AB$5:$AC$493,MATCH(INDEX($B:$B, (ROW()-3)),'Relacion '!$E$5:$E$493,0),0))</f>
        <v>46041</v>
      </c>
      <c r="G1607" s="240" cm="1">
        <f t="array" ref="G1607">MAX(INDEX('Relacion '!$AB$5:$AC$493,MATCH(INDEX($B:$B, (ROW()-3)),'Relacion '!$E$5:$E$493,0),0))</f>
        <v>46045</v>
      </c>
      <c r="H1607" s="241" cm="1">
        <f t="array" ref="H1607">IF(
 MATCH(B1607,{"01. ASIGNACION AREA";"02. MAPEO";"03. DESARROLLO";"04. VALIDA US";"05. VOBO US";"06. BW-EJECUCION";"07. VALIDACIÓN BAJAWARE";"08. CERRADA"},0)
 &lt;
 MATCH(_xlfn.XLOOKUP(INDEX($B:$B, (ROW()-3)),'Relacion '!$E:$E,'Relacion '!$D:$D,""),{"01. ASIGNACION AREA";"02. MAPEO";"03. DESARROLLO";"04. VALIDA US";"05. VOBO US";"06. BW-EJECUCION";"07. VALIDACIÓN BAJAWARE";"08. CERRADA"},0),
 1,
 IF(
  MATCH(B1607,{"01. ASIGNACION AREA";"02. MAPEO";"03. DESARROLLO";"04. VALIDA US";"05. VOBO US";"06. BW-EJECUCION";"07. VALIDACIÓN BAJAWARE";"08. CERRADA"},0)
  =
  MATCH(_xlfn.XLOOKUP(INDEX($B:$B, (ROW()-3)),'Relacion '!$E:$E,'Relacion '!$D:$D,""),{"01. ASIGNACION AREA";"02. MAPEO";"03. DESARROLLO";"04. VALIDA US";"05. VOBO US";"06. BW-EJECUCION";"07. VALIDACIÓN BAJAWARE";"08. CERRADA"},0),
  _xlfn.XLOOKUP(INDEX($B:$B, (ROW()-3)),'Relacion '!$E:$E,'Relacion '!#REF!,0),
  0
 )
)</f>
        <v>1</v>
      </c>
      <c r="I1607" s="241">
        <f t="shared" ca="1" si="377"/>
        <v>1</v>
      </c>
      <c r="J1607" s="241"/>
      <c r="K1607" s="241"/>
      <c r="L1607" s="238"/>
    </row>
    <row r="1608" spans="2:12" outlineLevel="1">
      <c r="B1608" s="237" t="s">
        <v>324</v>
      </c>
      <c r="C1608" s="237" t="s">
        <v>324</v>
      </c>
      <c r="D1608" s="238" t="str">
        <f>_xlfn.XLOOKUP(B1608,'Relacion '!$E:$E,'Relacion '!$D:$D,"")</f>
        <v/>
      </c>
      <c r="E1608" s="239">
        <f t="shared" si="380"/>
        <v>4</v>
      </c>
      <c r="F1608" s="240" cm="1">
        <f t="array" ref="F1608">MIN(INDEX('Relacion '!$AD$5:$AE$493,MATCH(INDEX($B:$B, (ROW()-4)),'Relacion '!$E$5:$E$493,0),0))</f>
        <v>46048</v>
      </c>
      <c r="G1608" s="240" cm="1">
        <f t="array" ref="G1608">MAX(INDEX('Relacion '!$AD$5:$AE$493,MATCH(INDEX($B:$B, (ROW()-4)),'Relacion '!$E$5:$E$493,0),0))</f>
        <v>46052</v>
      </c>
      <c r="H1608" s="241" cm="1">
        <f t="array" ref="H1608">IF(
 MATCH(B1608,{"01. ASIGNACION AREA";"02. MAPEO";"03. DESARROLLO";"04. VALIDA US";"05. VOBO US";"06. BW-EJECUCION";"07. VALIDACIÓN BAJAWARE";"08. CERRADA"},0)
 &lt;
 MATCH(_xlfn.XLOOKUP(INDEX($B:$B, (ROW()-4)),'Relacion '!$E:$E,'Relacion '!$D:$D,""),{"01. ASIGNACION AREA";"02. MAPEO";"03. DESARROLLO";"04. VALIDA US";"05. VOBO US";"06. BW-EJECUCION";"07. VALIDACIÓN BAJAWARE";"08. CERRADA"},0),
 1,
 IF(
  MATCH(B1608,{"01. ASIGNACION AREA";"02. MAPEO";"03. DESARROLLO";"04. VALIDA US";"05. VOBO US";"06. BW-EJECUCION";"07. VALIDACIÓN BAJAWARE";"08. CERRADA"},0)
  =
  MATCH(_xlfn.XLOOKUP(INDEX($B:$B, (ROW()-4)),'Relacion '!$E:$E,'Relacion '!$D:$D,""),{"01. ASIGNACION AREA";"02. MAPEO";"03. DESARROLLO";"04. VALIDA US";"05. VOBO US";"06. BW-EJECUCION";"07. VALIDACIÓN BAJAWARE";"08. CERRADA"},0),
  _xlfn.XLOOKUP(INDEX($B:$B, (ROW()-4)),'Relacion '!$E:$E,'Relacion '!#REF!,0),
  0
 )
)</f>
        <v>1</v>
      </c>
      <c r="I1608" s="241">
        <f t="shared" ca="1" si="377"/>
        <v>1</v>
      </c>
      <c r="J1608" s="241"/>
      <c r="K1608" s="241"/>
      <c r="L1608" s="238"/>
    </row>
    <row r="1609" spans="2:12" outlineLevel="1">
      <c r="B1609" s="237" t="s">
        <v>320</v>
      </c>
      <c r="C1609" s="237" t="s">
        <v>320</v>
      </c>
      <c r="D1609" s="238" t="str">
        <f>_xlfn.XLOOKUP(B1609,'Relacion '!$E:$E,'Relacion '!$D:$D,"")</f>
        <v/>
      </c>
      <c r="E1609" s="239">
        <f t="shared" si="380"/>
        <v>7</v>
      </c>
      <c r="F1609" s="240" cm="1">
        <f t="array" ref="F1609">MIN(INDEX('Relacion '!$AF$5:$AG$493,MATCH(INDEX($B:$B, (ROW()-5)),'Relacion '!$E$5:$E$493,0),0))</f>
        <v>46055</v>
      </c>
      <c r="G1609" s="240" cm="1">
        <f t="array" ref="G1609">MAX(INDEX('Relacion '!$AF$5:$AG$493,MATCH(INDEX($B:$B, (ROW()-5)),'Relacion '!$E$5:$E$493,0),0))</f>
        <v>46062</v>
      </c>
      <c r="H1609" s="241" cm="1">
        <f t="array" ref="H1609">IF(
 MATCH(B1609,{"01. ASIGNACION AREA";"02. MAPEO";"03. DESARROLLO";"04. VALIDA US";"05. VOBO US";"06. BW-EJECUCION";"07. VALIDACIÓN BAJAWARE";"08. CERRADA"},0)
 &lt;
 MATCH(_xlfn.XLOOKUP(INDEX($B:$B, (ROW()-5)),'Relacion '!$E:$E,'Relacion '!$D:$D,""),{"01. ASIGNACION AREA";"02. MAPEO";"03. DESARROLLO";"04. VALIDA US";"05. VOBO US";"06. BW-EJECUCION";"07. VALIDACIÓN BAJAWARE";"08. CERRADA"},0),
 1,
 IF(
  MATCH(B1609,{"01. ASIGNACION AREA";"02. MAPEO";"03. DESARROLLO";"04. VALIDA US";"05. VOBO US";"06. BW-EJECUCION";"07. VALIDACIÓN BAJAWARE";"08. CERRADA"},0)
  =
  MATCH(_xlfn.XLOOKUP(INDEX($B:$B, (ROW()-5)),'Relacion '!$E:$E,'Relacion '!$D:$D,""),{"01. ASIGNACION AREA";"02. MAPEO";"03. DESARROLLO";"04. VALIDA US";"05. VOBO US";"06. BW-EJECUCION";"07. VALIDACIÓN BAJAWARE";"08. CERRADA"},0),
  _xlfn.XLOOKUP(INDEX($B:$B, (ROW()-5)),'Relacion '!$E:$E,'Relacion '!#REF!,0),
  0
 )
)</f>
        <v>1</v>
      </c>
      <c r="I1609" s="241">
        <f t="shared" ca="1" si="377"/>
        <v>1</v>
      </c>
      <c r="J1609" s="241"/>
      <c r="K1609" s="241"/>
      <c r="L1609" s="238"/>
    </row>
    <row r="1610" spans="2:12" outlineLevel="1">
      <c r="B1610" s="237" t="s">
        <v>710</v>
      </c>
      <c r="C1610" s="237" t="s">
        <v>710</v>
      </c>
      <c r="D1610" s="238" t="str">
        <f>_xlfn.XLOOKUP(B1610,'Relacion '!$E:$E,'Relacion '!$D:$D,"")</f>
        <v/>
      </c>
      <c r="E1610" s="239">
        <f t="shared" si="380"/>
        <v>25</v>
      </c>
      <c r="F1610" s="240" cm="1">
        <f t="array" ref="F1610">MIN(INDEX('Relacion '!$AH$5:$AI$493,MATCH(INDEX($B:$B, (ROW()-6)),'Relacion '!$E$5:$E$493,0),0))</f>
        <v>46076</v>
      </c>
      <c r="G1610" s="240" cm="1">
        <f t="array" ref="G1610">MAX(INDEX('Relacion '!$AH$5:$AI$493,MATCH(INDEX($B:$B, (ROW()-6)),'Relacion '!$E$5:$E$493,0),0))</f>
        <v>46101</v>
      </c>
      <c r="H1610" s="241" t="e" cm="1">
        <f t="array" ref="H1610">IF(
 MATCH(B1610,{"01. ASIGNACION AREA";"02. MAPEO";"03. DESARROLLO";"04. VALIDA US";"05. VOBO US";"06. BW-EJECUCION";"07. VALIDACIÓN BAJAWARE";"08. CERRADA"},0)
 &lt;
 MATCH(_xlfn.XLOOKUP(INDEX($B:$B, (ROW()-6)),'Relacion '!$E:$E,'Relacion '!$D:$D,""),{"01. ASIGNACION AREA";"02. MAPEO";"03. DESARROLLO";"04. VALIDA US";"05. VOBO US";"06. BW-EJECUCION";"07. VALIDACIÓN BAJAWARE";"08. CERRADA"},0),
 1,
 IF(
  MATCH(B1610,{"01. ASIGNACION AREA";"02. MAPEO";"03. DESARROLLO";"04. VALIDA US";"05. VOBO US";"06. BW-EJECUCION";"07. VALIDACIÓN BAJAWARE";"08. CERRADA"},0)
  =
  MATCH(_xlfn.XLOOKUP(INDEX($B:$B, (ROW()-6)),'Relacion '!$E:$E,'Relacion '!$D:$D,""),{"01. ASIGNACION AREA";"02. MAPEO";"03. DESARROLLO";"04. VALIDA US";"05. VOBO US";"06. BW-EJECUCION";"07. VALIDACIÓN BAJAWARE";"08. CERRADA"},0),
  _xlfn.XLOOKUP(INDEX($B:$B, (ROW()-6)),'Relacion '!$E:$E,'Relacion '!#REF!,0),
  0
 )
)</f>
        <v>#REF!</v>
      </c>
      <c r="I1610" s="241">
        <f t="shared" ca="1" si="377"/>
        <v>1</v>
      </c>
      <c r="J1610" s="241"/>
      <c r="K1610" s="241"/>
      <c r="L1610" s="238"/>
    </row>
    <row r="1611" spans="2:12" outlineLevel="1">
      <c r="B1611" s="237" t="s">
        <v>655</v>
      </c>
      <c r="C1611" s="237" t="s">
        <v>655</v>
      </c>
      <c r="D1611" s="238" t="str">
        <f>_xlfn.XLOOKUP(B1611,'Relacion '!$E:$E,'Relacion '!$D:$D,"")</f>
        <v/>
      </c>
      <c r="E1611" s="239">
        <f t="shared" si="380"/>
        <v>25</v>
      </c>
      <c r="F1611" s="240" cm="1">
        <f t="array" ref="F1611">MIN(INDEX('Relacion '!$AJ$5:$AK$493,MATCH(INDEX($B:$B, (ROW()-7)),'Relacion '!$E$5:$E$493,0),0))</f>
        <v>46104</v>
      </c>
      <c r="G1611" s="240" cm="1">
        <f t="array" ref="G1611">MAX(INDEX('Relacion '!$AJ$5:$AK$493,MATCH(INDEX($B:$B, (ROW()-7)),'Relacion '!$E$5:$E$493,0),0))</f>
        <v>46129</v>
      </c>
      <c r="H1611" s="241" cm="1">
        <f t="array" ref="H1611">IF(
 MATCH(B1611,{"01. ASIGNACION AREA";"02. MAPEO";"03. DESARROLLO";"04. VALIDA US";"05. VOBO US";"06. BW-EJECUCION";"07. VALIDACIÓN BAJAWARE";"08. CERRADA"},0)
 &lt;
 MATCH(_xlfn.XLOOKUP(INDEX($B:$B, (ROW()-7)),'Relacion '!$E:$E,'Relacion '!$D:$D,""),{"01. ASIGNACION AREA";"02. MAPEO";"03. DESARROLLO";"04. VALIDA US";"05. VOBO US";"06. BW-EJECUCION";"07. VALIDACIÓN BAJAWARE";"08. CERRADA"},0),
 1,
 IF(
  MATCH(B1611,{"01. ASIGNACION AREA";"02. MAPEO";"03. DESARROLLO";"04. VALIDA US";"05. VOBO US";"06. BW-EJECUCION";"07. VALIDACIÓN BAJAWARE";"08. CERRADA"},0)
  =
  MATCH(_xlfn.XLOOKUP(INDEX($B:$B, (ROW()-7)),'Relacion '!$E:$E,'Relacion '!$D:$D,""),{"01. ASIGNACION AREA";"02. MAPEO";"03. DESARROLLO";"04. VALIDA US";"05. VOBO US";"06. BW-EJECUCION";"07. VALIDACIÓN BAJAWARE";"08. CERRADA"},0),
  _xlfn.XLOOKUP(INDEX($B:$B, (ROW()-7)),'Relacion '!$E:$E,'Relacion '!#REF!,0),
  0
 )
)</f>
        <v>0</v>
      </c>
      <c r="I1611" s="241">
        <f t="shared" ca="1" si="377"/>
        <v>1</v>
      </c>
      <c r="J1611" s="241"/>
      <c r="K1611" s="241"/>
      <c r="L1611" s="238"/>
    </row>
    <row r="1612" spans="2:12" outlineLevel="1">
      <c r="B1612" s="237" t="s">
        <v>656</v>
      </c>
      <c r="C1612" s="237" t="s">
        <v>656</v>
      </c>
      <c r="D1612" s="238" t="str">
        <f>_xlfn.XLOOKUP(B1612,'Relacion '!$E:$E,'Relacion '!$D:$D,"")</f>
        <v/>
      </c>
      <c r="E1612" s="239">
        <f t="shared" si="380"/>
        <v>0</v>
      </c>
      <c r="F1612" s="240" cm="1">
        <f t="array" ref="F1612">MIN(INDEX('Relacion '!$AL$5:$AM$493,MATCH(INDEX($B:$B, (ROW()-8)),'Relacion '!$E$5:$E$493,0),0))</f>
        <v>46130</v>
      </c>
      <c r="G1612" s="240" cm="1">
        <f t="array" ref="G1612">MAX(INDEX('Relacion '!$AL$5:$AM$493,MATCH(INDEX($B:$B, (ROW()-8)),'Relacion '!$E$5:$E$493,0),0))</f>
        <v>46130</v>
      </c>
      <c r="H1612" s="241" cm="1">
        <f t="array" ref="H1612">IF(
 MATCH(B1612,{"01. ASIGNACION AREA";"02. MAPEO";"03. DESARROLLO";"04. VALIDA US";"05. VOBO US";"06. BW-EJECUCION";"07. VALIDACIÓN BAJAWARE";"08. CERRADA"},0)
 &lt;
 MATCH(_xlfn.XLOOKUP(INDEX($B:$B, (ROW()-8)),'Relacion '!$E:$E,'Relacion '!$D:$D,""),{"01. ASIGNACION AREA";"02. MAPEO";"03. DESARROLLO";"04. VALIDA US";"05. VOBO US";"06. BW-EJECUCION";"07. VALIDACIÓN BAJAWARE";"08. CERRADA"},0),
 1,
 IF(
  MATCH(B1612,{"01. ASIGNACION AREA";"02. MAPEO";"03. DESARROLLO";"04. VALIDA US";"05. VOBO US";"06. BW-EJECUCION";"07. VALIDACIÓN BAJAWARE";"08. CERRADA"},0)
  =
  MATCH(_xlfn.XLOOKUP(INDEX($B:$B, (ROW()-8)),'Relacion '!$E:$E,'Relacion '!$D:$D,""),{"01. ASIGNACION AREA";"02. MAPEO";"03. DESARROLLO";"04. VALIDA US";"05. VOBO US";"06. BW-EJECUCION";"07. VALIDACIÓN BAJAWARE";"08. CERRADA"},0),
  _xlfn.XLOOKUP(INDEX($B:$B, (ROW()-8)),'Relacion '!$E:$E,'Relacion '!#REF!,0),
  0
 )
)</f>
        <v>0</v>
      </c>
      <c r="I1612" s="241">
        <f t="shared" ca="1" si="377"/>
        <v>1</v>
      </c>
      <c r="J1612" s="241"/>
      <c r="K1612" s="241"/>
      <c r="L1612" s="238"/>
    </row>
    <row r="1613" spans="2:12">
      <c r="B1613" s="232" t="s">
        <v>612</v>
      </c>
      <c r="C1613" s="167" t="s">
        <v>607</v>
      </c>
      <c r="D1613" s="236" t="str">
        <f>_xlfn.XLOOKUP(B1613,'Relacion '!$E:$E,'Relacion '!$D:$D,"")</f>
        <v>06. BW-EJECUCION</v>
      </c>
      <c r="E1613" s="233">
        <f t="shared" si="380"/>
        <v>471</v>
      </c>
      <c r="F1613" s="234" cm="1">
        <f t="array" ref="F1613">MIN(INDEX('Relacion '!$X$5:$AM$493,MATCH(INDEX($B:$B, (ROW()-0)),'Relacion '!$E$5:$E$493,0),0))</f>
        <v>45659</v>
      </c>
      <c r="G1613" s="234" cm="1">
        <f t="array" ref="G1613">MAX(INDEX('Relacion '!$X$5:$AM$493,MATCH(INDEX($B:$B, (ROW()-0)),'Relacion '!$E$5:$E$493,0),0))</f>
        <v>46130</v>
      </c>
      <c r="H1613" s="235" t="e">
        <f>AVERAGE(H1614:H1621)</f>
        <v>#REF!</v>
      </c>
      <c r="I1613" s="235">
        <f t="shared" ref="I1613" ca="1" si="383">AVERAGE(I1614:I1621)</f>
        <v>1</v>
      </c>
      <c r="J1613" s="236" t="str">
        <f>IF(ISNUMBER(SEARCH("Rocha", _xlfn.XLOOKUP(B1613,'Relacion '!$E:$E,'Relacion '!$I:$I,""))), "Sí", "No")</f>
        <v>No</v>
      </c>
      <c r="K1613" s="236" t="str">
        <f>IF(ISNUMBER(SEARCH("Rocha", _xlfn.XLOOKUP(B1613,'Relacion '!$E:$E,'Relacion '!$I:$I,""))), "RMC", _xlfn.XLOOKUP(B1613,'Relacion '!$E:$E,'Relacion '!$B:$B,""))</f>
        <v>Producto</v>
      </c>
      <c r="L1613" s="236" t="str">
        <f>_xlfn.XLOOKUP(B1613,'Relacion '!$E:$E,'Relacion '!$C:$C,"")</f>
        <v>Claudia Barroso</v>
      </c>
    </row>
    <row r="1614" spans="2:12" outlineLevel="1">
      <c r="B1614" s="237" t="s">
        <v>654</v>
      </c>
      <c r="C1614" s="237" t="s">
        <v>654</v>
      </c>
      <c r="D1614" s="238" t="str">
        <f>_xlfn.XLOOKUP(B1614,'Relacion '!$E:$E,'Relacion '!$D:$D,"")</f>
        <v/>
      </c>
      <c r="E1614" s="239">
        <f t="shared" si="380"/>
        <v>424</v>
      </c>
      <c r="F1614" s="240" cm="1">
        <f t="array" ref="F1614">MIN(INDEX('Relacion '!$X$5:$Y$493,MATCH(INDEX($B:$B, (ROW()-1)),'Relacion '!$E$5:$E$493,0),0))</f>
        <v>45659</v>
      </c>
      <c r="G1614" s="240" cm="1">
        <f t="array" ref="G1614">MAX(INDEX('Relacion '!$X$5:$Y$493,MATCH(INDEX($B:$B, (ROW()-1)),'Relacion '!$E$5:$E$493,0),0))</f>
        <v>46083</v>
      </c>
      <c r="H1614" s="241" cm="1">
        <f t="array" ref="H1614">IF(
 MATCH(B1614,{"01. ASIGNACION AREA";"02. MAPEO";"03. DESARROLLO";"04. VALIDA US";"05. VOBO US";"06. BW-EJECUCION";"07. VALIDACIÓN BAJAWARE";"08. CERRADA"},0)
 &lt;
 MATCH(_xlfn.XLOOKUP(INDEX($B:$B, (ROW()-1)),'Relacion '!$E:$E,'Relacion '!$D:$D,""),{"01. ASIGNACION AREA";"02. MAPEO";"03. DESARROLLO";"04. VALIDA US";"05. VOBO US";"06. BW-EJECUCION";"07. VALIDACIÓN BAJAWARE";"08. CERRADA"},0),
 1,
 IF(
  MATCH(B1614,{"01. ASIGNACION AREA";"02. MAPEO";"03. DESARROLLO";"04. VALIDA US";"05. VOBO US";"06. BW-EJECUCION";"07. VALIDACIÓN BAJAWARE";"08. CERRADA"},0)
  =
  MATCH(_xlfn.XLOOKUP(INDEX($B:$B, (ROW()-1)),'Relacion '!$E:$E,'Relacion '!$D:$D,""),{"01. ASIGNACION AREA";"02. MAPEO";"03. DESARROLLO";"04. VALIDA US";"05. VOBO US";"06. BW-EJECUCION";"07. VALIDACIÓN BAJAWARE";"08. CERRADA"},0),
  _xlfn.XLOOKUP(INDEX($B:$B, (ROW()-1)),'Relacion '!$E:$E,'Relacion '!#REF!,0),
  0
 )
)</f>
        <v>1</v>
      </c>
      <c r="I1614" s="241">
        <f t="shared" ref="I1614" ca="1" si="384">IF(G1614&lt;=TODAY(), 1, 0)</f>
        <v>1</v>
      </c>
      <c r="J1614" s="241"/>
      <c r="K1614" s="241"/>
      <c r="L1614" s="238"/>
    </row>
    <row r="1615" spans="2:12" outlineLevel="1">
      <c r="B1615" s="237" t="s">
        <v>195</v>
      </c>
      <c r="C1615" s="237" t="s">
        <v>195</v>
      </c>
      <c r="D1615" s="238" t="str">
        <f>_xlfn.XLOOKUP(B1615,'Relacion '!$E:$E,'Relacion '!$D:$D,"")</f>
        <v/>
      </c>
      <c r="E1615" s="239">
        <f t="shared" si="380"/>
        <v>4</v>
      </c>
      <c r="F1615" s="240" cm="1">
        <f t="array" ref="F1615">MIN(INDEX('Relacion '!$Z$5:$AA$493,MATCH(INDEX($B:$B, (ROW()-2)),'Relacion '!$E$5:$E$493,0),0))</f>
        <v>46034</v>
      </c>
      <c r="G1615" s="240" cm="1">
        <f t="array" ref="G1615">MAX(INDEX('Relacion '!$Z$5:$AA$493,MATCH(INDEX($B:$B, (ROW()-2)),'Relacion '!$E$5:$E$493,0),0))</f>
        <v>46038</v>
      </c>
      <c r="H1615" s="241" cm="1">
        <f t="array" ref="H1615">IF(
 MATCH(B1615,{"01. ASIGNACION AREA";"02. MAPEO";"03. DESARROLLO";"04. VALIDA US";"05. VOBO US";"06. BW-EJECUCION";"07. VALIDACIÓN BAJAWARE";"08. CERRADA"},0)
 &lt;
 MATCH(_xlfn.XLOOKUP(INDEX($B:$B, (ROW()-2)),'Relacion '!$E:$E,'Relacion '!$D:$D,""),{"01. ASIGNACION AREA";"02. MAPEO";"03. DESARROLLO";"04. VALIDA US";"05. VOBO US";"06. BW-EJECUCION";"07. VALIDACIÓN BAJAWARE";"08. CERRADA"},0),
 1,
 IF(
  MATCH(B1615,{"01. ASIGNACION AREA";"02. MAPEO";"03. DESARROLLO";"04. VALIDA US";"05. VOBO US";"06. BW-EJECUCION";"07. VALIDACIÓN BAJAWARE";"08. CERRADA"},0)
  =
  MATCH(_xlfn.XLOOKUP(INDEX($B:$B, (ROW()-2)),'Relacion '!$E:$E,'Relacion '!$D:$D,""),{"01. ASIGNACION AREA";"02. MAPEO";"03. DESARROLLO";"04. VALIDA US";"05. VOBO US";"06. BW-EJECUCION";"07. VALIDACIÓN BAJAWARE";"08. CERRADA"},0),
  _xlfn.XLOOKUP(INDEX($B:$B, (ROW()-2)),'Relacion '!$E:$E,'Relacion '!#REF!,0),
  0
 )
)</f>
        <v>1</v>
      </c>
      <c r="I1615" s="241">
        <f t="shared" ca="1" si="377"/>
        <v>1</v>
      </c>
      <c r="J1615" s="241"/>
      <c r="K1615" s="241"/>
      <c r="L1615" s="238"/>
    </row>
    <row r="1616" spans="2:12" outlineLevel="1">
      <c r="B1616" s="237" t="s">
        <v>49</v>
      </c>
      <c r="C1616" s="237" t="s">
        <v>49</v>
      </c>
      <c r="D1616" s="238" t="str">
        <f>_xlfn.XLOOKUP(B1616,'Relacion '!$E:$E,'Relacion '!$D:$D,"")</f>
        <v/>
      </c>
      <c r="E1616" s="239">
        <f t="shared" si="380"/>
        <v>4</v>
      </c>
      <c r="F1616" s="240" cm="1">
        <f t="array" ref="F1616">MIN(INDEX('Relacion '!$AB$5:$AC$493,MATCH(INDEX($B:$B, (ROW()-3)),'Relacion '!$E$5:$E$493,0),0))</f>
        <v>46041</v>
      </c>
      <c r="G1616" s="240" cm="1">
        <f t="array" ref="G1616">MAX(INDEX('Relacion '!$AB$5:$AC$493,MATCH(INDEX($B:$B, (ROW()-3)),'Relacion '!$E$5:$E$493,0),0))</f>
        <v>46045</v>
      </c>
      <c r="H1616" s="241" cm="1">
        <f t="array" ref="H1616">IF(
 MATCH(B1616,{"01. ASIGNACION AREA";"02. MAPEO";"03. DESARROLLO";"04. VALIDA US";"05. VOBO US";"06. BW-EJECUCION";"07. VALIDACIÓN BAJAWARE";"08. CERRADA"},0)
 &lt;
 MATCH(_xlfn.XLOOKUP(INDEX($B:$B, (ROW()-3)),'Relacion '!$E:$E,'Relacion '!$D:$D,""),{"01. ASIGNACION AREA";"02. MAPEO";"03. DESARROLLO";"04. VALIDA US";"05. VOBO US";"06. BW-EJECUCION";"07. VALIDACIÓN BAJAWARE";"08. CERRADA"},0),
 1,
 IF(
  MATCH(B1616,{"01. ASIGNACION AREA";"02. MAPEO";"03. DESARROLLO";"04. VALIDA US";"05. VOBO US";"06. BW-EJECUCION";"07. VALIDACIÓN BAJAWARE";"08. CERRADA"},0)
  =
  MATCH(_xlfn.XLOOKUP(INDEX($B:$B, (ROW()-3)),'Relacion '!$E:$E,'Relacion '!$D:$D,""),{"01. ASIGNACION AREA";"02. MAPEO";"03. DESARROLLO";"04. VALIDA US";"05. VOBO US";"06. BW-EJECUCION";"07. VALIDACIÓN BAJAWARE";"08. CERRADA"},0),
  _xlfn.XLOOKUP(INDEX($B:$B, (ROW()-3)),'Relacion '!$E:$E,'Relacion '!#REF!,0),
  0
 )
)</f>
        <v>1</v>
      </c>
      <c r="I1616" s="241">
        <f t="shared" ca="1" si="377"/>
        <v>1</v>
      </c>
      <c r="J1616" s="241"/>
      <c r="K1616" s="241"/>
      <c r="L1616" s="238"/>
    </row>
    <row r="1617" spans="2:12" outlineLevel="1">
      <c r="B1617" s="237" t="s">
        <v>324</v>
      </c>
      <c r="C1617" s="237" t="s">
        <v>324</v>
      </c>
      <c r="D1617" s="238" t="str">
        <f>_xlfn.XLOOKUP(B1617,'Relacion '!$E:$E,'Relacion '!$D:$D,"")</f>
        <v/>
      </c>
      <c r="E1617" s="239">
        <f t="shared" si="380"/>
        <v>4</v>
      </c>
      <c r="F1617" s="240" cm="1">
        <f t="array" ref="F1617">MIN(INDEX('Relacion '!$AD$5:$AE$493,MATCH(INDEX($B:$B, (ROW()-4)),'Relacion '!$E$5:$E$493,0),0))</f>
        <v>46048</v>
      </c>
      <c r="G1617" s="240" cm="1">
        <f t="array" ref="G1617">MAX(INDEX('Relacion '!$AD$5:$AE$493,MATCH(INDEX($B:$B, (ROW()-4)),'Relacion '!$E$5:$E$493,0),0))</f>
        <v>46052</v>
      </c>
      <c r="H1617" s="241" cm="1">
        <f t="array" ref="H1617">IF(
 MATCH(B1617,{"01. ASIGNACION AREA";"02. MAPEO";"03. DESARROLLO";"04. VALIDA US";"05. VOBO US";"06. BW-EJECUCION";"07. VALIDACIÓN BAJAWARE";"08. CERRADA"},0)
 &lt;
 MATCH(_xlfn.XLOOKUP(INDEX($B:$B, (ROW()-4)),'Relacion '!$E:$E,'Relacion '!$D:$D,""),{"01. ASIGNACION AREA";"02. MAPEO";"03. DESARROLLO";"04. VALIDA US";"05. VOBO US";"06. BW-EJECUCION";"07. VALIDACIÓN BAJAWARE";"08. CERRADA"},0),
 1,
 IF(
  MATCH(B1617,{"01. ASIGNACION AREA";"02. MAPEO";"03. DESARROLLO";"04. VALIDA US";"05. VOBO US";"06. BW-EJECUCION";"07. VALIDACIÓN BAJAWARE";"08. CERRADA"},0)
  =
  MATCH(_xlfn.XLOOKUP(INDEX($B:$B, (ROW()-4)),'Relacion '!$E:$E,'Relacion '!$D:$D,""),{"01. ASIGNACION AREA";"02. MAPEO";"03. DESARROLLO";"04. VALIDA US";"05. VOBO US";"06. BW-EJECUCION";"07. VALIDACIÓN BAJAWARE";"08. CERRADA"},0),
  _xlfn.XLOOKUP(INDEX($B:$B, (ROW()-4)),'Relacion '!$E:$E,'Relacion '!#REF!,0),
  0
 )
)</f>
        <v>1</v>
      </c>
      <c r="I1617" s="241">
        <f t="shared" ca="1" si="377"/>
        <v>1</v>
      </c>
      <c r="J1617" s="241"/>
      <c r="K1617" s="241"/>
      <c r="L1617" s="238"/>
    </row>
    <row r="1618" spans="2:12" outlineLevel="1">
      <c r="B1618" s="237" t="s">
        <v>320</v>
      </c>
      <c r="C1618" s="237" t="s">
        <v>320</v>
      </c>
      <c r="D1618" s="238" t="str">
        <f>_xlfn.XLOOKUP(B1618,'Relacion '!$E:$E,'Relacion '!$D:$D,"")</f>
        <v/>
      </c>
      <c r="E1618" s="239">
        <f t="shared" si="380"/>
        <v>7</v>
      </c>
      <c r="F1618" s="240" cm="1">
        <f t="array" ref="F1618">MIN(INDEX('Relacion '!$AF$5:$AG$493,MATCH(INDEX($B:$B, (ROW()-5)),'Relacion '!$E$5:$E$493,0),0))</f>
        <v>46055</v>
      </c>
      <c r="G1618" s="240" cm="1">
        <f t="array" ref="G1618">MAX(INDEX('Relacion '!$AF$5:$AG$493,MATCH(INDEX($B:$B, (ROW()-5)),'Relacion '!$E$5:$E$493,0),0))</f>
        <v>46062</v>
      </c>
      <c r="H1618" s="241" cm="1">
        <f t="array" ref="H1618">IF(
 MATCH(B1618,{"01. ASIGNACION AREA";"02. MAPEO";"03. DESARROLLO";"04. VALIDA US";"05. VOBO US";"06. BW-EJECUCION";"07. VALIDACIÓN BAJAWARE";"08. CERRADA"},0)
 &lt;
 MATCH(_xlfn.XLOOKUP(INDEX($B:$B, (ROW()-5)),'Relacion '!$E:$E,'Relacion '!$D:$D,""),{"01. ASIGNACION AREA";"02. MAPEO";"03. DESARROLLO";"04. VALIDA US";"05. VOBO US";"06. BW-EJECUCION";"07. VALIDACIÓN BAJAWARE";"08. CERRADA"},0),
 1,
 IF(
  MATCH(B1618,{"01. ASIGNACION AREA";"02. MAPEO";"03. DESARROLLO";"04. VALIDA US";"05. VOBO US";"06. BW-EJECUCION";"07. VALIDACIÓN BAJAWARE";"08. CERRADA"},0)
  =
  MATCH(_xlfn.XLOOKUP(INDEX($B:$B, (ROW()-5)),'Relacion '!$E:$E,'Relacion '!$D:$D,""),{"01. ASIGNACION AREA";"02. MAPEO";"03. DESARROLLO";"04. VALIDA US";"05. VOBO US";"06. BW-EJECUCION";"07. VALIDACIÓN BAJAWARE";"08. CERRADA"},0),
  _xlfn.XLOOKUP(INDEX($B:$B, (ROW()-5)),'Relacion '!$E:$E,'Relacion '!#REF!,0),
  0
 )
)</f>
        <v>1</v>
      </c>
      <c r="I1618" s="241">
        <f t="shared" ca="1" si="377"/>
        <v>1</v>
      </c>
      <c r="J1618" s="241"/>
      <c r="K1618" s="241"/>
      <c r="L1618" s="238"/>
    </row>
    <row r="1619" spans="2:12" outlineLevel="1">
      <c r="B1619" s="237" t="s">
        <v>710</v>
      </c>
      <c r="C1619" s="237" t="s">
        <v>710</v>
      </c>
      <c r="D1619" s="238" t="str">
        <f>_xlfn.XLOOKUP(B1619,'Relacion '!$E:$E,'Relacion '!$D:$D,"")</f>
        <v/>
      </c>
      <c r="E1619" s="239">
        <f t="shared" si="380"/>
        <v>25</v>
      </c>
      <c r="F1619" s="240" cm="1">
        <f t="array" ref="F1619">MIN(INDEX('Relacion '!$AH$5:$AI$493,MATCH(INDEX($B:$B, (ROW()-6)),'Relacion '!$E$5:$E$493,0),0))</f>
        <v>46076</v>
      </c>
      <c r="G1619" s="240" cm="1">
        <f t="array" ref="G1619">MAX(INDEX('Relacion '!$AH$5:$AI$493,MATCH(INDEX($B:$B, (ROW()-6)),'Relacion '!$E$5:$E$493,0),0))</f>
        <v>46101</v>
      </c>
      <c r="H1619" s="241" t="e" cm="1">
        <f t="array" ref="H1619">IF(
 MATCH(B1619,{"01. ASIGNACION AREA";"02. MAPEO";"03. DESARROLLO";"04. VALIDA US";"05. VOBO US";"06. BW-EJECUCION";"07. VALIDACIÓN BAJAWARE";"08. CERRADA"},0)
 &lt;
 MATCH(_xlfn.XLOOKUP(INDEX($B:$B, (ROW()-6)),'Relacion '!$E:$E,'Relacion '!$D:$D,""),{"01. ASIGNACION AREA";"02. MAPEO";"03. DESARROLLO";"04. VALIDA US";"05. VOBO US";"06. BW-EJECUCION";"07. VALIDACIÓN BAJAWARE";"08. CERRADA"},0),
 1,
 IF(
  MATCH(B1619,{"01. ASIGNACION AREA";"02. MAPEO";"03. DESARROLLO";"04. VALIDA US";"05. VOBO US";"06. BW-EJECUCION";"07. VALIDACIÓN BAJAWARE";"08. CERRADA"},0)
  =
  MATCH(_xlfn.XLOOKUP(INDEX($B:$B, (ROW()-6)),'Relacion '!$E:$E,'Relacion '!$D:$D,""),{"01. ASIGNACION AREA";"02. MAPEO";"03. DESARROLLO";"04. VALIDA US";"05. VOBO US";"06. BW-EJECUCION";"07. VALIDACIÓN BAJAWARE";"08. CERRADA"},0),
  _xlfn.XLOOKUP(INDEX($B:$B, (ROW()-6)),'Relacion '!$E:$E,'Relacion '!#REF!,0),
  0
 )
)</f>
        <v>#REF!</v>
      </c>
      <c r="I1619" s="241">
        <f t="shared" ca="1" si="377"/>
        <v>1</v>
      </c>
      <c r="J1619" s="241"/>
      <c r="K1619" s="241"/>
      <c r="L1619" s="238"/>
    </row>
    <row r="1620" spans="2:12" outlineLevel="1">
      <c r="B1620" s="237" t="s">
        <v>655</v>
      </c>
      <c r="C1620" s="237" t="s">
        <v>655</v>
      </c>
      <c r="D1620" s="238" t="str">
        <f>_xlfn.XLOOKUP(B1620,'Relacion '!$E:$E,'Relacion '!$D:$D,"")</f>
        <v/>
      </c>
      <c r="E1620" s="239">
        <f t="shared" si="380"/>
        <v>25</v>
      </c>
      <c r="F1620" s="240" cm="1">
        <f t="array" ref="F1620">MIN(INDEX('Relacion '!$AJ$5:$AK$493,MATCH(INDEX($B:$B, (ROW()-7)),'Relacion '!$E$5:$E$493,0),0))</f>
        <v>46104</v>
      </c>
      <c r="G1620" s="240" cm="1">
        <f t="array" ref="G1620">MAX(INDEX('Relacion '!$AJ$5:$AK$493,MATCH(INDEX($B:$B, (ROW()-7)),'Relacion '!$E$5:$E$493,0),0))</f>
        <v>46129</v>
      </c>
      <c r="H1620" s="241" cm="1">
        <f t="array" ref="H1620">IF(
 MATCH(B1620,{"01. ASIGNACION AREA";"02. MAPEO";"03. DESARROLLO";"04. VALIDA US";"05. VOBO US";"06. BW-EJECUCION";"07. VALIDACIÓN BAJAWARE";"08. CERRADA"},0)
 &lt;
 MATCH(_xlfn.XLOOKUP(INDEX($B:$B, (ROW()-7)),'Relacion '!$E:$E,'Relacion '!$D:$D,""),{"01. ASIGNACION AREA";"02. MAPEO";"03. DESARROLLO";"04. VALIDA US";"05. VOBO US";"06. BW-EJECUCION";"07. VALIDACIÓN BAJAWARE";"08. CERRADA"},0),
 1,
 IF(
  MATCH(B1620,{"01. ASIGNACION AREA";"02. MAPEO";"03. DESARROLLO";"04. VALIDA US";"05. VOBO US";"06. BW-EJECUCION";"07. VALIDACIÓN BAJAWARE";"08. CERRADA"},0)
  =
  MATCH(_xlfn.XLOOKUP(INDEX($B:$B, (ROW()-7)),'Relacion '!$E:$E,'Relacion '!$D:$D,""),{"01. ASIGNACION AREA";"02. MAPEO";"03. DESARROLLO";"04. VALIDA US";"05. VOBO US";"06. BW-EJECUCION";"07. VALIDACIÓN BAJAWARE";"08. CERRADA"},0),
  _xlfn.XLOOKUP(INDEX($B:$B, (ROW()-7)),'Relacion '!$E:$E,'Relacion '!#REF!,0),
  0
 )
)</f>
        <v>0</v>
      </c>
      <c r="I1620" s="241">
        <f t="shared" ca="1" si="377"/>
        <v>1</v>
      </c>
      <c r="J1620" s="241"/>
      <c r="K1620" s="241"/>
      <c r="L1620" s="238"/>
    </row>
    <row r="1621" spans="2:12" outlineLevel="1">
      <c r="B1621" s="237" t="s">
        <v>656</v>
      </c>
      <c r="C1621" s="237" t="s">
        <v>656</v>
      </c>
      <c r="D1621" s="238" t="str">
        <f>_xlfn.XLOOKUP(B1621,'Relacion '!$E:$E,'Relacion '!$D:$D,"")</f>
        <v/>
      </c>
      <c r="E1621" s="239">
        <f t="shared" si="380"/>
        <v>0</v>
      </c>
      <c r="F1621" s="240" cm="1">
        <f t="array" ref="F1621">MIN(INDEX('Relacion '!$AL$5:$AM$493,MATCH(INDEX($B:$B, (ROW()-8)),'Relacion '!$E$5:$E$493,0),0))</f>
        <v>46130</v>
      </c>
      <c r="G1621" s="240" cm="1">
        <f t="array" ref="G1621">MAX(INDEX('Relacion '!$AL$5:$AM$493,MATCH(INDEX($B:$B, (ROW()-8)),'Relacion '!$E$5:$E$493,0),0))</f>
        <v>46130</v>
      </c>
      <c r="H1621" s="241" cm="1">
        <f t="array" ref="H1621">IF(
 MATCH(B1621,{"01. ASIGNACION AREA";"02. MAPEO";"03. DESARROLLO";"04. VALIDA US";"05. VOBO US";"06. BW-EJECUCION";"07. VALIDACIÓN BAJAWARE";"08. CERRADA"},0)
 &lt;
 MATCH(_xlfn.XLOOKUP(INDEX($B:$B, (ROW()-8)),'Relacion '!$E:$E,'Relacion '!$D:$D,""),{"01. ASIGNACION AREA";"02. MAPEO";"03. DESARROLLO";"04. VALIDA US";"05. VOBO US";"06. BW-EJECUCION";"07. VALIDACIÓN BAJAWARE";"08. CERRADA"},0),
 1,
 IF(
  MATCH(B1621,{"01. ASIGNACION AREA";"02. MAPEO";"03. DESARROLLO";"04. VALIDA US";"05. VOBO US";"06. BW-EJECUCION";"07. VALIDACIÓN BAJAWARE";"08. CERRADA"},0)
  =
  MATCH(_xlfn.XLOOKUP(INDEX($B:$B, (ROW()-8)),'Relacion '!$E:$E,'Relacion '!$D:$D,""),{"01. ASIGNACION AREA";"02. MAPEO";"03. DESARROLLO";"04. VALIDA US";"05. VOBO US";"06. BW-EJECUCION";"07. VALIDACIÓN BAJAWARE";"08. CERRADA"},0),
  _xlfn.XLOOKUP(INDEX($B:$B, (ROW()-8)),'Relacion '!$E:$E,'Relacion '!#REF!,0),
  0
 )
)</f>
        <v>0</v>
      </c>
      <c r="I1621" s="241">
        <f t="shared" ca="1" si="377"/>
        <v>1</v>
      </c>
      <c r="J1621" s="241"/>
      <c r="K1621" s="241"/>
      <c r="L1621" s="238"/>
    </row>
    <row r="1622" spans="2:12">
      <c r="B1622" s="232" t="s">
        <v>613</v>
      </c>
      <c r="C1622" s="167" t="s">
        <v>607</v>
      </c>
      <c r="D1622" s="236" t="str">
        <f>_xlfn.XLOOKUP(B1622,'Relacion '!$E:$E,'Relacion '!$D:$D,"")</f>
        <v>06. BW-EJECUCION</v>
      </c>
      <c r="E1622" s="233">
        <f t="shared" si="380"/>
        <v>471</v>
      </c>
      <c r="F1622" s="234" cm="1">
        <f t="array" ref="F1622">MIN(INDEX('Relacion '!$X$5:$AM$493,MATCH(INDEX($B:$B, (ROW()-0)),'Relacion '!$E$5:$E$493,0),0))</f>
        <v>45659</v>
      </c>
      <c r="G1622" s="234" cm="1">
        <f t="array" ref="G1622">MAX(INDEX('Relacion '!$X$5:$AM$493,MATCH(INDEX($B:$B, (ROW()-0)),'Relacion '!$E$5:$E$493,0),0))</f>
        <v>46130</v>
      </c>
      <c r="H1622" s="235" t="e">
        <f>AVERAGE(H1623:H1630)</f>
        <v>#REF!</v>
      </c>
      <c r="I1622" s="235">
        <f t="shared" ref="I1622" ca="1" si="385">AVERAGE(I1623:I1630)</f>
        <v>1</v>
      </c>
      <c r="J1622" s="236" t="str">
        <f>IF(ISNUMBER(SEARCH("Rocha", _xlfn.XLOOKUP(B1622,'Relacion '!$E:$E,'Relacion '!$I:$I,""))), "Sí", "No")</f>
        <v>No</v>
      </c>
      <c r="K1622" s="236" t="str">
        <f>IF(ISNUMBER(SEARCH("Rocha", _xlfn.XLOOKUP(B1622,'Relacion '!$E:$E,'Relacion '!$I:$I,""))), "RMC", _xlfn.XLOOKUP(B1622,'Relacion '!$E:$E,'Relacion '!$B:$B,""))</f>
        <v>Producto</v>
      </c>
      <c r="L1622" s="236" t="str">
        <f>_xlfn.XLOOKUP(B1622,'Relacion '!$E:$E,'Relacion '!$C:$C,"")</f>
        <v>Claudia Barroso</v>
      </c>
    </row>
    <row r="1623" spans="2:12" outlineLevel="1">
      <c r="B1623" s="237" t="s">
        <v>654</v>
      </c>
      <c r="C1623" s="237" t="s">
        <v>654</v>
      </c>
      <c r="D1623" s="238" t="str">
        <f>_xlfn.XLOOKUP(B1623,'Relacion '!$E:$E,'Relacion '!$D:$D,"")</f>
        <v/>
      </c>
      <c r="E1623" s="239">
        <f t="shared" si="380"/>
        <v>424</v>
      </c>
      <c r="F1623" s="240" cm="1">
        <f t="array" ref="F1623">MIN(INDEX('Relacion '!$X$5:$Y$493,MATCH(INDEX($B:$B, (ROW()-1)),'Relacion '!$E$5:$E$493,0),0))</f>
        <v>45659</v>
      </c>
      <c r="G1623" s="240" cm="1">
        <f t="array" ref="G1623">MAX(INDEX('Relacion '!$X$5:$Y$493,MATCH(INDEX($B:$B, (ROW()-1)),'Relacion '!$E$5:$E$493,0),0))</f>
        <v>46083</v>
      </c>
      <c r="H1623" s="241" cm="1">
        <f t="array" ref="H1623">IF(
 MATCH(B1623,{"01. ASIGNACION AREA";"02. MAPEO";"03. DESARROLLO";"04. VALIDA US";"05. VOBO US";"06. BW-EJECUCION";"07. VALIDACIÓN BAJAWARE";"08. CERRADA"},0)
 &lt;
 MATCH(_xlfn.XLOOKUP(INDEX($B:$B, (ROW()-1)),'Relacion '!$E:$E,'Relacion '!$D:$D,""),{"01. ASIGNACION AREA";"02. MAPEO";"03. DESARROLLO";"04. VALIDA US";"05. VOBO US";"06. BW-EJECUCION";"07. VALIDACIÓN BAJAWARE";"08. CERRADA"},0),
 1,
 IF(
  MATCH(B1623,{"01. ASIGNACION AREA";"02. MAPEO";"03. DESARROLLO";"04. VALIDA US";"05. VOBO US";"06. BW-EJECUCION";"07. VALIDACIÓN BAJAWARE";"08. CERRADA"},0)
  =
  MATCH(_xlfn.XLOOKUP(INDEX($B:$B, (ROW()-1)),'Relacion '!$E:$E,'Relacion '!$D:$D,""),{"01. ASIGNACION AREA";"02. MAPEO";"03. DESARROLLO";"04. VALIDA US";"05. VOBO US";"06. BW-EJECUCION";"07. VALIDACIÓN BAJAWARE";"08. CERRADA"},0),
  _xlfn.XLOOKUP(INDEX($B:$B, (ROW()-1)),'Relacion '!$E:$E,'Relacion '!#REF!,0),
  0
 )
)</f>
        <v>1</v>
      </c>
      <c r="I1623" s="241">
        <f t="shared" ref="I1623" ca="1" si="386">IF(G1623&lt;=TODAY(), 1, 0)</f>
        <v>1</v>
      </c>
      <c r="J1623" s="241"/>
      <c r="K1623" s="241"/>
      <c r="L1623" s="238"/>
    </row>
    <row r="1624" spans="2:12" outlineLevel="1">
      <c r="B1624" s="237" t="s">
        <v>195</v>
      </c>
      <c r="C1624" s="237" t="s">
        <v>195</v>
      </c>
      <c r="D1624" s="238" t="str">
        <f>_xlfn.XLOOKUP(B1624,'Relacion '!$E:$E,'Relacion '!$D:$D,"")</f>
        <v/>
      </c>
      <c r="E1624" s="239">
        <f t="shared" si="380"/>
        <v>4</v>
      </c>
      <c r="F1624" s="240" cm="1">
        <f t="array" ref="F1624">MIN(INDEX('Relacion '!$Z$5:$AA$493,MATCH(INDEX($B:$B, (ROW()-2)),'Relacion '!$E$5:$E$493,0),0))</f>
        <v>46034</v>
      </c>
      <c r="G1624" s="240" cm="1">
        <f t="array" ref="G1624">MAX(INDEX('Relacion '!$Z$5:$AA$493,MATCH(INDEX($B:$B, (ROW()-2)),'Relacion '!$E$5:$E$493,0),0))</f>
        <v>46038</v>
      </c>
      <c r="H1624" s="241" cm="1">
        <f t="array" ref="H1624">IF(
 MATCH(B1624,{"01. ASIGNACION AREA";"02. MAPEO";"03. DESARROLLO";"04. VALIDA US";"05. VOBO US";"06. BW-EJECUCION";"07. VALIDACIÓN BAJAWARE";"08. CERRADA"},0)
 &lt;
 MATCH(_xlfn.XLOOKUP(INDEX($B:$B, (ROW()-2)),'Relacion '!$E:$E,'Relacion '!$D:$D,""),{"01. ASIGNACION AREA";"02. MAPEO";"03. DESARROLLO";"04. VALIDA US";"05. VOBO US";"06. BW-EJECUCION";"07. VALIDACIÓN BAJAWARE";"08. CERRADA"},0),
 1,
 IF(
  MATCH(B1624,{"01. ASIGNACION AREA";"02. MAPEO";"03. DESARROLLO";"04. VALIDA US";"05. VOBO US";"06. BW-EJECUCION";"07. VALIDACIÓN BAJAWARE";"08. CERRADA"},0)
  =
  MATCH(_xlfn.XLOOKUP(INDEX($B:$B, (ROW()-2)),'Relacion '!$E:$E,'Relacion '!$D:$D,""),{"01. ASIGNACION AREA";"02. MAPEO";"03. DESARROLLO";"04. VALIDA US";"05. VOBO US";"06. BW-EJECUCION";"07. VALIDACIÓN BAJAWARE";"08. CERRADA"},0),
  _xlfn.XLOOKUP(INDEX($B:$B, (ROW()-2)),'Relacion '!$E:$E,'Relacion '!#REF!,0),
  0
 )
)</f>
        <v>1</v>
      </c>
      <c r="I1624" s="241">
        <f t="shared" ca="1" si="377"/>
        <v>1</v>
      </c>
      <c r="J1624" s="241"/>
      <c r="K1624" s="241"/>
      <c r="L1624" s="238"/>
    </row>
    <row r="1625" spans="2:12" outlineLevel="1">
      <c r="B1625" s="237" t="s">
        <v>49</v>
      </c>
      <c r="C1625" s="237" t="s">
        <v>49</v>
      </c>
      <c r="D1625" s="238" t="str">
        <f>_xlfn.XLOOKUP(B1625,'Relacion '!$E:$E,'Relacion '!$D:$D,"")</f>
        <v/>
      </c>
      <c r="E1625" s="239">
        <f t="shared" si="380"/>
        <v>4</v>
      </c>
      <c r="F1625" s="240" cm="1">
        <f t="array" ref="F1625">MIN(INDEX('Relacion '!$AB$5:$AC$493,MATCH(INDEX($B:$B, (ROW()-3)),'Relacion '!$E$5:$E$493,0),0))</f>
        <v>46041</v>
      </c>
      <c r="G1625" s="240" cm="1">
        <f t="array" ref="G1625">MAX(INDEX('Relacion '!$AB$5:$AC$493,MATCH(INDEX($B:$B, (ROW()-3)),'Relacion '!$E$5:$E$493,0),0))</f>
        <v>46045</v>
      </c>
      <c r="H1625" s="241" cm="1">
        <f t="array" ref="H1625">IF(
 MATCH(B1625,{"01. ASIGNACION AREA";"02. MAPEO";"03. DESARROLLO";"04. VALIDA US";"05. VOBO US";"06. BW-EJECUCION";"07. VALIDACIÓN BAJAWARE";"08. CERRADA"},0)
 &lt;
 MATCH(_xlfn.XLOOKUP(INDEX($B:$B, (ROW()-3)),'Relacion '!$E:$E,'Relacion '!$D:$D,""),{"01. ASIGNACION AREA";"02. MAPEO";"03. DESARROLLO";"04. VALIDA US";"05. VOBO US";"06. BW-EJECUCION";"07. VALIDACIÓN BAJAWARE";"08. CERRADA"},0),
 1,
 IF(
  MATCH(B1625,{"01. ASIGNACION AREA";"02. MAPEO";"03. DESARROLLO";"04. VALIDA US";"05. VOBO US";"06. BW-EJECUCION";"07. VALIDACIÓN BAJAWARE";"08. CERRADA"},0)
  =
  MATCH(_xlfn.XLOOKUP(INDEX($B:$B, (ROW()-3)),'Relacion '!$E:$E,'Relacion '!$D:$D,""),{"01. ASIGNACION AREA";"02. MAPEO";"03. DESARROLLO";"04. VALIDA US";"05. VOBO US";"06. BW-EJECUCION";"07. VALIDACIÓN BAJAWARE";"08. CERRADA"},0),
  _xlfn.XLOOKUP(INDEX($B:$B, (ROW()-3)),'Relacion '!$E:$E,'Relacion '!#REF!,0),
  0
 )
)</f>
        <v>1</v>
      </c>
      <c r="I1625" s="241">
        <f t="shared" ca="1" si="377"/>
        <v>1</v>
      </c>
      <c r="J1625" s="241"/>
      <c r="K1625" s="241"/>
      <c r="L1625" s="238"/>
    </row>
    <row r="1626" spans="2:12" outlineLevel="1">
      <c r="B1626" s="237" t="s">
        <v>324</v>
      </c>
      <c r="C1626" s="237" t="s">
        <v>324</v>
      </c>
      <c r="D1626" s="238" t="str">
        <f>_xlfn.XLOOKUP(B1626,'Relacion '!$E:$E,'Relacion '!$D:$D,"")</f>
        <v/>
      </c>
      <c r="E1626" s="239">
        <f t="shared" si="380"/>
        <v>4</v>
      </c>
      <c r="F1626" s="240" cm="1">
        <f t="array" ref="F1626">MIN(INDEX('Relacion '!$AD$5:$AE$493,MATCH(INDEX($B:$B, (ROW()-4)),'Relacion '!$E$5:$E$493,0),0))</f>
        <v>46048</v>
      </c>
      <c r="G1626" s="240" cm="1">
        <f t="array" ref="G1626">MAX(INDEX('Relacion '!$AD$5:$AE$493,MATCH(INDEX($B:$B, (ROW()-4)),'Relacion '!$E$5:$E$493,0),0))</f>
        <v>46052</v>
      </c>
      <c r="H1626" s="241" cm="1">
        <f t="array" ref="H1626">IF(
 MATCH(B1626,{"01. ASIGNACION AREA";"02. MAPEO";"03. DESARROLLO";"04. VALIDA US";"05. VOBO US";"06. BW-EJECUCION";"07. VALIDACIÓN BAJAWARE";"08. CERRADA"},0)
 &lt;
 MATCH(_xlfn.XLOOKUP(INDEX($B:$B, (ROW()-4)),'Relacion '!$E:$E,'Relacion '!$D:$D,""),{"01. ASIGNACION AREA";"02. MAPEO";"03. DESARROLLO";"04. VALIDA US";"05. VOBO US";"06. BW-EJECUCION";"07. VALIDACIÓN BAJAWARE";"08. CERRADA"},0),
 1,
 IF(
  MATCH(B1626,{"01. ASIGNACION AREA";"02. MAPEO";"03. DESARROLLO";"04. VALIDA US";"05. VOBO US";"06. BW-EJECUCION";"07. VALIDACIÓN BAJAWARE";"08. CERRADA"},0)
  =
  MATCH(_xlfn.XLOOKUP(INDEX($B:$B, (ROW()-4)),'Relacion '!$E:$E,'Relacion '!$D:$D,""),{"01. ASIGNACION AREA";"02. MAPEO";"03. DESARROLLO";"04. VALIDA US";"05. VOBO US";"06. BW-EJECUCION";"07. VALIDACIÓN BAJAWARE";"08. CERRADA"},0),
  _xlfn.XLOOKUP(INDEX($B:$B, (ROW()-4)),'Relacion '!$E:$E,'Relacion '!#REF!,0),
  0
 )
)</f>
        <v>1</v>
      </c>
      <c r="I1626" s="241">
        <f t="shared" ca="1" si="377"/>
        <v>1</v>
      </c>
      <c r="J1626" s="241"/>
      <c r="K1626" s="241"/>
      <c r="L1626" s="238"/>
    </row>
    <row r="1627" spans="2:12" outlineLevel="1">
      <c r="B1627" s="237" t="s">
        <v>320</v>
      </c>
      <c r="C1627" s="237" t="s">
        <v>320</v>
      </c>
      <c r="D1627" s="238" t="str">
        <f>_xlfn.XLOOKUP(B1627,'Relacion '!$E:$E,'Relacion '!$D:$D,"")</f>
        <v/>
      </c>
      <c r="E1627" s="239">
        <f t="shared" si="380"/>
        <v>7</v>
      </c>
      <c r="F1627" s="240" cm="1">
        <f t="array" ref="F1627">MIN(INDEX('Relacion '!$AF$5:$AG$493,MATCH(INDEX($B:$B, (ROW()-5)),'Relacion '!$E$5:$E$493,0),0))</f>
        <v>46055</v>
      </c>
      <c r="G1627" s="240" cm="1">
        <f t="array" ref="G1627">MAX(INDEX('Relacion '!$AF$5:$AG$493,MATCH(INDEX($B:$B, (ROW()-5)),'Relacion '!$E$5:$E$493,0),0))</f>
        <v>46062</v>
      </c>
      <c r="H1627" s="241" cm="1">
        <f t="array" ref="H1627">IF(
 MATCH(B1627,{"01. ASIGNACION AREA";"02. MAPEO";"03. DESARROLLO";"04. VALIDA US";"05. VOBO US";"06. BW-EJECUCION";"07. VALIDACIÓN BAJAWARE";"08. CERRADA"},0)
 &lt;
 MATCH(_xlfn.XLOOKUP(INDEX($B:$B, (ROW()-5)),'Relacion '!$E:$E,'Relacion '!$D:$D,""),{"01. ASIGNACION AREA";"02. MAPEO";"03. DESARROLLO";"04. VALIDA US";"05. VOBO US";"06. BW-EJECUCION";"07. VALIDACIÓN BAJAWARE";"08. CERRADA"},0),
 1,
 IF(
  MATCH(B1627,{"01. ASIGNACION AREA";"02. MAPEO";"03. DESARROLLO";"04. VALIDA US";"05. VOBO US";"06. BW-EJECUCION";"07. VALIDACIÓN BAJAWARE";"08. CERRADA"},0)
  =
  MATCH(_xlfn.XLOOKUP(INDEX($B:$B, (ROW()-5)),'Relacion '!$E:$E,'Relacion '!$D:$D,""),{"01. ASIGNACION AREA";"02. MAPEO";"03. DESARROLLO";"04. VALIDA US";"05. VOBO US";"06. BW-EJECUCION";"07. VALIDACIÓN BAJAWARE";"08. CERRADA"},0),
  _xlfn.XLOOKUP(INDEX($B:$B, (ROW()-5)),'Relacion '!$E:$E,'Relacion '!#REF!,0),
  0
 )
)</f>
        <v>1</v>
      </c>
      <c r="I1627" s="241">
        <f t="shared" ca="1" si="377"/>
        <v>1</v>
      </c>
      <c r="J1627" s="241"/>
      <c r="K1627" s="241"/>
      <c r="L1627" s="238"/>
    </row>
    <row r="1628" spans="2:12" outlineLevel="1">
      <c r="B1628" s="237" t="s">
        <v>710</v>
      </c>
      <c r="C1628" s="237" t="s">
        <v>710</v>
      </c>
      <c r="D1628" s="238" t="str">
        <f>_xlfn.XLOOKUP(B1628,'Relacion '!$E:$E,'Relacion '!$D:$D,"")</f>
        <v/>
      </c>
      <c r="E1628" s="239">
        <f t="shared" si="380"/>
        <v>25</v>
      </c>
      <c r="F1628" s="240" cm="1">
        <f t="array" ref="F1628">MIN(INDEX('Relacion '!$AH$5:$AI$493,MATCH(INDEX($B:$B, (ROW()-6)),'Relacion '!$E$5:$E$493,0),0))</f>
        <v>46076</v>
      </c>
      <c r="G1628" s="240" cm="1">
        <f t="array" ref="G1628">MAX(INDEX('Relacion '!$AH$5:$AI$493,MATCH(INDEX($B:$B, (ROW()-6)),'Relacion '!$E$5:$E$493,0),0))</f>
        <v>46101</v>
      </c>
      <c r="H1628" s="241" t="e" cm="1">
        <f t="array" ref="H1628">IF(
 MATCH(B1628,{"01. ASIGNACION AREA";"02. MAPEO";"03. DESARROLLO";"04. VALIDA US";"05. VOBO US";"06. BW-EJECUCION";"07. VALIDACIÓN BAJAWARE";"08. CERRADA"},0)
 &lt;
 MATCH(_xlfn.XLOOKUP(INDEX($B:$B, (ROW()-6)),'Relacion '!$E:$E,'Relacion '!$D:$D,""),{"01. ASIGNACION AREA";"02. MAPEO";"03. DESARROLLO";"04. VALIDA US";"05. VOBO US";"06. BW-EJECUCION";"07. VALIDACIÓN BAJAWARE";"08. CERRADA"},0),
 1,
 IF(
  MATCH(B1628,{"01. ASIGNACION AREA";"02. MAPEO";"03. DESARROLLO";"04. VALIDA US";"05. VOBO US";"06. BW-EJECUCION";"07. VALIDACIÓN BAJAWARE";"08. CERRADA"},0)
  =
  MATCH(_xlfn.XLOOKUP(INDEX($B:$B, (ROW()-6)),'Relacion '!$E:$E,'Relacion '!$D:$D,""),{"01. ASIGNACION AREA";"02. MAPEO";"03. DESARROLLO";"04. VALIDA US";"05. VOBO US";"06. BW-EJECUCION";"07. VALIDACIÓN BAJAWARE";"08. CERRADA"},0),
  _xlfn.XLOOKUP(INDEX($B:$B, (ROW()-6)),'Relacion '!$E:$E,'Relacion '!#REF!,0),
  0
 )
)</f>
        <v>#REF!</v>
      </c>
      <c r="I1628" s="241">
        <f t="shared" ca="1" si="377"/>
        <v>1</v>
      </c>
      <c r="J1628" s="241"/>
      <c r="K1628" s="241"/>
      <c r="L1628" s="238"/>
    </row>
    <row r="1629" spans="2:12" outlineLevel="1">
      <c r="B1629" s="237" t="s">
        <v>655</v>
      </c>
      <c r="C1629" s="237" t="s">
        <v>655</v>
      </c>
      <c r="D1629" s="238" t="str">
        <f>_xlfn.XLOOKUP(B1629,'Relacion '!$E:$E,'Relacion '!$D:$D,"")</f>
        <v/>
      </c>
      <c r="E1629" s="239">
        <f t="shared" si="380"/>
        <v>25</v>
      </c>
      <c r="F1629" s="240" cm="1">
        <f t="array" ref="F1629">MIN(INDEX('Relacion '!$AJ$5:$AK$493,MATCH(INDEX($B:$B, (ROW()-7)),'Relacion '!$E$5:$E$493,0),0))</f>
        <v>46104</v>
      </c>
      <c r="G1629" s="240" cm="1">
        <f t="array" ref="G1629">MAX(INDEX('Relacion '!$AJ$5:$AK$493,MATCH(INDEX($B:$B, (ROW()-7)),'Relacion '!$E$5:$E$493,0),0))</f>
        <v>46129</v>
      </c>
      <c r="H1629" s="241" cm="1">
        <f t="array" ref="H1629">IF(
 MATCH(B1629,{"01. ASIGNACION AREA";"02. MAPEO";"03. DESARROLLO";"04. VALIDA US";"05. VOBO US";"06. BW-EJECUCION";"07. VALIDACIÓN BAJAWARE";"08. CERRADA"},0)
 &lt;
 MATCH(_xlfn.XLOOKUP(INDEX($B:$B, (ROW()-7)),'Relacion '!$E:$E,'Relacion '!$D:$D,""),{"01. ASIGNACION AREA";"02. MAPEO";"03. DESARROLLO";"04. VALIDA US";"05. VOBO US";"06. BW-EJECUCION";"07. VALIDACIÓN BAJAWARE";"08. CERRADA"},0),
 1,
 IF(
  MATCH(B1629,{"01. ASIGNACION AREA";"02. MAPEO";"03. DESARROLLO";"04. VALIDA US";"05. VOBO US";"06. BW-EJECUCION";"07. VALIDACIÓN BAJAWARE";"08. CERRADA"},0)
  =
  MATCH(_xlfn.XLOOKUP(INDEX($B:$B, (ROW()-7)),'Relacion '!$E:$E,'Relacion '!$D:$D,""),{"01. ASIGNACION AREA";"02. MAPEO";"03. DESARROLLO";"04. VALIDA US";"05. VOBO US";"06. BW-EJECUCION";"07. VALIDACIÓN BAJAWARE";"08. CERRADA"},0),
  _xlfn.XLOOKUP(INDEX($B:$B, (ROW()-7)),'Relacion '!$E:$E,'Relacion '!#REF!,0),
  0
 )
)</f>
        <v>0</v>
      </c>
      <c r="I1629" s="241">
        <f t="shared" ca="1" si="377"/>
        <v>1</v>
      </c>
      <c r="J1629" s="241"/>
      <c r="K1629" s="241"/>
      <c r="L1629" s="238"/>
    </row>
    <row r="1630" spans="2:12" outlineLevel="1">
      <c r="B1630" s="237" t="s">
        <v>656</v>
      </c>
      <c r="C1630" s="237" t="s">
        <v>656</v>
      </c>
      <c r="D1630" s="238" t="str">
        <f>_xlfn.XLOOKUP(B1630,'Relacion '!$E:$E,'Relacion '!$D:$D,"")</f>
        <v/>
      </c>
      <c r="E1630" s="239">
        <f t="shared" si="380"/>
        <v>0</v>
      </c>
      <c r="F1630" s="240" cm="1">
        <f t="array" ref="F1630">MIN(INDEX('Relacion '!$AL$5:$AM$493,MATCH(INDEX($B:$B, (ROW()-8)),'Relacion '!$E$5:$E$493,0),0))</f>
        <v>46130</v>
      </c>
      <c r="G1630" s="240" cm="1">
        <f t="array" ref="G1630">MAX(INDEX('Relacion '!$AL$5:$AM$493,MATCH(INDEX($B:$B, (ROW()-8)),'Relacion '!$E$5:$E$493,0),0))</f>
        <v>46130</v>
      </c>
      <c r="H1630" s="241" cm="1">
        <f t="array" ref="H1630">IF(
 MATCH(B1630,{"01. ASIGNACION AREA";"02. MAPEO";"03. DESARROLLO";"04. VALIDA US";"05. VOBO US";"06. BW-EJECUCION";"07. VALIDACIÓN BAJAWARE";"08. CERRADA"},0)
 &lt;
 MATCH(_xlfn.XLOOKUP(INDEX($B:$B, (ROW()-8)),'Relacion '!$E:$E,'Relacion '!$D:$D,""),{"01. ASIGNACION AREA";"02. MAPEO";"03. DESARROLLO";"04. VALIDA US";"05. VOBO US";"06. BW-EJECUCION";"07. VALIDACIÓN BAJAWARE";"08. CERRADA"},0),
 1,
 IF(
  MATCH(B1630,{"01. ASIGNACION AREA";"02. MAPEO";"03. DESARROLLO";"04. VALIDA US";"05. VOBO US";"06. BW-EJECUCION";"07. VALIDACIÓN BAJAWARE";"08. CERRADA"},0)
  =
  MATCH(_xlfn.XLOOKUP(INDEX($B:$B, (ROW()-8)),'Relacion '!$E:$E,'Relacion '!$D:$D,""),{"01. ASIGNACION AREA";"02. MAPEO";"03. DESARROLLO";"04. VALIDA US";"05. VOBO US";"06. BW-EJECUCION";"07. VALIDACIÓN BAJAWARE";"08. CERRADA"},0),
  _xlfn.XLOOKUP(INDEX($B:$B, (ROW()-8)),'Relacion '!$E:$E,'Relacion '!#REF!,0),
  0
 )
)</f>
        <v>0</v>
      </c>
      <c r="I1630" s="241">
        <f t="shared" ca="1" si="377"/>
        <v>1</v>
      </c>
      <c r="J1630" s="241"/>
      <c r="K1630" s="241"/>
      <c r="L1630" s="238"/>
    </row>
    <row r="1631" spans="2:12">
      <c r="B1631" s="232" t="s">
        <v>614</v>
      </c>
      <c r="C1631" s="167" t="s">
        <v>607</v>
      </c>
      <c r="D1631" s="236" t="str">
        <f>_xlfn.XLOOKUP(B1631,'Relacion '!$E:$E,'Relacion '!$D:$D,"")</f>
        <v>06. BW-EJECUCION</v>
      </c>
      <c r="E1631" s="233">
        <f t="shared" si="380"/>
        <v>471</v>
      </c>
      <c r="F1631" s="234" cm="1">
        <f t="array" ref="F1631">MIN(INDEX('Relacion '!$X$5:$AM$493,MATCH(INDEX($B:$B, (ROW()-0)),'Relacion '!$E$5:$E$493,0),0))</f>
        <v>45659</v>
      </c>
      <c r="G1631" s="234" cm="1">
        <f t="array" ref="G1631">MAX(INDEX('Relacion '!$X$5:$AM$493,MATCH(INDEX($B:$B, (ROW()-0)),'Relacion '!$E$5:$E$493,0),0))</f>
        <v>46130</v>
      </c>
      <c r="H1631" s="235" t="e">
        <f>AVERAGE(H1632:H1639)</f>
        <v>#REF!</v>
      </c>
      <c r="I1631" s="235">
        <f t="shared" ref="I1631" ca="1" si="387">AVERAGE(I1632:I1639)</f>
        <v>1</v>
      </c>
      <c r="J1631" s="236" t="str">
        <f>IF(ISNUMBER(SEARCH("Rocha", _xlfn.XLOOKUP(B1631,'Relacion '!$E:$E,'Relacion '!$I:$I,""))), "Sí", "No")</f>
        <v>No</v>
      </c>
      <c r="K1631" s="236" t="str">
        <f>IF(ISNUMBER(SEARCH("Rocha", _xlfn.XLOOKUP(B1631,'Relacion '!$E:$E,'Relacion '!$I:$I,""))), "RMC", _xlfn.XLOOKUP(B1631,'Relacion '!$E:$E,'Relacion '!$B:$B,""))</f>
        <v>Producto</v>
      </c>
      <c r="L1631" s="236" t="str">
        <f>_xlfn.XLOOKUP(B1631,'Relacion '!$E:$E,'Relacion '!$C:$C,"")</f>
        <v>Claudia Barroso</v>
      </c>
    </row>
    <row r="1632" spans="2:12" outlineLevel="1">
      <c r="B1632" s="237" t="s">
        <v>654</v>
      </c>
      <c r="C1632" s="237" t="s">
        <v>654</v>
      </c>
      <c r="D1632" s="238" t="str">
        <f>_xlfn.XLOOKUP(B1632,'Relacion '!$E:$E,'Relacion '!$D:$D,"")</f>
        <v/>
      </c>
      <c r="E1632" s="239">
        <f t="shared" si="380"/>
        <v>424</v>
      </c>
      <c r="F1632" s="240" cm="1">
        <f t="array" ref="F1632">MIN(INDEX('Relacion '!$X$5:$Y$493,MATCH(INDEX($B:$B, (ROW()-1)),'Relacion '!$E$5:$E$493,0),0))</f>
        <v>45659</v>
      </c>
      <c r="G1632" s="240" cm="1">
        <f t="array" ref="G1632">MAX(INDEX('Relacion '!$X$5:$Y$493,MATCH(INDEX($B:$B, (ROW()-1)),'Relacion '!$E$5:$E$493,0),0))</f>
        <v>46083</v>
      </c>
      <c r="H1632" s="241" cm="1">
        <f t="array" ref="H1632">IF(
 MATCH(B1632,{"01. ASIGNACION AREA";"02. MAPEO";"03. DESARROLLO";"04. VALIDA US";"05. VOBO US";"06. BW-EJECUCION";"07. VALIDACIÓN BAJAWARE";"08. CERRADA"},0)
 &lt;
 MATCH(_xlfn.XLOOKUP(INDEX($B:$B, (ROW()-1)),'Relacion '!$E:$E,'Relacion '!$D:$D,""),{"01. ASIGNACION AREA";"02. MAPEO";"03. DESARROLLO";"04. VALIDA US";"05. VOBO US";"06. BW-EJECUCION";"07. VALIDACIÓN BAJAWARE";"08. CERRADA"},0),
 1,
 IF(
  MATCH(B1632,{"01. ASIGNACION AREA";"02. MAPEO";"03. DESARROLLO";"04. VALIDA US";"05. VOBO US";"06. BW-EJECUCION";"07. VALIDACIÓN BAJAWARE";"08. CERRADA"},0)
  =
  MATCH(_xlfn.XLOOKUP(INDEX($B:$B, (ROW()-1)),'Relacion '!$E:$E,'Relacion '!$D:$D,""),{"01. ASIGNACION AREA";"02. MAPEO";"03. DESARROLLO";"04. VALIDA US";"05. VOBO US";"06. BW-EJECUCION";"07. VALIDACIÓN BAJAWARE";"08. CERRADA"},0),
  _xlfn.XLOOKUP(INDEX($B:$B, (ROW()-1)),'Relacion '!$E:$E,'Relacion '!#REF!,0),
  0
 )
)</f>
        <v>1</v>
      </c>
      <c r="I1632" s="241">
        <f t="shared" ref="I1632" ca="1" si="388">IF(G1632&lt;=TODAY(), 1, 0)</f>
        <v>1</v>
      </c>
      <c r="J1632" s="241"/>
      <c r="K1632" s="241"/>
      <c r="L1632" s="238"/>
    </row>
    <row r="1633" spans="2:12" outlineLevel="1">
      <c r="B1633" s="237" t="s">
        <v>195</v>
      </c>
      <c r="C1633" s="237" t="s">
        <v>195</v>
      </c>
      <c r="D1633" s="238" t="str">
        <f>_xlfn.XLOOKUP(B1633,'Relacion '!$E:$E,'Relacion '!$D:$D,"")</f>
        <v/>
      </c>
      <c r="E1633" s="239">
        <f t="shared" si="380"/>
        <v>4</v>
      </c>
      <c r="F1633" s="240" cm="1">
        <f t="array" ref="F1633">MIN(INDEX('Relacion '!$Z$5:$AA$493,MATCH(INDEX($B:$B, (ROW()-2)),'Relacion '!$E$5:$E$493,0),0))</f>
        <v>46034</v>
      </c>
      <c r="G1633" s="240" cm="1">
        <f t="array" ref="G1633">MAX(INDEX('Relacion '!$Z$5:$AA$493,MATCH(INDEX($B:$B, (ROW()-2)),'Relacion '!$E$5:$E$493,0),0))</f>
        <v>46038</v>
      </c>
      <c r="H1633" s="241" cm="1">
        <f t="array" ref="H1633">IF(
 MATCH(B1633,{"01. ASIGNACION AREA";"02. MAPEO";"03. DESARROLLO";"04. VALIDA US";"05. VOBO US";"06. BW-EJECUCION";"07. VALIDACIÓN BAJAWARE";"08. CERRADA"},0)
 &lt;
 MATCH(_xlfn.XLOOKUP(INDEX($B:$B, (ROW()-2)),'Relacion '!$E:$E,'Relacion '!$D:$D,""),{"01. ASIGNACION AREA";"02. MAPEO";"03. DESARROLLO";"04. VALIDA US";"05. VOBO US";"06. BW-EJECUCION";"07. VALIDACIÓN BAJAWARE";"08. CERRADA"},0),
 1,
 IF(
  MATCH(B1633,{"01. ASIGNACION AREA";"02. MAPEO";"03. DESARROLLO";"04. VALIDA US";"05. VOBO US";"06. BW-EJECUCION";"07. VALIDACIÓN BAJAWARE";"08. CERRADA"},0)
  =
  MATCH(_xlfn.XLOOKUP(INDEX($B:$B, (ROW()-2)),'Relacion '!$E:$E,'Relacion '!$D:$D,""),{"01. ASIGNACION AREA";"02. MAPEO";"03. DESARROLLO";"04. VALIDA US";"05. VOBO US";"06. BW-EJECUCION";"07. VALIDACIÓN BAJAWARE";"08. CERRADA"},0),
  _xlfn.XLOOKUP(INDEX($B:$B, (ROW()-2)),'Relacion '!$E:$E,'Relacion '!#REF!,0),
  0
 )
)</f>
        <v>1</v>
      </c>
      <c r="I1633" s="241">
        <f t="shared" ca="1" si="377"/>
        <v>1</v>
      </c>
      <c r="J1633" s="241"/>
      <c r="K1633" s="241"/>
      <c r="L1633" s="238"/>
    </row>
    <row r="1634" spans="2:12" outlineLevel="1">
      <c r="B1634" s="237" t="s">
        <v>49</v>
      </c>
      <c r="C1634" s="237" t="s">
        <v>49</v>
      </c>
      <c r="D1634" s="238" t="str">
        <f>_xlfn.XLOOKUP(B1634,'Relacion '!$E:$E,'Relacion '!$D:$D,"")</f>
        <v/>
      </c>
      <c r="E1634" s="239">
        <f t="shared" si="380"/>
        <v>4</v>
      </c>
      <c r="F1634" s="240" cm="1">
        <f t="array" ref="F1634">MIN(INDEX('Relacion '!$AB$5:$AC$493,MATCH(INDEX($B:$B, (ROW()-3)),'Relacion '!$E$5:$E$493,0),0))</f>
        <v>46041</v>
      </c>
      <c r="G1634" s="240" cm="1">
        <f t="array" ref="G1634">MAX(INDEX('Relacion '!$AB$5:$AC$493,MATCH(INDEX($B:$B, (ROW()-3)),'Relacion '!$E$5:$E$493,0),0))</f>
        <v>46045</v>
      </c>
      <c r="H1634" s="241" cm="1">
        <f t="array" ref="H1634">IF(
 MATCH(B1634,{"01. ASIGNACION AREA";"02. MAPEO";"03. DESARROLLO";"04. VALIDA US";"05. VOBO US";"06. BW-EJECUCION";"07. VALIDACIÓN BAJAWARE";"08. CERRADA"},0)
 &lt;
 MATCH(_xlfn.XLOOKUP(INDEX($B:$B, (ROW()-3)),'Relacion '!$E:$E,'Relacion '!$D:$D,""),{"01. ASIGNACION AREA";"02. MAPEO";"03. DESARROLLO";"04. VALIDA US";"05. VOBO US";"06. BW-EJECUCION";"07. VALIDACIÓN BAJAWARE";"08. CERRADA"},0),
 1,
 IF(
  MATCH(B1634,{"01. ASIGNACION AREA";"02. MAPEO";"03. DESARROLLO";"04. VALIDA US";"05. VOBO US";"06. BW-EJECUCION";"07. VALIDACIÓN BAJAWARE";"08. CERRADA"},0)
  =
  MATCH(_xlfn.XLOOKUP(INDEX($B:$B, (ROW()-3)),'Relacion '!$E:$E,'Relacion '!$D:$D,""),{"01. ASIGNACION AREA";"02. MAPEO";"03. DESARROLLO";"04. VALIDA US";"05. VOBO US";"06. BW-EJECUCION";"07. VALIDACIÓN BAJAWARE";"08. CERRADA"},0),
  _xlfn.XLOOKUP(INDEX($B:$B, (ROW()-3)),'Relacion '!$E:$E,'Relacion '!#REF!,0),
  0
 )
)</f>
        <v>1</v>
      </c>
      <c r="I1634" s="241">
        <f t="shared" ca="1" si="377"/>
        <v>1</v>
      </c>
      <c r="J1634" s="241"/>
      <c r="K1634" s="241"/>
      <c r="L1634" s="238"/>
    </row>
    <row r="1635" spans="2:12" outlineLevel="1">
      <c r="B1635" s="237" t="s">
        <v>324</v>
      </c>
      <c r="C1635" s="237" t="s">
        <v>324</v>
      </c>
      <c r="D1635" s="238" t="str">
        <f>_xlfn.XLOOKUP(B1635,'Relacion '!$E:$E,'Relacion '!$D:$D,"")</f>
        <v/>
      </c>
      <c r="E1635" s="239">
        <f t="shared" si="380"/>
        <v>4</v>
      </c>
      <c r="F1635" s="240" cm="1">
        <f t="array" ref="F1635">MIN(INDEX('Relacion '!$AD$5:$AE$493,MATCH(INDEX($B:$B, (ROW()-4)),'Relacion '!$E$5:$E$493,0),0))</f>
        <v>46048</v>
      </c>
      <c r="G1635" s="240" cm="1">
        <f t="array" ref="G1635">MAX(INDEX('Relacion '!$AD$5:$AE$493,MATCH(INDEX($B:$B, (ROW()-4)),'Relacion '!$E$5:$E$493,0),0))</f>
        <v>46052</v>
      </c>
      <c r="H1635" s="241" cm="1">
        <f t="array" ref="H1635">IF(
 MATCH(B1635,{"01. ASIGNACION AREA";"02. MAPEO";"03. DESARROLLO";"04. VALIDA US";"05. VOBO US";"06. BW-EJECUCION";"07. VALIDACIÓN BAJAWARE";"08. CERRADA"},0)
 &lt;
 MATCH(_xlfn.XLOOKUP(INDEX($B:$B, (ROW()-4)),'Relacion '!$E:$E,'Relacion '!$D:$D,""),{"01. ASIGNACION AREA";"02. MAPEO";"03. DESARROLLO";"04. VALIDA US";"05. VOBO US";"06. BW-EJECUCION";"07. VALIDACIÓN BAJAWARE";"08. CERRADA"},0),
 1,
 IF(
  MATCH(B1635,{"01. ASIGNACION AREA";"02. MAPEO";"03. DESARROLLO";"04. VALIDA US";"05. VOBO US";"06. BW-EJECUCION";"07. VALIDACIÓN BAJAWARE";"08. CERRADA"},0)
  =
  MATCH(_xlfn.XLOOKUP(INDEX($B:$B, (ROW()-4)),'Relacion '!$E:$E,'Relacion '!$D:$D,""),{"01. ASIGNACION AREA";"02. MAPEO";"03. DESARROLLO";"04. VALIDA US";"05. VOBO US";"06. BW-EJECUCION";"07. VALIDACIÓN BAJAWARE";"08. CERRADA"},0),
  _xlfn.XLOOKUP(INDEX($B:$B, (ROW()-4)),'Relacion '!$E:$E,'Relacion '!#REF!,0),
  0
 )
)</f>
        <v>1</v>
      </c>
      <c r="I1635" s="241">
        <f t="shared" ca="1" si="377"/>
        <v>1</v>
      </c>
      <c r="J1635" s="241"/>
      <c r="K1635" s="241"/>
      <c r="L1635" s="238"/>
    </row>
    <row r="1636" spans="2:12" outlineLevel="1">
      <c r="B1636" s="237" t="s">
        <v>320</v>
      </c>
      <c r="C1636" s="237" t="s">
        <v>320</v>
      </c>
      <c r="D1636" s="238" t="str">
        <f>_xlfn.XLOOKUP(B1636,'Relacion '!$E:$E,'Relacion '!$D:$D,"")</f>
        <v/>
      </c>
      <c r="E1636" s="239">
        <f t="shared" si="380"/>
        <v>7</v>
      </c>
      <c r="F1636" s="240" cm="1">
        <f t="array" ref="F1636">MIN(INDEX('Relacion '!$AF$5:$AG$493,MATCH(INDEX($B:$B, (ROW()-5)),'Relacion '!$E$5:$E$493,0),0))</f>
        <v>46055</v>
      </c>
      <c r="G1636" s="240" cm="1">
        <f t="array" ref="G1636">MAX(INDEX('Relacion '!$AF$5:$AG$493,MATCH(INDEX($B:$B, (ROW()-5)),'Relacion '!$E$5:$E$493,0),0))</f>
        <v>46062</v>
      </c>
      <c r="H1636" s="241" cm="1">
        <f t="array" ref="H1636">IF(
 MATCH(B1636,{"01. ASIGNACION AREA";"02. MAPEO";"03. DESARROLLO";"04. VALIDA US";"05. VOBO US";"06. BW-EJECUCION";"07. VALIDACIÓN BAJAWARE";"08. CERRADA"},0)
 &lt;
 MATCH(_xlfn.XLOOKUP(INDEX($B:$B, (ROW()-5)),'Relacion '!$E:$E,'Relacion '!$D:$D,""),{"01. ASIGNACION AREA";"02. MAPEO";"03. DESARROLLO";"04. VALIDA US";"05. VOBO US";"06. BW-EJECUCION";"07. VALIDACIÓN BAJAWARE";"08. CERRADA"},0),
 1,
 IF(
  MATCH(B1636,{"01. ASIGNACION AREA";"02. MAPEO";"03. DESARROLLO";"04. VALIDA US";"05. VOBO US";"06. BW-EJECUCION";"07. VALIDACIÓN BAJAWARE";"08. CERRADA"},0)
  =
  MATCH(_xlfn.XLOOKUP(INDEX($B:$B, (ROW()-5)),'Relacion '!$E:$E,'Relacion '!$D:$D,""),{"01. ASIGNACION AREA";"02. MAPEO";"03. DESARROLLO";"04. VALIDA US";"05. VOBO US";"06. BW-EJECUCION";"07. VALIDACIÓN BAJAWARE";"08. CERRADA"},0),
  _xlfn.XLOOKUP(INDEX($B:$B, (ROW()-5)),'Relacion '!$E:$E,'Relacion '!#REF!,0),
  0
 )
)</f>
        <v>1</v>
      </c>
      <c r="I1636" s="241">
        <f t="shared" ca="1" si="377"/>
        <v>1</v>
      </c>
      <c r="J1636" s="241"/>
      <c r="K1636" s="241"/>
      <c r="L1636" s="238"/>
    </row>
    <row r="1637" spans="2:12" outlineLevel="1">
      <c r="B1637" s="237" t="s">
        <v>710</v>
      </c>
      <c r="C1637" s="237" t="s">
        <v>710</v>
      </c>
      <c r="D1637" s="238" t="str">
        <f>_xlfn.XLOOKUP(B1637,'Relacion '!$E:$E,'Relacion '!$D:$D,"")</f>
        <v/>
      </c>
      <c r="E1637" s="239">
        <f t="shared" si="380"/>
        <v>25</v>
      </c>
      <c r="F1637" s="240" cm="1">
        <f t="array" ref="F1637">MIN(INDEX('Relacion '!$AH$5:$AI$493,MATCH(INDEX($B:$B, (ROW()-6)),'Relacion '!$E$5:$E$493,0),0))</f>
        <v>46076</v>
      </c>
      <c r="G1637" s="240" cm="1">
        <f t="array" ref="G1637">MAX(INDEX('Relacion '!$AH$5:$AI$493,MATCH(INDEX($B:$B, (ROW()-6)),'Relacion '!$E$5:$E$493,0),0))</f>
        <v>46101</v>
      </c>
      <c r="H1637" s="241" t="e" cm="1">
        <f t="array" ref="H1637">IF(
 MATCH(B1637,{"01. ASIGNACION AREA";"02. MAPEO";"03. DESARROLLO";"04. VALIDA US";"05. VOBO US";"06. BW-EJECUCION";"07. VALIDACIÓN BAJAWARE";"08. CERRADA"},0)
 &lt;
 MATCH(_xlfn.XLOOKUP(INDEX($B:$B, (ROW()-6)),'Relacion '!$E:$E,'Relacion '!$D:$D,""),{"01. ASIGNACION AREA";"02. MAPEO";"03. DESARROLLO";"04. VALIDA US";"05. VOBO US";"06. BW-EJECUCION";"07. VALIDACIÓN BAJAWARE";"08. CERRADA"},0),
 1,
 IF(
  MATCH(B1637,{"01. ASIGNACION AREA";"02. MAPEO";"03. DESARROLLO";"04. VALIDA US";"05. VOBO US";"06. BW-EJECUCION";"07. VALIDACIÓN BAJAWARE";"08. CERRADA"},0)
  =
  MATCH(_xlfn.XLOOKUP(INDEX($B:$B, (ROW()-6)),'Relacion '!$E:$E,'Relacion '!$D:$D,""),{"01. ASIGNACION AREA";"02. MAPEO";"03. DESARROLLO";"04. VALIDA US";"05. VOBO US";"06. BW-EJECUCION";"07. VALIDACIÓN BAJAWARE";"08. CERRADA"},0),
  _xlfn.XLOOKUP(INDEX($B:$B, (ROW()-6)),'Relacion '!$E:$E,'Relacion '!#REF!,0),
  0
 )
)</f>
        <v>#REF!</v>
      </c>
      <c r="I1637" s="241">
        <f t="shared" ca="1" si="377"/>
        <v>1</v>
      </c>
      <c r="J1637" s="241"/>
      <c r="K1637" s="241"/>
      <c r="L1637" s="238"/>
    </row>
    <row r="1638" spans="2:12" outlineLevel="1">
      <c r="B1638" s="237" t="s">
        <v>655</v>
      </c>
      <c r="C1638" s="237" t="s">
        <v>655</v>
      </c>
      <c r="D1638" s="238" t="str">
        <f>_xlfn.XLOOKUP(B1638,'Relacion '!$E:$E,'Relacion '!$D:$D,"")</f>
        <v/>
      </c>
      <c r="E1638" s="239">
        <f t="shared" si="380"/>
        <v>25</v>
      </c>
      <c r="F1638" s="240" cm="1">
        <f t="array" ref="F1638">MIN(INDEX('Relacion '!$AJ$5:$AK$493,MATCH(INDEX($B:$B, (ROW()-7)),'Relacion '!$E$5:$E$493,0),0))</f>
        <v>46104</v>
      </c>
      <c r="G1638" s="240" cm="1">
        <f t="array" ref="G1638">MAX(INDEX('Relacion '!$AJ$5:$AK$493,MATCH(INDEX($B:$B, (ROW()-7)),'Relacion '!$E$5:$E$493,0),0))</f>
        <v>46129</v>
      </c>
      <c r="H1638" s="241" cm="1">
        <f t="array" ref="H1638">IF(
 MATCH(B1638,{"01. ASIGNACION AREA";"02. MAPEO";"03. DESARROLLO";"04. VALIDA US";"05. VOBO US";"06. BW-EJECUCION";"07. VALIDACIÓN BAJAWARE";"08. CERRADA"},0)
 &lt;
 MATCH(_xlfn.XLOOKUP(INDEX($B:$B, (ROW()-7)),'Relacion '!$E:$E,'Relacion '!$D:$D,""),{"01. ASIGNACION AREA";"02. MAPEO";"03. DESARROLLO";"04. VALIDA US";"05. VOBO US";"06. BW-EJECUCION";"07. VALIDACIÓN BAJAWARE";"08. CERRADA"},0),
 1,
 IF(
  MATCH(B1638,{"01. ASIGNACION AREA";"02. MAPEO";"03. DESARROLLO";"04. VALIDA US";"05. VOBO US";"06. BW-EJECUCION";"07. VALIDACIÓN BAJAWARE";"08. CERRADA"},0)
  =
  MATCH(_xlfn.XLOOKUP(INDEX($B:$B, (ROW()-7)),'Relacion '!$E:$E,'Relacion '!$D:$D,""),{"01. ASIGNACION AREA";"02. MAPEO";"03. DESARROLLO";"04. VALIDA US";"05. VOBO US";"06. BW-EJECUCION";"07. VALIDACIÓN BAJAWARE";"08. CERRADA"},0),
  _xlfn.XLOOKUP(INDEX($B:$B, (ROW()-7)),'Relacion '!$E:$E,'Relacion '!#REF!,0),
  0
 )
)</f>
        <v>0</v>
      </c>
      <c r="I1638" s="241">
        <f t="shared" ca="1" si="377"/>
        <v>1</v>
      </c>
      <c r="J1638" s="241"/>
      <c r="K1638" s="241"/>
      <c r="L1638" s="238"/>
    </row>
    <row r="1639" spans="2:12" outlineLevel="1">
      <c r="B1639" s="237" t="s">
        <v>656</v>
      </c>
      <c r="C1639" s="237" t="s">
        <v>656</v>
      </c>
      <c r="D1639" s="238" t="str">
        <f>_xlfn.XLOOKUP(B1639,'Relacion '!$E:$E,'Relacion '!$D:$D,"")</f>
        <v/>
      </c>
      <c r="E1639" s="239">
        <f t="shared" si="380"/>
        <v>0</v>
      </c>
      <c r="F1639" s="240" cm="1">
        <f t="array" ref="F1639">MIN(INDEX('Relacion '!$AL$5:$AM$493,MATCH(INDEX($B:$B, (ROW()-8)),'Relacion '!$E$5:$E$493,0),0))</f>
        <v>46130</v>
      </c>
      <c r="G1639" s="240" cm="1">
        <f t="array" ref="G1639">MAX(INDEX('Relacion '!$AL$5:$AM$493,MATCH(INDEX($B:$B, (ROW()-8)),'Relacion '!$E$5:$E$493,0),0))</f>
        <v>46130</v>
      </c>
      <c r="H1639" s="241" cm="1">
        <f t="array" ref="H1639">IF(
 MATCH(B1639,{"01. ASIGNACION AREA";"02. MAPEO";"03. DESARROLLO";"04. VALIDA US";"05. VOBO US";"06. BW-EJECUCION";"07. VALIDACIÓN BAJAWARE";"08. CERRADA"},0)
 &lt;
 MATCH(_xlfn.XLOOKUP(INDEX($B:$B, (ROW()-8)),'Relacion '!$E:$E,'Relacion '!$D:$D,""),{"01. ASIGNACION AREA";"02. MAPEO";"03. DESARROLLO";"04. VALIDA US";"05. VOBO US";"06. BW-EJECUCION";"07. VALIDACIÓN BAJAWARE";"08. CERRADA"},0),
 1,
 IF(
  MATCH(B1639,{"01. ASIGNACION AREA";"02. MAPEO";"03. DESARROLLO";"04. VALIDA US";"05. VOBO US";"06. BW-EJECUCION";"07. VALIDACIÓN BAJAWARE";"08. CERRADA"},0)
  =
  MATCH(_xlfn.XLOOKUP(INDEX($B:$B, (ROW()-8)),'Relacion '!$E:$E,'Relacion '!$D:$D,""),{"01. ASIGNACION AREA";"02. MAPEO";"03. DESARROLLO";"04. VALIDA US";"05. VOBO US";"06. BW-EJECUCION";"07. VALIDACIÓN BAJAWARE";"08. CERRADA"},0),
  _xlfn.XLOOKUP(INDEX($B:$B, (ROW()-8)),'Relacion '!$E:$E,'Relacion '!#REF!,0),
  0
 )
)</f>
        <v>0</v>
      </c>
      <c r="I1639" s="241">
        <f t="shared" ca="1" si="377"/>
        <v>1</v>
      </c>
      <c r="J1639" s="241"/>
      <c r="K1639" s="241"/>
      <c r="L1639" s="238"/>
    </row>
    <row r="1640" spans="2:12">
      <c r="B1640" s="232" t="s">
        <v>615</v>
      </c>
      <c r="C1640" s="167" t="s">
        <v>607</v>
      </c>
      <c r="D1640" s="236" t="str">
        <f>_xlfn.XLOOKUP(B1640,'Relacion '!$E:$E,'Relacion '!$D:$D,"")</f>
        <v>06. BW-EJECUCION</v>
      </c>
      <c r="E1640" s="233">
        <f t="shared" si="380"/>
        <v>471</v>
      </c>
      <c r="F1640" s="234" cm="1">
        <f t="array" ref="F1640">MIN(INDEX('Relacion '!$X$5:$AM$493,MATCH(INDEX($B:$B, (ROW()-0)),'Relacion '!$E$5:$E$493,0),0))</f>
        <v>45659</v>
      </c>
      <c r="G1640" s="234" cm="1">
        <f t="array" ref="G1640">MAX(INDEX('Relacion '!$X$5:$AM$493,MATCH(INDEX($B:$B, (ROW()-0)),'Relacion '!$E$5:$E$493,0),0))</f>
        <v>46130</v>
      </c>
      <c r="H1640" s="235" t="e">
        <f>AVERAGE(H1641:H1648)</f>
        <v>#REF!</v>
      </c>
      <c r="I1640" s="235">
        <f t="shared" ref="I1640" ca="1" si="389">AVERAGE(I1641:I1648)</f>
        <v>1</v>
      </c>
      <c r="J1640" s="236" t="str">
        <f>IF(ISNUMBER(SEARCH("Rocha", _xlfn.XLOOKUP(B1640,'Relacion '!$E:$E,'Relacion '!$I:$I,""))), "Sí", "No")</f>
        <v>No</v>
      </c>
      <c r="K1640" s="236" t="str">
        <f>IF(ISNUMBER(SEARCH("Rocha", _xlfn.XLOOKUP(B1640,'Relacion '!$E:$E,'Relacion '!$I:$I,""))), "RMC", _xlfn.XLOOKUP(B1640,'Relacion '!$E:$E,'Relacion '!$B:$B,""))</f>
        <v>Producto</v>
      </c>
      <c r="L1640" s="236" t="str">
        <f>_xlfn.XLOOKUP(B1640,'Relacion '!$E:$E,'Relacion '!$C:$C,"")</f>
        <v>Claudia Barroso</v>
      </c>
    </row>
    <row r="1641" spans="2:12" outlineLevel="1">
      <c r="B1641" s="237" t="s">
        <v>654</v>
      </c>
      <c r="C1641" s="237" t="s">
        <v>654</v>
      </c>
      <c r="D1641" s="238" t="str">
        <f>_xlfn.XLOOKUP(B1641,'Relacion '!$E:$E,'Relacion '!$D:$D,"")</f>
        <v/>
      </c>
      <c r="E1641" s="239">
        <f t="shared" si="380"/>
        <v>424</v>
      </c>
      <c r="F1641" s="240" cm="1">
        <f t="array" ref="F1641">MIN(INDEX('Relacion '!$X$5:$Y$493,MATCH(INDEX($B:$B, (ROW()-1)),'Relacion '!$E$5:$E$493,0),0))</f>
        <v>45659</v>
      </c>
      <c r="G1641" s="240" cm="1">
        <f t="array" ref="G1641">MAX(INDEX('Relacion '!$X$5:$Y$493,MATCH(INDEX($B:$B, (ROW()-1)),'Relacion '!$E$5:$E$493,0),0))</f>
        <v>46083</v>
      </c>
      <c r="H1641" s="241" cm="1">
        <f t="array" ref="H1641">IF(
 MATCH(B1641,{"01. ASIGNACION AREA";"02. MAPEO";"03. DESARROLLO";"04. VALIDA US";"05. VOBO US";"06. BW-EJECUCION";"07. VALIDACIÓN BAJAWARE";"08. CERRADA"},0)
 &lt;
 MATCH(_xlfn.XLOOKUP(INDEX($B:$B, (ROW()-1)),'Relacion '!$E:$E,'Relacion '!$D:$D,""),{"01. ASIGNACION AREA";"02. MAPEO";"03. DESARROLLO";"04. VALIDA US";"05. VOBO US";"06. BW-EJECUCION";"07. VALIDACIÓN BAJAWARE";"08. CERRADA"},0),
 1,
 IF(
  MATCH(B1641,{"01. ASIGNACION AREA";"02. MAPEO";"03. DESARROLLO";"04. VALIDA US";"05. VOBO US";"06. BW-EJECUCION";"07. VALIDACIÓN BAJAWARE";"08. CERRADA"},0)
  =
  MATCH(_xlfn.XLOOKUP(INDEX($B:$B, (ROW()-1)),'Relacion '!$E:$E,'Relacion '!$D:$D,""),{"01. ASIGNACION AREA";"02. MAPEO";"03. DESARROLLO";"04. VALIDA US";"05. VOBO US";"06. BW-EJECUCION";"07. VALIDACIÓN BAJAWARE";"08. CERRADA"},0),
  _xlfn.XLOOKUP(INDEX($B:$B, (ROW()-1)),'Relacion '!$E:$E,'Relacion '!#REF!,0),
  0
 )
)</f>
        <v>1</v>
      </c>
      <c r="I1641" s="241">
        <f t="shared" ref="I1641" ca="1" si="390">IF(G1641&lt;=TODAY(), 1, 0)</f>
        <v>1</v>
      </c>
      <c r="J1641" s="241"/>
      <c r="K1641" s="241"/>
      <c r="L1641" s="238"/>
    </row>
    <row r="1642" spans="2:12" outlineLevel="1">
      <c r="B1642" s="237" t="s">
        <v>195</v>
      </c>
      <c r="C1642" s="237" t="s">
        <v>195</v>
      </c>
      <c r="D1642" s="238" t="str">
        <f>_xlfn.XLOOKUP(B1642,'Relacion '!$E:$E,'Relacion '!$D:$D,"")</f>
        <v/>
      </c>
      <c r="E1642" s="239">
        <f t="shared" si="380"/>
        <v>4</v>
      </c>
      <c r="F1642" s="240" cm="1">
        <f t="array" ref="F1642">MIN(INDEX('Relacion '!$Z$5:$AA$493,MATCH(INDEX($B:$B, (ROW()-2)),'Relacion '!$E$5:$E$493,0),0))</f>
        <v>46034</v>
      </c>
      <c r="G1642" s="240" cm="1">
        <f t="array" ref="G1642">MAX(INDEX('Relacion '!$Z$5:$AA$493,MATCH(INDEX($B:$B, (ROW()-2)),'Relacion '!$E$5:$E$493,0),0))</f>
        <v>46038</v>
      </c>
      <c r="H1642" s="241" cm="1">
        <f t="array" ref="H1642">IF(
 MATCH(B1642,{"01. ASIGNACION AREA";"02. MAPEO";"03. DESARROLLO";"04. VALIDA US";"05. VOBO US";"06. BW-EJECUCION";"07. VALIDACIÓN BAJAWARE";"08. CERRADA"},0)
 &lt;
 MATCH(_xlfn.XLOOKUP(INDEX($B:$B, (ROW()-2)),'Relacion '!$E:$E,'Relacion '!$D:$D,""),{"01. ASIGNACION AREA";"02. MAPEO";"03. DESARROLLO";"04. VALIDA US";"05. VOBO US";"06. BW-EJECUCION";"07. VALIDACIÓN BAJAWARE";"08. CERRADA"},0),
 1,
 IF(
  MATCH(B1642,{"01. ASIGNACION AREA";"02. MAPEO";"03. DESARROLLO";"04. VALIDA US";"05. VOBO US";"06. BW-EJECUCION";"07. VALIDACIÓN BAJAWARE";"08. CERRADA"},0)
  =
  MATCH(_xlfn.XLOOKUP(INDEX($B:$B, (ROW()-2)),'Relacion '!$E:$E,'Relacion '!$D:$D,""),{"01. ASIGNACION AREA";"02. MAPEO";"03. DESARROLLO";"04. VALIDA US";"05. VOBO US";"06. BW-EJECUCION";"07. VALIDACIÓN BAJAWARE";"08. CERRADA"},0),
  _xlfn.XLOOKUP(INDEX($B:$B, (ROW()-2)),'Relacion '!$E:$E,'Relacion '!#REF!,0),
  0
 )
)</f>
        <v>1</v>
      </c>
      <c r="I1642" s="241">
        <f t="shared" ca="1" si="377"/>
        <v>1</v>
      </c>
      <c r="J1642" s="241"/>
      <c r="K1642" s="241"/>
      <c r="L1642" s="238"/>
    </row>
    <row r="1643" spans="2:12" outlineLevel="1">
      <c r="B1643" s="237" t="s">
        <v>49</v>
      </c>
      <c r="C1643" s="237" t="s">
        <v>49</v>
      </c>
      <c r="D1643" s="238" t="str">
        <f>_xlfn.XLOOKUP(B1643,'Relacion '!$E:$E,'Relacion '!$D:$D,"")</f>
        <v/>
      </c>
      <c r="E1643" s="239">
        <f t="shared" si="380"/>
        <v>4</v>
      </c>
      <c r="F1643" s="240" cm="1">
        <f t="array" ref="F1643">MIN(INDEX('Relacion '!$AB$5:$AC$493,MATCH(INDEX($B:$B, (ROW()-3)),'Relacion '!$E$5:$E$493,0),0))</f>
        <v>46041</v>
      </c>
      <c r="G1643" s="240" cm="1">
        <f t="array" ref="G1643">MAX(INDEX('Relacion '!$AB$5:$AC$493,MATCH(INDEX($B:$B, (ROW()-3)),'Relacion '!$E$5:$E$493,0),0))</f>
        <v>46045</v>
      </c>
      <c r="H1643" s="241" cm="1">
        <f t="array" ref="H1643">IF(
 MATCH(B1643,{"01. ASIGNACION AREA";"02. MAPEO";"03. DESARROLLO";"04. VALIDA US";"05. VOBO US";"06. BW-EJECUCION";"07. VALIDACIÓN BAJAWARE";"08. CERRADA"},0)
 &lt;
 MATCH(_xlfn.XLOOKUP(INDEX($B:$B, (ROW()-3)),'Relacion '!$E:$E,'Relacion '!$D:$D,""),{"01. ASIGNACION AREA";"02. MAPEO";"03. DESARROLLO";"04. VALIDA US";"05. VOBO US";"06. BW-EJECUCION";"07. VALIDACIÓN BAJAWARE";"08. CERRADA"},0),
 1,
 IF(
  MATCH(B1643,{"01. ASIGNACION AREA";"02. MAPEO";"03. DESARROLLO";"04. VALIDA US";"05. VOBO US";"06. BW-EJECUCION";"07. VALIDACIÓN BAJAWARE";"08. CERRADA"},0)
  =
  MATCH(_xlfn.XLOOKUP(INDEX($B:$B, (ROW()-3)),'Relacion '!$E:$E,'Relacion '!$D:$D,""),{"01. ASIGNACION AREA";"02. MAPEO";"03. DESARROLLO";"04. VALIDA US";"05. VOBO US";"06. BW-EJECUCION";"07. VALIDACIÓN BAJAWARE";"08. CERRADA"},0),
  _xlfn.XLOOKUP(INDEX($B:$B, (ROW()-3)),'Relacion '!$E:$E,'Relacion '!#REF!,0),
  0
 )
)</f>
        <v>1</v>
      </c>
      <c r="I1643" s="241">
        <f t="shared" ca="1" si="377"/>
        <v>1</v>
      </c>
      <c r="J1643" s="241"/>
      <c r="K1643" s="241"/>
      <c r="L1643" s="238"/>
    </row>
    <row r="1644" spans="2:12" outlineLevel="1">
      <c r="B1644" s="237" t="s">
        <v>324</v>
      </c>
      <c r="C1644" s="237" t="s">
        <v>324</v>
      </c>
      <c r="D1644" s="238" t="str">
        <f>_xlfn.XLOOKUP(B1644,'Relacion '!$E:$E,'Relacion '!$D:$D,"")</f>
        <v/>
      </c>
      <c r="E1644" s="239">
        <f t="shared" si="380"/>
        <v>4</v>
      </c>
      <c r="F1644" s="240" cm="1">
        <f t="array" ref="F1644">MIN(INDEX('Relacion '!$AD$5:$AE$493,MATCH(INDEX($B:$B, (ROW()-4)),'Relacion '!$E$5:$E$493,0),0))</f>
        <v>46048</v>
      </c>
      <c r="G1644" s="240" cm="1">
        <f t="array" ref="G1644">MAX(INDEX('Relacion '!$AD$5:$AE$493,MATCH(INDEX($B:$B, (ROW()-4)),'Relacion '!$E$5:$E$493,0),0))</f>
        <v>46052</v>
      </c>
      <c r="H1644" s="241" cm="1">
        <f t="array" ref="H1644">IF(
 MATCH(B1644,{"01. ASIGNACION AREA";"02. MAPEO";"03. DESARROLLO";"04. VALIDA US";"05. VOBO US";"06. BW-EJECUCION";"07. VALIDACIÓN BAJAWARE";"08. CERRADA"},0)
 &lt;
 MATCH(_xlfn.XLOOKUP(INDEX($B:$B, (ROW()-4)),'Relacion '!$E:$E,'Relacion '!$D:$D,""),{"01. ASIGNACION AREA";"02. MAPEO";"03. DESARROLLO";"04. VALIDA US";"05. VOBO US";"06. BW-EJECUCION";"07. VALIDACIÓN BAJAWARE";"08. CERRADA"},0),
 1,
 IF(
  MATCH(B1644,{"01. ASIGNACION AREA";"02. MAPEO";"03. DESARROLLO";"04. VALIDA US";"05. VOBO US";"06. BW-EJECUCION";"07. VALIDACIÓN BAJAWARE";"08. CERRADA"},0)
  =
  MATCH(_xlfn.XLOOKUP(INDEX($B:$B, (ROW()-4)),'Relacion '!$E:$E,'Relacion '!$D:$D,""),{"01. ASIGNACION AREA";"02. MAPEO";"03. DESARROLLO";"04. VALIDA US";"05. VOBO US";"06. BW-EJECUCION";"07. VALIDACIÓN BAJAWARE";"08. CERRADA"},0),
  _xlfn.XLOOKUP(INDEX($B:$B, (ROW()-4)),'Relacion '!$E:$E,'Relacion '!#REF!,0),
  0
 )
)</f>
        <v>1</v>
      </c>
      <c r="I1644" s="241">
        <f t="shared" ca="1" si="377"/>
        <v>1</v>
      </c>
      <c r="J1644" s="241"/>
      <c r="K1644" s="241"/>
      <c r="L1644" s="238"/>
    </row>
    <row r="1645" spans="2:12" outlineLevel="1">
      <c r="B1645" s="237" t="s">
        <v>320</v>
      </c>
      <c r="C1645" s="237" t="s">
        <v>320</v>
      </c>
      <c r="D1645" s="238" t="str">
        <f>_xlfn.XLOOKUP(B1645,'Relacion '!$E:$E,'Relacion '!$D:$D,"")</f>
        <v/>
      </c>
      <c r="E1645" s="239">
        <f t="shared" si="380"/>
        <v>7</v>
      </c>
      <c r="F1645" s="240" cm="1">
        <f t="array" ref="F1645">MIN(INDEX('Relacion '!$AF$5:$AG$493,MATCH(INDEX($B:$B, (ROW()-5)),'Relacion '!$E$5:$E$493,0),0))</f>
        <v>46055</v>
      </c>
      <c r="G1645" s="240" cm="1">
        <f t="array" ref="G1645">MAX(INDEX('Relacion '!$AF$5:$AG$493,MATCH(INDEX($B:$B, (ROW()-5)),'Relacion '!$E$5:$E$493,0),0))</f>
        <v>46062</v>
      </c>
      <c r="H1645" s="241" cm="1">
        <f t="array" ref="H1645">IF(
 MATCH(B1645,{"01. ASIGNACION AREA";"02. MAPEO";"03. DESARROLLO";"04. VALIDA US";"05. VOBO US";"06. BW-EJECUCION";"07. VALIDACIÓN BAJAWARE";"08. CERRADA"},0)
 &lt;
 MATCH(_xlfn.XLOOKUP(INDEX($B:$B, (ROW()-5)),'Relacion '!$E:$E,'Relacion '!$D:$D,""),{"01. ASIGNACION AREA";"02. MAPEO";"03. DESARROLLO";"04. VALIDA US";"05. VOBO US";"06. BW-EJECUCION";"07. VALIDACIÓN BAJAWARE";"08. CERRADA"},0),
 1,
 IF(
  MATCH(B1645,{"01. ASIGNACION AREA";"02. MAPEO";"03. DESARROLLO";"04. VALIDA US";"05. VOBO US";"06. BW-EJECUCION";"07. VALIDACIÓN BAJAWARE";"08. CERRADA"},0)
  =
  MATCH(_xlfn.XLOOKUP(INDEX($B:$B, (ROW()-5)),'Relacion '!$E:$E,'Relacion '!$D:$D,""),{"01. ASIGNACION AREA";"02. MAPEO";"03. DESARROLLO";"04. VALIDA US";"05. VOBO US";"06. BW-EJECUCION";"07. VALIDACIÓN BAJAWARE";"08. CERRADA"},0),
  _xlfn.XLOOKUP(INDEX($B:$B, (ROW()-5)),'Relacion '!$E:$E,'Relacion '!#REF!,0),
  0
 )
)</f>
        <v>1</v>
      </c>
      <c r="I1645" s="241">
        <f t="shared" ca="1" si="377"/>
        <v>1</v>
      </c>
      <c r="J1645" s="241"/>
      <c r="K1645" s="241"/>
      <c r="L1645" s="238"/>
    </row>
    <row r="1646" spans="2:12" outlineLevel="1">
      <c r="B1646" s="237" t="s">
        <v>710</v>
      </c>
      <c r="C1646" s="237" t="s">
        <v>710</v>
      </c>
      <c r="D1646" s="238" t="str">
        <f>_xlfn.XLOOKUP(B1646,'Relacion '!$E:$E,'Relacion '!$D:$D,"")</f>
        <v/>
      </c>
      <c r="E1646" s="239">
        <f t="shared" si="380"/>
        <v>25</v>
      </c>
      <c r="F1646" s="240" cm="1">
        <f t="array" ref="F1646">MIN(INDEX('Relacion '!$AH$5:$AI$493,MATCH(INDEX($B:$B, (ROW()-6)),'Relacion '!$E$5:$E$493,0),0))</f>
        <v>46076</v>
      </c>
      <c r="G1646" s="240" cm="1">
        <f t="array" ref="G1646">MAX(INDEX('Relacion '!$AH$5:$AI$493,MATCH(INDEX($B:$B, (ROW()-6)),'Relacion '!$E$5:$E$493,0),0))</f>
        <v>46101</v>
      </c>
      <c r="H1646" s="241" t="e" cm="1">
        <f t="array" ref="H1646">IF(
 MATCH(B1646,{"01. ASIGNACION AREA";"02. MAPEO";"03. DESARROLLO";"04. VALIDA US";"05. VOBO US";"06. BW-EJECUCION";"07. VALIDACIÓN BAJAWARE";"08. CERRADA"},0)
 &lt;
 MATCH(_xlfn.XLOOKUP(INDEX($B:$B, (ROW()-6)),'Relacion '!$E:$E,'Relacion '!$D:$D,""),{"01. ASIGNACION AREA";"02. MAPEO";"03. DESARROLLO";"04. VALIDA US";"05. VOBO US";"06. BW-EJECUCION";"07. VALIDACIÓN BAJAWARE";"08. CERRADA"},0),
 1,
 IF(
  MATCH(B1646,{"01. ASIGNACION AREA";"02. MAPEO";"03. DESARROLLO";"04. VALIDA US";"05. VOBO US";"06. BW-EJECUCION";"07. VALIDACIÓN BAJAWARE";"08. CERRADA"},0)
  =
  MATCH(_xlfn.XLOOKUP(INDEX($B:$B, (ROW()-6)),'Relacion '!$E:$E,'Relacion '!$D:$D,""),{"01. ASIGNACION AREA";"02. MAPEO";"03. DESARROLLO";"04. VALIDA US";"05. VOBO US";"06. BW-EJECUCION";"07. VALIDACIÓN BAJAWARE";"08. CERRADA"},0),
  _xlfn.XLOOKUP(INDEX($B:$B, (ROW()-6)),'Relacion '!$E:$E,'Relacion '!#REF!,0),
  0
 )
)</f>
        <v>#REF!</v>
      </c>
      <c r="I1646" s="241">
        <f t="shared" ca="1" si="377"/>
        <v>1</v>
      </c>
      <c r="J1646" s="241"/>
      <c r="K1646" s="241"/>
      <c r="L1646" s="238"/>
    </row>
    <row r="1647" spans="2:12" outlineLevel="1">
      <c r="B1647" s="237" t="s">
        <v>655</v>
      </c>
      <c r="C1647" s="237" t="s">
        <v>655</v>
      </c>
      <c r="D1647" s="238" t="str">
        <f>_xlfn.XLOOKUP(B1647,'Relacion '!$E:$E,'Relacion '!$D:$D,"")</f>
        <v/>
      </c>
      <c r="E1647" s="239">
        <f t="shared" si="380"/>
        <v>25</v>
      </c>
      <c r="F1647" s="240" cm="1">
        <f t="array" ref="F1647">MIN(INDEX('Relacion '!$AJ$5:$AK$493,MATCH(INDEX($B:$B, (ROW()-7)),'Relacion '!$E$5:$E$493,0),0))</f>
        <v>46104</v>
      </c>
      <c r="G1647" s="240" cm="1">
        <f t="array" ref="G1647">MAX(INDEX('Relacion '!$AJ$5:$AK$493,MATCH(INDEX($B:$B, (ROW()-7)),'Relacion '!$E$5:$E$493,0),0))</f>
        <v>46129</v>
      </c>
      <c r="H1647" s="241" cm="1">
        <f t="array" ref="H1647">IF(
 MATCH(B1647,{"01. ASIGNACION AREA";"02. MAPEO";"03. DESARROLLO";"04. VALIDA US";"05. VOBO US";"06. BW-EJECUCION";"07. VALIDACIÓN BAJAWARE";"08. CERRADA"},0)
 &lt;
 MATCH(_xlfn.XLOOKUP(INDEX($B:$B, (ROW()-7)),'Relacion '!$E:$E,'Relacion '!$D:$D,""),{"01. ASIGNACION AREA";"02. MAPEO";"03. DESARROLLO";"04. VALIDA US";"05. VOBO US";"06. BW-EJECUCION";"07. VALIDACIÓN BAJAWARE";"08. CERRADA"},0),
 1,
 IF(
  MATCH(B1647,{"01. ASIGNACION AREA";"02. MAPEO";"03. DESARROLLO";"04. VALIDA US";"05. VOBO US";"06. BW-EJECUCION";"07. VALIDACIÓN BAJAWARE";"08. CERRADA"},0)
  =
  MATCH(_xlfn.XLOOKUP(INDEX($B:$B, (ROW()-7)),'Relacion '!$E:$E,'Relacion '!$D:$D,""),{"01. ASIGNACION AREA";"02. MAPEO";"03. DESARROLLO";"04. VALIDA US";"05. VOBO US";"06. BW-EJECUCION";"07. VALIDACIÓN BAJAWARE";"08. CERRADA"},0),
  _xlfn.XLOOKUP(INDEX($B:$B, (ROW()-7)),'Relacion '!$E:$E,'Relacion '!#REF!,0),
  0
 )
)</f>
        <v>0</v>
      </c>
      <c r="I1647" s="241">
        <f t="shared" ca="1" si="377"/>
        <v>1</v>
      </c>
      <c r="J1647" s="241"/>
      <c r="K1647" s="241"/>
      <c r="L1647" s="238"/>
    </row>
    <row r="1648" spans="2:12" outlineLevel="1">
      <c r="B1648" s="237" t="s">
        <v>656</v>
      </c>
      <c r="C1648" s="237" t="s">
        <v>656</v>
      </c>
      <c r="D1648" s="238" t="str">
        <f>_xlfn.XLOOKUP(B1648,'Relacion '!$E:$E,'Relacion '!$D:$D,"")</f>
        <v/>
      </c>
      <c r="E1648" s="239">
        <f t="shared" si="380"/>
        <v>0</v>
      </c>
      <c r="F1648" s="240" cm="1">
        <f t="array" ref="F1648">MIN(INDEX('Relacion '!$AL$5:$AM$493,MATCH(INDEX($B:$B, (ROW()-8)),'Relacion '!$E$5:$E$493,0),0))</f>
        <v>46130</v>
      </c>
      <c r="G1648" s="240" cm="1">
        <f t="array" ref="G1648">MAX(INDEX('Relacion '!$AL$5:$AM$493,MATCH(INDEX($B:$B, (ROW()-8)),'Relacion '!$E$5:$E$493,0),0))</f>
        <v>46130</v>
      </c>
      <c r="H1648" s="241" cm="1">
        <f t="array" ref="H1648">IF(
 MATCH(B1648,{"01. ASIGNACION AREA";"02. MAPEO";"03. DESARROLLO";"04. VALIDA US";"05. VOBO US";"06. BW-EJECUCION";"07. VALIDACIÓN BAJAWARE";"08. CERRADA"},0)
 &lt;
 MATCH(_xlfn.XLOOKUP(INDEX($B:$B, (ROW()-8)),'Relacion '!$E:$E,'Relacion '!$D:$D,""),{"01. ASIGNACION AREA";"02. MAPEO";"03. DESARROLLO";"04. VALIDA US";"05. VOBO US";"06. BW-EJECUCION";"07. VALIDACIÓN BAJAWARE";"08. CERRADA"},0),
 1,
 IF(
  MATCH(B1648,{"01. ASIGNACION AREA";"02. MAPEO";"03. DESARROLLO";"04. VALIDA US";"05. VOBO US";"06. BW-EJECUCION";"07. VALIDACIÓN BAJAWARE";"08. CERRADA"},0)
  =
  MATCH(_xlfn.XLOOKUP(INDEX($B:$B, (ROW()-8)),'Relacion '!$E:$E,'Relacion '!$D:$D,""),{"01. ASIGNACION AREA";"02. MAPEO";"03. DESARROLLO";"04. VALIDA US";"05. VOBO US";"06. BW-EJECUCION";"07. VALIDACIÓN BAJAWARE";"08. CERRADA"},0),
  _xlfn.XLOOKUP(INDEX($B:$B, (ROW()-8)),'Relacion '!$E:$E,'Relacion '!#REF!,0),
  0
 )
)</f>
        <v>0</v>
      </c>
      <c r="I1648" s="241">
        <f t="shared" ca="1" si="377"/>
        <v>1</v>
      </c>
      <c r="J1648" s="241"/>
      <c r="K1648" s="241"/>
      <c r="L1648" s="238"/>
    </row>
    <row r="1649" spans="2:12">
      <c r="B1649" s="232" t="s">
        <v>616</v>
      </c>
      <c r="C1649" s="167" t="s">
        <v>607</v>
      </c>
      <c r="D1649" s="236" t="str">
        <f>_xlfn.XLOOKUP(B1649,'Relacion '!$E:$E,'Relacion '!$D:$D,"")</f>
        <v>06. BW-EJECUCION</v>
      </c>
      <c r="E1649" s="233">
        <f t="shared" si="380"/>
        <v>471</v>
      </c>
      <c r="F1649" s="234" cm="1">
        <f t="array" ref="F1649">MIN(INDEX('Relacion '!$X$5:$AM$493,MATCH(INDEX($B:$B, (ROW()-0)),'Relacion '!$E$5:$E$493,0),0))</f>
        <v>45659</v>
      </c>
      <c r="G1649" s="234" cm="1">
        <f t="array" ref="G1649">MAX(INDEX('Relacion '!$X$5:$AM$493,MATCH(INDEX($B:$B, (ROW()-0)),'Relacion '!$E$5:$E$493,0),0))</f>
        <v>46130</v>
      </c>
      <c r="H1649" s="235" t="e">
        <f>AVERAGE(H1650:H1657)</f>
        <v>#REF!</v>
      </c>
      <c r="I1649" s="235">
        <f t="shared" ref="I1649" ca="1" si="391">AVERAGE(I1650:I1657)</f>
        <v>1</v>
      </c>
      <c r="J1649" s="236" t="str">
        <f>IF(ISNUMBER(SEARCH("Rocha", _xlfn.XLOOKUP(B1649,'Relacion '!$E:$E,'Relacion '!$I:$I,""))), "Sí", "No")</f>
        <v>No</v>
      </c>
      <c r="K1649" s="236" t="str">
        <f>IF(ISNUMBER(SEARCH("Rocha", _xlfn.XLOOKUP(B1649,'Relacion '!$E:$E,'Relacion '!$I:$I,""))), "RMC", _xlfn.XLOOKUP(B1649,'Relacion '!$E:$E,'Relacion '!$B:$B,""))</f>
        <v>Producto</v>
      </c>
      <c r="L1649" s="236" t="str">
        <f>_xlfn.XLOOKUP(B1649,'Relacion '!$E:$E,'Relacion '!$C:$C,"")</f>
        <v>Claudia Barroso</v>
      </c>
    </row>
    <row r="1650" spans="2:12" outlineLevel="1">
      <c r="B1650" s="237" t="s">
        <v>654</v>
      </c>
      <c r="C1650" s="237" t="s">
        <v>654</v>
      </c>
      <c r="D1650" s="238" t="str">
        <f>_xlfn.XLOOKUP(B1650,'Relacion '!$E:$E,'Relacion '!$D:$D,"")</f>
        <v/>
      </c>
      <c r="E1650" s="239">
        <f t="shared" si="380"/>
        <v>424</v>
      </c>
      <c r="F1650" s="240" cm="1">
        <f t="array" ref="F1650">MIN(INDEX('Relacion '!$X$5:$Y$493,MATCH(INDEX($B:$B, (ROW()-1)),'Relacion '!$E$5:$E$493,0),0))</f>
        <v>45659</v>
      </c>
      <c r="G1650" s="240" cm="1">
        <f t="array" ref="G1650">MAX(INDEX('Relacion '!$X$5:$Y$493,MATCH(INDEX($B:$B, (ROW()-1)),'Relacion '!$E$5:$E$493,0),0))</f>
        <v>46083</v>
      </c>
      <c r="H1650" s="241" cm="1">
        <f t="array" ref="H1650">IF(
 MATCH(B1650,{"01. ASIGNACION AREA";"02. MAPEO";"03. DESARROLLO";"04. VALIDA US";"05. VOBO US";"06. BW-EJECUCION";"07. VALIDACIÓN BAJAWARE";"08. CERRADA"},0)
 &lt;
 MATCH(_xlfn.XLOOKUP(INDEX($B:$B, (ROW()-1)),'Relacion '!$E:$E,'Relacion '!$D:$D,""),{"01. ASIGNACION AREA";"02. MAPEO";"03. DESARROLLO";"04. VALIDA US";"05. VOBO US";"06. BW-EJECUCION";"07. VALIDACIÓN BAJAWARE";"08. CERRADA"},0),
 1,
 IF(
  MATCH(B1650,{"01. ASIGNACION AREA";"02. MAPEO";"03. DESARROLLO";"04. VALIDA US";"05. VOBO US";"06. BW-EJECUCION";"07. VALIDACIÓN BAJAWARE";"08. CERRADA"},0)
  =
  MATCH(_xlfn.XLOOKUP(INDEX($B:$B, (ROW()-1)),'Relacion '!$E:$E,'Relacion '!$D:$D,""),{"01. ASIGNACION AREA";"02. MAPEO";"03. DESARROLLO";"04. VALIDA US";"05. VOBO US";"06. BW-EJECUCION";"07. VALIDACIÓN BAJAWARE";"08. CERRADA"},0),
  _xlfn.XLOOKUP(INDEX($B:$B, (ROW()-1)),'Relacion '!$E:$E,'Relacion '!#REF!,0),
  0
 )
)</f>
        <v>1</v>
      </c>
      <c r="I1650" s="241">
        <f t="shared" ref="I1650:I1711" ca="1" si="392">IF(G1650&lt;=TODAY(), 1, 0)</f>
        <v>1</v>
      </c>
      <c r="J1650" s="241"/>
      <c r="K1650" s="241"/>
      <c r="L1650" s="238"/>
    </row>
    <row r="1651" spans="2:12" outlineLevel="1">
      <c r="B1651" s="237" t="s">
        <v>195</v>
      </c>
      <c r="C1651" s="237" t="s">
        <v>195</v>
      </c>
      <c r="D1651" s="238" t="str">
        <f>_xlfn.XLOOKUP(B1651,'Relacion '!$E:$E,'Relacion '!$D:$D,"")</f>
        <v/>
      </c>
      <c r="E1651" s="239">
        <f t="shared" si="380"/>
        <v>4</v>
      </c>
      <c r="F1651" s="240" cm="1">
        <f t="array" ref="F1651">MIN(INDEX('Relacion '!$Z$5:$AA$493,MATCH(INDEX($B:$B, (ROW()-2)),'Relacion '!$E$5:$E$493,0),0))</f>
        <v>46034</v>
      </c>
      <c r="G1651" s="240" cm="1">
        <f t="array" ref="G1651">MAX(INDEX('Relacion '!$Z$5:$AA$493,MATCH(INDEX($B:$B, (ROW()-2)),'Relacion '!$E$5:$E$493,0),0))</f>
        <v>46038</v>
      </c>
      <c r="H1651" s="241" cm="1">
        <f t="array" ref="H1651">IF(
 MATCH(B1651,{"01. ASIGNACION AREA";"02. MAPEO";"03. DESARROLLO";"04. VALIDA US";"05. VOBO US";"06. BW-EJECUCION";"07. VALIDACIÓN BAJAWARE";"08. CERRADA"},0)
 &lt;
 MATCH(_xlfn.XLOOKUP(INDEX($B:$B, (ROW()-2)),'Relacion '!$E:$E,'Relacion '!$D:$D,""),{"01. ASIGNACION AREA";"02. MAPEO";"03. DESARROLLO";"04. VALIDA US";"05. VOBO US";"06. BW-EJECUCION";"07. VALIDACIÓN BAJAWARE";"08. CERRADA"},0),
 1,
 IF(
  MATCH(B1651,{"01. ASIGNACION AREA";"02. MAPEO";"03. DESARROLLO";"04. VALIDA US";"05. VOBO US";"06. BW-EJECUCION";"07. VALIDACIÓN BAJAWARE";"08. CERRADA"},0)
  =
  MATCH(_xlfn.XLOOKUP(INDEX($B:$B, (ROW()-2)),'Relacion '!$E:$E,'Relacion '!$D:$D,""),{"01. ASIGNACION AREA";"02. MAPEO";"03. DESARROLLO";"04. VALIDA US";"05. VOBO US";"06. BW-EJECUCION";"07. VALIDACIÓN BAJAWARE";"08. CERRADA"},0),
  _xlfn.XLOOKUP(INDEX($B:$B, (ROW()-2)),'Relacion '!$E:$E,'Relacion '!#REF!,0),
  0
 )
)</f>
        <v>1</v>
      </c>
      <c r="I1651" s="241">
        <f t="shared" ca="1" si="392"/>
        <v>1</v>
      </c>
      <c r="J1651" s="241"/>
      <c r="K1651" s="241"/>
      <c r="L1651" s="238"/>
    </row>
    <row r="1652" spans="2:12" outlineLevel="1">
      <c r="B1652" s="237" t="s">
        <v>49</v>
      </c>
      <c r="C1652" s="237" t="s">
        <v>49</v>
      </c>
      <c r="D1652" s="238" t="str">
        <f>_xlfn.XLOOKUP(B1652,'Relacion '!$E:$E,'Relacion '!$D:$D,"")</f>
        <v/>
      </c>
      <c r="E1652" s="239">
        <f t="shared" si="380"/>
        <v>4</v>
      </c>
      <c r="F1652" s="240" cm="1">
        <f t="array" ref="F1652">MIN(INDEX('Relacion '!$AB$5:$AC$493,MATCH(INDEX($B:$B, (ROW()-3)),'Relacion '!$E$5:$E$493,0),0))</f>
        <v>46041</v>
      </c>
      <c r="G1652" s="240" cm="1">
        <f t="array" ref="G1652">MAX(INDEX('Relacion '!$AB$5:$AC$493,MATCH(INDEX($B:$B, (ROW()-3)),'Relacion '!$E$5:$E$493,0),0))</f>
        <v>46045</v>
      </c>
      <c r="H1652" s="241" cm="1">
        <f t="array" ref="H1652">IF(
 MATCH(B1652,{"01. ASIGNACION AREA";"02. MAPEO";"03. DESARROLLO";"04. VALIDA US";"05. VOBO US";"06. BW-EJECUCION";"07. VALIDACIÓN BAJAWARE";"08. CERRADA"},0)
 &lt;
 MATCH(_xlfn.XLOOKUP(INDEX($B:$B, (ROW()-3)),'Relacion '!$E:$E,'Relacion '!$D:$D,""),{"01. ASIGNACION AREA";"02. MAPEO";"03. DESARROLLO";"04. VALIDA US";"05. VOBO US";"06. BW-EJECUCION";"07. VALIDACIÓN BAJAWARE";"08. CERRADA"},0),
 1,
 IF(
  MATCH(B1652,{"01. ASIGNACION AREA";"02. MAPEO";"03. DESARROLLO";"04. VALIDA US";"05. VOBO US";"06. BW-EJECUCION";"07. VALIDACIÓN BAJAWARE";"08. CERRADA"},0)
  =
  MATCH(_xlfn.XLOOKUP(INDEX($B:$B, (ROW()-3)),'Relacion '!$E:$E,'Relacion '!$D:$D,""),{"01. ASIGNACION AREA";"02. MAPEO";"03. DESARROLLO";"04. VALIDA US";"05. VOBO US";"06. BW-EJECUCION";"07. VALIDACIÓN BAJAWARE";"08. CERRADA"},0),
  _xlfn.XLOOKUP(INDEX($B:$B, (ROW()-3)),'Relacion '!$E:$E,'Relacion '!#REF!,0),
  0
 )
)</f>
        <v>1</v>
      </c>
      <c r="I1652" s="241">
        <f t="shared" ca="1" si="392"/>
        <v>1</v>
      </c>
      <c r="J1652" s="241"/>
      <c r="K1652" s="241"/>
      <c r="L1652" s="238"/>
    </row>
    <row r="1653" spans="2:12" outlineLevel="1">
      <c r="B1653" s="237" t="s">
        <v>324</v>
      </c>
      <c r="C1653" s="237" t="s">
        <v>324</v>
      </c>
      <c r="D1653" s="238" t="str">
        <f>_xlfn.XLOOKUP(B1653,'Relacion '!$E:$E,'Relacion '!$D:$D,"")</f>
        <v/>
      </c>
      <c r="E1653" s="239">
        <f t="shared" si="380"/>
        <v>4</v>
      </c>
      <c r="F1653" s="240" cm="1">
        <f t="array" ref="F1653">MIN(INDEX('Relacion '!$AD$5:$AE$493,MATCH(INDEX($B:$B, (ROW()-4)),'Relacion '!$E$5:$E$493,0),0))</f>
        <v>46048</v>
      </c>
      <c r="G1653" s="240" cm="1">
        <f t="array" ref="G1653">MAX(INDEX('Relacion '!$AD$5:$AE$493,MATCH(INDEX($B:$B, (ROW()-4)),'Relacion '!$E$5:$E$493,0),0))</f>
        <v>46052</v>
      </c>
      <c r="H1653" s="241" cm="1">
        <f t="array" ref="H1653">IF(
 MATCH(B1653,{"01. ASIGNACION AREA";"02. MAPEO";"03. DESARROLLO";"04. VALIDA US";"05. VOBO US";"06. BW-EJECUCION";"07. VALIDACIÓN BAJAWARE";"08. CERRADA"},0)
 &lt;
 MATCH(_xlfn.XLOOKUP(INDEX($B:$B, (ROW()-4)),'Relacion '!$E:$E,'Relacion '!$D:$D,""),{"01. ASIGNACION AREA";"02. MAPEO";"03. DESARROLLO";"04. VALIDA US";"05. VOBO US";"06. BW-EJECUCION";"07. VALIDACIÓN BAJAWARE";"08. CERRADA"},0),
 1,
 IF(
  MATCH(B1653,{"01. ASIGNACION AREA";"02. MAPEO";"03. DESARROLLO";"04. VALIDA US";"05. VOBO US";"06. BW-EJECUCION";"07. VALIDACIÓN BAJAWARE";"08. CERRADA"},0)
  =
  MATCH(_xlfn.XLOOKUP(INDEX($B:$B, (ROW()-4)),'Relacion '!$E:$E,'Relacion '!$D:$D,""),{"01. ASIGNACION AREA";"02. MAPEO";"03. DESARROLLO";"04. VALIDA US";"05. VOBO US";"06. BW-EJECUCION";"07. VALIDACIÓN BAJAWARE";"08. CERRADA"},0),
  _xlfn.XLOOKUP(INDEX($B:$B, (ROW()-4)),'Relacion '!$E:$E,'Relacion '!#REF!,0),
  0
 )
)</f>
        <v>1</v>
      </c>
      <c r="I1653" s="241">
        <f t="shared" ca="1" si="392"/>
        <v>1</v>
      </c>
      <c r="J1653" s="241"/>
      <c r="K1653" s="241"/>
      <c r="L1653" s="238"/>
    </row>
    <row r="1654" spans="2:12" outlineLevel="1">
      <c r="B1654" s="237" t="s">
        <v>320</v>
      </c>
      <c r="C1654" s="237" t="s">
        <v>320</v>
      </c>
      <c r="D1654" s="238" t="str">
        <f>_xlfn.XLOOKUP(B1654,'Relacion '!$E:$E,'Relacion '!$D:$D,"")</f>
        <v/>
      </c>
      <c r="E1654" s="239">
        <f t="shared" si="380"/>
        <v>7</v>
      </c>
      <c r="F1654" s="240" cm="1">
        <f t="array" ref="F1654">MIN(INDEX('Relacion '!$AF$5:$AG$493,MATCH(INDEX($B:$B, (ROW()-5)),'Relacion '!$E$5:$E$493,0),0))</f>
        <v>46055</v>
      </c>
      <c r="G1654" s="240" cm="1">
        <f t="array" ref="G1654">MAX(INDEX('Relacion '!$AF$5:$AG$493,MATCH(INDEX($B:$B, (ROW()-5)),'Relacion '!$E$5:$E$493,0),0))</f>
        <v>46062</v>
      </c>
      <c r="H1654" s="241" cm="1">
        <f t="array" ref="H1654">IF(
 MATCH(B1654,{"01. ASIGNACION AREA";"02. MAPEO";"03. DESARROLLO";"04. VALIDA US";"05. VOBO US";"06. BW-EJECUCION";"07. VALIDACIÓN BAJAWARE";"08. CERRADA"},0)
 &lt;
 MATCH(_xlfn.XLOOKUP(INDEX($B:$B, (ROW()-5)),'Relacion '!$E:$E,'Relacion '!$D:$D,""),{"01. ASIGNACION AREA";"02. MAPEO";"03. DESARROLLO";"04. VALIDA US";"05. VOBO US";"06. BW-EJECUCION";"07. VALIDACIÓN BAJAWARE";"08. CERRADA"},0),
 1,
 IF(
  MATCH(B1654,{"01. ASIGNACION AREA";"02. MAPEO";"03. DESARROLLO";"04. VALIDA US";"05. VOBO US";"06. BW-EJECUCION";"07. VALIDACIÓN BAJAWARE";"08. CERRADA"},0)
  =
  MATCH(_xlfn.XLOOKUP(INDEX($B:$B, (ROW()-5)),'Relacion '!$E:$E,'Relacion '!$D:$D,""),{"01. ASIGNACION AREA";"02. MAPEO";"03. DESARROLLO";"04. VALIDA US";"05. VOBO US";"06. BW-EJECUCION";"07. VALIDACIÓN BAJAWARE";"08. CERRADA"},0),
  _xlfn.XLOOKUP(INDEX($B:$B, (ROW()-5)),'Relacion '!$E:$E,'Relacion '!#REF!,0),
  0
 )
)</f>
        <v>1</v>
      </c>
      <c r="I1654" s="241">
        <f t="shared" ca="1" si="392"/>
        <v>1</v>
      </c>
      <c r="J1654" s="241"/>
      <c r="K1654" s="241"/>
      <c r="L1654" s="238"/>
    </row>
    <row r="1655" spans="2:12" outlineLevel="1">
      <c r="B1655" s="237" t="s">
        <v>710</v>
      </c>
      <c r="C1655" s="237" t="s">
        <v>710</v>
      </c>
      <c r="D1655" s="238" t="str">
        <f>_xlfn.XLOOKUP(B1655,'Relacion '!$E:$E,'Relacion '!$D:$D,"")</f>
        <v/>
      </c>
      <c r="E1655" s="239">
        <f t="shared" si="380"/>
        <v>25</v>
      </c>
      <c r="F1655" s="240" cm="1">
        <f t="array" ref="F1655">MIN(INDEX('Relacion '!$AH$5:$AI$493,MATCH(INDEX($B:$B, (ROW()-6)),'Relacion '!$E$5:$E$493,0),0))</f>
        <v>46076</v>
      </c>
      <c r="G1655" s="240" cm="1">
        <f t="array" ref="G1655">MAX(INDEX('Relacion '!$AH$5:$AI$493,MATCH(INDEX($B:$B, (ROW()-6)),'Relacion '!$E$5:$E$493,0),0))</f>
        <v>46101</v>
      </c>
      <c r="H1655" s="241" t="e" cm="1">
        <f t="array" ref="H1655">IF(
 MATCH(B1655,{"01. ASIGNACION AREA";"02. MAPEO";"03. DESARROLLO";"04. VALIDA US";"05. VOBO US";"06. BW-EJECUCION";"07. VALIDACIÓN BAJAWARE";"08. CERRADA"},0)
 &lt;
 MATCH(_xlfn.XLOOKUP(INDEX($B:$B, (ROW()-6)),'Relacion '!$E:$E,'Relacion '!$D:$D,""),{"01. ASIGNACION AREA";"02. MAPEO";"03. DESARROLLO";"04. VALIDA US";"05. VOBO US";"06. BW-EJECUCION";"07. VALIDACIÓN BAJAWARE";"08. CERRADA"},0),
 1,
 IF(
  MATCH(B1655,{"01. ASIGNACION AREA";"02. MAPEO";"03. DESARROLLO";"04. VALIDA US";"05. VOBO US";"06. BW-EJECUCION";"07. VALIDACIÓN BAJAWARE";"08. CERRADA"},0)
  =
  MATCH(_xlfn.XLOOKUP(INDEX($B:$B, (ROW()-6)),'Relacion '!$E:$E,'Relacion '!$D:$D,""),{"01. ASIGNACION AREA";"02. MAPEO";"03. DESARROLLO";"04. VALIDA US";"05. VOBO US";"06. BW-EJECUCION";"07. VALIDACIÓN BAJAWARE";"08. CERRADA"},0),
  _xlfn.XLOOKUP(INDEX($B:$B, (ROW()-6)),'Relacion '!$E:$E,'Relacion '!#REF!,0),
  0
 )
)</f>
        <v>#REF!</v>
      </c>
      <c r="I1655" s="241">
        <f t="shared" ca="1" si="392"/>
        <v>1</v>
      </c>
      <c r="J1655" s="241"/>
      <c r="K1655" s="241"/>
      <c r="L1655" s="238"/>
    </row>
    <row r="1656" spans="2:12" outlineLevel="1">
      <c r="B1656" s="237" t="s">
        <v>655</v>
      </c>
      <c r="C1656" s="237" t="s">
        <v>655</v>
      </c>
      <c r="D1656" s="238" t="str">
        <f>_xlfn.XLOOKUP(B1656,'Relacion '!$E:$E,'Relacion '!$D:$D,"")</f>
        <v/>
      </c>
      <c r="E1656" s="239">
        <f t="shared" si="380"/>
        <v>25</v>
      </c>
      <c r="F1656" s="240" cm="1">
        <f t="array" ref="F1656">MIN(INDEX('Relacion '!$AJ$5:$AK$493,MATCH(INDEX($B:$B, (ROW()-7)),'Relacion '!$E$5:$E$493,0),0))</f>
        <v>46104</v>
      </c>
      <c r="G1656" s="240" cm="1">
        <f t="array" ref="G1656">MAX(INDEX('Relacion '!$AJ$5:$AK$493,MATCH(INDEX($B:$B, (ROW()-7)),'Relacion '!$E$5:$E$493,0),0))</f>
        <v>46129</v>
      </c>
      <c r="H1656" s="241" cm="1">
        <f t="array" ref="H1656">IF(
 MATCH(B1656,{"01. ASIGNACION AREA";"02. MAPEO";"03. DESARROLLO";"04. VALIDA US";"05. VOBO US";"06. BW-EJECUCION";"07. VALIDACIÓN BAJAWARE";"08. CERRADA"},0)
 &lt;
 MATCH(_xlfn.XLOOKUP(INDEX($B:$B, (ROW()-7)),'Relacion '!$E:$E,'Relacion '!$D:$D,""),{"01. ASIGNACION AREA";"02. MAPEO";"03. DESARROLLO";"04. VALIDA US";"05. VOBO US";"06. BW-EJECUCION";"07. VALIDACIÓN BAJAWARE";"08. CERRADA"},0),
 1,
 IF(
  MATCH(B1656,{"01. ASIGNACION AREA";"02. MAPEO";"03. DESARROLLO";"04. VALIDA US";"05. VOBO US";"06. BW-EJECUCION";"07. VALIDACIÓN BAJAWARE";"08. CERRADA"},0)
  =
  MATCH(_xlfn.XLOOKUP(INDEX($B:$B, (ROW()-7)),'Relacion '!$E:$E,'Relacion '!$D:$D,""),{"01. ASIGNACION AREA";"02. MAPEO";"03. DESARROLLO";"04. VALIDA US";"05. VOBO US";"06. BW-EJECUCION";"07. VALIDACIÓN BAJAWARE";"08. CERRADA"},0),
  _xlfn.XLOOKUP(INDEX($B:$B, (ROW()-7)),'Relacion '!$E:$E,'Relacion '!#REF!,0),
  0
 )
)</f>
        <v>0</v>
      </c>
      <c r="I1656" s="241">
        <f t="shared" ca="1" si="392"/>
        <v>1</v>
      </c>
      <c r="J1656" s="241"/>
      <c r="K1656" s="241"/>
      <c r="L1656" s="238"/>
    </row>
    <row r="1657" spans="2:12" outlineLevel="1">
      <c r="B1657" s="237" t="s">
        <v>656</v>
      </c>
      <c r="C1657" s="237" t="s">
        <v>656</v>
      </c>
      <c r="D1657" s="238" t="str">
        <f>_xlfn.XLOOKUP(B1657,'Relacion '!$E:$E,'Relacion '!$D:$D,"")</f>
        <v/>
      </c>
      <c r="E1657" s="239">
        <f t="shared" si="380"/>
        <v>0</v>
      </c>
      <c r="F1657" s="240" cm="1">
        <f t="array" ref="F1657">MIN(INDEX('Relacion '!$AL$5:$AM$493,MATCH(INDEX($B:$B, (ROW()-8)),'Relacion '!$E$5:$E$493,0),0))</f>
        <v>46130</v>
      </c>
      <c r="G1657" s="240" cm="1">
        <f t="array" ref="G1657">MAX(INDEX('Relacion '!$AL$5:$AM$493,MATCH(INDEX($B:$B, (ROW()-8)),'Relacion '!$E$5:$E$493,0),0))</f>
        <v>46130</v>
      </c>
      <c r="H1657" s="241" cm="1">
        <f t="array" ref="H1657">IF(
 MATCH(B1657,{"01. ASIGNACION AREA";"02. MAPEO";"03. DESARROLLO";"04. VALIDA US";"05. VOBO US";"06. BW-EJECUCION";"07. VALIDACIÓN BAJAWARE";"08. CERRADA"},0)
 &lt;
 MATCH(_xlfn.XLOOKUP(INDEX($B:$B, (ROW()-8)),'Relacion '!$E:$E,'Relacion '!$D:$D,""),{"01. ASIGNACION AREA";"02. MAPEO";"03. DESARROLLO";"04. VALIDA US";"05. VOBO US";"06. BW-EJECUCION";"07. VALIDACIÓN BAJAWARE";"08. CERRADA"},0),
 1,
 IF(
  MATCH(B1657,{"01. ASIGNACION AREA";"02. MAPEO";"03. DESARROLLO";"04. VALIDA US";"05. VOBO US";"06. BW-EJECUCION";"07. VALIDACIÓN BAJAWARE";"08. CERRADA"},0)
  =
  MATCH(_xlfn.XLOOKUP(INDEX($B:$B, (ROW()-8)),'Relacion '!$E:$E,'Relacion '!$D:$D,""),{"01. ASIGNACION AREA";"02. MAPEO";"03. DESARROLLO";"04. VALIDA US";"05. VOBO US";"06. BW-EJECUCION";"07. VALIDACIÓN BAJAWARE";"08. CERRADA"},0),
  _xlfn.XLOOKUP(INDEX($B:$B, (ROW()-8)),'Relacion '!$E:$E,'Relacion '!#REF!,0),
  0
 )
)</f>
        <v>0</v>
      </c>
      <c r="I1657" s="241">
        <f t="shared" ca="1" si="392"/>
        <v>1</v>
      </c>
      <c r="J1657" s="241"/>
      <c r="K1657" s="241"/>
      <c r="L1657" s="238"/>
    </row>
    <row r="1658" spans="2:12">
      <c r="B1658" s="232" t="s">
        <v>617</v>
      </c>
      <c r="C1658" s="167" t="s">
        <v>618</v>
      </c>
      <c r="D1658" s="236" t="str">
        <f>_xlfn.XLOOKUP(B1658,'Relacion '!$E:$E,'Relacion '!$D:$D,"")</f>
        <v>06. BW-EJECUCION</v>
      </c>
      <c r="E1658" s="233">
        <f t="shared" si="380"/>
        <v>471</v>
      </c>
      <c r="F1658" s="234" cm="1">
        <f t="array" ref="F1658">MIN(INDEX('Relacion '!$X$5:$AM$493,MATCH(INDEX($B:$B, (ROW()-0)),'Relacion '!$E$5:$E$493,0),0))</f>
        <v>45659</v>
      </c>
      <c r="G1658" s="234" cm="1">
        <f t="array" ref="G1658">MAX(INDEX('Relacion '!$X$5:$AM$493,MATCH(INDEX($B:$B, (ROW()-0)),'Relacion '!$E$5:$E$493,0),0))</f>
        <v>46130</v>
      </c>
      <c r="H1658" s="235" t="e">
        <f>AVERAGE(H1659:H1666)</f>
        <v>#REF!</v>
      </c>
      <c r="I1658" s="235">
        <f t="shared" ref="I1658" ca="1" si="393">AVERAGE(I1659:I1666)</f>
        <v>1</v>
      </c>
      <c r="J1658" s="236" t="str">
        <f>IF(ISNUMBER(SEARCH("Rocha", _xlfn.XLOOKUP(B1658,'Relacion '!$E:$E,'Relacion '!$I:$I,""))), "Sí", "No")</f>
        <v>No</v>
      </c>
      <c r="K1658" s="236" t="str">
        <f>IF(ISNUMBER(SEARCH("Rocha", _xlfn.XLOOKUP(B1658,'Relacion '!$E:$E,'Relacion '!$I:$I,""))), "RMC", _xlfn.XLOOKUP(B1658,'Relacion '!$E:$E,'Relacion '!$B:$B,""))</f>
        <v>Producto</v>
      </c>
      <c r="L1658" s="236" t="str">
        <f>_xlfn.XLOOKUP(B1658,'Relacion '!$E:$E,'Relacion '!$C:$C,"")</f>
        <v>Claudia Barroso</v>
      </c>
    </row>
    <row r="1659" spans="2:12" outlineLevel="1">
      <c r="B1659" s="237" t="s">
        <v>654</v>
      </c>
      <c r="C1659" s="237" t="s">
        <v>654</v>
      </c>
      <c r="D1659" s="238" t="str">
        <f>_xlfn.XLOOKUP(B1659,'Relacion '!$E:$E,'Relacion '!$D:$D,"")</f>
        <v/>
      </c>
      <c r="E1659" s="239">
        <f t="shared" si="380"/>
        <v>424</v>
      </c>
      <c r="F1659" s="240" cm="1">
        <f t="array" ref="F1659">MIN(INDEX('Relacion '!$X$5:$Y$493,MATCH(INDEX($B:$B, (ROW()-1)),'Relacion '!$E$5:$E$493,0),0))</f>
        <v>45659</v>
      </c>
      <c r="G1659" s="240" cm="1">
        <f t="array" ref="G1659">MAX(INDEX('Relacion '!$X$5:$Y$493,MATCH(INDEX($B:$B, (ROW()-1)),'Relacion '!$E$5:$E$493,0),0))</f>
        <v>46083</v>
      </c>
      <c r="H1659" s="241" cm="1">
        <f t="array" ref="H1659">IF(
 MATCH(B1659,{"01. ASIGNACION AREA";"02. MAPEO";"03. DESARROLLO";"04. VALIDA US";"05. VOBO US";"06. BW-EJECUCION";"07. VALIDACIÓN BAJAWARE";"08. CERRADA"},0)
 &lt;
 MATCH(_xlfn.XLOOKUP(INDEX($B:$B, (ROW()-1)),'Relacion '!$E:$E,'Relacion '!$D:$D,""),{"01. ASIGNACION AREA";"02. MAPEO";"03. DESARROLLO";"04. VALIDA US";"05. VOBO US";"06. BW-EJECUCION";"07. VALIDACIÓN BAJAWARE";"08. CERRADA"},0),
 1,
 IF(
  MATCH(B1659,{"01. ASIGNACION AREA";"02. MAPEO";"03. DESARROLLO";"04. VALIDA US";"05. VOBO US";"06. BW-EJECUCION";"07. VALIDACIÓN BAJAWARE";"08. CERRADA"},0)
  =
  MATCH(_xlfn.XLOOKUP(INDEX($B:$B, (ROW()-1)),'Relacion '!$E:$E,'Relacion '!$D:$D,""),{"01. ASIGNACION AREA";"02. MAPEO";"03. DESARROLLO";"04. VALIDA US";"05. VOBO US";"06. BW-EJECUCION";"07. VALIDACIÓN BAJAWARE";"08. CERRADA"},0),
  _xlfn.XLOOKUP(INDEX($B:$B, (ROW()-1)),'Relacion '!$E:$E,'Relacion '!#REF!,0),
  0
 )
)</f>
        <v>1</v>
      </c>
      <c r="I1659" s="241">
        <f t="shared" ref="I1659" ca="1" si="394">IF(G1659&lt;=TODAY(), 1, 0)</f>
        <v>1</v>
      </c>
      <c r="J1659" s="241"/>
      <c r="K1659" s="241"/>
      <c r="L1659" s="238"/>
    </row>
    <row r="1660" spans="2:12" outlineLevel="1">
      <c r="B1660" s="237" t="s">
        <v>195</v>
      </c>
      <c r="C1660" s="237" t="s">
        <v>195</v>
      </c>
      <c r="D1660" s="238" t="str">
        <f>_xlfn.XLOOKUP(B1660,'Relacion '!$E:$E,'Relacion '!$D:$D,"")</f>
        <v/>
      </c>
      <c r="E1660" s="239">
        <f t="shared" si="380"/>
        <v>4</v>
      </c>
      <c r="F1660" s="240" cm="1">
        <f t="array" ref="F1660">MIN(INDEX('Relacion '!$Z$5:$AA$493,MATCH(INDEX($B:$B, (ROW()-2)),'Relacion '!$E$5:$E$493,0),0))</f>
        <v>46034</v>
      </c>
      <c r="G1660" s="240" cm="1">
        <f t="array" ref="G1660">MAX(INDEX('Relacion '!$Z$5:$AA$493,MATCH(INDEX($B:$B, (ROW()-2)),'Relacion '!$E$5:$E$493,0),0))</f>
        <v>46038</v>
      </c>
      <c r="H1660" s="241" cm="1">
        <f t="array" ref="H1660">IF(
 MATCH(B1660,{"01. ASIGNACION AREA";"02. MAPEO";"03. DESARROLLO";"04. VALIDA US";"05. VOBO US";"06. BW-EJECUCION";"07. VALIDACIÓN BAJAWARE";"08. CERRADA"},0)
 &lt;
 MATCH(_xlfn.XLOOKUP(INDEX($B:$B, (ROW()-2)),'Relacion '!$E:$E,'Relacion '!$D:$D,""),{"01. ASIGNACION AREA";"02. MAPEO";"03. DESARROLLO";"04. VALIDA US";"05. VOBO US";"06. BW-EJECUCION";"07. VALIDACIÓN BAJAWARE";"08. CERRADA"},0),
 1,
 IF(
  MATCH(B1660,{"01. ASIGNACION AREA";"02. MAPEO";"03. DESARROLLO";"04. VALIDA US";"05. VOBO US";"06. BW-EJECUCION";"07. VALIDACIÓN BAJAWARE";"08. CERRADA"},0)
  =
  MATCH(_xlfn.XLOOKUP(INDEX($B:$B, (ROW()-2)),'Relacion '!$E:$E,'Relacion '!$D:$D,""),{"01. ASIGNACION AREA";"02. MAPEO";"03. DESARROLLO";"04. VALIDA US";"05. VOBO US";"06. BW-EJECUCION";"07. VALIDACIÓN BAJAWARE";"08. CERRADA"},0),
  _xlfn.XLOOKUP(INDEX($B:$B, (ROW()-2)),'Relacion '!$E:$E,'Relacion '!#REF!,0),
  0
 )
)</f>
        <v>1</v>
      </c>
      <c r="I1660" s="241">
        <f t="shared" ca="1" si="392"/>
        <v>1</v>
      </c>
      <c r="J1660" s="241"/>
      <c r="K1660" s="241"/>
      <c r="L1660" s="238"/>
    </row>
    <row r="1661" spans="2:12" outlineLevel="1">
      <c r="B1661" s="237" t="s">
        <v>49</v>
      </c>
      <c r="C1661" s="237" t="s">
        <v>49</v>
      </c>
      <c r="D1661" s="238" t="str">
        <f>_xlfn.XLOOKUP(B1661,'Relacion '!$E:$E,'Relacion '!$D:$D,"")</f>
        <v/>
      </c>
      <c r="E1661" s="239">
        <f t="shared" si="380"/>
        <v>4</v>
      </c>
      <c r="F1661" s="240" cm="1">
        <f t="array" ref="F1661">MIN(INDEX('Relacion '!$AB$5:$AC$493,MATCH(INDEX($B:$B, (ROW()-3)),'Relacion '!$E$5:$E$493,0),0))</f>
        <v>46041</v>
      </c>
      <c r="G1661" s="240" cm="1">
        <f t="array" ref="G1661">MAX(INDEX('Relacion '!$AB$5:$AC$493,MATCH(INDEX($B:$B, (ROW()-3)),'Relacion '!$E$5:$E$493,0),0))</f>
        <v>46045</v>
      </c>
      <c r="H1661" s="241" cm="1">
        <f t="array" ref="H1661">IF(
 MATCH(B1661,{"01. ASIGNACION AREA";"02. MAPEO";"03. DESARROLLO";"04. VALIDA US";"05. VOBO US";"06. BW-EJECUCION";"07. VALIDACIÓN BAJAWARE";"08. CERRADA"},0)
 &lt;
 MATCH(_xlfn.XLOOKUP(INDEX($B:$B, (ROW()-3)),'Relacion '!$E:$E,'Relacion '!$D:$D,""),{"01. ASIGNACION AREA";"02. MAPEO";"03. DESARROLLO";"04. VALIDA US";"05. VOBO US";"06. BW-EJECUCION";"07. VALIDACIÓN BAJAWARE";"08. CERRADA"},0),
 1,
 IF(
  MATCH(B1661,{"01. ASIGNACION AREA";"02. MAPEO";"03. DESARROLLO";"04. VALIDA US";"05. VOBO US";"06. BW-EJECUCION";"07. VALIDACIÓN BAJAWARE";"08. CERRADA"},0)
  =
  MATCH(_xlfn.XLOOKUP(INDEX($B:$B, (ROW()-3)),'Relacion '!$E:$E,'Relacion '!$D:$D,""),{"01. ASIGNACION AREA";"02. MAPEO";"03. DESARROLLO";"04. VALIDA US";"05. VOBO US";"06. BW-EJECUCION";"07. VALIDACIÓN BAJAWARE";"08. CERRADA"},0),
  _xlfn.XLOOKUP(INDEX($B:$B, (ROW()-3)),'Relacion '!$E:$E,'Relacion '!#REF!,0),
  0
 )
)</f>
        <v>1</v>
      </c>
      <c r="I1661" s="241">
        <f t="shared" ca="1" si="392"/>
        <v>1</v>
      </c>
      <c r="J1661" s="241"/>
      <c r="K1661" s="241"/>
      <c r="L1661" s="238"/>
    </row>
    <row r="1662" spans="2:12" outlineLevel="1">
      <c r="B1662" s="237" t="s">
        <v>324</v>
      </c>
      <c r="C1662" s="237" t="s">
        <v>324</v>
      </c>
      <c r="D1662" s="238" t="str">
        <f>_xlfn.XLOOKUP(B1662,'Relacion '!$E:$E,'Relacion '!$D:$D,"")</f>
        <v/>
      </c>
      <c r="E1662" s="239">
        <f t="shared" si="380"/>
        <v>4</v>
      </c>
      <c r="F1662" s="240" cm="1">
        <f t="array" ref="F1662">MIN(INDEX('Relacion '!$AD$5:$AE$493,MATCH(INDEX($B:$B, (ROW()-4)),'Relacion '!$E$5:$E$493,0),0))</f>
        <v>46048</v>
      </c>
      <c r="G1662" s="240" cm="1">
        <f t="array" ref="G1662">MAX(INDEX('Relacion '!$AD$5:$AE$493,MATCH(INDEX($B:$B, (ROW()-4)),'Relacion '!$E$5:$E$493,0),0))</f>
        <v>46052</v>
      </c>
      <c r="H1662" s="241" cm="1">
        <f t="array" ref="H1662">IF(
 MATCH(B1662,{"01. ASIGNACION AREA";"02. MAPEO";"03. DESARROLLO";"04. VALIDA US";"05. VOBO US";"06. BW-EJECUCION";"07. VALIDACIÓN BAJAWARE";"08. CERRADA"},0)
 &lt;
 MATCH(_xlfn.XLOOKUP(INDEX($B:$B, (ROW()-4)),'Relacion '!$E:$E,'Relacion '!$D:$D,""),{"01. ASIGNACION AREA";"02. MAPEO";"03. DESARROLLO";"04. VALIDA US";"05. VOBO US";"06. BW-EJECUCION";"07. VALIDACIÓN BAJAWARE";"08. CERRADA"},0),
 1,
 IF(
  MATCH(B1662,{"01. ASIGNACION AREA";"02. MAPEO";"03. DESARROLLO";"04. VALIDA US";"05. VOBO US";"06. BW-EJECUCION";"07. VALIDACIÓN BAJAWARE";"08. CERRADA"},0)
  =
  MATCH(_xlfn.XLOOKUP(INDEX($B:$B, (ROW()-4)),'Relacion '!$E:$E,'Relacion '!$D:$D,""),{"01. ASIGNACION AREA";"02. MAPEO";"03. DESARROLLO";"04. VALIDA US";"05. VOBO US";"06. BW-EJECUCION";"07. VALIDACIÓN BAJAWARE";"08. CERRADA"},0),
  _xlfn.XLOOKUP(INDEX($B:$B, (ROW()-4)),'Relacion '!$E:$E,'Relacion '!#REF!,0),
  0
 )
)</f>
        <v>1</v>
      </c>
      <c r="I1662" s="241">
        <f t="shared" ca="1" si="392"/>
        <v>1</v>
      </c>
      <c r="J1662" s="241"/>
      <c r="K1662" s="241"/>
      <c r="L1662" s="238"/>
    </row>
    <row r="1663" spans="2:12" outlineLevel="1">
      <c r="B1663" s="237" t="s">
        <v>320</v>
      </c>
      <c r="C1663" s="237" t="s">
        <v>320</v>
      </c>
      <c r="D1663" s="238" t="str">
        <f>_xlfn.XLOOKUP(B1663,'Relacion '!$E:$E,'Relacion '!$D:$D,"")</f>
        <v/>
      </c>
      <c r="E1663" s="239">
        <f t="shared" si="380"/>
        <v>7</v>
      </c>
      <c r="F1663" s="240" cm="1">
        <f t="array" ref="F1663">MIN(INDEX('Relacion '!$AF$5:$AG$493,MATCH(INDEX($B:$B, (ROW()-5)),'Relacion '!$E$5:$E$493,0),0))</f>
        <v>46055</v>
      </c>
      <c r="G1663" s="240" cm="1">
        <f t="array" ref="G1663">MAX(INDEX('Relacion '!$AF$5:$AG$493,MATCH(INDEX($B:$B, (ROW()-5)),'Relacion '!$E$5:$E$493,0),0))</f>
        <v>46062</v>
      </c>
      <c r="H1663" s="241" cm="1">
        <f t="array" ref="H1663">IF(
 MATCH(B1663,{"01. ASIGNACION AREA";"02. MAPEO";"03. DESARROLLO";"04. VALIDA US";"05. VOBO US";"06. BW-EJECUCION";"07. VALIDACIÓN BAJAWARE";"08. CERRADA"},0)
 &lt;
 MATCH(_xlfn.XLOOKUP(INDEX($B:$B, (ROW()-5)),'Relacion '!$E:$E,'Relacion '!$D:$D,""),{"01. ASIGNACION AREA";"02. MAPEO";"03. DESARROLLO";"04. VALIDA US";"05. VOBO US";"06. BW-EJECUCION";"07. VALIDACIÓN BAJAWARE";"08. CERRADA"},0),
 1,
 IF(
  MATCH(B1663,{"01. ASIGNACION AREA";"02. MAPEO";"03. DESARROLLO";"04. VALIDA US";"05. VOBO US";"06. BW-EJECUCION";"07. VALIDACIÓN BAJAWARE";"08. CERRADA"},0)
  =
  MATCH(_xlfn.XLOOKUP(INDEX($B:$B, (ROW()-5)),'Relacion '!$E:$E,'Relacion '!$D:$D,""),{"01. ASIGNACION AREA";"02. MAPEO";"03. DESARROLLO";"04. VALIDA US";"05. VOBO US";"06. BW-EJECUCION";"07. VALIDACIÓN BAJAWARE";"08. CERRADA"},0),
  _xlfn.XLOOKUP(INDEX($B:$B, (ROW()-5)),'Relacion '!$E:$E,'Relacion '!#REF!,0),
  0
 )
)</f>
        <v>1</v>
      </c>
      <c r="I1663" s="241">
        <f t="shared" ca="1" si="392"/>
        <v>1</v>
      </c>
      <c r="J1663" s="241"/>
      <c r="K1663" s="241"/>
      <c r="L1663" s="238"/>
    </row>
    <row r="1664" spans="2:12" outlineLevel="1">
      <c r="B1664" s="237" t="s">
        <v>710</v>
      </c>
      <c r="C1664" s="237" t="s">
        <v>710</v>
      </c>
      <c r="D1664" s="238" t="str">
        <f>_xlfn.XLOOKUP(B1664,'Relacion '!$E:$E,'Relacion '!$D:$D,"")</f>
        <v/>
      </c>
      <c r="E1664" s="239">
        <f t="shared" si="380"/>
        <v>25</v>
      </c>
      <c r="F1664" s="240" cm="1">
        <f t="array" ref="F1664">MIN(INDEX('Relacion '!$AH$5:$AI$493,MATCH(INDEX($B:$B, (ROW()-6)),'Relacion '!$E$5:$E$493,0),0))</f>
        <v>46076</v>
      </c>
      <c r="G1664" s="240" cm="1">
        <f t="array" ref="G1664">MAX(INDEX('Relacion '!$AH$5:$AI$493,MATCH(INDEX($B:$B, (ROW()-6)),'Relacion '!$E$5:$E$493,0),0))</f>
        <v>46101</v>
      </c>
      <c r="H1664" s="241" t="e" cm="1">
        <f t="array" ref="H1664">IF(
 MATCH(B1664,{"01. ASIGNACION AREA";"02. MAPEO";"03. DESARROLLO";"04. VALIDA US";"05. VOBO US";"06. BW-EJECUCION";"07. VALIDACIÓN BAJAWARE";"08. CERRADA"},0)
 &lt;
 MATCH(_xlfn.XLOOKUP(INDEX($B:$B, (ROW()-6)),'Relacion '!$E:$E,'Relacion '!$D:$D,""),{"01. ASIGNACION AREA";"02. MAPEO";"03. DESARROLLO";"04. VALIDA US";"05. VOBO US";"06. BW-EJECUCION";"07. VALIDACIÓN BAJAWARE";"08. CERRADA"},0),
 1,
 IF(
  MATCH(B1664,{"01. ASIGNACION AREA";"02. MAPEO";"03. DESARROLLO";"04. VALIDA US";"05. VOBO US";"06. BW-EJECUCION";"07. VALIDACIÓN BAJAWARE";"08. CERRADA"},0)
  =
  MATCH(_xlfn.XLOOKUP(INDEX($B:$B, (ROW()-6)),'Relacion '!$E:$E,'Relacion '!$D:$D,""),{"01. ASIGNACION AREA";"02. MAPEO";"03. DESARROLLO";"04. VALIDA US";"05. VOBO US";"06. BW-EJECUCION";"07. VALIDACIÓN BAJAWARE";"08. CERRADA"},0),
  _xlfn.XLOOKUP(INDEX($B:$B, (ROW()-6)),'Relacion '!$E:$E,'Relacion '!#REF!,0),
  0
 )
)</f>
        <v>#REF!</v>
      </c>
      <c r="I1664" s="241">
        <f t="shared" ca="1" si="392"/>
        <v>1</v>
      </c>
      <c r="J1664" s="241"/>
      <c r="K1664" s="241"/>
      <c r="L1664" s="238"/>
    </row>
    <row r="1665" spans="2:12" outlineLevel="1">
      <c r="B1665" s="237" t="s">
        <v>655</v>
      </c>
      <c r="C1665" s="237" t="s">
        <v>655</v>
      </c>
      <c r="D1665" s="238" t="str">
        <f>_xlfn.XLOOKUP(B1665,'Relacion '!$E:$E,'Relacion '!$D:$D,"")</f>
        <v/>
      </c>
      <c r="E1665" s="239">
        <f t="shared" si="380"/>
        <v>25</v>
      </c>
      <c r="F1665" s="240" cm="1">
        <f t="array" ref="F1665">MIN(INDEX('Relacion '!$AJ$5:$AK$493,MATCH(INDEX($B:$B, (ROW()-7)),'Relacion '!$E$5:$E$493,0),0))</f>
        <v>46104</v>
      </c>
      <c r="G1665" s="240" cm="1">
        <f t="array" ref="G1665">MAX(INDEX('Relacion '!$AJ$5:$AK$493,MATCH(INDEX($B:$B, (ROW()-7)),'Relacion '!$E$5:$E$493,0),0))</f>
        <v>46129</v>
      </c>
      <c r="H1665" s="241" cm="1">
        <f t="array" ref="H1665">IF(
 MATCH(B1665,{"01. ASIGNACION AREA";"02. MAPEO";"03. DESARROLLO";"04. VALIDA US";"05. VOBO US";"06. BW-EJECUCION";"07. VALIDACIÓN BAJAWARE";"08. CERRADA"},0)
 &lt;
 MATCH(_xlfn.XLOOKUP(INDEX($B:$B, (ROW()-7)),'Relacion '!$E:$E,'Relacion '!$D:$D,""),{"01. ASIGNACION AREA";"02. MAPEO";"03. DESARROLLO";"04. VALIDA US";"05. VOBO US";"06. BW-EJECUCION";"07. VALIDACIÓN BAJAWARE";"08. CERRADA"},0),
 1,
 IF(
  MATCH(B1665,{"01. ASIGNACION AREA";"02. MAPEO";"03. DESARROLLO";"04. VALIDA US";"05. VOBO US";"06. BW-EJECUCION";"07. VALIDACIÓN BAJAWARE";"08. CERRADA"},0)
  =
  MATCH(_xlfn.XLOOKUP(INDEX($B:$B, (ROW()-7)),'Relacion '!$E:$E,'Relacion '!$D:$D,""),{"01. ASIGNACION AREA";"02. MAPEO";"03. DESARROLLO";"04. VALIDA US";"05. VOBO US";"06. BW-EJECUCION";"07. VALIDACIÓN BAJAWARE";"08. CERRADA"},0),
  _xlfn.XLOOKUP(INDEX($B:$B, (ROW()-7)),'Relacion '!$E:$E,'Relacion '!#REF!,0),
  0
 )
)</f>
        <v>0</v>
      </c>
      <c r="I1665" s="241">
        <f t="shared" ca="1" si="392"/>
        <v>1</v>
      </c>
      <c r="J1665" s="241"/>
      <c r="K1665" s="241"/>
      <c r="L1665" s="238"/>
    </row>
    <row r="1666" spans="2:12" outlineLevel="1">
      <c r="B1666" s="237" t="s">
        <v>656</v>
      </c>
      <c r="C1666" s="237" t="s">
        <v>656</v>
      </c>
      <c r="D1666" s="238" t="str">
        <f>_xlfn.XLOOKUP(B1666,'Relacion '!$E:$E,'Relacion '!$D:$D,"")</f>
        <v/>
      </c>
      <c r="E1666" s="239">
        <f t="shared" ref="E1666:E1729" si="395">IF(OR(F1666="",G1666=""),"",G1666-F1666)</f>
        <v>0</v>
      </c>
      <c r="F1666" s="240" cm="1">
        <f t="array" ref="F1666">MIN(INDEX('Relacion '!$AL$5:$AM$493,MATCH(INDEX($B:$B, (ROW()-8)),'Relacion '!$E$5:$E$493,0),0))</f>
        <v>46130</v>
      </c>
      <c r="G1666" s="240" cm="1">
        <f t="array" ref="G1666">MAX(INDEX('Relacion '!$AL$5:$AM$493,MATCH(INDEX($B:$B, (ROW()-8)),'Relacion '!$E$5:$E$493,0),0))</f>
        <v>46130</v>
      </c>
      <c r="H1666" s="241" cm="1">
        <f t="array" ref="H1666">IF(
 MATCH(B1666,{"01. ASIGNACION AREA";"02. MAPEO";"03. DESARROLLO";"04. VALIDA US";"05. VOBO US";"06. BW-EJECUCION";"07. VALIDACIÓN BAJAWARE";"08. CERRADA"},0)
 &lt;
 MATCH(_xlfn.XLOOKUP(INDEX($B:$B, (ROW()-8)),'Relacion '!$E:$E,'Relacion '!$D:$D,""),{"01. ASIGNACION AREA";"02. MAPEO";"03. DESARROLLO";"04. VALIDA US";"05. VOBO US";"06. BW-EJECUCION";"07. VALIDACIÓN BAJAWARE";"08. CERRADA"},0),
 1,
 IF(
  MATCH(B1666,{"01. ASIGNACION AREA";"02. MAPEO";"03. DESARROLLO";"04. VALIDA US";"05. VOBO US";"06. BW-EJECUCION";"07. VALIDACIÓN BAJAWARE";"08. CERRADA"},0)
  =
  MATCH(_xlfn.XLOOKUP(INDEX($B:$B, (ROW()-8)),'Relacion '!$E:$E,'Relacion '!$D:$D,""),{"01. ASIGNACION AREA";"02. MAPEO";"03. DESARROLLO";"04. VALIDA US";"05. VOBO US";"06. BW-EJECUCION";"07. VALIDACIÓN BAJAWARE";"08. CERRADA"},0),
  _xlfn.XLOOKUP(INDEX($B:$B, (ROW()-8)),'Relacion '!$E:$E,'Relacion '!#REF!,0),
  0
 )
)</f>
        <v>0</v>
      </c>
      <c r="I1666" s="241">
        <f t="shared" ca="1" si="392"/>
        <v>1</v>
      </c>
      <c r="J1666" s="241"/>
      <c r="K1666" s="241"/>
      <c r="L1666" s="238"/>
    </row>
    <row r="1667" spans="2:12">
      <c r="B1667" s="232" t="s">
        <v>619</v>
      </c>
      <c r="C1667" s="167" t="s">
        <v>620</v>
      </c>
      <c r="D1667" s="236" t="str">
        <f>_xlfn.XLOOKUP(B1667,'Relacion '!$E:$E,'Relacion '!$D:$D,"")</f>
        <v>06. BW-EJECUCION</v>
      </c>
      <c r="E1667" s="233">
        <f t="shared" si="395"/>
        <v>471</v>
      </c>
      <c r="F1667" s="234" cm="1">
        <f t="array" ref="F1667">MIN(INDEX('Relacion '!$X$5:$AM$493,MATCH(INDEX($B:$B, (ROW()-0)),'Relacion '!$E$5:$E$493,0),0))</f>
        <v>45659</v>
      </c>
      <c r="G1667" s="234" cm="1">
        <f t="array" ref="G1667">MAX(INDEX('Relacion '!$X$5:$AM$493,MATCH(INDEX($B:$B, (ROW()-0)),'Relacion '!$E$5:$E$493,0),0))</f>
        <v>46130</v>
      </c>
      <c r="H1667" s="235" t="e">
        <f>AVERAGE(H1668:H1675)</f>
        <v>#REF!</v>
      </c>
      <c r="I1667" s="235">
        <f t="shared" ref="I1667" ca="1" si="396">AVERAGE(I1668:I1675)</f>
        <v>1</v>
      </c>
      <c r="J1667" s="236" t="str">
        <f>IF(ISNUMBER(SEARCH("Rocha", _xlfn.XLOOKUP(B1667,'Relacion '!$E:$E,'Relacion '!$I:$I,""))), "Sí", "No")</f>
        <v>No</v>
      </c>
      <c r="K1667" s="236" t="str">
        <f>IF(ISNUMBER(SEARCH("Rocha", _xlfn.XLOOKUP(B1667,'Relacion '!$E:$E,'Relacion '!$I:$I,""))), "RMC", _xlfn.XLOOKUP(B1667,'Relacion '!$E:$E,'Relacion '!$B:$B,""))</f>
        <v>Producto</v>
      </c>
      <c r="L1667" s="236" t="str">
        <f>_xlfn.XLOOKUP(B1667,'Relacion '!$E:$E,'Relacion '!$C:$C,"")</f>
        <v>Claudia Barroso</v>
      </c>
    </row>
    <row r="1668" spans="2:12" outlineLevel="1">
      <c r="B1668" s="237" t="s">
        <v>654</v>
      </c>
      <c r="C1668" s="237" t="s">
        <v>654</v>
      </c>
      <c r="D1668" s="238" t="str">
        <f>_xlfn.XLOOKUP(B1668,'Relacion '!$E:$E,'Relacion '!$D:$D,"")</f>
        <v/>
      </c>
      <c r="E1668" s="239">
        <f t="shared" si="395"/>
        <v>424</v>
      </c>
      <c r="F1668" s="240" cm="1">
        <f t="array" ref="F1668">MIN(INDEX('Relacion '!$X$5:$Y$493,MATCH(INDEX($B:$B, (ROW()-1)),'Relacion '!$E$5:$E$493,0),0))</f>
        <v>45659</v>
      </c>
      <c r="G1668" s="240" cm="1">
        <f t="array" ref="G1668">MAX(INDEX('Relacion '!$X$5:$Y$493,MATCH(INDEX($B:$B, (ROW()-1)),'Relacion '!$E$5:$E$493,0),0))</f>
        <v>46083</v>
      </c>
      <c r="H1668" s="241" cm="1">
        <f t="array" ref="H1668">IF(
 MATCH(B1668,{"01. ASIGNACION AREA";"02. MAPEO";"03. DESARROLLO";"04. VALIDA US";"05. VOBO US";"06. BW-EJECUCION";"07. VALIDACIÓN BAJAWARE";"08. CERRADA"},0)
 &lt;
 MATCH(_xlfn.XLOOKUP(INDEX($B:$B, (ROW()-1)),'Relacion '!$E:$E,'Relacion '!$D:$D,""),{"01. ASIGNACION AREA";"02. MAPEO";"03. DESARROLLO";"04. VALIDA US";"05. VOBO US";"06. BW-EJECUCION";"07. VALIDACIÓN BAJAWARE";"08. CERRADA"},0),
 1,
 IF(
  MATCH(B1668,{"01. ASIGNACION AREA";"02. MAPEO";"03. DESARROLLO";"04. VALIDA US";"05. VOBO US";"06. BW-EJECUCION";"07. VALIDACIÓN BAJAWARE";"08. CERRADA"},0)
  =
  MATCH(_xlfn.XLOOKUP(INDEX($B:$B, (ROW()-1)),'Relacion '!$E:$E,'Relacion '!$D:$D,""),{"01. ASIGNACION AREA";"02. MAPEO";"03. DESARROLLO";"04. VALIDA US";"05. VOBO US";"06. BW-EJECUCION";"07. VALIDACIÓN BAJAWARE";"08. CERRADA"},0),
  _xlfn.XLOOKUP(INDEX($B:$B, (ROW()-1)),'Relacion '!$E:$E,'Relacion '!#REF!,0),
  0
 )
)</f>
        <v>1</v>
      </c>
      <c r="I1668" s="241">
        <f t="shared" ref="I1668" ca="1" si="397">IF(G1668&lt;=TODAY(), 1, 0)</f>
        <v>1</v>
      </c>
      <c r="J1668" s="241"/>
      <c r="K1668" s="241"/>
      <c r="L1668" s="238"/>
    </row>
    <row r="1669" spans="2:12" outlineLevel="1">
      <c r="B1669" s="237" t="s">
        <v>195</v>
      </c>
      <c r="C1669" s="237" t="s">
        <v>195</v>
      </c>
      <c r="D1669" s="238" t="str">
        <f>_xlfn.XLOOKUP(B1669,'Relacion '!$E:$E,'Relacion '!$D:$D,"")</f>
        <v/>
      </c>
      <c r="E1669" s="239">
        <f t="shared" si="395"/>
        <v>4</v>
      </c>
      <c r="F1669" s="240" cm="1">
        <f t="array" ref="F1669">MIN(INDEX('Relacion '!$Z$5:$AA$493,MATCH(INDEX($B:$B, (ROW()-2)),'Relacion '!$E$5:$E$493,0),0))</f>
        <v>46034</v>
      </c>
      <c r="G1669" s="240" cm="1">
        <f t="array" ref="G1669">MAX(INDEX('Relacion '!$Z$5:$AA$493,MATCH(INDEX($B:$B, (ROW()-2)),'Relacion '!$E$5:$E$493,0),0))</f>
        <v>46038</v>
      </c>
      <c r="H1669" s="241" cm="1">
        <f t="array" ref="H1669">IF(
 MATCH(B1669,{"01. ASIGNACION AREA";"02. MAPEO";"03. DESARROLLO";"04. VALIDA US";"05. VOBO US";"06. BW-EJECUCION";"07. VALIDACIÓN BAJAWARE";"08. CERRADA"},0)
 &lt;
 MATCH(_xlfn.XLOOKUP(INDEX($B:$B, (ROW()-2)),'Relacion '!$E:$E,'Relacion '!$D:$D,""),{"01. ASIGNACION AREA";"02. MAPEO";"03. DESARROLLO";"04. VALIDA US";"05. VOBO US";"06. BW-EJECUCION";"07. VALIDACIÓN BAJAWARE";"08. CERRADA"},0),
 1,
 IF(
  MATCH(B1669,{"01. ASIGNACION AREA";"02. MAPEO";"03. DESARROLLO";"04. VALIDA US";"05. VOBO US";"06. BW-EJECUCION";"07. VALIDACIÓN BAJAWARE";"08. CERRADA"},0)
  =
  MATCH(_xlfn.XLOOKUP(INDEX($B:$B, (ROW()-2)),'Relacion '!$E:$E,'Relacion '!$D:$D,""),{"01. ASIGNACION AREA";"02. MAPEO";"03. DESARROLLO";"04. VALIDA US";"05. VOBO US";"06. BW-EJECUCION";"07. VALIDACIÓN BAJAWARE";"08. CERRADA"},0),
  _xlfn.XLOOKUP(INDEX($B:$B, (ROW()-2)),'Relacion '!$E:$E,'Relacion '!#REF!,0),
  0
 )
)</f>
        <v>1</v>
      </c>
      <c r="I1669" s="241">
        <f t="shared" ca="1" si="392"/>
        <v>1</v>
      </c>
      <c r="J1669" s="241"/>
      <c r="K1669" s="241"/>
      <c r="L1669" s="238"/>
    </row>
    <row r="1670" spans="2:12" outlineLevel="1">
      <c r="B1670" s="237" t="s">
        <v>49</v>
      </c>
      <c r="C1670" s="237" t="s">
        <v>49</v>
      </c>
      <c r="D1670" s="238" t="str">
        <f>_xlfn.XLOOKUP(B1670,'Relacion '!$E:$E,'Relacion '!$D:$D,"")</f>
        <v/>
      </c>
      <c r="E1670" s="239">
        <f t="shared" si="395"/>
        <v>4</v>
      </c>
      <c r="F1670" s="240" cm="1">
        <f t="array" ref="F1670">MIN(INDEX('Relacion '!$AB$5:$AC$493,MATCH(INDEX($B:$B, (ROW()-3)),'Relacion '!$E$5:$E$493,0),0))</f>
        <v>46041</v>
      </c>
      <c r="G1670" s="240" cm="1">
        <f t="array" ref="G1670">MAX(INDEX('Relacion '!$AB$5:$AC$493,MATCH(INDEX($B:$B, (ROW()-3)),'Relacion '!$E$5:$E$493,0),0))</f>
        <v>46045</v>
      </c>
      <c r="H1670" s="241" cm="1">
        <f t="array" ref="H1670">IF(
 MATCH(B1670,{"01. ASIGNACION AREA";"02. MAPEO";"03. DESARROLLO";"04. VALIDA US";"05. VOBO US";"06. BW-EJECUCION";"07. VALIDACIÓN BAJAWARE";"08. CERRADA"},0)
 &lt;
 MATCH(_xlfn.XLOOKUP(INDEX($B:$B, (ROW()-3)),'Relacion '!$E:$E,'Relacion '!$D:$D,""),{"01. ASIGNACION AREA";"02. MAPEO";"03. DESARROLLO";"04. VALIDA US";"05. VOBO US";"06. BW-EJECUCION";"07. VALIDACIÓN BAJAWARE";"08. CERRADA"},0),
 1,
 IF(
  MATCH(B1670,{"01. ASIGNACION AREA";"02. MAPEO";"03. DESARROLLO";"04. VALIDA US";"05. VOBO US";"06. BW-EJECUCION";"07. VALIDACIÓN BAJAWARE";"08. CERRADA"},0)
  =
  MATCH(_xlfn.XLOOKUP(INDEX($B:$B, (ROW()-3)),'Relacion '!$E:$E,'Relacion '!$D:$D,""),{"01. ASIGNACION AREA";"02. MAPEO";"03. DESARROLLO";"04. VALIDA US";"05. VOBO US";"06. BW-EJECUCION";"07. VALIDACIÓN BAJAWARE";"08. CERRADA"},0),
  _xlfn.XLOOKUP(INDEX($B:$B, (ROW()-3)),'Relacion '!$E:$E,'Relacion '!#REF!,0),
  0
 )
)</f>
        <v>1</v>
      </c>
      <c r="I1670" s="241">
        <f t="shared" ca="1" si="392"/>
        <v>1</v>
      </c>
      <c r="J1670" s="241"/>
      <c r="K1670" s="241"/>
      <c r="L1670" s="238"/>
    </row>
    <row r="1671" spans="2:12" outlineLevel="1">
      <c r="B1671" s="237" t="s">
        <v>324</v>
      </c>
      <c r="C1671" s="237" t="s">
        <v>324</v>
      </c>
      <c r="D1671" s="238" t="str">
        <f>_xlfn.XLOOKUP(B1671,'Relacion '!$E:$E,'Relacion '!$D:$D,"")</f>
        <v/>
      </c>
      <c r="E1671" s="239">
        <f t="shared" si="395"/>
        <v>4</v>
      </c>
      <c r="F1671" s="240" cm="1">
        <f t="array" ref="F1671">MIN(INDEX('Relacion '!$AD$5:$AE$493,MATCH(INDEX($B:$B, (ROW()-4)),'Relacion '!$E$5:$E$493,0),0))</f>
        <v>46048</v>
      </c>
      <c r="G1671" s="240" cm="1">
        <f t="array" ref="G1671">MAX(INDEX('Relacion '!$AD$5:$AE$493,MATCH(INDEX($B:$B, (ROW()-4)),'Relacion '!$E$5:$E$493,0),0))</f>
        <v>46052</v>
      </c>
      <c r="H1671" s="241" cm="1">
        <f t="array" ref="H1671">IF(
 MATCH(B1671,{"01. ASIGNACION AREA";"02. MAPEO";"03. DESARROLLO";"04. VALIDA US";"05. VOBO US";"06. BW-EJECUCION";"07. VALIDACIÓN BAJAWARE";"08. CERRADA"},0)
 &lt;
 MATCH(_xlfn.XLOOKUP(INDEX($B:$B, (ROW()-4)),'Relacion '!$E:$E,'Relacion '!$D:$D,""),{"01. ASIGNACION AREA";"02. MAPEO";"03. DESARROLLO";"04. VALIDA US";"05. VOBO US";"06. BW-EJECUCION";"07. VALIDACIÓN BAJAWARE";"08. CERRADA"},0),
 1,
 IF(
  MATCH(B1671,{"01. ASIGNACION AREA";"02. MAPEO";"03. DESARROLLO";"04. VALIDA US";"05. VOBO US";"06. BW-EJECUCION";"07. VALIDACIÓN BAJAWARE";"08. CERRADA"},0)
  =
  MATCH(_xlfn.XLOOKUP(INDEX($B:$B, (ROW()-4)),'Relacion '!$E:$E,'Relacion '!$D:$D,""),{"01. ASIGNACION AREA";"02. MAPEO";"03. DESARROLLO";"04. VALIDA US";"05. VOBO US";"06. BW-EJECUCION";"07. VALIDACIÓN BAJAWARE";"08. CERRADA"},0),
  _xlfn.XLOOKUP(INDEX($B:$B, (ROW()-4)),'Relacion '!$E:$E,'Relacion '!#REF!,0),
  0
 )
)</f>
        <v>1</v>
      </c>
      <c r="I1671" s="241">
        <f t="shared" ca="1" si="392"/>
        <v>1</v>
      </c>
      <c r="J1671" s="241"/>
      <c r="K1671" s="241"/>
      <c r="L1671" s="238"/>
    </row>
    <row r="1672" spans="2:12" outlineLevel="1">
      <c r="B1672" s="237" t="s">
        <v>320</v>
      </c>
      <c r="C1672" s="237" t="s">
        <v>320</v>
      </c>
      <c r="D1672" s="238" t="str">
        <f>_xlfn.XLOOKUP(B1672,'Relacion '!$E:$E,'Relacion '!$D:$D,"")</f>
        <v/>
      </c>
      <c r="E1672" s="239">
        <f t="shared" si="395"/>
        <v>7</v>
      </c>
      <c r="F1672" s="240" cm="1">
        <f t="array" ref="F1672">MIN(INDEX('Relacion '!$AF$5:$AG$493,MATCH(INDEX($B:$B, (ROW()-5)),'Relacion '!$E$5:$E$493,0),0))</f>
        <v>46055</v>
      </c>
      <c r="G1672" s="240" cm="1">
        <f t="array" ref="G1672">MAX(INDEX('Relacion '!$AF$5:$AG$493,MATCH(INDEX($B:$B, (ROW()-5)),'Relacion '!$E$5:$E$493,0),0))</f>
        <v>46062</v>
      </c>
      <c r="H1672" s="241" cm="1">
        <f t="array" ref="H1672">IF(
 MATCH(B1672,{"01. ASIGNACION AREA";"02. MAPEO";"03. DESARROLLO";"04. VALIDA US";"05. VOBO US";"06. BW-EJECUCION";"07. VALIDACIÓN BAJAWARE";"08. CERRADA"},0)
 &lt;
 MATCH(_xlfn.XLOOKUP(INDEX($B:$B, (ROW()-5)),'Relacion '!$E:$E,'Relacion '!$D:$D,""),{"01. ASIGNACION AREA";"02. MAPEO";"03. DESARROLLO";"04. VALIDA US";"05. VOBO US";"06. BW-EJECUCION";"07. VALIDACIÓN BAJAWARE";"08. CERRADA"},0),
 1,
 IF(
  MATCH(B1672,{"01. ASIGNACION AREA";"02. MAPEO";"03. DESARROLLO";"04. VALIDA US";"05. VOBO US";"06. BW-EJECUCION";"07. VALIDACIÓN BAJAWARE";"08. CERRADA"},0)
  =
  MATCH(_xlfn.XLOOKUP(INDEX($B:$B, (ROW()-5)),'Relacion '!$E:$E,'Relacion '!$D:$D,""),{"01. ASIGNACION AREA";"02. MAPEO";"03. DESARROLLO";"04. VALIDA US";"05. VOBO US";"06. BW-EJECUCION";"07. VALIDACIÓN BAJAWARE";"08. CERRADA"},0),
  _xlfn.XLOOKUP(INDEX($B:$B, (ROW()-5)),'Relacion '!$E:$E,'Relacion '!#REF!,0),
  0
 )
)</f>
        <v>1</v>
      </c>
      <c r="I1672" s="241">
        <f t="shared" ca="1" si="392"/>
        <v>1</v>
      </c>
      <c r="J1672" s="241"/>
      <c r="K1672" s="241"/>
      <c r="L1672" s="238"/>
    </row>
    <row r="1673" spans="2:12" outlineLevel="1">
      <c r="B1673" s="237" t="s">
        <v>710</v>
      </c>
      <c r="C1673" s="237" t="s">
        <v>710</v>
      </c>
      <c r="D1673" s="238" t="str">
        <f>_xlfn.XLOOKUP(B1673,'Relacion '!$E:$E,'Relacion '!$D:$D,"")</f>
        <v/>
      </c>
      <c r="E1673" s="239">
        <f t="shared" si="395"/>
        <v>25</v>
      </c>
      <c r="F1673" s="240" cm="1">
        <f t="array" ref="F1673">MIN(INDEX('Relacion '!$AH$5:$AI$493,MATCH(INDEX($B:$B, (ROW()-6)),'Relacion '!$E$5:$E$493,0),0))</f>
        <v>46076</v>
      </c>
      <c r="G1673" s="240" cm="1">
        <f t="array" ref="G1673">MAX(INDEX('Relacion '!$AH$5:$AI$493,MATCH(INDEX($B:$B, (ROW()-6)),'Relacion '!$E$5:$E$493,0),0))</f>
        <v>46101</v>
      </c>
      <c r="H1673" s="241" t="e" cm="1">
        <f t="array" ref="H1673">IF(
 MATCH(B1673,{"01. ASIGNACION AREA";"02. MAPEO";"03. DESARROLLO";"04. VALIDA US";"05. VOBO US";"06. BW-EJECUCION";"07. VALIDACIÓN BAJAWARE";"08. CERRADA"},0)
 &lt;
 MATCH(_xlfn.XLOOKUP(INDEX($B:$B, (ROW()-6)),'Relacion '!$E:$E,'Relacion '!$D:$D,""),{"01. ASIGNACION AREA";"02. MAPEO";"03. DESARROLLO";"04. VALIDA US";"05. VOBO US";"06. BW-EJECUCION";"07. VALIDACIÓN BAJAWARE";"08. CERRADA"},0),
 1,
 IF(
  MATCH(B1673,{"01. ASIGNACION AREA";"02. MAPEO";"03. DESARROLLO";"04. VALIDA US";"05. VOBO US";"06. BW-EJECUCION";"07. VALIDACIÓN BAJAWARE";"08. CERRADA"},0)
  =
  MATCH(_xlfn.XLOOKUP(INDEX($B:$B, (ROW()-6)),'Relacion '!$E:$E,'Relacion '!$D:$D,""),{"01. ASIGNACION AREA";"02. MAPEO";"03. DESARROLLO";"04. VALIDA US";"05. VOBO US";"06. BW-EJECUCION";"07. VALIDACIÓN BAJAWARE";"08. CERRADA"},0),
  _xlfn.XLOOKUP(INDEX($B:$B, (ROW()-6)),'Relacion '!$E:$E,'Relacion '!#REF!,0),
  0
 )
)</f>
        <v>#REF!</v>
      </c>
      <c r="I1673" s="241">
        <f t="shared" ca="1" si="392"/>
        <v>1</v>
      </c>
      <c r="J1673" s="241"/>
      <c r="K1673" s="241"/>
      <c r="L1673" s="238"/>
    </row>
    <row r="1674" spans="2:12" outlineLevel="1">
      <c r="B1674" s="237" t="s">
        <v>655</v>
      </c>
      <c r="C1674" s="237" t="s">
        <v>655</v>
      </c>
      <c r="D1674" s="238" t="str">
        <f>_xlfn.XLOOKUP(B1674,'Relacion '!$E:$E,'Relacion '!$D:$D,"")</f>
        <v/>
      </c>
      <c r="E1674" s="239">
        <f t="shared" si="395"/>
        <v>25</v>
      </c>
      <c r="F1674" s="240" cm="1">
        <f t="array" ref="F1674">MIN(INDEX('Relacion '!$AJ$5:$AK$493,MATCH(INDEX($B:$B, (ROW()-7)),'Relacion '!$E$5:$E$493,0),0))</f>
        <v>46104</v>
      </c>
      <c r="G1674" s="240" cm="1">
        <f t="array" ref="G1674">MAX(INDEX('Relacion '!$AJ$5:$AK$493,MATCH(INDEX($B:$B, (ROW()-7)),'Relacion '!$E$5:$E$493,0),0))</f>
        <v>46129</v>
      </c>
      <c r="H1674" s="241" cm="1">
        <f t="array" ref="H1674">IF(
 MATCH(B1674,{"01. ASIGNACION AREA";"02. MAPEO";"03. DESARROLLO";"04. VALIDA US";"05. VOBO US";"06. BW-EJECUCION";"07. VALIDACIÓN BAJAWARE";"08. CERRADA"},0)
 &lt;
 MATCH(_xlfn.XLOOKUP(INDEX($B:$B, (ROW()-7)),'Relacion '!$E:$E,'Relacion '!$D:$D,""),{"01. ASIGNACION AREA";"02. MAPEO";"03. DESARROLLO";"04. VALIDA US";"05. VOBO US";"06. BW-EJECUCION";"07. VALIDACIÓN BAJAWARE";"08. CERRADA"},0),
 1,
 IF(
  MATCH(B1674,{"01. ASIGNACION AREA";"02. MAPEO";"03. DESARROLLO";"04. VALIDA US";"05. VOBO US";"06. BW-EJECUCION";"07. VALIDACIÓN BAJAWARE";"08. CERRADA"},0)
  =
  MATCH(_xlfn.XLOOKUP(INDEX($B:$B, (ROW()-7)),'Relacion '!$E:$E,'Relacion '!$D:$D,""),{"01. ASIGNACION AREA";"02. MAPEO";"03. DESARROLLO";"04. VALIDA US";"05. VOBO US";"06. BW-EJECUCION";"07. VALIDACIÓN BAJAWARE";"08. CERRADA"},0),
  _xlfn.XLOOKUP(INDEX($B:$B, (ROW()-7)),'Relacion '!$E:$E,'Relacion '!#REF!,0),
  0
 )
)</f>
        <v>0</v>
      </c>
      <c r="I1674" s="241">
        <f t="shared" ca="1" si="392"/>
        <v>1</v>
      </c>
      <c r="J1674" s="241"/>
      <c r="K1674" s="241"/>
      <c r="L1674" s="238"/>
    </row>
    <row r="1675" spans="2:12" outlineLevel="1">
      <c r="B1675" s="237" t="s">
        <v>656</v>
      </c>
      <c r="C1675" s="237" t="s">
        <v>656</v>
      </c>
      <c r="D1675" s="238" t="str">
        <f>_xlfn.XLOOKUP(B1675,'Relacion '!$E:$E,'Relacion '!$D:$D,"")</f>
        <v/>
      </c>
      <c r="E1675" s="239">
        <f t="shared" si="395"/>
        <v>0</v>
      </c>
      <c r="F1675" s="240" cm="1">
        <f t="array" ref="F1675">MIN(INDEX('Relacion '!$AL$5:$AM$493,MATCH(INDEX($B:$B, (ROW()-8)),'Relacion '!$E$5:$E$493,0),0))</f>
        <v>46130</v>
      </c>
      <c r="G1675" s="240" cm="1">
        <f t="array" ref="G1675">MAX(INDEX('Relacion '!$AL$5:$AM$493,MATCH(INDEX($B:$B, (ROW()-8)),'Relacion '!$E$5:$E$493,0),0))</f>
        <v>46130</v>
      </c>
      <c r="H1675" s="241" cm="1">
        <f t="array" ref="H1675">IF(
 MATCH(B1675,{"01. ASIGNACION AREA";"02. MAPEO";"03. DESARROLLO";"04. VALIDA US";"05. VOBO US";"06. BW-EJECUCION";"07. VALIDACIÓN BAJAWARE";"08. CERRADA"},0)
 &lt;
 MATCH(_xlfn.XLOOKUP(INDEX($B:$B, (ROW()-8)),'Relacion '!$E:$E,'Relacion '!$D:$D,""),{"01. ASIGNACION AREA";"02. MAPEO";"03. DESARROLLO";"04. VALIDA US";"05. VOBO US";"06. BW-EJECUCION";"07. VALIDACIÓN BAJAWARE";"08. CERRADA"},0),
 1,
 IF(
  MATCH(B1675,{"01. ASIGNACION AREA";"02. MAPEO";"03. DESARROLLO";"04. VALIDA US";"05. VOBO US";"06. BW-EJECUCION";"07. VALIDACIÓN BAJAWARE";"08. CERRADA"},0)
  =
  MATCH(_xlfn.XLOOKUP(INDEX($B:$B, (ROW()-8)),'Relacion '!$E:$E,'Relacion '!$D:$D,""),{"01. ASIGNACION AREA";"02. MAPEO";"03. DESARROLLO";"04. VALIDA US";"05. VOBO US";"06. BW-EJECUCION";"07. VALIDACIÓN BAJAWARE";"08. CERRADA"},0),
  _xlfn.XLOOKUP(INDEX($B:$B, (ROW()-8)),'Relacion '!$E:$E,'Relacion '!#REF!,0),
  0
 )
)</f>
        <v>0</v>
      </c>
      <c r="I1675" s="241">
        <f t="shared" ca="1" si="392"/>
        <v>1</v>
      </c>
      <c r="J1675" s="241"/>
      <c r="K1675" s="241"/>
      <c r="L1675" s="238"/>
    </row>
    <row r="1676" spans="2:12">
      <c r="B1676" s="232" t="s">
        <v>621</v>
      </c>
      <c r="C1676" s="167" t="s">
        <v>622</v>
      </c>
      <c r="D1676" s="236" t="str">
        <f>_xlfn.XLOOKUP(B1676,'Relacion '!$E:$E,'Relacion '!$D:$D,"")</f>
        <v>06. BW-EJECUCION</v>
      </c>
      <c r="E1676" s="233">
        <f t="shared" si="395"/>
        <v>471</v>
      </c>
      <c r="F1676" s="234" cm="1">
        <f t="array" ref="F1676">MIN(INDEX('Relacion '!$X$5:$AM$493,MATCH(INDEX($B:$B, (ROW()-0)),'Relacion '!$E$5:$E$493,0),0))</f>
        <v>45659</v>
      </c>
      <c r="G1676" s="234" cm="1">
        <f t="array" ref="G1676">MAX(INDEX('Relacion '!$X$5:$AM$493,MATCH(INDEX($B:$B, (ROW()-0)),'Relacion '!$E$5:$E$493,0),0))</f>
        <v>46130</v>
      </c>
      <c r="H1676" s="235" t="e">
        <f>AVERAGE(H1677:H1684)</f>
        <v>#REF!</v>
      </c>
      <c r="I1676" s="235">
        <f t="shared" ref="I1676" ca="1" si="398">AVERAGE(I1677:I1684)</f>
        <v>1</v>
      </c>
      <c r="J1676" s="236" t="str">
        <f>IF(ISNUMBER(SEARCH("Rocha", _xlfn.XLOOKUP(B1676,'Relacion '!$E:$E,'Relacion '!$I:$I,""))), "Sí", "No")</f>
        <v>No</v>
      </c>
      <c r="K1676" s="236" t="str">
        <f>IF(ISNUMBER(SEARCH("Rocha", _xlfn.XLOOKUP(B1676,'Relacion '!$E:$E,'Relacion '!$I:$I,""))), "RMC", _xlfn.XLOOKUP(B1676,'Relacion '!$E:$E,'Relacion '!$B:$B,""))</f>
        <v>Producto</v>
      </c>
      <c r="L1676" s="236" t="str">
        <f>_xlfn.XLOOKUP(B1676,'Relacion '!$E:$E,'Relacion '!$C:$C,"")</f>
        <v>Claudia Barroso</v>
      </c>
    </row>
    <row r="1677" spans="2:12" outlineLevel="1">
      <c r="B1677" s="237" t="s">
        <v>654</v>
      </c>
      <c r="C1677" s="237" t="s">
        <v>654</v>
      </c>
      <c r="D1677" s="238" t="str">
        <f>_xlfn.XLOOKUP(B1677,'Relacion '!$E:$E,'Relacion '!$D:$D,"")</f>
        <v/>
      </c>
      <c r="E1677" s="239">
        <f t="shared" si="395"/>
        <v>424</v>
      </c>
      <c r="F1677" s="240" cm="1">
        <f t="array" ref="F1677">MIN(INDEX('Relacion '!$X$5:$Y$493,MATCH(INDEX($B:$B, (ROW()-1)),'Relacion '!$E$5:$E$493,0),0))</f>
        <v>45659</v>
      </c>
      <c r="G1677" s="240" cm="1">
        <f t="array" ref="G1677">MAX(INDEX('Relacion '!$X$5:$Y$493,MATCH(INDEX($B:$B, (ROW()-1)),'Relacion '!$E$5:$E$493,0),0))</f>
        <v>46083</v>
      </c>
      <c r="H1677" s="241" cm="1">
        <f t="array" ref="H1677">IF(
 MATCH(B1677,{"01. ASIGNACION AREA";"02. MAPEO";"03. DESARROLLO";"04. VALIDA US";"05. VOBO US";"06. BW-EJECUCION";"07. VALIDACIÓN BAJAWARE";"08. CERRADA"},0)
 &lt;
 MATCH(_xlfn.XLOOKUP(INDEX($B:$B, (ROW()-1)),'Relacion '!$E:$E,'Relacion '!$D:$D,""),{"01. ASIGNACION AREA";"02. MAPEO";"03. DESARROLLO";"04. VALIDA US";"05. VOBO US";"06. BW-EJECUCION";"07. VALIDACIÓN BAJAWARE";"08. CERRADA"},0),
 1,
 IF(
  MATCH(B1677,{"01. ASIGNACION AREA";"02. MAPEO";"03. DESARROLLO";"04. VALIDA US";"05. VOBO US";"06. BW-EJECUCION";"07. VALIDACIÓN BAJAWARE";"08. CERRADA"},0)
  =
  MATCH(_xlfn.XLOOKUP(INDEX($B:$B, (ROW()-1)),'Relacion '!$E:$E,'Relacion '!$D:$D,""),{"01. ASIGNACION AREA";"02. MAPEO";"03. DESARROLLO";"04. VALIDA US";"05. VOBO US";"06. BW-EJECUCION";"07. VALIDACIÓN BAJAWARE";"08. CERRADA"},0),
  _xlfn.XLOOKUP(INDEX($B:$B, (ROW()-1)),'Relacion '!$E:$E,'Relacion '!#REF!,0),
  0
 )
)</f>
        <v>1</v>
      </c>
      <c r="I1677" s="241">
        <f t="shared" ref="I1677" ca="1" si="399">IF(G1677&lt;=TODAY(), 1, 0)</f>
        <v>1</v>
      </c>
      <c r="J1677" s="241"/>
      <c r="K1677" s="241"/>
      <c r="L1677" s="238"/>
    </row>
    <row r="1678" spans="2:12" outlineLevel="1">
      <c r="B1678" s="237" t="s">
        <v>195</v>
      </c>
      <c r="C1678" s="237" t="s">
        <v>195</v>
      </c>
      <c r="D1678" s="238" t="str">
        <f>_xlfn.XLOOKUP(B1678,'Relacion '!$E:$E,'Relacion '!$D:$D,"")</f>
        <v/>
      </c>
      <c r="E1678" s="239">
        <f t="shared" si="395"/>
        <v>4</v>
      </c>
      <c r="F1678" s="240" cm="1">
        <f t="array" ref="F1678">MIN(INDEX('Relacion '!$Z$5:$AA$493,MATCH(INDEX($B:$B, (ROW()-2)),'Relacion '!$E$5:$E$493,0),0))</f>
        <v>46034</v>
      </c>
      <c r="G1678" s="240" cm="1">
        <f t="array" ref="G1678">MAX(INDEX('Relacion '!$Z$5:$AA$493,MATCH(INDEX($B:$B, (ROW()-2)),'Relacion '!$E$5:$E$493,0),0))</f>
        <v>46038</v>
      </c>
      <c r="H1678" s="241" cm="1">
        <f t="array" ref="H1678">IF(
 MATCH(B1678,{"01. ASIGNACION AREA";"02. MAPEO";"03. DESARROLLO";"04. VALIDA US";"05. VOBO US";"06. BW-EJECUCION";"07. VALIDACIÓN BAJAWARE";"08. CERRADA"},0)
 &lt;
 MATCH(_xlfn.XLOOKUP(INDEX($B:$B, (ROW()-2)),'Relacion '!$E:$E,'Relacion '!$D:$D,""),{"01. ASIGNACION AREA";"02. MAPEO";"03. DESARROLLO";"04. VALIDA US";"05. VOBO US";"06. BW-EJECUCION";"07. VALIDACIÓN BAJAWARE";"08. CERRADA"},0),
 1,
 IF(
  MATCH(B1678,{"01. ASIGNACION AREA";"02. MAPEO";"03. DESARROLLO";"04. VALIDA US";"05. VOBO US";"06. BW-EJECUCION";"07. VALIDACIÓN BAJAWARE";"08. CERRADA"},0)
  =
  MATCH(_xlfn.XLOOKUP(INDEX($B:$B, (ROW()-2)),'Relacion '!$E:$E,'Relacion '!$D:$D,""),{"01. ASIGNACION AREA";"02. MAPEO";"03. DESARROLLO";"04. VALIDA US";"05. VOBO US";"06. BW-EJECUCION";"07. VALIDACIÓN BAJAWARE";"08. CERRADA"},0),
  _xlfn.XLOOKUP(INDEX($B:$B, (ROW()-2)),'Relacion '!$E:$E,'Relacion '!#REF!,0),
  0
 )
)</f>
        <v>1</v>
      </c>
      <c r="I1678" s="241">
        <f t="shared" ca="1" si="392"/>
        <v>1</v>
      </c>
      <c r="J1678" s="241"/>
      <c r="K1678" s="241"/>
      <c r="L1678" s="238"/>
    </row>
    <row r="1679" spans="2:12" outlineLevel="1">
      <c r="B1679" s="237" t="s">
        <v>49</v>
      </c>
      <c r="C1679" s="237" t="s">
        <v>49</v>
      </c>
      <c r="D1679" s="238" t="str">
        <f>_xlfn.XLOOKUP(B1679,'Relacion '!$E:$E,'Relacion '!$D:$D,"")</f>
        <v/>
      </c>
      <c r="E1679" s="239">
        <f t="shared" si="395"/>
        <v>4</v>
      </c>
      <c r="F1679" s="240" cm="1">
        <f t="array" ref="F1679">MIN(INDEX('Relacion '!$AB$5:$AC$493,MATCH(INDEX($B:$B, (ROW()-3)),'Relacion '!$E$5:$E$493,0),0))</f>
        <v>46041</v>
      </c>
      <c r="G1679" s="240" cm="1">
        <f t="array" ref="G1679">MAX(INDEX('Relacion '!$AB$5:$AC$493,MATCH(INDEX($B:$B, (ROW()-3)),'Relacion '!$E$5:$E$493,0),0))</f>
        <v>46045</v>
      </c>
      <c r="H1679" s="241" cm="1">
        <f t="array" ref="H1679">IF(
 MATCH(B1679,{"01. ASIGNACION AREA";"02. MAPEO";"03. DESARROLLO";"04. VALIDA US";"05. VOBO US";"06. BW-EJECUCION";"07. VALIDACIÓN BAJAWARE";"08. CERRADA"},0)
 &lt;
 MATCH(_xlfn.XLOOKUP(INDEX($B:$B, (ROW()-3)),'Relacion '!$E:$E,'Relacion '!$D:$D,""),{"01. ASIGNACION AREA";"02. MAPEO";"03. DESARROLLO";"04. VALIDA US";"05. VOBO US";"06. BW-EJECUCION";"07. VALIDACIÓN BAJAWARE";"08. CERRADA"},0),
 1,
 IF(
  MATCH(B1679,{"01. ASIGNACION AREA";"02. MAPEO";"03. DESARROLLO";"04. VALIDA US";"05. VOBO US";"06. BW-EJECUCION";"07. VALIDACIÓN BAJAWARE";"08. CERRADA"},0)
  =
  MATCH(_xlfn.XLOOKUP(INDEX($B:$B, (ROW()-3)),'Relacion '!$E:$E,'Relacion '!$D:$D,""),{"01. ASIGNACION AREA";"02. MAPEO";"03. DESARROLLO";"04. VALIDA US";"05. VOBO US";"06. BW-EJECUCION";"07. VALIDACIÓN BAJAWARE";"08. CERRADA"},0),
  _xlfn.XLOOKUP(INDEX($B:$B, (ROW()-3)),'Relacion '!$E:$E,'Relacion '!#REF!,0),
  0
 )
)</f>
        <v>1</v>
      </c>
      <c r="I1679" s="241">
        <f t="shared" ca="1" si="392"/>
        <v>1</v>
      </c>
      <c r="J1679" s="241"/>
      <c r="K1679" s="241"/>
      <c r="L1679" s="238"/>
    </row>
    <row r="1680" spans="2:12" outlineLevel="1">
      <c r="B1680" s="237" t="s">
        <v>324</v>
      </c>
      <c r="C1680" s="237" t="s">
        <v>324</v>
      </c>
      <c r="D1680" s="238" t="str">
        <f>_xlfn.XLOOKUP(B1680,'Relacion '!$E:$E,'Relacion '!$D:$D,"")</f>
        <v/>
      </c>
      <c r="E1680" s="239">
        <f t="shared" si="395"/>
        <v>4</v>
      </c>
      <c r="F1680" s="240" cm="1">
        <f t="array" ref="F1680">MIN(INDEX('Relacion '!$AD$5:$AE$493,MATCH(INDEX($B:$B, (ROW()-4)),'Relacion '!$E$5:$E$493,0),0))</f>
        <v>46048</v>
      </c>
      <c r="G1680" s="240" cm="1">
        <f t="array" ref="G1680">MAX(INDEX('Relacion '!$AD$5:$AE$493,MATCH(INDEX($B:$B, (ROW()-4)),'Relacion '!$E$5:$E$493,0),0))</f>
        <v>46052</v>
      </c>
      <c r="H1680" s="241" cm="1">
        <f t="array" ref="H1680">IF(
 MATCH(B1680,{"01. ASIGNACION AREA";"02. MAPEO";"03. DESARROLLO";"04. VALIDA US";"05. VOBO US";"06. BW-EJECUCION";"07. VALIDACIÓN BAJAWARE";"08. CERRADA"},0)
 &lt;
 MATCH(_xlfn.XLOOKUP(INDEX($B:$B, (ROW()-4)),'Relacion '!$E:$E,'Relacion '!$D:$D,""),{"01. ASIGNACION AREA";"02. MAPEO";"03. DESARROLLO";"04. VALIDA US";"05. VOBO US";"06. BW-EJECUCION";"07. VALIDACIÓN BAJAWARE";"08. CERRADA"},0),
 1,
 IF(
  MATCH(B1680,{"01. ASIGNACION AREA";"02. MAPEO";"03. DESARROLLO";"04. VALIDA US";"05. VOBO US";"06. BW-EJECUCION";"07. VALIDACIÓN BAJAWARE";"08. CERRADA"},0)
  =
  MATCH(_xlfn.XLOOKUP(INDEX($B:$B, (ROW()-4)),'Relacion '!$E:$E,'Relacion '!$D:$D,""),{"01. ASIGNACION AREA";"02. MAPEO";"03. DESARROLLO";"04. VALIDA US";"05. VOBO US";"06. BW-EJECUCION";"07. VALIDACIÓN BAJAWARE";"08. CERRADA"},0),
  _xlfn.XLOOKUP(INDEX($B:$B, (ROW()-4)),'Relacion '!$E:$E,'Relacion '!#REF!,0),
  0
 )
)</f>
        <v>1</v>
      </c>
      <c r="I1680" s="241">
        <f t="shared" ca="1" si="392"/>
        <v>1</v>
      </c>
      <c r="J1680" s="241"/>
      <c r="K1680" s="241"/>
      <c r="L1680" s="238"/>
    </row>
    <row r="1681" spans="2:12" outlineLevel="1">
      <c r="B1681" s="237" t="s">
        <v>320</v>
      </c>
      <c r="C1681" s="237" t="s">
        <v>320</v>
      </c>
      <c r="D1681" s="238" t="str">
        <f>_xlfn.XLOOKUP(B1681,'Relacion '!$E:$E,'Relacion '!$D:$D,"")</f>
        <v/>
      </c>
      <c r="E1681" s="239">
        <f t="shared" si="395"/>
        <v>7</v>
      </c>
      <c r="F1681" s="240" cm="1">
        <f t="array" ref="F1681">MIN(INDEX('Relacion '!$AF$5:$AG$493,MATCH(INDEX($B:$B, (ROW()-5)),'Relacion '!$E$5:$E$493,0),0))</f>
        <v>46055</v>
      </c>
      <c r="G1681" s="240" cm="1">
        <f t="array" ref="G1681">MAX(INDEX('Relacion '!$AF$5:$AG$493,MATCH(INDEX($B:$B, (ROW()-5)),'Relacion '!$E$5:$E$493,0),0))</f>
        <v>46062</v>
      </c>
      <c r="H1681" s="241" cm="1">
        <f t="array" ref="H1681">IF(
 MATCH(B1681,{"01. ASIGNACION AREA";"02. MAPEO";"03. DESARROLLO";"04. VALIDA US";"05. VOBO US";"06. BW-EJECUCION";"07. VALIDACIÓN BAJAWARE";"08. CERRADA"},0)
 &lt;
 MATCH(_xlfn.XLOOKUP(INDEX($B:$B, (ROW()-5)),'Relacion '!$E:$E,'Relacion '!$D:$D,""),{"01. ASIGNACION AREA";"02. MAPEO";"03. DESARROLLO";"04. VALIDA US";"05. VOBO US";"06. BW-EJECUCION";"07. VALIDACIÓN BAJAWARE";"08. CERRADA"},0),
 1,
 IF(
  MATCH(B1681,{"01. ASIGNACION AREA";"02. MAPEO";"03. DESARROLLO";"04. VALIDA US";"05. VOBO US";"06. BW-EJECUCION";"07. VALIDACIÓN BAJAWARE";"08. CERRADA"},0)
  =
  MATCH(_xlfn.XLOOKUP(INDEX($B:$B, (ROW()-5)),'Relacion '!$E:$E,'Relacion '!$D:$D,""),{"01. ASIGNACION AREA";"02. MAPEO";"03. DESARROLLO";"04. VALIDA US";"05. VOBO US";"06. BW-EJECUCION";"07. VALIDACIÓN BAJAWARE";"08. CERRADA"},0),
  _xlfn.XLOOKUP(INDEX($B:$B, (ROW()-5)),'Relacion '!$E:$E,'Relacion '!#REF!,0),
  0
 )
)</f>
        <v>1</v>
      </c>
      <c r="I1681" s="241">
        <f t="shared" ca="1" si="392"/>
        <v>1</v>
      </c>
      <c r="J1681" s="241"/>
      <c r="K1681" s="241"/>
      <c r="L1681" s="238"/>
    </row>
    <row r="1682" spans="2:12" outlineLevel="1">
      <c r="B1682" s="237" t="s">
        <v>710</v>
      </c>
      <c r="C1682" s="237" t="s">
        <v>710</v>
      </c>
      <c r="D1682" s="238" t="str">
        <f>_xlfn.XLOOKUP(B1682,'Relacion '!$E:$E,'Relacion '!$D:$D,"")</f>
        <v/>
      </c>
      <c r="E1682" s="239">
        <f t="shared" si="395"/>
        <v>25</v>
      </c>
      <c r="F1682" s="240" cm="1">
        <f t="array" ref="F1682">MIN(INDEX('Relacion '!$AH$5:$AI$493,MATCH(INDEX($B:$B, (ROW()-6)),'Relacion '!$E$5:$E$493,0),0))</f>
        <v>46076</v>
      </c>
      <c r="G1682" s="240" cm="1">
        <f t="array" ref="G1682">MAX(INDEX('Relacion '!$AH$5:$AI$493,MATCH(INDEX($B:$B, (ROW()-6)),'Relacion '!$E$5:$E$493,0),0))</f>
        <v>46101</v>
      </c>
      <c r="H1682" s="241" t="e" cm="1">
        <f t="array" ref="H1682">IF(
 MATCH(B1682,{"01. ASIGNACION AREA";"02. MAPEO";"03. DESARROLLO";"04. VALIDA US";"05. VOBO US";"06. BW-EJECUCION";"07. VALIDACIÓN BAJAWARE";"08. CERRADA"},0)
 &lt;
 MATCH(_xlfn.XLOOKUP(INDEX($B:$B, (ROW()-6)),'Relacion '!$E:$E,'Relacion '!$D:$D,""),{"01. ASIGNACION AREA";"02. MAPEO";"03. DESARROLLO";"04. VALIDA US";"05. VOBO US";"06. BW-EJECUCION";"07. VALIDACIÓN BAJAWARE";"08. CERRADA"},0),
 1,
 IF(
  MATCH(B1682,{"01. ASIGNACION AREA";"02. MAPEO";"03. DESARROLLO";"04. VALIDA US";"05. VOBO US";"06. BW-EJECUCION";"07. VALIDACIÓN BAJAWARE";"08. CERRADA"},0)
  =
  MATCH(_xlfn.XLOOKUP(INDEX($B:$B, (ROW()-6)),'Relacion '!$E:$E,'Relacion '!$D:$D,""),{"01. ASIGNACION AREA";"02. MAPEO";"03. DESARROLLO";"04. VALIDA US";"05. VOBO US";"06. BW-EJECUCION";"07. VALIDACIÓN BAJAWARE";"08. CERRADA"},0),
  _xlfn.XLOOKUP(INDEX($B:$B, (ROW()-6)),'Relacion '!$E:$E,'Relacion '!#REF!,0),
  0
 )
)</f>
        <v>#REF!</v>
      </c>
      <c r="I1682" s="241">
        <f t="shared" ca="1" si="392"/>
        <v>1</v>
      </c>
      <c r="J1682" s="241"/>
      <c r="K1682" s="241"/>
      <c r="L1682" s="238"/>
    </row>
    <row r="1683" spans="2:12" outlineLevel="1">
      <c r="B1683" s="237" t="s">
        <v>655</v>
      </c>
      <c r="C1683" s="237" t="s">
        <v>655</v>
      </c>
      <c r="D1683" s="238" t="str">
        <f>_xlfn.XLOOKUP(B1683,'Relacion '!$E:$E,'Relacion '!$D:$D,"")</f>
        <v/>
      </c>
      <c r="E1683" s="239">
        <f t="shared" si="395"/>
        <v>25</v>
      </c>
      <c r="F1683" s="240" cm="1">
        <f t="array" ref="F1683">MIN(INDEX('Relacion '!$AJ$5:$AK$493,MATCH(INDEX($B:$B, (ROW()-7)),'Relacion '!$E$5:$E$493,0),0))</f>
        <v>46104</v>
      </c>
      <c r="G1683" s="240" cm="1">
        <f t="array" ref="G1683">MAX(INDEX('Relacion '!$AJ$5:$AK$493,MATCH(INDEX($B:$B, (ROW()-7)),'Relacion '!$E$5:$E$493,0),0))</f>
        <v>46129</v>
      </c>
      <c r="H1683" s="241" cm="1">
        <f t="array" ref="H1683">IF(
 MATCH(B1683,{"01. ASIGNACION AREA";"02. MAPEO";"03. DESARROLLO";"04. VALIDA US";"05. VOBO US";"06. BW-EJECUCION";"07. VALIDACIÓN BAJAWARE";"08. CERRADA"},0)
 &lt;
 MATCH(_xlfn.XLOOKUP(INDEX($B:$B, (ROW()-7)),'Relacion '!$E:$E,'Relacion '!$D:$D,""),{"01. ASIGNACION AREA";"02. MAPEO";"03. DESARROLLO";"04. VALIDA US";"05. VOBO US";"06. BW-EJECUCION";"07. VALIDACIÓN BAJAWARE";"08. CERRADA"},0),
 1,
 IF(
  MATCH(B1683,{"01. ASIGNACION AREA";"02. MAPEO";"03. DESARROLLO";"04. VALIDA US";"05. VOBO US";"06. BW-EJECUCION";"07. VALIDACIÓN BAJAWARE";"08. CERRADA"},0)
  =
  MATCH(_xlfn.XLOOKUP(INDEX($B:$B, (ROW()-7)),'Relacion '!$E:$E,'Relacion '!$D:$D,""),{"01. ASIGNACION AREA";"02. MAPEO";"03. DESARROLLO";"04. VALIDA US";"05. VOBO US";"06. BW-EJECUCION";"07. VALIDACIÓN BAJAWARE";"08. CERRADA"},0),
  _xlfn.XLOOKUP(INDEX($B:$B, (ROW()-7)),'Relacion '!$E:$E,'Relacion '!#REF!,0),
  0
 )
)</f>
        <v>0</v>
      </c>
      <c r="I1683" s="241">
        <f t="shared" ca="1" si="392"/>
        <v>1</v>
      </c>
      <c r="J1683" s="241"/>
      <c r="K1683" s="241"/>
      <c r="L1683" s="238"/>
    </row>
    <row r="1684" spans="2:12" outlineLevel="1">
      <c r="B1684" s="237" t="s">
        <v>656</v>
      </c>
      <c r="C1684" s="237" t="s">
        <v>656</v>
      </c>
      <c r="D1684" s="238" t="str">
        <f>_xlfn.XLOOKUP(B1684,'Relacion '!$E:$E,'Relacion '!$D:$D,"")</f>
        <v/>
      </c>
      <c r="E1684" s="239">
        <f t="shared" si="395"/>
        <v>0</v>
      </c>
      <c r="F1684" s="240" cm="1">
        <f t="array" ref="F1684">MIN(INDEX('Relacion '!$AL$5:$AM$493,MATCH(INDEX($B:$B, (ROW()-8)),'Relacion '!$E$5:$E$493,0),0))</f>
        <v>46130</v>
      </c>
      <c r="G1684" s="240" cm="1">
        <f t="array" ref="G1684">MAX(INDEX('Relacion '!$AL$5:$AM$493,MATCH(INDEX($B:$B, (ROW()-8)),'Relacion '!$E$5:$E$493,0),0))</f>
        <v>46130</v>
      </c>
      <c r="H1684" s="241" cm="1">
        <f t="array" ref="H1684">IF(
 MATCH(B1684,{"01. ASIGNACION AREA";"02. MAPEO";"03. DESARROLLO";"04. VALIDA US";"05. VOBO US";"06. BW-EJECUCION";"07. VALIDACIÓN BAJAWARE";"08. CERRADA"},0)
 &lt;
 MATCH(_xlfn.XLOOKUP(INDEX($B:$B, (ROW()-8)),'Relacion '!$E:$E,'Relacion '!$D:$D,""),{"01. ASIGNACION AREA";"02. MAPEO";"03. DESARROLLO";"04. VALIDA US";"05. VOBO US";"06. BW-EJECUCION";"07. VALIDACIÓN BAJAWARE";"08. CERRADA"},0),
 1,
 IF(
  MATCH(B1684,{"01. ASIGNACION AREA";"02. MAPEO";"03. DESARROLLO";"04. VALIDA US";"05. VOBO US";"06. BW-EJECUCION";"07. VALIDACIÓN BAJAWARE";"08. CERRADA"},0)
  =
  MATCH(_xlfn.XLOOKUP(INDEX($B:$B, (ROW()-8)),'Relacion '!$E:$E,'Relacion '!$D:$D,""),{"01. ASIGNACION AREA";"02. MAPEO";"03. DESARROLLO";"04. VALIDA US";"05. VOBO US";"06. BW-EJECUCION";"07. VALIDACIÓN BAJAWARE";"08. CERRADA"},0),
  _xlfn.XLOOKUP(INDEX($B:$B, (ROW()-8)),'Relacion '!$E:$E,'Relacion '!#REF!,0),
  0
 )
)</f>
        <v>0</v>
      </c>
      <c r="I1684" s="241">
        <f t="shared" ca="1" si="392"/>
        <v>1</v>
      </c>
      <c r="J1684" s="241"/>
      <c r="K1684" s="241"/>
      <c r="L1684" s="238"/>
    </row>
    <row r="1685" spans="2:12">
      <c r="B1685" s="232" t="s">
        <v>623</v>
      </c>
      <c r="C1685" s="167" t="s">
        <v>624</v>
      </c>
      <c r="D1685" s="236" t="str">
        <f>_xlfn.XLOOKUP(B1685,'Relacion '!$E:$E,'Relacion '!$D:$D,"")</f>
        <v>06. BW-EJECUCION</v>
      </c>
      <c r="E1685" s="233">
        <f t="shared" si="395"/>
        <v>471</v>
      </c>
      <c r="F1685" s="234" cm="1">
        <f t="array" ref="F1685">MIN(INDEX('Relacion '!$X$5:$AM$493,MATCH(INDEX($B:$B, (ROW()-0)),'Relacion '!$E$5:$E$493,0),0))</f>
        <v>45659</v>
      </c>
      <c r="G1685" s="234" cm="1">
        <f t="array" ref="G1685">MAX(INDEX('Relacion '!$X$5:$AM$493,MATCH(INDEX($B:$B, (ROW()-0)),'Relacion '!$E$5:$E$493,0),0))</f>
        <v>46130</v>
      </c>
      <c r="H1685" s="235" t="e">
        <f>AVERAGE(H1686:H1693)</f>
        <v>#REF!</v>
      </c>
      <c r="I1685" s="235">
        <f t="shared" ref="I1685" ca="1" si="400">AVERAGE(I1686:I1693)</f>
        <v>1</v>
      </c>
      <c r="J1685" s="236" t="str">
        <f>IF(ISNUMBER(SEARCH("Rocha", _xlfn.XLOOKUP(B1685,'Relacion '!$E:$E,'Relacion '!$I:$I,""))), "Sí", "No")</f>
        <v>No</v>
      </c>
      <c r="K1685" s="236" t="str">
        <f>IF(ISNUMBER(SEARCH("Rocha", _xlfn.XLOOKUP(B1685,'Relacion '!$E:$E,'Relacion '!$I:$I,""))), "RMC", _xlfn.XLOOKUP(B1685,'Relacion '!$E:$E,'Relacion '!$B:$B,""))</f>
        <v>Producto</v>
      </c>
      <c r="L1685" s="236" t="str">
        <f>_xlfn.XLOOKUP(B1685,'Relacion '!$E:$E,'Relacion '!$C:$C,"")</f>
        <v>Claudia Barroso</v>
      </c>
    </row>
    <row r="1686" spans="2:12" outlineLevel="1">
      <c r="B1686" s="237" t="s">
        <v>654</v>
      </c>
      <c r="C1686" s="237" t="s">
        <v>654</v>
      </c>
      <c r="D1686" s="238" t="str">
        <f>_xlfn.XLOOKUP(B1686,'Relacion '!$E:$E,'Relacion '!$D:$D,"")</f>
        <v/>
      </c>
      <c r="E1686" s="239">
        <f t="shared" si="395"/>
        <v>424</v>
      </c>
      <c r="F1686" s="240" cm="1">
        <f t="array" ref="F1686">MIN(INDEX('Relacion '!$X$5:$Y$493,MATCH(INDEX($B:$B, (ROW()-1)),'Relacion '!$E$5:$E$493,0),0))</f>
        <v>45659</v>
      </c>
      <c r="G1686" s="240" cm="1">
        <f t="array" ref="G1686">MAX(INDEX('Relacion '!$X$5:$Y$493,MATCH(INDEX($B:$B, (ROW()-1)),'Relacion '!$E$5:$E$493,0),0))</f>
        <v>46083</v>
      </c>
      <c r="H1686" s="241" cm="1">
        <f t="array" ref="H1686">IF(
 MATCH(B1686,{"01. ASIGNACION AREA";"02. MAPEO";"03. DESARROLLO";"04. VALIDA US";"05. VOBO US";"06. BW-EJECUCION";"07. VALIDACIÓN BAJAWARE";"08. CERRADA"},0)
 &lt;
 MATCH(_xlfn.XLOOKUP(INDEX($B:$B, (ROW()-1)),'Relacion '!$E:$E,'Relacion '!$D:$D,""),{"01. ASIGNACION AREA";"02. MAPEO";"03. DESARROLLO";"04. VALIDA US";"05. VOBO US";"06. BW-EJECUCION";"07. VALIDACIÓN BAJAWARE";"08. CERRADA"},0),
 1,
 IF(
  MATCH(B1686,{"01. ASIGNACION AREA";"02. MAPEO";"03. DESARROLLO";"04. VALIDA US";"05. VOBO US";"06. BW-EJECUCION";"07. VALIDACIÓN BAJAWARE";"08. CERRADA"},0)
  =
  MATCH(_xlfn.XLOOKUP(INDEX($B:$B, (ROW()-1)),'Relacion '!$E:$E,'Relacion '!$D:$D,""),{"01. ASIGNACION AREA";"02. MAPEO";"03. DESARROLLO";"04. VALIDA US";"05. VOBO US";"06. BW-EJECUCION";"07. VALIDACIÓN BAJAWARE";"08. CERRADA"},0),
  _xlfn.XLOOKUP(INDEX($B:$B, (ROW()-1)),'Relacion '!$E:$E,'Relacion '!#REF!,0),
  0
 )
)</f>
        <v>1</v>
      </c>
      <c r="I1686" s="241">
        <f t="shared" ref="I1686" ca="1" si="401">IF(G1686&lt;=TODAY(), 1, 0)</f>
        <v>1</v>
      </c>
      <c r="J1686" s="241"/>
      <c r="K1686" s="241"/>
      <c r="L1686" s="238"/>
    </row>
    <row r="1687" spans="2:12" outlineLevel="1">
      <c r="B1687" s="237" t="s">
        <v>195</v>
      </c>
      <c r="C1687" s="237" t="s">
        <v>195</v>
      </c>
      <c r="D1687" s="238" t="str">
        <f>_xlfn.XLOOKUP(B1687,'Relacion '!$E:$E,'Relacion '!$D:$D,"")</f>
        <v/>
      </c>
      <c r="E1687" s="239">
        <f t="shared" si="395"/>
        <v>4</v>
      </c>
      <c r="F1687" s="240" cm="1">
        <f t="array" ref="F1687">MIN(INDEX('Relacion '!$Z$5:$AA$493,MATCH(INDEX($B:$B, (ROW()-2)),'Relacion '!$E$5:$E$493,0),0))</f>
        <v>46034</v>
      </c>
      <c r="G1687" s="240" cm="1">
        <f t="array" ref="G1687">MAX(INDEX('Relacion '!$Z$5:$AA$493,MATCH(INDEX($B:$B, (ROW()-2)),'Relacion '!$E$5:$E$493,0),0))</f>
        <v>46038</v>
      </c>
      <c r="H1687" s="241" cm="1">
        <f t="array" ref="H1687">IF(
 MATCH(B1687,{"01. ASIGNACION AREA";"02. MAPEO";"03. DESARROLLO";"04. VALIDA US";"05. VOBO US";"06. BW-EJECUCION";"07. VALIDACIÓN BAJAWARE";"08. CERRADA"},0)
 &lt;
 MATCH(_xlfn.XLOOKUP(INDEX($B:$B, (ROW()-2)),'Relacion '!$E:$E,'Relacion '!$D:$D,""),{"01. ASIGNACION AREA";"02. MAPEO";"03. DESARROLLO";"04. VALIDA US";"05. VOBO US";"06. BW-EJECUCION";"07. VALIDACIÓN BAJAWARE";"08. CERRADA"},0),
 1,
 IF(
  MATCH(B1687,{"01. ASIGNACION AREA";"02. MAPEO";"03. DESARROLLO";"04. VALIDA US";"05. VOBO US";"06. BW-EJECUCION";"07. VALIDACIÓN BAJAWARE";"08. CERRADA"},0)
  =
  MATCH(_xlfn.XLOOKUP(INDEX($B:$B, (ROW()-2)),'Relacion '!$E:$E,'Relacion '!$D:$D,""),{"01. ASIGNACION AREA";"02. MAPEO";"03. DESARROLLO";"04. VALIDA US";"05. VOBO US";"06. BW-EJECUCION";"07. VALIDACIÓN BAJAWARE";"08. CERRADA"},0),
  _xlfn.XLOOKUP(INDEX($B:$B, (ROW()-2)),'Relacion '!$E:$E,'Relacion '!#REF!,0),
  0
 )
)</f>
        <v>1</v>
      </c>
      <c r="I1687" s="241">
        <f t="shared" ca="1" si="392"/>
        <v>1</v>
      </c>
      <c r="J1687" s="241"/>
      <c r="K1687" s="241"/>
      <c r="L1687" s="238"/>
    </row>
    <row r="1688" spans="2:12" outlineLevel="1">
      <c r="B1688" s="237" t="s">
        <v>49</v>
      </c>
      <c r="C1688" s="237" t="s">
        <v>49</v>
      </c>
      <c r="D1688" s="238" t="str">
        <f>_xlfn.XLOOKUP(B1688,'Relacion '!$E:$E,'Relacion '!$D:$D,"")</f>
        <v/>
      </c>
      <c r="E1688" s="239">
        <f t="shared" si="395"/>
        <v>4</v>
      </c>
      <c r="F1688" s="240" cm="1">
        <f t="array" ref="F1688">MIN(INDEX('Relacion '!$AB$5:$AC$493,MATCH(INDEX($B:$B, (ROW()-3)),'Relacion '!$E$5:$E$493,0),0))</f>
        <v>46041</v>
      </c>
      <c r="G1688" s="240" cm="1">
        <f t="array" ref="G1688">MAX(INDEX('Relacion '!$AB$5:$AC$493,MATCH(INDEX($B:$B, (ROW()-3)),'Relacion '!$E$5:$E$493,0),0))</f>
        <v>46045</v>
      </c>
      <c r="H1688" s="241" cm="1">
        <f t="array" ref="H1688">IF(
 MATCH(B1688,{"01. ASIGNACION AREA";"02. MAPEO";"03. DESARROLLO";"04. VALIDA US";"05. VOBO US";"06. BW-EJECUCION";"07. VALIDACIÓN BAJAWARE";"08. CERRADA"},0)
 &lt;
 MATCH(_xlfn.XLOOKUP(INDEX($B:$B, (ROW()-3)),'Relacion '!$E:$E,'Relacion '!$D:$D,""),{"01. ASIGNACION AREA";"02. MAPEO";"03. DESARROLLO";"04. VALIDA US";"05. VOBO US";"06. BW-EJECUCION";"07. VALIDACIÓN BAJAWARE";"08. CERRADA"},0),
 1,
 IF(
  MATCH(B1688,{"01. ASIGNACION AREA";"02. MAPEO";"03. DESARROLLO";"04. VALIDA US";"05. VOBO US";"06. BW-EJECUCION";"07. VALIDACIÓN BAJAWARE";"08. CERRADA"},0)
  =
  MATCH(_xlfn.XLOOKUP(INDEX($B:$B, (ROW()-3)),'Relacion '!$E:$E,'Relacion '!$D:$D,""),{"01. ASIGNACION AREA";"02. MAPEO";"03. DESARROLLO";"04. VALIDA US";"05. VOBO US";"06. BW-EJECUCION";"07. VALIDACIÓN BAJAWARE";"08. CERRADA"},0),
  _xlfn.XLOOKUP(INDEX($B:$B, (ROW()-3)),'Relacion '!$E:$E,'Relacion '!#REF!,0),
  0
 )
)</f>
        <v>1</v>
      </c>
      <c r="I1688" s="241">
        <f t="shared" ca="1" si="392"/>
        <v>1</v>
      </c>
      <c r="J1688" s="241"/>
      <c r="K1688" s="241"/>
      <c r="L1688" s="238"/>
    </row>
    <row r="1689" spans="2:12" outlineLevel="1">
      <c r="B1689" s="237" t="s">
        <v>324</v>
      </c>
      <c r="C1689" s="237" t="s">
        <v>324</v>
      </c>
      <c r="D1689" s="238" t="str">
        <f>_xlfn.XLOOKUP(B1689,'Relacion '!$E:$E,'Relacion '!$D:$D,"")</f>
        <v/>
      </c>
      <c r="E1689" s="239">
        <f t="shared" si="395"/>
        <v>4</v>
      </c>
      <c r="F1689" s="240" cm="1">
        <f t="array" ref="F1689">MIN(INDEX('Relacion '!$AD$5:$AE$493,MATCH(INDEX($B:$B, (ROW()-4)),'Relacion '!$E$5:$E$493,0),0))</f>
        <v>46048</v>
      </c>
      <c r="G1689" s="240" cm="1">
        <f t="array" ref="G1689">MAX(INDEX('Relacion '!$AD$5:$AE$493,MATCH(INDEX($B:$B, (ROW()-4)),'Relacion '!$E$5:$E$493,0),0))</f>
        <v>46052</v>
      </c>
      <c r="H1689" s="241" cm="1">
        <f t="array" ref="H1689">IF(
 MATCH(B1689,{"01. ASIGNACION AREA";"02. MAPEO";"03. DESARROLLO";"04. VALIDA US";"05. VOBO US";"06. BW-EJECUCION";"07. VALIDACIÓN BAJAWARE";"08. CERRADA"},0)
 &lt;
 MATCH(_xlfn.XLOOKUP(INDEX($B:$B, (ROW()-4)),'Relacion '!$E:$E,'Relacion '!$D:$D,""),{"01. ASIGNACION AREA";"02. MAPEO";"03. DESARROLLO";"04. VALIDA US";"05. VOBO US";"06. BW-EJECUCION";"07. VALIDACIÓN BAJAWARE";"08. CERRADA"},0),
 1,
 IF(
  MATCH(B1689,{"01. ASIGNACION AREA";"02. MAPEO";"03. DESARROLLO";"04. VALIDA US";"05. VOBO US";"06. BW-EJECUCION";"07. VALIDACIÓN BAJAWARE";"08. CERRADA"},0)
  =
  MATCH(_xlfn.XLOOKUP(INDEX($B:$B, (ROW()-4)),'Relacion '!$E:$E,'Relacion '!$D:$D,""),{"01. ASIGNACION AREA";"02. MAPEO";"03. DESARROLLO";"04. VALIDA US";"05. VOBO US";"06. BW-EJECUCION";"07. VALIDACIÓN BAJAWARE";"08. CERRADA"},0),
  _xlfn.XLOOKUP(INDEX($B:$B, (ROW()-4)),'Relacion '!$E:$E,'Relacion '!#REF!,0),
  0
 )
)</f>
        <v>1</v>
      </c>
      <c r="I1689" s="241">
        <f t="shared" ca="1" si="392"/>
        <v>1</v>
      </c>
      <c r="J1689" s="241"/>
      <c r="K1689" s="241"/>
      <c r="L1689" s="238"/>
    </row>
    <row r="1690" spans="2:12" outlineLevel="1">
      <c r="B1690" s="237" t="s">
        <v>320</v>
      </c>
      <c r="C1690" s="237" t="s">
        <v>320</v>
      </c>
      <c r="D1690" s="238" t="str">
        <f>_xlfn.XLOOKUP(B1690,'Relacion '!$E:$E,'Relacion '!$D:$D,"")</f>
        <v/>
      </c>
      <c r="E1690" s="239">
        <f t="shared" si="395"/>
        <v>7</v>
      </c>
      <c r="F1690" s="240" cm="1">
        <f t="array" ref="F1690">MIN(INDEX('Relacion '!$AF$5:$AG$493,MATCH(INDEX($B:$B, (ROW()-5)),'Relacion '!$E$5:$E$493,0),0))</f>
        <v>46055</v>
      </c>
      <c r="G1690" s="240" cm="1">
        <f t="array" ref="G1690">MAX(INDEX('Relacion '!$AF$5:$AG$493,MATCH(INDEX($B:$B, (ROW()-5)),'Relacion '!$E$5:$E$493,0),0))</f>
        <v>46062</v>
      </c>
      <c r="H1690" s="241" cm="1">
        <f t="array" ref="H1690">IF(
 MATCH(B1690,{"01. ASIGNACION AREA";"02. MAPEO";"03. DESARROLLO";"04. VALIDA US";"05. VOBO US";"06. BW-EJECUCION";"07. VALIDACIÓN BAJAWARE";"08. CERRADA"},0)
 &lt;
 MATCH(_xlfn.XLOOKUP(INDEX($B:$B, (ROW()-5)),'Relacion '!$E:$E,'Relacion '!$D:$D,""),{"01. ASIGNACION AREA";"02. MAPEO";"03. DESARROLLO";"04. VALIDA US";"05. VOBO US";"06. BW-EJECUCION";"07. VALIDACIÓN BAJAWARE";"08. CERRADA"},0),
 1,
 IF(
  MATCH(B1690,{"01. ASIGNACION AREA";"02. MAPEO";"03. DESARROLLO";"04. VALIDA US";"05. VOBO US";"06. BW-EJECUCION";"07. VALIDACIÓN BAJAWARE";"08. CERRADA"},0)
  =
  MATCH(_xlfn.XLOOKUP(INDEX($B:$B, (ROW()-5)),'Relacion '!$E:$E,'Relacion '!$D:$D,""),{"01. ASIGNACION AREA";"02. MAPEO";"03. DESARROLLO";"04. VALIDA US";"05. VOBO US";"06. BW-EJECUCION";"07. VALIDACIÓN BAJAWARE";"08. CERRADA"},0),
  _xlfn.XLOOKUP(INDEX($B:$B, (ROW()-5)),'Relacion '!$E:$E,'Relacion '!#REF!,0),
  0
 )
)</f>
        <v>1</v>
      </c>
      <c r="I1690" s="241">
        <f t="shared" ca="1" si="392"/>
        <v>1</v>
      </c>
      <c r="J1690" s="241"/>
      <c r="K1690" s="241"/>
      <c r="L1690" s="238"/>
    </row>
    <row r="1691" spans="2:12" outlineLevel="1">
      <c r="B1691" s="237" t="s">
        <v>710</v>
      </c>
      <c r="C1691" s="237" t="s">
        <v>710</v>
      </c>
      <c r="D1691" s="238" t="str">
        <f>_xlfn.XLOOKUP(B1691,'Relacion '!$E:$E,'Relacion '!$D:$D,"")</f>
        <v/>
      </c>
      <c r="E1691" s="239">
        <f t="shared" si="395"/>
        <v>25</v>
      </c>
      <c r="F1691" s="240" cm="1">
        <f t="array" ref="F1691">MIN(INDEX('Relacion '!$AH$5:$AI$493,MATCH(INDEX($B:$B, (ROW()-6)),'Relacion '!$E$5:$E$493,0),0))</f>
        <v>46076</v>
      </c>
      <c r="G1691" s="240" cm="1">
        <f t="array" ref="G1691">MAX(INDEX('Relacion '!$AH$5:$AI$493,MATCH(INDEX($B:$B, (ROW()-6)),'Relacion '!$E$5:$E$493,0),0))</f>
        <v>46101</v>
      </c>
      <c r="H1691" s="241" t="e" cm="1">
        <f t="array" ref="H1691">IF(
 MATCH(B1691,{"01. ASIGNACION AREA";"02. MAPEO";"03. DESARROLLO";"04. VALIDA US";"05. VOBO US";"06. BW-EJECUCION";"07. VALIDACIÓN BAJAWARE";"08. CERRADA"},0)
 &lt;
 MATCH(_xlfn.XLOOKUP(INDEX($B:$B, (ROW()-6)),'Relacion '!$E:$E,'Relacion '!$D:$D,""),{"01. ASIGNACION AREA";"02. MAPEO";"03. DESARROLLO";"04. VALIDA US";"05. VOBO US";"06. BW-EJECUCION";"07. VALIDACIÓN BAJAWARE";"08. CERRADA"},0),
 1,
 IF(
  MATCH(B1691,{"01. ASIGNACION AREA";"02. MAPEO";"03. DESARROLLO";"04. VALIDA US";"05. VOBO US";"06. BW-EJECUCION";"07. VALIDACIÓN BAJAWARE";"08. CERRADA"},0)
  =
  MATCH(_xlfn.XLOOKUP(INDEX($B:$B, (ROW()-6)),'Relacion '!$E:$E,'Relacion '!$D:$D,""),{"01. ASIGNACION AREA";"02. MAPEO";"03. DESARROLLO";"04. VALIDA US";"05. VOBO US";"06. BW-EJECUCION";"07. VALIDACIÓN BAJAWARE";"08. CERRADA"},0),
  _xlfn.XLOOKUP(INDEX($B:$B, (ROW()-6)),'Relacion '!$E:$E,'Relacion '!#REF!,0),
  0
 )
)</f>
        <v>#REF!</v>
      </c>
      <c r="I1691" s="241">
        <f t="shared" ca="1" si="392"/>
        <v>1</v>
      </c>
      <c r="J1691" s="241"/>
      <c r="K1691" s="241"/>
      <c r="L1691" s="238"/>
    </row>
    <row r="1692" spans="2:12" outlineLevel="1">
      <c r="B1692" s="237" t="s">
        <v>655</v>
      </c>
      <c r="C1692" s="237" t="s">
        <v>655</v>
      </c>
      <c r="D1692" s="238" t="str">
        <f>_xlfn.XLOOKUP(B1692,'Relacion '!$E:$E,'Relacion '!$D:$D,"")</f>
        <v/>
      </c>
      <c r="E1692" s="239">
        <f t="shared" si="395"/>
        <v>25</v>
      </c>
      <c r="F1692" s="240" cm="1">
        <f t="array" ref="F1692">MIN(INDEX('Relacion '!$AJ$5:$AK$493,MATCH(INDEX($B:$B, (ROW()-7)),'Relacion '!$E$5:$E$493,0),0))</f>
        <v>46104</v>
      </c>
      <c r="G1692" s="240" cm="1">
        <f t="array" ref="G1692">MAX(INDEX('Relacion '!$AJ$5:$AK$493,MATCH(INDEX($B:$B, (ROW()-7)),'Relacion '!$E$5:$E$493,0),0))</f>
        <v>46129</v>
      </c>
      <c r="H1692" s="241" cm="1">
        <f t="array" ref="H1692">IF(
 MATCH(B1692,{"01. ASIGNACION AREA";"02. MAPEO";"03. DESARROLLO";"04. VALIDA US";"05. VOBO US";"06. BW-EJECUCION";"07. VALIDACIÓN BAJAWARE";"08. CERRADA"},0)
 &lt;
 MATCH(_xlfn.XLOOKUP(INDEX($B:$B, (ROW()-7)),'Relacion '!$E:$E,'Relacion '!$D:$D,""),{"01. ASIGNACION AREA";"02. MAPEO";"03. DESARROLLO";"04. VALIDA US";"05. VOBO US";"06. BW-EJECUCION";"07. VALIDACIÓN BAJAWARE";"08. CERRADA"},0),
 1,
 IF(
  MATCH(B1692,{"01. ASIGNACION AREA";"02. MAPEO";"03. DESARROLLO";"04. VALIDA US";"05. VOBO US";"06. BW-EJECUCION";"07. VALIDACIÓN BAJAWARE";"08. CERRADA"},0)
  =
  MATCH(_xlfn.XLOOKUP(INDEX($B:$B, (ROW()-7)),'Relacion '!$E:$E,'Relacion '!$D:$D,""),{"01. ASIGNACION AREA";"02. MAPEO";"03. DESARROLLO";"04. VALIDA US";"05. VOBO US";"06. BW-EJECUCION";"07. VALIDACIÓN BAJAWARE";"08. CERRADA"},0),
  _xlfn.XLOOKUP(INDEX($B:$B, (ROW()-7)),'Relacion '!$E:$E,'Relacion '!#REF!,0),
  0
 )
)</f>
        <v>0</v>
      </c>
      <c r="I1692" s="241">
        <f t="shared" ca="1" si="392"/>
        <v>1</v>
      </c>
      <c r="J1692" s="241"/>
      <c r="K1692" s="241"/>
      <c r="L1692" s="238"/>
    </row>
    <row r="1693" spans="2:12" outlineLevel="1">
      <c r="B1693" s="237" t="s">
        <v>656</v>
      </c>
      <c r="C1693" s="237" t="s">
        <v>656</v>
      </c>
      <c r="D1693" s="238" t="str">
        <f>_xlfn.XLOOKUP(B1693,'Relacion '!$E:$E,'Relacion '!$D:$D,"")</f>
        <v/>
      </c>
      <c r="E1693" s="239">
        <f t="shared" si="395"/>
        <v>0</v>
      </c>
      <c r="F1693" s="240" cm="1">
        <f t="array" ref="F1693">MIN(INDEX('Relacion '!$AL$5:$AM$493,MATCH(INDEX($B:$B, (ROW()-8)),'Relacion '!$E$5:$E$493,0),0))</f>
        <v>46130</v>
      </c>
      <c r="G1693" s="240" cm="1">
        <f t="array" ref="G1693">MAX(INDEX('Relacion '!$AL$5:$AM$493,MATCH(INDEX($B:$B, (ROW()-8)),'Relacion '!$E$5:$E$493,0),0))</f>
        <v>46130</v>
      </c>
      <c r="H1693" s="241" cm="1">
        <f t="array" ref="H1693">IF(
 MATCH(B1693,{"01. ASIGNACION AREA";"02. MAPEO";"03. DESARROLLO";"04. VALIDA US";"05. VOBO US";"06. BW-EJECUCION";"07. VALIDACIÓN BAJAWARE";"08. CERRADA"},0)
 &lt;
 MATCH(_xlfn.XLOOKUP(INDEX($B:$B, (ROW()-8)),'Relacion '!$E:$E,'Relacion '!$D:$D,""),{"01. ASIGNACION AREA";"02. MAPEO";"03. DESARROLLO";"04. VALIDA US";"05. VOBO US";"06. BW-EJECUCION";"07. VALIDACIÓN BAJAWARE";"08. CERRADA"},0),
 1,
 IF(
  MATCH(B1693,{"01. ASIGNACION AREA";"02. MAPEO";"03. DESARROLLO";"04. VALIDA US";"05. VOBO US";"06. BW-EJECUCION";"07. VALIDACIÓN BAJAWARE";"08. CERRADA"},0)
  =
  MATCH(_xlfn.XLOOKUP(INDEX($B:$B, (ROW()-8)),'Relacion '!$E:$E,'Relacion '!$D:$D,""),{"01. ASIGNACION AREA";"02. MAPEO";"03. DESARROLLO";"04. VALIDA US";"05. VOBO US";"06. BW-EJECUCION";"07. VALIDACIÓN BAJAWARE";"08. CERRADA"},0),
  _xlfn.XLOOKUP(INDEX($B:$B, (ROW()-8)),'Relacion '!$E:$E,'Relacion '!#REF!,0),
  0
 )
)</f>
        <v>0</v>
      </c>
      <c r="I1693" s="241">
        <f t="shared" ca="1" si="392"/>
        <v>1</v>
      </c>
      <c r="J1693" s="241"/>
      <c r="K1693" s="241"/>
      <c r="L1693" s="238"/>
    </row>
    <row r="1694" spans="2:12">
      <c r="B1694" s="232" t="s">
        <v>625</v>
      </c>
      <c r="C1694" s="167" t="s">
        <v>626</v>
      </c>
      <c r="D1694" s="236" t="str">
        <f>_xlfn.XLOOKUP(B1694,'Relacion '!$E:$E,'Relacion '!$D:$D,"")</f>
        <v>06. BW-EJECUCION</v>
      </c>
      <c r="E1694" s="233">
        <f t="shared" si="395"/>
        <v>106</v>
      </c>
      <c r="F1694" s="234" cm="1">
        <f t="array" ref="F1694">MIN(INDEX('Relacion '!$X$5:$AM$493,MATCH(INDEX($B:$B, (ROW()-0)),'Relacion '!$E$5:$E$493,0),0))</f>
        <v>46024</v>
      </c>
      <c r="G1694" s="234" cm="1">
        <f t="array" ref="G1694">MAX(INDEX('Relacion '!$X$5:$AM$493,MATCH(INDEX($B:$B, (ROW()-0)),'Relacion '!$E$5:$E$493,0),0))</f>
        <v>46130</v>
      </c>
      <c r="H1694" s="235" t="e">
        <f>AVERAGE(H1695:H1702)</f>
        <v>#REF!</v>
      </c>
      <c r="I1694" s="235">
        <f t="shared" ref="I1694" ca="1" si="402">AVERAGE(I1695:I1702)</f>
        <v>1</v>
      </c>
      <c r="J1694" s="236" t="str">
        <f>IF(ISNUMBER(SEARCH("Rocha", _xlfn.XLOOKUP(B1694,'Relacion '!$E:$E,'Relacion '!$I:$I,""))), "Sí", "No")</f>
        <v>No</v>
      </c>
      <c r="K1694" s="236" t="str">
        <f>IF(ISNUMBER(SEARCH("Rocha", _xlfn.XLOOKUP(B1694,'Relacion '!$E:$E,'Relacion '!$I:$I,""))), "RMC", _xlfn.XLOOKUP(B1694,'Relacion '!$E:$E,'Relacion '!$B:$B,""))</f>
        <v>Riesgos</v>
      </c>
      <c r="L1694" s="236" t="str">
        <f>_xlfn.XLOOKUP(B1694,'Relacion '!$E:$E,'Relacion '!$C:$C,"")</f>
        <v>Homero Sanchez</v>
      </c>
    </row>
    <row r="1695" spans="2:12" outlineLevel="1">
      <c r="B1695" s="237" t="s">
        <v>654</v>
      </c>
      <c r="C1695" s="237" t="s">
        <v>654</v>
      </c>
      <c r="D1695" s="238" t="str">
        <f>_xlfn.XLOOKUP(B1695,'Relacion '!$E:$E,'Relacion '!$D:$D,"")</f>
        <v/>
      </c>
      <c r="E1695" s="239">
        <f t="shared" si="395"/>
        <v>59</v>
      </c>
      <c r="F1695" s="240" cm="1">
        <f t="array" ref="F1695">MIN(INDEX('Relacion '!$X$5:$Y$493,MATCH(INDEX($B:$B, (ROW()-1)),'Relacion '!$E$5:$E$493,0),0))</f>
        <v>46024</v>
      </c>
      <c r="G1695" s="240" cm="1">
        <f t="array" ref="G1695">MAX(INDEX('Relacion '!$X$5:$Y$493,MATCH(INDEX($B:$B, (ROW()-1)),'Relacion '!$E$5:$E$493,0),0))</f>
        <v>46083</v>
      </c>
      <c r="H1695" s="241" cm="1">
        <f t="array" ref="H1695">IF(
 MATCH(B1695,{"01. ASIGNACION AREA";"02. MAPEO";"03. DESARROLLO";"04. VALIDA US";"05. VOBO US";"06. BW-EJECUCION";"07. VALIDACIÓN BAJAWARE";"08. CERRADA"},0)
 &lt;
 MATCH(_xlfn.XLOOKUP(INDEX($B:$B, (ROW()-1)),'Relacion '!$E:$E,'Relacion '!$D:$D,""),{"01. ASIGNACION AREA";"02. MAPEO";"03. DESARROLLO";"04. VALIDA US";"05. VOBO US";"06. BW-EJECUCION";"07. VALIDACIÓN BAJAWARE";"08. CERRADA"},0),
 1,
 IF(
  MATCH(B1695,{"01. ASIGNACION AREA";"02. MAPEO";"03. DESARROLLO";"04. VALIDA US";"05. VOBO US";"06. BW-EJECUCION";"07. VALIDACIÓN BAJAWARE";"08. CERRADA"},0)
  =
  MATCH(_xlfn.XLOOKUP(INDEX($B:$B, (ROW()-1)),'Relacion '!$E:$E,'Relacion '!$D:$D,""),{"01. ASIGNACION AREA";"02. MAPEO";"03. DESARROLLO";"04. VALIDA US";"05. VOBO US";"06. BW-EJECUCION";"07. VALIDACIÓN BAJAWARE";"08. CERRADA"},0),
  _xlfn.XLOOKUP(INDEX($B:$B, (ROW()-1)),'Relacion '!$E:$E,'Relacion '!#REF!,0),
  0
 )
)</f>
        <v>1</v>
      </c>
      <c r="I1695" s="241">
        <f t="shared" ref="I1695" ca="1" si="403">IF(G1695&lt;=TODAY(), 1, 0)</f>
        <v>1</v>
      </c>
      <c r="J1695" s="241"/>
      <c r="K1695" s="241"/>
      <c r="L1695" s="238"/>
    </row>
    <row r="1696" spans="2:12" outlineLevel="1">
      <c r="B1696" s="237" t="s">
        <v>195</v>
      </c>
      <c r="C1696" s="237" t="s">
        <v>195</v>
      </c>
      <c r="D1696" s="238" t="str">
        <f>_xlfn.XLOOKUP(B1696,'Relacion '!$E:$E,'Relacion '!$D:$D,"")</f>
        <v/>
      </c>
      <c r="E1696" s="239">
        <f t="shared" si="395"/>
        <v>4</v>
      </c>
      <c r="F1696" s="240" cm="1">
        <f t="array" ref="F1696">MIN(INDEX('Relacion '!$Z$5:$AA$493,MATCH(INDEX($B:$B, (ROW()-2)),'Relacion '!$E$5:$E$493,0),0))</f>
        <v>46041</v>
      </c>
      <c r="G1696" s="240" cm="1">
        <f t="array" ref="G1696">MAX(INDEX('Relacion '!$Z$5:$AA$493,MATCH(INDEX($B:$B, (ROW()-2)),'Relacion '!$E$5:$E$493,0),0))</f>
        <v>46045</v>
      </c>
      <c r="H1696" s="241" cm="1">
        <f t="array" ref="H1696">IF(
 MATCH(B1696,{"01. ASIGNACION AREA";"02. MAPEO";"03. DESARROLLO";"04. VALIDA US";"05. VOBO US";"06. BW-EJECUCION";"07. VALIDACIÓN BAJAWARE";"08. CERRADA"},0)
 &lt;
 MATCH(_xlfn.XLOOKUP(INDEX($B:$B, (ROW()-2)),'Relacion '!$E:$E,'Relacion '!$D:$D,""),{"01. ASIGNACION AREA";"02. MAPEO";"03. DESARROLLO";"04. VALIDA US";"05. VOBO US";"06. BW-EJECUCION";"07. VALIDACIÓN BAJAWARE";"08. CERRADA"},0),
 1,
 IF(
  MATCH(B1696,{"01. ASIGNACION AREA";"02. MAPEO";"03. DESARROLLO";"04. VALIDA US";"05. VOBO US";"06. BW-EJECUCION";"07. VALIDACIÓN BAJAWARE";"08. CERRADA"},0)
  =
  MATCH(_xlfn.XLOOKUP(INDEX($B:$B, (ROW()-2)),'Relacion '!$E:$E,'Relacion '!$D:$D,""),{"01. ASIGNACION AREA";"02. MAPEO";"03. DESARROLLO";"04. VALIDA US";"05. VOBO US";"06. BW-EJECUCION";"07. VALIDACIÓN BAJAWARE";"08. CERRADA"},0),
  _xlfn.XLOOKUP(INDEX($B:$B, (ROW()-2)),'Relacion '!$E:$E,'Relacion '!#REF!,0),
  0
 )
)</f>
        <v>1</v>
      </c>
      <c r="I1696" s="241">
        <f t="shared" ca="1" si="392"/>
        <v>1</v>
      </c>
      <c r="J1696" s="241"/>
      <c r="K1696" s="241"/>
      <c r="L1696" s="238"/>
    </row>
    <row r="1697" spans="2:12" outlineLevel="1">
      <c r="B1697" s="237" t="s">
        <v>49</v>
      </c>
      <c r="C1697" s="237" t="s">
        <v>49</v>
      </c>
      <c r="D1697" s="238" t="str">
        <f>_xlfn.XLOOKUP(B1697,'Relacion '!$E:$E,'Relacion '!$D:$D,"")</f>
        <v/>
      </c>
      <c r="E1697" s="239">
        <f t="shared" si="395"/>
        <v>4</v>
      </c>
      <c r="F1697" s="240" cm="1">
        <f t="array" ref="F1697">MIN(INDEX('Relacion '!$AB$5:$AC$493,MATCH(INDEX($B:$B, (ROW()-3)),'Relacion '!$E$5:$E$493,0),0))</f>
        <v>46048</v>
      </c>
      <c r="G1697" s="240" cm="1">
        <f t="array" ref="G1697">MAX(INDEX('Relacion '!$AB$5:$AC$493,MATCH(INDEX($B:$B, (ROW()-3)),'Relacion '!$E$5:$E$493,0),0))</f>
        <v>46052</v>
      </c>
      <c r="H1697" s="241" cm="1">
        <f t="array" ref="H1697">IF(
 MATCH(B1697,{"01. ASIGNACION AREA";"02. MAPEO";"03. DESARROLLO";"04. VALIDA US";"05. VOBO US";"06. BW-EJECUCION";"07. VALIDACIÓN BAJAWARE";"08. CERRADA"},0)
 &lt;
 MATCH(_xlfn.XLOOKUP(INDEX($B:$B, (ROW()-3)),'Relacion '!$E:$E,'Relacion '!$D:$D,""),{"01. ASIGNACION AREA";"02. MAPEO";"03. DESARROLLO";"04. VALIDA US";"05. VOBO US";"06. BW-EJECUCION";"07. VALIDACIÓN BAJAWARE";"08. CERRADA"},0),
 1,
 IF(
  MATCH(B1697,{"01. ASIGNACION AREA";"02. MAPEO";"03. DESARROLLO";"04. VALIDA US";"05. VOBO US";"06. BW-EJECUCION";"07. VALIDACIÓN BAJAWARE";"08. CERRADA"},0)
  =
  MATCH(_xlfn.XLOOKUP(INDEX($B:$B, (ROW()-3)),'Relacion '!$E:$E,'Relacion '!$D:$D,""),{"01. ASIGNACION AREA";"02. MAPEO";"03. DESARROLLO";"04. VALIDA US";"05. VOBO US";"06. BW-EJECUCION";"07. VALIDACIÓN BAJAWARE";"08. CERRADA"},0),
  _xlfn.XLOOKUP(INDEX($B:$B, (ROW()-3)),'Relacion '!$E:$E,'Relacion '!#REF!,0),
  0
 )
)</f>
        <v>1</v>
      </c>
      <c r="I1697" s="241">
        <f t="shared" ca="1" si="392"/>
        <v>1</v>
      </c>
      <c r="J1697" s="241"/>
      <c r="K1697" s="241"/>
      <c r="L1697" s="238"/>
    </row>
    <row r="1698" spans="2:12" outlineLevel="1">
      <c r="B1698" s="237" t="s">
        <v>324</v>
      </c>
      <c r="C1698" s="237" t="s">
        <v>324</v>
      </c>
      <c r="D1698" s="238" t="str">
        <f>_xlfn.XLOOKUP(B1698,'Relacion '!$E:$E,'Relacion '!$D:$D,"")</f>
        <v/>
      </c>
      <c r="E1698" s="239">
        <f t="shared" si="395"/>
        <v>11</v>
      </c>
      <c r="F1698" s="240" cm="1">
        <f t="array" ref="F1698">MIN(INDEX('Relacion '!$AD$5:$AE$493,MATCH(INDEX($B:$B, (ROW()-4)),'Relacion '!$E$5:$E$493,0),0))</f>
        <v>46055</v>
      </c>
      <c r="G1698" s="240" cm="1">
        <f t="array" ref="G1698">MAX(INDEX('Relacion '!$AD$5:$AE$493,MATCH(INDEX($B:$B, (ROW()-4)),'Relacion '!$E$5:$E$493,0),0))</f>
        <v>46066</v>
      </c>
      <c r="H1698" s="241" cm="1">
        <f t="array" ref="H1698">IF(
 MATCH(B1698,{"01. ASIGNACION AREA";"02. MAPEO";"03. DESARROLLO";"04. VALIDA US";"05. VOBO US";"06. BW-EJECUCION";"07. VALIDACIÓN BAJAWARE";"08. CERRADA"},0)
 &lt;
 MATCH(_xlfn.XLOOKUP(INDEX($B:$B, (ROW()-4)),'Relacion '!$E:$E,'Relacion '!$D:$D,""),{"01. ASIGNACION AREA";"02. MAPEO";"03. DESARROLLO";"04. VALIDA US";"05. VOBO US";"06. BW-EJECUCION";"07. VALIDACIÓN BAJAWARE";"08. CERRADA"},0),
 1,
 IF(
  MATCH(B1698,{"01. ASIGNACION AREA";"02. MAPEO";"03. DESARROLLO";"04. VALIDA US";"05. VOBO US";"06. BW-EJECUCION";"07. VALIDACIÓN BAJAWARE";"08. CERRADA"},0)
  =
  MATCH(_xlfn.XLOOKUP(INDEX($B:$B, (ROW()-4)),'Relacion '!$E:$E,'Relacion '!$D:$D,""),{"01. ASIGNACION AREA";"02. MAPEO";"03. DESARROLLO";"04. VALIDA US";"05. VOBO US";"06. BW-EJECUCION";"07. VALIDACIÓN BAJAWARE";"08. CERRADA"},0),
  _xlfn.XLOOKUP(INDEX($B:$B, (ROW()-4)),'Relacion '!$E:$E,'Relacion '!#REF!,0),
  0
 )
)</f>
        <v>1</v>
      </c>
      <c r="I1698" s="241">
        <f t="shared" ca="1" si="392"/>
        <v>1</v>
      </c>
      <c r="J1698" s="241"/>
      <c r="K1698" s="241"/>
      <c r="L1698" s="238"/>
    </row>
    <row r="1699" spans="2:12" outlineLevel="1">
      <c r="B1699" s="237" t="s">
        <v>320</v>
      </c>
      <c r="C1699" s="237" t="s">
        <v>320</v>
      </c>
      <c r="D1699" s="238" t="str">
        <f>_xlfn.XLOOKUP(B1699,'Relacion '!$E:$E,'Relacion '!$D:$D,"")</f>
        <v/>
      </c>
      <c r="E1699" s="239">
        <f t="shared" si="395"/>
        <v>4</v>
      </c>
      <c r="F1699" s="240" cm="1">
        <f t="array" ref="F1699">MIN(INDEX('Relacion '!$AF$5:$AG$493,MATCH(INDEX($B:$B, (ROW()-5)),'Relacion '!$E$5:$E$493,0),0))</f>
        <v>46069</v>
      </c>
      <c r="G1699" s="240" cm="1">
        <f t="array" ref="G1699">MAX(INDEX('Relacion '!$AF$5:$AG$493,MATCH(INDEX($B:$B, (ROW()-5)),'Relacion '!$E$5:$E$493,0),0))</f>
        <v>46073</v>
      </c>
      <c r="H1699" s="241" cm="1">
        <f t="array" ref="H1699">IF(
 MATCH(B1699,{"01. ASIGNACION AREA";"02. MAPEO";"03. DESARROLLO";"04. VALIDA US";"05. VOBO US";"06. BW-EJECUCION";"07. VALIDACIÓN BAJAWARE";"08. CERRADA"},0)
 &lt;
 MATCH(_xlfn.XLOOKUP(INDEX($B:$B, (ROW()-5)),'Relacion '!$E:$E,'Relacion '!$D:$D,""),{"01. ASIGNACION AREA";"02. MAPEO";"03. DESARROLLO";"04. VALIDA US";"05. VOBO US";"06. BW-EJECUCION";"07. VALIDACIÓN BAJAWARE";"08. CERRADA"},0),
 1,
 IF(
  MATCH(B1699,{"01. ASIGNACION AREA";"02. MAPEO";"03. DESARROLLO";"04. VALIDA US";"05. VOBO US";"06. BW-EJECUCION";"07. VALIDACIÓN BAJAWARE";"08. CERRADA"},0)
  =
  MATCH(_xlfn.XLOOKUP(INDEX($B:$B, (ROW()-5)),'Relacion '!$E:$E,'Relacion '!$D:$D,""),{"01. ASIGNACION AREA";"02. MAPEO";"03. DESARROLLO";"04. VALIDA US";"05. VOBO US";"06. BW-EJECUCION";"07. VALIDACIÓN BAJAWARE";"08. CERRADA"},0),
  _xlfn.XLOOKUP(INDEX($B:$B, (ROW()-5)),'Relacion '!$E:$E,'Relacion '!#REF!,0),
  0
 )
)</f>
        <v>1</v>
      </c>
      <c r="I1699" s="241">
        <f t="shared" ca="1" si="392"/>
        <v>1</v>
      </c>
      <c r="J1699" s="241"/>
      <c r="K1699" s="241"/>
      <c r="L1699" s="238"/>
    </row>
    <row r="1700" spans="2:12" outlineLevel="1">
      <c r="B1700" s="237" t="s">
        <v>710</v>
      </c>
      <c r="C1700" s="237" t="s">
        <v>710</v>
      </c>
      <c r="D1700" s="238" t="str">
        <f>_xlfn.XLOOKUP(B1700,'Relacion '!$E:$E,'Relacion '!$D:$D,"")</f>
        <v/>
      </c>
      <c r="E1700" s="239">
        <f t="shared" si="395"/>
        <v>25</v>
      </c>
      <c r="F1700" s="240" cm="1">
        <f t="array" ref="F1700">MIN(INDEX('Relacion '!$AH$5:$AI$493,MATCH(INDEX($B:$B, (ROW()-6)),'Relacion '!$E$5:$E$493,0),0))</f>
        <v>46076</v>
      </c>
      <c r="G1700" s="240" cm="1">
        <f t="array" ref="G1700">MAX(INDEX('Relacion '!$AH$5:$AI$493,MATCH(INDEX($B:$B, (ROW()-6)),'Relacion '!$E$5:$E$493,0),0))</f>
        <v>46101</v>
      </c>
      <c r="H1700" s="241" t="e" cm="1">
        <f t="array" ref="H1700">IF(
 MATCH(B1700,{"01. ASIGNACION AREA";"02. MAPEO";"03. DESARROLLO";"04. VALIDA US";"05. VOBO US";"06. BW-EJECUCION";"07. VALIDACIÓN BAJAWARE";"08. CERRADA"},0)
 &lt;
 MATCH(_xlfn.XLOOKUP(INDEX($B:$B, (ROW()-6)),'Relacion '!$E:$E,'Relacion '!$D:$D,""),{"01. ASIGNACION AREA";"02. MAPEO";"03. DESARROLLO";"04. VALIDA US";"05. VOBO US";"06. BW-EJECUCION";"07. VALIDACIÓN BAJAWARE";"08. CERRADA"},0),
 1,
 IF(
  MATCH(B1700,{"01. ASIGNACION AREA";"02. MAPEO";"03. DESARROLLO";"04. VALIDA US";"05. VOBO US";"06. BW-EJECUCION";"07. VALIDACIÓN BAJAWARE";"08. CERRADA"},0)
  =
  MATCH(_xlfn.XLOOKUP(INDEX($B:$B, (ROW()-6)),'Relacion '!$E:$E,'Relacion '!$D:$D,""),{"01. ASIGNACION AREA";"02. MAPEO";"03. DESARROLLO";"04. VALIDA US";"05. VOBO US";"06. BW-EJECUCION";"07. VALIDACIÓN BAJAWARE";"08. CERRADA"},0),
  _xlfn.XLOOKUP(INDEX($B:$B, (ROW()-6)),'Relacion '!$E:$E,'Relacion '!#REF!,0),
  0
 )
)</f>
        <v>#REF!</v>
      </c>
      <c r="I1700" s="241">
        <f t="shared" ca="1" si="392"/>
        <v>1</v>
      </c>
      <c r="J1700" s="241"/>
      <c r="K1700" s="241"/>
      <c r="L1700" s="238"/>
    </row>
    <row r="1701" spans="2:12" outlineLevel="1">
      <c r="B1701" s="237" t="s">
        <v>655</v>
      </c>
      <c r="C1701" s="237" t="s">
        <v>655</v>
      </c>
      <c r="D1701" s="238" t="str">
        <f>_xlfn.XLOOKUP(B1701,'Relacion '!$E:$E,'Relacion '!$D:$D,"")</f>
        <v/>
      </c>
      <c r="E1701" s="239">
        <f t="shared" si="395"/>
        <v>25</v>
      </c>
      <c r="F1701" s="240" cm="1">
        <f t="array" ref="F1701">MIN(INDEX('Relacion '!$AJ$5:$AK$493,MATCH(INDEX($B:$B, (ROW()-7)),'Relacion '!$E$5:$E$493,0),0))</f>
        <v>46104</v>
      </c>
      <c r="G1701" s="240" cm="1">
        <f t="array" ref="G1701">MAX(INDEX('Relacion '!$AJ$5:$AK$493,MATCH(INDEX($B:$B, (ROW()-7)),'Relacion '!$E$5:$E$493,0),0))</f>
        <v>46129</v>
      </c>
      <c r="H1701" s="241" cm="1">
        <f t="array" ref="H1701">IF(
 MATCH(B1701,{"01. ASIGNACION AREA";"02. MAPEO";"03. DESARROLLO";"04. VALIDA US";"05. VOBO US";"06. BW-EJECUCION";"07. VALIDACIÓN BAJAWARE";"08. CERRADA"},0)
 &lt;
 MATCH(_xlfn.XLOOKUP(INDEX($B:$B, (ROW()-7)),'Relacion '!$E:$E,'Relacion '!$D:$D,""),{"01. ASIGNACION AREA";"02. MAPEO";"03. DESARROLLO";"04. VALIDA US";"05. VOBO US";"06. BW-EJECUCION";"07. VALIDACIÓN BAJAWARE";"08. CERRADA"},0),
 1,
 IF(
  MATCH(B1701,{"01. ASIGNACION AREA";"02. MAPEO";"03. DESARROLLO";"04. VALIDA US";"05. VOBO US";"06. BW-EJECUCION";"07. VALIDACIÓN BAJAWARE";"08. CERRADA"},0)
  =
  MATCH(_xlfn.XLOOKUP(INDEX($B:$B, (ROW()-7)),'Relacion '!$E:$E,'Relacion '!$D:$D,""),{"01. ASIGNACION AREA";"02. MAPEO";"03. DESARROLLO";"04. VALIDA US";"05. VOBO US";"06. BW-EJECUCION";"07. VALIDACIÓN BAJAWARE";"08. CERRADA"},0),
  _xlfn.XLOOKUP(INDEX($B:$B, (ROW()-7)),'Relacion '!$E:$E,'Relacion '!#REF!,0),
  0
 )
)</f>
        <v>0</v>
      </c>
      <c r="I1701" s="241">
        <f t="shared" ca="1" si="392"/>
        <v>1</v>
      </c>
      <c r="J1701" s="241"/>
      <c r="K1701" s="241"/>
      <c r="L1701" s="238"/>
    </row>
    <row r="1702" spans="2:12" outlineLevel="1">
      <c r="B1702" s="237" t="s">
        <v>656</v>
      </c>
      <c r="C1702" s="237" t="s">
        <v>656</v>
      </c>
      <c r="D1702" s="238" t="str">
        <f>_xlfn.XLOOKUP(B1702,'Relacion '!$E:$E,'Relacion '!$D:$D,"")</f>
        <v/>
      </c>
      <c r="E1702" s="239">
        <f t="shared" si="395"/>
        <v>0</v>
      </c>
      <c r="F1702" s="240" cm="1">
        <f t="array" ref="F1702">MIN(INDEX('Relacion '!$AL$5:$AM$493,MATCH(INDEX($B:$B, (ROW()-8)),'Relacion '!$E$5:$E$493,0),0))</f>
        <v>46130</v>
      </c>
      <c r="G1702" s="240" cm="1">
        <f t="array" ref="G1702">MAX(INDEX('Relacion '!$AL$5:$AM$493,MATCH(INDEX($B:$B, (ROW()-8)),'Relacion '!$E$5:$E$493,0),0))</f>
        <v>46130</v>
      </c>
      <c r="H1702" s="241" cm="1">
        <f t="array" ref="H1702">IF(
 MATCH(B1702,{"01. ASIGNACION AREA";"02. MAPEO";"03. DESARROLLO";"04. VALIDA US";"05. VOBO US";"06. BW-EJECUCION";"07. VALIDACIÓN BAJAWARE";"08. CERRADA"},0)
 &lt;
 MATCH(_xlfn.XLOOKUP(INDEX($B:$B, (ROW()-8)),'Relacion '!$E:$E,'Relacion '!$D:$D,""),{"01. ASIGNACION AREA";"02. MAPEO";"03. DESARROLLO";"04. VALIDA US";"05. VOBO US";"06. BW-EJECUCION";"07. VALIDACIÓN BAJAWARE";"08. CERRADA"},0),
 1,
 IF(
  MATCH(B1702,{"01. ASIGNACION AREA";"02. MAPEO";"03. DESARROLLO";"04. VALIDA US";"05. VOBO US";"06. BW-EJECUCION";"07. VALIDACIÓN BAJAWARE";"08. CERRADA"},0)
  =
  MATCH(_xlfn.XLOOKUP(INDEX($B:$B, (ROW()-8)),'Relacion '!$E:$E,'Relacion '!$D:$D,""),{"01. ASIGNACION AREA";"02. MAPEO";"03. DESARROLLO";"04. VALIDA US";"05. VOBO US";"06. BW-EJECUCION";"07. VALIDACIÓN BAJAWARE";"08. CERRADA"},0),
  _xlfn.XLOOKUP(INDEX($B:$B, (ROW()-8)),'Relacion '!$E:$E,'Relacion '!#REF!,0),
  0
 )
)</f>
        <v>0</v>
      </c>
      <c r="I1702" s="241">
        <f t="shared" ca="1" si="392"/>
        <v>1</v>
      </c>
      <c r="J1702" s="241"/>
      <c r="K1702" s="241"/>
      <c r="L1702" s="238"/>
    </row>
    <row r="1703" spans="2:12">
      <c r="B1703" s="232" t="s">
        <v>196</v>
      </c>
      <c r="C1703" s="194" t="s">
        <v>197</v>
      </c>
      <c r="D1703" s="236" t="str">
        <f>_xlfn.XLOOKUP(B1703,'Relacion '!$E:$E,'Relacion '!$D:$D,"")</f>
        <v>04. VALIDA US</v>
      </c>
      <c r="E1703" s="233">
        <f t="shared" si="395"/>
        <v>123</v>
      </c>
      <c r="F1703" s="234" cm="1">
        <f t="array" ref="F1703">MIN(INDEX('Relacion '!$X$5:$AM$493,MATCH(INDEX($B:$B, (ROW()-0)),'Relacion '!$E$5:$E$493,0),0))</f>
        <v>46024</v>
      </c>
      <c r="G1703" s="234" cm="1">
        <f t="array" ref="G1703">MAX(INDEX('Relacion '!$X$5:$AM$493,MATCH(INDEX($B:$B, (ROW()-0)),'Relacion '!$E$5:$E$493,0),0))</f>
        <v>46147</v>
      </c>
      <c r="H1703" s="235" t="e">
        <f>AVERAGE(H1704:H1711)</f>
        <v>#REF!</v>
      </c>
      <c r="I1703" s="235">
        <f t="shared" ref="I1703" ca="1" si="404">AVERAGE(I1704:I1711)</f>
        <v>1</v>
      </c>
      <c r="J1703" s="236" t="str">
        <f>IF(ISNUMBER(SEARCH("Rocha", _xlfn.XLOOKUP(B1703,'Relacion '!$E:$E,'Relacion '!$I:$I,""))), "Sí", "No")</f>
        <v>No</v>
      </c>
      <c r="K1703" s="236" t="str">
        <f>IF(ISNUMBER(SEARCH("Rocha", _xlfn.XLOOKUP(B1703,'Relacion '!$E:$E,'Relacion '!$I:$I,""))), "RMC", _xlfn.XLOOKUP(B1703,'Relacion '!$E:$E,'Relacion '!$B:$B,""))</f>
        <v>Tesorería </v>
      </c>
      <c r="L1703" s="236" t="str">
        <f>_xlfn.XLOOKUP(B1703,'Relacion '!$E:$E,'Relacion '!$C:$C,"")</f>
        <v>Eduardo Cabral</v>
      </c>
    </row>
    <row r="1704" spans="2:12" outlineLevel="1">
      <c r="B1704" s="237" t="s">
        <v>654</v>
      </c>
      <c r="C1704" s="237" t="s">
        <v>654</v>
      </c>
      <c r="D1704" s="238" t="str">
        <f>_xlfn.XLOOKUP(B1704,'Relacion '!$E:$E,'Relacion '!$D:$D,"")</f>
        <v/>
      </c>
      <c r="E1704" s="239">
        <f t="shared" si="395"/>
        <v>59</v>
      </c>
      <c r="F1704" s="240" cm="1">
        <f t="array" ref="F1704">MIN(INDEX('Relacion '!$X$5:$Y$493,MATCH(INDEX($B:$B, (ROW()-1)),'Relacion '!$E$5:$E$493,0),0))</f>
        <v>46024</v>
      </c>
      <c r="G1704" s="240" cm="1">
        <f t="array" ref="G1704">MAX(INDEX('Relacion '!$X$5:$Y$493,MATCH(INDEX($B:$B, (ROW()-1)),'Relacion '!$E$5:$E$493,0),0))</f>
        <v>46083</v>
      </c>
      <c r="H1704" s="241" cm="1">
        <f t="array" ref="H1704">IF(
 MATCH(B1704,{"01. ASIGNACION AREA";"02. MAPEO";"03. DESARROLLO";"04. VALIDA US";"05. VOBO US";"06. BW-EJECUCION";"07. VALIDACIÓN BAJAWARE";"08. CERRADA"},0)
 &lt;
 MATCH(_xlfn.XLOOKUP(INDEX($B:$B, (ROW()-1)),'Relacion '!$E:$E,'Relacion '!$D:$D,""),{"01. ASIGNACION AREA";"02. MAPEO";"03. DESARROLLO";"04. VALIDA US";"05. VOBO US";"06. BW-EJECUCION";"07. VALIDACIÓN BAJAWARE";"08. CERRADA"},0),
 1,
 IF(
  MATCH(B1704,{"01. ASIGNACION AREA";"02. MAPEO";"03. DESARROLLO";"04. VALIDA US";"05. VOBO US";"06. BW-EJECUCION";"07. VALIDACIÓN BAJAWARE";"08. CERRADA"},0)
  =
  MATCH(_xlfn.XLOOKUP(INDEX($B:$B, (ROW()-1)),'Relacion '!$E:$E,'Relacion '!$D:$D,""),{"01. ASIGNACION AREA";"02. MAPEO";"03. DESARROLLO";"04. VALIDA US";"05. VOBO US";"06. BW-EJECUCION";"07. VALIDACIÓN BAJAWARE";"08. CERRADA"},0),
  _xlfn.XLOOKUP(INDEX($B:$B, (ROW()-1)),'Relacion '!$E:$E,'Relacion '!#REF!,0),
  0
 )
)</f>
        <v>1</v>
      </c>
      <c r="I1704" s="241">
        <f t="shared" ref="I1704" ca="1" si="405">IF(G1704&lt;=TODAY(), 1, 0)</f>
        <v>1</v>
      </c>
      <c r="J1704" s="241"/>
      <c r="K1704" s="241"/>
      <c r="L1704" s="238"/>
    </row>
    <row r="1705" spans="2:12" outlineLevel="1">
      <c r="B1705" s="237" t="s">
        <v>195</v>
      </c>
      <c r="C1705" s="237" t="s">
        <v>195</v>
      </c>
      <c r="D1705" s="238" t="str">
        <f>_xlfn.XLOOKUP(B1705,'Relacion '!$E:$E,'Relacion '!$D:$D,"")</f>
        <v/>
      </c>
      <c r="E1705" s="239">
        <f t="shared" si="395"/>
        <v>31</v>
      </c>
      <c r="F1705" s="240" cm="1">
        <f t="array" ref="F1705">MIN(INDEX('Relacion '!$Z$5:$AA$493,MATCH(INDEX($B:$B, (ROW()-2)),'Relacion '!$E$5:$E$493,0),0))</f>
        <v>46056</v>
      </c>
      <c r="G1705" s="240" cm="1">
        <f t="array" ref="G1705">MAX(INDEX('Relacion '!$Z$5:$AA$493,MATCH(INDEX($B:$B, (ROW()-2)),'Relacion '!$E$5:$E$493,0),0))</f>
        <v>46087</v>
      </c>
      <c r="H1705" s="241" cm="1">
        <f t="array" ref="H1705">IF(
 MATCH(B1705,{"01. ASIGNACION AREA";"02. MAPEO";"03. DESARROLLO";"04. VALIDA US";"05. VOBO US";"06. BW-EJECUCION";"07. VALIDACIÓN BAJAWARE";"08. CERRADA"},0)
 &lt;
 MATCH(_xlfn.XLOOKUP(INDEX($B:$B, (ROW()-2)),'Relacion '!$E:$E,'Relacion '!$D:$D,""),{"01. ASIGNACION AREA";"02. MAPEO";"03. DESARROLLO";"04. VALIDA US";"05. VOBO US";"06. BW-EJECUCION";"07. VALIDACIÓN BAJAWARE";"08. CERRADA"},0),
 1,
 IF(
  MATCH(B1705,{"01. ASIGNACION AREA";"02. MAPEO";"03. DESARROLLO";"04. VALIDA US";"05. VOBO US";"06. BW-EJECUCION";"07. VALIDACIÓN BAJAWARE";"08. CERRADA"},0)
  =
  MATCH(_xlfn.XLOOKUP(INDEX($B:$B, (ROW()-2)),'Relacion '!$E:$E,'Relacion '!$D:$D,""),{"01. ASIGNACION AREA";"02. MAPEO";"03. DESARROLLO";"04. VALIDA US";"05. VOBO US";"06. BW-EJECUCION";"07. VALIDACIÓN BAJAWARE";"08. CERRADA"},0),
  _xlfn.XLOOKUP(INDEX($B:$B, (ROW()-2)),'Relacion '!$E:$E,'Relacion '!#REF!,0),
  0
 )
)</f>
        <v>1</v>
      </c>
      <c r="I1705" s="241">
        <f t="shared" ca="1" si="392"/>
        <v>1</v>
      </c>
      <c r="J1705" s="241"/>
      <c r="K1705" s="241"/>
      <c r="L1705" s="238"/>
    </row>
    <row r="1706" spans="2:12" outlineLevel="1">
      <c r="B1706" s="237" t="s">
        <v>49</v>
      </c>
      <c r="C1706" s="237" t="s">
        <v>49</v>
      </c>
      <c r="D1706" s="238" t="str">
        <f>_xlfn.XLOOKUP(B1706,'Relacion '!$E:$E,'Relacion '!$D:$D,"")</f>
        <v/>
      </c>
      <c r="E1706" s="239">
        <f t="shared" si="395"/>
        <v>0</v>
      </c>
      <c r="F1706" s="240" cm="1">
        <f t="array" ref="F1706">MIN(INDEX('Relacion '!$AB$5:$AC$493,MATCH(INDEX($B:$B, (ROW()-3)),'Relacion '!$E$5:$E$493,0),0))</f>
        <v>46072</v>
      </c>
      <c r="G1706" s="240" cm="1">
        <f t="array" ref="G1706">MAX(INDEX('Relacion '!$AB$5:$AC$493,MATCH(INDEX($B:$B, (ROW()-3)),'Relacion '!$E$5:$E$493,0),0))</f>
        <v>46072</v>
      </c>
      <c r="H1706" s="241" cm="1">
        <f t="array" ref="H1706">IF(
 MATCH(B1706,{"01. ASIGNACION AREA";"02. MAPEO";"03. DESARROLLO";"04. VALIDA US";"05. VOBO US";"06. BW-EJECUCION";"07. VALIDACIÓN BAJAWARE";"08. CERRADA"},0)
 &lt;
 MATCH(_xlfn.XLOOKUP(INDEX($B:$B, (ROW()-3)),'Relacion '!$E:$E,'Relacion '!$D:$D,""),{"01. ASIGNACION AREA";"02. MAPEO";"03. DESARROLLO";"04. VALIDA US";"05. VOBO US";"06. BW-EJECUCION";"07. VALIDACIÓN BAJAWARE";"08. CERRADA"},0),
 1,
 IF(
  MATCH(B1706,{"01. ASIGNACION AREA";"02. MAPEO";"03. DESARROLLO";"04. VALIDA US";"05. VOBO US";"06. BW-EJECUCION";"07. VALIDACIÓN BAJAWARE";"08. CERRADA"},0)
  =
  MATCH(_xlfn.XLOOKUP(INDEX($B:$B, (ROW()-3)),'Relacion '!$E:$E,'Relacion '!$D:$D,""),{"01. ASIGNACION AREA";"02. MAPEO";"03. DESARROLLO";"04. VALIDA US";"05. VOBO US";"06. BW-EJECUCION";"07. VALIDACIÓN BAJAWARE";"08. CERRADA"},0),
  _xlfn.XLOOKUP(INDEX($B:$B, (ROW()-3)),'Relacion '!$E:$E,'Relacion '!#REF!,0),
  0
 )
)</f>
        <v>1</v>
      </c>
      <c r="I1706" s="241">
        <f t="shared" ca="1" si="392"/>
        <v>1</v>
      </c>
      <c r="J1706" s="241"/>
      <c r="K1706" s="241"/>
      <c r="L1706" s="238"/>
    </row>
    <row r="1707" spans="2:12" outlineLevel="1">
      <c r="B1707" s="237" t="s">
        <v>324</v>
      </c>
      <c r="C1707" s="237" t="s">
        <v>324</v>
      </c>
      <c r="D1707" s="238" t="str">
        <f>_xlfn.XLOOKUP(B1707,'Relacion '!$E:$E,'Relacion '!$D:$D,"")</f>
        <v/>
      </c>
      <c r="E1707" s="239">
        <f t="shared" si="395"/>
        <v>14</v>
      </c>
      <c r="F1707" s="240" cm="1">
        <f t="array" ref="F1707">MIN(INDEX('Relacion '!$AD$5:$AE$493,MATCH(INDEX($B:$B, (ROW()-4)),'Relacion '!$E$5:$E$493,0),0))</f>
        <v>46111</v>
      </c>
      <c r="G1707" s="240" cm="1">
        <f t="array" ref="G1707">MAX(INDEX('Relacion '!$AD$5:$AE$493,MATCH(INDEX($B:$B, (ROW()-4)),'Relacion '!$E$5:$E$493,0),0))</f>
        <v>46125</v>
      </c>
      <c r="H1707" s="241" t="e" cm="1">
        <f t="array" ref="H1707">IF(
 MATCH(B1707,{"01. ASIGNACION AREA";"02. MAPEO";"03. DESARROLLO";"04. VALIDA US";"05. VOBO US";"06. BW-EJECUCION";"07. VALIDACIÓN BAJAWARE";"08. CERRADA"},0)
 &lt;
 MATCH(_xlfn.XLOOKUP(INDEX($B:$B, (ROW()-4)),'Relacion '!$E:$E,'Relacion '!$D:$D,""),{"01. ASIGNACION AREA";"02. MAPEO";"03. DESARROLLO";"04. VALIDA US";"05. VOBO US";"06. BW-EJECUCION";"07. VALIDACIÓN BAJAWARE";"08. CERRADA"},0),
 1,
 IF(
  MATCH(B1707,{"01. ASIGNACION AREA";"02. MAPEO";"03. DESARROLLO";"04. VALIDA US";"05. VOBO US";"06. BW-EJECUCION";"07. VALIDACIÓN BAJAWARE";"08. CERRADA"},0)
  =
  MATCH(_xlfn.XLOOKUP(INDEX($B:$B, (ROW()-4)),'Relacion '!$E:$E,'Relacion '!$D:$D,""),{"01. ASIGNACION AREA";"02. MAPEO";"03. DESARROLLO";"04. VALIDA US";"05. VOBO US";"06. BW-EJECUCION";"07. VALIDACIÓN BAJAWARE";"08. CERRADA"},0),
  _xlfn.XLOOKUP(INDEX($B:$B, (ROW()-4)),'Relacion '!$E:$E,'Relacion '!#REF!,0),
  0
 )
)</f>
        <v>#REF!</v>
      </c>
      <c r="I1707" s="241">
        <f t="shared" ca="1" si="392"/>
        <v>1</v>
      </c>
      <c r="J1707" s="241"/>
      <c r="K1707" s="241"/>
      <c r="L1707" s="238"/>
    </row>
    <row r="1708" spans="2:12" outlineLevel="1">
      <c r="B1708" s="237" t="s">
        <v>320</v>
      </c>
      <c r="C1708" s="237" t="s">
        <v>320</v>
      </c>
      <c r="D1708" s="238" t="str">
        <f>_xlfn.XLOOKUP(B1708,'Relacion '!$E:$E,'Relacion '!$D:$D,"")</f>
        <v/>
      </c>
      <c r="E1708" s="239">
        <f t="shared" si="395"/>
        <v>1</v>
      </c>
      <c r="F1708" s="240" cm="1">
        <f t="array" ref="F1708">MIN(INDEX('Relacion '!$AF$5:$AG$493,MATCH(INDEX($B:$B, (ROW()-5)),'Relacion '!$E$5:$E$493,0),0))</f>
        <v>46125</v>
      </c>
      <c r="G1708" s="240" cm="1">
        <f t="array" ref="G1708">MAX(INDEX('Relacion '!$AF$5:$AG$493,MATCH(INDEX($B:$B, (ROW()-5)),'Relacion '!$E$5:$E$493,0),0))</f>
        <v>46126</v>
      </c>
      <c r="H1708" s="241" cm="1">
        <f t="array" ref="H1708">IF(
 MATCH(B1708,{"01. ASIGNACION AREA";"02. MAPEO";"03. DESARROLLO";"04. VALIDA US";"05. VOBO US";"06. BW-EJECUCION";"07. VALIDACIÓN BAJAWARE";"08. CERRADA"},0)
 &lt;
 MATCH(_xlfn.XLOOKUP(INDEX($B:$B, (ROW()-5)),'Relacion '!$E:$E,'Relacion '!$D:$D,""),{"01. ASIGNACION AREA";"02. MAPEO";"03. DESARROLLO";"04. VALIDA US";"05. VOBO US";"06. BW-EJECUCION";"07. VALIDACIÓN BAJAWARE";"08. CERRADA"},0),
 1,
 IF(
  MATCH(B1708,{"01. ASIGNACION AREA";"02. MAPEO";"03. DESARROLLO";"04. VALIDA US";"05. VOBO US";"06. BW-EJECUCION";"07. VALIDACIÓN BAJAWARE";"08. CERRADA"},0)
  =
  MATCH(_xlfn.XLOOKUP(INDEX($B:$B, (ROW()-5)),'Relacion '!$E:$E,'Relacion '!$D:$D,""),{"01. ASIGNACION AREA";"02. MAPEO";"03. DESARROLLO";"04. VALIDA US";"05. VOBO US";"06. BW-EJECUCION";"07. VALIDACIÓN BAJAWARE";"08. CERRADA"},0),
  _xlfn.XLOOKUP(INDEX($B:$B, (ROW()-5)),'Relacion '!$E:$E,'Relacion '!#REF!,0),
  0
 )
)</f>
        <v>0</v>
      </c>
      <c r="I1708" s="241">
        <f t="shared" ca="1" si="392"/>
        <v>1</v>
      </c>
      <c r="J1708" s="241"/>
      <c r="K1708" s="241"/>
      <c r="L1708" s="238"/>
    </row>
    <row r="1709" spans="2:12" outlineLevel="1">
      <c r="B1709" s="237" t="s">
        <v>710</v>
      </c>
      <c r="C1709" s="237" t="s">
        <v>710</v>
      </c>
      <c r="D1709" s="238" t="str">
        <f>_xlfn.XLOOKUP(B1709,'Relacion '!$E:$E,'Relacion '!$D:$D,"")</f>
        <v/>
      </c>
      <c r="E1709" s="239">
        <f t="shared" si="395"/>
        <v>2</v>
      </c>
      <c r="F1709" s="240" cm="1">
        <f t="array" ref="F1709">MIN(INDEX('Relacion '!$AH$5:$AI$493,MATCH(INDEX($B:$B, (ROW()-6)),'Relacion '!$E$5:$E$493,0),0))</f>
        <v>46127</v>
      </c>
      <c r="G1709" s="240" cm="1">
        <f t="array" ref="G1709">MAX(INDEX('Relacion '!$AH$5:$AI$493,MATCH(INDEX($B:$B, (ROW()-6)),'Relacion '!$E$5:$E$493,0),0))</f>
        <v>46129</v>
      </c>
      <c r="H1709" s="241" cm="1">
        <f t="array" ref="H1709">IF(
 MATCH(B1709,{"01. ASIGNACION AREA";"02. MAPEO";"03. DESARROLLO";"04. VALIDA US";"05. VOBO US";"06. BW-EJECUCION";"07. VALIDACIÓN BAJAWARE";"08. CERRADA"},0)
 &lt;
 MATCH(_xlfn.XLOOKUP(INDEX($B:$B, (ROW()-6)),'Relacion '!$E:$E,'Relacion '!$D:$D,""),{"01. ASIGNACION AREA";"02. MAPEO";"03. DESARROLLO";"04. VALIDA US";"05. VOBO US";"06. BW-EJECUCION";"07. VALIDACIÓN BAJAWARE";"08. CERRADA"},0),
 1,
 IF(
  MATCH(B1709,{"01. ASIGNACION AREA";"02. MAPEO";"03. DESARROLLO";"04. VALIDA US";"05. VOBO US";"06. BW-EJECUCION";"07. VALIDACIÓN BAJAWARE";"08. CERRADA"},0)
  =
  MATCH(_xlfn.XLOOKUP(INDEX($B:$B, (ROW()-6)),'Relacion '!$E:$E,'Relacion '!$D:$D,""),{"01. ASIGNACION AREA";"02. MAPEO";"03. DESARROLLO";"04. VALIDA US";"05. VOBO US";"06. BW-EJECUCION";"07. VALIDACIÓN BAJAWARE";"08. CERRADA"},0),
  _xlfn.XLOOKUP(INDEX($B:$B, (ROW()-6)),'Relacion '!$E:$E,'Relacion '!#REF!,0),
  0
 )
)</f>
        <v>0</v>
      </c>
      <c r="I1709" s="241">
        <f t="shared" ca="1" si="392"/>
        <v>1</v>
      </c>
      <c r="J1709" s="241"/>
      <c r="K1709" s="241"/>
      <c r="L1709" s="238"/>
    </row>
    <row r="1710" spans="2:12" outlineLevel="1">
      <c r="B1710" s="237" t="s">
        <v>655</v>
      </c>
      <c r="C1710" s="237" t="s">
        <v>655</v>
      </c>
      <c r="D1710" s="238" t="str">
        <f>_xlfn.XLOOKUP(B1710,'Relacion '!$E:$E,'Relacion '!$D:$D,"")</f>
        <v/>
      </c>
      <c r="E1710" s="239">
        <f t="shared" si="395"/>
        <v>14</v>
      </c>
      <c r="F1710" s="240" cm="1">
        <f t="array" ref="F1710">MIN(INDEX('Relacion '!$AJ$5:$AK$493,MATCH(INDEX($B:$B, (ROW()-7)),'Relacion '!$E$5:$E$493,0),0))</f>
        <v>46132</v>
      </c>
      <c r="G1710" s="240" cm="1">
        <f t="array" ref="G1710">MAX(INDEX('Relacion '!$AJ$5:$AK$493,MATCH(INDEX($B:$B, (ROW()-7)),'Relacion '!$E$5:$E$493,0),0))</f>
        <v>46146</v>
      </c>
      <c r="H1710" s="241" cm="1">
        <f t="array" ref="H1710">IF(
 MATCH(B1710,{"01. ASIGNACION AREA";"02. MAPEO";"03. DESARROLLO";"04. VALIDA US";"05. VOBO US";"06. BW-EJECUCION";"07. VALIDACIÓN BAJAWARE";"08. CERRADA"},0)
 &lt;
 MATCH(_xlfn.XLOOKUP(INDEX($B:$B, (ROW()-7)),'Relacion '!$E:$E,'Relacion '!$D:$D,""),{"01. ASIGNACION AREA";"02. MAPEO";"03. DESARROLLO";"04. VALIDA US";"05. VOBO US";"06. BW-EJECUCION";"07. VALIDACIÓN BAJAWARE";"08. CERRADA"},0),
 1,
 IF(
  MATCH(B1710,{"01. ASIGNACION AREA";"02. MAPEO";"03. DESARROLLO";"04. VALIDA US";"05. VOBO US";"06. BW-EJECUCION";"07. VALIDACIÓN BAJAWARE";"08. CERRADA"},0)
  =
  MATCH(_xlfn.XLOOKUP(INDEX($B:$B, (ROW()-7)),'Relacion '!$E:$E,'Relacion '!$D:$D,""),{"01. ASIGNACION AREA";"02. MAPEO";"03. DESARROLLO";"04. VALIDA US";"05. VOBO US";"06. BW-EJECUCION";"07. VALIDACIÓN BAJAWARE";"08. CERRADA"},0),
  _xlfn.XLOOKUP(INDEX($B:$B, (ROW()-7)),'Relacion '!$E:$E,'Relacion '!#REF!,0),
  0
 )
)</f>
        <v>0</v>
      </c>
      <c r="I1710" s="241">
        <f t="shared" ca="1" si="392"/>
        <v>1</v>
      </c>
      <c r="J1710" s="241"/>
      <c r="K1710" s="241"/>
      <c r="L1710" s="238"/>
    </row>
    <row r="1711" spans="2:12" outlineLevel="1">
      <c r="B1711" s="237" t="s">
        <v>656</v>
      </c>
      <c r="C1711" s="237" t="s">
        <v>656</v>
      </c>
      <c r="D1711" s="238" t="str">
        <f>_xlfn.XLOOKUP(B1711,'Relacion '!$E:$E,'Relacion '!$D:$D,"")</f>
        <v/>
      </c>
      <c r="E1711" s="239">
        <f t="shared" si="395"/>
        <v>0</v>
      </c>
      <c r="F1711" s="240" cm="1">
        <f t="array" ref="F1711">MIN(INDEX('Relacion '!$AL$5:$AM$493,MATCH(INDEX($B:$B, (ROW()-8)),'Relacion '!$E$5:$E$493,0),0))</f>
        <v>46147</v>
      </c>
      <c r="G1711" s="240" cm="1">
        <f t="array" ref="G1711">MAX(INDEX('Relacion '!$AL$5:$AM$493,MATCH(INDEX($B:$B, (ROW()-8)),'Relacion '!$E$5:$E$493,0),0))</f>
        <v>46147</v>
      </c>
      <c r="H1711" s="241" cm="1">
        <f t="array" ref="H1711">IF(
 MATCH(B1711,{"01. ASIGNACION AREA";"02. MAPEO";"03. DESARROLLO";"04. VALIDA US";"05. VOBO US";"06. BW-EJECUCION";"07. VALIDACIÓN BAJAWARE";"08. CERRADA"},0)
 &lt;
 MATCH(_xlfn.XLOOKUP(INDEX($B:$B, (ROW()-8)),'Relacion '!$E:$E,'Relacion '!$D:$D,""),{"01. ASIGNACION AREA";"02. MAPEO";"03. DESARROLLO";"04. VALIDA US";"05. VOBO US";"06. BW-EJECUCION";"07. VALIDACIÓN BAJAWARE";"08. CERRADA"},0),
 1,
 IF(
  MATCH(B1711,{"01. ASIGNACION AREA";"02. MAPEO";"03. DESARROLLO";"04. VALIDA US";"05. VOBO US";"06. BW-EJECUCION";"07. VALIDACIÓN BAJAWARE";"08. CERRADA"},0)
  =
  MATCH(_xlfn.XLOOKUP(INDEX($B:$B, (ROW()-8)),'Relacion '!$E:$E,'Relacion '!$D:$D,""),{"01. ASIGNACION AREA";"02. MAPEO";"03. DESARROLLO";"04. VALIDA US";"05. VOBO US";"06. BW-EJECUCION";"07. VALIDACIÓN BAJAWARE";"08. CERRADA"},0),
  _xlfn.XLOOKUP(INDEX($B:$B, (ROW()-8)),'Relacion '!$E:$E,'Relacion '!#REF!,0),
  0
 )
)</f>
        <v>0</v>
      </c>
      <c r="I1711" s="241">
        <f t="shared" ca="1" si="392"/>
        <v>1</v>
      </c>
      <c r="J1711" s="241"/>
      <c r="K1711" s="241"/>
      <c r="L1711" s="238"/>
    </row>
    <row r="1712" spans="2:12" ht="30">
      <c r="B1712" s="232" t="s">
        <v>161</v>
      </c>
      <c r="C1712" s="196" t="s">
        <v>211</v>
      </c>
      <c r="D1712" s="236" t="str">
        <f>_xlfn.XLOOKUP(B1712,'Relacion '!$E:$E,'Relacion '!$D:$D,"")</f>
        <v>07. VALIDACIÓN BAJAWARE</v>
      </c>
      <c r="E1712" s="233">
        <f t="shared" si="395"/>
        <v>148</v>
      </c>
      <c r="F1712" s="234" cm="1">
        <f t="array" ref="F1712">MIN(INDEX('Relacion '!$X$5:$AM$493,MATCH(INDEX($B:$B, (ROW()-0)),'Relacion '!$E$5:$E$493,0),0))</f>
        <v>46024</v>
      </c>
      <c r="G1712" s="234" cm="1">
        <f t="array" ref="G1712">MAX(INDEX('Relacion '!$X$5:$AM$493,MATCH(INDEX($B:$B, (ROW()-0)),'Relacion '!$E$5:$E$493,0),0))</f>
        <v>46172</v>
      </c>
      <c r="H1712" s="235" t="e">
        <f>AVERAGE(H1713:H1720)</f>
        <v>#REF!</v>
      </c>
      <c r="I1712" s="235">
        <f t="shared" ref="I1712" ca="1" si="406">AVERAGE(I1713:I1720)</f>
        <v>0.75</v>
      </c>
      <c r="J1712" s="236" t="str">
        <f>IF(ISNUMBER(SEARCH("Rocha", _xlfn.XLOOKUP(B1712,'Relacion '!$E:$E,'Relacion '!$I:$I,""))), "Sí", "No")</f>
        <v>No</v>
      </c>
      <c r="K1712" s="236" t="str">
        <f>IF(ISNUMBER(SEARCH("Rocha", _xlfn.XLOOKUP(B1712,'Relacion '!$E:$E,'Relacion '!$I:$I,""))), "RMC", _xlfn.XLOOKUP(B1712,'Relacion '!$E:$E,'Relacion '!$B:$B,""))</f>
        <v>Tesorería </v>
      </c>
      <c r="L1712" s="236" t="str">
        <f>_xlfn.XLOOKUP(B1712,'Relacion '!$E:$E,'Relacion '!$C:$C,"")</f>
        <v>Eduardo Cabral</v>
      </c>
    </row>
    <row r="1713" spans="2:12" outlineLevel="1">
      <c r="B1713" s="237" t="s">
        <v>654</v>
      </c>
      <c r="C1713" s="237" t="s">
        <v>654</v>
      </c>
      <c r="D1713" s="238" t="str">
        <f>_xlfn.XLOOKUP(B1713,'Relacion '!$E:$E,'Relacion '!$D:$D,"")</f>
        <v/>
      </c>
      <c r="E1713" s="239">
        <f t="shared" si="395"/>
        <v>59</v>
      </c>
      <c r="F1713" s="240" cm="1">
        <f t="array" ref="F1713">MIN(INDEX('Relacion '!$X$5:$Y$493,MATCH(INDEX($B:$B, (ROW()-1)),'Relacion '!$E$5:$E$493,0),0))</f>
        <v>46024</v>
      </c>
      <c r="G1713" s="240" cm="1">
        <f t="array" ref="G1713">MAX(INDEX('Relacion '!$X$5:$Y$493,MATCH(INDEX($B:$B, (ROW()-1)),'Relacion '!$E$5:$E$493,0),0))</f>
        <v>46083</v>
      </c>
      <c r="H1713" s="241" cm="1">
        <f t="array" ref="H1713">IF(
 MATCH(B1713,{"01. ASIGNACION AREA";"02. MAPEO";"03. DESARROLLO";"04. VALIDA US";"05. VOBO US";"06. BW-EJECUCION";"07. VALIDACIÓN BAJAWARE";"08. CERRADA"},0)
 &lt;
 MATCH(_xlfn.XLOOKUP(INDEX($B:$B, (ROW()-1)),'Relacion '!$E:$E,'Relacion '!$D:$D,""),{"01. ASIGNACION AREA";"02. MAPEO";"03. DESARROLLO";"04. VALIDA US";"05. VOBO US";"06. BW-EJECUCION";"07. VALIDACIÓN BAJAWARE";"08. CERRADA"},0),
 1,
 IF(
  MATCH(B1713,{"01. ASIGNACION AREA";"02. MAPEO";"03. DESARROLLO";"04. VALIDA US";"05. VOBO US";"06. BW-EJECUCION";"07. VALIDACIÓN BAJAWARE";"08. CERRADA"},0)
  =
  MATCH(_xlfn.XLOOKUP(INDEX($B:$B, (ROW()-1)),'Relacion '!$E:$E,'Relacion '!$D:$D,""),{"01. ASIGNACION AREA";"02. MAPEO";"03. DESARROLLO";"04. VALIDA US";"05. VOBO US";"06. BW-EJECUCION";"07. VALIDACIÓN BAJAWARE";"08. CERRADA"},0),
  _xlfn.XLOOKUP(INDEX($B:$B, (ROW()-1)),'Relacion '!$E:$E,'Relacion '!#REF!,0),
  0
 )
)</f>
        <v>1</v>
      </c>
      <c r="I1713" s="241">
        <f t="shared" ref="I1713:I1774" ca="1" si="407">IF(G1713&lt;=TODAY(), 1, 0)</f>
        <v>1</v>
      </c>
      <c r="J1713" s="241"/>
      <c r="K1713" s="241"/>
      <c r="L1713" s="238"/>
    </row>
    <row r="1714" spans="2:12" outlineLevel="1">
      <c r="B1714" s="237" t="s">
        <v>195</v>
      </c>
      <c r="C1714" s="237" t="s">
        <v>195</v>
      </c>
      <c r="D1714" s="238" t="str">
        <f>_xlfn.XLOOKUP(B1714,'Relacion '!$E:$E,'Relacion '!$D:$D,"")</f>
        <v/>
      </c>
      <c r="E1714" s="239">
        <f t="shared" si="395"/>
        <v>31</v>
      </c>
      <c r="F1714" s="240" cm="1">
        <f t="array" ref="F1714">MIN(INDEX('Relacion '!$Z$5:$AA$493,MATCH(INDEX($B:$B, (ROW()-2)),'Relacion '!$E$5:$E$493,0),0))</f>
        <v>46056</v>
      </c>
      <c r="G1714" s="240" cm="1">
        <f t="array" ref="G1714">MAX(INDEX('Relacion '!$Z$5:$AA$493,MATCH(INDEX($B:$B, (ROW()-2)),'Relacion '!$E$5:$E$493,0),0))</f>
        <v>46087</v>
      </c>
      <c r="H1714" s="241" cm="1">
        <f t="array" ref="H1714">IF(
 MATCH(B1714,{"01. ASIGNACION AREA";"02. MAPEO";"03. DESARROLLO";"04. VALIDA US";"05. VOBO US";"06. BW-EJECUCION";"07. VALIDACIÓN BAJAWARE";"08. CERRADA"},0)
 &lt;
 MATCH(_xlfn.XLOOKUP(INDEX($B:$B, (ROW()-2)),'Relacion '!$E:$E,'Relacion '!$D:$D,""),{"01. ASIGNACION AREA";"02. MAPEO";"03. DESARROLLO";"04. VALIDA US";"05. VOBO US";"06. BW-EJECUCION";"07. VALIDACIÓN BAJAWARE";"08. CERRADA"},0),
 1,
 IF(
  MATCH(B1714,{"01. ASIGNACION AREA";"02. MAPEO";"03. DESARROLLO";"04. VALIDA US";"05. VOBO US";"06. BW-EJECUCION";"07. VALIDACIÓN BAJAWARE";"08. CERRADA"},0)
  =
  MATCH(_xlfn.XLOOKUP(INDEX($B:$B, (ROW()-2)),'Relacion '!$E:$E,'Relacion '!$D:$D,""),{"01. ASIGNACION AREA";"02. MAPEO";"03. DESARROLLO";"04. VALIDA US";"05. VOBO US";"06. BW-EJECUCION";"07. VALIDACIÓN BAJAWARE";"08. CERRADA"},0),
  _xlfn.XLOOKUP(INDEX($B:$B, (ROW()-2)),'Relacion '!$E:$E,'Relacion '!#REF!,0),
  0
 )
)</f>
        <v>1</v>
      </c>
      <c r="I1714" s="241">
        <f t="shared" ca="1" si="407"/>
        <v>1</v>
      </c>
      <c r="J1714" s="241"/>
      <c r="K1714" s="241"/>
      <c r="L1714" s="238"/>
    </row>
    <row r="1715" spans="2:12" outlineLevel="1">
      <c r="B1715" s="237" t="s">
        <v>49</v>
      </c>
      <c r="C1715" s="237" t="s">
        <v>49</v>
      </c>
      <c r="D1715" s="238" t="str">
        <f>_xlfn.XLOOKUP(B1715,'Relacion '!$E:$E,'Relacion '!$D:$D,"")</f>
        <v/>
      </c>
      <c r="E1715" s="239">
        <f t="shared" si="395"/>
        <v>39</v>
      </c>
      <c r="F1715" s="240" cm="1">
        <f t="array" ref="F1715">MIN(INDEX('Relacion '!$AB$5:$AC$493,MATCH(INDEX($B:$B, (ROW()-3)),'Relacion '!$E$5:$E$493,0),0))</f>
        <v>46083</v>
      </c>
      <c r="G1715" s="240" cm="1">
        <f t="array" ref="G1715">MAX(INDEX('Relacion '!$AB$5:$AC$493,MATCH(INDEX($B:$B, (ROW()-3)),'Relacion '!$E$5:$E$493,0),0))</f>
        <v>46122</v>
      </c>
      <c r="H1715" s="241" cm="1">
        <f t="array" ref="H1715">IF(
 MATCH(B1715,{"01. ASIGNACION AREA";"02. MAPEO";"03. DESARROLLO";"04. VALIDA US";"05. VOBO US";"06. BW-EJECUCION";"07. VALIDACIÓN BAJAWARE";"08. CERRADA"},0)
 &lt;
 MATCH(_xlfn.XLOOKUP(INDEX($B:$B, (ROW()-3)),'Relacion '!$E:$E,'Relacion '!$D:$D,""),{"01. ASIGNACION AREA";"02. MAPEO";"03. DESARROLLO";"04. VALIDA US";"05. VOBO US";"06. BW-EJECUCION";"07. VALIDACIÓN BAJAWARE";"08. CERRADA"},0),
 1,
 IF(
  MATCH(B1715,{"01. ASIGNACION AREA";"02. MAPEO";"03. DESARROLLO";"04. VALIDA US";"05. VOBO US";"06. BW-EJECUCION";"07. VALIDACIÓN BAJAWARE";"08. CERRADA"},0)
  =
  MATCH(_xlfn.XLOOKUP(INDEX($B:$B, (ROW()-3)),'Relacion '!$E:$E,'Relacion '!$D:$D,""),{"01. ASIGNACION AREA";"02. MAPEO";"03. DESARROLLO";"04. VALIDA US";"05. VOBO US";"06. BW-EJECUCION";"07. VALIDACIÓN BAJAWARE";"08. CERRADA"},0),
  _xlfn.XLOOKUP(INDEX($B:$B, (ROW()-3)),'Relacion '!$E:$E,'Relacion '!#REF!,0),
  0
 )
)</f>
        <v>1</v>
      </c>
      <c r="I1715" s="241">
        <f t="shared" ca="1" si="407"/>
        <v>1</v>
      </c>
      <c r="J1715" s="241"/>
      <c r="K1715" s="241"/>
      <c r="L1715" s="238"/>
    </row>
    <row r="1716" spans="2:12" outlineLevel="1">
      <c r="B1716" s="237" t="s">
        <v>324</v>
      </c>
      <c r="C1716" s="237" t="s">
        <v>324</v>
      </c>
      <c r="D1716" s="238" t="str">
        <f>_xlfn.XLOOKUP(B1716,'Relacion '!$E:$E,'Relacion '!$D:$D,"")</f>
        <v/>
      </c>
      <c r="E1716" s="239">
        <f t="shared" si="395"/>
        <v>25</v>
      </c>
      <c r="F1716" s="240" cm="1">
        <f t="array" ref="F1716">MIN(INDEX('Relacion '!$AD$5:$AE$493,MATCH(INDEX($B:$B, (ROW()-4)),'Relacion '!$E$5:$E$493,0),0))</f>
        <v>46111</v>
      </c>
      <c r="G1716" s="240" cm="1">
        <f t="array" ref="G1716">MAX(INDEX('Relacion '!$AD$5:$AE$493,MATCH(INDEX($B:$B, (ROW()-4)),'Relacion '!$E$5:$E$493,0),0))</f>
        <v>46136</v>
      </c>
      <c r="H1716" s="241" cm="1">
        <f t="array" ref="H1716">IF(
 MATCH(B1716,{"01. ASIGNACION AREA";"02. MAPEO";"03. DESARROLLO";"04. VALIDA US";"05. VOBO US";"06. BW-EJECUCION";"07. VALIDACIÓN BAJAWARE";"08. CERRADA"},0)
 &lt;
 MATCH(_xlfn.XLOOKUP(INDEX($B:$B, (ROW()-4)),'Relacion '!$E:$E,'Relacion '!$D:$D,""),{"01. ASIGNACION AREA";"02. MAPEO";"03. DESARROLLO";"04. VALIDA US";"05. VOBO US";"06. BW-EJECUCION";"07. VALIDACIÓN BAJAWARE";"08. CERRADA"},0),
 1,
 IF(
  MATCH(B1716,{"01. ASIGNACION AREA";"02. MAPEO";"03. DESARROLLO";"04. VALIDA US";"05. VOBO US";"06. BW-EJECUCION";"07. VALIDACIÓN BAJAWARE";"08. CERRADA"},0)
  =
  MATCH(_xlfn.XLOOKUP(INDEX($B:$B, (ROW()-4)),'Relacion '!$E:$E,'Relacion '!$D:$D,""),{"01. ASIGNACION AREA";"02. MAPEO";"03. DESARROLLO";"04. VALIDA US";"05. VOBO US";"06. BW-EJECUCION";"07. VALIDACIÓN BAJAWARE";"08. CERRADA"},0),
  _xlfn.XLOOKUP(INDEX($B:$B, (ROW()-4)),'Relacion '!$E:$E,'Relacion '!#REF!,0),
  0
 )
)</f>
        <v>1</v>
      </c>
      <c r="I1716" s="241">
        <f t="shared" ca="1" si="407"/>
        <v>1</v>
      </c>
      <c r="J1716" s="241"/>
      <c r="K1716" s="241"/>
      <c r="L1716" s="238"/>
    </row>
    <row r="1717" spans="2:12" outlineLevel="1">
      <c r="B1717" s="237" t="s">
        <v>320</v>
      </c>
      <c r="C1717" s="237" t="s">
        <v>320</v>
      </c>
      <c r="D1717" s="238" t="str">
        <f>_xlfn.XLOOKUP(B1717,'Relacion '!$E:$E,'Relacion '!$D:$D,"")</f>
        <v/>
      </c>
      <c r="E1717" s="239">
        <f t="shared" si="395"/>
        <v>18</v>
      </c>
      <c r="F1717" s="240" cm="1">
        <f t="array" ref="F1717">MIN(INDEX('Relacion '!$AF$5:$AG$493,MATCH(INDEX($B:$B, (ROW()-5)),'Relacion '!$E$5:$E$493,0),0))</f>
        <v>46118</v>
      </c>
      <c r="G1717" s="240" cm="1">
        <f t="array" ref="G1717">MAX(INDEX('Relacion '!$AF$5:$AG$493,MATCH(INDEX($B:$B, (ROW()-5)),'Relacion '!$E$5:$E$493,0),0))</f>
        <v>46136</v>
      </c>
      <c r="H1717" s="241" cm="1">
        <f t="array" ref="H1717">IF(
 MATCH(B1717,{"01. ASIGNACION AREA";"02. MAPEO";"03. DESARROLLO";"04. VALIDA US";"05. VOBO US";"06. BW-EJECUCION";"07. VALIDACIÓN BAJAWARE";"08. CERRADA"},0)
 &lt;
 MATCH(_xlfn.XLOOKUP(INDEX($B:$B, (ROW()-5)),'Relacion '!$E:$E,'Relacion '!$D:$D,""),{"01. ASIGNACION AREA";"02. MAPEO";"03. DESARROLLO";"04. VALIDA US";"05. VOBO US";"06. BW-EJECUCION";"07. VALIDACIÓN BAJAWARE";"08. CERRADA"},0),
 1,
 IF(
  MATCH(B1717,{"01. ASIGNACION AREA";"02. MAPEO";"03. DESARROLLO";"04. VALIDA US";"05. VOBO US";"06. BW-EJECUCION";"07. VALIDACIÓN BAJAWARE";"08. CERRADA"},0)
  =
  MATCH(_xlfn.XLOOKUP(INDEX($B:$B, (ROW()-5)),'Relacion '!$E:$E,'Relacion '!$D:$D,""),{"01. ASIGNACION AREA";"02. MAPEO";"03. DESARROLLO";"04. VALIDA US";"05. VOBO US";"06. BW-EJECUCION";"07. VALIDACIÓN BAJAWARE";"08. CERRADA"},0),
  _xlfn.XLOOKUP(INDEX($B:$B, (ROW()-5)),'Relacion '!$E:$E,'Relacion '!#REF!,0),
  0
 )
)</f>
        <v>1</v>
      </c>
      <c r="I1717" s="241">
        <f t="shared" ca="1" si="407"/>
        <v>1</v>
      </c>
      <c r="J1717" s="241"/>
      <c r="K1717" s="241"/>
      <c r="L1717" s="238"/>
    </row>
    <row r="1718" spans="2:12" outlineLevel="1">
      <c r="B1718" s="237" t="s">
        <v>710</v>
      </c>
      <c r="C1718" s="237" t="s">
        <v>710</v>
      </c>
      <c r="D1718" s="238" t="str">
        <f>_xlfn.XLOOKUP(B1718,'Relacion '!$E:$E,'Relacion '!$D:$D,"")</f>
        <v/>
      </c>
      <c r="E1718" s="239">
        <f t="shared" si="395"/>
        <v>25</v>
      </c>
      <c r="F1718" s="240" cm="1">
        <f t="array" ref="F1718">MIN(INDEX('Relacion '!$AH$5:$AI$493,MATCH(INDEX($B:$B, (ROW()-6)),'Relacion '!$E$5:$E$493,0),0))</f>
        <v>46125</v>
      </c>
      <c r="G1718" s="240" cm="1">
        <f t="array" ref="G1718">MAX(INDEX('Relacion '!$AH$5:$AI$493,MATCH(INDEX($B:$B, (ROW()-6)),'Relacion '!$E$5:$E$493,0),0))</f>
        <v>46150</v>
      </c>
      <c r="H1718" s="241" cm="1">
        <f t="array" ref="H1718">IF(
 MATCH(B1718,{"01. ASIGNACION AREA";"02. MAPEO";"03. DESARROLLO";"04. VALIDA US";"05. VOBO US";"06. BW-EJECUCION";"07. VALIDACIÓN BAJAWARE";"08. CERRADA"},0)
 &lt;
 MATCH(_xlfn.XLOOKUP(INDEX($B:$B, (ROW()-6)),'Relacion '!$E:$E,'Relacion '!$D:$D,""),{"01. ASIGNACION AREA";"02. MAPEO";"03. DESARROLLO";"04. VALIDA US";"05. VOBO US";"06. BW-EJECUCION";"07. VALIDACIÓN BAJAWARE";"08. CERRADA"},0),
 1,
 IF(
  MATCH(B1718,{"01. ASIGNACION AREA";"02. MAPEO";"03. DESARROLLO";"04. VALIDA US";"05. VOBO US";"06. BW-EJECUCION";"07. VALIDACIÓN BAJAWARE";"08. CERRADA"},0)
  =
  MATCH(_xlfn.XLOOKUP(INDEX($B:$B, (ROW()-6)),'Relacion '!$E:$E,'Relacion '!$D:$D,""),{"01. ASIGNACION AREA";"02. MAPEO";"03. DESARROLLO";"04. VALIDA US";"05. VOBO US";"06. BW-EJECUCION";"07. VALIDACIÓN BAJAWARE";"08. CERRADA"},0),
  _xlfn.XLOOKUP(INDEX($B:$B, (ROW()-6)),'Relacion '!$E:$E,'Relacion '!#REF!,0),
  0
 )
)</f>
        <v>1</v>
      </c>
      <c r="I1718" s="241">
        <f t="shared" ca="1" si="407"/>
        <v>1</v>
      </c>
      <c r="J1718" s="241"/>
      <c r="K1718" s="241"/>
      <c r="L1718" s="238"/>
    </row>
    <row r="1719" spans="2:12" outlineLevel="1">
      <c r="B1719" s="237" t="s">
        <v>655</v>
      </c>
      <c r="C1719" s="237" t="s">
        <v>655</v>
      </c>
      <c r="D1719" s="238" t="str">
        <f>_xlfn.XLOOKUP(B1719,'Relacion '!$E:$E,'Relacion '!$D:$D,"")</f>
        <v/>
      </c>
      <c r="E1719" s="239">
        <f t="shared" si="395"/>
        <v>32</v>
      </c>
      <c r="F1719" s="240" cm="1">
        <f t="array" ref="F1719">MIN(INDEX('Relacion '!$AJ$5:$AK$493,MATCH(INDEX($B:$B, (ROW()-7)),'Relacion '!$E$5:$E$493,0),0))</f>
        <v>46139</v>
      </c>
      <c r="G1719" s="240" cm="1">
        <f t="array" ref="G1719">MAX(INDEX('Relacion '!$AJ$5:$AK$493,MATCH(INDEX($B:$B, (ROW()-7)),'Relacion '!$E$5:$E$493,0),0))</f>
        <v>46171</v>
      </c>
      <c r="H1719" s="241" t="e" cm="1">
        <f t="array" ref="H1719">IF(
 MATCH(B1719,{"01. ASIGNACION AREA";"02. MAPEO";"03. DESARROLLO";"04. VALIDA US";"05. VOBO US";"06. BW-EJECUCION";"07. VALIDACIÓN BAJAWARE";"08. CERRADA"},0)
 &lt;
 MATCH(_xlfn.XLOOKUP(INDEX($B:$B, (ROW()-7)),'Relacion '!$E:$E,'Relacion '!$D:$D,""),{"01. ASIGNACION AREA";"02. MAPEO";"03. DESARROLLO";"04. VALIDA US";"05. VOBO US";"06. BW-EJECUCION";"07. VALIDACIÓN BAJAWARE";"08. CERRADA"},0),
 1,
 IF(
  MATCH(B1719,{"01. ASIGNACION AREA";"02. MAPEO";"03. DESARROLLO";"04. VALIDA US";"05. VOBO US";"06. BW-EJECUCION";"07. VALIDACIÓN BAJAWARE";"08. CERRADA"},0)
  =
  MATCH(_xlfn.XLOOKUP(INDEX($B:$B, (ROW()-7)),'Relacion '!$E:$E,'Relacion '!$D:$D,""),{"01. ASIGNACION AREA";"02. MAPEO";"03. DESARROLLO";"04. VALIDA US";"05. VOBO US";"06. BW-EJECUCION";"07. VALIDACIÓN BAJAWARE";"08. CERRADA"},0),
  _xlfn.XLOOKUP(INDEX($B:$B, (ROW()-7)),'Relacion '!$E:$E,'Relacion '!#REF!,0),
  0
 )
)</f>
        <v>#REF!</v>
      </c>
      <c r="I1719" s="241">
        <f t="shared" ca="1" si="407"/>
        <v>0</v>
      </c>
      <c r="J1719" s="241"/>
      <c r="K1719" s="241"/>
      <c r="L1719" s="238"/>
    </row>
    <row r="1720" spans="2:12" outlineLevel="1">
      <c r="B1720" s="237" t="s">
        <v>656</v>
      </c>
      <c r="C1720" s="237" t="s">
        <v>656</v>
      </c>
      <c r="D1720" s="238" t="str">
        <f>_xlfn.XLOOKUP(B1720,'Relacion '!$E:$E,'Relacion '!$D:$D,"")</f>
        <v/>
      </c>
      <c r="E1720" s="239">
        <f t="shared" si="395"/>
        <v>0</v>
      </c>
      <c r="F1720" s="240" cm="1">
        <f t="array" ref="F1720">MIN(INDEX('Relacion '!$AL$5:$AM$493,MATCH(INDEX($B:$B, (ROW()-8)),'Relacion '!$E$5:$E$493,0),0))</f>
        <v>46172</v>
      </c>
      <c r="G1720" s="240" cm="1">
        <f t="array" ref="G1720">MAX(INDEX('Relacion '!$AL$5:$AM$493,MATCH(INDEX($B:$B, (ROW()-8)),'Relacion '!$E$5:$E$493,0),0))</f>
        <v>46172</v>
      </c>
      <c r="H1720" s="241" cm="1">
        <f t="array" ref="H1720">IF(
 MATCH(B1720,{"01. ASIGNACION AREA";"02. MAPEO";"03. DESARROLLO";"04. VALIDA US";"05. VOBO US";"06. BW-EJECUCION";"07. VALIDACIÓN BAJAWARE";"08. CERRADA"},0)
 &lt;
 MATCH(_xlfn.XLOOKUP(INDEX($B:$B, (ROW()-8)),'Relacion '!$E:$E,'Relacion '!$D:$D,""),{"01. ASIGNACION AREA";"02. MAPEO";"03. DESARROLLO";"04. VALIDA US";"05. VOBO US";"06. BW-EJECUCION";"07. VALIDACIÓN BAJAWARE";"08. CERRADA"},0),
 1,
 IF(
  MATCH(B1720,{"01. ASIGNACION AREA";"02. MAPEO";"03. DESARROLLO";"04. VALIDA US";"05. VOBO US";"06. BW-EJECUCION";"07. VALIDACIÓN BAJAWARE";"08. CERRADA"},0)
  =
  MATCH(_xlfn.XLOOKUP(INDEX($B:$B, (ROW()-8)),'Relacion '!$E:$E,'Relacion '!$D:$D,""),{"01. ASIGNACION AREA";"02. MAPEO";"03. DESARROLLO";"04. VALIDA US";"05. VOBO US";"06. BW-EJECUCION";"07. VALIDACIÓN BAJAWARE";"08. CERRADA"},0),
  _xlfn.XLOOKUP(INDEX($B:$B, (ROW()-8)),'Relacion '!$E:$E,'Relacion '!#REF!,0),
  0
 )
)</f>
        <v>0</v>
      </c>
      <c r="I1720" s="241">
        <f t="shared" ca="1" si="407"/>
        <v>0</v>
      </c>
      <c r="J1720" s="241"/>
      <c r="K1720" s="241"/>
      <c r="L1720" s="238"/>
    </row>
    <row r="1721" spans="2:12" ht="30">
      <c r="B1721" s="232" t="s">
        <v>221</v>
      </c>
      <c r="C1721" s="196" t="s">
        <v>211</v>
      </c>
      <c r="D1721" s="236" t="str">
        <f>_xlfn.XLOOKUP(B1721,'Relacion '!$E:$E,'Relacion '!$D:$D,"")</f>
        <v>07. VALIDACIÓN BAJAWARE</v>
      </c>
      <c r="E1721" s="233">
        <f t="shared" si="395"/>
        <v>148</v>
      </c>
      <c r="F1721" s="234" cm="1">
        <f t="array" ref="F1721">MIN(INDEX('Relacion '!$X$5:$AM$493,MATCH(INDEX($B:$B, (ROW()-0)),'Relacion '!$E$5:$E$493,0),0))</f>
        <v>46024</v>
      </c>
      <c r="G1721" s="234" cm="1">
        <f t="array" ref="G1721">MAX(INDEX('Relacion '!$X$5:$AM$493,MATCH(INDEX($B:$B, (ROW()-0)),'Relacion '!$E$5:$E$493,0),0))</f>
        <v>46172</v>
      </c>
      <c r="H1721" s="235" t="e">
        <f>AVERAGE(H1722:H1729)</f>
        <v>#REF!</v>
      </c>
      <c r="I1721" s="235">
        <f t="shared" ref="I1721" ca="1" si="408">AVERAGE(I1722:I1729)</f>
        <v>0.75</v>
      </c>
      <c r="J1721" s="236" t="str">
        <f>IF(ISNUMBER(SEARCH("Rocha", _xlfn.XLOOKUP(B1721,'Relacion '!$E:$E,'Relacion '!$I:$I,""))), "Sí", "No")</f>
        <v>No</v>
      </c>
      <c r="K1721" s="236" t="str">
        <f>IF(ISNUMBER(SEARCH("Rocha", _xlfn.XLOOKUP(B1721,'Relacion '!$E:$E,'Relacion '!$I:$I,""))), "RMC", _xlfn.XLOOKUP(B1721,'Relacion '!$E:$E,'Relacion '!$B:$B,""))</f>
        <v>Tesorería </v>
      </c>
      <c r="L1721" s="236" t="str">
        <f>_xlfn.XLOOKUP(B1721,'Relacion '!$E:$E,'Relacion '!$C:$C,"")</f>
        <v>Eduardo Cabral</v>
      </c>
    </row>
    <row r="1722" spans="2:12" outlineLevel="1">
      <c r="B1722" s="237" t="s">
        <v>654</v>
      </c>
      <c r="C1722" s="237" t="s">
        <v>654</v>
      </c>
      <c r="D1722" s="238" t="str">
        <f>_xlfn.XLOOKUP(B1722,'Relacion '!$E:$E,'Relacion '!$D:$D,"")</f>
        <v/>
      </c>
      <c r="E1722" s="239">
        <f t="shared" si="395"/>
        <v>59</v>
      </c>
      <c r="F1722" s="240" cm="1">
        <f t="array" ref="F1722">MIN(INDEX('Relacion '!$X$5:$Y$493,MATCH(INDEX($B:$B, (ROW()-1)),'Relacion '!$E$5:$E$493,0),0))</f>
        <v>46024</v>
      </c>
      <c r="G1722" s="240" cm="1">
        <f t="array" ref="G1722">MAX(INDEX('Relacion '!$X$5:$Y$493,MATCH(INDEX($B:$B, (ROW()-1)),'Relacion '!$E$5:$E$493,0),0))</f>
        <v>46083</v>
      </c>
      <c r="H1722" s="241" cm="1">
        <f t="array" ref="H1722">IF(
 MATCH(B1722,{"01. ASIGNACION AREA";"02. MAPEO";"03. DESARROLLO";"04. VALIDA US";"05. VOBO US";"06. BW-EJECUCION";"07. VALIDACIÓN BAJAWARE";"08. CERRADA"},0)
 &lt;
 MATCH(_xlfn.XLOOKUP(INDEX($B:$B, (ROW()-1)),'Relacion '!$E:$E,'Relacion '!$D:$D,""),{"01. ASIGNACION AREA";"02. MAPEO";"03. DESARROLLO";"04. VALIDA US";"05. VOBO US";"06. BW-EJECUCION";"07. VALIDACIÓN BAJAWARE";"08. CERRADA"},0),
 1,
 IF(
  MATCH(B1722,{"01. ASIGNACION AREA";"02. MAPEO";"03. DESARROLLO";"04. VALIDA US";"05. VOBO US";"06. BW-EJECUCION";"07. VALIDACIÓN BAJAWARE";"08. CERRADA"},0)
  =
  MATCH(_xlfn.XLOOKUP(INDEX($B:$B, (ROW()-1)),'Relacion '!$E:$E,'Relacion '!$D:$D,""),{"01. ASIGNACION AREA";"02. MAPEO";"03. DESARROLLO";"04. VALIDA US";"05. VOBO US";"06. BW-EJECUCION";"07. VALIDACIÓN BAJAWARE";"08. CERRADA"},0),
  _xlfn.XLOOKUP(INDEX($B:$B, (ROW()-1)),'Relacion '!$E:$E,'Relacion '!#REF!,0),
  0
 )
)</f>
        <v>1</v>
      </c>
      <c r="I1722" s="241">
        <f t="shared" ref="I1722" ca="1" si="409">IF(G1722&lt;=TODAY(), 1, 0)</f>
        <v>1</v>
      </c>
      <c r="J1722" s="241"/>
      <c r="K1722" s="241"/>
      <c r="L1722" s="238"/>
    </row>
    <row r="1723" spans="2:12" outlineLevel="1">
      <c r="B1723" s="237" t="s">
        <v>195</v>
      </c>
      <c r="C1723" s="237" t="s">
        <v>195</v>
      </c>
      <c r="D1723" s="238" t="str">
        <f>_xlfn.XLOOKUP(B1723,'Relacion '!$E:$E,'Relacion '!$D:$D,"")</f>
        <v/>
      </c>
      <c r="E1723" s="239">
        <f t="shared" si="395"/>
        <v>31</v>
      </c>
      <c r="F1723" s="240" cm="1">
        <f t="array" ref="F1723">MIN(INDEX('Relacion '!$Z$5:$AA$493,MATCH(INDEX($B:$B, (ROW()-2)),'Relacion '!$E$5:$E$493,0),0))</f>
        <v>46056</v>
      </c>
      <c r="G1723" s="240" cm="1">
        <f t="array" ref="G1723">MAX(INDEX('Relacion '!$Z$5:$AA$493,MATCH(INDEX($B:$B, (ROW()-2)),'Relacion '!$E$5:$E$493,0),0))</f>
        <v>46087</v>
      </c>
      <c r="H1723" s="241" cm="1">
        <f t="array" ref="H1723">IF(
 MATCH(B1723,{"01. ASIGNACION AREA";"02. MAPEO";"03. DESARROLLO";"04. VALIDA US";"05. VOBO US";"06. BW-EJECUCION";"07. VALIDACIÓN BAJAWARE";"08. CERRADA"},0)
 &lt;
 MATCH(_xlfn.XLOOKUP(INDEX($B:$B, (ROW()-2)),'Relacion '!$E:$E,'Relacion '!$D:$D,""),{"01. ASIGNACION AREA";"02. MAPEO";"03. DESARROLLO";"04. VALIDA US";"05. VOBO US";"06. BW-EJECUCION";"07. VALIDACIÓN BAJAWARE";"08. CERRADA"},0),
 1,
 IF(
  MATCH(B1723,{"01. ASIGNACION AREA";"02. MAPEO";"03. DESARROLLO";"04. VALIDA US";"05. VOBO US";"06. BW-EJECUCION";"07. VALIDACIÓN BAJAWARE";"08. CERRADA"},0)
  =
  MATCH(_xlfn.XLOOKUP(INDEX($B:$B, (ROW()-2)),'Relacion '!$E:$E,'Relacion '!$D:$D,""),{"01. ASIGNACION AREA";"02. MAPEO";"03. DESARROLLO";"04. VALIDA US";"05. VOBO US";"06. BW-EJECUCION";"07. VALIDACIÓN BAJAWARE";"08. CERRADA"},0),
  _xlfn.XLOOKUP(INDEX($B:$B, (ROW()-2)),'Relacion '!$E:$E,'Relacion '!#REF!,0),
  0
 )
)</f>
        <v>1</v>
      </c>
      <c r="I1723" s="241">
        <f t="shared" ca="1" si="407"/>
        <v>1</v>
      </c>
      <c r="J1723" s="241"/>
      <c r="K1723" s="241"/>
      <c r="L1723" s="238"/>
    </row>
    <row r="1724" spans="2:12" outlineLevel="1">
      <c r="B1724" s="237" t="s">
        <v>49</v>
      </c>
      <c r="C1724" s="237" t="s">
        <v>49</v>
      </c>
      <c r="D1724" s="238" t="str">
        <f>_xlfn.XLOOKUP(B1724,'Relacion '!$E:$E,'Relacion '!$D:$D,"")</f>
        <v/>
      </c>
      <c r="E1724" s="239">
        <f t="shared" si="395"/>
        <v>39</v>
      </c>
      <c r="F1724" s="240" cm="1">
        <f t="array" ref="F1724">MIN(INDEX('Relacion '!$AB$5:$AC$493,MATCH(INDEX($B:$B, (ROW()-3)),'Relacion '!$E$5:$E$493,0),0))</f>
        <v>46083</v>
      </c>
      <c r="G1724" s="240" cm="1">
        <f t="array" ref="G1724">MAX(INDEX('Relacion '!$AB$5:$AC$493,MATCH(INDEX($B:$B, (ROW()-3)),'Relacion '!$E$5:$E$493,0),0))</f>
        <v>46122</v>
      </c>
      <c r="H1724" s="241" cm="1">
        <f t="array" ref="H1724">IF(
 MATCH(B1724,{"01. ASIGNACION AREA";"02. MAPEO";"03. DESARROLLO";"04. VALIDA US";"05. VOBO US";"06. BW-EJECUCION";"07. VALIDACIÓN BAJAWARE";"08. CERRADA"},0)
 &lt;
 MATCH(_xlfn.XLOOKUP(INDEX($B:$B, (ROW()-3)),'Relacion '!$E:$E,'Relacion '!$D:$D,""),{"01. ASIGNACION AREA";"02. MAPEO";"03. DESARROLLO";"04. VALIDA US";"05. VOBO US";"06. BW-EJECUCION";"07. VALIDACIÓN BAJAWARE";"08. CERRADA"},0),
 1,
 IF(
  MATCH(B1724,{"01. ASIGNACION AREA";"02. MAPEO";"03. DESARROLLO";"04. VALIDA US";"05. VOBO US";"06. BW-EJECUCION";"07. VALIDACIÓN BAJAWARE";"08. CERRADA"},0)
  =
  MATCH(_xlfn.XLOOKUP(INDEX($B:$B, (ROW()-3)),'Relacion '!$E:$E,'Relacion '!$D:$D,""),{"01. ASIGNACION AREA";"02. MAPEO";"03. DESARROLLO";"04. VALIDA US";"05. VOBO US";"06. BW-EJECUCION";"07. VALIDACIÓN BAJAWARE";"08. CERRADA"},0),
  _xlfn.XLOOKUP(INDEX($B:$B, (ROW()-3)),'Relacion '!$E:$E,'Relacion '!#REF!,0),
  0
 )
)</f>
        <v>1</v>
      </c>
      <c r="I1724" s="241">
        <f t="shared" ca="1" si="407"/>
        <v>1</v>
      </c>
      <c r="J1724" s="241"/>
      <c r="K1724" s="241"/>
      <c r="L1724" s="238"/>
    </row>
    <row r="1725" spans="2:12" outlineLevel="1">
      <c r="B1725" s="237" t="s">
        <v>324</v>
      </c>
      <c r="C1725" s="237" t="s">
        <v>324</v>
      </c>
      <c r="D1725" s="238" t="str">
        <f>_xlfn.XLOOKUP(B1725,'Relacion '!$E:$E,'Relacion '!$D:$D,"")</f>
        <v/>
      </c>
      <c r="E1725" s="239">
        <f t="shared" si="395"/>
        <v>25</v>
      </c>
      <c r="F1725" s="240" cm="1">
        <f t="array" ref="F1725">MIN(INDEX('Relacion '!$AD$5:$AE$493,MATCH(INDEX($B:$B, (ROW()-4)),'Relacion '!$E$5:$E$493,0),0))</f>
        <v>46111</v>
      </c>
      <c r="G1725" s="240" cm="1">
        <f t="array" ref="G1725">MAX(INDEX('Relacion '!$AD$5:$AE$493,MATCH(INDEX($B:$B, (ROW()-4)),'Relacion '!$E$5:$E$493,0),0))</f>
        <v>46136</v>
      </c>
      <c r="H1725" s="241" cm="1">
        <f t="array" ref="H1725">IF(
 MATCH(B1725,{"01. ASIGNACION AREA";"02. MAPEO";"03. DESARROLLO";"04. VALIDA US";"05. VOBO US";"06. BW-EJECUCION";"07. VALIDACIÓN BAJAWARE";"08. CERRADA"},0)
 &lt;
 MATCH(_xlfn.XLOOKUP(INDEX($B:$B, (ROW()-4)),'Relacion '!$E:$E,'Relacion '!$D:$D,""),{"01. ASIGNACION AREA";"02. MAPEO";"03. DESARROLLO";"04. VALIDA US";"05. VOBO US";"06. BW-EJECUCION";"07. VALIDACIÓN BAJAWARE";"08. CERRADA"},0),
 1,
 IF(
  MATCH(B1725,{"01. ASIGNACION AREA";"02. MAPEO";"03. DESARROLLO";"04. VALIDA US";"05. VOBO US";"06. BW-EJECUCION";"07. VALIDACIÓN BAJAWARE";"08. CERRADA"},0)
  =
  MATCH(_xlfn.XLOOKUP(INDEX($B:$B, (ROW()-4)),'Relacion '!$E:$E,'Relacion '!$D:$D,""),{"01. ASIGNACION AREA";"02. MAPEO";"03. DESARROLLO";"04. VALIDA US";"05. VOBO US";"06. BW-EJECUCION";"07. VALIDACIÓN BAJAWARE";"08. CERRADA"},0),
  _xlfn.XLOOKUP(INDEX($B:$B, (ROW()-4)),'Relacion '!$E:$E,'Relacion '!#REF!,0),
  0
 )
)</f>
        <v>1</v>
      </c>
      <c r="I1725" s="241">
        <f t="shared" ca="1" si="407"/>
        <v>1</v>
      </c>
      <c r="J1725" s="241"/>
      <c r="K1725" s="241"/>
      <c r="L1725" s="238"/>
    </row>
    <row r="1726" spans="2:12" outlineLevel="1">
      <c r="B1726" s="237" t="s">
        <v>320</v>
      </c>
      <c r="C1726" s="237" t="s">
        <v>320</v>
      </c>
      <c r="D1726" s="238" t="str">
        <f>_xlfn.XLOOKUP(B1726,'Relacion '!$E:$E,'Relacion '!$D:$D,"")</f>
        <v/>
      </c>
      <c r="E1726" s="239">
        <f t="shared" si="395"/>
        <v>18</v>
      </c>
      <c r="F1726" s="240" cm="1">
        <f t="array" ref="F1726">MIN(INDEX('Relacion '!$AF$5:$AG$493,MATCH(INDEX($B:$B, (ROW()-5)),'Relacion '!$E$5:$E$493,0),0))</f>
        <v>46118</v>
      </c>
      <c r="G1726" s="240" cm="1">
        <f t="array" ref="G1726">MAX(INDEX('Relacion '!$AF$5:$AG$493,MATCH(INDEX($B:$B, (ROW()-5)),'Relacion '!$E$5:$E$493,0),0))</f>
        <v>46136</v>
      </c>
      <c r="H1726" s="241" cm="1">
        <f t="array" ref="H1726">IF(
 MATCH(B1726,{"01. ASIGNACION AREA";"02. MAPEO";"03. DESARROLLO";"04. VALIDA US";"05. VOBO US";"06. BW-EJECUCION";"07. VALIDACIÓN BAJAWARE";"08. CERRADA"},0)
 &lt;
 MATCH(_xlfn.XLOOKUP(INDEX($B:$B, (ROW()-5)),'Relacion '!$E:$E,'Relacion '!$D:$D,""),{"01. ASIGNACION AREA";"02. MAPEO";"03. DESARROLLO";"04. VALIDA US";"05. VOBO US";"06. BW-EJECUCION";"07. VALIDACIÓN BAJAWARE";"08. CERRADA"},0),
 1,
 IF(
  MATCH(B1726,{"01. ASIGNACION AREA";"02. MAPEO";"03. DESARROLLO";"04. VALIDA US";"05. VOBO US";"06. BW-EJECUCION";"07. VALIDACIÓN BAJAWARE";"08. CERRADA"},0)
  =
  MATCH(_xlfn.XLOOKUP(INDEX($B:$B, (ROW()-5)),'Relacion '!$E:$E,'Relacion '!$D:$D,""),{"01. ASIGNACION AREA";"02. MAPEO";"03. DESARROLLO";"04. VALIDA US";"05. VOBO US";"06. BW-EJECUCION";"07. VALIDACIÓN BAJAWARE";"08. CERRADA"},0),
  _xlfn.XLOOKUP(INDEX($B:$B, (ROW()-5)),'Relacion '!$E:$E,'Relacion '!#REF!,0),
  0
 )
)</f>
        <v>1</v>
      </c>
      <c r="I1726" s="241">
        <f t="shared" ca="1" si="407"/>
        <v>1</v>
      </c>
      <c r="J1726" s="241"/>
      <c r="K1726" s="241"/>
      <c r="L1726" s="238"/>
    </row>
    <row r="1727" spans="2:12" outlineLevel="1">
      <c r="B1727" s="237" t="s">
        <v>710</v>
      </c>
      <c r="C1727" s="237" t="s">
        <v>710</v>
      </c>
      <c r="D1727" s="238" t="str">
        <f>_xlfn.XLOOKUP(B1727,'Relacion '!$E:$E,'Relacion '!$D:$D,"")</f>
        <v/>
      </c>
      <c r="E1727" s="239">
        <f t="shared" si="395"/>
        <v>25</v>
      </c>
      <c r="F1727" s="240" cm="1">
        <f t="array" ref="F1727">MIN(INDEX('Relacion '!$AH$5:$AI$493,MATCH(INDEX($B:$B, (ROW()-6)),'Relacion '!$E$5:$E$493,0),0))</f>
        <v>46125</v>
      </c>
      <c r="G1727" s="240" cm="1">
        <f t="array" ref="G1727">MAX(INDEX('Relacion '!$AH$5:$AI$493,MATCH(INDEX($B:$B, (ROW()-6)),'Relacion '!$E$5:$E$493,0),0))</f>
        <v>46150</v>
      </c>
      <c r="H1727" s="241" cm="1">
        <f t="array" ref="H1727">IF(
 MATCH(B1727,{"01. ASIGNACION AREA";"02. MAPEO";"03. DESARROLLO";"04. VALIDA US";"05. VOBO US";"06. BW-EJECUCION";"07. VALIDACIÓN BAJAWARE";"08. CERRADA"},0)
 &lt;
 MATCH(_xlfn.XLOOKUP(INDEX($B:$B, (ROW()-6)),'Relacion '!$E:$E,'Relacion '!$D:$D,""),{"01. ASIGNACION AREA";"02. MAPEO";"03. DESARROLLO";"04. VALIDA US";"05. VOBO US";"06. BW-EJECUCION";"07. VALIDACIÓN BAJAWARE";"08. CERRADA"},0),
 1,
 IF(
  MATCH(B1727,{"01. ASIGNACION AREA";"02. MAPEO";"03. DESARROLLO";"04. VALIDA US";"05. VOBO US";"06. BW-EJECUCION";"07. VALIDACIÓN BAJAWARE";"08. CERRADA"},0)
  =
  MATCH(_xlfn.XLOOKUP(INDEX($B:$B, (ROW()-6)),'Relacion '!$E:$E,'Relacion '!$D:$D,""),{"01. ASIGNACION AREA";"02. MAPEO";"03. DESARROLLO";"04. VALIDA US";"05. VOBO US";"06. BW-EJECUCION";"07. VALIDACIÓN BAJAWARE";"08. CERRADA"},0),
  _xlfn.XLOOKUP(INDEX($B:$B, (ROW()-6)),'Relacion '!$E:$E,'Relacion '!#REF!,0),
  0
 )
)</f>
        <v>1</v>
      </c>
      <c r="I1727" s="241">
        <f t="shared" ca="1" si="407"/>
        <v>1</v>
      </c>
      <c r="J1727" s="241"/>
      <c r="K1727" s="241"/>
      <c r="L1727" s="238"/>
    </row>
    <row r="1728" spans="2:12" outlineLevel="1">
      <c r="B1728" s="237" t="s">
        <v>655</v>
      </c>
      <c r="C1728" s="237" t="s">
        <v>655</v>
      </c>
      <c r="D1728" s="238" t="str">
        <f>_xlfn.XLOOKUP(B1728,'Relacion '!$E:$E,'Relacion '!$D:$D,"")</f>
        <v/>
      </c>
      <c r="E1728" s="239">
        <f t="shared" si="395"/>
        <v>32</v>
      </c>
      <c r="F1728" s="240" cm="1">
        <f t="array" ref="F1728">MIN(INDEX('Relacion '!$AJ$5:$AK$493,MATCH(INDEX($B:$B, (ROW()-7)),'Relacion '!$E$5:$E$493,0),0))</f>
        <v>46139</v>
      </c>
      <c r="G1728" s="240" cm="1">
        <f t="array" ref="G1728">MAX(INDEX('Relacion '!$AJ$5:$AK$493,MATCH(INDEX($B:$B, (ROW()-7)),'Relacion '!$E$5:$E$493,0),0))</f>
        <v>46171</v>
      </c>
      <c r="H1728" s="241" t="e" cm="1">
        <f t="array" ref="H1728">IF(
 MATCH(B1728,{"01. ASIGNACION AREA";"02. MAPEO";"03. DESARROLLO";"04. VALIDA US";"05. VOBO US";"06. BW-EJECUCION";"07. VALIDACIÓN BAJAWARE";"08. CERRADA"},0)
 &lt;
 MATCH(_xlfn.XLOOKUP(INDEX($B:$B, (ROW()-7)),'Relacion '!$E:$E,'Relacion '!$D:$D,""),{"01. ASIGNACION AREA";"02. MAPEO";"03. DESARROLLO";"04. VALIDA US";"05. VOBO US";"06. BW-EJECUCION";"07. VALIDACIÓN BAJAWARE";"08. CERRADA"},0),
 1,
 IF(
  MATCH(B1728,{"01. ASIGNACION AREA";"02. MAPEO";"03. DESARROLLO";"04. VALIDA US";"05. VOBO US";"06. BW-EJECUCION";"07. VALIDACIÓN BAJAWARE";"08. CERRADA"},0)
  =
  MATCH(_xlfn.XLOOKUP(INDEX($B:$B, (ROW()-7)),'Relacion '!$E:$E,'Relacion '!$D:$D,""),{"01. ASIGNACION AREA";"02. MAPEO";"03. DESARROLLO";"04. VALIDA US";"05. VOBO US";"06. BW-EJECUCION";"07. VALIDACIÓN BAJAWARE";"08. CERRADA"},0),
  _xlfn.XLOOKUP(INDEX($B:$B, (ROW()-7)),'Relacion '!$E:$E,'Relacion '!#REF!,0),
  0
 )
)</f>
        <v>#REF!</v>
      </c>
      <c r="I1728" s="241">
        <f t="shared" ca="1" si="407"/>
        <v>0</v>
      </c>
      <c r="J1728" s="241"/>
      <c r="K1728" s="241"/>
      <c r="L1728" s="238"/>
    </row>
    <row r="1729" spans="2:12" outlineLevel="1">
      <c r="B1729" s="237" t="s">
        <v>656</v>
      </c>
      <c r="C1729" s="237" t="s">
        <v>656</v>
      </c>
      <c r="D1729" s="238" t="str">
        <f>_xlfn.XLOOKUP(B1729,'Relacion '!$E:$E,'Relacion '!$D:$D,"")</f>
        <v/>
      </c>
      <c r="E1729" s="239">
        <f t="shared" si="395"/>
        <v>0</v>
      </c>
      <c r="F1729" s="240" cm="1">
        <f t="array" ref="F1729">MIN(INDEX('Relacion '!$AL$5:$AM$493,MATCH(INDEX($B:$B, (ROW()-8)),'Relacion '!$E$5:$E$493,0),0))</f>
        <v>46172</v>
      </c>
      <c r="G1729" s="240" cm="1">
        <f t="array" ref="G1729">MAX(INDEX('Relacion '!$AL$5:$AM$493,MATCH(INDEX($B:$B, (ROW()-8)),'Relacion '!$E$5:$E$493,0),0))</f>
        <v>46172</v>
      </c>
      <c r="H1729" s="241" cm="1">
        <f t="array" ref="H1729">IF(
 MATCH(B1729,{"01. ASIGNACION AREA";"02. MAPEO";"03. DESARROLLO";"04. VALIDA US";"05. VOBO US";"06. BW-EJECUCION";"07. VALIDACIÓN BAJAWARE";"08. CERRADA"},0)
 &lt;
 MATCH(_xlfn.XLOOKUP(INDEX($B:$B, (ROW()-8)),'Relacion '!$E:$E,'Relacion '!$D:$D,""),{"01. ASIGNACION AREA";"02. MAPEO";"03. DESARROLLO";"04. VALIDA US";"05. VOBO US";"06. BW-EJECUCION";"07. VALIDACIÓN BAJAWARE";"08. CERRADA"},0),
 1,
 IF(
  MATCH(B1729,{"01. ASIGNACION AREA";"02. MAPEO";"03. DESARROLLO";"04. VALIDA US";"05. VOBO US";"06. BW-EJECUCION";"07. VALIDACIÓN BAJAWARE";"08. CERRADA"},0)
  =
  MATCH(_xlfn.XLOOKUP(INDEX($B:$B, (ROW()-8)),'Relacion '!$E:$E,'Relacion '!$D:$D,""),{"01. ASIGNACION AREA";"02. MAPEO";"03. DESARROLLO";"04. VALIDA US";"05. VOBO US";"06. BW-EJECUCION";"07. VALIDACIÓN BAJAWARE";"08. CERRADA"},0),
  _xlfn.XLOOKUP(INDEX($B:$B, (ROW()-8)),'Relacion '!$E:$E,'Relacion '!#REF!,0),
  0
 )
)</f>
        <v>0</v>
      </c>
      <c r="I1729" s="241">
        <f t="shared" ca="1" si="407"/>
        <v>0</v>
      </c>
      <c r="J1729" s="241"/>
      <c r="K1729" s="241"/>
      <c r="L1729" s="238"/>
    </row>
    <row r="1730" spans="2:12" ht="30">
      <c r="B1730" s="232" t="s">
        <v>222</v>
      </c>
      <c r="C1730" s="193" t="s">
        <v>211</v>
      </c>
      <c r="D1730" s="236" t="str">
        <f>_xlfn.XLOOKUP(B1730,'Relacion '!$E:$E,'Relacion '!$D:$D,"")</f>
        <v>07. VALIDACIÓN BAJAWARE</v>
      </c>
      <c r="E1730" s="233">
        <f t="shared" ref="E1730:E1793" si="410">IF(OR(F1730="",G1730=""),"",G1730-F1730)</f>
        <v>148</v>
      </c>
      <c r="F1730" s="234" cm="1">
        <f t="array" ref="F1730">MIN(INDEX('Relacion '!$X$5:$AM$493,MATCH(INDEX($B:$B, (ROW()-0)),'Relacion '!$E$5:$E$493,0),0))</f>
        <v>46024</v>
      </c>
      <c r="G1730" s="234" cm="1">
        <f t="array" ref="G1730">MAX(INDEX('Relacion '!$X$5:$AM$493,MATCH(INDEX($B:$B, (ROW()-0)),'Relacion '!$E$5:$E$493,0),0))</f>
        <v>46172</v>
      </c>
      <c r="H1730" s="235" t="e">
        <f>AVERAGE(H1731:H1738)</f>
        <v>#REF!</v>
      </c>
      <c r="I1730" s="235">
        <f t="shared" ref="I1730" ca="1" si="411">AVERAGE(I1731:I1738)</f>
        <v>0.75</v>
      </c>
      <c r="J1730" s="236" t="str">
        <f>IF(ISNUMBER(SEARCH("Rocha", _xlfn.XLOOKUP(B1730,'Relacion '!$E:$E,'Relacion '!$I:$I,""))), "Sí", "No")</f>
        <v>No</v>
      </c>
      <c r="K1730" s="236" t="str">
        <f>IF(ISNUMBER(SEARCH("Rocha", _xlfn.XLOOKUP(B1730,'Relacion '!$E:$E,'Relacion '!$I:$I,""))), "RMC", _xlfn.XLOOKUP(B1730,'Relacion '!$E:$E,'Relacion '!$B:$B,""))</f>
        <v>Tesorería </v>
      </c>
      <c r="L1730" s="236" t="str">
        <f>_xlfn.XLOOKUP(B1730,'Relacion '!$E:$E,'Relacion '!$C:$C,"")</f>
        <v>Eduardo Cabral</v>
      </c>
    </row>
    <row r="1731" spans="2:12" outlineLevel="1">
      <c r="B1731" s="237" t="s">
        <v>654</v>
      </c>
      <c r="C1731" s="237" t="s">
        <v>654</v>
      </c>
      <c r="D1731" s="238" t="str">
        <f>_xlfn.XLOOKUP(B1731,'Relacion '!$E:$E,'Relacion '!$D:$D,"")</f>
        <v/>
      </c>
      <c r="E1731" s="239">
        <f t="shared" si="410"/>
        <v>59</v>
      </c>
      <c r="F1731" s="240" cm="1">
        <f t="array" ref="F1731">MIN(INDEX('Relacion '!$X$5:$Y$493,MATCH(INDEX($B:$B, (ROW()-1)),'Relacion '!$E$5:$E$493,0),0))</f>
        <v>46024</v>
      </c>
      <c r="G1731" s="240" cm="1">
        <f t="array" ref="G1731">MAX(INDEX('Relacion '!$X$5:$Y$493,MATCH(INDEX($B:$B, (ROW()-1)),'Relacion '!$E$5:$E$493,0),0))</f>
        <v>46083</v>
      </c>
      <c r="H1731" s="241" cm="1">
        <f t="array" ref="H1731">IF(
 MATCH(B1731,{"01. ASIGNACION AREA";"02. MAPEO";"03. DESARROLLO";"04. VALIDA US";"05. VOBO US";"06. BW-EJECUCION";"07. VALIDACIÓN BAJAWARE";"08. CERRADA"},0)
 &lt;
 MATCH(_xlfn.XLOOKUP(INDEX($B:$B, (ROW()-1)),'Relacion '!$E:$E,'Relacion '!$D:$D,""),{"01. ASIGNACION AREA";"02. MAPEO";"03. DESARROLLO";"04. VALIDA US";"05. VOBO US";"06. BW-EJECUCION";"07. VALIDACIÓN BAJAWARE";"08. CERRADA"},0),
 1,
 IF(
  MATCH(B1731,{"01. ASIGNACION AREA";"02. MAPEO";"03. DESARROLLO";"04. VALIDA US";"05. VOBO US";"06. BW-EJECUCION";"07. VALIDACIÓN BAJAWARE";"08. CERRADA"},0)
  =
  MATCH(_xlfn.XLOOKUP(INDEX($B:$B, (ROW()-1)),'Relacion '!$E:$E,'Relacion '!$D:$D,""),{"01. ASIGNACION AREA";"02. MAPEO";"03. DESARROLLO";"04. VALIDA US";"05. VOBO US";"06. BW-EJECUCION";"07. VALIDACIÓN BAJAWARE";"08. CERRADA"},0),
  _xlfn.XLOOKUP(INDEX($B:$B, (ROW()-1)),'Relacion '!$E:$E,'Relacion '!#REF!,0),
  0
 )
)</f>
        <v>1</v>
      </c>
      <c r="I1731" s="241">
        <f t="shared" ref="I1731" ca="1" si="412">IF(G1731&lt;=TODAY(), 1, 0)</f>
        <v>1</v>
      </c>
      <c r="J1731" s="241"/>
      <c r="K1731" s="241"/>
      <c r="L1731" s="238"/>
    </row>
    <row r="1732" spans="2:12" outlineLevel="1">
      <c r="B1732" s="237" t="s">
        <v>195</v>
      </c>
      <c r="C1732" s="237" t="s">
        <v>195</v>
      </c>
      <c r="D1732" s="238" t="str">
        <f>_xlfn.XLOOKUP(B1732,'Relacion '!$E:$E,'Relacion '!$D:$D,"")</f>
        <v/>
      </c>
      <c r="E1732" s="239">
        <f t="shared" si="410"/>
        <v>31</v>
      </c>
      <c r="F1732" s="240" cm="1">
        <f t="array" ref="F1732">MIN(INDEX('Relacion '!$Z$5:$AA$493,MATCH(INDEX($B:$B, (ROW()-2)),'Relacion '!$E$5:$E$493,0),0))</f>
        <v>46056</v>
      </c>
      <c r="G1732" s="240" cm="1">
        <f t="array" ref="G1732">MAX(INDEX('Relacion '!$Z$5:$AA$493,MATCH(INDEX($B:$B, (ROW()-2)),'Relacion '!$E$5:$E$493,0),0))</f>
        <v>46087</v>
      </c>
      <c r="H1732" s="241" cm="1">
        <f t="array" ref="H1732">IF(
 MATCH(B1732,{"01. ASIGNACION AREA";"02. MAPEO";"03. DESARROLLO";"04. VALIDA US";"05. VOBO US";"06. BW-EJECUCION";"07. VALIDACIÓN BAJAWARE";"08. CERRADA"},0)
 &lt;
 MATCH(_xlfn.XLOOKUP(INDEX($B:$B, (ROW()-2)),'Relacion '!$E:$E,'Relacion '!$D:$D,""),{"01. ASIGNACION AREA";"02. MAPEO";"03. DESARROLLO";"04. VALIDA US";"05. VOBO US";"06. BW-EJECUCION";"07. VALIDACIÓN BAJAWARE";"08. CERRADA"},0),
 1,
 IF(
  MATCH(B1732,{"01. ASIGNACION AREA";"02. MAPEO";"03. DESARROLLO";"04. VALIDA US";"05. VOBO US";"06. BW-EJECUCION";"07. VALIDACIÓN BAJAWARE";"08. CERRADA"},0)
  =
  MATCH(_xlfn.XLOOKUP(INDEX($B:$B, (ROW()-2)),'Relacion '!$E:$E,'Relacion '!$D:$D,""),{"01. ASIGNACION AREA";"02. MAPEO";"03. DESARROLLO";"04. VALIDA US";"05. VOBO US";"06. BW-EJECUCION";"07. VALIDACIÓN BAJAWARE";"08. CERRADA"},0),
  _xlfn.XLOOKUP(INDEX($B:$B, (ROW()-2)),'Relacion '!$E:$E,'Relacion '!#REF!,0),
  0
 )
)</f>
        <v>1</v>
      </c>
      <c r="I1732" s="241">
        <f t="shared" ca="1" si="407"/>
        <v>1</v>
      </c>
      <c r="J1732" s="241"/>
      <c r="K1732" s="241"/>
      <c r="L1732" s="238"/>
    </row>
    <row r="1733" spans="2:12" outlineLevel="1">
      <c r="B1733" s="237" t="s">
        <v>49</v>
      </c>
      <c r="C1733" s="237" t="s">
        <v>49</v>
      </c>
      <c r="D1733" s="238" t="str">
        <f>_xlfn.XLOOKUP(B1733,'Relacion '!$E:$E,'Relacion '!$D:$D,"")</f>
        <v/>
      </c>
      <c r="E1733" s="239">
        <f t="shared" si="410"/>
        <v>39</v>
      </c>
      <c r="F1733" s="240" cm="1">
        <f t="array" ref="F1733">MIN(INDEX('Relacion '!$AB$5:$AC$493,MATCH(INDEX($B:$B, (ROW()-3)),'Relacion '!$E$5:$E$493,0),0))</f>
        <v>46083</v>
      </c>
      <c r="G1733" s="240" cm="1">
        <f t="array" ref="G1733">MAX(INDEX('Relacion '!$AB$5:$AC$493,MATCH(INDEX($B:$B, (ROW()-3)),'Relacion '!$E$5:$E$493,0),0))</f>
        <v>46122</v>
      </c>
      <c r="H1733" s="241" cm="1">
        <f t="array" ref="H1733">IF(
 MATCH(B1733,{"01. ASIGNACION AREA";"02. MAPEO";"03. DESARROLLO";"04. VALIDA US";"05. VOBO US";"06. BW-EJECUCION";"07. VALIDACIÓN BAJAWARE";"08. CERRADA"},0)
 &lt;
 MATCH(_xlfn.XLOOKUP(INDEX($B:$B, (ROW()-3)),'Relacion '!$E:$E,'Relacion '!$D:$D,""),{"01. ASIGNACION AREA";"02. MAPEO";"03. DESARROLLO";"04. VALIDA US";"05. VOBO US";"06. BW-EJECUCION";"07. VALIDACIÓN BAJAWARE";"08. CERRADA"},0),
 1,
 IF(
  MATCH(B1733,{"01. ASIGNACION AREA";"02. MAPEO";"03. DESARROLLO";"04. VALIDA US";"05. VOBO US";"06. BW-EJECUCION";"07. VALIDACIÓN BAJAWARE";"08. CERRADA"},0)
  =
  MATCH(_xlfn.XLOOKUP(INDEX($B:$B, (ROW()-3)),'Relacion '!$E:$E,'Relacion '!$D:$D,""),{"01. ASIGNACION AREA";"02. MAPEO";"03. DESARROLLO";"04. VALIDA US";"05. VOBO US";"06. BW-EJECUCION";"07. VALIDACIÓN BAJAWARE";"08. CERRADA"},0),
  _xlfn.XLOOKUP(INDEX($B:$B, (ROW()-3)),'Relacion '!$E:$E,'Relacion '!#REF!,0),
  0
 )
)</f>
        <v>1</v>
      </c>
      <c r="I1733" s="241">
        <f t="shared" ca="1" si="407"/>
        <v>1</v>
      </c>
      <c r="J1733" s="241"/>
      <c r="K1733" s="241"/>
      <c r="L1733" s="238"/>
    </row>
    <row r="1734" spans="2:12" outlineLevel="1">
      <c r="B1734" s="237" t="s">
        <v>324</v>
      </c>
      <c r="C1734" s="237" t="s">
        <v>324</v>
      </c>
      <c r="D1734" s="238" t="str">
        <f>_xlfn.XLOOKUP(B1734,'Relacion '!$E:$E,'Relacion '!$D:$D,"")</f>
        <v/>
      </c>
      <c r="E1734" s="239">
        <f t="shared" si="410"/>
        <v>25</v>
      </c>
      <c r="F1734" s="240" cm="1">
        <f t="array" ref="F1734">MIN(INDEX('Relacion '!$AD$5:$AE$493,MATCH(INDEX($B:$B, (ROW()-4)),'Relacion '!$E$5:$E$493,0),0))</f>
        <v>46111</v>
      </c>
      <c r="G1734" s="240" cm="1">
        <f t="array" ref="G1734">MAX(INDEX('Relacion '!$AD$5:$AE$493,MATCH(INDEX($B:$B, (ROW()-4)),'Relacion '!$E$5:$E$493,0),0))</f>
        <v>46136</v>
      </c>
      <c r="H1734" s="241" cm="1">
        <f t="array" ref="H1734">IF(
 MATCH(B1734,{"01. ASIGNACION AREA";"02. MAPEO";"03. DESARROLLO";"04. VALIDA US";"05. VOBO US";"06. BW-EJECUCION";"07. VALIDACIÓN BAJAWARE";"08. CERRADA"},0)
 &lt;
 MATCH(_xlfn.XLOOKUP(INDEX($B:$B, (ROW()-4)),'Relacion '!$E:$E,'Relacion '!$D:$D,""),{"01. ASIGNACION AREA";"02. MAPEO";"03. DESARROLLO";"04. VALIDA US";"05. VOBO US";"06. BW-EJECUCION";"07. VALIDACIÓN BAJAWARE";"08. CERRADA"},0),
 1,
 IF(
  MATCH(B1734,{"01. ASIGNACION AREA";"02. MAPEO";"03. DESARROLLO";"04. VALIDA US";"05. VOBO US";"06. BW-EJECUCION";"07. VALIDACIÓN BAJAWARE";"08. CERRADA"},0)
  =
  MATCH(_xlfn.XLOOKUP(INDEX($B:$B, (ROW()-4)),'Relacion '!$E:$E,'Relacion '!$D:$D,""),{"01. ASIGNACION AREA";"02. MAPEO";"03. DESARROLLO";"04. VALIDA US";"05. VOBO US";"06. BW-EJECUCION";"07. VALIDACIÓN BAJAWARE";"08. CERRADA"},0),
  _xlfn.XLOOKUP(INDEX($B:$B, (ROW()-4)),'Relacion '!$E:$E,'Relacion '!#REF!,0),
  0
 )
)</f>
        <v>1</v>
      </c>
      <c r="I1734" s="241">
        <f t="shared" ca="1" si="407"/>
        <v>1</v>
      </c>
      <c r="J1734" s="241"/>
      <c r="K1734" s="241"/>
      <c r="L1734" s="238"/>
    </row>
    <row r="1735" spans="2:12" outlineLevel="1">
      <c r="B1735" s="237" t="s">
        <v>320</v>
      </c>
      <c r="C1735" s="237" t="s">
        <v>320</v>
      </c>
      <c r="D1735" s="238" t="str">
        <f>_xlfn.XLOOKUP(B1735,'Relacion '!$E:$E,'Relacion '!$D:$D,"")</f>
        <v/>
      </c>
      <c r="E1735" s="239">
        <f t="shared" si="410"/>
        <v>18</v>
      </c>
      <c r="F1735" s="240" cm="1">
        <f t="array" ref="F1735">MIN(INDEX('Relacion '!$AF$5:$AG$493,MATCH(INDEX($B:$B, (ROW()-5)),'Relacion '!$E$5:$E$493,0),0))</f>
        <v>46118</v>
      </c>
      <c r="G1735" s="240" cm="1">
        <f t="array" ref="G1735">MAX(INDEX('Relacion '!$AF$5:$AG$493,MATCH(INDEX($B:$B, (ROW()-5)),'Relacion '!$E$5:$E$493,0),0))</f>
        <v>46136</v>
      </c>
      <c r="H1735" s="241" cm="1">
        <f t="array" ref="H1735">IF(
 MATCH(B1735,{"01. ASIGNACION AREA";"02. MAPEO";"03. DESARROLLO";"04. VALIDA US";"05. VOBO US";"06. BW-EJECUCION";"07. VALIDACIÓN BAJAWARE";"08. CERRADA"},0)
 &lt;
 MATCH(_xlfn.XLOOKUP(INDEX($B:$B, (ROW()-5)),'Relacion '!$E:$E,'Relacion '!$D:$D,""),{"01. ASIGNACION AREA";"02. MAPEO";"03. DESARROLLO";"04. VALIDA US";"05. VOBO US";"06. BW-EJECUCION";"07. VALIDACIÓN BAJAWARE";"08. CERRADA"},0),
 1,
 IF(
  MATCH(B1735,{"01. ASIGNACION AREA";"02. MAPEO";"03. DESARROLLO";"04. VALIDA US";"05. VOBO US";"06. BW-EJECUCION";"07. VALIDACIÓN BAJAWARE";"08. CERRADA"},0)
  =
  MATCH(_xlfn.XLOOKUP(INDEX($B:$B, (ROW()-5)),'Relacion '!$E:$E,'Relacion '!$D:$D,""),{"01. ASIGNACION AREA";"02. MAPEO";"03. DESARROLLO";"04. VALIDA US";"05. VOBO US";"06. BW-EJECUCION";"07. VALIDACIÓN BAJAWARE";"08. CERRADA"},0),
  _xlfn.XLOOKUP(INDEX($B:$B, (ROW()-5)),'Relacion '!$E:$E,'Relacion '!#REF!,0),
  0
 )
)</f>
        <v>1</v>
      </c>
      <c r="I1735" s="241">
        <f t="shared" ca="1" si="407"/>
        <v>1</v>
      </c>
      <c r="J1735" s="241"/>
      <c r="K1735" s="241"/>
      <c r="L1735" s="238"/>
    </row>
    <row r="1736" spans="2:12" outlineLevel="1">
      <c r="B1736" s="237" t="s">
        <v>710</v>
      </c>
      <c r="C1736" s="237" t="s">
        <v>710</v>
      </c>
      <c r="D1736" s="238" t="str">
        <f>_xlfn.XLOOKUP(B1736,'Relacion '!$E:$E,'Relacion '!$D:$D,"")</f>
        <v/>
      </c>
      <c r="E1736" s="239">
        <f t="shared" si="410"/>
        <v>25</v>
      </c>
      <c r="F1736" s="240" cm="1">
        <f t="array" ref="F1736">MIN(INDEX('Relacion '!$AH$5:$AI$493,MATCH(INDEX($B:$B, (ROW()-6)),'Relacion '!$E$5:$E$493,0),0))</f>
        <v>46125</v>
      </c>
      <c r="G1736" s="240" cm="1">
        <f t="array" ref="G1736">MAX(INDEX('Relacion '!$AH$5:$AI$493,MATCH(INDEX($B:$B, (ROW()-6)),'Relacion '!$E$5:$E$493,0),0))</f>
        <v>46150</v>
      </c>
      <c r="H1736" s="241" cm="1">
        <f t="array" ref="H1736">IF(
 MATCH(B1736,{"01. ASIGNACION AREA";"02. MAPEO";"03. DESARROLLO";"04. VALIDA US";"05. VOBO US";"06. BW-EJECUCION";"07. VALIDACIÓN BAJAWARE";"08. CERRADA"},0)
 &lt;
 MATCH(_xlfn.XLOOKUP(INDEX($B:$B, (ROW()-6)),'Relacion '!$E:$E,'Relacion '!$D:$D,""),{"01. ASIGNACION AREA";"02. MAPEO";"03. DESARROLLO";"04. VALIDA US";"05. VOBO US";"06. BW-EJECUCION";"07. VALIDACIÓN BAJAWARE";"08. CERRADA"},0),
 1,
 IF(
  MATCH(B1736,{"01. ASIGNACION AREA";"02. MAPEO";"03. DESARROLLO";"04. VALIDA US";"05. VOBO US";"06. BW-EJECUCION";"07. VALIDACIÓN BAJAWARE";"08. CERRADA"},0)
  =
  MATCH(_xlfn.XLOOKUP(INDEX($B:$B, (ROW()-6)),'Relacion '!$E:$E,'Relacion '!$D:$D,""),{"01. ASIGNACION AREA";"02. MAPEO";"03. DESARROLLO";"04. VALIDA US";"05. VOBO US";"06. BW-EJECUCION";"07. VALIDACIÓN BAJAWARE";"08. CERRADA"},0),
  _xlfn.XLOOKUP(INDEX($B:$B, (ROW()-6)),'Relacion '!$E:$E,'Relacion '!#REF!,0),
  0
 )
)</f>
        <v>1</v>
      </c>
      <c r="I1736" s="241">
        <f t="shared" ca="1" si="407"/>
        <v>1</v>
      </c>
      <c r="J1736" s="241"/>
      <c r="K1736" s="241"/>
      <c r="L1736" s="238"/>
    </row>
    <row r="1737" spans="2:12" outlineLevel="1">
      <c r="B1737" s="237" t="s">
        <v>655</v>
      </c>
      <c r="C1737" s="237" t="s">
        <v>655</v>
      </c>
      <c r="D1737" s="238" t="str">
        <f>_xlfn.XLOOKUP(B1737,'Relacion '!$E:$E,'Relacion '!$D:$D,"")</f>
        <v/>
      </c>
      <c r="E1737" s="239">
        <f t="shared" si="410"/>
        <v>32</v>
      </c>
      <c r="F1737" s="240" cm="1">
        <f t="array" ref="F1737">MIN(INDEX('Relacion '!$AJ$5:$AK$493,MATCH(INDEX($B:$B, (ROW()-7)),'Relacion '!$E$5:$E$493,0),0))</f>
        <v>46139</v>
      </c>
      <c r="G1737" s="240" cm="1">
        <f t="array" ref="G1737">MAX(INDEX('Relacion '!$AJ$5:$AK$493,MATCH(INDEX($B:$B, (ROW()-7)),'Relacion '!$E$5:$E$493,0),0))</f>
        <v>46171</v>
      </c>
      <c r="H1737" s="241" t="e" cm="1">
        <f t="array" ref="H1737">IF(
 MATCH(B1737,{"01. ASIGNACION AREA";"02. MAPEO";"03. DESARROLLO";"04. VALIDA US";"05. VOBO US";"06. BW-EJECUCION";"07. VALIDACIÓN BAJAWARE";"08. CERRADA"},0)
 &lt;
 MATCH(_xlfn.XLOOKUP(INDEX($B:$B, (ROW()-7)),'Relacion '!$E:$E,'Relacion '!$D:$D,""),{"01. ASIGNACION AREA";"02. MAPEO";"03. DESARROLLO";"04. VALIDA US";"05. VOBO US";"06. BW-EJECUCION";"07. VALIDACIÓN BAJAWARE";"08. CERRADA"},0),
 1,
 IF(
  MATCH(B1737,{"01. ASIGNACION AREA";"02. MAPEO";"03. DESARROLLO";"04. VALIDA US";"05. VOBO US";"06. BW-EJECUCION";"07. VALIDACIÓN BAJAWARE";"08. CERRADA"},0)
  =
  MATCH(_xlfn.XLOOKUP(INDEX($B:$B, (ROW()-7)),'Relacion '!$E:$E,'Relacion '!$D:$D,""),{"01. ASIGNACION AREA";"02. MAPEO";"03. DESARROLLO";"04. VALIDA US";"05. VOBO US";"06. BW-EJECUCION";"07. VALIDACIÓN BAJAWARE";"08. CERRADA"},0),
  _xlfn.XLOOKUP(INDEX($B:$B, (ROW()-7)),'Relacion '!$E:$E,'Relacion '!#REF!,0),
  0
 )
)</f>
        <v>#REF!</v>
      </c>
      <c r="I1737" s="241">
        <f t="shared" ca="1" si="407"/>
        <v>0</v>
      </c>
      <c r="J1737" s="241"/>
      <c r="K1737" s="241"/>
      <c r="L1737" s="238"/>
    </row>
    <row r="1738" spans="2:12" outlineLevel="1">
      <c r="B1738" s="237" t="s">
        <v>656</v>
      </c>
      <c r="C1738" s="237" t="s">
        <v>656</v>
      </c>
      <c r="D1738" s="238" t="str">
        <f>_xlfn.XLOOKUP(B1738,'Relacion '!$E:$E,'Relacion '!$D:$D,"")</f>
        <v/>
      </c>
      <c r="E1738" s="239">
        <f t="shared" si="410"/>
        <v>0</v>
      </c>
      <c r="F1738" s="240" cm="1">
        <f t="array" ref="F1738">MIN(INDEX('Relacion '!$AL$5:$AM$493,MATCH(INDEX($B:$B, (ROW()-8)),'Relacion '!$E$5:$E$493,0),0))</f>
        <v>46172</v>
      </c>
      <c r="G1738" s="240" cm="1">
        <f t="array" ref="G1738">MAX(INDEX('Relacion '!$AL$5:$AM$493,MATCH(INDEX($B:$B, (ROW()-8)),'Relacion '!$E$5:$E$493,0),0))</f>
        <v>46172</v>
      </c>
      <c r="H1738" s="241" cm="1">
        <f t="array" ref="H1738">IF(
 MATCH(B1738,{"01. ASIGNACION AREA";"02. MAPEO";"03. DESARROLLO";"04. VALIDA US";"05. VOBO US";"06. BW-EJECUCION";"07. VALIDACIÓN BAJAWARE";"08. CERRADA"},0)
 &lt;
 MATCH(_xlfn.XLOOKUP(INDEX($B:$B, (ROW()-8)),'Relacion '!$E:$E,'Relacion '!$D:$D,""),{"01. ASIGNACION AREA";"02. MAPEO";"03. DESARROLLO";"04. VALIDA US";"05. VOBO US";"06. BW-EJECUCION";"07. VALIDACIÓN BAJAWARE";"08. CERRADA"},0),
 1,
 IF(
  MATCH(B1738,{"01. ASIGNACION AREA";"02. MAPEO";"03. DESARROLLO";"04. VALIDA US";"05. VOBO US";"06. BW-EJECUCION";"07. VALIDACIÓN BAJAWARE";"08. CERRADA"},0)
  =
  MATCH(_xlfn.XLOOKUP(INDEX($B:$B, (ROW()-8)),'Relacion '!$E:$E,'Relacion '!$D:$D,""),{"01. ASIGNACION AREA";"02. MAPEO";"03. DESARROLLO";"04. VALIDA US";"05. VOBO US";"06. BW-EJECUCION";"07. VALIDACIÓN BAJAWARE";"08. CERRADA"},0),
  _xlfn.XLOOKUP(INDEX($B:$B, (ROW()-8)),'Relacion '!$E:$E,'Relacion '!#REF!,0),
  0
 )
)</f>
        <v>0</v>
      </c>
      <c r="I1738" s="241">
        <f t="shared" ca="1" si="407"/>
        <v>0</v>
      </c>
      <c r="J1738" s="241"/>
      <c r="K1738" s="241"/>
      <c r="L1738" s="238"/>
    </row>
    <row r="1739" spans="2:12" outlineLevel="1">
      <c r="B1739" s="232" t="s">
        <v>223</v>
      </c>
      <c r="C1739" s="243" t="s">
        <v>211</v>
      </c>
      <c r="D1739" s="236" t="str">
        <f>_xlfn.XLOOKUP(B1739,'Relacion '!$E:$E,'Relacion '!$D:$D,"")</f>
        <v>02. MAPEO</v>
      </c>
      <c r="E1739" s="233">
        <f t="shared" si="410"/>
        <v>172</v>
      </c>
      <c r="F1739" s="234" cm="1">
        <f t="array" ref="F1739">MIN(INDEX('Relacion '!$X$5:$AM$493,MATCH(INDEX($B:$B, (ROW()-0)),'Relacion '!$E$5:$E$493,0),0))</f>
        <v>46024</v>
      </c>
      <c r="G1739" s="234" cm="1">
        <f t="array" ref="G1739">MAX(INDEX('Relacion '!$X$5:$AM$493,MATCH(INDEX($B:$B, (ROW()-0)),'Relacion '!$E$5:$E$493,0),0))</f>
        <v>46196</v>
      </c>
      <c r="H1739" s="235" t="e">
        <f>AVERAGE(H1740:H1747)</f>
        <v>#REF!</v>
      </c>
      <c r="I1739" s="235">
        <f t="shared" ref="I1739" ca="1" si="413">AVERAGE(I1740:I1747)</f>
        <v>0.375</v>
      </c>
      <c r="J1739" s="236" t="str">
        <f>IF(ISNUMBER(SEARCH("Rocha", _xlfn.XLOOKUP(B1739,'Relacion '!$E:$E,'Relacion '!$I:$I,""))), "Sí", "No")</f>
        <v>No</v>
      </c>
      <c r="K1739" s="236" t="str">
        <f>IF(ISNUMBER(SEARCH("Rocha", _xlfn.XLOOKUP(B1739,'Relacion '!$E:$E,'Relacion '!$I:$I,""))), "RMC", _xlfn.XLOOKUP(B1739,'Relacion '!$E:$E,'Relacion '!$B:$B,""))</f>
        <v>Tesorería </v>
      </c>
      <c r="L1739" s="236" t="str">
        <f>_xlfn.XLOOKUP(B1739,'Relacion '!$E:$E,'Relacion '!$C:$C,"")</f>
        <v>Eduardo Cabral</v>
      </c>
    </row>
    <row r="1740" spans="2:12" outlineLevel="1">
      <c r="B1740" s="237" t="s">
        <v>654</v>
      </c>
      <c r="C1740" s="237" t="s">
        <v>654</v>
      </c>
      <c r="D1740" s="238" t="str">
        <f>_xlfn.XLOOKUP(B1740,'Relacion '!$E:$E,'Relacion '!$D:$D,"")</f>
        <v/>
      </c>
      <c r="E1740" s="239">
        <f t="shared" si="410"/>
        <v>59</v>
      </c>
      <c r="F1740" s="240" cm="1">
        <f t="array" ref="F1740">MIN(INDEX('Relacion '!$X$5:$Y$493,MATCH(INDEX($B:$B, (ROW()-1)),'Relacion '!$E$5:$E$493,0),0))</f>
        <v>46024</v>
      </c>
      <c r="G1740" s="240" cm="1">
        <f t="array" ref="G1740">MAX(INDEX('Relacion '!$X$5:$Y$493,MATCH(INDEX($B:$B, (ROW()-1)),'Relacion '!$E$5:$E$493,0),0))</f>
        <v>46083</v>
      </c>
      <c r="H1740" s="241" cm="1">
        <f t="array" ref="H1740">IF(
 MATCH(B1740,{"01. ASIGNACION AREA";"02. MAPEO";"03. DESARROLLO";"04. VALIDA US";"05. VOBO US";"06. BW-EJECUCION";"07. VALIDACIÓN BAJAWARE";"08. CERRADA"},0)
 &lt;
 MATCH(_xlfn.XLOOKUP(INDEX($B:$B, (ROW()-1)),'Relacion '!$E:$E,'Relacion '!$D:$D,""),{"01. ASIGNACION AREA";"02. MAPEO";"03. DESARROLLO";"04. VALIDA US";"05. VOBO US";"06. BW-EJECUCION";"07. VALIDACIÓN BAJAWARE";"08. CERRADA"},0),
 1,
 IF(
  MATCH(B1740,{"01. ASIGNACION AREA";"02. MAPEO";"03. DESARROLLO";"04. VALIDA US";"05. VOBO US";"06. BW-EJECUCION";"07. VALIDACIÓN BAJAWARE";"08. CERRADA"},0)
  =
  MATCH(_xlfn.XLOOKUP(INDEX($B:$B, (ROW()-1)),'Relacion '!$E:$E,'Relacion '!$D:$D,""),{"01. ASIGNACION AREA";"02. MAPEO";"03. DESARROLLO";"04. VALIDA US";"05. VOBO US";"06. BW-EJECUCION";"07. VALIDACIÓN BAJAWARE";"08. CERRADA"},0),
  _xlfn.XLOOKUP(INDEX($B:$B, (ROW()-1)),'Relacion '!$E:$E,'Relacion '!#REF!,0),
  0
 )
)</f>
        <v>1</v>
      </c>
      <c r="I1740" s="241">
        <f t="shared" ref="I1740" ca="1" si="414">IF(G1740&lt;=TODAY(), 1, 0)</f>
        <v>1</v>
      </c>
      <c r="J1740" s="241"/>
      <c r="K1740" s="241"/>
      <c r="L1740" s="238"/>
    </row>
    <row r="1741" spans="2:12" outlineLevel="1">
      <c r="B1741" s="237" t="s">
        <v>195</v>
      </c>
      <c r="C1741" s="237" t="s">
        <v>195</v>
      </c>
      <c r="D1741" s="238" t="str">
        <f>_xlfn.XLOOKUP(B1741,'Relacion '!$E:$E,'Relacion '!$D:$D,"")</f>
        <v/>
      </c>
      <c r="E1741" s="239">
        <f t="shared" si="410"/>
        <v>80</v>
      </c>
      <c r="F1741" s="240" cm="1">
        <f t="array" ref="F1741">MIN(INDEX('Relacion '!$Z$5:$AA$493,MATCH(INDEX($B:$B, (ROW()-2)),'Relacion '!$E$5:$E$493,0),0))</f>
        <v>46056</v>
      </c>
      <c r="G1741" s="240" cm="1">
        <f t="array" ref="G1741">MAX(INDEX('Relacion '!$Z$5:$AA$493,MATCH(INDEX($B:$B, (ROW()-2)),'Relacion '!$E$5:$E$493,0),0))</f>
        <v>46136</v>
      </c>
      <c r="H1741" s="241" t="e" cm="1">
        <f t="array" ref="H1741">IF(
 MATCH(B1741,{"01. ASIGNACION AREA";"02. MAPEO";"03. DESARROLLO";"04. VALIDA US";"05. VOBO US";"06. BW-EJECUCION";"07. VALIDACIÓN BAJAWARE";"08. CERRADA"},0)
 &lt;
 MATCH(_xlfn.XLOOKUP(INDEX($B:$B, (ROW()-2)),'Relacion '!$E:$E,'Relacion '!$D:$D,""),{"01. ASIGNACION AREA";"02. MAPEO";"03. DESARROLLO";"04. VALIDA US";"05. VOBO US";"06. BW-EJECUCION";"07. VALIDACIÓN BAJAWARE";"08. CERRADA"},0),
 1,
 IF(
  MATCH(B1741,{"01. ASIGNACION AREA";"02. MAPEO";"03. DESARROLLO";"04. VALIDA US";"05. VOBO US";"06. BW-EJECUCION";"07. VALIDACIÓN BAJAWARE";"08. CERRADA"},0)
  =
  MATCH(_xlfn.XLOOKUP(INDEX($B:$B, (ROW()-2)),'Relacion '!$E:$E,'Relacion '!$D:$D,""),{"01. ASIGNACION AREA";"02. MAPEO";"03. DESARROLLO";"04. VALIDA US";"05. VOBO US";"06. BW-EJECUCION";"07. VALIDACIÓN BAJAWARE";"08. CERRADA"},0),
  _xlfn.XLOOKUP(INDEX($B:$B, (ROW()-2)),'Relacion '!$E:$E,'Relacion '!#REF!,0),
  0
 )
)</f>
        <v>#REF!</v>
      </c>
      <c r="I1741" s="241">
        <f t="shared" ca="1" si="407"/>
        <v>1</v>
      </c>
      <c r="J1741" s="241"/>
      <c r="K1741" s="241"/>
      <c r="L1741" s="238"/>
    </row>
    <row r="1742" spans="2:12" outlineLevel="1">
      <c r="B1742" s="237" t="s">
        <v>49</v>
      </c>
      <c r="C1742" s="237" t="s">
        <v>49</v>
      </c>
      <c r="D1742" s="238" t="str">
        <f>_xlfn.XLOOKUP(B1742,'Relacion '!$E:$E,'Relacion '!$D:$D,"")</f>
        <v/>
      </c>
      <c r="E1742" s="239">
        <f t="shared" si="410"/>
        <v>18</v>
      </c>
      <c r="F1742" s="240" cm="1">
        <f t="array" ref="F1742">MIN(INDEX('Relacion '!$AB$5:$AC$493,MATCH(INDEX($B:$B, (ROW()-3)),'Relacion '!$E$5:$E$493,0),0))</f>
        <v>46139</v>
      </c>
      <c r="G1742" s="240" cm="1">
        <f t="array" ref="G1742">MAX(INDEX('Relacion '!$AB$5:$AC$493,MATCH(INDEX($B:$B, (ROW()-3)),'Relacion '!$E$5:$E$493,0),0))</f>
        <v>46157</v>
      </c>
      <c r="H1742" s="241" cm="1">
        <f t="array" ref="H1742">IF(
 MATCH(B1742,{"01. ASIGNACION AREA";"02. MAPEO";"03. DESARROLLO";"04. VALIDA US";"05. VOBO US";"06. BW-EJECUCION";"07. VALIDACIÓN BAJAWARE";"08. CERRADA"},0)
 &lt;
 MATCH(_xlfn.XLOOKUP(INDEX($B:$B, (ROW()-3)),'Relacion '!$E:$E,'Relacion '!$D:$D,""),{"01. ASIGNACION AREA";"02. MAPEO";"03. DESARROLLO";"04. VALIDA US";"05. VOBO US";"06. BW-EJECUCION";"07. VALIDACIÓN BAJAWARE";"08. CERRADA"},0),
 1,
 IF(
  MATCH(B1742,{"01. ASIGNACION AREA";"02. MAPEO";"03. DESARROLLO";"04. VALIDA US";"05. VOBO US";"06. BW-EJECUCION";"07. VALIDACIÓN BAJAWARE";"08. CERRADA"},0)
  =
  MATCH(_xlfn.XLOOKUP(INDEX($B:$B, (ROW()-3)),'Relacion '!$E:$E,'Relacion '!$D:$D,""),{"01. ASIGNACION AREA";"02. MAPEO";"03. DESARROLLO";"04. VALIDA US";"05. VOBO US";"06. BW-EJECUCION";"07. VALIDACIÓN BAJAWARE";"08. CERRADA"},0),
  _xlfn.XLOOKUP(INDEX($B:$B, (ROW()-3)),'Relacion '!$E:$E,'Relacion '!#REF!,0),
  0
 )
)</f>
        <v>0</v>
      </c>
      <c r="I1742" s="241">
        <f t="shared" ca="1" si="407"/>
        <v>1</v>
      </c>
      <c r="J1742" s="241"/>
      <c r="K1742" s="241"/>
      <c r="L1742" s="238"/>
    </row>
    <row r="1743" spans="2:12" outlineLevel="1">
      <c r="B1743" s="237" t="s">
        <v>324</v>
      </c>
      <c r="C1743" s="237" t="s">
        <v>324</v>
      </c>
      <c r="D1743" s="238" t="str">
        <f>_xlfn.XLOOKUP(B1743,'Relacion '!$E:$E,'Relacion '!$D:$D,"")</f>
        <v/>
      </c>
      <c r="E1743" s="239">
        <f t="shared" si="410"/>
        <v>11</v>
      </c>
      <c r="F1743" s="240" cm="1">
        <f t="array" ref="F1743">MIN(INDEX('Relacion '!$AD$5:$AE$493,MATCH(INDEX($B:$B, (ROW()-4)),'Relacion '!$E$5:$E$493,0),0))</f>
        <v>46160</v>
      </c>
      <c r="G1743" s="240" cm="1">
        <f t="array" ref="G1743">MAX(INDEX('Relacion '!$AD$5:$AE$493,MATCH(INDEX($B:$B, (ROW()-4)),'Relacion '!$E$5:$E$493,0),0))</f>
        <v>46171</v>
      </c>
      <c r="H1743" s="241" cm="1">
        <f t="array" ref="H1743">IF(
 MATCH(B1743,{"01. ASIGNACION AREA";"02. MAPEO";"03. DESARROLLO";"04. VALIDA US";"05. VOBO US";"06. BW-EJECUCION";"07. VALIDACIÓN BAJAWARE";"08. CERRADA"},0)
 &lt;
 MATCH(_xlfn.XLOOKUP(INDEX($B:$B, (ROW()-4)),'Relacion '!$E:$E,'Relacion '!$D:$D,""),{"01. ASIGNACION AREA";"02. MAPEO";"03. DESARROLLO";"04. VALIDA US";"05. VOBO US";"06. BW-EJECUCION";"07. VALIDACIÓN BAJAWARE";"08. CERRADA"},0),
 1,
 IF(
  MATCH(B1743,{"01. ASIGNACION AREA";"02. MAPEO";"03. DESARROLLO";"04. VALIDA US";"05. VOBO US";"06. BW-EJECUCION";"07. VALIDACIÓN BAJAWARE";"08. CERRADA"},0)
  =
  MATCH(_xlfn.XLOOKUP(INDEX($B:$B, (ROW()-4)),'Relacion '!$E:$E,'Relacion '!$D:$D,""),{"01. ASIGNACION AREA";"02. MAPEO";"03. DESARROLLO";"04. VALIDA US";"05. VOBO US";"06. BW-EJECUCION";"07. VALIDACIÓN BAJAWARE";"08. CERRADA"},0),
  _xlfn.XLOOKUP(INDEX($B:$B, (ROW()-4)),'Relacion '!$E:$E,'Relacion '!#REF!,0),
  0
 )
)</f>
        <v>0</v>
      </c>
      <c r="I1743" s="241">
        <f t="shared" ca="1" si="407"/>
        <v>0</v>
      </c>
      <c r="J1743" s="241"/>
      <c r="K1743" s="241"/>
      <c r="L1743" s="238"/>
    </row>
    <row r="1744" spans="2:12" outlineLevel="1">
      <c r="B1744" s="237" t="s">
        <v>320</v>
      </c>
      <c r="C1744" s="237" t="s">
        <v>320</v>
      </c>
      <c r="D1744" s="238" t="str">
        <f>_xlfn.XLOOKUP(B1744,'Relacion '!$E:$E,'Relacion '!$D:$D,"")</f>
        <v/>
      </c>
      <c r="E1744" s="239">
        <f t="shared" si="410"/>
        <v>3</v>
      </c>
      <c r="F1744" s="240" cm="1">
        <f t="array" ref="F1744">MIN(INDEX('Relacion '!$AF$5:$AG$493,MATCH(INDEX($B:$B, (ROW()-5)),'Relacion '!$E$5:$E$493,0),0))</f>
        <v>46171</v>
      </c>
      <c r="G1744" s="240" cm="1">
        <f t="array" ref="G1744">MAX(INDEX('Relacion '!$AF$5:$AG$493,MATCH(INDEX($B:$B, (ROW()-5)),'Relacion '!$E$5:$E$493,0),0))</f>
        <v>46174</v>
      </c>
      <c r="H1744" s="241" cm="1">
        <f t="array" ref="H1744">IF(
 MATCH(B1744,{"01. ASIGNACION AREA";"02. MAPEO";"03. DESARROLLO";"04. VALIDA US";"05. VOBO US";"06. BW-EJECUCION";"07. VALIDACIÓN BAJAWARE";"08. CERRADA"},0)
 &lt;
 MATCH(_xlfn.XLOOKUP(INDEX($B:$B, (ROW()-5)),'Relacion '!$E:$E,'Relacion '!$D:$D,""),{"01. ASIGNACION AREA";"02. MAPEO";"03. DESARROLLO";"04. VALIDA US";"05. VOBO US";"06. BW-EJECUCION";"07. VALIDACIÓN BAJAWARE";"08. CERRADA"},0),
 1,
 IF(
  MATCH(B1744,{"01. ASIGNACION AREA";"02. MAPEO";"03. DESARROLLO";"04. VALIDA US";"05. VOBO US";"06. BW-EJECUCION";"07. VALIDACIÓN BAJAWARE";"08. CERRADA"},0)
  =
  MATCH(_xlfn.XLOOKUP(INDEX($B:$B, (ROW()-5)),'Relacion '!$E:$E,'Relacion '!$D:$D,""),{"01. ASIGNACION AREA";"02. MAPEO";"03. DESARROLLO";"04. VALIDA US";"05. VOBO US";"06. BW-EJECUCION";"07. VALIDACIÓN BAJAWARE";"08. CERRADA"},0),
  _xlfn.XLOOKUP(INDEX($B:$B, (ROW()-5)),'Relacion '!$E:$E,'Relacion '!#REF!,0),
  0
 )
)</f>
        <v>0</v>
      </c>
      <c r="I1744" s="241">
        <f t="shared" ca="1" si="407"/>
        <v>0</v>
      </c>
      <c r="J1744" s="241"/>
      <c r="K1744" s="241"/>
      <c r="L1744" s="238"/>
    </row>
    <row r="1745" spans="2:12" outlineLevel="1">
      <c r="B1745" s="237" t="s">
        <v>710</v>
      </c>
      <c r="C1745" s="237" t="s">
        <v>710</v>
      </c>
      <c r="D1745" s="238" t="str">
        <f>_xlfn.XLOOKUP(B1745,'Relacion '!$E:$E,'Relacion '!$D:$D,"")</f>
        <v/>
      </c>
      <c r="E1745" s="239">
        <f t="shared" si="410"/>
        <v>2</v>
      </c>
      <c r="F1745" s="240" cm="1">
        <f t="array" ref="F1745">MIN(INDEX('Relacion '!$AH$5:$AI$493,MATCH(INDEX($B:$B, (ROW()-6)),'Relacion '!$E$5:$E$493,0),0))</f>
        <v>46175</v>
      </c>
      <c r="G1745" s="240" cm="1">
        <f t="array" ref="G1745">MAX(INDEX('Relacion '!$AH$5:$AI$493,MATCH(INDEX($B:$B, (ROW()-6)),'Relacion '!$E$5:$E$493,0),0))</f>
        <v>46177</v>
      </c>
      <c r="H1745" s="241" cm="1">
        <f t="array" ref="H1745">IF(
 MATCH(B1745,{"01. ASIGNACION AREA";"02. MAPEO";"03. DESARROLLO";"04. VALIDA US";"05. VOBO US";"06. BW-EJECUCION";"07. VALIDACIÓN BAJAWARE";"08. CERRADA"},0)
 &lt;
 MATCH(_xlfn.XLOOKUP(INDEX($B:$B, (ROW()-6)),'Relacion '!$E:$E,'Relacion '!$D:$D,""),{"01. ASIGNACION AREA";"02. MAPEO";"03. DESARROLLO";"04. VALIDA US";"05. VOBO US";"06. BW-EJECUCION";"07. VALIDACIÓN BAJAWARE";"08. CERRADA"},0),
 1,
 IF(
  MATCH(B1745,{"01. ASIGNACION AREA";"02. MAPEO";"03. DESARROLLO";"04. VALIDA US";"05. VOBO US";"06. BW-EJECUCION";"07. VALIDACIÓN BAJAWARE";"08. CERRADA"},0)
  =
  MATCH(_xlfn.XLOOKUP(INDEX($B:$B, (ROW()-6)),'Relacion '!$E:$E,'Relacion '!$D:$D,""),{"01. ASIGNACION AREA";"02. MAPEO";"03. DESARROLLO";"04. VALIDA US";"05. VOBO US";"06. BW-EJECUCION";"07. VALIDACIÓN BAJAWARE";"08. CERRADA"},0),
  _xlfn.XLOOKUP(INDEX($B:$B, (ROW()-6)),'Relacion '!$E:$E,'Relacion '!#REF!,0),
  0
 )
)</f>
        <v>0</v>
      </c>
      <c r="I1745" s="241">
        <f t="shared" ca="1" si="407"/>
        <v>0</v>
      </c>
      <c r="J1745" s="241"/>
      <c r="K1745" s="241"/>
      <c r="L1745" s="238"/>
    </row>
    <row r="1746" spans="2:12" outlineLevel="1">
      <c r="B1746" s="237" t="s">
        <v>655</v>
      </c>
      <c r="C1746" s="237" t="s">
        <v>655</v>
      </c>
      <c r="D1746" s="238" t="str">
        <f>_xlfn.XLOOKUP(B1746,'Relacion '!$E:$E,'Relacion '!$D:$D,"")</f>
        <v/>
      </c>
      <c r="E1746" s="239">
        <f t="shared" si="410"/>
        <v>14</v>
      </c>
      <c r="F1746" s="240" cm="1">
        <f t="array" ref="F1746">MIN(INDEX('Relacion '!$AJ$5:$AK$493,MATCH(INDEX($B:$B, (ROW()-7)),'Relacion '!$E$5:$E$493,0),0))</f>
        <v>46178</v>
      </c>
      <c r="G1746" s="240" cm="1">
        <f t="array" ref="G1746">MAX(INDEX('Relacion '!$AJ$5:$AK$493,MATCH(INDEX($B:$B, (ROW()-7)),'Relacion '!$E$5:$E$493,0),0))</f>
        <v>46192</v>
      </c>
      <c r="H1746" s="241" cm="1">
        <f t="array" ref="H1746">IF(
 MATCH(B1746,{"01. ASIGNACION AREA";"02. MAPEO";"03. DESARROLLO";"04. VALIDA US";"05. VOBO US";"06. BW-EJECUCION";"07. VALIDACIÓN BAJAWARE";"08. CERRADA"},0)
 &lt;
 MATCH(_xlfn.XLOOKUP(INDEX($B:$B, (ROW()-7)),'Relacion '!$E:$E,'Relacion '!$D:$D,""),{"01. ASIGNACION AREA";"02. MAPEO";"03. DESARROLLO";"04. VALIDA US";"05. VOBO US";"06. BW-EJECUCION";"07. VALIDACIÓN BAJAWARE";"08. CERRADA"},0),
 1,
 IF(
  MATCH(B1746,{"01. ASIGNACION AREA";"02. MAPEO";"03. DESARROLLO";"04. VALIDA US";"05. VOBO US";"06. BW-EJECUCION";"07. VALIDACIÓN BAJAWARE";"08. CERRADA"},0)
  =
  MATCH(_xlfn.XLOOKUP(INDEX($B:$B, (ROW()-7)),'Relacion '!$E:$E,'Relacion '!$D:$D,""),{"01. ASIGNACION AREA";"02. MAPEO";"03. DESARROLLO";"04. VALIDA US";"05. VOBO US";"06. BW-EJECUCION";"07. VALIDACIÓN BAJAWARE";"08. CERRADA"},0),
  _xlfn.XLOOKUP(INDEX($B:$B, (ROW()-7)),'Relacion '!$E:$E,'Relacion '!#REF!,0),
  0
 )
)</f>
        <v>0</v>
      </c>
      <c r="I1746" s="241">
        <f t="shared" ca="1" si="407"/>
        <v>0</v>
      </c>
      <c r="J1746" s="241"/>
      <c r="K1746" s="241"/>
      <c r="L1746" s="238"/>
    </row>
    <row r="1747" spans="2:12" outlineLevel="1">
      <c r="B1747" s="237" t="s">
        <v>656</v>
      </c>
      <c r="C1747" s="237" t="s">
        <v>656</v>
      </c>
      <c r="D1747" s="238" t="str">
        <f>_xlfn.XLOOKUP(B1747,'Relacion '!$E:$E,'Relacion '!$D:$D,"")</f>
        <v/>
      </c>
      <c r="E1747" s="239">
        <f t="shared" si="410"/>
        <v>1</v>
      </c>
      <c r="F1747" s="240" cm="1">
        <f t="array" ref="F1747">MIN(INDEX('Relacion '!$AL$5:$AM$493,MATCH(INDEX($B:$B, (ROW()-8)),'Relacion '!$E$5:$E$493,0),0))</f>
        <v>46195</v>
      </c>
      <c r="G1747" s="240" cm="1">
        <f t="array" ref="G1747">MAX(INDEX('Relacion '!$AL$5:$AM$493,MATCH(INDEX($B:$B, (ROW()-8)),'Relacion '!$E$5:$E$493,0),0))</f>
        <v>46196</v>
      </c>
      <c r="H1747" s="241" cm="1">
        <f t="array" ref="H1747">IF(
 MATCH(B1747,{"01. ASIGNACION AREA";"02. MAPEO";"03. DESARROLLO";"04. VALIDA US";"05. VOBO US";"06. BW-EJECUCION";"07. VALIDACIÓN BAJAWARE";"08. CERRADA"},0)
 &lt;
 MATCH(_xlfn.XLOOKUP(INDEX($B:$B, (ROW()-8)),'Relacion '!$E:$E,'Relacion '!$D:$D,""),{"01. ASIGNACION AREA";"02. MAPEO";"03. DESARROLLO";"04. VALIDA US";"05. VOBO US";"06. BW-EJECUCION";"07. VALIDACIÓN BAJAWARE";"08. CERRADA"},0),
 1,
 IF(
  MATCH(B1747,{"01. ASIGNACION AREA";"02. MAPEO";"03. DESARROLLO";"04. VALIDA US";"05. VOBO US";"06. BW-EJECUCION";"07. VALIDACIÓN BAJAWARE";"08. CERRADA"},0)
  =
  MATCH(_xlfn.XLOOKUP(INDEX($B:$B, (ROW()-8)),'Relacion '!$E:$E,'Relacion '!$D:$D,""),{"01. ASIGNACION AREA";"02. MAPEO";"03. DESARROLLO";"04. VALIDA US";"05. VOBO US";"06. BW-EJECUCION";"07. VALIDACIÓN BAJAWARE";"08. CERRADA"},0),
  _xlfn.XLOOKUP(INDEX($B:$B, (ROW()-8)),'Relacion '!$E:$E,'Relacion '!#REF!,0),
  0
 )
)</f>
        <v>0</v>
      </c>
      <c r="I1747" s="241">
        <f t="shared" ca="1" si="407"/>
        <v>0</v>
      </c>
      <c r="J1747" s="241"/>
      <c r="K1747" s="241"/>
      <c r="L1747" s="238"/>
    </row>
    <row r="1748" spans="2:12" outlineLevel="1">
      <c r="B1748" s="232" t="s">
        <v>418</v>
      </c>
      <c r="C1748" s="243" t="s">
        <v>419</v>
      </c>
      <c r="D1748" s="236" t="str">
        <f>_xlfn.XLOOKUP(B1748,'Relacion '!$E:$E,'Relacion '!$D:$D,"")</f>
        <v>02. MAPEO</v>
      </c>
      <c r="E1748" s="233">
        <f t="shared" si="410"/>
        <v>178</v>
      </c>
      <c r="F1748" s="234" cm="1">
        <f t="array" ref="F1748">MIN(INDEX('Relacion '!$X$5:$AM$493,MATCH(INDEX($B:$B, (ROW()-0)),'Relacion '!$E$5:$E$493,0),0))</f>
        <v>46024</v>
      </c>
      <c r="G1748" s="234" cm="1">
        <f t="array" ref="G1748">MAX(INDEX('Relacion '!$X$5:$AM$493,MATCH(INDEX($B:$B, (ROW()-0)),'Relacion '!$E$5:$E$493,0),0))</f>
        <v>46202</v>
      </c>
      <c r="H1748" s="235" t="e">
        <f>AVERAGE(H1749:H1756)</f>
        <v>#REF!</v>
      </c>
      <c r="I1748" s="235">
        <f t="shared" ref="I1748" ca="1" si="415">AVERAGE(I1749:I1756)</f>
        <v>0.375</v>
      </c>
      <c r="J1748" s="236" t="str">
        <f>IF(ISNUMBER(SEARCH("Rocha", _xlfn.XLOOKUP(B1748,'Relacion '!$E:$E,'Relacion '!$I:$I,""))), "Sí", "No")</f>
        <v>Sí</v>
      </c>
      <c r="K1748" s="236" t="str">
        <f>IF(ISNUMBER(SEARCH("Rocha", _xlfn.XLOOKUP(B1748,'Relacion '!$E:$E,'Relacion '!$I:$I,""))), "RMC", _xlfn.XLOOKUP(B1748,'Relacion '!$E:$E,'Relacion '!$B:$B,""))</f>
        <v>RMC</v>
      </c>
      <c r="L1748" s="236" t="str">
        <f>_xlfn.XLOOKUP(B1748,'Relacion '!$E:$E,'Relacion '!$C:$C,"")</f>
        <v>Eduardo Cabral</v>
      </c>
    </row>
    <row r="1749" spans="2:12" outlineLevel="1">
      <c r="B1749" s="237" t="s">
        <v>654</v>
      </c>
      <c r="C1749" s="237" t="s">
        <v>654</v>
      </c>
      <c r="D1749" s="238" t="str">
        <f>_xlfn.XLOOKUP(B1749,'Relacion '!$E:$E,'Relacion '!$D:$D,"")</f>
        <v/>
      </c>
      <c r="E1749" s="239">
        <f t="shared" si="410"/>
        <v>59</v>
      </c>
      <c r="F1749" s="240" cm="1">
        <f t="array" ref="F1749">MIN(INDEX('Relacion '!$X$5:$Y$493,MATCH(INDEX($B:$B, (ROW()-1)),'Relacion '!$E$5:$E$493,0),0))</f>
        <v>46024</v>
      </c>
      <c r="G1749" s="240" cm="1">
        <f t="array" ref="G1749">MAX(INDEX('Relacion '!$X$5:$Y$493,MATCH(INDEX($B:$B, (ROW()-1)),'Relacion '!$E$5:$E$493,0),0))</f>
        <v>46083</v>
      </c>
      <c r="H1749" s="241" cm="1">
        <f t="array" ref="H1749">IF(
 MATCH(B1749,{"01. ASIGNACION AREA";"02. MAPEO";"03. DESARROLLO";"04. VALIDA US";"05. VOBO US";"06. BW-EJECUCION";"07. VALIDACIÓN BAJAWARE";"08. CERRADA"},0)
 &lt;
 MATCH(_xlfn.XLOOKUP(INDEX($B:$B, (ROW()-1)),'Relacion '!$E:$E,'Relacion '!$D:$D,""),{"01. ASIGNACION AREA";"02. MAPEO";"03. DESARROLLO";"04. VALIDA US";"05. VOBO US";"06. BW-EJECUCION";"07. VALIDACIÓN BAJAWARE";"08. CERRADA"},0),
 1,
 IF(
  MATCH(B1749,{"01. ASIGNACION AREA";"02. MAPEO";"03. DESARROLLO";"04. VALIDA US";"05. VOBO US";"06. BW-EJECUCION";"07. VALIDACIÓN BAJAWARE";"08. CERRADA"},0)
  =
  MATCH(_xlfn.XLOOKUP(INDEX($B:$B, (ROW()-1)),'Relacion '!$E:$E,'Relacion '!$D:$D,""),{"01. ASIGNACION AREA";"02. MAPEO";"03. DESARROLLO";"04. VALIDA US";"05. VOBO US";"06. BW-EJECUCION";"07. VALIDACIÓN BAJAWARE";"08. CERRADA"},0),
  _xlfn.XLOOKUP(INDEX($B:$B, (ROW()-1)),'Relacion '!$E:$E,'Relacion '!#REF!,0),
  0
 )
)</f>
        <v>1</v>
      </c>
      <c r="I1749" s="241">
        <f t="shared" ref="I1749" ca="1" si="416">IF(G1749&lt;=TODAY(), 1, 0)</f>
        <v>1</v>
      </c>
      <c r="J1749" s="241"/>
      <c r="K1749" s="241"/>
      <c r="L1749" s="238"/>
    </row>
    <row r="1750" spans="2:12" outlineLevel="1">
      <c r="B1750" s="237" t="s">
        <v>195</v>
      </c>
      <c r="C1750" s="237" t="s">
        <v>195</v>
      </c>
      <c r="D1750" s="238" t="str">
        <f>_xlfn.XLOOKUP(B1750,'Relacion '!$E:$E,'Relacion '!$D:$D,"")</f>
        <v/>
      </c>
      <c r="E1750" s="239">
        <f t="shared" si="410"/>
        <v>49</v>
      </c>
      <c r="F1750" s="240" cm="1">
        <f t="array" ref="F1750">MIN(INDEX('Relacion '!$Z$5:$AA$493,MATCH(INDEX($B:$B, (ROW()-2)),'Relacion '!$E$5:$E$493,0),0))</f>
        <v>46093</v>
      </c>
      <c r="G1750" s="240" cm="1">
        <f t="array" ref="G1750">MAX(INDEX('Relacion '!$Z$5:$AA$493,MATCH(INDEX($B:$B, (ROW()-2)),'Relacion '!$E$5:$E$493,0),0))</f>
        <v>46142</v>
      </c>
      <c r="H1750" s="241" t="e" cm="1">
        <f t="array" ref="H1750">IF(
 MATCH(B1750,{"01. ASIGNACION AREA";"02. MAPEO";"03. DESARROLLO";"04. VALIDA US";"05. VOBO US";"06. BW-EJECUCION";"07. VALIDACIÓN BAJAWARE";"08. CERRADA"},0)
 &lt;
 MATCH(_xlfn.XLOOKUP(INDEX($B:$B, (ROW()-2)),'Relacion '!$E:$E,'Relacion '!$D:$D,""),{"01. ASIGNACION AREA";"02. MAPEO";"03. DESARROLLO";"04. VALIDA US";"05. VOBO US";"06. BW-EJECUCION";"07. VALIDACIÓN BAJAWARE";"08. CERRADA"},0),
 1,
 IF(
  MATCH(B1750,{"01. ASIGNACION AREA";"02. MAPEO";"03. DESARROLLO";"04. VALIDA US";"05. VOBO US";"06. BW-EJECUCION";"07. VALIDACIÓN BAJAWARE";"08. CERRADA"},0)
  =
  MATCH(_xlfn.XLOOKUP(INDEX($B:$B, (ROW()-2)),'Relacion '!$E:$E,'Relacion '!$D:$D,""),{"01. ASIGNACION AREA";"02. MAPEO";"03. DESARROLLO";"04. VALIDA US";"05. VOBO US";"06. BW-EJECUCION";"07. VALIDACIÓN BAJAWARE";"08. CERRADA"},0),
  _xlfn.XLOOKUP(INDEX($B:$B, (ROW()-2)),'Relacion '!$E:$E,'Relacion '!#REF!,0),
  0
 )
)</f>
        <v>#REF!</v>
      </c>
      <c r="I1750" s="241">
        <f t="shared" ca="1" si="407"/>
        <v>1</v>
      </c>
      <c r="J1750" s="241"/>
      <c r="K1750" s="241"/>
      <c r="L1750" s="238"/>
    </row>
    <row r="1751" spans="2:12" outlineLevel="1">
      <c r="B1751" s="237" t="s">
        <v>49</v>
      </c>
      <c r="C1751" s="237" t="s">
        <v>49</v>
      </c>
      <c r="D1751" s="238" t="str">
        <f>_xlfn.XLOOKUP(B1751,'Relacion '!$E:$E,'Relacion '!$D:$D,"")</f>
        <v/>
      </c>
      <c r="E1751" s="239">
        <f t="shared" si="410"/>
        <v>18</v>
      </c>
      <c r="F1751" s="240" cm="1">
        <f t="array" ref="F1751">MIN(INDEX('Relacion '!$AB$5:$AC$493,MATCH(INDEX($B:$B, (ROW()-3)),'Relacion '!$E$5:$E$493,0),0))</f>
        <v>46146</v>
      </c>
      <c r="G1751" s="240" cm="1">
        <f t="array" ref="G1751">MAX(INDEX('Relacion '!$AB$5:$AC$493,MATCH(INDEX($B:$B, (ROW()-3)),'Relacion '!$E$5:$E$493,0),0))</f>
        <v>46164</v>
      </c>
      <c r="H1751" s="241" cm="1">
        <f t="array" ref="H1751">IF(
 MATCH(B1751,{"01. ASIGNACION AREA";"02. MAPEO";"03. DESARROLLO";"04. VALIDA US";"05. VOBO US";"06. BW-EJECUCION";"07. VALIDACIÓN BAJAWARE";"08. CERRADA"},0)
 &lt;
 MATCH(_xlfn.XLOOKUP(INDEX($B:$B, (ROW()-3)),'Relacion '!$E:$E,'Relacion '!$D:$D,""),{"01. ASIGNACION AREA";"02. MAPEO";"03. DESARROLLO";"04. VALIDA US";"05. VOBO US";"06. BW-EJECUCION";"07. VALIDACIÓN BAJAWARE";"08. CERRADA"},0),
 1,
 IF(
  MATCH(B1751,{"01. ASIGNACION AREA";"02. MAPEO";"03. DESARROLLO";"04. VALIDA US";"05. VOBO US";"06. BW-EJECUCION";"07. VALIDACIÓN BAJAWARE";"08. CERRADA"},0)
  =
  MATCH(_xlfn.XLOOKUP(INDEX($B:$B, (ROW()-3)),'Relacion '!$E:$E,'Relacion '!$D:$D,""),{"01. ASIGNACION AREA";"02. MAPEO";"03. DESARROLLO";"04. VALIDA US";"05. VOBO US";"06. BW-EJECUCION";"07. VALIDACIÓN BAJAWARE";"08. CERRADA"},0),
  _xlfn.XLOOKUP(INDEX($B:$B, (ROW()-3)),'Relacion '!$E:$E,'Relacion '!#REF!,0),
  0
 )
)</f>
        <v>0</v>
      </c>
      <c r="I1751" s="241">
        <f t="shared" ca="1" si="407"/>
        <v>1</v>
      </c>
      <c r="J1751" s="241"/>
      <c r="K1751" s="241"/>
      <c r="L1751" s="238"/>
    </row>
    <row r="1752" spans="2:12" outlineLevel="1">
      <c r="B1752" s="237" t="s">
        <v>324</v>
      </c>
      <c r="C1752" s="237" t="s">
        <v>324</v>
      </c>
      <c r="D1752" s="238" t="str">
        <f>_xlfn.XLOOKUP(B1752,'Relacion '!$E:$E,'Relacion '!$D:$D,"")</f>
        <v/>
      </c>
      <c r="E1752" s="239">
        <f t="shared" si="410"/>
        <v>11</v>
      </c>
      <c r="F1752" s="240" cm="1">
        <f t="array" ref="F1752">MIN(INDEX('Relacion '!$AD$5:$AE$493,MATCH(INDEX($B:$B, (ROW()-4)),'Relacion '!$E$5:$E$493,0),0))</f>
        <v>46167</v>
      </c>
      <c r="G1752" s="240" cm="1">
        <f t="array" ref="G1752">MAX(INDEX('Relacion '!$AD$5:$AE$493,MATCH(INDEX($B:$B, (ROW()-4)),'Relacion '!$E$5:$E$493,0),0))</f>
        <v>46178</v>
      </c>
      <c r="H1752" s="241" cm="1">
        <f t="array" ref="H1752">IF(
 MATCH(B1752,{"01. ASIGNACION AREA";"02. MAPEO";"03. DESARROLLO";"04. VALIDA US";"05. VOBO US";"06. BW-EJECUCION";"07. VALIDACIÓN BAJAWARE";"08. CERRADA"},0)
 &lt;
 MATCH(_xlfn.XLOOKUP(INDEX($B:$B, (ROW()-4)),'Relacion '!$E:$E,'Relacion '!$D:$D,""),{"01. ASIGNACION AREA";"02. MAPEO";"03. DESARROLLO";"04. VALIDA US";"05. VOBO US";"06. BW-EJECUCION";"07. VALIDACIÓN BAJAWARE";"08. CERRADA"},0),
 1,
 IF(
  MATCH(B1752,{"01. ASIGNACION AREA";"02. MAPEO";"03. DESARROLLO";"04. VALIDA US";"05. VOBO US";"06. BW-EJECUCION";"07. VALIDACIÓN BAJAWARE";"08. CERRADA"},0)
  =
  MATCH(_xlfn.XLOOKUP(INDEX($B:$B, (ROW()-4)),'Relacion '!$E:$E,'Relacion '!$D:$D,""),{"01. ASIGNACION AREA";"02. MAPEO";"03. DESARROLLO";"04. VALIDA US";"05. VOBO US";"06. BW-EJECUCION";"07. VALIDACIÓN BAJAWARE";"08. CERRADA"},0),
  _xlfn.XLOOKUP(INDEX($B:$B, (ROW()-4)),'Relacion '!$E:$E,'Relacion '!#REF!,0),
  0
 )
)</f>
        <v>0</v>
      </c>
      <c r="I1752" s="241">
        <f t="shared" ca="1" si="407"/>
        <v>0</v>
      </c>
      <c r="J1752" s="241"/>
      <c r="K1752" s="241"/>
      <c r="L1752" s="238"/>
    </row>
    <row r="1753" spans="2:12" outlineLevel="1">
      <c r="B1753" s="237" t="s">
        <v>320</v>
      </c>
      <c r="C1753" s="237" t="s">
        <v>320</v>
      </c>
      <c r="D1753" s="238" t="str">
        <f>_xlfn.XLOOKUP(B1753,'Relacion '!$E:$E,'Relacion '!$D:$D,"")</f>
        <v/>
      </c>
      <c r="E1753" s="239">
        <f t="shared" si="410"/>
        <v>3</v>
      </c>
      <c r="F1753" s="240" cm="1">
        <f t="array" ref="F1753">MIN(INDEX('Relacion '!$AF$5:$AG$493,MATCH(INDEX($B:$B, (ROW()-5)),'Relacion '!$E$5:$E$493,0),0))</f>
        <v>46178</v>
      </c>
      <c r="G1753" s="240" cm="1">
        <f t="array" ref="G1753">MAX(INDEX('Relacion '!$AF$5:$AG$493,MATCH(INDEX($B:$B, (ROW()-5)),'Relacion '!$E$5:$E$493,0),0))</f>
        <v>46181</v>
      </c>
      <c r="H1753" s="241" cm="1">
        <f t="array" ref="H1753">IF(
 MATCH(B1753,{"01. ASIGNACION AREA";"02. MAPEO";"03. DESARROLLO";"04. VALIDA US";"05. VOBO US";"06. BW-EJECUCION";"07. VALIDACIÓN BAJAWARE";"08. CERRADA"},0)
 &lt;
 MATCH(_xlfn.XLOOKUP(INDEX($B:$B, (ROW()-5)),'Relacion '!$E:$E,'Relacion '!$D:$D,""),{"01. ASIGNACION AREA";"02. MAPEO";"03. DESARROLLO";"04. VALIDA US";"05. VOBO US";"06. BW-EJECUCION";"07. VALIDACIÓN BAJAWARE";"08. CERRADA"},0),
 1,
 IF(
  MATCH(B1753,{"01. ASIGNACION AREA";"02. MAPEO";"03. DESARROLLO";"04. VALIDA US";"05. VOBO US";"06. BW-EJECUCION";"07. VALIDACIÓN BAJAWARE";"08. CERRADA"},0)
  =
  MATCH(_xlfn.XLOOKUP(INDEX($B:$B, (ROW()-5)),'Relacion '!$E:$E,'Relacion '!$D:$D,""),{"01. ASIGNACION AREA";"02. MAPEO";"03. DESARROLLO";"04. VALIDA US";"05. VOBO US";"06. BW-EJECUCION";"07. VALIDACIÓN BAJAWARE";"08. CERRADA"},0),
  _xlfn.XLOOKUP(INDEX($B:$B, (ROW()-5)),'Relacion '!$E:$E,'Relacion '!#REF!,0),
  0
 )
)</f>
        <v>0</v>
      </c>
      <c r="I1753" s="241">
        <f t="shared" ca="1" si="407"/>
        <v>0</v>
      </c>
      <c r="J1753" s="241"/>
      <c r="K1753" s="241"/>
      <c r="L1753" s="238"/>
    </row>
    <row r="1754" spans="2:12" outlineLevel="1">
      <c r="B1754" s="237" t="s">
        <v>710</v>
      </c>
      <c r="C1754" s="237" t="s">
        <v>710</v>
      </c>
      <c r="D1754" s="238" t="str">
        <f>_xlfn.XLOOKUP(B1754,'Relacion '!$E:$E,'Relacion '!$D:$D,"")</f>
        <v/>
      </c>
      <c r="E1754" s="239">
        <f t="shared" si="410"/>
        <v>3</v>
      </c>
      <c r="F1754" s="240" cm="1">
        <f t="array" ref="F1754">MIN(INDEX('Relacion '!$AH$5:$AI$493,MATCH(INDEX($B:$B, (ROW()-6)),'Relacion '!$E$5:$E$493,0),0))</f>
        <v>46182</v>
      </c>
      <c r="G1754" s="240" cm="1">
        <f t="array" ref="G1754">MAX(INDEX('Relacion '!$AH$5:$AI$493,MATCH(INDEX($B:$B, (ROW()-6)),'Relacion '!$E$5:$E$493,0),0))</f>
        <v>46185</v>
      </c>
      <c r="H1754" s="241" cm="1">
        <f t="array" ref="H1754">IF(
 MATCH(B1754,{"01. ASIGNACION AREA";"02. MAPEO";"03. DESARROLLO";"04. VALIDA US";"05. VOBO US";"06. BW-EJECUCION";"07. VALIDACIÓN BAJAWARE";"08. CERRADA"},0)
 &lt;
 MATCH(_xlfn.XLOOKUP(INDEX($B:$B, (ROW()-6)),'Relacion '!$E:$E,'Relacion '!$D:$D,""),{"01. ASIGNACION AREA";"02. MAPEO";"03. DESARROLLO";"04. VALIDA US";"05. VOBO US";"06. BW-EJECUCION";"07. VALIDACIÓN BAJAWARE";"08. CERRADA"},0),
 1,
 IF(
  MATCH(B1754,{"01. ASIGNACION AREA";"02. MAPEO";"03. DESARROLLO";"04. VALIDA US";"05. VOBO US";"06. BW-EJECUCION";"07. VALIDACIÓN BAJAWARE";"08. CERRADA"},0)
  =
  MATCH(_xlfn.XLOOKUP(INDEX($B:$B, (ROW()-6)),'Relacion '!$E:$E,'Relacion '!$D:$D,""),{"01. ASIGNACION AREA";"02. MAPEO";"03. DESARROLLO";"04. VALIDA US";"05. VOBO US";"06. BW-EJECUCION";"07. VALIDACIÓN BAJAWARE";"08. CERRADA"},0),
  _xlfn.XLOOKUP(INDEX($B:$B, (ROW()-6)),'Relacion '!$E:$E,'Relacion '!#REF!,0),
  0
 )
)</f>
        <v>0</v>
      </c>
      <c r="I1754" s="241">
        <f t="shared" ca="1" si="407"/>
        <v>0</v>
      </c>
      <c r="J1754" s="241"/>
      <c r="K1754" s="241"/>
      <c r="L1754" s="238"/>
    </row>
    <row r="1755" spans="2:12" outlineLevel="1">
      <c r="B1755" s="237" t="s">
        <v>655</v>
      </c>
      <c r="C1755" s="237" t="s">
        <v>655</v>
      </c>
      <c r="D1755" s="238" t="str">
        <f>_xlfn.XLOOKUP(B1755,'Relacion '!$E:$E,'Relacion '!$D:$D,"")</f>
        <v/>
      </c>
      <c r="E1755" s="239">
        <f t="shared" si="410"/>
        <v>11</v>
      </c>
      <c r="F1755" s="240" cm="1">
        <f t="array" ref="F1755">MIN(INDEX('Relacion '!$AJ$5:$AK$493,MATCH(INDEX($B:$B, (ROW()-7)),'Relacion '!$E$5:$E$493,0),0))</f>
        <v>46188</v>
      </c>
      <c r="G1755" s="240" cm="1">
        <f t="array" ref="G1755">MAX(INDEX('Relacion '!$AJ$5:$AK$493,MATCH(INDEX($B:$B, (ROW()-7)),'Relacion '!$E$5:$E$493,0),0))</f>
        <v>46199</v>
      </c>
      <c r="H1755" s="241" cm="1">
        <f t="array" ref="H1755">IF(
 MATCH(B1755,{"01. ASIGNACION AREA";"02. MAPEO";"03. DESARROLLO";"04. VALIDA US";"05. VOBO US";"06. BW-EJECUCION";"07. VALIDACIÓN BAJAWARE";"08. CERRADA"},0)
 &lt;
 MATCH(_xlfn.XLOOKUP(INDEX($B:$B, (ROW()-7)),'Relacion '!$E:$E,'Relacion '!$D:$D,""),{"01. ASIGNACION AREA";"02. MAPEO";"03. DESARROLLO";"04. VALIDA US";"05. VOBO US";"06. BW-EJECUCION";"07. VALIDACIÓN BAJAWARE";"08. CERRADA"},0),
 1,
 IF(
  MATCH(B1755,{"01. ASIGNACION AREA";"02. MAPEO";"03. DESARROLLO";"04. VALIDA US";"05. VOBO US";"06. BW-EJECUCION";"07. VALIDACIÓN BAJAWARE";"08. CERRADA"},0)
  =
  MATCH(_xlfn.XLOOKUP(INDEX($B:$B, (ROW()-7)),'Relacion '!$E:$E,'Relacion '!$D:$D,""),{"01. ASIGNACION AREA";"02. MAPEO";"03. DESARROLLO";"04. VALIDA US";"05. VOBO US";"06. BW-EJECUCION";"07. VALIDACIÓN BAJAWARE";"08. CERRADA"},0),
  _xlfn.XLOOKUP(INDEX($B:$B, (ROW()-7)),'Relacion '!$E:$E,'Relacion '!#REF!,0),
  0
 )
)</f>
        <v>0</v>
      </c>
      <c r="I1755" s="241">
        <f t="shared" ca="1" si="407"/>
        <v>0</v>
      </c>
      <c r="J1755" s="241"/>
      <c r="K1755" s="241"/>
      <c r="L1755" s="238"/>
    </row>
    <row r="1756" spans="2:12" outlineLevel="1">
      <c r="B1756" s="237" t="s">
        <v>656</v>
      </c>
      <c r="C1756" s="237" t="s">
        <v>656</v>
      </c>
      <c r="D1756" s="238" t="str">
        <f>_xlfn.XLOOKUP(B1756,'Relacion '!$E:$E,'Relacion '!$D:$D,"")</f>
        <v/>
      </c>
      <c r="E1756" s="239">
        <f t="shared" si="410"/>
        <v>3</v>
      </c>
      <c r="F1756" s="240" cm="1">
        <f t="array" ref="F1756">MIN(INDEX('Relacion '!$AL$5:$AM$493,MATCH(INDEX($B:$B, (ROW()-8)),'Relacion '!$E$5:$E$493,0),0))</f>
        <v>46199</v>
      </c>
      <c r="G1756" s="240" cm="1">
        <f t="array" ref="G1756">MAX(INDEX('Relacion '!$AL$5:$AM$493,MATCH(INDEX($B:$B, (ROW()-8)),'Relacion '!$E$5:$E$493,0),0))</f>
        <v>46202</v>
      </c>
      <c r="H1756" s="241" cm="1">
        <f t="array" ref="H1756">IF(
 MATCH(B1756,{"01. ASIGNACION AREA";"02. MAPEO";"03. DESARROLLO";"04. VALIDA US";"05. VOBO US";"06. BW-EJECUCION";"07. VALIDACIÓN BAJAWARE";"08. CERRADA"},0)
 &lt;
 MATCH(_xlfn.XLOOKUP(INDEX($B:$B, (ROW()-8)),'Relacion '!$E:$E,'Relacion '!$D:$D,""),{"01. ASIGNACION AREA";"02. MAPEO";"03. DESARROLLO";"04. VALIDA US";"05. VOBO US";"06. BW-EJECUCION";"07. VALIDACIÓN BAJAWARE";"08. CERRADA"},0),
 1,
 IF(
  MATCH(B1756,{"01. ASIGNACION AREA";"02. MAPEO";"03. DESARROLLO";"04. VALIDA US";"05. VOBO US";"06. BW-EJECUCION";"07. VALIDACIÓN BAJAWARE";"08. CERRADA"},0)
  =
  MATCH(_xlfn.XLOOKUP(INDEX($B:$B, (ROW()-8)),'Relacion '!$E:$E,'Relacion '!$D:$D,""),{"01. ASIGNACION AREA";"02. MAPEO";"03. DESARROLLO";"04. VALIDA US";"05. VOBO US";"06. BW-EJECUCION";"07. VALIDACIÓN BAJAWARE";"08. CERRADA"},0),
  _xlfn.XLOOKUP(INDEX($B:$B, (ROW()-8)),'Relacion '!$E:$E,'Relacion '!#REF!,0),
  0
 )
)</f>
        <v>0</v>
      </c>
      <c r="I1756" s="241">
        <f t="shared" ca="1" si="407"/>
        <v>0</v>
      </c>
      <c r="J1756" s="241"/>
      <c r="K1756" s="241"/>
      <c r="L1756" s="238"/>
    </row>
    <row r="1757" spans="2:12" outlineLevel="1">
      <c r="B1757" s="232" t="s">
        <v>422</v>
      </c>
      <c r="C1757" s="243" t="s">
        <v>419</v>
      </c>
      <c r="D1757" s="236" t="str">
        <f>_xlfn.XLOOKUP(B1757,'Relacion '!$E:$E,'Relacion '!$D:$D,"")</f>
        <v>02. MAPEO</v>
      </c>
      <c r="E1757" s="233">
        <f t="shared" si="410"/>
        <v>178</v>
      </c>
      <c r="F1757" s="234" cm="1">
        <f t="array" ref="F1757">MIN(INDEX('Relacion '!$X$5:$AM$493,MATCH(INDEX($B:$B, (ROW()-0)),'Relacion '!$E$5:$E$493,0),0))</f>
        <v>46024</v>
      </c>
      <c r="G1757" s="234" cm="1">
        <f t="array" ref="G1757">MAX(INDEX('Relacion '!$X$5:$AM$493,MATCH(INDEX($B:$B, (ROW()-0)),'Relacion '!$E$5:$E$493,0),0))</f>
        <v>46202</v>
      </c>
      <c r="H1757" s="235" t="e">
        <f>AVERAGE(H1758:H1765)</f>
        <v>#REF!</v>
      </c>
      <c r="I1757" s="235">
        <f t="shared" ref="I1757" ca="1" si="417">AVERAGE(I1758:I1765)</f>
        <v>0.375</v>
      </c>
      <c r="J1757" s="236" t="str">
        <f>IF(ISNUMBER(SEARCH("Rocha", _xlfn.XLOOKUP(B1757,'Relacion '!$E:$E,'Relacion '!$I:$I,""))), "Sí", "No")</f>
        <v>Sí</v>
      </c>
      <c r="K1757" s="236" t="str">
        <f>IF(ISNUMBER(SEARCH("Rocha", _xlfn.XLOOKUP(B1757,'Relacion '!$E:$E,'Relacion '!$I:$I,""))), "RMC", _xlfn.XLOOKUP(B1757,'Relacion '!$E:$E,'Relacion '!$B:$B,""))</f>
        <v>RMC</v>
      </c>
      <c r="L1757" s="236" t="str">
        <f>_xlfn.XLOOKUP(B1757,'Relacion '!$E:$E,'Relacion '!$C:$C,"")</f>
        <v>Eduardo Cabral</v>
      </c>
    </row>
    <row r="1758" spans="2:12" outlineLevel="1">
      <c r="B1758" s="237" t="s">
        <v>654</v>
      </c>
      <c r="C1758" s="237" t="s">
        <v>654</v>
      </c>
      <c r="D1758" s="238" t="str">
        <f>_xlfn.XLOOKUP(B1758,'Relacion '!$E:$E,'Relacion '!$D:$D,"")</f>
        <v/>
      </c>
      <c r="E1758" s="239">
        <f t="shared" si="410"/>
        <v>59</v>
      </c>
      <c r="F1758" s="240" cm="1">
        <f t="array" ref="F1758">MIN(INDEX('Relacion '!$X$5:$Y$493,MATCH(INDEX($B:$B, (ROW()-1)),'Relacion '!$E$5:$E$493,0),0))</f>
        <v>46024</v>
      </c>
      <c r="G1758" s="240" cm="1">
        <f t="array" ref="G1758">MAX(INDEX('Relacion '!$X$5:$Y$493,MATCH(INDEX($B:$B, (ROW()-1)),'Relacion '!$E$5:$E$493,0),0))</f>
        <v>46083</v>
      </c>
      <c r="H1758" s="241" cm="1">
        <f t="array" ref="H1758">IF(
 MATCH(B1758,{"01. ASIGNACION AREA";"02. MAPEO";"03. DESARROLLO";"04. VALIDA US";"05. VOBO US";"06. BW-EJECUCION";"07. VALIDACIÓN BAJAWARE";"08. CERRADA"},0)
 &lt;
 MATCH(_xlfn.XLOOKUP(INDEX($B:$B, (ROW()-1)),'Relacion '!$E:$E,'Relacion '!$D:$D,""),{"01. ASIGNACION AREA";"02. MAPEO";"03. DESARROLLO";"04. VALIDA US";"05. VOBO US";"06. BW-EJECUCION";"07. VALIDACIÓN BAJAWARE";"08. CERRADA"},0),
 1,
 IF(
  MATCH(B1758,{"01. ASIGNACION AREA";"02. MAPEO";"03. DESARROLLO";"04. VALIDA US";"05. VOBO US";"06. BW-EJECUCION";"07. VALIDACIÓN BAJAWARE";"08. CERRADA"},0)
  =
  MATCH(_xlfn.XLOOKUP(INDEX($B:$B, (ROW()-1)),'Relacion '!$E:$E,'Relacion '!$D:$D,""),{"01. ASIGNACION AREA";"02. MAPEO";"03. DESARROLLO";"04. VALIDA US";"05. VOBO US";"06. BW-EJECUCION";"07. VALIDACIÓN BAJAWARE";"08. CERRADA"},0),
  _xlfn.XLOOKUP(INDEX($B:$B, (ROW()-1)),'Relacion '!$E:$E,'Relacion '!#REF!,0),
  0
 )
)</f>
        <v>1</v>
      </c>
      <c r="I1758" s="241">
        <f t="shared" ref="I1758" ca="1" si="418">IF(G1758&lt;=TODAY(), 1, 0)</f>
        <v>1</v>
      </c>
      <c r="J1758" s="241"/>
      <c r="K1758" s="241"/>
      <c r="L1758" s="238"/>
    </row>
    <row r="1759" spans="2:12" outlineLevel="1">
      <c r="B1759" s="237" t="s">
        <v>195</v>
      </c>
      <c r="C1759" s="237" t="s">
        <v>195</v>
      </c>
      <c r="D1759" s="238" t="str">
        <f>_xlfn.XLOOKUP(B1759,'Relacion '!$E:$E,'Relacion '!$D:$D,"")</f>
        <v/>
      </c>
      <c r="E1759" s="239">
        <f t="shared" si="410"/>
        <v>49</v>
      </c>
      <c r="F1759" s="240" cm="1">
        <f t="array" ref="F1759">MIN(INDEX('Relacion '!$Z$5:$AA$493,MATCH(INDEX($B:$B, (ROW()-2)),'Relacion '!$E$5:$E$493,0),0))</f>
        <v>46093</v>
      </c>
      <c r="G1759" s="240" cm="1">
        <f t="array" ref="G1759">MAX(INDEX('Relacion '!$Z$5:$AA$493,MATCH(INDEX($B:$B, (ROW()-2)),'Relacion '!$E$5:$E$493,0),0))</f>
        <v>46142</v>
      </c>
      <c r="H1759" s="241" t="e" cm="1">
        <f t="array" ref="H1759">IF(
 MATCH(B1759,{"01. ASIGNACION AREA";"02. MAPEO";"03. DESARROLLO";"04. VALIDA US";"05. VOBO US";"06. BW-EJECUCION";"07. VALIDACIÓN BAJAWARE";"08. CERRADA"},0)
 &lt;
 MATCH(_xlfn.XLOOKUP(INDEX($B:$B, (ROW()-2)),'Relacion '!$E:$E,'Relacion '!$D:$D,""),{"01. ASIGNACION AREA";"02. MAPEO";"03. DESARROLLO";"04. VALIDA US";"05. VOBO US";"06. BW-EJECUCION";"07. VALIDACIÓN BAJAWARE";"08. CERRADA"},0),
 1,
 IF(
  MATCH(B1759,{"01. ASIGNACION AREA";"02. MAPEO";"03. DESARROLLO";"04. VALIDA US";"05. VOBO US";"06. BW-EJECUCION";"07. VALIDACIÓN BAJAWARE";"08. CERRADA"},0)
  =
  MATCH(_xlfn.XLOOKUP(INDEX($B:$B, (ROW()-2)),'Relacion '!$E:$E,'Relacion '!$D:$D,""),{"01. ASIGNACION AREA";"02. MAPEO";"03. DESARROLLO";"04. VALIDA US";"05. VOBO US";"06. BW-EJECUCION";"07. VALIDACIÓN BAJAWARE";"08. CERRADA"},0),
  _xlfn.XLOOKUP(INDEX($B:$B, (ROW()-2)),'Relacion '!$E:$E,'Relacion '!#REF!,0),
  0
 )
)</f>
        <v>#REF!</v>
      </c>
      <c r="I1759" s="241">
        <f t="shared" ca="1" si="407"/>
        <v>1</v>
      </c>
      <c r="J1759" s="241"/>
      <c r="K1759" s="241"/>
      <c r="L1759" s="238"/>
    </row>
    <row r="1760" spans="2:12" outlineLevel="1">
      <c r="B1760" s="237" t="s">
        <v>49</v>
      </c>
      <c r="C1760" s="237" t="s">
        <v>49</v>
      </c>
      <c r="D1760" s="238" t="str">
        <f>_xlfn.XLOOKUP(B1760,'Relacion '!$E:$E,'Relacion '!$D:$D,"")</f>
        <v/>
      </c>
      <c r="E1760" s="239">
        <f t="shared" si="410"/>
        <v>18</v>
      </c>
      <c r="F1760" s="240" cm="1">
        <f t="array" ref="F1760">MIN(INDEX('Relacion '!$AB$5:$AC$493,MATCH(INDEX($B:$B, (ROW()-3)),'Relacion '!$E$5:$E$493,0),0))</f>
        <v>46146</v>
      </c>
      <c r="G1760" s="240" cm="1">
        <f t="array" ref="G1760">MAX(INDEX('Relacion '!$AB$5:$AC$493,MATCH(INDEX($B:$B, (ROW()-3)),'Relacion '!$E$5:$E$493,0),0))</f>
        <v>46164</v>
      </c>
      <c r="H1760" s="241" cm="1">
        <f t="array" ref="H1760">IF(
 MATCH(B1760,{"01. ASIGNACION AREA";"02. MAPEO";"03. DESARROLLO";"04. VALIDA US";"05. VOBO US";"06. BW-EJECUCION";"07. VALIDACIÓN BAJAWARE";"08. CERRADA"},0)
 &lt;
 MATCH(_xlfn.XLOOKUP(INDEX($B:$B, (ROW()-3)),'Relacion '!$E:$E,'Relacion '!$D:$D,""),{"01. ASIGNACION AREA";"02. MAPEO";"03. DESARROLLO";"04. VALIDA US";"05. VOBO US";"06. BW-EJECUCION";"07. VALIDACIÓN BAJAWARE";"08. CERRADA"},0),
 1,
 IF(
  MATCH(B1760,{"01. ASIGNACION AREA";"02. MAPEO";"03. DESARROLLO";"04. VALIDA US";"05. VOBO US";"06. BW-EJECUCION";"07. VALIDACIÓN BAJAWARE";"08. CERRADA"},0)
  =
  MATCH(_xlfn.XLOOKUP(INDEX($B:$B, (ROW()-3)),'Relacion '!$E:$E,'Relacion '!$D:$D,""),{"01. ASIGNACION AREA";"02. MAPEO";"03. DESARROLLO";"04. VALIDA US";"05. VOBO US";"06. BW-EJECUCION";"07. VALIDACIÓN BAJAWARE";"08. CERRADA"},0),
  _xlfn.XLOOKUP(INDEX($B:$B, (ROW()-3)),'Relacion '!$E:$E,'Relacion '!#REF!,0),
  0
 )
)</f>
        <v>0</v>
      </c>
      <c r="I1760" s="241">
        <f t="shared" ca="1" si="407"/>
        <v>1</v>
      </c>
      <c r="J1760" s="241"/>
      <c r="K1760" s="241"/>
      <c r="L1760" s="238"/>
    </row>
    <row r="1761" spans="2:12" outlineLevel="1">
      <c r="B1761" s="237" t="s">
        <v>324</v>
      </c>
      <c r="C1761" s="237" t="s">
        <v>324</v>
      </c>
      <c r="D1761" s="238" t="str">
        <f>_xlfn.XLOOKUP(B1761,'Relacion '!$E:$E,'Relacion '!$D:$D,"")</f>
        <v/>
      </c>
      <c r="E1761" s="239">
        <f t="shared" si="410"/>
        <v>11</v>
      </c>
      <c r="F1761" s="240" cm="1">
        <f t="array" ref="F1761">MIN(INDEX('Relacion '!$AD$5:$AE$493,MATCH(INDEX($B:$B, (ROW()-4)),'Relacion '!$E$5:$E$493,0),0))</f>
        <v>46167</v>
      </c>
      <c r="G1761" s="240" cm="1">
        <f t="array" ref="G1761">MAX(INDEX('Relacion '!$AD$5:$AE$493,MATCH(INDEX($B:$B, (ROW()-4)),'Relacion '!$E$5:$E$493,0),0))</f>
        <v>46178</v>
      </c>
      <c r="H1761" s="241" cm="1">
        <f t="array" ref="H1761">IF(
 MATCH(B1761,{"01. ASIGNACION AREA";"02. MAPEO";"03. DESARROLLO";"04. VALIDA US";"05. VOBO US";"06. BW-EJECUCION";"07. VALIDACIÓN BAJAWARE";"08. CERRADA"},0)
 &lt;
 MATCH(_xlfn.XLOOKUP(INDEX($B:$B, (ROW()-4)),'Relacion '!$E:$E,'Relacion '!$D:$D,""),{"01. ASIGNACION AREA";"02. MAPEO";"03. DESARROLLO";"04. VALIDA US";"05. VOBO US";"06. BW-EJECUCION";"07. VALIDACIÓN BAJAWARE";"08. CERRADA"},0),
 1,
 IF(
  MATCH(B1761,{"01. ASIGNACION AREA";"02. MAPEO";"03. DESARROLLO";"04. VALIDA US";"05. VOBO US";"06. BW-EJECUCION";"07. VALIDACIÓN BAJAWARE";"08. CERRADA"},0)
  =
  MATCH(_xlfn.XLOOKUP(INDEX($B:$B, (ROW()-4)),'Relacion '!$E:$E,'Relacion '!$D:$D,""),{"01. ASIGNACION AREA";"02. MAPEO";"03. DESARROLLO";"04. VALIDA US";"05. VOBO US";"06. BW-EJECUCION";"07. VALIDACIÓN BAJAWARE";"08. CERRADA"},0),
  _xlfn.XLOOKUP(INDEX($B:$B, (ROW()-4)),'Relacion '!$E:$E,'Relacion '!#REF!,0),
  0
 )
)</f>
        <v>0</v>
      </c>
      <c r="I1761" s="241">
        <f t="shared" ca="1" si="407"/>
        <v>0</v>
      </c>
      <c r="J1761" s="241"/>
      <c r="K1761" s="241"/>
      <c r="L1761" s="238"/>
    </row>
    <row r="1762" spans="2:12" outlineLevel="1">
      <c r="B1762" s="237" t="s">
        <v>320</v>
      </c>
      <c r="C1762" s="237" t="s">
        <v>320</v>
      </c>
      <c r="D1762" s="238" t="str">
        <f>_xlfn.XLOOKUP(B1762,'Relacion '!$E:$E,'Relacion '!$D:$D,"")</f>
        <v/>
      </c>
      <c r="E1762" s="239">
        <f t="shared" si="410"/>
        <v>3</v>
      </c>
      <c r="F1762" s="240" cm="1">
        <f t="array" ref="F1762">MIN(INDEX('Relacion '!$AF$5:$AG$493,MATCH(INDEX($B:$B, (ROW()-5)),'Relacion '!$E$5:$E$493,0),0))</f>
        <v>46178</v>
      </c>
      <c r="G1762" s="240" cm="1">
        <f t="array" ref="G1762">MAX(INDEX('Relacion '!$AF$5:$AG$493,MATCH(INDEX($B:$B, (ROW()-5)),'Relacion '!$E$5:$E$493,0),0))</f>
        <v>46181</v>
      </c>
      <c r="H1762" s="241" cm="1">
        <f t="array" ref="H1762">IF(
 MATCH(B1762,{"01. ASIGNACION AREA";"02. MAPEO";"03. DESARROLLO";"04. VALIDA US";"05. VOBO US";"06. BW-EJECUCION";"07. VALIDACIÓN BAJAWARE";"08. CERRADA"},0)
 &lt;
 MATCH(_xlfn.XLOOKUP(INDEX($B:$B, (ROW()-5)),'Relacion '!$E:$E,'Relacion '!$D:$D,""),{"01. ASIGNACION AREA";"02. MAPEO";"03. DESARROLLO";"04. VALIDA US";"05. VOBO US";"06. BW-EJECUCION";"07. VALIDACIÓN BAJAWARE";"08. CERRADA"},0),
 1,
 IF(
  MATCH(B1762,{"01. ASIGNACION AREA";"02. MAPEO";"03. DESARROLLO";"04. VALIDA US";"05. VOBO US";"06. BW-EJECUCION";"07. VALIDACIÓN BAJAWARE";"08. CERRADA"},0)
  =
  MATCH(_xlfn.XLOOKUP(INDEX($B:$B, (ROW()-5)),'Relacion '!$E:$E,'Relacion '!$D:$D,""),{"01. ASIGNACION AREA";"02. MAPEO";"03. DESARROLLO";"04. VALIDA US";"05. VOBO US";"06. BW-EJECUCION";"07. VALIDACIÓN BAJAWARE";"08. CERRADA"},0),
  _xlfn.XLOOKUP(INDEX($B:$B, (ROW()-5)),'Relacion '!$E:$E,'Relacion '!#REF!,0),
  0
 )
)</f>
        <v>0</v>
      </c>
      <c r="I1762" s="241">
        <f t="shared" ca="1" si="407"/>
        <v>0</v>
      </c>
      <c r="J1762" s="241"/>
      <c r="K1762" s="241"/>
      <c r="L1762" s="238"/>
    </row>
    <row r="1763" spans="2:12" outlineLevel="1">
      <c r="B1763" s="237" t="s">
        <v>710</v>
      </c>
      <c r="C1763" s="237" t="s">
        <v>710</v>
      </c>
      <c r="D1763" s="238" t="str">
        <f>_xlfn.XLOOKUP(B1763,'Relacion '!$E:$E,'Relacion '!$D:$D,"")</f>
        <v/>
      </c>
      <c r="E1763" s="239">
        <f t="shared" si="410"/>
        <v>3</v>
      </c>
      <c r="F1763" s="240" cm="1">
        <f t="array" ref="F1763">MIN(INDEX('Relacion '!$AH$5:$AI$493,MATCH(INDEX($B:$B, (ROW()-6)),'Relacion '!$E$5:$E$493,0),0))</f>
        <v>46182</v>
      </c>
      <c r="G1763" s="240" cm="1">
        <f t="array" ref="G1763">MAX(INDEX('Relacion '!$AH$5:$AI$493,MATCH(INDEX($B:$B, (ROW()-6)),'Relacion '!$E$5:$E$493,0),0))</f>
        <v>46185</v>
      </c>
      <c r="H1763" s="241" cm="1">
        <f t="array" ref="H1763">IF(
 MATCH(B1763,{"01. ASIGNACION AREA";"02. MAPEO";"03. DESARROLLO";"04. VALIDA US";"05. VOBO US";"06. BW-EJECUCION";"07. VALIDACIÓN BAJAWARE";"08. CERRADA"},0)
 &lt;
 MATCH(_xlfn.XLOOKUP(INDEX($B:$B, (ROW()-6)),'Relacion '!$E:$E,'Relacion '!$D:$D,""),{"01. ASIGNACION AREA";"02. MAPEO";"03. DESARROLLO";"04. VALIDA US";"05. VOBO US";"06. BW-EJECUCION";"07. VALIDACIÓN BAJAWARE";"08. CERRADA"},0),
 1,
 IF(
  MATCH(B1763,{"01. ASIGNACION AREA";"02. MAPEO";"03. DESARROLLO";"04. VALIDA US";"05. VOBO US";"06. BW-EJECUCION";"07. VALIDACIÓN BAJAWARE";"08. CERRADA"},0)
  =
  MATCH(_xlfn.XLOOKUP(INDEX($B:$B, (ROW()-6)),'Relacion '!$E:$E,'Relacion '!$D:$D,""),{"01. ASIGNACION AREA";"02. MAPEO";"03. DESARROLLO";"04. VALIDA US";"05. VOBO US";"06. BW-EJECUCION";"07. VALIDACIÓN BAJAWARE";"08. CERRADA"},0),
  _xlfn.XLOOKUP(INDEX($B:$B, (ROW()-6)),'Relacion '!$E:$E,'Relacion '!#REF!,0),
  0
 )
)</f>
        <v>0</v>
      </c>
      <c r="I1763" s="241">
        <f t="shared" ca="1" si="407"/>
        <v>0</v>
      </c>
      <c r="J1763" s="241"/>
      <c r="K1763" s="241"/>
      <c r="L1763" s="238"/>
    </row>
    <row r="1764" spans="2:12" outlineLevel="1">
      <c r="B1764" s="237" t="s">
        <v>655</v>
      </c>
      <c r="C1764" s="237" t="s">
        <v>655</v>
      </c>
      <c r="D1764" s="238" t="str">
        <f>_xlfn.XLOOKUP(B1764,'Relacion '!$E:$E,'Relacion '!$D:$D,"")</f>
        <v/>
      </c>
      <c r="E1764" s="239">
        <f t="shared" si="410"/>
        <v>11</v>
      </c>
      <c r="F1764" s="240" cm="1">
        <f t="array" ref="F1764">MIN(INDEX('Relacion '!$AJ$5:$AK$493,MATCH(INDEX($B:$B, (ROW()-7)),'Relacion '!$E$5:$E$493,0),0))</f>
        <v>46188</v>
      </c>
      <c r="G1764" s="240" cm="1">
        <f t="array" ref="G1764">MAX(INDEX('Relacion '!$AJ$5:$AK$493,MATCH(INDEX($B:$B, (ROW()-7)),'Relacion '!$E$5:$E$493,0),0))</f>
        <v>46199</v>
      </c>
      <c r="H1764" s="241" cm="1">
        <f t="array" ref="H1764">IF(
 MATCH(B1764,{"01. ASIGNACION AREA";"02. MAPEO";"03. DESARROLLO";"04. VALIDA US";"05. VOBO US";"06. BW-EJECUCION";"07. VALIDACIÓN BAJAWARE";"08. CERRADA"},0)
 &lt;
 MATCH(_xlfn.XLOOKUP(INDEX($B:$B, (ROW()-7)),'Relacion '!$E:$E,'Relacion '!$D:$D,""),{"01. ASIGNACION AREA";"02. MAPEO";"03. DESARROLLO";"04. VALIDA US";"05. VOBO US";"06. BW-EJECUCION";"07. VALIDACIÓN BAJAWARE";"08. CERRADA"},0),
 1,
 IF(
  MATCH(B1764,{"01. ASIGNACION AREA";"02. MAPEO";"03. DESARROLLO";"04. VALIDA US";"05. VOBO US";"06. BW-EJECUCION";"07. VALIDACIÓN BAJAWARE";"08. CERRADA"},0)
  =
  MATCH(_xlfn.XLOOKUP(INDEX($B:$B, (ROW()-7)),'Relacion '!$E:$E,'Relacion '!$D:$D,""),{"01. ASIGNACION AREA";"02. MAPEO";"03. DESARROLLO";"04. VALIDA US";"05. VOBO US";"06. BW-EJECUCION";"07. VALIDACIÓN BAJAWARE";"08. CERRADA"},0),
  _xlfn.XLOOKUP(INDEX($B:$B, (ROW()-7)),'Relacion '!$E:$E,'Relacion '!#REF!,0),
  0
 )
)</f>
        <v>0</v>
      </c>
      <c r="I1764" s="241">
        <f t="shared" ca="1" si="407"/>
        <v>0</v>
      </c>
      <c r="J1764" s="241"/>
      <c r="K1764" s="241"/>
      <c r="L1764" s="238"/>
    </row>
    <row r="1765" spans="2:12" outlineLevel="1">
      <c r="B1765" s="237" t="s">
        <v>656</v>
      </c>
      <c r="C1765" s="237" t="s">
        <v>656</v>
      </c>
      <c r="D1765" s="238" t="str">
        <f>_xlfn.XLOOKUP(B1765,'Relacion '!$E:$E,'Relacion '!$D:$D,"")</f>
        <v/>
      </c>
      <c r="E1765" s="239">
        <f t="shared" si="410"/>
        <v>3</v>
      </c>
      <c r="F1765" s="240" cm="1">
        <f t="array" ref="F1765">MIN(INDEX('Relacion '!$AL$5:$AM$493,MATCH(INDEX($B:$B, (ROW()-8)),'Relacion '!$E$5:$E$493,0),0))</f>
        <v>46199</v>
      </c>
      <c r="G1765" s="240" cm="1">
        <f t="array" ref="G1765">MAX(INDEX('Relacion '!$AL$5:$AM$493,MATCH(INDEX($B:$B, (ROW()-8)),'Relacion '!$E$5:$E$493,0),0))</f>
        <v>46202</v>
      </c>
      <c r="H1765" s="241" cm="1">
        <f t="array" ref="H1765">IF(
 MATCH(B1765,{"01. ASIGNACION AREA";"02. MAPEO";"03. DESARROLLO";"04. VALIDA US";"05. VOBO US";"06. BW-EJECUCION";"07. VALIDACIÓN BAJAWARE";"08. CERRADA"},0)
 &lt;
 MATCH(_xlfn.XLOOKUP(INDEX($B:$B, (ROW()-8)),'Relacion '!$E:$E,'Relacion '!$D:$D,""),{"01. ASIGNACION AREA";"02. MAPEO";"03. DESARROLLO";"04. VALIDA US";"05. VOBO US";"06. BW-EJECUCION";"07. VALIDACIÓN BAJAWARE";"08. CERRADA"},0),
 1,
 IF(
  MATCH(B1765,{"01. ASIGNACION AREA";"02. MAPEO";"03. DESARROLLO";"04. VALIDA US";"05. VOBO US";"06. BW-EJECUCION";"07. VALIDACIÓN BAJAWARE";"08. CERRADA"},0)
  =
  MATCH(_xlfn.XLOOKUP(INDEX($B:$B, (ROW()-8)),'Relacion '!$E:$E,'Relacion '!$D:$D,""),{"01. ASIGNACION AREA";"02. MAPEO";"03. DESARROLLO";"04. VALIDA US";"05. VOBO US";"06. BW-EJECUCION";"07. VALIDACIÓN BAJAWARE";"08. CERRADA"},0),
  _xlfn.XLOOKUP(INDEX($B:$B, (ROW()-8)),'Relacion '!$E:$E,'Relacion '!#REF!,0),
  0
 )
)</f>
        <v>0</v>
      </c>
      <c r="I1765" s="241">
        <f t="shared" ca="1" si="407"/>
        <v>0</v>
      </c>
      <c r="J1765" s="241"/>
      <c r="K1765" s="241"/>
      <c r="L1765" s="238"/>
    </row>
    <row r="1766" spans="2:12" outlineLevel="1">
      <c r="B1766" s="232" t="s">
        <v>425</v>
      </c>
      <c r="C1766" s="243" t="s">
        <v>419</v>
      </c>
      <c r="D1766" s="236" t="str">
        <f>_xlfn.XLOOKUP(B1766,'Relacion '!$E:$E,'Relacion '!$D:$D,"")</f>
        <v>02. MAPEO</v>
      </c>
      <c r="E1766" s="233">
        <f t="shared" si="410"/>
        <v>178</v>
      </c>
      <c r="F1766" s="234" cm="1">
        <f t="array" ref="F1766">MIN(INDEX('Relacion '!$X$5:$AM$493,MATCH(INDEX($B:$B, (ROW()-0)),'Relacion '!$E$5:$E$493,0),0))</f>
        <v>46024</v>
      </c>
      <c r="G1766" s="234" cm="1">
        <f t="array" ref="G1766">MAX(INDEX('Relacion '!$X$5:$AM$493,MATCH(INDEX($B:$B, (ROW()-0)),'Relacion '!$E$5:$E$493,0),0))</f>
        <v>46202</v>
      </c>
      <c r="H1766" s="235" t="e">
        <f>AVERAGE(H1767:H1774)</f>
        <v>#REF!</v>
      </c>
      <c r="I1766" s="235">
        <f t="shared" ref="I1766" ca="1" si="419">AVERAGE(I1767:I1774)</f>
        <v>0.375</v>
      </c>
      <c r="J1766" s="236" t="str">
        <f>IF(ISNUMBER(SEARCH("Rocha", _xlfn.XLOOKUP(B1766,'Relacion '!$E:$E,'Relacion '!$I:$I,""))), "Sí", "No")</f>
        <v>Sí</v>
      </c>
      <c r="K1766" s="236" t="str">
        <f>IF(ISNUMBER(SEARCH("Rocha", _xlfn.XLOOKUP(B1766,'Relacion '!$E:$E,'Relacion '!$I:$I,""))), "RMC", _xlfn.XLOOKUP(B1766,'Relacion '!$E:$E,'Relacion '!$B:$B,""))</f>
        <v>RMC</v>
      </c>
      <c r="L1766" s="236" t="str">
        <f>_xlfn.XLOOKUP(B1766,'Relacion '!$E:$E,'Relacion '!$C:$C,"")</f>
        <v>Eduardo Cabral</v>
      </c>
    </row>
    <row r="1767" spans="2:12" outlineLevel="1">
      <c r="B1767" s="237" t="s">
        <v>654</v>
      </c>
      <c r="C1767" s="237" t="s">
        <v>654</v>
      </c>
      <c r="D1767" s="238" t="str">
        <f>_xlfn.XLOOKUP(B1767,'Relacion '!$E:$E,'Relacion '!$D:$D,"")</f>
        <v/>
      </c>
      <c r="E1767" s="239">
        <f t="shared" si="410"/>
        <v>59</v>
      </c>
      <c r="F1767" s="240" cm="1">
        <f t="array" ref="F1767">MIN(INDEX('Relacion '!$X$5:$Y$493,MATCH(INDEX($B:$B, (ROW()-1)),'Relacion '!$E$5:$E$493,0),0))</f>
        <v>46024</v>
      </c>
      <c r="G1767" s="240" cm="1">
        <f t="array" ref="G1767">MAX(INDEX('Relacion '!$X$5:$Y$493,MATCH(INDEX($B:$B, (ROW()-1)),'Relacion '!$E$5:$E$493,0),0))</f>
        <v>46083</v>
      </c>
      <c r="H1767" s="241" cm="1">
        <f t="array" ref="H1767">IF(
 MATCH(B1767,{"01. ASIGNACION AREA";"02. MAPEO";"03. DESARROLLO";"04. VALIDA US";"05. VOBO US";"06. BW-EJECUCION";"07. VALIDACIÓN BAJAWARE";"08. CERRADA"},0)
 &lt;
 MATCH(_xlfn.XLOOKUP(INDEX($B:$B, (ROW()-1)),'Relacion '!$E:$E,'Relacion '!$D:$D,""),{"01. ASIGNACION AREA";"02. MAPEO";"03. DESARROLLO";"04. VALIDA US";"05. VOBO US";"06. BW-EJECUCION";"07. VALIDACIÓN BAJAWARE";"08. CERRADA"},0),
 1,
 IF(
  MATCH(B1767,{"01. ASIGNACION AREA";"02. MAPEO";"03. DESARROLLO";"04. VALIDA US";"05. VOBO US";"06. BW-EJECUCION";"07. VALIDACIÓN BAJAWARE";"08. CERRADA"},0)
  =
  MATCH(_xlfn.XLOOKUP(INDEX($B:$B, (ROW()-1)),'Relacion '!$E:$E,'Relacion '!$D:$D,""),{"01. ASIGNACION AREA";"02. MAPEO";"03. DESARROLLO";"04. VALIDA US";"05. VOBO US";"06. BW-EJECUCION";"07. VALIDACIÓN BAJAWARE";"08. CERRADA"},0),
  _xlfn.XLOOKUP(INDEX($B:$B, (ROW()-1)),'Relacion '!$E:$E,'Relacion '!#REF!,0),
  0
 )
)</f>
        <v>1</v>
      </c>
      <c r="I1767" s="241">
        <f t="shared" ref="I1767" ca="1" si="420">IF(G1767&lt;=TODAY(), 1, 0)</f>
        <v>1</v>
      </c>
      <c r="J1767" s="241"/>
      <c r="K1767" s="241"/>
      <c r="L1767" s="238"/>
    </row>
    <row r="1768" spans="2:12" outlineLevel="1">
      <c r="B1768" s="237" t="s">
        <v>195</v>
      </c>
      <c r="C1768" s="237" t="s">
        <v>195</v>
      </c>
      <c r="D1768" s="238" t="str">
        <f>_xlfn.XLOOKUP(B1768,'Relacion '!$E:$E,'Relacion '!$D:$D,"")</f>
        <v/>
      </c>
      <c r="E1768" s="239">
        <f t="shared" si="410"/>
        <v>49</v>
      </c>
      <c r="F1768" s="240" cm="1">
        <f t="array" ref="F1768">MIN(INDEX('Relacion '!$Z$5:$AA$493,MATCH(INDEX($B:$B, (ROW()-2)),'Relacion '!$E$5:$E$493,0),0))</f>
        <v>46093</v>
      </c>
      <c r="G1768" s="240" cm="1">
        <f t="array" ref="G1768">MAX(INDEX('Relacion '!$Z$5:$AA$493,MATCH(INDEX($B:$B, (ROW()-2)),'Relacion '!$E$5:$E$493,0),0))</f>
        <v>46142</v>
      </c>
      <c r="H1768" s="241" t="e" cm="1">
        <f t="array" ref="H1768">IF(
 MATCH(B1768,{"01. ASIGNACION AREA";"02. MAPEO";"03. DESARROLLO";"04. VALIDA US";"05. VOBO US";"06. BW-EJECUCION";"07. VALIDACIÓN BAJAWARE";"08. CERRADA"},0)
 &lt;
 MATCH(_xlfn.XLOOKUP(INDEX($B:$B, (ROW()-2)),'Relacion '!$E:$E,'Relacion '!$D:$D,""),{"01. ASIGNACION AREA";"02. MAPEO";"03. DESARROLLO";"04. VALIDA US";"05. VOBO US";"06. BW-EJECUCION";"07. VALIDACIÓN BAJAWARE";"08. CERRADA"},0),
 1,
 IF(
  MATCH(B1768,{"01. ASIGNACION AREA";"02. MAPEO";"03. DESARROLLO";"04. VALIDA US";"05. VOBO US";"06. BW-EJECUCION";"07. VALIDACIÓN BAJAWARE";"08. CERRADA"},0)
  =
  MATCH(_xlfn.XLOOKUP(INDEX($B:$B, (ROW()-2)),'Relacion '!$E:$E,'Relacion '!$D:$D,""),{"01. ASIGNACION AREA";"02. MAPEO";"03. DESARROLLO";"04. VALIDA US";"05. VOBO US";"06. BW-EJECUCION";"07. VALIDACIÓN BAJAWARE";"08. CERRADA"},0),
  _xlfn.XLOOKUP(INDEX($B:$B, (ROW()-2)),'Relacion '!$E:$E,'Relacion '!#REF!,0),
  0
 )
)</f>
        <v>#REF!</v>
      </c>
      <c r="I1768" s="241">
        <f t="shared" ca="1" si="407"/>
        <v>1</v>
      </c>
      <c r="J1768" s="241"/>
      <c r="K1768" s="241"/>
      <c r="L1768" s="238"/>
    </row>
    <row r="1769" spans="2:12" outlineLevel="1">
      <c r="B1769" s="237" t="s">
        <v>49</v>
      </c>
      <c r="C1769" s="237" t="s">
        <v>49</v>
      </c>
      <c r="D1769" s="238" t="str">
        <f>_xlfn.XLOOKUP(B1769,'Relacion '!$E:$E,'Relacion '!$D:$D,"")</f>
        <v/>
      </c>
      <c r="E1769" s="239">
        <f t="shared" si="410"/>
        <v>18</v>
      </c>
      <c r="F1769" s="240" cm="1">
        <f t="array" ref="F1769">MIN(INDEX('Relacion '!$AB$5:$AC$493,MATCH(INDEX($B:$B, (ROW()-3)),'Relacion '!$E$5:$E$493,0),0))</f>
        <v>46146</v>
      </c>
      <c r="G1769" s="240" cm="1">
        <f t="array" ref="G1769">MAX(INDEX('Relacion '!$AB$5:$AC$493,MATCH(INDEX($B:$B, (ROW()-3)),'Relacion '!$E$5:$E$493,0),0))</f>
        <v>46164</v>
      </c>
      <c r="H1769" s="241" cm="1">
        <f t="array" ref="H1769">IF(
 MATCH(B1769,{"01. ASIGNACION AREA";"02. MAPEO";"03. DESARROLLO";"04. VALIDA US";"05. VOBO US";"06. BW-EJECUCION";"07. VALIDACIÓN BAJAWARE";"08. CERRADA"},0)
 &lt;
 MATCH(_xlfn.XLOOKUP(INDEX($B:$B, (ROW()-3)),'Relacion '!$E:$E,'Relacion '!$D:$D,""),{"01. ASIGNACION AREA";"02. MAPEO";"03. DESARROLLO";"04. VALIDA US";"05. VOBO US";"06. BW-EJECUCION";"07. VALIDACIÓN BAJAWARE";"08. CERRADA"},0),
 1,
 IF(
  MATCH(B1769,{"01. ASIGNACION AREA";"02. MAPEO";"03. DESARROLLO";"04. VALIDA US";"05. VOBO US";"06. BW-EJECUCION";"07. VALIDACIÓN BAJAWARE";"08. CERRADA"},0)
  =
  MATCH(_xlfn.XLOOKUP(INDEX($B:$B, (ROW()-3)),'Relacion '!$E:$E,'Relacion '!$D:$D,""),{"01. ASIGNACION AREA";"02. MAPEO";"03. DESARROLLO";"04. VALIDA US";"05. VOBO US";"06. BW-EJECUCION";"07. VALIDACIÓN BAJAWARE";"08. CERRADA"},0),
  _xlfn.XLOOKUP(INDEX($B:$B, (ROW()-3)),'Relacion '!$E:$E,'Relacion '!#REF!,0),
  0
 )
)</f>
        <v>0</v>
      </c>
      <c r="I1769" s="241">
        <f t="shared" ca="1" si="407"/>
        <v>1</v>
      </c>
      <c r="J1769" s="241"/>
      <c r="K1769" s="241"/>
      <c r="L1769" s="238"/>
    </row>
    <row r="1770" spans="2:12" outlineLevel="1">
      <c r="B1770" s="237" t="s">
        <v>324</v>
      </c>
      <c r="C1770" s="237" t="s">
        <v>324</v>
      </c>
      <c r="D1770" s="238" t="str">
        <f>_xlfn.XLOOKUP(B1770,'Relacion '!$E:$E,'Relacion '!$D:$D,"")</f>
        <v/>
      </c>
      <c r="E1770" s="239">
        <f t="shared" si="410"/>
        <v>11</v>
      </c>
      <c r="F1770" s="240" cm="1">
        <f t="array" ref="F1770">MIN(INDEX('Relacion '!$AD$5:$AE$493,MATCH(INDEX($B:$B, (ROW()-4)),'Relacion '!$E$5:$E$493,0),0))</f>
        <v>46167</v>
      </c>
      <c r="G1770" s="240" cm="1">
        <f t="array" ref="G1770">MAX(INDEX('Relacion '!$AD$5:$AE$493,MATCH(INDEX($B:$B, (ROW()-4)),'Relacion '!$E$5:$E$493,0),0))</f>
        <v>46178</v>
      </c>
      <c r="H1770" s="241" cm="1">
        <f t="array" ref="H1770">IF(
 MATCH(B1770,{"01. ASIGNACION AREA";"02. MAPEO";"03. DESARROLLO";"04. VALIDA US";"05. VOBO US";"06. BW-EJECUCION";"07. VALIDACIÓN BAJAWARE";"08. CERRADA"},0)
 &lt;
 MATCH(_xlfn.XLOOKUP(INDEX($B:$B, (ROW()-4)),'Relacion '!$E:$E,'Relacion '!$D:$D,""),{"01. ASIGNACION AREA";"02. MAPEO";"03. DESARROLLO";"04. VALIDA US";"05. VOBO US";"06. BW-EJECUCION";"07. VALIDACIÓN BAJAWARE";"08. CERRADA"},0),
 1,
 IF(
  MATCH(B1770,{"01. ASIGNACION AREA";"02. MAPEO";"03. DESARROLLO";"04. VALIDA US";"05. VOBO US";"06. BW-EJECUCION";"07. VALIDACIÓN BAJAWARE";"08. CERRADA"},0)
  =
  MATCH(_xlfn.XLOOKUP(INDEX($B:$B, (ROW()-4)),'Relacion '!$E:$E,'Relacion '!$D:$D,""),{"01. ASIGNACION AREA";"02. MAPEO";"03. DESARROLLO";"04. VALIDA US";"05. VOBO US";"06. BW-EJECUCION";"07. VALIDACIÓN BAJAWARE";"08. CERRADA"},0),
  _xlfn.XLOOKUP(INDEX($B:$B, (ROW()-4)),'Relacion '!$E:$E,'Relacion '!#REF!,0),
  0
 )
)</f>
        <v>0</v>
      </c>
      <c r="I1770" s="241">
        <f t="shared" ca="1" si="407"/>
        <v>0</v>
      </c>
      <c r="J1770" s="241"/>
      <c r="K1770" s="241"/>
      <c r="L1770" s="238"/>
    </row>
    <row r="1771" spans="2:12" outlineLevel="1">
      <c r="B1771" s="237" t="s">
        <v>320</v>
      </c>
      <c r="C1771" s="237" t="s">
        <v>320</v>
      </c>
      <c r="D1771" s="238" t="str">
        <f>_xlfn.XLOOKUP(B1771,'Relacion '!$E:$E,'Relacion '!$D:$D,"")</f>
        <v/>
      </c>
      <c r="E1771" s="239">
        <f t="shared" si="410"/>
        <v>3</v>
      </c>
      <c r="F1771" s="240" cm="1">
        <f t="array" ref="F1771">MIN(INDEX('Relacion '!$AF$5:$AG$493,MATCH(INDEX($B:$B, (ROW()-5)),'Relacion '!$E$5:$E$493,0),0))</f>
        <v>46178</v>
      </c>
      <c r="G1771" s="240" cm="1">
        <f t="array" ref="G1771">MAX(INDEX('Relacion '!$AF$5:$AG$493,MATCH(INDEX($B:$B, (ROW()-5)),'Relacion '!$E$5:$E$493,0),0))</f>
        <v>46181</v>
      </c>
      <c r="H1771" s="241" cm="1">
        <f t="array" ref="H1771">IF(
 MATCH(B1771,{"01. ASIGNACION AREA";"02. MAPEO";"03. DESARROLLO";"04. VALIDA US";"05. VOBO US";"06. BW-EJECUCION";"07. VALIDACIÓN BAJAWARE";"08. CERRADA"},0)
 &lt;
 MATCH(_xlfn.XLOOKUP(INDEX($B:$B, (ROW()-5)),'Relacion '!$E:$E,'Relacion '!$D:$D,""),{"01. ASIGNACION AREA";"02. MAPEO";"03. DESARROLLO";"04. VALIDA US";"05. VOBO US";"06. BW-EJECUCION";"07. VALIDACIÓN BAJAWARE";"08. CERRADA"},0),
 1,
 IF(
  MATCH(B1771,{"01. ASIGNACION AREA";"02. MAPEO";"03. DESARROLLO";"04. VALIDA US";"05. VOBO US";"06. BW-EJECUCION";"07. VALIDACIÓN BAJAWARE";"08. CERRADA"},0)
  =
  MATCH(_xlfn.XLOOKUP(INDEX($B:$B, (ROW()-5)),'Relacion '!$E:$E,'Relacion '!$D:$D,""),{"01. ASIGNACION AREA";"02. MAPEO";"03. DESARROLLO";"04. VALIDA US";"05. VOBO US";"06. BW-EJECUCION";"07. VALIDACIÓN BAJAWARE";"08. CERRADA"},0),
  _xlfn.XLOOKUP(INDEX($B:$B, (ROW()-5)),'Relacion '!$E:$E,'Relacion '!#REF!,0),
  0
 )
)</f>
        <v>0</v>
      </c>
      <c r="I1771" s="241">
        <f t="shared" ca="1" si="407"/>
        <v>0</v>
      </c>
      <c r="J1771" s="241"/>
      <c r="K1771" s="241"/>
      <c r="L1771" s="238"/>
    </row>
    <row r="1772" spans="2:12" outlineLevel="1">
      <c r="B1772" s="237" t="s">
        <v>710</v>
      </c>
      <c r="C1772" s="237" t="s">
        <v>710</v>
      </c>
      <c r="D1772" s="238" t="str">
        <f>_xlfn.XLOOKUP(B1772,'Relacion '!$E:$E,'Relacion '!$D:$D,"")</f>
        <v/>
      </c>
      <c r="E1772" s="239">
        <f t="shared" si="410"/>
        <v>3</v>
      </c>
      <c r="F1772" s="240" cm="1">
        <f t="array" ref="F1772">MIN(INDEX('Relacion '!$AH$5:$AI$493,MATCH(INDEX($B:$B, (ROW()-6)),'Relacion '!$E$5:$E$493,0),0))</f>
        <v>46182</v>
      </c>
      <c r="G1772" s="240" cm="1">
        <f t="array" ref="G1772">MAX(INDEX('Relacion '!$AH$5:$AI$493,MATCH(INDEX($B:$B, (ROW()-6)),'Relacion '!$E$5:$E$493,0),0))</f>
        <v>46185</v>
      </c>
      <c r="H1772" s="241" cm="1">
        <f t="array" ref="H1772">IF(
 MATCH(B1772,{"01. ASIGNACION AREA";"02. MAPEO";"03. DESARROLLO";"04. VALIDA US";"05. VOBO US";"06. BW-EJECUCION";"07. VALIDACIÓN BAJAWARE";"08. CERRADA"},0)
 &lt;
 MATCH(_xlfn.XLOOKUP(INDEX($B:$B, (ROW()-6)),'Relacion '!$E:$E,'Relacion '!$D:$D,""),{"01. ASIGNACION AREA";"02. MAPEO";"03. DESARROLLO";"04. VALIDA US";"05. VOBO US";"06. BW-EJECUCION";"07. VALIDACIÓN BAJAWARE";"08. CERRADA"},0),
 1,
 IF(
  MATCH(B1772,{"01. ASIGNACION AREA";"02. MAPEO";"03. DESARROLLO";"04. VALIDA US";"05. VOBO US";"06. BW-EJECUCION";"07. VALIDACIÓN BAJAWARE";"08. CERRADA"},0)
  =
  MATCH(_xlfn.XLOOKUP(INDEX($B:$B, (ROW()-6)),'Relacion '!$E:$E,'Relacion '!$D:$D,""),{"01. ASIGNACION AREA";"02. MAPEO";"03. DESARROLLO";"04. VALIDA US";"05. VOBO US";"06. BW-EJECUCION";"07. VALIDACIÓN BAJAWARE";"08. CERRADA"},0),
  _xlfn.XLOOKUP(INDEX($B:$B, (ROW()-6)),'Relacion '!$E:$E,'Relacion '!#REF!,0),
  0
 )
)</f>
        <v>0</v>
      </c>
      <c r="I1772" s="241">
        <f t="shared" ca="1" si="407"/>
        <v>0</v>
      </c>
      <c r="J1772" s="241"/>
      <c r="K1772" s="241"/>
      <c r="L1772" s="238"/>
    </row>
    <row r="1773" spans="2:12" outlineLevel="1">
      <c r="B1773" s="237" t="s">
        <v>655</v>
      </c>
      <c r="C1773" s="237" t="s">
        <v>655</v>
      </c>
      <c r="D1773" s="238" t="str">
        <f>_xlfn.XLOOKUP(B1773,'Relacion '!$E:$E,'Relacion '!$D:$D,"")</f>
        <v/>
      </c>
      <c r="E1773" s="239">
        <f t="shared" si="410"/>
        <v>11</v>
      </c>
      <c r="F1773" s="240" cm="1">
        <f t="array" ref="F1773">MIN(INDEX('Relacion '!$AJ$5:$AK$493,MATCH(INDEX($B:$B, (ROW()-7)),'Relacion '!$E$5:$E$493,0),0))</f>
        <v>46188</v>
      </c>
      <c r="G1773" s="240" cm="1">
        <f t="array" ref="G1773">MAX(INDEX('Relacion '!$AJ$5:$AK$493,MATCH(INDEX($B:$B, (ROW()-7)),'Relacion '!$E$5:$E$493,0),0))</f>
        <v>46199</v>
      </c>
      <c r="H1773" s="241" cm="1">
        <f t="array" ref="H1773">IF(
 MATCH(B1773,{"01. ASIGNACION AREA";"02. MAPEO";"03. DESARROLLO";"04. VALIDA US";"05. VOBO US";"06. BW-EJECUCION";"07. VALIDACIÓN BAJAWARE";"08. CERRADA"},0)
 &lt;
 MATCH(_xlfn.XLOOKUP(INDEX($B:$B, (ROW()-7)),'Relacion '!$E:$E,'Relacion '!$D:$D,""),{"01. ASIGNACION AREA";"02. MAPEO";"03. DESARROLLO";"04. VALIDA US";"05. VOBO US";"06. BW-EJECUCION";"07. VALIDACIÓN BAJAWARE";"08. CERRADA"},0),
 1,
 IF(
  MATCH(B1773,{"01. ASIGNACION AREA";"02. MAPEO";"03. DESARROLLO";"04. VALIDA US";"05. VOBO US";"06. BW-EJECUCION";"07. VALIDACIÓN BAJAWARE";"08. CERRADA"},0)
  =
  MATCH(_xlfn.XLOOKUP(INDEX($B:$B, (ROW()-7)),'Relacion '!$E:$E,'Relacion '!$D:$D,""),{"01. ASIGNACION AREA";"02. MAPEO";"03. DESARROLLO";"04. VALIDA US";"05. VOBO US";"06. BW-EJECUCION";"07. VALIDACIÓN BAJAWARE";"08. CERRADA"},0),
  _xlfn.XLOOKUP(INDEX($B:$B, (ROW()-7)),'Relacion '!$E:$E,'Relacion '!#REF!,0),
  0
 )
)</f>
        <v>0</v>
      </c>
      <c r="I1773" s="241">
        <f t="shared" ca="1" si="407"/>
        <v>0</v>
      </c>
      <c r="J1773" s="241"/>
      <c r="K1773" s="241"/>
      <c r="L1773" s="238"/>
    </row>
    <row r="1774" spans="2:12" outlineLevel="1">
      <c r="B1774" s="237" t="s">
        <v>656</v>
      </c>
      <c r="C1774" s="237" t="s">
        <v>656</v>
      </c>
      <c r="D1774" s="238" t="str">
        <f>_xlfn.XLOOKUP(B1774,'Relacion '!$E:$E,'Relacion '!$D:$D,"")</f>
        <v/>
      </c>
      <c r="E1774" s="239">
        <f t="shared" si="410"/>
        <v>3</v>
      </c>
      <c r="F1774" s="240" cm="1">
        <f t="array" ref="F1774">MIN(INDEX('Relacion '!$AL$5:$AM$493,MATCH(INDEX($B:$B, (ROW()-8)),'Relacion '!$E$5:$E$493,0),0))</f>
        <v>46199</v>
      </c>
      <c r="G1774" s="240" cm="1">
        <f t="array" ref="G1774">MAX(INDEX('Relacion '!$AL$5:$AM$493,MATCH(INDEX($B:$B, (ROW()-8)),'Relacion '!$E$5:$E$493,0),0))</f>
        <v>46202</v>
      </c>
      <c r="H1774" s="241" cm="1">
        <f t="array" ref="H1774">IF(
 MATCH(B1774,{"01. ASIGNACION AREA";"02. MAPEO";"03. DESARROLLO";"04. VALIDA US";"05. VOBO US";"06. BW-EJECUCION";"07. VALIDACIÓN BAJAWARE";"08. CERRADA"},0)
 &lt;
 MATCH(_xlfn.XLOOKUP(INDEX($B:$B, (ROW()-8)),'Relacion '!$E:$E,'Relacion '!$D:$D,""),{"01. ASIGNACION AREA";"02. MAPEO";"03. DESARROLLO";"04. VALIDA US";"05. VOBO US";"06. BW-EJECUCION";"07. VALIDACIÓN BAJAWARE";"08. CERRADA"},0),
 1,
 IF(
  MATCH(B1774,{"01. ASIGNACION AREA";"02. MAPEO";"03. DESARROLLO";"04. VALIDA US";"05. VOBO US";"06. BW-EJECUCION";"07. VALIDACIÓN BAJAWARE";"08. CERRADA"},0)
  =
  MATCH(_xlfn.XLOOKUP(INDEX($B:$B, (ROW()-8)),'Relacion '!$E:$E,'Relacion '!$D:$D,""),{"01. ASIGNACION AREA";"02. MAPEO";"03. DESARROLLO";"04. VALIDA US";"05. VOBO US";"06. BW-EJECUCION";"07. VALIDACIÓN BAJAWARE";"08. CERRADA"},0),
  _xlfn.XLOOKUP(INDEX($B:$B, (ROW()-8)),'Relacion '!$E:$E,'Relacion '!#REF!,0),
  0
 )
)</f>
        <v>0</v>
      </c>
      <c r="I1774" s="241">
        <f t="shared" ca="1" si="407"/>
        <v>0</v>
      </c>
      <c r="J1774" s="241"/>
      <c r="K1774" s="241"/>
      <c r="L1774" s="238"/>
    </row>
    <row r="1775" spans="2:12" outlineLevel="1">
      <c r="B1775" s="232" t="s">
        <v>427</v>
      </c>
      <c r="C1775" s="243" t="s">
        <v>419</v>
      </c>
      <c r="D1775" s="236" t="str">
        <f>_xlfn.XLOOKUP(B1775,'Relacion '!$E:$E,'Relacion '!$D:$D,"")</f>
        <v>02. MAPEO</v>
      </c>
      <c r="E1775" s="233">
        <f t="shared" si="410"/>
        <v>178</v>
      </c>
      <c r="F1775" s="234" cm="1">
        <f t="array" ref="F1775">MIN(INDEX('Relacion '!$X$5:$AM$493,MATCH(INDEX($B:$B, (ROW()-0)),'Relacion '!$E$5:$E$493,0),0))</f>
        <v>46024</v>
      </c>
      <c r="G1775" s="234" cm="1">
        <f t="array" ref="G1775">MAX(INDEX('Relacion '!$X$5:$AM$493,MATCH(INDEX($B:$B, (ROW()-0)),'Relacion '!$E$5:$E$493,0),0))</f>
        <v>46202</v>
      </c>
      <c r="H1775" s="235" t="e">
        <f>AVERAGE(H1776:H1783)</f>
        <v>#REF!</v>
      </c>
      <c r="I1775" s="235">
        <f t="shared" ref="I1775" ca="1" si="421">AVERAGE(I1776:I1783)</f>
        <v>0.375</v>
      </c>
      <c r="J1775" s="236" t="str">
        <f>IF(ISNUMBER(SEARCH("Rocha", _xlfn.XLOOKUP(B1775,'Relacion '!$E:$E,'Relacion '!$I:$I,""))), "Sí", "No")</f>
        <v>Sí</v>
      </c>
      <c r="K1775" s="236" t="str">
        <f>IF(ISNUMBER(SEARCH("Rocha", _xlfn.XLOOKUP(B1775,'Relacion '!$E:$E,'Relacion '!$I:$I,""))), "RMC", _xlfn.XLOOKUP(B1775,'Relacion '!$E:$E,'Relacion '!$B:$B,""))</f>
        <v>RMC</v>
      </c>
      <c r="L1775" s="236" t="str">
        <f>_xlfn.XLOOKUP(B1775,'Relacion '!$E:$E,'Relacion '!$C:$C,"")</f>
        <v>Eduardo Cabral</v>
      </c>
    </row>
    <row r="1776" spans="2:12" outlineLevel="1">
      <c r="B1776" s="237" t="s">
        <v>654</v>
      </c>
      <c r="C1776" s="237" t="s">
        <v>654</v>
      </c>
      <c r="D1776" s="238" t="str">
        <f>_xlfn.XLOOKUP(B1776,'Relacion '!$E:$E,'Relacion '!$D:$D,"")</f>
        <v/>
      </c>
      <c r="E1776" s="239">
        <f t="shared" si="410"/>
        <v>59</v>
      </c>
      <c r="F1776" s="240" cm="1">
        <f t="array" ref="F1776">MIN(INDEX('Relacion '!$X$5:$Y$493,MATCH(INDEX($B:$B, (ROW()-1)),'Relacion '!$E$5:$E$493,0),0))</f>
        <v>46024</v>
      </c>
      <c r="G1776" s="240" cm="1">
        <f t="array" ref="G1776">MAX(INDEX('Relacion '!$X$5:$Y$493,MATCH(INDEX($B:$B, (ROW()-1)),'Relacion '!$E$5:$E$493,0),0))</f>
        <v>46083</v>
      </c>
      <c r="H1776" s="241" cm="1">
        <f t="array" ref="H1776">IF(
 MATCH(B1776,{"01. ASIGNACION AREA";"02. MAPEO";"03. DESARROLLO";"04. VALIDA US";"05. VOBO US";"06. BW-EJECUCION";"07. VALIDACIÓN BAJAWARE";"08. CERRADA"},0)
 &lt;
 MATCH(_xlfn.XLOOKUP(INDEX($B:$B, (ROW()-1)),'Relacion '!$E:$E,'Relacion '!$D:$D,""),{"01. ASIGNACION AREA";"02. MAPEO";"03. DESARROLLO";"04. VALIDA US";"05. VOBO US";"06. BW-EJECUCION";"07. VALIDACIÓN BAJAWARE";"08. CERRADA"},0),
 1,
 IF(
  MATCH(B1776,{"01. ASIGNACION AREA";"02. MAPEO";"03. DESARROLLO";"04. VALIDA US";"05. VOBO US";"06. BW-EJECUCION";"07. VALIDACIÓN BAJAWARE";"08. CERRADA"},0)
  =
  MATCH(_xlfn.XLOOKUP(INDEX($B:$B, (ROW()-1)),'Relacion '!$E:$E,'Relacion '!$D:$D,""),{"01. ASIGNACION AREA";"02. MAPEO";"03. DESARROLLO";"04. VALIDA US";"05. VOBO US";"06. BW-EJECUCION";"07. VALIDACIÓN BAJAWARE";"08. CERRADA"},0),
  _xlfn.XLOOKUP(INDEX($B:$B, (ROW()-1)),'Relacion '!$E:$E,'Relacion '!#REF!,0),
  0
 )
)</f>
        <v>1</v>
      </c>
      <c r="I1776" s="241">
        <f t="shared" ref="I1776:I1810" ca="1" si="422">IF(G1776&lt;=TODAY(), 1, 0)</f>
        <v>1</v>
      </c>
      <c r="J1776" s="241"/>
      <c r="K1776" s="241"/>
      <c r="L1776" s="238"/>
    </row>
    <row r="1777" spans="2:12" outlineLevel="1">
      <c r="B1777" s="237" t="s">
        <v>195</v>
      </c>
      <c r="C1777" s="237" t="s">
        <v>195</v>
      </c>
      <c r="D1777" s="238" t="str">
        <f>_xlfn.XLOOKUP(B1777,'Relacion '!$E:$E,'Relacion '!$D:$D,"")</f>
        <v/>
      </c>
      <c r="E1777" s="239">
        <f t="shared" si="410"/>
        <v>49</v>
      </c>
      <c r="F1777" s="240" cm="1">
        <f t="array" ref="F1777">MIN(INDEX('Relacion '!$Z$5:$AA$493,MATCH(INDEX($B:$B, (ROW()-2)),'Relacion '!$E$5:$E$493,0),0))</f>
        <v>46093</v>
      </c>
      <c r="G1777" s="240" cm="1">
        <f t="array" ref="G1777">MAX(INDEX('Relacion '!$Z$5:$AA$493,MATCH(INDEX($B:$B, (ROW()-2)),'Relacion '!$E$5:$E$493,0),0))</f>
        <v>46142</v>
      </c>
      <c r="H1777" s="241" t="e" cm="1">
        <f t="array" ref="H1777">IF(
 MATCH(B1777,{"01. ASIGNACION AREA";"02. MAPEO";"03. DESARROLLO";"04. VALIDA US";"05. VOBO US";"06. BW-EJECUCION";"07. VALIDACIÓN BAJAWARE";"08. CERRADA"},0)
 &lt;
 MATCH(_xlfn.XLOOKUP(INDEX($B:$B, (ROW()-2)),'Relacion '!$E:$E,'Relacion '!$D:$D,""),{"01. ASIGNACION AREA";"02. MAPEO";"03. DESARROLLO";"04. VALIDA US";"05. VOBO US";"06. BW-EJECUCION";"07. VALIDACIÓN BAJAWARE";"08. CERRADA"},0),
 1,
 IF(
  MATCH(B1777,{"01. ASIGNACION AREA";"02. MAPEO";"03. DESARROLLO";"04. VALIDA US";"05. VOBO US";"06. BW-EJECUCION";"07. VALIDACIÓN BAJAWARE";"08. CERRADA"},0)
  =
  MATCH(_xlfn.XLOOKUP(INDEX($B:$B, (ROW()-2)),'Relacion '!$E:$E,'Relacion '!$D:$D,""),{"01. ASIGNACION AREA";"02. MAPEO";"03. DESARROLLO";"04. VALIDA US";"05. VOBO US";"06. BW-EJECUCION";"07. VALIDACIÓN BAJAWARE";"08. CERRADA"},0),
  _xlfn.XLOOKUP(INDEX($B:$B, (ROW()-2)),'Relacion '!$E:$E,'Relacion '!#REF!,0),
  0
 )
)</f>
        <v>#REF!</v>
      </c>
      <c r="I1777" s="241">
        <f t="shared" ca="1" si="422"/>
        <v>1</v>
      </c>
      <c r="J1777" s="241"/>
      <c r="K1777" s="241"/>
      <c r="L1777" s="238"/>
    </row>
    <row r="1778" spans="2:12" outlineLevel="1">
      <c r="B1778" s="237" t="s">
        <v>49</v>
      </c>
      <c r="C1778" s="237" t="s">
        <v>49</v>
      </c>
      <c r="D1778" s="238" t="str">
        <f>_xlfn.XLOOKUP(B1778,'Relacion '!$E:$E,'Relacion '!$D:$D,"")</f>
        <v/>
      </c>
      <c r="E1778" s="239">
        <f t="shared" si="410"/>
        <v>18</v>
      </c>
      <c r="F1778" s="240" cm="1">
        <f t="array" ref="F1778">MIN(INDEX('Relacion '!$AB$5:$AC$493,MATCH(INDEX($B:$B, (ROW()-3)),'Relacion '!$E$5:$E$493,0),0))</f>
        <v>46146</v>
      </c>
      <c r="G1778" s="240" cm="1">
        <f t="array" ref="G1778">MAX(INDEX('Relacion '!$AB$5:$AC$493,MATCH(INDEX($B:$B, (ROW()-3)),'Relacion '!$E$5:$E$493,0),0))</f>
        <v>46164</v>
      </c>
      <c r="H1778" s="241" cm="1">
        <f t="array" ref="H1778">IF(
 MATCH(B1778,{"01. ASIGNACION AREA";"02. MAPEO";"03. DESARROLLO";"04. VALIDA US";"05. VOBO US";"06. BW-EJECUCION";"07. VALIDACIÓN BAJAWARE";"08. CERRADA"},0)
 &lt;
 MATCH(_xlfn.XLOOKUP(INDEX($B:$B, (ROW()-3)),'Relacion '!$E:$E,'Relacion '!$D:$D,""),{"01. ASIGNACION AREA";"02. MAPEO";"03. DESARROLLO";"04. VALIDA US";"05. VOBO US";"06. BW-EJECUCION";"07. VALIDACIÓN BAJAWARE";"08. CERRADA"},0),
 1,
 IF(
  MATCH(B1778,{"01. ASIGNACION AREA";"02. MAPEO";"03. DESARROLLO";"04. VALIDA US";"05. VOBO US";"06. BW-EJECUCION";"07. VALIDACIÓN BAJAWARE";"08. CERRADA"},0)
  =
  MATCH(_xlfn.XLOOKUP(INDEX($B:$B, (ROW()-3)),'Relacion '!$E:$E,'Relacion '!$D:$D,""),{"01. ASIGNACION AREA";"02. MAPEO";"03. DESARROLLO";"04. VALIDA US";"05. VOBO US";"06. BW-EJECUCION";"07. VALIDACIÓN BAJAWARE";"08. CERRADA"},0),
  _xlfn.XLOOKUP(INDEX($B:$B, (ROW()-3)),'Relacion '!$E:$E,'Relacion '!#REF!,0),
  0
 )
)</f>
        <v>0</v>
      </c>
      <c r="I1778" s="241">
        <f t="shared" ca="1" si="422"/>
        <v>1</v>
      </c>
      <c r="J1778" s="241"/>
      <c r="K1778" s="241"/>
      <c r="L1778" s="238"/>
    </row>
    <row r="1779" spans="2:12" outlineLevel="1">
      <c r="B1779" s="237" t="s">
        <v>324</v>
      </c>
      <c r="C1779" s="237" t="s">
        <v>324</v>
      </c>
      <c r="D1779" s="238" t="str">
        <f>_xlfn.XLOOKUP(B1779,'Relacion '!$E:$E,'Relacion '!$D:$D,"")</f>
        <v/>
      </c>
      <c r="E1779" s="239">
        <f t="shared" si="410"/>
        <v>11</v>
      </c>
      <c r="F1779" s="240" cm="1">
        <f t="array" ref="F1779">MIN(INDEX('Relacion '!$AD$5:$AE$493,MATCH(INDEX($B:$B, (ROW()-4)),'Relacion '!$E$5:$E$493,0),0))</f>
        <v>46167</v>
      </c>
      <c r="G1779" s="240" cm="1">
        <f t="array" ref="G1779">MAX(INDEX('Relacion '!$AD$5:$AE$493,MATCH(INDEX($B:$B, (ROW()-4)),'Relacion '!$E$5:$E$493,0),0))</f>
        <v>46178</v>
      </c>
      <c r="H1779" s="241" cm="1">
        <f t="array" ref="H1779">IF(
 MATCH(B1779,{"01. ASIGNACION AREA";"02. MAPEO";"03. DESARROLLO";"04. VALIDA US";"05. VOBO US";"06. BW-EJECUCION";"07. VALIDACIÓN BAJAWARE";"08. CERRADA"},0)
 &lt;
 MATCH(_xlfn.XLOOKUP(INDEX($B:$B, (ROW()-4)),'Relacion '!$E:$E,'Relacion '!$D:$D,""),{"01. ASIGNACION AREA";"02. MAPEO";"03. DESARROLLO";"04. VALIDA US";"05. VOBO US";"06. BW-EJECUCION";"07. VALIDACIÓN BAJAWARE";"08. CERRADA"},0),
 1,
 IF(
  MATCH(B1779,{"01. ASIGNACION AREA";"02. MAPEO";"03. DESARROLLO";"04. VALIDA US";"05. VOBO US";"06. BW-EJECUCION";"07. VALIDACIÓN BAJAWARE";"08. CERRADA"},0)
  =
  MATCH(_xlfn.XLOOKUP(INDEX($B:$B, (ROW()-4)),'Relacion '!$E:$E,'Relacion '!$D:$D,""),{"01. ASIGNACION AREA";"02. MAPEO";"03. DESARROLLO";"04. VALIDA US";"05. VOBO US";"06. BW-EJECUCION";"07. VALIDACIÓN BAJAWARE";"08. CERRADA"},0),
  _xlfn.XLOOKUP(INDEX($B:$B, (ROW()-4)),'Relacion '!$E:$E,'Relacion '!#REF!,0),
  0
 )
)</f>
        <v>0</v>
      </c>
      <c r="I1779" s="241">
        <f t="shared" ca="1" si="422"/>
        <v>0</v>
      </c>
      <c r="J1779" s="241"/>
      <c r="K1779" s="241"/>
      <c r="L1779" s="238"/>
    </row>
    <row r="1780" spans="2:12" outlineLevel="1">
      <c r="B1780" s="237" t="s">
        <v>320</v>
      </c>
      <c r="C1780" s="237" t="s">
        <v>320</v>
      </c>
      <c r="D1780" s="238" t="str">
        <f>_xlfn.XLOOKUP(B1780,'Relacion '!$E:$E,'Relacion '!$D:$D,"")</f>
        <v/>
      </c>
      <c r="E1780" s="239">
        <f t="shared" si="410"/>
        <v>3</v>
      </c>
      <c r="F1780" s="240" cm="1">
        <f t="array" ref="F1780">MIN(INDEX('Relacion '!$AF$5:$AG$493,MATCH(INDEX($B:$B, (ROW()-5)),'Relacion '!$E$5:$E$493,0),0))</f>
        <v>46178</v>
      </c>
      <c r="G1780" s="240" cm="1">
        <f t="array" ref="G1780">MAX(INDEX('Relacion '!$AF$5:$AG$493,MATCH(INDEX($B:$B, (ROW()-5)),'Relacion '!$E$5:$E$493,0),0))</f>
        <v>46181</v>
      </c>
      <c r="H1780" s="241" cm="1">
        <f t="array" ref="H1780">IF(
 MATCH(B1780,{"01. ASIGNACION AREA";"02. MAPEO";"03. DESARROLLO";"04. VALIDA US";"05. VOBO US";"06. BW-EJECUCION";"07. VALIDACIÓN BAJAWARE";"08. CERRADA"},0)
 &lt;
 MATCH(_xlfn.XLOOKUP(INDEX($B:$B, (ROW()-5)),'Relacion '!$E:$E,'Relacion '!$D:$D,""),{"01. ASIGNACION AREA";"02. MAPEO";"03. DESARROLLO";"04. VALIDA US";"05. VOBO US";"06. BW-EJECUCION";"07. VALIDACIÓN BAJAWARE";"08. CERRADA"},0),
 1,
 IF(
  MATCH(B1780,{"01. ASIGNACION AREA";"02. MAPEO";"03. DESARROLLO";"04. VALIDA US";"05. VOBO US";"06. BW-EJECUCION";"07. VALIDACIÓN BAJAWARE";"08. CERRADA"},0)
  =
  MATCH(_xlfn.XLOOKUP(INDEX($B:$B, (ROW()-5)),'Relacion '!$E:$E,'Relacion '!$D:$D,""),{"01. ASIGNACION AREA";"02. MAPEO";"03. DESARROLLO";"04. VALIDA US";"05. VOBO US";"06. BW-EJECUCION";"07. VALIDACIÓN BAJAWARE";"08. CERRADA"},0),
  _xlfn.XLOOKUP(INDEX($B:$B, (ROW()-5)),'Relacion '!$E:$E,'Relacion '!#REF!,0),
  0
 )
)</f>
        <v>0</v>
      </c>
      <c r="I1780" s="241">
        <f t="shared" ca="1" si="422"/>
        <v>0</v>
      </c>
      <c r="J1780" s="241"/>
      <c r="K1780" s="241"/>
      <c r="L1780" s="238"/>
    </row>
    <row r="1781" spans="2:12" outlineLevel="1">
      <c r="B1781" s="237" t="s">
        <v>710</v>
      </c>
      <c r="C1781" s="237" t="s">
        <v>710</v>
      </c>
      <c r="D1781" s="238" t="str">
        <f>_xlfn.XLOOKUP(B1781,'Relacion '!$E:$E,'Relacion '!$D:$D,"")</f>
        <v/>
      </c>
      <c r="E1781" s="239">
        <f t="shared" si="410"/>
        <v>3</v>
      </c>
      <c r="F1781" s="240" cm="1">
        <f t="array" ref="F1781">MIN(INDEX('Relacion '!$AH$5:$AI$493,MATCH(INDEX($B:$B, (ROW()-6)),'Relacion '!$E$5:$E$493,0),0))</f>
        <v>46182</v>
      </c>
      <c r="G1781" s="240" cm="1">
        <f t="array" ref="G1781">MAX(INDEX('Relacion '!$AH$5:$AI$493,MATCH(INDEX($B:$B, (ROW()-6)),'Relacion '!$E$5:$E$493,0),0))</f>
        <v>46185</v>
      </c>
      <c r="H1781" s="241" cm="1">
        <f t="array" ref="H1781">IF(
 MATCH(B1781,{"01. ASIGNACION AREA";"02. MAPEO";"03. DESARROLLO";"04. VALIDA US";"05. VOBO US";"06. BW-EJECUCION";"07. VALIDACIÓN BAJAWARE";"08. CERRADA"},0)
 &lt;
 MATCH(_xlfn.XLOOKUP(INDEX($B:$B, (ROW()-6)),'Relacion '!$E:$E,'Relacion '!$D:$D,""),{"01. ASIGNACION AREA";"02. MAPEO";"03. DESARROLLO";"04. VALIDA US";"05. VOBO US";"06. BW-EJECUCION";"07. VALIDACIÓN BAJAWARE";"08. CERRADA"},0),
 1,
 IF(
  MATCH(B1781,{"01. ASIGNACION AREA";"02. MAPEO";"03. DESARROLLO";"04. VALIDA US";"05. VOBO US";"06. BW-EJECUCION";"07. VALIDACIÓN BAJAWARE";"08. CERRADA"},0)
  =
  MATCH(_xlfn.XLOOKUP(INDEX($B:$B, (ROW()-6)),'Relacion '!$E:$E,'Relacion '!$D:$D,""),{"01. ASIGNACION AREA";"02. MAPEO";"03. DESARROLLO";"04. VALIDA US";"05. VOBO US";"06. BW-EJECUCION";"07. VALIDACIÓN BAJAWARE";"08. CERRADA"},0),
  _xlfn.XLOOKUP(INDEX($B:$B, (ROW()-6)),'Relacion '!$E:$E,'Relacion '!#REF!,0),
  0
 )
)</f>
        <v>0</v>
      </c>
      <c r="I1781" s="241">
        <f t="shared" ca="1" si="422"/>
        <v>0</v>
      </c>
      <c r="J1781" s="241"/>
      <c r="K1781" s="241"/>
      <c r="L1781" s="238"/>
    </row>
    <row r="1782" spans="2:12" outlineLevel="1">
      <c r="B1782" s="237" t="s">
        <v>655</v>
      </c>
      <c r="C1782" s="237" t="s">
        <v>655</v>
      </c>
      <c r="D1782" s="238" t="str">
        <f>_xlfn.XLOOKUP(B1782,'Relacion '!$E:$E,'Relacion '!$D:$D,"")</f>
        <v/>
      </c>
      <c r="E1782" s="239">
        <f t="shared" si="410"/>
        <v>11</v>
      </c>
      <c r="F1782" s="240" cm="1">
        <f t="array" ref="F1782">MIN(INDEX('Relacion '!$AJ$5:$AK$493,MATCH(INDEX($B:$B, (ROW()-7)),'Relacion '!$E$5:$E$493,0),0))</f>
        <v>46188</v>
      </c>
      <c r="G1782" s="240" cm="1">
        <f t="array" ref="G1782">MAX(INDEX('Relacion '!$AJ$5:$AK$493,MATCH(INDEX($B:$B, (ROW()-7)),'Relacion '!$E$5:$E$493,0),0))</f>
        <v>46199</v>
      </c>
      <c r="H1782" s="241" cm="1">
        <f t="array" ref="H1782">IF(
 MATCH(B1782,{"01. ASIGNACION AREA";"02. MAPEO";"03. DESARROLLO";"04. VALIDA US";"05. VOBO US";"06. BW-EJECUCION";"07. VALIDACIÓN BAJAWARE";"08. CERRADA"},0)
 &lt;
 MATCH(_xlfn.XLOOKUP(INDEX($B:$B, (ROW()-7)),'Relacion '!$E:$E,'Relacion '!$D:$D,""),{"01. ASIGNACION AREA";"02. MAPEO";"03. DESARROLLO";"04. VALIDA US";"05. VOBO US";"06. BW-EJECUCION";"07. VALIDACIÓN BAJAWARE";"08. CERRADA"},0),
 1,
 IF(
  MATCH(B1782,{"01. ASIGNACION AREA";"02. MAPEO";"03. DESARROLLO";"04. VALIDA US";"05. VOBO US";"06. BW-EJECUCION";"07. VALIDACIÓN BAJAWARE";"08. CERRADA"},0)
  =
  MATCH(_xlfn.XLOOKUP(INDEX($B:$B, (ROW()-7)),'Relacion '!$E:$E,'Relacion '!$D:$D,""),{"01. ASIGNACION AREA";"02. MAPEO";"03. DESARROLLO";"04. VALIDA US";"05. VOBO US";"06. BW-EJECUCION";"07. VALIDACIÓN BAJAWARE";"08. CERRADA"},0),
  _xlfn.XLOOKUP(INDEX($B:$B, (ROW()-7)),'Relacion '!$E:$E,'Relacion '!#REF!,0),
  0
 )
)</f>
        <v>0</v>
      </c>
      <c r="I1782" s="241">
        <f t="shared" ca="1" si="422"/>
        <v>0</v>
      </c>
      <c r="J1782" s="241"/>
      <c r="K1782" s="241"/>
      <c r="L1782" s="238"/>
    </row>
    <row r="1783" spans="2:12" outlineLevel="1">
      <c r="B1783" s="237" t="s">
        <v>656</v>
      </c>
      <c r="C1783" s="237" t="s">
        <v>656</v>
      </c>
      <c r="D1783" s="238" t="str">
        <f>_xlfn.XLOOKUP(B1783,'Relacion '!$E:$E,'Relacion '!$D:$D,"")</f>
        <v/>
      </c>
      <c r="E1783" s="239">
        <f t="shared" si="410"/>
        <v>3</v>
      </c>
      <c r="F1783" s="240" cm="1">
        <f t="array" ref="F1783">MIN(INDEX('Relacion '!$AL$5:$AM$493,MATCH(INDEX($B:$B, (ROW()-8)),'Relacion '!$E$5:$E$493,0),0))</f>
        <v>46199</v>
      </c>
      <c r="G1783" s="240" cm="1">
        <f t="array" ref="G1783">MAX(INDEX('Relacion '!$AL$5:$AM$493,MATCH(INDEX($B:$B, (ROW()-8)),'Relacion '!$E$5:$E$493,0),0))</f>
        <v>46202</v>
      </c>
      <c r="H1783" s="241" cm="1">
        <f t="array" ref="H1783">IF(
 MATCH(B1783,{"01. ASIGNACION AREA";"02. MAPEO";"03. DESARROLLO";"04. VALIDA US";"05. VOBO US";"06. BW-EJECUCION";"07. VALIDACIÓN BAJAWARE";"08. CERRADA"},0)
 &lt;
 MATCH(_xlfn.XLOOKUP(INDEX($B:$B, (ROW()-8)),'Relacion '!$E:$E,'Relacion '!$D:$D,""),{"01. ASIGNACION AREA";"02. MAPEO";"03. DESARROLLO";"04. VALIDA US";"05. VOBO US";"06. BW-EJECUCION";"07. VALIDACIÓN BAJAWARE";"08. CERRADA"},0),
 1,
 IF(
  MATCH(B1783,{"01. ASIGNACION AREA";"02. MAPEO";"03. DESARROLLO";"04. VALIDA US";"05. VOBO US";"06. BW-EJECUCION";"07. VALIDACIÓN BAJAWARE";"08. CERRADA"},0)
  =
  MATCH(_xlfn.XLOOKUP(INDEX($B:$B, (ROW()-8)),'Relacion '!$E:$E,'Relacion '!$D:$D,""),{"01. ASIGNACION AREA";"02. MAPEO";"03. DESARROLLO";"04. VALIDA US";"05. VOBO US";"06. BW-EJECUCION";"07. VALIDACIÓN BAJAWARE";"08. CERRADA"},0),
  _xlfn.XLOOKUP(INDEX($B:$B, (ROW()-8)),'Relacion '!$E:$E,'Relacion '!#REF!,0),
  0
 )
)</f>
        <v>0</v>
      </c>
      <c r="I1783" s="241">
        <f t="shared" ca="1" si="422"/>
        <v>0</v>
      </c>
      <c r="J1783" s="241"/>
      <c r="K1783" s="241"/>
      <c r="L1783" s="238"/>
    </row>
    <row r="1784" spans="2:12" outlineLevel="1">
      <c r="B1784" s="232" t="s">
        <v>429</v>
      </c>
      <c r="C1784" s="243" t="s">
        <v>419</v>
      </c>
      <c r="D1784" s="236" t="str">
        <f>_xlfn.XLOOKUP(B1784,'Relacion '!$E:$E,'Relacion '!$D:$D,"")</f>
        <v>02. MAPEO</v>
      </c>
      <c r="E1784" s="233">
        <f t="shared" si="410"/>
        <v>178</v>
      </c>
      <c r="F1784" s="234" cm="1">
        <f t="array" ref="F1784">MIN(INDEX('Relacion '!$X$5:$AM$493,MATCH(INDEX($B:$B, (ROW()-0)),'Relacion '!$E$5:$E$493,0),0))</f>
        <v>46024</v>
      </c>
      <c r="G1784" s="234" cm="1">
        <f t="array" ref="G1784">MAX(INDEX('Relacion '!$X$5:$AM$493,MATCH(INDEX($B:$B, (ROW()-0)),'Relacion '!$E$5:$E$493,0),0))</f>
        <v>46202</v>
      </c>
      <c r="H1784" s="235" t="e">
        <f>AVERAGE(H1785:H1792)</f>
        <v>#REF!</v>
      </c>
      <c r="I1784" s="235">
        <f t="shared" ref="I1784" ca="1" si="423">AVERAGE(I1785:I1792)</f>
        <v>0.375</v>
      </c>
      <c r="J1784" s="236" t="str">
        <f>IF(ISNUMBER(SEARCH("Rocha", _xlfn.XLOOKUP(B1784,'Relacion '!$E:$E,'Relacion '!$I:$I,""))), "Sí", "No")</f>
        <v>Sí</v>
      </c>
      <c r="K1784" s="236" t="str">
        <f>IF(ISNUMBER(SEARCH("Rocha", _xlfn.XLOOKUP(B1784,'Relacion '!$E:$E,'Relacion '!$I:$I,""))), "RMC", _xlfn.XLOOKUP(B1784,'Relacion '!$E:$E,'Relacion '!$B:$B,""))</f>
        <v>RMC</v>
      </c>
      <c r="L1784" s="236" t="str">
        <f>_xlfn.XLOOKUP(B1784,'Relacion '!$E:$E,'Relacion '!$C:$C,"")</f>
        <v>Eduardo Cabral</v>
      </c>
    </row>
    <row r="1785" spans="2:12" outlineLevel="1">
      <c r="B1785" s="237" t="s">
        <v>654</v>
      </c>
      <c r="C1785" s="237" t="s">
        <v>654</v>
      </c>
      <c r="D1785" s="238" t="str">
        <f>_xlfn.XLOOKUP(B1785,'Relacion '!$E:$E,'Relacion '!$D:$D,"")</f>
        <v/>
      </c>
      <c r="E1785" s="239">
        <f t="shared" si="410"/>
        <v>59</v>
      </c>
      <c r="F1785" s="240" cm="1">
        <f t="array" ref="F1785">MIN(INDEX('Relacion '!$X$5:$Y$493,MATCH(INDEX($B:$B, (ROW()-1)),'Relacion '!$E$5:$E$493,0),0))</f>
        <v>46024</v>
      </c>
      <c r="G1785" s="240" cm="1">
        <f t="array" ref="G1785">MAX(INDEX('Relacion '!$X$5:$Y$493,MATCH(INDEX($B:$B, (ROW()-1)),'Relacion '!$E$5:$E$493,0),0))</f>
        <v>46083</v>
      </c>
      <c r="H1785" s="241" cm="1">
        <f t="array" ref="H1785">IF(
 MATCH(B1785,{"01. ASIGNACION AREA";"02. MAPEO";"03. DESARROLLO";"04. VALIDA US";"05. VOBO US";"06. BW-EJECUCION";"07. VALIDACIÓN BAJAWARE";"08. CERRADA"},0)
 &lt;
 MATCH(_xlfn.XLOOKUP(INDEX($B:$B, (ROW()-1)),'Relacion '!$E:$E,'Relacion '!$D:$D,""),{"01. ASIGNACION AREA";"02. MAPEO";"03. DESARROLLO";"04. VALIDA US";"05. VOBO US";"06. BW-EJECUCION";"07. VALIDACIÓN BAJAWARE";"08. CERRADA"},0),
 1,
 IF(
  MATCH(B1785,{"01. ASIGNACION AREA";"02. MAPEO";"03. DESARROLLO";"04. VALIDA US";"05. VOBO US";"06. BW-EJECUCION";"07. VALIDACIÓN BAJAWARE";"08. CERRADA"},0)
  =
  MATCH(_xlfn.XLOOKUP(INDEX($B:$B, (ROW()-1)),'Relacion '!$E:$E,'Relacion '!$D:$D,""),{"01. ASIGNACION AREA";"02. MAPEO";"03. DESARROLLO";"04. VALIDA US";"05. VOBO US";"06. BW-EJECUCION";"07. VALIDACIÓN BAJAWARE";"08. CERRADA"},0),
  _xlfn.XLOOKUP(INDEX($B:$B, (ROW()-1)),'Relacion '!$E:$E,'Relacion '!#REF!,0),
  0
 )
)</f>
        <v>1</v>
      </c>
      <c r="I1785" s="241">
        <f t="shared" ref="I1785" ca="1" si="424">IF(G1785&lt;=TODAY(), 1, 0)</f>
        <v>1</v>
      </c>
      <c r="J1785" s="241"/>
      <c r="K1785" s="241"/>
      <c r="L1785" s="238"/>
    </row>
    <row r="1786" spans="2:12" outlineLevel="1">
      <c r="B1786" s="237" t="s">
        <v>195</v>
      </c>
      <c r="C1786" s="237" t="s">
        <v>195</v>
      </c>
      <c r="D1786" s="238" t="str">
        <f>_xlfn.XLOOKUP(B1786,'Relacion '!$E:$E,'Relacion '!$D:$D,"")</f>
        <v/>
      </c>
      <c r="E1786" s="239">
        <f t="shared" si="410"/>
        <v>49</v>
      </c>
      <c r="F1786" s="240" cm="1">
        <f t="array" ref="F1786">MIN(INDEX('Relacion '!$Z$5:$AA$493,MATCH(INDEX($B:$B, (ROW()-2)),'Relacion '!$E$5:$E$493,0),0))</f>
        <v>46093</v>
      </c>
      <c r="G1786" s="240" cm="1">
        <f t="array" ref="G1786">MAX(INDEX('Relacion '!$Z$5:$AA$493,MATCH(INDEX($B:$B, (ROW()-2)),'Relacion '!$E$5:$E$493,0),0))</f>
        <v>46142</v>
      </c>
      <c r="H1786" s="241" t="e" cm="1">
        <f t="array" ref="H1786">IF(
 MATCH(B1786,{"01. ASIGNACION AREA";"02. MAPEO";"03. DESARROLLO";"04. VALIDA US";"05. VOBO US";"06. BW-EJECUCION";"07. VALIDACIÓN BAJAWARE";"08. CERRADA"},0)
 &lt;
 MATCH(_xlfn.XLOOKUP(INDEX($B:$B, (ROW()-2)),'Relacion '!$E:$E,'Relacion '!$D:$D,""),{"01. ASIGNACION AREA";"02. MAPEO";"03. DESARROLLO";"04. VALIDA US";"05. VOBO US";"06. BW-EJECUCION";"07. VALIDACIÓN BAJAWARE";"08. CERRADA"},0),
 1,
 IF(
  MATCH(B1786,{"01. ASIGNACION AREA";"02. MAPEO";"03. DESARROLLO";"04. VALIDA US";"05. VOBO US";"06. BW-EJECUCION";"07. VALIDACIÓN BAJAWARE";"08. CERRADA"},0)
  =
  MATCH(_xlfn.XLOOKUP(INDEX($B:$B, (ROW()-2)),'Relacion '!$E:$E,'Relacion '!$D:$D,""),{"01. ASIGNACION AREA";"02. MAPEO";"03. DESARROLLO";"04. VALIDA US";"05. VOBO US";"06. BW-EJECUCION";"07. VALIDACIÓN BAJAWARE";"08. CERRADA"},0),
  _xlfn.XLOOKUP(INDEX($B:$B, (ROW()-2)),'Relacion '!$E:$E,'Relacion '!#REF!,0),
  0
 )
)</f>
        <v>#REF!</v>
      </c>
      <c r="I1786" s="241">
        <f t="shared" ca="1" si="422"/>
        <v>1</v>
      </c>
      <c r="J1786" s="241"/>
      <c r="K1786" s="241"/>
      <c r="L1786" s="238"/>
    </row>
    <row r="1787" spans="2:12" outlineLevel="1">
      <c r="B1787" s="237" t="s">
        <v>49</v>
      </c>
      <c r="C1787" s="237" t="s">
        <v>49</v>
      </c>
      <c r="D1787" s="238" t="str">
        <f>_xlfn.XLOOKUP(B1787,'Relacion '!$E:$E,'Relacion '!$D:$D,"")</f>
        <v/>
      </c>
      <c r="E1787" s="239">
        <f t="shared" si="410"/>
        <v>18</v>
      </c>
      <c r="F1787" s="240" cm="1">
        <f t="array" ref="F1787">MIN(INDEX('Relacion '!$AB$5:$AC$493,MATCH(INDEX($B:$B, (ROW()-3)),'Relacion '!$E$5:$E$493,0),0))</f>
        <v>46146</v>
      </c>
      <c r="G1787" s="240" cm="1">
        <f t="array" ref="G1787">MAX(INDEX('Relacion '!$AB$5:$AC$493,MATCH(INDEX($B:$B, (ROW()-3)),'Relacion '!$E$5:$E$493,0),0))</f>
        <v>46164</v>
      </c>
      <c r="H1787" s="241" cm="1">
        <f t="array" ref="H1787">IF(
 MATCH(B1787,{"01. ASIGNACION AREA";"02. MAPEO";"03. DESARROLLO";"04. VALIDA US";"05. VOBO US";"06. BW-EJECUCION";"07. VALIDACIÓN BAJAWARE";"08. CERRADA"},0)
 &lt;
 MATCH(_xlfn.XLOOKUP(INDEX($B:$B, (ROW()-3)),'Relacion '!$E:$E,'Relacion '!$D:$D,""),{"01. ASIGNACION AREA";"02. MAPEO";"03. DESARROLLO";"04. VALIDA US";"05. VOBO US";"06. BW-EJECUCION";"07. VALIDACIÓN BAJAWARE";"08. CERRADA"},0),
 1,
 IF(
  MATCH(B1787,{"01. ASIGNACION AREA";"02. MAPEO";"03. DESARROLLO";"04. VALIDA US";"05. VOBO US";"06. BW-EJECUCION";"07. VALIDACIÓN BAJAWARE";"08. CERRADA"},0)
  =
  MATCH(_xlfn.XLOOKUP(INDEX($B:$B, (ROW()-3)),'Relacion '!$E:$E,'Relacion '!$D:$D,""),{"01. ASIGNACION AREA";"02. MAPEO";"03. DESARROLLO";"04. VALIDA US";"05. VOBO US";"06. BW-EJECUCION";"07. VALIDACIÓN BAJAWARE";"08. CERRADA"},0),
  _xlfn.XLOOKUP(INDEX($B:$B, (ROW()-3)),'Relacion '!$E:$E,'Relacion '!#REF!,0),
  0
 )
)</f>
        <v>0</v>
      </c>
      <c r="I1787" s="241">
        <f t="shared" ca="1" si="422"/>
        <v>1</v>
      </c>
      <c r="J1787" s="241"/>
      <c r="K1787" s="241"/>
      <c r="L1787" s="238"/>
    </row>
    <row r="1788" spans="2:12" outlineLevel="1">
      <c r="B1788" s="237" t="s">
        <v>324</v>
      </c>
      <c r="C1788" s="237" t="s">
        <v>324</v>
      </c>
      <c r="D1788" s="238" t="str">
        <f>_xlfn.XLOOKUP(B1788,'Relacion '!$E:$E,'Relacion '!$D:$D,"")</f>
        <v/>
      </c>
      <c r="E1788" s="239">
        <f t="shared" si="410"/>
        <v>11</v>
      </c>
      <c r="F1788" s="240" cm="1">
        <f t="array" ref="F1788">MIN(INDEX('Relacion '!$AD$5:$AE$493,MATCH(INDEX($B:$B, (ROW()-4)),'Relacion '!$E$5:$E$493,0),0))</f>
        <v>46167</v>
      </c>
      <c r="G1788" s="240" cm="1">
        <f t="array" ref="G1788">MAX(INDEX('Relacion '!$AD$5:$AE$493,MATCH(INDEX($B:$B, (ROW()-4)),'Relacion '!$E$5:$E$493,0),0))</f>
        <v>46178</v>
      </c>
      <c r="H1788" s="241" cm="1">
        <f t="array" ref="H1788">IF(
 MATCH(B1788,{"01. ASIGNACION AREA";"02. MAPEO";"03. DESARROLLO";"04. VALIDA US";"05. VOBO US";"06. BW-EJECUCION";"07. VALIDACIÓN BAJAWARE";"08. CERRADA"},0)
 &lt;
 MATCH(_xlfn.XLOOKUP(INDEX($B:$B, (ROW()-4)),'Relacion '!$E:$E,'Relacion '!$D:$D,""),{"01. ASIGNACION AREA";"02. MAPEO";"03. DESARROLLO";"04. VALIDA US";"05. VOBO US";"06. BW-EJECUCION";"07. VALIDACIÓN BAJAWARE";"08. CERRADA"},0),
 1,
 IF(
  MATCH(B1788,{"01. ASIGNACION AREA";"02. MAPEO";"03. DESARROLLO";"04. VALIDA US";"05. VOBO US";"06. BW-EJECUCION";"07. VALIDACIÓN BAJAWARE";"08. CERRADA"},0)
  =
  MATCH(_xlfn.XLOOKUP(INDEX($B:$B, (ROW()-4)),'Relacion '!$E:$E,'Relacion '!$D:$D,""),{"01. ASIGNACION AREA";"02. MAPEO";"03. DESARROLLO";"04. VALIDA US";"05. VOBO US";"06. BW-EJECUCION";"07. VALIDACIÓN BAJAWARE";"08. CERRADA"},0),
  _xlfn.XLOOKUP(INDEX($B:$B, (ROW()-4)),'Relacion '!$E:$E,'Relacion '!#REF!,0),
  0
 )
)</f>
        <v>0</v>
      </c>
      <c r="I1788" s="241">
        <f t="shared" ca="1" si="422"/>
        <v>0</v>
      </c>
      <c r="J1788" s="241"/>
      <c r="K1788" s="241"/>
      <c r="L1788" s="238"/>
    </row>
    <row r="1789" spans="2:12" outlineLevel="1">
      <c r="B1789" s="237" t="s">
        <v>320</v>
      </c>
      <c r="C1789" s="237" t="s">
        <v>320</v>
      </c>
      <c r="D1789" s="238" t="str">
        <f>_xlfn.XLOOKUP(B1789,'Relacion '!$E:$E,'Relacion '!$D:$D,"")</f>
        <v/>
      </c>
      <c r="E1789" s="239">
        <f t="shared" si="410"/>
        <v>3</v>
      </c>
      <c r="F1789" s="240" cm="1">
        <f t="array" ref="F1789">MIN(INDEX('Relacion '!$AF$5:$AG$493,MATCH(INDEX($B:$B, (ROW()-5)),'Relacion '!$E$5:$E$493,0),0))</f>
        <v>46178</v>
      </c>
      <c r="G1789" s="240" cm="1">
        <f t="array" ref="G1789">MAX(INDEX('Relacion '!$AF$5:$AG$493,MATCH(INDEX($B:$B, (ROW()-5)),'Relacion '!$E$5:$E$493,0),0))</f>
        <v>46181</v>
      </c>
      <c r="H1789" s="241" cm="1">
        <f t="array" ref="H1789">IF(
 MATCH(B1789,{"01. ASIGNACION AREA";"02. MAPEO";"03. DESARROLLO";"04. VALIDA US";"05. VOBO US";"06. BW-EJECUCION";"07. VALIDACIÓN BAJAWARE";"08. CERRADA"},0)
 &lt;
 MATCH(_xlfn.XLOOKUP(INDEX($B:$B, (ROW()-5)),'Relacion '!$E:$E,'Relacion '!$D:$D,""),{"01. ASIGNACION AREA";"02. MAPEO";"03. DESARROLLO";"04. VALIDA US";"05. VOBO US";"06. BW-EJECUCION";"07. VALIDACIÓN BAJAWARE";"08. CERRADA"},0),
 1,
 IF(
  MATCH(B1789,{"01. ASIGNACION AREA";"02. MAPEO";"03. DESARROLLO";"04. VALIDA US";"05. VOBO US";"06. BW-EJECUCION";"07. VALIDACIÓN BAJAWARE";"08. CERRADA"},0)
  =
  MATCH(_xlfn.XLOOKUP(INDEX($B:$B, (ROW()-5)),'Relacion '!$E:$E,'Relacion '!$D:$D,""),{"01. ASIGNACION AREA";"02. MAPEO";"03. DESARROLLO";"04. VALIDA US";"05. VOBO US";"06. BW-EJECUCION";"07. VALIDACIÓN BAJAWARE";"08. CERRADA"},0),
  _xlfn.XLOOKUP(INDEX($B:$B, (ROW()-5)),'Relacion '!$E:$E,'Relacion '!#REF!,0),
  0
 )
)</f>
        <v>0</v>
      </c>
      <c r="I1789" s="241">
        <f t="shared" ca="1" si="422"/>
        <v>0</v>
      </c>
      <c r="J1789" s="241"/>
      <c r="K1789" s="241"/>
      <c r="L1789" s="238"/>
    </row>
    <row r="1790" spans="2:12" outlineLevel="1">
      <c r="B1790" s="237" t="s">
        <v>710</v>
      </c>
      <c r="C1790" s="237" t="s">
        <v>710</v>
      </c>
      <c r="D1790" s="238" t="str">
        <f>_xlfn.XLOOKUP(B1790,'Relacion '!$E:$E,'Relacion '!$D:$D,"")</f>
        <v/>
      </c>
      <c r="E1790" s="239">
        <f t="shared" si="410"/>
        <v>3</v>
      </c>
      <c r="F1790" s="240" cm="1">
        <f t="array" ref="F1790">MIN(INDEX('Relacion '!$AH$5:$AI$493,MATCH(INDEX($B:$B, (ROW()-6)),'Relacion '!$E$5:$E$493,0),0))</f>
        <v>46182</v>
      </c>
      <c r="G1790" s="240" cm="1">
        <f t="array" ref="G1790">MAX(INDEX('Relacion '!$AH$5:$AI$493,MATCH(INDEX($B:$B, (ROW()-6)),'Relacion '!$E$5:$E$493,0),0))</f>
        <v>46185</v>
      </c>
      <c r="H1790" s="241" cm="1">
        <f t="array" ref="H1790">IF(
 MATCH(B1790,{"01. ASIGNACION AREA";"02. MAPEO";"03. DESARROLLO";"04. VALIDA US";"05. VOBO US";"06. BW-EJECUCION";"07. VALIDACIÓN BAJAWARE";"08. CERRADA"},0)
 &lt;
 MATCH(_xlfn.XLOOKUP(INDEX($B:$B, (ROW()-6)),'Relacion '!$E:$E,'Relacion '!$D:$D,""),{"01. ASIGNACION AREA";"02. MAPEO";"03. DESARROLLO";"04. VALIDA US";"05. VOBO US";"06. BW-EJECUCION";"07. VALIDACIÓN BAJAWARE";"08. CERRADA"},0),
 1,
 IF(
  MATCH(B1790,{"01. ASIGNACION AREA";"02. MAPEO";"03. DESARROLLO";"04. VALIDA US";"05. VOBO US";"06. BW-EJECUCION";"07. VALIDACIÓN BAJAWARE";"08. CERRADA"},0)
  =
  MATCH(_xlfn.XLOOKUP(INDEX($B:$B, (ROW()-6)),'Relacion '!$E:$E,'Relacion '!$D:$D,""),{"01. ASIGNACION AREA";"02. MAPEO";"03. DESARROLLO";"04. VALIDA US";"05. VOBO US";"06. BW-EJECUCION";"07. VALIDACIÓN BAJAWARE";"08. CERRADA"},0),
  _xlfn.XLOOKUP(INDEX($B:$B, (ROW()-6)),'Relacion '!$E:$E,'Relacion '!#REF!,0),
  0
 )
)</f>
        <v>0</v>
      </c>
      <c r="I1790" s="241">
        <f t="shared" ca="1" si="422"/>
        <v>0</v>
      </c>
      <c r="J1790" s="241"/>
      <c r="K1790" s="241"/>
      <c r="L1790" s="238"/>
    </row>
    <row r="1791" spans="2:12" outlineLevel="1">
      <c r="B1791" s="237" t="s">
        <v>655</v>
      </c>
      <c r="C1791" s="237" t="s">
        <v>655</v>
      </c>
      <c r="D1791" s="238" t="str">
        <f>_xlfn.XLOOKUP(B1791,'Relacion '!$E:$E,'Relacion '!$D:$D,"")</f>
        <v/>
      </c>
      <c r="E1791" s="239">
        <f t="shared" si="410"/>
        <v>11</v>
      </c>
      <c r="F1791" s="240" cm="1">
        <f t="array" ref="F1791">MIN(INDEX('Relacion '!$AJ$5:$AK$493,MATCH(INDEX($B:$B, (ROW()-7)),'Relacion '!$E$5:$E$493,0),0))</f>
        <v>46188</v>
      </c>
      <c r="G1791" s="240" cm="1">
        <f t="array" ref="G1791">MAX(INDEX('Relacion '!$AJ$5:$AK$493,MATCH(INDEX($B:$B, (ROW()-7)),'Relacion '!$E$5:$E$493,0),0))</f>
        <v>46199</v>
      </c>
      <c r="H1791" s="241" cm="1">
        <f t="array" ref="H1791">IF(
 MATCH(B1791,{"01. ASIGNACION AREA";"02. MAPEO";"03. DESARROLLO";"04. VALIDA US";"05. VOBO US";"06. BW-EJECUCION";"07. VALIDACIÓN BAJAWARE";"08. CERRADA"},0)
 &lt;
 MATCH(_xlfn.XLOOKUP(INDEX($B:$B, (ROW()-7)),'Relacion '!$E:$E,'Relacion '!$D:$D,""),{"01. ASIGNACION AREA";"02. MAPEO";"03. DESARROLLO";"04. VALIDA US";"05. VOBO US";"06. BW-EJECUCION";"07. VALIDACIÓN BAJAWARE";"08. CERRADA"},0),
 1,
 IF(
  MATCH(B1791,{"01. ASIGNACION AREA";"02. MAPEO";"03. DESARROLLO";"04. VALIDA US";"05. VOBO US";"06. BW-EJECUCION";"07. VALIDACIÓN BAJAWARE";"08. CERRADA"},0)
  =
  MATCH(_xlfn.XLOOKUP(INDEX($B:$B, (ROW()-7)),'Relacion '!$E:$E,'Relacion '!$D:$D,""),{"01. ASIGNACION AREA";"02. MAPEO";"03. DESARROLLO";"04. VALIDA US";"05. VOBO US";"06. BW-EJECUCION";"07. VALIDACIÓN BAJAWARE";"08. CERRADA"},0),
  _xlfn.XLOOKUP(INDEX($B:$B, (ROW()-7)),'Relacion '!$E:$E,'Relacion '!#REF!,0),
  0
 )
)</f>
        <v>0</v>
      </c>
      <c r="I1791" s="241">
        <f t="shared" ca="1" si="422"/>
        <v>0</v>
      </c>
      <c r="J1791" s="241"/>
      <c r="K1791" s="241"/>
      <c r="L1791" s="238"/>
    </row>
    <row r="1792" spans="2:12" outlineLevel="1">
      <c r="B1792" s="237" t="s">
        <v>656</v>
      </c>
      <c r="C1792" s="237" t="s">
        <v>656</v>
      </c>
      <c r="D1792" s="238" t="str">
        <f>_xlfn.XLOOKUP(B1792,'Relacion '!$E:$E,'Relacion '!$D:$D,"")</f>
        <v/>
      </c>
      <c r="E1792" s="239">
        <f t="shared" si="410"/>
        <v>3</v>
      </c>
      <c r="F1792" s="240" cm="1">
        <f t="array" ref="F1792">MIN(INDEX('Relacion '!$AL$5:$AM$493,MATCH(INDEX($B:$B, (ROW()-8)),'Relacion '!$E$5:$E$493,0),0))</f>
        <v>46199</v>
      </c>
      <c r="G1792" s="240" cm="1">
        <f t="array" ref="G1792">MAX(INDEX('Relacion '!$AL$5:$AM$493,MATCH(INDEX($B:$B, (ROW()-8)),'Relacion '!$E$5:$E$493,0),0))</f>
        <v>46202</v>
      </c>
      <c r="H1792" s="241" cm="1">
        <f t="array" ref="H1792">IF(
 MATCH(B1792,{"01. ASIGNACION AREA";"02. MAPEO";"03. DESARROLLO";"04. VALIDA US";"05. VOBO US";"06. BW-EJECUCION";"07. VALIDACIÓN BAJAWARE";"08. CERRADA"},0)
 &lt;
 MATCH(_xlfn.XLOOKUP(INDEX($B:$B, (ROW()-8)),'Relacion '!$E:$E,'Relacion '!$D:$D,""),{"01. ASIGNACION AREA";"02. MAPEO";"03. DESARROLLO";"04. VALIDA US";"05. VOBO US";"06. BW-EJECUCION";"07. VALIDACIÓN BAJAWARE";"08. CERRADA"},0),
 1,
 IF(
  MATCH(B1792,{"01. ASIGNACION AREA";"02. MAPEO";"03. DESARROLLO";"04. VALIDA US";"05. VOBO US";"06. BW-EJECUCION";"07. VALIDACIÓN BAJAWARE";"08. CERRADA"},0)
  =
  MATCH(_xlfn.XLOOKUP(INDEX($B:$B, (ROW()-8)),'Relacion '!$E:$E,'Relacion '!$D:$D,""),{"01. ASIGNACION AREA";"02. MAPEO";"03. DESARROLLO";"04. VALIDA US";"05. VOBO US";"06. BW-EJECUCION";"07. VALIDACIÓN BAJAWARE";"08. CERRADA"},0),
  _xlfn.XLOOKUP(INDEX($B:$B, (ROW()-8)),'Relacion '!$E:$E,'Relacion '!#REF!,0),
  0
 )
)</f>
        <v>0</v>
      </c>
      <c r="I1792" s="241">
        <f t="shared" ca="1" si="422"/>
        <v>0</v>
      </c>
      <c r="J1792" s="241"/>
      <c r="K1792" s="241"/>
      <c r="L1792" s="238"/>
    </row>
    <row r="1793" spans="2:12" outlineLevel="1">
      <c r="B1793" s="232" t="s">
        <v>431</v>
      </c>
      <c r="C1793" s="243" t="s">
        <v>419</v>
      </c>
      <c r="D1793" s="236" t="str">
        <f>_xlfn.XLOOKUP(B1793,'Relacion '!$E:$E,'Relacion '!$D:$D,"")</f>
        <v>02. MAPEO</v>
      </c>
      <c r="E1793" s="233">
        <f t="shared" si="410"/>
        <v>543</v>
      </c>
      <c r="F1793" s="234" cm="1">
        <f t="array" ref="F1793">MIN(INDEX('Relacion '!$X$5:$AM$493,MATCH(INDEX($B:$B, (ROW()-0)),'Relacion '!$E$5:$E$493,0),0))</f>
        <v>45659</v>
      </c>
      <c r="G1793" s="234" cm="1">
        <f t="array" ref="G1793">MAX(INDEX('Relacion '!$X$5:$AM$493,MATCH(INDEX($B:$B, (ROW()-0)),'Relacion '!$E$5:$E$493,0),0))</f>
        <v>46202</v>
      </c>
      <c r="H1793" s="235" t="e">
        <f>AVERAGE(H1794:H1801)</f>
        <v>#REF!</v>
      </c>
      <c r="I1793" s="235">
        <f t="shared" ref="I1793" ca="1" si="425">AVERAGE(I1794:I1801)</f>
        <v>0.375</v>
      </c>
      <c r="J1793" s="236" t="str">
        <f>IF(ISNUMBER(SEARCH("Rocha", _xlfn.XLOOKUP(B1793,'Relacion '!$E:$E,'Relacion '!$I:$I,""))), "Sí", "No")</f>
        <v>Sí</v>
      </c>
      <c r="K1793" s="236" t="str">
        <f>IF(ISNUMBER(SEARCH("Rocha", _xlfn.XLOOKUP(B1793,'Relacion '!$E:$E,'Relacion '!$I:$I,""))), "RMC", _xlfn.XLOOKUP(B1793,'Relacion '!$E:$E,'Relacion '!$B:$B,""))</f>
        <v>RMC</v>
      </c>
      <c r="L1793" s="236" t="str">
        <f>_xlfn.XLOOKUP(B1793,'Relacion '!$E:$E,'Relacion '!$C:$C,"")</f>
        <v>Eduardo Cabral</v>
      </c>
    </row>
    <row r="1794" spans="2:12" outlineLevel="1">
      <c r="B1794" s="237" t="s">
        <v>654</v>
      </c>
      <c r="C1794" s="237" t="s">
        <v>654</v>
      </c>
      <c r="D1794" s="238" t="str">
        <f>_xlfn.XLOOKUP(B1794,'Relacion '!$E:$E,'Relacion '!$D:$D,"")</f>
        <v/>
      </c>
      <c r="E1794" s="239">
        <f t="shared" ref="E1794:E1810" si="426">IF(OR(F1794="",G1794=""),"",G1794-F1794)</f>
        <v>424</v>
      </c>
      <c r="F1794" s="240" cm="1">
        <f t="array" ref="F1794">MIN(INDEX('Relacion '!$X$5:$Y$493,MATCH(INDEX($B:$B, (ROW()-1)),'Relacion '!$E$5:$E$493,0),0))</f>
        <v>45659</v>
      </c>
      <c r="G1794" s="240" cm="1">
        <f t="array" ref="G1794">MAX(INDEX('Relacion '!$X$5:$Y$493,MATCH(INDEX($B:$B, (ROW()-1)),'Relacion '!$E$5:$E$493,0),0))</f>
        <v>46083</v>
      </c>
      <c r="H1794" s="241" cm="1">
        <f t="array" ref="H1794">IF(
 MATCH(B1794,{"01. ASIGNACION AREA";"02. MAPEO";"03. DESARROLLO";"04. VALIDA US";"05. VOBO US";"06. BW-EJECUCION";"07. VALIDACIÓN BAJAWARE";"08. CERRADA"},0)
 &lt;
 MATCH(_xlfn.XLOOKUP(INDEX($B:$B, (ROW()-1)),'Relacion '!$E:$E,'Relacion '!$D:$D,""),{"01. ASIGNACION AREA";"02. MAPEO";"03. DESARROLLO";"04. VALIDA US";"05. VOBO US";"06. BW-EJECUCION";"07. VALIDACIÓN BAJAWARE";"08. CERRADA"},0),
 1,
 IF(
  MATCH(B1794,{"01. ASIGNACION AREA";"02. MAPEO";"03. DESARROLLO";"04. VALIDA US";"05. VOBO US";"06. BW-EJECUCION";"07. VALIDACIÓN BAJAWARE";"08. CERRADA"},0)
  =
  MATCH(_xlfn.XLOOKUP(INDEX($B:$B, (ROW()-1)),'Relacion '!$E:$E,'Relacion '!$D:$D,""),{"01. ASIGNACION AREA";"02. MAPEO";"03. DESARROLLO";"04. VALIDA US";"05. VOBO US";"06. BW-EJECUCION";"07. VALIDACIÓN BAJAWARE";"08. CERRADA"},0),
  _xlfn.XLOOKUP(INDEX($B:$B, (ROW()-1)),'Relacion '!$E:$E,'Relacion '!#REF!,0),
  0
 )
)</f>
        <v>1</v>
      </c>
      <c r="I1794" s="241">
        <f t="shared" ref="I1794" ca="1" si="427">IF(G1794&lt;=TODAY(), 1, 0)</f>
        <v>1</v>
      </c>
      <c r="J1794" s="241"/>
      <c r="K1794" s="241"/>
      <c r="L1794" s="238"/>
    </row>
    <row r="1795" spans="2:12" outlineLevel="1">
      <c r="B1795" s="237" t="s">
        <v>195</v>
      </c>
      <c r="C1795" s="237" t="s">
        <v>195</v>
      </c>
      <c r="D1795" s="238" t="str">
        <f>_xlfn.XLOOKUP(B1795,'Relacion '!$E:$E,'Relacion '!$D:$D,"")</f>
        <v/>
      </c>
      <c r="E1795" s="239">
        <f t="shared" si="426"/>
        <v>49</v>
      </c>
      <c r="F1795" s="240" cm="1">
        <f t="array" ref="F1795">MIN(INDEX('Relacion '!$Z$5:$AA$493,MATCH(INDEX($B:$B, (ROW()-2)),'Relacion '!$E$5:$E$493,0),0))</f>
        <v>46093</v>
      </c>
      <c r="G1795" s="240" cm="1">
        <f t="array" ref="G1795">MAX(INDEX('Relacion '!$Z$5:$AA$493,MATCH(INDEX($B:$B, (ROW()-2)),'Relacion '!$E$5:$E$493,0),0))</f>
        <v>46142</v>
      </c>
      <c r="H1795" s="241" t="e" cm="1">
        <f t="array" ref="H1795">IF(
 MATCH(B1795,{"01. ASIGNACION AREA";"02. MAPEO";"03. DESARROLLO";"04. VALIDA US";"05. VOBO US";"06. BW-EJECUCION";"07. VALIDACIÓN BAJAWARE";"08. CERRADA"},0)
 &lt;
 MATCH(_xlfn.XLOOKUP(INDEX($B:$B, (ROW()-2)),'Relacion '!$E:$E,'Relacion '!$D:$D,""),{"01. ASIGNACION AREA";"02. MAPEO";"03. DESARROLLO";"04. VALIDA US";"05. VOBO US";"06. BW-EJECUCION";"07. VALIDACIÓN BAJAWARE";"08. CERRADA"},0),
 1,
 IF(
  MATCH(B1795,{"01. ASIGNACION AREA";"02. MAPEO";"03. DESARROLLO";"04. VALIDA US";"05. VOBO US";"06. BW-EJECUCION";"07. VALIDACIÓN BAJAWARE";"08. CERRADA"},0)
  =
  MATCH(_xlfn.XLOOKUP(INDEX($B:$B, (ROW()-2)),'Relacion '!$E:$E,'Relacion '!$D:$D,""),{"01. ASIGNACION AREA";"02. MAPEO";"03. DESARROLLO";"04. VALIDA US";"05. VOBO US";"06. BW-EJECUCION";"07. VALIDACIÓN BAJAWARE";"08. CERRADA"},0),
  _xlfn.XLOOKUP(INDEX($B:$B, (ROW()-2)),'Relacion '!$E:$E,'Relacion '!#REF!,0),
  0
 )
)</f>
        <v>#REF!</v>
      </c>
      <c r="I1795" s="241">
        <f t="shared" ca="1" si="422"/>
        <v>1</v>
      </c>
      <c r="J1795" s="241"/>
      <c r="K1795" s="241"/>
      <c r="L1795" s="238"/>
    </row>
    <row r="1796" spans="2:12" outlineLevel="1">
      <c r="B1796" s="237" t="s">
        <v>49</v>
      </c>
      <c r="C1796" s="237" t="s">
        <v>49</v>
      </c>
      <c r="D1796" s="238" t="str">
        <f>_xlfn.XLOOKUP(B1796,'Relacion '!$E:$E,'Relacion '!$D:$D,"")</f>
        <v/>
      </c>
      <c r="E1796" s="239">
        <f t="shared" si="426"/>
        <v>18</v>
      </c>
      <c r="F1796" s="240" cm="1">
        <f t="array" ref="F1796">MIN(INDEX('Relacion '!$AB$5:$AC$493,MATCH(INDEX($B:$B, (ROW()-3)),'Relacion '!$E$5:$E$493,0),0))</f>
        <v>46146</v>
      </c>
      <c r="G1796" s="240" cm="1">
        <f t="array" ref="G1796">MAX(INDEX('Relacion '!$AB$5:$AC$493,MATCH(INDEX($B:$B, (ROW()-3)),'Relacion '!$E$5:$E$493,0),0))</f>
        <v>46164</v>
      </c>
      <c r="H1796" s="241" cm="1">
        <f t="array" ref="H1796">IF(
 MATCH(B1796,{"01. ASIGNACION AREA";"02. MAPEO";"03. DESARROLLO";"04. VALIDA US";"05. VOBO US";"06. BW-EJECUCION";"07. VALIDACIÓN BAJAWARE";"08. CERRADA"},0)
 &lt;
 MATCH(_xlfn.XLOOKUP(INDEX($B:$B, (ROW()-3)),'Relacion '!$E:$E,'Relacion '!$D:$D,""),{"01. ASIGNACION AREA";"02. MAPEO";"03. DESARROLLO";"04. VALIDA US";"05. VOBO US";"06. BW-EJECUCION";"07. VALIDACIÓN BAJAWARE";"08. CERRADA"},0),
 1,
 IF(
  MATCH(B1796,{"01. ASIGNACION AREA";"02. MAPEO";"03. DESARROLLO";"04. VALIDA US";"05. VOBO US";"06. BW-EJECUCION";"07. VALIDACIÓN BAJAWARE";"08. CERRADA"},0)
  =
  MATCH(_xlfn.XLOOKUP(INDEX($B:$B, (ROW()-3)),'Relacion '!$E:$E,'Relacion '!$D:$D,""),{"01. ASIGNACION AREA";"02. MAPEO";"03. DESARROLLO";"04. VALIDA US";"05. VOBO US";"06. BW-EJECUCION";"07. VALIDACIÓN BAJAWARE";"08. CERRADA"},0),
  _xlfn.XLOOKUP(INDEX($B:$B, (ROW()-3)),'Relacion '!$E:$E,'Relacion '!#REF!,0),
  0
 )
)</f>
        <v>0</v>
      </c>
      <c r="I1796" s="241">
        <f t="shared" ca="1" si="422"/>
        <v>1</v>
      </c>
      <c r="J1796" s="241"/>
      <c r="K1796" s="241"/>
      <c r="L1796" s="238"/>
    </row>
    <row r="1797" spans="2:12" outlineLevel="1">
      <c r="B1797" s="237" t="s">
        <v>324</v>
      </c>
      <c r="C1797" s="237" t="s">
        <v>324</v>
      </c>
      <c r="D1797" s="238" t="str">
        <f>_xlfn.XLOOKUP(B1797,'Relacion '!$E:$E,'Relacion '!$D:$D,"")</f>
        <v/>
      </c>
      <c r="E1797" s="239">
        <f t="shared" si="426"/>
        <v>11</v>
      </c>
      <c r="F1797" s="240" cm="1">
        <f t="array" ref="F1797">MIN(INDEX('Relacion '!$AD$5:$AE$493,MATCH(INDEX($B:$B, (ROW()-4)),'Relacion '!$E$5:$E$493,0),0))</f>
        <v>46167</v>
      </c>
      <c r="G1797" s="240" cm="1">
        <f t="array" ref="G1797">MAX(INDEX('Relacion '!$AD$5:$AE$493,MATCH(INDEX($B:$B, (ROW()-4)),'Relacion '!$E$5:$E$493,0),0))</f>
        <v>46178</v>
      </c>
      <c r="H1797" s="241" cm="1">
        <f t="array" ref="H1797">IF(
 MATCH(B1797,{"01. ASIGNACION AREA";"02. MAPEO";"03. DESARROLLO";"04. VALIDA US";"05. VOBO US";"06. BW-EJECUCION";"07. VALIDACIÓN BAJAWARE";"08. CERRADA"},0)
 &lt;
 MATCH(_xlfn.XLOOKUP(INDEX($B:$B, (ROW()-4)),'Relacion '!$E:$E,'Relacion '!$D:$D,""),{"01. ASIGNACION AREA";"02. MAPEO";"03. DESARROLLO";"04. VALIDA US";"05. VOBO US";"06. BW-EJECUCION";"07. VALIDACIÓN BAJAWARE";"08. CERRADA"},0),
 1,
 IF(
  MATCH(B1797,{"01. ASIGNACION AREA";"02. MAPEO";"03. DESARROLLO";"04. VALIDA US";"05. VOBO US";"06. BW-EJECUCION";"07. VALIDACIÓN BAJAWARE";"08. CERRADA"},0)
  =
  MATCH(_xlfn.XLOOKUP(INDEX($B:$B, (ROW()-4)),'Relacion '!$E:$E,'Relacion '!$D:$D,""),{"01. ASIGNACION AREA";"02. MAPEO";"03. DESARROLLO";"04. VALIDA US";"05. VOBO US";"06. BW-EJECUCION";"07. VALIDACIÓN BAJAWARE";"08. CERRADA"},0),
  _xlfn.XLOOKUP(INDEX($B:$B, (ROW()-4)),'Relacion '!$E:$E,'Relacion '!#REF!,0),
  0
 )
)</f>
        <v>0</v>
      </c>
      <c r="I1797" s="241">
        <f t="shared" ca="1" si="422"/>
        <v>0</v>
      </c>
      <c r="J1797" s="241"/>
      <c r="K1797" s="241"/>
      <c r="L1797" s="238"/>
    </row>
    <row r="1798" spans="2:12" outlineLevel="1">
      <c r="B1798" s="237" t="s">
        <v>320</v>
      </c>
      <c r="C1798" s="237" t="s">
        <v>320</v>
      </c>
      <c r="D1798" s="238" t="str">
        <f>_xlfn.XLOOKUP(B1798,'Relacion '!$E:$E,'Relacion '!$D:$D,"")</f>
        <v/>
      </c>
      <c r="E1798" s="239">
        <f t="shared" si="426"/>
        <v>3</v>
      </c>
      <c r="F1798" s="240" cm="1">
        <f t="array" ref="F1798">MIN(INDEX('Relacion '!$AF$5:$AG$493,MATCH(INDEX($B:$B, (ROW()-5)),'Relacion '!$E$5:$E$493,0),0))</f>
        <v>46178</v>
      </c>
      <c r="G1798" s="240" cm="1">
        <f t="array" ref="G1798">MAX(INDEX('Relacion '!$AF$5:$AG$493,MATCH(INDEX($B:$B, (ROW()-5)),'Relacion '!$E$5:$E$493,0),0))</f>
        <v>46181</v>
      </c>
      <c r="H1798" s="241" cm="1">
        <f t="array" ref="H1798">IF(
 MATCH(B1798,{"01. ASIGNACION AREA";"02. MAPEO";"03. DESARROLLO";"04. VALIDA US";"05. VOBO US";"06. BW-EJECUCION";"07. VALIDACIÓN BAJAWARE";"08. CERRADA"},0)
 &lt;
 MATCH(_xlfn.XLOOKUP(INDEX($B:$B, (ROW()-5)),'Relacion '!$E:$E,'Relacion '!$D:$D,""),{"01. ASIGNACION AREA";"02. MAPEO";"03. DESARROLLO";"04. VALIDA US";"05. VOBO US";"06. BW-EJECUCION";"07. VALIDACIÓN BAJAWARE";"08. CERRADA"},0),
 1,
 IF(
  MATCH(B1798,{"01. ASIGNACION AREA";"02. MAPEO";"03. DESARROLLO";"04. VALIDA US";"05. VOBO US";"06. BW-EJECUCION";"07. VALIDACIÓN BAJAWARE";"08. CERRADA"},0)
  =
  MATCH(_xlfn.XLOOKUP(INDEX($B:$B, (ROW()-5)),'Relacion '!$E:$E,'Relacion '!$D:$D,""),{"01. ASIGNACION AREA";"02. MAPEO";"03. DESARROLLO";"04. VALIDA US";"05. VOBO US";"06. BW-EJECUCION";"07. VALIDACIÓN BAJAWARE";"08. CERRADA"},0),
  _xlfn.XLOOKUP(INDEX($B:$B, (ROW()-5)),'Relacion '!$E:$E,'Relacion '!#REF!,0),
  0
 )
)</f>
        <v>0</v>
      </c>
      <c r="I1798" s="241">
        <f t="shared" ca="1" si="422"/>
        <v>0</v>
      </c>
      <c r="J1798" s="241"/>
      <c r="K1798" s="241"/>
      <c r="L1798" s="238"/>
    </row>
    <row r="1799" spans="2:12" outlineLevel="1">
      <c r="B1799" s="237" t="s">
        <v>710</v>
      </c>
      <c r="C1799" s="237" t="s">
        <v>710</v>
      </c>
      <c r="D1799" s="238" t="str">
        <f>_xlfn.XLOOKUP(B1799,'Relacion '!$E:$E,'Relacion '!$D:$D,"")</f>
        <v/>
      </c>
      <c r="E1799" s="239">
        <f t="shared" si="426"/>
        <v>3</v>
      </c>
      <c r="F1799" s="240" cm="1">
        <f t="array" ref="F1799">MIN(INDEX('Relacion '!$AH$5:$AI$493,MATCH(INDEX($B:$B, (ROW()-6)),'Relacion '!$E$5:$E$493,0),0))</f>
        <v>46182</v>
      </c>
      <c r="G1799" s="240" cm="1">
        <f t="array" ref="G1799">MAX(INDEX('Relacion '!$AH$5:$AI$493,MATCH(INDEX($B:$B, (ROW()-6)),'Relacion '!$E$5:$E$493,0),0))</f>
        <v>46185</v>
      </c>
      <c r="H1799" s="241" cm="1">
        <f t="array" ref="H1799">IF(
 MATCH(B1799,{"01. ASIGNACION AREA";"02. MAPEO";"03. DESARROLLO";"04. VALIDA US";"05. VOBO US";"06. BW-EJECUCION";"07. VALIDACIÓN BAJAWARE";"08. CERRADA"},0)
 &lt;
 MATCH(_xlfn.XLOOKUP(INDEX($B:$B, (ROW()-6)),'Relacion '!$E:$E,'Relacion '!$D:$D,""),{"01. ASIGNACION AREA";"02. MAPEO";"03. DESARROLLO";"04. VALIDA US";"05. VOBO US";"06. BW-EJECUCION";"07. VALIDACIÓN BAJAWARE";"08. CERRADA"},0),
 1,
 IF(
  MATCH(B1799,{"01. ASIGNACION AREA";"02. MAPEO";"03. DESARROLLO";"04. VALIDA US";"05. VOBO US";"06. BW-EJECUCION";"07. VALIDACIÓN BAJAWARE";"08. CERRADA"},0)
  =
  MATCH(_xlfn.XLOOKUP(INDEX($B:$B, (ROW()-6)),'Relacion '!$E:$E,'Relacion '!$D:$D,""),{"01. ASIGNACION AREA";"02. MAPEO";"03. DESARROLLO";"04. VALIDA US";"05. VOBO US";"06. BW-EJECUCION";"07. VALIDACIÓN BAJAWARE";"08. CERRADA"},0),
  _xlfn.XLOOKUP(INDEX($B:$B, (ROW()-6)),'Relacion '!$E:$E,'Relacion '!#REF!,0),
  0
 )
)</f>
        <v>0</v>
      </c>
      <c r="I1799" s="241">
        <f t="shared" ca="1" si="422"/>
        <v>0</v>
      </c>
      <c r="J1799" s="241"/>
      <c r="K1799" s="241"/>
      <c r="L1799" s="238"/>
    </row>
    <row r="1800" spans="2:12" outlineLevel="1">
      <c r="B1800" s="237" t="s">
        <v>655</v>
      </c>
      <c r="C1800" s="237" t="s">
        <v>655</v>
      </c>
      <c r="D1800" s="238" t="str">
        <f>_xlfn.XLOOKUP(B1800,'Relacion '!$E:$E,'Relacion '!$D:$D,"")</f>
        <v/>
      </c>
      <c r="E1800" s="239">
        <f t="shared" si="426"/>
        <v>11</v>
      </c>
      <c r="F1800" s="240" cm="1">
        <f t="array" ref="F1800">MIN(INDEX('Relacion '!$AJ$5:$AK$493,MATCH(INDEX($B:$B, (ROW()-7)),'Relacion '!$E$5:$E$493,0),0))</f>
        <v>46188</v>
      </c>
      <c r="G1800" s="240" cm="1">
        <f t="array" ref="G1800">MAX(INDEX('Relacion '!$AJ$5:$AK$493,MATCH(INDEX($B:$B, (ROW()-7)),'Relacion '!$E$5:$E$493,0),0))</f>
        <v>46199</v>
      </c>
      <c r="H1800" s="241" cm="1">
        <f t="array" ref="H1800">IF(
 MATCH(B1800,{"01. ASIGNACION AREA";"02. MAPEO";"03. DESARROLLO";"04. VALIDA US";"05. VOBO US";"06. BW-EJECUCION";"07. VALIDACIÓN BAJAWARE";"08. CERRADA"},0)
 &lt;
 MATCH(_xlfn.XLOOKUP(INDEX($B:$B, (ROW()-7)),'Relacion '!$E:$E,'Relacion '!$D:$D,""),{"01. ASIGNACION AREA";"02. MAPEO";"03. DESARROLLO";"04. VALIDA US";"05. VOBO US";"06. BW-EJECUCION";"07. VALIDACIÓN BAJAWARE";"08. CERRADA"},0),
 1,
 IF(
  MATCH(B1800,{"01. ASIGNACION AREA";"02. MAPEO";"03. DESARROLLO";"04. VALIDA US";"05. VOBO US";"06. BW-EJECUCION";"07. VALIDACIÓN BAJAWARE";"08. CERRADA"},0)
  =
  MATCH(_xlfn.XLOOKUP(INDEX($B:$B, (ROW()-7)),'Relacion '!$E:$E,'Relacion '!$D:$D,""),{"01. ASIGNACION AREA";"02. MAPEO";"03. DESARROLLO";"04. VALIDA US";"05. VOBO US";"06. BW-EJECUCION";"07. VALIDACIÓN BAJAWARE";"08. CERRADA"},0),
  _xlfn.XLOOKUP(INDEX($B:$B, (ROW()-7)),'Relacion '!$E:$E,'Relacion '!#REF!,0),
  0
 )
)</f>
        <v>0</v>
      </c>
      <c r="I1800" s="241">
        <f t="shared" ca="1" si="422"/>
        <v>0</v>
      </c>
      <c r="J1800" s="241"/>
      <c r="K1800" s="241"/>
      <c r="L1800" s="238"/>
    </row>
    <row r="1801" spans="2:12" outlineLevel="1">
      <c r="B1801" s="237" t="s">
        <v>656</v>
      </c>
      <c r="C1801" s="237" t="s">
        <v>656</v>
      </c>
      <c r="D1801" s="238" t="str">
        <f>_xlfn.XLOOKUP(B1801,'Relacion '!$E:$E,'Relacion '!$D:$D,"")</f>
        <v/>
      </c>
      <c r="E1801" s="239">
        <f t="shared" si="426"/>
        <v>3</v>
      </c>
      <c r="F1801" s="240" cm="1">
        <f t="array" ref="F1801">MIN(INDEX('Relacion '!$AL$5:$AM$493,MATCH(INDEX($B:$B, (ROW()-8)),'Relacion '!$E$5:$E$493,0),0))</f>
        <v>46199</v>
      </c>
      <c r="G1801" s="240" cm="1">
        <f t="array" ref="G1801">MAX(INDEX('Relacion '!$AL$5:$AM$493,MATCH(INDEX($B:$B, (ROW()-8)),'Relacion '!$E$5:$E$493,0),0))</f>
        <v>46202</v>
      </c>
      <c r="H1801" s="241" cm="1">
        <f t="array" ref="H1801">IF(
 MATCH(B1801,{"01. ASIGNACION AREA";"02. MAPEO";"03. DESARROLLO";"04. VALIDA US";"05. VOBO US";"06. BW-EJECUCION";"07. VALIDACIÓN BAJAWARE";"08. CERRADA"},0)
 &lt;
 MATCH(_xlfn.XLOOKUP(INDEX($B:$B, (ROW()-8)),'Relacion '!$E:$E,'Relacion '!$D:$D,""),{"01. ASIGNACION AREA";"02. MAPEO";"03. DESARROLLO";"04. VALIDA US";"05. VOBO US";"06. BW-EJECUCION";"07. VALIDACIÓN BAJAWARE";"08. CERRADA"},0),
 1,
 IF(
  MATCH(B1801,{"01. ASIGNACION AREA";"02. MAPEO";"03. DESARROLLO";"04. VALIDA US";"05. VOBO US";"06. BW-EJECUCION";"07. VALIDACIÓN BAJAWARE";"08. CERRADA"},0)
  =
  MATCH(_xlfn.XLOOKUP(INDEX($B:$B, (ROW()-8)),'Relacion '!$E:$E,'Relacion '!$D:$D,""),{"01. ASIGNACION AREA";"02. MAPEO";"03. DESARROLLO";"04. VALIDA US";"05. VOBO US";"06. BW-EJECUCION";"07. VALIDACIÓN BAJAWARE";"08. CERRADA"},0),
  _xlfn.XLOOKUP(INDEX($B:$B, (ROW()-8)),'Relacion '!$E:$E,'Relacion '!#REF!,0),
  0
 )
)</f>
        <v>0</v>
      </c>
      <c r="I1801" s="241">
        <f t="shared" ca="1" si="422"/>
        <v>0</v>
      </c>
      <c r="J1801" s="241"/>
      <c r="K1801" s="241"/>
      <c r="L1801" s="238"/>
    </row>
    <row r="1802" spans="2:12" outlineLevel="1">
      <c r="B1802" s="232" t="s">
        <v>251</v>
      </c>
      <c r="C1802" s="243" t="s">
        <v>197</v>
      </c>
      <c r="D1802" s="236" t="str">
        <f>_xlfn.XLOOKUP(B1802,'Relacion '!$E:$E,'Relacion '!$D:$D,"")</f>
        <v>02. MAPEO</v>
      </c>
      <c r="E1802" s="233">
        <f t="shared" si="426"/>
        <v>172</v>
      </c>
      <c r="F1802" s="234" cm="1">
        <f t="array" ref="F1802">MIN(INDEX('Relacion '!$X$5:$AM$493,MATCH(INDEX($B:$B, (ROW()-0)),'Relacion '!$E$5:$E$493,0),0))</f>
        <v>46024</v>
      </c>
      <c r="G1802" s="234" cm="1">
        <f t="array" ref="G1802">MAX(INDEX('Relacion '!$X$5:$AM$493,MATCH(INDEX($B:$B, (ROW()-0)),'Relacion '!$E$5:$E$493,0),0))</f>
        <v>46196</v>
      </c>
      <c r="H1802" s="235" t="e">
        <f>AVERAGE(H1803:H1810)</f>
        <v>#REF!</v>
      </c>
      <c r="I1802" s="235">
        <f t="shared" ref="I1802" ca="1" si="428">AVERAGE(I1803:I1810)</f>
        <v>0.375</v>
      </c>
      <c r="J1802" s="236" t="str">
        <f>IF(ISNUMBER(SEARCH("Rocha", _xlfn.XLOOKUP(B1802,'Relacion '!$E:$E,'Relacion '!$I:$I,""))), "Sí", "No")</f>
        <v>No</v>
      </c>
      <c r="K1802" s="236" t="str">
        <f>IF(ISNUMBER(SEARCH("Rocha", _xlfn.XLOOKUP(B1802,'Relacion '!$E:$E,'Relacion '!$I:$I,""))), "RMC", _xlfn.XLOOKUP(B1802,'Relacion '!$E:$E,'Relacion '!$B:$B,""))</f>
        <v>Tesorería </v>
      </c>
      <c r="L1802" s="236" t="str">
        <f>_xlfn.XLOOKUP(B1802,'Relacion '!$E:$E,'Relacion '!$C:$C,"")</f>
        <v>Eduardo Cabral</v>
      </c>
    </row>
    <row r="1803" spans="2:12" outlineLevel="1">
      <c r="B1803" s="237" t="s">
        <v>654</v>
      </c>
      <c r="C1803" s="237" t="s">
        <v>654</v>
      </c>
      <c r="D1803" s="238" t="str">
        <f>_xlfn.XLOOKUP(B1803,'Relacion '!$E:$E,'Relacion '!$D:$D,"")</f>
        <v/>
      </c>
      <c r="E1803" s="239">
        <f t="shared" si="426"/>
        <v>59</v>
      </c>
      <c r="F1803" s="240" cm="1">
        <f t="array" ref="F1803">MIN(INDEX('Relacion '!$X$5:$Y$493,MATCH(INDEX($B:$B, (ROW()-1)),'Relacion '!$E$5:$E$493,0),0))</f>
        <v>46024</v>
      </c>
      <c r="G1803" s="240" cm="1">
        <f t="array" ref="G1803">MAX(INDEX('Relacion '!$X$5:$Y$493,MATCH(INDEX($B:$B, (ROW()-1)),'Relacion '!$E$5:$E$493,0),0))</f>
        <v>46083</v>
      </c>
      <c r="H1803" s="241" cm="1">
        <f t="array" ref="H1803">IF(
 MATCH(B1803,{"01. ASIGNACION AREA";"02. MAPEO";"03. DESARROLLO";"04. VALIDA US";"05. VOBO US";"06. BW-EJECUCION";"07. VALIDACIÓN BAJAWARE";"08. CERRADA"},0)
 &lt;
 MATCH(_xlfn.XLOOKUP(INDEX($B:$B, (ROW()-1)),'Relacion '!$E:$E,'Relacion '!$D:$D,""),{"01. ASIGNACION AREA";"02. MAPEO";"03. DESARROLLO";"04. VALIDA US";"05. VOBO US";"06. BW-EJECUCION";"07. VALIDACIÓN BAJAWARE";"08. CERRADA"},0),
 1,
 IF(
  MATCH(B1803,{"01. ASIGNACION AREA";"02. MAPEO";"03. DESARROLLO";"04. VALIDA US";"05. VOBO US";"06. BW-EJECUCION";"07. VALIDACIÓN BAJAWARE";"08. CERRADA"},0)
  =
  MATCH(_xlfn.XLOOKUP(INDEX($B:$B, (ROW()-1)),'Relacion '!$E:$E,'Relacion '!$D:$D,""),{"01. ASIGNACION AREA";"02. MAPEO";"03. DESARROLLO";"04. VALIDA US";"05. VOBO US";"06. BW-EJECUCION";"07. VALIDACIÓN BAJAWARE";"08. CERRADA"},0),
  _xlfn.XLOOKUP(INDEX($B:$B, (ROW()-1)),'Relacion '!$E:$E,'Relacion '!#REF!,0),
  0
 )
)</f>
        <v>1</v>
      </c>
      <c r="I1803" s="241">
        <f t="shared" ref="I1803" ca="1" si="429">IF(G1803&lt;=TODAY(), 1, 0)</f>
        <v>1</v>
      </c>
      <c r="J1803" s="241"/>
      <c r="K1803" s="241"/>
      <c r="L1803" s="238"/>
    </row>
    <row r="1804" spans="2:12" outlineLevel="1">
      <c r="B1804" s="237" t="s">
        <v>195</v>
      </c>
      <c r="C1804" s="237" t="s">
        <v>195</v>
      </c>
      <c r="D1804" s="238" t="str">
        <f>_xlfn.XLOOKUP(B1804,'Relacion '!$E:$E,'Relacion '!$D:$D,"")</f>
        <v/>
      </c>
      <c r="E1804" s="239">
        <f t="shared" si="426"/>
        <v>80</v>
      </c>
      <c r="F1804" s="240" cm="1">
        <f t="array" ref="F1804">MIN(INDEX('Relacion '!$Z$5:$AA$493,MATCH(INDEX($B:$B, (ROW()-2)),'Relacion '!$E$5:$E$493,0),0))</f>
        <v>46056</v>
      </c>
      <c r="G1804" s="240" cm="1">
        <f t="array" ref="G1804">MAX(INDEX('Relacion '!$Z$5:$AA$493,MATCH(INDEX($B:$B, (ROW()-2)),'Relacion '!$E$5:$E$493,0),0))</f>
        <v>46136</v>
      </c>
      <c r="H1804" s="241" t="e" cm="1">
        <f t="array" ref="H1804">IF(
 MATCH(B1804,{"01. ASIGNACION AREA";"02. MAPEO";"03. DESARROLLO";"04. VALIDA US";"05. VOBO US";"06. BW-EJECUCION";"07. VALIDACIÓN BAJAWARE";"08. CERRADA"},0)
 &lt;
 MATCH(_xlfn.XLOOKUP(INDEX($B:$B, (ROW()-2)),'Relacion '!$E:$E,'Relacion '!$D:$D,""),{"01. ASIGNACION AREA";"02. MAPEO";"03. DESARROLLO";"04. VALIDA US";"05. VOBO US";"06. BW-EJECUCION";"07. VALIDACIÓN BAJAWARE";"08. CERRADA"},0),
 1,
 IF(
  MATCH(B1804,{"01. ASIGNACION AREA";"02. MAPEO";"03. DESARROLLO";"04. VALIDA US";"05. VOBO US";"06. BW-EJECUCION";"07. VALIDACIÓN BAJAWARE";"08. CERRADA"},0)
  =
  MATCH(_xlfn.XLOOKUP(INDEX($B:$B, (ROW()-2)),'Relacion '!$E:$E,'Relacion '!$D:$D,""),{"01. ASIGNACION AREA";"02. MAPEO";"03. DESARROLLO";"04. VALIDA US";"05. VOBO US";"06. BW-EJECUCION";"07. VALIDACIÓN BAJAWARE";"08. CERRADA"},0),
  _xlfn.XLOOKUP(INDEX($B:$B, (ROW()-2)),'Relacion '!$E:$E,'Relacion '!#REF!,0),
  0
 )
)</f>
        <v>#REF!</v>
      </c>
      <c r="I1804" s="241">
        <f t="shared" ca="1" si="422"/>
        <v>1</v>
      </c>
      <c r="J1804" s="241"/>
      <c r="K1804" s="241"/>
      <c r="L1804" s="238"/>
    </row>
    <row r="1805" spans="2:12" outlineLevel="1">
      <c r="B1805" s="237" t="s">
        <v>49</v>
      </c>
      <c r="C1805" s="237" t="s">
        <v>49</v>
      </c>
      <c r="D1805" s="238" t="str">
        <f>_xlfn.XLOOKUP(B1805,'Relacion '!$E:$E,'Relacion '!$D:$D,"")</f>
        <v/>
      </c>
      <c r="E1805" s="239">
        <f t="shared" si="426"/>
        <v>18</v>
      </c>
      <c r="F1805" s="240" cm="1">
        <f t="array" ref="F1805">MIN(INDEX('Relacion '!$AB$5:$AC$493,MATCH(INDEX($B:$B, (ROW()-3)),'Relacion '!$E$5:$E$493,0),0))</f>
        <v>46139</v>
      </c>
      <c r="G1805" s="240" cm="1">
        <f t="array" ref="G1805">MAX(INDEX('Relacion '!$AB$5:$AC$493,MATCH(INDEX($B:$B, (ROW()-3)),'Relacion '!$E$5:$E$493,0),0))</f>
        <v>46157</v>
      </c>
      <c r="H1805" s="241" cm="1">
        <f t="array" ref="H1805">IF(
 MATCH(B1805,{"01. ASIGNACION AREA";"02. MAPEO";"03. DESARROLLO";"04. VALIDA US";"05. VOBO US";"06. BW-EJECUCION";"07. VALIDACIÓN BAJAWARE";"08. CERRADA"},0)
 &lt;
 MATCH(_xlfn.XLOOKUP(INDEX($B:$B, (ROW()-3)),'Relacion '!$E:$E,'Relacion '!$D:$D,""),{"01. ASIGNACION AREA";"02. MAPEO";"03. DESARROLLO";"04. VALIDA US";"05. VOBO US";"06. BW-EJECUCION";"07. VALIDACIÓN BAJAWARE";"08. CERRADA"},0),
 1,
 IF(
  MATCH(B1805,{"01. ASIGNACION AREA";"02. MAPEO";"03. DESARROLLO";"04. VALIDA US";"05. VOBO US";"06. BW-EJECUCION";"07. VALIDACIÓN BAJAWARE";"08. CERRADA"},0)
  =
  MATCH(_xlfn.XLOOKUP(INDEX($B:$B, (ROW()-3)),'Relacion '!$E:$E,'Relacion '!$D:$D,""),{"01. ASIGNACION AREA";"02. MAPEO";"03. DESARROLLO";"04. VALIDA US";"05. VOBO US";"06. BW-EJECUCION";"07. VALIDACIÓN BAJAWARE";"08. CERRADA"},0),
  _xlfn.XLOOKUP(INDEX($B:$B, (ROW()-3)),'Relacion '!$E:$E,'Relacion '!#REF!,0),
  0
 )
)</f>
        <v>0</v>
      </c>
      <c r="I1805" s="241">
        <f t="shared" ca="1" si="422"/>
        <v>1</v>
      </c>
      <c r="J1805" s="241"/>
      <c r="K1805" s="241"/>
      <c r="L1805" s="238"/>
    </row>
    <row r="1806" spans="2:12" outlineLevel="1">
      <c r="B1806" s="237" t="s">
        <v>324</v>
      </c>
      <c r="C1806" s="237" t="s">
        <v>324</v>
      </c>
      <c r="D1806" s="238" t="str">
        <f>_xlfn.XLOOKUP(B1806,'Relacion '!$E:$E,'Relacion '!$D:$D,"")</f>
        <v/>
      </c>
      <c r="E1806" s="239">
        <f t="shared" si="426"/>
        <v>11</v>
      </c>
      <c r="F1806" s="240" cm="1">
        <f t="array" ref="F1806">MIN(INDEX('Relacion '!$AD$5:$AE$493,MATCH(INDEX($B:$B, (ROW()-4)),'Relacion '!$E$5:$E$493,0),0))</f>
        <v>46160</v>
      </c>
      <c r="G1806" s="240" cm="1">
        <f t="array" ref="G1806">MAX(INDEX('Relacion '!$AD$5:$AE$493,MATCH(INDEX($B:$B, (ROW()-4)),'Relacion '!$E$5:$E$493,0),0))</f>
        <v>46171</v>
      </c>
      <c r="H1806" s="241" cm="1">
        <f t="array" ref="H1806">IF(
 MATCH(B1806,{"01. ASIGNACION AREA";"02. MAPEO";"03. DESARROLLO";"04. VALIDA US";"05. VOBO US";"06. BW-EJECUCION";"07. VALIDACIÓN BAJAWARE";"08. CERRADA"},0)
 &lt;
 MATCH(_xlfn.XLOOKUP(INDEX($B:$B, (ROW()-4)),'Relacion '!$E:$E,'Relacion '!$D:$D,""),{"01. ASIGNACION AREA";"02. MAPEO";"03. DESARROLLO";"04. VALIDA US";"05. VOBO US";"06. BW-EJECUCION";"07. VALIDACIÓN BAJAWARE";"08. CERRADA"},0),
 1,
 IF(
  MATCH(B1806,{"01. ASIGNACION AREA";"02. MAPEO";"03. DESARROLLO";"04. VALIDA US";"05. VOBO US";"06. BW-EJECUCION";"07. VALIDACIÓN BAJAWARE";"08. CERRADA"},0)
  =
  MATCH(_xlfn.XLOOKUP(INDEX($B:$B, (ROW()-4)),'Relacion '!$E:$E,'Relacion '!$D:$D,""),{"01. ASIGNACION AREA";"02. MAPEO";"03. DESARROLLO";"04. VALIDA US";"05. VOBO US";"06. BW-EJECUCION";"07. VALIDACIÓN BAJAWARE";"08. CERRADA"},0),
  _xlfn.XLOOKUP(INDEX($B:$B, (ROW()-4)),'Relacion '!$E:$E,'Relacion '!#REF!,0),
  0
 )
)</f>
        <v>0</v>
      </c>
      <c r="I1806" s="241">
        <f t="shared" ca="1" si="422"/>
        <v>0</v>
      </c>
      <c r="J1806" s="241"/>
      <c r="K1806" s="241"/>
      <c r="L1806" s="238"/>
    </row>
    <row r="1807" spans="2:12" outlineLevel="1">
      <c r="B1807" s="237" t="s">
        <v>320</v>
      </c>
      <c r="C1807" s="237" t="s">
        <v>320</v>
      </c>
      <c r="D1807" s="238" t="str">
        <f>_xlfn.XLOOKUP(B1807,'Relacion '!$E:$E,'Relacion '!$D:$D,"")</f>
        <v/>
      </c>
      <c r="E1807" s="239">
        <f t="shared" si="426"/>
        <v>3</v>
      </c>
      <c r="F1807" s="240" cm="1">
        <f t="array" ref="F1807">MIN(INDEX('Relacion '!$AF$5:$AG$493,MATCH(INDEX($B:$B, (ROW()-5)),'Relacion '!$E$5:$E$493,0),0))</f>
        <v>46171</v>
      </c>
      <c r="G1807" s="240" cm="1">
        <f t="array" ref="G1807">MAX(INDEX('Relacion '!$AF$5:$AG$493,MATCH(INDEX($B:$B, (ROW()-5)),'Relacion '!$E$5:$E$493,0),0))</f>
        <v>46174</v>
      </c>
      <c r="H1807" s="241" cm="1">
        <f t="array" ref="H1807">IF(
 MATCH(B1807,{"01. ASIGNACION AREA";"02. MAPEO";"03. DESARROLLO";"04. VALIDA US";"05. VOBO US";"06. BW-EJECUCION";"07. VALIDACIÓN BAJAWARE";"08. CERRADA"},0)
 &lt;
 MATCH(_xlfn.XLOOKUP(INDEX($B:$B, (ROW()-5)),'Relacion '!$E:$E,'Relacion '!$D:$D,""),{"01. ASIGNACION AREA";"02. MAPEO";"03. DESARROLLO";"04. VALIDA US";"05. VOBO US";"06. BW-EJECUCION";"07. VALIDACIÓN BAJAWARE";"08. CERRADA"},0),
 1,
 IF(
  MATCH(B1807,{"01. ASIGNACION AREA";"02. MAPEO";"03. DESARROLLO";"04. VALIDA US";"05. VOBO US";"06. BW-EJECUCION";"07. VALIDACIÓN BAJAWARE";"08. CERRADA"},0)
  =
  MATCH(_xlfn.XLOOKUP(INDEX($B:$B, (ROW()-5)),'Relacion '!$E:$E,'Relacion '!$D:$D,""),{"01. ASIGNACION AREA";"02. MAPEO";"03. DESARROLLO";"04. VALIDA US";"05. VOBO US";"06. BW-EJECUCION";"07. VALIDACIÓN BAJAWARE";"08. CERRADA"},0),
  _xlfn.XLOOKUP(INDEX($B:$B, (ROW()-5)),'Relacion '!$E:$E,'Relacion '!#REF!,0),
  0
 )
)</f>
        <v>0</v>
      </c>
      <c r="I1807" s="241">
        <f t="shared" ca="1" si="422"/>
        <v>0</v>
      </c>
      <c r="J1807" s="241"/>
      <c r="K1807" s="241"/>
      <c r="L1807" s="238"/>
    </row>
    <row r="1808" spans="2:12" outlineLevel="1">
      <c r="B1808" s="237" t="s">
        <v>710</v>
      </c>
      <c r="C1808" s="237" t="s">
        <v>710</v>
      </c>
      <c r="D1808" s="238" t="str">
        <f>_xlfn.XLOOKUP(B1808,'Relacion '!$E:$E,'Relacion '!$D:$D,"")</f>
        <v/>
      </c>
      <c r="E1808" s="239">
        <f t="shared" si="426"/>
        <v>2</v>
      </c>
      <c r="F1808" s="240" cm="1">
        <f t="array" ref="F1808">MIN(INDEX('Relacion '!$AH$5:$AI$493,MATCH(INDEX($B:$B, (ROW()-6)),'Relacion '!$E$5:$E$493,0),0))</f>
        <v>46175</v>
      </c>
      <c r="G1808" s="240" cm="1">
        <f t="array" ref="G1808">MAX(INDEX('Relacion '!$AH$5:$AI$493,MATCH(INDEX($B:$B, (ROW()-6)),'Relacion '!$E$5:$E$493,0),0))</f>
        <v>46177</v>
      </c>
      <c r="H1808" s="241" cm="1">
        <f t="array" ref="H1808">IF(
 MATCH(B1808,{"01. ASIGNACION AREA";"02. MAPEO";"03. DESARROLLO";"04. VALIDA US";"05. VOBO US";"06. BW-EJECUCION";"07. VALIDACIÓN BAJAWARE";"08. CERRADA"},0)
 &lt;
 MATCH(_xlfn.XLOOKUP(INDEX($B:$B, (ROW()-6)),'Relacion '!$E:$E,'Relacion '!$D:$D,""),{"01. ASIGNACION AREA";"02. MAPEO";"03. DESARROLLO";"04. VALIDA US";"05. VOBO US";"06. BW-EJECUCION";"07. VALIDACIÓN BAJAWARE";"08. CERRADA"},0),
 1,
 IF(
  MATCH(B1808,{"01. ASIGNACION AREA";"02. MAPEO";"03. DESARROLLO";"04. VALIDA US";"05. VOBO US";"06. BW-EJECUCION";"07. VALIDACIÓN BAJAWARE";"08. CERRADA"},0)
  =
  MATCH(_xlfn.XLOOKUP(INDEX($B:$B, (ROW()-6)),'Relacion '!$E:$E,'Relacion '!$D:$D,""),{"01. ASIGNACION AREA";"02. MAPEO";"03. DESARROLLO";"04. VALIDA US";"05. VOBO US";"06. BW-EJECUCION";"07. VALIDACIÓN BAJAWARE";"08. CERRADA"},0),
  _xlfn.XLOOKUP(INDEX($B:$B, (ROW()-6)),'Relacion '!$E:$E,'Relacion '!#REF!,0),
  0
 )
)</f>
        <v>0</v>
      </c>
      <c r="I1808" s="241">
        <f t="shared" ca="1" si="422"/>
        <v>0</v>
      </c>
      <c r="J1808" s="241"/>
      <c r="K1808" s="241"/>
      <c r="L1808" s="238"/>
    </row>
    <row r="1809" spans="2:12" outlineLevel="1">
      <c r="B1809" s="237" t="s">
        <v>655</v>
      </c>
      <c r="C1809" s="237" t="s">
        <v>655</v>
      </c>
      <c r="D1809" s="238" t="str">
        <f>_xlfn.XLOOKUP(B1809,'Relacion '!$E:$E,'Relacion '!$D:$D,"")</f>
        <v/>
      </c>
      <c r="E1809" s="239">
        <f t="shared" si="426"/>
        <v>14</v>
      </c>
      <c r="F1809" s="240" cm="1">
        <f t="array" ref="F1809">MIN(INDEX('Relacion '!$AJ$5:$AK$493,MATCH(INDEX($B:$B, (ROW()-7)),'Relacion '!$E$5:$E$493,0),0))</f>
        <v>46178</v>
      </c>
      <c r="G1809" s="240" cm="1">
        <f t="array" ref="G1809">MAX(INDEX('Relacion '!$AJ$5:$AK$493,MATCH(INDEX($B:$B, (ROW()-7)),'Relacion '!$E$5:$E$493,0),0))</f>
        <v>46192</v>
      </c>
      <c r="H1809" s="241" cm="1">
        <f t="array" ref="H1809">IF(
 MATCH(B1809,{"01. ASIGNACION AREA";"02. MAPEO";"03. DESARROLLO";"04. VALIDA US";"05. VOBO US";"06. BW-EJECUCION";"07. VALIDACIÓN BAJAWARE";"08. CERRADA"},0)
 &lt;
 MATCH(_xlfn.XLOOKUP(INDEX($B:$B, (ROW()-7)),'Relacion '!$E:$E,'Relacion '!$D:$D,""),{"01. ASIGNACION AREA";"02. MAPEO";"03. DESARROLLO";"04. VALIDA US";"05. VOBO US";"06. BW-EJECUCION";"07. VALIDACIÓN BAJAWARE";"08. CERRADA"},0),
 1,
 IF(
  MATCH(B1809,{"01. ASIGNACION AREA";"02. MAPEO";"03. DESARROLLO";"04. VALIDA US";"05. VOBO US";"06. BW-EJECUCION";"07. VALIDACIÓN BAJAWARE";"08. CERRADA"},0)
  =
  MATCH(_xlfn.XLOOKUP(INDEX($B:$B, (ROW()-7)),'Relacion '!$E:$E,'Relacion '!$D:$D,""),{"01. ASIGNACION AREA";"02. MAPEO";"03. DESARROLLO";"04. VALIDA US";"05. VOBO US";"06. BW-EJECUCION";"07. VALIDACIÓN BAJAWARE";"08. CERRADA"},0),
  _xlfn.XLOOKUP(INDEX($B:$B, (ROW()-7)),'Relacion '!$E:$E,'Relacion '!#REF!,0),
  0
 )
)</f>
        <v>0</v>
      </c>
      <c r="I1809" s="241">
        <f t="shared" ca="1" si="422"/>
        <v>0</v>
      </c>
      <c r="J1809" s="241"/>
      <c r="K1809" s="241"/>
      <c r="L1809" s="238"/>
    </row>
    <row r="1810" spans="2:12" outlineLevel="1">
      <c r="B1810" s="237" t="s">
        <v>656</v>
      </c>
      <c r="C1810" s="237" t="s">
        <v>656</v>
      </c>
      <c r="D1810" s="238" t="str">
        <f>_xlfn.XLOOKUP(B1810,'Relacion '!$E:$E,'Relacion '!$D:$D,"")</f>
        <v/>
      </c>
      <c r="E1810" s="239">
        <f t="shared" si="426"/>
        <v>1</v>
      </c>
      <c r="F1810" s="240" cm="1">
        <f t="array" ref="F1810">MIN(INDEX('Relacion '!$AL$5:$AM$493,MATCH(INDEX($B:$B, (ROW()-8)),'Relacion '!$E$5:$E$493,0),0))</f>
        <v>46195</v>
      </c>
      <c r="G1810" s="240" cm="1">
        <f t="array" ref="G1810">MAX(INDEX('Relacion '!$AL$5:$AM$493,MATCH(INDEX($B:$B, (ROW()-8)),'Relacion '!$E$5:$E$493,0),0))</f>
        <v>46196</v>
      </c>
      <c r="H1810" s="241" cm="1">
        <f t="array" ref="H1810">IF(
 MATCH(B1810,{"01. ASIGNACION AREA";"02. MAPEO";"03. DESARROLLO";"04. VALIDA US";"05. VOBO US";"06. BW-EJECUCION";"07. VALIDACIÓN BAJAWARE";"08. CERRADA"},0)
 &lt;
 MATCH(_xlfn.XLOOKUP(INDEX($B:$B, (ROW()-8)),'Relacion '!$E:$E,'Relacion '!$D:$D,""),{"01. ASIGNACION AREA";"02. MAPEO";"03. DESARROLLO";"04. VALIDA US";"05. VOBO US";"06. BW-EJECUCION";"07. VALIDACIÓN BAJAWARE";"08. CERRADA"},0),
 1,
 IF(
  MATCH(B1810,{"01. ASIGNACION AREA";"02. MAPEO";"03. DESARROLLO";"04. VALIDA US";"05. VOBO US";"06. BW-EJECUCION";"07. VALIDACIÓN BAJAWARE";"08. CERRADA"},0)
  =
  MATCH(_xlfn.XLOOKUP(INDEX($B:$B, (ROW()-8)),'Relacion '!$E:$E,'Relacion '!$D:$D,""),{"01. ASIGNACION AREA";"02. MAPEO";"03. DESARROLLO";"04. VALIDA US";"05. VOBO US";"06. BW-EJECUCION";"07. VALIDACIÓN BAJAWARE";"08. CERRADA"},0),
  _xlfn.XLOOKUP(INDEX($B:$B, (ROW()-8)),'Relacion '!$E:$E,'Relacion '!#REF!,0),
  0
 )
)</f>
        <v>0</v>
      </c>
      <c r="I1810" s="241">
        <f t="shared" ca="1" si="422"/>
        <v>0</v>
      </c>
      <c r="J1810" s="241"/>
      <c r="K1810" s="241"/>
      <c r="L1810" s="238"/>
    </row>
    <row r="1811" spans="2:12"/>
    <row r="1813" spans="2:12" ht="15" customHeight="1">
      <c r="H1813" s="220" t="e">
        <f>SUBTOTAL(1, H2:H1811)</f>
        <v>#N/A</v>
      </c>
      <c r="I1813" s="220">
        <f ca="1">SUBTOTAL(1, I2:I1811)</f>
        <v>0.86567164179104472</v>
      </c>
      <c r="J1813" s="220"/>
      <c r="K1813" s="220"/>
    </row>
  </sheetData>
  <autoFilter ref="B1:L1802" xr:uid="{082DDE0F-2A7E-46A9-970F-24755F69093B}">
    <filterColumn colId="0">
      <filters>
        <filter val="ACLARACIONESCNR"/>
        <filter val="ACLARACIONESCR"/>
        <filter val="ACM II_ADIC"/>
        <filter val="ACM II-Mapeo"/>
        <filter val="ALTA Y SEGUIMIENTO ROP"/>
        <filter val="ANEXO 18"/>
        <filter val="ANEXO 19"/>
        <filter val="ANEXO 20"/>
        <filter val="ANEXO 21"/>
        <filter val="ANEXO 22"/>
        <filter val="BALANZA"/>
        <filter val="Base Operativa CNR"/>
        <filter val="Base Operativa Hipo -- Crédito de Liquidez"/>
        <filter val="Base Operativa Hipo -- Terrenos"/>
        <filter val="Base Operativa Hipo -- Vivienda V1"/>
        <filter val="BIENES ADJUDICADOS"/>
        <filter val="CANASTA_REPORTOS"/>
        <filter val="CARGA INICIAL IN-MIN"/>
        <filter val="CARGA INICIAL PI-MIN"/>
        <filter val="CARTERA_2BIS17"/>
        <filter val="CARTERA_RC_ADIC"/>
        <filter val="CAT Hipo -- Crédito de Liquidez"/>
        <filter val="CAT Hipo -- Terrenos"/>
        <filter val="CAT Hipo -- Vivienda V1"/>
        <filter val="CAT PERSONAL"/>
        <filter val="CATALOGO MINIMO"/>
        <filter val="CE_ENG"/>
        <filter val="CF_ESP"/>
        <filter val="CIP"/>
        <filter val="CLIENTES_POR_PRODUCTO"/>
        <filter val="COMISIONES Hipo -- Crédito de Liquidez"/>
        <filter val="COMISIONES Hipo -- Terrenos"/>
        <filter val="COMISIONES Hipo -- Vivienda V1"/>
        <filter val="COMISIONES NOMINA Y PERS"/>
        <filter val="CONCILIACIONES"/>
        <filter val="CONSOLIDACION"/>
        <filter val="CONSUMO"/>
        <filter val="COREM"/>
        <filter val="CORRESPONSALES NOMINA Y PERS"/>
        <filter val="CREDITO"/>
        <filter val="CREDITO_GARANTIA"/>
        <filter val="CREDITO_GARANTIA_PERSONAL"/>
        <filter val="DIN PERSONAL"/>
        <filter val="Elegibilidad CNR"/>
        <filter val="Elegibilidad Deposito"/>
        <filter val="Elegibilidad Hipo -- Crédito de Liquidez"/>
        <filter val="Elegibilidad Hipo -- Terrenos"/>
        <filter val="Elegibilidad Hipo -- Vivienda V1"/>
        <filter val="ELIMINACIONES"/>
        <filter val="ENT_CAJA_CAPTACION"/>
        <filter val="ENT_CUOTAS_IPAB_DEF"/>
        <filter val="EST Empresarial -- Crédito de Liquidez"/>
        <filter val="EST Empresarial -- Crédito Puente"/>
        <filter val="EST Empresarial -- Credito Simple"/>
        <filter val="EST Empresarial -- Empr. Revolvente"/>
        <filter val="EST Empresarial -- Oficinas y locales"/>
        <filter val="EST Empresarial -- PYME Inmuebles"/>
        <filter val="EST Empresarial -- Pyme Liquidez"/>
        <filter val="EST Hipo -- Crédito de Liquidez"/>
        <filter val="EST Hipo -- Terrenos"/>
        <filter val="EST Hipo -- Vivienda V1"/>
        <filter val="Est Prod Deposito"/>
        <filter val="EST Registro General de Product -- Crédito de Liquidez"/>
        <filter val="EST Registro General de Product -- Terrenos"/>
        <filter val="EST Registro General de Product -- Vivienda V1"/>
        <filter val="EVENTOS ROP"/>
        <filter val="FILE_ACLME"/>
        <filter val="FILE_ACLME_AJUSTES_DDMMAA"/>
        <filter val="FILE_ACLME_CONCEPTOSFIJOS_DDMMAA"/>
        <filter val="FILE_ACLME_OPE_VIG"/>
        <filter val="FILE_CAPTACION"/>
        <filter val="FILE_CARTERA"/>
        <filter val="FILE_CARTERA_LINEA"/>
        <filter val="FILE_CFEN"/>
        <filter val="FILE_CONTRAPARTES"/>
        <filter val="FILE_CVT_TRP"/>
        <filter val="FILE_FUT_CONVAL"/>
        <filter val="FILE_GARANTIAS_I"/>
        <filter val="FILE_GARANTIAS_II"/>
        <filter val="FILE_GARANTIAS_III"/>
        <filter val="FILE_GARANTIAS_IV"/>
        <filter val="FILE_ML"/>
        <filter val="FILE_OCIM_I"/>
        <filter val="FILE_OCIM_II"/>
        <filter val="FILE_OFF_CONVAL"/>
        <filter val="FILE_OFF_FX_DDMMAA"/>
        <filter val="FILE_OPTO_CONVO"/>
        <filter val="FILE_OPTO_I"/>
        <filter val="FILE_OPTO_II"/>
        <filter val="FILE_OPTO_II_COM"/>
        <filter val="FILE_OPTO_III"/>
        <filter val="FILE_OPTO_IX"/>
        <filter val="FILE_OPTO_IX_COM"/>
        <filter val="FILE_OPTO_MEREC_CONVO"/>
        <filter val="FILE_OPTO_VIII_CONVO"/>
        <filter val="FILE_OPTO_X"/>
        <filter val="FILE_PAC_I"/>
        <filter val="FILE_R01_PAGOS_ANT"/>
        <filter val="FILE_RC_CTACOB_INSUMO"/>
        <filter val="FILE_RC06A_DERIVADOS_TEMP"/>
        <filter val="FILE_RC08_INT_ACC"/>
        <filter val="FILE_RC19_INSUMO"/>
        <filter val="FILE_SISPAGOS"/>
        <filter val="FILE_TENENCIA_PRECIO"/>
        <filter val="FILE_TIPOCAMBIO_DIARIO"/>
        <filter val="FILE_TITULOS_DEUDA"/>
        <filter val="FLUJOS Y VARIACIONES"/>
        <filter val="FT_ACLME_X"/>
        <filter val="FT_CVT"/>
        <filter val="FT_CVT_IN"/>
        <filter val="FT_CVT_TR"/>
        <filter val="FT_PAC_II"/>
        <filter val="FT_R2911"/>
        <filter val="FT_REPORTOS"/>
        <filter val="FT_REPORTOS_CDA"/>
        <filter val="FT_TENENCIA"/>
        <filter val="FT_TPA"/>
        <filter val="GAMMA_VEGA"/>
        <filter val="GARANTIA"/>
        <filter val="GARANTIA_CONSUMO"/>
        <filter val="HIPOTECARIO"/>
        <filter val="IMPUESTOS"/>
        <filter val="INFIMP"/>
        <filter val="INTEGRACION ACCIONARIA"/>
        <filter val="INVERSIONES PERMANENTES"/>
        <filter val="LAYOUT LID CORRESPONSALES"/>
        <filter val="LAYOUT LID LIQUIDACIONES"/>
        <filter val="LAYOUT Seccion 1 LDID"/>
        <filter val="LAYOUT Seccion 5 Lineas de Cre"/>
        <filter val="LAYOUT Seccion A Cat Lineas"/>
        <filter val="LAYOUT XVS"/>
        <filter val="LINEA CREDITO"/>
        <filter val="MDEF_BOVEDAS EXTERNAS"/>
        <filter val="MDEF_BOVEDAS PROPIAS"/>
        <filter val="MDEF_CAJEROS EXTERNOS"/>
        <filter val="MDEF_CAJEROS PROPIOS"/>
        <filter val="MDEF_SUC Y CAJAS GRALES"/>
        <filter val="MERCANCIAS_RC"/>
        <filter val="MODIF_TASAPREMIO"/>
        <filter val="Moratoria CNR"/>
        <filter val="MORATORIA Hipo -- Crédito de Liquidez"/>
        <filter val="MORATORIA Hipo -- Terrenos"/>
        <filter val="MORATORIA Hipo -- Vivienda V1"/>
        <filter val="OPERACIONES DE CLIENTES BE"/>
        <filter val="OperacionesOEMN"/>
        <filter val="PAGOS_EXIGIBLES"/>
        <filter val="PENALIZACIONES Hipo -- Crédito de Liquidez"/>
        <filter val="PENALIZACIONES Hipo -- Terrenos"/>
        <filter val="PENALIZACIONES Hipo -- Vivienda V1"/>
        <filter val="PENALIZACIONES Hipo (2) -- Crédito de Liquidez"/>
        <filter val="PENALIZACIONES Hipo (2) -- Terrenos"/>
        <filter val="PENALIZACIONES Hipo (2) -- Vivienda V1"/>
        <filter val="PENALIZACIONES NOMINA Y PERS"/>
        <filter val="PERSONA"/>
        <filter val="PRESTAMO DE VALORES"/>
        <filter val="PRODUCTOS CAPTACION CNBV"/>
        <filter val="R03 E-0304 ASIGNACIONES BM"/>
        <filter val="R03 E-0305 ÓRDENES"/>
        <filter val="R04A_MOV_419"/>
        <filter val="R04A_MOV_420_24"/>
        <filter val="R04A_SALDOS"/>
        <filter val="R2431"/>
        <filter val="R2441_42"/>
        <filter val="R26_ADMINISTRADOR"/>
        <filter val="R26_COMISIONISTA"/>
        <filter val="R26_MODULO"/>
        <filter val="R26OPE"/>
        <filter val="R35_1"/>
        <filter val="R36_PAGOS_ANT_CARGOS_DIF"/>
        <filter val="RECLAMACIONES"/>
        <filter val="RECLAMACIONES BURSATILES BM"/>
        <filter val="RECLASIFICACIONES"/>
        <filter val="RECO"/>
        <filter val="Registro Gral Prd"/>
        <filter val="REL_CONSUMO_GARANTIA"/>
        <filter val="REPORTOS_MNME"/>
        <filter val="SECCION 1"/>
        <filter val="SECCION 2A"/>
        <filter val="SECCION 2B"/>
        <filter val="SECCION 2C"/>
        <filter val="SECCION 2D"/>
        <filter val="SECCION 2E"/>
        <filter val="SEGUROS Hipo -- Crédito de Liquidez"/>
        <filter val="SEGUROS Hipo -- Terrenos"/>
        <filter val="SEGUROS Hipo -- Vivienda V1"/>
        <filter val="SEGUROS NOMINA Y PERS"/>
        <filter val="SUCURSALES"/>
        <filter val="SWAP_CONVO"/>
        <filter val="SWAP_CUOTAS_INT"/>
        <filter val="SWAP_FLUJOS"/>
        <filter val="SWAP_I"/>
        <filter val="SWAP_IV"/>
        <filter val="SWAP_IV_COM"/>
        <filter val="SWAP_MEREC_CONVO"/>
        <filter val="SWAPS"/>
        <filter val="TADESCOM_ALTAS"/>
        <filter val="TADESCOM_BAJAS"/>
        <filter val="TITULARES GARANTIZADOS"/>
        <filter val="UBICACION DE PUNTOS DE TRANSACC"/>
        <filter val="USUARIOS NO CLIENTES BE"/>
        <filter val="VENC_ANT_REPORTOS"/>
      </filters>
    </filterColumn>
  </autoFilter>
  <conditionalFormatting sqref="B3:L10">
    <cfRule type="expression" dxfId="12" priority="21">
      <formula>$H3=1</formula>
    </cfRule>
  </conditionalFormatting>
  <conditionalFormatting sqref="B12:L19">
    <cfRule type="expression" dxfId="11" priority="10">
      <formula>$H12=1</formula>
    </cfRule>
  </conditionalFormatting>
  <conditionalFormatting sqref="B21:L28 B30:L37 B39:L46 B48:L55 B57:L64 B66:L73 B75:L82 B84:L91 B93:L100 B102:L109 B111:L118 B120:L127 B129:L136 B138:L145 B147:L154 B156:L163 B165:L172 B174:L181 B183:L190 B192:L199 B201:L208 B210:L217 B219:L226 B228:L235 B237:L244 B246:L253 B255:L262 B264:L271 B273:L280 B282:L289 B291:L298 B300:L307 B309:L316 B318:L325 B327:L334 B336:L343 B345:L352 B354:L361 B363:L370 B372:L379 B381:L388 B390:L397 B399:L406 B408:L415 B417:L424 B426:L433 B435:L442 B444:L451 B453:L460 B462:L469 B471:L478 B480:L487 B489:L496 B498:L505 B507:L514 B516:L523 B525:L532 B534:L541 B543:L550 B552:L559 B561:L568 B570:L577 B579:L586 B588:L595 B597:L604 B606:L613 B615:L622 B624:L631 B633:L640 B642:L649 B651:L658 B660:L667 B669:L676 B678:L685 B687:L694 B696:L703 B705:L712 B714:L721 B723:L730 B732:L739 B741:L748 B750:L757 B759:L766 B768:L775 B777:L784 B786:L793 B795:L802 B804:L811 B813:L820 B822:L829 B831:L838 B840:L847 B849:L856 B858:L865 B867:L874 B876:L883 B885:L892 B894:L901 B903:L910 B912:L919 B921:L928 B930:L937 B939:L946 B948:L955 B957:L964 B966:L973 B975:L982 B984:L991 B993:L1000 B1002:L1009 B1011:L1018 B1020:L1027 B1029:L1036 B1038:L1045 B1047:L1054 B1056:L1063 B1065:L1072 B1074:L1081 B1083:L1090 B1092:L1099 B1101:L1108 B1110:L1117 B1119:L1126 B1128:L1135 B1137:L1144 B1146:L1153 B1155:L1162 B1164:L1171 B1173:L1180 B1182:L1189 B1191:L1198 B1200:L1207 B1209:L1216 B1218:L1225 B1227:L1234 B1236:L1243 B1245:L1252 B1254:L1261 B1263:L1270 B1272:L1279 B1281:L1288 B1290:L1297 B1299:L1306 B1308:L1315 B1317:L1324 B1326:L1333 B1335:L1342 B1344:L1351 B1353:L1360 B1362:L1369 B1371:L1378 B1380:L1387 B1389:L1396 B1398:L1405 B1407:L1414 B1416:L1423 B1425:L1432 B1434:L1441 B1443:L1450 B1452:L1459 B1461:L1468 B1470:L1477 B1479:L1486 B1488:L1495 B1497:L1504 B1506:L1513 B1515:L1522 B1524:L1531 B1533:L1540 B1542:L1549 B1551:L1558 B1560:L1567 B1569:L1576 B1578:L1585 B1587:L1594 B1596:L1603 B1605:L1612 B1614:L1621 B1623:L1630 B1632:L1639 B1641:L1648 B1650:L1657 B1659:L1666 B1668:L1675 B1677:L1684 B1686:L1693 B1695:L1702 B1704:L1711 B1713:L1720 B1722:L1729 B1739:G1739 B1748:G1748 B1757:G1757 B1766:G1766 B1775:G1775 B1784:G1784 B1793:G1793 B1802:G1802">
    <cfRule type="expression" dxfId="10" priority="22">
      <formula>$H21=1</formula>
    </cfRule>
  </conditionalFormatting>
  <conditionalFormatting sqref="B1731:L1738">
    <cfRule type="expression" dxfId="9" priority="9">
      <formula>$H1731=1</formula>
    </cfRule>
  </conditionalFormatting>
  <conditionalFormatting sqref="B1740:L1747">
    <cfRule type="expression" dxfId="8" priority="8">
      <formula>$H1740=1</formula>
    </cfRule>
  </conditionalFormatting>
  <conditionalFormatting sqref="B1749:L1756">
    <cfRule type="expression" dxfId="7" priority="7">
      <formula>$H1749=1</formula>
    </cfRule>
  </conditionalFormatting>
  <conditionalFormatting sqref="B1758:L1765">
    <cfRule type="expression" dxfId="6" priority="6">
      <formula>$H1758=1</formula>
    </cfRule>
  </conditionalFormatting>
  <conditionalFormatting sqref="B1767:L1774">
    <cfRule type="expression" dxfId="5" priority="5">
      <formula>$H1767=1</formula>
    </cfRule>
  </conditionalFormatting>
  <conditionalFormatting sqref="B1776:L1783">
    <cfRule type="expression" dxfId="4" priority="4">
      <formula>$H1776=1</formula>
    </cfRule>
  </conditionalFormatting>
  <conditionalFormatting sqref="B1785:L1792">
    <cfRule type="expression" dxfId="3" priority="3">
      <formula>$H1785=1</formula>
    </cfRule>
  </conditionalFormatting>
  <conditionalFormatting sqref="B1794:L1801">
    <cfRule type="expression" dxfId="2" priority="2">
      <formula>$H1794=1</formula>
    </cfRule>
  </conditionalFormatting>
  <conditionalFormatting sqref="B1803:L1810">
    <cfRule type="expression" dxfId="1" priority="1">
      <formula>$H1803=1</formula>
    </cfRule>
  </conditionalFormatting>
  <pageMargins left="0.75" right="0.75" top="1" bottom="1" header="0.5" footer="0.5"/>
  <pageSetup orientation="portrait" horizontalDpi="4294967293"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D9F275-AEC0-4A84-B0BB-1626B5F6B8AE}">
  <dimension ref="B1:O203"/>
  <sheetViews>
    <sheetView workbookViewId="0">
      <selection activeCell="R1" sqref="R1"/>
    </sheetView>
  </sheetViews>
  <sheetFormatPr defaultColWidth="8.7109375" defaultRowHeight="15"/>
  <cols>
    <col min="2" max="2" width="50.140625" bestFit="1" customWidth="1"/>
    <col min="3" max="3" width="81" bestFit="1" customWidth="1"/>
    <col min="4" max="4" width="26.28515625" bestFit="1" customWidth="1"/>
    <col min="6" max="7" width="11.140625" bestFit="1" customWidth="1"/>
    <col min="8" max="8" width="14.140625" bestFit="1" customWidth="1"/>
    <col min="9" max="9" width="18.7109375" bestFit="1" customWidth="1"/>
    <col min="10" max="10" width="5.28515625" bestFit="1" customWidth="1"/>
    <col min="11" max="11" width="30.7109375" bestFit="1" customWidth="1"/>
    <col min="12" max="12" width="16.140625" bestFit="1" customWidth="1"/>
    <col min="14" max="14" width="29.5703125" bestFit="1" customWidth="1"/>
    <col min="15" max="15" width="14.7109375" bestFit="1" customWidth="1"/>
    <col min="16" max="16" width="12.5703125" bestFit="1" customWidth="1"/>
    <col min="17" max="17" width="13" bestFit="1" customWidth="1"/>
    <col min="18" max="18" width="22.42578125" bestFit="1" customWidth="1"/>
    <col min="19" max="19" width="30.7109375" bestFit="1" customWidth="1"/>
    <col min="20" max="20" width="19.7109375" bestFit="1" customWidth="1"/>
    <col min="21" max="21" width="9.28515625" bestFit="1" customWidth="1"/>
    <col min="22" max="22" width="8" bestFit="1" customWidth="1"/>
    <col min="23" max="23" width="18" bestFit="1" customWidth="1"/>
    <col min="24" max="24" width="5.28515625" bestFit="1" customWidth="1"/>
    <col min="25" max="25" width="9.5703125" bestFit="1" customWidth="1"/>
    <col min="26" max="26" width="5" bestFit="1" customWidth="1"/>
    <col min="27" max="27" width="12.5703125" bestFit="1" customWidth="1"/>
  </cols>
  <sheetData>
    <row r="1" spans="2:15">
      <c r="N1" s="6" t="s">
        <v>995</v>
      </c>
      <c r="O1" t="s">
        <v>195</v>
      </c>
    </row>
    <row r="2" spans="2:15">
      <c r="B2" s="244" t="s">
        <v>993</v>
      </c>
      <c r="C2" s="244" t="s">
        <v>994</v>
      </c>
      <c r="D2" s="244" t="s">
        <v>995</v>
      </c>
      <c r="E2" s="244" t="s">
        <v>996</v>
      </c>
      <c r="F2" s="244" t="s">
        <v>997</v>
      </c>
      <c r="G2" s="244" t="s">
        <v>998</v>
      </c>
      <c r="H2" s="295" t="s">
        <v>999</v>
      </c>
      <c r="I2" s="295" t="s">
        <v>1000</v>
      </c>
      <c r="J2" s="295" t="s">
        <v>1001</v>
      </c>
      <c r="K2" s="295" t="s">
        <v>0</v>
      </c>
      <c r="L2" s="244" t="s">
        <v>30</v>
      </c>
    </row>
    <row r="3" spans="2:15">
      <c r="B3" s="245" t="s">
        <v>410</v>
      </c>
      <c r="C3" s="86" t="s">
        <v>211</v>
      </c>
      <c r="D3" s="249" t="str">
        <f>_xlfn.XLOOKUP(B3,'Relacion '!$E:$E,'Relacion '!$D:$D,"")</f>
        <v>04. VALIDA US</v>
      </c>
      <c r="E3" s="246">
        <f t="shared" ref="E3:E66" si="0">IF(OR(F3="",G3=""),"",G3-F3)</f>
        <v>117</v>
      </c>
      <c r="F3" s="247" cm="1">
        <f t="array" ref="F3">MIN(INDEX('Relacion '!$X$5:$AM$493,MATCH(INDEX($B:$B, (ROW()-0)),'Relacion '!$E$5:$E$493,0),0))</f>
        <v>46024</v>
      </c>
      <c r="G3" s="247" cm="1">
        <f t="array" ref="G3">MAX(INDEX('Relacion '!$X$5:$AM$493,MATCH(INDEX($B:$B, (ROW()-0)),'Relacion '!$E$5:$E$493,0),0))</f>
        <v>46141</v>
      </c>
      <c r="H3" s="248" t="e">
        <f>_xlfn.XLOOKUP(B3, 'Plan de Trabajo'!$B$2:$B$1802, 'Plan de Trabajo'!$H$2:$H$1802)</f>
        <v>#N/A</v>
      </c>
      <c r="I3" s="248">
        <f ca="1">_xlfn.XLOOKUP(B3, 'Plan de Trabajo'!$B$2:$B$1802, 'Plan de Trabajo'!$I$2:$I$1802)</f>
        <v>1</v>
      </c>
      <c r="J3" s="249" t="str">
        <f>IF(ISNUMBER(SEARCH("Rocha", _xlfn.XLOOKUP(B3,'Relacion '!$E:$E,'Relacion '!$I:$I,""))), "Sí", "No")</f>
        <v>No</v>
      </c>
      <c r="K3" s="249" t="str">
        <f>IF(ISNUMBER(SEARCH("Rocha", _xlfn.XLOOKUP(B3,'Relacion '!$E:$E,'Relacion '!$I:$I,""))), "RMC", _xlfn.XLOOKUP(B3,'Relacion '!$E:$E,'Relacion '!$B:$B,""))</f>
        <v>Tesorería </v>
      </c>
      <c r="L3" s="249" t="str">
        <f>_xlfn.XLOOKUP(B3,'Relacion '!$E:$E,'Relacion '!$C:$C,"")</f>
        <v>Eduardo Cabral</v>
      </c>
      <c r="N3" s="6" t="s">
        <v>0</v>
      </c>
      <c r="O3" t="s">
        <v>1002</v>
      </c>
    </row>
    <row r="4" spans="2:15">
      <c r="B4" s="245" t="s">
        <v>202</v>
      </c>
      <c r="C4" s="184" t="s">
        <v>203</v>
      </c>
      <c r="D4" s="249" t="str">
        <f>_xlfn.XLOOKUP(B4,'Relacion '!$E:$E,'Relacion '!$D:$D,"")</f>
        <v>02. MAPEO</v>
      </c>
      <c r="E4" s="246">
        <f t="shared" si="0"/>
        <v>134</v>
      </c>
      <c r="F4" s="247" cm="1">
        <f t="array" ref="F4">MIN(INDEX('Relacion '!$X$5:$AM$493,MATCH(INDEX($B:$B, (ROW()-0)),'Relacion '!$E$5:$E$493,0),0))</f>
        <v>46024</v>
      </c>
      <c r="G4" s="247" cm="1">
        <f t="array" ref="G4">MAX(INDEX('Relacion '!$X$5:$AM$493,MATCH(INDEX($B:$B, (ROW()-0)),'Relacion '!$E$5:$E$493,0),0))</f>
        <v>46158</v>
      </c>
      <c r="H4" s="248" t="e">
        <f>_xlfn.XLOOKUP(B4, 'Plan de Trabajo'!$B$2:$B$1802, 'Plan de Trabajo'!$H$2:$H$1802)</f>
        <v>#REF!</v>
      </c>
      <c r="I4" s="248">
        <f ca="1">_xlfn.XLOOKUP(B4, 'Plan de Trabajo'!$B$2:$B$1802, 'Plan de Trabajo'!$I$2:$I$1802)</f>
        <v>1</v>
      </c>
      <c r="J4" s="249" t="str">
        <f>IF(ISNUMBER(SEARCH("Rocha", _xlfn.XLOOKUP(B4,'Relacion '!$E:$E,'Relacion '!$I:$I,""))), "Sí", "No")</f>
        <v>No</v>
      </c>
      <c r="K4" s="249" t="str">
        <f>IF(ISNUMBER(SEARCH("Rocha", _xlfn.XLOOKUP(B4,'Relacion '!$E:$E,'Relacion '!$I:$I,""))), "RMC", _xlfn.XLOOKUP(B4,'Relacion '!$E:$E,'Relacion '!$B:$B,""))</f>
        <v>Captacion</v>
      </c>
      <c r="L4" s="249" t="str">
        <f>_xlfn.XLOOKUP(B4,'Relacion '!$E:$E,'Relacion '!$C:$C,"")</f>
        <v>Arturo Angeles</v>
      </c>
      <c r="N4" t="s">
        <v>16</v>
      </c>
      <c r="O4">
        <v>3</v>
      </c>
    </row>
    <row r="5" spans="2:15">
      <c r="B5" s="245" t="s">
        <v>402</v>
      </c>
      <c r="C5" s="168" t="s">
        <v>403</v>
      </c>
      <c r="D5" s="249" t="str">
        <f>_xlfn.XLOOKUP(B5,'Relacion '!$E:$E,'Relacion '!$D:$D,"")</f>
        <v>04. VALIDA US</v>
      </c>
      <c r="E5" s="246">
        <f t="shared" si="0"/>
        <v>482</v>
      </c>
      <c r="F5" s="247" cm="1">
        <f t="array" ref="F5">MIN(INDEX('Relacion '!$X$5:$AM$493,MATCH(INDEX($B:$B, (ROW()-0)),'Relacion '!$E$5:$E$493,0),0))</f>
        <v>45659</v>
      </c>
      <c r="G5" s="247" cm="1">
        <f t="array" ref="G5">MAX(INDEX('Relacion '!$X$5:$AM$493,MATCH(INDEX($B:$B, (ROW()-0)),'Relacion '!$E$5:$E$493,0),0))</f>
        <v>46141</v>
      </c>
      <c r="H5" s="248" t="e">
        <f>_xlfn.XLOOKUP(B5, 'Plan de Trabajo'!$B$2:$B$1802, 'Plan de Trabajo'!$H$2:$H$1802)</f>
        <v>#REF!</v>
      </c>
      <c r="I5" s="248">
        <f ca="1">_xlfn.XLOOKUP(B5, 'Plan de Trabajo'!$B$2:$B$1802, 'Plan de Trabajo'!$I$2:$I$1802)</f>
        <v>1</v>
      </c>
      <c r="J5" s="249" t="str">
        <f>IF(ISNUMBER(SEARCH("Rocha", _xlfn.XLOOKUP(B5,'Relacion '!$E:$E,'Relacion '!$I:$I,""))), "Sí", "No")</f>
        <v>No</v>
      </c>
      <c r="K5" s="249" t="str">
        <f>IF(ISNUMBER(SEARCH("Rocha", _xlfn.XLOOKUP(B5,'Relacion '!$E:$E,'Relacion '!$I:$I,""))), "RMC", _xlfn.XLOOKUP(B5,'Relacion '!$E:$E,'Relacion '!$B:$B,""))</f>
        <v>Operaciones Captacion</v>
      </c>
      <c r="L5" s="249" t="str">
        <f>_xlfn.XLOOKUP(B5,'Relacion '!$E:$E,'Relacion '!$C:$C,"")</f>
        <v>Luis Alberto</v>
      </c>
      <c r="N5" t="s">
        <v>47</v>
      </c>
      <c r="O5">
        <v>1</v>
      </c>
    </row>
    <row r="6" spans="2:15">
      <c r="B6" s="245" t="s">
        <v>69</v>
      </c>
      <c r="C6" s="292" t="s">
        <v>70</v>
      </c>
      <c r="D6" s="249" t="str">
        <f>_xlfn.XLOOKUP(B6,'Relacion '!$E:$E,'Relacion '!$D:$D,"")</f>
        <v>04. VALIDA US</v>
      </c>
      <c r="E6" s="246">
        <f t="shared" si="0"/>
        <v>478</v>
      </c>
      <c r="F6" s="247" cm="1">
        <f t="array" ref="F6">MIN(INDEX('Relacion '!$X$5:$AM$493,MATCH(INDEX($B:$B, (ROW()-0)),'Relacion '!$E$5:$E$493,0),0))</f>
        <v>45659</v>
      </c>
      <c r="G6" s="247" cm="1">
        <f t="array" ref="G6">MAX(INDEX('Relacion '!$X$5:$AM$493,MATCH(INDEX($B:$B, (ROW()-0)),'Relacion '!$E$5:$E$493,0),0))</f>
        <v>46137</v>
      </c>
      <c r="H6" s="248" t="e">
        <f>_xlfn.XLOOKUP(B6, 'Plan de Trabajo'!$B$2:$B$1802, 'Plan de Trabajo'!$H$2:$H$1802)</f>
        <v>#REF!</v>
      </c>
      <c r="I6" s="248">
        <f ca="1">_xlfn.XLOOKUP(B6, 'Plan de Trabajo'!$B$2:$B$1802, 'Plan de Trabajo'!$I$2:$I$1802)</f>
        <v>1</v>
      </c>
      <c r="J6" s="249" t="str">
        <f>IF(ISNUMBER(SEARCH("Rocha", _xlfn.XLOOKUP(B6,'Relacion '!$E:$E,'Relacion '!$I:$I,""))), "Sí", "No")</f>
        <v>No</v>
      </c>
      <c r="K6" s="249" t="str">
        <f>IF(ISNUMBER(SEARCH("Rocha", _xlfn.XLOOKUP(B6,'Relacion '!$E:$E,'Relacion '!$I:$I,""))), "RMC", _xlfn.XLOOKUP(B6,'Relacion '!$E:$E,'Relacion '!$B:$B,""))</f>
        <v>Operaciones Captacion</v>
      </c>
      <c r="L6" s="249" t="str">
        <f>_xlfn.XLOOKUP(B6,'Relacion '!$E:$E,'Relacion '!$C:$C,"")</f>
        <v>Luis Alberto</v>
      </c>
      <c r="N6" t="s">
        <v>4</v>
      </c>
      <c r="O6">
        <v>3</v>
      </c>
    </row>
    <row r="7" spans="2:15">
      <c r="B7" s="245" t="s">
        <v>407</v>
      </c>
      <c r="C7" s="172" t="s">
        <v>408</v>
      </c>
      <c r="D7" s="249" t="str">
        <f>_xlfn.XLOOKUP(B7,'Relacion '!$E:$E,'Relacion '!$D:$D,"")</f>
        <v>08. CERRADA</v>
      </c>
      <c r="E7" s="246">
        <f t="shared" si="0"/>
        <v>450</v>
      </c>
      <c r="F7" s="247" cm="1">
        <f t="array" ref="F7">MIN(INDEX('Relacion '!$X$5:$AM$493,MATCH(INDEX($B:$B, (ROW()-0)),'Relacion '!$E$5:$E$493,0),0))</f>
        <v>45659</v>
      </c>
      <c r="G7" s="247" cm="1">
        <f t="array" ref="G7">MAX(INDEX('Relacion '!$X$5:$AM$493,MATCH(INDEX($B:$B, (ROW()-0)),'Relacion '!$E$5:$E$493,0),0))</f>
        <v>46109</v>
      </c>
      <c r="H7" s="248" t="e">
        <f>_xlfn.XLOOKUP(B7, 'Plan de Trabajo'!$B$2:$B$1802, 'Plan de Trabajo'!$H$2:$H$1802)</f>
        <v>#REF!</v>
      </c>
      <c r="I7" s="248">
        <f ca="1">_xlfn.XLOOKUP(B7, 'Plan de Trabajo'!$B$2:$B$1802, 'Plan de Trabajo'!$I$2:$I$1802)</f>
        <v>1</v>
      </c>
      <c r="J7" s="249" t="str">
        <f>IF(ISNUMBER(SEARCH("Rocha", _xlfn.XLOOKUP(B7,'Relacion '!$E:$E,'Relacion '!$I:$I,""))), "Sí", "No")</f>
        <v>No</v>
      </c>
      <c r="K7" s="249" t="str">
        <f>IF(ISNUMBER(SEARCH("Rocha", _xlfn.XLOOKUP(B7,'Relacion '!$E:$E,'Relacion '!$I:$I,""))), "RMC", _xlfn.XLOOKUP(B7,'Relacion '!$E:$E,'Relacion '!$B:$B,""))</f>
        <v>Operaciones Captacion</v>
      </c>
      <c r="L7" s="249" t="str">
        <f>_xlfn.XLOOKUP(B7,'Relacion '!$E:$E,'Relacion '!$C:$C,"")</f>
        <v>Luis Alberto</v>
      </c>
      <c r="N7" t="s">
        <v>1001</v>
      </c>
      <c r="O7">
        <v>18</v>
      </c>
    </row>
    <row r="8" spans="2:15">
      <c r="B8" s="245" t="s">
        <v>409</v>
      </c>
      <c r="C8" s="172" t="s">
        <v>408</v>
      </c>
      <c r="D8" s="249" t="str">
        <f>_xlfn.XLOOKUP(B8,'Relacion '!$E:$E,'Relacion '!$D:$D,"")</f>
        <v>08. CERRADA</v>
      </c>
      <c r="E8" s="246">
        <f t="shared" si="0"/>
        <v>450</v>
      </c>
      <c r="F8" s="247" cm="1">
        <f t="array" ref="F8">MIN(INDEX('Relacion '!$X$5:$AM$493,MATCH(INDEX($B:$B, (ROW()-0)),'Relacion '!$E$5:$E$493,0),0))</f>
        <v>45659</v>
      </c>
      <c r="G8" s="247" cm="1">
        <f t="array" ref="G8">MAX(INDEX('Relacion '!$X$5:$AM$493,MATCH(INDEX($B:$B, (ROW()-0)),'Relacion '!$E$5:$E$493,0),0))</f>
        <v>46109</v>
      </c>
      <c r="H8" s="248" t="e">
        <f>_xlfn.XLOOKUP(B8, 'Plan de Trabajo'!$B$2:$B$1802, 'Plan de Trabajo'!$H$2:$H$1802)</f>
        <v>#REF!</v>
      </c>
      <c r="I8" s="248">
        <f ca="1">_xlfn.XLOOKUP(B8, 'Plan de Trabajo'!$B$2:$B$1802, 'Plan de Trabajo'!$I$2:$I$1802)</f>
        <v>1</v>
      </c>
      <c r="J8" s="249" t="str">
        <f>IF(ISNUMBER(SEARCH("Rocha", _xlfn.XLOOKUP(B8,'Relacion '!$E:$E,'Relacion '!$I:$I,""))), "Sí", "No")</f>
        <v>No</v>
      </c>
      <c r="K8" s="249" t="str">
        <f>IF(ISNUMBER(SEARCH("Rocha", _xlfn.XLOOKUP(B8,'Relacion '!$E:$E,'Relacion '!$I:$I,""))), "RMC", _xlfn.XLOOKUP(B8,'Relacion '!$E:$E,'Relacion '!$B:$B,""))</f>
        <v>Operaciones Captacion</v>
      </c>
      <c r="L8" s="249" t="str">
        <f>_xlfn.XLOOKUP(B8,'Relacion '!$E:$E,'Relacion '!$C:$C,"")</f>
        <v>Luis Alberto</v>
      </c>
      <c r="N8" t="s">
        <v>93</v>
      </c>
      <c r="O8">
        <v>17</v>
      </c>
    </row>
    <row r="9" spans="2:15">
      <c r="B9" s="245" t="s">
        <v>412</v>
      </c>
      <c r="C9" s="86" t="s">
        <v>211</v>
      </c>
      <c r="D9" s="249" t="str">
        <f>_xlfn.XLOOKUP(B9,'Relacion '!$E:$E,'Relacion '!$D:$D,"")</f>
        <v>04. VALIDA US</v>
      </c>
      <c r="E9" s="246">
        <f t="shared" si="0"/>
        <v>117</v>
      </c>
      <c r="F9" s="247" cm="1">
        <f t="array" ref="F9">MIN(INDEX('Relacion '!$X$5:$AM$493,MATCH(INDEX($B:$B, (ROW()-0)),'Relacion '!$E$5:$E$493,0),0))</f>
        <v>46024</v>
      </c>
      <c r="G9" s="247" cm="1">
        <f t="array" ref="G9">MAX(INDEX('Relacion '!$X$5:$AM$493,MATCH(INDEX($B:$B, (ROW()-0)),'Relacion '!$E$5:$E$493,0),0))</f>
        <v>46141</v>
      </c>
      <c r="H9" s="248" t="e">
        <f>_xlfn.XLOOKUP(B9, 'Plan de Trabajo'!$B$2:$B$1802, 'Plan de Trabajo'!$H$2:$H$1802)</f>
        <v>#REF!</v>
      </c>
      <c r="I9" s="248">
        <f ca="1">_xlfn.XLOOKUP(B9, 'Plan de Trabajo'!$B$2:$B$1802, 'Plan de Trabajo'!$I$2:$I$1802)</f>
        <v>1</v>
      </c>
      <c r="J9" s="249" t="str">
        <f>IF(ISNUMBER(SEARCH("Rocha", _xlfn.XLOOKUP(B9,'Relacion '!$E:$E,'Relacion '!$I:$I,""))), "Sí", "No")</f>
        <v>No</v>
      </c>
      <c r="K9" s="249" t="str">
        <f>IF(ISNUMBER(SEARCH("Rocha", _xlfn.XLOOKUP(B9,'Relacion '!$E:$E,'Relacion '!$I:$I,""))), "RMC", _xlfn.XLOOKUP(B9,'Relacion '!$E:$E,'Relacion '!$B:$B,""))</f>
        <v>Tesorería </v>
      </c>
      <c r="L9" s="249" t="str">
        <f>_xlfn.XLOOKUP(B9,'Relacion '!$E:$E,'Relacion '!$C:$C,"")</f>
        <v>Eduardo Cabral</v>
      </c>
      <c r="N9" t="s">
        <v>267</v>
      </c>
      <c r="O9">
        <v>1</v>
      </c>
    </row>
    <row r="10" spans="2:15">
      <c r="B10" s="245" t="s">
        <v>455</v>
      </c>
      <c r="C10" s="168" t="s">
        <v>456</v>
      </c>
      <c r="D10" s="249" t="str">
        <f>_xlfn.XLOOKUP(B10,'Relacion '!$E:$E,'Relacion '!$D:$D,"")</f>
        <v>04. VALIDA US</v>
      </c>
      <c r="E10" s="246">
        <f t="shared" si="0"/>
        <v>117</v>
      </c>
      <c r="F10" s="247" cm="1">
        <f t="array" ref="F10">MIN(INDEX('Relacion '!$X$5:$AM$493,MATCH(INDEX($B:$B, (ROW()-0)),'Relacion '!$E$5:$E$493,0),0))</f>
        <v>46024</v>
      </c>
      <c r="G10" s="247" cm="1">
        <f t="array" ref="G10">MAX(INDEX('Relacion '!$X$5:$AM$493,MATCH(INDEX($B:$B, (ROW()-0)),'Relacion '!$E$5:$E$493,0),0))</f>
        <v>46141</v>
      </c>
      <c r="H10" s="248" t="e">
        <f>_xlfn.XLOOKUP(B10, 'Plan de Trabajo'!$B$2:$B$1802, 'Plan de Trabajo'!$H$2:$H$1802)</f>
        <v>#REF!</v>
      </c>
      <c r="I10" s="248">
        <f ca="1">_xlfn.XLOOKUP(B10, 'Plan de Trabajo'!$B$2:$B$1802, 'Plan de Trabajo'!$I$2:$I$1802)</f>
        <v>1</v>
      </c>
      <c r="J10" s="249" t="str">
        <f>IF(ISNUMBER(SEARCH("Rocha", _xlfn.XLOOKUP(B10,'Relacion '!$E:$E,'Relacion '!$I:$I,""))), "Sí", "No")</f>
        <v>No</v>
      </c>
      <c r="K10" s="249" t="str">
        <f>IF(ISNUMBER(SEARCH("Rocha", _xlfn.XLOOKUP(B10,'Relacion '!$E:$E,'Relacion '!$I:$I,""))), "RMC", _xlfn.XLOOKUP(B10,'Relacion '!$E:$E,'Relacion '!$B:$B,""))</f>
        <v>Tesorería </v>
      </c>
      <c r="L10" s="249" t="str">
        <f>_xlfn.XLOOKUP(B10,'Relacion '!$E:$E,'Relacion '!$C:$C,"")</f>
        <v>Eduardo Cabral</v>
      </c>
      <c r="N10" t="s">
        <v>326</v>
      </c>
      <c r="O10">
        <v>43</v>
      </c>
    </row>
    <row r="11" spans="2:15">
      <c r="B11" s="245" t="s">
        <v>458</v>
      </c>
      <c r="C11" s="168" t="s">
        <v>459</v>
      </c>
      <c r="D11" s="249" t="str">
        <f>_xlfn.XLOOKUP(B11,'Relacion '!$E:$E,'Relacion '!$D:$D,"")</f>
        <v>04. VALIDA US</v>
      </c>
      <c r="E11" s="246">
        <f t="shared" si="0"/>
        <v>117</v>
      </c>
      <c r="F11" s="247" cm="1">
        <f t="array" ref="F11">MIN(INDEX('Relacion '!$X$5:$AM$493,MATCH(INDEX($B:$B, (ROW()-0)),'Relacion '!$E$5:$E$493,0),0))</f>
        <v>46024</v>
      </c>
      <c r="G11" s="247" cm="1">
        <f t="array" ref="G11">MAX(INDEX('Relacion '!$X$5:$AM$493,MATCH(INDEX($B:$B, (ROW()-0)),'Relacion '!$E$5:$E$493,0),0))</f>
        <v>46141</v>
      </c>
      <c r="H11" s="248" t="e">
        <f>_xlfn.XLOOKUP(B11, 'Plan de Trabajo'!$B$2:$B$1802, 'Plan de Trabajo'!$H$2:$H$1802)</f>
        <v>#REF!</v>
      </c>
      <c r="I11" s="248">
        <f ca="1">_xlfn.XLOOKUP(B11, 'Plan de Trabajo'!$B$2:$B$1802, 'Plan de Trabajo'!$I$2:$I$1802)</f>
        <v>1</v>
      </c>
      <c r="J11" s="249" t="str">
        <f>IF(ISNUMBER(SEARCH("Rocha", _xlfn.XLOOKUP(B11,'Relacion '!$E:$E,'Relacion '!$I:$I,""))), "Sí", "No")</f>
        <v>No</v>
      </c>
      <c r="K11" s="249" t="str">
        <f>IF(ISNUMBER(SEARCH("Rocha", _xlfn.XLOOKUP(B11,'Relacion '!$E:$E,'Relacion '!$I:$I,""))), "RMC", _xlfn.XLOOKUP(B11,'Relacion '!$E:$E,'Relacion '!$B:$B,""))</f>
        <v>Tesorería </v>
      </c>
      <c r="L11" s="249" t="str">
        <f>_xlfn.XLOOKUP(B11,'Relacion '!$E:$E,'Relacion '!$C:$C,"")</f>
        <v>Eduardo Cabral</v>
      </c>
    </row>
    <row r="12" spans="2:15">
      <c r="B12" s="245" t="s">
        <v>460</v>
      </c>
      <c r="C12" s="168" t="s">
        <v>461</v>
      </c>
      <c r="D12" s="249" t="str">
        <f>_xlfn.XLOOKUP(B12,'Relacion '!$E:$E,'Relacion '!$D:$D,"")</f>
        <v>04. VALIDA US</v>
      </c>
      <c r="E12" s="246">
        <f t="shared" si="0"/>
        <v>117</v>
      </c>
      <c r="F12" s="247" cm="1">
        <f t="array" ref="F12">MIN(INDEX('Relacion '!$X$5:$AM$493,MATCH(INDEX($B:$B, (ROW()-0)),'Relacion '!$E$5:$E$493,0),0))</f>
        <v>46024</v>
      </c>
      <c r="G12" s="247" cm="1">
        <f t="array" ref="G12">MAX(INDEX('Relacion '!$X$5:$AM$493,MATCH(INDEX($B:$B, (ROW()-0)),'Relacion '!$E$5:$E$493,0),0))</f>
        <v>46141</v>
      </c>
      <c r="H12" s="248" t="e">
        <f>_xlfn.XLOOKUP(B12, 'Plan de Trabajo'!$B$2:$B$1802, 'Plan de Trabajo'!$H$2:$H$1802)</f>
        <v>#REF!</v>
      </c>
      <c r="I12" s="248">
        <f ca="1">_xlfn.XLOOKUP(B12, 'Plan de Trabajo'!$B$2:$B$1802, 'Plan de Trabajo'!$I$2:$I$1802)</f>
        <v>1</v>
      </c>
      <c r="J12" s="249" t="str">
        <f>IF(ISNUMBER(SEARCH("Rocha", _xlfn.XLOOKUP(B12,'Relacion '!$E:$E,'Relacion '!$I:$I,""))), "Sí", "No")</f>
        <v>No</v>
      </c>
      <c r="K12" s="249" t="str">
        <f>IF(ISNUMBER(SEARCH("Rocha", _xlfn.XLOOKUP(B12,'Relacion '!$E:$E,'Relacion '!$I:$I,""))), "RMC", _xlfn.XLOOKUP(B12,'Relacion '!$E:$E,'Relacion '!$B:$B,""))</f>
        <v>Tesorería </v>
      </c>
      <c r="L12" s="249" t="str">
        <f>_xlfn.XLOOKUP(B12,'Relacion '!$E:$E,'Relacion '!$C:$C,"")</f>
        <v>Eduardo Cabral</v>
      </c>
    </row>
    <row r="13" spans="2:15">
      <c r="B13" s="245" t="s">
        <v>517</v>
      </c>
      <c r="C13" s="168" t="s">
        <v>280</v>
      </c>
      <c r="D13" s="249" t="str">
        <f>_xlfn.XLOOKUP(B13,'Relacion '!$E:$E,'Relacion '!$D:$D,"")</f>
        <v>04. VALIDA US</v>
      </c>
      <c r="E13" s="246">
        <f t="shared" si="0"/>
        <v>117</v>
      </c>
      <c r="F13" s="247" cm="1">
        <f t="array" ref="F13">MIN(INDEX('Relacion '!$X$5:$AM$493,MATCH(INDEX($B:$B, (ROW()-0)),'Relacion '!$E$5:$E$493,0),0))</f>
        <v>46024</v>
      </c>
      <c r="G13" s="247" cm="1">
        <f t="array" ref="G13">MAX(INDEX('Relacion '!$X$5:$AM$493,MATCH(INDEX($B:$B, (ROW()-0)),'Relacion '!$E$5:$E$493,0),0))</f>
        <v>46141</v>
      </c>
      <c r="H13" s="248" t="e">
        <f>_xlfn.XLOOKUP(B13, 'Plan de Trabajo'!$B$2:$B$1802, 'Plan de Trabajo'!$H$2:$H$1802)</f>
        <v>#REF!</v>
      </c>
      <c r="I13" s="248">
        <f ca="1">_xlfn.XLOOKUP(B13, 'Plan de Trabajo'!$B$2:$B$1802, 'Plan de Trabajo'!$I$2:$I$1802)</f>
        <v>1</v>
      </c>
      <c r="J13" s="249" t="str">
        <f>IF(ISNUMBER(SEARCH("Rocha", _xlfn.XLOOKUP(B13,'Relacion '!$E:$E,'Relacion '!$I:$I,""))), "Sí", "No")</f>
        <v>No</v>
      </c>
      <c r="K13" s="249" t="str">
        <f>IF(ISNUMBER(SEARCH("Rocha", _xlfn.XLOOKUP(B13,'Relacion '!$E:$E,'Relacion '!$I:$I,""))), "RMC", _xlfn.XLOOKUP(B13,'Relacion '!$E:$E,'Relacion '!$B:$B,""))</f>
        <v>Tesorería </v>
      </c>
      <c r="L13" s="249" t="str">
        <f>_xlfn.XLOOKUP(B13,'Relacion '!$E:$E,'Relacion '!$C:$C,"")</f>
        <v>Eduardo Cabral</v>
      </c>
    </row>
    <row r="14" spans="2:15">
      <c r="B14" s="245" t="s">
        <v>518</v>
      </c>
      <c r="C14" s="86" t="s">
        <v>280</v>
      </c>
      <c r="D14" s="249" t="str">
        <f>_xlfn.XLOOKUP(B14,'Relacion '!$E:$E,'Relacion '!$D:$D,"")</f>
        <v>04. VALIDA US</v>
      </c>
      <c r="E14" s="246">
        <f t="shared" si="0"/>
        <v>117</v>
      </c>
      <c r="F14" s="247" cm="1">
        <f t="array" ref="F14">MIN(INDEX('Relacion '!$X$5:$AM$493,MATCH(INDEX($B:$B, (ROW()-0)),'Relacion '!$E$5:$E$493,0),0))</f>
        <v>46024</v>
      </c>
      <c r="G14" s="247" cm="1">
        <f t="array" ref="G14">MAX(INDEX('Relacion '!$X$5:$AM$493,MATCH(INDEX($B:$B, (ROW()-0)),'Relacion '!$E$5:$E$493,0),0))</f>
        <v>46141</v>
      </c>
      <c r="H14" s="248" t="e">
        <f>_xlfn.XLOOKUP(B14, 'Plan de Trabajo'!$B$2:$B$1802, 'Plan de Trabajo'!$H$2:$H$1802)</f>
        <v>#REF!</v>
      </c>
      <c r="I14" s="248">
        <f ca="1">_xlfn.XLOOKUP(B14, 'Plan de Trabajo'!$B$2:$B$1802, 'Plan de Trabajo'!$I$2:$I$1802)</f>
        <v>1</v>
      </c>
      <c r="J14" s="249" t="str">
        <f>IF(ISNUMBER(SEARCH("Rocha", _xlfn.XLOOKUP(B14,'Relacion '!$E:$E,'Relacion '!$I:$I,""))), "Sí", "No")</f>
        <v>No</v>
      </c>
      <c r="K14" s="249" t="str">
        <f>IF(ISNUMBER(SEARCH("Rocha", _xlfn.XLOOKUP(B14,'Relacion '!$E:$E,'Relacion '!$I:$I,""))), "RMC", _xlfn.XLOOKUP(B14,'Relacion '!$E:$E,'Relacion '!$B:$B,""))</f>
        <v>Tesorería </v>
      </c>
      <c r="L14" s="249" t="str">
        <f>_xlfn.XLOOKUP(B14,'Relacion '!$E:$E,'Relacion '!$C:$C,"")</f>
        <v>Eduardo Cabral</v>
      </c>
    </row>
    <row r="15" spans="2:15">
      <c r="B15" s="245" t="s">
        <v>519</v>
      </c>
      <c r="C15" s="86" t="s">
        <v>280</v>
      </c>
      <c r="D15" s="249" t="str">
        <f>_xlfn.XLOOKUP(B15,'Relacion '!$E:$E,'Relacion '!$D:$D,"")</f>
        <v>04. VALIDA US</v>
      </c>
      <c r="E15" s="246">
        <f t="shared" si="0"/>
        <v>117</v>
      </c>
      <c r="F15" s="247" cm="1">
        <f t="array" ref="F15">MIN(INDEX('Relacion '!$X$5:$AM$493,MATCH(INDEX($B:$B, (ROW()-0)),'Relacion '!$E$5:$E$493,0),0))</f>
        <v>46024</v>
      </c>
      <c r="G15" s="247" cm="1">
        <f t="array" ref="G15">MAX(INDEX('Relacion '!$X$5:$AM$493,MATCH(INDEX($B:$B, (ROW()-0)),'Relacion '!$E$5:$E$493,0),0))</f>
        <v>46141</v>
      </c>
      <c r="H15" s="248" t="e">
        <f>_xlfn.XLOOKUP(B15, 'Plan de Trabajo'!$B$2:$B$1802, 'Plan de Trabajo'!$H$2:$H$1802)</f>
        <v>#REF!</v>
      </c>
      <c r="I15" s="248">
        <f ca="1">_xlfn.XLOOKUP(B15, 'Plan de Trabajo'!$B$2:$B$1802, 'Plan de Trabajo'!$I$2:$I$1802)</f>
        <v>1</v>
      </c>
      <c r="J15" s="249" t="str">
        <f>IF(ISNUMBER(SEARCH("Rocha", _xlfn.XLOOKUP(B15,'Relacion '!$E:$E,'Relacion '!$I:$I,""))), "Sí", "No")</f>
        <v>No</v>
      </c>
      <c r="K15" s="249" t="str">
        <f>IF(ISNUMBER(SEARCH("Rocha", _xlfn.XLOOKUP(B15,'Relacion '!$E:$E,'Relacion '!$I:$I,""))), "RMC", _xlfn.XLOOKUP(B15,'Relacion '!$E:$E,'Relacion '!$B:$B,""))</f>
        <v>Tesorería </v>
      </c>
      <c r="L15" s="249" t="str">
        <f>_xlfn.XLOOKUP(B15,'Relacion '!$E:$E,'Relacion '!$C:$C,"")</f>
        <v>Eduardo Cabral</v>
      </c>
    </row>
    <row r="16" spans="2:15">
      <c r="B16" s="245" t="s">
        <v>520</v>
      </c>
      <c r="C16" s="86" t="s">
        <v>280</v>
      </c>
      <c r="D16" s="249" t="str">
        <f>_xlfn.XLOOKUP(B16,'Relacion '!$E:$E,'Relacion '!$D:$D,"")</f>
        <v>04. VALIDA US</v>
      </c>
      <c r="E16" s="246">
        <f t="shared" si="0"/>
        <v>117</v>
      </c>
      <c r="F16" s="247" cm="1">
        <f t="array" ref="F16">MIN(INDEX('Relacion '!$X$5:$AM$493,MATCH(INDEX($B:$B, (ROW()-0)),'Relacion '!$E$5:$E$493,0),0))</f>
        <v>46024</v>
      </c>
      <c r="G16" s="247" cm="1">
        <f t="array" ref="G16">MAX(INDEX('Relacion '!$X$5:$AM$493,MATCH(INDEX($B:$B, (ROW()-0)),'Relacion '!$E$5:$E$493,0),0))</f>
        <v>46141</v>
      </c>
      <c r="H16" s="248" t="e">
        <f>_xlfn.XLOOKUP(B16, 'Plan de Trabajo'!$B$2:$B$1802, 'Plan de Trabajo'!$H$2:$H$1802)</f>
        <v>#REF!</v>
      </c>
      <c r="I16" s="248">
        <f ca="1">_xlfn.XLOOKUP(B16, 'Plan de Trabajo'!$B$2:$B$1802, 'Plan de Trabajo'!$I$2:$I$1802)</f>
        <v>1</v>
      </c>
      <c r="J16" s="249" t="str">
        <f>IF(ISNUMBER(SEARCH("Rocha", _xlfn.XLOOKUP(B16,'Relacion '!$E:$E,'Relacion '!$I:$I,""))), "Sí", "No")</f>
        <v>No</v>
      </c>
      <c r="K16" s="249" t="str">
        <f>IF(ISNUMBER(SEARCH("Rocha", _xlfn.XLOOKUP(B16,'Relacion '!$E:$E,'Relacion '!$I:$I,""))), "RMC", _xlfn.XLOOKUP(B16,'Relacion '!$E:$E,'Relacion '!$B:$B,""))</f>
        <v>Tesorería </v>
      </c>
      <c r="L16" s="249" t="str">
        <f>_xlfn.XLOOKUP(B16,'Relacion '!$E:$E,'Relacion '!$C:$C,"")</f>
        <v>Eduardo Cabral</v>
      </c>
    </row>
    <row r="17" spans="2:12">
      <c r="B17" s="245" t="s">
        <v>413</v>
      </c>
      <c r="C17" s="168" t="s">
        <v>414</v>
      </c>
      <c r="D17" s="249" t="str">
        <f>_xlfn.XLOOKUP(B17,'Relacion '!$E:$E,'Relacion '!$D:$D,"")</f>
        <v>04. VALIDA US</v>
      </c>
      <c r="E17" s="246">
        <f t="shared" si="0"/>
        <v>482</v>
      </c>
      <c r="F17" s="247" cm="1">
        <f t="array" ref="F17">MIN(INDEX('Relacion '!$X$5:$AM$493,MATCH(INDEX($B:$B, (ROW()-0)),'Relacion '!$E$5:$E$493,0),0))</f>
        <v>45659</v>
      </c>
      <c r="G17" s="247" cm="1">
        <f t="array" ref="G17">MAX(INDEX('Relacion '!$X$5:$AM$493,MATCH(INDEX($B:$B, (ROW()-0)),'Relacion '!$E$5:$E$493,0),0))</f>
        <v>46141</v>
      </c>
      <c r="H17" s="248" t="e">
        <f>_xlfn.XLOOKUP(B17, 'Plan de Trabajo'!$B$2:$B$1802, 'Plan de Trabajo'!$H$2:$H$1802)</f>
        <v>#REF!</v>
      </c>
      <c r="I17" s="248">
        <f ca="1">_xlfn.XLOOKUP(B17, 'Plan de Trabajo'!$B$2:$B$1802, 'Plan de Trabajo'!$I$2:$I$1802)</f>
        <v>1</v>
      </c>
      <c r="J17" s="249" t="str">
        <f>IF(ISNUMBER(SEARCH("Rocha", _xlfn.XLOOKUP(B17,'Relacion '!$E:$E,'Relacion '!$I:$I,""))), "Sí", "No")</f>
        <v>No</v>
      </c>
      <c r="K17" s="249" t="str">
        <f>IF(ISNUMBER(SEARCH("Rocha", _xlfn.XLOOKUP(B17,'Relacion '!$E:$E,'Relacion '!$I:$I,""))), "RMC", _xlfn.XLOOKUP(B17,'Relacion '!$E:$E,'Relacion '!$B:$B,""))</f>
        <v>Operaciones Captacion</v>
      </c>
      <c r="L17" s="249" t="str">
        <f>_xlfn.XLOOKUP(B17,'Relacion '!$E:$E,'Relacion '!$C:$C,"")</f>
        <v>Luis Alberto</v>
      </c>
    </row>
    <row r="18" spans="2:12">
      <c r="B18" s="245" t="s">
        <v>416</v>
      </c>
      <c r="C18" s="172" t="s">
        <v>417</v>
      </c>
      <c r="D18" s="249" t="str">
        <f>_xlfn.XLOOKUP(B18,'Relacion '!$E:$E,'Relacion '!$D:$D,"")</f>
        <v>08. CERRADA</v>
      </c>
      <c r="E18" s="246">
        <f t="shared" si="0"/>
        <v>449</v>
      </c>
      <c r="F18" s="247" cm="1">
        <f t="array" ref="F18">MIN(INDEX('Relacion '!$X$5:$AM$493,MATCH(INDEX($B:$B, (ROW()-0)),'Relacion '!$E$5:$E$493,0),0))</f>
        <v>45659</v>
      </c>
      <c r="G18" s="247" cm="1">
        <f t="array" ref="G18">MAX(INDEX('Relacion '!$X$5:$AM$493,MATCH(INDEX($B:$B, (ROW()-0)),'Relacion '!$E$5:$E$493,0),0))</f>
        <v>46108</v>
      </c>
      <c r="H18" s="248" t="e">
        <f>_xlfn.XLOOKUP(B18, 'Plan de Trabajo'!$B$2:$B$1802, 'Plan de Trabajo'!$H$2:$H$1802)</f>
        <v>#REF!</v>
      </c>
      <c r="I18" s="248">
        <f ca="1">_xlfn.XLOOKUP(B18, 'Plan de Trabajo'!$B$2:$B$1802, 'Plan de Trabajo'!$I$2:$I$1802)</f>
        <v>1</v>
      </c>
      <c r="J18" s="249" t="str">
        <f>IF(ISNUMBER(SEARCH("Rocha", _xlfn.XLOOKUP(B18,'Relacion '!$E:$E,'Relacion '!$I:$I,""))), "Sí", "No")</f>
        <v>No</v>
      </c>
      <c r="K18" s="249" t="str">
        <f>IF(ISNUMBER(SEARCH("Rocha", _xlfn.XLOOKUP(B18,'Relacion '!$E:$E,'Relacion '!$I:$I,""))), "RMC", _xlfn.XLOOKUP(B18,'Relacion '!$E:$E,'Relacion '!$B:$B,""))</f>
        <v>Producto</v>
      </c>
      <c r="L18" s="249" t="str">
        <f>_xlfn.XLOOKUP(B18,'Relacion '!$E:$E,'Relacion '!$C:$C,"")</f>
        <v>Claudia Barroso</v>
      </c>
    </row>
    <row r="19" spans="2:12">
      <c r="B19" s="245" t="s">
        <v>521</v>
      </c>
      <c r="C19" s="86" t="s">
        <v>280</v>
      </c>
      <c r="D19" s="249" t="str">
        <f>_xlfn.XLOOKUP(B19,'Relacion '!$E:$E,'Relacion '!$D:$D,"")</f>
        <v>04. VALIDA US</v>
      </c>
      <c r="E19" s="246">
        <f t="shared" si="0"/>
        <v>117</v>
      </c>
      <c r="F19" s="247" cm="1">
        <f t="array" ref="F19">MIN(INDEX('Relacion '!$X$5:$AM$493,MATCH(INDEX($B:$B, (ROW()-0)),'Relacion '!$E$5:$E$493,0),0))</f>
        <v>46024</v>
      </c>
      <c r="G19" s="247" cm="1">
        <f t="array" ref="G19">MAX(INDEX('Relacion '!$X$5:$AM$493,MATCH(INDEX($B:$B, (ROW()-0)),'Relacion '!$E$5:$E$493,0),0))</f>
        <v>46141</v>
      </c>
      <c r="H19" s="248" t="e">
        <f>_xlfn.XLOOKUP(B19, 'Plan de Trabajo'!$B$2:$B$1802, 'Plan de Trabajo'!$H$2:$H$1802)</f>
        <v>#REF!</v>
      </c>
      <c r="I19" s="248">
        <f ca="1">_xlfn.XLOOKUP(B19, 'Plan de Trabajo'!$B$2:$B$1802, 'Plan de Trabajo'!$I$2:$I$1802)</f>
        <v>1</v>
      </c>
      <c r="J19" s="249" t="str">
        <f>IF(ISNUMBER(SEARCH("Rocha", _xlfn.XLOOKUP(B19,'Relacion '!$E:$E,'Relacion '!$I:$I,""))), "Sí", "No")</f>
        <v>No</v>
      </c>
      <c r="K19" s="249" t="str">
        <f>IF(ISNUMBER(SEARCH("Rocha", _xlfn.XLOOKUP(B19,'Relacion '!$E:$E,'Relacion '!$I:$I,""))), "RMC", _xlfn.XLOOKUP(B19,'Relacion '!$E:$E,'Relacion '!$B:$B,""))</f>
        <v>Tesorería </v>
      </c>
      <c r="L19" s="249" t="str">
        <f>_xlfn.XLOOKUP(B19,'Relacion '!$E:$E,'Relacion '!$C:$C,"")</f>
        <v>Eduardo Cabral</v>
      </c>
    </row>
    <row r="20" spans="2:12">
      <c r="B20" s="245" t="s">
        <v>522</v>
      </c>
      <c r="C20" s="86" t="s">
        <v>280</v>
      </c>
      <c r="D20" s="249" t="str">
        <f>_xlfn.XLOOKUP(B20,'Relacion '!$E:$E,'Relacion '!$D:$D,"")</f>
        <v>04. VALIDA US</v>
      </c>
      <c r="E20" s="246">
        <f t="shared" si="0"/>
        <v>117</v>
      </c>
      <c r="F20" s="247" cm="1">
        <f t="array" ref="F20">MIN(INDEX('Relacion '!$X$5:$AM$493,MATCH(INDEX($B:$B, (ROW()-0)),'Relacion '!$E$5:$E$493,0),0))</f>
        <v>46024</v>
      </c>
      <c r="G20" s="247" cm="1">
        <f t="array" ref="G20">MAX(INDEX('Relacion '!$X$5:$AM$493,MATCH(INDEX($B:$B, (ROW()-0)),'Relacion '!$E$5:$E$493,0),0))</f>
        <v>46141</v>
      </c>
      <c r="H20" s="248" t="e">
        <f>_xlfn.XLOOKUP(B20, 'Plan de Trabajo'!$B$2:$B$1802, 'Plan de Trabajo'!$H$2:$H$1802)</f>
        <v>#REF!</v>
      </c>
      <c r="I20" s="248">
        <f ca="1">_xlfn.XLOOKUP(B20, 'Plan de Trabajo'!$B$2:$B$1802, 'Plan de Trabajo'!$I$2:$I$1802)</f>
        <v>1</v>
      </c>
      <c r="J20" s="249" t="str">
        <f>IF(ISNUMBER(SEARCH("Rocha", _xlfn.XLOOKUP(B20,'Relacion '!$E:$E,'Relacion '!$I:$I,""))), "Sí", "No")</f>
        <v>No</v>
      </c>
      <c r="K20" s="249" t="str">
        <f>IF(ISNUMBER(SEARCH("Rocha", _xlfn.XLOOKUP(B20,'Relacion '!$E:$E,'Relacion '!$I:$I,""))), "RMC", _xlfn.XLOOKUP(B20,'Relacion '!$E:$E,'Relacion '!$B:$B,""))</f>
        <v>Tesorería </v>
      </c>
      <c r="L20" s="249" t="str">
        <f>_xlfn.XLOOKUP(B20,'Relacion '!$E:$E,'Relacion '!$C:$C,"")</f>
        <v>Eduardo Cabral</v>
      </c>
    </row>
    <row r="21" spans="2:12">
      <c r="B21" s="245" t="s">
        <v>523</v>
      </c>
      <c r="C21" s="86" t="s">
        <v>280</v>
      </c>
      <c r="D21" s="249" t="str">
        <f>_xlfn.XLOOKUP(B21,'Relacion '!$E:$E,'Relacion '!$D:$D,"")</f>
        <v>04. VALIDA US</v>
      </c>
      <c r="E21" s="246">
        <f t="shared" si="0"/>
        <v>117</v>
      </c>
      <c r="F21" s="247" cm="1">
        <f t="array" ref="F21">MIN(INDEX('Relacion '!$X$5:$AM$493,MATCH(INDEX($B:$B, (ROW()-0)),'Relacion '!$E$5:$E$493,0),0))</f>
        <v>46024</v>
      </c>
      <c r="G21" s="247" cm="1">
        <f t="array" ref="G21">MAX(INDEX('Relacion '!$X$5:$AM$493,MATCH(INDEX($B:$B, (ROW()-0)),'Relacion '!$E$5:$E$493,0),0))</f>
        <v>46141</v>
      </c>
      <c r="H21" s="248" t="e">
        <f>_xlfn.XLOOKUP(B21, 'Plan de Trabajo'!$B$2:$B$1802, 'Plan de Trabajo'!$H$2:$H$1802)</f>
        <v>#REF!</v>
      </c>
      <c r="I21" s="248">
        <f ca="1">_xlfn.XLOOKUP(B21, 'Plan de Trabajo'!$B$2:$B$1802, 'Plan de Trabajo'!$I$2:$I$1802)</f>
        <v>1</v>
      </c>
      <c r="J21" s="249" t="str">
        <f>IF(ISNUMBER(SEARCH("Rocha", _xlfn.XLOOKUP(B21,'Relacion '!$E:$E,'Relacion '!$I:$I,""))), "Sí", "No")</f>
        <v>No</v>
      </c>
      <c r="K21" s="249" t="str">
        <f>IF(ISNUMBER(SEARCH("Rocha", _xlfn.XLOOKUP(B21,'Relacion '!$E:$E,'Relacion '!$I:$I,""))), "RMC", _xlfn.XLOOKUP(B21,'Relacion '!$E:$E,'Relacion '!$B:$B,""))</f>
        <v>Tesorería </v>
      </c>
      <c r="L21" s="249" t="str">
        <f>_xlfn.XLOOKUP(B21,'Relacion '!$E:$E,'Relacion '!$C:$C,"")</f>
        <v>Eduardo Cabral</v>
      </c>
    </row>
    <row r="22" spans="2:12">
      <c r="B22" s="245" t="s">
        <v>524</v>
      </c>
      <c r="C22" s="86" t="s">
        <v>280</v>
      </c>
      <c r="D22" s="249" t="str">
        <f>_xlfn.XLOOKUP(B22,'Relacion '!$E:$E,'Relacion '!$D:$D,"")</f>
        <v>04. VALIDA US</v>
      </c>
      <c r="E22" s="246">
        <f t="shared" si="0"/>
        <v>117</v>
      </c>
      <c r="F22" s="247" cm="1">
        <f t="array" ref="F22">MIN(INDEX('Relacion '!$X$5:$AM$493,MATCH(INDEX($B:$B, (ROW()-0)),'Relacion '!$E$5:$E$493,0),0))</f>
        <v>46024</v>
      </c>
      <c r="G22" s="247" cm="1">
        <f t="array" ref="G22">MAX(INDEX('Relacion '!$X$5:$AM$493,MATCH(INDEX($B:$B, (ROW()-0)),'Relacion '!$E$5:$E$493,0),0))</f>
        <v>46141</v>
      </c>
      <c r="H22" s="248" t="e">
        <f>_xlfn.XLOOKUP(B22, 'Plan de Trabajo'!$B$2:$B$1802, 'Plan de Trabajo'!$H$2:$H$1802)</f>
        <v>#REF!</v>
      </c>
      <c r="I22" s="248">
        <f ca="1">_xlfn.XLOOKUP(B22, 'Plan de Trabajo'!$B$2:$B$1802, 'Plan de Trabajo'!$I$2:$I$1802)</f>
        <v>1</v>
      </c>
      <c r="J22" s="249" t="str">
        <f>IF(ISNUMBER(SEARCH("Rocha", _xlfn.XLOOKUP(B22,'Relacion '!$E:$E,'Relacion '!$I:$I,""))), "Sí", "No")</f>
        <v>No</v>
      </c>
      <c r="K22" s="249" t="str">
        <f>IF(ISNUMBER(SEARCH("Rocha", _xlfn.XLOOKUP(B22,'Relacion '!$E:$E,'Relacion '!$I:$I,""))), "RMC", _xlfn.XLOOKUP(B22,'Relacion '!$E:$E,'Relacion '!$B:$B,""))</f>
        <v>Tesorería </v>
      </c>
      <c r="L22" s="249" t="str">
        <f>_xlfn.XLOOKUP(B22,'Relacion '!$E:$E,'Relacion '!$C:$C,"")</f>
        <v>Eduardo Cabral</v>
      </c>
    </row>
    <row r="23" spans="2:12">
      <c r="B23" s="245" t="s">
        <v>525</v>
      </c>
      <c r="C23" s="86" t="s">
        <v>265</v>
      </c>
      <c r="D23" s="249" t="str">
        <f>_xlfn.XLOOKUP(B23,'Relacion '!$E:$E,'Relacion '!$D:$D,"")</f>
        <v>04. VALIDA US</v>
      </c>
      <c r="E23" s="246">
        <f t="shared" si="0"/>
        <v>117</v>
      </c>
      <c r="F23" s="247" cm="1">
        <f t="array" ref="F23">MIN(INDEX('Relacion '!$X$5:$AM$493,MATCH(INDEX($B:$B, (ROW()-0)),'Relacion '!$E$5:$E$493,0),0))</f>
        <v>46024</v>
      </c>
      <c r="G23" s="247" cm="1">
        <f t="array" ref="G23">MAX(INDEX('Relacion '!$X$5:$AM$493,MATCH(INDEX($B:$B, (ROW()-0)),'Relacion '!$E$5:$E$493,0),0))</f>
        <v>46141</v>
      </c>
      <c r="H23" s="248" t="e">
        <f>_xlfn.XLOOKUP(B23, 'Plan de Trabajo'!$B$2:$B$1802, 'Plan de Trabajo'!$H$2:$H$1802)</f>
        <v>#REF!</v>
      </c>
      <c r="I23" s="248">
        <f ca="1">_xlfn.XLOOKUP(B23, 'Plan de Trabajo'!$B$2:$B$1802, 'Plan de Trabajo'!$I$2:$I$1802)</f>
        <v>1</v>
      </c>
      <c r="J23" s="249" t="str">
        <f>IF(ISNUMBER(SEARCH("Rocha", _xlfn.XLOOKUP(B23,'Relacion '!$E:$E,'Relacion '!$I:$I,""))), "Sí", "No")</f>
        <v>No</v>
      </c>
      <c r="K23" s="249" t="str">
        <f>IF(ISNUMBER(SEARCH("Rocha", _xlfn.XLOOKUP(B23,'Relacion '!$E:$E,'Relacion '!$I:$I,""))), "RMC", _xlfn.XLOOKUP(B23,'Relacion '!$E:$E,'Relacion '!$B:$B,""))</f>
        <v>Tesorería </v>
      </c>
      <c r="L23" s="249" t="str">
        <f>_xlfn.XLOOKUP(B23,'Relacion '!$E:$E,'Relacion '!$C:$C,"")</f>
        <v>Eduardo Cabral</v>
      </c>
    </row>
    <row r="24" spans="2:12">
      <c r="B24" s="245" t="s">
        <v>526</v>
      </c>
      <c r="C24" s="86" t="s">
        <v>265</v>
      </c>
      <c r="D24" s="249" t="str">
        <f>_xlfn.XLOOKUP(B24,'Relacion '!$E:$E,'Relacion '!$D:$D,"")</f>
        <v>04. VALIDA US</v>
      </c>
      <c r="E24" s="246">
        <f t="shared" si="0"/>
        <v>117</v>
      </c>
      <c r="F24" s="247" cm="1">
        <f t="array" ref="F24">MIN(INDEX('Relacion '!$X$5:$AM$493,MATCH(INDEX($B:$B, (ROW()-0)),'Relacion '!$E$5:$E$493,0),0))</f>
        <v>46024</v>
      </c>
      <c r="G24" s="247" cm="1">
        <f t="array" ref="G24">MAX(INDEX('Relacion '!$X$5:$AM$493,MATCH(INDEX($B:$B, (ROW()-0)),'Relacion '!$E$5:$E$493,0),0))</f>
        <v>46141</v>
      </c>
      <c r="H24" s="248" t="e">
        <f>_xlfn.XLOOKUP(B24, 'Plan de Trabajo'!$B$2:$B$1802, 'Plan de Trabajo'!$H$2:$H$1802)</f>
        <v>#REF!</v>
      </c>
      <c r="I24" s="248">
        <f ca="1">_xlfn.XLOOKUP(B24, 'Plan de Trabajo'!$B$2:$B$1802, 'Plan de Trabajo'!$I$2:$I$1802)</f>
        <v>1</v>
      </c>
      <c r="J24" s="249" t="str">
        <f>IF(ISNUMBER(SEARCH("Rocha", _xlfn.XLOOKUP(B24,'Relacion '!$E:$E,'Relacion '!$I:$I,""))), "Sí", "No")</f>
        <v>No</v>
      </c>
      <c r="K24" s="249" t="str">
        <f>IF(ISNUMBER(SEARCH("Rocha", _xlfn.XLOOKUP(B24,'Relacion '!$E:$E,'Relacion '!$I:$I,""))), "RMC", _xlfn.XLOOKUP(B24,'Relacion '!$E:$E,'Relacion '!$B:$B,""))</f>
        <v>Tesorería </v>
      </c>
      <c r="L24" s="249" t="str">
        <f>_xlfn.XLOOKUP(B24,'Relacion '!$E:$E,'Relacion '!$C:$C,"")</f>
        <v>Eduardo Cabral</v>
      </c>
    </row>
    <row r="25" spans="2:12">
      <c r="B25" s="245" t="s">
        <v>214</v>
      </c>
      <c r="C25" s="19" t="s">
        <v>211</v>
      </c>
      <c r="D25" s="249" t="str">
        <f>_xlfn.XLOOKUP(B25,'Relacion '!$E:$E,'Relacion '!$D:$D,"")</f>
        <v>07. VALIDACIÓN BAJAWARE</v>
      </c>
      <c r="E25" s="246">
        <f t="shared" si="0"/>
        <v>148</v>
      </c>
      <c r="F25" s="247" cm="1">
        <f t="array" ref="F25">MIN(INDEX('Relacion '!$X$5:$AM$493,MATCH(INDEX($B:$B, (ROW()-0)),'Relacion '!$E$5:$E$493,0),0))</f>
        <v>46024</v>
      </c>
      <c r="G25" s="247" cm="1">
        <f t="array" ref="G25">MAX(INDEX('Relacion '!$X$5:$AM$493,MATCH(INDEX($B:$B, (ROW()-0)),'Relacion '!$E$5:$E$493,0),0))</f>
        <v>46172</v>
      </c>
      <c r="H25" s="248" t="e">
        <f>_xlfn.XLOOKUP(B25, 'Plan de Trabajo'!$B$2:$B$1802, 'Plan de Trabajo'!$H$2:$H$1802)</f>
        <v>#REF!</v>
      </c>
      <c r="I25" s="248">
        <f ca="1">_xlfn.XLOOKUP(B25, 'Plan de Trabajo'!$B$2:$B$1802, 'Plan de Trabajo'!$I$2:$I$1802)</f>
        <v>0.75</v>
      </c>
      <c r="J25" s="249" t="str">
        <f>IF(ISNUMBER(SEARCH("Rocha", _xlfn.XLOOKUP(B25,'Relacion '!$E:$E,'Relacion '!$I:$I,""))), "Sí", "No")</f>
        <v>No</v>
      </c>
      <c r="K25" s="249" t="str">
        <f>IF(ISNUMBER(SEARCH("Rocha", _xlfn.XLOOKUP(B25,'Relacion '!$E:$E,'Relacion '!$I:$I,""))), "RMC", _xlfn.XLOOKUP(B25,'Relacion '!$E:$E,'Relacion '!$B:$B,""))</f>
        <v>Tesorería </v>
      </c>
      <c r="L25" s="249" t="str">
        <f>_xlfn.XLOOKUP(B25,'Relacion '!$E:$E,'Relacion '!$C:$C,"")</f>
        <v>Eduardo Cabral</v>
      </c>
    </row>
    <row r="26" spans="2:12">
      <c r="B26" s="245" t="s">
        <v>434</v>
      </c>
      <c r="C26" s="172" t="s">
        <v>63</v>
      </c>
      <c r="D26" s="249" t="str">
        <f>_xlfn.XLOOKUP(B26,'Relacion '!$E:$E,'Relacion '!$D:$D,"")</f>
        <v>08. CERRADA</v>
      </c>
      <c r="E26" s="246">
        <f t="shared" si="0"/>
        <v>450</v>
      </c>
      <c r="F26" s="247" cm="1">
        <f t="array" ref="F26">MIN(INDEX('Relacion '!$X$5:$AM$493,MATCH(INDEX($B:$B, (ROW()-0)),'Relacion '!$E$5:$E$493,0),0))</f>
        <v>45659</v>
      </c>
      <c r="G26" s="247" cm="1">
        <f t="array" ref="G26">MAX(INDEX('Relacion '!$X$5:$AM$493,MATCH(INDEX($B:$B, (ROW()-0)),'Relacion '!$E$5:$E$493,0),0))</f>
        <v>46109</v>
      </c>
      <c r="H26" s="248" t="e">
        <f>_xlfn.XLOOKUP(B26, 'Plan de Trabajo'!$B$2:$B$1802, 'Plan de Trabajo'!$H$2:$H$1802)</f>
        <v>#REF!</v>
      </c>
      <c r="I26" s="248">
        <f ca="1">_xlfn.XLOOKUP(B26, 'Plan de Trabajo'!$B$2:$B$1802, 'Plan de Trabajo'!$I$2:$I$1802)</f>
        <v>1</v>
      </c>
      <c r="J26" s="249" t="str">
        <f>IF(ISNUMBER(SEARCH("Rocha", _xlfn.XLOOKUP(B26,'Relacion '!$E:$E,'Relacion '!$I:$I,""))), "Sí", "No")</f>
        <v>No</v>
      </c>
      <c r="K26" s="249" t="str">
        <f>IF(ISNUMBER(SEARCH("Rocha", _xlfn.XLOOKUP(B26,'Relacion '!$E:$E,'Relacion '!$I:$I,""))), "RMC", _xlfn.XLOOKUP(B26,'Relacion '!$E:$E,'Relacion '!$B:$B,""))</f>
        <v>Operaciones Credito</v>
      </c>
      <c r="L26" s="249" t="str">
        <f>_xlfn.XLOOKUP(B26,'Relacion '!$E:$E,'Relacion '!$C:$C,"")</f>
        <v>Luis Alberto</v>
      </c>
    </row>
    <row r="27" spans="2:12">
      <c r="B27" s="245" t="s">
        <v>436</v>
      </c>
      <c r="C27" s="292" t="s">
        <v>417</v>
      </c>
      <c r="D27" s="249" t="str">
        <f>_xlfn.XLOOKUP(B27,'Relacion '!$E:$E,'Relacion '!$D:$D,"")</f>
        <v>06. BW-EJECUCION</v>
      </c>
      <c r="E27" s="246">
        <f t="shared" si="0"/>
        <v>471</v>
      </c>
      <c r="F27" s="247" cm="1">
        <f t="array" ref="F27">MIN(INDEX('Relacion '!$X$5:$AM$493,MATCH(INDEX($B:$B, (ROW()-0)),'Relacion '!$E$5:$E$493,0),0))</f>
        <v>45659</v>
      </c>
      <c r="G27" s="247" cm="1">
        <f t="array" ref="G27">MAX(INDEX('Relacion '!$X$5:$AM$493,MATCH(INDEX($B:$B, (ROW()-0)),'Relacion '!$E$5:$E$493,0),0))</f>
        <v>46130</v>
      </c>
      <c r="H27" s="248" t="e">
        <f>_xlfn.XLOOKUP(B27, 'Plan de Trabajo'!$B$2:$B$1802, 'Plan de Trabajo'!$H$2:$H$1802)</f>
        <v>#REF!</v>
      </c>
      <c r="I27" s="248">
        <f ca="1">_xlfn.XLOOKUP(B27, 'Plan de Trabajo'!$B$2:$B$1802, 'Plan de Trabajo'!$I$2:$I$1802)</f>
        <v>1</v>
      </c>
      <c r="J27" s="249" t="str">
        <f>IF(ISNUMBER(SEARCH("Rocha", _xlfn.XLOOKUP(B27,'Relacion '!$E:$E,'Relacion '!$I:$I,""))), "Sí", "No")</f>
        <v>No</v>
      </c>
      <c r="K27" s="249" t="str">
        <f>IF(ISNUMBER(SEARCH("Rocha", _xlfn.XLOOKUP(B27,'Relacion '!$E:$E,'Relacion '!$I:$I,""))), "RMC", _xlfn.XLOOKUP(B27,'Relacion '!$E:$E,'Relacion '!$B:$B,""))</f>
        <v>Producto</v>
      </c>
      <c r="L27" s="249" t="str">
        <f>_xlfn.XLOOKUP(B27,'Relacion '!$E:$E,'Relacion '!$C:$C,"")</f>
        <v>Claudia Barroso</v>
      </c>
    </row>
    <row r="28" spans="2:12">
      <c r="B28" s="245" t="s">
        <v>135</v>
      </c>
      <c r="C28" s="184" t="s">
        <v>136</v>
      </c>
      <c r="D28" s="249" t="str">
        <f>_xlfn.XLOOKUP(B28,'Relacion '!$E:$E,'Relacion '!$D:$D,"")</f>
        <v>06. BW-EJECUCION</v>
      </c>
      <c r="E28" s="246">
        <f t="shared" si="0"/>
        <v>471</v>
      </c>
      <c r="F28" s="247" cm="1">
        <f t="array" ref="F28">MIN(INDEX('Relacion '!$X$5:$AM$493,MATCH(INDEX($B:$B, (ROW()-0)),'Relacion '!$E$5:$E$493,0),0))</f>
        <v>45659</v>
      </c>
      <c r="G28" s="247" cm="1">
        <f t="array" ref="G28">MAX(INDEX('Relacion '!$X$5:$AM$493,MATCH(INDEX($B:$B, (ROW()-0)),'Relacion '!$E$5:$E$493,0),0))</f>
        <v>46130</v>
      </c>
      <c r="H28" s="248" t="e">
        <f>_xlfn.XLOOKUP(B28, 'Plan de Trabajo'!$B$2:$B$1802, 'Plan de Trabajo'!$H$2:$H$1802)</f>
        <v>#REF!</v>
      </c>
      <c r="I28" s="248">
        <f ca="1">_xlfn.XLOOKUP(B28, 'Plan de Trabajo'!$B$2:$B$1802, 'Plan de Trabajo'!$I$2:$I$1802)</f>
        <v>1</v>
      </c>
      <c r="J28" s="249" t="str">
        <f>IF(ISNUMBER(SEARCH("Rocha", _xlfn.XLOOKUP(B28,'Relacion '!$E:$E,'Relacion '!$I:$I,""))), "Sí", "No")</f>
        <v>No</v>
      </c>
      <c r="K28" s="249" t="str">
        <f>IF(ISNUMBER(SEARCH("Rocha", _xlfn.XLOOKUP(B28,'Relacion '!$E:$E,'Relacion '!$I:$I,""))), "RMC", _xlfn.XLOOKUP(B28,'Relacion '!$E:$E,'Relacion '!$B:$B,""))</f>
        <v>Producto</v>
      </c>
      <c r="L28" s="249" t="str">
        <f>_xlfn.XLOOKUP(B28,'Relacion '!$E:$E,'Relacion '!$C:$C,"")</f>
        <v>Claudia Barroso</v>
      </c>
    </row>
    <row r="29" spans="2:12">
      <c r="B29" s="245" t="s">
        <v>438</v>
      </c>
      <c r="C29" s="184" t="s">
        <v>439</v>
      </c>
      <c r="D29" s="249" t="str">
        <f>_xlfn.XLOOKUP(B29,'Relacion '!$E:$E,'Relacion '!$D:$D,"")</f>
        <v>06. BW-EJECUCION</v>
      </c>
      <c r="E29" s="246">
        <f t="shared" si="0"/>
        <v>106</v>
      </c>
      <c r="F29" s="247" cm="1">
        <f t="array" ref="F29">MIN(INDEX('Relacion '!$X$5:$AM$493,MATCH(INDEX($B:$B, (ROW()-0)),'Relacion '!$E$5:$E$493,0),0))</f>
        <v>46024</v>
      </c>
      <c r="G29" s="247" cm="1">
        <f t="array" ref="G29">MAX(INDEX('Relacion '!$X$5:$AM$493,MATCH(INDEX($B:$B, (ROW()-0)),'Relacion '!$E$5:$E$493,0),0))</f>
        <v>46130</v>
      </c>
      <c r="H29" s="248" t="e">
        <f>_xlfn.XLOOKUP(B29, 'Plan de Trabajo'!$B$2:$B$1802, 'Plan de Trabajo'!$H$2:$H$1802)</f>
        <v>#REF!</v>
      </c>
      <c r="I29" s="248">
        <f ca="1">_xlfn.XLOOKUP(B29, 'Plan de Trabajo'!$B$2:$B$1802, 'Plan de Trabajo'!$I$2:$I$1802)</f>
        <v>1</v>
      </c>
      <c r="J29" s="249" t="str">
        <f>IF(ISNUMBER(SEARCH("Rocha", _xlfn.XLOOKUP(B29,'Relacion '!$E:$E,'Relacion '!$I:$I,""))), "Sí", "No")</f>
        <v>No</v>
      </c>
      <c r="K29" s="249" t="str">
        <f>IF(ISNUMBER(SEARCH("Rocha", _xlfn.XLOOKUP(B29,'Relacion '!$E:$E,'Relacion '!$I:$I,""))), "RMC", _xlfn.XLOOKUP(B29,'Relacion '!$E:$E,'Relacion '!$B:$B,""))</f>
        <v>Contabilidad</v>
      </c>
      <c r="L29" s="249" t="str">
        <f>_xlfn.XLOOKUP(B29,'Relacion '!$E:$E,'Relacion '!$C:$C,"")</f>
        <v xml:space="preserve">Ramon Jaimes </v>
      </c>
    </row>
    <row r="30" spans="2:12">
      <c r="B30" s="245" t="s">
        <v>441</v>
      </c>
      <c r="C30" s="172" t="s">
        <v>442</v>
      </c>
      <c r="D30" s="249" t="str">
        <f>_xlfn.XLOOKUP(B30,'Relacion '!$E:$E,'Relacion '!$D:$D,"")</f>
        <v>08. CERRADA</v>
      </c>
      <c r="E30" s="246">
        <f t="shared" si="0"/>
        <v>450</v>
      </c>
      <c r="F30" s="247" cm="1">
        <f t="array" ref="F30">MIN(INDEX('Relacion '!$X$5:$AM$493,MATCH(INDEX($B:$B, (ROW()-0)),'Relacion '!$E$5:$E$493,0),0))</f>
        <v>45659</v>
      </c>
      <c r="G30" s="247" cm="1">
        <f t="array" ref="G30">MAX(INDEX('Relacion '!$X$5:$AM$493,MATCH(INDEX($B:$B, (ROW()-0)),'Relacion '!$E$5:$E$493,0),0))</f>
        <v>46109</v>
      </c>
      <c r="H30" s="248" t="e">
        <f>_xlfn.XLOOKUP(B30, 'Plan de Trabajo'!$B$2:$B$1802, 'Plan de Trabajo'!$H$2:$H$1802)</f>
        <v>#REF!</v>
      </c>
      <c r="I30" s="248">
        <f ca="1">_xlfn.XLOOKUP(B30, 'Plan de Trabajo'!$B$2:$B$1802, 'Plan de Trabajo'!$I$2:$I$1802)</f>
        <v>1</v>
      </c>
      <c r="J30" s="249" t="str">
        <f>IF(ISNUMBER(SEARCH("Rocha", _xlfn.XLOOKUP(B30,'Relacion '!$E:$E,'Relacion '!$I:$I,""))), "Sí", "No")</f>
        <v>No</v>
      </c>
      <c r="K30" s="249" t="str">
        <f>IF(ISNUMBER(SEARCH("Rocha", _xlfn.XLOOKUP(B30,'Relacion '!$E:$E,'Relacion '!$I:$I,""))), "RMC", _xlfn.XLOOKUP(B30,'Relacion '!$E:$E,'Relacion '!$B:$B,""))</f>
        <v>Operaciones Captacion</v>
      </c>
      <c r="L30" s="249" t="str">
        <f>_xlfn.XLOOKUP(B30,'Relacion '!$E:$E,'Relacion '!$C:$C,"")</f>
        <v>Luis Alberto</v>
      </c>
    </row>
    <row r="31" spans="2:12">
      <c r="B31" s="245" t="s">
        <v>269</v>
      </c>
      <c r="C31" s="184" t="s">
        <v>270</v>
      </c>
      <c r="D31" s="249" t="str">
        <f>_xlfn.XLOOKUP(B31,'Relacion '!$E:$E,'Relacion '!$D:$D,"")</f>
        <v>02. MAPEO</v>
      </c>
      <c r="E31" s="246">
        <f t="shared" si="0"/>
        <v>544</v>
      </c>
      <c r="F31" s="247" cm="1">
        <f t="array" ref="F31">MIN(INDEX('Relacion '!$X$5:$AM$493,MATCH(INDEX($B:$B, (ROW()-0)),'Relacion '!$E$5:$E$493,0),0))</f>
        <v>45659</v>
      </c>
      <c r="G31" s="247" cm="1">
        <f t="array" ref="G31">MAX(INDEX('Relacion '!$X$5:$AM$493,MATCH(INDEX($B:$B, (ROW()-0)),'Relacion '!$E$5:$E$493,0),0))</f>
        <v>46203</v>
      </c>
      <c r="H31" s="248" t="e">
        <f>_xlfn.XLOOKUP(B31, 'Plan de Trabajo'!$B$2:$B$1802, 'Plan de Trabajo'!$H$2:$H$1802)</f>
        <v>#REF!</v>
      </c>
      <c r="I31" s="248">
        <f ca="1">_xlfn.XLOOKUP(B31, 'Plan de Trabajo'!$B$2:$B$1802, 'Plan de Trabajo'!$I$2:$I$1802)</f>
        <v>0.25</v>
      </c>
      <c r="J31" s="249" t="str">
        <f>IF(ISNUMBER(SEARCH("Rocha", _xlfn.XLOOKUP(B31,'Relacion '!$E:$E,'Relacion '!$I:$I,""))), "Sí", "No")</f>
        <v>No</v>
      </c>
      <c r="K31" s="249" t="str">
        <f>IF(ISNUMBER(SEARCH("Rocha", _xlfn.XLOOKUP(B31,'Relacion '!$E:$E,'Relacion '!$I:$I,""))), "RMC", _xlfn.XLOOKUP(B31,'Relacion '!$E:$E,'Relacion '!$B:$B,""))</f>
        <v>UNE</v>
      </c>
      <c r="L31" s="249" t="str">
        <f>_xlfn.XLOOKUP(B31,'Relacion '!$E:$E,'Relacion '!$C:$C,"")</f>
        <v>Martin Roman</v>
      </c>
    </row>
    <row r="32" spans="2:12">
      <c r="B32" s="245" t="s">
        <v>444</v>
      </c>
      <c r="C32" s="184" t="s">
        <v>445</v>
      </c>
      <c r="D32" s="249" t="str">
        <f>_xlfn.XLOOKUP(B32,'Relacion '!$E:$E,'Relacion '!$D:$D,"")</f>
        <v>06. BW-EJECUCION</v>
      </c>
      <c r="E32" s="246">
        <f t="shared" si="0"/>
        <v>106</v>
      </c>
      <c r="F32" s="247" cm="1">
        <f t="array" ref="F32">MIN(INDEX('Relacion '!$X$5:$AM$493,MATCH(INDEX($B:$B, (ROW()-0)),'Relacion '!$E$5:$E$493,0),0))</f>
        <v>46024</v>
      </c>
      <c r="G32" s="247" cm="1">
        <f t="array" ref="G32">MAX(INDEX('Relacion '!$X$5:$AM$493,MATCH(INDEX($B:$B, (ROW()-0)),'Relacion '!$E$5:$E$493,0),0))</f>
        <v>46130</v>
      </c>
      <c r="H32" s="248" t="e">
        <f>_xlfn.XLOOKUP(B32, 'Plan de Trabajo'!$B$2:$B$1802, 'Plan de Trabajo'!$H$2:$H$1802)</f>
        <v>#REF!</v>
      </c>
      <c r="I32" s="248">
        <f ca="1">_xlfn.XLOOKUP(B32, 'Plan de Trabajo'!$B$2:$B$1802, 'Plan de Trabajo'!$I$2:$I$1802)</f>
        <v>1</v>
      </c>
      <c r="J32" s="249" t="str">
        <f>IF(ISNUMBER(SEARCH("Rocha", _xlfn.XLOOKUP(B32,'Relacion '!$E:$E,'Relacion '!$I:$I,""))), "Sí", "No")</f>
        <v>No</v>
      </c>
      <c r="K32" s="249" t="str">
        <f>IF(ISNUMBER(SEARCH("Rocha", _xlfn.XLOOKUP(B32,'Relacion '!$E:$E,'Relacion '!$I:$I,""))), "RMC", _xlfn.XLOOKUP(B32,'Relacion '!$E:$E,'Relacion '!$B:$B,""))</f>
        <v>Contabilidad</v>
      </c>
      <c r="L32" s="249" t="str">
        <f>_xlfn.XLOOKUP(B32,'Relacion '!$E:$E,'Relacion '!$C:$C,"")</f>
        <v xml:space="preserve">Ramon Jaimes </v>
      </c>
    </row>
    <row r="33" spans="2:12">
      <c r="B33" s="245" t="s">
        <v>272</v>
      </c>
      <c r="C33" s="176" t="s">
        <v>273</v>
      </c>
      <c r="D33" s="249" t="str">
        <f>_xlfn.XLOOKUP(B33,'Relacion '!$E:$E,'Relacion '!$D:$D,"")</f>
        <v>02. MAPEO</v>
      </c>
      <c r="E33" s="246">
        <f t="shared" si="0"/>
        <v>158</v>
      </c>
      <c r="F33" s="247" cm="1">
        <f t="array" ref="F33">MIN(INDEX('Relacion '!$X$5:$AM$493,MATCH(INDEX($B:$B, (ROW()-0)),'Relacion '!$E$5:$E$493,0),0))</f>
        <v>46024</v>
      </c>
      <c r="G33" s="247" cm="1">
        <f t="array" ref="G33">MAX(INDEX('Relacion '!$X$5:$AM$493,MATCH(INDEX($B:$B, (ROW()-0)),'Relacion '!$E$5:$E$493,0),0))</f>
        <v>46182</v>
      </c>
      <c r="H33" s="248" t="e">
        <f>_xlfn.XLOOKUP(B33, 'Plan de Trabajo'!$B$2:$B$1802, 'Plan de Trabajo'!$H$2:$H$1802)</f>
        <v>#REF!</v>
      </c>
      <c r="I33" s="248">
        <f ca="1">_xlfn.XLOOKUP(B33, 'Plan de Trabajo'!$B$2:$B$1802, 'Plan de Trabajo'!$I$2:$I$1802)</f>
        <v>0.75</v>
      </c>
      <c r="J33" s="249" t="str">
        <f>IF(ISNUMBER(SEARCH("Rocha", _xlfn.XLOOKUP(B33,'Relacion '!$E:$E,'Relacion '!$I:$I,""))), "Sí", "No")</f>
        <v>No</v>
      </c>
      <c r="K33" s="249" t="str">
        <f>IF(ISNUMBER(SEARCH("Rocha", _xlfn.XLOOKUP(B33,'Relacion '!$E:$E,'Relacion '!$I:$I,""))), "RMC", _xlfn.XLOOKUP(B33,'Relacion '!$E:$E,'Relacion '!$B:$B,""))</f>
        <v>Riesgos</v>
      </c>
      <c r="L33" s="249" t="str">
        <f>_xlfn.XLOOKUP(B33,'Relacion '!$E:$E,'Relacion '!$C:$C,"")</f>
        <v>Homero Sanchez</v>
      </c>
    </row>
    <row r="34" spans="2:12">
      <c r="B34" s="245" t="s">
        <v>446</v>
      </c>
      <c r="C34" s="168" t="s">
        <v>447</v>
      </c>
      <c r="D34" s="249" t="str">
        <f>_xlfn.XLOOKUP(B34,'Relacion '!$E:$E,'Relacion '!$D:$D,"")</f>
        <v>04. VALIDA US</v>
      </c>
      <c r="E34" s="246">
        <f t="shared" si="0"/>
        <v>482</v>
      </c>
      <c r="F34" s="247" cm="1">
        <f t="array" ref="F34">MIN(INDEX('Relacion '!$X$5:$AM$493,MATCH(INDEX($B:$B, (ROW()-0)),'Relacion '!$E$5:$E$493,0),0))</f>
        <v>45659</v>
      </c>
      <c r="G34" s="247" cm="1">
        <f t="array" ref="G34">MAX(INDEX('Relacion '!$X$5:$AM$493,MATCH(INDEX($B:$B, (ROW()-0)),'Relacion '!$E$5:$E$493,0),0))</f>
        <v>46141</v>
      </c>
      <c r="H34" s="248" t="e">
        <f>_xlfn.XLOOKUP(B34, 'Plan de Trabajo'!$B$2:$B$1802, 'Plan de Trabajo'!$H$2:$H$1802)</f>
        <v>#REF!</v>
      </c>
      <c r="I34" s="248">
        <f ca="1">_xlfn.XLOOKUP(B34, 'Plan de Trabajo'!$B$2:$B$1802, 'Plan de Trabajo'!$I$2:$I$1802)</f>
        <v>1</v>
      </c>
      <c r="J34" s="249" t="str">
        <f>IF(ISNUMBER(SEARCH("Rocha", _xlfn.XLOOKUP(B34,'Relacion '!$E:$E,'Relacion '!$I:$I,""))), "Sí", "No")</f>
        <v>No</v>
      </c>
      <c r="K34" s="249" t="str">
        <f>IF(ISNUMBER(SEARCH("Rocha", _xlfn.XLOOKUP(B34,'Relacion '!$E:$E,'Relacion '!$I:$I,""))), "RMC", _xlfn.XLOOKUP(B34,'Relacion '!$E:$E,'Relacion '!$B:$B,""))</f>
        <v>Operaciones Captacion</v>
      </c>
      <c r="L34" s="249" t="str">
        <f>_xlfn.XLOOKUP(B34,'Relacion '!$E:$E,'Relacion '!$C:$C,"")</f>
        <v>Luis Alberto</v>
      </c>
    </row>
    <row r="35" spans="2:12">
      <c r="B35" s="245" t="s">
        <v>449</v>
      </c>
      <c r="C35" s="168" t="s">
        <v>450</v>
      </c>
      <c r="D35" s="249" t="str">
        <f>_xlfn.XLOOKUP(B35,'Relacion '!$E:$E,'Relacion '!$D:$D,"")</f>
        <v>04. VALIDA US</v>
      </c>
      <c r="E35" s="246">
        <f t="shared" si="0"/>
        <v>482</v>
      </c>
      <c r="F35" s="247" cm="1">
        <f t="array" ref="F35">MIN(INDEX('Relacion '!$X$5:$AM$493,MATCH(INDEX($B:$B, (ROW()-0)),'Relacion '!$E$5:$E$493,0),0))</f>
        <v>45659</v>
      </c>
      <c r="G35" s="247" cm="1">
        <f t="array" ref="G35">MAX(INDEX('Relacion '!$X$5:$AM$493,MATCH(INDEX($B:$B, (ROW()-0)),'Relacion '!$E$5:$E$493,0),0))</f>
        <v>46141</v>
      </c>
      <c r="H35" s="248" t="e">
        <f>_xlfn.XLOOKUP(B35, 'Plan de Trabajo'!$B$2:$B$1802, 'Plan de Trabajo'!$H$2:$H$1802)</f>
        <v>#REF!</v>
      </c>
      <c r="I35" s="248">
        <f ca="1">_xlfn.XLOOKUP(B35, 'Plan de Trabajo'!$B$2:$B$1802, 'Plan de Trabajo'!$I$2:$I$1802)</f>
        <v>1</v>
      </c>
      <c r="J35" s="249" t="str">
        <f>IF(ISNUMBER(SEARCH("Rocha", _xlfn.XLOOKUP(B35,'Relacion '!$E:$E,'Relacion '!$I:$I,""))), "Sí", "No")</f>
        <v>No</v>
      </c>
      <c r="K35" s="249" t="str">
        <f>IF(ISNUMBER(SEARCH("Rocha", _xlfn.XLOOKUP(B35,'Relacion '!$E:$E,'Relacion '!$I:$I,""))), "RMC", _xlfn.XLOOKUP(B35,'Relacion '!$E:$E,'Relacion '!$B:$B,""))</f>
        <v>Operaciones Captacion</v>
      </c>
      <c r="L35" s="249" t="str">
        <f>_xlfn.XLOOKUP(B35,'Relacion '!$E:$E,'Relacion '!$C:$C,"")</f>
        <v>Luis Alberto</v>
      </c>
    </row>
    <row r="36" spans="2:12">
      <c r="B36" s="245" t="s">
        <v>451</v>
      </c>
      <c r="C36" s="168" t="s">
        <v>452</v>
      </c>
      <c r="D36" s="249" t="str">
        <f>_xlfn.XLOOKUP(B36,'Relacion '!$E:$E,'Relacion '!$D:$D,"")</f>
        <v>04. VALIDA US</v>
      </c>
      <c r="E36" s="246">
        <f t="shared" si="0"/>
        <v>482</v>
      </c>
      <c r="F36" s="247" cm="1">
        <f t="array" ref="F36">MIN(INDEX('Relacion '!$X$5:$AM$493,MATCH(INDEX($B:$B, (ROW()-0)),'Relacion '!$E$5:$E$493,0),0))</f>
        <v>45659</v>
      </c>
      <c r="G36" s="247" cm="1">
        <f t="array" ref="G36">MAX(INDEX('Relacion '!$X$5:$AM$493,MATCH(INDEX($B:$B, (ROW()-0)),'Relacion '!$E$5:$E$493,0),0))</f>
        <v>46141</v>
      </c>
      <c r="H36" s="248" t="e">
        <f>_xlfn.XLOOKUP(B36, 'Plan de Trabajo'!$B$2:$B$1802, 'Plan de Trabajo'!$H$2:$H$1802)</f>
        <v>#REF!</v>
      </c>
      <c r="I36" s="248">
        <f ca="1">_xlfn.XLOOKUP(B36, 'Plan de Trabajo'!$B$2:$B$1802, 'Plan de Trabajo'!$I$2:$I$1802)</f>
        <v>1</v>
      </c>
      <c r="J36" s="249" t="str">
        <f>IF(ISNUMBER(SEARCH("Rocha", _xlfn.XLOOKUP(B36,'Relacion '!$E:$E,'Relacion '!$I:$I,""))), "Sí", "No")</f>
        <v>No</v>
      </c>
      <c r="K36" s="249" t="str">
        <f>IF(ISNUMBER(SEARCH("Rocha", _xlfn.XLOOKUP(B36,'Relacion '!$E:$E,'Relacion '!$I:$I,""))), "RMC", _xlfn.XLOOKUP(B36,'Relacion '!$E:$E,'Relacion '!$B:$B,""))</f>
        <v>Operaciones Captacion</v>
      </c>
      <c r="L36" s="249" t="str">
        <f>_xlfn.XLOOKUP(B36,'Relacion '!$E:$E,'Relacion '!$C:$C,"")</f>
        <v>Luis Alberto</v>
      </c>
    </row>
    <row r="37" spans="2:12">
      <c r="B37" s="245" t="s">
        <v>453</v>
      </c>
      <c r="C37" s="168" t="s">
        <v>454</v>
      </c>
      <c r="D37" s="249" t="str">
        <f>_xlfn.XLOOKUP(B37,'Relacion '!$E:$E,'Relacion '!$D:$D,"")</f>
        <v>04. VALIDA US</v>
      </c>
      <c r="E37" s="246">
        <f t="shared" si="0"/>
        <v>482</v>
      </c>
      <c r="F37" s="247" cm="1">
        <f t="array" ref="F37">MIN(INDEX('Relacion '!$X$5:$AM$493,MATCH(INDEX($B:$B, (ROW()-0)),'Relacion '!$E$5:$E$493,0),0))</f>
        <v>45659</v>
      </c>
      <c r="G37" s="247" cm="1">
        <f t="array" ref="G37">MAX(INDEX('Relacion '!$X$5:$AM$493,MATCH(INDEX($B:$B, (ROW()-0)),'Relacion '!$E$5:$E$493,0),0))</f>
        <v>46141</v>
      </c>
      <c r="H37" s="248" t="e">
        <f>_xlfn.XLOOKUP(B37, 'Plan de Trabajo'!$B$2:$B$1802, 'Plan de Trabajo'!$H$2:$H$1802)</f>
        <v>#REF!</v>
      </c>
      <c r="I37" s="248">
        <f ca="1">_xlfn.XLOOKUP(B37, 'Plan de Trabajo'!$B$2:$B$1802, 'Plan de Trabajo'!$I$2:$I$1802)</f>
        <v>1</v>
      </c>
      <c r="J37" s="249" t="str">
        <f>IF(ISNUMBER(SEARCH("Rocha", _xlfn.XLOOKUP(B37,'Relacion '!$E:$E,'Relacion '!$I:$I,""))), "Sí", "No")</f>
        <v>No</v>
      </c>
      <c r="K37" s="249" t="str">
        <f>IF(ISNUMBER(SEARCH("Rocha", _xlfn.XLOOKUP(B37,'Relacion '!$E:$E,'Relacion '!$I:$I,""))), "RMC", _xlfn.XLOOKUP(B37,'Relacion '!$E:$E,'Relacion '!$B:$B,""))</f>
        <v>Operaciones Captacion</v>
      </c>
      <c r="L37" s="249" t="str">
        <f>_xlfn.XLOOKUP(B37,'Relacion '!$E:$E,'Relacion '!$C:$C,"")</f>
        <v>Luis Alberto</v>
      </c>
    </row>
    <row r="38" spans="2:12">
      <c r="B38" s="245" t="s">
        <v>130</v>
      </c>
      <c r="C38" s="137" t="s">
        <v>131</v>
      </c>
      <c r="D38" s="249" t="str">
        <f>_xlfn.XLOOKUP(B38,'Relacion '!$E:$E,'Relacion '!$D:$D,"")</f>
        <v>04. VALIDA US</v>
      </c>
      <c r="E38" s="246">
        <f t="shared" si="0"/>
        <v>478</v>
      </c>
      <c r="F38" s="247" cm="1">
        <f t="array" ref="F38">MIN(INDEX('Relacion '!$X$5:$AM$493,MATCH(INDEX($B:$B, (ROW()-0)),'Relacion '!$E$5:$E$493,0),0))</f>
        <v>45659</v>
      </c>
      <c r="G38" s="247" cm="1">
        <f t="array" ref="G38">MAX(INDEX('Relacion '!$X$5:$AM$493,MATCH(INDEX($B:$B, (ROW()-0)),'Relacion '!$E$5:$E$493,0),0))</f>
        <v>46137</v>
      </c>
      <c r="H38" s="248" t="e">
        <f>_xlfn.XLOOKUP(B38, 'Plan de Trabajo'!$B$2:$B$1802, 'Plan de Trabajo'!$H$2:$H$1802)</f>
        <v>#REF!</v>
      </c>
      <c r="I38" s="248">
        <f ca="1">_xlfn.XLOOKUP(B38, 'Plan de Trabajo'!$B$2:$B$1802, 'Plan de Trabajo'!$I$2:$I$1802)</f>
        <v>1</v>
      </c>
      <c r="J38" s="249" t="str">
        <f>IF(ISNUMBER(SEARCH("Rocha", _xlfn.XLOOKUP(B38,'Relacion '!$E:$E,'Relacion '!$I:$I,""))), "Sí", "No")</f>
        <v>No</v>
      </c>
      <c r="K38" s="249" t="str">
        <f>IF(ISNUMBER(SEARCH("Rocha", _xlfn.XLOOKUP(B38,'Relacion '!$E:$E,'Relacion '!$I:$I,""))), "RMC", _xlfn.XLOOKUP(B38,'Relacion '!$E:$E,'Relacion '!$B:$B,""))</f>
        <v>Operaciones Captacion</v>
      </c>
      <c r="L38" s="249" t="str">
        <f>_xlfn.XLOOKUP(B38,'Relacion '!$E:$E,'Relacion '!$C:$C,"")</f>
        <v>Luis Alberto</v>
      </c>
    </row>
    <row r="39" spans="2:12">
      <c r="B39" s="245" t="s">
        <v>283</v>
      </c>
      <c r="C39" s="137" t="s">
        <v>284</v>
      </c>
      <c r="D39" s="249" t="str">
        <f>_xlfn.XLOOKUP(B39,'Relacion '!$E:$E,'Relacion '!$D:$D,"")</f>
        <v>06. BW-EJECUCION</v>
      </c>
      <c r="E39" s="246">
        <f t="shared" si="0"/>
        <v>134</v>
      </c>
      <c r="F39" s="247" cm="1">
        <f t="array" ref="F39">MIN(INDEX('Relacion '!$X$5:$AM$493,MATCH(INDEX($B:$B, (ROW()-0)),'Relacion '!$E$5:$E$493,0),0))</f>
        <v>46024</v>
      </c>
      <c r="G39" s="247" cm="1">
        <f t="array" ref="G39">MAX(INDEX('Relacion '!$X$5:$AM$493,MATCH(INDEX($B:$B, (ROW()-0)),'Relacion '!$E$5:$E$493,0),0))</f>
        <v>46158</v>
      </c>
      <c r="H39" s="248" t="e">
        <f>_xlfn.XLOOKUP(B39, 'Plan de Trabajo'!$B$2:$B$1802, 'Plan de Trabajo'!$H$2:$H$1802)</f>
        <v>#REF!</v>
      </c>
      <c r="I39" s="248">
        <f ca="1">_xlfn.XLOOKUP(B39, 'Plan de Trabajo'!$B$2:$B$1802, 'Plan de Trabajo'!$I$2:$I$1802)</f>
        <v>1</v>
      </c>
      <c r="J39" s="249" t="str">
        <f>IF(ISNUMBER(SEARCH("Rocha", _xlfn.XLOOKUP(B39,'Relacion '!$E:$E,'Relacion '!$I:$I,""))), "Sí", "No")</f>
        <v>No</v>
      </c>
      <c r="K39" s="249" t="str">
        <f>IF(ISNUMBER(SEARCH("Rocha", _xlfn.XLOOKUP(B39,'Relacion '!$E:$E,'Relacion '!$I:$I,""))), "RMC", _xlfn.XLOOKUP(B39,'Relacion '!$E:$E,'Relacion '!$B:$B,""))</f>
        <v xml:space="preserve">Contabilidad </v>
      </c>
      <c r="L39" s="249" t="str">
        <f>_xlfn.XLOOKUP(B39,'Relacion '!$E:$E,'Relacion '!$C:$C,"")</f>
        <v xml:space="preserve">Ramon Jaimes </v>
      </c>
    </row>
    <row r="40" spans="2:12">
      <c r="B40" s="245" t="s">
        <v>128</v>
      </c>
      <c r="C40" s="137" t="s">
        <v>129</v>
      </c>
      <c r="D40" s="249" t="str">
        <f>_xlfn.XLOOKUP(B40,'Relacion '!$E:$E,'Relacion '!$D:$D,"")</f>
        <v>04. VALIDA US</v>
      </c>
      <c r="E40" s="246">
        <f t="shared" si="0"/>
        <v>478</v>
      </c>
      <c r="F40" s="247" cm="1">
        <f t="array" ref="F40">MIN(INDEX('Relacion '!$X$5:$AM$493,MATCH(INDEX($B:$B, (ROW()-0)),'Relacion '!$E$5:$E$493,0),0))</f>
        <v>45659</v>
      </c>
      <c r="G40" s="247" cm="1">
        <f t="array" ref="G40">MAX(INDEX('Relacion '!$X$5:$AM$493,MATCH(INDEX($B:$B, (ROW()-0)),'Relacion '!$E$5:$E$493,0),0))</f>
        <v>46137</v>
      </c>
      <c r="H40" s="248" t="e">
        <f>_xlfn.XLOOKUP(B40, 'Plan de Trabajo'!$B$2:$B$1802, 'Plan de Trabajo'!$H$2:$H$1802)</f>
        <v>#REF!</v>
      </c>
      <c r="I40" s="248">
        <f ca="1">_xlfn.XLOOKUP(B40, 'Plan de Trabajo'!$B$2:$B$1802, 'Plan de Trabajo'!$I$2:$I$1802)</f>
        <v>1</v>
      </c>
      <c r="J40" s="249" t="str">
        <f>IF(ISNUMBER(SEARCH("Rocha", _xlfn.XLOOKUP(B40,'Relacion '!$E:$E,'Relacion '!$I:$I,""))), "Sí", "No")</f>
        <v>No</v>
      </c>
      <c r="K40" s="249" t="str">
        <f>IF(ISNUMBER(SEARCH("Rocha", _xlfn.XLOOKUP(B40,'Relacion '!$E:$E,'Relacion '!$I:$I,""))), "RMC", _xlfn.XLOOKUP(B40,'Relacion '!$E:$E,'Relacion '!$B:$B,""))</f>
        <v>Operaciones Credito</v>
      </c>
      <c r="L40" s="249" t="str">
        <f>_xlfn.XLOOKUP(B40,'Relacion '!$E:$E,'Relacion '!$C:$C,"")</f>
        <v>Luis Alberto</v>
      </c>
    </row>
    <row r="41" spans="2:12">
      <c r="B41" s="245" t="s">
        <v>290</v>
      </c>
      <c r="C41" s="137" t="s">
        <v>291</v>
      </c>
      <c r="D41" s="249" t="str">
        <f>_xlfn.XLOOKUP(B41,'Relacion '!$E:$E,'Relacion '!$D:$D,"")</f>
        <v>02. MAPEO</v>
      </c>
      <c r="E41" s="246">
        <f t="shared" si="0"/>
        <v>515</v>
      </c>
      <c r="F41" s="247" cm="1">
        <f t="array" ref="F41">MIN(INDEX('Relacion '!$X$5:$AM$493,MATCH(INDEX($B:$B, (ROW()-0)),'Relacion '!$E$5:$E$493,0),0))</f>
        <v>45659</v>
      </c>
      <c r="G41" s="247" cm="1">
        <f t="array" ref="G41">MAX(INDEX('Relacion '!$X$5:$AM$493,MATCH(INDEX($B:$B, (ROW()-0)),'Relacion '!$E$5:$E$493,0),0))</f>
        <v>46174</v>
      </c>
      <c r="H41" s="248" t="e">
        <f>_xlfn.XLOOKUP(B41, 'Plan de Trabajo'!$B$2:$B$1802, 'Plan de Trabajo'!$H$2:$H$1802)</f>
        <v>#REF!</v>
      </c>
      <c r="I41" s="248">
        <f ca="1">_xlfn.XLOOKUP(B41, 'Plan de Trabajo'!$B$2:$B$1802, 'Plan de Trabajo'!$I$2:$I$1802)</f>
        <v>0.75</v>
      </c>
      <c r="J41" s="249" t="str">
        <f>IF(ISNUMBER(SEARCH("Rocha", _xlfn.XLOOKUP(B41,'Relacion '!$E:$E,'Relacion '!$I:$I,""))), "Sí", "No")</f>
        <v>No</v>
      </c>
      <c r="K41" s="249" t="str">
        <f>IF(ISNUMBER(SEARCH("Rocha", _xlfn.XLOOKUP(B41,'Relacion '!$E:$E,'Relacion '!$I:$I,""))), "RMC", _xlfn.XLOOKUP(B41,'Relacion '!$E:$E,'Relacion '!$B:$B,""))</f>
        <v>Operaciones Captacion y credito</v>
      </c>
      <c r="L41" s="249" t="str">
        <f>_xlfn.XLOOKUP(B41,'Relacion '!$E:$E,'Relacion '!$C:$C,"")</f>
        <v>Luis Alberto</v>
      </c>
    </row>
    <row r="42" spans="2:12">
      <c r="B42" s="245" t="s">
        <v>124</v>
      </c>
      <c r="C42" s="137" t="s">
        <v>125</v>
      </c>
      <c r="D42" s="249" t="str">
        <f>_xlfn.XLOOKUP(B42,'Relacion '!$E:$E,'Relacion '!$D:$D,"")</f>
        <v>06. BW-EJECUCION</v>
      </c>
      <c r="E42" s="246">
        <f t="shared" si="0"/>
        <v>109</v>
      </c>
      <c r="F42" s="247" cm="1">
        <f t="array" ref="F42">MIN(INDEX('Relacion '!$X$5:$AM$493,MATCH(INDEX($B:$B, (ROW()-0)),'Relacion '!$E$5:$E$493,0),0))</f>
        <v>46024</v>
      </c>
      <c r="G42" s="247" cm="1">
        <f t="array" ref="G42">MAX(INDEX('Relacion '!$X$5:$AM$493,MATCH(INDEX($B:$B, (ROW()-0)),'Relacion '!$E$5:$E$493,0),0))</f>
        <v>46133</v>
      </c>
      <c r="H42" s="248" t="e">
        <f>_xlfn.XLOOKUP(B42, 'Plan de Trabajo'!$B$2:$B$1802, 'Plan de Trabajo'!$H$2:$H$1802)</f>
        <v>#REF!</v>
      </c>
      <c r="I42" s="248">
        <f ca="1">_xlfn.XLOOKUP(B42, 'Plan de Trabajo'!$B$2:$B$1802, 'Plan de Trabajo'!$I$2:$I$1802)</f>
        <v>1</v>
      </c>
      <c r="J42" s="249" t="str">
        <f>IF(ISNUMBER(SEARCH("Rocha", _xlfn.XLOOKUP(B42,'Relacion '!$E:$E,'Relacion '!$I:$I,""))), "Sí", "No")</f>
        <v>No</v>
      </c>
      <c r="K42" s="249" t="str">
        <f>IF(ISNUMBER(SEARCH("Rocha", _xlfn.XLOOKUP(B42,'Relacion '!$E:$E,'Relacion '!$I:$I,""))), "RMC", _xlfn.XLOOKUP(B42,'Relacion '!$E:$E,'Relacion '!$B:$B,""))</f>
        <v>Contabilidad</v>
      </c>
      <c r="L42" s="249" t="str">
        <f>_xlfn.XLOOKUP(B42,'Relacion '!$E:$E,'Relacion '!$C:$C,"")</f>
        <v xml:space="preserve">Ramon Jaimes </v>
      </c>
    </row>
    <row r="43" spans="2:12">
      <c r="B43" s="245" t="s">
        <v>216</v>
      </c>
      <c r="C43" s="176" t="s">
        <v>211</v>
      </c>
      <c r="D43" s="249" t="str">
        <f>_xlfn.XLOOKUP(B43,'Relacion '!$E:$E,'Relacion '!$D:$D,"")</f>
        <v>07. VALIDACIÓN BAJAWARE</v>
      </c>
      <c r="E43" s="246">
        <f t="shared" si="0"/>
        <v>148</v>
      </c>
      <c r="F43" s="247" cm="1">
        <f t="array" ref="F43">MIN(INDEX('Relacion '!$X$5:$AM$493,MATCH(INDEX($B:$B, (ROW()-0)),'Relacion '!$E$5:$E$493,0),0))</f>
        <v>46024</v>
      </c>
      <c r="G43" s="247" cm="1">
        <f t="array" ref="G43">MAX(INDEX('Relacion '!$X$5:$AM$493,MATCH(INDEX($B:$B, (ROW()-0)),'Relacion '!$E$5:$E$493,0),0))</f>
        <v>46172</v>
      </c>
      <c r="H43" s="248" t="e">
        <f>_xlfn.XLOOKUP(B43, 'Plan de Trabajo'!$B$2:$B$1802, 'Plan de Trabajo'!$H$2:$H$1802)</f>
        <v>#REF!</v>
      </c>
      <c r="I43" s="248">
        <f ca="1">_xlfn.XLOOKUP(B43, 'Plan de Trabajo'!$B$2:$B$1802, 'Plan de Trabajo'!$I$2:$I$1802)</f>
        <v>0.75</v>
      </c>
      <c r="J43" s="249" t="str">
        <f>IF(ISNUMBER(SEARCH("Rocha", _xlfn.XLOOKUP(B43,'Relacion '!$E:$E,'Relacion '!$I:$I,""))), "Sí", "No")</f>
        <v>No</v>
      </c>
      <c r="K43" s="249" t="str">
        <f>IF(ISNUMBER(SEARCH("Rocha", _xlfn.XLOOKUP(B43,'Relacion '!$E:$E,'Relacion '!$I:$I,""))), "RMC", _xlfn.XLOOKUP(B43,'Relacion '!$E:$E,'Relacion '!$B:$B,""))</f>
        <v>Tesorería </v>
      </c>
      <c r="L43" s="249" t="str">
        <f>_xlfn.XLOOKUP(B43,'Relacion '!$E:$E,'Relacion '!$C:$C,"")</f>
        <v>Eduardo Cabral</v>
      </c>
    </row>
    <row r="44" spans="2:12">
      <c r="B44" s="245" t="s">
        <v>310</v>
      </c>
      <c r="C44" s="137" t="s">
        <v>197</v>
      </c>
      <c r="D44" s="249" t="str">
        <f>_xlfn.XLOOKUP(B44,'Relacion '!$E:$E,'Relacion '!$D:$D,"")</f>
        <v xml:space="preserve">04. VALIDA US </v>
      </c>
      <c r="E44" s="246">
        <f t="shared" si="0"/>
        <v>123</v>
      </c>
      <c r="F44" s="247" cm="1">
        <f t="array" ref="F44">MIN(INDEX('Relacion '!$X$5:$AM$493,MATCH(INDEX($B:$B, (ROW()-0)),'Relacion '!$E$5:$E$493,0),0))</f>
        <v>46024</v>
      </c>
      <c r="G44" s="247" cm="1">
        <f t="array" ref="G44">MAX(INDEX('Relacion '!$X$5:$AM$493,MATCH(INDEX($B:$B, (ROW()-0)),'Relacion '!$E$5:$E$493,0),0))</f>
        <v>46147</v>
      </c>
      <c r="H44" s="248" t="e">
        <f>_xlfn.XLOOKUP(B44, 'Plan de Trabajo'!$B$2:$B$1802, 'Plan de Trabajo'!$H$2:$H$1802)</f>
        <v>#N/A</v>
      </c>
      <c r="I44" s="248">
        <f ca="1">_xlfn.XLOOKUP(B44, 'Plan de Trabajo'!$B$2:$B$1802, 'Plan de Trabajo'!$I$2:$I$1802)</f>
        <v>1</v>
      </c>
      <c r="J44" s="249" t="str">
        <f>IF(ISNUMBER(SEARCH("Rocha", _xlfn.XLOOKUP(B44,'Relacion '!$E:$E,'Relacion '!$I:$I,""))), "Sí", "No")</f>
        <v>No</v>
      </c>
      <c r="K44" s="249" t="str">
        <f>IF(ISNUMBER(SEARCH("Rocha", _xlfn.XLOOKUP(B44,'Relacion '!$E:$E,'Relacion '!$I:$I,""))), "RMC", _xlfn.XLOOKUP(B44,'Relacion '!$E:$E,'Relacion '!$B:$B,""))</f>
        <v>Tesorería </v>
      </c>
      <c r="L44" s="249" t="str">
        <f>_xlfn.XLOOKUP(B44,'Relacion '!$E:$E,'Relacion '!$C:$C,"")</f>
        <v>Eduardo Cabral</v>
      </c>
    </row>
    <row r="45" spans="2:12">
      <c r="B45" s="245" t="s">
        <v>120</v>
      </c>
      <c r="C45" s="137" t="s">
        <v>121</v>
      </c>
      <c r="D45" s="249" t="str">
        <f>_xlfn.XLOOKUP(B45,'Relacion '!$E:$E,'Relacion '!$D:$D,"")</f>
        <v>04. VALIDA US</v>
      </c>
      <c r="E45" s="246">
        <f t="shared" si="0"/>
        <v>478</v>
      </c>
      <c r="F45" s="247" cm="1">
        <f t="array" ref="F45">MIN(INDEX('Relacion '!$X$5:$AM$493,MATCH(INDEX($B:$B, (ROW()-0)),'Relacion '!$E$5:$E$493,0),0))</f>
        <v>45659</v>
      </c>
      <c r="G45" s="247" cm="1">
        <f t="array" ref="G45">MAX(INDEX('Relacion '!$X$5:$AM$493,MATCH(INDEX($B:$B, (ROW()-0)),'Relacion '!$E$5:$E$493,0),0))</f>
        <v>46137</v>
      </c>
      <c r="H45" s="248" t="e">
        <f>_xlfn.XLOOKUP(B45, 'Plan de Trabajo'!$B$2:$B$1802, 'Plan de Trabajo'!$H$2:$H$1802)</f>
        <v>#REF!</v>
      </c>
      <c r="I45" s="248">
        <f ca="1">_xlfn.XLOOKUP(B45, 'Plan de Trabajo'!$B$2:$B$1802, 'Plan de Trabajo'!$I$2:$I$1802)</f>
        <v>1</v>
      </c>
      <c r="J45" s="249" t="str">
        <f>IF(ISNUMBER(SEARCH("Rocha", _xlfn.XLOOKUP(B45,'Relacion '!$E:$E,'Relacion '!$I:$I,""))), "Sí", "No")</f>
        <v>No</v>
      </c>
      <c r="K45" s="249" t="str">
        <f>IF(ISNUMBER(SEARCH("Rocha", _xlfn.XLOOKUP(B45,'Relacion '!$E:$E,'Relacion '!$I:$I,""))), "RMC", _xlfn.XLOOKUP(B45,'Relacion '!$E:$E,'Relacion '!$B:$B,""))</f>
        <v>Operaciones Captacion</v>
      </c>
      <c r="L45" s="249" t="str">
        <f>_xlfn.XLOOKUP(B45,'Relacion '!$E:$E,'Relacion '!$C:$C,"")</f>
        <v>Luis Alberto</v>
      </c>
    </row>
    <row r="46" spans="2:12">
      <c r="B46" s="245" t="s">
        <v>494</v>
      </c>
      <c r="C46" s="137" t="s">
        <v>495</v>
      </c>
      <c r="D46" s="249" t="str">
        <f>_xlfn.XLOOKUP(B46,'Relacion '!$E:$E,'Relacion '!$D:$D,"")</f>
        <v>07. VALIDACIÓN BAJAWARE</v>
      </c>
      <c r="E46" s="246">
        <f t="shared" si="0"/>
        <v>109</v>
      </c>
      <c r="F46" s="247" cm="1">
        <f t="array" ref="F46">MIN(INDEX('Relacion '!$X$5:$AM$493,MATCH(INDEX($B:$B, (ROW()-0)),'Relacion '!$E$5:$E$493,0),0))</f>
        <v>46056</v>
      </c>
      <c r="G46" s="247" cm="1">
        <f t="array" ref="G46">MAX(INDEX('Relacion '!$X$5:$AM$493,MATCH(INDEX($B:$B, (ROW()-0)),'Relacion '!$E$5:$E$493,0),0))</f>
        <v>46165</v>
      </c>
      <c r="H46" s="248" t="e">
        <f>_xlfn.XLOOKUP(B46, 'Plan de Trabajo'!$B$2:$B$1802, 'Plan de Trabajo'!$H$2:$H$1802)</f>
        <v>#REF!</v>
      </c>
      <c r="I46" s="248">
        <f ca="1">_xlfn.XLOOKUP(B46, 'Plan de Trabajo'!$B$2:$B$1802, 'Plan de Trabajo'!$I$2:$I$1802)</f>
        <v>1</v>
      </c>
      <c r="J46" s="249" t="str">
        <f>IF(ISNUMBER(SEARCH("Rocha", _xlfn.XLOOKUP(B46,'Relacion '!$E:$E,'Relacion '!$I:$I,""))), "Sí", "No")</f>
        <v>No</v>
      </c>
      <c r="K46" s="249" t="str">
        <f>IF(ISNUMBER(SEARCH("Rocha", _xlfn.XLOOKUP(B46,'Relacion '!$E:$E,'Relacion '!$I:$I,""))), "RMC", _xlfn.XLOOKUP(B46,'Relacion '!$E:$E,'Relacion '!$B:$B,""))</f>
        <v>Tesorería </v>
      </c>
      <c r="L46" s="249" t="str">
        <f>_xlfn.XLOOKUP(B46,'Relacion '!$E:$E,'Relacion '!$C:$C,"")</f>
        <v>Eduardo Cabral</v>
      </c>
    </row>
    <row r="47" spans="2:12">
      <c r="B47" s="245" t="s">
        <v>118</v>
      </c>
      <c r="C47" s="137" t="s">
        <v>66</v>
      </c>
      <c r="D47" s="249" t="str">
        <f>_xlfn.XLOOKUP(B47,'Relacion '!$E:$E,'Relacion '!$D:$D,"")</f>
        <v>04. VALIDA US</v>
      </c>
      <c r="E47" s="246">
        <f t="shared" si="0"/>
        <v>478</v>
      </c>
      <c r="F47" s="247" cm="1">
        <f t="array" ref="F47">MIN(INDEX('Relacion '!$X$5:$AM$493,MATCH(INDEX($B:$B, (ROW()-0)),'Relacion '!$E$5:$E$493,0),0))</f>
        <v>45659</v>
      </c>
      <c r="G47" s="247" cm="1">
        <f t="array" ref="G47">MAX(INDEX('Relacion '!$X$5:$AM$493,MATCH(INDEX($B:$B, (ROW()-0)),'Relacion '!$E$5:$E$493,0),0))</f>
        <v>46137</v>
      </c>
      <c r="H47" s="248" t="e">
        <f>_xlfn.XLOOKUP(B47, 'Plan de Trabajo'!$B$2:$B$1802, 'Plan de Trabajo'!$H$2:$H$1802)</f>
        <v>#REF!</v>
      </c>
      <c r="I47" s="248">
        <f ca="1">_xlfn.XLOOKUP(B47, 'Plan de Trabajo'!$B$2:$B$1802, 'Plan de Trabajo'!$I$2:$I$1802)</f>
        <v>1</v>
      </c>
      <c r="J47" s="249" t="str">
        <f>IF(ISNUMBER(SEARCH("Rocha", _xlfn.XLOOKUP(B47,'Relacion '!$E:$E,'Relacion '!$I:$I,""))), "Sí", "No")</f>
        <v>No</v>
      </c>
      <c r="K47" s="249" t="str">
        <f>IF(ISNUMBER(SEARCH("Rocha", _xlfn.XLOOKUP(B47,'Relacion '!$E:$E,'Relacion '!$I:$I,""))), "RMC", _xlfn.XLOOKUP(B47,'Relacion '!$E:$E,'Relacion '!$B:$B,""))</f>
        <v>Operaciones Credito</v>
      </c>
      <c r="L47" s="249" t="str">
        <f>_xlfn.XLOOKUP(B47,'Relacion '!$E:$E,'Relacion '!$C:$C,"")</f>
        <v>Luis Alberto</v>
      </c>
    </row>
    <row r="48" spans="2:12">
      <c r="B48" s="245" t="s">
        <v>464</v>
      </c>
      <c r="C48" s="172" t="s">
        <v>417</v>
      </c>
      <c r="D48" s="249" t="str">
        <f>_xlfn.XLOOKUP(B48,'Relacion '!$E:$E,'Relacion '!$D:$D,"")</f>
        <v>08. CERRADA</v>
      </c>
      <c r="E48" s="246">
        <f t="shared" si="0"/>
        <v>449</v>
      </c>
      <c r="F48" s="247" cm="1">
        <f t="array" ref="F48">MIN(INDEX('Relacion '!$X$5:$AM$493,MATCH(INDEX($B:$B, (ROW()-0)),'Relacion '!$E$5:$E$493,0),0))</f>
        <v>45659</v>
      </c>
      <c r="G48" s="247" cm="1">
        <f t="array" ref="G48">MAX(INDEX('Relacion '!$X$5:$AM$493,MATCH(INDEX($B:$B, (ROW()-0)),'Relacion '!$E$5:$E$493,0),0))</f>
        <v>46108</v>
      </c>
      <c r="H48" s="248" t="e">
        <f>_xlfn.XLOOKUP(B48, 'Plan de Trabajo'!$B$2:$B$1802, 'Plan de Trabajo'!$H$2:$H$1802)</f>
        <v>#REF!</v>
      </c>
      <c r="I48" s="248">
        <f ca="1">_xlfn.XLOOKUP(B48, 'Plan de Trabajo'!$B$2:$B$1802, 'Plan de Trabajo'!$I$2:$I$1802)</f>
        <v>1</v>
      </c>
      <c r="J48" s="249" t="str">
        <f>IF(ISNUMBER(SEARCH("Rocha", _xlfn.XLOOKUP(B48,'Relacion '!$E:$E,'Relacion '!$I:$I,""))), "Sí", "No")</f>
        <v>No</v>
      </c>
      <c r="K48" s="249" t="str">
        <f>IF(ISNUMBER(SEARCH("Rocha", _xlfn.XLOOKUP(B48,'Relacion '!$E:$E,'Relacion '!$I:$I,""))), "RMC", _xlfn.XLOOKUP(B48,'Relacion '!$E:$E,'Relacion '!$B:$B,""))</f>
        <v>Producto</v>
      </c>
      <c r="L48" s="249" t="str">
        <f>_xlfn.XLOOKUP(B48,'Relacion '!$E:$E,'Relacion '!$C:$C,"")</f>
        <v>Claudia Barroso</v>
      </c>
    </row>
    <row r="49" spans="2:12">
      <c r="B49" s="245" t="s">
        <v>117</v>
      </c>
      <c r="C49" s="137" t="s">
        <v>63</v>
      </c>
      <c r="D49" s="249" t="str">
        <f>_xlfn.XLOOKUP(B49,'Relacion '!$E:$E,'Relacion '!$D:$D,"")</f>
        <v>04. VALIDA US</v>
      </c>
      <c r="E49" s="246">
        <f t="shared" si="0"/>
        <v>478</v>
      </c>
      <c r="F49" s="247" cm="1">
        <f t="array" ref="F49">MIN(INDEX('Relacion '!$X$5:$AM$493,MATCH(INDEX($B:$B, (ROW()-0)),'Relacion '!$E$5:$E$493,0),0))</f>
        <v>45659</v>
      </c>
      <c r="G49" s="247" cm="1">
        <f t="array" ref="G49">MAX(INDEX('Relacion '!$X$5:$AM$493,MATCH(INDEX($B:$B, (ROW()-0)),'Relacion '!$E$5:$E$493,0),0))</f>
        <v>46137</v>
      </c>
      <c r="H49" s="248" t="e">
        <f>_xlfn.XLOOKUP(B49, 'Plan de Trabajo'!$B$2:$B$1802, 'Plan de Trabajo'!$H$2:$H$1802)</f>
        <v>#REF!</v>
      </c>
      <c r="I49" s="248">
        <f ca="1">_xlfn.XLOOKUP(B49, 'Plan de Trabajo'!$B$2:$B$1802, 'Plan de Trabajo'!$I$2:$I$1802)</f>
        <v>1</v>
      </c>
      <c r="J49" s="249" t="str">
        <f>IF(ISNUMBER(SEARCH("Rocha", _xlfn.XLOOKUP(B49,'Relacion '!$E:$E,'Relacion '!$I:$I,""))), "Sí", "No")</f>
        <v>No</v>
      </c>
      <c r="K49" s="249" t="str">
        <f>IF(ISNUMBER(SEARCH("Rocha", _xlfn.XLOOKUP(B49,'Relacion '!$E:$E,'Relacion '!$I:$I,""))), "RMC", _xlfn.XLOOKUP(B49,'Relacion '!$E:$E,'Relacion '!$B:$B,""))</f>
        <v>Operaciones Credito</v>
      </c>
      <c r="L49" s="249" t="str">
        <f>_xlfn.XLOOKUP(B49,'Relacion '!$E:$E,'Relacion '!$C:$C,"")</f>
        <v>Luis Alberto</v>
      </c>
    </row>
    <row r="50" spans="2:12">
      <c r="B50" s="245" t="s">
        <v>465</v>
      </c>
      <c r="C50" s="168" t="s">
        <v>466</v>
      </c>
      <c r="D50" s="249" t="str">
        <f>_xlfn.XLOOKUP(B50,'Relacion '!$E:$E,'Relacion '!$D:$D,"")</f>
        <v>04. VALIDA US</v>
      </c>
      <c r="E50" s="246">
        <f t="shared" si="0"/>
        <v>482</v>
      </c>
      <c r="F50" s="247" cm="1">
        <f t="array" ref="F50">MIN(INDEX('Relacion '!$X$5:$AM$493,MATCH(INDEX($B:$B, (ROW()-0)),'Relacion '!$E$5:$E$493,0),0))</f>
        <v>45659</v>
      </c>
      <c r="G50" s="247" cm="1">
        <f t="array" ref="G50">MAX(INDEX('Relacion '!$X$5:$AM$493,MATCH(INDEX($B:$B, (ROW()-0)),'Relacion '!$E$5:$E$493,0),0))</f>
        <v>46141</v>
      </c>
      <c r="H50" s="248" t="e">
        <f>_xlfn.XLOOKUP(B50, 'Plan de Trabajo'!$B$2:$B$1802, 'Plan de Trabajo'!$H$2:$H$1802)</f>
        <v>#REF!</v>
      </c>
      <c r="I50" s="248">
        <f ca="1">_xlfn.XLOOKUP(B50, 'Plan de Trabajo'!$B$2:$B$1802, 'Plan de Trabajo'!$I$2:$I$1802)</f>
        <v>1</v>
      </c>
      <c r="J50" s="249" t="str">
        <f>IF(ISNUMBER(SEARCH("Rocha", _xlfn.XLOOKUP(B50,'Relacion '!$E:$E,'Relacion '!$I:$I,""))), "Sí", "No")</f>
        <v>No</v>
      </c>
      <c r="K50" s="249" t="str">
        <f>IF(ISNUMBER(SEARCH("Rocha", _xlfn.XLOOKUP(B50,'Relacion '!$E:$E,'Relacion '!$I:$I,""))), "RMC", _xlfn.XLOOKUP(B50,'Relacion '!$E:$E,'Relacion '!$B:$B,""))</f>
        <v>Operaciones Captacion</v>
      </c>
      <c r="L50" s="249" t="str">
        <f>_xlfn.XLOOKUP(B50,'Relacion '!$E:$E,'Relacion '!$C:$C,"")</f>
        <v>Arturo Angeles</v>
      </c>
    </row>
    <row r="51" spans="2:12">
      <c r="B51" s="245" t="s">
        <v>311</v>
      </c>
      <c r="C51" s="137" t="s">
        <v>312</v>
      </c>
      <c r="D51" s="249" t="str">
        <f>_xlfn.XLOOKUP(B51,'Relacion '!$E:$E,'Relacion '!$D:$D,"")</f>
        <v>03. DESARROLLO</v>
      </c>
      <c r="E51" s="246">
        <f t="shared" si="0"/>
        <v>134</v>
      </c>
      <c r="F51" s="247" cm="1">
        <f t="array" ref="F51">MIN(INDEX('Relacion '!$X$5:$AM$493,MATCH(INDEX($B:$B, (ROW()-0)),'Relacion '!$E$5:$E$493,0),0))</f>
        <v>46024</v>
      </c>
      <c r="G51" s="247" cm="1">
        <f t="array" ref="G51">MAX(INDEX('Relacion '!$X$5:$AM$493,MATCH(INDEX($B:$B, (ROW()-0)),'Relacion '!$E$5:$E$493,0),0))</f>
        <v>46158</v>
      </c>
      <c r="H51" s="248" t="e">
        <f>_xlfn.XLOOKUP(B51, 'Plan de Trabajo'!$B$2:$B$1802, 'Plan de Trabajo'!$H$2:$H$1802)</f>
        <v>#REF!</v>
      </c>
      <c r="I51" s="248">
        <f ca="1">_xlfn.XLOOKUP(B51, 'Plan de Trabajo'!$B$2:$B$1802, 'Plan de Trabajo'!$I$2:$I$1802)</f>
        <v>1</v>
      </c>
      <c r="J51" s="249" t="str">
        <f>IF(ISNUMBER(SEARCH("Rocha", _xlfn.XLOOKUP(B51,'Relacion '!$E:$E,'Relacion '!$I:$I,""))), "Sí", "No")</f>
        <v>No</v>
      </c>
      <c r="K51" s="249" t="str">
        <f>IF(ISNUMBER(SEARCH("Rocha", _xlfn.XLOOKUP(B51,'Relacion '!$E:$E,'Relacion '!$I:$I,""))), "RMC", _xlfn.XLOOKUP(B51,'Relacion '!$E:$E,'Relacion '!$B:$B,""))</f>
        <v>Captacion</v>
      </c>
      <c r="L51" s="249" t="str">
        <f>_xlfn.XLOOKUP(B51,'Relacion '!$E:$E,'Relacion '!$C:$C,"")</f>
        <v>Arturo Angeles</v>
      </c>
    </row>
    <row r="52" spans="2:12">
      <c r="B52" s="245" t="s">
        <v>469</v>
      </c>
      <c r="C52" s="185" t="s">
        <v>417</v>
      </c>
      <c r="D52" s="249" t="str">
        <f>_xlfn.XLOOKUP(B52,'Relacion '!$E:$E,'Relacion '!$D:$D,"")</f>
        <v>08. CERRADA</v>
      </c>
      <c r="E52" s="246">
        <f t="shared" si="0"/>
        <v>449</v>
      </c>
      <c r="F52" s="247" cm="1">
        <f t="array" ref="F52">MIN(INDEX('Relacion '!$X$5:$AM$493,MATCH(INDEX($B:$B, (ROW()-0)),'Relacion '!$E$5:$E$493,0),0))</f>
        <v>45659</v>
      </c>
      <c r="G52" s="247" cm="1">
        <f t="array" ref="G52">MAX(INDEX('Relacion '!$X$5:$AM$493,MATCH(INDEX($B:$B, (ROW()-0)),'Relacion '!$E$5:$E$493,0),0))</f>
        <v>46108</v>
      </c>
      <c r="H52" s="248" t="e">
        <f>_xlfn.XLOOKUP(B52, 'Plan de Trabajo'!$B$2:$B$1802, 'Plan de Trabajo'!$H$2:$H$1802)</f>
        <v>#REF!</v>
      </c>
      <c r="I52" s="248">
        <f ca="1">_xlfn.XLOOKUP(B52, 'Plan de Trabajo'!$B$2:$B$1802, 'Plan de Trabajo'!$I$2:$I$1802)</f>
        <v>1</v>
      </c>
      <c r="J52" s="249" t="str">
        <f>IF(ISNUMBER(SEARCH("Rocha", _xlfn.XLOOKUP(B52,'Relacion '!$E:$E,'Relacion '!$I:$I,""))), "Sí", "No")</f>
        <v>No</v>
      </c>
      <c r="K52" s="249" t="str">
        <f>IF(ISNUMBER(SEARCH("Rocha", _xlfn.XLOOKUP(B52,'Relacion '!$E:$E,'Relacion '!$I:$I,""))), "RMC", _xlfn.XLOOKUP(B52,'Relacion '!$E:$E,'Relacion '!$B:$B,""))</f>
        <v>Producto</v>
      </c>
      <c r="L52" s="249" t="str">
        <f>_xlfn.XLOOKUP(B52,'Relacion '!$E:$E,'Relacion '!$C:$C,"")</f>
        <v>Claudia Barroso</v>
      </c>
    </row>
    <row r="53" spans="2:12">
      <c r="B53" s="245" t="s">
        <v>308</v>
      </c>
      <c r="C53" s="137" t="s">
        <v>309</v>
      </c>
      <c r="D53" s="249" t="str">
        <f>_xlfn.XLOOKUP(B53,'Relacion '!$E:$E,'Relacion '!$D:$D,"")</f>
        <v>02. MAPEO</v>
      </c>
      <c r="E53" s="246">
        <f t="shared" si="0"/>
        <v>172</v>
      </c>
      <c r="F53" s="247" cm="1">
        <f t="array" ref="F53">MIN(INDEX('Relacion '!$X$5:$AM$493,MATCH(INDEX($B:$B, (ROW()-0)),'Relacion '!$E$5:$E$493,0),0))</f>
        <v>46024</v>
      </c>
      <c r="G53" s="247" cm="1">
        <f t="array" ref="G53">MAX(INDEX('Relacion '!$X$5:$AM$493,MATCH(INDEX($B:$B, (ROW()-0)),'Relacion '!$E$5:$E$493,0),0))</f>
        <v>46196</v>
      </c>
      <c r="H53" s="248" t="e">
        <f>_xlfn.XLOOKUP(B53, 'Plan de Trabajo'!$B$2:$B$1802, 'Plan de Trabajo'!$H$2:$H$1802)</f>
        <v>#REF!</v>
      </c>
      <c r="I53" s="248">
        <f ca="1">_xlfn.XLOOKUP(B53, 'Plan de Trabajo'!$B$2:$B$1802, 'Plan de Trabajo'!$I$2:$I$1802)</f>
        <v>0.375</v>
      </c>
      <c r="J53" s="249" t="str">
        <f>IF(ISNUMBER(SEARCH("Rocha", _xlfn.XLOOKUP(B53,'Relacion '!$E:$E,'Relacion '!$I:$I,""))), "Sí", "No")</f>
        <v>No</v>
      </c>
      <c r="K53" s="249" t="str">
        <f>IF(ISNUMBER(SEARCH("Rocha", _xlfn.XLOOKUP(B53,'Relacion '!$E:$E,'Relacion '!$I:$I,""))), "RMC", _xlfn.XLOOKUP(B53,'Relacion '!$E:$E,'Relacion '!$B:$B,""))</f>
        <v>Tesorería </v>
      </c>
      <c r="L53" s="249" t="str">
        <f>_xlfn.XLOOKUP(B53,'Relacion '!$E:$E,'Relacion '!$C:$C,"")</f>
        <v>Eduardo Cabral</v>
      </c>
    </row>
    <row r="54" spans="2:12">
      <c r="B54" s="245" t="s">
        <v>471</v>
      </c>
      <c r="C54" s="137" t="s">
        <v>472</v>
      </c>
      <c r="D54" s="249" t="str">
        <f>_xlfn.XLOOKUP(B54,'Relacion '!$E:$E,'Relacion '!$D:$D,"")</f>
        <v>06. BW-EJECUCION</v>
      </c>
      <c r="E54" s="246">
        <f t="shared" si="0"/>
        <v>99</v>
      </c>
      <c r="F54" s="247" cm="1">
        <f t="array" ref="F54">MIN(INDEX('Relacion '!$X$5:$AM$493,MATCH(INDEX($B:$B, (ROW()-0)),'Relacion '!$E$5:$E$493,0),0))</f>
        <v>46024</v>
      </c>
      <c r="G54" s="247" cm="1">
        <f t="array" ref="G54">MAX(INDEX('Relacion '!$X$5:$AM$493,MATCH(INDEX($B:$B, (ROW()-0)),'Relacion '!$E$5:$E$493,0),0))</f>
        <v>46123</v>
      </c>
      <c r="H54" s="248" t="e">
        <f>_xlfn.XLOOKUP(B54, 'Plan de Trabajo'!$B$2:$B$1802, 'Plan de Trabajo'!$H$2:$H$1802)</f>
        <v>#REF!</v>
      </c>
      <c r="I54" s="248">
        <f ca="1">_xlfn.XLOOKUP(B54, 'Plan de Trabajo'!$B$2:$B$1802, 'Plan de Trabajo'!$I$2:$I$1802)</f>
        <v>1</v>
      </c>
      <c r="J54" s="249" t="str">
        <f>IF(ISNUMBER(SEARCH("Rocha", _xlfn.XLOOKUP(B54,'Relacion '!$E:$E,'Relacion '!$I:$I,""))), "Sí", "No")</f>
        <v>No</v>
      </c>
      <c r="K54" s="249" t="str">
        <f>IF(ISNUMBER(SEARCH("Rocha", _xlfn.XLOOKUP(B54,'Relacion '!$E:$E,'Relacion '!$I:$I,""))), "RMC", _xlfn.XLOOKUP(B54,'Relacion '!$E:$E,'Relacion '!$B:$B,""))</f>
        <v>Riesgos y tesoreria</v>
      </c>
      <c r="L54" s="249" t="str">
        <f>_xlfn.XLOOKUP(B54,'Relacion '!$E:$E,'Relacion '!$C:$C,"")</f>
        <v>Homero Sanchez</v>
      </c>
    </row>
    <row r="55" spans="2:12">
      <c r="B55" s="245" t="s">
        <v>475</v>
      </c>
      <c r="C55" s="137" t="s">
        <v>476</v>
      </c>
      <c r="D55" s="249" t="str">
        <f>_xlfn.XLOOKUP(B55,'Relacion '!$E:$E,'Relacion '!$D:$D,"")</f>
        <v>04. VALIDA US</v>
      </c>
      <c r="E55" s="246">
        <f t="shared" si="0"/>
        <v>471</v>
      </c>
      <c r="F55" s="247" cm="1">
        <f t="array" ref="F55">MIN(INDEX('Relacion '!$X$5:$AM$493,MATCH(INDEX($B:$B, (ROW()-0)),'Relacion '!$E$5:$E$493,0),0))</f>
        <v>45659</v>
      </c>
      <c r="G55" s="247" cm="1">
        <f t="array" ref="G55">MAX(INDEX('Relacion '!$X$5:$AM$493,MATCH(INDEX($B:$B, (ROW()-0)),'Relacion '!$E$5:$E$493,0),0))</f>
        <v>46130</v>
      </c>
      <c r="H55" s="248" t="e">
        <f>_xlfn.XLOOKUP(B55, 'Plan de Trabajo'!$B$2:$B$1802, 'Plan de Trabajo'!$H$2:$H$1802)</f>
        <v>#REF!</v>
      </c>
      <c r="I55" s="248">
        <f ca="1">_xlfn.XLOOKUP(B55, 'Plan de Trabajo'!$B$2:$B$1802, 'Plan de Trabajo'!$I$2:$I$1802)</f>
        <v>1</v>
      </c>
      <c r="J55" s="249" t="str">
        <f>IF(ISNUMBER(SEARCH("Rocha", _xlfn.XLOOKUP(B55,'Relacion '!$E:$E,'Relacion '!$I:$I,""))), "Sí", "No")</f>
        <v>No</v>
      </c>
      <c r="K55" s="249" t="str">
        <f>IF(ISNUMBER(SEARCH("Rocha", _xlfn.XLOOKUP(B55,'Relacion '!$E:$E,'Relacion '!$I:$I,""))), "RMC", _xlfn.XLOOKUP(B55,'Relacion '!$E:$E,'Relacion '!$B:$B,""))</f>
        <v>Producto</v>
      </c>
      <c r="L55" s="249" t="str">
        <f>_xlfn.XLOOKUP(B55,'Relacion '!$E:$E,'Relacion '!$C:$C,"")</f>
        <v>Claudia Barroso</v>
      </c>
    </row>
    <row r="56" spans="2:12">
      <c r="B56" s="245" t="s">
        <v>477</v>
      </c>
      <c r="C56" s="172" t="s">
        <v>476</v>
      </c>
      <c r="D56" s="249" t="str">
        <f>_xlfn.XLOOKUP(B56,'Relacion '!$E:$E,'Relacion '!$D:$D,"")</f>
        <v>08. CERRADA</v>
      </c>
      <c r="E56" s="246">
        <f t="shared" si="0"/>
        <v>449</v>
      </c>
      <c r="F56" s="247" cm="1">
        <f t="array" ref="F56">MIN(INDEX('Relacion '!$X$5:$AM$493,MATCH(INDEX($B:$B, (ROW()-0)),'Relacion '!$E$5:$E$493,0),0))</f>
        <v>45659</v>
      </c>
      <c r="G56" s="247" cm="1">
        <f t="array" ref="G56">MAX(INDEX('Relacion '!$X$5:$AM$493,MATCH(INDEX($B:$B, (ROW()-0)),'Relacion '!$E$5:$E$493,0),0))</f>
        <v>46108</v>
      </c>
      <c r="H56" s="248" t="e">
        <f>_xlfn.XLOOKUP(B56, 'Plan de Trabajo'!$B$2:$B$1802, 'Plan de Trabajo'!$H$2:$H$1802)</f>
        <v>#REF!</v>
      </c>
      <c r="I56" s="248">
        <f ca="1">_xlfn.XLOOKUP(B56, 'Plan de Trabajo'!$B$2:$B$1802, 'Plan de Trabajo'!$I$2:$I$1802)</f>
        <v>1</v>
      </c>
      <c r="J56" s="249" t="str">
        <f>IF(ISNUMBER(SEARCH("Rocha", _xlfn.XLOOKUP(B56,'Relacion '!$E:$E,'Relacion '!$I:$I,""))), "Sí", "No")</f>
        <v>No</v>
      </c>
      <c r="K56" s="249" t="str">
        <f>IF(ISNUMBER(SEARCH("Rocha", _xlfn.XLOOKUP(B56,'Relacion '!$E:$E,'Relacion '!$I:$I,""))), "RMC", _xlfn.XLOOKUP(B56,'Relacion '!$E:$E,'Relacion '!$B:$B,""))</f>
        <v>Producto</v>
      </c>
      <c r="L56" s="249" t="str">
        <f>_xlfn.XLOOKUP(B56,'Relacion '!$E:$E,'Relacion '!$C:$C,"")</f>
        <v>Claudia Barroso</v>
      </c>
    </row>
    <row r="57" spans="2:12">
      <c r="B57" s="245" t="s">
        <v>478</v>
      </c>
      <c r="C57" s="172" t="s">
        <v>476</v>
      </c>
      <c r="D57" s="249" t="str">
        <f>_xlfn.XLOOKUP(B57,'Relacion '!$E:$E,'Relacion '!$D:$D,"")</f>
        <v>08. CERRADA</v>
      </c>
      <c r="E57" s="246">
        <f t="shared" si="0"/>
        <v>449</v>
      </c>
      <c r="F57" s="247" cm="1">
        <f t="array" ref="F57">MIN(INDEX('Relacion '!$X$5:$AM$493,MATCH(INDEX($B:$B, (ROW()-0)),'Relacion '!$E$5:$E$493,0),0))</f>
        <v>45659</v>
      </c>
      <c r="G57" s="247" cm="1">
        <f t="array" ref="G57">MAX(INDEX('Relacion '!$X$5:$AM$493,MATCH(INDEX($B:$B, (ROW()-0)),'Relacion '!$E$5:$E$493,0),0))</f>
        <v>46108</v>
      </c>
      <c r="H57" s="248" t="e">
        <f>_xlfn.XLOOKUP(B57, 'Plan de Trabajo'!$B$2:$B$1802, 'Plan de Trabajo'!$H$2:$H$1802)</f>
        <v>#REF!</v>
      </c>
      <c r="I57" s="248">
        <f ca="1">_xlfn.XLOOKUP(B57, 'Plan de Trabajo'!$B$2:$B$1802, 'Plan de Trabajo'!$I$2:$I$1802)</f>
        <v>1</v>
      </c>
      <c r="J57" s="249" t="str">
        <f>IF(ISNUMBER(SEARCH("Rocha", _xlfn.XLOOKUP(B57,'Relacion '!$E:$E,'Relacion '!$I:$I,""))), "Sí", "No")</f>
        <v>No</v>
      </c>
      <c r="K57" s="249" t="str">
        <f>IF(ISNUMBER(SEARCH("Rocha", _xlfn.XLOOKUP(B57,'Relacion '!$E:$E,'Relacion '!$I:$I,""))), "RMC", _xlfn.XLOOKUP(B57,'Relacion '!$E:$E,'Relacion '!$B:$B,""))</f>
        <v>Producto</v>
      </c>
      <c r="L57" s="249" t="str">
        <f>_xlfn.XLOOKUP(B57,'Relacion '!$E:$E,'Relacion '!$C:$C,"")</f>
        <v>Claudia Barroso</v>
      </c>
    </row>
    <row r="58" spans="2:12">
      <c r="B58" s="245" t="s">
        <v>479</v>
      </c>
      <c r="C58" s="188" t="s">
        <v>476</v>
      </c>
      <c r="D58" s="249" t="str">
        <f>_xlfn.XLOOKUP(B58,'Relacion '!$E:$E,'Relacion '!$D:$D,"")</f>
        <v>08. CERRADA</v>
      </c>
      <c r="E58" s="246">
        <f t="shared" si="0"/>
        <v>449</v>
      </c>
      <c r="F58" s="247" cm="1">
        <f t="array" ref="F58">MIN(INDEX('Relacion '!$X$5:$AM$493,MATCH(INDEX($B:$B, (ROW()-0)),'Relacion '!$E$5:$E$493,0),0))</f>
        <v>45659</v>
      </c>
      <c r="G58" s="247" cm="1">
        <f t="array" ref="G58">MAX(INDEX('Relacion '!$X$5:$AM$493,MATCH(INDEX($B:$B, (ROW()-0)),'Relacion '!$E$5:$E$493,0),0))</f>
        <v>46108</v>
      </c>
      <c r="H58" s="248" t="e">
        <f>_xlfn.XLOOKUP(B58, 'Plan de Trabajo'!$B$2:$B$1802, 'Plan de Trabajo'!$H$2:$H$1802)</f>
        <v>#REF!</v>
      </c>
      <c r="I58" s="248">
        <f ca="1">_xlfn.XLOOKUP(B58, 'Plan de Trabajo'!$B$2:$B$1802, 'Plan de Trabajo'!$I$2:$I$1802)</f>
        <v>1</v>
      </c>
      <c r="J58" s="249" t="str">
        <f>IF(ISNUMBER(SEARCH("Rocha", _xlfn.XLOOKUP(B58,'Relacion '!$E:$E,'Relacion '!$I:$I,""))), "Sí", "No")</f>
        <v>No</v>
      </c>
      <c r="K58" s="249" t="str">
        <f>IF(ISNUMBER(SEARCH("Rocha", _xlfn.XLOOKUP(B58,'Relacion '!$E:$E,'Relacion '!$I:$I,""))), "RMC", _xlfn.XLOOKUP(B58,'Relacion '!$E:$E,'Relacion '!$B:$B,""))</f>
        <v>Producto</v>
      </c>
      <c r="L58" s="249" t="str">
        <f>_xlfn.XLOOKUP(B58,'Relacion '!$E:$E,'Relacion '!$C:$C,"")</f>
        <v>Claudia Barroso</v>
      </c>
    </row>
    <row r="59" spans="2:12">
      <c r="B59" s="245" t="s">
        <v>480</v>
      </c>
      <c r="C59" s="188" t="s">
        <v>476</v>
      </c>
      <c r="D59" s="249" t="str">
        <f>_xlfn.XLOOKUP(B59,'Relacion '!$E:$E,'Relacion '!$D:$D,"")</f>
        <v>08. CERRADA</v>
      </c>
      <c r="E59" s="246">
        <f t="shared" si="0"/>
        <v>449</v>
      </c>
      <c r="F59" s="247" cm="1">
        <f t="array" ref="F59">MIN(INDEX('Relacion '!$X$5:$AM$493,MATCH(INDEX($B:$B, (ROW()-0)),'Relacion '!$E$5:$E$493,0),0))</f>
        <v>45659</v>
      </c>
      <c r="G59" s="247" cm="1">
        <f t="array" ref="G59">MAX(INDEX('Relacion '!$X$5:$AM$493,MATCH(INDEX($B:$B, (ROW()-0)),'Relacion '!$E$5:$E$493,0),0))</f>
        <v>46108</v>
      </c>
      <c r="H59" s="248" t="e">
        <f>_xlfn.XLOOKUP(B59, 'Plan de Trabajo'!$B$2:$B$1802, 'Plan de Trabajo'!$H$2:$H$1802)</f>
        <v>#REF!</v>
      </c>
      <c r="I59" s="248">
        <f ca="1">_xlfn.XLOOKUP(B59, 'Plan de Trabajo'!$B$2:$B$1802, 'Plan de Trabajo'!$I$2:$I$1802)</f>
        <v>1</v>
      </c>
      <c r="J59" s="249" t="str">
        <f>IF(ISNUMBER(SEARCH("Rocha", _xlfn.XLOOKUP(B59,'Relacion '!$E:$E,'Relacion '!$I:$I,""))), "Sí", "No")</f>
        <v>No</v>
      </c>
      <c r="K59" s="249" t="str">
        <f>IF(ISNUMBER(SEARCH("Rocha", _xlfn.XLOOKUP(B59,'Relacion '!$E:$E,'Relacion '!$I:$I,""))), "RMC", _xlfn.XLOOKUP(B59,'Relacion '!$E:$E,'Relacion '!$B:$B,""))</f>
        <v>Producto</v>
      </c>
      <c r="L59" s="249" t="str">
        <f>_xlfn.XLOOKUP(B59,'Relacion '!$E:$E,'Relacion '!$C:$C,"")</f>
        <v>Claudia Barroso</v>
      </c>
    </row>
    <row r="60" spans="2:12">
      <c r="B60" s="245" t="s">
        <v>116</v>
      </c>
      <c r="C60" s="137" t="s">
        <v>66</v>
      </c>
      <c r="D60" s="249" t="str">
        <f>_xlfn.XLOOKUP(B60,'Relacion '!$E:$E,'Relacion '!$D:$D,"")</f>
        <v>04. VALIDA US</v>
      </c>
      <c r="E60" s="246">
        <f t="shared" si="0"/>
        <v>478</v>
      </c>
      <c r="F60" s="247" cm="1">
        <f t="array" ref="F60">MIN(INDEX('Relacion '!$X$5:$AM$493,MATCH(INDEX($B:$B, (ROW()-0)),'Relacion '!$E$5:$E$493,0),0))</f>
        <v>45659</v>
      </c>
      <c r="G60" s="247" cm="1">
        <f t="array" ref="G60">MAX(INDEX('Relacion '!$X$5:$AM$493,MATCH(INDEX($B:$B, (ROW()-0)),'Relacion '!$E$5:$E$493,0),0))</f>
        <v>46137</v>
      </c>
      <c r="H60" s="248" t="e">
        <f>_xlfn.XLOOKUP(B60, 'Plan de Trabajo'!$B$2:$B$1802, 'Plan de Trabajo'!$H$2:$H$1802)</f>
        <v>#REF!</v>
      </c>
      <c r="I60" s="248">
        <f ca="1">_xlfn.XLOOKUP(B60, 'Plan de Trabajo'!$B$2:$B$1802, 'Plan de Trabajo'!$I$2:$I$1802)</f>
        <v>1</v>
      </c>
      <c r="J60" s="249" t="str">
        <f>IF(ISNUMBER(SEARCH("Rocha", _xlfn.XLOOKUP(B60,'Relacion '!$E:$E,'Relacion '!$I:$I,""))), "Sí", "No")</f>
        <v>No</v>
      </c>
      <c r="K60" s="249" t="str">
        <f>IF(ISNUMBER(SEARCH("Rocha", _xlfn.XLOOKUP(B60,'Relacion '!$E:$E,'Relacion '!$I:$I,""))), "RMC", _xlfn.XLOOKUP(B60,'Relacion '!$E:$E,'Relacion '!$B:$B,""))</f>
        <v>Operaciones Credito</v>
      </c>
      <c r="L60" s="249" t="str">
        <f>_xlfn.XLOOKUP(B60,'Relacion '!$E:$E,'Relacion '!$C:$C,"")</f>
        <v>Luis Alberto</v>
      </c>
    </row>
    <row r="61" spans="2:12">
      <c r="B61" s="245" t="s">
        <v>27</v>
      </c>
      <c r="C61" s="137" t="s">
        <v>481</v>
      </c>
      <c r="D61" s="249" t="str">
        <f>_xlfn.XLOOKUP(B61,'Relacion '!$E:$E,'Relacion '!$D:$D,"")</f>
        <v>02. MAPEO</v>
      </c>
      <c r="E61" s="246">
        <f t="shared" si="0"/>
        <v>96</v>
      </c>
      <c r="F61" s="247" cm="1">
        <f t="array" ref="F61">MIN(INDEX('Relacion '!$X$5:$AM$493,MATCH(INDEX($B:$B, (ROW()-0)),'Relacion '!$E$5:$E$493,0),0))</f>
        <v>46024</v>
      </c>
      <c r="G61" s="247" cm="1">
        <f t="array" ref="G61">MAX(INDEX('Relacion '!$X$5:$AM$493,MATCH(INDEX($B:$B, (ROW()-0)),'Relacion '!$E$5:$E$493,0),0))</f>
        <v>46120</v>
      </c>
      <c r="H61" s="248" t="e">
        <f>_xlfn.XLOOKUP(B61, 'Plan de Trabajo'!$B$2:$B$1802, 'Plan de Trabajo'!$H$2:$H$1802)</f>
        <v>#REF!</v>
      </c>
      <c r="I61" s="248">
        <f ca="1">_xlfn.XLOOKUP(B61, 'Plan de Trabajo'!$B$2:$B$1802, 'Plan de Trabajo'!$I$2:$I$1802)</f>
        <v>1</v>
      </c>
      <c r="J61" s="249" t="str">
        <f>IF(ISNUMBER(SEARCH("Rocha", _xlfn.XLOOKUP(B61,'Relacion '!$E:$E,'Relacion '!$I:$I,""))), "Sí", "No")</f>
        <v>No</v>
      </c>
      <c r="K61" s="249" t="str">
        <f>IF(ISNUMBER(SEARCH("Rocha", _xlfn.XLOOKUP(B61,'Relacion '!$E:$E,'Relacion '!$I:$I,""))), "RMC", _xlfn.XLOOKUP(B61,'Relacion '!$E:$E,'Relacion '!$B:$B,""))</f>
        <v>Contabilidad</v>
      </c>
      <c r="L61" s="249" t="str">
        <f>_xlfn.XLOOKUP(B61,'Relacion '!$E:$E,'Relacion '!$C:$C,"")</f>
        <v xml:space="preserve">Ramon Jaimes </v>
      </c>
    </row>
    <row r="62" spans="2:12">
      <c r="B62" s="245" t="s">
        <v>485</v>
      </c>
      <c r="C62" s="137" t="s">
        <v>486</v>
      </c>
      <c r="D62" s="249" t="str">
        <f>_xlfn.XLOOKUP(B62,'Relacion '!$E:$E,'Relacion '!$D:$D,"")</f>
        <v>06. BW-EJECUCION</v>
      </c>
      <c r="E62" s="246">
        <f t="shared" si="0"/>
        <v>106</v>
      </c>
      <c r="F62" s="247" cm="1">
        <f t="array" ref="F62">MIN(INDEX('Relacion '!$X$5:$AM$493,MATCH(INDEX($B:$B, (ROW()-0)),'Relacion '!$E$5:$E$493,0),0))</f>
        <v>46024</v>
      </c>
      <c r="G62" s="247" cm="1">
        <f t="array" ref="G62">MAX(INDEX('Relacion '!$X$5:$AM$493,MATCH(INDEX($B:$B, (ROW()-0)),'Relacion '!$E$5:$E$493,0),0))</f>
        <v>46130</v>
      </c>
      <c r="H62" s="248" t="e">
        <f>_xlfn.XLOOKUP(B62, 'Plan de Trabajo'!$B$2:$B$1802, 'Plan de Trabajo'!$H$2:$H$1802)</f>
        <v>#REF!</v>
      </c>
      <c r="I62" s="248">
        <f ca="1">_xlfn.XLOOKUP(B62, 'Plan de Trabajo'!$B$2:$B$1802, 'Plan de Trabajo'!$I$2:$I$1802)</f>
        <v>1</v>
      </c>
      <c r="J62" s="249" t="str">
        <f>IF(ISNUMBER(SEARCH("Rocha", _xlfn.XLOOKUP(B62,'Relacion '!$E:$E,'Relacion '!$I:$I,""))), "Sí", "No")</f>
        <v>No</v>
      </c>
      <c r="K62" s="249" t="str">
        <f>IF(ISNUMBER(SEARCH("Rocha", _xlfn.XLOOKUP(B62,'Relacion '!$E:$E,'Relacion '!$I:$I,""))), "RMC", _xlfn.XLOOKUP(B62,'Relacion '!$E:$E,'Relacion '!$B:$B,""))</f>
        <v>Contabilidad</v>
      </c>
      <c r="L62" s="249" t="str">
        <f>_xlfn.XLOOKUP(B62,'Relacion '!$E:$E,'Relacion '!$C:$C,"")</f>
        <v xml:space="preserve">Ramon Jaimes </v>
      </c>
    </row>
    <row r="63" spans="2:12">
      <c r="B63" s="245" t="s">
        <v>488</v>
      </c>
      <c r="C63" s="172" t="s">
        <v>489</v>
      </c>
      <c r="D63" s="249" t="str">
        <f>_xlfn.XLOOKUP(B63,'Relacion '!$E:$E,'Relacion '!$D:$D,"")</f>
        <v>08. CERRADA</v>
      </c>
      <c r="E63" s="246">
        <f t="shared" si="0"/>
        <v>450</v>
      </c>
      <c r="F63" s="247" cm="1">
        <f t="array" ref="F63">MIN(INDEX('Relacion '!$X$5:$AM$493,MATCH(INDEX($B:$B, (ROW()-0)),'Relacion '!$E$5:$E$493,0),0))</f>
        <v>45659</v>
      </c>
      <c r="G63" s="247" cm="1">
        <f t="array" ref="G63">MAX(INDEX('Relacion '!$X$5:$AM$493,MATCH(INDEX($B:$B, (ROW()-0)),'Relacion '!$E$5:$E$493,0),0))</f>
        <v>46109</v>
      </c>
      <c r="H63" s="248" t="e">
        <f>_xlfn.XLOOKUP(B63, 'Plan de Trabajo'!$B$2:$B$1802, 'Plan de Trabajo'!$H$2:$H$1802)</f>
        <v>#REF!</v>
      </c>
      <c r="I63" s="248">
        <f ca="1">_xlfn.XLOOKUP(B63, 'Plan de Trabajo'!$B$2:$B$1802, 'Plan de Trabajo'!$I$2:$I$1802)</f>
        <v>1</v>
      </c>
      <c r="J63" s="249" t="str">
        <f>IF(ISNUMBER(SEARCH("Rocha", _xlfn.XLOOKUP(B63,'Relacion '!$E:$E,'Relacion '!$I:$I,""))), "Sí", "No")</f>
        <v>No</v>
      </c>
      <c r="K63" s="249" t="str">
        <f>IF(ISNUMBER(SEARCH("Rocha", _xlfn.XLOOKUP(B63,'Relacion '!$E:$E,'Relacion '!$I:$I,""))), "RMC", _xlfn.XLOOKUP(B63,'Relacion '!$E:$E,'Relacion '!$B:$B,""))</f>
        <v>Operaciones Captacion</v>
      </c>
      <c r="L63" s="249" t="str">
        <f>_xlfn.XLOOKUP(B63,'Relacion '!$E:$E,'Relacion '!$C:$C,"")</f>
        <v>Luis Alberto</v>
      </c>
    </row>
    <row r="64" spans="2:12">
      <c r="B64" s="245" t="s">
        <v>490</v>
      </c>
      <c r="C64" s="137" t="s">
        <v>491</v>
      </c>
      <c r="D64" s="249" t="str">
        <f>_xlfn.XLOOKUP(B64,'Relacion '!$E:$E,'Relacion '!$D:$D,"")</f>
        <v>06. BW-EJECUCION</v>
      </c>
      <c r="E64" s="246">
        <f t="shared" si="0"/>
        <v>106</v>
      </c>
      <c r="F64" s="247" cm="1">
        <f t="array" ref="F64">MIN(INDEX('Relacion '!$X$5:$AM$493,MATCH(INDEX($B:$B, (ROW()-0)),'Relacion '!$E$5:$E$493,0),0))</f>
        <v>46024</v>
      </c>
      <c r="G64" s="247" cm="1">
        <f t="array" ref="G64">MAX(INDEX('Relacion '!$X$5:$AM$493,MATCH(INDEX($B:$B, (ROW()-0)),'Relacion '!$E$5:$E$493,0),0))</f>
        <v>46130</v>
      </c>
      <c r="H64" s="248" t="e">
        <f>_xlfn.XLOOKUP(B64, 'Plan de Trabajo'!$B$2:$B$1802, 'Plan de Trabajo'!$H$2:$H$1802)</f>
        <v>#REF!</v>
      </c>
      <c r="I64" s="248">
        <f ca="1">_xlfn.XLOOKUP(B64, 'Plan de Trabajo'!$B$2:$B$1802, 'Plan de Trabajo'!$I$2:$I$1802)</f>
        <v>1</v>
      </c>
      <c r="J64" s="249" t="str">
        <f>IF(ISNUMBER(SEARCH("Rocha", _xlfn.XLOOKUP(B64,'Relacion '!$E:$E,'Relacion '!$I:$I,""))), "Sí", "No")</f>
        <v>No</v>
      </c>
      <c r="K64" s="249" t="str">
        <f>IF(ISNUMBER(SEARCH("Rocha", _xlfn.XLOOKUP(B64,'Relacion '!$E:$E,'Relacion '!$I:$I,""))), "RMC", _xlfn.XLOOKUP(B64,'Relacion '!$E:$E,'Relacion '!$B:$B,""))</f>
        <v>Contabilidad</v>
      </c>
      <c r="L64" s="249" t="str">
        <f>_xlfn.XLOOKUP(B64,'Relacion '!$E:$E,'Relacion '!$C:$C,"")</f>
        <v xml:space="preserve">Ramon Jaimes </v>
      </c>
    </row>
    <row r="65" spans="2:12">
      <c r="B65" s="245" t="s">
        <v>114</v>
      </c>
      <c r="C65" s="137" t="s">
        <v>115</v>
      </c>
      <c r="D65" s="249" t="str">
        <f>_xlfn.XLOOKUP(B65,'Relacion '!$E:$E,'Relacion '!$D:$D,"")</f>
        <v>04. VALIDA US</v>
      </c>
      <c r="E65" s="246">
        <f t="shared" si="0"/>
        <v>478</v>
      </c>
      <c r="F65" s="247" cm="1">
        <f t="array" ref="F65">MIN(INDEX('Relacion '!$X$5:$AM$493,MATCH(INDEX($B:$B, (ROW()-0)),'Relacion '!$E$5:$E$493,0),0))</f>
        <v>45659</v>
      </c>
      <c r="G65" s="247" cm="1">
        <f t="array" ref="G65">MAX(INDEX('Relacion '!$X$5:$AM$493,MATCH(INDEX($B:$B, (ROW()-0)),'Relacion '!$E$5:$E$493,0),0))</f>
        <v>46137</v>
      </c>
      <c r="H65" s="248" t="e">
        <f>_xlfn.XLOOKUP(B65, 'Plan de Trabajo'!$B$2:$B$1802, 'Plan de Trabajo'!$H$2:$H$1802)</f>
        <v>#REF!</v>
      </c>
      <c r="I65" s="248">
        <f ca="1">_xlfn.XLOOKUP(B65, 'Plan de Trabajo'!$B$2:$B$1802, 'Plan de Trabajo'!$I$2:$I$1802)</f>
        <v>1</v>
      </c>
      <c r="J65" s="249" t="str">
        <f>IF(ISNUMBER(SEARCH("Rocha", _xlfn.XLOOKUP(B65,'Relacion '!$E:$E,'Relacion '!$I:$I,""))), "Sí", "No")</f>
        <v>No</v>
      </c>
      <c r="K65" s="249" t="str">
        <f>IF(ISNUMBER(SEARCH("Rocha", _xlfn.XLOOKUP(B65,'Relacion '!$E:$E,'Relacion '!$I:$I,""))), "RMC", _xlfn.XLOOKUP(B65,'Relacion '!$E:$E,'Relacion '!$B:$B,""))</f>
        <v>Operaciones Credito</v>
      </c>
      <c r="L65" s="249" t="str">
        <f>_xlfn.XLOOKUP(B65,'Relacion '!$E:$E,'Relacion '!$C:$C,"")</f>
        <v>Luis Alberto</v>
      </c>
    </row>
    <row r="66" spans="2:12">
      <c r="B66" s="245" t="s">
        <v>492</v>
      </c>
      <c r="C66" s="172" t="s">
        <v>63</v>
      </c>
      <c r="D66" s="249" t="str">
        <f>_xlfn.XLOOKUP(B66,'Relacion '!$E:$E,'Relacion '!$D:$D,"")</f>
        <v>08. CERRADA</v>
      </c>
      <c r="E66" s="246">
        <f t="shared" si="0"/>
        <v>450</v>
      </c>
      <c r="F66" s="247" cm="1">
        <f t="array" ref="F66">MIN(INDEX('Relacion '!$X$5:$AM$493,MATCH(INDEX($B:$B, (ROW()-0)),'Relacion '!$E$5:$E$493,0),0))</f>
        <v>45659</v>
      </c>
      <c r="G66" s="247" cm="1">
        <f t="array" ref="G66">MAX(INDEX('Relacion '!$X$5:$AM$493,MATCH(INDEX($B:$B, (ROW()-0)),'Relacion '!$E$5:$E$493,0),0))</f>
        <v>46109</v>
      </c>
      <c r="H66" s="248" t="e">
        <f>_xlfn.XLOOKUP(B66, 'Plan de Trabajo'!$B$2:$B$1802, 'Plan de Trabajo'!$H$2:$H$1802)</f>
        <v>#REF!</v>
      </c>
      <c r="I66" s="248">
        <f ca="1">_xlfn.XLOOKUP(B66, 'Plan de Trabajo'!$B$2:$B$1802, 'Plan de Trabajo'!$I$2:$I$1802)</f>
        <v>1</v>
      </c>
      <c r="J66" s="249" t="str">
        <f>IF(ISNUMBER(SEARCH("Rocha", _xlfn.XLOOKUP(B66,'Relacion '!$E:$E,'Relacion '!$I:$I,""))), "Sí", "No")</f>
        <v>No</v>
      </c>
      <c r="K66" s="249" t="str">
        <f>IF(ISNUMBER(SEARCH("Rocha", _xlfn.XLOOKUP(B66,'Relacion '!$E:$E,'Relacion '!$I:$I,""))), "RMC", _xlfn.XLOOKUP(B66,'Relacion '!$E:$E,'Relacion '!$B:$B,""))</f>
        <v>Operaciones Credito</v>
      </c>
      <c r="L66" s="249" t="str">
        <f>_xlfn.XLOOKUP(B66,'Relacion '!$E:$E,'Relacion '!$C:$C,"")</f>
        <v>Luis Alberto</v>
      </c>
    </row>
    <row r="67" spans="2:12">
      <c r="B67" s="245" t="s">
        <v>111</v>
      </c>
      <c r="C67" s="137" t="s">
        <v>66</v>
      </c>
      <c r="D67" s="249" t="str">
        <f>_xlfn.XLOOKUP(B67,'Relacion '!$E:$E,'Relacion '!$D:$D,"")</f>
        <v>04. VALIDA US</v>
      </c>
      <c r="E67" s="246">
        <f t="shared" ref="E67:E130" si="1">IF(OR(F67="",G67=""),"",G67-F67)</f>
        <v>471</v>
      </c>
      <c r="F67" s="247" cm="1">
        <f t="array" ref="F67">MIN(INDEX('Relacion '!$X$5:$AM$493,MATCH(INDEX($B:$B, (ROW()-0)),'Relacion '!$E$5:$E$493,0),0))</f>
        <v>45659</v>
      </c>
      <c r="G67" s="247" cm="1">
        <f t="array" ref="G67">MAX(INDEX('Relacion '!$X$5:$AM$493,MATCH(INDEX($B:$B, (ROW()-0)),'Relacion '!$E$5:$E$493,0),0))</f>
        <v>46130</v>
      </c>
      <c r="H67" s="248" t="e">
        <f>_xlfn.XLOOKUP(B67, 'Plan de Trabajo'!$B$2:$B$1802, 'Plan de Trabajo'!$H$2:$H$1802)</f>
        <v>#REF!</v>
      </c>
      <c r="I67" s="248">
        <f ca="1">_xlfn.XLOOKUP(B67, 'Plan de Trabajo'!$B$2:$B$1802, 'Plan de Trabajo'!$I$2:$I$1802)</f>
        <v>1</v>
      </c>
      <c r="J67" s="249" t="str">
        <f>IF(ISNUMBER(SEARCH("Rocha", _xlfn.XLOOKUP(B67,'Relacion '!$E:$E,'Relacion '!$I:$I,""))), "Sí", "No")</f>
        <v>No</v>
      </c>
      <c r="K67" s="249" t="str">
        <f>IF(ISNUMBER(SEARCH("Rocha", _xlfn.XLOOKUP(B67,'Relacion '!$E:$E,'Relacion '!$I:$I,""))), "RMC", _xlfn.XLOOKUP(B67,'Relacion '!$E:$E,'Relacion '!$B:$B,""))</f>
        <v>Operaciones Credito</v>
      </c>
      <c r="L67" s="249" t="str">
        <f>_xlfn.XLOOKUP(B67,'Relacion '!$E:$E,'Relacion '!$C:$C,"")</f>
        <v>Luis Alberto</v>
      </c>
    </row>
    <row r="68" spans="2:12">
      <c r="B68" s="245" t="s">
        <v>305</v>
      </c>
      <c r="C68" s="137" t="s">
        <v>306</v>
      </c>
      <c r="D68" s="249" t="str">
        <f>_xlfn.XLOOKUP(B68,'Relacion '!$E:$E,'Relacion '!$D:$D,"")</f>
        <v>02. MAPEO</v>
      </c>
      <c r="E68" s="246">
        <f t="shared" si="1"/>
        <v>172</v>
      </c>
      <c r="F68" s="247" cm="1">
        <f t="array" ref="F68">MIN(INDEX('Relacion '!$X$5:$AM$493,MATCH(INDEX($B:$B, (ROW()-0)),'Relacion '!$E$5:$E$493,0),0))</f>
        <v>46024</v>
      </c>
      <c r="G68" s="247" cm="1">
        <f t="array" ref="G68">MAX(INDEX('Relacion '!$X$5:$AM$493,MATCH(INDEX($B:$B, (ROW()-0)),'Relacion '!$E$5:$E$493,0),0))</f>
        <v>46196</v>
      </c>
      <c r="H68" s="248" t="e">
        <f>_xlfn.XLOOKUP(B68, 'Plan de Trabajo'!$B$2:$B$1802, 'Plan de Trabajo'!$H$2:$H$1802)</f>
        <v>#REF!</v>
      </c>
      <c r="I68" s="248">
        <f ca="1">_xlfn.XLOOKUP(B68, 'Plan de Trabajo'!$B$2:$B$1802, 'Plan de Trabajo'!$I$2:$I$1802)</f>
        <v>0.375</v>
      </c>
      <c r="J68" s="249" t="str">
        <f>IF(ISNUMBER(SEARCH("Rocha", _xlfn.XLOOKUP(B68,'Relacion '!$E:$E,'Relacion '!$I:$I,""))), "Sí", "No")</f>
        <v>No</v>
      </c>
      <c r="K68" s="249" t="str">
        <f>IF(ISNUMBER(SEARCH("Rocha", _xlfn.XLOOKUP(B68,'Relacion '!$E:$E,'Relacion '!$I:$I,""))), "RMC", _xlfn.XLOOKUP(B68,'Relacion '!$E:$E,'Relacion '!$B:$B,""))</f>
        <v>Tesorería </v>
      </c>
      <c r="L68" s="249" t="str">
        <f>_xlfn.XLOOKUP(B68,'Relacion '!$E:$E,'Relacion '!$C:$C,"")</f>
        <v>Eduardo Cabral</v>
      </c>
    </row>
    <row r="69" spans="2:12">
      <c r="B69" s="245" t="s">
        <v>108</v>
      </c>
      <c r="C69" s="137" t="s">
        <v>109</v>
      </c>
      <c r="D69" s="249" t="str">
        <f>_xlfn.XLOOKUP(B69,'Relacion '!$E:$E,'Relacion '!$D:$D,"")</f>
        <v>04. VALIDA US</v>
      </c>
      <c r="E69" s="246">
        <f t="shared" si="1"/>
        <v>478</v>
      </c>
      <c r="F69" s="247" cm="1">
        <f t="array" ref="F69">MIN(INDEX('Relacion '!$X$5:$AM$493,MATCH(INDEX($B:$B, (ROW()-0)),'Relacion '!$E$5:$E$493,0),0))</f>
        <v>45659</v>
      </c>
      <c r="G69" s="247" cm="1">
        <f t="array" ref="G69">MAX(INDEX('Relacion '!$X$5:$AM$493,MATCH(INDEX($B:$B, (ROW()-0)),'Relacion '!$E$5:$E$493,0),0))</f>
        <v>46137</v>
      </c>
      <c r="H69" s="248" t="e">
        <f>_xlfn.XLOOKUP(B69, 'Plan de Trabajo'!$B$2:$B$1802, 'Plan de Trabajo'!$H$2:$H$1802)</f>
        <v>#REF!</v>
      </c>
      <c r="I69" s="248">
        <f ca="1">_xlfn.XLOOKUP(B69, 'Plan de Trabajo'!$B$2:$B$1802, 'Plan de Trabajo'!$I$2:$I$1802)</f>
        <v>1</v>
      </c>
      <c r="J69" s="249" t="str">
        <f>IF(ISNUMBER(SEARCH("Rocha", _xlfn.XLOOKUP(B69,'Relacion '!$E:$E,'Relacion '!$I:$I,""))), "Sí", "No")</f>
        <v>No</v>
      </c>
      <c r="K69" s="249" t="str">
        <f>IF(ISNUMBER(SEARCH("Rocha", _xlfn.XLOOKUP(B69,'Relacion '!$E:$E,'Relacion '!$I:$I,""))), "RMC", _xlfn.XLOOKUP(B69,'Relacion '!$E:$E,'Relacion '!$B:$B,""))</f>
        <v>Operaciones Captacion</v>
      </c>
      <c r="L69" s="249" t="str">
        <f>_xlfn.XLOOKUP(B69,'Relacion '!$E:$E,'Relacion '!$C:$C,"")</f>
        <v>Luis Alberto</v>
      </c>
    </row>
    <row r="70" spans="2:12">
      <c r="B70" s="245" t="s">
        <v>303</v>
      </c>
      <c r="C70" s="137" t="s">
        <v>304</v>
      </c>
      <c r="D70" s="249" t="str">
        <f>_xlfn.XLOOKUP(B70,'Relacion '!$E:$E,'Relacion '!$D:$D,"")</f>
        <v>02. MAPEO</v>
      </c>
      <c r="E70" s="246">
        <f t="shared" si="1"/>
        <v>172</v>
      </c>
      <c r="F70" s="247" cm="1">
        <f t="array" ref="F70">MIN(INDEX('Relacion '!$X$5:$AM$493,MATCH(INDEX($B:$B, (ROW()-0)),'Relacion '!$E$5:$E$493,0),0))</f>
        <v>46024</v>
      </c>
      <c r="G70" s="247" cm="1">
        <f t="array" ref="G70">MAX(INDEX('Relacion '!$X$5:$AM$493,MATCH(INDEX($B:$B, (ROW()-0)),'Relacion '!$E$5:$E$493,0),0))</f>
        <v>46196</v>
      </c>
      <c r="H70" s="248" t="e">
        <f>_xlfn.XLOOKUP(B70, 'Plan de Trabajo'!$B$2:$B$1802, 'Plan de Trabajo'!$H$2:$H$1802)</f>
        <v>#REF!</v>
      </c>
      <c r="I70" s="248">
        <f ca="1">_xlfn.XLOOKUP(B70, 'Plan de Trabajo'!$B$2:$B$1802, 'Plan de Trabajo'!$I$2:$I$1802)</f>
        <v>0.375</v>
      </c>
      <c r="J70" s="249" t="str">
        <f>IF(ISNUMBER(SEARCH("Rocha", _xlfn.XLOOKUP(B70,'Relacion '!$E:$E,'Relacion '!$I:$I,""))), "Sí", "No")</f>
        <v>No</v>
      </c>
      <c r="K70" s="249" t="str">
        <f>IF(ISNUMBER(SEARCH("Rocha", _xlfn.XLOOKUP(B70,'Relacion '!$E:$E,'Relacion '!$I:$I,""))), "RMC", _xlfn.XLOOKUP(B70,'Relacion '!$E:$E,'Relacion '!$B:$B,""))</f>
        <v>Tesorería </v>
      </c>
      <c r="L70" s="249" t="str">
        <f>_xlfn.XLOOKUP(B70,'Relacion '!$E:$E,'Relacion '!$C:$C,"")</f>
        <v>Eduardo Cabral</v>
      </c>
    </row>
    <row r="71" spans="2:12">
      <c r="B71" s="245" t="s">
        <v>500</v>
      </c>
      <c r="C71" s="172" t="s">
        <v>501</v>
      </c>
      <c r="D71" s="249" t="str">
        <f>_xlfn.XLOOKUP(B71,'Relacion '!$E:$E,'Relacion '!$D:$D,"")</f>
        <v>08. CERRADA</v>
      </c>
      <c r="E71" s="246">
        <f t="shared" si="1"/>
        <v>85</v>
      </c>
      <c r="F71" s="247" cm="1">
        <f t="array" ref="F71">MIN(INDEX('Relacion '!$X$5:$AM$493,MATCH(INDEX($B:$B, (ROW()-0)),'Relacion '!$E$5:$E$493,0),0))</f>
        <v>46024</v>
      </c>
      <c r="G71" s="247" cm="1">
        <f t="array" ref="G71">MAX(INDEX('Relacion '!$X$5:$AM$493,MATCH(INDEX($B:$B, (ROW()-0)),'Relacion '!$E$5:$E$493,0),0))</f>
        <v>46109</v>
      </c>
      <c r="H71" s="248" t="e">
        <f>_xlfn.XLOOKUP(B71, 'Plan de Trabajo'!$B$2:$B$1802, 'Plan de Trabajo'!$H$2:$H$1802)</f>
        <v>#REF!</v>
      </c>
      <c r="I71" s="248">
        <f ca="1">_xlfn.XLOOKUP(B71, 'Plan de Trabajo'!$B$2:$B$1802, 'Plan de Trabajo'!$I$2:$I$1802)</f>
        <v>1</v>
      </c>
      <c r="J71" s="249" t="str">
        <f>IF(ISNUMBER(SEARCH("Rocha", _xlfn.XLOOKUP(B71,'Relacion '!$E:$E,'Relacion '!$I:$I,""))), "Sí", "No")</f>
        <v>No</v>
      </c>
      <c r="K71" s="249" t="str">
        <f>IF(ISNUMBER(SEARCH("Rocha", _xlfn.XLOOKUP(B71,'Relacion '!$E:$E,'Relacion '!$I:$I,""))), "RMC", _xlfn.XLOOKUP(B71,'Relacion '!$E:$E,'Relacion '!$B:$B,""))</f>
        <v>Tesorería </v>
      </c>
      <c r="L71" s="249" t="str">
        <f>_xlfn.XLOOKUP(B71,'Relacion '!$E:$E,'Relacion '!$C:$C,"")</f>
        <v>Eduardo Cabral</v>
      </c>
    </row>
    <row r="72" spans="2:12">
      <c r="B72" s="245" t="s">
        <v>301</v>
      </c>
      <c r="C72" s="137" t="s">
        <v>302</v>
      </c>
      <c r="D72" s="249" t="str">
        <f>_xlfn.XLOOKUP(B72,'Relacion '!$E:$E,'Relacion '!$D:$D,"")</f>
        <v>02. MAPEO</v>
      </c>
      <c r="E72" s="246">
        <f t="shared" si="1"/>
        <v>172</v>
      </c>
      <c r="F72" s="247" cm="1">
        <f t="array" ref="F72">MIN(INDEX('Relacion '!$X$5:$AM$493,MATCH(INDEX($B:$B, (ROW()-0)),'Relacion '!$E$5:$E$493,0),0))</f>
        <v>46024</v>
      </c>
      <c r="G72" s="247" cm="1">
        <f t="array" ref="G72">MAX(INDEX('Relacion '!$X$5:$AM$493,MATCH(INDEX($B:$B, (ROW()-0)),'Relacion '!$E$5:$E$493,0),0))</f>
        <v>46196</v>
      </c>
      <c r="H72" s="248" t="e">
        <f>_xlfn.XLOOKUP(B72, 'Plan de Trabajo'!$B$2:$B$1802, 'Plan de Trabajo'!$H$2:$H$1802)</f>
        <v>#REF!</v>
      </c>
      <c r="I72" s="248">
        <f ca="1">_xlfn.XLOOKUP(B72, 'Plan de Trabajo'!$B$2:$B$1802, 'Plan de Trabajo'!$I$2:$I$1802)</f>
        <v>0.375</v>
      </c>
      <c r="J72" s="249" t="str">
        <f>IF(ISNUMBER(SEARCH("Rocha", _xlfn.XLOOKUP(B72,'Relacion '!$E:$E,'Relacion '!$I:$I,""))), "Sí", "No")</f>
        <v>No</v>
      </c>
      <c r="K72" s="249" t="str">
        <f>IF(ISNUMBER(SEARCH("Rocha", _xlfn.XLOOKUP(B72,'Relacion '!$E:$E,'Relacion '!$I:$I,""))), "RMC", _xlfn.XLOOKUP(B72,'Relacion '!$E:$E,'Relacion '!$B:$B,""))</f>
        <v>Tesorería </v>
      </c>
      <c r="L72" s="249" t="str">
        <f>_xlfn.XLOOKUP(B72,'Relacion '!$E:$E,'Relacion '!$C:$C,"")</f>
        <v>Eduardo Cabral</v>
      </c>
    </row>
    <row r="73" spans="2:12">
      <c r="B73" s="245" t="s">
        <v>496</v>
      </c>
      <c r="C73" s="168" t="s">
        <v>497</v>
      </c>
      <c r="D73" s="249" t="str">
        <f>_xlfn.XLOOKUP(B73,'Relacion '!$E:$E,'Relacion '!$D:$D,"")</f>
        <v>04. VALIDA US</v>
      </c>
      <c r="E73" s="246">
        <f t="shared" si="1"/>
        <v>482</v>
      </c>
      <c r="F73" s="247" cm="1">
        <f t="array" ref="F73">MIN(INDEX('Relacion '!$X$5:$AM$493,MATCH(INDEX($B:$B, (ROW()-0)),'Relacion '!$E$5:$E$493,0),0))</f>
        <v>45659</v>
      </c>
      <c r="G73" s="247" cm="1">
        <f t="array" ref="G73">MAX(INDEX('Relacion '!$X$5:$AM$493,MATCH(INDEX($B:$B, (ROW()-0)),'Relacion '!$E$5:$E$493,0),0))</f>
        <v>46141</v>
      </c>
      <c r="H73" s="248" t="e">
        <f>_xlfn.XLOOKUP(B73, 'Plan de Trabajo'!$B$2:$B$1802, 'Plan de Trabajo'!$H$2:$H$1802)</f>
        <v>#REF!</v>
      </c>
      <c r="I73" s="248">
        <f ca="1">_xlfn.XLOOKUP(B73, 'Plan de Trabajo'!$B$2:$B$1802, 'Plan de Trabajo'!$I$2:$I$1802)</f>
        <v>1</v>
      </c>
      <c r="J73" s="249" t="str">
        <f>IF(ISNUMBER(SEARCH("Rocha", _xlfn.XLOOKUP(B73,'Relacion '!$E:$E,'Relacion '!$I:$I,""))), "Sí", "No")</f>
        <v>No</v>
      </c>
      <c r="K73" s="249" t="str">
        <f>IF(ISNUMBER(SEARCH("Rocha", _xlfn.XLOOKUP(B73,'Relacion '!$E:$E,'Relacion '!$I:$I,""))), "RMC", _xlfn.XLOOKUP(B73,'Relacion '!$E:$E,'Relacion '!$B:$B,""))</f>
        <v>Operaciones Captacion</v>
      </c>
      <c r="L73" s="249" t="str">
        <f>_xlfn.XLOOKUP(B73,'Relacion '!$E:$E,'Relacion '!$C:$C,"")</f>
        <v>Luis Alberto</v>
      </c>
    </row>
    <row r="74" spans="2:12">
      <c r="B74" s="245" t="s">
        <v>299</v>
      </c>
      <c r="C74" s="137" t="s">
        <v>300</v>
      </c>
      <c r="D74" s="249" t="str">
        <f>_xlfn.XLOOKUP(B74,'Relacion '!$E:$E,'Relacion '!$D:$D,"")</f>
        <v>02. MAPEO</v>
      </c>
      <c r="E74" s="246">
        <f t="shared" si="1"/>
        <v>172</v>
      </c>
      <c r="F74" s="247" cm="1">
        <f t="array" ref="F74">MIN(INDEX('Relacion '!$X$5:$AM$493,MATCH(INDEX($B:$B, (ROW()-0)),'Relacion '!$E$5:$E$493,0),0))</f>
        <v>46024</v>
      </c>
      <c r="G74" s="247" cm="1">
        <f t="array" ref="G74">MAX(INDEX('Relacion '!$X$5:$AM$493,MATCH(INDEX($B:$B, (ROW()-0)),'Relacion '!$E$5:$E$493,0),0))</f>
        <v>46196</v>
      </c>
      <c r="H74" s="248" t="e">
        <f>_xlfn.XLOOKUP(B74, 'Plan de Trabajo'!$B$2:$B$1802, 'Plan de Trabajo'!$H$2:$H$1802)</f>
        <v>#REF!</v>
      </c>
      <c r="I74" s="248">
        <f ca="1">_xlfn.XLOOKUP(B74, 'Plan de Trabajo'!$B$2:$B$1802, 'Plan de Trabajo'!$I$2:$I$1802)</f>
        <v>0.375</v>
      </c>
      <c r="J74" s="249" t="str">
        <f>IF(ISNUMBER(SEARCH("Rocha", _xlfn.XLOOKUP(B74,'Relacion '!$E:$E,'Relacion '!$I:$I,""))), "Sí", "No")</f>
        <v>No</v>
      </c>
      <c r="K74" s="249" t="str">
        <f>IF(ISNUMBER(SEARCH("Rocha", _xlfn.XLOOKUP(B74,'Relacion '!$E:$E,'Relacion '!$I:$I,""))), "RMC", _xlfn.XLOOKUP(B74,'Relacion '!$E:$E,'Relacion '!$B:$B,""))</f>
        <v>Tesorería </v>
      </c>
      <c r="L74" s="249" t="str">
        <f>_xlfn.XLOOKUP(B74,'Relacion '!$E:$E,'Relacion '!$C:$C,"")</f>
        <v>Eduardo Cabral</v>
      </c>
    </row>
    <row r="75" spans="2:12">
      <c r="B75" s="245" t="s">
        <v>297</v>
      </c>
      <c r="C75" s="137" t="s">
        <v>298</v>
      </c>
      <c r="D75" s="249" t="str">
        <f>_xlfn.XLOOKUP(B75,'Relacion '!$E:$E,'Relacion '!$D:$D,"")</f>
        <v>02. MAPEO</v>
      </c>
      <c r="E75" s="246">
        <f t="shared" si="1"/>
        <v>172</v>
      </c>
      <c r="F75" s="247" cm="1">
        <f t="array" ref="F75">MIN(INDEX('Relacion '!$X$5:$AM$493,MATCH(INDEX($B:$B, (ROW()-0)),'Relacion '!$E$5:$E$493,0),0))</f>
        <v>46024</v>
      </c>
      <c r="G75" s="247" cm="1">
        <f t="array" ref="G75">MAX(INDEX('Relacion '!$X$5:$AM$493,MATCH(INDEX($B:$B, (ROW()-0)),'Relacion '!$E$5:$E$493,0),0))</f>
        <v>46196</v>
      </c>
      <c r="H75" s="248" t="e">
        <f>_xlfn.XLOOKUP(B75, 'Plan de Trabajo'!$B$2:$B$1802, 'Plan de Trabajo'!$H$2:$H$1802)</f>
        <v>#REF!</v>
      </c>
      <c r="I75" s="248">
        <f ca="1">_xlfn.XLOOKUP(B75, 'Plan de Trabajo'!$B$2:$B$1802, 'Plan de Trabajo'!$I$2:$I$1802)</f>
        <v>0.375</v>
      </c>
      <c r="J75" s="249" t="str">
        <f>IF(ISNUMBER(SEARCH("Rocha", _xlfn.XLOOKUP(B75,'Relacion '!$E:$E,'Relacion '!$I:$I,""))), "Sí", "No")</f>
        <v>No</v>
      </c>
      <c r="K75" s="249" t="str">
        <f>IF(ISNUMBER(SEARCH("Rocha", _xlfn.XLOOKUP(B75,'Relacion '!$E:$E,'Relacion '!$I:$I,""))), "RMC", _xlfn.XLOOKUP(B75,'Relacion '!$E:$E,'Relacion '!$B:$B,""))</f>
        <v>Tesorería </v>
      </c>
      <c r="L75" s="249" t="str">
        <f>_xlfn.XLOOKUP(B75,'Relacion '!$E:$E,'Relacion '!$C:$C,"")</f>
        <v>Eduardo Cabral</v>
      </c>
    </row>
    <row r="76" spans="2:12">
      <c r="B76" s="245" t="s">
        <v>288</v>
      </c>
      <c r="C76" s="137" t="s">
        <v>289</v>
      </c>
      <c r="D76" s="249" t="str">
        <f>_xlfn.XLOOKUP(B76,'Relacion '!$E:$E,'Relacion '!$D:$D,"")</f>
        <v>02. MAPEO</v>
      </c>
      <c r="E76" s="246">
        <f t="shared" si="1"/>
        <v>172</v>
      </c>
      <c r="F76" s="247" cm="1">
        <f t="array" ref="F76">MIN(INDEX('Relacion '!$X$5:$AM$493,MATCH(INDEX($B:$B, (ROW()-0)),'Relacion '!$E$5:$E$493,0),0))</f>
        <v>46024</v>
      </c>
      <c r="G76" s="247" cm="1">
        <f t="array" ref="G76">MAX(INDEX('Relacion '!$X$5:$AM$493,MATCH(INDEX($B:$B, (ROW()-0)),'Relacion '!$E$5:$E$493,0),0))</f>
        <v>46196</v>
      </c>
      <c r="H76" s="248" t="e">
        <f>_xlfn.XLOOKUP(B76, 'Plan de Trabajo'!$B$2:$B$1802, 'Plan de Trabajo'!$H$2:$H$1802)</f>
        <v>#REF!</v>
      </c>
      <c r="I76" s="248">
        <f ca="1">_xlfn.XLOOKUP(B76, 'Plan de Trabajo'!$B$2:$B$1802, 'Plan de Trabajo'!$I$2:$I$1802)</f>
        <v>0.375</v>
      </c>
      <c r="J76" s="249" t="str">
        <f>IF(ISNUMBER(SEARCH("Rocha", _xlfn.XLOOKUP(B76,'Relacion '!$E:$E,'Relacion '!$I:$I,""))), "Sí", "No")</f>
        <v>No</v>
      </c>
      <c r="K76" s="249" t="str">
        <f>IF(ISNUMBER(SEARCH("Rocha", _xlfn.XLOOKUP(B76,'Relacion '!$E:$E,'Relacion '!$I:$I,""))), "RMC", _xlfn.XLOOKUP(B76,'Relacion '!$E:$E,'Relacion '!$B:$B,""))</f>
        <v>Tesorería </v>
      </c>
      <c r="L76" s="249" t="str">
        <f>_xlfn.XLOOKUP(B76,'Relacion '!$E:$E,'Relacion '!$C:$C,"")</f>
        <v>Eduardo Cabral</v>
      </c>
    </row>
    <row r="77" spans="2:12">
      <c r="B77" s="245" t="s">
        <v>515</v>
      </c>
      <c r="C77" s="172" t="s">
        <v>516</v>
      </c>
      <c r="D77" s="249" t="str">
        <f>_xlfn.XLOOKUP(B77,'Relacion '!$E:$E,'Relacion '!$D:$D,"")</f>
        <v>08. CERRADA</v>
      </c>
      <c r="E77" s="246">
        <f t="shared" si="1"/>
        <v>85</v>
      </c>
      <c r="F77" s="247" cm="1">
        <f t="array" ref="F77">MIN(INDEX('Relacion '!$X$5:$AM$493,MATCH(INDEX($B:$B, (ROW()-0)),'Relacion '!$E$5:$E$493,0),0))</f>
        <v>46024</v>
      </c>
      <c r="G77" s="247" cm="1">
        <f t="array" ref="G77">MAX(INDEX('Relacion '!$X$5:$AM$493,MATCH(INDEX($B:$B, (ROW()-0)),'Relacion '!$E$5:$E$493,0),0))</f>
        <v>46109</v>
      </c>
      <c r="H77" s="248" t="e">
        <f>_xlfn.XLOOKUP(B77, 'Plan de Trabajo'!$B$2:$B$1802, 'Plan de Trabajo'!$H$2:$H$1802)</f>
        <v>#REF!</v>
      </c>
      <c r="I77" s="248">
        <f ca="1">_xlfn.XLOOKUP(B77, 'Plan de Trabajo'!$B$2:$B$1802, 'Plan de Trabajo'!$I$2:$I$1802)</f>
        <v>1</v>
      </c>
      <c r="J77" s="249" t="str">
        <f>IF(ISNUMBER(SEARCH("Rocha", _xlfn.XLOOKUP(B77,'Relacion '!$E:$E,'Relacion '!$I:$I,""))), "Sí", "No")</f>
        <v>No</v>
      </c>
      <c r="K77" s="249" t="str">
        <f>IF(ISNUMBER(SEARCH("Rocha", _xlfn.XLOOKUP(B77,'Relacion '!$E:$E,'Relacion '!$I:$I,""))), "RMC", _xlfn.XLOOKUP(B77,'Relacion '!$E:$E,'Relacion '!$B:$B,""))</f>
        <v>Tesorería </v>
      </c>
      <c r="L77" s="249" t="str">
        <f>_xlfn.XLOOKUP(B77,'Relacion '!$E:$E,'Relacion '!$C:$C,"")</f>
        <v>Eduardo Cabral</v>
      </c>
    </row>
    <row r="78" spans="2:12">
      <c r="B78" s="245" t="s">
        <v>295</v>
      </c>
      <c r="C78" s="137" t="s">
        <v>296</v>
      </c>
      <c r="D78" s="249" t="str">
        <f>_xlfn.XLOOKUP(B78,'Relacion '!$E:$E,'Relacion '!$D:$D,"")</f>
        <v>02. MAPEO</v>
      </c>
      <c r="E78" s="246">
        <f t="shared" si="1"/>
        <v>543</v>
      </c>
      <c r="F78" s="247" cm="1">
        <f t="array" ref="F78">MIN(INDEX('Relacion '!$X$5:$AM$493,MATCH(INDEX($B:$B, (ROW()-0)),'Relacion '!$E$5:$E$493,0),0))</f>
        <v>45659</v>
      </c>
      <c r="G78" s="247" cm="1">
        <f t="array" ref="G78">MAX(INDEX('Relacion '!$X$5:$AM$493,MATCH(INDEX($B:$B, (ROW()-0)),'Relacion '!$E$5:$E$493,0),0))</f>
        <v>46202</v>
      </c>
      <c r="H78" s="248" t="e">
        <f>_xlfn.XLOOKUP(B78, 'Plan de Trabajo'!$B$2:$B$1802, 'Plan de Trabajo'!$H$2:$H$1802)</f>
        <v>#REF!</v>
      </c>
      <c r="I78" s="248">
        <f ca="1">_xlfn.XLOOKUP(B78, 'Plan de Trabajo'!$B$2:$B$1802, 'Plan de Trabajo'!$I$2:$I$1802)</f>
        <v>0.375</v>
      </c>
      <c r="J78" s="249" t="str">
        <f>IF(ISNUMBER(SEARCH("Rocha", _xlfn.XLOOKUP(B78,'Relacion '!$E:$E,'Relacion '!$I:$I,""))), "Sí", "No")</f>
        <v>Sí</v>
      </c>
      <c r="K78" s="249" t="str">
        <f>IF(ISNUMBER(SEARCH("Rocha", _xlfn.XLOOKUP(B78,'Relacion '!$E:$E,'Relacion '!$I:$I,""))), "RMC", _xlfn.XLOOKUP(B78,'Relacion '!$E:$E,'Relacion '!$B:$B,""))</f>
        <v>RMC</v>
      </c>
      <c r="L78" s="249" t="str">
        <f>_xlfn.XLOOKUP(B78,'Relacion '!$E:$E,'Relacion '!$C:$C,"")</f>
        <v>Belem Alvarado</v>
      </c>
    </row>
    <row r="79" spans="2:12">
      <c r="B79" s="245" t="s">
        <v>504</v>
      </c>
      <c r="C79" s="137" t="s">
        <v>505</v>
      </c>
      <c r="D79" s="249" t="str">
        <f>_xlfn.XLOOKUP(B79,'Relacion '!$E:$E,'Relacion '!$D:$D,"")</f>
        <v>02. MAPEO</v>
      </c>
      <c r="E79" s="246">
        <f t="shared" si="1"/>
        <v>165</v>
      </c>
      <c r="F79" s="247" cm="1">
        <f t="array" ref="F79">MIN(INDEX('Relacion '!$X$5:$AM$493,MATCH(INDEX($B:$B, (ROW()-0)),'Relacion '!$E$5:$E$493,0),0))</f>
        <v>46024</v>
      </c>
      <c r="G79" s="247" cm="1">
        <f t="array" ref="G79">MAX(INDEX('Relacion '!$X$5:$AM$493,MATCH(INDEX($B:$B, (ROW()-0)),'Relacion '!$E$5:$E$493,0),0))</f>
        <v>46189</v>
      </c>
      <c r="H79" s="248" t="e">
        <f>_xlfn.XLOOKUP(B79, 'Plan de Trabajo'!$B$2:$B$1802, 'Plan de Trabajo'!$H$2:$H$1802)</f>
        <v>#REF!</v>
      </c>
      <c r="I79" s="248">
        <f ca="1">_xlfn.XLOOKUP(B79, 'Plan de Trabajo'!$B$2:$B$1802, 'Plan de Trabajo'!$I$2:$I$1802)</f>
        <v>0.625</v>
      </c>
      <c r="J79" s="249" t="str">
        <f>IF(ISNUMBER(SEARCH("Rocha", _xlfn.XLOOKUP(B79,'Relacion '!$E:$E,'Relacion '!$I:$I,""))), "Sí", "No")</f>
        <v>No</v>
      </c>
      <c r="K79" s="249" t="str">
        <f>IF(ISNUMBER(SEARCH("Rocha", _xlfn.XLOOKUP(B79,'Relacion '!$E:$E,'Relacion '!$I:$I,""))), "RMC", _xlfn.XLOOKUP(B79,'Relacion '!$E:$E,'Relacion '!$B:$B,""))</f>
        <v>Contabilidad</v>
      </c>
      <c r="L79" s="249" t="str">
        <f>_xlfn.XLOOKUP(B79,'Relacion '!$E:$E,'Relacion '!$C:$C,"")</f>
        <v xml:space="preserve">Ramon Jaimes </v>
      </c>
    </row>
    <row r="80" spans="2:12">
      <c r="B80" s="245" t="s">
        <v>507</v>
      </c>
      <c r="C80" s="137" t="s">
        <v>508</v>
      </c>
      <c r="D80" s="249" t="str">
        <f>_xlfn.XLOOKUP(B80,'Relacion '!$E:$E,'Relacion '!$D:$D,"")</f>
        <v>06. BW-EJECUCION</v>
      </c>
      <c r="E80" s="246">
        <f t="shared" si="1"/>
        <v>99</v>
      </c>
      <c r="F80" s="247" cm="1">
        <f t="array" ref="F80">MIN(INDEX('Relacion '!$X$5:$AM$493,MATCH(INDEX($B:$B, (ROW()-0)),'Relacion '!$E$5:$E$493,0),0))</f>
        <v>46024</v>
      </c>
      <c r="G80" s="247" cm="1">
        <f t="array" ref="G80">MAX(INDEX('Relacion '!$X$5:$AM$493,MATCH(INDEX($B:$B, (ROW()-0)),'Relacion '!$E$5:$E$493,0),0))</f>
        <v>46123</v>
      </c>
      <c r="H80" s="248" t="e">
        <f>_xlfn.XLOOKUP(B80, 'Plan de Trabajo'!$B$2:$B$1802, 'Plan de Trabajo'!$H$2:$H$1802)</f>
        <v>#REF!</v>
      </c>
      <c r="I80" s="248">
        <f ca="1">_xlfn.XLOOKUP(B80, 'Plan de Trabajo'!$B$2:$B$1802, 'Plan de Trabajo'!$I$2:$I$1802)</f>
        <v>1</v>
      </c>
      <c r="J80" s="249" t="str">
        <f>IF(ISNUMBER(SEARCH("Rocha", _xlfn.XLOOKUP(B80,'Relacion '!$E:$E,'Relacion '!$I:$I,""))), "Sí", "No")</f>
        <v>No</v>
      </c>
      <c r="K80" s="249" t="str">
        <f>IF(ISNUMBER(SEARCH("Rocha", _xlfn.XLOOKUP(B80,'Relacion '!$E:$E,'Relacion '!$I:$I,""))), "RMC", _xlfn.XLOOKUP(B80,'Relacion '!$E:$E,'Relacion '!$B:$B,""))</f>
        <v>Riesgos</v>
      </c>
      <c r="L80" s="249" t="str">
        <f>_xlfn.XLOOKUP(B80,'Relacion '!$E:$E,'Relacion '!$C:$C,"")</f>
        <v>Homero Sanchez</v>
      </c>
    </row>
    <row r="81" spans="2:12">
      <c r="B81" s="245" t="s">
        <v>293</v>
      </c>
      <c r="C81" s="137" t="s">
        <v>294</v>
      </c>
      <c r="D81" s="249" t="str">
        <f>_xlfn.XLOOKUP(B81,'Relacion '!$E:$E,'Relacion '!$D:$D,"")</f>
        <v>02. MAPEO</v>
      </c>
      <c r="E81" s="246">
        <f t="shared" si="1"/>
        <v>543</v>
      </c>
      <c r="F81" s="247" cm="1">
        <f t="array" ref="F81">MIN(INDEX('Relacion '!$X$5:$AM$493,MATCH(INDEX($B:$B, (ROW()-0)),'Relacion '!$E$5:$E$493,0),0))</f>
        <v>45659</v>
      </c>
      <c r="G81" s="247" cm="1">
        <f t="array" ref="G81">MAX(INDEX('Relacion '!$X$5:$AM$493,MATCH(INDEX($B:$B, (ROW()-0)),'Relacion '!$E$5:$E$493,0),0))</f>
        <v>46202</v>
      </c>
      <c r="H81" s="248" t="e">
        <f>_xlfn.XLOOKUP(B81, 'Plan de Trabajo'!$B$2:$B$1802, 'Plan de Trabajo'!$H$2:$H$1802)</f>
        <v>#REF!</v>
      </c>
      <c r="I81" s="248">
        <f ca="1">_xlfn.XLOOKUP(B81, 'Plan de Trabajo'!$B$2:$B$1802, 'Plan de Trabajo'!$I$2:$I$1802)</f>
        <v>0.375</v>
      </c>
      <c r="J81" s="249" t="str">
        <f>IF(ISNUMBER(SEARCH("Rocha", _xlfn.XLOOKUP(B81,'Relacion '!$E:$E,'Relacion '!$I:$I,""))), "Sí", "No")</f>
        <v>Sí</v>
      </c>
      <c r="K81" s="249" t="str">
        <f>IF(ISNUMBER(SEARCH("Rocha", _xlfn.XLOOKUP(B81,'Relacion '!$E:$E,'Relacion '!$I:$I,""))), "RMC", _xlfn.XLOOKUP(B81,'Relacion '!$E:$E,'Relacion '!$B:$B,""))</f>
        <v>RMC</v>
      </c>
      <c r="L81" s="249" t="str">
        <f>_xlfn.XLOOKUP(B81,'Relacion '!$E:$E,'Relacion '!$C:$C,"")</f>
        <v>Belem Alvarado</v>
      </c>
    </row>
    <row r="82" spans="2:12">
      <c r="B82" s="245" t="s">
        <v>282</v>
      </c>
      <c r="C82" s="137" t="s">
        <v>280</v>
      </c>
      <c r="D82" s="249" t="str">
        <f>_xlfn.XLOOKUP(B82,'Relacion '!$E:$E,'Relacion '!$D:$D,"")</f>
        <v>04. VALIDA US</v>
      </c>
      <c r="E82" s="246">
        <f t="shared" si="1"/>
        <v>117</v>
      </c>
      <c r="F82" s="247" cm="1">
        <f t="array" ref="F82">MIN(INDEX('Relacion '!$X$5:$AM$493,MATCH(INDEX($B:$B, (ROW()-0)),'Relacion '!$E$5:$E$493,0),0))</f>
        <v>46024</v>
      </c>
      <c r="G82" s="247" cm="1">
        <f t="array" ref="G82">MAX(INDEX('Relacion '!$X$5:$AM$493,MATCH(INDEX($B:$B, (ROW()-0)),'Relacion '!$E$5:$E$493,0),0))</f>
        <v>46141</v>
      </c>
      <c r="H82" s="248" t="e">
        <f>_xlfn.XLOOKUP(B82, 'Plan de Trabajo'!$B$2:$B$1802, 'Plan de Trabajo'!$H$2:$H$1802)</f>
        <v>#REF!</v>
      </c>
      <c r="I82" s="248">
        <f ca="1">_xlfn.XLOOKUP(B82, 'Plan de Trabajo'!$B$2:$B$1802, 'Plan de Trabajo'!$I$2:$I$1802)</f>
        <v>1</v>
      </c>
      <c r="J82" s="249" t="str">
        <f>IF(ISNUMBER(SEARCH("Rocha", _xlfn.XLOOKUP(B82,'Relacion '!$E:$E,'Relacion '!$I:$I,""))), "Sí", "No")</f>
        <v>No</v>
      </c>
      <c r="K82" s="249" t="str">
        <f>IF(ISNUMBER(SEARCH("Rocha", _xlfn.XLOOKUP(B82,'Relacion '!$E:$E,'Relacion '!$I:$I,""))), "RMC", _xlfn.XLOOKUP(B82,'Relacion '!$E:$E,'Relacion '!$B:$B,""))</f>
        <v>Tesorería </v>
      </c>
      <c r="L82" s="249" t="str">
        <f>_xlfn.XLOOKUP(B82,'Relacion '!$E:$E,'Relacion '!$C:$C,"")</f>
        <v>Eduardo Cabral</v>
      </c>
    </row>
    <row r="83" spans="2:12">
      <c r="B83" s="245" t="s">
        <v>106</v>
      </c>
      <c r="C83" s="137" t="s">
        <v>107</v>
      </c>
      <c r="D83" s="249" t="str">
        <f>_xlfn.XLOOKUP(B83,'Relacion '!$E:$E,'Relacion '!$D:$D,"")</f>
        <v>02. MAPEO</v>
      </c>
      <c r="E83" s="246">
        <f t="shared" si="1"/>
        <v>582</v>
      </c>
      <c r="F83" s="247" cm="1">
        <f t="array" ref="F83">MIN(INDEX('Relacion '!$X$5:$AM$493,MATCH(INDEX($B:$B, (ROW()-0)),'Relacion '!$E$5:$E$493,0),0))</f>
        <v>45659</v>
      </c>
      <c r="G83" s="247" cm="1">
        <f t="array" ref="G83">MAX(INDEX('Relacion '!$X$5:$AM$493,MATCH(INDEX($B:$B, (ROW()-0)),'Relacion '!$E$5:$E$493,0),0))</f>
        <v>46241</v>
      </c>
      <c r="H83" s="248" t="e">
        <f>_xlfn.XLOOKUP(B83, 'Plan de Trabajo'!$B$2:$B$1802, 'Plan de Trabajo'!$H$2:$H$1802)</f>
        <v>#REF!</v>
      </c>
      <c r="I83" s="248">
        <f ca="1">_xlfn.XLOOKUP(B83, 'Plan de Trabajo'!$B$2:$B$1802, 'Plan de Trabajo'!$I$2:$I$1802)</f>
        <v>0.25</v>
      </c>
      <c r="J83" s="249" t="str">
        <f>IF(ISNUMBER(SEARCH("Rocha", _xlfn.XLOOKUP(B83,'Relacion '!$E:$E,'Relacion '!$I:$I,""))), "Sí", "No")</f>
        <v>No</v>
      </c>
      <c r="K83" s="249" t="str">
        <f>IF(ISNUMBER(SEARCH("Rocha", _xlfn.XLOOKUP(B83,'Relacion '!$E:$E,'Relacion '!$I:$I,""))), "RMC", _xlfn.XLOOKUP(B83,'Relacion '!$E:$E,'Relacion '!$B:$B,""))</f>
        <v>Operaciones Captacion</v>
      </c>
      <c r="L83" s="249" t="str">
        <f>_xlfn.XLOOKUP(B83,'Relacion '!$E:$E,'Relacion '!$C:$C,"")</f>
        <v>Luis Alberto</v>
      </c>
    </row>
    <row r="84" spans="2:12">
      <c r="B84" s="245" t="s">
        <v>509</v>
      </c>
      <c r="C84" s="137" t="s">
        <v>514</v>
      </c>
      <c r="D84" s="249" t="str">
        <f>_xlfn.XLOOKUP(B84,'Relacion '!$E:$E,'Relacion '!$D:$D,"")</f>
        <v>08. CERRADO</v>
      </c>
      <c r="E84" s="246">
        <f t="shared" si="1"/>
        <v>109</v>
      </c>
      <c r="F84" s="247" cm="1">
        <f t="array" ref="F84">MIN(INDEX('Relacion '!$X$5:$AM$493,MATCH(INDEX($B:$B, (ROW()-0)),'Relacion '!$E$5:$E$493,0),0))</f>
        <v>46056</v>
      </c>
      <c r="G84" s="247" cm="1">
        <f t="array" ref="G84">MAX(INDEX('Relacion '!$X$5:$AM$493,MATCH(INDEX($B:$B, (ROW()-0)),'Relacion '!$E$5:$E$493,0),0))</f>
        <v>46165</v>
      </c>
      <c r="H84" s="248" t="e">
        <f>_xlfn.XLOOKUP(B84, 'Plan de Trabajo'!$B$2:$B$1802, 'Plan de Trabajo'!$H$2:$H$1802)</f>
        <v>#N/A</v>
      </c>
      <c r="I84" s="248">
        <f ca="1">_xlfn.XLOOKUP(B84, 'Plan de Trabajo'!$B$2:$B$1802, 'Plan de Trabajo'!$I$2:$I$1802)</f>
        <v>1</v>
      </c>
      <c r="J84" s="249" t="str">
        <f>IF(ISNUMBER(SEARCH("Rocha", _xlfn.XLOOKUP(B84,'Relacion '!$E:$E,'Relacion '!$I:$I,""))), "Sí", "No")</f>
        <v>No</v>
      </c>
      <c r="K84" s="249" t="str">
        <f>IF(ISNUMBER(SEARCH("Rocha", _xlfn.XLOOKUP(B84,'Relacion '!$E:$E,'Relacion '!$I:$I,""))), "RMC", _xlfn.XLOOKUP(B84,'Relacion '!$E:$E,'Relacion '!$B:$B,""))</f>
        <v>Riesgos</v>
      </c>
      <c r="L84" s="249" t="str">
        <f>_xlfn.XLOOKUP(B84,'Relacion '!$E:$E,'Relacion '!$C:$C,"")</f>
        <v>Homero Sanchez</v>
      </c>
    </row>
    <row r="85" spans="2:12">
      <c r="B85" s="245" t="s">
        <v>510</v>
      </c>
      <c r="C85" s="137" t="s">
        <v>514</v>
      </c>
      <c r="D85" s="249" t="str">
        <f>_xlfn.XLOOKUP(B85,'Relacion '!$E:$E,'Relacion '!$D:$D,"")</f>
        <v>04. VALIDA US</v>
      </c>
      <c r="E85" s="246">
        <f t="shared" si="1"/>
        <v>109</v>
      </c>
      <c r="F85" s="247" cm="1">
        <f t="array" ref="F85">MIN(INDEX('Relacion '!$X$5:$AM$493,MATCH(INDEX($B:$B, (ROW()-0)),'Relacion '!$E$5:$E$493,0),0))</f>
        <v>46056</v>
      </c>
      <c r="G85" s="247" cm="1">
        <f t="array" ref="G85">MAX(INDEX('Relacion '!$X$5:$AM$493,MATCH(INDEX($B:$B, (ROW()-0)),'Relacion '!$E$5:$E$493,0),0))</f>
        <v>46165</v>
      </c>
      <c r="H85" s="248" t="e">
        <f>_xlfn.XLOOKUP(B85, 'Plan de Trabajo'!$B$2:$B$1802, 'Plan de Trabajo'!$H$2:$H$1802)</f>
        <v>#REF!</v>
      </c>
      <c r="I85" s="248">
        <f ca="1">_xlfn.XLOOKUP(B85, 'Plan de Trabajo'!$B$2:$B$1802, 'Plan de Trabajo'!$I$2:$I$1802)</f>
        <v>1</v>
      </c>
      <c r="J85" s="249" t="str">
        <f>IF(ISNUMBER(SEARCH("Rocha", _xlfn.XLOOKUP(B85,'Relacion '!$E:$E,'Relacion '!$I:$I,""))), "Sí", "No")</f>
        <v>No</v>
      </c>
      <c r="K85" s="249" t="str">
        <f>IF(ISNUMBER(SEARCH("Rocha", _xlfn.XLOOKUP(B85,'Relacion '!$E:$E,'Relacion '!$I:$I,""))), "RMC", _xlfn.XLOOKUP(B85,'Relacion '!$E:$E,'Relacion '!$B:$B,""))</f>
        <v>Riesgos</v>
      </c>
      <c r="L85" s="249" t="str">
        <f>_xlfn.XLOOKUP(B85,'Relacion '!$E:$E,'Relacion '!$C:$C,"")</f>
        <v>Homero Sanchez</v>
      </c>
    </row>
    <row r="86" spans="2:12">
      <c r="B86" s="245" t="s">
        <v>511</v>
      </c>
      <c r="C86" s="137" t="s">
        <v>508</v>
      </c>
      <c r="D86" s="249" t="str">
        <f>_xlfn.XLOOKUP(B86,'Relacion '!$E:$E,'Relacion '!$D:$D,"")</f>
        <v>06. BW-EJECUCION</v>
      </c>
      <c r="E86" s="246">
        <f t="shared" si="1"/>
        <v>99</v>
      </c>
      <c r="F86" s="247" cm="1">
        <f t="array" ref="F86">MIN(INDEX('Relacion '!$X$5:$AM$493,MATCH(INDEX($B:$B, (ROW()-0)),'Relacion '!$E$5:$E$493,0),0))</f>
        <v>46024</v>
      </c>
      <c r="G86" s="247" cm="1">
        <f t="array" ref="G86">MAX(INDEX('Relacion '!$X$5:$AM$493,MATCH(INDEX($B:$B, (ROW()-0)),'Relacion '!$E$5:$E$493,0),0))</f>
        <v>46123</v>
      </c>
      <c r="H86" s="248" t="e">
        <f>_xlfn.XLOOKUP(B86, 'Plan de Trabajo'!$B$2:$B$1802, 'Plan de Trabajo'!$H$2:$H$1802)</f>
        <v>#REF!</v>
      </c>
      <c r="I86" s="248">
        <f ca="1">_xlfn.XLOOKUP(B86, 'Plan de Trabajo'!$B$2:$B$1802, 'Plan de Trabajo'!$I$2:$I$1802)</f>
        <v>1</v>
      </c>
      <c r="J86" s="249" t="str">
        <f>IF(ISNUMBER(SEARCH("Rocha", _xlfn.XLOOKUP(B86,'Relacion '!$E:$E,'Relacion '!$I:$I,""))), "Sí", "No")</f>
        <v>No</v>
      </c>
      <c r="K86" s="249" t="str">
        <f>IF(ISNUMBER(SEARCH("Rocha", _xlfn.XLOOKUP(B86,'Relacion '!$E:$E,'Relacion '!$I:$I,""))), "RMC", _xlfn.XLOOKUP(B86,'Relacion '!$E:$E,'Relacion '!$B:$B,""))</f>
        <v>Riesgos</v>
      </c>
      <c r="L86" s="249" t="str">
        <f>_xlfn.XLOOKUP(B86,'Relacion '!$E:$E,'Relacion '!$C:$C,"")</f>
        <v>Homero Sanchez</v>
      </c>
    </row>
    <row r="87" spans="2:12">
      <c r="B87" s="245" t="s">
        <v>512</v>
      </c>
      <c r="C87" s="137" t="s">
        <v>514</v>
      </c>
      <c r="D87" s="249" t="str">
        <f>_xlfn.XLOOKUP(B87,'Relacion '!$E:$E,'Relacion '!$D:$D,"")</f>
        <v>02. MAPEO</v>
      </c>
      <c r="E87" s="246">
        <f t="shared" si="1"/>
        <v>515</v>
      </c>
      <c r="F87" s="247" cm="1">
        <f t="array" ref="F87">MIN(INDEX('Relacion '!$X$5:$AM$493,MATCH(INDEX($B:$B, (ROW()-0)),'Relacion '!$E$5:$E$493,0),0))</f>
        <v>45659</v>
      </c>
      <c r="G87" s="247" cm="1">
        <f t="array" ref="G87">MAX(INDEX('Relacion '!$X$5:$AM$493,MATCH(INDEX($B:$B, (ROW()-0)),'Relacion '!$E$5:$E$493,0),0))</f>
        <v>46174</v>
      </c>
      <c r="H87" s="248" t="e">
        <f>_xlfn.XLOOKUP(B87, 'Plan de Trabajo'!$B$2:$B$1802, 'Plan de Trabajo'!$H$2:$H$1802)</f>
        <v>#REF!</v>
      </c>
      <c r="I87" s="248">
        <f ca="1">_xlfn.XLOOKUP(B87, 'Plan de Trabajo'!$B$2:$B$1802, 'Plan de Trabajo'!$I$2:$I$1802)</f>
        <v>0.75</v>
      </c>
      <c r="J87" s="249" t="str">
        <f>IF(ISNUMBER(SEARCH("Rocha", _xlfn.XLOOKUP(B87,'Relacion '!$E:$E,'Relacion '!$I:$I,""))), "Sí", "No")</f>
        <v>No</v>
      </c>
      <c r="K87" s="249" t="str">
        <f>IF(ISNUMBER(SEARCH("Rocha", _xlfn.XLOOKUP(B87,'Relacion '!$E:$E,'Relacion '!$I:$I,""))), "RMC", _xlfn.XLOOKUP(B87,'Relacion '!$E:$E,'Relacion '!$B:$B,""))</f>
        <v>Contabilidad</v>
      </c>
      <c r="L87" s="249" t="str">
        <f>_xlfn.XLOOKUP(B87,'Relacion '!$E:$E,'Relacion '!$C:$C,"")</f>
        <v xml:space="preserve">Ramon Jaimes </v>
      </c>
    </row>
    <row r="88" spans="2:12">
      <c r="B88" s="245" t="s">
        <v>513</v>
      </c>
      <c r="C88" s="137" t="s">
        <v>514</v>
      </c>
      <c r="D88" s="249" t="str">
        <f>_xlfn.XLOOKUP(B88,'Relacion '!$E:$E,'Relacion '!$D:$D,"")</f>
        <v>02. MAPEO</v>
      </c>
      <c r="E88" s="246">
        <f t="shared" si="1"/>
        <v>158</v>
      </c>
      <c r="F88" s="247" cm="1">
        <f t="array" ref="F88">MIN(INDEX('Relacion '!$X$5:$AM$493,MATCH(INDEX($B:$B, (ROW()-0)),'Relacion '!$E$5:$E$493,0),0))</f>
        <v>46024</v>
      </c>
      <c r="G88" s="247" cm="1">
        <f t="array" ref="G88">MAX(INDEX('Relacion '!$X$5:$AM$493,MATCH(INDEX($B:$B, (ROW()-0)),'Relacion '!$E$5:$E$493,0),0))</f>
        <v>46182</v>
      </c>
      <c r="H88" s="248" t="e">
        <f>_xlfn.XLOOKUP(B88, 'Plan de Trabajo'!$B$2:$B$1802, 'Plan de Trabajo'!$H$2:$H$1802)</f>
        <v>#REF!</v>
      </c>
      <c r="I88" s="248">
        <f ca="1">_xlfn.XLOOKUP(B88, 'Plan de Trabajo'!$B$2:$B$1802, 'Plan de Trabajo'!$I$2:$I$1802)</f>
        <v>0.75</v>
      </c>
      <c r="J88" s="249" t="str">
        <f>IF(ISNUMBER(SEARCH("Rocha", _xlfn.XLOOKUP(B88,'Relacion '!$E:$E,'Relacion '!$I:$I,""))), "Sí", "No")</f>
        <v>No</v>
      </c>
      <c r="K88" s="249" t="str">
        <f>IF(ISNUMBER(SEARCH("Rocha", _xlfn.XLOOKUP(B88,'Relacion '!$E:$E,'Relacion '!$I:$I,""))), "RMC", _xlfn.XLOOKUP(B88,'Relacion '!$E:$E,'Relacion '!$B:$B,""))</f>
        <v>Riesgos</v>
      </c>
      <c r="L88" s="249" t="str">
        <f>_xlfn.XLOOKUP(B88,'Relacion '!$E:$E,'Relacion '!$C:$C,"")</f>
        <v>Homero Sanchez</v>
      </c>
    </row>
    <row r="89" spans="2:12">
      <c r="B89" s="245" t="s">
        <v>279</v>
      </c>
      <c r="C89" s="176" t="s">
        <v>280</v>
      </c>
      <c r="D89" s="249" t="str">
        <f>_xlfn.XLOOKUP(B89,'Relacion '!$E:$E,'Relacion '!$D:$D,"")</f>
        <v>04. VALIDA US</v>
      </c>
      <c r="E89" s="246">
        <f t="shared" si="1"/>
        <v>148</v>
      </c>
      <c r="F89" s="247" cm="1">
        <f t="array" ref="F89">MIN(INDEX('Relacion '!$X$5:$AM$493,MATCH(INDEX($B:$B, (ROW()-0)),'Relacion '!$E$5:$E$493,0),0))</f>
        <v>46024</v>
      </c>
      <c r="G89" s="247" cm="1">
        <f t="array" ref="G89">MAX(INDEX('Relacion '!$X$5:$AM$493,MATCH(INDEX($B:$B, (ROW()-0)),'Relacion '!$E$5:$E$493,0),0))</f>
        <v>46172</v>
      </c>
      <c r="H89" s="248" t="e">
        <f>_xlfn.XLOOKUP(B89, 'Plan de Trabajo'!$B$2:$B$1802, 'Plan de Trabajo'!$H$2:$H$1802)</f>
        <v>#REF!</v>
      </c>
      <c r="I89" s="248">
        <f ca="1">_xlfn.XLOOKUP(B89, 'Plan de Trabajo'!$B$2:$B$1802, 'Plan de Trabajo'!$I$2:$I$1802)</f>
        <v>0.75</v>
      </c>
      <c r="J89" s="249" t="str">
        <f>IF(ISNUMBER(SEARCH("Rocha", _xlfn.XLOOKUP(B89,'Relacion '!$E:$E,'Relacion '!$I:$I,""))), "Sí", "No")</f>
        <v>No</v>
      </c>
      <c r="K89" s="249" t="str">
        <f>IF(ISNUMBER(SEARCH("Rocha", _xlfn.XLOOKUP(B89,'Relacion '!$E:$E,'Relacion '!$I:$I,""))), "RMC", _xlfn.XLOOKUP(B89,'Relacion '!$E:$E,'Relacion '!$B:$B,""))</f>
        <v>Tesorería </v>
      </c>
      <c r="L89" s="249" t="str">
        <f>_xlfn.XLOOKUP(B89,'Relacion '!$E:$E,'Relacion '!$C:$C,"")</f>
        <v>Eduardo Cabral</v>
      </c>
    </row>
    <row r="90" spans="2:12">
      <c r="B90" s="245" t="s">
        <v>278</v>
      </c>
      <c r="C90" s="137" t="s">
        <v>263</v>
      </c>
      <c r="D90" s="249" t="str">
        <f>_xlfn.XLOOKUP(B90,'Relacion '!$E:$E,'Relacion '!$D:$D,"")</f>
        <v>02. MAPEO</v>
      </c>
      <c r="E90" s="246">
        <f t="shared" si="1"/>
        <v>172</v>
      </c>
      <c r="F90" s="247" cm="1">
        <f t="array" ref="F90">MIN(INDEX('Relacion '!$X$5:$AM$493,MATCH(INDEX($B:$B, (ROW()-0)),'Relacion '!$E$5:$E$493,0),0))</f>
        <v>46024</v>
      </c>
      <c r="G90" s="247" cm="1">
        <f t="array" ref="G90">MAX(INDEX('Relacion '!$X$5:$AM$493,MATCH(INDEX($B:$B, (ROW()-0)),'Relacion '!$E$5:$E$493,0),0))</f>
        <v>46196</v>
      </c>
      <c r="H90" s="248" t="e">
        <f>_xlfn.XLOOKUP(B90, 'Plan de Trabajo'!$B$2:$B$1802, 'Plan de Trabajo'!$H$2:$H$1802)</f>
        <v>#REF!</v>
      </c>
      <c r="I90" s="248">
        <f ca="1">_xlfn.XLOOKUP(B90, 'Plan de Trabajo'!$B$2:$B$1802, 'Plan de Trabajo'!$I$2:$I$1802)</f>
        <v>0.375</v>
      </c>
      <c r="J90" s="249" t="str">
        <f>IF(ISNUMBER(SEARCH("Rocha", _xlfn.XLOOKUP(B90,'Relacion '!$E:$E,'Relacion '!$I:$I,""))), "Sí", "No")</f>
        <v>No</v>
      </c>
      <c r="K90" s="249" t="str">
        <f>IF(ISNUMBER(SEARCH("Rocha", _xlfn.XLOOKUP(B90,'Relacion '!$E:$E,'Relacion '!$I:$I,""))), "RMC", _xlfn.XLOOKUP(B90,'Relacion '!$E:$E,'Relacion '!$B:$B,""))</f>
        <v>Tesorería </v>
      </c>
      <c r="L90" s="249" t="str">
        <f>_xlfn.XLOOKUP(B90,'Relacion '!$E:$E,'Relacion '!$C:$C,"")</f>
        <v>Eduardo Cabral</v>
      </c>
    </row>
    <row r="91" spans="2:12">
      <c r="B91" s="245" t="s">
        <v>277</v>
      </c>
      <c r="C91" s="137" t="s">
        <v>263</v>
      </c>
      <c r="D91" s="249" t="str">
        <f>_xlfn.XLOOKUP(B91,'Relacion '!$E:$E,'Relacion '!$D:$D,"")</f>
        <v>02. MAPEO</v>
      </c>
      <c r="E91" s="246">
        <f t="shared" si="1"/>
        <v>172</v>
      </c>
      <c r="F91" s="247" cm="1">
        <f t="array" ref="F91">MIN(INDEX('Relacion '!$X$5:$AM$493,MATCH(INDEX($B:$B, (ROW()-0)),'Relacion '!$E$5:$E$493,0),0))</f>
        <v>46024</v>
      </c>
      <c r="G91" s="247" cm="1">
        <f t="array" ref="G91">MAX(INDEX('Relacion '!$X$5:$AM$493,MATCH(INDEX($B:$B, (ROW()-0)),'Relacion '!$E$5:$E$493,0),0))</f>
        <v>46196</v>
      </c>
      <c r="H91" s="248" t="e">
        <f>_xlfn.XLOOKUP(B91, 'Plan de Trabajo'!$B$2:$B$1802, 'Plan de Trabajo'!$H$2:$H$1802)</f>
        <v>#REF!</v>
      </c>
      <c r="I91" s="248">
        <f ca="1">_xlfn.XLOOKUP(B91, 'Plan de Trabajo'!$B$2:$B$1802, 'Plan de Trabajo'!$I$2:$I$1802)</f>
        <v>0.375</v>
      </c>
      <c r="J91" s="249" t="str">
        <f>IF(ISNUMBER(SEARCH("Rocha", _xlfn.XLOOKUP(B91,'Relacion '!$E:$E,'Relacion '!$I:$I,""))), "Sí", "No")</f>
        <v>No</v>
      </c>
      <c r="K91" s="249" t="str">
        <f>IF(ISNUMBER(SEARCH("Rocha", _xlfn.XLOOKUP(B91,'Relacion '!$E:$E,'Relacion '!$I:$I,""))), "RMC", _xlfn.XLOOKUP(B91,'Relacion '!$E:$E,'Relacion '!$B:$B,""))</f>
        <v>Tesorería </v>
      </c>
      <c r="L91" s="249" t="str">
        <f>_xlfn.XLOOKUP(B91,'Relacion '!$E:$E,'Relacion '!$C:$C,"")</f>
        <v>Eduardo Cabral</v>
      </c>
    </row>
    <row r="92" spans="2:12">
      <c r="B92" s="245" t="s">
        <v>271</v>
      </c>
      <c r="C92" s="137" t="s">
        <v>265</v>
      </c>
      <c r="D92" s="249" t="str">
        <f>_xlfn.XLOOKUP(B92,'Relacion '!$E:$E,'Relacion '!$D:$D,"")</f>
        <v>02. MAPEO</v>
      </c>
      <c r="E92" s="246">
        <f t="shared" si="1"/>
        <v>172</v>
      </c>
      <c r="F92" s="247" cm="1">
        <f t="array" ref="F92">MIN(INDEX('Relacion '!$X$5:$AM$493,MATCH(INDEX($B:$B, (ROW()-0)),'Relacion '!$E$5:$E$493,0),0))</f>
        <v>46024</v>
      </c>
      <c r="G92" s="247" cm="1">
        <f t="array" ref="G92">MAX(INDEX('Relacion '!$X$5:$AM$493,MATCH(INDEX($B:$B, (ROW()-0)),'Relacion '!$E$5:$E$493,0),0))</f>
        <v>46196</v>
      </c>
      <c r="H92" s="248" t="e">
        <f>_xlfn.XLOOKUP(B92, 'Plan de Trabajo'!$B$2:$B$1802, 'Plan de Trabajo'!$H$2:$H$1802)</f>
        <v>#REF!</v>
      </c>
      <c r="I92" s="248">
        <f ca="1">_xlfn.XLOOKUP(B92, 'Plan de Trabajo'!$B$2:$B$1802, 'Plan de Trabajo'!$I$2:$I$1802)</f>
        <v>0.375</v>
      </c>
      <c r="J92" s="249" t="str">
        <f>IF(ISNUMBER(SEARCH("Rocha", _xlfn.XLOOKUP(B92,'Relacion '!$E:$E,'Relacion '!$I:$I,""))), "Sí", "No")</f>
        <v>No</v>
      </c>
      <c r="K92" s="249" t="str">
        <f>IF(ISNUMBER(SEARCH("Rocha", _xlfn.XLOOKUP(B92,'Relacion '!$E:$E,'Relacion '!$I:$I,""))), "RMC", _xlfn.XLOOKUP(B92,'Relacion '!$E:$E,'Relacion '!$B:$B,""))</f>
        <v>Tesorería </v>
      </c>
      <c r="L92" s="249" t="str">
        <f>_xlfn.XLOOKUP(B92,'Relacion '!$E:$E,'Relacion '!$C:$C,"")</f>
        <v>Eduardo Cabral</v>
      </c>
    </row>
    <row r="93" spans="2:12">
      <c r="B93" s="245" t="s">
        <v>264</v>
      </c>
      <c r="C93" s="137" t="s">
        <v>265</v>
      </c>
      <c r="D93" s="249" t="str">
        <f>_xlfn.XLOOKUP(B93,'Relacion '!$E:$E,'Relacion '!$D:$D,"")</f>
        <v>02. MAPEO</v>
      </c>
      <c r="E93" s="246">
        <f t="shared" si="1"/>
        <v>172</v>
      </c>
      <c r="F93" s="247" cm="1">
        <f t="array" ref="F93">MIN(INDEX('Relacion '!$X$5:$AM$493,MATCH(INDEX($B:$B, (ROW()-0)),'Relacion '!$E$5:$E$493,0),0))</f>
        <v>46024</v>
      </c>
      <c r="G93" s="247" cm="1">
        <f t="array" ref="G93">MAX(INDEX('Relacion '!$X$5:$AM$493,MATCH(INDEX($B:$B, (ROW()-0)),'Relacion '!$E$5:$E$493,0),0))</f>
        <v>46196</v>
      </c>
      <c r="H93" s="248" t="e">
        <f>_xlfn.XLOOKUP(B93, 'Plan de Trabajo'!$B$2:$B$1802, 'Plan de Trabajo'!$H$2:$H$1802)</f>
        <v>#REF!</v>
      </c>
      <c r="I93" s="248">
        <f ca="1">_xlfn.XLOOKUP(B93, 'Plan de Trabajo'!$B$2:$B$1802, 'Plan de Trabajo'!$I$2:$I$1802)</f>
        <v>0.375</v>
      </c>
      <c r="J93" s="249" t="str">
        <f>IF(ISNUMBER(SEARCH("Rocha", _xlfn.XLOOKUP(B93,'Relacion '!$E:$E,'Relacion '!$I:$I,""))), "Sí", "No")</f>
        <v>No</v>
      </c>
      <c r="K93" s="249" t="str">
        <f>IF(ISNUMBER(SEARCH("Rocha", _xlfn.XLOOKUP(B93,'Relacion '!$E:$E,'Relacion '!$I:$I,""))), "RMC", _xlfn.XLOOKUP(B93,'Relacion '!$E:$E,'Relacion '!$B:$B,""))</f>
        <v>Tesorería </v>
      </c>
      <c r="L93" s="249" t="str">
        <f>_xlfn.XLOOKUP(B93,'Relacion '!$E:$E,'Relacion '!$C:$C,"")</f>
        <v>Eduardo Cabral</v>
      </c>
    </row>
    <row r="94" spans="2:12">
      <c r="B94" s="245" t="s">
        <v>262</v>
      </c>
      <c r="C94" s="137" t="s">
        <v>263</v>
      </c>
      <c r="D94" s="249" t="str">
        <f>_xlfn.XLOOKUP(B94,'Relacion '!$E:$E,'Relacion '!$D:$D,"")</f>
        <v>02. MAPEO</v>
      </c>
      <c r="E94" s="246">
        <f t="shared" si="1"/>
        <v>172</v>
      </c>
      <c r="F94" s="247" cm="1">
        <f t="array" ref="F94">MIN(INDEX('Relacion '!$X$5:$AM$493,MATCH(INDEX($B:$B, (ROW()-0)),'Relacion '!$E$5:$E$493,0),0))</f>
        <v>46024</v>
      </c>
      <c r="G94" s="247" cm="1">
        <f t="array" ref="G94">MAX(INDEX('Relacion '!$X$5:$AM$493,MATCH(INDEX($B:$B, (ROW()-0)),'Relacion '!$E$5:$E$493,0),0))</f>
        <v>46196</v>
      </c>
      <c r="H94" s="248" t="e">
        <f>_xlfn.XLOOKUP(B94, 'Plan de Trabajo'!$B$2:$B$1802, 'Plan de Trabajo'!$H$2:$H$1802)</f>
        <v>#REF!</v>
      </c>
      <c r="I94" s="248">
        <f ca="1">_xlfn.XLOOKUP(B94, 'Plan de Trabajo'!$B$2:$B$1802, 'Plan de Trabajo'!$I$2:$I$1802)</f>
        <v>0.375</v>
      </c>
      <c r="J94" s="249" t="str">
        <f>IF(ISNUMBER(SEARCH("Rocha", _xlfn.XLOOKUP(B94,'Relacion '!$E:$E,'Relacion '!$I:$I,""))), "Sí", "No")</f>
        <v>No</v>
      </c>
      <c r="K94" s="249" t="str">
        <f>IF(ISNUMBER(SEARCH("Rocha", _xlfn.XLOOKUP(B94,'Relacion '!$E:$E,'Relacion '!$I:$I,""))), "RMC", _xlfn.XLOOKUP(B94,'Relacion '!$E:$E,'Relacion '!$B:$B,""))</f>
        <v>Tesorería </v>
      </c>
      <c r="L94" s="249" t="str">
        <f>_xlfn.XLOOKUP(B94,'Relacion '!$E:$E,'Relacion '!$C:$C,"")</f>
        <v>Eduardo Cabral</v>
      </c>
    </row>
    <row r="95" spans="2:12">
      <c r="B95" s="245" t="s">
        <v>260</v>
      </c>
      <c r="C95" s="137" t="s">
        <v>261</v>
      </c>
      <c r="D95" s="249" t="str">
        <f>_xlfn.XLOOKUP(B95,'Relacion '!$E:$E,'Relacion '!$D:$D,"")</f>
        <v>02. MAPEO</v>
      </c>
      <c r="E95" s="246">
        <f t="shared" si="1"/>
        <v>172</v>
      </c>
      <c r="F95" s="247" cm="1">
        <f t="array" ref="F95">MIN(INDEX('Relacion '!$X$5:$AM$493,MATCH(INDEX($B:$B, (ROW()-0)),'Relacion '!$E$5:$E$493,0),0))</f>
        <v>46024</v>
      </c>
      <c r="G95" s="247" cm="1">
        <f t="array" ref="G95">MAX(INDEX('Relacion '!$X$5:$AM$493,MATCH(INDEX($B:$B, (ROW()-0)),'Relacion '!$E$5:$E$493,0),0))</f>
        <v>46196</v>
      </c>
      <c r="H95" s="248" t="e">
        <f>_xlfn.XLOOKUP(B95, 'Plan de Trabajo'!$B$2:$B$1802, 'Plan de Trabajo'!$H$2:$H$1802)</f>
        <v>#REF!</v>
      </c>
      <c r="I95" s="248">
        <f ca="1">_xlfn.XLOOKUP(B95, 'Plan de Trabajo'!$B$2:$B$1802, 'Plan de Trabajo'!$I$2:$I$1802)</f>
        <v>0.375</v>
      </c>
      <c r="J95" s="249" t="str">
        <f>IF(ISNUMBER(SEARCH("Rocha", _xlfn.XLOOKUP(B95,'Relacion '!$E:$E,'Relacion '!$I:$I,""))), "Sí", "No")</f>
        <v>No</v>
      </c>
      <c r="K95" s="249" t="str">
        <f>IF(ISNUMBER(SEARCH("Rocha", _xlfn.XLOOKUP(B95,'Relacion '!$E:$E,'Relacion '!$I:$I,""))), "RMC", _xlfn.XLOOKUP(B95,'Relacion '!$E:$E,'Relacion '!$B:$B,""))</f>
        <v>Tesorería </v>
      </c>
      <c r="L95" s="249" t="str">
        <f>_xlfn.XLOOKUP(B95,'Relacion '!$E:$E,'Relacion '!$C:$C,"")</f>
        <v>Eduardo Cabral</v>
      </c>
    </row>
    <row r="96" spans="2:12">
      <c r="B96" s="245" t="s">
        <v>95</v>
      </c>
      <c r="C96" s="179" t="s">
        <v>96</v>
      </c>
      <c r="D96" s="249" t="str">
        <f>_xlfn.XLOOKUP(B96,'Relacion '!$E:$E,'Relacion '!$D:$D,"")</f>
        <v>04. VALIDA US</v>
      </c>
      <c r="E96" s="246">
        <f t="shared" si="1"/>
        <v>113</v>
      </c>
      <c r="F96" s="247" cm="1">
        <f t="array" ref="F96">MIN(INDEX('Relacion '!$X$5:$AM$493,MATCH(INDEX($B:$B, (ROW()-0)),'Relacion '!$E$5:$E$493,0),0))</f>
        <v>46024</v>
      </c>
      <c r="G96" s="247" cm="1">
        <f t="array" ref="G96">MAX(INDEX('Relacion '!$X$5:$AM$493,MATCH(INDEX($B:$B, (ROW()-0)),'Relacion '!$E$5:$E$493,0),0))</f>
        <v>46137</v>
      </c>
      <c r="H96" s="248" t="e">
        <f>_xlfn.XLOOKUP(B96, 'Plan de Trabajo'!$B$2:$B$1802, 'Plan de Trabajo'!$H$2:$H$1802)</f>
        <v>#REF!</v>
      </c>
      <c r="I96" s="248">
        <f ca="1">_xlfn.XLOOKUP(B96, 'Plan de Trabajo'!$B$2:$B$1802, 'Plan de Trabajo'!$I$2:$I$1802)</f>
        <v>1</v>
      </c>
      <c r="J96" s="249" t="str">
        <f>IF(ISNUMBER(SEARCH("Rocha", _xlfn.XLOOKUP(B96,'Relacion '!$E:$E,'Relacion '!$I:$I,""))), "Sí", "No")</f>
        <v>No</v>
      </c>
      <c r="K96" s="249" t="str">
        <f>IF(ISNUMBER(SEARCH("Rocha", _xlfn.XLOOKUP(B96,'Relacion '!$E:$E,'Relacion '!$I:$I,""))), "RMC", _xlfn.XLOOKUP(B96,'Relacion '!$E:$E,'Relacion '!$B:$B,""))</f>
        <v>Tesorería </v>
      </c>
      <c r="L96" s="249" t="str">
        <f>_xlfn.XLOOKUP(B96,'Relacion '!$E:$E,'Relacion '!$C:$C,"")</f>
        <v>Eduardo Cabral</v>
      </c>
    </row>
    <row r="97" spans="2:12">
      <c r="B97" s="245" t="s">
        <v>237</v>
      </c>
      <c r="C97" s="176" t="s">
        <v>238</v>
      </c>
      <c r="D97" s="249" t="str">
        <f>_xlfn.XLOOKUP(B97,'Relacion '!$E:$E,'Relacion '!$D:$D,"")</f>
        <v>02. MAPEO</v>
      </c>
      <c r="E97" s="246">
        <f t="shared" si="1"/>
        <v>172</v>
      </c>
      <c r="F97" s="247" cm="1">
        <f t="array" ref="F97">MIN(INDEX('Relacion '!$X$5:$AM$493,MATCH(INDEX($B:$B, (ROW()-0)),'Relacion '!$E$5:$E$493,0),0))</f>
        <v>46024</v>
      </c>
      <c r="G97" s="247" cm="1">
        <f t="array" ref="G97">MAX(INDEX('Relacion '!$X$5:$AM$493,MATCH(INDEX($B:$B, (ROW()-0)),'Relacion '!$E$5:$E$493,0),0))</f>
        <v>46196</v>
      </c>
      <c r="H97" s="248" t="e">
        <f>_xlfn.XLOOKUP(B97, 'Plan de Trabajo'!$B$2:$B$1802, 'Plan de Trabajo'!$H$2:$H$1802)</f>
        <v>#REF!</v>
      </c>
      <c r="I97" s="248">
        <f ca="1">_xlfn.XLOOKUP(B97, 'Plan de Trabajo'!$B$2:$B$1802, 'Plan de Trabajo'!$I$2:$I$1802)</f>
        <v>0.375</v>
      </c>
      <c r="J97" s="249" t="str">
        <f>IF(ISNUMBER(SEARCH("Rocha", _xlfn.XLOOKUP(B97,'Relacion '!$E:$E,'Relacion '!$I:$I,""))), "Sí", "No")</f>
        <v>No</v>
      </c>
      <c r="K97" s="249" t="str">
        <f>IF(ISNUMBER(SEARCH("Rocha", _xlfn.XLOOKUP(B97,'Relacion '!$E:$E,'Relacion '!$I:$I,""))), "RMC", _xlfn.XLOOKUP(B97,'Relacion '!$E:$E,'Relacion '!$B:$B,""))</f>
        <v>Tesorería </v>
      </c>
      <c r="L97" s="249" t="str">
        <f>_xlfn.XLOOKUP(B97,'Relacion '!$E:$E,'Relacion '!$C:$C,"")</f>
        <v>Eduardo Cabral</v>
      </c>
    </row>
    <row r="98" spans="2:12">
      <c r="B98" s="245" t="s">
        <v>552</v>
      </c>
      <c r="C98" s="172" t="s">
        <v>553</v>
      </c>
      <c r="D98" s="249" t="str">
        <f>_xlfn.XLOOKUP(B98,'Relacion '!$E:$E,'Relacion '!$D:$D,"")</f>
        <v>08. CERRADA</v>
      </c>
      <c r="E98" s="246">
        <f t="shared" si="1"/>
        <v>85</v>
      </c>
      <c r="F98" s="247" cm="1">
        <f t="array" ref="F98">MIN(INDEX('Relacion '!$X$5:$AM$493,MATCH(INDEX($B:$B, (ROW()-0)),'Relacion '!$E$5:$E$493,0),0))</f>
        <v>46024</v>
      </c>
      <c r="G98" s="247" cm="1">
        <f t="array" ref="G98">MAX(INDEX('Relacion '!$X$5:$AM$493,MATCH(INDEX($B:$B, (ROW()-0)),'Relacion '!$E$5:$E$493,0),0))</f>
        <v>46109</v>
      </c>
      <c r="H98" s="248" t="e">
        <f>_xlfn.XLOOKUP(B98, 'Plan de Trabajo'!$B$2:$B$1802, 'Plan de Trabajo'!$H$2:$H$1802)</f>
        <v>#REF!</v>
      </c>
      <c r="I98" s="248">
        <f ca="1">_xlfn.XLOOKUP(B98, 'Plan de Trabajo'!$B$2:$B$1802, 'Plan de Trabajo'!$I$2:$I$1802)</f>
        <v>1</v>
      </c>
      <c r="J98" s="249" t="str">
        <f>IF(ISNUMBER(SEARCH("Rocha", _xlfn.XLOOKUP(B98,'Relacion '!$E:$E,'Relacion '!$I:$I,""))), "Sí", "No")</f>
        <v>No</v>
      </c>
      <c r="K98" s="249" t="str">
        <f>IF(ISNUMBER(SEARCH("Rocha", _xlfn.XLOOKUP(B98,'Relacion '!$E:$E,'Relacion '!$I:$I,""))), "RMC", _xlfn.XLOOKUP(B98,'Relacion '!$E:$E,'Relacion '!$B:$B,""))</f>
        <v>Tesorería </v>
      </c>
      <c r="L98" s="249" t="str">
        <f>_xlfn.XLOOKUP(B98,'Relacion '!$E:$E,'Relacion '!$C:$C,"")</f>
        <v>Eduardo Cabral</v>
      </c>
    </row>
    <row r="99" spans="2:12">
      <c r="B99" s="245" t="s">
        <v>560</v>
      </c>
      <c r="C99" s="137" t="s">
        <v>561</v>
      </c>
      <c r="D99" s="249" t="str">
        <f>_xlfn.XLOOKUP(B99,'Relacion '!$E:$E,'Relacion '!$D:$D,"")</f>
        <v>02. MAPEO</v>
      </c>
      <c r="E99" s="246">
        <f t="shared" si="1"/>
        <v>158</v>
      </c>
      <c r="F99" s="247" cm="1">
        <f t="array" ref="F99">MIN(INDEX('Relacion '!$X$5:$AM$493,MATCH(INDEX($B:$B, (ROW()-0)),'Relacion '!$E$5:$E$493,0),0))</f>
        <v>46024</v>
      </c>
      <c r="G99" s="247" cm="1">
        <f t="array" ref="G99">MAX(INDEX('Relacion '!$X$5:$AM$493,MATCH(INDEX($B:$B, (ROW()-0)),'Relacion '!$E$5:$E$493,0),0))</f>
        <v>46182</v>
      </c>
      <c r="H99" s="248" t="e">
        <f>_xlfn.XLOOKUP(B99, 'Plan de Trabajo'!$B$2:$B$1802, 'Plan de Trabajo'!$H$2:$H$1802)</f>
        <v>#REF!</v>
      </c>
      <c r="I99" s="248">
        <f ca="1">_xlfn.XLOOKUP(B99, 'Plan de Trabajo'!$B$2:$B$1802, 'Plan de Trabajo'!$I$2:$I$1802)</f>
        <v>0.75</v>
      </c>
      <c r="J99" s="249" t="str">
        <f>IF(ISNUMBER(SEARCH("Rocha", _xlfn.XLOOKUP(B99,'Relacion '!$E:$E,'Relacion '!$I:$I,""))), "Sí", "No")</f>
        <v>No</v>
      </c>
      <c r="K99" s="249" t="str">
        <f>IF(ISNUMBER(SEARCH("Rocha", _xlfn.XLOOKUP(B99,'Relacion '!$E:$E,'Relacion '!$I:$I,""))), "RMC", _xlfn.XLOOKUP(B99,'Relacion '!$E:$E,'Relacion '!$B:$B,""))</f>
        <v>Riesgos</v>
      </c>
      <c r="L99" s="249" t="str">
        <f>_xlfn.XLOOKUP(B99,'Relacion '!$E:$E,'Relacion '!$C:$C,"")</f>
        <v>Homero Sanchez</v>
      </c>
    </row>
    <row r="100" spans="2:12">
      <c r="B100" s="245" t="s">
        <v>224</v>
      </c>
      <c r="C100" s="137" t="s">
        <v>197</v>
      </c>
      <c r="D100" s="249" t="str">
        <f>_xlfn.XLOOKUP(B100,'Relacion '!$E:$E,'Relacion '!$D:$D,"")</f>
        <v>02. MAPEO</v>
      </c>
      <c r="E100" s="246">
        <f t="shared" si="1"/>
        <v>172</v>
      </c>
      <c r="F100" s="247" cm="1">
        <f t="array" ref="F100">MIN(INDEX('Relacion '!$X$5:$AM$493,MATCH(INDEX($B:$B, (ROW()-0)),'Relacion '!$E$5:$E$493,0),0))</f>
        <v>46024</v>
      </c>
      <c r="G100" s="247" cm="1">
        <f t="array" ref="G100">MAX(INDEX('Relacion '!$X$5:$AM$493,MATCH(INDEX($B:$B, (ROW()-0)),'Relacion '!$E$5:$E$493,0),0))</f>
        <v>46196</v>
      </c>
      <c r="H100" s="248" t="e">
        <f>_xlfn.XLOOKUP(B100, 'Plan de Trabajo'!$B$2:$B$1802, 'Plan de Trabajo'!$H$2:$H$1802)</f>
        <v>#REF!</v>
      </c>
      <c r="I100" s="248">
        <f ca="1">_xlfn.XLOOKUP(B100, 'Plan de Trabajo'!$B$2:$B$1802, 'Plan de Trabajo'!$I$2:$I$1802)</f>
        <v>0.375</v>
      </c>
      <c r="J100" s="249" t="str">
        <f>IF(ISNUMBER(SEARCH("Rocha", _xlfn.XLOOKUP(B100,'Relacion '!$E:$E,'Relacion '!$I:$I,""))), "Sí", "No")</f>
        <v>No</v>
      </c>
      <c r="K100" s="249" t="str">
        <f>IF(ISNUMBER(SEARCH("Rocha", _xlfn.XLOOKUP(B100,'Relacion '!$E:$E,'Relacion '!$I:$I,""))), "RMC", _xlfn.XLOOKUP(B100,'Relacion '!$E:$E,'Relacion '!$B:$B,""))</f>
        <v>Tesorería </v>
      </c>
      <c r="L100" s="249" t="str">
        <f>_xlfn.XLOOKUP(B100,'Relacion '!$E:$E,'Relacion '!$C:$C,"")</f>
        <v>Eduardo Cabral</v>
      </c>
    </row>
    <row r="101" spans="2:12">
      <c r="B101" s="245" t="s">
        <v>213</v>
      </c>
      <c r="C101" s="137" t="s">
        <v>205</v>
      </c>
      <c r="D101" s="249" t="str">
        <f>_xlfn.XLOOKUP(B101,'Relacion '!$E:$E,'Relacion '!$D:$D,"")</f>
        <v>02. MAPEO</v>
      </c>
      <c r="E101" s="246">
        <f t="shared" si="1"/>
        <v>178</v>
      </c>
      <c r="F101" s="247" cm="1">
        <f t="array" ref="F101">MIN(INDEX('Relacion '!$X$5:$AM$493,MATCH(INDEX($B:$B, (ROW()-0)),'Relacion '!$E$5:$E$493,0),0))</f>
        <v>46024</v>
      </c>
      <c r="G101" s="247" cm="1">
        <f t="array" ref="G101">MAX(INDEX('Relacion '!$X$5:$AM$493,MATCH(INDEX($B:$B, (ROW()-0)),'Relacion '!$E$5:$E$493,0),0))</f>
        <v>46202</v>
      </c>
      <c r="H101" s="248" t="e">
        <f>_xlfn.XLOOKUP(B101, 'Plan de Trabajo'!$B$2:$B$1802, 'Plan de Trabajo'!$H$2:$H$1802)</f>
        <v>#REF!</v>
      </c>
      <c r="I101" s="248">
        <f ca="1">_xlfn.XLOOKUP(B101, 'Plan de Trabajo'!$B$2:$B$1802, 'Plan de Trabajo'!$I$2:$I$1802)</f>
        <v>0.375</v>
      </c>
      <c r="J101" s="249" t="str">
        <f>IF(ISNUMBER(SEARCH("Rocha", _xlfn.XLOOKUP(B101,'Relacion '!$E:$E,'Relacion '!$I:$I,""))), "Sí", "No")</f>
        <v>Sí</v>
      </c>
      <c r="K101" s="249" t="str">
        <f>IF(ISNUMBER(SEARCH("Rocha", _xlfn.XLOOKUP(B101,'Relacion '!$E:$E,'Relacion '!$I:$I,""))), "RMC", _xlfn.XLOOKUP(B101,'Relacion '!$E:$E,'Relacion '!$B:$B,""))</f>
        <v>RMC</v>
      </c>
      <c r="L101" s="249" t="str">
        <f>_xlfn.XLOOKUP(B101,'Relacion '!$E:$E,'Relacion '!$C:$C,"")</f>
        <v>Eduardo Cabral</v>
      </c>
    </row>
    <row r="102" spans="2:12">
      <c r="B102" s="245" t="s">
        <v>104</v>
      </c>
      <c r="C102" s="137" t="s">
        <v>105</v>
      </c>
      <c r="D102" s="249" t="str">
        <f>_xlfn.XLOOKUP(B102,'Relacion '!$E:$E,'Relacion '!$D:$D,"")</f>
        <v>04. VALIDA US</v>
      </c>
      <c r="E102" s="246">
        <f t="shared" si="1"/>
        <v>478</v>
      </c>
      <c r="F102" s="247" cm="1">
        <f t="array" ref="F102">MIN(INDEX('Relacion '!$X$5:$AM$493,MATCH(INDEX($B:$B, (ROW()-0)),'Relacion '!$E$5:$E$493,0),0))</f>
        <v>45659</v>
      </c>
      <c r="G102" s="247" cm="1">
        <f t="array" ref="G102">MAX(INDEX('Relacion '!$X$5:$AM$493,MATCH(INDEX($B:$B, (ROW()-0)),'Relacion '!$E$5:$E$493,0),0))</f>
        <v>46137</v>
      </c>
      <c r="H102" s="248" t="e">
        <f>_xlfn.XLOOKUP(B102, 'Plan de Trabajo'!$B$2:$B$1802, 'Plan de Trabajo'!$H$2:$H$1802)</f>
        <v>#REF!</v>
      </c>
      <c r="I102" s="248">
        <f ca="1">_xlfn.XLOOKUP(B102, 'Plan de Trabajo'!$B$2:$B$1802, 'Plan de Trabajo'!$I$2:$I$1802)</f>
        <v>1</v>
      </c>
      <c r="J102" s="249" t="str">
        <f>IF(ISNUMBER(SEARCH("Rocha", _xlfn.XLOOKUP(B102,'Relacion '!$E:$E,'Relacion '!$I:$I,""))), "Sí", "No")</f>
        <v>No</v>
      </c>
      <c r="K102" s="249" t="str">
        <f>IF(ISNUMBER(SEARCH("Rocha", _xlfn.XLOOKUP(B102,'Relacion '!$E:$E,'Relacion '!$I:$I,""))), "RMC", _xlfn.XLOOKUP(B102,'Relacion '!$E:$E,'Relacion '!$B:$B,""))</f>
        <v>Operaciones Captacion</v>
      </c>
      <c r="L102" s="249" t="str">
        <f>_xlfn.XLOOKUP(B102,'Relacion '!$E:$E,'Relacion '!$C:$C,"")</f>
        <v>Luis Alberto</v>
      </c>
    </row>
    <row r="103" spans="2:12">
      <c r="B103" s="245" t="s">
        <v>100</v>
      </c>
      <c r="C103" s="137" t="s">
        <v>101</v>
      </c>
      <c r="D103" s="249" t="str">
        <f>_xlfn.XLOOKUP(B103,'Relacion '!$E:$E,'Relacion '!$D:$D,"")</f>
        <v>02 MAPEO</v>
      </c>
      <c r="E103" s="246">
        <f t="shared" si="1"/>
        <v>478</v>
      </c>
      <c r="F103" s="247" cm="1">
        <f t="array" ref="F103">MIN(INDEX('Relacion '!$X$5:$AM$493,MATCH(INDEX($B:$B, (ROW()-0)),'Relacion '!$E$5:$E$493,0),0))</f>
        <v>45659</v>
      </c>
      <c r="G103" s="247" cm="1">
        <f t="array" ref="G103">MAX(INDEX('Relacion '!$X$5:$AM$493,MATCH(INDEX($B:$B, (ROW()-0)),'Relacion '!$E$5:$E$493,0),0))</f>
        <v>46137</v>
      </c>
      <c r="H103" s="248" t="e">
        <f>_xlfn.XLOOKUP(B103, 'Plan de Trabajo'!$B$2:$B$1802, 'Plan de Trabajo'!$H$2:$H$1802)</f>
        <v>#N/A</v>
      </c>
      <c r="I103" s="248">
        <f ca="1">_xlfn.XLOOKUP(B103, 'Plan de Trabajo'!$B$2:$B$1802, 'Plan de Trabajo'!$I$2:$I$1802)</f>
        <v>1</v>
      </c>
      <c r="J103" s="249" t="str">
        <f>IF(ISNUMBER(SEARCH("Rocha", _xlfn.XLOOKUP(B103,'Relacion '!$E:$E,'Relacion '!$I:$I,""))), "Sí", "No")</f>
        <v>No</v>
      </c>
      <c r="K103" s="249" t="str">
        <f>IF(ISNUMBER(SEARCH("Rocha", _xlfn.XLOOKUP(B103,'Relacion '!$E:$E,'Relacion '!$I:$I,""))), "RMC", _xlfn.XLOOKUP(B103,'Relacion '!$E:$E,'Relacion '!$B:$B,""))</f>
        <v>Operaciones Captacion</v>
      </c>
      <c r="L103" s="249" t="str">
        <f>_xlfn.XLOOKUP(B103,'Relacion '!$E:$E,'Relacion '!$C:$C,"")</f>
        <v>Luis Alberto</v>
      </c>
    </row>
    <row r="104" spans="2:12">
      <c r="B104" s="245" t="s">
        <v>275</v>
      </c>
      <c r="C104" s="137" t="s">
        <v>276</v>
      </c>
      <c r="D104" s="249" t="str">
        <f>_xlfn.XLOOKUP(B104,'Relacion '!$E:$E,'Relacion '!$D:$D,"")</f>
        <v>02. MAPEO</v>
      </c>
      <c r="E104" s="246">
        <f t="shared" si="1"/>
        <v>178</v>
      </c>
      <c r="F104" s="247" cm="1">
        <f t="array" ref="F104">MIN(INDEX('Relacion '!$X$5:$AM$493,MATCH(INDEX($B:$B, (ROW()-0)),'Relacion '!$E$5:$E$493,0),0))</f>
        <v>46024</v>
      </c>
      <c r="G104" s="247" cm="1">
        <f t="array" ref="G104">MAX(INDEX('Relacion '!$X$5:$AM$493,MATCH(INDEX($B:$B, (ROW()-0)),'Relacion '!$E$5:$E$493,0),0))</f>
        <v>46202</v>
      </c>
      <c r="H104" s="248" t="e">
        <f>_xlfn.XLOOKUP(B104, 'Plan de Trabajo'!$B$2:$B$1802, 'Plan de Trabajo'!$H$2:$H$1802)</f>
        <v>#REF!</v>
      </c>
      <c r="I104" s="248">
        <f ca="1">_xlfn.XLOOKUP(B104, 'Plan de Trabajo'!$B$2:$B$1802, 'Plan de Trabajo'!$I$2:$I$1802)</f>
        <v>0.375</v>
      </c>
      <c r="J104" s="249" t="str">
        <f>IF(ISNUMBER(SEARCH("Rocha", _xlfn.XLOOKUP(B104,'Relacion '!$E:$E,'Relacion '!$I:$I,""))), "Sí", "No")</f>
        <v>Sí</v>
      </c>
      <c r="K104" s="249" t="str">
        <f>IF(ISNUMBER(SEARCH("Rocha", _xlfn.XLOOKUP(B104,'Relacion '!$E:$E,'Relacion '!$I:$I,""))), "RMC", _xlfn.XLOOKUP(B104,'Relacion '!$E:$E,'Relacion '!$B:$B,""))</f>
        <v>RMC</v>
      </c>
      <c r="L104" s="249" t="str">
        <f>_xlfn.XLOOKUP(B104,'Relacion '!$E:$E,'Relacion '!$C:$C,"")</f>
        <v>Homero Sanchez</v>
      </c>
    </row>
    <row r="105" spans="2:12">
      <c r="B105" s="245" t="s">
        <v>210</v>
      </c>
      <c r="C105" s="137" t="s">
        <v>205</v>
      </c>
      <c r="D105" s="249" t="str">
        <f>_xlfn.XLOOKUP(B105,'Relacion '!$E:$E,'Relacion '!$D:$D,"")</f>
        <v>02. MAPEO</v>
      </c>
      <c r="E105" s="246">
        <f t="shared" si="1"/>
        <v>178</v>
      </c>
      <c r="F105" s="247" cm="1">
        <f t="array" ref="F105">MIN(INDEX('Relacion '!$X$5:$AM$493,MATCH(INDEX($B:$B, (ROW()-0)),'Relacion '!$E$5:$E$493,0),0))</f>
        <v>46024</v>
      </c>
      <c r="G105" s="247" cm="1">
        <f t="array" ref="G105">MAX(INDEX('Relacion '!$X$5:$AM$493,MATCH(INDEX($B:$B, (ROW()-0)),'Relacion '!$E$5:$E$493,0),0))</f>
        <v>46202</v>
      </c>
      <c r="H105" s="248" t="e">
        <f>_xlfn.XLOOKUP(B105, 'Plan de Trabajo'!$B$2:$B$1802, 'Plan de Trabajo'!$H$2:$H$1802)</f>
        <v>#REF!</v>
      </c>
      <c r="I105" s="248">
        <f ca="1">_xlfn.XLOOKUP(B105, 'Plan de Trabajo'!$B$2:$B$1802, 'Plan de Trabajo'!$I$2:$I$1802)</f>
        <v>0.375</v>
      </c>
      <c r="J105" s="249" t="str">
        <f>IF(ISNUMBER(SEARCH("Rocha", _xlfn.XLOOKUP(B105,'Relacion '!$E:$E,'Relacion '!$I:$I,""))), "Sí", "No")</f>
        <v>Sí</v>
      </c>
      <c r="K105" s="249" t="str">
        <f>IF(ISNUMBER(SEARCH("Rocha", _xlfn.XLOOKUP(B105,'Relacion '!$E:$E,'Relacion '!$I:$I,""))), "RMC", _xlfn.XLOOKUP(B105,'Relacion '!$E:$E,'Relacion '!$B:$B,""))</f>
        <v>RMC</v>
      </c>
      <c r="L105" s="249" t="str">
        <f>_xlfn.XLOOKUP(B105,'Relacion '!$E:$E,'Relacion '!$C:$C,"")</f>
        <v>Eduardo Cabral</v>
      </c>
    </row>
    <row r="106" spans="2:12">
      <c r="B106" s="245" t="s">
        <v>209</v>
      </c>
      <c r="C106" s="137" t="s">
        <v>205</v>
      </c>
      <c r="D106" s="249" t="str">
        <f>_xlfn.XLOOKUP(B106,'Relacion '!$E:$E,'Relacion '!$D:$D,"")</f>
        <v>02. MAPEO</v>
      </c>
      <c r="E106" s="246">
        <f t="shared" si="1"/>
        <v>178</v>
      </c>
      <c r="F106" s="247" cm="1">
        <f t="array" ref="F106">MIN(INDEX('Relacion '!$X$5:$AM$493,MATCH(INDEX($B:$B, (ROW()-0)),'Relacion '!$E$5:$E$493,0),0))</f>
        <v>46024</v>
      </c>
      <c r="G106" s="247" cm="1">
        <f t="array" ref="G106">MAX(INDEX('Relacion '!$X$5:$AM$493,MATCH(INDEX($B:$B, (ROW()-0)),'Relacion '!$E$5:$E$493,0),0))</f>
        <v>46202</v>
      </c>
      <c r="H106" s="248" t="e">
        <f>_xlfn.XLOOKUP(B106, 'Plan de Trabajo'!$B$2:$B$1802, 'Plan de Trabajo'!$H$2:$H$1802)</f>
        <v>#REF!</v>
      </c>
      <c r="I106" s="248">
        <f ca="1">_xlfn.XLOOKUP(B106, 'Plan de Trabajo'!$B$2:$B$1802, 'Plan de Trabajo'!$I$2:$I$1802)</f>
        <v>0.375</v>
      </c>
      <c r="J106" s="249" t="str">
        <f>IF(ISNUMBER(SEARCH("Rocha", _xlfn.XLOOKUP(B106,'Relacion '!$E:$E,'Relacion '!$I:$I,""))), "Sí", "No")</f>
        <v>Sí</v>
      </c>
      <c r="K106" s="249" t="str">
        <f>IF(ISNUMBER(SEARCH("Rocha", _xlfn.XLOOKUP(B106,'Relacion '!$E:$E,'Relacion '!$I:$I,""))), "RMC", _xlfn.XLOOKUP(B106,'Relacion '!$E:$E,'Relacion '!$B:$B,""))</f>
        <v>RMC</v>
      </c>
      <c r="L106" s="249" t="str">
        <f>_xlfn.XLOOKUP(B106,'Relacion '!$E:$E,'Relacion '!$C:$C,"")</f>
        <v>Eduardo Cabral</v>
      </c>
    </row>
    <row r="107" spans="2:12">
      <c r="B107" s="245" t="s">
        <v>208</v>
      </c>
      <c r="C107" s="137" t="s">
        <v>205</v>
      </c>
      <c r="D107" s="249" t="str">
        <f>_xlfn.XLOOKUP(B107,'Relacion '!$E:$E,'Relacion '!$D:$D,"")</f>
        <v>02. MAPEO</v>
      </c>
      <c r="E107" s="246">
        <f t="shared" si="1"/>
        <v>178</v>
      </c>
      <c r="F107" s="247" cm="1">
        <f t="array" ref="F107">MIN(INDEX('Relacion '!$X$5:$AM$493,MATCH(INDEX($B:$B, (ROW()-0)),'Relacion '!$E$5:$E$493,0),0))</f>
        <v>46024</v>
      </c>
      <c r="G107" s="247" cm="1">
        <f t="array" ref="G107">MAX(INDEX('Relacion '!$X$5:$AM$493,MATCH(INDEX($B:$B, (ROW()-0)),'Relacion '!$E$5:$E$493,0),0))</f>
        <v>46202</v>
      </c>
      <c r="H107" s="248" t="e">
        <f>_xlfn.XLOOKUP(B107, 'Plan de Trabajo'!$B$2:$B$1802, 'Plan de Trabajo'!$H$2:$H$1802)</f>
        <v>#REF!</v>
      </c>
      <c r="I107" s="248">
        <f ca="1">_xlfn.XLOOKUP(B107, 'Plan de Trabajo'!$B$2:$B$1802, 'Plan de Trabajo'!$I$2:$I$1802)</f>
        <v>0.375</v>
      </c>
      <c r="J107" s="249" t="str">
        <f>IF(ISNUMBER(SEARCH("Rocha", _xlfn.XLOOKUP(B107,'Relacion '!$E:$E,'Relacion '!$I:$I,""))), "Sí", "No")</f>
        <v>Sí</v>
      </c>
      <c r="K107" s="249" t="str">
        <f>IF(ISNUMBER(SEARCH("Rocha", _xlfn.XLOOKUP(B107,'Relacion '!$E:$E,'Relacion '!$I:$I,""))), "RMC", _xlfn.XLOOKUP(B107,'Relacion '!$E:$E,'Relacion '!$B:$B,""))</f>
        <v>RMC</v>
      </c>
      <c r="L107" s="249" t="str">
        <f>_xlfn.XLOOKUP(B107,'Relacion '!$E:$E,'Relacion '!$C:$C,"")</f>
        <v>Eduardo Cabral</v>
      </c>
    </row>
    <row r="108" spans="2:12">
      <c r="B108" s="245" t="s">
        <v>204</v>
      </c>
      <c r="C108" s="137" t="s">
        <v>205</v>
      </c>
      <c r="D108" s="249" t="str">
        <f>_xlfn.XLOOKUP(B108,'Relacion '!$E:$E,'Relacion '!$D:$D,"")</f>
        <v>02. MAPEO</v>
      </c>
      <c r="E108" s="246">
        <f t="shared" si="1"/>
        <v>178</v>
      </c>
      <c r="F108" s="247" cm="1">
        <f t="array" ref="F108">MIN(INDEX('Relacion '!$X$5:$AM$493,MATCH(INDEX($B:$B, (ROW()-0)),'Relacion '!$E$5:$E$493,0),0))</f>
        <v>46024</v>
      </c>
      <c r="G108" s="247" cm="1">
        <f t="array" ref="G108">MAX(INDEX('Relacion '!$X$5:$AM$493,MATCH(INDEX($B:$B, (ROW()-0)),'Relacion '!$E$5:$E$493,0),0))</f>
        <v>46202</v>
      </c>
      <c r="H108" s="248" t="e">
        <f>_xlfn.XLOOKUP(B108, 'Plan de Trabajo'!$B$2:$B$1802, 'Plan de Trabajo'!$H$2:$H$1802)</f>
        <v>#REF!</v>
      </c>
      <c r="I108" s="248">
        <f ca="1">_xlfn.XLOOKUP(B108, 'Plan de Trabajo'!$B$2:$B$1802, 'Plan de Trabajo'!$I$2:$I$1802)</f>
        <v>0.375</v>
      </c>
      <c r="J108" s="249" t="str">
        <f>IF(ISNUMBER(SEARCH("Rocha", _xlfn.XLOOKUP(B108,'Relacion '!$E:$E,'Relacion '!$I:$I,""))), "Sí", "No")</f>
        <v>Sí</v>
      </c>
      <c r="K108" s="249" t="str">
        <f>IF(ISNUMBER(SEARCH("Rocha", _xlfn.XLOOKUP(B108,'Relacion '!$E:$E,'Relacion '!$I:$I,""))), "RMC", _xlfn.XLOOKUP(B108,'Relacion '!$E:$E,'Relacion '!$B:$B,""))</f>
        <v>RMC</v>
      </c>
      <c r="L108" s="249" t="str">
        <f>_xlfn.XLOOKUP(B108,'Relacion '!$E:$E,'Relacion '!$C:$C,"")</f>
        <v>Eduardo Cabral</v>
      </c>
    </row>
    <row r="109" spans="2:12">
      <c r="B109" s="245" t="s">
        <v>254</v>
      </c>
      <c r="C109" s="137" t="s">
        <v>255</v>
      </c>
      <c r="D109" s="249" t="str">
        <f>_xlfn.XLOOKUP(B109,'Relacion '!$E:$E,'Relacion '!$D:$D,"")</f>
        <v>02. MAPEO</v>
      </c>
      <c r="E109" s="246">
        <f t="shared" si="1"/>
        <v>178</v>
      </c>
      <c r="F109" s="247" cm="1">
        <f t="array" ref="F109">MIN(INDEX('Relacion '!$X$5:$AM$493,MATCH(INDEX($B:$B, (ROW()-0)),'Relacion '!$E$5:$E$493,0),0))</f>
        <v>46024</v>
      </c>
      <c r="G109" s="247" cm="1">
        <f t="array" ref="G109">MAX(INDEX('Relacion '!$X$5:$AM$493,MATCH(INDEX($B:$B, (ROW()-0)),'Relacion '!$E$5:$E$493,0),0))</f>
        <v>46202</v>
      </c>
      <c r="H109" s="248" t="e">
        <f>_xlfn.XLOOKUP(B109, 'Plan de Trabajo'!$B$2:$B$1802, 'Plan de Trabajo'!$H$2:$H$1802)</f>
        <v>#REF!</v>
      </c>
      <c r="I109" s="248">
        <f ca="1">_xlfn.XLOOKUP(B109, 'Plan de Trabajo'!$B$2:$B$1802, 'Plan de Trabajo'!$I$2:$I$1802)</f>
        <v>0.375</v>
      </c>
      <c r="J109" s="249" t="str">
        <f>IF(ISNUMBER(SEARCH("Rocha", _xlfn.XLOOKUP(B109,'Relacion '!$E:$E,'Relacion '!$I:$I,""))), "Sí", "No")</f>
        <v>Sí</v>
      </c>
      <c r="K109" s="249" t="str">
        <f>IF(ISNUMBER(SEARCH("Rocha", _xlfn.XLOOKUP(B109,'Relacion '!$E:$E,'Relacion '!$I:$I,""))), "RMC", _xlfn.XLOOKUP(B109,'Relacion '!$E:$E,'Relacion '!$B:$B,""))</f>
        <v>RMC</v>
      </c>
      <c r="L109" s="249" t="str">
        <f>_xlfn.XLOOKUP(B109,'Relacion '!$E:$E,'Relacion '!$C:$C,"")</f>
        <v>Homero Sanchez</v>
      </c>
    </row>
    <row r="110" spans="2:12">
      <c r="B110" s="245" t="s">
        <v>527</v>
      </c>
      <c r="C110" s="137" t="s">
        <v>508</v>
      </c>
      <c r="D110" s="249" t="str">
        <f>_xlfn.XLOOKUP(B110,'Relacion '!$E:$E,'Relacion '!$D:$D,"")</f>
        <v>06. BW-EJECUCION</v>
      </c>
      <c r="E110" s="246">
        <f t="shared" si="1"/>
        <v>99</v>
      </c>
      <c r="F110" s="247" cm="1">
        <f t="array" ref="F110">MIN(INDEX('Relacion '!$X$5:$AM$493,MATCH(INDEX($B:$B, (ROW()-0)),'Relacion '!$E$5:$E$493,0),0))</f>
        <v>46024</v>
      </c>
      <c r="G110" s="247" cm="1">
        <f t="array" ref="G110">MAX(INDEX('Relacion '!$X$5:$AM$493,MATCH(INDEX($B:$B, (ROW()-0)),'Relacion '!$E$5:$E$493,0),0))</f>
        <v>46123</v>
      </c>
      <c r="H110" s="248" t="e">
        <f>_xlfn.XLOOKUP(B110, 'Plan de Trabajo'!$B$2:$B$1802, 'Plan de Trabajo'!$H$2:$H$1802)</f>
        <v>#REF!</v>
      </c>
      <c r="I110" s="248">
        <f ca="1">_xlfn.XLOOKUP(B110, 'Plan de Trabajo'!$B$2:$B$1802, 'Plan de Trabajo'!$I$2:$I$1802)</f>
        <v>1</v>
      </c>
      <c r="J110" s="249" t="str">
        <f>IF(ISNUMBER(SEARCH("Rocha", _xlfn.XLOOKUP(B110,'Relacion '!$E:$E,'Relacion '!$I:$I,""))), "Sí", "No")</f>
        <v>No</v>
      </c>
      <c r="K110" s="249" t="str">
        <f>IF(ISNUMBER(SEARCH("Rocha", _xlfn.XLOOKUP(B110,'Relacion '!$E:$E,'Relacion '!$I:$I,""))), "RMC", _xlfn.XLOOKUP(B110,'Relacion '!$E:$E,'Relacion '!$B:$B,""))</f>
        <v>Riesgos</v>
      </c>
      <c r="L110" s="249" t="str">
        <f>_xlfn.XLOOKUP(B110,'Relacion '!$E:$E,'Relacion '!$C:$C,"")</f>
        <v>Homero Sanchez</v>
      </c>
    </row>
    <row r="111" spans="2:12">
      <c r="B111" s="245" t="s">
        <v>528</v>
      </c>
      <c r="C111" s="137" t="s">
        <v>508</v>
      </c>
      <c r="D111" s="249" t="str">
        <f>_xlfn.XLOOKUP(B111,'Relacion '!$E:$E,'Relacion '!$D:$D,"")</f>
        <v>06. BW-EJECUCION</v>
      </c>
      <c r="E111" s="246">
        <f t="shared" si="1"/>
        <v>99</v>
      </c>
      <c r="F111" s="247" cm="1">
        <f t="array" ref="F111">MIN(INDEX('Relacion '!$X$5:$AM$493,MATCH(INDEX($B:$B, (ROW()-0)),'Relacion '!$E$5:$E$493,0),0))</f>
        <v>46024</v>
      </c>
      <c r="G111" s="247" cm="1">
        <f t="array" ref="G111">MAX(INDEX('Relacion '!$X$5:$AM$493,MATCH(INDEX($B:$B, (ROW()-0)),'Relacion '!$E$5:$E$493,0),0))</f>
        <v>46123</v>
      </c>
      <c r="H111" s="248" t="e">
        <f>_xlfn.XLOOKUP(B111, 'Plan de Trabajo'!$B$2:$B$1802, 'Plan de Trabajo'!$H$2:$H$1802)</f>
        <v>#REF!</v>
      </c>
      <c r="I111" s="248">
        <f ca="1">_xlfn.XLOOKUP(B111, 'Plan de Trabajo'!$B$2:$B$1802, 'Plan de Trabajo'!$I$2:$I$1802)</f>
        <v>1</v>
      </c>
      <c r="J111" s="249" t="str">
        <f>IF(ISNUMBER(SEARCH("Rocha", _xlfn.XLOOKUP(B111,'Relacion '!$E:$E,'Relacion '!$I:$I,""))), "Sí", "No")</f>
        <v>No</v>
      </c>
      <c r="K111" s="249" t="str">
        <f>IF(ISNUMBER(SEARCH("Rocha", _xlfn.XLOOKUP(B111,'Relacion '!$E:$E,'Relacion '!$I:$I,""))), "RMC", _xlfn.XLOOKUP(B111,'Relacion '!$E:$E,'Relacion '!$B:$B,""))</f>
        <v>Riesgos</v>
      </c>
      <c r="L111" s="249" t="str">
        <f>_xlfn.XLOOKUP(B111,'Relacion '!$E:$E,'Relacion '!$C:$C,"")</f>
        <v>Homero Sanchez</v>
      </c>
    </row>
    <row r="112" spans="2:12">
      <c r="B112" s="245" t="s">
        <v>86</v>
      </c>
      <c r="C112" s="137" t="s">
        <v>87</v>
      </c>
      <c r="D112" s="249" t="str">
        <f>_xlfn.XLOOKUP(B112,'Relacion '!$E:$E,'Relacion '!$D:$D,"")</f>
        <v>02. MAPEO</v>
      </c>
      <c r="E112" s="246">
        <f t="shared" si="1"/>
        <v>478</v>
      </c>
      <c r="F112" s="247" cm="1">
        <f t="array" ref="F112">MIN(INDEX('Relacion '!$X$5:$AM$493,MATCH(INDEX($B:$B, (ROW()-0)),'Relacion '!$E$5:$E$493,0),0))</f>
        <v>45659</v>
      </c>
      <c r="G112" s="247" cm="1">
        <f t="array" ref="G112">MAX(INDEX('Relacion '!$X$5:$AM$493,MATCH(INDEX($B:$B, (ROW()-0)),'Relacion '!$E$5:$E$493,0),0))</f>
        <v>46137</v>
      </c>
      <c r="H112" s="248" t="e">
        <f>_xlfn.XLOOKUP(B112, 'Plan de Trabajo'!$B$2:$B$1802, 'Plan de Trabajo'!$H$2:$H$1802)</f>
        <v>#REF!</v>
      </c>
      <c r="I112" s="248">
        <f ca="1">_xlfn.XLOOKUP(B112, 'Plan de Trabajo'!$B$2:$B$1802, 'Plan de Trabajo'!$I$2:$I$1802)</f>
        <v>1</v>
      </c>
      <c r="J112" s="249" t="str">
        <f>IF(ISNUMBER(SEARCH("Rocha", _xlfn.XLOOKUP(B112,'Relacion '!$E:$E,'Relacion '!$I:$I,""))), "Sí", "No")</f>
        <v>No</v>
      </c>
      <c r="K112" s="249" t="str">
        <f>IF(ISNUMBER(SEARCH("Rocha", _xlfn.XLOOKUP(B112,'Relacion '!$E:$E,'Relacion '!$I:$I,""))), "RMC", _xlfn.XLOOKUP(B112,'Relacion '!$E:$E,'Relacion '!$B:$B,""))</f>
        <v>Operaciones Captacion</v>
      </c>
      <c r="L112" s="249" t="str">
        <f>_xlfn.XLOOKUP(B112,'Relacion '!$E:$E,'Relacion '!$C:$C,"")</f>
        <v>Luis Alberto</v>
      </c>
    </row>
    <row r="113" spans="2:12">
      <c r="B113" s="245" t="s">
        <v>529</v>
      </c>
      <c r="C113" s="137" t="s">
        <v>508</v>
      </c>
      <c r="D113" s="249" t="str">
        <f>_xlfn.XLOOKUP(B113,'Relacion '!$E:$E,'Relacion '!$D:$D,"")</f>
        <v>06. BW-EJECUCION</v>
      </c>
      <c r="E113" s="246">
        <f t="shared" si="1"/>
        <v>99</v>
      </c>
      <c r="F113" s="247" cm="1">
        <f t="array" ref="F113">MIN(INDEX('Relacion '!$X$5:$AM$493,MATCH(INDEX($B:$B, (ROW()-0)),'Relacion '!$E$5:$E$493,0),0))</f>
        <v>46024</v>
      </c>
      <c r="G113" s="247" cm="1">
        <f t="array" ref="G113">MAX(INDEX('Relacion '!$X$5:$AM$493,MATCH(INDEX($B:$B, (ROW()-0)),'Relacion '!$E$5:$E$493,0),0))</f>
        <v>46123</v>
      </c>
      <c r="H113" s="248" t="e">
        <f>_xlfn.XLOOKUP(B113, 'Plan de Trabajo'!$B$2:$B$1802, 'Plan de Trabajo'!$H$2:$H$1802)</f>
        <v>#REF!</v>
      </c>
      <c r="I113" s="248">
        <f ca="1">_xlfn.XLOOKUP(B113, 'Plan de Trabajo'!$B$2:$B$1802, 'Plan de Trabajo'!$I$2:$I$1802)</f>
        <v>1</v>
      </c>
      <c r="J113" s="249" t="str">
        <f>IF(ISNUMBER(SEARCH("Rocha", _xlfn.XLOOKUP(B113,'Relacion '!$E:$E,'Relacion '!$I:$I,""))), "Sí", "No")</f>
        <v>No</v>
      </c>
      <c r="K113" s="249" t="str">
        <f>IF(ISNUMBER(SEARCH("Rocha", _xlfn.XLOOKUP(B113,'Relacion '!$E:$E,'Relacion '!$I:$I,""))), "RMC", _xlfn.XLOOKUP(B113,'Relacion '!$E:$E,'Relacion '!$B:$B,""))</f>
        <v>Riesgos</v>
      </c>
      <c r="L113" s="249" t="str">
        <f>_xlfn.XLOOKUP(B113,'Relacion '!$E:$E,'Relacion '!$C:$C,"")</f>
        <v>Homero Sanchez</v>
      </c>
    </row>
    <row r="114" spans="2:12">
      <c r="B114" s="245" t="s">
        <v>252</v>
      </c>
      <c r="C114" s="137" t="s">
        <v>253</v>
      </c>
      <c r="D114" s="249" t="str">
        <f>_xlfn.XLOOKUP(B114,'Relacion '!$E:$E,'Relacion '!$D:$D,"")</f>
        <v>02. MAPEO</v>
      </c>
      <c r="E114" s="246">
        <f t="shared" si="1"/>
        <v>543</v>
      </c>
      <c r="F114" s="247" cm="1">
        <f t="array" ref="F114">MIN(INDEX('Relacion '!$X$5:$AM$493,MATCH(INDEX($B:$B, (ROW()-0)),'Relacion '!$E$5:$E$493,0),0))</f>
        <v>45659</v>
      </c>
      <c r="G114" s="247" cm="1">
        <f t="array" ref="G114">MAX(INDEX('Relacion '!$X$5:$AM$493,MATCH(INDEX($B:$B, (ROW()-0)),'Relacion '!$E$5:$E$493,0),0))</f>
        <v>46202</v>
      </c>
      <c r="H114" s="248" t="e">
        <f>_xlfn.XLOOKUP(B114, 'Plan de Trabajo'!$B$2:$B$1802, 'Plan de Trabajo'!$H$2:$H$1802)</f>
        <v>#REF!</v>
      </c>
      <c r="I114" s="248">
        <f ca="1">_xlfn.XLOOKUP(B114, 'Plan de Trabajo'!$B$2:$B$1802, 'Plan de Trabajo'!$I$2:$I$1802)</f>
        <v>0.375</v>
      </c>
      <c r="J114" s="249" t="str">
        <f>IF(ISNUMBER(SEARCH("Rocha", _xlfn.XLOOKUP(B114,'Relacion '!$E:$E,'Relacion '!$I:$I,""))), "Sí", "No")</f>
        <v>Sí</v>
      </c>
      <c r="K114" s="249" t="str">
        <f>IF(ISNUMBER(SEARCH("Rocha", _xlfn.XLOOKUP(B114,'Relacion '!$E:$E,'Relacion '!$I:$I,""))), "RMC", _xlfn.XLOOKUP(B114,'Relacion '!$E:$E,'Relacion '!$B:$B,""))</f>
        <v>RMC</v>
      </c>
      <c r="L114" s="249" t="str">
        <f>_xlfn.XLOOKUP(B114,'Relacion '!$E:$E,'Relacion '!$C:$C,"")</f>
        <v>Belem Alvarado</v>
      </c>
    </row>
    <row r="115" spans="2:12">
      <c r="B115" s="245" t="s">
        <v>249</v>
      </c>
      <c r="C115" s="180" t="s">
        <v>250</v>
      </c>
      <c r="D115" s="249" t="str">
        <f>_xlfn.XLOOKUP(B115,'Relacion '!$E:$E,'Relacion '!$D:$D,"")</f>
        <v>02. MAPEO</v>
      </c>
      <c r="E115" s="246">
        <f t="shared" si="1"/>
        <v>543</v>
      </c>
      <c r="F115" s="247" cm="1">
        <f t="array" ref="F115">MIN(INDEX('Relacion '!$X$5:$AM$493,MATCH(INDEX($B:$B, (ROW()-0)),'Relacion '!$E$5:$E$493,0),0))</f>
        <v>45659</v>
      </c>
      <c r="G115" s="247" cm="1">
        <f t="array" ref="G115">MAX(INDEX('Relacion '!$X$5:$AM$493,MATCH(INDEX($B:$B, (ROW()-0)),'Relacion '!$E$5:$E$493,0),0))</f>
        <v>46202</v>
      </c>
      <c r="H115" s="248" t="e">
        <f>_xlfn.XLOOKUP(B115, 'Plan de Trabajo'!$B$2:$B$1802, 'Plan de Trabajo'!$H$2:$H$1802)</f>
        <v>#REF!</v>
      </c>
      <c r="I115" s="248">
        <f ca="1">_xlfn.XLOOKUP(B115, 'Plan de Trabajo'!$B$2:$B$1802, 'Plan de Trabajo'!$I$2:$I$1802)</f>
        <v>0.375</v>
      </c>
      <c r="J115" s="249" t="str">
        <f>IF(ISNUMBER(SEARCH("Rocha", _xlfn.XLOOKUP(B115,'Relacion '!$E:$E,'Relacion '!$I:$I,""))), "Sí", "No")</f>
        <v>Sí</v>
      </c>
      <c r="K115" s="249" t="str">
        <f>IF(ISNUMBER(SEARCH("Rocha", _xlfn.XLOOKUP(B115,'Relacion '!$E:$E,'Relacion '!$I:$I,""))), "RMC", _xlfn.XLOOKUP(B115,'Relacion '!$E:$E,'Relacion '!$B:$B,""))</f>
        <v>RMC</v>
      </c>
      <c r="L115" s="249" t="str">
        <f>_xlfn.XLOOKUP(B115,'Relacion '!$E:$E,'Relacion '!$C:$C,"")</f>
        <v>Belem Alvarado</v>
      </c>
    </row>
    <row r="116" spans="2:12">
      <c r="B116" s="245" t="s">
        <v>247</v>
      </c>
      <c r="C116" s="137" t="s">
        <v>248</v>
      </c>
      <c r="D116" s="249" t="str">
        <f>_xlfn.XLOOKUP(B116,'Relacion '!$E:$E,'Relacion '!$D:$D,"")</f>
        <v>02. MAPEO</v>
      </c>
      <c r="E116" s="246">
        <f t="shared" si="1"/>
        <v>543</v>
      </c>
      <c r="F116" s="247" cm="1">
        <f t="array" ref="F116">MIN(INDEX('Relacion '!$X$5:$AM$493,MATCH(INDEX($B:$B, (ROW()-0)),'Relacion '!$E$5:$E$493,0),0))</f>
        <v>45659</v>
      </c>
      <c r="G116" s="247" cm="1">
        <f t="array" ref="G116">MAX(INDEX('Relacion '!$X$5:$AM$493,MATCH(INDEX($B:$B, (ROW()-0)),'Relacion '!$E$5:$E$493,0),0))</f>
        <v>46202</v>
      </c>
      <c r="H116" s="248" t="e">
        <f>_xlfn.XLOOKUP(B116, 'Plan de Trabajo'!$B$2:$B$1802, 'Plan de Trabajo'!$H$2:$H$1802)</f>
        <v>#REF!</v>
      </c>
      <c r="I116" s="248">
        <f ca="1">_xlfn.XLOOKUP(B116, 'Plan de Trabajo'!$B$2:$B$1802, 'Plan de Trabajo'!$I$2:$I$1802)</f>
        <v>0.375</v>
      </c>
      <c r="J116" s="249" t="str">
        <f>IF(ISNUMBER(SEARCH("Rocha", _xlfn.XLOOKUP(B116,'Relacion '!$E:$E,'Relacion '!$I:$I,""))), "Sí", "No")</f>
        <v>Sí</v>
      </c>
      <c r="K116" s="249" t="str">
        <f>IF(ISNUMBER(SEARCH("Rocha", _xlfn.XLOOKUP(B116,'Relacion '!$E:$E,'Relacion '!$I:$I,""))), "RMC", _xlfn.XLOOKUP(B116,'Relacion '!$E:$E,'Relacion '!$B:$B,""))</f>
        <v>RMC</v>
      </c>
      <c r="L116" s="249" t="str">
        <f>_xlfn.XLOOKUP(B116,'Relacion '!$E:$E,'Relacion '!$C:$C,"")</f>
        <v>Belem Alvarado</v>
      </c>
    </row>
    <row r="117" spans="2:12">
      <c r="B117" s="245" t="s">
        <v>530</v>
      </c>
      <c r="C117" s="137" t="s">
        <v>531</v>
      </c>
      <c r="D117" s="249" t="str">
        <f>_xlfn.XLOOKUP(B117,'Relacion '!$E:$E,'Relacion '!$D:$D,"")</f>
        <v>06. BW-EJECUCION</v>
      </c>
      <c r="E117" s="246">
        <f t="shared" si="1"/>
        <v>106</v>
      </c>
      <c r="F117" s="247" cm="1">
        <f t="array" ref="F117">MIN(INDEX('Relacion '!$X$5:$AM$493,MATCH(INDEX($B:$B, (ROW()-0)),'Relacion '!$E$5:$E$493,0),0))</f>
        <v>46024</v>
      </c>
      <c r="G117" s="247" cm="1">
        <f t="array" ref="G117">MAX(INDEX('Relacion '!$X$5:$AM$493,MATCH(INDEX($B:$B, (ROW()-0)),'Relacion '!$E$5:$E$493,0),0))</f>
        <v>46130</v>
      </c>
      <c r="H117" s="248" t="e">
        <f>_xlfn.XLOOKUP(B117, 'Plan de Trabajo'!$B$2:$B$1802, 'Plan de Trabajo'!$H$2:$H$1802)</f>
        <v>#REF!</v>
      </c>
      <c r="I117" s="248">
        <f ca="1">_xlfn.XLOOKUP(B117, 'Plan de Trabajo'!$B$2:$B$1802, 'Plan de Trabajo'!$I$2:$I$1802)</f>
        <v>1</v>
      </c>
      <c r="J117" s="249" t="str">
        <f>IF(ISNUMBER(SEARCH("Rocha", _xlfn.XLOOKUP(B117,'Relacion '!$E:$E,'Relacion '!$I:$I,""))), "Sí", "No")</f>
        <v>No</v>
      </c>
      <c r="K117" s="249" t="str">
        <f>IF(ISNUMBER(SEARCH("Rocha", _xlfn.XLOOKUP(B117,'Relacion '!$E:$E,'Relacion '!$I:$I,""))), "RMC", _xlfn.XLOOKUP(B117,'Relacion '!$E:$E,'Relacion '!$B:$B,""))</f>
        <v>Riesgos</v>
      </c>
      <c r="L117" s="249" t="str">
        <f>_xlfn.XLOOKUP(B117,'Relacion '!$E:$E,'Relacion '!$C:$C,"")</f>
        <v>Homero Sanchez</v>
      </c>
    </row>
    <row r="118" spans="2:12">
      <c r="B118" s="245" t="s">
        <v>534</v>
      </c>
      <c r="C118" s="137" t="s">
        <v>417</v>
      </c>
      <c r="D118" s="249" t="str">
        <f>_xlfn.XLOOKUP(B118,'Relacion '!$E:$E,'Relacion '!$D:$D,"")</f>
        <v>06. BW-EJECUCION</v>
      </c>
      <c r="E118" s="246">
        <f t="shared" si="1"/>
        <v>471</v>
      </c>
      <c r="F118" s="247" cm="1">
        <f t="array" ref="F118">MIN(INDEX('Relacion '!$X$5:$AM$493,MATCH(INDEX($B:$B, (ROW()-0)),'Relacion '!$E$5:$E$493,0),0))</f>
        <v>45659</v>
      </c>
      <c r="G118" s="247" cm="1">
        <f t="array" ref="G118">MAX(INDEX('Relacion '!$X$5:$AM$493,MATCH(INDEX($B:$B, (ROW()-0)),'Relacion '!$E$5:$E$493,0),0))</f>
        <v>46130</v>
      </c>
      <c r="H118" s="248" t="e">
        <f>_xlfn.XLOOKUP(B118, 'Plan de Trabajo'!$B$2:$B$1802, 'Plan de Trabajo'!$H$2:$H$1802)</f>
        <v>#REF!</v>
      </c>
      <c r="I118" s="248">
        <f ca="1">_xlfn.XLOOKUP(B118, 'Plan de Trabajo'!$B$2:$B$1802, 'Plan de Trabajo'!$I$2:$I$1802)</f>
        <v>1</v>
      </c>
      <c r="J118" s="249" t="str">
        <f>IF(ISNUMBER(SEARCH("Rocha", _xlfn.XLOOKUP(B118,'Relacion '!$E:$E,'Relacion '!$I:$I,""))), "Sí", "No")</f>
        <v>No</v>
      </c>
      <c r="K118" s="249" t="str">
        <f>IF(ISNUMBER(SEARCH("Rocha", _xlfn.XLOOKUP(B118,'Relacion '!$E:$E,'Relacion '!$I:$I,""))), "RMC", _xlfn.XLOOKUP(B118,'Relacion '!$E:$E,'Relacion '!$B:$B,""))</f>
        <v>Producto</v>
      </c>
      <c r="L118" s="249" t="str">
        <f>_xlfn.XLOOKUP(B118,'Relacion '!$E:$E,'Relacion '!$C:$C,"")</f>
        <v>Claudia Barroso</v>
      </c>
    </row>
    <row r="119" spans="2:12">
      <c r="B119" s="245" t="s">
        <v>243</v>
      </c>
      <c r="C119" s="137" t="s">
        <v>244</v>
      </c>
      <c r="D119" s="249" t="str">
        <f>_xlfn.XLOOKUP(B119,'Relacion '!$E:$E,'Relacion '!$D:$D,"")</f>
        <v>04. VALIDA US</v>
      </c>
      <c r="E119" s="246">
        <f t="shared" si="1"/>
        <v>127</v>
      </c>
      <c r="F119" s="247" cm="1">
        <f t="array" ref="F119">MIN(INDEX('Relacion '!$X$5:$AM$493,MATCH(INDEX($B:$B, (ROW()-0)),'Relacion '!$E$5:$E$493,0),0))</f>
        <v>46024</v>
      </c>
      <c r="G119" s="247" cm="1">
        <f t="array" ref="G119">MAX(INDEX('Relacion '!$X$5:$AM$493,MATCH(INDEX($B:$B, (ROW()-0)),'Relacion '!$E$5:$E$493,0),0))</f>
        <v>46151</v>
      </c>
      <c r="H119" s="248" t="e">
        <f>_xlfn.XLOOKUP(B119, 'Plan de Trabajo'!$B$2:$B$1802, 'Plan de Trabajo'!$H$2:$H$1802)</f>
        <v>#REF!</v>
      </c>
      <c r="I119" s="248">
        <f ca="1">_xlfn.XLOOKUP(B119, 'Plan de Trabajo'!$B$2:$B$1802, 'Plan de Trabajo'!$I$2:$I$1802)</f>
        <v>1</v>
      </c>
      <c r="J119" s="249" t="str">
        <f>IF(ISNUMBER(SEARCH("Rocha", _xlfn.XLOOKUP(B119,'Relacion '!$E:$E,'Relacion '!$I:$I,""))), "Sí", "No")</f>
        <v>No</v>
      </c>
      <c r="K119" s="249" t="str">
        <f>IF(ISNUMBER(SEARCH("Rocha", _xlfn.XLOOKUP(B119,'Relacion '!$E:$E,'Relacion '!$I:$I,""))), "RMC", _xlfn.XLOOKUP(B119,'Relacion '!$E:$E,'Relacion '!$B:$B,""))</f>
        <v>Contabilidad</v>
      </c>
      <c r="L119" s="249" t="str">
        <f>_xlfn.XLOOKUP(B119,'Relacion '!$E:$E,'Relacion '!$C:$C,"")</f>
        <v xml:space="preserve">Ramon Jaimes </v>
      </c>
    </row>
    <row r="120" spans="2:12">
      <c r="B120" s="245" t="s">
        <v>81</v>
      </c>
      <c r="C120" s="137" t="s">
        <v>82</v>
      </c>
      <c r="D120" s="249" t="str">
        <f>_xlfn.XLOOKUP(B120,'Relacion '!$E:$E,'Relacion '!$D:$D,"")</f>
        <v>04. VALIDA US</v>
      </c>
      <c r="E120" s="246">
        <f t="shared" si="1"/>
        <v>478</v>
      </c>
      <c r="F120" s="247" cm="1">
        <f t="array" ref="F120">MIN(INDEX('Relacion '!$X$5:$AM$493,MATCH(INDEX($B:$B, (ROW()-0)),'Relacion '!$E$5:$E$493,0),0))</f>
        <v>45659</v>
      </c>
      <c r="G120" s="247" cm="1">
        <f t="array" ref="G120">MAX(INDEX('Relacion '!$X$5:$AM$493,MATCH(INDEX($B:$B, (ROW()-0)),'Relacion '!$E$5:$E$493,0),0))</f>
        <v>46137</v>
      </c>
      <c r="H120" s="248" t="e">
        <f>_xlfn.XLOOKUP(B120, 'Plan de Trabajo'!$B$2:$B$1802, 'Plan de Trabajo'!$H$2:$H$1802)</f>
        <v>#REF!</v>
      </c>
      <c r="I120" s="248">
        <f ca="1">_xlfn.XLOOKUP(B120, 'Plan de Trabajo'!$B$2:$B$1802, 'Plan de Trabajo'!$I$2:$I$1802)</f>
        <v>1</v>
      </c>
      <c r="J120" s="249" t="str">
        <f>IF(ISNUMBER(SEARCH("Rocha", _xlfn.XLOOKUP(B120,'Relacion '!$E:$E,'Relacion '!$I:$I,""))), "Sí", "No")</f>
        <v>No</v>
      </c>
      <c r="K120" s="249" t="str">
        <f>IF(ISNUMBER(SEARCH("Rocha", _xlfn.XLOOKUP(B120,'Relacion '!$E:$E,'Relacion '!$I:$I,""))), "RMC", _xlfn.XLOOKUP(B120,'Relacion '!$E:$E,'Relacion '!$B:$B,""))</f>
        <v>Operaciones Captacion</v>
      </c>
      <c r="L120" s="249" t="str">
        <f>_xlfn.XLOOKUP(B120,'Relacion '!$E:$E,'Relacion '!$C:$C,"")</f>
        <v>Luis Alberto</v>
      </c>
    </row>
    <row r="121" spans="2:12">
      <c r="B121" s="245" t="s">
        <v>535</v>
      </c>
      <c r="C121" s="137" t="s">
        <v>536</v>
      </c>
      <c r="D121" s="249" t="str">
        <f>_xlfn.XLOOKUP(B121,'Relacion '!$E:$E,'Relacion '!$D:$D,"")</f>
        <v>06. BW-EJECUCION</v>
      </c>
      <c r="E121" s="246">
        <f t="shared" si="1"/>
        <v>106</v>
      </c>
      <c r="F121" s="247" cm="1">
        <f t="array" ref="F121">MIN(INDEX('Relacion '!$X$5:$AM$493,MATCH(INDEX($B:$B, (ROW()-0)),'Relacion '!$E$5:$E$493,0),0))</f>
        <v>46024</v>
      </c>
      <c r="G121" s="247" cm="1">
        <f t="array" ref="G121">MAX(INDEX('Relacion '!$X$5:$AM$493,MATCH(INDEX($B:$B, (ROW()-0)),'Relacion '!$E$5:$E$493,0),0))</f>
        <v>46130</v>
      </c>
      <c r="H121" s="248" t="e">
        <f>_xlfn.XLOOKUP(B121, 'Plan de Trabajo'!$B$2:$B$1802, 'Plan de Trabajo'!$H$2:$H$1802)</f>
        <v>#REF!</v>
      </c>
      <c r="I121" s="248">
        <f ca="1">_xlfn.XLOOKUP(B121, 'Plan de Trabajo'!$B$2:$B$1802, 'Plan de Trabajo'!$I$2:$I$1802)</f>
        <v>1</v>
      </c>
      <c r="J121" s="249" t="str">
        <f>IF(ISNUMBER(SEARCH("Rocha", _xlfn.XLOOKUP(B121,'Relacion '!$E:$E,'Relacion '!$I:$I,""))), "Sí", "No")</f>
        <v>No</v>
      </c>
      <c r="K121" s="249" t="str">
        <f>IF(ISNUMBER(SEARCH("Rocha", _xlfn.XLOOKUP(B121,'Relacion '!$E:$E,'Relacion '!$I:$I,""))), "RMC", _xlfn.XLOOKUP(B121,'Relacion '!$E:$E,'Relacion '!$B:$B,""))</f>
        <v>Contabilidad</v>
      </c>
      <c r="L121" s="249" t="str">
        <f>_xlfn.XLOOKUP(B121,'Relacion '!$E:$E,'Relacion '!$C:$C,"")</f>
        <v xml:space="preserve">Ramon Jaimes </v>
      </c>
    </row>
    <row r="122" spans="2:12">
      <c r="B122" s="245" t="s">
        <v>538</v>
      </c>
      <c r="C122" s="137" t="s">
        <v>417</v>
      </c>
      <c r="D122" s="249" t="str">
        <f>_xlfn.XLOOKUP(B122,'Relacion '!$E:$E,'Relacion '!$D:$D,"")</f>
        <v>06. BW-EJECUCION</v>
      </c>
      <c r="E122" s="246">
        <f t="shared" si="1"/>
        <v>471</v>
      </c>
      <c r="F122" s="247" cm="1">
        <f t="array" ref="F122">MIN(INDEX('Relacion '!$X$5:$AM$493,MATCH(INDEX($B:$B, (ROW()-0)),'Relacion '!$E$5:$E$493,0),0))</f>
        <v>45659</v>
      </c>
      <c r="G122" s="247" cm="1">
        <f t="array" ref="G122">MAX(INDEX('Relacion '!$X$5:$AM$493,MATCH(INDEX($B:$B, (ROW()-0)),'Relacion '!$E$5:$E$493,0),0))</f>
        <v>46130</v>
      </c>
      <c r="H122" s="248" t="e">
        <f>_xlfn.XLOOKUP(B122, 'Plan de Trabajo'!$B$2:$B$1802, 'Plan de Trabajo'!$H$2:$H$1802)</f>
        <v>#REF!</v>
      </c>
      <c r="I122" s="248">
        <f ca="1">_xlfn.XLOOKUP(B122, 'Plan de Trabajo'!$B$2:$B$1802, 'Plan de Trabajo'!$I$2:$I$1802)</f>
        <v>1</v>
      </c>
      <c r="J122" s="249" t="str">
        <f>IF(ISNUMBER(SEARCH("Rocha", _xlfn.XLOOKUP(B122,'Relacion '!$E:$E,'Relacion '!$I:$I,""))), "Sí", "No")</f>
        <v>No</v>
      </c>
      <c r="K122" s="249" t="str">
        <f>IF(ISNUMBER(SEARCH("Rocha", _xlfn.XLOOKUP(B122,'Relacion '!$E:$E,'Relacion '!$I:$I,""))), "RMC", _xlfn.XLOOKUP(B122,'Relacion '!$E:$E,'Relacion '!$B:$B,""))</f>
        <v>Producto</v>
      </c>
      <c r="L122" s="249" t="str">
        <f>_xlfn.XLOOKUP(B122,'Relacion '!$E:$E,'Relacion '!$C:$C,"")</f>
        <v>Claudia Barroso</v>
      </c>
    </row>
    <row r="123" spans="2:12">
      <c r="B123" s="245" t="s">
        <v>539</v>
      </c>
      <c r="C123" s="172" t="s">
        <v>417</v>
      </c>
      <c r="D123" s="249" t="str">
        <f>_xlfn.XLOOKUP(B123,'Relacion '!$E:$E,'Relacion '!$D:$D,"")</f>
        <v>08. CERRADA</v>
      </c>
      <c r="E123" s="246">
        <f t="shared" si="1"/>
        <v>449</v>
      </c>
      <c r="F123" s="247" cm="1">
        <f t="array" ref="F123">MIN(INDEX('Relacion '!$X$5:$AM$493,MATCH(INDEX($B:$B, (ROW()-0)),'Relacion '!$E$5:$E$493,0),0))</f>
        <v>45659</v>
      </c>
      <c r="G123" s="247" cm="1">
        <f t="array" ref="G123">MAX(INDEX('Relacion '!$X$5:$AM$493,MATCH(INDEX($B:$B, (ROW()-0)),'Relacion '!$E$5:$E$493,0),0))</f>
        <v>46108</v>
      </c>
      <c r="H123" s="248" t="e">
        <f>_xlfn.XLOOKUP(B123, 'Plan de Trabajo'!$B$2:$B$1802, 'Plan de Trabajo'!$H$2:$H$1802)</f>
        <v>#REF!</v>
      </c>
      <c r="I123" s="248">
        <f ca="1">_xlfn.XLOOKUP(B123, 'Plan de Trabajo'!$B$2:$B$1802, 'Plan de Trabajo'!$I$2:$I$1802)</f>
        <v>1</v>
      </c>
      <c r="J123" s="249" t="str">
        <f>IF(ISNUMBER(SEARCH("Rocha", _xlfn.XLOOKUP(B123,'Relacion '!$E:$E,'Relacion '!$I:$I,""))), "Sí", "No")</f>
        <v>No</v>
      </c>
      <c r="K123" s="249" t="str">
        <f>IF(ISNUMBER(SEARCH("Rocha", _xlfn.XLOOKUP(B123,'Relacion '!$E:$E,'Relacion '!$I:$I,""))), "RMC", _xlfn.XLOOKUP(B123,'Relacion '!$E:$E,'Relacion '!$B:$B,""))</f>
        <v>Producto</v>
      </c>
      <c r="L123" s="249" t="str">
        <f>_xlfn.XLOOKUP(B123,'Relacion '!$E:$E,'Relacion '!$C:$C,"")</f>
        <v>Claudia Barroso</v>
      </c>
    </row>
    <row r="124" spans="2:12">
      <c r="B124" s="245" t="s">
        <v>540</v>
      </c>
      <c r="C124" s="172" t="s">
        <v>417</v>
      </c>
      <c r="D124" s="249" t="str">
        <f>_xlfn.XLOOKUP(B124,'Relacion '!$E:$E,'Relacion '!$D:$D,"")</f>
        <v>08. CERRADA</v>
      </c>
      <c r="E124" s="246">
        <f t="shared" si="1"/>
        <v>449</v>
      </c>
      <c r="F124" s="247" cm="1">
        <f t="array" ref="F124">MIN(INDEX('Relacion '!$X$5:$AM$493,MATCH(INDEX($B:$B, (ROW()-0)),'Relacion '!$E$5:$E$493,0),0))</f>
        <v>45659</v>
      </c>
      <c r="G124" s="247" cm="1">
        <f t="array" ref="G124">MAX(INDEX('Relacion '!$X$5:$AM$493,MATCH(INDEX($B:$B, (ROW()-0)),'Relacion '!$E$5:$E$493,0),0))</f>
        <v>46108</v>
      </c>
      <c r="H124" s="248" t="e">
        <f>_xlfn.XLOOKUP(B124, 'Plan de Trabajo'!$B$2:$B$1802, 'Plan de Trabajo'!$H$2:$H$1802)</f>
        <v>#REF!</v>
      </c>
      <c r="I124" s="248">
        <f ca="1">_xlfn.XLOOKUP(B124, 'Plan de Trabajo'!$B$2:$B$1802, 'Plan de Trabajo'!$I$2:$I$1802)</f>
        <v>1</v>
      </c>
      <c r="J124" s="249" t="str">
        <f>IF(ISNUMBER(SEARCH("Rocha", _xlfn.XLOOKUP(B124,'Relacion '!$E:$E,'Relacion '!$I:$I,""))), "Sí", "No")</f>
        <v>No</v>
      </c>
      <c r="K124" s="249" t="str">
        <f>IF(ISNUMBER(SEARCH("Rocha", _xlfn.XLOOKUP(B124,'Relacion '!$E:$E,'Relacion '!$I:$I,""))), "RMC", _xlfn.XLOOKUP(B124,'Relacion '!$E:$E,'Relacion '!$B:$B,""))</f>
        <v>Producto</v>
      </c>
      <c r="L124" s="249" t="str">
        <f>_xlfn.XLOOKUP(B124,'Relacion '!$E:$E,'Relacion '!$C:$C,"")</f>
        <v>Claudia Barroso</v>
      </c>
    </row>
    <row r="125" spans="2:12">
      <c r="B125" s="245" t="s">
        <v>78</v>
      </c>
      <c r="C125" s="137" t="s">
        <v>66</v>
      </c>
      <c r="D125" s="249" t="str">
        <f>_xlfn.XLOOKUP(B125,'Relacion '!$E:$E,'Relacion '!$D:$D,"")</f>
        <v>04. VALIDA US</v>
      </c>
      <c r="E125" s="246">
        <f t="shared" si="1"/>
        <v>478</v>
      </c>
      <c r="F125" s="247" cm="1">
        <f t="array" ref="F125">MIN(INDEX('Relacion '!$X$5:$AM$493,MATCH(INDEX($B:$B, (ROW()-0)),'Relacion '!$E$5:$E$493,0),0))</f>
        <v>45659</v>
      </c>
      <c r="G125" s="247" cm="1">
        <f t="array" ref="G125">MAX(INDEX('Relacion '!$X$5:$AM$493,MATCH(INDEX($B:$B, (ROW()-0)),'Relacion '!$E$5:$E$493,0),0))</f>
        <v>46137</v>
      </c>
      <c r="H125" s="248" t="e">
        <f>_xlfn.XLOOKUP(B125, 'Plan de Trabajo'!$B$2:$B$1802, 'Plan de Trabajo'!$H$2:$H$1802)</f>
        <v>#REF!</v>
      </c>
      <c r="I125" s="248">
        <f ca="1">_xlfn.XLOOKUP(B125, 'Plan de Trabajo'!$B$2:$B$1802, 'Plan de Trabajo'!$I$2:$I$1802)</f>
        <v>1</v>
      </c>
      <c r="J125" s="249" t="str">
        <f>IF(ISNUMBER(SEARCH("Rocha", _xlfn.XLOOKUP(B125,'Relacion '!$E:$E,'Relacion '!$I:$I,""))), "Sí", "No")</f>
        <v>No</v>
      </c>
      <c r="K125" s="249" t="str">
        <f>IF(ISNUMBER(SEARCH("Rocha", _xlfn.XLOOKUP(B125,'Relacion '!$E:$E,'Relacion '!$I:$I,""))), "RMC", _xlfn.XLOOKUP(B125,'Relacion '!$E:$E,'Relacion '!$B:$B,""))</f>
        <v>Operaciones Credito</v>
      </c>
      <c r="L125" s="249" t="str">
        <f>_xlfn.XLOOKUP(B125,'Relacion '!$E:$E,'Relacion '!$C:$C,"")</f>
        <v>Luis Alberto</v>
      </c>
    </row>
    <row r="126" spans="2:12">
      <c r="B126" s="245" t="s">
        <v>76</v>
      </c>
      <c r="C126" s="137" t="s">
        <v>66</v>
      </c>
      <c r="D126" s="249" t="str">
        <f>_xlfn.XLOOKUP(B126,'Relacion '!$E:$E,'Relacion '!$D:$D,"")</f>
        <v>04. VALIDA US</v>
      </c>
      <c r="E126" s="246">
        <f t="shared" si="1"/>
        <v>478</v>
      </c>
      <c r="F126" s="247" cm="1">
        <f t="array" ref="F126">MIN(INDEX('Relacion '!$X$5:$AM$493,MATCH(INDEX($B:$B, (ROW()-0)),'Relacion '!$E$5:$E$493,0),0))</f>
        <v>45659</v>
      </c>
      <c r="G126" s="247" cm="1">
        <f t="array" ref="G126">MAX(INDEX('Relacion '!$X$5:$AM$493,MATCH(INDEX($B:$B, (ROW()-0)),'Relacion '!$E$5:$E$493,0),0))</f>
        <v>46137</v>
      </c>
      <c r="H126" s="248" t="e">
        <f>_xlfn.XLOOKUP(B126, 'Plan de Trabajo'!$B$2:$B$1802, 'Plan de Trabajo'!$H$2:$H$1802)</f>
        <v>#REF!</v>
      </c>
      <c r="I126" s="248">
        <f ca="1">_xlfn.XLOOKUP(B126, 'Plan de Trabajo'!$B$2:$B$1802, 'Plan de Trabajo'!$I$2:$I$1802)</f>
        <v>1</v>
      </c>
      <c r="J126" s="249" t="str">
        <f>IF(ISNUMBER(SEARCH("Rocha", _xlfn.XLOOKUP(B126,'Relacion '!$E:$E,'Relacion '!$I:$I,""))), "Sí", "No")</f>
        <v>No</v>
      </c>
      <c r="K126" s="249" t="str">
        <f>IF(ISNUMBER(SEARCH("Rocha", _xlfn.XLOOKUP(B126,'Relacion '!$E:$E,'Relacion '!$I:$I,""))), "RMC", _xlfn.XLOOKUP(B126,'Relacion '!$E:$E,'Relacion '!$B:$B,""))</f>
        <v>Operaciones Credito</v>
      </c>
      <c r="L126" s="249" t="str">
        <f>_xlfn.XLOOKUP(B126,'Relacion '!$E:$E,'Relacion '!$C:$C,"")</f>
        <v>Luis Alberto</v>
      </c>
    </row>
    <row r="127" spans="2:12">
      <c r="B127" s="245" t="s">
        <v>65</v>
      </c>
      <c r="C127" s="137" t="s">
        <v>66</v>
      </c>
      <c r="D127" s="249" t="str">
        <f>_xlfn.XLOOKUP(B127,'Relacion '!$E:$E,'Relacion '!$D:$D,"")</f>
        <v>04. VALIDA US</v>
      </c>
      <c r="E127" s="246">
        <f t="shared" si="1"/>
        <v>478</v>
      </c>
      <c r="F127" s="247" cm="1">
        <f t="array" ref="F127">MIN(INDEX('Relacion '!$X$5:$AM$493,MATCH(INDEX($B:$B, (ROW()-0)),'Relacion '!$E$5:$E$493,0),0))</f>
        <v>45659</v>
      </c>
      <c r="G127" s="247" cm="1">
        <f t="array" ref="G127">MAX(INDEX('Relacion '!$X$5:$AM$493,MATCH(INDEX($B:$B, (ROW()-0)),'Relacion '!$E$5:$E$493,0),0))</f>
        <v>46137</v>
      </c>
      <c r="H127" s="248" t="e">
        <f>_xlfn.XLOOKUP(B127, 'Plan de Trabajo'!$B$2:$B$1802, 'Plan de Trabajo'!$H$2:$H$1802)</f>
        <v>#REF!</v>
      </c>
      <c r="I127" s="248">
        <f ca="1">_xlfn.XLOOKUP(B127, 'Plan de Trabajo'!$B$2:$B$1802, 'Plan de Trabajo'!$I$2:$I$1802)</f>
        <v>1</v>
      </c>
      <c r="J127" s="249" t="str">
        <f>IF(ISNUMBER(SEARCH("Rocha", _xlfn.XLOOKUP(B127,'Relacion '!$E:$E,'Relacion '!$I:$I,""))), "Sí", "No")</f>
        <v>No</v>
      </c>
      <c r="K127" s="249" t="str">
        <f>IF(ISNUMBER(SEARCH("Rocha", _xlfn.XLOOKUP(B127,'Relacion '!$E:$E,'Relacion '!$I:$I,""))), "RMC", _xlfn.XLOOKUP(B127,'Relacion '!$E:$E,'Relacion '!$B:$B,""))</f>
        <v>Operaciones Credito</v>
      </c>
      <c r="L127" s="249" t="str">
        <f>_xlfn.XLOOKUP(B127,'Relacion '!$E:$E,'Relacion '!$C:$C,"")</f>
        <v>Luis Alberto</v>
      </c>
    </row>
    <row r="128" spans="2:12">
      <c r="B128" s="245" t="s">
        <v>541</v>
      </c>
      <c r="C128" s="172" t="s">
        <v>417</v>
      </c>
      <c r="D128" s="249" t="str">
        <f>_xlfn.XLOOKUP(B128,'Relacion '!$E:$E,'Relacion '!$D:$D,"")</f>
        <v>08. CERRADA</v>
      </c>
      <c r="E128" s="246">
        <f t="shared" si="1"/>
        <v>449</v>
      </c>
      <c r="F128" s="247" cm="1">
        <f t="array" ref="F128">MIN(INDEX('Relacion '!$X$5:$AM$493,MATCH(INDEX($B:$B, (ROW()-0)),'Relacion '!$E$5:$E$493,0),0))</f>
        <v>45659</v>
      </c>
      <c r="G128" s="247" cm="1">
        <f t="array" ref="G128">MAX(INDEX('Relacion '!$X$5:$AM$493,MATCH(INDEX($B:$B, (ROW()-0)),'Relacion '!$E$5:$E$493,0),0))</f>
        <v>46108</v>
      </c>
      <c r="H128" s="248" t="e">
        <f>_xlfn.XLOOKUP(B128, 'Plan de Trabajo'!$B$2:$B$1802, 'Plan de Trabajo'!$H$2:$H$1802)</f>
        <v>#REF!</v>
      </c>
      <c r="I128" s="248">
        <f ca="1">_xlfn.XLOOKUP(B128, 'Plan de Trabajo'!$B$2:$B$1802, 'Plan de Trabajo'!$I$2:$I$1802)</f>
        <v>1</v>
      </c>
      <c r="J128" s="249" t="str">
        <f>IF(ISNUMBER(SEARCH("Rocha", _xlfn.XLOOKUP(B128,'Relacion '!$E:$E,'Relacion '!$I:$I,""))), "Sí", "No")</f>
        <v>No</v>
      </c>
      <c r="K128" s="249" t="str">
        <f>IF(ISNUMBER(SEARCH("Rocha", _xlfn.XLOOKUP(B128,'Relacion '!$E:$E,'Relacion '!$I:$I,""))), "RMC", _xlfn.XLOOKUP(B128,'Relacion '!$E:$E,'Relacion '!$B:$B,""))</f>
        <v>Producto</v>
      </c>
      <c r="L128" s="249" t="str">
        <f>_xlfn.XLOOKUP(B128,'Relacion '!$E:$E,'Relacion '!$C:$C,"")</f>
        <v>Claudia Barroso</v>
      </c>
    </row>
    <row r="129" spans="2:12">
      <c r="B129" s="245" t="s">
        <v>542</v>
      </c>
      <c r="C129" s="172" t="s">
        <v>543</v>
      </c>
      <c r="D129" s="249" t="str">
        <f>_xlfn.XLOOKUP(B129,'Relacion '!$E:$E,'Relacion '!$D:$D,"")</f>
        <v>08. CERRADA</v>
      </c>
      <c r="E129" s="246">
        <f t="shared" si="1"/>
        <v>450</v>
      </c>
      <c r="F129" s="247" cm="1">
        <f t="array" ref="F129">MIN(INDEX('Relacion '!$X$5:$AM$493,MATCH(INDEX($B:$B, (ROW()-0)),'Relacion '!$E$5:$E$493,0),0))</f>
        <v>45659</v>
      </c>
      <c r="G129" s="247" cm="1">
        <f t="array" ref="G129">MAX(INDEX('Relacion '!$X$5:$AM$493,MATCH(INDEX($B:$B, (ROW()-0)),'Relacion '!$E$5:$E$493,0),0))</f>
        <v>46109</v>
      </c>
      <c r="H129" s="248" t="e">
        <f>_xlfn.XLOOKUP(B129, 'Plan de Trabajo'!$B$2:$B$1802, 'Plan de Trabajo'!$H$2:$H$1802)</f>
        <v>#REF!</v>
      </c>
      <c r="I129" s="248">
        <f ca="1">_xlfn.XLOOKUP(B129, 'Plan de Trabajo'!$B$2:$B$1802, 'Plan de Trabajo'!$I$2:$I$1802)</f>
        <v>1</v>
      </c>
      <c r="J129" s="249" t="str">
        <f>IF(ISNUMBER(SEARCH("Rocha", _xlfn.XLOOKUP(B129,'Relacion '!$E:$E,'Relacion '!$I:$I,""))), "Sí", "No")</f>
        <v>No</v>
      </c>
      <c r="K129" s="249" t="str">
        <f>IF(ISNUMBER(SEARCH("Rocha", _xlfn.XLOOKUP(B129,'Relacion '!$E:$E,'Relacion '!$I:$I,""))), "RMC", _xlfn.XLOOKUP(B129,'Relacion '!$E:$E,'Relacion '!$B:$B,""))</f>
        <v>Operaciones Captacion</v>
      </c>
      <c r="L129" s="249" t="str">
        <f>_xlfn.XLOOKUP(B129,'Relacion '!$E:$E,'Relacion '!$C:$C,"")</f>
        <v>Luis Alberto</v>
      </c>
    </row>
    <row r="130" spans="2:12">
      <c r="B130" s="245" t="s">
        <v>62</v>
      </c>
      <c r="C130" s="137" t="s">
        <v>63</v>
      </c>
      <c r="D130" s="249" t="str">
        <f>_xlfn.XLOOKUP(B130,'Relacion '!$E:$E,'Relacion '!$D:$D,"")</f>
        <v>04. VALIDA US</v>
      </c>
      <c r="E130" s="246">
        <f t="shared" si="1"/>
        <v>478</v>
      </c>
      <c r="F130" s="247" cm="1">
        <f t="array" ref="F130">MIN(INDEX('Relacion '!$X$5:$AM$493,MATCH(INDEX($B:$B, (ROW()-0)),'Relacion '!$E$5:$E$493,0),0))</f>
        <v>45659</v>
      </c>
      <c r="G130" s="247" cm="1">
        <f t="array" ref="G130">MAX(INDEX('Relacion '!$X$5:$AM$493,MATCH(INDEX($B:$B, (ROW()-0)),'Relacion '!$E$5:$E$493,0),0))</f>
        <v>46137</v>
      </c>
      <c r="H130" s="248" t="e">
        <f>_xlfn.XLOOKUP(B130, 'Plan de Trabajo'!$B$2:$B$1802, 'Plan de Trabajo'!$H$2:$H$1802)</f>
        <v>#REF!</v>
      </c>
      <c r="I130" s="248">
        <f ca="1">_xlfn.XLOOKUP(B130, 'Plan de Trabajo'!$B$2:$B$1802, 'Plan de Trabajo'!$I$2:$I$1802)</f>
        <v>1</v>
      </c>
      <c r="J130" s="249" t="str">
        <f>IF(ISNUMBER(SEARCH("Rocha", _xlfn.XLOOKUP(B130,'Relacion '!$E:$E,'Relacion '!$I:$I,""))), "Sí", "No")</f>
        <v>No</v>
      </c>
      <c r="K130" s="249" t="str">
        <f>IF(ISNUMBER(SEARCH("Rocha", _xlfn.XLOOKUP(B130,'Relacion '!$E:$E,'Relacion '!$I:$I,""))), "RMC", _xlfn.XLOOKUP(B130,'Relacion '!$E:$E,'Relacion '!$B:$B,""))</f>
        <v>Operaciones Credito</v>
      </c>
      <c r="L130" s="249" t="str">
        <f>_xlfn.XLOOKUP(B130,'Relacion '!$E:$E,'Relacion '!$C:$C,"")</f>
        <v>Luis Alberto</v>
      </c>
    </row>
    <row r="131" spans="2:12">
      <c r="B131" s="245" t="s">
        <v>544</v>
      </c>
      <c r="C131" s="137" t="s">
        <v>545</v>
      </c>
      <c r="D131" s="249" t="str">
        <f>_xlfn.XLOOKUP(B131,'Relacion '!$E:$E,'Relacion '!$D:$D,"")</f>
        <v>06. BW-EJECUCION</v>
      </c>
      <c r="E131" s="246">
        <f t="shared" ref="E131:E194" si="2">IF(OR(F131="",G131=""),"",G131-F131)</f>
        <v>106</v>
      </c>
      <c r="F131" s="247" cm="1">
        <f t="array" ref="F131">MIN(INDEX('Relacion '!$X$5:$AM$493,MATCH(INDEX($B:$B, (ROW()-0)),'Relacion '!$E$5:$E$493,0),0))</f>
        <v>46024</v>
      </c>
      <c r="G131" s="247" cm="1">
        <f t="array" ref="G131">MAX(INDEX('Relacion '!$X$5:$AM$493,MATCH(INDEX($B:$B, (ROW()-0)),'Relacion '!$E$5:$E$493,0),0))</f>
        <v>46130</v>
      </c>
      <c r="H131" s="248" t="e">
        <f>_xlfn.XLOOKUP(B131, 'Plan de Trabajo'!$B$2:$B$1802, 'Plan de Trabajo'!$H$2:$H$1802)</f>
        <v>#REF!</v>
      </c>
      <c r="I131" s="248">
        <f ca="1">_xlfn.XLOOKUP(B131, 'Plan de Trabajo'!$B$2:$B$1802, 'Plan de Trabajo'!$I$2:$I$1802)</f>
        <v>1</v>
      </c>
      <c r="J131" s="249" t="str">
        <f>IF(ISNUMBER(SEARCH("Rocha", _xlfn.XLOOKUP(B131,'Relacion '!$E:$E,'Relacion '!$I:$I,""))), "Sí", "No")</f>
        <v>No</v>
      </c>
      <c r="K131" s="249" t="str">
        <f>IF(ISNUMBER(SEARCH("Rocha", _xlfn.XLOOKUP(B131,'Relacion '!$E:$E,'Relacion '!$I:$I,""))), "RMC", _xlfn.XLOOKUP(B131,'Relacion '!$E:$E,'Relacion '!$B:$B,""))</f>
        <v>Contabilidad</v>
      </c>
      <c r="L131" s="249" t="str">
        <f>_xlfn.XLOOKUP(B131,'Relacion '!$E:$E,'Relacion '!$C:$C,"")</f>
        <v xml:space="preserve">Ramon Jaimes </v>
      </c>
    </row>
    <row r="132" spans="2:12">
      <c r="B132" s="245" t="s">
        <v>26</v>
      </c>
      <c r="C132" s="137" t="s">
        <v>548</v>
      </c>
      <c r="D132" s="249" t="str">
        <f>_xlfn.XLOOKUP(B132,'Relacion '!$E:$E,'Relacion '!$D:$D,"")</f>
        <v>06. BW-EJECUCION</v>
      </c>
      <c r="E132" s="246">
        <f t="shared" si="2"/>
        <v>96</v>
      </c>
      <c r="F132" s="247" cm="1">
        <f t="array" ref="F132">MIN(INDEX('Relacion '!$X$5:$AM$493,MATCH(INDEX($B:$B, (ROW()-0)),'Relacion '!$E$5:$E$493,0),0))</f>
        <v>46024</v>
      </c>
      <c r="G132" s="247" cm="1">
        <f t="array" ref="G132">MAX(INDEX('Relacion '!$X$5:$AM$493,MATCH(INDEX($B:$B, (ROW()-0)),'Relacion '!$E$5:$E$493,0),0))</f>
        <v>46120</v>
      </c>
      <c r="H132" s="248" t="e">
        <f>_xlfn.XLOOKUP(B132, 'Plan de Trabajo'!$B$2:$B$1802, 'Plan de Trabajo'!$H$2:$H$1802)</f>
        <v>#REF!</v>
      </c>
      <c r="I132" s="248">
        <f ca="1">_xlfn.XLOOKUP(B132, 'Plan de Trabajo'!$B$2:$B$1802, 'Plan de Trabajo'!$I$2:$I$1802)</f>
        <v>1</v>
      </c>
      <c r="J132" s="249" t="str">
        <f>IF(ISNUMBER(SEARCH("Rocha", _xlfn.XLOOKUP(B132,'Relacion '!$E:$E,'Relacion '!$I:$I,""))), "Sí", "No")</f>
        <v>No</v>
      </c>
      <c r="K132" s="249" t="str">
        <f>IF(ISNUMBER(SEARCH("Rocha", _xlfn.XLOOKUP(B132,'Relacion '!$E:$E,'Relacion '!$I:$I,""))), "RMC", _xlfn.XLOOKUP(B132,'Relacion '!$E:$E,'Relacion '!$B:$B,""))</f>
        <v>Contabilidad</v>
      </c>
      <c r="L132" s="249" t="str">
        <f>_xlfn.XLOOKUP(B132,'Relacion '!$E:$E,'Relacion '!$C:$C,"")</f>
        <v xml:space="preserve">Ramon Jaimes </v>
      </c>
    </row>
    <row r="133" spans="2:12">
      <c r="B133" s="245" t="s">
        <v>549</v>
      </c>
      <c r="C133" s="172" t="s">
        <v>417</v>
      </c>
      <c r="D133" s="249" t="str">
        <f>_xlfn.XLOOKUP(B133,'Relacion '!$E:$E,'Relacion '!$D:$D,"")</f>
        <v>08. CERRADA</v>
      </c>
      <c r="E133" s="246">
        <f t="shared" si="2"/>
        <v>449</v>
      </c>
      <c r="F133" s="247" cm="1">
        <f t="array" ref="F133">MIN(INDEX('Relacion '!$X$5:$AM$493,MATCH(INDEX($B:$B, (ROW()-0)),'Relacion '!$E$5:$E$493,0),0))</f>
        <v>45659</v>
      </c>
      <c r="G133" s="247" cm="1">
        <f t="array" ref="G133">MAX(INDEX('Relacion '!$X$5:$AM$493,MATCH(INDEX($B:$B, (ROW()-0)),'Relacion '!$E$5:$E$493,0),0))</f>
        <v>46108</v>
      </c>
      <c r="H133" s="248" t="e">
        <f>_xlfn.XLOOKUP(B133, 'Plan de Trabajo'!$B$2:$B$1802, 'Plan de Trabajo'!$H$2:$H$1802)</f>
        <v>#REF!</v>
      </c>
      <c r="I133" s="248">
        <f ca="1">_xlfn.XLOOKUP(B133, 'Plan de Trabajo'!$B$2:$B$1802, 'Plan de Trabajo'!$I$2:$I$1802)</f>
        <v>1</v>
      </c>
      <c r="J133" s="249" t="str">
        <f>IF(ISNUMBER(SEARCH("Rocha", _xlfn.XLOOKUP(B133,'Relacion '!$E:$E,'Relacion '!$I:$I,""))), "Sí", "No")</f>
        <v>No</v>
      </c>
      <c r="K133" s="249" t="str">
        <f>IF(ISNUMBER(SEARCH("Rocha", _xlfn.XLOOKUP(B133,'Relacion '!$E:$E,'Relacion '!$I:$I,""))), "RMC", _xlfn.XLOOKUP(B133,'Relacion '!$E:$E,'Relacion '!$B:$B,""))</f>
        <v>Producto</v>
      </c>
      <c r="L133" s="249" t="str">
        <f>_xlfn.XLOOKUP(B133,'Relacion '!$E:$E,'Relacion '!$C:$C,"")</f>
        <v>Claudia Barroso</v>
      </c>
    </row>
    <row r="134" spans="2:12">
      <c r="B134" s="245" t="s">
        <v>50</v>
      </c>
      <c r="C134" s="137" t="s">
        <v>51</v>
      </c>
      <c r="D134" s="249" t="str">
        <f>_xlfn.XLOOKUP(B134,'Relacion '!$E:$E,'Relacion '!$D:$D,"")</f>
        <v xml:space="preserve">04. VALIDA US </v>
      </c>
      <c r="E134" s="246">
        <f t="shared" si="2"/>
        <v>478</v>
      </c>
      <c r="F134" s="247" cm="1">
        <f t="array" ref="F134">MIN(INDEX('Relacion '!$X$5:$AM$493,MATCH(INDEX($B:$B, (ROW()-0)),'Relacion '!$E$5:$E$493,0),0))</f>
        <v>45659</v>
      </c>
      <c r="G134" s="247" cm="1">
        <f t="array" ref="G134">MAX(INDEX('Relacion '!$X$5:$AM$493,MATCH(INDEX($B:$B, (ROW()-0)),'Relacion '!$E$5:$E$493,0),0))</f>
        <v>46137</v>
      </c>
      <c r="H134" s="248" t="e">
        <f>_xlfn.XLOOKUP(B134, 'Plan de Trabajo'!$B$2:$B$1802, 'Plan de Trabajo'!$H$2:$H$1802)</f>
        <v>#N/A</v>
      </c>
      <c r="I134" s="248">
        <f ca="1">_xlfn.XLOOKUP(B134, 'Plan de Trabajo'!$B$2:$B$1802, 'Plan de Trabajo'!$I$2:$I$1802)</f>
        <v>1</v>
      </c>
      <c r="J134" s="249" t="str">
        <f>IF(ISNUMBER(SEARCH("Rocha", _xlfn.XLOOKUP(B134,'Relacion '!$E:$E,'Relacion '!$I:$I,""))), "Sí", "No")</f>
        <v>No</v>
      </c>
      <c r="K134" s="249" t="str">
        <f>IF(ISNUMBER(SEARCH("Rocha", _xlfn.XLOOKUP(B134,'Relacion '!$E:$E,'Relacion '!$I:$I,""))), "RMC", _xlfn.XLOOKUP(B134,'Relacion '!$E:$E,'Relacion '!$B:$B,""))</f>
        <v>Operaciones Captacion y credito</v>
      </c>
      <c r="L134" s="249" t="str">
        <f>_xlfn.XLOOKUP(B134,'Relacion '!$E:$E,'Relacion '!$C:$C,"")</f>
        <v>Luis Alberto</v>
      </c>
    </row>
    <row r="135" spans="2:12">
      <c r="B135" s="245" t="s">
        <v>550</v>
      </c>
      <c r="C135" s="172" t="s">
        <v>551</v>
      </c>
      <c r="D135" s="249" t="str">
        <f>_xlfn.XLOOKUP(B135,'Relacion '!$E:$E,'Relacion '!$D:$D,"")</f>
        <v>08. CERRADA</v>
      </c>
      <c r="E135" s="246">
        <f t="shared" si="2"/>
        <v>450</v>
      </c>
      <c r="F135" s="247" cm="1">
        <f t="array" ref="F135">MIN(INDEX('Relacion '!$X$5:$AM$493,MATCH(INDEX($B:$B, (ROW()-0)),'Relacion '!$E$5:$E$493,0),0))</f>
        <v>45659</v>
      </c>
      <c r="G135" s="247" cm="1">
        <f t="array" ref="G135">MAX(INDEX('Relacion '!$X$5:$AM$493,MATCH(INDEX($B:$B, (ROW()-0)),'Relacion '!$E$5:$E$493,0),0))</f>
        <v>46109</v>
      </c>
      <c r="H135" s="248" t="e">
        <f>_xlfn.XLOOKUP(B135, 'Plan de Trabajo'!$B$2:$B$1802, 'Plan de Trabajo'!$H$2:$H$1802)</f>
        <v>#REF!</v>
      </c>
      <c r="I135" s="248">
        <f ca="1">_xlfn.XLOOKUP(B135, 'Plan de Trabajo'!$B$2:$B$1802, 'Plan de Trabajo'!$I$2:$I$1802)</f>
        <v>1</v>
      </c>
      <c r="J135" s="249" t="str">
        <f>IF(ISNUMBER(SEARCH("Rocha", _xlfn.XLOOKUP(B135,'Relacion '!$E:$E,'Relacion '!$I:$I,""))), "Sí", "No")</f>
        <v>No</v>
      </c>
      <c r="K135" s="249" t="str">
        <f>IF(ISNUMBER(SEARCH("Rocha", _xlfn.XLOOKUP(B135,'Relacion '!$E:$E,'Relacion '!$I:$I,""))), "RMC", _xlfn.XLOOKUP(B135,'Relacion '!$E:$E,'Relacion '!$B:$B,""))</f>
        <v>Operaciones Captacion</v>
      </c>
      <c r="L135" s="249" t="str">
        <f>_xlfn.XLOOKUP(B135,'Relacion '!$E:$E,'Relacion '!$C:$C,"")</f>
        <v>Luis Alberto</v>
      </c>
    </row>
    <row r="136" spans="2:12">
      <c r="B136" s="245" t="s">
        <v>25</v>
      </c>
      <c r="C136" s="137" t="s">
        <v>360</v>
      </c>
      <c r="D136" s="249" t="str">
        <f>_xlfn.XLOOKUP(B136,'Relacion '!$E:$E,'Relacion '!$D:$D,"")</f>
        <v>04. VALIDA US</v>
      </c>
      <c r="E136" s="246">
        <f t="shared" si="2"/>
        <v>113</v>
      </c>
      <c r="F136" s="247" cm="1">
        <f t="array" ref="F136">MIN(INDEX('Relacion '!$X$5:$AM$493,MATCH(INDEX($B:$B, (ROW()-0)),'Relacion '!$E$5:$E$493,0),0))</f>
        <v>46024</v>
      </c>
      <c r="G136" s="247" cm="1">
        <f t="array" ref="G136">MAX(INDEX('Relacion '!$X$5:$AM$493,MATCH(INDEX($B:$B, (ROW()-0)),'Relacion '!$E$5:$E$493,0),0))</f>
        <v>46137</v>
      </c>
      <c r="H136" s="248" t="e">
        <f>_xlfn.XLOOKUP(B136, 'Plan de Trabajo'!$B$2:$B$1802, 'Plan de Trabajo'!$H$2:$H$1802)</f>
        <v>#REF!</v>
      </c>
      <c r="I136" s="248">
        <f ca="1">_xlfn.XLOOKUP(B136, 'Plan de Trabajo'!$B$2:$B$1802, 'Plan de Trabajo'!$I$2:$I$1802)</f>
        <v>1</v>
      </c>
      <c r="J136" s="249" t="str">
        <f>IF(ISNUMBER(SEARCH("Rocha", _xlfn.XLOOKUP(B136,'Relacion '!$E:$E,'Relacion '!$I:$I,""))), "Sí", "No")</f>
        <v>No</v>
      </c>
      <c r="K136" s="249" t="str">
        <f>IF(ISNUMBER(SEARCH("Rocha", _xlfn.XLOOKUP(B136,'Relacion '!$E:$E,'Relacion '!$I:$I,""))), "RMC", _xlfn.XLOOKUP(B136,'Relacion '!$E:$E,'Relacion '!$B:$B,""))</f>
        <v>Contabilidad</v>
      </c>
      <c r="L136" s="249" t="str">
        <f>_xlfn.XLOOKUP(B136,'Relacion '!$E:$E,'Relacion '!$C:$C,"")</f>
        <v xml:space="preserve">Ramon Jaimes </v>
      </c>
    </row>
    <row r="137" spans="2:12">
      <c r="B137" s="245" t="s">
        <v>557</v>
      </c>
      <c r="C137" s="172" t="s">
        <v>417</v>
      </c>
      <c r="D137" s="249" t="str">
        <f>_xlfn.XLOOKUP(B137,'Relacion '!$E:$E,'Relacion '!$D:$D,"")</f>
        <v>08. CERRADA</v>
      </c>
      <c r="E137" s="246">
        <f t="shared" si="2"/>
        <v>449</v>
      </c>
      <c r="F137" s="247" cm="1">
        <f t="array" ref="F137">MIN(INDEX('Relacion '!$X$5:$AM$493,MATCH(INDEX($B:$B, (ROW()-0)),'Relacion '!$E$5:$E$493,0),0))</f>
        <v>45659</v>
      </c>
      <c r="G137" s="247" cm="1">
        <f t="array" ref="G137">MAX(INDEX('Relacion '!$X$5:$AM$493,MATCH(INDEX($B:$B, (ROW()-0)),'Relacion '!$E$5:$E$493,0),0))</f>
        <v>46108</v>
      </c>
      <c r="H137" s="248" t="e">
        <f>_xlfn.XLOOKUP(B137, 'Plan de Trabajo'!$B$2:$B$1802, 'Plan de Trabajo'!$H$2:$H$1802)</f>
        <v>#REF!</v>
      </c>
      <c r="I137" s="248">
        <f ca="1">_xlfn.XLOOKUP(B137, 'Plan de Trabajo'!$B$2:$B$1802, 'Plan de Trabajo'!$I$2:$I$1802)</f>
        <v>1</v>
      </c>
      <c r="J137" s="249" t="str">
        <f>IF(ISNUMBER(SEARCH("Rocha", _xlfn.XLOOKUP(B137,'Relacion '!$E:$E,'Relacion '!$I:$I,""))), "Sí", "No")</f>
        <v>No</v>
      </c>
      <c r="K137" s="249" t="str">
        <f>IF(ISNUMBER(SEARCH("Rocha", _xlfn.XLOOKUP(B137,'Relacion '!$E:$E,'Relacion '!$I:$I,""))), "RMC", _xlfn.XLOOKUP(B137,'Relacion '!$E:$E,'Relacion '!$B:$B,""))</f>
        <v>Producto</v>
      </c>
      <c r="L137" s="249" t="str">
        <f>_xlfn.XLOOKUP(B137,'Relacion '!$E:$E,'Relacion '!$C:$C,"")</f>
        <v>Claudia Barroso</v>
      </c>
    </row>
    <row r="138" spans="2:12">
      <c r="B138" s="245" t="s">
        <v>558</v>
      </c>
      <c r="C138" s="137" t="s">
        <v>559</v>
      </c>
      <c r="D138" s="249" t="str">
        <f>_xlfn.XLOOKUP(B138,'Relacion '!$E:$E,'Relacion '!$D:$D,"")</f>
        <v>06. BW-EJECUCION</v>
      </c>
      <c r="E138" s="246">
        <f t="shared" si="2"/>
        <v>99</v>
      </c>
      <c r="F138" s="247" cm="1">
        <f t="array" ref="F138">MIN(INDEX('Relacion '!$X$5:$AM$493,MATCH(INDEX($B:$B, (ROW()-0)),'Relacion '!$E$5:$E$493,0),0))</f>
        <v>46024</v>
      </c>
      <c r="G138" s="247" cm="1">
        <f t="array" ref="G138">MAX(INDEX('Relacion '!$X$5:$AM$493,MATCH(INDEX($B:$B, (ROW()-0)),'Relacion '!$E$5:$E$493,0),0))</f>
        <v>46123</v>
      </c>
      <c r="H138" s="248" t="e">
        <f>_xlfn.XLOOKUP(B138, 'Plan de Trabajo'!$B$2:$B$1802, 'Plan de Trabajo'!$H$2:$H$1802)</f>
        <v>#REF!</v>
      </c>
      <c r="I138" s="248">
        <f ca="1">_xlfn.XLOOKUP(B138, 'Plan de Trabajo'!$B$2:$B$1802, 'Plan de Trabajo'!$I$2:$I$1802)</f>
        <v>1</v>
      </c>
      <c r="J138" s="249" t="str">
        <f>IF(ISNUMBER(SEARCH("Rocha", _xlfn.XLOOKUP(B138,'Relacion '!$E:$E,'Relacion '!$I:$I,""))), "Sí", "No")</f>
        <v>No</v>
      </c>
      <c r="K138" s="249" t="str">
        <f>IF(ISNUMBER(SEARCH("Rocha", _xlfn.XLOOKUP(B138,'Relacion '!$E:$E,'Relacion '!$I:$I,""))), "RMC", _xlfn.XLOOKUP(B138,'Relacion '!$E:$E,'Relacion '!$B:$B,""))</f>
        <v>Riesgos</v>
      </c>
      <c r="L138" s="249" t="str">
        <f>_xlfn.XLOOKUP(B138,'Relacion '!$E:$E,'Relacion '!$C:$C,"")</f>
        <v>Homero Sanchez</v>
      </c>
    </row>
    <row r="139" spans="2:12">
      <c r="B139" s="245" t="s">
        <v>232</v>
      </c>
      <c r="C139" s="176" t="s">
        <v>233</v>
      </c>
      <c r="D139" s="249" t="str">
        <f>_xlfn.XLOOKUP(B139,'Relacion '!$E:$E,'Relacion '!$D:$D,"")</f>
        <v>04. VALIDA US</v>
      </c>
      <c r="E139" s="246">
        <f t="shared" si="2"/>
        <v>110</v>
      </c>
      <c r="F139" s="247" cm="1">
        <f t="array" ref="F139">MIN(INDEX('Relacion '!$X$5:$AM$493,MATCH(INDEX($B:$B, (ROW()-0)),'Relacion '!$E$5:$E$493,0),0))</f>
        <v>46024</v>
      </c>
      <c r="G139" s="247" cm="1">
        <f t="array" ref="G139">MAX(INDEX('Relacion '!$X$5:$AM$493,MATCH(INDEX($B:$B, (ROW()-0)),'Relacion '!$E$5:$E$493,0),0))</f>
        <v>46134</v>
      </c>
      <c r="H139" s="248" t="e">
        <f>_xlfn.XLOOKUP(B139, 'Plan de Trabajo'!$B$2:$B$1802, 'Plan de Trabajo'!$H$2:$H$1802)</f>
        <v>#REF!</v>
      </c>
      <c r="I139" s="248">
        <f ca="1">_xlfn.XLOOKUP(B139, 'Plan de Trabajo'!$B$2:$B$1802, 'Plan de Trabajo'!$I$2:$I$1802)</f>
        <v>1</v>
      </c>
      <c r="J139" s="249" t="str">
        <f>IF(ISNUMBER(SEARCH("Rocha", _xlfn.XLOOKUP(B139,'Relacion '!$E:$E,'Relacion '!$I:$I,""))), "Sí", "No")</f>
        <v>No</v>
      </c>
      <c r="K139" s="249" t="str">
        <f>IF(ISNUMBER(SEARCH("Rocha", _xlfn.XLOOKUP(B139,'Relacion '!$E:$E,'Relacion '!$I:$I,""))), "RMC", _xlfn.XLOOKUP(B139,'Relacion '!$E:$E,'Relacion '!$B:$B,""))</f>
        <v>Riesgos | Eduardo Santiago</v>
      </c>
      <c r="L139" s="249" t="str">
        <f>_xlfn.XLOOKUP(B139,'Relacion '!$E:$E,'Relacion '!$C:$C,"")</f>
        <v>Homero Sanchez</v>
      </c>
    </row>
    <row r="140" spans="2:12">
      <c r="B140" s="245" t="s">
        <v>226</v>
      </c>
      <c r="C140" s="176" t="s">
        <v>227</v>
      </c>
      <c r="D140" s="249" t="str">
        <f>_xlfn.XLOOKUP(B140,'Relacion '!$E:$E,'Relacion '!$D:$D,"")</f>
        <v>04. VALIDA US</v>
      </c>
      <c r="E140" s="246">
        <f t="shared" si="2"/>
        <v>110</v>
      </c>
      <c r="F140" s="247" cm="1">
        <f t="array" ref="F140">MIN(INDEX('Relacion '!$X$5:$AM$493,MATCH(INDEX($B:$B, (ROW()-0)),'Relacion '!$E$5:$E$493,0),0))</f>
        <v>46024</v>
      </c>
      <c r="G140" s="247" cm="1">
        <f t="array" ref="G140">MAX(INDEX('Relacion '!$X$5:$AM$493,MATCH(INDEX($B:$B, (ROW()-0)),'Relacion '!$E$5:$E$493,0),0))</f>
        <v>46134</v>
      </c>
      <c r="H140" s="248" t="e">
        <f>_xlfn.XLOOKUP(B140, 'Plan de Trabajo'!$B$2:$B$1802, 'Plan de Trabajo'!$H$2:$H$1802)</f>
        <v>#REF!</v>
      </c>
      <c r="I140" s="248">
        <f ca="1">_xlfn.XLOOKUP(B140, 'Plan de Trabajo'!$B$2:$B$1802, 'Plan de Trabajo'!$I$2:$I$1802)</f>
        <v>1</v>
      </c>
      <c r="J140" s="249" t="str">
        <f>IF(ISNUMBER(SEARCH("Rocha", _xlfn.XLOOKUP(B140,'Relacion '!$E:$E,'Relacion '!$I:$I,""))), "Sí", "No")</f>
        <v>No</v>
      </c>
      <c r="K140" s="249" t="str">
        <f>IF(ISNUMBER(SEARCH("Rocha", _xlfn.XLOOKUP(B140,'Relacion '!$E:$E,'Relacion '!$I:$I,""))), "RMC", _xlfn.XLOOKUP(B140,'Relacion '!$E:$E,'Relacion '!$B:$B,""))</f>
        <v>Riesgos | Eduardo Santiago</v>
      </c>
      <c r="L140" s="249" t="str">
        <f>_xlfn.XLOOKUP(B140,'Relacion '!$E:$E,'Relacion '!$C:$C,"")</f>
        <v>Homero Sanchez</v>
      </c>
    </row>
    <row r="141" spans="2:12">
      <c r="B141" s="245" t="s">
        <v>562</v>
      </c>
      <c r="C141" s="137" t="s">
        <v>563</v>
      </c>
      <c r="D141" s="249" t="str">
        <f>_xlfn.XLOOKUP(B141,'Relacion '!$E:$E,'Relacion '!$D:$D,"")</f>
        <v>06. BW-EJECUCION</v>
      </c>
      <c r="E141" s="246">
        <f t="shared" si="2"/>
        <v>106</v>
      </c>
      <c r="F141" s="247" cm="1">
        <f t="array" ref="F141">MIN(INDEX('Relacion '!$X$5:$AM$493,MATCH(INDEX($B:$B, (ROW()-0)),'Relacion '!$E$5:$E$493,0),0))</f>
        <v>46024</v>
      </c>
      <c r="G141" s="247" cm="1">
        <f t="array" ref="G141">MAX(INDEX('Relacion '!$X$5:$AM$493,MATCH(INDEX($B:$B, (ROW()-0)),'Relacion '!$E$5:$E$493,0),0))</f>
        <v>46130</v>
      </c>
      <c r="H141" s="248" t="e">
        <f>_xlfn.XLOOKUP(B141, 'Plan de Trabajo'!$B$2:$B$1802, 'Plan de Trabajo'!$H$2:$H$1802)</f>
        <v>#REF!</v>
      </c>
      <c r="I141" s="248">
        <f ca="1">_xlfn.XLOOKUP(B141, 'Plan de Trabajo'!$B$2:$B$1802, 'Plan de Trabajo'!$I$2:$I$1802)</f>
        <v>1</v>
      </c>
      <c r="J141" s="249" t="str">
        <f>IF(ISNUMBER(SEARCH("Rocha", _xlfn.XLOOKUP(B141,'Relacion '!$E:$E,'Relacion '!$I:$I,""))), "Sí", "No")</f>
        <v>No</v>
      </c>
      <c r="K141" s="249" t="str">
        <f>IF(ISNUMBER(SEARCH("Rocha", _xlfn.XLOOKUP(B141,'Relacion '!$E:$E,'Relacion '!$I:$I,""))), "RMC", _xlfn.XLOOKUP(B141,'Relacion '!$E:$E,'Relacion '!$B:$B,""))</f>
        <v>Contabilidad</v>
      </c>
      <c r="L141" s="249" t="str">
        <f>_xlfn.XLOOKUP(B141,'Relacion '!$E:$E,'Relacion '!$C:$C,"")</f>
        <v xml:space="preserve">Ramon Jaimes </v>
      </c>
    </row>
    <row r="142" spans="2:12">
      <c r="B142" s="245" t="s">
        <v>564</v>
      </c>
      <c r="C142" s="137" t="s">
        <v>417</v>
      </c>
      <c r="D142" s="249" t="str">
        <f>_xlfn.XLOOKUP(B142,'Relacion '!$E:$E,'Relacion '!$D:$D,"")</f>
        <v>06. BW-EJECUCION</v>
      </c>
      <c r="E142" s="246">
        <f t="shared" si="2"/>
        <v>471</v>
      </c>
      <c r="F142" s="247" cm="1">
        <f t="array" ref="F142">MIN(INDEX('Relacion '!$X$5:$AM$493,MATCH(INDEX($B:$B, (ROW()-0)),'Relacion '!$E$5:$E$493,0),0))</f>
        <v>45659</v>
      </c>
      <c r="G142" s="247" cm="1">
        <f t="array" ref="G142">MAX(INDEX('Relacion '!$X$5:$AM$493,MATCH(INDEX($B:$B, (ROW()-0)),'Relacion '!$E$5:$E$493,0),0))</f>
        <v>46130</v>
      </c>
      <c r="H142" s="248" t="e">
        <f>_xlfn.XLOOKUP(B142, 'Plan de Trabajo'!$B$2:$B$1802, 'Plan de Trabajo'!$H$2:$H$1802)</f>
        <v>#REF!</v>
      </c>
      <c r="I142" s="248">
        <f ca="1">_xlfn.XLOOKUP(B142, 'Plan de Trabajo'!$B$2:$B$1802, 'Plan de Trabajo'!$I$2:$I$1802)</f>
        <v>1</v>
      </c>
      <c r="J142" s="249" t="str">
        <f>IF(ISNUMBER(SEARCH("Rocha", _xlfn.XLOOKUP(B142,'Relacion '!$E:$E,'Relacion '!$I:$I,""))), "Sí", "No")</f>
        <v>No</v>
      </c>
      <c r="K142" s="249" t="str">
        <f>IF(ISNUMBER(SEARCH("Rocha", _xlfn.XLOOKUP(B142,'Relacion '!$E:$E,'Relacion '!$I:$I,""))), "RMC", _xlfn.XLOOKUP(B142,'Relacion '!$E:$E,'Relacion '!$B:$B,""))</f>
        <v>Producto</v>
      </c>
      <c r="L142" s="249" t="str">
        <f>_xlfn.XLOOKUP(B142,'Relacion '!$E:$E,'Relacion '!$C:$C,"")</f>
        <v>Claudia Barroso</v>
      </c>
    </row>
    <row r="143" spans="2:12">
      <c r="B143" s="245" t="s">
        <v>565</v>
      </c>
      <c r="C143" s="137" t="s">
        <v>508</v>
      </c>
      <c r="D143" s="249" t="str">
        <f>_xlfn.XLOOKUP(B143,'Relacion '!$E:$E,'Relacion '!$D:$D,"")</f>
        <v>06. BW-EJECUCION</v>
      </c>
      <c r="E143" s="246">
        <f t="shared" si="2"/>
        <v>99</v>
      </c>
      <c r="F143" s="247" cm="1">
        <f t="array" ref="F143">MIN(INDEX('Relacion '!$X$5:$AM$493,MATCH(INDEX($B:$B, (ROW()-0)),'Relacion '!$E$5:$E$493,0),0))</f>
        <v>46024</v>
      </c>
      <c r="G143" s="247" cm="1">
        <f t="array" ref="G143">MAX(INDEX('Relacion '!$X$5:$AM$493,MATCH(INDEX($B:$B, (ROW()-0)),'Relacion '!$E$5:$E$493,0),0))</f>
        <v>46123</v>
      </c>
      <c r="H143" s="248" t="e">
        <f>_xlfn.XLOOKUP(B143, 'Plan de Trabajo'!$B$2:$B$1802, 'Plan de Trabajo'!$H$2:$H$1802)</f>
        <v>#REF!</v>
      </c>
      <c r="I143" s="248">
        <f ca="1">_xlfn.XLOOKUP(B143, 'Plan de Trabajo'!$B$2:$B$1802, 'Plan de Trabajo'!$I$2:$I$1802)</f>
        <v>1</v>
      </c>
      <c r="J143" s="249" t="str">
        <f>IF(ISNUMBER(SEARCH("Rocha", _xlfn.XLOOKUP(B143,'Relacion '!$E:$E,'Relacion '!$I:$I,""))), "Sí", "No")</f>
        <v>No</v>
      </c>
      <c r="K143" s="249" t="str">
        <f>IF(ISNUMBER(SEARCH("Rocha", _xlfn.XLOOKUP(B143,'Relacion '!$E:$E,'Relacion '!$I:$I,""))), "RMC", _xlfn.XLOOKUP(B143,'Relacion '!$E:$E,'Relacion '!$B:$B,""))</f>
        <v>Riesgos</v>
      </c>
      <c r="L143" s="249" t="str">
        <f>_xlfn.XLOOKUP(B143,'Relacion '!$E:$E,'Relacion '!$C:$C,"")</f>
        <v>Homero Sanchez</v>
      </c>
    </row>
    <row r="144" spans="2:12">
      <c r="B144" s="245" t="s">
        <v>566</v>
      </c>
      <c r="C144" s="137" t="s">
        <v>66</v>
      </c>
      <c r="D144" s="249" t="str">
        <f>_xlfn.XLOOKUP(B144,'Relacion '!$E:$E,'Relacion '!$D:$D,"")</f>
        <v>06. BW-EJECUCION</v>
      </c>
      <c r="E144" s="246">
        <f t="shared" si="2"/>
        <v>106</v>
      </c>
      <c r="F144" s="247" cm="1">
        <f t="array" ref="F144">MIN(INDEX('Relacion '!$X$5:$AM$493,MATCH(INDEX($B:$B, (ROW()-0)),'Relacion '!$E$5:$E$493,0),0))</f>
        <v>46024</v>
      </c>
      <c r="G144" s="247" cm="1">
        <f t="array" ref="G144">MAX(INDEX('Relacion '!$X$5:$AM$493,MATCH(INDEX($B:$B, (ROW()-0)),'Relacion '!$E$5:$E$493,0),0))</f>
        <v>46130</v>
      </c>
      <c r="H144" s="248" t="e">
        <f>_xlfn.XLOOKUP(B144, 'Plan de Trabajo'!$B$2:$B$1802, 'Plan de Trabajo'!$H$2:$H$1802)</f>
        <v>#REF!</v>
      </c>
      <c r="I144" s="248">
        <f ca="1">_xlfn.XLOOKUP(B144, 'Plan de Trabajo'!$B$2:$B$1802, 'Plan de Trabajo'!$I$2:$I$1802)</f>
        <v>1</v>
      </c>
      <c r="J144" s="249" t="str">
        <f>IF(ISNUMBER(SEARCH("Rocha", _xlfn.XLOOKUP(B144,'Relacion '!$E:$E,'Relacion '!$I:$I,""))), "Sí", "No")</f>
        <v>No</v>
      </c>
      <c r="K144" s="249" t="str">
        <f>IF(ISNUMBER(SEARCH("Rocha", _xlfn.XLOOKUP(B144,'Relacion '!$E:$E,'Relacion '!$I:$I,""))), "RMC", _xlfn.XLOOKUP(B144,'Relacion '!$E:$E,'Relacion '!$B:$B,""))</f>
        <v>Riesgos</v>
      </c>
      <c r="L144" s="249" t="str">
        <f>_xlfn.XLOOKUP(B144,'Relacion '!$E:$E,'Relacion '!$C:$C,"")</f>
        <v>Homero Sanchez</v>
      </c>
    </row>
    <row r="145" spans="2:12">
      <c r="B145" s="245" t="s">
        <v>568</v>
      </c>
      <c r="C145" s="137" t="s">
        <v>66</v>
      </c>
      <c r="D145" s="249" t="str">
        <f>_xlfn.XLOOKUP(B145,'Relacion '!$E:$E,'Relacion '!$D:$D,"")</f>
        <v>06. BW-EJECUCION</v>
      </c>
      <c r="E145" s="246">
        <f t="shared" si="2"/>
        <v>106</v>
      </c>
      <c r="F145" s="247" cm="1">
        <f t="array" ref="F145">MIN(INDEX('Relacion '!$X$5:$AM$493,MATCH(INDEX($B:$B, (ROW()-0)),'Relacion '!$E$5:$E$493,0),0))</f>
        <v>46024</v>
      </c>
      <c r="G145" s="247" cm="1">
        <f t="array" ref="G145">MAX(INDEX('Relacion '!$X$5:$AM$493,MATCH(INDEX($B:$B, (ROW()-0)),'Relacion '!$E$5:$E$493,0),0))</f>
        <v>46130</v>
      </c>
      <c r="H145" s="248" t="e">
        <f>_xlfn.XLOOKUP(B145, 'Plan de Trabajo'!$B$2:$B$1802, 'Plan de Trabajo'!$H$2:$H$1802)</f>
        <v>#REF!</v>
      </c>
      <c r="I145" s="248">
        <f ca="1">_xlfn.XLOOKUP(B145, 'Plan de Trabajo'!$B$2:$B$1802, 'Plan de Trabajo'!$I$2:$I$1802)</f>
        <v>1</v>
      </c>
      <c r="J145" s="249" t="str">
        <f>IF(ISNUMBER(SEARCH("Rocha", _xlfn.XLOOKUP(B145,'Relacion '!$E:$E,'Relacion '!$I:$I,""))), "Sí", "No")</f>
        <v>No</v>
      </c>
      <c r="K145" s="249" t="str">
        <f>IF(ISNUMBER(SEARCH("Rocha", _xlfn.XLOOKUP(B145,'Relacion '!$E:$E,'Relacion '!$I:$I,""))), "RMC", _xlfn.XLOOKUP(B145,'Relacion '!$E:$E,'Relacion '!$B:$B,""))</f>
        <v>Riesgos</v>
      </c>
      <c r="L145" s="249" t="str">
        <f>_xlfn.XLOOKUP(B145,'Relacion '!$E:$E,'Relacion '!$C:$C,"")</f>
        <v>Homero Sanchez</v>
      </c>
    </row>
    <row r="146" spans="2:12">
      <c r="B146" s="245" t="s">
        <v>569</v>
      </c>
      <c r="C146" s="172" t="s">
        <v>66</v>
      </c>
      <c r="D146" s="249" t="str">
        <f>_xlfn.XLOOKUP(B146,'Relacion '!$E:$E,'Relacion '!$D:$D,"")</f>
        <v>08. CERRADA</v>
      </c>
      <c r="E146" s="246">
        <f t="shared" si="2"/>
        <v>450</v>
      </c>
      <c r="F146" s="247" cm="1">
        <f t="array" ref="F146">MIN(INDEX('Relacion '!$X$5:$AM$493,MATCH(INDEX($B:$B, (ROW()-0)),'Relacion '!$E$5:$E$493,0),0))</f>
        <v>45659</v>
      </c>
      <c r="G146" s="247" cm="1">
        <f t="array" ref="G146">MAX(INDEX('Relacion '!$X$5:$AM$493,MATCH(INDEX($B:$B, (ROW()-0)),'Relacion '!$E$5:$E$493,0),0))</f>
        <v>46109</v>
      </c>
      <c r="H146" s="248" t="e">
        <f>_xlfn.XLOOKUP(B146, 'Plan de Trabajo'!$B$2:$B$1802, 'Plan de Trabajo'!$H$2:$H$1802)</f>
        <v>#REF!</v>
      </c>
      <c r="I146" s="248">
        <f ca="1">_xlfn.XLOOKUP(B146, 'Plan de Trabajo'!$B$2:$B$1802, 'Plan de Trabajo'!$I$2:$I$1802)</f>
        <v>1</v>
      </c>
      <c r="J146" s="249" t="str">
        <f>IF(ISNUMBER(SEARCH("Rocha", _xlfn.XLOOKUP(B146,'Relacion '!$E:$E,'Relacion '!$I:$I,""))), "Sí", "No")</f>
        <v>No</v>
      </c>
      <c r="K146" s="249" t="str">
        <f>IF(ISNUMBER(SEARCH("Rocha", _xlfn.XLOOKUP(B146,'Relacion '!$E:$E,'Relacion '!$I:$I,""))), "RMC", _xlfn.XLOOKUP(B146,'Relacion '!$E:$E,'Relacion '!$B:$B,""))</f>
        <v>Operaciones Credito</v>
      </c>
      <c r="L146" s="249" t="str">
        <f>_xlfn.XLOOKUP(B146,'Relacion '!$E:$E,'Relacion '!$C:$C,"")</f>
        <v>Luis Alberto</v>
      </c>
    </row>
    <row r="147" spans="2:12">
      <c r="B147" s="245" t="s">
        <v>570</v>
      </c>
      <c r="C147" s="137" t="s">
        <v>66</v>
      </c>
      <c r="D147" s="249" t="str">
        <f>_xlfn.XLOOKUP(B147,'Relacion '!$E:$E,'Relacion '!$D:$D,"")</f>
        <v>06. BW-EJECUCION</v>
      </c>
      <c r="E147" s="246">
        <f t="shared" si="2"/>
        <v>106</v>
      </c>
      <c r="F147" s="247" cm="1">
        <f t="array" ref="F147">MIN(INDEX('Relacion '!$X$5:$AM$493,MATCH(INDEX($B:$B, (ROW()-0)),'Relacion '!$E$5:$E$493,0),0))</f>
        <v>46024</v>
      </c>
      <c r="G147" s="247" cm="1">
        <f t="array" ref="G147">MAX(INDEX('Relacion '!$X$5:$AM$493,MATCH(INDEX($B:$B, (ROW()-0)),'Relacion '!$E$5:$E$493,0),0))</f>
        <v>46130</v>
      </c>
      <c r="H147" s="248" t="e">
        <f>_xlfn.XLOOKUP(B147, 'Plan de Trabajo'!$B$2:$B$1802, 'Plan de Trabajo'!$H$2:$H$1802)</f>
        <v>#REF!</v>
      </c>
      <c r="I147" s="248">
        <f ca="1">_xlfn.XLOOKUP(B147, 'Plan de Trabajo'!$B$2:$B$1802, 'Plan de Trabajo'!$I$2:$I$1802)</f>
        <v>1</v>
      </c>
      <c r="J147" s="249" t="str">
        <f>IF(ISNUMBER(SEARCH("Rocha", _xlfn.XLOOKUP(B147,'Relacion '!$E:$E,'Relacion '!$I:$I,""))), "Sí", "No")</f>
        <v>No</v>
      </c>
      <c r="K147" s="249" t="str">
        <f>IF(ISNUMBER(SEARCH("Rocha", _xlfn.XLOOKUP(B147,'Relacion '!$E:$E,'Relacion '!$I:$I,""))), "RMC", _xlfn.XLOOKUP(B147,'Relacion '!$E:$E,'Relacion '!$B:$B,""))</f>
        <v>Riesgos</v>
      </c>
      <c r="L147" s="249" t="str">
        <f>_xlfn.XLOOKUP(B147,'Relacion '!$E:$E,'Relacion '!$C:$C,"")</f>
        <v>Homero Sanchez</v>
      </c>
    </row>
    <row r="148" spans="2:12">
      <c r="B148" s="245" t="s">
        <v>572</v>
      </c>
      <c r="C148" s="172" t="s">
        <v>66</v>
      </c>
      <c r="D148" s="249" t="str">
        <f>_xlfn.XLOOKUP(B148,'Relacion '!$E:$E,'Relacion '!$D:$D,"")</f>
        <v>08. CERRADA</v>
      </c>
      <c r="E148" s="246">
        <f t="shared" si="2"/>
        <v>450</v>
      </c>
      <c r="F148" s="247" cm="1">
        <f t="array" ref="F148">MIN(INDEX('Relacion '!$X$5:$AM$493,MATCH(INDEX($B:$B, (ROW()-0)),'Relacion '!$E$5:$E$493,0),0))</f>
        <v>45659</v>
      </c>
      <c r="G148" s="247" cm="1">
        <f t="array" ref="G148">MAX(INDEX('Relacion '!$X$5:$AM$493,MATCH(INDEX($B:$B, (ROW()-0)),'Relacion '!$E$5:$E$493,0),0))</f>
        <v>46109</v>
      </c>
      <c r="H148" s="248" t="e">
        <f>_xlfn.XLOOKUP(B148, 'Plan de Trabajo'!$B$2:$B$1802, 'Plan de Trabajo'!$H$2:$H$1802)</f>
        <v>#REF!</v>
      </c>
      <c r="I148" s="248">
        <f ca="1">_xlfn.XLOOKUP(B148, 'Plan de Trabajo'!$B$2:$B$1802, 'Plan de Trabajo'!$I$2:$I$1802)</f>
        <v>1</v>
      </c>
      <c r="J148" s="249" t="str">
        <f>IF(ISNUMBER(SEARCH("Rocha", _xlfn.XLOOKUP(B148,'Relacion '!$E:$E,'Relacion '!$I:$I,""))), "Sí", "No")</f>
        <v>No</v>
      </c>
      <c r="K148" s="249" t="str">
        <f>IF(ISNUMBER(SEARCH("Rocha", _xlfn.XLOOKUP(B148,'Relacion '!$E:$E,'Relacion '!$I:$I,""))), "RMC", _xlfn.XLOOKUP(B148,'Relacion '!$E:$E,'Relacion '!$B:$B,""))</f>
        <v>Operaciones Credito</v>
      </c>
      <c r="L148" s="249" t="str">
        <f>_xlfn.XLOOKUP(B148,'Relacion '!$E:$E,'Relacion '!$C:$C,"")</f>
        <v>Luis Alberto</v>
      </c>
    </row>
    <row r="149" spans="2:12">
      <c r="B149" s="245" t="s">
        <v>573</v>
      </c>
      <c r="C149" s="137" t="s">
        <v>574</v>
      </c>
      <c r="D149" s="249" t="str">
        <f>_xlfn.XLOOKUP(B149,'Relacion '!$E:$E,'Relacion '!$D:$D,"")</f>
        <v>06. BW-EJECUCION</v>
      </c>
      <c r="E149" s="246">
        <f t="shared" si="2"/>
        <v>106</v>
      </c>
      <c r="F149" s="247" cm="1">
        <f t="array" ref="F149">MIN(INDEX('Relacion '!$X$5:$AM$493,MATCH(INDEX($B:$B, (ROW()-0)),'Relacion '!$E$5:$E$493,0),0))</f>
        <v>46024</v>
      </c>
      <c r="G149" s="247" cm="1">
        <f t="array" ref="G149">MAX(INDEX('Relacion '!$X$5:$AM$493,MATCH(INDEX($B:$B, (ROW()-0)),'Relacion '!$E$5:$E$493,0),0))</f>
        <v>46130</v>
      </c>
      <c r="H149" s="248" t="e">
        <f>_xlfn.XLOOKUP(B149, 'Plan de Trabajo'!$B$2:$B$1802, 'Plan de Trabajo'!$H$2:$H$1802)</f>
        <v>#REF!</v>
      </c>
      <c r="I149" s="248">
        <f ca="1">_xlfn.XLOOKUP(B149, 'Plan de Trabajo'!$B$2:$B$1802, 'Plan de Trabajo'!$I$2:$I$1802)</f>
        <v>1</v>
      </c>
      <c r="J149" s="249" t="str">
        <f>IF(ISNUMBER(SEARCH("Rocha", _xlfn.XLOOKUP(B149,'Relacion '!$E:$E,'Relacion '!$I:$I,""))), "Sí", "No")</f>
        <v>No</v>
      </c>
      <c r="K149" s="249" t="str">
        <f>IF(ISNUMBER(SEARCH("Rocha", _xlfn.XLOOKUP(B149,'Relacion '!$E:$E,'Relacion '!$I:$I,""))), "RMC", _xlfn.XLOOKUP(B149,'Relacion '!$E:$E,'Relacion '!$B:$B,""))</f>
        <v>Riesgos</v>
      </c>
      <c r="L149" s="249" t="str">
        <f>_xlfn.XLOOKUP(B149,'Relacion '!$E:$E,'Relacion '!$C:$C,"")</f>
        <v>Homero Sanchez</v>
      </c>
    </row>
    <row r="150" spans="2:12">
      <c r="B150" s="245" t="s">
        <v>24</v>
      </c>
      <c r="C150" s="137" t="s">
        <v>218</v>
      </c>
      <c r="D150" s="249" t="str">
        <f>_xlfn.XLOOKUP(B150,'Relacion '!$E:$E,'Relacion '!$D:$D,"")</f>
        <v>02. MAPEO</v>
      </c>
      <c r="E150" s="246">
        <f t="shared" si="2"/>
        <v>515</v>
      </c>
      <c r="F150" s="247" cm="1">
        <f t="array" ref="F150">MIN(INDEX('Relacion '!$X$5:$AM$493,MATCH(INDEX($B:$B, (ROW()-0)),'Relacion '!$E$5:$E$493,0),0))</f>
        <v>45659</v>
      </c>
      <c r="G150" s="247" cm="1">
        <f t="array" ref="G150">MAX(INDEX('Relacion '!$X$5:$AM$493,MATCH(INDEX($B:$B, (ROW()-0)),'Relacion '!$E$5:$E$493,0),0))</f>
        <v>46174</v>
      </c>
      <c r="H150" s="248" t="e">
        <f>_xlfn.XLOOKUP(B150, 'Plan de Trabajo'!$B$2:$B$1802, 'Plan de Trabajo'!$H$2:$H$1802)</f>
        <v>#REF!</v>
      </c>
      <c r="I150" s="248">
        <f ca="1">_xlfn.XLOOKUP(B150, 'Plan de Trabajo'!$B$2:$B$1802, 'Plan de Trabajo'!$I$2:$I$1802)</f>
        <v>0.75</v>
      </c>
      <c r="J150" s="249" t="str">
        <f>IF(ISNUMBER(SEARCH("Rocha", _xlfn.XLOOKUP(B150,'Relacion '!$E:$E,'Relacion '!$I:$I,""))), "Sí", "No")</f>
        <v>No</v>
      </c>
      <c r="K150" s="249" t="str">
        <f>IF(ISNUMBER(SEARCH("Rocha", _xlfn.XLOOKUP(B150,'Relacion '!$E:$E,'Relacion '!$I:$I,""))), "RMC", _xlfn.XLOOKUP(B150,'Relacion '!$E:$E,'Relacion '!$B:$B,""))</f>
        <v>Contabilidad</v>
      </c>
      <c r="L150" s="249" t="str">
        <f>_xlfn.XLOOKUP(B150,'Relacion '!$E:$E,'Relacion '!$C:$C,"")</f>
        <v xml:space="preserve">Ramon Jaimes </v>
      </c>
    </row>
    <row r="151" spans="2:12">
      <c r="B151" s="245" t="s">
        <v>21</v>
      </c>
      <c r="C151" s="137" t="s">
        <v>218</v>
      </c>
      <c r="D151" s="249" t="str">
        <f>_xlfn.XLOOKUP(B151,'Relacion '!$E:$E,'Relacion '!$D:$D,"")</f>
        <v>02. MAPEO</v>
      </c>
      <c r="E151" s="246">
        <f t="shared" si="2"/>
        <v>515</v>
      </c>
      <c r="F151" s="247" cm="1">
        <f t="array" ref="F151">MIN(INDEX('Relacion '!$X$5:$AM$493,MATCH(INDEX($B:$B, (ROW()-0)),'Relacion '!$E$5:$E$493,0),0))</f>
        <v>45659</v>
      </c>
      <c r="G151" s="247" cm="1">
        <f t="array" ref="G151">MAX(INDEX('Relacion '!$X$5:$AM$493,MATCH(INDEX($B:$B, (ROW()-0)),'Relacion '!$E$5:$E$493,0),0))</f>
        <v>46174</v>
      </c>
      <c r="H151" s="248" t="e">
        <f>_xlfn.XLOOKUP(B151, 'Plan de Trabajo'!$B$2:$B$1802, 'Plan de Trabajo'!$H$2:$H$1802)</f>
        <v>#REF!</v>
      </c>
      <c r="I151" s="248">
        <f ca="1">_xlfn.XLOOKUP(B151, 'Plan de Trabajo'!$B$2:$B$1802, 'Plan de Trabajo'!$I$2:$I$1802)</f>
        <v>0.75</v>
      </c>
      <c r="J151" s="249" t="str">
        <f>IF(ISNUMBER(SEARCH("Rocha", _xlfn.XLOOKUP(B151,'Relacion '!$E:$E,'Relacion '!$I:$I,""))), "Sí", "No")</f>
        <v>No</v>
      </c>
      <c r="K151" s="249" t="str">
        <f>IF(ISNUMBER(SEARCH("Rocha", _xlfn.XLOOKUP(B151,'Relacion '!$E:$E,'Relacion '!$I:$I,""))), "RMC", _xlfn.XLOOKUP(B151,'Relacion '!$E:$E,'Relacion '!$B:$B,""))</f>
        <v>Contabilidad</v>
      </c>
      <c r="L151" s="249" t="str">
        <f>_xlfn.XLOOKUP(B151,'Relacion '!$E:$E,'Relacion '!$C:$C,"")</f>
        <v xml:space="preserve">Ramon Jaimes </v>
      </c>
    </row>
    <row r="152" spans="2:12">
      <c r="B152" s="245" t="s">
        <v>575</v>
      </c>
      <c r="C152" s="172" t="s">
        <v>63</v>
      </c>
      <c r="D152" s="249" t="str">
        <f>_xlfn.XLOOKUP(B152,'Relacion '!$E:$E,'Relacion '!$D:$D,"")</f>
        <v>08. CERRADA</v>
      </c>
      <c r="E152" s="246">
        <f t="shared" si="2"/>
        <v>450</v>
      </c>
      <c r="F152" s="247" cm="1">
        <f t="array" ref="F152">MIN(INDEX('Relacion '!$X$5:$AM$493,MATCH(INDEX($B:$B, (ROW()-0)),'Relacion '!$E$5:$E$493,0),0))</f>
        <v>45659</v>
      </c>
      <c r="G152" s="247" cm="1">
        <f t="array" ref="G152">MAX(INDEX('Relacion '!$X$5:$AM$493,MATCH(INDEX($B:$B, (ROW()-0)),'Relacion '!$E$5:$E$493,0),0))</f>
        <v>46109</v>
      </c>
      <c r="H152" s="248" t="e">
        <f>_xlfn.XLOOKUP(B152, 'Plan de Trabajo'!$B$2:$B$1802, 'Plan de Trabajo'!$H$2:$H$1802)</f>
        <v>#REF!</v>
      </c>
      <c r="I152" s="248">
        <f ca="1">_xlfn.XLOOKUP(B152, 'Plan de Trabajo'!$B$2:$B$1802, 'Plan de Trabajo'!$I$2:$I$1802)</f>
        <v>1</v>
      </c>
      <c r="J152" s="249" t="str">
        <f>IF(ISNUMBER(SEARCH("Rocha", _xlfn.XLOOKUP(B152,'Relacion '!$E:$E,'Relacion '!$I:$I,""))), "Sí", "No")</f>
        <v>No</v>
      </c>
      <c r="K152" s="249" t="str">
        <f>IF(ISNUMBER(SEARCH("Rocha", _xlfn.XLOOKUP(B152,'Relacion '!$E:$E,'Relacion '!$I:$I,""))), "RMC", _xlfn.XLOOKUP(B152,'Relacion '!$E:$E,'Relacion '!$B:$B,""))</f>
        <v>Operaciones Credito</v>
      </c>
      <c r="L152" s="249" t="str">
        <f>_xlfn.XLOOKUP(B152,'Relacion '!$E:$E,'Relacion '!$C:$C,"")</f>
        <v>Luis Alberto</v>
      </c>
    </row>
    <row r="153" spans="2:12">
      <c r="B153" s="245" t="s">
        <v>576</v>
      </c>
      <c r="C153" s="172" t="s">
        <v>63</v>
      </c>
      <c r="D153" s="249" t="str">
        <f>_xlfn.XLOOKUP(B153,'Relacion '!$E:$E,'Relacion '!$D:$D,"")</f>
        <v>08. CERRADA</v>
      </c>
      <c r="E153" s="246">
        <f t="shared" si="2"/>
        <v>450</v>
      </c>
      <c r="F153" s="247" cm="1">
        <f t="array" ref="F153">MIN(INDEX('Relacion '!$X$5:$AM$493,MATCH(INDEX($B:$B, (ROW()-0)),'Relacion '!$E$5:$E$493,0),0))</f>
        <v>45659</v>
      </c>
      <c r="G153" s="247" cm="1">
        <f t="array" ref="G153">MAX(INDEX('Relacion '!$X$5:$AM$493,MATCH(INDEX($B:$B, (ROW()-0)),'Relacion '!$E$5:$E$493,0),0))</f>
        <v>46109</v>
      </c>
      <c r="H153" s="248" t="e">
        <f>_xlfn.XLOOKUP(B153, 'Plan de Trabajo'!$B$2:$B$1802, 'Plan de Trabajo'!$H$2:$H$1802)</f>
        <v>#REF!</v>
      </c>
      <c r="I153" s="248">
        <f ca="1">_xlfn.XLOOKUP(B153, 'Plan de Trabajo'!$B$2:$B$1802, 'Plan de Trabajo'!$I$2:$I$1802)</f>
        <v>1</v>
      </c>
      <c r="J153" s="249" t="str">
        <f>IF(ISNUMBER(SEARCH("Rocha", _xlfn.XLOOKUP(B153,'Relacion '!$E:$E,'Relacion '!$I:$I,""))), "Sí", "No")</f>
        <v>No</v>
      </c>
      <c r="K153" s="249" t="str">
        <f>IF(ISNUMBER(SEARCH("Rocha", _xlfn.XLOOKUP(B153,'Relacion '!$E:$E,'Relacion '!$I:$I,""))), "RMC", _xlfn.XLOOKUP(B153,'Relacion '!$E:$E,'Relacion '!$B:$B,""))</f>
        <v>Operaciones Credito</v>
      </c>
      <c r="L153" s="249" t="str">
        <f>_xlfn.XLOOKUP(B153,'Relacion '!$E:$E,'Relacion '!$C:$C,"")</f>
        <v>Luis Alberto</v>
      </c>
    </row>
    <row r="154" spans="2:12">
      <c r="B154" s="245" t="s">
        <v>577</v>
      </c>
      <c r="C154" s="137" t="s">
        <v>578</v>
      </c>
      <c r="D154" s="249" t="str">
        <f>_xlfn.XLOOKUP(B154,'Relacion '!$E:$E,'Relacion '!$D:$D,"")</f>
        <v>06. BW-EJECUCION</v>
      </c>
      <c r="E154" s="246">
        <f t="shared" si="2"/>
        <v>471</v>
      </c>
      <c r="F154" s="247" cm="1">
        <f t="array" ref="F154">MIN(INDEX('Relacion '!$X$5:$AM$493,MATCH(INDEX($B:$B, (ROW()-0)),'Relacion '!$E$5:$E$493,0),0))</f>
        <v>45659</v>
      </c>
      <c r="G154" s="247" cm="1">
        <f t="array" ref="G154">MAX(INDEX('Relacion '!$X$5:$AM$493,MATCH(INDEX($B:$B, (ROW()-0)),'Relacion '!$E$5:$E$493,0),0))</f>
        <v>46130</v>
      </c>
      <c r="H154" s="248" t="e">
        <f>_xlfn.XLOOKUP(B154, 'Plan de Trabajo'!$B$2:$B$1802, 'Plan de Trabajo'!$H$2:$H$1802)</f>
        <v>#REF!</v>
      </c>
      <c r="I154" s="248">
        <f ca="1">_xlfn.XLOOKUP(B154, 'Plan de Trabajo'!$B$2:$B$1802, 'Plan de Trabajo'!$I$2:$I$1802)</f>
        <v>1</v>
      </c>
      <c r="J154" s="249" t="str">
        <f>IF(ISNUMBER(SEARCH("Rocha", _xlfn.XLOOKUP(B154,'Relacion '!$E:$E,'Relacion '!$I:$I,""))), "Sí", "No")</f>
        <v>No</v>
      </c>
      <c r="K154" s="249" t="str">
        <f>IF(ISNUMBER(SEARCH("Rocha", _xlfn.XLOOKUP(B154,'Relacion '!$E:$E,'Relacion '!$I:$I,""))), "RMC", _xlfn.XLOOKUP(B154,'Relacion '!$E:$E,'Relacion '!$B:$B,""))</f>
        <v>Producto</v>
      </c>
      <c r="L154" s="249" t="str">
        <f>_xlfn.XLOOKUP(B154,'Relacion '!$E:$E,'Relacion '!$C:$C,"")</f>
        <v>Claudia Barroso</v>
      </c>
    </row>
    <row r="155" spans="2:12">
      <c r="B155" s="245" t="s">
        <v>580</v>
      </c>
      <c r="C155" s="137" t="s">
        <v>578</v>
      </c>
      <c r="D155" s="249" t="str">
        <f>_xlfn.XLOOKUP(B155,'Relacion '!$E:$E,'Relacion '!$D:$D,"")</f>
        <v>06. BW-EJECUCION</v>
      </c>
      <c r="E155" s="246">
        <f t="shared" si="2"/>
        <v>471</v>
      </c>
      <c r="F155" s="247" cm="1">
        <f t="array" ref="F155">MIN(INDEX('Relacion '!$X$5:$AM$493,MATCH(INDEX($B:$B, (ROW()-0)),'Relacion '!$E$5:$E$493,0),0))</f>
        <v>45659</v>
      </c>
      <c r="G155" s="247" cm="1">
        <f t="array" ref="G155">MAX(INDEX('Relacion '!$X$5:$AM$493,MATCH(INDEX($B:$B, (ROW()-0)),'Relacion '!$E$5:$E$493,0),0))</f>
        <v>46130</v>
      </c>
      <c r="H155" s="248" t="e">
        <f>_xlfn.XLOOKUP(B155, 'Plan de Trabajo'!$B$2:$B$1802, 'Plan de Trabajo'!$H$2:$H$1802)</f>
        <v>#REF!</v>
      </c>
      <c r="I155" s="248">
        <f ca="1">_xlfn.XLOOKUP(B155, 'Plan de Trabajo'!$B$2:$B$1802, 'Plan de Trabajo'!$I$2:$I$1802)</f>
        <v>1</v>
      </c>
      <c r="J155" s="249" t="str">
        <f>IF(ISNUMBER(SEARCH("Rocha", _xlfn.XLOOKUP(B155,'Relacion '!$E:$E,'Relacion '!$I:$I,""))), "Sí", "No")</f>
        <v>No</v>
      </c>
      <c r="K155" s="249" t="str">
        <f>IF(ISNUMBER(SEARCH("Rocha", _xlfn.XLOOKUP(B155,'Relacion '!$E:$E,'Relacion '!$I:$I,""))), "RMC", _xlfn.XLOOKUP(B155,'Relacion '!$E:$E,'Relacion '!$B:$B,""))</f>
        <v>Producto</v>
      </c>
      <c r="L155" s="249" t="str">
        <f>_xlfn.XLOOKUP(B155,'Relacion '!$E:$E,'Relacion '!$C:$C,"")</f>
        <v>Claudia Barroso</v>
      </c>
    </row>
    <row r="156" spans="2:12">
      <c r="B156" s="245" t="s">
        <v>581</v>
      </c>
      <c r="C156" s="137" t="s">
        <v>578</v>
      </c>
      <c r="D156" s="249" t="str">
        <f>_xlfn.XLOOKUP(B156,'Relacion '!$E:$E,'Relacion '!$D:$D,"")</f>
        <v>06. BW-EJECUCION</v>
      </c>
      <c r="E156" s="246">
        <f t="shared" si="2"/>
        <v>471</v>
      </c>
      <c r="F156" s="247" cm="1">
        <f t="array" ref="F156">MIN(INDEX('Relacion '!$X$5:$AM$493,MATCH(INDEX($B:$B, (ROW()-0)),'Relacion '!$E$5:$E$493,0),0))</f>
        <v>45659</v>
      </c>
      <c r="G156" s="247" cm="1">
        <f t="array" ref="G156">MAX(INDEX('Relacion '!$X$5:$AM$493,MATCH(INDEX($B:$B, (ROW()-0)),'Relacion '!$E$5:$E$493,0),0))</f>
        <v>46130</v>
      </c>
      <c r="H156" s="248" t="e">
        <f>_xlfn.XLOOKUP(B156, 'Plan de Trabajo'!$B$2:$B$1802, 'Plan de Trabajo'!$H$2:$H$1802)</f>
        <v>#REF!</v>
      </c>
      <c r="I156" s="248">
        <f ca="1">_xlfn.XLOOKUP(B156, 'Plan de Trabajo'!$B$2:$B$1802, 'Plan de Trabajo'!$I$2:$I$1802)</f>
        <v>1</v>
      </c>
      <c r="J156" s="249" t="str">
        <f>IF(ISNUMBER(SEARCH("Rocha", _xlfn.XLOOKUP(B156,'Relacion '!$E:$E,'Relacion '!$I:$I,""))), "Sí", "No")</f>
        <v>No</v>
      </c>
      <c r="K156" s="249" t="str">
        <f>IF(ISNUMBER(SEARCH("Rocha", _xlfn.XLOOKUP(B156,'Relacion '!$E:$E,'Relacion '!$I:$I,""))), "RMC", _xlfn.XLOOKUP(B156,'Relacion '!$E:$E,'Relacion '!$B:$B,""))</f>
        <v>Producto</v>
      </c>
      <c r="L156" s="249" t="str">
        <f>_xlfn.XLOOKUP(B156,'Relacion '!$E:$E,'Relacion '!$C:$C,"")</f>
        <v>Claudia Barroso</v>
      </c>
    </row>
    <row r="157" spans="2:12">
      <c r="B157" s="245" t="s">
        <v>582</v>
      </c>
      <c r="C157" s="137" t="s">
        <v>578</v>
      </c>
      <c r="D157" s="249" t="str">
        <f>_xlfn.XLOOKUP(B157,'Relacion '!$E:$E,'Relacion '!$D:$D,"")</f>
        <v>06. BW-EJECUCION</v>
      </c>
      <c r="E157" s="246">
        <f t="shared" si="2"/>
        <v>471</v>
      </c>
      <c r="F157" s="247" cm="1">
        <f t="array" ref="F157">MIN(INDEX('Relacion '!$X$5:$AM$493,MATCH(INDEX($B:$B, (ROW()-0)),'Relacion '!$E$5:$E$493,0),0))</f>
        <v>45659</v>
      </c>
      <c r="G157" s="247" cm="1">
        <f t="array" ref="G157">MAX(INDEX('Relacion '!$X$5:$AM$493,MATCH(INDEX($B:$B, (ROW()-0)),'Relacion '!$E$5:$E$493,0),0))</f>
        <v>46130</v>
      </c>
      <c r="H157" s="248" t="e">
        <f>_xlfn.XLOOKUP(B157, 'Plan de Trabajo'!$B$2:$B$1802, 'Plan de Trabajo'!$H$2:$H$1802)</f>
        <v>#REF!</v>
      </c>
      <c r="I157" s="248">
        <f ca="1">_xlfn.XLOOKUP(B157, 'Plan de Trabajo'!$B$2:$B$1802, 'Plan de Trabajo'!$I$2:$I$1802)</f>
        <v>1</v>
      </c>
      <c r="J157" s="249" t="str">
        <f>IF(ISNUMBER(SEARCH("Rocha", _xlfn.XLOOKUP(B157,'Relacion '!$E:$E,'Relacion '!$I:$I,""))), "Sí", "No")</f>
        <v>No</v>
      </c>
      <c r="K157" s="249" t="str">
        <f>IF(ISNUMBER(SEARCH("Rocha", _xlfn.XLOOKUP(B157,'Relacion '!$E:$E,'Relacion '!$I:$I,""))), "RMC", _xlfn.XLOOKUP(B157,'Relacion '!$E:$E,'Relacion '!$B:$B,""))</f>
        <v>Producto</v>
      </c>
      <c r="L157" s="249" t="str">
        <f>_xlfn.XLOOKUP(B157,'Relacion '!$E:$E,'Relacion '!$C:$C,"")</f>
        <v>Claudia Barroso</v>
      </c>
    </row>
    <row r="158" spans="2:12">
      <c r="B158" s="245" t="s">
        <v>583</v>
      </c>
      <c r="C158" s="137" t="s">
        <v>578</v>
      </c>
      <c r="D158" s="249" t="str">
        <f>_xlfn.XLOOKUP(B158,'Relacion '!$E:$E,'Relacion '!$D:$D,"")</f>
        <v>06. BW-EJECUCION</v>
      </c>
      <c r="E158" s="246">
        <f t="shared" si="2"/>
        <v>471</v>
      </c>
      <c r="F158" s="247" cm="1">
        <f t="array" ref="F158">MIN(INDEX('Relacion '!$X$5:$AM$493,MATCH(INDEX($B:$B, (ROW()-0)),'Relacion '!$E$5:$E$493,0),0))</f>
        <v>45659</v>
      </c>
      <c r="G158" s="247" cm="1">
        <f t="array" ref="G158">MAX(INDEX('Relacion '!$X$5:$AM$493,MATCH(INDEX($B:$B, (ROW()-0)),'Relacion '!$E$5:$E$493,0),0))</f>
        <v>46130</v>
      </c>
      <c r="H158" s="248" t="e">
        <f>_xlfn.XLOOKUP(B158, 'Plan de Trabajo'!$B$2:$B$1802, 'Plan de Trabajo'!$H$2:$H$1802)</f>
        <v>#REF!</v>
      </c>
      <c r="I158" s="248">
        <f ca="1">_xlfn.XLOOKUP(B158, 'Plan de Trabajo'!$B$2:$B$1802, 'Plan de Trabajo'!$I$2:$I$1802)</f>
        <v>1</v>
      </c>
      <c r="J158" s="249" t="str">
        <f>IF(ISNUMBER(SEARCH("Rocha", _xlfn.XLOOKUP(B158,'Relacion '!$E:$E,'Relacion '!$I:$I,""))), "Sí", "No")</f>
        <v>No</v>
      </c>
      <c r="K158" s="249" t="str">
        <f>IF(ISNUMBER(SEARCH("Rocha", _xlfn.XLOOKUP(B158,'Relacion '!$E:$E,'Relacion '!$I:$I,""))), "RMC", _xlfn.XLOOKUP(B158,'Relacion '!$E:$E,'Relacion '!$B:$B,""))</f>
        <v>Producto</v>
      </c>
      <c r="L158" s="249" t="str">
        <f>_xlfn.XLOOKUP(B158,'Relacion '!$E:$E,'Relacion '!$C:$C,"")</f>
        <v>Claudia Barroso</v>
      </c>
    </row>
    <row r="159" spans="2:12">
      <c r="B159" s="245" t="s">
        <v>584</v>
      </c>
      <c r="C159" s="137" t="s">
        <v>578</v>
      </c>
      <c r="D159" s="249" t="str">
        <f>_xlfn.XLOOKUP(B159,'Relacion '!$E:$E,'Relacion '!$D:$D,"")</f>
        <v>06. BW-EJECUCION</v>
      </c>
      <c r="E159" s="246">
        <f t="shared" si="2"/>
        <v>471</v>
      </c>
      <c r="F159" s="247" cm="1">
        <f t="array" ref="F159">MIN(INDEX('Relacion '!$X$5:$AM$493,MATCH(INDEX($B:$B, (ROW()-0)),'Relacion '!$E$5:$E$493,0),0))</f>
        <v>45659</v>
      </c>
      <c r="G159" s="247" cm="1">
        <f t="array" ref="G159">MAX(INDEX('Relacion '!$X$5:$AM$493,MATCH(INDEX($B:$B, (ROW()-0)),'Relacion '!$E$5:$E$493,0),0))</f>
        <v>46130</v>
      </c>
      <c r="H159" s="248" t="e">
        <f>_xlfn.XLOOKUP(B159, 'Plan de Trabajo'!$B$2:$B$1802, 'Plan de Trabajo'!$H$2:$H$1802)</f>
        <v>#REF!</v>
      </c>
      <c r="I159" s="248">
        <f ca="1">_xlfn.XLOOKUP(B159, 'Plan de Trabajo'!$B$2:$B$1802, 'Plan de Trabajo'!$I$2:$I$1802)</f>
        <v>1</v>
      </c>
      <c r="J159" s="249" t="str">
        <f>IF(ISNUMBER(SEARCH("Rocha", _xlfn.XLOOKUP(B159,'Relacion '!$E:$E,'Relacion '!$I:$I,""))), "Sí", "No")</f>
        <v>No</v>
      </c>
      <c r="K159" s="249" t="str">
        <f>IF(ISNUMBER(SEARCH("Rocha", _xlfn.XLOOKUP(B159,'Relacion '!$E:$E,'Relacion '!$I:$I,""))), "RMC", _xlfn.XLOOKUP(B159,'Relacion '!$E:$E,'Relacion '!$B:$B,""))</f>
        <v>Producto</v>
      </c>
      <c r="L159" s="249" t="str">
        <f>_xlfn.XLOOKUP(B159,'Relacion '!$E:$E,'Relacion '!$C:$C,"")</f>
        <v>Claudia Barroso</v>
      </c>
    </row>
    <row r="160" spans="2:12">
      <c r="B160" s="245" t="s">
        <v>585</v>
      </c>
      <c r="C160" s="137" t="s">
        <v>578</v>
      </c>
      <c r="D160" s="249" t="str">
        <f>_xlfn.XLOOKUP(B160,'Relacion '!$E:$E,'Relacion '!$D:$D,"")</f>
        <v>06. BW-EJECUCION</v>
      </c>
      <c r="E160" s="246">
        <f t="shared" si="2"/>
        <v>471</v>
      </c>
      <c r="F160" s="247" cm="1">
        <f t="array" ref="F160">MIN(INDEX('Relacion '!$X$5:$AM$493,MATCH(INDEX($B:$B, (ROW()-0)),'Relacion '!$E$5:$E$493,0),0))</f>
        <v>45659</v>
      </c>
      <c r="G160" s="247" cm="1">
        <f t="array" ref="G160">MAX(INDEX('Relacion '!$X$5:$AM$493,MATCH(INDEX($B:$B, (ROW()-0)),'Relacion '!$E$5:$E$493,0),0))</f>
        <v>46130</v>
      </c>
      <c r="H160" s="248" t="e">
        <f>_xlfn.XLOOKUP(B160, 'Plan de Trabajo'!$B$2:$B$1802, 'Plan de Trabajo'!$H$2:$H$1802)</f>
        <v>#REF!</v>
      </c>
      <c r="I160" s="248">
        <f ca="1">_xlfn.XLOOKUP(B160, 'Plan de Trabajo'!$B$2:$B$1802, 'Plan de Trabajo'!$I$2:$I$1802)</f>
        <v>1</v>
      </c>
      <c r="J160" s="249" t="str">
        <f>IF(ISNUMBER(SEARCH("Rocha", _xlfn.XLOOKUP(B160,'Relacion '!$E:$E,'Relacion '!$I:$I,""))), "Sí", "No")</f>
        <v>No</v>
      </c>
      <c r="K160" s="249" t="str">
        <f>IF(ISNUMBER(SEARCH("Rocha", _xlfn.XLOOKUP(B160,'Relacion '!$E:$E,'Relacion '!$I:$I,""))), "RMC", _xlfn.XLOOKUP(B160,'Relacion '!$E:$E,'Relacion '!$B:$B,""))</f>
        <v>Producto</v>
      </c>
      <c r="L160" s="249" t="str">
        <f>_xlfn.XLOOKUP(B160,'Relacion '!$E:$E,'Relacion '!$C:$C,"")</f>
        <v>Claudia Barroso</v>
      </c>
    </row>
    <row r="161" spans="2:12">
      <c r="B161" s="245" t="s">
        <v>586</v>
      </c>
      <c r="C161" s="137" t="s">
        <v>578</v>
      </c>
      <c r="D161" s="249" t="str">
        <f>_xlfn.XLOOKUP(B161,'Relacion '!$E:$E,'Relacion '!$D:$D,"")</f>
        <v>06. BW-EJECUCION</v>
      </c>
      <c r="E161" s="246">
        <f t="shared" si="2"/>
        <v>471</v>
      </c>
      <c r="F161" s="247" cm="1">
        <f t="array" ref="F161">MIN(INDEX('Relacion '!$X$5:$AM$493,MATCH(INDEX($B:$B, (ROW()-0)),'Relacion '!$E$5:$E$493,0),0))</f>
        <v>45659</v>
      </c>
      <c r="G161" s="247" cm="1">
        <f t="array" ref="G161">MAX(INDEX('Relacion '!$X$5:$AM$493,MATCH(INDEX($B:$B, (ROW()-0)),'Relacion '!$E$5:$E$493,0),0))</f>
        <v>46130</v>
      </c>
      <c r="H161" s="248" t="e">
        <f>_xlfn.XLOOKUP(B161, 'Plan de Trabajo'!$B$2:$B$1802, 'Plan de Trabajo'!$H$2:$H$1802)</f>
        <v>#REF!</v>
      </c>
      <c r="I161" s="248">
        <f ca="1">_xlfn.XLOOKUP(B161, 'Plan de Trabajo'!$B$2:$B$1802, 'Plan de Trabajo'!$I$2:$I$1802)</f>
        <v>1</v>
      </c>
      <c r="J161" s="249" t="str">
        <f>IF(ISNUMBER(SEARCH("Rocha", _xlfn.XLOOKUP(B161,'Relacion '!$E:$E,'Relacion '!$I:$I,""))), "Sí", "No")</f>
        <v>No</v>
      </c>
      <c r="K161" s="249" t="str">
        <f>IF(ISNUMBER(SEARCH("Rocha", _xlfn.XLOOKUP(B161,'Relacion '!$E:$E,'Relacion '!$I:$I,""))), "RMC", _xlfn.XLOOKUP(B161,'Relacion '!$E:$E,'Relacion '!$B:$B,""))</f>
        <v>Producto</v>
      </c>
      <c r="L161" s="249" t="str">
        <f>_xlfn.XLOOKUP(B161,'Relacion '!$E:$E,'Relacion '!$C:$C,"")</f>
        <v>Claudia Barroso</v>
      </c>
    </row>
    <row r="162" spans="2:12">
      <c r="B162" s="245" t="s">
        <v>587</v>
      </c>
      <c r="C162" s="137" t="s">
        <v>578</v>
      </c>
      <c r="D162" s="249" t="str">
        <f>_xlfn.XLOOKUP(B162,'Relacion '!$E:$E,'Relacion '!$D:$D,"")</f>
        <v>06. BW-EJECUCION</v>
      </c>
      <c r="E162" s="246">
        <f t="shared" si="2"/>
        <v>471</v>
      </c>
      <c r="F162" s="247" cm="1">
        <f t="array" ref="F162">MIN(INDEX('Relacion '!$X$5:$AM$493,MATCH(INDEX($B:$B, (ROW()-0)),'Relacion '!$E$5:$E$493,0),0))</f>
        <v>45659</v>
      </c>
      <c r="G162" s="247" cm="1">
        <f t="array" ref="G162">MAX(INDEX('Relacion '!$X$5:$AM$493,MATCH(INDEX($B:$B, (ROW()-0)),'Relacion '!$E$5:$E$493,0),0))</f>
        <v>46130</v>
      </c>
      <c r="H162" s="248" t="e">
        <f>_xlfn.XLOOKUP(B162, 'Plan de Trabajo'!$B$2:$B$1802, 'Plan de Trabajo'!$H$2:$H$1802)</f>
        <v>#REF!</v>
      </c>
      <c r="I162" s="248">
        <f ca="1">_xlfn.XLOOKUP(B162, 'Plan de Trabajo'!$B$2:$B$1802, 'Plan de Trabajo'!$I$2:$I$1802)</f>
        <v>1</v>
      </c>
      <c r="J162" s="249" t="str">
        <f>IF(ISNUMBER(SEARCH("Rocha", _xlfn.XLOOKUP(B162,'Relacion '!$E:$E,'Relacion '!$I:$I,""))), "Sí", "No")</f>
        <v>No</v>
      </c>
      <c r="K162" s="249" t="str">
        <f>IF(ISNUMBER(SEARCH("Rocha", _xlfn.XLOOKUP(B162,'Relacion '!$E:$E,'Relacion '!$I:$I,""))), "RMC", _xlfn.XLOOKUP(B162,'Relacion '!$E:$E,'Relacion '!$B:$B,""))</f>
        <v>Producto</v>
      </c>
      <c r="L162" s="249" t="str">
        <f>_xlfn.XLOOKUP(B162,'Relacion '!$E:$E,'Relacion '!$C:$C,"")</f>
        <v>Claudia Barroso</v>
      </c>
    </row>
    <row r="163" spans="2:12">
      <c r="B163" s="245" t="s">
        <v>588</v>
      </c>
      <c r="C163" s="137" t="s">
        <v>578</v>
      </c>
      <c r="D163" s="249" t="str">
        <f>_xlfn.XLOOKUP(B163,'Relacion '!$E:$E,'Relacion '!$D:$D,"")</f>
        <v>06. BW-EJECUCION</v>
      </c>
      <c r="E163" s="246">
        <f t="shared" si="2"/>
        <v>471</v>
      </c>
      <c r="F163" s="247" cm="1">
        <f t="array" ref="F163">MIN(INDEX('Relacion '!$X$5:$AM$493,MATCH(INDEX($B:$B, (ROW()-0)),'Relacion '!$E$5:$E$493,0),0))</f>
        <v>45659</v>
      </c>
      <c r="G163" s="247" cm="1">
        <f t="array" ref="G163">MAX(INDEX('Relacion '!$X$5:$AM$493,MATCH(INDEX($B:$B, (ROW()-0)),'Relacion '!$E$5:$E$493,0),0))</f>
        <v>46130</v>
      </c>
      <c r="H163" s="248" t="e">
        <f>_xlfn.XLOOKUP(B163, 'Plan de Trabajo'!$B$2:$B$1802, 'Plan de Trabajo'!$H$2:$H$1802)</f>
        <v>#REF!</v>
      </c>
      <c r="I163" s="248">
        <f ca="1">_xlfn.XLOOKUP(B163, 'Plan de Trabajo'!$B$2:$B$1802, 'Plan de Trabajo'!$I$2:$I$1802)</f>
        <v>1</v>
      </c>
      <c r="J163" s="249" t="str">
        <f>IF(ISNUMBER(SEARCH("Rocha", _xlfn.XLOOKUP(B163,'Relacion '!$E:$E,'Relacion '!$I:$I,""))), "Sí", "No")</f>
        <v>No</v>
      </c>
      <c r="K163" s="249" t="str">
        <f>IF(ISNUMBER(SEARCH("Rocha", _xlfn.XLOOKUP(B163,'Relacion '!$E:$E,'Relacion '!$I:$I,""))), "RMC", _xlfn.XLOOKUP(B163,'Relacion '!$E:$E,'Relacion '!$B:$B,""))</f>
        <v>Producto</v>
      </c>
      <c r="L163" s="249" t="str">
        <f>_xlfn.XLOOKUP(B163,'Relacion '!$E:$E,'Relacion '!$C:$C,"")</f>
        <v>Claudia Barroso</v>
      </c>
    </row>
    <row r="164" spans="2:12">
      <c r="B164" s="245" t="s">
        <v>589</v>
      </c>
      <c r="C164" s="137" t="s">
        <v>590</v>
      </c>
      <c r="D164" s="249" t="str">
        <f>_xlfn.XLOOKUP(B164,'Relacion '!$E:$E,'Relacion '!$D:$D,"")</f>
        <v>06. BW-EJECUCION</v>
      </c>
      <c r="E164" s="246">
        <f t="shared" si="2"/>
        <v>471</v>
      </c>
      <c r="F164" s="247" cm="1">
        <f t="array" ref="F164">MIN(INDEX('Relacion '!$X$5:$AM$493,MATCH(INDEX($B:$B, (ROW()-0)),'Relacion '!$E$5:$E$493,0),0))</f>
        <v>45659</v>
      </c>
      <c r="G164" s="247" cm="1">
        <f t="array" ref="G164">MAX(INDEX('Relacion '!$X$5:$AM$493,MATCH(INDEX($B:$B, (ROW()-0)),'Relacion '!$E$5:$E$493,0),0))</f>
        <v>46130</v>
      </c>
      <c r="H164" s="248" t="e">
        <f>_xlfn.XLOOKUP(B164, 'Plan de Trabajo'!$B$2:$B$1802, 'Plan de Trabajo'!$H$2:$H$1802)</f>
        <v>#REF!</v>
      </c>
      <c r="I164" s="248">
        <f ca="1">_xlfn.XLOOKUP(B164, 'Plan de Trabajo'!$B$2:$B$1802, 'Plan de Trabajo'!$I$2:$I$1802)</f>
        <v>1</v>
      </c>
      <c r="J164" s="249" t="str">
        <f>IF(ISNUMBER(SEARCH("Rocha", _xlfn.XLOOKUP(B164,'Relacion '!$E:$E,'Relacion '!$I:$I,""))), "Sí", "No")</f>
        <v>No</v>
      </c>
      <c r="K164" s="249" t="str">
        <f>IF(ISNUMBER(SEARCH("Rocha", _xlfn.XLOOKUP(B164,'Relacion '!$E:$E,'Relacion '!$I:$I,""))), "RMC", _xlfn.XLOOKUP(B164,'Relacion '!$E:$E,'Relacion '!$B:$B,""))</f>
        <v>Producto</v>
      </c>
      <c r="L164" s="249" t="str">
        <f>_xlfn.XLOOKUP(B164,'Relacion '!$E:$E,'Relacion '!$C:$C,"")</f>
        <v>Claudia Barroso</v>
      </c>
    </row>
    <row r="165" spans="2:12">
      <c r="B165" s="245" t="s">
        <v>591</v>
      </c>
      <c r="C165" s="137" t="s">
        <v>590</v>
      </c>
      <c r="D165" s="249" t="str">
        <f>_xlfn.XLOOKUP(B165,'Relacion '!$E:$E,'Relacion '!$D:$D,"")</f>
        <v>06. BW-EJECUCION</v>
      </c>
      <c r="E165" s="246">
        <f t="shared" si="2"/>
        <v>471</v>
      </c>
      <c r="F165" s="247" cm="1">
        <f t="array" ref="F165">MIN(INDEX('Relacion '!$X$5:$AM$493,MATCH(INDEX($B:$B, (ROW()-0)),'Relacion '!$E$5:$E$493,0),0))</f>
        <v>45659</v>
      </c>
      <c r="G165" s="247" cm="1">
        <f t="array" ref="G165">MAX(INDEX('Relacion '!$X$5:$AM$493,MATCH(INDEX($B:$B, (ROW()-0)),'Relacion '!$E$5:$E$493,0),0))</f>
        <v>46130</v>
      </c>
      <c r="H165" s="248" t="e">
        <f>_xlfn.XLOOKUP(B165, 'Plan de Trabajo'!$B$2:$B$1802, 'Plan de Trabajo'!$H$2:$H$1802)</f>
        <v>#REF!</v>
      </c>
      <c r="I165" s="248">
        <f ca="1">_xlfn.XLOOKUP(B165, 'Plan de Trabajo'!$B$2:$B$1802, 'Plan de Trabajo'!$I$2:$I$1802)</f>
        <v>1</v>
      </c>
      <c r="J165" s="249" t="str">
        <f>IF(ISNUMBER(SEARCH("Rocha", _xlfn.XLOOKUP(B165,'Relacion '!$E:$E,'Relacion '!$I:$I,""))), "Sí", "No")</f>
        <v>No</v>
      </c>
      <c r="K165" s="249" t="str">
        <f>IF(ISNUMBER(SEARCH("Rocha", _xlfn.XLOOKUP(B165,'Relacion '!$E:$E,'Relacion '!$I:$I,""))), "RMC", _xlfn.XLOOKUP(B165,'Relacion '!$E:$E,'Relacion '!$B:$B,""))</f>
        <v>Producto</v>
      </c>
      <c r="L165" s="249" t="str">
        <f>_xlfn.XLOOKUP(B165,'Relacion '!$E:$E,'Relacion '!$C:$C,"")</f>
        <v>Claudia Barroso</v>
      </c>
    </row>
    <row r="166" spans="2:12">
      <c r="B166" s="245" t="s">
        <v>592</v>
      </c>
      <c r="C166" s="137" t="s">
        <v>590</v>
      </c>
      <c r="D166" s="249" t="str">
        <f>_xlfn.XLOOKUP(B166,'Relacion '!$E:$E,'Relacion '!$D:$D,"")</f>
        <v>06. BW-EJECUCION</v>
      </c>
      <c r="E166" s="246">
        <f t="shared" si="2"/>
        <v>471</v>
      </c>
      <c r="F166" s="247" cm="1">
        <f t="array" ref="F166">MIN(INDEX('Relacion '!$X$5:$AM$493,MATCH(INDEX($B:$B, (ROW()-0)),'Relacion '!$E$5:$E$493,0),0))</f>
        <v>45659</v>
      </c>
      <c r="G166" s="247" cm="1">
        <f t="array" ref="G166">MAX(INDEX('Relacion '!$X$5:$AM$493,MATCH(INDEX($B:$B, (ROW()-0)),'Relacion '!$E$5:$E$493,0),0))</f>
        <v>46130</v>
      </c>
      <c r="H166" s="248" t="e">
        <f>_xlfn.XLOOKUP(B166, 'Plan de Trabajo'!$B$2:$B$1802, 'Plan de Trabajo'!$H$2:$H$1802)</f>
        <v>#REF!</v>
      </c>
      <c r="I166" s="248">
        <f ca="1">_xlfn.XLOOKUP(B166, 'Plan de Trabajo'!$B$2:$B$1802, 'Plan de Trabajo'!$I$2:$I$1802)</f>
        <v>1</v>
      </c>
      <c r="J166" s="249" t="str">
        <f>IF(ISNUMBER(SEARCH("Rocha", _xlfn.XLOOKUP(B166,'Relacion '!$E:$E,'Relacion '!$I:$I,""))), "Sí", "No")</f>
        <v>No</v>
      </c>
      <c r="K166" s="249" t="str">
        <f>IF(ISNUMBER(SEARCH("Rocha", _xlfn.XLOOKUP(B166,'Relacion '!$E:$E,'Relacion '!$I:$I,""))), "RMC", _xlfn.XLOOKUP(B166,'Relacion '!$E:$E,'Relacion '!$B:$B,""))</f>
        <v>Producto</v>
      </c>
      <c r="L166" s="249" t="str">
        <f>_xlfn.XLOOKUP(B166,'Relacion '!$E:$E,'Relacion '!$C:$C,"")</f>
        <v>Claudia Barroso</v>
      </c>
    </row>
    <row r="167" spans="2:12">
      <c r="B167" s="245" t="s">
        <v>593</v>
      </c>
      <c r="C167" s="137" t="s">
        <v>590</v>
      </c>
      <c r="D167" s="249" t="str">
        <f>_xlfn.XLOOKUP(B167,'Relacion '!$E:$E,'Relacion '!$D:$D,"")</f>
        <v>06. BW-EJECUCION</v>
      </c>
      <c r="E167" s="246">
        <f t="shared" si="2"/>
        <v>471</v>
      </c>
      <c r="F167" s="247" cm="1">
        <f t="array" ref="F167">MIN(INDEX('Relacion '!$X$5:$AM$493,MATCH(INDEX($B:$B, (ROW()-0)),'Relacion '!$E$5:$E$493,0),0))</f>
        <v>45659</v>
      </c>
      <c r="G167" s="247" cm="1">
        <f t="array" ref="G167">MAX(INDEX('Relacion '!$X$5:$AM$493,MATCH(INDEX($B:$B, (ROW()-0)),'Relacion '!$E$5:$E$493,0),0))</f>
        <v>46130</v>
      </c>
      <c r="H167" s="248" t="e">
        <f>_xlfn.XLOOKUP(B167, 'Plan de Trabajo'!$B$2:$B$1802, 'Plan de Trabajo'!$H$2:$H$1802)</f>
        <v>#REF!</v>
      </c>
      <c r="I167" s="248">
        <f ca="1">_xlfn.XLOOKUP(B167, 'Plan de Trabajo'!$B$2:$B$1802, 'Plan de Trabajo'!$I$2:$I$1802)</f>
        <v>1</v>
      </c>
      <c r="J167" s="249" t="str">
        <f>IF(ISNUMBER(SEARCH("Rocha", _xlfn.XLOOKUP(B167,'Relacion '!$E:$E,'Relacion '!$I:$I,""))), "Sí", "No")</f>
        <v>No</v>
      </c>
      <c r="K167" s="249" t="str">
        <f>IF(ISNUMBER(SEARCH("Rocha", _xlfn.XLOOKUP(B167,'Relacion '!$E:$E,'Relacion '!$I:$I,""))), "RMC", _xlfn.XLOOKUP(B167,'Relacion '!$E:$E,'Relacion '!$B:$B,""))</f>
        <v>Producto</v>
      </c>
      <c r="L167" s="249" t="str">
        <f>_xlfn.XLOOKUP(B167,'Relacion '!$E:$E,'Relacion '!$C:$C,"")</f>
        <v>Claudia Barroso</v>
      </c>
    </row>
    <row r="168" spans="2:12">
      <c r="B168" s="245" t="s">
        <v>594</v>
      </c>
      <c r="C168" s="137" t="s">
        <v>590</v>
      </c>
      <c r="D168" s="249" t="str">
        <f>_xlfn.XLOOKUP(B168,'Relacion '!$E:$E,'Relacion '!$D:$D,"")</f>
        <v>06. BW-EJECUCION</v>
      </c>
      <c r="E168" s="246">
        <f t="shared" si="2"/>
        <v>471</v>
      </c>
      <c r="F168" s="247" cm="1">
        <f t="array" ref="F168">MIN(INDEX('Relacion '!$X$5:$AM$493,MATCH(INDEX($B:$B, (ROW()-0)),'Relacion '!$E$5:$E$493,0),0))</f>
        <v>45659</v>
      </c>
      <c r="G168" s="247" cm="1">
        <f t="array" ref="G168">MAX(INDEX('Relacion '!$X$5:$AM$493,MATCH(INDEX($B:$B, (ROW()-0)),'Relacion '!$E$5:$E$493,0),0))</f>
        <v>46130</v>
      </c>
      <c r="H168" s="248" t="e">
        <f>_xlfn.XLOOKUP(B168, 'Plan de Trabajo'!$B$2:$B$1802, 'Plan de Trabajo'!$H$2:$H$1802)</f>
        <v>#REF!</v>
      </c>
      <c r="I168" s="248">
        <f ca="1">_xlfn.XLOOKUP(B168, 'Plan de Trabajo'!$B$2:$B$1802, 'Plan de Trabajo'!$I$2:$I$1802)</f>
        <v>1</v>
      </c>
      <c r="J168" s="249" t="str">
        <f>IF(ISNUMBER(SEARCH("Rocha", _xlfn.XLOOKUP(B168,'Relacion '!$E:$E,'Relacion '!$I:$I,""))), "Sí", "No")</f>
        <v>No</v>
      </c>
      <c r="K168" s="249" t="str">
        <f>IF(ISNUMBER(SEARCH("Rocha", _xlfn.XLOOKUP(B168,'Relacion '!$E:$E,'Relacion '!$I:$I,""))), "RMC", _xlfn.XLOOKUP(B168,'Relacion '!$E:$E,'Relacion '!$B:$B,""))</f>
        <v>Producto</v>
      </c>
      <c r="L168" s="249" t="str">
        <f>_xlfn.XLOOKUP(B168,'Relacion '!$E:$E,'Relacion '!$C:$C,"")</f>
        <v>Claudia Barroso</v>
      </c>
    </row>
    <row r="169" spans="2:12">
      <c r="B169" s="245" t="s">
        <v>595</v>
      </c>
      <c r="C169" s="137" t="s">
        <v>590</v>
      </c>
      <c r="D169" s="249" t="str">
        <f>_xlfn.XLOOKUP(B169,'Relacion '!$E:$E,'Relacion '!$D:$D,"")</f>
        <v>06. BW-EJECUCION</v>
      </c>
      <c r="E169" s="246">
        <f t="shared" si="2"/>
        <v>471</v>
      </c>
      <c r="F169" s="247" cm="1">
        <f t="array" ref="F169">MIN(INDEX('Relacion '!$X$5:$AM$493,MATCH(INDEX($B:$B, (ROW()-0)),'Relacion '!$E$5:$E$493,0),0))</f>
        <v>45659</v>
      </c>
      <c r="G169" s="247" cm="1">
        <f t="array" ref="G169">MAX(INDEX('Relacion '!$X$5:$AM$493,MATCH(INDEX($B:$B, (ROW()-0)),'Relacion '!$E$5:$E$493,0),0))</f>
        <v>46130</v>
      </c>
      <c r="H169" s="248" t="e">
        <f>_xlfn.XLOOKUP(B169, 'Plan de Trabajo'!$B$2:$B$1802, 'Plan de Trabajo'!$H$2:$H$1802)</f>
        <v>#REF!</v>
      </c>
      <c r="I169" s="248">
        <f ca="1">_xlfn.XLOOKUP(B169, 'Plan de Trabajo'!$B$2:$B$1802, 'Plan de Trabajo'!$I$2:$I$1802)</f>
        <v>1</v>
      </c>
      <c r="J169" s="249" t="str">
        <f>IF(ISNUMBER(SEARCH("Rocha", _xlfn.XLOOKUP(B169,'Relacion '!$E:$E,'Relacion '!$I:$I,""))), "Sí", "No")</f>
        <v>No</v>
      </c>
      <c r="K169" s="249" t="str">
        <f>IF(ISNUMBER(SEARCH("Rocha", _xlfn.XLOOKUP(B169,'Relacion '!$E:$E,'Relacion '!$I:$I,""))), "RMC", _xlfn.XLOOKUP(B169,'Relacion '!$E:$E,'Relacion '!$B:$B,""))</f>
        <v>Producto</v>
      </c>
      <c r="L169" s="249" t="str">
        <f>_xlfn.XLOOKUP(B169,'Relacion '!$E:$E,'Relacion '!$C:$C,"")</f>
        <v>Claudia Barroso</v>
      </c>
    </row>
    <row r="170" spans="2:12">
      <c r="B170" s="245" t="s">
        <v>596</v>
      </c>
      <c r="C170" s="137" t="s">
        <v>590</v>
      </c>
      <c r="D170" s="249" t="str">
        <f>_xlfn.XLOOKUP(B170,'Relacion '!$E:$E,'Relacion '!$D:$D,"")</f>
        <v>06. BW-EJECUCION</v>
      </c>
      <c r="E170" s="246">
        <f t="shared" si="2"/>
        <v>471</v>
      </c>
      <c r="F170" s="247" cm="1">
        <f t="array" ref="F170">MIN(INDEX('Relacion '!$X$5:$AM$493,MATCH(INDEX($B:$B, (ROW()-0)),'Relacion '!$E$5:$E$493,0),0))</f>
        <v>45659</v>
      </c>
      <c r="G170" s="247" cm="1">
        <f t="array" ref="G170">MAX(INDEX('Relacion '!$X$5:$AM$493,MATCH(INDEX($B:$B, (ROW()-0)),'Relacion '!$E$5:$E$493,0),0))</f>
        <v>46130</v>
      </c>
      <c r="H170" s="248" t="e">
        <f>_xlfn.XLOOKUP(B170, 'Plan de Trabajo'!$B$2:$B$1802, 'Plan de Trabajo'!$H$2:$H$1802)</f>
        <v>#REF!</v>
      </c>
      <c r="I170" s="248">
        <f ca="1">_xlfn.XLOOKUP(B170, 'Plan de Trabajo'!$B$2:$B$1802, 'Plan de Trabajo'!$I$2:$I$1802)</f>
        <v>1</v>
      </c>
      <c r="J170" s="249" t="str">
        <f>IF(ISNUMBER(SEARCH("Rocha", _xlfn.XLOOKUP(B170,'Relacion '!$E:$E,'Relacion '!$I:$I,""))), "Sí", "No")</f>
        <v>No</v>
      </c>
      <c r="K170" s="249" t="str">
        <f>IF(ISNUMBER(SEARCH("Rocha", _xlfn.XLOOKUP(B170,'Relacion '!$E:$E,'Relacion '!$I:$I,""))), "RMC", _xlfn.XLOOKUP(B170,'Relacion '!$E:$E,'Relacion '!$B:$B,""))</f>
        <v>Producto</v>
      </c>
      <c r="L170" s="249" t="str">
        <f>_xlfn.XLOOKUP(B170,'Relacion '!$E:$E,'Relacion '!$C:$C,"")</f>
        <v>Claudia Barroso</v>
      </c>
    </row>
    <row r="171" spans="2:12">
      <c r="B171" s="245" t="s">
        <v>597</v>
      </c>
      <c r="C171" s="137" t="s">
        <v>590</v>
      </c>
      <c r="D171" s="249" t="str">
        <f>_xlfn.XLOOKUP(B171,'Relacion '!$E:$E,'Relacion '!$D:$D,"")</f>
        <v>06. BW-EJECUCION</v>
      </c>
      <c r="E171" s="246">
        <f t="shared" si="2"/>
        <v>471</v>
      </c>
      <c r="F171" s="247" cm="1">
        <f t="array" ref="F171">MIN(INDEX('Relacion '!$X$5:$AM$493,MATCH(INDEX($B:$B, (ROW()-0)),'Relacion '!$E$5:$E$493,0),0))</f>
        <v>45659</v>
      </c>
      <c r="G171" s="247" cm="1">
        <f t="array" ref="G171">MAX(INDEX('Relacion '!$X$5:$AM$493,MATCH(INDEX($B:$B, (ROW()-0)),'Relacion '!$E$5:$E$493,0),0))</f>
        <v>46130</v>
      </c>
      <c r="H171" s="248" t="e">
        <f>_xlfn.XLOOKUP(B171, 'Plan de Trabajo'!$B$2:$B$1802, 'Plan de Trabajo'!$H$2:$H$1802)</f>
        <v>#REF!</v>
      </c>
      <c r="I171" s="248">
        <f ca="1">_xlfn.XLOOKUP(B171, 'Plan de Trabajo'!$B$2:$B$1802, 'Plan de Trabajo'!$I$2:$I$1802)</f>
        <v>1</v>
      </c>
      <c r="J171" s="249" t="str">
        <f>IF(ISNUMBER(SEARCH("Rocha", _xlfn.XLOOKUP(B171,'Relacion '!$E:$E,'Relacion '!$I:$I,""))), "Sí", "No")</f>
        <v>No</v>
      </c>
      <c r="K171" s="249" t="str">
        <f>IF(ISNUMBER(SEARCH("Rocha", _xlfn.XLOOKUP(B171,'Relacion '!$E:$E,'Relacion '!$I:$I,""))), "RMC", _xlfn.XLOOKUP(B171,'Relacion '!$E:$E,'Relacion '!$B:$B,""))</f>
        <v>Producto</v>
      </c>
      <c r="L171" s="249" t="str">
        <f>_xlfn.XLOOKUP(B171,'Relacion '!$E:$E,'Relacion '!$C:$C,"")</f>
        <v>Claudia Barroso</v>
      </c>
    </row>
    <row r="172" spans="2:12">
      <c r="B172" s="245" t="s">
        <v>598</v>
      </c>
      <c r="C172" s="137" t="s">
        <v>590</v>
      </c>
      <c r="D172" s="249" t="str">
        <f>_xlfn.XLOOKUP(B172,'Relacion '!$E:$E,'Relacion '!$D:$D,"")</f>
        <v>06. BW-EJECUCION</v>
      </c>
      <c r="E172" s="246">
        <f t="shared" si="2"/>
        <v>471</v>
      </c>
      <c r="F172" s="247" cm="1">
        <f t="array" ref="F172">MIN(INDEX('Relacion '!$X$5:$AM$493,MATCH(INDEX($B:$B, (ROW()-0)),'Relacion '!$E$5:$E$493,0),0))</f>
        <v>45659</v>
      </c>
      <c r="G172" s="247" cm="1">
        <f t="array" ref="G172">MAX(INDEX('Relacion '!$X$5:$AM$493,MATCH(INDEX($B:$B, (ROW()-0)),'Relacion '!$E$5:$E$493,0),0))</f>
        <v>46130</v>
      </c>
      <c r="H172" s="248" t="e">
        <f>_xlfn.XLOOKUP(B172, 'Plan de Trabajo'!$B$2:$B$1802, 'Plan de Trabajo'!$H$2:$H$1802)</f>
        <v>#REF!</v>
      </c>
      <c r="I172" s="248">
        <f ca="1">_xlfn.XLOOKUP(B172, 'Plan de Trabajo'!$B$2:$B$1802, 'Plan de Trabajo'!$I$2:$I$1802)</f>
        <v>1</v>
      </c>
      <c r="J172" s="249" t="str">
        <f>IF(ISNUMBER(SEARCH("Rocha", _xlfn.XLOOKUP(B172,'Relacion '!$E:$E,'Relacion '!$I:$I,""))), "Sí", "No")</f>
        <v>No</v>
      </c>
      <c r="K172" s="249" t="str">
        <f>IF(ISNUMBER(SEARCH("Rocha", _xlfn.XLOOKUP(B172,'Relacion '!$E:$E,'Relacion '!$I:$I,""))), "RMC", _xlfn.XLOOKUP(B172,'Relacion '!$E:$E,'Relacion '!$B:$B,""))</f>
        <v>Producto</v>
      </c>
      <c r="L172" s="249" t="str">
        <f>_xlfn.XLOOKUP(B172,'Relacion '!$E:$E,'Relacion '!$C:$C,"")</f>
        <v>Claudia Barroso</v>
      </c>
    </row>
    <row r="173" spans="2:12">
      <c r="B173" s="245" t="s">
        <v>599</v>
      </c>
      <c r="C173" s="137" t="s">
        <v>590</v>
      </c>
      <c r="D173" s="249" t="str">
        <f>_xlfn.XLOOKUP(B173,'Relacion '!$E:$E,'Relacion '!$D:$D,"")</f>
        <v>06. BW-EJECUCION</v>
      </c>
      <c r="E173" s="246">
        <f t="shared" si="2"/>
        <v>471</v>
      </c>
      <c r="F173" s="247" cm="1">
        <f t="array" ref="F173">MIN(INDEX('Relacion '!$X$5:$AM$493,MATCH(INDEX($B:$B, (ROW()-0)),'Relacion '!$E$5:$E$493,0),0))</f>
        <v>45659</v>
      </c>
      <c r="G173" s="247" cm="1">
        <f t="array" ref="G173">MAX(INDEX('Relacion '!$X$5:$AM$493,MATCH(INDEX($B:$B, (ROW()-0)),'Relacion '!$E$5:$E$493,0),0))</f>
        <v>46130</v>
      </c>
      <c r="H173" s="248" t="e">
        <f>_xlfn.XLOOKUP(B173, 'Plan de Trabajo'!$B$2:$B$1802, 'Plan de Trabajo'!$H$2:$H$1802)</f>
        <v>#REF!</v>
      </c>
      <c r="I173" s="248">
        <f ca="1">_xlfn.XLOOKUP(B173, 'Plan de Trabajo'!$B$2:$B$1802, 'Plan de Trabajo'!$I$2:$I$1802)</f>
        <v>1</v>
      </c>
      <c r="J173" s="249" t="str">
        <f>IF(ISNUMBER(SEARCH("Rocha", _xlfn.XLOOKUP(B173,'Relacion '!$E:$E,'Relacion '!$I:$I,""))), "Sí", "No")</f>
        <v>No</v>
      </c>
      <c r="K173" s="249" t="str">
        <f>IF(ISNUMBER(SEARCH("Rocha", _xlfn.XLOOKUP(B173,'Relacion '!$E:$E,'Relacion '!$I:$I,""))), "RMC", _xlfn.XLOOKUP(B173,'Relacion '!$E:$E,'Relacion '!$B:$B,""))</f>
        <v>Producto</v>
      </c>
      <c r="L173" s="249" t="str">
        <f>_xlfn.XLOOKUP(B173,'Relacion '!$E:$E,'Relacion '!$C:$C,"")</f>
        <v>Claudia Barroso</v>
      </c>
    </row>
    <row r="174" spans="2:12">
      <c r="B174" s="245" t="s">
        <v>600</v>
      </c>
      <c r="C174" s="137" t="s">
        <v>601</v>
      </c>
      <c r="D174" s="249" t="str">
        <f>_xlfn.XLOOKUP(B174,'Relacion '!$E:$E,'Relacion '!$D:$D,"")</f>
        <v>06. BW-EJECUCION</v>
      </c>
      <c r="E174" s="246">
        <f t="shared" si="2"/>
        <v>471</v>
      </c>
      <c r="F174" s="247" cm="1">
        <f t="array" ref="F174">MIN(INDEX('Relacion '!$X$5:$AM$493,MATCH(INDEX($B:$B, (ROW()-0)),'Relacion '!$E$5:$E$493,0),0))</f>
        <v>45659</v>
      </c>
      <c r="G174" s="247" cm="1">
        <f t="array" ref="G174">MAX(INDEX('Relacion '!$X$5:$AM$493,MATCH(INDEX($B:$B, (ROW()-0)),'Relacion '!$E$5:$E$493,0),0))</f>
        <v>46130</v>
      </c>
      <c r="H174" s="248" t="e">
        <f>_xlfn.XLOOKUP(B174, 'Plan de Trabajo'!$B$2:$B$1802, 'Plan de Trabajo'!$H$2:$H$1802)</f>
        <v>#REF!</v>
      </c>
      <c r="I174" s="248">
        <f ca="1">_xlfn.XLOOKUP(B174, 'Plan de Trabajo'!$B$2:$B$1802, 'Plan de Trabajo'!$I$2:$I$1802)</f>
        <v>1</v>
      </c>
      <c r="J174" s="249" t="str">
        <f>IF(ISNUMBER(SEARCH("Rocha", _xlfn.XLOOKUP(B174,'Relacion '!$E:$E,'Relacion '!$I:$I,""))), "Sí", "No")</f>
        <v>No</v>
      </c>
      <c r="K174" s="249" t="str">
        <f>IF(ISNUMBER(SEARCH("Rocha", _xlfn.XLOOKUP(B174,'Relacion '!$E:$E,'Relacion '!$I:$I,""))), "RMC", _xlfn.XLOOKUP(B174,'Relacion '!$E:$E,'Relacion '!$B:$B,""))</f>
        <v>Producto</v>
      </c>
      <c r="L174" s="249" t="str">
        <f>_xlfn.XLOOKUP(B174,'Relacion '!$E:$E,'Relacion '!$C:$C,"")</f>
        <v>Claudia Barroso</v>
      </c>
    </row>
    <row r="175" spans="2:12">
      <c r="B175" s="245" t="s">
        <v>602</v>
      </c>
      <c r="C175" s="137" t="s">
        <v>603</v>
      </c>
      <c r="D175" s="249" t="str">
        <f>_xlfn.XLOOKUP(B175,'Relacion '!$E:$E,'Relacion '!$D:$D,"")</f>
        <v>06. BW-EJECUCION</v>
      </c>
      <c r="E175" s="246">
        <f t="shared" si="2"/>
        <v>471</v>
      </c>
      <c r="F175" s="247" cm="1">
        <f t="array" ref="F175">MIN(INDEX('Relacion '!$X$5:$AM$493,MATCH(INDEX($B:$B, (ROW()-0)),'Relacion '!$E$5:$E$493,0),0))</f>
        <v>45659</v>
      </c>
      <c r="G175" s="247" cm="1">
        <f t="array" ref="G175">MAX(INDEX('Relacion '!$X$5:$AM$493,MATCH(INDEX($B:$B, (ROW()-0)),'Relacion '!$E$5:$E$493,0),0))</f>
        <v>46130</v>
      </c>
      <c r="H175" s="248" t="e">
        <f>_xlfn.XLOOKUP(B175, 'Plan de Trabajo'!$B$2:$B$1802, 'Plan de Trabajo'!$H$2:$H$1802)</f>
        <v>#REF!</v>
      </c>
      <c r="I175" s="248">
        <f ca="1">_xlfn.XLOOKUP(B175, 'Plan de Trabajo'!$B$2:$B$1802, 'Plan de Trabajo'!$I$2:$I$1802)</f>
        <v>1</v>
      </c>
      <c r="J175" s="249" t="str">
        <f>IF(ISNUMBER(SEARCH("Rocha", _xlfn.XLOOKUP(B175,'Relacion '!$E:$E,'Relacion '!$I:$I,""))), "Sí", "No")</f>
        <v>No</v>
      </c>
      <c r="K175" s="249" t="str">
        <f>IF(ISNUMBER(SEARCH("Rocha", _xlfn.XLOOKUP(B175,'Relacion '!$E:$E,'Relacion '!$I:$I,""))), "RMC", _xlfn.XLOOKUP(B175,'Relacion '!$E:$E,'Relacion '!$B:$B,""))</f>
        <v>Producto</v>
      </c>
      <c r="L175" s="249" t="str">
        <f>_xlfn.XLOOKUP(B175,'Relacion '!$E:$E,'Relacion '!$C:$C,"")</f>
        <v>Claudia Barroso</v>
      </c>
    </row>
    <row r="176" spans="2:12">
      <c r="B176" s="245" t="s">
        <v>604</v>
      </c>
      <c r="C176" s="137" t="s">
        <v>605</v>
      </c>
      <c r="D176" s="249" t="str">
        <f>_xlfn.XLOOKUP(B176,'Relacion '!$E:$E,'Relacion '!$D:$D,"")</f>
        <v>06. BW-EJECUCION</v>
      </c>
      <c r="E176" s="246">
        <f t="shared" si="2"/>
        <v>471</v>
      </c>
      <c r="F176" s="247" cm="1">
        <f t="array" ref="F176">MIN(INDEX('Relacion '!$X$5:$AM$493,MATCH(INDEX($B:$B, (ROW()-0)),'Relacion '!$E$5:$E$493,0),0))</f>
        <v>45659</v>
      </c>
      <c r="G176" s="247" cm="1">
        <f t="array" ref="G176">MAX(INDEX('Relacion '!$X$5:$AM$493,MATCH(INDEX($B:$B, (ROW()-0)),'Relacion '!$E$5:$E$493,0),0))</f>
        <v>46130</v>
      </c>
      <c r="H176" s="248" t="e">
        <f>_xlfn.XLOOKUP(B176, 'Plan de Trabajo'!$B$2:$B$1802, 'Plan de Trabajo'!$H$2:$H$1802)</f>
        <v>#REF!</v>
      </c>
      <c r="I176" s="248">
        <f ca="1">_xlfn.XLOOKUP(B176, 'Plan de Trabajo'!$B$2:$B$1802, 'Plan de Trabajo'!$I$2:$I$1802)</f>
        <v>1</v>
      </c>
      <c r="J176" s="249" t="str">
        <f>IF(ISNUMBER(SEARCH("Rocha", _xlfn.XLOOKUP(B176,'Relacion '!$E:$E,'Relacion '!$I:$I,""))), "Sí", "No")</f>
        <v>No</v>
      </c>
      <c r="K176" s="249" t="str">
        <f>IF(ISNUMBER(SEARCH("Rocha", _xlfn.XLOOKUP(B176,'Relacion '!$E:$E,'Relacion '!$I:$I,""))), "RMC", _xlfn.XLOOKUP(B176,'Relacion '!$E:$E,'Relacion '!$B:$B,""))</f>
        <v>Producto</v>
      </c>
      <c r="L176" s="249" t="str">
        <f>_xlfn.XLOOKUP(B176,'Relacion '!$E:$E,'Relacion '!$C:$C,"")</f>
        <v>Claudia Barroso</v>
      </c>
    </row>
    <row r="177" spans="2:12">
      <c r="B177" s="245" t="s">
        <v>606</v>
      </c>
      <c r="C177" s="137" t="s">
        <v>607</v>
      </c>
      <c r="D177" s="249" t="str">
        <f>_xlfn.XLOOKUP(B177,'Relacion '!$E:$E,'Relacion '!$D:$D,"")</f>
        <v>06. BW-EJECUCION</v>
      </c>
      <c r="E177" s="246">
        <f t="shared" si="2"/>
        <v>471</v>
      </c>
      <c r="F177" s="247" cm="1">
        <f t="array" ref="F177">MIN(INDEX('Relacion '!$X$5:$AM$493,MATCH(INDEX($B:$B, (ROW()-0)),'Relacion '!$E$5:$E$493,0),0))</f>
        <v>45659</v>
      </c>
      <c r="G177" s="247" cm="1">
        <f t="array" ref="G177">MAX(INDEX('Relacion '!$X$5:$AM$493,MATCH(INDEX($B:$B, (ROW()-0)),'Relacion '!$E$5:$E$493,0),0))</f>
        <v>46130</v>
      </c>
      <c r="H177" s="248" t="e">
        <f>_xlfn.XLOOKUP(B177, 'Plan de Trabajo'!$B$2:$B$1802, 'Plan de Trabajo'!$H$2:$H$1802)</f>
        <v>#REF!</v>
      </c>
      <c r="I177" s="248">
        <f ca="1">_xlfn.XLOOKUP(B177, 'Plan de Trabajo'!$B$2:$B$1802, 'Plan de Trabajo'!$I$2:$I$1802)</f>
        <v>1</v>
      </c>
      <c r="J177" s="249" t="str">
        <f>IF(ISNUMBER(SEARCH("Rocha", _xlfn.XLOOKUP(B177,'Relacion '!$E:$E,'Relacion '!$I:$I,""))), "Sí", "No")</f>
        <v>No</v>
      </c>
      <c r="K177" s="249" t="str">
        <f>IF(ISNUMBER(SEARCH("Rocha", _xlfn.XLOOKUP(B177,'Relacion '!$E:$E,'Relacion '!$I:$I,""))), "RMC", _xlfn.XLOOKUP(B177,'Relacion '!$E:$E,'Relacion '!$B:$B,""))</f>
        <v>Producto</v>
      </c>
      <c r="L177" s="249" t="str">
        <f>_xlfn.XLOOKUP(B177,'Relacion '!$E:$E,'Relacion '!$C:$C,"")</f>
        <v>Claudia Barroso</v>
      </c>
    </row>
    <row r="178" spans="2:12">
      <c r="B178" s="245" t="s">
        <v>608</v>
      </c>
      <c r="C178" s="137" t="s">
        <v>607</v>
      </c>
      <c r="D178" s="249" t="str">
        <f>_xlfn.XLOOKUP(B178,'Relacion '!$E:$E,'Relacion '!$D:$D,"")</f>
        <v>06. BW-EJECUCION</v>
      </c>
      <c r="E178" s="246">
        <f t="shared" si="2"/>
        <v>471</v>
      </c>
      <c r="F178" s="247" cm="1">
        <f t="array" ref="F178">MIN(INDEX('Relacion '!$X$5:$AM$493,MATCH(INDEX($B:$B, (ROW()-0)),'Relacion '!$E$5:$E$493,0),0))</f>
        <v>45659</v>
      </c>
      <c r="G178" s="247" cm="1">
        <f t="array" ref="G178">MAX(INDEX('Relacion '!$X$5:$AM$493,MATCH(INDEX($B:$B, (ROW()-0)),'Relacion '!$E$5:$E$493,0),0))</f>
        <v>46130</v>
      </c>
      <c r="H178" s="248" t="e">
        <f>_xlfn.XLOOKUP(B178, 'Plan de Trabajo'!$B$2:$B$1802, 'Plan de Trabajo'!$H$2:$H$1802)</f>
        <v>#REF!</v>
      </c>
      <c r="I178" s="248">
        <f ca="1">_xlfn.XLOOKUP(B178, 'Plan de Trabajo'!$B$2:$B$1802, 'Plan de Trabajo'!$I$2:$I$1802)</f>
        <v>1</v>
      </c>
      <c r="J178" s="249" t="str">
        <f>IF(ISNUMBER(SEARCH("Rocha", _xlfn.XLOOKUP(B178,'Relacion '!$E:$E,'Relacion '!$I:$I,""))), "Sí", "No")</f>
        <v>No</v>
      </c>
      <c r="K178" s="249" t="str">
        <f>IF(ISNUMBER(SEARCH("Rocha", _xlfn.XLOOKUP(B178,'Relacion '!$E:$E,'Relacion '!$I:$I,""))), "RMC", _xlfn.XLOOKUP(B178,'Relacion '!$E:$E,'Relacion '!$B:$B,""))</f>
        <v>Producto</v>
      </c>
      <c r="L178" s="249" t="str">
        <f>_xlfn.XLOOKUP(B178,'Relacion '!$E:$E,'Relacion '!$C:$C,"")</f>
        <v>Claudia Barroso</v>
      </c>
    </row>
    <row r="179" spans="2:12">
      <c r="B179" s="245" t="s">
        <v>609</v>
      </c>
      <c r="C179" s="137" t="s">
        <v>607</v>
      </c>
      <c r="D179" s="249" t="str">
        <f>_xlfn.XLOOKUP(B179,'Relacion '!$E:$E,'Relacion '!$D:$D,"")</f>
        <v>06. BW-EJECUCION</v>
      </c>
      <c r="E179" s="246">
        <f t="shared" si="2"/>
        <v>471</v>
      </c>
      <c r="F179" s="247" cm="1">
        <f t="array" ref="F179">MIN(INDEX('Relacion '!$X$5:$AM$493,MATCH(INDEX($B:$B, (ROW()-0)),'Relacion '!$E$5:$E$493,0),0))</f>
        <v>45659</v>
      </c>
      <c r="G179" s="247" cm="1">
        <f t="array" ref="G179">MAX(INDEX('Relacion '!$X$5:$AM$493,MATCH(INDEX($B:$B, (ROW()-0)),'Relacion '!$E$5:$E$493,0),0))</f>
        <v>46130</v>
      </c>
      <c r="H179" s="248" t="e">
        <f>_xlfn.XLOOKUP(B179, 'Plan de Trabajo'!$B$2:$B$1802, 'Plan de Trabajo'!$H$2:$H$1802)</f>
        <v>#REF!</v>
      </c>
      <c r="I179" s="248">
        <f ca="1">_xlfn.XLOOKUP(B179, 'Plan de Trabajo'!$B$2:$B$1802, 'Plan de Trabajo'!$I$2:$I$1802)</f>
        <v>1</v>
      </c>
      <c r="J179" s="249" t="str">
        <f>IF(ISNUMBER(SEARCH("Rocha", _xlfn.XLOOKUP(B179,'Relacion '!$E:$E,'Relacion '!$I:$I,""))), "Sí", "No")</f>
        <v>No</v>
      </c>
      <c r="K179" s="249" t="str">
        <f>IF(ISNUMBER(SEARCH("Rocha", _xlfn.XLOOKUP(B179,'Relacion '!$E:$E,'Relacion '!$I:$I,""))), "RMC", _xlfn.XLOOKUP(B179,'Relacion '!$E:$E,'Relacion '!$B:$B,""))</f>
        <v>Producto</v>
      </c>
      <c r="L179" s="249" t="str">
        <f>_xlfn.XLOOKUP(B179,'Relacion '!$E:$E,'Relacion '!$C:$C,"")</f>
        <v>Claudia Barroso</v>
      </c>
    </row>
    <row r="180" spans="2:12">
      <c r="B180" s="245" t="s">
        <v>610</v>
      </c>
      <c r="C180" s="137" t="s">
        <v>607</v>
      </c>
      <c r="D180" s="249" t="str">
        <f>_xlfn.XLOOKUP(B180,'Relacion '!$E:$E,'Relacion '!$D:$D,"")</f>
        <v>06. BW-EJECUCION</v>
      </c>
      <c r="E180" s="246">
        <f t="shared" si="2"/>
        <v>471</v>
      </c>
      <c r="F180" s="247" cm="1">
        <f t="array" ref="F180">MIN(INDEX('Relacion '!$X$5:$AM$493,MATCH(INDEX($B:$B, (ROW()-0)),'Relacion '!$E$5:$E$493,0),0))</f>
        <v>45659</v>
      </c>
      <c r="G180" s="247" cm="1">
        <f t="array" ref="G180">MAX(INDEX('Relacion '!$X$5:$AM$493,MATCH(INDEX($B:$B, (ROW()-0)),'Relacion '!$E$5:$E$493,0),0))</f>
        <v>46130</v>
      </c>
      <c r="H180" s="248" t="e">
        <f>_xlfn.XLOOKUP(B180, 'Plan de Trabajo'!$B$2:$B$1802, 'Plan de Trabajo'!$H$2:$H$1802)</f>
        <v>#REF!</v>
      </c>
      <c r="I180" s="248">
        <f ca="1">_xlfn.XLOOKUP(B180, 'Plan de Trabajo'!$B$2:$B$1802, 'Plan de Trabajo'!$I$2:$I$1802)</f>
        <v>1</v>
      </c>
      <c r="J180" s="249" t="str">
        <f>IF(ISNUMBER(SEARCH("Rocha", _xlfn.XLOOKUP(B180,'Relacion '!$E:$E,'Relacion '!$I:$I,""))), "Sí", "No")</f>
        <v>No</v>
      </c>
      <c r="K180" s="249" t="str">
        <f>IF(ISNUMBER(SEARCH("Rocha", _xlfn.XLOOKUP(B180,'Relacion '!$E:$E,'Relacion '!$I:$I,""))), "RMC", _xlfn.XLOOKUP(B180,'Relacion '!$E:$E,'Relacion '!$B:$B,""))</f>
        <v>Producto</v>
      </c>
      <c r="L180" s="249" t="str">
        <f>_xlfn.XLOOKUP(B180,'Relacion '!$E:$E,'Relacion '!$C:$C,"")</f>
        <v>Claudia Barroso</v>
      </c>
    </row>
    <row r="181" spans="2:12">
      <c r="B181" s="245" t="s">
        <v>611</v>
      </c>
      <c r="C181" s="137" t="s">
        <v>607</v>
      </c>
      <c r="D181" s="249" t="str">
        <f>_xlfn.XLOOKUP(B181,'Relacion '!$E:$E,'Relacion '!$D:$D,"")</f>
        <v>06. BW-EJECUCION</v>
      </c>
      <c r="E181" s="246">
        <f t="shared" si="2"/>
        <v>471</v>
      </c>
      <c r="F181" s="247" cm="1">
        <f t="array" ref="F181">MIN(INDEX('Relacion '!$X$5:$AM$493,MATCH(INDEX($B:$B, (ROW()-0)),'Relacion '!$E$5:$E$493,0),0))</f>
        <v>45659</v>
      </c>
      <c r="G181" s="247" cm="1">
        <f t="array" ref="G181">MAX(INDEX('Relacion '!$X$5:$AM$493,MATCH(INDEX($B:$B, (ROW()-0)),'Relacion '!$E$5:$E$493,0),0))</f>
        <v>46130</v>
      </c>
      <c r="H181" s="248" t="e">
        <f>_xlfn.XLOOKUP(B181, 'Plan de Trabajo'!$B$2:$B$1802, 'Plan de Trabajo'!$H$2:$H$1802)</f>
        <v>#REF!</v>
      </c>
      <c r="I181" s="248">
        <f ca="1">_xlfn.XLOOKUP(B181, 'Plan de Trabajo'!$B$2:$B$1802, 'Plan de Trabajo'!$I$2:$I$1802)</f>
        <v>1</v>
      </c>
      <c r="J181" s="249" t="str">
        <f>IF(ISNUMBER(SEARCH("Rocha", _xlfn.XLOOKUP(B181,'Relacion '!$E:$E,'Relacion '!$I:$I,""))), "Sí", "No")</f>
        <v>No</v>
      </c>
      <c r="K181" s="249" t="str">
        <f>IF(ISNUMBER(SEARCH("Rocha", _xlfn.XLOOKUP(B181,'Relacion '!$E:$E,'Relacion '!$I:$I,""))), "RMC", _xlfn.XLOOKUP(B181,'Relacion '!$E:$E,'Relacion '!$B:$B,""))</f>
        <v>Producto</v>
      </c>
      <c r="L181" s="249" t="str">
        <f>_xlfn.XLOOKUP(B181,'Relacion '!$E:$E,'Relacion '!$C:$C,"")</f>
        <v>Claudia Barroso</v>
      </c>
    </row>
    <row r="182" spans="2:12">
      <c r="B182" s="245" t="s">
        <v>612</v>
      </c>
      <c r="C182" s="137" t="s">
        <v>607</v>
      </c>
      <c r="D182" s="249" t="str">
        <f>_xlfn.XLOOKUP(B182,'Relacion '!$E:$E,'Relacion '!$D:$D,"")</f>
        <v>06. BW-EJECUCION</v>
      </c>
      <c r="E182" s="246">
        <f t="shared" si="2"/>
        <v>471</v>
      </c>
      <c r="F182" s="247" cm="1">
        <f t="array" ref="F182">MIN(INDEX('Relacion '!$X$5:$AM$493,MATCH(INDEX($B:$B, (ROW()-0)),'Relacion '!$E$5:$E$493,0),0))</f>
        <v>45659</v>
      </c>
      <c r="G182" s="247" cm="1">
        <f t="array" ref="G182">MAX(INDEX('Relacion '!$X$5:$AM$493,MATCH(INDEX($B:$B, (ROW()-0)),'Relacion '!$E$5:$E$493,0),0))</f>
        <v>46130</v>
      </c>
      <c r="H182" s="248" t="e">
        <f>_xlfn.XLOOKUP(B182, 'Plan de Trabajo'!$B$2:$B$1802, 'Plan de Trabajo'!$H$2:$H$1802)</f>
        <v>#REF!</v>
      </c>
      <c r="I182" s="248">
        <f ca="1">_xlfn.XLOOKUP(B182, 'Plan de Trabajo'!$B$2:$B$1802, 'Plan de Trabajo'!$I$2:$I$1802)</f>
        <v>1</v>
      </c>
      <c r="J182" s="249" t="str">
        <f>IF(ISNUMBER(SEARCH("Rocha", _xlfn.XLOOKUP(B182,'Relacion '!$E:$E,'Relacion '!$I:$I,""))), "Sí", "No")</f>
        <v>No</v>
      </c>
      <c r="K182" s="249" t="str">
        <f>IF(ISNUMBER(SEARCH("Rocha", _xlfn.XLOOKUP(B182,'Relacion '!$E:$E,'Relacion '!$I:$I,""))), "RMC", _xlfn.XLOOKUP(B182,'Relacion '!$E:$E,'Relacion '!$B:$B,""))</f>
        <v>Producto</v>
      </c>
      <c r="L182" s="249" t="str">
        <f>_xlfn.XLOOKUP(B182,'Relacion '!$E:$E,'Relacion '!$C:$C,"")</f>
        <v>Claudia Barroso</v>
      </c>
    </row>
    <row r="183" spans="2:12">
      <c r="B183" s="245" t="s">
        <v>613</v>
      </c>
      <c r="C183" s="137" t="s">
        <v>607</v>
      </c>
      <c r="D183" s="249" t="str">
        <f>_xlfn.XLOOKUP(B183,'Relacion '!$E:$E,'Relacion '!$D:$D,"")</f>
        <v>06. BW-EJECUCION</v>
      </c>
      <c r="E183" s="246">
        <f t="shared" si="2"/>
        <v>471</v>
      </c>
      <c r="F183" s="247" cm="1">
        <f t="array" ref="F183">MIN(INDEX('Relacion '!$X$5:$AM$493,MATCH(INDEX($B:$B, (ROW()-0)),'Relacion '!$E$5:$E$493,0),0))</f>
        <v>45659</v>
      </c>
      <c r="G183" s="247" cm="1">
        <f t="array" ref="G183">MAX(INDEX('Relacion '!$X$5:$AM$493,MATCH(INDEX($B:$B, (ROW()-0)),'Relacion '!$E$5:$E$493,0),0))</f>
        <v>46130</v>
      </c>
      <c r="H183" s="248" t="e">
        <f>_xlfn.XLOOKUP(B183, 'Plan de Trabajo'!$B$2:$B$1802, 'Plan de Trabajo'!$H$2:$H$1802)</f>
        <v>#REF!</v>
      </c>
      <c r="I183" s="248">
        <f ca="1">_xlfn.XLOOKUP(B183, 'Plan de Trabajo'!$B$2:$B$1802, 'Plan de Trabajo'!$I$2:$I$1802)</f>
        <v>1</v>
      </c>
      <c r="J183" s="249" t="str">
        <f>IF(ISNUMBER(SEARCH("Rocha", _xlfn.XLOOKUP(B183,'Relacion '!$E:$E,'Relacion '!$I:$I,""))), "Sí", "No")</f>
        <v>No</v>
      </c>
      <c r="K183" s="249" t="str">
        <f>IF(ISNUMBER(SEARCH("Rocha", _xlfn.XLOOKUP(B183,'Relacion '!$E:$E,'Relacion '!$I:$I,""))), "RMC", _xlfn.XLOOKUP(B183,'Relacion '!$E:$E,'Relacion '!$B:$B,""))</f>
        <v>Producto</v>
      </c>
      <c r="L183" s="249" t="str">
        <f>_xlfn.XLOOKUP(B183,'Relacion '!$E:$E,'Relacion '!$C:$C,"")</f>
        <v>Claudia Barroso</v>
      </c>
    </row>
    <row r="184" spans="2:12">
      <c r="B184" s="245" t="s">
        <v>614</v>
      </c>
      <c r="C184" s="137" t="s">
        <v>607</v>
      </c>
      <c r="D184" s="249" t="str">
        <f>_xlfn.XLOOKUP(B184,'Relacion '!$E:$E,'Relacion '!$D:$D,"")</f>
        <v>06. BW-EJECUCION</v>
      </c>
      <c r="E184" s="246">
        <f t="shared" si="2"/>
        <v>471</v>
      </c>
      <c r="F184" s="247" cm="1">
        <f t="array" ref="F184">MIN(INDEX('Relacion '!$X$5:$AM$493,MATCH(INDEX($B:$B, (ROW()-0)),'Relacion '!$E$5:$E$493,0),0))</f>
        <v>45659</v>
      </c>
      <c r="G184" s="247" cm="1">
        <f t="array" ref="G184">MAX(INDEX('Relacion '!$X$5:$AM$493,MATCH(INDEX($B:$B, (ROW()-0)),'Relacion '!$E$5:$E$493,0),0))</f>
        <v>46130</v>
      </c>
      <c r="H184" s="248" t="e">
        <f>_xlfn.XLOOKUP(B184, 'Plan de Trabajo'!$B$2:$B$1802, 'Plan de Trabajo'!$H$2:$H$1802)</f>
        <v>#REF!</v>
      </c>
      <c r="I184" s="248">
        <f ca="1">_xlfn.XLOOKUP(B184, 'Plan de Trabajo'!$B$2:$B$1802, 'Plan de Trabajo'!$I$2:$I$1802)</f>
        <v>1</v>
      </c>
      <c r="J184" s="249" t="str">
        <f>IF(ISNUMBER(SEARCH("Rocha", _xlfn.XLOOKUP(B184,'Relacion '!$E:$E,'Relacion '!$I:$I,""))), "Sí", "No")</f>
        <v>No</v>
      </c>
      <c r="K184" s="249" t="str">
        <f>IF(ISNUMBER(SEARCH("Rocha", _xlfn.XLOOKUP(B184,'Relacion '!$E:$E,'Relacion '!$I:$I,""))), "RMC", _xlfn.XLOOKUP(B184,'Relacion '!$E:$E,'Relacion '!$B:$B,""))</f>
        <v>Producto</v>
      </c>
      <c r="L184" s="249" t="str">
        <f>_xlfn.XLOOKUP(B184,'Relacion '!$E:$E,'Relacion '!$C:$C,"")</f>
        <v>Claudia Barroso</v>
      </c>
    </row>
    <row r="185" spans="2:12">
      <c r="B185" s="245" t="s">
        <v>615</v>
      </c>
      <c r="C185" s="137" t="s">
        <v>607</v>
      </c>
      <c r="D185" s="249" t="str">
        <f>_xlfn.XLOOKUP(B185,'Relacion '!$E:$E,'Relacion '!$D:$D,"")</f>
        <v>06. BW-EJECUCION</v>
      </c>
      <c r="E185" s="246">
        <f t="shared" si="2"/>
        <v>471</v>
      </c>
      <c r="F185" s="247" cm="1">
        <f t="array" ref="F185">MIN(INDEX('Relacion '!$X$5:$AM$493,MATCH(INDEX($B:$B, (ROW()-0)),'Relacion '!$E$5:$E$493,0),0))</f>
        <v>45659</v>
      </c>
      <c r="G185" s="247" cm="1">
        <f t="array" ref="G185">MAX(INDEX('Relacion '!$X$5:$AM$493,MATCH(INDEX($B:$B, (ROW()-0)),'Relacion '!$E$5:$E$493,0),0))</f>
        <v>46130</v>
      </c>
      <c r="H185" s="248" t="e">
        <f>_xlfn.XLOOKUP(B185, 'Plan de Trabajo'!$B$2:$B$1802, 'Plan de Trabajo'!$H$2:$H$1802)</f>
        <v>#REF!</v>
      </c>
      <c r="I185" s="248">
        <f ca="1">_xlfn.XLOOKUP(B185, 'Plan de Trabajo'!$B$2:$B$1802, 'Plan de Trabajo'!$I$2:$I$1802)</f>
        <v>1</v>
      </c>
      <c r="J185" s="249" t="str">
        <f>IF(ISNUMBER(SEARCH("Rocha", _xlfn.XLOOKUP(B185,'Relacion '!$E:$E,'Relacion '!$I:$I,""))), "Sí", "No")</f>
        <v>No</v>
      </c>
      <c r="K185" s="249" t="str">
        <f>IF(ISNUMBER(SEARCH("Rocha", _xlfn.XLOOKUP(B185,'Relacion '!$E:$E,'Relacion '!$I:$I,""))), "RMC", _xlfn.XLOOKUP(B185,'Relacion '!$E:$E,'Relacion '!$B:$B,""))</f>
        <v>Producto</v>
      </c>
      <c r="L185" s="249" t="str">
        <f>_xlfn.XLOOKUP(B185,'Relacion '!$E:$E,'Relacion '!$C:$C,"")</f>
        <v>Claudia Barroso</v>
      </c>
    </row>
    <row r="186" spans="2:12">
      <c r="B186" s="245" t="s">
        <v>616</v>
      </c>
      <c r="C186" s="137" t="s">
        <v>607</v>
      </c>
      <c r="D186" s="249" t="str">
        <f>_xlfn.XLOOKUP(B186,'Relacion '!$E:$E,'Relacion '!$D:$D,"")</f>
        <v>06. BW-EJECUCION</v>
      </c>
      <c r="E186" s="246">
        <f t="shared" si="2"/>
        <v>471</v>
      </c>
      <c r="F186" s="247" cm="1">
        <f t="array" ref="F186">MIN(INDEX('Relacion '!$X$5:$AM$493,MATCH(INDEX($B:$B, (ROW()-0)),'Relacion '!$E$5:$E$493,0),0))</f>
        <v>45659</v>
      </c>
      <c r="G186" s="247" cm="1">
        <f t="array" ref="G186">MAX(INDEX('Relacion '!$X$5:$AM$493,MATCH(INDEX($B:$B, (ROW()-0)),'Relacion '!$E$5:$E$493,0),0))</f>
        <v>46130</v>
      </c>
      <c r="H186" s="248" t="e">
        <f>_xlfn.XLOOKUP(B186, 'Plan de Trabajo'!$B$2:$B$1802, 'Plan de Trabajo'!$H$2:$H$1802)</f>
        <v>#REF!</v>
      </c>
      <c r="I186" s="248">
        <f ca="1">_xlfn.XLOOKUP(B186, 'Plan de Trabajo'!$B$2:$B$1802, 'Plan de Trabajo'!$I$2:$I$1802)</f>
        <v>1</v>
      </c>
      <c r="J186" s="249" t="str">
        <f>IF(ISNUMBER(SEARCH("Rocha", _xlfn.XLOOKUP(B186,'Relacion '!$E:$E,'Relacion '!$I:$I,""))), "Sí", "No")</f>
        <v>No</v>
      </c>
      <c r="K186" s="249" t="str">
        <f>IF(ISNUMBER(SEARCH("Rocha", _xlfn.XLOOKUP(B186,'Relacion '!$E:$E,'Relacion '!$I:$I,""))), "RMC", _xlfn.XLOOKUP(B186,'Relacion '!$E:$E,'Relacion '!$B:$B,""))</f>
        <v>Producto</v>
      </c>
      <c r="L186" s="249" t="str">
        <f>_xlfn.XLOOKUP(B186,'Relacion '!$E:$E,'Relacion '!$C:$C,"")</f>
        <v>Claudia Barroso</v>
      </c>
    </row>
    <row r="187" spans="2:12">
      <c r="B187" s="245" t="s">
        <v>617</v>
      </c>
      <c r="C187" s="137" t="s">
        <v>618</v>
      </c>
      <c r="D187" s="249" t="str">
        <f>_xlfn.XLOOKUP(B187,'Relacion '!$E:$E,'Relacion '!$D:$D,"")</f>
        <v>06. BW-EJECUCION</v>
      </c>
      <c r="E187" s="246">
        <f t="shared" si="2"/>
        <v>471</v>
      </c>
      <c r="F187" s="247" cm="1">
        <f t="array" ref="F187">MIN(INDEX('Relacion '!$X$5:$AM$493,MATCH(INDEX($B:$B, (ROW()-0)),'Relacion '!$E$5:$E$493,0),0))</f>
        <v>45659</v>
      </c>
      <c r="G187" s="247" cm="1">
        <f t="array" ref="G187">MAX(INDEX('Relacion '!$X$5:$AM$493,MATCH(INDEX($B:$B, (ROW()-0)),'Relacion '!$E$5:$E$493,0),0))</f>
        <v>46130</v>
      </c>
      <c r="H187" s="248" t="e">
        <f>_xlfn.XLOOKUP(B187, 'Plan de Trabajo'!$B$2:$B$1802, 'Plan de Trabajo'!$H$2:$H$1802)</f>
        <v>#REF!</v>
      </c>
      <c r="I187" s="248">
        <f ca="1">_xlfn.XLOOKUP(B187, 'Plan de Trabajo'!$B$2:$B$1802, 'Plan de Trabajo'!$I$2:$I$1802)</f>
        <v>1</v>
      </c>
      <c r="J187" s="249" t="str">
        <f>IF(ISNUMBER(SEARCH("Rocha", _xlfn.XLOOKUP(B187,'Relacion '!$E:$E,'Relacion '!$I:$I,""))), "Sí", "No")</f>
        <v>No</v>
      </c>
      <c r="K187" s="249" t="str">
        <f>IF(ISNUMBER(SEARCH("Rocha", _xlfn.XLOOKUP(B187,'Relacion '!$E:$E,'Relacion '!$I:$I,""))), "RMC", _xlfn.XLOOKUP(B187,'Relacion '!$E:$E,'Relacion '!$B:$B,""))</f>
        <v>Producto</v>
      </c>
      <c r="L187" s="249" t="str">
        <f>_xlfn.XLOOKUP(B187,'Relacion '!$E:$E,'Relacion '!$C:$C,"")</f>
        <v>Claudia Barroso</v>
      </c>
    </row>
    <row r="188" spans="2:12">
      <c r="B188" s="245" t="s">
        <v>619</v>
      </c>
      <c r="C188" s="137" t="s">
        <v>620</v>
      </c>
      <c r="D188" s="249" t="str">
        <f>_xlfn.XLOOKUP(B188,'Relacion '!$E:$E,'Relacion '!$D:$D,"")</f>
        <v>06. BW-EJECUCION</v>
      </c>
      <c r="E188" s="246">
        <f t="shared" si="2"/>
        <v>471</v>
      </c>
      <c r="F188" s="247" cm="1">
        <f t="array" ref="F188">MIN(INDEX('Relacion '!$X$5:$AM$493,MATCH(INDEX($B:$B, (ROW()-0)),'Relacion '!$E$5:$E$493,0),0))</f>
        <v>45659</v>
      </c>
      <c r="G188" s="247" cm="1">
        <f t="array" ref="G188">MAX(INDEX('Relacion '!$X$5:$AM$493,MATCH(INDEX($B:$B, (ROW()-0)),'Relacion '!$E$5:$E$493,0),0))</f>
        <v>46130</v>
      </c>
      <c r="H188" s="248" t="e">
        <f>_xlfn.XLOOKUP(B188, 'Plan de Trabajo'!$B$2:$B$1802, 'Plan de Trabajo'!$H$2:$H$1802)</f>
        <v>#REF!</v>
      </c>
      <c r="I188" s="248">
        <f ca="1">_xlfn.XLOOKUP(B188, 'Plan de Trabajo'!$B$2:$B$1802, 'Plan de Trabajo'!$I$2:$I$1802)</f>
        <v>1</v>
      </c>
      <c r="J188" s="249" t="str">
        <f>IF(ISNUMBER(SEARCH("Rocha", _xlfn.XLOOKUP(B188,'Relacion '!$E:$E,'Relacion '!$I:$I,""))), "Sí", "No")</f>
        <v>No</v>
      </c>
      <c r="K188" s="249" t="str">
        <f>IF(ISNUMBER(SEARCH("Rocha", _xlfn.XLOOKUP(B188,'Relacion '!$E:$E,'Relacion '!$I:$I,""))), "RMC", _xlfn.XLOOKUP(B188,'Relacion '!$E:$E,'Relacion '!$B:$B,""))</f>
        <v>Producto</v>
      </c>
      <c r="L188" s="249" t="str">
        <f>_xlfn.XLOOKUP(B188,'Relacion '!$E:$E,'Relacion '!$C:$C,"")</f>
        <v>Claudia Barroso</v>
      </c>
    </row>
    <row r="189" spans="2:12">
      <c r="B189" s="245" t="s">
        <v>621</v>
      </c>
      <c r="C189" s="137" t="s">
        <v>622</v>
      </c>
      <c r="D189" s="249" t="str">
        <f>_xlfn.XLOOKUP(B189,'Relacion '!$E:$E,'Relacion '!$D:$D,"")</f>
        <v>06. BW-EJECUCION</v>
      </c>
      <c r="E189" s="246">
        <f t="shared" si="2"/>
        <v>471</v>
      </c>
      <c r="F189" s="247" cm="1">
        <f t="array" ref="F189">MIN(INDEX('Relacion '!$X$5:$AM$493,MATCH(INDEX($B:$B, (ROW()-0)),'Relacion '!$E$5:$E$493,0),0))</f>
        <v>45659</v>
      </c>
      <c r="G189" s="247" cm="1">
        <f t="array" ref="G189">MAX(INDEX('Relacion '!$X$5:$AM$493,MATCH(INDEX($B:$B, (ROW()-0)),'Relacion '!$E$5:$E$493,0),0))</f>
        <v>46130</v>
      </c>
      <c r="H189" s="248" t="e">
        <f>_xlfn.XLOOKUP(B189, 'Plan de Trabajo'!$B$2:$B$1802, 'Plan de Trabajo'!$H$2:$H$1802)</f>
        <v>#REF!</v>
      </c>
      <c r="I189" s="248">
        <f ca="1">_xlfn.XLOOKUP(B189, 'Plan de Trabajo'!$B$2:$B$1802, 'Plan de Trabajo'!$I$2:$I$1802)</f>
        <v>1</v>
      </c>
      <c r="J189" s="249" t="str">
        <f>IF(ISNUMBER(SEARCH("Rocha", _xlfn.XLOOKUP(B189,'Relacion '!$E:$E,'Relacion '!$I:$I,""))), "Sí", "No")</f>
        <v>No</v>
      </c>
      <c r="K189" s="249" t="str">
        <f>IF(ISNUMBER(SEARCH("Rocha", _xlfn.XLOOKUP(B189,'Relacion '!$E:$E,'Relacion '!$I:$I,""))), "RMC", _xlfn.XLOOKUP(B189,'Relacion '!$E:$E,'Relacion '!$B:$B,""))</f>
        <v>Producto</v>
      </c>
      <c r="L189" s="249" t="str">
        <f>_xlfn.XLOOKUP(B189,'Relacion '!$E:$E,'Relacion '!$C:$C,"")</f>
        <v>Claudia Barroso</v>
      </c>
    </row>
    <row r="190" spans="2:12">
      <c r="B190" s="245" t="s">
        <v>623</v>
      </c>
      <c r="C190" s="137" t="s">
        <v>624</v>
      </c>
      <c r="D190" s="249" t="str">
        <f>_xlfn.XLOOKUP(B190,'Relacion '!$E:$E,'Relacion '!$D:$D,"")</f>
        <v>06. BW-EJECUCION</v>
      </c>
      <c r="E190" s="246">
        <f t="shared" si="2"/>
        <v>471</v>
      </c>
      <c r="F190" s="247" cm="1">
        <f t="array" ref="F190">MIN(INDEX('Relacion '!$X$5:$AM$493,MATCH(INDEX($B:$B, (ROW()-0)),'Relacion '!$E$5:$E$493,0),0))</f>
        <v>45659</v>
      </c>
      <c r="G190" s="247" cm="1">
        <f t="array" ref="G190">MAX(INDEX('Relacion '!$X$5:$AM$493,MATCH(INDEX($B:$B, (ROW()-0)),'Relacion '!$E$5:$E$493,0),0))</f>
        <v>46130</v>
      </c>
      <c r="H190" s="248" t="e">
        <f>_xlfn.XLOOKUP(B190, 'Plan de Trabajo'!$B$2:$B$1802, 'Plan de Trabajo'!$H$2:$H$1802)</f>
        <v>#REF!</v>
      </c>
      <c r="I190" s="248">
        <f ca="1">_xlfn.XLOOKUP(B190, 'Plan de Trabajo'!$B$2:$B$1802, 'Plan de Trabajo'!$I$2:$I$1802)</f>
        <v>1</v>
      </c>
      <c r="J190" s="249" t="str">
        <f>IF(ISNUMBER(SEARCH("Rocha", _xlfn.XLOOKUP(B190,'Relacion '!$E:$E,'Relacion '!$I:$I,""))), "Sí", "No")</f>
        <v>No</v>
      </c>
      <c r="K190" s="249" t="str">
        <f>IF(ISNUMBER(SEARCH("Rocha", _xlfn.XLOOKUP(B190,'Relacion '!$E:$E,'Relacion '!$I:$I,""))), "RMC", _xlfn.XLOOKUP(B190,'Relacion '!$E:$E,'Relacion '!$B:$B,""))</f>
        <v>Producto</v>
      </c>
      <c r="L190" s="249" t="str">
        <f>_xlfn.XLOOKUP(B190,'Relacion '!$E:$E,'Relacion '!$C:$C,"")</f>
        <v>Claudia Barroso</v>
      </c>
    </row>
    <row r="191" spans="2:12">
      <c r="B191" s="245" t="s">
        <v>625</v>
      </c>
      <c r="C191" s="137" t="s">
        <v>626</v>
      </c>
      <c r="D191" s="249" t="str">
        <f>_xlfn.XLOOKUP(B191,'Relacion '!$E:$E,'Relacion '!$D:$D,"")</f>
        <v>06. BW-EJECUCION</v>
      </c>
      <c r="E191" s="246">
        <f t="shared" si="2"/>
        <v>106</v>
      </c>
      <c r="F191" s="247" cm="1">
        <f t="array" ref="F191">MIN(INDEX('Relacion '!$X$5:$AM$493,MATCH(INDEX($B:$B, (ROW()-0)),'Relacion '!$E$5:$E$493,0),0))</f>
        <v>46024</v>
      </c>
      <c r="G191" s="247" cm="1">
        <f t="array" ref="G191">MAX(INDEX('Relacion '!$X$5:$AM$493,MATCH(INDEX($B:$B, (ROW()-0)),'Relacion '!$E$5:$E$493,0),0))</f>
        <v>46130</v>
      </c>
      <c r="H191" s="248" t="e">
        <f>_xlfn.XLOOKUP(B191, 'Plan de Trabajo'!$B$2:$B$1802, 'Plan de Trabajo'!$H$2:$H$1802)</f>
        <v>#REF!</v>
      </c>
      <c r="I191" s="248">
        <f ca="1">_xlfn.XLOOKUP(B191, 'Plan de Trabajo'!$B$2:$B$1802, 'Plan de Trabajo'!$I$2:$I$1802)</f>
        <v>1</v>
      </c>
      <c r="J191" s="249" t="str">
        <f>IF(ISNUMBER(SEARCH("Rocha", _xlfn.XLOOKUP(B191,'Relacion '!$E:$E,'Relacion '!$I:$I,""))), "Sí", "No")</f>
        <v>No</v>
      </c>
      <c r="K191" s="249" t="str">
        <f>IF(ISNUMBER(SEARCH("Rocha", _xlfn.XLOOKUP(B191,'Relacion '!$E:$E,'Relacion '!$I:$I,""))), "RMC", _xlfn.XLOOKUP(B191,'Relacion '!$E:$E,'Relacion '!$B:$B,""))</f>
        <v>Riesgos</v>
      </c>
      <c r="L191" s="249" t="str">
        <f>_xlfn.XLOOKUP(B191,'Relacion '!$E:$E,'Relacion '!$C:$C,"")</f>
        <v>Homero Sanchez</v>
      </c>
    </row>
    <row r="192" spans="2:12">
      <c r="B192" s="245" t="s">
        <v>196</v>
      </c>
      <c r="C192" s="194" t="s">
        <v>197</v>
      </c>
      <c r="D192" s="249" t="str">
        <f>_xlfn.XLOOKUP(B192,'Relacion '!$E:$E,'Relacion '!$D:$D,"")</f>
        <v>04. VALIDA US</v>
      </c>
      <c r="E192" s="246">
        <f t="shared" si="2"/>
        <v>123</v>
      </c>
      <c r="F192" s="247" cm="1">
        <f t="array" ref="F192">MIN(INDEX('Relacion '!$X$5:$AM$493,MATCH(INDEX($B:$B, (ROW()-0)),'Relacion '!$E$5:$E$493,0),0))</f>
        <v>46024</v>
      </c>
      <c r="G192" s="247" cm="1">
        <f t="array" ref="G192">MAX(INDEX('Relacion '!$X$5:$AM$493,MATCH(INDEX($B:$B, (ROW()-0)),'Relacion '!$E$5:$E$493,0),0))</f>
        <v>46147</v>
      </c>
      <c r="H192" s="248" t="e">
        <f>_xlfn.XLOOKUP(B192, 'Plan de Trabajo'!$B$2:$B$1802, 'Plan de Trabajo'!$H$2:$H$1802)</f>
        <v>#REF!</v>
      </c>
      <c r="I192" s="248">
        <f ca="1">_xlfn.XLOOKUP(B192, 'Plan de Trabajo'!$B$2:$B$1802, 'Plan de Trabajo'!$I$2:$I$1802)</f>
        <v>1</v>
      </c>
      <c r="J192" s="249" t="str">
        <f>IF(ISNUMBER(SEARCH("Rocha", _xlfn.XLOOKUP(B192,'Relacion '!$E:$E,'Relacion '!$I:$I,""))), "Sí", "No")</f>
        <v>No</v>
      </c>
      <c r="K192" s="249" t="str">
        <f>IF(ISNUMBER(SEARCH("Rocha", _xlfn.XLOOKUP(B192,'Relacion '!$E:$E,'Relacion '!$I:$I,""))), "RMC", _xlfn.XLOOKUP(B192,'Relacion '!$E:$E,'Relacion '!$B:$B,""))</f>
        <v>Tesorería </v>
      </c>
      <c r="L192" s="249" t="str">
        <f>_xlfn.XLOOKUP(B192,'Relacion '!$E:$E,'Relacion '!$C:$C,"")</f>
        <v>Eduardo Cabral</v>
      </c>
    </row>
    <row r="193" spans="2:12">
      <c r="B193" s="245" t="s">
        <v>161</v>
      </c>
      <c r="C193" s="196" t="s">
        <v>211</v>
      </c>
      <c r="D193" s="249" t="str">
        <f>_xlfn.XLOOKUP(B193,'Relacion '!$E:$E,'Relacion '!$D:$D,"")</f>
        <v>07. VALIDACIÓN BAJAWARE</v>
      </c>
      <c r="E193" s="246">
        <f t="shared" si="2"/>
        <v>148</v>
      </c>
      <c r="F193" s="247" cm="1">
        <f t="array" ref="F193">MIN(INDEX('Relacion '!$X$5:$AM$493,MATCH(INDEX($B:$B, (ROW()-0)),'Relacion '!$E$5:$E$493,0),0))</f>
        <v>46024</v>
      </c>
      <c r="G193" s="247" cm="1">
        <f t="array" ref="G193">MAX(INDEX('Relacion '!$X$5:$AM$493,MATCH(INDEX($B:$B, (ROW()-0)),'Relacion '!$E$5:$E$493,0),0))</f>
        <v>46172</v>
      </c>
      <c r="H193" s="248" t="e">
        <f>_xlfn.XLOOKUP(B193, 'Plan de Trabajo'!$B$2:$B$1802, 'Plan de Trabajo'!$H$2:$H$1802)</f>
        <v>#REF!</v>
      </c>
      <c r="I193" s="248">
        <f ca="1">_xlfn.XLOOKUP(B193, 'Plan de Trabajo'!$B$2:$B$1802, 'Plan de Trabajo'!$I$2:$I$1802)</f>
        <v>0.75</v>
      </c>
      <c r="J193" s="249" t="str">
        <f>IF(ISNUMBER(SEARCH("Rocha", _xlfn.XLOOKUP(B193,'Relacion '!$E:$E,'Relacion '!$I:$I,""))), "Sí", "No")</f>
        <v>No</v>
      </c>
      <c r="K193" s="249" t="str">
        <f>IF(ISNUMBER(SEARCH("Rocha", _xlfn.XLOOKUP(B193,'Relacion '!$E:$E,'Relacion '!$I:$I,""))), "RMC", _xlfn.XLOOKUP(B193,'Relacion '!$E:$E,'Relacion '!$B:$B,""))</f>
        <v>Tesorería </v>
      </c>
      <c r="L193" s="249" t="str">
        <f>_xlfn.XLOOKUP(B193,'Relacion '!$E:$E,'Relacion '!$C:$C,"")</f>
        <v>Eduardo Cabral</v>
      </c>
    </row>
    <row r="194" spans="2:12">
      <c r="B194" s="245" t="s">
        <v>221</v>
      </c>
      <c r="C194" s="196" t="s">
        <v>211</v>
      </c>
      <c r="D194" s="249" t="str">
        <f>_xlfn.XLOOKUP(B194,'Relacion '!$E:$E,'Relacion '!$D:$D,"")</f>
        <v>07. VALIDACIÓN BAJAWARE</v>
      </c>
      <c r="E194" s="246">
        <f t="shared" si="2"/>
        <v>148</v>
      </c>
      <c r="F194" s="247" cm="1">
        <f t="array" ref="F194">MIN(INDEX('Relacion '!$X$5:$AM$493,MATCH(INDEX($B:$B, (ROW()-0)),'Relacion '!$E$5:$E$493,0),0))</f>
        <v>46024</v>
      </c>
      <c r="G194" s="247" cm="1">
        <f t="array" ref="G194">MAX(INDEX('Relacion '!$X$5:$AM$493,MATCH(INDEX($B:$B, (ROW()-0)),'Relacion '!$E$5:$E$493,0),0))</f>
        <v>46172</v>
      </c>
      <c r="H194" s="248" t="e">
        <f>_xlfn.XLOOKUP(B194, 'Plan de Trabajo'!$B$2:$B$1802, 'Plan de Trabajo'!$H$2:$H$1802)</f>
        <v>#REF!</v>
      </c>
      <c r="I194" s="248">
        <f ca="1">_xlfn.XLOOKUP(B194, 'Plan de Trabajo'!$B$2:$B$1802, 'Plan de Trabajo'!$I$2:$I$1802)</f>
        <v>0.75</v>
      </c>
      <c r="J194" s="249" t="str">
        <f>IF(ISNUMBER(SEARCH("Rocha", _xlfn.XLOOKUP(B194,'Relacion '!$E:$E,'Relacion '!$I:$I,""))), "Sí", "No")</f>
        <v>No</v>
      </c>
      <c r="K194" s="249" t="str">
        <f>IF(ISNUMBER(SEARCH("Rocha", _xlfn.XLOOKUP(B194,'Relacion '!$E:$E,'Relacion '!$I:$I,""))), "RMC", _xlfn.XLOOKUP(B194,'Relacion '!$E:$E,'Relacion '!$B:$B,""))</f>
        <v>Tesorería </v>
      </c>
      <c r="L194" s="249" t="str">
        <f>_xlfn.XLOOKUP(B194,'Relacion '!$E:$E,'Relacion '!$C:$C,"")</f>
        <v>Eduardo Cabral</v>
      </c>
    </row>
    <row r="195" spans="2:12">
      <c r="B195" s="245" t="s">
        <v>222</v>
      </c>
      <c r="C195" s="193" t="s">
        <v>211</v>
      </c>
      <c r="D195" s="249" t="str">
        <f>_xlfn.XLOOKUP(B195,'Relacion '!$E:$E,'Relacion '!$D:$D,"")</f>
        <v>07. VALIDACIÓN BAJAWARE</v>
      </c>
      <c r="E195" s="246">
        <f t="shared" ref="E195:E203" si="3">IF(OR(F195="",G195=""),"",G195-F195)</f>
        <v>148</v>
      </c>
      <c r="F195" s="247" cm="1">
        <f t="array" ref="F195">MIN(INDEX('Relacion '!$X$5:$AM$493,MATCH(INDEX($B:$B, (ROW()-0)),'Relacion '!$E$5:$E$493,0),0))</f>
        <v>46024</v>
      </c>
      <c r="G195" s="247" cm="1">
        <f t="array" ref="G195">MAX(INDEX('Relacion '!$X$5:$AM$493,MATCH(INDEX($B:$B, (ROW()-0)),'Relacion '!$E$5:$E$493,0),0))</f>
        <v>46172</v>
      </c>
      <c r="H195" s="248" t="e">
        <f>_xlfn.XLOOKUP(B195, 'Plan de Trabajo'!$B$2:$B$1802, 'Plan de Trabajo'!$H$2:$H$1802)</f>
        <v>#REF!</v>
      </c>
      <c r="I195" s="248">
        <f ca="1">_xlfn.XLOOKUP(B195, 'Plan de Trabajo'!$B$2:$B$1802, 'Plan de Trabajo'!$I$2:$I$1802)</f>
        <v>0.75</v>
      </c>
      <c r="J195" s="249" t="str">
        <f>IF(ISNUMBER(SEARCH("Rocha", _xlfn.XLOOKUP(B195,'Relacion '!$E:$E,'Relacion '!$I:$I,""))), "Sí", "No")</f>
        <v>No</v>
      </c>
      <c r="K195" s="249" t="str">
        <f>IF(ISNUMBER(SEARCH("Rocha", _xlfn.XLOOKUP(B195,'Relacion '!$E:$E,'Relacion '!$I:$I,""))), "RMC", _xlfn.XLOOKUP(B195,'Relacion '!$E:$E,'Relacion '!$B:$B,""))</f>
        <v>Tesorería </v>
      </c>
      <c r="L195" s="249" t="str">
        <f>_xlfn.XLOOKUP(B195,'Relacion '!$E:$E,'Relacion '!$C:$C,"")</f>
        <v>Eduardo Cabral</v>
      </c>
    </row>
    <row r="196" spans="2:12">
      <c r="B196" s="245" t="s">
        <v>223</v>
      </c>
      <c r="C196" s="243" t="s">
        <v>211</v>
      </c>
      <c r="D196" s="249" t="str">
        <f>_xlfn.XLOOKUP(B196,'Relacion '!$E:$E,'Relacion '!$D:$D,"")</f>
        <v>02. MAPEO</v>
      </c>
      <c r="E196" s="246">
        <f t="shared" si="3"/>
        <v>172</v>
      </c>
      <c r="F196" s="247" cm="1">
        <f t="array" ref="F196">MIN(INDEX('Relacion '!$X$5:$AM$493,MATCH(INDEX($B:$B, (ROW()-0)),'Relacion '!$E$5:$E$493,0),0))</f>
        <v>46024</v>
      </c>
      <c r="G196" s="247" cm="1">
        <f t="array" ref="G196">MAX(INDEX('Relacion '!$X$5:$AM$493,MATCH(INDEX($B:$B, (ROW()-0)),'Relacion '!$E$5:$E$493,0),0))</f>
        <v>46196</v>
      </c>
      <c r="H196" s="248" t="e">
        <f>_xlfn.XLOOKUP(B196, 'Plan de Trabajo'!$B$2:$B$1802, 'Plan de Trabajo'!$H$2:$H$1802)</f>
        <v>#REF!</v>
      </c>
      <c r="I196" s="248">
        <f ca="1">_xlfn.XLOOKUP(B196, 'Plan de Trabajo'!$B$2:$B$1802, 'Plan de Trabajo'!$I$2:$I$1802)</f>
        <v>0.375</v>
      </c>
      <c r="J196" s="249" t="str">
        <f>IF(ISNUMBER(SEARCH("Rocha", _xlfn.XLOOKUP(B196,'Relacion '!$E:$E,'Relacion '!$I:$I,""))), "Sí", "No")</f>
        <v>No</v>
      </c>
      <c r="K196" s="249" t="str">
        <f>IF(ISNUMBER(SEARCH("Rocha", _xlfn.XLOOKUP(B196,'Relacion '!$E:$E,'Relacion '!$I:$I,""))), "RMC", _xlfn.XLOOKUP(B196,'Relacion '!$E:$E,'Relacion '!$B:$B,""))</f>
        <v>Tesorería </v>
      </c>
      <c r="L196" s="249" t="str">
        <f>_xlfn.XLOOKUP(B196,'Relacion '!$E:$E,'Relacion '!$C:$C,"")</f>
        <v>Eduardo Cabral</v>
      </c>
    </row>
    <row r="197" spans="2:12">
      <c r="B197" s="245" t="s">
        <v>418</v>
      </c>
      <c r="C197" s="243" t="s">
        <v>419</v>
      </c>
      <c r="D197" s="249" t="str">
        <f>_xlfn.XLOOKUP(B197,'Relacion '!$E:$E,'Relacion '!$D:$D,"")</f>
        <v>02. MAPEO</v>
      </c>
      <c r="E197" s="246">
        <f t="shared" si="3"/>
        <v>178</v>
      </c>
      <c r="F197" s="247" cm="1">
        <f t="array" ref="F197">MIN(INDEX('Relacion '!$X$5:$AM$493,MATCH(INDEX($B:$B, (ROW()-0)),'Relacion '!$E$5:$E$493,0),0))</f>
        <v>46024</v>
      </c>
      <c r="G197" s="247" cm="1">
        <f t="array" ref="G197">MAX(INDEX('Relacion '!$X$5:$AM$493,MATCH(INDEX($B:$B, (ROW()-0)),'Relacion '!$E$5:$E$493,0),0))</f>
        <v>46202</v>
      </c>
      <c r="H197" s="248" t="e">
        <f>_xlfn.XLOOKUP(B197, 'Plan de Trabajo'!$B$2:$B$1802, 'Plan de Trabajo'!$H$2:$H$1802)</f>
        <v>#REF!</v>
      </c>
      <c r="I197" s="248">
        <f ca="1">_xlfn.XLOOKUP(B197, 'Plan de Trabajo'!$B$2:$B$1802, 'Plan de Trabajo'!$I$2:$I$1802)</f>
        <v>0.375</v>
      </c>
      <c r="J197" s="249" t="str">
        <f>IF(ISNUMBER(SEARCH("Rocha", _xlfn.XLOOKUP(B197,'Relacion '!$E:$E,'Relacion '!$I:$I,""))), "Sí", "No")</f>
        <v>Sí</v>
      </c>
      <c r="K197" s="249" t="str">
        <f>IF(ISNUMBER(SEARCH("Rocha", _xlfn.XLOOKUP(B197,'Relacion '!$E:$E,'Relacion '!$I:$I,""))), "RMC", _xlfn.XLOOKUP(B197,'Relacion '!$E:$E,'Relacion '!$B:$B,""))</f>
        <v>RMC</v>
      </c>
      <c r="L197" s="249" t="str">
        <f>_xlfn.XLOOKUP(B197,'Relacion '!$E:$E,'Relacion '!$C:$C,"")</f>
        <v>Eduardo Cabral</v>
      </c>
    </row>
    <row r="198" spans="2:12">
      <c r="B198" s="245" t="s">
        <v>422</v>
      </c>
      <c r="C198" s="243" t="s">
        <v>419</v>
      </c>
      <c r="D198" s="249" t="str">
        <f>_xlfn.XLOOKUP(B198,'Relacion '!$E:$E,'Relacion '!$D:$D,"")</f>
        <v>02. MAPEO</v>
      </c>
      <c r="E198" s="246">
        <f t="shared" si="3"/>
        <v>178</v>
      </c>
      <c r="F198" s="247" cm="1">
        <f t="array" ref="F198">MIN(INDEX('Relacion '!$X$5:$AM$493,MATCH(INDEX($B:$B, (ROW()-0)),'Relacion '!$E$5:$E$493,0),0))</f>
        <v>46024</v>
      </c>
      <c r="G198" s="247" cm="1">
        <f t="array" ref="G198">MAX(INDEX('Relacion '!$X$5:$AM$493,MATCH(INDEX($B:$B, (ROW()-0)),'Relacion '!$E$5:$E$493,0),0))</f>
        <v>46202</v>
      </c>
      <c r="H198" s="248" t="e">
        <f>_xlfn.XLOOKUP(B198, 'Plan de Trabajo'!$B$2:$B$1802, 'Plan de Trabajo'!$H$2:$H$1802)</f>
        <v>#REF!</v>
      </c>
      <c r="I198" s="248">
        <f ca="1">_xlfn.XLOOKUP(B198, 'Plan de Trabajo'!$B$2:$B$1802, 'Plan de Trabajo'!$I$2:$I$1802)</f>
        <v>0.375</v>
      </c>
      <c r="J198" s="249" t="str">
        <f>IF(ISNUMBER(SEARCH("Rocha", _xlfn.XLOOKUP(B198,'Relacion '!$E:$E,'Relacion '!$I:$I,""))), "Sí", "No")</f>
        <v>Sí</v>
      </c>
      <c r="K198" s="249" t="str">
        <f>IF(ISNUMBER(SEARCH("Rocha", _xlfn.XLOOKUP(B198,'Relacion '!$E:$E,'Relacion '!$I:$I,""))), "RMC", _xlfn.XLOOKUP(B198,'Relacion '!$E:$E,'Relacion '!$B:$B,""))</f>
        <v>RMC</v>
      </c>
      <c r="L198" s="249" t="str">
        <f>_xlfn.XLOOKUP(B198,'Relacion '!$E:$E,'Relacion '!$C:$C,"")</f>
        <v>Eduardo Cabral</v>
      </c>
    </row>
    <row r="199" spans="2:12">
      <c r="B199" s="245" t="s">
        <v>425</v>
      </c>
      <c r="C199" s="243" t="s">
        <v>419</v>
      </c>
      <c r="D199" s="249" t="str">
        <f>_xlfn.XLOOKUP(B199,'Relacion '!$E:$E,'Relacion '!$D:$D,"")</f>
        <v>02. MAPEO</v>
      </c>
      <c r="E199" s="246">
        <f t="shared" si="3"/>
        <v>178</v>
      </c>
      <c r="F199" s="247" cm="1">
        <f t="array" ref="F199">MIN(INDEX('Relacion '!$X$5:$AM$493,MATCH(INDEX($B:$B, (ROW()-0)),'Relacion '!$E$5:$E$493,0),0))</f>
        <v>46024</v>
      </c>
      <c r="G199" s="247" cm="1">
        <f t="array" ref="G199">MAX(INDEX('Relacion '!$X$5:$AM$493,MATCH(INDEX($B:$B, (ROW()-0)),'Relacion '!$E$5:$E$493,0),0))</f>
        <v>46202</v>
      </c>
      <c r="H199" s="248" t="e">
        <f>_xlfn.XLOOKUP(B199, 'Plan de Trabajo'!$B$2:$B$1802, 'Plan de Trabajo'!$H$2:$H$1802)</f>
        <v>#REF!</v>
      </c>
      <c r="I199" s="248">
        <f ca="1">_xlfn.XLOOKUP(B199, 'Plan de Trabajo'!$B$2:$B$1802, 'Plan de Trabajo'!$I$2:$I$1802)</f>
        <v>0.375</v>
      </c>
      <c r="J199" s="249" t="str">
        <f>IF(ISNUMBER(SEARCH("Rocha", _xlfn.XLOOKUP(B199,'Relacion '!$E:$E,'Relacion '!$I:$I,""))), "Sí", "No")</f>
        <v>Sí</v>
      </c>
      <c r="K199" s="249" t="str">
        <f>IF(ISNUMBER(SEARCH("Rocha", _xlfn.XLOOKUP(B199,'Relacion '!$E:$E,'Relacion '!$I:$I,""))), "RMC", _xlfn.XLOOKUP(B199,'Relacion '!$E:$E,'Relacion '!$B:$B,""))</f>
        <v>RMC</v>
      </c>
      <c r="L199" s="249" t="str">
        <f>_xlfn.XLOOKUP(B199,'Relacion '!$E:$E,'Relacion '!$C:$C,"")</f>
        <v>Eduardo Cabral</v>
      </c>
    </row>
    <row r="200" spans="2:12">
      <c r="B200" s="245" t="s">
        <v>427</v>
      </c>
      <c r="C200" s="243" t="s">
        <v>419</v>
      </c>
      <c r="D200" s="249" t="str">
        <f>_xlfn.XLOOKUP(B200,'Relacion '!$E:$E,'Relacion '!$D:$D,"")</f>
        <v>02. MAPEO</v>
      </c>
      <c r="E200" s="246">
        <f t="shared" si="3"/>
        <v>178</v>
      </c>
      <c r="F200" s="247" cm="1">
        <f t="array" ref="F200">MIN(INDEX('Relacion '!$X$5:$AM$493,MATCH(INDEX($B:$B, (ROW()-0)),'Relacion '!$E$5:$E$493,0),0))</f>
        <v>46024</v>
      </c>
      <c r="G200" s="247" cm="1">
        <f t="array" ref="G200">MAX(INDEX('Relacion '!$X$5:$AM$493,MATCH(INDEX($B:$B, (ROW()-0)),'Relacion '!$E$5:$E$493,0),0))</f>
        <v>46202</v>
      </c>
      <c r="H200" s="248" t="e">
        <f>_xlfn.XLOOKUP(B200, 'Plan de Trabajo'!$B$2:$B$1802, 'Plan de Trabajo'!$H$2:$H$1802)</f>
        <v>#REF!</v>
      </c>
      <c r="I200" s="248">
        <f ca="1">_xlfn.XLOOKUP(B200, 'Plan de Trabajo'!$B$2:$B$1802, 'Plan de Trabajo'!$I$2:$I$1802)</f>
        <v>0.375</v>
      </c>
      <c r="J200" s="249" t="str">
        <f>IF(ISNUMBER(SEARCH("Rocha", _xlfn.XLOOKUP(B200,'Relacion '!$E:$E,'Relacion '!$I:$I,""))), "Sí", "No")</f>
        <v>Sí</v>
      </c>
      <c r="K200" s="249" t="str">
        <f>IF(ISNUMBER(SEARCH("Rocha", _xlfn.XLOOKUP(B200,'Relacion '!$E:$E,'Relacion '!$I:$I,""))), "RMC", _xlfn.XLOOKUP(B200,'Relacion '!$E:$E,'Relacion '!$B:$B,""))</f>
        <v>RMC</v>
      </c>
      <c r="L200" s="249" t="str">
        <f>_xlfn.XLOOKUP(B200,'Relacion '!$E:$E,'Relacion '!$C:$C,"")</f>
        <v>Eduardo Cabral</v>
      </c>
    </row>
    <row r="201" spans="2:12">
      <c r="B201" s="245" t="s">
        <v>429</v>
      </c>
      <c r="C201" s="243" t="s">
        <v>419</v>
      </c>
      <c r="D201" s="249" t="str">
        <f>_xlfn.XLOOKUP(B201,'Relacion '!$E:$E,'Relacion '!$D:$D,"")</f>
        <v>02. MAPEO</v>
      </c>
      <c r="E201" s="246">
        <f t="shared" si="3"/>
        <v>178</v>
      </c>
      <c r="F201" s="247" cm="1">
        <f t="array" ref="F201">MIN(INDEX('Relacion '!$X$5:$AM$493,MATCH(INDEX($B:$B, (ROW()-0)),'Relacion '!$E$5:$E$493,0),0))</f>
        <v>46024</v>
      </c>
      <c r="G201" s="247" cm="1">
        <f t="array" ref="G201">MAX(INDEX('Relacion '!$X$5:$AM$493,MATCH(INDEX($B:$B, (ROW()-0)),'Relacion '!$E$5:$E$493,0),0))</f>
        <v>46202</v>
      </c>
      <c r="H201" s="248" t="e">
        <f>_xlfn.XLOOKUP(B201, 'Plan de Trabajo'!$B$2:$B$1802, 'Plan de Trabajo'!$H$2:$H$1802)</f>
        <v>#REF!</v>
      </c>
      <c r="I201" s="248">
        <f ca="1">_xlfn.XLOOKUP(B201, 'Plan de Trabajo'!$B$2:$B$1802, 'Plan de Trabajo'!$I$2:$I$1802)</f>
        <v>0.375</v>
      </c>
      <c r="J201" s="249" t="str">
        <f>IF(ISNUMBER(SEARCH("Rocha", _xlfn.XLOOKUP(B201,'Relacion '!$E:$E,'Relacion '!$I:$I,""))), "Sí", "No")</f>
        <v>Sí</v>
      </c>
      <c r="K201" s="249" t="str">
        <f>IF(ISNUMBER(SEARCH("Rocha", _xlfn.XLOOKUP(B201,'Relacion '!$E:$E,'Relacion '!$I:$I,""))), "RMC", _xlfn.XLOOKUP(B201,'Relacion '!$E:$E,'Relacion '!$B:$B,""))</f>
        <v>RMC</v>
      </c>
      <c r="L201" s="249" t="str">
        <f>_xlfn.XLOOKUP(B201,'Relacion '!$E:$E,'Relacion '!$C:$C,"")</f>
        <v>Eduardo Cabral</v>
      </c>
    </row>
    <row r="202" spans="2:12">
      <c r="B202" s="245" t="s">
        <v>431</v>
      </c>
      <c r="C202" s="243" t="s">
        <v>419</v>
      </c>
      <c r="D202" s="249" t="str">
        <f>_xlfn.XLOOKUP(B202,'Relacion '!$E:$E,'Relacion '!$D:$D,"")</f>
        <v>02. MAPEO</v>
      </c>
      <c r="E202" s="246">
        <f t="shared" si="3"/>
        <v>543</v>
      </c>
      <c r="F202" s="247" cm="1">
        <f t="array" ref="F202">MIN(INDEX('Relacion '!$X$5:$AM$493,MATCH(INDEX($B:$B, (ROW()-0)),'Relacion '!$E$5:$E$493,0),0))</f>
        <v>45659</v>
      </c>
      <c r="G202" s="247" cm="1">
        <f t="array" ref="G202">MAX(INDEX('Relacion '!$X$5:$AM$493,MATCH(INDEX($B:$B, (ROW()-0)),'Relacion '!$E$5:$E$493,0),0))</f>
        <v>46202</v>
      </c>
      <c r="H202" s="248" t="e">
        <f>_xlfn.XLOOKUP(B202, 'Plan de Trabajo'!$B$2:$B$1802, 'Plan de Trabajo'!$H$2:$H$1802)</f>
        <v>#REF!</v>
      </c>
      <c r="I202" s="248">
        <f ca="1">_xlfn.XLOOKUP(B202, 'Plan de Trabajo'!$B$2:$B$1802, 'Plan de Trabajo'!$I$2:$I$1802)</f>
        <v>0.375</v>
      </c>
      <c r="J202" s="249" t="str">
        <f>IF(ISNUMBER(SEARCH("Rocha", _xlfn.XLOOKUP(B202,'Relacion '!$E:$E,'Relacion '!$I:$I,""))), "Sí", "No")</f>
        <v>Sí</v>
      </c>
      <c r="K202" s="249" t="str">
        <f>IF(ISNUMBER(SEARCH("Rocha", _xlfn.XLOOKUP(B202,'Relacion '!$E:$E,'Relacion '!$I:$I,""))), "RMC", _xlfn.XLOOKUP(B202,'Relacion '!$E:$E,'Relacion '!$B:$B,""))</f>
        <v>RMC</v>
      </c>
      <c r="L202" s="249" t="str">
        <f>_xlfn.XLOOKUP(B202,'Relacion '!$E:$E,'Relacion '!$C:$C,"")</f>
        <v>Eduardo Cabral</v>
      </c>
    </row>
    <row r="203" spans="2:12">
      <c r="B203" s="245" t="s">
        <v>251</v>
      </c>
      <c r="C203" s="243" t="s">
        <v>197</v>
      </c>
      <c r="D203" s="249" t="str">
        <f>_xlfn.XLOOKUP(B203,'Relacion '!$E:$E,'Relacion '!$D:$D,"")</f>
        <v>02. MAPEO</v>
      </c>
      <c r="E203" s="246">
        <f t="shared" si="3"/>
        <v>172</v>
      </c>
      <c r="F203" s="247" cm="1">
        <f t="array" ref="F203">MIN(INDEX('Relacion '!$X$5:$AM$493,MATCH(INDEX($B:$B, (ROW()-0)),'Relacion '!$E$5:$E$493,0),0))</f>
        <v>46024</v>
      </c>
      <c r="G203" s="247" cm="1">
        <f t="array" ref="G203">MAX(INDEX('Relacion '!$X$5:$AM$493,MATCH(INDEX($B:$B, (ROW()-0)),'Relacion '!$E$5:$E$493,0),0))</f>
        <v>46196</v>
      </c>
      <c r="H203" s="248" t="e">
        <f>AVERAGE(H204:H211)</f>
        <v>#DIV/0!</v>
      </c>
      <c r="I203" s="248" t="e">
        <f t="shared" ref="I203" si="4">AVERAGE(I204:I211)</f>
        <v>#DIV/0!</v>
      </c>
      <c r="J203" s="249" t="str">
        <f>IF(ISNUMBER(SEARCH("Rocha", _xlfn.XLOOKUP(B203,'Relacion '!$E:$E,'Relacion '!$I:$I,""))), "Sí", "No")</f>
        <v>No</v>
      </c>
      <c r="K203" s="249" t="str">
        <f>IF(ISNUMBER(SEARCH("Rocha", _xlfn.XLOOKUP(B203,'Relacion '!$E:$E,'Relacion '!$I:$I,""))), "RMC", _xlfn.XLOOKUP(B203,'Relacion '!$E:$E,'Relacion '!$B:$B,""))</f>
        <v>Tesorería </v>
      </c>
      <c r="L203" s="249" t="str">
        <f>_xlfn.XLOOKUP(B203,'Relacion '!$E:$E,'Relacion '!$C:$C,"")</f>
        <v>Eduardo Cabral</v>
      </c>
    </row>
  </sheetData>
  <autoFilter ref="B2:L203" xr:uid="{8DD9F275-AEC0-4A84-B0BB-1626B5F6B8AE}"/>
  <conditionalFormatting sqref="B196:G203">
    <cfRule type="expression" dxfId="0" priority="1">
      <formula>$H196=1</formula>
    </cfRule>
  </conditionalFormatting>
  <pageMargins left="0.7" right="0.7" top="0.75" bottom="0.75" header="0.3" footer="0.3"/>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3:G14"/>
  <sheetViews>
    <sheetView showGridLines="0" workbookViewId="0">
      <selection activeCell="F19" sqref="F19"/>
    </sheetView>
  </sheetViews>
  <sheetFormatPr defaultColWidth="11.42578125" defaultRowHeight="15"/>
  <cols>
    <col min="1" max="1" width="43.7109375" bestFit="1" customWidth="1"/>
    <col min="2" max="2" width="34.140625" bestFit="1" customWidth="1"/>
    <col min="3" max="3" width="5.42578125" bestFit="1" customWidth="1"/>
    <col min="6" max="6" width="41.85546875" bestFit="1" customWidth="1"/>
    <col min="7" max="7" width="34.140625" bestFit="1" customWidth="1"/>
  </cols>
  <sheetData>
    <row r="3" spans="1:7">
      <c r="A3" s="6" t="s">
        <v>1003</v>
      </c>
    </row>
    <row r="4" spans="1:7">
      <c r="A4" s="6" t="s">
        <v>33</v>
      </c>
      <c r="B4" s="6" t="s">
        <v>32</v>
      </c>
      <c r="C4" t="s">
        <v>1004</v>
      </c>
      <c r="F4" s="38" t="s">
        <v>1005</v>
      </c>
      <c r="G4" s="38" t="s">
        <v>33</v>
      </c>
    </row>
    <row r="5" spans="1:7">
      <c r="A5" t="s">
        <v>459</v>
      </c>
      <c r="B5" t="s">
        <v>458</v>
      </c>
      <c r="C5">
        <v>1</v>
      </c>
      <c r="F5" s="56" t="s">
        <v>459</v>
      </c>
      <c r="G5" s="58" t="s">
        <v>458</v>
      </c>
    </row>
    <row r="6" spans="1:7">
      <c r="A6" t="s">
        <v>497</v>
      </c>
      <c r="B6" t="s">
        <v>496</v>
      </c>
      <c r="C6">
        <v>1</v>
      </c>
      <c r="F6" s="56" t="s">
        <v>461</v>
      </c>
      <c r="G6" s="59" t="s">
        <v>460</v>
      </c>
    </row>
    <row r="7" spans="1:7">
      <c r="A7" t="s">
        <v>461</v>
      </c>
      <c r="B7" t="s">
        <v>460</v>
      </c>
      <c r="C7">
        <v>1</v>
      </c>
      <c r="F7" s="56" t="s">
        <v>1006</v>
      </c>
      <c r="G7" s="59" t="s">
        <v>108</v>
      </c>
    </row>
    <row r="8" spans="1:7">
      <c r="A8" t="s">
        <v>414</v>
      </c>
      <c r="B8" t="s">
        <v>413</v>
      </c>
      <c r="C8">
        <v>1</v>
      </c>
      <c r="F8" s="56" t="s">
        <v>497</v>
      </c>
      <c r="G8" s="59" t="s">
        <v>496</v>
      </c>
    </row>
    <row r="9" spans="1:7">
      <c r="A9" t="s">
        <v>403</v>
      </c>
      <c r="B9" t="s">
        <v>402</v>
      </c>
      <c r="C9">
        <v>1</v>
      </c>
      <c r="F9" s="56" t="s">
        <v>414</v>
      </c>
      <c r="G9" s="59" t="s">
        <v>413</v>
      </c>
    </row>
    <row r="10" spans="1:7">
      <c r="A10" t="s">
        <v>454</v>
      </c>
      <c r="B10" t="s">
        <v>453</v>
      </c>
      <c r="C10">
        <v>1</v>
      </c>
      <c r="F10" s="56" t="s">
        <v>403</v>
      </c>
      <c r="G10" s="59" t="s">
        <v>402</v>
      </c>
    </row>
    <row r="11" spans="1:7">
      <c r="A11" t="s">
        <v>452</v>
      </c>
      <c r="B11" t="s">
        <v>451</v>
      </c>
      <c r="C11">
        <v>1</v>
      </c>
      <c r="F11" s="60" t="s">
        <v>454</v>
      </c>
      <c r="G11" t="s">
        <v>453</v>
      </c>
    </row>
    <row r="12" spans="1:7">
      <c r="A12" t="s">
        <v>450</v>
      </c>
      <c r="B12" t="s">
        <v>449</v>
      </c>
      <c r="C12">
        <v>1</v>
      </c>
      <c r="G12" t="s">
        <v>451</v>
      </c>
    </row>
    <row r="13" spans="1:7">
      <c r="A13" t="s">
        <v>447</v>
      </c>
      <c r="B13" t="s">
        <v>446</v>
      </c>
      <c r="C13">
        <v>1</v>
      </c>
      <c r="G13" t="s">
        <v>449</v>
      </c>
    </row>
    <row r="14" spans="1:7">
      <c r="A14" t="s">
        <v>326</v>
      </c>
      <c r="C14">
        <v>9</v>
      </c>
      <c r="F14" s="57"/>
      <c r="G14" s="57" t="s">
        <v>446</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AB16B6-67A1-40B6-AEC8-F8F8A0B32F71}">
  <dimension ref="C3:R69"/>
  <sheetViews>
    <sheetView topLeftCell="D1" workbookViewId="0">
      <selection activeCell="A5" sqref="A5"/>
    </sheetView>
  </sheetViews>
  <sheetFormatPr defaultColWidth="8.85546875" defaultRowHeight="15"/>
  <cols>
    <col min="3" max="3" width="23" customWidth="1"/>
    <col min="4" max="4" width="15.42578125" style="122" customWidth="1"/>
    <col min="5" max="5" width="10" style="122" bestFit="1" customWidth="1"/>
    <col min="6" max="6" width="13.5703125" style="122" customWidth="1"/>
    <col min="7" max="7" width="10.5703125" style="122" customWidth="1"/>
    <col min="8" max="8" width="13.5703125" style="122" customWidth="1"/>
    <col min="9" max="9" width="19.42578125" style="122" customWidth="1"/>
    <col min="10" max="10" width="7.7109375" style="122" customWidth="1"/>
    <col min="11" max="11" width="7.85546875" style="122" bestFit="1" customWidth="1"/>
    <col min="12" max="14" width="13.5703125" style="122" customWidth="1"/>
    <col min="15" max="15" width="8.7109375" style="122" bestFit="1" customWidth="1"/>
  </cols>
  <sheetData>
    <row r="3" spans="3:18" ht="51" customHeight="1">
      <c r="C3" s="137"/>
      <c r="D3" s="138" t="s">
        <v>93</v>
      </c>
      <c r="E3" s="138" t="s">
        <v>80</v>
      </c>
      <c r="F3" s="138" t="s">
        <v>68</v>
      </c>
      <c r="G3" s="138" t="s">
        <v>133</v>
      </c>
      <c r="H3" s="138" t="s">
        <v>61</v>
      </c>
      <c r="I3" s="138" t="s">
        <v>16</v>
      </c>
      <c r="J3" s="138" t="s">
        <v>267</v>
      </c>
      <c r="K3" s="138" t="s">
        <v>4</v>
      </c>
      <c r="L3" s="138" t="s">
        <v>47</v>
      </c>
      <c r="M3" s="138" t="s">
        <v>356</v>
      </c>
      <c r="N3" s="138" t="s">
        <v>1007</v>
      </c>
      <c r="O3" s="138" t="s">
        <v>160</v>
      </c>
      <c r="P3" s="137"/>
    </row>
    <row r="4" spans="3:18">
      <c r="C4" s="139" t="s">
        <v>322</v>
      </c>
      <c r="D4" s="136">
        <f>COUNTIFS('Relacion '!$D$5:$D$205,'STATUS RI'!$C4,'Relacion '!$B$5:$B$205,'STATUS RI'!D$3)</f>
        <v>0</v>
      </c>
      <c r="E4" s="136">
        <f>COUNTIFS('Relacion '!$D$5:$D$205,'STATUS RI'!$C4,'Relacion '!$B$5:$B$205,'STATUS RI'!E$3)</f>
        <v>0</v>
      </c>
      <c r="F4" s="136">
        <f>COUNTIFS('Relacion '!$D$5:$D$205,'STATUS RI'!$C4,'Relacion '!$B$5:$B$205,'STATUS RI'!F$3)</f>
        <v>0</v>
      </c>
      <c r="G4" s="136">
        <f>COUNTIFS('Relacion '!$D$5:$D$205,'STATUS RI'!$C4,'Relacion '!$B$5:$B$205,'STATUS RI'!G$3)</f>
        <v>0</v>
      </c>
      <c r="H4" s="136">
        <f>COUNTIFS('Relacion '!$D$5:$D$205,'STATUS RI'!$C4,'Relacion '!$B$5:$B$205,'STATUS RI'!H$3)</f>
        <v>0</v>
      </c>
      <c r="I4" s="136">
        <f>COUNTIFS('Relacion '!$D$5:$D$205,'STATUS RI'!$C4,'Relacion '!$B$5:$B$205,'STATUS RI'!I$3)</f>
        <v>0</v>
      </c>
      <c r="J4" s="136">
        <f>COUNTIFS('Relacion '!$D$5:$D$205,'STATUS RI'!$C4,'Relacion '!$B$5:$B$205,'STATUS RI'!J$3)</f>
        <v>0</v>
      </c>
      <c r="K4" s="136">
        <f>COUNTIFS('Relacion '!$D$5:$D$205,'STATUS RI'!$C4,'Relacion '!$B$5:$B$205,'STATUS RI'!K$3)</f>
        <v>0</v>
      </c>
      <c r="L4" s="136">
        <f>COUNTIFS('Relacion '!$D$5:$D$205,'STATUS RI'!$C4,'Relacion '!$B$5:$B$205,'STATUS RI'!L$3)</f>
        <v>0</v>
      </c>
      <c r="M4" s="136">
        <f>COUNTIFS('Relacion '!$D$5:$D$205,'STATUS RI'!$C4,'Relacion '!$B$5:$B$205,'STATUS RI'!M$3)</f>
        <v>0</v>
      </c>
      <c r="N4" s="136">
        <f>COUNTIFS('Relacion '!$D$5:$D$205,'STATUS RI'!$C4,'Relacion '!$B$5:$B$205,'STATUS RI'!N$3)</f>
        <v>0</v>
      </c>
      <c r="O4" s="136">
        <f>COUNTIFS('Relacion '!$D$5:$D$205,'STATUS RI'!$C4,'Relacion '!$B$5:$B$205,'STATUS RI'!O$3)</f>
        <v>0</v>
      </c>
      <c r="P4" s="140">
        <f t="shared" ref="P4:P11" si="0">SUM(D4:O4)</f>
        <v>0</v>
      </c>
    </row>
    <row r="5" spans="3:18">
      <c r="C5" s="139" t="s">
        <v>195</v>
      </c>
      <c r="D5" s="136">
        <f>COUNTIFS('Relacion '!$D$5:$D$205,'STATUS RI'!$C5,'Relacion '!$B$5:$B$205,'STATUS RI'!D$3)</f>
        <v>28</v>
      </c>
      <c r="E5" s="136">
        <f>COUNTIFS('Relacion '!$D$5:$D$205,'STATUS RI'!$C5,'Relacion '!$B$5:$B$205,'STATUS RI'!E$3)</f>
        <v>1</v>
      </c>
      <c r="F5" s="136">
        <f>COUNTIFS('Relacion '!$D$5:$D$205,'STATUS RI'!$C5,'Relacion '!$B$5:$B$205,'STATUS RI'!F$3)</f>
        <v>2</v>
      </c>
      <c r="G5" s="136">
        <f>COUNTIFS('Relacion '!$D$5:$D$205,'STATUS RI'!$C5,'Relacion '!$B$5:$B$205,'STATUS RI'!G$3)</f>
        <v>0</v>
      </c>
      <c r="H5" s="136">
        <f>COUNTIFS('Relacion '!$D$5:$D$205,'STATUS RI'!$C5,'Relacion '!$B$5:$B$205,'STATUS RI'!H$3)</f>
        <v>0</v>
      </c>
      <c r="I5" s="136">
        <f>COUNTIFS('Relacion '!$D$5:$D$205,'STATUS RI'!$C5,'Relacion '!$B$5:$B$205,'STATUS RI'!I$3)</f>
        <v>5</v>
      </c>
      <c r="J5" s="136">
        <f>COUNTIFS('Relacion '!$D$5:$D$205,'STATUS RI'!$C5,'Relacion '!$B$5:$B$205,'STATUS RI'!J$3)</f>
        <v>1</v>
      </c>
      <c r="K5" s="136">
        <f>COUNTIFS('Relacion '!$D$5:$D$205,'STATUS RI'!$C5,'Relacion '!$B$5:$B$205,'STATUS RI'!K$3)</f>
        <v>5</v>
      </c>
      <c r="L5" s="136">
        <f>COUNTIFS('Relacion '!$D$5:$D$205,'STATUS RI'!$C5,'Relacion '!$B$5:$B$205,'STATUS RI'!L$3)</f>
        <v>1</v>
      </c>
      <c r="M5" s="136">
        <f>COUNTIFS('Relacion '!$D$5:$D$205,'STATUS RI'!$C5,'Relacion '!$B$5:$B$205,'STATUS RI'!M$3)</f>
        <v>0</v>
      </c>
      <c r="N5" s="136">
        <f>COUNTIFS('Relacion '!$D$5:$D$205,'STATUS RI'!$C5,'Relacion '!$B$5:$B$205,'STATUS RI'!N$3)</f>
        <v>0</v>
      </c>
      <c r="O5" s="136">
        <f>COUNTIFS('Relacion '!$D$5:$D$205,'STATUS RI'!$C5,'Relacion '!$B$5:$B$205,'STATUS RI'!O$3)</f>
        <v>5</v>
      </c>
      <c r="P5" s="140">
        <f t="shared" si="0"/>
        <v>48</v>
      </c>
      <c r="Q5">
        <v>18</v>
      </c>
      <c r="R5">
        <f>P5-Q5</f>
        <v>30</v>
      </c>
    </row>
    <row r="6" spans="3:18">
      <c r="C6" s="139" t="s">
        <v>49</v>
      </c>
      <c r="D6" s="136">
        <f>COUNTIFS('Relacion '!$D$5:$D$205,'STATUS RI'!$C6,'Relacion '!$B$5:$B$205,'STATUS RI'!D$3)</f>
        <v>0</v>
      </c>
      <c r="E6" s="136">
        <f>COUNTIFS('Relacion '!$D$5:$D$205,'STATUS RI'!$C6,'Relacion '!$B$5:$B$205,'STATUS RI'!E$3)</f>
        <v>1</v>
      </c>
      <c r="F6" s="136">
        <f>COUNTIFS('Relacion '!$D$5:$D$205,'STATUS RI'!$C6,'Relacion '!$B$5:$B$205,'STATUS RI'!F$3)</f>
        <v>0</v>
      </c>
      <c r="G6" s="136">
        <f>COUNTIFS('Relacion '!$D$5:$D$205,'STATUS RI'!$C6,'Relacion '!$B$5:$B$205,'STATUS RI'!G$3)</f>
        <v>0</v>
      </c>
      <c r="H6" s="136">
        <f>COUNTIFS('Relacion '!$D$5:$D$205,'STATUS RI'!$C6,'Relacion '!$B$5:$B$205,'STATUS RI'!H$3)</f>
        <v>0</v>
      </c>
      <c r="I6" s="136">
        <f>COUNTIFS('Relacion '!$D$5:$D$205,'STATUS RI'!$C6,'Relacion '!$B$5:$B$205,'STATUS RI'!I$3)</f>
        <v>0</v>
      </c>
      <c r="J6" s="136">
        <f>COUNTIFS('Relacion '!$D$5:$D$205,'STATUS RI'!$C6,'Relacion '!$B$5:$B$205,'STATUS RI'!J$3)</f>
        <v>0</v>
      </c>
      <c r="K6" s="136">
        <f>COUNTIFS('Relacion '!$D$5:$D$205,'STATUS RI'!$C6,'Relacion '!$B$5:$B$205,'STATUS RI'!K$3)</f>
        <v>0</v>
      </c>
      <c r="L6" s="136">
        <f>COUNTIFS('Relacion '!$D$5:$D$205,'STATUS RI'!$C6,'Relacion '!$B$5:$B$205,'STATUS RI'!L$3)</f>
        <v>0</v>
      </c>
      <c r="M6" s="136">
        <f>COUNTIFS('Relacion '!$D$5:$D$205,'STATUS RI'!$C6,'Relacion '!$B$5:$B$205,'STATUS RI'!M$3)</f>
        <v>0</v>
      </c>
      <c r="N6" s="136">
        <f>COUNTIFS('Relacion '!$D$5:$D$205,'STATUS RI'!$C6,'Relacion '!$B$5:$B$205,'STATUS RI'!N$3)</f>
        <v>0</v>
      </c>
      <c r="O6" s="136">
        <f>COUNTIFS('Relacion '!$D$5:$D$205,'STATUS RI'!$C6,'Relacion '!$B$5:$B$205,'STATUS RI'!O$3)</f>
        <v>0</v>
      </c>
      <c r="P6" s="140">
        <f t="shared" si="0"/>
        <v>1</v>
      </c>
    </row>
    <row r="7" spans="3:18">
      <c r="C7" s="139" t="s">
        <v>324</v>
      </c>
      <c r="D7" s="136">
        <f>COUNTIFS('Relacion '!$D$5:$D$205,'STATUS RI'!$C7,'Relacion '!$B$5:$B$205,'STATUS RI'!D$3)</f>
        <v>19</v>
      </c>
      <c r="E7" s="136">
        <f>COUNTIFS('Relacion '!$D$5:$D$205,'STATUS RI'!$C7,'Relacion '!$B$5:$B$205,'STATUS RI'!E$3)</f>
        <v>0</v>
      </c>
      <c r="F7" s="136">
        <f>COUNTIFS('Relacion '!$D$5:$D$205,'STATUS RI'!$C7,'Relacion '!$B$5:$B$205,'STATUS RI'!F$3)</f>
        <v>14</v>
      </c>
      <c r="G7" s="136">
        <f>COUNTIFS('Relacion '!$D$5:$D$205,'STATUS RI'!$C7,'Relacion '!$B$5:$B$205,'STATUS RI'!G$3)</f>
        <v>1</v>
      </c>
      <c r="H7" s="136">
        <f>COUNTIFS('Relacion '!$D$5:$D$205,'STATUS RI'!$C7,'Relacion '!$B$5:$B$205,'STATUS RI'!H$3)</f>
        <v>10</v>
      </c>
      <c r="I7" s="136">
        <f>COUNTIFS('Relacion '!$D$5:$D$205,'STATUS RI'!$C7,'Relacion '!$B$5:$B$205,'STATUS RI'!I$3)</f>
        <v>2</v>
      </c>
      <c r="J7" s="136">
        <f>COUNTIFS('Relacion '!$D$5:$D$205,'STATUS RI'!$C7,'Relacion '!$B$5:$B$205,'STATUS RI'!J$3)</f>
        <v>0</v>
      </c>
      <c r="K7" s="136">
        <f>COUNTIFS('Relacion '!$D$5:$D$205,'STATUS RI'!$C7,'Relacion '!$B$5:$B$205,'STATUS RI'!K$3)</f>
        <v>1</v>
      </c>
      <c r="L7" s="136">
        <f>COUNTIFS('Relacion '!$D$5:$D$205,'STATUS RI'!$C7,'Relacion '!$B$5:$B$205,'STATUS RI'!L$3)</f>
        <v>0</v>
      </c>
      <c r="M7" s="136">
        <f>COUNTIFS('Relacion '!$D$5:$D$205,'STATUS RI'!$C7,'Relacion '!$B$5:$B$205,'STATUS RI'!M$3)</f>
        <v>0</v>
      </c>
      <c r="N7" s="136">
        <f>COUNTIFS('Relacion '!$D$5:$D$205,'STATUS RI'!$C7,'Relacion '!$B$5:$B$205,'STATUS RI'!N$3)</f>
        <v>0</v>
      </c>
      <c r="O7" s="136">
        <f>COUNTIFS('Relacion '!$D$5:$D$205,'STATUS RI'!$C7,'Relacion '!$B$5:$B$205,'STATUS RI'!O$3)</f>
        <v>0</v>
      </c>
      <c r="P7" s="140">
        <f t="shared" si="0"/>
        <v>47</v>
      </c>
    </row>
    <row r="8" spans="3:18">
      <c r="C8" s="139" t="s">
        <v>320</v>
      </c>
      <c r="D8" s="136">
        <f>COUNTIFS('Relacion '!$D$5:$D$205,'STATUS RI'!$C8,'Relacion '!$B$5:$B$205,'STATUS RI'!D$3)</f>
        <v>0</v>
      </c>
      <c r="E8" s="136">
        <f>COUNTIFS('Relacion '!$D$5:$D$205,'STATUS RI'!$C8,'Relacion '!$B$5:$B$205,'STATUS RI'!E$3)</f>
        <v>0</v>
      </c>
      <c r="F8" s="136">
        <f>COUNTIFS('Relacion '!$D$5:$D$205,'STATUS RI'!$C8,'Relacion '!$B$5:$B$205,'STATUS RI'!F$3)</f>
        <v>0</v>
      </c>
      <c r="G8" s="136">
        <f>COUNTIFS('Relacion '!$D$5:$D$205,'STATUS RI'!$C8,'Relacion '!$B$5:$B$205,'STATUS RI'!G$3)</f>
        <v>0</v>
      </c>
      <c r="H8" s="136">
        <f>COUNTIFS('Relacion '!$D$5:$D$205,'STATUS RI'!$C8,'Relacion '!$B$5:$B$205,'STATUS RI'!H$3)</f>
        <v>0</v>
      </c>
      <c r="I8" s="136">
        <f>COUNTIFS('Relacion '!$D$5:$D$205,'STATUS RI'!$C8,'Relacion '!$B$5:$B$205,'STATUS RI'!I$3)</f>
        <v>0</v>
      </c>
      <c r="J8" s="136">
        <f>COUNTIFS('Relacion '!$D$5:$D$205,'STATUS RI'!$C8,'Relacion '!$B$5:$B$205,'STATUS RI'!J$3)</f>
        <v>0</v>
      </c>
      <c r="K8" s="136">
        <f>COUNTIFS('Relacion '!$D$5:$D$205,'STATUS RI'!$C8,'Relacion '!$B$5:$B$205,'STATUS RI'!K$3)</f>
        <v>0</v>
      </c>
      <c r="L8" s="136">
        <f>COUNTIFS('Relacion '!$D$5:$D$205,'STATUS RI'!$C8,'Relacion '!$B$5:$B$205,'STATUS RI'!L$3)</f>
        <v>0</v>
      </c>
      <c r="M8" s="136">
        <f>COUNTIFS('Relacion '!$D$5:$D$205,'STATUS RI'!$C8,'Relacion '!$B$5:$B$205,'STATUS RI'!M$3)</f>
        <v>0</v>
      </c>
      <c r="N8" s="136">
        <f>COUNTIFS('Relacion '!$D$5:$D$205,'STATUS RI'!$C8,'Relacion '!$B$5:$B$205,'STATUS RI'!N$3)</f>
        <v>0</v>
      </c>
      <c r="O8" s="136">
        <f>COUNTIFS('Relacion '!$D$5:$D$205,'STATUS RI'!$C8,'Relacion '!$B$5:$B$205,'STATUS RI'!O$3)</f>
        <v>0</v>
      </c>
      <c r="P8" s="140">
        <f t="shared" si="0"/>
        <v>0</v>
      </c>
    </row>
    <row r="9" spans="3:18">
      <c r="C9" s="139" t="s">
        <v>710</v>
      </c>
      <c r="D9" s="136">
        <f>COUNTIFS('Relacion '!$D$5:$D$205,'STATUS RI'!$C9,'Relacion '!$B$5:$B$205,'STATUS RI'!D$3)</f>
        <v>0</v>
      </c>
      <c r="E9" s="136">
        <f>COUNTIFS('Relacion '!$D$5:$D$205,'STATUS RI'!$C9,'Relacion '!$B$5:$B$205,'STATUS RI'!E$3)</f>
        <v>0</v>
      </c>
      <c r="F9" s="136">
        <f>COUNTIFS('Relacion '!$D$5:$D$205,'STATUS RI'!$C9,'Relacion '!$B$5:$B$205,'STATUS RI'!F$3)</f>
        <v>0</v>
      </c>
      <c r="G9" s="136">
        <f>COUNTIFS('Relacion '!$D$5:$D$205,'STATUS RI'!$C9,'Relacion '!$B$5:$B$205,'STATUS RI'!G$3)</f>
        <v>42</v>
      </c>
      <c r="H9" s="136">
        <f>COUNTIFS('Relacion '!$D$5:$D$205,'STATUS RI'!$C9,'Relacion '!$B$5:$B$205,'STATUS RI'!H$3)</f>
        <v>0</v>
      </c>
      <c r="I9" s="136">
        <f>COUNTIFS('Relacion '!$D$5:$D$205,'STATUS RI'!$C9,'Relacion '!$B$5:$B$205,'STATUS RI'!I$3)</f>
        <v>9</v>
      </c>
      <c r="J9" s="136">
        <f>COUNTIFS('Relacion '!$D$5:$D$205,'STATUS RI'!$C9,'Relacion '!$B$5:$B$205,'STATUS RI'!J$3)</f>
        <v>0</v>
      </c>
      <c r="K9" s="136">
        <f>COUNTIFS('Relacion '!$D$5:$D$205,'STATUS RI'!$C9,'Relacion '!$B$5:$B$205,'STATUS RI'!K$3)</f>
        <v>13</v>
      </c>
      <c r="L9" s="136">
        <f>COUNTIFS('Relacion '!$D$5:$D$205,'STATUS RI'!$C9,'Relacion '!$B$5:$B$205,'STATUS RI'!L$3)</f>
        <v>0</v>
      </c>
      <c r="M9" s="136">
        <f>COUNTIFS('Relacion '!$D$5:$D$205,'STATUS RI'!$C9,'Relacion '!$B$5:$B$205,'STATUS RI'!M$3)</f>
        <v>1</v>
      </c>
      <c r="N9" s="136">
        <f>COUNTIFS('Relacion '!$D$5:$D$205,'STATUS RI'!$C9,'Relacion '!$B$5:$B$205,'STATUS RI'!N$3)</f>
        <v>0</v>
      </c>
      <c r="O9" s="136">
        <f>COUNTIFS('Relacion '!$D$5:$D$205,'STATUS RI'!$C9,'Relacion '!$B$5:$B$205,'STATUS RI'!O$3)</f>
        <v>0</v>
      </c>
      <c r="P9" s="140">
        <f t="shared" si="0"/>
        <v>65</v>
      </c>
      <c r="Q9" s="135">
        <f>SUM(P4:P9)</f>
        <v>161</v>
      </c>
    </row>
    <row r="10" spans="3:18">
      <c r="C10" s="139" t="s">
        <v>655</v>
      </c>
      <c r="D10" s="136">
        <f>COUNTIFS('Relacion '!$D$5:$D$205,'STATUS RI'!$C10,'Relacion '!$B$5:$B$205,'STATUS RI'!D$3)</f>
        <v>6</v>
      </c>
      <c r="E10" s="136">
        <f>COUNTIFS('Relacion '!$D$5:$D$205,'STATUS RI'!$C10,'Relacion '!$B$5:$B$205,'STATUS RI'!E$3)</f>
        <v>0</v>
      </c>
      <c r="F10" s="136">
        <f>COUNTIFS('Relacion '!$D$5:$D$205,'STATUS RI'!$C10,'Relacion '!$B$5:$B$205,'STATUS RI'!F$3)</f>
        <v>0</v>
      </c>
      <c r="G10" s="136">
        <f>COUNTIFS('Relacion '!$D$5:$D$205,'STATUS RI'!$C10,'Relacion '!$B$5:$B$205,'STATUS RI'!G$3)</f>
        <v>0</v>
      </c>
      <c r="H10" s="136">
        <f>COUNTIFS('Relacion '!$D$5:$D$205,'STATUS RI'!$C10,'Relacion '!$B$5:$B$205,'STATUS RI'!H$3)</f>
        <v>0</v>
      </c>
      <c r="I10" s="136">
        <f>COUNTIFS('Relacion '!$D$5:$D$205,'STATUS RI'!$C10,'Relacion '!$B$5:$B$205,'STATUS RI'!I$3)</f>
        <v>0</v>
      </c>
      <c r="J10" s="136">
        <f>COUNTIFS('Relacion '!$D$5:$D$205,'STATUS RI'!$C10,'Relacion '!$B$5:$B$205,'STATUS RI'!J$3)</f>
        <v>0</v>
      </c>
      <c r="K10" s="136">
        <f>COUNTIFS('Relacion '!$D$5:$D$205,'STATUS RI'!$C10,'Relacion '!$B$5:$B$205,'STATUS RI'!K$3)</f>
        <v>0</v>
      </c>
      <c r="L10" s="136">
        <f>COUNTIFS('Relacion '!$D$5:$D$205,'STATUS RI'!$C10,'Relacion '!$B$5:$B$205,'STATUS RI'!L$3)</f>
        <v>0</v>
      </c>
      <c r="M10" s="136">
        <f>COUNTIFS('Relacion '!$D$5:$D$205,'STATUS RI'!$C10,'Relacion '!$B$5:$B$205,'STATUS RI'!M$3)</f>
        <v>0</v>
      </c>
      <c r="N10" s="136">
        <f>COUNTIFS('Relacion '!$D$5:$D$205,'STATUS RI'!$C10,'Relacion '!$B$5:$B$205,'STATUS RI'!N$3)</f>
        <v>0</v>
      </c>
      <c r="O10" s="136">
        <f>COUNTIFS('Relacion '!$D$5:$D$205,'STATUS RI'!$C10,'Relacion '!$B$5:$B$205,'STATUS RI'!O$3)</f>
        <v>0</v>
      </c>
      <c r="P10" s="140">
        <f t="shared" ref="P10" si="1">SUM(D10:O10)</f>
        <v>6</v>
      </c>
      <c r="Q10" s="7"/>
    </row>
    <row r="11" spans="3:18">
      <c r="C11" s="139" t="s">
        <v>656</v>
      </c>
      <c r="D11" s="136">
        <f>COUNTIFS('Relacion '!$D$5:$D$205,'STATUS RI'!$C11,'Relacion '!$B$5:$B$205,'STATUS RI'!D$3)</f>
        <v>3</v>
      </c>
      <c r="E11" s="136">
        <f>COUNTIFS('Relacion '!$D$5:$D$205,'STATUS RI'!$C11,'Relacion '!$B$5:$B$205,'STATUS RI'!E$3)</f>
        <v>0</v>
      </c>
      <c r="F11" s="136">
        <f>COUNTIFS('Relacion '!$D$5:$D$205,'STATUS RI'!$C11,'Relacion '!$B$5:$B$205,'STATUS RI'!F$3)</f>
        <v>6</v>
      </c>
      <c r="G11" s="136">
        <f>COUNTIFS('Relacion '!$D$5:$D$205,'STATUS RI'!$C11,'Relacion '!$B$5:$B$205,'STATUS RI'!G$3)</f>
        <v>12</v>
      </c>
      <c r="H11" s="136">
        <f>COUNTIFS('Relacion '!$D$5:$D$205,'STATUS RI'!$C11,'Relacion '!$B$5:$B$205,'STATUS RI'!H$3)</f>
        <v>6</v>
      </c>
      <c r="I11" s="136">
        <f>COUNTIFS('Relacion '!$D$5:$D$205,'STATUS RI'!$C11,'Relacion '!$B$5:$B$205,'STATUS RI'!I$3)</f>
        <v>0</v>
      </c>
      <c r="J11" s="136">
        <f>COUNTIFS('Relacion '!$D$5:$D$205,'STATUS RI'!$C11,'Relacion '!$B$5:$B$205,'STATUS RI'!J$3)</f>
        <v>0</v>
      </c>
      <c r="K11" s="136">
        <f>COUNTIFS('Relacion '!$D$5:$D$205,'STATUS RI'!$C11,'Relacion '!$B$5:$B$205,'STATUS RI'!K$3)</f>
        <v>0</v>
      </c>
      <c r="L11" s="136">
        <f>COUNTIFS('Relacion '!$D$5:$D$205,'STATUS RI'!$C11,'Relacion '!$B$5:$B$205,'STATUS RI'!L$3)</f>
        <v>0</v>
      </c>
      <c r="M11" s="136">
        <f>COUNTIFS('Relacion '!$D$5:$D$205,'STATUS RI'!$C11,'Relacion '!$B$5:$B$205,'STATUS RI'!M$3)</f>
        <v>0</v>
      </c>
      <c r="N11" s="136">
        <f>COUNTIFS('Relacion '!$D$5:$D$205,'STATUS RI'!$C11,'Relacion '!$B$5:$B$205,'STATUS RI'!N$3)</f>
        <v>0</v>
      </c>
      <c r="O11" s="136">
        <f>COUNTIFS('Relacion '!$D$5:$D$205,'STATUS RI'!$C11,'Relacion '!$B$5:$B$205,'STATUS RI'!O$3)</f>
        <v>0</v>
      </c>
      <c r="P11" s="140">
        <f t="shared" si="0"/>
        <v>27</v>
      </c>
      <c r="Q11" s="7" t="s">
        <v>1008</v>
      </c>
    </row>
    <row r="12" spans="3:18">
      <c r="C12" s="137"/>
      <c r="D12" s="141">
        <f>SUM(D4:D11)</f>
        <v>56</v>
      </c>
      <c r="E12" s="141">
        <f t="shared" ref="E12:O12" si="2">SUM(E4:E11)</f>
        <v>2</v>
      </c>
      <c r="F12" s="141">
        <f t="shared" si="2"/>
        <v>22</v>
      </c>
      <c r="G12" s="141">
        <f t="shared" si="2"/>
        <v>55</v>
      </c>
      <c r="H12" s="141">
        <f t="shared" si="2"/>
        <v>16</v>
      </c>
      <c r="I12" s="141">
        <f t="shared" si="2"/>
        <v>16</v>
      </c>
      <c r="J12" s="141">
        <f t="shared" si="2"/>
        <v>1</v>
      </c>
      <c r="K12" s="141">
        <f t="shared" si="2"/>
        <v>19</v>
      </c>
      <c r="L12" s="141">
        <f t="shared" si="2"/>
        <v>1</v>
      </c>
      <c r="M12" s="141">
        <f t="shared" si="2"/>
        <v>1</v>
      </c>
      <c r="N12" s="141">
        <f t="shared" si="2"/>
        <v>0</v>
      </c>
      <c r="O12" s="141">
        <f t="shared" si="2"/>
        <v>5</v>
      </c>
      <c r="P12" s="140">
        <f>SUM(P4:P11)</f>
        <v>194</v>
      </c>
    </row>
    <row r="15" spans="3:18">
      <c r="E15" s="151">
        <v>0.2</v>
      </c>
      <c r="F15" s="152">
        <v>0.49</v>
      </c>
      <c r="G15" s="152">
        <v>0.79</v>
      </c>
      <c r="H15" s="152">
        <v>1</v>
      </c>
    </row>
    <row r="16" spans="3:18">
      <c r="E16" s="322" t="s">
        <v>1009</v>
      </c>
      <c r="F16" s="323"/>
      <c r="G16" s="323"/>
      <c r="H16" s="324"/>
    </row>
    <row r="17" spans="3:10" ht="45">
      <c r="C17" s="153" t="s">
        <v>1010</v>
      </c>
      <c r="D17" s="154" t="s">
        <v>1011</v>
      </c>
      <c r="E17" s="147" t="s">
        <v>1012</v>
      </c>
      <c r="F17" s="148" t="s">
        <v>1013</v>
      </c>
      <c r="G17" s="149" t="s">
        <v>1014</v>
      </c>
      <c r="H17" s="150" t="s">
        <v>1015</v>
      </c>
      <c r="I17" s="154" t="s">
        <v>1016</v>
      </c>
      <c r="J17" s="154" t="s">
        <v>1017</v>
      </c>
    </row>
    <row r="18" spans="3:10">
      <c r="C18" s="155" t="s">
        <v>93</v>
      </c>
      <c r="D18" s="161">
        <f>COUNTIFS('Relacion '!$B:$B,'STATUS RI'!C18,'Relacion '!$D:$D,'STATUS RI'!$C$5)</f>
        <v>28</v>
      </c>
      <c r="E18" s="160" t="e">
        <f>COUNTIFS('Relacion '!$B:$B,'STATUS RI'!$C18,'Relacion '!$D:$D,'STATUS RI'!$C$5,'Relacion '!#REF!,"&lt;="&amp;'STATUS RI'!E$15)</f>
        <v>#REF!</v>
      </c>
      <c r="F18" s="160" t="e">
        <f>COUNTIFS('Relacion '!$B:$B,'STATUS RI'!$C18,'Relacion '!$D:$D,'STATUS RI'!$C$5,'Relacion '!#REF!,"&lt;="&amp;'STATUS RI'!F$15)-E18</f>
        <v>#REF!</v>
      </c>
      <c r="G18" s="160" t="e">
        <f>COUNTIFS('Relacion '!$B:$B,'STATUS RI'!$C18,'Relacion '!$D:$D,'STATUS RI'!$C$5,'Relacion '!#REF!,"&lt;="&amp;'STATUS RI'!G$15)-SUM($E18:F18)</f>
        <v>#REF!</v>
      </c>
      <c r="H18" s="160" t="e">
        <f>COUNTIFS('Relacion '!$B:$B,'STATUS RI'!$C18,'Relacion '!$D:$D,'STATUS RI'!$C$5,'Relacion '!#REF!,"&lt;="&amp;'STATUS RI'!H$15)-SUM($E18:G18)</f>
        <v>#REF!</v>
      </c>
      <c r="I18" s="161" t="e">
        <f>SUM(E18:H18)</f>
        <v>#REF!</v>
      </c>
      <c r="J18" s="161" t="e">
        <f>D18-I18</f>
        <v>#REF!</v>
      </c>
    </row>
    <row r="19" spans="3:10">
      <c r="C19" s="156" t="s">
        <v>80</v>
      </c>
      <c r="D19" s="161">
        <f>COUNTIFS('Relacion '!$B:$B,'STATUS RI'!C19,'Relacion '!$D:$D,'STATUS RI'!$C$5)</f>
        <v>1</v>
      </c>
      <c r="E19" s="160" t="e">
        <f>COUNTIFS('Relacion '!$B:$B,'STATUS RI'!$C19,'Relacion '!$D:$D,'STATUS RI'!$C$5,'Relacion '!#REF!,"&lt;="&amp;'STATUS RI'!E$15)</f>
        <v>#REF!</v>
      </c>
      <c r="F19" s="160" t="e">
        <f>COUNTIFS('Relacion '!$B:$B,'STATUS RI'!$C19,'Relacion '!$D:$D,'STATUS RI'!$C$5,'Relacion '!#REF!,"&lt;="&amp;'STATUS RI'!F$15)-E19</f>
        <v>#REF!</v>
      </c>
      <c r="G19" s="160" t="e">
        <f>COUNTIFS('Relacion '!$B:$B,'STATUS RI'!$C19,'Relacion '!$D:$D,'STATUS RI'!$C$5,'Relacion '!#REF!,"&lt;="&amp;'STATUS RI'!G$15)-SUM($E19:F19)</f>
        <v>#REF!</v>
      </c>
      <c r="H19" s="160" t="e">
        <f>COUNTIFS('Relacion '!$B:$B,'STATUS RI'!$C19,'Relacion '!$D:$D,'STATUS RI'!$C$5,'Relacion '!#REF!,"&lt;="&amp;'STATUS RI'!H$15)-SUM($E19:G19)</f>
        <v>#REF!</v>
      </c>
      <c r="I19" s="161" t="e">
        <f>SUM(E19:H19)</f>
        <v>#REF!</v>
      </c>
      <c r="J19" s="161" t="e">
        <f t="shared" ref="J19:J29" si="3">D19-I19</f>
        <v>#REF!</v>
      </c>
    </row>
    <row r="20" spans="3:10">
      <c r="C20" s="156" t="s">
        <v>68</v>
      </c>
      <c r="D20" s="161">
        <f>COUNTIFS('Relacion '!$B:$B,'STATUS RI'!C20,'Relacion '!$D:$D,'STATUS RI'!$C$5)</f>
        <v>2</v>
      </c>
      <c r="E20" s="160" t="e">
        <f>COUNTIFS('Relacion '!$B:$B,'STATUS RI'!$C20,'Relacion '!$D:$D,'STATUS RI'!$C$5,'Relacion '!#REF!,"&lt;="&amp;'STATUS RI'!E$15)</f>
        <v>#REF!</v>
      </c>
      <c r="F20" s="160" t="e">
        <f>COUNTIFS('Relacion '!$B:$B,'STATUS RI'!$C20,'Relacion '!$D:$D,'STATUS RI'!$C$5,'Relacion '!#REF!,"&lt;="&amp;'STATUS RI'!F$15)-E20</f>
        <v>#REF!</v>
      </c>
      <c r="G20" s="160" t="e">
        <f>COUNTIFS('Relacion '!$B:$B,'STATUS RI'!$C20,'Relacion '!$D:$D,'STATUS RI'!$C$5,'Relacion '!#REF!,"&lt;="&amp;'STATUS RI'!G$15)-SUM($E20:F20)</f>
        <v>#REF!</v>
      </c>
      <c r="H20" s="160" t="e">
        <f>COUNTIFS('Relacion '!$B:$B,'STATUS RI'!$C20,'Relacion '!$D:$D,'STATUS RI'!$C$5,'Relacion '!#REF!,"&lt;="&amp;'STATUS RI'!H$15)-SUM($E20:G20)</f>
        <v>#REF!</v>
      </c>
      <c r="I20" s="157" t="e">
        <f t="shared" ref="I20:I24" si="4">SUM(E20:H20)</f>
        <v>#REF!</v>
      </c>
      <c r="J20" s="157" t="e">
        <f t="shared" si="3"/>
        <v>#REF!</v>
      </c>
    </row>
    <row r="21" spans="3:10">
      <c r="C21" s="156" t="s">
        <v>133</v>
      </c>
      <c r="D21" s="161">
        <f>COUNTIFS('Relacion '!$B:$B,'STATUS RI'!C21,'Relacion '!$D:$D,'STATUS RI'!$C$5)</f>
        <v>0</v>
      </c>
      <c r="E21" s="160" t="e">
        <f>COUNTIFS('Relacion '!$B:$B,'STATUS RI'!$C21,'Relacion '!$D:$D,'STATUS RI'!$C$5,'Relacion '!#REF!,"&lt;="&amp;'STATUS RI'!E$15)</f>
        <v>#REF!</v>
      </c>
      <c r="F21" s="160" t="e">
        <f>COUNTIFS('Relacion '!$B:$B,'STATUS RI'!$C21,'Relacion '!$D:$D,'STATUS RI'!$C$5,'Relacion '!#REF!,"&lt;="&amp;'STATUS RI'!F$15)-E21</f>
        <v>#REF!</v>
      </c>
      <c r="G21" s="160" t="e">
        <f>COUNTIFS('Relacion '!$B:$B,'STATUS RI'!$C21,'Relacion '!$D:$D,'STATUS RI'!$C$5,'Relacion '!#REF!,"&lt;="&amp;'STATUS RI'!G$15)-SUM($E21:F21)</f>
        <v>#REF!</v>
      </c>
      <c r="H21" s="160" t="e">
        <f>COUNTIFS('Relacion '!$B:$B,'STATUS RI'!$C21,'Relacion '!$D:$D,'STATUS RI'!$C$5,'Relacion '!#REF!,"&lt;="&amp;'STATUS RI'!H$15)-SUM($E21:G21)</f>
        <v>#REF!</v>
      </c>
      <c r="I21" s="157" t="e">
        <f t="shared" si="4"/>
        <v>#REF!</v>
      </c>
      <c r="J21" s="157" t="e">
        <f t="shared" si="3"/>
        <v>#REF!</v>
      </c>
    </row>
    <row r="22" spans="3:10">
      <c r="C22" s="156" t="s">
        <v>61</v>
      </c>
      <c r="D22" s="161">
        <f>COUNTIFS('Relacion '!$B:$B,'STATUS RI'!C22,'Relacion '!$D:$D,'STATUS RI'!$C$5)</f>
        <v>0</v>
      </c>
      <c r="E22" s="160" t="e">
        <f>COUNTIFS('Relacion '!$B:$B,'STATUS RI'!$C22,'Relacion '!$D:$D,'STATUS RI'!$C$5,'Relacion '!#REF!,"&lt;="&amp;'STATUS RI'!E$15)</f>
        <v>#REF!</v>
      </c>
      <c r="F22" s="160" t="e">
        <f>COUNTIFS('Relacion '!$B:$B,'STATUS RI'!$C22,'Relacion '!$D:$D,'STATUS RI'!$C$5,'Relacion '!#REF!,"&lt;="&amp;'STATUS RI'!F$15)-E22</f>
        <v>#REF!</v>
      </c>
      <c r="G22" s="160" t="e">
        <f>COUNTIFS('Relacion '!$B:$B,'STATUS RI'!$C22,'Relacion '!$D:$D,'STATUS RI'!$C$5,'Relacion '!#REF!,"&lt;="&amp;'STATUS RI'!G$15)-SUM($E22:F22)</f>
        <v>#REF!</v>
      </c>
      <c r="H22" s="160" t="e">
        <f>COUNTIFS('Relacion '!$B:$B,'STATUS RI'!$C22,'Relacion '!$D:$D,'STATUS RI'!$C$5,'Relacion '!#REF!,"&lt;="&amp;'STATUS RI'!H$15)-SUM($E22:G22)</f>
        <v>#REF!</v>
      </c>
      <c r="I22" s="157" t="e">
        <f t="shared" si="4"/>
        <v>#REF!</v>
      </c>
      <c r="J22" s="157" t="e">
        <f t="shared" si="3"/>
        <v>#REF!</v>
      </c>
    </row>
    <row r="23" spans="3:10">
      <c r="C23" s="156" t="s">
        <v>16</v>
      </c>
      <c r="D23" s="161">
        <f>COUNTIFS('Relacion '!$B:$B,'STATUS RI'!C23,'Relacion '!$D:$D,'STATUS RI'!$C$5)</f>
        <v>5</v>
      </c>
      <c r="E23" s="160" t="e">
        <f>COUNTIFS('Relacion '!$B:$B,'STATUS RI'!$C23,'Relacion '!$D:$D,'STATUS RI'!$C$5,'Relacion '!#REF!,"&lt;="&amp;'STATUS RI'!E$15)</f>
        <v>#REF!</v>
      </c>
      <c r="F23" s="160" t="e">
        <f>COUNTIFS('Relacion '!$B:$B,'STATUS RI'!$C23,'Relacion '!$D:$D,'STATUS RI'!$C$5,'Relacion '!#REF!,"&lt;="&amp;'STATUS RI'!F$15)-E23</f>
        <v>#REF!</v>
      </c>
      <c r="G23" s="160" t="e">
        <f>COUNTIFS('Relacion '!$B:$B,'STATUS RI'!$C23,'Relacion '!$D:$D,'STATUS RI'!$C$5,'Relacion '!#REF!,"&lt;="&amp;'STATUS RI'!G$15)-SUM($E23:F23)</f>
        <v>#REF!</v>
      </c>
      <c r="H23" s="160" t="e">
        <f>COUNTIFS('Relacion '!$B:$B,'STATUS RI'!$C23,'Relacion '!$D:$D,'STATUS RI'!$C$5,'Relacion '!#REF!,"&lt;="&amp;'STATUS RI'!H$15)-SUM($E23:G23)</f>
        <v>#REF!</v>
      </c>
      <c r="I23" s="157" t="e">
        <f t="shared" si="4"/>
        <v>#REF!</v>
      </c>
      <c r="J23" s="157" t="e">
        <f t="shared" si="3"/>
        <v>#REF!</v>
      </c>
    </row>
    <row r="24" spans="3:10">
      <c r="C24" s="156" t="s">
        <v>267</v>
      </c>
      <c r="D24" s="161">
        <f>COUNTIFS('Relacion '!$B:$B,'STATUS RI'!C24,'Relacion '!$D:$D,'STATUS RI'!$C$5)</f>
        <v>1</v>
      </c>
      <c r="E24" s="160" t="e">
        <f>COUNTIFS('Relacion '!$B:$B,'STATUS RI'!$C24,'Relacion '!$D:$D,'STATUS RI'!$C$5,'Relacion '!#REF!,"&lt;="&amp;'STATUS RI'!E$15)</f>
        <v>#REF!</v>
      </c>
      <c r="F24" s="160" t="e">
        <f>COUNTIFS('Relacion '!$B:$B,'STATUS RI'!$C24,'Relacion '!$D:$D,'STATUS RI'!$C$5,'Relacion '!#REF!,"&lt;="&amp;'STATUS RI'!F$15)-E24</f>
        <v>#REF!</v>
      </c>
      <c r="G24" s="160" t="e">
        <f>COUNTIFS('Relacion '!$B:$B,'STATUS RI'!$C24,'Relacion '!$D:$D,'STATUS RI'!$C$5,'Relacion '!#REF!,"&lt;="&amp;'STATUS RI'!G$15)-SUM($E24:F24)</f>
        <v>#REF!</v>
      </c>
      <c r="H24" s="160" t="e">
        <f>COUNTIFS('Relacion '!$B:$B,'STATUS RI'!$C24,'Relacion '!$D:$D,'STATUS RI'!$C$5,'Relacion '!#REF!,"&lt;="&amp;'STATUS RI'!H$15)-SUM($E24:G24)</f>
        <v>#REF!</v>
      </c>
      <c r="I24" s="157" t="e">
        <f t="shared" si="4"/>
        <v>#REF!</v>
      </c>
      <c r="J24" s="157" t="e">
        <f t="shared" si="3"/>
        <v>#REF!</v>
      </c>
    </row>
    <row r="25" spans="3:10">
      <c r="C25" s="156" t="s">
        <v>4</v>
      </c>
      <c r="D25" s="161">
        <f>COUNTIFS('Relacion '!$B:$B,'STATUS RI'!C25,'Relacion '!$D:$D,'STATUS RI'!$C$5)</f>
        <v>5</v>
      </c>
      <c r="E25" s="160" t="e">
        <f>COUNTIFS('Relacion '!$B:$B,'STATUS RI'!$C25,'Relacion '!$D:$D,'STATUS RI'!$C$5,'Relacion '!#REF!,"&lt;="&amp;'STATUS RI'!E$15)</f>
        <v>#REF!</v>
      </c>
      <c r="F25" s="160" t="e">
        <f>COUNTIFS('Relacion '!$B:$B,'STATUS RI'!$C25,'Relacion '!$D:$D,'STATUS RI'!$C$5,'Relacion '!#REF!,"&lt;="&amp;'STATUS RI'!F$15)-E25</f>
        <v>#REF!</v>
      </c>
      <c r="G25" s="160" t="e">
        <f>COUNTIFS('Relacion '!$B:$B,'STATUS RI'!$C25,'Relacion '!$D:$D,'STATUS RI'!$C$5,'Relacion '!#REF!,"&lt;="&amp;'STATUS RI'!G$15)-SUM($E25:F25)</f>
        <v>#REF!</v>
      </c>
      <c r="H25" s="160" t="e">
        <f>COUNTIFS('Relacion '!$B:$B,'STATUS RI'!$C25,'Relacion '!$D:$D,'STATUS RI'!$C$5,'Relacion '!#REF!,"&lt;="&amp;'STATUS RI'!H$15)-SUM($E25:G25)</f>
        <v>#REF!</v>
      </c>
      <c r="I25" s="161" t="e">
        <f>SUM(E25:H25)</f>
        <v>#REF!</v>
      </c>
      <c r="J25" s="161" t="e">
        <f t="shared" si="3"/>
        <v>#REF!</v>
      </c>
    </row>
    <row r="26" spans="3:10" ht="30">
      <c r="C26" s="156" t="s">
        <v>47</v>
      </c>
      <c r="D26" s="161">
        <f>COUNTIFS('Relacion '!$B:$B,'STATUS RI'!C26,'Relacion '!$D:$D,'STATUS RI'!$C$5)</f>
        <v>1</v>
      </c>
      <c r="E26" s="160" t="e">
        <f>COUNTIFS('Relacion '!$B:$B,'STATUS RI'!$C26,'Relacion '!$D:$D,'STATUS RI'!$C$5,'Relacion '!#REF!,"&lt;="&amp;'STATUS RI'!E$15)</f>
        <v>#REF!</v>
      </c>
      <c r="F26" s="160" t="e">
        <f>COUNTIFS('Relacion '!$B:$B,'STATUS RI'!$C26,'Relacion '!$D:$D,'STATUS RI'!$C$5,'Relacion '!#REF!,"&lt;="&amp;'STATUS RI'!F$15)-E26</f>
        <v>#REF!</v>
      </c>
      <c r="G26" s="160" t="e">
        <f>COUNTIFS('Relacion '!$B:$B,'STATUS RI'!$C26,'Relacion '!$D:$D,'STATUS RI'!$C$5,'Relacion '!#REF!,"&lt;="&amp;'STATUS RI'!G$15)-SUM($E26:F26)</f>
        <v>#REF!</v>
      </c>
      <c r="H26" s="160" t="e">
        <f>COUNTIFS('Relacion '!$B:$B,'STATUS RI'!$C26,'Relacion '!$D:$D,'STATUS RI'!$C$5,'Relacion '!#REF!,"&lt;="&amp;'STATUS RI'!H$15)-SUM($E26:G26)</f>
        <v>#REF!</v>
      </c>
      <c r="I26" s="157" t="e">
        <f t="shared" ref="I26:I29" si="5">SUM(E26:H26)</f>
        <v>#REF!</v>
      </c>
      <c r="J26" s="157" t="e">
        <f t="shared" si="3"/>
        <v>#REF!</v>
      </c>
    </row>
    <row r="27" spans="3:10">
      <c r="C27" s="156" t="s">
        <v>356</v>
      </c>
      <c r="D27" s="161">
        <f>COUNTIFS('Relacion '!$B:$B,'STATUS RI'!C27,'Relacion '!$D:$D,'STATUS RI'!$C$5)</f>
        <v>0</v>
      </c>
      <c r="E27" s="160" t="e">
        <f>COUNTIFS('Relacion '!$B:$B,'STATUS RI'!$C27,'Relacion '!$D:$D,'STATUS RI'!$C$5,'Relacion '!#REF!,"&lt;="&amp;'STATUS RI'!E$15)</f>
        <v>#REF!</v>
      </c>
      <c r="F27" s="160" t="e">
        <f>COUNTIFS('Relacion '!$B:$B,'STATUS RI'!$C27,'Relacion '!$D:$D,'STATUS RI'!$C$5,'Relacion '!#REF!,"&lt;="&amp;'STATUS RI'!F$15)-E27</f>
        <v>#REF!</v>
      </c>
      <c r="G27" s="160" t="e">
        <f>COUNTIFS('Relacion '!$B:$B,'STATUS RI'!$C27,'Relacion '!$D:$D,'STATUS RI'!$C$5,'Relacion '!#REF!,"&lt;="&amp;'STATUS RI'!G$15)-SUM($E27:F27)</f>
        <v>#REF!</v>
      </c>
      <c r="H27" s="160" t="e">
        <f>COUNTIFS('Relacion '!$B:$B,'STATUS RI'!$C27,'Relacion '!$D:$D,'STATUS RI'!$C$5,'Relacion '!#REF!,"&lt;="&amp;'STATUS RI'!H$15)-SUM($E27:G27)</f>
        <v>#REF!</v>
      </c>
      <c r="I27" s="157" t="e">
        <f t="shared" si="5"/>
        <v>#REF!</v>
      </c>
      <c r="J27" s="157" t="e">
        <f t="shared" si="3"/>
        <v>#REF!</v>
      </c>
    </row>
    <row r="28" spans="3:10">
      <c r="C28" s="156" t="s">
        <v>1007</v>
      </c>
      <c r="D28" s="161">
        <f>COUNTIFS('Relacion '!$B:$B,'STATUS RI'!C28,'Relacion '!$D:$D,'STATUS RI'!$C$5)</f>
        <v>0</v>
      </c>
      <c r="E28" s="160" t="e">
        <f>COUNTIFS('Relacion '!$B:$B,'STATUS RI'!$C28,'Relacion '!$D:$D,'STATUS RI'!$C$5,'Relacion '!#REF!,"&lt;="&amp;'STATUS RI'!E$15)</f>
        <v>#REF!</v>
      </c>
      <c r="F28" s="160" t="e">
        <f>COUNTIFS('Relacion '!$B:$B,'STATUS RI'!$C28,'Relacion '!$D:$D,'STATUS RI'!$C$5,'Relacion '!#REF!,"&lt;="&amp;'STATUS RI'!F$15)-E28</f>
        <v>#REF!</v>
      </c>
      <c r="G28" s="160" t="e">
        <f>COUNTIFS('Relacion '!$B:$B,'STATUS RI'!$C28,'Relacion '!$D:$D,'STATUS RI'!$C$5,'Relacion '!#REF!,"&lt;="&amp;'STATUS RI'!G$15)-SUM($E28:F28)</f>
        <v>#REF!</v>
      </c>
      <c r="H28" s="160" t="e">
        <f>COUNTIFS('Relacion '!$B:$B,'STATUS RI'!$C28,'Relacion '!$D:$D,'STATUS RI'!$C$5,'Relacion '!#REF!,"&lt;="&amp;'STATUS RI'!H$15)-SUM($E28:G28)</f>
        <v>#REF!</v>
      </c>
      <c r="I28" s="157" t="e">
        <f t="shared" si="5"/>
        <v>#REF!</v>
      </c>
      <c r="J28" s="157" t="e">
        <f t="shared" si="3"/>
        <v>#REF!</v>
      </c>
    </row>
    <row r="29" spans="3:10">
      <c r="C29" s="156" t="s">
        <v>160</v>
      </c>
      <c r="D29" s="161">
        <f>COUNTIFS('Relacion '!$B:$B,'STATUS RI'!C29,'Relacion '!$D:$D,'STATUS RI'!$C$5)</f>
        <v>5</v>
      </c>
      <c r="E29" s="160" t="e">
        <f>COUNTIFS('Relacion '!$B:$B,'STATUS RI'!$C29,'Relacion '!$D:$D,'STATUS RI'!$C$5,'Relacion '!#REF!,"&lt;="&amp;'STATUS RI'!E$15)</f>
        <v>#REF!</v>
      </c>
      <c r="F29" s="160" t="e">
        <f>COUNTIFS('Relacion '!$B:$B,'STATUS RI'!$C29,'Relacion '!$D:$D,'STATUS RI'!$C$5,'Relacion '!#REF!,"&lt;="&amp;'STATUS RI'!F$15)-E29</f>
        <v>#REF!</v>
      </c>
      <c r="G29" s="160" t="e">
        <f>COUNTIFS('Relacion '!$B:$B,'STATUS RI'!$C29,'Relacion '!$D:$D,'STATUS RI'!$C$5,'Relacion '!#REF!,"&lt;="&amp;'STATUS RI'!G$15)-SUM($E29:F29)</f>
        <v>#REF!</v>
      </c>
      <c r="H29" s="160" t="e">
        <f>COUNTIFS('Relacion '!$B:$B,'STATUS RI'!$C29,'Relacion '!$D:$D,'STATUS RI'!$C$5,'Relacion '!#REF!,"&lt;="&amp;'STATUS RI'!H$15)-SUM($E29:G29)</f>
        <v>#REF!</v>
      </c>
      <c r="I29" s="157" t="e">
        <f t="shared" si="5"/>
        <v>#REF!</v>
      </c>
      <c r="J29" s="157" t="e">
        <f t="shared" si="3"/>
        <v>#REF!</v>
      </c>
    </row>
    <row r="30" spans="3:10">
      <c r="D30" s="157">
        <f>SUM(D18:D29)</f>
        <v>48</v>
      </c>
      <c r="E30" s="157" t="e">
        <f t="shared" ref="E30:J30" si="6">SUM(E18:E29)</f>
        <v>#REF!</v>
      </c>
      <c r="F30" s="157" t="e">
        <f t="shared" si="6"/>
        <v>#REF!</v>
      </c>
      <c r="G30" s="157" t="e">
        <f t="shared" si="6"/>
        <v>#REF!</v>
      </c>
      <c r="H30" s="157" t="e">
        <f t="shared" si="6"/>
        <v>#REF!</v>
      </c>
      <c r="I30" s="157" t="e">
        <f t="shared" si="6"/>
        <v>#REF!</v>
      </c>
      <c r="J30" s="157" t="e">
        <f t="shared" si="6"/>
        <v>#REF!</v>
      </c>
    </row>
    <row r="31" spans="3:10">
      <c r="E31" s="162" t="e">
        <f>E30/$D$30</f>
        <v>#REF!</v>
      </c>
      <c r="F31" s="162" t="e">
        <f>F30/$D$30</f>
        <v>#REF!</v>
      </c>
      <c r="G31" s="162" t="e">
        <f>G30/$D$30</f>
        <v>#REF!</v>
      </c>
      <c r="H31" s="162" t="e">
        <f>H30/$D$30</f>
        <v>#REF!</v>
      </c>
    </row>
    <row r="34" spans="3:10" ht="15.75" thickBot="1">
      <c r="E34" s="151">
        <v>0.2</v>
      </c>
      <c r="F34" s="152">
        <v>0.49</v>
      </c>
      <c r="G34" s="152">
        <v>0.79</v>
      </c>
      <c r="H34" s="152">
        <v>1</v>
      </c>
    </row>
    <row r="35" spans="3:10" ht="15.75" thickBot="1">
      <c r="E35" s="325" t="s">
        <v>1018</v>
      </c>
      <c r="F35" s="326"/>
      <c r="G35" s="326"/>
      <c r="H35" s="327"/>
    </row>
    <row r="36" spans="3:10" ht="45">
      <c r="C36" s="153" t="s">
        <v>1010</v>
      </c>
      <c r="D36" s="154" t="s">
        <v>1011</v>
      </c>
      <c r="E36" s="147" t="s">
        <v>1012</v>
      </c>
      <c r="F36" s="148" t="s">
        <v>1013</v>
      </c>
      <c r="G36" s="149" t="s">
        <v>1014</v>
      </c>
      <c r="H36" s="150" t="s">
        <v>1015</v>
      </c>
      <c r="I36" s="154" t="s">
        <v>1016</v>
      </c>
      <c r="J36" s="154" t="s">
        <v>1017</v>
      </c>
    </row>
    <row r="37" spans="3:10">
      <c r="C37" s="155" t="s">
        <v>93</v>
      </c>
      <c r="D37" s="159">
        <f>COUNTIFS('Relacion '!$B:$B,'STATUS RI'!C37,'Relacion '!$D:$D,'STATUS RI'!$C$6)</f>
        <v>0</v>
      </c>
      <c r="E37" s="158" t="e">
        <f>COUNTIFS('Relacion '!$B:$B,'STATUS RI'!$C37,'Relacion '!$D:$D,'STATUS RI'!$C$6,'Relacion '!#REF!,"&lt;="&amp;'STATUS RI'!E$15)</f>
        <v>#REF!</v>
      </c>
      <c r="F37" s="158" t="e">
        <f>COUNTIFS('Relacion '!$B:$B,'STATUS RI'!$C37,'Relacion '!$D:$D,'STATUS RI'!$C$6,'Relacion '!#REF!,"&lt;="&amp;'STATUS RI'!F$15)-E37</f>
        <v>#REF!</v>
      </c>
      <c r="G37" s="158" t="e">
        <f>COUNTIFS('Relacion '!$B:$B,'STATUS RI'!$C37,'Relacion '!$D:$D,'STATUS RI'!$C$6,'Relacion '!#REF!,"&lt;="&amp;'STATUS RI'!G$15)-SUM($E37:F37)</f>
        <v>#REF!</v>
      </c>
      <c r="H37" s="158" t="e">
        <f>COUNTIFS('Relacion '!$B:$B,'STATUS RI'!$C37,'Relacion '!$D:$D,'STATUS RI'!$C$6,'Relacion '!#REF!,"&lt;="&amp;'STATUS RI'!H$15)-SUM($E37:G37)</f>
        <v>#REF!</v>
      </c>
      <c r="I37" s="157" t="e">
        <f t="shared" ref="I37:I48" si="7">SUM(E37:H37)</f>
        <v>#REF!</v>
      </c>
      <c r="J37" s="157" t="e">
        <f t="shared" ref="J37:J48" si="8">D37-I37</f>
        <v>#REF!</v>
      </c>
    </row>
    <row r="38" spans="3:10">
      <c r="C38" s="156" t="s">
        <v>80</v>
      </c>
      <c r="D38" s="159">
        <f>COUNTIFS('Relacion '!$B:$B,'STATUS RI'!C38,'Relacion '!$D:$D,'STATUS RI'!$C$6)</f>
        <v>1</v>
      </c>
      <c r="E38" s="158" t="e">
        <f>COUNTIFS('Relacion '!$B:$B,'STATUS RI'!$C38,'Relacion '!$D:$D,'STATUS RI'!$C$6,'Relacion '!#REF!,"&lt;="&amp;'STATUS RI'!E$15)</f>
        <v>#REF!</v>
      </c>
      <c r="F38" s="158" t="e">
        <f>COUNTIFS('Relacion '!$B:$B,'STATUS RI'!$C38,'Relacion '!$D:$D,'STATUS RI'!$C$6,'Relacion '!#REF!,"&lt;="&amp;'STATUS RI'!F$15)-E38</f>
        <v>#REF!</v>
      </c>
      <c r="G38" s="158" t="e">
        <f>COUNTIFS('Relacion '!$B:$B,'STATUS RI'!$C38,'Relacion '!$D:$D,'STATUS RI'!$C$6,'Relacion '!#REF!,"&lt;="&amp;'STATUS RI'!G$15)-SUM($E38:F38)</f>
        <v>#REF!</v>
      </c>
      <c r="H38" s="158" t="e">
        <f>COUNTIFS('Relacion '!$B:$B,'STATUS RI'!$C38,'Relacion '!$D:$D,'STATUS RI'!$C$6,'Relacion '!#REF!,"&lt;="&amp;'STATUS RI'!H$15)-SUM($E38:G38)</f>
        <v>#REF!</v>
      </c>
      <c r="I38" s="157" t="e">
        <f t="shared" si="7"/>
        <v>#REF!</v>
      </c>
      <c r="J38" s="157" t="e">
        <f t="shared" si="8"/>
        <v>#REF!</v>
      </c>
    </row>
    <row r="39" spans="3:10">
      <c r="C39" s="156" t="s">
        <v>68</v>
      </c>
      <c r="D39" s="159">
        <f>COUNTIFS('Relacion '!$B:$B,'STATUS RI'!C39,'Relacion '!$D:$D,'STATUS RI'!$C$6)</f>
        <v>0</v>
      </c>
      <c r="E39" s="158" t="e">
        <f>COUNTIFS('Relacion '!$B:$B,'STATUS RI'!$C39,'Relacion '!$D:$D,'STATUS RI'!$C$6,'Relacion '!#REF!,"&lt;="&amp;'STATUS RI'!E$15)</f>
        <v>#REF!</v>
      </c>
      <c r="F39" s="158" t="e">
        <f>COUNTIFS('Relacion '!$B:$B,'STATUS RI'!$C39,'Relacion '!$D:$D,'STATUS RI'!$C$6,'Relacion '!#REF!,"&lt;="&amp;'STATUS RI'!F$15)-E39</f>
        <v>#REF!</v>
      </c>
      <c r="G39" s="158" t="e">
        <f>COUNTIFS('Relacion '!$B:$B,'STATUS RI'!$C39,'Relacion '!$D:$D,'STATUS RI'!$C$6,'Relacion '!#REF!,"&lt;="&amp;'STATUS RI'!G$15)-SUM($E39:F39)</f>
        <v>#REF!</v>
      </c>
      <c r="H39" s="158" t="e">
        <f>COUNTIFS('Relacion '!$B:$B,'STATUS RI'!$C39,'Relacion '!$D:$D,'STATUS RI'!$C$6,'Relacion '!#REF!,"&lt;="&amp;'STATUS RI'!H$15)-SUM($E39:G39)</f>
        <v>#REF!</v>
      </c>
      <c r="I39" s="157" t="e">
        <f t="shared" si="7"/>
        <v>#REF!</v>
      </c>
      <c r="J39" s="157" t="e">
        <f t="shared" si="8"/>
        <v>#REF!</v>
      </c>
    </row>
    <row r="40" spans="3:10">
      <c r="C40" s="156" t="s">
        <v>133</v>
      </c>
      <c r="D40" s="159">
        <f>COUNTIFS('Relacion '!$B:$B,'STATUS RI'!C40,'Relacion '!$D:$D,'STATUS RI'!$C$6)</f>
        <v>0</v>
      </c>
      <c r="E40" s="158" t="e">
        <f>COUNTIFS('Relacion '!$B:$B,'STATUS RI'!$C40,'Relacion '!$D:$D,'STATUS RI'!$C$6,'Relacion '!#REF!,"&lt;="&amp;'STATUS RI'!E$15)</f>
        <v>#REF!</v>
      </c>
      <c r="F40" s="158" t="e">
        <f>COUNTIFS('Relacion '!$B:$B,'STATUS RI'!$C40,'Relacion '!$D:$D,'STATUS RI'!$C$6,'Relacion '!#REF!,"&lt;="&amp;'STATUS RI'!F$15)-E40</f>
        <v>#REF!</v>
      </c>
      <c r="G40" s="158" t="e">
        <f>COUNTIFS('Relacion '!$B:$B,'STATUS RI'!$C40,'Relacion '!$D:$D,'STATUS RI'!$C$6,'Relacion '!#REF!,"&lt;="&amp;'STATUS RI'!G$15)-SUM($E40:F40)</f>
        <v>#REF!</v>
      </c>
      <c r="H40" s="158" t="e">
        <f>COUNTIFS('Relacion '!$B:$B,'STATUS RI'!$C40,'Relacion '!$D:$D,'STATUS RI'!$C$6,'Relacion '!#REF!,"&lt;="&amp;'STATUS RI'!H$15)-SUM($E40:G40)</f>
        <v>#REF!</v>
      </c>
      <c r="I40" s="157" t="e">
        <f t="shared" si="7"/>
        <v>#REF!</v>
      </c>
      <c r="J40" s="157" t="e">
        <f t="shared" si="8"/>
        <v>#REF!</v>
      </c>
    </row>
    <row r="41" spans="3:10">
      <c r="C41" s="156" t="s">
        <v>61</v>
      </c>
      <c r="D41" s="159">
        <f>COUNTIFS('Relacion '!$B:$B,'STATUS RI'!C41,'Relacion '!$D:$D,'STATUS RI'!$C$6)</f>
        <v>0</v>
      </c>
      <c r="E41" s="158" t="e">
        <f>COUNTIFS('Relacion '!$B:$B,'STATUS RI'!$C41,'Relacion '!$D:$D,'STATUS RI'!$C$6,'Relacion '!#REF!,"&lt;="&amp;'STATUS RI'!E$15)</f>
        <v>#REF!</v>
      </c>
      <c r="F41" s="158" t="e">
        <f>COUNTIFS('Relacion '!$B:$B,'STATUS RI'!$C41,'Relacion '!$D:$D,'STATUS RI'!$C$6,'Relacion '!#REF!,"&lt;="&amp;'STATUS RI'!F$15)-E41</f>
        <v>#REF!</v>
      </c>
      <c r="G41" s="158" t="e">
        <f>COUNTIFS('Relacion '!$B:$B,'STATUS RI'!$C41,'Relacion '!$D:$D,'STATUS RI'!$C$6,'Relacion '!#REF!,"&lt;="&amp;'STATUS RI'!G$15)-SUM($E41:F41)</f>
        <v>#REF!</v>
      </c>
      <c r="H41" s="158" t="e">
        <f>COUNTIFS('Relacion '!$B:$B,'STATUS RI'!$C41,'Relacion '!$D:$D,'STATUS RI'!$C$6,'Relacion '!#REF!,"&lt;="&amp;'STATUS RI'!H$15)-SUM($E41:G41)</f>
        <v>#REF!</v>
      </c>
      <c r="I41" s="157" t="e">
        <f t="shared" si="7"/>
        <v>#REF!</v>
      </c>
      <c r="J41" s="157" t="e">
        <f t="shared" si="8"/>
        <v>#REF!</v>
      </c>
    </row>
    <row r="42" spans="3:10">
      <c r="C42" s="156" t="s">
        <v>16</v>
      </c>
      <c r="D42" s="159">
        <f>COUNTIFS('Relacion '!$B:$B,'STATUS RI'!C42,'Relacion '!$D:$D,'STATUS RI'!$C$6)</f>
        <v>0</v>
      </c>
      <c r="E42" s="158" t="e">
        <f>COUNTIFS('Relacion '!$B:$B,'STATUS RI'!$C42,'Relacion '!$D:$D,'STATUS RI'!$C$6,'Relacion '!#REF!,"&lt;="&amp;'STATUS RI'!E$15)</f>
        <v>#REF!</v>
      </c>
      <c r="F42" s="158" t="e">
        <f>COUNTIFS('Relacion '!$B:$B,'STATUS RI'!$C42,'Relacion '!$D:$D,'STATUS RI'!$C$6,'Relacion '!#REF!,"&lt;="&amp;'STATUS RI'!F$15)-E42</f>
        <v>#REF!</v>
      </c>
      <c r="G42" s="158" t="e">
        <f>COUNTIFS('Relacion '!$B:$B,'STATUS RI'!$C42,'Relacion '!$D:$D,'STATUS RI'!$C$6,'Relacion '!#REF!,"&lt;="&amp;'STATUS RI'!G$15)-SUM($E42:F42)</f>
        <v>#REF!</v>
      </c>
      <c r="H42" s="158" t="e">
        <f>COUNTIFS('Relacion '!$B:$B,'STATUS RI'!$C42,'Relacion '!$D:$D,'STATUS RI'!$C$6,'Relacion '!#REF!,"&lt;="&amp;'STATUS RI'!H$15)-SUM($E42:G42)</f>
        <v>#REF!</v>
      </c>
      <c r="I42" s="157" t="e">
        <f t="shared" si="7"/>
        <v>#REF!</v>
      </c>
      <c r="J42" s="157" t="e">
        <f t="shared" si="8"/>
        <v>#REF!</v>
      </c>
    </row>
    <row r="43" spans="3:10">
      <c r="C43" s="156" t="s">
        <v>267</v>
      </c>
      <c r="D43" s="159">
        <f>COUNTIFS('Relacion '!$B:$B,'STATUS RI'!C43,'Relacion '!$D:$D,'STATUS RI'!$C$6)</f>
        <v>0</v>
      </c>
      <c r="E43" s="158" t="e">
        <f>COUNTIFS('Relacion '!$B:$B,'STATUS RI'!$C43,'Relacion '!$D:$D,'STATUS RI'!$C$6,'Relacion '!#REF!,"&lt;="&amp;'STATUS RI'!E$15)</f>
        <v>#REF!</v>
      </c>
      <c r="F43" s="158" t="e">
        <f>COUNTIFS('Relacion '!$B:$B,'STATUS RI'!$C43,'Relacion '!$D:$D,'STATUS RI'!$C$6,'Relacion '!#REF!,"&lt;="&amp;'STATUS RI'!F$15)-E43</f>
        <v>#REF!</v>
      </c>
      <c r="G43" s="158" t="e">
        <f>COUNTIFS('Relacion '!$B:$B,'STATUS RI'!$C43,'Relacion '!$D:$D,'STATUS RI'!$C$6,'Relacion '!#REF!,"&lt;="&amp;'STATUS RI'!G$15)-SUM($E43:F43)</f>
        <v>#REF!</v>
      </c>
      <c r="H43" s="158" t="e">
        <f>COUNTIFS('Relacion '!$B:$B,'STATUS RI'!$C43,'Relacion '!$D:$D,'STATUS RI'!$C$6,'Relacion '!#REF!,"&lt;="&amp;'STATUS RI'!H$15)-SUM($E43:G43)</f>
        <v>#REF!</v>
      </c>
      <c r="I43" s="157" t="e">
        <f t="shared" si="7"/>
        <v>#REF!</v>
      </c>
      <c r="J43" s="157" t="e">
        <f t="shared" si="8"/>
        <v>#REF!</v>
      </c>
    </row>
    <row r="44" spans="3:10">
      <c r="C44" s="156" t="s">
        <v>4</v>
      </c>
      <c r="D44" s="159">
        <f>COUNTIFS('Relacion '!$B:$B,'STATUS RI'!C44,'Relacion '!$D:$D,'STATUS RI'!$C$6)</f>
        <v>0</v>
      </c>
      <c r="E44" s="158" t="e">
        <f>COUNTIFS('Relacion '!$B:$B,'STATUS RI'!$C44,'Relacion '!$D:$D,'STATUS RI'!$C$6,'Relacion '!#REF!,"&lt;="&amp;'STATUS RI'!E$15)</f>
        <v>#REF!</v>
      </c>
      <c r="F44" s="158" t="e">
        <f>COUNTIFS('Relacion '!$B:$B,'STATUS RI'!$C44,'Relacion '!$D:$D,'STATUS RI'!$C$6,'Relacion '!#REF!,"&lt;="&amp;'STATUS RI'!F$15)-E44</f>
        <v>#REF!</v>
      </c>
      <c r="G44" s="158" t="e">
        <f>COUNTIFS('Relacion '!$B:$B,'STATUS RI'!$C44,'Relacion '!$D:$D,'STATUS RI'!$C$6,'Relacion '!#REF!,"&lt;="&amp;'STATUS RI'!G$15)-SUM($E44:F44)</f>
        <v>#REF!</v>
      </c>
      <c r="H44" s="158" t="e">
        <f>COUNTIFS('Relacion '!$B:$B,'STATUS RI'!$C44,'Relacion '!$D:$D,'STATUS RI'!$C$6,'Relacion '!#REF!,"&lt;="&amp;'STATUS RI'!H$15)-SUM($E44:G44)</f>
        <v>#REF!</v>
      </c>
      <c r="I44" s="161" t="e">
        <f t="shared" si="7"/>
        <v>#REF!</v>
      </c>
      <c r="J44" s="161" t="e">
        <f t="shared" si="8"/>
        <v>#REF!</v>
      </c>
    </row>
    <row r="45" spans="3:10" ht="30">
      <c r="C45" s="156" t="s">
        <v>47</v>
      </c>
      <c r="D45" s="159">
        <f>COUNTIFS('Relacion '!$B:$B,'STATUS RI'!C45,'Relacion '!$D:$D,'STATUS RI'!$C$6)</f>
        <v>0</v>
      </c>
      <c r="E45" s="158" t="e">
        <f>COUNTIFS('Relacion '!$B:$B,'STATUS RI'!$C45,'Relacion '!$D:$D,'STATUS RI'!$C$6,'Relacion '!#REF!,"&lt;="&amp;'STATUS RI'!E$15)</f>
        <v>#REF!</v>
      </c>
      <c r="F45" s="158" t="e">
        <f>COUNTIFS('Relacion '!$B:$B,'STATUS RI'!$C45,'Relacion '!$D:$D,'STATUS RI'!$C$6,'Relacion '!#REF!,"&lt;="&amp;'STATUS RI'!F$15)-E45</f>
        <v>#REF!</v>
      </c>
      <c r="G45" s="158" t="e">
        <f>COUNTIFS('Relacion '!$B:$B,'STATUS RI'!$C45,'Relacion '!$D:$D,'STATUS RI'!$C$6,'Relacion '!#REF!,"&lt;="&amp;'STATUS RI'!G$15)-SUM($E45:F45)</f>
        <v>#REF!</v>
      </c>
      <c r="H45" s="158" t="e">
        <f>COUNTIFS('Relacion '!$B:$B,'STATUS RI'!$C45,'Relacion '!$D:$D,'STATUS RI'!$C$6,'Relacion '!#REF!,"&lt;="&amp;'STATUS RI'!H$15)-SUM($E45:G45)</f>
        <v>#REF!</v>
      </c>
      <c r="I45" s="157" t="e">
        <f t="shared" si="7"/>
        <v>#REF!</v>
      </c>
      <c r="J45" s="157" t="e">
        <f t="shared" si="8"/>
        <v>#REF!</v>
      </c>
    </row>
    <row r="46" spans="3:10">
      <c r="C46" s="156" t="s">
        <v>356</v>
      </c>
      <c r="D46" s="159">
        <f>COUNTIFS('Relacion '!$B:$B,'STATUS RI'!C46,'Relacion '!$D:$D,'STATUS RI'!$C$6)</f>
        <v>0</v>
      </c>
      <c r="E46" s="158" t="e">
        <f>COUNTIFS('Relacion '!$B:$B,'STATUS RI'!$C46,'Relacion '!$D:$D,'STATUS RI'!$C$6,'Relacion '!#REF!,"&lt;="&amp;'STATUS RI'!E$15)</f>
        <v>#REF!</v>
      </c>
      <c r="F46" s="158" t="e">
        <f>COUNTIFS('Relacion '!$B:$B,'STATUS RI'!$C46,'Relacion '!$D:$D,'STATUS RI'!$C$6,'Relacion '!#REF!,"&lt;="&amp;'STATUS RI'!F$15)-E46</f>
        <v>#REF!</v>
      </c>
      <c r="G46" s="158" t="e">
        <f>COUNTIFS('Relacion '!$B:$B,'STATUS RI'!$C46,'Relacion '!$D:$D,'STATUS RI'!$C$6,'Relacion '!#REF!,"&lt;="&amp;'STATUS RI'!G$15)-SUM($E46:F46)</f>
        <v>#REF!</v>
      </c>
      <c r="H46" s="158" t="e">
        <f>COUNTIFS('Relacion '!$B:$B,'STATUS RI'!$C46,'Relacion '!$D:$D,'STATUS RI'!$C$6,'Relacion '!#REF!,"&lt;="&amp;'STATUS RI'!H$15)-SUM($E46:G46)</f>
        <v>#REF!</v>
      </c>
      <c r="I46" s="157" t="e">
        <f t="shared" si="7"/>
        <v>#REF!</v>
      </c>
      <c r="J46" s="157" t="e">
        <f t="shared" si="8"/>
        <v>#REF!</v>
      </c>
    </row>
    <row r="47" spans="3:10">
      <c r="C47" s="156" t="s">
        <v>1007</v>
      </c>
      <c r="D47" s="159">
        <f>COUNTIFS('Relacion '!$B:$B,'STATUS RI'!C47,'Relacion '!$D:$D,'STATUS RI'!$C$6)</f>
        <v>0</v>
      </c>
      <c r="E47" s="158" t="e">
        <f>COUNTIFS('Relacion '!$B:$B,'STATUS RI'!$C47,'Relacion '!$D:$D,'STATUS RI'!$C$6,'Relacion '!#REF!,"&lt;="&amp;'STATUS RI'!E$15)</f>
        <v>#REF!</v>
      </c>
      <c r="F47" s="158" t="e">
        <f>COUNTIFS('Relacion '!$B:$B,'STATUS RI'!$C47,'Relacion '!$D:$D,'STATUS RI'!$C$6,'Relacion '!#REF!,"&lt;="&amp;'STATUS RI'!F$15)-E47</f>
        <v>#REF!</v>
      </c>
      <c r="G47" s="158" t="e">
        <f>COUNTIFS('Relacion '!$B:$B,'STATUS RI'!$C47,'Relacion '!$D:$D,'STATUS RI'!$C$6,'Relacion '!#REF!,"&lt;="&amp;'STATUS RI'!G$15)-SUM($E47:F47)</f>
        <v>#REF!</v>
      </c>
      <c r="H47" s="158" t="e">
        <f>COUNTIFS('Relacion '!$B:$B,'STATUS RI'!$C47,'Relacion '!$D:$D,'STATUS RI'!$C$6,'Relacion '!#REF!,"&lt;="&amp;'STATUS RI'!H$15)-SUM($E47:G47)</f>
        <v>#REF!</v>
      </c>
      <c r="I47" s="157" t="e">
        <f t="shared" si="7"/>
        <v>#REF!</v>
      </c>
      <c r="J47" s="157" t="e">
        <f t="shared" si="8"/>
        <v>#REF!</v>
      </c>
    </row>
    <row r="48" spans="3:10">
      <c r="C48" s="156" t="s">
        <v>160</v>
      </c>
      <c r="D48" s="159">
        <f>COUNTIFS('Relacion '!$B:$B,'STATUS RI'!C48,'Relacion '!$D:$D,'STATUS RI'!$C$6)</f>
        <v>0</v>
      </c>
      <c r="E48" s="158" t="e">
        <f>COUNTIFS('Relacion '!$B:$B,'STATUS RI'!$C48,'Relacion '!$D:$D,'STATUS RI'!$C$6,'Relacion '!#REF!,"&lt;="&amp;'STATUS RI'!E$15)</f>
        <v>#REF!</v>
      </c>
      <c r="F48" s="158" t="e">
        <f>COUNTIFS('Relacion '!$B:$B,'STATUS RI'!$C48,'Relacion '!$D:$D,'STATUS RI'!$C$6,'Relacion '!#REF!,"&lt;="&amp;'STATUS RI'!F$15)-E48</f>
        <v>#REF!</v>
      </c>
      <c r="G48" s="158" t="e">
        <f>COUNTIFS('Relacion '!$B:$B,'STATUS RI'!$C48,'Relacion '!$D:$D,'STATUS RI'!$C$6,'Relacion '!#REF!,"&lt;="&amp;'STATUS RI'!G$15)-SUM($E48:F48)</f>
        <v>#REF!</v>
      </c>
      <c r="H48" s="158" t="e">
        <f>COUNTIFS('Relacion '!$B:$B,'STATUS RI'!$C48,'Relacion '!$D:$D,'STATUS RI'!$C$6,'Relacion '!#REF!,"&lt;="&amp;'STATUS RI'!H$15)-SUM($E48:G48)</f>
        <v>#REF!</v>
      </c>
      <c r="I48" s="157" t="e">
        <f t="shared" si="7"/>
        <v>#REF!</v>
      </c>
      <c r="J48" s="157" t="e">
        <f t="shared" si="8"/>
        <v>#REF!</v>
      </c>
    </row>
    <row r="49" spans="4:12">
      <c r="D49" s="157">
        <f t="shared" ref="D49:J49" si="9">SUM(D37:D48)</f>
        <v>1</v>
      </c>
      <c r="E49" s="157" t="e">
        <f t="shared" si="9"/>
        <v>#REF!</v>
      </c>
      <c r="F49" s="157" t="e">
        <f t="shared" si="9"/>
        <v>#REF!</v>
      </c>
      <c r="G49" s="157" t="e">
        <f t="shared" si="9"/>
        <v>#REF!</v>
      </c>
      <c r="H49" s="157" t="e">
        <f t="shared" si="9"/>
        <v>#REF!</v>
      </c>
      <c r="I49" s="157" t="e">
        <f t="shared" si="9"/>
        <v>#REF!</v>
      </c>
      <c r="J49" s="157" t="e">
        <f t="shared" si="9"/>
        <v>#REF!</v>
      </c>
    </row>
    <row r="50" spans="4:12">
      <c r="D50" s="162" t="e">
        <f>D49/$I$49</f>
        <v>#REF!</v>
      </c>
      <c r="E50" s="162" t="e">
        <f>E49/$D$49</f>
        <v>#REF!</v>
      </c>
      <c r="F50" s="162" t="e">
        <f>F49/$D$49</f>
        <v>#REF!</v>
      </c>
      <c r="G50" s="162" t="e">
        <f>G49/$D$49</f>
        <v>#REF!</v>
      </c>
      <c r="H50" s="162" t="e">
        <f>H49/$D$49</f>
        <v>#REF!</v>
      </c>
    </row>
    <row r="51" spans="4:12"/>
    <row r="52" spans="4:12"/>
    <row r="58" spans="4:12"/>
    <row r="69" spans="12:12"/>
  </sheetData>
  <sortState xmlns:xlrd2="http://schemas.microsoft.com/office/spreadsheetml/2017/richdata2" ref="C4:C208">
    <sortCondition ref="C4:C208"/>
  </sortState>
  <mergeCells count="2">
    <mergeCell ref="E16:H16"/>
    <mergeCell ref="E35:H35"/>
  </mergeCells>
  <pageMargins left="0.7" right="0.7" top="0.75" bottom="0.75" header="0.3" footer="0.3"/>
  <drawing r:id="rId1"/>
  <legacy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B2:M22"/>
  <sheetViews>
    <sheetView showGridLines="0" topLeftCell="F1" workbookViewId="0">
      <selection activeCell="P25" sqref="P25"/>
    </sheetView>
  </sheetViews>
  <sheetFormatPr defaultColWidth="11.42578125" defaultRowHeight="15"/>
  <cols>
    <col min="2" max="2" width="15.7109375" bestFit="1" customWidth="1"/>
    <col min="4" max="4" width="17.28515625" bestFit="1" customWidth="1"/>
    <col min="5" max="5" width="26.5703125" bestFit="1" customWidth="1"/>
    <col min="7" max="7" width="12" bestFit="1" customWidth="1"/>
    <col min="10" max="10" width="12.42578125" bestFit="1" customWidth="1"/>
    <col min="11" max="11" width="32" bestFit="1" customWidth="1"/>
  </cols>
  <sheetData>
    <row r="2" spans="2:13" s="7" customFormat="1">
      <c r="B2" s="250" t="s">
        <v>657</v>
      </c>
      <c r="D2" s="17" t="s">
        <v>38</v>
      </c>
      <c r="E2" s="18" t="s">
        <v>1019</v>
      </c>
      <c r="G2" s="250" t="s">
        <v>1020</v>
      </c>
    </row>
    <row r="3" spans="2:13">
      <c r="B3" s="11" t="s">
        <v>123</v>
      </c>
      <c r="D3" s="13" t="s">
        <v>347</v>
      </c>
      <c r="E3" s="14" t="s">
        <v>347</v>
      </c>
      <c r="G3" s="11" t="s">
        <v>102</v>
      </c>
      <c r="J3" t="s">
        <v>80</v>
      </c>
      <c r="K3" t="s">
        <v>1021</v>
      </c>
      <c r="L3" t="s">
        <v>1022</v>
      </c>
      <c r="M3" t="s">
        <v>1023</v>
      </c>
    </row>
    <row r="4" spans="2:13">
      <c r="B4" s="11" t="s">
        <v>48</v>
      </c>
      <c r="D4" s="13" t="s">
        <v>341</v>
      </c>
      <c r="E4" s="14" t="s">
        <v>1024</v>
      </c>
      <c r="G4" s="11" t="s">
        <v>73</v>
      </c>
      <c r="J4" t="s">
        <v>133</v>
      </c>
      <c r="K4" t="s">
        <v>1025</v>
      </c>
      <c r="L4" t="s">
        <v>1026</v>
      </c>
    </row>
    <row r="5" spans="2:13">
      <c r="B5" s="11" t="s">
        <v>134</v>
      </c>
      <c r="D5" s="13" t="s">
        <v>198</v>
      </c>
      <c r="E5" s="14" t="s">
        <v>1027</v>
      </c>
      <c r="G5" s="11" t="s">
        <v>474</v>
      </c>
      <c r="J5" t="s">
        <v>16</v>
      </c>
      <c r="K5" t="s">
        <v>1028</v>
      </c>
      <c r="L5" t="s">
        <v>1029</v>
      </c>
    </row>
    <row r="6" spans="2:13">
      <c r="B6" s="11" t="s">
        <v>225</v>
      </c>
      <c r="D6" s="13" t="s">
        <v>55</v>
      </c>
      <c r="E6" s="14" t="s">
        <v>349</v>
      </c>
      <c r="G6" s="11" t="s">
        <v>56</v>
      </c>
      <c r="J6" t="s">
        <v>75</v>
      </c>
      <c r="K6" t="s">
        <v>1030</v>
      </c>
      <c r="L6" t="s">
        <v>1031</v>
      </c>
    </row>
    <row r="7" spans="2:13">
      <c r="B7" s="11" t="s">
        <v>94</v>
      </c>
      <c r="D7" s="13" t="s">
        <v>342</v>
      </c>
      <c r="E7" s="14" t="s">
        <v>1032</v>
      </c>
      <c r="G7" s="11"/>
      <c r="J7" t="s">
        <v>99</v>
      </c>
      <c r="K7" t="s">
        <v>1033</v>
      </c>
      <c r="L7" t="s">
        <v>1023</v>
      </c>
    </row>
    <row r="8" spans="2:13">
      <c r="B8" s="11" t="s">
        <v>201</v>
      </c>
      <c r="D8" s="13" t="s">
        <v>339</v>
      </c>
      <c r="E8" s="14" t="s">
        <v>351</v>
      </c>
      <c r="G8" s="12"/>
      <c r="J8" t="s">
        <v>4</v>
      </c>
      <c r="K8" t="s">
        <v>1034</v>
      </c>
      <c r="L8" t="s">
        <v>1035</v>
      </c>
    </row>
    <row r="9" spans="2:13">
      <c r="B9" s="12"/>
      <c r="D9" s="13" t="s">
        <v>340</v>
      </c>
      <c r="E9" s="14" t="s">
        <v>1036</v>
      </c>
      <c r="J9" t="s">
        <v>4</v>
      </c>
      <c r="K9" t="s">
        <v>1037</v>
      </c>
      <c r="L9" t="s">
        <v>1035</v>
      </c>
    </row>
    <row r="10" spans="2:13">
      <c r="D10" s="13" t="s">
        <v>370</v>
      </c>
      <c r="E10" s="14" t="s">
        <v>1038</v>
      </c>
      <c r="J10" t="s">
        <v>267</v>
      </c>
      <c r="K10" t="s">
        <v>1039</v>
      </c>
    </row>
    <row r="11" spans="2:13">
      <c r="D11" s="15"/>
      <c r="E11" s="16"/>
    </row>
    <row r="12" spans="2:13">
      <c r="J12" t="s">
        <v>1040</v>
      </c>
    </row>
    <row r="13" spans="2:13">
      <c r="J13" t="s">
        <v>40</v>
      </c>
      <c r="K13" t="s">
        <v>1041</v>
      </c>
      <c r="L13" t="s">
        <v>1042</v>
      </c>
    </row>
    <row r="14" spans="2:13" ht="15.75" thickBot="1">
      <c r="J14" t="s">
        <v>40</v>
      </c>
      <c r="K14" t="s">
        <v>1043</v>
      </c>
      <c r="L14" t="s">
        <v>1042</v>
      </c>
    </row>
    <row r="15" spans="2:13" ht="18.75">
      <c r="D15" s="61" t="s">
        <v>38</v>
      </c>
      <c r="E15" s="62" t="s">
        <v>1019</v>
      </c>
    </row>
    <row r="16" spans="2:13">
      <c r="D16" s="328" t="s">
        <v>347</v>
      </c>
      <c r="E16" s="251" t="s">
        <v>1044</v>
      </c>
    </row>
    <row r="17" spans="4:5">
      <c r="D17" s="329"/>
      <c r="E17" s="63" t="s">
        <v>1045</v>
      </c>
    </row>
    <row r="18" spans="4:5" ht="15.75" thickBot="1">
      <c r="D18" s="330"/>
      <c r="E18" s="64" t="s">
        <v>462</v>
      </c>
    </row>
    <row r="19" spans="4:5" ht="15.75" thickBot="1">
      <c r="D19" s="65" t="s">
        <v>198</v>
      </c>
      <c r="E19" s="66" t="s">
        <v>1046</v>
      </c>
    </row>
    <row r="20" spans="4:5" ht="15.75" thickBot="1">
      <c r="D20" s="65" t="s">
        <v>339</v>
      </c>
      <c r="E20" s="66" t="s">
        <v>1047</v>
      </c>
    </row>
    <row r="21" spans="4:5" ht="15.75" thickBot="1">
      <c r="D21" s="65" t="s">
        <v>342</v>
      </c>
      <c r="E21" s="66" t="s">
        <v>1048</v>
      </c>
    </row>
    <row r="22" spans="4:5" ht="15.75" thickBot="1">
      <c r="D22" s="67" t="s">
        <v>55</v>
      </c>
      <c r="E22" s="68" t="s">
        <v>1049</v>
      </c>
    </row>
  </sheetData>
  <mergeCells count="1">
    <mergeCell ref="D16:D18"/>
  </mergeCells>
  <dataValidations count="1">
    <dataValidation type="list" allowBlank="1" showInputMessage="1" showErrorMessage="1" sqref="D16 D19:D22" xr:uid="{00000000-0002-0000-0900-000000000000}">
      <formula1>StsAct</formula1>
    </dataValidation>
  </dataValidations>
  <pageMargins left="0.7" right="0.7" top="0.75" bottom="0.75" header="0.3" footer="0.3"/>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D626F6-57FE-4342-AA3A-4DC84E1A1F8E}">
  <dimension ref="A1:I38"/>
  <sheetViews>
    <sheetView workbookViewId="0">
      <selection activeCell="D27" sqref="D27"/>
    </sheetView>
  </sheetViews>
  <sheetFormatPr defaultColWidth="9.140625" defaultRowHeight="15"/>
  <cols>
    <col min="3" max="3" width="24.7109375" customWidth="1"/>
    <col min="4" max="4" width="36.42578125" customWidth="1"/>
    <col min="5" max="5" width="24.7109375" customWidth="1"/>
    <col min="6" max="6" width="26.42578125" customWidth="1"/>
    <col min="7" max="7" width="27.5703125" customWidth="1"/>
    <col min="8" max="8" width="29.7109375" customWidth="1"/>
    <col min="9" max="9" width="9.140625" style="142"/>
  </cols>
  <sheetData>
    <row r="1" spans="1:9">
      <c r="E1" s="134">
        <v>0.4</v>
      </c>
      <c r="F1" s="134">
        <v>0.4</v>
      </c>
      <c r="G1" s="134">
        <v>0.15</v>
      </c>
      <c r="H1" s="134">
        <v>0.05</v>
      </c>
      <c r="I1" s="142" t="s">
        <v>1050</v>
      </c>
    </row>
    <row r="2" spans="1:9" ht="60">
      <c r="A2" s="143" t="s">
        <v>657</v>
      </c>
      <c r="B2" s="143" t="s">
        <v>30</v>
      </c>
      <c r="C2" s="143" t="s">
        <v>32</v>
      </c>
      <c r="D2" s="143" t="s">
        <v>33</v>
      </c>
      <c r="E2" s="3" t="s">
        <v>1051</v>
      </c>
      <c r="F2" s="3" t="s">
        <v>1052</v>
      </c>
      <c r="G2" s="3" t="s">
        <v>1053</v>
      </c>
      <c r="H2" s="3" t="s">
        <v>1054</v>
      </c>
      <c r="I2" s="163"/>
    </row>
    <row r="3" spans="1:9">
      <c r="A3" s="19" t="s">
        <v>4</v>
      </c>
      <c r="B3" s="78" t="s">
        <v>225</v>
      </c>
      <c r="C3" s="19" t="s">
        <v>272</v>
      </c>
      <c r="D3" s="19" t="s">
        <v>273</v>
      </c>
      <c r="E3" s="115">
        <v>1</v>
      </c>
      <c r="F3" s="115">
        <v>1</v>
      </c>
      <c r="G3" s="115">
        <v>0</v>
      </c>
      <c r="H3" s="115">
        <v>0</v>
      </c>
      <c r="I3" s="164">
        <f>(E3*$E$1)+(F3*$F$1)+(G3*$G$1)+(H3*$H$1)</f>
        <v>0.8</v>
      </c>
    </row>
    <row r="4" spans="1:9">
      <c r="A4" s="4" t="s">
        <v>4</v>
      </c>
      <c r="B4" s="4" t="s">
        <v>225</v>
      </c>
      <c r="C4" t="s">
        <v>275</v>
      </c>
      <c r="D4" t="s">
        <v>276</v>
      </c>
      <c r="E4" s="115">
        <v>0.2</v>
      </c>
      <c r="F4" s="115">
        <v>0.2</v>
      </c>
      <c r="G4" s="115">
        <v>0</v>
      </c>
      <c r="H4" s="115">
        <v>0</v>
      </c>
      <c r="I4" s="164">
        <f t="shared" ref="I4:I38" si="0">(E4*$E$1)+(F4*$F$1)+(G4*$G$1)+(H4*$H$1)</f>
        <v>0.16000000000000003</v>
      </c>
    </row>
    <row r="5" spans="1:9">
      <c r="A5" t="s">
        <v>4</v>
      </c>
      <c r="B5" s="4" t="s">
        <v>225</v>
      </c>
      <c r="C5" t="s">
        <v>254</v>
      </c>
      <c r="D5" t="s">
        <v>255</v>
      </c>
      <c r="E5" s="115">
        <v>0.2</v>
      </c>
      <c r="F5" s="115">
        <v>0.2</v>
      </c>
      <c r="G5" s="115">
        <v>0</v>
      </c>
      <c r="H5" s="115">
        <v>0</v>
      </c>
      <c r="I5" s="164">
        <f t="shared" si="0"/>
        <v>0.16000000000000003</v>
      </c>
    </row>
    <row r="6" spans="1:9">
      <c r="A6" s="19" t="s">
        <v>4</v>
      </c>
      <c r="B6" s="78" t="s">
        <v>225</v>
      </c>
      <c r="C6" s="19" t="s">
        <v>232</v>
      </c>
      <c r="D6" s="19" t="s">
        <v>233</v>
      </c>
      <c r="E6" s="115">
        <v>1</v>
      </c>
      <c r="F6" s="115">
        <v>1</v>
      </c>
      <c r="G6" s="115">
        <v>0</v>
      </c>
      <c r="H6" s="115">
        <v>0</v>
      </c>
      <c r="I6" s="164">
        <f t="shared" si="0"/>
        <v>0.8</v>
      </c>
    </row>
    <row r="7" spans="1:9">
      <c r="A7" s="19" t="s">
        <v>4</v>
      </c>
      <c r="B7" s="78" t="s">
        <v>225</v>
      </c>
      <c r="C7" s="19" t="s">
        <v>226</v>
      </c>
      <c r="D7" s="19" t="s">
        <v>227</v>
      </c>
      <c r="E7" s="115">
        <v>1</v>
      </c>
      <c r="F7" s="115">
        <v>1</v>
      </c>
      <c r="G7" s="115">
        <v>0</v>
      </c>
      <c r="H7" s="115">
        <v>0</v>
      </c>
      <c r="I7" s="164">
        <f t="shared" si="0"/>
        <v>0.8</v>
      </c>
    </row>
    <row r="8" spans="1:9">
      <c r="A8" t="s">
        <v>93</v>
      </c>
      <c r="B8" t="s">
        <v>94</v>
      </c>
      <c r="C8" t="s">
        <v>223</v>
      </c>
      <c r="D8" t="s">
        <v>211</v>
      </c>
      <c r="E8" s="115">
        <v>1</v>
      </c>
      <c r="F8" s="115">
        <v>1</v>
      </c>
      <c r="I8" s="164">
        <f t="shared" si="0"/>
        <v>0.8</v>
      </c>
    </row>
    <row r="9" spans="1:9">
      <c r="A9" t="s">
        <v>93</v>
      </c>
      <c r="B9" t="s">
        <v>94</v>
      </c>
      <c r="C9" t="s">
        <v>251</v>
      </c>
      <c r="D9" t="s">
        <v>197</v>
      </c>
      <c r="E9" s="115">
        <v>1</v>
      </c>
      <c r="F9" s="115">
        <v>1</v>
      </c>
      <c r="I9" s="164">
        <f t="shared" si="0"/>
        <v>0.8</v>
      </c>
    </row>
    <row r="10" spans="1:9">
      <c r="A10" t="s">
        <v>93</v>
      </c>
      <c r="B10" t="s">
        <v>94</v>
      </c>
      <c r="C10" t="s">
        <v>308</v>
      </c>
      <c r="D10" t="s">
        <v>309</v>
      </c>
      <c r="E10" s="115">
        <v>1</v>
      </c>
      <c r="F10" s="115">
        <v>1</v>
      </c>
      <c r="I10" s="164">
        <f t="shared" si="0"/>
        <v>0.8</v>
      </c>
    </row>
    <row r="11" spans="1:9">
      <c r="A11" t="s">
        <v>93</v>
      </c>
      <c r="B11" t="s">
        <v>94</v>
      </c>
      <c r="C11" t="s">
        <v>305</v>
      </c>
      <c r="D11" t="s">
        <v>306</v>
      </c>
      <c r="E11" s="115">
        <v>1</v>
      </c>
      <c r="F11" s="115">
        <v>1</v>
      </c>
      <c r="I11" s="164">
        <f t="shared" si="0"/>
        <v>0.8</v>
      </c>
    </row>
    <row r="12" spans="1:9">
      <c r="A12" t="s">
        <v>93</v>
      </c>
      <c r="B12" t="s">
        <v>94</v>
      </c>
      <c r="C12" t="s">
        <v>303</v>
      </c>
      <c r="D12" t="s">
        <v>304</v>
      </c>
      <c r="E12" s="115">
        <v>1</v>
      </c>
      <c r="F12" s="115">
        <v>1</v>
      </c>
      <c r="I12" s="164">
        <f t="shared" si="0"/>
        <v>0.8</v>
      </c>
    </row>
    <row r="13" spans="1:9">
      <c r="A13" t="s">
        <v>93</v>
      </c>
      <c r="B13" t="s">
        <v>94</v>
      </c>
      <c r="C13" t="s">
        <v>301</v>
      </c>
      <c r="D13" t="s">
        <v>302</v>
      </c>
      <c r="E13" s="115">
        <v>1</v>
      </c>
      <c r="F13" s="115">
        <v>1</v>
      </c>
      <c r="I13" s="164">
        <f t="shared" si="0"/>
        <v>0.8</v>
      </c>
    </row>
    <row r="14" spans="1:9">
      <c r="A14" t="s">
        <v>93</v>
      </c>
      <c r="B14" t="s">
        <v>94</v>
      </c>
      <c r="C14" t="s">
        <v>299</v>
      </c>
      <c r="D14" t="s">
        <v>300</v>
      </c>
      <c r="E14" s="115">
        <v>1</v>
      </c>
      <c r="F14" s="115">
        <v>1</v>
      </c>
      <c r="I14" s="164">
        <f t="shared" si="0"/>
        <v>0.8</v>
      </c>
    </row>
    <row r="15" spans="1:9">
      <c r="A15" t="s">
        <v>93</v>
      </c>
      <c r="B15" t="s">
        <v>94</v>
      </c>
      <c r="C15" t="s">
        <v>297</v>
      </c>
      <c r="D15" t="s">
        <v>298</v>
      </c>
      <c r="E15" s="115">
        <v>1</v>
      </c>
      <c r="F15" s="115">
        <v>1</v>
      </c>
      <c r="I15" s="164">
        <f t="shared" si="0"/>
        <v>0.8</v>
      </c>
    </row>
    <row r="16" spans="1:9">
      <c r="A16" t="s">
        <v>93</v>
      </c>
      <c r="B16" t="s">
        <v>94</v>
      </c>
      <c r="C16" t="s">
        <v>288</v>
      </c>
      <c r="D16" t="s">
        <v>289</v>
      </c>
      <c r="E16" s="115">
        <v>1</v>
      </c>
      <c r="F16" s="115">
        <v>1</v>
      </c>
      <c r="I16" s="164">
        <f t="shared" si="0"/>
        <v>0.8</v>
      </c>
    </row>
    <row r="17" spans="1:9">
      <c r="A17" t="s">
        <v>1007</v>
      </c>
      <c r="B17" t="s">
        <v>94</v>
      </c>
      <c r="C17" t="s">
        <v>510</v>
      </c>
      <c r="D17" t="s">
        <v>514</v>
      </c>
      <c r="E17" s="115">
        <v>0</v>
      </c>
      <c r="F17" s="115">
        <v>0</v>
      </c>
      <c r="I17" s="164">
        <f t="shared" si="0"/>
        <v>0</v>
      </c>
    </row>
    <row r="18" spans="1:9">
      <c r="A18" t="s">
        <v>1007</v>
      </c>
      <c r="B18" t="s">
        <v>94</v>
      </c>
      <c r="C18" t="s">
        <v>513</v>
      </c>
      <c r="D18" t="s">
        <v>514</v>
      </c>
      <c r="E18" s="115">
        <v>0</v>
      </c>
      <c r="F18" s="115">
        <v>0</v>
      </c>
      <c r="I18" s="164">
        <f t="shared" si="0"/>
        <v>0</v>
      </c>
    </row>
    <row r="19" spans="1:9">
      <c r="A19" t="s">
        <v>93</v>
      </c>
      <c r="B19" t="s">
        <v>94</v>
      </c>
      <c r="C19" t="s">
        <v>282</v>
      </c>
      <c r="D19" s="195" t="s">
        <v>280</v>
      </c>
      <c r="I19" s="164">
        <f t="shared" si="0"/>
        <v>0</v>
      </c>
    </row>
    <row r="20" spans="1:9">
      <c r="A20" t="s">
        <v>93</v>
      </c>
      <c r="B20" t="s">
        <v>94</v>
      </c>
      <c r="C20" t="s">
        <v>279</v>
      </c>
      <c r="D20" s="195" t="s">
        <v>280</v>
      </c>
      <c r="I20" s="164">
        <f>(E20*$E$1)+(F20*$F$1)+(G20*$G$1)+(H20*$H$1)</f>
        <v>0</v>
      </c>
    </row>
    <row r="21" spans="1:9">
      <c r="A21" t="s">
        <v>93</v>
      </c>
      <c r="B21" t="s">
        <v>94</v>
      </c>
      <c r="C21" t="s">
        <v>278</v>
      </c>
      <c r="D21" t="s">
        <v>263</v>
      </c>
      <c r="I21" s="164">
        <f t="shared" si="0"/>
        <v>0</v>
      </c>
    </row>
    <row r="22" spans="1:9">
      <c r="A22" t="s">
        <v>93</v>
      </c>
      <c r="B22" t="s">
        <v>94</v>
      </c>
      <c r="C22" t="s">
        <v>277</v>
      </c>
      <c r="D22" t="s">
        <v>263</v>
      </c>
      <c r="I22" s="164">
        <f t="shared" si="0"/>
        <v>0</v>
      </c>
    </row>
    <row r="23" spans="1:9">
      <c r="A23" t="s">
        <v>93</v>
      </c>
      <c r="B23" t="s">
        <v>94</v>
      </c>
      <c r="C23" t="s">
        <v>271</v>
      </c>
      <c r="D23" t="s">
        <v>265</v>
      </c>
      <c r="I23" s="164">
        <f t="shared" si="0"/>
        <v>0</v>
      </c>
    </row>
    <row r="24" spans="1:9">
      <c r="A24" t="s">
        <v>93</v>
      </c>
      <c r="B24" t="s">
        <v>94</v>
      </c>
      <c r="C24" t="s">
        <v>264</v>
      </c>
      <c r="D24" t="s">
        <v>265</v>
      </c>
      <c r="I24" s="164">
        <f t="shared" si="0"/>
        <v>0</v>
      </c>
    </row>
    <row r="25" spans="1:9">
      <c r="A25" t="s">
        <v>93</v>
      </c>
      <c r="B25" t="s">
        <v>94</v>
      </c>
      <c r="C25" t="s">
        <v>262</v>
      </c>
      <c r="D25" t="s">
        <v>263</v>
      </c>
      <c r="I25" s="164">
        <f t="shared" si="0"/>
        <v>0</v>
      </c>
    </row>
    <row r="26" spans="1:9">
      <c r="A26" t="s">
        <v>93</v>
      </c>
      <c r="B26" t="s">
        <v>94</v>
      </c>
      <c r="C26" t="s">
        <v>260</v>
      </c>
      <c r="D26" t="s">
        <v>261</v>
      </c>
      <c r="I26" s="164">
        <f t="shared" si="0"/>
        <v>0</v>
      </c>
    </row>
    <row r="27" spans="1:9">
      <c r="A27" t="s">
        <v>93</v>
      </c>
      <c r="B27" t="s">
        <v>94</v>
      </c>
      <c r="C27" t="s">
        <v>237</v>
      </c>
      <c r="D27" t="s">
        <v>238</v>
      </c>
      <c r="E27" s="115">
        <v>0</v>
      </c>
      <c r="F27" s="115">
        <v>0</v>
      </c>
      <c r="I27" s="164">
        <f t="shared" si="0"/>
        <v>0</v>
      </c>
    </row>
    <row r="28" spans="1:9">
      <c r="A28" t="s">
        <v>93</v>
      </c>
      <c r="B28" t="s">
        <v>94</v>
      </c>
      <c r="C28" t="s">
        <v>560</v>
      </c>
      <c r="D28" t="s">
        <v>561</v>
      </c>
      <c r="E28" s="115">
        <v>0</v>
      </c>
      <c r="F28" s="115">
        <v>0</v>
      </c>
      <c r="I28" s="164">
        <f t="shared" si="0"/>
        <v>0</v>
      </c>
    </row>
    <row r="29" spans="1:9">
      <c r="A29" t="s">
        <v>93</v>
      </c>
      <c r="B29" t="s">
        <v>94</v>
      </c>
      <c r="C29" t="s">
        <v>224</v>
      </c>
      <c r="D29" t="s">
        <v>197</v>
      </c>
      <c r="E29" s="115">
        <v>1</v>
      </c>
      <c r="F29" s="115">
        <v>1</v>
      </c>
      <c r="I29" s="164">
        <f t="shared" si="0"/>
        <v>0.8</v>
      </c>
    </row>
    <row r="30" spans="1:9">
      <c r="A30" t="s">
        <v>93</v>
      </c>
      <c r="B30" t="s">
        <v>94</v>
      </c>
      <c r="C30" t="s">
        <v>213</v>
      </c>
      <c r="D30" t="s">
        <v>205</v>
      </c>
      <c r="E30" s="115">
        <v>0.1</v>
      </c>
      <c r="F30" s="115">
        <v>0.1</v>
      </c>
      <c r="I30" s="164">
        <f t="shared" si="0"/>
        <v>8.0000000000000016E-2</v>
      </c>
    </row>
    <row r="31" spans="1:9">
      <c r="A31" t="s">
        <v>93</v>
      </c>
      <c r="B31" t="s">
        <v>94</v>
      </c>
      <c r="C31" t="s">
        <v>210</v>
      </c>
      <c r="D31" t="s">
        <v>205</v>
      </c>
      <c r="E31" s="115">
        <v>0.1</v>
      </c>
      <c r="F31" s="115">
        <v>0.1</v>
      </c>
      <c r="I31" s="164">
        <f t="shared" si="0"/>
        <v>8.0000000000000016E-2</v>
      </c>
    </row>
    <row r="32" spans="1:9">
      <c r="A32" t="s">
        <v>93</v>
      </c>
      <c r="B32" t="s">
        <v>94</v>
      </c>
      <c r="C32" t="s">
        <v>209</v>
      </c>
      <c r="D32" t="s">
        <v>205</v>
      </c>
      <c r="E32" s="115">
        <v>0.1</v>
      </c>
      <c r="F32" s="115">
        <v>0.1</v>
      </c>
      <c r="I32" s="164">
        <f t="shared" si="0"/>
        <v>8.0000000000000016E-2</v>
      </c>
    </row>
    <row r="33" spans="1:9">
      <c r="A33" t="s">
        <v>93</v>
      </c>
      <c r="B33" t="s">
        <v>94</v>
      </c>
      <c r="C33" t="s">
        <v>208</v>
      </c>
      <c r="D33" t="s">
        <v>205</v>
      </c>
      <c r="E33" s="115">
        <v>0.1</v>
      </c>
      <c r="F33" s="115">
        <v>0.1</v>
      </c>
      <c r="I33" s="164">
        <f t="shared" si="0"/>
        <v>8.0000000000000016E-2</v>
      </c>
    </row>
    <row r="34" spans="1:9">
      <c r="A34" t="s">
        <v>93</v>
      </c>
      <c r="B34" t="s">
        <v>94</v>
      </c>
      <c r="C34" t="s">
        <v>204</v>
      </c>
      <c r="D34" t="s">
        <v>205</v>
      </c>
      <c r="E34" s="115">
        <v>0.1</v>
      </c>
      <c r="F34" s="115">
        <v>0.1</v>
      </c>
      <c r="I34" s="164">
        <f t="shared" si="0"/>
        <v>8.0000000000000016E-2</v>
      </c>
    </row>
    <row r="35" spans="1:9">
      <c r="I35" s="164">
        <f t="shared" si="0"/>
        <v>0</v>
      </c>
    </row>
    <row r="36" spans="1:9">
      <c r="I36" s="164">
        <f t="shared" si="0"/>
        <v>0</v>
      </c>
    </row>
    <row r="37" spans="1:9">
      <c r="I37" s="164">
        <f t="shared" si="0"/>
        <v>0</v>
      </c>
    </row>
    <row r="38" spans="1:9">
      <c r="I38" s="164">
        <f t="shared" si="0"/>
        <v>0</v>
      </c>
    </row>
  </sheetData>
  <autoFilter ref="A2:I38" xr:uid="{38D626F6-57FE-4342-AA3A-4DC84E1A1F8E}"/>
  <dataValidations count="1">
    <dataValidation type="list" allowBlank="1" showInputMessage="1" showErrorMessage="1" sqref="B3:B7" xr:uid="{7FF558DE-D217-4199-96EC-876F7ED4ACBC}">
      <formula1>Owner</formula1>
    </dataValidation>
  </dataValidations>
  <pageMargins left="0.7" right="0.7" top="0.75" bottom="0.75" header="0.3" footer="0.3"/>
  <legacy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G19"/>
  <sheetViews>
    <sheetView zoomScaleNormal="100" workbookViewId="0">
      <selection activeCell="A18" sqref="A18"/>
    </sheetView>
  </sheetViews>
  <sheetFormatPr defaultColWidth="11.42578125" defaultRowHeight="15"/>
  <cols>
    <col min="2" max="2" width="21.28515625" customWidth="1"/>
    <col min="3" max="3" width="28.140625" customWidth="1"/>
    <col min="4" max="4" width="37.7109375" customWidth="1"/>
    <col min="5" max="5" width="32" customWidth="1"/>
    <col min="6" max="7" width="61.85546875" customWidth="1"/>
  </cols>
  <sheetData>
    <row r="1" spans="1:7" ht="15.75" thickBot="1">
      <c r="A1" s="39" t="s">
        <v>29</v>
      </c>
      <c r="B1" s="40" t="s">
        <v>1055</v>
      </c>
      <c r="C1" s="40" t="s">
        <v>30</v>
      </c>
      <c r="D1" s="40" t="s">
        <v>32</v>
      </c>
      <c r="E1" s="40" t="s">
        <v>33</v>
      </c>
      <c r="F1" s="40" t="s">
        <v>1056</v>
      </c>
      <c r="G1" s="40" t="s">
        <v>1057</v>
      </c>
    </row>
    <row r="2" spans="1:7" ht="90.75" thickBot="1">
      <c r="A2" s="41" t="s">
        <v>67</v>
      </c>
      <c r="B2" s="42" t="s">
        <v>1058</v>
      </c>
      <c r="C2" s="42" t="s">
        <v>48</v>
      </c>
      <c r="D2" s="42" t="s">
        <v>402</v>
      </c>
      <c r="E2" s="55" t="s">
        <v>403</v>
      </c>
      <c r="F2" s="43" t="s">
        <v>404</v>
      </c>
      <c r="G2" s="43" t="s">
        <v>1059</v>
      </c>
    </row>
    <row r="3" spans="1:7" ht="135">
      <c r="A3" s="331" t="s">
        <v>67</v>
      </c>
      <c r="B3" s="331" t="s">
        <v>1058</v>
      </c>
      <c r="C3" s="331" t="s">
        <v>48</v>
      </c>
      <c r="D3" s="331" t="s">
        <v>69</v>
      </c>
      <c r="E3" s="338" t="s">
        <v>70</v>
      </c>
      <c r="F3" s="44" t="s">
        <v>1060</v>
      </c>
      <c r="G3" s="331"/>
    </row>
    <row r="4" spans="1:7" ht="30">
      <c r="A4" s="332"/>
      <c r="B4" s="332"/>
      <c r="C4" s="332"/>
      <c r="D4" s="332"/>
      <c r="E4" s="339"/>
      <c r="F4" s="45" t="s">
        <v>1061</v>
      </c>
      <c r="G4" s="332"/>
    </row>
    <row r="5" spans="1:7">
      <c r="A5" s="332"/>
      <c r="B5" s="332"/>
      <c r="C5" s="332"/>
      <c r="D5" s="332"/>
      <c r="E5" s="339"/>
      <c r="F5" s="45"/>
      <c r="G5" s="332"/>
    </row>
    <row r="6" spans="1:7" ht="30.75" thickBot="1">
      <c r="A6" s="333"/>
      <c r="B6" s="333"/>
      <c r="C6" s="333"/>
      <c r="D6" s="333"/>
      <c r="E6" s="340"/>
      <c r="F6" s="46" t="s">
        <v>1062</v>
      </c>
      <c r="G6" s="333"/>
    </row>
    <row r="7" spans="1:7" ht="75.75" thickBot="1">
      <c r="A7" s="41" t="s">
        <v>67</v>
      </c>
      <c r="B7" s="42" t="s">
        <v>1058</v>
      </c>
      <c r="C7" s="42" t="s">
        <v>48</v>
      </c>
      <c r="D7" s="42" t="s">
        <v>413</v>
      </c>
      <c r="E7" s="55" t="s">
        <v>414</v>
      </c>
      <c r="F7" s="43" t="s">
        <v>1063</v>
      </c>
      <c r="G7" s="43" t="s">
        <v>1064</v>
      </c>
    </row>
    <row r="8" spans="1:7" ht="154.5" customHeight="1" thickBot="1">
      <c r="A8" s="41" t="s">
        <v>67</v>
      </c>
      <c r="B8" s="42" t="s">
        <v>1058</v>
      </c>
      <c r="C8" s="42" t="s">
        <v>48</v>
      </c>
      <c r="D8" s="42" t="s">
        <v>441</v>
      </c>
      <c r="E8" s="55" t="s">
        <v>442</v>
      </c>
      <c r="F8" s="47" t="s">
        <v>1065</v>
      </c>
      <c r="G8" s="42" t="e" vm="1">
        <v>#VALUE!</v>
      </c>
    </row>
    <row r="9" spans="1:7" ht="30.75" thickBot="1">
      <c r="A9" s="41" t="s">
        <v>92</v>
      </c>
      <c r="B9" s="42" t="s">
        <v>1058</v>
      </c>
      <c r="C9" s="42" t="s">
        <v>48</v>
      </c>
      <c r="D9" s="42" t="s">
        <v>446</v>
      </c>
      <c r="E9" s="55" t="s">
        <v>447</v>
      </c>
      <c r="F9" s="334" t="s">
        <v>1066</v>
      </c>
      <c r="G9" s="334" t="s">
        <v>1067</v>
      </c>
    </row>
    <row r="10" spans="1:7" ht="30.75" thickBot="1">
      <c r="A10" s="41" t="s">
        <v>92</v>
      </c>
      <c r="B10" s="42" t="s">
        <v>1058</v>
      </c>
      <c r="C10" s="42" t="s">
        <v>48</v>
      </c>
      <c r="D10" s="42" t="s">
        <v>449</v>
      </c>
      <c r="E10" s="55" t="s">
        <v>450</v>
      </c>
      <c r="F10" s="335"/>
      <c r="G10" s="335"/>
    </row>
    <row r="11" spans="1:7" ht="30.75" thickBot="1">
      <c r="A11" s="41" t="s">
        <v>92</v>
      </c>
      <c r="B11" s="42" t="s">
        <v>1058</v>
      </c>
      <c r="C11" s="42" t="s">
        <v>48</v>
      </c>
      <c r="D11" s="42" t="s">
        <v>451</v>
      </c>
      <c r="E11" s="55" t="s">
        <v>452</v>
      </c>
      <c r="F11" s="335"/>
      <c r="G11" s="335"/>
    </row>
    <row r="12" spans="1:7" ht="30.75" thickBot="1">
      <c r="A12" s="41" t="s">
        <v>92</v>
      </c>
      <c r="B12" s="42" t="s">
        <v>1058</v>
      </c>
      <c r="C12" s="42" t="s">
        <v>48</v>
      </c>
      <c r="D12" s="42" t="s">
        <v>453</v>
      </c>
      <c r="E12" s="55" t="s">
        <v>454</v>
      </c>
      <c r="F12" s="336"/>
      <c r="G12" s="336"/>
    </row>
    <row r="13" spans="1:7" ht="30.75" thickBot="1">
      <c r="A13" s="41" t="s">
        <v>67</v>
      </c>
      <c r="B13" s="42" t="s">
        <v>1058</v>
      </c>
      <c r="C13" s="42" t="s">
        <v>48</v>
      </c>
      <c r="D13" s="42" t="s">
        <v>130</v>
      </c>
      <c r="E13" s="55" t="s">
        <v>131</v>
      </c>
      <c r="F13" s="48" t="s">
        <v>1068</v>
      </c>
      <c r="G13" s="42"/>
    </row>
    <row r="14" spans="1:7" ht="30">
      <c r="A14" s="331" t="s">
        <v>67</v>
      </c>
      <c r="B14" s="331" t="s">
        <v>1058</v>
      </c>
      <c r="C14" s="331" t="s">
        <v>48</v>
      </c>
      <c r="D14" s="331" t="s">
        <v>283</v>
      </c>
      <c r="E14" s="338" t="s">
        <v>284</v>
      </c>
      <c r="F14" s="49" t="s">
        <v>1069</v>
      </c>
      <c r="G14" s="334" t="s">
        <v>287</v>
      </c>
    </row>
    <row r="15" spans="1:7" ht="75">
      <c r="A15" s="332"/>
      <c r="B15" s="332"/>
      <c r="C15" s="332"/>
      <c r="D15" s="332"/>
      <c r="E15" s="339"/>
      <c r="F15" s="49" t="s">
        <v>1070</v>
      </c>
      <c r="G15" s="335"/>
    </row>
    <row r="16" spans="1:7" ht="16.5" thickBot="1">
      <c r="A16" s="333"/>
      <c r="B16" s="333"/>
      <c r="C16" s="333"/>
      <c r="D16" s="333"/>
      <c r="E16" s="340"/>
      <c r="F16" s="50" t="s">
        <v>1071</v>
      </c>
      <c r="G16" s="337"/>
    </row>
    <row r="17" spans="1:7" ht="30.75" thickBot="1">
      <c r="A17" s="41" t="s">
        <v>67</v>
      </c>
      <c r="B17" s="42" t="s">
        <v>1058</v>
      </c>
      <c r="C17" s="42" t="s">
        <v>48</v>
      </c>
      <c r="D17" s="42" t="s">
        <v>120</v>
      </c>
      <c r="E17" s="55" t="s">
        <v>121</v>
      </c>
      <c r="F17" s="51" t="s">
        <v>1072</v>
      </c>
      <c r="G17" s="52"/>
    </row>
    <row r="18" spans="1:7" ht="165.75" customHeight="1" thickBot="1">
      <c r="A18" s="41" t="s">
        <v>1073</v>
      </c>
      <c r="B18" s="42" t="s">
        <v>1058</v>
      </c>
      <c r="C18" s="42" t="s">
        <v>48</v>
      </c>
      <c r="D18" s="42" t="s">
        <v>465</v>
      </c>
      <c r="E18" s="55" t="s">
        <v>466</v>
      </c>
      <c r="F18" s="47" t="s">
        <v>1065</v>
      </c>
      <c r="G18" s="42" t="e" vm="2">
        <v>#VALUE!</v>
      </c>
    </row>
    <row r="19" spans="1:7" ht="165.75" thickBot="1">
      <c r="A19" s="41" t="s">
        <v>67</v>
      </c>
      <c r="B19" s="42" t="s">
        <v>1058</v>
      </c>
      <c r="C19" s="42" t="s">
        <v>48</v>
      </c>
      <c r="D19" s="42" t="s">
        <v>496</v>
      </c>
      <c r="E19" s="55" t="s">
        <v>497</v>
      </c>
      <c r="F19" s="43" t="s">
        <v>1074</v>
      </c>
      <c r="G19" s="43" t="s">
        <v>1075</v>
      </c>
    </row>
  </sheetData>
  <autoFilter ref="A1:G19" xr:uid="{00000000-0009-0000-0000-00000E000000}"/>
  <mergeCells count="14">
    <mergeCell ref="G3:G6"/>
    <mergeCell ref="G9:G12"/>
    <mergeCell ref="G14:G16"/>
    <mergeCell ref="A3:A6"/>
    <mergeCell ref="B3:B6"/>
    <mergeCell ref="C3:C6"/>
    <mergeCell ref="D3:D6"/>
    <mergeCell ref="E3:E6"/>
    <mergeCell ref="F9:F12"/>
    <mergeCell ref="A14:A16"/>
    <mergeCell ref="B14:B16"/>
    <mergeCell ref="C14:C16"/>
    <mergeCell ref="D14:D16"/>
    <mergeCell ref="E14:E16"/>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cf35dce2-b600-471d-a6b0-9e8301b7851b">
      <Terms xmlns="http://schemas.microsoft.com/office/infopath/2007/PartnerControls"/>
    </lcf76f155ced4ddcb4097134ff3c332f>
    <TaxCatchAll xmlns="3de82841-ffbb-418b-a888-39c303bacd30"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o" ma:contentTypeID="0x0101003EADB6AB950C774BBB9F1C75E500B284" ma:contentTypeVersion="12" ma:contentTypeDescription="Crear nuevo documento." ma:contentTypeScope="" ma:versionID="101bf262c701ad3b79067f76f13f8957">
  <xsd:schema xmlns:xsd="http://www.w3.org/2001/XMLSchema" xmlns:xs="http://www.w3.org/2001/XMLSchema" xmlns:p="http://schemas.microsoft.com/office/2006/metadata/properties" xmlns:ns2="cf35dce2-b600-471d-a6b0-9e8301b7851b" xmlns:ns3="3de82841-ffbb-418b-a888-39c303bacd30" targetNamespace="http://schemas.microsoft.com/office/2006/metadata/properties" ma:root="true" ma:fieldsID="a75b904d2a00e23a3c27f0f1b23bc34b" ns2:_="" ns3:_="">
    <xsd:import namespace="cf35dce2-b600-471d-a6b0-9e8301b7851b"/>
    <xsd:import namespace="3de82841-ffbb-418b-a888-39c303bacd3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f35dce2-b600-471d-a6b0-9e8301b7851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Etiquetas de imagen" ma:readOnly="false" ma:fieldId="{5cf76f15-5ced-4ddc-b409-7134ff3c332f}" ma:taxonomyMulti="true" ma:sspId="7ede4d0a-0766-4f1c-ae6e-d82e4c79f9cb"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3de82841-ffbb-418b-a888-39c303bacd3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f69b061e-8b27-4b88-9ef3-0b189eff6be7}" ma:internalName="TaxCatchAll" ma:showField="CatchAllData" ma:web="3de82841-ffbb-418b-a888-39c303bacd3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A375821D-36A9-4CDC-A1BE-5D2CBBA4307B}"/>
</file>

<file path=customXml/itemProps2.xml><?xml version="1.0" encoding="utf-8"?>
<ds:datastoreItem xmlns:ds="http://schemas.openxmlformats.org/officeDocument/2006/customXml" ds:itemID="{ECC795BC-EBC7-4117-92B3-11DADC5E6F22}"/>
</file>

<file path=customXml/itemProps3.xml><?xml version="1.0" encoding="utf-8"?>
<ds:datastoreItem xmlns:ds="http://schemas.openxmlformats.org/officeDocument/2006/customXml" ds:itemID="{AD30A550-A4F4-46BF-8873-D33C9DECD441}"/>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Sharon Dayan Rivera Martínez</dc:creator>
  <cp:keywords/>
  <dc:description/>
  <cp:lastModifiedBy>Alejandro Romero Reyes</cp:lastModifiedBy>
  <cp:revision/>
  <dcterms:created xsi:type="dcterms:W3CDTF">2025-04-10T17:10:20Z</dcterms:created>
  <dcterms:modified xsi:type="dcterms:W3CDTF">2026-05-26T19:26:52Z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0x0101003EADB6AB950C774BBB9F1C75E500B284</vt:lpwstr>
  </property>
  <property fmtid="{D5CDD505-2E9C-101B-9397-08002B2CF9AE}" pid="3" name="MediaServiceImageTags">
    <vt:lpwstr/>
  </property>
</Properties>
</file>