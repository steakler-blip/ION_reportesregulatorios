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nquieroconfianza-my.sharepoint.com/personal/ramon_jaimes_ion_com_mx/Documents/Ramón/2024/15 Otros/Banco/01 Bajaware/02 Reportes para aplicación/05 R13/"/>
    </mc:Choice>
  </mc:AlternateContent>
  <xr:revisionPtr revIDLastSave="957" documentId="8_{B9C32F77-0622-4664-9EA1-D1E3F902B9A9}" xr6:coauthVersionLast="47" xr6:coauthVersionMax="47" xr10:uidLastSave="{B5139918-C4C8-4CCD-9E93-46409DB141B1}"/>
  <bookViews>
    <workbookView xWindow="-108" yWindow="-108" windowWidth="23256" windowHeight="12576" xr2:uid="{59E35D02-74EE-409F-A905-BFA5E10651BD}"/>
  </bookViews>
  <sheets>
    <sheet name="Saldos Iniciales" sheetId="1" r:id="rId1"/>
  </sheets>
  <definedNames>
    <definedName name="_xlnm._FilterDatabase" localSheetId="0" hidden="1">'Saldos Iniciales'!$A$1:$F$35</definedName>
    <definedName name="BAL">#REF!</definedName>
    <definedName name="balanza">#REF!</definedName>
    <definedName name="KJ">#REF!</definedName>
    <definedName name="ñ">#REF!</definedName>
    <definedName name="S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F25" i="1" s="1"/>
  <c r="F30" i="1"/>
  <c r="F33" i="1"/>
  <c r="F32" i="1" s="1"/>
  <c r="F10" i="1"/>
  <c r="F9" i="1" s="1"/>
  <c r="F8" i="1" s="1"/>
  <c r="F24" i="1" l="1"/>
  <c r="F5" i="1" s="1"/>
  <c r="F2" i="1" s="1"/>
</calcChain>
</file>

<file path=xl/sharedStrings.xml><?xml version="1.0" encoding="utf-8"?>
<sst xmlns="http://schemas.openxmlformats.org/spreadsheetml/2006/main" count="163" uniqueCount="90">
  <si>
    <t xml:space="preserve">Cuenta Inerna </t>
  </si>
  <si>
    <t>Cuenta Normativa</t>
  </si>
  <si>
    <t>Descripción</t>
  </si>
  <si>
    <t>Afectable</t>
  </si>
  <si>
    <t>MONEDA</t>
  </si>
  <si>
    <t>SALDO</t>
  </si>
  <si>
    <t>4000000000000000</t>
  </si>
  <si>
    <t>400000000000</t>
  </si>
  <si>
    <t>CAPITAL CONTABLE</t>
  </si>
  <si>
    <t>No</t>
  </si>
  <si>
    <t>4002000000000000</t>
  </si>
  <si>
    <t>400200102001</t>
  </si>
  <si>
    <t>CAPITAL CONTRIBUIDO</t>
  </si>
  <si>
    <t>4002010000000000</t>
  </si>
  <si>
    <t>400200103001</t>
  </si>
  <si>
    <t>CAPITAL SOCIAL</t>
  </si>
  <si>
    <t>Si</t>
  </si>
  <si>
    <t>MXN</t>
  </si>
  <si>
    <t>4004000000000000</t>
  </si>
  <si>
    <t>400200102002</t>
  </si>
  <si>
    <t>CAPITAL GANADO</t>
  </si>
  <si>
    <t>4004010000000000</t>
  </si>
  <si>
    <t>400200203010</t>
  </si>
  <si>
    <t>RESERVAS DE CAPITAL</t>
  </si>
  <si>
    <t>4004010100000000</t>
  </si>
  <si>
    <t>400201004001</t>
  </si>
  <si>
    <t>RESERVA LEGAL</t>
  </si>
  <si>
    <t>4004030000000000</t>
  </si>
  <si>
    <t>400200203012</t>
  </si>
  <si>
    <t>RESULTADOS ACUMULADOS</t>
  </si>
  <si>
    <t>4004030100000000</t>
  </si>
  <si>
    <t>400201204003</t>
  </si>
  <si>
    <t>RESULTADO DE EJERCICIOS ANTERIORES</t>
  </si>
  <si>
    <t>4004030101000000</t>
  </si>
  <si>
    <t>400200305001</t>
  </si>
  <si>
    <t>RESULTADO POR APLICAR</t>
  </si>
  <si>
    <t>4004030101010000</t>
  </si>
  <si>
    <t>EJERCICIO 2011</t>
  </si>
  <si>
    <t>4004030101020000</t>
  </si>
  <si>
    <t>EJERCICIO 2012</t>
  </si>
  <si>
    <t>4004030101030000</t>
  </si>
  <si>
    <t>EJERCICIO 2013</t>
  </si>
  <si>
    <t>4004030101040000</t>
  </si>
  <si>
    <t>EJERCICIO 2014</t>
  </si>
  <si>
    <t>4004030101050000</t>
  </si>
  <si>
    <t>EJERCICIO 2015</t>
  </si>
  <si>
    <t>4004030101060000</t>
  </si>
  <si>
    <t>EJERCICIO 2016</t>
  </si>
  <si>
    <t>4004030101070000</t>
  </si>
  <si>
    <t>EJERCICIO 2017</t>
  </si>
  <si>
    <t>4004030101080000</t>
  </si>
  <si>
    <t>EJERCICIO 2018</t>
  </si>
  <si>
    <t>4004030101090000</t>
  </si>
  <si>
    <t>EJERCICIO 2019</t>
  </si>
  <si>
    <t>4004030101100000</t>
  </si>
  <si>
    <t>EJERCICIO 2020</t>
  </si>
  <si>
    <t>4004030101110000</t>
  </si>
  <si>
    <t>EJERCICIO 2021</t>
  </si>
  <si>
    <t>4004030101120000</t>
  </si>
  <si>
    <t>EJERCICIO 2022</t>
  </si>
  <si>
    <t>4004030101130000</t>
  </si>
  <si>
    <t>EJERCICIO 2023</t>
  </si>
  <si>
    <t>4004040300000000</t>
  </si>
  <si>
    <t>400201304008</t>
  </si>
  <si>
    <t>VALUACIÓN DE INSTRUMENTOS FINANCIEROS DERIVADO</t>
  </si>
  <si>
    <t>4004040301000000</t>
  </si>
  <si>
    <t>400200805005</t>
  </si>
  <si>
    <t>VALUACIÓN</t>
  </si>
  <si>
    <t>4004040301030000</t>
  </si>
  <si>
    <t>BASE</t>
  </si>
  <si>
    <t>4004040301030100</t>
  </si>
  <si>
    <t>BANCO BASE CAP 1</t>
  </si>
  <si>
    <t>4004040301030200</t>
  </si>
  <si>
    <t>BANCO BASE CAP 2</t>
  </si>
  <si>
    <t>4004040301030300</t>
  </si>
  <si>
    <t>BANCO BASE  FWD</t>
  </si>
  <si>
    <t>4004040302000000</t>
  </si>
  <si>
    <t>400200805006</t>
  </si>
  <si>
    <t>EFECTO DE IMPUESTOS A LA UTILIDAD Y PTU DIFERIDOS</t>
  </si>
  <si>
    <t>4004040302010000</t>
  </si>
  <si>
    <t>4004040700000000</t>
  </si>
  <si>
    <t>400201304012</t>
  </si>
  <si>
    <t>REMEDICIÓN DE BENEFICIOS DEFINIDOS A LOS EMPLEADO</t>
  </si>
  <si>
    <t>4004040701000000</t>
  </si>
  <si>
    <t>400201205011</t>
  </si>
  <si>
    <t>RESULTADOS ACTUARIALES EN OBLIGACIONES</t>
  </si>
  <si>
    <t>4004040701010000</t>
  </si>
  <si>
    <t>400201106007</t>
  </si>
  <si>
    <t>4004040701020000</t>
  </si>
  <si>
    <t>400201106008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</si>
</sst>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0" fillId="0" borderId="0" xfId="1" applyFont="1"/>
    <xf numFmtId="4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43" fontId="0" fillId="0" borderId="0" xfId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92AA-62A4-4B65-B789-F0BAD37D8086}">
  <sheetPr filterMode="1"/>
  <dimension ref="A1:F35"/>
  <sheetViews>
    <sheetView tabSelected="1" zoomScale="120" zoomScaleNormal="120" workbookViewId="0">
      <pane xSplit="1" ySplit="1" topLeftCell="B2" activePane="bottomRight" state="frozen"/>
      <selection pane="bottomRight"/>
      <selection pane="bottomLeft" activeCell="A2" sqref="A2"/>
      <selection pane="topRight" activeCell="B1" sqref="B1"/>
    </sheetView>
  </sheetViews>
  <sheetFormatPr defaultColWidth="11.42578125" defaultRowHeight="14.45"/>
  <cols>
    <col min="1" max="1" width="17.140625" style="2" bestFit="1" customWidth="1"/>
    <col min="2" max="2" width="15.140625" style="2" bestFit="1" customWidth="1"/>
    <col min="3" max="3" width="51.28515625" style="2" customWidth="1"/>
    <col min="4" max="4" width="9.5703125" style="1" bestFit="1" customWidth="1"/>
    <col min="5" max="5" width="12.42578125" style="8" bestFit="1" customWidth="1"/>
    <col min="6" max="6" width="16.42578125" bestFit="1" customWidth="1"/>
  </cols>
  <sheetData>
    <row r="1" spans="1:6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</row>
    <row r="2" spans="1:6">
      <c r="A2" s="2" t="s">
        <v>6</v>
      </c>
      <c r="B2" s="2" t="s">
        <v>7</v>
      </c>
      <c r="C2" s="2" t="s">
        <v>8</v>
      </c>
      <c r="D2" s="1" t="s">
        <v>9</v>
      </c>
      <c r="E2" s="7"/>
      <c r="F2" s="10">
        <f>+F3+F5</f>
        <v>766121540.96000004</v>
      </c>
    </row>
    <row r="3" spans="1:6">
      <c r="A3" s="2" t="s">
        <v>10</v>
      </c>
      <c r="B3" s="2" t="s">
        <v>11</v>
      </c>
      <c r="C3" s="2" t="s">
        <v>12</v>
      </c>
      <c r="D3" s="1" t="s">
        <v>9</v>
      </c>
      <c r="E3" s="7"/>
      <c r="F3" s="10">
        <v>1161474528.47</v>
      </c>
    </row>
    <row r="4" spans="1:6" hidden="1">
      <c r="A4" s="2" t="s">
        <v>13</v>
      </c>
      <c r="B4" s="2" t="s">
        <v>14</v>
      </c>
      <c r="C4" s="2" t="s">
        <v>15</v>
      </c>
      <c r="D4" s="1" t="s">
        <v>16</v>
      </c>
      <c r="E4" s="9" t="s">
        <v>17</v>
      </c>
      <c r="F4" s="10">
        <v>1161474528.47</v>
      </c>
    </row>
    <row r="5" spans="1:6">
      <c r="A5" s="2" t="s">
        <v>18</v>
      </c>
      <c r="B5" s="2" t="s">
        <v>19</v>
      </c>
      <c r="C5" s="2" t="s">
        <v>20</v>
      </c>
      <c r="D5" s="1" t="s">
        <v>9</v>
      </c>
      <c r="E5" s="7"/>
      <c r="F5" s="10">
        <f>+F6+F8+F24+F32</f>
        <v>-395352987.51000005</v>
      </c>
    </row>
    <row r="6" spans="1:6">
      <c r="A6" s="2" t="s">
        <v>21</v>
      </c>
      <c r="B6" s="2" t="s">
        <v>22</v>
      </c>
      <c r="C6" s="2" t="s">
        <v>23</v>
      </c>
      <c r="D6" s="1" t="s">
        <v>9</v>
      </c>
      <c r="E6" s="7"/>
      <c r="F6" s="10">
        <v>4296315.28</v>
      </c>
    </row>
    <row r="7" spans="1:6" hidden="1">
      <c r="A7" s="2" t="s">
        <v>24</v>
      </c>
      <c r="B7" s="2" t="s">
        <v>25</v>
      </c>
      <c r="C7" s="2" t="s">
        <v>26</v>
      </c>
      <c r="D7" s="1" t="s">
        <v>16</v>
      </c>
      <c r="E7" s="9" t="s">
        <v>17</v>
      </c>
      <c r="F7" s="6">
        <v>4296315.28</v>
      </c>
    </row>
    <row r="8" spans="1:6">
      <c r="A8" s="2" t="s">
        <v>27</v>
      </c>
      <c r="B8" s="2" t="s">
        <v>28</v>
      </c>
      <c r="C8" s="2" t="s">
        <v>29</v>
      </c>
      <c r="D8" s="1" t="s">
        <v>9</v>
      </c>
      <c r="E8" s="7"/>
      <c r="F8" s="10">
        <f>+F9</f>
        <v>-398851995.61000001</v>
      </c>
    </row>
    <row r="9" spans="1:6">
      <c r="A9" s="2" t="s">
        <v>30</v>
      </c>
      <c r="B9" s="2" t="s">
        <v>31</v>
      </c>
      <c r="C9" s="2" t="s">
        <v>32</v>
      </c>
      <c r="D9" s="1" t="s">
        <v>9</v>
      </c>
      <c r="E9" s="7"/>
      <c r="F9" s="10">
        <f>+F10</f>
        <v>-398851995.61000001</v>
      </c>
    </row>
    <row r="10" spans="1:6">
      <c r="A10" s="2" t="s">
        <v>33</v>
      </c>
      <c r="B10" s="2" t="s">
        <v>34</v>
      </c>
      <c r="C10" s="2" t="s">
        <v>35</v>
      </c>
      <c r="D10" s="1" t="s">
        <v>9</v>
      </c>
      <c r="E10" s="7"/>
      <c r="F10" s="10">
        <f>+SUM(F11:F23)</f>
        <v>-398851995.61000001</v>
      </c>
    </row>
    <row r="11" spans="1:6" hidden="1">
      <c r="A11" s="2" t="s">
        <v>36</v>
      </c>
      <c r="B11" s="2" t="s">
        <v>34</v>
      </c>
      <c r="C11" s="2" t="s">
        <v>37</v>
      </c>
      <c r="D11" s="1" t="s">
        <v>16</v>
      </c>
      <c r="E11" s="9" t="s">
        <v>17</v>
      </c>
      <c r="F11" s="6">
        <v>-209683.74</v>
      </c>
    </row>
    <row r="12" spans="1:6" hidden="1">
      <c r="A12" s="2" t="s">
        <v>38</v>
      </c>
      <c r="B12" s="2" t="s">
        <v>34</v>
      </c>
      <c r="C12" s="2" t="s">
        <v>39</v>
      </c>
      <c r="D12" s="1" t="s">
        <v>16</v>
      </c>
      <c r="E12" s="9" t="s">
        <v>17</v>
      </c>
      <c r="F12" s="6">
        <v>-296002.09999999998</v>
      </c>
    </row>
    <row r="13" spans="1:6" hidden="1">
      <c r="A13" s="2" t="s">
        <v>40</v>
      </c>
      <c r="B13" s="2" t="s">
        <v>34</v>
      </c>
      <c r="C13" s="2" t="s">
        <v>41</v>
      </c>
      <c r="D13" s="1" t="s">
        <v>16</v>
      </c>
      <c r="E13" s="9" t="s">
        <v>17</v>
      </c>
      <c r="F13" s="6">
        <v>-5436991.5999999996</v>
      </c>
    </row>
    <row r="14" spans="1:6" hidden="1">
      <c r="A14" s="2" t="s">
        <v>42</v>
      </c>
      <c r="B14" s="2" t="s">
        <v>34</v>
      </c>
      <c r="C14" s="2" t="s">
        <v>43</v>
      </c>
      <c r="D14" s="1" t="s">
        <v>16</v>
      </c>
      <c r="E14" s="9" t="s">
        <v>17</v>
      </c>
      <c r="F14" s="6">
        <v>1528825.02</v>
      </c>
    </row>
    <row r="15" spans="1:6" hidden="1">
      <c r="A15" s="2" t="s">
        <v>44</v>
      </c>
      <c r="B15" s="2" t="s">
        <v>34</v>
      </c>
      <c r="C15" s="2" t="s">
        <v>45</v>
      </c>
      <c r="D15" s="1" t="s">
        <v>16</v>
      </c>
      <c r="E15" s="9" t="s">
        <v>17</v>
      </c>
      <c r="F15" s="6">
        <v>7595071.4699999997</v>
      </c>
    </row>
    <row r="16" spans="1:6" hidden="1">
      <c r="A16" s="2" t="s">
        <v>46</v>
      </c>
      <c r="B16" s="2" t="s">
        <v>34</v>
      </c>
      <c r="C16" s="2" t="s">
        <v>47</v>
      </c>
      <c r="D16" s="1" t="s">
        <v>16</v>
      </c>
      <c r="E16" s="9" t="s">
        <v>17</v>
      </c>
      <c r="F16" s="6">
        <v>11262993.960000001</v>
      </c>
    </row>
    <row r="17" spans="1:6" hidden="1">
      <c r="A17" s="2" t="s">
        <v>48</v>
      </c>
      <c r="B17" s="2" t="s">
        <v>34</v>
      </c>
      <c r="C17" s="2" t="s">
        <v>49</v>
      </c>
      <c r="D17" s="1" t="s">
        <v>16</v>
      </c>
      <c r="E17" s="9" t="s">
        <v>17</v>
      </c>
      <c r="F17" s="6">
        <v>9615388.1400000006</v>
      </c>
    </row>
    <row r="18" spans="1:6" hidden="1">
      <c r="A18" s="2" t="s">
        <v>50</v>
      </c>
      <c r="B18" s="2" t="s">
        <v>34</v>
      </c>
      <c r="C18" s="2" t="s">
        <v>51</v>
      </c>
      <c r="D18" s="1" t="s">
        <v>16</v>
      </c>
      <c r="E18" s="9" t="s">
        <v>17</v>
      </c>
      <c r="F18" s="6">
        <v>33415499.059999999</v>
      </c>
    </row>
    <row r="19" spans="1:6" hidden="1">
      <c r="A19" s="2" t="s">
        <v>52</v>
      </c>
      <c r="B19" s="2" t="s">
        <v>34</v>
      </c>
      <c r="C19" s="2" t="s">
        <v>53</v>
      </c>
      <c r="D19" s="1" t="s">
        <v>16</v>
      </c>
      <c r="E19" s="9" t="s">
        <v>17</v>
      </c>
      <c r="F19" s="6">
        <v>22397421.399999999</v>
      </c>
    </row>
    <row r="20" spans="1:6" hidden="1">
      <c r="A20" s="2" t="s">
        <v>54</v>
      </c>
      <c r="B20" s="2" t="s">
        <v>34</v>
      </c>
      <c r="C20" s="2" t="s">
        <v>55</v>
      </c>
      <c r="D20" s="1" t="s">
        <v>16</v>
      </c>
      <c r="E20" s="9" t="s">
        <v>17</v>
      </c>
      <c r="F20" s="6">
        <v>-57652086.039999999</v>
      </c>
    </row>
    <row r="21" spans="1:6" hidden="1">
      <c r="A21" s="2" t="s">
        <v>56</v>
      </c>
      <c r="B21" s="2" t="s">
        <v>34</v>
      </c>
      <c r="C21" s="2" t="s">
        <v>57</v>
      </c>
      <c r="D21" s="1" t="s">
        <v>16</v>
      </c>
      <c r="E21" s="9" t="s">
        <v>17</v>
      </c>
      <c r="F21" s="6">
        <v>-121185232.66</v>
      </c>
    </row>
    <row r="22" spans="1:6" hidden="1">
      <c r="A22" s="2" t="s">
        <v>58</v>
      </c>
      <c r="B22" s="2" t="s">
        <v>34</v>
      </c>
      <c r="C22" s="2" t="s">
        <v>59</v>
      </c>
      <c r="D22" s="1" t="s">
        <v>16</v>
      </c>
      <c r="E22" s="9" t="s">
        <v>17</v>
      </c>
      <c r="F22" s="6">
        <v>-47338360.520000003</v>
      </c>
    </row>
    <row r="23" spans="1:6" hidden="1">
      <c r="A23" s="2" t="s">
        <v>60</v>
      </c>
      <c r="B23" s="2" t="s">
        <v>34</v>
      </c>
      <c r="C23" s="2" t="s">
        <v>61</v>
      </c>
      <c r="D23" s="1" t="s">
        <v>16</v>
      </c>
      <c r="E23" s="9" t="s">
        <v>17</v>
      </c>
      <c r="F23" s="6">
        <v>-252548838</v>
      </c>
    </row>
    <row r="24" spans="1:6">
      <c r="A24" s="2" t="s">
        <v>62</v>
      </c>
      <c r="B24" s="2" t="s">
        <v>63</v>
      </c>
      <c r="C24" s="2" t="s">
        <v>64</v>
      </c>
      <c r="D24" s="1" t="s">
        <v>9</v>
      </c>
      <c r="E24" s="7"/>
      <c r="F24" s="10">
        <f>+F25+F30</f>
        <v>455941.01999999996</v>
      </c>
    </row>
    <row r="25" spans="1:6">
      <c r="A25" s="2" t="s">
        <v>65</v>
      </c>
      <c r="B25" s="2" t="s">
        <v>66</v>
      </c>
      <c r="C25" s="2" t="s">
        <v>67</v>
      </c>
      <c r="D25" s="1" t="s">
        <v>9</v>
      </c>
      <c r="E25" s="7"/>
      <c r="F25" s="10">
        <f>+F26</f>
        <v>759901.7</v>
      </c>
    </row>
    <row r="26" spans="1:6">
      <c r="A26" s="2" t="s">
        <v>68</v>
      </c>
      <c r="B26" s="2" t="s">
        <v>66</v>
      </c>
      <c r="C26" s="2" t="s">
        <v>69</v>
      </c>
      <c r="D26" s="1" t="s">
        <v>9</v>
      </c>
      <c r="E26" s="7"/>
      <c r="F26" s="10">
        <f>+SUM(F27:F29)</f>
        <v>759901.7</v>
      </c>
    </row>
    <row r="27" spans="1:6" hidden="1">
      <c r="A27" s="2" t="s">
        <v>70</v>
      </c>
      <c r="B27" s="2" t="s">
        <v>66</v>
      </c>
      <c r="C27" s="2" t="s">
        <v>71</v>
      </c>
      <c r="D27" s="1" t="s">
        <v>16</v>
      </c>
      <c r="E27" s="9" t="s">
        <v>17</v>
      </c>
      <c r="F27" s="6">
        <v>488868.12</v>
      </c>
    </row>
    <row r="28" spans="1:6" hidden="1">
      <c r="A28" s="2" t="s">
        <v>72</v>
      </c>
      <c r="B28" s="2" t="s">
        <v>66</v>
      </c>
      <c r="C28" s="2" t="s">
        <v>73</v>
      </c>
      <c r="D28" s="1" t="s">
        <v>16</v>
      </c>
      <c r="E28" s="9" t="s">
        <v>17</v>
      </c>
      <c r="F28" s="6">
        <v>534845.67000000004</v>
      </c>
    </row>
    <row r="29" spans="1:6" hidden="1">
      <c r="A29" s="2" t="s">
        <v>74</v>
      </c>
      <c r="B29" s="2" t="s">
        <v>66</v>
      </c>
      <c r="C29" s="2" t="s">
        <v>75</v>
      </c>
      <c r="D29" s="1" t="s">
        <v>16</v>
      </c>
      <c r="E29" s="9" t="s">
        <v>17</v>
      </c>
      <c r="F29" s="6">
        <v>-263812.09000000003</v>
      </c>
    </row>
    <row r="30" spans="1:6">
      <c r="A30" s="2" t="s">
        <v>76</v>
      </c>
      <c r="B30" s="2" t="s">
        <v>77</v>
      </c>
      <c r="C30" s="2" t="s">
        <v>78</v>
      </c>
      <c r="D30" s="1" t="s">
        <v>9</v>
      </c>
      <c r="E30" s="7"/>
      <c r="F30" s="10">
        <f>+F31</f>
        <v>-303960.68</v>
      </c>
    </row>
    <row r="31" spans="1:6" hidden="1">
      <c r="A31" s="2" t="s">
        <v>79</v>
      </c>
      <c r="B31" s="2" t="s">
        <v>77</v>
      </c>
      <c r="C31" s="2" t="s">
        <v>78</v>
      </c>
      <c r="D31" s="1" t="s">
        <v>16</v>
      </c>
      <c r="E31" s="9" t="s">
        <v>17</v>
      </c>
      <c r="F31" s="6">
        <v>-303960.68</v>
      </c>
    </row>
    <row r="32" spans="1:6">
      <c r="A32" s="2" t="s">
        <v>80</v>
      </c>
      <c r="B32" s="2" t="s">
        <v>81</v>
      </c>
      <c r="C32" s="2" t="s">
        <v>82</v>
      </c>
      <c r="D32" s="1" t="s">
        <v>9</v>
      </c>
      <c r="E32" s="7"/>
      <c r="F32" s="10">
        <f>+F33</f>
        <v>-1253248.2</v>
      </c>
    </row>
    <row r="33" spans="1:6">
      <c r="A33" s="2" t="s">
        <v>83</v>
      </c>
      <c r="B33" s="2" t="s">
        <v>84</v>
      </c>
      <c r="C33" s="2" t="s">
        <v>85</v>
      </c>
      <c r="D33" s="1" t="s">
        <v>9</v>
      </c>
      <c r="E33" s="7"/>
      <c r="F33" s="10">
        <f>+F34+F35</f>
        <v>-1253248.2</v>
      </c>
    </row>
    <row r="34" spans="1:6" hidden="1">
      <c r="A34" s="2" t="s">
        <v>86</v>
      </c>
      <c r="B34" s="2" t="s">
        <v>87</v>
      </c>
      <c r="C34" s="2" t="s">
        <v>67</v>
      </c>
      <c r="D34" s="1" t="s">
        <v>16</v>
      </c>
      <c r="E34" s="9" t="s">
        <v>17</v>
      </c>
      <c r="F34" s="6">
        <v>-2088747</v>
      </c>
    </row>
    <row r="35" spans="1:6" hidden="1">
      <c r="A35" s="2" t="s">
        <v>88</v>
      </c>
      <c r="B35" s="2" t="s">
        <v>89</v>
      </c>
      <c r="C35" s="2" t="s">
        <v>78</v>
      </c>
      <c r="D35" s="1" t="s">
        <v>16</v>
      </c>
      <c r="E35" s="9" t="s">
        <v>17</v>
      </c>
      <c r="F35" s="6">
        <v>835498.8</v>
      </c>
    </row>
  </sheetData>
  <autoFilter ref="A1:F35" xr:uid="{595392AA-62A4-4B65-B789-F0BAD37D8086}">
    <filterColumn colId="3">
      <filters>
        <filter val="No"/>
      </filters>
    </filterColumn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147073-3054-4FCF-B2A1-CAF458562D4A}"/>
</file>

<file path=customXml/itemProps2.xml><?xml version="1.0" encoding="utf-8"?>
<ds:datastoreItem xmlns:ds="http://schemas.openxmlformats.org/officeDocument/2006/customXml" ds:itemID="{32F05F70-1658-46B3-BC99-CBDF7FE2CB5A}"/>
</file>

<file path=customXml/itemProps3.xml><?xml version="1.0" encoding="utf-8"?>
<ds:datastoreItem xmlns:ds="http://schemas.openxmlformats.org/officeDocument/2006/customXml" ds:itemID="{7FBF1C4E-76B3-4D14-9DF9-BF04B73362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Ramón Manuel Jaimes Rangel</dc:creator>
  <cp:keywords/>
  <dc:description/>
  <cp:lastModifiedBy>Sharon Dayan Rivera Martínez</cp:lastModifiedBy>
  <cp:revision/>
  <dcterms:created xsi:type="dcterms:W3CDTF">2022-03-29T17:24:45Z</dcterms:created>
  <dcterms:modified xsi:type="dcterms:W3CDTF">2025-01-17T05:25:31Z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