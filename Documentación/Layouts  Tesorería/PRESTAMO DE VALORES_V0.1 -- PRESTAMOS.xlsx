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PRODUCTO/LAYOUTS/"/>
    </mc:Choice>
  </mc:AlternateContent>
  <xr:revisionPtr revIDLastSave="0" documentId="13_ncr:1_{C6A1C020-9BC3-A147-AC37-7DDF9CEBFF82}" xr6:coauthVersionLast="47" xr6:coauthVersionMax="47" xr10:uidLastSave="{00000000-0000-0000-0000-000000000000}"/>
  <bookViews>
    <workbookView xWindow="1260" yWindow="2000" windowWidth="22900" windowHeight="13400" xr2:uid="{8C8E6B37-B297-CF42-809F-2D5ECA2003B4}"/>
  </bookViews>
  <sheets>
    <sheet name="PRESTAMO DE VALORES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3" i="1" l="1" a="1"/>
  <c r="Q23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<sst xmlns="http://schemas.openxmlformats.org/spreadsheetml/2006/main" count="254" uniqueCount="141">
  <si>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</si>
  <si>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</si>
  <si>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</si>
  <si>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</si>
  <si>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</si>
  <si>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</si>
  <si>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</si>
  <si>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</si>
  <si>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</si>
  <si>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</si>
  <si>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</si>
  <si>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</si>
  <si>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</si>
  <si>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</si>
  <si>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</si>
  <si>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</si>
  <si>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</si>
  <si>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</si>
  <si>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</si>
  <si>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</si>
  <si>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</si>
  <si>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</si>
  <si>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/>
  </si>
  <si>
    <t>BALANZA DIARIA</t>
  </si>
  <si>
    <t>TEXTO</t>
  </si>
  <si>
    <t>Catalogo</t>
  </si>
  <si>
    <t>Concept to be reported</t>
  </si>
  <si>
    <t>CUENTA</t>
  </si>
  <si>
    <t>NUMERICO</t>
  </si>
  <si>
    <t>Amount in MXN</t>
  </si>
  <si>
    <t>SALDO</t>
  </si>
  <si>
    <t>Amount in Foreign Currency</t>
  </si>
  <si>
    <t>NA</t>
  </si>
  <si>
    <t>Amount in Foreign Currency of Agencies</t>
  </si>
  <si>
    <t>MONEDA</t>
  </si>
  <si>
    <t>3</t>
  </si>
  <si>
    <t>Currency of the amount</t>
  </si>
  <si>
    <t>FIJO</t>
  </si>
  <si>
    <t>MXN</t>
  </si>
  <si>
    <t>PRESTAMO DE VALORES</t>
  </si>
  <si>
    <t>CASFIM</t>
  </si>
  <si>
    <t>Fecha en que se concertó la operación de préstamo (Formato AAAA/MM/DD).</t>
  </si>
  <si>
    <t>AAAA/MM/DD</t>
  </si>
  <si>
    <t>Hora en que se concertó la operación de préstamo.</t>
  </si>
  <si>
    <t>Posición de la Institución en el préstamo (Prestamista = 50, Prestatario = 55).</t>
  </si>
  <si>
    <t>Fecha en que inicia la operación de préstamo (Formato AAAA/MM/DD).</t>
  </si>
  <si>
    <t>Fecha de vencimiento de la operación de préstamo (Formato AAAA/MM/DD).</t>
  </si>
  <si>
    <t>Importe del premio en el préstamo (Expresado en pesos o en dólares de los E.U.A.)</t>
  </si>
  <si>
    <t>Moneda del premio pactado en el préstamo (Clave conforme al “Catálogo de Monedas”).</t>
  </si>
  <si>
    <t>Importe del castigo por cancelación anticipada del préstamo (Expresado en pesos o en dólares de los E.U.A.)</t>
  </si>
  <si>
    <t>Moneda del castigo pactado en el préstamo (Clave conforme al “Catálogo de Monedas”).</t>
  </si>
  <si>
    <t>Tipo de garantía del préstamo (Clave conforme al “Catálogo de Garantías”).</t>
  </si>
  <si>
    <t>Aforo pactado para la garantía en el préstamo (Enteros y hasta dos decimales).</t>
  </si>
  <si>
    <t>Clave del título objeto de la operación de Préstamo (Clave conforme al “Catálogo de Títulos de Deuda en M.N. o UDIS”).</t>
  </si>
  <si>
    <t>Número de títulos negociados en el préstamo.</t>
  </si>
  <si>
    <t>Contraparte con la que se concertó la operación de préstamo (Clave conforme al “Catálogo de Contrapartes”).</t>
  </si>
  <si>
    <t>Sistema de Negociación con el cual se concertó el préstamo (Clave conforme al “Catálogo de Sistemas de Negociación”).</t>
  </si>
  <si>
    <t>Oficina que concertó el préstamo (Clave conforme al “Catálogo de Tipo de Oficina”).</t>
  </si>
  <si>
    <t>Número de Identificación del préstamo</t>
  </si>
  <si>
    <t>Número de títulos no transferidos en la fecha de inicio pactada en el préstamo.</t>
  </si>
  <si>
    <t>FEC_CONCERTACION</t>
  </si>
  <si>
    <t>HORA_CONCERTACION</t>
  </si>
  <si>
    <t>POS_OPERACION</t>
  </si>
  <si>
    <t>FEC_VENCIMIENTO</t>
  </si>
  <si>
    <t>FEC_INICIO</t>
  </si>
  <si>
    <t>IMPORTE_PREMIO</t>
  </si>
  <si>
    <t>MONEDA_PREMIO</t>
  </si>
  <si>
    <t>IMPORTE_CASTIGO</t>
  </si>
  <si>
    <t>MONEDA_CASTIGO</t>
  </si>
  <si>
    <t>TIPO_GARANTIA</t>
  </si>
  <si>
    <t>AFORO</t>
  </si>
  <si>
    <t>CVE_TITULO</t>
  </si>
  <si>
    <t>NUMERO_TITULOS_OPER</t>
  </si>
  <si>
    <t>CONTRAPARTE</t>
  </si>
  <si>
    <t>SIST_NEGOCIACION</t>
  </si>
  <si>
    <t>OFICINA</t>
  </si>
  <si>
    <t>NUM_ID</t>
  </si>
  <si>
    <t>NUM_TITULOS_TRANSF</t>
  </si>
  <si>
    <t>FECHA_INFO</t>
  </si>
  <si>
    <t>Si</t>
  </si>
  <si>
    <t>2</t>
  </si>
  <si>
    <t>5,2</t>
  </si>
  <si>
    <t>12</t>
  </si>
  <si>
    <t>18</t>
  </si>
  <si>
    <t>6</t>
  </si>
  <si>
    <t>37</t>
  </si>
  <si>
    <t>PRESTAMOS SECCION 1 Y SECCION 2</t>
  </si>
  <si>
    <t>Control interno</t>
  </si>
  <si>
    <t>Fecha a la que corresponde la información</t>
  </si>
  <si>
    <t>10</t>
  </si>
  <si>
    <t>Enlace INT, S.A. de C.V.</t>
  </si>
  <si>
    <t>30</t>
  </si>
  <si>
    <t>Remate Electrónico, S.A. de C.V.</t>
  </si>
  <si>
    <t>35</t>
  </si>
  <si>
    <t>GFI group Mexico, S.A. de C.V. (interbancario)</t>
  </si>
  <si>
    <t>36</t>
  </si>
  <si>
    <t>GFI group México, S.A. de C.V. (con clientes)</t>
  </si>
  <si>
    <t>40</t>
  </si>
  <si>
    <t>SIF-Garban Intercapital Mexico, S.A. de C.V.</t>
  </si>
  <si>
    <t>45</t>
  </si>
  <si>
    <t>Plataforma SIPO (de SIF-ICAP)</t>
  </si>
  <si>
    <t>50</t>
  </si>
  <si>
    <t>Remate Lince, S.A. de C.V.</t>
  </si>
  <si>
    <t>55</t>
  </si>
  <si>
    <t>Sistemas VAR, S.A. de C.V.</t>
  </si>
  <si>
    <t>60</t>
  </si>
  <si>
    <t>SENTRA</t>
  </si>
  <si>
    <t>70</t>
  </si>
  <si>
    <t>HARLOW</t>
  </si>
  <si>
    <t>90</t>
  </si>
  <si>
    <t>Decimales</t>
  </si>
  <si>
    <t>38</t>
  </si>
  <si>
    <t>Tullet Prebon México, S.A. de C.V. (con clientes)</t>
  </si>
  <si>
    <t>96</t>
  </si>
  <si>
    <t>Tradition S.A. de C.V. (con clientes)</t>
  </si>
  <si>
    <t>95</t>
  </si>
  <si>
    <t>Tradition S.A. de C.V. (Interbancario)</t>
  </si>
  <si>
    <t>Tullet Prebon México, S.A. de C.V. (Interbancario)</t>
  </si>
  <si>
    <t>26</t>
  </si>
  <si>
    <t>Mercado Electrónico Institucional S.A. de C.V. (MEI)(INTERBANCARIO)</t>
  </si>
  <si>
    <t>25</t>
  </si>
  <si>
    <t>Mercado Electrónico Institucional S.A. de C.V. (MEI)(CON CLIENTES)</t>
  </si>
  <si>
    <t>80</t>
  </si>
  <si>
    <t>Sin corro electrónico</t>
  </si>
  <si>
    <t>94</t>
  </si>
  <si>
    <t>Bull and Bear</t>
  </si>
  <si>
    <t>Clave</t>
  </si>
  <si>
    <t>Descripción</t>
  </si>
  <si>
    <t>RM</t>
  </si>
  <si>
    <t>Republica Mexicana</t>
  </si>
  <si>
    <t>AG</t>
  </si>
  <si>
    <t>Agencias y Sucursales del Exterior</t>
  </si>
  <si>
    <t>EF</t>
  </si>
  <si>
    <t>Entidad Financiera del Exterior Filial de la Institución</t>
  </si>
  <si>
    <t>Prestamista de la Institución</t>
  </si>
  <si>
    <t>Prestataria de la Institución</t>
  </si>
  <si>
    <t>DE</t>
  </si>
  <si>
    <t>AC</t>
  </si>
  <si>
    <t>Titulos de Deuda</t>
  </si>
  <si>
    <t>Acciones</t>
  </si>
  <si>
    <t>necesitamos actualizar este 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</si>
</sst>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quotePrefix="1"/>
    <xf numFmtId="0" fontId="0" fillId="0" borderId="0" xfId="0" applyFill="1"/>
    <xf numFmtId="0" fontId="0" fillId="0" borderId="0" xfId="0" applyNumberFormat="1" applyFill="1"/>
    <xf numFmtId="0" fontId="0" fillId="0" borderId="0" xfId="0" quotePrefix="1" applyFill="1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0" xfId="0" applyBorder="1"/>
    <xf numFmtId="0" fontId="5" fillId="3" borderId="1" xfId="0" applyFont="1" applyFill="1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2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691CD-DA3D-BA42-8429-0B90B942B796}" name="Table16" displayName="Table16" ref="A4:T23" totalsRowShown="0" headerRowDxfId="21" dataDxfId="20">
  <autoFilter ref="A4:T23" xr:uid="{BC6FF2A1-A370-4D47-BB26-F6D5D5F426AB}"/>
  <tableColumns count="20">
    <tableColumn id="1" xr3:uid="{D7E0B639-DBF2-664B-9A5B-7265333D2925}" name="LAYOUT" dataDxfId="19"/>
    <tableColumn id="2" xr3:uid="{702531C1-54ED-BD4B-9E8E-9AFAFC097E07}" name="ORDEN" dataDxfId="18"/>
    <tableColumn id="3" xr3:uid="{944386D9-9C52-834D-B356-3CD6123777C6}" name="LLAVE" dataDxfId="17"/>
    <tableColumn id="4" xr3:uid="{D77BF3E1-AC37-4043-8F1E-5002B5897054}" name="NOMBRE_CAMPO" dataDxfId="16"/>
    <tableColumn id="5" xr3:uid="{41622CDA-9CA7-3A46-85A6-DB860E9868EB}" name="TIPO DATO" dataDxfId="15"/>
    <tableColumn id="6" xr3:uid="{A8685B35-5722-1B46-B4B6-24FDC45E59D9}" name="FORMATO" dataDxfId="14"/>
    <tableColumn id="7" xr3:uid="{5CDDF204-7F03-7E4E-AA44-37631560DA26}" name="OBLIGATORIO" dataDxfId="13"/>
    <tableColumn id="8" xr3:uid="{3C163AAE-F69D-9348-A868-AAECF60C0E82}" name="VALIDACION" dataDxfId="12"/>
    <tableColumn id="9" xr3:uid="{63801AA4-4B11-9C41-9781-77633A16064A}" name="CATALOGO" dataDxfId="11"/>
    <tableColumn id="10" xr3:uid="{AA58784B-E7CD-6843-BE20-DDFAC6F81812}" name="USO" dataDxfId="10"/>
    <tableColumn id="11" xr3:uid="{2D14C8F9-7F18-544C-BA11-26CAE5D0B186}" name="COLUMNA REPORTE APLICA" dataDxfId="9"/>
    <tableColumn id="12" xr3:uid="{B09B154E-6095-BA42-8574-4E3BE9B22BDE}" name="DESCRIPCION" dataDxfId="8"/>
    <tableColumn id="13" xr3:uid="{D2D71AE8-C9BF-1A49-B882-3EA334E8F6F2}" name="DESCRIPCION INGLES" dataDxfId="7"/>
    <tableColumn id="14" xr3:uid="{0BA198EF-1B68-0E4B-B725-D3CDF7F659D3}" name="OBSERVACIONES" dataDxfId="6"/>
    <tableColumn id="15" xr3:uid="{1584713A-6C56-9F43-860C-72D2CCDC7D95}" name="VALIDEZ INFORMACION" dataDxfId="5"/>
    <tableColumn id="16" xr3:uid="{F34E6E33-CC7F-BA4F-8008-DCC2FE8A232E}" name="FUENTE" dataDxfId="4"/>
    <tableColumn id="17" xr3:uid="{B582B6AB-74C0-274D-A1B4-3F017AEA9ECC}" name="Insumo" dataDxfId="3">
      <calculatedColumnFormula array="1">- Archivo Excel conciliación contable fiscal de VW Bank
- Archivo Excel conciliación contable fiscal de VW Servicios</calculatedColumnFormula>
    </tableColumn>
    <tableColumn id="18" xr3:uid="{A7B0FEE0-D993-7F4A-8368-59CE6FD97346}" name="Campo / Regla" dataDxfId="2"/>
    <tableColumn id="19" xr3:uid="{7CEF8A38-A3B0-3749-BB3F-E95F44DFEB39}" name="Validaciones" dataDxfId="1"/>
    <tableColumn id="20" xr3:uid="{E1AAB3F8-D1C6-BE41-AC76-CDCD46111796}" name="Column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3877-4A0D-5B4C-965E-4A43A8EE9D02}">
  <dimension ref="A1:T25"/>
  <sheetViews>
    <sheetView tabSelected="1" workbookViewId="0">
      <selection activeCell="A26" sqref="A26"/>
    </sheetView>
  </sheetViews>
  <sheetFormatPr baseColWidth="10" defaultRowHeight="16" x14ac:dyDescent="0.2"/>
  <cols>
    <col min="1" max="1" width="18.5" customWidth="1"/>
    <col min="2" max="2" width="9" bestFit="1" customWidth="1"/>
    <col min="4" max="4" width="18.1640625" bestFit="1" customWidth="1"/>
    <col min="5" max="5" width="11.83203125" bestFit="1" customWidth="1"/>
    <col min="12" max="12" width="24.33203125" bestFit="1" customWidth="1"/>
    <col min="13" max="13" width="38.33203125" customWidth="1"/>
    <col min="17" max="17" width="28.83203125" customWidth="1"/>
    <col min="20" max="20" width="45.5" bestFit="1" customWidth="1"/>
  </cols>
  <sheetData>
    <row r="1" spans="1:20" x14ac:dyDescent="0.2">
      <c r="A1" s="1"/>
    </row>
    <row r="2" spans="1:20" ht="31" x14ac:dyDescent="0.35">
      <c r="A2" s="2" t="s">
        <v>39</v>
      </c>
    </row>
    <row r="4" spans="1:20" s="5" customFormat="1" ht="32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4" t="s">
        <v>16</v>
      </c>
      <c r="R4" s="4" t="s">
        <v>17</v>
      </c>
      <c r="S4" s="4" t="s">
        <v>18</v>
      </c>
      <c r="T4" s="3" t="s">
        <v>19</v>
      </c>
    </row>
    <row r="5" spans="1:20" x14ac:dyDescent="0.2">
      <c r="A5" t="s">
        <v>39</v>
      </c>
      <c r="B5">
        <v>1</v>
      </c>
      <c r="C5" t="s">
        <v>20</v>
      </c>
      <c r="D5" t="s">
        <v>60</v>
      </c>
      <c r="E5" t="s">
        <v>21</v>
      </c>
      <c r="F5" s="6" t="s">
        <v>42</v>
      </c>
      <c r="J5" t="s">
        <v>86</v>
      </c>
      <c r="L5" t="s">
        <v>41</v>
      </c>
      <c r="M5" t="s">
        <v>26</v>
      </c>
      <c r="O5" t="s">
        <v>22</v>
      </c>
      <c r="P5" t="s">
        <v>22</v>
      </c>
      <c r="Q5" t="s">
        <v>23</v>
      </c>
      <c r="R5" t="s">
        <v>27</v>
      </c>
    </row>
    <row r="6" spans="1:20" x14ac:dyDescent="0.2">
      <c r="A6" t="s">
        <v>39</v>
      </c>
      <c r="B6">
        <v>2</v>
      </c>
      <c r="C6" t="s">
        <v>20</v>
      </c>
      <c r="D6" t="s">
        <v>61</v>
      </c>
      <c r="E6" t="s">
        <v>28</v>
      </c>
      <c r="F6" t="s">
        <v>81</v>
      </c>
      <c r="J6" t="s">
        <v>86</v>
      </c>
      <c r="L6" t="s">
        <v>43</v>
      </c>
      <c r="M6" t="s">
        <v>29</v>
      </c>
      <c r="N6" t="s">
        <v>22</v>
      </c>
      <c r="O6" t="s">
        <v>22</v>
      </c>
      <c r="P6" t="s">
        <v>22</v>
      </c>
      <c r="Q6" t="s">
        <v>23</v>
      </c>
      <c r="R6" t="s">
        <v>30</v>
      </c>
    </row>
    <row r="7" spans="1:20" x14ac:dyDescent="0.2">
      <c r="A7" t="s">
        <v>39</v>
      </c>
      <c r="B7">
        <v>3</v>
      </c>
      <c r="C7" t="s">
        <v>20</v>
      </c>
      <c r="D7" t="s">
        <v>62</v>
      </c>
      <c r="E7" t="s">
        <v>28</v>
      </c>
      <c r="F7" s="6" t="s">
        <v>80</v>
      </c>
      <c r="H7" t="s">
        <v>25</v>
      </c>
      <c r="I7" t="s">
        <v>62</v>
      </c>
      <c r="J7" t="s">
        <v>86</v>
      </c>
      <c r="L7" t="s">
        <v>44</v>
      </c>
      <c r="M7" t="s">
        <v>31</v>
      </c>
      <c r="N7" t="s">
        <v>22</v>
      </c>
      <c r="O7" t="s">
        <v>22</v>
      </c>
      <c r="P7" t="s">
        <v>22</v>
      </c>
      <c r="R7" t="s">
        <v>32</v>
      </c>
    </row>
    <row r="8" spans="1:20" x14ac:dyDescent="0.2">
      <c r="A8" t="s">
        <v>39</v>
      </c>
      <c r="B8">
        <v>4</v>
      </c>
      <c r="C8" t="s">
        <v>20</v>
      </c>
      <c r="D8" t="s">
        <v>64</v>
      </c>
      <c r="E8" t="s">
        <v>21</v>
      </c>
      <c r="F8" s="6" t="s">
        <v>42</v>
      </c>
      <c r="J8" t="s">
        <v>86</v>
      </c>
      <c r="L8" t="s">
        <v>45</v>
      </c>
      <c r="M8" t="s">
        <v>33</v>
      </c>
      <c r="R8" t="s">
        <v>32</v>
      </c>
    </row>
    <row r="9" spans="1:20" x14ac:dyDescent="0.2">
      <c r="A9" t="s">
        <v>39</v>
      </c>
      <c r="B9">
        <v>5</v>
      </c>
      <c r="C9" t="s">
        <v>20</v>
      </c>
      <c r="D9" t="s">
        <v>63</v>
      </c>
      <c r="E9" t="s">
        <v>21</v>
      </c>
      <c r="F9" s="6" t="s">
        <v>42</v>
      </c>
      <c r="J9" t="s">
        <v>86</v>
      </c>
      <c r="L9" t="s">
        <v>46</v>
      </c>
      <c r="M9" t="s">
        <v>36</v>
      </c>
      <c r="Q9" t="s">
        <v>37</v>
      </c>
      <c r="R9" t="s">
        <v>38</v>
      </c>
    </row>
    <row r="10" spans="1:20" x14ac:dyDescent="0.2">
      <c r="A10" t="s">
        <v>39</v>
      </c>
      <c r="B10">
        <v>6</v>
      </c>
      <c r="C10" t="s">
        <v>20</v>
      </c>
      <c r="D10" s="7" t="s">
        <v>65</v>
      </c>
      <c r="E10" s="7" t="s">
        <v>28</v>
      </c>
      <c r="F10" s="9" t="s">
        <v>82</v>
      </c>
      <c r="G10" s="7"/>
      <c r="H10" s="7"/>
      <c r="I10" s="7"/>
      <c r="J10" t="s">
        <v>86</v>
      </c>
      <c r="K10" s="7"/>
      <c r="L10" s="7" t="s">
        <v>47</v>
      </c>
      <c r="M10" s="7"/>
      <c r="N10" s="7"/>
      <c r="O10" s="7"/>
      <c r="P10" s="7"/>
      <c r="Q10" s="8" t="e" cm="1">
        <f t="array" ref="Q10">- Archivo Excel conciliación contable fiscal de VW Bank
- Archivo Excel conciliación contable fiscal de VW Servicios</f>
        <v>#NAME?</v>
      </c>
      <c r="R10" s="7"/>
      <c r="S10" s="7"/>
      <c r="T10" s="7"/>
    </row>
    <row r="11" spans="1:20" x14ac:dyDescent="0.2">
      <c r="A11" t="s">
        <v>39</v>
      </c>
      <c r="B11">
        <v>7</v>
      </c>
      <c r="C11" t="s">
        <v>20</v>
      </c>
      <c r="D11" s="7" t="s">
        <v>66</v>
      </c>
      <c r="E11" s="7" t="s">
        <v>24</v>
      </c>
      <c r="F11" s="9" t="s">
        <v>35</v>
      </c>
      <c r="G11" s="7"/>
      <c r="H11" t="s">
        <v>25</v>
      </c>
      <c r="I11" s="7" t="s">
        <v>34</v>
      </c>
      <c r="J11" t="s">
        <v>86</v>
      </c>
      <c r="K11" s="7"/>
      <c r="L11" s="7" t="s">
        <v>48</v>
      </c>
      <c r="M11" s="7"/>
      <c r="N11" s="7"/>
      <c r="O11" s="7"/>
      <c r="P11" s="7"/>
      <c r="Q11" s="8" t="e" cm="1">
        <f t="array" ref="Q11">- Archivo Excel conciliación contable fiscal de VW Bank
- Archivo Excel conciliación contable fiscal de VW Servicios</f>
        <v>#NAME?</v>
      </c>
      <c r="R11" s="7"/>
      <c r="S11" s="7"/>
      <c r="T11" s="7"/>
    </row>
    <row r="12" spans="1:20" x14ac:dyDescent="0.2">
      <c r="A12" t="s">
        <v>39</v>
      </c>
      <c r="B12">
        <v>8</v>
      </c>
      <c r="C12" t="s">
        <v>20</v>
      </c>
      <c r="D12" s="7" t="s">
        <v>67</v>
      </c>
      <c r="E12" s="7" t="s">
        <v>28</v>
      </c>
      <c r="F12" s="9" t="s">
        <v>82</v>
      </c>
      <c r="G12" s="7"/>
      <c r="H12" s="7"/>
      <c r="I12" s="7"/>
      <c r="J12" t="s">
        <v>86</v>
      </c>
      <c r="K12" s="7"/>
      <c r="L12" s="7" t="s">
        <v>49</v>
      </c>
      <c r="M12" s="7"/>
      <c r="N12" s="7"/>
      <c r="O12" s="7"/>
      <c r="P12" s="7"/>
      <c r="Q12" s="8" t="e" cm="1">
        <f t="array" ref="Q12">- Archivo Excel conciliación contable fiscal de VW Bank
- Archivo Excel conciliación contable fiscal de VW Servicios</f>
        <v>#NAME?</v>
      </c>
      <c r="R12" s="7"/>
      <c r="S12" s="7"/>
      <c r="T12" s="7"/>
    </row>
    <row r="13" spans="1:20" x14ac:dyDescent="0.2">
      <c r="A13" t="s">
        <v>39</v>
      </c>
      <c r="B13">
        <v>9</v>
      </c>
      <c r="C13" t="s">
        <v>20</v>
      </c>
      <c r="D13" s="7" t="s">
        <v>68</v>
      </c>
      <c r="E13" s="7" t="s">
        <v>24</v>
      </c>
      <c r="F13" s="9" t="s">
        <v>35</v>
      </c>
      <c r="G13" s="7"/>
      <c r="H13" t="s">
        <v>25</v>
      </c>
      <c r="I13" s="7" t="s">
        <v>34</v>
      </c>
      <c r="J13" t="s">
        <v>86</v>
      </c>
      <c r="K13" s="7"/>
      <c r="L13" s="7" t="s">
        <v>50</v>
      </c>
      <c r="M13" s="7"/>
      <c r="N13" s="7"/>
      <c r="O13" s="7"/>
      <c r="P13" s="7"/>
      <c r="Q13" s="8" t="e" cm="1">
        <f t="array" ref="Q13">- Archivo Excel conciliación contable fiscal de VW Bank
- Archivo Excel conciliación contable fiscal de VW Servicios</f>
        <v>#NAME?</v>
      </c>
      <c r="R13" s="7"/>
      <c r="S13" s="7"/>
      <c r="T13" s="7"/>
    </row>
    <row r="14" spans="1:20" x14ac:dyDescent="0.2">
      <c r="A14" t="s">
        <v>39</v>
      </c>
      <c r="B14">
        <v>10</v>
      </c>
      <c r="C14" t="s">
        <v>20</v>
      </c>
      <c r="D14" s="7" t="s">
        <v>69</v>
      </c>
      <c r="E14" s="7" t="s">
        <v>28</v>
      </c>
      <c r="F14" s="9" t="s">
        <v>80</v>
      </c>
      <c r="G14" s="7"/>
      <c r="H14" t="s">
        <v>25</v>
      </c>
      <c r="I14" s="15" t="s">
        <v>69</v>
      </c>
      <c r="J14" t="s">
        <v>86</v>
      </c>
      <c r="K14" s="7"/>
      <c r="L14" s="7" t="s">
        <v>51</v>
      </c>
      <c r="M14" s="7"/>
      <c r="N14" s="7"/>
      <c r="O14" s="7"/>
      <c r="P14" s="7"/>
      <c r="Q14" s="8" t="e" cm="1">
        <f t="array" ref="Q14">- Archivo Excel conciliación contable fiscal de VW Bank
- Archivo Excel conciliación contable fiscal de VW Servicios</f>
        <v>#NAME?</v>
      </c>
      <c r="R14" s="7"/>
      <c r="S14" s="7"/>
      <c r="T14" s="7"/>
    </row>
    <row r="15" spans="1:20" x14ac:dyDescent="0.2">
      <c r="A15" t="s">
        <v>39</v>
      </c>
      <c r="B15">
        <v>11</v>
      </c>
      <c r="C15" t="s">
        <v>20</v>
      </c>
      <c r="D15" s="7" t="s">
        <v>70</v>
      </c>
      <c r="E15" s="7" t="s">
        <v>28</v>
      </c>
      <c r="F15" s="7" t="s">
        <v>81</v>
      </c>
      <c r="G15" s="7"/>
      <c r="H15" s="7"/>
      <c r="I15" s="7"/>
      <c r="J15" t="s">
        <v>86</v>
      </c>
      <c r="K15" s="7"/>
      <c r="L15" s="7" t="s">
        <v>52</v>
      </c>
      <c r="M15" s="7"/>
      <c r="N15" s="7"/>
      <c r="O15" s="7"/>
      <c r="P15" s="7"/>
      <c r="Q15" s="8" t="e" cm="1">
        <f t="array" ref="Q15">- Archivo Excel conciliación contable fiscal de VW Bank
- Archivo Excel conciliación contable fiscal de VW Servicios</f>
        <v>#NAME?</v>
      </c>
      <c r="R15" s="7"/>
      <c r="S15" s="7"/>
      <c r="T15" s="7"/>
    </row>
    <row r="16" spans="1:20" x14ac:dyDescent="0.2">
      <c r="A16" t="s">
        <v>39</v>
      </c>
      <c r="B16">
        <v>12</v>
      </c>
      <c r="C16" t="s">
        <v>20</v>
      </c>
      <c r="D16" s="7" t="s">
        <v>71</v>
      </c>
      <c r="E16" s="7" t="s">
        <v>24</v>
      </c>
      <c r="F16" s="9" t="s">
        <v>83</v>
      </c>
      <c r="G16" s="7"/>
      <c r="H16" s="7"/>
      <c r="I16" s="7"/>
      <c r="J16" t="s">
        <v>86</v>
      </c>
      <c r="K16" s="7"/>
      <c r="L16" s="7" t="s">
        <v>53</v>
      </c>
      <c r="M16" s="7"/>
      <c r="N16" s="7"/>
      <c r="O16" s="7"/>
      <c r="P16" s="7"/>
      <c r="Q16" s="8" t="e" cm="1">
        <f t="array" ref="Q16">- Archivo Excel conciliación contable fiscal de VW Bank
- Archivo Excel conciliación contable fiscal de VW Servicios</f>
        <v>#NAME?</v>
      </c>
      <c r="R16" s="7"/>
      <c r="S16" s="7"/>
      <c r="T16" s="7"/>
    </row>
    <row r="17" spans="1:20" x14ac:dyDescent="0.2">
      <c r="A17" t="s">
        <v>39</v>
      </c>
      <c r="B17">
        <v>13</v>
      </c>
      <c r="C17" t="s">
        <v>20</v>
      </c>
      <c r="D17" s="7" t="s">
        <v>72</v>
      </c>
      <c r="E17" s="7" t="s">
        <v>28</v>
      </c>
      <c r="F17" s="9" t="s">
        <v>82</v>
      </c>
      <c r="G17" s="7"/>
      <c r="H17" s="7"/>
      <c r="I17" s="7"/>
      <c r="J17" t="s">
        <v>86</v>
      </c>
      <c r="K17" s="7"/>
      <c r="L17" s="7" t="s">
        <v>54</v>
      </c>
      <c r="M17" s="7"/>
      <c r="N17" s="7"/>
      <c r="O17" s="7"/>
      <c r="P17" s="7"/>
      <c r="Q17" s="8" t="e" cm="1">
        <f t="array" ref="Q17">- Archivo Excel conciliación contable fiscal de VW Bank
- Archivo Excel conciliación contable fiscal de VW Servicios</f>
        <v>#NAME?</v>
      </c>
      <c r="R17" s="7"/>
      <c r="S17" s="7"/>
      <c r="T17" s="7"/>
    </row>
    <row r="18" spans="1:20" x14ac:dyDescent="0.2">
      <c r="A18" t="s">
        <v>39</v>
      </c>
      <c r="B18">
        <v>14</v>
      </c>
      <c r="C18" t="s">
        <v>20</v>
      </c>
      <c r="D18" s="7" t="s">
        <v>73</v>
      </c>
      <c r="E18" s="7" t="s">
        <v>24</v>
      </c>
      <c r="F18" s="9" t="s">
        <v>84</v>
      </c>
      <c r="G18" s="7"/>
      <c r="H18" s="7" t="s">
        <v>25</v>
      </c>
      <c r="I18" s="7" t="s">
        <v>40</v>
      </c>
      <c r="J18" t="s">
        <v>86</v>
      </c>
      <c r="K18" s="7"/>
      <c r="L18" s="7" t="s">
        <v>55</v>
      </c>
      <c r="M18" s="7"/>
      <c r="N18" s="7"/>
      <c r="O18" s="7"/>
      <c r="P18" s="7"/>
      <c r="Q18" s="8" t="e" cm="1">
        <f t="array" ref="Q18">- Archivo Excel conciliación contable fiscal de VW Bank
- Archivo Excel conciliación contable fiscal de VW Servicios</f>
        <v>#NAME?</v>
      </c>
      <c r="R18" s="7"/>
      <c r="S18" s="7"/>
      <c r="T18" s="7"/>
    </row>
    <row r="19" spans="1:20" x14ac:dyDescent="0.2">
      <c r="A19" t="s">
        <v>39</v>
      </c>
      <c r="B19">
        <v>15</v>
      </c>
      <c r="C19" t="s">
        <v>20</v>
      </c>
      <c r="D19" s="7" t="s">
        <v>74</v>
      </c>
      <c r="E19" s="7" t="s">
        <v>28</v>
      </c>
      <c r="F19" s="9" t="s">
        <v>80</v>
      </c>
      <c r="G19" s="7"/>
      <c r="H19" s="7" t="s">
        <v>25</v>
      </c>
      <c r="I19" s="7" t="s">
        <v>74</v>
      </c>
      <c r="J19" t="s">
        <v>86</v>
      </c>
      <c r="K19" s="7"/>
      <c r="L19" s="7" t="s">
        <v>56</v>
      </c>
      <c r="M19" s="7"/>
      <c r="N19" s="7"/>
      <c r="O19" s="7"/>
      <c r="P19" s="7"/>
      <c r="Q19" s="8" t="e" cm="1">
        <f t="array" ref="Q19">- Archivo Excel conciliación contable fiscal de VW Bank
- Archivo Excel conciliación contable fiscal de VW Servicios</f>
        <v>#NAME?</v>
      </c>
      <c r="R19" s="7"/>
      <c r="S19" s="7"/>
      <c r="T19" s="7"/>
    </row>
    <row r="20" spans="1:20" x14ac:dyDescent="0.2">
      <c r="A20" t="s">
        <v>39</v>
      </c>
      <c r="B20">
        <v>16</v>
      </c>
      <c r="C20" t="s">
        <v>20</v>
      </c>
      <c r="D20" s="7" t="s">
        <v>75</v>
      </c>
      <c r="E20" s="7" t="s">
        <v>24</v>
      </c>
      <c r="F20" s="9" t="s">
        <v>80</v>
      </c>
      <c r="G20" s="7"/>
      <c r="H20" s="7" t="s">
        <v>25</v>
      </c>
      <c r="I20" s="7" t="s">
        <v>75</v>
      </c>
      <c r="J20" t="s">
        <v>86</v>
      </c>
      <c r="K20" s="7"/>
      <c r="L20" s="7" t="s">
        <v>57</v>
      </c>
      <c r="M20" s="7"/>
      <c r="N20" s="7"/>
      <c r="O20" s="7"/>
      <c r="P20" s="7"/>
      <c r="Q20" s="8" t="e" cm="1">
        <f t="array" ref="Q20">- Archivo Excel conciliación contable fiscal de VW Bank
- Archivo Excel conciliación contable fiscal de VW Servicios</f>
        <v>#NAME?</v>
      </c>
      <c r="R20" s="7"/>
      <c r="S20" s="7"/>
      <c r="T20" s="7"/>
    </row>
    <row r="21" spans="1:20" x14ac:dyDescent="0.2">
      <c r="A21" t="s">
        <v>39</v>
      </c>
      <c r="B21">
        <v>17</v>
      </c>
      <c r="C21" t="s">
        <v>79</v>
      </c>
      <c r="D21" s="7" t="s">
        <v>76</v>
      </c>
      <c r="E21" s="7" t="s">
        <v>24</v>
      </c>
      <c r="F21" s="9" t="s">
        <v>85</v>
      </c>
      <c r="G21" s="7"/>
      <c r="H21" s="7"/>
      <c r="I21" s="7"/>
      <c r="J21" t="s">
        <v>86</v>
      </c>
      <c r="K21" s="7"/>
      <c r="L21" s="7" t="s">
        <v>58</v>
      </c>
      <c r="M21" s="7"/>
      <c r="N21" s="7"/>
      <c r="O21" s="7"/>
      <c r="P21" s="7"/>
      <c r="Q21" s="8" t="e" cm="1">
        <f t="array" ref="Q21">- Archivo Excel conciliación contable fiscal de VW Bank
- Archivo Excel conciliación contable fiscal de VW Servicios</f>
        <v>#NAME?</v>
      </c>
      <c r="R21" s="7"/>
      <c r="S21" s="7"/>
      <c r="T21" s="7"/>
    </row>
    <row r="22" spans="1:20" x14ac:dyDescent="0.2">
      <c r="A22" t="s">
        <v>39</v>
      </c>
      <c r="B22">
        <v>18</v>
      </c>
      <c r="C22" t="s">
        <v>20</v>
      </c>
      <c r="D22" s="7" t="s">
        <v>77</v>
      </c>
      <c r="E22" s="7" t="s">
        <v>28</v>
      </c>
      <c r="F22" s="9" t="s">
        <v>82</v>
      </c>
      <c r="G22" s="7"/>
      <c r="H22" s="7"/>
      <c r="I22" s="7"/>
      <c r="J22" t="s">
        <v>86</v>
      </c>
      <c r="K22" s="7"/>
      <c r="L22" s="7" t="s">
        <v>59</v>
      </c>
      <c r="M22" s="7"/>
      <c r="N22" s="7"/>
      <c r="O22" s="7"/>
      <c r="P22" s="7"/>
      <c r="Q22" s="8" t="e" cm="1">
        <f t="array" ref="Q22">- Archivo Excel conciliación contable fiscal de VW Bank
- Archivo Excel conciliación contable fiscal de VW Servicios</f>
        <v>#NAME?</v>
      </c>
      <c r="R22" s="7"/>
      <c r="S22" s="7"/>
      <c r="T22" s="7"/>
    </row>
    <row r="23" spans="1:20" x14ac:dyDescent="0.2">
      <c r="A23" t="s">
        <v>39</v>
      </c>
      <c r="B23" s="7">
        <v>19</v>
      </c>
      <c r="C23" t="s">
        <v>20</v>
      </c>
      <c r="D23" s="7" t="s">
        <v>78</v>
      </c>
      <c r="E23" t="s">
        <v>21</v>
      </c>
      <c r="F23" s="6" t="s">
        <v>42</v>
      </c>
      <c r="G23" s="7"/>
      <c r="H23" s="7"/>
      <c r="I23" s="7"/>
      <c r="J23" s="7" t="s">
        <v>87</v>
      </c>
      <c r="K23" s="7"/>
      <c r="L23" s="7" t="s">
        <v>88</v>
      </c>
      <c r="M23" s="7"/>
      <c r="N23" s="7"/>
      <c r="O23" s="7"/>
      <c r="P23" s="7"/>
      <c r="Q23" s="8" t="e" cm="1">
        <f t="array" ref="Q23">- Archivo Excel conciliación contable fiscal de VW Bank
- Archivo Excel conciliación contable fiscal de VW Servicios</f>
        <v>#NAME?</v>
      </c>
      <c r="R23" s="7"/>
      <c r="S23" s="7"/>
      <c r="T23" s="7"/>
    </row>
    <row r="25" spans="1:20" x14ac:dyDescent="0.2">
      <c r="A25" s="15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D7D0-7871-1644-9C54-C18FD5353519}">
  <dimension ref="A1:B43"/>
  <sheetViews>
    <sheetView workbookViewId="0">
      <selection activeCell="C9" sqref="C9"/>
    </sheetView>
  </sheetViews>
  <sheetFormatPr baseColWidth="10" defaultRowHeight="16" x14ac:dyDescent="0.2"/>
  <cols>
    <col min="2" max="2" width="59.33203125" bestFit="1" customWidth="1"/>
  </cols>
  <sheetData>
    <row r="1" spans="1:2" s="10" customFormat="1" x14ac:dyDescent="0.2">
      <c r="A1" s="10" t="s">
        <v>62</v>
      </c>
    </row>
    <row r="2" spans="1:2" x14ac:dyDescent="0.2">
      <c r="A2" s="11" t="s">
        <v>126</v>
      </c>
      <c r="B2" s="11" t="s">
        <v>127</v>
      </c>
    </row>
    <row r="3" spans="1:2" x14ac:dyDescent="0.2">
      <c r="A3" s="12">
        <v>50</v>
      </c>
      <c r="B3" s="12" t="s">
        <v>134</v>
      </c>
    </row>
    <row r="4" spans="1:2" x14ac:dyDescent="0.2">
      <c r="A4" s="12">
        <v>55</v>
      </c>
      <c r="B4" s="12" t="s">
        <v>135</v>
      </c>
    </row>
    <row r="6" spans="1:2" x14ac:dyDescent="0.2">
      <c r="A6" s="10" t="s">
        <v>69</v>
      </c>
    </row>
    <row r="7" spans="1:2" x14ac:dyDescent="0.2">
      <c r="A7" s="11" t="s">
        <v>126</v>
      </c>
      <c r="B7" s="11" t="s">
        <v>127</v>
      </c>
    </row>
    <row r="8" spans="1:2" x14ac:dyDescent="0.2">
      <c r="A8" s="14" t="s">
        <v>136</v>
      </c>
      <c r="B8" s="14" t="s">
        <v>138</v>
      </c>
    </row>
    <row r="9" spans="1:2" x14ac:dyDescent="0.2">
      <c r="A9" s="14" t="s">
        <v>137</v>
      </c>
      <c r="B9" s="14" t="s">
        <v>139</v>
      </c>
    </row>
    <row r="12" spans="1:2" x14ac:dyDescent="0.2">
      <c r="A12" s="10" t="s">
        <v>74</v>
      </c>
    </row>
    <row r="13" spans="1:2" x14ac:dyDescent="0.2">
      <c r="A13" s="11" t="s">
        <v>126</v>
      </c>
      <c r="B13" s="11" t="s">
        <v>127</v>
      </c>
    </row>
    <row r="14" spans="1:2" x14ac:dyDescent="0.2">
      <c r="A14" s="12" t="s">
        <v>89</v>
      </c>
      <c r="B14" s="12" t="s">
        <v>90</v>
      </c>
    </row>
    <row r="15" spans="1:2" x14ac:dyDescent="0.2">
      <c r="A15" s="12" t="s">
        <v>91</v>
      </c>
      <c r="B15" s="12" t="s">
        <v>92</v>
      </c>
    </row>
    <row r="16" spans="1:2" x14ac:dyDescent="0.2">
      <c r="A16" s="12" t="s">
        <v>93</v>
      </c>
      <c r="B16" s="12" t="s">
        <v>94</v>
      </c>
    </row>
    <row r="17" spans="1:2" x14ac:dyDescent="0.2">
      <c r="A17" s="12" t="s">
        <v>95</v>
      </c>
      <c r="B17" s="12" t="s">
        <v>96</v>
      </c>
    </row>
    <row r="18" spans="1:2" x14ac:dyDescent="0.2">
      <c r="A18" s="12" t="s">
        <v>97</v>
      </c>
      <c r="B18" s="12" t="s">
        <v>98</v>
      </c>
    </row>
    <row r="19" spans="1:2" x14ac:dyDescent="0.2">
      <c r="A19" s="12" t="s">
        <v>99</v>
      </c>
      <c r="B19" s="12" t="s">
        <v>100</v>
      </c>
    </row>
    <row r="20" spans="1:2" x14ac:dyDescent="0.2">
      <c r="A20" s="12" t="s">
        <v>101</v>
      </c>
      <c r="B20" s="12" t="s">
        <v>102</v>
      </c>
    </row>
    <row r="21" spans="1:2" x14ac:dyDescent="0.2">
      <c r="A21" s="12" t="s">
        <v>103</v>
      </c>
      <c r="B21" s="12" t="s">
        <v>104</v>
      </c>
    </row>
    <row r="22" spans="1:2" x14ac:dyDescent="0.2">
      <c r="A22" s="12" t="s">
        <v>105</v>
      </c>
      <c r="B22" s="12" t="s">
        <v>106</v>
      </c>
    </row>
    <row r="23" spans="1:2" x14ac:dyDescent="0.2">
      <c r="A23" s="12" t="s">
        <v>107</v>
      </c>
      <c r="B23" s="12" t="s">
        <v>108</v>
      </c>
    </row>
    <row r="24" spans="1:2" x14ac:dyDescent="0.2">
      <c r="A24" s="12" t="s">
        <v>109</v>
      </c>
      <c r="B24" s="12" t="s">
        <v>110</v>
      </c>
    </row>
    <row r="25" spans="1:2" x14ac:dyDescent="0.2">
      <c r="A25" s="12" t="s">
        <v>111</v>
      </c>
      <c r="B25" s="12" t="s">
        <v>112</v>
      </c>
    </row>
    <row r="26" spans="1:2" x14ac:dyDescent="0.2">
      <c r="A26" s="12" t="s">
        <v>113</v>
      </c>
      <c r="B26" s="12" t="s">
        <v>114</v>
      </c>
    </row>
    <row r="27" spans="1:2" x14ac:dyDescent="0.2">
      <c r="A27" s="12" t="s">
        <v>115</v>
      </c>
      <c r="B27" s="12" t="s">
        <v>116</v>
      </c>
    </row>
    <row r="28" spans="1:2" x14ac:dyDescent="0.2">
      <c r="A28" s="12" t="s">
        <v>85</v>
      </c>
      <c r="B28" s="12" t="s">
        <v>117</v>
      </c>
    </row>
    <row r="29" spans="1:2" x14ac:dyDescent="0.2">
      <c r="A29" s="12" t="s">
        <v>118</v>
      </c>
      <c r="B29" s="12" t="s">
        <v>119</v>
      </c>
    </row>
    <row r="30" spans="1:2" x14ac:dyDescent="0.2">
      <c r="A30" s="12" t="s">
        <v>120</v>
      </c>
      <c r="B30" s="12" t="s">
        <v>121</v>
      </c>
    </row>
    <row r="31" spans="1:2" x14ac:dyDescent="0.2">
      <c r="A31" s="12" t="s">
        <v>122</v>
      </c>
      <c r="B31" s="12" t="s">
        <v>123</v>
      </c>
    </row>
    <row r="32" spans="1:2" x14ac:dyDescent="0.2">
      <c r="A32" s="12" t="s">
        <v>124</v>
      </c>
      <c r="B32" s="12" t="s">
        <v>125</v>
      </c>
    </row>
    <row r="34" spans="1:2" x14ac:dyDescent="0.2">
      <c r="A34" s="10" t="s">
        <v>75</v>
      </c>
    </row>
    <row r="35" spans="1:2" x14ac:dyDescent="0.2">
      <c r="A35" s="11" t="s">
        <v>126</v>
      </c>
      <c r="B35" s="11" t="s">
        <v>127</v>
      </c>
    </row>
    <row r="36" spans="1:2" x14ac:dyDescent="0.2">
      <c r="A36" s="12" t="s">
        <v>128</v>
      </c>
      <c r="B36" s="12" t="s">
        <v>129</v>
      </c>
    </row>
    <row r="37" spans="1:2" x14ac:dyDescent="0.2">
      <c r="A37" s="12" t="s">
        <v>130</v>
      </c>
      <c r="B37" s="12" t="s">
        <v>131</v>
      </c>
    </row>
    <row r="38" spans="1:2" x14ac:dyDescent="0.2">
      <c r="A38" s="12" t="s">
        <v>132</v>
      </c>
      <c r="B38" s="12" t="s">
        <v>133</v>
      </c>
    </row>
    <row r="39" spans="1:2" x14ac:dyDescent="0.2">
      <c r="A39" s="13"/>
      <c r="B39" s="13"/>
    </row>
    <row r="40" spans="1:2" x14ac:dyDescent="0.2">
      <c r="A40" t="s">
        <v>34</v>
      </c>
    </row>
    <row r="43" spans="1:2" x14ac:dyDescent="0.2">
      <c r="A43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432E6C3-20BD-4E16-BD97-EFD19A7334A0}"/>
</file>

<file path=customXml/itemProps2.xml><?xml version="1.0" encoding="utf-8"?>
<ds:datastoreItem xmlns:ds="http://schemas.openxmlformats.org/officeDocument/2006/customXml" ds:itemID="{CAC53886-D584-4D1B-AC80-E6BB494312F3}"/>
</file>

<file path=customXml/itemProps3.xml><?xml version="1.0" encoding="utf-8"?>
<ds:datastoreItem xmlns:ds="http://schemas.openxmlformats.org/officeDocument/2006/customXml" ds:itemID="{35CD1FDA-84C4-416C-A841-96122809F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PRESTAMO DE VALORES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2021-10-26T21:34:11Z</dcterms:created>
  <dcterms:modified xsi:type="dcterms:W3CDTF">2022-06-14T01:03:04Z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