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RTERA\"/>
    </mc:Choice>
  </mc:AlternateContent>
  <xr:revisionPtr revIDLastSave="1" documentId="13_ncr:1_{E955E8FC-F1E1-4723-921F-B75B67F3D99E}" xr6:coauthVersionLast="47" xr6:coauthVersionMax="47" xr10:uidLastSave="{09924299-79EF-421C-A12C-DAB3F92FC0A4}"/>
  <bookViews>
    <workbookView xWindow="528" yWindow="48" windowWidth="15420" windowHeight="16512" activeTab="2" xr2:uid="{9ACC0C22-C75F-4B7A-A8A6-7D8082B82699}"/>
  </bookViews>
  <sheets>
    <sheet name="SDO INI 419" sheetId="1" r:id="rId1"/>
    <sheet name="SDO INI 424" sheetId="3" r:id="rId2"/>
    <sheet name="SDO INI 420" sheetId="2" r:id="rId3"/>
  </sheets>
  <definedNames>
    <definedName name="_xlnm._FilterDatabase" localSheetId="2" hidden="1">'SDO INI 420'!$A$1:$P$72</definedName>
    <definedName name="_xlnm._FilterDatabase" localSheetId="1" hidden="1">'SDO INI 424'!$A$3:$D$128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3" l="1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X383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6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379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X258" i="3"/>
  <c r="X259" i="3"/>
  <c r="X261" i="3"/>
  <c r="X262" i="3"/>
  <c r="X263" i="3"/>
  <c r="X264" i="3"/>
  <c r="X265" i="3"/>
  <c r="X266" i="3"/>
  <c r="X267" i="3"/>
  <c r="X268" i="3"/>
  <c r="X269" i="3"/>
  <c r="X270" i="3"/>
  <c r="X271" i="3"/>
  <c r="X274" i="3"/>
  <c r="X275" i="3"/>
  <c r="X276" i="3"/>
  <c r="X278" i="3"/>
  <c r="X279" i="3"/>
  <c r="X280" i="3"/>
  <c r="X282" i="3"/>
  <c r="X284" i="3"/>
  <c r="X285" i="3"/>
  <c r="X286" i="3"/>
  <c r="X287" i="3"/>
  <c r="X288" i="3"/>
  <c r="X290" i="3"/>
  <c r="X291" i="3"/>
  <c r="X292" i="3"/>
  <c r="X293" i="3"/>
  <c r="X295" i="3"/>
  <c r="X296" i="3"/>
  <c r="X297" i="3"/>
  <c r="X298" i="3"/>
  <c r="X300" i="3"/>
  <c r="X301" i="3"/>
  <c r="X302" i="3"/>
  <c r="X303" i="3"/>
  <c r="X304" i="3"/>
  <c r="X305" i="3"/>
  <c r="X306" i="3"/>
  <c r="X307" i="3"/>
  <c r="X308" i="3"/>
  <c r="X309" i="3"/>
  <c r="X310" i="3"/>
  <c r="X312" i="3"/>
  <c r="X313" i="3"/>
  <c r="X314" i="3"/>
  <c r="X315" i="3"/>
  <c r="X316" i="3"/>
  <c r="X321" i="3"/>
  <c r="X322" i="3"/>
  <c r="X324" i="3"/>
  <c r="X325" i="3"/>
  <c r="X326" i="3"/>
  <c r="X328" i="3"/>
  <c r="X329" i="3"/>
  <c r="X330" i="3"/>
  <c r="X331" i="3"/>
  <c r="X332" i="3"/>
  <c r="X333" i="3"/>
  <c r="X334" i="3"/>
  <c r="X337" i="3"/>
  <c r="X338" i="3"/>
  <c r="X339" i="3"/>
  <c r="X340" i="3"/>
  <c r="X341" i="3"/>
  <c r="X342" i="3"/>
  <c r="X343" i="3"/>
  <c r="X345" i="3"/>
  <c r="X347" i="3"/>
  <c r="X348" i="3"/>
  <c r="X349" i="3"/>
  <c r="X350" i="3"/>
  <c r="X351" i="3"/>
  <c r="X352" i="3"/>
  <c r="X353" i="3"/>
  <c r="X354" i="3"/>
  <c r="X355" i="3"/>
  <c r="X356" i="3"/>
  <c r="X358" i="3"/>
  <c r="X359" i="3"/>
  <c r="X360" i="3"/>
  <c r="X361" i="3"/>
  <c r="X363" i="3"/>
  <c r="X364" i="3"/>
  <c r="X365" i="3"/>
  <c r="X366" i="3"/>
  <c r="X367" i="3"/>
  <c r="X368" i="3"/>
  <c r="X369" i="3"/>
  <c r="X370" i="3"/>
  <c r="X372" i="3"/>
  <c r="X373" i="3"/>
  <c r="X375" i="3"/>
  <c r="X376" i="3"/>
  <c r="X377" i="3"/>
  <c r="X378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254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X133" i="3"/>
  <c r="X134" i="3"/>
  <c r="X136" i="3"/>
  <c r="X137" i="3"/>
  <c r="X138" i="3"/>
  <c r="X140" i="3"/>
  <c r="X141" i="3"/>
  <c r="X142" i="3"/>
  <c r="X143" i="3"/>
  <c r="X144" i="3"/>
  <c r="X145" i="3"/>
  <c r="X146" i="3"/>
  <c r="X149" i="3"/>
  <c r="X150" i="3"/>
  <c r="X151" i="3"/>
  <c r="X153" i="3"/>
  <c r="X154" i="3"/>
  <c r="X155" i="3"/>
  <c r="X157" i="3"/>
  <c r="X159" i="3"/>
  <c r="X160" i="3"/>
  <c r="X161" i="3"/>
  <c r="X162" i="3"/>
  <c r="X163" i="3"/>
  <c r="X165" i="3"/>
  <c r="X166" i="3"/>
  <c r="X167" i="3"/>
  <c r="X168" i="3"/>
  <c r="X170" i="3"/>
  <c r="X171" i="3"/>
  <c r="X172" i="3"/>
  <c r="X173" i="3"/>
  <c r="X175" i="3"/>
  <c r="X176" i="3"/>
  <c r="X177" i="3"/>
  <c r="X178" i="3"/>
  <c r="X179" i="3"/>
  <c r="X180" i="3"/>
  <c r="X181" i="3"/>
  <c r="X182" i="3"/>
  <c r="X184" i="3"/>
  <c r="X185" i="3"/>
  <c r="X187" i="3"/>
  <c r="X188" i="3"/>
  <c r="X189" i="3"/>
  <c r="X190" i="3"/>
  <c r="X191" i="3"/>
  <c r="X196" i="3"/>
  <c r="X197" i="3"/>
  <c r="X199" i="3"/>
  <c r="X200" i="3"/>
  <c r="X201" i="3"/>
  <c r="X203" i="3"/>
  <c r="X204" i="3"/>
  <c r="X205" i="3"/>
  <c r="X206" i="3"/>
  <c r="X207" i="3"/>
  <c r="X208" i="3"/>
  <c r="X209" i="3"/>
  <c r="X212" i="3"/>
  <c r="X213" i="3"/>
  <c r="X214" i="3"/>
  <c r="X216" i="3"/>
  <c r="X217" i="3"/>
  <c r="X218" i="3"/>
  <c r="X220" i="3"/>
  <c r="X222" i="3"/>
  <c r="X223" i="3"/>
  <c r="X224" i="3"/>
  <c r="X225" i="3"/>
  <c r="X226" i="3"/>
  <c r="X228" i="3"/>
  <c r="X229" i="3"/>
  <c r="X230" i="3"/>
  <c r="X231" i="3"/>
  <c r="X233" i="3"/>
  <c r="X234" i="3"/>
  <c r="X235" i="3"/>
  <c r="X236" i="3"/>
  <c r="X238" i="3"/>
  <c r="X239" i="3"/>
  <c r="X240" i="3"/>
  <c r="X241" i="3"/>
  <c r="X242" i="3"/>
  <c r="X243" i="3"/>
  <c r="X244" i="3"/>
  <c r="X245" i="3"/>
  <c r="X247" i="3"/>
  <c r="X248" i="3"/>
  <c r="X250" i="3"/>
  <c r="X251" i="3"/>
  <c r="X252" i="3"/>
  <c r="X253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129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X8" i="3"/>
  <c r="X9" i="3"/>
  <c r="X11" i="3"/>
  <c r="X12" i="3"/>
  <c r="X13" i="3"/>
  <c r="X15" i="3"/>
  <c r="X16" i="3"/>
  <c r="X17" i="3"/>
  <c r="X18" i="3"/>
  <c r="X19" i="3"/>
  <c r="X20" i="3"/>
  <c r="X21" i="3"/>
  <c r="X24" i="3"/>
  <c r="X25" i="3"/>
  <c r="X26" i="3"/>
  <c r="X27" i="3"/>
  <c r="X28" i="3"/>
  <c r="X29" i="3"/>
  <c r="X30" i="3"/>
  <c r="X32" i="3"/>
  <c r="X34" i="3"/>
  <c r="X35" i="3"/>
  <c r="X36" i="3"/>
  <c r="X37" i="3"/>
  <c r="X38" i="3"/>
  <c r="X40" i="3"/>
  <c r="X41" i="3"/>
  <c r="X42" i="3"/>
  <c r="X43" i="3"/>
  <c r="X45" i="3"/>
  <c r="X46" i="3"/>
  <c r="X47" i="3"/>
  <c r="X48" i="3"/>
  <c r="X50" i="3"/>
  <c r="X51" i="3"/>
  <c r="X52" i="3"/>
  <c r="X53" i="3"/>
  <c r="X54" i="3"/>
  <c r="X55" i="3"/>
  <c r="X56" i="3"/>
  <c r="X57" i="3"/>
  <c r="X59" i="3"/>
  <c r="X60" i="3"/>
  <c r="X62" i="3"/>
  <c r="X63" i="3"/>
  <c r="X64" i="3"/>
  <c r="X65" i="3"/>
  <c r="X66" i="3"/>
  <c r="X71" i="3"/>
  <c r="X72" i="3"/>
  <c r="X74" i="3"/>
  <c r="X75" i="3"/>
  <c r="X76" i="3"/>
  <c r="X78" i="3"/>
  <c r="X79" i="3"/>
  <c r="X80" i="3"/>
  <c r="X81" i="3"/>
  <c r="X82" i="3"/>
  <c r="X83" i="3"/>
  <c r="X84" i="3"/>
  <c r="X87" i="3"/>
  <c r="X88" i="3"/>
  <c r="X89" i="3"/>
  <c r="X91" i="3"/>
  <c r="X92" i="3"/>
  <c r="X93" i="3"/>
  <c r="X95" i="3"/>
  <c r="X97" i="3"/>
  <c r="X98" i="3"/>
  <c r="X99" i="3"/>
  <c r="X100" i="3"/>
  <c r="X101" i="3"/>
  <c r="X103" i="3"/>
  <c r="X104" i="3"/>
  <c r="X105" i="3"/>
  <c r="X106" i="3"/>
  <c r="X108" i="3"/>
  <c r="X109" i="3"/>
  <c r="X110" i="3"/>
  <c r="X111" i="3"/>
  <c r="X113" i="3"/>
  <c r="X114" i="3"/>
  <c r="X115" i="3"/>
  <c r="X116" i="3"/>
  <c r="X117" i="3"/>
  <c r="X118" i="3"/>
  <c r="X119" i="3"/>
  <c r="X120" i="3"/>
  <c r="X122" i="3"/>
  <c r="X123" i="3"/>
  <c r="X125" i="3"/>
  <c r="X126" i="3"/>
  <c r="X127" i="3"/>
  <c r="X128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4" i="3"/>
  <c r="N33" i="3"/>
  <c r="X283" i="3" s="1"/>
  <c r="P33" i="3"/>
  <c r="X33" i="3" s="1"/>
  <c r="P90" i="3"/>
  <c r="X90" i="3" s="1"/>
  <c r="O90" i="3"/>
  <c r="X215" i="3" s="1"/>
  <c r="N90" i="3"/>
  <c r="P107" i="3"/>
  <c r="X107" i="3" s="1"/>
  <c r="O107" i="3"/>
  <c r="X232" i="3" s="1"/>
  <c r="N107" i="3"/>
  <c r="X357" i="3" s="1"/>
  <c r="M128" i="3"/>
  <c r="M127" i="3"/>
  <c r="M126" i="3"/>
  <c r="M124" i="3" s="1"/>
  <c r="M125" i="3"/>
  <c r="P124" i="3"/>
  <c r="X124" i="3" s="1"/>
  <c r="O124" i="3"/>
  <c r="X249" i="3" s="1"/>
  <c r="N124" i="3"/>
  <c r="X374" i="3" s="1"/>
  <c r="P121" i="3"/>
  <c r="X121" i="3" s="1"/>
  <c r="N121" i="3"/>
  <c r="X371" i="3" s="1"/>
  <c r="M123" i="3"/>
  <c r="M122" i="3"/>
  <c r="M114" i="3"/>
  <c r="M120" i="3"/>
  <c r="M119" i="3"/>
  <c r="M118" i="3"/>
  <c r="M117" i="3"/>
  <c r="M116" i="3"/>
  <c r="M115" i="3"/>
  <c r="M113" i="3"/>
  <c r="P112" i="3"/>
  <c r="X112" i="3" s="1"/>
  <c r="O112" i="3"/>
  <c r="X237" i="3" s="1"/>
  <c r="N112" i="3"/>
  <c r="X362" i="3" s="1"/>
  <c r="M84" i="3"/>
  <c r="M83" i="3"/>
  <c r="M82" i="3"/>
  <c r="M81" i="3"/>
  <c r="M80" i="3"/>
  <c r="M21" i="3"/>
  <c r="M20" i="3"/>
  <c r="M19" i="3"/>
  <c r="M18" i="3"/>
  <c r="M17" i="3"/>
  <c r="M111" i="3"/>
  <c r="M110" i="3"/>
  <c r="M109" i="3"/>
  <c r="M108" i="3"/>
  <c r="M106" i="3"/>
  <c r="M105" i="3"/>
  <c r="M104" i="3"/>
  <c r="M103" i="3"/>
  <c r="P102" i="3"/>
  <c r="X102" i="3" s="1"/>
  <c r="O102" i="3"/>
  <c r="X227" i="3" s="1"/>
  <c r="N102" i="3"/>
  <c r="M101" i="3"/>
  <c r="M100" i="3"/>
  <c r="M99" i="3"/>
  <c r="M98" i="3"/>
  <c r="M97" i="3"/>
  <c r="P96" i="3"/>
  <c r="X96" i="3" s="1"/>
  <c r="O96" i="3"/>
  <c r="X221" i="3" s="1"/>
  <c r="N96" i="3"/>
  <c r="X346" i="3" s="1"/>
  <c r="M95" i="3"/>
  <c r="M93" i="3"/>
  <c r="M92" i="3"/>
  <c r="M91" i="3"/>
  <c r="M89" i="3"/>
  <c r="M88" i="3"/>
  <c r="M87" i="3"/>
  <c r="P86" i="3"/>
  <c r="X86" i="3" s="1"/>
  <c r="O86" i="3"/>
  <c r="N86" i="3"/>
  <c r="N85" i="3" s="1"/>
  <c r="X335" i="3" s="1"/>
  <c r="M79" i="3"/>
  <c r="M78" i="3"/>
  <c r="P77" i="3"/>
  <c r="X77" i="3" s="1"/>
  <c r="O77" i="3"/>
  <c r="X202" i="3" s="1"/>
  <c r="N77" i="3"/>
  <c r="X327" i="3" s="1"/>
  <c r="M76" i="3"/>
  <c r="M75" i="3"/>
  <c r="M74" i="3"/>
  <c r="P73" i="3"/>
  <c r="X73" i="3" s="1"/>
  <c r="O73" i="3"/>
  <c r="X198" i="3" s="1"/>
  <c r="N73" i="3"/>
  <c r="X323" i="3" s="1"/>
  <c r="M72" i="3"/>
  <c r="M70" i="3" s="1"/>
  <c r="X445" i="3" s="1"/>
  <c r="M71" i="3"/>
  <c r="P70" i="3"/>
  <c r="X70" i="3" s="1"/>
  <c r="O70" i="3"/>
  <c r="X195" i="3" s="1"/>
  <c r="N70" i="3"/>
  <c r="X320" i="3" s="1"/>
  <c r="P61" i="3"/>
  <c r="P58" i="3" s="1"/>
  <c r="X58" i="3" s="1"/>
  <c r="O61" i="3"/>
  <c r="O58" i="3" s="1"/>
  <c r="X183" i="3" s="1"/>
  <c r="N61" i="3"/>
  <c r="N58" i="3" s="1"/>
  <c r="M66" i="3"/>
  <c r="M65" i="3"/>
  <c r="M64" i="3"/>
  <c r="M63" i="3"/>
  <c r="M62" i="3"/>
  <c r="M60" i="3"/>
  <c r="M59" i="3"/>
  <c r="M55" i="3"/>
  <c r="M54" i="3"/>
  <c r="M53" i="3"/>
  <c r="M52" i="3"/>
  <c r="M57" i="3"/>
  <c r="M56" i="3"/>
  <c r="P44" i="3"/>
  <c r="X44" i="3" s="1"/>
  <c r="O44" i="3"/>
  <c r="X169" i="3" s="1"/>
  <c r="N44" i="3"/>
  <c r="X294" i="3" s="1"/>
  <c r="M48" i="3"/>
  <c r="M47" i="3"/>
  <c r="M46" i="3"/>
  <c r="M45" i="3"/>
  <c r="M43" i="3"/>
  <c r="M42" i="3"/>
  <c r="M41" i="3"/>
  <c r="M40" i="3"/>
  <c r="P39" i="3"/>
  <c r="X39" i="3" s="1"/>
  <c r="O39" i="3"/>
  <c r="X164" i="3" s="1"/>
  <c r="N39" i="3"/>
  <c r="X289" i="3" s="1"/>
  <c r="M35" i="3"/>
  <c r="M36" i="3"/>
  <c r="M37" i="3"/>
  <c r="M38" i="3"/>
  <c r="M34" i="3"/>
  <c r="O33" i="3"/>
  <c r="X158" i="3" s="1"/>
  <c r="M32" i="3"/>
  <c r="P27" i="3"/>
  <c r="O27" i="3"/>
  <c r="X152" i="3" s="1"/>
  <c r="N27" i="3"/>
  <c r="X277" i="3" s="1"/>
  <c r="M30" i="3"/>
  <c r="M29" i="3"/>
  <c r="M28" i="3"/>
  <c r="M26" i="3"/>
  <c r="M25" i="3"/>
  <c r="M24" i="3"/>
  <c r="P23" i="3"/>
  <c r="X23" i="3" s="1"/>
  <c r="O23" i="3"/>
  <c r="O22" i="3" s="1"/>
  <c r="X147" i="3" s="1"/>
  <c r="N23" i="3"/>
  <c r="X273" i="3" s="1"/>
  <c r="M16" i="3"/>
  <c r="M15" i="3"/>
  <c r="P14" i="3"/>
  <c r="X14" i="3" s="1"/>
  <c r="O14" i="3"/>
  <c r="X139" i="3" s="1"/>
  <c r="N14" i="3"/>
  <c r="M13" i="3"/>
  <c r="M12" i="3"/>
  <c r="M11" i="3"/>
  <c r="P10" i="3"/>
  <c r="X10" i="3" s="1"/>
  <c r="O10" i="3"/>
  <c r="X135" i="3" s="1"/>
  <c r="N10" i="3"/>
  <c r="X260" i="3" s="1"/>
  <c r="P7" i="3"/>
  <c r="X7" i="3" s="1"/>
  <c r="O7" i="3"/>
  <c r="X132" i="3" s="1"/>
  <c r="N7" i="3"/>
  <c r="X257" i="3" s="1"/>
  <c r="M9" i="3"/>
  <c r="X384" i="3" s="1"/>
  <c r="M8" i="3"/>
  <c r="H4" i="1"/>
  <c r="L72" i="2"/>
  <c r="W279" i="2" s="1"/>
  <c r="L71" i="2"/>
  <c r="L70" i="2"/>
  <c r="L69" i="2"/>
  <c r="W276" i="2" s="1"/>
  <c r="L68" i="2"/>
  <c r="L65" i="2"/>
  <c r="L64" i="2"/>
  <c r="L63" i="2"/>
  <c r="L62" i="2"/>
  <c r="L60" i="2"/>
  <c r="L59" i="2"/>
  <c r="L57" i="2"/>
  <c r="L56" i="2"/>
  <c r="L55" i="2"/>
  <c r="L54" i="2"/>
  <c r="L53" i="2"/>
  <c r="L52" i="2"/>
  <c r="L51" i="2"/>
  <c r="L50" i="2"/>
  <c r="L48" i="2"/>
  <c r="L44" i="2" s="1"/>
  <c r="L47" i="2"/>
  <c r="L46" i="2"/>
  <c r="L45" i="2"/>
  <c r="L43" i="2"/>
  <c r="L42" i="2"/>
  <c r="L41" i="2"/>
  <c r="L40" i="2"/>
  <c r="L38" i="2"/>
  <c r="L37" i="2"/>
  <c r="L36" i="2"/>
  <c r="W243" i="2" s="1"/>
  <c r="L35" i="2"/>
  <c r="L34" i="2"/>
  <c r="L30" i="2"/>
  <c r="L29" i="2"/>
  <c r="W236" i="2" s="1"/>
  <c r="L28" i="2"/>
  <c r="L26" i="2"/>
  <c r="L25" i="2"/>
  <c r="W232" i="2" s="1"/>
  <c r="L24" i="2"/>
  <c r="W231" i="2" s="1"/>
  <c r="L21" i="2"/>
  <c r="W228" i="2" s="1"/>
  <c r="L20" i="2"/>
  <c r="L19" i="2"/>
  <c r="L18" i="2"/>
  <c r="W225" i="2" s="1"/>
  <c r="L17" i="2"/>
  <c r="L16" i="2"/>
  <c r="W223" i="2" s="1"/>
  <c r="L15" i="2"/>
  <c r="W222" i="2" s="1"/>
  <c r="L13" i="2"/>
  <c r="L12" i="2"/>
  <c r="L11" i="2"/>
  <c r="L10" i="2" s="1"/>
  <c r="W217" i="2" s="1"/>
  <c r="L9" i="2"/>
  <c r="W216" i="2" s="1"/>
  <c r="L8" i="2"/>
  <c r="W215" i="2" s="1"/>
  <c r="W218" i="2"/>
  <c r="W219" i="2"/>
  <c r="W220" i="2"/>
  <c r="W224" i="2"/>
  <c r="W226" i="2"/>
  <c r="W227" i="2"/>
  <c r="W233" i="2"/>
  <c r="W235" i="2"/>
  <c r="W237" i="2"/>
  <c r="W239" i="2"/>
  <c r="W241" i="2"/>
  <c r="W242" i="2"/>
  <c r="W244" i="2"/>
  <c r="W245" i="2"/>
  <c r="W247" i="2"/>
  <c r="W248" i="2"/>
  <c r="W249" i="2"/>
  <c r="W250" i="2"/>
  <c r="W252" i="2"/>
  <c r="W253" i="2"/>
  <c r="W254" i="2"/>
  <c r="W255" i="2"/>
  <c r="W257" i="2"/>
  <c r="W258" i="2"/>
  <c r="W259" i="2"/>
  <c r="W260" i="2"/>
  <c r="W261" i="2"/>
  <c r="W262" i="2"/>
  <c r="W263" i="2"/>
  <c r="W264" i="2"/>
  <c r="W266" i="2"/>
  <c r="W267" i="2"/>
  <c r="W269" i="2"/>
  <c r="W270" i="2"/>
  <c r="W271" i="2"/>
  <c r="W272" i="2"/>
  <c r="W275" i="2"/>
  <c r="W277" i="2"/>
  <c r="W278" i="2"/>
  <c r="W146" i="2"/>
  <c r="W147" i="2"/>
  <c r="W148" i="2"/>
  <c r="W149" i="2"/>
  <c r="W150" i="2"/>
  <c r="W151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5" i="2"/>
  <c r="W206" i="2"/>
  <c r="W207" i="2"/>
  <c r="W208" i="2"/>
  <c r="W209" i="2"/>
  <c r="W210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6" i="2"/>
  <c r="W137" i="2"/>
  <c r="W138" i="2"/>
  <c r="W139" i="2"/>
  <c r="W140" i="2"/>
  <c r="W141" i="2"/>
  <c r="R279" i="2"/>
  <c r="R278" i="2"/>
  <c r="R277" i="2"/>
  <c r="Y277" i="2" s="1"/>
  <c r="R276" i="2"/>
  <c r="R275" i="2"/>
  <c r="Y275" i="2" s="1"/>
  <c r="R274" i="2"/>
  <c r="R273" i="2"/>
  <c r="R272" i="2"/>
  <c r="R271" i="2"/>
  <c r="Y271" i="2" s="1"/>
  <c r="R270" i="2"/>
  <c r="Y270" i="2" s="1"/>
  <c r="R269" i="2"/>
  <c r="R268" i="2"/>
  <c r="R267" i="2"/>
  <c r="Y267" i="2" s="1"/>
  <c r="R266" i="2"/>
  <c r="Y266" i="2" s="1"/>
  <c r="R265" i="2"/>
  <c r="R264" i="2"/>
  <c r="R263" i="2"/>
  <c r="Y263" i="2" s="1"/>
  <c r="R262" i="2"/>
  <c r="Y262" i="2" s="1"/>
  <c r="R261" i="2"/>
  <c r="Y261" i="2" s="1"/>
  <c r="R260" i="2"/>
  <c r="R259" i="2"/>
  <c r="R258" i="2"/>
  <c r="Y258" i="2" s="1"/>
  <c r="R257" i="2"/>
  <c r="R256" i="2"/>
  <c r="R255" i="2"/>
  <c r="R254" i="2"/>
  <c r="Y254" i="2" s="1"/>
  <c r="R253" i="2"/>
  <c r="Y253" i="2" s="1"/>
  <c r="R252" i="2"/>
  <c r="R251" i="2"/>
  <c r="R250" i="2"/>
  <c r="Y250" i="2" s="1"/>
  <c r="R249" i="2"/>
  <c r="Y249" i="2" s="1"/>
  <c r="R248" i="2"/>
  <c r="Y248" i="2" s="1"/>
  <c r="R247" i="2"/>
  <c r="Y247" i="2" s="1"/>
  <c r="R246" i="2"/>
  <c r="R245" i="2"/>
  <c r="Y245" i="2" s="1"/>
  <c r="R244" i="2"/>
  <c r="R243" i="2"/>
  <c r="R242" i="2"/>
  <c r="R241" i="2"/>
  <c r="Y241" i="2" s="1"/>
  <c r="R240" i="2"/>
  <c r="R239" i="2"/>
  <c r="Y239" i="2" s="1"/>
  <c r="R238" i="2"/>
  <c r="R237" i="2"/>
  <c r="Y237" i="2" s="1"/>
  <c r="R236" i="2"/>
  <c r="R235" i="2"/>
  <c r="Y235" i="2" s="1"/>
  <c r="R234" i="2"/>
  <c r="R233" i="2"/>
  <c r="Y233" i="2" s="1"/>
  <c r="R232" i="2"/>
  <c r="R231" i="2"/>
  <c r="R230" i="2"/>
  <c r="R229" i="2"/>
  <c r="R228" i="2"/>
  <c r="R227" i="2"/>
  <c r="Y227" i="2" s="1"/>
  <c r="R226" i="2"/>
  <c r="R225" i="2"/>
  <c r="R224" i="2"/>
  <c r="R223" i="2"/>
  <c r="R222" i="2"/>
  <c r="R221" i="2"/>
  <c r="R220" i="2"/>
  <c r="R219" i="2"/>
  <c r="R218" i="2"/>
  <c r="Y218" i="2" s="1"/>
  <c r="R217" i="2"/>
  <c r="R216" i="2"/>
  <c r="R215" i="2"/>
  <c r="R214" i="2"/>
  <c r="R213" i="2"/>
  <c r="R212" i="2"/>
  <c r="R211" i="2"/>
  <c r="R210" i="2"/>
  <c r="R209" i="2"/>
  <c r="Y209" i="2" s="1"/>
  <c r="R208" i="2"/>
  <c r="Y208" i="2" s="1"/>
  <c r="R207" i="2"/>
  <c r="R206" i="2"/>
  <c r="Y206" i="2" s="1"/>
  <c r="R205" i="2"/>
  <c r="Y205" i="2" s="1"/>
  <c r="R204" i="2"/>
  <c r="R203" i="2"/>
  <c r="R202" i="2"/>
  <c r="Y202" i="2" s="1"/>
  <c r="R201" i="2"/>
  <c r="Y201" i="2" s="1"/>
  <c r="R200" i="2"/>
  <c r="Y200" i="2" s="1"/>
  <c r="R199" i="2"/>
  <c r="Y199" i="2" s="1"/>
  <c r="R198" i="2"/>
  <c r="Y198" i="2" s="1"/>
  <c r="R197" i="2"/>
  <c r="Y197" i="2" s="1"/>
  <c r="R196" i="2"/>
  <c r="Y196" i="2" s="1"/>
  <c r="R195" i="2"/>
  <c r="R194" i="2"/>
  <c r="Y194" i="2" s="1"/>
  <c r="R193" i="2"/>
  <c r="Y193" i="2" s="1"/>
  <c r="R192" i="2"/>
  <c r="Y192" i="2" s="1"/>
  <c r="R191" i="2"/>
  <c r="R190" i="2"/>
  <c r="Y190" i="2" s="1"/>
  <c r="R189" i="2"/>
  <c r="Y189" i="2" s="1"/>
  <c r="R188" i="2"/>
  <c r="Y188" i="2" s="1"/>
  <c r="R187" i="2"/>
  <c r="R186" i="2"/>
  <c r="Y186" i="2" s="1"/>
  <c r="R185" i="2"/>
  <c r="Y185" i="2" s="1"/>
  <c r="R184" i="2"/>
  <c r="Y184" i="2" s="1"/>
  <c r="R183" i="2"/>
  <c r="R182" i="2"/>
  <c r="Y182" i="2" s="1"/>
  <c r="R181" i="2"/>
  <c r="Y181" i="2" s="1"/>
  <c r="R180" i="2"/>
  <c r="Y180" i="2" s="1"/>
  <c r="R179" i="2"/>
  <c r="Y179" i="2" s="1"/>
  <c r="R178" i="2"/>
  <c r="Y178" i="2" s="1"/>
  <c r="R177" i="2"/>
  <c r="Y177" i="2" s="1"/>
  <c r="R176" i="2"/>
  <c r="Y176" i="2" s="1"/>
  <c r="R175" i="2"/>
  <c r="R174" i="2"/>
  <c r="Y174" i="2" s="1"/>
  <c r="R173" i="2"/>
  <c r="Y173" i="2" s="1"/>
  <c r="R172" i="2"/>
  <c r="Y172" i="2" s="1"/>
  <c r="R171" i="2"/>
  <c r="Y171" i="2" s="1"/>
  <c r="R170" i="2"/>
  <c r="Y170" i="2" s="1"/>
  <c r="R169" i="2"/>
  <c r="Y169" i="2" s="1"/>
  <c r="R168" i="2"/>
  <c r="Y168" i="2" s="1"/>
  <c r="R167" i="2"/>
  <c r="R166" i="2"/>
  <c r="Y166" i="2" s="1"/>
  <c r="R165" i="2"/>
  <c r="Y165" i="2" s="1"/>
  <c r="R164" i="2"/>
  <c r="Y164" i="2" s="1"/>
  <c r="R163" i="2"/>
  <c r="R162" i="2"/>
  <c r="Y162" i="2" s="1"/>
  <c r="R161" i="2"/>
  <c r="Y161" i="2" s="1"/>
  <c r="R160" i="2"/>
  <c r="Y160" i="2" s="1"/>
  <c r="R159" i="2"/>
  <c r="Y159" i="2" s="1"/>
  <c r="R158" i="2"/>
  <c r="Y158" i="2" s="1"/>
  <c r="R157" i="2"/>
  <c r="Y157" i="2" s="1"/>
  <c r="R156" i="2"/>
  <c r="Y156" i="2" s="1"/>
  <c r="R155" i="2"/>
  <c r="R154" i="2"/>
  <c r="R153" i="2"/>
  <c r="Y153" i="2" s="1"/>
  <c r="R152" i="2"/>
  <c r="R151" i="2"/>
  <c r="R150" i="2"/>
  <c r="Y150" i="2" s="1"/>
  <c r="R149" i="2"/>
  <c r="Y149" i="2" s="1"/>
  <c r="R148" i="2"/>
  <c r="Y148" i="2" s="1"/>
  <c r="R147" i="2"/>
  <c r="R146" i="2"/>
  <c r="Y146" i="2" s="1"/>
  <c r="R145" i="2"/>
  <c r="R144" i="2"/>
  <c r="R143" i="2"/>
  <c r="R142" i="2"/>
  <c r="R141" i="2"/>
  <c r="R140" i="2"/>
  <c r="Y140" i="2" s="1"/>
  <c r="R139" i="2"/>
  <c r="Y139" i="2" s="1"/>
  <c r="R138" i="2"/>
  <c r="Y138" i="2" s="1"/>
  <c r="R137" i="2"/>
  <c r="R136" i="2"/>
  <c r="Y136" i="2" s="1"/>
  <c r="R135" i="2"/>
  <c r="R134" i="2"/>
  <c r="Y134" i="2" s="1"/>
  <c r="R133" i="2"/>
  <c r="Y133" i="2" s="1"/>
  <c r="R132" i="2"/>
  <c r="Y132" i="2" s="1"/>
  <c r="R131" i="2"/>
  <c r="Y131" i="2" s="1"/>
  <c r="R130" i="2"/>
  <c r="Y130" i="2" s="1"/>
  <c r="R129" i="2"/>
  <c r="R128" i="2"/>
  <c r="Y128" i="2" s="1"/>
  <c r="R127" i="2"/>
  <c r="Y127" i="2" s="1"/>
  <c r="R126" i="2"/>
  <c r="Y126" i="2" s="1"/>
  <c r="R125" i="2"/>
  <c r="R124" i="2"/>
  <c r="Y124" i="2" s="1"/>
  <c r="R123" i="2"/>
  <c r="Y123" i="2" s="1"/>
  <c r="R122" i="2"/>
  <c r="Y122" i="2" s="1"/>
  <c r="R121" i="2"/>
  <c r="R120" i="2"/>
  <c r="Y120" i="2" s="1"/>
  <c r="R119" i="2"/>
  <c r="Y119" i="2" s="1"/>
  <c r="R118" i="2"/>
  <c r="Y118" i="2" s="1"/>
  <c r="R117" i="2"/>
  <c r="Y117" i="2" s="1"/>
  <c r="R116" i="2"/>
  <c r="Y116" i="2" s="1"/>
  <c r="R115" i="2"/>
  <c r="Y115" i="2" s="1"/>
  <c r="R114" i="2"/>
  <c r="Y114" i="2" s="1"/>
  <c r="R113" i="2"/>
  <c r="R112" i="2"/>
  <c r="Y112" i="2" s="1"/>
  <c r="R111" i="2"/>
  <c r="Y111" i="2" s="1"/>
  <c r="R110" i="2"/>
  <c r="Y110" i="2" s="1"/>
  <c r="R109" i="2"/>
  <c r="R108" i="2"/>
  <c r="Y108" i="2" s="1"/>
  <c r="R107" i="2"/>
  <c r="Y107" i="2" s="1"/>
  <c r="R106" i="2"/>
  <c r="Y106" i="2" s="1"/>
  <c r="R105" i="2"/>
  <c r="R104" i="2"/>
  <c r="Y104" i="2" s="1"/>
  <c r="R103" i="2"/>
  <c r="Y103" i="2" s="1"/>
  <c r="R102" i="2"/>
  <c r="Y102" i="2" s="1"/>
  <c r="R101" i="2"/>
  <c r="Y101" i="2" s="1"/>
  <c r="R100" i="2"/>
  <c r="Y100" i="2" s="1"/>
  <c r="R99" i="2"/>
  <c r="Y99" i="2" s="1"/>
  <c r="R98" i="2"/>
  <c r="Y98" i="2" s="1"/>
  <c r="R97" i="2"/>
  <c r="R96" i="2"/>
  <c r="Y96" i="2" s="1"/>
  <c r="R95" i="2"/>
  <c r="Y95" i="2" s="1"/>
  <c r="R94" i="2"/>
  <c r="Y94" i="2" s="1"/>
  <c r="R93" i="2"/>
  <c r="R92" i="2"/>
  <c r="Y92" i="2" s="1"/>
  <c r="R91" i="2"/>
  <c r="Y91" i="2" s="1"/>
  <c r="R90" i="2"/>
  <c r="Y90" i="2" s="1"/>
  <c r="R89" i="2"/>
  <c r="R88" i="2"/>
  <c r="Y88" i="2" s="1"/>
  <c r="R87" i="2"/>
  <c r="Y87" i="2" s="1"/>
  <c r="R86" i="2"/>
  <c r="Y86" i="2" s="1"/>
  <c r="R85" i="2"/>
  <c r="Y85" i="2" s="1"/>
  <c r="R84" i="2"/>
  <c r="Y84" i="2" s="1"/>
  <c r="R83" i="2"/>
  <c r="Y83" i="2" s="1"/>
  <c r="R82" i="2"/>
  <c r="Y82" i="2" s="1"/>
  <c r="R81" i="2"/>
  <c r="R80" i="2"/>
  <c r="Y80" i="2" s="1"/>
  <c r="R79" i="2"/>
  <c r="Y79" i="2" s="1"/>
  <c r="R78" i="2"/>
  <c r="R77" i="2"/>
  <c r="R76" i="2"/>
  <c r="R75" i="2"/>
  <c r="R74" i="2"/>
  <c r="R73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2" i="2"/>
  <c r="W33" i="2"/>
  <c r="W34" i="2"/>
  <c r="W35" i="2"/>
  <c r="W36" i="2"/>
  <c r="W37" i="2"/>
  <c r="W38" i="2"/>
  <c r="W39" i="2"/>
  <c r="W40" i="2"/>
  <c r="W41" i="2"/>
  <c r="W42" i="2"/>
  <c r="W43" i="2"/>
  <c r="W45" i="2"/>
  <c r="W46" i="2"/>
  <c r="W47" i="2"/>
  <c r="W48" i="2"/>
  <c r="W50" i="2"/>
  <c r="W51" i="2"/>
  <c r="W52" i="2"/>
  <c r="W53" i="2"/>
  <c r="W54" i="2"/>
  <c r="W55" i="2"/>
  <c r="W56" i="2"/>
  <c r="W57" i="2"/>
  <c r="W59" i="2"/>
  <c r="W60" i="2"/>
  <c r="W61" i="2"/>
  <c r="W62" i="2"/>
  <c r="W63" i="2"/>
  <c r="W64" i="2"/>
  <c r="W65" i="2"/>
  <c r="W67" i="2"/>
  <c r="W68" i="2"/>
  <c r="W69" i="2"/>
  <c r="W70" i="2"/>
  <c r="W71" i="2"/>
  <c r="W72" i="2"/>
  <c r="R8" i="2"/>
  <c r="Y8" i="2" s="1"/>
  <c r="R9" i="2"/>
  <c r="R10" i="2"/>
  <c r="Y10" i="2" s="1"/>
  <c r="R11" i="2"/>
  <c r="Y11" i="2" s="1"/>
  <c r="R12" i="2"/>
  <c r="Y12" i="2" s="1"/>
  <c r="R13" i="2"/>
  <c r="Y13" i="2" s="1"/>
  <c r="R14" i="2"/>
  <c r="Y14" i="2" s="1"/>
  <c r="R15" i="2"/>
  <c r="Y15" i="2" s="1"/>
  <c r="R16" i="2"/>
  <c r="Y16" i="2" s="1"/>
  <c r="R17" i="2"/>
  <c r="Y17" i="2" s="1"/>
  <c r="R18" i="2"/>
  <c r="Y18" i="2" s="1"/>
  <c r="R19" i="2"/>
  <c r="Y19" i="2" s="1"/>
  <c r="R20" i="2"/>
  <c r="Y20" i="2" s="1"/>
  <c r="R21" i="2"/>
  <c r="Y21" i="2" s="1"/>
  <c r="R22" i="2"/>
  <c r="Y22" i="2" s="1"/>
  <c r="R23" i="2"/>
  <c r="Y23" i="2" s="1"/>
  <c r="R24" i="2"/>
  <c r="Y24" i="2" s="1"/>
  <c r="R25" i="2"/>
  <c r="Y25" i="2" s="1"/>
  <c r="R26" i="2"/>
  <c r="Y26" i="2" s="1"/>
  <c r="R27" i="2"/>
  <c r="Y27" i="2" s="1"/>
  <c r="R28" i="2"/>
  <c r="Y28" i="2" s="1"/>
  <c r="R29" i="2"/>
  <c r="Y29" i="2" s="1"/>
  <c r="R30" i="2"/>
  <c r="Y30" i="2" s="1"/>
  <c r="R31" i="2"/>
  <c r="R32" i="2"/>
  <c r="Y32" i="2" s="1"/>
  <c r="R33" i="2"/>
  <c r="Y33" i="2" s="1"/>
  <c r="R34" i="2"/>
  <c r="Y34" i="2" s="1"/>
  <c r="R35" i="2"/>
  <c r="Y35" i="2" s="1"/>
  <c r="R36" i="2"/>
  <c r="Y36" i="2" s="1"/>
  <c r="R37" i="2"/>
  <c r="Y37" i="2" s="1"/>
  <c r="R38" i="2"/>
  <c r="Y38" i="2" s="1"/>
  <c r="R39" i="2"/>
  <c r="Y39" i="2" s="1"/>
  <c r="R40" i="2"/>
  <c r="Y40" i="2" s="1"/>
  <c r="R41" i="2"/>
  <c r="Y41" i="2" s="1"/>
  <c r="R42" i="2"/>
  <c r="Y42" i="2" s="1"/>
  <c r="R43" i="2"/>
  <c r="Y43" i="2" s="1"/>
  <c r="R44" i="2"/>
  <c r="R45" i="2"/>
  <c r="Y45" i="2" s="1"/>
  <c r="R46" i="2"/>
  <c r="Y46" i="2" s="1"/>
  <c r="R47" i="2"/>
  <c r="Y47" i="2" s="1"/>
  <c r="R48" i="2"/>
  <c r="R49" i="2"/>
  <c r="R50" i="2"/>
  <c r="Y50" i="2" s="1"/>
  <c r="R51" i="2"/>
  <c r="Y51" i="2" s="1"/>
  <c r="R52" i="2"/>
  <c r="Y52" i="2" s="1"/>
  <c r="R53" i="2"/>
  <c r="Y53" i="2" s="1"/>
  <c r="R54" i="2"/>
  <c r="Y54" i="2" s="1"/>
  <c r="R55" i="2"/>
  <c r="Y55" i="2" s="1"/>
  <c r="R56" i="2"/>
  <c r="Y56" i="2" s="1"/>
  <c r="R57" i="2"/>
  <c r="R58" i="2"/>
  <c r="R59" i="2"/>
  <c r="Y59" i="2" s="1"/>
  <c r="R60" i="2"/>
  <c r="Y60" i="2" s="1"/>
  <c r="R61" i="2"/>
  <c r="Y61" i="2" s="1"/>
  <c r="R62" i="2"/>
  <c r="Y62" i="2" s="1"/>
  <c r="R63" i="2"/>
  <c r="Y63" i="2" s="1"/>
  <c r="R64" i="2"/>
  <c r="Y64" i="2" s="1"/>
  <c r="R65" i="2"/>
  <c r="Y65" i="2" s="1"/>
  <c r="R66" i="2"/>
  <c r="R67" i="2"/>
  <c r="Y67" i="2" s="1"/>
  <c r="R68" i="2"/>
  <c r="Y68" i="2" s="1"/>
  <c r="R69" i="2"/>
  <c r="Y69" i="2" s="1"/>
  <c r="R70" i="2"/>
  <c r="Y70" i="2" s="1"/>
  <c r="R71" i="2"/>
  <c r="Y71" i="2" s="1"/>
  <c r="R72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5" i="2"/>
  <c r="S6" i="2"/>
  <c r="S7" i="2"/>
  <c r="S4" i="2"/>
  <c r="R5" i="2"/>
  <c r="R6" i="2"/>
  <c r="R7" i="2"/>
  <c r="R4" i="2"/>
  <c r="O44" i="2"/>
  <c r="W44" i="2" s="1"/>
  <c r="N44" i="2"/>
  <c r="M44" i="2"/>
  <c r="O39" i="2"/>
  <c r="N39" i="2"/>
  <c r="M39" i="2"/>
  <c r="L39" i="2"/>
  <c r="W246" i="2" s="1"/>
  <c r="Y246" i="2" s="1"/>
  <c r="O33" i="2"/>
  <c r="N33" i="2"/>
  <c r="M33" i="2"/>
  <c r="L33" i="2"/>
  <c r="W240" i="2" s="1"/>
  <c r="Y240" i="2" s="1"/>
  <c r="O31" i="2"/>
  <c r="W31" i="2" s="1"/>
  <c r="N31" i="2"/>
  <c r="M31" i="2"/>
  <c r="O27" i="2"/>
  <c r="N27" i="2"/>
  <c r="M27" i="2"/>
  <c r="L27" i="2"/>
  <c r="W234" i="2" s="1"/>
  <c r="Y234" i="2" s="1"/>
  <c r="O23" i="2"/>
  <c r="N23" i="2"/>
  <c r="M23" i="2"/>
  <c r="L23" i="2"/>
  <c r="L22" i="2" s="1"/>
  <c r="W229" i="2" s="1"/>
  <c r="Y229" i="2" s="1"/>
  <c r="O22" i="2"/>
  <c r="N22" i="2"/>
  <c r="M22" i="2"/>
  <c r="O14" i="2"/>
  <c r="N14" i="2"/>
  <c r="M14" i="2"/>
  <c r="W152" i="2" s="1"/>
  <c r="Y152" i="2" s="1"/>
  <c r="L14" i="2"/>
  <c r="W221" i="2" s="1"/>
  <c r="Y221" i="2" s="1"/>
  <c r="O10" i="2"/>
  <c r="N10" i="2"/>
  <c r="M10" i="2"/>
  <c r="O7" i="2"/>
  <c r="W7" i="2" s="1"/>
  <c r="Y7" i="2" s="1"/>
  <c r="N7" i="2"/>
  <c r="W76" i="2" s="1"/>
  <c r="Y76" i="2" s="1"/>
  <c r="M7" i="2"/>
  <c r="W145" i="2" s="1"/>
  <c r="Y145" i="2" s="1"/>
  <c r="O67" i="2"/>
  <c r="N67" i="2"/>
  <c r="M67" i="2"/>
  <c r="L67" i="2"/>
  <c r="W274" i="2" s="1"/>
  <c r="Y274" i="2" s="1"/>
  <c r="W66" i="2"/>
  <c r="Y66" i="2" s="1"/>
  <c r="N66" i="2"/>
  <c r="W135" i="2" s="1"/>
  <c r="Y135" i="2" s="1"/>
  <c r="M66" i="2"/>
  <c r="W204" i="2" s="1"/>
  <c r="Y204" i="2" s="1"/>
  <c r="O61" i="2"/>
  <c r="N61" i="2"/>
  <c r="M61" i="2"/>
  <c r="L61" i="2"/>
  <c r="L58" i="2" s="1"/>
  <c r="W265" i="2" s="1"/>
  <c r="Y265" i="2" s="1"/>
  <c r="O58" i="2"/>
  <c r="W58" i="2" s="1"/>
  <c r="N58" i="2"/>
  <c r="M58" i="2"/>
  <c r="O49" i="2"/>
  <c r="W49" i="2" s="1"/>
  <c r="N49" i="2"/>
  <c r="M49" i="2"/>
  <c r="L49" i="2"/>
  <c r="W256" i="2" s="1"/>
  <c r="Y256" i="2" s="1"/>
  <c r="C68" i="2"/>
  <c r="C69" i="2" s="1"/>
  <c r="C70" i="2" s="1"/>
  <c r="C67" i="2"/>
  <c r="C71" i="2" s="1"/>
  <c r="C72" i="2" s="1"/>
  <c r="C62" i="2"/>
  <c r="C63" i="2" s="1"/>
  <c r="C59" i="2"/>
  <c r="C60" i="2" s="1"/>
  <c r="C61" i="2" s="1"/>
  <c r="C64" i="2" s="1"/>
  <c r="C65" i="2" s="1"/>
  <c r="C50" i="2"/>
  <c r="C51" i="2" s="1"/>
  <c r="C52" i="2" s="1"/>
  <c r="C53" i="2" s="1"/>
  <c r="C54" i="2" s="1"/>
  <c r="C55" i="2" s="1"/>
  <c r="C56" i="2" s="1"/>
  <c r="C57" i="2" s="1"/>
  <c r="C48" i="2"/>
  <c r="C47" i="2"/>
  <c r="C46" i="2"/>
  <c r="C45" i="2"/>
  <c r="C40" i="2"/>
  <c r="C41" i="2" s="1"/>
  <c r="C42" i="2" s="1"/>
  <c r="C43" i="2" s="1"/>
  <c r="C34" i="2"/>
  <c r="C35" i="2" s="1"/>
  <c r="C36" i="2" s="1"/>
  <c r="C37" i="2" s="1"/>
  <c r="C38" i="2" s="1"/>
  <c r="C32" i="2"/>
  <c r="C33" i="2" s="1"/>
  <c r="C39" i="2" s="1"/>
  <c r="C44" i="2" s="1"/>
  <c r="C28" i="2"/>
  <c r="C29" i="2" s="1"/>
  <c r="C30" i="2" s="1"/>
  <c r="C24" i="2"/>
  <c r="C25" i="2" s="1"/>
  <c r="C26" i="2" s="1"/>
  <c r="C23" i="2"/>
  <c r="C27" i="2" s="1"/>
  <c r="C15" i="2"/>
  <c r="C16" i="2" s="1"/>
  <c r="C11" i="2"/>
  <c r="C12" i="2" s="1"/>
  <c r="C13" i="2" s="1"/>
  <c r="C8" i="2"/>
  <c r="C9" i="2" s="1"/>
  <c r="C7" i="2"/>
  <c r="C10" i="2" s="1"/>
  <c r="C14" i="2" s="1"/>
  <c r="C17" i="2" s="1"/>
  <c r="C18" i="2" s="1"/>
  <c r="C19" i="2" s="1"/>
  <c r="C20" i="2" s="1"/>
  <c r="C21" i="2" s="1"/>
  <c r="C6" i="2"/>
  <c r="C22" i="2" s="1"/>
  <c r="C31" i="2" s="1"/>
  <c r="C5" i="2"/>
  <c r="C49" i="2" s="1"/>
  <c r="C58" i="2" s="1"/>
  <c r="N6" i="2" l="1"/>
  <c r="W75" i="2" s="1"/>
  <c r="Y75" i="2" s="1"/>
  <c r="X447" i="3"/>
  <c r="O85" i="3"/>
  <c r="X210" i="3" s="1"/>
  <c r="O121" i="3"/>
  <c r="X246" i="3" s="1"/>
  <c r="X311" i="3"/>
  <c r="X336" i="3"/>
  <c r="X186" i="3"/>
  <c r="X61" i="3"/>
  <c r="P6" i="3"/>
  <c r="X6" i="3" s="1"/>
  <c r="P69" i="3"/>
  <c r="X69" i="3" s="1"/>
  <c r="O69" i="3"/>
  <c r="X194" i="3" s="1"/>
  <c r="P85" i="3"/>
  <c r="X85" i="3" s="1"/>
  <c r="X148" i="3"/>
  <c r="O94" i="3"/>
  <c r="X219" i="3" s="1"/>
  <c r="X211" i="3"/>
  <c r="M7" i="3"/>
  <c r="X382" i="3" s="1"/>
  <c r="O6" i="3"/>
  <c r="X131" i="3" s="1"/>
  <c r="M14" i="3"/>
  <c r="M73" i="3"/>
  <c r="M77" i="3"/>
  <c r="N69" i="3"/>
  <c r="X319" i="3" s="1"/>
  <c r="M86" i="3"/>
  <c r="M85" i="3" s="1"/>
  <c r="M90" i="3"/>
  <c r="P94" i="3"/>
  <c r="M96" i="3"/>
  <c r="M102" i="3"/>
  <c r="M107" i="3"/>
  <c r="N94" i="3"/>
  <c r="M112" i="3"/>
  <c r="M121" i="3"/>
  <c r="M61" i="3"/>
  <c r="M58" i="3"/>
  <c r="P49" i="3"/>
  <c r="X49" i="3" s="1"/>
  <c r="M51" i="3"/>
  <c r="O49" i="3"/>
  <c r="X174" i="3" s="1"/>
  <c r="M50" i="3"/>
  <c r="M44" i="3"/>
  <c r="P31" i="3"/>
  <c r="X31" i="3" s="1"/>
  <c r="N31" i="3"/>
  <c r="X281" i="3" s="1"/>
  <c r="M33" i="3"/>
  <c r="O31" i="3"/>
  <c r="X156" i="3" s="1"/>
  <c r="M39" i="3"/>
  <c r="N22" i="3"/>
  <c r="X272" i="3" s="1"/>
  <c r="M27" i="3"/>
  <c r="P22" i="3"/>
  <c r="X22" i="3" s="1"/>
  <c r="M23" i="3"/>
  <c r="N6" i="3"/>
  <c r="X256" i="3" s="1"/>
  <c r="M10" i="3"/>
  <c r="W251" i="2"/>
  <c r="Y251" i="2" s="1"/>
  <c r="L31" i="2"/>
  <c r="W238" i="2" s="1"/>
  <c r="Y238" i="2" s="1"/>
  <c r="Y48" i="2"/>
  <c r="Y44" i="2"/>
  <c r="Y31" i="2"/>
  <c r="Y255" i="2"/>
  <c r="Y57" i="2"/>
  <c r="Y49" i="2"/>
  <c r="Y58" i="2"/>
  <c r="Y78" i="2"/>
  <c r="Y210" i="2"/>
  <c r="Y264" i="2"/>
  <c r="Y260" i="2"/>
  <c r="Y219" i="2"/>
  <c r="Y217" i="2"/>
  <c r="Y223" i="2"/>
  <c r="Y276" i="2"/>
  <c r="Y9" i="2"/>
  <c r="Y129" i="2"/>
  <c r="Y125" i="2"/>
  <c r="Y121" i="2"/>
  <c r="Y113" i="2"/>
  <c r="Y109" i="2"/>
  <c r="Y105" i="2"/>
  <c r="Y97" i="2"/>
  <c r="Y93" i="2"/>
  <c r="Y89" i="2"/>
  <c r="Y81" i="2"/>
  <c r="Y77" i="2"/>
  <c r="Y151" i="2"/>
  <c r="Y147" i="2"/>
  <c r="Y269" i="2"/>
  <c r="Y259" i="2"/>
  <c r="Y244" i="2"/>
  <c r="Y226" i="2"/>
  <c r="Y228" i="2"/>
  <c r="Y141" i="2"/>
  <c r="Y137" i="2"/>
  <c r="Y203" i="2"/>
  <c r="Y195" i="2"/>
  <c r="Y191" i="2"/>
  <c r="Y187" i="2"/>
  <c r="Y183" i="2"/>
  <c r="Y175" i="2"/>
  <c r="Y167" i="2"/>
  <c r="Y163" i="2"/>
  <c r="Y155" i="2"/>
  <c r="Y272" i="2"/>
  <c r="Y242" i="2"/>
  <c r="Y224" i="2"/>
  <c r="Y215" i="2"/>
  <c r="Y225" i="2"/>
  <c r="Y231" i="2"/>
  <c r="Y236" i="2"/>
  <c r="Y243" i="2"/>
  <c r="Y72" i="2"/>
  <c r="Y207" i="2"/>
  <c r="Y154" i="2"/>
  <c r="Y278" i="2"/>
  <c r="Y257" i="2"/>
  <c r="Y252" i="2"/>
  <c r="Y220" i="2"/>
  <c r="Y216" i="2"/>
  <c r="Y222" i="2"/>
  <c r="Y232" i="2"/>
  <c r="Y279" i="2"/>
  <c r="O6" i="2"/>
  <c r="W6" i="2" s="1"/>
  <c r="Y6" i="2" s="1"/>
  <c r="L66" i="2"/>
  <c r="W273" i="2" s="1"/>
  <c r="Y273" i="2" s="1"/>
  <c r="W268" i="2"/>
  <c r="Y268" i="2" s="1"/>
  <c r="W230" i="2"/>
  <c r="Y230" i="2" s="1"/>
  <c r="M6" i="2"/>
  <c r="W144" i="2" s="1"/>
  <c r="Y144" i="2" s="1"/>
  <c r="L7" i="2"/>
  <c r="N5" i="2"/>
  <c r="M5" i="2"/>
  <c r="O5" i="2" l="1"/>
  <c r="W5" i="2" s="1"/>
  <c r="Y5" i="2" s="1"/>
  <c r="N68" i="3"/>
  <c r="X344" i="3"/>
  <c r="O68" i="3"/>
  <c r="X193" i="3" s="1"/>
  <c r="M6" i="3"/>
  <c r="X381" i="3" s="1"/>
  <c r="M49" i="3"/>
  <c r="M94" i="3"/>
  <c r="O67" i="3"/>
  <c r="X192" i="3" s="1"/>
  <c r="P68" i="3"/>
  <c r="X94" i="3"/>
  <c r="O5" i="3"/>
  <c r="X130" i="3" s="1"/>
  <c r="M31" i="3"/>
  <c r="P5" i="3"/>
  <c r="M69" i="3"/>
  <c r="O4" i="3"/>
  <c r="X129" i="3" s="1"/>
  <c r="N49" i="3"/>
  <c r="X299" i="3" s="1"/>
  <c r="M22" i="3"/>
  <c r="N5" i="3"/>
  <c r="X255" i="3" s="1"/>
  <c r="W214" i="2"/>
  <c r="Y214" i="2" s="1"/>
  <c r="L6" i="2"/>
  <c r="O4" i="2"/>
  <c r="W4" i="2" s="1"/>
  <c r="Y4" i="2" s="1"/>
  <c r="M4" i="2"/>
  <c r="W142" i="2" s="1"/>
  <c r="Y142" i="2" s="1"/>
  <c r="W143" i="2"/>
  <c r="Y143" i="2" s="1"/>
  <c r="N4" i="2"/>
  <c r="W73" i="2" s="1"/>
  <c r="Y73" i="2" s="1"/>
  <c r="W74" i="2"/>
  <c r="Y74" i="2" s="1"/>
  <c r="M68" i="3" l="1"/>
  <c r="X444" i="3"/>
  <c r="N67" i="3"/>
  <c r="X317" i="3" s="1"/>
  <c r="X318" i="3"/>
  <c r="P4" i="3"/>
  <c r="X4" i="3" s="1"/>
  <c r="X5" i="3"/>
  <c r="P67" i="3"/>
  <c r="X67" i="3" s="1"/>
  <c r="X68" i="3"/>
  <c r="M5" i="3"/>
  <c r="N4" i="3"/>
  <c r="X254" i="3" s="1"/>
  <c r="W213" i="2"/>
  <c r="Y213" i="2" s="1"/>
  <c r="L5" i="2"/>
  <c r="M67" i="3" l="1"/>
  <c r="X442" i="3" s="1"/>
  <c r="X443" i="3"/>
  <c r="M4" i="3"/>
  <c r="X379" i="3" s="1"/>
  <c r="X380" i="3"/>
  <c r="W212" i="2"/>
  <c r="Y212" i="2" s="1"/>
  <c r="L4" i="2"/>
  <c r="W211" i="2" s="1"/>
  <c r="Y211" i="2" s="1"/>
  <c r="U5" i="1" l="1"/>
  <c r="U7" i="1"/>
  <c r="U4" i="1"/>
  <c r="S7" i="1"/>
  <c r="S6" i="1"/>
  <c r="U6" i="1" s="1"/>
  <c r="S5" i="1"/>
  <c r="Q7" i="1"/>
  <c r="Q6" i="1"/>
  <c r="Q5" i="1"/>
  <c r="O5" i="1"/>
  <c r="O6" i="1"/>
  <c r="O7" i="1"/>
  <c r="O4" i="1"/>
  <c r="N6" i="1"/>
  <c r="N7" i="1"/>
  <c r="N4" i="1"/>
  <c r="N5" i="1"/>
  <c r="S4" i="1"/>
</calcChain>
</file>

<file path=xl/sharedStrings.xml><?xml version="1.0" encoding="utf-8"?>
<sst xmlns="http://schemas.openxmlformats.org/spreadsheetml/2006/main" count="1949" uniqueCount="279">
  <si>
    <t>cve_moneda</t>
  </si>
  <si>
    <t>cve_tipo_saldo</t>
  </si>
  <si>
    <t>cve_concepto SdoFinal</t>
  </si>
  <si>
    <t>Concepto</t>
  </si>
  <si>
    <t>Total (moneda nacional, moneda extranjera, VSM, UMA y UDIS valorizadas) (3)(4)</t>
  </si>
  <si>
    <t>Moneda nacional (3) (4)</t>
  </si>
  <si>
    <t>Moneda extranjera valorizada (1) (3) (4)</t>
  </si>
  <si>
    <t>VSM, UMA y UDIS valorizadas (1) (3) (4)</t>
  </si>
  <si>
    <t>FechaMesAnterior
(Ultimo dia mes)</t>
  </si>
  <si>
    <t>Fecha</t>
  </si>
  <si>
    <t>Subreporte</t>
  </si>
  <si>
    <t xml:space="preserve">Moneda </t>
  </si>
  <si>
    <t>TipoSaldo</t>
  </si>
  <si>
    <t>Dato</t>
  </si>
  <si>
    <t>QUERY</t>
  </si>
  <si>
    <t>101800103003</t>
  </si>
  <si>
    <t>Saldo final del mes</t>
  </si>
  <si>
    <t/>
  </si>
  <si>
    <t>2021-10-30</t>
  </si>
  <si>
    <t>0419</t>
  </si>
  <si>
    <t>Codificación</t>
  </si>
  <si>
    <t>cve_concepto</t>
  </si>
  <si>
    <t>Nivel</t>
  </si>
  <si>
    <t>Cuenta_Padre</t>
  </si>
  <si>
    <t>Afectable</t>
  </si>
  <si>
    <t>Total (moneda nacional, moneda extranjera, VSM, UMA y UDIS valorizadas)</t>
  </si>
  <si>
    <t>Moneda nacional</t>
  </si>
  <si>
    <t>Moneda extranjera valorizada</t>
  </si>
  <si>
    <t>VSM, UMA y UDIS valorizadas</t>
  </si>
  <si>
    <t>101800104001</t>
  </si>
  <si>
    <t>0</t>
  </si>
  <si>
    <t>Saldo final de cartera con riesgo de crédito etapa 1</t>
  </si>
  <si>
    <t>2021-10-31</t>
  </si>
  <si>
    <t>0424</t>
  </si>
  <si>
    <t>111800105001</t>
  </si>
  <si>
    <t>1</t>
  </si>
  <si>
    <t>Créditos comerciales</t>
  </si>
  <si>
    <t>111800106001</t>
  </si>
  <si>
    <t>2</t>
  </si>
  <si>
    <t>Actividad empresarial o comercial</t>
  </si>
  <si>
    <t>111800107001</t>
  </si>
  <si>
    <t>3</t>
  </si>
  <si>
    <t>Operaciones quirografarias</t>
  </si>
  <si>
    <t>111800108001</t>
  </si>
  <si>
    <t>4</t>
  </si>
  <si>
    <t>Créditos en cuenta corriente</t>
  </si>
  <si>
    <t>111800108002</t>
  </si>
  <si>
    <t>Otros</t>
  </si>
  <si>
    <t>111800107002</t>
  </si>
  <si>
    <t>Operaciones prendarias</t>
  </si>
  <si>
    <t>111800208003</t>
  </si>
  <si>
    <t>Operaciones de habilitación o avío</t>
  </si>
  <si>
    <t>111800208004</t>
  </si>
  <si>
    <t>Operaciones refaccionarias</t>
  </si>
  <si>
    <t>111800208005</t>
  </si>
  <si>
    <t>111800107003</t>
  </si>
  <si>
    <t>Créditos puente</t>
  </si>
  <si>
    <t>111800308006</t>
  </si>
  <si>
    <t>Créditos puente a la vivienda</t>
  </si>
  <si>
    <t>111800308007</t>
  </si>
  <si>
    <t>Otros créditos puente</t>
  </si>
  <si>
    <t>111800107004</t>
  </si>
  <si>
    <t>Operaciones de factoraje financiero, descuento o cesión de derechos de crédito</t>
  </si>
  <si>
    <t>111800107005</t>
  </si>
  <si>
    <t>Operaciones de  arrendamiento financiero</t>
  </si>
  <si>
    <t>111800107006</t>
  </si>
  <si>
    <t>Operaciones con garantía hipotecaria</t>
  </si>
  <si>
    <t>111800107007</t>
  </si>
  <si>
    <t>Créditos para proyectos de inversión con fuente de pago propia</t>
  </si>
  <si>
    <t>111800107008</t>
  </si>
  <si>
    <t>111800106002</t>
  </si>
  <si>
    <t>Entidades financieras</t>
  </si>
  <si>
    <t>111800207009</t>
  </si>
  <si>
    <t>Créditos interbancarios</t>
  </si>
  <si>
    <t>111800908008</t>
  </si>
  <si>
    <t>111800908009</t>
  </si>
  <si>
    <t>111800908010</t>
  </si>
  <si>
    <t>111800207010</t>
  </si>
  <si>
    <t>Créditos a entidades financieras no bancarias</t>
  </si>
  <si>
    <t>111801008011</t>
  </si>
  <si>
    <t>111801008012</t>
  </si>
  <si>
    <t>111801008013</t>
  </si>
  <si>
    <t>111800106003</t>
  </si>
  <si>
    <t>Entidades gubernamentales</t>
  </si>
  <si>
    <t>111800307011</t>
  </si>
  <si>
    <t xml:space="preserve">Créditos al gobierno federal </t>
  </si>
  <si>
    <t>111800307012</t>
  </si>
  <si>
    <t>Créditos a estados y municipios</t>
  </si>
  <si>
    <t>111801208014</t>
  </si>
  <si>
    <t>111801208015</t>
  </si>
  <si>
    <t>111801208016</t>
  </si>
  <si>
    <t>111801208017</t>
  </si>
  <si>
    <t>Fideicomisos públicos de contratación</t>
  </si>
  <si>
    <t>111801208018</t>
  </si>
  <si>
    <t>111800307013</t>
  </si>
  <si>
    <t>Créditos a empresas productivas del estado</t>
  </si>
  <si>
    <t>111801308019</t>
  </si>
  <si>
    <t>111801308020</t>
  </si>
  <si>
    <t>111801308021</t>
  </si>
  <si>
    <t>111801308022</t>
  </si>
  <si>
    <t>111800307014</t>
  </si>
  <si>
    <t xml:space="preserve">Créditos a organismos descentralizados o desconcentrados </t>
  </si>
  <si>
    <t>111801408023</t>
  </si>
  <si>
    <t>111801408024</t>
  </si>
  <si>
    <t>111801408025</t>
  </si>
  <si>
    <t>111801408026</t>
  </si>
  <si>
    <t>111800105002</t>
  </si>
  <si>
    <t>Créditos de consumo</t>
  </si>
  <si>
    <t>111800206004</t>
  </si>
  <si>
    <t>Tarjeta de crédito</t>
  </si>
  <si>
    <t>111800206005</t>
  </si>
  <si>
    <t>Personales</t>
  </si>
  <si>
    <t>111800206006</t>
  </si>
  <si>
    <t>Nómina</t>
  </si>
  <si>
    <t>111800206007</t>
  </si>
  <si>
    <t>Automotriz</t>
  </si>
  <si>
    <t>111800206008</t>
  </si>
  <si>
    <t>Adquisición de bienes muebles</t>
  </si>
  <si>
    <t>111800206009</t>
  </si>
  <si>
    <t>111800206010</t>
  </si>
  <si>
    <t>Microcréditos</t>
  </si>
  <si>
    <t>111800206011</t>
  </si>
  <si>
    <t>Otros créditos de consumo</t>
  </si>
  <si>
    <t>111800105003</t>
  </si>
  <si>
    <t>Créditos a la vivienda</t>
  </si>
  <si>
    <t>111800306012</t>
  </si>
  <si>
    <t>Media y residencial</t>
  </si>
  <si>
    <t>111800306013</t>
  </si>
  <si>
    <t>De interés social</t>
  </si>
  <si>
    <t>111800306014</t>
  </si>
  <si>
    <t>Créditos adquiridos al INFONAVIT o el FOVISSSTE</t>
  </si>
  <si>
    <t>111801407015</t>
  </si>
  <si>
    <t>Cartera ordinaria</t>
  </si>
  <si>
    <t>111801407016</t>
  </si>
  <si>
    <t>Cartera en prórroga</t>
  </si>
  <si>
    <t>111801407017</t>
  </si>
  <si>
    <t>Régimen especial de amortización</t>
  </si>
  <si>
    <t>111800306015</t>
  </si>
  <si>
    <t>Remodelación o mejoramiento con garantía otorgada por la Banca de Desarrollo o fideicomisos públicos</t>
  </si>
  <si>
    <t>111800306016</t>
  </si>
  <si>
    <t>Remodelación o mejoramiento con garantía de la subcuenta de vivienda</t>
  </si>
  <si>
    <t>101800104002</t>
  </si>
  <si>
    <t>Saldo final de cartera con riesgo de crédito etapa 2</t>
  </si>
  <si>
    <t>111800205005</t>
  </si>
  <si>
    <t>111800506017</t>
  </si>
  <si>
    <t>111801707018</t>
  </si>
  <si>
    <t>111801808027</t>
  </si>
  <si>
    <t>111801808028</t>
  </si>
  <si>
    <t>111801707019</t>
  </si>
  <si>
    <t>111801908029</t>
  </si>
  <si>
    <t>111801908030</t>
  </si>
  <si>
    <t>111801908031</t>
  </si>
  <si>
    <t>111801707020</t>
  </si>
  <si>
    <t>111802008032</t>
  </si>
  <si>
    <t>111802008033</t>
  </si>
  <si>
    <t>111801707021</t>
  </si>
  <si>
    <t>111801707022</t>
  </si>
  <si>
    <t>111801707023</t>
  </si>
  <si>
    <t>111801707024</t>
  </si>
  <si>
    <t>111801707025</t>
  </si>
  <si>
    <t>111800506018</t>
  </si>
  <si>
    <t>111801807026</t>
  </si>
  <si>
    <t>111802608034</t>
  </si>
  <si>
    <t>111802608035</t>
  </si>
  <si>
    <t>111802608036</t>
  </si>
  <si>
    <t>111801807027</t>
  </si>
  <si>
    <t>111802708037</t>
  </si>
  <si>
    <t>111802708038</t>
  </si>
  <si>
    <t>111802708039</t>
  </si>
  <si>
    <t>111800506019</t>
  </si>
  <si>
    <t>111801907028</t>
  </si>
  <si>
    <t>111801907029</t>
  </si>
  <si>
    <t>111802908040</t>
  </si>
  <si>
    <t>111802908041</t>
  </si>
  <si>
    <t>111802908042</t>
  </si>
  <si>
    <t>111802908043</t>
  </si>
  <si>
    <t>111802908044</t>
  </si>
  <si>
    <t>111801907030</t>
  </si>
  <si>
    <t>111803008045</t>
  </si>
  <si>
    <t>111803008046</t>
  </si>
  <si>
    <t>111803008047</t>
  </si>
  <si>
    <t>111803008048</t>
  </si>
  <si>
    <t>111801907031</t>
  </si>
  <si>
    <t>111803108049</t>
  </si>
  <si>
    <t>111803108050</t>
  </si>
  <si>
    <t>111803108051</t>
  </si>
  <si>
    <t>111803108052</t>
  </si>
  <si>
    <t>111800205006</t>
  </si>
  <si>
    <t>111800606020</t>
  </si>
  <si>
    <t>111800606021</t>
  </si>
  <si>
    <t>111800606022</t>
  </si>
  <si>
    <t>111800606023</t>
  </si>
  <si>
    <t>111800606024</t>
  </si>
  <si>
    <t>111800606025</t>
  </si>
  <si>
    <t>111800606026</t>
  </si>
  <si>
    <t>111800606027</t>
  </si>
  <si>
    <t>111800205007</t>
  </si>
  <si>
    <t>111800706028</t>
  </si>
  <si>
    <t>111800706029</t>
  </si>
  <si>
    <t>111800706030</t>
  </si>
  <si>
    <t>111803007032</t>
  </si>
  <si>
    <t>111803007033</t>
  </si>
  <si>
    <t>111800706031</t>
  </si>
  <si>
    <t>111800706032</t>
  </si>
  <si>
    <t>101800104003</t>
  </si>
  <si>
    <t>Saldo final de cartera con riesgo de crédito etapa 3</t>
  </si>
  <si>
    <t>0420</t>
  </si>
  <si>
    <t>111800305008</t>
  </si>
  <si>
    <t>111800806033</t>
  </si>
  <si>
    <t>111803307034</t>
  </si>
  <si>
    <t>111803408053</t>
  </si>
  <si>
    <t>111803408054</t>
  </si>
  <si>
    <t>111803307035</t>
  </si>
  <si>
    <t>111803508055</t>
  </si>
  <si>
    <t>111803508056</t>
  </si>
  <si>
    <t>111803508057</t>
  </si>
  <si>
    <t>111803307036</t>
  </si>
  <si>
    <t>111803608058</t>
  </si>
  <si>
    <t>111803608059</t>
  </si>
  <si>
    <t>111803307037</t>
  </si>
  <si>
    <t>111803307038</t>
  </si>
  <si>
    <t>Operaciones de arrendamiento financiero</t>
  </si>
  <si>
    <t>111803307039</t>
  </si>
  <si>
    <t>111803307040</t>
  </si>
  <si>
    <t>111803307041</t>
  </si>
  <si>
    <t>111800806034</t>
  </si>
  <si>
    <t>111803407042</t>
  </si>
  <si>
    <t>111804208060</t>
  </si>
  <si>
    <t>111804208061</t>
  </si>
  <si>
    <t>111804208062</t>
  </si>
  <si>
    <t>111803407043</t>
  </si>
  <si>
    <t>111804308063</t>
  </si>
  <si>
    <t>111804308064</t>
  </si>
  <si>
    <t>111804308065</t>
  </si>
  <si>
    <t>111800806035</t>
  </si>
  <si>
    <t>111803507044</t>
  </si>
  <si>
    <t>111803507045</t>
  </si>
  <si>
    <t>111804508066</t>
  </si>
  <si>
    <t>111804508067</t>
  </si>
  <si>
    <t>111804508068</t>
  </si>
  <si>
    <t>111804508069</t>
  </si>
  <si>
    <t xml:space="preserve">Fideicomisos públicos de contratación </t>
  </si>
  <si>
    <t>111804508070</t>
  </si>
  <si>
    <t>111803507046</t>
  </si>
  <si>
    <t>111804608071</t>
  </si>
  <si>
    <t>111804608072</t>
  </si>
  <si>
    <t>111804608073</t>
  </si>
  <si>
    <t>111804608074</t>
  </si>
  <si>
    <t>111803507047</t>
  </si>
  <si>
    <t xml:space="preserve">Créditos a organismos descentralizados o desconcentrados  </t>
  </si>
  <si>
    <t>111804708075</t>
  </si>
  <si>
    <t>111804708076</t>
  </si>
  <si>
    <t>111804708077</t>
  </si>
  <si>
    <t>111804708078</t>
  </si>
  <si>
    <t>111800305009</t>
  </si>
  <si>
    <t>111800906036</t>
  </si>
  <si>
    <t>111800906037</t>
  </si>
  <si>
    <t>111800906038</t>
  </si>
  <si>
    <t>111800906039</t>
  </si>
  <si>
    <t>111800906040</t>
  </si>
  <si>
    <t>111800906041</t>
  </si>
  <si>
    <t>111800906042</t>
  </si>
  <si>
    <t>111800906043</t>
  </si>
  <si>
    <t>111800305010</t>
  </si>
  <si>
    <t>111801006044</t>
  </si>
  <si>
    <t>111801006045</t>
  </si>
  <si>
    <t>111801006046</t>
  </si>
  <si>
    <t>111804607048</t>
  </si>
  <si>
    <t>111804607049</t>
  </si>
  <si>
    <t>111801006047</t>
  </si>
  <si>
    <t>111801006048</t>
  </si>
  <si>
    <t>101800104004</t>
  </si>
  <si>
    <t>Saldo final de cartera de crédito valuada a valor razonable</t>
  </si>
  <si>
    <t>111800405011</t>
  </si>
  <si>
    <t>111801106049</t>
  </si>
  <si>
    <t>111801106050</t>
  </si>
  <si>
    <t>111801106051</t>
  </si>
  <si>
    <t>111800405012</t>
  </si>
  <si>
    <t>111800405013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</si>
</sst>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Soberana texto"/>
    </font>
    <font>
      <b/>
      <sz val="9"/>
      <color theme="1"/>
      <name val="Soberana texto"/>
    </font>
    <font>
      <sz val="11"/>
      <name val="Arial"/>
      <family val="2"/>
    </font>
    <font>
      <sz val="9"/>
      <color theme="1"/>
      <name val="Soberana texto"/>
    </font>
    <font>
      <sz val="8"/>
      <name val="Calibri"/>
      <family val="2"/>
      <scheme val="minor"/>
    </font>
    <font>
      <sz val="9"/>
      <color rgb="FFFF0000"/>
      <name val="Soberana Texto"/>
      <family val="3"/>
    </font>
    <font>
      <sz val="8"/>
      <color theme="1"/>
      <name val="Arial"/>
      <family val="2"/>
    </font>
    <font>
      <b/>
      <sz val="9"/>
      <name val="Soberana Texto"/>
      <family val="3"/>
    </font>
    <font>
      <sz val="9"/>
      <name val="Soberana Texto"/>
      <family val="3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8" fillId="0" borderId="0"/>
    <xf numFmtId="0" fontId="8" fillId="0" borderId="0"/>
  </cellStyleXfs>
  <cellXfs count="101">
    <xf numFmtId="0" fontId="0" fillId="0" borderId="0" xfId="0"/>
    <xf numFmtId="49" fontId="2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right"/>
    </xf>
    <xf numFmtId="0" fontId="2" fillId="5" borderId="0" xfId="0" applyFont="1" applyFill="1" applyAlignment="1">
      <alignment horizontal="center"/>
    </xf>
    <xf numFmtId="0" fontId="3" fillId="5" borderId="0" xfId="0" applyFont="1" applyFill="1" applyAlignment="1">
      <alignment vertical="center"/>
    </xf>
    <xf numFmtId="0" fontId="3" fillId="5" borderId="0" xfId="0" applyFont="1" applyFill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164" fontId="0" fillId="0" borderId="0" xfId="0" applyNumberFormat="1"/>
    <xf numFmtId="49" fontId="0" fillId="0" borderId="0" xfId="0" applyNumberFormat="1"/>
    <xf numFmtId="49" fontId="5" fillId="0" borderId="9" xfId="0" applyNumberFormat="1" applyFont="1" applyBorder="1"/>
    <xf numFmtId="0" fontId="0" fillId="0" borderId="9" xfId="0" applyBorder="1"/>
    <xf numFmtId="49" fontId="5" fillId="0" borderId="11" xfId="0" applyNumberFormat="1" applyFont="1" applyBorder="1"/>
    <xf numFmtId="0" fontId="5" fillId="0" borderId="11" xfId="0" applyFont="1" applyBorder="1"/>
    <xf numFmtId="0" fontId="0" fillId="0" borderId="11" xfId="0" applyBorder="1"/>
    <xf numFmtId="49" fontId="0" fillId="0" borderId="15" xfId="0" applyNumberFormat="1" applyBorder="1"/>
    <xf numFmtId="164" fontId="0" fillId="0" borderId="16" xfId="0" applyNumberFormat="1" applyBorder="1"/>
    <xf numFmtId="49" fontId="0" fillId="0" borderId="17" xfId="0" applyNumberFormat="1" applyBorder="1"/>
    <xf numFmtId="49" fontId="5" fillId="0" borderId="18" xfId="0" applyNumberFormat="1" applyFont="1" applyBorder="1"/>
    <xf numFmtId="0" fontId="0" fillId="0" borderId="18" xfId="0" applyBorder="1"/>
    <xf numFmtId="164" fontId="0" fillId="0" borderId="19" xfId="0" applyNumberFormat="1" applyBorder="1"/>
    <xf numFmtId="164" fontId="1" fillId="4" borderId="8" xfId="3" applyNumberFormat="1" applyBorder="1" applyAlignment="1">
      <alignment horizontal="left" vertical="center"/>
    </xf>
    <xf numFmtId="164" fontId="1" fillId="4" borderId="3" xfId="3" applyNumberFormat="1" applyBorder="1" applyAlignment="1">
      <alignment horizontal="left" vertical="center"/>
    </xf>
    <xf numFmtId="164" fontId="1" fillId="4" borderId="1" xfId="3" applyNumberFormat="1" applyBorder="1" applyAlignment="1">
      <alignment horizontal="left" vertical="center"/>
    </xf>
    <xf numFmtId="49" fontId="1" fillId="3" borderId="10" xfId="2" applyNumberFormat="1" applyBorder="1" applyAlignment="1">
      <alignment horizontal="right"/>
    </xf>
    <xf numFmtId="0" fontId="5" fillId="0" borderId="4" xfId="0" applyFont="1" applyBorder="1" applyAlignment="1">
      <alignment horizontal="center" vertical="center" wrapText="1"/>
    </xf>
    <xf numFmtId="0" fontId="1" fillId="3" borderId="10" xfId="2" applyBorder="1" applyAlignment="1">
      <alignment horizontal="center" vertical="center"/>
    </xf>
    <xf numFmtId="49" fontId="0" fillId="0" borderId="20" xfId="0" applyNumberFormat="1" applyBorder="1"/>
    <xf numFmtId="164" fontId="0" fillId="0" borderId="21" xfId="0" applyNumberFormat="1" applyBorder="1"/>
    <xf numFmtId="0" fontId="1" fillId="2" borderId="22" xfId="1" applyNumberFormat="1" applyBorder="1" applyAlignment="1">
      <alignment horizontal="center" vertical="center"/>
    </xf>
    <xf numFmtId="0" fontId="1" fillId="2" borderId="23" xfId="1" applyBorder="1" applyAlignment="1">
      <alignment vertical="center"/>
    </xf>
    <xf numFmtId="0" fontId="1" fillId="2" borderId="24" xfId="1" applyBorder="1" applyAlignment="1">
      <alignment vertical="center"/>
    </xf>
    <xf numFmtId="0" fontId="1" fillId="3" borderId="10" xfId="2" applyBorder="1" applyAlignment="1">
      <alignment horizontal="center" vertical="center" wrapText="1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64" fontId="10" fillId="0" borderId="33" xfId="5" applyNumberFormat="1" applyFont="1" applyBorder="1" applyAlignment="1">
      <alignment horizontal="left" vertical="center"/>
    </xf>
    <xf numFmtId="164" fontId="10" fillId="0" borderId="34" xfId="5" applyNumberFormat="1" applyFont="1" applyBorder="1" applyAlignment="1">
      <alignment horizontal="left" vertical="center"/>
    </xf>
    <xf numFmtId="49" fontId="7" fillId="0" borderId="0" xfId="0" applyNumberFormat="1" applyFont="1" applyAlignment="1">
      <alignment horizontal="left"/>
    </xf>
    <xf numFmtId="0" fontId="10" fillId="0" borderId="32" xfId="4" applyFont="1" applyBorder="1" applyAlignment="1">
      <alignment horizontal="left" vertical="center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vertical="center"/>
    </xf>
    <xf numFmtId="0" fontId="10" fillId="0" borderId="29" xfId="4" applyFont="1" applyBorder="1" applyAlignment="1">
      <alignment horizontal="left" vertical="center"/>
    </xf>
    <xf numFmtId="0" fontId="10" fillId="0" borderId="30" xfId="4" applyFont="1" applyBorder="1" applyAlignment="1">
      <alignment vertical="center"/>
    </xf>
    <xf numFmtId="0" fontId="7" fillId="0" borderId="0" xfId="4" applyFont="1" applyAlignment="1">
      <alignment horizontal="righ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 vertical="center"/>
    </xf>
    <xf numFmtId="0" fontId="9" fillId="6" borderId="0" xfId="5" applyFont="1" applyFill="1" applyAlignment="1">
      <alignment horizontal="left" vertical="center"/>
    </xf>
    <xf numFmtId="0" fontId="7" fillId="6" borderId="0" xfId="0" applyFont="1" applyFill="1" applyAlignment="1">
      <alignment horizontal="right"/>
    </xf>
    <xf numFmtId="0" fontId="7" fillId="6" borderId="0" xfId="0" applyFont="1" applyFill="1" applyAlignment="1">
      <alignment horizontal="center"/>
    </xf>
    <xf numFmtId="0" fontId="9" fillId="6" borderId="0" xfId="5" applyFont="1" applyFill="1" applyAlignment="1">
      <alignment vertical="center"/>
    </xf>
    <xf numFmtId="0" fontId="9" fillId="6" borderId="0" xfId="4" applyFont="1" applyFill="1"/>
    <xf numFmtId="0" fontId="10" fillId="0" borderId="10" xfId="4" applyFont="1" applyBorder="1" applyAlignment="1">
      <alignment horizontal="center" vertical="center" wrapText="1"/>
    </xf>
    <xf numFmtId="0" fontId="10" fillId="7" borderId="10" xfId="4" applyFont="1" applyFill="1" applyBorder="1" applyAlignment="1">
      <alignment horizontal="center" vertical="center" wrapText="1"/>
    </xf>
    <xf numFmtId="164" fontId="10" fillId="0" borderId="35" xfId="5" applyNumberFormat="1" applyFont="1" applyBorder="1" applyAlignment="1">
      <alignment horizontal="left" vertical="center"/>
    </xf>
    <xf numFmtId="164" fontId="10" fillId="0" borderId="31" xfId="5" applyNumberFormat="1" applyFont="1" applyBorder="1" applyAlignment="1">
      <alignment horizontal="left" vertical="center"/>
    </xf>
    <xf numFmtId="164" fontId="10" fillId="0" borderId="25" xfId="5" applyNumberFormat="1" applyFont="1" applyBorder="1" applyAlignment="1">
      <alignment horizontal="left" vertical="center"/>
    </xf>
    <xf numFmtId="0" fontId="0" fillId="0" borderId="30" xfId="0" applyBorder="1"/>
    <xf numFmtId="0" fontId="1" fillId="2" borderId="23" xfId="1" applyNumberFormat="1" applyBorder="1" applyAlignment="1">
      <alignment vertical="center"/>
    </xf>
    <xf numFmtId="0" fontId="1" fillId="2" borderId="24" xfId="1" applyNumberFormat="1" applyBorder="1" applyAlignment="1">
      <alignment vertical="center"/>
    </xf>
    <xf numFmtId="0" fontId="0" fillId="0" borderId="21" xfId="0" applyBorder="1"/>
    <xf numFmtId="49" fontId="1" fillId="2" borderId="23" xfId="1" applyNumberFormat="1" applyBorder="1" applyAlignment="1">
      <alignment vertical="center"/>
    </xf>
    <xf numFmtId="0" fontId="9" fillId="6" borderId="26" xfId="5" applyFont="1" applyFill="1" applyBorder="1" applyAlignment="1">
      <alignment horizontal="left" vertical="center"/>
    </xf>
    <xf numFmtId="0" fontId="9" fillId="6" borderId="27" xfId="5" applyFont="1" applyFill="1" applyBorder="1" applyAlignment="1">
      <alignment horizontal="left" vertical="center"/>
    </xf>
    <xf numFmtId="0" fontId="7" fillId="6" borderId="27" xfId="0" applyFont="1" applyFill="1" applyBorder="1" applyAlignment="1">
      <alignment horizontal="right"/>
    </xf>
    <xf numFmtId="0" fontId="7" fillId="6" borderId="27" xfId="0" applyFont="1" applyFill="1" applyBorder="1" applyAlignment="1">
      <alignment horizontal="center"/>
    </xf>
    <xf numFmtId="0" fontId="7" fillId="6" borderId="28" xfId="0" applyFont="1" applyFill="1" applyBorder="1" applyAlignment="1">
      <alignment horizontal="center"/>
    </xf>
    <xf numFmtId="0" fontId="10" fillId="6" borderId="29" xfId="5" applyFont="1" applyFill="1" applyBorder="1" applyAlignment="1">
      <alignment vertical="center"/>
    </xf>
    <xf numFmtId="0" fontId="10" fillId="6" borderId="30" xfId="4" applyFont="1" applyFill="1" applyBorder="1"/>
    <xf numFmtId="0" fontId="7" fillId="6" borderId="30" xfId="0" applyFont="1" applyFill="1" applyBorder="1" applyAlignment="1">
      <alignment horizontal="right"/>
    </xf>
    <xf numFmtId="0" fontId="7" fillId="6" borderId="30" xfId="0" applyFont="1" applyFill="1" applyBorder="1" applyAlignment="1">
      <alignment horizontal="center"/>
    </xf>
    <xf numFmtId="0" fontId="7" fillId="6" borderId="31" xfId="0" applyFont="1" applyFill="1" applyBorder="1" applyAlignment="1">
      <alignment horizontal="center"/>
    </xf>
    <xf numFmtId="0" fontId="10" fillId="0" borderId="14" xfId="4" applyFont="1" applyBorder="1" applyAlignment="1">
      <alignment horizontal="center" vertical="center" wrapText="1"/>
    </xf>
    <xf numFmtId="0" fontId="7" fillId="0" borderId="0" xfId="0" applyFont="1"/>
    <xf numFmtId="0" fontId="10" fillId="0" borderId="0" xfId="4" applyFont="1" applyAlignment="1">
      <alignment horizontal="center" vertical="center"/>
    </xf>
    <xf numFmtId="164" fontId="10" fillId="0" borderId="0" xfId="5" applyNumberFormat="1" applyFont="1" applyAlignment="1">
      <alignment horizontal="left" vertical="center"/>
    </xf>
    <xf numFmtId="0" fontId="10" fillId="0" borderId="30" xfId="4" applyFont="1" applyBorder="1" applyAlignment="1">
      <alignment horizontal="left" vertical="center"/>
    </xf>
    <xf numFmtId="0" fontId="10" fillId="0" borderId="31" xfId="4" applyFont="1" applyBorder="1" applyAlignment="1">
      <alignment horizontal="left" vertical="center"/>
    </xf>
    <xf numFmtId="49" fontId="1" fillId="3" borderId="10" xfId="2" applyNumberForma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9" fillId="0" borderId="32" xfId="4" applyFont="1" applyBorder="1" applyAlignment="1">
      <alignment horizontal="left"/>
    </xf>
    <xf numFmtId="0" fontId="9" fillId="0" borderId="0" xfId="4" applyFont="1" applyAlignment="1">
      <alignment horizontal="left"/>
    </xf>
    <xf numFmtId="0" fontId="10" fillId="0" borderId="0" xfId="4" applyFont="1" applyAlignment="1">
      <alignment horizontal="left" vertical="center"/>
    </xf>
    <xf numFmtId="0" fontId="10" fillId="0" borderId="0" xfId="4" applyFont="1" applyAlignment="1">
      <alignment vertical="center"/>
    </xf>
    <xf numFmtId="0" fontId="10" fillId="0" borderId="12" xfId="4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9" fillId="0" borderId="26" xfId="4" applyFont="1" applyBorder="1" applyAlignment="1">
      <alignment horizontal="left" vertical="center"/>
    </xf>
    <xf numFmtId="0" fontId="9" fillId="0" borderId="27" xfId="4" applyFont="1" applyBorder="1" applyAlignment="1">
      <alignment horizontal="left" vertical="center"/>
    </xf>
    <xf numFmtId="0" fontId="9" fillId="0" borderId="0" xfId="4" applyFont="1" applyAlignment="1">
      <alignment vertical="center"/>
    </xf>
    <xf numFmtId="0" fontId="10" fillId="0" borderId="30" xfId="4" applyFont="1" applyBorder="1" applyAlignment="1">
      <alignment horizontal="left" vertical="center"/>
    </xf>
    <xf numFmtId="0" fontId="9" fillId="0" borderId="32" xfId="4" applyFont="1" applyBorder="1" applyAlignment="1">
      <alignment horizontal="left" vertical="center"/>
    </xf>
    <xf numFmtId="0" fontId="9" fillId="0" borderId="0" xfId="4" applyFont="1" applyAlignment="1">
      <alignment horizontal="left" vertical="center"/>
    </xf>
    <xf numFmtId="0" fontId="4" fillId="0" borderId="2" xfId="0" applyFont="1" applyBorder="1" applyAlignment="1"/>
  </cellXfs>
  <cellStyles count="6">
    <cellStyle name="Énfasis1" xfId="1" builtinId="29"/>
    <cellStyle name="Énfasis2" xfId="2" builtinId="33"/>
    <cellStyle name="Énfasis6" xfId="3" builtinId="49"/>
    <cellStyle name="Normal" xfId="0" builtinId="0"/>
    <cellStyle name="Normal 4" xfId="4" xr:uid="{0AEFD8E6-BF7D-46BE-845B-2A0395CF0DBF}"/>
    <cellStyle name="Normal 5" xfId="5" xr:uid="{A9B6FBA5-36AA-433E-A08B-BC16FE2EA8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2391-C9EC-4557-B95E-E098D4F14E53}">
  <dimension ref="A1:U7"/>
  <sheetViews>
    <sheetView workbookViewId="0">
      <selection activeCell="U4" sqref="U4"/>
    </sheetView>
  </sheetViews>
  <sheetFormatPr defaultColWidth="11.42578125" defaultRowHeight="14.45"/>
  <cols>
    <col min="1" max="1" width="19.28515625" bestFit="1" customWidth="1"/>
    <col min="2" max="2" width="8.5703125" bestFit="1" customWidth="1"/>
    <col min="4" max="5" width="2.42578125" bestFit="1" customWidth="1"/>
    <col min="7" max="7" width="12.85546875" bestFit="1" customWidth="1"/>
    <col min="8" max="8" width="15.140625" bestFit="1" customWidth="1"/>
    <col min="9" max="9" width="10.28515625" bestFit="1" customWidth="1"/>
    <col min="11" max="11" width="10" bestFit="1" customWidth="1"/>
    <col min="12" max="12" width="17.42578125" bestFit="1" customWidth="1"/>
    <col min="14" max="14" width="15.140625" hidden="1" customWidth="1"/>
    <col min="15" max="15" width="13" hidden="1" customWidth="1"/>
    <col min="16" max="19" width="0" hidden="1" customWidth="1"/>
  </cols>
  <sheetData>
    <row r="1" spans="1:21" ht="12" customHeight="1">
      <c r="A1" s="5"/>
      <c r="B1" s="6"/>
      <c r="C1" s="6"/>
      <c r="D1" s="6"/>
      <c r="E1" s="6"/>
      <c r="F1" s="6"/>
      <c r="G1" s="7" t="s">
        <v>0</v>
      </c>
      <c r="H1" s="8">
        <v>15</v>
      </c>
      <c r="I1" s="8">
        <v>1</v>
      </c>
      <c r="J1" s="8">
        <v>4</v>
      </c>
      <c r="K1" s="8">
        <v>9</v>
      </c>
      <c r="L1" s="3"/>
      <c r="M1" s="3"/>
      <c r="N1" s="3"/>
      <c r="O1" s="3"/>
      <c r="P1" s="3"/>
      <c r="Q1" s="3"/>
    </row>
    <row r="2" spans="1:21" ht="12" customHeight="1" thickBot="1">
      <c r="A2" s="4"/>
      <c r="B2" s="9"/>
      <c r="C2" s="10"/>
      <c r="D2" s="10"/>
      <c r="E2" s="10"/>
      <c r="F2" s="10"/>
      <c r="G2" s="7" t="s">
        <v>1</v>
      </c>
      <c r="H2" s="8">
        <v>1</v>
      </c>
      <c r="I2" s="8">
        <v>1</v>
      </c>
      <c r="J2" s="8">
        <v>1</v>
      </c>
      <c r="K2" s="8">
        <v>1</v>
      </c>
      <c r="L2" s="3"/>
      <c r="M2" s="3"/>
      <c r="N2" s="3"/>
      <c r="O2" s="3"/>
      <c r="P2" s="3"/>
      <c r="Q2" s="3"/>
    </row>
    <row r="3" spans="1:21" ht="60.75" customHeight="1" thickBot="1">
      <c r="A3" s="5" t="s">
        <v>2</v>
      </c>
      <c r="B3" s="11" t="s">
        <v>3</v>
      </c>
      <c r="C3" s="12"/>
      <c r="D3" s="12"/>
      <c r="E3" s="12"/>
      <c r="F3" s="12"/>
      <c r="G3" s="13"/>
      <c r="H3" s="14" t="s">
        <v>4</v>
      </c>
      <c r="I3" s="14" t="s">
        <v>5</v>
      </c>
      <c r="J3" s="14" t="s">
        <v>6</v>
      </c>
      <c r="K3" s="32" t="s">
        <v>7</v>
      </c>
      <c r="L3" s="39" t="s">
        <v>8</v>
      </c>
      <c r="M3" s="3"/>
      <c r="N3" s="36" t="s">
        <v>9</v>
      </c>
      <c r="O3" s="37" t="s">
        <v>3</v>
      </c>
      <c r="P3" s="37" t="s">
        <v>10</v>
      </c>
      <c r="Q3" s="37" t="s">
        <v>11</v>
      </c>
      <c r="R3" s="37" t="s">
        <v>12</v>
      </c>
      <c r="S3" s="38" t="s">
        <v>13</v>
      </c>
      <c r="U3" s="33" t="s">
        <v>14</v>
      </c>
    </row>
    <row r="4" spans="1:21" ht="15" customHeight="1" thickBot="1">
      <c r="A4" s="1" t="s">
        <v>15</v>
      </c>
      <c r="B4" s="86" t="s">
        <v>16</v>
      </c>
      <c r="C4" s="100"/>
      <c r="D4" s="100"/>
      <c r="E4" s="100"/>
      <c r="F4" s="100"/>
      <c r="G4" s="2" t="s">
        <v>17</v>
      </c>
      <c r="H4" s="28">
        <f>SUM(I4:K4)</f>
        <v>0</v>
      </c>
      <c r="I4" s="28">
        <v>0</v>
      </c>
      <c r="J4" s="29">
        <v>0</v>
      </c>
      <c r="K4" s="30">
        <v>0</v>
      </c>
      <c r="L4" s="31" t="s">
        <v>18</v>
      </c>
      <c r="M4" s="3"/>
      <c r="N4" s="34" t="str">
        <f>$L$4</f>
        <v>2021-10-30</v>
      </c>
      <c r="O4" s="19" t="str">
        <f>$A$4</f>
        <v>101800103003</v>
      </c>
      <c r="P4" s="19" t="s">
        <v>19</v>
      </c>
      <c r="Q4" s="20">
        <v>9</v>
      </c>
      <c r="R4" s="21">
        <v>1</v>
      </c>
      <c r="S4" s="35">
        <f>K4</f>
        <v>0</v>
      </c>
      <c r="U4" t="str">
        <f>"INSERT INTO REPORTWARE.RWH_IFRS9_R04A0419 (FECHA, PERIODO,CONCEPTO, SUBREPORTE, MONEDA, TIPO_SALDO, DATO) VALUES ('"&amp;N4&amp;"','"&amp;N4&amp;"','"&amp;O4&amp;"','"&amp;P4&amp;"','"&amp;Q4&amp;"','"&amp;R4&amp;"','"&amp;S4&amp;"')"</f>
        <v>INSERT INTO REPORTWARE.RWH_IFRS9_R04A0419 (FECHA, PERIODO,CONCEPTO, SUBREPORTE, MONEDA, TIPO_SALDO, DATO) VALUES ('2021-10-30','2021-10-30','101800103003','0419','9','1','0')</v>
      </c>
    </row>
    <row r="5" spans="1:21">
      <c r="N5" s="22" t="str">
        <f>$L$4</f>
        <v>2021-10-30</v>
      </c>
      <c r="O5" s="17" t="str">
        <f t="shared" ref="O5:O7" si="0">$A$4</f>
        <v>101800103003</v>
      </c>
      <c r="P5" s="17" t="s">
        <v>19</v>
      </c>
      <c r="Q5" s="18">
        <f>J1</f>
        <v>4</v>
      </c>
      <c r="R5" s="18">
        <v>1</v>
      </c>
      <c r="S5" s="23">
        <f>J4</f>
        <v>0</v>
      </c>
      <c r="U5" t="str">
        <f t="shared" ref="U5:U7" si="1">"INSERT INTO REPORTWARE.RWH_IFRS9_R04A0419 (FECHA, PERIODO,CONCEPTO, SUBREPORTE, MONEDA, TIPO_SALDO, DATO) VALUES ('"&amp;N5&amp;"','"&amp;N5&amp;"','"&amp;O5&amp;"','"&amp;P5&amp;"','"&amp;Q5&amp;"','"&amp;R5&amp;"','"&amp;S5&amp;"')"</f>
        <v>INSERT INTO REPORTWARE.RWH_IFRS9_R04A0419 (FECHA, PERIODO,CONCEPTO, SUBREPORTE, MONEDA, TIPO_SALDO, DATO) VALUES ('2021-10-30','2021-10-30','101800103003','0419','4','1','0')</v>
      </c>
    </row>
    <row r="6" spans="1:21">
      <c r="N6" s="22" t="str">
        <f t="shared" ref="N6:N7" si="2">$L$4</f>
        <v>2021-10-30</v>
      </c>
      <c r="O6" s="17" t="str">
        <f t="shared" si="0"/>
        <v>101800103003</v>
      </c>
      <c r="P6" s="17" t="s">
        <v>19</v>
      </c>
      <c r="Q6" s="18">
        <f>I1</f>
        <v>1</v>
      </c>
      <c r="R6" s="18">
        <v>1</v>
      </c>
      <c r="S6" s="23">
        <f>I4</f>
        <v>0</v>
      </c>
      <c r="U6" t="str">
        <f t="shared" si="1"/>
        <v>INSERT INTO REPORTWARE.RWH_IFRS9_R04A0419 (FECHA, PERIODO,CONCEPTO, SUBREPORTE, MONEDA, TIPO_SALDO, DATO) VALUES ('2021-10-30','2021-10-30','101800103003','0419','1','1','0')</v>
      </c>
    </row>
    <row r="7" spans="1:21" ht="15" thickBot="1">
      <c r="N7" s="24" t="str">
        <f t="shared" si="2"/>
        <v>2021-10-30</v>
      </c>
      <c r="O7" s="25" t="str">
        <f t="shared" si="0"/>
        <v>101800103003</v>
      </c>
      <c r="P7" s="25" t="s">
        <v>19</v>
      </c>
      <c r="Q7" s="26">
        <f>H1</f>
        <v>15</v>
      </c>
      <c r="R7" s="26">
        <v>1</v>
      </c>
      <c r="S7" s="27">
        <f>H4</f>
        <v>0</v>
      </c>
      <c r="U7" t="str">
        <f t="shared" si="1"/>
        <v>INSERT INTO REPORTWARE.RWH_IFRS9_R04A0419 (FECHA, PERIODO,CONCEPTO, SUBREPORTE, MONEDA, TIPO_SALDO, DATO) VALUES ('2021-10-30','2021-10-30','101800103003','0419','15','1','0')</v>
      </c>
    </row>
  </sheetData>
  <mergeCells count="1">
    <mergeCell ref="B4:F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AA58-4FFE-4B83-BF6F-82EA1E94BCF4}">
  <dimension ref="A1:Z503"/>
  <sheetViews>
    <sheetView workbookViewId="0">
      <selection activeCell="Z4" sqref="Z4"/>
    </sheetView>
  </sheetViews>
  <sheetFormatPr defaultColWidth="11.42578125" defaultRowHeight="14.45"/>
  <cols>
    <col min="1" max="1" width="13" bestFit="1" customWidth="1"/>
    <col min="3" max="3" width="13" bestFit="1" customWidth="1"/>
    <col min="5" max="6" width="3.7109375" customWidth="1"/>
    <col min="7" max="7" width="3.85546875" customWidth="1"/>
    <col min="8" max="8" width="3.42578125" customWidth="1"/>
    <col min="11" max="11" width="22.42578125" customWidth="1"/>
    <col min="12" max="12" width="11.42578125" hidden="1" customWidth="1"/>
    <col min="17" max="17" width="17.140625" customWidth="1"/>
    <col min="19" max="19" width="0" hidden="1" customWidth="1"/>
    <col min="20" max="20" width="13" hidden="1" customWidth="1"/>
    <col min="21" max="21" width="0" style="16" hidden="1" customWidth="1"/>
    <col min="22" max="24" width="0" hidden="1" customWidth="1"/>
  </cols>
  <sheetData>
    <row r="1" spans="1:26">
      <c r="A1" s="51" t="s">
        <v>20</v>
      </c>
      <c r="B1" s="52"/>
      <c r="C1" s="51"/>
      <c r="D1" s="52"/>
      <c r="E1" s="69"/>
      <c r="F1" s="70"/>
      <c r="G1" s="70"/>
      <c r="H1" s="70"/>
      <c r="I1" s="70"/>
      <c r="J1" s="70"/>
      <c r="K1" s="70"/>
      <c r="L1" s="71" t="s">
        <v>0</v>
      </c>
      <c r="M1" s="72">
        <v>15</v>
      </c>
      <c r="N1" s="72">
        <v>1</v>
      </c>
      <c r="O1" s="72">
        <v>4</v>
      </c>
      <c r="P1" s="73">
        <v>9</v>
      </c>
    </row>
    <row r="2" spans="1:26" ht="15" thickBot="1">
      <c r="A2" s="51"/>
      <c r="B2" s="52"/>
      <c r="C2" s="51"/>
      <c r="D2" s="52"/>
      <c r="E2" s="74"/>
      <c r="F2" s="75"/>
      <c r="G2" s="75"/>
      <c r="H2" s="75"/>
      <c r="I2" s="75"/>
      <c r="J2" s="75"/>
      <c r="K2" s="75"/>
      <c r="L2" s="76" t="s">
        <v>1</v>
      </c>
      <c r="M2" s="77">
        <v>1</v>
      </c>
      <c r="N2" s="77">
        <v>1</v>
      </c>
      <c r="O2" s="77">
        <v>1</v>
      </c>
      <c r="P2" s="78">
        <v>1</v>
      </c>
    </row>
    <row r="3" spans="1:26" ht="108.6" thickBot="1">
      <c r="A3" s="52" t="s">
        <v>21</v>
      </c>
      <c r="B3" s="52" t="s">
        <v>22</v>
      </c>
      <c r="C3" s="53" t="s">
        <v>23</v>
      </c>
      <c r="D3" s="52" t="s">
        <v>24</v>
      </c>
      <c r="E3" s="91" t="s">
        <v>3</v>
      </c>
      <c r="F3" s="92"/>
      <c r="G3" s="92"/>
      <c r="H3" s="92"/>
      <c r="I3" s="92"/>
      <c r="J3" s="92"/>
      <c r="K3" s="92"/>
      <c r="L3" s="93"/>
      <c r="M3" s="59" t="s">
        <v>25</v>
      </c>
      <c r="N3" s="59" t="s">
        <v>26</v>
      </c>
      <c r="O3" s="59" t="s">
        <v>27</v>
      </c>
      <c r="P3" s="79" t="s">
        <v>28</v>
      </c>
      <c r="Q3" s="39" t="s">
        <v>8</v>
      </c>
      <c r="S3" s="36" t="s">
        <v>9</v>
      </c>
      <c r="T3" s="65" t="s">
        <v>3</v>
      </c>
      <c r="U3" s="68" t="s">
        <v>10</v>
      </c>
      <c r="V3" s="65" t="s">
        <v>11</v>
      </c>
      <c r="W3" s="65" t="s">
        <v>12</v>
      </c>
      <c r="X3" s="66" t="s">
        <v>13</v>
      </c>
      <c r="Z3" s="33" t="s">
        <v>14</v>
      </c>
    </row>
    <row r="4" spans="1:26" ht="15" thickBot="1">
      <c r="A4" s="40" t="s">
        <v>29</v>
      </c>
      <c r="B4" s="41" t="s">
        <v>30</v>
      </c>
      <c r="C4" s="80" t="s">
        <v>30</v>
      </c>
      <c r="D4" s="41" t="s">
        <v>30</v>
      </c>
      <c r="E4" s="98" t="s">
        <v>31</v>
      </c>
      <c r="F4" s="99"/>
      <c r="G4" s="99"/>
      <c r="H4" s="99"/>
      <c r="I4" s="99"/>
      <c r="J4" s="99"/>
      <c r="K4" s="99"/>
      <c r="L4" s="81"/>
      <c r="M4" s="44">
        <f>SUM(M5,M49,M58)</f>
        <v>0</v>
      </c>
      <c r="N4" s="44">
        <f>SUM(N5,N49,N58)</f>
        <v>0</v>
      </c>
      <c r="O4" s="44">
        <f>SUM(O5,O49,O58)</f>
        <v>0</v>
      </c>
      <c r="P4" s="44">
        <f>SUM(P5,P49,P58)</f>
        <v>0</v>
      </c>
      <c r="Q4" s="85" t="s">
        <v>32</v>
      </c>
      <c r="S4" s="16" t="str">
        <f>$Q$4</f>
        <v>2021-10-31</v>
      </c>
      <c r="T4" t="str">
        <f>A4</f>
        <v>101800104001</v>
      </c>
      <c r="U4" s="16" t="s">
        <v>33</v>
      </c>
      <c r="V4">
        <v>9</v>
      </c>
      <c r="W4">
        <v>1</v>
      </c>
      <c r="X4" s="15">
        <f>P4</f>
        <v>0</v>
      </c>
      <c r="Z4" t="str">
        <f>"INSERT INTO REPORTWARE.RWH_IFRS9_R04A0424 (FECHA, PERIODO,CONCEPTO, SUBREPORTE, MONEDA, TIPO_SALDO, DATO) VALUES ('"&amp;S4&amp;"','"&amp;S4&amp;"','"&amp;T4&amp;"','"&amp;U4&amp;"','"&amp;V4&amp;"','"&amp;W4&amp;"','"&amp;X4&amp;"')"</f>
        <v>INSERT INTO REPORTWARE.RWH_IFRS9_R04A0424 (FECHA, PERIODO,CONCEPTO, SUBREPORTE, MONEDA, TIPO_SALDO, DATO) VALUES ('2021-10-31','2021-10-31','101800104001','0424','9','1','0')</v>
      </c>
    </row>
    <row r="5" spans="1:26">
      <c r="A5" s="40" t="s">
        <v>34</v>
      </c>
      <c r="B5" s="41" t="s">
        <v>35</v>
      </c>
      <c r="C5" s="40" t="s">
        <v>29</v>
      </c>
      <c r="D5" s="41" t="s">
        <v>30</v>
      </c>
      <c r="E5" s="46"/>
      <c r="F5" s="96" t="s">
        <v>36</v>
      </c>
      <c r="G5" s="96"/>
      <c r="H5" s="96"/>
      <c r="I5" s="96"/>
      <c r="J5" s="96"/>
      <c r="K5" s="96"/>
      <c r="L5" s="81"/>
      <c r="M5" s="44">
        <f>SUM(M6,M22,M31)</f>
        <v>0</v>
      </c>
      <c r="N5" s="44">
        <f>SUM(N6,N22,N31)</f>
        <v>0</v>
      </c>
      <c r="O5" s="44">
        <f>SUM(O6,O22,O31)</f>
        <v>0</v>
      </c>
      <c r="P5" s="44">
        <f>SUM(P6,P22,P31)</f>
        <v>0</v>
      </c>
      <c r="S5" s="16" t="str">
        <f t="shared" ref="S5:S68" si="0">$Q$4</f>
        <v>2021-10-31</v>
      </c>
      <c r="T5" t="str">
        <f t="shared" ref="T5:T68" si="1">A5</f>
        <v>111800105001</v>
      </c>
      <c r="U5" s="16" t="s">
        <v>33</v>
      </c>
      <c r="V5">
        <v>9</v>
      </c>
      <c r="W5">
        <v>1</v>
      </c>
      <c r="X5" s="15">
        <f t="shared" ref="X5:X68" si="2">P5</f>
        <v>0</v>
      </c>
      <c r="Z5" t="str">
        <f t="shared" ref="Z5:Z68" si="3">"INSERT INTO REPORTWARE.RWH_IFRS9_R04A0424 (FECHA, PERIODO,CONCEPTO, SUBREPORTE, MONEDA, TIPO_SALDO, DATO) VALUES ('"&amp;S5&amp;"','"&amp;S5&amp;"','"&amp;T5&amp;"','"&amp;U5&amp;"','"&amp;V5&amp;"','"&amp;W5&amp;"','"&amp;X5&amp;"')"</f>
        <v>INSERT INTO REPORTWARE.RWH_IFRS9_R04A0424 (FECHA, PERIODO,CONCEPTO, SUBREPORTE, MONEDA, TIPO_SALDO, DATO) VALUES ('2021-10-31','2021-10-31','111800105001','0424','9','1','0')</v>
      </c>
    </row>
    <row r="6" spans="1:26">
      <c r="A6" s="40" t="s">
        <v>37</v>
      </c>
      <c r="B6" s="41" t="s">
        <v>38</v>
      </c>
      <c r="C6" s="40" t="s">
        <v>34</v>
      </c>
      <c r="D6" s="41" t="s">
        <v>30</v>
      </c>
      <c r="E6" s="46"/>
      <c r="F6" s="47"/>
      <c r="G6" s="90" t="s">
        <v>39</v>
      </c>
      <c r="H6" s="90"/>
      <c r="I6" s="90"/>
      <c r="J6" s="90"/>
      <c r="K6" s="90"/>
      <c r="L6" s="48"/>
      <c r="M6" s="44">
        <f>SUM(M7,M10,M14,M17,M18,M19,M20,M21)</f>
        <v>0</v>
      </c>
      <c r="N6" s="44">
        <f>SUM(N7,N10,N14,N17,N18,N19,N20,N21)</f>
        <v>0</v>
      </c>
      <c r="O6" s="44">
        <f>SUM(O7,O10,O14,O17,O18,O19,O20,O21)</f>
        <v>0</v>
      </c>
      <c r="P6" s="44">
        <f>SUM(P7,P10,P14,P17,P18,P19,P20,P21)</f>
        <v>0</v>
      </c>
      <c r="S6" s="16" t="str">
        <f t="shared" si="0"/>
        <v>2021-10-31</v>
      </c>
      <c r="T6" t="str">
        <f t="shared" si="1"/>
        <v>111800106001</v>
      </c>
      <c r="U6" s="16" t="s">
        <v>33</v>
      </c>
      <c r="V6">
        <v>9</v>
      </c>
      <c r="W6">
        <v>1</v>
      </c>
      <c r="X6" s="15">
        <f t="shared" si="2"/>
        <v>0</v>
      </c>
      <c r="Z6" t="str">
        <f t="shared" si="3"/>
        <v>INSERT INTO REPORTWARE.RWH_IFRS9_R04A0424 (FECHA, PERIODO,CONCEPTO, SUBREPORTE, MONEDA, TIPO_SALDO, DATO) VALUES ('2021-10-31','2021-10-31','111800106001','0424','9','1','0')</v>
      </c>
    </row>
    <row r="7" spans="1:26">
      <c r="A7" s="40" t="s">
        <v>40</v>
      </c>
      <c r="B7" s="41" t="s">
        <v>41</v>
      </c>
      <c r="C7" s="40" t="s">
        <v>37</v>
      </c>
      <c r="D7" s="41" t="s">
        <v>30</v>
      </c>
      <c r="E7" s="46"/>
      <c r="F7" s="47"/>
      <c r="G7" s="47"/>
      <c r="H7" s="90" t="s">
        <v>42</v>
      </c>
      <c r="I7" s="90"/>
      <c r="J7" s="90"/>
      <c r="K7" s="90"/>
      <c r="L7" s="48"/>
      <c r="M7" s="44">
        <f>SUM(M8:M9)</f>
        <v>0</v>
      </c>
      <c r="N7" s="44">
        <f>SUM(N8:N9)</f>
        <v>0</v>
      </c>
      <c r="O7" s="44">
        <f>SUM(O8:O9)</f>
        <v>0</v>
      </c>
      <c r="P7" s="44">
        <f>SUM(P8:P9)</f>
        <v>0</v>
      </c>
      <c r="S7" s="16" t="str">
        <f t="shared" si="0"/>
        <v>2021-10-31</v>
      </c>
      <c r="T7" t="str">
        <f t="shared" si="1"/>
        <v>111800107001</v>
      </c>
      <c r="U7" s="16" t="s">
        <v>33</v>
      </c>
      <c r="V7">
        <v>9</v>
      </c>
      <c r="W7">
        <v>1</v>
      </c>
      <c r="X7" s="15">
        <f t="shared" si="2"/>
        <v>0</v>
      </c>
      <c r="Z7" t="str">
        <f t="shared" si="3"/>
        <v>INSERT INTO REPORTWARE.RWH_IFRS9_R04A0424 (FECHA, PERIODO,CONCEPTO, SUBREPORTE, MONEDA, TIPO_SALDO, DATO) VALUES ('2021-10-31','2021-10-31','111800107001','0424','9','1','0')</v>
      </c>
    </row>
    <row r="8" spans="1:26">
      <c r="A8" s="40" t="s">
        <v>43</v>
      </c>
      <c r="B8" s="41" t="s">
        <v>44</v>
      </c>
      <c r="C8" s="40" t="s">
        <v>40</v>
      </c>
      <c r="D8" s="41" t="s">
        <v>35</v>
      </c>
      <c r="E8" s="46"/>
      <c r="F8" s="47"/>
      <c r="G8" s="47"/>
      <c r="H8" s="47"/>
      <c r="I8" s="90" t="s">
        <v>45</v>
      </c>
      <c r="J8" s="90"/>
      <c r="K8" s="90"/>
      <c r="L8" s="48"/>
      <c r="M8" s="44">
        <f>SUM(N8:P8)</f>
        <v>0</v>
      </c>
      <c r="N8" s="82">
        <v>0</v>
      </c>
      <c r="O8" s="44">
        <v>0</v>
      </c>
      <c r="P8" s="44">
        <v>0</v>
      </c>
      <c r="S8" s="16" t="str">
        <f t="shared" si="0"/>
        <v>2021-10-31</v>
      </c>
      <c r="T8" t="str">
        <f t="shared" si="1"/>
        <v>111800108001</v>
      </c>
      <c r="U8" s="16" t="s">
        <v>33</v>
      </c>
      <c r="V8">
        <v>9</v>
      </c>
      <c r="W8">
        <v>1</v>
      </c>
      <c r="X8" s="15">
        <f t="shared" si="2"/>
        <v>0</v>
      </c>
      <c r="Z8" t="str">
        <f t="shared" si="3"/>
        <v>INSERT INTO REPORTWARE.RWH_IFRS9_R04A0424 (FECHA, PERIODO,CONCEPTO, SUBREPORTE, MONEDA, TIPO_SALDO, DATO) VALUES ('2021-10-31','2021-10-31','111800108001','0424','9','1','0')</v>
      </c>
    </row>
    <row r="9" spans="1:26">
      <c r="A9" s="40" t="s">
        <v>46</v>
      </c>
      <c r="B9" s="41" t="s">
        <v>44</v>
      </c>
      <c r="C9" s="40" t="s">
        <v>40</v>
      </c>
      <c r="D9" s="41" t="s">
        <v>35</v>
      </c>
      <c r="E9" s="46"/>
      <c r="F9" s="47"/>
      <c r="G9" s="47"/>
      <c r="H9" s="47"/>
      <c r="I9" s="90" t="s">
        <v>47</v>
      </c>
      <c r="J9" s="90"/>
      <c r="K9" s="90"/>
      <c r="L9" s="48"/>
      <c r="M9" s="44">
        <f>SUM(N9:P9)</f>
        <v>0</v>
      </c>
      <c r="N9" s="82">
        <v>0</v>
      </c>
      <c r="O9" s="44">
        <v>0</v>
      </c>
      <c r="P9" s="44">
        <v>0</v>
      </c>
      <c r="S9" s="16" t="str">
        <f t="shared" si="0"/>
        <v>2021-10-31</v>
      </c>
      <c r="T9" t="str">
        <f t="shared" si="1"/>
        <v>111800108002</v>
      </c>
      <c r="U9" s="16" t="s">
        <v>33</v>
      </c>
      <c r="V9">
        <v>9</v>
      </c>
      <c r="W9">
        <v>1</v>
      </c>
      <c r="X9" s="15">
        <f t="shared" si="2"/>
        <v>0</v>
      </c>
      <c r="Z9" t="str">
        <f t="shared" si="3"/>
        <v>INSERT INTO REPORTWARE.RWH_IFRS9_R04A0424 (FECHA, PERIODO,CONCEPTO, SUBREPORTE, MONEDA, TIPO_SALDO, DATO) VALUES ('2021-10-31','2021-10-31','111800108002','0424','9','1','0')</v>
      </c>
    </row>
    <row r="10" spans="1:26">
      <c r="A10" s="40" t="s">
        <v>48</v>
      </c>
      <c r="B10" s="41" t="s">
        <v>41</v>
      </c>
      <c r="C10" s="40" t="s">
        <v>37</v>
      </c>
      <c r="D10" s="41" t="s">
        <v>30</v>
      </c>
      <c r="E10" s="46"/>
      <c r="F10" s="47"/>
      <c r="G10" s="47"/>
      <c r="H10" s="90" t="s">
        <v>49</v>
      </c>
      <c r="I10" s="90"/>
      <c r="J10" s="90"/>
      <c r="K10" s="90"/>
      <c r="L10" s="48"/>
      <c r="M10" s="44">
        <f>SUM(M11:M13)</f>
        <v>0</v>
      </c>
      <c r="N10" s="44">
        <f>SUM(N11:N13)</f>
        <v>0</v>
      </c>
      <c r="O10" s="44">
        <f>SUM(O11:O13)</f>
        <v>0</v>
      </c>
      <c r="P10" s="44">
        <f>SUM(P11:P13)</f>
        <v>0</v>
      </c>
      <c r="S10" s="16" t="str">
        <f t="shared" si="0"/>
        <v>2021-10-31</v>
      </c>
      <c r="T10" t="str">
        <f t="shared" si="1"/>
        <v>111800107002</v>
      </c>
      <c r="U10" s="16" t="s">
        <v>33</v>
      </c>
      <c r="V10">
        <v>9</v>
      </c>
      <c r="W10">
        <v>1</v>
      </c>
      <c r="X10" s="15">
        <f t="shared" si="2"/>
        <v>0</v>
      </c>
      <c r="Z10" t="str">
        <f t="shared" si="3"/>
        <v>INSERT INTO REPORTWARE.RWH_IFRS9_R04A0424 (FECHA, PERIODO,CONCEPTO, SUBREPORTE, MONEDA, TIPO_SALDO, DATO) VALUES ('2021-10-31','2021-10-31','111800107002','0424','9','1','0')</v>
      </c>
    </row>
    <row r="11" spans="1:26">
      <c r="A11" s="40" t="s">
        <v>50</v>
      </c>
      <c r="B11" s="41" t="s">
        <v>44</v>
      </c>
      <c r="C11" s="40" t="s">
        <v>48</v>
      </c>
      <c r="D11" s="41" t="s">
        <v>35</v>
      </c>
      <c r="E11" s="46"/>
      <c r="F11" s="47"/>
      <c r="G11" s="47"/>
      <c r="H11" s="47"/>
      <c r="I11" s="90" t="s">
        <v>51</v>
      </c>
      <c r="J11" s="90"/>
      <c r="K11" s="90"/>
      <c r="L11" s="48"/>
      <c r="M11" s="44">
        <f>SUM(N11:P11)</f>
        <v>0</v>
      </c>
      <c r="N11" s="82">
        <v>0</v>
      </c>
      <c r="O11" s="44">
        <v>0</v>
      </c>
      <c r="P11" s="44">
        <v>0</v>
      </c>
      <c r="S11" s="16" t="str">
        <f t="shared" si="0"/>
        <v>2021-10-31</v>
      </c>
      <c r="T11" t="str">
        <f t="shared" si="1"/>
        <v>111800208003</v>
      </c>
      <c r="U11" s="16" t="s">
        <v>33</v>
      </c>
      <c r="V11">
        <v>9</v>
      </c>
      <c r="W11">
        <v>1</v>
      </c>
      <c r="X11" s="15">
        <f t="shared" si="2"/>
        <v>0</v>
      </c>
      <c r="Z11" t="str">
        <f t="shared" si="3"/>
        <v>INSERT INTO REPORTWARE.RWH_IFRS9_R04A0424 (FECHA, PERIODO,CONCEPTO, SUBREPORTE, MONEDA, TIPO_SALDO, DATO) VALUES ('2021-10-31','2021-10-31','111800208003','0424','9','1','0')</v>
      </c>
    </row>
    <row r="12" spans="1:26">
      <c r="A12" s="40" t="s">
        <v>52</v>
      </c>
      <c r="B12" s="41" t="s">
        <v>44</v>
      </c>
      <c r="C12" s="40" t="s">
        <v>48</v>
      </c>
      <c r="D12" s="41" t="s">
        <v>35</v>
      </c>
      <c r="E12" s="46"/>
      <c r="F12" s="47"/>
      <c r="G12" s="47"/>
      <c r="H12" s="47"/>
      <c r="I12" s="90" t="s">
        <v>53</v>
      </c>
      <c r="J12" s="90"/>
      <c r="K12" s="90"/>
      <c r="L12" s="48"/>
      <c r="M12" s="44">
        <f>SUM(N12:P12)</f>
        <v>0</v>
      </c>
      <c r="N12" s="82">
        <v>0</v>
      </c>
      <c r="O12" s="44">
        <v>0</v>
      </c>
      <c r="P12" s="44">
        <v>0</v>
      </c>
      <c r="S12" s="16" t="str">
        <f t="shared" si="0"/>
        <v>2021-10-31</v>
      </c>
      <c r="T12" t="str">
        <f t="shared" si="1"/>
        <v>111800208004</v>
      </c>
      <c r="U12" s="16" t="s">
        <v>33</v>
      </c>
      <c r="V12">
        <v>9</v>
      </c>
      <c r="W12">
        <v>1</v>
      </c>
      <c r="X12" s="15">
        <f t="shared" si="2"/>
        <v>0</v>
      </c>
      <c r="Z12" t="str">
        <f t="shared" si="3"/>
        <v>INSERT INTO REPORTWARE.RWH_IFRS9_R04A0424 (FECHA, PERIODO,CONCEPTO, SUBREPORTE, MONEDA, TIPO_SALDO, DATO) VALUES ('2021-10-31','2021-10-31','111800208004','0424','9','1','0')</v>
      </c>
    </row>
    <row r="13" spans="1:26">
      <c r="A13" s="40" t="s">
        <v>54</v>
      </c>
      <c r="B13" s="41" t="s">
        <v>44</v>
      </c>
      <c r="C13" s="40" t="s">
        <v>48</v>
      </c>
      <c r="D13" s="41" t="s">
        <v>35</v>
      </c>
      <c r="E13" s="46"/>
      <c r="F13" s="47"/>
      <c r="G13" s="47"/>
      <c r="H13" s="47"/>
      <c r="I13" s="90" t="s">
        <v>47</v>
      </c>
      <c r="J13" s="90"/>
      <c r="K13" s="90"/>
      <c r="L13" s="48"/>
      <c r="M13" s="44">
        <f>SUM(N13:P13)</f>
        <v>0</v>
      </c>
      <c r="N13" s="82">
        <v>0</v>
      </c>
      <c r="O13" s="44">
        <v>0</v>
      </c>
      <c r="P13" s="44">
        <v>0</v>
      </c>
      <c r="S13" s="16" t="str">
        <f t="shared" si="0"/>
        <v>2021-10-31</v>
      </c>
      <c r="T13" t="str">
        <f t="shared" si="1"/>
        <v>111800208005</v>
      </c>
      <c r="U13" s="16" t="s">
        <v>33</v>
      </c>
      <c r="V13">
        <v>9</v>
      </c>
      <c r="W13">
        <v>1</v>
      </c>
      <c r="X13" s="15">
        <f t="shared" si="2"/>
        <v>0</v>
      </c>
      <c r="Z13" t="str">
        <f t="shared" si="3"/>
        <v>INSERT INTO REPORTWARE.RWH_IFRS9_R04A0424 (FECHA, PERIODO,CONCEPTO, SUBREPORTE, MONEDA, TIPO_SALDO, DATO) VALUES ('2021-10-31','2021-10-31','111800208005','0424','9','1','0')</v>
      </c>
    </row>
    <row r="14" spans="1:26">
      <c r="A14" s="40" t="s">
        <v>55</v>
      </c>
      <c r="B14" s="41" t="s">
        <v>41</v>
      </c>
      <c r="C14" s="40" t="s">
        <v>37</v>
      </c>
      <c r="D14" s="41" t="s">
        <v>30</v>
      </c>
      <c r="E14" s="46"/>
      <c r="F14" s="47"/>
      <c r="G14" s="47"/>
      <c r="H14" s="90" t="s">
        <v>56</v>
      </c>
      <c r="I14" s="90"/>
      <c r="J14" s="90"/>
      <c r="K14" s="90"/>
      <c r="L14" s="48"/>
      <c r="M14" s="44">
        <f>SUM(M15:M16)</f>
        <v>0</v>
      </c>
      <c r="N14" s="44">
        <f>SUM(N15:N16)</f>
        <v>0</v>
      </c>
      <c r="O14" s="44">
        <f>SUM(O15:O16)</f>
        <v>0</v>
      </c>
      <c r="P14" s="44">
        <f>SUM(P15:P16)</f>
        <v>0</v>
      </c>
      <c r="S14" s="16" t="str">
        <f t="shared" si="0"/>
        <v>2021-10-31</v>
      </c>
      <c r="T14" t="str">
        <f t="shared" si="1"/>
        <v>111800107003</v>
      </c>
      <c r="U14" s="16" t="s">
        <v>33</v>
      </c>
      <c r="V14">
        <v>9</v>
      </c>
      <c r="W14">
        <v>1</v>
      </c>
      <c r="X14" s="15">
        <f t="shared" si="2"/>
        <v>0</v>
      </c>
      <c r="Z14" t="str">
        <f t="shared" si="3"/>
        <v>INSERT INTO REPORTWARE.RWH_IFRS9_R04A0424 (FECHA, PERIODO,CONCEPTO, SUBREPORTE, MONEDA, TIPO_SALDO, DATO) VALUES ('2021-10-31','2021-10-31','111800107003','0424','9','1','0')</v>
      </c>
    </row>
    <row r="15" spans="1:26">
      <c r="A15" s="40" t="s">
        <v>57</v>
      </c>
      <c r="B15" s="41" t="s">
        <v>44</v>
      </c>
      <c r="C15" s="40" t="s">
        <v>55</v>
      </c>
      <c r="D15" s="41" t="s">
        <v>35</v>
      </c>
      <c r="E15" s="46"/>
      <c r="F15" s="47"/>
      <c r="G15" s="47"/>
      <c r="H15" s="47"/>
      <c r="I15" s="90" t="s">
        <v>58</v>
      </c>
      <c r="J15" s="90"/>
      <c r="K15" s="90"/>
      <c r="L15" s="48"/>
      <c r="M15" s="44">
        <f t="shared" ref="M15:M21" si="4">SUM(N15:P15)</f>
        <v>0</v>
      </c>
      <c r="N15" s="82">
        <v>0</v>
      </c>
      <c r="O15" s="44">
        <v>0</v>
      </c>
      <c r="P15" s="44">
        <v>0</v>
      </c>
      <c r="S15" s="16" t="str">
        <f t="shared" si="0"/>
        <v>2021-10-31</v>
      </c>
      <c r="T15" t="str">
        <f t="shared" si="1"/>
        <v>111800308006</v>
      </c>
      <c r="U15" s="16" t="s">
        <v>33</v>
      </c>
      <c r="V15">
        <v>9</v>
      </c>
      <c r="W15">
        <v>1</v>
      </c>
      <c r="X15" s="15">
        <f t="shared" si="2"/>
        <v>0</v>
      </c>
      <c r="Z15" t="str">
        <f t="shared" si="3"/>
        <v>INSERT INTO REPORTWARE.RWH_IFRS9_R04A0424 (FECHA, PERIODO,CONCEPTO, SUBREPORTE, MONEDA, TIPO_SALDO, DATO) VALUES ('2021-10-31','2021-10-31','111800308006','0424','9','1','0')</v>
      </c>
    </row>
    <row r="16" spans="1:26">
      <c r="A16" s="40" t="s">
        <v>59</v>
      </c>
      <c r="B16" s="41" t="s">
        <v>44</v>
      </c>
      <c r="C16" s="40" t="s">
        <v>55</v>
      </c>
      <c r="D16" s="41" t="s">
        <v>35</v>
      </c>
      <c r="E16" s="46"/>
      <c r="F16" s="47"/>
      <c r="G16" s="47"/>
      <c r="H16" s="47"/>
      <c r="I16" s="90" t="s">
        <v>60</v>
      </c>
      <c r="J16" s="90"/>
      <c r="K16" s="90"/>
      <c r="L16" s="48"/>
      <c r="M16" s="44">
        <f t="shared" si="4"/>
        <v>0</v>
      </c>
      <c r="N16" s="82">
        <v>0</v>
      </c>
      <c r="O16" s="44">
        <v>0</v>
      </c>
      <c r="P16" s="44">
        <v>0</v>
      </c>
      <c r="S16" s="16" t="str">
        <f t="shared" si="0"/>
        <v>2021-10-31</v>
      </c>
      <c r="T16" t="str">
        <f t="shared" si="1"/>
        <v>111800308007</v>
      </c>
      <c r="U16" s="16" t="s">
        <v>33</v>
      </c>
      <c r="V16">
        <v>9</v>
      </c>
      <c r="W16">
        <v>1</v>
      </c>
      <c r="X16" s="15">
        <f t="shared" si="2"/>
        <v>0</v>
      </c>
      <c r="Z16" t="str">
        <f t="shared" si="3"/>
        <v>INSERT INTO REPORTWARE.RWH_IFRS9_R04A0424 (FECHA, PERIODO,CONCEPTO, SUBREPORTE, MONEDA, TIPO_SALDO, DATO) VALUES ('2021-10-31','2021-10-31','111800308007','0424','9','1','0')</v>
      </c>
    </row>
    <row r="17" spans="1:26">
      <c r="A17" s="40" t="s">
        <v>61</v>
      </c>
      <c r="B17" s="41" t="s">
        <v>41</v>
      </c>
      <c r="C17" s="40" t="s">
        <v>37</v>
      </c>
      <c r="D17" s="41" t="s">
        <v>35</v>
      </c>
      <c r="E17" s="46"/>
      <c r="F17" s="47"/>
      <c r="G17" s="47"/>
      <c r="H17" s="90" t="s">
        <v>62</v>
      </c>
      <c r="I17" s="90"/>
      <c r="J17" s="90"/>
      <c r="K17" s="90"/>
      <c r="L17" s="48"/>
      <c r="M17" s="44">
        <f t="shared" si="4"/>
        <v>0</v>
      </c>
      <c r="N17" s="82">
        <v>0</v>
      </c>
      <c r="O17" s="44">
        <v>0</v>
      </c>
      <c r="P17" s="44">
        <v>0</v>
      </c>
      <c r="S17" s="16" t="str">
        <f t="shared" si="0"/>
        <v>2021-10-31</v>
      </c>
      <c r="T17" t="str">
        <f t="shared" si="1"/>
        <v>111800107004</v>
      </c>
      <c r="U17" s="16" t="s">
        <v>33</v>
      </c>
      <c r="V17">
        <v>9</v>
      </c>
      <c r="W17">
        <v>1</v>
      </c>
      <c r="X17" s="15">
        <f t="shared" si="2"/>
        <v>0</v>
      </c>
      <c r="Z17" t="str">
        <f t="shared" si="3"/>
        <v>INSERT INTO REPORTWARE.RWH_IFRS9_R04A0424 (FECHA, PERIODO,CONCEPTO, SUBREPORTE, MONEDA, TIPO_SALDO, DATO) VALUES ('2021-10-31','2021-10-31','111800107004','0424','9','1','0')</v>
      </c>
    </row>
    <row r="18" spans="1:26">
      <c r="A18" s="40" t="s">
        <v>63</v>
      </c>
      <c r="B18" s="41" t="s">
        <v>41</v>
      </c>
      <c r="C18" s="40" t="s">
        <v>37</v>
      </c>
      <c r="D18" s="41" t="s">
        <v>35</v>
      </c>
      <c r="E18" s="46"/>
      <c r="F18" s="47"/>
      <c r="G18" s="47"/>
      <c r="H18" s="90" t="s">
        <v>64</v>
      </c>
      <c r="I18" s="90"/>
      <c r="J18" s="90"/>
      <c r="K18" s="90"/>
      <c r="L18" s="48"/>
      <c r="M18" s="44">
        <f t="shared" si="4"/>
        <v>0</v>
      </c>
      <c r="N18" s="82">
        <v>0</v>
      </c>
      <c r="O18" s="44">
        <v>0</v>
      </c>
      <c r="P18" s="44">
        <v>0</v>
      </c>
      <c r="S18" s="16" t="str">
        <f t="shared" si="0"/>
        <v>2021-10-31</v>
      </c>
      <c r="T18" t="str">
        <f t="shared" si="1"/>
        <v>111800107005</v>
      </c>
      <c r="U18" s="16" t="s">
        <v>33</v>
      </c>
      <c r="V18">
        <v>9</v>
      </c>
      <c r="W18">
        <v>1</v>
      </c>
      <c r="X18" s="15">
        <f t="shared" si="2"/>
        <v>0</v>
      </c>
      <c r="Z18" t="str">
        <f t="shared" si="3"/>
        <v>INSERT INTO REPORTWARE.RWH_IFRS9_R04A0424 (FECHA, PERIODO,CONCEPTO, SUBREPORTE, MONEDA, TIPO_SALDO, DATO) VALUES ('2021-10-31','2021-10-31','111800107005','0424','9','1','0')</v>
      </c>
    </row>
    <row r="19" spans="1:26">
      <c r="A19" s="40" t="s">
        <v>65</v>
      </c>
      <c r="B19" s="41" t="s">
        <v>41</v>
      </c>
      <c r="C19" s="40" t="s">
        <v>37</v>
      </c>
      <c r="D19" s="41" t="s">
        <v>35</v>
      </c>
      <c r="E19" s="46"/>
      <c r="F19" s="47"/>
      <c r="G19" s="47"/>
      <c r="H19" s="90" t="s">
        <v>66</v>
      </c>
      <c r="I19" s="90"/>
      <c r="J19" s="90"/>
      <c r="K19" s="90"/>
      <c r="L19" s="48"/>
      <c r="M19" s="44">
        <f t="shared" si="4"/>
        <v>0</v>
      </c>
      <c r="N19" s="82">
        <v>0</v>
      </c>
      <c r="O19" s="44">
        <v>0</v>
      </c>
      <c r="P19" s="44">
        <v>0</v>
      </c>
      <c r="S19" s="16" t="str">
        <f t="shared" si="0"/>
        <v>2021-10-31</v>
      </c>
      <c r="T19" t="str">
        <f t="shared" si="1"/>
        <v>111800107006</v>
      </c>
      <c r="U19" s="16" t="s">
        <v>33</v>
      </c>
      <c r="V19">
        <v>9</v>
      </c>
      <c r="W19">
        <v>1</v>
      </c>
      <c r="X19" s="15">
        <f t="shared" si="2"/>
        <v>0</v>
      </c>
      <c r="Z19" t="str">
        <f t="shared" si="3"/>
        <v>INSERT INTO REPORTWARE.RWH_IFRS9_R04A0424 (FECHA, PERIODO,CONCEPTO, SUBREPORTE, MONEDA, TIPO_SALDO, DATO) VALUES ('2021-10-31','2021-10-31','111800107006','0424','9','1','0')</v>
      </c>
    </row>
    <row r="20" spans="1:26">
      <c r="A20" s="40" t="s">
        <v>67</v>
      </c>
      <c r="B20" s="41" t="s">
        <v>41</v>
      </c>
      <c r="C20" s="40" t="s">
        <v>37</v>
      </c>
      <c r="D20" s="41" t="s">
        <v>35</v>
      </c>
      <c r="E20" s="46"/>
      <c r="F20" s="47"/>
      <c r="G20" s="47"/>
      <c r="H20" s="90" t="s">
        <v>68</v>
      </c>
      <c r="I20" s="90"/>
      <c r="J20" s="90"/>
      <c r="K20" s="90"/>
      <c r="L20" s="48"/>
      <c r="M20" s="44">
        <f t="shared" si="4"/>
        <v>0</v>
      </c>
      <c r="N20" s="82">
        <v>0</v>
      </c>
      <c r="O20" s="44">
        <v>0</v>
      </c>
      <c r="P20" s="44">
        <v>0</v>
      </c>
      <c r="S20" s="16" t="str">
        <f t="shared" si="0"/>
        <v>2021-10-31</v>
      </c>
      <c r="T20" t="str">
        <f t="shared" si="1"/>
        <v>111800107007</v>
      </c>
      <c r="U20" s="16" t="s">
        <v>33</v>
      </c>
      <c r="V20">
        <v>9</v>
      </c>
      <c r="W20">
        <v>1</v>
      </c>
      <c r="X20" s="15">
        <f t="shared" si="2"/>
        <v>0</v>
      </c>
      <c r="Z20" t="str">
        <f t="shared" si="3"/>
        <v>INSERT INTO REPORTWARE.RWH_IFRS9_R04A0424 (FECHA, PERIODO,CONCEPTO, SUBREPORTE, MONEDA, TIPO_SALDO, DATO) VALUES ('2021-10-31','2021-10-31','111800107007','0424','9','1','0')</v>
      </c>
    </row>
    <row r="21" spans="1:26">
      <c r="A21" s="40" t="s">
        <v>69</v>
      </c>
      <c r="B21" s="41" t="s">
        <v>41</v>
      </c>
      <c r="C21" s="40" t="s">
        <v>37</v>
      </c>
      <c r="D21" s="41" t="s">
        <v>35</v>
      </c>
      <c r="E21" s="46"/>
      <c r="F21" s="47"/>
      <c r="G21" s="47"/>
      <c r="H21" s="90" t="s">
        <v>47</v>
      </c>
      <c r="I21" s="90"/>
      <c r="J21" s="90"/>
      <c r="K21" s="90"/>
      <c r="L21" s="48"/>
      <c r="M21" s="44">
        <f t="shared" si="4"/>
        <v>0</v>
      </c>
      <c r="N21" s="82">
        <v>0</v>
      </c>
      <c r="O21" s="44">
        <v>0</v>
      </c>
      <c r="P21" s="44">
        <v>0</v>
      </c>
      <c r="S21" s="16" t="str">
        <f t="shared" si="0"/>
        <v>2021-10-31</v>
      </c>
      <c r="T21" t="str">
        <f t="shared" si="1"/>
        <v>111800107008</v>
      </c>
      <c r="U21" s="16" t="s">
        <v>33</v>
      </c>
      <c r="V21">
        <v>9</v>
      </c>
      <c r="W21">
        <v>1</v>
      </c>
      <c r="X21" s="15">
        <f t="shared" si="2"/>
        <v>0</v>
      </c>
      <c r="Z21" t="str">
        <f t="shared" si="3"/>
        <v>INSERT INTO REPORTWARE.RWH_IFRS9_R04A0424 (FECHA, PERIODO,CONCEPTO, SUBREPORTE, MONEDA, TIPO_SALDO, DATO) VALUES ('2021-10-31','2021-10-31','111800107008','0424','9','1','0')</v>
      </c>
    </row>
    <row r="22" spans="1:26">
      <c r="A22" s="40" t="s">
        <v>70</v>
      </c>
      <c r="B22" s="41" t="s">
        <v>38</v>
      </c>
      <c r="C22" s="40" t="s">
        <v>34</v>
      </c>
      <c r="D22" s="41" t="s">
        <v>30</v>
      </c>
      <c r="E22" s="46"/>
      <c r="F22" s="47"/>
      <c r="G22" s="90" t="s">
        <v>71</v>
      </c>
      <c r="H22" s="90"/>
      <c r="I22" s="90"/>
      <c r="J22" s="90"/>
      <c r="K22" s="90"/>
      <c r="L22" s="48"/>
      <c r="M22" s="44">
        <f>SUM(M23,M27)</f>
        <v>0</v>
      </c>
      <c r="N22" s="44">
        <f>SUM(N23,N27)</f>
        <v>0</v>
      </c>
      <c r="O22" s="44">
        <f>SUM(O23,O27)</f>
        <v>0</v>
      </c>
      <c r="P22" s="44">
        <f>SUM(P23,P27)</f>
        <v>0</v>
      </c>
      <c r="S22" s="16" t="str">
        <f t="shared" si="0"/>
        <v>2021-10-31</v>
      </c>
      <c r="T22" t="str">
        <f t="shared" si="1"/>
        <v>111800106002</v>
      </c>
      <c r="U22" s="16" t="s">
        <v>33</v>
      </c>
      <c r="V22">
        <v>9</v>
      </c>
      <c r="W22">
        <v>1</v>
      </c>
      <c r="X22" s="15">
        <f t="shared" si="2"/>
        <v>0</v>
      </c>
      <c r="Z22" t="str">
        <f t="shared" si="3"/>
        <v>INSERT INTO REPORTWARE.RWH_IFRS9_R04A0424 (FECHA, PERIODO,CONCEPTO, SUBREPORTE, MONEDA, TIPO_SALDO, DATO) VALUES ('2021-10-31','2021-10-31','111800106002','0424','9','1','0')</v>
      </c>
    </row>
    <row r="23" spans="1:26">
      <c r="A23" s="40" t="s">
        <v>72</v>
      </c>
      <c r="B23" s="41" t="s">
        <v>41</v>
      </c>
      <c r="C23" s="40" t="s">
        <v>70</v>
      </c>
      <c r="D23" s="41" t="s">
        <v>30</v>
      </c>
      <c r="E23" s="46"/>
      <c r="F23" s="47"/>
      <c r="G23" s="47"/>
      <c r="H23" s="90" t="s">
        <v>73</v>
      </c>
      <c r="I23" s="90"/>
      <c r="J23" s="90"/>
      <c r="K23" s="90"/>
      <c r="L23" s="48"/>
      <c r="M23" s="44">
        <f>SUM(M24:M26)</f>
        <v>0</v>
      </c>
      <c r="N23" s="44">
        <f>SUM(N24:N26)</f>
        <v>0</v>
      </c>
      <c r="O23" s="44">
        <f>SUM(O24:O26)</f>
        <v>0</v>
      </c>
      <c r="P23" s="44">
        <f>SUM(P24:P26)</f>
        <v>0</v>
      </c>
      <c r="S23" s="16" t="str">
        <f t="shared" si="0"/>
        <v>2021-10-31</v>
      </c>
      <c r="T23" t="str">
        <f t="shared" si="1"/>
        <v>111800207009</v>
      </c>
      <c r="U23" s="16" t="s">
        <v>33</v>
      </c>
      <c r="V23">
        <v>9</v>
      </c>
      <c r="W23">
        <v>1</v>
      </c>
      <c r="X23" s="15">
        <f t="shared" si="2"/>
        <v>0</v>
      </c>
      <c r="Z23" t="str">
        <f t="shared" si="3"/>
        <v>INSERT INTO REPORTWARE.RWH_IFRS9_R04A0424 (FECHA, PERIODO,CONCEPTO, SUBREPORTE, MONEDA, TIPO_SALDO, DATO) VALUES ('2021-10-31','2021-10-31','111800207009','0424','9','1','0')</v>
      </c>
    </row>
    <row r="24" spans="1:26">
      <c r="A24" s="40" t="s">
        <v>74</v>
      </c>
      <c r="B24" s="41" t="s">
        <v>44</v>
      </c>
      <c r="C24" s="40" t="s">
        <v>72</v>
      </c>
      <c r="D24" s="41" t="s">
        <v>35</v>
      </c>
      <c r="E24" s="46"/>
      <c r="F24" s="47"/>
      <c r="G24" s="47"/>
      <c r="H24" s="47"/>
      <c r="I24" s="90" t="s">
        <v>64</v>
      </c>
      <c r="J24" s="90"/>
      <c r="K24" s="90"/>
      <c r="L24" s="48"/>
      <c r="M24" s="44">
        <f>SUM(N24:P24)</f>
        <v>0</v>
      </c>
      <c r="N24" s="82">
        <v>0</v>
      </c>
      <c r="O24" s="44">
        <v>0</v>
      </c>
      <c r="P24" s="44">
        <v>0</v>
      </c>
      <c r="S24" s="16" t="str">
        <f t="shared" si="0"/>
        <v>2021-10-31</v>
      </c>
      <c r="T24" t="str">
        <f t="shared" si="1"/>
        <v>111800908008</v>
      </c>
      <c r="U24" s="16" t="s">
        <v>33</v>
      </c>
      <c r="V24">
        <v>9</v>
      </c>
      <c r="W24">
        <v>1</v>
      </c>
      <c r="X24" s="15">
        <f t="shared" si="2"/>
        <v>0</v>
      </c>
      <c r="Z24" t="str">
        <f t="shared" si="3"/>
        <v>INSERT INTO REPORTWARE.RWH_IFRS9_R04A0424 (FECHA, PERIODO,CONCEPTO, SUBREPORTE, MONEDA, TIPO_SALDO, DATO) VALUES ('2021-10-31','2021-10-31','111800908008','0424','9','1','0')</v>
      </c>
    </row>
    <row r="25" spans="1:26">
      <c r="A25" s="40" t="s">
        <v>75</v>
      </c>
      <c r="B25" s="41" t="s">
        <v>44</v>
      </c>
      <c r="C25" s="40" t="s">
        <v>72</v>
      </c>
      <c r="D25" s="41" t="s">
        <v>35</v>
      </c>
      <c r="E25" s="46"/>
      <c r="F25" s="47"/>
      <c r="G25" s="47"/>
      <c r="H25" s="47"/>
      <c r="I25" s="90" t="s">
        <v>68</v>
      </c>
      <c r="J25" s="90"/>
      <c r="K25" s="90"/>
      <c r="L25" s="48"/>
      <c r="M25" s="44">
        <f>SUM(N25:P25)</f>
        <v>0</v>
      </c>
      <c r="N25" s="82">
        <v>0</v>
      </c>
      <c r="O25" s="44">
        <v>0</v>
      </c>
      <c r="P25" s="44">
        <v>0</v>
      </c>
      <c r="S25" s="16" t="str">
        <f t="shared" si="0"/>
        <v>2021-10-31</v>
      </c>
      <c r="T25" t="str">
        <f t="shared" si="1"/>
        <v>111800908009</v>
      </c>
      <c r="U25" s="16" t="s">
        <v>33</v>
      </c>
      <c r="V25">
        <v>9</v>
      </c>
      <c r="W25">
        <v>1</v>
      </c>
      <c r="X25" s="15">
        <f t="shared" si="2"/>
        <v>0</v>
      </c>
      <c r="Z25" t="str">
        <f t="shared" si="3"/>
        <v>INSERT INTO REPORTWARE.RWH_IFRS9_R04A0424 (FECHA, PERIODO,CONCEPTO, SUBREPORTE, MONEDA, TIPO_SALDO, DATO) VALUES ('2021-10-31','2021-10-31','111800908009','0424','9','1','0')</v>
      </c>
    </row>
    <row r="26" spans="1:26">
      <c r="A26" s="40" t="s">
        <v>76</v>
      </c>
      <c r="B26" s="41" t="s">
        <v>44</v>
      </c>
      <c r="C26" s="40" t="s">
        <v>72</v>
      </c>
      <c r="D26" s="41" t="s">
        <v>35</v>
      </c>
      <c r="E26" s="46"/>
      <c r="F26" s="47"/>
      <c r="G26" s="47"/>
      <c r="H26" s="47"/>
      <c r="I26" s="90" t="s">
        <v>47</v>
      </c>
      <c r="J26" s="90"/>
      <c r="K26" s="90"/>
      <c r="L26" s="48"/>
      <c r="M26" s="44">
        <f>SUM(N26:P26)</f>
        <v>0</v>
      </c>
      <c r="N26" s="82">
        <v>0</v>
      </c>
      <c r="O26" s="44">
        <v>0</v>
      </c>
      <c r="P26" s="44">
        <v>0</v>
      </c>
      <c r="S26" s="16" t="str">
        <f t="shared" si="0"/>
        <v>2021-10-31</v>
      </c>
      <c r="T26" t="str">
        <f t="shared" si="1"/>
        <v>111800908010</v>
      </c>
      <c r="U26" s="16" t="s">
        <v>33</v>
      </c>
      <c r="V26">
        <v>9</v>
      </c>
      <c r="W26">
        <v>1</v>
      </c>
      <c r="X26" s="15">
        <f t="shared" si="2"/>
        <v>0</v>
      </c>
      <c r="Z26" t="str">
        <f t="shared" si="3"/>
        <v>INSERT INTO REPORTWARE.RWH_IFRS9_R04A0424 (FECHA, PERIODO,CONCEPTO, SUBREPORTE, MONEDA, TIPO_SALDO, DATO) VALUES ('2021-10-31','2021-10-31','111800908010','0424','9','1','0')</v>
      </c>
    </row>
    <row r="27" spans="1:26">
      <c r="A27" s="40" t="s">
        <v>77</v>
      </c>
      <c r="B27" s="41" t="s">
        <v>41</v>
      </c>
      <c r="C27" s="40" t="s">
        <v>70</v>
      </c>
      <c r="D27" s="41" t="s">
        <v>30</v>
      </c>
      <c r="E27" s="46"/>
      <c r="F27" s="47"/>
      <c r="G27" s="47"/>
      <c r="H27" s="90" t="s">
        <v>78</v>
      </c>
      <c r="I27" s="90"/>
      <c r="J27" s="90"/>
      <c r="K27" s="90"/>
      <c r="L27" s="48"/>
      <c r="M27" s="44">
        <f>SUM(M28:M30)</f>
        <v>0</v>
      </c>
      <c r="N27" s="44">
        <f t="shared" ref="N27:P27" si="5">SUM(N28:N30)</f>
        <v>0</v>
      </c>
      <c r="O27" s="44">
        <f t="shared" si="5"/>
        <v>0</v>
      </c>
      <c r="P27" s="44">
        <f t="shared" si="5"/>
        <v>0</v>
      </c>
      <c r="S27" s="16" t="str">
        <f t="shared" si="0"/>
        <v>2021-10-31</v>
      </c>
      <c r="T27" t="str">
        <f t="shared" si="1"/>
        <v>111800207010</v>
      </c>
      <c r="U27" s="16" t="s">
        <v>33</v>
      </c>
      <c r="V27">
        <v>9</v>
      </c>
      <c r="W27">
        <v>1</v>
      </c>
      <c r="X27" s="15">
        <f t="shared" si="2"/>
        <v>0</v>
      </c>
      <c r="Z27" t="str">
        <f t="shared" si="3"/>
        <v>INSERT INTO REPORTWARE.RWH_IFRS9_R04A0424 (FECHA, PERIODO,CONCEPTO, SUBREPORTE, MONEDA, TIPO_SALDO, DATO) VALUES ('2021-10-31','2021-10-31','111800207010','0424','9','1','0')</v>
      </c>
    </row>
    <row r="28" spans="1:26">
      <c r="A28" s="40" t="s">
        <v>79</v>
      </c>
      <c r="B28" s="41" t="s">
        <v>44</v>
      </c>
      <c r="C28" s="40" t="s">
        <v>77</v>
      </c>
      <c r="D28" s="41" t="s">
        <v>35</v>
      </c>
      <c r="E28" s="46"/>
      <c r="F28" s="47"/>
      <c r="G28" s="47"/>
      <c r="H28" s="47"/>
      <c r="I28" s="90" t="s">
        <v>64</v>
      </c>
      <c r="J28" s="90"/>
      <c r="K28" s="90"/>
      <c r="L28" s="48"/>
      <c r="M28" s="44">
        <f>SUM(N28:P28)</f>
        <v>0</v>
      </c>
      <c r="N28" s="82">
        <v>0</v>
      </c>
      <c r="O28" s="44">
        <v>0</v>
      </c>
      <c r="P28" s="44">
        <v>0</v>
      </c>
      <c r="S28" s="16" t="str">
        <f t="shared" si="0"/>
        <v>2021-10-31</v>
      </c>
      <c r="T28" t="str">
        <f t="shared" si="1"/>
        <v>111801008011</v>
      </c>
      <c r="U28" s="16" t="s">
        <v>33</v>
      </c>
      <c r="V28">
        <v>9</v>
      </c>
      <c r="W28">
        <v>1</v>
      </c>
      <c r="X28" s="15">
        <f t="shared" si="2"/>
        <v>0</v>
      </c>
      <c r="Z28" t="str">
        <f t="shared" si="3"/>
        <v>INSERT INTO REPORTWARE.RWH_IFRS9_R04A0424 (FECHA, PERIODO,CONCEPTO, SUBREPORTE, MONEDA, TIPO_SALDO, DATO) VALUES ('2021-10-31','2021-10-31','111801008011','0424','9','1','0')</v>
      </c>
    </row>
    <row r="29" spans="1:26">
      <c r="A29" s="40" t="s">
        <v>80</v>
      </c>
      <c r="B29" s="41" t="s">
        <v>44</v>
      </c>
      <c r="C29" s="40" t="s">
        <v>77</v>
      </c>
      <c r="D29" s="41" t="s">
        <v>35</v>
      </c>
      <c r="E29" s="46"/>
      <c r="F29" s="47"/>
      <c r="G29" s="47"/>
      <c r="H29" s="47"/>
      <c r="I29" s="90" t="s">
        <v>68</v>
      </c>
      <c r="J29" s="90"/>
      <c r="K29" s="90"/>
      <c r="L29" s="48"/>
      <c r="M29" s="44">
        <f>SUM(N29:P29)</f>
        <v>0</v>
      </c>
      <c r="N29" s="82">
        <v>0</v>
      </c>
      <c r="O29" s="44">
        <v>0</v>
      </c>
      <c r="P29" s="44">
        <v>0</v>
      </c>
      <c r="S29" s="16" t="str">
        <f t="shared" si="0"/>
        <v>2021-10-31</v>
      </c>
      <c r="T29" t="str">
        <f t="shared" si="1"/>
        <v>111801008012</v>
      </c>
      <c r="U29" s="16" t="s">
        <v>33</v>
      </c>
      <c r="V29">
        <v>9</v>
      </c>
      <c r="W29">
        <v>1</v>
      </c>
      <c r="X29" s="15">
        <f t="shared" si="2"/>
        <v>0</v>
      </c>
      <c r="Z29" t="str">
        <f t="shared" si="3"/>
        <v>INSERT INTO REPORTWARE.RWH_IFRS9_R04A0424 (FECHA, PERIODO,CONCEPTO, SUBREPORTE, MONEDA, TIPO_SALDO, DATO) VALUES ('2021-10-31','2021-10-31','111801008012','0424','9','1','0')</v>
      </c>
    </row>
    <row r="30" spans="1:26">
      <c r="A30" s="40" t="s">
        <v>81</v>
      </c>
      <c r="B30" s="41" t="s">
        <v>44</v>
      </c>
      <c r="C30" s="40" t="s">
        <v>77</v>
      </c>
      <c r="D30" s="41" t="s">
        <v>35</v>
      </c>
      <c r="E30" s="46"/>
      <c r="F30" s="47"/>
      <c r="G30" s="47"/>
      <c r="H30" s="47"/>
      <c r="I30" s="90" t="s">
        <v>47</v>
      </c>
      <c r="J30" s="90"/>
      <c r="K30" s="90"/>
      <c r="L30" s="48"/>
      <c r="M30" s="44">
        <f>SUM(N30:P30)</f>
        <v>0</v>
      </c>
      <c r="N30" s="82">
        <v>0</v>
      </c>
      <c r="O30" s="44">
        <v>0</v>
      </c>
      <c r="P30" s="44">
        <v>0</v>
      </c>
      <c r="S30" s="16" t="str">
        <f t="shared" si="0"/>
        <v>2021-10-31</v>
      </c>
      <c r="T30" t="str">
        <f t="shared" si="1"/>
        <v>111801008013</v>
      </c>
      <c r="U30" s="16" t="s">
        <v>33</v>
      </c>
      <c r="V30">
        <v>9</v>
      </c>
      <c r="W30">
        <v>1</v>
      </c>
      <c r="X30" s="15">
        <f t="shared" si="2"/>
        <v>0</v>
      </c>
      <c r="Z30" t="str">
        <f t="shared" si="3"/>
        <v>INSERT INTO REPORTWARE.RWH_IFRS9_R04A0424 (FECHA, PERIODO,CONCEPTO, SUBREPORTE, MONEDA, TIPO_SALDO, DATO) VALUES ('2021-10-31','2021-10-31','111801008013','0424','9','1','0')</v>
      </c>
    </row>
    <row r="31" spans="1:26">
      <c r="A31" s="40" t="s">
        <v>82</v>
      </c>
      <c r="B31" s="41" t="s">
        <v>38</v>
      </c>
      <c r="C31" s="40" t="s">
        <v>34</v>
      </c>
      <c r="D31" s="41" t="s">
        <v>30</v>
      </c>
      <c r="E31" s="46"/>
      <c r="F31" s="47"/>
      <c r="G31" s="90" t="s">
        <v>83</v>
      </c>
      <c r="H31" s="90"/>
      <c r="I31" s="90"/>
      <c r="J31" s="90"/>
      <c r="K31" s="90"/>
      <c r="L31" s="48"/>
      <c r="M31" s="44">
        <f>SUM(M32,M33,M39,M44)</f>
        <v>0</v>
      </c>
      <c r="N31" s="44">
        <f>SUM(N32,N33,N39,N44)</f>
        <v>0</v>
      </c>
      <c r="O31" s="44">
        <f>SUM(O32,O33,O39,O44)</f>
        <v>0</v>
      </c>
      <c r="P31" s="44">
        <f>SUM(P32,P33,P39,P44)</f>
        <v>0</v>
      </c>
      <c r="S31" s="16" t="str">
        <f t="shared" si="0"/>
        <v>2021-10-31</v>
      </c>
      <c r="T31" t="str">
        <f t="shared" si="1"/>
        <v>111800106003</v>
      </c>
      <c r="U31" s="16" t="s">
        <v>33</v>
      </c>
      <c r="V31">
        <v>9</v>
      </c>
      <c r="W31">
        <v>1</v>
      </c>
      <c r="X31" s="15">
        <f t="shared" si="2"/>
        <v>0</v>
      </c>
      <c r="Z31" t="str">
        <f t="shared" si="3"/>
        <v>INSERT INTO REPORTWARE.RWH_IFRS9_R04A0424 (FECHA, PERIODO,CONCEPTO, SUBREPORTE, MONEDA, TIPO_SALDO, DATO) VALUES ('2021-10-31','2021-10-31','111800106003','0424','9','1','0')</v>
      </c>
    </row>
    <row r="32" spans="1:26">
      <c r="A32" s="40" t="s">
        <v>84</v>
      </c>
      <c r="B32" s="41" t="s">
        <v>41</v>
      </c>
      <c r="C32" s="40" t="s">
        <v>82</v>
      </c>
      <c r="D32" s="41" t="s">
        <v>35</v>
      </c>
      <c r="E32" s="46"/>
      <c r="F32" s="47"/>
      <c r="G32" s="47"/>
      <c r="H32" s="90" t="s">
        <v>85</v>
      </c>
      <c r="I32" s="90"/>
      <c r="J32" s="90"/>
      <c r="K32" s="90"/>
      <c r="L32" s="48"/>
      <c r="M32" s="44">
        <f>SUM(N32:P32)</f>
        <v>0</v>
      </c>
      <c r="N32" s="82">
        <v>0</v>
      </c>
      <c r="O32" s="44">
        <v>0</v>
      </c>
      <c r="P32" s="44">
        <v>0</v>
      </c>
      <c r="S32" s="16" t="str">
        <f t="shared" si="0"/>
        <v>2021-10-31</v>
      </c>
      <c r="T32" t="str">
        <f t="shared" si="1"/>
        <v>111800307011</v>
      </c>
      <c r="U32" s="16" t="s">
        <v>33</v>
      </c>
      <c r="V32">
        <v>9</v>
      </c>
      <c r="W32">
        <v>1</v>
      </c>
      <c r="X32" s="15">
        <f t="shared" si="2"/>
        <v>0</v>
      </c>
      <c r="Z32" t="str">
        <f t="shared" si="3"/>
        <v>INSERT INTO REPORTWARE.RWH_IFRS9_R04A0424 (FECHA, PERIODO,CONCEPTO, SUBREPORTE, MONEDA, TIPO_SALDO, DATO) VALUES ('2021-10-31','2021-10-31','111800307011','0424','9','1','0')</v>
      </c>
    </row>
    <row r="33" spans="1:26">
      <c r="A33" s="40" t="s">
        <v>86</v>
      </c>
      <c r="B33" s="41" t="s">
        <v>41</v>
      </c>
      <c r="C33" s="40" t="s">
        <v>82</v>
      </c>
      <c r="D33" s="41" t="s">
        <v>30</v>
      </c>
      <c r="E33" s="46"/>
      <c r="F33" s="47"/>
      <c r="G33" s="47"/>
      <c r="H33" s="90" t="s">
        <v>87</v>
      </c>
      <c r="I33" s="90"/>
      <c r="J33" s="90"/>
      <c r="K33" s="90"/>
      <c r="L33" s="48"/>
      <c r="M33" s="44">
        <f>SUM(M34:M38)</f>
        <v>0</v>
      </c>
      <c r="N33" s="44">
        <f>SUM(N34:N38)</f>
        <v>0</v>
      </c>
      <c r="O33" s="44">
        <f>SUM(O34:O38)</f>
        <v>0</v>
      </c>
      <c r="P33" s="44">
        <f>SUM(P34:P38)</f>
        <v>0</v>
      </c>
      <c r="S33" s="16" t="str">
        <f t="shared" si="0"/>
        <v>2021-10-31</v>
      </c>
      <c r="T33" t="str">
        <f t="shared" si="1"/>
        <v>111800307012</v>
      </c>
      <c r="U33" s="16" t="s">
        <v>33</v>
      </c>
      <c r="V33">
        <v>9</v>
      </c>
      <c r="W33">
        <v>1</v>
      </c>
      <c r="X33" s="15">
        <f t="shared" si="2"/>
        <v>0</v>
      </c>
      <c r="Z33" t="str">
        <f t="shared" si="3"/>
        <v>INSERT INTO REPORTWARE.RWH_IFRS9_R04A0424 (FECHA, PERIODO,CONCEPTO, SUBREPORTE, MONEDA, TIPO_SALDO, DATO) VALUES ('2021-10-31','2021-10-31','111800307012','0424','9','1','0')</v>
      </c>
    </row>
    <row r="34" spans="1:26">
      <c r="A34" s="40" t="s">
        <v>88</v>
      </c>
      <c r="B34" s="41" t="s">
        <v>44</v>
      </c>
      <c r="C34" s="40" t="s">
        <v>86</v>
      </c>
      <c r="D34" s="41" t="s">
        <v>35</v>
      </c>
      <c r="E34" s="46"/>
      <c r="F34" s="47"/>
      <c r="G34" s="47"/>
      <c r="H34" s="47"/>
      <c r="I34" s="90" t="s">
        <v>68</v>
      </c>
      <c r="J34" s="90"/>
      <c r="K34" s="90"/>
      <c r="L34" s="48"/>
      <c r="M34" s="44">
        <f>SUM(N34:P34)</f>
        <v>0</v>
      </c>
      <c r="N34" s="82">
        <v>0</v>
      </c>
      <c r="O34" s="44">
        <v>0</v>
      </c>
      <c r="P34" s="44">
        <v>0</v>
      </c>
      <c r="S34" s="16" t="str">
        <f t="shared" si="0"/>
        <v>2021-10-31</v>
      </c>
      <c r="T34" t="str">
        <f t="shared" si="1"/>
        <v>111801208014</v>
      </c>
      <c r="U34" s="16" t="s">
        <v>33</v>
      </c>
      <c r="V34">
        <v>9</v>
      </c>
      <c r="W34">
        <v>1</v>
      </c>
      <c r="X34" s="15">
        <f t="shared" si="2"/>
        <v>0</v>
      </c>
      <c r="Z34" t="str">
        <f t="shared" si="3"/>
        <v>INSERT INTO REPORTWARE.RWH_IFRS9_R04A0424 (FECHA, PERIODO,CONCEPTO, SUBREPORTE, MONEDA, TIPO_SALDO, DATO) VALUES ('2021-10-31','2021-10-31','111801208014','0424','9','1','0')</v>
      </c>
    </row>
    <row r="35" spans="1:26">
      <c r="A35" s="40" t="s">
        <v>89</v>
      </c>
      <c r="B35" s="41" t="s">
        <v>44</v>
      </c>
      <c r="C35" s="40" t="s">
        <v>86</v>
      </c>
      <c r="D35" s="41" t="s">
        <v>35</v>
      </c>
      <c r="E35" s="46"/>
      <c r="F35" s="47"/>
      <c r="G35" s="47"/>
      <c r="H35" s="47"/>
      <c r="I35" s="90" t="s">
        <v>62</v>
      </c>
      <c r="J35" s="90"/>
      <c r="K35" s="90"/>
      <c r="L35" s="48"/>
      <c r="M35" s="44">
        <f t="shared" ref="M35:M42" si="6">SUM(N35:P35)</f>
        <v>0</v>
      </c>
      <c r="N35" s="82">
        <v>0</v>
      </c>
      <c r="O35" s="44">
        <v>0</v>
      </c>
      <c r="P35" s="44">
        <v>0</v>
      </c>
      <c r="S35" s="16" t="str">
        <f t="shared" si="0"/>
        <v>2021-10-31</v>
      </c>
      <c r="T35" t="str">
        <f t="shared" si="1"/>
        <v>111801208015</v>
      </c>
      <c r="U35" s="16" t="s">
        <v>33</v>
      </c>
      <c r="V35">
        <v>9</v>
      </c>
      <c r="W35">
        <v>1</v>
      </c>
      <c r="X35" s="15">
        <f t="shared" si="2"/>
        <v>0</v>
      </c>
      <c r="Z35" t="str">
        <f t="shared" si="3"/>
        <v>INSERT INTO REPORTWARE.RWH_IFRS9_R04A0424 (FECHA, PERIODO,CONCEPTO, SUBREPORTE, MONEDA, TIPO_SALDO, DATO) VALUES ('2021-10-31','2021-10-31','111801208015','0424','9','1','0')</v>
      </c>
    </row>
    <row r="36" spans="1:26">
      <c r="A36" s="40" t="s">
        <v>90</v>
      </c>
      <c r="B36" s="41" t="s">
        <v>44</v>
      </c>
      <c r="C36" s="40" t="s">
        <v>86</v>
      </c>
      <c r="D36" s="41" t="s">
        <v>35</v>
      </c>
      <c r="E36" s="46"/>
      <c r="F36" s="47"/>
      <c r="G36" s="47"/>
      <c r="H36" s="47"/>
      <c r="I36" s="90" t="s">
        <v>64</v>
      </c>
      <c r="J36" s="90"/>
      <c r="K36" s="90"/>
      <c r="L36" s="48"/>
      <c r="M36" s="44">
        <f t="shared" si="6"/>
        <v>0</v>
      </c>
      <c r="N36" s="82">
        <v>0</v>
      </c>
      <c r="O36" s="44">
        <v>0</v>
      </c>
      <c r="P36" s="44">
        <v>0</v>
      </c>
      <c r="S36" s="16" t="str">
        <f t="shared" si="0"/>
        <v>2021-10-31</v>
      </c>
      <c r="T36" t="str">
        <f t="shared" si="1"/>
        <v>111801208016</v>
      </c>
      <c r="U36" s="16" t="s">
        <v>33</v>
      </c>
      <c r="V36">
        <v>9</v>
      </c>
      <c r="W36">
        <v>1</v>
      </c>
      <c r="X36" s="15">
        <f t="shared" si="2"/>
        <v>0</v>
      </c>
      <c r="Z36" t="str">
        <f t="shared" si="3"/>
        <v>INSERT INTO REPORTWARE.RWH_IFRS9_R04A0424 (FECHA, PERIODO,CONCEPTO, SUBREPORTE, MONEDA, TIPO_SALDO, DATO) VALUES ('2021-10-31','2021-10-31','111801208016','0424','9','1','0')</v>
      </c>
    </row>
    <row r="37" spans="1:26">
      <c r="A37" s="40" t="s">
        <v>91</v>
      </c>
      <c r="B37" s="41" t="s">
        <v>44</v>
      </c>
      <c r="C37" s="40" t="s">
        <v>86</v>
      </c>
      <c r="D37" s="41" t="s">
        <v>35</v>
      </c>
      <c r="E37" s="46"/>
      <c r="F37" s="47"/>
      <c r="G37" s="47"/>
      <c r="H37" s="47"/>
      <c r="I37" s="89" t="s">
        <v>92</v>
      </c>
      <c r="J37" s="89"/>
      <c r="K37" s="89"/>
      <c r="L37" s="47"/>
      <c r="M37" s="44">
        <f t="shared" si="6"/>
        <v>0</v>
      </c>
      <c r="N37" s="82">
        <v>0</v>
      </c>
      <c r="O37" s="44">
        <v>0</v>
      </c>
      <c r="P37" s="44">
        <v>0</v>
      </c>
      <c r="S37" s="16" t="str">
        <f t="shared" si="0"/>
        <v>2021-10-31</v>
      </c>
      <c r="T37" t="str">
        <f t="shared" si="1"/>
        <v>111801208017</v>
      </c>
      <c r="U37" s="16" t="s">
        <v>33</v>
      </c>
      <c r="V37">
        <v>9</v>
      </c>
      <c r="W37">
        <v>1</v>
      </c>
      <c r="X37" s="15">
        <f t="shared" si="2"/>
        <v>0</v>
      </c>
      <c r="Z37" t="str">
        <f t="shared" si="3"/>
        <v>INSERT INTO REPORTWARE.RWH_IFRS9_R04A0424 (FECHA, PERIODO,CONCEPTO, SUBREPORTE, MONEDA, TIPO_SALDO, DATO) VALUES ('2021-10-31','2021-10-31','111801208017','0424','9','1','0')</v>
      </c>
    </row>
    <row r="38" spans="1:26">
      <c r="A38" s="40" t="s">
        <v>93</v>
      </c>
      <c r="B38" s="41" t="s">
        <v>44</v>
      </c>
      <c r="C38" s="40" t="s">
        <v>86</v>
      </c>
      <c r="D38" s="41" t="s">
        <v>35</v>
      </c>
      <c r="E38" s="46"/>
      <c r="F38" s="47"/>
      <c r="G38" s="47"/>
      <c r="H38" s="47"/>
      <c r="I38" s="90" t="s">
        <v>47</v>
      </c>
      <c r="J38" s="90"/>
      <c r="K38" s="90"/>
      <c r="L38" s="48"/>
      <c r="M38" s="44">
        <f t="shared" si="6"/>
        <v>0</v>
      </c>
      <c r="N38" s="82">
        <v>0</v>
      </c>
      <c r="O38" s="44">
        <v>0</v>
      </c>
      <c r="P38" s="44">
        <v>0</v>
      </c>
      <c r="S38" s="16" t="str">
        <f t="shared" si="0"/>
        <v>2021-10-31</v>
      </c>
      <c r="T38" t="str">
        <f t="shared" si="1"/>
        <v>111801208018</v>
      </c>
      <c r="U38" s="16" t="s">
        <v>33</v>
      </c>
      <c r="V38">
        <v>9</v>
      </c>
      <c r="W38">
        <v>1</v>
      </c>
      <c r="X38" s="15">
        <f t="shared" si="2"/>
        <v>0</v>
      </c>
      <c r="Z38" t="str">
        <f t="shared" si="3"/>
        <v>INSERT INTO REPORTWARE.RWH_IFRS9_R04A0424 (FECHA, PERIODO,CONCEPTO, SUBREPORTE, MONEDA, TIPO_SALDO, DATO) VALUES ('2021-10-31','2021-10-31','111801208018','0424','9','1','0')</v>
      </c>
    </row>
    <row r="39" spans="1:26">
      <c r="A39" s="40" t="s">
        <v>94</v>
      </c>
      <c r="B39" s="41" t="s">
        <v>41</v>
      </c>
      <c r="C39" s="40" t="s">
        <v>82</v>
      </c>
      <c r="D39" s="41" t="s">
        <v>30</v>
      </c>
      <c r="E39" s="46"/>
      <c r="F39" s="47"/>
      <c r="G39" s="47"/>
      <c r="H39" s="90" t="s">
        <v>95</v>
      </c>
      <c r="I39" s="90"/>
      <c r="J39" s="90"/>
      <c r="K39" s="90"/>
      <c r="L39" s="48"/>
      <c r="M39" s="44">
        <f>SUM(M40:M43)</f>
        <v>0</v>
      </c>
      <c r="N39" s="44">
        <f>SUM(N40:N43)</f>
        <v>0</v>
      </c>
      <c r="O39" s="44">
        <f>SUM(O40:O43)</f>
        <v>0</v>
      </c>
      <c r="P39" s="44">
        <f>SUM(P40:P43)</f>
        <v>0</v>
      </c>
      <c r="S39" s="16" t="str">
        <f t="shared" si="0"/>
        <v>2021-10-31</v>
      </c>
      <c r="T39" t="str">
        <f t="shared" si="1"/>
        <v>111800307013</v>
      </c>
      <c r="U39" s="16" t="s">
        <v>33</v>
      </c>
      <c r="V39">
        <v>9</v>
      </c>
      <c r="W39">
        <v>1</v>
      </c>
      <c r="X39" s="15">
        <f t="shared" si="2"/>
        <v>0</v>
      </c>
      <c r="Z39" t="str">
        <f t="shared" si="3"/>
        <v>INSERT INTO REPORTWARE.RWH_IFRS9_R04A0424 (FECHA, PERIODO,CONCEPTO, SUBREPORTE, MONEDA, TIPO_SALDO, DATO) VALUES ('2021-10-31','2021-10-31','111800307013','0424','9','1','0')</v>
      </c>
    </row>
    <row r="40" spans="1:26">
      <c r="A40" s="40" t="s">
        <v>96</v>
      </c>
      <c r="B40" s="41" t="s">
        <v>44</v>
      </c>
      <c r="C40" s="40" t="s">
        <v>94</v>
      </c>
      <c r="D40" s="41" t="s">
        <v>35</v>
      </c>
      <c r="E40" s="46"/>
      <c r="F40" s="47"/>
      <c r="G40" s="47"/>
      <c r="H40" s="47"/>
      <c r="I40" s="90" t="s">
        <v>68</v>
      </c>
      <c r="J40" s="90"/>
      <c r="K40" s="90"/>
      <c r="L40" s="48"/>
      <c r="M40" s="44">
        <f t="shared" si="6"/>
        <v>0</v>
      </c>
      <c r="N40" s="82">
        <v>0</v>
      </c>
      <c r="O40" s="44">
        <v>0</v>
      </c>
      <c r="P40" s="44">
        <v>0</v>
      </c>
      <c r="S40" s="16" t="str">
        <f t="shared" si="0"/>
        <v>2021-10-31</v>
      </c>
      <c r="T40" t="str">
        <f t="shared" si="1"/>
        <v>111801308019</v>
      </c>
      <c r="U40" s="16" t="s">
        <v>33</v>
      </c>
      <c r="V40">
        <v>9</v>
      </c>
      <c r="W40">
        <v>1</v>
      </c>
      <c r="X40" s="15">
        <f t="shared" si="2"/>
        <v>0</v>
      </c>
      <c r="Z40" t="str">
        <f t="shared" si="3"/>
        <v>INSERT INTO REPORTWARE.RWH_IFRS9_R04A0424 (FECHA, PERIODO,CONCEPTO, SUBREPORTE, MONEDA, TIPO_SALDO, DATO) VALUES ('2021-10-31','2021-10-31','111801308019','0424','9','1','0')</v>
      </c>
    </row>
    <row r="41" spans="1:26">
      <c r="A41" s="40" t="s">
        <v>97</v>
      </c>
      <c r="B41" s="41" t="s">
        <v>44</v>
      </c>
      <c r="C41" s="40" t="s">
        <v>94</v>
      </c>
      <c r="D41" s="41" t="s">
        <v>35</v>
      </c>
      <c r="E41" s="46"/>
      <c r="F41" s="47"/>
      <c r="G41" s="47"/>
      <c r="H41" s="47"/>
      <c r="I41" s="90" t="s">
        <v>62</v>
      </c>
      <c r="J41" s="90"/>
      <c r="K41" s="90"/>
      <c r="L41" s="48"/>
      <c r="M41" s="44">
        <f t="shared" si="6"/>
        <v>0</v>
      </c>
      <c r="N41" s="82">
        <v>0</v>
      </c>
      <c r="O41" s="44">
        <v>0</v>
      </c>
      <c r="P41" s="44">
        <v>0</v>
      </c>
      <c r="S41" s="16" t="str">
        <f t="shared" si="0"/>
        <v>2021-10-31</v>
      </c>
      <c r="T41" t="str">
        <f t="shared" si="1"/>
        <v>111801308020</v>
      </c>
      <c r="U41" s="16" t="s">
        <v>33</v>
      </c>
      <c r="V41">
        <v>9</v>
      </c>
      <c r="W41">
        <v>1</v>
      </c>
      <c r="X41" s="15">
        <f t="shared" si="2"/>
        <v>0</v>
      </c>
      <c r="Z41" t="str">
        <f t="shared" si="3"/>
        <v>INSERT INTO REPORTWARE.RWH_IFRS9_R04A0424 (FECHA, PERIODO,CONCEPTO, SUBREPORTE, MONEDA, TIPO_SALDO, DATO) VALUES ('2021-10-31','2021-10-31','111801308020','0424','9','1','0')</v>
      </c>
    </row>
    <row r="42" spans="1:26">
      <c r="A42" s="40" t="s">
        <v>98</v>
      </c>
      <c r="B42" s="41" t="s">
        <v>44</v>
      </c>
      <c r="C42" s="40" t="s">
        <v>94</v>
      </c>
      <c r="D42" s="41" t="s">
        <v>35</v>
      </c>
      <c r="E42" s="46"/>
      <c r="F42" s="47"/>
      <c r="G42" s="47"/>
      <c r="H42" s="47"/>
      <c r="I42" s="90" t="s">
        <v>64</v>
      </c>
      <c r="J42" s="90"/>
      <c r="K42" s="90"/>
      <c r="L42" s="48"/>
      <c r="M42" s="44">
        <f t="shared" si="6"/>
        <v>0</v>
      </c>
      <c r="N42" s="82">
        <v>0</v>
      </c>
      <c r="O42" s="44">
        <v>0</v>
      </c>
      <c r="P42" s="44">
        <v>0</v>
      </c>
      <c r="S42" s="16" t="str">
        <f t="shared" si="0"/>
        <v>2021-10-31</v>
      </c>
      <c r="T42" t="str">
        <f t="shared" si="1"/>
        <v>111801308021</v>
      </c>
      <c r="U42" s="16" t="s">
        <v>33</v>
      </c>
      <c r="V42">
        <v>9</v>
      </c>
      <c r="W42">
        <v>1</v>
      </c>
      <c r="X42" s="15">
        <f t="shared" si="2"/>
        <v>0</v>
      </c>
      <c r="Z42" t="str">
        <f t="shared" si="3"/>
        <v>INSERT INTO REPORTWARE.RWH_IFRS9_R04A0424 (FECHA, PERIODO,CONCEPTO, SUBREPORTE, MONEDA, TIPO_SALDO, DATO) VALUES ('2021-10-31','2021-10-31','111801308021','0424','9','1','0')</v>
      </c>
    </row>
    <row r="43" spans="1:26">
      <c r="A43" s="40" t="s">
        <v>99</v>
      </c>
      <c r="B43" s="41" t="s">
        <v>44</v>
      </c>
      <c r="C43" s="40" t="s">
        <v>94</v>
      </c>
      <c r="D43" s="41" t="s">
        <v>35</v>
      </c>
      <c r="E43" s="46"/>
      <c r="F43" s="47"/>
      <c r="G43" s="47"/>
      <c r="H43" s="47"/>
      <c r="I43" s="90" t="s">
        <v>47</v>
      </c>
      <c r="J43" s="90"/>
      <c r="K43" s="90"/>
      <c r="L43" s="48"/>
      <c r="M43" s="44">
        <f>SUM(N43:P43)</f>
        <v>0</v>
      </c>
      <c r="N43" s="82">
        <v>0</v>
      </c>
      <c r="O43" s="44">
        <v>0</v>
      </c>
      <c r="P43" s="44">
        <v>0</v>
      </c>
      <c r="S43" s="16" t="str">
        <f t="shared" si="0"/>
        <v>2021-10-31</v>
      </c>
      <c r="T43" t="str">
        <f t="shared" si="1"/>
        <v>111801308022</v>
      </c>
      <c r="U43" s="16" t="s">
        <v>33</v>
      </c>
      <c r="V43">
        <v>9</v>
      </c>
      <c r="W43">
        <v>1</v>
      </c>
      <c r="X43" s="15">
        <f t="shared" si="2"/>
        <v>0</v>
      </c>
      <c r="Z43" t="str">
        <f t="shared" si="3"/>
        <v>INSERT INTO REPORTWARE.RWH_IFRS9_R04A0424 (FECHA, PERIODO,CONCEPTO, SUBREPORTE, MONEDA, TIPO_SALDO, DATO) VALUES ('2021-10-31','2021-10-31','111801308022','0424','9','1','0')</v>
      </c>
    </row>
    <row r="44" spans="1:26">
      <c r="A44" s="40" t="s">
        <v>100</v>
      </c>
      <c r="B44" s="41" t="s">
        <v>41</v>
      </c>
      <c r="C44" s="40" t="s">
        <v>82</v>
      </c>
      <c r="D44" s="41" t="s">
        <v>30</v>
      </c>
      <c r="E44" s="46"/>
      <c r="F44" s="47"/>
      <c r="G44" s="47"/>
      <c r="H44" s="90" t="s">
        <v>101</v>
      </c>
      <c r="I44" s="90"/>
      <c r="J44" s="90"/>
      <c r="K44" s="90"/>
      <c r="L44" s="48"/>
      <c r="M44" s="44">
        <f>SUM(M45:M48)</f>
        <v>0</v>
      </c>
      <c r="N44" s="44">
        <f>SUM(N45:N48)</f>
        <v>0</v>
      </c>
      <c r="O44" s="44">
        <f>SUM(O45:O48)</f>
        <v>0</v>
      </c>
      <c r="P44" s="44">
        <f>SUM(P45:P48)</f>
        <v>0</v>
      </c>
      <c r="S44" s="16" t="str">
        <f t="shared" si="0"/>
        <v>2021-10-31</v>
      </c>
      <c r="T44" t="str">
        <f t="shared" si="1"/>
        <v>111800307014</v>
      </c>
      <c r="U44" s="16" t="s">
        <v>33</v>
      </c>
      <c r="V44">
        <v>9</v>
      </c>
      <c r="W44">
        <v>1</v>
      </c>
      <c r="X44" s="15">
        <f t="shared" si="2"/>
        <v>0</v>
      </c>
      <c r="Z44" t="str">
        <f t="shared" si="3"/>
        <v>INSERT INTO REPORTWARE.RWH_IFRS9_R04A0424 (FECHA, PERIODO,CONCEPTO, SUBREPORTE, MONEDA, TIPO_SALDO, DATO) VALUES ('2021-10-31','2021-10-31','111800307014','0424','9','1','0')</v>
      </c>
    </row>
    <row r="45" spans="1:26">
      <c r="A45" s="40" t="s">
        <v>102</v>
      </c>
      <c r="B45" s="41" t="s">
        <v>44</v>
      </c>
      <c r="C45" s="40" t="s">
        <v>100</v>
      </c>
      <c r="D45" s="41" t="s">
        <v>35</v>
      </c>
      <c r="E45" s="46"/>
      <c r="F45" s="47"/>
      <c r="G45" s="47"/>
      <c r="H45" s="47"/>
      <c r="I45" s="90" t="s">
        <v>68</v>
      </c>
      <c r="J45" s="90"/>
      <c r="K45" s="90"/>
      <c r="L45" s="48"/>
      <c r="M45" s="44">
        <f>SUM(N45:P45)</f>
        <v>0</v>
      </c>
      <c r="N45" s="82">
        <v>0</v>
      </c>
      <c r="O45" s="44">
        <v>0</v>
      </c>
      <c r="P45" s="44">
        <v>0</v>
      </c>
      <c r="S45" s="16" t="str">
        <f t="shared" si="0"/>
        <v>2021-10-31</v>
      </c>
      <c r="T45" t="str">
        <f t="shared" si="1"/>
        <v>111801408023</v>
      </c>
      <c r="U45" s="16" t="s">
        <v>33</v>
      </c>
      <c r="V45">
        <v>9</v>
      </c>
      <c r="W45">
        <v>1</v>
      </c>
      <c r="X45" s="15">
        <f t="shared" si="2"/>
        <v>0</v>
      </c>
      <c r="Z45" t="str">
        <f t="shared" si="3"/>
        <v>INSERT INTO REPORTWARE.RWH_IFRS9_R04A0424 (FECHA, PERIODO,CONCEPTO, SUBREPORTE, MONEDA, TIPO_SALDO, DATO) VALUES ('2021-10-31','2021-10-31','111801408023','0424','9','1','0')</v>
      </c>
    </row>
    <row r="46" spans="1:26">
      <c r="A46" s="40" t="s">
        <v>103</v>
      </c>
      <c r="B46" s="41" t="s">
        <v>44</v>
      </c>
      <c r="C46" s="40" t="s">
        <v>100</v>
      </c>
      <c r="D46" s="41" t="s">
        <v>35</v>
      </c>
      <c r="E46" s="46"/>
      <c r="F46" s="47"/>
      <c r="G46" s="47"/>
      <c r="H46" s="47"/>
      <c r="I46" s="90" t="s">
        <v>62</v>
      </c>
      <c r="J46" s="90"/>
      <c r="K46" s="90"/>
      <c r="L46" s="48"/>
      <c r="M46" s="44">
        <f>SUM(N46:P46)</f>
        <v>0</v>
      </c>
      <c r="N46" s="82">
        <v>0</v>
      </c>
      <c r="O46" s="44">
        <v>0</v>
      </c>
      <c r="P46" s="44">
        <v>0</v>
      </c>
      <c r="S46" s="16" t="str">
        <f t="shared" si="0"/>
        <v>2021-10-31</v>
      </c>
      <c r="T46" t="str">
        <f t="shared" si="1"/>
        <v>111801408024</v>
      </c>
      <c r="U46" s="16" t="s">
        <v>33</v>
      </c>
      <c r="V46">
        <v>9</v>
      </c>
      <c r="W46">
        <v>1</v>
      </c>
      <c r="X46" s="15">
        <f t="shared" si="2"/>
        <v>0</v>
      </c>
      <c r="Z46" t="str">
        <f t="shared" si="3"/>
        <v>INSERT INTO REPORTWARE.RWH_IFRS9_R04A0424 (FECHA, PERIODO,CONCEPTO, SUBREPORTE, MONEDA, TIPO_SALDO, DATO) VALUES ('2021-10-31','2021-10-31','111801408024','0424','9','1','0')</v>
      </c>
    </row>
    <row r="47" spans="1:26">
      <c r="A47" s="40" t="s">
        <v>104</v>
      </c>
      <c r="B47" s="41" t="s">
        <v>44</v>
      </c>
      <c r="C47" s="40" t="s">
        <v>100</v>
      </c>
      <c r="D47" s="41" t="s">
        <v>35</v>
      </c>
      <c r="E47" s="46"/>
      <c r="F47" s="47"/>
      <c r="G47" s="47"/>
      <c r="H47" s="47"/>
      <c r="I47" s="90" t="s">
        <v>64</v>
      </c>
      <c r="J47" s="90"/>
      <c r="K47" s="90"/>
      <c r="L47" s="48"/>
      <c r="M47" s="44">
        <f>SUM(N47:P47)</f>
        <v>0</v>
      </c>
      <c r="N47" s="82">
        <v>0</v>
      </c>
      <c r="O47" s="44">
        <v>0</v>
      </c>
      <c r="P47" s="44">
        <v>0</v>
      </c>
      <c r="S47" s="16" t="str">
        <f t="shared" si="0"/>
        <v>2021-10-31</v>
      </c>
      <c r="T47" t="str">
        <f t="shared" si="1"/>
        <v>111801408025</v>
      </c>
      <c r="U47" s="16" t="s">
        <v>33</v>
      </c>
      <c r="V47">
        <v>9</v>
      </c>
      <c r="W47">
        <v>1</v>
      </c>
      <c r="X47" s="15">
        <f t="shared" si="2"/>
        <v>0</v>
      </c>
      <c r="Z47" t="str">
        <f t="shared" si="3"/>
        <v>INSERT INTO REPORTWARE.RWH_IFRS9_R04A0424 (FECHA, PERIODO,CONCEPTO, SUBREPORTE, MONEDA, TIPO_SALDO, DATO) VALUES ('2021-10-31','2021-10-31','111801408025','0424','9','1','0')</v>
      </c>
    </row>
    <row r="48" spans="1:26">
      <c r="A48" s="40" t="s">
        <v>105</v>
      </c>
      <c r="B48" s="41" t="s">
        <v>44</v>
      </c>
      <c r="C48" s="40" t="s">
        <v>100</v>
      </c>
      <c r="D48" s="41" t="s">
        <v>35</v>
      </c>
      <c r="E48" s="46"/>
      <c r="F48" s="47"/>
      <c r="G48" s="47"/>
      <c r="H48" s="47"/>
      <c r="I48" s="90" t="s">
        <v>47</v>
      </c>
      <c r="J48" s="90"/>
      <c r="K48" s="90"/>
      <c r="L48" s="48"/>
      <c r="M48" s="44">
        <f>SUM(N48:P48)</f>
        <v>0</v>
      </c>
      <c r="N48" s="82">
        <v>0</v>
      </c>
      <c r="O48" s="44">
        <v>0</v>
      </c>
      <c r="P48" s="44">
        <v>0</v>
      </c>
      <c r="S48" s="16" t="str">
        <f t="shared" si="0"/>
        <v>2021-10-31</v>
      </c>
      <c r="T48" t="str">
        <f t="shared" si="1"/>
        <v>111801408026</v>
      </c>
      <c r="U48" s="16" t="s">
        <v>33</v>
      </c>
      <c r="V48">
        <v>9</v>
      </c>
      <c r="W48">
        <v>1</v>
      </c>
      <c r="X48" s="15">
        <f t="shared" si="2"/>
        <v>0</v>
      </c>
      <c r="Z48" t="str">
        <f t="shared" si="3"/>
        <v>INSERT INTO REPORTWARE.RWH_IFRS9_R04A0424 (FECHA, PERIODO,CONCEPTO, SUBREPORTE, MONEDA, TIPO_SALDO, DATO) VALUES ('2021-10-31','2021-10-31','111801408026','0424','9','1','0')</v>
      </c>
    </row>
    <row r="49" spans="1:26">
      <c r="A49" s="40" t="s">
        <v>106</v>
      </c>
      <c r="B49" s="41" t="s">
        <v>35</v>
      </c>
      <c r="C49" s="40" t="s">
        <v>29</v>
      </c>
      <c r="D49" s="41" t="s">
        <v>30</v>
      </c>
      <c r="E49" s="46"/>
      <c r="F49" s="96" t="s">
        <v>107</v>
      </c>
      <c r="G49" s="96"/>
      <c r="H49" s="96"/>
      <c r="I49" s="96"/>
      <c r="J49" s="96"/>
      <c r="K49" s="96"/>
      <c r="L49" s="81"/>
      <c r="M49" s="44">
        <f>SUM(M50:M57)</f>
        <v>0</v>
      </c>
      <c r="N49" s="44">
        <f>SUM(N50:N57)</f>
        <v>0</v>
      </c>
      <c r="O49" s="44">
        <f>SUM(O50:O57)</f>
        <v>0</v>
      </c>
      <c r="P49" s="44">
        <f>SUM(P50:P57)</f>
        <v>0</v>
      </c>
      <c r="S49" s="16" t="str">
        <f t="shared" si="0"/>
        <v>2021-10-31</v>
      </c>
      <c r="T49" t="str">
        <f t="shared" si="1"/>
        <v>111800105002</v>
      </c>
      <c r="U49" s="16" t="s">
        <v>33</v>
      </c>
      <c r="V49">
        <v>9</v>
      </c>
      <c r="W49">
        <v>1</v>
      </c>
      <c r="X49" s="15">
        <f t="shared" si="2"/>
        <v>0</v>
      </c>
      <c r="Z49" t="str">
        <f t="shared" si="3"/>
        <v>INSERT INTO REPORTWARE.RWH_IFRS9_R04A0424 (FECHA, PERIODO,CONCEPTO, SUBREPORTE, MONEDA, TIPO_SALDO, DATO) VALUES ('2021-10-31','2021-10-31','111800105002','0424','9','1','0')</v>
      </c>
    </row>
    <row r="50" spans="1:26">
      <c r="A50" s="40" t="s">
        <v>108</v>
      </c>
      <c r="B50" s="41" t="s">
        <v>38</v>
      </c>
      <c r="C50" s="40" t="s">
        <v>106</v>
      </c>
      <c r="D50" s="41" t="s">
        <v>35</v>
      </c>
      <c r="E50" s="46"/>
      <c r="F50" s="47"/>
      <c r="G50" s="90" t="s">
        <v>109</v>
      </c>
      <c r="H50" s="90"/>
      <c r="I50" s="90"/>
      <c r="J50" s="90"/>
      <c r="K50" s="90"/>
      <c r="L50" s="48"/>
      <c r="M50" s="44">
        <f t="shared" ref="M50:M57" si="7">SUM(N50:P50)</f>
        <v>0</v>
      </c>
      <c r="N50" s="44">
        <v>0</v>
      </c>
      <c r="O50" s="44">
        <v>0</v>
      </c>
      <c r="P50" s="44">
        <v>0</v>
      </c>
      <c r="S50" s="16" t="str">
        <f t="shared" si="0"/>
        <v>2021-10-31</v>
      </c>
      <c r="T50" t="str">
        <f t="shared" si="1"/>
        <v>111800206004</v>
      </c>
      <c r="U50" s="16" t="s">
        <v>33</v>
      </c>
      <c r="V50">
        <v>9</v>
      </c>
      <c r="W50">
        <v>1</v>
      </c>
      <c r="X50" s="15">
        <f t="shared" si="2"/>
        <v>0</v>
      </c>
      <c r="Z50" t="str">
        <f t="shared" si="3"/>
        <v>INSERT INTO REPORTWARE.RWH_IFRS9_R04A0424 (FECHA, PERIODO,CONCEPTO, SUBREPORTE, MONEDA, TIPO_SALDO, DATO) VALUES ('2021-10-31','2021-10-31','111800206004','0424','9','1','0')</v>
      </c>
    </row>
    <row r="51" spans="1:26">
      <c r="A51" s="40" t="s">
        <v>110</v>
      </c>
      <c r="B51" s="41" t="s">
        <v>38</v>
      </c>
      <c r="C51" s="40" t="s">
        <v>106</v>
      </c>
      <c r="D51" s="41" t="s">
        <v>35</v>
      </c>
      <c r="E51" s="46"/>
      <c r="F51" s="47"/>
      <c r="G51" s="90" t="s">
        <v>111</v>
      </c>
      <c r="H51" s="90"/>
      <c r="I51" s="90"/>
      <c r="J51" s="90"/>
      <c r="K51" s="90"/>
      <c r="L51" s="48"/>
      <c r="M51" s="44">
        <f t="shared" si="7"/>
        <v>0</v>
      </c>
      <c r="N51" s="44">
        <v>0</v>
      </c>
      <c r="O51" s="44">
        <v>0</v>
      </c>
      <c r="P51" s="44">
        <v>0</v>
      </c>
      <c r="S51" s="16" t="str">
        <f t="shared" si="0"/>
        <v>2021-10-31</v>
      </c>
      <c r="T51" t="str">
        <f t="shared" si="1"/>
        <v>111800206005</v>
      </c>
      <c r="U51" s="16" t="s">
        <v>33</v>
      </c>
      <c r="V51">
        <v>9</v>
      </c>
      <c r="W51">
        <v>1</v>
      </c>
      <c r="X51" s="15">
        <f t="shared" si="2"/>
        <v>0</v>
      </c>
      <c r="Z51" t="str">
        <f t="shared" si="3"/>
        <v>INSERT INTO REPORTWARE.RWH_IFRS9_R04A0424 (FECHA, PERIODO,CONCEPTO, SUBREPORTE, MONEDA, TIPO_SALDO, DATO) VALUES ('2021-10-31','2021-10-31','111800206005','0424','9','1','0')</v>
      </c>
    </row>
    <row r="52" spans="1:26">
      <c r="A52" s="40" t="s">
        <v>112</v>
      </c>
      <c r="B52" s="41" t="s">
        <v>38</v>
      </c>
      <c r="C52" s="40" t="s">
        <v>106</v>
      </c>
      <c r="D52" s="41" t="s">
        <v>35</v>
      </c>
      <c r="E52" s="46"/>
      <c r="F52" s="47"/>
      <c r="G52" s="90" t="s">
        <v>113</v>
      </c>
      <c r="H52" s="90"/>
      <c r="I52" s="90"/>
      <c r="J52" s="90"/>
      <c r="K52" s="90"/>
      <c r="L52" s="48"/>
      <c r="M52" s="44">
        <f t="shared" si="7"/>
        <v>0</v>
      </c>
      <c r="N52" s="44">
        <v>0</v>
      </c>
      <c r="O52" s="44">
        <v>0</v>
      </c>
      <c r="P52" s="44">
        <v>0</v>
      </c>
      <c r="S52" s="16" t="str">
        <f t="shared" si="0"/>
        <v>2021-10-31</v>
      </c>
      <c r="T52" t="str">
        <f t="shared" si="1"/>
        <v>111800206006</v>
      </c>
      <c r="U52" s="16" t="s">
        <v>33</v>
      </c>
      <c r="V52">
        <v>9</v>
      </c>
      <c r="W52">
        <v>1</v>
      </c>
      <c r="X52" s="15">
        <f t="shared" si="2"/>
        <v>0</v>
      </c>
      <c r="Z52" t="str">
        <f t="shared" si="3"/>
        <v>INSERT INTO REPORTWARE.RWH_IFRS9_R04A0424 (FECHA, PERIODO,CONCEPTO, SUBREPORTE, MONEDA, TIPO_SALDO, DATO) VALUES ('2021-10-31','2021-10-31','111800206006','0424','9','1','0')</v>
      </c>
    </row>
    <row r="53" spans="1:26">
      <c r="A53" s="40" t="s">
        <v>114</v>
      </c>
      <c r="B53" s="41" t="s">
        <v>38</v>
      </c>
      <c r="C53" s="40" t="s">
        <v>106</v>
      </c>
      <c r="D53" s="41" t="s">
        <v>35</v>
      </c>
      <c r="E53" s="46"/>
      <c r="F53" s="47"/>
      <c r="G53" s="90" t="s">
        <v>115</v>
      </c>
      <c r="H53" s="90"/>
      <c r="I53" s="90"/>
      <c r="J53" s="90"/>
      <c r="K53" s="90"/>
      <c r="L53" s="48"/>
      <c r="M53" s="44">
        <f t="shared" si="7"/>
        <v>0</v>
      </c>
      <c r="N53" s="44">
        <v>0</v>
      </c>
      <c r="O53" s="44">
        <v>0</v>
      </c>
      <c r="P53" s="44">
        <v>0</v>
      </c>
      <c r="S53" s="16" t="str">
        <f t="shared" si="0"/>
        <v>2021-10-31</v>
      </c>
      <c r="T53" t="str">
        <f t="shared" si="1"/>
        <v>111800206007</v>
      </c>
      <c r="U53" s="16" t="s">
        <v>33</v>
      </c>
      <c r="V53">
        <v>9</v>
      </c>
      <c r="W53">
        <v>1</v>
      </c>
      <c r="X53" s="15">
        <f t="shared" si="2"/>
        <v>0</v>
      </c>
      <c r="Z53" t="str">
        <f t="shared" si="3"/>
        <v>INSERT INTO REPORTWARE.RWH_IFRS9_R04A0424 (FECHA, PERIODO,CONCEPTO, SUBREPORTE, MONEDA, TIPO_SALDO, DATO) VALUES ('2021-10-31','2021-10-31','111800206007','0424','9','1','0')</v>
      </c>
    </row>
    <row r="54" spans="1:26">
      <c r="A54" s="40" t="s">
        <v>116</v>
      </c>
      <c r="B54" s="41" t="s">
        <v>38</v>
      </c>
      <c r="C54" s="40" t="s">
        <v>106</v>
      </c>
      <c r="D54" s="41" t="s">
        <v>35</v>
      </c>
      <c r="E54" s="46"/>
      <c r="F54" s="47"/>
      <c r="G54" s="90" t="s">
        <v>117</v>
      </c>
      <c r="H54" s="90"/>
      <c r="I54" s="90"/>
      <c r="J54" s="90"/>
      <c r="K54" s="90"/>
      <c r="L54" s="48"/>
      <c r="M54" s="44">
        <f t="shared" si="7"/>
        <v>0</v>
      </c>
      <c r="N54" s="44">
        <v>0</v>
      </c>
      <c r="O54" s="44">
        <v>0</v>
      </c>
      <c r="P54" s="44">
        <v>0</v>
      </c>
      <c r="S54" s="16" t="str">
        <f t="shared" si="0"/>
        <v>2021-10-31</v>
      </c>
      <c r="T54" t="str">
        <f t="shared" si="1"/>
        <v>111800206008</v>
      </c>
      <c r="U54" s="16" t="s">
        <v>33</v>
      </c>
      <c r="V54">
        <v>9</v>
      </c>
      <c r="W54">
        <v>1</v>
      </c>
      <c r="X54" s="15">
        <f t="shared" si="2"/>
        <v>0</v>
      </c>
      <c r="Z54" t="str">
        <f t="shared" si="3"/>
        <v>INSERT INTO REPORTWARE.RWH_IFRS9_R04A0424 (FECHA, PERIODO,CONCEPTO, SUBREPORTE, MONEDA, TIPO_SALDO, DATO) VALUES ('2021-10-31','2021-10-31','111800206008','0424','9','1','0')</v>
      </c>
    </row>
    <row r="55" spans="1:26">
      <c r="A55" s="40" t="s">
        <v>118</v>
      </c>
      <c r="B55" s="41" t="s">
        <v>38</v>
      </c>
      <c r="C55" s="40" t="s">
        <v>106</v>
      </c>
      <c r="D55" s="41" t="s">
        <v>35</v>
      </c>
      <c r="E55" s="46"/>
      <c r="F55" s="47"/>
      <c r="G55" s="90" t="s">
        <v>64</v>
      </c>
      <c r="H55" s="90"/>
      <c r="I55" s="90"/>
      <c r="J55" s="90"/>
      <c r="K55" s="90"/>
      <c r="L55" s="48"/>
      <c r="M55" s="44">
        <f t="shared" si="7"/>
        <v>0</v>
      </c>
      <c r="N55" s="82">
        <v>0</v>
      </c>
      <c r="O55" s="44">
        <v>0</v>
      </c>
      <c r="P55" s="44">
        <v>0</v>
      </c>
      <c r="S55" s="16" t="str">
        <f t="shared" si="0"/>
        <v>2021-10-31</v>
      </c>
      <c r="T55" t="str">
        <f t="shared" si="1"/>
        <v>111800206009</v>
      </c>
      <c r="U55" s="16" t="s">
        <v>33</v>
      </c>
      <c r="V55">
        <v>9</v>
      </c>
      <c r="W55">
        <v>1</v>
      </c>
      <c r="X55" s="15">
        <f t="shared" si="2"/>
        <v>0</v>
      </c>
      <c r="Z55" t="str">
        <f t="shared" si="3"/>
        <v>INSERT INTO REPORTWARE.RWH_IFRS9_R04A0424 (FECHA, PERIODO,CONCEPTO, SUBREPORTE, MONEDA, TIPO_SALDO, DATO) VALUES ('2021-10-31','2021-10-31','111800206009','0424','9','1','0')</v>
      </c>
    </row>
    <row r="56" spans="1:26">
      <c r="A56" s="40" t="s">
        <v>119</v>
      </c>
      <c r="B56" s="41" t="s">
        <v>38</v>
      </c>
      <c r="C56" s="40" t="s">
        <v>106</v>
      </c>
      <c r="D56" s="41" t="s">
        <v>35</v>
      </c>
      <c r="E56" s="46"/>
      <c r="F56" s="47"/>
      <c r="G56" s="89" t="s">
        <v>120</v>
      </c>
      <c r="H56" s="89"/>
      <c r="I56" s="89"/>
      <c r="J56" s="89"/>
      <c r="K56" s="89"/>
      <c r="L56" s="47"/>
      <c r="M56" s="44">
        <f t="shared" si="7"/>
        <v>0</v>
      </c>
      <c r="N56" s="82">
        <v>0</v>
      </c>
      <c r="O56" s="44">
        <v>0</v>
      </c>
      <c r="P56" s="44">
        <v>0</v>
      </c>
      <c r="S56" s="16" t="str">
        <f t="shared" si="0"/>
        <v>2021-10-31</v>
      </c>
      <c r="T56" t="str">
        <f t="shared" si="1"/>
        <v>111800206010</v>
      </c>
      <c r="U56" s="16" t="s">
        <v>33</v>
      </c>
      <c r="V56">
        <v>9</v>
      </c>
      <c r="W56">
        <v>1</v>
      </c>
      <c r="X56" s="15">
        <f t="shared" si="2"/>
        <v>0</v>
      </c>
      <c r="Z56" t="str">
        <f t="shared" si="3"/>
        <v>INSERT INTO REPORTWARE.RWH_IFRS9_R04A0424 (FECHA, PERIODO,CONCEPTO, SUBREPORTE, MONEDA, TIPO_SALDO, DATO) VALUES ('2021-10-31','2021-10-31','111800206010','0424','9','1','0')</v>
      </c>
    </row>
    <row r="57" spans="1:26">
      <c r="A57" s="40" t="s">
        <v>121</v>
      </c>
      <c r="B57" s="41" t="s">
        <v>38</v>
      </c>
      <c r="C57" s="40" t="s">
        <v>106</v>
      </c>
      <c r="D57" s="41" t="s">
        <v>35</v>
      </c>
      <c r="E57" s="46"/>
      <c r="F57" s="47"/>
      <c r="G57" s="90" t="s">
        <v>122</v>
      </c>
      <c r="H57" s="90"/>
      <c r="I57" s="90"/>
      <c r="J57" s="90"/>
      <c r="K57" s="90"/>
      <c r="L57" s="48"/>
      <c r="M57" s="44">
        <f t="shared" si="7"/>
        <v>0</v>
      </c>
      <c r="N57" s="82">
        <v>0</v>
      </c>
      <c r="O57" s="44">
        <v>0</v>
      </c>
      <c r="P57" s="44">
        <v>0</v>
      </c>
      <c r="S57" s="16" t="str">
        <f t="shared" si="0"/>
        <v>2021-10-31</v>
      </c>
      <c r="T57" t="str">
        <f t="shared" si="1"/>
        <v>111800206011</v>
      </c>
      <c r="U57" s="16" t="s">
        <v>33</v>
      </c>
      <c r="V57">
        <v>9</v>
      </c>
      <c r="W57">
        <v>1</v>
      </c>
      <c r="X57" s="15">
        <f t="shared" si="2"/>
        <v>0</v>
      </c>
      <c r="Z57" t="str">
        <f t="shared" si="3"/>
        <v>INSERT INTO REPORTWARE.RWH_IFRS9_R04A0424 (FECHA, PERIODO,CONCEPTO, SUBREPORTE, MONEDA, TIPO_SALDO, DATO) VALUES ('2021-10-31','2021-10-31','111800206011','0424','9','1','0')</v>
      </c>
    </row>
    <row r="58" spans="1:26">
      <c r="A58" s="40" t="s">
        <v>123</v>
      </c>
      <c r="B58" s="41" t="s">
        <v>35</v>
      </c>
      <c r="C58" s="40" t="s">
        <v>29</v>
      </c>
      <c r="D58" s="41" t="s">
        <v>30</v>
      </c>
      <c r="E58" s="46"/>
      <c r="F58" s="96" t="s">
        <v>124</v>
      </c>
      <c r="G58" s="96"/>
      <c r="H58" s="96"/>
      <c r="I58" s="96"/>
      <c r="J58" s="96"/>
      <c r="K58" s="96"/>
      <c r="L58" s="81"/>
      <c r="M58" s="44">
        <f>SUM(M59,M60,M61,M65,M66)</f>
        <v>0</v>
      </c>
      <c r="N58" s="44">
        <f>SUM(N59,N60,N61,N65,N66)</f>
        <v>0</v>
      </c>
      <c r="O58" s="44">
        <f>SUM(O59,O60,O61,O65,O66)</f>
        <v>0</v>
      </c>
      <c r="P58" s="44">
        <f>SUM(P59,P60,P61,P65,P66)</f>
        <v>0</v>
      </c>
      <c r="S58" s="16" t="str">
        <f t="shared" si="0"/>
        <v>2021-10-31</v>
      </c>
      <c r="T58" t="str">
        <f t="shared" si="1"/>
        <v>111800105003</v>
      </c>
      <c r="U58" s="16" t="s">
        <v>33</v>
      </c>
      <c r="V58">
        <v>9</v>
      </c>
      <c r="W58">
        <v>1</v>
      </c>
      <c r="X58" s="15">
        <f t="shared" si="2"/>
        <v>0</v>
      </c>
      <c r="Z58" t="str">
        <f t="shared" si="3"/>
        <v>INSERT INTO REPORTWARE.RWH_IFRS9_R04A0424 (FECHA, PERIODO,CONCEPTO, SUBREPORTE, MONEDA, TIPO_SALDO, DATO) VALUES ('2021-10-31','2021-10-31','111800105003','0424','9','1','0')</v>
      </c>
    </row>
    <row r="59" spans="1:26">
      <c r="A59" s="40" t="s">
        <v>125</v>
      </c>
      <c r="B59" s="41" t="s">
        <v>38</v>
      </c>
      <c r="C59" s="40" t="s">
        <v>123</v>
      </c>
      <c r="D59" s="41" t="s">
        <v>35</v>
      </c>
      <c r="E59" s="46"/>
      <c r="F59" s="47"/>
      <c r="G59" s="90" t="s">
        <v>126</v>
      </c>
      <c r="H59" s="90"/>
      <c r="I59" s="90"/>
      <c r="J59" s="90"/>
      <c r="K59" s="90"/>
      <c r="L59" s="48"/>
      <c r="M59" s="44">
        <f>SUM(N59:P59)</f>
        <v>0</v>
      </c>
      <c r="N59" s="82">
        <v>0</v>
      </c>
      <c r="O59" s="44">
        <v>0</v>
      </c>
      <c r="P59" s="44">
        <v>0</v>
      </c>
      <c r="S59" s="16" t="str">
        <f t="shared" si="0"/>
        <v>2021-10-31</v>
      </c>
      <c r="T59" t="str">
        <f t="shared" si="1"/>
        <v>111800306012</v>
      </c>
      <c r="U59" s="16" t="s">
        <v>33</v>
      </c>
      <c r="V59">
        <v>9</v>
      </c>
      <c r="W59">
        <v>1</v>
      </c>
      <c r="X59" s="15">
        <f t="shared" si="2"/>
        <v>0</v>
      </c>
      <c r="Z59" t="str">
        <f t="shared" si="3"/>
        <v>INSERT INTO REPORTWARE.RWH_IFRS9_R04A0424 (FECHA, PERIODO,CONCEPTO, SUBREPORTE, MONEDA, TIPO_SALDO, DATO) VALUES ('2021-10-31','2021-10-31','111800306012','0424','9','1','0')</v>
      </c>
    </row>
    <row r="60" spans="1:26">
      <c r="A60" s="40" t="s">
        <v>127</v>
      </c>
      <c r="B60" s="41" t="s">
        <v>38</v>
      </c>
      <c r="C60" s="40" t="s">
        <v>123</v>
      </c>
      <c r="D60" s="41" t="s">
        <v>35</v>
      </c>
      <c r="E60" s="46"/>
      <c r="F60" s="47"/>
      <c r="G60" s="90" t="s">
        <v>128</v>
      </c>
      <c r="H60" s="90"/>
      <c r="I60" s="90"/>
      <c r="J60" s="90"/>
      <c r="K60" s="90"/>
      <c r="L60" s="48"/>
      <c r="M60" s="44">
        <f>SUM(N60:P60)</f>
        <v>0</v>
      </c>
      <c r="N60" s="82">
        <v>0</v>
      </c>
      <c r="O60" s="44">
        <v>0</v>
      </c>
      <c r="P60" s="44">
        <v>0</v>
      </c>
      <c r="S60" s="16" t="str">
        <f t="shared" si="0"/>
        <v>2021-10-31</v>
      </c>
      <c r="T60" t="str">
        <f t="shared" si="1"/>
        <v>111800306013</v>
      </c>
      <c r="U60" s="16" t="s">
        <v>33</v>
      </c>
      <c r="V60">
        <v>9</v>
      </c>
      <c r="W60">
        <v>1</v>
      </c>
      <c r="X60" s="15">
        <f t="shared" si="2"/>
        <v>0</v>
      </c>
      <c r="Z60" t="str">
        <f t="shared" si="3"/>
        <v>INSERT INTO REPORTWARE.RWH_IFRS9_R04A0424 (FECHA, PERIODO,CONCEPTO, SUBREPORTE, MONEDA, TIPO_SALDO, DATO) VALUES ('2021-10-31','2021-10-31','111800306013','0424','9','1','0')</v>
      </c>
    </row>
    <row r="61" spans="1:26">
      <c r="A61" s="40" t="s">
        <v>129</v>
      </c>
      <c r="B61" s="41" t="s">
        <v>38</v>
      </c>
      <c r="C61" s="40" t="s">
        <v>123</v>
      </c>
      <c r="D61" s="41" t="s">
        <v>30</v>
      </c>
      <c r="E61" s="46"/>
      <c r="F61" s="47"/>
      <c r="G61" s="90" t="s">
        <v>130</v>
      </c>
      <c r="H61" s="90"/>
      <c r="I61" s="90"/>
      <c r="J61" s="90"/>
      <c r="K61" s="90"/>
      <c r="L61" s="48"/>
      <c r="M61" s="44">
        <f>SUM(M62:M64)</f>
        <v>0</v>
      </c>
      <c r="N61" s="44">
        <f>SUM(N62:N64)</f>
        <v>0</v>
      </c>
      <c r="O61" s="44">
        <f>SUM(O62:O64)</f>
        <v>0</v>
      </c>
      <c r="P61" s="44">
        <f>SUM(P62:P64)</f>
        <v>0</v>
      </c>
      <c r="S61" s="16" t="str">
        <f t="shared" si="0"/>
        <v>2021-10-31</v>
      </c>
      <c r="T61" t="str">
        <f t="shared" si="1"/>
        <v>111800306014</v>
      </c>
      <c r="U61" s="16" t="s">
        <v>33</v>
      </c>
      <c r="V61">
        <v>9</v>
      </c>
      <c r="W61">
        <v>1</v>
      </c>
      <c r="X61" s="15">
        <f t="shared" si="2"/>
        <v>0</v>
      </c>
      <c r="Z61" t="str">
        <f t="shared" si="3"/>
        <v>INSERT INTO REPORTWARE.RWH_IFRS9_R04A0424 (FECHA, PERIODO,CONCEPTO, SUBREPORTE, MONEDA, TIPO_SALDO, DATO) VALUES ('2021-10-31','2021-10-31','111800306014','0424','9','1','0')</v>
      </c>
    </row>
    <row r="62" spans="1:26">
      <c r="A62" s="40" t="s">
        <v>131</v>
      </c>
      <c r="B62" s="41" t="s">
        <v>41</v>
      </c>
      <c r="C62" s="40" t="s">
        <v>129</v>
      </c>
      <c r="D62" s="41" t="s">
        <v>35</v>
      </c>
      <c r="E62" s="46"/>
      <c r="F62" s="47"/>
      <c r="G62" s="47"/>
      <c r="H62" s="90" t="s">
        <v>132</v>
      </c>
      <c r="I62" s="90"/>
      <c r="J62" s="90"/>
      <c r="K62" s="90"/>
      <c r="L62" s="48"/>
      <c r="M62" s="44">
        <f>SUM(N62:P62)</f>
        <v>0</v>
      </c>
      <c r="N62" s="82">
        <v>0</v>
      </c>
      <c r="O62" s="44">
        <v>0</v>
      </c>
      <c r="P62" s="44">
        <v>0</v>
      </c>
      <c r="S62" s="16" t="str">
        <f t="shared" si="0"/>
        <v>2021-10-31</v>
      </c>
      <c r="T62" t="str">
        <f t="shared" si="1"/>
        <v>111801407015</v>
      </c>
      <c r="U62" s="16" t="s">
        <v>33</v>
      </c>
      <c r="V62">
        <v>9</v>
      </c>
      <c r="W62">
        <v>1</v>
      </c>
      <c r="X62" s="15">
        <f t="shared" si="2"/>
        <v>0</v>
      </c>
      <c r="Z62" t="str">
        <f t="shared" si="3"/>
        <v>INSERT INTO REPORTWARE.RWH_IFRS9_R04A0424 (FECHA, PERIODO,CONCEPTO, SUBREPORTE, MONEDA, TIPO_SALDO, DATO) VALUES ('2021-10-31','2021-10-31','111801407015','0424','9','1','0')</v>
      </c>
    </row>
    <row r="63" spans="1:26">
      <c r="A63" s="40" t="s">
        <v>133</v>
      </c>
      <c r="B63" s="41" t="s">
        <v>41</v>
      </c>
      <c r="C63" s="40" t="s">
        <v>129</v>
      </c>
      <c r="D63" s="41" t="s">
        <v>35</v>
      </c>
      <c r="E63" s="46"/>
      <c r="F63" s="47"/>
      <c r="G63" s="47"/>
      <c r="H63" s="90" t="s">
        <v>134</v>
      </c>
      <c r="I63" s="90"/>
      <c r="J63" s="90"/>
      <c r="K63" s="90"/>
      <c r="L63" s="48"/>
      <c r="M63" s="44">
        <f>SUM(N63:P63)</f>
        <v>0</v>
      </c>
      <c r="N63" s="82">
        <v>0</v>
      </c>
      <c r="O63" s="44">
        <v>0</v>
      </c>
      <c r="P63" s="44">
        <v>0</v>
      </c>
      <c r="S63" s="16" t="str">
        <f t="shared" si="0"/>
        <v>2021-10-31</v>
      </c>
      <c r="T63" t="str">
        <f t="shared" si="1"/>
        <v>111801407016</v>
      </c>
      <c r="U63" s="16" t="s">
        <v>33</v>
      </c>
      <c r="V63">
        <v>9</v>
      </c>
      <c r="W63">
        <v>1</v>
      </c>
      <c r="X63" s="15">
        <f t="shared" si="2"/>
        <v>0</v>
      </c>
      <c r="Z63" t="str">
        <f t="shared" si="3"/>
        <v>INSERT INTO REPORTWARE.RWH_IFRS9_R04A0424 (FECHA, PERIODO,CONCEPTO, SUBREPORTE, MONEDA, TIPO_SALDO, DATO) VALUES ('2021-10-31','2021-10-31','111801407016','0424','9','1','0')</v>
      </c>
    </row>
    <row r="64" spans="1:26">
      <c r="A64" s="40" t="s">
        <v>135</v>
      </c>
      <c r="B64" s="41" t="s">
        <v>41</v>
      </c>
      <c r="C64" s="40" t="s">
        <v>129</v>
      </c>
      <c r="D64" s="41" t="s">
        <v>35</v>
      </c>
      <c r="E64" s="46"/>
      <c r="F64" s="47"/>
      <c r="G64" s="47"/>
      <c r="H64" s="89" t="s">
        <v>136</v>
      </c>
      <c r="I64" s="89"/>
      <c r="J64" s="89"/>
      <c r="K64" s="89"/>
      <c r="L64" s="47"/>
      <c r="M64" s="44">
        <f>SUM(N64:P64)</f>
        <v>0</v>
      </c>
      <c r="N64" s="82">
        <v>0</v>
      </c>
      <c r="O64" s="44">
        <v>0</v>
      </c>
      <c r="P64" s="44">
        <v>0</v>
      </c>
      <c r="S64" s="16" t="str">
        <f t="shared" si="0"/>
        <v>2021-10-31</v>
      </c>
      <c r="T64" t="str">
        <f t="shared" si="1"/>
        <v>111801407017</v>
      </c>
      <c r="U64" s="16" t="s">
        <v>33</v>
      </c>
      <c r="V64">
        <v>9</v>
      </c>
      <c r="W64">
        <v>1</v>
      </c>
      <c r="X64" s="15">
        <f t="shared" si="2"/>
        <v>0</v>
      </c>
      <c r="Z64" t="str">
        <f t="shared" si="3"/>
        <v>INSERT INTO REPORTWARE.RWH_IFRS9_R04A0424 (FECHA, PERIODO,CONCEPTO, SUBREPORTE, MONEDA, TIPO_SALDO, DATO) VALUES ('2021-10-31','2021-10-31','111801407017','0424','9','1','0')</v>
      </c>
    </row>
    <row r="65" spans="1:26">
      <c r="A65" s="40" t="s">
        <v>137</v>
      </c>
      <c r="B65" s="41" t="s">
        <v>38</v>
      </c>
      <c r="C65" s="40" t="s">
        <v>123</v>
      </c>
      <c r="D65" s="41" t="s">
        <v>35</v>
      </c>
      <c r="E65" s="46"/>
      <c r="F65" s="47"/>
      <c r="G65" s="90" t="s">
        <v>138</v>
      </c>
      <c r="H65" s="90"/>
      <c r="I65" s="90"/>
      <c r="J65" s="90"/>
      <c r="K65" s="90"/>
      <c r="L65" s="48"/>
      <c r="M65" s="44">
        <f>SUM(N65:P65)</f>
        <v>0</v>
      </c>
      <c r="N65" s="82">
        <v>0</v>
      </c>
      <c r="O65" s="44">
        <v>0</v>
      </c>
      <c r="P65" s="44">
        <v>0</v>
      </c>
      <c r="S65" s="16" t="str">
        <f t="shared" si="0"/>
        <v>2021-10-31</v>
      </c>
      <c r="T65" t="str">
        <f t="shared" si="1"/>
        <v>111800306015</v>
      </c>
      <c r="U65" s="16" t="s">
        <v>33</v>
      </c>
      <c r="V65">
        <v>9</v>
      </c>
      <c r="W65">
        <v>1</v>
      </c>
      <c r="X65" s="15">
        <f t="shared" si="2"/>
        <v>0</v>
      </c>
      <c r="Z65" t="str">
        <f t="shared" si="3"/>
        <v>INSERT INTO REPORTWARE.RWH_IFRS9_R04A0424 (FECHA, PERIODO,CONCEPTO, SUBREPORTE, MONEDA, TIPO_SALDO, DATO) VALUES ('2021-10-31','2021-10-31','111800306015','0424','9','1','0')</v>
      </c>
    </row>
    <row r="66" spans="1:26">
      <c r="A66" s="40" t="s">
        <v>139</v>
      </c>
      <c r="B66" s="41" t="s">
        <v>38</v>
      </c>
      <c r="C66" s="40" t="s">
        <v>123</v>
      </c>
      <c r="D66" s="41" t="s">
        <v>35</v>
      </c>
      <c r="E66" s="46"/>
      <c r="F66" s="47"/>
      <c r="G66" s="89" t="s">
        <v>140</v>
      </c>
      <c r="H66" s="89"/>
      <c r="I66" s="89"/>
      <c r="J66" s="89"/>
      <c r="K66" s="89"/>
      <c r="L66" s="47"/>
      <c r="M66" s="44">
        <f>SUM(N66:P66)</f>
        <v>0</v>
      </c>
      <c r="N66" s="82">
        <v>0</v>
      </c>
      <c r="O66" s="44">
        <v>0</v>
      </c>
      <c r="P66" s="44">
        <v>0</v>
      </c>
      <c r="S66" s="16" t="str">
        <f t="shared" si="0"/>
        <v>2021-10-31</v>
      </c>
      <c r="T66" t="str">
        <f t="shared" si="1"/>
        <v>111800306016</v>
      </c>
      <c r="U66" s="16" t="s">
        <v>33</v>
      </c>
      <c r="V66">
        <v>9</v>
      </c>
      <c r="W66">
        <v>1</v>
      </c>
      <c r="X66" s="15">
        <f t="shared" si="2"/>
        <v>0</v>
      </c>
      <c r="Z66" t="str">
        <f t="shared" si="3"/>
        <v>INSERT INTO REPORTWARE.RWH_IFRS9_R04A0424 (FECHA, PERIODO,CONCEPTO, SUBREPORTE, MONEDA, TIPO_SALDO, DATO) VALUES ('2021-10-31','2021-10-31','111800306016','0424','9','1','0')</v>
      </c>
    </row>
    <row r="67" spans="1:26">
      <c r="A67" s="40" t="s">
        <v>141</v>
      </c>
      <c r="B67" s="41" t="s">
        <v>30</v>
      </c>
      <c r="C67" s="80" t="s">
        <v>30</v>
      </c>
      <c r="D67" s="41" t="s">
        <v>30</v>
      </c>
      <c r="E67" s="98" t="s">
        <v>142</v>
      </c>
      <c r="F67" s="99"/>
      <c r="G67" s="99"/>
      <c r="H67" s="99"/>
      <c r="I67" s="99"/>
      <c r="J67" s="99"/>
      <c r="K67" s="99"/>
      <c r="L67" s="81"/>
      <c r="M67" s="44">
        <f>SUM(M68,M112,M121)</f>
        <v>0</v>
      </c>
      <c r="N67" s="44">
        <f>SUM(N68,N112,N121)</f>
        <v>0</v>
      </c>
      <c r="O67" s="44">
        <f>SUM(O68,O112,O121)</f>
        <v>0</v>
      </c>
      <c r="P67" s="44">
        <f>SUM(P68,P112,P121)</f>
        <v>0</v>
      </c>
      <c r="S67" s="16" t="str">
        <f t="shared" si="0"/>
        <v>2021-10-31</v>
      </c>
      <c r="T67" t="str">
        <f t="shared" si="1"/>
        <v>101800104002</v>
      </c>
      <c r="U67" s="16" t="s">
        <v>33</v>
      </c>
      <c r="V67">
        <v>9</v>
      </c>
      <c r="W67">
        <v>1</v>
      </c>
      <c r="X67" s="15">
        <f t="shared" si="2"/>
        <v>0</v>
      </c>
      <c r="Z67" t="str">
        <f t="shared" si="3"/>
        <v>INSERT INTO REPORTWARE.RWH_IFRS9_R04A0424 (FECHA, PERIODO,CONCEPTO, SUBREPORTE, MONEDA, TIPO_SALDO, DATO) VALUES ('2021-10-31','2021-10-31','101800104002','0424','9','1','0')</v>
      </c>
    </row>
    <row r="68" spans="1:26">
      <c r="A68" s="40" t="s">
        <v>143</v>
      </c>
      <c r="B68" s="41" t="s">
        <v>35</v>
      </c>
      <c r="C68" s="40" t="s">
        <v>141</v>
      </c>
      <c r="D68" s="41" t="s">
        <v>30</v>
      </c>
      <c r="E68" s="46"/>
      <c r="F68" s="96" t="s">
        <v>36</v>
      </c>
      <c r="G68" s="96"/>
      <c r="H68" s="96"/>
      <c r="I68" s="96"/>
      <c r="J68" s="96"/>
      <c r="K68" s="96"/>
      <c r="L68" s="81"/>
      <c r="M68" s="44">
        <f>SUM(M69,M85,M94)</f>
        <v>0</v>
      </c>
      <c r="N68" s="44">
        <f>SUM(N69,N85,N94)</f>
        <v>0</v>
      </c>
      <c r="O68" s="44">
        <f>SUM(O69,O85,O94)</f>
        <v>0</v>
      </c>
      <c r="P68" s="44">
        <f>SUM(P69,P85,P94)</f>
        <v>0</v>
      </c>
      <c r="S68" s="16" t="str">
        <f t="shared" si="0"/>
        <v>2021-10-31</v>
      </c>
      <c r="T68" t="str">
        <f t="shared" si="1"/>
        <v>111800205005</v>
      </c>
      <c r="U68" s="16" t="s">
        <v>33</v>
      </c>
      <c r="V68">
        <v>9</v>
      </c>
      <c r="W68">
        <v>1</v>
      </c>
      <c r="X68" s="15">
        <f t="shared" si="2"/>
        <v>0</v>
      </c>
      <c r="Z68" t="str">
        <f t="shared" si="3"/>
        <v>INSERT INTO REPORTWARE.RWH_IFRS9_R04A0424 (FECHA, PERIODO,CONCEPTO, SUBREPORTE, MONEDA, TIPO_SALDO, DATO) VALUES ('2021-10-31','2021-10-31','111800205005','0424','9','1','0')</v>
      </c>
    </row>
    <row r="69" spans="1:26">
      <c r="A69" s="40" t="s">
        <v>144</v>
      </c>
      <c r="B69" s="41" t="s">
        <v>38</v>
      </c>
      <c r="C69" s="40" t="s">
        <v>143</v>
      </c>
      <c r="D69" s="41" t="s">
        <v>30</v>
      </c>
      <c r="E69" s="46"/>
      <c r="F69" s="47"/>
      <c r="G69" s="90" t="s">
        <v>39</v>
      </c>
      <c r="H69" s="90"/>
      <c r="I69" s="90"/>
      <c r="J69" s="90"/>
      <c r="K69" s="90"/>
      <c r="L69" s="48"/>
      <c r="M69" s="44">
        <f>SUM(M70,M73,M77,M80,M81,M82,M83,M84)</f>
        <v>0</v>
      </c>
      <c r="N69" s="44">
        <f>SUM(N70,N73,N77,N80,N81,N82,N83,N84)</f>
        <v>0</v>
      </c>
      <c r="O69" s="44">
        <f>SUM(O70,O73,O77,O80,O81,O82,O83,O84)</f>
        <v>0</v>
      </c>
      <c r="P69" s="44">
        <f>SUM(P70,P73,P77,P80,P81,P82,P83,P84)</f>
        <v>0</v>
      </c>
      <c r="S69" s="16" t="str">
        <f t="shared" ref="S69:S128" si="8">$Q$4</f>
        <v>2021-10-31</v>
      </c>
      <c r="T69" t="str">
        <f t="shared" ref="T69:T128" si="9">A69</f>
        <v>111800506017</v>
      </c>
      <c r="U69" s="16" t="s">
        <v>33</v>
      </c>
      <c r="V69">
        <v>9</v>
      </c>
      <c r="W69">
        <v>1</v>
      </c>
      <c r="X69" s="15">
        <f t="shared" ref="X69:X128" si="10">P69</f>
        <v>0</v>
      </c>
      <c r="Z69" t="str">
        <f t="shared" ref="Z69:Z132" si="11">"INSERT INTO REPORTWARE.RWH_IFRS9_R04A0424 (FECHA, PERIODO,CONCEPTO, SUBREPORTE, MONEDA, TIPO_SALDO, DATO) VALUES ('"&amp;S69&amp;"','"&amp;S69&amp;"','"&amp;T69&amp;"','"&amp;U69&amp;"','"&amp;V69&amp;"','"&amp;W69&amp;"','"&amp;X69&amp;"')"</f>
        <v>INSERT INTO REPORTWARE.RWH_IFRS9_R04A0424 (FECHA, PERIODO,CONCEPTO, SUBREPORTE, MONEDA, TIPO_SALDO, DATO) VALUES ('2021-10-31','2021-10-31','111800506017','0424','9','1','0')</v>
      </c>
    </row>
    <row r="70" spans="1:26">
      <c r="A70" s="40" t="s">
        <v>145</v>
      </c>
      <c r="B70" s="41" t="s">
        <v>41</v>
      </c>
      <c r="C70" s="40" t="s">
        <v>144</v>
      </c>
      <c r="D70" s="41" t="s">
        <v>30</v>
      </c>
      <c r="E70" s="46"/>
      <c r="F70" s="47"/>
      <c r="G70" s="47"/>
      <c r="H70" s="90" t="s">
        <v>42</v>
      </c>
      <c r="I70" s="90"/>
      <c r="J70" s="90"/>
      <c r="K70" s="90"/>
      <c r="L70" s="48"/>
      <c r="M70" s="44">
        <f>SUM(M71:M72)</f>
        <v>0</v>
      </c>
      <c r="N70" s="44">
        <f>SUM(N71:N72)</f>
        <v>0</v>
      </c>
      <c r="O70" s="44">
        <f>SUM(O71:O72)</f>
        <v>0</v>
      </c>
      <c r="P70" s="44">
        <f>SUM(P71:P72)</f>
        <v>0</v>
      </c>
      <c r="S70" s="16" t="str">
        <f t="shared" si="8"/>
        <v>2021-10-31</v>
      </c>
      <c r="T70" t="str">
        <f t="shared" si="9"/>
        <v>111801707018</v>
      </c>
      <c r="U70" s="16" t="s">
        <v>33</v>
      </c>
      <c r="V70">
        <v>9</v>
      </c>
      <c r="W70">
        <v>1</v>
      </c>
      <c r="X70" s="15">
        <f t="shared" si="10"/>
        <v>0</v>
      </c>
      <c r="Z70" t="str">
        <f t="shared" si="11"/>
        <v>INSERT INTO REPORTWARE.RWH_IFRS9_R04A0424 (FECHA, PERIODO,CONCEPTO, SUBREPORTE, MONEDA, TIPO_SALDO, DATO) VALUES ('2021-10-31','2021-10-31','111801707018','0424','9','1','0')</v>
      </c>
    </row>
    <row r="71" spans="1:26">
      <c r="A71" s="40" t="s">
        <v>146</v>
      </c>
      <c r="B71" s="41" t="s">
        <v>44</v>
      </c>
      <c r="C71" s="40" t="s">
        <v>145</v>
      </c>
      <c r="D71" s="41" t="s">
        <v>35</v>
      </c>
      <c r="E71" s="46"/>
      <c r="F71" s="47"/>
      <c r="G71" s="47"/>
      <c r="H71" s="47"/>
      <c r="I71" s="90" t="s">
        <v>45</v>
      </c>
      <c r="J71" s="90"/>
      <c r="K71" s="90"/>
      <c r="L71" s="48"/>
      <c r="M71" s="44">
        <f>SUM(N71:P71)</f>
        <v>0</v>
      </c>
      <c r="N71" s="82">
        <v>0</v>
      </c>
      <c r="O71" s="44">
        <v>0</v>
      </c>
      <c r="P71" s="44">
        <v>0</v>
      </c>
      <c r="S71" s="16" t="str">
        <f t="shared" si="8"/>
        <v>2021-10-31</v>
      </c>
      <c r="T71" t="str">
        <f t="shared" si="9"/>
        <v>111801808027</v>
      </c>
      <c r="U71" s="16" t="s">
        <v>33</v>
      </c>
      <c r="V71">
        <v>9</v>
      </c>
      <c r="W71">
        <v>1</v>
      </c>
      <c r="X71" s="15">
        <f t="shared" si="10"/>
        <v>0</v>
      </c>
      <c r="Z71" t="str">
        <f t="shared" si="11"/>
        <v>INSERT INTO REPORTWARE.RWH_IFRS9_R04A0424 (FECHA, PERIODO,CONCEPTO, SUBREPORTE, MONEDA, TIPO_SALDO, DATO) VALUES ('2021-10-31','2021-10-31','111801808027','0424','9','1','0')</v>
      </c>
    </row>
    <row r="72" spans="1:26">
      <c r="A72" s="40" t="s">
        <v>147</v>
      </c>
      <c r="B72" s="41" t="s">
        <v>44</v>
      </c>
      <c r="C72" s="40" t="s">
        <v>145</v>
      </c>
      <c r="D72" s="41" t="s">
        <v>35</v>
      </c>
      <c r="E72" s="46"/>
      <c r="F72" s="47"/>
      <c r="G72" s="47"/>
      <c r="H72" s="47"/>
      <c r="I72" s="90" t="s">
        <v>47</v>
      </c>
      <c r="J72" s="90"/>
      <c r="K72" s="90"/>
      <c r="L72" s="48"/>
      <c r="M72" s="44">
        <f>SUM(N72:P72)</f>
        <v>0</v>
      </c>
      <c r="N72" s="82">
        <v>0</v>
      </c>
      <c r="O72" s="44">
        <v>0</v>
      </c>
      <c r="P72" s="44">
        <v>0</v>
      </c>
      <c r="S72" s="16" t="str">
        <f t="shared" si="8"/>
        <v>2021-10-31</v>
      </c>
      <c r="T72" t="str">
        <f t="shared" si="9"/>
        <v>111801808028</v>
      </c>
      <c r="U72" s="16" t="s">
        <v>33</v>
      </c>
      <c r="V72">
        <v>9</v>
      </c>
      <c r="W72">
        <v>1</v>
      </c>
      <c r="X72" s="15">
        <f t="shared" si="10"/>
        <v>0</v>
      </c>
      <c r="Z72" t="str">
        <f t="shared" si="11"/>
        <v>INSERT INTO REPORTWARE.RWH_IFRS9_R04A0424 (FECHA, PERIODO,CONCEPTO, SUBREPORTE, MONEDA, TIPO_SALDO, DATO) VALUES ('2021-10-31','2021-10-31','111801808028','0424','9','1','0')</v>
      </c>
    </row>
    <row r="73" spans="1:26">
      <c r="A73" s="40" t="s">
        <v>148</v>
      </c>
      <c r="B73" s="41" t="s">
        <v>41</v>
      </c>
      <c r="C73" s="40" t="s">
        <v>144</v>
      </c>
      <c r="D73" s="41" t="s">
        <v>30</v>
      </c>
      <c r="E73" s="46"/>
      <c r="F73" s="47"/>
      <c r="G73" s="47"/>
      <c r="H73" s="90" t="s">
        <v>49</v>
      </c>
      <c r="I73" s="90"/>
      <c r="J73" s="90"/>
      <c r="K73" s="90"/>
      <c r="L73" s="48"/>
      <c r="M73" s="44">
        <f>SUM(M74:M76)</f>
        <v>0</v>
      </c>
      <c r="N73" s="44">
        <f>SUM(N74:N76)</f>
        <v>0</v>
      </c>
      <c r="O73" s="44">
        <f>SUM(O74:O76)</f>
        <v>0</v>
      </c>
      <c r="P73" s="44">
        <f>SUM(P74:P76)</f>
        <v>0</v>
      </c>
      <c r="S73" s="16" t="str">
        <f t="shared" si="8"/>
        <v>2021-10-31</v>
      </c>
      <c r="T73" t="str">
        <f t="shared" si="9"/>
        <v>111801707019</v>
      </c>
      <c r="U73" s="16" t="s">
        <v>33</v>
      </c>
      <c r="V73">
        <v>9</v>
      </c>
      <c r="W73">
        <v>1</v>
      </c>
      <c r="X73" s="15">
        <f t="shared" si="10"/>
        <v>0</v>
      </c>
      <c r="Z73" t="str">
        <f t="shared" si="11"/>
        <v>INSERT INTO REPORTWARE.RWH_IFRS9_R04A0424 (FECHA, PERIODO,CONCEPTO, SUBREPORTE, MONEDA, TIPO_SALDO, DATO) VALUES ('2021-10-31','2021-10-31','111801707019','0424','9','1','0')</v>
      </c>
    </row>
    <row r="74" spans="1:26">
      <c r="A74" s="40" t="s">
        <v>149</v>
      </c>
      <c r="B74" s="41" t="s">
        <v>44</v>
      </c>
      <c r="C74" s="40" t="s">
        <v>148</v>
      </c>
      <c r="D74" s="41" t="s">
        <v>35</v>
      </c>
      <c r="E74" s="46"/>
      <c r="F74" s="47"/>
      <c r="G74" s="47"/>
      <c r="H74" s="47"/>
      <c r="I74" s="90" t="s">
        <v>51</v>
      </c>
      <c r="J74" s="90"/>
      <c r="K74" s="90"/>
      <c r="L74" s="48"/>
      <c r="M74" s="44">
        <f>SUM(N74:P74)</f>
        <v>0</v>
      </c>
      <c r="N74" s="82">
        <v>0</v>
      </c>
      <c r="O74" s="44">
        <v>0</v>
      </c>
      <c r="P74" s="44">
        <v>0</v>
      </c>
      <c r="S74" s="16" t="str">
        <f t="shared" si="8"/>
        <v>2021-10-31</v>
      </c>
      <c r="T74" t="str">
        <f t="shared" si="9"/>
        <v>111801908029</v>
      </c>
      <c r="U74" s="16" t="s">
        <v>33</v>
      </c>
      <c r="V74">
        <v>9</v>
      </c>
      <c r="W74">
        <v>1</v>
      </c>
      <c r="X74" s="15">
        <f t="shared" si="10"/>
        <v>0</v>
      </c>
      <c r="Z74" t="str">
        <f t="shared" si="11"/>
        <v>INSERT INTO REPORTWARE.RWH_IFRS9_R04A0424 (FECHA, PERIODO,CONCEPTO, SUBREPORTE, MONEDA, TIPO_SALDO, DATO) VALUES ('2021-10-31','2021-10-31','111801908029','0424','9','1','0')</v>
      </c>
    </row>
    <row r="75" spans="1:26">
      <c r="A75" s="40" t="s">
        <v>150</v>
      </c>
      <c r="B75" s="41" t="s">
        <v>44</v>
      </c>
      <c r="C75" s="40" t="s">
        <v>148</v>
      </c>
      <c r="D75" s="41" t="s">
        <v>35</v>
      </c>
      <c r="E75" s="46"/>
      <c r="F75" s="47"/>
      <c r="G75" s="47"/>
      <c r="H75" s="47"/>
      <c r="I75" s="90" t="s">
        <v>53</v>
      </c>
      <c r="J75" s="90"/>
      <c r="K75" s="90"/>
      <c r="L75" s="48"/>
      <c r="M75" s="44">
        <f>SUM(N75:P75)</f>
        <v>0</v>
      </c>
      <c r="N75" s="82">
        <v>0</v>
      </c>
      <c r="O75" s="44">
        <v>0</v>
      </c>
      <c r="P75" s="44">
        <v>0</v>
      </c>
      <c r="S75" s="16" t="str">
        <f t="shared" si="8"/>
        <v>2021-10-31</v>
      </c>
      <c r="T75" t="str">
        <f t="shared" si="9"/>
        <v>111801908030</v>
      </c>
      <c r="U75" s="16" t="s">
        <v>33</v>
      </c>
      <c r="V75">
        <v>9</v>
      </c>
      <c r="W75">
        <v>1</v>
      </c>
      <c r="X75" s="15">
        <f t="shared" si="10"/>
        <v>0</v>
      </c>
      <c r="Z75" t="str">
        <f t="shared" si="11"/>
        <v>INSERT INTO REPORTWARE.RWH_IFRS9_R04A0424 (FECHA, PERIODO,CONCEPTO, SUBREPORTE, MONEDA, TIPO_SALDO, DATO) VALUES ('2021-10-31','2021-10-31','111801908030','0424','9','1','0')</v>
      </c>
    </row>
    <row r="76" spans="1:26">
      <c r="A76" s="40" t="s">
        <v>151</v>
      </c>
      <c r="B76" s="41" t="s">
        <v>44</v>
      </c>
      <c r="C76" s="40" t="s">
        <v>148</v>
      </c>
      <c r="D76" s="41" t="s">
        <v>35</v>
      </c>
      <c r="E76" s="46"/>
      <c r="F76" s="47"/>
      <c r="G76" s="47"/>
      <c r="H76" s="47"/>
      <c r="I76" s="90" t="s">
        <v>47</v>
      </c>
      <c r="J76" s="90"/>
      <c r="K76" s="90"/>
      <c r="L76" s="48"/>
      <c r="M76" s="44">
        <f>SUM(N76:P76)</f>
        <v>0</v>
      </c>
      <c r="N76" s="82">
        <v>0</v>
      </c>
      <c r="O76" s="44">
        <v>0</v>
      </c>
      <c r="P76" s="44">
        <v>0</v>
      </c>
      <c r="S76" s="16" t="str">
        <f t="shared" si="8"/>
        <v>2021-10-31</v>
      </c>
      <c r="T76" t="str">
        <f t="shared" si="9"/>
        <v>111801908031</v>
      </c>
      <c r="U76" s="16" t="s">
        <v>33</v>
      </c>
      <c r="V76">
        <v>9</v>
      </c>
      <c r="W76">
        <v>1</v>
      </c>
      <c r="X76" s="15">
        <f t="shared" si="10"/>
        <v>0</v>
      </c>
      <c r="Z76" t="str">
        <f t="shared" si="11"/>
        <v>INSERT INTO REPORTWARE.RWH_IFRS9_R04A0424 (FECHA, PERIODO,CONCEPTO, SUBREPORTE, MONEDA, TIPO_SALDO, DATO) VALUES ('2021-10-31','2021-10-31','111801908031','0424','9','1','0')</v>
      </c>
    </row>
    <row r="77" spans="1:26">
      <c r="A77" s="40" t="s">
        <v>152</v>
      </c>
      <c r="B77" s="41" t="s">
        <v>41</v>
      </c>
      <c r="C77" s="40" t="s">
        <v>144</v>
      </c>
      <c r="D77" s="41" t="s">
        <v>30</v>
      </c>
      <c r="E77" s="46"/>
      <c r="F77" s="47"/>
      <c r="G77" s="47"/>
      <c r="H77" s="90" t="s">
        <v>56</v>
      </c>
      <c r="I77" s="90"/>
      <c r="J77" s="90"/>
      <c r="K77" s="90"/>
      <c r="L77" s="48"/>
      <c r="M77" s="44">
        <f>SUM(M78:M79)</f>
        <v>0</v>
      </c>
      <c r="N77" s="44">
        <f>SUM(N78:N79)</f>
        <v>0</v>
      </c>
      <c r="O77" s="44">
        <f>SUM(O78:O79)</f>
        <v>0</v>
      </c>
      <c r="P77" s="44">
        <f>SUM(P78:P79)</f>
        <v>0</v>
      </c>
      <c r="S77" s="16" t="str">
        <f t="shared" si="8"/>
        <v>2021-10-31</v>
      </c>
      <c r="T77" t="str">
        <f t="shared" si="9"/>
        <v>111801707020</v>
      </c>
      <c r="U77" s="16" t="s">
        <v>33</v>
      </c>
      <c r="V77">
        <v>9</v>
      </c>
      <c r="W77">
        <v>1</v>
      </c>
      <c r="X77" s="15">
        <f t="shared" si="10"/>
        <v>0</v>
      </c>
      <c r="Z77" t="str">
        <f t="shared" si="11"/>
        <v>INSERT INTO REPORTWARE.RWH_IFRS9_R04A0424 (FECHA, PERIODO,CONCEPTO, SUBREPORTE, MONEDA, TIPO_SALDO, DATO) VALUES ('2021-10-31','2021-10-31','111801707020','0424','9','1','0')</v>
      </c>
    </row>
    <row r="78" spans="1:26">
      <c r="A78" s="40" t="s">
        <v>153</v>
      </c>
      <c r="B78" s="41" t="s">
        <v>44</v>
      </c>
      <c r="C78" s="40" t="s">
        <v>152</v>
      </c>
      <c r="D78" s="41" t="s">
        <v>35</v>
      </c>
      <c r="E78" s="46"/>
      <c r="F78" s="47"/>
      <c r="G78" s="47"/>
      <c r="H78" s="47"/>
      <c r="I78" s="90" t="s">
        <v>58</v>
      </c>
      <c r="J78" s="90"/>
      <c r="K78" s="90"/>
      <c r="L78" s="48"/>
      <c r="M78" s="44">
        <f t="shared" ref="M78:M84" si="12">SUM(N78:P78)</f>
        <v>0</v>
      </c>
      <c r="N78" s="82">
        <v>0</v>
      </c>
      <c r="O78" s="44">
        <v>0</v>
      </c>
      <c r="P78" s="44">
        <v>0</v>
      </c>
      <c r="S78" s="16" t="str">
        <f t="shared" si="8"/>
        <v>2021-10-31</v>
      </c>
      <c r="T78" t="str">
        <f t="shared" si="9"/>
        <v>111802008032</v>
      </c>
      <c r="U78" s="16" t="s">
        <v>33</v>
      </c>
      <c r="V78">
        <v>9</v>
      </c>
      <c r="W78">
        <v>1</v>
      </c>
      <c r="X78" s="15">
        <f t="shared" si="10"/>
        <v>0</v>
      </c>
      <c r="Z78" t="str">
        <f t="shared" si="11"/>
        <v>INSERT INTO REPORTWARE.RWH_IFRS9_R04A0424 (FECHA, PERIODO,CONCEPTO, SUBREPORTE, MONEDA, TIPO_SALDO, DATO) VALUES ('2021-10-31','2021-10-31','111802008032','0424','9','1','0')</v>
      </c>
    </row>
    <row r="79" spans="1:26">
      <c r="A79" s="40" t="s">
        <v>154</v>
      </c>
      <c r="B79" s="41" t="s">
        <v>44</v>
      </c>
      <c r="C79" s="40" t="s">
        <v>152</v>
      </c>
      <c r="D79" s="41" t="s">
        <v>35</v>
      </c>
      <c r="E79" s="46"/>
      <c r="F79" s="47"/>
      <c r="G79" s="47"/>
      <c r="H79" s="47"/>
      <c r="I79" s="90" t="s">
        <v>60</v>
      </c>
      <c r="J79" s="90"/>
      <c r="K79" s="90"/>
      <c r="L79" s="48"/>
      <c r="M79" s="44">
        <f t="shared" si="12"/>
        <v>0</v>
      </c>
      <c r="N79" s="82">
        <v>0</v>
      </c>
      <c r="O79" s="44">
        <v>0</v>
      </c>
      <c r="P79" s="44">
        <v>0</v>
      </c>
      <c r="S79" s="16" t="str">
        <f t="shared" si="8"/>
        <v>2021-10-31</v>
      </c>
      <c r="T79" t="str">
        <f t="shared" si="9"/>
        <v>111802008033</v>
      </c>
      <c r="U79" s="16" t="s">
        <v>33</v>
      </c>
      <c r="V79">
        <v>9</v>
      </c>
      <c r="W79">
        <v>1</v>
      </c>
      <c r="X79" s="15">
        <f t="shared" si="10"/>
        <v>0</v>
      </c>
      <c r="Z79" t="str">
        <f t="shared" si="11"/>
        <v>INSERT INTO REPORTWARE.RWH_IFRS9_R04A0424 (FECHA, PERIODO,CONCEPTO, SUBREPORTE, MONEDA, TIPO_SALDO, DATO) VALUES ('2021-10-31','2021-10-31','111802008033','0424','9','1','0')</v>
      </c>
    </row>
    <row r="80" spans="1:26">
      <c r="A80" s="40" t="s">
        <v>155</v>
      </c>
      <c r="B80" s="41" t="s">
        <v>41</v>
      </c>
      <c r="C80" s="40" t="s">
        <v>144</v>
      </c>
      <c r="D80" s="41" t="s">
        <v>35</v>
      </c>
      <c r="E80" s="46"/>
      <c r="F80" s="47"/>
      <c r="G80" s="47"/>
      <c r="H80" s="90" t="s">
        <v>62</v>
      </c>
      <c r="I80" s="90"/>
      <c r="J80" s="90"/>
      <c r="K80" s="90"/>
      <c r="L80" s="48"/>
      <c r="M80" s="44">
        <f t="shared" si="12"/>
        <v>0</v>
      </c>
      <c r="N80" s="82">
        <v>0</v>
      </c>
      <c r="O80" s="44">
        <v>0</v>
      </c>
      <c r="P80" s="44">
        <v>0</v>
      </c>
      <c r="S80" s="16" t="str">
        <f t="shared" si="8"/>
        <v>2021-10-31</v>
      </c>
      <c r="T80" t="str">
        <f t="shared" si="9"/>
        <v>111801707021</v>
      </c>
      <c r="U80" s="16" t="s">
        <v>33</v>
      </c>
      <c r="V80">
        <v>9</v>
      </c>
      <c r="W80">
        <v>1</v>
      </c>
      <c r="X80" s="15">
        <f t="shared" si="10"/>
        <v>0</v>
      </c>
      <c r="Z80" t="str">
        <f t="shared" si="11"/>
        <v>INSERT INTO REPORTWARE.RWH_IFRS9_R04A0424 (FECHA, PERIODO,CONCEPTO, SUBREPORTE, MONEDA, TIPO_SALDO, DATO) VALUES ('2021-10-31','2021-10-31','111801707021','0424','9','1','0')</v>
      </c>
    </row>
    <row r="81" spans="1:26">
      <c r="A81" s="40" t="s">
        <v>156</v>
      </c>
      <c r="B81" s="41" t="s">
        <v>41</v>
      </c>
      <c r="C81" s="40" t="s">
        <v>144</v>
      </c>
      <c r="D81" s="41" t="s">
        <v>35</v>
      </c>
      <c r="E81" s="46"/>
      <c r="F81" s="47"/>
      <c r="G81" s="47"/>
      <c r="H81" s="90" t="s">
        <v>64</v>
      </c>
      <c r="I81" s="90"/>
      <c r="J81" s="90"/>
      <c r="K81" s="90"/>
      <c r="L81" s="48"/>
      <c r="M81" s="44">
        <f t="shared" si="12"/>
        <v>0</v>
      </c>
      <c r="N81" s="82">
        <v>0</v>
      </c>
      <c r="O81" s="44">
        <v>0</v>
      </c>
      <c r="P81" s="44">
        <v>0</v>
      </c>
      <c r="S81" s="16" t="str">
        <f t="shared" si="8"/>
        <v>2021-10-31</v>
      </c>
      <c r="T81" t="str">
        <f t="shared" si="9"/>
        <v>111801707022</v>
      </c>
      <c r="U81" s="16" t="s">
        <v>33</v>
      </c>
      <c r="V81">
        <v>9</v>
      </c>
      <c r="W81">
        <v>1</v>
      </c>
      <c r="X81" s="15">
        <f t="shared" si="10"/>
        <v>0</v>
      </c>
      <c r="Z81" t="str">
        <f t="shared" si="11"/>
        <v>INSERT INTO REPORTWARE.RWH_IFRS9_R04A0424 (FECHA, PERIODO,CONCEPTO, SUBREPORTE, MONEDA, TIPO_SALDO, DATO) VALUES ('2021-10-31','2021-10-31','111801707022','0424','9','1','0')</v>
      </c>
    </row>
    <row r="82" spans="1:26">
      <c r="A82" s="40" t="s">
        <v>157</v>
      </c>
      <c r="B82" s="41" t="s">
        <v>41</v>
      </c>
      <c r="C82" s="40" t="s">
        <v>144</v>
      </c>
      <c r="D82" s="41" t="s">
        <v>35</v>
      </c>
      <c r="E82" s="46"/>
      <c r="F82" s="47"/>
      <c r="G82" s="47"/>
      <c r="H82" s="90" t="s">
        <v>66</v>
      </c>
      <c r="I82" s="90"/>
      <c r="J82" s="90"/>
      <c r="K82" s="90"/>
      <c r="L82" s="48"/>
      <c r="M82" s="44">
        <f t="shared" si="12"/>
        <v>0</v>
      </c>
      <c r="N82" s="82">
        <v>0</v>
      </c>
      <c r="O82" s="44">
        <v>0</v>
      </c>
      <c r="P82" s="44">
        <v>0</v>
      </c>
      <c r="S82" s="16" t="str">
        <f t="shared" si="8"/>
        <v>2021-10-31</v>
      </c>
      <c r="T82" t="str">
        <f t="shared" si="9"/>
        <v>111801707023</v>
      </c>
      <c r="U82" s="16" t="s">
        <v>33</v>
      </c>
      <c r="V82">
        <v>9</v>
      </c>
      <c r="W82">
        <v>1</v>
      </c>
      <c r="X82" s="15">
        <f t="shared" si="10"/>
        <v>0</v>
      </c>
      <c r="Z82" t="str">
        <f t="shared" si="11"/>
        <v>INSERT INTO REPORTWARE.RWH_IFRS9_R04A0424 (FECHA, PERIODO,CONCEPTO, SUBREPORTE, MONEDA, TIPO_SALDO, DATO) VALUES ('2021-10-31','2021-10-31','111801707023','0424','9','1','0')</v>
      </c>
    </row>
    <row r="83" spans="1:26">
      <c r="A83" s="40" t="s">
        <v>158</v>
      </c>
      <c r="B83" s="41" t="s">
        <v>41</v>
      </c>
      <c r="C83" s="40" t="s">
        <v>144</v>
      </c>
      <c r="D83" s="41" t="s">
        <v>35</v>
      </c>
      <c r="E83" s="46"/>
      <c r="F83" s="47"/>
      <c r="G83" s="47"/>
      <c r="H83" s="90" t="s">
        <v>68</v>
      </c>
      <c r="I83" s="90"/>
      <c r="J83" s="90"/>
      <c r="K83" s="90"/>
      <c r="L83" s="48"/>
      <c r="M83" s="44">
        <f t="shared" si="12"/>
        <v>0</v>
      </c>
      <c r="N83" s="82">
        <v>0</v>
      </c>
      <c r="O83" s="44">
        <v>0</v>
      </c>
      <c r="P83" s="44">
        <v>0</v>
      </c>
      <c r="S83" s="16" t="str">
        <f t="shared" si="8"/>
        <v>2021-10-31</v>
      </c>
      <c r="T83" t="str">
        <f t="shared" si="9"/>
        <v>111801707024</v>
      </c>
      <c r="U83" s="16" t="s">
        <v>33</v>
      </c>
      <c r="V83">
        <v>9</v>
      </c>
      <c r="W83">
        <v>1</v>
      </c>
      <c r="X83" s="15">
        <f t="shared" si="10"/>
        <v>0</v>
      </c>
      <c r="Z83" t="str">
        <f t="shared" si="11"/>
        <v>INSERT INTO REPORTWARE.RWH_IFRS9_R04A0424 (FECHA, PERIODO,CONCEPTO, SUBREPORTE, MONEDA, TIPO_SALDO, DATO) VALUES ('2021-10-31','2021-10-31','111801707024','0424','9','1','0')</v>
      </c>
    </row>
    <row r="84" spans="1:26">
      <c r="A84" s="40" t="s">
        <v>159</v>
      </c>
      <c r="B84" s="41" t="s">
        <v>41</v>
      </c>
      <c r="C84" s="40" t="s">
        <v>144</v>
      </c>
      <c r="D84" s="41" t="s">
        <v>35</v>
      </c>
      <c r="E84" s="46"/>
      <c r="F84" s="47"/>
      <c r="G84" s="47"/>
      <c r="H84" s="90" t="s">
        <v>47</v>
      </c>
      <c r="I84" s="90"/>
      <c r="J84" s="90"/>
      <c r="K84" s="90"/>
      <c r="L84" s="48"/>
      <c r="M84" s="44">
        <f t="shared" si="12"/>
        <v>0</v>
      </c>
      <c r="N84" s="82">
        <v>0</v>
      </c>
      <c r="O84" s="44">
        <v>0</v>
      </c>
      <c r="P84" s="44">
        <v>0</v>
      </c>
      <c r="S84" s="16" t="str">
        <f t="shared" si="8"/>
        <v>2021-10-31</v>
      </c>
      <c r="T84" t="str">
        <f t="shared" si="9"/>
        <v>111801707025</v>
      </c>
      <c r="U84" s="16" t="s">
        <v>33</v>
      </c>
      <c r="V84">
        <v>9</v>
      </c>
      <c r="W84">
        <v>1</v>
      </c>
      <c r="X84" s="15">
        <f t="shared" si="10"/>
        <v>0</v>
      </c>
      <c r="Z84" t="str">
        <f t="shared" si="11"/>
        <v>INSERT INTO REPORTWARE.RWH_IFRS9_R04A0424 (FECHA, PERIODO,CONCEPTO, SUBREPORTE, MONEDA, TIPO_SALDO, DATO) VALUES ('2021-10-31','2021-10-31','111801707025','0424','9','1','0')</v>
      </c>
    </row>
    <row r="85" spans="1:26">
      <c r="A85" s="40" t="s">
        <v>160</v>
      </c>
      <c r="B85" s="41" t="s">
        <v>38</v>
      </c>
      <c r="C85" s="40" t="s">
        <v>143</v>
      </c>
      <c r="D85" s="41" t="s">
        <v>30</v>
      </c>
      <c r="E85" s="46"/>
      <c r="F85" s="47"/>
      <c r="G85" s="90" t="s">
        <v>71</v>
      </c>
      <c r="H85" s="90"/>
      <c r="I85" s="90"/>
      <c r="J85" s="90"/>
      <c r="K85" s="90"/>
      <c r="L85" s="48"/>
      <c r="M85" s="44">
        <f>SUM(M86,M90)</f>
        <v>0</v>
      </c>
      <c r="N85" s="44">
        <f>SUM(N86,N90)</f>
        <v>0</v>
      </c>
      <c r="O85" s="44">
        <f>SUM(O86,O90)</f>
        <v>0</v>
      </c>
      <c r="P85" s="44">
        <f>SUM(P86,P90)</f>
        <v>0</v>
      </c>
      <c r="S85" s="16" t="str">
        <f t="shared" si="8"/>
        <v>2021-10-31</v>
      </c>
      <c r="T85" t="str">
        <f t="shared" si="9"/>
        <v>111800506018</v>
      </c>
      <c r="U85" s="16" t="s">
        <v>33</v>
      </c>
      <c r="V85">
        <v>9</v>
      </c>
      <c r="W85">
        <v>1</v>
      </c>
      <c r="X85" s="15">
        <f t="shared" si="10"/>
        <v>0</v>
      </c>
      <c r="Z85" t="str">
        <f t="shared" si="11"/>
        <v>INSERT INTO REPORTWARE.RWH_IFRS9_R04A0424 (FECHA, PERIODO,CONCEPTO, SUBREPORTE, MONEDA, TIPO_SALDO, DATO) VALUES ('2021-10-31','2021-10-31','111800506018','0424','9','1','0')</v>
      </c>
    </row>
    <row r="86" spans="1:26">
      <c r="A86" s="40" t="s">
        <v>161</v>
      </c>
      <c r="B86" s="41" t="s">
        <v>41</v>
      </c>
      <c r="C86" s="40" t="s">
        <v>160</v>
      </c>
      <c r="D86" s="41" t="s">
        <v>30</v>
      </c>
      <c r="E86" s="46"/>
      <c r="F86" s="47"/>
      <c r="G86" s="47"/>
      <c r="H86" s="90" t="s">
        <v>73</v>
      </c>
      <c r="I86" s="90"/>
      <c r="J86" s="90"/>
      <c r="K86" s="90"/>
      <c r="L86" s="48"/>
      <c r="M86" s="44">
        <f>SUM(M87:M89)</f>
        <v>0</v>
      </c>
      <c r="N86" s="44">
        <f>SUM(N87:N89)</f>
        <v>0</v>
      </c>
      <c r="O86" s="44">
        <f>SUM(O87:O89)</f>
        <v>0</v>
      </c>
      <c r="P86" s="44">
        <f>SUM(P87:P89)</f>
        <v>0</v>
      </c>
      <c r="S86" s="16" t="str">
        <f t="shared" si="8"/>
        <v>2021-10-31</v>
      </c>
      <c r="T86" t="str">
        <f t="shared" si="9"/>
        <v>111801807026</v>
      </c>
      <c r="U86" s="16" t="s">
        <v>33</v>
      </c>
      <c r="V86">
        <v>9</v>
      </c>
      <c r="W86">
        <v>1</v>
      </c>
      <c r="X86" s="15">
        <f t="shared" si="10"/>
        <v>0</v>
      </c>
      <c r="Z86" t="str">
        <f t="shared" si="11"/>
        <v>INSERT INTO REPORTWARE.RWH_IFRS9_R04A0424 (FECHA, PERIODO,CONCEPTO, SUBREPORTE, MONEDA, TIPO_SALDO, DATO) VALUES ('2021-10-31','2021-10-31','111801807026','0424','9','1','0')</v>
      </c>
    </row>
    <row r="87" spans="1:26">
      <c r="A87" s="40" t="s">
        <v>162</v>
      </c>
      <c r="B87" s="41" t="s">
        <v>44</v>
      </c>
      <c r="C87" s="40" t="s">
        <v>161</v>
      </c>
      <c r="D87" s="41" t="s">
        <v>35</v>
      </c>
      <c r="E87" s="46"/>
      <c r="F87" s="47"/>
      <c r="G87" s="47"/>
      <c r="H87" s="47"/>
      <c r="I87" s="90" t="s">
        <v>64</v>
      </c>
      <c r="J87" s="90"/>
      <c r="K87" s="90"/>
      <c r="L87" s="48"/>
      <c r="M87" s="44">
        <f>SUM(N87:P87)</f>
        <v>0</v>
      </c>
      <c r="N87" s="82">
        <v>0</v>
      </c>
      <c r="O87" s="44">
        <v>0</v>
      </c>
      <c r="P87" s="44">
        <v>0</v>
      </c>
      <c r="S87" s="16" t="str">
        <f t="shared" si="8"/>
        <v>2021-10-31</v>
      </c>
      <c r="T87" t="str">
        <f t="shared" si="9"/>
        <v>111802608034</v>
      </c>
      <c r="U87" s="16" t="s">
        <v>33</v>
      </c>
      <c r="V87">
        <v>9</v>
      </c>
      <c r="W87">
        <v>1</v>
      </c>
      <c r="X87" s="15">
        <f t="shared" si="10"/>
        <v>0</v>
      </c>
      <c r="Z87" t="str">
        <f t="shared" si="11"/>
        <v>INSERT INTO REPORTWARE.RWH_IFRS9_R04A0424 (FECHA, PERIODO,CONCEPTO, SUBREPORTE, MONEDA, TIPO_SALDO, DATO) VALUES ('2021-10-31','2021-10-31','111802608034','0424','9','1','0')</v>
      </c>
    </row>
    <row r="88" spans="1:26">
      <c r="A88" s="40" t="s">
        <v>163</v>
      </c>
      <c r="B88" s="41" t="s">
        <v>44</v>
      </c>
      <c r="C88" s="40" t="s">
        <v>161</v>
      </c>
      <c r="D88" s="41" t="s">
        <v>35</v>
      </c>
      <c r="E88" s="46"/>
      <c r="F88" s="47"/>
      <c r="G88" s="47"/>
      <c r="H88" s="47"/>
      <c r="I88" s="90" t="s">
        <v>68</v>
      </c>
      <c r="J88" s="90"/>
      <c r="K88" s="90"/>
      <c r="L88" s="48"/>
      <c r="M88" s="44">
        <f>SUM(N88:P88)</f>
        <v>0</v>
      </c>
      <c r="N88" s="82">
        <v>0</v>
      </c>
      <c r="O88" s="44">
        <v>0</v>
      </c>
      <c r="P88" s="44">
        <v>0</v>
      </c>
      <c r="S88" s="16" t="str">
        <f t="shared" si="8"/>
        <v>2021-10-31</v>
      </c>
      <c r="T88" t="str">
        <f t="shared" si="9"/>
        <v>111802608035</v>
      </c>
      <c r="U88" s="16" t="s">
        <v>33</v>
      </c>
      <c r="V88">
        <v>9</v>
      </c>
      <c r="W88">
        <v>1</v>
      </c>
      <c r="X88" s="15">
        <f t="shared" si="10"/>
        <v>0</v>
      </c>
      <c r="Z88" t="str">
        <f t="shared" si="11"/>
        <v>INSERT INTO REPORTWARE.RWH_IFRS9_R04A0424 (FECHA, PERIODO,CONCEPTO, SUBREPORTE, MONEDA, TIPO_SALDO, DATO) VALUES ('2021-10-31','2021-10-31','111802608035','0424','9','1','0')</v>
      </c>
    </row>
    <row r="89" spans="1:26">
      <c r="A89" s="40" t="s">
        <v>164</v>
      </c>
      <c r="B89" s="41" t="s">
        <v>44</v>
      </c>
      <c r="C89" s="40" t="s">
        <v>161</v>
      </c>
      <c r="D89" s="41" t="s">
        <v>35</v>
      </c>
      <c r="E89" s="46"/>
      <c r="F89" s="47"/>
      <c r="G89" s="47"/>
      <c r="H89" s="47"/>
      <c r="I89" s="90" t="s">
        <v>47</v>
      </c>
      <c r="J89" s="90"/>
      <c r="K89" s="90"/>
      <c r="L89" s="48"/>
      <c r="M89" s="44">
        <f>SUM(N89:P89)</f>
        <v>0</v>
      </c>
      <c r="N89" s="82">
        <v>0</v>
      </c>
      <c r="O89" s="44">
        <v>0</v>
      </c>
      <c r="P89" s="44">
        <v>0</v>
      </c>
      <c r="S89" s="16" t="str">
        <f t="shared" si="8"/>
        <v>2021-10-31</v>
      </c>
      <c r="T89" t="str">
        <f t="shared" si="9"/>
        <v>111802608036</v>
      </c>
      <c r="U89" s="16" t="s">
        <v>33</v>
      </c>
      <c r="V89">
        <v>9</v>
      </c>
      <c r="W89">
        <v>1</v>
      </c>
      <c r="X89" s="15">
        <f t="shared" si="10"/>
        <v>0</v>
      </c>
      <c r="Z89" t="str">
        <f t="shared" si="11"/>
        <v>INSERT INTO REPORTWARE.RWH_IFRS9_R04A0424 (FECHA, PERIODO,CONCEPTO, SUBREPORTE, MONEDA, TIPO_SALDO, DATO) VALUES ('2021-10-31','2021-10-31','111802608036','0424','9','1','0')</v>
      </c>
    </row>
    <row r="90" spans="1:26">
      <c r="A90" s="40" t="s">
        <v>165</v>
      </c>
      <c r="B90" s="41" t="s">
        <v>41</v>
      </c>
      <c r="C90" s="40" t="s">
        <v>160</v>
      </c>
      <c r="D90" s="41" t="s">
        <v>30</v>
      </c>
      <c r="E90" s="46"/>
      <c r="F90" s="47"/>
      <c r="G90" s="47"/>
      <c r="H90" s="90" t="s">
        <v>78</v>
      </c>
      <c r="I90" s="90"/>
      <c r="J90" s="90"/>
      <c r="K90" s="90"/>
      <c r="L90" s="48"/>
      <c r="M90" s="44">
        <f>SUM(M91:M93)</f>
        <v>0</v>
      </c>
      <c r="N90" s="44">
        <f>SUM(N91:N93)</f>
        <v>0</v>
      </c>
      <c r="O90" s="44">
        <f>SUM(O91:O93)</f>
        <v>0</v>
      </c>
      <c r="P90" s="44">
        <f>SUM(P91:P93)</f>
        <v>0</v>
      </c>
      <c r="S90" s="16" t="str">
        <f t="shared" si="8"/>
        <v>2021-10-31</v>
      </c>
      <c r="T90" t="str">
        <f t="shared" si="9"/>
        <v>111801807027</v>
      </c>
      <c r="U90" s="16" t="s">
        <v>33</v>
      </c>
      <c r="V90">
        <v>9</v>
      </c>
      <c r="W90">
        <v>1</v>
      </c>
      <c r="X90" s="15">
        <f t="shared" si="10"/>
        <v>0</v>
      </c>
      <c r="Z90" t="str">
        <f t="shared" si="11"/>
        <v>INSERT INTO REPORTWARE.RWH_IFRS9_R04A0424 (FECHA, PERIODO,CONCEPTO, SUBREPORTE, MONEDA, TIPO_SALDO, DATO) VALUES ('2021-10-31','2021-10-31','111801807027','0424','9','1','0')</v>
      </c>
    </row>
    <row r="91" spans="1:26">
      <c r="A91" s="40" t="s">
        <v>166</v>
      </c>
      <c r="B91" s="41" t="s">
        <v>44</v>
      </c>
      <c r="C91" s="40" t="s">
        <v>165</v>
      </c>
      <c r="D91" s="41" t="s">
        <v>35</v>
      </c>
      <c r="E91" s="46"/>
      <c r="F91" s="47"/>
      <c r="G91" s="47"/>
      <c r="H91" s="47"/>
      <c r="I91" s="90" t="s">
        <v>64</v>
      </c>
      <c r="J91" s="90"/>
      <c r="K91" s="90"/>
      <c r="L91" s="48"/>
      <c r="M91" s="44">
        <f>SUM(N91:P91)</f>
        <v>0</v>
      </c>
      <c r="N91" s="82">
        <v>0</v>
      </c>
      <c r="O91" s="44">
        <v>0</v>
      </c>
      <c r="P91" s="44">
        <v>0</v>
      </c>
      <c r="S91" s="16" t="str">
        <f t="shared" si="8"/>
        <v>2021-10-31</v>
      </c>
      <c r="T91" t="str">
        <f t="shared" si="9"/>
        <v>111802708037</v>
      </c>
      <c r="U91" s="16" t="s">
        <v>33</v>
      </c>
      <c r="V91">
        <v>9</v>
      </c>
      <c r="W91">
        <v>1</v>
      </c>
      <c r="X91" s="15">
        <f t="shared" si="10"/>
        <v>0</v>
      </c>
      <c r="Z91" t="str">
        <f t="shared" si="11"/>
        <v>INSERT INTO REPORTWARE.RWH_IFRS9_R04A0424 (FECHA, PERIODO,CONCEPTO, SUBREPORTE, MONEDA, TIPO_SALDO, DATO) VALUES ('2021-10-31','2021-10-31','111802708037','0424','9','1','0')</v>
      </c>
    </row>
    <row r="92" spans="1:26">
      <c r="A92" s="40" t="s">
        <v>167</v>
      </c>
      <c r="B92" s="41" t="s">
        <v>44</v>
      </c>
      <c r="C92" s="40" t="s">
        <v>165</v>
      </c>
      <c r="D92" s="41" t="s">
        <v>35</v>
      </c>
      <c r="E92" s="46"/>
      <c r="F92" s="47"/>
      <c r="G92" s="47"/>
      <c r="H92" s="47"/>
      <c r="I92" s="90" t="s">
        <v>68</v>
      </c>
      <c r="J92" s="90"/>
      <c r="K92" s="90"/>
      <c r="L92" s="48"/>
      <c r="M92" s="44">
        <f>SUM(N92:P92)</f>
        <v>0</v>
      </c>
      <c r="N92" s="82">
        <v>0</v>
      </c>
      <c r="O92" s="44">
        <v>0</v>
      </c>
      <c r="P92" s="44">
        <v>0</v>
      </c>
      <c r="S92" s="16" t="str">
        <f t="shared" si="8"/>
        <v>2021-10-31</v>
      </c>
      <c r="T92" t="str">
        <f t="shared" si="9"/>
        <v>111802708038</v>
      </c>
      <c r="U92" s="16" t="s">
        <v>33</v>
      </c>
      <c r="V92">
        <v>9</v>
      </c>
      <c r="W92">
        <v>1</v>
      </c>
      <c r="X92" s="15">
        <f t="shared" si="10"/>
        <v>0</v>
      </c>
      <c r="Z92" t="str">
        <f t="shared" si="11"/>
        <v>INSERT INTO REPORTWARE.RWH_IFRS9_R04A0424 (FECHA, PERIODO,CONCEPTO, SUBREPORTE, MONEDA, TIPO_SALDO, DATO) VALUES ('2021-10-31','2021-10-31','111802708038','0424','9','1','0')</v>
      </c>
    </row>
    <row r="93" spans="1:26">
      <c r="A93" s="40" t="s">
        <v>168</v>
      </c>
      <c r="B93" s="41" t="s">
        <v>44</v>
      </c>
      <c r="C93" s="40" t="s">
        <v>165</v>
      </c>
      <c r="D93" s="41" t="s">
        <v>35</v>
      </c>
      <c r="E93" s="46"/>
      <c r="F93" s="47"/>
      <c r="G93" s="47"/>
      <c r="H93" s="47"/>
      <c r="I93" s="90" t="s">
        <v>47</v>
      </c>
      <c r="J93" s="90"/>
      <c r="K93" s="90"/>
      <c r="L93" s="48"/>
      <c r="M93" s="44">
        <f>SUM(N93:P93)</f>
        <v>0</v>
      </c>
      <c r="N93" s="82">
        <v>0</v>
      </c>
      <c r="O93" s="44">
        <v>0</v>
      </c>
      <c r="P93" s="44">
        <v>0</v>
      </c>
      <c r="S93" s="16" t="str">
        <f t="shared" si="8"/>
        <v>2021-10-31</v>
      </c>
      <c r="T93" t="str">
        <f t="shared" si="9"/>
        <v>111802708039</v>
      </c>
      <c r="U93" s="16" t="s">
        <v>33</v>
      </c>
      <c r="V93">
        <v>9</v>
      </c>
      <c r="W93">
        <v>1</v>
      </c>
      <c r="X93" s="15">
        <f t="shared" si="10"/>
        <v>0</v>
      </c>
      <c r="Z93" t="str">
        <f t="shared" si="11"/>
        <v>INSERT INTO REPORTWARE.RWH_IFRS9_R04A0424 (FECHA, PERIODO,CONCEPTO, SUBREPORTE, MONEDA, TIPO_SALDO, DATO) VALUES ('2021-10-31','2021-10-31','111802708039','0424','9','1','0')</v>
      </c>
    </row>
    <row r="94" spans="1:26">
      <c r="A94" s="40" t="s">
        <v>169</v>
      </c>
      <c r="B94" s="41" t="s">
        <v>38</v>
      </c>
      <c r="C94" s="40" t="s">
        <v>143</v>
      </c>
      <c r="D94" s="41" t="s">
        <v>30</v>
      </c>
      <c r="E94" s="46"/>
      <c r="F94" s="47"/>
      <c r="G94" s="90" t="s">
        <v>83</v>
      </c>
      <c r="H94" s="90"/>
      <c r="I94" s="90"/>
      <c r="J94" s="90"/>
      <c r="K94" s="90"/>
      <c r="L94" s="48"/>
      <c r="M94" s="44">
        <f>SUM(M95,M96,M102,M107)</f>
        <v>0</v>
      </c>
      <c r="N94" s="44">
        <f>SUM(N95,N96,N102,N107)</f>
        <v>0</v>
      </c>
      <c r="O94" s="44">
        <f>SUM(O95,O96,O102,O107)</f>
        <v>0</v>
      </c>
      <c r="P94" s="44">
        <f>SUM(P95,P96,P102,P107)</f>
        <v>0</v>
      </c>
      <c r="S94" s="16" t="str">
        <f t="shared" si="8"/>
        <v>2021-10-31</v>
      </c>
      <c r="T94" t="str">
        <f t="shared" si="9"/>
        <v>111800506019</v>
      </c>
      <c r="U94" s="16" t="s">
        <v>33</v>
      </c>
      <c r="V94">
        <v>9</v>
      </c>
      <c r="W94">
        <v>1</v>
      </c>
      <c r="X94" s="15">
        <f t="shared" si="10"/>
        <v>0</v>
      </c>
      <c r="Z94" t="str">
        <f t="shared" si="11"/>
        <v>INSERT INTO REPORTWARE.RWH_IFRS9_R04A0424 (FECHA, PERIODO,CONCEPTO, SUBREPORTE, MONEDA, TIPO_SALDO, DATO) VALUES ('2021-10-31','2021-10-31','111800506019','0424','9','1','0')</v>
      </c>
    </row>
    <row r="95" spans="1:26">
      <c r="A95" s="40" t="s">
        <v>170</v>
      </c>
      <c r="B95" s="41" t="s">
        <v>41</v>
      </c>
      <c r="C95" s="40" t="s">
        <v>169</v>
      </c>
      <c r="D95" s="41" t="s">
        <v>35</v>
      </c>
      <c r="E95" s="46"/>
      <c r="F95" s="47"/>
      <c r="G95" s="47"/>
      <c r="H95" s="90" t="s">
        <v>85</v>
      </c>
      <c r="I95" s="90"/>
      <c r="J95" s="90"/>
      <c r="K95" s="90"/>
      <c r="L95" s="48"/>
      <c r="M95" s="44">
        <f>SUM(N95:P95)</f>
        <v>0</v>
      </c>
      <c r="N95" s="82">
        <v>0</v>
      </c>
      <c r="O95" s="44">
        <v>0</v>
      </c>
      <c r="P95" s="44">
        <v>0</v>
      </c>
      <c r="S95" s="16" t="str">
        <f t="shared" si="8"/>
        <v>2021-10-31</v>
      </c>
      <c r="T95" t="str">
        <f t="shared" si="9"/>
        <v>111801907028</v>
      </c>
      <c r="U95" s="16" t="s">
        <v>33</v>
      </c>
      <c r="V95">
        <v>9</v>
      </c>
      <c r="W95">
        <v>1</v>
      </c>
      <c r="X95" s="15">
        <f t="shared" si="10"/>
        <v>0</v>
      </c>
      <c r="Z95" t="str">
        <f t="shared" si="11"/>
        <v>INSERT INTO REPORTWARE.RWH_IFRS9_R04A0424 (FECHA, PERIODO,CONCEPTO, SUBREPORTE, MONEDA, TIPO_SALDO, DATO) VALUES ('2021-10-31','2021-10-31','111801907028','0424','9','1','0')</v>
      </c>
    </row>
    <row r="96" spans="1:26">
      <c r="A96" s="40" t="s">
        <v>171</v>
      </c>
      <c r="B96" s="41" t="s">
        <v>41</v>
      </c>
      <c r="C96" s="40" t="s">
        <v>169</v>
      </c>
      <c r="D96" s="41" t="s">
        <v>30</v>
      </c>
      <c r="E96" s="46"/>
      <c r="F96" s="47"/>
      <c r="G96" s="47"/>
      <c r="H96" s="90" t="s">
        <v>87</v>
      </c>
      <c r="I96" s="90"/>
      <c r="J96" s="90"/>
      <c r="K96" s="90"/>
      <c r="L96" s="48"/>
      <c r="M96" s="44">
        <f>SUM(M97:M101)</f>
        <v>0</v>
      </c>
      <c r="N96" s="44">
        <f>SUM(N97:N101)</f>
        <v>0</v>
      </c>
      <c r="O96" s="44">
        <f>SUM(O97:O101)</f>
        <v>0</v>
      </c>
      <c r="P96" s="44">
        <f>SUM(P97:P101)</f>
        <v>0</v>
      </c>
      <c r="S96" s="16" t="str">
        <f t="shared" si="8"/>
        <v>2021-10-31</v>
      </c>
      <c r="T96" t="str">
        <f t="shared" si="9"/>
        <v>111801907029</v>
      </c>
      <c r="U96" s="16" t="s">
        <v>33</v>
      </c>
      <c r="V96">
        <v>9</v>
      </c>
      <c r="W96">
        <v>1</v>
      </c>
      <c r="X96" s="15">
        <f t="shared" si="10"/>
        <v>0</v>
      </c>
      <c r="Z96" t="str">
        <f t="shared" si="11"/>
        <v>INSERT INTO REPORTWARE.RWH_IFRS9_R04A0424 (FECHA, PERIODO,CONCEPTO, SUBREPORTE, MONEDA, TIPO_SALDO, DATO) VALUES ('2021-10-31','2021-10-31','111801907029','0424','9','1','0')</v>
      </c>
    </row>
    <row r="97" spans="1:26">
      <c r="A97" s="40" t="s">
        <v>172</v>
      </c>
      <c r="B97" s="41" t="s">
        <v>44</v>
      </c>
      <c r="C97" s="40" t="s">
        <v>171</v>
      </c>
      <c r="D97" s="41" t="s">
        <v>35</v>
      </c>
      <c r="E97" s="46"/>
      <c r="F97" s="47"/>
      <c r="G97" s="47"/>
      <c r="H97" s="47"/>
      <c r="I97" s="90" t="s">
        <v>68</v>
      </c>
      <c r="J97" s="90"/>
      <c r="K97" s="90"/>
      <c r="L97" s="48"/>
      <c r="M97" s="44">
        <f>SUM(N97:P97)</f>
        <v>0</v>
      </c>
      <c r="N97" s="82">
        <v>0</v>
      </c>
      <c r="O97" s="44">
        <v>0</v>
      </c>
      <c r="P97" s="44">
        <v>0</v>
      </c>
      <c r="S97" s="16" t="str">
        <f t="shared" si="8"/>
        <v>2021-10-31</v>
      </c>
      <c r="T97" t="str">
        <f t="shared" si="9"/>
        <v>111802908040</v>
      </c>
      <c r="U97" s="16" t="s">
        <v>33</v>
      </c>
      <c r="V97">
        <v>9</v>
      </c>
      <c r="W97">
        <v>1</v>
      </c>
      <c r="X97" s="15">
        <f t="shared" si="10"/>
        <v>0</v>
      </c>
      <c r="Z97" t="str">
        <f t="shared" si="11"/>
        <v>INSERT INTO REPORTWARE.RWH_IFRS9_R04A0424 (FECHA, PERIODO,CONCEPTO, SUBREPORTE, MONEDA, TIPO_SALDO, DATO) VALUES ('2021-10-31','2021-10-31','111802908040','0424','9','1','0')</v>
      </c>
    </row>
    <row r="98" spans="1:26">
      <c r="A98" s="40" t="s">
        <v>173</v>
      </c>
      <c r="B98" s="41" t="s">
        <v>44</v>
      </c>
      <c r="C98" s="40" t="s">
        <v>171</v>
      </c>
      <c r="D98" s="41" t="s">
        <v>35</v>
      </c>
      <c r="E98" s="46"/>
      <c r="F98" s="47"/>
      <c r="G98" s="47"/>
      <c r="H98" s="47"/>
      <c r="I98" s="90" t="s">
        <v>62</v>
      </c>
      <c r="J98" s="90"/>
      <c r="K98" s="90"/>
      <c r="L98" s="48"/>
      <c r="M98" s="44">
        <f t="shared" ref="M98:M101" si="13">SUM(N98:P98)</f>
        <v>0</v>
      </c>
      <c r="N98" s="82">
        <v>0</v>
      </c>
      <c r="O98" s="44">
        <v>0</v>
      </c>
      <c r="P98" s="44">
        <v>0</v>
      </c>
      <c r="S98" s="16" t="str">
        <f t="shared" si="8"/>
        <v>2021-10-31</v>
      </c>
      <c r="T98" t="str">
        <f t="shared" si="9"/>
        <v>111802908041</v>
      </c>
      <c r="U98" s="16" t="s">
        <v>33</v>
      </c>
      <c r="V98">
        <v>9</v>
      </c>
      <c r="W98">
        <v>1</v>
      </c>
      <c r="X98" s="15">
        <f t="shared" si="10"/>
        <v>0</v>
      </c>
      <c r="Z98" t="str">
        <f t="shared" si="11"/>
        <v>INSERT INTO REPORTWARE.RWH_IFRS9_R04A0424 (FECHA, PERIODO,CONCEPTO, SUBREPORTE, MONEDA, TIPO_SALDO, DATO) VALUES ('2021-10-31','2021-10-31','111802908041','0424','9','1','0')</v>
      </c>
    </row>
    <row r="99" spans="1:26">
      <c r="A99" s="40" t="s">
        <v>174</v>
      </c>
      <c r="B99" s="41" t="s">
        <v>44</v>
      </c>
      <c r="C99" s="40" t="s">
        <v>171</v>
      </c>
      <c r="D99" s="41" t="s">
        <v>35</v>
      </c>
      <c r="E99" s="46"/>
      <c r="F99" s="47"/>
      <c r="G99" s="47"/>
      <c r="H99" s="47"/>
      <c r="I99" s="90" t="s">
        <v>64</v>
      </c>
      <c r="J99" s="90"/>
      <c r="K99" s="90"/>
      <c r="L99" s="48"/>
      <c r="M99" s="44">
        <f t="shared" si="13"/>
        <v>0</v>
      </c>
      <c r="N99" s="82">
        <v>0</v>
      </c>
      <c r="O99" s="44">
        <v>0</v>
      </c>
      <c r="P99" s="44">
        <v>0</v>
      </c>
      <c r="S99" s="16" t="str">
        <f t="shared" si="8"/>
        <v>2021-10-31</v>
      </c>
      <c r="T99" t="str">
        <f t="shared" si="9"/>
        <v>111802908042</v>
      </c>
      <c r="U99" s="16" t="s">
        <v>33</v>
      </c>
      <c r="V99">
        <v>9</v>
      </c>
      <c r="W99">
        <v>1</v>
      </c>
      <c r="X99" s="15">
        <f t="shared" si="10"/>
        <v>0</v>
      </c>
      <c r="Z99" t="str">
        <f t="shared" si="11"/>
        <v>INSERT INTO REPORTWARE.RWH_IFRS9_R04A0424 (FECHA, PERIODO,CONCEPTO, SUBREPORTE, MONEDA, TIPO_SALDO, DATO) VALUES ('2021-10-31','2021-10-31','111802908042','0424','9','1','0')</v>
      </c>
    </row>
    <row r="100" spans="1:26">
      <c r="A100" s="40" t="s">
        <v>175</v>
      </c>
      <c r="B100" s="41" t="s">
        <v>44</v>
      </c>
      <c r="C100" s="40" t="s">
        <v>171</v>
      </c>
      <c r="D100" s="41" t="s">
        <v>35</v>
      </c>
      <c r="E100" s="46"/>
      <c r="F100" s="47"/>
      <c r="G100" s="47"/>
      <c r="H100" s="47"/>
      <c r="I100" s="89" t="s">
        <v>92</v>
      </c>
      <c r="J100" s="89"/>
      <c r="K100" s="89"/>
      <c r="L100" s="47"/>
      <c r="M100" s="44">
        <f t="shared" si="13"/>
        <v>0</v>
      </c>
      <c r="N100" s="82">
        <v>0</v>
      </c>
      <c r="O100" s="44">
        <v>0</v>
      </c>
      <c r="P100" s="44">
        <v>0</v>
      </c>
      <c r="S100" s="16" t="str">
        <f t="shared" si="8"/>
        <v>2021-10-31</v>
      </c>
      <c r="T100" t="str">
        <f t="shared" si="9"/>
        <v>111802908043</v>
      </c>
      <c r="U100" s="16" t="s">
        <v>33</v>
      </c>
      <c r="V100">
        <v>9</v>
      </c>
      <c r="W100">
        <v>1</v>
      </c>
      <c r="X100" s="15">
        <f t="shared" si="10"/>
        <v>0</v>
      </c>
      <c r="Z100" t="str">
        <f t="shared" si="11"/>
        <v>INSERT INTO REPORTWARE.RWH_IFRS9_R04A0424 (FECHA, PERIODO,CONCEPTO, SUBREPORTE, MONEDA, TIPO_SALDO, DATO) VALUES ('2021-10-31','2021-10-31','111802908043','0424','9','1','0')</v>
      </c>
    </row>
    <row r="101" spans="1:26">
      <c r="A101" s="40" t="s">
        <v>176</v>
      </c>
      <c r="B101" s="41" t="s">
        <v>44</v>
      </c>
      <c r="C101" s="40" t="s">
        <v>171</v>
      </c>
      <c r="D101" s="41" t="s">
        <v>35</v>
      </c>
      <c r="E101" s="46"/>
      <c r="F101" s="47"/>
      <c r="G101" s="47"/>
      <c r="H101" s="47"/>
      <c r="I101" s="90" t="s">
        <v>47</v>
      </c>
      <c r="J101" s="90"/>
      <c r="K101" s="90"/>
      <c r="L101" s="48"/>
      <c r="M101" s="44">
        <f t="shared" si="13"/>
        <v>0</v>
      </c>
      <c r="N101" s="82">
        <v>0</v>
      </c>
      <c r="O101" s="44">
        <v>0</v>
      </c>
      <c r="P101" s="44">
        <v>0</v>
      </c>
      <c r="S101" s="16" t="str">
        <f t="shared" si="8"/>
        <v>2021-10-31</v>
      </c>
      <c r="T101" t="str">
        <f t="shared" si="9"/>
        <v>111802908044</v>
      </c>
      <c r="U101" s="16" t="s">
        <v>33</v>
      </c>
      <c r="V101">
        <v>9</v>
      </c>
      <c r="W101">
        <v>1</v>
      </c>
      <c r="X101" s="15">
        <f t="shared" si="10"/>
        <v>0</v>
      </c>
      <c r="Z101" t="str">
        <f t="shared" si="11"/>
        <v>INSERT INTO REPORTWARE.RWH_IFRS9_R04A0424 (FECHA, PERIODO,CONCEPTO, SUBREPORTE, MONEDA, TIPO_SALDO, DATO) VALUES ('2021-10-31','2021-10-31','111802908044','0424','9','1','0')</v>
      </c>
    </row>
    <row r="102" spans="1:26">
      <c r="A102" s="40" t="s">
        <v>177</v>
      </c>
      <c r="B102" s="41" t="s">
        <v>41</v>
      </c>
      <c r="C102" s="40" t="s">
        <v>169</v>
      </c>
      <c r="D102" s="41" t="s">
        <v>30</v>
      </c>
      <c r="E102" s="46"/>
      <c r="F102" s="47"/>
      <c r="G102" s="47"/>
      <c r="H102" s="90" t="s">
        <v>95</v>
      </c>
      <c r="I102" s="90"/>
      <c r="J102" s="90"/>
      <c r="K102" s="90"/>
      <c r="L102" s="48"/>
      <c r="M102" s="44">
        <f>SUM(M103:M106)</f>
        <v>0</v>
      </c>
      <c r="N102" s="44">
        <f>SUM(N103:N106)</f>
        <v>0</v>
      </c>
      <c r="O102" s="44">
        <f>SUM(O103:O106)</f>
        <v>0</v>
      </c>
      <c r="P102" s="44">
        <f>SUM(P103:P106)</f>
        <v>0</v>
      </c>
      <c r="S102" s="16" t="str">
        <f t="shared" si="8"/>
        <v>2021-10-31</v>
      </c>
      <c r="T102" t="str">
        <f t="shared" si="9"/>
        <v>111801907030</v>
      </c>
      <c r="U102" s="16" t="s">
        <v>33</v>
      </c>
      <c r="V102">
        <v>9</v>
      </c>
      <c r="W102">
        <v>1</v>
      </c>
      <c r="X102" s="15">
        <f t="shared" si="10"/>
        <v>0</v>
      </c>
      <c r="Z102" t="str">
        <f t="shared" si="11"/>
        <v>INSERT INTO REPORTWARE.RWH_IFRS9_R04A0424 (FECHA, PERIODO,CONCEPTO, SUBREPORTE, MONEDA, TIPO_SALDO, DATO) VALUES ('2021-10-31','2021-10-31','111801907030','0424','9','1','0')</v>
      </c>
    </row>
    <row r="103" spans="1:26">
      <c r="A103" s="40" t="s">
        <v>178</v>
      </c>
      <c r="B103" s="41" t="s">
        <v>44</v>
      </c>
      <c r="C103" s="40" t="s">
        <v>177</v>
      </c>
      <c r="D103" s="41" t="s">
        <v>35</v>
      </c>
      <c r="E103" s="46"/>
      <c r="F103" s="47"/>
      <c r="G103" s="47"/>
      <c r="H103" s="47"/>
      <c r="I103" s="90" t="s">
        <v>68</v>
      </c>
      <c r="J103" s="90"/>
      <c r="K103" s="90"/>
      <c r="L103" s="48"/>
      <c r="M103" s="44">
        <f t="shared" ref="M103:M105" si="14">SUM(N103:P103)</f>
        <v>0</v>
      </c>
      <c r="N103" s="82">
        <v>0</v>
      </c>
      <c r="O103" s="44">
        <v>0</v>
      </c>
      <c r="P103" s="44">
        <v>0</v>
      </c>
      <c r="S103" s="16" t="str">
        <f t="shared" si="8"/>
        <v>2021-10-31</v>
      </c>
      <c r="T103" t="str">
        <f t="shared" si="9"/>
        <v>111803008045</v>
      </c>
      <c r="U103" s="16" t="s">
        <v>33</v>
      </c>
      <c r="V103">
        <v>9</v>
      </c>
      <c r="W103">
        <v>1</v>
      </c>
      <c r="X103" s="15">
        <f t="shared" si="10"/>
        <v>0</v>
      </c>
      <c r="Z103" t="str">
        <f t="shared" si="11"/>
        <v>INSERT INTO REPORTWARE.RWH_IFRS9_R04A0424 (FECHA, PERIODO,CONCEPTO, SUBREPORTE, MONEDA, TIPO_SALDO, DATO) VALUES ('2021-10-31','2021-10-31','111803008045','0424','9','1','0')</v>
      </c>
    </row>
    <row r="104" spans="1:26">
      <c r="A104" s="40" t="s">
        <v>179</v>
      </c>
      <c r="B104" s="41" t="s">
        <v>44</v>
      </c>
      <c r="C104" s="40" t="s">
        <v>177</v>
      </c>
      <c r="D104" s="41" t="s">
        <v>35</v>
      </c>
      <c r="E104" s="46"/>
      <c r="F104" s="47"/>
      <c r="G104" s="47"/>
      <c r="H104" s="47"/>
      <c r="I104" s="90" t="s">
        <v>62</v>
      </c>
      <c r="J104" s="90"/>
      <c r="K104" s="90"/>
      <c r="L104" s="48"/>
      <c r="M104" s="44">
        <f t="shared" si="14"/>
        <v>0</v>
      </c>
      <c r="N104" s="82">
        <v>0</v>
      </c>
      <c r="O104" s="44">
        <v>0</v>
      </c>
      <c r="P104" s="44">
        <v>0</v>
      </c>
      <c r="S104" s="16" t="str">
        <f t="shared" si="8"/>
        <v>2021-10-31</v>
      </c>
      <c r="T104" t="str">
        <f t="shared" si="9"/>
        <v>111803008046</v>
      </c>
      <c r="U104" s="16" t="s">
        <v>33</v>
      </c>
      <c r="V104">
        <v>9</v>
      </c>
      <c r="W104">
        <v>1</v>
      </c>
      <c r="X104" s="15">
        <f t="shared" si="10"/>
        <v>0</v>
      </c>
      <c r="Z104" t="str">
        <f t="shared" si="11"/>
        <v>INSERT INTO REPORTWARE.RWH_IFRS9_R04A0424 (FECHA, PERIODO,CONCEPTO, SUBREPORTE, MONEDA, TIPO_SALDO, DATO) VALUES ('2021-10-31','2021-10-31','111803008046','0424','9','1','0')</v>
      </c>
    </row>
    <row r="105" spans="1:26">
      <c r="A105" s="40" t="s">
        <v>180</v>
      </c>
      <c r="B105" s="41" t="s">
        <v>44</v>
      </c>
      <c r="C105" s="40" t="s">
        <v>177</v>
      </c>
      <c r="D105" s="41" t="s">
        <v>35</v>
      </c>
      <c r="E105" s="46"/>
      <c r="F105" s="47"/>
      <c r="G105" s="47"/>
      <c r="H105" s="47"/>
      <c r="I105" s="90" t="s">
        <v>64</v>
      </c>
      <c r="J105" s="90"/>
      <c r="K105" s="90"/>
      <c r="L105" s="48"/>
      <c r="M105" s="44">
        <f t="shared" si="14"/>
        <v>0</v>
      </c>
      <c r="N105" s="82">
        <v>0</v>
      </c>
      <c r="O105" s="44">
        <v>0</v>
      </c>
      <c r="P105" s="44">
        <v>0</v>
      </c>
      <c r="S105" s="16" t="str">
        <f t="shared" si="8"/>
        <v>2021-10-31</v>
      </c>
      <c r="T105" t="str">
        <f t="shared" si="9"/>
        <v>111803008047</v>
      </c>
      <c r="U105" s="16" t="s">
        <v>33</v>
      </c>
      <c r="V105">
        <v>9</v>
      </c>
      <c r="W105">
        <v>1</v>
      </c>
      <c r="X105" s="15">
        <f t="shared" si="10"/>
        <v>0</v>
      </c>
      <c r="Z105" t="str">
        <f t="shared" si="11"/>
        <v>INSERT INTO REPORTWARE.RWH_IFRS9_R04A0424 (FECHA, PERIODO,CONCEPTO, SUBREPORTE, MONEDA, TIPO_SALDO, DATO) VALUES ('2021-10-31','2021-10-31','111803008047','0424','9','1','0')</v>
      </c>
    </row>
    <row r="106" spans="1:26">
      <c r="A106" s="40" t="s">
        <v>181</v>
      </c>
      <c r="B106" s="41" t="s">
        <v>44</v>
      </c>
      <c r="C106" s="40" t="s">
        <v>177</v>
      </c>
      <c r="D106" s="41" t="s">
        <v>35</v>
      </c>
      <c r="E106" s="46"/>
      <c r="F106" s="47"/>
      <c r="G106" s="47"/>
      <c r="H106" s="47"/>
      <c r="I106" s="90" t="s">
        <v>47</v>
      </c>
      <c r="J106" s="90"/>
      <c r="K106" s="90"/>
      <c r="L106" s="48"/>
      <c r="M106" s="44">
        <f>SUM(N106:P106)</f>
        <v>0</v>
      </c>
      <c r="N106" s="82">
        <v>0</v>
      </c>
      <c r="O106" s="44">
        <v>0</v>
      </c>
      <c r="P106" s="44">
        <v>0</v>
      </c>
      <c r="S106" s="16" t="str">
        <f t="shared" si="8"/>
        <v>2021-10-31</v>
      </c>
      <c r="T106" t="str">
        <f t="shared" si="9"/>
        <v>111803008048</v>
      </c>
      <c r="U106" s="16" t="s">
        <v>33</v>
      </c>
      <c r="V106">
        <v>9</v>
      </c>
      <c r="W106">
        <v>1</v>
      </c>
      <c r="X106" s="15">
        <f t="shared" si="10"/>
        <v>0</v>
      </c>
      <c r="Z106" t="str">
        <f t="shared" si="11"/>
        <v>INSERT INTO REPORTWARE.RWH_IFRS9_R04A0424 (FECHA, PERIODO,CONCEPTO, SUBREPORTE, MONEDA, TIPO_SALDO, DATO) VALUES ('2021-10-31','2021-10-31','111803008048','0424','9','1','0')</v>
      </c>
    </row>
    <row r="107" spans="1:26">
      <c r="A107" s="40" t="s">
        <v>182</v>
      </c>
      <c r="B107" s="41" t="s">
        <v>41</v>
      </c>
      <c r="C107" s="40" t="s">
        <v>169</v>
      </c>
      <c r="D107" s="41" t="s">
        <v>30</v>
      </c>
      <c r="E107" s="46"/>
      <c r="F107" s="47"/>
      <c r="G107" s="47"/>
      <c r="H107" s="90" t="s">
        <v>101</v>
      </c>
      <c r="I107" s="90"/>
      <c r="J107" s="90"/>
      <c r="K107" s="90"/>
      <c r="L107" s="48"/>
      <c r="M107" s="44">
        <f>SUM(M108:M111)</f>
        <v>0</v>
      </c>
      <c r="N107" s="44">
        <f>SUM(N108:N111)</f>
        <v>0</v>
      </c>
      <c r="O107" s="44">
        <f>SUM(O108:O111)</f>
        <v>0</v>
      </c>
      <c r="P107" s="44">
        <f>SUM(P108:P111)</f>
        <v>0</v>
      </c>
      <c r="S107" s="16" t="str">
        <f t="shared" si="8"/>
        <v>2021-10-31</v>
      </c>
      <c r="T107" t="str">
        <f t="shared" si="9"/>
        <v>111801907031</v>
      </c>
      <c r="U107" s="16" t="s">
        <v>33</v>
      </c>
      <c r="V107">
        <v>9</v>
      </c>
      <c r="W107">
        <v>1</v>
      </c>
      <c r="X107" s="15">
        <f t="shared" si="10"/>
        <v>0</v>
      </c>
      <c r="Z107" t="str">
        <f t="shared" si="11"/>
        <v>INSERT INTO REPORTWARE.RWH_IFRS9_R04A0424 (FECHA, PERIODO,CONCEPTO, SUBREPORTE, MONEDA, TIPO_SALDO, DATO) VALUES ('2021-10-31','2021-10-31','111801907031','0424','9','1','0')</v>
      </c>
    </row>
    <row r="108" spans="1:26">
      <c r="A108" s="40" t="s">
        <v>183</v>
      </c>
      <c r="B108" s="41" t="s">
        <v>44</v>
      </c>
      <c r="C108" s="40" t="s">
        <v>182</v>
      </c>
      <c r="D108" s="41" t="s">
        <v>35</v>
      </c>
      <c r="E108" s="46"/>
      <c r="F108" s="47"/>
      <c r="G108" s="47"/>
      <c r="H108" s="47"/>
      <c r="I108" s="90" t="s">
        <v>68</v>
      </c>
      <c r="J108" s="90"/>
      <c r="K108" s="90"/>
      <c r="L108" s="48"/>
      <c r="M108" s="44">
        <f>SUM(N108:P108)</f>
        <v>0</v>
      </c>
      <c r="N108" s="82">
        <v>0</v>
      </c>
      <c r="O108" s="44">
        <v>0</v>
      </c>
      <c r="P108" s="44">
        <v>0</v>
      </c>
      <c r="S108" s="16" t="str">
        <f t="shared" si="8"/>
        <v>2021-10-31</v>
      </c>
      <c r="T108" t="str">
        <f t="shared" si="9"/>
        <v>111803108049</v>
      </c>
      <c r="U108" s="16" t="s">
        <v>33</v>
      </c>
      <c r="V108">
        <v>9</v>
      </c>
      <c r="W108">
        <v>1</v>
      </c>
      <c r="X108" s="15">
        <f t="shared" si="10"/>
        <v>0</v>
      </c>
      <c r="Z108" t="str">
        <f t="shared" si="11"/>
        <v>INSERT INTO REPORTWARE.RWH_IFRS9_R04A0424 (FECHA, PERIODO,CONCEPTO, SUBREPORTE, MONEDA, TIPO_SALDO, DATO) VALUES ('2021-10-31','2021-10-31','111803108049','0424','9','1','0')</v>
      </c>
    </row>
    <row r="109" spans="1:26">
      <c r="A109" s="40" t="s">
        <v>184</v>
      </c>
      <c r="B109" s="41" t="s">
        <v>44</v>
      </c>
      <c r="C109" s="40" t="s">
        <v>182</v>
      </c>
      <c r="D109" s="41" t="s">
        <v>35</v>
      </c>
      <c r="E109" s="46"/>
      <c r="F109" s="47"/>
      <c r="G109" s="47"/>
      <c r="H109" s="47"/>
      <c r="I109" s="90" t="s">
        <v>62</v>
      </c>
      <c r="J109" s="90"/>
      <c r="K109" s="90"/>
      <c r="L109" s="48"/>
      <c r="M109" s="44">
        <f>SUM(N109:P109)</f>
        <v>0</v>
      </c>
      <c r="N109" s="82">
        <v>0</v>
      </c>
      <c r="O109" s="44">
        <v>0</v>
      </c>
      <c r="P109" s="44">
        <v>0</v>
      </c>
      <c r="S109" s="16" t="str">
        <f t="shared" si="8"/>
        <v>2021-10-31</v>
      </c>
      <c r="T109" t="str">
        <f t="shared" si="9"/>
        <v>111803108050</v>
      </c>
      <c r="U109" s="16" t="s">
        <v>33</v>
      </c>
      <c r="V109">
        <v>9</v>
      </c>
      <c r="W109">
        <v>1</v>
      </c>
      <c r="X109" s="15">
        <f t="shared" si="10"/>
        <v>0</v>
      </c>
      <c r="Z109" t="str">
        <f t="shared" si="11"/>
        <v>INSERT INTO REPORTWARE.RWH_IFRS9_R04A0424 (FECHA, PERIODO,CONCEPTO, SUBREPORTE, MONEDA, TIPO_SALDO, DATO) VALUES ('2021-10-31','2021-10-31','111803108050','0424','9','1','0')</v>
      </c>
    </row>
    <row r="110" spans="1:26">
      <c r="A110" s="40" t="s">
        <v>185</v>
      </c>
      <c r="B110" s="41" t="s">
        <v>44</v>
      </c>
      <c r="C110" s="40" t="s">
        <v>182</v>
      </c>
      <c r="D110" s="41" t="s">
        <v>35</v>
      </c>
      <c r="E110" s="46"/>
      <c r="F110" s="47"/>
      <c r="G110" s="47"/>
      <c r="H110" s="47"/>
      <c r="I110" s="90" t="s">
        <v>64</v>
      </c>
      <c r="J110" s="90"/>
      <c r="K110" s="90"/>
      <c r="L110" s="48"/>
      <c r="M110" s="44">
        <f>SUM(N110:P110)</f>
        <v>0</v>
      </c>
      <c r="N110" s="82">
        <v>0</v>
      </c>
      <c r="O110" s="44">
        <v>0</v>
      </c>
      <c r="P110" s="44">
        <v>0</v>
      </c>
      <c r="S110" s="16" t="str">
        <f t="shared" si="8"/>
        <v>2021-10-31</v>
      </c>
      <c r="T110" t="str">
        <f t="shared" si="9"/>
        <v>111803108051</v>
      </c>
      <c r="U110" s="16" t="s">
        <v>33</v>
      </c>
      <c r="V110">
        <v>9</v>
      </c>
      <c r="W110">
        <v>1</v>
      </c>
      <c r="X110" s="15">
        <f t="shared" si="10"/>
        <v>0</v>
      </c>
      <c r="Z110" t="str">
        <f t="shared" si="11"/>
        <v>INSERT INTO REPORTWARE.RWH_IFRS9_R04A0424 (FECHA, PERIODO,CONCEPTO, SUBREPORTE, MONEDA, TIPO_SALDO, DATO) VALUES ('2021-10-31','2021-10-31','111803108051','0424','9','1','0')</v>
      </c>
    </row>
    <row r="111" spans="1:26">
      <c r="A111" s="40" t="s">
        <v>186</v>
      </c>
      <c r="B111" s="41" t="s">
        <v>44</v>
      </c>
      <c r="C111" s="40" t="s">
        <v>182</v>
      </c>
      <c r="D111" s="41" t="s">
        <v>35</v>
      </c>
      <c r="E111" s="46"/>
      <c r="F111" s="47"/>
      <c r="G111" s="47"/>
      <c r="H111" s="47"/>
      <c r="I111" s="90" t="s">
        <v>47</v>
      </c>
      <c r="J111" s="90"/>
      <c r="K111" s="90"/>
      <c r="L111" s="48"/>
      <c r="M111" s="44">
        <f>SUM(N111:P111)</f>
        <v>0</v>
      </c>
      <c r="N111" s="82">
        <v>0</v>
      </c>
      <c r="O111" s="44">
        <v>0</v>
      </c>
      <c r="P111" s="44">
        <v>0</v>
      </c>
      <c r="S111" s="16" t="str">
        <f t="shared" si="8"/>
        <v>2021-10-31</v>
      </c>
      <c r="T111" t="str">
        <f t="shared" si="9"/>
        <v>111803108052</v>
      </c>
      <c r="U111" s="16" t="s">
        <v>33</v>
      </c>
      <c r="V111">
        <v>9</v>
      </c>
      <c r="W111">
        <v>1</v>
      </c>
      <c r="X111" s="15">
        <f t="shared" si="10"/>
        <v>0</v>
      </c>
      <c r="Z111" t="str">
        <f t="shared" si="11"/>
        <v>INSERT INTO REPORTWARE.RWH_IFRS9_R04A0424 (FECHA, PERIODO,CONCEPTO, SUBREPORTE, MONEDA, TIPO_SALDO, DATO) VALUES ('2021-10-31','2021-10-31','111803108052','0424','9','1','0')</v>
      </c>
    </row>
    <row r="112" spans="1:26">
      <c r="A112" s="40" t="s">
        <v>187</v>
      </c>
      <c r="B112" s="41" t="s">
        <v>35</v>
      </c>
      <c r="C112" s="40" t="s">
        <v>141</v>
      </c>
      <c r="D112" s="41" t="s">
        <v>30</v>
      </c>
      <c r="E112" s="46"/>
      <c r="F112" s="96" t="s">
        <v>107</v>
      </c>
      <c r="G112" s="96"/>
      <c r="H112" s="96"/>
      <c r="I112" s="96"/>
      <c r="J112" s="96"/>
      <c r="K112" s="96"/>
      <c r="L112" s="81"/>
      <c r="M112" s="44">
        <f>SUM(M113:M120)</f>
        <v>0</v>
      </c>
      <c r="N112" s="44">
        <f>SUM(N113:N120)</f>
        <v>0</v>
      </c>
      <c r="O112" s="44">
        <f>SUM(O113:O120)</f>
        <v>0</v>
      </c>
      <c r="P112" s="44">
        <f>SUM(P113:P120)</f>
        <v>0</v>
      </c>
      <c r="S112" s="16" t="str">
        <f t="shared" si="8"/>
        <v>2021-10-31</v>
      </c>
      <c r="T112" t="str">
        <f t="shared" si="9"/>
        <v>111800205006</v>
      </c>
      <c r="U112" s="16" t="s">
        <v>33</v>
      </c>
      <c r="V112">
        <v>9</v>
      </c>
      <c r="W112">
        <v>1</v>
      </c>
      <c r="X112" s="15">
        <f t="shared" si="10"/>
        <v>0</v>
      </c>
      <c r="Z112" t="str">
        <f t="shared" si="11"/>
        <v>INSERT INTO REPORTWARE.RWH_IFRS9_R04A0424 (FECHA, PERIODO,CONCEPTO, SUBREPORTE, MONEDA, TIPO_SALDO, DATO) VALUES ('2021-10-31','2021-10-31','111800205006','0424','9','1','0')</v>
      </c>
    </row>
    <row r="113" spans="1:26">
      <c r="A113" s="40" t="s">
        <v>188</v>
      </c>
      <c r="B113" s="41" t="s">
        <v>38</v>
      </c>
      <c r="C113" s="40" t="s">
        <v>187</v>
      </c>
      <c r="D113" s="41" t="s">
        <v>35</v>
      </c>
      <c r="E113" s="46"/>
      <c r="F113" s="47"/>
      <c r="G113" s="90" t="s">
        <v>109</v>
      </c>
      <c r="H113" s="90"/>
      <c r="I113" s="90"/>
      <c r="J113" s="90"/>
      <c r="K113" s="90"/>
      <c r="L113" s="48"/>
      <c r="M113" s="44">
        <f t="shared" ref="M113:M120" si="15">SUM(N113:P113)</f>
        <v>0</v>
      </c>
      <c r="N113" s="44">
        <v>0</v>
      </c>
      <c r="O113" s="44">
        <v>0</v>
      </c>
      <c r="P113" s="44">
        <v>0</v>
      </c>
      <c r="S113" s="16" t="str">
        <f t="shared" si="8"/>
        <v>2021-10-31</v>
      </c>
      <c r="T113" t="str">
        <f t="shared" si="9"/>
        <v>111800606020</v>
      </c>
      <c r="U113" s="16" t="s">
        <v>33</v>
      </c>
      <c r="V113">
        <v>9</v>
      </c>
      <c r="W113">
        <v>1</v>
      </c>
      <c r="X113" s="15">
        <f t="shared" si="10"/>
        <v>0</v>
      </c>
      <c r="Z113" t="str">
        <f t="shared" si="11"/>
        <v>INSERT INTO REPORTWARE.RWH_IFRS9_R04A0424 (FECHA, PERIODO,CONCEPTO, SUBREPORTE, MONEDA, TIPO_SALDO, DATO) VALUES ('2021-10-31','2021-10-31','111800606020','0424','9','1','0')</v>
      </c>
    </row>
    <row r="114" spans="1:26">
      <c r="A114" s="40" t="s">
        <v>189</v>
      </c>
      <c r="B114" s="41" t="s">
        <v>38</v>
      </c>
      <c r="C114" s="40" t="s">
        <v>187</v>
      </c>
      <c r="D114" s="41" t="s">
        <v>35</v>
      </c>
      <c r="E114" s="46"/>
      <c r="F114" s="47"/>
      <c r="G114" s="90" t="s">
        <v>111</v>
      </c>
      <c r="H114" s="90"/>
      <c r="I114" s="90"/>
      <c r="J114" s="90"/>
      <c r="K114" s="90"/>
      <c r="L114" s="48"/>
      <c r="M114" s="44">
        <f t="shared" si="15"/>
        <v>0</v>
      </c>
      <c r="N114" s="44">
        <v>0</v>
      </c>
      <c r="O114" s="44">
        <v>0</v>
      </c>
      <c r="P114" s="44">
        <v>0</v>
      </c>
      <c r="S114" s="16" t="str">
        <f t="shared" si="8"/>
        <v>2021-10-31</v>
      </c>
      <c r="T114" t="str">
        <f t="shared" si="9"/>
        <v>111800606021</v>
      </c>
      <c r="U114" s="16" t="s">
        <v>33</v>
      </c>
      <c r="V114">
        <v>9</v>
      </c>
      <c r="W114">
        <v>1</v>
      </c>
      <c r="X114" s="15">
        <f t="shared" si="10"/>
        <v>0</v>
      </c>
      <c r="Z114" t="str">
        <f t="shared" si="11"/>
        <v>INSERT INTO REPORTWARE.RWH_IFRS9_R04A0424 (FECHA, PERIODO,CONCEPTO, SUBREPORTE, MONEDA, TIPO_SALDO, DATO) VALUES ('2021-10-31','2021-10-31','111800606021','0424','9','1','0')</v>
      </c>
    </row>
    <row r="115" spans="1:26">
      <c r="A115" s="40" t="s">
        <v>190</v>
      </c>
      <c r="B115" s="41" t="s">
        <v>38</v>
      </c>
      <c r="C115" s="40" t="s">
        <v>187</v>
      </c>
      <c r="D115" s="41" t="s">
        <v>35</v>
      </c>
      <c r="E115" s="46"/>
      <c r="F115" s="47"/>
      <c r="G115" s="90" t="s">
        <v>113</v>
      </c>
      <c r="H115" s="90"/>
      <c r="I115" s="90"/>
      <c r="J115" s="90"/>
      <c r="K115" s="90"/>
      <c r="L115" s="48"/>
      <c r="M115" s="44">
        <f t="shared" si="15"/>
        <v>0</v>
      </c>
      <c r="N115" s="44">
        <v>0</v>
      </c>
      <c r="O115" s="44">
        <v>0</v>
      </c>
      <c r="P115" s="44">
        <v>0</v>
      </c>
      <c r="S115" s="16" t="str">
        <f t="shared" si="8"/>
        <v>2021-10-31</v>
      </c>
      <c r="T115" t="str">
        <f t="shared" si="9"/>
        <v>111800606022</v>
      </c>
      <c r="U115" s="16" t="s">
        <v>33</v>
      </c>
      <c r="V115">
        <v>9</v>
      </c>
      <c r="W115">
        <v>1</v>
      </c>
      <c r="X115" s="15">
        <f t="shared" si="10"/>
        <v>0</v>
      </c>
      <c r="Z115" t="str">
        <f t="shared" si="11"/>
        <v>INSERT INTO REPORTWARE.RWH_IFRS9_R04A0424 (FECHA, PERIODO,CONCEPTO, SUBREPORTE, MONEDA, TIPO_SALDO, DATO) VALUES ('2021-10-31','2021-10-31','111800606022','0424','9','1','0')</v>
      </c>
    </row>
    <row r="116" spans="1:26">
      <c r="A116" s="40" t="s">
        <v>191</v>
      </c>
      <c r="B116" s="41" t="s">
        <v>38</v>
      </c>
      <c r="C116" s="40" t="s">
        <v>187</v>
      </c>
      <c r="D116" s="41" t="s">
        <v>35</v>
      </c>
      <c r="E116" s="46"/>
      <c r="F116" s="47"/>
      <c r="G116" s="90" t="s">
        <v>115</v>
      </c>
      <c r="H116" s="90"/>
      <c r="I116" s="90"/>
      <c r="J116" s="90"/>
      <c r="K116" s="90"/>
      <c r="L116" s="48"/>
      <c r="M116" s="44">
        <f t="shared" si="15"/>
        <v>0</v>
      </c>
      <c r="N116" s="44">
        <v>0</v>
      </c>
      <c r="O116" s="44">
        <v>0</v>
      </c>
      <c r="P116" s="44">
        <v>0</v>
      </c>
      <c r="S116" s="16" t="str">
        <f t="shared" si="8"/>
        <v>2021-10-31</v>
      </c>
      <c r="T116" t="str">
        <f t="shared" si="9"/>
        <v>111800606023</v>
      </c>
      <c r="U116" s="16" t="s">
        <v>33</v>
      </c>
      <c r="V116">
        <v>9</v>
      </c>
      <c r="W116">
        <v>1</v>
      </c>
      <c r="X116" s="15">
        <f t="shared" si="10"/>
        <v>0</v>
      </c>
      <c r="Z116" t="str">
        <f t="shared" si="11"/>
        <v>INSERT INTO REPORTWARE.RWH_IFRS9_R04A0424 (FECHA, PERIODO,CONCEPTO, SUBREPORTE, MONEDA, TIPO_SALDO, DATO) VALUES ('2021-10-31','2021-10-31','111800606023','0424','9','1','0')</v>
      </c>
    </row>
    <row r="117" spans="1:26">
      <c r="A117" s="40" t="s">
        <v>192</v>
      </c>
      <c r="B117" s="41" t="s">
        <v>38</v>
      </c>
      <c r="C117" s="40" t="s">
        <v>187</v>
      </c>
      <c r="D117" s="41" t="s">
        <v>35</v>
      </c>
      <c r="E117" s="46"/>
      <c r="F117" s="47"/>
      <c r="G117" s="90" t="s">
        <v>117</v>
      </c>
      <c r="H117" s="90"/>
      <c r="I117" s="90"/>
      <c r="J117" s="90"/>
      <c r="K117" s="90"/>
      <c r="L117" s="48"/>
      <c r="M117" s="44">
        <f t="shared" si="15"/>
        <v>0</v>
      </c>
      <c r="N117" s="44">
        <v>0</v>
      </c>
      <c r="O117" s="44">
        <v>0</v>
      </c>
      <c r="P117" s="44">
        <v>0</v>
      </c>
      <c r="S117" s="16" t="str">
        <f t="shared" si="8"/>
        <v>2021-10-31</v>
      </c>
      <c r="T117" t="str">
        <f t="shared" si="9"/>
        <v>111800606024</v>
      </c>
      <c r="U117" s="16" t="s">
        <v>33</v>
      </c>
      <c r="V117">
        <v>9</v>
      </c>
      <c r="W117">
        <v>1</v>
      </c>
      <c r="X117" s="15">
        <f t="shared" si="10"/>
        <v>0</v>
      </c>
      <c r="Z117" t="str">
        <f t="shared" si="11"/>
        <v>INSERT INTO REPORTWARE.RWH_IFRS9_R04A0424 (FECHA, PERIODO,CONCEPTO, SUBREPORTE, MONEDA, TIPO_SALDO, DATO) VALUES ('2021-10-31','2021-10-31','111800606024','0424','9','1','0')</v>
      </c>
    </row>
    <row r="118" spans="1:26">
      <c r="A118" s="40" t="s">
        <v>193</v>
      </c>
      <c r="B118" s="41" t="s">
        <v>38</v>
      </c>
      <c r="C118" s="40" t="s">
        <v>187</v>
      </c>
      <c r="D118" s="41" t="s">
        <v>35</v>
      </c>
      <c r="E118" s="46"/>
      <c r="F118" s="47"/>
      <c r="G118" s="90" t="s">
        <v>64</v>
      </c>
      <c r="H118" s="90"/>
      <c r="I118" s="90"/>
      <c r="J118" s="90"/>
      <c r="K118" s="90"/>
      <c r="L118" s="48"/>
      <c r="M118" s="44">
        <f t="shared" si="15"/>
        <v>0</v>
      </c>
      <c r="N118" s="82">
        <v>0</v>
      </c>
      <c r="O118" s="44">
        <v>0</v>
      </c>
      <c r="P118" s="44">
        <v>0</v>
      </c>
      <c r="S118" s="16" t="str">
        <f t="shared" si="8"/>
        <v>2021-10-31</v>
      </c>
      <c r="T118" t="str">
        <f t="shared" si="9"/>
        <v>111800606025</v>
      </c>
      <c r="U118" s="16" t="s">
        <v>33</v>
      </c>
      <c r="V118">
        <v>9</v>
      </c>
      <c r="W118">
        <v>1</v>
      </c>
      <c r="X118" s="15">
        <f t="shared" si="10"/>
        <v>0</v>
      </c>
      <c r="Z118" t="str">
        <f t="shared" si="11"/>
        <v>INSERT INTO REPORTWARE.RWH_IFRS9_R04A0424 (FECHA, PERIODO,CONCEPTO, SUBREPORTE, MONEDA, TIPO_SALDO, DATO) VALUES ('2021-10-31','2021-10-31','111800606025','0424','9','1','0')</v>
      </c>
    </row>
    <row r="119" spans="1:26">
      <c r="A119" s="40" t="s">
        <v>194</v>
      </c>
      <c r="B119" s="41" t="s">
        <v>38</v>
      </c>
      <c r="C119" s="40" t="s">
        <v>187</v>
      </c>
      <c r="D119" s="41" t="s">
        <v>35</v>
      </c>
      <c r="E119" s="46"/>
      <c r="F119" s="47"/>
      <c r="G119" s="89" t="s">
        <v>120</v>
      </c>
      <c r="H119" s="89"/>
      <c r="I119" s="89"/>
      <c r="J119" s="89"/>
      <c r="K119" s="89"/>
      <c r="L119" s="47"/>
      <c r="M119" s="44">
        <f t="shared" si="15"/>
        <v>0</v>
      </c>
      <c r="N119" s="82">
        <v>0</v>
      </c>
      <c r="O119" s="44">
        <v>0</v>
      </c>
      <c r="P119" s="44">
        <v>0</v>
      </c>
      <c r="S119" s="16" t="str">
        <f t="shared" si="8"/>
        <v>2021-10-31</v>
      </c>
      <c r="T119" t="str">
        <f t="shared" si="9"/>
        <v>111800606026</v>
      </c>
      <c r="U119" s="16" t="s">
        <v>33</v>
      </c>
      <c r="V119">
        <v>9</v>
      </c>
      <c r="W119">
        <v>1</v>
      </c>
      <c r="X119" s="15">
        <f t="shared" si="10"/>
        <v>0</v>
      </c>
      <c r="Z119" t="str">
        <f t="shared" si="11"/>
        <v>INSERT INTO REPORTWARE.RWH_IFRS9_R04A0424 (FECHA, PERIODO,CONCEPTO, SUBREPORTE, MONEDA, TIPO_SALDO, DATO) VALUES ('2021-10-31','2021-10-31','111800606026','0424','9','1','0')</v>
      </c>
    </row>
    <row r="120" spans="1:26">
      <c r="A120" s="40" t="s">
        <v>195</v>
      </c>
      <c r="B120" s="41" t="s">
        <v>38</v>
      </c>
      <c r="C120" s="40" t="s">
        <v>187</v>
      </c>
      <c r="D120" s="41" t="s">
        <v>35</v>
      </c>
      <c r="E120" s="46"/>
      <c r="F120" s="47"/>
      <c r="G120" s="90" t="s">
        <v>122</v>
      </c>
      <c r="H120" s="90"/>
      <c r="I120" s="90"/>
      <c r="J120" s="90"/>
      <c r="K120" s="90"/>
      <c r="L120" s="48"/>
      <c r="M120" s="44">
        <f t="shared" si="15"/>
        <v>0</v>
      </c>
      <c r="N120" s="82">
        <v>0</v>
      </c>
      <c r="O120" s="44">
        <v>0</v>
      </c>
      <c r="P120" s="44">
        <v>0</v>
      </c>
      <c r="S120" s="16" t="str">
        <f t="shared" si="8"/>
        <v>2021-10-31</v>
      </c>
      <c r="T120" t="str">
        <f t="shared" si="9"/>
        <v>111800606027</v>
      </c>
      <c r="U120" s="16" t="s">
        <v>33</v>
      </c>
      <c r="V120">
        <v>9</v>
      </c>
      <c r="W120">
        <v>1</v>
      </c>
      <c r="X120" s="15">
        <f t="shared" si="10"/>
        <v>0</v>
      </c>
      <c r="Z120" t="str">
        <f t="shared" si="11"/>
        <v>INSERT INTO REPORTWARE.RWH_IFRS9_R04A0424 (FECHA, PERIODO,CONCEPTO, SUBREPORTE, MONEDA, TIPO_SALDO, DATO) VALUES ('2021-10-31','2021-10-31','111800606027','0424','9','1','0')</v>
      </c>
    </row>
    <row r="121" spans="1:26">
      <c r="A121" s="40" t="s">
        <v>196</v>
      </c>
      <c r="B121" s="41" t="s">
        <v>35</v>
      </c>
      <c r="C121" s="40" t="s">
        <v>141</v>
      </c>
      <c r="D121" s="41" t="s">
        <v>30</v>
      </c>
      <c r="E121" s="46"/>
      <c r="F121" s="96" t="s">
        <v>124</v>
      </c>
      <c r="G121" s="96"/>
      <c r="H121" s="96"/>
      <c r="I121" s="96"/>
      <c r="J121" s="96"/>
      <c r="K121" s="96"/>
      <c r="L121" s="81"/>
      <c r="M121" s="44">
        <f>SUM(M122,M123,M124,M127,M128)</f>
        <v>0</v>
      </c>
      <c r="N121" s="44">
        <f>SUM(N122,N123,N124,N127,N128)</f>
        <v>0</v>
      </c>
      <c r="O121" s="44">
        <f>SUM(O122,O123,O124,O127,O128)</f>
        <v>0</v>
      </c>
      <c r="P121" s="44">
        <f>SUM(P122,P123,P124,P127,P128)</f>
        <v>0</v>
      </c>
      <c r="S121" s="16" t="str">
        <f t="shared" si="8"/>
        <v>2021-10-31</v>
      </c>
      <c r="T121" t="str">
        <f t="shared" si="9"/>
        <v>111800205007</v>
      </c>
      <c r="U121" s="16" t="s">
        <v>33</v>
      </c>
      <c r="V121">
        <v>9</v>
      </c>
      <c r="W121">
        <v>1</v>
      </c>
      <c r="X121" s="15">
        <f t="shared" si="10"/>
        <v>0</v>
      </c>
      <c r="Z121" t="str">
        <f t="shared" si="11"/>
        <v>INSERT INTO REPORTWARE.RWH_IFRS9_R04A0424 (FECHA, PERIODO,CONCEPTO, SUBREPORTE, MONEDA, TIPO_SALDO, DATO) VALUES ('2021-10-31','2021-10-31','111800205007','0424','9','1','0')</v>
      </c>
    </row>
    <row r="122" spans="1:26">
      <c r="A122" s="40" t="s">
        <v>197</v>
      </c>
      <c r="B122" s="41" t="s">
        <v>38</v>
      </c>
      <c r="C122" s="40" t="s">
        <v>196</v>
      </c>
      <c r="D122" s="41" t="s">
        <v>35</v>
      </c>
      <c r="E122" s="46"/>
      <c r="F122" s="47"/>
      <c r="G122" s="90" t="s">
        <v>126</v>
      </c>
      <c r="H122" s="90"/>
      <c r="I122" s="90"/>
      <c r="J122" s="90"/>
      <c r="K122" s="90"/>
      <c r="L122" s="48"/>
      <c r="M122" s="44">
        <f>SUM(N122:P122)</f>
        <v>0</v>
      </c>
      <c r="N122" s="82">
        <v>0</v>
      </c>
      <c r="O122" s="44">
        <v>0</v>
      </c>
      <c r="P122" s="44">
        <v>0</v>
      </c>
      <c r="S122" s="16" t="str">
        <f t="shared" si="8"/>
        <v>2021-10-31</v>
      </c>
      <c r="T122" t="str">
        <f t="shared" si="9"/>
        <v>111800706028</v>
      </c>
      <c r="U122" s="16" t="s">
        <v>33</v>
      </c>
      <c r="V122">
        <v>9</v>
      </c>
      <c r="W122">
        <v>1</v>
      </c>
      <c r="X122" s="15">
        <f t="shared" si="10"/>
        <v>0</v>
      </c>
      <c r="Z122" t="str">
        <f t="shared" si="11"/>
        <v>INSERT INTO REPORTWARE.RWH_IFRS9_R04A0424 (FECHA, PERIODO,CONCEPTO, SUBREPORTE, MONEDA, TIPO_SALDO, DATO) VALUES ('2021-10-31','2021-10-31','111800706028','0424','9','1','0')</v>
      </c>
    </row>
    <row r="123" spans="1:26">
      <c r="A123" s="40" t="s">
        <v>198</v>
      </c>
      <c r="B123" s="41" t="s">
        <v>38</v>
      </c>
      <c r="C123" s="40" t="s">
        <v>196</v>
      </c>
      <c r="D123" s="41" t="s">
        <v>35</v>
      </c>
      <c r="E123" s="46"/>
      <c r="F123" s="47"/>
      <c r="G123" s="90" t="s">
        <v>128</v>
      </c>
      <c r="H123" s="90"/>
      <c r="I123" s="90"/>
      <c r="J123" s="90"/>
      <c r="K123" s="90"/>
      <c r="L123" s="48"/>
      <c r="M123" s="44">
        <f>SUM(N123:P123)</f>
        <v>0</v>
      </c>
      <c r="N123" s="82">
        <v>0</v>
      </c>
      <c r="O123" s="44">
        <v>0</v>
      </c>
      <c r="P123" s="44">
        <v>0</v>
      </c>
      <c r="S123" s="16" t="str">
        <f t="shared" si="8"/>
        <v>2021-10-31</v>
      </c>
      <c r="T123" t="str">
        <f t="shared" si="9"/>
        <v>111800706029</v>
      </c>
      <c r="U123" s="16" t="s">
        <v>33</v>
      </c>
      <c r="V123">
        <v>9</v>
      </c>
      <c r="W123">
        <v>1</v>
      </c>
      <c r="X123" s="15">
        <f t="shared" si="10"/>
        <v>0</v>
      </c>
      <c r="Z123" t="str">
        <f t="shared" si="11"/>
        <v>INSERT INTO REPORTWARE.RWH_IFRS9_R04A0424 (FECHA, PERIODO,CONCEPTO, SUBREPORTE, MONEDA, TIPO_SALDO, DATO) VALUES ('2021-10-31','2021-10-31','111800706029','0424','9','1','0')</v>
      </c>
    </row>
    <row r="124" spans="1:26">
      <c r="A124" s="40" t="s">
        <v>199</v>
      </c>
      <c r="B124" s="41" t="s">
        <v>38</v>
      </c>
      <c r="C124" s="40" t="s">
        <v>196</v>
      </c>
      <c r="D124" s="41" t="s">
        <v>30</v>
      </c>
      <c r="E124" s="46"/>
      <c r="F124" s="47"/>
      <c r="G124" s="90" t="s">
        <v>130</v>
      </c>
      <c r="H124" s="90"/>
      <c r="I124" s="90"/>
      <c r="J124" s="90"/>
      <c r="K124" s="90"/>
      <c r="L124" s="48"/>
      <c r="M124" s="44">
        <f>SUM(M125:M126)</f>
        <v>0</v>
      </c>
      <c r="N124" s="44">
        <f>SUM(N125:N126)</f>
        <v>0</v>
      </c>
      <c r="O124" s="44">
        <f>SUM(O125:O126)</f>
        <v>0</v>
      </c>
      <c r="P124" s="44">
        <f>SUM(P125:P126)</f>
        <v>0</v>
      </c>
      <c r="S124" s="16" t="str">
        <f t="shared" si="8"/>
        <v>2021-10-31</v>
      </c>
      <c r="T124" t="str">
        <f t="shared" si="9"/>
        <v>111800706030</v>
      </c>
      <c r="U124" s="16" t="s">
        <v>33</v>
      </c>
      <c r="V124">
        <v>9</v>
      </c>
      <c r="W124">
        <v>1</v>
      </c>
      <c r="X124" s="15">
        <f t="shared" si="10"/>
        <v>0</v>
      </c>
      <c r="Z124" t="str">
        <f t="shared" si="11"/>
        <v>INSERT INTO REPORTWARE.RWH_IFRS9_R04A0424 (FECHA, PERIODO,CONCEPTO, SUBREPORTE, MONEDA, TIPO_SALDO, DATO) VALUES ('2021-10-31','2021-10-31','111800706030','0424','9','1','0')</v>
      </c>
    </row>
    <row r="125" spans="1:26">
      <c r="A125" s="40" t="s">
        <v>200</v>
      </c>
      <c r="B125" s="41" t="s">
        <v>41</v>
      </c>
      <c r="C125" s="40" t="s">
        <v>199</v>
      </c>
      <c r="D125" s="41" t="s">
        <v>35</v>
      </c>
      <c r="E125" s="46"/>
      <c r="F125" s="47"/>
      <c r="G125" s="47"/>
      <c r="H125" s="90" t="s">
        <v>132</v>
      </c>
      <c r="I125" s="90"/>
      <c r="J125" s="90"/>
      <c r="K125" s="90"/>
      <c r="L125" s="48"/>
      <c r="M125" s="44">
        <f>SUM(N125:P125)</f>
        <v>0</v>
      </c>
      <c r="N125" s="82">
        <v>0</v>
      </c>
      <c r="O125" s="44">
        <v>0</v>
      </c>
      <c r="P125" s="44">
        <v>0</v>
      </c>
      <c r="S125" s="16" t="str">
        <f t="shared" si="8"/>
        <v>2021-10-31</v>
      </c>
      <c r="T125" t="str">
        <f t="shared" si="9"/>
        <v>111803007032</v>
      </c>
      <c r="U125" s="16" t="s">
        <v>33</v>
      </c>
      <c r="V125">
        <v>9</v>
      </c>
      <c r="W125">
        <v>1</v>
      </c>
      <c r="X125" s="15">
        <f t="shared" si="10"/>
        <v>0</v>
      </c>
      <c r="Z125" t="str">
        <f t="shared" si="11"/>
        <v>INSERT INTO REPORTWARE.RWH_IFRS9_R04A0424 (FECHA, PERIODO,CONCEPTO, SUBREPORTE, MONEDA, TIPO_SALDO, DATO) VALUES ('2021-10-31','2021-10-31','111803007032','0424','9','1','0')</v>
      </c>
    </row>
    <row r="126" spans="1:26">
      <c r="A126" s="40" t="s">
        <v>201</v>
      </c>
      <c r="B126" s="41" t="s">
        <v>41</v>
      </c>
      <c r="C126" s="40" t="s">
        <v>199</v>
      </c>
      <c r="D126" s="41" t="s">
        <v>35</v>
      </c>
      <c r="E126" s="46"/>
      <c r="F126" s="47"/>
      <c r="G126" s="47"/>
      <c r="H126" s="89" t="s">
        <v>136</v>
      </c>
      <c r="I126" s="89"/>
      <c r="J126" s="89"/>
      <c r="K126" s="89"/>
      <c r="L126" s="47"/>
      <c r="M126" s="44">
        <f>SUM(N126:P126)</f>
        <v>0</v>
      </c>
      <c r="N126" s="82">
        <v>0</v>
      </c>
      <c r="O126" s="44">
        <v>0</v>
      </c>
      <c r="P126" s="44">
        <v>0</v>
      </c>
      <c r="S126" s="16" t="str">
        <f t="shared" si="8"/>
        <v>2021-10-31</v>
      </c>
      <c r="T126" t="str">
        <f t="shared" si="9"/>
        <v>111803007033</v>
      </c>
      <c r="U126" s="16" t="s">
        <v>33</v>
      </c>
      <c r="V126">
        <v>9</v>
      </c>
      <c r="W126">
        <v>1</v>
      </c>
      <c r="X126" s="15">
        <f t="shared" si="10"/>
        <v>0</v>
      </c>
      <c r="Z126" t="str">
        <f t="shared" si="11"/>
        <v>INSERT INTO REPORTWARE.RWH_IFRS9_R04A0424 (FECHA, PERIODO,CONCEPTO, SUBREPORTE, MONEDA, TIPO_SALDO, DATO) VALUES ('2021-10-31','2021-10-31','111803007033','0424','9','1','0')</v>
      </c>
    </row>
    <row r="127" spans="1:26">
      <c r="A127" s="40" t="s">
        <v>202</v>
      </c>
      <c r="B127" s="41" t="s">
        <v>38</v>
      </c>
      <c r="C127" s="40" t="s">
        <v>196</v>
      </c>
      <c r="D127" s="41" t="s">
        <v>35</v>
      </c>
      <c r="E127" s="46"/>
      <c r="F127" s="47"/>
      <c r="G127" s="90" t="s">
        <v>138</v>
      </c>
      <c r="H127" s="90"/>
      <c r="I127" s="90"/>
      <c r="J127" s="90"/>
      <c r="K127" s="90"/>
      <c r="L127" s="48"/>
      <c r="M127" s="44">
        <f>SUM(N127:P127)</f>
        <v>0</v>
      </c>
      <c r="N127" s="82">
        <v>0</v>
      </c>
      <c r="O127" s="44">
        <v>0</v>
      </c>
      <c r="P127" s="44">
        <v>0</v>
      </c>
      <c r="S127" s="16" t="str">
        <f t="shared" si="8"/>
        <v>2021-10-31</v>
      </c>
      <c r="T127" t="str">
        <f t="shared" si="9"/>
        <v>111800706031</v>
      </c>
      <c r="U127" s="16" t="s">
        <v>33</v>
      </c>
      <c r="V127">
        <v>9</v>
      </c>
      <c r="W127">
        <v>1</v>
      </c>
      <c r="X127" s="15">
        <f t="shared" si="10"/>
        <v>0</v>
      </c>
      <c r="Z127" t="str">
        <f t="shared" si="11"/>
        <v>INSERT INTO REPORTWARE.RWH_IFRS9_R04A0424 (FECHA, PERIODO,CONCEPTO, SUBREPORTE, MONEDA, TIPO_SALDO, DATO) VALUES ('2021-10-31','2021-10-31','111800706031','0424','9','1','0')</v>
      </c>
    </row>
    <row r="128" spans="1:26" ht="15" thickBot="1">
      <c r="A128" s="40" t="s">
        <v>203</v>
      </c>
      <c r="B128" s="41" t="s">
        <v>38</v>
      </c>
      <c r="C128" s="40" t="s">
        <v>196</v>
      </c>
      <c r="D128" s="41" t="s">
        <v>35</v>
      </c>
      <c r="E128" s="49"/>
      <c r="F128" s="83"/>
      <c r="G128" s="97" t="s">
        <v>140</v>
      </c>
      <c r="H128" s="97"/>
      <c r="I128" s="97"/>
      <c r="J128" s="97"/>
      <c r="K128" s="97"/>
      <c r="L128" s="84"/>
      <c r="M128" s="63">
        <f>SUM(N128:P128)</f>
        <v>0</v>
      </c>
      <c r="N128" s="63">
        <v>0</v>
      </c>
      <c r="O128" s="63">
        <v>0</v>
      </c>
      <c r="P128" s="63">
        <v>0</v>
      </c>
      <c r="S128" s="16" t="str">
        <f t="shared" si="8"/>
        <v>2021-10-31</v>
      </c>
      <c r="T128" t="str">
        <f t="shared" si="9"/>
        <v>111800706032</v>
      </c>
      <c r="U128" s="16" t="s">
        <v>33</v>
      </c>
      <c r="V128">
        <v>9</v>
      </c>
      <c r="W128">
        <v>1</v>
      </c>
      <c r="X128" s="15">
        <f t="shared" si="10"/>
        <v>0</v>
      </c>
      <c r="Z128" t="str">
        <f t="shared" si="11"/>
        <v>INSERT INTO REPORTWARE.RWH_IFRS9_R04A0424 (FECHA, PERIODO,CONCEPTO, SUBREPORTE, MONEDA, TIPO_SALDO, DATO) VALUES ('2021-10-31','2021-10-31','111800706032','0424','9','1','0')</v>
      </c>
    </row>
    <row r="129" spans="19:26">
      <c r="S129" s="16" t="str">
        <f>$Q$4</f>
        <v>2021-10-31</v>
      </c>
      <c r="T129" s="16" t="str">
        <f>A4</f>
        <v>101800104001</v>
      </c>
      <c r="U129" s="16" t="s">
        <v>33</v>
      </c>
      <c r="V129">
        <v>4</v>
      </c>
      <c r="W129">
        <v>1</v>
      </c>
      <c r="X129" s="15">
        <f>O4</f>
        <v>0</v>
      </c>
      <c r="Z129" t="str">
        <f t="shared" si="11"/>
        <v>INSERT INTO REPORTWARE.RWH_IFRS9_R04A0424 (FECHA, PERIODO,CONCEPTO, SUBREPORTE, MONEDA, TIPO_SALDO, DATO) VALUES ('2021-10-31','2021-10-31','101800104001','0424','4','1','0')</v>
      </c>
    </row>
    <row r="130" spans="19:26">
      <c r="S130" s="16" t="str">
        <f t="shared" ref="S130:S193" si="16">$Q$4</f>
        <v>2021-10-31</v>
      </c>
      <c r="T130" s="16" t="str">
        <f t="shared" ref="T130:T193" si="17">A5</f>
        <v>111800105001</v>
      </c>
      <c r="U130" s="16" t="s">
        <v>33</v>
      </c>
      <c r="V130">
        <v>4</v>
      </c>
      <c r="W130">
        <v>1</v>
      </c>
      <c r="X130" s="15">
        <f t="shared" ref="X130:X193" si="18">O5</f>
        <v>0</v>
      </c>
      <c r="Z130" t="str">
        <f t="shared" si="11"/>
        <v>INSERT INTO REPORTWARE.RWH_IFRS9_R04A0424 (FECHA, PERIODO,CONCEPTO, SUBREPORTE, MONEDA, TIPO_SALDO, DATO) VALUES ('2021-10-31','2021-10-31','111800105001','0424','4','1','0')</v>
      </c>
    </row>
    <row r="131" spans="19:26">
      <c r="S131" s="16" t="str">
        <f t="shared" si="16"/>
        <v>2021-10-31</v>
      </c>
      <c r="T131" s="16" t="str">
        <f t="shared" si="17"/>
        <v>111800106001</v>
      </c>
      <c r="U131" s="16" t="s">
        <v>33</v>
      </c>
      <c r="V131">
        <v>4</v>
      </c>
      <c r="W131">
        <v>1</v>
      </c>
      <c r="X131" s="15">
        <f t="shared" si="18"/>
        <v>0</v>
      </c>
      <c r="Z131" t="str">
        <f t="shared" si="11"/>
        <v>INSERT INTO REPORTWARE.RWH_IFRS9_R04A0424 (FECHA, PERIODO,CONCEPTO, SUBREPORTE, MONEDA, TIPO_SALDO, DATO) VALUES ('2021-10-31','2021-10-31','111800106001','0424','4','1','0')</v>
      </c>
    </row>
    <row r="132" spans="19:26">
      <c r="S132" s="16" t="str">
        <f t="shared" si="16"/>
        <v>2021-10-31</v>
      </c>
      <c r="T132" s="16" t="str">
        <f t="shared" si="17"/>
        <v>111800107001</v>
      </c>
      <c r="U132" s="16" t="s">
        <v>33</v>
      </c>
      <c r="V132">
        <v>4</v>
      </c>
      <c r="W132">
        <v>1</v>
      </c>
      <c r="X132" s="15">
        <f t="shared" si="18"/>
        <v>0</v>
      </c>
      <c r="Z132" t="str">
        <f t="shared" si="11"/>
        <v>INSERT INTO REPORTWARE.RWH_IFRS9_R04A0424 (FECHA, PERIODO,CONCEPTO, SUBREPORTE, MONEDA, TIPO_SALDO, DATO) VALUES ('2021-10-31','2021-10-31','111800107001','0424','4','1','0')</v>
      </c>
    </row>
    <row r="133" spans="19:26">
      <c r="S133" s="16" t="str">
        <f t="shared" si="16"/>
        <v>2021-10-31</v>
      </c>
      <c r="T133" s="16" t="str">
        <f t="shared" si="17"/>
        <v>111800108001</v>
      </c>
      <c r="U133" s="16" t="s">
        <v>33</v>
      </c>
      <c r="V133">
        <v>4</v>
      </c>
      <c r="W133">
        <v>1</v>
      </c>
      <c r="X133" s="15">
        <f t="shared" si="18"/>
        <v>0</v>
      </c>
      <c r="Z133" t="str">
        <f t="shared" ref="Z133:Z196" si="19">"INSERT INTO REPORTWARE.RWH_IFRS9_R04A0424 (FECHA, PERIODO,CONCEPTO, SUBREPORTE, MONEDA, TIPO_SALDO, DATO) VALUES ('"&amp;S133&amp;"','"&amp;S133&amp;"','"&amp;T133&amp;"','"&amp;U133&amp;"','"&amp;V133&amp;"','"&amp;W133&amp;"','"&amp;X133&amp;"')"</f>
        <v>INSERT INTO REPORTWARE.RWH_IFRS9_R04A0424 (FECHA, PERIODO,CONCEPTO, SUBREPORTE, MONEDA, TIPO_SALDO, DATO) VALUES ('2021-10-31','2021-10-31','111800108001','0424','4','1','0')</v>
      </c>
    </row>
    <row r="134" spans="19:26">
      <c r="S134" s="16" t="str">
        <f t="shared" si="16"/>
        <v>2021-10-31</v>
      </c>
      <c r="T134" s="16" t="str">
        <f t="shared" si="17"/>
        <v>111800108002</v>
      </c>
      <c r="U134" s="16" t="s">
        <v>33</v>
      </c>
      <c r="V134">
        <v>4</v>
      </c>
      <c r="W134">
        <v>1</v>
      </c>
      <c r="X134" s="15">
        <f t="shared" si="18"/>
        <v>0</v>
      </c>
      <c r="Z134" t="str">
        <f t="shared" si="19"/>
        <v>INSERT INTO REPORTWARE.RWH_IFRS9_R04A0424 (FECHA, PERIODO,CONCEPTO, SUBREPORTE, MONEDA, TIPO_SALDO, DATO) VALUES ('2021-10-31','2021-10-31','111800108002','0424','4','1','0')</v>
      </c>
    </row>
    <row r="135" spans="19:26">
      <c r="S135" s="16" t="str">
        <f t="shared" si="16"/>
        <v>2021-10-31</v>
      </c>
      <c r="T135" s="16" t="str">
        <f t="shared" si="17"/>
        <v>111800107002</v>
      </c>
      <c r="U135" s="16" t="s">
        <v>33</v>
      </c>
      <c r="V135">
        <v>4</v>
      </c>
      <c r="W135">
        <v>1</v>
      </c>
      <c r="X135" s="15">
        <f t="shared" si="18"/>
        <v>0</v>
      </c>
      <c r="Z135" t="str">
        <f t="shared" si="19"/>
        <v>INSERT INTO REPORTWARE.RWH_IFRS9_R04A0424 (FECHA, PERIODO,CONCEPTO, SUBREPORTE, MONEDA, TIPO_SALDO, DATO) VALUES ('2021-10-31','2021-10-31','111800107002','0424','4','1','0')</v>
      </c>
    </row>
    <row r="136" spans="19:26">
      <c r="S136" s="16" t="str">
        <f t="shared" si="16"/>
        <v>2021-10-31</v>
      </c>
      <c r="T136" s="16" t="str">
        <f t="shared" si="17"/>
        <v>111800208003</v>
      </c>
      <c r="U136" s="16" t="s">
        <v>33</v>
      </c>
      <c r="V136">
        <v>4</v>
      </c>
      <c r="W136">
        <v>1</v>
      </c>
      <c r="X136" s="15">
        <f t="shared" si="18"/>
        <v>0</v>
      </c>
      <c r="Z136" t="str">
        <f t="shared" si="19"/>
        <v>INSERT INTO REPORTWARE.RWH_IFRS9_R04A0424 (FECHA, PERIODO,CONCEPTO, SUBREPORTE, MONEDA, TIPO_SALDO, DATO) VALUES ('2021-10-31','2021-10-31','111800208003','0424','4','1','0')</v>
      </c>
    </row>
    <row r="137" spans="19:26">
      <c r="S137" s="16" t="str">
        <f t="shared" si="16"/>
        <v>2021-10-31</v>
      </c>
      <c r="T137" s="16" t="str">
        <f t="shared" si="17"/>
        <v>111800208004</v>
      </c>
      <c r="U137" s="16" t="s">
        <v>33</v>
      </c>
      <c r="V137">
        <v>4</v>
      </c>
      <c r="W137">
        <v>1</v>
      </c>
      <c r="X137" s="15">
        <f t="shared" si="18"/>
        <v>0</v>
      </c>
      <c r="Z137" t="str">
        <f t="shared" si="19"/>
        <v>INSERT INTO REPORTWARE.RWH_IFRS9_R04A0424 (FECHA, PERIODO,CONCEPTO, SUBREPORTE, MONEDA, TIPO_SALDO, DATO) VALUES ('2021-10-31','2021-10-31','111800208004','0424','4','1','0')</v>
      </c>
    </row>
    <row r="138" spans="19:26">
      <c r="S138" s="16" t="str">
        <f t="shared" si="16"/>
        <v>2021-10-31</v>
      </c>
      <c r="T138" s="16" t="str">
        <f t="shared" si="17"/>
        <v>111800208005</v>
      </c>
      <c r="U138" s="16" t="s">
        <v>33</v>
      </c>
      <c r="V138">
        <v>4</v>
      </c>
      <c r="W138">
        <v>1</v>
      </c>
      <c r="X138" s="15">
        <f t="shared" si="18"/>
        <v>0</v>
      </c>
      <c r="Z138" t="str">
        <f t="shared" si="19"/>
        <v>INSERT INTO REPORTWARE.RWH_IFRS9_R04A0424 (FECHA, PERIODO,CONCEPTO, SUBREPORTE, MONEDA, TIPO_SALDO, DATO) VALUES ('2021-10-31','2021-10-31','111800208005','0424','4','1','0')</v>
      </c>
    </row>
    <row r="139" spans="19:26">
      <c r="S139" s="16" t="str">
        <f t="shared" si="16"/>
        <v>2021-10-31</v>
      </c>
      <c r="T139" s="16" t="str">
        <f t="shared" si="17"/>
        <v>111800107003</v>
      </c>
      <c r="U139" s="16" t="s">
        <v>33</v>
      </c>
      <c r="V139">
        <v>4</v>
      </c>
      <c r="W139">
        <v>1</v>
      </c>
      <c r="X139" s="15">
        <f t="shared" si="18"/>
        <v>0</v>
      </c>
      <c r="Z139" t="str">
        <f t="shared" si="19"/>
        <v>INSERT INTO REPORTWARE.RWH_IFRS9_R04A0424 (FECHA, PERIODO,CONCEPTO, SUBREPORTE, MONEDA, TIPO_SALDO, DATO) VALUES ('2021-10-31','2021-10-31','111800107003','0424','4','1','0')</v>
      </c>
    </row>
    <row r="140" spans="19:26">
      <c r="S140" s="16" t="str">
        <f t="shared" si="16"/>
        <v>2021-10-31</v>
      </c>
      <c r="T140" s="16" t="str">
        <f t="shared" si="17"/>
        <v>111800308006</v>
      </c>
      <c r="U140" s="16" t="s">
        <v>33</v>
      </c>
      <c r="V140">
        <v>4</v>
      </c>
      <c r="W140">
        <v>1</v>
      </c>
      <c r="X140" s="15">
        <f t="shared" si="18"/>
        <v>0</v>
      </c>
      <c r="Z140" t="str">
        <f t="shared" si="19"/>
        <v>INSERT INTO REPORTWARE.RWH_IFRS9_R04A0424 (FECHA, PERIODO,CONCEPTO, SUBREPORTE, MONEDA, TIPO_SALDO, DATO) VALUES ('2021-10-31','2021-10-31','111800308006','0424','4','1','0')</v>
      </c>
    </row>
    <row r="141" spans="19:26">
      <c r="S141" s="16" t="str">
        <f t="shared" si="16"/>
        <v>2021-10-31</v>
      </c>
      <c r="T141" s="16" t="str">
        <f t="shared" si="17"/>
        <v>111800308007</v>
      </c>
      <c r="U141" s="16" t="s">
        <v>33</v>
      </c>
      <c r="V141">
        <v>4</v>
      </c>
      <c r="W141">
        <v>1</v>
      </c>
      <c r="X141" s="15">
        <f t="shared" si="18"/>
        <v>0</v>
      </c>
      <c r="Z141" t="str">
        <f t="shared" si="19"/>
        <v>INSERT INTO REPORTWARE.RWH_IFRS9_R04A0424 (FECHA, PERIODO,CONCEPTO, SUBREPORTE, MONEDA, TIPO_SALDO, DATO) VALUES ('2021-10-31','2021-10-31','111800308007','0424','4','1','0')</v>
      </c>
    </row>
    <row r="142" spans="19:26">
      <c r="S142" s="16" t="str">
        <f t="shared" si="16"/>
        <v>2021-10-31</v>
      </c>
      <c r="T142" s="16" t="str">
        <f t="shared" si="17"/>
        <v>111800107004</v>
      </c>
      <c r="U142" s="16" t="s">
        <v>33</v>
      </c>
      <c r="V142">
        <v>4</v>
      </c>
      <c r="W142">
        <v>1</v>
      </c>
      <c r="X142" s="15">
        <f t="shared" si="18"/>
        <v>0</v>
      </c>
      <c r="Z142" t="str">
        <f t="shared" si="19"/>
        <v>INSERT INTO REPORTWARE.RWH_IFRS9_R04A0424 (FECHA, PERIODO,CONCEPTO, SUBREPORTE, MONEDA, TIPO_SALDO, DATO) VALUES ('2021-10-31','2021-10-31','111800107004','0424','4','1','0')</v>
      </c>
    </row>
    <row r="143" spans="19:26">
      <c r="S143" s="16" t="str">
        <f t="shared" si="16"/>
        <v>2021-10-31</v>
      </c>
      <c r="T143" s="16" t="str">
        <f t="shared" si="17"/>
        <v>111800107005</v>
      </c>
      <c r="U143" s="16" t="s">
        <v>33</v>
      </c>
      <c r="V143">
        <v>4</v>
      </c>
      <c r="W143">
        <v>1</v>
      </c>
      <c r="X143" s="15">
        <f t="shared" si="18"/>
        <v>0</v>
      </c>
      <c r="Z143" t="str">
        <f t="shared" si="19"/>
        <v>INSERT INTO REPORTWARE.RWH_IFRS9_R04A0424 (FECHA, PERIODO,CONCEPTO, SUBREPORTE, MONEDA, TIPO_SALDO, DATO) VALUES ('2021-10-31','2021-10-31','111800107005','0424','4','1','0')</v>
      </c>
    </row>
    <row r="144" spans="19:26">
      <c r="S144" s="16" t="str">
        <f t="shared" si="16"/>
        <v>2021-10-31</v>
      </c>
      <c r="T144" s="16" t="str">
        <f t="shared" si="17"/>
        <v>111800107006</v>
      </c>
      <c r="U144" s="16" t="s">
        <v>33</v>
      </c>
      <c r="V144">
        <v>4</v>
      </c>
      <c r="W144">
        <v>1</v>
      </c>
      <c r="X144" s="15">
        <f t="shared" si="18"/>
        <v>0</v>
      </c>
      <c r="Z144" t="str">
        <f t="shared" si="19"/>
        <v>INSERT INTO REPORTWARE.RWH_IFRS9_R04A0424 (FECHA, PERIODO,CONCEPTO, SUBREPORTE, MONEDA, TIPO_SALDO, DATO) VALUES ('2021-10-31','2021-10-31','111800107006','0424','4','1','0')</v>
      </c>
    </row>
    <row r="145" spans="19:26">
      <c r="S145" s="16" t="str">
        <f t="shared" si="16"/>
        <v>2021-10-31</v>
      </c>
      <c r="T145" s="16" t="str">
        <f t="shared" si="17"/>
        <v>111800107007</v>
      </c>
      <c r="U145" s="16" t="s">
        <v>33</v>
      </c>
      <c r="V145">
        <v>4</v>
      </c>
      <c r="W145">
        <v>1</v>
      </c>
      <c r="X145" s="15">
        <f t="shared" si="18"/>
        <v>0</v>
      </c>
      <c r="Z145" t="str">
        <f t="shared" si="19"/>
        <v>INSERT INTO REPORTWARE.RWH_IFRS9_R04A0424 (FECHA, PERIODO,CONCEPTO, SUBREPORTE, MONEDA, TIPO_SALDO, DATO) VALUES ('2021-10-31','2021-10-31','111800107007','0424','4','1','0')</v>
      </c>
    </row>
    <row r="146" spans="19:26">
      <c r="S146" s="16" t="str">
        <f t="shared" si="16"/>
        <v>2021-10-31</v>
      </c>
      <c r="T146" s="16" t="str">
        <f t="shared" si="17"/>
        <v>111800107008</v>
      </c>
      <c r="U146" s="16" t="s">
        <v>33</v>
      </c>
      <c r="V146">
        <v>4</v>
      </c>
      <c r="W146">
        <v>1</v>
      </c>
      <c r="X146" s="15">
        <f t="shared" si="18"/>
        <v>0</v>
      </c>
      <c r="Z146" t="str">
        <f t="shared" si="19"/>
        <v>INSERT INTO REPORTWARE.RWH_IFRS9_R04A0424 (FECHA, PERIODO,CONCEPTO, SUBREPORTE, MONEDA, TIPO_SALDO, DATO) VALUES ('2021-10-31','2021-10-31','111800107008','0424','4','1','0')</v>
      </c>
    </row>
    <row r="147" spans="19:26">
      <c r="S147" s="16" t="str">
        <f t="shared" si="16"/>
        <v>2021-10-31</v>
      </c>
      <c r="T147" s="16" t="str">
        <f t="shared" si="17"/>
        <v>111800106002</v>
      </c>
      <c r="U147" s="16" t="s">
        <v>33</v>
      </c>
      <c r="V147">
        <v>4</v>
      </c>
      <c r="W147">
        <v>1</v>
      </c>
      <c r="X147" s="15">
        <f t="shared" si="18"/>
        <v>0</v>
      </c>
      <c r="Z147" t="str">
        <f t="shared" si="19"/>
        <v>INSERT INTO REPORTWARE.RWH_IFRS9_R04A0424 (FECHA, PERIODO,CONCEPTO, SUBREPORTE, MONEDA, TIPO_SALDO, DATO) VALUES ('2021-10-31','2021-10-31','111800106002','0424','4','1','0')</v>
      </c>
    </row>
    <row r="148" spans="19:26">
      <c r="S148" s="16" t="str">
        <f t="shared" si="16"/>
        <v>2021-10-31</v>
      </c>
      <c r="T148" s="16" t="str">
        <f t="shared" si="17"/>
        <v>111800207009</v>
      </c>
      <c r="U148" s="16" t="s">
        <v>33</v>
      </c>
      <c r="V148">
        <v>4</v>
      </c>
      <c r="W148">
        <v>1</v>
      </c>
      <c r="X148" s="15">
        <f t="shared" si="18"/>
        <v>0</v>
      </c>
      <c r="Z148" t="str">
        <f t="shared" si="19"/>
        <v>INSERT INTO REPORTWARE.RWH_IFRS9_R04A0424 (FECHA, PERIODO,CONCEPTO, SUBREPORTE, MONEDA, TIPO_SALDO, DATO) VALUES ('2021-10-31','2021-10-31','111800207009','0424','4','1','0')</v>
      </c>
    </row>
    <row r="149" spans="19:26">
      <c r="S149" s="16" t="str">
        <f t="shared" si="16"/>
        <v>2021-10-31</v>
      </c>
      <c r="T149" s="16" t="str">
        <f t="shared" si="17"/>
        <v>111800908008</v>
      </c>
      <c r="U149" s="16" t="s">
        <v>33</v>
      </c>
      <c r="V149">
        <v>4</v>
      </c>
      <c r="W149">
        <v>1</v>
      </c>
      <c r="X149" s="15">
        <f t="shared" si="18"/>
        <v>0</v>
      </c>
      <c r="Z149" t="str">
        <f t="shared" si="19"/>
        <v>INSERT INTO REPORTWARE.RWH_IFRS9_R04A0424 (FECHA, PERIODO,CONCEPTO, SUBREPORTE, MONEDA, TIPO_SALDO, DATO) VALUES ('2021-10-31','2021-10-31','111800908008','0424','4','1','0')</v>
      </c>
    </row>
    <row r="150" spans="19:26">
      <c r="S150" s="16" t="str">
        <f t="shared" si="16"/>
        <v>2021-10-31</v>
      </c>
      <c r="T150" s="16" t="str">
        <f t="shared" si="17"/>
        <v>111800908009</v>
      </c>
      <c r="U150" s="16" t="s">
        <v>33</v>
      </c>
      <c r="V150">
        <v>4</v>
      </c>
      <c r="W150">
        <v>1</v>
      </c>
      <c r="X150" s="15">
        <f t="shared" si="18"/>
        <v>0</v>
      </c>
      <c r="Z150" t="str">
        <f t="shared" si="19"/>
        <v>INSERT INTO REPORTWARE.RWH_IFRS9_R04A0424 (FECHA, PERIODO,CONCEPTO, SUBREPORTE, MONEDA, TIPO_SALDO, DATO) VALUES ('2021-10-31','2021-10-31','111800908009','0424','4','1','0')</v>
      </c>
    </row>
    <row r="151" spans="19:26">
      <c r="S151" s="16" t="str">
        <f t="shared" si="16"/>
        <v>2021-10-31</v>
      </c>
      <c r="T151" s="16" t="str">
        <f t="shared" si="17"/>
        <v>111800908010</v>
      </c>
      <c r="U151" s="16" t="s">
        <v>33</v>
      </c>
      <c r="V151">
        <v>4</v>
      </c>
      <c r="W151">
        <v>1</v>
      </c>
      <c r="X151" s="15">
        <f t="shared" si="18"/>
        <v>0</v>
      </c>
      <c r="Z151" t="str">
        <f t="shared" si="19"/>
        <v>INSERT INTO REPORTWARE.RWH_IFRS9_R04A0424 (FECHA, PERIODO,CONCEPTO, SUBREPORTE, MONEDA, TIPO_SALDO, DATO) VALUES ('2021-10-31','2021-10-31','111800908010','0424','4','1','0')</v>
      </c>
    </row>
    <row r="152" spans="19:26">
      <c r="S152" s="16" t="str">
        <f t="shared" si="16"/>
        <v>2021-10-31</v>
      </c>
      <c r="T152" s="16" t="str">
        <f t="shared" si="17"/>
        <v>111800207010</v>
      </c>
      <c r="U152" s="16" t="s">
        <v>33</v>
      </c>
      <c r="V152">
        <v>4</v>
      </c>
      <c r="W152">
        <v>1</v>
      </c>
      <c r="X152" s="15">
        <f t="shared" si="18"/>
        <v>0</v>
      </c>
      <c r="Z152" t="str">
        <f t="shared" si="19"/>
        <v>INSERT INTO REPORTWARE.RWH_IFRS9_R04A0424 (FECHA, PERIODO,CONCEPTO, SUBREPORTE, MONEDA, TIPO_SALDO, DATO) VALUES ('2021-10-31','2021-10-31','111800207010','0424','4','1','0')</v>
      </c>
    </row>
    <row r="153" spans="19:26">
      <c r="S153" s="16" t="str">
        <f t="shared" si="16"/>
        <v>2021-10-31</v>
      </c>
      <c r="T153" s="16" t="str">
        <f t="shared" si="17"/>
        <v>111801008011</v>
      </c>
      <c r="U153" s="16" t="s">
        <v>33</v>
      </c>
      <c r="V153">
        <v>4</v>
      </c>
      <c r="W153">
        <v>1</v>
      </c>
      <c r="X153" s="15">
        <f t="shared" si="18"/>
        <v>0</v>
      </c>
      <c r="Z153" t="str">
        <f t="shared" si="19"/>
        <v>INSERT INTO REPORTWARE.RWH_IFRS9_R04A0424 (FECHA, PERIODO,CONCEPTO, SUBREPORTE, MONEDA, TIPO_SALDO, DATO) VALUES ('2021-10-31','2021-10-31','111801008011','0424','4','1','0')</v>
      </c>
    </row>
    <row r="154" spans="19:26">
      <c r="S154" s="16" t="str">
        <f t="shared" si="16"/>
        <v>2021-10-31</v>
      </c>
      <c r="T154" s="16" t="str">
        <f t="shared" si="17"/>
        <v>111801008012</v>
      </c>
      <c r="U154" s="16" t="s">
        <v>33</v>
      </c>
      <c r="V154">
        <v>4</v>
      </c>
      <c r="W154">
        <v>1</v>
      </c>
      <c r="X154" s="15">
        <f t="shared" si="18"/>
        <v>0</v>
      </c>
      <c r="Z154" t="str">
        <f t="shared" si="19"/>
        <v>INSERT INTO REPORTWARE.RWH_IFRS9_R04A0424 (FECHA, PERIODO,CONCEPTO, SUBREPORTE, MONEDA, TIPO_SALDO, DATO) VALUES ('2021-10-31','2021-10-31','111801008012','0424','4','1','0')</v>
      </c>
    </row>
    <row r="155" spans="19:26">
      <c r="S155" s="16" t="str">
        <f t="shared" si="16"/>
        <v>2021-10-31</v>
      </c>
      <c r="T155" s="16" t="str">
        <f t="shared" si="17"/>
        <v>111801008013</v>
      </c>
      <c r="U155" s="16" t="s">
        <v>33</v>
      </c>
      <c r="V155">
        <v>4</v>
      </c>
      <c r="W155">
        <v>1</v>
      </c>
      <c r="X155" s="15">
        <f t="shared" si="18"/>
        <v>0</v>
      </c>
      <c r="Z155" t="str">
        <f t="shared" si="19"/>
        <v>INSERT INTO REPORTWARE.RWH_IFRS9_R04A0424 (FECHA, PERIODO,CONCEPTO, SUBREPORTE, MONEDA, TIPO_SALDO, DATO) VALUES ('2021-10-31','2021-10-31','111801008013','0424','4','1','0')</v>
      </c>
    </row>
    <row r="156" spans="19:26">
      <c r="S156" s="16" t="str">
        <f t="shared" si="16"/>
        <v>2021-10-31</v>
      </c>
      <c r="T156" s="16" t="str">
        <f t="shared" si="17"/>
        <v>111800106003</v>
      </c>
      <c r="U156" s="16" t="s">
        <v>33</v>
      </c>
      <c r="V156">
        <v>4</v>
      </c>
      <c r="W156">
        <v>1</v>
      </c>
      <c r="X156" s="15">
        <f t="shared" si="18"/>
        <v>0</v>
      </c>
      <c r="Z156" t="str">
        <f t="shared" si="19"/>
        <v>INSERT INTO REPORTWARE.RWH_IFRS9_R04A0424 (FECHA, PERIODO,CONCEPTO, SUBREPORTE, MONEDA, TIPO_SALDO, DATO) VALUES ('2021-10-31','2021-10-31','111800106003','0424','4','1','0')</v>
      </c>
    </row>
    <row r="157" spans="19:26">
      <c r="S157" s="16" t="str">
        <f t="shared" si="16"/>
        <v>2021-10-31</v>
      </c>
      <c r="T157" s="16" t="str">
        <f t="shared" si="17"/>
        <v>111800307011</v>
      </c>
      <c r="U157" s="16" t="s">
        <v>33</v>
      </c>
      <c r="V157">
        <v>4</v>
      </c>
      <c r="W157">
        <v>1</v>
      </c>
      <c r="X157" s="15">
        <f t="shared" si="18"/>
        <v>0</v>
      </c>
      <c r="Z157" t="str">
        <f t="shared" si="19"/>
        <v>INSERT INTO REPORTWARE.RWH_IFRS9_R04A0424 (FECHA, PERIODO,CONCEPTO, SUBREPORTE, MONEDA, TIPO_SALDO, DATO) VALUES ('2021-10-31','2021-10-31','111800307011','0424','4','1','0')</v>
      </c>
    </row>
    <row r="158" spans="19:26">
      <c r="S158" s="16" t="str">
        <f t="shared" si="16"/>
        <v>2021-10-31</v>
      </c>
      <c r="T158" s="16" t="str">
        <f t="shared" si="17"/>
        <v>111800307012</v>
      </c>
      <c r="U158" s="16" t="s">
        <v>33</v>
      </c>
      <c r="V158">
        <v>4</v>
      </c>
      <c r="W158">
        <v>1</v>
      </c>
      <c r="X158" s="15">
        <f t="shared" si="18"/>
        <v>0</v>
      </c>
      <c r="Z158" t="str">
        <f t="shared" si="19"/>
        <v>INSERT INTO REPORTWARE.RWH_IFRS9_R04A0424 (FECHA, PERIODO,CONCEPTO, SUBREPORTE, MONEDA, TIPO_SALDO, DATO) VALUES ('2021-10-31','2021-10-31','111800307012','0424','4','1','0')</v>
      </c>
    </row>
    <row r="159" spans="19:26">
      <c r="S159" s="16" t="str">
        <f t="shared" si="16"/>
        <v>2021-10-31</v>
      </c>
      <c r="T159" s="16" t="str">
        <f t="shared" si="17"/>
        <v>111801208014</v>
      </c>
      <c r="U159" s="16" t="s">
        <v>33</v>
      </c>
      <c r="V159">
        <v>4</v>
      </c>
      <c r="W159">
        <v>1</v>
      </c>
      <c r="X159" s="15">
        <f t="shared" si="18"/>
        <v>0</v>
      </c>
      <c r="Z159" t="str">
        <f t="shared" si="19"/>
        <v>INSERT INTO REPORTWARE.RWH_IFRS9_R04A0424 (FECHA, PERIODO,CONCEPTO, SUBREPORTE, MONEDA, TIPO_SALDO, DATO) VALUES ('2021-10-31','2021-10-31','111801208014','0424','4','1','0')</v>
      </c>
    </row>
    <row r="160" spans="19:26">
      <c r="S160" s="16" t="str">
        <f t="shared" si="16"/>
        <v>2021-10-31</v>
      </c>
      <c r="T160" s="16" t="str">
        <f t="shared" si="17"/>
        <v>111801208015</v>
      </c>
      <c r="U160" s="16" t="s">
        <v>33</v>
      </c>
      <c r="V160">
        <v>4</v>
      </c>
      <c r="W160">
        <v>1</v>
      </c>
      <c r="X160" s="15">
        <f t="shared" si="18"/>
        <v>0</v>
      </c>
      <c r="Z160" t="str">
        <f t="shared" si="19"/>
        <v>INSERT INTO REPORTWARE.RWH_IFRS9_R04A0424 (FECHA, PERIODO,CONCEPTO, SUBREPORTE, MONEDA, TIPO_SALDO, DATO) VALUES ('2021-10-31','2021-10-31','111801208015','0424','4','1','0')</v>
      </c>
    </row>
    <row r="161" spans="19:26">
      <c r="S161" s="16" t="str">
        <f t="shared" si="16"/>
        <v>2021-10-31</v>
      </c>
      <c r="T161" s="16" t="str">
        <f t="shared" si="17"/>
        <v>111801208016</v>
      </c>
      <c r="U161" s="16" t="s">
        <v>33</v>
      </c>
      <c r="V161">
        <v>4</v>
      </c>
      <c r="W161">
        <v>1</v>
      </c>
      <c r="X161" s="15">
        <f t="shared" si="18"/>
        <v>0</v>
      </c>
      <c r="Z161" t="str">
        <f t="shared" si="19"/>
        <v>INSERT INTO REPORTWARE.RWH_IFRS9_R04A0424 (FECHA, PERIODO,CONCEPTO, SUBREPORTE, MONEDA, TIPO_SALDO, DATO) VALUES ('2021-10-31','2021-10-31','111801208016','0424','4','1','0')</v>
      </c>
    </row>
    <row r="162" spans="19:26">
      <c r="S162" s="16" t="str">
        <f t="shared" si="16"/>
        <v>2021-10-31</v>
      </c>
      <c r="T162" s="16" t="str">
        <f t="shared" si="17"/>
        <v>111801208017</v>
      </c>
      <c r="U162" s="16" t="s">
        <v>33</v>
      </c>
      <c r="V162">
        <v>4</v>
      </c>
      <c r="W162">
        <v>1</v>
      </c>
      <c r="X162" s="15">
        <f t="shared" si="18"/>
        <v>0</v>
      </c>
      <c r="Z162" t="str">
        <f t="shared" si="19"/>
        <v>INSERT INTO REPORTWARE.RWH_IFRS9_R04A0424 (FECHA, PERIODO,CONCEPTO, SUBREPORTE, MONEDA, TIPO_SALDO, DATO) VALUES ('2021-10-31','2021-10-31','111801208017','0424','4','1','0')</v>
      </c>
    </row>
    <row r="163" spans="19:26">
      <c r="S163" s="16" t="str">
        <f t="shared" si="16"/>
        <v>2021-10-31</v>
      </c>
      <c r="T163" s="16" t="str">
        <f t="shared" si="17"/>
        <v>111801208018</v>
      </c>
      <c r="U163" s="16" t="s">
        <v>33</v>
      </c>
      <c r="V163">
        <v>4</v>
      </c>
      <c r="W163">
        <v>1</v>
      </c>
      <c r="X163" s="15">
        <f t="shared" si="18"/>
        <v>0</v>
      </c>
      <c r="Z163" t="str">
        <f t="shared" si="19"/>
        <v>INSERT INTO REPORTWARE.RWH_IFRS9_R04A0424 (FECHA, PERIODO,CONCEPTO, SUBREPORTE, MONEDA, TIPO_SALDO, DATO) VALUES ('2021-10-31','2021-10-31','111801208018','0424','4','1','0')</v>
      </c>
    </row>
    <row r="164" spans="19:26">
      <c r="S164" s="16" t="str">
        <f t="shared" si="16"/>
        <v>2021-10-31</v>
      </c>
      <c r="T164" s="16" t="str">
        <f t="shared" si="17"/>
        <v>111800307013</v>
      </c>
      <c r="U164" s="16" t="s">
        <v>33</v>
      </c>
      <c r="V164">
        <v>4</v>
      </c>
      <c r="W164">
        <v>1</v>
      </c>
      <c r="X164" s="15">
        <f t="shared" si="18"/>
        <v>0</v>
      </c>
      <c r="Z164" t="str">
        <f t="shared" si="19"/>
        <v>INSERT INTO REPORTWARE.RWH_IFRS9_R04A0424 (FECHA, PERIODO,CONCEPTO, SUBREPORTE, MONEDA, TIPO_SALDO, DATO) VALUES ('2021-10-31','2021-10-31','111800307013','0424','4','1','0')</v>
      </c>
    </row>
    <row r="165" spans="19:26">
      <c r="S165" s="16" t="str">
        <f t="shared" si="16"/>
        <v>2021-10-31</v>
      </c>
      <c r="T165" s="16" t="str">
        <f t="shared" si="17"/>
        <v>111801308019</v>
      </c>
      <c r="U165" s="16" t="s">
        <v>33</v>
      </c>
      <c r="V165">
        <v>4</v>
      </c>
      <c r="W165">
        <v>1</v>
      </c>
      <c r="X165" s="15">
        <f t="shared" si="18"/>
        <v>0</v>
      </c>
      <c r="Z165" t="str">
        <f t="shared" si="19"/>
        <v>INSERT INTO REPORTWARE.RWH_IFRS9_R04A0424 (FECHA, PERIODO,CONCEPTO, SUBREPORTE, MONEDA, TIPO_SALDO, DATO) VALUES ('2021-10-31','2021-10-31','111801308019','0424','4','1','0')</v>
      </c>
    </row>
    <row r="166" spans="19:26">
      <c r="S166" s="16" t="str">
        <f t="shared" si="16"/>
        <v>2021-10-31</v>
      </c>
      <c r="T166" s="16" t="str">
        <f t="shared" si="17"/>
        <v>111801308020</v>
      </c>
      <c r="U166" s="16" t="s">
        <v>33</v>
      </c>
      <c r="V166">
        <v>4</v>
      </c>
      <c r="W166">
        <v>1</v>
      </c>
      <c r="X166" s="15">
        <f t="shared" si="18"/>
        <v>0</v>
      </c>
      <c r="Z166" t="str">
        <f t="shared" si="19"/>
        <v>INSERT INTO REPORTWARE.RWH_IFRS9_R04A0424 (FECHA, PERIODO,CONCEPTO, SUBREPORTE, MONEDA, TIPO_SALDO, DATO) VALUES ('2021-10-31','2021-10-31','111801308020','0424','4','1','0')</v>
      </c>
    </row>
    <row r="167" spans="19:26">
      <c r="S167" s="16" t="str">
        <f t="shared" si="16"/>
        <v>2021-10-31</v>
      </c>
      <c r="T167" s="16" t="str">
        <f t="shared" si="17"/>
        <v>111801308021</v>
      </c>
      <c r="U167" s="16" t="s">
        <v>33</v>
      </c>
      <c r="V167">
        <v>4</v>
      </c>
      <c r="W167">
        <v>1</v>
      </c>
      <c r="X167" s="15">
        <f t="shared" si="18"/>
        <v>0</v>
      </c>
      <c r="Z167" t="str">
        <f t="shared" si="19"/>
        <v>INSERT INTO REPORTWARE.RWH_IFRS9_R04A0424 (FECHA, PERIODO,CONCEPTO, SUBREPORTE, MONEDA, TIPO_SALDO, DATO) VALUES ('2021-10-31','2021-10-31','111801308021','0424','4','1','0')</v>
      </c>
    </row>
    <row r="168" spans="19:26">
      <c r="S168" s="16" t="str">
        <f t="shared" si="16"/>
        <v>2021-10-31</v>
      </c>
      <c r="T168" s="16" t="str">
        <f t="shared" si="17"/>
        <v>111801308022</v>
      </c>
      <c r="U168" s="16" t="s">
        <v>33</v>
      </c>
      <c r="V168">
        <v>4</v>
      </c>
      <c r="W168">
        <v>1</v>
      </c>
      <c r="X168" s="15">
        <f t="shared" si="18"/>
        <v>0</v>
      </c>
      <c r="Z168" t="str">
        <f t="shared" si="19"/>
        <v>INSERT INTO REPORTWARE.RWH_IFRS9_R04A0424 (FECHA, PERIODO,CONCEPTO, SUBREPORTE, MONEDA, TIPO_SALDO, DATO) VALUES ('2021-10-31','2021-10-31','111801308022','0424','4','1','0')</v>
      </c>
    </row>
    <row r="169" spans="19:26">
      <c r="S169" s="16" t="str">
        <f t="shared" si="16"/>
        <v>2021-10-31</v>
      </c>
      <c r="T169" s="16" t="str">
        <f t="shared" si="17"/>
        <v>111800307014</v>
      </c>
      <c r="U169" s="16" t="s">
        <v>33</v>
      </c>
      <c r="V169">
        <v>4</v>
      </c>
      <c r="W169">
        <v>1</v>
      </c>
      <c r="X169" s="15">
        <f t="shared" si="18"/>
        <v>0</v>
      </c>
      <c r="Z169" t="str">
        <f t="shared" si="19"/>
        <v>INSERT INTO REPORTWARE.RWH_IFRS9_R04A0424 (FECHA, PERIODO,CONCEPTO, SUBREPORTE, MONEDA, TIPO_SALDO, DATO) VALUES ('2021-10-31','2021-10-31','111800307014','0424','4','1','0')</v>
      </c>
    </row>
    <row r="170" spans="19:26">
      <c r="S170" s="16" t="str">
        <f t="shared" si="16"/>
        <v>2021-10-31</v>
      </c>
      <c r="T170" s="16" t="str">
        <f t="shared" si="17"/>
        <v>111801408023</v>
      </c>
      <c r="U170" s="16" t="s">
        <v>33</v>
      </c>
      <c r="V170">
        <v>4</v>
      </c>
      <c r="W170">
        <v>1</v>
      </c>
      <c r="X170" s="15">
        <f t="shared" si="18"/>
        <v>0</v>
      </c>
      <c r="Z170" t="str">
        <f t="shared" si="19"/>
        <v>INSERT INTO REPORTWARE.RWH_IFRS9_R04A0424 (FECHA, PERIODO,CONCEPTO, SUBREPORTE, MONEDA, TIPO_SALDO, DATO) VALUES ('2021-10-31','2021-10-31','111801408023','0424','4','1','0')</v>
      </c>
    </row>
    <row r="171" spans="19:26">
      <c r="S171" s="16" t="str">
        <f t="shared" si="16"/>
        <v>2021-10-31</v>
      </c>
      <c r="T171" s="16" t="str">
        <f t="shared" si="17"/>
        <v>111801408024</v>
      </c>
      <c r="U171" s="16" t="s">
        <v>33</v>
      </c>
      <c r="V171">
        <v>4</v>
      </c>
      <c r="W171">
        <v>1</v>
      </c>
      <c r="X171" s="15">
        <f t="shared" si="18"/>
        <v>0</v>
      </c>
      <c r="Z171" t="str">
        <f t="shared" si="19"/>
        <v>INSERT INTO REPORTWARE.RWH_IFRS9_R04A0424 (FECHA, PERIODO,CONCEPTO, SUBREPORTE, MONEDA, TIPO_SALDO, DATO) VALUES ('2021-10-31','2021-10-31','111801408024','0424','4','1','0')</v>
      </c>
    </row>
    <row r="172" spans="19:26">
      <c r="S172" s="16" t="str">
        <f t="shared" si="16"/>
        <v>2021-10-31</v>
      </c>
      <c r="T172" s="16" t="str">
        <f t="shared" si="17"/>
        <v>111801408025</v>
      </c>
      <c r="U172" s="16" t="s">
        <v>33</v>
      </c>
      <c r="V172">
        <v>4</v>
      </c>
      <c r="W172">
        <v>1</v>
      </c>
      <c r="X172" s="15">
        <f t="shared" si="18"/>
        <v>0</v>
      </c>
      <c r="Z172" t="str">
        <f t="shared" si="19"/>
        <v>INSERT INTO REPORTWARE.RWH_IFRS9_R04A0424 (FECHA, PERIODO,CONCEPTO, SUBREPORTE, MONEDA, TIPO_SALDO, DATO) VALUES ('2021-10-31','2021-10-31','111801408025','0424','4','1','0')</v>
      </c>
    </row>
    <row r="173" spans="19:26">
      <c r="S173" s="16" t="str">
        <f t="shared" si="16"/>
        <v>2021-10-31</v>
      </c>
      <c r="T173" s="16" t="str">
        <f t="shared" si="17"/>
        <v>111801408026</v>
      </c>
      <c r="U173" s="16" t="s">
        <v>33</v>
      </c>
      <c r="V173">
        <v>4</v>
      </c>
      <c r="W173">
        <v>1</v>
      </c>
      <c r="X173" s="15">
        <f t="shared" si="18"/>
        <v>0</v>
      </c>
      <c r="Z173" t="str">
        <f t="shared" si="19"/>
        <v>INSERT INTO REPORTWARE.RWH_IFRS9_R04A0424 (FECHA, PERIODO,CONCEPTO, SUBREPORTE, MONEDA, TIPO_SALDO, DATO) VALUES ('2021-10-31','2021-10-31','111801408026','0424','4','1','0')</v>
      </c>
    </row>
    <row r="174" spans="19:26">
      <c r="S174" s="16" t="str">
        <f t="shared" si="16"/>
        <v>2021-10-31</v>
      </c>
      <c r="T174" s="16" t="str">
        <f t="shared" si="17"/>
        <v>111800105002</v>
      </c>
      <c r="U174" s="16" t="s">
        <v>33</v>
      </c>
      <c r="V174">
        <v>4</v>
      </c>
      <c r="W174">
        <v>1</v>
      </c>
      <c r="X174" s="15">
        <f t="shared" si="18"/>
        <v>0</v>
      </c>
      <c r="Z174" t="str">
        <f t="shared" si="19"/>
        <v>INSERT INTO REPORTWARE.RWH_IFRS9_R04A0424 (FECHA, PERIODO,CONCEPTO, SUBREPORTE, MONEDA, TIPO_SALDO, DATO) VALUES ('2021-10-31','2021-10-31','111800105002','0424','4','1','0')</v>
      </c>
    </row>
    <row r="175" spans="19:26">
      <c r="S175" s="16" t="str">
        <f t="shared" si="16"/>
        <v>2021-10-31</v>
      </c>
      <c r="T175" s="16" t="str">
        <f t="shared" si="17"/>
        <v>111800206004</v>
      </c>
      <c r="U175" s="16" t="s">
        <v>33</v>
      </c>
      <c r="V175">
        <v>4</v>
      </c>
      <c r="W175">
        <v>1</v>
      </c>
      <c r="X175" s="15">
        <f t="shared" si="18"/>
        <v>0</v>
      </c>
      <c r="Z175" t="str">
        <f t="shared" si="19"/>
        <v>INSERT INTO REPORTWARE.RWH_IFRS9_R04A0424 (FECHA, PERIODO,CONCEPTO, SUBREPORTE, MONEDA, TIPO_SALDO, DATO) VALUES ('2021-10-31','2021-10-31','111800206004','0424','4','1','0')</v>
      </c>
    </row>
    <row r="176" spans="19:26">
      <c r="S176" s="16" t="str">
        <f t="shared" si="16"/>
        <v>2021-10-31</v>
      </c>
      <c r="T176" s="16" t="str">
        <f t="shared" si="17"/>
        <v>111800206005</v>
      </c>
      <c r="U176" s="16" t="s">
        <v>33</v>
      </c>
      <c r="V176">
        <v>4</v>
      </c>
      <c r="W176">
        <v>1</v>
      </c>
      <c r="X176" s="15">
        <f t="shared" si="18"/>
        <v>0</v>
      </c>
      <c r="Z176" t="str">
        <f t="shared" si="19"/>
        <v>INSERT INTO REPORTWARE.RWH_IFRS9_R04A0424 (FECHA, PERIODO,CONCEPTO, SUBREPORTE, MONEDA, TIPO_SALDO, DATO) VALUES ('2021-10-31','2021-10-31','111800206005','0424','4','1','0')</v>
      </c>
    </row>
    <row r="177" spans="19:26">
      <c r="S177" s="16" t="str">
        <f t="shared" si="16"/>
        <v>2021-10-31</v>
      </c>
      <c r="T177" s="16" t="str">
        <f t="shared" si="17"/>
        <v>111800206006</v>
      </c>
      <c r="U177" s="16" t="s">
        <v>33</v>
      </c>
      <c r="V177">
        <v>4</v>
      </c>
      <c r="W177">
        <v>1</v>
      </c>
      <c r="X177" s="15">
        <f t="shared" si="18"/>
        <v>0</v>
      </c>
      <c r="Z177" t="str">
        <f t="shared" si="19"/>
        <v>INSERT INTO REPORTWARE.RWH_IFRS9_R04A0424 (FECHA, PERIODO,CONCEPTO, SUBREPORTE, MONEDA, TIPO_SALDO, DATO) VALUES ('2021-10-31','2021-10-31','111800206006','0424','4','1','0')</v>
      </c>
    </row>
    <row r="178" spans="19:26">
      <c r="S178" s="16" t="str">
        <f t="shared" si="16"/>
        <v>2021-10-31</v>
      </c>
      <c r="T178" s="16" t="str">
        <f t="shared" si="17"/>
        <v>111800206007</v>
      </c>
      <c r="U178" s="16" t="s">
        <v>33</v>
      </c>
      <c r="V178">
        <v>4</v>
      </c>
      <c r="W178">
        <v>1</v>
      </c>
      <c r="X178" s="15">
        <f t="shared" si="18"/>
        <v>0</v>
      </c>
      <c r="Z178" t="str">
        <f t="shared" si="19"/>
        <v>INSERT INTO REPORTWARE.RWH_IFRS9_R04A0424 (FECHA, PERIODO,CONCEPTO, SUBREPORTE, MONEDA, TIPO_SALDO, DATO) VALUES ('2021-10-31','2021-10-31','111800206007','0424','4','1','0')</v>
      </c>
    </row>
    <row r="179" spans="19:26">
      <c r="S179" s="16" t="str">
        <f t="shared" si="16"/>
        <v>2021-10-31</v>
      </c>
      <c r="T179" s="16" t="str">
        <f t="shared" si="17"/>
        <v>111800206008</v>
      </c>
      <c r="U179" s="16" t="s">
        <v>33</v>
      </c>
      <c r="V179">
        <v>4</v>
      </c>
      <c r="W179">
        <v>1</v>
      </c>
      <c r="X179" s="15">
        <f t="shared" si="18"/>
        <v>0</v>
      </c>
      <c r="Z179" t="str">
        <f t="shared" si="19"/>
        <v>INSERT INTO REPORTWARE.RWH_IFRS9_R04A0424 (FECHA, PERIODO,CONCEPTO, SUBREPORTE, MONEDA, TIPO_SALDO, DATO) VALUES ('2021-10-31','2021-10-31','111800206008','0424','4','1','0')</v>
      </c>
    </row>
    <row r="180" spans="19:26">
      <c r="S180" s="16" t="str">
        <f t="shared" si="16"/>
        <v>2021-10-31</v>
      </c>
      <c r="T180" s="16" t="str">
        <f t="shared" si="17"/>
        <v>111800206009</v>
      </c>
      <c r="U180" s="16" t="s">
        <v>33</v>
      </c>
      <c r="V180">
        <v>4</v>
      </c>
      <c r="W180">
        <v>1</v>
      </c>
      <c r="X180" s="15">
        <f t="shared" si="18"/>
        <v>0</v>
      </c>
      <c r="Z180" t="str">
        <f t="shared" si="19"/>
        <v>INSERT INTO REPORTWARE.RWH_IFRS9_R04A0424 (FECHA, PERIODO,CONCEPTO, SUBREPORTE, MONEDA, TIPO_SALDO, DATO) VALUES ('2021-10-31','2021-10-31','111800206009','0424','4','1','0')</v>
      </c>
    </row>
    <row r="181" spans="19:26">
      <c r="S181" s="16" t="str">
        <f t="shared" si="16"/>
        <v>2021-10-31</v>
      </c>
      <c r="T181" s="16" t="str">
        <f t="shared" si="17"/>
        <v>111800206010</v>
      </c>
      <c r="U181" s="16" t="s">
        <v>33</v>
      </c>
      <c r="V181">
        <v>4</v>
      </c>
      <c r="W181">
        <v>1</v>
      </c>
      <c r="X181" s="15">
        <f t="shared" si="18"/>
        <v>0</v>
      </c>
      <c r="Z181" t="str">
        <f t="shared" si="19"/>
        <v>INSERT INTO REPORTWARE.RWH_IFRS9_R04A0424 (FECHA, PERIODO,CONCEPTO, SUBREPORTE, MONEDA, TIPO_SALDO, DATO) VALUES ('2021-10-31','2021-10-31','111800206010','0424','4','1','0')</v>
      </c>
    </row>
    <row r="182" spans="19:26">
      <c r="S182" s="16" t="str">
        <f t="shared" si="16"/>
        <v>2021-10-31</v>
      </c>
      <c r="T182" s="16" t="str">
        <f t="shared" si="17"/>
        <v>111800206011</v>
      </c>
      <c r="U182" s="16" t="s">
        <v>33</v>
      </c>
      <c r="V182">
        <v>4</v>
      </c>
      <c r="W182">
        <v>1</v>
      </c>
      <c r="X182" s="15">
        <f t="shared" si="18"/>
        <v>0</v>
      </c>
      <c r="Z182" t="str">
        <f t="shared" si="19"/>
        <v>INSERT INTO REPORTWARE.RWH_IFRS9_R04A0424 (FECHA, PERIODO,CONCEPTO, SUBREPORTE, MONEDA, TIPO_SALDO, DATO) VALUES ('2021-10-31','2021-10-31','111800206011','0424','4','1','0')</v>
      </c>
    </row>
    <row r="183" spans="19:26">
      <c r="S183" s="16" t="str">
        <f t="shared" si="16"/>
        <v>2021-10-31</v>
      </c>
      <c r="T183" s="16" t="str">
        <f t="shared" si="17"/>
        <v>111800105003</v>
      </c>
      <c r="U183" s="16" t="s">
        <v>33</v>
      </c>
      <c r="V183">
        <v>4</v>
      </c>
      <c r="W183">
        <v>1</v>
      </c>
      <c r="X183" s="15">
        <f t="shared" si="18"/>
        <v>0</v>
      </c>
      <c r="Z183" t="str">
        <f t="shared" si="19"/>
        <v>INSERT INTO REPORTWARE.RWH_IFRS9_R04A0424 (FECHA, PERIODO,CONCEPTO, SUBREPORTE, MONEDA, TIPO_SALDO, DATO) VALUES ('2021-10-31','2021-10-31','111800105003','0424','4','1','0')</v>
      </c>
    </row>
    <row r="184" spans="19:26">
      <c r="S184" s="16" t="str">
        <f t="shared" si="16"/>
        <v>2021-10-31</v>
      </c>
      <c r="T184" s="16" t="str">
        <f t="shared" si="17"/>
        <v>111800306012</v>
      </c>
      <c r="U184" s="16" t="s">
        <v>33</v>
      </c>
      <c r="V184">
        <v>4</v>
      </c>
      <c r="W184">
        <v>1</v>
      </c>
      <c r="X184" s="15">
        <f t="shared" si="18"/>
        <v>0</v>
      </c>
      <c r="Z184" t="str">
        <f t="shared" si="19"/>
        <v>INSERT INTO REPORTWARE.RWH_IFRS9_R04A0424 (FECHA, PERIODO,CONCEPTO, SUBREPORTE, MONEDA, TIPO_SALDO, DATO) VALUES ('2021-10-31','2021-10-31','111800306012','0424','4','1','0')</v>
      </c>
    </row>
    <row r="185" spans="19:26">
      <c r="S185" s="16" t="str">
        <f t="shared" si="16"/>
        <v>2021-10-31</v>
      </c>
      <c r="T185" s="16" t="str">
        <f t="shared" si="17"/>
        <v>111800306013</v>
      </c>
      <c r="U185" s="16" t="s">
        <v>33</v>
      </c>
      <c r="V185">
        <v>4</v>
      </c>
      <c r="W185">
        <v>1</v>
      </c>
      <c r="X185" s="15">
        <f t="shared" si="18"/>
        <v>0</v>
      </c>
      <c r="Z185" t="str">
        <f t="shared" si="19"/>
        <v>INSERT INTO REPORTWARE.RWH_IFRS9_R04A0424 (FECHA, PERIODO,CONCEPTO, SUBREPORTE, MONEDA, TIPO_SALDO, DATO) VALUES ('2021-10-31','2021-10-31','111800306013','0424','4','1','0')</v>
      </c>
    </row>
    <row r="186" spans="19:26">
      <c r="S186" s="16" t="str">
        <f t="shared" si="16"/>
        <v>2021-10-31</v>
      </c>
      <c r="T186" s="16" t="str">
        <f t="shared" si="17"/>
        <v>111800306014</v>
      </c>
      <c r="U186" s="16" t="s">
        <v>33</v>
      </c>
      <c r="V186">
        <v>4</v>
      </c>
      <c r="W186">
        <v>1</v>
      </c>
      <c r="X186" s="15">
        <f t="shared" si="18"/>
        <v>0</v>
      </c>
      <c r="Z186" t="str">
        <f t="shared" si="19"/>
        <v>INSERT INTO REPORTWARE.RWH_IFRS9_R04A0424 (FECHA, PERIODO,CONCEPTO, SUBREPORTE, MONEDA, TIPO_SALDO, DATO) VALUES ('2021-10-31','2021-10-31','111800306014','0424','4','1','0')</v>
      </c>
    </row>
    <row r="187" spans="19:26">
      <c r="S187" s="16" t="str">
        <f t="shared" si="16"/>
        <v>2021-10-31</v>
      </c>
      <c r="T187" s="16" t="str">
        <f t="shared" si="17"/>
        <v>111801407015</v>
      </c>
      <c r="U187" s="16" t="s">
        <v>33</v>
      </c>
      <c r="V187">
        <v>4</v>
      </c>
      <c r="W187">
        <v>1</v>
      </c>
      <c r="X187" s="15">
        <f t="shared" si="18"/>
        <v>0</v>
      </c>
      <c r="Z187" t="str">
        <f t="shared" si="19"/>
        <v>INSERT INTO REPORTWARE.RWH_IFRS9_R04A0424 (FECHA, PERIODO,CONCEPTO, SUBREPORTE, MONEDA, TIPO_SALDO, DATO) VALUES ('2021-10-31','2021-10-31','111801407015','0424','4','1','0')</v>
      </c>
    </row>
    <row r="188" spans="19:26">
      <c r="S188" s="16" t="str">
        <f t="shared" si="16"/>
        <v>2021-10-31</v>
      </c>
      <c r="T188" s="16" t="str">
        <f t="shared" si="17"/>
        <v>111801407016</v>
      </c>
      <c r="U188" s="16" t="s">
        <v>33</v>
      </c>
      <c r="V188">
        <v>4</v>
      </c>
      <c r="W188">
        <v>1</v>
      </c>
      <c r="X188" s="15">
        <f t="shared" si="18"/>
        <v>0</v>
      </c>
      <c r="Z188" t="str">
        <f t="shared" si="19"/>
        <v>INSERT INTO REPORTWARE.RWH_IFRS9_R04A0424 (FECHA, PERIODO,CONCEPTO, SUBREPORTE, MONEDA, TIPO_SALDO, DATO) VALUES ('2021-10-31','2021-10-31','111801407016','0424','4','1','0')</v>
      </c>
    </row>
    <row r="189" spans="19:26">
      <c r="S189" s="16" t="str">
        <f t="shared" si="16"/>
        <v>2021-10-31</v>
      </c>
      <c r="T189" s="16" t="str">
        <f t="shared" si="17"/>
        <v>111801407017</v>
      </c>
      <c r="U189" s="16" t="s">
        <v>33</v>
      </c>
      <c r="V189">
        <v>4</v>
      </c>
      <c r="W189">
        <v>1</v>
      </c>
      <c r="X189" s="15">
        <f t="shared" si="18"/>
        <v>0</v>
      </c>
      <c r="Z189" t="str">
        <f t="shared" si="19"/>
        <v>INSERT INTO REPORTWARE.RWH_IFRS9_R04A0424 (FECHA, PERIODO,CONCEPTO, SUBREPORTE, MONEDA, TIPO_SALDO, DATO) VALUES ('2021-10-31','2021-10-31','111801407017','0424','4','1','0')</v>
      </c>
    </row>
    <row r="190" spans="19:26">
      <c r="S190" s="16" t="str">
        <f t="shared" si="16"/>
        <v>2021-10-31</v>
      </c>
      <c r="T190" s="16" t="str">
        <f t="shared" si="17"/>
        <v>111800306015</v>
      </c>
      <c r="U190" s="16" t="s">
        <v>33</v>
      </c>
      <c r="V190">
        <v>4</v>
      </c>
      <c r="W190">
        <v>1</v>
      </c>
      <c r="X190" s="15">
        <f t="shared" si="18"/>
        <v>0</v>
      </c>
      <c r="Z190" t="str">
        <f t="shared" si="19"/>
        <v>INSERT INTO REPORTWARE.RWH_IFRS9_R04A0424 (FECHA, PERIODO,CONCEPTO, SUBREPORTE, MONEDA, TIPO_SALDO, DATO) VALUES ('2021-10-31','2021-10-31','111800306015','0424','4','1','0')</v>
      </c>
    </row>
    <row r="191" spans="19:26">
      <c r="S191" s="16" t="str">
        <f t="shared" si="16"/>
        <v>2021-10-31</v>
      </c>
      <c r="T191" s="16" t="str">
        <f t="shared" si="17"/>
        <v>111800306016</v>
      </c>
      <c r="U191" s="16" t="s">
        <v>33</v>
      </c>
      <c r="V191">
        <v>4</v>
      </c>
      <c r="W191">
        <v>1</v>
      </c>
      <c r="X191" s="15">
        <f t="shared" si="18"/>
        <v>0</v>
      </c>
      <c r="Z191" t="str">
        <f t="shared" si="19"/>
        <v>INSERT INTO REPORTWARE.RWH_IFRS9_R04A0424 (FECHA, PERIODO,CONCEPTO, SUBREPORTE, MONEDA, TIPO_SALDO, DATO) VALUES ('2021-10-31','2021-10-31','111800306016','0424','4','1','0')</v>
      </c>
    </row>
    <row r="192" spans="19:26">
      <c r="S192" s="16" t="str">
        <f t="shared" si="16"/>
        <v>2021-10-31</v>
      </c>
      <c r="T192" s="16" t="str">
        <f t="shared" si="17"/>
        <v>101800104002</v>
      </c>
      <c r="U192" s="16" t="s">
        <v>33</v>
      </c>
      <c r="V192">
        <v>4</v>
      </c>
      <c r="W192">
        <v>1</v>
      </c>
      <c r="X192" s="15">
        <f t="shared" si="18"/>
        <v>0</v>
      </c>
      <c r="Z192" t="str">
        <f t="shared" si="19"/>
        <v>INSERT INTO REPORTWARE.RWH_IFRS9_R04A0424 (FECHA, PERIODO,CONCEPTO, SUBREPORTE, MONEDA, TIPO_SALDO, DATO) VALUES ('2021-10-31','2021-10-31','101800104002','0424','4','1','0')</v>
      </c>
    </row>
    <row r="193" spans="19:26">
      <c r="S193" s="16" t="str">
        <f t="shared" si="16"/>
        <v>2021-10-31</v>
      </c>
      <c r="T193" s="16" t="str">
        <f t="shared" si="17"/>
        <v>111800205005</v>
      </c>
      <c r="U193" s="16" t="s">
        <v>33</v>
      </c>
      <c r="V193">
        <v>4</v>
      </c>
      <c r="W193">
        <v>1</v>
      </c>
      <c r="X193" s="15">
        <f t="shared" si="18"/>
        <v>0</v>
      </c>
      <c r="Z193" t="str">
        <f t="shared" si="19"/>
        <v>INSERT INTO REPORTWARE.RWH_IFRS9_R04A0424 (FECHA, PERIODO,CONCEPTO, SUBREPORTE, MONEDA, TIPO_SALDO, DATO) VALUES ('2021-10-31','2021-10-31','111800205005','0424','4','1','0')</v>
      </c>
    </row>
    <row r="194" spans="19:26">
      <c r="S194" s="16" t="str">
        <f t="shared" ref="S194:S253" si="20">$Q$4</f>
        <v>2021-10-31</v>
      </c>
      <c r="T194" s="16" t="str">
        <f t="shared" ref="T194:T253" si="21">A69</f>
        <v>111800506017</v>
      </c>
      <c r="U194" s="16" t="s">
        <v>33</v>
      </c>
      <c r="V194">
        <v>4</v>
      </c>
      <c r="W194">
        <v>1</v>
      </c>
      <c r="X194" s="15">
        <f t="shared" ref="X194:X253" si="22">O69</f>
        <v>0</v>
      </c>
      <c r="Z194" t="str">
        <f t="shared" si="19"/>
        <v>INSERT INTO REPORTWARE.RWH_IFRS9_R04A0424 (FECHA, PERIODO,CONCEPTO, SUBREPORTE, MONEDA, TIPO_SALDO, DATO) VALUES ('2021-10-31','2021-10-31','111800506017','0424','4','1','0')</v>
      </c>
    </row>
    <row r="195" spans="19:26">
      <c r="S195" s="16" t="str">
        <f t="shared" si="20"/>
        <v>2021-10-31</v>
      </c>
      <c r="T195" s="16" t="str">
        <f t="shared" si="21"/>
        <v>111801707018</v>
      </c>
      <c r="U195" s="16" t="s">
        <v>33</v>
      </c>
      <c r="V195">
        <v>4</v>
      </c>
      <c r="W195">
        <v>1</v>
      </c>
      <c r="X195" s="15">
        <f t="shared" si="22"/>
        <v>0</v>
      </c>
      <c r="Z195" t="str">
        <f t="shared" si="19"/>
        <v>INSERT INTO REPORTWARE.RWH_IFRS9_R04A0424 (FECHA, PERIODO,CONCEPTO, SUBREPORTE, MONEDA, TIPO_SALDO, DATO) VALUES ('2021-10-31','2021-10-31','111801707018','0424','4','1','0')</v>
      </c>
    </row>
    <row r="196" spans="19:26">
      <c r="S196" s="16" t="str">
        <f t="shared" si="20"/>
        <v>2021-10-31</v>
      </c>
      <c r="T196" s="16" t="str">
        <f t="shared" si="21"/>
        <v>111801808027</v>
      </c>
      <c r="U196" s="16" t="s">
        <v>33</v>
      </c>
      <c r="V196">
        <v>4</v>
      </c>
      <c r="W196">
        <v>1</v>
      </c>
      <c r="X196" s="15">
        <f t="shared" si="22"/>
        <v>0</v>
      </c>
      <c r="Z196" t="str">
        <f t="shared" si="19"/>
        <v>INSERT INTO REPORTWARE.RWH_IFRS9_R04A0424 (FECHA, PERIODO,CONCEPTO, SUBREPORTE, MONEDA, TIPO_SALDO, DATO) VALUES ('2021-10-31','2021-10-31','111801808027','0424','4','1','0')</v>
      </c>
    </row>
    <row r="197" spans="19:26">
      <c r="S197" s="16" t="str">
        <f t="shared" si="20"/>
        <v>2021-10-31</v>
      </c>
      <c r="T197" s="16" t="str">
        <f t="shared" si="21"/>
        <v>111801808028</v>
      </c>
      <c r="U197" s="16" t="s">
        <v>33</v>
      </c>
      <c r="V197">
        <v>4</v>
      </c>
      <c r="W197">
        <v>1</v>
      </c>
      <c r="X197" s="15">
        <f t="shared" si="22"/>
        <v>0</v>
      </c>
      <c r="Z197" t="str">
        <f t="shared" ref="Z197:Z260" si="23">"INSERT INTO REPORTWARE.RWH_IFRS9_R04A0424 (FECHA, PERIODO,CONCEPTO, SUBREPORTE, MONEDA, TIPO_SALDO, DATO) VALUES ('"&amp;S197&amp;"','"&amp;S197&amp;"','"&amp;T197&amp;"','"&amp;U197&amp;"','"&amp;V197&amp;"','"&amp;W197&amp;"','"&amp;X197&amp;"')"</f>
        <v>INSERT INTO REPORTWARE.RWH_IFRS9_R04A0424 (FECHA, PERIODO,CONCEPTO, SUBREPORTE, MONEDA, TIPO_SALDO, DATO) VALUES ('2021-10-31','2021-10-31','111801808028','0424','4','1','0')</v>
      </c>
    </row>
    <row r="198" spans="19:26">
      <c r="S198" s="16" t="str">
        <f t="shared" si="20"/>
        <v>2021-10-31</v>
      </c>
      <c r="T198" s="16" t="str">
        <f t="shared" si="21"/>
        <v>111801707019</v>
      </c>
      <c r="U198" s="16" t="s">
        <v>33</v>
      </c>
      <c r="V198">
        <v>4</v>
      </c>
      <c r="W198">
        <v>1</v>
      </c>
      <c r="X198" s="15">
        <f t="shared" si="22"/>
        <v>0</v>
      </c>
      <c r="Z198" t="str">
        <f t="shared" si="23"/>
        <v>INSERT INTO REPORTWARE.RWH_IFRS9_R04A0424 (FECHA, PERIODO,CONCEPTO, SUBREPORTE, MONEDA, TIPO_SALDO, DATO) VALUES ('2021-10-31','2021-10-31','111801707019','0424','4','1','0')</v>
      </c>
    </row>
    <row r="199" spans="19:26">
      <c r="S199" s="16" t="str">
        <f t="shared" si="20"/>
        <v>2021-10-31</v>
      </c>
      <c r="T199" s="16" t="str">
        <f t="shared" si="21"/>
        <v>111801908029</v>
      </c>
      <c r="U199" s="16" t="s">
        <v>33</v>
      </c>
      <c r="V199">
        <v>4</v>
      </c>
      <c r="W199">
        <v>1</v>
      </c>
      <c r="X199" s="15">
        <f t="shared" si="22"/>
        <v>0</v>
      </c>
      <c r="Z199" t="str">
        <f t="shared" si="23"/>
        <v>INSERT INTO REPORTWARE.RWH_IFRS9_R04A0424 (FECHA, PERIODO,CONCEPTO, SUBREPORTE, MONEDA, TIPO_SALDO, DATO) VALUES ('2021-10-31','2021-10-31','111801908029','0424','4','1','0')</v>
      </c>
    </row>
    <row r="200" spans="19:26">
      <c r="S200" s="16" t="str">
        <f t="shared" si="20"/>
        <v>2021-10-31</v>
      </c>
      <c r="T200" s="16" t="str">
        <f t="shared" si="21"/>
        <v>111801908030</v>
      </c>
      <c r="U200" s="16" t="s">
        <v>33</v>
      </c>
      <c r="V200">
        <v>4</v>
      </c>
      <c r="W200">
        <v>1</v>
      </c>
      <c r="X200" s="15">
        <f t="shared" si="22"/>
        <v>0</v>
      </c>
      <c r="Z200" t="str">
        <f t="shared" si="23"/>
        <v>INSERT INTO REPORTWARE.RWH_IFRS9_R04A0424 (FECHA, PERIODO,CONCEPTO, SUBREPORTE, MONEDA, TIPO_SALDO, DATO) VALUES ('2021-10-31','2021-10-31','111801908030','0424','4','1','0')</v>
      </c>
    </row>
    <row r="201" spans="19:26">
      <c r="S201" s="16" t="str">
        <f t="shared" si="20"/>
        <v>2021-10-31</v>
      </c>
      <c r="T201" s="16" t="str">
        <f t="shared" si="21"/>
        <v>111801908031</v>
      </c>
      <c r="U201" s="16" t="s">
        <v>33</v>
      </c>
      <c r="V201">
        <v>4</v>
      </c>
      <c r="W201">
        <v>1</v>
      </c>
      <c r="X201" s="15">
        <f t="shared" si="22"/>
        <v>0</v>
      </c>
      <c r="Z201" t="str">
        <f t="shared" si="23"/>
        <v>INSERT INTO REPORTWARE.RWH_IFRS9_R04A0424 (FECHA, PERIODO,CONCEPTO, SUBREPORTE, MONEDA, TIPO_SALDO, DATO) VALUES ('2021-10-31','2021-10-31','111801908031','0424','4','1','0')</v>
      </c>
    </row>
    <row r="202" spans="19:26">
      <c r="S202" s="16" t="str">
        <f t="shared" si="20"/>
        <v>2021-10-31</v>
      </c>
      <c r="T202" s="16" t="str">
        <f t="shared" si="21"/>
        <v>111801707020</v>
      </c>
      <c r="U202" s="16" t="s">
        <v>33</v>
      </c>
      <c r="V202">
        <v>4</v>
      </c>
      <c r="W202">
        <v>1</v>
      </c>
      <c r="X202" s="15">
        <f t="shared" si="22"/>
        <v>0</v>
      </c>
      <c r="Z202" t="str">
        <f t="shared" si="23"/>
        <v>INSERT INTO REPORTWARE.RWH_IFRS9_R04A0424 (FECHA, PERIODO,CONCEPTO, SUBREPORTE, MONEDA, TIPO_SALDO, DATO) VALUES ('2021-10-31','2021-10-31','111801707020','0424','4','1','0')</v>
      </c>
    </row>
    <row r="203" spans="19:26">
      <c r="S203" s="16" t="str">
        <f t="shared" si="20"/>
        <v>2021-10-31</v>
      </c>
      <c r="T203" s="16" t="str">
        <f t="shared" si="21"/>
        <v>111802008032</v>
      </c>
      <c r="U203" s="16" t="s">
        <v>33</v>
      </c>
      <c r="V203">
        <v>4</v>
      </c>
      <c r="W203">
        <v>1</v>
      </c>
      <c r="X203" s="15">
        <f t="shared" si="22"/>
        <v>0</v>
      </c>
      <c r="Z203" t="str">
        <f t="shared" si="23"/>
        <v>INSERT INTO REPORTWARE.RWH_IFRS9_R04A0424 (FECHA, PERIODO,CONCEPTO, SUBREPORTE, MONEDA, TIPO_SALDO, DATO) VALUES ('2021-10-31','2021-10-31','111802008032','0424','4','1','0')</v>
      </c>
    </row>
    <row r="204" spans="19:26">
      <c r="S204" s="16" t="str">
        <f t="shared" si="20"/>
        <v>2021-10-31</v>
      </c>
      <c r="T204" s="16" t="str">
        <f t="shared" si="21"/>
        <v>111802008033</v>
      </c>
      <c r="U204" s="16" t="s">
        <v>33</v>
      </c>
      <c r="V204">
        <v>4</v>
      </c>
      <c r="W204">
        <v>1</v>
      </c>
      <c r="X204" s="15">
        <f t="shared" si="22"/>
        <v>0</v>
      </c>
      <c r="Z204" t="str">
        <f t="shared" si="23"/>
        <v>INSERT INTO REPORTWARE.RWH_IFRS9_R04A0424 (FECHA, PERIODO,CONCEPTO, SUBREPORTE, MONEDA, TIPO_SALDO, DATO) VALUES ('2021-10-31','2021-10-31','111802008033','0424','4','1','0')</v>
      </c>
    </row>
    <row r="205" spans="19:26">
      <c r="S205" s="16" t="str">
        <f t="shared" si="20"/>
        <v>2021-10-31</v>
      </c>
      <c r="T205" s="16" t="str">
        <f t="shared" si="21"/>
        <v>111801707021</v>
      </c>
      <c r="U205" s="16" t="s">
        <v>33</v>
      </c>
      <c r="V205">
        <v>4</v>
      </c>
      <c r="W205">
        <v>1</v>
      </c>
      <c r="X205" s="15">
        <f t="shared" si="22"/>
        <v>0</v>
      </c>
      <c r="Z205" t="str">
        <f t="shared" si="23"/>
        <v>INSERT INTO REPORTWARE.RWH_IFRS9_R04A0424 (FECHA, PERIODO,CONCEPTO, SUBREPORTE, MONEDA, TIPO_SALDO, DATO) VALUES ('2021-10-31','2021-10-31','111801707021','0424','4','1','0')</v>
      </c>
    </row>
    <row r="206" spans="19:26">
      <c r="S206" s="16" t="str">
        <f t="shared" si="20"/>
        <v>2021-10-31</v>
      </c>
      <c r="T206" s="16" t="str">
        <f t="shared" si="21"/>
        <v>111801707022</v>
      </c>
      <c r="U206" s="16" t="s">
        <v>33</v>
      </c>
      <c r="V206">
        <v>4</v>
      </c>
      <c r="W206">
        <v>1</v>
      </c>
      <c r="X206" s="15">
        <f t="shared" si="22"/>
        <v>0</v>
      </c>
      <c r="Z206" t="str">
        <f t="shared" si="23"/>
        <v>INSERT INTO REPORTWARE.RWH_IFRS9_R04A0424 (FECHA, PERIODO,CONCEPTO, SUBREPORTE, MONEDA, TIPO_SALDO, DATO) VALUES ('2021-10-31','2021-10-31','111801707022','0424','4','1','0')</v>
      </c>
    </row>
    <row r="207" spans="19:26">
      <c r="S207" s="16" t="str">
        <f t="shared" si="20"/>
        <v>2021-10-31</v>
      </c>
      <c r="T207" s="16" t="str">
        <f t="shared" si="21"/>
        <v>111801707023</v>
      </c>
      <c r="U207" s="16" t="s">
        <v>33</v>
      </c>
      <c r="V207">
        <v>4</v>
      </c>
      <c r="W207">
        <v>1</v>
      </c>
      <c r="X207" s="15">
        <f t="shared" si="22"/>
        <v>0</v>
      </c>
      <c r="Z207" t="str">
        <f t="shared" si="23"/>
        <v>INSERT INTO REPORTWARE.RWH_IFRS9_R04A0424 (FECHA, PERIODO,CONCEPTO, SUBREPORTE, MONEDA, TIPO_SALDO, DATO) VALUES ('2021-10-31','2021-10-31','111801707023','0424','4','1','0')</v>
      </c>
    </row>
    <row r="208" spans="19:26">
      <c r="S208" s="16" t="str">
        <f t="shared" si="20"/>
        <v>2021-10-31</v>
      </c>
      <c r="T208" s="16" t="str">
        <f t="shared" si="21"/>
        <v>111801707024</v>
      </c>
      <c r="U208" s="16" t="s">
        <v>33</v>
      </c>
      <c r="V208">
        <v>4</v>
      </c>
      <c r="W208">
        <v>1</v>
      </c>
      <c r="X208" s="15">
        <f t="shared" si="22"/>
        <v>0</v>
      </c>
      <c r="Z208" t="str">
        <f t="shared" si="23"/>
        <v>INSERT INTO REPORTWARE.RWH_IFRS9_R04A0424 (FECHA, PERIODO,CONCEPTO, SUBREPORTE, MONEDA, TIPO_SALDO, DATO) VALUES ('2021-10-31','2021-10-31','111801707024','0424','4','1','0')</v>
      </c>
    </row>
    <row r="209" spans="19:26">
      <c r="S209" s="16" t="str">
        <f t="shared" si="20"/>
        <v>2021-10-31</v>
      </c>
      <c r="T209" s="16" t="str">
        <f t="shared" si="21"/>
        <v>111801707025</v>
      </c>
      <c r="U209" s="16" t="s">
        <v>33</v>
      </c>
      <c r="V209">
        <v>4</v>
      </c>
      <c r="W209">
        <v>1</v>
      </c>
      <c r="X209" s="15">
        <f t="shared" si="22"/>
        <v>0</v>
      </c>
      <c r="Z209" t="str">
        <f t="shared" si="23"/>
        <v>INSERT INTO REPORTWARE.RWH_IFRS9_R04A0424 (FECHA, PERIODO,CONCEPTO, SUBREPORTE, MONEDA, TIPO_SALDO, DATO) VALUES ('2021-10-31','2021-10-31','111801707025','0424','4','1','0')</v>
      </c>
    </row>
    <row r="210" spans="19:26">
      <c r="S210" s="16" t="str">
        <f t="shared" si="20"/>
        <v>2021-10-31</v>
      </c>
      <c r="T210" s="16" t="str">
        <f t="shared" si="21"/>
        <v>111800506018</v>
      </c>
      <c r="U210" s="16" t="s">
        <v>33</v>
      </c>
      <c r="V210">
        <v>4</v>
      </c>
      <c r="W210">
        <v>1</v>
      </c>
      <c r="X210" s="15">
        <f t="shared" si="22"/>
        <v>0</v>
      </c>
      <c r="Z210" t="str">
        <f t="shared" si="23"/>
        <v>INSERT INTO REPORTWARE.RWH_IFRS9_R04A0424 (FECHA, PERIODO,CONCEPTO, SUBREPORTE, MONEDA, TIPO_SALDO, DATO) VALUES ('2021-10-31','2021-10-31','111800506018','0424','4','1','0')</v>
      </c>
    </row>
    <row r="211" spans="19:26">
      <c r="S211" s="16" t="str">
        <f t="shared" si="20"/>
        <v>2021-10-31</v>
      </c>
      <c r="T211" s="16" t="str">
        <f t="shared" si="21"/>
        <v>111801807026</v>
      </c>
      <c r="U211" s="16" t="s">
        <v>33</v>
      </c>
      <c r="V211">
        <v>4</v>
      </c>
      <c r="W211">
        <v>1</v>
      </c>
      <c r="X211" s="15">
        <f t="shared" si="22"/>
        <v>0</v>
      </c>
      <c r="Z211" t="str">
        <f t="shared" si="23"/>
        <v>INSERT INTO REPORTWARE.RWH_IFRS9_R04A0424 (FECHA, PERIODO,CONCEPTO, SUBREPORTE, MONEDA, TIPO_SALDO, DATO) VALUES ('2021-10-31','2021-10-31','111801807026','0424','4','1','0')</v>
      </c>
    </row>
    <row r="212" spans="19:26">
      <c r="S212" s="16" t="str">
        <f t="shared" si="20"/>
        <v>2021-10-31</v>
      </c>
      <c r="T212" s="16" t="str">
        <f t="shared" si="21"/>
        <v>111802608034</v>
      </c>
      <c r="U212" s="16" t="s">
        <v>33</v>
      </c>
      <c r="V212">
        <v>4</v>
      </c>
      <c r="W212">
        <v>1</v>
      </c>
      <c r="X212" s="15">
        <f t="shared" si="22"/>
        <v>0</v>
      </c>
      <c r="Z212" t="str">
        <f t="shared" si="23"/>
        <v>INSERT INTO REPORTWARE.RWH_IFRS9_R04A0424 (FECHA, PERIODO,CONCEPTO, SUBREPORTE, MONEDA, TIPO_SALDO, DATO) VALUES ('2021-10-31','2021-10-31','111802608034','0424','4','1','0')</v>
      </c>
    </row>
    <row r="213" spans="19:26">
      <c r="S213" s="16" t="str">
        <f t="shared" si="20"/>
        <v>2021-10-31</v>
      </c>
      <c r="T213" s="16" t="str">
        <f t="shared" si="21"/>
        <v>111802608035</v>
      </c>
      <c r="U213" s="16" t="s">
        <v>33</v>
      </c>
      <c r="V213">
        <v>4</v>
      </c>
      <c r="W213">
        <v>1</v>
      </c>
      <c r="X213" s="15">
        <f t="shared" si="22"/>
        <v>0</v>
      </c>
      <c r="Z213" t="str">
        <f t="shared" si="23"/>
        <v>INSERT INTO REPORTWARE.RWH_IFRS9_R04A0424 (FECHA, PERIODO,CONCEPTO, SUBREPORTE, MONEDA, TIPO_SALDO, DATO) VALUES ('2021-10-31','2021-10-31','111802608035','0424','4','1','0')</v>
      </c>
    </row>
    <row r="214" spans="19:26">
      <c r="S214" s="16" t="str">
        <f t="shared" si="20"/>
        <v>2021-10-31</v>
      </c>
      <c r="T214" s="16" t="str">
        <f t="shared" si="21"/>
        <v>111802608036</v>
      </c>
      <c r="U214" s="16" t="s">
        <v>33</v>
      </c>
      <c r="V214">
        <v>4</v>
      </c>
      <c r="W214">
        <v>1</v>
      </c>
      <c r="X214" s="15">
        <f t="shared" si="22"/>
        <v>0</v>
      </c>
      <c r="Z214" t="str">
        <f t="shared" si="23"/>
        <v>INSERT INTO REPORTWARE.RWH_IFRS9_R04A0424 (FECHA, PERIODO,CONCEPTO, SUBREPORTE, MONEDA, TIPO_SALDO, DATO) VALUES ('2021-10-31','2021-10-31','111802608036','0424','4','1','0')</v>
      </c>
    </row>
    <row r="215" spans="19:26">
      <c r="S215" s="16" t="str">
        <f t="shared" si="20"/>
        <v>2021-10-31</v>
      </c>
      <c r="T215" s="16" t="str">
        <f t="shared" si="21"/>
        <v>111801807027</v>
      </c>
      <c r="U215" s="16" t="s">
        <v>33</v>
      </c>
      <c r="V215">
        <v>4</v>
      </c>
      <c r="W215">
        <v>1</v>
      </c>
      <c r="X215" s="15">
        <f t="shared" si="22"/>
        <v>0</v>
      </c>
      <c r="Z215" t="str">
        <f t="shared" si="23"/>
        <v>INSERT INTO REPORTWARE.RWH_IFRS9_R04A0424 (FECHA, PERIODO,CONCEPTO, SUBREPORTE, MONEDA, TIPO_SALDO, DATO) VALUES ('2021-10-31','2021-10-31','111801807027','0424','4','1','0')</v>
      </c>
    </row>
    <row r="216" spans="19:26">
      <c r="S216" s="16" t="str">
        <f t="shared" si="20"/>
        <v>2021-10-31</v>
      </c>
      <c r="T216" s="16" t="str">
        <f t="shared" si="21"/>
        <v>111802708037</v>
      </c>
      <c r="U216" s="16" t="s">
        <v>33</v>
      </c>
      <c r="V216">
        <v>4</v>
      </c>
      <c r="W216">
        <v>1</v>
      </c>
      <c r="X216" s="15">
        <f t="shared" si="22"/>
        <v>0</v>
      </c>
      <c r="Z216" t="str">
        <f t="shared" si="23"/>
        <v>INSERT INTO REPORTWARE.RWH_IFRS9_R04A0424 (FECHA, PERIODO,CONCEPTO, SUBREPORTE, MONEDA, TIPO_SALDO, DATO) VALUES ('2021-10-31','2021-10-31','111802708037','0424','4','1','0')</v>
      </c>
    </row>
    <row r="217" spans="19:26">
      <c r="S217" s="16" t="str">
        <f t="shared" si="20"/>
        <v>2021-10-31</v>
      </c>
      <c r="T217" s="16" t="str">
        <f t="shared" si="21"/>
        <v>111802708038</v>
      </c>
      <c r="U217" s="16" t="s">
        <v>33</v>
      </c>
      <c r="V217">
        <v>4</v>
      </c>
      <c r="W217">
        <v>1</v>
      </c>
      <c r="X217" s="15">
        <f t="shared" si="22"/>
        <v>0</v>
      </c>
      <c r="Z217" t="str">
        <f t="shared" si="23"/>
        <v>INSERT INTO REPORTWARE.RWH_IFRS9_R04A0424 (FECHA, PERIODO,CONCEPTO, SUBREPORTE, MONEDA, TIPO_SALDO, DATO) VALUES ('2021-10-31','2021-10-31','111802708038','0424','4','1','0')</v>
      </c>
    </row>
    <row r="218" spans="19:26">
      <c r="S218" s="16" t="str">
        <f t="shared" si="20"/>
        <v>2021-10-31</v>
      </c>
      <c r="T218" s="16" t="str">
        <f t="shared" si="21"/>
        <v>111802708039</v>
      </c>
      <c r="U218" s="16" t="s">
        <v>33</v>
      </c>
      <c r="V218">
        <v>4</v>
      </c>
      <c r="W218">
        <v>1</v>
      </c>
      <c r="X218" s="15">
        <f t="shared" si="22"/>
        <v>0</v>
      </c>
      <c r="Z218" t="str">
        <f t="shared" si="23"/>
        <v>INSERT INTO REPORTWARE.RWH_IFRS9_R04A0424 (FECHA, PERIODO,CONCEPTO, SUBREPORTE, MONEDA, TIPO_SALDO, DATO) VALUES ('2021-10-31','2021-10-31','111802708039','0424','4','1','0')</v>
      </c>
    </row>
    <row r="219" spans="19:26">
      <c r="S219" s="16" t="str">
        <f t="shared" si="20"/>
        <v>2021-10-31</v>
      </c>
      <c r="T219" s="16" t="str">
        <f t="shared" si="21"/>
        <v>111800506019</v>
      </c>
      <c r="U219" s="16" t="s">
        <v>33</v>
      </c>
      <c r="V219">
        <v>4</v>
      </c>
      <c r="W219">
        <v>1</v>
      </c>
      <c r="X219" s="15">
        <f t="shared" si="22"/>
        <v>0</v>
      </c>
      <c r="Z219" t="str">
        <f t="shared" si="23"/>
        <v>INSERT INTO REPORTWARE.RWH_IFRS9_R04A0424 (FECHA, PERIODO,CONCEPTO, SUBREPORTE, MONEDA, TIPO_SALDO, DATO) VALUES ('2021-10-31','2021-10-31','111800506019','0424','4','1','0')</v>
      </c>
    </row>
    <row r="220" spans="19:26">
      <c r="S220" s="16" t="str">
        <f t="shared" si="20"/>
        <v>2021-10-31</v>
      </c>
      <c r="T220" s="16" t="str">
        <f t="shared" si="21"/>
        <v>111801907028</v>
      </c>
      <c r="U220" s="16" t="s">
        <v>33</v>
      </c>
      <c r="V220">
        <v>4</v>
      </c>
      <c r="W220">
        <v>1</v>
      </c>
      <c r="X220" s="15">
        <f t="shared" si="22"/>
        <v>0</v>
      </c>
      <c r="Z220" t="str">
        <f t="shared" si="23"/>
        <v>INSERT INTO REPORTWARE.RWH_IFRS9_R04A0424 (FECHA, PERIODO,CONCEPTO, SUBREPORTE, MONEDA, TIPO_SALDO, DATO) VALUES ('2021-10-31','2021-10-31','111801907028','0424','4','1','0')</v>
      </c>
    </row>
    <row r="221" spans="19:26">
      <c r="S221" s="16" t="str">
        <f t="shared" si="20"/>
        <v>2021-10-31</v>
      </c>
      <c r="T221" s="16" t="str">
        <f t="shared" si="21"/>
        <v>111801907029</v>
      </c>
      <c r="U221" s="16" t="s">
        <v>33</v>
      </c>
      <c r="V221">
        <v>4</v>
      </c>
      <c r="W221">
        <v>1</v>
      </c>
      <c r="X221" s="15">
        <f t="shared" si="22"/>
        <v>0</v>
      </c>
      <c r="Z221" t="str">
        <f t="shared" si="23"/>
        <v>INSERT INTO REPORTWARE.RWH_IFRS9_R04A0424 (FECHA, PERIODO,CONCEPTO, SUBREPORTE, MONEDA, TIPO_SALDO, DATO) VALUES ('2021-10-31','2021-10-31','111801907029','0424','4','1','0')</v>
      </c>
    </row>
    <row r="222" spans="19:26">
      <c r="S222" s="16" t="str">
        <f t="shared" si="20"/>
        <v>2021-10-31</v>
      </c>
      <c r="T222" s="16" t="str">
        <f t="shared" si="21"/>
        <v>111802908040</v>
      </c>
      <c r="U222" s="16" t="s">
        <v>33</v>
      </c>
      <c r="V222">
        <v>4</v>
      </c>
      <c r="W222">
        <v>1</v>
      </c>
      <c r="X222" s="15">
        <f t="shared" si="22"/>
        <v>0</v>
      </c>
      <c r="Z222" t="str">
        <f t="shared" si="23"/>
        <v>INSERT INTO REPORTWARE.RWH_IFRS9_R04A0424 (FECHA, PERIODO,CONCEPTO, SUBREPORTE, MONEDA, TIPO_SALDO, DATO) VALUES ('2021-10-31','2021-10-31','111802908040','0424','4','1','0')</v>
      </c>
    </row>
    <row r="223" spans="19:26">
      <c r="S223" s="16" t="str">
        <f t="shared" si="20"/>
        <v>2021-10-31</v>
      </c>
      <c r="T223" s="16" t="str">
        <f t="shared" si="21"/>
        <v>111802908041</v>
      </c>
      <c r="U223" s="16" t="s">
        <v>33</v>
      </c>
      <c r="V223">
        <v>4</v>
      </c>
      <c r="W223">
        <v>1</v>
      </c>
      <c r="X223" s="15">
        <f t="shared" si="22"/>
        <v>0</v>
      </c>
      <c r="Z223" t="str">
        <f t="shared" si="23"/>
        <v>INSERT INTO REPORTWARE.RWH_IFRS9_R04A0424 (FECHA, PERIODO,CONCEPTO, SUBREPORTE, MONEDA, TIPO_SALDO, DATO) VALUES ('2021-10-31','2021-10-31','111802908041','0424','4','1','0')</v>
      </c>
    </row>
    <row r="224" spans="19:26">
      <c r="S224" s="16" t="str">
        <f t="shared" si="20"/>
        <v>2021-10-31</v>
      </c>
      <c r="T224" s="16" t="str">
        <f t="shared" si="21"/>
        <v>111802908042</v>
      </c>
      <c r="U224" s="16" t="s">
        <v>33</v>
      </c>
      <c r="V224">
        <v>4</v>
      </c>
      <c r="W224">
        <v>1</v>
      </c>
      <c r="X224" s="15">
        <f t="shared" si="22"/>
        <v>0</v>
      </c>
      <c r="Z224" t="str">
        <f t="shared" si="23"/>
        <v>INSERT INTO REPORTWARE.RWH_IFRS9_R04A0424 (FECHA, PERIODO,CONCEPTO, SUBREPORTE, MONEDA, TIPO_SALDO, DATO) VALUES ('2021-10-31','2021-10-31','111802908042','0424','4','1','0')</v>
      </c>
    </row>
    <row r="225" spans="19:26">
      <c r="S225" s="16" t="str">
        <f t="shared" si="20"/>
        <v>2021-10-31</v>
      </c>
      <c r="T225" s="16" t="str">
        <f t="shared" si="21"/>
        <v>111802908043</v>
      </c>
      <c r="U225" s="16" t="s">
        <v>33</v>
      </c>
      <c r="V225">
        <v>4</v>
      </c>
      <c r="W225">
        <v>1</v>
      </c>
      <c r="X225" s="15">
        <f t="shared" si="22"/>
        <v>0</v>
      </c>
      <c r="Z225" t="str">
        <f t="shared" si="23"/>
        <v>INSERT INTO REPORTWARE.RWH_IFRS9_R04A0424 (FECHA, PERIODO,CONCEPTO, SUBREPORTE, MONEDA, TIPO_SALDO, DATO) VALUES ('2021-10-31','2021-10-31','111802908043','0424','4','1','0')</v>
      </c>
    </row>
    <row r="226" spans="19:26">
      <c r="S226" s="16" t="str">
        <f t="shared" si="20"/>
        <v>2021-10-31</v>
      </c>
      <c r="T226" s="16" t="str">
        <f t="shared" si="21"/>
        <v>111802908044</v>
      </c>
      <c r="U226" s="16" t="s">
        <v>33</v>
      </c>
      <c r="V226">
        <v>4</v>
      </c>
      <c r="W226">
        <v>1</v>
      </c>
      <c r="X226" s="15">
        <f t="shared" si="22"/>
        <v>0</v>
      </c>
      <c r="Z226" t="str">
        <f t="shared" si="23"/>
        <v>INSERT INTO REPORTWARE.RWH_IFRS9_R04A0424 (FECHA, PERIODO,CONCEPTO, SUBREPORTE, MONEDA, TIPO_SALDO, DATO) VALUES ('2021-10-31','2021-10-31','111802908044','0424','4','1','0')</v>
      </c>
    </row>
    <row r="227" spans="19:26">
      <c r="S227" s="16" t="str">
        <f t="shared" si="20"/>
        <v>2021-10-31</v>
      </c>
      <c r="T227" s="16" t="str">
        <f t="shared" si="21"/>
        <v>111801907030</v>
      </c>
      <c r="U227" s="16" t="s">
        <v>33</v>
      </c>
      <c r="V227">
        <v>4</v>
      </c>
      <c r="W227">
        <v>1</v>
      </c>
      <c r="X227" s="15">
        <f t="shared" si="22"/>
        <v>0</v>
      </c>
      <c r="Z227" t="str">
        <f t="shared" si="23"/>
        <v>INSERT INTO REPORTWARE.RWH_IFRS9_R04A0424 (FECHA, PERIODO,CONCEPTO, SUBREPORTE, MONEDA, TIPO_SALDO, DATO) VALUES ('2021-10-31','2021-10-31','111801907030','0424','4','1','0')</v>
      </c>
    </row>
    <row r="228" spans="19:26">
      <c r="S228" s="16" t="str">
        <f t="shared" si="20"/>
        <v>2021-10-31</v>
      </c>
      <c r="T228" s="16" t="str">
        <f t="shared" si="21"/>
        <v>111803008045</v>
      </c>
      <c r="U228" s="16" t="s">
        <v>33</v>
      </c>
      <c r="V228">
        <v>4</v>
      </c>
      <c r="W228">
        <v>1</v>
      </c>
      <c r="X228" s="15">
        <f t="shared" si="22"/>
        <v>0</v>
      </c>
      <c r="Z228" t="str">
        <f t="shared" si="23"/>
        <v>INSERT INTO REPORTWARE.RWH_IFRS9_R04A0424 (FECHA, PERIODO,CONCEPTO, SUBREPORTE, MONEDA, TIPO_SALDO, DATO) VALUES ('2021-10-31','2021-10-31','111803008045','0424','4','1','0')</v>
      </c>
    </row>
    <row r="229" spans="19:26">
      <c r="S229" s="16" t="str">
        <f t="shared" si="20"/>
        <v>2021-10-31</v>
      </c>
      <c r="T229" s="16" t="str">
        <f t="shared" si="21"/>
        <v>111803008046</v>
      </c>
      <c r="U229" s="16" t="s">
        <v>33</v>
      </c>
      <c r="V229">
        <v>4</v>
      </c>
      <c r="W229">
        <v>1</v>
      </c>
      <c r="X229" s="15">
        <f t="shared" si="22"/>
        <v>0</v>
      </c>
      <c r="Z229" t="str">
        <f t="shared" si="23"/>
        <v>INSERT INTO REPORTWARE.RWH_IFRS9_R04A0424 (FECHA, PERIODO,CONCEPTO, SUBREPORTE, MONEDA, TIPO_SALDO, DATO) VALUES ('2021-10-31','2021-10-31','111803008046','0424','4','1','0')</v>
      </c>
    </row>
    <row r="230" spans="19:26">
      <c r="S230" s="16" t="str">
        <f t="shared" si="20"/>
        <v>2021-10-31</v>
      </c>
      <c r="T230" s="16" t="str">
        <f t="shared" si="21"/>
        <v>111803008047</v>
      </c>
      <c r="U230" s="16" t="s">
        <v>33</v>
      </c>
      <c r="V230">
        <v>4</v>
      </c>
      <c r="W230">
        <v>1</v>
      </c>
      <c r="X230" s="15">
        <f t="shared" si="22"/>
        <v>0</v>
      </c>
      <c r="Z230" t="str">
        <f t="shared" si="23"/>
        <v>INSERT INTO REPORTWARE.RWH_IFRS9_R04A0424 (FECHA, PERIODO,CONCEPTO, SUBREPORTE, MONEDA, TIPO_SALDO, DATO) VALUES ('2021-10-31','2021-10-31','111803008047','0424','4','1','0')</v>
      </c>
    </row>
    <row r="231" spans="19:26">
      <c r="S231" s="16" t="str">
        <f t="shared" si="20"/>
        <v>2021-10-31</v>
      </c>
      <c r="T231" s="16" t="str">
        <f t="shared" si="21"/>
        <v>111803008048</v>
      </c>
      <c r="U231" s="16" t="s">
        <v>33</v>
      </c>
      <c r="V231">
        <v>4</v>
      </c>
      <c r="W231">
        <v>1</v>
      </c>
      <c r="X231" s="15">
        <f t="shared" si="22"/>
        <v>0</v>
      </c>
      <c r="Z231" t="str">
        <f t="shared" si="23"/>
        <v>INSERT INTO REPORTWARE.RWH_IFRS9_R04A0424 (FECHA, PERIODO,CONCEPTO, SUBREPORTE, MONEDA, TIPO_SALDO, DATO) VALUES ('2021-10-31','2021-10-31','111803008048','0424','4','1','0')</v>
      </c>
    </row>
    <row r="232" spans="19:26">
      <c r="S232" s="16" t="str">
        <f t="shared" si="20"/>
        <v>2021-10-31</v>
      </c>
      <c r="T232" s="16" t="str">
        <f t="shared" si="21"/>
        <v>111801907031</v>
      </c>
      <c r="U232" s="16" t="s">
        <v>33</v>
      </c>
      <c r="V232">
        <v>4</v>
      </c>
      <c r="W232">
        <v>1</v>
      </c>
      <c r="X232" s="15">
        <f t="shared" si="22"/>
        <v>0</v>
      </c>
      <c r="Z232" t="str">
        <f t="shared" si="23"/>
        <v>INSERT INTO REPORTWARE.RWH_IFRS9_R04A0424 (FECHA, PERIODO,CONCEPTO, SUBREPORTE, MONEDA, TIPO_SALDO, DATO) VALUES ('2021-10-31','2021-10-31','111801907031','0424','4','1','0')</v>
      </c>
    </row>
    <row r="233" spans="19:26">
      <c r="S233" s="16" t="str">
        <f t="shared" si="20"/>
        <v>2021-10-31</v>
      </c>
      <c r="T233" s="16" t="str">
        <f t="shared" si="21"/>
        <v>111803108049</v>
      </c>
      <c r="U233" s="16" t="s">
        <v>33</v>
      </c>
      <c r="V233">
        <v>4</v>
      </c>
      <c r="W233">
        <v>1</v>
      </c>
      <c r="X233" s="15">
        <f t="shared" si="22"/>
        <v>0</v>
      </c>
      <c r="Z233" t="str">
        <f t="shared" si="23"/>
        <v>INSERT INTO REPORTWARE.RWH_IFRS9_R04A0424 (FECHA, PERIODO,CONCEPTO, SUBREPORTE, MONEDA, TIPO_SALDO, DATO) VALUES ('2021-10-31','2021-10-31','111803108049','0424','4','1','0')</v>
      </c>
    </row>
    <row r="234" spans="19:26">
      <c r="S234" s="16" t="str">
        <f t="shared" si="20"/>
        <v>2021-10-31</v>
      </c>
      <c r="T234" s="16" t="str">
        <f t="shared" si="21"/>
        <v>111803108050</v>
      </c>
      <c r="U234" s="16" t="s">
        <v>33</v>
      </c>
      <c r="V234">
        <v>4</v>
      </c>
      <c r="W234">
        <v>1</v>
      </c>
      <c r="X234" s="15">
        <f t="shared" si="22"/>
        <v>0</v>
      </c>
      <c r="Z234" t="str">
        <f t="shared" si="23"/>
        <v>INSERT INTO REPORTWARE.RWH_IFRS9_R04A0424 (FECHA, PERIODO,CONCEPTO, SUBREPORTE, MONEDA, TIPO_SALDO, DATO) VALUES ('2021-10-31','2021-10-31','111803108050','0424','4','1','0')</v>
      </c>
    </row>
    <row r="235" spans="19:26">
      <c r="S235" s="16" t="str">
        <f t="shared" si="20"/>
        <v>2021-10-31</v>
      </c>
      <c r="T235" s="16" t="str">
        <f t="shared" si="21"/>
        <v>111803108051</v>
      </c>
      <c r="U235" s="16" t="s">
        <v>33</v>
      </c>
      <c r="V235">
        <v>4</v>
      </c>
      <c r="W235">
        <v>1</v>
      </c>
      <c r="X235" s="15">
        <f t="shared" si="22"/>
        <v>0</v>
      </c>
      <c r="Z235" t="str">
        <f t="shared" si="23"/>
        <v>INSERT INTO REPORTWARE.RWH_IFRS9_R04A0424 (FECHA, PERIODO,CONCEPTO, SUBREPORTE, MONEDA, TIPO_SALDO, DATO) VALUES ('2021-10-31','2021-10-31','111803108051','0424','4','1','0')</v>
      </c>
    </row>
    <row r="236" spans="19:26">
      <c r="S236" s="16" t="str">
        <f t="shared" si="20"/>
        <v>2021-10-31</v>
      </c>
      <c r="T236" s="16" t="str">
        <f t="shared" si="21"/>
        <v>111803108052</v>
      </c>
      <c r="U236" s="16" t="s">
        <v>33</v>
      </c>
      <c r="V236">
        <v>4</v>
      </c>
      <c r="W236">
        <v>1</v>
      </c>
      <c r="X236" s="15">
        <f t="shared" si="22"/>
        <v>0</v>
      </c>
      <c r="Z236" t="str">
        <f t="shared" si="23"/>
        <v>INSERT INTO REPORTWARE.RWH_IFRS9_R04A0424 (FECHA, PERIODO,CONCEPTO, SUBREPORTE, MONEDA, TIPO_SALDO, DATO) VALUES ('2021-10-31','2021-10-31','111803108052','0424','4','1','0')</v>
      </c>
    </row>
    <row r="237" spans="19:26">
      <c r="S237" s="16" t="str">
        <f t="shared" si="20"/>
        <v>2021-10-31</v>
      </c>
      <c r="T237" s="16" t="str">
        <f t="shared" si="21"/>
        <v>111800205006</v>
      </c>
      <c r="U237" s="16" t="s">
        <v>33</v>
      </c>
      <c r="V237">
        <v>4</v>
      </c>
      <c r="W237">
        <v>1</v>
      </c>
      <c r="X237" s="15">
        <f t="shared" si="22"/>
        <v>0</v>
      </c>
      <c r="Z237" t="str">
        <f t="shared" si="23"/>
        <v>INSERT INTO REPORTWARE.RWH_IFRS9_R04A0424 (FECHA, PERIODO,CONCEPTO, SUBREPORTE, MONEDA, TIPO_SALDO, DATO) VALUES ('2021-10-31','2021-10-31','111800205006','0424','4','1','0')</v>
      </c>
    </row>
    <row r="238" spans="19:26">
      <c r="S238" s="16" t="str">
        <f t="shared" si="20"/>
        <v>2021-10-31</v>
      </c>
      <c r="T238" s="16" t="str">
        <f t="shared" si="21"/>
        <v>111800606020</v>
      </c>
      <c r="U238" s="16" t="s">
        <v>33</v>
      </c>
      <c r="V238">
        <v>4</v>
      </c>
      <c r="W238">
        <v>1</v>
      </c>
      <c r="X238" s="15">
        <f t="shared" si="22"/>
        <v>0</v>
      </c>
      <c r="Z238" t="str">
        <f t="shared" si="23"/>
        <v>INSERT INTO REPORTWARE.RWH_IFRS9_R04A0424 (FECHA, PERIODO,CONCEPTO, SUBREPORTE, MONEDA, TIPO_SALDO, DATO) VALUES ('2021-10-31','2021-10-31','111800606020','0424','4','1','0')</v>
      </c>
    </row>
    <row r="239" spans="19:26">
      <c r="S239" s="16" t="str">
        <f t="shared" si="20"/>
        <v>2021-10-31</v>
      </c>
      <c r="T239" s="16" t="str">
        <f t="shared" si="21"/>
        <v>111800606021</v>
      </c>
      <c r="U239" s="16" t="s">
        <v>33</v>
      </c>
      <c r="V239">
        <v>4</v>
      </c>
      <c r="W239">
        <v>1</v>
      </c>
      <c r="X239" s="15">
        <f t="shared" si="22"/>
        <v>0</v>
      </c>
      <c r="Z239" t="str">
        <f t="shared" si="23"/>
        <v>INSERT INTO REPORTWARE.RWH_IFRS9_R04A0424 (FECHA, PERIODO,CONCEPTO, SUBREPORTE, MONEDA, TIPO_SALDO, DATO) VALUES ('2021-10-31','2021-10-31','111800606021','0424','4','1','0')</v>
      </c>
    </row>
    <row r="240" spans="19:26">
      <c r="S240" s="16" t="str">
        <f t="shared" si="20"/>
        <v>2021-10-31</v>
      </c>
      <c r="T240" s="16" t="str">
        <f t="shared" si="21"/>
        <v>111800606022</v>
      </c>
      <c r="U240" s="16" t="s">
        <v>33</v>
      </c>
      <c r="V240">
        <v>4</v>
      </c>
      <c r="W240">
        <v>1</v>
      </c>
      <c r="X240" s="15">
        <f t="shared" si="22"/>
        <v>0</v>
      </c>
      <c r="Z240" t="str">
        <f t="shared" si="23"/>
        <v>INSERT INTO REPORTWARE.RWH_IFRS9_R04A0424 (FECHA, PERIODO,CONCEPTO, SUBREPORTE, MONEDA, TIPO_SALDO, DATO) VALUES ('2021-10-31','2021-10-31','111800606022','0424','4','1','0')</v>
      </c>
    </row>
    <row r="241" spans="19:26">
      <c r="S241" s="16" t="str">
        <f t="shared" si="20"/>
        <v>2021-10-31</v>
      </c>
      <c r="T241" s="16" t="str">
        <f t="shared" si="21"/>
        <v>111800606023</v>
      </c>
      <c r="U241" s="16" t="s">
        <v>33</v>
      </c>
      <c r="V241">
        <v>4</v>
      </c>
      <c r="W241">
        <v>1</v>
      </c>
      <c r="X241" s="15">
        <f t="shared" si="22"/>
        <v>0</v>
      </c>
      <c r="Z241" t="str">
        <f t="shared" si="23"/>
        <v>INSERT INTO REPORTWARE.RWH_IFRS9_R04A0424 (FECHA, PERIODO,CONCEPTO, SUBREPORTE, MONEDA, TIPO_SALDO, DATO) VALUES ('2021-10-31','2021-10-31','111800606023','0424','4','1','0')</v>
      </c>
    </row>
    <row r="242" spans="19:26">
      <c r="S242" s="16" t="str">
        <f t="shared" si="20"/>
        <v>2021-10-31</v>
      </c>
      <c r="T242" s="16" t="str">
        <f t="shared" si="21"/>
        <v>111800606024</v>
      </c>
      <c r="U242" s="16" t="s">
        <v>33</v>
      </c>
      <c r="V242">
        <v>4</v>
      </c>
      <c r="W242">
        <v>1</v>
      </c>
      <c r="X242" s="15">
        <f t="shared" si="22"/>
        <v>0</v>
      </c>
      <c r="Z242" t="str">
        <f t="shared" si="23"/>
        <v>INSERT INTO REPORTWARE.RWH_IFRS9_R04A0424 (FECHA, PERIODO,CONCEPTO, SUBREPORTE, MONEDA, TIPO_SALDO, DATO) VALUES ('2021-10-31','2021-10-31','111800606024','0424','4','1','0')</v>
      </c>
    </row>
    <row r="243" spans="19:26">
      <c r="S243" s="16" t="str">
        <f t="shared" si="20"/>
        <v>2021-10-31</v>
      </c>
      <c r="T243" s="16" t="str">
        <f t="shared" si="21"/>
        <v>111800606025</v>
      </c>
      <c r="U243" s="16" t="s">
        <v>33</v>
      </c>
      <c r="V243">
        <v>4</v>
      </c>
      <c r="W243">
        <v>1</v>
      </c>
      <c r="X243" s="15">
        <f t="shared" si="22"/>
        <v>0</v>
      </c>
      <c r="Z243" t="str">
        <f t="shared" si="23"/>
        <v>INSERT INTO REPORTWARE.RWH_IFRS9_R04A0424 (FECHA, PERIODO,CONCEPTO, SUBREPORTE, MONEDA, TIPO_SALDO, DATO) VALUES ('2021-10-31','2021-10-31','111800606025','0424','4','1','0')</v>
      </c>
    </row>
    <row r="244" spans="19:26">
      <c r="S244" s="16" t="str">
        <f t="shared" si="20"/>
        <v>2021-10-31</v>
      </c>
      <c r="T244" s="16" t="str">
        <f t="shared" si="21"/>
        <v>111800606026</v>
      </c>
      <c r="U244" s="16" t="s">
        <v>33</v>
      </c>
      <c r="V244">
        <v>4</v>
      </c>
      <c r="W244">
        <v>1</v>
      </c>
      <c r="X244" s="15">
        <f t="shared" si="22"/>
        <v>0</v>
      </c>
      <c r="Z244" t="str">
        <f t="shared" si="23"/>
        <v>INSERT INTO REPORTWARE.RWH_IFRS9_R04A0424 (FECHA, PERIODO,CONCEPTO, SUBREPORTE, MONEDA, TIPO_SALDO, DATO) VALUES ('2021-10-31','2021-10-31','111800606026','0424','4','1','0')</v>
      </c>
    </row>
    <row r="245" spans="19:26">
      <c r="S245" s="16" t="str">
        <f t="shared" si="20"/>
        <v>2021-10-31</v>
      </c>
      <c r="T245" s="16" t="str">
        <f t="shared" si="21"/>
        <v>111800606027</v>
      </c>
      <c r="U245" s="16" t="s">
        <v>33</v>
      </c>
      <c r="V245">
        <v>4</v>
      </c>
      <c r="W245">
        <v>1</v>
      </c>
      <c r="X245" s="15">
        <f t="shared" si="22"/>
        <v>0</v>
      </c>
      <c r="Z245" t="str">
        <f t="shared" si="23"/>
        <v>INSERT INTO REPORTWARE.RWH_IFRS9_R04A0424 (FECHA, PERIODO,CONCEPTO, SUBREPORTE, MONEDA, TIPO_SALDO, DATO) VALUES ('2021-10-31','2021-10-31','111800606027','0424','4','1','0')</v>
      </c>
    </row>
    <row r="246" spans="19:26">
      <c r="S246" s="16" t="str">
        <f t="shared" si="20"/>
        <v>2021-10-31</v>
      </c>
      <c r="T246" s="16" t="str">
        <f t="shared" si="21"/>
        <v>111800205007</v>
      </c>
      <c r="U246" s="16" t="s">
        <v>33</v>
      </c>
      <c r="V246">
        <v>4</v>
      </c>
      <c r="W246">
        <v>1</v>
      </c>
      <c r="X246" s="15">
        <f t="shared" si="22"/>
        <v>0</v>
      </c>
      <c r="Z246" t="str">
        <f t="shared" si="23"/>
        <v>INSERT INTO REPORTWARE.RWH_IFRS9_R04A0424 (FECHA, PERIODO,CONCEPTO, SUBREPORTE, MONEDA, TIPO_SALDO, DATO) VALUES ('2021-10-31','2021-10-31','111800205007','0424','4','1','0')</v>
      </c>
    </row>
    <row r="247" spans="19:26">
      <c r="S247" s="16" t="str">
        <f t="shared" si="20"/>
        <v>2021-10-31</v>
      </c>
      <c r="T247" s="16" t="str">
        <f t="shared" si="21"/>
        <v>111800706028</v>
      </c>
      <c r="U247" s="16" t="s">
        <v>33</v>
      </c>
      <c r="V247">
        <v>4</v>
      </c>
      <c r="W247">
        <v>1</v>
      </c>
      <c r="X247" s="15">
        <f t="shared" si="22"/>
        <v>0</v>
      </c>
      <c r="Z247" t="str">
        <f t="shared" si="23"/>
        <v>INSERT INTO REPORTWARE.RWH_IFRS9_R04A0424 (FECHA, PERIODO,CONCEPTO, SUBREPORTE, MONEDA, TIPO_SALDO, DATO) VALUES ('2021-10-31','2021-10-31','111800706028','0424','4','1','0')</v>
      </c>
    </row>
    <row r="248" spans="19:26">
      <c r="S248" s="16" t="str">
        <f t="shared" si="20"/>
        <v>2021-10-31</v>
      </c>
      <c r="T248" s="16" t="str">
        <f t="shared" si="21"/>
        <v>111800706029</v>
      </c>
      <c r="U248" s="16" t="s">
        <v>33</v>
      </c>
      <c r="V248">
        <v>4</v>
      </c>
      <c r="W248">
        <v>1</v>
      </c>
      <c r="X248" s="15">
        <f t="shared" si="22"/>
        <v>0</v>
      </c>
      <c r="Z248" t="str">
        <f t="shared" si="23"/>
        <v>INSERT INTO REPORTWARE.RWH_IFRS9_R04A0424 (FECHA, PERIODO,CONCEPTO, SUBREPORTE, MONEDA, TIPO_SALDO, DATO) VALUES ('2021-10-31','2021-10-31','111800706029','0424','4','1','0')</v>
      </c>
    </row>
    <row r="249" spans="19:26">
      <c r="S249" s="16" t="str">
        <f t="shared" si="20"/>
        <v>2021-10-31</v>
      </c>
      <c r="T249" s="16" t="str">
        <f t="shared" si="21"/>
        <v>111800706030</v>
      </c>
      <c r="U249" s="16" t="s">
        <v>33</v>
      </c>
      <c r="V249">
        <v>4</v>
      </c>
      <c r="W249">
        <v>1</v>
      </c>
      <c r="X249" s="15">
        <f t="shared" si="22"/>
        <v>0</v>
      </c>
      <c r="Z249" t="str">
        <f t="shared" si="23"/>
        <v>INSERT INTO REPORTWARE.RWH_IFRS9_R04A0424 (FECHA, PERIODO,CONCEPTO, SUBREPORTE, MONEDA, TIPO_SALDO, DATO) VALUES ('2021-10-31','2021-10-31','111800706030','0424','4','1','0')</v>
      </c>
    </row>
    <row r="250" spans="19:26">
      <c r="S250" s="16" t="str">
        <f t="shared" si="20"/>
        <v>2021-10-31</v>
      </c>
      <c r="T250" s="16" t="str">
        <f t="shared" si="21"/>
        <v>111803007032</v>
      </c>
      <c r="U250" s="16" t="s">
        <v>33</v>
      </c>
      <c r="V250">
        <v>4</v>
      </c>
      <c r="W250">
        <v>1</v>
      </c>
      <c r="X250" s="15">
        <f t="shared" si="22"/>
        <v>0</v>
      </c>
      <c r="Z250" t="str">
        <f t="shared" si="23"/>
        <v>INSERT INTO REPORTWARE.RWH_IFRS9_R04A0424 (FECHA, PERIODO,CONCEPTO, SUBREPORTE, MONEDA, TIPO_SALDO, DATO) VALUES ('2021-10-31','2021-10-31','111803007032','0424','4','1','0')</v>
      </c>
    </row>
    <row r="251" spans="19:26">
      <c r="S251" s="16" t="str">
        <f t="shared" si="20"/>
        <v>2021-10-31</v>
      </c>
      <c r="T251" s="16" t="str">
        <f t="shared" si="21"/>
        <v>111803007033</v>
      </c>
      <c r="U251" s="16" t="s">
        <v>33</v>
      </c>
      <c r="V251">
        <v>4</v>
      </c>
      <c r="W251">
        <v>1</v>
      </c>
      <c r="X251" s="15">
        <f t="shared" si="22"/>
        <v>0</v>
      </c>
      <c r="Z251" t="str">
        <f t="shared" si="23"/>
        <v>INSERT INTO REPORTWARE.RWH_IFRS9_R04A0424 (FECHA, PERIODO,CONCEPTO, SUBREPORTE, MONEDA, TIPO_SALDO, DATO) VALUES ('2021-10-31','2021-10-31','111803007033','0424','4','1','0')</v>
      </c>
    </row>
    <row r="252" spans="19:26">
      <c r="S252" s="16" t="str">
        <f t="shared" si="20"/>
        <v>2021-10-31</v>
      </c>
      <c r="T252" s="16" t="str">
        <f t="shared" si="21"/>
        <v>111800706031</v>
      </c>
      <c r="U252" s="16" t="s">
        <v>33</v>
      </c>
      <c r="V252">
        <v>4</v>
      </c>
      <c r="W252">
        <v>1</v>
      </c>
      <c r="X252" s="15">
        <f t="shared" si="22"/>
        <v>0</v>
      </c>
      <c r="Z252" t="str">
        <f t="shared" si="23"/>
        <v>INSERT INTO REPORTWARE.RWH_IFRS9_R04A0424 (FECHA, PERIODO,CONCEPTO, SUBREPORTE, MONEDA, TIPO_SALDO, DATO) VALUES ('2021-10-31','2021-10-31','111800706031','0424','4','1','0')</v>
      </c>
    </row>
    <row r="253" spans="19:26">
      <c r="S253" s="16" t="str">
        <f t="shared" si="20"/>
        <v>2021-10-31</v>
      </c>
      <c r="T253" s="16" t="str">
        <f t="shared" si="21"/>
        <v>111800706032</v>
      </c>
      <c r="U253" s="16" t="s">
        <v>33</v>
      </c>
      <c r="V253">
        <v>4</v>
      </c>
      <c r="W253">
        <v>1</v>
      </c>
      <c r="X253" s="15">
        <f t="shared" si="22"/>
        <v>0</v>
      </c>
      <c r="Z253" t="str">
        <f t="shared" si="23"/>
        <v>INSERT INTO REPORTWARE.RWH_IFRS9_R04A0424 (FECHA, PERIODO,CONCEPTO, SUBREPORTE, MONEDA, TIPO_SALDO, DATO) VALUES ('2021-10-31','2021-10-31','111800706032','0424','4','1','0')</v>
      </c>
    </row>
    <row r="254" spans="19:26">
      <c r="S254" s="16" t="str">
        <f>$Q$4</f>
        <v>2021-10-31</v>
      </c>
      <c r="T254" s="16" t="str">
        <f>A4</f>
        <v>101800104001</v>
      </c>
      <c r="U254" s="16" t="s">
        <v>33</v>
      </c>
      <c r="V254">
        <v>1</v>
      </c>
      <c r="W254">
        <v>1</v>
      </c>
      <c r="X254" s="15">
        <f>N4</f>
        <v>0</v>
      </c>
      <c r="Z254" t="str">
        <f t="shared" si="23"/>
        <v>INSERT INTO REPORTWARE.RWH_IFRS9_R04A0424 (FECHA, PERIODO,CONCEPTO, SUBREPORTE, MONEDA, TIPO_SALDO, DATO) VALUES ('2021-10-31','2021-10-31','101800104001','0424','1','1','0')</v>
      </c>
    </row>
    <row r="255" spans="19:26">
      <c r="S255" s="16" t="str">
        <f t="shared" ref="S255:S318" si="24">$Q$4</f>
        <v>2021-10-31</v>
      </c>
      <c r="T255" s="16" t="str">
        <f t="shared" ref="T255:T318" si="25">A5</f>
        <v>111800105001</v>
      </c>
      <c r="U255" s="16" t="s">
        <v>33</v>
      </c>
      <c r="V255">
        <v>1</v>
      </c>
      <c r="W255">
        <v>1</v>
      </c>
      <c r="X255" s="15">
        <f t="shared" ref="X255:X318" si="26">N5</f>
        <v>0</v>
      </c>
      <c r="Z255" t="str">
        <f t="shared" si="23"/>
        <v>INSERT INTO REPORTWARE.RWH_IFRS9_R04A0424 (FECHA, PERIODO,CONCEPTO, SUBREPORTE, MONEDA, TIPO_SALDO, DATO) VALUES ('2021-10-31','2021-10-31','111800105001','0424','1','1','0')</v>
      </c>
    </row>
    <row r="256" spans="19:26">
      <c r="S256" s="16" t="str">
        <f t="shared" si="24"/>
        <v>2021-10-31</v>
      </c>
      <c r="T256" s="16" t="str">
        <f t="shared" si="25"/>
        <v>111800106001</v>
      </c>
      <c r="U256" s="16" t="s">
        <v>33</v>
      </c>
      <c r="V256">
        <v>1</v>
      </c>
      <c r="W256">
        <v>1</v>
      </c>
      <c r="X256" s="15">
        <f t="shared" si="26"/>
        <v>0</v>
      </c>
      <c r="Z256" t="str">
        <f t="shared" si="23"/>
        <v>INSERT INTO REPORTWARE.RWH_IFRS9_R04A0424 (FECHA, PERIODO,CONCEPTO, SUBREPORTE, MONEDA, TIPO_SALDO, DATO) VALUES ('2021-10-31','2021-10-31','111800106001','0424','1','1','0')</v>
      </c>
    </row>
    <row r="257" spans="19:26">
      <c r="S257" s="16" t="str">
        <f t="shared" si="24"/>
        <v>2021-10-31</v>
      </c>
      <c r="T257" s="16" t="str">
        <f t="shared" si="25"/>
        <v>111800107001</v>
      </c>
      <c r="U257" s="16" t="s">
        <v>33</v>
      </c>
      <c r="V257">
        <v>1</v>
      </c>
      <c r="W257">
        <v>1</v>
      </c>
      <c r="X257" s="15">
        <f t="shared" si="26"/>
        <v>0</v>
      </c>
      <c r="Z257" t="str">
        <f t="shared" si="23"/>
        <v>INSERT INTO REPORTWARE.RWH_IFRS9_R04A0424 (FECHA, PERIODO,CONCEPTO, SUBREPORTE, MONEDA, TIPO_SALDO, DATO) VALUES ('2021-10-31','2021-10-31','111800107001','0424','1','1','0')</v>
      </c>
    </row>
    <row r="258" spans="19:26">
      <c r="S258" s="16" t="str">
        <f t="shared" si="24"/>
        <v>2021-10-31</v>
      </c>
      <c r="T258" s="16" t="str">
        <f t="shared" si="25"/>
        <v>111800108001</v>
      </c>
      <c r="U258" s="16" t="s">
        <v>33</v>
      </c>
      <c r="V258">
        <v>1</v>
      </c>
      <c r="W258">
        <v>1</v>
      </c>
      <c r="X258" s="15">
        <f t="shared" si="26"/>
        <v>0</v>
      </c>
      <c r="Z258" t="str">
        <f t="shared" si="23"/>
        <v>INSERT INTO REPORTWARE.RWH_IFRS9_R04A0424 (FECHA, PERIODO,CONCEPTO, SUBREPORTE, MONEDA, TIPO_SALDO, DATO) VALUES ('2021-10-31','2021-10-31','111800108001','0424','1','1','0')</v>
      </c>
    </row>
    <row r="259" spans="19:26">
      <c r="S259" s="16" t="str">
        <f t="shared" si="24"/>
        <v>2021-10-31</v>
      </c>
      <c r="T259" s="16" t="str">
        <f t="shared" si="25"/>
        <v>111800108002</v>
      </c>
      <c r="U259" s="16" t="s">
        <v>33</v>
      </c>
      <c r="V259">
        <v>1</v>
      </c>
      <c r="W259">
        <v>1</v>
      </c>
      <c r="X259" s="15">
        <f t="shared" si="26"/>
        <v>0</v>
      </c>
      <c r="Z259" t="str">
        <f t="shared" si="23"/>
        <v>INSERT INTO REPORTWARE.RWH_IFRS9_R04A0424 (FECHA, PERIODO,CONCEPTO, SUBREPORTE, MONEDA, TIPO_SALDO, DATO) VALUES ('2021-10-31','2021-10-31','111800108002','0424','1','1','0')</v>
      </c>
    </row>
    <row r="260" spans="19:26">
      <c r="S260" s="16" t="str">
        <f t="shared" si="24"/>
        <v>2021-10-31</v>
      </c>
      <c r="T260" s="16" t="str">
        <f t="shared" si="25"/>
        <v>111800107002</v>
      </c>
      <c r="U260" s="16" t="s">
        <v>33</v>
      </c>
      <c r="V260">
        <v>1</v>
      </c>
      <c r="W260">
        <v>1</v>
      </c>
      <c r="X260" s="15">
        <f t="shared" si="26"/>
        <v>0</v>
      </c>
      <c r="Z260" t="str">
        <f t="shared" si="23"/>
        <v>INSERT INTO REPORTWARE.RWH_IFRS9_R04A0424 (FECHA, PERIODO,CONCEPTO, SUBREPORTE, MONEDA, TIPO_SALDO, DATO) VALUES ('2021-10-31','2021-10-31','111800107002','0424','1','1','0')</v>
      </c>
    </row>
    <row r="261" spans="19:26">
      <c r="S261" s="16" t="str">
        <f t="shared" si="24"/>
        <v>2021-10-31</v>
      </c>
      <c r="T261" s="16" t="str">
        <f t="shared" si="25"/>
        <v>111800208003</v>
      </c>
      <c r="U261" s="16" t="s">
        <v>33</v>
      </c>
      <c r="V261">
        <v>1</v>
      </c>
      <c r="W261">
        <v>1</v>
      </c>
      <c r="X261" s="15">
        <f t="shared" si="26"/>
        <v>0</v>
      </c>
      <c r="Z261" t="str">
        <f t="shared" ref="Z261:Z324" si="27">"INSERT INTO REPORTWARE.RWH_IFRS9_R04A0424 (FECHA, PERIODO,CONCEPTO, SUBREPORTE, MONEDA, TIPO_SALDO, DATO) VALUES ('"&amp;S261&amp;"','"&amp;S261&amp;"','"&amp;T261&amp;"','"&amp;U261&amp;"','"&amp;V261&amp;"','"&amp;W261&amp;"','"&amp;X261&amp;"')"</f>
        <v>INSERT INTO REPORTWARE.RWH_IFRS9_R04A0424 (FECHA, PERIODO,CONCEPTO, SUBREPORTE, MONEDA, TIPO_SALDO, DATO) VALUES ('2021-10-31','2021-10-31','111800208003','0424','1','1','0')</v>
      </c>
    </row>
    <row r="262" spans="19:26">
      <c r="S262" s="16" t="str">
        <f t="shared" si="24"/>
        <v>2021-10-31</v>
      </c>
      <c r="T262" s="16" t="str">
        <f t="shared" si="25"/>
        <v>111800208004</v>
      </c>
      <c r="U262" s="16" t="s">
        <v>33</v>
      </c>
      <c r="V262">
        <v>1</v>
      </c>
      <c r="W262">
        <v>1</v>
      </c>
      <c r="X262" s="15">
        <f t="shared" si="26"/>
        <v>0</v>
      </c>
      <c r="Z262" t="str">
        <f t="shared" si="27"/>
        <v>INSERT INTO REPORTWARE.RWH_IFRS9_R04A0424 (FECHA, PERIODO,CONCEPTO, SUBREPORTE, MONEDA, TIPO_SALDO, DATO) VALUES ('2021-10-31','2021-10-31','111800208004','0424','1','1','0')</v>
      </c>
    </row>
    <row r="263" spans="19:26">
      <c r="S263" s="16" t="str">
        <f t="shared" si="24"/>
        <v>2021-10-31</v>
      </c>
      <c r="T263" s="16" t="str">
        <f t="shared" si="25"/>
        <v>111800208005</v>
      </c>
      <c r="U263" s="16" t="s">
        <v>33</v>
      </c>
      <c r="V263">
        <v>1</v>
      </c>
      <c r="W263">
        <v>1</v>
      </c>
      <c r="X263" s="15">
        <f t="shared" si="26"/>
        <v>0</v>
      </c>
      <c r="Z263" t="str">
        <f t="shared" si="27"/>
        <v>INSERT INTO REPORTWARE.RWH_IFRS9_R04A0424 (FECHA, PERIODO,CONCEPTO, SUBREPORTE, MONEDA, TIPO_SALDO, DATO) VALUES ('2021-10-31','2021-10-31','111800208005','0424','1','1','0')</v>
      </c>
    </row>
    <row r="264" spans="19:26">
      <c r="S264" s="16" t="str">
        <f t="shared" si="24"/>
        <v>2021-10-31</v>
      </c>
      <c r="T264" s="16" t="str">
        <f t="shared" si="25"/>
        <v>111800107003</v>
      </c>
      <c r="U264" s="16" t="s">
        <v>33</v>
      </c>
      <c r="V264">
        <v>1</v>
      </c>
      <c r="W264">
        <v>1</v>
      </c>
      <c r="X264" s="15">
        <f t="shared" si="26"/>
        <v>0</v>
      </c>
      <c r="Z264" t="str">
        <f t="shared" si="27"/>
        <v>INSERT INTO REPORTWARE.RWH_IFRS9_R04A0424 (FECHA, PERIODO,CONCEPTO, SUBREPORTE, MONEDA, TIPO_SALDO, DATO) VALUES ('2021-10-31','2021-10-31','111800107003','0424','1','1','0')</v>
      </c>
    </row>
    <row r="265" spans="19:26">
      <c r="S265" s="16" t="str">
        <f t="shared" si="24"/>
        <v>2021-10-31</v>
      </c>
      <c r="T265" s="16" t="str">
        <f t="shared" si="25"/>
        <v>111800308006</v>
      </c>
      <c r="U265" s="16" t="s">
        <v>33</v>
      </c>
      <c r="V265">
        <v>1</v>
      </c>
      <c r="W265">
        <v>1</v>
      </c>
      <c r="X265" s="15">
        <f t="shared" si="26"/>
        <v>0</v>
      </c>
      <c r="Z265" t="str">
        <f t="shared" si="27"/>
        <v>INSERT INTO REPORTWARE.RWH_IFRS9_R04A0424 (FECHA, PERIODO,CONCEPTO, SUBREPORTE, MONEDA, TIPO_SALDO, DATO) VALUES ('2021-10-31','2021-10-31','111800308006','0424','1','1','0')</v>
      </c>
    </row>
    <row r="266" spans="19:26">
      <c r="S266" s="16" t="str">
        <f t="shared" si="24"/>
        <v>2021-10-31</v>
      </c>
      <c r="T266" s="16" t="str">
        <f t="shared" si="25"/>
        <v>111800308007</v>
      </c>
      <c r="U266" s="16" t="s">
        <v>33</v>
      </c>
      <c r="V266">
        <v>1</v>
      </c>
      <c r="W266">
        <v>1</v>
      </c>
      <c r="X266" s="15">
        <f t="shared" si="26"/>
        <v>0</v>
      </c>
      <c r="Z266" t="str">
        <f t="shared" si="27"/>
        <v>INSERT INTO REPORTWARE.RWH_IFRS9_R04A0424 (FECHA, PERIODO,CONCEPTO, SUBREPORTE, MONEDA, TIPO_SALDO, DATO) VALUES ('2021-10-31','2021-10-31','111800308007','0424','1','1','0')</v>
      </c>
    </row>
    <row r="267" spans="19:26">
      <c r="S267" s="16" t="str">
        <f t="shared" si="24"/>
        <v>2021-10-31</v>
      </c>
      <c r="T267" s="16" t="str">
        <f t="shared" si="25"/>
        <v>111800107004</v>
      </c>
      <c r="U267" s="16" t="s">
        <v>33</v>
      </c>
      <c r="V267">
        <v>1</v>
      </c>
      <c r="W267">
        <v>1</v>
      </c>
      <c r="X267" s="15">
        <f t="shared" si="26"/>
        <v>0</v>
      </c>
      <c r="Z267" t="str">
        <f t="shared" si="27"/>
        <v>INSERT INTO REPORTWARE.RWH_IFRS9_R04A0424 (FECHA, PERIODO,CONCEPTO, SUBREPORTE, MONEDA, TIPO_SALDO, DATO) VALUES ('2021-10-31','2021-10-31','111800107004','0424','1','1','0')</v>
      </c>
    </row>
    <row r="268" spans="19:26">
      <c r="S268" s="16" t="str">
        <f t="shared" si="24"/>
        <v>2021-10-31</v>
      </c>
      <c r="T268" s="16" t="str">
        <f t="shared" si="25"/>
        <v>111800107005</v>
      </c>
      <c r="U268" s="16" t="s">
        <v>33</v>
      </c>
      <c r="V268">
        <v>1</v>
      </c>
      <c r="W268">
        <v>1</v>
      </c>
      <c r="X268" s="15">
        <f t="shared" si="26"/>
        <v>0</v>
      </c>
      <c r="Z268" t="str">
        <f t="shared" si="27"/>
        <v>INSERT INTO REPORTWARE.RWH_IFRS9_R04A0424 (FECHA, PERIODO,CONCEPTO, SUBREPORTE, MONEDA, TIPO_SALDO, DATO) VALUES ('2021-10-31','2021-10-31','111800107005','0424','1','1','0')</v>
      </c>
    </row>
    <row r="269" spans="19:26">
      <c r="S269" s="16" t="str">
        <f t="shared" si="24"/>
        <v>2021-10-31</v>
      </c>
      <c r="T269" s="16" t="str">
        <f t="shared" si="25"/>
        <v>111800107006</v>
      </c>
      <c r="U269" s="16" t="s">
        <v>33</v>
      </c>
      <c r="V269">
        <v>1</v>
      </c>
      <c r="W269">
        <v>1</v>
      </c>
      <c r="X269" s="15">
        <f t="shared" si="26"/>
        <v>0</v>
      </c>
      <c r="Z269" t="str">
        <f t="shared" si="27"/>
        <v>INSERT INTO REPORTWARE.RWH_IFRS9_R04A0424 (FECHA, PERIODO,CONCEPTO, SUBREPORTE, MONEDA, TIPO_SALDO, DATO) VALUES ('2021-10-31','2021-10-31','111800107006','0424','1','1','0')</v>
      </c>
    </row>
    <row r="270" spans="19:26">
      <c r="S270" s="16" t="str">
        <f t="shared" si="24"/>
        <v>2021-10-31</v>
      </c>
      <c r="T270" s="16" t="str">
        <f t="shared" si="25"/>
        <v>111800107007</v>
      </c>
      <c r="U270" s="16" t="s">
        <v>33</v>
      </c>
      <c r="V270">
        <v>1</v>
      </c>
      <c r="W270">
        <v>1</v>
      </c>
      <c r="X270" s="15">
        <f t="shared" si="26"/>
        <v>0</v>
      </c>
      <c r="Z270" t="str">
        <f t="shared" si="27"/>
        <v>INSERT INTO REPORTWARE.RWH_IFRS9_R04A0424 (FECHA, PERIODO,CONCEPTO, SUBREPORTE, MONEDA, TIPO_SALDO, DATO) VALUES ('2021-10-31','2021-10-31','111800107007','0424','1','1','0')</v>
      </c>
    </row>
    <row r="271" spans="19:26">
      <c r="S271" s="16" t="str">
        <f t="shared" si="24"/>
        <v>2021-10-31</v>
      </c>
      <c r="T271" s="16" t="str">
        <f t="shared" si="25"/>
        <v>111800107008</v>
      </c>
      <c r="U271" s="16" t="s">
        <v>33</v>
      </c>
      <c r="V271">
        <v>1</v>
      </c>
      <c r="W271">
        <v>1</v>
      </c>
      <c r="X271" s="15">
        <f t="shared" si="26"/>
        <v>0</v>
      </c>
      <c r="Z271" t="str">
        <f t="shared" si="27"/>
        <v>INSERT INTO REPORTWARE.RWH_IFRS9_R04A0424 (FECHA, PERIODO,CONCEPTO, SUBREPORTE, MONEDA, TIPO_SALDO, DATO) VALUES ('2021-10-31','2021-10-31','111800107008','0424','1','1','0')</v>
      </c>
    </row>
    <row r="272" spans="19:26">
      <c r="S272" s="16" t="str">
        <f t="shared" si="24"/>
        <v>2021-10-31</v>
      </c>
      <c r="T272" s="16" t="str">
        <f t="shared" si="25"/>
        <v>111800106002</v>
      </c>
      <c r="U272" s="16" t="s">
        <v>33</v>
      </c>
      <c r="V272">
        <v>1</v>
      </c>
      <c r="W272">
        <v>1</v>
      </c>
      <c r="X272" s="15">
        <f t="shared" si="26"/>
        <v>0</v>
      </c>
      <c r="Z272" t="str">
        <f t="shared" si="27"/>
        <v>INSERT INTO REPORTWARE.RWH_IFRS9_R04A0424 (FECHA, PERIODO,CONCEPTO, SUBREPORTE, MONEDA, TIPO_SALDO, DATO) VALUES ('2021-10-31','2021-10-31','111800106002','0424','1','1','0')</v>
      </c>
    </row>
    <row r="273" spans="19:26">
      <c r="S273" s="16" t="str">
        <f t="shared" si="24"/>
        <v>2021-10-31</v>
      </c>
      <c r="T273" s="16" t="str">
        <f t="shared" si="25"/>
        <v>111800207009</v>
      </c>
      <c r="U273" s="16" t="s">
        <v>33</v>
      </c>
      <c r="V273">
        <v>1</v>
      </c>
      <c r="W273">
        <v>1</v>
      </c>
      <c r="X273" s="15">
        <f t="shared" si="26"/>
        <v>0</v>
      </c>
      <c r="Z273" t="str">
        <f t="shared" si="27"/>
        <v>INSERT INTO REPORTWARE.RWH_IFRS9_R04A0424 (FECHA, PERIODO,CONCEPTO, SUBREPORTE, MONEDA, TIPO_SALDO, DATO) VALUES ('2021-10-31','2021-10-31','111800207009','0424','1','1','0')</v>
      </c>
    </row>
    <row r="274" spans="19:26">
      <c r="S274" s="16" t="str">
        <f t="shared" si="24"/>
        <v>2021-10-31</v>
      </c>
      <c r="T274" s="16" t="str">
        <f t="shared" si="25"/>
        <v>111800908008</v>
      </c>
      <c r="U274" s="16" t="s">
        <v>33</v>
      </c>
      <c r="V274">
        <v>1</v>
      </c>
      <c r="W274">
        <v>1</v>
      </c>
      <c r="X274" s="15">
        <f t="shared" si="26"/>
        <v>0</v>
      </c>
      <c r="Z274" t="str">
        <f t="shared" si="27"/>
        <v>INSERT INTO REPORTWARE.RWH_IFRS9_R04A0424 (FECHA, PERIODO,CONCEPTO, SUBREPORTE, MONEDA, TIPO_SALDO, DATO) VALUES ('2021-10-31','2021-10-31','111800908008','0424','1','1','0')</v>
      </c>
    </row>
    <row r="275" spans="19:26">
      <c r="S275" s="16" t="str">
        <f t="shared" si="24"/>
        <v>2021-10-31</v>
      </c>
      <c r="T275" s="16" t="str">
        <f t="shared" si="25"/>
        <v>111800908009</v>
      </c>
      <c r="U275" s="16" t="s">
        <v>33</v>
      </c>
      <c r="V275">
        <v>1</v>
      </c>
      <c r="W275">
        <v>1</v>
      </c>
      <c r="X275" s="15">
        <f t="shared" si="26"/>
        <v>0</v>
      </c>
      <c r="Z275" t="str">
        <f t="shared" si="27"/>
        <v>INSERT INTO REPORTWARE.RWH_IFRS9_R04A0424 (FECHA, PERIODO,CONCEPTO, SUBREPORTE, MONEDA, TIPO_SALDO, DATO) VALUES ('2021-10-31','2021-10-31','111800908009','0424','1','1','0')</v>
      </c>
    </row>
    <row r="276" spans="19:26">
      <c r="S276" s="16" t="str">
        <f t="shared" si="24"/>
        <v>2021-10-31</v>
      </c>
      <c r="T276" s="16" t="str">
        <f t="shared" si="25"/>
        <v>111800908010</v>
      </c>
      <c r="U276" s="16" t="s">
        <v>33</v>
      </c>
      <c r="V276">
        <v>1</v>
      </c>
      <c r="W276">
        <v>1</v>
      </c>
      <c r="X276" s="15">
        <f t="shared" si="26"/>
        <v>0</v>
      </c>
      <c r="Z276" t="str">
        <f t="shared" si="27"/>
        <v>INSERT INTO REPORTWARE.RWH_IFRS9_R04A0424 (FECHA, PERIODO,CONCEPTO, SUBREPORTE, MONEDA, TIPO_SALDO, DATO) VALUES ('2021-10-31','2021-10-31','111800908010','0424','1','1','0')</v>
      </c>
    </row>
    <row r="277" spans="19:26">
      <c r="S277" s="16" t="str">
        <f t="shared" si="24"/>
        <v>2021-10-31</v>
      </c>
      <c r="T277" s="16" t="str">
        <f t="shared" si="25"/>
        <v>111800207010</v>
      </c>
      <c r="U277" s="16" t="s">
        <v>33</v>
      </c>
      <c r="V277">
        <v>1</v>
      </c>
      <c r="W277">
        <v>1</v>
      </c>
      <c r="X277" s="15">
        <f t="shared" si="26"/>
        <v>0</v>
      </c>
      <c r="Z277" t="str">
        <f t="shared" si="27"/>
        <v>INSERT INTO REPORTWARE.RWH_IFRS9_R04A0424 (FECHA, PERIODO,CONCEPTO, SUBREPORTE, MONEDA, TIPO_SALDO, DATO) VALUES ('2021-10-31','2021-10-31','111800207010','0424','1','1','0')</v>
      </c>
    </row>
    <row r="278" spans="19:26">
      <c r="S278" s="16" t="str">
        <f t="shared" si="24"/>
        <v>2021-10-31</v>
      </c>
      <c r="T278" s="16" t="str">
        <f t="shared" si="25"/>
        <v>111801008011</v>
      </c>
      <c r="U278" s="16" t="s">
        <v>33</v>
      </c>
      <c r="V278">
        <v>1</v>
      </c>
      <c r="W278">
        <v>1</v>
      </c>
      <c r="X278" s="15">
        <f t="shared" si="26"/>
        <v>0</v>
      </c>
      <c r="Z278" t="str">
        <f t="shared" si="27"/>
        <v>INSERT INTO REPORTWARE.RWH_IFRS9_R04A0424 (FECHA, PERIODO,CONCEPTO, SUBREPORTE, MONEDA, TIPO_SALDO, DATO) VALUES ('2021-10-31','2021-10-31','111801008011','0424','1','1','0')</v>
      </c>
    </row>
    <row r="279" spans="19:26">
      <c r="S279" s="16" t="str">
        <f t="shared" si="24"/>
        <v>2021-10-31</v>
      </c>
      <c r="T279" s="16" t="str">
        <f t="shared" si="25"/>
        <v>111801008012</v>
      </c>
      <c r="U279" s="16" t="s">
        <v>33</v>
      </c>
      <c r="V279">
        <v>1</v>
      </c>
      <c r="W279">
        <v>1</v>
      </c>
      <c r="X279" s="15">
        <f t="shared" si="26"/>
        <v>0</v>
      </c>
      <c r="Z279" t="str">
        <f t="shared" si="27"/>
        <v>INSERT INTO REPORTWARE.RWH_IFRS9_R04A0424 (FECHA, PERIODO,CONCEPTO, SUBREPORTE, MONEDA, TIPO_SALDO, DATO) VALUES ('2021-10-31','2021-10-31','111801008012','0424','1','1','0')</v>
      </c>
    </row>
    <row r="280" spans="19:26">
      <c r="S280" s="16" t="str">
        <f t="shared" si="24"/>
        <v>2021-10-31</v>
      </c>
      <c r="T280" s="16" t="str">
        <f t="shared" si="25"/>
        <v>111801008013</v>
      </c>
      <c r="U280" s="16" t="s">
        <v>33</v>
      </c>
      <c r="V280">
        <v>1</v>
      </c>
      <c r="W280">
        <v>1</v>
      </c>
      <c r="X280" s="15">
        <f t="shared" si="26"/>
        <v>0</v>
      </c>
      <c r="Z280" t="str">
        <f t="shared" si="27"/>
        <v>INSERT INTO REPORTWARE.RWH_IFRS9_R04A0424 (FECHA, PERIODO,CONCEPTO, SUBREPORTE, MONEDA, TIPO_SALDO, DATO) VALUES ('2021-10-31','2021-10-31','111801008013','0424','1','1','0')</v>
      </c>
    </row>
    <row r="281" spans="19:26">
      <c r="S281" s="16" t="str">
        <f t="shared" si="24"/>
        <v>2021-10-31</v>
      </c>
      <c r="T281" s="16" t="str">
        <f t="shared" si="25"/>
        <v>111800106003</v>
      </c>
      <c r="U281" s="16" t="s">
        <v>33</v>
      </c>
      <c r="V281">
        <v>1</v>
      </c>
      <c r="W281">
        <v>1</v>
      </c>
      <c r="X281" s="15">
        <f t="shared" si="26"/>
        <v>0</v>
      </c>
      <c r="Z281" t="str">
        <f t="shared" si="27"/>
        <v>INSERT INTO REPORTWARE.RWH_IFRS9_R04A0424 (FECHA, PERIODO,CONCEPTO, SUBREPORTE, MONEDA, TIPO_SALDO, DATO) VALUES ('2021-10-31','2021-10-31','111800106003','0424','1','1','0')</v>
      </c>
    </row>
    <row r="282" spans="19:26">
      <c r="S282" s="16" t="str">
        <f t="shared" si="24"/>
        <v>2021-10-31</v>
      </c>
      <c r="T282" s="16" t="str">
        <f t="shared" si="25"/>
        <v>111800307011</v>
      </c>
      <c r="U282" s="16" t="s">
        <v>33</v>
      </c>
      <c r="V282">
        <v>1</v>
      </c>
      <c r="W282">
        <v>1</v>
      </c>
      <c r="X282" s="15">
        <f t="shared" si="26"/>
        <v>0</v>
      </c>
      <c r="Z282" t="str">
        <f t="shared" si="27"/>
        <v>INSERT INTO REPORTWARE.RWH_IFRS9_R04A0424 (FECHA, PERIODO,CONCEPTO, SUBREPORTE, MONEDA, TIPO_SALDO, DATO) VALUES ('2021-10-31','2021-10-31','111800307011','0424','1','1','0')</v>
      </c>
    </row>
    <row r="283" spans="19:26">
      <c r="S283" s="16" t="str">
        <f t="shared" si="24"/>
        <v>2021-10-31</v>
      </c>
      <c r="T283" s="16" t="str">
        <f t="shared" si="25"/>
        <v>111800307012</v>
      </c>
      <c r="U283" s="16" t="s">
        <v>33</v>
      </c>
      <c r="V283">
        <v>1</v>
      </c>
      <c r="W283">
        <v>1</v>
      </c>
      <c r="X283" s="15">
        <f t="shared" si="26"/>
        <v>0</v>
      </c>
      <c r="Z283" t="str">
        <f t="shared" si="27"/>
        <v>INSERT INTO REPORTWARE.RWH_IFRS9_R04A0424 (FECHA, PERIODO,CONCEPTO, SUBREPORTE, MONEDA, TIPO_SALDO, DATO) VALUES ('2021-10-31','2021-10-31','111800307012','0424','1','1','0')</v>
      </c>
    </row>
    <row r="284" spans="19:26">
      <c r="S284" s="16" t="str">
        <f t="shared" si="24"/>
        <v>2021-10-31</v>
      </c>
      <c r="T284" s="16" t="str">
        <f t="shared" si="25"/>
        <v>111801208014</v>
      </c>
      <c r="U284" s="16" t="s">
        <v>33</v>
      </c>
      <c r="V284">
        <v>1</v>
      </c>
      <c r="W284">
        <v>1</v>
      </c>
      <c r="X284" s="15">
        <f t="shared" si="26"/>
        <v>0</v>
      </c>
      <c r="Z284" t="str">
        <f t="shared" si="27"/>
        <v>INSERT INTO REPORTWARE.RWH_IFRS9_R04A0424 (FECHA, PERIODO,CONCEPTO, SUBREPORTE, MONEDA, TIPO_SALDO, DATO) VALUES ('2021-10-31','2021-10-31','111801208014','0424','1','1','0')</v>
      </c>
    </row>
    <row r="285" spans="19:26">
      <c r="S285" s="16" t="str">
        <f t="shared" si="24"/>
        <v>2021-10-31</v>
      </c>
      <c r="T285" s="16" t="str">
        <f t="shared" si="25"/>
        <v>111801208015</v>
      </c>
      <c r="U285" s="16" t="s">
        <v>33</v>
      </c>
      <c r="V285">
        <v>1</v>
      </c>
      <c r="W285">
        <v>1</v>
      </c>
      <c r="X285" s="15">
        <f t="shared" si="26"/>
        <v>0</v>
      </c>
      <c r="Z285" t="str">
        <f t="shared" si="27"/>
        <v>INSERT INTO REPORTWARE.RWH_IFRS9_R04A0424 (FECHA, PERIODO,CONCEPTO, SUBREPORTE, MONEDA, TIPO_SALDO, DATO) VALUES ('2021-10-31','2021-10-31','111801208015','0424','1','1','0')</v>
      </c>
    </row>
    <row r="286" spans="19:26">
      <c r="S286" s="16" t="str">
        <f t="shared" si="24"/>
        <v>2021-10-31</v>
      </c>
      <c r="T286" s="16" t="str">
        <f t="shared" si="25"/>
        <v>111801208016</v>
      </c>
      <c r="U286" s="16" t="s">
        <v>33</v>
      </c>
      <c r="V286">
        <v>1</v>
      </c>
      <c r="W286">
        <v>1</v>
      </c>
      <c r="X286" s="15">
        <f t="shared" si="26"/>
        <v>0</v>
      </c>
      <c r="Z286" t="str">
        <f t="shared" si="27"/>
        <v>INSERT INTO REPORTWARE.RWH_IFRS9_R04A0424 (FECHA, PERIODO,CONCEPTO, SUBREPORTE, MONEDA, TIPO_SALDO, DATO) VALUES ('2021-10-31','2021-10-31','111801208016','0424','1','1','0')</v>
      </c>
    </row>
    <row r="287" spans="19:26">
      <c r="S287" s="16" t="str">
        <f t="shared" si="24"/>
        <v>2021-10-31</v>
      </c>
      <c r="T287" s="16" t="str">
        <f t="shared" si="25"/>
        <v>111801208017</v>
      </c>
      <c r="U287" s="16" t="s">
        <v>33</v>
      </c>
      <c r="V287">
        <v>1</v>
      </c>
      <c r="W287">
        <v>1</v>
      </c>
      <c r="X287" s="15">
        <f t="shared" si="26"/>
        <v>0</v>
      </c>
      <c r="Z287" t="str">
        <f t="shared" si="27"/>
        <v>INSERT INTO REPORTWARE.RWH_IFRS9_R04A0424 (FECHA, PERIODO,CONCEPTO, SUBREPORTE, MONEDA, TIPO_SALDO, DATO) VALUES ('2021-10-31','2021-10-31','111801208017','0424','1','1','0')</v>
      </c>
    </row>
    <row r="288" spans="19:26">
      <c r="S288" s="16" t="str">
        <f t="shared" si="24"/>
        <v>2021-10-31</v>
      </c>
      <c r="T288" s="16" t="str">
        <f t="shared" si="25"/>
        <v>111801208018</v>
      </c>
      <c r="U288" s="16" t="s">
        <v>33</v>
      </c>
      <c r="V288">
        <v>1</v>
      </c>
      <c r="W288">
        <v>1</v>
      </c>
      <c r="X288" s="15">
        <f t="shared" si="26"/>
        <v>0</v>
      </c>
      <c r="Z288" t="str">
        <f t="shared" si="27"/>
        <v>INSERT INTO REPORTWARE.RWH_IFRS9_R04A0424 (FECHA, PERIODO,CONCEPTO, SUBREPORTE, MONEDA, TIPO_SALDO, DATO) VALUES ('2021-10-31','2021-10-31','111801208018','0424','1','1','0')</v>
      </c>
    </row>
    <row r="289" spans="19:26">
      <c r="S289" s="16" t="str">
        <f t="shared" si="24"/>
        <v>2021-10-31</v>
      </c>
      <c r="T289" s="16" t="str">
        <f t="shared" si="25"/>
        <v>111800307013</v>
      </c>
      <c r="U289" s="16" t="s">
        <v>33</v>
      </c>
      <c r="V289">
        <v>1</v>
      </c>
      <c r="W289">
        <v>1</v>
      </c>
      <c r="X289" s="15">
        <f t="shared" si="26"/>
        <v>0</v>
      </c>
      <c r="Z289" t="str">
        <f t="shared" si="27"/>
        <v>INSERT INTO REPORTWARE.RWH_IFRS9_R04A0424 (FECHA, PERIODO,CONCEPTO, SUBREPORTE, MONEDA, TIPO_SALDO, DATO) VALUES ('2021-10-31','2021-10-31','111800307013','0424','1','1','0')</v>
      </c>
    </row>
    <row r="290" spans="19:26">
      <c r="S290" s="16" t="str">
        <f t="shared" si="24"/>
        <v>2021-10-31</v>
      </c>
      <c r="T290" s="16" t="str">
        <f t="shared" si="25"/>
        <v>111801308019</v>
      </c>
      <c r="U290" s="16" t="s">
        <v>33</v>
      </c>
      <c r="V290">
        <v>1</v>
      </c>
      <c r="W290">
        <v>1</v>
      </c>
      <c r="X290" s="15">
        <f t="shared" si="26"/>
        <v>0</v>
      </c>
      <c r="Z290" t="str">
        <f t="shared" si="27"/>
        <v>INSERT INTO REPORTWARE.RWH_IFRS9_R04A0424 (FECHA, PERIODO,CONCEPTO, SUBREPORTE, MONEDA, TIPO_SALDO, DATO) VALUES ('2021-10-31','2021-10-31','111801308019','0424','1','1','0')</v>
      </c>
    </row>
    <row r="291" spans="19:26">
      <c r="S291" s="16" t="str">
        <f t="shared" si="24"/>
        <v>2021-10-31</v>
      </c>
      <c r="T291" s="16" t="str">
        <f t="shared" si="25"/>
        <v>111801308020</v>
      </c>
      <c r="U291" s="16" t="s">
        <v>33</v>
      </c>
      <c r="V291">
        <v>1</v>
      </c>
      <c r="W291">
        <v>1</v>
      </c>
      <c r="X291" s="15">
        <f t="shared" si="26"/>
        <v>0</v>
      </c>
      <c r="Z291" t="str">
        <f t="shared" si="27"/>
        <v>INSERT INTO REPORTWARE.RWH_IFRS9_R04A0424 (FECHA, PERIODO,CONCEPTO, SUBREPORTE, MONEDA, TIPO_SALDO, DATO) VALUES ('2021-10-31','2021-10-31','111801308020','0424','1','1','0')</v>
      </c>
    </row>
    <row r="292" spans="19:26">
      <c r="S292" s="16" t="str">
        <f t="shared" si="24"/>
        <v>2021-10-31</v>
      </c>
      <c r="T292" s="16" t="str">
        <f t="shared" si="25"/>
        <v>111801308021</v>
      </c>
      <c r="U292" s="16" t="s">
        <v>33</v>
      </c>
      <c r="V292">
        <v>1</v>
      </c>
      <c r="W292">
        <v>1</v>
      </c>
      <c r="X292" s="15">
        <f t="shared" si="26"/>
        <v>0</v>
      </c>
      <c r="Z292" t="str">
        <f t="shared" si="27"/>
        <v>INSERT INTO REPORTWARE.RWH_IFRS9_R04A0424 (FECHA, PERIODO,CONCEPTO, SUBREPORTE, MONEDA, TIPO_SALDO, DATO) VALUES ('2021-10-31','2021-10-31','111801308021','0424','1','1','0')</v>
      </c>
    </row>
    <row r="293" spans="19:26">
      <c r="S293" s="16" t="str">
        <f t="shared" si="24"/>
        <v>2021-10-31</v>
      </c>
      <c r="T293" s="16" t="str">
        <f t="shared" si="25"/>
        <v>111801308022</v>
      </c>
      <c r="U293" s="16" t="s">
        <v>33</v>
      </c>
      <c r="V293">
        <v>1</v>
      </c>
      <c r="W293">
        <v>1</v>
      </c>
      <c r="X293" s="15">
        <f t="shared" si="26"/>
        <v>0</v>
      </c>
      <c r="Z293" t="str">
        <f t="shared" si="27"/>
        <v>INSERT INTO REPORTWARE.RWH_IFRS9_R04A0424 (FECHA, PERIODO,CONCEPTO, SUBREPORTE, MONEDA, TIPO_SALDO, DATO) VALUES ('2021-10-31','2021-10-31','111801308022','0424','1','1','0')</v>
      </c>
    </row>
    <row r="294" spans="19:26">
      <c r="S294" s="16" t="str">
        <f t="shared" si="24"/>
        <v>2021-10-31</v>
      </c>
      <c r="T294" s="16" t="str">
        <f t="shared" si="25"/>
        <v>111800307014</v>
      </c>
      <c r="U294" s="16" t="s">
        <v>33</v>
      </c>
      <c r="V294">
        <v>1</v>
      </c>
      <c r="W294">
        <v>1</v>
      </c>
      <c r="X294" s="15">
        <f t="shared" si="26"/>
        <v>0</v>
      </c>
      <c r="Z294" t="str">
        <f t="shared" si="27"/>
        <v>INSERT INTO REPORTWARE.RWH_IFRS9_R04A0424 (FECHA, PERIODO,CONCEPTO, SUBREPORTE, MONEDA, TIPO_SALDO, DATO) VALUES ('2021-10-31','2021-10-31','111800307014','0424','1','1','0')</v>
      </c>
    </row>
    <row r="295" spans="19:26">
      <c r="S295" s="16" t="str">
        <f t="shared" si="24"/>
        <v>2021-10-31</v>
      </c>
      <c r="T295" s="16" t="str">
        <f t="shared" si="25"/>
        <v>111801408023</v>
      </c>
      <c r="U295" s="16" t="s">
        <v>33</v>
      </c>
      <c r="V295">
        <v>1</v>
      </c>
      <c r="W295">
        <v>1</v>
      </c>
      <c r="X295" s="15">
        <f t="shared" si="26"/>
        <v>0</v>
      </c>
      <c r="Z295" t="str">
        <f t="shared" si="27"/>
        <v>INSERT INTO REPORTWARE.RWH_IFRS9_R04A0424 (FECHA, PERIODO,CONCEPTO, SUBREPORTE, MONEDA, TIPO_SALDO, DATO) VALUES ('2021-10-31','2021-10-31','111801408023','0424','1','1','0')</v>
      </c>
    </row>
    <row r="296" spans="19:26">
      <c r="S296" s="16" t="str">
        <f t="shared" si="24"/>
        <v>2021-10-31</v>
      </c>
      <c r="T296" s="16" t="str">
        <f t="shared" si="25"/>
        <v>111801408024</v>
      </c>
      <c r="U296" s="16" t="s">
        <v>33</v>
      </c>
      <c r="V296">
        <v>1</v>
      </c>
      <c r="W296">
        <v>1</v>
      </c>
      <c r="X296" s="15">
        <f t="shared" si="26"/>
        <v>0</v>
      </c>
      <c r="Z296" t="str">
        <f t="shared" si="27"/>
        <v>INSERT INTO REPORTWARE.RWH_IFRS9_R04A0424 (FECHA, PERIODO,CONCEPTO, SUBREPORTE, MONEDA, TIPO_SALDO, DATO) VALUES ('2021-10-31','2021-10-31','111801408024','0424','1','1','0')</v>
      </c>
    </row>
    <row r="297" spans="19:26">
      <c r="S297" s="16" t="str">
        <f t="shared" si="24"/>
        <v>2021-10-31</v>
      </c>
      <c r="T297" s="16" t="str">
        <f t="shared" si="25"/>
        <v>111801408025</v>
      </c>
      <c r="U297" s="16" t="s">
        <v>33</v>
      </c>
      <c r="V297">
        <v>1</v>
      </c>
      <c r="W297">
        <v>1</v>
      </c>
      <c r="X297" s="15">
        <f t="shared" si="26"/>
        <v>0</v>
      </c>
      <c r="Z297" t="str">
        <f t="shared" si="27"/>
        <v>INSERT INTO REPORTWARE.RWH_IFRS9_R04A0424 (FECHA, PERIODO,CONCEPTO, SUBREPORTE, MONEDA, TIPO_SALDO, DATO) VALUES ('2021-10-31','2021-10-31','111801408025','0424','1','1','0')</v>
      </c>
    </row>
    <row r="298" spans="19:26">
      <c r="S298" s="16" t="str">
        <f t="shared" si="24"/>
        <v>2021-10-31</v>
      </c>
      <c r="T298" s="16" t="str">
        <f t="shared" si="25"/>
        <v>111801408026</v>
      </c>
      <c r="U298" s="16" t="s">
        <v>33</v>
      </c>
      <c r="V298">
        <v>1</v>
      </c>
      <c r="W298">
        <v>1</v>
      </c>
      <c r="X298" s="15">
        <f t="shared" si="26"/>
        <v>0</v>
      </c>
      <c r="Z298" t="str">
        <f t="shared" si="27"/>
        <v>INSERT INTO REPORTWARE.RWH_IFRS9_R04A0424 (FECHA, PERIODO,CONCEPTO, SUBREPORTE, MONEDA, TIPO_SALDO, DATO) VALUES ('2021-10-31','2021-10-31','111801408026','0424','1','1','0')</v>
      </c>
    </row>
    <row r="299" spans="19:26">
      <c r="S299" s="16" t="str">
        <f t="shared" si="24"/>
        <v>2021-10-31</v>
      </c>
      <c r="T299" s="16" t="str">
        <f t="shared" si="25"/>
        <v>111800105002</v>
      </c>
      <c r="U299" s="16" t="s">
        <v>33</v>
      </c>
      <c r="V299">
        <v>1</v>
      </c>
      <c r="W299">
        <v>1</v>
      </c>
      <c r="X299" s="15">
        <f t="shared" si="26"/>
        <v>0</v>
      </c>
      <c r="Z299" t="str">
        <f t="shared" si="27"/>
        <v>INSERT INTO REPORTWARE.RWH_IFRS9_R04A0424 (FECHA, PERIODO,CONCEPTO, SUBREPORTE, MONEDA, TIPO_SALDO, DATO) VALUES ('2021-10-31','2021-10-31','111800105002','0424','1','1','0')</v>
      </c>
    </row>
    <row r="300" spans="19:26">
      <c r="S300" s="16" t="str">
        <f t="shared" si="24"/>
        <v>2021-10-31</v>
      </c>
      <c r="T300" s="16" t="str">
        <f t="shared" si="25"/>
        <v>111800206004</v>
      </c>
      <c r="U300" s="16" t="s">
        <v>33</v>
      </c>
      <c r="V300">
        <v>1</v>
      </c>
      <c r="W300">
        <v>1</v>
      </c>
      <c r="X300" s="15">
        <f t="shared" si="26"/>
        <v>0</v>
      </c>
      <c r="Z300" t="str">
        <f t="shared" si="27"/>
        <v>INSERT INTO REPORTWARE.RWH_IFRS9_R04A0424 (FECHA, PERIODO,CONCEPTO, SUBREPORTE, MONEDA, TIPO_SALDO, DATO) VALUES ('2021-10-31','2021-10-31','111800206004','0424','1','1','0')</v>
      </c>
    </row>
    <row r="301" spans="19:26">
      <c r="S301" s="16" t="str">
        <f t="shared" si="24"/>
        <v>2021-10-31</v>
      </c>
      <c r="T301" s="16" t="str">
        <f t="shared" si="25"/>
        <v>111800206005</v>
      </c>
      <c r="U301" s="16" t="s">
        <v>33</v>
      </c>
      <c r="V301">
        <v>1</v>
      </c>
      <c r="W301">
        <v>1</v>
      </c>
      <c r="X301" s="15">
        <f t="shared" si="26"/>
        <v>0</v>
      </c>
      <c r="Z301" t="str">
        <f t="shared" si="27"/>
        <v>INSERT INTO REPORTWARE.RWH_IFRS9_R04A0424 (FECHA, PERIODO,CONCEPTO, SUBREPORTE, MONEDA, TIPO_SALDO, DATO) VALUES ('2021-10-31','2021-10-31','111800206005','0424','1','1','0')</v>
      </c>
    </row>
    <row r="302" spans="19:26">
      <c r="S302" s="16" t="str">
        <f t="shared" si="24"/>
        <v>2021-10-31</v>
      </c>
      <c r="T302" s="16" t="str">
        <f t="shared" si="25"/>
        <v>111800206006</v>
      </c>
      <c r="U302" s="16" t="s">
        <v>33</v>
      </c>
      <c r="V302">
        <v>1</v>
      </c>
      <c r="W302">
        <v>1</v>
      </c>
      <c r="X302" s="15">
        <f t="shared" si="26"/>
        <v>0</v>
      </c>
      <c r="Z302" t="str">
        <f t="shared" si="27"/>
        <v>INSERT INTO REPORTWARE.RWH_IFRS9_R04A0424 (FECHA, PERIODO,CONCEPTO, SUBREPORTE, MONEDA, TIPO_SALDO, DATO) VALUES ('2021-10-31','2021-10-31','111800206006','0424','1','1','0')</v>
      </c>
    </row>
    <row r="303" spans="19:26">
      <c r="S303" s="16" t="str">
        <f t="shared" si="24"/>
        <v>2021-10-31</v>
      </c>
      <c r="T303" s="16" t="str">
        <f t="shared" si="25"/>
        <v>111800206007</v>
      </c>
      <c r="U303" s="16" t="s">
        <v>33</v>
      </c>
      <c r="V303">
        <v>1</v>
      </c>
      <c r="W303">
        <v>1</v>
      </c>
      <c r="X303" s="15">
        <f t="shared" si="26"/>
        <v>0</v>
      </c>
      <c r="Z303" t="str">
        <f t="shared" si="27"/>
        <v>INSERT INTO REPORTWARE.RWH_IFRS9_R04A0424 (FECHA, PERIODO,CONCEPTO, SUBREPORTE, MONEDA, TIPO_SALDO, DATO) VALUES ('2021-10-31','2021-10-31','111800206007','0424','1','1','0')</v>
      </c>
    </row>
    <row r="304" spans="19:26">
      <c r="S304" s="16" t="str">
        <f t="shared" si="24"/>
        <v>2021-10-31</v>
      </c>
      <c r="T304" s="16" t="str">
        <f t="shared" si="25"/>
        <v>111800206008</v>
      </c>
      <c r="U304" s="16" t="s">
        <v>33</v>
      </c>
      <c r="V304">
        <v>1</v>
      </c>
      <c r="W304">
        <v>1</v>
      </c>
      <c r="X304" s="15">
        <f t="shared" si="26"/>
        <v>0</v>
      </c>
      <c r="Z304" t="str">
        <f t="shared" si="27"/>
        <v>INSERT INTO REPORTWARE.RWH_IFRS9_R04A0424 (FECHA, PERIODO,CONCEPTO, SUBREPORTE, MONEDA, TIPO_SALDO, DATO) VALUES ('2021-10-31','2021-10-31','111800206008','0424','1','1','0')</v>
      </c>
    </row>
    <row r="305" spans="19:26">
      <c r="S305" s="16" t="str">
        <f t="shared" si="24"/>
        <v>2021-10-31</v>
      </c>
      <c r="T305" s="16" t="str">
        <f t="shared" si="25"/>
        <v>111800206009</v>
      </c>
      <c r="U305" s="16" t="s">
        <v>33</v>
      </c>
      <c r="V305">
        <v>1</v>
      </c>
      <c r="W305">
        <v>1</v>
      </c>
      <c r="X305" s="15">
        <f t="shared" si="26"/>
        <v>0</v>
      </c>
      <c r="Z305" t="str">
        <f t="shared" si="27"/>
        <v>INSERT INTO REPORTWARE.RWH_IFRS9_R04A0424 (FECHA, PERIODO,CONCEPTO, SUBREPORTE, MONEDA, TIPO_SALDO, DATO) VALUES ('2021-10-31','2021-10-31','111800206009','0424','1','1','0')</v>
      </c>
    </row>
    <row r="306" spans="19:26">
      <c r="S306" s="16" t="str">
        <f t="shared" si="24"/>
        <v>2021-10-31</v>
      </c>
      <c r="T306" s="16" t="str">
        <f t="shared" si="25"/>
        <v>111800206010</v>
      </c>
      <c r="U306" s="16" t="s">
        <v>33</v>
      </c>
      <c r="V306">
        <v>1</v>
      </c>
      <c r="W306">
        <v>1</v>
      </c>
      <c r="X306" s="15">
        <f t="shared" si="26"/>
        <v>0</v>
      </c>
      <c r="Z306" t="str">
        <f t="shared" si="27"/>
        <v>INSERT INTO REPORTWARE.RWH_IFRS9_R04A0424 (FECHA, PERIODO,CONCEPTO, SUBREPORTE, MONEDA, TIPO_SALDO, DATO) VALUES ('2021-10-31','2021-10-31','111800206010','0424','1','1','0')</v>
      </c>
    </row>
    <row r="307" spans="19:26">
      <c r="S307" s="16" t="str">
        <f t="shared" si="24"/>
        <v>2021-10-31</v>
      </c>
      <c r="T307" s="16" t="str">
        <f t="shared" si="25"/>
        <v>111800206011</v>
      </c>
      <c r="U307" s="16" t="s">
        <v>33</v>
      </c>
      <c r="V307">
        <v>1</v>
      </c>
      <c r="W307">
        <v>1</v>
      </c>
      <c r="X307" s="15">
        <f t="shared" si="26"/>
        <v>0</v>
      </c>
      <c r="Z307" t="str">
        <f t="shared" si="27"/>
        <v>INSERT INTO REPORTWARE.RWH_IFRS9_R04A0424 (FECHA, PERIODO,CONCEPTO, SUBREPORTE, MONEDA, TIPO_SALDO, DATO) VALUES ('2021-10-31','2021-10-31','111800206011','0424','1','1','0')</v>
      </c>
    </row>
    <row r="308" spans="19:26">
      <c r="S308" s="16" t="str">
        <f t="shared" si="24"/>
        <v>2021-10-31</v>
      </c>
      <c r="T308" s="16" t="str">
        <f t="shared" si="25"/>
        <v>111800105003</v>
      </c>
      <c r="U308" s="16" t="s">
        <v>33</v>
      </c>
      <c r="V308">
        <v>1</v>
      </c>
      <c r="W308">
        <v>1</v>
      </c>
      <c r="X308" s="15">
        <f t="shared" si="26"/>
        <v>0</v>
      </c>
      <c r="Z308" t="str">
        <f t="shared" si="27"/>
        <v>INSERT INTO REPORTWARE.RWH_IFRS9_R04A0424 (FECHA, PERIODO,CONCEPTO, SUBREPORTE, MONEDA, TIPO_SALDO, DATO) VALUES ('2021-10-31','2021-10-31','111800105003','0424','1','1','0')</v>
      </c>
    </row>
    <row r="309" spans="19:26">
      <c r="S309" s="16" t="str">
        <f t="shared" si="24"/>
        <v>2021-10-31</v>
      </c>
      <c r="T309" s="16" t="str">
        <f t="shared" si="25"/>
        <v>111800306012</v>
      </c>
      <c r="U309" s="16" t="s">
        <v>33</v>
      </c>
      <c r="V309">
        <v>1</v>
      </c>
      <c r="W309">
        <v>1</v>
      </c>
      <c r="X309" s="15">
        <f t="shared" si="26"/>
        <v>0</v>
      </c>
      <c r="Z309" t="str">
        <f t="shared" si="27"/>
        <v>INSERT INTO REPORTWARE.RWH_IFRS9_R04A0424 (FECHA, PERIODO,CONCEPTO, SUBREPORTE, MONEDA, TIPO_SALDO, DATO) VALUES ('2021-10-31','2021-10-31','111800306012','0424','1','1','0')</v>
      </c>
    </row>
    <row r="310" spans="19:26">
      <c r="S310" s="16" t="str">
        <f t="shared" si="24"/>
        <v>2021-10-31</v>
      </c>
      <c r="T310" s="16" t="str">
        <f t="shared" si="25"/>
        <v>111800306013</v>
      </c>
      <c r="U310" s="16" t="s">
        <v>33</v>
      </c>
      <c r="V310">
        <v>1</v>
      </c>
      <c r="W310">
        <v>1</v>
      </c>
      <c r="X310" s="15">
        <f t="shared" si="26"/>
        <v>0</v>
      </c>
      <c r="Z310" t="str">
        <f t="shared" si="27"/>
        <v>INSERT INTO REPORTWARE.RWH_IFRS9_R04A0424 (FECHA, PERIODO,CONCEPTO, SUBREPORTE, MONEDA, TIPO_SALDO, DATO) VALUES ('2021-10-31','2021-10-31','111800306013','0424','1','1','0')</v>
      </c>
    </row>
    <row r="311" spans="19:26">
      <c r="S311" s="16" t="str">
        <f t="shared" si="24"/>
        <v>2021-10-31</v>
      </c>
      <c r="T311" s="16" t="str">
        <f t="shared" si="25"/>
        <v>111800306014</v>
      </c>
      <c r="U311" s="16" t="s">
        <v>33</v>
      </c>
      <c r="V311">
        <v>1</v>
      </c>
      <c r="W311">
        <v>1</v>
      </c>
      <c r="X311" s="15">
        <f t="shared" si="26"/>
        <v>0</v>
      </c>
      <c r="Z311" t="str">
        <f t="shared" si="27"/>
        <v>INSERT INTO REPORTWARE.RWH_IFRS9_R04A0424 (FECHA, PERIODO,CONCEPTO, SUBREPORTE, MONEDA, TIPO_SALDO, DATO) VALUES ('2021-10-31','2021-10-31','111800306014','0424','1','1','0')</v>
      </c>
    </row>
    <row r="312" spans="19:26">
      <c r="S312" s="16" t="str">
        <f t="shared" si="24"/>
        <v>2021-10-31</v>
      </c>
      <c r="T312" s="16" t="str">
        <f t="shared" si="25"/>
        <v>111801407015</v>
      </c>
      <c r="U312" s="16" t="s">
        <v>33</v>
      </c>
      <c r="V312">
        <v>1</v>
      </c>
      <c r="W312">
        <v>1</v>
      </c>
      <c r="X312" s="15">
        <f t="shared" si="26"/>
        <v>0</v>
      </c>
      <c r="Z312" t="str">
        <f t="shared" si="27"/>
        <v>INSERT INTO REPORTWARE.RWH_IFRS9_R04A0424 (FECHA, PERIODO,CONCEPTO, SUBREPORTE, MONEDA, TIPO_SALDO, DATO) VALUES ('2021-10-31','2021-10-31','111801407015','0424','1','1','0')</v>
      </c>
    </row>
    <row r="313" spans="19:26">
      <c r="S313" s="16" t="str">
        <f t="shared" si="24"/>
        <v>2021-10-31</v>
      </c>
      <c r="T313" s="16" t="str">
        <f t="shared" si="25"/>
        <v>111801407016</v>
      </c>
      <c r="U313" s="16" t="s">
        <v>33</v>
      </c>
      <c r="V313">
        <v>1</v>
      </c>
      <c r="W313">
        <v>1</v>
      </c>
      <c r="X313" s="15">
        <f t="shared" si="26"/>
        <v>0</v>
      </c>
      <c r="Z313" t="str">
        <f t="shared" si="27"/>
        <v>INSERT INTO REPORTWARE.RWH_IFRS9_R04A0424 (FECHA, PERIODO,CONCEPTO, SUBREPORTE, MONEDA, TIPO_SALDO, DATO) VALUES ('2021-10-31','2021-10-31','111801407016','0424','1','1','0')</v>
      </c>
    </row>
    <row r="314" spans="19:26">
      <c r="S314" s="16" t="str">
        <f t="shared" si="24"/>
        <v>2021-10-31</v>
      </c>
      <c r="T314" s="16" t="str">
        <f t="shared" si="25"/>
        <v>111801407017</v>
      </c>
      <c r="U314" s="16" t="s">
        <v>33</v>
      </c>
      <c r="V314">
        <v>1</v>
      </c>
      <c r="W314">
        <v>1</v>
      </c>
      <c r="X314" s="15">
        <f t="shared" si="26"/>
        <v>0</v>
      </c>
      <c r="Z314" t="str">
        <f t="shared" si="27"/>
        <v>INSERT INTO REPORTWARE.RWH_IFRS9_R04A0424 (FECHA, PERIODO,CONCEPTO, SUBREPORTE, MONEDA, TIPO_SALDO, DATO) VALUES ('2021-10-31','2021-10-31','111801407017','0424','1','1','0')</v>
      </c>
    </row>
    <row r="315" spans="19:26">
      <c r="S315" s="16" t="str">
        <f t="shared" si="24"/>
        <v>2021-10-31</v>
      </c>
      <c r="T315" s="16" t="str">
        <f t="shared" si="25"/>
        <v>111800306015</v>
      </c>
      <c r="U315" s="16" t="s">
        <v>33</v>
      </c>
      <c r="V315">
        <v>1</v>
      </c>
      <c r="W315">
        <v>1</v>
      </c>
      <c r="X315" s="15">
        <f t="shared" si="26"/>
        <v>0</v>
      </c>
      <c r="Z315" t="str">
        <f t="shared" si="27"/>
        <v>INSERT INTO REPORTWARE.RWH_IFRS9_R04A0424 (FECHA, PERIODO,CONCEPTO, SUBREPORTE, MONEDA, TIPO_SALDO, DATO) VALUES ('2021-10-31','2021-10-31','111800306015','0424','1','1','0')</v>
      </c>
    </row>
    <row r="316" spans="19:26">
      <c r="S316" s="16" t="str">
        <f t="shared" si="24"/>
        <v>2021-10-31</v>
      </c>
      <c r="T316" s="16" t="str">
        <f t="shared" si="25"/>
        <v>111800306016</v>
      </c>
      <c r="U316" s="16" t="s">
        <v>33</v>
      </c>
      <c r="V316">
        <v>1</v>
      </c>
      <c r="W316">
        <v>1</v>
      </c>
      <c r="X316" s="15">
        <f t="shared" si="26"/>
        <v>0</v>
      </c>
      <c r="Z316" t="str">
        <f t="shared" si="27"/>
        <v>INSERT INTO REPORTWARE.RWH_IFRS9_R04A0424 (FECHA, PERIODO,CONCEPTO, SUBREPORTE, MONEDA, TIPO_SALDO, DATO) VALUES ('2021-10-31','2021-10-31','111800306016','0424','1','1','0')</v>
      </c>
    </row>
    <row r="317" spans="19:26">
      <c r="S317" s="16" t="str">
        <f t="shared" si="24"/>
        <v>2021-10-31</v>
      </c>
      <c r="T317" s="16" t="str">
        <f t="shared" si="25"/>
        <v>101800104002</v>
      </c>
      <c r="U317" s="16" t="s">
        <v>33</v>
      </c>
      <c r="V317">
        <v>1</v>
      </c>
      <c r="W317">
        <v>1</v>
      </c>
      <c r="X317" s="15">
        <f t="shared" si="26"/>
        <v>0</v>
      </c>
      <c r="Z317" t="str">
        <f t="shared" si="27"/>
        <v>INSERT INTO REPORTWARE.RWH_IFRS9_R04A0424 (FECHA, PERIODO,CONCEPTO, SUBREPORTE, MONEDA, TIPO_SALDO, DATO) VALUES ('2021-10-31','2021-10-31','101800104002','0424','1','1','0')</v>
      </c>
    </row>
    <row r="318" spans="19:26">
      <c r="S318" s="16" t="str">
        <f t="shared" si="24"/>
        <v>2021-10-31</v>
      </c>
      <c r="T318" s="16" t="str">
        <f t="shared" si="25"/>
        <v>111800205005</v>
      </c>
      <c r="U318" s="16" t="s">
        <v>33</v>
      </c>
      <c r="V318">
        <v>1</v>
      </c>
      <c r="W318">
        <v>1</v>
      </c>
      <c r="X318" s="15">
        <f t="shared" si="26"/>
        <v>0</v>
      </c>
      <c r="Z318" t="str">
        <f t="shared" si="27"/>
        <v>INSERT INTO REPORTWARE.RWH_IFRS9_R04A0424 (FECHA, PERIODO,CONCEPTO, SUBREPORTE, MONEDA, TIPO_SALDO, DATO) VALUES ('2021-10-31','2021-10-31','111800205005','0424','1','1','0')</v>
      </c>
    </row>
    <row r="319" spans="19:26">
      <c r="S319" s="16" t="str">
        <f t="shared" ref="S319:S378" si="28">$Q$4</f>
        <v>2021-10-31</v>
      </c>
      <c r="T319" s="16" t="str">
        <f t="shared" ref="T319:T378" si="29">A69</f>
        <v>111800506017</v>
      </c>
      <c r="U319" s="16" t="s">
        <v>33</v>
      </c>
      <c r="V319">
        <v>1</v>
      </c>
      <c r="W319">
        <v>1</v>
      </c>
      <c r="X319" s="15">
        <f t="shared" ref="X319:X378" si="30">N69</f>
        <v>0</v>
      </c>
      <c r="Z319" t="str">
        <f t="shared" si="27"/>
        <v>INSERT INTO REPORTWARE.RWH_IFRS9_R04A0424 (FECHA, PERIODO,CONCEPTO, SUBREPORTE, MONEDA, TIPO_SALDO, DATO) VALUES ('2021-10-31','2021-10-31','111800506017','0424','1','1','0')</v>
      </c>
    </row>
    <row r="320" spans="19:26">
      <c r="S320" s="16" t="str">
        <f t="shared" si="28"/>
        <v>2021-10-31</v>
      </c>
      <c r="T320" s="16" t="str">
        <f t="shared" si="29"/>
        <v>111801707018</v>
      </c>
      <c r="U320" s="16" t="s">
        <v>33</v>
      </c>
      <c r="V320">
        <v>1</v>
      </c>
      <c r="W320">
        <v>1</v>
      </c>
      <c r="X320" s="15">
        <f t="shared" si="30"/>
        <v>0</v>
      </c>
      <c r="Z320" t="str">
        <f t="shared" si="27"/>
        <v>INSERT INTO REPORTWARE.RWH_IFRS9_R04A0424 (FECHA, PERIODO,CONCEPTO, SUBREPORTE, MONEDA, TIPO_SALDO, DATO) VALUES ('2021-10-31','2021-10-31','111801707018','0424','1','1','0')</v>
      </c>
    </row>
    <row r="321" spans="19:26">
      <c r="S321" s="16" t="str">
        <f t="shared" si="28"/>
        <v>2021-10-31</v>
      </c>
      <c r="T321" s="16" t="str">
        <f t="shared" si="29"/>
        <v>111801808027</v>
      </c>
      <c r="U321" s="16" t="s">
        <v>33</v>
      </c>
      <c r="V321">
        <v>1</v>
      </c>
      <c r="W321">
        <v>1</v>
      </c>
      <c r="X321" s="15">
        <f t="shared" si="30"/>
        <v>0</v>
      </c>
      <c r="Z321" t="str">
        <f t="shared" si="27"/>
        <v>INSERT INTO REPORTWARE.RWH_IFRS9_R04A0424 (FECHA, PERIODO,CONCEPTO, SUBREPORTE, MONEDA, TIPO_SALDO, DATO) VALUES ('2021-10-31','2021-10-31','111801808027','0424','1','1','0')</v>
      </c>
    </row>
    <row r="322" spans="19:26">
      <c r="S322" s="16" t="str">
        <f t="shared" si="28"/>
        <v>2021-10-31</v>
      </c>
      <c r="T322" s="16" t="str">
        <f t="shared" si="29"/>
        <v>111801808028</v>
      </c>
      <c r="U322" s="16" t="s">
        <v>33</v>
      </c>
      <c r="V322">
        <v>1</v>
      </c>
      <c r="W322">
        <v>1</v>
      </c>
      <c r="X322" s="15">
        <f t="shared" si="30"/>
        <v>0</v>
      </c>
      <c r="Z322" t="str">
        <f t="shared" si="27"/>
        <v>INSERT INTO REPORTWARE.RWH_IFRS9_R04A0424 (FECHA, PERIODO,CONCEPTO, SUBREPORTE, MONEDA, TIPO_SALDO, DATO) VALUES ('2021-10-31','2021-10-31','111801808028','0424','1','1','0')</v>
      </c>
    </row>
    <row r="323" spans="19:26">
      <c r="S323" s="16" t="str">
        <f t="shared" si="28"/>
        <v>2021-10-31</v>
      </c>
      <c r="T323" s="16" t="str">
        <f t="shared" si="29"/>
        <v>111801707019</v>
      </c>
      <c r="U323" s="16" t="s">
        <v>33</v>
      </c>
      <c r="V323">
        <v>1</v>
      </c>
      <c r="W323">
        <v>1</v>
      </c>
      <c r="X323" s="15">
        <f t="shared" si="30"/>
        <v>0</v>
      </c>
      <c r="Z323" t="str">
        <f t="shared" si="27"/>
        <v>INSERT INTO REPORTWARE.RWH_IFRS9_R04A0424 (FECHA, PERIODO,CONCEPTO, SUBREPORTE, MONEDA, TIPO_SALDO, DATO) VALUES ('2021-10-31','2021-10-31','111801707019','0424','1','1','0')</v>
      </c>
    </row>
    <row r="324" spans="19:26">
      <c r="S324" s="16" t="str">
        <f t="shared" si="28"/>
        <v>2021-10-31</v>
      </c>
      <c r="T324" s="16" t="str">
        <f t="shared" si="29"/>
        <v>111801908029</v>
      </c>
      <c r="U324" s="16" t="s">
        <v>33</v>
      </c>
      <c r="V324">
        <v>1</v>
      </c>
      <c r="W324">
        <v>1</v>
      </c>
      <c r="X324" s="15">
        <f t="shared" si="30"/>
        <v>0</v>
      </c>
      <c r="Z324" t="str">
        <f t="shared" si="27"/>
        <v>INSERT INTO REPORTWARE.RWH_IFRS9_R04A0424 (FECHA, PERIODO,CONCEPTO, SUBREPORTE, MONEDA, TIPO_SALDO, DATO) VALUES ('2021-10-31','2021-10-31','111801908029','0424','1','1','0')</v>
      </c>
    </row>
    <row r="325" spans="19:26">
      <c r="S325" s="16" t="str">
        <f t="shared" si="28"/>
        <v>2021-10-31</v>
      </c>
      <c r="T325" s="16" t="str">
        <f t="shared" si="29"/>
        <v>111801908030</v>
      </c>
      <c r="U325" s="16" t="s">
        <v>33</v>
      </c>
      <c r="V325">
        <v>1</v>
      </c>
      <c r="W325">
        <v>1</v>
      </c>
      <c r="X325" s="15">
        <f t="shared" si="30"/>
        <v>0</v>
      </c>
      <c r="Z325" t="str">
        <f t="shared" ref="Z325:Z388" si="31">"INSERT INTO REPORTWARE.RWH_IFRS9_R04A0424 (FECHA, PERIODO,CONCEPTO, SUBREPORTE, MONEDA, TIPO_SALDO, DATO) VALUES ('"&amp;S325&amp;"','"&amp;S325&amp;"','"&amp;T325&amp;"','"&amp;U325&amp;"','"&amp;V325&amp;"','"&amp;W325&amp;"','"&amp;X325&amp;"')"</f>
        <v>INSERT INTO REPORTWARE.RWH_IFRS9_R04A0424 (FECHA, PERIODO,CONCEPTO, SUBREPORTE, MONEDA, TIPO_SALDO, DATO) VALUES ('2021-10-31','2021-10-31','111801908030','0424','1','1','0')</v>
      </c>
    </row>
    <row r="326" spans="19:26">
      <c r="S326" s="16" t="str">
        <f t="shared" si="28"/>
        <v>2021-10-31</v>
      </c>
      <c r="T326" s="16" t="str">
        <f t="shared" si="29"/>
        <v>111801908031</v>
      </c>
      <c r="U326" s="16" t="s">
        <v>33</v>
      </c>
      <c r="V326">
        <v>1</v>
      </c>
      <c r="W326">
        <v>1</v>
      </c>
      <c r="X326" s="15">
        <f t="shared" si="30"/>
        <v>0</v>
      </c>
      <c r="Z326" t="str">
        <f t="shared" si="31"/>
        <v>INSERT INTO REPORTWARE.RWH_IFRS9_R04A0424 (FECHA, PERIODO,CONCEPTO, SUBREPORTE, MONEDA, TIPO_SALDO, DATO) VALUES ('2021-10-31','2021-10-31','111801908031','0424','1','1','0')</v>
      </c>
    </row>
    <row r="327" spans="19:26">
      <c r="S327" s="16" t="str">
        <f t="shared" si="28"/>
        <v>2021-10-31</v>
      </c>
      <c r="T327" s="16" t="str">
        <f t="shared" si="29"/>
        <v>111801707020</v>
      </c>
      <c r="U327" s="16" t="s">
        <v>33</v>
      </c>
      <c r="V327">
        <v>1</v>
      </c>
      <c r="W327">
        <v>1</v>
      </c>
      <c r="X327" s="15">
        <f t="shared" si="30"/>
        <v>0</v>
      </c>
      <c r="Z327" t="str">
        <f t="shared" si="31"/>
        <v>INSERT INTO REPORTWARE.RWH_IFRS9_R04A0424 (FECHA, PERIODO,CONCEPTO, SUBREPORTE, MONEDA, TIPO_SALDO, DATO) VALUES ('2021-10-31','2021-10-31','111801707020','0424','1','1','0')</v>
      </c>
    </row>
    <row r="328" spans="19:26">
      <c r="S328" s="16" t="str">
        <f t="shared" si="28"/>
        <v>2021-10-31</v>
      </c>
      <c r="T328" s="16" t="str">
        <f t="shared" si="29"/>
        <v>111802008032</v>
      </c>
      <c r="U328" s="16" t="s">
        <v>33</v>
      </c>
      <c r="V328">
        <v>1</v>
      </c>
      <c r="W328">
        <v>1</v>
      </c>
      <c r="X328" s="15">
        <f t="shared" si="30"/>
        <v>0</v>
      </c>
      <c r="Z328" t="str">
        <f t="shared" si="31"/>
        <v>INSERT INTO REPORTWARE.RWH_IFRS9_R04A0424 (FECHA, PERIODO,CONCEPTO, SUBREPORTE, MONEDA, TIPO_SALDO, DATO) VALUES ('2021-10-31','2021-10-31','111802008032','0424','1','1','0')</v>
      </c>
    </row>
    <row r="329" spans="19:26">
      <c r="S329" s="16" t="str">
        <f t="shared" si="28"/>
        <v>2021-10-31</v>
      </c>
      <c r="T329" s="16" t="str">
        <f t="shared" si="29"/>
        <v>111802008033</v>
      </c>
      <c r="U329" s="16" t="s">
        <v>33</v>
      </c>
      <c r="V329">
        <v>1</v>
      </c>
      <c r="W329">
        <v>1</v>
      </c>
      <c r="X329" s="15">
        <f t="shared" si="30"/>
        <v>0</v>
      </c>
      <c r="Z329" t="str">
        <f t="shared" si="31"/>
        <v>INSERT INTO REPORTWARE.RWH_IFRS9_R04A0424 (FECHA, PERIODO,CONCEPTO, SUBREPORTE, MONEDA, TIPO_SALDO, DATO) VALUES ('2021-10-31','2021-10-31','111802008033','0424','1','1','0')</v>
      </c>
    </row>
    <row r="330" spans="19:26">
      <c r="S330" s="16" t="str">
        <f t="shared" si="28"/>
        <v>2021-10-31</v>
      </c>
      <c r="T330" s="16" t="str">
        <f t="shared" si="29"/>
        <v>111801707021</v>
      </c>
      <c r="U330" s="16" t="s">
        <v>33</v>
      </c>
      <c r="V330">
        <v>1</v>
      </c>
      <c r="W330">
        <v>1</v>
      </c>
      <c r="X330" s="15">
        <f t="shared" si="30"/>
        <v>0</v>
      </c>
      <c r="Z330" t="str">
        <f t="shared" si="31"/>
        <v>INSERT INTO REPORTWARE.RWH_IFRS9_R04A0424 (FECHA, PERIODO,CONCEPTO, SUBREPORTE, MONEDA, TIPO_SALDO, DATO) VALUES ('2021-10-31','2021-10-31','111801707021','0424','1','1','0')</v>
      </c>
    </row>
    <row r="331" spans="19:26">
      <c r="S331" s="16" t="str">
        <f t="shared" si="28"/>
        <v>2021-10-31</v>
      </c>
      <c r="T331" s="16" t="str">
        <f t="shared" si="29"/>
        <v>111801707022</v>
      </c>
      <c r="U331" s="16" t="s">
        <v>33</v>
      </c>
      <c r="V331">
        <v>1</v>
      </c>
      <c r="W331">
        <v>1</v>
      </c>
      <c r="X331" s="15">
        <f t="shared" si="30"/>
        <v>0</v>
      </c>
      <c r="Z331" t="str">
        <f t="shared" si="31"/>
        <v>INSERT INTO REPORTWARE.RWH_IFRS9_R04A0424 (FECHA, PERIODO,CONCEPTO, SUBREPORTE, MONEDA, TIPO_SALDO, DATO) VALUES ('2021-10-31','2021-10-31','111801707022','0424','1','1','0')</v>
      </c>
    </row>
    <row r="332" spans="19:26">
      <c r="S332" s="16" t="str">
        <f t="shared" si="28"/>
        <v>2021-10-31</v>
      </c>
      <c r="T332" s="16" t="str">
        <f t="shared" si="29"/>
        <v>111801707023</v>
      </c>
      <c r="U332" s="16" t="s">
        <v>33</v>
      </c>
      <c r="V332">
        <v>1</v>
      </c>
      <c r="W332">
        <v>1</v>
      </c>
      <c r="X332" s="15">
        <f t="shared" si="30"/>
        <v>0</v>
      </c>
      <c r="Z332" t="str">
        <f t="shared" si="31"/>
        <v>INSERT INTO REPORTWARE.RWH_IFRS9_R04A0424 (FECHA, PERIODO,CONCEPTO, SUBREPORTE, MONEDA, TIPO_SALDO, DATO) VALUES ('2021-10-31','2021-10-31','111801707023','0424','1','1','0')</v>
      </c>
    </row>
    <row r="333" spans="19:26">
      <c r="S333" s="16" t="str">
        <f t="shared" si="28"/>
        <v>2021-10-31</v>
      </c>
      <c r="T333" s="16" t="str">
        <f t="shared" si="29"/>
        <v>111801707024</v>
      </c>
      <c r="U333" s="16" t="s">
        <v>33</v>
      </c>
      <c r="V333">
        <v>1</v>
      </c>
      <c r="W333">
        <v>1</v>
      </c>
      <c r="X333" s="15">
        <f t="shared" si="30"/>
        <v>0</v>
      </c>
      <c r="Z333" t="str">
        <f t="shared" si="31"/>
        <v>INSERT INTO REPORTWARE.RWH_IFRS9_R04A0424 (FECHA, PERIODO,CONCEPTO, SUBREPORTE, MONEDA, TIPO_SALDO, DATO) VALUES ('2021-10-31','2021-10-31','111801707024','0424','1','1','0')</v>
      </c>
    </row>
    <row r="334" spans="19:26">
      <c r="S334" s="16" t="str">
        <f t="shared" si="28"/>
        <v>2021-10-31</v>
      </c>
      <c r="T334" s="16" t="str">
        <f t="shared" si="29"/>
        <v>111801707025</v>
      </c>
      <c r="U334" s="16" t="s">
        <v>33</v>
      </c>
      <c r="V334">
        <v>1</v>
      </c>
      <c r="W334">
        <v>1</v>
      </c>
      <c r="X334" s="15">
        <f t="shared" si="30"/>
        <v>0</v>
      </c>
      <c r="Z334" t="str">
        <f t="shared" si="31"/>
        <v>INSERT INTO REPORTWARE.RWH_IFRS9_R04A0424 (FECHA, PERIODO,CONCEPTO, SUBREPORTE, MONEDA, TIPO_SALDO, DATO) VALUES ('2021-10-31','2021-10-31','111801707025','0424','1','1','0')</v>
      </c>
    </row>
    <row r="335" spans="19:26">
      <c r="S335" s="16" t="str">
        <f t="shared" si="28"/>
        <v>2021-10-31</v>
      </c>
      <c r="T335" s="16" t="str">
        <f t="shared" si="29"/>
        <v>111800506018</v>
      </c>
      <c r="U335" s="16" t="s">
        <v>33</v>
      </c>
      <c r="V335">
        <v>1</v>
      </c>
      <c r="W335">
        <v>1</v>
      </c>
      <c r="X335" s="15">
        <f t="shared" si="30"/>
        <v>0</v>
      </c>
      <c r="Z335" t="str">
        <f t="shared" si="31"/>
        <v>INSERT INTO REPORTWARE.RWH_IFRS9_R04A0424 (FECHA, PERIODO,CONCEPTO, SUBREPORTE, MONEDA, TIPO_SALDO, DATO) VALUES ('2021-10-31','2021-10-31','111800506018','0424','1','1','0')</v>
      </c>
    </row>
    <row r="336" spans="19:26">
      <c r="S336" s="16" t="str">
        <f t="shared" si="28"/>
        <v>2021-10-31</v>
      </c>
      <c r="T336" s="16" t="str">
        <f t="shared" si="29"/>
        <v>111801807026</v>
      </c>
      <c r="U336" s="16" t="s">
        <v>33</v>
      </c>
      <c r="V336">
        <v>1</v>
      </c>
      <c r="W336">
        <v>1</v>
      </c>
      <c r="X336" s="15">
        <f t="shared" si="30"/>
        <v>0</v>
      </c>
      <c r="Z336" t="str">
        <f t="shared" si="31"/>
        <v>INSERT INTO REPORTWARE.RWH_IFRS9_R04A0424 (FECHA, PERIODO,CONCEPTO, SUBREPORTE, MONEDA, TIPO_SALDO, DATO) VALUES ('2021-10-31','2021-10-31','111801807026','0424','1','1','0')</v>
      </c>
    </row>
    <row r="337" spans="19:26">
      <c r="S337" s="16" t="str">
        <f t="shared" si="28"/>
        <v>2021-10-31</v>
      </c>
      <c r="T337" s="16" t="str">
        <f t="shared" si="29"/>
        <v>111802608034</v>
      </c>
      <c r="U337" s="16" t="s">
        <v>33</v>
      </c>
      <c r="V337">
        <v>1</v>
      </c>
      <c r="W337">
        <v>1</v>
      </c>
      <c r="X337" s="15">
        <f t="shared" si="30"/>
        <v>0</v>
      </c>
      <c r="Z337" t="str">
        <f t="shared" si="31"/>
        <v>INSERT INTO REPORTWARE.RWH_IFRS9_R04A0424 (FECHA, PERIODO,CONCEPTO, SUBREPORTE, MONEDA, TIPO_SALDO, DATO) VALUES ('2021-10-31','2021-10-31','111802608034','0424','1','1','0')</v>
      </c>
    </row>
    <row r="338" spans="19:26">
      <c r="S338" s="16" t="str">
        <f t="shared" si="28"/>
        <v>2021-10-31</v>
      </c>
      <c r="T338" s="16" t="str">
        <f t="shared" si="29"/>
        <v>111802608035</v>
      </c>
      <c r="U338" s="16" t="s">
        <v>33</v>
      </c>
      <c r="V338">
        <v>1</v>
      </c>
      <c r="W338">
        <v>1</v>
      </c>
      <c r="X338" s="15">
        <f t="shared" si="30"/>
        <v>0</v>
      </c>
      <c r="Z338" t="str">
        <f t="shared" si="31"/>
        <v>INSERT INTO REPORTWARE.RWH_IFRS9_R04A0424 (FECHA, PERIODO,CONCEPTO, SUBREPORTE, MONEDA, TIPO_SALDO, DATO) VALUES ('2021-10-31','2021-10-31','111802608035','0424','1','1','0')</v>
      </c>
    </row>
    <row r="339" spans="19:26">
      <c r="S339" s="16" t="str">
        <f t="shared" si="28"/>
        <v>2021-10-31</v>
      </c>
      <c r="T339" s="16" t="str">
        <f t="shared" si="29"/>
        <v>111802608036</v>
      </c>
      <c r="U339" s="16" t="s">
        <v>33</v>
      </c>
      <c r="V339">
        <v>1</v>
      </c>
      <c r="W339">
        <v>1</v>
      </c>
      <c r="X339" s="15">
        <f t="shared" si="30"/>
        <v>0</v>
      </c>
      <c r="Z339" t="str">
        <f t="shared" si="31"/>
        <v>INSERT INTO REPORTWARE.RWH_IFRS9_R04A0424 (FECHA, PERIODO,CONCEPTO, SUBREPORTE, MONEDA, TIPO_SALDO, DATO) VALUES ('2021-10-31','2021-10-31','111802608036','0424','1','1','0')</v>
      </c>
    </row>
    <row r="340" spans="19:26">
      <c r="S340" s="16" t="str">
        <f t="shared" si="28"/>
        <v>2021-10-31</v>
      </c>
      <c r="T340" s="16" t="str">
        <f t="shared" si="29"/>
        <v>111801807027</v>
      </c>
      <c r="U340" s="16" t="s">
        <v>33</v>
      </c>
      <c r="V340">
        <v>1</v>
      </c>
      <c r="W340">
        <v>1</v>
      </c>
      <c r="X340" s="15">
        <f t="shared" si="30"/>
        <v>0</v>
      </c>
      <c r="Z340" t="str">
        <f t="shared" si="31"/>
        <v>INSERT INTO REPORTWARE.RWH_IFRS9_R04A0424 (FECHA, PERIODO,CONCEPTO, SUBREPORTE, MONEDA, TIPO_SALDO, DATO) VALUES ('2021-10-31','2021-10-31','111801807027','0424','1','1','0')</v>
      </c>
    </row>
    <row r="341" spans="19:26">
      <c r="S341" s="16" t="str">
        <f t="shared" si="28"/>
        <v>2021-10-31</v>
      </c>
      <c r="T341" s="16" t="str">
        <f t="shared" si="29"/>
        <v>111802708037</v>
      </c>
      <c r="U341" s="16" t="s">
        <v>33</v>
      </c>
      <c r="V341">
        <v>1</v>
      </c>
      <c r="W341">
        <v>1</v>
      </c>
      <c r="X341" s="15">
        <f t="shared" si="30"/>
        <v>0</v>
      </c>
      <c r="Z341" t="str">
        <f t="shared" si="31"/>
        <v>INSERT INTO REPORTWARE.RWH_IFRS9_R04A0424 (FECHA, PERIODO,CONCEPTO, SUBREPORTE, MONEDA, TIPO_SALDO, DATO) VALUES ('2021-10-31','2021-10-31','111802708037','0424','1','1','0')</v>
      </c>
    </row>
    <row r="342" spans="19:26">
      <c r="S342" s="16" t="str">
        <f t="shared" si="28"/>
        <v>2021-10-31</v>
      </c>
      <c r="T342" s="16" t="str">
        <f t="shared" si="29"/>
        <v>111802708038</v>
      </c>
      <c r="U342" s="16" t="s">
        <v>33</v>
      </c>
      <c r="V342">
        <v>1</v>
      </c>
      <c r="W342">
        <v>1</v>
      </c>
      <c r="X342" s="15">
        <f t="shared" si="30"/>
        <v>0</v>
      </c>
      <c r="Z342" t="str">
        <f t="shared" si="31"/>
        <v>INSERT INTO REPORTWARE.RWH_IFRS9_R04A0424 (FECHA, PERIODO,CONCEPTO, SUBREPORTE, MONEDA, TIPO_SALDO, DATO) VALUES ('2021-10-31','2021-10-31','111802708038','0424','1','1','0')</v>
      </c>
    </row>
    <row r="343" spans="19:26">
      <c r="S343" s="16" t="str">
        <f t="shared" si="28"/>
        <v>2021-10-31</v>
      </c>
      <c r="T343" s="16" t="str">
        <f t="shared" si="29"/>
        <v>111802708039</v>
      </c>
      <c r="U343" s="16" t="s">
        <v>33</v>
      </c>
      <c r="V343">
        <v>1</v>
      </c>
      <c r="W343">
        <v>1</v>
      </c>
      <c r="X343" s="15">
        <f t="shared" si="30"/>
        <v>0</v>
      </c>
      <c r="Z343" t="str">
        <f t="shared" si="31"/>
        <v>INSERT INTO REPORTWARE.RWH_IFRS9_R04A0424 (FECHA, PERIODO,CONCEPTO, SUBREPORTE, MONEDA, TIPO_SALDO, DATO) VALUES ('2021-10-31','2021-10-31','111802708039','0424','1','1','0')</v>
      </c>
    </row>
    <row r="344" spans="19:26">
      <c r="S344" s="16" t="str">
        <f t="shared" si="28"/>
        <v>2021-10-31</v>
      </c>
      <c r="T344" s="16" t="str">
        <f t="shared" si="29"/>
        <v>111800506019</v>
      </c>
      <c r="U344" s="16" t="s">
        <v>33</v>
      </c>
      <c r="V344">
        <v>1</v>
      </c>
      <c r="W344">
        <v>1</v>
      </c>
      <c r="X344" s="15">
        <f t="shared" si="30"/>
        <v>0</v>
      </c>
      <c r="Z344" t="str">
        <f t="shared" si="31"/>
        <v>INSERT INTO REPORTWARE.RWH_IFRS9_R04A0424 (FECHA, PERIODO,CONCEPTO, SUBREPORTE, MONEDA, TIPO_SALDO, DATO) VALUES ('2021-10-31','2021-10-31','111800506019','0424','1','1','0')</v>
      </c>
    </row>
    <row r="345" spans="19:26">
      <c r="S345" s="16" t="str">
        <f t="shared" si="28"/>
        <v>2021-10-31</v>
      </c>
      <c r="T345" s="16" t="str">
        <f t="shared" si="29"/>
        <v>111801907028</v>
      </c>
      <c r="U345" s="16" t="s">
        <v>33</v>
      </c>
      <c r="V345">
        <v>1</v>
      </c>
      <c r="W345">
        <v>1</v>
      </c>
      <c r="X345" s="15">
        <f t="shared" si="30"/>
        <v>0</v>
      </c>
      <c r="Z345" t="str">
        <f t="shared" si="31"/>
        <v>INSERT INTO REPORTWARE.RWH_IFRS9_R04A0424 (FECHA, PERIODO,CONCEPTO, SUBREPORTE, MONEDA, TIPO_SALDO, DATO) VALUES ('2021-10-31','2021-10-31','111801907028','0424','1','1','0')</v>
      </c>
    </row>
    <row r="346" spans="19:26">
      <c r="S346" s="16" t="str">
        <f t="shared" si="28"/>
        <v>2021-10-31</v>
      </c>
      <c r="T346" s="16" t="str">
        <f t="shared" si="29"/>
        <v>111801907029</v>
      </c>
      <c r="U346" s="16" t="s">
        <v>33</v>
      </c>
      <c r="V346">
        <v>1</v>
      </c>
      <c r="W346">
        <v>1</v>
      </c>
      <c r="X346" s="15">
        <f t="shared" si="30"/>
        <v>0</v>
      </c>
      <c r="Z346" t="str">
        <f t="shared" si="31"/>
        <v>INSERT INTO REPORTWARE.RWH_IFRS9_R04A0424 (FECHA, PERIODO,CONCEPTO, SUBREPORTE, MONEDA, TIPO_SALDO, DATO) VALUES ('2021-10-31','2021-10-31','111801907029','0424','1','1','0')</v>
      </c>
    </row>
    <row r="347" spans="19:26">
      <c r="S347" s="16" t="str">
        <f t="shared" si="28"/>
        <v>2021-10-31</v>
      </c>
      <c r="T347" s="16" t="str">
        <f t="shared" si="29"/>
        <v>111802908040</v>
      </c>
      <c r="U347" s="16" t="s">
        <v>33</v>
      </c>
      <c r="V347">
        <v>1</v>
      </c>
      <c r="W347">
        <v>1</v>
      </c>
      <c r="X347" s="15">
        <f t="shared" si="30"/>
        <v>0</v>
      </c>
      <c r="Z347" t="str">
        <f t="shared" si="31"/>
        <v>INSERT INTO REPORTWARE.RWH_IFRS9_R04A0424 (FECHA, PERIODO,CONCEPTO, SUBREPORTE, MONEDA, TIPO_SALDO, DATO) VALUES ('2021-10-31','2021-10-31','111802908040','0424','1','1','0')</v>
      </c>
    </row>
    <row r="348" spans="19:26">
      <c r="S348" s="16" t="str">
        <f t="shared" si="28"/>
        <v>2021-10-31</v>
      </c>
      <c r="T348" s="16" t="str">
        <f t="shared" si="29"/>
        <v>111802908041</v>
      </c>
      <c r="U348" s="16" t="s">
        <v>33</v>
      </c>
      <c r="V348">
        <v>1</v>
      </c>
      <c r="W348">
        <v>1</v>
      </c>
      <c r="X348" s="15">
        <f t="shared" si="30"/>
        <v>0</v>
      </c>
      <c r="Z348" t="str">
        <f t="shared" si="31"/>
        <v>INSERT INTO REPORTWARE.RWH_IFRS9_R04A0424 (FECHA, PERIODO,CONCEPTO, SUBREPORTE, MONEDA, TIPO_SALDO, DATO) VALUES ('2021-10-31','2021-10-31','111802908041','0424','1','1','0')</v>
      </c>
    </row>
    <row r="349" spans="19:26">
      <c r="S349" s="16" t="str">
        <f t="shared" si="28"/>
        <v>2021-10-31</v>
      </c>
      <c r="T349" s="16" t="str">
        <f t="shared" si="29"/>
        <v>111802908042</v>
      </c>
      <c r="U349" s="16" t="s">
        <v>33</v>
      </c>
      <c r="V349">
        <v>1</v>
      </c>
      <c r="W349">
        <v>1</v>
      </c>
      <c r="X349" s="15">
        <f t="shared" si="30"/>
        <v>0</v>
      </c>
      <c r="Z349" t="str">
        <f t="shared" si="31"/>
        <v>INSERT INTO REPORTWARE.RWH_IFRS9_R04A0424 (FECHA, PERIODO,CONCEPTO, SUBREPORTE, MONEDA, TIPO_SALDO, DATO) VALUES ('2021-10-31','2021-10-31','111802908042','0424','1','1','0')</v>
      </c>
    </row>
    <row r="350" spans="19:26">
      <c r="S350" s="16" t="str">
        <f t="shared" si="28"/>
        <v>2021-10-31</v>
      </c>
      <c r="T350" s="16" t="str">
        <f t="shared" si="29"/>
        <v>111802908043</v>
      </c>
      <c r="U350" s="16" t="s">
        <v>33</v>
      </c>
      <c r="V350">
        <v>1</v>
      </c>
      <c r="W350">
        <v>1</v>
      </c>
      <c r="X350" s="15">
        <f t="shared" si="30"/>
        <v>0</v>
      </c>
      <c r="Z350" t="str">
        <f t="shared" si="31"/>
        <v>INSERT INTO REPORTWARE.RWH_IFRS9_R04A0424 (FECHA, PERIODO,CONCEPTO, SUBREPORTE, MONEDA, TIPO_SALDO, DATO) VALUES ('2021-10-31','2021-10-31','111802908043','0424','1','1','0')</v>
      </c>
    </row>
    <row r="351" spans="19:26">
      <c r="S351" s="16" t="str">
        <f t="shared" si="28"/>
        <v>2021-10-31</v>
      </c>
      <c r="T351" s="16" t="str">
        <f t="shared" si="29"/>
        <v>111802908044</v>
      </c>
      <c r="U351" s="16" t="s">
        <v>33</v>
      </c>
      <c r="V351">
        <v>1</v>
      </c>
      <c r="W351">
        <v>1</v>
      </c>
      <c r="X351" s="15">
        <f t="shared" si="30"/>
        <v>0</v>
      </c>
      <c r="Z351" t="str">
        <f t="shared" si="31"/>
        <v>INSERT INTO REPORTWARE.RWH_IFRS9_R04A0424 (FECHA, PERIODO,CONCEPTO, SUBREPORTE, MONEDA, TIPO_SALDO, DATO) VALUES ('2021-10-31','2021-10-31','111802908044','0424','1','1','0')</v>
      </c>
    </row>
    <row r="352" spans="19:26">
      <c r="S352" s="16" t="str">
        <f t="shared" si="28"/>
        <v>2021-10-31</v>
      </c>
      <c r="T352" s="16" t="str">
        <f t="shared" si="29"/>
        <v>111801907030</v>
      </c>
      <c r="U352" s="16" t="s">
        <v>33</v>
      </c>
      <c r="V352">
        <v>1</v>
      </c>
      <c r="W352">
        <v>1</v>
      </c>
      <c r="X352" s="15">
        <f t="shared" si="30"/>
        <v>0</v>
      </c>
      <c r="Z352" t="str">
        <f t="shared" si="31"/>
        <v>INSERT INTO REPORTWARE.RWH_IFRS9_R04A0424 (FECHA, PERIODO,CONCEPTO, SUBREPORTE, MONEDA, TIPO_SALDO, DATO) VALUES ('2021-10-31','2021-10-31','111801907030','0424','1','1','0')</v>
      </c>
    </row>
    <row r="353" spans="19:26">
      <c r="S353" s="16" t="str">
        <f t="shared" si="28"/>
        <v>2021-10-31</v>
      </c>
      <c r="T353" s="16" t="str">
        <f t="shared" si="29"/>
        <v>111803008045</v>
      </c>
      <c r="U353" s="16" t="s">
        <v>33</v>
      </c>
      <c r="V353">
        <v>1</v>
      </c>
      <c r="W353">
        <v>1</v>
      </c>
      <c r="X353" s="15">
        <f t="shared" si="30"/>
        <v>0</v>
      </c>
      <c r="Z353" t="str">
        <f t="shared" si="31"/>
        <v>INSERT INTO REPORTWARE.RWH_IFRS9_R04A0424 (FECHA, PERIODO,CONCEPTO, SUBREPORTE, MONEDA, TIPO_SALDO, DATO) VALUES ('2021-10-31','2021-10-31','111803008045','0424','1','1','0')</v>
      </c>
    </row>
    <row r="354" spans="19:26">
      <c r="S354" s="16" t="str">
        <f t="shared" si="28"/>
        <v>2021-10-31</v>
      </c>
      <c r="T354" s="16" t="str">
        <f t="shared" si="29"/>
        <v>111803008046</v>
      </c>
      <c r="U354" s="16" t="s">
        <v>33</v>
      </c>
      <c r="V354">
        <v>1</v>
      </c>
      <c r="W354">
        <v>1</v>
      </c>
      <c r="X354" s="15">
        <f t="shared" si="30"/>
        <v>0</v>
      </c>
      <c r="Z354" t="str">
        <f t="shared" si="31"/>
        <v>INSERT INTO REPORTWARE.RWH_IFRS9_R04A0424 (FECHA, PERIODO,CONCEPTO, SUBREPORTE, MONEDA, TIPO_SALDO, DATO) VALUES ('2021-10-31','2021-10-31','111803008046','0424','1','1','0')</v>
      </c>
    </row>
    <row r="355" spans="19:26">
      <c r="S355" s="16" t="str">
        <f t="shared" si="28"/>
        <v>2021-10-31</v>
      </c>
      <c r="T355" s="16" t="str">
        <f t="shared" si="29"/>
        <v>111803008047</v>
      </c>
      <c r="U355" s="16" t="s">
        <v>33</v>
      </c>
      <c r="V355">
        <v>1</v>
      </c>
      <c r="W355">
        <v>1</v>
      </c>
      <c r="X355" s="15">
        <f t="shared" si="30"/>
        <v>0</v>
      </c>
      <c r="Z355" t="str">
        <f t="shared" si="31"/>
        <v>INSERT INTO REPORTWARE.RWH_IFRS9_R04A0424 (FECHA, PERIODO,CONCEPTO, SUBREPORTE, MONEDA, TIPO_SALDO, DATO) VALUES ('2021-10-31','2021-10-31','111803008047','0424','1','1','0')</v>
      </c>
    </row>
    <row r="356" spans="19:26">
      <c r="S356" s="16" t="str">
        <f t="shared" si="28"/>
        <v>2021-10-31</v>
      </c>
      <c r="T356" s="16" t="str">
        <f t="shared" si="29"/>
        <v>111803008048</v>
      </c>
      <c r="U356" s="16" t="s">
        <v>33</v>
      </c>
      <c r="V356">
        <v>1</v>
      </c>
      <c r="W356">
        <v>1</v>
      </c>
      <c r="X356" s="15">
        <f t="shared" si="30"/>
        <v>0</v>
      </c>
      <c r="Z356" t="str">
        <f t="shared" si="31"/>
        <v>INSERT INTO REPORTWARE.RWH_IFRS9_R04A0424 (FECHA, PERIODO,CONCEPTO, SUBREPORTE, MONEDA, TIPO_SALDO, DATO) VALUES ('2021-10-31','2021-10-31','111803008048','0424','1','1','0')</v>
      </c>
    </row>
    <row r="357" spans="19:26">
      <c r="S357" s="16" t="str">
        <f t="shared" si="28"/>
        <v>2021-10-31</v>
      </c>
      <c r="T357" s="16" t="str">
        <f t="shared" si="29"/>
        <v>111801907031</v>
      </c>
      <c r="U357" s="16" t="s">
        <v>33</v>
      </c>
      <c r="V357">
        <v>1</v>
      </c>
      <c r="W357">
        <v>1</v>
      </c>
      <c r="X357" s="15">
        <f t="shared" si="30"/>
        <v>0</v>
      </c>
      <c r="Z357" t="str">
        <f t="shared" si="31"/>
        <v>INSERT INTO REPORTWARE.RWH_IFRS9_R04A0424 (FECHA, PERIODO,CONCEPTO, SUBREPORTE, MONEDA, TIPO_SALDO, DATO) VALUES ('2021-10-31','2021-10-31','111801907031','0424','1','1','0')</v>
      </c>
    </row>
    <row r="358" spans="19:26">
      <c r="S358" s="16" t="str">
        <f t="shared" si="28"/>
        <v>2021-10-31</v>
      </c>
      <c r="T358" s="16" t="str">
        <f t="shared" si="29"/>
        <v>111803108049</v>
      </c>
      <c r="U358" s="16" t="s">
        <v>33</v>
      </c>
      <c r="V358">
        <v>1</v>
      </c>
      <c r="W358">
        <v>1</v>
      </c>
      <c r="X358" s="15">
        <f t="shared" si="30"/>
        <v>0</v>
      </c>
      <c r="Z358" t="str">
        <f t="shared" si="31"/>
        <v>INSERT INTO REPORTWARE.RWH_IFRS9_R04A0424 (FECHA, PERIODO,CONCEPTO, SUBREPORTE, MONEDA, TIPO_SALDO, DATO) VALUES ('2021-10-31','2021-10-31','111803108049','0424','1','1','0')</v>
      </c>
    </row>
    <row r="359" spans="19:26">
      <c r="S359" s="16" t="str">
        <f t="shared" si="28"/>
        <v>2021-10-31</v>
      </c>
      <c r="T359" s="16" t="str">
        <f t="shared" si="29"/>
        <v>111803108050</v>
      </c>
      <c r="U359" s="16" t="s">
        <v>33</v>
      </c>
      <c r="V359">
        <v>1</v>
      </c>
      <c r="W359">
        <v>1</v>
      </c>
      <c r="X359" s="15">
        <f t="shared" si="30"/>
        <v>0</v>
      </c>
      <c r="Z359" t="str">
        <f t="shared" si="31"/>
        <v>INSERT INTO REPORTWARE.RWH_IFRS9_R04A0424 (FECHA, PERIODO,CONCEPTO, SUBREPORTE, MONEDA, TIPO_SALDO, DATO) VALUES ('2021-10-31','2021-10-31','111803108050','0424','1','1','0')</v>
      </c>
    </row>
    <row r="360" spans="19:26">
      <c r="S360" s="16" t="str">
        <f t="shared" si="28"/>
        <v>2021-10-31</v>
      </c>
      <c r="T360" s="16" t="str">
        <f t="shared" si="29"/>
        <v>111803108051</v>
      </c>
      <c r="U360" s="16" t="s">
        <v>33</v>
      </c>
      <c r="V360">
        <v>1</v>
      </c>
      <c r="W360">
        <v>1</v>
      </c>
      <c r="X360" s="15">
        <f t="shared" si="30"/>
        <v>0</v>
      </c>
      <c r="Z360" t="str">
        <f t="shared" si="31"/>
        <v>INSERT INTO REPORTWARE.RWH_IFRS9_R04A0424 (FECHA, PERIODO,CONCEPTO, SUBREPORTE, MONEDA, TIPO_SALDO, DATO) VALUES ('2021-10-31','2021-10-31','111803108051','0424','1','1','0')</v>
      </c>
    </row>
    <row r="361" spans="19:26">
      <c r="S361" s="16" t="str">
        <f t="shared" si="28"/>
        <v>2021-10-31</v>
      </c>
      <c r="T361" s="16" t="str">
        <f t="shared" si="29"/>
        <v>111803108052</v>
      </c>
      <c r="U361" s="16" t="s">
        <v>33</v>
      </c>
      <c r="V361">
        <v>1</v>
      </c>
      <c r="W361">
        <v>1</v>
      </c>
      <c r="X361" s="15">
        <f t="shared" si="30"/>
        <v>0</v>
      </c>
      <c r="Z361" t="str">
        <f t="shared" si="31"/>
        <v>INSERT INTO REPORTWARE.RWH_IFRS9_R04A0424 (FECHA, PERIODO,CONCEPTO, SUBREPORTE, MONEDA, TIPO_SALDO, DATO) VALUES ('2021-10-31','2021-10-31','111803108052','0424','1','1','0')</v>
      </c>
    </row>
    <row r="362" spans="19:26">
      <c r="S362" s="16" t="str">
        <f t="shared" si="28"/>
        <v>2021-10-31</v>
      </c>
      <c r="T362" s="16" t="str">
        <f t="shared" si="29"/>
        <v>111800205006</v>
      </c>
      <c r="U362" s="16" t="s">
        <v>33</v>
      </c>
      <c r="V362">
        <v>1</v>
      </c>
      <c r="W362">
        <v>1</v>
      </c>
      <c r="X362" s="15">
        <f t="shared" si="30"/>
        <v>0</v>
      </c>
      <c r="Z362" t="str">
        <f t="shared" si="31"/>
        <v>INSERT INTO REPORTWARE.RWH_IFRS9_R04A0424 (FECHA, PERIODO,CONCEPTO, SUBREPORTE, MONEDA, TIPO_SALDO, DATO) VALUES ('2021-10-31','2021-10-31','111800205006','0424','1','1','0')</v>
      </c>
    </row>
    <row r="363" spans="19:26">
      <c r="S363" s="16" t="str">
        <f t="shared" si="28"/>
        <v>2021-10-31</v>
      </c>
      <c r="T363" s="16" t="str">
        <f t="shared" si="29"/>
        <v>111800606020</v>
      </c>
      <c r="U363" s="16" t="s">
        <v>33</v>
      </c>
      <c r="V363">
        <v>1</v>
      </c>
      <c r="W363">
        <v>1</v>
      </c>
      <c r="X363" s="15">
        <f t="shared" si="30"/>
        <v>0</v>
      </c>
      <c r="Z363" t="str">
        <f t="shared" si="31"/>
        <v>INSERT INTO REPORTWARE.RWH_IFRS9_R04A0424 (FECHA, PERIODO,CONCEPTO, SUBREPORTE, MONEDA, TIPO_SALDO, DATO) VALUES ('2021-10-31','2021-10-31','111800606020','0424','1','1','0')</v>
      </c>
    </row>
    <row r="364" spans="19:26">
      <c r="S364" s="16" t="str">
        <f t="shared" si="28"/>
        <v>2021-10-31</v>
      </c>
      <c r="T364" s="16" t="str">
        <f t="shared" si="29"/>
        <v>111800606021</v>
      </c>
      <c r="U364" s="16" t="s">
        <v>33</v>
      </c>
      <c r="V364">
        <v>1</v>
      </c>
      <c r="W364">
        <v>1</v>
      </c>
      <c r="X364" s="15">
        <f t="shared" si="30"/>
        <v>0</v>
      </c>
      <c r="Z364" t="str">
        <f t="shared" si="31"/>
        <v>INSERT INTO REPORTWARE.RWH_IFRS9_R04A0424 (FECHA, PERIODO,CONCEPTO, SUBREPORTE, MONEDA, TIPO_SALDO, DATO) VALUES ('2021-10-31','2021-10-31','111800606021','0424','1','1','0')</v>
      </c>
    </row>
    <row r="365" spans="19:26">
      <c r="S365" s="16" t="str">
        <f t="shared" si="28"/>
        <v>2021-10-31</v>
      </c>
      <c r="T365" s="16" t="str">
        <f t="shared" si="29"/>
        <v>111800606022</v>
      </c>
      <c r="U365" s="16" t="s">
        <v>33</v>
      </c>
      <c r="V365">
        <v>1</v>
      </c>
      <c r="W365">
        <v>1</v>
      </c>
      <c r="X365" s="15">
        <f t="shared" si="30"/>
        <v>0</v>
      </c>
      <c r="Z365" t="str">
        <f t="shared" si="31"/>
        <v>INSERT INTO REPORTWARE.RWH_IFRS9_R04A0424 (FECHA, PERIODO,CONCEPTO, SUBREPORTE, MONEDA, TIPO_SALDO, DATO) VALUES ('2021-10-31','2021-10-31','111800606022','0424','1','1','0')</v>
      </c>
    </row>
    <row r="366" spans="19:26">
      <c r="S366" s="16" t="str">
        <f t="shared" si="28"/>
        <v>2021-10-31</v>
      </c>
      <c r="T366" s="16" t="str">
        <f t="shared" si="29"/>
        <v>111800606023</v>
      </c>
      <c r="U366" s="16" t="s">
        <v>33</v>
      </c>
      <c r="V366">
        <v>1</v>
      </c>
      <c r="W366">
        <v>1</v>
      </c>
      <c r="X366" s="15">
        <f t="shared" si="30"/>
        <v>0</v>
      </c>
      <c r="Z366" t="str">
        <f t="shared" si="31"/>
        <v>INSERT INTO REPORTWARE.RWH_IFRS9_R04A0424 (FECHA, PERIODO,CONCEPTO, SUBREPORTE, MONEDA, TIPO_SALDO, DATO) VALUES ('2021-10-31','2021-10-31','111800606023','0424','1','1','0')</v>
      </c>
    </row>
    <row r="367" spans="19:26">
      <c r="S367" s="16" t="str">
        <f t="shared" si="28"/>
        <v>2021-10-31</v>
      </c>
      <c r="T367" s="16" t="str">
        <f t="shared" si="29"/>
        <v>111800606024</v>
      </c>
      <c r="U367" s="16" t="s">
        <v>33</v>
      </c>
      <c r="V367">
        <v>1</v>
      </c>
      <c r="W367">
        <v>1</v>
      </c>
      <c r="X367" s="15">
        <f t="shared" si="30"/>
        <v>0</v>
      </c>
      <c r="Z367" t="str">
        <f t="shared" si="31"/>
        <v>INSERT INTO REPORTWARE.RWH_IFRS9_R04A0424 (FECHA, PERIODO,CONCEPTO, SUBREPORTE, MONEDA, TIPO_SALDO, DATO) VALUES ('2021-10-31','2021-10-31','111800606024','0424','1','1','0')</v>
      </c>
    </row>
    <row r="368" spans="19:26">
      <c r="S368" s="16" t="str">
        <f t="shared" si="28"/>
        <v>2021-10-31</v>
      </c>
      <c r="T368" s="16" t="str">
        <f t="shared" si="29"/>
        <v>111800606025</v>
      </c>
      <c r="U368" s="16" t="s">
        <v>33</v>
      </c>
      <c r="V368">
        <v>1</v>
      </c>
      <c r="W368">
        <v>1</v>
      </c>
      <c r="X368" s="15">
        <f t="shared" si="30"/>
        <v>0</v>
      </c>
      <c r="Z368" t="str">
        <f t="shared" si="31"/>
        <v>INSERT INTO REPORTWARE.RWH_IFRS9_R04A0424 (FECHA, PERIODO,CONCEPTO, SUBREPORTE, MONEDA, TIPO_SALDO, DATO) VALUES ('2021-10-31','2021-10-31','111800606025','0424','1','1','0')</v>
      </c>
    </row>
    <row r="369" spans="19:26">
      <c r="S369" s="16" t="str">
        <f t="shared" si="28"/>
        <v>2021-10-31</v>
      </c>
      <c r="T369" s="16" t="str">
        <f t="shared" si="29"/>
        <v>111800606026</v>
      </c>
      <c r="U369" s="16" t="s">
        <v>33</v>
      </c>
      <c r="V369">
        <v>1</v>
      </c>
      <c r="W369">
        <v>1</v>
      </c>
      <c r="X369" s="15">
        <f t="shared" si="30"/>
        <v>0</v>
      </c>
      <c r="Z369" t="str">
        <f t="shared" si="31"/>
        <v>INSERT INTO REPORTWARE.RWH_IFRS9_R04A0424 (FECHA, PERIODO,CONCEPTO, SUBREPORTE, MONEDA, TIPO_SALDO, DATO) VALUES ('2021-10-31','2021-10-31','111800606026','0424','1','1','0')</v>
      </c>
    </row>
    <row r="370" spans="19:26">
      <c r="S370" s="16" t="str">
        <f t="shared" si="28"/>
        <v>2021-10-31</v>
      </c>
      <c r="T370" s="16" t="str">
        <f t="shared" si="29"/>
        <v>111800606027</v>
      </c>
      <c r="U370" s="16" t="s">
        <v>33</v>
      </c>
      <c r="V370">
        <v>1</v>
      </c>
      <c r="W370">
        <v>1</v>
      </c>
      <c r="X370" s="15">
        <f t="shared" si="30"/>
        <v>0</v>
      </c>
      <c r="Z370" t="str">
        <f t="shared" si="31"/>
        <v>INSERT INTO REPORTWARE.RWH_IFRS9_R04A0424 (FECHA, PERIODO,CONCEPTO, SUBREPORTE, MONEDA, TIPO_SALDO, DATO) VALUES ('2021-10-31','2021-10-31','111800606027','0424','1','1','0')</v>
      </c>
    </row>
    <row r="371" spans="19:26">
      <c r="S371" s="16" t="str">
        <f t="shared" si="28"/>
        <v>2021-10-31</v>
      </c>
      <c r="T371" s="16" t="str">
        <f t="shared" si="29"/>
        <v>111800205007</v>
      </c>
      <c r="U371" s="16" t="s">
        <v>33</v>
      </c>
      <c r="V371">
        <v>1</v>
      </c>
      <c r="W371">
        <v>1</v>
      </c>
      <c r="X371" s="15">
        <f t="shared" si="30"/>
        <v>0</v>
      </c>
      <c r="Z371" t="str">
        <f t="shared" si="31"/>
        <v>INSERT INTO REPORTWARE.RWH_IFRS9_R04A0424 (FECHA, PERIODO,CONCEPTO, SUBREPORTE, MONEDA, TIPO_SALDO, DATO) VALUES ('2021-10-31','2021-10-31','111800205007','0424','1','1','0')</v>
      </c>
    </row>
    <row r="372" spans="19:26">
      <c r="S372" s="16" t="str">
        <f t="shared" si="28"/>
        <v>2021-10-31</v>
      </c>
      <c r="T372" s="16" t="str">
        <f t="shared" si="29"/>
        <v>111800706028</v>
      </c>
      <c r="U372" s="16" t="s">
        <v>33</v>
      </c>
      <c r="V372">
        <v>1</v>
      </c>
      <c r="W372">
        <v>1</v>
      </c>
      <c r="X372" s="15">
        <f t="shared" si="30"/>
        <v>0</v>
      </c>
      <c r="Z372" t="str">
        <f t="shared" si="31"/>
        <v>INSERT INTO REPORTWARE.RWH_IFRS9_R04A0424 (FECHA, PERIODO,CONCEPTO, SUBREPORTE, MONEDA, TIPO_SALDO, DATO) VALUES ('2021-10-31','2021-10-31','111800706028','0424','1','1','0')</v>
      </c>
    </row>
    <row r="373" spans="19:26">
      <c r="S373" s="16" t="str">
        <f t="shared" si="28"/>
        <v>2021-10-31</v>
      </c>
      <c r="T373" s="16" t="str">
        <f t="shared" si="29"/>
        <v>111800706029</v>
      </c>
      <c r="U373" s="16" t="s">
        <v>33</v>
      </c>
      <c r="V373">
        <v>1</v>
      </c>
      <c r="W373">
        <v>1</v>
      </c>
      <c r="X373" s="15">
        <f t="shared" si="30"/>
        <v>0</v>
      </c>
      <c r="Z373" t="str">
        <f t="shared" si="31"/>
        <v>INSERT INTO REPORTWARE.RWH_IFRS9_R04A0424 (FECHA, PERIODO,CONCEPTO, SUBREPORTE, MONEDA, TIPO_SALDO, DATO) VALUES ('2021-10-31','2021-10-31','111800706029','0424','1','1','0')</v>
      </c>
    </row>
    <row r="374" spans="19:26">
      <c r="S374" s="16" t="str">
        <f t="shared" si="28"/>
        <v>2021-10-31</v>
      </c>
      <c r="T374" s="16" t="str">
        <f t="shared" si="29"/>
        <v>111800706030</v>
      </c>
      <c r="U374" s="16" t="s">
        <v>33</v>
      </c>
      <c r="V374">
        <v>1</v>
      </c>
      <c r="W374">
        <v>1</v>
      </c>
      <c r="X374" s="15">
        <f t="shared" si="30"/>
        <v>0</v>
      </c>
      <c r="Z374" t="str">
        <f t="shared" si="31"/>
        <v>INSERT INTO REPORTWARE.RWH_IFRS9_R04A0424 (FECHA, PERIODO,CONCEPTO, SUBREPORTE, MONEDA, TIPO_SALDO, DATO) VALUES ('2021-10-31','2021-10-31','111800706030','0424','1','1','0')</v>
      </c>
    </row>
    <row r="375" spans="19:26">
      <c r="S375" s="16" t="str">
        <f t="shared" si="28"/>
        <v>2021-10-31</v>
      </c>
      <c r="T375" s="16" t="str">
        <f t="shared" si="29"/>
        <v>111803007032</v>
      </c>
      <c r="U375" s="16" t="s">
        <v>33</v>
      </c>
      <c r="V375">
        <v>1</v>
      </c>
      <c r="W375">
        <v>1</v>
      </c>
      <c r="X375" s="15">
        <f t="shared" si="30"/>
        <v>0</v>
      </c>
      <c r="Z375" t="str">
        <f t="shared" si="31"/>
        <v>INSERT INTO REPORTWARE.RWH_IFRS9_R04A0424 (FECHA, PERIODO,CONCEPTO, SUBREPORTE, MONEDA, TIPO_SALDO, DATO) VALUES ('2021-10-31','2021-10-31','111803007032','0424','1','1','0')</v>
      </c>
    </row>
    <row r="376" spans="19:26">
      <c r="S376" s="16" t="str">
        <f t="shared" si="28"/>
        <v>2021-10-31</v>
      </c>
      <c r="T376" s="16" t="str">
        <f t="shared" si="29"/>
        <v>111803007033</v>
      </c>
      <c r="U376" s="16" t="s">
        <v>33</v>
      </c>
      <c r="V376">
        <v>1</v>
      </c>
      <c r="W376">
        <v>1</v>
      </c>
      <c r="X376" s="15">
        <f t="shared" si="30"/>
        <v>0</v>
      </c>
      <c r="Z376" t="str">
        <f t="shared" si="31"/>
        <v>INSERT INTO REPORTWARE.RWH_IFRS9_R04A0424 (FECHA, PERIODO,CONCEPTO, SUBREPORTE, MONEDA, TIPO_SALDO, DATO) VALUES ('2021-10-31','2021-10-31','111803007033','0424','1','1','0')</v>
      </c>
    </row>
    <row r="377" spans="19:26">
      <c r="S377" s="16" t="str">
        <f t="shared" si="28"/>
        <v>2021-10-31</v>
      </c>
      <c r="T377" s="16" t="str">
        <f t="shared" si="29"/>
        <v>111800706031</v>
      </c>
      <c r="U377" s="16" t="s">
        <v>33</v>
      </c>
      <c r="V377">
        <v>1</v>
      </c>
      <c r="W377">
        <v>1</v>
      </c>
      <c r="X377" s="15">
        <f t="shared" si="30"/>
        <v>0</v>
      </c>
      <c r="Z377" t="str">
        <f t="shared" si="31"/>
        <v>INSERT INTO REPORTWARE.RWH_IFRS9_R04A0424 (FECHA, PERIODO,CONCEPTO, SUBREPORTE, MONEDA, TIPO_SALDO, DATO) VALUES ('2021-10-31','2021-10-31','111800706031','0424','1','1','0')</v>
      </c>
    </row>
    <row r="378" spans="19:26">
      <c r="S378" s="16" t="str">
        <f t="shared" si="28"/>
        <v>2021-10-31</v>
      </c>
      <c r="T378" s="16" t="str">
        <f t="shared" si="29"/>
        <v>111800706032</v>
      </c>
      <c r="U378" s="16" t="s">
        <v>33</v>
      </c>
      <c r="V378">
        <v>1</v>
      </c>
      <c r="W378">
        <v>1</v>
      </c>
      <c r="X378" s="15">
        <f t="shared" si="30"/>
        <v>0</v>
      </c>
      <c r="Z378" t="str">
        <f t="shared" si="31"/>
        <v>INSERT INTO REPORTWARE.RWH_IFRS9_R04A0424 (FECHA, PERIODO,CONCEPTO, SUBREPORTE, MONEDA, TIPO_SALDO, DATO) VALUES ('2021-10-31','2021-10-31','111800706032','0424','1','1','0')</v>
      </c>
    </row>
    <row r="379" spans="19:26">
      <c r="S379" s="16" t="str">
        <f>$Q$4</f>
        <v>2021-10-31</v>
      </c>
      <c r="T379" s="16" t="str">
        <f>A4</f>
        <v>101800104001</v>
      </c>
      <c r="U379" s="16" t="s">
        <v>33</v>
      </c>
      <c r="V379">
        <v>15</v>
      </c>
      <c r="W379">
        <v>1</v>
      </c>
      <c r="X379" s="15">
        <f>M4</f>
        <v>0</v>
      </c>
      <c r="Z379" t="str">
        <f t="shared" si="31"/>
        <v>INSERT INTO REPORTWARE.RWH_IFRS9_R04A0424 (FECHA, PERIODO,CONCEPTO, SUBREPORTE, MONEDA, TIPO_SALDO, DATO) VALUES ('2021-10-31','2021-10-31','101800104001','0424','15','1','0')</v>
      </c>
    </row>
    <row r="380" spans="19:26">
      <c r="S380" s="16" t="str">
        <f t="shared" ref="S380:S443" si="32">$Q$4</f>
        <v>2021-10-31</v>
      </c>
      <c r="T380" s="16" t="str">
        <f t="shared" ref="T380:T443" si="33">A5</f>
        <v>111800105001</v>
      </c>
      <c r="U380" s="16" t="s">
        <v>33</v>
      </c>
      <c r="V380">
        <v>15</v>
      </c>
      <c r="W380">
        <v>1</v>
      </c>
      <c r="X380" s="15">
        <f t="shared" ref="X380:X443" si="34">M5</f>
        <v>0</v>
      </c>
      <c r="Z380" t="str">
        <f t="shared" si="31"/>
        <v>INSERT INTO REPORTWARE.RWH_IFRS9_R04A0424 (FECHA, PERIODO,CONCEPTO, SUBREPORTE, MONEDA, TIPO_SALDO, DATO) VALUES ('2021-10-31','2021-10-31','111800105001','0424','15','1','0')</v>
      </c>
    </row>
    <row r="381" spans="19:26">
      <c r="S381" s="16" t="str">
        <f t="shared" si="32"/>
        <v>2021-10-31</v>
      </c>
      <c r="T381" s="16" t="str">
        <f t="shared" si="33"/>
        <v>111800106001</v>
      </c>
      <c r="U381" s="16" t="s">
        <v>33</v>
      </c>
      <c r="V381">
        <v>15</v>
      </c>
      <c r="W381">
        <v>1</v>
      </c>
      <c r="X381" s="15">
        <f t="shared" si="34"/>
        <v>0</v>
      </c>
      <c r="Z381" t="str">
        <f t="shared" si="31"/>
        <v>INSERT INTO REPORTWARE.RWH_IFRS9_R04A0424 (FECHA, PERIODO,CONCEPTO, SUBREPORTE, MONEDA, TIPO_SALDO, DATO) VALUES ('2021-10-31','2021-10-31','111800106001','0424','15','1','0')</v>
      </c>
    </row>
    <row r="382" spans="19:26">
      <c r="S382" s="16" t="str">
        <f t="shared" si="32"/>
        <v>2021-10-31</v>
      </c>
      <c r="T382" s="16" t="str">
        <f t="shared" si="33"/>
        <v>111800107001</v>
      </c>
      <c r="U382" s="16" t="s">
        <v>33</v>
      </c>
      <c r="V382">
        <v>15</v>
      </c>
      <c r="W382">
        <v>1</v>
      </c>
      <c r="X382" s="15">
        <f t="shared" si="34"/>
        <v>0</v>
      </c>
      <c r="Z382" t="str">
        <f t="shared" si="31"/>
        <v>INSERT INTO REPORTWARE.RWH_IFRS9_R04A0424 (FECHA, PERIODO,CONCEPTO, SUBREPORTE, MONEDA, TIPO_SALDO, DATO) VALUES ('2021-10-31','2021-10-31','111800107001','0424','15','1','0')</v>
      </c>
    </row>
    <row r="383" spans="19:26">
      <c r="S383" s="16" t="str">
        <f t="shared" si="32"/>
        <v>2021-10-31</v>
      </c>
      <c r="T383" s="16" t="str">
        <f t="shared" si="33"/>
        <v>111800108001</v>
      </c>
      <c r="U383" s="16" t="s">
        <v>33</v>
      </c>
      <c r="V383">
        <v>15</v>
      </c>
      <c r="W383">
        <v>1</v>
      </c>
      <c r="X383" s="15">
        <f t="shared" si="34"/>
        <v>0</v>
      </c>
      <c r="Z383" t="str">
        <f t="shared" si="31"/>
        <v>INSERT INTO REPORTWARE.RWH_IFRS9_R04A0424 (FECHA, PERIODO,CONCEPTO, SUBREPORTE, MONEDA, TIPO_SALDO, DATO) VALUES ('2021-10-31','2021-10-31','111800108001','0424','15','1','0')</v>
      </c>
    </row>
    <row r="384" spans="19:26">
      <c r="S384" s="16" t="str">
        <f t="shared" si="32"/>
        <v>2021-10-31</v>
      </c>
      <c r="T384" s="16" t="str">
        <f t="shared" si="33"/>
        <v>111800108002</v>
      </c>
      <c r="U384" s="16" t="s">
        <v>33</v>
      </c>
      <c r="V384">
        <v>15</v>
      </c>
      <c r="W384">
        <v>1</v>
      </c>
      <c r="X384" s="15">
        <f t="shared" si="34"/>
        <v>0</v>
      </c>
      <c r="Z384" t="str">
        <f t="shared" si="31"/>
        <v>INSERT INTO REPORTWARE.RWH_IFRS9_R04A0424 (FECHA, PERIODO,CONCEPTO, SUBREPORTE, MONEDA, TIPO_SALDO, DATO) VALUES ('2021-10-31','2021-10-31','111800108002','0424','15','1','0')</v>
      </c>
    </row>
    <row r="385" spans="19:26">
      <c r="S385" s="16" t="str">
        <f t="shared" si="32"/>
        <v>2021-10-31</v>
      </c>
      <c r="T385" s="16" t="str">
        <f t="shared" si="33"/>
        <v>111800107002</v>
      </c>
      <c r="U385" s="16" t="s">
        <v>33</v>
      </c>
      <c r="V385">
        <v>15</v>
      </c>
      <c r="W385">
        <v>1</v>
      </c>
      <c r="X385" s="15">
        <f t="shared" si="34"/>
        <v>0</v>
      </c>
      <c r="Z385" t="str">
        <f t="shared" si="31"/>
        <v>INSERT INTO REPORTWARE.RWH_IFRS9_R04A0424 (FECHA, PERIODO,CONCEPTO, SUBREPORTE, MONEDA, TIPO_SALDO, DATO) VALUES ('2021-10-31','2021-10-31','111800107002','0424','15','1','0')</v>
      </c>
    </row>
    <row r="386" spans="19:26">
      <c r="S386" s="16" t="str">
        <f t="shared" si="32"/>
        <v>2021-10-31</v>
      </c>
      <c r="T386" s="16" t="str">
        <f t="shared" si="33"/>
        <v>111800208003</v>
      </c>
      <c r="U386" s="16" t="s">
        <v>33</v>
      </c>
      <c r="V386">
        <v>15</v>
      </c>
      <c r="W386">
        <v>1</v>
      </c>
      <c r="X386" s="15">
        <f t="shared" si="34"/>
        <v>0</v>
      </c>
      <c r="Z386" t="str">
        <f t="shared" si="31"/>
        <v>INSERT INTO REPORTWARE.RWH_IFRS9_R04A0424 (FECHA, PERIODO,CONCEPTO, SUBREPORTE, MONEDA, TIPO_SALDO, DATO) VALUES ('2021-10-31','2021-10-31','111800208003','0424','15','1','0')</v>
      </c>
    </row>
    <row r="387" spans="19:26">
      <c r="S387" s="16" t="str">
        <f t="shared" si="32"/>
        <v>2021-10-31</v>
      </c>
      <c r="T387" s="16" t="str">
        <f t="shared" si="33"/>
        <v>111800208004</v>
      </c>
      <c r="U387" s="16" t="s">
        <v>33</v>
      </c>
      <c r="V387">
        <v>15</v>
      </c>
      <c r="W387">
        <v>1</v>
      </c>
      <c r="X387" s="15">
        <f t="shared" si="34"/>
        <v>0</v>
      </c>
      <c r="Z387" t="str">
        <f t="shared" si="31"/>
        <v>INSERT INTO REPORTWARE.RWH_IFRS9_R04A0424 (FECHA, PERIODO,CONCEPTO, SUBREPORTE, MONEDA, TIPO_SALDO, DATO) VALUES ('2021-10-31','2021-10-31','111800208004','0424','15','1','0')</v>
      </c>
    </row>
    <row r="388" spans="19:26">
      <c r="S388" s="16" t="str">
        <f t="shared" si="32"/>
        <v>2021-10-31</v>
      </c>
      <c r="T388" s="16" t="str">
        <f t="shared" si="33"/>
        <v>111800208005</v>
      </c>
      <c r="U388" s="16" t="s">
        <v>33</v>
      </c>
      <c r="V388">
        <v>15</v>
      </c>
      <c r="W388">
        <v>1</v>
      </c>
      <c r="X388" s="15">
        <f t="shared" si="34"/>
        <v>0</v>
      </c>
      <c r="Z388" t="str">
        <f t="shared" si="31"/>
        <v>INSERT INTO REPORTWARE.RWH_IFRS9_R04A0424 (FECHA, PERIODO,CONCEPTO, SUBREPORTE, MONEDA, TIPO_SALDO, DATO) VALUES ('2021-10-31','2021-10-31','111800208005','0424','15','1','0')</v>
      </c>
    </row>
    <row r="389" spans="19:26">
      <c r="S389" s="16" t="str">
        <f t="shared" si="32"/>
        <v>2021-10-31</v>
      </c>
      <c r="T389" s="16" t="str">
        <f t="shared" si="33"/>
        <v>111800107003</v>
      </c>
      <c r="U389" s="16" t="s">
        <v>33</v>
      </c>
      <c r="V389">
        <v>15</v>
      </c>
      <c r="W389">
        <v>1</v>
      </c>
      <c r="X389" s="15">
        <f t="shared" si="34"/>
        <v>0</v>
      </c>
      <c r="Z389" t="str">
        <f t="shared" ref="Z389:Z452" si="35">"INSERT INTO REPORTWARE.RWH_IFRS9_R04A0424 (FECHA, PERIODO,CONCEPTO, SUBREPORTE, MONEDA, TIPO_SALDO, DATO) VALUES ('"&amp;S389&amp;"','"&amp;S389&amp;"','"&amp;T389&amp;"','"&amp;U389&amp;"','"&amp;V389&amp;"','"&amp;W389&amp;"','"&amp;X389&amp;"')"</f>
        <v>INSERT INTO REPORTWARE.RWH_IFRS9_R04A0424 (FECHA, PERIODO,CONCEPTO, SUBREPORTE, MONEDA, TIPO_SALDO, DATO) VALUES ('2021-10-31','2021-10-31','111800107003','0424','15','1','0')</v>
      </c>
    </row>
    <row r="390" spans="19:26">
      <c r="S390" s="16" t="str">
        <f t="shared" si="32"/>
        <v>2021-10-31</v>
      </c>
      <c r="T390" s="16" t="str">
        <f t="shared" si="33"/>
        <v>111800308006</v>
      </c>
      <c r="U390" s="16" t="s">
        <v>33</v>
      </c>
      <c r="V390">
        <v>15</v>
      </c>
      <c r="W390">
        <v>1</v>
      </c>
      <c r="X390" s="15">
        <f t="shared" si="34"/>
        <v>0</v>
      </c>
      <c r="Z390" t="str">
        <f t="shared" si="35"/>
        <v>INSERT INTO REPORTWARE.RWH_IFRS9_R04A0424 (FECHA, PERIODO,CONCEPTO, SUBREPORTE, MONEDA, TIPO_SALDO, DATO) VALUES ('2021-10-31','2021-10-31','111800308006','0424','15','1','0')</v>
      </c>
    </row>
    <row r="391" spans="19:26">
      <c r="S391" s="16" t="str">
        <f t="shared" si="32"/>
        <v>2021-10-31</v>
      </c>
      <c r="T391" s="16" t="str">
        <f t="shared" si="33"/>
        <v>111800308007</v>
      </c>
      <c r="U391" s="16" t="s">
        <v>33</v>
      </c>
      <c r="V391">
        <v>15</v>
      </c>
      <c r="W391">
        <v>1</v>
      </c>
      <c r="X391" s="15">
        <f t="shared" si="34"/>
        <v>0</v>
      </c>
      <c r="Z391" t="str">
        <f t="shared" si="35"/>
        <v>INSERT INTO REPORTWARE.RWH_IFRS9_R04A0424 (FECHA, PERIODO,CONCEPTO, SUBREPORTE, MONEDA, TIPO_SALDO, DATO) VALUES ('2021-10-31','2021-10-31','111800308007','0424','15','1','0')</v>
      </c>
    </row>
    <row r="392" spans="19:26">
      <c r="S392" s="16" t="str">
        <f t="shared" si="32"/>
        <v>2021-10-31</v>
      </c>
      <c r="T392" s="16" t="str">
        <f t="shared" si="33"/>
        <v>111800107004</v>
      </c>
      <c r="U392" s="16" t="s">
        <v>33</v>
      </c>
      <c r="V392">
        <v>15</v>
      </c>
      <c r="W392">
        <v>1</v>
      </c>
      <c r="X392" s="15">
        <f t="shared" si="34"/>
        <v>0</v>
      </c>
      <c r="Z392" t="str">
        <f t="shared" si="35"/>
        <v>INSERT INTO REPORTWARE.RWH_IFRS9_R04A0424 (FECHA, PERIODO,CONCEPTO, SUBREPORTE, MONEDA, TIPO_SALDO, DATO) VALUES ('2021-10-31','2021-10-31','111800107004','0424','15','1','0')</v>
      </c>
    </row>
    <row r="393" spans="19:26">
      <c r="S393" s="16" t="str">
        <f t="shared" si="32"/>
        <v>2021-10-31</v>
      </c>
      <c r="T393" s="16" t="str">
        <f t="shared" si="33"/>
        <v>111800107005</v>
      </c>
      <c r="U393" s="16" t="s">
        <v>33</v>
      </c>
      <c r="V393">
        <v>15</v>
      </c>
      <c r="W393">
        <v>1</v>
      </c>
      <c r="X393" s="15">
        <f t="shared" si="34"/>
        <v>0</v>
      </c>
      <c r="Z393" t="str">
        <f t="shared" si="35"/>
        <v>INSERT INTO REPORTWARE.RWH_IFRS9_R04A0424 (FECHA, PERIODO,CONCEPTO, SUBREPORTE, MONEDA, TIPO_SALDO, DATO) VALUES ('2021-10-31','2021-10-31','111800107005','0424','15','1','0')</v>
      </c>
    </row>
    <row r="394" spans="19:26">
      <c r="S394" s="16" t="str">
        <f t="shared" si="32"/>
        <v>2021-10-31</v>
      </c>
      <c r="T394" s="16" t="str">
        <f t="shared" si="33"/>
        <v>111800107006</v>
      </c>
      <c r="U394" s="16" t="s">
        <v>33</v>
      </c>
      <c r="V394">
        <v>15</v>
      </c>
      <c r="W394">
        <v>1</v>
      </c>
      <c r="X394" s="15">
        <f t="shared" si="34"/>
        <v>0</v>
      </c>
      <c r="Z394" t="str">
        <f t="shared" si="35"/>
        <v>INSERT INTO REPORTWARE.RWH_IFRS9_R04A0424 (FECHA, PERIODO,CONCEPTO, SUBREPORTE, MONEDA, TIPO_SALDO, DATO) VALUES ('2021-10-31','2021-10-31','111800107006','0424','15','1','0')</v>
      </c>
    </row>
    <row r="395" spans="19:26">
      <c r="S395" s="16" t="str">
        <f t="shared" si="32"/>
        <v>2021-10-31</v>
      </c>
      <c r="T395" s="16" t="str">
        <f t="shared" si="33"/>
        <v>111800107007</v>
      </c>
      <c r="U395" s="16" t="s">
        <v>33</v>
      </c>
      <c r="V395">
        <v>15</v>
      </c>
      <c r="W395">
        <v>1</v>
      </c>
      <c r="X395" s="15">
        <f t="shared" si="34"/>
        <v>0</v>
      </c>
      <c r="Z395" t="str">
        <f t="shared" si="35"/>
        <v>INSERT INTO REPORTWARE.RWH_IFRS9_R04A0424 (FECHA, PERIODO,CONCEPTO, SUBREPORTE, MONEDA, TIPO_SALDO, DATO) VALUES ('2021-10-31','2021-10-31','111800107007','0424','15','1','0')</v>
      </c>
    </row>
    <row r="396" spans="19:26">
      <c r="S396" s="16" t="str">
        <f t="shared" si="32"/>
        <v>2021-10-31</v>
      </c>
      <c r="T396" s="16" t="str">
        <f t="shared" si="33"/>
        <v>111800107008</v>
      </c>
      <c r="U396" s="16" t="s">
        <v>33</v>
      </c>
      <c r="V396">
        <v>15</v>
      </c>
      <c r="W396">
        <v>1</v>
      </c>
      <c r="X396" s="15">
        <f t="shared" si="34"/>
        <v>0</v>
      </c>
      <c r="Z396" t="str">
        <f t="shared" si="35"/>
        <v>INSERT INTO REPORTWARE.RWH_IFRS9_R04A0424 (FECHA, PERIODO,CONCEPTO, SUBREPORTE, MONEDA, TIPO_SALDO, DATO) VALUES ('2021-10-31','2021-10-31','111800107008','0424','15','1','0')</v>
      </c>
    </row>
    <row r="397" spans="19:26">
      <c r="S397" s="16" t="str">
        <f t="shared" si="32"/>
        <v>2021-10-31</v>
      </c>
      <c r="T397" s="16" t="str">
        <f t="shared" si="33"/>
        <v>111800106002</v>
      </c>
      <c r="U397" s="16" t="s">
        <v>33</v>
      </c>
      <c r="V397">
        <v>15</v>
      </c>
      <c r="W397">
        <v>1</v>
      </c>
      <c r="X397" s="15">
        <f t="shared" si="34"/>
        <v>0</v>
      </c>
      <c r="Z397" t="str">
        <f t="shared" si="35"/>
        <v>INSERT INTO REPORTWARE.RWH_IFRS9_R04A0424 (FECHA, PERIODO,CONCEPTO, SUBREPORTE, MONEDA, TIPO_SALDO, DATO) VALUES ('2021-10-31','2021-10-31','111800106002','0424','15','1','0')</v>
      </c>
    </row>
    <row r="398" spans="19:26">
      <c r="S398" s="16" t="str">
        <f t="shared" si="32"/>
        <v>2021-10-31</v>
      </c>
      <c r="T398" s="16" t="str">
        <f t="shared" si="33"/>
        <v>111800207009</v>
      </c>
      <c r="U398" s="16" t="s">
        <v>33</v>
      </c>
      <c r="V398">
        <v>15</v>
      </c>
      <c r="W398">
        <v>1</v>
      </c>
      <c r="X398" s="15">
        <f t="shared" si="34"/>
        <v>0</v>
      </c>
      <c r="Z398" t="str">
        <f t="shared" si="35"/>
        <v>INSERT INTO REPORTWARE.RWH_IFRS9_R04A0424 (FECHA, PERIODO,CONCEPTO, SUBREPORTE, MONEDA, TIPO_SALDO, DATO) VALUES ('2021-10-31','2021-10-31','111800207009','0424','15','1','0')</v>
      </c>
    </row>
    <row r="399" spans="19:26">
      <c r="S399" s="16" t="str">
        <f t="shared" si="32"/>
        <v>2021-10-31</v>
      </c>
      <c r="T399" s="16" t="str">
        <f t="shared" si="33"/>
        <v>111800908008</v>
      </c>
      <c r="U399" s="16" t="s">
        <v>33</v>
      </c>
      <c r="V399">
        <v>15</v>
      </c>
      <c r="W399">
        <v>1</v>
      </c>
      <c r="X399" s="15">
        <f t="shared" si="34"/>
        <v>0</v>
      </c>
      <c r="Z399" t="str">
        <f t="shared" si="35"/>
        <v>INSERT INTO REPORTWARE.RWH_IFRS9_R04A0424 (FECHA, PERIODO,CONCEPTO, SUBREPORTE, MONEDA, TIPO_SALDO, DATO) VALUES ('2021-10-31','2021-10-31','111800908008','0424','15','1','0')</v>
      </c>
    </row>
    <row r="400" spans="19:26">
      <c r="S400" s="16" t="str">
        <f t="shared" si="32"/>
        <v>2021-10-31</v>
      </c>
      <c r="T400" s="16" t="str">
        <f t="shared" si="33"/>
        <v>111800908009</v>
      </c>
      <c r="U400" s="16" t="s">
        <v>33</v>
      </c>
      <c r="V400">
        <v>15</v>
      </c>
      <c r="W400">
        <v>1</v>
      </c>
      <c r="X400" s="15">
        <f t="shared" si="34"/>
        <v>0</v>
      </c>
      <c r="Z400" t="str">
        <f t="shared" si="35"/>
        <v>INSERT INTO REPORTWARE.RWH_IFRS9_R04A0424 (FECHA, PERIODO,CONCEPTO, SUBREPORTE, MONEDA, TIPO_SALDO, DATO) VALUES ('2021-10-31','2021-10-31','111800908009','0424','15','1','0')</v>
      </c>
    </row>
    <row r="401" spans="19:26">
      <c r="S401" s="16" t="str">
        <f t="shared" si="32"/>
        <v>2021-10-31</v>
      </c>
      <c r="T401" s="16" t="str">
        <f t="shared" si="33"/>
        <v>111800908010</v>
      </c>
      <c r="U401" s="16" t="s">
        <v>33</v>
      </c>
      <c r="V401">
        <v>15</v>
      </c>
      <c r="W401">
        <v>1</v>
      </c>
      <c r="X401" s="15">
        <f t="shared" si="34"/>
        <v>0</v>
      </c>
      <c r="Z401" t="str">
        <f t="shared" si="35"/>
        <v>INSERT INTO REPORTWARE.RWH_IFRS9_R04A0424 (FECHA, PERIODO,CONCEPTO, SUBREPORTE, MONEDA, TIPO_SALDO, DATO) VALUES ('2021-10-31','2021-10-31','111800908010','0424','15','1','0')</v>
      </c>
    </row>
    <row r="402" spans="19:26">
      <c r="S402" s="16" t="str">
        <f t="shared" si="32"/>
        <v>2021-10-31</v>
      </c>
      <c r="T402" s="16" t="str">
        <f t="shared" si="33"/>
        <v>111800207010</v>
      </c>
      <c r="U402" s="16" t="s">
        <v>33</v>
      </c>
      <c r="V402">
        <v>15</v>
      </c>
      <c r="W402">
        <v>1</v>
      </c>
      <c r="X402" s="15">
        <f t="shared" si="34"/>
        <v>0</v>
      </c>
      <c r="Z402" t="str">
        <f t="shared" si="35"/>
        <v>INSERT INTO REPORTWARE.RWH_IFRS9_R04A0424 (FECHA, PERIODO,CONCEPTO, SUBREPORTE, MONEDA, TIPO_SALDO, DATO) VALUES ('2021-10-31','2021-10-31','111800207010','0424','15','1','0')</v>
      </c>
    </row>
    <row r="403" spans="19:26">
      <c r="S403" s="16" t="str">
        <f t="shared" si="32"/>
        <v>2021-10-31</v>
      </c>
      <c r="T403" s="16" t="str">
        <f t="shared" si="33"/>
        <v>111801008011</v>
      </c>
      <c r="U403" s="16" t="s">
        <v>33</v>
      </c>
      <c r="V403">
        <v>15</v>
      </c>
      <c r="W403">
        <v>1</v>
      </c>
      <c r="X403" s="15">
        <f t="shared" si="34"/>
        <v>0</v>
      </c>
      <c r="Z403" t="str">
        <f t="shared" si="35"/>
        <v>INSERT INTO REPORTWARE.RWH_IFRS9_R04A0424 (FECHA, PERIODO,CONCEPTO, SUBREPORTE, MONEDA, TIPO_SALDO, DATO) VALUES ('2021-10-31','2021-10-31','111801008011','0424','15','1','0')</v>
      </c>
    </row>
    <row r="404" spans="19:26">
      <c r="S404" s="16" t="str">
        <f t="shared" si="32"/>
        <v>2021-10-31</v>
      </c>
      <c r="T404" s="16" t="str">
        <f t="shared" si="33"/>
        <v>111801008012</v>
      </c>
      <c r="U404" s="16" t="s">
        <v>33</v>
      </c>
      <c r="V404">
        <v>15</v>
      </c>
      <c r="W404">
        <v>1</v>
      </c>
      <c r="X404" s="15">
        <f t="shared" si="34"/>
        <v>0</v>
      </c>
      <c r="Z404" t="str">
        <f t="shared" si="35"/>
        <v>INSERT INTO REPORTWARE.RWH_IFRS9_R04A0424 (FECHA, PERIODO,CONCEPTO, SUBREPORTE, MONEDA, TIPO_SALDO, DATO) VALUES ('2021-10-31','2021-10-31','111801008012','0424','15','1','0')</v>
      </c>
    </row>
    <row r="405" spans="19:26">
      <c r="S405" s="16" t="str">
        <f t="shared" si="32"/>
        <v>2021-10-31</v>
      </c>
      <c r="T405" s="16" t="str">
        <f t="shared" si="33"/>
        <v>111801008013</v>
      </c>
      <c r="U405" s="16" t="s">
        <v>33</v>
      </c>
      <c r="V405">
        <v>15</v>
      </c>
      <c r="W405">
        <v>1</v>
      </c>
      <c r="X405" s="15">
        <f t="shared" si="34"/>
        <v>0</v>
      </c>
      <c r="Z405" t="str">
        <f t="shared" si="35"/>
        <v>INSERT INTO REPORTWARE.RWH_IFRS9_R04A0424 (FECHA, PERIODO,CONCEPTO, SUBREPORTE, MONEDA, TIPO_SALDO, DATO) VALUES ('2021-10-31','2021-10-31','111801008013','0424','15','1','0')</v>
      </c>
    </row>
    <row r="406" spans="19:26">
      <c r="S406" s="16" t="str">
        <f t="shared" si="32"/>
        <v>2021-10-31</v>
      </c>
      <c r="T406" s="16" t="str">
        <f t="shared" si="33"/>
        <v>111800106003</v>
      </c>
      <c r="U406" s="16" t="s">
        <v>33</v>
      </c>
      <c r="V406">
        <v>15</v>
      </c>
      <c r="W406">
        <v>1</v>
      </c>
      <c r="X406" s="15">
        <f t="shared" si="34"/>
        <v>0</v>
      </c>
      <c r="Z406" t="str">
        <f t="shared" si="35"/>
        <v>INSERT INTO REPORTWARE.RWH_IFRS9_R04A0424 (FECHA, PERIODO,CONCEPTO, SUBREPORTE, MONEDA, TIPO_SALDO, DATO) VALUES ('2021-10-31','2021-10-31','111800106003','0424','15','1','0')</v>
      </c>
    </row>
    <row r="407" spans="19:26">
      <c r="S407" s="16" t="str">
        <f t="shared" si="32"/>
        <v>2021-10-31</v>
      </c>
      <c r="T407" s="16" t="str">
        <f t="shared" si="33"/>
        <v>111800307011</v>
      </c>
      <c r="U407" s="16" t="s">
        <v>33</v>
      </c>
      <c r="V407">
        <v>15</v>
      </c>
      <c r="W407">
        <v>1</v>
      </c>
      <c r="X407" s="15">
        <f t="shared" si="34"/>
        <v>0</v>
      </c>
      <c r="Z407" t="str">
        <f t="shared" si="35"/>
        <v>INSERT INTO REPORTWARE.RWH_IFRS9_R04A0424 (FECHA, PERIODO,CONCEPTO, SUBREPORTE, MONEDA, TIPO_SALDO, DATO) VALUES ('2021-10-31','2021-10-31','111800307011','0424','15','1','0')</v>
      </c>
    </row>
    <row r="408" spans="19:26">
      <c r="S408" s="16" t="str">
        <f t="shared" si="32"/>
        <v>2021-10-31</v>
      </c>
      <c r="T408" s="16" t="str">
        <f t="shared" si="33"/>
        <v>111800307012</v>
      </c>
      <c r="U408" s="16" t="s">
        <v>33</v>
      </c>
      <c r="V408">
        <v>15</v>
      </c>
      <c r="W408">
        <v>1</v>
      </c>
      <c r="X408" s="15">
        <f t="shared" si="34"/>
        <v>0</v>
      </c>
      <c r="Z408" t="str">
        <f t="shared" si="35"/>
        <v>INSERT INTO REPORTWARE.RWH_IFRS9_R04A0424 (FECHA, PERIODO,CONCEPTO, SUBREPORTE, MONEDA, TIPO_SALDO, DATO) VALUES ('2021-10-31','2021-10-31','111800307012','0424','15','1','0')</v>
      </c>
    </row>
    <row r="409" spans="19:26">
      <c r="S409" s="16" t="str">
        <f t="shared" si="32"/>
        <v>2021-10-31</v>
      </c>
      <c r="T409" s="16" t="str">
        <f t="shared" si="33"/>
        <v>111801208014</v>
      </c>
      <c r="U409" s="16" t="s">
        <v>33</v>
      </c>
      <c r="V409">
        <v>15</v>
      </c>
      <c r="W409">
        <v>1</v>
      </c>
      <c r="X409" s="15">
        <f t="shared" si="34"/>
        <v>0</v>
      </c>
      <c r="Z409" t="str">
        <f t="shared" si="35"/>
        <v>INSERT INTO REPORTWARE.RWH_IFRS9_R04A0424 (FECHA, PERIODO,CONCEPTO, SUBREPORTE, MONEDA, TIPO_SALDO, DATO) VALUES ('2021-10-31','2021-10-31','111801208014','0424','15','1','0')</v>
      </c>
    </row>
    <row r="410" spans="19:26">
      <c r="S410" s="16" t="str">
        <f t="shared" si="32"/>
        <v>2021-10-31</v>
      </c>
      <c r="T410" s="16" t="str">
        <f t="shared" si="33"/>
        <v>111801208015</v>
      </c>
      <c r="U410" s="16" t="s">
        <v>33</v>
      </c>
      <c r="V410">
        <v>15</v>
      </c>
      <c r="W410">
        <v>1</v>
      </c>
      <c r="X410" s="15">
        <f t="shared" si="34"/>
        <v>0</v>
      </c>
      <c r="Z410" t="str">
        <f t="shared" si="35"/>
        <v>INSERT INTO REPORTWARE.RWH_IFRS9_R04A0424 (FECHA, PERIODO,CONCEPTO, SUBREPORTE, MONEDA, TIPO_SALDO, DATO) VALUES ('2021-10-31','2021-10-31','111801208015','0424','15','1','0')</v>
      </c>
    </row>
    <row r="411" spans="19:26">
      <c r="S411" s="16" t="str">
        <f t="shared" si="32"/>
        <v>2021-10-31</v>
      </c>
      <c r="T411" s="16" t="str">
        <f t="shared" si="33"/>
        <v>111801208016</v>
      </c>
      <c r="U411" s="16" t="s">
        <v>33</v>
      </c>
      <c r="V411">
        <v>15</v>
      </c>
      <c r="W411">
        <v>1</v>
      </c>
      <c r="X411" s="15">
        <f t="shared" si="34"/>
        <v>0</v>
      </c>
      <c r="Z411" t="str">
        <f t="shared" si="35"/>
        <v>INSERT INTO REPORTWARE.RWH_IFRS9_R04A0424 (FECHA, PERIODO,CONCEPTO, SUBREPORTE, MONEDA, TIPO_SALDO, DATO) VALUES ('2021-10-31','2021-10-31','111801208016','0424','15','1','0')</v>
      </c>
    </row>
    <row r="412" spans="19:26">
      <c r="S412" s="16" t="str">
        <f t="shared" si="32"/>
        <v>2021-10-31</v>
      </c>
      <c r="T412" s="16" t="str">
        <f t="shared" si="33"/>
        <v>111801208017</v>
      </c>
      <c r="U412" s="16" t="s">
        <v>33</v>
      </c>
      <c r="V412">
        <v>15</v>
      </c>
      <c r="W412">
        <v>1</v>
      </c>
      <c r="X412" s="15">
        <f t="shared" si="34"/>
        <v>0</v>
      </c>
      <c r="Z412" t="str">
        <f t="shared" si="35"/>
        <v>INSERT INTO REPORTWARE.RWH_IFRS9_R04A0424 (FECHA, PERIODO,CONCEPTO, SUBREPORTE, MONEDA, TIPO_SALDO, DATO) VALUES ('2021-10-31','2021-10-31','111801208017','0424','15','1','0')</v>
      </c>
    </row>
    <row r="413" spans="19:26">
      <c r="S413" s="16" t="str">
        <f t="shared" si="32"/>
        <v>2021-10-31</v>
      </c>
      <c r="T413" s="16" t="str">
        <f t="shared" si="33"/>
        <v>111801208018</v>
      </c>
      <c r="U413" s="16" t="s">
        <v>33</v>
      </c>
      <c r="V413">
        <v>15</v>
      </c>
      <c r="W413">
        <v>1</v>
      </c>
      <c r="X413" s="15">
        <f t="shared" si="34"/>
        <v>0</v>
      </c>
      <c r="Z413" t="str">
        <f t="shared" si="35"/>
        <v>INSERT INTO REPORTWARE.RWH_IFRS9_R04A0424 (FECHA, PERIODO,CONCEPTO, SUBREPORTE, MONEDA, TIPO_SALDO, DATO) VALUES ('2021-10-31','2021-10-31','111801208018','0424','15','1','0')</v>
      </c>
    </row>
    <row r="414" spans="19:26">
      <c r="S414" s="16" t="str">
        <f t="shared" si="32"/>
        <v>2021-10-31</v>
      </c>
      <c r="T414" s="16" t="str">
        <f t="shared" si="33"/>
        <v>111800307013</v>
      </c>
      <c r="U414" s="16" t="s">
        <v>33</v>
      </c>
      <c r="V414">
        <v>15</v>
      </c>
      <c r="W414">
        <v>1</v>
      </c>
      <c r="X414" s="15">
        <f t="shared" si="34"/>
        <v>0</v>
      </c>
      <c r="Z414" t="str">
        <f t="shared" si="35"/>
        <v>INSERT INTO REPORTWARE.RWH_IFRS9_R04A0424 (FECHA, PERIODO,CONCEPTO, SUBREPORTE, MONEDA, TIPO_SALDO, DATO) VALUES ('2021-10-31','2021-10-31','111800307013','0424','15','1','0')</v>
      </c>
    </row>
    <row r="415" spans="19:26">
      <c r="S415" s="16" t="str">
        <f t="shared" si="32"/>
        <v>2021-10-31</v>
      </c>
      <c r="T415" s="16" t="str">
        <f t="shared" si="33"/>
        <v>111801308019</v>
      </c>
      <c r="U415" s="16" t="s">
        <v>33</v>
      </c>
      <c r="V415">
        <v>15</v>
      </c>
      <c r="W415">
        <v>1</v>
      </c>
      <c r="X415" s="15">
        <f t="shared" si="34"/>
        <v>0</v>
      </c>
      <c r="Z415" t="str">
        <f t="shared" si="35"/>
        <v>INSERT INTO REPORTWARE.RWH_IFRS9_R04A0424 (FECHA, PERIODO,CONCEPTO, SUBREPORTE, MONEDA, TIPO_SALDO, DATO) VALUES ('2021-10-31','2021-10-31','111801308019','0424','15','1','0')</v>
      </c>
    </row>
    <row r="416" spans="19:26">
      <c r="S416" s="16" t="str">
        <f t="shared" si="32"/>
        <v>2021-10-31</v>
      </c>
      <c r="T416" s="16" t="str">
        <f t="shared" si="33"/>
        <v>111801308020</v>
      </c>
      <c r="U416" s="16" t="s">
        <v>33</v>
      </c>
      <c r="V416">
        <v>15</v>
      </c>
      <c r="W416">
        <v>1</v>
      </c>
      <c r="X416" s="15">
        <f t="shared" si="34"/>
        <v>0</v>
      </c>
      <c r="Z416" t="str">
        <f t="shared" si="35"/>
        <v>INSERT INTO REPORTWARE.RWH_IFRS9_R04A0424 (FECHA, PERIODO,CONCEPTO, SUBREPORTE, MONEDA, TIPO_SALDO, DATO) VALUES ('2021-10-31','2021-10-31','111801308020','0424','15','1','0')</v>
      </c>
    </row>
    <row r="417" spans="19:26">
      <c r="S417" s="16" t="str">
        <f t="shared" si="32"/>
        <v>2021-10-31</v>
      </c>
      <c r="T417" s="16" t="str">
        <f t="shared" si="33"/>
        <v>111801308021</v>
      </c>
      <c r="U417" s="16" t="s">
        <v>33</v>
      </c>
      <c r="V417">
        <v>15</v>
      </c>
      <c r="W417">
        <v>1</v>
      </c>
      <c r="X417" s="15">
        <f t="shared" si="34"/>
        <v>0</v>
      </c>
      <c r="Z417" t="str">
        <f t="shared" si="35"/>
        <v>INSERT INTO REPORTWARE.RWH_IFRS9_R04A0424 (FECHA, PERIODO,CONCEPTO, SUBREPORTE, MONEDA, TIPO_SALDO, DATO) VALUES ('2021-10-31','2021-10-31','111801308021','0424','15','1','0')</v>
      </c>
    </row>
    <row r="418" spans="19:26">
      <c r="S418" s="16" t="str">
        <f t="shared" si="32"/>
        <v>2021-10-31</v>
      </c>
      <c r="T418" s="16" t="str">
        <f t="shared" si="33"/>
        <v>111801308022</v>
      </c>
      <c r="U418" s="16" t="s">
        <v>33</v>
      </c>
      <c r="V418">
        <v>15</v>
      </c>
      <c r="W418">
        <v>1</v>
      </c>
      <c r="X418" s="15">
        <f t="shared" si="34"/>
        <v>0</v>
      </c>
      <c r="Z418" t="str">
        <f t="shared" si="35"/>
        <v>INSERT INTO REPORTWARE.RWH_IFRS9_R04A0424 (FECHA, PERIODO,CONCEPTO, SUBREPORTE, MONEDA, TIPO_SALDO, DATO) VALUES ('2021-10-31','2021-10-31','111801308022','0424','15','1','0')</v>
      </c>
    </row>
    <row r="419" spans="19:26">
      <c r="S419" s="16" t="str">
        <f t="shared" si="32"/>
        <v>2021-10-31</v>
      </c>
      <c r="T419" s="16" t="str">
        <f t="shared" si="33"/>
        <v>111800307014</v>
      </c>
      <c r="U419" s="16" t="s">
        <v>33</v>
      </c>
      <c r="V419">
        <v>15</v>
      </c>
      <c r="W419">
        <v>1</v>
      </c>
      <c r="X419" s="15">
        <f t="shared" si="34"/>
        <v>0</v>
      </c>
      <c r="Z419" t="str">
        <f t="shared" si="35"/>
        <v>INSERT INTO REPORTWARE.RWH_IFRS9_R04A0424 (FECHA, PERIODO,CONCEPTO, SUBREPORTE, MONEDA, TIPO_SALDO, DATO) VALUES ('2021-10-31','2021-10-31','111800307014','0424','15','1','0')</v>
      </c>
    </row>
    <row r="420" spans="19:26">
      <c r="S420" s="16" t="str">
        <f t="shared" si="32"/>
        <v>2021-10-31</v>
      </c>
      <c r="T420" s="16" t="str">
        <f t="shared" si="33"/>
        <v>111801408023</v>
      </c>
      <c r="U420" s="16" t="s">
        <v>33</v>
      </c>
      <c r="V420">
        <v>15</v>
      </c>
      <c r="W420">
        <v>1</v>
      </c>
      <c r="X420" s="15">
        <f t="shared" si="34"/>
        <v>0</v>
      </c>
      <c r="Z420" t="str">
        <f t="shared" si="35"/>
        <v>INSERT INTO REPORTWARE.RWH_IFRS9_R04A0424 (FECHA, PERIODO,CONCEPTO, SUBREPORTE, MONEDA, TIPO_SALDO, DATO) VALUES ('2021-10-31','2021-10-31','111801408023','0424','15','1','0')</v>
      </c>
    </row>
    <row r="421" spans="19:26">
      <c r="S421" s="16" t="str">
        <f t="shared" si="32"/>
        <v>2021-10-31</v>
      </c>
      <c r="T421" s="16" t="str">
        <f t="shared" si="33"/>
        <v>111801408024</v>
      </c>
      <c r="U421" s="16" t="s">
        <v>33</v>
      </c>
      <c r="V421">
        <v>15</v>
      </c>
      <c r="W421">
        <v>1</v>
      </c>
      <c r="X421" s="15">
        <f t="shared" si="34"/>
        <v>0</v>
      </c>
      <c r="Z421" t="str">
        <f t="shared" si="35"/>
        <v>INSERT INTO REPORTWARE.RWH_IFRS9_R04A0424 (FECHA, PERIODO,CONCEPTO, SUBREPORTE, MONEDA, TIPO_SALDO, DATO) VALUES ('2021-10-31','2021-10-31','111801408024','0424','15','1','0')</v>
      </c>
    </row>
    <row r="422" spans="19:26">
      <c r="S422" s="16" t="str">
        <f t="shared" si="32"/>
        <v>2021-10-31</v>
      </c>
      <c r="T422" s="16" t="str">
        <f t="shared" si="33"/>
        <v>111801408025</v>
      </c>
      <c r="U422" s="16" t="s">
        <v>33</v>
      </c>
      <c r="V422">
        <v>15</v>
      </c>
      <c r="W422">
        <v>1</v>
      </c>
      <c r="X422" s="15">
        <f t="shared" si="34"/>
        <v>0</v>
      </c>
      <c r="Z422" t="str">
        <f t="shared" si="35"/>
        <v>INSERT INTO REPORTWARE.RWH_IFRS9_R04A0424 (FECHA, PERIODO,CONCEPTO, SUBREPORTE, MONEDA, TIPO_SALDO, DATO) VALUES ('2021-10-31','2021-10-31','111801408025','0424','15','1','0')</v>
      </c>
    </row>
    <row r="423" spans="19:26">
      <c r="S423" s="16" t="str">
        <f t="shared" si="32"/>
        <v>2021-10-31</v>
      </c>
      <c r="T423" s="16" t="str">
        <f t="shared" si="33"/>
        <v>111801408026</v>
      </c>
      <c r="U423" s="16" t="s">
        <v>33</v>
      </c>
      <c r="V423">
        <v>15</v>
      </c>
      <c r="W423">
        <v>1</v>
      </c>
      <c r="X423" s="15">
        <f t="shared" si="34"/>
        <v>0</v>
      </c>
      <c r="Z423" t="str">
        <f t="shared" si="35"/>
        <v>INSERT INTO REPORTWARE.RWH_IFRS9_R04A0424 (FECHA, PERIODO,CONCEPTO, SUBREPORTE, MONEDA, TIPO_SALDO, DATO) VALUES ('2021-10-31','2021-10-31','111801408026','0424','15','1','0')</v>
      </c>
    </row>
    <row r="424" spans="19:26">
      <c r="S424" s="16" t="str">
        <f t="shared" si="32"/>
        <v>2021-10-31</v>
      </c>
      <c r="T424" s="16" t="str">
        <f t="shared" si="33"/>
        <v>111800105002</v>
      </c>
      <c r="U424" s="16" t="s">
        <v>33</v>
      </c>
      <c r="V424">
        <v>15</v>
      </c>
      <c r="W424">
        <v>1</v>
      </c>
      <c r="X424" s="15">
        <f t="shared" si="34"/>
        <v>0</v>
      </c>
      <c r="Z424" t="str">
        <f t="shared" si="35"/>
        <v>INSERT INTO REPORTWARE.RWH_IFRS9_R04A0424 (FECHA, PERIODO,CONCEPTO, SUBREPORTE, MONEDA, TIPO_SALDO, DATO) VALUES ('2021-10-31','2021-10-31','111800105002','0424','15','1','0')</v>
      </c>
    </row>
    <row r="425" spans="19:26">
      <c r="S425" s="16" t="str">
        <f t="shared" si="32"/>
        <v>2021-10-31</v>
      </c>
      <c r="T425" s="16" t="str">
        <f t="shared" si="33"/>
        <v>111800206004</v>
      </c>
      <c r="U425" s="16" t="s">
        <v>33</v>
      </c>
      <c r="V425">
        <v>15</v>
      </c>
      <c r="W425">
        <v>1</v>
      </c>
      <c r="X425" s="15">
        <f t="shared" si="34"/>
        <v>0</v>
      </c>
      <c r="Z425" t="str">
        <f t="shared" si="35"/>
        <v>INSERT INTO REPORTWARE.RWH_IFRS9_R04A0424 (FECHA, PERIODO,CONCEPTO, SUBREPORTE, MONEDA, TIPO_SALDO, DATO) VALUES ('2021-10-31','2021-10-31','111800206004','0424','15','1','0')</v>
      </c>
    </row>
    <row r="426" spans="19:26">
      <c r="S426" s="16" t="str">
        <f t="shared" si="32"/>
        <v>2021-10-31</v>
      </c>
      <c r="T426" s="16" t="str">
        <f t="shared" si="33"/>
        <v>111800206005</v>
      </c>
      <c r="U426" s="16" t="s">
        <v>33</v>
      </c>
      <c r="V426">
        <v>15</v>
      </c>
      <c r="W426">
        <v>1</v>
      </c>
      <c r="X426" s="15">
        <f t="shared" si="34"/>
        <v>0</v>
      </c>
      <c r="Z426" t="str">
        <f t="shared" si="35"/>
        <v>INSERT INTO REPORTWARE.RWH_IFRS9_R04A0424 (FECHA, PERIODO,CONCEPTO, SUBREPORTE, MONEDA, TIPO_SALDO, DATO) VALUES ('2021-10-31','2021-10-31','111800206005','0424','15','1','0')</v>
      </c>
    </row>
    <row r="427" spans="19:26">
      <c r="S427" s="16" t="str">
        <f t="shared" si="32"/>
        <v>2021-10-31</v>
      </c>
      <c r="T427" s="16" t="str">
        <f t="shared" si="33"/>
        <v>111800206006</v>
      </c>
      <c r="U427" s="16" t="s">
        <v>33</v>
      </c>
      <c r="V427">
        <v>15</v>
      </c>
      <c r="W427">
        <v>1</v>
      </c>
      <c r="X427" s="15">
        <f t="shared" si="34"/>
        <v>0</v>
      </c>
      <c r="Z427" t="str">
        <f t="shared" si="35"/>
        <v>INSERT INTO REPORTWARE.RWH_IFRS9_R04A0424 (FECHA, PERIODO,CONCEPTO, SUBREPORTE, MONEDA, TIPO_SALDO, DATO) VALUES ('2021-10-31','2021-10-31','111800206006','0424','15','1','0')</v>
      </c>
    </row>
    <row r="428" spans="19:26">
      <c r="S428" s="16" t="str">
        <f t="shared" si="32"/>
        <v>2021-10-31</v>
      </c>
      <c r="T428" s="16" t="str">
        <f t="shared" si="33"/>
        <v>111800206007</v>
      </c>
      <c r="U428" s="16" t="s">
        <v>33</v>
      </c>
      <c r="V428">
        <v>15</v>
      </c>
      <c r="W428">
        <v>1</v>
      </c>
      <c r="X428" s="15">
        <f t="shared" si="34"/>
        <v>0</v>
      </c>
      <c r="Z428" t="str">
        <f t="shared" si="35"/>
        <v>INSERT INTO REPORTWARE.RWH_IFRS9_R04A0424 (FECHA, PERIODO,CONCEPTO, SUBREPORTE, MONEDA, TIPO_SALDO, DATO) VALUES ('2021-10-31','2021-10-31','111800206007','0424','15','1','0')</v>
      </c>
    </row>
    <row r="429" spans="19:26">
      <c r="S429" s="16" t="str">
        <f t="shared" si="32"/>
        <v>2021-10-31</v>
      </c>
      <c r="T429" s="16" t="str">
        <f t="shared" si="33"/>
        <v>111800206008</v>
      </c>
      <c r="U429" s="16" t="s">
        <v>33</v>
      </c>
      <c r="V429">
        <v>15</v>
      </c>
      <c r="W429">
        <v>1</v>
      </c>
      <c r="X429" s="15">
        <f t="shared" si="34"/>
        <v>0</v>
      </c>
      <c r="Z429" t="str">
        <f t="shared" si="35"/>
        <v>INSERT INTO REPORTWARE.RWH_IFRS9_R04A0424 (FECHA, PERIODO,CONCEPTO, SUBREPORTE, MONEDA, TIPO_SALDO, DATO) VALUES ('2021-10-31','2021-10-31','111800206008','0424','15','1','0')</v>
      </c>
    </row>
    <row r="430" spans="19:26">
      <c r="S430" s="16" t="str">
        <f t="shared" si="32"/>
        <v>2021-10-31</v>
      </c>
      <c r="T430" s="16" t="str">
        <f t="shared" si="33"/>
        <v>111800206009</v>
      </c>
      <c r="U430" s="16" t="s">
        <v>33</v>
      </c>
      <c r="V430">
        <v>15</v>
      </c>
      <c r="W430">
        <v>1</v>
      </c>
      <c r="X430" s="15">
        <f t="shared" si="34"/>
        <v>0</v>
      </c>
      <c r="Z430" t="str">
        <f t="shared" si="35"/>
        <v>INSERT INTO REPORTWARE.RWH_IFRS9_R04A0424 (FECHA, PERIODO,CONCEPTO, SUBREPORTE, MONEDA, TIPO_SALDO, DATO) VALUES ('2021-10-31','2021-10-31','111800206009','0424','15','1','0')</v>
      </c>
    </row>
    <row r="431" spans="19:26">
      <c r="S431" s="16" t="str">
        <f t="shared" si="32"/>
        <v>2021-10-31</v>
      </c>
      <c r="T431" s="16" t="str">
        <f t="shared" si="33"/>
        <v>111800206010</v>
      </c>
      <c r="U431" s="16" t="s">
        <v>33</v>
      </c>
      <c r="V431">
        <v>15</v>
      </c>
      <c r="W431">
        <v>1</v>
      </c>
      <c r="X431" s="15">
        <f t="shared" si="34"/>
        <v>0</v>
      </c>
      <c r="Z431" t="str">
        <f t="shared" si="35"/>
        <v>INSERT INTO REPORTWARE.RWH_IFRS9_R04A0424 (FECHA, PERIODO,CONCEPTO, SUBREPORTE, MONEDA, TIPO_SALDO, DATO) VALUES ('2021-10-31','2021-10-31','111800206010','0424','15','1','0')</v>
      </c>
    </row>
    <row r="432" spans="19:26">
      <c r="S432" s="16" t="str">
        <f t="shared" si="32"/>
        <v>2021-10-31</v>
      </c>
      <c r="T432" s="16" t="str">
        <f t="shared" si="33"/>
        <v>111800206011</v>
      </c>
      <c r="U432" s="16" t="s">
        <v>33</v>
      </c>
      <c r="V432">
        <v>15</v>
      </c>
      <c r="W432">
        <v>1</v>
      </c>
      <c r="X432" s="15">
        <f t="shared" si="34"/>
        <v>0</v>
      </c>
      <c r="Z432" t="str">
        <f t="shared" si="35"/>
        <v>INSERT INTO REPORTWARE.RWH_IFRS9_R04A0424 (FECHA, PERIODO,CONCEPTO, SUBREPORTE, MONEDA, TIPO_SALDO, DATO) VALUES ('2021-10-31','2021-10-31','111800206011','0424','15','1','0')</v>
      </c>
    </row>
    <row r="433" spans="19:26">
      <c r="S433" s="16" t="str">
        <f t="shared" si="32"/>
        <v>2021-10-31</v>
      </c>
      <c r="T433" s="16" t="str">
        <f t="shared" si="33"/>
        <v>111800105003</v>
      </c>
      <c r="U433" s="16" t="s">
        <v>33</v>
      </c>
      <c r="V433">
        <v>15</v>
      </c>
      <c r="W433">
        <v>1</v>
      </c>
      <c r="X433" s="15">
        <f t="shared" si="34"/>
        <v>0</v>
      </c>
      <c r="Z433" t="str">
        <f t="shared" si="35"/>
        <v>INSERT INTO REPORTWARE.RWH_IFRS9_R04A0424 (FECHA, PERIODO,CONCEPTO, SUBREPORTE, MONEDA, TIPO_SALDO, DATO) VALUES ('2021-10-31','2021-10-31','111800105003','0424','15','1','0')</v>
      </c>
    </row>
    <row r="434" spans="19:26">
      <c r="S434" s="16" t="str">
        <f t="shared" si="32"/>
        <v>2021-10-31</v>
      </c>
      <c r="T434" s="16" t="str">
        <f t="shared" si="33"/>
        <v>111800306012</v>
      </c>
      <c r="U434" s="16" t="s">
        <v>33</v>
      </c>
      <c r="V434">
        <v>15</v>
      </c>
      <c r="W434">
        <v>1</v>
      </c>
      <c r="X434" s="15">
        <f t="shared" si="34"/>
        <v>0</v>
      </c>
      <c r="Z434" t="str">
        <f t="shared" si="35"/>
        <v>INSERT INTO REPORTWARE.RWH_IFRS9_R04A0424 (FECHA, PERIODO,CONCEPTO, SUBREPORTE, MONEDA, TIPO_SALDO, DATO) VALUES ('2021-10-31','2021-10-31','111800306012','0424','15','1','0')</v>
      </c>
    </row>
    <row r="435" spans="19:26">
      <c r="S435" s="16" t="str">
        <f t="shared" si="32"/>
        <v>2021-10-31</v>
      </c>
      <c r="T435" s="16" t="str">
        <f t="shared" si="33"/>
        <v>111800306013</v>
      </c>
      <c r="U435" s="16" t="s">
        <v>33</v>
      </c>
      <c r="V435">
        <v>15</v>
      </c>
      <c r="W435">
        <v>1</v>
      </c>
      <c r="X435" s="15">
        <f t="shared" si="34"/>
        <v>0</v>
      </c>
      <c r="Z435" t="str">
        <f t="shared" si="35"/>
        <v>INSERT INTO REPORTWARE.RWH_IFRS9_R04A0424 (FECHA, PERIODO,CONCEPTO, SUBREPORTE, MONEDA, TIPO_SALDO, DATO) VALUES ('2021-10-31','2021-10-31','111800306013','0424','15','1','0')</v>
      </c>
    </row>
    <row r="436" spans="19:26">
      <c r="S436" s="16" t="str">
        <f t="shared" si="32"/>
        <v>2021-10-31</v>
      </c>
      <c r="T436" s="16" t="str">
        <f t="shared" si="33"/>
        <v>111800306014</v>
      </c>
      <c r="U436" s="16" t="s">
        <v>33</v>
      </c>
      <c r="V436">
        <v>15</v>
      </c>
      <c r="W436">
        <v>1</v>
      </c>
      <c r="X436" s="15">
        <f t="shared" si="34"/>
        <v>0</v>
      </c>
      <c r="Z436" t="str">
        <f t="shared" si="35"/>
        <v>INSERT INTO REPORTWARE.RWH_IFRS9_R04A0424 (FECHA, PERIODO,CONCEPTO, SUBREPORTE, MONEDA, TIPO_SALDO, DATO) VALUES ('2021-10-31','2021-10-31','111800306014','0424','15','1','0')</v>
      </c>
    </row>
    <row r="437" spans="19:26">
      <c r="S437" s="16" t="str">
        <f t="shared" si="32"/>
        <v>2021-10-31</v>
      </c>
      <c r="T437" s="16" t="str">
        <f t="shared" si="33"/>
        <v>111801407015</v>
      </c>
      <c r="U437" s="16" t="s">
        <v>33</v>
      </c>
      <c r="V437">
        <v>15</v>
      </c>
      <c r="W437">
        <v>1</v>
      </c>
      <c r="X437" s="15">
        <f t="shared" si="34"/>
        <v>0</v>
      </c>
      <c r="Z437" t="str">
        <f t="shared" si="35"/>
        <v>INSERT INTO REPORTWARE.RWH_IFRS9_R04A0424 (FECHA, PERIODO,CONCEPTO, SUBREPORTE, MONEDA, TIPO_SALDO, DATO) VALUES ('2021-10-31','2021-10-31','111801407015','0424','15','1','0')</v>
      </c>
    </row>
    <row r="438" spans="19:26">
      <c r="S438" s="16" t="str">
        <f t="shared" si="32"/>
        <v>2021-10-31</v>
      </c>
      <c r="T438" s="16" t="str">
        <f t="shared" si="33"/>
        <v>111801407016</v>
      </c>
      <c r="U438" s="16" t="s">
        <v>33</v>
      </c>
      <c r="V438">
        <v>15</v>
      </c>
      <c r="W438">
        <v>1</v>
      </c>
      <c r="X438" s="15">
        <f t="shared" si="34"/>
        <v>0</v>
      </c>
      <c r="Z438" t="str">
        <f t="shared" si="35"/>
        <v>INSERT INTO REPORTWARE.RWH_IFRS9_R04A0424 (FECHA, PERIODO,CONCEPTO, SUBREPORTE, MONEDA, TIPO_SALDO, DATO) VALUES ('2021-10-31','2021-10-31','111801407016','0424','15','1','0')</v>
      </c>
    </row>
    <row r="439" spans="19:26">
      <c r="S439" s="16" t="str">
        <f t="shared" si="32"/>
        <v>2021-10-31</v>
      </c>
      <c r="T439" s="16" t="str">
        <f t="shared" si="33"/>
        <v>111801407017</v>
      </c>
      <c r="U439" s="16" t="s">
        <v>33</v>
      </c>
      <c r="V439">
        <v>15</v>
      </c>
      <c r="W439">
        <v>1</v>
      </c>
      <c r="X439" s="15">
        <f t="shared" si="34"/>
        <v>0</v>
      </c>
      <c r="Z439" t="str">
        <f t="shared" si="35"/>
        <v>INSERT INTO REPORTWARE.RWH_IFRS9_R04A0424 (FECHA, PERIODO,CONCEPTO, SUBREPORTE, MONEDA, TIPO_SALDO, DATO) VALUES ('2021-10-31','2021-10-31','111801407017','0424','15','1','0')</v>
      </c>
    </row>
    <row r="440" spans="19:26">
      <c r="S440" s="16" t="str">
        <f t="shared" si="32"/>
        <v>2021-10-31</v>
      </c>
      <c r="T440" s="16" t="str">
        <f t="shared" si="33"/>
        <v>111800306015</v>
      </c>
      <c r="U440" s="16" t="s">
        <v>33</v>
      </c>
      <c r="V440">
        <v>15</v>
      </c>
      <c r="W440">
        <v>1</v>
      </c>
      <c r="X440" s="15">
        <f t="shared" si="34"/>
        <v>0</v>
      </c>
      <c r="Z440" t="str">
        <f t="shared" si="35"/>
        <v>INSERT INTO REPORTWARE.RWH_IFRS9_R04A0424 (FECHA, PERIODO,CONCEPTO, SUBREPORTE, MONEDA, TIPO_SALDO, DATO) VALUES ('2021-10-31','2021-10-31','111800306015','0424','15','1','0')</v>
      </c>
    </row>
    <row r="441" spans="19:26">
      <c r="S441" s="16" t="str">
        <f t="shared" si="32"/>
        <v>2021-10-31</v>
      </c>
      <c r="T441" s="16" t="str">
        <f t="shared" si="33"/>
        <v>111800306016</v>
      </c>
      <c r="U441" s="16" t="s">
        <v>33</v>
      </c>
      <c r="V441">
        <v>15</v>
      </c>
      <c r="W441">
        <v>1</v>
      </c>
      <c r="X441" s="15">
        <f t="shared" si="34"/>
        <v>0</v>
      </c>
      <c r="Z441" t="str">
        <f t="shared" si="35"/>
        <v>INSERT INTO REPORTWARE.RWH_IFRS9_R04A0424 (FECHA, PERIODO,CONCEPTO, SUBREPORTE, MONEDA, TIPO_SALDO, DATO) VALUES ('2021-10-31','2021-10-31','111800306016','0424','15','1','0')</v>
      </c>
    </row>
    <row r="442" spans="19:26">
      <c r="S442" s="16" t="str">
        <f t="shared" si="32"/>
        <v>2021-10-31</v>
      </c>
      <c r="T442" s="16" t="str">
        <f t="shared" si="33"/>
        <v>101800104002</v>
      </c>
      <c r="U442" s="16" t="s">
        <v>33</v>
      </c>
      <c r="V442">
        <v>15</v>
      </c>
      <c r="W442">
        <v>1</v>
      </c>
      <c r="X442" s="15">
        <f t="shared" si="34"/>
        <v>0</v>
      </c>
      <c r="Z442" t="str">
        <f t="shared" si="35"/>
        <v>INSERT INTO REPORTWARE.RWH_IFRS9_R04A0424 (FECHA, PERIODO,CONCEPTO, SUBREPORTE, MONEDA, TIPO_SALDO, DATO) VALUES ('2021-10-31','2021-10-31','101800104002','0424','15','1','0')</v>
      </c>
    </row>
    <row r="443" spans="19:26">
      <c r="S443" s="16" t="str">
        <f t="shared" si="32"/>
        <v>2021-10-31</v>
      </c>
      <c r="T443" s="16" t="str">
        <f t="shared" si="33"/>
        <v>111800205005</v>
      </c>
      <c r="U443" s="16" t="s">
        <v>33</v>
      </c>
      <c r="V443">
        <v>15</v>
      </c>
      <c r="W443">
        <v>1</v>
      </c>
      <c r="X443" s="15">
        <f t="shared" si="34"/>
        <v>0</v>
      </c>
      <c r="Z443" t="str">
        <f t="shared" si="35"/>
        <v>INSERT INTO REPORTWARE.RWH_IFRS9_R04A0424 (FECHA, PERIODO,CONCEPTO, SUBREPORTE, MONEDA, TIPO_SALDO, DATO) VALUES ('2021-10-31','2021-10-31','111800205005','0424','15','1','0')</v>
      </c>
    </row>
    <row r="444" spans="19:26">
      <c r="S444" s="16" t="str">
        <f t="shared" ref="S444:S503" si="36">$Q$4</f>
        <v>2021-10-31</v>
      </c>
      <c r="T444" s="16" t="str">
        <f t="shared" ref="T444:T503" si="37">A69</f>
        <v>111800506017</v>
      </c>
      <c r="U444" s="16" t="s">
        <v>33</v>
      </c>
      <c r="V444">
        <v>15</v>
      </c>
      <c r="W444">
        <v>1</v>
      </c>
      <c r="X444" s="15">
        <f t="shared" ref="X444:X503" si="38">M69</f>
        <v>0</v>
      </c>
      <c r="Z444" t="str">
        <f t="shared" si="35"/>
        <v>INSERT INTO REPORTWARE.RWH_IFRS9_R04A0424 (FECHA, PERIODO,CONCEPTO, SUBREPORTE, MONEDA, TIPO_SALDO, DATO) VALUES ('2021-10-31','2021-10-31','111800506017','0424','15','1','0')</v>
      </c>
    </row>
    <row r="445" spans="19:26">
      <c r="S445" s="16" t="str">
        <f t="shared" si="36"/>
        <v>2021-10-31</v>
      </c>
      <c r="T445" s="16" t="str">
        <f t="shared" si="37"/>
        <v>111801707018</v>
      </c>
      <c r="U445" s="16" t="s">
        <v>33</v>
      </c>
      <c r="V445">
        <v>15</v>
      </c>
      <c r="W445">
        <v>1</v>
      </c>
      <c r="X445" s="15">
        <f t="shared" si="38"/>
        <v>0</v>
      </c>
      <c r="Z445" t="str">
        <f t="shared" si="35"/>
        <v>INSERT INTO REPORTWARE.RWH_IFRS9_R04A0424 (FECHA, PERIODO,CONCEPTO, SUBREPORTE, MONEDA, TIPO_SALDO, DATO) VALUES ('2021-10-31','2021-10-31','111801707018','0424','15','1','0')</v>
      </c>
    </row>
    <row r="446" spans="19:26">
      <c r="S446" s="16" t="str">
        <f t="shared" si="36"/>
        <v>2021-10-31</v>
      </c>
      <c r="T446" s="16" t="str">
        <f t="shared" si="37"/>
        <v>111801808027</v>
      </c>
      <c r="U446" s="16" t="s">
        <v>33</v>
      </c>
      <c r="V446">
        <v>15</v>
      </c>
      <c r="W446">
        <v>1</v>
      </c>
      <c r="X446" s="15">
        <f t="shared" si="38"/>
        <v>0</v>
      </c>
      <c r="Z446" t="str">
        <f t="shared" si="35"/>
        <v>INSERT INTO REPORTWARE.RWH_IFRS9_R04A0424 (FECHA, PERIODO,CONCEPTO, SUBREPORTE, MONEDA, TIPO_SALDO, DATO) VALUES ('2021-10-31','2021-10-31','111801808027','0424','15','1','0')</v>
      </c>
    </row>
    <row r="447" spans="19:26">
      <c r="S447" s="16" t="str">
        <f t="shared" si="36"/>
        <v>2021-10-31</v>
      </c>
      <c r="T447" s="16" t="str">
        <f t="shared" si="37"/>
        <v>111801808028</v>
      </c>
      <c r="U447" s="16" t="s">
        <v>33</v>
      </c>
      <c r="V447">
        <v>15</v>
      </c>
      <c r="W447">
        <v>1</v>
      </c>
      <c r="X447" s="15">
        <f t="shared" si="38"/>
        <v>0</v>
      </c>
      <c r="Z447" t="str">
        <f t="shared" si="35"/>
        <v>INSERT INTO REPORTWARE.RWH_IFRS9_R04A0424 (FECHA, PERIODO,CONCEPTO, SUBREPORTE, MONEDA, TIPO_SALDO, DATO) VALUES ('2021-10-31','2021-10-31','111801808028','0424','15','1','0')</v>
      </c>
    </row>
    <row r="448" spans="19:26">
      <c r="S448" s="16" t="str">
        <f t="shared" si="36"/>
        <v>2021-10-31</v>
      </c>
      <c r="T448" s="16" t="str">
        <f t="shared" si="37"/>
        <v>111801707019</v>
      </c>
      <c r="U448" s="16" t="s">
        <v>33</v>
      </c>
      <c r="V448">
        <v>15</v>
      </c>
      <c r="W448">
        <v>1</v>
      </c>
      <c r="X448" s="15">
        <f t="shared" si="38"/>
        <v>0</v>
      </c>
      <c r="Z448" t="str">
        <f t="shared" si="35"/>
        <v>INSERT INTO REPORTWARE.RWH_IFRS9_R04A0424 (FECHA, PERIODO,CONCEPTO, SUBREPORTE, MONEDA, TIPO_SALDO, DATO) VALUES ('2021-10-31','2021-10-31','111801707019','0424','15','1','0')</v>
      </c>
    </row>
    <row r="449" spans="19:26">
      <c r="S449" s="16" t="str">
        <f t="shared" si="36"/>
        <v>2021-10-31</v>
      </c>
      <c r="T449" s="16" t="str">
        <f t="shared" si="37"/>
        <v>111801908029</v>
      </c>
      <c r="U449" s="16" t="s">
        <v>33</v>
      </c>
      <c r="V449">
        <v>15</v>
      </c>
      <c r="W449">
        <v>1</v>
      </c>
      <c r="X449" s="15">
        <f t="shared" si="38"/>
        <v>0</v>
      </c>
      <c r="Z449" t="str">
        <f t="shared" si="35"/>
        <v>INSERT INTO REPORTWARE.RWH_IFRS9_R04A0424 (FECHA, PERIODO,CONCEPTO, SUBREPORTE, MONEDA, TIPO_SALDO, DATO) VALUES ('2021-10-31','2021-10-31','111801908029','0424','15','1','0')</v>
      </c>
    </row>
    <row r="450" spans="19:26">
      <c r="S450" s="16" t="str">
        <f t="shared" si="36"/>
        <v>2021-10-31</v>
      </c>
      <c r="T450" s="16" t="str">
        <f t="shared" si="37"/>
        <v>111801908030</v>
      </c>
      <c r="U450" s="16" t="s">
        <v>33</v>
      </c>
      <c r="V450">
        <v>15</v>
      </c>
      <c r="W450">
        <v>1</v>
      </c>
      <c r="X450" s="15">
        <f t="shared" si="38"/>
        <v>0</v>
      </c>
      <c r="Z450" t="str">
        <f t="shared" si="35"/>
        <v>INSERT INTO REPORTWARE.RWH_IFRS9_R04A0424 (FECHA, PERIODO,CONCEPTO, SUBREPORTE, MONEDA, TIPO_SALDO, DATO) VALUES ('2021-10-31','2021-10-31','111801908030','0424','15','1','0')</v>
      </c>
    </row>
    <row r="451" spans="19:26">
      <c r="S451" s="16" t="str">
        <f t="shared" si="36"/>
        <v>2021-10-31</v>
      </c>
      <c r="T451" s="16" t="str">
        <f t="shared" si="37"/>
        <v>111801908031</v>
      </c>
      <c r="U451" s="16" t="s">
        <v>33</v>
      </c>
      <c r="V451">
        <v>15</v>
      </c>
      <c r="W451">
        <v>1</v>
      </c>
      <c r="X451" s="15">
        <f t="shared" si="38"/>
        <v>0</v>
      </c>
      <c r="Z451" t="str">
        <f t="shared" si="35"/>
        <v>INSERT INTO REPORTWARE.RWH_IFRS9_R04A0424 (FECHA, PERIODO,CONCEPTO, SUBREPORTE, MONEDA, TIPO_SALDO, DATO) VALUES ('2021-10-31','2021-10-31','111801908031','0424','15','1','0')</v>
      </c>
    </row>
    <row r="452" spans="19:26">
      <c r="S452" s="16" t="str">
        <f t="shared" si="36"/>
        <v>2021-10-31</v>
      </c>
      <c r="T452" s="16" t="str">
        <f t="shared" si="37"/>
        <v>111801707020</v>
      </c>
      <c r="U452" s="16" t="s">
        <v>33</v>
      </c>
      <c r="V452">
        <v>15</v>
      </c>
      <c r="W452">
        <v>1</v>
      </c>
      <c r="X452" s="15">
        <f t="shared" si="38"/>
        <v>0</v>
      </c>
      <c r="Z452" t="str">
        <f t="shared" si="35"/>
        <v>INSERT INTO REPORTWARE.RWH_IFRS9_R04A0424 (FECHA, PERIODO,CONCEPTO, SUBREPORTE, MONEDA, TIPO_SALDO, DATO) VALUES ('2021-10-31','2021-10-31','111801707020','0424','15','1','0')</v>
      </c>
    </row>
    <row r="453" spans="19:26">
      <c r="S453" s="16" t="str">
        <f t="shared" si="36"/>
        <v>2021-10-31</v>
      </c>
      <c r="T453" s="16" t="str">
        <f t="shared" si="37"/>
        <v>111802008032</v>
      </c>
      <c r="U453" s="16" t="s">
        <v>33</v>
      </c>
      <c r="V453">
        <v>15</v>
      </c>
      <c r="W453">
        <v>1</v>
      </c>
      <c r="X453" s="15">
        <f t="shared" si="38"/>
        <v>0</v>
      </c>
      <c r="Z453" t="str">
        <f t="shared" ref="Z453:Z503" si="39">"INSERT INTO REPORTWARE.RWH_IFRS9_R04A0424 (FECHA, PERIODO,CONCEPTO, SUBREPORTE, MONEDA, TIPO_SALDO, DATO) VALUES ('"&amp;S453&amp;"','"&amp;S453&amp;"','"&amp;T453&amp;"','"&amp;U453&amp;"','"&amp;V453&amp;"','"&amp;W453&amp;"','"&amp;X453&amp;"')"</f>
        <v>INSERT INTO REPORTWARE.RWH_IFRS9_R04A0424 (FECHA, PERIODO,CONCEPTO, SUBREPORTE, MONEDA, TIPO_SALDO, DATO) VALUES ('2021-10-31','2021-10-31','111802008032','0424','15','1','0')</v>
      </c>
    </row>
    <row r="454" spans="19:26">
      <c r="S454" s="16" t="str">
        <f t="shared" si="36"/>
        <v>2021-10-31</v>
      </c>
      <c r="T454" s="16" t="str">
        <f t="shared" si="37"/>
        <v>111802008033</v>
      </c>
      <c r="U454" s="16" t="s">
        <v>33</v>
      </c>
      <c r="V454">
        <v>15</v>
      </c>
      <c r="W454">
        <v>1</v>
      </c>
      <c r="X454" s="15">
        <f t="shared" si="38"/>
        <v>0</v>
      </c>
      <c r="Z454" t="str">
        <f t="shared" si="39"/>
        <v>INSERT INTO REPORTWARE.RWH_IFRS9_R04A0424 (FECHA, PERIODO,CONCEPTO, SUBREPORTE, MONEDA, TIPO_SALDO, DATO) VALUES ('2021-10-31','2021-10-31','111802008033','0424','15','1','0')</v>
      </c>
    </row>
    <row r="455" spans="19:26">
      <c r="S455" s="16" t="str">
        <f t="shared" si="36"/>
        <v>2021-10-31</v>
      </c>
      <c r="T455" s="16" t="str">
        <f t="shared" si="37"/>
        <v>111801707021</v>
      </c>
      <c r="U455" s="16" t="s">
        <v>33</v>
      </c>
      <c r="V455">
        <v>15</v>
      </c>
      <c r="W455">
        <v>1</v>
      </c>
      <c r="X455" s="15">
        <f t="shared" si="38"/>
        <v>0</v>
      </c>
      <c r="Z455" t="str">
        <f t="shared" si="39"/>
        <v>INSERT INTO REPORTWARE.RWH_IFRS9_R04A0424 (FECHA, PERIODO,CONCEPTO, SUBREPORTE, MONEDA, TIPO_SALDO, DATO) VALUES ('2021-10-31','2021-10-31','111801707021','0424','15','1','0')</v>
      </c>
    </row>
    <row r="456" spans="19:26">
      <c r="S456" s="16" t="str">
        <f t="shared" si="36"/>
        <v>2021-10-31</v>
      </c>
      <c r="T456" s="16" t="str">
        <f t="shared" si="37"/>
        <v>111801707022</v>
      </c>
      <c r="U456" s="16" t="s">
        <v>33</v>
      </c>
      <c r="V456">
        <v>15</v>
      </c>
      <c r="W456">
        <v>1</v>
      </c>
      <c r="X456" s="15">
        <f t="shared" si="38"/>
        <v>0</v>
      </c>
      <c r="Z456" t="str">
        <f t="shared" si="39"/>
        <v>INSERT INTO REPORTWARE.RWH_IFRS9_R04A0424 (FECHA, PERIODO,CONCEPTO, SUBREPORTE, MONEDA, TIPO_SALDO, DATO) VALUES ('2021-10-31','2021-10-31','111801707022','0424','15','1','0')</v>
      </c>
    </row>
    <row r="457" spans="19:26">
      <c r="S457" s="16" t="str">
        <f t="shared" si="36"/>
        <v>2021-10-31</v>
      </c>
      <c r="T457" s="16" t="str">
        <f t="shared" si="37"/>
        <v>111801707023</v>
      </c>
      <c r="U457" s="16" t="s">
        <v>33</v>
      </c>
      <c r="V457">
        <v>15</v>
      </c>
      <c r="W457">
        <v>1</v>
      </c>
      <c r="X457" s="15">
        <f t="shared" si="38"/>
        <v>0</v>
      </c>
      <c r="Z457" t="str">
        <f t="shared" si="39"/>
        <v>INSERT INTO REPORTWARE.RWH_IFRS9_R04A0424 (FECHA, PERIODO,CONCEPTO, SUBREPORTE, MONEDA, TIPO_SALDO, DATO) VALUES ('2021-10-31','2021-10-31','111801707023','0424','15','1','0')</v>
      </c>
    </row>
    <row r="458" spans="19:26">
      <c r="S458" s="16" t="str">
        <f t="shared" si="36"/>
        <v>2021-10-31</v>
      </c>
      <c r="T458" s="16" t="str">
        <f t="shared" si="37"/>
        <v>111801707024</v>
      </c>
      <c r="U458" s="16" t="s">
        <v>33</v>
      </c>
      <c r="V458">
        <v>15</v>
      </c>
      <c r="W458">
        <v>1</v>
      </c>
      <c r="X458" s="15">
        <f t="shared" si="38"/>
        <v>0</v>
      </c>
      <c r="Z458" t="str">
        <f t="shared" si="39"/>
        <v>INSERT INTO REPORTWARE.RWH_IFRS9_R04A0424 (FECHA, PERIODO,CONCEPTO, SUBREPORTE, MONEDA, TIPO_SALDO, DATO) VALUES ('2021-10-31','2021-10-31','111801707024','0424','15','1','0')</v>
      </c>
    </row>
    <row r="459" spans="19:26">
      <c r="S459" s="16" t="str">
        <f t="shared" si="36"/>
        <v>2021-10-31</v>
      </c>
      <c r="T459" s="16" t="str">
        <f t="shared" si="37"/>
        <v>111801707025</v>
      </c>
      <c r="U459" s="16" t="s">
        <v>33</v>
      </c>
      <c r="V459">
        <v>15</v>
      </c>
      <c r="W459">
        <v>1</v>
      </c>
      <c r="X459" s="15">
        <f t="shared" si="38"/>
        <v>0</v>
      </c>
      <c r="Z459" t="str">
        <f t="shared" si="39"/>
        <v>INSERT INTO REPORTWARE.RWH_IFRS9_R04A0424 (FECHA, PERIODO,CONCEPTO, SUBREPORTE, MONEDA, TIPO_SALDO, DATO) VALUES ('2021-10-31','2021-10-31','111801707025','0424','15','1','0')</v>
      </c>
    </row>
    <row r="460" spans="19:26">
      <c r="S460" s="16" t="str">
        <f t="shared" si="36"/>
        <v>2021-10-31</v>
      </c>
      <c r="T460" s="16" t="str">
        <f t="shared" si="37"/>
        <v>111800506018</v>
      </c>
      <c r="U460" s="16" t="s">
        <v>33</v>
      </c>
      <c r="V460">
        <v>15</v>
      </c>
      <c r="W460">
        <v>1</v>
      </c>
      <c r="X460" s="15">
        <f t="shared" si="38"/>
        <v>0</v>
      </c>
      <c r="Z460" t="str">
        <f t="shared" si="39"/>
        <v>INSERT INTO REPORTWARE.RWH_IFRS9_R04A0424 (FECHA, PERIODO,CONCEPTO, SUBREPORTE, MONEDA, TIPO_SALDO, DATO) VALUES ('2021-10-31','2021-10-31','111800506018','0424','15','1','0')</v>
      </c>
    </row>
    <row r="461" spans="19:26">
      <c r="S461" s="16" t="str">
        <f t="shared" si="36"/>
        <v>2021-10-31</v>
      </c>
      <c r="T461" s="16" t="str">
        <f t="shared" si="37"/>
        <v>111801807026</v>
      </c>
      <c r="U461" s="16" t="s">
        <v>33</v>
      </c>
      <c r="V461">
        <v>15</v>
      </c>
      <c r="W461">
        <v>1</v>
      </c>
      <c r="X461" s="15">
        <f t="shared" si="38"/>
        <v>0</v>
      </c>
      <c r="Z461" t="str">
        <f t="shared" si="39"/>
        <v>INSERT INTO REPORTWARE.RWH_IFRS9_R04A0424 (FECHA, PERIODO,CONCEPTO, SUBREPORTE, MONEDA, TIPO_SALDO, DATO) VALUES ('2021-10-31','2021-10-31','111801807026','0424','15','1','0')</v>
      </c>
    </row>
    <row r="462" spans="19:26">
      <c r="S462" s="16" t="str">
        <f t="shared" si="36"/>
        <v>2021-10-31</v>
      </c>
      <c r="T462" s="16" t="str">
        <f t="shared" si="37"/>
        <v>111802608034</v>
      </c>
      <c r="U462" s="16" t="s">
        <v>33</v>
      </c>
      <c r="V462">
        <v>15</v>
      </c>
      <c r="W462">
        <v>1</v>
      </c>
      <c r="X462" s="15">
        <f t="shared" si="38"/>
        <v>0</v>
      </c>
      <c r="Z462" t="str">
        <f t="shared" si="39"/>
        <v>INSERT INTO REPORTWARE.RWH_IFRS9_R04A0424 (FECHA, PERIODO,CONCEPTO, SUBREPORTE, MONEDA, TIPO_SALDO, DATO) VALUES ('2021-10-31','2021-10-31','111802608034','0424','15','1','0')</v>
      </c>
    </row>
    <row r="463" spans="19:26">
      <c r="S463" s="16" t="str">
        <f t="shared" si="36"/>
        <v>2021-10-31</v>
      </c>
      <c r="T463" s="16" t="str">
        <f t="shared" si="37"/>
        <v>111802608035</v>
      </c>
      <c r="U463" s="16" t="s">
        <v>33</v>
      </c>
      <c r="V463">
        <v>15</v>
      </c>
      <c r="W463">
        <v>1</v>
      </c>
      <c r="X463" s="15">
        <f t="shared" si="38"/>
        <v>0</v>
      </c>
      <c r="Z463" t="str">
        <f t="shared" si="39"/>
        <v>INSERT INTO REPORTWARE.RWH_IFRS9_R04A0424 (FECHA, PERIODO,CONCEPTO, SUBREPORTE, MONEDA, TIPO_SALDO, DATO) VALUES ('2021-10-31','2021-10-31','111802608035','0424','15','1','0')</v>
      </c>
    </row>
    <row r="464" spans="19:26">
      <c r="S464" s="16" t="str">
        <f t="shared" si="36"/>
        <v>2021-10-31</v>
      </c>
      <c r="T464" s="16" t="str">
        <f t="shared" si="37"/>
        <v>111802608036</v>
      </c>
      <c r="U464" s="16" t="s">
        <v>33</v>
      </c>
      <c r="V464">
        <v>15</v>
      </c>
      <c r="W464">
        <v>1</v>
      </c>
      <c r="X464" s="15">
        <f t="shared" si="38"/>
        <v>0</v>
      </c>
      <c r="Z464" t="str">
        <f t="shared" si="39"/>
        <v>INSERT INTO REPORTWARE.RWH_IFRS9_R04A0424 (FECHA, PERIODO,CONCEPTO, SUBREPORTE, MONEDA, TIPO_SALDO, DATO) VALUES ('2021-10-31','2021-10-31','111802608036','0424','15','1','0')</v>
      </c>
    </row>
    <row r="465" spans="19:26">
      <c r="S465" s="16" t="str">
        <f t="shared" si="36"/>
        <v>2021-10-31</v>
      </c>
      <c r="T465" s="16" t="str">
        <f t="shared" si="37"/>
        <v>111801807027</v>
      </c>
      <c r="U465" s="16" t="s">
        <v>33</v>
      </c>
      <c r="V465">
        <v>15</v>
      </c>
      <c r="W465">
        <v>1</v>
      </c>
      <c r="X465" s="15">
        <f t="shared" si="38"/>
        <v>0</v>
      </c>
      <c r="Z465" t="str">
        <f t="shared" si="39"/>
        <v>INSERT INTO REPORTWARE.RWH_IFRS9_R04A0424 (FECHA, PERIODO,CONCEPTO, SUBREPORTE, MONEDA, TIPO_SALDO, DATO) VALUES ('2021-10-31','2021-10-31','111801807027','0424','15','1','0')</v>
      </c>
    </row>
    <row r="466" spans="19:26">
      <c r="S466" s="16" t="str">
        <f t="shared" si="36"/>
        <v>2021-10-31</v>
      </c>
      <c r="T466" s="16" t="str">
        <f t="shared" si="37"/>
        <v>111802708037</v>
      </c>
      <c r="U466" s="16" t="s">
        <v>33</v>
      </c>
      <c r="V466">
        <v>15</v>
      </c>
      <c r="W466">
        <v>1</v>
      </c>
      <c r="X466" s="15">
        <f t="shared" si="38"/>
        <v>0</v>
      </c>
      <c r="Z466" t="str">
        <f t="shared" si="39"/>
        <v>INSERT INTO REPORTWARE.RWH_IFRS9_R04A0424 (FECHA, PERIODO,CONCEPTO, SUBREPORTE, MONEDA, TIPO_SALDO, DATO) VALUES ('2021-10-31','2021-10-31','111802708037','0424','15','1','0')</v>
      </c>
    </row>
    <row r="467" spans="19:26">
      <c r="S467" s="16" t="str">
        <f t="shared" si="36"/>
        <v>2021-10-31</v>
      </c>
      <c r="T467" s="16" t="str">
        <f t="shared" si="37"/>
        <v>111802708038</v>
      </c>
      <c r="U467" s="16" t="s">
        <v>33</v>
      </c>
      <c r="V467">
        <v>15</v>
      </c>
      <c r="W467">
        <v>1</v>
      </c>
      <c r="X467" s="15">
        <f t="shared" si="38"/>
        <v>0</v>
      </c>
      <c r="Z467" t="str">
        <f t="shared" si="39"/>
        <v>INSERT INTO REPORTWARE.RWH_IFRS9_R04A0424 (FECHA, PERIODO,CONCEPTO, SUBREPORTE, MONEDA, TIPO_SALDO, DATO) VALUES ('2021-10-31','2021-10-31','111802708038','0424','15','1','0')</v>
      </c>
    </row>
    <row r="468" spans="19:26">
      <c r="S468" s="16" t="str">
        <f t="shared" si="36"/>
        <v>2021-10-31</v>
      </c>
      <c r="T468" s="16" t="str">
        <f t="shared" si="37"/>
        <v>111802708039</v>
      </c>
      <c r="U468" s="16" t="s">
        <v>33</v>
      </c>
      <c r="V468">
        <v>15</v>
      </c>
      <c r="W468">
        <v>1</v>
      </c>
      <c r="X468" s="15">
        <f t="shared" si="38"/>
        <v>0</v>
      </c>
      <c r="Z468" t="str">
        <f t="shared" si="39"/>
        <v>INSERT INTO REPORTWARE.RWH_IFRS9_R04A0424 (FECHA, PERIODO,CONCEPTO, SUBREPORTE, MONEDA, TIPO_SALDO, DATO) VALUES ('2021-10-31','2021-10-31','111802708039','0424','15','1','0')</v>
      </c>
    </row>
    <row r="469" spans="19:26">
      <c r="S469" s="16" t="str">
        <f t="shared" si="36"/>
        <v>2021-10-31</v>
      </c>
      <c r="T469" s="16" t="str">
        <f t="shared" si="37"/>
        <v>111800506019</v>
      </c>
      <c r="U469" s="16" t="s">
        <v>33</v>
      </c>
      <c r="V469">
        <v>15</v>
      </c>
      <c r="W469">
        <v>1</v>
      </c>
      <c r="X469" s="15">
        <f t="shared" si="38"/>
        <v>0</v>
      </c>
      <c r="Z469" t="str">
        <f t="shared" si="39"/>
        <v>INSERT INTO REPORTWARE.RWH_IFRS9_R04A0424 (FECHA, PERIODO,CONCEPTO, SUBREPORTE, MONEDA, TIPO_SALDO, DATO) VALUES ('2021-10-31','2021-10-31','111800506019','0424','15','1','0')</v>
      </c>
    </row>
    <row r="470" spans="19:26">
      <c r="S470" s="16" t="str">
        <f t="shared" si="36"/>
        <v>2021-10-31</v>
      </c>
      <c r="T470" s="16" t="str">
        <f t="shared" si="37"/>
        <v>111801907028</v>
      </c>
      <c r="U470" s="16" t="s">
        <v>33</v>
      </c>
      <c r="V470">
        <v>15</v>
      </c>
      <c r="W470">
        <v>1</v>
      </c>
      <c r="X470" s="15">
        <f t="shared" si="38"/>
        <v>0</v>
      </c>
      <c r="Z470" t="str">
        <f t="shared" si="39"/>
        <v>INSERT INTO REPORTWARE.RWH_IFRS9_R04A0424 (FECHA, PERIODO,CONCEPTO, SUBREPORTE, MONEDA, TIPO_SALDO, DATO) VALUES ('2021-10-31','2021-10-31','111801907028','0424','15','1','0')</v>
      </c>
    </row>
    <row r="471" spans="19:26">
      <c r="S471" s="16" t="str">
        <f t="shared" si="36"/>
        <v>2021-10-31</v>
      </c>
      <c r="T471" s="16" t="str">
        <f t="shared" si="37"/>
        <v>111801907029</v>
      </c>
      <c r="U471" s="16" t="s">
        <v>33</v>
      </c>
      <c r="V471">
        <v>15</v>
      </c>
      <c r="W471">
        <v>1</v>
      </c>
      <c r="X471" s="15">
        <f t="shared" si="38"/>
        <v>0</v>
      </c>
      <c r="Z471" t="str">
        <f t="shared" si="39"/>
        <v>INSERT INTO REPORTWARE.RWH_IFRS9_R04A0424 (FECHA, PERIODO,CONCEPTO, SUBREPORTE, MONEDA, TIPO_SALDO, DATO) VALUES ('2021-10-31','2021-10-31','111801907029','0424','15','1','0')</v>
      </c>
    </row>
    <row r="472" spans="19:26">
      <c r="S472" s="16" t="str">
        <f t="shared" si="36"/>
        <v>2021-10-31</v>
      </c>
      <c r="T472" s="16" t="str">
        <f t="shared" si="37"/>
        <v>111802908040</v>
      </c>
      <c r="U472" s="16" t="s">
        <v>33</v>
      </c>
      <c r="V472">
        <v>15</v>
      </c>
      <c r="W472">
        <v>1</v>
      </c>
      <c r="X472" s="15">
        <f t="shared" si="38"/>
        <v>0</v>
      </c>
      <c r="Z472" t="str">
        <f t="shared" si="39"/>
        <v>INSERT INTO REPORTWARE.RWH_IFRS9_R04A0424 (FECHA, PERIODO,CONCEPTO, SUBREPORTE, MONEDA, TIPO_SALDO, DATO) VALUES ('2021-10-31','2021-10-31','111802908040','0424','15','1','0')</v>
      </c>
    </row>
    <row r="473" spans="19:26">
      <c r="S473" s="16" t="str">
        <f t="shared" si="36"/>
        <v>2021-10-31</v>
      </c>
      <c r="T473" s="16" t="str">
        <f t="shared" si="37"/>
        <v>111802908041</v>
      </c>
      <c r="U473" s="16" t="s">
        <v>33</v>
      </c>
      <c r="V473">
        <v>15</v>
      </c>
      <c r="W473">
        <v>1</v>
      </c>
      <c r="X473" s="15">
        <f t="shared" si="38"/>
        <v>0</v>
      </c>
      <c r="Z473" t="str">
        <f t="shared" si="39"/>
        <v>INSERT INTO REPORTWARE.RWH_IFRS9_R04A0424 (FECHA, PERIODO,CONCEPTO, SUBREPORTE, MONEDA, TIPO_SALDO, DATO) VALUES ('2021-10-31','2021-10-31','111802908041','0424','15','1','0')</v>
      </c>
    </row>
    <row r="474" spans="19:26">
      <c r="S474" s="16" t="str">
        <f t="shared" si="36"/>
        <v>2021-10-31</v>
      </c>
      <c r="T474" s="16" t="str">
        <f t="shared" si="37"/>
        <v>111802908042</v>
      </c>
      <c r="U474" s="16" t="s">
        <v>33</v>
      </c>
      <c r="V474">
        <v>15</v>
      </c>
      <c r="W474">
        <v>1</v>
      </c>
      <c r="X474" s="15">
        <f t="shared" si="38"/>
        <v>0</v>
      </c>
      <c r="Z474" t="str">
        <f t="shared" si="39"/>
        <v>INSERT INTO REPORTWARE.RWH_IFRS9_R04A0424 (FECHA, PERIODO,CONCEPTO, SUBREPORTE, MONEDA, TIPO_SALDO, DATO) VALUES ('2021-10-31','2021-10-31','111802908042','0424','15','1','0')</v>
      </c>
    </row>
    <row r="475" spans="19:26">
      <c r="S475" s="16" t="str">
        <f t="shared" si="36"/>
        <v>2021-10-31</v>
      </c>
      <c r="T475" s="16" t="str">
        <f t="shared" si="37"/>
        <v>111802908043</v>
      </c>
      <c r="U475" s="16" t="s">
        <v>33</v>
      </c>
      <c r="V475">
        <v>15</v>
      </c>
      <c r="W475">
        <v>1</v>
      </c>
      <c r="X475" s="15">
        <f t="shared" si="38"/>
        <v>0</v>
      </c>
      <c r="Z475" t="str">
        <f t="shared" si="39"/>
        <v>INSERT INTO REPORTWARE.RWH_IFRS9_R04A0424 (FECHA, PERIODO,CONCEPTO, SUBREPORTE, MONEDA, TIPO_SALDO, DATO) VALUES ('2021-10-31','2021-10-31','111802908043','0424','15','1','0')</v>
      </c>
    </row>
    <row r="476" spans="19:26">
      <c r="S476" s="16" t="str">
        <f t="shared" si="36"/>
        <v>2021-10-31</v>
      </c>
      <c r="T476" s="16" t="str">
        <f t="shared" si="37"/>
        <v>111802908044</v>
      </c>
      <c r="U476" s="16" t="s">
        <v>33</v>
      </c>
      <c r="V476">
        <v>15</v>
      </c>
      <c r="W476">
        <v>1</v>
      </c>
      <c r="X476" s="15">
        <f t="shared" si="38"/>
        <v>0</v>
      </c>
      <c r="Z476" t="str">
        <f t="shared" si="39"/>
        <v>INSERT INTO REPORTWARE.RWH_IFRS9_R04A0424 (FECHA, PERIODO,CONCEPTO, SUBREPORTE, MONEDA, TIPO_SALDO, DATO) VALUES ('2021-10-31','2021-10-31','111802908044','0424','15','1','0')</v>
      </c>
    </row>
    <row r="477" spans="19:26">
      <c r="S477" s="16" t="str">
        <f t="shared" si="36"/>
        <v>2021-10-31</v>
      </c>
      <c r="T477" s="16" t="str">
        <f t="shared" si="37"/>
        <v>111801907030</v>
      </c>
      <c r="U477" s="16" t="s">
        <v>33</v>
      </c>
      <c r="V477">
        <v>15</v>
      </c>
      <c r="W477">
        <v>1</v>
      </c>
      <c r="X477" s="15">
        <f t="shared" si="38"/>
        <v>0</v>
      </c>
      <c r="Z477" t="str">
        <f t="shared" si="39"/>
        <v>INSERT INTO REPORTWARE.RWH_IFRS9_R04A0424 (FECHA, PERIODO,CONCEPTO, SUBREPORTE, MONEDA, TIPO_SALDO, DATO) VALUES ('2021-10-31','2021-10-31','111801907030','0424','15','1','0')</v>
      </c>
    </row>
    <row r="478" spans="19:26">
      <c r="S478" s="16" t="str">
        <f t="shared" si="36"/>
        <v>2021-10-31</v>
      </c>
      <c r="T478" s="16" t="str">
        <f t="shared" si="37"/>
        <v>111803008045</v>
      </c>
      <c r="U478" s="16" t="s">
        <v>33</v>
      </c>
      <c r="V478">
        <v>15</v>
      </c>
      <c r="W478">
        <v>1</v>
      </c>
      <c r="X478" s="15">
        <f t="shared" si="38"/>
        <v>0</v>
      </c>
      <c r="Z478" t="str">
        <f t="shared" si="39"/>
        <v>INSERT INTO REPORTWARE.RWH_IFRS9_R04A0424 (FECHA, PERIODO,CONCEPTO, SUBREPORTE, MONEDA, TIPO_SALDO, DATO) VALUES ('2021-10-31','2021-10-31','111803008045','0424','15','1','0')</v>
      </c>
    </row>
    <row r="479" spans="19:26">
      <c r="S479" s="16" t="str">
        <f t="shared" si="36"/>
        <v>2021-10-31</v>
      </c>
      <c r="T479" s="16" t="str">
        <f t="shared" si="37"/>
        <v>111803008046</v>
      </c>
      <c r="U479" s="16" t="s">
        <v>33</v>
      </c>
      <c r="V479">
        <v>15</v>
      </c>
      <c r="W479">
        <v>1</v>
      </c>
      <c r="X479" s="15">
        <f t="shared" si="38"/>
        <v>0</v>
      </c>
      <c r="Z479" t="str">
        <f t="shared" si="39"/>
        <v>INSERT INTO REPORTWARE.RWH_IFRS9_R04A0424 (FECHA, PERIODO,CONCEPTO, SUBREPORTE, MONEDA, TIPO_SALDO, DATO) VALUES ('2021-10-31','2021-10-31','111803008046','0424','15','1','0')</v>
      </c>
    </row>
    <row r="480" spans="19:26">
      <c r="S480" s="16" t="str">
        <f t="shared" si="36"/>
        <v>2021-10-31</v>
      </c>
      <c r="T480" s="16" t="str">
        <f t="shared" si="37"/>
        <v>111803008047</v>
      </c>
      <c r="U480" s="16" t="s">
        <v>33</v>
      </c>
      <c r="V480">
        <v>15</v>
      </c>
      <c r="W480">
        <v>1</v>
      </c>
      <c r="X480" s="15">
        <f t="shared" si="38"/>
        <v>0</v>
      </c>
      <c r="Z480" t="str">
        <f t="shared" si="39"/>
        <v>INSERT INTO REPORTWARE.RWH_IFRS9_R04A0424 (FECHA, PERIODO,CONCEPTO, SUBREPORTE, MONEDA, TIPO_SALDO, DATO) VALUES ('2021-10-31','2021-10-31','111803008047','0424','15','1','0')</v>
      </c>
    </row>
    <row r="481" spans="19:26">
      <c r="S481" s="16" t="str">
        <f t="shared" si="36"/>
        <v>2021-10-31</v>
      </c>
      <c r="T481" s="16" t="str">
        <f t="shared" si="37"/>
        <v>111803008048</v>
      </c>
      <c r="U481" s="16" t="s">
        <v>33</v>
      </c>
      <c r="V481">
        <v>15</v>
      </c>
      <c r="W481">
        <v>1</v>
      </c>
      <c r="X481" s="15">
        <f t="shared" si="38"/>
        <v>0</v>
      </c>
      <c r="Z481" t="str">
        <f t="shared" si="39"/>
        <v>INSERT INTO REPORTWARE.RWH_IFRS9_R04A0424 (FECHA, PERIODO,CONCEPTO, SUBREPORTE, MONEDA, TIPO_SALDO, DATO) VALUES ('2021-10-31','2021-10-31','111803008048','0424','15','1','0')</v>
      </c>
    </row>
    <row r="482" spans="19:26">
      <c r="S482" s="16" t="str">
        <f t="shared" si="36"/>
        <v>2021-10-31</v>
      </c>
      <c r="T482" s="16" t="str">
        <f t="shared" si="37"/>
        <v>111801907031</v>
      </c>
      <c r="U482" s="16" t="s">
        <v>33</v>
      </c>
      <c r="V482">
        <v>15</v>
      </c>
      <c r="W482">
        <v>1</v>
      </c>
      <c r="X482" s="15">
        <f t="shared" si="38"/>
        <v>0</v>
      </c>
      <c r="Z482" t="str">
        <f t="shared" si="39"/>
        <v>INSERT INTO REPORTWARE.RWH_IFRS9_R04A0424 (FECHA, PERIODO,CONCEPTO, SUBREPORTE, MONEDA, TIPO_SALDO, DATO) VALUES ('2021-10-31','2021-10-31','111801907031','0424','15','1','0')</v>
      </c>
    </row>
    <row r="483" spans="19:26">
      <c r="S483" s="16" t="str">
        <f t="shared" si="36"/>
        <v>2021-10-31</v>
      </c>
      <c r="T483" s="16" t="str">
        <f t="shared" si="37"/>
        <v>111803108049</v>
      </c>
      <c r="U483" s="16" t="s">
        <v>33</v>
      </c>
      <c r="V483">
        <v>15</v>
      </c>
      <c r="W483">
        <v>1</v>
      </c>
      <c r="X483" s="15">
        <f t="shared" si="38"/>
        <v>0</v>
      </c>
      <c r="Z483" t="str">
        <f t="shared" si="39"/>
        <v>INSERT INTO REPORTWARE.RWH_IFRS9_R04A0424 (FECHA, PERIODO,CONCEPTO, SUBREPORTE, MONEDA, TIPO_SALDO, DATO) VALUES ('2021-10-31','2021-10-31','111803108049','0424','15','1','0')</v>
      </c>
    </row>
    <row r="484" spans="19:26">
      <c r="S484" s="16" t="str">
        <f t="shared" si="36"/>
        <v>2021-10-31</v>
      </c>
      <c r="T484" s="16" t="str">
        <f t="shared" si="37"/>
        <v>111803108050</v>
      </c>
      <c r="U484" s="16" t="s">
        <v>33</v>
      </c>
      <c r="V484">
        <v>15</v>
      </c>
      <c r="W484">
        <v>1</v>
      </c>
      <c r="X484" s="15">
        <f t="shared" si="38"/>
        <v>0</v>
      </c>
      <c r="Z484" t="str">
        <f t="shared" si="39"/>
        <v>INSERT INTO REPORTWARE.RWH_IFRS9_R04A0424 (FECHA, PERIODO,CONCEPTO, SUBREPORTE, MONEDA, TIPO_SALDO, DATO) VALUES ('2021-10-31','2021-10-31','111803108050','0424','15','1','0')</v>
      </c>
    </row>
    <row r="485" spans="19:26">
      <c r="S485" s="16" t="str">
        <f t="shared" si="36"/>
        <v>2021-10-31</v>
      </c>
      <c r="T485" s="16" t="str">
        <f t="shared" si="37"/>
        <v>111803108051</v>
      </c>
      <c r="U485" s="16" t="s">
        <v>33</v>
      </c>
      <c r="V485">
        <v>15</v>
      </c>
      <c r="W485">
        <v>1</v>
      </c>
      <c r="X485" s="15">
        <f t="shared" si="38"/>
        <v>0</v>
      </c>
      <c r="Z485" t="str">
        <f t="shared" si="39"/>
        <v>INSERT INTO REPORTWARE.RWH_IFRS9_R04A0424 (FECHA, PERIODO,CONCEPTO, SUBREPORTE, MONEDA, TIPO_SALDO, DATO) VALUES ('2021-10-31','2021-10-31','111803108051','0424','15','1','0')</v>
      </c>
    </row>
    <row r="486" spans="19:26">
      <c r="S486" s="16" t="str">
        <f t="shared" si="36"/>
        <v>2021-10-31</v>
      </c>
      <c r="T486" s="16" t="str">
        <f t="shared" si="37"/>
        <v>111803108052</v>
      </c>
      <c r="U486" s="16" t="s">
        <v>33</v>
      </c>
      <c r="V486">
        <v>15</v>
      </c>
      <c r="W486">
        <v>1</v>
      </c>
      <c r="X486" s="15">
        <f t="shared" si="38"/>
        <v>0</v>
      </c>
      <c r="Z486" t="str">
        <f t="shared" si="39"/>
        <v>INSERT INTO REPORTWARE.RWH_IFRS9_R04A0424 (FECHA, PERIODO,CONCEPTO, SUBREPORTE, MONEDA, TIPO_SALDO, DATO) VALUES ('2021-10-31','2021-10-31','111803108052','0424','15','1','0')</v>
      </c>
    </row>
    <row r="487" spans="19:26">
      <c r="S487" s="16" t="str">
        <f t="shared" si="36"/>
        <v>2021-10-31</v>
      </c>
      <c r="T487" s="16" t="str">
        <f t="shared" si="37"/>
        <v>111800205006</v>
      </c>
      <c r="U487" s="16" t="s">
        <v>33</v>
      </c>
      <c r="V487">
        <v>15</v>
      </c>
      <c r="W487">
        <v>1</v>
      </c>
      <c r="X487" s="15">
        <f t="shared" si="38"/>
        <v>0</v>
      </c>
      <c r="Z487" t="str">
        <f t="shared" si="39"/>
        <v>INSERT INTO REPORTWARE.RWH_IFRS9_R04A0424 (FECHA, PERIODO,CONCEPTO, SUBREPORTE, MONEDA, TIPO_SALDO, DATO) VALUES ('2021-10-31','2021-10-31','111800205006','0424','15','1','0')</v>
      </c>
    </row>
    <row r="488" spans="19:26">
      <c r="S488" s="16" t="str">
        <f t="shared" si="36"/>
        <v>2021-10-31</v>
      </c>
      <c r="T488" s="16" t="str">
        <f t="shared" si="37"/>
        <v>111800606020</v>
      </c>
      <c r="U488" s="16" t="s">
        <v>33</v>
      </c>
      <c r="V488">
        <v>15</v>
      </c>
      <c r="W488">
        <v>1</v>
      </c>
      <c r="X488" s="15">
        <f t="shared" si="38"/>
        <v>0</v>
      </c>
      <c r="Z488" t="str">
        <f t="shared" si="39"/>
        <v>INSERT INTO REPORTWARE.RWH_IFRS9_R04A0424 (FECHA, PERIODO,CONCEPTO, SUBREPORTE, MONEDA, TIPO_SALDO, DATO) VALUES ('2021-10-31','2021-10-31','111800606020','0424','15','1','0')</v>
      </c>
    </row>
    <row r="489" spans="19:26">
      <c r="S489" s="16" t="str">
        <f t="shared" si="36"/>
        <v>2021-10-31</v>
      </c>
      <c r="T489" s="16" t="str">
        <f t="shared" si="37"/>
        <v>111800606021</v>
      </c>
      <c r="U489" s="16" t="s">
        <v>33</v>
      </c>
      <c r="V489">
        <v>15</v>
      </c>
      <c r="W489">
        <v>1</v>
      </c>
      <c r="X489" s="15">
        <f t="shared" si="38"/>
        <v>0</v>
      </c>
      <c r="Z489" t="str">
        <f t="shared" si="39"/>
        <v>INSERT INTO REPORTWARE.RWH_IFRS9_R04A0424 (FECHA, PERIODO,CONCEPTO, SUBREPORTE, MONEDA, TIPO_SALDO, DATO) VALUES ('2021-10-31','2021-10-31','111800606021','0424','15','1','0')</v>
      </c>
    </row>
    <row r="490" spans="19:26">
      <c r="S490" s="16" t="str">
        <f t="shared" si="36"/>
        <v>2021-10-31</v>
      </c>
      <c r="T490" s="16" t="str">
        <f t="shared" si="37"/>
        <v>111800606022</v>
      </c>
      <c r="U490" s="16" t="s">
        <v>33</v>
      </c>
      <c r="V490">
        <v>15</v>
      </c>
      <c r="W490">
        <v>1</v>
      </c>
      <c r="X490" s="15">
        <f t="shared" si="38"/>
        <v>0</v>
      </c>
      <c r="Z490" t="str">
        <f t="shared" si="39"/>
        <v>INSERT INTO REPORTWARE.RWH_IFRS9_R04A0424 (FECHA, PERIODO,CONCEPTO, SUBREPORTE, MONEDA, TIPO_SALDO, DATO) VALUES ('2021-10-31','2021-10-31','111800606022','0424','15','1','0')</v>
      </c>
    </row>
    <row r="491" spans="19:26">
      <c r="S491" s="16" t="str">
        <f t="shared" si="36"/>
        <v>2021-10-31</v>
      </c>
      <c r="T491" s="16" t="str">
        <f t="shared" si="37"/>
        <v>111800606023</v>
      </c>
      <c r="U491" s="16" t="s">
        <v>33</v>
      </c>
      <c r="V491">
        <v>15</v>
      </c>
      <c r="W491">
        <v>1</v>
      </c>
      <c r="X491" s="15">
        <f t="shared" si="38"/>
        <v>0</v>
      </c>
      <c r="Z491" t="str">
        <f t="shared" si="39"/>
        <v>INSERT INTO REPORTWARE.RWH_IFRS9_R04A0424 (FECHA, PERIODO,CONCEPTO, SUBREPORTE, MONEDA, TIPO_SALDO, DATO) VALUES ('2021-10-31','2021-10-31','111800606023','0424','15','1','0')</v>
      </c>
    </row>
    <row r="492" spans="19:26">
      <c r="S492" s="16" t="str">
        <f t="shared" si="36"/>
        <v>2021-10-31</v>
      </c>
      <c r="T492" s="16" t="str">
        <f t="shared" si="37"/>
        <v>111800606024</v>
      </c>
      <c r="U492" s="16" t="s">
        <v>33</v>
      </c>
      <c r="V492">
        <v>15</v>
      </c>
      <c r="W492">
        <v>1</v>
      </c>
      <c r="X492" s="15">
        <f t="shared" si="38"/>
        <v>0</v>
      </c>
      <c r="Z492" t="str">
        <f t="shared" si="39"/>
        <v>INSERT INTO REPORTWARE.RWH_IFRS9_R04A0424 (FECHA, PERIODO,CONCEPTO, SUBREPORTE, MONEDA, TIPO_SALDO, DATO) VALUES ('2021-10-31','2021-10-31','111800606024','0424','15','1','0')</v>
      </c>
    </row>
    <row r="493" spans="19:26">
      <c r="S493" s="16" t="str">
        <f t="shared" si="36"/>
        <v>2021-10-31</v>
      </c>
      <c r="T493" s="16" t="str">
        <f t="shared" si="37"/>
        <v>111800606025</v>
      </c>
      <c r="U493" s="16" t="s">
        <v>33</v>
      </c>
      <c r="V493">
        <v>15</v>
      </c>
      <c r="W493">
        <v>1</v>
      </c>
      <c r="X493" s="15">
        <f t="shared" si="38"/>
        <v>0</v>
      </c>
      <c r="Z493" t="str">
        <f t="shared" si="39"/>
        <v>INSERT INTO REPORTWARE.RWH_IFRS9_R04A0424 (FECHA, PERIODO,CONCEPTO, SUBREPORTE, MONEDA, TIPO_SALDO, DATO) VALUES ('2021-10-31','2021-10-31','111800606025','0424','15','1','0')</v>
      </c>
    </row>
    <row r="494" spans="19:26">
      <c r="S494" s="16" t="str">
        <f t="shared" si="36"/>
        <v>2021-10-31</v>
      </c>
      <c r="T494" s="16" t="str">
        <f t="shared" si="37"/>
        <v>111800606026</v>
      </c>
      <c r="U494" s="16" t="s">
        <v>33</v>
      </c>
      <c r="V494">
        <v>15</v>
      </c>
      <c r="W494">
        <v>1</v>
      </c>
      <c r="X494" s="15">
        <f t="shared" si="38"/>
        <v>0</v>
      </c>
      <c r="Z494" t="str">
        <f t="shared" si="39"/>
        <v>INSERT INTO REPORTWARE.RWH_IFRS9_R04A0424 (FECHA, PERIODO,CONCEPTO, SUBREPORTE, MONEDA, TIPO_SALDO, DATO) VALUES ('2021-10-31','2021-10-31','111800606026','0424','15','1','0')</v>
      </c>
    </row>
    <row r="495" spans="19:26">
      <c r="S495" s="16" t="str">
        <f t="shared" si="36"/>
        <v>2021-10-31</v>
      </c>
      <c r="T495" s="16" t="str">
        <f t="shared" si="37"/>
        <v>111800606027</v>
      </c>
      <c r="U495" s="16" t="s">
        <v>33</v>
      </c>
      <c r="V495">
        <v>15</v>
      </c>
      <c r="W495">
        <v>1</v>
      </c>
      <c r="X495" s="15">
        <f t="shared" si="38"/>
        <v>0</v>
      </c>
      <c r="Z495" t="str">
        <f t="shared" si="39"/>
        <v>INSERT INTO REPORTWARE.RWH_IFRS9_R04A0424 (FECHA, PERIODO,CONCEPTO, SUBREPORTE, MONEDA, TIPO_SALDO, DATO) VALUES ('2021-10-31','2021-10-31','111800606027','0424','15','1','0')</v>
      </c>
    </row>
    <row r="496" spans="19:26">
      <c r="S496" s="16" t="str">
        <f t="shared" si="36"/>
        <v>2021-10-31</v>
      </c>
      <c r="T496" s="16" t="str">
        <f t="shared" si="37"/>
        <v>111800205007</v>
      </c>
      <c r="U496" s="16" t="s">
        <v>33</v>
      </c>
      <c r="V496">
        <v>15</v>
      </c>
      <c r="W496">
        <v>1</v>
      </c>
      <c r="X496" s="15">
        <f t="shared" si="38"/>
        <v>0</v>
      </c>
      <c r="Z496" t="str">
        <f t="shared" si="39"/>
        <v>INSERT INTO REPORTWARE.RWH_IFRS9_R04A0424 (FECHA, PERIODO,CONCEPTO, SUBREPORTE, MONEDA, TIPO_SALDO, DATO) VALUES ('2021-10-31','2021-10-31','111800205007','0424','15','1','0')</v>
      </c>
    </row>
    <row r="497" spans="19:26">
      <c r="S497" s="16" t="str">
        <f t="shared" si="36"/>
        <v>2021-10-31</v>
      </c>
      <c r="T497" s="16" t="str">
        <f t="shared" si="37"/>
        <v>111800706028</v>
      </c>
      <c r="U497" s="16" t="s">
        <v>33</v>
      </c>
      <c r="V497">
        <v>15</v>
      </c>
      <c r="W497">
        <v>1</v>
      </c>
      <c r="X497" s="15">
        <f t="shared" si="38"/>
        <v>0</v>
      </c>
      <c r="Z497" t="str">
        <f t="shared" si="39"/>
        <v>INSERT INTO REPORTWARE.RWH_IFRS9_R04A0424 (FECHA, PERIODO,CONCEPTO, SUBREPORTE, MONEDA, TIPO_SALDO, DATO) VALUES ('2021-10-31','2021-10-31','111800706028','0424','15','1','0')</v>
      </c>
    </row>
    <row r="498" spans="19:26">
      <c r="S498" s="16" t="str">
        <f t="shared" si="36"/>
        <v>2021-10-31</v>
      </c>
      <c r="T498" s="16" t="str">
        <f t="shared" si="37"/>
        <v>111800706029</v>
      </c>
      <c r="U498" s="16" t="s">
        <v>33</v>
      </c>
      <c r="V498">
        <v>15</v>
      </c>
      <c r="W498">
        <v>1</v>
      </c>
      <c r="X498" s="15">
        <f t="shared" si="38"/>
        <v>0</v>
      </c>
      <c r="Z498" t="str">
        <f t="shared" si="39"/>
        <v>INSERT INTO REPORTWARE.RWH_IFRS9_R04A0424 (FECHA, PERIODO,CONCEPTO, SUBREPORTE, MONEDA, TIPO_SALDO, DATO) VALUES ('2021-10-31','2021-10-31','111800706029','0424','15','1','0')</v>
      </c>
    </row>
    <row r="499" spans="19:26">
      <c r="S499" s="16" t="str">
        <f t="shared" si="36"/>
        <v>2021-10-31</v>
      </c>
      <c r="T499" s="16" t="str">
        <f t="shared" si="37"/>
        <v>111800706030</v>
      </c>
      <c r="U499" s="16" t="s">
        <v>33</v>
      </c>
      <c r="V499">
        <v>15</v>
      </c>
      <c r="W499">
        <v>1</v>
      </c>
      <c r="X499" s="15">
        <f t="shared" si="38"/>
        <v>0</v>
      </c>
      <c r="Z499" t="str">
        <f t="shared" si="39"/>
        <v>INSERT INTO REPORTWARE.RWH_IFRS9_R04A0424 (FECHA, PERIODO,CONCEPTO, SUBREPORTE, MONEDA, TIPO_SALDO, DATO) VALUES ('2021-10-31','2021-10-31','111800706030','0424','15','1','0')</v>
      </c>
    </row>
    <row r="500" spans="19:26">
      <c r="S500" s="16" t="str">
        <f t="shared" si="36"/>
        <v>2021-10-31</v>
      </c>
      <c r="T500" s="16" t="str">
        <f t="shared" si="37"/>
        <v>111803007032</v>
      </c>
      <c r="U500" s="16" t="s">
        <v>33</v>
      </c>
      <c r="V500">
        <v>15</v>
      </c>
      <c r="W500">
        <v>1</v>
      </c>
      <c r="X500" s="15">
        <f t="shared" si="38"/>
        <v>0</v>
      </c>
      <c r="Z500" t="str">
        <f t="shared" si="39"/>
        <v>INSERT INTO REPORTWARE.RWH_IFRS9_R04A0424 (FECHA, PERIODO,CONCEPTO, SUBREPORTE, MONEDA, TIPO_SALDO, DATO) VALUES ('2021-10-31','2021-10-31','111803007032','0424','15','1','0')</v>
      </c>
    </row>
    <row r="501" spans="19:26">
      <c r="S501" s="16" t="str">
        <f t="shared" si="36"/>
        <v>2021-10-31</v>
      </c>
      <c r="T501" s="16" t="str">
        <f t="shared" si="37"/>
        <v>111803007033</v>
      </c>
      <c r="U501" s="16" t="s">
        <v>33</v>
      </c>
      <c r="V501">
        <v>15</v>
      </c>
      <c r="W501">
        <v>1</v>
      </c>
      <c r="X501" s="15">
        <f t="shared" si="38"/>
        <v>0</v>
      </c>
      <c r="Z501" t="str">
        <f t="shared" si="39"/>
        <v>INSERT INTO REPORTWARE.RWH_IFRS9_R04A0424 (FECHA, PERIODO,CONCEPTO, SUBREPORTE, MONEDA, TIPO_SALDO, DATO) VALUES ('2021-10-31','2021-10-31','111803007033','0424','15','1','0')</v>
      </c>
    </row>
    <row r="502" spans="19:26">
      <c r="S502" s="16" t="str">
        <f t="shared" si="36"/>
        <v>2021-10-31</v>
      </c>
      <c r="T502" s="16" t="str">
        <f t="shared" si="37"/>
        <v>111800706031</v>
      </c>
      <c r="U502" s="16" t="s">
        <v>33</v>
      </c>
      <c r="V502">
        <v>15</v>
      </c>
      <c r="W502">
        <v>1</v>
      </c>
      <c r="X502" s="15">
        <f t="shared" si="38"/>
        <v>0</v>
      </c>
      <c r="Z502" t="str">
        <f t="shared" si="39"/>
        <v>INSERT INTO REPORTWARE.RWH_IFRS9_R04A0424 (FECHA, PERIODO,CONCEPTO, SUBREPORTE, MONEDA, TIPO_SALDO, DATO) VALUES ('2021-10-31','2021-10-31','111800706031','0424','15','1','0')</v>
      </c>
    </row>
    <row r="503" spans="19:26">
      <c r="S503" s="16" t="str">
        <f t="shared" si="36"/>
        <v>2021-10-31</v>
      </c>
      <c r="T503" s="16" t="str">
        <f t="shared" si="37"/>
        <v>111800706032</v>
      </c>
      <c r="U503" s="16" t="s">
        <v>33</v>
      </c>
      <c r="V503">
        <v>15</v>
      </c>
      <c r="W503">
        <v>1</v>
      </c>
      <c r="X503" s="15">
        <f t="shared" si="38"/>
        <v>0</v>
      </c>
      <c r="Z503" t="str">
        <f t="shared" si="39"/>
        <v>INSERT INTO REPORTWARE.RWH_IFRS9_R04A0424 (FECHA, PERIODO,CONCEPTO, SUBREPORTE, MONEDA, TIPO_SALDO, DATO) VALUES ('2021-10-31','2021-10-31','111800706032','0424','15','1','0')</v>
      </c>
    </row>
  </sheetData>
  <autoFilter ref="A3:D128" xr:uid="{D722AA58-4FFE-4B83-BF6F-82EA1E94BCF4}"/>
  <mergeCells count="126">
    <mergeCell ref="E3:L3"/>
    <mergeCell ref="E4:K4"/>
    <mergeCell ref="F5:K5"/>
    <mergeCell ref="G6:K6"/>
    <mergeCell ref="H7:K7"/>
    <mergeCell ref="I8:K8"/>
    <mergeCell ref="I15:K15"/>
    <mergeCell ref="I16:K16"/>
    <mergeCell ref="H17:K17"/>
    <mergeCell ref="H18:K18"/>
    <mergeCell ref="H19:K19"/>
    <mergeCell ref="H20:K20"/>
    <mergeCell ref="I9:K9"/>
    <mergeCell ref="H10:K10"/>
    <mergeCell ref="I11:K11"/>
    <mergeCell ref="I12:K12"/>
    <mergeCell ref="I13:K13"/>
    <mergeCell ref="H14:K14"/>
    <mergeCell ref="H27:K27"/>
    <mergeCell ref="I28:K28"/>
    <mergeCell ref="I29:K29"/>
    <mergeCell ref="I30:K30"/>
    <mergeCell ref="G31:K31"/>
    <mergeCell ref="H32:K32"/>
    <mergeCell ref="H21:K21"/>
    <mergeCell ref="G22:K22"/>
    <mergeCell ref="H23:K23"/>
    <mergeCell ref="I24:K24"/>
    <mergeCell ref="I25:K25"/>
    <mergeCell ref="I26:K26"/>
    <mergeCell ref="H39:K39"/>
    <mergeCell ref="I40:K40"/>
    <mergeCell ref="I41:K41"/>
    <mergeCell ref="I42:K42"/>
    <mergeCell ref="I43:K43"/>
    <mergeCell ref="H44:K44"/>
    <mergeCell ref="H33:K33"/>
    <mergeCell ref="I34:K34"/>
    <mergeCell ref="I35:K35"/>
    <mergeCell ref="I36:K36"/>
    <mergeCell ref="I37:K37"/>
    <mergeCell ref="I38:K38"/>
    <mergeCell ref="G51:K51"/>
    <mergeCell ref="G52:K52"/>
    <mergeCell ref="G53:K53"/>
    <mergeCell ref="G54:K54"/>
    <mergeCell ref="G55:K55"/>
    <mergeCell ref="G56:K56"/>
    <mergeCell ref="I45:K45"/>
    <mergeCell ref="I46:K46"/>
    <mergeCell ref="I47:K47"/>
    <mergeCell ref="I48:K48"/>
    <mergeCell ref="F49:K49"/>
    <mergeCell ref="G50:K50"/>
    <mergeCell ref="H63:K63"/>
    <mergeCell ref="H64:K64"/>
    <mergeCell ref="G65:K65"/>
    <mergeCell ref="G66:K66"/>
    <mergeCell ref="E67:K67"/>
    <mergeCell ref="F68:K68"/>
    <mergeCell ref="G57:K57"/>
    <mergeCell ref="F58:K58"/>
    <mergeCell ref="G59:K59"/>
    <mergeCell ref="G60:K60"/>
    <mergeCell ref="G61:K61"/>
    <mergeCell ref="H62:K62"/>
    <mergeCell ref="I75:K75"/>
    <mergeCell ref="I76:K76"/>
    <mergeCell ref="H77:K77"/>
    <mergeCell ref="I78:K78"/>
    <mergeCell ref="I79:K79"/>
    <mergeCell ref="H80:K80"/>
    <mergeCell ref="G69:K69"/>
    <mergeCell ref="H70:K70"/>
    <mergeCell ref="I71:K71"/>
    <mergeCell ref="I72:K72"/>
    <mergeCell ref="H73:K73"/>
    <mergeCell ref="I74:K74"/>
    <mergeCell ref="I87:K87"/>
    <mergeCell ref="I88:K88"/>
    <mergeCell ref="I89:K89"/>
    <mergeCell ref="H90:K90"/>
    <mergeCell ref="I91:K91"/>
    <mergeCell ref="I92:K92"/>
    <mergeCell ref="H81:K81"/>
    <mergeCell ref="H82:K82"/>
    <mergeCell ref="H83:K83"/>
    <mergeCell ref="H84:K84"/>
    <mergeCell ref="G85:K85"/>
    <mergeCell ref="H86:K86"/>
    <mergeCell ref="I99:K99"/>
    <mergeCell ref="I100:K100"/>
    <mergeCell ref="I101:K101"/>
    <mergeCell ref="H102:K102"/>
    <mergeCell ref="I103:K103"/>
    <mergeCell ref="I104:K104"/>
    <mergeCell ref="I93:K93"/>
    <mergeCell ref="G94:K94"/>
    <mergeCell ref="H95:K95"/>
    <mergeCell ref="H96:K96"/>
    <mergeCell ref="I97:K97"/>
    <mergeCell ref="I98:K98"/>
    <mergeCell ref="I111:K111"/>
    <mergeCell ref="F112:K112"/>
    <mergeCell ref="G113:K113"/>
    <mergeCell ref="G114:K114"/>
    <mergeCell ref="G115:K115"/>
    <mergeCell ref="G116:K116"/>
    <mergeCell ref="I105:K105"/>
    <mergeCell ref="I106:K106"/>
    <mergeCell ref="H107:K107"/>
    <mergeCell ref="I108:K108"/>
    <mergeCell ref="I109:K109"/>
    <mergeCell ref="I110:K110"/>
    <mergeCell ref="G123:K123"/>
    <mergeCell ref="G124:K124"/>
    <mergeCell ref="H125:K125"/>
    <mergeCell ref="H126:K126"/>
    <mergeCell ref="G127:K127"/>
    <mergeCell ref="G128:K128"/>
    <mergeCell ref="G117:K117"/>
    <mergeCell ref="G118:K118"/>
    <mergeCell ref="G119:K119"/>
    <mergeCell ref="G120:K120"/>
    <mergeCell ref="F121:K121"/>
    <mergeCell ref="G122:K12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1BD8A-56FF-4116-BA76-3A090566648B}">
  <dimension ref="A1:Y279"/>
  <sheetViews>
    <sheetView tabSelected="1" workbookViewId="0">
      <selection activeCell="AI9" sqref="AI9"/>
    </sheetView>
  </sheetViews>
  <sheetFormatPr defaultColWidth="11.42578125" defaultRowHeight="14.45"/>
  <cols>
    <col min="1" max="1" width="13" bestFit="1" customWidth="1"/>
    <col min="3" max="3" width="13" bestFit="1" customWidth="1"/>
    <col min="5" max="5" width="3.28515625" customWidth="1"/>
    <col min="6" max="6" width="3.42578125" customWidth="1"/>
    <col min="7" max="7" width="3.28515625" customWidth="1"/>
    <col min="8" max="8" width="3.140625" customWidth="1"/>
    <col min="11" max="11" width="15" bestFit="1" customWidth="1"/>
    <col min="12" max="12" width="11" bestFit="1" customWidth="1"/>
    <col min="13" max="13" width="9" bestFit="1" customWidth="1"/>
    <col min="14" max="15" width="11" bestFit="1" customWidth="1"/>
    <col min="16" max="16" width="17.42578125" customWidth="1"/>
    <col min="18" max="18" width="0" hidden="1" customWidth="1"/>
    <col min="19" max="19" width="13" hidden="1" customWidth="1"/>
    <col min="20" max="20" width="0" style="16" hidden="1" customWidth="1"/>
    <col min="21" max="23" width="0" hidden="1" customWidth="1"/>
  </cols>
  <sheetData>
    <row r="1" spans="1:25">
      <c r="A1" s="51"/>
      <c r="B1" s="52"/>
      <c r="C1" s="53"/>
      <c r="D1" s="52"/>
      <c r="E1" s="54"/>
      <c r="F1" s="54"/>
      <c r="G1" s="54"/>
      <c r="H1" s="54"/>
      <c r="I1" s="54"/>
      <c r="J1" s="54"/>
      <c r="K1" s="55" t="s">
        <v>0</v>
      </c>
      <c r="L1" s="56">
        <v>15</v>
      </c>
      <c r="M1" s="56">
        <v>1</v>
      </c>
      <c r="N1" s="56">
        <v>4</v>
      </c>
      <c r="O1" s="56">
        <v>9</v>
      </c>
    </row>
    <row r="2" spans="1:25" ht="15" thickBot="1">
      <c r="A2" s="51"/>
      <c r="B2" s="52"/>
      <c r="C2" s="53"/>
      <c r="D2" s="52"/>
      <c r="E2" s="57"/>
      <c r="F2" s="58"/>
      <c r="G2" s="58"/>
      <c r="H2" s="58"/>
      <c r="I2" s="58"/>
      <c r="J2" s="58"/>
      <c r="K2" s="55" t="s">
        <v>1</v>
      </c>
      <c r="L2" s="56">
        <v>1</v>
      </c>
      <c r="M2" s="56">
        <v>1</v>
      </c>
      <c r="N2" s="56">
        <v>1</v>
      </c>
      <c r="O2" s="56">
        <v>1</v>
      </c>
    </row>
    <row r="3" spans="1:25" ht="108.6" thickBot="1">
      <c r="A3" s="52" t="s">
        <v>21</v>
      </c>
      <c r="B3" s="52" t="s">
        <v>22</v>
      </c>
      <c r="C3" s="53" t="s">
        <v>23</v>
      </c>
      <c r="D3" s="52" t="s">
        <v>24</v>
      </c>
      <c r="E3" s="91" t="s">
        <v>3</v>
      </c>
      <c r="F3" s="92"/>
      <c r="G3" s="92"/>
      <c r="H3" s="92"/>
      <c r="I3" s="92"/>
      <c r="J3" s="92"/>
      <c r="K3" s="93"/>
      <c r="L3" s="59" t="s">
        <v>25</v>
      </c>
      <c r="M3" s="59" t="s">
        <v>26</v>
      </c>
      <c r="N3" s="59" t="s">
        <v>27</v>
      </c>
      <c r="O3" s="60" t="s">
        <v>28</v>
      </c>
      <c r="P3" s="39" t="s">
        <v>8</v>
      </c>
      <c r="R3" s="36" t="s">
        <v>9</v>
      </c>
      <c r="S3" s="65" t="s">
        <v>3</v>
      </c>
      <c r="T3" s="68" t="s">
        <v>10</v>
      </c>
      <c r="U3" s="65" t="s">
        <v>11</v>
      </c>
      <c r="V3" s="65" t="s">
        <v>12</v>
      </c>
      <c r="W3" s="66" t="s">
        <v>13</v>
      </c>
      <c r="Y3" s="33" t="s">
        <v>14</v>
      </c>
    </row>
    <row r="4" spans="1:25" ht="15" thickBot="1">
      <c r="A4" s="40" t="s">
        <v>204</v>
      </c>
      <c r="B4" s="41" t="s">
        <v>30</v>
      </c>
      <c r="C4" s="42">
        <v>0</v>
      </c>
      <c r="D4" s="41" t="s">
        <v>30</v>
      </c>
      <c r="E4" s="94" t="s">
        <v>205</v>
      </c>
      <c r="F4" s="95"/>
      <c r="G4" s="95"/>
      <c r="H4" s="95"/>
      <c r="I4" s="95"/>
      <c r="J4" s="95"/>
      <c r="K4" s="95"/>
      <c r="L4" s="61">
        <f>SUM(L5,L49,L58)</f>
        <v>0</v>
      </c>
      <c r="M4" s="61">
        <f>SUM(M5,M49,M58)</f>
        <v>0</v>
      </c>
      <c r="N4" s="61">
        <f>SUM(N5,N49,N58)</f>
        <v>0</v>
      </c>
      <c r="O4" s="61">
        <f>SUM(O5,O49,O58)</f>
        <v>0</v>
      </c>
      <c r="P4" s="85" t="s">
        <v>32</v>
      </c>
      <c r="R4" s="34" t="str">
        <f>$P$4</f>
        <v>2021-10-31</v>
      </c>
      <c r="S4" s="19" t="str">
        <f>A4</f>
        <v>101800104003</v>
      </c>
      <c r="T4" s="19" t="s">
        <v>206</v>
      </c>
      <c r="U4" s="20">
        <v>9</v>
      </c>
      <c r="V4" s="21">
        <v>1</v>
      </c>
      <c r="W4" s="67">
        <f>O4</f>
        <v>0</v>
      </c>
      <c r="Y4" t="str">
        <f>"INSERT INTO REPORTWARE.RWH_IFRS9_R04A0420 (FECHA, PERIODO,CONCEPTO, SUBREPORTE, MONEDA, TIPO_SALDO, DATO) VALUES ('"&amp;R4&amp;"','"&amp;R4&amp;"','"&amp;S4&amp;"','"&amp;T4&amp;"','"&amp;U4&amp;"','"&amp;V4&amp;"','"&amp;W4&amp;"')"</f>
        <v>INSERT INTO REPORTWARE.RWH_IFRS9_R04A0420 (FECHA, PERIODO,CONCEPTO, SUBREPORTE, MONEDA, TIPO_SALDO, DATO) VALUES ('2021-10-31','2021-10-31','101800104003','0420','9','1','0')</v>
      </c>
    </row>
    <row r="5" spans="1:25">
      <c r="A5" s="40" t="s">
        <v>207</v>
      </c>
      <c r="B5" s="41" t="s">
        <v>35</v>
      </c>
      <c r="C5" s="45" t="str">
        <f>+A4</f>
        <v>101800104003</v>
      </c>
      <c r="D5" s="41" t="s">
        <v>30</v>
      </c>
      <c r="E5" s="46"/>
      <c r="F5" s="96" t="s">
        <v>36</v>
      </c>
      <c r="G5" s="96"/>
      <c r="H5" s="96"/>
      <c r="I5" s="96"/>
      <c r="J5" s="96"/>
      <c r="K5" s="96"/>
      <c r="L5" s="44">
        <f>SUM(L6,L31,L22)</f>
        <v>0</v>
      </c>
      <c r="M5" s="44">
        <f>SUM(M6,M31,M22)</f>
        <v>0</v>
      </c>
      <c r="N5" s="44">
        <f>SUM(N6,N31,N22)</f>
        <v>0</v>
      </c>
      <c r="O5" s="44">
        <f>SUM(O6,O31,O22)</f>
        <v>0</v>
      </c>
      <c r="R5" s="34" t="str">
        <f t="shared" ref="R5:R68" si="0">$P$4</f>
        <v>2021-10-31</v>
      </c>
      <c r="S5" s="19" t="str">
        <f t="shared" ref="S5:S68" si="1">A5</f>
        <v>111800305008</v>
      </c>
      <c r="T5" s="19" t="s">
        <v>206</v>
      </c>
      <c r="U5" s="20">
        <v>9</v>
      </c>
      <c r="V5" s="18">
        <v>1</v>
      </c>
      <c r="W5" s="67">
        <f t="shared" ref="W5:W68" si="2">O5</f>
        <v>0</v>
      </c>
      <c r="Y5" t="str">
        <f t="shared" ref="Y5:Y68" si="3">"INSERT INTO REPORTWARE.RWH_IFRS9_R04A0420 (FECHA, PERIODO,CONCEPTO, SUBREPORTE, MONEDA, TIPO_SALDO, DATO) VALUES ('"&amp;R5&amp;"','"&amp;R5&amp;"','"&amp;S5&amp;"','"&amp;T5&amp;"','"&amp;U5&amp;"','"&amp;V5&amp;"','"&amp;W5&amp;"')"</f>
        <v>INSERT INTO REPORTWARE.RWH_IFRS9_R04A0420 (FECHA, PERIODO,CONCEPTO, SUBREPORTE, MONEDA, TIPO_SALDO, DATO) VALUES ('2021-10-31','2021-10-31','111800305008','0420','9','1','0')</v>
      </c>
    </row>
    <row r="6" spans="1:25">
      <c r="A6" s="40" t="s">
        <v>208</v>
      </c>
      <c r="B6" s="41" t="s">
        <v>38</v>
      </c>
      <c r="C6" s="45" t="str">
        <f>+A5</f>
        <v>111800305008</v>
      </c>
      <c r="D6" s="41" t="s">
        <v>30</v>
      </c>
      <c r="E6" s="46"/>
      <c r="F6" s="47"/>
      <c r="G6" s="90" t="s">
        <v>39</v>
      </c>
      <c r="H6" s="90"/>
      <c r="I6" s="90"/>
      <c r="J6" s="90"/>
      <c r="K6" s="90"/>
      <c r="L6" s="44">
        <f>SUM(L7,L10,L14,L17,L18,L19,L20,L21)</f>
        <v>0</v>
      </c>
      <c r="M6" s="44">
        <f>SUM(M7,M10,M14,M17,M18,M19,M20,M21)</f>
        <v>0</v>
      </c>
      <c r="N6" s="44">
        <f>SUM(N7,N10,N14,N17,N18,N19,N20,N21)</f>
        <v>0</v>
      </c>
      <c r="O6" s="44">
        <f>SUM(O7,O10,O14,O17,O18,O19,O20,O21)</f>
        <v>0</v>
      </c>
      <c r="R6" s="34" t="str">
        <f t="shared" si="0"/>
        <v>2021-10-31</v>
      </c>
      <c r="S6" s="19" t="str">
        <f t="shared" si="1"/>
        <v>111800806033</v>
      </c>
      <c r="T6" s="19" t="s">
        <v>206</v>
      </c>
      <c r="U6" s="20">
        <v>9</v>
      </c>
      <c r="V6" s="18">
        <v>1</v>
      </c>
      <c r="W6" s="67">
        <f t="shared" si="2"/>
        <v>0</v>
      </c>
      <c r="Y6" t="str">
        <f t="shared" si="3"/>
        <v>INSERT INTO REPORTWARE.RWH_IFRS9_R04A0420 (FECHA, PERIODO,CONCEPTO, SUBREPORTE, MONEDA, TIPO_SALDO, DATO) VALUES ('2021-10-31','2021-10-31','111800806033','0420','9','1','0')</v>
      </c>
    </row>
    <row r="7" spans="1:25">
      <c r="A7" s="40" t="s">
        <v>209</v>
      </c>
      <c r="B7" s="41" t="s">
        <v>41</v>
      </c>
      <c r="C7" s="45" t="str">
        <f>+A6</f>
        <v>111800806033</v>
      </c>
      <c r="D7" s="41" t="s">
        <v>30</v>
      </c>
      <c r="E7" s="46"/>
      <c r="F7" s="47"/>
      <c r="G7" s="47"/>
      <c r="H7" s="90" t="s">
        <v>42</v>
      </c>
      <c r="I7" s="90"/>
      <c r="J7" s="90"/>
      <c r="K7" s="90"/>
      <c r="L7" s="44">
        <f>SUM(L8:L9)</f>
        <v>0</v>
      </c>
      <c r="M7" s="44">
        <f>SUM(M8:M9)</f>
        <v>0</v>
      </c>
      <c r="N7" s="44">
        <f>SUM(N8:N9)</f>
        <v>0</v>
      </c>
      <c r="O7" s="44">
        <f>SUM(O8:O9)</f>
        <v>0</v>
      </c>
      <c r="R7" s="34" t="str">
        <f t="shared" si="0"/>
        <v>2021-10-31</v>
      </c>
      <c r="S7" s="19" t="str">
        <f t="shared" si="1"/>
        <v>111803307034</v>
      </c>
      <c r="T7" s="19" t="s">
        <v>206</v>
      </c>
      <c r="U7" s="20">
        <v>9</v>
      </c>
      <c r="V7" s="18">
        <v>1</v>
      </c>
      <c r="W7" s="67">
        <f t="shared" si="2"/>
        <v>0</v>
      </c>
      <c r="Y7" t="str">
        <f t="shared" si="3"/>
        <v>INSERT INTO REPORTWARE.RWH_IFRS9_R04A0420 (FECHA, PERIODO,CONCEPTO, SUBREPORTE, MONEDA, TIPO_SALDO, DATO) VALUES ('2021-10-31','2021-10-31','111803307034','0420','9','1','0')</v>
      </c>
    </row>
    <row r="8" spans="1:25">
      <c r="A8" s="40" t="s">
        <v>210</v>
      </c>
      <c r="B8" s="41" t="s">
        <v>44</v>
      </c>
      <c r="C8" s="45" t="str">
        <f>+A7</f>
        <v>111803307034</v>
      </c>
      <c r="D8" s="41" t="s">
        <v>35</v>
      </c>
      <c r="E8" s="46"/>
      <c r="F8" s="47"/>
      <c r="G8" s="47"/>
      <c r="H8" s="47"/>
      <c r="I8" s="90" t="s">
        <v>45</v>
      </c>
      <c r="J8" s="90"/>
      <c r="K8" s="90"/>
      <c r="L8" s="44">
        <f>SUM(M8:O8)</f>
        <v>0</v>
      </c>
      <c r="M8" s="44">
        <v>0</v>
      </c>
      <c r="N8" s="44">
        <v>0</v>
      </c>
      <c r="O8" s="43">
        <v>0</v>
      </c>
      <c r="R8" s="34" t="str">
        <f t="shared" si="0"/>
        <v>2021-10-31</v>
      </c>
      <c r="S8" s="19" t="str">
        <f t="shared" si="1"/>
        <v>111803408053</v>
      </c>
      <c r="T8" s="19" t="s">
        <v>206</v>
      </c>
      <c r="U8" s="20">
        <v>9</v>
      </c>
      <c r="V8" s="18">
        <v>1</v>
      </c>
      <c r="W8" s="67">
        <f t="shared" si="2"/>
        <v>0</v>
      </c>
      <c r="Y8" t="str">
        <f t="shared" si="3"/>
        <v>INSERT INTO REPORTWARE.RWH_IFRS9_R04A0420 (FECHA, PERIODO,CONCEPTO, SUBREPORTE, MONEDA, TIPO_SALDO, DATO) VALUES ('2021-10-31','2021-10-31','111803408053','0420','9','1','0')</v>
      </c>
    </row>
    <row r="9" spans="1:25">
      <c r="A9" s="40" t="s">
        <v>211</v>
      </c>
      <c r="B9" s="41" t="s">
        <v>44</v>
      </c>
      <c r="C9" s="45" t="str">
        <f>+C8</f>
        <v>111803307034</v>
      </c>
      <c r="D9" s="41" t="s">
        <v>35</v>
      </c>
      <c r="E9" s="46"/>
      <c r="F9" s="47"/>
      <c r="G9" s="47"/>
      <c r="H9" s="47"/>
      <c r="I9" s="90" t="s">
        <v>47</v>
      </c>
      <c r="J9" s="90"/>
      <c r="K9" s="90"/>
      <c r="L9" s="44">
        <f>SUM(M9:O9)</f>
        <v>0</v>
      </c>
      <c r="M9" s="44">
        <v>0</v>
      </c>
      <c r="N9" s="44">
        <v>0</v>
      </c>
      <c r="O9" s="43">
        <v>0</v>
      </c>
      <c r="R9" s="34" t="str">
        <f t="shared" si="0"/>
        <v>2021-10-31</v>
      </c>
      <c r="S9" s="19" t="str">
        <f t="shared" si="1"/>
        <v>111803408054</v>
      </c>
      <c r="T9" s="19" t="s">
        <v>206</v>
      </c>
      <c r="U9" s="20">
        <v>9</v>
      </c>
      <c r="V9" s="18">
        <v>1</v>
      </c>
      <c r="W9" s="67">
        <f t="shared" si="2"/>
        <v>0</v>
      </c>
      <c r="Y9" t="str">
        <f t="shared" si="3"/>
        <v>INSERT INTO REPORTWARE.RWH_IFRS9_R04A0420 (FECHA, PERIODO,CONCEPTO, SUBREPORTE, MONEDA, TIPO_SALDO, DATO) VALUES ('2021-10-31','2021-10-31','111803408054','0420','9','1','0')</v>
      </c>
    </row>
    <row r="10" spans="1:25">
      <c r="A10" s="40" t="s">
        <v>212</v>
      </c>
      <c r="B10" s="41" t="s">
        <v>41</v>
      </c>
      <c r="C10" s="45" t="str">
        <f>+C7</f>
        <v>111800806033</v>
      </c>
      <c r="D10" s="41" t="s">
        <v>30</v>
      </c>
      <c r="E10" s="46"/>
      <c r="F10" s="47"/>
      <c r="G10" s="47"/>
      <c r="H10" s="90" t="s">
        <v>49</v>
      </c>
      <c r="I10" s="90"/>
      <c r="J10" s="90"/>
      <c r="K10" s="90"/>
      <c r="L10" s="44">
        <f>SUM(L11:L13)</f>
        <v>0</v>
      </c>
      <c r="M10" s="44">
        <f>SUM(M11:M13)</f>
        <v>0</v>
      </c>
      <c r="N10" s="44">
        <f>SUM(N11:N13)</f>
        <v>0</v>
      </c>
      <c r="O10" s="44">
        <f>SUM(O11:O13)</f>
        <v>0</v>
      </c>
      <c r="R10" s="34" t="str">
        <f t="shared" si="0"/>
        <v>2021-10-31</v>
      </c>
      <c r="S10" s="19" t="str">
        <f t="shared" si="1"/>
        <v>111803307035</v>
      </c>
      <c r="T10" s="19" t="s">
        <v>206</v>
      </c>
      <c r="U10" s="20">
        <v>9</v>
      </c>
      <c r="V10" s="18">
        <v>1</v>
      </c>
      <c r="W10" s="67">
        <f t="shared" si="2"/>
        <v>0</v>
      </c>
      <c r="Y10" t="str">
        <f t="shared" si="3"/>
        <v>INSERT INTO REPORTWARE.RWH_IFRS9_R04A0420 (FECHA, PERIODO,CONCEPTO, SUBREPORTE, MONEDA, TIPO_SALDO, DATO) VALUES ('2021-10-31','2021-10-31','111803307035','0420','9','1','0')</v>
      </c>
    </row>
    <row r="11" spans="1:25">
      <c r="A11" s="40" t="s">
        <v>213</v>
      </c>
      <c r="B11" s="41" t="s">
        <v>44</v>
      </c>
      <c r="C11" s="45" t="str">
        <f>+A10</f>
        <v>111803307035</v>
      </c>
      <c r="D11" s="41" t="s">
        <v>35</v>
      </c>
      <c r="E11" s="46"/>
      <c r="F11" s="47"/>
      <c r="G11" s="47"/>
      <c r="H11" s="47"/>
      <c r="I11" s="90" t="s">
        <v>51</v>
      </c>
      <c r="J11" s="90"/>
      <c r="K11" s="90"/>
      <c r="L11" s="44">
        <f t="shared" ref="L11:L21" si="4">SUM(M11:O11)</f>
        <v>0</v>
      </c>
      <c r="M11" s="44">
        <v>0</v>
      </c>
      <c r="N11" s="44">
        <v>0</v>
      </c>
      <c r="O11" s="43">
        <v>0</v>
      </c>
      <c r="R11" s="34" t="str">
        <f t="shared" si="0"/>
        <v>2021-10-31</v>
      </c>
      <c r="S11" s="19" t="str">
        <f t="shared" si="1"/>
        <v>111803508055</v>
      </c>
      <c r="T11" s="19" t="s">
        <v>206</v>
      </c>
      <c r="U11" s="20">
        <v>9</v>
      </c>
      <c r="V11" s="18">
        <v>1</v>
      </c>
      <c r="W11" s="67">
        <f t="shared" si="2"/>
        <v>0</v>
      </c>
      <c r="Y11" t="str">
        <f t="shared" si="3"/>
        <v>INSERT INTO REPORTWARE.RWH_IFRS9_R04A0420 (FECHA, PERIODO,CONCEPTO, SUBREPORTE, MONEDA, TIPO_SALDO, DATO) VALUES ('2021-10-31','2021-10-31','111803508055','0420','9','1','0')</v>
      </c>
    </row>
    <row r="12" spans="1:25">
      <c r="A12" s="40" t="s">
        <v>214</v>
      </c>
      <c r="B12" s="41" t="s">
        <v>44</v>
      </c>
      <c r="C12" s="45" t="str">
        <f>+C11</f>
        <v>111803307035</v>
      </c>
      <c r="D12" s="41" t="s">
        <v>35</v>
      </c>
      <c r="E12" s="46"/>
      <c r="F12" s="47"/>
      <c r="G12" s="47"/>
      <c r="H12" s="47"/>
      <c r="I12" s="90" t="s">
        <v>53</v>
      </c>
      <c r="J12" s="90"/>
      <c r="K12" s="90"/>
      <c r="L12" s="44">
        <f t="shared" si="4"/>
        <v>0</v>
      </c>
      <c r="M12" s="44">
        <v>0</v>
      </c>
      <c r="N12" s="44">
        <v>0</v>
      </c>
      <c r="O12" s="43">
        <v>0</v>
      </c>
      <c r="R12" s="34" t="str">
        <f t="shared" si="0"/>
        <v>2021-10-31</v>
      </c>
      <c r="S12" s="19" t="str">
        <f t="shared" si="1"/>
        <v>111803508056</v>
      </c>
      <c r="T12" s="19" t="s">
        <v>206</v>
      </c>
      <c r="U12" s="20">
        <v>9</v>
      </c>
      <c r="V12" s="18">
        <v>1</v>
      </c>
      <c r="W12" s="67">
        <f t="shared" si="2"/>
        <v>0</v>
      </c>
      <c r="Y12" t="str">
        <f t="shared" si="3"/>
        <v>INSERT INTO REPORTWARE.RWH_IFRS9_R04A0420 (FECHA, PERIODO,CONCEPTO, SUBREPORTE, MONEDA, TIPO_SALDO, DATO) VALUES ('2021-10-31','2021-10-31','111803508056','0420','9','1','0')</v>
      </c>
    </row>
    <row r="13" spans="1:25">
      <c r="A13" s="40" t="s">
        <v>215</v>
      </c>
      <c r="B13" s="41" t="s">
        <v>44</v>
      </c>
      <c r="C13" s="45" t="str">
        <f>+C12</f>
        <v>111803307035</v>
      </c>
      <c r="D13" s="41" t="s">
        <v>35</v>
      </c>
      <c r="E13" s="46"/>
      <c r="F13" s="47"/>
      <c r="G13" s="47"/>
      <c r="H13" s="47"/>
      <c r="I13" s="90" t="s">
        <v>47</v>
      </c>
      <c r="J13" s="90"/>
      <c r="K13" s="90"/>
      <c r="L13" s="44">
        <f t="shared" si="4"/>
        <v>0</v>
      </c>
      <c r="M13" s="44">
        <v>0</v>
      </c>
      <c r="N13" s="44">
        <v>0</v>
      </c>
      <c r="O13" s="43">
        <v>0</v>
      </c>
      <c r="R13" s="34" t="str">
        <f t="shared" si="0"/>
        <v>2021-10-31</v>
      </c>
      <c r="S13" s="19" t="str">
        <f t="shared" si="1"/>
        <v>111803508057</v>
      </c>
      <c r="T13" s="19" t="s">
        <v>206</v>
      </c>
      <c r="U13" s="20">
        <v>9</v>
      </c>
      <c r="V13" s="18">
        <v>1</v>
      </c>
      <c r="W13" s="67">
        <f t="shared" si="2"/>
        <v>0</v>
      </c>
      <c r="Y13" t="str">
        <f t="shared" si="3"/>
        <v>INSERT INTO REPORTWARE.RWH_IFRS9_R04A0420 (FECHA, PERIODO,CONCEPTO, SUBREPORTE, MONEDA, TIPO_SALDO, DATO) VALUES ('2021-10-31','2021-10-31','111803508057','0420','9','1','0')</v>
      </c>
    </row>
    <row r="14" spans="1:25">
      <c r="A14" s="40" t="s">
        <v>216</v>
      </c>
      <c r="B14" s="41" t="s">
        <v>41</v>
      </c>
      <c r="C14" s="45" t="str">
        <f>+C10</f>
        <v>111800806033</v>
      </c>
      <c r="D14" s="41" t="s">
        <v>30</v>
      </c>
      <c r="E14" s="46"/>
      <c r="F14" s="47"/>
      <c r="G14" s="47"/>
      <c r="H14" s="90" t="s">
        <v>56</v>
      </c>
      <c r="I14" s="90"/>
      <c r="J14" s="90"/>
      <c r="K14" s="90"/>
      <c r="L14" s="44">
        <f>SUM(L15:L16)</f>
        <v>0</v>
      </c>
      <c r="M14" s="44">
        <f>SUM(M15:M16)</f>
        <v>0</v>
      </c>
      <c r="N14" s="44">
        <f>SUM(N15:N16)</f>
        <v>0</v>
      </c>
      <c r="O14" s="44">
        <f>SUM(O15:O16)</f>
        <v>0</v>
      </c>
      <c r="R14" s="34" t="str">
        <f t="shared" si="0"/>
        <v>2021-10-31</v>
      </c>
      <c r="S14" s="19" t="str">
        <f t="shared" si="1"/>
        <v>111803307036</v>
      </c>
      <c r="T14" s="19" t="s">
        <v>206</v>
      </c>
      <c r="U14" s="20">
        <v>9</v>
      </c>
      <c r="V14" s="18">
        <v>1</v>
      </c>
      <c r="W14" s="67">
        <f t="shared" si="2"/>
        <v>0</v>
      </c>
      <c r="Y14" t="str">
        <f t="shared" si="3"/>
        <v>INSERT INTO REPORTWARE.RWH_IFRS9_R04A0420 (FECHA, PERIODO,CONCEPTO, SUBREPORTE, MONEDA, TIPO_SALDO, DATO) VALUES ('2021-10-31','2021-10-31','111803307036','0420','9','1','0')</v>
      </c>
    </row>
    <row r="15" spans="1:25">
      <c r="A15" s="40" t="s">
        <v>217</v>
      </c>
      <c r="B15" s="41" t="s">
        <v>44</v>
      </c>
      <c r="C15" s="45" t="str">
        <f>+A14</f>
        <v>111803307036</v>
      </c>
      <c r="D15" s="41" t="s">
        <v>35</v>
      </c>
      <c r="E15" s="46"/>
      <c r="F15" s="47"/>
      <c r="G15" s="47"/>
      <c r="H15" s="47"/>
      <c r="I15" s="90" t="s">
        <v>58</v>
      </c>
      <c r="J15" s="90"/>
      <c r="K15" s="90"/>
      <c r="L15" s="44">
        <f t="shared" si="4"/>
        <v>0</v>
      </c>
      <c r="M15" s="44">
        <v>0</v>
      </c>
      <c r="N15" s="44">
        <v>0</v>
      </c>
      <c r="O15" s="43">
        <v>0</v>
      </c>
      <c r="R15" s="34" t="str">
        <f t="shared" si="0"/>
        <v>2021-10-31</v>
      </c>
      <c r="S15" s="19" t="str">
        <f t="shared" si="1"/>
        <v>111803608058</v>
      </c>
      <c r="T15" s="19" t="s">
        <v>206</v>
      </c>
      <c r="U15" s="20">
        <v>9</v>
      </c>
      <c r="V15" s="18">
        <v>1</v>
      </c>
      <c r="W15" s="67">
        <f t="shared" si="2"/>
        <v>0</v>
      </c>
      <c r="Y15" t="str">
        <f t="shared" si="3"/>
        <v>INSERT INTO REPORTWARE.RWH_IFRS9_R04A0420 (FECHA, PERIODO,CONCEPTO, SUBREPORTE, MONEDA, TIPO_SALDO, DATO) VALUES ('2021-10-31','2021-10-31','111803608058','0420','9','1','0')</v>
      </c>
    </row>
    <row r="16" spans="1:25">
      <c r="A16" s="40" t="s">
        <v>218</v>
      </c>
      <c r="B16" s="41" t="s">
        <v>44</v>
      </c>
      <c r="C16" s="45" t="str">
        <f>+C15</f>
        <v>111803307036</v>
      </c>
      <c r="D16" s="41" t="s">
        <v>35</v>
      </c>
      <c r="E16" s="46"/>
      <c r="F16" s="47"/>
      <c r="G16" s="47"/>
      <c r="H16" s="47"/>
      <c r="I16" s="90" t="s">
        <v>60</v>
      </c>
      <c r="J16" s="90"/>
      <c r="K16" s="90"/>
      <c r="L16" s="44">
        <f t="shared" si="4"/>
        <v>0</v>
      </c>
      <c r="M16" s="44">
        <v>0</v>
      </c>
      <c r="N16" s="44">
        <v>0</v>
      </c>
      <c r="O16" s="43">
        <v>0</v>
      </c>
      <c r="R16" s="34" t="str">
        <f t="shared" si="0"/>
        <v>2021-10-31</v>
      </c>
      <c r="S16" s="19" t="str">
        <f t="shared" si="1"/>
        <v>111803608059</v>
      </c>
      <c r="T16" s="19" t="s">
        <v>206</v>
      </c>
      <c r="U16" s="20">
        <v>9</v>
      </c>
      <c r="V16" s="18">
        <v>1</v>
      </c>
      <c r="W16" s="67">
        <f t="shared" si="2"/>
        <v>0</v>
      </c>
      <c r="Y16" t="str">
        <f t="shared" si="3"/>
        <v>INSERT INTO REPORTWARE.RWH_IFRS9_R04A0420 (FECHA, PERIODO,CONCEPTO, SUBREPORTE, MONEDA, TIPO_SALDO, DATO) VALUES ('2021-10-31','2021-10-31','111803608059','0420','9','1','0')</v>
      </c>
    </row>
    <row r="17" spans="1:25">
      <c r="A17" s="40" t="s">
        <v>219</v>
      </c>
      <c r="B17" s="41" t="s">
        <v>41</v>
      </c>
      <c r="C17" s="45" t="str">
        <f>+C14</f>
        <v>111800806033</v>
      </c>
      <c r="D17" s="41" t="s">
        <v>35</v>
      </c>
      <c r="E17" s="46"/>
      <c r="F17" s="47"/>
      <c r="G17" s="47"/>
      <c r="H17" s="90" t="s">
        <v>62</v>
      </c>
      <c r="I17" s="90"/>
      <c r="J17" s="90"/>
      <c r="K17" s="90"/>
      <c r="L17" s="44">
        <f t="shared" si="4"/>
        <v>0</v>
      </c>
      <c r="M17" s="44">
        <v>0</v>
      </c>
      <c r="N17" s="44">
        <v>0</v>
      </c>
      <c r="O17" s="43">
        <v>0</v>
      </c>
      <c r="R17" s="34" t="str">
        <f t="shared" si="0"/>
        <v>2021-10-31</v>
      </c>
      <c r="S17" s="19" t="str">
        <f t="shared" si="1"/>
        <v>111803307037</v>
      </c>
      <c r="T17" s="19" t="s">
        <v>206</v>
      </c>
      <c r="U17" s="20">
        <v>9</v>
      </c>
      <c r="V17" s="18">
        <v>1</v>
      </c>
      <c r="W17" s="67">
        <f t="shared" si="2"/>
        <v>0</v>
      </c>
      <c r="Y17" t="str">
        <f t="shared" si="3"/>
        <v>INSERT INTO REPORTWARE.RWH_IFRS9_R04A0420 (FECHA, PERIODO,CONCEPTO, SUBREPORTE, MONEDA, TIPO_SALDO, DATO) VALUES ('2021-10-31','2021-10-31','111803307037','0420','9','1','0')</v>
      </c>
    </row>
    <row r="18" spans="1:25">
      <c r="A18" s="40" t="s">
        <v>220</v>
      </c>
      <c r="B18" s="41" t="s">
        <v>41</v>
      </c>
      <c r="C18" s="45" t="str">
        <f>+C17</f>
        <v>111800806033</v>
      </c>
      <c r="D18" s="41" t="s">
        <v>35</v>
      </c>
      <c r="E18" s="46"/>
      <c r="F18" s="47"/>
      <c r="G18" s="47"/>
      <c r="H18" s="90" t="s">
        <v>221</v>
      </c>
      <c r="I18" s="90"/>
      <c r="J18" s="90"/>
      <c r="K18" s="90"/>
      <c r="L18" s="44">
        <f t="shared" si="4"/>
        <v>0</v>
      </c>
      <c r="M18" s="44">
        <v>0</v>
      </c>
      <c r="N18" s="44">
        <v>0</v>
      </c>
      <c r="O18" s="43">
        <v>0</v>
      </c>
      <c r="R18" s="34" t="str">
        <f t="shared" si="0"/>
        <v>2021-10-31</v>
      </c>
      <c r="S18" s="19" t="str">
        <f t="shared" si="1"/>
        <v>111803307038</v>
      </c>
      <c r="T18" s="19" t="s">
        <v>206</v>
      </c>
      <c r="U18" s="20">
        <v>9</v>
      </c>
      <c r="V18" s="18">
        <v>1</v>
      </c>
      <c r="W18" s="67">
        <f t="shared" si="2"/>
        <v>0</v>
      </c>
      <c r="Y18" t="str">
        <f t="shared" si="3"/>
        <v>INSERT INTO REPORTWARE.RWH_IFRS9_R04A0420 (FECHA, PERIODO,CONCEPTO, SUBREPORTE, MONEDA, TIPO_SALDO, DATO) VALUES ('2021-10-31','2021-10-31','111803307038','0420','9','1','0')</v>
      </c>
    </row>
    <row r="19" spans="1:25">
      <c r="A19" s="40" t="s">
        <v>222</v>
      </c>
      <c r="B19" s="41" t="s">
        <v>41</v>
      </c>
      <c r="C19" s="45" t="str">
        <f t="shared" ref="C19:C21" si="5">+C18</f>
        <v>111800806033</v>
      </c>
      <c r="D19" s="41" t="s">
        <v>35</v>
      </c>
      <c r="E19" s="46"/>
      <c r="F19" s="47"/>
      <c r="G19" s="47"/>
      <c r="H19" s="90" t="s">
        <v>66</v>
      </c>
      <c r="I19" s="90"/>
      <c r="J19" s="90"/>
      <c r="K19" s="90"/>
      <c r="L19" s="44">
        <f t="shared" si="4"/>
        <v>0</v>
      </c>
      <c r="M19" s="44">
        <v>0</v>
      </c>
      <c r="N19" s="44">
        <v>0</v>
      </c>
      <c r="O19" s="43">
        <v>0</v>
      </c>
      <c r="R19" s="34" t="str">
        <f t="shared" si="0"/>
        <v>2021-10-31</v>
      </c>
      <c r="S19" s="19" t="str">
        <f t="shared" si="1"/>
        <v>111803307039</v>
      </c>
      <c r="T19" s="19" t="s">
        <v>206</v>
      </c>
      <c r="U19" s="20">
        <v>9</v>
      </c>
      <c r="V19" s="18">
        <v>1</v>
      </c>
      <c r="W19" s="67">
        <f t="shared" si="2"/>
        <v>0</v>
      </c>
      <c r="Y19" t="str">
        <f t="shared" si="3"/>
        <v>INSERT INTO REPORTWARE.RWH_IFRS9_R04A0420 (FECHA, PERIODO,CONCEPTO, SUBREPORTE, MONEDA, TIPO_SALDO, DATO) VALUES ('2021-10-31','2021-10-31','111803307039','0420','9','1','0')</v>
      </c>
    </row>
    <row r="20" spans="1:25">
      <c r="A20" s="40" t="s">
        <v>223</v>
      </c>
      <c r="B20" s="41" t="s">
        <v>41</v>
      </c>
      <c r="C20" s="45" t="str">
        <f t="shared" si="5"/>
        <v>111800806033</v>
      </c>
      <c r="D20" s="41" t="s">
        <v>35</v>
      </c>
      <c r="E20" s="46"/>
      <c r="F20" s="47"/>
      <c r="G20" s="47"/>
      <c r="H20" s="90" t="s">
        <v>68</v>
      </c>
      <c r="I20" s="90"/>
      <c r="J20" s="90"/>
      <c r="K20" s="90"/>
      <c r="L20" s="44">
        <f t="shared" si="4"/>
        <v>0</v>
      </c>
      <c r="M20" s="44">
        <v>0</v>
      </c>
      <c r="N20" s="44">
        <v>0</v>
      </c>
      <c r="O20" s="43">
        <v>0</v>
      </c>
      <c r="R20" s="34" t="str">
        <f t="shared" si="0"/>
        <v>2021-10-31</v>
      </c>
      <c r="S20" s="19" t="str">
        <f t="shared" si="1"/>
        <v>111803307040</v>
      </c>
      <c r="T20" s="19" t="s">
        <v>206</v>
      </c>
      <c r="U20" s="20">
        <v>9</v>
      </c>
      <c r="V20" s="18">
        <v>1</v>
      </c>
      <c r="W20" s="67">
        <f t="shared" si="2"/>
        <v>0</v>
      </c>
      <c r="Y20" t="str">
        <f t="shared" si="3"/>
        <v>INSERT INTO REPORTWARE.RWH_IFRS9_R04A0420 (FECHA, PERIODO,CONCEPTO, SUBREPORTE, MONEDA, TIPO_SALDO, DATO) VALUES ('2021-10-31','2021-10-31','111803307040','0420','9','1','0')</v>
      </c>
    </row>
    <row r="21" spans="1:25">
      <c r="A21" s="40" t="s">
        <v>224</v>
      </c>
      <c r="B21" s="41" t="s">
        <v>41</v>
      </c>
      <c r="C21" s="45" t="str">
        <f t="shared" si="5"/>
        <v>111800806033</v>
      </c>
      <c r="D21" s="41" t="s">
        <v>35</v>
      </c>
      <c r="E21" s="46"/>
      <c r="F21" s="47"/>
      <c r="G21" s="47"/>
      <c r="H21" s="90" t="s">
        <v>47</v>
      </c>
      <c r="I21" s="90"/>
      <c r="J21" s="90"/>
      <c r="K21" s="90"/>
      <c r="L21" s="44">
        <f t="shared" si="4"/>
        <v>0</v>
      </c>
      <c r="M21" s="44">
        <v>0</v>
      </c>
      <c r="N21" s="44">
        <v>0</v>
      </c>
      <c r="O21" s="43">
        <v>0</v>
      </c>
      <c r="R21" s="34" t="str">
        <f t="shared" si="0"/>
        <v>2021-10-31</v>
      </c>
      <c r="S21" s="19" t="str">
        <f t="shared" si="1"/>
        <v>111803307041</v>
      </c>
      <c r="T21" s="19" t="s">
        <v>206</v>
      </c>
      <c r="U21" s="20">
        <v>9</v>
      </c>
      <c r="V21" s="18">
        <v>1</v>
      </c>
      <c r="W21" s="67">
        <f t="shared" si="2"/>
        <v>0</v>
      </c>
      <c r="Y21" t="str">
        <f t="shared" si="3"/>
        <v>INSERT INTO REPORTWARE.RWH_IFRS9_R04A0420 (FECHA, PERIODO,CONCEPTO, SUBREPORTE, MONEDA, TIPO_SALDO, DATO) VALUES ('2021-10-31','2021-10-31','111803307041','0420','9','1','0')</v>
      </c>
    </row>
    <row r="22" spans="1:25">
      <c r="A22" s="40" t="s">
        <v>225</v>
      </c>
      <c r="B22" s="41" t="s">
        <v>38</v>
      </c>
      <c r="C22" s="45" t="str">
        <f>+C6</f>
        <v>111800305008</v>
      </c>
      <c r="D22" s="41" t="s">
        <v>30</v>
      </c>
      <c r="E22" s="46"/>
      <c r="F22" s="47"/>
      <c r="G22" s="90" t="s">
        <v>71</v>
      </c>
      <c r="H22" s="90"/>
      <c r="I22" s="90"/>
      <c r="J22" s="90"/>
      <c r="K22" s="90"/>
      <c r="L22" s="44">
        <f>SUM(L23,L27)</f>
        <v>0</v>
      </c>
      <c r="M22" s="44">
        <f>SUM(M23,M27)</f>
        <v>0</v>
      </c>
      <c r="N22" s="44">
        <f>SUM(N23,N27)</f>
        <v>0</v>
      </c>
      <c r="O22" s="44">
        <f>SUM(O23,O27)</f>
        <v>0</v>
      </c>
      <c r="R22" s="34" t="str">
        <f t="shared" si="0"/>
        <v>2021-10-31</v>
      </c>
      <c r="S22" s="19" t="str">
        <f t="shared" si="1"/>
        <v>111800806034</v>
      </c>
      <c r="T22" s="19" t="s">
        <v>206</v>
      </c>
      <c r="U22" s="20">
        <v>9</v>
      </c>
      <c r="V22" s="18">
        <v>1</v>
      </c>
      <c r="W22" s="67">
        <f t="shared" si="2"/>
        <v>0</v>
      </c>
      <c r="Y22" t="str">
        <f t="shared" si="3"/>
        <v>INSERT INTO REPORTWARE.RWH_IFRS9_R04A0420 (FECHA, PERIODO,CONCEPTO, SUBREPORTE, MONEDA, TIPO_SALDO, DATO) VALUES ('2021-10-31','2021-10-31','111800806034','0420','9','1','0')</v>
      </c>
    </row>
    <row r="23" spans="1:25">
      <c r="A23" s="40" t="s">
        <v>226</v>
      </c>
      <c r="B23" s="41" t="s">
        <v>41</v>
      </c>
      <c r="C23" s="45" t="str">
        <f>+A22</f>
        <v>111800806034</v>
      </c>
      <c r="D23" s="41" t="s">
        <v>30</v>
      </c>
      <c r="E23" s="46"/>
      <c r="F23" s="47"/>
      <c r="G23" s="47"/>
      <c r="H23" s="90" t="s">
        <v>73</v>
      </c>
      <c r="I23" s="90"/>
      <c r="J23" s="90"/>
      <c r="K23" s="90"/>
      <c r="L23" s="44">
        <f>SUM(L24:L26)</f>
        <v>0</v>
      </c>
      <c r="M23" s="44">
        <f>SUM(M24:M26)</f>
        <v>0</v>
      </c>
      <c r="N23" s="44">
        <f>SUM(N24:N26)</f>
        <v>0</v>
      </c>
      <c r="O23" s="44">
        <f>SUM(O24:O26)</f>
        <v>0</v>
      </c>
      <c r="R23" s="34" t="str">
        <f t="shared" si="0"/>
        <v>2021-10-31</v>
      </c>
      <c r="S23" s="19" t="str">
        <f t="shared" si="1"/>
        <v>111803407042</v>
      </c>
      <c r="T23" s="19" t="s">
        <v>206</v>
      </c>
      <c r="U23" s="20">
        <v>9</v>
      </c>
      <c r="V23" s="18">
        <v>1</v>
      </c>
      <c r="W23" s="67">
        <f t="shared" si="2"/>
        <v>0</v>
      </c>
      <c r="Y23" t="str">
        <f t="shared" si="3"/>
        <v>INSERT INTO REPORTWARE.RWH_IFRS9_R04A0420 (FECHA, PERIODO,CONCEPTO, SUBREPORTE, MONEDA, TIPO_SALDO, DATO) VALUES ('2021-10-31','2021-10-31','111803407042','0420','9','1','0')</v>
      </c>
    </row>
    <row r="24" spans="1:25">
      <c r="A24" s="40" t="s">
        <v>227</v>
      </c>
      <c r="B24" s="41" t="s">
        <v>44</v>
      </c>
      <c r="C24" s="45" t="str">
        <f>+A23</f>
        <v>111803407042</v>
      </c>
      <c r="D24" s="41" t="s">
        <v>35</v>
      </c>
      <c r="E24" s="46"/>
      <c r="F24" s="47"/>
      <c r="G24" s="47"/>
      <c r="H24" s="47"/>
      <c r="I24" s="90" t="s">
        <v>221</v>
      </c>
      <c r="J24" s="90"/>
      <c r="K24" s="90"/>
      <c r="L24" s="44">
        <f t="shared" ref="L24:L30" si="6">SUM(M24:O24)</f>
        <v>0</v>
      </c>
      <c r="M24" s="44">
        <v>0</v>
      </c>
      <c r="N24" s="44">
        <v>0</v>
      </c>
      <c r="O24" s="43">
        <v>0</v>
      </c>
      <c r="R24" s="34" t="str">
        <f t="shared" si="0"/>
        <v>2021-10-31</v>
      </c>
      <c r="S24" s="19" t="str">
        <f t="shared" si="1"/>
        <v>111804208060</v>
      </c>
      <c r="T24" s="19" t="s">
        <v>206</v>
      </c>
      <c r="U24" s="20">
        <v>9</v>
      </c>
      <c r="V24" s="18">
        <v>1</v>
      </c>
      <c r="W24" s="67">
        <f t="shared" si="2"/>
        <v>0</v>
      </c>
      <c r="Y24" t="str">
        <f t="shared" si="3"/>
        <v>INSERT INTO REPORTWARE.RWH_IFRS9_R04A0420 (FECHA, PERIODO,CONCEPTO, SUBREPORTE, MONEDA, TIPO_SALDO, DATO) VALUES ('2021-10-31','2021-10-31','111804208060','0420','9','1','0')</v>
      </c>
    </row>
    <row r="25" spans="1:25">
      <c r="A25" s="40" t="s">
        <v>228</v>
      </c>
      <c r="B25" s="41" t="s">
        <v>44</v>
      </c>
      <c r="C25" s="45" t="str">
        <f>+C24</f>
        <v>111803407042</v>
      </c>
      <c r="D25" s="41" t="s">
        <v>35</v>
      </c>
      <c r="E25" s="46"/>
      <c r="F25" s="47"/>
      <c r="G25" s="47"/>
      <c r="H25" s="47"/>
      <c r="I25" s="90" t="s">
        <v>68</v>
      </c>
      <c r="J25" s="90"/>
      <c r="K25" s="90"/>
      <c r="L25" s="44">
        <f t="shared" si="6"/>
        <v>0</v>
      </c>
      <c r="M25" s="44">
        <v>0</v>
      </c>
      <c r="N25" s="44">
        <v>0</v>
      </c>
      <c r="O25" s="43">
        <v>0</v>
      </c>
      <c r="R25" s="34" t="str">
        <f t="shared" si="0"/>
        <v>2021-10-31</v>
      </c>
      <c r="S25" s="19" t="str">
        <f t="shared" si="1"/>
        <v>111804208061</v>
      </c>
      <c r="T25" s="19" t="s">
        <v>206</v>
      </c>
      <c r="U25" s="20">
        <v>9</v>
      </c>
      <c r="V25" s="18">
        <v>1</v>
      </c>
      <c r="W25" s="67">
        <f t="shared" si="2"/>
        <v>0</v>
      </c>
      <c r="Y25" t="str">
        <f t="shared" si="3"/>
        <v>INSERT INTO REPORTWARE.RWH_IFRS9_R04A0420 (FECHA, PERIODO,CONCEPTO, SUBREPORTE, MONEDA, TIPO_SALDO, DATO) VALUES ('2021-10-31','2021-10-31','111804208061','0420','9','1','0')</v>
      </c>
    </row>
    <row r="26" spans="1:25">
      <c r="A26" s="40" t="s">
        <v>229</v>
      </c>
      <c r="B26" s="41" t="s">
        <v>44</v>
      </c>
      <c r="C26" s="45" t="str">
        <f>+C25</f>
        <v>111803407042</v>
      </c>
      <c r="D26" s="41" t="s">
        <v>35</v>
      </c>
      <c r="E26" s="46"/>
      <c r="F26" s="47"/>
      <c r="G26" s="47"/>
      <c r="H26" s="47"/>
      <c r="I26" s="90" t="s">
        <v>47</v>
      </c>
      <c r="J26" s="90"/>
      <c r="K26" s="90"/>
      <c r="L26" s="44">
        <f t="shared" si="6"/>
        <v>0</v>
      </c>
      <c r="M26" s="44">
        <v>0</v>
      </c>
      <c r="N26" s="44">
        <v>0</v>
      </c>
      <c r="O26" s="43">
        <v>0</v>
      </c>
      <c r="R26" s="34" t="str">
        <f t="shared" si="0"/>
        <v>2021-10-31</v>
      </c>
      <c r="S26" s="19" t="str">
        <f t="shared" si="1"/>
        <v>111804208062</v>
      </c>
      <c r="T26" s="19" t="s">
        <v>206</v>
      </c>
      <c r="U26" s="20">
        <v>9</v>
      </c>
      <c r="V26" s="18">
        <v>1</v>
      </c>
      <c r="W26" s="67">
        <f t="shared" si="2"/>
        <v>0</v>
      </c>
      <c r="Y26" t="str">
        <f t="shared" si="3"/>
        <v>INSERT INTO REPORTWARE.RWH_IFRS9_R04A0420 (FECHA, PERIODO,CONCEPTO, SUBREPORTE, MONEDA, TIPO_SALDO, DATO) VALUES ('2021-10-31','2021-10-31','111804208062','0420','9','1','0')</v>
      </c>
    </row>
    <row r="27" spans="1:25">
      <c r="A27" s="40" t="s">
        <v>230</v>
      </c>
      <c r="B27" s="41" t="s">
        <v>41</v>
      </c>
      <c r="C27" s="45" t="str">
        <f>+C23</f>
        <v>111800806034</v>
      </c>
      <c r="D27" s="41" t="s">
        <v>30</v>
      </c>
      <c r="E27" s="46"/>
      <c r="F27" s="47"/>
      <c r="G27" s="47"/>
      <c r="H27" s="90" t="s">
        <v>78</v>
      </c>
      <c r="I27" s="90"/>
      <c r="J27" s="90"/>
      <c r="K27" s="90"/>
      <c r="L27" s="44">
        <f>SUM(L28:L30)</f>
        <v>0</v>
      </c>
      <c r="M27" s="44">
        <f>SUM(M28:M30)</f>
        <v>0</v>
      </c>
      <c r="N27" s="44">
        <f>SUM(N28:N30)</f>
        <v>0</v>
      </c>
      <c r="O27" s="44">
        <f>SUM(O28:O30)</f>
        <v>0</v>
      </c>
      <c r="R27" s="34" t="str">
        <f t="shared" si="0"/>
        <v>2021-10-31</v>
      </c>
      <c r="S27" s="19" t="str">
        <f t="shared" si="1"/>
        <v>111803407043</v>
      </c>
      <c r="T27" s="19" t="s">
        <v>206</v>
      </c>
      <c r="U27" s="20">
        <v>9</v>
      </c>
      <c r="V27" s="18">
        <v>1</v>
      </c>
      <c r="W27" s="67">
        <f t="shared" si="2"/>
        <v>0</v>
      </c>
      <c r="Y27" t="str">
        <f t="shared" si="3"/>
        <v>INSERT INTO REPORTWARE.RWH_IFRS9_R04A0420 (FECHA, PERIODO,CONCEPTO, SUBREPORTE, MONEDA, TIPO_SALDO, DATO) VALUES ('2021-10-31','2021-10-31','111803407043','0420','9','1','0')</v>
      </c>
    </row>
    <row r="28" spans="1:25">
      <c r="A28" s="40" t="s">
        <v>231</v>
      </c>
      <c r="B28" s="41" t="s">
        <v>44</v>
      </c>
      <c r="C28" s="45" t="str">
        <f>+A27</f>
        <v>111803407043</v>
      </c>
      <c r="D28" s="41" t="s">
        <v>35</v>
      </c>
      <c r="E28" s="46"/>
      <c r="F28" s="47"/>
      <c r="G28" s="47"/>
      <c r="H28" s="47"/>
      <c r="I28" s="90" t="s">
        <v>221</v>
      </c>
      <c r="J28" s="90"/>
      <c r="K28" s="90"/>
      <c r="L28" s="44">
        <f t="shared" si="6"/>
        <v>0</v>
      </c>
      <c r="M28" s="44">
        <v>0</v>
      </c>
      <c r="N28" s="44">
        <v>0</v>
      </c>
      <c r="O28" s="43">
        <v>0</v>
      </c>
      <c r="R28" s="34" t="str">
        <f t="shared" si="0"/>
        <v>2021-10-31</v>
      </c>
      <c r="S28" s="19" t="str">
        <f t="shared" si="1"/>
        <v>111804308063</v>
      </c>
      <c r="T28" s="19" t="s">
        <v>206</v>
      </c>
      <c r="U28" s="20">
        <v>9</v>
      </c>
      <c r="V28" s="18">
        <v>1</v>
      </c>
      <c r="W28" s="67">
        <f t="shared" si="2"/>
        <v>0</v>
      </c>
      <c r="Y28" t="str">
        <f t="shared" si="3"/>
        <v>INSERT INTO REPORTWARE.RWH_IFRS9_R04A0420 (FECHA, PERIODO,CONCEPTO, SUBREPORTE, MONEDA, TIPO_SALDO, DATO) VALUES ('2021-10-31','2021-10-31','111804308063','0420','9','1','0')</v>
      </c>
    </row>
    <row r="29" spans="1:25">
      <c r="A29" s="40" t="s">
        <v>232</v>
      </c>
      <c r="B29" s="41" t="s">
        <v>44</v>
      </c>
      <c r="C29" s="45" t="str">
        <f>+C28</f>
        <v>111803407043</v>
      </c>
      <c r="D29" s="41" t="s">
        <v>35</v>
      </c>
      <c r="E29" s="46"/>
      <c r="F29" s="47"/>
      <c r="G29" s="47"/>
      <c r="H29" s="47"/>
      <c r="I29" s="90" t="s">
        <v>68</v>
      </c>
      <c r="J29" s="90"/>
      <c r="K29" s="90"/>
      <c r="L29" s="44">
        <f t="shared" si="6"/>
        <v>0</v>
      </c>
      <c r="M29" s="44">
        <v>0</v>
      </c>
      <c r="N29" s="44">
        <v>0</v>
      </c>
      <c r="O29" s="43">
        <v>0</v>
      </c>
      <c r="R29" s="34" t="str">
        <f t="shared" si="0"/>
        <v>2021-10-31</v>
      </c>
      <c r="S29" s="19" t="str">
        <f t="shared" si="1"/>
        <v>111804308064</v>
      </c>
      <c r="T29" s="19" t="s">
        <v>206</v>
      </c>
      <c r="U29" s="20">
        <v>9</v>
      </c>
      <c r="V29" s="18">
        <v>1</v>
      </c>
      <c r="W29" s="67">
        <f t="shared" si="2"/>
        <v>0</v>
      </c>
      <c r="Y29" t="str">
        <f t="shared" si="3"/>
        <v>INSERT INTO REPORTWARE.RWH_IFRS9_R04A0420 (FECHA, PERIODO,CONCEPTO, SUBREPORTE, MONEDA, TIPO_SALDO, DATO) VALUES ('2021-10-31','2021-10-31','111804308064','0420','9','1','0')</v>
      </c>
    </row>
    <row r="30" spans="1:25">
      <c r="A30" s="40" t="s">
        <v>233</v>
      </c>
      <c r="B30" s="41" t="s">
        <v>44</v>
      </c>
      <c r="C30" s="45" t="str">
        <f>+C29</f>
        <v>111803407043</v>
      </c>
      <c r="D30" s="41" t="s">
        <v>35</v>
      </c>
      <c r="E30" s="46"/>
      <c r="F30" s="47"/>
      <c r="G30" s="47"/>
      <c r="H30" s="47"/>
      <c r="I30" s="90" t="s">
        <v>47</v>
      </c>
      <c r="J30" s="90"/>
      <c r="K30" s="90"/>
      <c r="L30" s="44">
        <f t="shared" si="6"/>
        <v>0</v>
      </c>
      <c r="M30" s="44">
        <v>0</v>
      </c>
      <c r="N30" s="44">
        <v>0</v>
      </c>
      <c r="O30" s="43">
        <v>0</v>
      </c>
      <c r="R30" s="34" t="str">
        <f t="shared" si="0"/>
        <v>2021-10-31</v>
      </c>
      <c r="S30" s="19" t="str">
        <f t="shared" si="1"/>
        <v>111804308065</v>
      </c>
      <c r="T30" s="19" t="s">
        <v>206</v>
      </c>
      <c r="U30" s="20">
        <v>9</v>
      </c>
      <c r="V30" s="18">
        <v>1</v>
      </c>
      <c r="W30" s="67">
        <f t="shared" si="2"/>
        <v>0</v>
      </c>
      <c r="Y30" t="str">
        <f t="shared" si="3"/>
        <v>INSERT INTO REPORTWARE.RWH_IFRS9_R04A0420 (FECHA, PERIODO,CONCEPTO, SUBREPORTE, MONEDA, TIPO_SALDO, DATO) VALUES ('2021-10-31','2021-10-31','111804308065','0420','9','1','0')</v>
      </c>
    </row>
    <row r="31" spans="1:25">
      <c r="A31" s="40" t="s">
        <v>234</v>
      </c>
      <c r="B31" s="41" t="s">
        <v>38</v>
      </c>
      <c r="C31" s="45" t="str">
        <f>+C22</f>
        <v>111800305008</v>
      </c>
      <c r="D31" s="41" t="s">
        <v>30</v>
      </c>
      <c r="E31" s="46"/>
      <c r="F31" s="47"/>
      <c r="G31" s="90" t="s">
        <v>83</v>
      </c>
      <c r="H31" s="90"/>
      <c r="I31" s="90"/>
      <c r="J31" s="90"/>
      <c r="K31" s="90"/>
      <c r="L31" s="44">
        <f>SUM(L32,L33,L39,L44)</f>
        <v>0</v>
      </c>
      <c r="M31" s="44">
        <f>SUM(M32,M33,M39,M44)</f>
        <v>0</v>
      </c>
      <c r="N31" s="44">
        <f>SUM(N32,N33,N39,N44)</f>
        <v>0</v>
      </c>
      <c r="O31" s="44">
        <f>SUM(O32,O33,O39,O44)</f>
        <v>0</v>
      </c>
      <c r="R31" s="34" t="str">
        <f t="shared" si="0"/>
        <v>2021-10-31</v>
      </c>
      <c r="S31" s="19" t="str">
        <f t="shared" si="1"/>
        <v>111800806035</v>
      </c>
      <c r="T31" s="19" t="s">
        <v>206</v>
      </c>
      <c r="U31" s="20">
        <v>9</v>
      </c>
      <c r="V31" s="18">
        <v>1</v>
      </c>
      <c r="W31" s="67">
        <f t="shared" si="2"/>
        <v>0</v>
      </c>
      <c r="Y31" t="str">
        <f t="shared" si="3"/>
        <v>INSERT INTO REPORTWARE.RWH_IFRS9_R04A0420 (FECHA, PERIODO,CONCEPTO, SUBREPORTE, MONEDA, TIPO_SALDO, DATO) VALUES ('2021-10-31','2021-10-31','111800806035','0420','9','1','0')</v>
      </c>
    </row>
    <row r="32" spans="1:25">
      <c r="A32" s="40" t="s">
        <v>235</v>
      </c>
      <c r="B32" s="41" t="s">
        <v>41</v>
      </c>
      <c r="C32" s="45" t="str">
        <f>+A31</f>
        <v>111800806035</v>
      </c>
      <c r="D32" s="41" t="s">
        <v>35</v>
      </c>
      <c r="E32" s="46"/>
      <c r="F32" s="47"/>
      <c r="G32" s="47"/>
      <c r="H32" s="90" t="s">
        <v>85</v>
      </c>
      <c r="I32" s="90"/>
      <c r="J32" s="90"/>
      <c r="K32" s="90"/>
      <c r="L32" s="44">
        <v>0</v>
      </c>
      <c r="M32" s="44">
        <v>0</v>
      </c>
      <c r="N32" s="44">
        <v>0</v>
      </c>
      <c r="O32" s="43">
        <v>0</v>
      </c>
      <c r="R32" s="34" t="str">
        <f t="shared" si="0"/>
        <v>2021-10-31</v>
      </c>
      <c r="S32" s="19" t="str">
        <f t="shared" si="1"/>
        <v>111803507044</v>
      </c>
      <c r="T32" s="19" t="s">
        <v>206</v>
      </c>
      <c r="U32" s="20">
        <v>9</v>
      </c>
      <c r="V32" s="18">
        <v>1</v>
      </c>
      <c r="W32" s="67">
        <f t="shared" si="2"/>
        <v>0</v>
      </c>
      <c r="Y32" t="str">
        <f t="shared" si="3"/>
        <v>INSERT INTO REPORTWARE.RWH_IFRS9_R04A0420 (FECHA, PERIODO,CONCEPTO, SUBREPORTE, MONEDA, TIPO_SALDO, DATO) VALUES ('2021-10-31','2021-10-31','111803507044','0420','9','1','0')</v>
      </c>
    </row>
    <row r="33" spans="1:25">
      <c r="A33" s="40" t="s">
        <v>236</v>
      </c>
      <c r="B33" s="41" t="s">
        <v>41</v>
      </c>
      <c r="C33" s="45" t="str">
        <f>+C32</f>
        <v>111800806035</v>
      </c>
      <c r="D33" s="41" t="s">
        <v>30</v>
      </c>
      <c r="E33" s="46"/>
      <c r="F33" s="47"/>
      <c r="G33" s="47"/>
      <c r="H33" s="90" t="s">
        <v>87</v>
      </c>
      <c r="I33" s="90"/>
      <c r="J33" s="90"/>
      <c r="K33" s="90"/>
      <c r="L33" s="44">
        <f>SUM(L34:L38)</f>
        <v>0</v>
      </c>
      <c r="M33" s="44">
        <f>SUM(M34:M38)</f>
        <v>0</v>
      </c>
      <c r="N33" s="44">
        <f>SUM(N34:N38)</f>
        <v>0</v>
      </c>
      <c r="O33" s="44">
        <f>SUM(O34:O38)</f>
        <v>0</v>
      </c>
      <c r="R33" s="34" t="str">
        <f t="shared" si="0"/>
        <v>2021-10-31</v>
      </c>
      <c r="S33" s="19" t="str">
        <f t="shared" si="1"/>
        <v>111803507045</v>
      </c>
      <c r="T33" s="19" t="s">
        <v>206</v>
      </c>
      <c r="U33" s="20">
        <v>9</v>
      </c>
      <c r="V33" s="18">
        <v>1</v>
      </c>
      <c r="W33" s="67">
        <f t="shared" si="2"/>
        <v>0</v>
      </c>
      <c r="Y33" t="str">
        <f t="shared" si="3"/>
        <v>INSERT INTO REPORTWARE.RWH_IFRS9_R04A0420 (FECHA, PERIODO,CONCEPTO, SUBREPORTE, MONEDA, TIPO_SALDO, DATO) VALUES ('2021-10-31','2021-10-31','111803507045','0420','9','1','0')</v>
      </c>
    </row>
    <row r="34" spans="1:25">
      <c r="A34" s="40" t="s">
        <v>237</v>
      </c>
      <c r="B34" s="41" t="s">
        <v>44</v>
      </c>
      <c r="C34" s="45" t="str">
        <f>+A33</f>
        <v>111803507045</v>
      </c>
      <c r="D34" s="41" t="s">
        <v>35</v>
      </c>
      <c r="E34" s="46"/>
      <c r="F34" s="47"/>
      <c r="G34" s="47"/>
      <c r="H34" s="47"/>
      <c r="I34" s="90" t="s">
        <v>68</v>
      </c>
      <c r="J34" s="90"/>
      <c r="K34" s="90"/>
      <c r="L34" s="44">
        <f t="shared" ref="L34:L65" si="7">SUM(M34:O34)</f>
        <v>0</v>
      </c>
      <c r="M34" s="44">
        <v>0</v>
      </c>
      <c r="N34" s="44">
        <v>0</v>
      </c>
      <c r="O34" s="43">
        <v>0</v>
      </c>
      <c r="R34" s="34" t="str">
        <f t="shared" si="0"/>
        <v>2021-10-31</v>
      </c>
      <c r="S34" s="19" t="str">
        <f t="shared" si="1"/>
        <v>111804508066</v>
      </c>
      <c r="T34" s="19" t="s">
        <v>206</v>
      </c>
      <c r="U34" s="20">
        <v>9</v>
      </c>
      <c r="V34" s="18">
        <v>1</v>
      </c>
      <c r="W34" s="67">
        <f t="shared" si="2"/>
        <v>0</v>
      </c>
      <c r="Y34" t="str">
        <f t="shared" si="3"/>
        <v>INSERT INTO REPORTWARE.RWH_IFRS9_R04A0420 (FECHA, PERIODO,CONCEPTO, SUBREPORTE, MONEDA, TIPO_SALDO, DATO) VALUES ('2021-10-31','2021-10-31','111804508066','0420','9','1','0')</v>
      </c>
    </row>
    <row r="35" spans="1:25">
      <c r="A35" s="40" t="s">
        <v>238</v>
      </c>
      <c r="B35" s="41" t="s">
        <v>44</v>
      </c>
      <c r="C35" s="45" t="str">
        <f>+C34</f>
        <v>111803507045</v>
      </c>
      <c r="D35" s="41" t="s">
        <v>35</v>
      </c>
      <c r="E35" s="46"/>
      <c r="F35" s="47"/>
      <c r="G35" s="47"/>
      <c r="H35" s="47"/>
      <c r="I35" s="90" t="s">
        <v>62</v>
      </c>
      <c r="J35" s="90"/>
      <c r="K35" s="90"/>
      <c r="L35" s="44">
        <f t="shared" si="7"/>
        <v>0</v>
      </c>
      <c r="M35" s="44">
        <v>0</v>
      </c>
      <c r="N35" s="44">
        <v>0</v>
      </c>
      <c r="O35" s="43">
        <v>0</v>
      </c>
      <c r="R35" s="34" t="str">
        <f t="shared" si="0"/>
        <v>2021-10-31</v>
      </c>
      <c r="S35" s="19" t="str">
        <f t="shared" si="1"/>
        <v>111804508067</v>
      </c>
      <c r="T35" s="19" t="s">
        <v>206</v>
      </c>
      <c r="U35" s="20">
        <v>9</v>
      </c>
      <c r="V35" s="18">
        <v>1</v>
      </c>
      <c r="W35" s="67">
        <f t="shared" si="2"/>
        <v>0</v>
      </c>
      <c r="Y35" t="str">
        <f t="shared" si="3"/>
        <v>INSERT INTO REPORTWARE.RWH_IFRS9_R04A0420 (FECHA, PERIODO,CONCEPTO, SUBREPORTE, MONEDA, TIPO_SALDO, DATO) VALUES ('2021-10-31','2021-10-31','111804508067','0420','9','1','0')</v>
      </c>
    </row>
    <row r="36" spans="1:25">
      <c r="A36" s="40" t="s">
        <v>239</v>
      </c>
      <c r="B36" s="41" t="s">
        <v>44</v>
      </c>
      <c r="C36" s="45" t="str">
        <f t="shared" ref="C36:C38" si="8">+C35</f>
        <v>111803507045</v>
      </c>
      <c r="D36" s="41" t="s">
        <v>35</v>
      </c>
      <c r="E36" s="46"/>
      <c r="F36" s="47"/>
      <c r="G36" s="47"/>
      <c r="H36" s="47"/>
      <c r="I36" s="90" t="s">
        <v>221</v>
      </c>
      <c r="J36" s="90"/>
      <c r="K36" s="90"/>
      <c r="L36" s="44">
        <f t="shared" si="7"/>
        <v>0</v>
      </c>
      <c r="M36" s="44">
        <v>0</v>
      </c>
      <c r="N36" s="44">
        <v>0</v>
      </c>
      <c r="O36" s="43">
        <v>0</v>
      </c>
      <c r="R36" s="34" t="str">
        <f t="shared" si="0"/>
        <v>2021-10-31</v>
      </c>
      <c r="S36" s="19" t="str">
        <f t="shared" si="1"/>
        <v>111804508068</v>
      </c>
      <c r="T36" s="19" t="s">
        <v>206</v>
      </c>
      <c r="U36" s="20">
        <v>9</v>
      </c>
      <c r="V36" s="18">
        <v>1</v>
      </c>
      <c r="W36" s="67">
        <f t="shared" si="2"/>
        <v>0</v>
      </c>
      <c r="Y36" t="str">
        <f t="shared" si="3"/>
        <v>INSERT INTO REPORTWARE.RWH_IFRS9_R04A0420 (FECHA, PERIODO,CONCEPTO, SUBREPORTE, MONEDA, TIPO_SALDO, DATO) VALUES ('2021-10-31','2021-10-31','111804508068','0420','9','1','0')</v>
      </c>
    </row>
    <row r="37" spans="1:25">
      <c r="A37" s="40" t="s">
        <v>240</v>
      </c>
      <c r="B37" s="41" t="s">
        <v>44</v>
      </c>
      <c r="C37" s="45" t="str">
        <f t="shared" si="8"/>
        <v>111803507045</v>
      </c>
      <c r="D37" s="41" t="s">
        <v>35</v>
      </c>
      <c r="E37" s="46"/>
      <c r="F37" s="47"/>
      <c r="G37" s="47"/>
      <c r="H37" s="47"/>
      <c r="I37" s="89" t="s">
        <v>241</v>
      </c>
      <c r="J37" s="89"/>
      <c r="K37" s="89"/>
      <c r="L37" s="44">
        <f t="shared" si="7"/>
        <v>0</v>
      </c>
      <c r="M37" s="44">
        <v>0</v>
      </c>
      <c r="N37" s="44">
        <v>0</v>
      </c>
      <c r="O37" s="43">
        <v>0</v>
      </c>
      <c r="R37" s="34" t="str">
        <f t="shared" si="0"/>
        <v>2021-10-31</v>
      </c>
      <c r="S37" s="19" t="str">
        <f t="shared" si="1"/>
        <v>111804508069</v>
      </c>
      <c r="T37" s="19" t="s">
        <v>206</v>
      </c>
      <c r="U37" s="20">
        <v>9</v>
      </c>
      <c r="V37" s="18">
        <v>1</v>
      </c>
      <c r="W37" s="67">
        <f t="shared" si="2"/>
        <v>0</v>
      </c>
      <c r="Y37" t="str">
        <f t="shared" si="3"/>
        <v>INSERT INTO REPORTWARE.RWH_IFRS9_R04A0420 (FECHA, PERIODO,CONCEPTO, SUBREPORTE, MONEDA, TIPO_SALDO, DATO) VALUES ('2021-10-31','2021-10-31','111804508069','0420','9','1','0')</v>
      </c>
    </row>
    <row r="38" spans="1:25">
      <c r="A38" s="40" t="s">
        <v>242</v>
      </c>
      <c r="B38" s="41" t="s">
        <v>44</v>
      </c>
      <c r="C38" s="45" t="str">
        <f t="shared" si="8"/>
        <v>111803507045</v>
      </c>
      <c r="D38" s="41" t="s">
        <v>35</v>
      </c>
      <c r="E38" s="46"/>
      <c r="F38" s="47"/>
      <c r="G38" s="47"/>
      <c r="H38" s="47"/>
      <c r="I38" s="90" t="s">
        <v>47</v>
      </c>
      <c r="J38" s="90"/>
      <c r="K38" s="90"/>
      <c r="L38" s="44">
        <f t="shared" si="7"/>
        <v>0</v>
      </c>
      <c r="M38" s="44">
        <v>0</v>
      </c>
      <c r="N38" s="44">
        <v>0</v>
      </c>
      <c r="O38" s="43">
        <v>0</v>
      </c>
      <c r="R38" s="34" t="str">
        <f t="shared" si="0"/>
        <v>2021-10-31</v>
      </c>
      <c r="S38" s="19" t="str">
        <f t="shared" si="1"/>
        <v>111804508070</v>
      </c>
      <c r="T38" s="19" t="s">
        <v>206</v>
      </c>
      <c r="U38" s="20">
        <v>9</v>
      </c>
      <c r="V38" s="18">
        <v>1</v>
      </c>
      <c r="W38" s="67">
        <f t="shared" si="2"/>
        <v>0</v>
      </c>
      <c r="Y38" t="str">
        <f t="shared" si="3"/>
        <v>INSERT INTO REPORTWARE.RWH_IFRS9_R04A0420 (FECHA, PERIODO,CONCEPTO, SUBREPORTE, MONEDA, TIPO_SALDO, DATO) VALUES ('2021-10-31','2021-10-31','111804508070','0420','9','1','0')</v>
      </c>
    </row>
    <row r="39" spans="1:25">
      <c r="A39" s="40" t="s">
        <v>243</v>
      </c>
      <c r="B39" s="41" t="s">
        <v>41</v>
      </c>
      <c r="C39" s="45" t="str">
        <f>+C33</f>
        <v>111800806035</v>
      </c>
      <c r="D39" s="41" t="s">
        <v>30</v>
      </c>
      <c r="E39" s="46"/>
      <c r="F39" s="47"/>
      <c r="G39" s="47"/>
      <c r="H39" s="90" t="s">
        <v>95</v>
      </c>
      <c r="I39" s="90"/>
      <c r="J39" s="90"/>
      <c r="K39" s="90"/>
      <c r="L39" s="44">
        <f>SUM(L40:L43)</f>
        <v>0</v>
      </c>
      <c r="M39" s="44">
        <f>SUM(M40:M43)</f>
        <v>0</v>
      </c>
      <c r="N39" s="44">
        <f>SUM(N40:N43)</f>
        <v>0</v>
      </c>
      <c r="O39" s="44">
        <f>SUM(O40:O43)</f>
        <v>0</v>
      </c>
      <c r="R39" s="34" t="str">
        <f t="shared" si="0"/>
        <v>2021-10-31</v>
      </c>
      <c r="S39" s="19" t="str">
        <f t="shared" si="1"/>
        <v>111803507046</v>
      </c>
      <c r="T39" s="19" t="s">
        <v>206</v>
      </c>
      <c r="U39" s="20">
        <v>9</v>
      </c>
      <c r="V39" s="18">
        <v>1</v>
      </c>
      <c r="W39" s="67">
        <f t="shared" si="2"/>
        <v>0</v>
      </c>
      <c r="Y39" t="str">
        <f t="shared" si="3"/>
        <v>INSERT INTO REPORTWARE.RWH_IFRS9_R04A0420 (FECHA, PERIODO,CONCEPTO, SUBREPORTE, MONEDA, TIPO_SALDO, DATO) VALUES ('2021-10-31','2021-10-31','111803507046','0420','9','1','0')</v>
      </c>
    </row>
    <row r="40" spans="1:25">
      <c r="A40" s="40" t="s">
        <v>244</v>
      </c>
      <c r="B40" s="41" t="s">
        <v>44</v>
      </c>
      <c r="C40" s="45" t="str">
        <f>+A39</f>
        <v>111803507046</v>
      </c>
      <c r="D40" s="41" t="s">
        <v>35</v>
      </c>
      <c r="E40" s="46"/>
      <c r="F40" s="47"/>
      <c r="G40" s="47"/>
      <c r="H40" s="47"/>
      <c r="I40" s="90" t="s">
        <v>68</v>
      </c>
      <c r="J40" s="90"/>
      <c r="K40" s="90"/>
      <c r="L40" s="44">
        <f t="shared" si="7"/>
        <v>0</v>
      </c>
      <c r="M40" s="44">
        <v>0</v>
      </c>
      <c r="N40" s="44">
        <v>0</v>
      </c>
      <c r="O40" s="43">
        <v>0</v>
      </c>
      <c r="R40" s="34" t="str">
        <f t="shared" si="0"/>
        <v>2021-10-31</v>
      </c>
      <c r="S40" s="19" t="str">
        <f t="shared" si="1"/>
        <v>111804608071</v>
      </c>
      <c r="T40" s="19" t="s">
        <v>206</v>
      </c>
      <c r="U40" s="20">
        <v>9</v>
      </c>
      <c r="V40" s="18">
        <v>1</v>
      </c>
      <c r="W40" s="67">
        <f t="shared" si="2"/>
        <v>0</v>
      </c>
      <c r="Y40" t="str">
        <f t="shared" si="3"/>
        <v>INSERT INTO REPORTWARE.RWH_IFRS9_R04A0420 (FECHA, PERIODO,CONCEPTO, SUBREPORTE, MONEDA, TIPO_SALDO, DATO) VALUES ('2021-10-31','2021-10-31','111804608071','0420','9','1','0')</v>
      </c>
    </row>
    <row r="41" spans="1:25">
      <c r="A41" s="40" t="s">
        <v>245</v>
      </c>
      <c r="B41" s="41" t="s">
        <v>44</v>
      </c>
      <c r="C41" s="45" t="str">
        <f>+C40</f>
        <v>111803507046</v>
      </c>
      <c r="D41" s="41" t="s">
        <v>35</v>
      </c>
      <c r="E41" s="46"/>
      <c r="F41" s="47"/>
      <c r="G41" s="47"/>
      <c r="H41" s="47"/>
      <c r="I41" s="90" t="s">
        <v>62</v>
      </c>
      <c r="J41" s="90"/>
      <c r="K41" s="90"/>
      <c r="L41" s="44">
        <f t="shared" si="7"/>
        <v>0</v>
      </c>
      <c r="M41" s="44">
        <v>0</v>
      </c>
      <c r="N41" s="44">
        <v>0</v>
      </c>
      <c r="O41" s="43">
        <v>0</v>
      </c>
      <c r="R41" s="34" t="str">
        <f t="shared" si="0"/>
        <v>2021-10-31</v>
      </c>
      <c r="S41" s="19" t="str">
        <f t="shared" si="1"/>
        <v>111804608072</v>
      </c>
      <c r="T41" s="19" t="s">
        <v>206</v>
      </c>
      <c r="U41" s="20">
        <v>9</v>
      </c>
      <c r="V41" s="18">
        <v>1</v>
      </c>
      <c r="W41" s="67">
        <f t="shared" si="2"/>
        <v>0</v>
      </c>
      <c r="Y41" t="str">
        <f t="shared" si="3"/>
        <v>INSERT INTO REPORTWARE.RWH_IFRS9_R04A0420 (FECHA, PERIODO,CONCEPTO, SUBREPORTE, MONEDA, TIPO_SALDO, DATO) VALUES ('2021-10-31','2021-10-31','111804608072','0420','9','1','0')</v>
      </c>
    </row>
    <row r="42" spans="1:25">
      <c r="A42" s="40" t="s">
        <v>246</v>
      </c>
      <c r="B42" s="41" t="s">
        <v>44</v>
      </c>
      <c r="C42" s="45" t="str">
        <f t="shared" ref="C42:C43" si="9">+C41</f>
        <v>111803507046</v>
      </c>
      <c r="D42" s="41" t="s">
        <v>35</v>
      </c>
      <c r="E42" s="46"/>
      <c r="F42" s="47"/>
      <c r="G42" s="47"/>
      <c r="H42" s="47"/>
      <c r="I42" s="90" t="s">
        <v>221</v>
      </c>
      <c r="J42" s="90"/>
      <c r="K42" s="90"/>
      <c r="L42" s="44">
        <f t="shared" si="7"/>
        <v>0</v>
      </c>
      <c r="M42" s="44">
        <v>0</v>
      </c>
      <c r="N42" s="44">
        <v>0</v>
      </c>
      <c r="O42" s="43">
        <v>0</v>
      </c>
      <c r="R42" s="34" t="str">
        <f t="shared" si="0"/>
        <v>2021-10-31</v>
      </c>
      <c r="S42" s="19" t="str">
        <f t="shared" si="1"/>
        <v>111804608073</v>
      </c>
      <c r="T42" s="19" t="s">
        <v>206</v>
      </c>
      <c r="U42" s="20">
        <v>9</v>
      </c>
      <c r="V42" s="18">
        <v>1</v>
      </c>
      <c r="W42" s="67">
        <f t="shared" si="2"/>
        <v>0</v>
      </c>
      <c r="Y42" t="str">
        <f t="shared" si="3"/>
        <v>INSERT INTO REPORTWARE.RWH_IFRS9_R04A0420 (FECHA, PERIODO,CONCEPTO, SUBREPORTE, MONEDA, TIPO_SALDO, DATO) VALUES ('2021-10-31','2021-10-31','111804608073','0420','9','1','0')</v>
      </c>
    </row>
    <row r="43" spans="1:25">
      <c r="A43" s="40" t="s">
        <v>247</v>
      </c>
      <c r="B43" s="41" t="s">
        <v>44</v>
      </c>
      <c r="C43" s="45" t="str">
        <f t="shared" si="9"/>
        <v>111803507046</v>
      </c>
      <c r="D43" s="41" t="s">
        <v>35</v>
      </c>
      <c r="E43" s="46"/>
      <c r="F43" s="47"/>
      <c r="G43" s="47"/>
      <c r="H43" s="47"/>
      <c r="I43" s="90" t="s">
        <v>47</v>
      </c>
      <c r="J43" s="90"/>
      <c r="K43" s="90"/>
      <c r="L43" s="44">
        <f t="shared" si="7"/>
        <v>0</v>
      </c>
      <c r="M43" s="44">
        <v>0</v>
      </c>
      <c r="N43" s="44">
        <v>0</v>
      </c>
      <c r="O43" s="43">
        <v>0</v>
      </c>
      <c r="R43" s="34" t="str">
        <f t="shared" si="0"/>
        <v>2021-10-31</v>
      </c>
      <c r="S43" s="19" t="str">
        <f t="shared" si="1"/>
        <v>111804608074</v>
      </c>
      <c r="T43" s="19" t="s">
        <v>206</v>
      </c>
      <c r="U43" s="20">
        <v>9</v>
      </c>
      <c r="V43" s="18">
        <v>1</v>
      </c>
      <c r="W43" s="67">
        <f t="shared" si="2"/>
        <v>0</v>
      </c>
      <c r="Y43" t="str">
        <f t="shared" si="3"/>
        <v>INSERT INTO REPORTWARE.RWH_IFRS9_R04A0420 (FECHA, PERIODO,CONCEPTO, SUBREPORTE, MONEDA, TIPO_SALDO, DATO) VALUES ('2021-10-31','2021-10-31','111804608074','0420','9','1','0')</v>
      </c>
    </row>
    <row r="44" spans="1:25">
      <c r="A44" s="40" t="s">
        <v>248</v>
      </c>
      <c r="B44" s="41" t="s">
        <v>41</v>
      </c>
      <c r="C44" s="45" t="str">
        <f>+C39</f>
        <v>111800806035</v>
      </c>
      <c r="D44" s="41" t="s">
        <v>30</v>
      </c>
      <c r="E44" s="46"/>
      <c r="F44" s="47"/>
      <c r="G44" s="47"/>
      <c r="H44" s="90" t="s">
        <v>249</v>
      </c>
      <c r="I44" s="90"/>
      <c r="J44" s="90"/>
      <c r="K44" s="90"/>
      <c r="L44" s="44">
        <f>SUM(L45:L48)</f>
        <v>0</v>
      </c>
      <c r="M44" s="44">
        <f>SUM(M45:M48)</f>
        <v>0</v>
      </c>
      <c r="N44" s="44">
        <f>SUM(N45:N48)</f>
        <v>0</v>
      </c>
      <c r="O44" s="44">
        <f>SUM(O45:O48)</f>
        <v>0</v>
      </c>
      <c r="R44" s="34" t="str">
        <f t="shared" si="0"/>
        <v>2021-10-31</v>
      </c>
      <c r="S44" s="19" t="str">
        <f t="shared" si="1"/>
        <v>111803507047</v>
      </c>
      <c r="T44" s="19" t="s">
        <v>206</v>
      </c>
      <c r="U44" s="20">
        <v>9</v>
      </c>
      <c r="V44" s="18">
        <v>1</v>
      </c>
      <c r="W44" s="67">
        <f t="shared" si="2"/>
        <v>0</v>
      </c>
      <c r="Y44" t="str">
        <f t="shared" si="3"/>
        <v>INSERT INTO REPORTWARE.RWH_IFRS9_R04A0420 (FECHA, PERIODO,CONCEPTO, SUBREPORTE, MONEDA, TIPO_SALDO, DATO) VALUES ('2021-10-31','2021-10-31','111803507047','0420','9','1','0')</v>
      </c>
    </row>
    <row r="45" spans="1:25">
      <c r="A45" s="40" t="s">
        <v>250</v>
      </c>
      <c r="B45" s="41" t="s">
        <v>44</v>
      </c>
      <c r="C45" s="45" t="str">
        <f>+A44</f>
        <v>111803507047</v>
      </c>
      <c r="D45" s="41" t="s">
        <v>35</v>
      </c>
      <c r="E45" s="46"/>
      <c r="F45" s="47"/>
      <c r="G45" s="47"/>
      <c r="H45" s="47"/>
      <c r="I45" s="90" t="s">
        <v>68</v>
      </c>
      <c r="J45" s="90"/>
      <c r="K45" s="90"/>
      <c r="L45" s="44">
        <f t="shared" si="7"/>
        <v>0</v>
      </c>
      <c r="M45" s="44">
        <v>0</v>
      </c>
      <c r="N45" s="44">
        <v>0</v>
      </c>
      <c r="O45" s="43">
        <v>0</v>
      </c>
      <c r="R45" s="34" t="str">
        <f t="shared" si="0"/>
        <v>2021-10-31</v>
      </c>
      <c r="S45" s="19" t="str">
        <f t="shared" si="1"/>
        <v>111804708075</v>
      </c>
      <c r="T45" s="19" t="s">
        <v>206</v>
      </c>
      <c r="U45" s="20">
        <v>9</v>
      </c>
      <c r="V45" s="18">
        <v>1</v>
      </c>
      <c r="W45" s="67">
        <f t="shared" si="2"/>
        <v>0</v>
      </c>
      <c r="Y45" t="str">
        <f t="shared" si="3"/>
        <v>INSERT INTO REPORTWARE.RWH_IFRS9_R04A0420 (FECHA, PERIODO,CONCEPTO, SUBREPORTE, MONEDA, TIPO_SALDO, DATO) VALUES ('2021-10-31','2021-10-31','111804708075','0420','9','1','0')</v>
      </c>
    </row>
    <row r="46" spans="1:25">
      <c r="A46" s="40" t="s">
        <v>251</v>
      </c>
      <c r="B46" s="41" t="s">
        <v>44</v>
      </c>
      <c r="C46" s="45" t="str">
        <f t="shared" ref="C46:C48" si="10">+A45</f>
        <v>111804708075</v>
      </c>
      <c r="D46" s="41" t="s">
        <v>35</v>
      </c>
      <c r="E46" s="46"/>
      <c r="F46" s="47"/>
      <c r="G46" s="47"/>
      <c r="H46" s="47"/>
      <c r="I46" s="90" t="s">
        <v>62</v>
      </c>
      <c r="J46" s="90"/>
      <c r="K46" s="90"/>
      <c r="L46" s="44">
        <f t="shared" si="7"/>
        <v>0</v>
      </c>
      <c r="M46" s="44">
        <v>0</v>
      </c>
      <c r="N46" s="44">
        <v>0</v>
      </c>
      <c r="O46" s="43">
        <v>0</v>
      </c>
      <c r="R46" s="34" t="str">
        <f t="shared" si="0"/>
        <v>2021-10-31</v>
      </c>
      <c r="S46" s="19" t="str">
        <f t="shared" si="1"/>
        <v>111804708076</v>
      </c>
      <c r="T46" s="19" t="s">
        <v>206</v>
      </c>
      <c r="U46" s="20">
        <v>9</v>
      </c>
      <c r="V46" s="18">
        <v>1</v>
      </c>
      <c r="W46" s="67">
        <f t="shared" si="2"/>
        <v>0</v>
      </c>
      <c r="Y46" t="str">
        <f t="shared" si="3"/>
        <v>INSERT INTO REPORTWARE.RWH_IFRS9_R04A0420 (FECHA, PERIODO,CONCEPTO, SUBREPORTE, MONEDA, TIPO_SALDO, DATO) VALUES ('2021-10-31','2021-10-31','111804708076','0420','9','1','0')</v>
      </c>
    </row>
    <row r="47" spans="1:25">
      <c r="A47" s="40" t="s">
        <v>252</v>
      </c>
      <c r="B47" s="41" t="s">
        <v>44</v>
      </c>
      <c r="C47" s="45" t="str">
        <f t="shared" si="10"/>
        <v>111804708076</v>
      </c>
      <c r="D47" s="41" t="s">
        <v>35</v>
      </c>
      <c r="E47" s="46"/>
      <c r="F47" s="47"/>
      <c r="G47" s="47"/>
      <c r="H47" s="47"/>
      <c r="I47" s="90" t="s">
        <v>221</v>
      </c>
      <c r="J47" s="90"/>
      <c r="K47" s="90"/>
      <c r="L47" s="44">
        <f t="shared" si="7"/>
        <v>0</v>
      </c>
      <c r="M47" s="44">
        <v>0</v>
      </c>
      <c r="N47" s="44">
        <v>0</v>
      </c>
      <c r="O47" s="43">
        <v>0</v>
      </c>
      <c r="R47" s="34" t="str">
        <f t="shared" si="0"/>
        <v>2021-10-31</v>
      </c>
      <c r="S47" s="19" t="str">
        <f t="shared" si="1"/>
        <v>111804708077</v>
      </c>
      <c r="T47" s="19" t="s">
        <v>206</v>
      </c>
      <c r="U47" s="20">
        <v>9</v>
      </c>
      <c r="V47" s="18">
        <v>1</v>
      </c>
      <c r="W47" s="67">
        <f t="shared" si="2"/>
        <v>0</v>
      </c>
      <c r="Y47" t="str">
        <f t="shared" si="3"/>
        <v>INSERT INTO REPORTWARE.RWH_IFRS9_R04A0420 (FECHA, PERIODO,CONCEPTO, SUBREPORTE, MONEDA, TIPO_SALDO, DATO) VALUES ('2021-10-31','2021-10-31','111804708077','0420','9','1','0')</v>
      </c>
    </row>
    <row r="48" spans="1:25">
      <c r="A48" s="40" t="s">
        <v>253</v>
      </c>
      <c r="B48" s="41" t="s">
        <v>44</v>
      </c>
      <c r="C48" s="45" t="str">
        <f t="shared" si="10"/>
        <v>111804708077</v>
      </c>
      <c r="D48" s="41" t="s">
        <v>35</v>
      </c>
      <c r="E48" s="46"/>
      <c r="F48" s="47"/>
      <c r="G48" s="47"/>
      <c r="H48" s="47"/>
      <c r="I48" s="90" t="s">
        <v>47</v>
      </c>
      <c r="J48" s="90"/>
      <c r="K48" s="90"/>
      <c r="L48" s="44">
        <f t="shared" si="7"/>
        <v>0</v>
      </c>
      <c r="M48" s="44">
        <v>0</v>
      </c>
      <c r="N48" s="44">
        <v>0</v>
      </c>
      <c r="O48" s="43">
        <v>0</v>
      </c>
      <c r="R48" s="34" t="str">
        <f t="shared" si="0"/>
        <v>2021-10-31</v>
      </c>
      <c r="S48" s="19" t="str">
        <f t="shared" si="1"/>
        <v>111804708078</v>
      </c>
      <c r="T48" s="19" t="s">
        <v>206</v>
      </c>
      <c r="U48" s="20">
        <v>9</v>
      </c>
      <c r="V48" s="18">
        <v>1</v>
      </c>
      <c r="W48" s="67">
        <f t="shared" si="2"/>
        <v>0</v>
      </c>
      <c r="Y48" t="str">
        <f t="shared" si="3"/>
        <v>INSERT INTO REPORTWARE.RWH_IFRS9_R04A0420 (FECHA, PERIODO,CONCEPTO, SUBREPORTE, MONEDA, TIPO_SALDO, DATO) VALUES ('2021-10-31','2021-10-31','111804708078','0420','9','1','0')</v>
      </c>
    </row>
    <row r="49" spans="1:25">
      <c r="A49" s="40" t="s">
        <v>254</v>
      </c>
      <c r="B49" s="41" t="s">
        <v>35</v>
      </c>
      <c r="C49" s="45" t="str">
        <f>+C5</f>
        <v>101800104003</v>
      </c>
      <c r="D49" s="41" t="s">
        <v>30</v>
      </c>
      <c r="E49" s="46"/>
      <c r="F49" s="96" t="s">
        <v>107</v>
      </c>
      <c r="G49" s="96"/>
      <c r="H49" s="96"/>
      <c r="I49" s="96"/>
      <c r="J49" s="96"/>
      <c r="K49" s="96"/>
      <c r="L49" s="44">
        <f>SUM(L50:L57)</f>
        <v>0</v>
      </c>
      <c r="M49" s="44">
        <f>SUM(M50:M57)</f>
        <v>0</v>
      </c>
      <c r="N49" s="44">
        <f>SUM(N50:N57)</f>
        <v>0</v>
      </c>
      <c r="O49" s="44">
        <f>SUM(O50:O57)</f>
        <v>0</v>
      </c>
      <c r="R49" s="34" t="str">
        <f t="shared" si="0"/>
        <v>2021-10-31</v>
      </c>
      <c r="S49" s="19" t="str">
        <f t="shared" si="1"/>
        <v>111800305009</v>
      </c>
      <c r="T49" s="19" t="s">
        <v>206</v>
      </c>
      <c r="U49" s="20">
        <v>9</v>
      </c>
      <c r="V49" s="18">
        <v>1</v>
      </c>
      <c r="W49" s="67">
        <f t="shared" si="2"/>
        <v>0</v>
      </c>
      <c r="Y49" t="str">
        <f t="shared" si="3"/>
        <v>INSERT INTO REPORTWARE.RWH_IFRS9_R04A0420 (FECHA, PERIODO,CONCEPTO, SUBREPORTE, MONEDA, TIPO_SALDO, DATO) VALUES ('2021-10-31','2021-10-31','111800305009','0420','9','1','0')</v>
      </c>
    </row>
    <row r="50" spans="1:25">
      <c r="A50" s="40" t="s">
        <v>255</v>
      </c>
      <c r="B50" s="41" t="s">
        <v>38</v>
      </c>
      <c r="C50" s="45" t="str">
        <f>+A49</f>
        <v>111800305009</v>
      </c>
      <c r="D50" s="41" t="s">
        <v>35</v>
      </c>
      <c r="E50" s="46"/>
      <c r="F50" s="47"/>
      <c r="G50" s="90" t="s">
        <v>109</v>
      </c>
      <c r="H50" s="90"/>
      <c r="I50" s="90"/>
      <c r="J50" s="90"/>
      <c r="K50" s="90"/>
      <c r="L50" s="44">
        <f t="shared" si="7"/>
        <v>0</v>
      </c>
      <c r="M50" s="44">
        <v>0</v>
      </c>
      <c r="N50" s="44">
        <v>0</v>
      </c>
      <c r="O50" s="43">
        <v>0</v>
      </c>
      <c r="R50" s="34" t="str">
        <f t="shared" si="0"/>
        <v>2021-10-31</v>
      </c>
      <c r="S50" s="19" t="str">
        <f t="shared" si="1"/>
        <v>111800906036</v>
      </c>
      <c r="T50" s="19" t="s">
        <v>206</v>
      </c>
      <c r="U50" s="20">
        <v>9</v>
      </c>
      <c r="V50" s="18">
        <v>1</v>
      </c>
      <c r="W50" s="67">
        <f t="shared" si="2"/>
        <v>0</v>
      </c>
      <c r="Y50" t="str">
        <f t="shared" si="3"/>
        <v>INSERT INTO REPORTWARE.RWH_IFRS9_R04A0420 (FECHA, PERIODO,CONCEPTO, SUBREPORTE, MONEDA, TIPO_SALDO, DATO) VALUES ('2021-10-31','2021-10-31','111800906036','0420','9','1','0')</v>
      </c>
    </row>
    <row r="51" spans="1:25">
      <c r="A51" s="40" t="s">
        <v>256</v>
      </c>
      <c r="B51" s="41" t="s">
        <v>38</v>
      </c>
      <c r="C51" s="45" t="str">
        <f>+C50</f>
        <v>111800305009</v>
      </c>
      <c r="D51" s="41" t="s">
        <v>35</v>
      </c>
      <c r="E51" s="46"/>
      <c r="F51" s="47"/>
      <c r="G51" s="90" t="s">
        <v>111</v>
      </c>
      <c r="H51" s="90"/>
      <c r="I51" s="90"/>
      <c r="J51" s="90"/>
      <c r="K51" s="90"/>
      <c r="L51" s="44">
        <f t="shared" si="7"/>
        <v>0</v>
      </c>
      <c r="M51" s="44">
        <v>0</v>
      </c>
      <c r="N51" s="44">
        <v>0</v>
      </c>
      <c r="O51" s="43">
        <v>0</v>
      </c>
      <c r="R51" s="34" t="str">
        <f t="shared" si="0"/>
        <v>2021-10-31</v>
      </c>
      <c r="S51" s="19" t="str">
        <f t="shared" si="1"/>
        <v>111800906037</v>
      </c>
      <c r="T51" s="19" t="s">
        <v>206</v>
      </c>
      <c r="U51" s="20">
        <v>9</v>
      </c>
      <c r="V51" s="18">
        <v>1</v>
      </c>
      <c r="W51" s="67">
        <f t="shared" si="2"/>
        <v>0</v>
      </c>
      <c r="Y51" t="str">
        <f t="shared" si="3"/>
        <v>INSERT INTO REPORTWARE.RWH_IFRS9_R04A0420 (FECHA, PERIODO,CONCEPTO, SUBREPORTE, MONEDA, TIPO_SALDO, DATO) VALUES ('2021-10-31','2021-10-31','111800906037','0420','9','1','0')</v>
      </c>
    </row>
    <row r="52" spans="1:25">
      <c r="A52" s="40" t="s">
        <v>257</v>
      </c>
      <c r="B52" s="41" t="s">
        <v>38</v>
      </c>
      <c r="C52" s="45" t="str">
        <f t="shared" ref="C52:C57" si="11">+C51</f>
        <v>111800305009</v>
      </c>
      <c r="D52" s="41" t="s">
        <v>35</v>
      </c>
      <c r="E52" s="46"/>
      <c r="F52" s="47"/>
      <c r="G52" s="90" t="s">
        <v>113</v>
      </c>
      <c r="H52" s="90"/>
      <c r="I52" s="90"/>
      <c r="J52" s="90"/>
      <c r="K52" s="90"/>
      <c r="L52" s="44">
        <f t="shared" si="7"/>
        <v>0</v>
      </c>
      <c r="M52" s="44">
        <v>0</v>
      </c>
      <c r="N52" s="44">
        <v>0</v>
      </c>
      <c r="O52" s="43">
        <v>0</v>
      </c>
      <c r="R52" s="34" t="str">
        <f t="shared" si="0"/>
        <v>2021-10-31</v>
      </c>
      <c r="S52" s="19" t="str">
        <f t="shared" si="1"/>
        <v>111800906038</v>
      </c>
      <c r="T52" s="19" t="s">
        <v>206</v>
      </c>
      <c r="U52" s="20">
        <v>9</v>
      </c>
      <c r="V52" s="18">
        <v>1</v>
      </c>
      <c r="W52" s="67">
        <f t="shared" si="2"/>
        <v>0</v>
      </c>
      <c r="Y52" t="str">
        <f t="shared" si="3"/>
        <v>INSERT INTO REPORTWARE.RWH_IFRS9_R04A0420 (FECHA, PERIODO,CONCEPTO, SUBREPORTE, MONEDA, TIPO_SALDO, DATO) VALUES ('2021-10-31','2021-10-31','111800906038','0420','9','1','0')</v>
      </c>
    </row>
    <row r="53" spans="1:25">
      <c r="A53" s="40" t="s">
        <v>258</v>
      </c>
      <c r="B53" s="41" t="s">
        <v>38</v>
      </c>
      <c r="C53" s="45" t="str">
        <f t="shared" si="11"/>
        <v>111800305009</v>
      </c>
      <c r="D53" s="41" t="s">
        <v>35</v>
      </c>
      <c r="E53" s="46"/>
      <c r="F53" s="47"/>
      <c r="G53" s="90" t="s">
        <v>115</v>
      </c>
      <c r="H53" s="90"/>
      <c r="I53" s="90"/>
      <c r="J53" s="90"/>
      <c r="K53" s="90"/>
      <c r="L53" s="44">
        <f t="shared" si="7"/>
        <v>0</v>
      </c>
      <c r="M53" s="44">
        <v>0</v>
      </c>
      <c r="N53" s="44">
        <v>0</v>
      </c>
      <c r="O53" s="43">
        <v>0</v>
      </c>
      <c r="R53" s="34" t="str">
        <f t="shared" si="0"/>
        <v>2021-10-31</v>
      </c>
      <c r="S53" s="19" t="str">
        <f t="shared" si="1"/>
        <v>111800906039</v>
      </c>
      <c r="T53" s="19" t="s">
        <v>206</v>
      </c>
      <c r="U53" s="20">
        <v>9</v>
      </c>
      <c r="V53" s="18">
        <v>1</v>
      </c>
      <c r="W53" s="67">
        <f t="shared" si="2"/>
        <v>0</v>
      </c>
      <c r="Y53" t="str">
        <f t="shared" si="3"/>
        <v>INSERT INTO REPORTWARE.RWH_IFRS9_R04A0420 (FECHA, PERIODO,CONCEPTO, SUBREPORTE, MONEDA, TIPO_SALDO, DATO) VALUES ('2021-10-31','2021-10-31','111800906039','0420','9','1','0')</v>
      </c>
    </row>
    <row r="54" spans="1:25">
      <c r="A54" s="40" t="s">
        <v>259</v>
      </c>
      <c r="B54" s="41" t="s">
        <v>38</v>
      </c>
      <c r="C54" s="45" t="str">
        <f t="shared" si="11"/>
        <v>111800305009</v>
      </c>
      <c r="D54" s="41" t="s">
        <v>35</v>
      </c>
      <c r="E54" s="46"/>
      <c r="F54" s="47"/>
      <c r="G54" s="90" t="s">
        <v>117</v>
      </c>
      <c r="H54" s="90"/>
      <c r="I54" s="90"/>
      <c r="J54" s="90"/>
      <c r="K54" s="90"/>
      <c r="L54" s="44">
        <f t="shared" si="7"/>
        <v>0</v>
      </c>
      <c r="M54" s="44">
        <v>0</v>
      </c>
      <c r="N54" s="44">
        <v>0</v>
      </c>
      <c r="O54" s="43">
        <v>0</v>
      </c>
      <c r="R54" s="34" t="str">
        <f t="shared" si="0"/>
        <v>2021-10-31</v>
      </c>
      <c r="S54" s="19" t="str">
        <f t="shared" si="1"/>
        <v>111800906040</v>
      </c>
      <c r="T54" s="19" t="s">
        <v>206</v>
      </c>
      <c r="U54" s="20">
        <v>9</v>
      </c>
      <c r="V54" s="18">
        <v>1</v>
      </c>
      <c r="W54" s="67">
        <f t="shared" si="2"/>
        <v>0</v>
      </c>
      <c r="Y54" t="str">
        <f t="shared" si="3"/>
        <v>INSERT INTO REPORTWARE.RWH_IFRS9_R04A0420 (FECHA, PERIODO,CONCEPTO, SUBREPORTE, MONEDA, TIPO_SALDO, DATO) VALUES ('2021-10-31','2021-10-31','111800906040','0420','9','1','0')</v>
      </c>
    </row>
    <row r="55" spans="1:25">
      <c r="A55" s="40" t="s">
        <v>260</v>
      </c>
      <c r="B55" s="41" t="s">
        <v>38</v>
      </c>
      <c r="C55" s="45" t="str">
        <f t="shared" si="11"/>
        <v>111800305009</v>
      </c>
      <c r="D55" s="41" t="s">
        <v>35</v>
      </c>
      <c r="E55" s="46"/>
      <c r="F55" s="47"/>
      <c r="G55" s="90" t="s">
        <v>221</v>
      </c>
      <c r="H55" s="90"/>
      <c r="I55" s="90"/>
      <c r="J55" s="90"/>
      <c r="K55" s="90"/>
      <c r="L55" s="44">
        <f t="shared" si="7"/>
        <v>0</v>
      </c>
      <c r="M55" s="44">
        <v>0</v>
      </c>
      <c r="N55" s="44">
        <v>0</v>
      </c>
      <c r="O55" s="43">
        <v>0</v>
      </c>
      <c r="R55" s="34" t="str">
        <f t="shared" si="0"/>
        <v>2021-10-31</v>
      </c>
      <c r="S55" s="19" t="str">
        <f t="shared" si="1"/>
        <v>111800906041</v>
      </c>
      <c r="T55" s="19" t="s">
        <v>206</v>
      </c>
      <c r="U55" s="20">
        <v>9</v>
      </c>
      <c r="V55" s="18">
        <v>1</v>
      </c>
      <c r="W55" s="67">
        <f t="shared" si="2"/>
        <v>0</v>
      </c>
      <c r="Y55" t="str">
        <f t="shared" si="3"/>
        <v>INSERT INTO REPORTWARE.RWH_IFRS9_R04A0420 (FECHA, PERIODO,CONCEPTO, SUBREPORTE, MONEDA, TIPO_SALDO, DATO) VALUES ('2021-10-31','2021-10-31','111800906041','0420','9','1','0')</v>
      </c>
    </row>
    <row r="56" spans="1:25">
      <c r="A56" s="40" t="s">
        <v>261</v>
      </c>
      <c r="B56" s="41" t="s">
        <v>38</v>
      </c>
      <c r="C56" s="45" t="str">
        <f t="shared" si="11"/>
        <v>111800305009</v>
      </c>
      <c r="D56" s="41" t="s">
        <v>35</v>
      </c>
      <c r="E56" s="46"/>
      <c r="F56" s="47"/>
      <c r="G56" s="89" t="s">
        <v>120</v>
      </c>
      <c r="H56" s="89"/>
      <c r="I56" s="89"/>
      <c r="J56" s="89"/>
      <c r="K56" s="89"/>
      <c r="L56" s="44">
        <f t="shared" si="7"/>
        <v>0</v>
      </c>
      <c r="M56" s="44">
        <v>0</v>
      </c>
      <c r="N56" s="44">
        <v>0</v>
      </c>
      <c r="O56" s="43">
        <v>0</v>
      </c>
      <c r="R56" s="34" t="str">
        <f t="shared" si="0"/>
        <v>2021-10-31</v>
      </c>
      <c r="S56" s="19" t="str">
        <f t="shared" si="1"/>
        <v>111800906042</v>
      </c>
      <c r="T56" s="19" t="s">
        <v>206</v>
      </c>
      <c r="U56" s="20">
        <v>9</v>
      </c>
      <c r="V56" s="18">
        <v>1</v>
      </c>
      <c r="W56" s="67">
        <f t="shared" si="2"/>
        <v>0</v>
      </c>
      <c r="Y56" t="str">
        <f t="shared" si="3"/>
        <v>INSERT INTO REPORTWARE.RWH_IFRS9_R04A0420 (FECHA, PERIODO,CONCEPTO, SUBREPORTE, MONEDA, TIPO_SALDO, DATO) VALUES ('2021-10-31','2021-10-31','111800906042','0420','9','1','0')</v>
      </c>
    </row>
    <row r="57" spans="1:25">
      <c r="A57" s="40" t="s">
        <v>262</v>
      </c>
      <c r="B57" s="41" t="s">
        <v>38</v>
      </c>
      <c r="C57" s="45" t="str">
        <f t="shared" si="11"/>
        <v>111800305009</v>
      </c>
      <c r="D57" s="41" t="s">
        <v>35</v>
      </c>
      <c r="E57" s="46"/>
      <c r="F57" s="47"/>
      <c r="G57" s="90" t="s">
        <v>122</v>
      </c>
      <c r="H57" s="90"/>
      <c r="I57" s="90"/>
      <c r="J57" s="90"/>
      <c r="K57" s="90"/>
      <c r="L57" s="44">
        <f t="shared" si="7"/>
        <v>0</v>
      </c>
      <c r="M57" s="44">
        <v>0</v>
      </c>
      <c r="N57" s="44">
        <v>0</v>
      </c>
      <c r="O57" s="43">
        <v>0</v>
      </c>
      <c r="R57" s="34" t="str">
        <f t="shared" si="0"/>
        <v>2021-10-31</v>
      </c>
      <c r="S57" s="19" t="str">
        <f t="shared" si="1"/>
        <v>111800906043</v>
      </c>
      <c r="T57" s="19" t="s">
        <v>206</v>
      </c>
      <c r="U57" s="20">
        <v>9</v>
      </c>
      <c r="V57" s="18">
        <v>1</v>
      </c>
      <c r="W57" s="67">
        <f t="shared" si="2"/>
        <v>0</v>
      </c>
      <c r="Y57" t="str">
        <f t="shared" si="3"/>
        <v>INSERT INTO REPORTWARE.RWH_IFRS9_R04A0420 (FECHA, PERIODO,CONCEPTO, SUBREPORTE, MONEDA, TIPO_SALDO, DATO) VALUES ('2021-10-31','2021-10-31','111800906043','0420','9','1','0')</v>
      </c>
    </row>
    <row r="58" spans="1:25">
      <c r="A58" s="40" t="s">
        <v>263</v>
      </c>
      <c r="B58" s="41" t="s">
        <v>35</v>
      </c>
      <c r="C58" s="45" t="str">
        <f>+C49</f>
        <v>101800104003</v>
      </c>
      <c r="D58" s="41" t="s">
        <v>30</v>
      </c>
      <c r="E58" s="46"/>
      <c r="F58" s="96" t="s">
        <v>124</v>
      </c>
      <c r="G58" s="96"/>
      <c r="H58" s="96"/>
      <c r="I58" s="96"/>
      <c r="J58" s="96"/>
      <c r="K58" s="96"/>
      <c r="L58" s="44">
        <f>SUM(L59,L60,L61,L64,L65)</f>
        <v>0</v>
      </c>
      <c r="M58" s="44">
        <f>SUM(M59,M60,M61,M64,M65)</f>
        <v>0</v>
      </c>
      <c r="N58" s="44">
        <f>SUM(N59,N60,N61,N64,N65)</f>
        <v>0</v>
      </c>
      <c r="O58" s="44">
        <f>SUM(O59,O60,O61,O64,O65)</f>
        <v>0</v>
      </c>
      <c r="R58" s="34" t="str">
        <f t="shared" si="0"/>
        <v>2021-10-31</v>
      </c>
      <c r="S58" s="19" t="str">
        <f t="shared" si="1"/>
        <v>111800305010</v>
      </c>
      <c r="T58" s="19" t="s">
        <v>206</v>
      </c>
      <c r="U58" s="20">
        <v>9</v>
      </c>
      <c r="V58" s="18">
        <v>1</v>
      </c>
      <c r="W58" s="67">
        <f t="shared" si="2"/>
        <v>0</v>
      </c>
      <c r="Y58" t="str">
        <f t="shared" si="3"/>
        <v>INSERT INTO REPORTWARE.RWH_IFRS9_R04A0420 (FECHA, PERIODO,CONCEPTO, SUBREPORTE, MONEDA, TIPO_SALDO, DATO) VALUES ('2021-10-31','2021-10-31','111800305010','0420','9','1','0')</v>
      </c>
    </row>
    <row r="59" spans="1:25">
      <c r="A59" s="40" t="s">
        <v>264</v>
      </c>
      <c r="B59" s="41" t="s">
        <v>38</v>
      </c>
      <c r="C59" s="45" t="str">
        <f>+A58</f>
        <v>111800305010</v>
      </c>
      <c r="D59" s="41" t="s">
        <v>35</v>
      </c>
      <c r="E59" s="46"/>
      <c r="F59" s="47"/>
      <c r="G59" s="90" t="s">
        <v>126</v>
      </c>
      <c r="H59" s="90"/>
      <c r="I59" s="90"/>
      <c r="J59" s="90"/>
      <c r="K59" s="90"/>
      <c r="L59" s="44">
        <f t="shared" si="7"/>
        <v>0</v>
      </c>
      <c r="M59" s="44">
        <v>0</v>
      </c>
      <c r="N59" s="44">
        <v>0</v>
      </c>
      <c r="O59" s="43">
        <v>0</v>
      </c>
      <c r="R59" s="34" t="str">
        <f t="shared" si="0"/>
        <v>2021-10-31</v>
      </c>
      <c r="S59" s="19" t="str">
        <f t="shared" si="1"/>
        <v>111801006044</v>
      </c>
      <c r="T59" s="19" t="s">
        <v>206</v>
      </c>
      <c r="U59" s="20">
        <v>9</v>
      </c>
      <c r="V59" s="18">
        <v>1</v>
      </c>
      <c r="W59" s="67">
        <f t="shared" si="2"/>
        <v>0</v>
      </c>
      <c r="Y59" t="str">
        <f t="shared" si="3"/>
        <v>INSERT INTO REPORTWARE.RWH_IFRS9_R04A0420 (FECHA, PERIODO,CONCEPTO, SUBREPORTE, MONEDA, TIPO_SALDO, DATO) VALUES ('2021-10-31','2021-10-31','111801006044','0420','9','1','0')</v>
      </c>
    </row>
    <row r="60" spans="1:25">
      <c r="A60" s="40" t="s">
        <v>265</v>
      </c>
      <c r="B60" s="41" t="s">
        <v>38</v>
      </c>
      <c r="C60" s="45" t="str">
        <f>+C59</f>
        <v>111800305010</v>
      </c>
      <c r="D60" s="41" t="s">
        <v>35</v>
      </c>
      <c r="E60" s="46"/>
      <c r="F60" s="47"/>
      <c r="G60" s="90" t="s">
        <v>128</v>
      </c>
      <c r="H60" s="90"/>
      <c r="I60" s="90"/>
      <c r="J60" s="90"/>
      <c r="K60" s="90"/>
      <c r="L60" s="44">
        <f t="shared" si="7"/>
        <v>0</v>
      </c>
      <c r="M60" s="44">
        <v>0</v>
      </c>
      <c r="N60" s="44">
        <v>0</v>
      </c>
      <c r="O60" s="43">
        <v>0</v>
      </c>
      <c r="R60" s="34" t="str">
        <f t="shared" si="0"/>
        <v>2021-10-31</v>
      </c>
      <c r="S60" s="19" t="str">
        <f t="shared" si="1"/>
        <v>111801006045</v>
      </c>
      <c r="T60" s="19" t="s">
        <v>206</v>
      </c>
      <c r="U60" s="20">
        <v>9</v>
      </c>
      <c r="V60" s="18">
        <v>1</v>
      </c>
      <c r="W60" s="67">
        <f t="shared" si="2"/>
        <v>0</v>
      </c>
      <c r="Y60" t="str">
        <f t="shared" si="3"/>
        <v>INSERT INTO REPORTWARE.RWH_IFRS9_R04A0420 (FECHA, PERIODO,CONCEPTO, SUBREPORTE, MONEDA, TIPO_SALDO, DATO) VALUES ('2021-10-31','2021-10-31','111801006045','0420','9','1','0')</v>
      </c>
    </row>
    <row r="61" spans="1:25">
      <c r="A61" s="40" t="s">
        <v>266</v>
      </c>
      <c r="B61" s="41" t="s">
        <v>38</v>
      </c>
      <c r="C61" s="45" t="str">
        <f>+C60</f>
        <v>111800305010</v>
      </c>
      <c r="D61" s="41" t="s">
        <v>30</v>
      </c>
      <c r="E61" s="46"/>
      <c r="F61" s="47"/>
      <c r="G61" s="90" t="s">
        <v>130</v>
      </c>
      <c r="H61" s="90"/>
      <c r="I61" s="90"/>
      <c r="J61" s="90"/>
      <c r="K61" s="90"/>
      <c r="L61" s="44">
        <f>SUM(L62:L63)</f>
        <v>0</v>
      </c>
      <c r="M61" s="44">
        <f>SUM(M62:M63)</f>
        <v>0</v>
      </c>
      <c r="N61" s="44">
        <f>SUM(N62:N63)</f>
        <v>0</v>
      </c>
      <c r="O61" s="44">
        <f>SUM(O62:O63)</f>
        <v>0</v>
      </c>
      <c r="R61" s="34" t="str">
        <f t="shared" si="0"/>
        <v>2021-10-31</v>
      </c>
      <c r="S61" s="19" t="str">
        <f t="shared" si="1"/>
        <v>111801006046</v>
      </c>
      <c r="T61" s="19" t="s">
        <v>206</v>
      </c>
      <c r="U61" s="20">
        <v>9</v>
      </c>
      <c r="V61" s="18">
        <v>1</v>
      </c>
      <c r="W61" s="67">
        <f t="shared" si="2"/>
        <v>0</v>
      </c>
      <c r="Y61" t="str">
        <f t="shared" si="3"/>
        <v>INSERT INTO REPORTWARE.RWH_IFRS9_R04A0420 (FECHA, PERIODO,CONCEPTO, SUBREPORTE, MONEDA, TIPO_SALDO, DATO) VALUES ('2021-10-31','2021-10-31','111801006046','0420','9','1','0')</v>
      </c>
    </row>
    <row r="62" spans="1:25">
      <c r="A62" s="40" t="s">
        <v>267</v>
      </c>
      <c r="B62" s="41" t="s">
        <v>41</v>
      </c>
      <c r="C62" s="45" t="str">
        <f>+A61</f>
        <v>111801006046</v>
      </c>
      <c r="D62" s="41" t="s">
        <v>35</v>
      </c>
      <c r="E62" s="46"/>
      <c r="F62" s="47"/>
      <c r="G62" s="47"/>
      <c r="H62" s="89" t="s">
        <v>132</v>
      </c>
      <c r="I62" s="89"/>
      <c r="J62" s="89"/>
      <c r="K62" s="89"/>
      <c r="L62" s="44">
        <f t="shared" si="7"/>
        <v>0</v>
      </c>
      <c r="M62" s="44">
        <v>0</v>
      </c>
      <c r="N62" s="44">
        <v>0</v>
      </c>
      <c r="O62" s="43">
        <v>0</v>
      </c>
      <c r="R62" s="34" t="str">
        <f t="shared" si="0"/>
        <v>2021-10-31</v>
      </c>
      <c r="S62" s="19" t="str">
        <f t="shared" si="1"/>
        <v>111804607048</v>
      </c>
      <c r="T62" s="19" t="s">
        <v>206</v>
      </c>
      <c r="U62" s="20">
        <v>9</v>
      </c>
      <c r="V62" s="18">
        <v>1</v>
      </c>
      <c r="W62" s="67">
        <f t="shared" si="2"/>
        <v>0</v>
      </c>
      <c r="Y62" t="str">
        <f t="shared" si="3"/>
        <v>INSERT INTO REPORTWARE.RWH_IFRS9_R04A0420 (FECHA, PERIODO,CONCEPTO, SUBREPORTE, MONEDA, TIPO_SALDO, DATO) VALUES ('2021-10-31','2021-10-31','111804607048','0420','9','1','0')</v>
      </c>
    </row>
    <row r="63" spans="1:25">
      <c r="A63" s="40" t="s">
        <v>268</v>
      </c>
      <c r="B63" s="41" t="s">
        <v>41</v>
      </c>
      <c r="C63" s="45" t="str">
        <f>+C62</f>
        <v>111801006046</v>
      </c>
      <c r="D63" s="41" t="s">
        <v>35</v>
      </c>
      <c r="E63" s="46"/>
      <c r="F63" s="47"/>
      <c r="G63" s="47"/>
      <c r="H63" s="89" t="s">
        <v>136</v>
      </c>
      <c r="I63" s="89"/>
      <c r="J63" s="89"/>
      <c r="K63" s="89"/>
      <c r="L63" s="44">
        <f t="shared" si="7"/>
        <v>0</v>
      </c>
      <c r="M63" s="44">
        <v>0</v>
      </c>
      <c r="N63" s="44">
        <v>0</v>
      </c>
      <c r="O63" s="43">
        <v>0</v>
      </c>
      <c r="R63" s="34" t="str">
        <f t="shared" si="0"/>
        <v>2021-10-31</v>
      </c>
      <c r="S63" s="19" t="str">
        <f t="shared" si="1"/>
        <v>111804607049</v>
      </c>
      <c r="T63" s="19" t="s">
        <v>206</v>
      </c>
      <c r="U63" s="20">
        <v>9</v>
      </c>
      <c r="V63" s="18">
        <v>1</v>
      </c>
      <c r="W63" s="67">
        <f t="shared" si="2"/>
        <v>0</v>
      </c>
      <c r="Y63" t="str">
        <f t="shared" si="3"/>
        <v>INSERT INTO REPORTWARE.RWH_IFRS9_R04A0420 (FECHA, PERIODO,CONCEPTO, SUBREPORTE, MONEDA, TIPO_SALDO, DATO) VALUES ('2021-10-31','2021-10-31','111804607049','0420','9','1','0')</v>
      </c>
    </row>
    <row r="64" spans="1:25">
      <c r="A64" s="40" t="s">
        <v>269</v>
      </c>
      <c r="B64" s="41" t="s">
        <v>38</v>
      </c>
      <c r="C64" s="45" t="str">
        <f>+C61</f>
        <v>111800305010</v>
      </c>
      <c r="D64" s="41" t="s">
        <v>35</v>
      </c>
      <c r="E64" s="46"/>
      <c r="F64" s="47"/>
      <c r="G64" s="90" t="s">
        <v>138</v>
      </c>
      <c r="H64" s="90"/>
      <c r="I64" s="90"/>
      <c r="J64" s="90"/>
      <c r="K64" s="90"/>
      <c r="L64" s="44">
        <f t="shared" si="7"/>
        <v>0</v>
      </c>
      <c r="M64" s="44">
        <v>0</v>
      </c>
      <c r="N64" s="44">
        <v>0</v>
      </c>
      <c r="O64" s="43">
        <v>0</v>
      </c>
      <c r="R64" s="34" t="str">
        <f t="shared" si="0"/>
        <v>2021-10-31</v>
      </c>
      <c r="S64" s="19" t="str">
        <f t="shared" si="1"/>
        <v>111801006047</v>
      </c>
      <c r="T64" s="19" t="s">
        <v>206</v>
      </c>
      <c r="U64" s="20">
        <v>9</v>
      </c>
      <c r="V64" s="18">
        <v>1</v>
      </c>
      <c r="W64" s="67">
        <f t="shared" si="2"/>
        <v>0</v>
      </c>
      <c r="Y64" t="str">
        <f t="shared" si="3"/>
        <v>INSERT INTO REPORTWARE.RWH_IFRS9_R04A0420 (FECHA, PERIODO,CONCEPTO, SUBREPORTE, MONEDA, TIPO_SALDO, DATO) VALUES ('2021-10-31','2021-10-31','111801006047','0420','9','1','0')</v>
      </c>
    </row>
    <row r="65" spans="1:25">
      <c r="A65" s="40" t="s">
        <v>270</v>
      </c>
      <c r="B65" s="41" t="s">
        <v>38</v>
      </c>
      <c r="C65" s="45" t="str">
        <f>+C64</f>
        <v>111800305010</v>
      </c>
      <c r="D65" s="41" t="s">
        <v>35</v>
      </c>
      <c r="E65" s="46"/>
      <c r="F65" s="47"/>
      <c r="G65" s="48" t="s">
        <v>140</v>
      </c>
      <c r="H65" s="48"/>
      <c r="I65" s="48"/>
      <c r="J65" s="48"/>
      <c r="K65" s="48"/>
      <c r="L65" s="44">
        <f t="shared" si="7"/>
        <v>0</v>
      </c>
      <c r="M65" s="44">
        <v>0</v>
      </c>
      <c r="N65" s="44">
        <v>0</v>
      </c>
      <c r="O65" s="43">
        <v>0</v>
      </c>
      <c r="R65" s="34" t="str">
        <f t="shared" si="0"/>
        <v>2021-10-31</v>
      </c>
      <c r="S65" s="19" t="str">
        <f t="shared" si="1"/>
        <v>111801006048</v>
      </c>
      <c r="T65" s="19" t="s">
        <v>206</v>
      </c>
      <c r="U65" s="20">
        <v>9</v>
      </c>
      <c r="V65" s="18">
        <v>1</v>
      </c>
      <c r="W65" s="67">
        <f t="shared" si="2"/>
        <v>0</v>
      </c>
      <c r="Y65" t="str">
        <f t="shared" si="3"/>
        <v>INSERT INTO REPORTWARE.RWH_IFRS9_R04A0420 (FECHA, PERIODO,CONCEPTO, SUBREPORTE, MONEDA, TIPO_SALDO, DATO) VALUES ('2021-10-31','2021-10-31','111801006048','0420','9','1','0')</v>
      </c>
    </row>
    <row r="66" spans="1:25">
      <c r="A66" s="40" t="s">
        <v>271</v>
      </c>
      <c r="B66" s="41" t="s">
        <v>30</v>
      </c>
      <c r="C66" s="42">
        <v>0</v>
      </c>
      <c r="D66" s="41" t="s">
        <v>30</v>
      </c>
      <c r="E66" s="87" t="s">
        <v>272</v>
      </c>
      <c r="F66" s="88"/>
      <c r="G66" s="88"/>
      <c r="H66" s="88"/>
      <c r="I66" s="88"/>
      <c r="J66" s="88"/>
      <c r="K66" s="88"/>
      <c r="L66" s="44">
        <f>SUM(L67,L71,L72)</f>
        <v>0</v>
      </c>
      <c r="M66" s="44">
        <f>SUM(M67,M71,M72)</f>
        <v>0</v>
      </c>
      <c r="N66" s="44">
        <f>SUM(N67,N71,N72)</f>
        <v>0</v>
      </c>
      <c r="O66" s="44">
        <v>0</v>
      </c>
      <c r="R66" s="34" t="str">
        <f t="shared" si="0"/>
        <v>2021-10-31</v>
      </c>
      <c r="S66" s="19" t="str">
        <f t="shared" si="1"/>
        <v>101800104004</v>
      </c>
      <c r="T66" s="19" t="s">
        <v>206</v>
      </c>
      <c r="U66" s="20">
        <v>9</v>
      </c>
      <c r="V66" s="18">
        <v>1</v>
      </c>
      <c r="W66" s="67">
        <f t="shared" si="2"/>
        <v>0</v>
      </c>
      <c r="Y66" t="str">
        <f t="shared" si="3"/>
        <v>INSERT INTO REPORTWARE.RWH_IFRS9_R04A0420 (FECHA, PERIODO,CONCEPTO, SUBREPORTE, MONEDA, TIPO_SALDO, DATO) VALUES ('2021-10-31','2021-10-31','101800104004','0420','9','1','0')</v>
      </c>
    </row>
    <row r="67" spans="1:25">
      <c r="A67" s="40" t="s">
        <v>273</v>
      </c>
      <c r="B67" s="41" t="s">
        <v>35</v>
      </c>
      <c r="C67" s="45" t="str">
        <f>+A66</f>
        <v>101800104004</v>
      </c>
      <c r="D67" s="41" t="s">
        <v>30</v>
      </c>
      <c r="E67" s="46"/>
      <c r="F67" s="48" t="s">
        <v>36</v>
      </c>
      <c r="G67" s="48"/>
      <c r="H67" s="48"/>
      <c r="I67" s="48"/>
      <c r="L67" s="44">
        <f>SUM(L68:L70)</f>
        <v>0</v>
      </c>
      <c r="M67" s="44">
        <f>SUM(M68:M70)</f>
        <v>0</v>
      </c>
      <c r="N67" s="44">
        <f>SUM(N68:N70)</f>
        <v>0</v>
      </c>
      <c r="O67" s="44">
        <f>SUM(O68:O70)</f>
        <v>0</v>
      </c>
      <c r="R67" s="34" t="str">
        <f t="shared" si="0"/>
        <v>2021-10-31</v>
      </c>
      <c r="S67" s="19" t="str">
        <f t="shared" si="1"/>
        <v>111800405011</v>
      </c>
      <c r="T67" s="19" t="s">
        <v>206</v>
      </c>
      <c r="U67" s="20">
        <v>9</v>
      </c>
      <c r="V67" s="18">
        <v>1</v>
      </c>
      <c r="W67" s="67">
        <f t="shared" si="2"/>
        <v>0</v>
      </c>
      <c r="Y67" t="str">
        <f t="shared" si="3"/>
        <v>INSERT INTO REPORTWARE.RWH_IFRS9_R04A0420 (FECHA, PERIODO,CONCEPTO, SUBREPORTE, MONEDA, TIPO_SALDO, DATO) VALUES ('2021-10-31','2021-10-31','111800405011','0420','9','1','0')</v>
      </c>
    </row>
    <row r="68" spans="1:25">
      <c r="A68" s="40" t="s">
        <v>274</v>
      </c>
      <c r="B68" s="41" t="s">
        <v>38</v>
      </c>
      <c r="C68" s="45" t="str">
        <f>+A67</f>
        <v>111800405011</v>
      </c>
      <c r="D68" s="41" t="s">
        <v>35</v>
      </c>
      <c r="E68" s="46"/>
      <c r="F68" s="48"/>
      <c r="G68" s="48" t="s">
        <v>39</v>
      </c>
      <c r="H68" s="48"/>
      <c r="I68" s="48"/>
      <c r="L68" s="44">
        <f t="shared" ref="L68:L72" si="12">SUM(M68:O68)</f>
        <v>0</v>
      </c>
      <c r="M68" s="44">
        <v>0</v>
      </c>
      <c r="N68" s="44">
        <v>0</v>
      </c>
      <c r="O68" s="43">
        <v>0</v>
      </c>
      <c r="R68" s="34" t="str">
        <f t="shared" si="0"/>
        <v>2021-10-31</v>
      </c>
      <c r="S68" s="19" t="str">
        <f t="shared" si="1"/>
        <v>111801106049</v>
      </c>
      <c r="T68" s="19" t="s">
        <v>206</v>
      </c>
      <c r="U68" s="20">
        <v>9</v>
      </c>
      <c r="V68" s="18">
        <v>1</v>
      </c>
      <c r="W68" s="67">
        <f t="shared" si="2"/>
        <v>0</v>
      </c>
      <c r="Y68" t="str">
        <f t="shared" si="3"/>
        <v>INSERT INTO REPORTWARE.RWH_IFRS9_R04A0420 (FECHA, PERIODO,CONCEPTO, SUBREPORTE, MONEDA, TIPO_SALDO, DATO) VALUES ('2021-10-31','2021-10-31','111801106049','0420','9','1','0')</v>
      </c>
    </row>
    <row r="69" spans="1:25">
      <c r="A69" s="40" t="s">
        <v>275</v>
      </c>
      <c r="B69" s="41" t="s">
        <v>38</v>
      </c>
      <c r="C69" s="45" t="str">
        <f>+C68</f>
        <v>111800405011</v>
      </c>
      <c r="D69" s="41" t="s">
        <v>35</v>
      </c>
      <c r="E69" s="46"/>
      <c r="F69" s="48"/>
      <c r="G69" s="48" t="s">
        <v>71</v>
      </c>
      <c r="H69" s="48"/>
      <c r="I69" s="48"/>
      <c r="L69" s="44">
        <f t="shared" si="12"/>
        <v>0</v>
      </c>
      <c r="M69" s="44">
        <v>0</v>
      </c>
      <c r="N69" s="44">
        <v>0</v>
      </c>
      <c r="O69" s="43">
        <v>0</v>
      </c>
      <c r="R69" s="34" t="str">
        <f t="shared" ref="R69:R72" si="13">$P$4</f>
        <v>2021-10-31</v>
      </c>
      <c r="S69" s="19" t="str">
        <f t="shared" ref="S69:S72" si="14">A69</f>
        <v>111801106050</v>
      </c>
      <c r="T69" s="19" t="s">
        <v>206</v>
      </c>
      <c r="U69" s="20">
        <v>9</v>
      </c>
      <c r="V69" s="18">
        <v>1</v>
      </c>
      <c r="W69" s="67">
        <f t="shared" ref="W69:W72" si="15">O69</f>
        <v>0</v>
      </c>
      <c r="Y69" t="str">
        <f t="shared" ref="Y69:Y132" si="16">"INSERT INTO REPORTWARE.RWH_IFRS9_R04A0420 (FECHA, PERIODO,CONCEPTO, SUBREPORTE, MONEDA, TIPO_SALDO, DATO) VALUES ('"&amp;R69&amp;"','"&amp;R69&amp;"','"&amp;S69&amp;"','"&amp;T69&amp;"','"&amp;U69&amp;"','"&amp;V69&amp;"','"&amp;W69&amp;"')"</f>
        <v>INSERT INTO REPORTWARE.RWH_IFRS9_R04A0420 (FECHA, PERIODO,CONCEPTO, SUBREPORTE, MONEDA, TIPO_SALDO, DATO) VALUES ('2021-10-31','2021-10-31','111801106050','0420','9','1','0')</v>
      </c>
    </row>
    <row r="70" spans="1:25">
      <c r="A70" s="40" t="s">
        <v>276</v>
      </c>
      <c r="B70" s="41" t="s">
        <v>38</v>
      </c>
      <c r="C70" s="45" t="str">
        <f>+C69</f>
        <v>111800405011</v>
      </c>
      <c r="D70" s="41" t="s">
        <v>35</v>
      </c>
      <c r="E70" s="46"/>
      <c r="F70" s="48"/>
      <c r="G70" s="48" t="s">
        <v>83</v>
      </c>
      <c r="H70" s="48"/>
      <c r="I70" s="48"/>
      <c r="L70" s="44">
        <f t="shared" si="12"/>
        <v>0</v>
      </c>
      <c r="M70" s="44">
        <v>0</v>
      </c>
      <c r="N70" s="44">
        <v>0</v>
      </c>
      <c r="O70" s="43">
        <v>0</v>
      </c>
      <c r="R70" s="34" t="str">
        <f t="shared" si="13"/>
        <v>2021-10-31</v>
      </c>
      <c r="S70" s="19" t="str">
        <f t="shared" si="14"/>
        <v>111801106051</v>
      </c>
      <c r="T70" s="19" t="s">
        <v>206</v>
      </c>
      <c r="U70" s="20">
        <v>9</v>
      </c>
      <c r="V70" s="18">
        <v>1</v>
      </c>
      <c r="W70" s="67">
        <f t="shared" si="15"/>
        <v>0</v>
      </c>
      <c r="Y70" t="str">
        <f t="shared" si="16"/>
        <v>INSERT INTO REPORTWARE.RWH_IFRS9_R04A0420 (FECHA, PERIODO,CONCEPTO, SUBREPORTE, MONEDA, TIPO_SALDO, DATO) VALUES ('2021-10-31','2021-10-31','111801106051','0420','9','1','0')</v>
      </c>
    </row>
    <row r="71" spans="1:25">
      <c r="A71" s="40" t="s">
        <v>277</v>
      </c>
      <c r="B71" s="41" t="s">
        <v>35</v>
      </c>
      <c r="C71" s="45" t="str">
        <f>+C67</f>
        <v>101800104004</v>
      </c>
      <c r="D71" s="41" t="s">
        <v>35</v>
      </c>
      <c r="E71" s="46"/>
      <c r="F71" s="48" t="s">
        <v>107</v>
      </c>
      <c r="G71" s="48"/>
      <c r="H71" s="48"/>
      <c r="I71" s="48"/>
      <c r="L71" s="44">
        <f t="shared" si="12"/>
        <v>0</v>
      </c>
      <c r="M71" s="44">
        <v>0</v>
      </c>
      <c r="N71" s="44">
        <v>0</v>
      </c>
      <c r="O71" s="43">
        <v>0</v>
      </c>
      <c r="R71" s="34" t="str">
        <f t="shared" si="13"/>
        <v>2021-10-31</v>
      </c>
      <c r="S71" s="19" t="str">
        <f t="shared" si="14"/>
        <v>111800405012</v>
      </c>
      <c r="T71" s="19" t="s">
        <v>206</v>
      </c>
      <c r="U71" s="20">
        <v>9</v>
      </c>
      <c r="V71" s="18">
        <v>1</v>
      </c>
      <c r="W71" s="67">
        <f t="shared" si="15"/>
        <v>0</v>
      </c>
      <c r="Y71" t="str">
        <f t="shared" si="16"/>
        <v>INSERT INTO REPORTWARE.RWH_IFRS9_R04A0420 (FECHA, PERIODO,CONCEPTO, SUBREPORTE, MONEDA, TIPO_SALDO, DATO) VALUES ('2021-10-31','2021-10-31','111800405012','0420','9','1','0')</v>
      </c>
    </row>
    <row r="72" spans="1:25" ht="15" thickBot="1">
      <c r="A72" s="40" t="s">
        <v>278</v>
      </c>
      <c r="B72" s="41" t="s">
        <v>35</v>
      </c>
      <c r="C72" s="45" t="str">
        <f>+C71</f>
        <v>101800104004</v>
      </c>
      <c r="D72" s="41" t="s">
        <v>35</v>
      </c>
      <c r="E72" s="49"/>
      <c r="F72" s="50" t="s">
        <v>124</v>
      </c>
      <c r="G72" s="50"/>
      <c r="H72" s="50"/>
      <c r="I72" s="50"/>
      <c r="J72" s="64"/>
      <c r="K72" s="64"/>
      <c r="L72" s="63">
        <f t="shared" si="12"/>
        <v>0</v>
      </c>
      <c r="M72" s="63">
        <v>0</v>
      </c>
      <c r="N72" s="63">
        <v>0</v>
      </c>
      <c r="O72" s="62">
        <v>0</v>
      </c>
      <c r="R72" s="34" t="str">
        <f t="shared" si="13"/>
        <v>2021-10-31</v>
      </c>
      <c r="S72" s="19" t="str">
        <f t="shared" si="14"/>
        <v>111800405013</v>
      </c>
      <c r="T72" s="19" t="s">
        <v>206</v>
      </c>
      <c r="U72" s="20">
        <v>9</v>
      </c>
      <c r="V72" s="18">
        <v>1</v>
      </c>
      <c r="W72" s="67">
        <f t="shared" si="15"/>
        <v>0</v>
      </c>
      <c r="Y72" t="str">
        <f t="shared" si="16"/>
        <v>INSERT INTO REPORTWARE.RWH_IFRS9_R04A0420 (FECHA, PERIODO,CONCEPTO, SUBREPORTE, MONEDA, TIPO_SALDO, DATO) VALUES ('2021-10-31','2021-10-31','111800405013','0420','9','1','0')</v>
      </c>
    </row>
    <row r="73" spans="1:25">
      <c r="R73" s="34" t="str">
        <f>$P$4</f>
        <v>2021-10-31</v>
      </c>
      <c r="S73" s="19" t="s">
        <v>204</v>
      </c>
      <c r="T73" s="19" t="s">
        <v>206</v>
      </c>
      <c r="U73" s="20">
        <v>4</v>
      </c>
      <c r="V73" s="21">
        <v>1</v>
      </c>
      <c r="W73" s="35">
        <f>N4</f>
        <v>0</v>
      </c>
      <c r="Y73" t="str">
        <f t="shared" si="16"/>
        <v>INSERT INTO REPORTWARE.RWH_IFRS9_R04A0420 (FECHA, PERIODO,CONCEPTO, SUBREPORTE, MONEDA, TIPO_SALDO, DATO) VALUES ('2021-10-31','2021-10-31','101800104003','0420','4','1','0')</v>
      </c>
    </row>
    <row r="74" spans="1:25">
      <c r="R74" s="34" t="str">
        <f t="shared" ref="R74:R137" si="17">$P$4</f>
        <v>2021-10-31</v>
      </c>
      <c r="S74" s="19" t="s">
        <v>207</v>
      </c>
      <c r="T74" s="19" t="s">
        <v>206</v>
      </c>
      <c r="U74" s="20">
        <v>4</v>
      </c>
      <c r="V74" s="18">
        <v>1</v>
      </c>
      <c r="W74" s="35">
        <f t="shared" ref="W74:W137" si="18">N5</f>
        <v>0</v>
      </c>
      <c r="Y74" t="str">
        <f t="shared" si="16"/>
        <v>INSERT INTO REPORTWARE.RWH_IFRS9_R04A0420 (FECHA, PERIODO,CONCEPTO, SUBREPORTE, MONEDA, TIPO_SALDO, DATO) VALUES ('2021-10-31','2021-10-31','111800305008','0420','4','1','0')</v>
      </c>
    </row>
    <row r="75" spans="1:25">
      <c r="R75" s="34" t="str">
        <f t="shared" si="17"/>
        <v>2021-10-31</v>
      </c>
      <c r="S75" s="19" t="s">
        <v>208</v>
      </c>
      <c r="T75" s="19" t="s">
        <v>206</v>
      </c>
      <c r="U75" s="20">
        <v>4</v>
      </c>
      <c r="V75" s="18">
        <v>1</v>
      </c>
      <c r="W75" s="35">
        <f t="shared" si="18"/>
        <v>0</v>
      </c>
      <c r="Y75" t="str">
        <f t="shared" si="16"/>
        <v>INSERT INTO REPORTWARE.RWH_IFRS9_R04A0420 (FECHA, PERIODO,CONCEPTO, SUBREPORTE, MONEDA, TIPO_SALDO, DATO) VALUES ('2021-10-31','2021-10-31','111800806033','0420','4','1','0')</v>
      </c>
    </row>
    <row r="76" spans="1:25">
      <c r="R76" s="34" t="str">
        <f t="shared" si="17"/>
        <v>2021-10-31</v>
      </c>
      <c r="S76" s="19" t="s">
        <v>209</v>
      </c>
      <c r="T76" s="19" t="s">
        <v>206</v>
      </c>
      <c r="U76" s="20">
        <v>4</v>
      </c>
      <c r="V76" s="18">
        <v>1</v>
      </c>
      <c r="W76" s="35">
        <f t="shared" si="18"/>
        <v>0</v>
      </c>
      <c r="Y76" t="str">
        <f t="shared" si="16"/>
        <v>INSERT INTO REPORTWARE.RWH_IFRS9_R04A0420 (FECHA, PERIODO,CONCEPTO, SUBREPORTE, MONEDA, TIPO_SALDO, DATO) VALUES ('2021-10-31','2021-10-31','111803307034','0420','4','1','0')</v>
      </c>
    </row>
    <row r="77" spans="1:25">
      <c r="R77" s="34" t="str">
        <f t="shared" si="17"/>
        <v>2021-10-31</v>
      </c>
      <c r="S77" s="19" t="s">
        <v>210</v>
      </c>
      <c r="T77" s="19" t="s">
        <v>206</v>
      </c>
      <c r="U77" s="20">
        <v>4</v>
      </c>
      <c r="V77" s="18">
        <v>1</v>
      </c>
      <c r="W77" s="35">
        <f t="shared" si="18"/>
        <v>0</v>
      </c>
      <c r="Y77" t="str">
        <f t="shared" si="16"/>
        <v>INSERT INTO REPORTWARE.RWH_IFRS9_R04A0420 (FECHA, PERIODO,CONCEPTO, SUBREPORTE, MONEDA, TIPO_SALDO, DATO) VALUES ('2021-10-31','2021-10-31','111803408053','0420','4','1','0')</v>
      </c>
    </row>
    <row r="78" spans="1:25">
      <c r="R78" s="34" t="str">
        <f t="shared" si="17"/>
        <v>2021-10-31</v>
      </c>
      <c r="S78" s="19" t="s">
        <v>211</v>
      </c>
      <c r="T78" s="19" t="s">
        <v>206</v>
      </c>
      <c r="U78" s="20">
        <v>4</v>
      </c>
      <c r="V78" s="18">
        <v>1</v>
      </c>
      <c r="W78" s="35">
        <f t="shared" si="18"/>
        <v>0</v>
      </c>
      <c r="Y78" t="str">
        <f t="shared" si="16"/>
        <v>INSERT INTO REPORTWARE.RWH_IFRS9_R04A0420 (FECHA, PERIODO,CONCEPTO, SUBREPORTE, MONEDA, TIPO_SALDO, DATO) VALUES ('2021-10-31','2021-10-31','111803408054','0420','4','1','0')</v>
      </c>
    </row>
    <row r="79" spans="1:25">
      <c r="R79" s="34" t="str">
        <f t="shared" si="17"/>
        <v>2021-10-31</v>
      </c>
      <c r="S79" s="19" t="s">
        <v>212</v>
      </c>
      <c r="T79" s="19" t="s">
        <v>206</v>
      </c>
      <c r="U79" s="20">
        <v>4</v>
      </c>
      <c r="V79" s="18">
        <v>1</v>
      </c>
      <c r="W79" s="35">
        <f t="shared" si="18"/>
        <v>0</v>
      </c>
      <c r="Y79" t="str">
        <f t="shared" si="16"/>
        <v>INSERT INTO REPORTWARE.RWH_IFRS9_R04A0420 (FECHA, PERIODO,CONCEPTO, SUBREPORTE, MONEDA, TIPO_SALDO, DATO) VALUES ('2021-10-31','2021-10-31','111803307035','0420','4','1','0')</v>
      </c>
    </row>
    <row r="80" spans="1:25">
      <c r="R80" s="34" t="str">
        <f t="shared" si="17"/>
        <v>2021-10-31</v>
      </c>
      <c r="S80" s="19" t="s">
        <v>213</v>
      </c>
      <c r="T80" s="19" t="s">
        <v>206</v>
      </c>
      <c r="U80" s="20">
        <v>4</v>
      </c>
      <c r="V80" s="18">
        <v>1</v>
      </c>
      <c r="W80" s="35">
        <f t="shared" si="18"/>
        <v>0</v>
      </c>
      <c r="Y80" t="str">
        <f t="shared" si="16"/>
        <v>INSERT INTO REPORTWARE.RWH_IFRS9_R04A0420 (FECHA, PERIODO,CONCEPTO, SUBREPORTE, MONEDA, TIPO_SALDO, DATO) VALUES ('2021-10-31','2021-10-31','111803508055','0420','4','1','0')</v>
      </c>
    </row>
    <row r="81" spans="18:25">
      <c r="R81" s="34" t="str">
        <f t="shared" si="17"/>
        <v>2021-10-31</v>
      </c>
      <c r="S81" s="19" t="s">
        <v>214</v>
      </c>
      <c r="T81" s="19" t="s">
        <v>206</v>
      </c>
      <c r="U81" s="20">
        <v>4</v>
      </c>
      <c r="V81" s="18">
        <v>1</v>
      </c>
      <c r="W81" s="35">
        <f t="shared" si="18"/>
        <v>0</v>
      </c>
      <c r="Y81" t="str">
        <f t="shared" si="16"/>
        <v>INSERT INTO REPORTWARE.RWH_IFRS9_R04A0420 (FECHA, PERIODO,CONCEPTO, SUBREPORTE, MONEDA, TIPO_SALDO, DATO) VALUES ('2021-10-31','2021-10-31','111803508056','0420','4','1','0')</v>
      </c>
    </row>
    <row r="82" spans="18:25">
      <c r="R82" s="34" t="str">
        <f t="shared" si="17"/>
        <v>2021-10-31</v>
      </c>
      <c r="S82" s="19" t="s">
        <v>215</v>
      </c>
      <c r="T82" s="19" t="s">
        <v>206</v>
      </c>
      <c r="U82" s="20">
        <v>4</v>
      </c>
      <c r="V82" s="18">
        <v>1</v>
      </c>
      <c r="W82" s="35">
        <f t="shared" si="18"/>
        <v>0</v>
      </c>
      <c r="Y82" t="str">
        <f t="shared" si="16"/>
        <v>INSERT INTO REPORTWARE.RWH_IFRS9_R04A0420 (FECHA, PERIODO,CONCEPTO, SUBREPORTE, MONEDA, TIPO_SALDO, DATO) VALUES ('2021-10-31','2021-10-31','111803508057','0420','4','1','0')</v>
      </c>
    </row>
    <row r="83" spans="18:25">
      <c r="R83" s="34" t="str">
        <f t="shared" si="17"/>
        <v>2021-10-31</v>
      </c>
      <c r="S83" s="19" t="s">
        <v>216</v>
      </c>
      <c r="T83" s="19" t="s">
        <v>206</v>
      </c>
      <c r="U83" s="20">
        <v>4</v>
      </c>
      <c r="V83" s="18">
        <v>1</v>
      </c>
      <c r="W83" s="35">
        <f t="shared" si="18"/>
        <v>0</v>
      </c>
      <c r="Y83" t="str">
        <f t="shared" si="16"/>
        <v>INSERT INTO REPORTWARE.RWH_IFRS9_R04A0420 (FECHA, PERIODO,CONCEPTO, SUBREPORTE, MONEDA, TIPO_SALDO, DATO) VALUES ('2021-10-31','2021-10-31','111803307036','0420','4','1','0')</v>
      </c>
    </row>
    <row r="84" spans="18:25">
      <c r="R84" s="34" t="str">
        <f t="shared" si="17"/>
        <v>2021-10-31</v>
      </c>
      <c r="S84" s="19" t="s">
        <v>217</v>
      </c>
      <c r="T84" s="19" t="s">
        <v>206</v>
      </c>
      <c r="U84" s="20">
        <v>4</v>
      </c>
      <c r="V84" s="18">
        <v>1</v>
      </c>
      <c r="W84" s="35">
        <f t="shared" si="18"/>
        <v>0</v>
      </c>
      <c r="Y84" t="str">
        <f t="shared" si="16"/>
        <v>INSERT INTO REPORTWARE.RWH_IFRS9_R04A0420 (FECHA, PERIODO,CONCEPTO, SUBREPORTE, MONEDA, TIPO_SALDO, DATO) VALUES ('2021-10-31','2021-10-31','111803608058','0420','4','1','0')</v>
      </c>
    </row>
    <row r="85" spans="18:25">
      <c r="R85" s="34" t="str">
        <f t="shared" si="17"/>
        <v>2021-10-31</v>
      </c>
      <c r="S85" s="19" t="s">
        <v>218</v>
      </c>
      <c r="T85" s="19" t="s">
        <v>206</v>
      </c>
      <c r="U85" s="20">
        <v>4</v>
      </c>
      <c r="V85" s="18">
        <v>1</v>
      </c>
      <c r="W85" s="35">
        <f t="shared" si="18"/>
        <v>0</v>
      </c>
      <c r="Y85" t="str">
        <f t="shared" si="16"/>
        <v>INSERT INTO REPORTWARE.RWH_IFRS9_R04A0420 (FECHA, PERIODO,CONCEPTO, SUBREPORTE, MONEDA, TIPO_SALDO, DATO) VALUES ('2021-10-31','2021-10-31','111803608059','0420','4','1','0')</v>
      </c>
    </row>
    <row r="86" spans="18:25">
      <c r="R86" s="34" t="str">
        <f t="shared" si="17"/>
        <v>2021-10-31</v>
      </c>
      <c r="S86" s="19" t="s">
        <v>219</v>
      </c>
      <c r="T86" s="19" t="s">
        <v>206</v>
      </c>
      <c r="U86" s="20">
        <v>4</v>
      </c>
      <c r="V86" s="18">
        <v>1</v>
      </c>
      <c r="W86" s="35">
        <f t="shared" si="18"/>
        <v>0</v>
      </c>
      <c r="Y86" t="str">
        <f t="shared" si="16"/>
        <v>INSERT INTO REPORTWARE.RWH_IFRS9_R04A0420 (FECHA, PERIODO,CONCEPTO, SUBREPORTE, MONEDA, TIPO_SALDO, DATO) VALUES ('2021-10-31','2021-10-31','111803307037','0420','4','1','0')</v>
      </c>
    </row>
    <row r="87" spans="18:25">
      <c r="R87" s="34" t="str">
        <f t="shared" si="17"/>
        <v>2021-10-31</v>
      </c>
      <c r="S87" s="19" t="s">
        <v>220</v>
      </c>
      <c r="T87" s="19" t="s">
        <v>206</v>
      </c>
      <c r="U87" s="20">
        <v>4</v>
      </c>
      <c r="V87" s="18">
        <v>1</v>
      </c>
      <c r="W87" s="35">
        <f t="shared" si="18"/>
        <v>0</v>
      </c>
      <c r="Y87" t="str">
        <f t="shared" si="16"/>
        <v>INSERT INTO REPORTWARE.RWH_IFRS9_R04A0420 (FECHA, PERIODO,CONCEPTO, SUBREPORTE, MONEDA, TIPO_SALDO, DATO) VALUES ('2021-10-31','2021-10-31','111803307038','0420','4','1','0')</v>
      </c>
    </row>
    <row r="88" spans="18:25">
      <c r="R88" s="34" t="str">
        <f t="shared" si="17"/>
        <v>2021-10-31</v>
      </c>
      <c r="S88" s="19" t="s">
        <v>222</v>
      </c>
      <c r="T88" s="19" t="s">
        <v>206</v>
      </c>
      <c r="U88" s="20">
        <v>4</v>
      </c>
      <c r="V88" s="18">
        <v>1</v>
      </c>
      <c r="W88" s="35">
        <f t="shared" si="18"/>
        <v>0</v>
      </c>
      <c r="Y88" t="str">
        <f t="shared" si="16"/>
        <v>INSERT INTO REPORTWARE.RWH_IFRS9_R04A0420 (FECHA, PERIODO,CONCEPTO, SUBREPORTE, MONEDA, TIPO_SALDO, DATO) VALUES ('2021-10-31','2021-10-31','111803307039','0420','4','1','0')</v>
      </c>
    </row>
    <row r="89" spans="18:25">
      <c r="R89" s="34" t="str">
        <f t="shared" si="17"/>
        <v>2021-10-31</v>
      </c>
      <c r="S89" s="19" t="s">
        <v>223</v>
      </c>
      <c r="T89" s="19" t="s">
        <v>206</v>
      </c>
      <c r="U89" s="20">
        <v>4</v>
      </c>
      <c r="V89" s="18">
        <v>1</v>
      </c>
      <c r="W89" s="35">
        <f t="shared" si="18"/>
        <v>0</v>
      </c>
      <c r="Y89" t="str">
        <f t="shared" si="16"/>
        <v>INSERT INTO REPORTWARE.RWH_IFRS9_R04A0420 (FECHA, PERIODO,CONCEPTO, SUBREPORTE, MONEDA, TIPO_SALDO, DATO) VALUES ('2021-10-31','2021-10-31','111803307040','0420','4','1','0')</v>
      </c>
    </row>
    <row r="90" spans="18:25">
      <c r="R90" s="34" t="str">
        <f t="shared" si="17"/>
        <v>2021-10-31</v>
      </c>
      <c r="S90" s="19" t="s">
        <v>224</v>
      </c>
      <c r="T90" s="19" t="s">
        <v>206</v>
      </c>
      <c r="U90" s="20">
        <v>4</v>
      </c>
      <c r="V90" s="18">
        <v>1</v>
      </c>
      <c r="W90" s="35">
        <f t="shared" si="18"/>
        <v>0</v>
      </c>
      <c r="Y90" t="str">
        <f t="shared" si="16"/>
        <v>INSERT INTO REPORTWARE.RWH_IFRS9_R04A0420 (FECHA, PERIODO,CONCEPTO, SUBREPORTE, MONEDA, TIPO_SALDO, DATO) VALUES ('2021-10-31','2021-10-31','111803307041','0420','4','1','0')</v>
      </c>
    </row>
    <row r="91" spans="18:25">
      <c r="R91" s="34" t="str">
        <f t="shared" si="17"/>
        <v>2021-10-31</v>
      </c>
      <c r="S91" s="19" t="s">
        <v>225</v>
      </c>
      <c r="T91" s="19" t="s">
        <v>206</v>
      </c>
      <c r="U91" s="20">
        <v>4</v>
      </c>
      <c r="V91" s="18">
        <v>1</v>
      </c>
      <c r="W91" s="35">
        <f t="shared" si="18"/>
        <v>0</v>
      </c>
      <c r="Y91" t="str">
        <f t="shared" si="16"/>
        <v>INSERT INTO REPORTWARE.RWH_IFRS9_R04A0420 (FECHA, PERIODO,CONCEPTO, SUBREPORTE, MONEDA, TIPO_SALDO, DATO) VALUES ('2021-10-31','2021-10-31','111800806034','0420','4','1','0')</v>
      </c>
    </row>
    <row r="92" spans="18:25">
      <c r="R92" s="34" t="str">
        <f t="shared" si="17"/>
        <v>2021-10-31</v>
      </c>
      <c r="S92" s="19" t="s">
        <v>226</v>
      </c>
      <c r="T92" s="19" t="s">
        <v>206</v>
      </c>
      <c r="U92" s="20">
        <v>4</v>
      </c>
      <c r="V92" s="18">
        <v>1</v>
      </c>
      <c r="W92" s="35">
        <f t="shared" si="18"/>
        <v>0</v>
      </c>
      <c r="Y92" t="str">
        <f t="shared" si="16"/>
        <v>INSERT INTO REPORTWARE.RWH_IFRS9_R04A0420 (FECHA, PERIODO,CONCEPTO, SUBREPORTE, MONEDA, TIPO_SALDO, DATO) VALUES ('2021-10-31','2021-10-31','111803407042','0420','4','1','0')</v>
      </c>
    </row>
    <row r="93" spans="18:25">
      <c r="R93" s="34" t="str">
        <f t="shared" si="17"/>
        <v>2021-10-31</v>
      </c>
      <c r="S93" s="19" t="s">
        <v>227</v>
      </c>
      <c r="T93" s="19" t="s">
        <v>206</v>
      </c>
      <c r="U93" s="20">
        <v>4</v>
      </c>
      <c r="V93" s="18">
        <v>1</v>
      </c>
      <c r="W93" s="35">
        <f t="shared" si="18"/>
        <v>0</v>
      </c>
      <c r="Y93" t="str">
        <f t="shared" si="16"/>
        <v>INSERT INTO REPORTWARE.RWH_IFRS9_R04A0420 (FECHA, PERIODO,CONCEPTO, SUBREPORTE, MONEDA, TIPO_SALDO, DATO) VALUES ('2021-10-31','2021-10-31','111804208060','0420','4','1','0')</v>
      </c>
    </row>
    <row r="94" spans="18:25">
      <c r="R94" s="34" t="str">
        <f t="shared" si="17"/>
        <v>2021-10-31</v>
      </c>
      <c r="S94" s="19" t="s">
        <v>228</v>
      </c>
      <c r="T94" s="19" t="s">
        <v>206</v>
      </c>
      <c r="U94" s="20">
        <v>4</v>
      </c>
      <c r="V94" s="18">
        <v>1</v>
      </c>
      <c r="W94" s="35">
        <f t="shared" si="18"/>
        <v>0</v>
      </c>
      <c r="Y94" t="str">
        <f t="shared" si="16"/>
        <v>INSERT INTO REPORTWARE.RWH_IFRS9_R04A0420 (FECHA, PERIODO,CONCEPTO, SUBREPORTE, MONEDA, TIPO_SALDO, DATO) VALUES ('2021-10-31','2021-10-31','111804208061','0420','4','1','0')</v>
      </c>
    </row>
    <row r="95" spans="18:25">
      <c r="R95" s="34" t="str">
        <f t="shared" si="17"/>
        <v>2021-10-31</v>
      </c>
      <c r="S95" s="19" t="s">
        <v>229</v>
      </c>
      <c r="T95" s="19" t="s">
        <v>206</v>
      </c>
      <c r="U95" s="20">
        <v>4</v>
      </c>
      <c r="V95" s="18">
        <v>1</v>
      </c>
      <c r="W95" s="35">
        <f t="shared" si="18"/>
        <v>0</v>
      </c>
      <c r="Y95" t="str">
        <f t="shared" si="16"/>
        <v>INSERT INTO REPORTWARE.RWH_IFRS9_R04A0420 (FECHA, PERIODO,CONCEPTO, SUBREPORTE, MONEDA, TIPO_SALDO, DATO) VALUES ('2021-10-31','2021-10-31','111804208062','0420','4','1','0')</v>
      </c>
    </row>
    <row r="96" spans="18:25">
      <c r="R96" s="34" t="str">
        <f t="shared" si="17"/>
        <v>2021-10-31</v>
      </c>
      <c r="S96" s="19" t="s">
        <v>230</v>
      </c>
      <c r="T96" s="19" t="s">
        <v>206</v>
      </c>
      <c r="U96" s="20">
        <v>4</v>
      </c>
      <c r="V96" s="18">
        <v>1</v>
      </c>
      <c r="W96" s="35">
        <f t="shared" si="18"/>
        <v>0</v>
      </c>
      <c r="Y96" t="str">
        <f t="shared" si="16"/>
        <v>INSERT INTO REPORTWARE.RWH_IFRS9_R04A0420 (FECHA, PERIODO,CONCEPTO, SUBREPORTE, MONEDA, TIPO_SALDO, DATO) VALUES ('2021-10-31','2021-10-31','111803407043','0420','4','1','0')</v>
      </c>
    </row>
    <row r="97" spans="18:25">
      <c r="R97" s="34" t="str">
        <f t="shared" si="17"/>
        <v>2021-10-31</v>
      </c>
      <c r="S97" s="19" t="s">
        <v>231</v>
      </c>
      <c r="T97" s="19" t="s">
        <v>206</v>
      </c>
      <c r="U97" s="20">
        <v>4</v>
      </c>
      <c r="V97" s="18">
        <v>1</v>
      </c>
      <c r="W97" s="35">
        <f t="shared" si="18"/>
        <v>0</v>
      </c>
      <c r="Y97" t="str">
        <f t="shared" si="16"/>
        <v>INSERT INTO REPORTWARE.RWH_IFRS9_R04A0420 (FECHA, PERIODO,CONCEPTO, SUBREPORTE, MONEDA, TIPO_SALDO, DATO) VALUES ('2021-10-31','2021-10-31','111804308063','0420','4','1','0')</v>
      </c>
    </row>
    <row r="98" spans="18:25">
      <c r="R98" s="34" t="str">
        <f t="shared" si="17"/>
        <v>2021-10-31</v>
      </c>
      <c r="S98" s="19" t="s">
        <v>232</v>
      </c>
      <c r="T98" s="19" t="s">
        <v>206</v>
      </c>
      <c r="U98" s="20">
        <v>4</v>
      </c>
      <c r="V98" s="18">
        <v>1</v>
      </c>
      <c r="W98" s="35">
        <f t="shared" si="18"/>
        <v>0</v>
      </c>
      <c r="Y98" t="str">
        <f t="shared" si="16"/>
        <v>INSERT INTO REPORTWARE.RWH_IFRS9_R04A0420 (FECHA, PERIODO,CONCEPTO, SUBREPORTE, MONEDA, TIPO_SALDO, DATO) VALUES ('2021-10-31','2021-10-31','111804308064','0420','4','1','0')</v>
      </c>
    </row>
    <row r="99" spans="18:25">
      <c r="R99" s="34" t="str">
        <f t="shared" si="17"/>
        <v>2021-10-31</v>
      </c>
      <c r="S99" s="19" t="s">
        <v>233</v>
      </c>
      <c r="T99" s="19" t="s">
        <v>206</v>
      </c>
      <c r="U99" s="20">
        <v>4</v>
      </c>
      <c r="V99" s="18">
        <v>1</v>
      </c>
      <c r="W99" s="35">
        <f t="shared" si="18"/>
        <v>0</v>
      </c>
      <c r="Y99" t="str">
        <f t="shared" si="16"/>
        <v>INSERT INTO REPORTWARE.RWH_IFRS9_R04A0420 (FECHA, PERIODO,CONCEPTO, SUBREPORTE, MONEDA, TIPO_SALDO, DATO) VALUES ('2021-10-31','2021-10-31','111804308065','0420','4','1','0')</v>
      </c>
    </row>
    <row r="100" spans="18:25">
      <c r="R100" s="34" t="str">
        <f t="shared" si="17"/>
        <v>2021-10-31</v>
      </c>
      <c r="S100" s="19" t="s">
        <v>234</v>
      </c>
      <c r="T100" s="19" t="s">
        <v>206</v>
      </c>
      <c r="U100" s="20">
        <v>4</v>
      </c>
      <c r="V100" s="18">
        <v>1</v>
      </c>
      <c r="W100" s="35">
        <f t="shared" si="18"/>
        <v>0</v>
      </c>
      <c r="Y100" t="str">
        <f t="shared" si="16"/>
        <v>INSERT INTO REPORTWARE.RWH_IFRS9_R04A0420 (FECHA, PERIODO,CONCEPTO, SUBREPORTE, MONEDA, TIPO_SALDO, DATO) VALUES ('2021-10-31','2021-10-31','111800806035','0420','4','1','0')</v>
      </c>
    </row>
    <row r="101" spans="18:25">
      <c r="R101" s="34" t="str">
        <f t="shared" si="17"/>
        <v>2021-10-31</v>
      </c>
      <c r="S101" s="19" t="s">
        <v>235</v>
      </c>
      <c r="T101" s="19" t="s">
        <v>206</v>
      </c>
      <c r="U101" s="20">
        <v>4</v>
      </c>
      <c r="V101" s="18">
        <v>1</v>
      </c>
      <c r="W101" s="35">
        <f t="shared" si="18"/>
        <v>0</v>
      </c>
      <c r="Y101" t="str">
        <f t="shared" si="16"/>
        <v>INSERT INTO REPORTWARE.RWH_IFRS9_R04A0420 (FECHA, PERIODO,CONCEPTO, SUBREPORTE, MONEDA, TIPO_SALDO, DATO) VALUES ('2021-10-31','2021-10-31','111803507044','0420','4','1','0')</v>
      </c>
    </row>
    <row r="102" spans="18:25">
      <c r="R102" s="34" t="str">
        <f t="shared" si="17"/>
        <v>2021-10-31</v>
      </c>
      <c r="S102" s="19" t="s">
        <v>236</v>
      </c>
      <c r="T102" s="19" t="s">
        <v>206</v>
      </c>
      <c r="U102" s="20">
        <v>4</v>
      </c>
      <c r="V102" s="18">
        <v>1</v>
      </c>
      <c r="W102" s="35">
        <f t="shared" si="18"/>
        <v>0</v>
      </c>
      <c r="Y102" t="str">
        <f t="shared" si="16"/>
        <v>INSERT INTO REPORTWARE.RWH_IFRS9_R04A0420 (FECHA, PERIODO,CONCEPTO, SUBREPORTE, MONEDA, TIPO_SALDO, DATO) VALUES ('2021-10-31','2021-10-31','111803507045','0420','4','1','0')</v>
      </c>
    </row>
    <row r="103" spans="18:25">
      <c r="R103" s="34" t="str">
        <f t="shared" si="17"/>
        <v>2021-10-31</v>
      </c>
      <c r="S103" s="19" t="s">
        <v>237</v>
      </c>
      <c r="T103" s="19" t="s">
        <v>206</v>
      </c>
      <c r="U103" s="20">
        <v>4</v>
      </c>
      <c r="V103" s="18">
        <v>1</v>
      </c>
      <c r="W103" s="35">
        <f t="shared" si="18"/>
        <v>0</v>
      </c>
      <c r="Y103" t="str">
        <f t="shared" si="16"/>
        <v>INSERT INTO REPORTWARE.RWH_IFRS9_R04A0420 (FECHA, PERIODO,CONCEPTO, SUBREPORTE, MONEDA, TIPO_SALDO, DATO) VALUES ('2021-10-31','2021-10-31','111804508066','0420','4','1','0')</v>
      </c>
    </row>
    <row r="104" spans="18:25">
      <c r="R104" s="34" t="str">
        <f t="shared" si="17"/>
        <v>2021-10-31</v>
      </c>
      <c r="S104" s="19" t="s">
        <v>238</v>
      </c>
      <c r="T104" s="19" t="s">
        <v>206</v>
      </c>
      <c r="U104" s="20">
        <v>4</v>
      </c>
      <c r="V104" s="18">
        <v>1</v>
      </c>
      <c r="W104" s="35">
        <f t="shared" si="18"/>
        <v>0</v>
      </c>
      <c r="Y104" t="str">
        <f t="shared" si="16"/>
        <v>INSERT INTO REPORTWARE.RWH_IFRS9_R04A0420 (FECHA, PERIODO,CONCEPTO, SUBREPORTE, MONEDA, TIPO_SALDO, DATO) VALUES ('2021-10-31','2021-10-31','111804508067','0420','4','1','0')</v>
      </c>
    </row>
    <row r="105" spans="18:25">
      <c r="R105" s="34" t="str">
        <f t="shared" si="17"/>
        <v>2021-10-31</v>
      </c>
      <c r="S105" s="19" t="s">
        <v>239</v>
      </c>
      <c r="T105" s="19" t="s">
        <v>206</v>
      </c>
      <c r="U105" s="20">
        <v>4</v>
      </c>
      <c r="V105" s="18">
        <v>1</v>
      </c>
      <c r="W105" s="35">
        <f t="shared" si="18"/>
        <v>0</v>
      </c>
      <c r="Y105" t="str">
        <f t="shared" si="16"/>
        <v>INSERT INTO REPORTWARE.RWH_IFRS9_R04A0420 (FECHA, PERIODO,CONCEPTO, SUBREPORTE, MONEDA, TIPO_SALDO, DATO) VALUES ('2021-10-31','2021-10-31','111804508068','0420','4','1','0')</v>
      </c>
    </row>
    <row r="106" spans="18:25">
      <c r="R106" s="34" t="str">
        <f t="shared" si="17"/>
        <v>2021-10-31</v>
      </c>
      <c r="S106" s="19" t="s">
        <v>240</v>
      </c>
      <c r="T106" s="19" t="s">
        <v>206</v>
      </c>
      <c r="U106" s="20">
        <v>4</v>
      </c>
      <c r="V106" s="18">
        <v>1</v>
      </c>
      <c r="W106" s="35">
        <f t="shared" si="18"/>
        <v>0</v>
      </c>
      <c r="Y106" t="str">
        <f t="shared" si="16"/>
        <v>INSERT INTO REPORTWARE.RWH_IFRS9_R04A0420 (FECHA, PERIODO,CONCEPTO, SUBREPORTE, MONEDA, TIPO_SALDO, DATO) VALUES ('2021-10-31','2021-10-31','111804508069','0420','4','1','0')</v>
      </c>
    </row>
    <row r="107" spans="18:25">
      <c r="R107" s="34" t="str">
        <f t="shared" si="17"/>
        <v>2021-10-31</v>
      </c>
      <c r="S107" s="19" t="s">
        <v>242</v>
      </c>
      <c r="T107" s="19" t="s">
        <v>206</v>
      </c>
      <c r="U107" s="20">
        <v>4</v>
      </c>
      <c r="V107" s="18">
        <v>1</v>
      </c>
      <c r="W107" s="35">
        <f t="shared" si="18"/>
        <v>0</v>
      </c>
      <c r="Y107" t="str">
        <f t="shared" si="16"/>
        <v>INSERT INTO REPORTWARE.RWH_IFRS9_R04A0420 (FECHA, PERIODO,CONCEPTO, SUBREPORTE, MONEDA, TIPO_SALDO, DATO) VALUES ('2021-10-31','2021-10-31','111804508070','0420','4','1','0')</v>
      </c>
    </row>
    <row r="108" spans="18:25">
      <c r="R108" s="34" t="str">
        <f t="shared" si="17"/>
        <v>2021-10-31</v>
      </c>
      <c r="S108" s="19" t="s">
        <v>243</v>
      </c>
      <c r="T108" s="19" t="s">
        <v>206</v>
      </c>
      <c r="U108" s="20">
        <v>4</v>
      </c>
      <c r="V108" s="18">
        <v>1</v>
      </c>
      <c r="W108" s="35">
        <f t="shared" si="18"/>
        <v>0</v>
      </c>
      <c r="Y108" t="str">
        <f t="shared" si="16"/>
        <v>INSERT INTO REPORTWARE.RWH_IFRS9_R04A0420 (FECHA, PERIODO,CONCEPTO, SUBREPORTE, MONEDA, TIPO_SALDO, DATO) VALUES ('2021-10-31','2021-10-31','111803507046','0420','4','1','0')</v>
      </c>
    </row>
    <row r="109" spans="18:25">
      <c r="R109" s="34" t="str">
        <f t="shared" si="17"/>
        <v>2021-10-31</v>
      </c>
      <c r="S109" s="19" t="s">
        <v>244</v>
      </c>
      <c r="T109" s="19" t="s">
        <v>206</v>
      </c>
      <c r="U109" s="20">
        <v>4</v>
      </c>
      <c r="V109" s="18">
        <v>1</v>
      </c>
      <c r="W109" s="35">
        <f t="shared" si="18"/>
        <v>0</v>
      </c>
      <c r="Y109" t="str">
        <f t="shared" si="16"/>
        <v>INSERT INTO REPORTWARE.RWH_IFRS9_R04A0420 (FECHA, PERIODO,CONCEPTO, SUBREPORTE, MONEDA, TIPO_SALDO, DATO) VALUES ('2021-10-31','2021-10-31','111804608071','0420','4','1','0')</v>
      </c>
    </row>
    <row r="110" spans="18:25">
      <c r="R110" s="34" t="str">
        <f t="shared" si="17"/>
        <v>2021-10-31</v>
      </c>
      <c r="S110" s="19" t="s">
        <v>245</v>
      </c>
      <c r="T110" s="19" t="s">
        <v>206</v>
      </c>
      <c r="U110" s="20">
        <v>4</v>
      </c>
      <c r="V110" s="18">
        <v>1</v>
      </c>
      <c r="W110" s="35">
        <f t="shared" si="18"/>
        <v>0</v>
      </c>
      <c r="Y110" t="str">
        <f t="shared" si="16"/>
        <v>INSERT INTO REPORTWARE.RWH_IFRS9_R04A0420 (FECHA, PERIODO,CONCEPTO, SUBREPORTE, MONEDA, TIPO_SALDO, DATO) VALUES ('2021-10-31','2021-10-31','111804608072','0420','4','1','0')</v>
      </c>
    </row>
    <row r="111" spans="18:25">
      <c r="R111" s="34" t="str">
        <f t="shared" si="17"/>
        <v>2021-10-31</v>
      </c>
      <c r="S111" s="19" t="s">
        <v>246</v>
      </c>
      <c r="T111" s="19" t="s">
        <v>206</v>
      </c>
      <c r="U111" s="20">
        <v>4</v>
      </c>
      <c r="V111" s="18">
        <v>1</v>
      </c>
      <c r="W111" s="35">
        <f t="shared" si="18"/>
        <v>0</v>
      </c>
      <c r="Y111" t="str">
        <f t="shared" si="16"/>
        <v>INSERT INTO REPORTWARE.RWH_IFRS9_R04A0420 (FECHA, PERIODO,CONCEPTO, SUBREPORTE, MONEDA, TIPO_SALDO, DATO) VALUES ('2021-10-31','2021-10-31','111804608073','0420','4','1','0')</v>
      </c>
    </row>
    <row r="112" spans="18:25">
      <c r="R112" s="34" t="str">
        <f t="shared" si="17"/>
        <v>2021-10-31</v>
      </c>
      <c r="S112" s="19" t="s">
        <v>247</v>
      </c>
      <c r="T112" s="19" t="s">
        <v>206</v>
      </c>
      <c r="U112" s="20">
        <v>4</v>
      </c>
      <c r="V112" s="18">
        <v>1</v>
      </c>
      <c r="W112" s="35">
        <f t="shared" si="18"/>
        <v>0</v>
      </c>
      <c r="Y112" t="str">
        <f t="shared" si="16"/>
        <v>INSERT INTO REPORTWARE.RWH_IFRS9_R04A0420 (FECHA, PERIODO,CONCEPTO, SUBREPORTE, MONEDA, TIPO_SALDO, DATO) VALUES ('2021-10-31','2021-10-31','111804608074','0420','4','1','0')</v>
      </c>
    </row>
    <row r="113" spans="18:25">
      <c r="R113" s="34" t="str">
        <f t="shared" si="17"/>
        <v>2021-10-31</v>
      </c>
      <c r="S113" s="19" t="s">
        <v>248</v>
      </c>
      <c r="T113" s="19" t="s">
        <v>206</v>
      </c>
      <c r="U113" s="20">
        <v>4</v>
      </c>
      <c r="V113" s="18">
        <v>1</v>
      </c>
      <c r="W113" s="35">
        <f t="shared" si="18"/>
        <v>0</v>
      </c>
      <c r="Y113" t="str">
        <f t="shared" si="16"/>
        <v>INSERT INTO REPORTWARE.RWH_IFRS9_R04A0420 (FECHA, PERIODO,CONCEPTO, SUBREPORTE, MONEDA, TIPO_SALDO, DATO) VALUES ('2021-10-31','2021-10-31','111803507047','0420','4','1','0')</v>
      </c>
    </row>
    <row r="114" spans="18:25">
      <c r="R114" s="34" t="str">
        <f t="shared" si="17"/>
        <v>2021-10-31</v>
      </c>
      <c r="S114" s="19" t="s">
        <v>250</v>
      </c>
      <c r="T114" s="19" t="s">
        <v>206</v>
      </c>
      <c r="U114" s="20">
        <v>4</v>
      </c>
      <c r="V114" s="18">
        <v>1</v>
      </c>
      <c r="W114" s="35">
        <f t="shared" si="18"/>
        <v>0</v>
      </c>
      <c r="Y114" t="str">
        <f t="shared" si="16"/>
        <v>INSERT INTO REPORTWARE.RWH_IFRS9_R04A0420 (FECHA, PERIODO,CONCEPTO, SUBREPORTE, MONEDA, TIPO_SALDO, DATO) VALUES ('2021-10-31','2021-10-31','111804708075','0420','4','1','0')</v>
      </c>
    </row>
    <row r="115" spans="18:25">
      <c r="R115" s="34" t="str">
        <f t="shared" si="17"/>
        <v>2021-10-31</v>
      </c>
      <c r="S115" s="19" t="s">
        <v>251</v>
      </c>
      <c r="T115" s="19" t="s">
        <v>206</v>
      </c>
      <c r="U115" s="20">
        <v>4</v>
      </c>
      <c r="V115" s="18">
        <v>1</v>
      </c>
      <c r="W115" s="35">
        <f t="shared" si="18"/>
        <v>0</v>
      </c>
      <c r="Y115" t="str">
        <f t="shared" si="16"/>
        <v>INSERT INTO REPORTWARE.RWH_IFRS9_R04A0420 (FECHA, PERIODO,CONCEPTO, SUBREPORTE, MONEDA, TIPO_SALDO, DATO) VALUES ('2021-10-31','2021-10-31','111804708076','0420','4','1','0')</v>
      </c>
    </row>
    <row r="116" spans="18:25">
      <c r="R116" s="34" t="str">
        <f t="shared" si="17"/>
        <v>2021-10-31</v>
      </c>
      <c r="S116" s="19" t="s">
        <v>252</v>
      </c>
      <c r="T116" s="19" t="s">
        <v>206</v>
      </c>
      <c r="U116" s="20">
        <v>4</v>
      </c>
      <c r="V116" s="18">
        <v>1</v>
      </c>
      <c r="W116" s="35">
        <f t="shared" si="18"/>
        <v>0</v>
      </c>
      <c r="Y116" t="str">
        <f t="shared" si="16"/>
        <v>INSERT INTO REPORTWARE.RWH_IFRS9_R04A0420 (FECHA, PERIODO,CONCEPTO, SUBREPORTE, MONEDA, TIPO_SALDO, DATO) VALUES ('2021-10-31','2021-10-31','111804708077','0420','4','1','0')</v>
      </c>
    </row>
    <row r="117" spans="18:25">
      <c r="R117" s="34" t="str">
        <f t="shared" si="17"/>
        <v>2021-10-31</v>
      </c>
      <c r="S117" s="19" t="s">
        <v>253</v>
      </c>
      <c r="T117" s="19" t="s">
        <v>206</v>
      </c>
      <c r="U117" s="20">
        <v>4</v>
      </c>
      <c r="V117" s="18">
        <v>1</v>
      </c>
      <c r="W117" s="35">
        <f t="shared" si="18"/>
        <v>0</v>
      </c>
      <c r="Y117" t="str">
        <f t="shared" si="16"/>
        <v>INSERT INTO REPORTWARE.RWH_IFRS9_R04A0420 (FECHA, PERIODO,CONCEPTO, SUBREPORTE, MONEDA, TIPO_SALDO, DATO) VALUES ('2021-10-31','2021-10-31','111804708078','0420','4','1','0')</v>
      </c>
    </row>
    <row r="118" spans="18:25">
      <c r="R118" s="34" t="str">
        <f t="shared" si="17"/>
        <v>2021-10-31</v>
      </c>
      <c r="S118" s="19" t="s">
        <v>254</v>
      </c>
      <c r="T118" s="19" t="s">
        <v>206</v>
      </c>
      <c r="U118" s="20">
        <v>4</v>
      </c>
      <c r="V118" s="18">
        <v>1</v>
      </c>
      <c r="W118" s="35">
        <f t="shared" si="18"/>
        <v>0</v>
      </c>
      <c r="Y118" t="str">
        <f t="shared" si="16"/>
        <v>INSERT INTO REPORTWARE.RWH_IFRS9_R04A0420 (FECHA, PERIODO,CONCEPTO, SUBREPORTE, MONEDA, TIPO_SALDO, DATO) VALUES ('2021-10-31','2021-10-31','111800305009','0420','4','1','0')</v>
      </c>
    </row>
    <row r="119" spans="18:25">
      <c r="R119" s="34" t="str">
        <f t="shared" si="17"/>
        <v>2021-10-31</v>
      </c>
      <c r="S119" s="19" t="s">
        <v>255</v>
      </c>
      <c r="T119" s="19" t="s">
        <v>206</v>
      </c>
      <c r="U119" s="20">
        <v>4</v>
      </c>
      <c r="V119" s="18">
        <v>1</v>
      </c>
      <c r="W119" s="35">
        <f t="shared" si="18"/>
        <v>0</v>
      </c>
      <c r="Y119" t="str">
        <f t="shared" si="16"/>
        <v>INSERT INTO REPORTWARE.RWH_IFRS9_R04A0420 (FECHA, PERIODO,CONCEPTO, SUBREPORTE, MONEDA, TIPO_SALDO, DATO) VALUES ('2021-10-31','2021-10-31','111800906036','0420','4','1','0')</v>
      </c>
    </row>
    <row r="120" spans="18:25">
      <c r="R120" s="34" t="str">
        <f t="shared" si="17"/>
        <v>2021-10-31</v>
      </c>
      <c r="S120" s="19" t="s">
        <v>256</v>
      </c>
      <c r="T120" s="19" t="s">
        <v>206</v>
      </c>
      <c r="U120" s="20">
        <v>4</v>
      </c>
      <c r="V120" s="18">
        <v>1</v>
      </c>
      <c r="W120" s="35">
        <f t="shared" si="18"/>
        <v>0</v>
      </c>
      <c r="Y120" t="str">
        <f t="shared" si="16"/>
        <v>INSERT INTO REPORTWARE.RWH_IFRS9_R04A0420 (FECHA, PERIODO,CONCEPTO, SUBREPORTE, MONEDA, TIPO_SALDO, DATO) VALUES ('2021-10-31','2021-10-31','111800906037','0420','4','1','0')</v>
      </c>
    </row>
    <row r="121" spans="18:25">
      <c r="R121" s="34" t="str">
        <f t="shared" si="17"/>
        <v>2021-10-31</v>
      </c>
      <c r="S121" s="19" t="s">
        <v>257</v>
      </c>
      <c r="T121" s="19" t="s">
        <v>206</v>
      </c>
      <c r="U121" s="20">
        <v>4</v>
      </c>
      <c r="V121" s="18">
        <v>1</v>
      </c>
      <c r="W121" s="35">
        <f t="shared" si="18"/>
        <v>0</v>
      </c>
      <c r="Y121" t="str">
        <f t="shared" si="16"/>
        <v>INSERT INTO REPORTWARE.RWH_IFRS9_R04A0420 (FECHA, PERIODO,CONCEPTO, SUBREPORTE, MONEDA, TIPO_SALDO, DATO) VALUES ('2021-10-31','2021-10-31','111800906038','0420','4','1','0')</v>
      </c>
    </row>
    <row r="122" spans="18:25">
      <c r="R122" s="34" t="str">
        <f t="shared" si="17"/>
        <v>2021-10-31</v>
      </c>
      <c r="S122" s="19" t="s">
        <v>258</v>
      </c>
      <c r="T122" s="19" t="s">
        <v>206</v>
      </c>
      <c r="U122" s="20">
        <v>4</v>
      </c>
      <c r="V122" s="18">
        <v>1</v>
      </c>
      <c r="W122" s="35">
        <f t="shared" si="18"/>
        <v>0</v>
      </c>
      <c r="Y122" t="str">
        <f t="shared" si="16"/>
        <v>INSERT INTO REPORTWARE.RWH_IFRS9_R04A0420 (FECHA, PERIODO,CONCEPTO, SUBREPORTE, MONEDA, TIPO_SALDO, DATO) VALUES ('2021-10-31','2021-10-31','111800906039','0420','4','1','0')</v>
      </c>
    </row>
    <row r="123" spans="18:25">
      <c r="R123" s="34" t="str">
        <f t="shared" si="17"/>
        <v>2021-10-31</v>
      </c>
      <c r="S123" s="19" t="s">
        <v>259</v>
      </c>
      <c r="T123" s="19" t="s">
        <v>206</v>
      </c>
      <c r="U123" s="20">
        <v>4</v>
      </c>
      <c r="V123" s="18">
        <v>1</v>
      </c>
      <c r="W123" s="35">
        <f t="shared" si="18"/>
        <v>0</v>
      </c>
      <c r="Y123" t="str">
        <f t="shared" si="16"/>
        <v>INSERT INTO REPORTWARE.RWH_IFRS9_R04A0420 (FECHA, PERIODO,CONCEPTO, SUBREPORTE, MONEDA, TIPO_SALDO, DATO) VALUES ('2021-10-31','2021-10-31','111800906040','0420','4','1','0')</v>
      </c>
    </row>
    <row r="124" spans="18:25">
      <c r="R124" s="34" t="str">
        <f t="shared" si="17"/>
        <v>2021-10-31</v>
      </c>
      <c r="S124" s="19" t="s">
        <v>260</v>
      </c>
      <c r="T124" s="19" t="s">
        <v>206</v>
      </c>
      <c r="U124" s="20">
        <v>4</v>
      </c>
      <c r="V124" s="18">
        <v>1</v>
      </c>
      <c r="W124" s="35">
        <f t="shared" si="18"/>
        <v>0</v>
      </c>
      <c r="Y124" t="str">
        <f t="shared" si="16"/>
        <v>INSERT INTO REPORTWARE.RWH_IFRS9_R04A0420 (FECHA, PERIODO,CONCEPTO, SUBREPORTE, MONEDA, TIPO_SALDO, DATO) VALUES ('2021-10-31','2021-10-31','111800906041','0420','4','1','0')</v>
      </c>
    </row>
    <row r="125" spans="18:25">
      <c r="R125" s="34" t="str">
        <f t="shared" si="17"/>
        <v>2021-10-31</v>
      </c>
      <c r="S125" s="19" t="s">
        <v>261</v>
      </c>
      <c r="T125" s="19" t="s">
        <v>206</v>
      </c>
      <c r="U125" s="20">
        <v>4</v>
      </c>
      <c r="V125" s="18">
        <v>1</v>
      </c>
      <c r="W125" s="35">
        <f t="shared" si="18"/>
        <v>0</v>
      </c>
      <c r="Y125" t="str">
        <f t="shared" si="16"/>
        <v>INSERT INTO REPORTWARE.RWH_IFRS9_R04A0420 (FECHA, PERIODO,CONCEPTO, SUBREPORTE, MONEDA, TIPO_SALDO, DATO) VALUES ('2021-10-31','2021-10-31','111800906042','0420','4','1','0')</v>
      </c>
    </row>
    <row r="126" spans="18:25">
      <c r="R126" s="34" t="str">
        <f t="shared" si="17"/>
        <v>2021-10-31</v>
      </c>
      <c r="S126" s="19" t="s">
        <v>262</v>
      </c>
      <c r="T126" s="19" t="s">
        <v>206</v>
      </c>
      <c r="U126" s="20">
        <v>4</v>
      </c>
      <c r="V126" s="18">
        <v>1</v>
      </c>
      <c r="W126" s="35">
        <f t="shared" si="18"/>
        <v>0</v>
      </c>
      <c r="Y126" t="str">
        <f t="shared" si="16"/>
        <v>INSERT INTO REPORTWARE.RWH_IFRS9_R04A0420 (FECHA, PERIODO,CONCEPTO, SUBREPORTE, MONEDA, TIPO_SALDO, DATO) VALUES ('2021-10-31','2021-10-31','111800906043','0420','4','1','0')</v>
      </c>
    </row>
    <row r="127" spans="18:25">
      <c r="R127" s="34" t="str">
        <f t="shared" si="17"/>
        <v>2021-10-31</v>
      </c>
      <c r="S127" s="19" t="s">
        <v>263</v>
      </c>
      <c r="T127" s="19" t="s">
        <v>206</v>
      </c>
      <c r="U127" s="20">
        <v>4</v>
      </c>
      <c r="V127" s="18">
        <v>1</v>
      </c>
      <c r="W127" s="35">
        <f t="shared" si="18"/>
        <v>0</v>
      </c>
      <c r="Y127" t="str">
        <f t="shared" si="16"/>
        <v>INSERT INTO REPORTWARE.RWH_IFRS9_R04A0420 (FECHA, PERIODO,CONCEPTO, SUBREPORTE, MONEDA, TIPO_SALDO, DATO) VALUES ('2021-10-31','2021-10-31','111800305010','0420','4','1','0')</v>
      </c>
    </row>
    <row r="128" spans="18:25">
      <c r="R128" s="34" t="str">
        <f t="shared" si="17"/>
        <v>2021-10-31</v>
      </c>
      <c r="S128" s="19" t="s">
        <v>264</v>
      </c>
      <c r="T128" s="19" t="s">
        <v>206</v>
      </c>
      <c r="U128" s="20">
        <v>4</v>
      </c>
      <c r="V128" s="18">
        <v>1</v>
      </c>
      <c r="W128" s="35">
        <f t="shared" si="18"/>
        <v>0</v>
      </c>
      <c r="Y128" t="str">
        <f t="shared" si="16"/>
        <v>INSERT INTO REPORTWARE.RWH_IFRS9_R04A0420 (FECHA, PERIODO,CONCEPTO, SUBREPORTE, MONEDA, TIPO_SALDO, DATO) VALUES ('2021-10-31','2021-10-31','111801006044','0420','4','1','0')</v>
      </c>
    </row>
    <row r="129" spans="18:25">
      <c r="R129" s="34" t="str">
        <f t="shared" si="17"/>
        <v>2021-10-31</v>
      </c>
      <c r="S129" s="19" t="s">
        <v>265</v>
      </c>
      <c r="T129" s="19" t="s">
        <v>206</v>
      </c>
      <c r="U129" s="20">
        <v>4</v>
      </c>
      <c r="V129" s="18">
        <v>1</v>
      </c>
      <c r="W129" s="35">
        <f t="shared" si="18"/>
        <v>0</v>
      </c>
      <c r="Y129" t="str">
        <f t="shared" si="16"/>
        <v>INSERT INTO REPORTWARE.RWH_IFRS9_R04A0420 (FECHA, PERIODO,CONCEPTO, SUBREPORTE, MONEDA, TIPO_SALDO, DATO) VALUES ('2021-10-31','2021-10-31','111801006045','0420','4','1','0')</v>
      </c>
    </row>
    <row r="130" spans="18:25">
      <c r="R130" s="34" t="str">
        <f t="shared" si="17"/>
        <v>2021-10-31</v>
      </c>
      <c r="S130" s="19" t="s">
        <v>266</v>
      </c>
      <c r="T130" s="19" t="s">
        <v>206</v>
      </c>
      <c r="U130" s="20">
        <v>4</v>
      </c>
      <c r="V130" s="18">
        <v>1</v>
      </c>
      <c r="W130" s="35">
        <f t="shared" si="18"/>
        <v>0</v>
      </c>
      <c r="Y130" t="str">
        <f t="shared" si="16"/>
        <v>INSERT INTO REPORTWARE.RWH_IFRS9_R04A0420 (FECHA, PERIODO,CONCEPTO, SUBREPORTE, MONEDA, TIPO_SALDO, DATO) VALUES ('2021-10-31','2021-10-31','111801006046','0420','4','1','0')</v>
      </c>
    </row>
    <row r="131" spans="18:25">
      <c r="R131" s="34" t="str">
        <f t="shared" si="17"/>
        <v>2021-10-31</v>
      </c>
      <c r="S131" s="19" t="s">
        <v>267</v>
      </c>
      <c r="T131" s="19" t="s">
        <v>206</v>
      </c>
      <c r="U131" s="20">
        <v>4</v>
      </c>
      <c r="V131" s="18">
        <v>1</v>
      </c>
      <c r="W131" s="35">
        <f t="shared" si="18"/>
        <v>0</v>
      </c>
      <c r="Y131" t="str">
        <f t="shared" si="16"/>
        <v>INSERT INTO REPORTWARE.RWH_IFRS9_R04A0420 (FECHA, PERIODO,CONCEPTO, SUBREPORTE, MONEDA, TIPO_SALDO, DATO) VALUES ('2021-10-31','2021-10-31','111804607048','0420','4','1','0')</v>
      </c>
    </row>
    <row r="132" spans="18:25">
      <c r="R132" s="34" t="str">
        <f t="shared" si="17"/>
        <v>2021-10-31</v>
      </c>
      <c r="S132" s="19" t="s">
        <v>268</v>
      </c>
      <c r="T132" s="19" t="s">
        <v>206</v>
      </c>
      <c r="U132" s="20">
        <v>4</v>
      </c>
      <c r="V132" s="18">
        <v>1</v>
      </c>
      <c r="W132" s="35">
        <f t="shared" si="18"/>
        <v>0</v>
      </c>
      <c r="Y132" t="str">
        <f t="shared" si="16"/>
        <v>INSERT INTO REPORTWARE.RWH_IFRS9_R04A0420 (FECHA, PERIODO,CONCEPTO, SUBREPORTE, MONEDA, TIPO_SALDO, DATO) VALUES ('2021-10-31','2021-10-31','111804607049','0420','4','1','0')</v>
      </c>
    </row>
    <row r="133" spans="18:25">
      <c r="R133" s="34" t="str">
        <f t="shared" si="17"/>
        <v>2021-10-31</v>
      </c>
      <c r="S133" s="19" t="s">
        <v>269</v>
      </c>
      <c r="T133" s="19" t="s">
        <v>206</v>
      </c>
      <c r="U133" s="20">
        <v>4</v>
      </c>
      <c r="V133" s="18">
        <v>1</v>
      </c>
      <c r="W133" s="35">
        <f t="shared" si="18"/>
        <v>0</v>
      </c>
      <c r="Y133" t="str">
        <f t="shared" ref="Y133:Y196" si="19">"INSERT INTO REPORTWARE.RWH_IFRS9_R04A0420 (FECHA, PERIODO,CONCEPTO, SUBREPORTE, MONEDA, TIPO_SALDO, DATO) VALUES ('"&amp;R133&amp;"','"&amp;R133&amp;"','"&amp;S133&amp;"','"&amp;T133&amp;"','"&amp;U133&amp;"','"&amp;V133&amp;"','"&amp;W133&amp;"')"</f>
        <v>INSERT INTO REPORTWARE.RWH_IFRS9_R04A0420 (FECHA, PERIODO,CONCEPTO, SUBREPORTE, MONEDA, TIPO_SALDO, DATO) VALUES ('2021-10-31','2021-10-31','111801006047','0420','4','1','0')</v>
      </c>
    </row>
    <row r="134" spans="18:25">
      <c r="R134" s="34" t="str">
        <f t="shared" si="17"/>
        <v>2021-10-31</v>
      </c>
      <c r="S134" s="19" t="s">
        <v>270</v>
      </c>
      <c r="T134" s="19" t="s">
        <v>206</v>
      </c>
      <c r="U134" s="20">
        <v>4</v>
      </c>
      <c r="V134" s="18">
        <v>1</v>
      </c>
      <c r="W134" s="35">
        <f t="shared" si="18"/>
        <v>0</v>
      </c>
      <c r="Y134" t="str">
        <f t="shared" si="19"/>
        <v>INSERT INTO REPORTWARE.RWH_IFRS9_R04A0420 (FECHA, PERIODO,CONCEPTO, SUBREPORTE, MONEDA, TIPO_SALDO, DATO) VALUES ('2021-10-31','2021-10-31','111801006048','0420','4','1','0')</v>
      </c>
    </row>
    <row r="135" spans="18:25">
      <c r="R135" s="34" t="str">
        <f t="shared" si="17"/>
        <v>2021-10-31</v>
      </c>
      <c r="S135" s="19" t="s">
        <v>271</v>
      </c>
      <c r="T135" s="19" t="s">
        <v>206</v>
      </c>
      <c r="U135" s="20">
        <v>4</v>
      </c>
      <c r="V135" s="18">
        <v>1</v>
      </c>
      <c r="W135" s="35">
        <f t="shared" si="18"/>
        <v>0</v>
      </c>
      <c r="Y135" t="str">
        <f t="shared" si="19"/>
        <v>INSERT INTO REPORTWARE.RWH_IFRS9_R04A0420 (FECHA, PERIODO,CONCEPTO, SUBREPORTE, MONEDA, TIPO_SALDO, DATO) VALUES ('2021-10-31','2021-10-31','101800104004','0420','4','1','0')</v>
      </c>
    </row>
    <row r="136" spans="18:25">
      <c r="R136" s="34" t="str">
        <f t="shared" si="17"/>
        <v>2021-10-31</v>
      </c>
      <c r="S136" s="19" t="s">
        <v>273</v>
      </c>
      <c r="T136" s="19" t="s">
        <v>206</v>
      </c>
      <c r="U136" s="20">
        <v>4</v>
      </c>
      <c r="V136" s="18">
        <v>1</v>
      </c>
      <c r="W136" s="35">
        <f t="shared" si="18"/>
        <v>0</v>
      </c>
      <c r="Y136" t="str">
        <f t="shared" si="19"/>
        <v>INSERT INTO REPORTWARE.RWH_IFRS9_R04A0420 (FECHA, PERIODO,CONCEPTO, SUBREPORTE, MONEDA, TIPO_SALDO, DATO) VALUES ('2021-10-31','2021-10-31','111800405011','0420','4','1','0')</v>
      </c>
    </row>
    <row r="137" spans="18:25">
      <c r="R137" s="34" t="str">
        <f t="shared" si="17"/>
        <v>2021-10-31</v>
      </c>
      <c r="S137" s="19" t="s">
        <v>274</v>
      </c>
      <c r="T137" s="19" t="s">
        <v>206</v>
      </c>
      <c r="U137" s="20">
        <v>4</v>
      </c>
      <c r="V137" s="18">
        <v>1</v>
      </c>
      <c r="W137" s="35">
        <f t="shared" si="18"/>
        <v>0</v>
      </c>
      <c r="Y137" t="str">
        <f t="shared" si="19"/>
        <v>INSERT INTO REPORTWARE.RWH_IFRS9_R04A0420 (FECHA, PERIODO,CONCEPTO, SUBREPORTE, MONEDA, TIPO_SALDO, DATO) VALUES ('2021-10-31','2021-10-31','111801106049','0420','4','1','0')</v>
      </c>
    </row>
    <row r="138" spans="18:25">
      <c r="R138" s="34" t="str">
        <f t="shared" ref="R138:R141" si="20">$P$4</f>
        <v>2021-10-31</v>
      </c>
      <c r="S138" s="19" t="s">
        <v>275</v>
      </c>
      <c r="T138" s="19" t="s">
        <v>206</v>
      </c>
      <c r="U138" s="20">
        <v>4</v>
      </c>
      <c r="V138" s="18">
        <v>1</v>
      </c>
      <c r="W138" s="35">
        <f t="shared" ref="W138:W141" si="21">N69</f>
        <v>0</v>
      </c>
      <c r="Y138" t="str">
        <f t="shared" si="19"/>
        <v>INSERT INTO REPORTWARE.RWH_IFRS9_R04A0420 (FECHA, PERIODO,CONCEPTO, SUBREPORTE, MONEDA, TIPO_SALDO, DATO) VALUES ('2021-10-31','2021-10-31','111801106050','0420','4','1','0')</v>
      </c>
    </row>
    <row r="139" spans="18:25">
      <c r="R139" s="34" t="str">
        <f t="shared" si="20"/>
        <v>2021-10-31</v>
      </c>
      <c r="S139" s="19" t="s">
        <v>276</v>
      </c>
      <c r="T139" s="19" t="s">
        <v>206</v>
      </c>
      <c r="U139" s="20">
        <v>4</v>
      </c>
      <c r="V139" s="18">
        <v>1</v>
      </c>
      <c r="W139" s="35">
        <f t="shared" si="21"/>
        <v>0</v>
      </c>
      <c r="Y139" t="str">
        <f t="shared" si="19"/>
        <v>INSERT INTO REPORTWARE.RWH_IFRS9_R04A0420 (FECHA, PERIODO,CONCEPTO, SUBREPORTE, MONEDA, TIPO_SALDO, DATO) VALUES ('2021-10-31','2021-10-31','111801106051','0420','4','1','0')</v>
      </c>
    </row>
    <row r="140" spans="18:25">
      <c r="R140" s="34" t="str">
        <f t="shared" si="20"/>
        <v>2021-10-31</v>
      </c>
      <c r="S140" s="19" t="s">
        <v>277</v>
      </c>
      <c r="T140" s="19" t="s">
        <v>206</v>
      </c>
      <c r="U140" s="20">
        <v>4</v>
      </c>
      <c r="V140" s="18">
        <v>1</v>
      </c>
      <c r="W140" s="35">
        <f t="shared" si="21"/>
        <v>0</v>
      </c>
      <c r="Y140" t="str">
        <f t="shared" si="19"/>
        <v>INSERT INTO REPORTWARE.RWH_IFRS9_R04A0420 (FECHA, PERIODO,CONCEPTO, SUBREPORTE, MONEDA, TIPO_SALDO, DATO) VALUES ('2021-10-31','2021-10-31','111800405012','0420','4','1','0')</v>
      </c>
    </row>
    <row r="141" spans="18:25">
      <c r="R141" s="34" t="str">
        <f t="shared" si="20"/>
        <v>2021-10-31</v>
      </c>
      <c r="S141" s="19" t="s">
        <v>278</v>
      </c>
      <c r="T141" s="19" t="s">
        <v>206</v>
      </c>
      <c r="U141" s="20">
        <v>4</v>
      </c>
      <c r="V141" s="18">
        <v>1</v>
      </c>
      <c r="W141" s="35">
        <f t="shared" si="21"/>
        <v>0</v>
      </c>
      <c r="Y141" t="str">
        <f t="shared" si="19"/>
        <v>INSERT INTO REPORTWARE.RWH_IFRS9_R04A0420 (FECHA, PERIODO,CONCEPTO, SUBREPORTE, MONEDA, TIPO_SALDO, DATO) VALUES ('2021-10-31','2021-10-31','111800405013','0420','4','1','0')</v>
      </c>
    </row>
    <row r="142" spans="18:25">
      <c r="R142" s="34" t="str">
        <f>$P$4</f>
        <v>2021-10-31</v>
      </c>
      <c r="S142" s="19" t="s">
        <v>204</v>
      </c>
      <c r="T142" s="19" t="s">
        <v>206</v>
      </c>
      <c r="U142" s="20">
        <v>1</v>
      </c>
      <c r="V142" s="21">
        <v>1</v>
      </c>
      <c r="W142" s="35">
        <f>M4</f>
        <v>0</v>
      </c>
      <c r="Y142" t="str">
        <f t="shared" si="19"/>
        <v>INSERT INTO REPORTWARE.RWH_IFRS9_R04A0420 (FECHA, PERIODO,CONCEPTO, SUBREPORTE, MONEDA, TIPO_SALDO, DATO) VALUES ('2021-10-31','2021-10-31','101800104003','0420','1','1','0')</v>
      </c>
    </row>
    <row r="143" spans="18:25">
      <c r="R143" s="34" t="str">
        <f t="shared" ref="R143:R206" si="22">$P$4</f>
        <v>2021-10-31</v>
      </c>
      <c r="S143" s="19" t="s">
        <v>207</v>
      </c>
      <c r="T143" s="19" t="s">
        <v>206</v>
      </c>
      <c r="U143" s="20">
        <v>1</v>
      </c>
      <c r="V143" s="18">
        <v>1</v>
      </c>
      <c r="W143" s="35">
        <f>M5</f>
        <v>0</v>
      </c>
      <c r="Y143" t="str">
        <f t="shared" si="19"/>
        <v>INSERT INTO REPORTWARE.RWH_IFRS9_R04A0420 (FECHA, PERIODO,CONCEPTO, SUBREPORTE, MONEDA, TIPO_SALDO, DATO) VALUES ('2021-10-31','2021-10-31','111800305008','0420','1','1','0')</v>
      </c>
    </row>
    <row r="144" spans="18:25">
      <c r="R144" s="34" t="str">
        <f t="shared" si="22"/>
        <v>2021-10-31</v>
      </c>
      <c r="S144" s="19" t="s">
        <v>208</v>
      </c>
      <c r="T144" s="19" t="s">
        <v>206</v>
      </c>
      <c r="U144" s="20">
        <v>1</v>
      </c>
      <c r="V144" s="18">
        <v>1</v>
      </c>
      <c r="W144" s="35">
        <f t="shared" ref="W144:W207" si="23">M6</f>
        <v>0</v>
      </c>
      <c r="Y144" t="str">
        <f t="shared" si="19"/>
        <v>INSERT INTO REPORTWARE.RWH_IFRS9_R04A0420 (FECHA, PERIODO,CONCEPTO, SUBREPORTE, MONEDA, TIPO_SALDO, DATO) VALUES ('2021-10-31','2021-10-31','111800806033','0420','1','1','0')</v>
      </c>
    </row>
    <row r="145" spans="18:25">
      <c r="R145" s="34" t="str">
        <f t="shared" si="22"/>
        <v>2021-10-31</v>
      </c>
      <c r="S145" s="19" t="s">
        <v>209</v>
      </c>
      <c r="T145" s="19" t="s">
        <v>206</v>
      </c>
      <c r="U145" s="20">
        <v>1</v>
      </c>
      <c r="V145" s="18">
        <v>1</v>
      </c>
      <c r="W145" s="35">
        <f t="shared" si="23"/>
        <v>0</v>
      </c>
      <c r="Y145" t="str">
        <f t="shared" si="19"/>
        <v>INSERT INTO REPORTWARE.RWH_IFRS9_R04A0420 (FECHA, PERIODO,CONCEPTO, SUBREPORTE, MONEDA, TIPO_SALDO, DATO) VALUES ('2021-10-31','2021-10-31','111803307034','0420','1','1','0')</v>
      </c>
    </row>
    <row r="146" spans="18:25">
      <c r="R146" s="34" t="str">
        <f t="shared" si="22"/>
        <v>2021-10-31</v>
      </c>
      <c r="S146" s="19" t="s">
        <v>210</v>
      </c>
      <c r="T146" s="19" t="s">
        <v>206</v>
      </c>
      <c r="U146" s="20">
        <v>1</v>
      </c>
      <c r="V146" s="18">
        <v>1</v>
      </c>
      <c r="W146" s="35">
        <f t="shared" si="23"/>
        <v>0</v>
      </c>
      <c r="Y146" t="str">
        <f t="shared" si="19"/>
        <v>INSERT INTO REPORTWARE.RWH_IFRS9_R04A0420 (FECHA, PERIODO,CONCEPTO, SUBREPORTE, MONEDA, TIPO_SALDO, DATO) VALUES ('2021-10-31','2021-10-31','111803408053','0420','1','1','0')</v>
      </c>
    </row>
    <row r="147" spans="18:25">
      <c r="R147" s="34" t="str">
        <f t="shared" si="22"/>
        <v>2021-10-31</v>
      </c>
      <c r="S147" s="19" t="s">
        <v>211</v>
      </c>
      <c r="T147" s="19" t="s">
        <v>206</v>
      </c>
      <c r="U147" s="20">
        <v>1</v>
      </c>
      <c r="V147" s="18">
        <v>1</v>
      </c>
      <c r="W147" s="35">
        <f t="shared" si="23"/>
        <v>0</v>
      </c>
      <c r="Y147" t="str">
        <f t="shared" si="19"/>
        <v>INSERT INTO REPORTWARE.RWH_IFRS9_R04A0420 (FECHA, PERIODO,CONCEPTO, SUBREPORTE, MONEDA, TIPO_SALDO, DATO) VALUES ('2021-10-31','2021-10-31','111803408054','0420','1','1','0')</v>
      </c>
    </row>
    <row r="148" spans="18:25">
      <c r="R148" s="34" t="str">
        <f t="shared" si="22"/>
        <v>2021-10-31</v>
      </c>
      <c r="S148" s="19" t="s">
        <v>212</v>
      </c>
      <c r="T148" s="19" t="s">
        <v>206</v>
      </c>
      <c r="U148" s="20">
        <v>1</v>
      </c>
      <c r="V148" s="18">
        <v>1</v>
      </c>
      <c r="W148" s="35">
        <f t="shared" si="23"/>
        <v>0</v>
      </c>
      <c r="Y148" t="str">
        <f t="shared" si="19"/>
        <v>INSERT INTO REPORTWARE.RWH_IFRS9_R04A0420 (FECHA, PERIODO,CONCEPTO, SUBREPORTE, MONEDA, TIPO_SALDO, DATO) VALUES ('2021-10-31','2021-10-31','111803307035','0420','1','1','0')</v>
      </c>
    </row>
    <row r="149" spans="18:25">
      <c r="R149" s="34" t="str">
        <f t="shared" si="22"/>
        <v>2021-10-31</v>
      </c>
      <c r="S149" s="19" t="s">
        <v>213</v>
      </c>
      <c r="T149" s="19" t="s">
        <v>206</v>
      </c>
      <c r="U149" s="20">
        <v>1</v>
      </c>
      <c r="V149" s="18">
        <v>1</v>
      </c>
      <c r="W149" s="35">
        <f t="shared" si="23"/>
        <v>0</v>
      </c>
      <c r="Y149" t="str">
        <f t="shared" si="19"/>
        <v>INSERT INTO REPORTWARE.RWH_IFRS9_R04A0420 (FECHA, PERIODO,CONCEPTO, SUBREPORTE, MONEDA, TIPO_SALDO, DATO) VALUES ('2021-10-31','2021-10-31','111803508055','0420','1','1','0')</v>
      </c>
    </row>
    <row r="150" spans="18:25">
      <c r="R150" s="34" t="str">
        <f t="shared" si="22"/>
        <v>2021-10-31</v>
      </c>
      <c r="S150" s="19" t="s">
        <v>214</v>
      </c>
      <c r="T150" s="19" t="s">
        <v>206</v>
      </c>
      <c r="U150" s="20">
        <v>1</v>
      </c>
      <c r="V150" s="18">
        <v>1</v>
      </c>
      <c r="W150" s="35">
        <f t="shared" si="23"/>
        <v>0</v>
      </c>
      <c r="Y150" t="str">
        <f t="shared" si="19"/>
        <v>INSERT INTO REPORTWARE.RWH_IFRS9_R04A0420 (FECHA, PERIODO,CONCEPTO, SUBREPORTE, MONEDA, TIPO_SALDO, DATO) VALUES ('2021-10-31','2021-10-31','111803508056','0420','1','1','0')</v>
      </c>
    </row>
    <row r="151" spans="18:25">
      <c r="R151" s="34" t="str">
        <f t="shared" si="22"/>
        <v>2021-10-31</v>
      </c>
      <c r="S151" s="19" t="s">
        <v>215</v>
      </c>
      <c r="T151" s="19" t="s">
        <v>206</v>
      </c>
      <c r="U151" s="20">
        <v>1</v>
      </c>
      <c r="V151" s="18">
        <v>1</v>
      </c>
      <c r="W151" s="35">
        <f t="shared" si="23"/>
        <v>0</v>
      </c>
      <c r="Y151" t="str">
        <f t="shared" si="19"/>
        <v>INSERT INTO REPORTWARE.RWH_IFRS9_R04A0420 (FECHA, PERIODO,CONCEPTO, SUBREPORTE, MONEDA, TIPO_SALDO, DATO) VALUES ('2021-10-31','2021-10-31','111803508057','0420','1','1','0')</v>
      </c>
    </row>
    <row r="152" spans="18:25">
      <c r="R152" s="34" t="str">
        <f t="shared" si="22"/>
        <v>2021-10-31</v>
      </c>
      <c r="S152" s="19" t="s">
        <v>216</v>
      </c>
      <c r="T152" s="19" t="s">
        <v>206</v>
      </c>
      <c r="U152" s="20">
        <v>1</v>
      </c>
      <c r="V152" s="18">
        <v>1</v>
      </c>
      <c r="W152" s="35">
        <f t="shared" si="23"/>
        <v>0</v>
      </c>
      <c r="Y152" t="str">
        <f t="shared" si="19"/>
        <v>INSERT INTO REPORTWARE.RWH_IFRS9_R04A0420 (FECHA, PERIODO,CONCEPTO, SUBREPORTE, MONEDA, TIPO_SALDO, DATO) VALUES ('2021-10-31','2021-10-31','111803307036','0420','1','1','0')</v>
      </c>
    </row>
    <row r="153" spans="18:25">
      <c r="R153" s="34" t="str">
        <f t="shared" si="22"/>
        <v>2021-10-31</v>
      </c>
      <c r="S153" s="19" t="s">
        <v>217</v>
      </c>
      <c r="T153" s="19" t="s">
        <v>206</v>
      </c>
      <c r="U153" s="20">
        <v>1</v>
      </c>
      <c r="V153" s="18">
        <v>1</v>
      </c>
      <c r="W153" s="35">
        <f t="shared" si="23"/>
        <v>0</v>
      </c>
      <c r="Y153" t="str">
        <f t="shared" si="19"/>
        <v>INSERT INTO REPORTWARE.RWH_IFRS9_R04A0420 (FECHA, PERIODO,CONCEPTO, SUBREPORTE, MONEDA, TIPO_SALDO, DATO) VALUES ('2021-10-31','2021-10-31','111803608058','0420','1','1','0')</v>
      </c>
    </row>
    <row r="154" spans="18:25">
      <c r="R154" s="34" t="str">
        <f t="shared" si="22"/>
        <v>2021-10-31</v>
      </c>
      <c r="S154" s="19" t="s">
        <v>218</v>
      </c>
      <c r="T154" s="19" t="s">
        <v>206</v>
      </c>
      <c r="U154" s="20">
        <v>1</v>
      </c>
      <c r="V154" s="18">
        <v>1</v>
      </c>
      <c r="W154" s="35">
        <f t="shared" si="23"/>
        <v>0</v>
      </c>
      <c r="Y154" t="str">
        <f t="shared" si="19"/>
        <v>INSERT INTO REPORTWARE.RWH_IFRS9_R04A0420 (FECHA, PERIODO,CONCEPTO, SUBREPORTE, MONEDA, TIPO_SALDO, DATO) VALUES ('2021-10-31','2021-10-31','111803608059','0420','1','1','0')</v>
      </c>
    </row>
    <row r="155" spans="18:25">
      <c r="R155" s="34" t="str">
        <f t="shared" si="22"/>
        <v>2021-10-31</v>
      </c>
      <c r="S155" s="19" t="s">
        <v>219</v>
      </c>
      <c r="T155" s="19" t="s">
        <v>206</v>
      </c>
      <c r="U155" s="20">
        <v>1</v>
      </c>
      <c r="V155" s="18">
        <v>1</v>
      </c>
      <c r="W155" s="35">
        <f t="shared" si="23"/>
        <v>0</v>
      </c>
      <c r="Y155" t="str">
        <f t="shared" si="19"/>
        <v>INSERT INTO REPORTWARE.RWH_IFRS9_R04A0420 (FECHA, PERIODO,CONCEPTO, SUBREPORTE, MONEDA, TIPO_SALDO, DATO) VALUES ('2021-10-31','2021-10-31','111803307037','0420','1','1','0')</v>
      </c>
    </row>
    <row r="156" spans="18:25">
      <c r="R156" s="34" t="str">
        <f t="shared" si="22"/>
        <v>2021-10-31</v>
      </c>
      <c r="S156" s="19" t="s">
        <v>220</v>
      </c>
      <c r="T156" s="19" t="s">
        <v>206</v>
      </c>
      <c r="U156" s="20">
        <v>1</v>
      </c>
      <c r="V156" s="18">
        <v>1</v>
      </c>
      <c r="W156" s="35">
        <f t="shared" si="23"/>
        <v>0</v>
      </c>
      <c r="Y156" t="str">
        <f t="shared" si="19"/>
        <v>INSERT INTO REPORTWARE.RWH_IFRS9_R04A0420 (FECHA, PERIODO,CONCEPTO, SUBREPORTE, MONEDA, TIPO_SALDO, DATO) VALUES ('2021-10-31','2021-10-31','111803307038','0420','1','1','0')</v>
      </c>
    </row>
    <row r="157" spans="18:25">
      <c r="R157" s="34" t="str">
        <f t="shared" si="22"/>
        <v>2021-10-31</v>
      </c>
      <c r="S157" s="19" t="s">
        <v>222</v>
      </c>
      <c r="T157" s="19" t="s">
        <v>206</v>
      </c>
      <c r="U157" s="20">
        <v>1</v>
      </c>
      <c r="V157" s="18">
        <v>1</v>
      </c>
      <c r="W157" s="35">
        <f t="shared" si="23"/>
        <v>0</v>
      </c>
      <c r="Y157" t="str">
        <f t="shared" si="19"/>
        <v>INSERT INTO REPORTWARE.RWH_IFRS9_R04A0420 (FECHA, PERIODO,CONCEPTO, SUBREPORTE, MONEDA, TIPO_SALDO, DATO) VALUES ('2021-10-31','2021-10-31','111803307039','0420','1','1','0')</v>
      </c>
    </row>
    <row r="158" spans="18:25">
      <c r="R158" s="34" t="str">
        <f t="shared" si="22"/>
        <v>2021-10-31</v>
      </c>
      <c r="S158" s="19" t="s">
        <v>223</v>
      </c>
      <c r="T158" s="19" t="s">
        <v>206</v>
      </c>
      <c r="U158" s="20">
        <v>1</v>
      </c>
      <c r="V158" s="18">
        <v>1</v>
      </c>
      <c r="W158" s="35">
        <f t="shared" si="23"/>
        <v>0</v>
      </c>
      <c r="Y158" t="str">
        <f t="shared" si="19"/>
        <v>INSERT INTO REPORTWARE.RWH_IFRS9_R04A0420 (FECHA, PERIODO,CONCEPTO, SUBREPORTE, MONEDA, TIPO_SALDO, DATO) VALUES ('2021-10-31','2021-10-31','111803307040','0420','1','1','0')</v>
      </c>
    </row>
    <row r="159" spans="18:25">
      <c r="R159" s="34" t="str">
        <f t="shared" si="22"/>
        <v>2021-10-31</v>
      </c>
      <c r="S159" s="19" t="s">
        <v>224</v>
      </c>
      <c r="T159" s="19" t="s">
        <v>206</v>
      </c>
      <c r="U159" s="20">
        <v>1</v>
      </c>
      <c r="V159" s="18">
        <v>1</v>
      </c>
      <c r="W159" s="35">
        <f t="shared" si="23"/>
        <v>0</v>
      </c>
      <c r="Y159" t="str">
        <f t="shared" si="19"/>
        <v>INSERT INTO REPORTWARE.RWH_IFRS9_R04A0420 (FECHA, PERIODO,CONCEPTO, SUBREPORTE, MONEDA, TIPO_SALDO, DATO) VALUES ('2021-10-31','2021-10-31','111803307041','0420','1','1','0')</v>
      </c>
    </row>
    <row r="160" spans="18:25">
      <c r="R160" s="34" t="str">
        <f t="shared" si="22"/>
        <v>2021-10-31</v>
      </c>
      <c r="S160" s="19" t="s">
        <v>225</v>
      </c>
      <c r="T160" s="19" t="s">
        <v>206</v>
      </c>
      <c r="U160" s="20">
        <v>1</v>
      </c>
      <c r="V160" s="18">
        <v>1</v>
      </c>
      <c r="W160" s="35">
        <f t="shared" si="23"/>
        <v>0</v>
      </c>
      <c r="Y160" t="str">
        <f t="shared" si="19"/>
        <v>INSERT INTO REPORTWARE.RWH_IFRS9_R04A0420 (FECHA, PERIODO,CONCEPTO, SUBREPORTE, MONEDA, TIPO_SALDO, DATO) VALUES ('2021-10-31','2021-10-31','111800806034','0420','1','1','0')</v>
      </c>
    </row>
    <row r="161" spans="18:25">
      <c r="R161" s="34" t="str">
        <f t="shared" si="22"/>
        <v>2021-10-31</v>
      </c>
      <c r="S161" s="19" t="s">
        <v>226</v>
      </c>
      <c r="T161" s="19" t="s">
        <v>206</v>
      </c>
      <c r="U161" s="20">
        <v>1</v>
      </c>
      <c r="V161" s="18">
        <v>1</v>
      </c>
      <c r="W161" s="35">
        <f t="shared" si="23"/>
        <v>0</v>
      </c>
      <c r="Y161" t="str">
        <f t="shared" si="19"/>
        <v>INSERT INTO REPORTWARE.RWH_IFRS9_R04A0420 (FECHA, PERIODO,CONCEPTO, SUBREPORTE, MONEDA, TIPO_SALDO, DATO) VALUES ('2021-10-31','2021-10-31','111803407042','0420','1','1','0')</v>
      </c>
    </row>
    <row r="162" spans="18:25">
      <c r="R162" s="34" t="str">
        <f t="shared" si="22"/>
        <v>2021-10-31</v>
      </c>
      <c r="S162" s="19" t="s">
        <v>227</v>
      </c>
      <c r="T162" s="19" t="s">
        <v>206</v>
      </c>
      <c r="U162" s="20">
        <v>1</v>
      </c>
      <c r="V162" s="18">
        <v>1</v>
      </c>
      <c r="W162" s="35">
        <f t="shared" si="23"/>
        <v>0</v>
      </c>
      <c r="Y162" t="str">
        <f t="shared" si="19"/>
        <v>INSERT INTO REPORTWARE.RWH_IFRS9_R04A0420 (FECHA, PERIODO,CONCEPTO, SUBREPORTE, MONEDA, TIPO_SALDO, DATO) VALUES ('2021-10-31','2021-10-31','111804208060','0420','1','1','0')</v>
      </c>
    </row>
    <row r="163" spans="18:25">
      <c r="R163" s="34" t="str">
        <f t="shared" si="22"/>
        <v>2021-10-31</v>
      </c>
      <c r="S163" s="19" t="s">
        <v>228</v>
      </c>
      <c r="T163" s="19" t="s">
        <v>206</v>
      </c>
      <c r="U163" s="20">
        <v>1</v>
      </c>
      <c r="V163" s="18">
        <v>1</v>
      </c>
      <c r="W163" s="35">
        <f t="shared" si="23"/>
        <v>0</v>
      </c>
      <c r="Y163" t="str">
        <f t="shared" si="19"/>
        <v>INSERT INTO REPORTWARE.RWH_IFRS9_R04A0420 (FECHA, PERIODO,CONCEPTO, SUBREPORTE, MONEDA, TIPO_SALDO, DATO) VALUES ('2021-10-31','2021-10-31','111804208061','0420','1','1','0')</v>
      </c>
    </row>
    <row r="164" spans="18:25">
      <c r="R164" s="34" t="str">
        <f t="shared" si="22"/>
        <v>2021-10-31</v>
      </c>
      <c r="S164" s="19" t="s">
        <v>229</v>
      </c>
      <c r="T164" s="19" t="s">
        <v>206</v>
      </c>
      <c r="U164" s="20">
        <v>1</v>
      </c>
      <c r="V164" s="18">
        <v>1</v>
      </c>
      <c r="W164" s="35">
        <f t="shared" si="23"/>
        <v>0</v>
      </c>
      <c r="Y164" t="str">
        <f t="shared" si="19"/>
        <v>INSERT INTO REPORTWARE.RWH_IFRS9_R04A0420 (FECHA, PERIODO,CONCEPTO, SUBREPORTE, MONEDA, TIPO_SALDO, DATO) VALUES ('2021-10-31','2021-10-31','111804208062','0420','1','1','0')</v>
      </c>
    </row>
    <row r="165" spans="18:25">
      <c r="R165" s="34" t="str">
        <f t="shared" si="22"/>
        <v>2021-10-31</v>
      </c>
      <c r="S165" s="19" t="s">
        <v>230</v>
      </c>
      <c r="T165" s="19" t="s">
        <v>206</v>
      </c>
      <c r="U165" s="20">
        <v>1</v>
      </c>
      <c r="V165" s="18">
        <v>1</v>
      </c>
      <c r="W165" s="35">
        <f t="shared" si="23"/>
        <v>0</v>
      </c>
      <c r="Y165" t="str">
        <f t="shared" si="19"/>
        <v>INSERT INTO REPORTWARE.RWH_IFRS9_R04A0420 (FECHA, PERIODO,CONCEPTO, SUBREPORTE, MONEDA, TIPO_SALDO, DATO) VALUES ('2021-10-31','2021-10-31','111803407043','0420','1','1','0')</v>
      </c>
    </row>
    <row r="166" spans="18:25">
      <c r="R166" s="34" t="str">
        <f t="shared" si="22"/>
        <v>2021-10-31</v>
      </c>
      <c r="S166" s="19" t="s">
        <v>231</v>
      </c>
      <c r="T166" s="19" t="s">
        <v>206</v>
      </c>
      <c r="U166" s="20">
        <v>1</v>
      </c>
      <c r="V166" s="18">
        <v>1</v>
      </c>
      <c r="W166" s="35">
        <f t="shared" si="23"/>
        <v>0</v>
      </c>
      <c r="Y166" t="str">
        <f t="shared" si="19"/>
        <v>INSERT INTO REPORTWARE.RWH_IFRS9_R04A0420 (FECHA, PERIODO,CONCEPTO, SUBREPORTE, MONEDA, TIPO_SALDO, DATO) VALUES ('2021-10-31','2021-10-31','111804308063','0420','1','1','0')</v>
      </c>
    </row>
    <row r="167" spans="18:25">
      <c r="R167" s="34" t="str">
        <f t="shared" si="22"/>
        <v>2021-10-31</v>
      </c>
      <c r="S167" s="19" t="s">
        <v>232</v>
      </c>
      <c r="T167" s="19" t="s">
        <v>206</v>
      </c>
      <c r="U167" s="20">
        <v>1</v>
      </c>
      <c r="V167" s="18">
        <v>1</v>
      </c>
      <c r="W167" s="35">
        <f t="shared" si="23"/>
        <v>0</v>
      </c>
      <c r="Y167" t="str">
        <f t="shared" si="19"/>
        <v>INSERT INTO REPORTWARE.RWH_IFRS9_R04A0420 (FECHA, PERIODO,CONCEPTO, SUBREPORTE, MONEDA, TIPO_SALDO, DATO) VALUES ('2021-10-31','2021-10-31','111804308064','0420','1','1','0')</v>
      </c>
    </row>
    <row r="168" spans="18:25">
      <c r="R168" s="34" t="str">
        <f t="shared" si="22"/>
        <v>2021-10-31</v>
      </c>
      <c r="S168" s="19" t="s">
        <v>233</v>
      </c>
      <c r="T168" s="19" t="s">
        <v>206</v>
      </c>
      <c r="U168" s="20">
        <v>1</v>
      </c>
      <c r="V168" s="18">
        <v>1</v>
      </c>
      <c r="W168" s="35">
        <f t="shared" si="23"/>
        <v>0</v>
      </c>
      <c r="Y168" t="str">
        <f t="shared" si="19"/>
        <v>INSERT INTO REPORTWARE.RWH_IFRS9_R04A0420 (FECHA, PERIODO,CONCEPTO, SUBREPORTE, MONEDA, TIPO_SALDO, DATO) VALUES ('2021-10-31','2021-10-31','111804308065','0420','1','1','0')</v>
      </c>
    </row>
    <row r="169" spans="18:25">
      <c r="R169" s="34" t="str">
        <f t="shared" si="22"/>
        <v>2021-10-31</v>
      </c>
      <c r="S169" s="19" t="s">
        <v>234</v>
      </c>
      <c r="T169" s="19" t="s">
        <v>206</v>
      </c>
      <c r="U169" s="20">
        <v>1</v>
      </c>
      <c r="V169" s="18">
        <v>1</v>
      </c>
      <c r="W169" s="35">
        <f t="shared" si="23"/>
        <v>0</v>
      </c>
      <c r="Y169" t="str">
        <f t="shared" si="19"/>
        <v>INSERT INTO REPORTWARE.RWH_IFRS9_R04A0420 (FECHA, PERIODO,CONCEPTO, SUBREPORTE, MONEDA, TIPO_SALDO, DATO) VALUES ('2021-10-31','2021-10-31','111800806035','0420','1','1','0')</v>
      </c>
    </row>
    <row r="170" spans="18:25">
      <c r="R170" s="34" t="str">
        <f t="shared" si="22"/>
        <v>2021-10-31</v>
      </c>
      <c r="S170" s="19" t="s">
        <v>235</v>
      </c>
      <c r="T170" s="19" t="s">
        <v>206</v>
      </c>
      <c r="U170" s="20">
        <v>1</v>
      </c>
      <c r="V170" s="18">
        <v>1</v>
      </c>
      <c r="W170" s="35">
        <f t="shared" si="23"/>
        <v>0</v>
      </c>
      <c r="Y170" t="str">
        <f t="shared" si="19"/>
        <v>INSERT INTO REPORTWARE.RWH_IFRS9_R04A0420 (FECHA, PERIODO,CONCEPTO, SUBREPORTE, MONEDA, TIPO_SALDO, DATO) VALUES ('2021-10-31','2021-10-31','111803507044','0420','1','1','0')</v>
      </c>
    </row>
    <row r="171" spans="18:25">
      <c r="R171" s="34" t="str">
        <f t="shared" si="22"/>
        <v>2021-10-31</v>
      </c>
      <c r="S171" s="19" t="s">
        <v>236</v>
      </c>
      <c r="T171" s="19" t="s">
        <v>206</v>
      </c>
      <c r="U171" s="20">
        <v>1</v>
      </c>
      <c r="V171" s="18">
        <v>1</v>
      </c>
      <c r="W171" s="35">
        <f t="shared" si="23"/>
        <v>0</v>
      </c>
      <c r="Y171" t="str">
        <f t="shared" si="19"/>
        <v>INSERT INTO REPORTWARE.RWH_IFRS9_R04A0420 (FECHA, PERIODO,CONCEPTO, SUBREPORTE, MONEDA, TIPO_SALDO, DATO) VALUES ('2021-10-31','2021-10-31','111803507045','0420','1','1','0')</v>
      </c>
    </row>
    <row r="172" spans="18:25">
      <c r="R172" s="34" t="str">
        <f t="shared" si="22"/>
        <v>2021-10-31</v>
      </c>
      <c r="S172" s="19" t="s">
        <v>237</v>
      </c>
      <c r="T172" s="19" t="s">
        <v>206</v>
      </c>
      <c r="U172" s="20">
        <v>1</v>
      </c>
      <c r="V172" s="18">
        <v>1</v>
      </c>
      <c r="W172" s="35">
        <f t="shared" si="23"/>
        <v>0</v>
      </c>
      <c r="Y172" t="str">
        <f t="shared" si="19"/>
        <v>INSERT INTO REPORTWARE.RWH_IFRS9_R04A0420 (FECHA, PERIODO,CONCEPTO, SUBREPORTE, MONEDA, TIPO_SALDO, DATO) VALUES ('2021-10-31','2021-10-31','111804508066','0420','1','1','0')</v>
      </c>
    </row>
    <row r="173" spans="18:25">
      <c r="R173" s="34" t="str">
        <f t="shared" si="22"/>
        <v>2021-10-31</v>
      </c>
      <c r="S173" s="19" t="s">
        <v>238</v>
      </c>
      <c r="T173" s="19" t="s">
        <v>206</v>
      </c>
      <c r="U173" s="20">
        <v>1</v>
      </c>
      <c r="V173" s="18">
        <v>1</v>
      </c>
      <c r="W173" s="35">
        <f t="shared" si="23"/>
        <v>0</v>
      </c>
      <c r="Y173" t="str">
        <f t="shared" si="19"/>
        <v>INSERT INTO REPORTWARE.RWH_IFRS9_R04A0420 (FECHA, PERIODO,CONCEPTO, SUBREPORTE, MONEDA, TIPO_SALDO, DATO) VALUES ('2021-10-31','2021-10-31','111804508067','0420','1','1','0')</v>
      </c>
    </row>
    <row r="174" spans="18:25">
      <c r="R174" s="34" t="str">
        <f t="shared" si="22"/>
        <v>2021-10-31</v>
      </c>
      <c r="S174" s="19" t="s">
        <v>239</v>
      </c>
      <c r="T174" s="19" t="s">
        <v>206</v>
      </c>
      <c r="U174" s="20">
        <v>1</v>
      </c>
      <c r="V174" s="18">
        <v>1</v>
      </c>
      <c r="W174" s="35">
        <f t="shared" si="23"/>
        <v>0</v>
      </c>
      <c r="Y174" t="str">
        <f t="shared" si="19"/>
        <v>INSERT INTO REPORTWARE.RWH_IFRS9_R04A0420 (FECHA, PERIODO,CONCEPTO, SUBREPORTE, MONEDA, TIPO_SALDO, DATO) VALUES ('2021-10-31','2021-10-31','111804508068','0420','1','1','0')</v>
      </c>
    </row>
    <row r="175" spans="18:25">
      <c r="R175" s="34" t="str">
        <f t="shared" si="22"/>
        <v>2021-10-31</v>
      </c>
      <c r="S175" s="19" t="s">
        <v>240</v>
      </c>
      <c r="T175" s="19" t="s">
        <v>206</v>
      </c>
      <c r="U175" s="20">
        <v>1</v>
      </c>
      <c r="V175" s="18">
        <v>1</v>
      </c>
      <c r="W175" s="35">
        <f t="shared" si="23"/>
        <v>0</v>
      </c>
      <c r="Y175" t="str">
        <f t="shared" si="19"/>
        <v>INSERT INTO REPORTWARE.RWH_IFRS9_R04A0420 (FECHA, PERIODO,CONCEPTO, SUBREPORTE, MONEDA, TIPO_SALDO, DATO) VALUES ('2021-10-31','2021-10-31','111804508069','0420','1','1','0')</v>
      </c>
    </row>
    <row r="176" spans="18:25">
      <c r="R176" s="34" t="str">
        <f t="shared" si="22"/>
        <v>2021-10-31</v>
      </c>
      <c r="S176" s="19" t="s">
        <v>242</v>
      </c>
      <c r="T176" s="19" t="s">
        <v>206</v>
      </c>
      <c r="U176" s="20">
        <v>1</v>
      </c>
      <c r="V176" s="18">
        <v>1</v>
      </c>
      <c r="W176" s="35">
        <f t="shared" si="23"/>
        <v>0</v>
      </c>
      <c r="Y176" t="str">
        <f t="shared" si="19"/>
        <v>INSERT INTO REPORTWARE.RWH_IFRS9_R04A0420 (FECHA, PERIODO,CONCEPTO, SUBREPORTE, MONEDA, TIPO_SALDO, DATO) VALUES ('2021-10-31','2021-10-31','111804508070','0420','1','1','0')</v>
      </c>
    </row>
    <row r="177" spans="18:25">
      <c r="R177" s="34" t="str">
        <f t="shared" si="22"/>
        <v>2021-10-31</v>
      </c>
      <c r="S177" s="19" t="s">
        <v>243</v>
      </c>
      <c r="T177" s="19" t="s">
        <v>206</v>
      </c>
      <c r="U177" s="20">
        <v>1</v>
      </c>
      <c r="V177" s="18">
        <v>1</v>
      </c>
      <c r="W177" s="35">
        <f t="shared" si="23"/>
        <v>0</v>
      </c>
      <c r="Y177" t="str">
        <f t="shared" si="19"/>
        <v>INSERT INTO REPORTWARE.RWH_IFRS9_R04A0420 (FECHA, PERIODO,CONCEPTO, SUBREPORTE, MONEDA, TIPO_SALDO, DATO) VALUES ('2021-10-31','2021-10-31','111803507046','0420','1','1','0')</v>
      </c>
    </row>
    <row r="178" spans="18:25">
      <c r="R178" s="34" t="str">
        <f t="shared" si="22"/>
        <v>2021-10-31</v>
      </c>
      <c r="S178" s="19" t="s">
        <v>244</v>
      </c>
      <c r="T178" s="19" t="s">
        <v>206</v>
      </c>
      <c r="U178" s="20">
        <v>1</v>
      </c>
      <c r="V178" s="18">
        <v>1</v>
      </c>
      <c r="W178" s="35">
        <f t="shared" si="23"/>
        <v>0</v>
      </c>
      <c r="Y178" t="str">
        <f t="shared" si="19"/>
        <v>INSERT INTO REPORTWARE.RWH_IFRS9_R04A0420 (FECHA, PERIODO,CONCEPTO, SUBREPORTE, MONEDA, TIPO_SALDO, DATO) VALUES ('2021-10-31','2021-10-31','111804608071','0420','1','1','0')</v>
      </c>
    </row>
    <row r="179" spans="18:25">
      <c r="R179" s="34" t="str">
        <f t="shared" si="22"/>
        <v>2021-10-31</v>
      </c>
      <c r="S179" s="19" t="s">
        <v>245</v>
      </c>
      <c r="T179" s="19" t="s">
        <v>206</v>
      </c>
      <c r="U179" s="20">
        <v>1</v>
      </c>
      <c r="V179" s="18">
        <v>1</v>
      </c>
      <c r="W179" s="35">
        <f t="shared" si="23"/>
        <v>0</v>
      </c>
      <c r="Y179" t="str">
        <f t="shared" si="19"/>
        <v>INSERT INTO REPORTWARE.RWH_IFRS9_R04A0420 (FECHA, PERIODO,CONCEPTO, SUBREPORTE, MONEDA, TIPO_SALDO, DATO) VALUES ('2021-10-31','2021-10-31','111804608072','0420','1','1','0')</v>
      </c>
    </row>
    <row r="180" spans="18:25">
      <c r="R180" s="34" t="str">
        <f t="shared" si="22"/>
        <v>2021-10-31</v>
      </c>
      <c r="S180" s="19" t="s">
        <v>246</v>
      </c>
      <c r="T180" s="19" t="s">
        <v>206</v>
      </c>
      <c r="U180" s="20">
        <v>1</v>
      </c>
      <c r="V180" s="18">
        <v>1</v>
      </c>
      <c r="W180" s="35">
        <f t="shared" si="23"/>
        <v>0</v>
      </c>
      <c r="Y180" t="str">
        <f t="shared" si="19"/>
        <v>INSERT INTO REPORTWARE.RWH_IFRS9_R04A0420 (FECHA, PERIODO,CONCEPTO, SUBREPORTE, MONEDA, TIPO_SALDO, DATO) VALUES ('2021-10-31','2021-10-31','111804608073','0420','1','1','0')</v>
      </c>
    </row>
    <row r="181" spans="18:25">
      <c r="R181" s="34" t="str">
        <f t="shared" si="22"/>
        <v>2021-10-31</v>
      </c>
      <c r="S181" s="19" t="s">
        <v>247</v>
      </c>
      <c r="T181" s="19" t="s">
        <v>206</v>
      </c>
      <c r="U181" s="20">
        <v>1</v>
      </c>
      <c r="V181" s="18">
        <v>1</v>
      </c>
      <c r="W181" s="35">
        <f t="shared" si="23"/>
        <v>0</v>
      </c>
      <c r="Y181" t="str">
        <f t="shared" si="19"/>
        <v>INSERT INTO REPORTWARE.RWH_IFRS9_R04A0420 (FECHA, PERIODO,CONCEPTO, SUBREPORTE, MONEDA, TIPO_SALDO, DATO) VALUES ('2021-10-31','2021-10-31','111804608074','0420','1','1','0')</v>
      </c>
    </row>
    <row r="182" spans="18:25">
      <c r="R182" s="34" t="str">
        <f t="shared" si="22"/>
        <v>2021-10-31</v>
      </c>
      <c r="S182" s="19" t="s">
        <v>248</v>
      </c>
      <c r="T182" s="19" t="s">
        <v>206</v>
      </c>
      <c r="U182" s="20">
        <v>1</v>
      </c>
      <c r="V182" s="18">
        <v>1</v>
      </c>
      <c r="W182" s="35">
        <f t="shared" si="23"/>
        <v>0</v>
      </c>
      <c r="Y182" t="str">
        <f t="shared" si="19"/>
        <v>INSERT INTO REPORTWARE.RWH_IFRS9_R04A0420 (FECHA, PERIODO,CONCEPTO, SUBREPORTE, MONEDA, TIPO_SALDO, DATO) VALUES ('2021-10-31','2021-10-31','111803507047','0420','1','1','0')</v>
      </c>
    </row>
    <row r="183" spans="18:25">
      <c r="R183" s="34" t="str">
        <f t="shared" si="22"/>
        <v>2021-10-31</v>
      </c>
      <c r="S183" s="19" t="s">
        <v>250</v>
      </c>
      <c r="T183" s="19" t="s">
        <v>206</v>
      </c>
      <c r="U183" s="20">
        <v>1</v>
      </c>
      <c r="V183" s="18">
        <v>1</v>
      </c>
      <c r="W183" s="35">
        <f t="shared" si="23"/>
        <v>0</v>
      </c>
      <c r="Y183" t="str">
        <f t="shared" si="19"/>
        <v>INSERT INTO REPORTWARE.RWH_IFRS9_R04A0420 (FECHA, PERIODO,CONCEPTO, SUBREPORTE, MONEDA, TIPO_SALDO, DATO) VALUES ('2021-10-31','2021-10-31','111804708075','0420','1','1','0')</v>
      </c>
    </row>
    <row r="184" spans="18:25">
      <c r="R184" s="34" t="str">
        <f t="shared" si="22"/>
        <v>2021-10-31</v>
      </c>
      <c r="S184" s="19" t="s">
        <v>251</v>
      </c>
      <c r="T184" s="19" t="s">
        <v>206</v>
      </c>
      <c r="U184" s="20">
        <v>1</v>
      </c>
      <c r="V184" s="18">
        <v>1</v>
      </c>
      <c r="W184" s="35">
        <f t="shared" si="23"/>
        <v>0</v>
      </c>
      <c r="Y184" t="str">
        <f t="shared" si="19"/>
        <v>INSERT INTO REPORTWARE.RWH_IFRS9_R04A0420 (FECHA, PERIODO,CONCEPTO, SUBREPORTE, MONEDA, TIPO_SALDO, DATO) VALUES ('2021-10-31','2021-10-31','111804708076','0420','1','1','0')</v>
      </c>
    </row>
    <row r="185" spans="18:25">
      <c r="R185" s="34" t="str">
        <f t="shared" si="22"/>
        <v>2021-10-31</v>
      </c>
      <c r="S185" s="19" t="s">
        <v>252</v>
      </c>
      <c r="T185" s="19" t="s">
        <v>206</v>
      </c>
      <c r="U185" s="20">
        <v>1</v>
      </c>
      <c r="V185" s="18">
        <v>1</v>
      </c>
      <c r="W185" s="35">
        <f t="shared" si="23"/>
        <v>0</v>
      </c>
      <c r="Y185" t="str">
        <f t="shared" si="19"/>
        <v>INSERT INTO REPORTWARE.RWH_IFRS9_R04A0420 (FECHA, PERIODO,CONCEPTO, SUBREPORTE, MONEDA, TIPO_SALDO, DATO) VALUES ('2021-10-31','2021-10-31','111804708077','0420','1','1','0')</v>
      </c>
    </row>
    <row r="186" spans="18:25">
      <c r="R186" s="34" t="str">
        <f t="shared" si="22"/>
        <v>2021-10-31</v>
      </c>
      <c r="S186" s="19" t="s">
        <v>253</v>
      </c>
      <c r="T186" s="19" t="s">
        <v>206</v>
      </c>
      <c r="U186" s="20">
        <v>1</v>
      </c>
      <c r="V186" s="18">
        <v>1</v>
      </c>
      <c r="W186" s="35">
        <f t="shared" si="23"/>
        <v>0</v>
      </c>
      <c r="Y186" t="str">
        <f t="shared" si="19"/>
        <v>INSERT INTO REPORTWARE.RWH_IFRS9_R04A0420 (FECHA, PERIODO,CONCEPTO, SUBREPORTE, MONEDA, TIPO_SALDO, DATO) VALUES ('2021-10-31','2021-10-31','111804708078','0420','1','1','0')</v>
      </c>
    </row>
    <row r="187" spans="18:25">
      <c r="R187" s="34" t="str">
        <f t="shared" si="22"/>
        <v>2021-10-31</v>
      </c>
      <c r="S187" s="19" t="s">
        <v>254</v>
      </c>
      <c r="T187" s="19" t="s">
        <v>206</v>
      </c>
      <c r="U187" s="20">
        <v>1</v>
      </c>
      <c r="V187" s="18">
        <v>1</v>
      </c>
      <c r="W187" s="35">
        <f t="shared" si="23"/>
        <v>0</v>
      </c>
      <c r="Y187" t="str">
        <f t="shared" si="19"/>
        <v>INSERT INTO REPORTWARE.RWH_IFRS9_R04A0420 (FECHA, PERIODO,CONCEPTO, SUBREPORTE, MONEDA, TIPO_SALDO, DATO) VALUES ('2021-10-31','2021-10-31','111800305009','0420','1','1','0')</v>
      </c>
    </row>
    <row r="188" spans="18:25">
      <c r="R188" s="34" t="str">
        <f t="shared" si="22"/>
        <v>2021-10-31</v>
      </c>
      <c r="S188" s="19" t="s">
        <v>255</v>
      </c>
      <c r="T188" s="19" t="s">
        <v>206</v>
      </c>
      <c r="U188" s="20">
        <v>1</v>
      </c>
      <c r="V188" s="18">
        <v>1</v>
      </c>
      <c r="W188" s="35">
        <f t="shared" si="23"/>
        <v>0</v>
      </c>
      <c r="Y188" t="str">
        <f t="shared" si="19"/>
        <v>INSERT INTO REPORTWARE.RWH_IFRS9_R04A0420 (FECHA, PERIODO,CONCEPTO, SUBREPORTE, MONEDA, TIPO_SALDO, DATO) VALUES ('2021-10-31','2021-10-31','111800906036','0420','1','1','0')</v>
      </c>
    </row>
    <row r="189" spans="18:25">
      <c r="R189" s="34" t="str">
        <f t="shared" si="22"/>
        <v>2021-10-31</v>
      </c>
      <c r="S189" s="19" t="s">
        <v>256</v>
      </c>
      <c r="T189" s="19" t="s">
        <v>206</v>
      </c>
      <c r="U189" s="20">
        <v>1</v>
      </c>
      <c r="V189" s="18">
        <v>1</v>
      </c>
      <c r="W189" s="35">
        <f t="shared" si="23"/>
        <v>0</v>
      </c>
      <c r="Y189" t="str">
        <f t="shared" si="19"/>
        <v>INSERT INTO REPORTWARE.RWH_IFRS9_R04A0420 (FECHA, PERIODO,CONCEPTO, SUBREPORTE, MONEDA, TIPO_SALDO, DATO) VALUES ('2021-10-31','2021-10-31','111800906037','0420','1','1','0')</v>
      </c>
    </row>
    <row r="190" spans="18:25">
      <c r="R190" s="34" t="str">
        <f t="shared" si="22"/>
        <v>2021-10-31</v>
      </c>
      <c r="S190" s="19" t="s">
        <v>257</v>
      </c>
      <c r="T190" s="19" t="s">
        <v>206</v>
      </c>
      <c r="U190" s="20">
        <v>1</v>
      </c>
      <c r="V190" s="18">
        <v>1</v>
      </c>
      <c r="W190" s="35">
        <f t="shared" si="23"/>
        <v>0</v>
      </c>
      <c r="Y190" t="str">
        <f t="shared" si="19"/>
        <v>INSERT INTO REPORTWARE.RWH_IFRS9_R04A0420 (FECHA, PERIODO,CONCEPTO, SUBREPORTE, MONEDA, TIPO_SALDO, DATO) VALUES ('2021-10-31','2021-10-31','111800906038','0420','1','1','0')</v>
      </c>
    </row>
    <row r="191" spans="18:25">
      <c r="R191" s="34" t="str">
        <f t="shared" si="22"/>
        <v>2021-10-31</v>
      </c>
      <c r="S191" s="19" t="s">
        <v>258</v>
      </c>
      <c r="T191" s="19" t="s">
        <v>206</v>
      </c>
      <c r="U191" s="20">
        <v>1</v>
      </c>
      <c r="V191" s="18">
        <v>1</v>
      </c>
      <c r="W191" s="35">
        <f t="shared" si="23"/>
        <v>0</v>
      </c>
      <c r="Y191" t="str">
        <f t="shared" si="19"/>
        <v>INSERT INTO REPORTWARE.RWH_IFRS9_R04A0420 (FECHA, PERIODO,CONCEPTO, SUBREPORTE, MONEDA, TIPO_SALDO, DATO) VALUES ('2021-10-31','2021-10-31','111800906039','0420','1','1','0')</v>
      </c>
    </row>
    <row r="192" spans="18:25">
      <c r="R192" s="34" t="str">
        <f t="shared" si="22"/>
        <v>2021-10-31</v>
      </c>
      <c r="S192" s="19" t="s">
        <v>259</v>
      </c>
      <c r="T192" s="19" t="s">
        <v>206</v>
      </c>
      <c r="U192" s="20">
        <v>1</v>
      </c>
      <c r="V192" s="18">
        <v>1</v>
      </c>
      <c r="W192" s="35">
        <f t="shared" si="23"/>
        <v>0</v>
      </c>
      <c r="Y192" t="str">
        <f t="shared" si="19"/>
        <v>INSERT INTO REPORTWARE.RWH_IFRS9_R04A0420 (FECHA, PERIODO,CONCEPTO, SUBREPORTE, MONEDA, TIPO_SALDO, DATO) VALUES ('2021-10-31','2021-10-31','111800906040','0420','1','1','0')</v>
      </c>
    </row>
    <row r="193" spans="18:25">
      <c r="R193" s="34" t="str">
        <f t="shared" si="22"/>
        <v>2021-10-31</v>
      </c>
      <c r="S193" s="19" t="s">
        <v>260</v>
      </c>
      <c r="T193" s="19" t="s">
        <v>206</v>
      </c>
      <c r="U193" s="20">
        <v>1</v>
      </c>
      <c r="V193" s="18">
        <v>1</v>
      </c>
      <c r="W193" s="35">
        <f t="shared" si="23"/>
        <v>0</v>
      </c>
      <c r="Y193" t="str">
        <f t="shared" si="19"/>
        <v>INSERT INTO REPORTWARE.RWH_IFRS9_R04A0420 (FECHA, PERIODO,CONCEPTO, SUBREPORTE, MONEDA, TIPO_SALDO, DATO) VALUES ('2021-10-31','2021-10-31','111800906041','0420','1','1','0')</v>
      </c>
    </row>
    <row r="194" spans="18:25">
      <c r="R194" s="34" t="str">
        <f t="shared" si="22"/>
        <v>2021-10-31</v>
      </c>
      <c r="S194" s="19" t="s">
        <v>261</v>
      </c>
      <c r="T194" s="19" t="s">
        <v>206</v>
      </c>
      <c r="U194" s="20">
        <v>1</v>
      </c>
      <c r="V194" s="18">
        <v>1</v>
      </c>
      <c r="W194" s="35">
        <f t="shared" si="23"/>
        <v>0</v>
      </c>
      <c r="Y194" t="str">
        <f t="shared" si="19"/>
        <v>INSERT INTO REPORTWARE.RWH_IFRS9_R04A0420 (FECHA, PERIODO,CONCEPTO, SUBREPORTE, MONEDA, TIPO_SALDO, DATO) VALUES ('2021-10-31','2021-10-31','111800906042','0420','1','1','0')</v>
      </c>
    </row>
    <row r="195" spans="18:25">
      <c r="R195" s="34" t="str">
        <f t="shared" si="22"/>
        <v>2021-10-31</v>
      </c>
      <c r="S195" s="19" t="s">
        <v>262</v>
      </c>
      <c r="T195" s="19" t="s">
        <v>206</v>
      </c>
      <c r="U195" s="20">
        <v>1</v>
      </c>
      <c r="V195" s="18">
        <v>1</v>
      </c>
      <c r="W195" s="35">
        <f t="shared" si="23"/>
        <v>0</v>
      </c>
      <c r="Y195" t="str">
        <f t="shared" si="19"/>
        <v>INSERT INTO REPORTWARE.RWH_IFRS9_R04A0420 (FECHA, PERIODO,CONCEPTO, SUBREPORTE, MONEDA, TIPO_SALDO, DATO) VALUES ('2021-10-31','2021-10-31','111800906043','0420','1','1','0')</v>
      </c>
    </row>
    <row r="196" spans="18:25">
      <c r="R196" s="34" t="str">
        <f t="shared" si="22"/>
        <v>2021-10-31</v>
      </c>
      <c r="S196" s="19" t="s">
        <v>263</v>
      </c>
      <c r="T196" s="19" t="s">
        <v>206</v>
      </c>
      <c r="U196" s="20">
        <v>1</v>
      </c>
      <c r="V196" s="18">
        <v>1</v>
      </c>
      <c r="W196" s="35">
        <f t="shared" si="23"/>
        <v>0</v>
      </c>
      <c r="Y196" t="str">
        <f t="shared" si="19"/>
        <v>INSERT INTO REPORTWARE.RWH_IFRS9_R04A0420 (FECHA, PERIODO,CONCEPTO, SUBREPORTE, MONEDA, TIPO_SALDO, DATO) VALUES ('2021-10-31','2021-10-31','111800305010','0420','1','1','0')</v>
      </c>
    </row>
    <row r="197" spans="18:25">
      <c r="R197" s="34" t="str">
        <f t="shared" si="22"/>
        <v>2021-10-31</v>
      </c>
      <c r="S197" s="19" t="s">
        <v>264</v>
      </c>
      <c r="T197" s="19" t="s">
        <v>206</v>
      </c>
      <c r="U197" s="20">
        <v>1</v>
      </c>
      <c r="V197" s="18">
        <v>1</v>
      </c>
      <c r="W197" s="35">
        <f t="shared" si="23"/>
        <v>0</v>
      </c>
      <c r="Y197" t="str">
        <f t="shared" ref="Y197:Y260" si="24">"INSERT INTO REPORTWARE.RWH_IFRS9_R04A0420 (FECHA, PERIODO,CONCEPTO, SUBREPORTE, MONEDA, TIPO_SALDO, DATO) VALUES ('"&amp;R197&amp;"','"&amp;R197&amp;"','"&amp;S197&amp;"','"&amp;T197&amp;"','"&amp;U197&amp;"','"&amp;V197&amp;"','"&amp;W197&amp;"')"</f>
        <v>INSERT INTO REPORTWARE.RWH_IFRS9_R04A0420 (FECHA, PERIODO,CONCEPTO, SUBREPORTE, MONEDA, TIPO_SALDO, DATO) VALUES ('2021-10-31','2021-10-31','111801006044','0420','1','1','0')</v>
      </c>
    </row>
    <row r="198" spans="18:25">
      <c r="R198" s="34" t="str">
        <f t="shared" si="22"/>
        <v>2021-10-31</v>
      </c>
      <c r="S198" s="19" t="s">
        <v>265</v>
      </c>
      <c r="T198" s="19" t="s">
        <v>206</v>
      </c>
      <c r="U198" s="20">
        <v>1</v>
      </c>
      <c r="V198" s="18">
        <v>1</v>
      </c>
      <c r="W198" s="35">
        <f t="shared" si="23"/>
        <v>0</v>
      </c>
      <c r="Y198" t="str">
        <f t="shared" si="24"/>
        <v>INSERT INTO REPORTWARE.RWH_IFRS9_R04A0420 (FECHA, PERIODO,CONCEPTO, SUBREPORTE, MONEDA, TIPO_SALDO, DATO) VALUES ('2021-10-31','2021-10-31','111801006045','0420','1','1','0')</v>
      </c>
    </row>
    <row r="199" spans="18:25">
      <c r="R199" s="34" t="str">
        <f t="shared" si="22"/>
        <v>2021-10-31</v>
      </c>
      <c r="S199" s="19" t="s">
        <v>266</v>
      </c>
      <c r="T199" s="19" t="s">
        <v>206</v>
      </c>
      <c r="U199" s="20">
        <v>1</v>
      </c>
      <c r="V199" s="18">
        <v>1</v>
      </c>
      <c r="W199" s="35">
        <f t="shared" si="23"/>
        <v>0</v>
      </c>
      <c r="Y199" t="str">
        <f t="shared" si="24"/>
        <v>INSERT INTO REPORTWARE.RWH_IFRS9_R04A0420 (FECHA, PERIODO,CONCEPTO, SUBREPORTE, MONEDA, TIPO_SALDO, DATO) VALUES ('2021-10-31','2021-10-31','111801006046','0420','1','1','0')</v>
      </c>
    </row>
    <row r="200" spans="18:25">
      <c r="R200" s="34" t="str">
        <f t="shared" si="22"/>
        <v>2021-10-31</v>
      </c>
      <c r="S200" s="19" t="s">
        <v>267</v>
      </c>
      <c r="T200" s="19" t="s">
        <v>206</v>
      </c>
      <c r="U200" s="20">
        <v>1</v>
      </c>
      <c r="V200" s="18">
        <v>1</v>
      </c>
      <c r="W200" s="35">
        <f t="shared" si="23"/>
        <v>0</v>
      </c>
      <c r="Y200" t="str">
        <f t="shared" si="24"/>
        <v>INSERT INTO REPORTWARE.RWH_IFRS9_R04A0420 (FECHA, PERIODO,CONCEPTO, SUBREPORTE, MONEDA, TIPO_SALDO, DATO) VALUES ('2021-10-31','2021-10-31','111804607048','0420','1','1','0')</v>
      </c>
    </row>
    <row r="201" spans="18:25">
      <c r="R201" s="34" t="str">
        <f t="shared" si="22"/>
        <v>2021-10-31</v>
      </c>
      <c r="S201" s="19" t="s">
        <v>268</v>
      </c>
      <c r="T201" s="19" t="s">
        <v>206</v>
      </c>
      <c r="U201" s="20">
        <v>1</v>
      </c>
      <c r="V201" s="18">
        <v>1</v>
      </c>
      <c r="W201" s="35">
        <f t="shared" si="23"/>
        <v>0</v>
      </c>
      <c r="Y201" t="str">
        <f t="shared" si="24"/>
        <v>INSERT INTO REPORTWARE.RWH_IFRS9_R04A0420 (FECHA, PERIODO,CONCEPTO, SUBREPORTE, MONEDA, TIPO_SALDO, DATO) VALUES ('2021-10-31','2021-10-31','111804607049','0420','1','1','0')</v>
      </c>
    </row>
    <row r="202" spans="18:25">
      <c r="R202" s="34" t="str">
        <f t="shared" si="22"/>
        <v>2021-10-31</v>
      </c>
      <c r="S202" s="19" t="s">
        <v>269</v>
      </c>
      <c r="T202" s="19" t="s">
        <v>206</v>
      </c>
      <c r="U202" s="20">
        <v>1</v>
      </c>
      <c r="V202" s="18">
        <v>1</v>
      </c>
      <c r="W202" s="35">
        <f t="shared" si="23"/>
        <v>0</v>
      </c>
      <c r="Y202" t="str">
        <f t="shared" si="24"/>
        <v>INSERT INTO REPORTWARE.RWH_IFRS9_R04A0420 (FECHA, PERIODO,CONCEPTO, SUBREPORTE, MONEDA, TIPO_SALDO, DATO) VALUES ('2021-10-31','2021-10-31','111801006047','0420','1','1','0')</v>
      </c>
    </row>
    <row r="203" spans="18:25">
      <c r="R203" s="34" t="str">
        <f t="shared" si="22"/>
        <v>2021-10-31</v>
      </c>
      <c r="S203" s="19" t="s">
        <v>270</v>
      </c>
      <c r="T203" s="19" t="s">
        <v>206</v>
      </c>
      <c r="U203" s="20">
        <v>1</v>
      </c>
      <c r="V203" s="18">
        <v>1</v>
      </c>
      <c r="W203" s="35">
        <f t="shared" si="23"/>
        <v>0</v>
      </c>
      <c r="Y203" t="str">
        <f t="shared" si="24"/>
        <v>INSERT INTO REPORTWARE.RWH_IFRS9_R04A0420 (FECHA, PERIODO,CONCEPTO, SUBREPORTE, MONEDA, TIPO_SALDO, DATO) VALUES ('2021-10-31','2021-10-31','111801006048','0420','1','1','0')</v>
      </c>
    </row>
    <row r="204" spans="18:25">
      <c r="R204" s="34" t="str">
        <f t="shared" si="22"/>
        <v>2021-10-31</v>
      </c>
      <c r="S204" s="19" t="s">
        <v>271</v>
      </c>
      <c r="T204" s="19" t="s">
        <v>206</v>
      </c>
      <c r="U204" s="20">
        <v>1</v>
      </c>
      <c r="V204" s="18">
        <v>1</v>
      </c>
      <c r="W204" s="35">
        <f t="shared" si="23"/>
        <v>0</v>
      </c>
      <c r="Y204" t="str">
        <f t="shared" si="24"/>
        <v>INSERT INTO REPORTWARE.RWH_IFRS9_R04A0420 (FECHA, PERIODO,CONCEPTO, SUBREPORTE, MONEDA, TIPO_SALDO, DATO) VALUES ('2021-10-31','2021-10-31','101800104004','0420','1','1','0')</v>
      </c>
    </row>
    <row r="205" spans="18:25">
      <c r="R205" s="34" t="str">
        <f t="shared" si="22"/>
        <v>2021-10-31</v>
      </c>
      <c r="S205" s="19" t="s">
        <v>273</v>
      </c>
      <c r="T205" s="19" t="s">
        <v>206</v>
      </c>
      <c r="U205" s="20">
        <v>1</v>
      </c>
      <c r="V205" s="18">
        <v>1</v>
      </c>
      <c r="W205" s="35">
        <f t="shared" si="23"/>
        <v>0</v>
      </c>
      <c r="Y205" t="str">
        <f t="shared" si="24"/>
        <v>INSERT INTO REPORTWARE.RWH_IFRS9_R04A0420 (FECHA, PERIODO,CONCEPTO, SUBREPORTE, MONEDA, TIPO_SALDO, DATO) VALUES ('2021-10-31','2021-10-31','111800405011','0420','1','1','0')</v>
      </c>
    </row>
    <row r="206" spans="18:25">
      <c r="R206" s="34" t="str">
        <f t="shared" si="22"/>
        <v>2021-10-31</v>
      </c>
      <c r="S206" s="19" t="s">
        <v>274</v>
      </c>
      <c r="T206" s="19" t="s">
        <v>206</v>
      </c>
      <c r="U206" s="20">
        <v>1</v>
      </c>
      <c r="V206" s="18">
        <v>1</v>
      </c>
      <c r="W206" s="35">
        <f t="shared" si="23"/>
        <v>0</v>
      </c>
      <c r="Y206" t="str">
        <f t="shared" si="24"/>
        <v>INSERT INTO REPORTWARE.RWH_IFRS9_R04A0420 (FECHA, PERIODO,CONCEPTO, SUBREPORTE, MONEDA, TIPO_SALDO, DATO) VALUES ('2021-10-31','2021-10-31','111801106049','0420','1','1','0')</v>
      </c>
    </row>
    <row r="207" spans="18:25">
      <c r="R207" s="34" t="str">
        <f t="shared" ref="R207:R210" si="25">$P$4</f>
        <v>2021-10-31</v>
      </c>
      <c r="S207" s="19" t="s">
        <v>275</v>
      </c>
      <c r="T207" s="19" t="s">
        <v>206</v>
      </c>
      <c r="U207" s="20">
        <v>1</v>
      </c>
      <c r="V207" s="18">
        <v>1</v>
      </c>
      <c r="W207" s="35">
        <f t="shared" si="23"/>
        <v>0</v>
      </c>
      <c r="Y207" t="str">
        <f t="shared" si="24"/>
        <v>INSERT INTO REPORTWARE.RWH_IFRS9_R04A0420 (FECHA, PERIODO,CONCEPTO, SUBREPORTE, MONEDA, TIPO_SALDO, DATO) VALUES ('2021-10-31','2021-10-31','111801106050','0420','1','1','0')</v>
      </c>
    </row>
    <row r="208" spans="18:25">
      <c r="R208" s="34" t="str">
        <f t="shared" si="25"/>
        <v>2021-10-31</v>
      </c>
      <c r="S208" s="19" t="s">
        <v>276</v>
      </c>
      <c r="T208" s="19" t="s">
        <v>206</v>
      </c>
      <c r="U208" s="20">
        <v>1</v>
      </c>
      <c r="V208" s="18">
        <v>1</v>
      </c>
      <c r="W208" s="35">
        <f t="shared" ref="W208:W210" si="26">M70</f>
        <v>0</v>
      </c>
      <c r="Y208" t="str">
        <f t="shared" si="24"/>
        <v>INSERT INTO REPORTWARE.RWH_IFRS9_R04A0420 (FECHA, PERIODO,CONCEPTO, SUBREPORTE, MONEDA, TIPO_SALDO, DATO) VALUES ('2021-10-31','2021-10-31','111801106051','0420','1','1','0')</v>
      </c>
    </row>
    <row r="209" spans="18:25">
      <c r="R209" s="34" t="str">
        <f t="shared" si="25"/>
        <v>2021-10-31</v>
      </c>
      <c r="S209" s="19" t="s">
        <v>277</v>
      </c>
      <c r="T209" s="19" t="s">
        <v>206</v>
      </c>
      <c r="U209" s="20">
        <v>1</v>
      </c>
      <c r="V209" s="18">
        <v>1</v>
      </c>
      <c r="W209" s="35">
        <f t="shared" si="26"/>
        <v>0</v>
      </c>
      <c r="Y209" t="str">
        <f t="shared" si="24"/>
        <v>INSERT INTO REPORTWARE.RWH_IFRS9_R04A0420 (FECHA, PERIODO,CONCEPTO, SUBREPORTE, MONEDA, TIPO_SALDO, DATO) VALUES ('2021-10-31','2021-10-31','111800405012','0420','1','1','0')</v>
      </c>
    </row>
    <row r="210" spans="18:25">
      <c r="R210" s="34" t="str">
        <f t="shared" si="25"/>
        <v>2021-10-31</v>
      </c>
      <c r="S210" s="19" t="s">
        <v>278</v>
      </c>
      <c r="T210" s="19" t="s">
        <v>206</v>
      </c>
      <c r="U210" s="20">
        <v>1</v>
      </c>
      <c r="V210" s="18">
        <v>1</v>
      </c>
      <c r="W210" s="35">
        <f t="shared" si="26"/>
        <v>0</v>
      </c>
      <c r="Y210" t="str">
        <f t="shared" si="24"/>
        <v>INSERT INTO REPORTWARE.RWH_IFRS9_R04A0420 (FECHA, PERIODO,CONCEPTO, SUBREPORTE, MONEDA, TIPO_SALDO, DATO) VALUES ('2021-10-31','2021-10-31','111800405013','0420','1','1','0')</v>
      </c>
    </row>
    <row r="211" spans="18:25">
      <c r="R211" s="34" t="str">
        <f>$P$4</f>
        <v>2021-10-31</v>
      </c>
      <c r="S211" s="19" t="s">
        <v>204</v>
      </c>
      <c r="T211" s="19" t="s">
        <v>206</v>
      </c>
      <c r="U211" s="20">
        <v>15</v>
      </c>
      <c r="V211" s="21">
        <v>1</v>
      </c>
      <c r="W211" s="35">
        <f>L4</f>
        <v>0</v>
      </c>
      <c r="Y211" t="str">
        <f t="shared" si="24"/>
        <v>INSERT INTO REPORTWARE.RWH_IFRS9_R04A0420 (FECHA, PERIODO,CONCEPTO, SUBREPORTE, MONEDA, TIPO_SALDO, DATO) VALUES ('2021-10-31','2021-10-31','101800104003','0420','15','1','0')</v>
      </c>
    </row>
    <row r="212" spans="18:25">
      <c r="R212" s="34" t="str">
        <f t="shared" ref="R212:R275" si="27">$P$4</f>
        <v>2021-10-31</v>
      </c>
      <c r="S212" s="19" t="s">
        <v>207</v>
      </c>
      <c r="T212" s="19" t="s">
        <v>206</v>
      </c>
      <c r="U212" s="20">
        <v>15</v>
      </c>
      <c r="V212" s="18">
        <v>1</v>
      </c>
      <c r="W212" s="35">
        <f>L5</f>
        <v>0</v>
      </c>
      <c r="Y212" t="str">
        <f t="shared" si="24"/>
        <v>INSERT INTO REPORTWARE.RWH_IFRS9_R04A0420 (FECHA, PERIODO,CONCEPTO, SUBREPORTE, MONEDA, TIPO_SALDO, DATO) VALUES ('2021-10-31','2021-10-31','111800305008','0420','15','1','0')</v>
      </c>
    </row>
    <row r="213" spans="18:25">
      <c r="R213" s="34" t="str">
        <f t="shared" si="27"/>
        <v>2021-10-31</v>
      </c>
      <c r="S213" s="19" t="s">
        <v>208</v>
      </c>
      <c r="T213" s="19" t="s">
        <v>206</v>
      </c>
      <c r="U213" s="20">
        <v>15</v>
      </c>
      <c r="V213" s="18">
        <v>1</v>
      </c>
      <c r="W213" s="35">
        <f t="shared" ref="W213:W276" si="28">L6</f>
        <v>0</v>
      </c>
      <c r="Y213" t="str">
        <f t="shared" si="24"/>
        <v>INSERT INTO REPORTWARE.RWH_IFRS9_R04A0420 (FECHA, PERIODO,CONCEPTO, SUBREPORTE, MONEDA, TIPO_SALDO, DATO) VALUES ('2021-10-31','2021-10-31','111800806033','0420','15','1','0')</v>
      </c>
    </row>
    <row r="214" spans="18:25">
      <c r="R214" s="34" t="str">
        <f t="shared" si="27"/>
        <v>2021-10-31</v>
      </c>
      <c r="S214" s="19" t="s">
        <v>209</v>
      </c>
      <c r="T214" s="19" t="s">
        <v>206</v>
      </c>
      <c r="U214" s="20">
        <v>15</v>
      </c>
      <c r="V214" s="18">
        <v>1</v>
      </c>
      <c r="W214" s="35">
        <f t="shared" si="28"/>
        <v>0</v>
      </c>
      <c r="Y214" t="str">
        <f t="shared" si="24"/>
        <v>INSERT INTO REPORTWARE.RWH_IFRS9_R04A0420 (FECHA, PERIODO,CONCEPTO, SUBREPORTE, MONEDA, TIPO_SALDO, DATO) VALUES ('2021-10-31','2021-10-31','111803307034','0420','15','1','0')</v>
      </c>
    </row>
    <row r="215" spans="18:25">
      <c r="R215" s="34" t="str">
        <f t="shared" si="27"/>
        <v>2021-10-31</v>
      </c>
      <c r="S215" s="19" t="s">
        <v>210</v>
      </c>
      <c r="T215" s="19" t="s">
        <v>206</v>
      </c>
      <c r="U215" s="20">
        <v>15</v>
      </c>
      <c r="V215" s="18">
        <v>1</v>
      </c>
      <c r="W215" s="35">
        <f t="shared" si="28"/>
        <v>0</v>
      </c>
      <c r="Y215" t="str">
        <f t="shared" si="24"/>
        <v>INSERT INTO REPORTWARE.RWH_IFRS9_R04A0420 (FECHA, PERIODO,CONCEPTO, SUBREPORTE, MONEDA, TIPO_SALDO, DATO) VALUES ('2021-10-31','2021-10-31','111803408053','0420','15','1','0')</v>
      </c>
    </row>
    <row r="216" spans="18:25">
      <c r="R216" s="34" t="str">
        <f t="shared" si="27"/>
        <v>2021-10-31</v>
      </c>
      <c r="S216" s="19" t="s">
        <v>211</v>
      </c>
      <c r="T216" s="19" t="s">
        <v>206</v>
      </c>
      <c r="U216" s="20">
        <v>15</v>
      </c>
      <c r="V216" s="18">
        <v>1</v>
      </c>
      <c r="W216" s="35">
        <f t="shared" si="28"/>
        <v>0</v>
      </c>
      <c r="Y216" t="str">
        <f t="shared" si="24"/>
        <v>INSERT INTO REPORTWARE.RWH_IFRS9_R04A0420 (FECHA, PERIODO,CONCEPTO, SUBREPORTE, MONEDA, TIPO_SALDO, DATO) VALUES ('2021-10-31','2021-10-31','111803408054','0420','15','1','0')</v>
      </c>
    </row>
    <row r="217" spans="18:25">
      <c r="R217" s="34" t="str">
        <f t="shared" si="27"/>
        <v>2021-10-31</v>
      </c>
      <c r="S217" s="19" t="s">
        <v>212</v>
      </c>
      <c r="T217" s="19" t="s">
        <v>206</v>
      </c>
      <c r="U217" s="20">
        <v>15</v>
      </c>
      <c r="V217" s="18">
        <v>1</v>
      </c>
      <c r="W217" s="35">
        <f t="shared" si="28"/>
        <v>0</v>
      </c>
      <c r="Y217" t="str">
        <f t="shared" si="24"/>
        <v>INSERT INTO REPORTWARE.RWH_IFRS9_R04A0420 (FECHA, PERIODO,CONCEPTO, SUBREPORTE, MONEDA, TIPO_SALDO, DATO) VALUES ('2021-10-31','2021-10-31','111803307035','0420','15','1','0')</v>
      </c>
    </row>
    <row r="218" spans="18:25">
      <c r="R218" s="34" t="str">
        <f t="shared" si="27"/>
        <v>2021-10-31</v>
      </c>
      <c r="S218" s="19" t="s">
        <v>213</v>
      </c>
      <c r="T218" s="19" t="s">
        <v>206</v>
      </c>
      <c r="U218" s="20">
        <v>15</v>
      </c>
      <c r="V218" s="18">
        <v>1</v>
      </c>
      <c r="W218" s="35">
        <f t="shared" si="28"/>
        <v>0</v>
      </c>
      <c r="Y218" t="str">
        <f t="shared" si="24"/>
        <v>INSERT INTO REPORTWARE.RWH_IFRS9_R04A0420 (FECHA, PERIODO,CONCEPTO, SUBREPORTE, MONEDA, TIPO_SALDO, DATO) VALUES ('2021-10-31','2021-10-31','111803508055','0420','15','1','0')</v>
      </c>
    </row>
    <row r="219" spans="18:25">
      <c r="R219" s="34" t="str">
        <f t="shared" si="27"/>
        <v>2021-10-31</v>
      </c>
      <c r="S219" s="19" t="s">
        <v>214</v>
      </c>
      <c r="T219" s="19" t="s">
        <v>206</v>
      </c>
      <c r="U219" s="20">
        <v>15</v>
      </c>
      <c r="V219" s="18">
        <v>1</v>
      </c>
      <c r="W219" s="35">
        <f t="shared" si="28"/>
        <v>0</v>
      </c>
      <c r="Y219" t="str">
        <f t="shared" si="24"/>
        <v>INSERT INTO REPORTWARE.RWH_IFRS9_R04A0420 (FECHA, PERIODO,CONCEPTO, SUBREPORTE, MONEDA, TIPO_SALDO, DATO) VALUES ('2021-10-31','2021-10-31','111803508056','0420','15','1','0')</v>
      </c>
    </row>
    <row r="220" spans="18:25">
      <c r="R220" s="34" t="str">
        <f t="shared" si="27"/>
        <v>2021-10-31</v>
      </c>
      <c r="S220" s="19" t="s">
        <v>215</v>
      </c>
      <c r="T220" s="19" t="s">
        <v>206</v>
      </c>
      <c r="U220" s="20">
        <v>15</v>
      </c>
      <c r="V220" s="18">
        <v>1</v>
      </c>
      <c r="W220" s="35">
        <f t="shared" si="28"/>
        <v>0</v>
      </c>
      <c r="Y220" t="str">
        <f t="shared" si="24"/>
        <v>INSERT INTO REPORTWARE.RWH_IFRS9_R04A0420 (FECHA, PERIODO,CONCEPTO, SUBREPORTE, MONEDA, TIPO_SALDO, DATO) VALUES ('2021-10-31','2021-10-31','111803508057','0420','15','1','0')</v>
      </c>
    </row>
    <row r="221" spans="18:25">
      <c r="R221" s="34" t="str">
        <f t="shared" si="27"/>
        <v>2021-10-31</v>
      </c>
      <c r="S221" s="19" t="s">
        <v>216</v>
      </c>
      <c r="T221" s="19" t="s">
        <v>206</v>
      </c>
      <c r="U221" s="20">
        <v>15</v>
      </c>
      <c r="V221" s="18">
        <v>1</v>
      </c>
      <c r="W221" s="35">
        <f t="shared" si="28"/>
        <v>0</v>
      </c>
      <c r="Y221" t="str">
        <f t="shared" si="24"/>
        <v>INSERT INTO REPORTWARE.RWH_IFRS9_R04A0420 (FECHA, PERIODO,CONCEPTO, SUBREPORTE, MONEDA, TIPO_SALDO, DATO) VALUES ('2021-10-31','2021-10-31','111803307036','0420','15','1','0')</v>
      </c>
    </row>
    <row r="222" spans="18:25">
      <c r="R222" s="34" t="str">
        <f t="shared" si="27"/>
        <v>2021-10-31</v>
      </c>
      <c r="S222" s="19" t="s">
        <v>217</v>
      </c>
      <c r="T222" s="19" t="s">
        <v>206</v>
      </c>
      <c r="U222" s="20">
        <v>15</v>
      </c>
      <c r="V222" s="18">
        <v>1</v>
      </c>
      <c r="W222" s="35">
        <f t="shared" si="28"/>
        <v>0</v>
      </c>
      <c r="Y222" t="str">
        <f t="shared" si="24"/>
        <v>INSERT INTO REPORTWARE.RWH_IFRS9_R04A0420 (FECHA, PERIODO,CONCEPTO, SUBREPORTE, MONEDA, TIPO_SALDO, DATO) VALUES ('2021-10-31','2021-10-31','111803608058','0420','15','1','0')</v>
      </c>
    </row>
    <row r="223" spans="18:25">
      <c r="R223" s="34" t="str">
        <f t="shared" si="27"/>
        <v>2021-10-31</v>
      </c>
      <c r="S223" s="19" t="s">
        <v>218</v>
      </c>
      <c r="T223" s="19" t="s">
        <v>206</v>
      </c>
      <c r="U223" s="20">
        <v>15</v>
      </c>
      <c r="V223" s="18">
        <v>1</v>
      </c>
      <c r="W223" s="35">
        <f t="shared" si="28"/>
        <v>0</v>
      </c>
      <c r="Y223" t="str">
        <f t="shared" si="24"/>
        <v>INSERT INTO REPORTWARE.RWH_IFRS9_R04A0420 (FECHA, PERIODO,CONCEPTO, SUBREPORTE, MONEDA, TIPO_SALDO, DATO) VALUES ('2021-10-31','2021-10-31','111803608059','0420','15','1','0')</v>
      </c>
    </row>
    <row r="224" spans="18:25">
      <c r="R224" s="34" t="str">
        <f t="shared" si="27"/>
        <v>2021-10-31</v>
      </c>
      <c r="S224" s="19" t="s">
        <v>219</v>
      </c>
      <c r="T224" s="19" t="s">
        <v>206</v>
      </c>
      <c r="U224" s="20">
        <v>15</v>
      </c>
      <c r="V224" s="18">
        <v>1</v>
      </c>
      <c r="W224" s="35">
        <f t="shared" si="28"/>
        <v>0</v>
      </c>
      <c r="Y224" t="str">
        <f t="shared" si="24"/>
        <v>INSERT INTO REPORTWARE.RWH_IFRS9_R04A0420 (FECHA, PERIODO,CONCEPTO, SUBREPORTE, MONEDA, TIPO_SALDO, DATO) VALUES ('2021-10-31','2021-10-31','111803307037','0420','15','1','0')</v>
      </c>
    </row>
    <row r="225" spans="18:25">
      <c r="R225" s="34" t="str">
        <f t="shared" si="27"/>
        <v>2021-10-31</v>
      </c>
      <c r="S225" s="19" t="s">
        <v>220</v>
      </c>
      <c r="T225" s="19" t="s">
        <v>206</v>
      </c>
      <c r="U225" s="20">
        <v>15</v>
      </c>
      <c r="V225" s="18">
        <v>1</v>
      </c>
      <c r="W225" s="35">
        <f t="shared" si="28"/>
        <v>0</v>
      </c>
      <c r="Y225" t="str">
        <f t="shared" si="24"/>
        <v>INSERT INTO REPORTWARE.RWH_IFRS9_R04A0420 (FECHA, PERIODO,CONCEPTO, SUBREPORTE, MONEDA, TIPO_SALDO, DATO) VALUES ('2021-10-31','2021-10-31','111803307038','0420','15','1','0')</v>
      </c>
    </row>
    <row r="226" spans="18:25">
      <c r="R226" s="34" t="str">
        <f t="shared" si="27"/>
        <v>2021-10-31</v>
      </c>
      <c r="S226" s="19" t="s">
        <v>222</v>
      </c>
      <c r="T226" s="19" t="s">
        <v>206</v>
      </c>
      <c r="U226" s="20">
        <v>15</v>
      </c>
      <c r="V226" s="18">
        <v>1</v>
      </c>
      <c r="W226" s="35">
        <f t="shared" si="28"/>
        <v>0</v>
      </c>
      <c r="Y226" t="str">
        <f t="shared" si="24"/>
        <v>INSERT INTO REPORTWARE.RWH_IFRS9_R04A0420 (FECHA, PERIODO,CONCEPTO, SUBREPORTE, MONEDA, TIPO_SALDO, DATO) VALUES ('2021-10-31','2021-10-31','111803307039','0420','15','1','0')</v>
      </c>
    </row>
    <row r="227" spans="18:25">
      <c r="R227" s="34" t="str">
        <f t="shared" si="27"/>
        <v>2021-10-31</v>
      </c>
      <c r="S227" s="19" t="s">
        <v>223</v>
      </c>
      <c r="T227" s="19" t="s">
        <v>206</v>
      </c>
      <c r="U227" s="20">
        <v>15</v>
      </c>
      <c r="V227" s="18">
        <v>1</v>
      </c>
      <c r="W227" s="35">
        <f t="shared" si="28"/>
        <v>0</v>
      </c>
      <c r="Y227" t="str">
        <f t="shared" si="24"/>
        <v>INSERT INTO REPORTWARE.RWH_IFRS9_R04A0420 (FECHA, PERIODO,CONCEPTO, SUBREPORTE, MONEDA, TIPO_SALDO, DATO) VALUES ('2021-10-31','2021-10-31','111803307040','0420','15','1','0')</v>
      </c>
    </row>
    <row r="228" spans="18:25">
      <c r="R228" s="34" t="str">
        <f t="shared" si="27"/>
        <v>2021-10-31</v>
      </c>
      <c r="S228" s="19" t="s">
        <v>224</v>
      </c>
      <c r="T228" s="19" t="s">
        <v>206</v>
      </c>
      <c r="U228" s="20">
        <v>15</v>
      </c>
      <c r="V228" s="18">
        <v>1</v>
      </c>
      <c r="W228" s="35">
        <f t="shared" si="28"/>
        <v>0</v>
      </c>
      <c r="Y228" t="str">
        <f t="shared" si="24"/>
        <v>INSERT INTO REPORTWARE.RWH_IFRS9_R04A0420 (FECHA, PERIODO,CONCEPTO, SUBREPORTE, MONEDA, TIPO_SALDO, DATO) VALUES ('2021-10-31','2021-10-31','111803307041','0420','15','1','0')</v>
      </c>
    </row>
    <row r="229" spans="18:25">
      <c r="R229" s="34" t="str">
        <f t="shared" si="27"/>
        <v>2021-10-31</v>
      </c>
      <c r="S229" s="19" t="s">
        <v>225</v>
      </c>
      <c r="T229" s="19" t="s">
        <v>206</v>
      </c>
      <c r="U229" s="20">
        <v>15</v>
      </c>
      <c r="V229" s="18">
        <v>1</v>
      </c>
      <c r="W229" s="35">
        <f t="shared" si="28"/>
        <v>0</v>
      </c>
      <c r="Y229" t="str">
        <f t="shared" si="24"/>
        <v>INSERT INTO REPORTWARE.RWH_IFRS9_R04A0420 (FECHA, PERIODO,CONCEPTO, SUBREPORTE, MONEDA, TIPO_SALDO, DATO) VALUES ('2021-10-31','2021-10-31','111800806034','0420','15','1','0')</v>
      </c>
    </row>
    <row r="230" spans="18:25">
      <c r="R230" s="34" t="str">
        <f t="shared" si="27"/>
        <v>2021-10-31</v>
      </c>
      <c r="S230" s="19" t="s">
        <v>226</v>
      </c>
      <c r="T230" s="19" t="s">
        <v>206</v>
      </c>
      <c r="U230" s="20">
        <v>15</v>
      </c>
      <c r="V230" s="18">
        <v>1</v>
      </c>
      <c r="W230" s="35">
        <f t="shared" si="28"/>
        <v>0</v>
      </c>
      <c r="Y230" t="str">
        <f t="shared" si="24"/>
        <v>INSERT INTO REPORTWARE.RWH_IFRS9_R04A0420 (FECHA, PERIODO,CONCEPTO, SUBREPORTE, MONEDA, TIPO_SALDO, DATO) VALUES ('2021-10-31','2021-10-31','111803407042','0420','15','1','0')</v>
      </c>
    </row>
    <row r="231" spans="18:25">
      <c r="R231" s="34" t="str">
        <f t="shared" si="27"/>
        <v>2021-10-31</v>
      </c>
      <c r="S231" s="19" t="s">
        <v>227</v>
      </c>
      <c r="T231" s="19" t="s">
        <v>206</v>
      </c>
      <c r="U231" s="20">
        <v>15</v>
      </c>
      <c r="V231" s="18">
        <v>1</v>
      </c>
      <c r="W231" s="35">
        <f t="shared" si="28"/>
        <v>0</v>
      </c>
      <c r="Y231" t="str">
        <f t="shared" si="24"/>
        <v>INSERT INTO REPORTWARE.RWH_IFRS9_R04A0420 (FECHA, PERIODO,CONCEPTO, SUBREPORTE, MONEDA, TIPO_SALDO, DATO) VALUES ('2021-10-31','2021-10-31','111804208060','0420','15','1','0')</v>
      </c>
    </row>
    <row r="232" spans="18:25">
      <c r="R232" s="34" t="str">
        <f t="shared" si="27"/>
        <v>2021-10-31</v>
      </c>
      <c r="S232" s="19" t="s">
        <v>228</v>
      </c>
      <c r="T232" s="19" t="s">
        <v>206</v>
      </c>
      <c r="U232" s="20">
        <v>15</v>
      </c>
      <c r="V232" s="18">
        <v>1</v>
      </c>
      <c r="W232" s="35">
        <f t="shared" si="28"/>
        <v>0</v>
      </c>
      <c r="Y232" t="str">
        <f t="shared" si="24"/>
        <v>INSERT INTO REPORTWARE.RWH_IFRS9_R04A0420 (FECHA, PERIODO,CONCEPTO, SUBREPORTE, MONEDA, TIPO_SALDO, DATO) VALUES ('2021-10-31','2021-10-31','111804208061','0420','15','1','0')</v>
      </c>
    </row>
    <row r="233" spans="18:25">
      <c r="R233" s="34" t="str">
        <f t="shared" si="27"/>
        <v>2021-10-31</v>
      </c>
      <c r="S233" s="19" t="s">
        <v>229</v>
      </c>
      <c r="T233" s="19" t="s">
        <v>206</v>
      </c>
      <c r="U233" s="20">
        <v>15</v>
      </c>
      <c r="V233" s="18">
        <v>1</v>
      </c>
      <c r="W233" s="35">
        <f t="shared" si="28"/>
        <v>0</v>
      </c>
      <c r="Y233" t="str">
        <f t="shared" si="24"/>
        <v>INSERT INTO REPORTWARE.RWH_IFRS9_R04A0420 (FECHA, PERIODO,CONCEPTO, SUBREPORTE, MONEDA, TIPO_SALDO, DATO) VALUES ('2021-10-31','2021-10-31','111804208062','0420','15','1','0')</v>
      </c>
    </row>
    <row r="234" spans="18:25">
      <c r="R234" s="34" t="str">
        <f t="shared" si="27"/>
        <v>2021-10-31</v>
      </c>
      <c r="S234" s="19" t="s">
        <v>230</v>
      </c>
      <c r="T234" s="19" t="s">
        <v>206</v>
      </c>
      <c r="U234" s="20">
        <v>15</v>
      </c>
      <c r="V234" s="18">
        <v>1</v>
      </c>
      <c r="W234" s="35">
        <f t="shared" si="28"/>
        <v>0</v>
      </c>
      <c r="Y234" t="str">
        <f t="shared" si="24"/>
        <v>INSERT INTO REPORTWARE.RWH_IFRS9_R04A0420 (FECHA, PERIODO,CONCEPTO, SUBREPORTE, MONEDA, TIPO_SALDO, DATO) VALUES ('2021-10-31','2021-10-31','111803407043','0420','15','1','0')</v>
      </c>
    </row>
    <row r="235" spans="18:25">
      <c r="R235" s="34" t="str">
        <f t="shared" si="27"/>
        <v>2021-10-31</v>
      </c>
      <c r="S235" s="19" t="s">
        <v>231</v>
      </c>
      <c r="T235" s="19" t="s">
        <v>206</v>
      </c>
      <c r="U235" s="20">
        <v>15</v>
      </c>
      <c r="V235" s="18">
        <v>1</v>
      </c>
      <c r="W235" s="35">
        <f t="shared" si="28"/>
        <v>0</v>
      </c>
      <c r="Y235" t="str">
        <f t="shared" si="24"/>
        <v>INSERT INTO REPORTWARE.RWH_IFRS9_R04A0420 (FECHA, PERIODO,CONCEPTO, SUBREPORTE, MONEDA, TIPO_SALDO, DATO) VALUES ('2021-10-31','2021-10-31','111804308063','0420','15','1','0')</v>
      </c>
    </row>
    <row r="236" spans="18:25">
      <c r="R236" s="34" t="str">
        <f t="shared" si="27"/>
        <v>2021-10-31</v>
      </c>
      <c r="S236" s="19" t="s">
        <v>232</v>
      </c>
      <c r="T236" s="19" t="s">
        <v>206</v>
      </c>
      <c r="U236" s="20">
        <v>15</v>
      </c>
      <c r="V236" s="18">
        <v>1</v>
      </c>
      <c r="W236" s="35">
        <f t="shared" si="28"/>
        <v>0</v>
      </c>
      <c r="Y236" t="str">
        <f t="shared" si="24"/>
        <v>INSERT INTO REPORTWARE.RWH_IFRS9_R04A0420 (FECHA, PERIODO,CONCEPTO, SUBREPORTE, MONEDA, TIPO_SALDO, DATO) VALUES ('2021-10-31','2021-10-31','111804308064','0420','15','1','0')</v>
      </c>
    </row>
    <row r="237" spans="18:25">
      <c r="R237" s="34" t="str">
        <f t="shared" si="27"/>
        <v>2021-10-31</v>
      </c>
      <c r="S237" s="19" t="s">
        <v>233</v>
      </c>
      <c r="T237" s="19" t="s">
        <v>206</v>
      </c>
      <c r="U237" s="20">
        <v>15</v>
      </c>
      <c r="V237" s="18">
        <v>1</v>
      </c>
      <c r="W237" s="35">
        <f t="shared" si="28"/>
        <v>0</v>
      </c>
      <c r="Y237" t="str">
        <f t="shared" si="24"/>
        <v>INSERT INTO REPORTWARE.RWH_IFRS9_R04A0420 (FECHA, PERIODO,CONCEPTO, SUBREPORTE, MONEDA, TIPO_SALDO, DATO) VALUES ('2021-10-31','2021-10-31','111804308065','0420','15','1','0')</v>
      </c>
    </row>
    <row r="238" spans="18:25">
      <c r="R238" s="34" t="str">
        <f t="shared" si="27"/>
        <v>2021-10-31</v>
      </c>
      <c r="S238" s="19" t="s">
        <v>234</v>
      </c>
      <c r="T238" s="19" t="s">
        <v>206</v>
      </c>
      <c r="U238" s="20">
        <v>15</v>
      </c>
      <c r="V238" s="18">
        <v>1</v>
      </c>
      <c r="W238" s="35">
        <f t="shared" si="28"/>
        <v>0</v>
      </c>
      <c r="Y238" t="str">
        <f t="shared" si="24"/>
        <v>INSERT INTO REPORTWARE.RWH_IFRS9_R04A0420 (FECHA, PERIODO,CONCEPTO, SUBREPORTE, MONEDA, TIPO_SALDO, DATO) VALUES ('2021-10-31','2021-10-31','111800806035','0420','15','1','0')</v>
      </c>
    </row>
    <row r="239" spans="18:25">
      <c r="R239" s="34" t="str">
        <f t="shared" si="27"/>
        <v>2021-10-31</v>
      </c>
      <c r="S239" s="19" t="s">
        <v>235</v>
      </c>
      <c r="T239" s="19" t="s">
        <v>206</v>
      </c>
      <c r="U239" s="20">
        <v>15</v>
      </c>
      <c r="V239" s="18">
        <v>1</v>
      </c>
      <c r="W239" s="35">
        <f t="shared" si="28"/>
        <v>0</v>
      </c>
      <c r="Y239" t="str">
        <f t="shared" si="24"/>
        <v>INSERT INTO REPORTWARE.RWH_IFRS9_R04A0420 (FECHA, PERIODO,CONCEPTO, SUBREPORTE, MONEDA, TIPO_SALDO, DATO) VALUES ('2021-10-31','2021-10-31','111803507044','0420','15','1','0')</v>
      </c>
    </row>
    <row r="240" spans="18:25">
      <c r="R240" s="34" t="str">
        <f t="shared" si="27"/>
        <v>2021-10-31</v>
      </c>
      <c r="S240" s="19" t="s">
        <v>236</v>
      </c>
      <c r="T240" s="19" t="s">
        <v>206</v>
      </c>
      <c r="U240" s="20">
        <v>15</v>
      </c>
      <c r="V240" s="18">
        <v>1</v>
      </c>
      <c r="W240" s="35">
        <f t="shared" si="28"/>
        <v>0</v>
      </c>
      <c r="Y240" t="str">
        <f t="shared" si="24"/>
        <v>INSERT INTO REPORTWARE.RWH_IFRS9_R04A0420 (FECHA, PERIODO,CONCEPTO, SUBREPORTE, MONEDA, TIPO_SALDO, DATO) VALUES ('2021-10-31','2021-10-31','111803507045','0420','15','1','0')</v>
      </c>
    </row>
    <row r="241" spans="18:25">
      <c r="R241" s="34" t="str">
        <f t="shared" si="27"/>
        <v>2021-10-31</v>
      </c>
      <c r="S241" s="19" t="s">
        <v>237</v>
      </c>
      <c r="T241" s="19" t="s">
        <v>206</v>
      </c>
      <c r="U241" s="20">
        <v>15</v>
      </c>
      <c r="V241" s="18">
        <v>1</v>
      </c>
      <c r="W241" s="35">
        <f t="shared" si="28"/>
        <v>0</v>
      </c>
      <c r="Y241" t="str">
        <f t="shared" si="24"/>
        <v>INSERT INTO REPORTWARE.RWH_IFRS9_R04A0420 (FECHA, PERIODO,CONCEPTO, SUBREPORTE, MONEDA, TIPO_SALDO, DATO) VALUES ('2021-10-31','2021-10-31','111804508066','0420','15','1','0')</v>
      </c>
    </row>
    <row r="242" spans="18:25">
      <c r="R242" s="34" t="str">
        <f t="shared" si="27"/>
        <v>2021-10-31</v>
      </c>
      <c r="S242" s="19" t="s">
        <v>238</v>
      </c>
      <c r="T242" s="19" t="s">
        <v>206</v>
      </c>
      <c r="U242" s="20">
        <v>15</v>
      </c>
      <c r="V242" s="18">
        <v>1</v>
      </c>
      <c r="W242" s="35">
        <f t="shared" si="28"/>
        <v>0</v>
      </c>
      <c r="Y242" t="str">
        <f t="shared" si="24"/>
        <v>INSERT INTO REPORTWARE.RWH_IFRS9_R04A0420 (FECHA, PERIODO,CONCEPTO, SUBREPORTE, MONEDA, TIPO_SALDO, DATO) VALUES ('2021-10-31','2021-10-31','111804508067','0420','15','1','0')</v>
      </c>
    </row>
    <row r="243" spans="18:25">
      <c r="R243" s="34" t="str">
        <f t="shared" si="27"/>
        <v>2021-10-31</v>
      </c>
      <c r="S243" s="19" t="s">
        <v>239</v>
      </c>
      <c r="T243" s="19" t="s">
        <v>206</v>
      </c>
      <c r="U243" s="20">
        <v>15</v>
      </c>
      <c r="V243" s="18">
        <v>1</v>
      </c>
      <c r="W243" s="35">
        <f t="shared" si="28"/>
        <v>0</v>
      </c>
      <c r="Y243" t="str">
        <f t="shared" si="24"/>
        <v>INSERT INTO REPORTWARE.RWH_IFRS9_R04A0420 (FECHA, PERIODO,CONCEPTO, SUBREPORTE, MONEDA, TIPO_SALDO, DATO) VALUES ('2021-10-31','2021-10-31','111804508068','0420','15','1','0')</v>
      </c>
    </row>
    <row r="244" spans="18:25">
      <c r="R244" s="34" t="str">
        <f t="shared" si="27"/>
        <v>2021-10-31</v>
      </c>
      <c r="S244" s="19" t="s">
        <v>240</v>
      </c>
      <c r="T244" s="19" t="s">
        <v>206</v>
      </c>
      <c r="U244" s="20">
        <v>15</v>
      </c>
      <c r="V244" s="18">
        <v>1</v>
      </c>
      <c r="W244" s="35">
        <f t="shared" si="28"/>
        <v>0</v>
      </c>
      <c r="Y244" t="str">
        <f t="shared" si="24"/>
        <v>INSERT INTO REPORTWARE.RWH_IFRS9_R04A0420 (FECHA, PERIODO,CONCEPTO, SUBREPORTE, MONEDA, TIPO_SALDO, DATO) VALUES ('2021-10-31','2021-10-31','111804508069','0420','15','1','0')</v>
      </c>
    </row>
    <row r="245" spans="18:25">
      <c r="R245" s="34" t="str">
        <f t="shared" si="27"/>
        <v>2021-10-31</v>
      </c>
      <c r="S245" s="19" t="s">
        <v>242</v>
      </c>
      <c r="T245" s="19" t="s">
        <v>206</v>
      </c>
      <c r="U245" s="20">
        <v>15</v>
      </c>
      <c r="V245" s="18">
        <v>1</v>
      </c>
      <c r="W245" s="35">
        <f t="shared" si="28"/>
        <v>0</v>
      </c>
      <c r="Y245" t="str">
        <f t="shared" si="24"/>
        <v>INSERT INTO REPORTWARE.RWH_IFRS9_R04A0420 (FECHA, PERIODO,CONCEPTO, SUBREPORTE, MONEDA, TIPO_SALDO, DATO) VALUES ('2021-10-31','2021-10-31','111804508070','0420','15','1','0')</v>
      </c>
    </row>
    <row r="246" spans="18:25">
      <c r="R246" s="34" t="str">
        <f t="shared" si="27"/>
        <v>2021-10-31</v>
      </c>
      <c r="S246" s="19" t="s">
        <v>243</v>
      </c>
      <c r="T246" s="19" t="s">
        <v>206</v>
      </c>
      <c r="U246" s="20">
        <v>15</v>
      </c>
      <c r="V246" s="18">
        <v>1</v>
      </c>
      <c r="W246" s="35">
        <f t="shared" si="28"/>
        <v>0</v>
      </c>
      <c r="Y246" t="str">
        <f t="shared" si="24"/>
        <v>INSERT INTO REPORTWARE.RWH_IFRS9_R04A0420 (FECHA, PERIODO,CONCEPTO, SUBREPORTE, MONEDA, TIPO_SALDO, DATO) VALUES ('2021-10-31','2021-10-31','111803507046','0420','15','1','0')</v>
      </c>
    </row>
    <row r="247" spans="18:25">
      <c r="R247" s="34" t="str">
        <f t="shared" si="27"/>
        <v>2021-10-31</v>
      </c>
      <c r="S247" s="19" t="s">
        <v>244</v>
      </c>
      <c r="T247" s="19" t="s">
        <v>206</v>
      </c>
      <c r="U247" s="20">
        <v>15</v>
      </c>
      <c r="V247" s="18">
        <v>1</v>
      </c>
      <c r="W247" s="35">
        <f t="shared" si="28"/>
        <v>0</v>
      </c>
      <c r="Y247" t="str">
        <f t="shared" si="24"/>
        <v>INSERT INTO REPORTWARE.RWH_IFRS9_R04A0420 (FECHA, PERIODO,CONCEPTO, SUBREPORTE, MONEDA, TIPO_SALDO, DATO) VALUES ('2021-10-31','2021-10-31','111804608071','0420','15','1','0')</v>
      </c>
    </row>
    <row r="248" spans="18:25">
      <c r="R248" s="34" t="str">
        <f t="shared" si="27"/>
        <v>2021-10-31</v>
      </c>
      <c r="S248" s="19" t="s">
        <v>245</v>
      </c>
      <c r="T248" s="19" t="s">
        <v>206</v>
      </c>
      <c r="U248" s="20">
        <v>15</v>
      </c>
      <c r="V248" s="18">
        <v>1</v>
      </c>
      <c r="W248" s="35">
        <f t="shared" si="28"/>
        <v>0</v>
      </c>
      <c r="Y248" t="str">
        <f t="shared" si="24"/>
        <v>INSERT INTO REPORTWARE.RWH_IFRS9_R04A0420 (FECHA, PERIODO,CONCEPTO, SUBREPORTE, MONEDA, TIPO_SALDO, DATO) VALUES ('2021-10-31','2021-10-31','111804608072','0420','15','1','0')</v>
      </c>
    </row>
    <row r="249" spans="18:25">
      <c r="R249" s="34" t="str">
        <f t="shared" si="27"/>
        <v>2021-10-31</v>
      </c>
      <c r="S249" s="19" t="s">
        <v>246</v>
      </c>
      <c r="T249" s="19" t="s">
        <v>206</v>
      </c>
      <c r="U249" s="20">
        <v>15</v>
      </c>
      <c r="V249" s="18">
        <v>1</v>
      </c>
      <c r="W249" s="35">
        <f t="shared" si="28"/>
        <v>0</v>
      </c>
      <c r="Y249" t="str">
        <f t="shared" si="24"/>
        <v>INSERT INTO REPORTWARE.RWH_IFRS9_R04A0420 (FECHA, PERIODO,CONCEPTO, SUBREPORTE, MONEDA, TIPO_SALDO, DATO) VALUES ('2021-10-31','2021-10-31','111804608073','0420','15','1','0')</v>
      </c>
    </row>
    <row r="250" spans="18:25">
      <c r="R250" s="34" t="str">
        <f t="shared" si="27"/>
        <v>2021-10-31</v>
      </c>
      <c r="S250" s="19" t="s">
        <v>247</v>
      </c>
      <c r="T250" s="19" t="s">
        <v>206</v>
      </c>
      <c r="U250" s="20">
        <v>15</v>
      </c>
      <c r="V250" s="18">
        <v>1</v>
      </c>
      <c r="W250" s="35">
        <f t="shared" si="28"/>
        <v>0</v>
      </c>
      <c r="Y250" t="str">
        <f t="shared" si="24"/>
        <v>INSERT INTO REPORTWARE.RWH_IFRS9_R04A0420 (FECHA, PERIODO,CONCEPTO, SUBREPORTE, MONEDA, TIPO_SALDO, DATO) VALUES ('2021-10-31','2021-10-31','111804608074','0420','15','1','0')</v>
      </c>
    </row>
    <row r="251" spans="18:25">
      <c r="R251" s="34" t="str">
        <f t="shared" si="27"/>
        <v>2021-10-31</v>
      </c>
      <c r="S251" s="19" t="s">
        <v>248</v>
      </c>
      <c r="T251" s="19" t="s">
        <v>206</v>
      </c>
      <c r="U251" s="20">
        <v>15</v>
      </c>
      <c r="V251" s="18">
        <v>1</v>
      </c>
      <c r="W251" s="35">
        <f t="shared" si="28"/>
        <v>0</v>
      </c>
      <c r="Y251" t="str">
        <f t="shared" si="24"/>
        <v>INSERT INTO REPORTWARE.RWH_IFRS9_R04A0420 (FECHA, PERIODO,CONCEPTO, SUBREPORTE, MONEDA, TIPO_SALDO, DATO) VALUES ('2021-10-31','2021-10-31','111803507047','0420','15','1','0')</v>
      </c>
    </row>
    <row r="252" spans="18:25">
      <c r="R252" s="34" t="str">
        <f t="shared" si="27"/>
        <v>2021-10-31</v>
      </c>
      <c r="S252" s="19" t="s">
        <v>250</v>
      </c>
      <c r="T252" s="19" t="s">
        <v>206</v>
      </c>
      <c r="U252" s="20">
        <v>15</v>
      </c>
      <c r="V252" s="18">
        <v>1</v>
      </c>
      <c r="W252" s="35">
        <f t="shared" si="28"/>
        <v>0</v>
      </c>
      <c r="Y252" t="str">
        <f t="shared" si="24"/>
        <v>INSERT INTO REPORTWARE.RWH_IFRS9_R04A0420 (FECHA, PERIODO,CONCEPTO, SUBREPORTE, MONEDA, TIPO_SALDO, DATO) VALUES ('2021-10-31','2021-10-31','111804708075','0420','15','1','0')</v>
      </c>
    </row>
    <row r="253" spans="18:25">
      <c r="R253" s="34" t="str">
        <f t="shared" si="27"/>
        <v>2021-10-31</v>
      </c>
      <c r="S253" s="19" t="s">
        <v>251</v>
      </c>
      <c r="T253" s="19" t="s">
        <v>206</v>
      </c>
      <c r="U253" s="20">
        <v>15</v>
      </c>
      <c r="V253" s="18">
        <v>1</v>
      </c>
      <c r="W253" s="35">
        <f t="shared" si="28"/>
        <v>0</v>
      </c>
      <c r="Y253" t="str">
        <f t="shared" si="24"/>
        <v>INSERT INTO REPORTWARE.RWH_IFRS9_R04A0420 (FECHA, PERIODO,CONCEPTO, SUBREPORTE, MONEDA, TIPO_SALDO, DATO) VALUES ('2021-10-31','2021-10-31','111804708076','0420','15','1','0')</v>
      </c>
    </row>
    <row r="254" spans="18:25">
      <c r="R254" s="34" t="str">
        <f t="shared" si="27"/>
        <v>2021-10-31</v>
      </c>
      <c r="S254" s="19" t="s">
        <v>252</v>
      </c>
      <c r="T254" s="19" t="s">
        <v>206</v>
      </c>
      <c r="U254" s="20">
        <v>15</v>
      </c>
      <c r="V254" s="18">
        <v>1</v>
      </c>
      <c r="W254" s="35">
        <f t="shared" si="28"/>
        <v>0</v>
      </c>
      <c r="Y254" t="str">
        <f t="shared" si="24"/>
        <v>INSERT INTO REPORTWARE.RWH_IFRS9_R04A0420 (FECHA, PERIODO,CONCEPTO, SUBREPORTE, MONEDA, TIPO_SALDO, DATO) VALUES ('2021-10-31','2021-10-31','111804708077','0420','15','1','0')</v>
      </c>
    </row>
    <row r="255" spans="18:25">
      <c r="R255" s="34" t="str">
        <f t="shared" si="27"/>
        <v>2021-10-31</v>
      </c>
      <c r="S255" s="19" t="s">
        <v>253</v>
      </c>
      <c r="T255" s="19" t="s">
        <v>206</v>
      </c>
      <c r="U255" s="20">
        <v>15</v>
      </c>
      <c r="V255" s="18">
        <v>1</v>
      </c>
      <c r="W255" s="35">
        <f t="shared" si="28"/>
        <v>0</v>
      </c>
      <c r="Y255" t="str">
        <f t="shared" si="24"/>
        <v>INSERT INTO REPORTWARE.RWH_IFRS9_R04A0420 (FECHA, PERIODO,CONCEPTO, SUBREPORTE, MONEDA, TIPO_SALDO, DATO) VALUES ('2021-10-31','2021-10-31','111804708078','0420','15','1','0')</v>
      </c>
    </row>
    <row r="256" spans="18:25">
      <c r="R256" s="34" t="str">
        <f t="shared" si="27"/>
        <v>2021-10-31</v>
      </c>
      <c r="S256" s="19" t="s">
        <v>254</v>
      </c>
      <c r="T256" s="19" t="s">
        <v>206</v>
      </c>
      <c r="U256" s="20">
        <v>15</v>
      </c>
      <c r="V256" s="18">
        <v>1</v>
      </c>
      <c r="W256" s="35">
        <f t="shared" si="28"/>
        <v>0</v>
      </c>
      <c r="Y256" t="str">
        <f t="shared" si="24"/>
        <v>INSERT INTO REPORTWARE.RWH_IFRS9_R04A0420 (FECHA, PERIODO,CONCEPTO, SUBREPORTE, MONEDA, TIPO_SALDO, DATO) VALUES ('2021-10-31','2021-10-31','111800305009','0420','15','1','0')</v>
      </c>
    </row>
    <row r="257" spans="18:25">
      <c r="R257" s="34" t="str">
        <f t="shared" si="27"/>
        <v>2021-10-31</v>
      </c>
      <c r="S257" s="19" t="s">
        <v>255</v>
      </c>
      <c r="T257" s="19" t="s">
        <v>206</v>
      </c>
      <c r="U257" s="20">
        <v>15</v>
      </c>
      <c r="V257" s="18">
        <v>1</v>
      </c>
      <c r="W257" s="35">
        <f t="shared" si="28"/>
        <v>0</v>
      </c>
      <c r="Y257" t="str">
        <f t="shared" si="24"/>
        <v>INSERT INTO REPORTWARE.RWH_IFRS9_R04A0420 (FECHA, PERIODO,CONCEPTO, SUBREPORTE, MONEDA, TIPO_SALDO, DATO) VALUES ('2021-10-31','2021-10-31','111800906036','0420','15','1','0')</v>
      </c>
    </row>
    <row r="258" spans="18:25">
      <c r="R258" s="34" t="str">
        <f t="shared" si="27"/>
        <v>2021-10-31</v>
      </c>
      <c r="S258" s="19" t="s">
        <v>256</v>
      </c>
      <c r="T258" s="19" t="s">
        <v>206</v>
      </c>
      <c r="U258" s="20">
        <v>15</v>
      </c>
      <c r="V258" s="18">
        <v>1</v>
      </c>
      <c r="W258" s="35">
        <f t="shared" si="28"/>
        <v>0</v>
      </c>
      <c r="Y258" t="str">
        <f t="shared" si="24"/>
        <v>INSERT INTO REPORTWARE.RWH_IFRS9_R04A0420 (FECHA, PERIODO,CONCEPTO, SUBREPORTE, MONEDA, TIPO_SALDO, DATO) VALUES ('2021-10-31','2021-10-31','111800906037','0420','15','1','0')</v>
      </c>
    </row>
    <row r="259" spans="18:25">
      <c r="R259" s="34" t="str">
        <f t="shared" si="27"/>
        <v>2021-10-31</v>
      </c>
      <c r="S259" s="19" t="s">
        <v>257</v>
      </c>
      <c r="T259" s="19" t="s">
        <v>206</v>
      </c>
      <c r="U259" s="20">
        <v>15</v>
      </c>
      <c r="V259" s="18">
        <v>1</v>
      </c>
      <c r="W259" s="35">
        <f t="shared" si="28"/>
        <v>0</v>
      </c>
      <c r="Y259" t="str">
        <f t="shared" si="24"/>
        <v>INSERT INTO REPORTWARE.RWH_IFRS9_R04A0420 (FECHA, PERIODO,CONCEPTO, SUBREPORTE, MONEDA, TIPO_SALDO, DATO) VALUES ('2021-10-31','2021-10-31','111800906038','0420','15','1','0')</v>
      </c>
    </row>
    <row r="260" spans="18:25">
      <c r="R260" s="34" t="str">
        <f t="shared" si="27"/>
        <v>2021-10-31</v>
      </c>
      <c r="S260" s="19" t="s">
        <v>258</v>
      </c>
      <c r="T260" s="19" t="s">
        <v>206</v>
      </c>
      <c r="U260" s="20">
        <v>15</v>
      </c>
      <c r="V260" s="18">
        <v>1</v>
      </c>
      <c r="W260" s="35">
        <f t="shared" si="28"/>
        <v>0</v>
      </c>
      <c r="Y260" t="str">
        <f t="shared" si="24"/>
        <v>INSERT INTO REPORTWARE.RWH_IFRS9_R04A0420 (FECHA, PERIODO,CONCEPTO, SUBREPORTE, MONEDA, TIPO_SALDO, DATO) VALUES ('2021-10-31','2021-10-31','111800906039','0420','15','1','0')</v>
      </c>
    </row>
    <row r="261" spans="18:25">
      <c r="R261" s="34" t="str">
        <f t="shared" si="27"/>
        <v>2021-10-31</v>
      </c>
      <c r="S261" s="19" t="s">
        <v>259</v>
      </c>
      <c r="T261" s="19" t="s">
        <v>206</v>
      </c>
      <c r="U261" s="20">
        <v>15</v>
      </c>
      <c r="V261" s="18">
        <v>1</v>
      </c>
      <c r="W261" s="35">
        <f t="shared" si="28"/>
        <v>0</v>
      </c>
      <c r="Y261" t="str">
        <f t="shared" ref="Y261:Y279" si="29">"INSERT INTO REPORTWARE.RWH_IFRS9_R04A0420 (FECHA, PERIODO,CONCEPTO, SUBREPORTE, MONEDA, TIPO_SALDO, DATO) VALUES ('"&amp;R261&amp;"','"&amp;R261&amp;"','"&amp;S261&amp;"','"&amp;T261&amp;"','"&amp;U261&amp;"','"&amp;V261&amp;"','"&amp;W261&amp;"')"</f>
        <v>INSERT INTO REPORTWARE.RWH_IFRS9_R04A0420 (FECHA, PERIODO,CONCEPTO, SUBREPORTE, MONEDA, TIPO_SALDO, DATO) VALUES ('2021-10-31','2021-10-31','111800906040','0420','15','1','0')</v>
      </c>
    </row>
    <row r="262" spans="18:25">
      <c r="R262" s="34" t="str">
        <f t="shared" si="27"/>
        <v>2021-10-31</v>
      </c>
      <c r="S262" s="19" t="s">
        <v>260</v>
      </c>
      <c r="T262" s="19" t="s">
        <v>206</v>
      </c>
      <c r="U262" s="20">
        <v>15</v>
      </c>
      <c r="V262" s="18">
        <v>1</v>
      </c>
      <c r="W262" s="35">
        <f t="shared" si="28"/>
        <v>0</v>
      </c>
      <c r="Y262" t="str">
        <f t="shared" si="29"/>
        <v>INSERT INTO REPORTWARE.RWH_IFRS9_R04A0420 (FECHA, PERIODO,CONCEPTO, SUBREPORTE, MONEDA, TIPO_SALDO, DATO) VALUES ('2021-10-31','2021-10-31','111800906041','0420','15','1','0')</v>
      </c>
    </row>
    <row r="263" spans="18:25">
      <c r="R263" s="34" t="str">
        <f t="shared" si="27"/>
        <v>2021-10-31</v>
      </c>
      <c r="S263" s="19" t="s">
        <v>261</v>
      </c>
      <c r="T263" s="19" t="s">
        <v>206</v>
      </c>
      <c r="U263" s="20">
        <v>15</v>
      </c>
      <c r="V263" s="18">
        <v>1</v>
      </c>
      <c r="W263" s="35">
        <f t="shared" si="28"/>
        <v>0</v>
      </c>
      <c r="Y263" t="str">
        <f t="shared" si="29"/>
        <v>INSERT INTO REPORTWARE.RWH_IFRS9_R04A0420 (FECHA, PERIODO,CONCEPTO, SUBREPORTE, MONEDA, TIPO_SALDO, DATO) VALUES ('2021-10-31','2021-10-31','111800906042','0420','15','1','0')</v>
      </c>
    </row>
    <row r="264" spans="18:25">
      <c r="R264" s="34" t="str">
        <f t="shared" si="27"/>
        <v>2021-10-31</v>
      </c>
      <c r="S264" s="19" t="s">
        <v>262</v>
      </c>
      <c r="T264" s="19" t="s">
        <v>206</v>
      </c>
      <c r="U264" s="20">
        <v>15</v>
      </c>
      <c r="V264" s="18">
        <v>1</v>
      </c>
      <c r="W264" s="35">
        <f t="shared" si="28"/>
        <v>0</v>
      </c>
      <c r="Y264" t="str">
        <f t="shared" si="29"/>
        <v>INSERT INTO REPORTWARE.RWH_IFRS9_R04A0420 (FECHA, PERIODO,CONCEPTO, SUBREPORTE, MONEDA, TIPO_SALDO, DATO) VALUES ('2021-10-31','2021-10-31','111800906043','0420','15','1','0')</v>
      </c>
    </row>
    <row r="265" spans="18:25">
      <c r="R265" s="34" t="str">
        <f t="shared" si="27"/>
        <v>2021-10-31</v>
      </c>
      <c r="S265" s="19" t="s">
        <v>263</v>
      </c>
      <c r="T265" s="19" t="s">
        <v>206</v>
      </c>
      <c r="U265" s="20">
        <v>15</v>
      </c>
      <c r="V265" s="18">
        <v>1</v>
      </c>
      <c r="W265" s="35">
        <f t="shared" si="28"/>
        <v>0</v>
      </c>
      <c r="Y265" t="str">
        <f t="shared" si="29"/>
        <v>INSERT INTO REPORTWARE.RWH_IFRS9_R04A0420 (FECHA, PERIODO,CONCEPTO, SUBREPORTE, MONEDA, TIPO_SALDO, DATO) VALUES ('2021-10-31','2021-10-31','111800305010','0420','15','1','0')</v>
      </c>
    </row>
    <row r="266" spans="18:25">
      <c r="R266" s="34" t="str">
        <f t="shared" si="27"/>
        <v>2021-10-31</v>
      </c>
      <c r="S266" s="19" t="s">
        <v>264</v>
      </c>
      <c r="T266" s="19" t="s">
        <v>206</v>
      </c>
      <c r="U266" s="20">
        <v>15</v>
      </c>
      <c r="V266" s="18">
        <v>1</v>
      </c>
      <c r="W266" s="35">
        <f t="shared" si="28"/>
        <v>0</v>
      </c>
      <c r="Y266" t="str">
        <f t="shared" si="29"/>
        <v>INSERT INTO REPORTWARE.RWH_IFRS9_R04A0420 (FECHA, PERIODO,CONCEPTO, SUBREPORTE, MONEDA, TIPO_SALDO, DATO) VALUES ('2021-10-31','2021-10-31','111801006044','0420','15','1','0')</v>
      </c>
    </row>
    <row r="267" spans="18:25">
      <c r="R267" s="34" t="str">
        <f t="shared" si="27"/>
        <v>2021-10-31</v>
      </c>
      <c r="S267" s="19" t="s">
        <v>265</v>
      </c>
      <c r="T267" s="19" t="s">
        <v>206</v>
      </c>
      <c r="U267" s="20">
        <v>15</v>
      </c>
      <c r="V267" s="18">
        <v>1</v>
      </c>
      <c r="W267" s="35">
        <f t="shared" si="28"/>
        <v>0</v>
      </c>
      <c r="Y267" t="str">
        <f t="shared" si="29"/>
        <v>INSERT INTO REPORTWARE.RWH_IFRS9_R04A0420 (FECHA, PERIODO,CONCEPTO, SUBREPORTE, MONEDA, TIPO_SALDO, DATO) VALUES ('2021-10-31','2021-10-31','111801006045','0420','15','1','0')</v>
      </c>
    </row>
    <row r="268" spans="18:25">
      <c r="R268" s="34" t="str">
        <f t="shared" si="27"/>
        <v>2021-10-31</v>
      </c>
      <c r="S268" s="19" t="s">
        <v>266</v>
      </c>
      <c r="T268" s="19" t="s">
        <v>206</v>
      </c>
      <c r="U268" s="20">
        <v>15</v>
      </c>
      <c r="V268" s="18">
        <v>1</v>
      </c>
      <c r="W268" s="35">
        <f t="shared" si="28"/>
        <v>0</v>
      </c>
      <c r="Y268" t="str">
        <f t="shared" si="29"/>
        <v>INSERT INTO REPORTWARE.RWH_IFRS9_R04A0420 (FECHA, PERIODO,CONCEPTO, SUBREPORTE, MONEDA, TIPO_SALDO, DATO) VALUES ('2021-10-31','2021-10-31','111801006046','0420','15','1','0')</v>
      </c>
    </row>
    <row r="269" spans="18:25">
      <c r="R269" s="34" t="str">
        <f t="shared" si="27"/>
        <v>2021-10-31</v>
      </c>
      <c r="S269" s="19" t="s">
        <v>267</v>
      </c>
      <c r="T269" s="19" t="s">
        <v>206</v>
      </c>
      <c r="U269" s="20">
        <v>15</v>
      </c>
      <c r="V269" s="18">
        <v>1</v>
      </c>
      <c r="W269" s="35">
        <f t="shared" si="28"/>
        <v>0</v>
      </c>
      <c r="Y269" t="str">
        <f t="shared" si="29"/>
        <v>INSERT INTO REPORTWARE.RWH_IFRS9_R04A0420 (FECHA, PERIODO,CONCEPTO, SUBREPORTE, MONEDA, TIPO_SALDO, DATO) VALUES ('2021-10-31','2021-10-31','111804607048','0420','15','1','0')</v>
      </c>
    </row>
    <row r="270" spans="18:25">
      <c r="R270" s="34" t="str">
        <f t="shared" si="27"/>
        <v>2021-10-31</v>
      </c>
      <c r="S270" s="19" t="s">
        <v>268</v>
      </c>
      <c r="T270" s="19" t="s">
        <v>206</v>
      </c>
      <c r="U270" s="20">
        <v>15</v>
      </c>
      <c r="V270" s="18">
        <v>1</v>
      </c>
      <c r="W270" s="35">
        <f t="shared" si="28"/>
        <v>0</v>
      </c>
      <c r="Y270" t="str">
        <f t="shared" si="29"/>
        <v>INSERT INTO REPORTWARE.RWH_IFRS9_R04A0420 (FECHA, PERIODO,CONCEPTO, SUBREPORTE, MONEDA, TIPO_SALDO, DATO) VALUES ('2021-10-31','2021-10-31','111804607049','0420','15','1','0')</v>
      </c>
    </row>
    <row r="271" spans="18:25">
      <c r="R271" s="34" t="str">
        <f t="shared" si="27"/>
        <v>2021-10-31</v>
      </c>
      <c r="S271" s="19" t="s">
        <v>269</v>
      </c>
      <c r="T271" s="19" t="s">
        <v>206</v>
      </c>
      <c r="U271" s="20">
        <v>15</v>
      </c>
      <c r="V271" s="18">
        <v>1</v>
      </c>
      <c r="W271" s="35">
        <f t="shared" si="28"/>
        <v>0</v>
      </c>
      <c r="Y271" t="str">
        <f t="shared" si="29"/>
        <v>INSERT INTO REPORTWARE.RWH_IFRS9_R04A0420 (FECHA, PERIODO,CONCEPTO, SUBREPORTE, MONEDA, TIPO_SALDO, DATO) VALUES ('2021-10-31','2021-10-31','111801006047','0420','15','1','0')</v>
      </c>
    </row>
    <row r="272" spans="18:25">
      <c r="R272" s="34" t="str">
        <f t="shared" si="27"/>
        <v>2021-10-31</v>
      </c>
      <c r="S272" s="19" t="s">
        <v>270</v>
      </c>
      <c r="T272" s="19" t="s">
        <v>206</v>
      </c>
      <c r="U272" s="20">
        <v>15</v>
      </c>
      <c r="V272" s="18">
        <v>1</v>
      </c>
      <c r="W272" s="35">
        <f t="shared" si="28"/>
        <v>0</v>
      </c>
      <c r="Y272" t="str">
        <f t="shared" si="29"/>
        <v>INSERT INTO REPORTWARE.RWH_IFRS9_R04A0420 (FECHA, PERIODO,CONCEPTO, SUBREPORTE, MONEDA, TIPO_SALDO, DATO) VALUES ('2021-10-31','2021-10-31','111801006048','0420','15','1','0')</v>
      </c>
    </row>
    <row r="273" spans="18:25">
      <c r="R273" s="34" t="str">
        <f t="shared" si="27"/>
        <v>2021-10-31</v>
      </c>
      <c r="S273" s="19" t="s">
        <v>271</v>
      </c>
      <c r="T273" s="19" t="s">
        <v>206</v>
      </c>
      <c r="U273" s="20">
        <v>15</v>
      </c>
      <c r="V273" s="18">
        <v>1</v>
      </c>
      <c r="W273" s="35">
        <f t="shared" si="28"/>
        <v>0</v>
      </c>
      <c r="Y273" t="str">
        <f t="shared" si="29"/>
        <v>INSERT INTO REPORTWARE.RWH_IFRS9_R04A0420 (FECHA, PERIODO,CONCEPTO, SUBREPORTE, MONEDA, TIPO_SALDO, DATO) VALUES ('2021-10-31','2021-10-31','101800104004','0420','15','1','0')</v>
      </c>
    </row>
    <row r="274" spans="18:25">
      <c r="R274" s="34" t="str">
        <f t="shared" si="27"/>
        <v>2021-10-31</v>
      </c>
      <c r="S274" s="19" t="s">
        <v>273</v>
      </c>
      <c r="T274" s="19" t="s">
        <v>206</v>
      </c>
      <c r="U274" s="20">
        <v>15</v>
      </c>
      <c r="V274" s="18">
        <v>1</v>
      </c>
      <c r="W274" s="35">
        <f t="shared" si="28"/>
        <v>0</v>
      </c>
      <c r="Y274" t="str">
        <f t="shared" si="29"/>
        <v>INSERT INTO REPORTWARE.RWH_IFRS9_R04A0420 (FECHA, PERIODO,CONCEPTO, SUBREPORTE, MONEDA, TIPO_SALDO, DATO) VALUES ('2021-10-31','2021-10-31','111800405011','0420','15','1','0')</v>
      </c>
    </row>
    <row r="275" spans="18:25">
      <c r="R275" s="34" t="str">
        <f t="shared" si="27"/>
        <v>2021-10-31</v>
      </c>
      <c r="S275" s="19" t="s">
        <v>274</v>
      </c>
      <c r="T275" s="19" t="s">
        <v>206</v>
      </c>
      <c r="U275" s="20">
        <v>15</v>
      </c>
      <c r="V275" s="18">
        <v>1</v>
      </c>
      <c r="W275" s="35">
        <f t="shared" si="28"/>
        <v>0</v>
      </c>
      <c r="Y275" t="str">
        <f t="shared" si="29"/>
        <v>INSERT INTO REPORTWARE.RWH_IFRS9_R04A0420 (FECHA, PERIODO,CONCEPTO, SUBREPORTE, MONEDA, TIPO_SALDO, DATO) VALUES ('2021-10-31','2021-10-31','111801106049','0420','15','1','0')</v>
      </c>
    </row>
    <row r="276" spans="18:25">
      <c r="R276" s="34" t="str">
        <f t="shared" ref="R276:R279" si="30">$P$4</f>
        <v>2021-10-31</v>
      </c>
      <c r="S276" s="19" t="s">
        <v>275</v>
      </c>
      <c r="T276" s="19" t="s">
        <v>206</v>
      </c>
      <c r="U276" s="20">
        <v>15</v>
      </c>
      <c r="V276" s="18">
        <v>1</v>
      </c>
      <c r="W276" s="35">
        <f t="shared" si="28"/>
        <v>0</v>
      </c>
      <c r="Y276" t="str">
        <f t="shared" si="29"/>
        <v>INSERT INTO REPORTWARE.RWH_IFRS9_R04A0420 (FECHA, PERIODO,CONCEPTO, SUBREPORTE, MONEDA, TIPO_SALDO, DATO) VALUES ('2021-10-31','2021-10-31','111801106050','0420','15','1','0')</v>
      </c>
    </row>
    <row r="277" spans="18:25">
      <c r="R277" s="34" t="str">
        <f t="shared" si="30"/>
        <v>2021-10-31</v>
      </c>
      <c r="S277" s="19" t="s">
        <v>276</v>
      </c>
      <c r="T277" s="19" t="s">
        <v>206</v>
      </c>
      <c r="U277" s="20">
        <v>15</v>
      </c>
      <c r="V277" s="18">
        <v>1</v>
      </c>
      <c r="W277" s="35">
        <f t="shared" ref="W277:W279" si="31">L70</f>
        <v>0</v>
      </c>
      <c r="Y277" t="str">
        <f t="shared" si="29"/>
        <v>INSERT INTO REPORTWARE.RWH_IFRS9_R04A0420 (FECHA, PERIODO,CONCEPTO, SUBREPORTE, MONEDA, TIPO_SALDO, DATO) VALUES ('2021-10-31','2021-10-31','111801106051','0420','15','1','0')</v>
      </c>
    </row>
    <row r="278" spans="18:25">
      <c r="R278" s="34" t="str">
        <f t="shared" si="30"/>
        <v>2021-10-31</v>
      </c>
      <c r="S278" s="19" t="s">
        <v>277</v>
      </c>
      <c r="T278" s="19" t="s">
        <v>206</v>
      </c>
      <c r="U278" s="20">
        <v>15</v>
      </c>
      <c r="V278" s="18">
        <v>1</v>
      </c>
      <c r="W278" s="35">
        <f t="shared" si="31"/>
        <v>0</v>
      </c>
      <c r="Y278" t="str">
        <f t="shared" si="29"/>
        <v>INSERT INTO REPORTWARE.RWH_IFRS9_R04A0420 (FECHA, PERIODO,CONCEPTO, SUBREPORTE, MONEDA, TIPO_SALDO, DATO) VALUES ('2021-10-31','2021-10-31','111800405012','0420','15','1','0')</v>
      </c>
    </row>
    <row r="279" spans="18:25">
      <c r="R279" s="34" t="str">
        <f t="shared" si="30"/>
        <v>2021-10-31</v>
      </c>
      <c r="S279" s="19" t="s">
        <v>278</v>
      </c>
      <c r="T279" s="19" t="s">
        <v>206</v>
      </c>
      <c r="U279" s="20">
        <v>15</v>
      </c>
      <c r="V279" s="18">
        <v>1</v>
      </c>
      <c r="W279" s="35">
        <f t="shared" si="31"/>
        <v>0</v>
      </c>
      <c r="Y279" t="str">
        <f t="shared" si="29"/>
        <v>INSERT INTO REPORTWARE.RWH_IFRS9_R04A0420 (FECHA, PERIODO,CONCEPTO, SUBREPORTE, MONEDA, TIPO_SALDO, DATO) VALUES ('2021-10-31','2021-10-31','111800405013','0420','15','1','0')</v>
      </c>
    </row>
  </sheetData>
  <autoFilter ref="A1:P72" xr:uid="{BCD1BD8A-56FF-4116-BA76-3A090566648B}"/>
  <mergeCells count="63">
    <mergeCell ref="H7:K7"/>
    <mergeCell ref="I8:K8"/>
    <mergeCell ref="I9:K9"/>
    <mergeCell ref="I12:K12"/>
    <mergeCell ref="H20:K20"/>
    <mergeCell ref="H23:K23"/>
    <mergeCell ref="I24:K24"/>
    <mergeCell ref="I13:K13"/>
    <mergeCell ref="H14:K14"/>
    <mergeCell ref="H17:K17"/>
    <mergeCell ref="H18:K18"/>
    <mergeCell ref="I36:K36"/>
    <mergeCell ref="I25:K25"/>
    <mergeCell ref="I26:K26"/>
    <mergeCell ref="H27:K27"/>
    <mergeCell ref="I28:K28"/>
    <mergeCell ref="I29:K29"/>
    <mergeCell ref="I30:K30"/>
    <mergeCell ref="I34:K34"/>
    <mergeCell ref="I35:K35"/>
    <mergeCell ref="G31:K31"/>
    <mergeCell ref="H32:K32"/>
    <mergeCell ref="H33:K33"/>
    <mergeCell ref="I37:K37"/>
    <mergeCell ref="I38:K38"/>
    <mergeCell ref="I40:K40"/>
    <mergeCell ref="I42:K42"/>
    <mergeCell ref="H39:K39"/>
    <mergeCell ref="I41:K41"/>
    <mergeCell ref="F49:K49"/>
    <mergeCell ref="I43:K43"/>
    <mergeCell ref="I45:K45"/>
    <mergeCell ref="H44:K44"/>
    <mergeCell ref="I46:K46"/>
    <mergeCell ref="I47:K47"/>
    <mergeCell ref="I48:K48"/>
    <mergeCell ref="G60:K60"/>
    <mergeCell ref="G50:K50"/>
    <mergeCell ref="G51:K51"/>
    <mergeCell ref="G52:K52"/>
    <mergeCell ref="G53:K53"/>
    <mergeCell ref="G54:K54"/>
    <mergeCell ref="G56:K56"/>
    <mergeCell ref="G57:K57"/>
    <mergeCell ref="G55:K55"/>
    <mergeCell ref="F58:K58"/>
    <mergeCell ref="G59:K59"/>
    <mergeCell ref="E66:K66"/>
    <mergeCell ref="H62:K62"/>
    <mergeCell ref="H63:K63"/>
    <mergeCell ref="G64:K64"/>
    <mergeCell ref="E3:K3"/>
    <mergeCell ref="E4:K4"/>
    <mergeCell ref="F5:K5"/>
    <mergeCell ref="G6:K6"/>
    <mergeCell ref="H10:K10"/>
    <mergeCell ref="I11:K11"/>
    <mergeCell ref="I15:K15"/>
    <mergeCell ref="I16:K16"/>
    <mergeCell ref="H19:K19"/>
    <mergeCell ref="H21:K21"/>
    <mergeCell ref="G22:K22"/>
    <mergeCell ref="G61:K61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9FC97A2-FF1A-4760-A623-4F4C1168A3E4}"/>
</file>

<file path=customXml/itemProps2.xml><?xml version="1.0" encoding="utf-8"?>
<ds:datastoreItem xmlns:ds="http://schemas.openxmlformats.org/officeDocument/2006/customXml" ds:itemID="{A345C946-F399-4470-9C16-D52794504E92}"/>
</file>

<file path=customXml/itemProps3.xml><?xml version="1.0" encoding="utf-8"?>
<ds:datastoreItem xmlns:ds="http://schemas.openxmlformats.org/officeDocument/2006/customXml" ds:itemID="{9FB659FC-BE12-4BC5-A919-FFBBC2D8D2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BAJAWARE_CDMX</dc:creator>
  <cp:keywords/>
  <dc:description/>
  <cp:lastModifiedBy>Luis Alberto Rodríguez Uriarte</cp:lastModifiedBy>
  <cp:revision/>
  <dcterms:created xsi:type="dcterms:W3CDTF">2021-11-19T05:43:26Z</dcterms:created>
  <dcterms:modified xsi:type="dcterms:W3CDTF">2024-12-09T16:35:32Z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