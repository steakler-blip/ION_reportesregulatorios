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C:\Users\edgar.rojas\Documents\1408\formatos PMO\planes de trabajo\Bajaware\Layouts Bw confidencial\Layouts\CARTERA\"/>
    </mc:Choice>
  </mc:AlternateContent>
  <xr:revisionPtr revIDLastSave="0" documentId="13_ncr:1_{16345231-4AC0-4995-B36B-90B3A62FE94B}" xr6:coauthVersionLast="47" xr6:coauthVersionMax="47" xr10:uidLastSave="{00000000-0000-0000-0000-000000000000}"/>
  <bookViews>
    <workbookView xWindow="1200" yWindow="60" windowWidth="15420" windowHeight="16512" xr2:uid="{C5580BA8-CD7A-6043-B5C3-6EC920303A22}"/>
  </bookViews>
  <sheets>
    <sheet name="CONSUMO" sheetId="1" r:id="rId1"/>
    <sheet name="GARANTIA CONSUMO" sheetId="3" r:id="rId2"/>
    <sheet name="REL CONSUMO GARANTIA" sheetId="4" r:id="rId3"/>
    <sheet name="PagosExigibles" sheetId="2" r:id="rId4"/>
    <sheet name="Califica_CNR" sheetId="5" r:id="rId5"/>
    <sheet name="Califica_Microcreditos" sheetId="6" r:id="rId6"/>
    <sheet name="AclaracionesCNR" sheetId="7" r:id="rId7"/>
    <sheet name="AclaracionesCR" sheetId="8" r:id="rId8"/>
    <sheet name="ALTAS_CAT_CR" sheetId="9" r:id="rId9"/>
  </sheets>
  <definedNames>
    <definedName name="_xlnm._FilterDatabase" localSheetId="0" hidden="1">CONSUMO!$S$9:$X$129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4" l="1"/>
  <c r="V11" i="4"/>
  <c r="V10" i="4"/>
  <c r="V28" i="3"/>
  <c r="V27" i="3"/>
  <c r="V26" i="3"/>
  <c r="V25" i="3"/>
  <c r="V24" i="3"/>
  <c r="V23" i="3"/>
  <c r="V22" i="3"/>
  <c r="V21" i="3"/>
  <c r="V20" i="3"/>
  <c r="V19" i="3"/>
  <c r="V18" i="3"/>
  <c r="V17" i="3"/>
  <c r="V16" i="3"/>
  <c r="V15" i="3"/>
  <c r="V14" i="3"/>
  <c r="V13" i="3"/>
  <c r="V12" i="3"/>
  <c r="V11" i="3"/>
  <c r="V10" i="3"/>
  <c r="A170" i="1"/>
  <c r="A171" i="1" s="1"/>
  <c r="A172" i="1" s="1"/>
  <c r="A173" i="1" s="1"/>
  <c r="A174" i="1" s="1"/>
  <c r="A175" i="1" s="1"/>
  <c r="A176" i="1" s="1"/>
  <c r="A177" i="1" s="1"/>
  <c r="A178" i="1" s="1"/>
  <c r="A179" i="1" s="1"/>
  <c r="A180" i="1" s="1"/>
  <c r="A181" i="1" s="1"/>
</calcChain>
</file>

<file path=xl/sharedStrings.xml><?xml version="1.0" encoding="utf-8"?>
<sst xmlns="http://schemas.openxmlformats.org/spreadsheetml/2006/main" count="2617" uniqueCount="1007">
  <si>
    <t>Nombre Archivo</t>
  </si>
  <si>
    <t>Consumo.txt</t>
  </si>
  <si>
    <t>Descripcion</t>
  </si>
  <si>
    <t>Layout principal de informacion cartera CNR y CR</t>
  </si>
  <si>
    <t>Uso</t>
  </si>
  <si>
    <t>Calificacion. Reportes Regulatorios. Cedula Calificacion</t>
  </si>
  <si>
    <t>Metodologia</t>
  </si>
  <si>
    <t>Consumo CNR y CR</t>
  </si>
  <si>
    <t>CONSUMO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</si>
  <si>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</si>
  <si>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</si>
  <si>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</si>
  <si>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</si>
  <si>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</si>
  <si>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</si>
  <si>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</si>
  <si>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</si>
  <si>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</si>
  <si>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</si>
  <si>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</si>
  <si>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</si>
  <si>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</si>
  <si>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</si>
  <si>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</si>
  <si>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Calificacion</t>
  </si>
  <si>
    <t>Reportes</t>
  </si>
  <si>
    <t>FUENTE</t>
  </si>
  <si>
    <t>TIPO DE USO</t>
  </si>
  <si>
    <t>LAYOUT ANTERIOR</t>
  </si>
  <si>
    <t>NUMERO DE CAMPO</t>
  </si>
  <si>
    <t>NOMBRE DE CAMPO</t>
  </si>
  <si>
    <t>No</t>
  </si>
  <si>
    <t>ID_PERSONA</t>
  </si>
  <si>
    <t>TEXTO</t>
  </si>
  <si>
    <t>18</t>
  </si>
  <si>
    <t>Si</t>
  </si>
  <si>
    <t>CR / AUTO / N / P / O / A / M</t>
  </si>
  <si>
    <t>2 / 3 / 3 / 3 / 3 / 3 / 3</t>
  </si>
  <si>
    <t>Codigo Unico del Cliente, Garante o Aval</t>
  </si>
  <si>
    <t>Unique Code of customer, Guarantor or Endorsement</t>
  </si>
  <si>
    <t/>
  </si>
  <si>
    <t>CALIFICACION</t>
  </si>
  <si>
    <t>Consumo</t>
  </si>
  <si>
    <t>CodigoCliente</t>
  </si>
  <si>
    <t>ClienteCodificado</t>
  </si>
  <si>
    <t>ID_CREDITO</t>
  </si>
  <si>
    <t>NO DUPLICADO</t>
  </si>
  <si>
    <t>1 / 2 / 2 / 2 / 2 / 2 / 2</t>
  </si>
  <si>
    <t>Codigo Unico del Crédito</t>
  </si>
  <si>
    <t>Unique Loan code</t>
  </si>
  <si>
    <t>REPORTES</t>
  </si>
  <si>
    <t>CodigoCredito</t>
  </si>
  <si>
    <t>CreditoCodificado</t>
  </si>
  <si>
    <t>PRODUCTO</t>
  </si>
  <si>
    <t>15</t>
  </si>
  <si>
    <t>3 / 1 / 1 / 1 / 1 / 1 / 1</t>
  </si>
  <si>
    <t>Clave unica e irrepetible para identificar el producto - credito.</t>
  </si>
  <si>
    <t>Unique code to identify the loan product</t>
  </si>
  <si>
    <t>Producto</t>
  </si>
  <si>
    <t>FECHAALTA</t>
  </si>
  <si>
    <t>FECHA</t>
  </si>
  <si>
    <t>AAAA/MM/DD</t>
  </si>
  <si>
    <t>4 / 6 / 6 / 6 / 6 / 6 / 7</t>
  </si>
  <si>
    <t>Fecha en la que se dio de alta el credito de consumo (Fecha Originación)</t>
  </si>
  <si>
    <t>Opening date of the retail loan</t>
  </si>
  <si>
    <t>FechaAlta</t>
  </si>
  <si>
    <t>FECHADISPREEST</t>
  </si>
  <si>
    <t>5 / 7 / 7 / 7 / 7 / 7 / 8</t>
  </si>
  <si>
    <t>Fecha de la Última Disposición o Reestructura del Crédito</t>
  </si>
  <si>
    <t>Draw down date or if applicable resructuring date</t>
  </si>
  <si>
    <t>FechaDisposicion</t>
  </si>
  <si>
    <t>FECHAFINREEST</t>
  </si>
  <si>
    <t>6 / 9 / 9 / 9 / 9 / 9 / 10</t>
  </si>
  <si>
    <t>Fecha en que, conforme a las condiciones pactadas originalmente, programa, facilidad o en la reestructura, según sea el caso, teóricamente terminará el crédito de que se trate</t>
  </si>
  <si>
    <t>Maturity date</t>
  </si>
  <si>
    <t>FECHAVENCIMIENTO</t>
  </si>
  <si>
    <t xml:space="preserve"> / AUTO / N / P / O / A / M</t>
  </si>
  <si>
    <t xml:space="preserve"> / 8 / 8 / 8 / 8 / 8 / 9</t>
  </si>
  <si>
    <t>Fecha en que, conforme a las condiciones pactadas teóricamente terminará el crédito de que se trate</t>
  </si>
  <si>
    <t>FechaVencimiento</t>
  </si>
  <si>
    <t>EDO_CTA_PAPEL</t>
  </si>
  <si>
    <t>NUMERICO</t>
  </si>
  <si>
    <t>1,0</t>
  </si>
  <si>
    <t>Catalogo</t>
  </si>
  <si>
    <t>EstadoCuentaPapel</t>
  </si>
  <si>
    <t>7 / 10 / 10 / 10 / 10 / 10 / 11</t>
  </si>
  <si>
    <t>Indicador de Estado de cuenta en papel</t>
  </si>
  <si>
    <t>Paperless Account statement</t>
  </si>
  <si>
    <t>TIPOREESTRUCTURA</t>
  </si>
  <si>
    <t>3,0</t>
  </si>
  <si>
    <t>ReestructuraConsumo</t>
  </si>
  <si>
    <t>9 / 5 / 5 / 5 / 5 / 5 / 5</t>
  </si>
  <si>
    <t>Se debe reportar el valor asociado al Tipo de Reestructura,Programa o Facilidad</t>
  </si>
  <si>
    <t>This field should receive the catalog value according to the reestructure, program or facility</t>
  </si>
  <si>
    <t>TipoReestructura</t>
  </si>
  <si>
    <t>CAPII</t>
  </si>
  <si>
    <t>EsMicrocreditoInd</t>
  </si>
  <si>
    <t xml:space="preserve"> /  /  /  /  /  / M</t>
  </si>
  <si>
    <t xml:space="preserve"> /  /  /  /  /  / 6</t>
  </si>
  <si>
    <t>1 si el crédito pertenece a la Cartera Crediticia de Microcrédito Individual.
0 en cualquier otro caso.</t>
  </si>
  <si>
    <t>if the loan belongs to individual microcredit portfolio</t>
  </si>
  <si>
    <t>NUMDISPOSICIONES</t>
  </si>
  <si>
    <t xml:space="preserve"> /  / N / P / O /  / M</t>
  </si>
  <si>
    <t xml:space="preserve"> /  / 11 / 11 / 11 /  / 0</t>
  </si>
  <si>
    <t>Número de disposiciones del crédito.</t>
  </si>
  <si>
    <t>Number of drawdowns of the loan</t>
  </si>
  <si>
    <t>PERIODICIDADFACTURACION</t>
  </si>
  <si>
    <t>2,0</t>
  </si>
  <si>
    <t>PeriodicidadFacturacion</t>
  </si>
  <si>
    <t xml:space="preserve"> / 11 / 12 / 12 / 12 / 11 / 12</t>
  </si>
  <si>
    <t>Escala de los Períodos de Facturación del Crédito</t>
  </si>
  <si>
    <t>Invoice term Scale</t>
  </si>
  <si>
    <t>PLAZOTOTAL</t>
  </si>
  <si>
    <t>5,2</t>
  </si>
  <si>
    <t xml:space="preserve"> / 12 / 13 / 13 / 13 / 12 / 13</t>
  </si>
  <si>
    <t>Plazo total del crédito en meses</t>
  </si>
  <si>
    <t>Term of the loan in months</t>
  </si>
  <si>
    <t>PlazoTotal</t>
  </si>
  <si>
    <t>PLAZOREMANENTE</t>
  </si>
  <si>
    <t>8,5</t>
  </si>
  <si>
    <t>57 / 13 / 14 / 14 / 14 / 13 / 14</t>
  </si>
  <si>
    <t xml:space="preserve">Número de períodos de facturación expresado en días (decenales o catorcenales o quincenales), que aún faltan para la Fecha Teórica de Vencimiento, posteriores a la fecha de corte del período que se está reportando. Sin perjuicio de lo anterior, en el caso de créditos cuya Fecha Teórica de Vencimiento hubiera pasado sin que el acreditado realizara la liquidación correspondiente, el plazo remanente que se utilice para determinar las reservas deberá ser igual al Plazo Total del crédito. Este campo aplica a todos los créditos: en todos los casos como información estadística, y tratándose de los créditos que tienen Período de Facturación decenal, catorcenal o quincenal también se utiliza para determinar la variable %PR (campo 25) </t>
  </si>
  <si>
    <t>Number of invoice terms remaining expressed in days (weekly, monthly, etc)</t>
  </si>
  <si>
    <t>PlazoRemanente</t>
  </si>
  <si>
    <t>IMPORTEORIGINAL</t>
  </si>
  <si>
    <t>10,2</t>
  </si>
  <si>
    <t xml:space="preserve"> / 14 / 15 / 15 / 15 / 14 / 0</t>
  </si>
  <si>
    <t>Incluye el importe del principal y cualquier partida cuyo pago haya sido objeto de financiamiento con el propio crédito  al inicio de éste</t>
  </si>
  <si>
    <t>Initial amount of principal and accesories that were dibursed at the begining of the loan</t>
  </si>
  <si>
    <t>ImporteOriginal</t>
  </si>
  <si>
    <t>VALORORIGINAL</t>
  </si>
  <si>
    <t xml:space="preserve"> / AUTO /  /  / O / A / M</t>
  </si>
  <si>
    <t xml:space="preserve"> / 15 /  /  / 16 / 15 / 0</t>
  </si>
  <si>
    <t>Se debe reportar el valor original del Bien financiado con el crédito de que se trate, el Valor Original del Bien debe corresponder al precio con pago al contado del bien de que se trate.En el caso de este tipo de créditos respecto de los cuales no se tenga el Valor Original del Bien y éstos se hayan otorgado antes del 1 de marzo de 2011, se debe reportar el Importe Original del Crédito, el cuál se considerará como Valor Original del Bien</t>
  </si>
  <si>
    <t>The value to be reported is the original asset value, that corresponds to the full amount of the asset</t>
  </si>
  <si>
    <t>ValorOriginal</t>
  </si>
  <si>
    <t>TASAINTERES</t>
  </si>
  <si>
    <t>12 / 16 / 16 / 16 / 17 / 16 / 15</t>
  </si>
  <si>
    <t xml:space="preserve">En créditos a tasa fija se debe informar la tasa de interés anual ordinaria asignada al crédito, y tratándose de créditos contratados a tasa ajustable se debe informar la tasa de interés anual ordinaria aplicable al período cuyo corte se está reportando   </t>
  </si>
  <si>
    <t>On fixed rate loans the contractual rate must be reported, on variable rate loans the rate to be populated in this field corresponds to the one applicable to the specific term that is being reported</t>
  </si>
  <si>
    <t>TasaInteres</t>
  </si>
  <si>
    <t>MECANISMOPAGO</t>
  </si>
  <si>
    <t>FormaPagoConsumo</t>
  </si>
  <si>
    <t xml:space="preserve"> / 17 / 17 / 17 / 18 / 17 / 16</t>
  </si>
  <si>
    <t>Se debe reportar, respecto del mecanismo de pago del crédito de que se trate.</t>
  </si>
  <si>
    <t>Payment mechanism</t>
  </si>
  <si>
    <t>MecanismoPago</t>
  </si>
  <si>
    <t>MEDIOADQUISICION</t>
  </si>
  <si>
    <t>Medioadquisicion</t>
  </si>
  <si>
    <t>10 / 18 / 18 / 18 / 19 / 18 / 17</t>
  </si>
  <si>
    <t>Medio de adquisición del crédito</t>
  </si>
  <si>
    <t>Channel of loan adquisition</t>
  </si>
  <si>
    <t>QUITASCONDONACIONES</t>
  </si>
  <si>
    <t>11,2</t>
  </si>
  <si>
    <t>11 / 33 / 33 / 33 / 34 / 33 / 32</t>
  </si>
  <si>
    <t>Se debe reportar el importe  (en unidades de la moneda del crédito) de la suma de las quitas y condonaciones concedidos respecto del crédito durante el mes de que se trate y el inmediato anterior. Para el caso de quitas y condonaciones de créditos que se reestructuran, deben reportarse en la Parte II (reestructuras).</t>
  </si>
  <si>
    <t>amount of discounts to loan from writeoffs, or forgiveness of outstanding balance</t>
  </si>
  <si>
    <t>QuitasCondonaciones</t>
  </si>
  <si>
    <t>QUITASCONDONACIONES
BONIFICACIONESDESCUENTOS</t>
  </si>
  <si>
    <t>BONIFICACIONESDESCUENTOS</t>
  </si>
  <si>
    <t>Se debe reportar el importe  (en unidades de la moneda del crédito) de la suma de las  bonificaciones y descuentos concedidos respecto del crédito durante el mes de que se trate y el inmediato anterior. Para el caso de bonificaciones y descuentos de créditos que se reestructuran, deben reportarse en la Parte II (reestructuras).</t>
  </si>
  <si>
    <t>Amount of all premium of dicounts granted to the customer</t>
  </si>
  <si>
    <t>BonificacionesDescuentos</t>
  </si>
  <si>
    <t>SALDOCAPITALVIGENTE</t>
  </si>
  <si>
    <t>20 / 20 / 20 / 20 / 21 / 20 / 19</t>
  </si>
  <si>
    <t>Saldo Capital Vigente</t>
  </si>
  <si>
    <t>Performing Principal</t>
  </si>
  <si>
    <t>SALDOINTERESVIGENTE</t>
  </si>
  <si>
    <t>Saldo Interes Vigente</t>
  </si>
  <si>
    <t>Performing Interest</t>
  </si>
  <si>
    <t>SALDOCAPITALVENCIDO</t>
  </si>
  <si>
    <t>Saldo Capital Vencido</t>
  </si>
  <si>
    <t>Non Performing Principal</t>
  </si>
  <si>
    <t>SALDOINTERESVENCIDO</t>
  </si>
  <si>
    <t>Saldo Interes Vencido</t>
  </si>
  <si>
    <t>Non Performing Interest</t>
  </si>
  <si>
    <t>SaldoCapitalVigente</t>
  </si>
  <si>
    <t>INTERESCARTERAVENCIDA</t>
  </si>
  <si>
    <t>Interes de Cartera Vencida. Estos intereses se usan para conceptos en los reportes de la serie R04A</t>
  </si>
  <si>
    <t>Non performing interest accrual in Off Balance accounts</t>
  </si>
  <si>
    <t>SaldoInteresVigente</t>
  </si>
  <si>
    <t>LIMITECREDITO</t>
  </si>
  <si>
    <t>9,0</t>
  </si>
  <si>
    <t xml:space="preserve">CR /  /  /  /  /  / </t>
  </si>
  <si>
    <t xml:space="preserve">13 /  /  /  /  /  / </t>
  </si>
  <si>
    <t>Límite máximo autorizado de la línea de crédito a la fecha de inicio del Periodo de Pago.</t>
  </si>
  <si>
    <t>Max authorized amount of the credit line</t>
  </si>
  <si>
    <t>SaldoCapitalVencido</t>
  </si>
  <si>
    <t>LIMCREDITOFC</t>
  </si>
  <si>
    <t xml:space="preserve">14 /  /  /  /  /  / </t>
  </si>
  <si>
    <t>Límite de crédito a la fecha de corte</t>
  </si>
  <si>
    <t>Credit limit at cut off date</t>
  </si>
  <si>
    <t>SaldoInteresVencido</t>
  </si>
  <si>
    <t>LIMCREDITOCALIF</t>
  </si>
  <si>
    <t xml:space="preserve">15 /  /  /  /  /  / </t>
  </si>
  <si>
    <t>Límite de crédito a la fecha del cálculo de reservas,  conforme a la CUB Art. 92.</t>
  </si>
  <si>
    <t>Credit limit at reserve calculation date</t>
  </si>
  <si>
    <t>InteresCarteraVencida</t>
  </si>
  <si>
    <t>FECHACORTE</t>
  </si>
  <si>
    <t xml:space="preserve"> / 19 / 19 / 19 / 20 / 19 / 18</t>
  </si>
  <si>
    <t>Fecha a que corresponde la información del crédito de que se trate.</t>
  </si>
  <si>
    <t>Cut off date of the information</t>
  </si>
  <si>
    <t>LimiteCredito</t>
  </si>
  <si>
    <t>MONTOEXIGIBLE</t>
  </si>
  <si>
    <t xml:space="preserve"> / 21 / 21 / 21 / 22 / 21 / 20</t>
  </si>
  <si>
    <t xml:space="preserve">Monto que le corresponde cubrir al acreditado en el Período de Facturación de que se trate. Para los créditos el Monto Exigible debe considerar tanto el importe correspondiente al período de que se trate como, en sus caso,  los importes exigibles no pagados anteriores a la fecha de corte del propio período de que se trate. Tratándose de créditos con pago al vencimiento tanto del capital como de los intereses se debe reportar, en su caso, el importe total del adeudo a la fecha de corte (no pagado en la correspondiente fecha de vencimiento) </t>
  </si>
  <si>
    <t>Exigible amount of the loan at the cut off term</t>
  </si>
  <si>
    <t>limcredito</t>
  </si>
  <si>
    <t>MONTOEXIGIBLECAP</t>
  </si>
  <si>
    <t xml:space="preserve"> / 22 / 22 / 22 / 23 / 22 / 21</t>
  </si>
  <si>
    <t xml:space="preserve">El Monto Exigible por pago de capital que el acreditado debe cubrir en el Periodo de Facturación, el cual deberá considerar tanto el importe correspondiente a la facturación, así como los importes exigibles anteriores no pagados, si los hubiera. </t>
  </si>
  <si>
    <t>limcreditocalif</t>
  </si>
  <si>
    <t>MONTOEXIGIBLEINT</t>
  </si>
  <si>
    <t xml:space="preserve"> / 23 / 23 / 23 / 24 / 23 / 22</t>
  </si>
  <si>
    <t xml:space="preserve">El Monto Exigible por pago de intereses que el acreditado debe cubrir en el Periodo de Facturación, el cual deberá considerar tanto el importe correspondiente a la facturación, así como los importes exigibles anteriores no pagados, si los hubiera. </t>
  </si>
  <si>
    <t>FechaCorte</t>
  </si>
  <si>
    <t>MONTOEXIGIBLECOM</t>
  </si>
  <si>
    <t xml:space="preserve"> / 24 / 24 / 24 / 25 / 24 / 23</t>
  </si>
  <si>
    <t xml:space="preserve">El Monto Exigible por pago de comisiones que el acreditado debe cubrir en el Periodo de Facturación, el cual deberá considerar tanto el importe correspondiente a la facturación, así como los importes exigibles anteriores no pagados, si los hubiera. </t>
  </si>
  <si>
    <t>MontoExigible</t>
  </si>
  <si>
    <t>MONTOEXIGIBLEFALTAPAG</t>
  </si>
  <si>
    <t xml:space="preserve"> / 25 / 25 / 25 / 26 / 25 / 24</t>
  </si>
  <si>
    <t>El Monto Exigible por pago de comisiones por pago tardío, gastos de cobranza y  falta de pago que el acreditado debe cubrir en el Periodo de Facturación, el cual deberá considerar tanto el importe correspondiente a la facturación, así como los importes exigibles anteriores no pagados, si los hubiera.</t>
  </si>
  <si>
    <t>MONTOEXIGIBLEIVAOTROS</t>
  </si>
  <si>
    <t xml:space="preserve"> / 26 / 26 / 26 / 27 / 26 / 25</t>
  </si>
  <si>
    <t>El Monto Exigible por pago del impuesto al valor agregado (IVA) que el acreditado debe cubrir en el Periodo de Facturación, el cual deberá considerar tanto el importe correspondiente a la facturación, así como los importes exigibles anteriores no pagados, si los hubiera.</t>
  </si>
  <si>
    <t>PAGOREALIZADO</t>
  </si>
  <si>
    <t>36 / 27 / 27 / 27 / 28 / 27 / 26</t>
  </si>
  <si>
    <t>Suma de los Pagos Realizados por el acreditado en el período cuyo corte se está reportando (independientemente del período a que correspondan los pagos). No se consideran como pagos, a los castigos, quitas y condonaciones, bonificaciones y descuentos que se efectúen al crédito</t>
  </si>
  <si>
    <t>Sum of the payments done by the customer in the period reported</t>
  </si>
  <si>
    <t>PAGOREALIZADOCAP</t>
  </si>
  <si>
    <t>37 / 28 / 28 / 28 / 29 / 28 / 27</t>
  </si>
  <si>
    <t>Monto correspondiente a la suma de los pagos realizados por el acreditado en el Periodo de Facturación por concepto de capital. No se consideran pagos a los castigos, quitas, condonaciones, bonificaciones y descuentos que se efectúen al crédito.</t>
  </si>
  <si>
    <t>PAGOREALIZADOINT</t>
  </si>
  <si>
    <t>38 / 29 / 29 / 29 / 30 / 29 / 28</t>
  </si>
  <si>
    <t xml:space="preserve">Monto correspondiente a la suma de los pagos realizados por el acreditado en el Periodo de Facturación por concepto de intereses. </t>
  </si>
  <si>
    <t>PAGOREALIZADOCOM</t>
  </si>
  <si>
    <t>39 / 30 / 30 / 30 / 31 / 30 / 29</t>
  </si>
  <si>
    <t xml:space="preserve">Monto correspondiente a la suma de los pagos realizados por el acreditado en el Periodo de Facturación por concepto de comisiones. </t>
  </si>
  <si>
    <t>PagoRealizado</t>
  </si>
  <si>
    <t>PAGOREALIZADOFALTAPAG</t>
  </si>
  <si>
    <t>40 / 31 / 31 / 31 / 32 / 31 / 30</t>
  </si>
  <si>
    <t xml:space="preserve">Monto correspondiente a la suma de los pagos realizados por el acreditado en el Periodo de Facturación por concepto de comisiones por pago tardío, gastos de cobranza y falta de pago. </t>
  </si>
  <si>
    <t>PAGOREALIZADOIVAOTR</t>
  </si>
  <si>
    <t>41 / 32 / 32 / 32 / 33 / 32 / 31</t>
  </si>
  <si>
    <t xml:space="preserve">Monto correspondiente a la suma de los pagos realizados por el acreditado en el Periodo de Facturación por concepto de pago de impuesto al valor agregado (IVA). </t>
  </si>
  <si>
    <t>PAGOEXIGIBLE_INI</t>
  </si>
  <si>
    <t xml:space="preserve">31 /  /  /  /  /  / </t>
  </si>
  <si>
    <t>Pago Mínimo al inicio del Período (conforme a la CUB Art. 92</t>
  </si>
  <si>
    <t>Minimum payment requested at cut off date</t>
  </si>
  <si>
    <t>CODIGOCREDITOREESTRUCTURADO</t>
  </si>
  <si>
    <t>REESTRUCTURAS</t>
  </si>
  <si>
    <t>En caso de que el credito sea reestructurado se debera anotar el codigo del credito original</t>
  </si>
  <si>
    <t>If the loan is reestructured, this field should report original Credit Id reported prior to reestrcuture</t>
  </si>
  <si>
    <t>SALDOREV</t>
  </si>
  <si>
    <t xml:space="preserve">24 /  /  /  /  /  / </t>
  </si>
  <si>
    <t>IMPORTE PROMEDIO DE LA LÍNEA REVOLVENTE.- Importe promedio mensual de saldos diarios de la Parte del Crédito Con Intereses relativa a la "Línea Revolvente". Incluye exclusivamente el importe promedio de la parte del crédito relativa a la "Línea Revolvente". Por lo tanto, NO incluye promociones con intereses (plan de pagos, consumos y disposiciones; con tasa y plazo fijos) ni Promociones con inicio diferido de causa de intereses (en tanto éstas estén en el período de diferimiento) ni Promociones sin intereses ni cualquier otra Promoción que en el período cuyo corte se está reportando implique no causa de intereses.</t>
  </si>
  <si>
    <t>Average amount of the revolving credit line</t>
  </si>
  <si>
    <t>SALDOPMSI</t>
  </si>
  <si>
    <t xml:space="preserve">25 /  /  /  /  /  / </t>
  </si>
  <si>
    <t xml:space="preserve">IMPORTE PROMEDIO PROMOCIONES SIN INTERESES.- Importe promedio mensual de saldos diarios de la Parte del Crédito Sin Intereses. Incluye exclusivamente el importe promedio de la parte de la línea relativa a Promociones sin Intereses, a Promociones con inicio diferido de causa de intereses (en tanto estén en el período de diferimiento) y a cualquier otra Promoción que en el período cuyo corte se está reportando implique no causa de intereses. </t>
  </si>
  <si>
    <t>Average amount of the monthly non interest payment promotions</t>
  </si>
  <si>
    <t>PagoExigible</t>
  </si>
  <si>
    <t>SALDOPCI</t>
  </si>
  <si>
    <t xml:space="preserve">26 /  /  /  /  /  / </t>
  </si>
  <si>
    <t xml:space="preserve">IMPORTE PROMEDIO PROMOCIONES CON INTERES.- Importe promedio mensual de saldos diarios de la Parte del Crédito Con Intereses relativa a "Promociones con Intereses". Incluye exclusivamente el importe promedio de la parte del crédito relativa a "Promociones Con Intereses" (plan de pagos, consumos y disposiciones; con tasa y plazo fijos) que estén en su etapa de causación de intereses. Por lo tanto, NO incluye Promociones con inicio diferido de causa de intereses (en tanto éstas estén en el período de diferimiento) ni Promociones sin intereses ni cualquier otra Promoción que en el período cuyo corte se está reportando implique no causa de intereses ni la parte del crédito relativa a la "Línea Revolvente". </t>
  </si>
  <si>
    <t>Average amount of the monthly with interest payment promotions</t>
  </si>
  <si>
    <t>CodigoCreditoReestructurado</t>
  </si>
  <si>
    <t>INTERESREV</t>
  </si>
  <si>
    <t>8,2</t>
  </si>
  <si>
    <t xml:space="preserve">27 /  /  /  /  /  / </t>
  </si>
  <si>
    <t>Intereses Ordinarios de la "Linea Revolvente", a la fecha de corte,  sin IVA.</t>
  </si>
  <si>
    <t>Regular Interest of the Revolving line at cut off date</t>
  </si>
  <si>
    <t>saldorev</t>
  </si>
  <si>
    <t>INTERESPCI</t>
  </si>
  <si>
    <t xml:space="preserve">28 /  /  /  /  /  / </t>
  </si>
  <si>
    <t>Intereses Ordinarios de "Promociones con Intereses", a la fecha de corte,  sin IVA.</t>
  </si>
  <si>
    <t>Interest of promotions at deferred payment</t>
  </si>
  <si>
    <t>saldopmsi</t>
  </si>
  <si>
    <t>PAGOEXIGEPSI_INI</t>
  </si>
  <si>
    <t>9,2</t>
  </si>
  <si>
    <t xml:space="preserve">29 /  /  /  /  /  / </t>
  </si>
  <si>
    <t>Pago exigido de Promociones a meses sin intereses, al corte</t>
  </si>
  <si>
    <t>Payments requested of Non Interest Promotions at start date</t>
  </si>
  <si>
    <t>saldopci</t>
  </si>
  <si>
    <t>PAGOEXI_OTRO_INI</t>
  </si>
  <si>
    <t xml:space="preserve">30 /  /  /  /  /  / </t>
  </si>
  <si>
    <t>Pago exigido de cargos o promociones a meses con intereses al corte</t>
  </si>
  <si>
    <t>Payments requested of Non Interest other promotions at start date</t>
  </si>
  <si>
    <t>PAGONGI_INI</t>
  </si>
  <si>
    <t xml:space="preserve">32 /  /  /  /  /  / </t>
  </si>
  <si>
    <t>Pago para no generar intereses (PNGI), al inicio del periodo</t>
  </si>
  <si>
    <t>Payment for not creating interest at start date</t>
  </si>
  <si>
    <t>interespci</t>
  </si>
  <si>
    <t>PAGOMIN_CORTE</t>
  </si>
  <si>
    <t xml:space="preserve">33 /  /  /  /  /  / </t>
  </si>
  <si>
    <t>Pago Mínimo, al corte.</t>
  </si>
  <si>
    <t>Minimum payment at cut off date</t>
  </si>
  <si>
    <t>PAGONGI_CORTE</t>
  </si>
  <si>
    <t xml:space="preserve">34 /  /  /  /  /  / </t>
  </si>
  <si>
    <t>Pago para no generar intereses (PNGI) al corte.</t>
  </si>
  <si>
    <t>Payments for not Creating interest al cut off date</t>
  </si>
  <si>
    <t>PAGOREAL_PERANT</t>
  </si>
  <si>
    <t xml:space="preserve">35 /  /  /  /  /  / </t>
  </si>
  <si>
    <t>Pago realizado en el periodo inmediato anterior al que se reporta</t>
  </si>
  <si>
    <t>Peyment done by the customer in previous period</t>
  </si>
  <si>
    <t>pagonginicio</t>
  </si>
  <si>
    <t>INDGAR</t>
  </si>
  <si>
    <t>IndGarantia</t>
  </si>
  <si>
    <t>48 / 35 / 35 / 35 / 36 / 35 / 34</t>
  </si>
  <si>
    <t>Indicador de garantía</t>
  </si>
  <si>
    <t>Collateral Indicator</t>
  </si>
  <si>
    <t>CODIGOAGRUPACION</t>
  </si>
  <si>
    <t>10</t>
  </si>
  <si>
    <t xml:space="preserve"> /  /  /  /  /  / 36</t>
  </si>
  <si>
    <t>Clave que utilice la institución (única e irrepetible) para identificar al grupo de que se trate, la cual deberá ser la misma en los reportes de todos los períodos- mes (de preferencia una clave corta). SOLO PARA CREDITOS GRUPALES</t>
  </si>
  <si>
    <t>Only for grupal loans this field is used to link them together</t>
  </si>
  <si>
    <t>NUMEROINTEGRANTES</t>
  </si>
  <si>
    <t xml:space="preserve"> /  /  /  /  /  / 37</t>
  </si>
  <si>
    <t>Número de personas que integran el grupo al que pertenece el acreditado al momento de originación del crédito
De acuerdo al artículo 91 BIS 1 de la CUB.</t>
  </si>
  <si>
    <t>When the customer is part of a group the number of people that posses the group</t>
  </si>
  <si>
    <t>CICLOS</t>
  </si>
  <si>
    <t xml:space="preserve"> /  /  /  /  /  / 38</t>
  </si>
  <si>
    <t>Promedio de ciclos del grupo al que pertenece el acreditado; se estima como el promedio del número de créditos que se han otorgado a cada uno de los integrantes del grupo, reflejando la antigüedad del grupo.</t>
  </si>
  <si>
    <t>Average of cicles of the group where the customer belongs</t>
  </si>
  <si>
    <t>DIASATRASO</t>
  </si>
  <si>
    <t>4,0</t>
  </si>
  <si>
    <t xml:space="preserve"> / 38 / 37 / 38 / 39 / 37 / 40</t>
  </si>
  <si>
    <t xml:space="preserve">Número de días naturales de atraso a la fecha de corte del período de que se trate. Al efecto, se deben considerar los días transcurridos entre la fecha en que se debió haber cubierto el Monto Exigible no pagado más antiguo (el pago más atrasado a la fecha de corte del período que se está reportando) y dicha fecha de corte. Para calcular esta variable, en el caso de créditos reestructurados se debe considerar el historial de pagos del acreditado: el actual junto con el anterior a la reestructura; cuando ésta consolide diversos créditos, se deben considerar las variables relativas al crédito con mayor deterioro      </t>
  </si>
  <si>
    <t>Number of days that is past due if applicable</t>
  </si>
  <si>
    <t>ExigibleTeorico</t>
  </si>
  <si>
    <t>PORPAGO</t>
  </si>
  <si>
    <t xml:space="preserve"> / AUTO /  / P / O /  / M</t>
  </si>
  <si>
    <t xml:space="preserve"> / 37 /  / 37 / 38 /  / 39</t>
  </si>
  <si>
    <t>Promedio de porcentaje de pagos realizados (%PAGO)</t>
  </si>
  <si>
    <t>Average of payment percentage (%PAGO)</t>
  </si>
  <si>
    <t>INTERNOS</t>
  </si>
  <si>
    <t>CodigoAgrupacion</t>
  </si>
  <si>
    <t>ATR</t>
  </si>
  <si>
    <t xml:space="preserve"> / 39 / 38 / 39 / 40 / 38 / 41</t>
  </si>
  <si>
    <t>Atr caluculado con base a la historia del credito</t>
  </si>
  <si>
    <t>Past due indicator calculated from Institution information</t>
  </si>
  <si>
    <t>NumeroIntegrantes</t>
  </si>
  <si>
    <t>MAXATR</t>
  </si>
  <si>
    <t xml:space="preserve"> /  / N / P /  /  / M</t>
  </si>
  <si>
    <t xml:space="preserve"> /  / 39 / 40 /  /  / 42</t>
  </si>
  <si>
    <t>Máximo número de Atrasos (MAXATR Conforme a la CUB)</t>
  </si>
  <si>
    <t>Maximum number of past due indicators</t>
  </si>
  <si>
    <t>Ciclos</t>
  </si>
  <si>
    <t xml:space="preserve">MESES_DESDE_ULT_ATR_BK  </t>
  </si>
  <si>
    <t xml:space="preserve"> / 40 / 40 / 41 / 41 / 39 / 43</t>
  </si>
  <si>
    <t>Meses transcurridos desde el último atraso mayor a un día  registrado por el acreditado en sus compromisos crediticios registrados en la totalidad de las sociedades de información crediticia con Instituciones en los últimos trece meses, considerando el mes en el cual se califica el crédito.
Está variable tomará el valor de trece aun cuando un acreditado no hubiere registrado atrasos por más de trece meses.</t>
  </si>
  <si>
    <t>Months that have passed since the last past due reported by credit bureau</t>
  </si>
  <si>
    <t>DiasAtraso</t>
  </si>
  <si>
    <t>DELIP</t>
  </si>
  <si>
    <t>EsCobranzaDelegada</t>
  </si>
  <si>
    <t xml:space="preserve"> /  /  / P /  /  / </t>
  </si>
  <si>
    <t xml:space="preserve"> /  /  / 42 /  /  / </t>
  </si>
  <si>
    <t>1 Si se cuenta con un esquema de cobranza delegada
0 En cualquier otro caso.</t>
  </si>
  <si>
    <t>There is a delegated collection scheme or not</t>
  </si>
  <si>
    <t>CATCUENTA</t>
  </si>
  <si>
    <t>5,1</t>
  </si>
  <si>
    <t xml:space="preserve">42 /  /  /  /  /  / </t>
  </si>
  <si>
    <t>CAT contenido en el estado de cuenta, al corte.</t>
  </si>
  <si>
    <t>INDICADORCAT</t>
  </si>
  <si>
    <t>IndicadorCAT</t>
  </si>
  <si>
    <t xml:space="preserve">43 /  /  /  /  /  / </t>
  </si>
  <si>
    <t>Indicador de crédito para CAT de Publicidad y Propaganda</t>
  </si>
  <si>
    <t>TIPO_MET</t>
  </si>
  <si>
    <t>Metodologia_Reserva</t>
  </si>
  <si>
    <t>44 / 48 / 48 / 50 / 48 / 48 / 51</t>
  </si>
  <si>
    <t>Metodología Utilizada para el Cálculo de Reservas</t>
  </si>
  <si>
    <t xml:space="preserve">Meses_desde_ult_atr_bk  </t>
  </si>
  <si>
    <t>INDICADOR_SIC</t>
  </si>
  <si>
    <t>IndicadorConsSIC</t>
  </si>
  <si>
    <t>46 / 41 / 41 / 43 / 43 / 41 / 44</t>
  </si>
  <si>
    <t>Indicador de consulta SIC</t>
  </si>
  <si>
    <t>MESES_CONSULTA_SIC</t>
  </si>
  <si>
    <t>47 / 44 / 44 / 46 / 46 / 44 / 47</t>
  </si>
  <si>
    <t>Número de meses desde la última consulta al SIC</t>
  </si>
  <si>
    <t>ETAPADETERIORO</t>
  </si>
  <si>
    <t>Etapa</t>
  </si>
  <si>
    <t>8 / 60 / 4 / 4 / 4 / 4 / 4 / 4</t>
  </si>
  <si>
    <t>Etapa de Deterioro en la que se encuentra el crédito</t>
  </si>
  <si>
    <t>Stage bucket applicable according to IFRS9</t>
  </si>
  <si>
    <t>TASA_COBRADA</t>
  </si>
  <si>
    <t>62 / 51 / 51 / 53 / 51 / 51 / 53</t>
  </si>
  <si>
    <t>Tasa de Interés Anual cobrada al cliente, conforme a CUB Art. 92 II Bis. b)</t>
  </si>
  <si>
    <t>ESREVOLVENTE</t>
  </si>
  <si>
    <t>EsRevolvente</t>
  </si>
  <si>
    <t xml:space="preserve"> /  /  /  /  /  / </t>
  </si>
  <si>
    <t>1 = Revolvente, 0 = No Revolvente
Se usa para calificar el credito de forma Revolvente</t>
  </si>
  <si>
    <t>Flag to identify if loan is revolving or not</t>
  </si>
  <si>
    <t>ANTIGUEDADACREDITADO</t>
  </si>
  <si>
    <t>CR / AUTO / N / P /  / A / M</t>
  </si>
  <si>
    <t>54 / 46 / 46 / 49 /  / 47 / 50</t>
  </si>
  <si>
    <t>Número de meses enteros transcurridos desde la apertura del primer producto crediticio dentro de la Institución hasta la fecha de cálculo de reservas.</t>
  </si>
  <si>
    <t>Number of months since the loan was disbursed till the reporting date</t>
  </si>
  <si>
    <t>MONEDA</t>
  </si>
  <si>
    <t>MondedaConsumo</t>
  </si>
  <si>
    <t>Clave de la moneda en la que se otorgó el crédito</t>
  </si>
  <si>
    <t>Currency code</t>
  </si>
  <si>
    <t>EtapaDeterioro</t>
  </si>
  <si>
    <t>AFORO</t>
  </si>
  <si>
    <t xml:space="preserve"> / AUTO /  /  /  /  / M</t>
  </si>
  <si>
    <t xml:space="preserve"> / 73 /  /  /  /  / 0</t>
  </si>
  <si>
    <t>Importe del crédito sin incluir el monto del financiamiento destinado al pago de accesorios financieros (p.ej., primas de seguros y comisiones). Se define como el Valor Total del bien a crédito menos el enganche.</t>
  </si>
  <si>
    <t>Credit amount without accesories</t>
  </si>
  <si>
    <t>ENGANCHE</t>
  </si>
  <si>
    <t xml:space="preserve"> / 74 /  /  /  /  / 0</t>
  </si>
  <si>
    <t>Importe pagado por el acreditado a la Institución para obtener el crédito sin incluir accesorios financieros (p.ej., comisiones y primas de seguros).</t>
  </si>
  <si>
    <t>Initial payment for loan authorization</t>
  </si>
  <si>
    <t>VALORTOTALCREDITO</t>
  </si>
  <si>
    <t>20,2</t>
  </si>
  <si>
    <t xml:space="preserve"> / 75 /  /  /  /  / 0</t>
  </si>
  <si>
    <t>Valor total del bien, incluyendo todos sus aditamentos (p.ej., quemacocos, asientos de piel, localizadores satelitales, etc.), correspondiente al pago a crédito, incluyendo gastos e impuestos derivados de la compra del bien menos descuentos y bonificaciones y sin incluir accesorios financieros (como comisiones y primas de seguros).
Este monto será igual al Valor Original del Bien (campo 10) cuando no haya diferencia entre el precio de contado y el precio a crédito.</t>
  </si>
  <si>
    <t>Asset total value including accesories if applicable</t>
  </si>
  <si>
    <t>AntiguedadAcreditado</t>
  </si>
  <si>
    <t>CAT</t>
  </si>
  <si>
    <t xml:space="preserve"> / 76 / 73 / 75 / 73 / 73 / 75</t>
  </si>
  <si>
    <t>Costo anual total (CAT) calculado por la institución para cada uno de los créditos otorgados en el periodo conforme a la Circular 9/2015. El CAT reportado deberá ser el que la institución calcule para el crédito al momento de su apertura, considerando las particularidades de origen del financiamiento otorgado.</t>
  </si>
  <si>
    <t>Total Annual Cost</t>
  </si>
  <si>
    <t>Moneda</t>
  </si>
  <si>
    <t>EXIGIBLESINSEGUROSCOMISIONES</t>
  </si>
  <si>
    <t xml:space="preserve"> / 77 /  /  /  /  / 0</t>
  </si>
  <si>
    <t>Monto exigible del Periodo de Facturación de que se trate sin incluir el importe de comisiones y seguros.</t>
  </si>
  <si>
    <t>Payment amount fot the customer without insurance or fees</t>
  </si>
  <si>
    <t>Aforo</t>
  </si>
  <si>
    <t>MODALIDADCAT</t>
  </si>
  <si>
    <t>ModalidadCAT</t>
  </si>
  <si>
    <t xml:space="preserve"> / 78 /  /  /  /  / 0</t>
  </si>
  <si>
    <t>Catálogo de modalidad del cálculo del CAT que utilice la institución para el crédito reportado.</t>
  </si>
  <si>
    <t>Total Annual cost modality</t>
  </si>
  <si>
    <t>Enganche</t>
  </si>
  <si>
    <t>PRIMASEGUROOBLIGATORIO</t>
  </si>
  <si>
    <t>7,2</t>
  </si>
  <si>
    <t xml:space="preserve"> / AUTO /  /  /  /  / </t>
  </si>
  <si>
    <t xml:space="preserve"> / 79 /  /  /  /  / </t>
  </si>
  <si>
    <t>Monto anual de las primas de todos los seguros obligatorios con excepción del seguro de daños; en este campo se deberá reportar la suma de todas las primas anuales de los seguros obligatorios (excepto el seguro de daños), bajo las siguientes consideraciones:
a. Las instituciones que cobren alguna prima de forma mensual, deberán considerar el valor de la prima multiplicado por 12 para reportar este campo. 
b. Las instituciones que, al inicio del crédito, cobren alguna prima por la totalidad de la vigencia del crédito, deberán considerar el importe correspondiente al primer año para reportar este campo.
c. Las instituciones que no cobren alguna prima el primer año del plazo del crédito, sino a partir del segundo año, deberán reportar el número que resulte de multiplicar el valor de la prima anual por el número de años del plazo para los que efectivamente se cobra dicha prima, dividida por el número de años que componen el plazo total del crédito.</t>
  </si>
  <si>
    <t>Amount of all insurance premium to be paid by the customer</t>
  </si>
  <si>
    <t>ValorTotalCredito</t>
  </si>
  <si>
    <t>PRIMASEGURODAÑOS</t>
  </si>
  <si>
    <t xml:space="preserve"> / 80 /  /  /  /  / </t>
  </si>
  <si>
    <t>Se deberá reportar el monto anual correspondiente a la prima del seguro de daños bajo las siguientes consideraciones: 
a. Todas las instituciones financieras deberán reportar el monto anual correspondiente a la prima del seguro de daños, sin excepción: 
• Para los créditos en los que las instituciones financieras conocen el costo del seguro de daños, éstas deberán reportar el costo de la prima anual del seguro contratado por el acreditado (con las características reales del seguro). 
• Para los créditos en los que las instituciones financieras desconocen el costo del seguro de daños, las instituciones deberán reportar el costo del seguro de daños que hubieran vendido al acreditado en caso de que éste contratara el seguro con alguna aseguradora que mantiene convenio con ellas. En cualquier situación, el seguro de daños considerado deberá cubrir al acreditado (y a la institución) contra todo tipo de riesgo y por el saldo insoluto del crédito del vehículo otorgado en garantía (COBERTURA AMPLIA). 
b. Las instituciones que cobren la prima del seguro de daños de forma mensual, deberán reportar el valor de la prima multiplicado por 12. 
c. Las instituciones que, al inicio del crédito, cobren la prima del seguro de daños por la totalidad de la vigencia del crédito, deberán reportar el importe correspondiente al primer año.
d. Las instituciones que no cobren la prima del seguro de daños el primer año del plazo del crédito, sino a partir del segundo año, deberán reportar el número que resulte de multiplicar el valor de la prima anual del seguro de daños por el número de años del plazo para los que efectivamente se cobra dicha prima, dividida por el número de años que componen el plazo total del crédito.</t>
  </si>
  <si>
    <t>Annual amount to be paid from insurance premium</t>
  </si>
  <si>
    <t>GVECES1</t>
  </si>
  <si>
    <t>GVECES</t>
  </si>
  <si>
    <t xml:space="preserve">58 /  /  /  /  /  / </t>
  </si>
  <si>
    <t>Monto a pagar con el banco en créditos Revolventes  y de Pagos Fijos &lt;= 640</t>
  </si>
  <si>
    <t>Amount that the customer must pay that is &lt;=640</t>
  </si>
  <si>
    <t>ExigibleSinSegurosComisiones</t>
  </si>
  <si>
    <t>GVECES2</t>
  </si>
  <si>
    <t>Monto a pagar con el banco en créditos Revolventes  y de Pagos Fijos &gt; 640 y veces_monto_banco&lt; 2.20</t>
  </si>
  <si>
    <t>Amount that the customer must pay that is &gt;640 and ratio amount to be paid to institution &lt;2.2</t>
  </si>
  <si>
    <t>GVECES3</t>
  </si>
  <si>
    <t>Monto a pagar con el banco en créditos Revolventes  y de Pagos Fijos  &gt; 640 y veces_monto_banco&gt;= 2.20</t>
  </si>
  <si>
    <t>Amount that the customer must pay that is &gt;640 and ratio amount to be paid to institution &gt;=2.2</t>
  </si>
  <si>
    <t>PrimaSeguroObligatorio</t>
  </si>
  <si>
    <t>MESES</t>
  </si>
  <si>
    <t xml:space="preserve">51 /  /  /  /  /  / </t>
  </si>
  <si>
    <t>Meses de Atraso en el pago, al corte.</t>
  </si>
  <si>
    <t>Past due months in payment, at cut off date</t>
  </si>
  <si>
    <t>PrimaSeguroDaños</t>
  </si>
  <si>
    <t>MONTOPAGARINST</t>
  </si>
  <si>
    <t xml:space="preserve">CR /  /  /  /  / A / </t>
  </si>
  <si>
    <t xml:space="preserve">52 /  /  /  /  / 45 / </t>
  </si>
  <si>
    <t>Monto a pagar a la institución (Conforme al Art. 92 de la CUB)</t>
  </si>
  <si>
    <t>Amount to pay to the bank</t>
  </si>
  <si>
    <t>MONTOPAGARSIC</t>
  </si>
  <si>
    <t>53 / 44 / 44 / 46 / 45 / 44 / 47</t>
  </si>
  <si>
    <t>Monto a pagar en las sociedades de información crediticia (Conforme al Art. 92 de la CUB)</t>
  </si>
  <si>
    <t>Amount to pay to the Credit Bureau Institutions</t>
  </si>
  <si>
    <t>MESESIC</t>
  </si>
  <si>
    <t xml:space="preserve">55 /  /  /  /  /  / </t>
  </si>
  <si>
    <t>Meses transcurridos de atraso en las sociedades de información crediticia 'BKART' (Conforme al Art. 92 de la CUB)</t>
  </si>
  <si>
    <t>Months with past due in Credit Bureau Institutions (BKART)</t>
  </si>
  <si>
    <t>MESAPERT</t>
  </si>
  <si>
    <t xml:space="preserve">56 /  /  /  /  /  / </t>
  </si>
  <si>
    <t>Meses desde la Apertura de la Cuenta</t>
  </si>
  <si>
    <t>Months since the account was opened</t>
  </si>
  <si>
    <t>IMPAGO</t>
  </si>
  <si>
    <t xml:space="preserve">59-60 /  /  /  /  /  /  / </t>
  </si>
  <si>
    <t>Impago en el mes</t>
  </si>
  <si>
    <t>Past due in the month</t>
  </si>
  <si>
    <t>ETAPA_CRED_INT_C16</t>
  </si>
  <si>
    <t>69 / 58 / 58 / 60 / 58 / 58 / 60</t>
  </si>
  <si>
    <t>Etapa de Deterioro Metodología Interna Basada en la NIF C-16  (Conforme al Art. 92 de la CUB)</t>
  </si>
  <si>
    <t>TASA_DESC_C16</t>
  </si>
  <si>
    <t>71 / 59 / 59 / 61 / 59 / 59 / 61</t>
  </si>
  <si>
    <t xml:space="preserve">Tasa de Descuento Metodología Interna Basada en la NIF C-16 </t>
  </si>
  <si>
    <t>TASA_MI_C16</t>
  </si>
  <si>
    <t>72 / 60 / 60 / 62 / 60 / 60 / 62</t>
  </si>
  <si>
    <t>Tasa de Interés Metodología Interna Basada en la NIF C-16</t>
  </si>
  <si>
    <t>TASA_PREP_C16</t>
  </si>
  <si>
    <t>73 / 61 / 61 / 63 / 61 / 61 / 63</t>
  </si>
  <si>
    <t xml:space="preserve">Tasa Prepago Anual Metodología Interna Basada en la NIF C-16 </t>
  </si>
  <si>
    <t>PI_C16</t>
  </si>
  <si>
    <t>74 / 62 / 62 / 64 / 62 / 62 / 64</t>
  </si>
  <si>
    <t>Probabilidad de Incumplimiento, de acuerdo a la metodología interna basada en la NIF C-16 establecida por la propia institución en cumplimiento con el artículo 139 Bis 2 de la CUB.</t>
  </si>
  <si>
    <t>SP_C16</t>
  </si>
  <si>
    <t>75 / 63 / 63 / 65 / 63 / 63 / 65</t>
  </si>
  <si>
    <t>Severidad de la Pérdida, de acuerdo a la metodología interna basada en la NIF C-16 establecida por la propia institución en cumplimiento con el artículo 139 Bis 2 de la CUB.</t>
  </si>
  <si>
    <t>EI_C16</t>
  </si>
  <si>
    <t>12,2</t>
  </si>
  <si>
    <t>76 / 64 / 64 / 66 / 64 / 64 / 66</t>
  </si>
  <si>
    <t>Exposición al Incumplimiento, de acuerdo a la metodología interna basada en la NIF C-16 establecida por la propia institución en cumplimiento con el artículo 139 Bis 2 de la CUB.</t>
  </si>
  <si>
    <t>RESERVA_MI_C16</t>
  </si>
  <si>
    <t>77 / 65 / 65 / 67 / 65 / 65 / 67</t>
  </si>
  <si>
    <t>Reservas Metodología Interna Basada en la NIF C-16  Horizonte 12 meses (conforme al artículo 139 Bis 2 de la CUB)</t>
  </si>
  <si>
    <t>RESERVA_MI_LT_C16</t>
  </si>
  <si>
    <t>78 / 66 / 66 / 68 / 66 / 66 / 68</t>
  </si>
  <si>
    <t>Reservas Metodología Interna Basada en la NIF C-16 Horizonte Vida Completa</t>
  </si>
  <si>
    <t>RESERVA_MI_TOT_C16</t>
  </si>
  <si>
    <t>79 / 67 / 67 / 69 / 67 / 67 / 69</t>
  </si>
  <si>
    <t>Reservas Totales Generales a Constituir Metodología Interna basada en la NIF C-16  (conforme a la CUB Art. 92)  para la etapa 2 es el mayor entre la general y vida completa.</t>
  </si>
  <si>
    <t>PI_MI_C</t>
  </si>
  <si>
    <t>80 / 68 / 68 / 70 / 68 / 68 / 70</t>
  </si>
  <si>
    <t>Probabilidad de Incumplimiento Metodología Interna de Capital</t>
  </si>
  <si>
    <t>SP_MI_C</t>
  </si>
  <si>
    <t>81 / 69 / 69 / 71 / 69 / 69 / 71</t>
  </si>
  <si>
    <t>Severidad de la Pérdida Metodología Interna de Capital</t>
  </si>
  <si>
    <t>EI_MI_C</t>
  </si>
  <si>
    <t>82 / 70 / 70 / 72 / 70 / 70 / 72</t>
  </si>
  <si>
    <t>Exposición al Incumplimiento Metodología Interno de Capital</t>
  </si>
  <si>
    <t>RESERVA_MI_C_TOT</t>
  </si>
  <si>
    <t>14,4</t>
  </si>
  <si>
    <t>83 / 71 / 71 / 73 / 71 / 71 / 73</t>
  </si>
  <si>
    <t>Reservas Totales Metodología Interna de Capital</t>
  </si>
  <si>
    <t>RVAS_ADICIONALES</t>
  </si>
  <si>
    <t>84 / 72 / 72 / 74 / 72 / 72 / 74</t>
  </si>
  <si>
    <t>Reservas Adicionales</t>
  </si>
  <si>
    <t>SALDO_REP_SIC</t>
  </si>
  <si>
    <t xml:space="preserve"> /  /  / P / O /  / M</t>
  </si>
  <si>
    <t xml:space="preserve"> /  /  / 47 / 46 /  / 48</t>
  </si>
  <si>
    <t>Saldo Reportado en las Sociedades de Información Crediticia (Conforme al Art. 97 Bis 11 de la CUB)</t>
  </si>
  <si>
    <t>HIPOTESISPRESREF</t>
  </si>
  <si>
    <t>Hipótesis presunción refutable</t>
  </si>
  <si>
    <t>Indicador de Hipotesis de Presunción Refutable</t>
  </si>
  <si>
    <t>Indicator of Presumable Hipothesis for Risk Manteinance</t>
  </si>
  <si>
    <t>FECHABAJA</t>
  </si>
  <si>
    <t>CR / CNR (BAJAS)</t>
  </si>
  <si>
    <t xml:space="preserve"> Fecha en la que se dé el movimiento de baja, conforme al catálogo de tipo de bajas de crédito.</t>
  </si>
  <si>
    <t>Date of Discharge of the loan</t>
  </si>
  <si>
    <t>TIPOBAJA</t>
  </si>
  <si>
    <t>TipoBajaConsumo</t>
  </si>
  <si>
    <t>Indicar el motivo de baja del credito</t>
  </si>
  <si>
    <t>Reason for dicharging the loan</t>
  </si>
  <si>
    <t>TIPOCREDITO</t>
  </si>
  <si>
    <t>TipoCreditoConsumo</t>
  </si>
  <si>
    <t>Para el llenado de este campo, se deberán utilizar las claves contenidas en el catálogo denominado “Tipo de Crédito al Consumo” Banxico</t>
  </si>
  <si>
    <t>Credit type</t>
  </si>
  <si>
    <t>SALDOTOT_CORTE</t>
  </si>
  <si>
    <t xml:space="preserve">17 /  /  /  /  /  / </t>
  </si>
  <si>
    <t>Saldo Total al corte</t>
  </si>
  <si>
    <t>Total Amount at cut off date</t>
  </si>
  <si>
    <t>FECHA_INFO</t>
  </si>
  <si>
    <t>CONTROL INTERNO</t>
  </si>
  <si>
    <t>Fecha a la que corresponde la información</t>
  </si>
  <si>
    <t>Date of the information</t>
  </si>
  <si>
    <t>FechaBaja</t>
  </si>
  <si>
    <t>FACT_AJUSTE_GENERO</t>
  </si>
  <si>
    <t>Ind_Factor_Genero</t>
  </si>
  <si>
    <t xml:space="preserve"> / AUTO / N / P / O / A / </t>
  </si>
  <si>
    <t xml:space="preserve"> / 49 / 49 / 51 / 49 / 49 / </t>
  </si>
  <si>
    <t>Indicador de Factor de ajuste por genero</t>
  </si>
  <si>
    <t>Indicator of gender adjustment</t>
  </si>
  <si>
    <t>TipoBaja</t>
  </si>
  <si>
    <t>CAMBIO_ETAPA</t>
  </si>
  <si>
    <t>Cambio_Etapa</t>
  </si>
  <si>
    <t>61 / 50 / 50 / 52 / 50 / 50 / 52</t>
  </si>
  <si>
    <t>Cambio de Etapa (Por Incumplimientos Subjetivos)</t>
  </si>
  <si>
    <t>Stage change (by subjective unfulfilment)</t>
  </si>
  <si>
    <t>TipoCredito</t>
  </si>
  <si>
    <t>ID_PPP</t>
  </si>
  <si>
    <t>40</t>
  </si>
  <si>
    <t>Identificador de Portafolio de Primeras Perdidas</t>
  </si>
  <si>
    <t xml:space="preserve">Identification number of First Loss Portfolio </t>
  </si>
  <si>
    <t>SaldoFavor</t>
  </si>
  <si>
    <t>ID_PYM</t>
  </si>
  <si>
    <t>Identificador de Portafolio de Paso y Medida</t>
  </si>
  <si>
    <t>Identification number of Step and Measure Portfolio</t>
  </si>
  <si>
    <t>DiasVencidos</t>
  </si>
  <si>
    <t>SITUACIONLINEACREDITO</t>
  </si>
  <si>
    <t>SituacionLineaR</t>
  </si>
  <si>
    <t>CR</t>
  </si>
  <si>
    <t>Situación de la línea de crédito</t>
  </si>
  <si>
    <t>Credit line situation</t>
  </si>
  <si>
    <t>Periodicidad_capital</t>
  </si>
  <si>
    <t>Escala de los Períodos de Facturación del capital</t>
  </si>
  <si>
    <t>SALDOPMSI_CORTE</t>
  </si>
  <si>
    <t xml:space="preserve">18 /  /  /  /  /  / </t>
  </si>
  <si>
    <t>Se debe reportar el saldo del crédito total a la fecha de corte del período que se está reportando de promociones a meses sin intereses</t>
  </si>
  <si>
    <t>SALDOPCI_CORTE</t>
  </si>
  <si>
    <t xml:space="preserve">19 /  /  /  /  /  / </t>
  </si>
  <si>
    <t>Se debe reportar el saldo del crédito total a la fecha de corte del período que se está reportando de cargos o promo-ciones a meses con intereses</t>
  </si>
  <si>
    <t>Variables Calculadas por BW para CNR</t>
  </si>
  <si>
    <t>Orden</t>
  </si>
  <si>
    <t>Llave</t>
  </si>
  <si>
    <t>Nombre</t>
  </si>
  <si>
    <t>Tipo</t>
  </si>
  <si>
    <t>Descripcion Ingles</t>
  </si>
  <si>
    <t>Validacion1</t>
  </si>
  <si>
    <t>Metodologías</t>
  </si>
  <si>
    <t xml:space="preserve">Calificación Obligatorio </t>
  </si>
  <si>
    <t>Calificación Opcional</t>
  </si>
  <si>
    <t>Reportes Obligatorio</t>
  </si>
  <si>
    <t>Reportes Opcional</t>
  </si>
  <si>
    <t>Column1</t>
  </si>
  <si>
    <t>NUMERICO(5,2)</t>
  </si>
  <si>
    <t>Calificación              
Seguimiento auto(36) Seguimiento persona(36)</t>
  </si>
  <si>
    <t>Número de Atrasos observados a la fecha de cálculo de reservas.</t>
  </si>
  <si>
    <t>Anexo 16-A de la CUB</t>
  </si>
  <si>
    <t>Fecha de antigüedad de la informacion no mayor a 1 mes</t>
  </si>
  <si>
    <t>No Revolvente</t>
  </si>
  <si>
    <t>Endeudamiento</t>
  </si>
  <si>
    <t>NUMERICO( 5,2 )</t>
  </si>
  <si>
    <t>Calificación              
Seguimiento auto(40)</t>
  </si>
  <si>
    <t>Se obtiene como el Monto a Pagar reportado en las sociedades de información
crediticia de conformidad con el presente artículo entre el Ingreso Mensual del
Acreditado</t>
  </si>
  <si>
    <t>Concumo_2017.MonExiRepSIC / AnexoConsumo_2017.IngresosMenAcre</t>
  </si>
  <si>
    <t xml:space="preserve">Endeudamiento </t>
  </si>
  <si>
    <t>PorSDOIMP</t>
  </si>
  <si>
    <t>NUMERICO(10,2)</t>
  </si>
  <si>
    <t>Calificación No Revolvente</t>
  </si>
  <si>
    <t>Porcentaje que represente el Saldo del Crédito del Importe Original del mismo a la fecha de
cálculo.</t>
  </si>
  <si>
    <t>SaldoCapitalVigente+
SaldoInteresVigente+
SaldoCapitalVencido+
SaldoInteresVencido/ImporteOriginal</t>
  </si>
  <si>
    <t>VECES</t>
  </si>
  <si>
    <t>NUMERICO(10)</t>
  </si>
  <si>
    <t>Se calcula como el Monto a Pagar Reportado a las sociedades de información crediticia dividido entre el Monto a Pagar a la Institución conforme a lo definido en el Artículo 91 de las presentes disposiciones.</t>
  </si>
  <si>
    <t xml:space="preserve">MonExiRepSIC / MonExiIns </t>
  </si>
  <si>
    <t>Fecha de antigüedad de la informacion no mayor a 3 mes</t>
  </si>
  <si>
    <t>Veces monto a pagar con el sistema vs saldo</t>
  </si>
  <si>
    <t>AltoiB</t>
  </si>
  <si>
    <t>ENTERO(1)</t>
  </si>
  <si>
    <t>1 Si el Monto a Pagar a la Institución es mayor a $634 y VECESi B es mayor a 2.
0 En cualquier otro caso.</t>
  </si>
  <si>
    <t>MedioiB</t>
  </si>
  <si>
    <t>1 Si el Monto a Pagar a la Institución es mayor a $634 y VECESi B es menor o igual a 2.
0 En cualquier otro caso.</t>
  </si>
  <si>
    <t>BajoiB</t>
  </si>
  <si>
    <t>1 Si el Monto a Pagar a la Institución es menor o igual a $634.
0 En cualquier otro caso.</t>
  </si>
  <si>
    <t>PorPago</t>
  </si>
  <si>
    <t>Porcentaje que representa el Pago Realizado entre el Monto Exigible.</t>
  </si>
  <si>
    <t>PagoRealizado / MontoExigible</t>
  </si>
  <si>
    <t>PromedioPago</t>
  </si>
  <si>
    <t>Calificación No Revolvente Seguimiento auto(34) Seguimiento persona(34)</t>
  </si>
  <si>
    <t>Promedio simple de los cocientes de Pago Realizado entre el Monto Exigible en los últimos 4 Periodos de Facturación cuando la facturación sea mensual, 7 Periodos de Facturación cuando la facturación sea quincenal o en los últimos 14 Periodos de Facturación cuando la facturación sea semanal a la fecha de cálculo. El promedio se debe obtener después de haber calculado el porcentaje que representa el Pago Realizado con respecto del Monto Exigible para cada uno de los Periodos de Facturación previos a la fecha de cálculo de reservas. En caso de que a la fecha de cálculo de las reservas hubieran transcurrido menos Periodos de Facturación de los indicados, el promedio se obtendrá con los porcentajes existentes.</t>
  </si>
  <si>
    <t>Consumo No Revolvente
Semanal -&gt; 14 Periodos  ( PorPagoActual+ PorPagoHist1+ ...+  PorPagoHist13)
Quincenal -&gt; 7 Periodos   ( PorPagoActual+ PorPagoHist1+ ...+  PorPagoHist6)
Mensual -&gt; 4 Periodos ( PorPagoActual+ PorPagoHist1+  PorPagoHist2+  PorPagoHist3)
Micro credito Grupal
Semanal -&gt; 3 Periodos  ( PorPagoActual+ PorPagoHist1+ PorPagoHist2)
Quincenal -&gt; 2 Periodos   ( PorPagoActual+ PorPagoHist1)
Mensual -&gt; 1 Periodo ( PorPagoActual)</t>
  </si>
  <si>
    <t>AltoiA</t>
  </si>
  <si>
    <t>1 Si el Endeudamiento del acreditado es mayor a 0.65 y la Antigüedad del Acreditado con Instituciones es igual o menor a 54 meses.
0 En cualquier otro caso.</t>
  </si>
  <si>
    <t>MedioiA</t>
  </si>
  <si>
    <t>1 Si el Endeudamiento del acreditado es menor o igual a 0.65 y la Antigüedad del Acreditado con Instituciones es igual o menor a 54 meses, o si el Endeudamiento del acreditado es mayor a 0.65 y la Antigüedad del Acreditado con Instituciones es mayor a 54 meses.
0 En cualquier otro caso.</t>
  </si>
  <si>
    <t>BajoiA</t>
  </si>
  <si>
    <t>1 Si el Endeudamiento del acreditado es menor o igual a 0.65 y la Antigüedad del Acreditado con Instituciones mayor a 54 meses.
0 En cualquier otro caso.</t>
  </si>
  <si>
    <t>MaxATRiN</t>
  </si>
  <si>
    <t>Máximo Número de Atrasos (ATRiN) presentado en los últimos 4 meses considerando el mes del cálculo.</t>
  </si>
  <si>
    <r>
      <t>ART</t>
    </r>
    <r>
      <rPr>
        <vertAlign val="subscript"/>
        <sz val="12"/>
        <color theme="1"/>
        <rFont val="Calibri"/>
        <family val="2"/>
        <scheme val="minor"/>
      </rPr>
      <t>i</t>
    </r>
    <r>
      <rPr>
        <vertAlign val="superscript"/>
        <sz val="12"/>
        <color theme="1"/>
        <rFont val="Calibri"/>
        <family val="2"/>
        <scheme val="minor"/>
      </rPr>
      <t>N</t>
    </r>
    <r>
      <rPr>
        <sz val="12"/>
        <color theme="1"/>
        <rFont val="Calibri"/>
        <family val="2"/>
        <scheme val="minor"/>
      </rPr>
      <t>Actual + ARTiNHist1+ ARTiNHist2+ ARTiNHist3</t>
    </r>
  </si>
  <si>
    <t>AltoiN</t>
  </si>
  <si>
    <t>1 Si Endeudamiento mayor a 0.40 y Antigüedad del Acreditado en la Institución menor o igual a 29 meses.
0 En cualquier otro caso.</t>
  </si>
  <si>
    <t>MedioiN</t>
  </si>
  <si>
    <t>1 Si Endeudamiento menor o igual a 0.40 y Antigüedad del Acreditado en la Institución menor o igual a 29 meses, o si Endeudamiento mayor a 0.40 y Antigüedad del Acreditado en la Institución mayor a 29 meses
0 En cualquier otro caso.</t>
  </si>
  <si>
    <t>BajoiN</t>
  </si>
  <si>
    <t>1 Si Endeudamiento menor o igual a 0.40 y Antigüedad del Acreditado en la Institución mayor a 29 meses.
0 En cualquier otro caso</t>
  </si>
  <si>
    <t>PorMTOSDOiP</t>
  </si>
  <si>
    <t>Se calcula como el cociente del Monto a Pagar Reportado en las sociedades de información crediticia entre el Saldo Reportado en las sociedades de información crediticia, ambos de conformidad con el Artículo 91 Bis de las presentes disposiciones.</t>
  </si>
  <si>
    <t>MonExiRepSIC /  SaldoRepSIC</t>
  </si>
  <si>
    <t>AltoiP</t>
  </si>
  <si>
    <t>1 Si %MTOSDOiP es mayor a 0.085 y Antigüedad del Acreditado es menor o igual a 28 meses.
0 En cualquier otro caso.</t>
  </si>
  <si>
    <t>MedioiP</t>
  </si>
  <si>
    <t>1 Si %MTOSDOiP es mayor a 0.085 y Antigüedad del Acreditado en la Institución es mayor a 28 meses, o si %MTOSDOi P es menor o igual a 0.085 y Antigüedad del Acreditado en la Institución es menor o igual a 28 meses.
0 En cualquier otro caso.</t>
  </si>
  <si>
    <t>BajoiP</t>
  </si>
  <si>
    <t>1 Si %MTOSDOiP menor o igual a 0.085 y Antigüedad del Acreditado en la Institución mayor a 28 meses.
0 En cualquier otro caso.</t>
  </si>
  <si>
    <t>AltoiI</t>
  </si>
  <si>
    <t>1 Si %MTOSDOiI es mayor a 0.085 y Antigüedad del Acreditado es menor o igual a 28 meses.
0 En cualquier otro caso.</t>
  </si>
  <si>
    <t>MedioiI</t>
  </si>
  <si>
    <t>1 Si %MTOSDOiI es mayor a 0.085 y Antigüedad del Acreditado en la Institución es mayor a 28 meses, o si %MTOSDOi P es menor o igual a 0.085 y Antigüedad del Acreditado en la Institución es menor o igual a 28 meses.
0 En cualquier otro caso.</t>
  </si>
  <si>
    <t>BajoiI</t>
  </si>
  <si>
    <t>1 Si %MTOSDOiI menor o igual a 0.085 y Antigüedad del Acreditado en la Institución mayor a 28 meses.
0 En cualquier otro caso.</t>
  </si>
  <si>
    <t>AltoiG</t>
  </si>
  <si>
    <t>1 Si Ciclos del Acreditado es menor o igual a 2 e Integrantes del Grupo al que pertenece a la fecha de cálculo es menor o igual a 10 personas..
0 En cualquier otro caso.</t>
  </si>
  <si>
    <t>Microcréditos grupales</t>
  </si>
  <si>
    <t>MedioiG</t>
  </si>
  <si>
    <t>1 Si Ciclos del Acreditado es menor o igual a 4 e Integrantes del Grupo al que pertenece a la fecha de cálculo es mayor a 10 personas, o si los Ciclos del Acreditado es mayor a 2 e Integrantes del Grupo al que pertenece a la fecha de cálculo es menor o igual a 15 personas
0 En cualquier otro caso.</t>
  </si>
  <si>
    <t>BajoiG</t>
  </si>
  <si>
    <t>1 Si Ciclos del Acreditado es mayor a 4 e Integrantes del Grupo al que pertenece a la fecha de cálculo es mayor a 15 personas.
0 En cualquier otro caso.</t>
  </si>
  <si>
    <t>NUMERICO(9,2)</t>
  </si>
  <si>
    <t xml:space="preserve">Reportes Banxico
Seguimiento AUTO(50) </t>
  </si>
  <si>
    <t>Amount of credit not including the amount of financing for the payment of financial accessories (eg, insurance premiums and fees). It is defined as the total value of the property less the down payment on credit.</t>
  </si>
  <si>
    <t>ValorTotalCredito-Enganche</t>
  </si>
  <si>
    <t>Variables Calculadas por BW para CR</t>
  </si>
  <si>
    <t>Impago</t>
  </si>
  <si>
    <t>Calficacion Revolvente</t>
  </si>
  <si>
    <t>Evento que se presenta cuando el Pago Realizado por el acreditado no alcanza a cubrir el Pago Mínimo Exigido por la Institución en el respectivo estado de cuenta.
Para estimar el número de Impagos las Instituciones deberán aplicar la siguiente tabla de equivalencias dependiendo de la frecuencia de facturación del producto:
FACTURACION  - NUMERO DE IMPAGOS
Mensual              - 1 Impago mensual = 1 Impago
Quincenal          - 1 Impago quincenal = 0.5 Impagos
Semanal             - 1 Impago semanal = 0.25 Impagos</t>
  </si>
  <si>
    <t>Debe ser numerico. No acepta letras ni signos</t>
  </si>
  <si>
    <t>Revolvente</t>
  </si>
  <si>
    <t>NumeroImpagosConsecutivos</t>
  </si>
  <si>
    <t>Calficacion Revolvente
Sección II A (18)</t>
  </si>
  <si>
    <t>Número de Impagos en periodos consecutivos inmediatos anteriores a la fecha de cálculo</t>
  </si>
  <si>
    <t>Usar Datos Historicos</t>
  </si>
  <si>
    <t>NumeroImpagosHistoricos</t>
  </si>
  <si>
    <t>Calficacion Revolvente
Sección II A (19)</t>
  </si>
  <si>
    <t>Número de Impagos observados en los últimos seis meses</t>
  </si>
  <si>
    <t>Usar la historia de los ultimos 6 periodos</t>
  </si>
  <si>
    <t>MesesTranscurridos</t>
  </si>
  <si>
    <t>Calficacion Revolvente
Sección II A (20)</t>
  </si>
  <si>
    <t>Número de meses transcurridos desde la apertura de la cuenta hasta la fecha de cálculo de reservas</t>
  </si>
  <si>
    <t>Para el calculo se usa FechaAlta vs Fecha Periodo Actual.</t>
  </si>
  <si>
    <t>PorcentajeUso</t>
  </si>
  <si>
    <t>Porcentaje que representa Saldo a Pagar respecto al Límite de Crédito autorizado de la cuenta.</t>
  </si>
  <si>
    <t>MontoExigible / LimiteCredito</t>
  </si>
  <si>
    <t>VecesMontoBanco</t>
  </si>
  <si>
    <t>Calificación Revolvente</t>
  </si>
  <si>
    <t>El cociente del Monto a Pagar reportado en las sociedades de información crediticia respecto del Monto a Pagar a la Institución es menor a 2.2 veces, en la fecha del cálculo de reservas.</t>
  </si>
  <si>
    <t>Porcentaje que representa el Pago Realizado respecto al Saldo
a Pagar.</t>
  </si>
  <si>
    <t>%PAGO i = PagoRealizadoCal / MontoExigible</t>
  </si>
  <si>
    <t>Numérico</t>
  </si>
  <si>
    <t>Reporte</t>
  </si>
  <si>
    <t>Importe promedio mensual de saldos diarios de la Linea Revolvente, a la fecha de corte, sin IVA.</t>
  </si>
  <si>
    <t>Importe promedio mensual de saldos diarios de Promociones Sin Intereses, a la fecha de corte,  sin IVA.</t>
  </si>
  <si>
    <t>Importe promedio mensual de saldos diarios de Promociones con Intereses, a la fecha de corte,  sin IVA.</t>
  </si>
  <si>
    <t>saldopagar_ini</t>
  </si>
  <si>
    <t>Saldo Total al inicio del Período</t>
  </si>
  <si>
    <t>Segmento</t>
  </si>
  <si>
    <t>Segmento de riesgo (conforme a CUB Art. 92)</t>
  </si>
  <si>
    <t>Fact_Conv</t>
  </si>
  <si>
    <t>Factor de Conversión de Crédito</t>
  </si>
  <si>
    <t>GARANTIA CONSUMO.txt</t>
  </si>
  <si>
    <t>GARANTIA CONSUMO</t>
  </si>
  <si>
    <t>CODIGOGARANTIA</t>
  </si>
  <si>
    <t>30</t>
  </si>
  <si>
    <t>Requerido</t>
  </si>
  <si>
    <t>RELACION DE LAYOUTS / CALIFICACION</t>
  </si>
  <si>
    <t>Codigo unico que identifica a la garantía.</t>
  </si>
  <si>
    <t>Unique code of collateral</t>
  </si>
  <si>
    <t>CodigoGarantia</t>
  </si>
  <si>
    <t>TIPOGARANTIA</t>
  </si>
  <si>
    <t>TipoGarantiaConsumo</t>
  </si>
  <si>
    <t>CALIFICACION / CR / CNR (GARANTIAS)</t>
  </si>
  <si>
    <t>2 , 3</t>
  </si>
  <si>
    <t>Tipo de Garantía.</t>
  </si>
  <si>
    <t>Collateral type</t>
  </si>
  <si>
    <t>TipoGarantia</t>
  </si>
  <si>
    <t>garantía</t>
  </si>
  <si>
    <t>g_real</t>
  </si>
  <si>
    <t>VALORGARANTIA</t>
  </si>
  <si>
    <t>19,4</t>
  </si>
  <si>
    <t>Valor de la garantía en moneda original</t>
  </si>
  <si>
    <t>Collateral amount in original currency</t>
  </si>
  <si>
    <t>ValorGarantia</t>
  </si>
  <si>
    <t>importe_garantía</t>
  </si>
  <si>
    <t>MonedaConsumo</t>
  </si>
  <si>
    <t>Moneda en la que esta expresada la garantía.</t>
  </si>
  <si>
    <t>currency of collateral</t>
  </si>
  <si>
    <t>FECHAVALUACION</t>
  </si>
  <si>
    <t>Fecha</t>
  </si>
  <si>
    <t>Ultima fecha de valuacion de la garantía. Requerida para las garantias Inmuebles.</t>
  </si>
  <si>
    <t>last date when collateral was evaluated</t>
  </si>
  <si>
    <t>FechaValuacion</t>
  </si>
  <si>
    <t>250</t>
  </si>
  <si>
    <t>OPCIONAL REPORTE INTERNO</t>
  </si>
  <si>
    <t>Descripción de la garantía.</t>
  </si>
  <si>
    <t>collateral description</t>
  </si>
  <si>
    <t>BANCOGARANTIA</t>
  </si>
  <si>
    <t>6,0</t>
  </si>
  <si>
    <t>Catalogo Contrapartes CASFIM</t>
  </si>
  <si>
    <t>GARANTIAS</t>
  </si>
  <si>
    <t>Institución que fondea la garantía.</t>
  </si>
  <si>
    <t>Funding institution of collateral</t>
  </si>
  <si>
    <t>BancoGarantia</t>
  </si>
  <si>
    <t>VALORGARANTIAPROYECTADO</t>
  </si>
  <si>
    <t>CALIFICACION EYM</t>
  </si>
  <si>
    <t>En el caso de participaciones en ingresos federales o ingresos propios cedidas a un fideicomiso de administración y fuente de pago o algún otro tipo de instrumento legal que cumpla los mismos fines, se considerará el monto comprometido de los próximos 12 meses. En caso de que el fideicomiso cuente con alguna cuenta de reserva que funja como respaldo para el pago del crédito correspondiente, ésta se sumará al monto anual mencionado anteriormente.</t>
  </si>
  <si>
    <t>When collateral is from tax income on federal loans, the proyected value of tax income</t>
  </si>
  <si>
    <t>ValorGarantiaProyectado</t>
  </si>
  <si>
    <t>HC</t>
  </si>
  <si>
    <t>10,6</t>
  </si>
  <si>
    <t>Porcentaje (10,6)</t>
  </si>
  <si>
    <t>/ 9</t>
  </si>
  <si>
    <t>Factor de Ajuste para la garantia real financiera conforme al Anexo 1-F</t>
  </si>
  <si>
    <t>Adjustment factor for real financial collateral</t>
  </si>
  <si>
    <t>Hc</t>
  </si>
  <si>
    <t>VENCIMIENTORESTANTE</t>
  </si>
  <si>
    <t>CALCULO DE HC</t>
  </si>
  <si>
    <t>Vencimiento restante para los instrumentos y activos. 
Fecha de expiracion de la garantia Financiera.</t>
  </si>
  <si>
    <t>Remaining term for securities collateral</t>
  </si>
  <si>
    <t>VencimientoRestante</t>
  </si>
  <si>
    <t>GRADORIESGO</t>
  </si>
  <si>
    <t>Grado de Riesgo Método Estándar</t>
  </si>
  <si>
    <t xml:space="preserve">Grado de Riesgo de los instrumoentos o activos de acuerdo al Anexo 1-B
</t>
  </si>
  <si>
    <t>Risk grade of securities used as collateral</t>
  </si>
  <si>
    <t>GradoRiesgo</t>
  </si>
  <si>
    <t>AGENCIACALIFICADORA</t>
  </si>
  <si>
    <t>Agencia Calificadora</t>
  </si>
  <si>
    <t xml:space="preserve">En caso que no puedan enviar el campo Grado de Riesgo
</t>
  </si>
  <si>
    <t>Rating agency for security collateral</t>
  </si>
  <si>
    <t>AgenciaCalificadora</t>
  </si>
  <si>
    <t>CALIFICACIÓN</t>
  </si>
  <si>
    <t>5</t>
  </si>
  <si>
    <t>Calificacion Anexo 1B</t>
  </si>
  <si>
    <t>Rating from rating agency for security collateral</t>
  </si>
  <si>
    <t>Calificación</t>
  </si>
  <si>
    <t>EMISOR</t>
  </si>
  <si>
    <t>Emisor</t>
  </si>
  <si>
    <t xml:space="preserve">EMISOR. Deberá enviarse la clave correspondiente al Emisor:
1= Soberano
2= Otros Emisores
</t>
  </si>
  <si>
    <t>Issuer of security collateral</t>
  </si>
  <si>
    <t>ESCALA</t>
  </si>
  <si>
    <t>Escala de Calificación</t>
  </si>
  <si>
    <t xml:space="preserve">1 = Escala Global
2 = Escala Mexico
</t>
  </si>
  <si>
    <t>Scale of security collateral</t>
  </si>
  <si>
    <t>Escala</t>
  </si>
  <si>
    <t>ESIPC</t>
  </si>
  <si>
    <t>Es_IPC_BW</t>
  </si>
  <si>
    <t xml:space="preserve">0 = No Cotiza en el Indice de Precios y Cotizaciones
1 = Si Cotiza en el Indice de Precios y Cotizaciones
</t>
  </si>
  <si>
    <t>Indicator wether collareal is listed in Mexican Stock Exchange</t>
  </si>
  <si>
    <t>EsIPC</t>
  </si>
  <si>
    <t>PIGARANTE</t>
  </si>
  <si>
    <t>Usado para el esquema de Paso y Medida, Primeras Perdidas.</t>
  </si>
  <si>
    <t>Default probability of gurantor for PASO Y MEDIDA collateral</t>
  </si>
  <si>
    <t>PIGarante</t>
  </si>
  <si>
    <t>CODIGOCLIENTE</t>
  </si>
  <si>
    <t>22</t>
  </si>
  <si>
    <t xml:space="preserve">
Existe Persona</t>
  </si>
  <si>
    <t>Codigo unico del deudor, si el garante de los esquemas de Primeras Perdidas o Paso y Medida son clientes de la institucion.</t>
  </si>
  <si>
    <t>Unique customer code if the guarantor is a customer of the institution</t>
  </si>
  <si>
    <t>INDPERMORALES</t>
  </si>
  <si>
    <t>IndPerMorales_BW</t>
  </si>
  <si>
    <t>CLASIFICACION TIPO_GARANTE</t>
  </si>
  <si>
    <t>Indicador de persona moral o fideicomiso persona moral. Del garante que este otorgando la garantia de Primeras Perdidas o Paso y Medida.</t>
  </si>
  <si>
    <t>Indicator whether guarantor is a Corporate or fund trust</t>
  </si>
  <si>
    <t>IndPerMorales</t>
  </si>
  <si>
    <t>REGISTROUNICOGARANTIA</t>
  </si>
  <si>
    <t>12</t>
  </si>
  <si>
    <t>Se debe reportar, en su caso, la clave de identificación de la garantía mobiliaria constituida con apego a lo establecido en el Registro Único de Garantías Mobiliarias (RUGM) a que se refiere el Código de Comercio. Este campo aplica sólo a los créditos que tengan dicho tipo de garantía (40 en el tipo garantia); en caso distinto, se debe reportar nulo o vacio</t>
  </si>
  <si>
    <t>Furniture collateral id from Economy ministri (RUG)</t>
  </si>
  <si>
    <t>REL GARANTIA CONSUMO.txt</t>
  </si>
  <si>
    <t>REL CONSUMO GARANTIA</t>
  </si>
  <si>
    <t>Relacionar layouts</t>
  </si>
  <si>
    <t>Codigo unico que identifica a la garantia</t>
  </si>
  <si>
    <t>Unique code for collateral</t>
  </si>
  <si>
    <t>Rel ConsumoGarantia</t>
  </si>
  <si>
    <t>CODIGOCREDITO</t>
  </si>
  <si>
    <t>Relacionar layouts y determinacion de % Cobertura</t>
  </si>
  <si>
    <t>Codigo unico que identifica al credito</t>
  </si>
  <si>
    <t>Unique code for the loan</t>
  </si>
  <si>
    <t>folio del crédito</t>
  </si>
  <si>
    <t>PORCENTAJE</t>
  </si>
  <si>
    <t xml:space="preserve">Calificación. </t>
  </si>
  <si>
    <t>Procentaje del credito que debe ser cubierto por la garantia relacionada.</t>
  </si>
  <si>
    <t>Percentage of the loan covered by the collateral</t>
  </si>
  <si>
    <t>Porcentaje</t>
  </si>
  <si>
    <t>ST_PAGOSEXI2017.txt</t>
  </si>
  <si>
    <t>Movimientos de pagos y exigibles según el periodo de facturacion al fin de mes para los creditos de consumo e hipotecario para el calculo del ATR, Porcentaje de pago</t>
  </si>
  <si>
    <t>Se usa para los calculo de variables en Consumo e hipotecario.</t>
  </si>
  <si>
    <t>Consumo e hipotecario.</t>
  </si>
  <si>
    <t>Requerido?</t>
  </si>
  <si>
    <t>Validaciones</t>
  </si>
  <si>
    <t xml:space="preserve">Calificacion Obligatorio </t>
  </si>
  <si>
    <t>Calificacion Opcional</t>
  </si>
  <si>
    <t>Campo BW</t>
  </si>
  <si>
    <t>TEXTO (22)</t>
  </si>
  <si>
    <t>Calificacion 
Consumo No Revolvente e Hipotecario</t>
  </si>
  <si>
    <t>Codigo unico del credito que presenta el movimiento de pago o exigile en la cartera de consumo.</t>
  </si>
  <si>
    <t>Credit unique code of presenting payment or exigile movement in the consumer portfolio.</t>
  </si>
  <si>
    <t>No puede ser Vacio.</t>
  </si>
  <si>
    <t xml:space="preserve">Debe ser un codigo de credito consumo valido </t>
  </si>
  <si>
    <t>Hipotecario y Consumo</t>
  </si>
  <si>
    <t>CODCREDITO</t>
  </si>
  <si>
    <t>TipoMovimiento</t>
  </si>
  <si>
    <t>TEXTO (10)</t>
  </si>
  <si>
    <t>Debe ser un valor del catalogo Tipo Movimiento Consumo</t>
  </si>
  <si>
    <t>It should be worth the catalog Consumption Movement Type</t>
  </si>
  <si>
    <t xml:space="preserve">No puede ser Vacio.
</t>
  </si>
  <si>
    <t>TipoMovimientoConsumo_BW.txt</t>
  </si>
  <si>
    <t>TPOMOV</t>
  </si>
  <si>
    <t>Monto</t>
  </si>
  <si>
    <t>NUMERICO(21,2)</t>
  </si>
  <si>
    <t>Importe que corresponde según el "tipomovimiento". 
PAGO = Importe realmente pagado por el cliente.       
MONEXI = El monto que el acreditado debe cubrir en el Periodo de Facturación, el cual deberá considerar tanto el importe correspondiente a la facturación, así como los importes exigibles anteriores no pagados, si los hubiera.</t>
  </si>
  <si>
    <t>Amount that was affected by the movement.</t>
  </si>
  <si>
    <t>MONTO</t>
  </si>
  <si>
    <t>FECHA AAAA-MM-DD</t>
  </si>
  <si>
    <t>Fecha en que sucedio el movimiento contable</t>
  </si>
  <si>
    <t>Movement Date</t>
  </si>
  <si>
    <t>Debe ser una fecha valida con el formato AAAA-MM-DD</t>
  </si>
  <si>
    <t>NumPago</t>
  </si>
  <si>
    <t>NUMERICO(21)</t>
  </si>
  <si>
    <t>Numero de pago que debe cubrir el acreditado en el periodo de facturacion. Ejemplo si el credito es a 12 quincenas. Y el pago corresponde a la quincena 3. Enviar el NumPago = 3</t>
  </si>
  <si>
    <t>Number of payment to be credited to cover the billing period. Example if the credit is 12 fortnights. And the payment is for the fortnight 3. Send NumPago = 3</t>
  </si>
  <si>
    <t>NUMPAGO</t>
  </si>
  <si>
    <t>CALIFICA_CNR.txt</t>
  </si>
  <si>
    <t>Modelo de la Cartera de Consumo No Revolvente (Buro de crédito)</t>
  </si>
  <si>
    <t>Este modelo resuelve las siguientes variables, de acuerdo con lo dispuesto por la CNBV para la cartera de consumo no revolvente.</t>
  </si>
  <si>
    <t>Consumo No Revolvente</t>
  </si>
  <si>
    <t xml:space="preserve">Número de crédito </t>
  </si>
  <si>
    <t xml:space="preserve">Variable 1 - Meses desde el último atraso con bancos </t>
  </si>
  <si>
    <t xml:space="preserve">Insumo V1 - Meses desde el último atraso con bancos - No comunes (Buró) </t>
  </si>
  <si>
    <t xml:space="preserve">Insumo V1 - Meses desde el último atraso con bancos - No comunes (Otra SIC) </t>
  </si>
  <si>
    <t xml:space="preserve">Insumo V1 - Meses desde el último atraso con bancos - Comunes (Buró y otra SIC) </t>
  </si>
  <si>
    <t xml:space="preserve">Variable 2 - Meses desde el último atraso con bancos y no Bancos </t>
  </si>
  <si>
    <t xml:space="preserve">Insumo V2 - Meses desde el último atraso con bancos y no Bancos - No comunes (Buró) </t>
  </si>
  <si>
    <t>Insumo V2 - Meses desde el último atraso con bancos y no Bancos - No comunes (Otra SIC)</t>
  </si>
  <si>
    <t xml:space="preserve">Insumo V2 - Meses desde el último atraso con bancos y no Bancos - Comunes (Buró y otra SIC) </t>
  </si>
  <si>
    <t xml:space="preserve">Insumo 1: Monto a pagar a la institución </t>
  </si>
  <si>
    <t xml:space="preserve">Insumo 2: Monto a pagar reportado en las SICs </t>
  </si>
  <si>
    <t xml:space="preserve">Insumo de I2: Monto a pagar reportado en las SICs - No comunes (Buró) </t>
  </si>
  <si>
    <t xml:space="preserve">Insumo de I2: Monto a pagar reportado en las SICs - No comunes (Otra SIC) </t>
  </si>
  <si>
    <t xml:space="preserve">Insumo de I2: Monto a pagar reportado en las SICs -Comunes (Buró y Otra SIC) </t>
  </si>
  <si>
    <t xml:space="preserve">Insumo 3: Monto a pagar reportado en las SICs </t>
  </si>
  <si>
    <t xml:space="preserve">Insumo de I3: Monto a pagar reportado en la SICs - No comunes (Buró) </t>
  </si>
  <si>
    <t xml:space="preserve">Insumo de I3: Monto a pagar reportado en la SICs - No comunes (Otra SIC) </t>
  </si>
  <si>
    <t xml:space="preserve">Insumo de I3: Monto a pagar reportado en la SICs - Comunes(Buró y Otra SIC) </t>
  </si>
  <si>
    <t xml:space="preserve">Insumo 4: Saldo reportado en las SICs </t>
  </si>
  <si>
    <t xml:space="preserve">Insumo de I4: Saldo reportado en las SICs - No comunes(Buró) </t>
  </si>
  <si>
    <t xml:space="preserve">Insumo de I4: Saldo reportado en las SICs - No comunes(Otra SIC) </t>
  </si>
  <si>
    <t xml:space="preserve">Insumo de I4: Saldo reportado en las SICs - Comunes (Buró yOtra SIC) </t>
  </si>
  <si>
    <t xml:space="preserve">Insumo 5: Saldo reportado en las SICs </t>
  </si>
  <si>
    <t xml:space="preserve">Insumo de I5: Saldo reportado en las SICs - No comunes(Buró) </t>
  </si>
  <si>
    <t xml:space="preserve">Insumo de I5: Saldo reportado en las SICs - No comunes(Otra SIC) </t>
  </si>
  <si>
    <t xml:space="preserve">Insumo de I5: Saldo reportado en las SICs - Comunes (Buró yOtra SIC) </t>
  </si>
  <si>
    <t>Insumo 6: Antigüedad del acreditado con institucionesbancarias</t>
  </si>
  <si>
    <t>Veces monto a pagar con el sistema vs Banco Bajo</t>
  </si>
  <si>
    <t xml:space="preserve">%MTOSDO </t>
  </si>
  <si>
    <t>CALMICRO.txt</t>
  </si>
  <si>
    <t>Modelo de la Cartera Micro crédito Individual (Buro de crédito)</t>
  </si>
  <si>
    <t>Este modelo resuelve las siguientes variables, de acuerdo con lo dispuesto por la CNBV para la cartera de Micro crédito Individual.</t>
  </si>
  <si>
    <t>Micro crédito Individual</t>
  </si>
  <si>
    <t>Número de crédito</t>
  </si>
  <si>
    <t>Variable 1 - Meses desde el último atraso con bancos</t>
  </si>
  <si>
    <t>Insumo de V1 - Meses desde el último atraso con bancos – No comunes (Buró)</t>
  </si>
  <si>
    <t xml:space="preserve">Insumo de V1 - Meses desde el último atraso con bancos – No comunes (Otra SIC) </t>
  </si>
  <si>
    <t xml:space="preserve">Insumo de V1 - Meses desde el último atraso con bancos – Comunes (Buró y Otra SIC) </t>
  </si>
  <si>
    <t xml:space="preserve">Insumo 1: Monto a pagar reportado en las SICs </t>
  </si>
  <si>
    <t xml:space="preserve">Insumo de I1: Monto a pagar reportado en las SICs – No comunes (Buró) </t>
  </si>
  <si>
    <t xml:space="preserve">Insumo de I1: Monto a pagar reportado en las SICs – No comunes (Otra SIC) </t>
  </si>
  <si>
    <t>Insumo de I1: Monto a pagar reportado en las SICs – Comunes (Buro y Otra SIC)</t>
  </si>
  <si>
    <t xml:space="preserve">Insumo 2: Saldo reportado en las SICs </t>
  </si>
  <si>
    <t>Insumo de I2: Saldo reportado en las SICs – No comunes(Buró)</t>
  </si>
  <si>
    <t>Insumo de I2: Saldo reportado en las SICs – No comunes(Otra SIC)</t>
  </si>
  <si>
    <t xml:space="preserve">Insumo de I2: Saldo reportado en las SICs – Comunes (Buró yOtra SIC) </t>
  </si>
  <si>
    <t xml:space="preserve">%MTOSDO Monto a pagar vs saldo con el sistema </t>
  </si>
  <si>
    <t>Tabla Temporal</t>
  </si>
  <si>
    <t>FT_ACLARACIONESCNR</t>
  </si>
  <si>
    <t>Tabla Sistema</t>
  </si>
  <si>
    <t>ST_ACLARACIONESCNR</t>
  </si>
  <si>
    <t>ACLARACIONESCNR.txt</t>
  </si>
  <si>
    <t>Nombre DTS</t>
  </si>
  <si>
    <t>FT_ACLARACIONESCNR.dtsx</t>
  </si>
  <si>
    <t>Informacion correspondiente aclaraciones de Banxico</t>
  </si>
  <si>
    <t>Reportes Regulatorios.</t>
  </si>
  <si>
    <t>*</t>
  </si>
  <si>
    <t>IDValidacion</t>
  </si>
  <si>
    <t>NUMERICO(3)</t>
  </si>
  <si>
    <t>Seccion V CNR (3)</t>
  </si>
  <si>
    <t>En este campo deberá anotarse el ID de validación, del reporte de observaciones de la última generación.</t>
  </si>
  <si>
    <t>CNR</t>
  </si>
  <si>
    <t>IDGeneracion</t>
  </si>
  <si>
    <t>NUMERICO(2)</t>
  </si>
  <si>
    <t>Seccion V CNR (4)</t>
  </si>
  <si>
    <t>En este campo deberá anotarse el ID de reporte de observaciones correspondiente a la última generación</t>
  </si>
  <si>
    <t>ClasificacionMov</t>
  </si>
  <si>
    <t>NUMERICO(1)</t>
  </si>
  <si>
    <t>Seccion V CNR (5)</t>
  </si>
  <si>
    <t>En este campo deberá anotarse alguna de las claves que explique y catalogue la observación en función del negocio de forma general</t>
  </si>
  <si>
    <t>Clasifica_Mov_Acla</t>
  </si>
  <si>
    <t>Comentario</t>
  </si>
  <si>
    <t>TEXTO (255)</t>
  </si>
  <si>
    <t>Seccion V CNR (6)</t>
  </si>
  <si>
    <t>En este campo la institución deberá proporcionar la retroalimentación o aclaración de cada id de validación</t>
  </si>
  <si>
    <t>FT_ACLARACIONESCR</t>
  </si>
  <si>
    <t>ST_ACLARACIONESCR</t>
  </si>
  <si>
    <t>ACLARACIONESCR.txt</t>
  </si>
  <si>
    <t>FT_ACLARACIONESCR.dtsx</t>
  </si>
  <si>
    <t>Consumo Revolvente</t>
  </si>
  <si>
    <t>ACLARACIONES_CR</t>
  </si>
  <si>
    <t>IDVALIDACION</t>
  </si>
  <si>
    <t>Seccion ACLARACIONES</t>
  </si>
  <si>
    <t>In this field the validation ID, of the latest observations</t>
  </si>
  <si>
    <t>IDREPORTE</t>
  </si>
  <si>
    <t>En este campo deberá anotarse el ID de reporte de observaciones correspondiente a la última generación (disponible en la vista S1).</t>
  </si>
  <si>
    <t>In this field the report ID of the observations must be included</t>
  </si>
  <si>
    <t>TIPORESPUESTA</t>
  </si>
  <si>
    <t>Tipo_Respuesta_Acl</t>
  </si>
  <si>
    <t>En este campo deberá anotarse alguna de las siguientes claves que explique y catalogue la observación en función del negocio de forma general:</t>
  </si>
  <si>
    <t>In this field the catalog values must be included according to the type of observations</t>
  </si>
  <si>
    <t>COMENTARIO</t>
  </si>
  <si>
    <t>255</t>
  </si>
  <si>
    <t>En este campo la institución deberá proporcionar la retroalimentación o aclaración de cada id de validación (Campo 3). Este campo alfanumérico, sólo acepta combinaciones de letras y números por lo que no debe incluir signos (i.e. ¡,#,$,&amp;).</t>
  </si>
  <si>
    <t>In this field the institution must provide the feedback or resolutions of each validation (field 3)</t>
  </si>
  <si>
    <t>FT_ALTAS_CAT_CB_BM</t>
  </si>
  <si>
    <t>ST_ALTAS_CAT_CB_BM</t>
  </si>
  <si>
    <t>ALTAS_CAT_CB_BM.txt</t>
  </si>
  <si>
    <t>FT_ALTAS_CAT_CB_BM.dtsx</t>
  </si>
  <si>
    <t>Informacion correspondiente al reportes de ALTAS CAT</t>
  </si>
  <si>
    <t>ALTAS_CAT_CB_BM</t>
  </si>
  <si>
    <t>FECHA_OTORG</t>
  </si>
  <si>
    <t>Seccion CAT_CONSTITUCION_BASE</t>
  </si>
  <si>
    <t>Se debe reportar la fecha del contrato del otorgamiento de la línea de crédito revolvente de que se trate.</t>
  </si>
  <si>
    <t>Date when the loan contract was issued</t>
  </si>
  <si>
    <t>FOLIO_CRED</t>
  </si>
  <si>
    <t>Este campo debe ser exactamente igual al reportado en el campo 2, de la sección II, referente al Folio que la Institución asocia a la línea de crédito de que se trate, para cada uno de los registros a reportar en esta sección</t>
  </si>
  <si>
    <t>This Field must be the same as Section II loan identifier</t>
  </si>
  <si>
    <t>CAT_CONTRATO</t>
  </si>
  <si>
    <t>Se debe reportar el Costo Anual Total “CAT” contenido en el contrato del crédito al consumo revolvente de que se trate, de conformidad con el numeral 5.4.3.2 de la circular 21/2009.</t>
  </si>
  <si>
    <t>Total anual cost of the loan</t>
  </si>
  <si>
    <t>LIMITE_CREDITO</t>
  </si>
  <si>
    <t>8,0</t>
  </si>
  <si>
    <t>Se debe reportar el monto de la línea de crédito otorgada en el contrato.</t>
  </si>
  <si>
    <t>Amount of the credit line assigned to the loan</t>
  </si>
  <si>
    <t>ID_PRODUCTO</t>
  </si>
  <si>
    <t>Se debe reportar la clave que utilice la Institución (única e irrepe-tible), la cual deberá ser la misma en los reportes de todos los Periodo-mes</t>
  </si>
  <si>
    <t>Institution product id that is corresponding to the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</si>
</sst>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sz val="11"/>
      <color rgb="FF000000"/>
      <name val="Calibri Light"/>
      <family val="2"/>
    </font>
    <font>
      <sz val="12"/>
      <color rgb="FF000000"/>
      <name val="Nunito Regular"/>
    </font>
    <font>
      <b/>
      <sz val="12"/>
      <color theme="0"/>
      <name val="Calibri"/>
      <family val="2"/>
      <scheme val="minor"/>
    </font>
    <font>
      <vertAlign val="subscript"/>
      <sz val="12"/>
      <color theme="1"/>
      <name val="Calibri"/>
      <family val="2"/>
      <scheme val="minor"/>
    </font>
    <font>
      <vertAlign val="superscript"/>
      <sz val="12"/>
      <color theme="1"/>
      <name val="Calibri"/>
      <family val="2"/>
      <scheme val="minor"/>
    </font>
    <font>
      <b/>
      <sz val="11"/>
      <color theme="3"/>
      <name val="Calibri"/>
      <family val="2"/>
      <scheme val="minor"/>
    </font>
    <font>
      <sz val="7"/>
      <color rgb="FF000000"/>
      <name val="Arial"/>
      <family val="2"/>
    </font>
    <font>
      <b/>
      <sz val="10"/>
      <color theme="0"/>
      <name val="Calibri"/>
      <family val="2"/>
      <scheme val="minor"/>
    </font>
    <font>
      <sz val="11"/>
      <name val="Calibri"/>
      <family val="2"/>
      <scheme val="minor"/>
    </font>
    <font>
      <sz val="12"/>
      <color theme="1"/>
      <name val="Arial"/>
    </font>
    <font>
      <b/>
      <sz val="11"/>
      <color rgb="FF44546A"/>
      <name val="Calibri"/>
    </font>
    <font>
      <sz val="11"/>
      <color theme="1"/>
      <name val="Calibri"/>
    </font>
    <font>
      <b/>
      <sz val="11"/>
      <color theme="0"/>
      <name val="Nunito"/>
    </font>
    <font>
      <sz val="12"/>
      <color theme="1"/>
      <name val="Nunito"/>
    </font>
    <font>
      <sz val="12"/>
      <color theme="1"/>
      <name val="Calibri"/>
    </font>
    <font>
      <sz val="11"/>
      <color theme="1"/>
      <name val="Nunito"/>
    </font>
  </fonts>
  <fills count="9">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theme="4"/>
        <bgColor theme="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4" tint="0.39997558519241921"/>
      </left>
      <right/>
      <top/>
      <bottom/>
      <diagonal/>
    </border>
    <border>
      <left style="hair">
        <color indexed="64"/>
      </left>
      <right style="hair">
        <color indexed="64"/>
      </right>
      <top style="hair">
        <color indexed="64"/>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hair">
        <color indexed="64"/>
      </left>
      <right style="hair">
        <color indexed="64"/>
      </right>
      <top style="hair">
        <color indexed="64"/>
      </top>
      <bottom style="thin">
        <color theme="4" tint="0.39997558519241921"/>
      </bottom>
      <diagonal/>
    </border>
    <border>
      <left/>
      <right style="hair">
        <color indexed="64"/>
      </right>
      <top style="hair">
        <color indexed="64"/>
      </top>
      <bottom style="hair">
        <color indexed="64"/>
      </bottom>
      <diagonal/>
    </border>
  </borders>
  <cellStyleXfs count="7">
    <xf numFmtId="0" fontId="0"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0" fontId="2" fillId="0" borderId="0"/>
    <xf numFmtId="0" fontId="1" fillId="0" borderId="0"/>
    <xf numFmtId="0" fontId="18" fillId="0" borderId="0"/>
  </cellStyleXfs>
  <cellXfs count="65">
    <xf numFmtId="0" fontId="0" fillId="0" borderId="0" xfId="0"/>
    <xf numFmtId="0" fontId="5" fillId="0" borderId="0" xfId="1" applyFont="1"/>
    <xf numFmtId="0" fontId="6" fillId="0" borderId="0" xfId="0" applyFont="1"/>
    <xf numFmtId="0" fontId="6" fillId="0" borderId="0" xfId="0" applyFont="1" applyAlignment="1">
      <alignment horizontal="center"/>
    </xf>
    <xf numFmtId="0" fontId="7" fillId="0" borderId="0" xfId="0" applyFont="1"/>
    <xf numFmtId="4" fontId="6" fillId="0" borderId="0" xfId="0" applyNumberFormat="1" applyFont="1"/>
    <xf numFmtId="0" fontId="0" fillId="2" borderId="1" xfId="0" applyFill="1" applyBorder="1"/>
    <xf numFmtId="0" fontId="6" fillId="3" borderId="0" xfId="0" applyFont="1" applyFill="1"/>
    <xf numFmtId="0" fontId="0" fillId="3" borderId="1" xfId="0" applyFill="1" applyBorder="1"/>
    <xf numFmtId="0" fontId="0" fillId="0" borderId="1" xfId="0" applyBorder="1"/>
    <xf numFmtId="0" fontId="9" fillId="0" borderId="0" xfId="0" applyFont="1"/>
    <xf numFmtId="0" fontId="6" fillId="4" borderId="0" xfId="0" applyFont="1" applyFill="1"/>
    <xf numFmtId="0" fontId="6" fillId="5" borderId="0" xfId="0" applyFont="1" applyFill="1"/>
    <xf numFmtId="0" fontId="0" fillId="6" borderId="1" xfId="0" applyFill="1" applyBorder="1"/>
    <xf numFmtId="0" fontId="0" fillId="0" borderId="2" xfId="0" applyBorder="1"/>
    <xf numFmtId="0" fontId="0" fillId="2" borderId="0" xfId="0" applyFill="1"/>
    <xf numFmtId="0" fontId="8" fillId="0" borderId="0" xfId="0" applyFont="1"/>
    <xf numFmtId="49" fontId="8" fillId="0" borderId="0" xfId="0" applyNumberFormat="1" applyFont="1"/>
    <xf numFmtId="0" fontId="8" fillId="0" borderId="0" xfId="0" applyFont="1" applyAlignment="1">
      <alignment horizontal="center"/>
    </xf>
    <xf numFmtId="0" fontId="10" fillId="0" borderId="0" xfId="0" applyFont="1"/>
    <xf numFmtId="0" fontId="3" fillId="0" borderId="0" xfId="2"/>
    <xf numFmtId="49" fontId="6" fillId="0" borderId="0" xfId="0" applyNumberFormat="1" applyFont="1"/>
    <xf numFmtId="0" fontId="15" fillId="0" borderId="5" xfId="0" applyFont="1" applyBorder="1" applyAlignment="1">
      <alignment horizontal="center" vertical="center" wrapText="1"/>
    </xf>
    <xf numFmtId="0" fontId="15" fillId="0" borderId="6" xfId="0" applyFont="1" applyBorder="1" applyAlignment="1">
      <alignment horizontal="left" vertical="center" wrapText="1"/>
    </xf>
    <xf numFmtId="0" fontId="6" fillId="0" borderId="0" xfId="0" quotePrefix="1"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left"/>
    </xf>
    <xf numFmtId="0" fontId="6" fillId="0" borderId="3" xfId="0" applyFont="1" applyBorder="1"/>
    <xf numFmtId="0" fontId="6" fillId="0" borderId="4" xfId="0" applyFont="1" applyBorder="1"/>
    <xf numFmtId="49" fontId="6" fillId="0" borderId="4" xfId="0" applyNumberFormat="1" applyFont="1" applyBorder="1"/>
    <xf numFmtId="0" fontId="6" fillId="0" borderId="4" xfId="0" applyFont="1" applyBorder="1" applyAlignment="1">
      <alignment horizontal="center"/>
    </xf>
    <xf numFmtId="0" fontId="14" fillId="0" borderId="0" xfId="3"/>
    <xf numFmtId="0" fontId="2" fillId="0" borderId="0" xfId="4"/>
    <xf numFmtId="49" fontId="16" fillId="0" borderId="7" xfId="4" applyNumberFormat="1" applyFont="1" applyBorder="1" applyAlignment="1">
      <alignment vertical="center" wrapText="1"/>
    </xf>
    <xf numFmtId="49" fontId="16" fillId="0" borderId="0" xfId="4" applyNumberFormat="1" applyFont="1" applyAlignment="1">
      <alignment vertical="center" wrapText="1"/>
    </xf>
    <xf numFmtId="0" fontId="2" fillId="0" borderId="8" xfId="4" applyBorder="1"/>
    <xf numFmtId="0" fontId="0" fillId="0" borderId="0" xfId="0" quotePrefix="1"/>
    <xf numFmtId="0" fontId="1" fillId="0" borderId="0" xfId="5"/>
    <xf numFmtId="49" fontId="16" fillId="8" borderId="9" xfId="5" applyNumberFormat="1" applyFont="1" applyFill="1" applyBorder="1" applyAlignment="1">
      <alignment vertical="center" wrapText="1"/>
    </xf>
    <xf numFmtId="49" fontId="16" fillId="8" borderId="10" xfId="5" applyNumberFormat="1" applyFont="1" applyFill="1" applyBorder="1" applyAlignment="1">
      <alignment vertical="center" wrapText="1"/>
    </xf>
    <xf numFmtId="0" fontId="1" fillId="2" borderId="8" xfId="5" applyFill="1" applyBorder="1" applyAlignment="1">
      <alignment wrapText="1"/>
    </xf>
    <xf numFmtId="0" fontId="1" fillId="2" borderId="8" xfId="5" applyFill="1" applyBorder="1" applyAlignment="1">
      <alignment horizontal="center" vertical="center" wrapText="1"/>
    </xf>
    <xf numFmtId="0" fontId="17" fillId="2" borderId="8" xfId="5" applyFont="1" applyFill="1" applyBorder="1" applyAlignment="1">
      <alignment vertical="center" wrapText="1"/>
    </xf>
    <xf numFmtId="0" fontId="17" fillId="2" borderId="8" xfId="5" applyFont="1" applyFill="1" applyBorder="1" applyAlignment="1">
      <alignment wrapText="1"/>
    </xf>
    <xf numFmtId="0" fontId="1" fillId="0" borderId="0" xfId="5" applyAlignment="1">
      <alignment wrapText="1"/>
    </xf>
    <xf numFmtId="0" fontId="1" fillId="0" borderId="8" xfId="5" applyBorder="1" applyAlignment="1">
      <alignment wrapText="1"/>
    </xf>
    <xf numFmtId="0" fontId="17" fillId="0" borderId="8" xfId="5" applyFont="1" applyBorder="1" applyAlignment="1">
      <alignment wrapText="1"/>
    </xf>
    <xf numFmtId="0" fontId="17" fillId="0" borderId="8" xfId="5" applyFont="1" applyBorder="1" applyAlignment="1">
      <alignment vertical="center" wrapText="1"/>
    </xf>
    <xf numFmtId="0" fontId="1" fillId="2" borderId="11" xfId="5" applyFill="1" applyBorder="1" applyAlignment="1">
      <alignment wrapText="1"/>
    </xf>
    <xf numFmtId="0" fontId="17" fillId="0" borderId="12" xfId="5" applyFont="1" applyBorder="1" applyAlignment="1">
      <alignment wrapText="1"/>
    </xf>
    <xf numFmtId="0" fontId="19" fillId="0" borderId="0" xfId="6" applyFont="1"/>
    <xf numFmtId="0" fontId="20" fillId="0" borderId="0" xfId="6" applyFont="1"/>
    <xf numFmtId="0" fontId="18" fillId="0" borderId="0" xfId="6"/>
    <xf numFmtId="0" fontId="21" fillId="0" borderId="0" xfId="6" applyFont="1"/>
    <xf numFmtId="49" fontId="21" fillId="0" borderId="0" xfId="6" applyNumberFormat="1" applyFont="1"/>
    <xf numFmtId="0" fontId="21" fillId="0" borderId="0" xfId="6" applyFont="1" applyAlignment="1">
      <alignment horizontal="center"/>
    </xf>
    <xf numFmtId="0" fontId="22" fillId="0" borderId="0" xfId="6" applyFont="1"/>
    <xf numFmtId="49" fontId="22" fillId="0" borderId="0" xfId="6" applyNumberFormat="1" applyFont="1"/>
    <xf numFmtId="0" fontId="23" fillId="0" borderId="0" xfId="6" applyFont="1"/>
    <xf numFmtId="0" fontId="24" fillId="0" borderId="0" xfId="6" applyFont="1"/>
    <xf numFmtId="0" fontId="24" fillId="0" borderId="0" xfId="6" quotePrefix="1" applyFont="1"/>
    <xf numFmtId="0" fontId="24" fillId="0" borderId="0" xfId="6" applyFont="1" applyAlignment="1">
      <alignment horizontal="right"/>
    </xf>
    <xf numFmtId="0" fontId="0" fillId="6" borderId="0" xfId="0" applyFill="1"/>
    <xf numFmtId="0" fontId="11" fillId="7" borderId="0" xfId="0" applyFont="1" applyFill="1" applyAlignment="1">
      <alignment horizontal="center"/>
    </xf>
  </cellXfs>
  <cellStyles count="7">
    <cellStyle name="Encabezado 4" xfId="3" builtinId="19"/>
    <cellStyle name="Hipervínculo" xfId="1" builtinId="8"/>
    <cellStyle name="Normal" xfId="0" builtinId="0"/>
    <cellStyle name="Normal 2" xfId="2" xr:uid="{0CBC7C3D-0DC6-4D7F-ABA5-7D13AA249482}"/>
    <cellStyle name="Normal 2 2" xfId="4" xr:uid="{7C2C63AC-660F-4AB0-BB92-114BAEEA19D9}"/>
    <cellStyle name="Normal 2 3" xfId="5" xr:uid="{44A21778-8814-4FAD-B7A9-E591B14EA696}"/>
    <cellStyle name="Normal 3" xfId="6" xr:uid="{166143E4-B229-4C68-8F5B-D8366FC3A2FE}"/>
  </cellStyles>
  <dxfs count="52">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AclaracionesCR-style" pivot="0" count="3" xr9:uid="{06F94799-CC74-4EC9-919A-1AAF3D617E96}">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328DE-2E12-5B4C-A9A2-1255B70E30CB}" name="Table2810" displayName="Table2810" ref="A9:R131" totalsRowShown="0" headerRowDxfId="48" dataCellStyle="Normal">
  <autoFilter ref="A9:R131" xr:uid="{6DDD6832-E3F0-2F45-983B-BB320FA0AE2D}"/>
  <tableColumns count="18">
    <tableColumn id="1" xr3:uid="{58F03D80-86C2-0741-8337-AE4901C9E205}" name="LAYOUT" dataCellStyle="Normal"/>
    <tableColumn id="2" xr3:uid="{3449C9FD-64CF-4A49-B9BE-957912E8C3B8}" name="ORDEN" dataCellStyle="Normal"/>
    <tableColumn id="3" xr3:uid="{87C65620-647E-EF4E-9298-0E7EC6397CEB}" name="LLAVE" dataCellStyle="Normal"/>
    <tableColumn id="4" xr3:uid="{D0B3CDA8-CEAB-C049-9871-B7F60EEB943F}" name="NOMBRE_CAMPO" dataCellStyle="Normal"/>
    <tableColumn id="5" xr3:uid="{51FD2F0E-0ADC-3649-A6E6-D66440893F1E}" name="TIPO DATO" dataCellStyle="Normal"/>
    <tableColumn id="6" xr3:uid="{740B634A-7350-5E4B-8FCC-E2EE698534FB}" name="FORMATO" dataCellStyle="Normal"/>
    <tableColumn id="7" xr3:uid="{964B99C8-2382-BB44-A1AD-A3A0E9B47144}" name="OBLIGATORIO" dataCellStyle="Normal"/>
    <tableColumn id="8" xr3:uid="{A8039608-42C5-C447-A346-FCA6614B871F}" name="VALIDACION" dataCellStyle="Normal"/>
    <tableColumn id="9" xr3:uid="{FF804AB7-7143-DB4E-AE4B-F23F131601B6}" name="CATALOGO" dataCellStyle="Normal"/>
    <tableColumn id="10" xr3:uid="{92109DFF-81CD-0046-ADB8-3E109AC3BA52}" name="USO" dataCellStyle="Normal"/>
    <tableColumn id="11" xr3:uid="{3DE73176-B039-F141-9752-4E4BCFED9392}" name="COLUMNA REPORTE APLICA" dataCellStyle="Normal"/>
    <tableColumn id="12" xr3:uid="{B0F98FAB-F157-524A-BB72-107990E141DF}" name="DESCRIPCION" dataCellStyle="Normal"/>
    <tableColumn id="13" xr3:uid="{9D6724E8-7E9B-2045-BEC8-3B4BAAA1391A}" name="DESCRIPCION INGLES" dataCellStyle="Normal"/>
    <tableColumn id="14" xr3:uid="{E0838AED-1C7E-0E40-B261-3503432560D3}" name="OBSERVACIONES" dataCellStyle="Normal"/>
    <tableColumn id="15" xr3:uid="{FA67F84A-C5B8-1943-8531-9646A4A2FA40}" name="VALIDEZ INFORMACION" dataCellStyle="Normal"/>
    <tableColumn id="20" xr3:uid="{2CFD4EE8-13C3-450C-937F-082E44F17D94}" name="Calificacion" dataCellStyle="Normal"/>
    <tableColumn id="19" xr3:uid="{081973B4-0586-4D23-AEBD-4DD6B86FAF99}" name="Reportes" dataCellStyle="Normal"/>
    <tableColumn id="16" xr3:uid="{3AFB10A8-D26D-8A42-8060-FAE9AF7A3CA8}" name="FUENTE"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40DD3-BB47-48AB-918A-5AEED92EABEF}" name="Tabla4" displayName="Tabla4" ref="A136:O163" totalsRowShown="0">
  <autoFilter ref="A136:O163" xr:uid="{AE240DD3-BB47-48AB-918A-5AEED92EABEF}"/>
  <tableColumns count="15">
    <tableColumn id="1" xr3:uid="{D82B1C1D-684D-4496-A641-D47D23141421}" name="Orden"/>
    <tableColumn id="2" xr3:uid="{A071CE72-D12F-4D4B-80CC-46FC36E628BE}" name="Llave"/>
    <tableColumn id="3" xr3:uid="{9DB8D8BD-51A4-4994-9AA6-4831B01F891E}" name="Nombre"/>
    <tableColumn id="4" xr3:uid="{59A5021C-06A9-4742-86B1-05E4D186BDA6}" name="Tipo"/>
    <tableColumn id="5" xr3:uid="{805CE938-ABA0-470E-9BA9-B4545130FCBC}" name="Uso"/>
    <tableColumn id="6" xr3:uid="{AF79AE2F-85E2-43AC-BE9B-302DC2B9CF48}" name="Descripcion"/>
    <tableColumn id="7" xr3:uid="{823C84EC-720C-436F-89FF-214508F60569}" name="Descripcion Ingles"/>
    <tableColumn id="8" xr3:uid="{2D433ED1-9643-4044-839C-16F96CF1CD10}" name="Validacion1"/>
    <tableColumn id="9" xr3:uid="{13B131BC-E22A-4680-8264-CE0AED1C9D9B}" name="Catalogo"/>
    <tableColumn id="10" xr3:uid="{F3945475-73E3-413B-AA6C-A1D85658A5A0}" name="Metodologías"/>
    <tableColumn id="11" xr3:uid="{7B47E6C8-1796-497E-B7A7-9ECD26F810AE}" name="Calificación Obligatorio "/>
    <tableColumn id="12" xr3:uid="{D615F05C-201C-4CFB-A46A-0D3CDDB39A12}" name="Calificación Opcional"/>
    <tableColumn id="13" xr3:uid="{F0329DC6-3A27-4480-AD95-F9904CA6B5AD}" name="Reportes Obligatorio"/>
    <tableColumn id="14" xr3:uid="{DBE54468-790C-465A-ACD7-8BF8AB29303A}" name="Reportes Opcional"/>
    <tableColumn id="15" xr3:uid="{736818F5-A4CF-4EFE-A248-45E2FC742D50}" name="Column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F6899-C74D-4C23-855B-940EF1255FD0}" name="Tabla5" displayName="Tabla5" ref="A168:N181" totalsRowShown="0">
  <autoFilter ref="A168:N181" xr:uid="{80CF6899-C74D-4C23-855B-940EF1255FD0}"/>
  <tableColumns count="14">
    <tableColumn id="1" xr3:uid="{DC5C9323-5543-4EEB-900E-693E72C9D6AD}" name="Orden">
      <calculatedColumnFormula>A168+1</calculatedColumnFormula>
    </tableColumn>
    <tableColumn id="2" xr3:uid="{E004F791-DCE8-459E-98B5-93FE3EE7CD9A}" name="Llave"/>
    <tableColumn id="3" xr3:uid="{17A2DD6C-01F5-45F6-AA4E-10BB8C76F9B1}" name="Nombre"/>
    <tableColumn id="4" xr3:uid="{4D0D3993-CC0B-49C7-8D3A-F1854D682F6F}" name="Tipo"/>
    <tableColumn id="5" xr3:uid="{4E384B6F-B924-48D2-BC1A-6A89877A5DEA}" name="Uso"/>
    <tableColumn id="6" xr3:uid="{F2FD06A7-BE45-4835-8A34-1E37FAC6C231}" name="Descripcion"/>
    <tableColumn id="7" xr3:uid="{8CC39894-751D-4B02-A68B-54A91536C8D4}" name="Descripcion Ingles"/>
    <tableColumn id="8" xr3:uid="{75B8766B-5686-40A8-8E36-D31B8CF99196}" name="Validacion1"/>
    <tableColumn id="9" xr3:uid="{02C05B2D-9E02-46DC-95F9-20D6B8E840CE}" name="Catalogo"/>
    <tableColumn id="10" xr3:uid="{09B9CCB7-2171-40DD-A8F4-BE85CF03AA9C}" name="Metodologías"/>
    <tableColumn id="11" xr3:uid="{3B22ECA1-9876-40F8-8B5C-75200A50A936}" name="Calificación Obligatorio "/>
    <tableColumn id="12" xr3:uid="{CDA181B1-44B7-4C2C-A582-7151EE7DCF8B}" name="Calificación Opcional"/>
    <tableColumn id="13" xr3:uid="{24B79646-E244-4EA1-B3FD-510CB4912E22}" name="Reportes Obligatorio"/>
    <tableColumn id="14" xr3:uid="{42F42384-D832-487D-9DF5-F506AFF40DBA}" name="Reportes Opcional"/>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4B375-D000-401A-93FA-C464D9BFED2F}" name="Table281011" displayName="Table281011" ref="A9:P30" totalsRowShown="0" headerRowDxfId="47" dataDxfId="46">
  <tableColumns count="16">
    <tableColumn id="1" xr3:uid="{31D5F09A-9C95-4F9D-93C5-E1CD1E95CF18}" name="LAYOUT" dataDxfId="45"/>
    <tableColumn id="2" xr3:uid="{7F0DD781-7E56-4168-BA71-591026FD45E9}" name="ORDEN" dataDxfId="44"/>
    <tableColumn id="3" xr3:uid="{38FAB8CD-EDA0-4BE5-9379-4E1A481A1966}" name="LLAVE" dataDxfId="43"/>
    <tableColumn id="4" xr3:uid="{3B673FB2-DE68-4748-BBB2-C3BE5A80F881}" name="NOMBRE_CAMPO" dataDxfId="42"/>
    <tableColumn id="5" xr3:uid="{D63645A7-7065-4BAD-80FC-298E2435D589}" name="TIPO DATO" dataDxfId="41"/>
    <tableColumn id="6" xr3:uid="{D266D68E-8452-4ED2-9AD7-13DA474B5B9C}" name="FORMATO" dataDxfId="40"/>
    <tableColumn id="7" xr3:uid="{3592D015-86C3-45FC-BF0A-7B1164FBC4F1}" name="OBLIGATORIO" dataDxfId="39"/>
    <tableColumn id="8" xr3:uid="{0AEB9CA6-3914-4B65-844D-72280AAE065F}" name="VALIDACION" dataDxfId="38"/>
    <tableColumn id="9" xr3:uid="{E984A0FA-4AC3-45BF-897D-67853008C762}" name="CATALOGO" dataDxfId="37"/>
    <tableColumn id="10" xr3:uid="{2462E587-593C-4D90-9AE4-E3E2B4FC2187}" name="USO" dataDxfId="36"/>
    <tableColumn id="11" xr3:uid="{AD0EC05A-7950-44D7-ADB7-BA201E256A9F}" name="COLUMNA REPORTE APLICA" dataDxfId="35"/>
    <tableColumn id="12" xr3:uid="{5902804E-D7CF-4981-9C4D-0D7877C9894C}" name="DESCRIPCION" dataDxfId="34"/>
    <tableColumn id="13" xr3:uid="{F29DB43B-3615-4CDC-9B84-FC2D5ABDAFFF}" name="DESCRIPCION INGLES" dataDxfId="33"/>
    <tableColumn id="14" xr3:uid="{721DEEB6-8CDF-4214-84A2-8D83131BF0C0}" name="OBSERVACIONES" dataDxfId="32"/>
    <tableColumn id="15" xr3:uid="{0ED0D4DA-93C5-4066-9F03-B218F12584EA}" name="VALIDEZ INFORMACION" dataDxfId="31"/>
    <tableColumn id="16" xr3:uid="{D3915E19-E9A9-4DB5-A426-A8225F1377D0}" name="FUENTE" dataDxfId="3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3AF2DD-BF74-4605-A56C-EB45C511ACE4}" name="Table28101112" displayName="Table28101112" ref="A9:P12" totalsRowShown="0" headerRowDxfId="29" dataDxfId="28">
  <tableColumns count="16">
    <tableColumn id="1" xr3:uid="{E6E126AA-D5C3-4A68-8B31-BE4BA3293E45}" name="LAYOUT" dataDxfId="27"/>
    <tableColumn id="2" xr3:uid="{7BCA6BAD-AAFC-4B04-8465-7C9FDAC15BAC}" name="ORDEN" dataDxfId="26"/>
    <tableColumn id="3" xr3:uid="{50B3C57F-829E-4384-B283-7123B1EA9E56}" name="LLAVE" dataDxfId="25"/>
    <tableColumn id="4" xr3:uid="{89711A9C-0DB8-4F6F-8745-68CC5C16C12F}" name="NOMBRE_CAMPO" dataDxfId="24"/>
    <tableColumn id="5" xr3:uid="{35856BB4-5C0E-4F4B-B36E-4C1B01CD2735}" name="TIPO DATO" dataDxfId="23"/>
    <tableColumn id="6" xr3:uid="{D3041E4E-647D-40CC-80DF-5CF99FCED441}" name="FORMATO" dataDxfId="22"/>
    <tableColumn id="7" xr3:uid="{01153082-9681-45A0-AA44-38D71C1D799E}" name="OBLIGATORIO" dataDxfId="21"/>
    <tableColumn id="8" xr3:uid="{DAFE54C5-189D-46BE-B692-A479C0659DAB}" name="VALIDACION" dataDxfId="20"/>
    <tableColumn id="9" xr3:uid="{9D09745C-1273-4B6D-AD9E-6BCB7A788105}" name="CATALOGO" dataDxfId="19"/>
    <tableColumn id="10" xr3:uid="{C6C8AC58-A522-4DCB-A6F4-056B62A03A4D}" name="USO" dataDxfId="18"/>
    <tableColumn id="11" xr3:uid="{B238264E-F856-4B7B-8A49-82B811F6E06F}" name="COLUMNA REPORTE APLICA" dataDxfId="17"/>
    <tableColumn id="12" xr3:uid="{D5DDE6C7-9F43-4961-B9F6-4CB3E49CBC49}" name="DESCRIPCION" dataDxfId="16"/>
    <tableColumn id="13" xr3:uid="{FB711606-CDD9-4249-8669-AA7E5501612F}" name="DESCRIPCION INGLES" dataDxfId="15"/>
    <tableColumn id="14" xr3:uid="{8BEAAD0F-C213-4278-B768-7DF6FB390B53}" name="OBSERVACIONES" dataDxfId="14"/>
    <tableColumn id="15" xr3:uid="{AD21E5A8-FFED-4E81-A6D6-BDB9D337AF55}" name="VALIDEZ INFORMACION" dataDxfId="13"/>
    <tableColumn id="16" xr3:uid="{29B25B66-82C2-45E0-965F-850410C8EB9A}" name="FUENTE" dataDxfId="1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5ED46-581E-467D-B64D-3A994530FEDB}" name="Table245791825" displayName="Table245791825" ref="A8:P13" totalsRowShown="0" headerRowCellStyle="Normal" dataCellStyle="Normal">
  <autoFilter ref="A8:P13" xr:uid="{00000000-0009-0000-0100-000018000000}"/>
  <tableColumns count="16">
    <tableColumn id="1" xr3:uid="{E6744843-FA0C-4454-A57D-E963AF69537D}" name="Orden" dataCellStyle="Normal"/>
    <tableColumn id="16" xr3:uid="{9E388E3A-3D19-48EB-ADF2-2F76B042FA08}" name="Llave" dataCellStyle="Normal"/>
    <tableColumn id="2" xr3:uid="{AC6C8647-0045-47A1-9B4D-02D5E9AC428D}" name="Nombre" dataCellStyle="Normal"/>
    <tableColumn id="3" xr3:uid="{DC59B786-F181-4783-B9BF-B6C397C287CC}" name="Tipo" dataCellStyle="Normal"/>
    <tableColumn id="15" xr3:uid="{69BA09DC-474D-49C0-93CF-2AF3B52B7A69}" name="Requerido?" dataCellStyle="Normal"/>
    <tableColumn id="4" xr3:uid="{68681679-BF0A-464B-BC7B-B5A8400C5C7A}" name="Uso" dataCellStyle="Normal"/>
    <tableColumn id="5" xr3:uid="{5FB218DA-E156-4E77-96F0-79D973FC4F9E}" name="Descripcion" dataCellStyle="Normal"/>
    <tableColumn id="17" xr3:uid="{86D1E404-00E5-4692-BA80-D922C149016A}" name="Descripcion Ingles" dataCellStyle="Normal"/>
    <tableColumn id="6" xr3:uid="{0FB9EAC3-7B9C-4E5D-82F9-3E3FA8E92D66}" name="Validaciones" dataCellStyle="Normal"/>
    <tableColumn id="7" xr3:uid="{4BC307AE-B7AD-4676-AC77-0926122B34FA}" name="Catalogo" dataCellStyle="Normal"/>
    <tableColumn id="8" xr3:uid="{78655F70-CA64-4C9A-B0E3-E1C972AED690}" name="Metodologías" dataCellStyle="Normal"/>
    <tableColumn id="9" xr3:uid="{26160E23-1D2D-472C-A91A-0810F35BA957}" name="Calificacion Obligatorio " dataCellStyle="Normal"/>
    <tableColumn id="10" xr3:uid="{E8FA8448-9F58-4756-9AF8-EED2DF47C3C2}" name="Calificacion Opcional" dataCellStyle="Normal"/>
    <tableColumn id="11" xr3:uid="{2424F154-5861-43E6-BFD2-A70F78F2DFE8}" name="Reportes Obligatorio" dataCellStyle="Normal"/>
    <tableColumn id="12" xr3:uid="{3AF04DB8-FD75-47FC-839A-79B971DF9315}" name="Reportes Opcional" dataCellStyle="Normal"/>
    <tableColumn id="13" xr3:uid="{8D0DFCE0-1F19-4D90-9494-B5220108FE84}" name="Campo BW" dataCellStyle="Normal"/>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E80E8-BC1B-4ED0-BE86-4A7588405110}" name="Table29" displayName="Table29" ref="A5:B36" totalsRowShown="0" headerRowDxfId="11" dataDxfId="10" headerRowBorderDxfId="8" tableBorderDxfId="9">
  <autoFilter ref="A5:B36" xr:uid="{00000000-0009-0000-0100-00001D000000}"/>
  <tableColumns count="2">
    <tableColumn id="1" xr3:uid="{81312AED-DBCE-40F0-8D05-CACEEEDADA07}" name="Orden" dataDxfId="7"/>
    <tableColumn id="2" xr3:uid="{09A4AB65-D7ED-4014-BA66-1FF728EC072C}" name="Nombre" dataDxfId="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F456C6-EC2B-46F3-A023-CF92248E1EDA}" name="Table2933" displayName="Table2933" ref="A5:B19" totalsRowShown="0" headerRowDxfId="5" dataDxfId="4" headerRowBorderDxfId="2" tableBorderDxfId="3">
  <autoFilter ref="A5:B19" xr:uid="{00000000-0009-0000-0100-000020000000}"/>
  <tableColumns count="2">
    <tableColumn id="1" xr3:uid="{FE47346C-BA6C-440E-8DE5-613629A0CB9D}" name="Orden" dataDxfId="1"/>
    <tableColumn id="2" xr3:uid="{17B237F5-F4B9-46D3-950F-9038DE79C0E5}" name="Nombre" dataDxfId="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29D71-EF33-4460-8075-3F6D4CCB0174}" name="Table_1" displayName="Table_1" ref="A10:P14">
  <tableColumns count="16">
    <tableColumn id="1" xr3:uid="{23BE3741-2111-4DC4-B486-FACC7A12334B}" name="LAYOUT"/>
    <tableColumn id="2" xr3:uid="{A9D75D0B-42B4-4C48-AB64-FBE1014321B9}" name="ORDEN"/>
    <tableColumn id="3" xr3:uid="{6E4EF6E3-681D-4140-81C9-521D1B98B0F8}" name="LLAVE"/>
    <tableColumn id="4" xr3:uid="{420CEAE6-5BC5-434A-93FB-CAD11004557D}" name="NOMBRE_CAMPO"/>
    <tableColumn id="5" xr3:uid="{A965C95B-D870-4B90-8E58-0AEB14DD7F8F}" name="TIPO DATO"/>
    <tableColumn id="6" xr3:uid="{091ED6D5-EB3E-4437-9DF2-5290AE63C979}" name="FORMATO"/>
    <tableColumn id="7" xr3:uid="{DE3D2198-180A-4AE0-9946-5ECBEA67A79F}" name="OBLIGATORIO"/>
    <tableColumn id="8" xr3:uid="{1D7D3787-0AE2-4338-8915-09BA8F95920A}" name="VALIDACION"/>
    <tableColumn id="9" xr3:uid="{EBCC8F18-0823-4E9F-80F8-3C400B7FAF82}" name="CATALOGO"/>
    <tableColumn id="10" xr3:uid="{9D9221DC-057F-4477-83AC-5B8E5755BE5A}" name="USO"/>
    <tableColumn id="11" xr3:uid="{5B21506E-3F33-4569-B052-775FD3D022CE}" name="COLUMNA REPORTE APLICA"/>
    <tableColumn id="12" xr3:uid="{59AE19FC-04DC-4867-8743-CDC65EBEBF86}" name="DESCRIPCION"/>
    <tableColumn id="13" xr3:uid="{4429457A-69D5-4265-B93C-D8D50A8E7588}" name="DESCRIPCION INGLES"/>
    <tableColumn id="14" xr3:uid="{C6AEF4C8-E29D-4F43-8AC2-27D07F9AAC18}" name="OBSERVACIONES"/>
    <tableColumn id="15" xr3:uid="{D016ADBF-16D9-4D61-92B9-CCE4840F87A1}" name="VALIDEZ INFORMACION"/>
    <tableColumn id="16" xr3:uid="{C36F51EE-28D9-4274-9FAB-334616F035FB}" name="FUENTE"/>
  </tableColumns>
  <tableStyleInfo name="AclaracionesCR-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6DC239-DB06-4B20-A927-9CDB518454DE}" name="Table_111" displayName="Table_111" ref="A10:P15">
  <tableColumns count="16">
    <tableColumn id="1" xr3:uid="{40B85C8D-4A29-47B5-8F7B-D9EDFDD94EEF}" name="LAYOUT"/>
    <tableColumn id="2" xr3:uid="{8A6B9C8D-2269-47EC-9660-32A71E6805A1}" name="ORDEN"/>
    <tableColumn id="3" xr3:uid="{2F3A74E0-246B-4946-8A57-A2338BF367F8}" name="LLAVE"/>
    <tableColumn id="4" xr3:uid="{2DC8B2D9-9F7E-42FE-90D0-B7D8615156E1}" name="NOMBRE_CAMPO"/>
    <tableColumn id="5" xr3:uid="{6C317B28-5BD6-408D-8347-075C06018100}" name="TIPO DATO"/>
    <tableColumn id="6" xr3:uid="{5EB8EC90-D13E-425C-9EB9-9355E16C4FAA}" name="FORMATO"/>
    <tableColumn id="7" xr3:uid="{D970C408-CFE7-4E44-9AF4-69D1679D5618}" name="OBLIGATORIO"/>
    <tableColumn id="8" xr3:uid="{93AF6399-0C6A-44D5-8F54-828CBA04BCF9}" name="VALIDACION"/>
    <tableColumn id="9" xr3:uid="{7C894FE4-6067-4542-B2B5-FF2844F4D725}" name="CATALOGO"/>
    <tableColumn id="10" xr3:uid="{DBB24DDB-7497-489F-8E22-90E3DB809803}" name="USO"/>
    <tableColumn id="11" xr3:uid="{F96F785A-371D-4DBA-98AC-A1C474FC416F}" name="COLUMNA REPORTE APLICA"/>
    <tableColumn id="12" xr3:uid="{FB549F63-D35A-4744-B320-6A79D4DD1669}" name="DESCRIPCION"/>
    <tableColumn id="13" xr3:uid="{2B246F86-B3E0-4267-9601-FF4A10569EC1}" name="DESCRIPCION INGLES"/>
    <tableColumn id="14" xr3:uid="{D6FF4DB3-74F7-4C92-B54A-C4C1E335EA18}" name="OBSERVACIONES"/>
    <tableColumn id="15" xr3:uid="{0D392A16-FF24-4C70-A60E-D181D381C6B4}" name="VALIDEZ INFORMACION"/>
    <tableColumn id="16" xr3:uid="{B1F2CDAC-4A55-47DB-9E2A-1CB20349DC53}" name="FUENTE"/>
  </tableColumns>
  <tableStyleInfo name="AclaracionesCR-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3EEF-25EC-3545-86E5-4B6D455BE5A4}">
  <dimension ref="A1:AQ181"/>
  <sheetViews>
    <sheetView tabSelected="1" topLeftCell="I144" zoomScaleNormal="100" workbookViewId="0">
      <selection activeCell="D128" sqref="D128"/>
    </sheetView>
  </sheetViews>
  <sheetFormatPr defaultColWidth="10.875" defaultRowHeight="18.600000000000001"/>
  <cols>
    <col min="1" max="1" width="11.875" style="2" customWidth="1"/>
    <col min="2" max="2" width="8.875" style="2" customWidth="1"/>
    <col min="3" max="3" width="9.125" style="2" customWidth="1"/>
    <col min="4" max="4" width="27" style="2" customWidth="1"/>
    <col min="5" max="5" width="11.625" style="2" customWidth="1"/>
    <col min="6" max="6" width="12.25" style="2" customWidth="1"/>
    <col min="7" max="7" width="26.375" style="2" customWidth="1"/>
    <col min="8" max="8" width="36.5" style="3" customWidth="1"/>
    <col min="9" max="9" width="30.375" style="3" customWidth="1"/>
    <col min="10" max="10" width="30" style="2" customWidth="1"/>
    <col min="11" max="11" width="32.125" style="2" customWidth="1"/>
    <col min="12" max="12" width="34" style="2" customWidth="1"/>
    <col min="13" max="13" width="21.625" style="2" customWidth="1"/>
    <col min="14" max="14" width="17.75" style="2" customWidth="1"/>
    <col min="15" max="15" width="10.875" style="2"/>
    <col min="16" max="16" width="14.875" style="2" bestFit="1" customWidth="1"/>
    <col min="17" max="16384" width="10.875" style="2"/>
  </cols>
  <sheetData>
    <row r="1" spans="1:27">
      <c r="A1" s="1"/>
    </row>
    <row r="2" spans="1:27">
      <c r="A2" s="2" t="s">
        <v>0</v>
      </c>
      <c r="B2" s="2" t="s">
        <v>1</v>
      </c>
    </row>
    <row r="3" spans="1:27">
      <c r="A3" s="2" t="s">
        <v>2</v>
      </c>
      <c r="B3" s="2" t="s">
        <v>3</v>
      </c>
    </row>
    <row r="4" spans="1:27">
      <c r="A4" s="2" t="s">
        <v>4</v>
      </c>
      <c r="B4" s="2" t="s">
        <v>5</v>
      </c>
    </row>
    <row r="5" spans="1:27">
      <c r="A5" s="2" t="s">
        <v>6</v>
      </c>
      <c r="B5" s="2" t="s">
        <v>7</v>
      </c>
    </row>
    <row r="6" spans="1:27">
      <c r="A6" s="1"/>
    </row>
    <row r="7" spans="1:27" ht="35.450000000000003">
      <c r="A7" s="4" t="s">
        <v>8</v>
      </c>
      <c r="J7" s="5"/>
      <c r="K7" s="5"/>
    </row>
    <row r="9" spans="1:27">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7" t="s">
        <v>24</v>
      </c>
      <c r="Q9" s="17" t="s">
        <v>25</v>
      </c>
      <c r="R9" s="16" t="s">
        <v>26</v>
      </c>
      <c r="T9" s="2" t="s">
        <v>27</v>
      </c>
      <c r="U9" s="2" t="s">
        <v>28</v>
      </c>
      <c r="V9" s="2" t="s">
        <v>29</v>
      </c>
      <c r="W9" s="2" t="s">
        <v>30</v>
      </c>
    </row>
    <row r="10" spans="1:27">
      <c r="A10" t="s">
        <v>8</v>
      </c>
      <c r="B10">
        <v>1</v>
      </c>
      <c r="C10" t="s">
        <v>31</v>
      </c>
      <c r="D10" t="s">
        <v>32</v>
      </c>
      <c r="E10" t="s">
        <v>33</v>
      </c>
      <c r="F10" t="s">
        <v>34</v>
      </c>
      <c r="G10" t="s">
        <v>35</v>
      </c>
      <c r="H10"/>
      <c r="I10"/>
      <c r="J10" t="s">
        <v>36</v>
      </c>
      <c r="K10" s="37" t="s">
        <v>37</v>
      </c>
      <c r="L10" t="s">
        <v>38</v>
      </c>
      <c r="M10" t="s">
        <v>39</v>
      </c>
      <c r="N10"/>
      <c r="O10" t="s">
        <v>40</v>
      </c>
      <c r="P10" t="s">
        <v>35</v>
      </c>
      <c r="Q10" t="s">
        <v>35</v>
      </c>
      <c r="R10" t="s">
        <v>40</v>
      </c>
      <c r="T10" s="2" t="s">
        <v>41</v>
      </c>
      <c r="U10" s="2" t="s">
        <v>42</v>
      </c>
      <c r="V10" s="2">
        <v>1</v>
      </c>
      <c r="W10" s="6" t="s">
        <v>43</v>
      </c>
      <c r="Y10" s="2" t="s">
        <v>42</v>
      </c>
      <c r="Z10" s="2">
        <v>37</v>
      </c>
      <c r="AA10" s="9" t="s">
        <v>44</v>
      </c>
    </row>
    <row r="11" spans="1:27" s="7" customFormat="1">
      <c r="A11" t="s">
        <v>8</v>
      </c>
      <c r="B11">
        <v>2</v>
      </c>
      <c r="C11" t="s">
        <v>35</v>
      </c>
      <c r="D11" t="s">
        <v>45</v>
      </c>
      <c r="E11" t="s">
        <v>33</v>
      </c>
      <c r="F11" t="s">
        <v>34</v>
      </c>
      <c r="G11" t="s">
        <v>35</v>
      </c>
      <c r="H11" t="s">
        <v>46</v>
      </c>
      <c r="I11"/>
      <c r="J11" t="s">
        <v>36</v>
      </c>
      <c r="K11" s="37" t="s">
        <v>47</v>
      </c>
      <c r="L11" t="s">
        <v>48</v>
      </c>
      <c r="M11" t="s">
        <v>49</v>
      </c>
      <c r="N11"/>
      <c r="O11" t="s">
        <v>40</v>
      </c>
      <c r="P11" t="s">
        <v>35</v>
      </c>
      <c r="Q11" t="s">
        <v>35</v>
      </c>
      <c r="R11" t="s">
        <v>40</v>
      </c>
      <c r="T11" s="7" t="s">
        <v>50</v>
      </c>
      <c r="U11" s="7" t="s">
        <v>42</v>
      </c>
      <c r="V11" s="7">
        <v>2</v>
      </c>
      <c r="W11" s="8" t="s">
        <v>51</v>
      </c>
      <c r="X11" s="2"/>
      <c r="Y11" s="2" t="s">
        <v>42</v>
      </c>
      <c r="Z11" s="2">
        <v>36</v>
      </c>
      <c r="AA11" s="9" t="s">
        <v>52</v>
      </c>
    </row>
    <row r="12" spans="1:27">
      <c r="A12" t="s">
        <v>8</v>
      </c>
      <c r="B12">
        <v>3</v>
      </c>
      <c r="C12" t="s">
        <v>31</v>
      </c>
      <c r="D12" t="s">
        <v>53</v>
      </c>
      <c r="E12" t="s">
        <v>33</v>
      </c>
      <c r="F12" t="s">
        <v>54</v>
      </c>
      <c r="G12" t="s">
        <v>35</v>
      </c>
      <c r="H12"/>
      <c r="I12"/>
      <c r="J12" t="s">
        <v>36</v>
      </c>
      <c r="K12" s="37" t="s">
        <v>55</v>
      </c>
      <c r="L12" t="s">
        <v>56</v>
      </c>
      <c r="M12" t="s">
        <v>57</v>
      </c>
      <c r="N12"/>
      <c r="O12"/>
      <c r="P12"/>
      <c r="Q12" t="s">
        <v>35</v>
      </c>
      <c r="R12"/>
      <c r="T12" s="2" t="s">
        <v>50</v>
      </c>
      <c r="U12" s="2" t="s">
        <v>42</v>
      </c>
      <c r="V12" s="2">
        <v>11</v>
      </c>
      <c r="W12" s="6" t="s">
        <v>58</v>
      </c>
    </row>
    <row r="13" spans="1:27">
      <c r="A13" t="s">
        <v>8</v>
      </c>
      <c r="B13">
        <v>4</v>
      </c>
      <c r="C13" t="s">
        <v>31</v>
      </c>
      <c r="D13" t="s">
        <v>59</v>
      </c>
      <c r="E13" t="s">
        <v>60</v>
      </c>
      <c r="F13" t="s">
        <v>61</v>
      </c>
      <c r="G13" t="s">
        <v>35</v>
      </c>
      <c r="H13"/>
      <c r="I13"/>
      <c r="J13" t="s">
        <v>36</v>
      </c>
      <c r="K13" s="37" t="s">
        <v>62</v>
      </c>
      <c r="L13" t="s">
        <v>63</v>
      </c>
      <c r="M13" t="s">
        <v>64</v>
      </c>
      <c r="N13"/>
      <c r="O13"/>
      <c r="P13"/>
      <c r="Q13" t="s">
        <v>35</v>
      </c>
      <c r="R13"/>
      <c r="T13" s="2" t="s">
        <v>50</v>
      </c>
      <c r="U13" s="2" t="s">
        <v>42</v>
      </c>
      <c r="V13" s="2">
        <v>8</v>
      </c>
      <c r="W13" s="9" t="s">
        <v>65</v>
      </c>
    </row>
    <row r="14" spans="1:27">
      <c r="A14" t="s">
        <v>8</v>
      </c>
      <c r="B14">
        <v>5</v>
      </c>
      <c r="C14" t="s">
        <v>31</v>
      </c>
      <c r="D14" t="s">
        <v>66</v>
      </c>
      <c r="E14" t="s">
        <v>60</v>
      </c>
      <c r="F14" t="s">
        <v>61</v>
      </c>
      <c r="G14" t="s">
        <v>35</v>
      </c>
      <c r="H14"/>
      <c r="I14"/>
      <c r="J14" t="s">
        <v>36</v>
      </c>
      <c r="K14" s="37" t="s">
        <v>67</v>
      </c>
      <c r="L14" t="s">
        <v>68</v>
      </c>
      <c r="M14" t="s">
        <v>69</v>
      </c>
      <c r="N14"/>
      <c r="O14"/>
      <c r="P14"/>
      <c r="Q14" t="s">
        <v>35</v>
      </c>
      <c r="R14"/>
      <c r="T14" s="2" t="s">
        <v>41</v>
      </c>
      <c r="U14" s="2" t="s">
        <v>42</v>
      </c>
      <c r="V14" s="2">
        <v>13</v>
      </c>
      <c r="W14" s="6" t="s">
        <v>70</v>
      </c>
    </row>
    <row r="15" spans="1:27">
      <c r="A15" t="s">
        <v>8</v>
      </c>
      <c r="B15">
        <v>6</v>
      </c>
      <c r="C15" t="s">
        <v>31</v>
      </c>
      <c r="D15" t="s">
        <v>71</v>
      </c>
      <c r="E15" t="s">
        <v>60</v>
      </c>
      <c r="F15" t="s">
        <v>61</v>
      </c>
      <c r="G15" t="s">
        <v>35</v>
      </c>
      <c r="H15"/>
      <c r="I15"/>
      <c r="J15" t="s">
        <v>36</v>
      </c>
      <c r="K15" s="37" t="s">
        <v>72</v>
      </c>
      <c r="L15" t="s">
        <v>73</v>
      </c>
      <c r="M15" t="s">
        <v>74</v>
      </c>
      <c r="N15"/>
      <c r="O15"/>
      <c r="P15"/>
      <c r="Q15" t="s">
        <v>35</v>
      </c>
      <c r="R15"/>
      <c r="W15" s="9"/>
    </row>
    <row r="16" spans="1:27">
      <c r="A16" t="s">
        <v>8</v>
      </c>
      <c r="B16">
        <v>7</v>
      </c>
      <c r="C16" t="s">
        <v>31</v>
      </c>
      <c r="D16" t="s">
        <v>75</v>
      </c>
      <c r="E16" t="s">
        <v>60</v>
      </c>
      <c r="F16" t="s">
        <v>61</v>
      </c>
      <c r="G16" t="s">
        <v>35</v>
      </c>
      <c r="H16"/>
      <c r="I16"/>
      <c r="J16" t="s">
        <v>76</v>
      </c>
      <c r="K16" s="37" t="s">
        <v>77</v>
      </c>
      <c r="L16" t="s">
        <v>78</v>
      </c>
      <c r="M16" t="s">
        <v>74</v>
      </c>
      <c r="N16"/>
      <c r="O16"/>
      <c r="P16"/>
      <c r="Q16" t="s">
        <v>35</v>
      </c>
      <c r="R16"/>
      <c r="T16" s="2" t="s">
        <v>50</v>
      </c>
      <c r="U16" s="2" t="s">
        <v>42</v>
      </c>
      <c r="V16" s="2">
        <v>14</v>
      </c>
      <c r="W16" s="9" t="s">
        <v>79</v>
      </c>
    </row>
    <row r="17" spans="1:24">
      <c r="A17" t="s">
        <v>8</v>
      </c>
      <c r="B17">
        <v>8</v>
      </c>
      <c r="C17" t="s">
        <v>31</v>
      </c>
      <c r="D17" t="s">
        <v>80</v>
      </c>
      <c r="E17" t="s">
        <v>81</v>
      </c>
      <c r="F17" s="37" t="s">
        <v>82</v>
      </c>
      <c r="G17" t="s">
        <v>35</v>
      </c>
      <c r="H17" t="s">
        <v>83</v>
      </c>
      <c r="I17" t="s">
        <v>84</v>
      </c>
      <c r="J17" t="s">
        <v>36</v>
      </c>
      <c r="K17" s="37" t="s">
        <v>85</v>
      </c>
      <c r="L17" t="s">
        <v>86</v>
      </c>
      <c r="M17" t="s">
        <v>87</v>
      </c>
      <c r="N17"/>
      <c r="O17"/>
      <c r="P17" s="37"/>
      <c r="Q17" s="37" t="s">
        <v>35</v>
      </c>
      <c r="R17"/>
      <c r="W17" s="9"/>
    </row>
    <row r="18" spans="1:24">
      <c r="A18" t="s">
        <v>8</v>
      </c>
      <c r="B18">
        <v>9</v>
      </c>
      <c r="C18" t="s">
        <v>31</v>
      </c>
      <c r="D18" t="s">
        <v>88</v>
      </c>
      <c r="E18" t="s">
        <v>81</v>
      </c>
      <c r="F18" t="s">
        <v>89</v>
      </c>
      <c r="G18" t="s">
        <v>35</v>
      </c>
      <c r="H18" t="s">
        <v>83</v>
      </c>
      <c r="I18" t="s">
        <v>90</v>
      </c>
      <c r="J18" t="s">
        <v>36</v>
      </c>
      <c r="K18" s="37" t="s">
        <v>91</v>
      </c>
      <c r="L18" t="s">
        <v>92</v>
      </c>
      <c r="M18" t="s">
        <v>93</v>
      </c>
      <c r="N18"/>
      <c r="O18"/>
      <c r="P18"/>
      <c r="Q18" t="s">
        <v>35</v>
      </c>
      <c r="R18"/>
      <c r="T18" s="2" t="s">
        <v>50</v>
      </c>
      <c r="U18" s="2" t="s">
        <v>42</v>
      </c>
      <c r="V18" s="2">
        <v>12</v>
      </c>
      <c r="W18" s="9" t="s">
        <v>94</v>
      </c>
    </row>
    <row r="19" spans="1:24">
      <c r="A19" t="s">
        <v>8</v>
      </c>
      <c r="B19">
        <v>10</v>
      </c>
      <c r="C19" t="s">
        <v>31</v>
      </c>
      <c r="D19" t="s">
        <v>95</v>
      </c>
      <c r="E19" t="s">
        <v>81</v>
      </c>
      <c r="F19" t="s">
        <v>82</v>
      </c>
      <c r="G19" t="s">
        <v>31</v>
      </c>
      <c r="H19" t="s">
        <v>83</v>
      </c>
      <c r="I19" t="s">
        <v>96</v>
      </c>
      <c r="J19" t="s">
        <v>97</v>
      </c>
      <c r="K19" t="s">
        <v>98</v>
      </c>
      <c r="L19" t="s">
        <v>99</v>
      </c>
      <c r="M19" t="s">
        <v>100</v>
      </c>
      <c r="N19"/>
      <c r="O19"/>
      <c r="P19" t="s">
        <v>35</v>
      </c>
      <c r="Q19" t="s">
        <v>35</v>
      </c>
      <c r="R19"/>
    </row>
    <row r="20" spans="1:24">
      <c r="A20" t="s">
        <v>8</v>
      </c>
      <c r="B20">
        <v>11</v>
      </c>
      <c r="C20" t="s">
        <v>31</v>
      </c>
      <c r="D20" t="s">
        <v>101</v>
      </c>
      <c r="E20" t="s">
        <v>81</v>
      </c>
      <c r="F20" t="s">
        <v>89</v>
      </c>
      <c r="G20" t="s">
        <v>31</v>
      </c>
      <c r="H20"/>
      <c r="I20"/>
      <c r="J20" t="s">
        <v>102</v>
      </c>
      <c r="K20" t="s">
        <v>103</v>
      </c>
      <c r="L20" t="s">
        <v>104</v>
      </c>
      <c r="M20" t="s">
        <v>105</v>
      </c>
      <c r="N20"/>
      <c r="O20"/>
      <c r="P20"/>
      <c r="Q20" t="s">
        <v>35</v>
      </c>
      <c r="R20"/>
    </row>
    <row r="21" spans="1:24">
      <c r="A21" t="s">
        <v>8</v>
      </c>
      <c r="B21">
        <v>12</v>
      </c>
      <c r="C21" t="s">
        <v>31</v>
      </c>
      <c r="D21" t="s">
        <v>106</v>
      </c>
      <c r="E21" t="s">
        <v>81</v>
      </c>
      <c r="F21" t="s">
        <v>107</v>
      </c>
      <c r="G21" t="s">
        <v>35</v>
      </c>
      <c r="H21" t="s">
        <v>83</v>
      </c>
      <c r="I21" t="s">
        <v>108</v>
      </c>
      <c r="J21" t="s">
        <v>76</v>
      </c>
      <c r="K21" s="37" t="s">
        <v>109</v>
      </c>
      <c r="L21" t="s">
        <v>110</v>
      </c>
      <c r="M21" t="s">
        <v>111</v>
      </c>
      <c r="N21"/>
      <c r="O21"/>
      <c r="P21" t="s">
        <v>35</v>
      </c>
      <c r="Q21" t="s">
        <v>35</v>
      </c>
      <c r="R21"/>
    </row>
    <row r="22" spans="1:24">
      <c r="A22" t="s">
        <v>8</v>
      </c>
      <c r="B22">
        <v>13</v>
      </c>
      <c r="C22" t="s">
        <v>31</v>
      </c>
      <c r="D22" t="s">
        <v>112</v>
      </c>
      <c r="E22" t="s">
        <v>81</v>
      </c>
      <c r="F22" s="37" t="s">
        <v>113</v>
      </c>
      <c r="G22" t="s">
        <v>31</v>
      </c>
      <c r="H22"/>
      <c r="I22"/>
      <c r="J22" t="s">
        <v>76</v>
      </c>
      <c r="K22" s="37" t="s">
        <v>114</v>
      </c>
      <c r="L22" t="s">
        <v>115</v>
      </c>
      <c r="M22" t="s">
        <v>116</v>
      </c>
      <c r="N22"/>
      <c r="O22"/>
      <c r="P22" s="37" t="s">
        <v>35</v>
      </c>
      <c r="Q22" t="s">
        <v>35</v>
      </c>
      <c r="R22"/>
      <c r="T22" s="2" t="s">
        <v>50</v>
      </c>
      <c r="U22" s="2" t="s">
        <v>42</v>
      </c>
      <c r="V22" s="2">
        <v>15</v>
      </c>
      <c r="W22" s="9" t="s">
        <v>117</v>
      </c>
    </row>
    <row r="23" spans="1:24">
      <c r="A23" t="s">
        <v>8</v>
      </c>
      <c r="B23">
        <v>14</v>
      </c>
      <c r="C23" t="s">
        <v>31</v>
      </c>
      <c r="D23" t="s">
        <v>118</v>
      </c>
      <c r="E23" t="s">
        <v>81</v>
      </c>
      <c r="F23" t="s">
        <v>119</v>
      </c>
      <c r="G23" t="s">
        <v>31</v>
      </c>
      <c r="H23"/>
      <c r="I23"/>
      <c r="J23" t="s">
        <v>36</v>
      </c>
      <c r="K23" t="s">
        <v>120</v>
      </c>
      <c r="L23" t="s">
        <v>121</v>
      </c>
      <c r="M23" t="s">
        <v>122</v>
      </c>
      <c r="N23"/>
      <c r="O23"/>
      <c r="P23" t="s">
        <v>35</v>
      </c>
      <c r="Q23" t="s">
        <v>35</v>
      </c>
      <c r="R23"/>
      <c r="T23" s="2" t="s">
        <v>50</v>
      </c>
      <c r="U23" s="2" t="s">
        <v>42</v>
      </c>
      <c r="V23" s="2">
        <v>21</v>
      </c>
      <c r="W23" s="9" t="s">
        <v>123</v>
      </c>
    </row>
    <row r="24" spans="1:24">
      <c r="A24" t="s">
        <v>8</v>
      </c>
      <c r="B24">
        <v>15</v>
      </c>
      <c r="C24" t="s">
        <v>31</v>
      </c>
      <c r="D24" t="s">
        <v>124</v>
      </c>
      <c r="E24" t="s">
        <v>81</v>
      </c>
      <c r="F24" t="s">
        <v>125</v>
      </c>
      <c r="G24" t="s">
        <v>31</v>
      </c>
      <c r="H24"/>
      <c r="I24"/>
      <c r="J24" t="s">
        <v>76</v>
      </c>
      <c r="K24" s="37" t="s">
        <v>126</v>
      </c>
      <c r="L24" t="s">
        <v>127</v>
      </c>
      <c r="M24" t="s">
        <v>128</v>
      </c>
      <c r="N24"/>
      <c r="O24"/>
      <c r="P24"/>
      <c r="Q24" t="s">
        <v>35</v>
      </c>
      <c r="R24"/>
      <c r="T24" s="2" t="s">
        <v>50</v>
      </c>
      <c r="U24" s="2" t="s">
        <v>42</v>
      </c>
      <c r="V24" s="2">
        <v>16</v>
      </c>
      <c r="W24" s="9" t="s">
        <v>129</v>
      </c>
    </row>
    <row r="25" spans="1:24">
      <c r="A25" t="s">
        <v>8</v>
      </c>
      <c r="B25">
        <v>16</v>
      </c>
      <c r="C25" t="s">
        <v>31</v>
      </c>
      <c r="D25" t="s">
        <v>130</v>
      </c>
      <c r="E25" t="s">
        <v>81</v>
      </c>
      <c r="F25" t="s">
        <v>125</v>
      </c>
      <c r="G25" t="s">
        <v>31</v>
      </c>
      <c r="H25"/>
      <c r="I25"/>
      <c r="J25" t="s">
        <v>131</v>
      </c>
      <c r="K25" t="s">
        <v>132</v>
      </c>
      <c r="L25" t="s">
        <v>133</v>
      </c>
      <c r="M25" t="s">
        <v>134</v>
      </c>
      <c r="N25"/>
      <c r="O25"/>
      <c r="P25"/>
      <c r="Q25" t="s">
        <v>35</v>
      </c>
      <c r="R25"/>
      <c r="T25" s="2" t="s">
        <v>50</v>
      </c>
      <c r="U25" s="2" t="s">
        <v>42</v>
      </c>
      <c r="V25" s="2">
        <v>17</v>
      </c>
      <c r="W25" s="9" t="s">
        <v>135</v>
      </c>
    </row>
    <row r="26" spans="1:24">
      <c r="A26" t="s">
        <v>8</v>
      </c>
      <c r="B26">
        <v>17</v>
      </c>
      <c r="C26" t="s">
        <v>31</v>
      </c>
      <c r="D26" t="s">
        <v>136</v>
      </c>
      <c r="E26" t="s">
        <v>81</v>
      </c>
      <c r="F26" t="s">
        <v>119</v>
      </c>
      <c r="G26" t="s">
        <v>31</v>
      </c>
      <c r="H26"/>
      <c r="I26"/>
      <c r="J26" t="s">
        <v>36</v>
      </c>
      <c r="K26" t="s">
        <v>137</v>
      </c>
      <c r="L26" t="s">
        <v>138</v>
      </c>
      <c r="M26" t="s">
        <v>139</v>
      </c>
      <c r="N26"/>
      <c r="O26"/>
      <c r="P26" t="s">
        <v>35</v>
      </c>
      <c r="Q26" t="s">
        <v>35</v>
      </c>
      <c r="R26"/>
      <c r="T26" s="2" t="s">
        <v>50</v>
      </c>
      <c r="U26" s="2" t="s">
        <v>42</v>
      </c>
      <c r="V26" s="2">
        <v>18</v>
      </c>
      <c r="W26" s="9" t="s">
        <v>140</v>
      </c>
    </row>
    <row r="27" spans="1:24">
      <c r="A27" t="s">
        <v>8</v>
      </c>
      <c r="B27">
        <v>18</v>
      </c>
      <c r="C27" t="s">
        <v>31</v>
      </c>
      <c r="D27" t="s">
        <v>141</v>
      </c>
      <c r="E27" t="s">
        <v>81</v>
      </c>
      <c r="F27" t="s">
        <v>107</v>
      </c>
      <c r="G27" t="s">
        <v>31</v>
      </c>
      <c r="H27" t="s">
        <v>83</v>
      </c>
      <c r="I27" t="s">
        <v>142</v>
      </c>
      <c r="J27" t="s">
        <v>76</v>
      </c>
      <c r="K27" t="s">
        <v>143</v>
      </c>
      <c r="L27" t="s">
        <v>144</v>
      </c>
      <c r="M27" t="s">
        <v>145</v>
      </c>
      <c r="N27"/>
      <c r="O27"/>
      <c r="P27"/>
      <c r="Q27" t="s">
        <v>35</v>
      </c>
      <c r="R27"/>
      <c r="T27" s="2" t="s">
        <v>50</v>
      </c>
      <c r="U27" s="2" t="s">
        <v>42</v>
      </c>
      <c r="V27" s="2">
        <v>19</v>
      </c>
      <c r="W27" s="9" t="s">
        <v>146</v>
      </c>
    </row>
    <row r="28" spans="1:24">
      <c r="A28" t="s">
        <v>8</v>
      </c>
      <c r="B28">
        <v>19</v>
      </c>
      <c r="C28" t="s">
        <v>31</v>
      </c>
      <c r="D28" t="s">
        <v>147</v>
      </c>
      <c r="E28" t="s">
        <v>81</v>
      </c>
      <c r="F28" t="s">
        <v>107</v>
      </c>
      <c r="G28" t="s">
        <v>31</v>
      </c>
      <c r="H28" t="s">
        <v>83</v>
      </c>
      <c r="I28" t="s">
        <v>148</v>
      </c>
      <c r="J28" t="s">
        <v>36</v>
      </c>
      <c r="K28" t="s">
        <v>149</v>
      </c>
      <c r="L28" t="s">
        <v>150</v>
      </c>
      <c r="M28" t="s">
        <v>151</v>
      </c>
      <c r="N28"/>
      <c r="O28"/>
      <c r="P28"/>
      <c r="Q28" t="s">
        <v>35</v>
      </c>
      <c r="R28"/>
      <c r="W28" s="6"/>
    </row>
    <row r="29" spans="1:24">
      <c r="A29" t="s">
        <v>8</v>
      </c>
      <c r="B29">
        <v>20</v>
      </c>
      <c r="C29" t="s">
        <v>31</v>
      </c>
      <c r="D29" t="s">
        <v>152</v>
      </c>
      <c r="E29" t="s">
        <v>81</v>
      </c>
      <c r="F29" t="s">
        <v>153</v>
      </c>
      <c r="G29" t="s">
        <v>31</v>
      </c>
      <c r="H29"/>
      <c r="I29"/>
      <c r="J29" t="s">
        <v>36</v>
      </c>
      <c r="K29" t="s">
        <v>154</v>
      </c>
      <c r="L29" t="s">
        <v>155</v>
      </c>
      <c r="M29" t="s">
        <v>156</v>
      </c>
      <c r="N29"/>
      <c r="O29"/>
      <c r="P29"/>
      <c r="Q29" t="s">
        <v>35</v>
      </c>
      <c r="R29"/>
      <c r="T29" s="2" t="s">
        <v>50</v>
      </c>
      <c r="U29" s="2" t="s">
        <v>42</v>
      </c>
      <c r="V29" s="2">
        <v>31</v>
      </c>
      <c r="W29" s="9" t="s">
        <v>157</v>
      </c>
      <c r="X29" s="10" t="s">
        <v>158</v>
      </c>
    </row>
    <row r="30" spans="1:24">
      <c r="A30" t="s">
        <v>8</v>
      </c>
      <c r="B30">
        <v>21</v>
      </c>
      <c r="C30" t="s">
        <v>31</v>
      </c>
      <c r="D30" t="s">
        <v>159</v>
      </c>
      <c r="E30" t="s">
        <v>81</v>
      </c>
      <c r="F30" t="s">
        <v>153</v>
      </c>
      <c r="G30" t="s">
        <v>31</v>
      </c>
      <c r="H30"/>
      <c r="I30"/>
      <c r="J30" t="s">
        <v>36</v>
      </c>
      <c r="K30" t="s">
        <v>154</v>
      </c>
      <c r="L30" t="s">
        <v>160</v>
      </c>
      <c r="M30" t="s">
        <v>161</v>
      </c>
      <c r="N30"/>
      <c r="O30"/>
      <c r="P30"/>
      <c r="Q30" t="s">
        <v>35</v>
      </c>
      <c r="R30"/>
      <c r="T30" s="2" t="s">
        <v>50</v>
      </c>
      <c r="U30" s="2" t="s">
        <v>42</v>
      </c>
      <c r="V30" s="2">
        <v>34</v>
      </c>
      <c r="W30" s="9" t="s">
        <v>162</v>
      </c>
      <c r="X30" s="10" t="s">
        <v>158</v>
      </c>
    </row>
    <row r="31" spans="1:24">
      <c r="A31" t="s">
        <v>8</v>
      </c>
      <c r="B31">
        <v>22</v>
      </c>
      <c r="C31" t="s">
        <v>31</v>
      </c>
      <c r="D31" t="s">
        <v>163</v>
      </c>
      <c r="E31" t="s">
        <v>81</v>
      </c>
      <c r="F31" t="s">
        <v>153</v>
      </c>
      <c r="G31" t="s">
        <v>35</v>
      </c>
      <c r="H31"/>
      <c r="I31"/>
      <c r="J31" t="s">
        <v>36</v>
      </c>
      <c r="K31" t="s">
        <v>164</v>
      </c>
      <c r="L31" t="s">
        <v>165</v>
      </c>
      <c r="M31" t="s">
        <v>166</v>
      </c>
      <c r="N31"/>
      <c r="O31"/>
      <c r="P31" t="s">
        <v>35</v>
      </c>
      <c r="Q31" t="s">
        <v>35</v>
      </c>
      <c r="R31"/>
      <c r="W31" s="9"/>
      <c r="X31" s="10"/>
    </row>
    <row r="32" spans="1:24">
      <c r="A32" t="s">
        <v>8</v>
      </c>
      <c r="B32">
        <v>23</v>
      </c>
      <c r="C32" t="s">
        <v>31</v>
      </c>
      <c r="D32" t="s">
        <v>167</v>
      </c>
      <c r="E32" t="s">
        <v>81</v>
      </c>
      <c r="F32" t="s">
        <v>153</v>
      </c>
      <c r="G32" t="s">
        <v>35</v>
      </c>
      <c r="H32"/>
      <c r="I32"/>
      <c r="J32" t="s">
        <v>36</v>
      </c>
      <c r="K32" t="s">
        <v>164</v>
      </c>
      <c r="L32" t="s">
        <v>168</v>
      </c>
      <c r="M32" t="s">
        <v>169</v>
      </c>
      <c r="N32"/>
      <c r="O32"/>
      <c r="P32" t="s">
        <v>35</v>
      </c>
      <c r="Q32" t="s">
        <v>35</v>
      </c>
      <c r="R32"/>
      <c r="W32" s="9"/>
      <c r="X32" s="10"/>
    </row>
    <row r="33" spans="1:24">
      <c r="A33" t="s">
        <v>8</v>
      </c>
      <c r="B33">
        <v>24</v>
      </c>
      <c r="C33" t="s">
        <v>31</v>
      </c>
      <c r="D33" t="s">
        <v>170</v>
      </c>
      <c r="E33" t="s">
        <v>81</v>
      </c>
      <c r="F33" t="s">
        <v>153</v>
      </c>
      <c r="G33" t="s">
        <v>35</v>
      </c>
      <c r="H33"/>
      <c r="I33"/>
      <c r="J33" t="s">
        <v>36</v>
      </c>
      <c r="K33" t="s">
        <v>164</v>
      </c>
      <c r="L33" t="s">
        <v>171</v>
      </c>
      <c r="M33" t="s">
        <v>172</v>
      </c>
      <c r="N33"/>
      <c r="O33"/>
      <c r="P33" t="s">
        <v>35</v>
      </c>
      <c r="Q33" t="s">
        <v>35</v>
      </c>
      <c r="R33"/>
      <c r="W33" s="9"/>
      <c r="X33" s="10"/>
    </row>
    <row r="34" spans="1:24">
      <c r="A34" t="s">
        <v>8</v>
      </c>
      <c r="B34">
        <v>25</v>
      </c>
      <c r="C34" t="s">
        <v>31</v>
      </c>
      <c r="D34" t="s">
        <v>173</v>
      </c>
      <c r="E34" t="s">
        <v>81</v>
      </c>
      <c r="F34" t="s">
        <v>153</v>
      </c>
      <c r="G34" t="s">
        <v>31</v>
      </c>
      <c r="H34"/>
      <c r="I34"/>
      <c r="J34" t="s">
        <v>36</v>
      </c>
      <c r="K34" t="s">
        <v>164</v>
      </c>
      <c r="L34" t="s">
        <v>174</v>
      </c>
      <c r="M34" t="s">
        <v>175</v>
      </c>
      <c r="N34"/>
      <c r="O34"/>
      <c r="P34" t="s">
        <v>35</v>
      </c>
      <c r="Q34" t="s">
        <v>35</v>
      </c>
      <c r="R34"/>
      <c r="T34" s="2" t="s">
        <v>50</v>
      </c>
      <c r="U34" s="2" t="s">
        <v>42</v>
      </c>
      <c r="V34" s="2">
        <v>3</v>
      </c>
      <c r="W34" s="9" t="s">
        <v>176</v>
      </c>
    </row>
    <row r="35" spans="1:24">
      <c r="A35" t="s">
        <v>8</v>
      </c>
      <c r="B35">
        <v>26</v>
      </c>
      <c r="C35" t="s">
        <v>31</v>
      </c>
      <c r="D35" t="s">
        <v>177</v>
      </c>
      <c r="E35" t="s">
        <v>81</v>
      </c>
      <c r="F35" t="s">
        <v>153</v>
      </c>
      <c r="G35" t="s">
        <v>31</v>
      </c>
      <c r="H35"/>
      <c r="I35"/>
      <c r="J35" t="s">
        <v>41</v>
      </c>
      <c r="K35"/>
      <c r="L35" t="s">
        <v>178</v>
      </c>
      <c r="M35" t="s">
        <v>179</v>
      </c>
      <c r="N35"/>
      <c r="O35"/>
      <c r="P35" t="s">
        <v>35</v>
      </c>
      <c r="Q35" t="s">
        <v>35</v>
      </c>
      <c r="R35"/>
      <c r="T35" s="2" t="s">
        <v>50</v>
      </c>
      <c r="U35" s="2" t="s">
        <v>42</v>
      </c>
      <c r="V35" s="2">
        <v>4</v>
      </c>
      <c r="W35" s="9" t="s">
        <v>180</v>
      </c>
    </row>
    <row r="36" spans="1:24">
      <c r="A36" t="s">
        <v>8</v>
      </c>
      <c r="B36">
        <v>27</v>
      </c>
      <c r="C36" t="s">
        <v>31</v>
      </c>
      <c r="D36" t="s">
        <v>181</v>
      </c>
      <c r="E36" t="s">
        <v>81</v>
      </c>
      <c r="F36" s="37" t="s">
        <v>182</v>
      </c>
      <c r="G36" t="s">
        <v>31</v>
      </c>
      <c r="H36"/>
      <c r="I36"/>
      <c r="J36" t="s">
        <v>183</v>
      </c>
      <c r="K36" t="s">
        <v>184</v>
      </c>
      <c r="L36" t="s">
        <v>185</v>
      </c>
      <c r="M36" t="s">
        <v>186</v>
      </c>
      <c r="N36"/>
      <c r="O36"/>
      <c r="P36" s="37"/>
      <c r="Q36" t="s">
        <v>35</v>
      </c>
      <c r="R36"/>
      <c r="T36" s="2" t="s">
        <v>50</v>
      </c>
      <c r="U36" s="2" t="s">
        <v>42</v>
      </c>
      <c r="V36" s="2">
        <v>5</v>
      </c>
      <c r="W36" s="9" t="s">
        <v>187</v>
      </c>
    </row>
    <row r="37" spans="1:24">
      <c r="A37" t="s">
        <v>8</v>
      </c>
      <c r="B37">
        <v>28</v>
      </c>
      <c r="C37" t="s">
        <v>31</v>
      </c>
      <c r="D37" t="s">
        <v>188</v>
      </c>
      <c r="E37" t="s">
        <v>81</v>
      </c>
      <c r="F37" s="37" t="s">
        <v>182</v>
      </c>
      <c r="G37" t="s">
        <v>31</v>
      </c>
      <c r="H37"/>
      <c r="I37"/>
      <c r="J37" t="s">
        <v>183</v>
      </c>
      <c r="K37" t="s">
        <v>189</v>
      </c>
      <c r="L37" t="s">
        <v>190</v>
      </c>
      <c r="M37" t="s">
        <v>191</v>
      </c>
      <c r="N37"/>
      <c r="O37"/>
      <c r="P37" s="37"/>
      <c r="Q37" t="s">
        <v>35</v>
      </c>
      <c r="R37"/>
      <c r="T37" s="2" t="s">
        <v>50</v>
      </c>
      <c r="U37" s="2" t="s">
        <v>42</v>
      </c>
      <c r="V37" s="2">
        <v>6</v>
      </c>
      <c r="W37" s="9" t="s">
        <v>192</v>
      </c>
    </row>
    <row r="38" spans="1:24">
      <c r="A38" t="s">
        <v>8</v>
      </c>
      <c r="B38">
        <v>29</v>
      </c>
      <c r="C38" t="s">
        <v>31</v>
      </c>
      <c r="D38" t="s">
        <v>193</v>
      </c>
      <c r="E38" t="s">
        <v>81</v>
      </c>
      <c r="F38" s="37" t="s">
        <v>182</v>
      </c>
      <c r="G38" t="s">
        <v>31</v>
      </c>
      <c r="H38"/>
      <c r="I38"/>
      <c r="J38" t="s">
        <v>183</v>
      </c>
      <c r="K38" t="s">
        <v>194</v>
      </c>
      <c r="L38" t="s">
        <v>195</v>
      </c>
      <c r="M38" t="s">
        <v>196</v>
      </c>
      <c r="N38"/>
      <c r="O38"/>
      <c r="P38" s="37" t="s">
        <v>35</v>
      </c>
      <c r="Q38" t="s">
        <v>35</v>
      </c>
      <c r="R38"/>
      <c r="T38" s="2" t="s">
        <v>50</v>
      </c>
      <c r="U38" s="2" t="s">
        <v>42</v>
      </c>
      <c r="V38" s="2">
        <v>7</v>
      </c>
      <c r="W38" s="9" t="s">
        <v>197</v>
      </c>
    </row>
    <row r="39" spans="1:24">
      <c r="A39" t="s">
        <v>8</v>
      </c>
      <c r="B39">
        <v>30</v>
      </c>
      <c r="C39" t="s">
        <v>31</v>
      </c>
      <c r="D39" t="s">
        <v>198</v>
      </c>
      <c r="E39" t="s">
        <v>60</v>
      </c>
      <c r="F39" t="s">
        <v>61</v>
      </c>
      <c r="G39" t="s">
        <v>35</v>
      </c>
      <c r="H39"/>
      <c r="I39"/>
      <c r="J39" t="s">
        <v>76</v>
      </c>
      <c r="K39" t="s">
        <v>199</v>
      </c>
      <c r="L39" t="s">
        <v>200</v>
      </c>
      <c r="M39" t="s">
        <v>201</v>
      </c>
      <c r="N39"/>
      <c r="O39"/>
      <c r="P39"/>
      <c r="Q39" t="s">
        <v>35</v>
      </c>
      <c r="R39"/>
      <c r="T39" s="2" t="s">
        <v>50</v>
      </c>
      <c r="U39" s="2" t="s">
        <v>42</v>
      </c>
      <c r="V39" s="2">
        <v>42</v>
      </c>
      <c r="W39" s="9" t="s">
        <v>202</v>
      </c>
    </row>
    <row r="40" spans="1:24">
      <c r="A40" t="s">
        <v>8</v>
      </c>
      <c r="B40">
        <v>31</v>
      </c>
      <c r="C40" t="s">
        <v>31</v>
      </c>
      <c r="D40" t="s">
        <v>203</v>
      </c>
      <c r="E40" t="s">
        <v>81</v>
      </c>
      <c r="F40" t="s">
        <v>153</v>
      </c>
      <c r="G40" t="s">
        <v>31</v>
      </c>
      <c r="H40"/>
      <c r="I40"/>
      <c r="J40" t="s">
        <v>76</v>
      </c>
      <c r="K40" t="s">
        <v>204</v>
      </c>
      <c r="L40" t="s">
        <v>205</v>
      </c>
      <c r="M40" t="s">
        <v>206</v>
      </c>
      <c r="N40"/>
      <c r="O40"/>
      <c r="P40" t="s">
        <v>35</v>
      </c>
      <c r="Q40" t="s">
        <v>35</v>
      </c>
      <c r="R40"/>
      <c r="T40" s="2" t="s">
        <v>50</v>
      </c>
      <c r="U40" s="2" t="s">
        <v>42</v>
      </c>
      <c r="V40" s="2">
        <v>51</v>
      </c>
      <c r="W40" s="9" t="s">
        <v>207</v>
      </c>
    </row>
    <row r="41" spans="1:24">
      <c r="A41" t="s">
        <v>8</v>
      </c>
      <c r="B41">
        <v>32</v>
      </c>
      <c r="C41" t="s">
        <v>31</v>
      </c>
      <c r="D41" t="s">
        <v>208</v>
      </c>
      <c r="E41" t="s">
        <v>81</v>
      </c>
      <c r="F41" t="s">
        <v>153</v>
      </c>
      <c r="G41" t="s">
        <v>31</v>
      </c>
      <c r="H41"/>
      <c r="I41"/>
      <c r="J41" t="s">
        <v>76</v>
      </c>
      <c r="K41" t="s">
        <v>209</v>
      </c>
      <c r="L41" t="s">
        <v>210</v>
      </c>
      <c r="M41"/>
      <c r="N41"/>
      <c r="O41"/>
      <c r="P41"/>
      <c r="Q41" t="s">
        <v>35</v>
      </c>
      <c r="R41"/>
      <c r="T41" s="2" t="s">
        <v>50</v>
      </c>
      <c r="U41" s="2" t="s">
        <v>42</v>
      </c>
      <c r="V41" s="2">
        <v>77</v>
      </c>
      <c r="W41" s="9" t="s">
        <v>211</v>
      </c>
    </row>
    <row r="42" spans="1:24">
      <c r="A42" t="s">
        <v>8</v>
      </c>
      <c r="B42">
        <v>33</v>
      </c>
      <c r="C42" t="s">
        <v>31</v>
      </c>
      <c r="D42" t="s">
        <v>212</v>
      </c>
      <c r="E42" t="s">
        <v>81</v>
      </c>
      <c r="F42" t="s">
        <v>153</v>
      </c>
      <c r="G42" t="s">
        <v>31</v>
      </c>
      <c r="H42"/>
      <c r="I42"/>
      <c r="J42" t="s">
        <v>76</v>
      </c>
      <c r="K42" t="s">
        <v>213</v>
      </c>
      <c r="L42" t="s">
        <v>214</v>
      </c>
      <c r="M42"/>
      <c r="N42"/>
      <c r="O42"/>
      <c r="P42"/>
      <c r="Q42" t="s">
        <v>35</v>
      </c>
      <c r="R42"/>
      <c r="T42" s="2" t="s">
        <v>50</v>
      </c>
      <c r="U42" s="2" t="s">
        <v>42</v>
      </c>
      <c r="V42" s="2">
        <v>20</v>
      </c>
      <c r="W42" s="9" t="s">
        <v>215</v>
      </c>
    </row>
    <row r="43" spans="1:24">
      <c r="A43" t="s">
        <v>8</v>
      </c>
      <c r="B43">
        <v>34</v>
      </c>
      <c r="C43" t="s">
        <v>31</v>
      </c>
      <c r="D43" t="s">
        <v>216</v>
      </c>
      <c r="E43" t="s">
        <v>81</v>
      </c>
      <c r="F43" t="s">
        <v>153</v>
      </c>
      <c r="G43" t="s">
        <v>31</v>
      </c>
      <c r="H43"/>
      <c r="I43"/>
      <c r="J43" t="s">
        <v>76</v>
      </c>
      <c r="K43" t="s">
        <v>217</v>
      </c>
      <c r="L43" t="s">
        <v>218</v>
      </c>
      <c r="M43"/>
      <c r="N43"/>
      <c r="O43"/>
      <c r="P43"/>
      <c r="Q43" t="s">
        <v>35</v>
      </c>
      <c r="R43"/>
      <c r="T43" s="2" t="s">
        <v>50</v>
      </c>
      <c r="U43" s="2" t="s">
        <v>42</v>
      </c>
      <c r="V43" s="2">
        <v>22</v>
      </c>
      <c r="W43" s="9" t="s">
        <v>219</v>
      </c>
    </row>
    <row r="44" spans="1:24">
      <c r="A44" t="s">
        <v>8</v>
      </c>
      <c r="B44">
        <v>35</v>
      </c>
      <c r="C44" t="s">
        <v>31</v>
      </c>
      <c r="D44" t="s">
        <v>220</v>
      </c>
      <c r="E44" t="s">
        <v>81</v>
      </c>
      <c r="F44" t="s">
        <v>153</v>
      </c>
      <c r="G44" t="s">
        <v>35</v>
      </c>
      <c r="H44"/>
      <c r="I44"/>
      <c r="J44" t="s">
        <v>76</v>
      </c>
      <c r="K44" t="s">
        <v>221</v>
      </c>
      <c r="L44" t="s">
        <v>222</v>
      </c>
      <c r="M44"/>
      <c r="N44"/>
      <c r="O44"/>
      <c r="P44"/>
      <c r="Q44" t="s">
        <v>35</v>
      </c>
      <c r="R44"/>
    </row>
    <row r="45" spans="1:24">
      <c r="A45" t="s">
        <v>8</v>
      </c>
      <c r="B45">
        <v>36</v>
      </c>
      <c r="C45" t="s">
        <v>31</v>
      </c>
      <c r="D45" t="s">
        <v>223</v>
      </c>
      <c r="E45" t="s">
        <v>81</v>
      </c>
      <c r="F45" t="s">
        <v>153</v>
      </c>
      <c r="G45" t="s">
        <v>31</v>
      </c>
      <c r="H45"/>
      <c r="I45"/>
      <c r="J45" t="s">
        <v>76</v>
      </c>
      <c r="K45" t="s">
        <v>224</v>
      </c>
      <c r="L45" t="s">
        <v>225</v>
      </c>
      <c r="M45"/>
      <c r="N45"/>
      <c r="O45"/>
      <c r="P45"/>
      <c r="Q45" t="s">
        <v>35</v>
      </c>
      <c r="R45"/>
    </row>
    <row r="46" spans="1:24">
      <c r="A46" t="s">
        <v>8</v>
      </c>
      <c r="B46">
        <v>37</v>
      </c>
      <c r="C46" t="s">
        <v>31</v>
      </c>
      <c r="D46" t="s">
        <v>226</v>
      </c>
      <c r="E46" t="s">
        <v>81</v>
      </c>
      <c r="F46" t="s">
        <v>153</v>
      </c>
      <c r="G46" t="s">
        <v>31</v>
      </c>
      <c r="H46"/>
      <c r="I46"/>
      <c r="J46" t="s">
        <v>36</v>
      </c>
      <c r="K46" t="s">
        <v>227</v>
      </c>
      <c r="L46" t="s">
        <v>228</v>
      </c>
      <c r="M46" t="s">
        <v>229</v>
      </c>
      <c r="N46"/>
      <c r="O46"/>
      <c r="P46" t="s">
        <v>35</v>
      </c>
      <c r="Q46" t="s">
        <v>35</v>
      </c>
      <c r="R46"/>
    </row>
    <row r="47" spans="1:24">
      <c r="A47" t="s">
        <v>8</v>
      </c>
      <c r="B47">
        <v>38</v>
      </c>
      <c r="C47" t="s">
        <v>31</v>
      </c>
      <c r="D47" t="s">
        <v>230</v>
      </c>
      <c r="E47" t="s">
        <v>81</v>
      </c>
      <c r="F47" t="s">
        <v>153</v>
      </c>
      <c r="G47" t="s">
        <v>35</v>
      </c>
      <c r="H47"/>
      <c r="I47"/>
      <c r="J47" t="s">
        <v>36</v>
      </c>
      <c r="K47" t="s">
        <v>231</v>
      </c>
      <c r="L47" t="s">
        <v>232</v>
      </c>
      <c r="M47"/>
      <c r="N47"/>
      <c r="O47"/>
      <c r="P47"/>
      <c r="Q47" t="s">
        <v>35</v>
      </c>
      <c r="R47"/>
    </row>
    <row r="48" spans="1:24">
      <c r="A48" t="s">
        <v>8</v>
      </c>
      <c r="B48">
        <v>39</v>
      </c>
      <c r="C48" t="s">
        <v>31</v>
      </c>
      <c r="D48" t="s">
        <v>233</v>
      </c>
      <c r="E48" t="s">
        <v>81</v>
      </c>
      <c r="F48" t="s">
        <v>153</v>
      </c>
      <c r="G48" t="s">
        <v>35</v>
      </c>
      <c r="H48"/>
      <c r="I48"/>
      <c r="J48" t="s">
        <v>36</v>
      </c>
      <c r="K48" t="s">
        <v>234</v>
      </c>
      <c r="L48" t="s">
        <v>235</v>
      </c>
      <c r="M48"/>
      <c r="N48"/>
      <c r="O48"/>
      <c r="P48"/>
      <c r="Q48" t="s">
        <v>35</v>
      </c>
      <c r="R48"/>
    </row>
    <row r="49" spans="1:23">
      <c r="A49" t="s">
        <v>8</v>
      </c>
      <c r="B49">
        <v>40</v>
      </c>
      <c r="C49" t="s">
        <v>31</v>
      </c>
      <c r="D49" t="s">
        <v>236</v>
      </c>
      <c r="E49" t="s">
        <v>81</v>
      </c>
      <c r="F49" t="s">
        <v>153</v>
      </c>
      <c r="G49" t="s">
        <v>35</v>
      </c>
      <c r="H49"/>
      <c r="I49"/>
      <c r="J49" t="s">
        <v>36</v>
      </c>
      <c r="K49" t="s">
        <v>237</v>
      </c>
      <c r="L49" t="s">
        <v>238</v>
      </c>
      <c r="M49"/>
      <c r="N49"/>
      <c r="O49"/>
      <c r="P49"/>
      <c r="Q49" t="s">
        <v>35</v>
      </c>
      <c r="R49"/>
      <c r="T49" s="2" t="s">
        <v>50</v>
      </c>
      <c r="U49" s="2" t="s">
        <v>42</v>
      </c>
      <c r="V49" s="2">
        <v>23</v>
      </c>
      <c r="W49" s="9" t="s">
        <v>239</v>
      </c>
    </row>
    <row r="50" spans="1:23">
      <c r="A50" t="s">
        <v>8</v>
      </c>
      <c r="B50">
        <v>41</v>
      </c>
      <c r="C50" t="s">
        <v>31</v>
      </c>
      <c r="D50" t="s">
        <v>240</v>
      </c>
      <c r="E50" t="s">
        <v>81</v>
      </c>
      <c r="F50" t="s">
        <v>153</v>
      </c>
      <c r="G50" t="s">
        <v>31</v>
      </c>
      <c r="H50"/>
      <c r="I50"/>
      <c r="J50" t="s">
        <v>36</v>
      </c>
      <c r="K50" t="s">
        <v>241</v>
      </c>
      <c r="L50" t="s">
        <v>242</v>
      </c>
      <c r="M50"/>
      <c r="N50"/>
      <c r="O50"/>
      <c r="P50"/>
      <c r="Q50" t="s">
        <v>35</v>
      </c>
      <c r="R50"/>
    </row>
    <row r="51" spans="1:23">
      <c r="A51" t="s">
        <v>8</v>
      </c>
      <c r="B51">
        <v>42</v>
      </c>
      <c r="C51" t="s">
        <v>31</v>
      </c>
      <c r="D51" t="s">
        <v>243</v>
      </c>
      <c r="E51" t="s">
        <v>81</v>
      </c>
      <c r="F51" t="s">
        <v>153</v>
      </c>
      <c r="G51" t="s">
        <v>35</v>
      </c>
      <c r="H51"/>
      <c r="I51"/>
      <c r="J51" t="s">
        <v>36</v>
      </c>
      <c r="K51" t="s">
        <v>244</v>
      </c>
      <c r="L51" t="s">
        <v>245</v>
      </c>
      <c r="M51"/>
      <c r="N51"/>
      <c r="O51"/>
      <c r="P51"/>
      <c r="Q51" t="s">
        <v>35</v>
      </c>
      <c r="R51"/>
    </row>
    <row r="52" spans="1:23">
      <c r="A52" t="s">
        <v>8</v>
      </c>
      <c r="B52">
        <v>43</v>
      </c>
      <c r="C52" t="s">
        <v>31</v>
      </c>
      <c r="D52" t="s">
        <v>246</v>
      </c>
      <c r="E52" t="s">
        <v>81</v>
      </c>
      <c r="F52" t="s">
        <v>153</v>
      </c>
      <c r="G52" t="s">
        <v>31</v>
      </c>
      <c r="H52"/>
      <c r="I52"/>
      <c r="J52" t="s">
        <v>183</v>
      </c>
      <c r="K52" t="s">
        <v>247</v>
      </c>
      <c r="L52" t="s">
        <v>248</v>
      </c>
      <c r="M52" t="s">
        <v>249</v>
      </c>
      <c r="N52"/>
      <c r="O52"/>
      <c r="P52"/>
      <c r="Q52" t="s">
        <v>35</v>
      </c>
      <c r="R52"/>
    </row>
    <row r="53" spans="1:23">
      <c r="A53" t="s">
        <v>8</v>
      </c>
      <c r="B53">
        <v>44</v>
      </c>
      <c r="C53" t="s">
        <v>31</v>
      </c>
      <c r="D53" t="s">
        <v>250</v>
      </c>
      <c r="E53" t="s">
        <v>33</v>
      </c>
      <c r="F53" t="s">
        <v>34</v>
      </c>
      <c r="G53" t="s">
        <v>31</v>
      </c>
      <c r="H53"/>
      <c r="I53"/>
      <c r="J53" t="s">
        <v>251</v>
      </c>
      <c r="K53"/>
      <c r="L53" t="s">
        <v>252</v>
      </c>
      <c r="M53" t="s">
        <v>253</v>
      </c>
      <c r="N53"/>
      <c r="O53"/>
      <c r="P53" t="s">
        <v>35</v>
      </c>
      <c r="Q53" t="s">
        <v>35</v>
      </c>
      <c r="R53"/>
    </row>
    <row r="54" spans="1:23">
      <c r="A54" t="s">
        <v>8</v>
      </c>
      <c r="B54">
        <v>45</v>
      </c>
      <c r="C54" t="s">
        <v>31</v>
      </c>
      <c r="D54" t="s">
        <v>254</v>
      </c>
      <c r="E54" t="s">
        <v>81</v>
      </c>
      <c r="F54" s="37" t="s">
        <v>125</v>
      </c>
      <c r="G54" t="s">
        <v>31</v>
      </c>
      <c r="H54"/>
      <c r="I54"/>
      <c r="J54" t="s">
        <v>183</v>
      </c>
      <c r="K54" t="s">
        <v>255</v>
      </c>
      <c r="L54" t="s">
        <v>256</v>
      </c>
      <c r="M54" t="s">
        <v>257</v>
      </c>
      <c r="N54"/>
      <c r="O54"/>
      <c r="P54" s="37"/>
      <c r="Q54" t="s">
        <v>35</v>
      </c>
      <c r="R54"/>
    </row>
    <row r="55" spans="1:23">
      <c r="A55" t="s">
        <v>8</v>
      </c>
      <c r="B55">
        <v>46</v>
      </c>
      <c r="C55" t="s">
        <v>31</v>
      </c>
      <c r="D55" t="s">
        <v>258</v>
      </c>
      <c r="E55" t="s">
        <v>81</v>
      </c>
      <c r="F55" s="37" t="s">
        <v>125</v>
      </c>
      <c r="G55" t="s">
        <v>31</v>
      </c>
      <c r="H55"/>
      <c r="I55"/>
      <c r="J55" t="s">
        <v>183</v>
      </c>
      <c r="K55" t="s">
        <v>259</v>
      </c>
      <c r="L55" t="s">
        <v>260</v>
      </c>
      <c r="M55" t="s">
        <v>261</v>
      </c>
      <c r="N55"/>
      <c r="O55"/>
      <c r="P55" s="37"/>
      <c r="Q55" t="s">
        <v>35</v>
      </c>
      <c r="R55"/>
      <c r="T55" s="2" t="s">
        <v>50</v>
      </c>
      <c r="U55" s="2" t="s">
        <v>42</v>
      </c>
      <c r="V55" s="2">
        <v>9</v>
      </c>
      <c r="W55" s="9" t="s">
        <v>262</v>
      </c>
    </row>
    <row r="56" spans="1:23">
      <c r="A56" t="s">
        <v>8</v>
      </c>
      <c r="B56">
        <v>47</v>
      </c>
      <c r="C56" t="s">
        <v>31</v>
      </c>
      <c r="D56" t="s">
        <v>263</v>
      </c>
      <c r="E56" t="s">
        <v>81</v>
      </c>
      <c r="F56" s="37" t="s">
        <v>125</v>
      </c>
      <c r="G56" t="s">
        <v>31</v>
      </c>
      <c r="H56"/>
      <c r="I56"/>
      <c r="J56" t="s">
        <v>183</v>
      </c>
      <c r="K56" t="s">
        <v>264</v>
      </c>
      <c r="L56" t="s">
        <v>265</v>
      </c>
      <c r="M56" t="s">
        <v>266</v>
      </c>
      <c r="N56"/>
      <c r="O56"/>
      <c r="P56" s="37"/>
      <c r="Q56" t="s">
        <v>35</v>
      </c>
      <c r="R56"/>
      <c r="T56" s="2" t="s">
        <v>50</v>
      </c>
      <c r="U56" s="2" t="s">
        <v>42</v>
      </c>
      <c r="V56" s="2">
        <v>10</v>
      </c>
      <c r="W56" s="9" t="s">
        <v>267</v>
      </c>
    </row>
    <row r="57" spans="1:23">
      <c r="A57" t="s">
        <v>8</v>
      </c>
      <c r="B57">
        <v>48</v>
      </c>
      <c r="C57" t="s">
        <v>31</v>
      </c>
      <c r="D57" t="s">
        <v>268</v>
      </c>
      <c r="E57" t="s">
        <v>81</v>
      </c>
      <c r="F57" s="37" t="s">
        <v>269</v>
      </c>
      <c r="G57" t="s">
        <v>31</v>
      </c>
      <c r="H57"/>
      <c r="I57"/>
      <c r="J57" t="s">
        <v>183</v>
      </c>
      <c r="K57" t="s">
        <v>270</v>
      </c>
      <c r="L57" t="s">
        <v>271</v>
      </c>
      <c r="M57" t="s">
        <v>272</v>
      </c>
      <c r="N57"/>
      <c r="O57"/>
      <c r="P57" s="37"/>
      <c r="Q57" t="s">
        <v>35</v>
      </c>
      <c r="R57"/>
      <c r="T57" s="2" t="s">
        <v>50</v>
      </c>
      <c r="U57" s="2" t="s">
        <v>42</v>
      </c>
      <c r="V57" s="2">
        <v>53</v>
      </c>
      <c r="W57" s="9" t="s">
        <v>273</v>
      </c>
    </row>
    <row r="58" spans="1:23">
      <c r="A58" t="s">
        <v>8</v>
      </c>
      <c r="B58">
        <v>49</v>
      </c>
      <c r="C58" t="s">
        <v>31</v>
      </c>
      <c r="D58" t="s">
        <v>274</v>
      </c>
      <c r="E58" t="s">
        <v>81</v>
      </c>
      <c r="F58" s="37" t="s">
        <v>269</v>
      </c>
      <c r="G58" t="s">
        <v>31</v>
      </c>
      <c r="H58"/>
      <c r="I58"/>
      <c r="J58" t="s">
        <v>183</v>
      </c>
      <c r="K58" t="s">
        <v>275</v>
      </c>
      <c r="L58" t="s">
        <v>276</v>
      </c>
      <c r="M58" t="s">
        <v>277</v>
      </c>
      <c r="N58"/>
      <c r="O58"/>
      <c r="P58" s="37"/>
      <c r="Q58" t="s">
        <v>35</v>
      </c>
      <c r="R58"/>
      <c r="T58" s="2" t="s">
        <v>50</v>
      </c>
      <c r="U58" s="2" t="s">
        <v>42</v>
      </c>
      <c r="V58" s="2">
        <v>54</v>
      </c>
      <c r="W58" s="9" t="s">
        <v>278</v>
      </c>
    </row>
    <row r="59" spans="1:23">
      <c r="A59" t="s">
        <v>8</v>
      </c>
      <c r="B59">
        <v>50</v>
      </c>
      <c r="C59" t="s">
        <v>31</v>
      </c>
      <c r="D59" s="63" t="s">
        <v>279</v>
      </c>
      <c r="E59" t="s">
        <v>81</v>
      </c>
      <c r="F59" s="37" t="s">
        <v>280</v>
      </c>
      <c r="G59" t="s">
        <v>31</v>
      </c>
      <c r="H59"/>
      <c r="I59"/>
      <c r="J59" t="s">
        <v>183</v>
      </c>
      <c r="K59" s="63" t="s">
        <v>281</v>
      </c>
      <c r="L59" t="s">
        <v>282</v>
      </c>
      <c r="M59" t="s">
        <v>283</v>
      </c>
      <c r="N59"/>
      <c r="O59"/>
      <c r="P59" s="37"/>
      <c r="Q59" t="s">
        <v>35</v>
      </c>
      <c r="R59"/>
      <c r="T59" s="2" t="s">
        <v>50</v>
      </c>
      <c r="U59" s="2" t="s">
        <v>42</v>
      </c>
      <c r="V59" s="2">
        <v>56</v>
      </c>
      <c r="W59" s="9" t="s">
        <v>284</v>
      </c>
    </row>
    <row r="60" spans="1:23">
      <c r="A60" t="s">
        <v>8</v>
      </c>
      <c r="B60">
        <v>51</v>
      </c>
      <c r="C60" t="s">
        <v>31</v>
      </c>
      <c r="D60" s="63" t="s">
        <v>285</v>
      </c>
      <c r="E60" t="s">
        <v>81</v>
      </c>
      <c r="F60" s="37" t="s">
        <v>153</v>
      </c>
      <c r="G60" t="s">
        <v>31</v>
      </c>
      <c r="H60"/>
      <c r="I60"/>
      <c r="J60" t="s">
        <v>183</v>
      </c>
      <c r="K60" s="63" t="s">
        <v>286</v>
      </c>
      <c r="L60" t="s">
        <v>287</v>
      </c>
      <c r="M60" t="s">
        <v>288</v>
      </c>
      <c r="N60"/>
      <c r="O60"/>
      <c r="P60" s="37"/>
      <c r="Q60" t="s">
        <v>35</v>
      </c>
      <c r="R60"/>
      <c r="W60" s="9"/>
    </row>
    <row r="61" spans="1:23">
      <c r="A61" t="s">
        <v>8</v>
      </c>
      <c r="B61">
        <v>52</v>
      </c>
      <c r="C61" t="s">
        <v>31</v>
      </c>
      <c r="D61" t="s">
        <v>289</v>
      </c>
      <c r="E61" t="s">
        <v>81</v>
      </c>
      <c r="F61" s="37" t="s">
        <v>153</v>
      </c>
      <c r="G61" t="s">
        <v>31</v>
      </c>
      <c r="H61"/>
      <c r="I61"/>
      <c r="J61" t="s">
        <v>183</v>
      </c>
      <c r="K61" t="s">
        <v>290</v>
      </c>
      <c r="L61" t="s">
        <v>291</v>
      </c>
      <c r="M61" t="s">
        <v>292</v>
      </c>
      <c r="N61"/>
      <c r="O61"/>
      <c r="P61" s="37"/>
      <c r="Q61" t="s">
        <v>35</v>
      </c>
      <c r="R61"/>
      <c r="T61" s="2" t="s">
        <v>50</v>
      </c>
      <c r="U61" s="2" t="s">
        <v>42</v>
      </c>
      <c r="V61" s="2">
        <v>57</v>
      </c>
      <c r="W61" s="9" t="s">
        <v>293</v>
      </c>
    </row>
    <row r="62" spans="1:23">
      <c r="A62" t="s">
        <v>8</v>
      </c>
      <c r="B62">
        <v>53</v>
      </c>
      <c r="C62" t="s">
        <v>31</v>
      </c>
      <c r="D62" t="s">
        <v>294</v>
      </c>
      <c r="E62" t="s">
        <v>81</v>
      </c>
      <c r="F62" s="37" t="s">
        <v>153</v>
      </c>
      <c r="G62" t="s">
        <v>31</v>
      </c>
      <c r="H62"/>
      <c r="I62"/>
      <c r="J62" t="s">
        <v>183</v>
      </c>
      <c r="K62" t="s">
        <v>295</v>
      </c>
      <c r="L62" t="s">
        <v>296</v>
      </c>
      <c r="M62" t="s">
        <v>297</v>
      </c>
      <c r="N62"/>
      <c r="O62"/>
      <c r="P62" s="37"/>
      <c r="Q62" t="s">
        <v>35</v>
      </c>
      <c r="R62"/>
      <c r="W62" s="9"/>
    </row>
    <row r="63" spans="1:23">
      <c r="A63" t="s">
        <v>8</v>
      </c>
      <c r="B63">
        <v>54</v>
      </c>
      <c r="C63" t="s">
        <v>31</v>
      </c>
      <c r="D63" t="s">
        <v>298</v>
      </c>
      <c r="E63" t="s">
        <v>81</v>
      </c>
      <c r="F63" s="37" t="s">
        <v>153</v>
      </c>
      <c r="G63" t="s">
        <v>31</v>
      </c>
      <c r="H63"/>
      <c r="I63"/>
      <c r="J63" t="s">
        <v>183</v>
      </c>
      <c r="K63" t="s">
        <v>299</v>
      </c>
      <c r="L63" t="s">
        <v>300</v>
      </c>
      <c r="M63" t="s">
        <v>301</v>
      </c>
      <c r="N63"/>
      <c r="O63"/>
      <c r="P63" s="37"/>
      <c r="Q63" t="s">
        <v>35</v>
      </c>
      <c r="R63"/>
      <c r="W63" s="9"/>
    </row>
    <row r="64" spans="1:23">
      <c r="A64" t="s">
        <v>8</v>
      </c>
      <c r="B64">
        <v>55</v>
      </c>
      <c r="C64" t="s">
        <v>31</v>
      </c>
      <c r="D64" t="s">
        <v>302</v>
      </c>
      <c r="E64" t="s">
        <v>81</v>
      </c>
      <c r="F64" s="37" t="s">
        <v>153</v>
      </c>
      <c r="G64" t="s">
        <v>31</v>
      </c>
      <c r="H64"/>
      <c r="I64"/>
      <c r="J64" t="s">
        <v>183</v>
      </c>
      <c r="K64" t="s">
        <v>303</v>
      </c>
      <c r="L64" t="s">
        <v>304</v>
      </c>
      <c r="M64" t="s">
        <v>305</v>
      </c>
      <c r="N64"/>
      <c r="O64"/>
      <c r="P64" s="37"/>
      <c r="Q64" t="s">
        <v>35</v>
      </c>
      <c r="R64"/>
      <c r="T64" s="2" t="s">
        <v>50</v>
      </c>
      <c r="U64" s="2" t="s">
        <v>42</v>
      </c>
      <c r="V64" s="2">
        <v>80</v>
      </c>
      <c r="W64" s="9" t="s">
        <v>306</v>
      </c>
    </row>
    <row r="65" spans="1:24">
      <c r="A65" t="s">
        <v>8</v>
      </c>
      <c r="B65">
        <v>56</v>
      </c>
      <c r="C65" t="s">
        <v>31</v>
      </c>
      <c r="D65" t="s">
        <v>307</v>
      </c>
      <c r="E65" t="s">
        <v>81</v>
      </c>
      <c r="F65" t="s">
        <v>82</v>
      </c>
      <c r="G65" t="s">
        <v>31</v>
      </c>
      <c r="H65" t="s">
        <v>83</v>
      </c>
      <c r="I65" t="s">
        <v>308</v>
      </c>
      <c r="J65" t="s">
        <v>36</v>
      </c>
      <c r="K65" t="s">
        <v>309</v>
      </c>
      <c r="L65" t="s">
        <v>310</v>
      </c>
      <c r="M65" t="s">
        <v>311</v>
      </c>
      <c r="N65"/>
      <c r="O65"/>
      <c r="P65"/>
      <c r="Q65" t="s">
        <v>35</v>
      </c>
      <c r="R65"/>
      <c r="W65" s="9"/>
    </row>
    <row r="66" spans="1:24">
      <c r="A66" t="s">
        <v>8</v>
      </c>
      <c r="B66">
        <v>57</v>
      </c>
      <c r="C66" t="s">
        <v>31</v>
      </c>
      <c r="D66" t="s">
        <v>312</v>
      </c>
      <c r="E66" t="s">
        <v>33</v>
      </c>
      <c r="F66" t="s">
        <v>313</v>
      </c>
      <c r="G66" t="s">
        <v>31</v>
      </c>
      <c r="H66"/>
      <c r="I66"/>
      <c r="J66" t="s">
        <v>97</v>
      </c>
      <c r="K66" t="s">
        <v>314</v>
      </c>
      <c r="L66" t="s">
        <v>315</v>
      </c>
      <c r="M66" t="s">
        <v>316</v>
      </c>
      <c r="N66"/>
      <c r="O66"/>
      <c r="P66"/>
      <c r="Q66" t="s">
        <v>35</v>
      </c>
      <c r="R66"/>
      <c r="W66" s="9"/>
    </row>
    <row r="67" spans="1:24">
      <c r="A67" t="s">
        <v>8</v>
      </c>
      <c r="B67">
        <v>58</v>
      </c>
      <c r="C67" t="s">
        <v>31</v>
      </c>
      <c r="D67" t="s">
        <v>317</v>
      </c>
      <c r="E67" t="s">
        <v>81</v>
      </c>
      <c r="F67" s="37" t="s">
        <v>89</v>
      </c>
      <c r="G67" t="s">
        <v>31</v>
      </c>
      <c r="H67"/>
      <c r="I67"/>
      <c r="J67" t="s">
        <v>97</v>
      </c>
      <c r="K67" t="s">
        <v>318</v>
      </c>
      <c r="L67" t="s">
        <v>319</v>
      </c>
      <c r="M67" t="s">
        <v>320</v>
      </c>
      <c r="N67"/>
      <c r="O67"/>
      <c r="P67" s="37"/>
      <c r="Q67" t="s">
        <v>35</v>
      </c>
      <c r="R67"/>
      <c r="W67" s="9"/>
    </row>
    <row r="68" spans="1:24" s="11" customFormat="1">
      <c r="A68" t="s">
        <v>8</v>
      </c>
      <c r="B68">
        <v>59</v>
      </c>
      <c r="C68" t="s">
        <v>31</v>
      </c>
      <c r="D68" t="s">
        <v>321</v>
      </c>
      <c r="E68" t="s">
        <v>81</v>
      </c>
      <c r="F68" s="37" t="s">
        <v>107</v>
      </c>
      <c r="G68" t="s">
        <v>31</v>
      </c>
      <c r="H68"/>
      <c r="I68"/>
      <c r="J68" t="s">
        <v>97</v>
      </c>
      <c r="K68" t="s">
        <v>322</v>
      </c>
      <c r="L68" t="s">
        <v>323</v>
      </c>
      <c r="M68" t="s">
        <v>324</v>
      </c>
      <c r="N68"/>
      <c r="O68"/>
      <c r="P68" s="37"/>
      <c r="Q68" t="s">
        <v>35</v>
      </c>
      <c r="R68"/>
      <c r="T68" s="2"/>
      <c r="U68" s="2"/>
      <c r="V68" s="2"/>
      <c r="W68" s="2"/>
    </row>
    <row r="69" spans="1:24">
      <c r="A69" t="s">
        <v>8</v>
      </c>
      <c r="B69">
        <v>60</v>
      </c>
      <c r="C69" t="s">
        <v>31</v>
      </c>
      <c r="D69" t="s">
        <v>325</v>
      </c>
      <c r="E69" t="s">
        <v>81</v>
      </c>
      <c r="F69" t="s">
        <v>326</v>
      </c>
      <c r="G69" t="s">
        <v>31</v>
      </c>
      <c r="H69"/>
      <c r="I69"/>
      <c r="J69" t="s">
        <v>76</v>
      </c>
      <c r="K69" t="s">
        <v>327</v>
      </c>
      <c r="L69" t="s">
        <v>328</v>
      </c>
      <c r="M69" t="s">
        <v>329</v>
      </c>
      <c r="N69"/>
      <c r="O69"/>
      <c r="P69" t="s">
        <v>35</v>
      </c>
      <c r="Q69" t="s">
        <v>35</v>
      </c>
      <c r="R69"/>
      <c r="T69" s="2" t="s">
        <v>50</v>
      </c>
      <c r="U69" s="2" t="s">
        <v>42</v>
      </c>
      <c r="V69" s="2">
        <v>25</v>
      </c>
      <c r="W69" s="9" t="s">
        <v>330</v>
      </c>
    </row>
    <row r="70" spans="1:24">
      <c r="A70" t="s">
        <v>8</v>
      </c>
      <c r="B70">
        <v>61</v>
      </c>
      <c r="C70" t="s">
        <v>31</v>
      </c>
      <c r="D70" t="s">
        <v>331</v>
      </c>
      <c r="E70" t="s">
        <v>81</v>
      </c>
      <c r="F70" t="s">
        <v>113</v>
      </c>
      <c r="G70" t="s">
        <v>31</v>
      </c>
      <c r="H70"/>
      <c r="I70"/>
      <c r="J70" t="s">
        <v>332</v>
      </c>
      <c r="K70" t="s">
        <v>333</v>
      </c>
      <c r="L70" t="s">
        <v>334</v>
      </c>
      <c r="M70" t="s">
        <v>335</v>
      </c>
      <c r="N70"/>
      <c r="O70"/>
      <c r="P70" t="s">
        <v>35</v>
      </c>
      <c r="Q70" t="s">
        <v>35</v>
      </c>
      <c r="R70"/>
      <c r="T70" s="2" t="s">
        <v>336</v>
      </c>
      <c r="U70" s="2" t="s">
        <v>42</v>
      </c>
      <c r="V70" s="2">
        <v>26</v>
      </c>
      <c r="W70" s="9" t="s">
        <v>337</v>
      </c>
    </row>
    <row r="71" spans="1:24">
      <c r="A71" t="s">
        <v>8</v>
      </c>
      <c r="B71">
        <v>62</v>
      </c>
      <c r="C71" t="s">
        <v>31</v>
      </c>
      <c r="D71" t="s">
        <v>338</v>
      </c>
      <c r="E71" t="s">
        <v>81</v>
      </c>
      <c r="F71" t="s">
        <v>113</v>
      </c>
      <c r="G71" t="s">
        <v>35</v>
      </c>
      <c r="H71"/>
      <c r="I71"/>
      <c r="J71" t="s">
        <v>76</v>
      </c>
      <c r="K71" t="s">
        <v>339</v>
      </c>
      <c r="L71" t="s">
        <v>340</v>
      </c>
      <c r="M71" t="s">
        <v>341</v>
      </c>
      <c r="N71"/>
      <c r="O71"/>
      <c r="P71" t="s">
        <v>35</v>
      </c>
      <c r="Q71" t="s">
        <v>35</v>
      </c>
      <c r="R71"/>
      <c r="T71" s="2" t="s">
        <v>50</v>
      </c>
      <c r="U71" s="2" t="s">
        <v>42</v>
      </c>
      <c r="V71" s="2">
        <v>40</v>
      </c>
      <c r="W71" s="9" t="s">
        <v>342</v>
      </c>
    </row>
    <row r="72" spans="1:24">
      <c r="A72" t="s">
        <v>8</v>
      </c>
      <c r="B72">
        <v>63</v>
      </c>
      <c r="C72" t="s">
        <v>31</v>
      </c>
      <c r="D72" t="s">
        <v>343</v>
      </c>
      <c r="E72" t="s">
        <v>81</v>
      </c>
      <c r="F72" t="s">
        <v>113</v>
      </c>
      <c r="G72" t="s">
        <v>35</v>
      </c>
      <c r="H72"/>
      <c r="I72"/>
      <c r="J72" t="s">
        <v>344</v>
      </c>
      <c r="K72" t="s">
        <v>345</v>
      </c>
      <c r="L72" t="s">
        <v>346</v>
      </c>
      <c r="M72" t="s">
        <v>347</v>
      </c>
      <c r="N72"/>
      <c r="O72"/>
      <c r="P72" t="s">
        <v>35</v>
      </c>
      <c r="Q72" t="s">
        <v>35</v>
      </c>
      <c r="R72"/>
      <c r="T72" s="2" t="s">
        <v>50</v>
      </c>
      <c r="U72" s="2" t="s">
        <v>42</v>
      </c>
      <c r="V72" s="2">
        <v>41</v>
      </c>
      <c r="W72" s="9" t="s">
        <v>348</v>
      </c>
    </row>
    <row r="73" spans="1:24">
      <c r="A73" t="s">
        <v>8</v>
      </c>
      <c r="B73">
        <v>64</v>
      </c>
      <c r="C73" t="s">
        <v>31</v>
      </c>
      <c r="D73" t="s">
        <v>349</v>
      </c>
      <c r="E73" t="s">
        <v>81</v>
      </c>
      <c r="F73" t="s">
        <v>107</v>
      </c>
      <c r="G73" t="s">
        <v>35</v>
      </c>
      <c r="H73"/>
      <c r="I73"/>
      <c r="J73" t="s">
        <v>76</v>
      </c>
      <c r="K73" t="s">
        <v>350</v>
      </c>
      <c r="L73" t="s">
        <v>351</v>
      </c>
      <c r="M73" t="s">
        <v>352</v>
      </c>
      <c r="N73"/>
      <c r="O73"/>
      <c r="P73" t="s">
        <v>35</v>
      </c>
      <c r="Q73" t="s">
        <v>35</v>
      </c>
      <c r="R73"/>
      <c r="T73" s="2" t="s">
        <v>50</v>
      </c>
      <c r="U73" s="2" t="s">
        <v>42</v>
      </c>
      <c r="V73" s="2">
        <v>24</v>
      </c>
      <c r="W73" s="9" t="s">
        <v>353</v>
      </c>
    </row>
    <row r="74" spans="1:24" s="11" customFormat="1">
      <c r="A74" t="s">
        <v>8</v>
      </c>
      <c r="B74">
        <v>65</v>
      </c>
      <c r="C74" t="s">
        <v>31</v>
      </c>
      <c r="D74" t="s">
        <v>354</v>
      </c>
      <c r="E74" t="s">
        <v>81</v>
      </c>
      <c r="F74" t="s">
        <v>82</v>
      </c>
      <c r="G74" t="s">
        <v>35</v>
      </c>
      <c r="H74" t="s">
        <v>83</v>
      </c>
      <c r="I74" t="s">
        <v>355</v>
      </c>
      <c r="J74" t="s">
        <v>356</v>
      </c>
      <c r="K74" t="s">
        <v>357</v>
      </c>
      <c r="L74" t="s">
        <v>358</v>
      </c>
      <c r="M74" t="s">
        <v>359</v>
      </c>
      <c r="N74"/>
      <c r="O74"/>
      <c r="P74" t="s">
        <v>35</v>
      </c>
      <c r="Q74" t="s">
        <v>35</v>
      </c>
      <c r="R74"/>
      <c r="X74" s="12"/>
    </row>
    <row r="75" spans="1:24" s="11" customFormat="1">
      <c r="A75" t="s">
        <v>8</v>
      </c>
      <c r="B75">
        <v>66</v>
      </c>
      <c r="C75" t="s">
        <v>31</v>
      </c>
      <c r="D75" t="s">
        <v>360</v>
      </c>
      <c r="E75" t="s">
        <v>81</v>
      </c>
      <c r="F75" t="s">
        <v>361</v>
      </c>
      <c r="G75" t="s">
        <v>35</v>
      </c>
      <c r="H75"/>
      <c r="I75"/>
      <c r="J75" t="s">
        <v>183</v>
      </c>
      <c r="K75" t="s">
        <v>362</v>
      </c>
      <c r="L75" t="s">
        <v>363</v>
      </c>
      <c r="M75"/>
      <c r="N75"/>
      <c r="O75"/>
      <c r="P75"/>
      <c r="Q75" t="s">
        <v>35</v>
      </c>
      <c r="R75"/>
    </row>
    <row r="76" spans="1:24" s="12" customFormat="1">
      <c r="A76" t="s">
        <v>8</v>
      </c>
      <c r="B76">
        <v>67</v>
      </c>
      <c r="C76" t="s">
        <v>31</v>
      </c>
      <c r="D76" t="s">
        <v>364</v>
      </c>
      <c r="E76" t="s">
        <v>81</v>
      </c>
      <c r="F76" t="s">
        <v>82</v>
      </c>
      <c r="G76" t="s">
        <v>35</v>
      </c>
      <c r="H76" t="s">
        <v>83</v>
      </c>
      <c r="I76" t="s">
        <v>365</v>
      </c>
      <c r="J76" t="s">
        <v>183</v>
      </c>
      <c r="K76" t="s">
        <v>366</v>
      </c>
      <c r="L76" t="s">
        <v>367</v>
      </c>
      <c r="M76"/>
      <c r="N76"/>
      <c r="O76"/>
      <c r="P76"/>
      <c r="Q76" t="s">
        <v>35</v>
      </c>
      <c r="R76"/>
      <c r="T76" s="11"/>
      <c r="U76" s="11"/>
      <c r="V76" s="11"/>
      <c r="W76" s="11"/>
    </row>
    <row r="77" spans="1:24">
      <c r="A77" t="s">
        <v>8</v>
      </c>
      <c r="B77">
        <v>68</v>
      </c>
      <c r="C77" t="s">
        <v>31</v>
      </c>
      <c r="D77" t="s">
        <v>368</v>
      </c>
      <c r="E77" t="s">
        <v>81</v>
      </c>
      <c r="F77" t="s">
        <v>82</v>
      </c>
      <c r="G77" t="s">
        <v>35</v>
      </c>
      <c r="H77" t="s">
        <v>83</v>
      </c>
      <c r="I77" t="s">
        <v>369</v>
      </c>
      <c r="J77" t="s">
        <v>36</v>
      </c>
      <c r="K77" t="s">
        <v>370</v>
      </c>
      <c r="L77" t="s">
        <v>371</v>
      </c>
      <c r="M77"/>
      <c r="N77"/>
      <c r="O77"/>
      <c r="P77" t="s">
        <v>35</v>
      </c>
      <c r="Q77" t="s">
        <v>35</v>
      </c>
      <c r="R77"/>
      <c r="T77" s="2" t="s">
        <v>50</v>
      </c>
      <c r="U77" s="2" t="s">
        <v>42</v>
      </c>
      <c r="V77" s="2">
        <v>72</v>
      </c>
      <c r="W77" s="9" t="s">
        <v>372</v>
      </c>
    </row>
    <row r="78" spans="1:24">
      <c r="A78" t="s">
        <v>8</v>
      </c>
      <c r="B78">
        <v>69</v>
      </c>
      <c r="C78" t="s">
        <v>31</v>
      </c>
      <c r="D78" t="s">
        <v>373</v>
      </c>
      <c r="E78" t="s">
        <v>81</v>
      </c>
      <c r="F78" t="s">
        <v>82</v>
      </c>
      <c r="G78" t="s">
        <v>35</v>
      </c>
      <c r="H78" t="s">
        <v>83</v>
      </c>
      <c r="I78" t="s">
        <v>374</v>
      </c>
      <c r="J78" t="s">
        <v>36</v>
      </c>
      <c r="K78" t="s">
        <v>375</v>
      </c>
      <c r="L78" t="s">
        <v>376</v>
      </c>
      <c r="M78"/>
      <c r="N78"/>
      <c r="O78"/>
      <c r="P78" t="s">
        <v>35</v>
      </c>
      <c r="Q78" t="s">
        <v>35</v>
      </c>
      <c r="R78"/>
      <c r="X78" s="11"/>
    </row>
    <row r="79" spans="1:24">
      <c r="A79" t="s">
        <v>8</v>
      </c>
      <c r="B79">
        <v>70</v>
      </c>
      <c r="C79" t="s">
        <v>31</v>
      </c>
      <c r="D79" t="s">
        <v>377</v>
      </c>
      <c r="E79" t="s">
        <v>81</v>
      </c>
      <c r="F79" t="s">
        <v>113</v>
      </c>
      <c r="G79" t="s">
        <v>35</v>
      </c>
      <c r="H79"/>
      <c r="I79"/>
      <c r="J79" t="s">
        <v>36</v>
      </c>
      <c r="K79" t="s">
        <v>378</v>
      </c>
      <c r="L79" t="s">
        <v>379</v>
      </c>
      <c r="M79"/>
      <c r="N79"/>
      <c r="O79"/>
      <c r="P79" t="s">
        <v>35</v>
      </c>
      <c r="Q79" t="s">
        <v>35</v>
      </c>
      <c r="R79"/>
      <c r="X79" s="11"/>
    </row>
    <row r="80" spans="1:24">
      <c r="A80" t="s">
        <v>8</v>
      </c>
      <c r="B80">
        <v>71</v>
      </c>
      <c r="C80" t="s">
        <v>31</v>
      </c>
      <c r="D80" t="s">
        <v>380</v>
      </c>
      <c r="E80" t="s">
        <v>81</v>
      </c>
      <c r="F80" s="37" t="s">
        <v>82</v>
      </c>
      <c r="G80" t="s">
        <v>31</v>
      </c>
      <c r="H80" t="s">
        <v>83</v>
      </c>
      <c r="I80" t="s">
        <v>381</v>
      </c>
      <c r="J80" t="s">
        <v>36</v>
      </c>
      <c r="K80" t="s">
        <v>382</v>
      </c>
      <c r="L80" t="s">
        <v>383</v>
      </c>
      <c r="M80" t="s">
        <v>384</v>
      </c>
      <c r="N80"/>
      <c r="O80"/>
      <c r="P80" s="37" t="s">
        <v>35</v>
      </c>
      <c r="Q80" t="s">
        <v>35</v>
      </c>
      <c r="R80"/>
      <c r="X80" s="11"/>
    </row>
    <row r="81" spans="1:24">
      <c r="A81" t="s">
        <v>8</v>
      </c>
      <c r="B81">
        <v>72</v>
      </c>
      <c r="C81" t="s">
        <v>31</v>
      </c>
      <c r="D81" t="s">
        <v>385</v>
      </c>
      <c r="E81" t="s">
        <v>81</v>
      </c>
      <c r="F81" s="37" t="s">
        <v>119</v>
      </c>
      <c r="G81" t="s">
        <v>31</v>
      </c>
      <c r="H81"/>
      <c r="I81"/>
      <c r="J81" t="s">
        <v>36</v>
      </c>
      <c r="K81" t="s">
        <v>386</v>
      </c>
      <c r="L81" t="s">
        <v>387</v>
      </c>
      <c r="M81"/>
      <c r="N81"/>
      <c r="O81"/>
      <c r="P81" s="37" t="s">
        <v>35</v>
      </c>
      <c r="Q81" t="s">
        <v>35</v>
      </c>
      <c r="R81"/>
      <c r="X81" s="11"/>
    </row>
    <row r="82" spans="1:24">
      <c r="A82" t="s">
        <v>8</v>
      </c>
      <c r="B82">
        <v>73</v>
      </c>
      <c r="C82" t="s">
        <v>31</v>
      </c>
      <c r="D82" t="s">
        <v>388</v>
      </c>
      <c r="E82" t="s">
        <v>81</v>
      </c>
      <c r="F82" s="37" t="s">
        <v>82</v>
      </c>
      <c r="G82" t="s">
        <v>35</v>
      </c>
      <c r="H82" t="s">
        <v>83</v>
      </c>
      <c r="I82" t="s">
        <v>389</v>
      </c>
      <c r="J82" t="s">
        <v>390</v>
      </c>
      <c r="K82" t="s">
        <v>390</v>
      </c>
      <c r="L82" t="s">
        <v>391</v>
      </c>
      <c r="M82" t="s">
        <v>392</v>
      </c>
      <c r="N82"/>
      <c r="O82"/>
      <c r="P82" s="37" t="s">
        <v>35</v>
      </c>
      <c r="Q82" t="s">
        <v>35</v>
      </c>
      <c r="R82"/>
      <c r="X82" s="11"/>
    </row>
    <row r="83" spans="1:24">
      <c r="A83" t="s">
        <v>8</v>
      </c>
      <c r="B83">
        <v>74</v>
      </c>
      <c r="C83" t="s">
        <v>31</v>
      </c>
      <c r="D83" t="s">
        <v>393</v>
      </c>
      <c r="E83" t="s">
        <v>81</v>
      </c>
      <c r="F83" s="37" t="s">
        <v>89</v>
      </c>
      <c r="G83" t="s">
        <v>35</v>
      </c>
      <c r="H83"/>
      <c r="I83"/>
      <c r="J83" t="s">
        <v>394</v>
      </c>
      <c r="K83" t="s">
        <v>395</v>
      </c>
      <c r="L83" t="s">
        <v>396</v>
      </c>
      <c r="M83" t="s">
        <v>397</v>
      </c>
      <c r="N83"/>
      <c r="O83"/>
      <c r="P83" s="37" t="s">
        <v>35</v>
      </c>
      <c r="Q83" t="s">
        <v>35</v>
      </c>
      <c r="R83"/>
      <c r="X83" s="11"/>
    </row>
    <row r="84" spans="1:24">
      <c r="A84" t="s">
        <v>8</v>
      </c>
      <c r="B84">
        <v>75</v>
      </c>
      <c r="C84" t="s">
        <v>31</v>
      </c>
      <c r="D84" t="s">
        <v>398</v>
      </c>
      <c r="E84" t="s">
        <v>81</v>
      </c>
      <c r="F84" s="37" t="s">
        <v>82</v>
      </c>
      <c r="G84" t="s">
        <v>35</v>
      </c>
      <c r="H84" t="s">
        <v>83</v>
      </c>
      <c r="I84" t="s">
        <v>399</v>
      </c>
      <c r="J84" t="s">
        <v>41</v>
      </c>
      <c r="K84"/>
      <c r="L84" t="s">
        <v>400</v>
      </c>
      <c r="M84" t="s">
        <v>401</v>
      </c>
      <c r="N84"/>
      <c r="O84"/>
      <c r="P84" s="37" t="s">
        <v>35</v>
      </c>
      <c r="Q84" t="s">
        <v>35</v>
      </c>
      <c r="R84"/>
      <c r="T84" s="2" t="s">
        <v>336</v>
      </c>
      <c r="U84" s="2" t="s">
        <v>42</v>
      </c>
      <c r="V84" s="2">
        <v>29</v>
      </c>
      <c r="W84" s="9" t="s">
        <v>402</v>
      </c>
    </row>
    <row r="85" spans="1:24">
      <c r="A85" t="s">
        <v>8</v>
      </c>
      <c r="B85">
        <v>76</v>
      </c>
      <c r="C85" t="s">
        <v>31</v>
      </c>
      <c r="D85" t="s">
        <v>403</v>
      </c>
      <c r="E85" t="s">
        <v>81</v>
      </c>
      <c r="F85" t="s">
        <v>280</v>
      </c>
      <c r="G85" t="s">
        <v>35</v>
      </c>
      <c r="H85"/>
      <c r="I85"/>
      <c r="J85" t="s">
        <v>404</v>
      </c>
      <c r="K85" t="s">
        <v>405</v>
      </c>
      <c r="L85" t="s">
        <v>406</v>
      </c>
      <c r="M85" t="s">
        <v>407</v>
      </c>
      <c r="N85"/>
      <c r="O85"/>
      <c r="P85"/>
      <c r="Q85" t="s">
        <v>35</v>
      </c>
      <c r="R85"/>
      <c r="W85" s="13"/>
    </row>
    <row r="86" spans="1:24">
      <c r="A86" t="s">
        <v>8</v>
      </c>
      <c r="B86">
        <v>77</v>
      </c>
      <c r="C86" t="s">
        <v>31</v>
      </c>
      <c r="D86" t="s">
        <v>408</v>
      </c>
      <c r="E86" t="s">
        <v>81</v>
      </c>
      <c r="F86" s="37" t="s">
        <v>125</v>
      </c>
      <c r="G86" t="s">
        <v>35</v>
      </c>
      <c r="H86"/>
      <c r="I86"/>
      <c r="J86" t="s">
        <v>404</v>
      </c>
      <c r="K86" t="s">
        <v>409</v>
      </c>
      <c r="L86" t="s">
        <v>410</v>
      </c>
      <c r="M86" t="s">
        <v>411</v>
      </c>
      <c r="N86"/>
      <c r="O86"/>
      <c r="P86" s="37"/>
      <c r="Q86" t="s">
        <v>35</v>
      </c>
      <c r="R86"/>
      <c r="T86" s="2" t="s">
        <v>50</v>
      </c>
      <c r="U86" s="2" t="s">
        <v>42</v>
      </c>
      <c r="V86" s="2">
        <v>48</v>
      </c>
      <c r="W86" s="9" t="s">
        <v>389</v>
      </c>
    </row>
    <row r="87" spans="1:24">
      <c r="A87" t="s">
        <v>8</v>
      </c>
      <c r="B87">
        <v>78</v>
      </c>
      <c r="C87" t="s">
        <v>31</v>
      </c>
      <c r="D87" t="s">
        <v>412</v>
      </c>
      <c r="E87" t="s">
        <v>81</v>
      </c>
      <c r="F87" s="37" t="s">
        <v>413</v>
      </c>
      <c r="G87" t="s">
        <v>35</v>
      </c>
      <c r="H87"/>
      <c r="I87"/>
      <c r="J87" t="s">
        <v>404</v>
      </c>
      <c r="K87" t="s">
        <v>414</v>
      </c>
      <c r="L87" t="s">
        <v>415</v>
      </c>
      <c r="M87" t="s">
        <v>416</v>
      </c>
      <c r="N87"/>
      <c r="O87"/>
      <c r="P87" s="37"/>
      <c r="Q87" t="s">
        <v>35</v>
      </c>
      <c r="R87"/>
      <c r="T87" s="2" t="s">
        <v>50</v>
      </c>
      <c r="U87" s="2" t="s">
        <v>42</v>
      </c>
      <c r="V87" s="2">
        <v>69</v>
      </c>
      <c r="W87" s="9" t="s">
        <v>417</v>
      </c>
    </row>
    <row r="88" spans="1:24">
      <c r="A88" t="s">
        <v>8</v>
      </c>
      <c r="B88">
        <v>79</v>
      </c>
      <c r="C88" t="s">
        <v>31</v>
      </c>
      <c r="D88" t="s">
        <v>418</v>
      </c>
      <c r="E88" t="s">
        <v>81</v>
      </c>
      <c r="F88" s="37" t="s">
        <v>113</v>
      </c>
      <c r="G88" t="s">
        <v>35</v>
      </c>
      <c r="H88"/>
      <c r="I88"/>
      <c r="J88" t="s">
        <v>76</v>
      </c>
      <c r="K88" t="s">
        <v>419</v>
      </c>
      <c r="L88" t="s">
        <v>420</v>
      </c>
      <c r="M88" t="s">
        <v>421</v>
      </c>
      <c r="N88"/>
      <c r="O88"/>
      <c r="P88" s="37"/>
      <c r="Q88" t="s">
        <v>35</v>
      </c>
      <c r="R88"/>
      <c r="T88" s="2" t="s">
        <v>50</v>
      </c>
      <c r="U88" s="2" t="s">
        <v>42</v>
      </c>
      <c r="V88" s="2">
        <v>58</v>
      </c>
      <c r="W88" s="9" t="s">
        <v>422</v>
      </c>
    </row>
    <row r="89" spans="1:24">
      <c r="A89" t="s">
        <v>8</v>
      </c>
      <c r="B89">
        <v>80</v>
      </c>
      <c r="C89" t="s">
        <v>31</v>
      </c>
      <c r="D89" t="s">
        <v>423</v>
      </c>
      <c r="E89" t="s">
        <v>81</v>
      </c>
      <c r="F89" t="s">
        <v>280</v>
      </c>
      <c r="G89" t="s">
        <v>35</v>
      </c>
      <c r="H89"/>
      <c r="I89"/>
      <c r="J89" t="s">
        <v>404</v>
      </c>
      <c r="K89" t="s">
        <v>424</v>
      </c>
      <c r="L89" t="s">
        <v>425</v>
      </c>
      <c r="M89" t="s">
        <v>426</v>
      </c>
      <c r="N89"/>
      <c r="O89"/>
      <c r="P89"/>
      <c r="Q89" t="s">
        <v>35</v>
      </c>
      <c r="R89"/>
      <c r="T89" s="2" t="s">
        <v>50</v>
      </c>
      <c r="U89" s="2" t="s">
        <v>42</v>
      </c>
      <c r="V89" s="2">
        <v>60</v>
      </c>
      <c r="W89" s="9" t="s">
        <v>427</v>
      </c>
    </row>
    <row r="90" spans="1:24">
      <c r="A90" t="s">
        <v>8</v>
      </c>
      <c r="B90">
        <v>81</v>
      </c>
      <c r="C90" t="s">
        <v>31</v>
      </c>
      <c r="D90" t="s">
        <v>428</v>
      </c>
      <c r="E90" t="s">
        <v>81</v>
      </c>
      <c r="F90" s="37" t="s">
        <v>82</v>
      </c>
      <c r="G90" t="s">
        <v>35</v>
      </c>
      <c r="H90" t="s">
        <v>83</v>
      </c>
      <c r="I90" t="s">
        <v>429</v>
      </c>
      <c r="J90" t="s">
        <v>404</v>
      </c>
      <c r="K90" t="s">
        <v>430</v>
      </c>
      <c r="L90" t="s">
        <v>431</v>
      </c>
      <c r="M90" t="s">
        <v>432</v>
      </c>
      <c r="N90"/>
      <c r="O90"/>
      <c r="P90" s="37"/>
      <c r="Q90" t="s">
        <v>35</v>
      </c>
      <c r="R90"/>
      <c r="T90" s="2" t="s">
        <v>50</v>
      </c>
      <c r="U90" s="2" t="s">
        <v>42</v>
      </c>
      <c r="V90" s="2">
        <v>61</v>
      </c>
      <c r="W90" s="9" t="s">
        <v>433</v>
      </c>
    </row>
    <row r="91" spans="1:24">
      <c r="A91" t="s">
        <v>8</v>
      </c>
      <c r="B91">
        <v>82</v>
      </c>
      <c r="C91" t="s">
        <v>31</v>
      </c>
      <c r="D91" t="s">
        <v>434</v>
      </c>
      <c r="E91" t="s">
        <v>81</v>
      </c>
      <c r="F91" s="37" t="s">
        <v>435</v>
      </c>
      <c r="G91" t="s">
        <v>35</v>
      </c>
      <c r="H91"/>
      <c r="I91"/>
      <c r="J91" t="s">
        <v>436</v>
      </c>
      <c r="K91" t="s">
        <v>437</v>
      </c>
      <c r="L91" t="s">
        <v>438</v>
      </c>
      <c r="M91" t="s">
        <v>439</v>
      </c>
      <c r="N91"/>
      <c r="O91"/>
      <c r="P91" s="37"/>
      <c r="Q91" t="s">
        <v>35</v>
      </c>
      <c r="R91"/>
      <c r="T91" s="2" t="s">
        <v>50</v>
      </c>
      <c r="U91" s="2" t="s">
        <v>42</v>
      </c>
      <c r="V91" s="2">
        <v>62</v>
      </c>
      <c r="W91" s="9" t="s">
        <v>440</v>
      </c>
    </row>
    <row r="92" spans="1:24">
      <c r="A92" t="s">
        <v>8</v>
      </c>
      <c r="B92">
        <v>83</v>
      </c>
      <c r="C92" t="s">
        <v>31</v>
      </c>
      <c r="D92" t="s">
        <v>441</v>
      </c>
      <c r="E92" t="s">
        <v>81</v>
      </c>
      <c r="F92" s="37" t="s">
        <v>269</v>
      </c>
      <c r="G92" t="s">
        <v>31</v>
      </c>
      <c r="H92"/>
      <c r="I92"/>
      <c r="J92" t="s">
        <v>436</v>
      </c>
      <c r="K92" t="s">
        <v>442</v>
      </c>
      <c r="L92" t="s">
        <v>443</v>
      </c>
      <c r="M92" t="s">
        <v>444</v>
      </c>
      <c r="N92"/>
      <c r="O92"/>
      <c r="P92" s="37"/>
      <c r="Q92" t="s">
        <v>35</v>
      </c>
      <c r="R92"/>
      <c r="T92" s="2" t="s">
        <v>50</v>
      </c>
      <c r="U92" s="2" t="s">
        <v>42</v>
      </c>
      <c r="V92" s="2">
        <v>63</v>
      </c>
      <c r="W92" s="9" t="s">
        <v>418</v>
      </c>
    </row>
    <row r="93" spans="1:24">
      <c r="A93" t="s">
        <v>8</v>
      </c>
      <c r="B93">
        <v>84</v>
      </c>
      <c r="C93" t="s">
        <v>31</v>
      </c>
      <c r="D93" t="s">
        <v>445</v>
      </c>
      <c r="E93" t="s">
        <v>81</v>
      </c>
      <c r="F93" s="37" t="s">
        <v>82</v>
      </c>
      <c r="G93" t="s">
        <v>35</v>
      </c>
      <c r="H93" t="s">
        <v>83</v>
      </c>
      <c r="I93" t="s">
        <v>446</v>
      </c>
      <c r="J93" t="s">
        <v>183</v>
      </c>
      <c r="K93" t="s">
        <v>447</v>
      </c>
      <c r="L93" t="s">
        <v>448</v>
      </c>
      <c r="M93" t="s">
        <v>449</v>
      </c>
      <c r="N93"/>
      <c r="O93"/>
      <c r="P93" s="37" t="s">
        <v>35</v>
      </c>
      <c r="Q93" t="s">
        <v>35</v>
      </c>
      <c r="R93"/>
      <c r="T93" s="2" t="s">
        <v>50</v>
      </c>
      <c r="U93" s="2" t="s">
        <v>42</v>
      </c>
      <c r="V93" s="2">
        <v>64</v>
      </c>
      <c r="W93" s="9" t="s">
        <v>450</v>
      </c>
    </row>
    <row r="94" spans="1:24">
      <c r="A94" t="s">
        <v>8</v>
      </c>
      <c r="B94">
        <v>85</v>
      </c>
      <c r="C94" t="s">
        <v>31</v>
      </c>
      <c r="D94" t="s">
        <v>451</v>
      </c>
      <c r="E94" t="s">
        <v>81</v>
      </c>
      <c r="F94" s="37" t="s">
        <v>82</v>
      </c>
      <c r="G94" t="s">
        <v>35</v>
      </c>
      <c r="H94" t="s">
        <v>83</v>
      </c>
      <c r="I94" t="s">
        <v>446</v>
      </c>
      <c r="J94" t="s">
        <v>183</v>
      </c>
      <c r="K94" t="s">
        <v>447</v>
      </c>
      <c r="L94" t="s">
        <v>452</v>
      </c>
      <c r="M94" t="s">
        <v>453</v>
      </c>
      <c r="N94"/>
      <c r="O94"/>
      <c r="P94" s="37" t="s">
        <v>35</v>
      </c>
      <c r="Q94" t="s">
        <v>35</v>
      </c>
      <c r="R94"/>
      <c r="T94" s="2" t="s">
        <v>50</v>
      </c>
      <c r="U94" s="2" t="s">
        <v>42</v>
      </c>
      <c r="V94" s="2">
        <v>65</v>
      </c>
      <c r="W94" s="9" t="s">
        <v>429</v>
      </c>
    </row>
    <row r="95" spans="1:24">
      <c r="A95" t="s">
        <v>8</v>
      </c>
      <c r="B95">
        <v>86</v>
      </c>
      <c r="C95" t="s">
        <v>31</v>
      </c>
      <c r="D95" t="s">
        <v>454</v>
      </c>
      <c r="E95" t="s">
        <v>81</v>
      </c>
      <c r="F95" s="37" t="s">
        <v>82</v>
      </c>
      <c r="G95" t="s">
        <v>35</v>
      </c>
      <c r="H95" t="s">
        <v>83</v>
      </c>
      <c r="I95" t="s">
        <v>446</v>
      </c>
      <c r="J95" t="s">
        <v>183</v>
      </c>
      <c r="K95" t="s">
        <v>447</v>
      </c>
      <c r="L95" t="s">
        <v>455</v>
      </c>
      <c r="M95" t="s">
        <v>456</v>
      </c>
      <c r="N95"/>
      <c r="O95"/>
      <c r="P95" s="37" t="s">
        <v>35</v>
      </c>
      <c r="Q95" t="s">
        <v>35</v>
      </c>
      <c r="R95"/>
      <c r="T95" s="2" t="s">
        <v>50</v>
      </c>
      <c r="U95" s="2" t="s">
        <v>42</v>
      </c>
      <c r="V95" s="2">
        <v>66</v>
      </c>
      <c r="W95" s="9" t="s">
        <v>457</v>
      </c>
    </row>
    <row r="96" spans="1:24">
      <c r="A96" t="s">
        <v>8</v>
      </c>
      <c r="B96">
        <v>87</v>
      </c>
      <c r="C96" t="s">
        <v>31</v>
      </c>
      <c r="D96" t="s">
        <v>458</v>
      </c>
      <c r="E96" t="s">
        <v>81</v>
      </c>
      <c r="F96" s="37" t="s">
        <v>107</v>
      </c>
      <c r="G96" t="s">
        <v>35</v>
      </c>
      <c r="H96"/>
      <c r="I96"/>
      <c r="J96" t="s">
        <v>183</v>
      </c>
      <c r="K96" t="s">
        <v>459</v>
      </c>
      <c r="L96" t="s">
        <v>460</v>
      </c>
      <c r="M96" t="s">
        <v>461</v>
      </c>
      <c r="N96"/>
      <c r="O96"/>
      <c r="P96" s="37" t="s">
        <v>35</v>
      </c>
      <c r="Q96" t="s">
        <v>35</v>
      </c>
      <c r="R96"/>
      <c r="T96" s="2" t="s">
        <v>50</v>
      </c>
      <c r="U96" s="2" t="s">
        <v>42</v>
      </c>
      <c r="V96" s="2">
        <v>67</v>
      </c>
      <c r="W96" s="14" t="s">
        <v>462</v>
      </c>
    </row>
    <row r="97" spans="1:23">
      <c r="A97" t="s">
        <v>8</v>
      </c>
      <c r="B97">
        <v>88</v>
      </c>
      <c r="C97" t="s">
        <v>31</v>
      </c>
      <c r="D97" t="s">
        <v>463</v>
      </c>
      <c r="E97" t="s">
        <v>81</v>
      </c>
      <c r="F97" s="37" t="s">
        <v>153</v>
      </c>
      <c r="G97" t="s">
        <v>35</v>
      </c>
      <c r="H97"/>
      <c r="I97"/>
      <c r="J97" t="s">
        <v>464</v>
      </c>
      <c r="K97" t="s">
        <v>465</v>
      </c>
      <c r="L97" t="s">
        <v>466</v>
      </c>
      <c r="M97" t="s">
        <v>467</v>
      </c>
      <c r="N97"/>
      <c r="O97"/>
      <c r="P97" s="37" t="s">
        <v>35</v>
      </c>
      <c r="Q97" t="s">
        <v>35</v>
      </c>
      <c r="R97"/>
    </row>
    <row r="98" spans="1:23">
      <c r="A98" t="s">
        <v>8</v>
      </c>
      <c r="B98">
        <v>89</v>
      </c>
      <c r="C98" t="s">
        <v>31</v>
      </c>
      <c r="D98" t="s">
        <v>468</v>
      </c>
      <c r="E98" t="s">
        <v>81</v>
      </c>
      <c r="F98" s="37" t="s">
        <v>153</v>
      </c>
      <c r="G98" t="s">
        <v>35</v>
      </c>
      <c r="H98"/>
      <c r="I98"/>
      <c r="J98" t="s">
        <v>36</v>
      </c>
      <c r="K98" t="s">
        <v>469</v>
      </c>
      <c r="L98" t="s">
        <v>470</v>
      </c>
      <c r="M98" t="s">
        <v>471</v>
      </c>
      <c r="N98"/>
      <c r="O98"/>
      <c r="P98" s="37" t="s">
        <v>35</v>
      </c>
      <c r="Q98" t="s">
        <v>35</v>
      </c>
      <c r="R98"/>
    </row>
    <row r="99" spans="1:23">
      <c r="A99" t="s">
        <v>8</v>
      </c>
      <c r="B99">
        <v>90</v>
      </c>
      <c r="C99" t="s">
        <v>31</v>
      </c>
      <c r="D99" t="s">
        <v>472</v>
      </c>
      <c r="E99" t="s">
        <v>81</v>
      </c>
      <c r="F99" s="37" t="s">
        <v>107</v>
      </c>
      <c r="G99" t="s">
        <v>35</v>
      </c>
      <c r="H99"/>
      <c r="I99"/>
      <c r="J99" t="s">
        <v>183</v>
      </c>
      <c r="K99" t="s">
        <v>473</v>
      </c>
      <c r="L99" t="s">
        <v>474</v>
      </c>
      <c r="M99" t="s">
        <v>475</v>
      </c>
      <c r="N99"/>
      <c r="O99"/>
      <c r="P99" s="37" t="s">
        <v>35</v>
      </c>
      <c r="Q99" t="s">
        <v>35</v>
      </c>
      <c r="R99"/>
    </row>
    <row r="100" spans="1:23">
      <c r="A100" t="s">
        <v>8</v>
      </c>
      <c r="B100">
        <v>91</v>
      </c>
      <c r="C100" t="s">
        <v>31</v>
      </c>
      <c r="D100" t="s">
        <v>476</v>
      </c>
      <c r="E100" t="s">
        <v>81</v>
      </c>
      <c r="F100" s="37" t="s">
        <v>89</v>
      </c>
      <c r="G100" t="s">
        <v>35</v>
      </c>
      <c r="H100"/>
      <c r="I100"/>
      <c r="J100" t="s">
        <v>183</v>
      </c>
      <c r="K100" t="s">
        <v>477</v>
      </c>
      <c r="L100" t="s">
        <v>478</v>
      </c>
      <c r="M100" t="s">
        <v>479</v>
      </c>
      <c r="N100"/>
      <c r="O100"/>
      <c r="P100" s="37"/>
      <c r="Q100" t="s">
        <v>35</v>
      </c>
      <c r="R100"/>
      <c r="W100" s="6"/>
    </row>
    <row r="101" spans="1:23">
      <c r="A101" t="s">
        <v>8</v>
      </c>
      <c r="B101">
        <v>92</v>
      </c>
      <c r="C101" t="s">
        <v>31</v>
      </c>
      <c r="D101" t="s">
        <v>480</v>
      </c>
      <c r="E101" t="s">
        <v>81</v>
      </c>
      <c r="F101" s="37" t="s">
        <v>107</v>
      </c>
      <c r="G101" t="s">
        <v>35</v>
      </c>
      <c r="H101"/>
      <c r="I101"/>
      <c r="J101" t="s">
        <v>183</v>
      </c>
      <c r="K101" t="s">
        <v>481</v>
      </c>
      <c r="L101" t="s">
        <v>482</v>
      </c>
      <c r="M101" t="s">
        <v>483</v>
      </c>
      <c r="N101"/>
      <c r="O101"/>
      <c r="P101" s="37" t="s">
        <v>35</v>
      </c>
      <c r="Q101" t="s">
        <v>35</v>
      </c>
      <c r="R101"/>
      <c r="W101" s="6"/>
    </row>
    <row r="102" spans="1:23">
      <c r="A102" t="s">
        <v>8</v>
      </c>
      <c r="B102">
        <v>93</v>
      </c>
      <c r="C102" t="s">
        <v>31</v>
      </c>
      <c r="D102" t="s">
        <v>484</v>
      </c>
      <c r="E102" t="s">
        <v>81</v>
      </c>
      <c r="F102" s="37" t="s">
        <v>82</v>
      </c>
      <c r="G102" t="s">
        <v>31</v>
      </c>
      <c r="H102" t="s">
        <v>83</v>
      </c>
      <c r="I102" t="s">
        <v>381</v>
      </c>
      <c r="J102" t="s">
        <v>36</v>
      </c>
      <c r="K102" t="s">
        <v>485</v>
      </c>
      <c r="L102" t="s">
        <v>486</v>
      </c>
      <c r="M102"/>
      <c r="N102"/>
      <c r="O102"/>
      <c r="P102" s="37"/>
      <c r="Q102" t="s">
        <v>35</v>
      </c>
      <c r="R102"/>
      <c r="W102" s="6"/>
    </row>
    <row r="103" spans="1:23">
      <c r="A103" t="s">
        <v>8</v>
      </c>
      <c r="B103">
        <v>94</v>
      </c>
      <c r="C103" t="s">
        <v>31</v>
      </c>
      <c r="D103" t="s">
        <v>487</v>
      </c>
      <c r="E103" t="s">
        <v>81</v>
      </c>
      <c r="F103" s="37" t="s">
        <v>119</v>
      </c>
      <c r="G103" t="s">
        <v>31</v>
      </c>
      <c r="H103"/>
      <c r="I103"/>
      <c r="J103" t="s">
        <v>36</v>
      </c>
      <c r="K103" t="s">
        <v>488</v>
      </c>
      <c r="L103" t="s">
        <v>489</v>
      </c>
      <c r="M103"/>
      <c r="N103"/>
      <c r="O103"/>
      <c r="P103" s="37"/>
      <c r="Q103" t="s">
        <v>35</v>
      </c>
      <c r="R103"/>
      <c r="W103" s="6"/>
    </row>
    <row r="104" spans="1:23">
      <c r="A104" t="s">
        <v>8</v>
      </c>
      <c r="B104">
        <v>95</v>
      </c>
      <c r="C104" t="s">
        <v>31</v>
      </c>
      <c r="D104" t="s">
        <v>490</v>
      </c>
      <c r="E104" t="s">
        <v>81</v>
      </c>
      <c r="F104" s="37" t="s">
        <v>119</v>
      </c>
      <c r="G104" t="s">
        <v>31</v>
      </c>
      <c r="H104"/>
      <c r="I104"/>
      <c r="J104" t="s">
        <v>36</v>
      </c>
      <c r="K104" t="s">
        <v>491</v>
      </c>
      <c r="L104" t="s">
        <v>492</v>
      </c>
      <c r="M104"/>
      <c r="N104"/>
      <c r="O104"/>
      <c r="P104" s="37"/>
      <c r="Q104" t="s">
        <v>35</v>
      </c>
      <c r="R104"/>
      <c r="W104" s="6"/>
    </row>
    <row r="105" spans="1:23">
      <c r="A105" t="s">
        <v>8</v>
      </c>
      <c r="B105">
        <v>96</v>
      </c>
      <c r="C105" t="s">
        <v>31</v>
      </c>
      <c r="D105" t="s">
        <v>493</v>
      </c>
      <c r="E105" t="s">
        <v>81</v>
      </c>
      <c r="F105" s="37" t="s">
        <v>119</v>
      </c>
      <c r="G105" t="s">
        <v>31</v>
      </c>
      <c r="H105"/>
      <c r="I105"/>
      <c r="J105" t="s">
        <v>36</v>
      </c>
      <c r="K105" t="s">
        <v>494</v>
      </c>
      <c r="L105" t="s">
        <v>495</v>
      </c>
      <c r="M105"/>
      <c r="N105"/>
      <c r="O105"/>
      <c r="P105" s="37"/>
      <c r="Q105" t="s">
        <v>35</v>
      </c>
      <c r="R105"/>
      <c r="W105" s="6"/>
    </row>
    <row r="106" spans="1:23">
      <c r="A106" t="s">
        <v>8</v>
      </c>
      <c r="B106">
        <v>97</v>
      </c>
      <c r="C106" t="s">
        <v>31</v>
      </c>
      <c r="D106" t="s">
        <v>496</v>
      </c>
      <c r="E106" t="s">
        <v>81</v>
      </c>
      <c r="F106" s="37" t="s">
        <v>113</v>
      </c>
      <c r="G106" t="s">
        <v>31</v>
      </c>
      <c r="H106"/>
      <c r="I106"/>
      <c r="J106" t="s">
        <v>36</v>
      </c>
      <c r="K106" t="s">
        <v>497</v>
      </c>
      <c r="L106" t="s">
        <v>498</v>
      </c>
      <c r="M106"/>
      <c r="N106"/>
      <c r="O106"/>
      <c r="P106" s="37"/>
      <c r="Q106" t="s">
        <v>35</v>
      </c>
      <c r="R106"/>
      <c r="W106" s="6"/>
    </row>
    <row r="107" spans="1:23">
      <c r="A107" t="s">
        <v>8</v>
      </c>
      <c r="B107">
        <v>98</v>
      </c>
      <c r="C107" t="s">
        <v>31</v>
      </c>
      <c r="D107" t="s">
        <v>499</v>
      </c>
      <c r="E107" t="s">
        <v>81</v>
      </c>
      <c r="F107" s="37" t="s">
        <v>113</v>
      </c>
      <c r="G107" t="s">
        <v>31</v>
      </c>
      <c r="H107"/>
      <c r="I107"/>
      <c r="J107" t="s">
        <v>36</v>
      </c>
      <c r="K107" t="s">
        <v>500</v>
      </c>
      <c r="L107" t="s">
        <v>501</v>
      </c>
      <c r="M107"/>
      <c r="N107"/>
      <c r="O107"/>
      <c r="P107" s="37"/>
      <c r="Q107" t="s">
        <v>35</v>
      </c>
      <c r="R107"/>
      <c r="W107" s="6"/>
    </row>
    <row r="108" spans="1:23">
      <c r="A108" t="s">
        <v>8</v>
      </c>
      <c r="B108">
        <v>99</v>
      </c>
      <c r="C108" t="s">
        <v>31</v>
      </c>
      <c r="D108" t="s">
        <v>502</v>
      </c>
      <c r="E108" t="s">
        <v>81</v>
      </c>
      <c r="F108" s="37" t="s">
        <v>503</v>
      </c>
      <c r="G108" t="s">
        <v>31</v>
      </c>
      <c r="H108"/>
      <c r="I108"/>
      <c r="J108" t="s">
        <v>36</v>
      </c>
      <c r="K108" t="s">
        <v>504</v>
      </c>
      <c r="L108" t="s">
        <v>505</v>
      </c>
      <c r="M108"/>
      <c r="N108"/>
      <c r="O108"/>
      <c r="P108" s="37"/>
      <c r="Q108" t="s">
        <v>35</v>
      </c>
      <c r="R108"/>
      <c r="W108" s="6"/>
    </row>
    <row r="109" spans="1:23">
      <c r="A109" t="s">
        <v>8</v>
      </c>
      <c r="B109">
        <v>100</v>
      </c>
      <c r="C109" t="s">
        <v>31</v>
      </c>
      <c r="D109" t="s">
        <v>506</v>
      </c>
      <c r="E109" t="s">
        <v>81</v>
      </c>
      <c r="F109" s="37" t="s">
        <v>503</v>
      </c>
      <c r="G109" t="s">
        <v>31</v>
      </c>
      <c r="H109"/>
      <c r="I109"/>
      <c r="J109" t="s">
        <v>36</v>
      </c>
      <c r="K109" t="s">
        <v>507</v>
      </c>
      <c r="L109" t="s">
        <v>508</v>
      </c>
      <c r="M109"/>
      <c r="N109"/>
      <c r="O109"/>
      <c r="P109" s="37"/>
      <c r="Q109" t="s">
        <v>35</v>
      </c>
      <c r="R109"/>
      <c r="W109" s="6"/>
    </row>
    <row r="110" spans="1:23">
      <c r="A110" t="s">
        <v>8</v>
      </c>
      <c r="B110">
        <v>101</v>
      </c>
      <c r="C110" t="s">
        <v>31</v>
      </c>
      <c r="D110" t="s">
        <v>509</v>
      </c>
      <c r="E110" t="s">
        <v>81</v>
      </c>
      <c r="F110" s="37" t="s">
        <v>125</v>
      </c>
      <c r="G110" t="s">
        <v>31</v>
      </c>
      <c r="H110"/>
      <c r="I110"/>
      <c r="J110" t="s">
        <v>36</v>
      </c>
      <c r="K110" t="s">
        <v>510</v>
      </c>
      <c r="L110" t="s">
        <v>511</v>
      </c>
      <c r="M110"/>
      <c r="N110"/>
      <c r="O110"/>
      <c r="P110" s="37"/>
      <c r="Q110" t="s">
        <v>35</v>
      </c>
      <c r="R110"/>
      <c r="W110" s="6"/>
    </row>
    <row r="111" spans="1:23">
      <c r="A111" t="s">
        <v>8</v>
      </c>
      <c r="B111">
        <v>102</v>
      </c>
      <c r="C111" t="s">
        <v>31</v>
      </c>
      <c r="D111" t="s">
        <v>512</v>
      </c>
      <c r="E111" t="s">
        <v>81</v>
      </c>
      <c r="F111" s="37" t="s">
        <v>125</v>
      </c>
      <c r="G111" t="s">
        <v>31</v>
      </c>
      <c r="H111"/>
      <c r="I111"/>
      <c r="J111" t="s">
        <v>36</v>
      </c>
      <c r="K111" t="s">
        <v>513</v>
      </c>
      <c r="L111" t="s">
        <v>514</v>
      </c>
      <c r="M111"/>
      <c r="N111"/>
      <c r="O111"/>
      <c r="P111" s="37"/>
      <c r="Q111" t="s">
        <v>35</v>
      </c>
      <c r="R111"/>
      <c r="W111" s="6"/>
    </row>
    <row r="112" spans="1:23">
      <c r="A112" t="s">
        <v>8</v>
      </c>
      <c r="B112">
        <v>103</v>
      </c>
      <c r="C112" t="s">
        <v>31</v>
      </c>
      <c r="D112" t="s">
        <v>515</v>
      </c>
      <c r="E112" t="s">
        <v>81</v>
      </c>
      <c r="F112" s="37" t="s">
        <v>113</v>
      </c>
      <c r="G112" t="s">
        <v>31</v>
      </c>
      <c r="H112"/>
      <c r="I112"/>
      <c r="J112" t="s">
        <v>36</v>
      </c>
      <c r="K112" t="s">
        <v>516</v>
      </c>
      <c r="L112" t="s">
        <v>517</v>
      </c>
      <c r="M112"/>
      <c r="N112"/>
      <c r="O112"/>
      <c r="P112" s="37"/>
      <c r="Q112" t="s">
        <v>35</v>
      </c>
      <c r="R112"/>
      <c r="W112" s="6"/>
    </row>
    <row r="113" spans="1:23">
      <c r="A113" t="s">
        <v>8</v>
      </c>
      <c r="B113">
        <v>104</v>
      </c>
      <c r="C113" t="s">
        <v>31</v>
      </c>
      <c r="D113" t="s">
        <v>518</v>
      </c>
      <c r="E113" t="s">
        <v>81</v>
      </c>
      <c r="F113" s="37" t="s">
        <v>113</v>
      </c>
      <c r="G113" t="s">
        <v>31</v>
      </c>
      <c r="H113"/>
      <c r="I113"/>
      <c r="J113" t="s">
        <v>36</v>
      </c>
      <c r="K113" t="s">
        <v>519</v>
      </c>
      <c r="L113" t="s">
        <v>520</v>
      </c>
      <c r="M113"/>
      <c r="N113"/>
      <c r="O113"/>
      <c r="P113" s="37"/>
      <c r="Q113" t="s">
        <v>35</v>
      </c>
      <c r="R113"/>
      <c r="W113" s="6"/>
    </row>
    <row r="114" spans="1:23">
      <c r="A114" t="s">
        <v>8</v>
      </c>
      <c r="B114">
        <v>105</v>
      </c>
      <c r="C114" t="s">
        <v>31</v>
      </c>
      <c r="D114" t="s">
        <v>521</v>
      </c>
      <c r="E114" t="s">
        <v>81</v>
      </c>
      <c r="F114" s="37" t="s">
        <v>113</v>
      </c>
      <c r="G114" t="s">
        <v>31</v>
      </c>
      <c r="H114"/>
      <c r="I114"/>
      <c r="J114" t="s">
        <v>36</v>
      </c>
      <c r="K114" t="s">
        <v>522</v>
      </c>
      <c r="L114" t="s">
        <v>523</v>
      </c>
      <c r="M114"/>
      <c r="N114"/>
      <c r="O114"/>
      <c r="P114" s="37"/>
      <c r="Q114" t="s">
        <v>35</v>
      </c>
      <c r="R114"/>
      <c r="W114" s="6"/>
    </row>
    <row r="115" spans="1:23">
      <c r="A115" t="s">
        <v>8</v>
      </c>
      <c r="B115">
        <v>106</v>
      </c>
      <c r="C115" t="s">
        <v>31</v>
      </c>
      <c r="D115" t="s">
        <v>524</v>
      </c>
      <c r="E115" t="s">
        <v>81</v>
      </c>
      <c r="F115" s="37" t="s">
        <v>525</v>
      </c>
      <c r="G115" t="s">
        <v>31</v>
      </c>
      <c r="H115"/>
      <c r="I115"/>
      <c r="J115" t="s">
        <v>36</v>
      </c>
      <c r="K115" t="s">
        <v>526</v>
      </c>
      <c r="L115" t="s">
        <v>527</v>
      </c>
      <c r="M115"/>
      <c r="N115"/>
      <c r="O115"/>
      <c r="P115" s="37"/>
      <c r="Q115" t="s">
        <v>35</v>
      </c>
      <c r="R115"/>
      <c r="W115" s="6"/>
    </row>
    <row r="116" spans="1:23">
      <c r="A116" t="s">
        <v>8</v>
      </c>
      <c r="B116">
        <v>107</v>
      </c>
      <c r="C116" t="s">
        <v>31</v>
      </c>
      <c r="D116" t="s">
        <v>528</v>
      </c>
      <c r="E116" t="s">
        <v>81</v>
      </c>
      <c r="F116" s="37" t="s">
        <v>503</v>
      </c>
      <c r="G116" t="s">
        <v>31</v>
      </c>
      <c r="H116"/>
      <c r="I116"/>
      <c r="J116" t="s">
        <v>36</v>
      </c>
      <c r="K116" t="s">
        <v>529</v>
      </c>
      <c r="L116" t="s">
        <v>530</v>
      </c>
      <c r="M116"/>
      <c r="N116"/>
      <c r="O116"/>
      <c r="P116" s="37" t="s">
        <v>35</v>
      </c>
      <c r="Q116" t="s">
        <v>35</v>
      </c>
      <c r="R116"/>
      <c r="W116" s="6"/>
    </row>
    <row r="117" spans="1:23">
      <c r="A117" t="s">
        <v>8</v>
      </c>
      <c r="B117">
        <v>108</v>
      </c>
      <c r="C117" t="s">
        <v>31</v>
      </c>
      <c r="D117" t="s">
        <v>531</v>
      </c>
      <c r="E117" t="s">
        <v>81</v>
      </c>
      <c r="F117" s="37" t="s">
        <v>153</v>
      </c>
      <c r="G117" t="s">
        <v>31</v>
      </c>
      <c r="H117"/>
      <c r="I117"/>
      <c r="J117" t="s">
        <v>532</v>
      </c>
      <c r="K117" t="s">
        <v>533</v>
      </c>
      <c r="L117" t="s">
        <v>534</v>
      </c>
      <c r="M117"/>
      <c r="N117"/>
      <c r="O117"/>
      <c r="P117" s="37" t="s">
        <v>35</v>
      </c>
      <c r="Q117" t="s">
        <v>35</v>
      </c>
      <c r="R117"/>
      <c r="W117" s="6"/>
    </row>
    <row r="118" spans="1:23">
      <c r="A118" t="s">
        <v>8</v>
      </c>
      <c r="B118">
        <v>109</v>
      </c>
      <c r="C118" t="s">
        <v>31</v>
      </c>
      <c r="D118" t="s">
        <v>535</v>
      </c>
      <c r="E118" t="s">
        <v>81</v>
      </c>
      <c r="F118" t="s">
        <v>82</v>
      </c>
      <c r="G118" t="s">
        <v>35</v>
      </c>
      <c r="H118" t="s">
        <v>83</v>
      </c>
      <c r="I118" t="s">
        <v>536</v>
      </c>
      <c r="J118" t="s">
        <v>41</v>
      </c>
      <c r="K118"/>
      <c r="L118" t="s">
        <v>537</v>
      </c>
      <c r="M118" t="s">
        <v>538</v>
      </c>
      <c r="N118"/>
      <c r="O118"/>
      <c r="P118" t="s">
        <v>35</v>
      </c>
      <c r="Q118" t="s">
        <v>35</v>
      </c>
      <c r="R118"/>
      <c r="W118" s="6"/>
    </row>
    <row r="119" spans="1:23">
      <c r="A119" t="s">
        <v>8</v>
      </c>
      <c r="B119">
        <v>110</v>
      </c>
      <c r="C119" t="s">
        <v>31</v>
      </c>
      <c r="D119" t="s">
        <v>539</v>
      </c>
      <c r="E119" t="s">
        <v>60</v>
      </c>
      <c r="F119" t="s">
        <v>61</v>
      </c>
      <c r="G119" t="s">
        <v>31</v>
      </c>
      <c r="H119"/>
      <c r="I119"/>
      <c r="J119" t="s">
        <v>540</v>
      </c>
      <c r="K119"/>
      <c r="L119" t="s">
        <v>541</v>
      </c>
      <c r="M119" t="s">
        <v>542</v>
      </c>
      <c r="N119"/>
      <c r="O119"/>
      <c r="P119"/>
      <c r="Q119" t="s">
        <v>35</v>
      </c>
      <c r="R119"/>
      <c r="W119" s="6"/>
    </row>
    <row r="120" spans="1:23">
      <c r="A120" t="s">
        <v>8</v>
      </c>
      <c r="B120">
        <v>111</v>
      </c>
      <c r="C120" t="s">
        <v>31</v>
      </c>
      <c r="D120" t="s">
        <v>543</v>
      </c>
      <c r="E120" t="s">
        <v>81</v>
      </c>
      <c r="F120" t="s">
        <v>107</v>
      </c>
      <c r="G120" t="s">
        <v>31</v>
      </c>
      <c r="H120" t="s">
        <v>83</v>
      </c>
      <c r="I120" t="s">
        <v>544</v>
      </c>
      <c r="J120" t="s">
        <v>540</v>
      </c>
      <c r="K120"/>
      <c r="L120" t="s">
        <v>545</v>
      </c>
      <c r="M120" t="s">
        <v>546</v>
      </c>
      <c r="N120"/>
      <c r="O120"/>
      <c r="P120"/>
      <c r="Q120" t="s">
        <v>35</v>
      </c>
      <c r="R120"/>
      <c r="W120" s="6"/>
    </row>
    <row r="121" spans="1:23">
      <c r="A121" t="s">
        <v>8</v>
      </c>
      <c r="B121">
        <v>112</v>
      </c>
      <c r="C121" t="s">
        <v>31</v>
      </c>
      <c r="D121" t="s">
        <v>547</v>
      </c>
      <c r="E121" t="s">
        <v>81</v>
      </c>
      <c r="F121" s="37" t="s">
        <v>89</v>
      </c>
      <c r="G121" t="s">
        <v>31</v>
      </c>
      <c r="H121" t="s">
        <v>83</v>
      </c>
      <c r="I121" t="s">
        <v>548</v>
      </c>
      <c r="J121" t="s">
        <v>540</v>
      </c>
      <c r="K121"/>
      <c r="L121" t="s">
        <v>549</v>
      </c>
      <c r="M121" t="s">
        <v>550</v>
      </c>
      <c r="N121"/>
      <c r="O121"/>
      <c r="P121" s="37" t="s">
        <v>35</v>
      </c>
      <c r="Q121" t="s">
        <v>35</v>
      </c>
      <c r="R121"/>
      <c r="W121" s="15"/>
    </row>
    <row r="122" spans="1:23">
      <c r="A122" t="s">
        <v>8</v>
      </c>
      <c r="B122">
        <v>113</v>
      </c>
      <c r="C122" t="s">
        <v>31</v>
      </c>
      <c r="D122" t="s">
        <v>551</v>
      </c>
      <c r="E122" t="s">
        <v>81</v>
      </c>
      <c r="F122" t="s">
        <v>125</v>
      </c>
      <c r="G122" t="s">
        <v>31</v>
      </c>
      <c r="H122"/>
      <c r="I122"/>
      <c r="J122" t="s">
        <v>183</v>
      </c>
      <c r="K122" t="s">
        <v>552</v>
      </c>
      <c r="L122" t="s">
        <v>553</v>
      </c>
      <c r="M122" t="s">
        <v>554</v>
      </c>
      <c r="N122"/>
      <c r="O122"/>
      <c r="P122" t="s">
        <v>35</v>
      </c>
      <c r="Q122" t="s">
        <v>35</v>
      </c>
      <c r="R122"/>
    </row>
    <row r="123" spans="1:23">
      <c r="A123" t="s">
        <v>8</v>
      </c>
      <c r="B123">
        <v>114</v>
      </c>
      <c r="C123" t="s">
        <v>31</v>
      </c>
      <c r="D123" t="s">
        <v>555</v>
      </c>
      <c r="E123" t="s">
        <v>60</v>
      </c>
      <c r="F123" t="s">
        <v>61</v>
      </c>
      <c r="G123" t="s">
        <v>35</v>
      </c>
      <c r="H123"/>
      <c r="I123"/>
      <c r="J123" t="s">
        <v>556</v>
      </c>
      <c r="K123"/>
      <c r="L123" t="s">
        <v>557</v>
      </c>
      <c r="M123" t="s">
        <v>558</v>
      </c>
      <c r="N123"/>
      <c r="O123"/>
      <c r="P123"/>
      <c r="Q123" t="s">
        <v>35</v>
      </c>
      <c r="R123"/>
      <c r="T123" s="2" t="s">
        <v>50</v>
      </c>
      <c r="U123" s="2" t="s">
        <v>42</v>
      </c>
      <c r="V123" s="2">
        <v>32</v>
      </c>
      <c r="W123" s="9" t="s">
        <v>559</v>
      </c>
    </row>
    <row r="124" spans="1:23">
      <c r="A124" t="s">
        <v>8</v>
      </c>
      <c r="B124">
        <v>115</v>
      </c>
      <c r="C124" t="s">
        <v>31</v>
      </c>
      <c r="D124" t="s">
        <v>560</v>
      </c>
      <c r="E124" t="s">
        <v>81</v>
      </c>
      <c r="F124" t="s">
        <v>82</v>
      </c>
      <c r="G124" t="s">
        <v>35</v>
      </c>
      <c r="H124" t="s">
        <v>83</v>
      </c>
      <c r="I124" t="s">
        <v>561</v>
      </c>
      <c r="J124" t="s">
        <v>562</v>
      </c>
      <c r="K124" t="s">
        <v>563</v>
      </c>
      <c r="L124" t="s">
        <v>564</v>
      </c>
      <c r="M124" t="s">
        <v>565</v>
      </c>
      <c r="N124"/>
      <c r="O124"/>
      <c r="P124" t="s">
        <v>35</v>
      </c>
      <c r="Q124" t="s">
        <v>35</v>
      </c>
      <c r="R124"/>
      <c r="T124" s="2" t="s">
        <v>50</v>
      </c>
      <c r="U124" s="2" t="s">
        <v>42</v>
      </c>
      <c r="V124" s="2">
        <v>33</v>
      </c>
      <c r="W124" s="9" t="s">
        <v>566</v>
      </c>
    </row>
    <row r="125" spans="1:23">
      <c r="A125" t="s">
        <v>8</v>
      </c>
      <c r="B125">
        <v>116</v>
      </c>
      <c r="C125" t="s">
        <v>31</v>
      </c>
      <c r="D125" t="s">
        <v>567</v>
      </c>
      <c r="E125" t="s">
        <v>81</v>
      </c>
      <c r="F125" t="s">
        <v>82</v>
      </c>
      <c r="G125" t="s">
        <v>35</v>
      </c>
      <c r="H125" t="s">
        <v>83</v>
      </c>
      <c r="I125" t="s">
        <v>568</v>
      </c>
      <c r="J125" t="s">
        <v>36</v>
      </c>
      <c r="K125" t="s">
        <v>569</v>
      </c>
      <c r="L125" t="s">
        <v>570</v>
      </c>
      <c r="M125" t="s">
        <v>571</v>
      </c>
      <c r="N125"/>
      <c r="O125"/>
      <c r="P125" t="s">
        <v>35</v>
      </c>
      <c r="Q125" t="s">
        <v>35</v>
      </c>
      <c r="R125"/>
      <c r="T125" s="2" t="s">
        <v>50</v>
      </c>
      <c r="U125" s="2" t="s">
        <v>42</v>
      </c>
      <c r="V125" s="2">
        <v>39</v>
      </c>
      <c r="W125" s="9" t="s">
        <v>572</v>
      </c>
    </row>
    <row r="126" spans="1:23">
      <c r="A126" t="s">
        <v>8</v>
      </c>
      <c r="B126">
        <v>117</v>
      </c>
      <c r="C126" t="s">
        <v>31</v>
      </c>
      <c r="D126" t="s">
        <v>573</v>
      </c>
      <c r="E126" t="s">
        <v>33</v>
      </c>
      <c r="F126" s="37" t="s">
        <v>574</v>
      </c>
      <c r="G126" t="s">
        <v>31</v>
      </c>
      <c r="H126"/>
      <c r="I126"/>
      <c r="J126" t="s">
        <v>41</v>
      </c>
      <c r="K126"/>
      <c r="L126" t="s">
        <v>575</v>
      </c>
      <c r="M126" t="s">
        <v>576</v>
      </c>
      <c r="N126"/>
      <c r="O126"/>
      <c r="P126" s="37" t="s">
        <v>35</v>
      </c>
      <c r="Q126" t="s">
        <v>35</v>
      </c>
      <c r="R126"/>
      <c r="T126" s="2" t="s">
        <v>50</v>
      </c>
      <c r="U126" s="2" t="s">
        <v>42</v>
      </c>
      <c r="V126" s="2">
        <v>43</v>
      </c>
      <c r="W126" s="9" t="s">
        <v>577</v>
      </c>
    </row>
    <row r="127" spans="1:23">
      <c r="A127" t="s">
        <v>8</v>
      </c>
      <c r="B127">
        <v>118</v>
      </c>
      <c r="C127" t="s">
        <v>31</v>
      </c>
      <c r="D127" t="s">
        <v>578</v>
      </c>
      <c r="E127" t="s">
        <v>33</v>
      </c>
      <c r="F127" s="37" t="s">
        <v>574</v>
      </c>
      <c r="G127" t="s">
        <v>31</v>
      </c>
      <c r="H127"/>
      <c r="I127"/>
      <c r="J127" t="s">
        <v>41</v>
      </c>
      <c r="K127"/>
      <c r="L127" t="s">
        <v>579</v>
      </c>
      <c r="M127" t="s">
        <v>580</v>
      </c>
      <c r="N127"/>
      <c r="O127"/>
      <c r="P127" s="37" t="s">
        <v>35</v>
      </c>
      <c r="Q127" t="s">
        <v>35</v>
      </c>
      <c r="R127"/>
      <c r="T127" s="2" t="s">
        <v>50</v>
      </c>
      <c r="U127" s="2" t="s">
        <v>42</v>
      </c>
      <c r="V127" s="2">
        <v>68</v>
      </c>
      <c r="W127" s="14" t="s">
        <v>581</v>
      </c>
    </row>
    <row r="128" spans="1:23">
      <c r="A128" t="s">
        <v>8</v>
      </c>
      <c r="B128">
        <v>119</v>
      </c>
      <c r="C128" t="s">
        <v>31</v>
      </c>
      <c r="D128" t="s">
        <v>582</v>
      </c>
      <c r="E128" t="s">
        <v>81</v>
      </c>
      <c r="F128" s="37" t="s">
        <v>82</v>
      </c>
      <c r="G128" t="s">
        <v>35</v>
      </c>
      <c r="H128" t="s">
        <v>83</v>
      </c>
      <c r="I128" t="s">
        <v>583</v>
      </c>
      <c r="J128" t="s">
        <v>584</v>
      </c>
      <c r="K128">
        <v>45</v>
      </c>
      <c r="L128" t="s">
        <v>585</v>
      </c>
      <c r="M128" t="s">
        <v>586</v>
      </c>
      <c r="N128"/>
      <c r="O128"/>
      <c r="P128" s="37"/>
      <c r="Q128"/>
      <c r="R128"/>
    </row>
    <row r="129" spans="1:43">
      <c r="A129" t="s">
        <v>8</v>
      </c>
      <c r="B129">
        <v>120</v>
      </c>
      <c r="C129" t="s">
        <v>31</v>
      </c>
      <c r="D129" t="s">
        <v>587</v>
      </c>
      <c r="E129" t="s">
        <v>81</v>
      </c>
      <c r="F129" t="s">
        <v>107</v>
      </c>
      <c r="G129" t="s">
        <v>35</v>
      </c>
      <c r="H129" t="s">
        <v>83</v>
      </c>
      <c r="I129" t="s">
        <v>587</v>
      </c>
      <c r="J129" t="s">
        <v>41</v>
      </c>
      <c r="K129" s="37"/>
      <c r="L129" t="s">
        <v>588</v>
      </c>
      <c r="M129"/>
      <c r="N129"/>
      <c r="O129"/>
      <c r="P129" s="37" t="s">
        <v>35</v>
      </c>
      <c r="Q129" t="s">
        <v>35</v>
      </c>
      <c r="R129"/>
    </row>
    <row r="130" spans="1:43">
      <c r="A130" t="s">
        <v>8</v>
      </c>
      <c r="B130">
        <v>122</v>
      </c>
      <c r="C130" t="s">
        <v>31</v>
      </c>
      <c r="D130" s="63" t="s">
        <v>589</v>
      </c>
      <c r="E130" t="s">
        <v>81</v>
      </c>
      <c r="F130" t="s">
        <v>125</v>
      </c>
      <c r="G130" t="s">
        <v>35</v>
      </c>
      <c r="H130"/>
      <c r="I130"/>
      <c r="J130" t="s">
        <v>183</v>
      </c>
      <c r="K130" t="s">
        <v>590</v>
      </c>
      <c r="L130" t="s">
        <v>591</v>
      </c>
      <c r="M130"/>
      <c r="N130"/>
      <c r="O130"/>
      <c r="P130"/>
      <c r="Q130" t="s">
        <v>35</v>
      </c>
      <c r="R130"/>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c r="A131" t="s">
        <v>8</v>
      </c>
      <c r="B131">
        <v>123</v>
      </c>
      <c r="C131" t="s">
        <v>31</v>
      </c>
      <c r="D131" s="63" t="s">
        <v>592</v>
      </c>
      <c r="E131" t="s">
        <v>81</v>
      </c>
      <c r="F131" t="s">
        <v>125</v>
      </c>
      <c r="G131" t="s">
        <v>35</v>
      </c>
      <c r="H131"/>
      <c r="I131"/>
      <c r="J131" t="s">
        <v>183</v>
      </c>
      <c r="K131" t="s">
        <v>593</v>
      </c>
      <c r="L131" t="s">
        <v>594</v>
      </c>
      <c r="M131"/>
      <c r="N131"/>
      <c r="O131"/>
      <c r="P131"/>
      <c r="Q131" t="s">
        <v>35</v>
      </c>
      <c r="R131"/>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c r="A132"/>
      <c r="B132"/>
      <c r="C132"/>
      <c r="D132"/>
      <c r="E132"/>
      <c r="F132"/>
      <c r="G132"/>
      <c r="H132"/>
      <c r="I132"/>
      <c r="J132"/>
      <c r="K132" s="37"/>
      <c r="L132"/>
      <c r="M132"/>
      <c r="N132"/>
      <c r="O132"/>
      <c r="P132" s="37"/>
      <c r="Q132"/>
      <c r="R132"/>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c r="A133"/>
      <c r="B133"/>
      <c r="C133"/>
      <c r="D133"/>
      <c r="E133"/>
      <c r="F133"/>
      <c r="G133"/>
      <c r="H133"/>
      <c r="I133"/>
      <c r="J133"/>
      <c r="K133" s="37"/>
      <c r="L133"/>
      <c r="M133"/>
      <c r="N133"/>
      <c r="O133"/>
      <c r="P133" s="37"/>
      <c r="Q133"/>
      <c r="R133"/>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c r="A135" s="64" t="s">
        <v>595</v>
      </c>
      <c r="B135" s="64"/>
      <c r="C135" s="64"/>
      <c r="D135" s="64"/>
      <c r="E135" s="64"/>
      <c r="F135" s="64"/>
      <c r="G135" s="64"/>
      <c r="H135" s="64"/>
      <c r="I135" s="64"/>
      <c r="J135" s="64"/>
      <c r="K135" s="64"/>
      <c r="L135" s="64"/>
      <c r="M135" s="64"/>
      <c r="N135" s="64"/>
      <c r="O135" s="64"/>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c r="A136" t="s">
        <v>596</v>
      </c>
      <c r="B136" t="s">
        <v>597</v>
      </c>
      <c r="C136" t="s">
        <v>598</v>
      </c>
      <c r="D136" t="s">
        <v>599</v>
      </c>
      <c r="E136" t="s">
        <v>4</v>
      </c>
      <c r="F136" t="s">
        <v>2</v>
      </c>
      <c r="G136" t="s">
        <v>600</v>
      </c>
      <c r="H136" t="s">
        <v>601</v>
      </c>
      <c r="I136" t="s">
        <v>83</v>
      </c>
      <c r="J136" t="s">
        <v>602</v>
      </c>
      <c r="K136" t="s">
        <v>603</v>
      </c>
      <c r="L136" t="s">
        <v>604</v>
      </c>
      <c r="M136" t="s">
        <v>605</v>
      </c>
      <c r="N136" t="s">
        <v>606</v>
      </c>
      <c r="O136" t="s">
        <v>607</v>
      </c>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c r="A137">
        <v>1</v>
      </c>
      <c r="B137"/>
      <c r="C137" t="s">
        <v>338</v>
      </c>
      <c r="D137" t="s">
        <v>608</v>
      </c>
      <c r="E137" t="s">
        <v>609</v>
      </c>
      <c r="F137" t="s">
        <v>610</v>
      </c>
      <c r="G137"/>
      <c r="H137" t="s">
        <v>611</v>
      </c>
      <c r="I137" t="s">
        <v>612</v>
      </c>
      <c r="J137" t="s">
        <v>613</v>
      </c>
      <c r="K137"/>
      <c r="L137"/>
      <c r="M137"/>
      <c r="N137"/>
      <c r="O137"/>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c r="A138">
        <v>2</v>
      </c>
      <c r="B138"/>
      <c r="C138" t="s">
        <v>614</v>
      </c>
      <c r="D138" t="s">
        <v>615</v>
      </c>
      <c r="E138" t="s">
        <v>616</v>
      </c>
      <c r="F138" t="s">
        <v>617</v>
      </c>
      <c r="G138"/>
      <c r="H138" t="s">
        <v>618</v>
      </c>
      <c r="I138"/>
      <c r="J138"/>
      <c r="K138"/>
      <c r="L138"/>
      <c r="M138"/>
      <c r="N138"/>
      <c r="O138" t="s">
        <v>619</v>
      </c>
    </row>
    <row r="139" spans="1:43">
      <c r="A139">
        <v>3</v>
      </c>
      <c r="B139"/>
      <c r="C139" t="s">
        <v>620</v>
      </c>
      <c r="D139" t="s">
        <v>621</v>
      </c>
      <c r="E139" t="s">
        <v>622</v>
      </c>
      <c r="F139" t="s">
        <v>623</v>
      </c>
      <c r="G139"/>
      <c r="H139" t="s">
        <v>624</v>
      </c>
      <c r="I139"/>
      <c r="J139" t="s">
        <v>613</v>
      </c>
      <c r="K139"/>
      <c r="L139"/>
      <c r="M139"/>
      <c r="N139"/>
      <c r="O139"/>
    </row>
    <row r="140" spans="1:43">
      <c r="A140">
        <v>4</v>
      </c>
      <c r="B140"/>
      <c r="C140" t="s">
        <v>625</v>
      </c>
      <c r="D140" t="s">
        <v>626</v>
      </c>
      <c r="E140" t="s">
        <v>622</v>
      </c>
      <c r="F140" t="s">
        <v>627</v>
      </c>
      <c r="G140"/>
      <c r="H140" t="s">
        <v>628</v>
      </c>
      <c r="I140" t="s">
        <v>629</v>
      </c>
      <c r="J140" t="s">
        <v>613</v>
      </c>
      <c r="K140"/>
      <c r="L140"/>
      <c r="M140"/>
      <c r="N140"/>
      <c r="O140" t="s">
        <v>630</v>
      </c>
    </row>
    <row r="141" spans="1:43">
      <c r="A141">
        <v>5</v>
      </c>
      <c r="B141"/>
      <c r="C141" t="s">
        <v>631</v>
      </c>
      <c r="D141" t="s">
        <v>632</v>
      </c>
      <c r="E141" t="s">
        <v>622</v>
      </c>
      <c r="F141" t="s">
        <v>633</v>
      </c>
      <c r="G141"/>
      <c r="H141"/>
      <c r="I141" t="s">
        <v>629</v>
      </c>
      <c r="J141" t="s">
        <v>613</v>
      </c>
      <c r="K141"/>
      <c r="L141"/>
      <c r="M141"/>
      <c r="N141"/>
      <c r="O141"/>
    </row>
    <row r="142" spans="1:43">
      <c r="A142">
        <v>6</v>
      </c>
      <c r="B142"/>
      <c r="C142" t="s">
        <v>634</v>
      </c>
      <c r="D142" t="s">
        <v>632</v>
      </c>
      <c r="E142" t="s">
        <v>622</v>
      </c>
      <c r="F142" t="s">
        <v>635</v>
      </c>
      <c r="G142"/>
      <c r="H142"/>
      <c r="I142" t="s">
        <v>629</v>
      </c>
      <c r="J142" t="s">
        <v>613</v>
      </c>
      <c r="K142"/>
      <c r="L142"/>
      <c r="M142"/>
      <c r="N142"/>
      <c r="O142"/>
    </row>
    <row r="143" spans="1:43">
      <c r="A143">
        <v>7</v>
      </c>
      <c r="B143"/>
      <c r="C143" t="s">
        <v>636</v>
      </c>
      <c r="D143" t="s">
        <v>632</v>
      </c>
      <c r="E143" t="s">
        <v>622</v>
      </c>
      <c r="F143" t="s">
        <v>637</v>
      </c>
      <c r="G143"/>
      <c r="H143"/>
      <c r="I143" t="s">
        <v>629</v>
      </c>
      <c r="J143" t="s">
        <v>613</v>
      </c>
      <c r="K143"/>
      <c r="L143"/>
      <c r="M143"/>
      <c r="N143"/>
      <c r="O143"/>
    </row>
    <row r="144" spans="1:43">
      <c r="A144">
        <v>8</v>
      </c>
      <c r="B144"/>
      <c r="C144" t="s">
        <v>638</v>
      </c>
      <c r="D144" t="s">
        <v>621</v>
      </c>
      <c r="E144" t="s">
        <v>622</v>
      </c>
      <c r="F144" t="s">
        <v>639</v>
      </c>
      <c r="G144"/>
      <c r="H144" t="s">
        <v>640</v>
      </c>
      <c r="I144" t="s">
        <v>612</v>
      </c>
      <c r="J144" t="s">
        <v>613</v>
      </c>
      <c r="K144"/>
      <c r="L144"/>
      <c r="M144"/>
      <c r="N144"/>
      <c r="O144"/>
    </row>
    <row r="145" spans="1:15">
      <c r="A145">
        <v>9</v>
      </c>
      <c r="B145"/>
      <c r="C145" t="s">
        <v>641</v>
      </c>
      <c r="D145" t="s">
        <v>608</v>
      </c>
      <c r="E145" t="s">
        <v>642</v>
      </c>
      <c r="F145" t="s">
        <v>643</v>
      </c>
      <c r="G145"/>
      <c r="H145" t="s">
        <v>644</v>
      </c>
      <c r="I145" t="s">
        <v>612</v>
      </c>
      <c r="J145" t="s">
        <v>613</v>
      </c>
      <c r="K145"/>
      <c r="L145"/>
      <c r="M145"/>
      <c r="N145"/>
      <c r="O145"/>
    </row>
    <row r="146" spans="1:15">
      <c r="A146">
        <v>10</v>
      </c>
      <c r="B146"/>
      <c r="C146" t="s">
        <v>645</v>
      </c>
      <c r="D146" t="s">
        <v>632</v>
      </c>
      <c r="E146" t="s">
        <v>622</v>
      </c>
      <c r="F146" t="s">
        <v>646</v>
      </c>
      <c r="G146"/>
      <c r="H146"/>
      <c r="I146" t="s">
        <v>629</v>
      </c>
      <c r="J146" t="s">
        <v>613</v>
      </c>
      <c r="K146"/>
      <c r="L146"/>
      <c r="M146"/>
      <c r="N146"/>
      <c r="O146"/>
    </row>
    <row r="147" spans="1:15">
      <c r="A147">
        <v>11</v>
      </c>
      <c r="B147"/>
      <c r="C147" t="s">
        <v>647</v>
      </c>
      <c r="D147" t="s">
        <v>632</v>
      </c>
      <c r="E147" t="s">
        <v>622</v>
      </c>
      <c r="F147" t="s">
        <v>648</v>
      </c>
      <c r="G147"/>
      <c r="H147"/>
      <c r="I147" t="s">
        <v>629</v>
      </c>
      <c r="J147" t="s">
        <v>613</v>
      </c>
      <c r="K147"/>
      <c r="L147"/>
      <c r="M147"/>
      <c r="N147"/>
      <c r="O147"/>
    </row>
    <row r="148" spans="1:15">
      <c r="A148">
        <v>12</v>
      </c>
      <c r="B148"/>
      <c r="C148" t="s">
        <v>649</v>
      </c>
      <c r="D148" t="s">
        <v>632</v>
      </c>
      <c r="E148" t="s">
        <v>622</v>
      </c>
      <c r="F148" t="s">
        <v>650</v>
      </c>
      <c r="G148"/>
      <c r="H148"/>
      <c r="I148" t="s">
        <v>629</v>
      </c>
      <c r="J148" t="s">
        <v>613</v>
      </c>
      <c r="K148"/>
      <c r="L148"/>
      <c r="M148"/>
      <c r="N148"/>
      <c r="O148"/>
    </row>
    <row r="149" spans="1:15" ht="19.149999999999999">
      <c r="A149">
        <v>13</v>
      </c>
      <c r="B149"/>
      <c r="C149" t="s">
        <v>651</v>
      </c>
      <c r="D149" t="s">
        <v>626</v>
      </c>
      <c r="E149" t="s">
        <v>622</v>
      </c>
      <c r="F149" t="s">
        <v>652</v>
      </c>
      <c r="G149"/>
      <c r="H149" t="s">
        <v>653</v>
      </c>
      <c r="I149" t="s">
        <v>612</v>
      </c>
      <c r="J149" t="s">
        <v>613</v>
      </c>
      <c r="K149"/>
      <c r="L149"/>
      <c r="M149"/>
      <c r="N149"/>
      <c r="O149"/>
    </row>
    <row r="150" spans="1:15">
      <c r="A150">
        <v>14</v>
      </c>
      <c r="B150"/>
      <c r="C150" t="s">
        <v>654</v>
      </c>
      <c r="D150" t="s">
        <v>632</v>
      </c>
      <c r="E150" t="s">
        <v>622</v>
      </c>
      <c r="F150" t="s">
        <v>655</v>
      </c>
      <c r="G150"/>
      <c r="H150"/>
      <c r="I150" t="s">
        <v>629</v>
      </c>
      <c r="J150" t="s">
        <v>613</v>
      </c>
      <c r="K150"/>
      <c r="L150"/>
      <c r="M150"/>
      <c r="N150"/>
      <c r="O150"/>
    </row>
    <row r="151" spans="1:15">
      <c r="A151">
        <v>15</v>
      </c>
      <c r="B151"/>
      <c r="C151" t="s">
        <v>656</v>
      </c>
      <c r="D151" t="s">
        <v>632</v>
      </c>
      <c r="E151" t="s">
        <v>622</v>
      </c>
      <c r="F151" t="s">
        <v>657</v>
      </c>
      <c r="G151"/>
      <c r="H151"/>
      <c r="I151" t="s">
        <v>629</v>
      </c>
      <c r="J151" t="s">
        <v>613</v>
      </c>
      <c r="K151"/>
      <c r="L151"/>
      <c r="M151"/>
      <c r="N151"/>
      <c r="O151"/>
    </row>
    <row r="152" spans="1:15">
      <c r="A152">
        <v>16</v>
      </c>
      <c r="B152"/>
      <c r="C152" t="s">
        <v>658</v>
      </c>
      <c r="D152" t="s">
        <v>632</v>
      </c>
      <c r="E152" t="s">
        <v>622</v>
      </c>
      <c r="F152" t="s">
        <v>659</v>
      </c>
      <c r="G152"/>
      <c r="H152"/>
      <c r="I152" t="s">
        <v>629</v>
      </c>
      <c r="J152" t="s">
        <v>613</v>
      </c>
      <c r="K152"/>
      <c r="L152"/>
      <c r="M152"/>
      <c r="N152"/>
      <c r="O152"/>
    </row>
    <row r="153" spans="1:15">
      <c r="A153">
        <v>17</v>
      </c>
      <c r="B153"/>
      <c r="C153" t="s">
        <v>660</v>
      </c>
      <c r="D153" t="s">
        <v>621</v>
      </c>
      <c r="E153" t="s">
        <v>622</v>
      </c>
      <c r="F153" t="s">
        <v>661</v>
      </c>
      <c r="G153"/>
      <c r="H153" t="s">
        <v>662</v>
      </c>
      <c r="I153"/>
      <c r="J153"/>
      <c r="K153"/>
      <c r="L153"/>
      <c r="M153"/>
      <c r="N153"/>
      <c r="O153"/>
    </row>
    <row r="154" spans="1:15">
      <c r="A154">
        <v>18</v>
      </c>
      <c r="B154"/>
      <c r="C154" t="s">
        <v>663</v>
      </c>
      <c r="D154" t="s">
        <v>632</v>
      </c>
      <c r="E154" t="s">
        <v>622</v>
      </c>
      <c r="F154" t="s">
        <v>664</v>
      </c>
      <c r="G154"/>
      <c r="H154"/>
      <c r="I154" t="s">
        <v>629</v>
      </c>
      <c r="J154" t="s">
        <v>613</v>
      </c>
      <c r="K154"/>
      <c r="L154"/>
      <c r="M154"/>
      <c r="N154"/>
      <c r="O154"/>
    </row>
    <row r="155" spans="1:15">
      <c r="A155">
        <v>19</v>
      </c>
      <c r="B155"/>
      <c r="C155" t="s">
        <v>665</v>
      </c>
      <c r="D155" t="s">
        <v>632</v>
      </c>
      <c r="E155" t="s">
        <v>622</v>
      </c>
      <c r="F155" t="s">
        <v>666</v>
      </c>
      <c r="G155"/>
      <c r="H155"/>
      <c r="I155" t="s">
        <v>629</v>
      </c>
      <c r="J155" t="s">
        <v>613</v>
      </c>
      <c r="K155"/>
      <c r="L155"/>
      <c r="M155"/>
      <c r="N155"/>
      <c r="O155"/>
    </row>
    <row r="156" spans="1:15">
      <c r="A156">
        <v>20</v>
      </c>
      <c r="B156"/>
      <c r="C156" t="s">
        <v>667</v>
      </c>
      <c r="D156" t="s">
        <v>632</v>
      </c>
      <c r="E156" t="s">
        <v>622</v>
      </c>
      <c r="F156" t="s">
        <v>668</v>
      </c>
      <c r="G156"/>
      <c r="H156"/>
      <c r="I156" t="s">
        <v>629</v>
      </c>
      <c r="J156" t="s">
        <v>613</v>
      </c>
      <c r="K156"/>
      <c r="L156"/>
      <c r="M156"/>
      <c r="N156"/>
      <c r="O156"/>
    </row>
    <row r="157" spans="1:15">
      <c r="A157">
        <v>21</v>
      </c>
      <c r="B157"/>
      <c r="C157" t="s">
        <v>669</v>
      </c>
      <c r="D157" t="s">
        <v>632</v>
      </c>
      <c r="E157" t="s">
        <v>622</v>
      </c>
      <c r="F157" t="s">
        <v>670</v>
      </c>
      <c r="G157"/>
      <c r="H157"/>
      <c r="I157" t="s">
        <v>629</v>
      </c>
      <c r="J157" t="s">
        <v>613</v>
      </c>
      <c r="K157"/>
      <c r="L157"/>
      <c r="M157"/>
      <c r="N157"/>
      <c r="O157"/>
    </row>
    <row r="158" spans="1:15">
      <c r="A158">
        <v>22</v>
      </c>
      <c r="B158"/>
      <c r="C158" t="s">
        <v>671</v>
      </c>
      <c r="D158" t="s">
        <v>632</v>
      </c>
      <c r="E158" t="s">
        <v>622</v>
      </c>
      <c r="F158" t="s">
        <v>672</v>
      </c>
      <c r="G158"/>
      <c r="H158"/>
      <c r="I158" t="s">
        <v>629</v>
      </c>
      <c r="J158" t="s">
        <v>613</v>
      </c>
      <c r="K158"/>
      <c r="L158"/>
      <c r="M158"/>
      <c r="N158"/>
      <c r="O158"/>
    </row>
    <row r="159" spans="1:15">
      <c r="A159">
        <v>23</v>
      </c>
      <c r="B159"/>
      <c r="C159" t="s">
        <v>673</v>
      </c>
      <c r="D159" t="s">
        <v>632</v>
      </c>
      <c r="E159" t="s">
        <v>622</v>
      </c>
      <c r="F159" t="s">
        <v>674</v>
      </c>
      <c r="G159"/>
      <c r="H159"/>
      <c r="I159" t="s">
        <v>629</v>
      </c>
      <c r="J159" t="s">
        <v>613</v>
      </c>
      <c r="K159"/>
      <c r="L159"/>
      <c r="M159"/>
      <c r="N159"/>
      <c r="O159"/>
    </row>
    <row r="160" spans="1:15">
      <c r="A160">
        <v>24</v>
      </c>
      <c r="B160"/>
      <c r="C160" t="s">
        <v>675</v>
      </c>
      <c r="D160" t="s">
        <v>632</v>
      </c>
      <c r="E160" t="s">
        <v>622</v>
      </c>
      <c r="F160" t="s">
        <v>676</v>
      </c>
      <c r="G160"/>
      <c r="H160"/>
      <c r="I160" t="s">
        <v>612</v>
      </c>
      <c r="J160" t="s">
        <v>677</v>
      </c>
      <c r="K160"/>
      <c r="L160"/>
      <c r="M160"/>
      <c r="N160"/>
      <c r="O160"/>
    </row>
    <row r="161" spans="1:15">
      <c r="A161">
        <v>25</v>
      </c>
      <c r="B161"/>
      <c r="C161" t="s">
        <v>678</v>
      </c>
      <c r="D161" t="s">
        <v>632</v>
      </c>
      <c r="E161" t="s">
        <v>622</v>
      </c>
      <c r="F161" t="s">
        <v>679</v>
      </c>
      <c r="G161"/>
      <c r="H161"/>
      <c r="I161" t="s">
        <v>612</v>
      </c>
      <c r="J161" t="s">
        <v>677</v>
      </c>
      <c r="K161"/>
      <c r="L161"/>
      <c r="M161"/>
      <c r="N161"/>
      <c r="O161"/>
    </row>
    <row r="162" spans="1:15">
      <c r="A162">
        <v>26</v>
      </c>
      <c r="B162"/>
      <c r="C162" t="s">
        <v>680</v>
      </c>
      <c r="D162" t="s">
        <v>632</v>
      </c>
      <c r="E162" t="s">
        <v>622</v>
      </c>
      <c r="F162" t="s">
        <v>681</v>
      </c>
      <c r="G162"/>
      <c r="H162"/>
      <c r="I162" t="s">
        <v>612</v>
      </c>
      <c r="J162" t="s">
        <v>677</v>
      </c>
      <c r="K162"/>
      <c r="L162"/>
      <c r="M162"/>
      <c r="N162"/>
      <c r="O162"/>
    </row>
    <row r="163" spans="1:15">
      <c r="A163">
        <v>27</v>
      </c>
      <c r="B163"/>
      <c r="C163" t="s">
        <v>427</v>
      </c>
      <c r="D163" t="s">
        <v>682</v>
      </c>
      <c r="E163" t="s">
        <v>683</v>
      </c>
      <c r="F163" t="s">
        <v>406</v>
      </c>
      <c r="G163" t="s">
        <v>684</v>
      </c>
      <c r="H163" t="s">
        <v>685</v>
      </c>
      <c r="I163"/>
      <c r="J163" t="s">
        <v>613</v>
      </c>
      <c r="K163" t="s">
        <v>31</v>
      </c>
      <c r="L163"/>
      <c r="M163" t="s">
        <v>35</v>
      </c>
      <c r="N163"/>
      <c r="O163"/>
    </row>
    <row r="164" spans="1:15">
      <c r="A164"/>
      <c r="B164"/>
      <c r="C164"/>
      <c r="D164"/>
      <c r="E164"/>
      <c r="F164"/>
      <c r="G164"/>
      <c r="H164"/>
      <c r="I164"/>
      <c r="J164"/>
      <c r="K164"/>
      <c r="L164"/>
      <c r="M164"/>
      <c r="N164"/>
      <c r="O164"/>
    </row>
    <row r="165" spans="1:15">
      <c r="A165"/>
      <c r="B165"/>
      <c r="C165"/>
      <c r="D165"/>
      <c r="E165"/>
      <c r="F165"/>
      <c r="G165"/>
      <c r="H165"/>
      <c r="I165"/>
      <c r="J165"/>
      <c r="K165"/>
      <c r="L165"/>
      <c r="M165"/>
      <c r="N165"/>
      <c r="O165"/>
    </row>
    <row r="166" spans="1:15">
      <c r="A166"/>
      <c r="B166"/>
      <c r="C166"/>
      <c r="D166"/>
      <c r="E166"/>
      <c r="F166"/>
      <c r="G166"/>
      <c r="H166"/>
      <c r="I166"/>
      <c r="J166"/>
      <c r="K166"/>
      <c r="L166"/>
      <c r="M166"/>
      <c r="N166"/>
      <c r="O166"/>
    </row>
    <row r="167" spans="1:15">
      <c r="A167" s="64" t="s">
        <v>686</v>
      </c>
      <c r="B167" s="64"/>
      <c r="C167" s="64"/>
      <c r="D167" s="64"/>
      <c r="E167" s="64"/>
      <c r="F167" s="64"/>
      <c r="G167" s="64"/>
      <c r="H167" s="64"/>
      <c r="I167" s="64"/>
      <c r="J167" s="64"/>
      <c r="K167" s="64"/>
      <c r="L167" s="64"/>
      <c r="M167" s="64"/>
      <c r="N167" s="64"/>
      <c r="O167" s="64"/>
    </row>
    <row r="168" spans="1:15">
      <c r="A168" t="s">
        <v>596</v>
      </c>
      <c r="B168" t="s">
        <v>597</v>
      </c>
      <c r="C168" t="s">
        <v>598</v>
      </c>
      <c r="D168" t="s">
        <v>599</v>
      </c>
      <c r="E168" t="s">
        <v>4</v>
      </c>
      <c r="F168" t="s">
        <v>2</v>
      </c>
      <c r="G168" t="s">
        <v>600</v>
      </c>
      <c r="H168" t="s">
        <v>601</v>
      </c>
      <c r="I168" t="s">
        <v>83</v>
      </c>
      <c r="J168" t="s">
        <v>602</v>
      </c>
      <c r="K168" t="s">
        <v>603</v>
      </c>
      <c r="L168" t="s">
        <v>604</v>
      </c>
      <c r="M168" t="s">
        <v>605</v>
      </c>
      <c r="N168" t="s">
        <v>606</v>
      </c>
      <c r="O168"/>
    </row>
    <row r="169" spans="1:15">
      <c r="A169">
        <v>1</v>
      </c>
      <c r="B169"/>
      <c r="C169" t="s">
        <v>687</v>
      </c>
      <c r="D169" t="s">
        <v>81</v>
      </c>
      <c r="E169" t="s">
        <v>688</v>
      </c>
      <c r="F169" t="s">
        <v>689</v>
      </c>
      <c r="G169"/>
      <c r="H169" t="s">
        <v>690</v>
      </c>
      <c r="I169"/>
      <c r="J169" t="s">
        <v>691</v>
      </c>
      <c r="K169"/>
      <c r="L169"/>
      <c r="M169"/>
      <c r="N169"/>
    </row>
    <row r="170" spans="1:15">
      <c r="A170">
        <f t="shared" ref="A170:A175" si="0">A169+1</f>
        <v>2</v>
      </c>
      <c r="B170"/>
      <c r="C170" t="s">
        <v>692</v>
      </c>
      <c r="D170" t="s">
        <v>81</v>
      </c>
      <c r="E170" t="s">
        <v>693</v>
      </c>
      <c r="F170" t="s">
        <v>694</v>
      </c>
      <c r="G170"/>
      <c r="H170" t="s">
        <v>695</v>
      </c>
      <c r="I170"/>
      <c r="J170" t="s">
        <v>691</v>
      </c>
      <c r="K170"/>
      <c r="L170"/>
      <c r="M170"/>
      <c r="N170"/>
    </row>
    <row r="171" spans="1:15">
      <c r="A171">
        <f t="shared" si="0"/>
        <v>3</v>
      </c>
      <c r="B171"/>
      <c r="C171" t="s">
        <v>696</v>
      </c>
      <c r="D171" t="s">
        <v>81</v>
      </c>
      <c r="E171" t="s">
        <v>697</v>
      </c>
      <c r="F171" t="s">
        <v>698</v>
      </c>
      <c r="G171"/>
      <c r="H171" t="s">
        <v>699</v>
      </c>
      <c r="I171"/>
      <c r="J171" t="s">
        <v>691</v>
      </c>
      <c r="K171"/>
      <c r="L171"/>
      <c r="M171"/>
      <c r="N171"/>
    </row>
    <row r="172" spans="1:15">
      <c r="A172">
        <f t="shared" si="0"/>
        <v>4</v>
      </c>
      <c r="B172"/>
      <c r="C172" t="s">
        <v>700</v>
      </c>
      <c r="D172" t="s">
        <v>81</v>
      </c>
      <c r="E172" t="s">
        <v>701</v>
      </c>
      <c r="F172" t="s">
        <v>702</v>
      </c>
      <c r="G172"/>
      <c r="H172" t="s">
        <v>703</v>
      </c>
      <c r="I172"/>
      <c r="J172" t="s">
        <v>691</v>
      </c>
      <c r="K172"/>
      <c r="L172"/>
      <c r="M172"/>
      <c r="N172"/>
    </row>
    <row r="173" spans="1:15">
      <c r="A173">
        <f t="shared" si="0"/>
        <v>5</v>
      </c>
      <c r="B173"/>
      <c r="C173" t="s">
        <v>704</v>
      </c>
      <c r="D173" t="s">
        <v>81</v>
      </c>
      <c r="E173" t="s">
        <v>688</v>
      </c>
      <c r="F173" t="s">
        <v>705</v>
      </c>
      <c r="G173"/>
      <c r="H173" t="s">
        <v>706</v>
      </c>
      <c r="I173"/>
      <c r="J173" t="s">
        <v>691</v>
      </c>
      <c r="K173"/>
      <c r="L173"/>
      <c r="M173"/>
      <c r="N173"/>
    </row>
    <row r="174" spans="1:15">
      <c r="A174">
        <f t="shared" si="0"/>
        <v>6</v>
      </c>
      <c r="B174"/>
      <c r="C174" t="s">
        <v>707</v>
      </c>
      <c r="D174" t="s">
        <v>626</v>
      </c>
      <c r="E174" t="s">
        <v>708</v>
      </c>
      <c r="F174" t="s">
        <v>709</v>
      </c>
      <c r="G174"/>
      <c r="H174"/>
      <c r="I174"/>
      <c r="J174" t="s">
        <v>691</v>
      </c>
      <c r="K174"/>
      <c r="L174"/>
      <c r="M174"/>
      <c r="N174"/>
    </row>
    <row r="175" spans="1:15">
      <c r="A175">
        <f t="shared" si="0"/>
        <v>7</v>
      </c>
      <c r="B175"/>
      <c r="C175" t="s">
        <v>638</v>
      </c>
      <c r="D175" t="s">
        <v>621</v>
      </c>
      <c r="E175" t="s">
        <v>708</v>
      </c>
      <c r="F175" t="s">
        <v>710</v>
      </c>
      <c r="G175"/>
      <c r="H175" t="s">
        <v>711</v>
      </c>
      <c r="I175"/>
      <c r="J175" t="s">
        <v>691</v>
      </c>
      <c r="K175"/>
      <c r="L175"/>
      <c r="M175"/>
      <c r="N175"/>
    </row>
    <row r="176" spans="1:15">
      <c r="A176">
        <f t="shared" ref="A176:A178" si="1">A175+1</f>
        <v>8</v>
      </c>
      <c r="B176"/>
      <c r="C176" t="s">
        <v>273</v>
      </c>
      <c r="D176" t="s">
        <v>712</v>
      </c>
      <c r="E176" t="s">
        <v>713</v>
      </c>
      <c r="F176" t="s">
        <v>714</v>
      </c>
      <c r="G176"/>
      <c r="H176"/>
      <c r="I176"/>
      <c r="J176" t="s">
        <v>691</v>
      </c>
      <c r="K176"/>
    </row>
    <row r="177" spans="1:11">
      <c r="A177">
        <f t="shared" si="1"/>
        <v>9</v>
      </c>
      <c r="B177"/>
      <c r="C177" t="s">
        <v>278</v>
      </c>
      <c r="D177" t="s">
        <v>712</v>
      </c>
      <c r="E177" t="s">
        <v>713</v>
      </c>
      <c r="F177" t="s">
        <v>715</v>
      </c>
      <c r="G177"/>
      <c r="H177"/>
      <c r="I177"/>
      <c r="J177" t="s">
        <v>691</v>
      </c>
      <c r="K177"/>
    </row>
    <row r="178" spans="1:11">
      <c r="A178">
        <f t="shared" si="1"/>
        <v>10</v>
      </c>
      <c r="B178"/>
      <c r="C178" t="s">
        <v>284</v>
      </c>
      <c r="D178" t="s">
        <v>712</v>
      </c>
      <c r="E178" t="s">
        <v>713</v>
      </c>
      <c r="F178" t="s">
        <v>716</v>
      </c>
      <c r="G178"/>
      <c r="H178"/>
      <c r="I178"/>
      <c r="J178" t="s">
        <v>691</v>
      </c>
      <c r="K178"/>
    </row>
    <row r="179" spans="1:11">
      <c r="A179">
        <f>A178+1</f>
        <v>11</v>
      </c>
      <c r="B179"/>
      <c r="C179" t="s">
        <v>717</v>
      </c>
      <c r="D179" t="s">
        <v>712</v>
      </c>
      <c r="E179" t="s">
        <v>713</v>
      </c>
      <c r="F179" t="s">
        <v>718</v>
      </c>
      <c r="G179"/>
      <c r="H179"/>
      <c r="I179"/>
      <c r="J179" t="s">
        <v>691</v>
      </c>
      <c r="K179"/>
    </row>
    <row r="180" spans="1:11">
      <c r="A180">
        <f>A179+1</f>
        <v>12</v>
      </c>
      <c r="B180"/>
      <c r="C180" t="s">
        <v>719</v>
      </c>
      <c r="D180" t="s">
        <v>712</v>
      </c>
      <c r="E180" t="s">
        <v>713</v>
      </c>
      <c r="F180" t="s">
        <v>720</v>
      </c>
      <c r="G180"/>
      <c r="H180"/>
      <c r="I180"/>
      <c r="J180" t="s">
        <v>691</v>
      </c>
      <c r="K180"/>
    </row>
    <row r="181" spans="1:11">
      <c r="A181">
        <f>A180+1</f>
        <v>13</v>
      </c>
      <c r="B181"/>
      <c r="C181" t="s">
        <v>721</v>
      </c>
      <c r="D181" t="s">
        <v>712</v>
      </c>
      <c r="E181" t="s">
        <v>713</v>
      </c>
      <c r="F181" t="s">
        <v>722</v>
      </c>
      <c r="G181"/>
      <c r="H181"/>
      <c r="I181"/>
      <c r="J181" t="s">
        <v>691</v>
      </c>
      <c r="K181"/>
    </row>
  </sheetData>
  <autoFilter ref="S9:X129" xr:uid="{05BC6FE1-8F77-AF48-8488-FA5EE1EC23A9}"/>
  <mergeCells count="2">
    <mergeCell ref="A135:O135"/>
    <mergeCell ref="A167:O167"/>
  </mergeCells>
  <pageMargins left="0.7" right="0.7" top="0.75" bottom="0.75" header="0.3" footer="0.3"/>
  <pageSetup orientation="portrait" verticalDpi="3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3B5C-5ABD-4C4C-B8DE-842A1DFDC1BB}">
  <dimension ref="A1:AC30"/>
  <sheetViews>
    <sheetView workbookViewId="0">
      <selection activeCell="A2" sqref="A2:B5"/>
    </sheetView>
  </sheetViews>
  <sheetFormatPr defaultColWidth="10.875" defaultRowHeight="18.600000000000001"/>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1" spans="1:29">
      <c r="A1" s="1"/>
    </row>
    <row r="2" spans="1:29">
      <c r="A2" s="2" t="s">
        <v>0</v>
      </c>
      <c r="B2" s="2" t="s">
        <v>723</v>
      </c>
    </row>
    <row r="3" spans="1:29">
      <c r="A3" s="2" t="s">
        <v>2</v>
      </c>
      <c r="B3" s="2" t="s">
        <v>3</v>
      </c>
    </row>
    <row r="4" spans="1:29">
      <c r="A4" s="2" t="s">
        <v>4</v>
      </c>
      <c r="B4" s="2" t="s">
        <v>5</v>
      </c>
    </row>
    <row r="5" spans="1:29">
      <c r="A5" s="2" t="s">
        <v>6</v>
      </c>
      <c r="B5" s="2" t="s">
        <v>7</v>
      </c>
    </row>
    <row r="6" spans="1:29">
      <c r="A6" s="1"/>
    </row>
    <row r="7" spans="1:29" ht="35.450000000000003">
      <c r="A7" s="4" t="s">
        <v>724</v>
      </c>
    </row>
    <row r="9" spans="1:29">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9">
      <c r="A10" s="2" t="s">
        <v>724</v>
      </c>
      <c r="B10" s="2">
        <v>1</v>
      </c>
      <c r="C10" s="2" t="s">
        <v>35</v>
      </c>
      <c r="D10" s="2" t="s">
        <v>725</v>
      </c>
      <c r="E10" s="2" t="s">
        <v>33</v>
      </c>
      <c r="F10" s="21" t="s">
        <v>726</v>
      </c>
      <c r="G10" s="2" t="s">
        <v>35</v>
      </c>
      <c r="H10" s="2" t="s">
        <v>727</v>
      </c>
      <c r="I10"/>
      <c r="J10" s="2" t="s">
        <v>728</v>
      </c>
      <c r="L10" s="2" t="s">
        <v>729</v>
      </c>
      <c r="M10" s="2" t="s">
        <v>730</v>
      </c>
      <c r="O10" s="2" t="s">
        <v>40</v>
      </c>
      <c r="P10" s="2" t="s">
        <v>40</v>
      </c>
      <c r="R10" s="2" t="s">
        <v>41</v>
      </c>
      <c r="S10" s="2" t="s">
        <v>42</v>
      </c>
      <c r="T10" s="2">
        <v>1</v>
      </c>
      <c r="U10" s="9" t="s">
        <v>731</v>
      </c>
      <c r="V10" s="2" t="str">
        <f t="shared" ref="V10:V28" si="0">UPPER(U10)</f>
        <v>CODIGOGARANTIA</v>
      </c>
    </row>
    <row r="11" spans="1:29" ht="19.149999999999999" thickBot="1">
      <c r="A11" s="2" t="s">
        <v>724</v>
      </c>
      <c r="B11" s="2">
        <v>2</v>
      </c>
      <c r="C11" s="2" t="s">
        <v>31</v>
      </c>
      <c r="D11" s="2" t="s">
        <v>732</v>
      </c>
      <c r="E11" s="2" t="s">
        <v>81</v>
      </c>
      <c r="F11" s="21" t="s">
        <v>89</v>
      </c>
      <c r="G11" s="2" t="s">
        <v>35</v>
      </c>
      <c r="H11" s="2" t="s">
        <v>83</v>
      </c>
      <c r="I11" t="s">
        <v>733</v>
      </c>
      <c r="J11" s="2" t="s">
        <v>734</v>
      </c>
      <c r="K11" s="3" t="s">
        <v>735</v>
      </c>
      <c r="L11" s="2" t="s">
        <v>736</v>
      </c>
      <c r="M11" s="2" t="s">
        <v>737</v>
      </c>
      <c r="O11" s="2" t="s">
        <v>40</v>
      </c>
      <c r="P11" s="2" t="s">
        <v>40</v>
      </c>
      <c r="R11" s="2" t="s">
        <v>50</v>
      </c>
      <c r="S11" s="2" t="s">
        <v>42</v>
      </c>
      <c r="T11" s="2">
        <v>2</v>
      </c>
      <c r="U11" s="9" t="s">
        <v>738</v>
      </c>
      <c r="V11" s="2" t="str">
        <f t="shared" si="0"/>
        <v>TIPOGARANTIA</v>
      </c>
      <c r="Y11" s="22">
        <v>2</v>
      </c>
      <c r="Z11" s="23" t="s">
        <v>739</v>
      </c>
      <c r="AB11" s="22">
        <v>3</v>
      </c>
      <c r="AC11" s="23" t="s">
        <v>740</v>
      </c>
    </row>
    <row r="12" spans="1:29" ht="19.149999999999999" thickBot="1">
      <c r="A12" s="2" t="s">
        <v>724</v>
      </c>
      <c r="B12" s="2">
        <v>3</v>
      </c>
      <c r="C12" s="2" t="s">
        <v>31</v>
      </c>
      <c r="D12" s="2" t="s">
        <v>741</v>
      </c>
      <c r="E12" s="2" t="s">
        <v>81</v>
      </c>
      <c r="F12" s="21" t="s">
        <v>742</v>
      </c>
      <c r="G12" s="2" t="s">
        <v>35</v>
      </c>
      <c r="I12"/>
      <c r="J12" s="2" t="s">
        <v>734</v>
      </c>
      <c r="K12" s="3">
        <v>4</v>
      </c>
      <c r="L12" s="2" t="s">
        <v>743</v>
      </c>
      <c r="M12" s="2" t="s">
        <v>744</v>
      </c>
      <c r="R12" s="2" t="s">
        <v>50</v>
      </c>
      <c r="S12" s="2" t="s">
        <v>42</v>
      </c>
      <c r="T12" s="2">
        <v>3</v>
      </c>
      <c r="U12" s="9" t="s">
        <v>745</v>
      </c>
      <c r="V12" s="2" t="str">
        <f t="shared" si="0"/>
        <v>VALORGARANTIA</v>
      </c>
      <c r="Y12" s="22">
        <v>4</v>
      </c>
      <c r="Z12" s="23" t="s">
        <v>746</v>
      </c>
    </row>
    <row r="13" spans="1:29">
      <c r="A13" s="2" t="s">
        <v>724</v>
      </c>
      <c r="B13" s="2">
        <v>4</v>
      </c>
      <c r="C13" s="2" t="s">
        <v>31</v>
      </c>
      <c r="D13" s="2" t="s">
        <v>398</v>
      </c>
      <c r="E13" s="2" t="s">
        <v>81</v>
      </c>
      <c r="F13" s="21" t="s">
        <v>89</v>
      </c>
      <c r="G13" s="2" t="s">
        <v>35</v>
      </c>
      <c r="H13" s="2" t="s">
        <v>83</v>
      </c>
      <c r="I13" s="2" t="s">
        <v>747</v>
      </c>
      <c r="J13" s="2" t="s">
        <v>41</v>
      </c>
      <c r="K13" s="3">
        <v>4</v>
      </c>
      <c r="L13" s="2" t="s">
        <v>748</v>
      </c>
      <c r="M13" s="2" t="s">
        <v>749</v>
      </c>
      <c r="R13" s="2" t="s">
        <v>50</v>
      </c>
      <c r="S13" s="2" t="s">
        <v>42</v>
      </c>
      <c r="T13" s="2">
        <v>4</v>
      </c>
      <c r="U13" s="9" t="s">
        <v>422</v>
      </c>
      <c r="V13" s="2" t="str">
        <f t="shared" si="0"/>
        <v>MONEDA</v>
      </c>
    </row>
    <row r="14" spans="1:29">
      <c r="A14" s="2" t="s">
        <v>724</v>
      </c>
      <c r="B14" s="2">
        <v>5</v>
      </c>
      <c r="C14" s="2" t="s">
        <v>31</v>
      </c>
      <c r="D14" s="2" t="s">
        <v>750</v>
      </c>
      <c r="E14" s="2" t="s">
        <v>60</v>
      </c>
      <c r="F14" s="21" t="s">
        <v>61</v>
      </c>
      <c r="G14" s="2" t="s">
        <v>31</v>
      </c>
      <c r="H14" s="2" t="s">
        <v>751</v>
      </c>
      <c r="I14"/>
      <c r="J14" s="2" t="s">
        <v>41</v>
      </c>
      <c r="L14" s="2" t="s">
        <v>752</v>
      </c>
      <c r="M14" s="2" t="s">
        <v>753</v>
      </c>
      <c r="R14" s="2" t="s">
        <v>50</v>
      </c>
      <c r="S14" s="2" t="s">
        <v>42</v>
      </c>
      <c r="T14" s="2">
        <v>5</v>
      </c>
      <c r="U14" s="9" t="s">
        <v>754</v>
      </c>
      <c r="V14" s="2" t="str">
        <f t="shared" si="0"/>
        <v>FECHAVALUACION</v>
      </c>
    </row>
    <row r="15" spans="1:29">
      <c r="A15" s="2" t="s">
        <v>724</v>
      </c>
      <c r="B15" s="2">
        <v>6</v>
      </c>
      <c r="C15" s="2" t="s">
        <v>31</v>
      </c>
      <c r="D15" s="2" t="s">
        <v>20</v>
      </c>
      <c r="E15" s="2" t="s">
        <v>33</v>
      </c>
      <c r="F15" s="21" t="s">
        <v>755</v>
      </c>
      <c r="G15" s="2" t="s">
        <v>31</v>
      </c>
      <c r="I15"/>
      <c r="J15" s="2" t="s">
        <v>756</v>
      </c>
      <c r="L15" s="2" t="s">
        <v>757</v>
      </c>
      <c r="M15" s="2" t="s">
        <v>758</v>
      </c>
      <c r="R15" s="2" t="s">
        <v>50</v>
      </c>
      <c r="S15" s="2" t="s">
        <v>42</v>
      </c>
      <c r="T15" s="2">
        <v>6</v>
      </c>
      <c r="U15" s="9" t="s">
        <v>2</v>
      </c>
      <c r="V15" s="2" t="str">
        <f t="shared" si="0"/>
        <v>DESCRIPCION</v>
      </c>
    </row>
    <row r="16" spans="1:29">
      <c r="A16" s="2" t="s">
        <v>724</v>
      </c>
      <c r="B16" s="2">
        <v>7</v>
      </c>
      <c r="C16" s="2" t="s">
        <v>31</v>
      </c>
      <c r="D16" s="2" t="s">
        <v>759</v>
      </c>
      <c r="E16" s="2" t="s">
        <v>81</v>
      </c>
      <c r="F16" s="21" t="s">
        <v>760</v>
      </c>
      <c r="G16" s="2" t="s">
        <v>31</v>
      </c>
      <c r="I16" t="s">
        <v>761</v>
      </c>
      <c r="J16" s="24" t="s">
        <v>762</v>
      </c>
      <c r="K16" s="25">
        <v>17</v>
      </c>
      <c r="L16" s="2" t="s">
        <v>763</v>
      </c>
      <c r="M16" s="2" t="s">
        <v>764</v>
      </c>
      <c r="R16" s="2" t="s">
        <v>50</v>
      </c>
      <c r="S16" s="2" t="s">
        <v>42</v>
      </c>
      <c r="T16" s="2">
        <v>7</v>
      </c>
      <c r="U16" s="9" t="s">
        <v>765</v>
      </c>
      <c r="V16" s="2" t="str">
        <f t="shared" si="0"/>
        <v>BANCOGARANTIA</v>
      </c>
    </row>
    <row r="17" spans="1:22">
      <c r="A17" s="2" t="s">
        <v>724</v>
      </c>
      <c r="B17" s="2">
        <v>8</v>
      </c>
      <c r="C17" s="2" t="s">
        <v>31</v>
      </c>
      <c r="D17" s="2" t="s">
        <v>766</v>
      </c>
      <c r="E17" s="2" t="s">
        <v>81</v>
      </c>
      <c r="F17" s="21" t="s">
        <v>742</v>
      </c>
      <c r="G17" s="2" t="s">
        <v>31</v>
      </c>
      <c r="I17"/>
      <c r="J17" s="24" t="s">
        <v>767</v>
      </c>
      <c r="L17" s="2" t="s">
        <v>768</v>
      </c>
      <c r="M17" s="2" t="s">
        <v>769</v>
      </c>
      <c r="R17" s="2" t="s">
        <v>50</v>
      </c>
      <c r="S17" s="2" t="s">
        <v>42</v>
      </c>
      <c r="T17" s="2">
        <v>8</v>
      </c>
      <c r="U17" s="9" t="s">
        <v>770</v>
      </c>
      <c r="V17" s="2" t="str">
        <f t="shared" si="0"/>
        <v>VALORGARANTIAPROYECTADO</v>
      </c>
    </row>
    <row r="18" spans="1:22">
      <c r="A18" s="2" t="s">
        <v>724</v>
      </c>
      <c r="B18" s="2">
        <v>9</v>
      </c>
      <c r="C18" s="2" t="s">
        <v>31</v>
      </c>
      <c r="D18" s="2" t="s">
        <v>771</v>
      </c>
      <c r="E18" s="2" t="s">
        <v>81</v>
      </c>
      <c r="F18" s="21" t="s">
        <v>772</v>
      </c>
      <c r="G18" s="2" t="s">
        <v>31</v>
      </c>
      <c r="H18" s="2" t="s">
        <v>773</v>
      </c>
      <c r="I18"/>
      <c r="J18" s="24" t="s">
        <v>734</v>
      </c>
      <c r="K18" s="3" t="s">
        <v>774</v>
      </c>
      <c r="L18" s="2" t="s">
        <v>775</v>
      </c>
      <c r="M18" s="2" t="s">
        <v>776</v>
      </c>
      <c r="R18" s="2" t="s">
        <v>50</v>
      </c>
      <c r="S18" s="2" t="s">
        <v>42</v>
      </c>
      <c r="T18" s="2">
        <v>9</v>
      </c>
      <c r="U18" s="9" t="s">
        <v>777</v>
      </c>
      <c r="V18" s="2" t="str">
        <f t="shared" si="0"/>
        <v>HC</v>
      </c>
    </row>
    <row r="19" spans="1:22">
      <c r="A19" s="2" t="s">
        <v>724</v>
      </c>
      <c r="B19" s="2">
        <v>10</v>
      </c>
      <c r="C19" s="2" t="s">
        <v>31</v>
      </c>
      <c r="D19" s="2" t="s">
        <v>778</v>
      </c>
      <c r="E19" s="2" t="s">
        <v>60</v>
      </c>
      <c r="F19" s="21" t="s">
        <v>61</v>
      </c>
      <c r="G19" s="2" t="s">
        <v>31</v>
      </c>
      <c r="H19" s="2" t="s">
        <v>751</v>
      </c>
      <c r="I19"/>
      <c r="J19" s="24" t="s">
        <v>779</v>
      </c>
      <c r="K19" s="3">
        <v>9</v>
      </c>
      <c r="L19" s="2" t="s">
        <v>780</v>
      </c>
      <c r="M19" s="2" t="s">
        <v>781</v>
      </c>
      <c r="R19" s="2" t="s">
        <v>50</v>
      </c>
      <c r="S19" s="2" t="s">
        <v>42</v>
      </c>
      <c r="T19" s="2">
        <v>10</v>
      </c>
      <c r="U19" s="9" t="s">
        <v>782</v>
      </c>
      <c r="V19" s="2" t="str">
        <f t="shared" si="0"/>
        <v>VENCIMIENTORESTANTE</v>
      </c>
    </row>
    <row r="20" spans="1:22">
      <c r="A20" s="2" t="s">
        <v>724</v>
      </c>
      <c r="B20" s="2">
        <v>11</v>
      </c>
      <c r="C20" s="2" t="s">
        <v>31</v>
      </c>
      <c r="D20" s="2" t="s">
        <v>783</v>
      </c>
      <c r="E20" s="2" t="s">
        <v>81</v>
      </c>
      <c r="F20" s="21" t="s">
        <v>82</v>
      </c>
      <c r="G20" s="2" t="s">
        <v>31</v>
      </c>
      <c r="H20" s="2" t="s">
        <v>83</v>
      </c>
      <c r="I20" t="s">
        <v>784</v>
      </c>
      <c r="J20" s="24" t="s">
        <v>779</v>
      </c>
      <c r="K20" s="3">
        <v>9</v>
      </c>
      <c r="L20" s="2" t="s">
        <v>785</v>
      </c>
      <c r="M20" s="2" t="s">
        <v>786</v>
      </c>
      <c r="R20" s="2" t="s">
        <v>50</v>
      </c>
      <c r="S20" s="2" t="s">
        <v>42</v>
      </c>
      <c r="T20" s="2">
        <v>11</v>
      </c>
      <c r="U20" s="9" t="s">
        <v>787</v>
      </c>
      <c r="V20" s="2" t="str">
        <f t="shared" si="0"/>
        <v>GRADORIESGO</v>
      </c>
    </row>
    <row r="21" spans="1:22">
      <c r="A21" s="2" t="s">
        <v>724</v>
      </c>
      <c r="B21" s="2">
        <v>12</v>
      </c>
      <c r="C21" s="2" t="s">
        <v>31</v>
      </c>
      <c r="D21" s="2" t="s">
        <v>788</v>
      </c>
      <c r="E21" s="2" t="s">
        <v>81</v>
      </c>
      <c r="F21" s="21" t="s">
        <v>760</v>
      </c>
      <c r="G21" s="2" t="s">
        <v>31</v>
      </c>
      <c r="H21" s="2" t="s">
        <v>83</v>
      </c>
      <c r="I21" t="s">
        <v>789</v>
      </c>
      <c r="J21" s="24" t="s">
        <v>779</v>
      </c>
      <c r="K21" s="3">
        <v>9</v>
      </c>
      <c r="L21" s="2" t="s">
        <v>790</v>
      </c>
      <c r="M21" s="2" t="s">
        <v>791</v>
      </c>
      <c r="R21" s="2" t="s">
        <v>50</v>
      </c>
      <c r="S21" s="2" t="s">
        <v>42</v>
      </c>
      <c r="T21" s="2">
        <v>12</v>
      </c>
      <c r="U21" s="9" t="s">
        <v>792</v>
      </c>
      <c r="V21" s="2" t="str">
        <f t="shared" si="0"/>
        <v>AGENCIACALIFICADORA</v>
      </c>
    </row>
    <row r="22" spans="1:22">
      <c r="A22" s="2" t="s">
        <v>724</v>
      </c>
      <c r="B22" s="2">
        <v>13</v>
      </c>
      <c r="C22" s="2" t="s">
        <v>31</v>
      </c>
      <c r="D22" s="2" t="s">
        <v>793</v>
      </c>
      <c r="E22" s="2" t="s">
        <v>33</v>
      </c>
      <c r="F22" s="21" t="s">
        <v>794</v>
      </c>
      <c r="G22" s="2" t="s">
        <v>31</v>
      </c>
      <c r="H22" s="2" t="s">
        <v>83</v>
      </c>
      <c r="I22" t="s">
        <v>795</v>
      </c>
      <c r="J22" s="24" t="s">
        <v>779</v>
      </c>
      <c r="K22" s="3">
        <v>9</v>
      </c>
      <c r="L22" s="2" t="s">
        <v>790</v>
      </c>
      <c r="M22" s="2" t="s">
        <v>796</v>
      </c>
      <c r="R22" s="2" t="s">
        <v>41</v>
      </c>
      <c r="S22" s="2" t="s">
        <v>42</v>
      </c>
      <c r="T22" s="2">
        <v>13</v>
      </c>
      <c r="U22" s="9" t="s">
        <v>797</v>
      </c>
      <c r="V22" s="2" t="str">
        <f t="shared" si="0"/>
        <v>CALIFICACIÓN</v>
      </c>
    </row>
    <row r="23" spans="1:22">
      <c r="A23" s="2" t="s">
        <v>724</v>
      </c>
      <c r="B23" s="2">
        <v>14</v>
      </c>
      <c r="C23" s="2" t="s">
        <v>31</v>
      </c>
      <c r="D23" s="2" t="s">
        <v>798</v>
      </c>
      <c r="E23" s="2" t="s">
        <v>81</v>
      </c>
      <c r="F23" s="21" t="s">
        <v>82</v>
      </c>
      <c r="G23" s="2" t="s">
        <v>31</v>
      </c>
      <c r="H23" s="2" t="s">
        <v>83</v>
      </c>
      <c r="I23" s="26" t="s">
        <v>799</v>
      </c>
      <c r="J23" s="24" t="s">
        <v>779</v>
      </c>
      <c r="K23" s="3">
        <v>9</v>
      </c>
      <c r="L23" s="2" t="s">
        <v>800</v>
      </c>
      <c r="M23" s="2" t="s">
        <v>801</v>
      </c>
      <c r="R23" s="2" t="s">
        <v>50</v>
      </c>
      <c r="S23" s="2" t="s">
        <v>42</v>
      </c>
      <c r="T23" s="2">
        <v>14</v>
      </c>
      <c r="U23" s="9" t="s">
        <v>799</v>
      </c>
      <c r="V23" s="2" t="str">
        <f t="shared" si="0"/>
        <v>EMISOR</v>
      </c>
    </row>
    <row r="24" spans="1:22">
      <c r="A24" s="2" t="s">
        <v>724</v>
      </c>
      <c r="B24" s="2">
        <v>15</v>
      </c>
      <c r="C24" s="2" t="s">
        <v>31</v>
      </c>
      <c r="D24" s="2" t="s">
        <v>802</v>
      </c>
      <c r="E24" s="2" t="s">
        <v>81</v>
      </c>
      <c r="F24" s="21" t="s">
        <v>82</v>
      </c>
      <c r="G24" s="2" t="s">
        <v>31</v>
      </c>
      <c r="H24" s="2" t="s">
        <v>83</v>
      </c>
      <c r="I24" t="s">
        <v>803</v>
      </c>
      <c r="J24" s="24" t="s">
        <v>779</v>
      </c>
      <c r="K24" s="3">
        <v>9</v>
      </c>
      <c r="L24" s="2" t="s">
        <v>804</v>
      </c>
      <c r="M24" s="2" t="s">
        <v>805</v>
      </c>
      <c r="R24" s="2" t="s">
        <v>50</v>
      </c>
      <c r="S24" s="2" t="s">
        <v>42</v>
      </c>
      <c r="T24" s="2">
        <v>15</v>
      </c>
      <c r="U24" s="9" t="s">
        <v>806</v>
      </c>
      <c r="V24" s="2" t="str">
        <f t="shared" si="0"/>
        <v>ESCALA</v>
      </c>
    </row>
    <row r="25" spans="1:22">
      <c r="A25" s="2" t="s">
        <v>724</v>
      </c>
      <c r="B25" s="2">
        <v>16</v>
      </c>
      <c r="C25" s="2" t="s">
        <v>31</v>
      </c>
      <c r="D25" s="2" t="s">
        <v>807</v>
      </c>
      <c r="E25" s="2" t="s">
        <v>81</v>
      </c>
      <c r="F25" s="21" t="s">
        <v>82</v>
      </c>
      <c r="G25" s="2" t="s">
        <v>31</v>
      </c>
      <c r="H25" s="2" t="s">
        <v>83</v>
      </c>
      <c r="I25" t="s">
        <v>808</v>
      </c>
      <c r="J25" s="24" t="s">
        <v>779</v>
      </c>
      <c r="K25" s="3">
        <v>9</v>
      </c>
      <c r="L25" s="2" t="s">
        <v>809</v>
      </c>
      <c r="M25" s="2" t="s">
        <v>810</v>
      </c>
      <c r="R25" s="2" t="s">
        <v>50</v>
      </c>
      <c r="S25" s="2" t="s">
        <v>42</v>
      </c>
      <c r="T25" s="2">
        <v>16</v>
      </c>
      <c r="U25" s="9" t="s">
        <v>811</v>
      </c>
      <c r="V25" s="2" t="str">
        <f t="shared" si="0"/>
        <v>ESIPC</v>
      </c>
    </row>
    <row r="26" spans="1:22">
      <c r="A26" s="2" t="s">
        <v>724</v>
      </c>
      <c r="B26" s="2">
        <v>17</v>
      </c>
      <c r="C26" s="2" t="s">
        <v>31</v>
      </c>
      <c r="D26" s="2" t="s">
        <v>812</v>
      </c>
      <c r="E26" s="2" t="s">
        <v>81</v>
      </c>
      <c r="F26" s="21" t="s">
        <v>113</v>
      </c>
      <c r="G26" s="2" t="s">
        <v>31</v>
      </c>
      <c r="I26"/>
      <c r="J26" s="24" t="s">
        <v>762</v>
      </c>
      <c r="K26" s="3">
        <v>6</v>
      </c>
      <c r="L26" s="2" t="s">
        <v>813</v>
      </c>
      <c r="M26" s="2" t="s">
        <v>814</v>
      </c>
      <c r="R26" s="2" t="s">
        <v>50</v>
      </c>
      <c r="S26" s="2" t="s">
        <v>42</v>
      </c>
      <c r="T26" s="2">
        <v>17</v>
      </c>
      <c r="U26" s="9" t="s">
        <v>815</v>
      </c>
      <c r="V26" s="2" t="str">
        <f t="shared" si="0"/>
        <v>PIGARANTE</v>
      </c>
    </row>
    <row r="27" spans="1:22">
      <c r="A27" s="2" t="s">
        <v>724</v>
      </c>
      <c r="B27" s="2">
        <v>18</v>
      </c>
      <c r="C27" s="2" t="s">
        <v>31</v>
      </c>
      <c r="D27" s="2" t="s">
        <v>816</v>
      </c>
      <c r="E27" s="2" t="s">
        <v>33</v>
      </c>
      <c r="F27" s="21" t="s">
        <v>817</v>
      </c>
      <c r="G27" s="2" t="s">
        <v>31</v>
      </c>
      <c r="H27" s="2" t="s">
        <v>818</v>
      </c>
      <c r="I27"/>
      <c r="J27" s="24" t="s">
        <v>41</v>
      </c>
      <c r="L27" s="2" t="s">
        <v>819</v>
      </c>
      <c r="M27" s="2" t="s">
        <v>820</v>
      </c>
      <c r="R27" s="2" t="s">
        <v>50</v>
      </c>
      <c r="S27" s="2" t="s">
        <v>42</v>
      </c>
      <c r="T27" s="2">
        <v>18</v>
      </c>
      <c r="U27" s="9" t="s">
        <v>43</v>
      </c>
      <c r="V27" s="2" t="str">
        <f t="shared" si="0"/>
        <v>CODIGOCLIENTE</v>
      </c>
    </row>
    <row r="28" spans="1:22">
      <c r="A28" s="2" t="s">
        <v>724</v>
      </c>
      <c r="B28" s="2">
        <v>19</v>
      </c>
      <c r="C28" s="2" t="s">
        <v>31</v>
      </c>
      <c r="D28" s="2" t="s">
        <v>821</v>
      </c>
      <c r="E28" s="2" t="s">
        <v>81</v>
      </c>
      <c r="F28" s="21" t="s">
        <v>82</v>
      </c>
      <c r="G28" s="2" t="s">
        <v>31</v>
      </c>
      <c r="H28" s="2" t="s">
        <v>83</v>
      </c>
      <c r="I28" t="s">
        <v>822</v>
      </c>
      <c r="J28" s="24" t="s">
        <v>823</v>
      </c>
      <c r="K28" s="3">
        <v>7</v>
      </c>
      <c r="L28" s="2" t="s">
        <v>824</v>
      </c>
      <c r="M28" s="2" t="s">
        <v>825</v>
      </c>
      <c r="R28" s="2" t="s">
        <v>50</v>
      </c>
      <c r="S28" s="2" t="s">
        <v>42</v>
      </c>
      <c r="T28" s="2">
        <v>19</v>
      </c>
      <c r="U28" s="9" t="s">
        <v>826</v>
      </c>
      <c r="V28" s="2" t="str">
        <f t="shared" si="0"/>
        <v>INDPERMORALES</v>
      </c>
    </row>
    <row r="29" spans="1:22">
      <c r="A29" s="2" t="s">
        <v>724</v>
      </c>
      <c r="B29" s="2">
        <v>20</v>
      </c>
      <c r="C29" s="2" t="s">
        <v>31</v>
      </c>
      <c r="D29" s="2" t="s">
        <v>555</v>
      </c>
      <c r="E29" s="2" t="s">
        <v>60</v>
      </c>
      <c r="F29" s="24" t="s">
        <v>61</v>
      </c>
      <c r="G29" s="2" t="s">
        <v>35</v>
      </c>
      <c r="I29"/>
      <c r="J29" s="27" t="s">
        <v>556</v>
      </c>
      <c r="L29" s="2" t="s">
        <v>557</v>
      </c>
      <c r="M29" s="2" t="s">
        <v>558</v>
      </c>
      <c r="U29"/>
    </row>
    <row r="30" spans="1:22">
      <c r="A30" s="28" t="s">
        <v>724</v>
      </c>
      <c r="B30" s="2">
        <v>21</v>
      </c>
      <c r="C30" s="29" t="s">
        <v>31</v>
      </c>
      <c r="D30" s="29" t="s">
        <v>827</v>
      </c>
      <c r="E30" s="29" t="s">
        <v>33</v>
      </c>
      <c r="F30" s="30" t="s">
        <v>828</v>
      </c>
      <c r="G30" s="29" t="s">
        <v>31</v>
      </c>
      <c r="H30" s="29"/>
      <c r="I30" s="29"/>
      <c r="J30" s="29" t="s">
        <v>762</v>
      </c>
      <c r="K30" s="31">
        <v>18</v>
      </c>
      <c r="L30" s="29" t="s">
        <v>829</v>
      </c>
      <c r="M30" s="29" t="s">
        <v>830</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B96-D3CB-4CAA-8C1C-BE21A473586C}">
  <dimension ref="A2:Y27"/>
  <sheetViews>
    <sheetView workbookViewId="0">
      <selection activeCell="D18" sqref="D18"/>
    </sheetView>
  </sheetViews>
  <sheetFormatPr defaultColWidth="10.875" defaultRowHeight="18.600000000000001"/>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47.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2" spans="1:25">
      <c r="A2" s="2" t="s">
        <v>0</v>
      </c>
      <c r="B2" s="2" t="s">
        <v>831</v>
      </c>
    </row>
    <row r="3" spans="1:25">
      <c r="A3" s="2" t="s">
        <v>2</v>
      </c>
      <c r="B3" s="2" t="s">
        <v>3</v>
      </c>
    </row>
    <row r="4" spans="1:25">
      <c r="A4" s="2" t="s">
        <v>4</v>
      </c>
      <c r="B4" s="2" t="s">
        <v>5</v>
      </c>
    </row>
    <row r="5" spans="1:25">
      <c r="A5" s="2" t="s">
        <v>6</v>
      </c>
      <c r="B5" s="2" t="s">
        <v>7</v>
      </c>
    </row>
    <row r="6" spans="1:25">
      <c r="A6" s="1"/>
    </row>
    <row r="7" spans="1:25" ht="35.450000000000003">
      <c r="A7" s="4" t="s">
        <v>832</v>
      </c>
    </row>
    <row r="9" spans="1:25">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5">
      <c r="A10" s="2" t="s">
        <v>832</v>
      </c>
      <c r="B10" s="2">
        <v>1</v>
      </c>
      <c r="C10" s="2" t="s">
        <v>35</v>
      </c>
      <c r="D10" s="2" t="s">
        <v>725</v>
      </c>
      <c r="E10" s="2" t="s">
        <v>33</v>
      </c>
      <c r="F10" s="21" t="s">
        <v>817</v>
      </c>
      <c r="G10" s="2" t="s">
        <v>35</v>
      </c>
      <c r="I10"/>
      <c r="J10" s="2" t="s">
        <v>833</v>
      </c>
      <c r="L10" s="2" t="s">
        <v>834</v>
      </c>
      <c r="M10" s="2" t="s">
        <v>835</v>
      </c>
      <c r="O10" s="2" t="s">
        <v>40</v>
      </c>
      <c r="P10" s="2" t="s">
        <v>40</v>
      </c>
      <c r="R10" s="2" t="s">
        <v>41</v>
      </c>
      <c r="S10" s="2" t="s">
        <v>836</v>
      </c>
      <c r="T10" s="2">
        <v>1</v>
      </c>
      <c r="U10" s="6" t="s">
        <v>731</v>
      </c>
      <c r="V10" s="2" t="str">
        <f>UPPER(U10)</f>
        <v>CODIGOGARANTIA</v>
      </c>
    </row>
    <row r="11" spans="1:25" ht="19.149999999999999" thickBot="1">
      <c r="A11" s="2" t="s">
        <v>832</v>
      </c>
      <c r="B11" s="2">
        <v>2</v>
      </c>
      <c r="C11" s="2" t="s">
        <v>35</v>
      </c>
      <c r="D11" s="2" t="s">
        <v>837</v>
      </c>
      <c r="E11" s="2" t="s">
        <v>33</v>
      </c>
      <c r="F11" s="21" t="s">
        <v>34</v>
      </c>
      <c r="G11" s="2" t="s">
        <v>35</v>
      </c>
      <c r="I11"/>
      <c r="J11" s="2" t="s">
        <v>838</v>
      </c>
      <c r="L11" s="2" t="s">
        <v>839</v>
      </c>
      <c r="M11" s="2" t="s">
        <v>840</v>
      </c>
      <c r="O11" s="2" t="s">
        <v>40</v>
      </c>
      <c r="P11" s="2" t="s">
        <v>40</v>
      </c>
      <c r="R11" s="2" t="s">
        <v>50</v>
      </c>
      <c r="S11" s="2" t="s">
        <v>836</v>
      </c>
      <c r="T11" s="2">
        <v>2</v>
      </c>
      <c r="U11" s="9" t="s">
        <v>51</v>
      </c>
      <c r="V11" s="2" t="str">
        <f t="shared" ref="V11:V12" si="0">UPPER(U11)</f>
        <v>CODIGOCREDITO</v>
      </c>
      <c r="X11" s="22">
        <v>1</v>
      </c>
      <c r="Y11" s="23" t="s">
        <v>841</v>
      </c>
    </row>
    <row r="12" spans="1:25">
      <c r="A12" s="2" t="s">
        <v>832</v>
      </c>
      <c r="B12" s="2">
        <v>3</v>
      </c>
      <c r="C12" s="2" t="s">
        <v>31</v>
      </c>
      <c r="D12" s="2" t="s">
        <v>842</v>
      </c>
      <c r="E12" s="2" t="s">
        <v>81</v>
      </c>
      <c r="F12" s="21" t="s">
        <v>772</v>
      </c>
      <c r="G12" s="2" t="s">
        <v>35</v>
      </c>
      <c r="I12"/>
      <c r="J12" s="2" t="s">
        <v>843</v>
      </c>
      <c r="L12" s="2" t="s">
        <v>844</v>
      </c>
      <c r="M12" s="2" t="s">
        <v>845</v>
      </c>
      <c r="R12" s="2" t="s">
        <v>50</v>
      </c>
      <c r="S12" s="2" t="s">
        <v>836</v>
      </c>
      <c r="T12" s="2">
        <v>3</v>
      </c>
      <c r="U12" s="6" t="s">
        <v>846</v>
      </c>
      <c r="V12" s="2" t="str">
        <f t="shared" si="0"/>
        <v>PORCENTAJE</v>
      </c>
    </row>
    <row r="22" spans="1:22" s="3" customFormat="1">
      <c r="A22" s="2"/>
      <c r="B22" s="2"/>
      <c r="C22" s="2"/>
      <c r="D22" s="2"/>
      <c r="E22" s="2"/>
      <c r="F22" s="2"/>
      <c r="G22" s="2"/>
      <c r="H22" s="2"/>
      <c r="I22" s="2"/>
      <c r="L22" s="2"/>
      <c r="M22" s="2"/>
      <c r="N22" s="2"/>
      <c r="O22" s="2"/>
      <c r="P22" s="2"/>
      <c r="Q22" s="2"/>
      <c r="R22" s="2"/>
      <c r="S22" s="2"/>
      <c r="T22" s="2"/>
      <c r="U22" s="2"/>
      <c r="V22" s="2"/>
    </row>
    <row r="23" spans="1:22" s="3" customFormat="1">
      <c r="A23" s="2"/>
      <c r="B23" s="2"/>
      <c r="C23" s="2"/>
      <c r="D23" s="2"/>
      <c r="E23" s="2"/>
      <c r="F23" s="2"/>
      <c r="G23" s="2"/>
      <c r="H23" s="2"/>
      <c r="I23" s="2"/>
      <c r="L23" s="2"/>
      <c r="M23" s="2"/>
      <c r="N23" s="2"/>
      <c r="O23" s="2"/>
      <c r="P23" s="2"/>
      <c r="Q23" s="2"/>
      <c r="R23" s="2"/>
      <c r="S23" s="2"/>
      <c r="T23" s="2"/>
      <c r="U23" s="2"/>
      <c r="V23" s="2"/>
    </row>
    <row r="24" spans="1:22" s="3" customFormat="1">
      <c r="A24" s="2"/>
      <c r="B24" s="2"/>
      <c r="C24" s="2"/>
      <c r="D24" s="2"/>
      <c r="E24" s="2"/>
      <c r="F24" s="2"/>
      <c r="G24" s="2"/>
      <c r="H24" s="2"/>
      <c r="I24" s="2"/>
      <c r="L24" s="2"/>
      <c r="M24" s="2"/>
      <c r="N24" s="2"/>
      <c r="O24" s="2"/>
      <c r="P24" s="2"/>
      <c r="Q24" s="2"/>
      <c r="R24" s="2"/>
      <c r="S24" s="2"/>
      <c r="T24" s="2"/>
      <c r="U24" s="2"/>
      <c r="V24" s="2"/>
    </row>
    <row r="25" spans="1:22" s="3" customFormat="1">
      <c r="A25" s="2"/>
      <c r="B25" s="2"/>
      <c r="C25" s="2"/>
      <c r="D25" s="2"/>
      <c r="E25" s="2"/>
      <c r="F25" s="2"/>
      <c r="G25" s="2"/>
      <c r="H25" s="2"/>
      <c r="I25" s="2"/>
      <c r="L25" s="2"/>
      <c r="M25" s="2"/>
      <c r="N25" s="2"/>
      <c r="O25" s="2"/>
      <c r="P25" s="2"/>
      <c r="Q25" s="2"/>
      <c r="R25" s="2"/>
      <c r="S25" s="2"/>
      <c r="T25" s="2"/>
      <c r="U25" s="2"/>
      <c r="V25" s="2"/>
    </row>
    <row r="26" spans="1:22" s="3" customFormat="1">
      <c r="A26" s="2"/>
      <c r="B26" s="2"/>
      <c r="C26" s="2"/>
      <c r="D26" s="2"/>
      <c r="E26" s="2"/>
      <c r="F26" s="2"/>
      <c r="G26" s="2"/>
      <c r="H26" s="2"/>
      <c r="I26" s="2"/>
      <c r="L26" s="2"/>
      <c r="M26" s="2"/>
      <c r="N26" s="2"/>
      <c r="O26" s="2"/>
      <c r="P26" s="2"/>
      <c r="Q26" s="2"/>
      <c r="R26" s="2"/>
      <c r="S26" s="2"/>
      <c r="T26" s="2"/>
      <c r="U26" s="2"/>
      <c r="V26" s="2"/>
    </row>
    <row r="27" spans="1:22" s="3" customFormat="1">
      <c r="A27" s="2"/>
      <c r="B27" s="2"/>
      <c r="C27" s="2"/>
      <c r="D27" s="2"/>
      <c r="E27" s="2"/>
      <c r="F27" s="2"/>
      <c r="G27" s="2"/>
      <c r="H27" s="2"/>
      <c r="I27" s="2"/>
      <c r="L27" s="2"/>
      <c r="M27" s="2"/>
      <c r="N27" s="2"/>
      <c r="O27" s="2"/>
      <c r="P27" s="2"/>
      <c r="Q27" s="2"/>
      <c r="R27" s="2"/>
      <c r="S27" s="2"/>
      <c r="T27" s="2"/>
      <c r="U27" s="2"/>
      <c r="V27" s="2"/>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2E42-9B55-4FF6-9BD4-2DE200070C4B}">
  <dimension ref="A3:P13"/>
  <sheetViews>
    <sheetView workbookViewId="0">
      <selection activeCell="F9" sqref="F9"/>
    </sheetView>
  </sheetViews>
  <sheetFormatPr defaultColWidth="10" defaultRowHeight="14.45"/>
  <cols>
    <col min="1" max="2" width="13.625" style="20" customWidth="1"/>
    <col min="3" max="3" width="17" style="20" customWidth="1"/>
    <col min="4" max="5" width="17.5" style="20" customWidth="1"/>
    <col min="6" max="6" width="20.5" style="20" customWidth="1"/>
    <col min="7" max="8" width="44.25" style="20" customWidth="1"/>
    <col min="9" max="9" width="61.375" style="20" customWidth="1"/>
    <col min="10" max="10" width="27.5" style="20" customWidth="1"/>
    <col min="11" max="11" width="13.625" style="20" customWidth="1"/>
    <col min="12" max="14" width="11.75" style="20" customWidth="1"/>
    <col min="15" max="15" width="11.375" style="20" customWidth="1"/>
    <col min="16" max="16" width="16.25" style="20" customWidth="1"/>
    <col min="17" max="16384" width="10" style="20"/>
  </cols>
  <sheetData>
    <row r="3" spans="1:16" ht="18.600000000000001">
      <c r="A3" s="2" t="s">
        <v>0</v>
      </c>
      <c r="B3" s="2" t="s">
        <v>847</v>
      </c>
    </row>
    <row r="4" spans="1:16" ht="18.600000000000001">
      <c r="A4" s="2" t="s">
        <v>2</v>
      </c>
      <c r="B4" s="2" t="s">
        <v>848</v>
      </c>
    </row>
    <row r="5" spans="1:16" ht="18.600000000000001">
      <c r="A5" s="2" t="s">
        <v>4</v>
      </c>
      <c r="B5" s="2" t="s">
        <v>849</v>
      </c>
    </row>
    <row r="6" spans="1:16" ht="18.600000000000001">
      <c r="A6" s="2" t="s">
        <v>6</v>
      </c>
      <c r="B6" s="2" t="s">
        <v>850</v>
      </c>
    </row>
    <row r="8" spans="1:16" ht="15.6">
      <c r="A8" t="s">
        <v>596</v>
      </c>
      <c r="B8" t="s">
        <v>597</v>
      </c>
      <c r="C8" t="s">
        <v>598</v>
      </c>
      <c r="D8" t="s">
        <v>599</v>
      </c>
      <c r="E8" t="s">
        <v>851</v>
      </c>
      <c r="F8" t="s">
        <v>4</v>
      </c>
      <c r="G8" t="s">
        <v>2</v>
      </c>
      <c r="H8" t="s">
        <v>600</v>
      </c>
      <c r="I8" t="s">
        <v>852</v>
      </c>
      <c r="J8" t="s">
        <v>83</v>
      </c>
      <c r="K8" t="s">
        <v>602</v>
      </c>
      <c r="L8" t="s">
        <v>853</v>
      </c>
      <c r="M8" t="s">
        <v>854</v>
      </c>
      <c r="N8" t="s">
        <v>605</v>
      </c>
      <c r="O8" t="s">
        <v>606</v>
      </c>
      <c r="P8" t="s">
        <v>855</v>
      </c>
    </row>
    <row r="9" spans="1:16" ht="15.6">
      <c r="A9">
        <v>1</v>
      </c>
      <c r="B9"/>
      <c r="C9" t="s">
        <v>51</v>
      </c>
      <c r="D9" t="s">
        <v>856</v>
      </c>
      <c r="E9" t="s">
        <v>35</v>
      </c>
      <c r="F9" t="s">
        <v>857</v>
      </c>
      <c r="G9" t="s">
        <v>858</v>
      </c>
      <c r="H9" t="s">
        <v>859</v>
      </c>
      <c r="I9" t="s">
        <v>860</v>
      </c>
      <c r="J9" t="s">
        <v>861</v>
      </c>
      <c r="K9" t="s">
        <v>862</v>
      </c>
      <c r="L9" t="s">
        <v>35</v>
      </c>
      <c r="M9"/>
      <c r="N9" t="s">
        <v>35</v>
      </c>
      <c r="O9"/>
      <c r="P9" t="s">
        <v>863</v>
      </c>
    </row>
    <row r="10" spans="1:16" ht="15.6">
      <c r="A10">
        <v>2</v>
      </c>
      <c r="B10"/>
      <c r="C10" t="s">
        <v>864</v>
      </c>
      <c r="D10" t="s">
        <v>865</v>
      </c>
      <c r="E10" t="s">
        <v>35</v>
      </c>
      <c r="F10" t="s">
        <v>857</v>
      </c>
      <c r="G10" t="s">
        <v>866</v>
      </c>
      <c r="H10" t="s">
        <v>867</v>
      </c>
      <c r="I10" t="s">
        <v>868</v>
      </c>
      <c r="J10" t="s">
        <v>869</v>
      </c>
      <c r="K10" t="s">
        <v>862</v>
      </c>
      <c r="L10" t="s">
        <v>35</v>
      </c>
      <c r="M10"/>
      <c r="N10" t="s">
        <v>31</v>
      </c>
      <c r="O10"/>
      <c r="P10" t="s">
        <v>870</v>
      </c>
    </row>
    <row r="11" spans="1:16" ht="15.6">
      <c r="A11">
        <v>3</v>
      </c>
      <c r="B11"/>
      <c r="C11" t="s">
        <v>871</v>
      </c>
      <c r="D11" t="s">
        <v>872</v>
      </c>
      <c r="E11" t="s">
        <v>35</v>
      </c>
      <c r="F11" t="s">
        <v>857</v>
      </c>
      <c r="G11" t="s">
        <v>873</v>
      </c>
      <c r="H11" t="s">
        <v>874</v>
      </c>
      <c r="I11" t="s">
        <v>690</v>
      </c>
      <c r="J11"/>
      <c r="K11" t="s">
        <v>862</v>
      </c>
      <c r="L11" t="s">
        <v>35</v>
      </c>
      <c r="M11"/>
      <c r="N11" t="s">
        <v>31</v>
      </c>
      <c r="O11"/>
      <c r="P11" t="s">
        <v>875</v>
      </c>
    </row>
    <row r="12" spans="1:16" ht="15.6">
      <c r="A12">
        <v>4</v>
      </c>
      <c r="B12"/>
      <c r="C12" t="s">
        <v>751</v>
      </c>
      <c r="D12" t="s">
        <v>876</v>
      </c>
      <c r="E12" t="s">
        <v>35</v>
      </c>
      <c r="F12" t="s">
        <v>857</v>
      </c>
      <c r="G12" t="s">
        <v>877</v>
      </c>
      <c r="H12" t="s">
        <v>878</v>
      </c>
      <c r="I12" t="s">
        <v>879</v>
      </c>
      <c r="J12"/>
      <c r="K12" t="s">
        <v>862</v>
      </c>
      <c r="L12" t="s">
        <v>35</v>
      </c>
      <c r="M12"/>
      <c r="N12" t="s">
        <v>31</v>
      </c>
      <c r="O12"/>
      <c r="P12" t="s">
        <v>60</v>
      </c>
    </row>
    <row r="13" spans="1:16" ht="15.6">
      <c r="A13">
        <v>5</v>
      </c>
      <c r="B13"/>
      <c r="C13" t="s">
        <v>880</v>
      </c>
      <c r="D13" t="s">
        <v>881</v>
      </c>
      <c r="E13" t="s">
        <v>35</v>
      </c>
      <c r="F13" t="s">
        <v>857</v>
      </c>
      <c r="G13" t="s">
        <v>882</v>
      </c>
      <c r="H13" t="s">
        <v>883</v>
      </c>
      <c r="I13" t="s">
        <v>690</v>
      </c>
      <c r="J13"/>
      <c r="K13" t="s">
        <v>862</v>
      </c>
      <c r="L13" t="s">
        <v>35</v>
      </c>
      <c r="M13"/>
      <c r="N13" t="s">
        <v>31</v>
      </c>
      <c r="O13"/>
      <c r="P13" t="s">
        <v>884</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5091-3DE7-475C-A473-6E569F51D02C}">
  <sheetPr>
    <tabColor rgb="FF92D050"/>
  </sheetPr>
  <dimension ref="A1:B36"/>
  <sheetViews>
    <sheetView workbookViewId="0">
      <selection activeCell="A2" sqref="A2:XFD2"/>
    </sheetView>
  </sheetViews>
  <sheetFormatPr defaultColWidth="8.625" defaultRowHeight="14.45"/>
  <cols>
    <col min="1" max="1" width="14.875" style="33" bestFit="1" customWidth="1"/>
    <col min="2" max="2" width="108.5" style="33" bestFit="1" customWidth="1"/>
    <col min="3" max="16384" width="8.625" style="33"/>
  </cols>
  <sheetData>
    <row r="1" spans="1:2">
      <c r="A1" s="32" t="s">
        <v>0</v>
      </c>
      <c r="B1" s="33" t="s">
        <v>885</v>
      </c>
    </row>
    <row r="2" spans="1:2">
      <c r="A2" s="32" t="s">
        <v>2</v>
      </c>
      <c r="B2" s="33" t="s">
        <v>886</v>
      </c>
    </row>
    <row r="3" spans="1:2">
      <c r="A3" s="32" t="s">
        <v>4</v>
      </c>
      <c r="B3" s="33" t="s">
        <v>887</v>
      </c>
    </row>
    <row r="4" spans="1:2">
      <c r="A4" s="32" t="s">
        <v>6</v>
      </c>
      <c r="B4" s="33" t="s">
        <v>888</v>
      </c>
    </row>
    <row r="5" spans="1:2">
      <c r="A5" s="34" t="s">
        <v>596</v>
      </c>
      <c r="B5" s="35" t="s">
        <v>598</v>
      </c>
    </row>
    <row r="6" spans="1:2">
      <c r="A6" s="36">
        <v>1</v>
      </c>
      <c r="B6" s="36" t="s">
        <v>889</v>
      </c>
    </row>
    <row r="7" spans="1:2">
      <c r="A7" s="36">
        <v>2</v>
      </c>
      <c r="B7" s="36" t="s">
        <v>890</v>
      </c>
    </row>
    <row r="8" spans="1:2">
      <c r="A8" s="36">
        <v>3</v>
      </c>
      <c r="B8" s="36" t="s">
        <v>891</v>
      </c>
    </row>
    <row r="9" spans="1:2">
      <c r="A9" s="36">
        <v>4</v>
      </c>
      <c r="B9" s="36" t="s">
        <v>892</v>
      </c>
    </row>
    <row r="10" spans="1:2">
      <c r="A10" s="36">
        <v>5</v>
      </c>
      <c r="B10" s="36" t="s">
        <v>893</v>
      </c>
    </row>
    <row r="11" spans="1:2">
      <c r="A11" s="36">
        <v>6</v>
      </c>
      <c r="B11" s="36" t="s">
        <v>894</v>
      </c>
    </row>
    <row r="12" spans="1:2">
      <c r="A12" s="36">
        <v>7</v>
      </c>
      <c r="B12" s="36" t="s">
        <v>895</v>
      </c>
    </row>
    <row r="13" spans="1:2">
      <c r="A13" s="36">
        <v>8</v>
      </c>
      <c r="B13" s="36" t="s">
        <v>896</v>
      </c>
    </row>
    <row r="14" spans="1:2">
      <c r="A14" s="36">
        <v>9</v>
      </c>
      <c r="B14" s="36" t="s">
        <v>897</v>
      </c>
    </row>
    <row r="15" spans="1:2">
      <c r="A15" s="36">
        <v>10</v>
      </c>
      <c r="B15" s="36" t="s">
        <v>898</v>
      </c>
    </row>
    <row r="16" spans="1:2">
      <c r="A16" s="36">
        <v>11</v>
      </c>
      <c r="B16" s="36" t="s">
        <v>899</v>
      </c>
    </row>
    <row r="17" spans="1:2">
      <c r="A17" s="36">
        <v>12</v>
      </c>
      <c r="B17" s="36" t="s">
        <v>900</v>
      </c>
    </row>
    <row r="18" spans="1:2">
      <c r="A18" s="36">
        <v>13</v>
      </c>
      <c r="B18" s="36" t="s">
        <v>901</v>
      </c>
    </row>
    <row r="19" spans="1:2">
      <c r="A19" s="36">
        <v>14</v>
      </c>
      <c r="B19" s="36" t="s">
        <v>902</v>
      </c>
    </row>
    <row r="20" spans="1:2">
      <c r="A20" s="36">
        <v>15</v>
      </c>
      <c r="B20" s="36" t="s">
        <v>903</v>
      </c>
    </row>
    <row r="21" spans="1:2">
      <c r="A21" s="36">
        <v>16</v>
      </c>
      <c r="B21" s="36" t="s">
        <v>904</v>
      </c>
    </row>
    <row r="22" spans="1:2">
      <c r="A22" s="36">
        <v>17</v>
      </c>
      <c r="B22" s="36" t="s">
        <v>905</v>
      </c>
    </row>
    <row r="23" spans="1:2">
      <c r="A23" s="36">
        <v>18</v>
      </c>
      <c r="B23" s="36" t="s">
        <v>906</v>
      </c>
    </row>
    <row r="24" spans="1:2">
      <c r="A24" s="36">
        <v>19</v>
      </c>
      <c r="B24" s="36" t="s">
        <v>907</v>
      </c>
    </row>
    <row r="25" spans="1:2">
      <c r="A25" s="36">
        <v>20</v>
      </c>
      <c r="B25" s="36" t="s">
        <v>908</v>
      </c>
    </row>
    <row r="26" spans="1:2">
      <c r="A26" s="36">
        <v>21</v>
      </c>
      <c r="B26" s="36" t="s">
        <v>909</v>
      </c>
    </row>
    <row r="27" spans="1:2">
      <c r="A27" s="36">
        <v>22</v>
      </c>
      <c r="B27" s="36" t="s">
        <v>910</v>
      </c>
    </row>
    <row r="28" spans="1:2">
      <c r="A28" s="36">
        <v>23</v>
      </c>
      <c r="B28" s="36" t="s">
        <v>911</v>
      </c>
    </row>
    <row r="29" spans="1:2">
      <c r="A29" s="36">
        <v>24</v>
      </c>
      <c r="B29" s="36" t="s">
        <v>912</v>
      </c>
    </row>
    <row r="30" spans="1:2">
      <c r="A30" s="36">
        <v>25</v>
      </c>
      <c r="B30" s="36" t="s">
        <v>913</v>
      </c>
    </row>
    <row r="31" spans="1:2">
      <c r="A31" s="36">
        <v>26</v>
      </c>
      <c r="B31" s="36" t="s">
        <v>914</v>
      </c>
    </row>
    <row r="32" spans="1:2">
      <c r="A32" s="36">
        <v>27</v>
      </c>
      <c r="B32" s="36" t="s">
        <v>915</v>
      </c>
    </row>
    <row r="33" spans="1:2">
      <c r="A33" s="36">
        <v>28</v>
      </c>
      <c r="B33" s="36" t="s">
        <v>916</v>
      </c>
    </row>
    <row r="34" spans="1:2">
      <c r="A34" s="36">
        <v>29</v>
      </c>
      <c r="B34" s="36" t="s">
        <v>619</v>
      </c>
    </row>
    <row r="35" spans="1:2">
      <c r="A35" s="36">
        <v>30</v>
      </c>
      <c r="B35" s="36" t="s">
        <v>917</v>
      </c>
    </row>
    <row r="36" spans="1:2">
      <c r="A36" s="36">
        <v>31</v>
      </c>
      <c r="B36" s="36" t="s">
        <v>630</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506F-719E-4DF5-AE3B-6C8DCBFC4595}">
  <sheetPr>
    <tabColor rgb="FF92D050"/>
  </sheetPr>
  <dimension ref="A1:B19"/>
  <sheetViews>
    <sheetView workbookViewId="0">
      <selection activeCell="A5" sqref="A5"/>
    </sheetView>
  </sheetViews>
  <sheetFormatPr defaultColWidth="8.625" defaultRowHeight="14.45"/>
  <cols>
    <col min="1" max="1" width="14.875" style="33" customWidth="1"/>
    <col min="2" max="2" width="108.5" style="33" customWidth="1"/>
    <col min="3" max="16384" width="8.625" style="33"/>
  </cols>
  <sheetData>
    <row r="1" spans="1:2">
      <c r="A1" s="32" t="s">
        <v>0</v>
      </c>
      <c r="B1" s="33" t="s">
        <v>918</v>
      </c>
    </row>
    <row r="2" spans="1:2">
      <c r="A2" s="32" t="s">
        <v>2</v>
      </c>
      <c r="B2" s="33" t="s">
        <v>919</v>
      </c>
    </row>
    <row r="3" spans="1:2">
      <c r="A3" s="32" t="s">
        <v>4</v>
      </c>
      <c r="B3" s="33" t="s">
        <v>920</v>
      </c>
    </row>
    <row r="4" spans="1:2">
      <c r="A4" s="32" t="s">
        <v>6</v>
      </c>
      <c r="B4" s="33" t="s">
        <v>921</v>
      </c>
    </row>
    <row r="5" spans="1:2">
      <c r="A5" s="34" t="s">
        <v>596</v>
      </c>
      <c r="B5" s="35" t="s">
        <v>598</v>
      </c>
    </row>
    <row r="6" spans="1:2">
      <c r="A6" s="36">
        <v>1</v>
      </c>
      <c r="B6" s="36" t="s">
        <v>922</v>
      </c>
    </row>
    <row r="7" spans="1:2">
      <c r="A7" s="36">
        <v>2</v>
      </c>
      <c r="B7" s="36" t="s">
        <v>923</v>
      </c>
    </row>
    <row r="8" spans="1:2">
      <c r="A8" s="36">
        <v>3</v>
      </c>
      <c r="B8" s="36" t="s">
        <v>924</v>
      </c>
    </row>
    <row r="9" spans="1:2">
      <c r="A9" s="36">
        <v>4</v>
      </c>
      <c r="B9" s="36" t="s">
        <v>925</v>
      </c>
    </row>
    <row r="10" spans="1:2">
      <c r="A10" s="36">
        <v>5</v>
      </c>
      <c r="B10" s="36" t="s">
        <v>926</v>
      </c>
    </row>
    <row r="11" spans="1:2">
      <c r="A11" s="36">
        <v>6</v>
      </c>
      <c r="B11" s="36" t="s">
        <v>927</v>
      </c>
    </row>
    <row r="12" spans="1:2">
      <c r="A12" s="36">
        <v>7</v>
      </c>
      <c r="B12" s="36" t="s">
        <v>928</v>
      </c>
    </row>
    <row r="13" spans="1:2">
      <c r="A13" s="36">
        <v>8</v>
      </c>
      <c r="B13" s="36" t="s">
        <v>929</v>
      </c>
    </row>
    <row r="14" spans="1:2">
      <c r="A14" s="36">
        <v>9</v>
      </c>
      <c r="B14" s="36" t="s">
        <v>930</v>
      </c>
    </row>
    <row r="15" spans="1:2">
      <c r="A15" s="36">
        <v>10</v>
      </c>
      <c r="B15" s="36" t="s">
        <v>931</v>
      </c>
    </row>
    <row r="16" spans="1:2">
      <c r="A16" s="36">
        <v>11</v>
      </c>
      <c r="B16" s="36" t="s">
        <v>932</v>
      </c>
    </row>
    <row r="17" spans="1:2">
      <c r="A17" s="36">
        <v>12</v>
      </c>
      <c r="B17" s="36" t="s">
        <v>933</v>
      </c>
    </row>
    <row r="18" spans="1:2">
      <c r="A18" s="36">
        <v>13</v>
      </c>
      <c r="B18" s="36" t="s">
        <v>934</v>
      </c>
    </row>
    <row r="19" spans="1:2">
      <c r="A19" s="36">
        <v>14</v>
      </c>
      <c r="B19" s="36" t="s">
        <v>935</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364-A334-4164-AEA1-7ED3F67C91FB}">
  <dimension ref="A1:M14"/>
  <sheetViews>
    <sheetView workbookViewId="0">
      <selection activeCell="F23" sqref="F23"/>
    </sheetView>
  </sheetViews>
  <sheetFormatPr defaultColWidth="10.875" defaultRowHeight="14.45"/>
  <cols>
    <col min="1" max="2" width="10.875" style="38"/>
    <col min="3" max="3" width="24.5" style="38" bestFit="1" customWidth="1"/>
    <col min="4" max="4" width="13.5" style="38" bestFit="1" customWidth="1"/>
    <col min="5" max="5" width="15.875" style="38" bestFit="1" customWidth="1"/>
    <col min="6" max="6" width="80.625" style="38" customWidth="1"/>
    <col min="7" max="7" width="27.5" style="38" customWidth="1"/>
    <col min="8" max="8" width="16.375" style="38" customWidth="1"/>
    <col min="9" max="16384" width="10.875" style="38"/>
  </cols>
  <sheetData>
    <row r="1" spans="1:13">
      <c r="A1" s="32" t="s">
        <v>936</v>
      </c>
      <c r="B1" s="38" t="s">
        <v>937</v>
      </c>
    </row>
    <row r="2" spans="1:13">
      <c r="A2" s="32" t="s">
        <v>938</v>
      </c>
      <c r="B2" s="38" t="s">
        <v>939</v>
      </c>
    </row>
    <row r="3" spans="1:13">
      <c r="A3" s="32" t="s">
        <v>0</v>
      </c>
      <c r="B3" s="38" t="s">
        <v>940</v>
      </c>
    </row>
    <row r="4" spans="1:13">
      <c r="A4" s="32" t="s">
        <v>941</v>
      </c>
      <c r="B4" s="38" t="s">
        <v>942</v>
      </c>
    </row>
    <row r="5" spans="1:13">
      <c r="A5" s="32" t="s">
        <v>2</v>
      </c>
      <c r="B5" s="38" t="s">
        <v>943</v>
      </c>
    </row>
    <row r="6" spans="1:13">
      <c r="A6" s="32" t="s">
        <v>4</v>
      </c>
      <c r="B6" s="38" t="s">
        <v>944</v>
      </c>
    </row>
    <row r="7" spans="1:13">
      <c r="A7" s="32" t="s">
        <v>6</v>
      </c>
      <c r="B7" s="38" t="s">
        <v>888</v>
      </c>
    </row>
    <row r="8" spans="1:13">
      <c r="A8" s="32"/>
    </row>
    <row r="9" spans="1:13">
      <c r="A9" s="32"/>
    </row>
    <row r="10" spans="1:13" ht="27.6">
      <c r="A10" s="39" t="s">
        <v>596</v>
      </c>
      <c r="B10" s="40" t="s">
        <v>597</v>
      </c>
      <c r="C10" s="40" t="s">
        <v>598</v>
      </c>
      <c r="D10" s="40" t="s">
        <v>599</v>
      </c>
      <c r="E10" s="40" t="s">
        <v>4</v>
      </c>
      <c r="F10" s="40" t="s">
        <v>2</v>
      </c>
      <c r="G10" s="40" t="s">
        <v>601</v>
      </c>
      <c r="H10" s="40" t="s">
        <v>83</v>
      </c>
      <c r="I10" s="40" t="s">
        <v>6</v>
      </c>
      <c r="J10" s="40" t="s">
        <v>853</v>
      </c>
      <c r="K10" s="40" t="s">
        <v>854</v>
      </c>
      <c r="L10" s="40" t="s">
        <v>605</v>
      </c>
      <c r="M10" s="40" t="s">
        <v>606</v>
      </c>
    </row>
    <row r="11" spans="1:13" s="45" customFormat="1">
      <c r="A11" s="41">
        <v>1</v>
      </c>
      <c r="B11" s="42" t="s">
        <v>945</v>
      </c>
      <c r="C11" s="41" t="s">
        <v>946</v>
      </c>
      <c r="D11" s="41" t="s">
        <v>947</v>
      </c>
      <c r="E11" s="43" t="s">
        <v>948</v>
      </c>
      <c r="F11" s="41" t="s">
        <v>949</v>
      </c>
      <c r="G11" s="41"/>
      <c r="H11" s="41"/>
      <c r="I11" s="44" t="s">
        <v>950</v>
      </c>
      <c r="J11" s="41" t="s">
        <v>31</v>
      </c>
      <c r="K11" s="41" t="s">
        <v>31</v>
      </c>
      <c r="L11" s="41" t="s">
        <v>35</v>
      </c>
      <c r="M11" s="41" t="s">
        <v>31</v>
      </c>
    </row>
    <row r="12" spans="1:13" s="45" customFormat="1">
      <c r="A12" s="46">
        <v>2</v>
      </c>
      <c r="B12" s="46"/>
      <c r="C12" s="47" t="s">
        <v>951</v>
      </c>
      <c r="D12" s="47" t="s">
        <v>952</v>
      </c>
      <c r="E12" s="48" t="s">
        <v>953</v>
      </c>
      <c r="F12" s="47" t="s">
        <v>954</v>
      </c>
      <c r="G12" s="47"/>
      <c r="H12" s="47"/>
      <c r="I12" s="47" t="s">
        <v>950</v>
      </c>
      <c r="J12" s="47" t="s">
        <v>31</v>
      </c>
      <c r="K12" s="47" t="s">
        <v>31</v>
      </c>
      <c r="L12" s="47" t="s">
        <v>35</v>
      </c>
      <c r="M12" s="47" t="s">
        <v>31</v>
      </c>
    </row>
    <row r="13" spans="1:13" s="45" customFormat="1" ht="28.9">
      <c r="A13" s="49">
        <v>3</v>
      </c>
      <c r="B13" s="49"/>
      <c r="C13" s="49" t="s">
        <v>955</v>
      </c>
      <c r="D13" s="41" t="s">
        <v>956</v>
      </c>
      <c r="E13" s="49" t="s">
        <v>957</v>
      </c>
      <c r="F13" s="49" t="s">
        <v>958</v>
      </c>
      <c r="G13" s="49" t="s">
        <v>83</v>
      </c>
      <c r="H13" s="49" t="s">
        <v>959</v>
      </c>
      <c r="I13" s="44" t="s">
        <v>950</v>
      </c>
      <c r="J13" s="41" t="s">
        <v>31</v>
      </c>
      <c r="K13" s="41" t="s">
        <v>31</v>
      </c>
      <c r="L13" s="41" t="s">
        <v>35</v>
      </c>
      <c r="M13" s="41" t="s">
        <v>31</v>
      </c>
    </row>
    <row r="14" spans="1:13" s="45" customFormat="1">
      <c r="A14" s="46">
        <v>4</v>
      </c>
      <c r="B14" s="46"/>
      <c r="C14" s="46" t="s">
        <v>960</v>
      </c>
      <c r="D14" s="46" t="s">
        <v>961</v>
      </c>
      <c r="E14" s="46" t="s">
        <v>962</v>
      </c>
      <c r="F14" s="46" t="s">
        <v>963</v>
      </c>
      <c r="G14" s="46"/>
      <c r="H14" s="46"/>
      <c r="I14" s="50" t="s">
        <v>950</v>
      </c>
      <c r="J14" s="46" t="s">
        <v>31</v>
      </c>
      <c r="K14" s="46" t="s">
        <v>31</v>
      </c>
      <c r="L14" s="46" t="s">
        <v>35</v>
      </c>
      <c r="M14" s="46"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1093-1A99-459C-A76C-B9A7446C4C11}">
  <dimension ref="A1:Z1000"/>
  <sheetViews>
    <sheetView workbookViewId="0"/>
  </sheetViews>
  <sheetFormatPr defaultColWidth="12.625" defaultRowHeight="15" customHeight="1"/>
  <cols>
    <col min="1"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7.25" style="53" customWidth="1"/>
    <col min="10" max="16" width="12.125" style="53" customWidth="1"/>
    <col min="17" max="26" width="11.875" style="53" customWidth="1"/>
    <col min="27" max="16384" width="12.625" style="53"/>
  </cols>
  <sheetData>
    <row r="1" spans="1:26" ht="15.6">
      <c r="A1" s="51" t="s">
        <v>936</v>
      </c>
      <c r="B1" s="52" t="s">
        <v>964</v>
      </c>
      <c r="C1" s="52"/>
      <c r="D1" s="52"/>
      <c r="E1" s="52"/>
      <c r="F1" s="52"/>
      <c r="G1" s="52"/>
      <c r="H1" s="52"/>
      <c r="I1" s="52"/>
      <c r="J1" s="52"/>
      <c r="K1" s="52"/>
      <c r="L1" s="52"/>
      <c r="M1" s="52"/>
      <c r="N1" s="52"/>
      <c r="O1" s="52"/>
      <c r="P1" s="52"/>
      <c r="Q1" s="52"/>
      <c r="R1" s="52"/>
      <c r="S1" s="52"/>
      <c r="T1" s="52"/>
      <c r="U1" s="52"/>
      <c r="V1" s="52"/>
      <c r="W1" s="52"/>
      <c r="X1" s="52"/>
      <c r="Y1" s="52"/>
      <c r="Z1" s="52"/>
    </row>
    <row r="2" spans="1:26" ht="15.6">
      <c r="A2" s="51" t="s">
        <v>938</v>
      </c>
      <c r="B2" s="52" t="s">
        <v>965</v>
      </c>
      <c r="C2" s="52"/>
      <c r="D2" s="52"/>
      <c r="E2" s="52"/>
      <c r="F2" s="52"/>
      <c r="G2" s="52"/>
      <c r="H2" s="52"/>
      <c r="I2" s="52"/>
      <c r="J2" s="52"/>
      <c r="K2" s="52"/>
      <c r="L2" s="52"/>
      <c r="M2" s="52"/>
      <c r="N2" s="52"/>
      <c r="O2" s="52"/>
      <c r="P2" s="52"/>
      <c r="Q2" s="52"/>
      <c r="R2" s="52"/>
      <c r="S2" s="52"/>
      <c r="T2" s="52"/>
      <c r="U2" s="52"/>
      <c r="V2" s="52"/>
      <c r="W2" s="52"/>
      <c r="X2" s="52"/>
      <c r="Y2" s="52"/>
      <c r="Z2" s="52"/>
    </row>
    <row r="3" spans="1:26" ht="15.6">
      <c r="A3" s="51" t="s">
        <v>0</v>
      </c>
      <c r="B3" s="52" t="s">
        <v>966</v>
      </c>
      <c r="C3" s="52"/>
      <c r="D3" s="52"/>
      <c r="E3" s="52"/>
      <c r="F3" s="52"/>
      <c r="G3" s="52"/>
      <c r="H3" s="52"/>
      <c r="I3" s="52"/>
      <c r="J3" s="52"/>
      <c r="K3" s="52"/>
      <c r="L3" s="52"/>
      <c r="M3" s="52"/>
      <c r="N3" s="52"/>
      <c r="O3" s="52"/>
      <c r="P3" s="52"/>
      <c r="Q3" s="52"/>
      <c r="R3" s="52"/>
      <c r="S3" s="52"/>
      <c r="T3" s="52"/>
      <c r="U3" s="52"/>
      <c r="V3" s="52"/>
      <c r="W3" s="52"/>
      <c r="X3" s="52"/>
      <c r="Y3" s="52"/>
      <c r="Z3" s="52"/>
    </row>
    <row r="4" spans="1:26" ht="15.6">
      <c r="A4" s="51" t="s">
        <v>941</v>
      </c>
      <c r="B4" s="52" t="s">
        <v>967</v>
      </c>
      <c r="C4" s="52"/>
      <c r="D4" s="52"/>
      <c r="E4" s="52"/>
      <c r="F4" s="52"/>
      <c r="G4" s="52"/>
      <c r="H4" s="52"/>
      <c r="I4" s="52"/>
      <c r="J4" s="52"/>
      <c r="K4" s="52"/>
      <c r="L4" s="52"/>
      <c r="M4" s="52"/>
      <c r="N4" s="52"/>
      <c r="O4" s="52"/>
      <c r="P4" s="52"/>
      <c r="Q4" s="52"/>
      <c r="R4" s="52"/>
      <c r="S4" s="52"/>
      <c r="T4" s="52"/>
      <c r="U4" s="52"/>
      <c r="V4" s="52"/>
      <c r="W4" s="52"/>
      <c r="X4" s="52"/>
      <c r="Y4" s="52"/>
      <c r="Z4" s="52"/>
    </row>
    <row r="5" spans="1:26" ht="15.6">
      <c r="A5" s="51" t="s">
        <v>2</v>
      </c>
      <c r="B5" s="52" t="s">
        <v>943</v>
      </c>
      <c r="C5" s="52"/>
      <c r="D5" s="52"/>
      <c r="E5" s="52"/>
      <c r="F5" s="52"/>
      <c r="G5" s="52"/>
      <c r="H5" s="52"/>
      <c r="I5" s="52"/>
      <c r="J5" s="52"/>
      <c r="K5" s="52"/>
      <c r="L5" s="52"/>
      <c r="M5" s="52"/>
      <c r="N5" s="52"/>
      <c r="O5" s="52"/>
      <c r="P5" s="52"/>
      <c r="Q5" s="52"/>
      <c r="R5" s="52"/>
      <c r="S5" s="52"/>
      <c r="T5" s="52"/>
      <c r="U5" s="52"/>
      <c r="V5" s="52"/>
      <c r="W5" s="52"/>
      <c r="X5" s="52"/>
      <c r="Y5" s="52"/>
      <c r="Z5" s="52"/>
    </row>
    <row r="6" spans="1:26" ht="15.6">
      <c r="A6" s="51" t="s">
        <v>4</v>
      </c>
      <c r="B6" s="52" t="s">
        <v>944</v>
      </c>
      <c r="C6" s="52"/>
      <c r="D6" s="52"/>
      <c r="E6" s="52"/>
      <c r="F6" s="52"/>
      <c r="G6" s="52"/>
      <c r="H6" s="52"/>
      <c r="I6" s="52"/>
      <c r="J6" s="52"/>
      <c r="K6" s="52"/>
      <c r="L6" s="52"/>
      <c r="M6" s="52"/>
      <c r="N6" s="52"/>
      <c r="O6" s="52"/>
      <c r="P6" s="52"/>
      <c r="Q6" s="52"/>
      <c r="R6" s="52"/>
      <c r="S6" s="52"/>
      <c r="T6" s="52"/>
      <c r="U6" s="52"/>
      <c r="V6" s="52"/>
      <c r="W6" s="52"/>
      <c r="X6" s="52"/>
      <c r="Y6" s="52"/>
      <c r="Z6" s="52"/>
    </row>
    <row r="7" spans="1:26" ht="15.6">
      <c r="A7" s="51" t="s">
        <v>6</v>
      </c>
      <c r="B7" s="52" t="s">
        <v>968</v>
      </c>
      <c r="C7" s="52"/>
      <c r="D7" s="52"/>
      <c r="E7" s="52"/>
      <c r="F7" s="52"/>
      <c r="G7" s="52"/>
      <c r="H7" s="52"/>
      <c r="I7" s="52"/>
      <c r="J7" s="52"/>
      <c r="K7" s="52"/>
      <c r="L7" s="52"/>
      <c r="M7" s="52"/>
      <c r="N7" s="52"/>
      <c r="O7" s="52"/>
      <c r="P7" s="52"/>
      <c r="Q7" s="52"/>
      <c r="R7" s="52"/>
      <c r="S7" s="52"/>
      <c r="T7" s="52"/>
      <c r="U7" s="52"/>
      <c r="V7" s="52"/>
      <c r="W7" s="52"/>
      <c r="X7" s="52"/>
      <c r="Y7" s="52"/>
      <c r="Z7" s="52"/>
    </row>
    <row r="8" spans="1:26" ht="15.6">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6">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149999999999999">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600000000000001">
      <c r="A11" s="57" t="s">
        <v>969</v>
      </c>
      <c r="B11" s="57">
        <v>1</v>
      </c>
      <c r="C11" s="57" t="s">
        <v>35</v>
      </c>
      <c r="D11" s="57" t="s">
        <v>970</v>
      </c>
      <c r="E11" s="57" t="s">
        <v>81</v>
      </c>
      <c r="F11" s="58" t="s">
        <v>89</v>
      </c>
      <c r="G11" s="57" t="s">
        <v>31</v>
      </c>
      <c r="H11" s="57"/>
      <c r="I11" s="59"/>
      <c r="J11" s="57" t="s">
        <v>971</v>
      </c>
      <c r="K11" s="57">
        <v>3</v>
      </c>
      <c r="L11" s="57" t="s">
        <v>949</v>
      </c>
      <c r="M11" s="57" t="s">
        <v>972</v>
      </c>
      <c r="N11" s="57"/>
      <c r="O11" s="57" t="s">
        <v>40</v>
      </c>
      <c r="P11" s="57" t="s">
        <v>40</v>
      </c>
      <c r="Q11" s="52"/>
      <c r="R11" s="52"/>
      <c r="S11" s="52"/>
      <c r="T11" s="52"/>
      <c r="U11" s="52"/>
      <c r="V11" s="52"/>
      <c r="W11" s="52"/>
      <c r="X11" s="52"/>
      <c r="Y11" s="52"/>
      <c r="Z11" s="52"/>
    </row>
    <row r="12" spans="1:26" ht="18.600000000000001">
      <c r="A12" s="57" t="s">
        <v>969</v>
      </c>
      <c r="B12" s="57">
        <v>2</v>
      </c>
      <c r="C12" s="57" t="s">
        <v>31</v>
      </c>
      <c r="D12" s="57" t="s">
        <v>973</v>
      </c>
      <c r="E12" s="57" t="s">
        <v>81</v>
      </c>
      <c r="F12" s="58" t="s">
        <v>107</v>
      </c>
      <c r="G12" s="57" t="s">
        <v>31</v>
      </c>
      <c r="H12" s="57"/>
      <c r="I12" s="59"/>
      <c r="J12" s="57" t="s">
        <v>971</v>
      </c>
      <c r="K12" s="57">
        <v>4</v>
      </c>
      <c r="L12" s="57" t="s">
        <v>974</v>
      </c>
      <c r="M12" s="57" t="s">
        <v>975</v>
      </c>
      <c r="N12" s="57"/>
      <c r="O12" s="57" t="s">
        <v>40</v>
      </c>
      <c r="P12" s="57" t="s">
        <v>40</v>
      </c>
      <c r="Q12" s="52"/>
      <c r="R12" s="52"/>
      <c r="S12" s="52"/>
      <c r="T12" s="52"/>
      <c r="U12" s="52"/>
      <c r="V12" s="52"/>
      <c r="W12" s="52"/>
      <c r="X12" s="52"/>
      <c r="Y12" s="52"/>
      <c r="Z12" s="52"/>
    </row>
    <row r="13" spans="1:26" ht="18.600000000000001">
      <c r="A13" s="57" t="s">
        <v>969</v>
      </c>
      <c r="B13" s="57">
        <v>3</v>
      </c>
      <c r="C13" s="57" t="s">
        <v>31</v>
      </c>
      <c r="D13" s="57" t="s">
        <v>976</v>
      </c>
      <c r="E13" s="57" t="s">
        <v>81</v>
      </c>
      <c r="F13" s="58" t="s">
        <v>82</v>
      </c>
      <c r="G13" s="57" t="s">
        <v>31</v>
      </c>
      <c r="H13" s="57" t="s">
        <v>83</v>
      </c>
      <c r="I13" s="59" t="s">
        <v>977</v>
      </c>
      <c r="J13" s="57" t="s">
        <v>971</v>
      </c>
      <c r="K13" s="57">
        <v>5</v>
      </c>
      <c r="L13" s="57" t="s">
        <v>978</v>
      </c>
      <c r="M13" s="57" t="s">
        <v>979</v>
      </c>
      <c r="N13" s="57"/>
      <c r="O13" s="57"/>
      <c r="P13" s="57"/>
      <c r="Q13" s="52"/>
      <c r="R13" s="52"/>
      <c r="S13" s="52"/>
      <c r="T13" s="52"/>
      <c r="U13" s="52"/>
      <c r="V13" s="52"/>
      <c r="W13" s="52"/>
      <c r="X13" s="52"/>
      <c r="Y13" s="52"/>
      <c r="Z13" s="52"/>
    </row>
    <row r="14" spans="1:26" ht="18.600000000000001">
      <c r="A14" s="57" t="s">
        <v>969</v>
      </c>
      <c r="B14" s="60">
        <v>4</v>
      </c>
      <c r="C14" s="57" t="s">
        <v>31</v>
      </c>
      <c r="D14" s="60" t="s">
        <v>980</v>
      </c>
      <c r="E14" s="57" t="s">
        <v>81</v>
      </c>
      <c r="F14" s="61" t="s">
        <v>981</v>
      </c>
      <c r="G14" s="57" t="s">
        <v>31</v>
      </c>
      <c r="H14" s="60"/>
      <c r="I14" s="60"/>
      <c r="J14" s="57" t="s">
        <v>971</v>
      </c>
      <c r="K14" s="60">
        <v>6</v>
      </c>
      <c r="L14" s="60" t="s">
        <v>982</v>
      </c>
      <c r="M14" s="60" t="s">
        <v>983</v>
      </c>
      <c r="N14" s="60"/>
      <c r="O14" s="60"/>
      <c r="P14" s="60"/>
      <c r="Q14" s="52"/>
      <c r="R14" s="52"/>
      <c r="S14" s="52"/>
      <c r="T14" s="52"/>
      <c r="U14" s="52"/>
      <c r="V14" s="52"/>
      <c r="W14" s="52"/>
      <c r="X14" s="52"/>
      <c r="Y14" s="52"/>
      <c r="Z14" s="52"/>
    </row>
    <row r="15" spans="1:26" ht="15.6">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5.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6">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6">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6">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6">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DA8-282C-4FF4-BC75-8E3FD561AE1C}">
  <dimension ref="A1:Z1000"/>
  <sheetViews>
    <sheetView workbookViewId="0"/>
  </sheetViews>
  <sheetFormatPr defaultColWidth="12.625" defaultRowHeight="15" customHeight="1"/>
  <cols>
    <col min="1" max="1" width="26" style="53" customWidth="1"/>
    <col min="2"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2.125" style="53" customWidth="1"/>
    <col min="10" max="10" width="34.375" style="53" customWidth="1"/>
    <col min="11" max="16" width="12.125" style="53" customWidth="1"/>
    <col min="17" max="26" width="11.875" style="53" customWidth="1"/>
    <col min="27" max="16384" width="12.625" style="53"/>
  </cols>
  <sheetData>
    <row r="1" spans="1:26" ht="15.6">
      <c r="A1" s="51" t="s">
        <v>936</v>
      </c>
      <c r="B1" s="52" t="s">
        <v>984</v>
      </c>
      <c r="C1" s="52"/>
      <c r="D1" s="52"/>
      <c r="E1" s="52"/>
      <c r="F1" s="52"/>
      <c r="G1" s="52"/>
      <c r="H1" s="52"/>
      <c r="I1" s="52"/>
      <c r="J1" s="52"/>
      <c r="K1" s="52"/>
      <c r="L1" s="52"/>
      <c r="M1" s="52"/>
      <c r="N1" s="52"/>
      <c r="O1" s="52"/>
      <c r="P1" s="52"/>
      <c r="Q1" s="52"/>
      <c r="R1" s="52"/>
      <c r="S1" s="52"/>
      <c r="T1" s="52"/>
      <c r="U1" s="52"/>
      <c r="V1" s="52"/>
      <c r="W1" s="52"/>
      <c r="X1" s="52"/>
      <c r="Y1" s="52"/>
      <c r="Z1" s="52"/>
    </row>
    <row r="2" spans="1:26" ht="15.6">
      <c r="A2" s="51" t="s">
        <v>938</v>
      </c>
      <c r="B2" s="52" t="s">
        <v>985</v>
      </c>
      <c r="C2" s="52"/>
      <c r="D2" s="52"/>
      <c r="E2" s="52"/>
      <c r="F2" s="52"/>
      <c r="G2" s="52"/>
      <c r="H2" s="52"/>
      <c r="I2" s="52"/>
      <c r="J2" s="52"/>
      <c r="K2" s="52"/>
      <c r="L2" s="52"/>
      <c r="M2" s="52"/>
      <c r="N2" s="52"/>
      <c r="O2" s="52"/>
      <c r="P2" s="52"/>
      <c r="Q2" s="52"/>
      <c r="R2" s="52"/>
      <c r="S2" s="52"/>
      <c r="T2" s="52"/>
      <c r="U2" s="52"/>
      <c r="V2" s="52"/>
      <c r="W2" s="52"/>
      <c r="X2" s="52"/>
      <c r="Y2" s="52"/>
      <c r="Z2" s="52"/>
    </row>
    <row r="3" spans="1:26" ht="15.6">
      <c r="A3" s="51" t="s">
        <v>0</v>
      </c>
      <c r="B3" s="52" t="s">
        <v>986</v>
      </c>
      <c r="C3" s="52"/>
      <c r="D3" s="52"/>
      <c r="E3" s="52"/>
      <c r="F3" s="52"/>
      <c r="G3" s="52"/>
      <c r="H3" s="52"/>
      <c r="I3" s="52"/>
      <c r="J3" s="52"/>
      <c r="K3" s="52"/>
      <c r="L3" s="52"/>
      <c r="M3" s="52"/>
      <c r="N3" s="52"/>
      <c r="O3" s="52"/>
      <c r="P3" s="52"/>
      <c r="Q3" s="52"/>
      <c r="R3" s="52"/>
      <c r="S3" s="52"/>
      <c r="T3" s="52"/>
      <c r="U3" s="52"/>
      <c r="V3" s="52"/>
      <c r="W3" s="52"/>
      <c r="X3" s="52"/>
      <c r="Y3" s="52"/>
      <c r="Z3" s="52"/>
    </row>
    <row r="4" spans="1:26" ht="15.6">
      <c r="A4" s="51" t="s">
        <v>941</v>
      </c>
      <c r="B4" s="52" t="s">
        <v>987</v>
      </c>
      <c r="C4" s="52"/>
      <c r="D4" s="52"/>
      <c r="E4" s="52"/>
      <c r="F4" s="52"/>
      <c r="G4" s="52"/>
      <c r="H4" s="52"/>
      <c r="I4" s="52"/>
      <c r="J4" s="52"/>
      <c r="K4" s="52"/>
      <c r="L4" s="52"/>
      <c r="M4" s="52"/>
      <c r="N4" s="52"/>
      <c r="O4" s="52"/>
      <c r="P4" s="52"/>
      <c r="Q4" s="52"/>
      <c r="R4" s="52"/>
      <c r="S4" s="52"/>
      <c r="T4" s="52"/>
      <c r="U4" s="52"/>
      <c r="V4" s="52"/>
      <c r="W4" s="52"/>
      <c r="X4" s="52"/>
      <c r="Y4" s="52"/>
      <c r="Z4" s="52"/>
    </row>
    <row r="5" spans="1:26" ht="15.6">
      <c r="A5" s="51" t="s">
        <v>2</v>
      </c>
      <c r="B5" s="52" t="s">
        <v>988</v>
      </c>
      <c r="C5" s="52"/>
      <c r="D5" s="52"/>
      <c r="E5" s="52"/>
      <c r="F5" s="52"/>
      <c r="G5" s="52"/>
      <c r="H5" s="52"/>
      <c r="I5" s="52"/>
      <c r="J5" s="52"/>
      <c r="K5" s="52"/>
      <c r="L5" s="52"/>
      <c r="M5" s="52"/>
      <c r="N5" s="52"/>
      <c r="O5" s="52"/>
      <c r="P5" s="52"/>
      <c r="Q5" s="52"/>
      <c r="R5" s="52"/>
      <c r="S5" s="52"/>
      <c r="T5" s="52"/>
      <c r="U5" s="52"/>
      <c r="V5" s="52"/>
      <c r="W5" s="52"/>
      <c r="X5" s="52"/>
      <c r="Y5" s="52"/>
      <c r="Z5" s="52"/>
    </row>
    <row r="6" spans="1:26" ht="15.6">
      <c r="A6" s="51" t="s">
        <v>4</v>
      </c>
      <c r="B6" s="52" t="s">
        <v>944</v>
      </c>
      <c r="C6" s="52"/>
      <c r="D6" s="52"/>
      <c r="E6" s="52"/>
      <c r="F6" s="52"/>
      <c r="G6" s="52"/>
      <c r="H6" s="52"/>
      <c r="I6" s="52"/>
      <c r="J6" s="52"/>
      <c r="K6" s="52"/>
      <c r="L6" s="52"/>
      <c r="M6" s="52"/>
      <c r="N6" s="52"/>
      <c r="O6" s="52"/>
      <c r="P6" s="52"/>
      <c r="Q6" s="52"/>
      <c r="R6" s="52"/>
      <c r="S6" s="52"/>
      <c r="T6" s="52"/>
      <c r="U6" s="52"/>
      <c r="V6" s="52"/>
      <c r="W6" s="52"/>
      <c r="X6" s="52"/>
      <c r="Y6" s="52"/>
      <c r="Z6" s="52"/>
    </row>
    <row r="7" spans="1:26" ht="15.6">
      <c r="A7" s="51" t="s">
        <v>6</v>
      </c>
      <c r="B7" s="52" t="s">
        <v>968</v>
      </c>
      <c r="C7" s="52"/>
      <c r="D7" s="52"/>
      <c r="E7" s="52"/>
      <c r="F7" s="52"/>
      <c r="G7" s="52"/>
      <c r="H7" s="52"/>
      <c r="I7" s="52"/>
      <c r="J7" s="52"/>
      <c r="K7" s="52"/>
      <c r="L7" s="52"/>
      <c r="M7" s="52"/>
      <c r="N7" s="52"/>
      <c r="O7" s="52"/>
      <c r="P7" s="52"/>
      <c r="Q7" s="52"/>
      <c r="R7" s="52"/>
      <c r="S7" s="52"/>
      <c r="T7" s="52"/>
      <c r="U7" s="52"/>
      <c r="V7" s="52"/>
      <c r="W7" s="52"/>
      <c r="X7" s="52"/>
      <c r="Y7" s="52"/>
      <c r="Z7" s="52"/>
    </row>
    <row r="8" spans="1:26" ht="15.6">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6">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149999999999999">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600000000000001">
      <c r="A11" s="57" t="s">
        <v>989</v>
      </c>
      <c r="B11" s="57">
        <v>1</v>
      </c>
      <c r="C11" s="57" t="s">
        <v>35</v>
      </c>
      <c r="D11" s="57" t="s">
        <v>990</v>
      </c>
      <c r="E11" s="57" t="s">
        <v>60</v>
      </c>
      <c r="F11" s="58" t="s">
        <v>61</v>
      </c>
      <c r="G11" s="57" t="s">
        <v>35</v>
      </c>
      <c r="H11" s="57"/>
      <c r="I11" s="59"/>
      <c r="J11" s="57" t="s">
        <v>991</v>
      </c>
      <c r="K11" s="57">
        <v>1</v>
      </c>
      <c r="L11" s="57" t="s">
        <v>992</v>
      </c>
      <c r="M11" s="57" t="s">
        <v>993</v>
      </c>
      <c r="N11" s="57"/>
      <c r="O11" s="57" t="s">
        <v>40</v>
      </c>
      <c r="P11" s="57" t="s">
        <v>40</v>
      </c>
      <c r="Q11" s="52"/>
      <c r="R11" s="52"/>
      <c r="S11" s="52"/>
      <c r="T11" s="52"/>
      <c r="U11" s="52"/>
      <c r="V11" s="52"/>
      <c r="W11" s="52"/>
      <c r="X11" s="52"/>
      <c r="Y11" s="52"/>
      <c r="Z11" s="52"/>
    </row>
    <row r="12" spans="1:26" ht="18.600000000000001">
      <c r="A12" s="57" t="s">
        <v>989</v>
      </c>
      <c r="B12" s="57">
        <v>2</v>
      </c>
      <c r="C12" s="57" t="s">
        <v>31</v>
      </c>
      <c r="D12" s="57" t="s">
        <v>994</v>
      </c>
      <c r="E12" s="57" t="s">
        <v>33</v>
      </c>
      <c r="F12" s="58" t="s">
        <v>34</v>
      </c>
      <c r="G12" s="57" t="s">
        <v>35</v>
      </c>
      <c r="H12" s="57"/>
      <c r="I12" s="59"/>
      <c r="J12" s="57" t="s">
        <v>991</v>
      </c>
      <c r="K12" s="57">
        <v>2</v>
      </c>
      <c r="L12" s="57" t="s">
        <v>995</v>
      </c>
      <c r="M12" s="57" t="s">
        <v>996</v>
      </c>
      <c r="N12" s="57"/>
      <c r="O12" s="57" t="s">
        <v>40</v>
      </c>
      <c r="P12" s="57" t="s">
        <v>40</v>
      </c>
      <c r="Q12" s="52"/>
      <c r="R12" s="52"/>
      <c r="S12" s="52"/>
      <c r="T12" s="52"/>
      <c r="U12" s="52"/>
      <c r="V12" s="52"/>
      <c r="W12" s="52"/>
      <c r="X12" s="52"/>
      <c r="Y12" s="52"/>
      <c r="Z12" s="52"/>
    </row>
    <row r="13" spans="1:26" ht="18.600000000000001">
      <c r="A13" s="57" t="s">
        <v>989</v>
      </c>
      <c r="B13" s="57">
        <v>3</v>
      </c>
      <c r="C13" s="57" t="s">
        <v>31</v>
      </c>
      <c r="D13" s="57" t="s">
        <v>997</v>
      </c>
      <c r="E13" s="57" t="s">
        <v>81</v>
      </c>
      <c r="F13" s="58" t="s">
        <v>361</v>
      </c>
      <c r="G13" s="57" t="s">
        <v>35</v>
      </c>
      <c r="H13" s="57"/>
      <c r="I13" s="59"/>
      <c r="J13" s="57" t="s">
        <v>991</v>
      </c>
      <c r="K13" s="57">
        <v>3</v>
      </c>
      <c r="L13" s="57" t="s">
        <v>998</v>
      </c>
      <c r="M13" s="57" t="s">
        <v>999</v>
      </c>
      <c r="N13" s="57"/>
      <c r="O13" s="57"/>
      <c r="P13" s="57"/>
      <c r="Q13" s="52"/>
      <c r="R13" s="52"/>
      <c r="S13" s="52"/>
      <c r="T13" s="52"/>
      <c r="U13" s="52"/>
      <c r="V13" s="52"/>
      <c r="W13" s="52"/>
      <c r="X13" s="52"/>
      <c r="Y13" s="52"/>
      <c r="Z13" s="52"/>
    </row>
    <row r="14" spans="1:26" ht="18.600000000000001">
      <c r="A14" s="57" t="s">
        <v>989</v>
      </c>
      <c r="B14" s="60">
        <v>4</v>
      </c>
      <c r="C14" s="57" t="s">
        <v>31</v>
      </c>
      <c r="D14" s="60" t="s">
        <v>1000</v>
      </c>
      <c r="E14" s="57" t="s">
        <v>81</v>
      </c>
      <c r="F14" s="61" t="s">
        <v>1001</v>
      </c>
      <c r="G14" s="57" t="s">
        <v>35</v>
      </c>
      <c r="H14" s="60"/>
      <c r="I14" s="60"/>
      <c r="J14" s="57" t="s">
        <v>991</v>
      </c>
      <c r="K14" s="60">
        <v>4</v>
      </c>
      <c r="L14" s="60" t="s">
        <v>1002</v>
      </c>
      <c r="M14" s="60" t="s">
        <v>1003</v>
      </c>
      <c r="N14" s="60"/>
      <c r="O14" s="60"/>
      <c r="P14" s="60"/>
      <c r="Q14" s="52"/>
      <c r="R14" s="52"/>
      <c r="S14" s="52"/>
      <c r="T14" s="52"/>
      <c r="U14" s="52"/>
      <c r="V14" s="52"/>
      <c r="W14" s="52"/>
      <c r="X14" s="52"/>
      <c r="Y14" s="52"/>
      <c r="Z14" s="52"/>
    </row>
    <row r="15" spans="1:26" ht="18.600000000000001">
      <c r="A15" s="57" t="s">
        <v>989</v>
      </c>
      <c r="B15" s="60">
        <v>5</v>
      </c>
      <c r="C15" s="57" t="s">
        <v>31</v>
      </c>
      <c r="D15" s="60" t="s">
        <v>1004</v>
      </c>
      <c r="E15" s="60" t="s">
        <v>33</v>
      </c>
      <c r="F15" s="61" t="s">
        <v>313</v>
      </c>
      <c r="G15" s="57" t="s">
        <v>35</v>
      </c>
      <c r="H15" s="60"/>
      <c r="I15" s="60"/>
      <c r="J15" s="57" t="s">
        <v>991</v>
      </c>
      <c r="K15" s="62">
        <v>5</v>
      </c>
      <c r="L15" s="60" t="s">
        <v>1005</v>
      </c>
      <c r="M15" s="60" t="s">
        <v>1006</v>
      </c>
      <c r="N15" s="60"/>
      <c r="O15" s="60"/>
      <c r="P15" s="60"/>
      <c r="Q15" s="52"/>
      <c r="R15" s="52"/>
      <c r="S15" s="52"/>
      <c r="T15" s="52"/>
      <c r="U15" s="52"/>
      <c r="V15" s="52"/>
      <c r="W15" s="52"/>
      <c r="X15" s="52"/>
      <c r="Y15" s="52"/>
      <c r="Z15" s="52"/>
    </row>
    <row r="16" spans="1:26" ht="15.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6">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6">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6">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6">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B16FD202-D11C-4CF4-8A71-B4357CA0796D}"/>
</file>

<file path=customXml/itemProps2.xml><?xml version="1.0" encoding="utf-8"?>
<ds:datastoreItem xmlns:ds="http://schemas.openxmlformats.org/officeDocument/2006/customXml" ds:itemID="{333EA07B-0A5A-4F16-822D-522B07BEACB2}"/>
</file>

<file path=customXml/itemProps3.xml><?xml version="1.0" encoding="utf-8"?>
<ds:datastoreItem xmlns:ds="http://schemas.openxmlformats.org/officeDocument/2006/customXml" ds:itemID="{DE4D4E5B-CE4D-4DF7-BA5A-40C3BE7C6A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2021-08-13T06:50:09Z</dcterms:created>
  <dcterms:modified xsi:type="dcterms:W3CDTF">2024-09-26T22:27:26Z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