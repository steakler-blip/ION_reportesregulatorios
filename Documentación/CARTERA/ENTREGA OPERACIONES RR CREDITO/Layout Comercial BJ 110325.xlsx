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mc:AlternateContent xmlns:mc="http://schemas.openxmlformats.org/markup-compatibility/2006">
    <mc:Choice Requires="x15">
      <x15ac:absPath xmlns:x15ac="http://schemas.microsoft.com/office/spreadsheetml/2010/11/ac" url="https://ionquieroconfianza.sharepoint.com/sites/ImplementacinReportesRegulatorios/Documentos compartidos/Documentación/CARTERA/ENTREGA OPERACIONES RR CREDITO/"/>
    </mc:Choice>
  </mc:AlternateContent>
  <xr:revisionPtr revIDLastSave="273" documentId="13_ncr:1_{D2073CF0-E524-4A73-AFFE-EDC19BB82FF8}" xr6:coauthVersionLast="47" xr6:coauthVersionMax="47" xr10:uidLastSave="{22A8E6D7-39AD-4D7E-9DF2-7C820ACF0CB7}"/>
  <bookViews>
    <workbookView xWindow="-120" yWindow="-120" windowWidth="20730" windowHeight="11160" xr2:uid="{B4723DE0-9C8A-4AD2-9465-300BFD4C84FE}"/>
  </bookViews>
  <sheets>
    <sheet name="Base" sheetId="1" r:id="rId1"/>
  </sheets>
  <definedNames>
    <definedName name="_xlnm._FilterDatabase" localSheetId="0" hidden="1">Base!$A$1:$K$61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0" i="1" l="1"/>
  <c r="L49" i="1"/>
  <c r="L48" i="1"/>
  <c r="L47" i="1"/>
  <c r="L46" i="1"/>
  <c r="L45" i="1"/>
  <c r="L44" i="1"/>
  <c r="L43" i="1"/>
  <c r="L42" i="1"/>
  <c r="L41" i="1"/>
  <c r="L40" i="1"/>
  <c r="L36" i="1"/>
</calcChain>
</file>

<file path=xl/sharedStrings.xml><?xml version="1.0" encoding="utf-8"?>
<sst xmlns="http://schemas.openxmlformats.org/spreadsheetml/2006/main" count="514" uniqueCount="250">
  <si>
    <t>LAYOUT</t>
  </si>
  <si>
    <t>ORDEN</t>
  </si>
  <si>
    <t>LLAVE</t>
  </si>
  <si>
    <t>NOMBRE_CAMPO</t>
  </si>
  <si>
    <t>VALIDACION</t>
  </si>
  <si>
    <t>CATALOGO</t>
  </si>
  <si>
    <t>DESCRIPCION</t>
  </si>
  <si>
    <t>OBLIGATORIO</t>
  </si>
  <si>
    <t>Comentarios que dimos en  1era revisión:</t>
  </si>
  <si>
    <t>Comentarios PMO (TI), nos piden:</t>
  </si>
  <si>
    <t>Respuesta Riesgos:</t>
  </si>
  <si>
    <t>PERSONA</t>
  </si>
  <si>
    <t>No</t>
  </si>
  <si>
    <t>PERSONA_RELACIONADA</t>
  </si>
  <si>
    <t>Catalogo</t>
  </si>
  <si>
    <t>Tipo Relación Entidad CC</t>
  </si>
  <si>
    <t>Tipo de Persona Relacionada</t>
  </si>
  <si>
    <t>SI</t>
  </si>
  <si>
    <t>Pantalla Comercial/Datos no viven en el sistema</t>
  </si>
  <si>
    <t>Indicar el nombre del campo de la pantalla comercial, si no tienen conocimiento de los nombres, trabajar en conjunto con Sharon para encontrar el nombre</t>
  </si>
  <si>
    <t>Solicitamos a Sharon nos ayude a revisarlo con Bw.</t>
  </si>
  <si>
    <t>RC_GRUPORIESGO</t>
  </si>
  <si>
    <t>Grupo de Riesgo</t>
  </si>
  <si>
    <t>Grupo de Riesgo para el calculo del Requerimiento de Capital</t>
  </si>
  <si>
    <t>Revisar con Bw si este campo es para toda la cartera o sólo para la cartera comercial. Adicionalmente, si Bw tiene la posibilidad de determinar con la información que les proporcionamos este campo, o si bien, debemos llenarlo forzosamente para todos los créditos.</t>
  </si>
  <si>
    <t>Indicar mapeo</t>
  </si>
  <si>
    <t>Si está en la pantalla, con el nombre de "Acreditado Relacionado"</t>
  </si>
  <si>
    <t>EJECUTIVO</t>
  </si>
  <si>
    <t>Ejecutivo o Promotor</t>
  </si>
  <si>
    <t>NO</t>
  </si>
  <si>
    <t>Validaciones Info Cualitativa Individual (Altas)_Excel Miguel Ibarra</t>
  </si>
  <si>
    <t>No es obligatorio</t>
  </si>
  <si>
    <t>SUCURSAL</t>
  </si>
  <si>
    <t>Sucursal a la que pertenece el cliente</t>
  </si>
  <si>
    <t>Detallar que dato es el que se requiere reflejar</t>
  </si>
  <si>
    <t>CODIGO_CLIENTE_IPAB</t>
  </si>
  <si>
    <t>Codigo del cliente de acuerdo al IPAB, solo aplicable en el caso que el ID_PERSONA, no sea el mismo código utilizado para los reporteos a IPAB</t>
  </si>
  <si>
    <t>Indicar la regla para asignar el código de cliente, o bien, por default reflejamos el mismo que id_persona?</t>
  </si>
  <si>
    <t>No tenemos una respuesta a este campo ya que no entregamos actualmente nada al IPAB.</t>
  </si>
  <si>
    <t>LINEA CREDITO</t>
  </si>
  <si>
    <t>MESESGRACIACAP</t>
  </si>
  <si>
    <t>Numero de meses otorgados de gracia para el inicio del pago del capital</t>
  </si>
  <si>
    <t>Hoy no se tiene, pero están solicitando algunos casos/Consultar en SAF</t>
  </si>
  <si>
    <t>Indicar de donde se obtiene ese dato, o bien, si es calculado la regla</t>
  </si>
  <si>
    <t>Deben revisar con TI la forma en la que se puede obtener de sistema. Actualmente nos lo entregan en un excel (Miguel), pero dejará de existir a diferencia del  excel de altas Individual.</t>
  </si>
  <si>
    <t>MESESGRACIAINTERESES</t>
  </si>
  <si>
    <t>Numero de meses otorgados de gracia para el inicio del pago del interés</t>
  </si>
  <si>
    <t>MONTOPRIMASANUALES</t>
  </si>
  <si>
    <t>Monto de las primas anuales de seguros obligatorios cobradas al acreditado</t>
  </si>
  <si>
    <t>Prima cobrada seguro al cliente/en minoristas comerciales si se tiene (Consulta SAF)/ en puentes habría que validar el momento en que se tiene el importe (al menos no en la firma)</t>
  </si>
  <si>
    <t>Se debe sumar el monto que va del año cobrado por seguros?, se toman ambos seguros (vida y daños)?, sobre puenttes resta indicar la regla</t>
  </si>
  <si>
    <t>Desconocemos como se registra en sistema, sin embargo, lo que deben considerar crédito por crédito son todos los seguros (la suma) y la prima anual. Tal vez Juan David los pueda orientar.</t>
  </si>
  <si>
    <t>ACTIVIDADECONOMICADESTINO</t>
  </si>
  <si>
    <t>Actividad Economica</t>
  </si>
  <si>
    <t>Rama del destino económico del crédito</t>
  </si>
  <si>
    <t>Homero revisa este campo/Pantalla/Consultar SAF</t>
  </si>
  <si>
    <t>Indicar regla o de donde se debe tomar el dato</t>
  </si>
  <si>
    <t>Si está en la pantalla, con el nombre de "ACTIVIDAD ECONÓMICA A LA QUE SE DESTINARÁ EL CRÉDITO"</t>
  </si>
  <si>
    <t>CREDITO</t>
  </si>
  <si>
    <t>MONTO_CONDONACION</t>
  </si>
  <si>
    <t>Monto que se destina al pago del crédito el cual puede ser parcial o total y donde el banco renuncia al cobro de este monto</t>
  </si>
  <si>
    <t xml:space="preserve">Cierre cartera Excel Comercial </t>
  </si>
  <si>
    <t>Indicar columna del archivo de cierre</t>
  </si>
  <si>
    <t>Los nombres son los mismos en el archivo de cierre. Sólo por favor corroboren con Cartera Comercial.</t>
  </si>
  <si>
    <t>MONTO_QUITAS</t>
  </si>
  <si>
    <t>Rebaja del monto total del crédito pagada por el banco</t>
  </si>
  <si>
    <t>Cierre cartera Excel Comercial</t>
  </si>
  <si>
    <t>MONTO_CASTIGOS</t>
  </si>
  <si>
    <t>Monto reconocido como pérdida por el impago de una deuda por incumplimiento</t>
  </si>
  <si>
    <t>MONTO_BONIFICACION</t>
  </si>
  <si>
    <t>Premio aplicado sobre el monto que se debe pagar de un crédito</t>
  </si>
  <si>
    <t>MONTO_DESCUENTO</t>
  </si>
  <si>
    <t>Pago aplicado al crédito por una promoción comercial hacia el crédito</t>
  </si>
  <si>
    <t>MONTO_DACION</t>
  </si>
  <si>
    <t>Recepción de un bien para el pago del credito</t>
  </si>
  <si>
    <t>Este campo no lo incluyen en el cierre actualmente. Comentamos que es necesario soliciten al equipo de Cartera que se incluya. Adicionalmente, de cara a las pólizas y el layout resultado de la consulta que se hará de esa información se debe incluir el campo. Hoy nos lo hace saber cartera a través de un correo.</t>
  </si>
  <si>
    <t>CONCURSOMERCANTIL</t>
  </si>
  <si>
    <t>Credito Evaluado Art 224</t>
  </si>
  <si>
    <t>Indicador si el crédito fue evaluado bajo el Art 224 como concurso mercantil</t>
  </si>
  <si>
    <t>Homero nos valida si esta en pantalla</t>
  </si>
  <si>
    <t>Indicar la regla a considerar o fuente de la información</t>
  </si>
  <si>
    <t>No está en la pantalla dado que no es un campo de originación. Se debe revisar si se incluirá en algún campo no utilizado de SAF para poder utilizarlo en caso de que se presente el escenario.</t>
  </si>
  <si>
    <t>OPER_DIF_TASA_DISP</t>
  </si>
  <si>
    <t>Operacion_Dif_Tasa_Int</t>
  </si>
  <si>
    <t>Operación matemática aplicable al ajuste de la tasa</t>
  </si>
  <si>
    <t>Consulta en SAF</t>
  </si>
  <si>
    <t>Detallar ya que no queda claro a que dato refiere</t>
  </si>
  <si>
    <t>Deben revisar con TI la forma en la que se puede obtener de sistema. Actualmente nos lo entregan en un excel (Miguel), pero dejará de existir a diferencia del  excel de altas Individual. Es el spread de la tasa.</t>
  </si>
  <si>
    <t>SALDO_CAPITAL_VIGENTE</t>
  </si>
  <si>
    <t>Saldo del capital o principal vigente a la fecha de calificacion</t>
  </si>
  <si>
    <t>Columna "CAP-VIGENTE" de la hoja "SALDOS". Favor de corroborar con el área de cartera.</t>
  </si>
  <si>
    <t>SALDO_CAPITAL_VENCIDO</t>
  </si>
  <si>
    <t>Saldo del capital o principal vencido a la fecha de calificacion</t>
  </si>
  <si>
    <t>Columna "CAP-VENCIDO" de la hoja "SALDOS". Favor de corroborar con el área de cartera.</t>
  </si>
  <si>
    <t>SALDO_INTERES_VIGENTE</t>
  </si>
  <si>
    <t>Saldo de Intereses devengados vigentes a la fecha de calificación</t>
  </si>
  <si>
    <t>Columna "INT-VIGENTE" de la hoja "SALDOS". Favor de corroborar con el área de cartera.</t>
  </si>
  <si>
    <t>SALDO_INTERES_VENCIDO</t>
  </si>
  <si>
    <t>Saldo de Intereses devengados vencidos a la fecha de calificación</t>
  </si>
  <si>
    <t>Columna "INTERESES_DEVENGADOS_NO_PAGADOS" de la hoja "MOVIMIENTOS" . Favor de corroborar con el área de cartera.</t>
  </si>
  <si>
    <t>TASA_INTERES_ORDINARIA</t>
  </si>
  <si>
    <t>Tasa de interes ordinaria anual</t>
  </si>
  <si>
    <t>Columna "TASA" de la hoja "MOVIMIENTOS". Favor de corroborar con el área de cartera.</t>
  </si>
  <si>
    <t>TASA_INTERES_MORATORIA</t>
  </si>
  <si>
    <t>Tasa de interes moratoria anual</t>
  </si>
  <si>
    <t>Columna "TASA_INTERES_MORATORIA" de la hoja "MOVIMIENTOS". Favor de corroborar con el área de cartera.</t>
  </si>
  <si>
    <t>MONTO_DISPUESTO_LINEA</t>
  </si>
  <si>
    <t>Monto dispuesto de la línea de crédito durante el mes</t>
  </si>
  <si>
    <t>Columna "ANTICIPOS Y MINISTRACIONES" de la hoja "MOVIMIENTOS". Favor de corroborar con el área de cartera.</t>
  </si>
  <si>
    <t>MONTO_PAGO_EXIGIBLE</t>
  </si>
  <si>
    <t>Monto del pago total exigible a la persona a la fecha de calificación</t>
  </si>
  <si>
    <t>Columna "MONTOEXIGIBLECOM" de la hoja "MOVIMIENTOS". Favor de corroborar con el área de cartera.</t>
  </si>
  <si>
    <t>MONTO_CAPITAL_PAGADO</t>
  </si>
  <si>
    <t>Monto de capital pagado en el periodo</t>
  </si>
  <si>
    <t>Columna "PAGOS A CAPITAL" de la hoja "MOVIMIENTOS". Favor de corroborar con el área de cartera.</t>
  </si>
  <si>
    <t>MONTO_INTERES_ORDINARIO_PAGADO</t>
  </si>
  <si>
    <t>Monto de intereses ordinarios pagados en el periodo</t>
  </si>
  <si>
    <t>Es la suma de dos cambios del cierre de cartera. 
Columna "INT DEVENG PAGADOS DEL PERIODO" y la columna "PAGOS DE INT EXIGIBLES"  ambas de la hoja "MOVIMIENTOS". Favor de corroborar con el área de cartera.</t>
  </si>
  <si>
    <t>COMISIONES_PAGADAS</t>
  </si>
  <si>
    <t>Comisiones efectivamente pagadas por el cliente en el periodo</t>
  </si>
  <si>
    <t>Columna "COMISIONES_PAGADAS" de la hoja "MOVIMIENTOS". Favor de corroborar con el área de cartera.</t>
  </si>
  <si>
    <t>MONTO_INTERES_MORATORIO</t>
  </si>
  <si>
    <t>Monto Interes moratorio pagado en el periodo</t>
  </si>
  <si>
    <t>Columna "INTERESES MORATORIOS PAGADOS" de la hoja "MOVIMIENTOS". Favor de corroborar con el área de cartera.</t>
  </si>
  <si>
    <t>OTROS_MONTOS_PAGADOS</t>
  </si>
  <si>
    <t>Otros montos pagados por la persona en el mes</t>
  </si>
  <si>
    <t>Es la suma de tres cambios del cierre de cartera. 
Columna "IVA INTERESES PAGADO", la columna "SEGUROS PAGADOS CON IVA"  y la columna "IVA MORATORIOS PAGADOS"  todas de la hoja "MOVIMIENTOS". Favor de corroborar con el área de cartera.</t>
  </si>
  <si>
    <t>OTROS_MONTOS_PRINCIPAL</t>
  </si>
  <si>
    <t>Otros aumentos o decrementos de capital en el periodo</t>
  </si>
  <si>
    <t>Es la suma de tres cambios del cierre de cartera.  Multiplicados por -1 para cambiarles el signo
Columna "MOVIMIENTOS A CARTERA ADMINISTRADA DE SHF 70% ANTIC", la columna "AJUSTE SALDO INICIALES/PAGOS  A CAPITAL SHF"  y la columna "MONTO_CASTIGOS"  todas de la hoja "MOVIMIENTOS". Favor de corroborar con el área de cartera.</t>
  </si>
  <si>
    <t>MONTO_FONDEADO_BD</t>
  </si>
  <si>
    <t>Monto del crédito que fue fondeado por una Banca de desarrollo o Fondo de Fomento</t>
  </si>
  <si>
    <t>Cierre cartera Excel Comercial (entidad con que esta fondeado)</t>
  </si>
  <si>
    <t>Si se asignó un valor para el dato INSTITUTO_FONDEA distinto de cero, entonces este campo deberá ser igual al valor en la columna "SALDO CONTABLE" de la hoja "SALDOS" del cierre comercial de cartera. Favor de corroborar con el área de cartera.</t>
  </si>
  <si>
    <t>INSTITUTO_FONDEA</t>
  </si>
  <si>
    <t>Instituciones Fondeadoras</t>
  </si>
  <si>
    <t>Clave del intermediario, en caso de contar con fondeo de BD o Fondo de Fomento</t>
  </si>
  <si>
    <t>Columna "CEDIDO ABRIL" de la hoja "SALDOS" del cierre de cartera comercial. Favor de corroborar con el área de cartera.
Regla: si el dato es vacio se debe asignar el valor 0 que indica que no aplica segun el catalogo. Si tiene dato en la columna indicada del cierre, se debe buscar en el catalogo "Instituciones Fondeadoreas" el valor que le corresponda deacuerdo al mapeo (previamente deben trabajar en conjunto con cartera, para hacer un mapeo entre las instituciones que se tienen como opciones en el cierre y el catalogo, de lo contrario el equipo de Lunaro no podrá hacer la extracción).</t>
  </si>
  <si>
    <t>TASA_INTERES_EFECTIVA</t>
  </si>
  <si>
    <t xml:space="preserve">Tasa de interés anual utilizada para el cálculo de las reservas </t>
  </si>
  <si>
    <t>Consulta SAF/ Cierre cartera Excel Comercial/Report Server</t>
  </si>
  <si>
    <t>En operaciones se hace el cálculo de Tasa Efectiva, por favor identifiquen de donde se puede tomar.</t>
  </si>
  <si>
    <t>RESERVAS_ADICIONALES</t>
  </si>
  <si>
    <t>Saldo de Reservas adicionales del crédito al periodo de calificación</t>
  </si>
  <si>
    <t>Este dato se refiere al monto en pesos de las estimaciones adicionales y se calcula de la siguiente manera:  El crédito X tenía intereses devengados de $68,676.18 cuando pasó a cartera vencida.
Para agosto de 2024, los exigibles eran de $43,758.55.
El Porcentaje de Estimación (PE) es de 0.5280, dado que la reserva en agosto fue de $690,257.44 y el saldo era de $1,307,204.73. Esto se obtiene dividiendo:
$690,257.44 / $1,307,204.73 = 0.5280
Las estimaciones adicionales se calculan restando los exigibles de los intereses devengados y multiplicando el resultado por el PE:
$68,676.18 - ($43,758.55 * 0.5280) = $45,569.88
Por lo tanto, las estimaciones adicionales son $45,569.88</t>
  </si>
  <si>
    <t>Resta indicar la fuente de todos los datos necesarios para el calculo</t>
  </si>
  <si>
    <t xml:space="preserve">Intereses devengados es el dato en la columna "INTERESES_DEVENGADOS_NO_PAGADOS" de la hoja "MOVIMIENTOS"  del cierre comercial que tenía el crédito al momento de caer en cartera vencida. Favor de corroborar con el área de cartera.
Los exigible es el dato en la Columna "INT-VIGENTE" de la hoja "SALDOS". Favor de corroborar con el área de cartera. 
Reserva es el dato RESERVA_PROYECTO explicado en este mismo layout.
Saldo es el dato en la Columna "SALDO CONTABLE" de la hoja "SALDOS". Favor de corroborar con el área de cartera. </t>
  </si>
  <si>
    <t>VALOR_MITIGANTE</t>
  </si>
  <si>
    <t>Importe del mitigante para ajustar la exposición a considerar en los requerimientos de capital</t>
  </si>
  <si>
    <t>Corresponde al resultado de aplicar, a la Exposición al Incumplimiento, el ajuste de los mitigantes para requerimiento de capital.
Pero como ningun crédito de nosotros cuentan con mitigante, el valor es igual a al valor de exposición al imcumplimiento total.  Exposición al imcumplimiento total = 519851.25
EXPOSICIÓN AJUSTADA POR MITIGANTES = 519851.25</t>
  </si>
  <si>
    <t>Indicar de donde obtener el valor de exposicion al incumplimiento total</t>
  </si>
  <si>
    <t>La Exposición Total es el Saldo Insoluto que en el cierre de cartera comercial se encuentra en la pestaña "Saldos" en la columna "Saldo Contable".</t>
  </si>
  <si>
    <t>INTERES_FUERA_BALANCE</t>
  </si>
  <si>
    <t>Intereses devengados no cobrados con riesgo de crédito en etapa 3 y registrados en cuentas de orden</t>
  </si>
  <si>
    <t>Se obtiene el monto de los intereses devengados al momento en que el crédito pasa a cartera vencida. Para agosto de 2024, los exigibles eran de $43,758.55.</t>
  </si>
  <si>
    <t>ANEXO 19</t>
  </si>
  <si>
    <t>POR_EXPOS_29_INST_BAN</t>
  </si>
  <si>
    <t>Porcentaje de exposiciones con un máximo de 29 días de atraso con entidades financieras bancarias en los últimos 12 meses</t>
  </si>
  <si>
    <t>El porcentaje de exposiciones satisfactorias (de 1 a 29 días de atraso) con instituciones financieras bancarias en los últimos 12 meses.
Es el dato BK12PCTSAT que nos comparte buró en las consultas de califica
Para aquellos acreditados en los que dentro de la sección de puntajes se encuentran dentro del rango de "Sin información", se deberá anotar -99 (menos noventa y nueve). Ejemplo: .950000
O sin informacion -99</t>
  </si>
  <si>
    <t>Indicar la regla o mapeo a considerar</t>
  </si>
  <si>
    <t>No se debe poblar. Bw obtendrá el valor directamente del Califica Comercial.</t>
  </si>
  <si>
    <t>VP_FEGP</t>
  </si>
  <si>
    <t>Valor presente del Flujo de Efectivo Generado por el Proyecto, descontado con la tasa de interés del crédito</t>
  </si>
  <si>
    <t>De acuerdo con el “Catálogo Puntaje para Cálculo de PE".
Rango | Puntos
Etapa pre-operativa | 29
Etapa operativa | 41   Sabemos que el crédito esta en estapa operativa ingresamos 41</t>
  </si>
  <si>
    <t>Actualmente no exite fuente, nosotros lo calculamos con una herramienta y lo ingresamos de manera manual a nuestra herramienta de trabajo</t>
  </si>
  <si>
    <t>ETAPA_PROYECTO</t>
  </si>
  <si>
    <t>Etapa_Proyecto_BW</t>
  </si>
  <si>
    <t>Etapa del Proyecto</t>
  </si>
  <si>
    <t>Columna "ETAPA" de la hoja "SALDOS". Favor de corroborar con el área de cartera.</t>
  </si>
  <si>
    <t>SOBRECOSTO</t>
  </si>
  <si>
    <t>Sobrecosto total del proyecto</t>
  </si>
  <si>
    <r>
      <t xml:space="preserve"> Deberán considerarse todos los costos adicionales que se generen como resultado del retraso o desarrollo de la obra, así como los que se deriven de un retraso en la operación o puesta en marcha del proyecto. Para dichos efectos, se deberán considerar el sobrecosto originado por retraso de la obra, el cual es el monto derivado de penalizaciones establecidas como consecuencia del retraso; servicios de deuda derivados del retraso del contrato, así como cualquier costo adicional generado por el retraso de la obra.
Para efectos de lo anterior, se deberán determinar las causas del retraso, debiendo detallar los costos que tengan un impacto en la obra. Cuando existan garantías a favor de la Institución acreedora para hacer frente a los costos derivados del retraso de obra, de tal forma que la Institución no haga frente a dicho costo, se podrá restar el monto de la garantía al sobrecosto por retraso de la obra.   </t>
    </r>
    <r>
      <rPr>
        <b/>
        <sz val="10"/>
        <color rgb="FF000000"/>
        <rFont val="Aptos Narrow"/>
        <family val="2"/>
        <scheme val="minor"/>
      </rPr>
      <t>Se mandan inicial mente en 0.0 y en la actualizacion trimestral se van actualizando</t>
    </r>
  </si>
  <si>
    <t>INGRESOS_PROPIOS_PROY</t>
  </si>
  <si>
    <t>Flujos de efectivo, derechos de cobro o ingresos generados por el proyecto calculados con base en el precio de los servicios para cada período</t>
  </si>
  <si>
    <t>Flujos de efectivo, derechos de cobro o ingresos generados por el proyecto calculados con base en el precio de los servicios para cada período. Podrá considerarse como parte de los ingresos el monto erogado por fuentes alternas de pago o facilidades de liquidez especificadas en los diversos contratos, siempre y cuando no se refiera a líneas de crédito adicionales otorgadas por la institución al mismo acreditado.</t>
  </si>
  <si>
    <t>GASTOS_TOTALES_PROY</t>
  </si>
  <si>
    <t>Gastos de operación, conservación y mantenimiento, las comisiones financieras y los gastos de colocación, contraprestación, honorarios fiduciarios, entre otros</t>
  </si>
  <si>
    <t xml:space="preserve">Gastos de operación, conservación y mantenimiento, las comisiones financieras y los gastos de colocación, contraprestación, honorarios fiduciarios, entre otros. </t>
  </si>
  <si>
    <t>IMPACTO_FISCAL_PROY</t>
  </si>
  <si>
    <t>Impuesto Sobre la Renta según el régimen de depreciación del proyecto conforme a lo que determine la Secretaría de Hacienda y Crédito Público. Considerar el monto de cualquier otro tipo de impuesto aplicable</t>
  </si>
  <si>
    <t>Impuesto Sobre la Renta según el régimen de depreciación del proyecto conforme a lo que determine la Secretaría de Hacienda y Crédito Público. Considerar el monto de cualquier otro tipo de impuesto aplicable.</t>
  </si>
  <si>
    <t>PAGO_DEDUDA_12MESES</t>
  </si>
  <si>
    <t>Pago de principal e intereses a realizar por el acreditado durante los siguientes 12 meses a partir de la fecha de calificación</t>
  </si>
  <si>
    <t>Se deberá calcular el pago de deuda de los siguientes 12 meses de acuerdo a lo establecido en el Anexo 19 de la CUB. Es la suma de los siguientes gastos que el acreditado incurre durante los primeros 12 meses del crédito: comisiones, seguros y fianzas, así como los intereses pagados correspondientes al crédito puente otorgado por ION.
Deuda 12 meses = 543660 + 25911.89 + 27975.34 + 30846.22 + 32625.63 + 34405.04 + 36561.85 + 37594.68 + 38771.19 + 39981.12 + 40714.12 + 42439.4 + 45293.9 = 976780.38</t>
  </si>
  <si>
    <t>En SAF no se registra las fianzas, indicar si se debe tomar de alguna otra fuente</t>
  </si>
  <si>
    <t>VENTAS_NETAS_INGRESOS</t>
  </si>
  <si>
    <t>Ventas netas o ingresos Netos</t>
  </si>
  <si>
    <t>Se toma de las ventas netas o ingresos netos que reporta el acreditado en sus estados financieros anuales.
El dato no puede ser cero, por lo que en caso de  que se trate de una persona física, una persona moral sin estados financieros disponibles, o si el valor de las ventas netas en sus EEFF es cero, se procede a realizar una proyección utilizando su flujo de crédito con la siguiente fórmula:
VENTAS NETAS = (Valor total del proyecto /  Plazo en meses para el pago del crédito) * 12 
Donde: 
Valor total del proyecto =  Numero de viviendas * Valor de viviendas                                      
VENTAS NETAS = (Valor total del proyecto /  Plazo en meses para el pago del crédito) * 12 
VENTAS NETAS = (33456000 /  23) * 12  = 17455304.35</t>
  </si>
  <si>
    <t>Indicar de donde se obtiene el VPN</t>
  </si>
  <si>
    <t>RESERVA_PROYECTO</t>
  </si>
  <si>
    <t>Monto de la reserva de efectivo para descontar al saldo insoluto</t>
  </si>
  <si>
    <t>Se calcula en función de la etapa de riesgo de crédito del proyecto:
1.- Si el proyecto está en etapa 3, se identifican los meses desde que pasó a esta etapa y se aplican los porcentajes correspondientes según el siguiente catálogo:
Meses | Porcentaje
0 | 45%
3.00001 | 55%
6.00001 | 62%
9.00001 | 66%
12.00001 | 72%
15.00001 | 75%
18.00001 | 78%
21.00001 | 81%
24.00001 | 88%
27.00001 | 91%
30.00001 | 94%
33.00001 | 96%
36.00001 | 100%
2.- Si el proyecto no está en etapa 3, se utiliza el valor de la calificación (puntaje crediticio total) para determinar los porcentajes de reserva, de acuerdo con el siguiente catálogo:
Meses | Porcentaje
0 | 34.47%
440 | 31.91%
458 | 28.84%
476 | 25.5%
494 | 22.01%
512 | 18.55%
530 | 15.27%
548 | 12.3%
566 | 9.72%
584 | 7.72%
599 | 6.19%
614 | 4.93%
629 | 3.49%
659| 2.41%   'Tomamos el crédito y vemos que tiene etapa 1, por lo que vamos a usar su valor de calificación.
El crédito tiene 719.4 de calificación total, por lo que buscamos entre que valores del catálogo está, como está entre:
719 | .87%
735 | .7%
Le corresponde el .87%, esto lo multiplicamos con el saldo del crédito:
Reserva = .87% * 2003536.68 = 17430.769116
El valor de reserva es 17430.77
674 | 1.88%
689 | 1.46%
704 | 1.14%
719 | .87%
735 | .7%
745 | .55%
760 | .5%
Una vez que se obtiene el porcentaje correspondiente, este se multiplica por el saldo del crédito vigente para calcular el monto de la reserva del proyecto.</t>
  </si>
  <si>
    <t>Indicar la regla o mapeo a considerar, si bien, indican que riesgos lo llena no puede quedar como un campo a llenar posterior a la generación</t>
  </si>
  <si>
    <t>Si</t>
  </si>
  <si>
    <t>VP_FEGP_12MESES</t>
  </si>
  <si>
    <t>Valor presente del Flujo de Efectivo Generado por el Proyecto, descontado con la tasa de interés del crédito con plazo 12 meses</t>
  </si>
  <si>
    <t>El dato se obtiene a partir de los Flujos de Reservas correspondientes a los primeros 12 meses desde la firma del crédito. De estos, solo se consideran aquellos flujos que estén en etapa operativa, es decir, desde el momento en que se ha liberado al menos una vivienda individualizada o cuando la edificación alcanza el 100% de avance.
Una vez identificados los meses en etapa operativa, se trae a Valor Presente Neto (VPN) sus flujo de reservas, con la formula.
 Finalmente, se suman todos los valores presentes netos de estos flujos para obtener el valor total ajustado a su presente   ******************************************                                                            VPN=  Flujo de reservas   /  (1+Tasa mensual del proyecto) ^ Número de mes
Tasa mensual = 6% / 12 = .005
La etapa operativa inicio en el mes 8
VPN8=  11213645.22   /  (1.005) ^ 8 = 10775025.772578
VPN9=  10385057.87   /  (1.005) ^ 9 = 9929202.43572718
VPN10=  11216253.75   /  (1.005) ^ 10 = 10670559.9073871
VPN11=  6644296.23   /  (1.005) ^ 11 = 6289589.58784593
VPN12=  10741292.11   /  (1.005) ^ 12 = 10117280.3933204
Sumatoria de todos los VPN = 47781658.0968586
Valor reporte a dos decimales 47781658.10</t>
  </si>
  <si>
    <t>ANEXO 21</t>
  </si>
  <si>
    <t>POR_PAGO_TIEMPO_INSTCRED</t>
  </si>
  <si>
    <t>Porcentaje de pagos en tiempo con entidades financieras bancarias</t>
  </si>
  <si>
    <t>El dato BK12_PCT_PROMT se obtiene mediante una sumatoria de todas las columnas que hacen referencia a esta calificación en el reporte proporcionado por el área de cartera. La sumatoria se realiza para cada RFC presente en el reporte, lo cual nos permite consolidar el porcentaje correspondiente a cada cliente o entidad</t>
  </si>
  <si>
    <t>Indicar que columnas son las que se deben considerar</t>
  </si>
  <si>
    <t>Se utiliza el dato llamado BK12PCTPROMT del archivo de la calificación de buró de crédito, y se toma su valor correspondiente según los siguientes rangos:
BK12PCTPROMT    Valor
0                                    77
0.65                           94
0.83                           108
0.91                          120
0.95                           133
0.98                            157
--                                    138
Actualmente no exite fuente, nosotros lo calculamos con una herramienta y lo ingresamos de manera manual a nuestra herramienta de trabajo</t>
  </si>
  <si>
    <t>CREDITO_PYME</t>
  </si>
  <si>
    <t>PFFP Calif como Pymes</t>
  </si>
  <si>
    <t>Indicador si el crédito fue calificado por default como PYME</t>
  </si>
  <si>
    <t>Validar originación</t>
  </si>
  <si>
    <t>Indicar la fuente y la regla o mapeo a considerar</t>
  </si>
  <si>
    <t>HITSIC</t>
  </si>
  <si>
    <t>HIT en SIC</t>
  </si>
  <si>
    <t>La SIC regresó el reporte y se calificó conforme las variables proporcionadas</t>
  </si>
  <si>
    <r>
      <t xml:space="preserve">Dependiendo de los datos que nos comparte Buró de Crédito en las consultas de calificación, revisamos y clasificamos la información utilizando las siguientes claves:
Clave | Descripción
1 | La SIC regresó el reporte y se calificó conforme a esta información (HIT EN SIC)
2 | La SIC no regresó el reporte y no se calificó conforme a esta información (NO HIT EN SIC). </t>
    </r>
    <r>
      <rPr>
        <b/>
        <sz val="10"/>
        <color rgb="FF000000"/>
        <rFont val="Aptos Narrow"/>
        <family val="2"/>
        <scheme val="minor"/>
      </rPr>
      <t>Si se tuvo respuesta del crédito en Buro (hizo hit) se le asigna 1</t>
    </r>
  </si>
  <si>
    <t>DOMICILIO_EXT</t>
  </si>
  <si>
    <t>EntidadAcreditadoDomExt</t>
  </si>
  <si>
    <t>Nivel de riesgo cuando la persona tiene domicilio en el extranjero</t>
  </si>
  <si>
    <t>Pantalla Comercial/SAF/Minds</t>
  </si>
  <si>
    <t>No tenemos conocimiento de como lo pueden identificar en sistema. Por favor validen con TI, Cartera y PLD. No se encuentra en la pantalla comercial.</t>
  </si>
  <si>
    <t>ANEXO 22</t>
  </si>
  <si>
    <t>GASTOSINTERESES</t>
  </si>
  <si>
    <t>Gastos por intereses anuales</t>
  </si>
  <si>
    <t>Si está en la pantalla, con el nombre de "Gastos financieros"</t>
  </si>
  <si>
    <t>PRESTAMOSCP</t>
  </si>
  <si>
    <t>Prestamos a Corto Plazo</t>
  </si>
  <si>
    <t>Si está en la pantalla, con el nombre de "Pasivo circulante"</t>
  </si>
  <si>
    <t>PASIVOTOTAL</t>
  </si>
  <si>
    <t>Pasivo total del estado financiero de la entidad</t>
  </si>
  <si>
    <t>Si está en la pantalla, es la suma de los siguientes conceptos:
"Pasivo circulante" + "Pasivo a Largo Plazo"</t>
  </si>
  <si>
    <t>IND_EST_ECONOMICA</t>
  </si>
  <si>
    <t>Ind_Est_Eco_BW</t>
  </si>
  <si>
    <t>Volatilidad de las variaciones anuales del Producto Interno Bruto de la actividad económica en la que se desempeña la empresa</t>
  </si>
  <si>
    <t>Dependiendo los valores en la consulta de califica, se envía los datos siguientes.
 Para -999 se envía 124
Para 0.7 se envía 120
Y para cero se envía 121</t>
  </si>
  <si>
    <t>Por el momento no existe fuente. Todos serían sin información (-999) hasta que contemos con la tabla donde se guardará la info que se usa para este cálculo.</t>
  </si>
  <si>
    <t>INT_CAR_COMPETENCIA</t>
  </si>
  <si>
    <t>Int_Car_Competencia_BW</t>
  </si>
  <si>
    <t>Evaluar los principales factores que tienen un impacto en las principales actividades de la industria tomando en cuenta: el crecimiento y desempeño de la industria, competidores clave, participación en el mercado, forma en que se asignan los precios y condiciones prevalecientes en el mercado</t>
  </si>
  <si>
    <t>Para todos los créditos en Anexo 22 aplica el siguiente valor de catálogo:
"Las características de la industria reflejan tendencias mixtas en crecimiento y en los indicadores financieros clave, los márgenes de utilidad y la competitividad. La industria es considerada con cierto grado de sensibilidad a los cambios en la tecnología".</t>
  </si>
  <si>
    <t>CLIENTES</t>
  </si>
  <si>
    <t>Clientes_BW</t>
  </si>
  <si>
    <t>Nivel de flexibilidad de la empresa para diversificar sus clientes dentro de la actividad económica que esta desarrolla.</t>
  </si>
  <si>
    <t>Para todos los créditos en Anexo 22 aplica el siguiente valor de catálogo:
"Menos del 15% de las ventas totales anuales de la empresa están concentradas en los tres principales clientes al cierre del ejercicio anual".</t>
  </si>
  <si>
    <t>ESTRUC_ORG</t>
  </si>
  <si>
    <t>Estruc_Org_BW</t>
  </si>
  <si>
    <t>Consistencia de la estructura organizacional con los objetivos del negocio.</t>
  </si>
  <si>
    <t>GARANTIA</t>
  </si>
  <si>
    <t>TIPO_GARANTIA</t>
  </si>
  <si>
    <t>Tipo de Garantía</t>
  </si>
  <si>
    <t>Tipo de la garantía para respaldar el crédito</t>
  </si>
  <si>
    <t>TIP_GARANTIA (PR_TIPOS_GARANTIA)</t>
  </si>
  <si>
    <t>En SAF solo se tiene garantia hipotecaria y fiduciaria, indicar vs catalogo de layout que valores aplican</t>
  </si>
  <si>
    <t>Por favor ustedes realicen el mapeo solicitado de acuerdo al catálogo y lo que comenta el proveedor que se tiene en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</si>
</sst>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0"/>
      <color rgb="FFFFFFFF"/>
      <name val="Aptos Narrow"/>
      <family val="2"/>
      <scheme val="minor"/>
    </font>
    <font>
      <sz val="10"/>
      <color theme="1"/>
      <name val="Aptos Narrow"/>
      <family val="2"/>
      <scheme val="minor"/>
    </font>
    <font>
      <sz val="10"/>
      <color rgb="FF000000"/>
      <name val="Aptos Narrow"/>
      <family val="2"/>
      <scheme val="minor"/>
    </font>
    <font>
      <b/>
      <sz val="10"/>
      <color rgb="FF000000"/>
      <name val="Aptos Narrow"/>
      <family val="2"/>
      <scheme val="minor"/>
    </font>
    <font>
      <sz val="8"/>
      <name val="Aptos Narrow"/>
      <family val="2"/>
      <scheme val="minor"/>
    </font>
  </fonts>
  <fills count="7">
    <fill>
      <patternFill patternType="none"/>
    </fill>
    <fill>
      <patternFill patternType="gray125"/>
    </fill>
    <fill>
      <patternFill patternType="solid">
        <fgColor rgb="FF000000"/>
        <bgColor rgb="FF000000"/>
      </patternFill>
    </fill>
    <fill>
      <patternFill patternType="solid">
        <fgColor rgb="FFE2EFDA"/>
        <bgColor rgb="FF000000"/>
      </patternFill>
    </fill>
    <fill>
      <patternFill patternType="solid">
        <fgColor rgb="FF00B050"/>
        <bgColor rgb="FF000000"/>
      </patternFill>
    </fill>
    <fill>
      <patternFill patternType="solid">
        <fgColor rgb="FFFFFF0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0" xfId="0" applyFont="1" applyFill="1" applyAlignment="1">
      <alignment horizontal="center"/>
    </xf>
    <xf numFmtId="0" fontId="2" fillId="0" borderId="0" xfId="0" applyFont="1"/>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2" fillId="0" borderId="1" xfId="0" applyFont="1" applyBorder="1"/>
    <xf numFmtId="0" fontId="1" fillId="4" borderId="0" xfId="0" applyFont="1" applyFill="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wrapText="1"/>
    </xf>
    <xf numFmtId="0" fontId="2" fillId="0" borderId="1" xfId="0" applyFont="1" applyBorder="1" applyAlignment="1">
      <alignment horizontal="center" wrapText="1"/>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2" fillId="0"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A6EB3-75FA-4E8E-B0D5-F5169E0BEDA2}">
  <dimension ref="A1:L61"/>
  <sheetViews>
    <sheetView tabSelected="1" topLeftCell="A48" zoomScale="72" workbookViewId="0">
      <pane xSplit="1" topLeftCell="B57" activePane="topRight" state="frozen"/>
      <selection pane="topRight" activeCell="K7" sqref="K7"/>
    </sheetView>
  </sheetViews>
  <sheetFormatPr defaultColWidth="9.85546875" defaultRowHeight="13.5"/>
  <cols>
    <col min="1" max="1" width="12.5703125" style="2" bestFit="1" customWidth="1"/>
    <col min="2" max="2" width="6.5703125" style="2" bestFit="1" customWidth="1"/>
    <col min="3" max="3" width="5.7109375" style="2" bestFit="1" customWidth="1"/>
    <col min="4" max="4" width="31.140625" style="2" bestFit="1" customWidth="1"/>
    <col min="5" max="5" width="10.7109375" style="2" bestFit="1" customWidth="1"/>
    <col min="6" max="6" width="21.28515625" style="2" bestFit="1" customWidth="1"/>
    <col min="7" max="7" width="22.5703125" style="2" bestFit="1" customWidth="1"/>
    <col min="8" max="8" width="11.85546875" style="2" bestFit="1" customWidth="1"/>
    <col min="9" max="9" width="53.42578125" style="2" customWidth="1"/>
    <col min="10" max="10" width="48.7109375" style="2" customWidth="1"/>
    <col min="11" max="11" width="46.28515625" style="2" customWidth="1"/>
    <col min="12" max="16384" width="9.85546875" style="2"/>
  </cols>
  <sheetData>
    <row r="1" spans="1:11">
      <c r="A1" s="1" t="s">
        <v>0</v>
      </c>
      <c r="B1" s="1" t="s">
        <v>1</v>
      </c>
      <c r="C1" s="1" t="s">
        <v>2</v>
      </c>
      <c r="D1" s="1" t="s">
        <v>3</v>
      </c>
      <c r="E1" s="1" t="s">
        <v>4</v>
      </c>
      <c r="F1" s="1" t="s">
        <v>5</v>
      </c>
      <c r="G1" s="1" t="s">
        <v>6</v>
      </c>
      <c r="H1" s="1" t="s">
        <v>7</v>
      </c>
      <c r="I1" s="7" t="s">
        <v>8</v>
      </c>
      <c r="J1" s="7" t="s">
        <v>9</v>
      </c>
      <c r="K1" s="1" t="s">
        <v>10</v>
      </c>
    </row>
    <row r="2" spans="1:11" ht="40.5">
      <c r="A2" s="3" t="s">
        <v>11</v>
      </c>
      <c r="B2" s="3">
        <v>11</v>
      </c>
      <c r="C2" s="3" t="s">
        <v>12</v>
      </c>
      <c r="D2" s="3" t="s">
        <v>13</v>
      </c>
      <c r="E2" s="3" t="s">
        <v>14</v>
      </c>
      <c r="F2" s="3" t="s">
        <v>15</v>
      </c>
      <c r="G2" s="3" t="s">
        <v>16</v>
      </c>
      <c r="H2" s="3" t="s">
        <v>17</v>
      </c>
      <c r="I2" s="4" t="s">
        <v>18</v>
      </c>
      <c r="J2" s="5" t="s">
        <v>19</v>
      </c>
      <c r="K2" s="13" t="s">
        <v>20</v>
      </c>
    </row>
    <row r="3" spans="1:11" ht="54">
      <c r="A3" s="3" t="s">
        <v>11</v>
      </c>
      <c r="B3" s="3">
        <v>18</v>
      </c>
      <c r="C3" s="3" t="s">
        <v>12</v>
      </c>
      <c r="D3" s="3" t="s">
        <v>21</v>
      </c>
      <c r="E3" s="3" t="s">
        <v>14</v>
      </c>
      <c r="F3" s="3" t="s">
        <v>22</v>
      </c>
      <c r="G3" s="8" t="s">
        <v>23</v>
      </c>
      <c r="H3" s="3" t="s">
        <v>17</v>
      </c>
      <c r="I3" s="5" t="s">
        <v>24</v>
      </c>
      <c r="J3" s="5" t="s">
        <v>25</v>
      </c>
      <c r="K3" s="13" t="s">
        <v>26</v>
      </c>
    </row>
    <row r="4" spans="1:11" ht="40.5">
      <c r="A4" s="3" t="s">
        <v>11</v>
      </c>
      <c r="B4" s="3">
        <v>27</v>
      </c>
      <c r="C4" s="3" t="s">
        <v>12</v>
      </c>
      <c r="D4" s="3" t="s">
        <v>27</v>
      </c>
      <c r="E4" s="3"/>
      <c r="F4" s="3"/>
      <c r="G4" s="8" t="s">
        <v>28</v>
      </c>
      <c r="H4" s="3" t="s">
        <v>29</v>
      </c>
      <c r="I4" s="5" t="s">
        <v>30</v>
      </c>
      <c r="J4" s="5" t="s">
        <v>19</v>
      </c>
      <c r="K4" s="6" t="s">
        <v>31</v>
      </c>
    </row>
    <row r="5" spans="1:11" ht="27">
      <c r="A5" s="3" t="s">
        <v>11</v>
      </c>
      <c r="B5" s="3">
        <v>30</v>
      </c>
      <c r="C5" s="3" t="s">
        <v>12</v>
      </c>
      <c r="D5" s="3" t="s">
        <v>32</v>
      </c>
      <c r="E5" s="3"/>
      <c r="F5" s="3"/>
      <c r="G5" s="8" t="s">
        <v>33</v>
      </c>
      <c r="H5" s="3" t="s">
        <v>29</v>
      </c>
      <c r="I5" s="5" t="s">
        <v>30</v>
      </c>
      <c r="J5" s="5" t="s">
        <v>34</v>
      </c>
      <c r="K5" s="6" t="s">
        <v>31</v>
      </c>
    </row>
    <row r="6" spans="1:11" ht="81">
      <c r="A6" s="3" t="s">
        <v>11</v>
      </c>
      <c r="B6" s="3">
        <v>31</v>
      </c>
      <c r="C6" s="3" t="s">
        <v>12</v>
      </c>
      <c r="D6" s="3" t="s">
        <v>35</v>
      </c>
      <c r="E6" s="3"/>
      <c r="F6" s="3"/>
      <c r="G6" s="8" t="s">
        <v>36</v>
      </c>
      <c r="H6" s="3" t="s">
        <v>29</v>
      </c>
      <c r="I6" s="5" t="s">
        <v>18</v>
      </c>
      <c r="J6" s="5" t="s">
        <v>37</v>
      </c>
      <c r="K6" s="9" t="s">
        <v>38</v>
      </c>
    </row>
    <row r="7" spans="1:11" ht="67.5" customHeight="1">
      <c r="A7" s="3" t="s">
        <v>39</v>
      </c>
      <c r="B7" s="3">
        <v>22</v>
      </c>
      <c r="C7" s="3" t="s">
        <v>12</v>
      </c>
      <c r="D7" s="3" t="s">
        <v>40</v>
      </c>
      <c r="E7" s="3"/>
      <c r="F7" s="3"/>
      <c r="G7" s="8" t="s">
        <v>41</v>
      </c>
      <c r="H7" s="3" t="s">
        <v>17</v>
      </c>
      <c r="I7" s="5" t="s">
        <v>42</v>
      </c>
      <c r="J7" s="5" t="s">
        <v>43</v>
      </c>
      <c r="K7" s="13" t="s">
        <v>44</v>
      </c>
    </row>
    <row r="8" spans="1:11" ht="67.5" customHeight="1">
      <c r="A8" s="3" t="s">
        <v>39</v>
      </c>
      <c r="B8" s="3">
        <v>23</v>
      </c>
      <c r="C8" s="3" t="s">
        <v>12</v>
      </c>
      <c r="D8" s="3" t="s">
        <v>45</v>
      </c>
      <c r="E8" s="3"/>
      <c r="F8" s="3"/>
      <c r="G8" s="8" t="s">
        <v>46</v>
      </c>
      <c r="H8" s="3" t="s">
        <v>17</v>
      </c>
      <c r="I8" s="5" t="s">
        <v>42</v>
      </c>
      <c r="J8" s="5" t="s">
        <v>43</v>
      </c>
      <c r="K8" s="9" t="s">
        <v>44</v>
      </c>
    </row>
    <row r="9" spans="1:11" ht="67.5">
      <c r="A9" s="3" t="s">
        <v>39</v>
      </c>
      <c r="B9" s="3">
        <v>30</v>
      </c>
      <c r="C9" s="3" t="s">
        <v>12</v>
      </c>
      <c r="D9" s="3" t="s">
        <v>47</v>
      </c>
      <c r="E9" s="3"/>
      <c r="F9" s="3"/>
      <c r="G9" s="8" t="s">
        <v>48</v>
      </c>
      <c r="H9" s="3" t="s">
        <v>17</v>
      </c>
      <c r="I9" s="5" t="s">
        <v>49</v>
      </c>
      <c r="J9" s="5" t="s">
        <v>50</v>
      </c>
      <c r="K9" s="10" t="s">
        <v>51</v>
      </c>
    </row>
    <row r="10" spans="1:11" ht="27">
      <c r="A10" s="3" t="s">
        <v>39</v>
      </c>
      <c r="B10" s="3">
        <v>32</v>
      </c>
      <c r="C10" s="3" t="s">
        <v>12</v>
      </c>
      <c r="D10" s="3" t="s">
        <v>52</v>
      </c>
      <c r="E10" s="3" t="s">
        <v>14</v>
      </c>
      <c r="F10" s="3" t="s">
        <v>53</v>
      </c>
      <c r="G10" s="8" t="s">
        <v>54</v>
      </c>
      <c r="H10" s="3" t="s">
        <v>17</v>
      </c>
      <c r="I10" s="5" t="s">
        <v>55</v>
      </c>
      <c r="J10" s="5" t="s">
        <v>56</v>
      </c>
      <c r="K10" s="9" t="s">
        <v>57</v>
      </c>
    </row>
    <row r="11" spans="1:11" ht="63">
      <c r="A11" s="3" t="s">
        <v>58</v>
      </c>
      <c r="B11" s="3">
        <v>3</v>
      </c>
      <c r="C11" s="3" t="s">
        <v>12</v>
      </c>
      <c r="D11" s="3" t="s">
        <v>59</v>
      </c>
      <c r="E11" s="3"/>
      <c r="F11" s="3"/>
      <c r="G11" s="8" t="s">
        <v>60</v>
      </c>
      <c r="H11" s="3" t="s">
        <v>29</v>
      </c>
      <c r="I11" s="5" t="s">
        <v>61</v>
      </c>
      <c r="J11" s="5" t="s">
        <v>62</v>
      </c>
      <c r="K11" s="9" t="s">
        <v>63</v>
      </c>
    </row>
    <row r="12" spans="1:11" ht="40.5">
      <c r="A12" s="3" t="s">
        <v>58</v>
      </c>
      <c r="B12" s="3">
        <v>4</v>
      </c>
      <c r="C12" s="3" t="s">
        <v>12</v>
      </c>
      <c r="D12" s="3" t="s">
        <v>64</v>
      </c>
      <c r="E12" s="3"/>
      <c r="F12" s="3"/>
      <c r="G12" s="8" t="s">
        <v>65</v>
      </c>
      <c r="H12" s="3" t="s">
        <v>29</v>
      </c>
      <c r="I12" s="5" t="s">
        <v>66</v>
      </c>
      <c r="J12" s="5" t="s">
        <v>62</v>
      </c>
      <c r="K12" s="9" t="s">
        <v>63</v>
      </c>
    </row>
    <row r="13" spans="1:11" ht="40.5">
      <c r="A13" s="3" t="s">
        <v>58</v>
      </c>
      <c r="B13" s="3">
        <v>5</v>
      </c>
      <c r="C13" s="3" t="s">
        <v>12</v>
      </c>
      <c r="D13" s="3" t="s">
        <v>67</v>
      </c>
      <c r="E13" s="3"/>
      <c r="F13" s="3"/>
      <c r="G13" s="8" t="s">
        <v>68</v>
      </c>
      <c r="H13" s="3" t="s">
        <v>29</v>
      </c>
      <c r="I13" s="5" t="s">
        <v>66</v>
      </c>
      <c r="J13" s="5" t="s">
        <v>62</v>
      </c>
      <c r="K13" s="9" t="s">
        <v>63</v>
      </c>
    </row>
    <row r="14" spans="1:11" ht="40.5">
      <c r="A14" s="3" t="s">
        <v>58</v>
      </c>
      <c r="B14" s="3">
        <v>6</v>
      </c>
      <c r="C14" s="3" t="s">
        <v>12</v>
      </c>
      <c r="D14" s="3" t="s">
        <v>69</v>
      </c>
      <c r="E14" s="3"/>
      <c r="F14" s="3"/>
      <c r="G14" s="8" t="s">
        <v>70</v>
      </c>
      <c r="H14" s="3" t="s">
        <v>29</v>
      </c>
      <c r="I14" s="5" t="s">
        <v>66</v>
      </c>
      <c r="J14" s="5" t="s">
        <v>62</v>
      </c>
      <c r="K14" s="9" t="s">
        <v>63</v>
      </c>
    </row>
    <row r="15" spans="1:11" ht="40.5">
      <c r="A15" s="3" t="s">
        <v>58</v>
      </c>
      <c r="B15" s="3">
        <v>7</v>
      </c>
      <c r="C15" s="3" t="s">
        <v>12</v>
      </c>
      <c r="D15" s="3" t="s">
        <v>71</v>
      </c>
      <c r="E15" s="3"/>
      <c r="F15" s="3"/>
      <c r="G15" s="8" t="s">
        <v>72</v>
      </c>
      <c r="H15" s="3" t="s">
        <v>29</v>
      </c>
      <c r="I15" s="5" t="s">
        <v>66</v>
      </c>
      <c r="J15" s="5" t="s">
        <v>62</v>
      </c>
      <c r="K15" s="9" t="s">
        <v>63</v>
      </c>
    </row>
    <row r="16" spans="1:11" ht="94.5">
      <c r="A16" s="3" t="s">
        <v>58</v>
      </c>
      <c r="B16" s="3">
        <v>8</v>
      </c>
      <c r="C16" s="3" t="s">
        <v>12</v>
      </c>
      <c r="D16" s="3" t="s">
        <v>73</v>
      </c>
      <c r="E16" s="3"/>
      <c r="F16" s="3"/>
      <c r="G16" s="8" t="s">
        <v>74</v>
      </c>
      <c r="H16" s="3" t="s">
        <v>29</v>
      </c>
      <c r="I16" s="5" t="s">
        <v>66</v>
      </c>
      <c r="J16" s="5" t="s">
        <v>62</v>
      </c>
      <c r="K16" s="9" t="s">
        <v>75</v>
      </c>
    </row>
    <row r="17" spans="1:11" ht="67.5">
      <c r="A17" s="3" t="s">
        <v>58</v>
      </c>
      <c r="B17" s="3">
        <v>10</v>
      </c>
      <c r="C17" s="3" t="s">
        <v>12</v>
      </c>
      <c r="D17" s="3" t="s">
        <v>76</v>
      </c>
      <c r="E17" s="3" t="s">
        <v>14</v>
      </c>
      <c r="F17" s="3" t="s">
        <v>77</v>
      </c>
      <c r="G17" s="8" t="s">
        <v>78</v>
      </c>
      <c r="H17" s="3" t="s">
        <v>17</v>
      </c>
      <c r="I17" s="5" t="s">
        <v>79</v>
      </c>
      <c r="J17" s="5" t="s">
        <v>80</v>
      </c>
      <c r="K17" s="9" t="s">
        <v>81</v>
      </c>
    </row>
    <row r="18" spans="1:11" ht="67.5">
      <c r="A18" s="3" t="s">
        <v>58</v>
      </c>
      <c r="B18" s="3">
        <v>17</v>
      </c>
      <c r="C18" s="3" t="s">
        <v>12</v>
      </c>
      <c r="D18" s="3" t="s">
        <v>82</v>
      </c>
      <c r="E18" s="3" t="s">
        <v>14</v>
      </c>
      <c r="F18" s="3" t="s">
        <v>83</v>
      </c>
      <c r="G18" s="8" t="s">
        <v>84</v>
      </c>
      <c r="H18" s="3" t="s">
        <v>17</v>
      </c>
      <c r="I18" s="5" t="s">
        <v>85</v>
      </c>
      <c r="J18" s="5" t="s">
        <v>86</v>
      </c>
      <c r="K18" s="9" t="s">
        <v>87</v>
      </c>
    </row>
    <row r="19" spans="1:11" ht="40.5">
      <c r="A19" s="3" t="s">
        <v>58</v>
      </c>
      <c r="B19" s="3">
        <v>21</v>
      </c>
      <c r="C19" s="3" t="s">
        <v>12</v>
      </c>
      <c r="D19" s="11" t="s">
        <v>88</v>
      </c>
      <c r="E19" s="3"/>
      <c r="F19" s="3"/>
      <c r="G19" s="8" t="s">
        <v>89</v>
      </c>
      <c r="H19" s="3" t="s">
        <v>17</v>
      </c>
      <c r="I19" s="5" t="s">
        <v>66</v>
      </c>
      <c r="J19" s="5" t="s">
        <v>62</v>
      </c>
      <c r="K19" s="9" t="s">
        <v>90</v>
      </c>
    </row>
    <row r="20" spans="1:11" ht="40.5">
      <c r="A20" s="3" t="s">
        <v>58</v>
      </c>
      <c r="B20" s="3">
        <v>22</v>
      </c>
      <c r="C20" s="3" t="s">
        <v>12</v>
      </c>
      <c r="D20" s="11" t="s">
        <v>91</v>
      </c>
      <c r="E20" s="3"/>
      <c r="F20" s="3"/>
      <c r="G20" s="8" t="s">
        <v>92</v>
      </c>
      <c r="H20" s="3" t="s">
        <v>17</v>
      </c>
      <c r="I20" s="5" t="s">
        <v>66</v>
      </c>
      <c r="J20" s="5" t="s">
        <v>62</v>
      </c>
      <c r="K20" s="9" t="s">
        <v>93</v>
      </c>
    </row>
    <row r="21" spans="1:11" ht="40.5">
      <c r="A21" s="3" t="s">
        <v>58</v>
      </c>
      <c r="B21" s="3">
        <v>23</v>
      </c>
      <c r="C21" s="3" t="s">
        <v>12</v>
      </c>
      <c r="D21" s="11" t="s">
        <v>94</v>
      </c>
      <c r="E21" s="3"/>
      <c r="F21" s="3"/>
      <c r="G21" s="8" t="s">
        <v>95</v>
      </c>
      <c r="H21" s="3" t="s">
        <v>17</v>
      </c>
      <c r="I21" s="5" t="s">
        <v>66</v>
      </c>
      <c r="J21" s="5" t="s">
        <v>62</v>
      </c>
      <c r="K21" s="9" t="s">
        <v>96</v>
      </c>
    </row>
    <row r="22" spans="1:11" ht="40.5">
      <c r="A22" s="3" t="s">
        <v>58</v>
      </c>
      <c r="B22" s="3">
        <v>24</v>
      </c>
      <c r="C22" s="3" t="s">
        <v>12</v>
      </c>
      <c r="D22" s="11" t="s">
        <v>97</v>
      </c>
      <c r="E22" s="3"/>
      <c r="F22" s="3"/>
      <c r="G22" s="8" t="s">
        <v>98</v>
      </c>
      <c r="H22" s="3" t="s">
        <v>17</v>
      </c>
      <c r="I22" s="5" t="s">
        <v>66</v>
      </c>
      <c r="J22" s="5" t="s">
        <v>62</v>
      </c>
      <c r="K22" s="9" t="s">
        <v>99</v>
      </c>
    </row>
    <row r="23" spans="1:11" ht="27">
      <c r="A23" s="3" t="s">
        <v>58</v>
      </c>
      <c r="B23" s="3">
        <v>25</v>
      </c>
      <c r="C23" s="3" t="s">
        <v>12</v>
      </c>
      <c r="D23" s="11" t="s">
        <v>100</v>
      </c>
      <c r="E23" s="3"/>
      <c r="F23" s="3"/>
      <c r="G23" s="8" t="s">
        <v>101</v>
      </c>
      <c r="H23" s="3" t="s">
        <v>17</v>
      </c>
      <c r="I23" s="5" t="s">
        <v>66</v>
      </c>
      <c r="J23" s="5" t="s">
        <v>62</v>
      </c>
      <c r="K23" s="9" t="s">
        <v>102</v>
      </c>
    </row>
    <row r="24" spans="1:11" ht="40.5">
      <c r="A24" s="3" t="s">
        <v>58</v>
      </c>
      <c r="B24" s="3">
        <v>26</v>
      </c>
      <c r="C24" s="3" t="s">
        <v>12</v>
      </c>
      <c r="D24" s="11" t="s">
        <v>103</v>
      </c>
      <c r="E24" s="3"/>
      <c r="F24" s="3"/>
      <c r="G24" s="8" t="s">
        <v>104</v>
      </c>
      <c r="H24" s="3" t="s">
        <v>29</v>
      </c>
      <c r="I24" s="5" t="s">
        <v>66</v>
      </c>
      <c r="J24" s="5" t="s">
        <v>62</v>
      </c>
      <c r="K24" s="9" t="s">
        <v>105</v>
      </c>
    </row>
    <row r="25" spans="1:11" ht="27">
      <c r="A25" s="3" t="s">
        <v>58</v>
      </c>
      <c r="B25" s="3">
        <v>27</v>
      </c>
      <c r="C25" s="3" t="s">
        <v>12</v>
      </c>
      <c r="D25" s="11" t="s">
        <v>106</v>
      </c>
      <c r="E25" s="3"/>
      <c r="F25" s="3"/>
      <c r="G25" s="8" t="s">
        <v>107</v>
      </c>
      <c r="H25" s="3" t="s">
        <v>17</v>
      </c>
      <c r="I25" s="5" t="s">
        <v>66</v>
      </c>
      <c r="J25" s="5" t="s">
        <v>62</v>
      </c>
      <c r="K25" s="9" t="s">
        <v>108</v>
      </c>
    </row>
    <row r="26" spans="1:11" ht="40.5">
      <c r="A26" s="3" t="s">
        <v>58</v>
      </c>
      <c r="B26" s="3">
        <v>28</v>
      </c>
      <c r="C26" s="3" t="s">
        <v>12</v>
      </c>
      <c r="D26" s="11" t="s">
        <v>109</v>
      </c>
      <c r="E26" s="3"/>
      <c r="F26" s="3"/>
      <c r="G26" s="8" t="s">
        <v>110</v>
      </c>
      <c r="H26" s="3" t="s">
        <v>17</v>
      </c>
      <c r="I26" s="5" t="s">
        <v>66</v>
      </c>
      <c r="J26" s="5" t="s">
        <v>62</v>
      </c>
      <c r="K26" s="9" t="s">
        <v>111</v>
      </c>
    </row>
    <row r="27" spans="1:11" ht="27">
      <c r="A27" s="3" t="s">
        <v>58</v>
      </c>
      <c r="B27" s="3">
        <v>29</v>
      </c>
      <c r="C27" s="3" t="s">
        <v>12</v>
      </c>
      <c r="D27" s="11" t="s">
        <v>112</v>
      </c>
      <c r="E27" s="3"/>
      <c r="F27" s="3"/>
      <c r="G27" s="8" t="s">
        <v>113</v>
      </c>
      <c r="H27" s="3" t="s">
        <v>17</v>
      </c>
      <c r="I27" s="5" t="s">
        <v>66</v>
      </c>
      <c r="J27" s="5" t="s">
        <v>62</v>
      </c>
      <c r="K27" s="9" t="s">
        <v>114</v>
      </c>
    </row>
    <row r="28" spans="1:11" ht="54">
      <c r="A28" s="3" t="s">
        <v>58</v>
      </c>
      <c r="B28" s="3">
        <v>30</v>
      </c>
      <c r="C28" s="3" t="s">
        <v>12</v>
      </c>
      <c r="D28" s="11" t="s">
        <v>115</v>
      </c>
      <c r="E28" s="3"/>
      <c r="F28" s="3"/>
      <c r="G28" s="8" t="s">
        <v>116</v>
      </c>
      <c r="H28" s="3" t="s">
        <v>17</v>
      </c>
      <c r="I28" s="5" t="s">
        <v>66</v>
      </c>
      <c r="J28" s="5" t="s">
        <v>62</v>
      </c>
      <c r="K28" s="9" t="s">
        <v>117</v>
      </c>
    </row>
    <row r="29" spans="1:11" ht="40.5">
      <c r="A29" s="3" t="s">
        <v>58</v>
      </c>
      <c r="B29" s="3">
        <v>31</v>
      </c>
      <c r="C29" s="3" t="s">
        <v>12</v>
      </c>
      <c r="D29" s="11" t="s">
        <v>118</v>
      </c>
      <c r="E29" s="3"/>
      <c r="F29" s="3"/>
      <c r="G29" s="8" t="s">
        <v>119</v>
      </c>
      <c r="H29" s="3" t="s">
        <v>17</v>
      </c>
      <c r="I29" s="5" t="s">
        <v>66</v>
      </c>
      <c r="J29" s="5" t="s">
        <v>62</v>
      </c>
      <c r="K29" s="9" t="s">
        <v>120</v>
      </c>
    </row>
    <row r="30" spans="1:11" ht="40.5">
      <c r="A30" s="3" t="s">
        <v>58</v>
      </c>
      <c r="B30" s="3">
        <v>32</v>
      </c>
      <c r="C30" s="3" t="s">
        <v>12</v>
      </c>
      <c r="D30" s="11" t="s">
        <v>121</v>
      </c>
      <c r="E30" s="3"/>
      <c r="F30" s="3"/>
      <c r="G30" s="8" t="s">
        <v>122</v>
      </c>
      <c r="H30" s="3" t="s">
        <v>17</v>
      </c>
      <c r="I30" s="5" t="s">
        <v>66</v>
      </c>
      <c r="J30" s="5" t="s">
        <v>62</v>
      </c>
      <c r="K30" s="9" t="s">
        <v>123</v>
      </c>
    </row>
    <row r="31" spans="1:11" ht="67.5">
      <c r="A31" s="3" t="s">
        <v>58</v>
      </c>
      <c r="B31" s="3">
        <v>33</v>
      </c>
      <c r="C31" s="3" t="s">
        <v>12</v>
      </c>
      <c r="D31" s="11" t="s">
        <v>124</v>
      </c>
      <c r="E31" s="3"/>
      <c r="F31" s="3"/>
      <c r="G31" s="8" t="s">
        <v>125</v>
      </c>
      <c r="H31" s="3" t="s">
        <v>17</v>
      </c>
      <c r="I31" s="5" t="s">
        <v>66</v>
      </c>
      <c r="J31" s="5" t="s">
        <v>62</v>
      </c>
      <c r="K31" s="9" t="s">
        <v>126</v>
      </c>
    </row>
    <row r="32" spans="1:11" ht="94.5">
      <c r="A32" s="3" t="s">
        <v>58</v>
      </c>
      <c r="B32" s="3">
        <v>34</v>
      </c>
      <c r="C32" s="3" t="s">
        <v>12</v>
      </c>
      <c r="D32" s="11" t="s">
        <v>127</v>
      </c>
      <c r="E32" s="3"/>
      <c r="F32" s="3"/>
      <c r="G32" s="8" t="s">
        <v>128</v>
      </c>
      <c r="H32" s="3" t="s">
        <v>29</v>
      </c>
      <c r="I32" s="5" t="s">
        <v>66</v>
      </c>
      <c r="J32" s="5" t="s">
        <v>62</v>
      </c>
      <c r="K32" s="9" t="s">
        <v>129</v>
      </c>
    </row>
    <row r="33" spans="1:12" ht="67.5">
      <c r="A33" s="3" t="s">
        <v>58</v>
      </c>
      <c r="B33" s="3">
        <v>40</v>
      </c>
      <c r="C33" s="3" t="s">
        <v>12</v>
      </c>
      <c r="D33" s="11" t="s">
        <v>130</v>
      </c>
      <c r="E33" s="3"/>
      <c r="F33" s="3"/>
      <c r="G33" s="8" t="s">
        <v>131</v>
      </c>
      <c r="H33" s="3" t="s">
        <v>17</v>
      </c>
      <c r="I33" s="5" t="s">
        <v>132</v>
      </c>
      <c r="J33" s="5" t="s">
        <v>62</v>
      </c>
      <c r="K33" s="9" t="s">
        <v>133</v>
      </c>
    </row>
    <row r="34" spans="1:12" ht="148.5">
      <c r="A34" s="3" t="s">
        <v>58</v>
      </c>
      <c r="B34" s="3">
        <v>41</v>
      </c>
      <c r="C34" s="3" t="s">
        <v>12</v>
      </c>
      <c r="D34" s="11" t="s">
        <v>134</v>
      </c>
      <c r="E34" s="3" t="s">
        <v>14</v>
      </c>
      <c r="F34" s="8" t="s">
        <v>135</v>
      </c>
      <c r="G34" s="8" t="s">
        <v>136</v>
      </c>
      <c r="H34" s="3" t="s">
        <v>17</v>
      </c>
      <c r="I34" s="5" t="s">
        <v>132</v>
      </c>
      <c r="J34" s="5" t="s">
        <v>62</v>
      </c>
      <c r="K34" s="9" t="s">
        <v>137</v>
      </c>
    </row>
    <row r="35" spans="1:12" ht="40.5">
      <c r="A35" s="3" t="s">
        <v>58</v>
      </c>
      <c r="B35" s="3">
        <v>46</v>
      </c>
      <c r="C35" s="3" t="s">
        <v>12</v>
      </c>
      <c r="D35" s="3" t="s">
        <v>138</v>
      </c>
      <c r="E35" s="3"/>
      <c r="F35" s="3"/>
      <c r="G35" s="8" t="s">
        <v>139</v>
      </c>
      <c r="H35" s="3" t="s">
        <v>17</v>
      </c>
      <c r="I35" s="5" t="s">
        <v>140</v>
      </c>
      <c r="J35" s="5" t="s">
        <v>62</v>
      </c>
      <c r="K35" s="10" t="s">
        <v>141</v>
      </c>
    </row>
    <row r="36" spans="1:12" ht="243">
      <c r="A36" s="3" t="s">
        <v>58</v>
      </c>
      <c r="B36" s="3">
        <v>48</v>
      </c>
      <c r="C36" s="3" t="s">
        <v>12</v>
      </c>
      <c r="D36" s="11" t="s">
        <v>142</v>
      </c>
      <c r="E36" s="3"/>
      <c r="F36" s="3"/>
      <c r="G36" s="8" t="s">
        <v>143</v>
      </c>
      <c r="H36" s="3" t="s">
        <v>17</v>
      </c>
      <c r="I36" s="5" t="s">
        <v>144</v>
      </c>
      <c r="J36" s="5" t="s">
        <v>145</v>
      </c>
      <c r="K36" s="10" t="s">
        <v>146</v>
      </c>
      <c r="L36" s="2" t="str">
        <f>D36</f>
        <v>RESERVAS_ADICIONALES</v>
      </c>
    </row>
    <row r="37" spans="1:12" ht="94.5">
      <c r="A37" s="3" t="s">
        <v>58</v>
      </c>
      <c r="B37" s="3">
        <v>91</v>
      </c>
      <c r="C37" s="3" t="s">
        <v>12</v>
      </c>
      <c r="D37" s="3" t="s">
        <v>147</v>
      </c>
      <c r="E37" s="3"/>
      <c r="F37" s="3"/>
      <c r="G37" s="8" t="s">
        <v>148</v>
      </c>
      <c r="H37" s="3" t="s">
        <v>29</v>
      </c>
      <c r="I37" s="5" t="s">
        <v>149</v>
      </c>
      <c r="J37" s="5" t="s">
        <v>150</v>
      </c>
      <c r="K37" s="9" t="s">
        <v>151</v>
      </c>
    </row>
    <row r="38" spans="1:12" ht="67.5">
      <c r="A38" s="3" t="s">
        <v>58</v>
      </c>
      <c r="B38" s="3">
        <v>95</v>
      </c>
      <c r="C38" s="3" t="s">
        <v>12</v>
      </c>
      <c r="D38" s="11" t="s">
        <v>152</v>
      </c>
      <c r="E38" s="3"/>
      <c r="F38" s="3"/>
      <c r="G38" s="8" t="s">
        <v>153</v>
      </c>
      <c r="H38" s="3" t="s">
        <v>29</v>
      </c>
      <c r="I38" s="5" t="s">
        <v>154</v>
      </c>
      <c r="J38" s="5" t="s">
        <v>62</v>
      </c>
      <c r="K38" s="9" t="s">
        <v>99</v>
      </c>
    </row>
    <row r="39" spans="1:12" ht="121.5">
      <c r="A39" s="3" t="s">
        <v>155</v>
      </c>
      <c r="B39" s="3">
        <v>4</v>
      </c>
      <c r="C39" s="3" t="s">
        <v>12</v>
      </c>
      <c r="D39" s="3" t="s">
        <v>156</v>
      </c>
      <c r="E39" s="3"/>
      <c r="F39" s="3"/>
      <c r="G39" s="8" t="s">
        <v>157</v>
      </c>
      <c r="H39" s="3" t="s">
        <v>29</v>
      </c>
      <c r="I39" s="5" t="s">
        <v>158</v>
      </c>
      <c r="J39" s="5" t="s">
        <v>159</v>
      </c>
      <c r="K39" s="9" t="s">
        <v>160</v>
      </c>
    </row>
    <row r="40" spans="1:12" ht="67.5">
      <c r="A40" s="3" t="s">
        <v>155</v>
      </c>
      <c r="B40" s="3">
        <v>5</v>
      </c>
      <c r="C40" s="3" t="s">
        <v>12</v>
      </c>
      <c r="D40" s="11" t="s">
        <v>161</v>
      </c>
      <c r="E40" s="3"/>
      <c r="F40" s="3"/>
      <c r="G40" s="8" t="s">
        <v>162</v>
      </c>
      <c r="H40" s="3" t="s">
        <v>17</v>
      </c>
      <c r="I40" s="5" t="s">
        <v>163</v>
      </c>
      <c r="J40" s="5" t="s">
        <v>159</v>
      </c>
      <c r="K40" s="9" t="s">
        <v>164</v>
      </c>
      <c r="L40" s="2" t="str">
        <f t="shared" ref="L40:L50" si="0">D40</f>
        <v>VP_FEGP</v>
      </c>
    </row>
    <row r="41" spans="1:12" ht="40.5">
      <c r="A41" s="3" t="s">
        <v>155</v>
      </c>
      <c r="B41" s="3">
        <v>6</v>
      </c>
      <c r="C41" s="3" t="s">
        <v>12</v>
      </c>
      <c r="D41" s="11" t="s">
        <v>165</v>
      </c>
      <c r="E41" s="3" t="s">
        <v>14</v>
      </c>
      <c r="F41" s="3" t="s">
        <v>166</v>
      </c>
      <c r="G41" s="8" t="s">
        <v>167</v>
      </c>
      <c r="H41" s="3" t="s">
        <v>17</v>
      </c>
      <c r="I41" s="5" t="s">
        <v>18</v>
      </c>
      <c r="J41" s="5" t="s">
        <v>19</v>
      </c>
      <c r="K41" s="9" t="s">
        <v>168</v>
      </c>
      <c r="L41" s="2" t="str">
        <f t="shared" si="0"/>
        <v>ETAPA_PROYECTO</v>
      </c>
    </row>
    <row r="42" spans="1:12" ht="216">
      <c r="A42" s="3" t="s">
        <v>155</v>
      </c>
      <c r="B42" s="3">
        <v>27</v>
      </c>
      <c r="C42" s="3" t="s">
        <v>12</v>
      </c>
      <c r="D42" s="11" t="s">
        <v>169</v>
      </c>
      <c r="E42" s="3"/>
      <c r="F42" s="3"/>
      <c r="G42" s="8" t="s">
        <v>170</v>
      </c>
      <c r="H42" s="3"/>
      <c r="I42" s="5" t="s">
        <v>171</v>
      </c>
      <c r="J42" s="5" t="s">
        <v>159</v>
      </c>
      <c r="K42" s="9" t="s">
        <v>164</v>
      </c>
      <c r="L42" s="2" t="str">
        <f t="shared" si="0"/>
        <v>SOBRECOSTO</v>
      </c>
    </row>
    <row r="43" spans="1:12" ht="94.5">
      <c r="A43" s="3" t="s">
        <v>155</v>
      </c>
      <c r="B43" s="3">
        <v>28</v>
      </c>
      <c r="C43" s="3" t="s">
        <v>12</v>
      </c>
      <c r="D43" s="11" t="s">
        <v>172</v>
      </c>
      <c r="E43" s="3"/>
      <c r="F43" s="3"/>
      <c r="G43" s="8" t="s">
        <v>173</v>
      </c>
      <c r="H43" s="3"/>
      <c r="I43" s="5" t="s">
        <v>174</v>
      </c>
      <c r="J43" s="5" t="s">
        <v>159</v>
      </c>
      <c r="K43" s="9" t="s">
        <v>164</v>
      </c>
      <c r="L43" s="2" t="str">
        <f t="shared" si="0"/>
        <v>INGRESOS_PROPIOS_PROY</v>
      </c>
    </row>
    <row r="44" spans="1:12" ht="108">
      <c r="A44" s="3" t="s">
        <v>155</v>
      </c>
      <c r="B44" s="3">
        <v>29</v>
      </c>
      <c r="C44" s="3" t="s">
        <v>12</v>
      </c>
      <c r="D44" s="11" t="s">
        <v>175</v>
      </c>
      <c r="E44" s="3"/>
      <c r="F44" s="3"/>
      <c r="G44" s="8" t="s">
        <v>176</v>
      </c>
      <c r="H44" s="3"/>
      <c r="I44" s="5" t="s">
        <v>177</v>
      </c>
      <c r="J44" s="5" t="s">
        <v>159</v>
      </c>
      <c r="K44" s="9" t="s">
        <v>164</v>
      </c>
      <c r="L44" s="2" t="str">
        <f t="shared" si="0"/>
        <v>GASTOS_TOTALES_PROY</v>
      </c>
    </row>
    <row r="45" spans="1:12" ht="108">
      <c r="A45" s="3" t="s">
        <v>155</v>
      </c>
      <c r="B45" s="3">
        <v>30</v>
      </c>
      <c r="C45" s="3" t="s">
        <v>12</v>
      </c>
      <c r="D45" s="11" t="s">
        <v>178</v>
      </c>
      <c r="E45" s="3"/>
      <c r="F45" s="3"/>
      <c r="G45" s="8" t="s">
        <v>179</v>
      </c>
      <c r="H45" s="3"/>
      <c r="I45" s="5" t="s">
        <v>180</v>
      </c>
      <c r="J45" s="5" t="s">
        <v>159</v>
      </c>
      <c r="K45" s="9" t="s">
        <v>164</v>
      </c>
      <c r="L45" s="2" t="str">
        <f t="shared" si="0"/>
        <v>IMPACTO_FISCAL_PROY</v>
      </c>
    </row>
    <row r="46" spans="1:12" ht="121.5">
      <c r="A46" s="3" t="s">
        <v>155</v>
      </c>
      <c r="B46" s="3">
        <v>31</v>
      </c>
      <c r="C46" s="3" t="s">
        <v>12</v>
      </c>
      <c r="D46" s="11" t="s">
        <v>181</v>
      </c>
      <c r="E46" s="3"/>
      <c r="F46" s="3"/>
      <c r="G46" s="8" t="s">
        <v>182</v>
      </c>
      <c r="H46" s="3"/>
      <c r="I46" s="5" t="s">
        <v>183</v>
      </c>
      <c r="J46" s="5" t="s">
        <v>184</v>
      </c>
      <c r="K46" s="9" t="s">
        <v>164</v>
      </c>
      <c r="L46" s="2" t="str">
        <f t="shared" si="0"/>
        <v>PAGO_DEDUDA_12MESES</v>
      </c>
    </row>
    <row r="47" spans="1:12" ht="202.5">
      <c r="A47" s="3" t="s">
        <v>155</v>
      </c>
      <c r="B47" s="3">
        <v>35</v>
      </c>
      <c r="C47" s="3" t="s">
        <v>12</v>
      </c>
      <c r="D47" s="11" t="s">
        <v>185</v>
      </c>
      <c r="E47" s="3"/>
      <c r="F47" s="3"/>
      <c r="G47" s="8" t="s">
        <v>186</v>
      </c>
      <c r="H47" s="3" t="s">
        <v>17</v>
      </c>
      <c r="I47" s="5" t="s">
        <v>187</v>
      </c>
      <c r="J47" s="5" t="s">
        <v>188</v>
      </c>
      <c r="K47" s="9" t="s">
        <v>164</v>
      </c>
      <c r="L47" s="2" t="str">
        <f t="shared" si="0"/>
        <v>VENTAS_NETAS_INGRESOS</v>
      </c>
    </row>
    <row r="48" spans="1:12" ht="409.5">
      <c r="A48" s="3" t="s">
        <v>155</v>
      </c>
      <c r="B48" s="3">
        <v>36</v>
      </c>
      <c r="C48" s="3" t="s">
        <v>12</v>
      </c>
      <c r="D48" s="11" t="s">
        <v>189</v>
      </c>
      <c r="E48" s="3"/>
      <c r="F48" s="3"/>
      <c r="G48" s="8" t="s">
        <v>190</v>
      </c>
      <c r="H48" s="3" t="s">
        <v>29</v>
      </c>
      <c r="I48" s="5" t="s">
        <v>191</v>
      </c>
      <c r="J48" s="5" t="s">
        <v>192</v>
      </c>
      <c r="K48" s="9" t="s">
        <v>164</v>
      </c>
      <c r="L48" s="2" t="str">
        <f t="shared" si="0"/>
        <v>RESERVA_PROYECTO</v>
      </c>
    </row>
    <row r="49" spans="1:12" ht="351">
      <c r="A49" s="3" t="s">
        <v>155</v>
      </c>
      <c r="B49" s="3">
        <v>37</v>
      </c>
      <c r="C49" s="3" t="s">
        <v>193</v>
      </c>
      <c r="D49" s="11" t="s">
        <v>194</v>
      </c>
      <c r="E49" s="3"/>
      <c r="F49" s="3"/>
      <c r="G49" s="8" t="s">
        <v>195</v>
      </c>
      <c r="H49" s="3" t="s">
        <v>17</v>
      </c>
      <c r="I49" s="5" t="s">
        <v>196</v>
      </c>
      <c r="J49" s="5" t="s">
        <v>188</v>
      </c>
      <c r="K49" s="9" t="s">
        <v>164</v>
      </c>
      <c r="L49" s="2" t="str">
        <f t="shared" si="0"/>
        <v>VP_FEGP_12MESES</v>
      </c>
    </row>
    <row r="50" spans="1:12" ht="186.75">
      <c r="A50" s="3" t="s">
        <v>197</v>
      </c>
      <c r="B50" s="3">
        <v>4</v>
      </c>
      <c r="C50" s="3" t="s">
        <v>12</v>
      </c>
      <c r="D50" s="11" t="s">
        <v>198</v>
      </c>
      <c r="E50" s="3"/>
      <c r="F50" s="3"/>
      <c r="G50" s="8" t="s">
        <v>199</v>
      </c>
      <c r="H50" s="3" t="s">
        <v>17</v>
      </c>
      <c r="I50" s="5" t="s">
        <v>200</v>
      </c>
      <c r="J50" s="5" t="s">
        <v>201</v>
      </c>
      <c r="K50" s="9" t="s">
        <v>202</v>
      </c>
      <c r="L50" s="2" t="str">
        <f t="shared" si="0"/>
        <v>POR_PAGO_TIEMPO_INSTCRED</v>
      </c>
    </row>
    <row r="51" spans="1:12" ht="40.5">
      <c r="A51" s="3" t="s">
        <v>197</v>
      </c>
      <c r="B51" s="3">
        <v>6</v>
      </c>
      <c r="C51" s="3" t="s">
        <v>12</v>
      </c>
      <c r="D51" s="3" t="s">
        <v>203</v>
      </c>
      <c r="E51" s="3" t="s">
        <v>14</v>
      </c>
      <c r="F51" s="3" t="s">
        <v>204</v>
      </c>
      <c r="G51" s="8" t="s">
        <v>205</v>
      </c>
      <c r="H51" s="3" t="s">
        <v>29</v>
      </c>
      <c r="I51" s="5" t="s">
        <v>206</v>
      </c>
      <c r="J51" s="5" t="s">
        <v>207</v>
      </c>
      <c r="K51" s="9" t="s">
        <v>20</v>
      </c>
    </row>
    <row r="52" spans="1:12" ht="121.5">
      <c r="A52" s="3" t="s">
        <v>197</v>
      </c>
      <c r="B52" s="3">
        <v>9</v>
      </c>
      <c r="C52" s="3" t="s">
        <v>12</v>
      </c>
      <c r="D52" s="3" t="s">
        <v>208</v>
      </c>
      <c r="E52" s="3" t="s">
        <v>14</v>
      </c>
      <c r="F52" s="3" t="s">
        <v>209</v>
      </c>
      <c r="G52" s="8" t="s">
        <v>210</v>
      </c>
      <c r="H52" s="3" t="s">
        <v>17</v>
      </c>
      <c r="I52" s="5" t="s">
        <v>211</v>
      </c>
      <c r="J52" s="5" t="s">
        <v>207</v>
      </c>
      <c r="K52" s="9" t="s">
        <v>20</v>
      </c>
    </row>
    <row r="53" spans="1:12" ht="40.5">
      <c r="A53" s="3" t="s">
        <v>197</v>
      </c>
      <c r="B53" s="3">
        <v>13</v>
      </c>
      <c r="C53" s="3" t="s">
        <v>12</v>
      </c>
      <c r="D53" s="3" t="s">
        <v>212</v>
      </c>
      <c r="E53" s="3" t="s">
        <v>14</v>
      </c>
      <c r="F53" s="3" t="s">
        <v>213</v>
      </c>
      <c r="G53" s="8" t="s">
        <v>214</v>
      </c>
      <c r="H53" s="3" t="s">
        <v>29</v>
      </c>
      <c r="I53" s="5" t="s">
        <v>215</v>
      </c>
      <c r="J53" s="5" t="s">
        <v>19</v>
      </c>
      <c r="K53" s="9" t="s">
        <v>216</v>
      </c>
    </row>
    <row r="54" spans="1:12" ht="27">
      <c r="A54" s="3" t="s">
        <v>217</v>
      </c>
      <c r="B54" s="3">
        <v>12</v>
      </c>
      <c r="C54" s="3" t="s">
        <v>12</v>
      </c>
      <c r="D54" s="3" t="s">
        <v>218</v>
      </c>
      <c r="E54" s="3"/>
      <c r="F54" s="3"/>
      <c r="G54" s="8" t="s">
        <v>219</v>
      </c>
      <c r="H54" s="3" t="s">
        <v>29</v>
      </c>
      <c r="I54" s="5" t="s">
        <v>206</v>
      </c>
      <c r="J54" s="5" t="s">
        <v>207</v>
      </c>
      <c r="K54" s="9" t="s">
        <v>220</v>
      </c>
    </row>
    <row r="55" spans="1:12" ht="19.5" customHeight="1">
      <c r="A55" s="3" t="s">
        <v>217</v>
      </c>
      <c r="B55" s="3">
        <v>17</v>
      </c>
      <c r="C55" s="3" t="s">
        <v>12</v>
      </c>
      <c r="D55" s="3" t="s">
        <v>221</v>
      </c>
      <c r="E55" s="3"/>
      <c r="F55" s="3"/>
      <c r="G55" s="8" t="s">
        <v>222</v>
      </c>
      <c r="H55" s="3" t="s">
        <v>29</v>
      </c>
      <c r="I55" s="5" t="s">
        <v>206</v>
      </c>
      <c r="J55" s="5" t="s">
        <v>207</v>
      </c>
      <c r="K55" s="9" t="s">
        <v>223</v>
      </c>
    </row>
    <row r="56" spans="1:12" ht="25.5">
      <c r="A56" s="3" t="s">
        <v>217</v>
      </c>
      <c r="B56" s="3">
        <v>21</v>
      </c>
      <c r="C56" s="3" t="s">
        <v>12</v>
      </c>
      <c r="D56" s="3" t="s">
        <v>224</v>
      </c>
      <c r="E56" s="3"/>
      <c r="F56" s="3"/>
      <c r="G56" s="8" t="s">
        <v>225</v>
      </c>
      <c r="H56" s="3" t="s">
        <v>17</v>
      </c>
      <c r="I56" s="5" t="s">
        <v>206</v>
      </c>
      <c r="J56" s="5" t="s">
        <v>207</v>
      </c>
      <c r="K56" s="9" t="s">
        <v>226</v>
      </c>
    </row>
    <row r="57" spans="1:12" ht="75.75">
      <c r="A57" s="3" t="s">
        <v>217</v>
      </c>
      <c r="B57" s="3">
        <v>22</v>
      </c>
      <c r="C57" s="3" t="s">
        <v>12</v>
      </c>
      <c r="D57" s="3" t="s">
        <v>227</v>
      </c>
      <c r="E57" s="3" t="s">
        <v>14</v>
      </c>
      <c r="F57" s="3" t="s">
        <v>228</v>
      </c>
      <c r="G57" s="8" t="s">
        <v>229</v>
      </c>
      <c r="H57" s="3" t="s">
        <v>17</v>
      </c>
      <c r="I57" s="5" t="s">
        <v>230</v>
      </c>
      <c r="J57" s="5" t="s">
        <v>207</v>
      </c>
      <c r="K57" s="9" t="s">
        <v>231</v>
      </c>
    </row>
    <row r="58" spans="1:12" ht="163.5">
      <c r="A58" s="3" t="s">
        <v>217</v>
      </c>
      <c r="B58" s="3">
        <v>23</v>
      </c>
      <c r="C58" s="3" t="s">
        <v>12</v>
      </c>
      <c r="D58" s="3" t="s">
        <v>232</v>
      </c>
      <c r="E58" s="3" t="s">
        <v>14</v>
      </c>
      <c r="F58" s="3" t="s">
        <v>233</v>
      </c>
      <c r="G58" s="8" t="s">
        <v>234</v>
      </c>
      <c r="H58" s="3" t="s">
        <v>17</v>
      </c>
      <c r="I58" s="5" t="s">
        <v>206</v>
      </c>
      <c r="J58" s="5" t="s">
        <v>207</v>
      </c>
      <c r="K58" s="9" t="s">
        <v>235</v>
      </c>
    </row>
    <row r="59" spans="1:12" ht="63">
      <c r="A59" s="3" t="s">
        <v>217</v>
      </c>
      <c r="B59" s="3">
        <v>24</v>
      </c>
      <c r="C59" s="3" t="s">
        <v>12</v>
      </c>
      <c r="D59" s="3" t="s">
        <v>236</v>
      </c>
      <c r="E59" s="3" t="s">
        <v>14</v>
      </c>
      <c r="F59" s="3" t="s">
        <v>237</v>
      </c>
      <c r="G59" s="8" t="s">
        <v>238</v>
      </c>
      <c r="H59" s="3"/>
      <c r="I59" s="5" t="s">
        <v>206</v>
      </c>
      <c r="J59" s="5" t="s">
        <v>207</v>
      </c>
      <c r="K59" s="9" t="s">
        <v>239</v>
      </c>
    </row>
    <row r="60" spans="1:12" ht="54">
      <c r="A60" s="3" t="s">
        <v>217</v>
      </c>
      <c r="B60" s="3">
        <v>26</v>
      </c>
      <c r="C60" s="3" t="s">
        <v>12</v>
      </c>
      <c r="D60" s="12" t="s">
        <v>240</v>
      </c>
      <c r="E60" s="3" t="s">
        <v>14</v>
      </c>
      <c r="F60" s="3" t="s">
        <v>241</v>
      </c>
      <c r="G60" s="8" t="s">
        <v>242</v>
      </c>
      <c r="H60" s="3" t="s">
        <v>17</v>
      </c>
      <c r="I60" s="5" t="s">
        <v>206</v>
      </c>
      <c r="J60" s="5" t="s">
        <v>207</v>
      </c>
      <c r="K60" s="6"/>
    </row>
    <row r="61" spans="1:12" ht="33.75" customHeight="1">
      <c r="A61" s="3" t="s">
        <v>243</v>
      </c>
      <c r="B61" s="3">
        <v>2</v>
      </c>
      <c r="C61" s="3" t="s">
        <v>12</v>
      </c>
      <c r="D61" s="3" t="s">
        <v>244</v>
      </c>
      <c r="E61" s="3" t="s">
        <v>14</v>
      </c>
      <c r="F61" s="3" t="s">
        <v>245</v>
      </c>
      <c r="G61" s="8" t="s">
        <v>246</v>
      </c>
      <c r="H61" s="3" t="s">
        <v>17</v>
      </c>
      <c r="I61" s="5" t="s">
        <v>247</v>
      </c>
      <c r="J61" s="5" t="s">
        <v>248</v>
      </c>
      <c r="K61" s="9" t="s">
        <v>249</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87A9C5-1CBF-4498-A472-7C05F2F5C1AB}"/>
</file>

<file path=customXml/itemProps2.xml><?xml version="1.0" encoding="utf-8"?>
<ds:datastoreItem xmlns:ds="http://schemas.openxmlformats.org/officeDocument/2006/customXml" ds:itemID="{7A63E351-50A4-4F66-A948-DE66E74D0151}"/>
</file>

<file path=customXml/itemProps3.xml><?xml version="1.0" encoding="utf-8"?>
<ds:datastoreItem xmlns:ds="http://schemas.openxmlformats.org/officeDocument/2006/customXml" ds:itemID="{0C87EE9A-B932-4AAA-8554-2E9366F348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Alberto Rodríguez Uriarte</dc:creator>
  <cp:keywords/>
  <dc:description/>
  <cp:lastModifiedBy>Luis Alberto Rodríguez Uriarte</cp:lastModifiedBy>
  <cp:revision/>
  <dcterms:created xsi:type="dcterms:W3CDTF">2025-03-12T03:58:45Z</dcterms:created>
  <dcterms:modified xsi:type="dcterms:W3CDTF">2025-03-16T21:12:04Z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