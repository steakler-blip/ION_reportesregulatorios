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defaultThemeVersion="166925"/>
  <mc:AlternateContent xmlns:mc="http://schemas.openxmlformats.org/markup-compatibility/2006">
    <mc:Choice Requires="x15">
      <x15ac:absPath xmlns:x15ac="http://schemas.microsoft.com/office/spreadsheetml/2010/11/ac" url="https://ionquieroconfianza.sharepoint.com/sites/ImplementacinReportesRegulatorios/Documentos compartidos/Documentación/CARTERA/ENTREGA OPERACIONES RR CREDITO/"/>
    </mc:Choice>
  </mc:AlternateContent>
  <xr:revisionPtr revIDLastSave="1075" documentId="8_{38CA8E2E-12CE-456A-B969-463D37F5A5DA}" xr6:coauthVersionLast="47" xr6:coauthVersionMax="47" xr10:uidLastSave="{E39963C4-382A-4CAF-8875-A6FC1091486E}"/>
  <bookViews>
    <workbookView xWindow="-120" yWindow="-120" windowWidth="20730" windowHeight="11160" activeTab="3" xr2:uid="{C5580BA8-CD7A-6043-B5C3-6EC920303A22}"/>
  </bookViews>
  <sheets>
    <sheet name="CONSUMO" sheetId="1" r:id="rId1"/>
    <sheet name="GARANTIA CONSUMO" sheetId="3" r:id="rId2"/>
    <sheet name="REL CONSUMO GARANTIA" sheetId="4" r:id="rId3"/>
    <sheet name="PagosExigibles" sheetId="2" r:id="rId4"/>
    <sheet name="Califica_CNR" sheetId="5" r:id="rId5"/>
    <sheet name="Califica_Microcreditos" sheetId="6" r:id="rId6"/>
    <sheet name="AclaracionesCNR" sheetId="7" r:id="rId7"/>
    <sheet name="AclaracionesCR" sheetId="8" r:id="rId8"/>
    <sheet name="ALTAS_CAT_CR" sheetId="9" r:id="rId9"/>
  </sheets>
  <definedNames>
    <definedName name="_xlnm._FilterDatabase" localSheetId="0" hidden="1">CONSUMO!$AA$9:$AF$129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4" l="1"/>
  <c r="V11" i="4"/>
  <c r="V10" i="4"/>
  <c r="V28" i="3"/>
  <c r="V27" i="3"/>
  <c r="V26" i="3"/>
  <c r="V25" i="3"/>
  <c r="V24" i="3"/>
  <c r="V23" i="3"/>
  <c r="V22" i="3"/>
  <c r="V21" i="3"/>
  <c r="V20" i="3"/>
  <c r="V19" i="3"/>
  <c r="V18" i="3"/>
  <c r="V17" i="3"/>
  <c r="V16" i="3"/>
  <c r="V15" i="3"/>
  <c r="V14" i="3"/>
  <c r="V13" i="3"/>
  <c r="V12" i="3"/>
  <c r="V11" i="3"/>
  <c r="V10" i="3"/>
  <c r="B170" i="1"/>
  <c r="B171" i="1" s="1"/>
  <c r="B172" i="1" s="1"/>
  <c r="B173" i="1" s="1"/>
  <c r="B174" i="1" s="1"/>
  <c r="B175" i="1" s="1"/>
  <c r="B176" i="1" s="1"/>
  <c r="B177" i="1" s="1"/>
  <c r="B178" i="1" s="1"/>
  <c r="B179" i="1" s="1"/>
  <c r="B180" i="1" s="1"/>
  <c r="B181" i="1" s="1"/>
</calcChain>
</file>

<file path=xl/sharedStrings.xml><?xml version="1.0" encoding="utf-8"?>
<sst xmlns="http://schemas.openxmlformats.org/spreadsheetml/2006/main" count="3199" uniqueCount="1096">
  <si>
    <t>Nombre Archivo</t>
  </si>
  <si>
    <t>Consumo.txt</t>
  </si>
  <si>
    <t>Descripcion</t>
  </si>
  <si>
    <t>Layout principal de informacion cartera CNR y CR</t>
  </si>
  <si>
    <t>Uso</t>
  </si>
  <si>
    <t>Calificacion. Reportes Regulatorios. Cedula Calificacion</t>
  </si>
  <si>
    <t>Metodologia</t>
  </si>
  <si>
    <t>Consumo CNR y CR</t>
  </si>
  <si>
    <t>CONSUMO</t>
  </si>
  <si>
    <t>DICC, DATOS</t>
  </si>
  <si>
    <t>LAYOUT</t>
  </si>
  <si>
    <t>ORDEN</t>
  </si>
  <si>
    <t>LLAVE</t>
  </si>
  <si>
    <t>NOMBRE_CAMPO</t>
  </si>
  <si>
    <t>TIPO DATO</t>
  </si>
  <si>
    <t>FORMATO</t>
  </si>
  <si>
    <t>OBLIGATORIO</t>
  </si>
  <si>
    <t>Cartera</t>
  </si>
  <si>
    <t>Tipo</t>
  </si>
  <si>
    <t>Fuente</t>
  </si>
  <si>
    <t>Mapeo</t>
  </si>
  <si>
    <t>Comentario Riesgos</t>
  </si>
  <si>
    <t>Estatus PMO 2201</t>
  </si>
  <si>
    <t>Comentarios PMO 2201</t>
  </si>
  <si>
    <t>Comentarios Oper 24/01</t>
  </si>
  <si>
    <t>VALIDACION</t>
  </si>
  <si>
    <t>CATALOGO</t>
  </si>
  <si>
    <t>USO</t>
  </si>
  <si>
    <t>COLUMNA REPORTE APLICA</t>
  </si>
  <si>
    <t>DESCRIPCION</t>
  </si>
  <si>
    <t>DESCRIPCION INGLES</t>
  </si>
  <si>
    <t>OBSERVACIONES</t>
  </si>
  <si>
    <t>VALIDEZ INFORMACION</t>
  </si>
  <si>
    <t>Calificacion</t>
  </si>
  <si>
    <t>Reportes</t>
  </si>
  <si>
    <t>FUENTE2</t>
  </si>
  <si>
    <t>TIPO DE USO</t>
  </si>
  <si>
    <t>LAYOUT ANTERIOR</t>
  </si>
  <si>
    <t>NUMERO DE CAMPO</t>
  </si>
  <si>
    <t>NOMBRE DE CAMPO</t>
  </si>
  <si>
    <t>N° Campo</t>
  </si>
  <si>
    <t>No</t>
  </si>
  <si>
    <t>ID_PERSONA</t>
  </si>
  <si>
    <t>TEXTO</t>
  </si>
  <si>
    <t>18</t>
  </si>
  <si>
    <t>Si</t>
  </si>
  <si>
    <t>Directo</t>
  </si>
  <si>
    <t>Ya habíamos enviado la respuesta con campo y tabla: COD_CLIENTE (PR_CREDITOS)</t>
  </si>
  <si>
    <t>COD_CLIENTE (PR_CREDITOS)</t>
  </si>
  <si>
    <t>Listo</t>
  </si>
  <si>
    <t>Trabaja TI</t>
  </si>
  <si>
    <t>CR / AUTO / N / P / O / A / M</t>
  </si>
  <si>
    <t>2 / 3 / 3 / 3 / 3 / 3 / 3</t>
  </si>
  <si>
    <t>Codigo Unico del Cliente, Garante o Aval</t>
  </si>
  <si>
    <t>Unique Code of customer, Guarantor or Endorsement</t>
  </si>
  <si>
    <t/>
  </si>
  <si>
    <t>CALIFICACION</t>
  </si>
  <si>
    <t>Consumo</t>
  </si>
  <si>
    <t>CodigoCliente</t>
  </si>
  <si>
    <t>ClienteCodificado</t>
  </si>
  <si>
    <t>ID_CREDITO</t>
  </si>
  <si>
    <t>Ya habíamos enviado la respuesta con campo y tabla: ID_EXTERNO ( PR_CREDITOS)</t>
  </si>
  <si>
    <t>ID_EXTERNO ( PR_CREDITOS)</t>
  </si>
  <si>
    <t>NO DUPLICADO</t>
  </si>
  <si>
    <t>1 / 2 / 2 / 2 / 2 / 2 / 2</t>
  </si>
  <si>
    <t>Codigo Unico del Crédito</t>
  </si>
  <si>
    <t>Unique Loan code</t>
  </si>
  <si>
    <t>REPORTES</t>
  </si>
  <si>
    <t>CodigoCredito</t>
  </si>
  <si>
    <t>CreditoCodificado</t>
  </si>
  <si>
    <t>PRODUCTO</t>
  </si>
  <si>
    <t>15</t>
  </si>
  <si>
    <t>No sabemos en que tabla de SAF esta, no tenemos acceso a la BD</t>
  </si>
  <si>
    <t>Consulta SAF</t>
  </si>
  <si>
    <t>Complementar</t>
  </si>
  <si>
    <t>Indicar si se toma el tipo de credito (TIP_CREDITO), el tipo de cartera (NUM_DESC_TIPO CREDITO) o algun otro dato</t>
  </si>
  <si>
    <t>El código de producto dado de alta que se usa para todos los créditos de consumo es: CPLA04</t>
  </si>
  <si>
    <t>3 / 1 / 1 / 1 / 1 / 1 / 1</t>
  </si>
  <si>
    <t>Clave unica e irrepetible para identificar el producto - credito.</t>
  </si>
  <si>
    <t>Unique code to identify the loan product</t>
  </si>
  <si>
    <t>Producto</t>
  </si>
  <si>
    <t>FECHAALTA</t>
  </si>
  <si>
    <t>FECHA</t>
  </si>
  <si>
    <t>AAAA/MM/DD</t>
  </si>
  <si>
    <t>4 / 6 / 6 / 6 / 6 / 6 / 7</t>
  </si>
  <si>
    <t>Fecha en la que se dio de alta el credito de consumo (Fecha Originación)</t>
  </si>
  <si>
    <t>Opening date of the retail loan</t>
  </si>
  <si>
    <t>FechaAlta</t>
  </si>
  <si>
    <t>Falta</t>
  </si>
  <si>
    <t>FECHADISPREEST</t>
  </si>
  <si>
    <t>5 / 7 / 7 / 7 / 7 / 7 / 8</t>
  </si>
  <si>
    <t>Fecha de la Última Disposición o Reestructura del Crédito</t>
  </si>
  <si>
    <t>Draw down date or if applicable resructuring date</t>
  </si>
  <si>
    <t>FechaDisposicion</t>
  </si>
  <si>
    <t>FECHAFINREEST</t>
  </si>
  <si>
    <t>6 / 9 / 9 / 9 / 9 / 9 / 10</t>
  </si>
  <si>
    <t>Fecha en que, conforme a las condiciones pactadas originalmente, programa, facilidad o en la reestructura, según sea el caso, teóricamente terminará el crédito de que se trate</t>
  </si>
  <si>
    <t>Maturity date</t>
  </si>
  <si>
    <t>FECHAVENCIMIENTO</t>
  </si>
  <si>
    <t>Ya habíamos enviado la respuesta con campo y tabla:  FEC_VENCIMIENTO ( PR.PR_CREDITOS)</t>
  </si>
  <si>
    <t> FEC_VENCIMIENTO ( PR.PR_CREDITOS)</t>
  </si>
  <si>
    <t xml:space="preserve"> / AUTO / N / P / O / A / M</t>
  </si>
  <si>
    <t xml:space="preserve"> / 8 / 8 / 8 / 8 / 8 / 9</t>
  </si>
  <si>
    <t>Fecha en que, conforme a las condiciones pactadas teóricamente terminará el crédito de que se trate</t>
  </si>
  <si>
    <t>FechaVencimiento</t>
  </si>
  <si>
    <t>EDO_CTA_PAPEL</t>
  </si>
  <si>
    <t>NUMERICO</t>
  </si>
  <si>
    <t>1,0</t>
  </si>
  <si>
    <t>Fijo</t>
  </si>
  <si>
    <t>Se marca 0 por default 0 (cero) por default. esto indica que no se le reporta al cliente el estado de cuenta en papel</t>
  </si>
  <si>
    <t>No tiene comentarios de TI, y no esta marcado como Completar. ¿Esta todo Ok?</t>
  </si>
  <si>
    <t>Catalogo</t>
  </si>
  <si>
    <t>EstadoCuentaPapel</t>
  </si>
  <si>
    <t>7 / 10 / 10 / 10 / 10 / 10 / 11</t>
  </si>
  <si>
    <t>Indicador de Estado de cuenta en papel</t>
  </si>
  <si>
    <t>Paperless Account statement</t>
  </si>
  <si>
    <t>TIPOREESTRUCTURA</t>
  </si>
  <si>
    <t>3,0</t>
  </si>
  <si>
    <t>Ya habíamos señalado que por el momento marcaremos "50" del catálogo.</t>
  </si>
  <si>
    <t>En este momento sería 50, pero más adelante habría que ver como se obtiene</t>
  </si>
  <si>
    <t>ReestructuraConsumo</t>
  </si>
  <si>
    <t>9 / 5 / 5 / 5 / 5 / 5 / 5</t>
  </si>
  <si>
    <t>Se debe reportar el valor asociado al Tipo de Reestructura,Programa o Facilidad</t>
  </si>
  <si>
    <t>This field should receive the catalog value according to the reestructure, program or facility</t>
  </si>
  <si>
    <t>TipoReestructura</t>
  </si>
  <si>
    <t>CAPII</t>
  </si>
  <si>
    <t>No aplica</t>
  </si>
  <si>
    <t>EsMicrocreditoInd</t>
  </si>
  <si>
    <t xml:space="preserve"> /  /  /  /  /  / M</t>
  </si>
  <si>
    <t xml:space="preserve"> /  /  /  /  /  / 6</t>
  </si>
  <si>
    <t>1 si el crédito pertenece a la Cartera Crediticia de Microcrédito Individual.
0 en cualquier otro caso.</t>
  </si>
  <si>
    <t>if the loan belongs to individual microcredit portfolio</t>
  </si>
  <si>
    <t xml:space="preserve"> ed</t>
  </si>
  <si>
    <t>NUMDISPOSICIONES</t>
  </si>
  <si>
    <t xml:space="preserve"> /  / N / P / O /  / M</t>
  </si>
  <si>
    <t xml:space="preserve"> /  / 11 / 11 / 11 /  / 0</t>
  </si>
  <si>
    <t>Número de disposiciones del crédito.</t>
  </si>
  <si>
    <t>Number of drawdowns of the loan</t>
  </si>
  <si>
    <t>PERIODICIDADFACTURACION</t>
  </si>
  <si>
    <t>2,0</t>
  </si>
  <si>
    <t>PeriodicidadFacturacion</t>
  </si>
  <si>
    <t xml:space="preserve"> / 11 / 12 / 12 / 12 / 11 / 12</t>
  </si>
  <si>
    <t>Escala de los Períodos de Facturación del Crédito</t>
  </si>
  <si>
    <t>Invoice term Scale</t>
  </si>
  <si>
    <t>PLAZOTOTAL</t>
  </si>
  <si>
    <t>5,2</t>
  </si>
  <si>
    <t xml:space="preserve"> / 12 / 13 / 13 / 13 / 12 / 13</t>
  </si>
  <si>
    <t>Plazo total del crédito en meses</t>
  </si>
  <si>
    <t>Term of the loan in months</t>
  </si>
  <si>
    <t>PlazoTotal</t>
  </si>
  <si>
    <t>PLAZOREMANENTE</t>
  </si>
  <si>
    <t>8,5</t>
  </si>
  <si>
    <t>Calculado</t>
  </si>
  <si>
    <t>Consulta SAF (diferencia entre fecha de vencimiento y fec periodo)</t>
  </si>
  <si>
    <t>57 / 13 / 14 / 14 / 14 / 13 / 14</t>
  </si>
  <si>
    <t xml:space="preserve">Número de períodos de facturación expresado en días (decenales o catorcenales o quincenales), que aún faltan para la Fecha Teórica de Vencimiento, posteriores a la fecha de corte del período que se está reportando. Sin perjuicio de lo anterior, en el caso de créditos cuya Fecha Teórica de Vencimiento hubiera pasado sin que el acreditado realizara la liquidación correspondiente, el plazo remanente que se utilice para determinar las reservas deberá ser igual al Plazo Total del crédito. Este campo aplica a todos los créditos: en todos los casos como información estadística, y tratándose de los créditos que tienen Período de Facturación decenal, catorcenal o quincenal también se utiliza para determinar la variable %PR (campo 25) </t>
  </si>
  <si>
    <t>Number of invoice terms remaining expressed in days (weekly, monthly, etc)</t>
  </si>
  <si>
    <t>PlazoRemanente</t>
  </si>
  <si>
    <t>IMPORTEORIGINAL</t>
  </si>
  <si>
    <t>10,2</t>
  </si>
  <si>
    <t xml:space="preserve"> / 14 / 15 / 15 / 15 / 14 / 0</t>
  </si>
  <si>
    <t>Incluye el importe del principal y cualquier partida cuyo pago haya sido objeto de financiamiento con el propio crédito  al inicio de éste</t>
  </si>
  <si>
    <t>Initial amount of principal and accesories that were dibursed at the begining of the loan</t>
  </si>
  <si>
    <t>ImporteOriginal</t>
  </si>
  <si>
    <t>VALORORIGINAL</t>
  </si>
  <si>
    <t xml:space="preserve"> / AUTO /  /  / O / A / M</t>
  </si>
  <si>
    <t xml:space="preserve"> / 15 /  /  / 16 / 15 / 0</t>
  </si>
  <si>
    <t>Se debe reportar el valor original del Bien financiado con el crédito de que se trate, el Valor Original del Bien debe corresponder al precio con pago al contado del bien de que se trate.En el caso de este tipo de créditos respecto de los cuales no se tenga el Valor Original del Bien y éstos se hayan otorgado antes del 1 de marzo de 2011, se debe reportar el Importe Original del Crédito, el cuál se considerará como Valor Original del Bien</t>
  </si>
  <si>
    <t>The value to be reported is the original asset value, that corresponds to the full amount of the asset</t>
  </si>
  <si>
    <t>ValorOriginal</t>
  </si>
  <si>
    <t>TASAINTERES</t>
  </si>
  <si>
    <t>12 / 16 / 16 / 16 / 17 / 16 / 15</t>
  </si>
  <si>
    <t xml:space="preserve">En créditos a tasa fija se debe informar la tasa de interés anual ordinaria asignada al crédito, y tratándose de créditos contratados a tasa ajustable se debe informar la tasa de interés anual ordinaria aplicable al período cuyo corte se está reportando   </t>
  </si>
  <si>
    <t>On fixed rate loans the contractual rate must be reported, on variable rate loans the rate to be populated in this field corresponds to the one applicable to the specific term that is being reported</t>
  </si>
  <si>
    <t>TasaInteres</t>
  </si>
  <si>
    <t>MECANISMOPAGO</t>
  </si>
  <si>
    <t>FormaPagoConsumo</t>
  </si>
  <si>
    <t xml:space="preserve"> / 17 / 17 / 17 / 18 / 17 / 16</t>
  </si>
  <si>
    <t>Se debe reportar, respecto del mecanismo de pago del crédito de que se trate.</t>
  </si>
  <si>
    <t>Payment mechanism</t>
  </si>
  <si>
    <t>MecanismoPago</t>
  </si>
  <si>
    <t>MEDIOADQUISICION</t>
  </si>
  <si>
    <t>Número 1 del catálogo</t>
  </si>
  <si>
    <t>Medioadquisicion</t>
  </si>
  <si>
    <t>10 / 18 / 18 / 18 / 19 / 18 / 17</t>
  </si>
  <si>
    <t>Medio de adquisición del crédito</t>
  </si>
  <si>
    <t>Channel of loan adquisition</t>
  </si>
  <si>
    <t>QUITASCONDONACIONES</t>
  </si>
  <si>
    <t>11,2</t>
  </si>
  <si>
    <t xml:space="preserve">No sabemos en que tabla de SAF esta, no tenemos acceso a la BD. Suma de las quitas y condonaciones concedidos respecto del crédito durante el mes de que se trate y el inmediato anterior. </t>
  </si>
  <si>
    <t xml:space="preserve">En SAF se registran las condonaciones pero no las quitas, es suficiente con ese dato?
En caso de que se deban agregar las quitas indicar de donde se obtienen </t>
  </si>
  <si>
    <t>Por el momento hay que reportar solo las condonaciones, con eso es suficiente.</t>
  </si>
  <si>
    <t>11 / 33 / 33 / 33 / 34 / 33 / 32</t>
  </si>
  <si>
    <t>Se debe reportar el importe  (en unidades de la moneda del crédito) de la suma de las quitas y condonaciones concedidos respecto del crédito durante el mes de que se trate y el inmediato anterior. Para el caso de quitas y condonaciones de créditos que se reestructuran, deben reportarse en la Parte II (reestructuras).</t>
  </si>
  <si>
    <t>amount of discounts to loan from writeoffs, or forgiveness of outstanding balance</t>
  </si>
  <si>
    <t>QuitasCondonaciones</t>
  </si>
  <si>
    <t>QUITASCONDONACIONES
BONIFICACIONESDESCUENTOS</t>
  </si>
  <si>
    <t>BONIFICACIONESDESCUENTOS</t>
  </si>
  <si>
    <t>No sabemos en que tabla de SAF esta, no tenemos acceso a la BD. Suma de las  bonificaciones y descuentos concedidos respecto del crédito durante el mes de que se trate y el inmediato anterior.</t>
  </si>
  <si>
    <t>Indicar regla o un ejemplo ya existente en SAF</t>
  </si>
  <si>
    <t>Con el proyecto de poliza individual se establecio la cuenta contable con la que en SAF se van a marcar las bonificaciones, es la siguiente: 140103009001   Realizar la búsqueda en SAF de esta cuenta contable.</t>
  </si>
  <si>
    <t>Se debe reportar el importe  (en unidades de la moneda del crédito) de la suma de las  bonificaciones y descuentos concedidos respecto del crédito durante el mes de que se trate y el inmediato anterior. Para el caso de bonificaciones y descuentos de créditos que se reestructuran, deben reportarse en la Parte II (reestructuras).</t>
  </si>
  <si>
    <t>Amount of all premium of dicounts granted to the customer</t>
  </si>
  <si>
    <t>BonificacionesDescuentos</t>
  </si>
  <si>
    <t>SALDOCAPITALVIGENTE</t>
  </si>
  <si>
    <t>Calculado en el excel, directo en la extraccion</t>
  </si>
  <si>
    <t>Cierre de excel Individual</t>
  </si>
  <si>
    <t>Pendiente</t>
  </si>
  <si>
    <t>20 / 20 / 20 / 20 / 21 / 20 / 19</t>
  </si>
  <si>
    <t>Saldo Capital Vigente</t>
  </si>
  <si>
    <t>Performing Principal</t>
  </si>
  <si>
    <t>SALDOINTERESVIGENTE</t>
  </si>
  <si>
    <t>Saldo Interes Vigente</t>
  </si>
  <si>
    <t>Performing Interest</t>
  </si>
  <si>
    <t>SALDOCAPITALVENCIDO</t>
  </si>
  <si>
    <t>Saldo Capital Vencido</t>
  </si>
  <si>
    <t>Non Performing Principal</t>
  </si>
  <si>
    <t>SALDOINTERESVENCIDO</t>
  </si>
  <si>
    <t>Saldo Interes Vencido</t>
  </si>
  <si>
    <t>Non Performing Interest</t>
  </si>
  <si>
    <t>SaldoCapitalVigente</t>
  </si>
  <si>
    <t>INTERESCARTERAVENCIDA</t>
  </si>
  <si>
    <t>Interes de Cartera Vencida. Estos intereses se usan para conceptos en los reportes de la serie R04A</t>
  </si>
  <si>
    <t>Non performing interest accrual in Off Balance accounts</t>
  </si>
  <si>
    <t>SaldoInteresVigente</t>
  </si>
  <si>
    <t>LIMITECREDITO</t>
  </si>
  <si>
    <t>9,0</t>
  </si>
  <si>
    <t xml:space="preserve">CR /  /  /  /  /  / </t>
  </si>
  <si>
    <t xml:space="preserve">13 /  /  /  /  /  / </t>
  </si>
  <si>
    <t>Límite máximo autorizado de la línea de crédito a la fecha de inicio del Periodo de Pago.</t>
  </si>
  <si>
    <t>Max authorized amount of the credit line</t>
  </si>
  <si>
    <t>SaldoCapitalVencido</t>
  </si>
  <si>
    <t>LIMCREDITOFC</t>
  </si>
  <si>
    <t xml:space="preserve">14 /  /  /  /  /  / </t>
  </si>
  <si>
    <t>Límite de crédito a la fecha de corte</t>
  </si>
  <si>
    <t>Credit limit at cut off date</t>
  </si>
  <si>
    <t>SaldoInteresVencido</t>
  </si>
  <si>
    <t>LIMCREDITOCALIF</t>
  </si>
  <si>
    <t xml:space="preserve">15 /  /  /  /  /  / </t>
  </si>
  <si>
    <t>Límite de crédito a la fecha del cálculo de reservas,  conforme a la CUB Art. 92.</t>
  </si>
  <si>
    <t>Credit limit at reserve calculation date</t>
  </si>
  <si>
    <t>InteresCarteraVencida</t>
  </si>
  <si>
    <t>FECHACORTE</t>
  </si>
  <si>
    <t xml:space="preserve"> / 19 / 19 / 19 / 20 / 19 / 18</t>
  </si>
  <si>
    <t>Fecha a que corresponde la información del crédito de que se trate.</t>
  </si>
  <si>
    <t>Cut off date of the information</t>
  </si>
  <si>
    <t>LimiteCredito</t>
  </si>
  <si>
    <t>MONTOEXIGIBLE</t>
  </si>
  <si>
    <t xml:space="preserve"> / 21 / 21 / 21 / 22 / 21 / 20</t>
  </si>
  <si>
    <t xml:space="preserve">Monto que le corresponde cubrir al acreditado en el Período de Facturación de que se trate. Para los créditos el Monto Exigible debe considerar tanto el importe correspondiente al período de que se trate como, en sus caso,  los importes exigibles no pagados anteriores a la fecha de corte del propio período de que se trate. Tratándose de créditos con pago al vencimiento tanto del capital como de los intereses se debe reportar, en su caso, el importe total del adeudo a la fecha de corte (no pagado en la correspondiente fecha de vencimiento) </t>
  </si>
  <si>
    <t>Exigible amount of the loan at the cut off term</t>
  </si>
  <si>
    <t>limcredito</t>
  </si>
  <si>
    <t>MONTOEXIGIBLECAP</t>
  </si>
  <si>
    <t xml:space="preserve"> / 22 / 22 / 22 / 23 / 22 / 21</t>
  </si>
  <si>
    <t xml:space="preserve">El Monto Exigible por pago de capital que el acreditado debe cubrir en el Periodo de Facturación, el cual deberá considerar tanto el importe correspondiente a la facturación, así como los importes exigibles anteriores no pagados, si los hubiera. </t>
  </si>
  <si>
    <t>limcreditocalif</t>
  </si>
  <si>
    <t>MONTOEXIGIBLEINT</t>
  </si>
  <si>
    <t xml:space="preserve"> / 23 / 23 / 23 / 24 / 23 / 22</t>
  </si>
  <si>
    <t xml:space="preserve">El Monto Exigible por pago de intereses que el acreditado debe cubrir en el Periodo de Facturación, el cual deberá considerar tanto el importe correspondiente a la facturación, así como los importes exigibles anteriores no pagados, si los hubiera. </t>
  </si>
  <si>
    <t>FechaCorte</t>
  </si>
  <si>
    <t>MONTOEXIGIBLECOM</t>
  </si>
  <si>
    <t xml:space="preserve"> / 24 / 24 / 24 / 25 / 24 / 23</t>
  </si>
  <si>
    <t xml:space="preserve">El Monto Exigible por pago de comisiones que el acreditado debe cubrir en el Periodo de Facturación, el cual deberá considerar tanto el importe correspondiente a la facturación, así como los importes exigibles anteriores no pagados, si los hubiera. </t>
  </si>
  <si>
    <t>MontoExigible</t>
  </si>
  <si>
    <t>MONTOEXIGIBLEFALTAPAG</t>
  </si>
  <si>
    <t xml:space="preserve"> / 25 / 25 / 25 / 26 / 25 / 24</t>
  </si>
  <si>
    <t>El Monto Exigible por pago de comisiones por pago tardío, gastos de cobranza y  falta de pago que el acreditado debe cubrir en el Periodo de Facturación, el cual deberá considerar tanto el importe correspondiente a la facturación, así como los importes exigibles anteriores no pagados, si los hubiera.</t>
  </si>
  <si>
    <t>MONTOEXIGIBLEIVAOTROS</t>
  </si>
  <si>
    <t xml:space="preserve"> / 26 / 26 / 26 / 27 / 26 / 25</t>
  </si>
  <si>
    <t>El Monto Exigible por pago del impuesto al valor agregado (IVA) que el acreditado debe cubrir en el Periodo de Facturación, el cual deberá considerar tanto el importe correspondiente a la facturación, así como los importes exigibles anteriores no pagados, si los hubiera.</t>
  </si>
  <si>
    <t>PAGOREALIZADO</t>
  </si>
  <si>
    <t>36 / 27 / 27 / 27 / 28 / 27 / 26</t>
  </si>
  <si>
    <t>Suma de los Pagos Realizados por el acreditado en el período cuyo corte se está reportando (independientemente del período a que correspondan los pagos). No se consideran como pagos, a los castigos, quitas y condonaciones, bonificaciones y descuentos que se efectúen al crédito</t>
  </si>
  <si>
    <t>Sum of the payments done by the customer in the period reported</t>
  </si>
  <si>
    <t>PAGOREALIZADOCAP</t>
  </si>
  <si>
    <t>37 / 28 / 28 / 28 / 29 / 28 / 27</t>
  </si>
  <si>
    <t>Monto correspondiente a la suma de los pagos realizados por el acreditado en el Periodo de Facturación por concepto de capital. No se consideran pagos a los castigos, quitas, condonaciones, bonificaciones y descuentos que se efectúen al crédito.</t>
  </si>
  <si>
    <t>PAGOREALIZADOINT</t>
  </si>
  <si>
    <t>38 / 29 / 29 / 29 / 30 / 29 / 28</t>
  </si>
  <si>
    <t xml:space="preserve">Monto correspondiente a la suma de los pagos realizados por el acreditado en el Periodo de Facturación por concepto de intereses. </t>
  </si>
  <si>
    <t>PAGOREALIZADOCOM</t>
  </si>
  <si>
    <t>39 / 30 / 30 / 30 / 31 / 30 / 29</t>
  </si>
  <si>
    <t xml:space="preserve">Monto correspondiente a la suma de los pagos realizados por el acreditado en el Periodo de Facturación por concepto de comisiones. </t>
  </si>
  <si>
    <t>PagoRealizado</t>
  </si>
  <si>
    <t>PAGOREALIZADOFALTAPAG</t>
  </si>
  <si>
    <t>40 / 31 / 31 / 31 / 32 / 31 / 30</t>
  </si>
  <si>
    <t xml:space="preserve">Monto correspondiente a la suma de los pagos realizados por el acreditado en el Periodo de Facturación por concepto de comisiones por pago tardío, gastos de cobranza y falta de pago. </t>
  </si>
  <si>
    <t>PAGOREALIZADOIVAOTR</t>
  </si>
  <si>
    <t>41 / 32 / 32 / 32 / 33 / 32 / 31</t>
  </si>
  <si>
    <t xml:space="preserve">Monto correspondiente a la suma de los pagos realizados por el acreditado en el Periodo de Facturación por concepto de pago de impuesto al valor agregado (IVA). </t>
  </si>
  <si>
    <t>PAGOEXIGIBLE_INI</t>
  </si>
  <si>
    <t xml:space="preserve">31 /  /  /  /  /  / </t>
  </si>
  <si>
    <t>Pago Mínimo al inicio del Período (conforme a la CUB Art. 92</t>
  </si>
  <si>
    <t>Minimum payment requested at cut off date</t>
  </si>
  <si>
    <t>CODIGOCREDITOREESTRUCTURADO</t>
  </si>
  <si>
    <t>REESTRUCTURAS</t>
  </si>
  <si>
    <t>En caso de que el credito sea reestructurado se debera anotar el codigo del credito original</t>
  </si>
  <si>
    <t>If the loan is reestructured, this field should report original Credit Id reported prior to reestrcuture</t>
  </si>
  <si>
    <t>SALDOREV</t>
  </si>
  <si>
    <t xml:space="preserve">24 /  /  /  /  /  / </t>
  </si>
  <si>
    <t>IMPORTE PROMEDIO DE LA LÍNEA REVOLVENTE.- Importe promedio mensual de saldos diarios de la Parte del Crédito Con Intereses relativa a la "Línea Revolvente". Incluye exclusivamente el importe promedio de la parte del crédito relativa a la "Línea Revolvente". Por lo tanto, NO incluye promociones con intereses (plan de pagos, consumos y disposiciones; con tasa y plazo fijos) ni Promociones con inicio diferido de causa de intereses (en tanto éstas estén en el período de diferimiento) ni Promociones sin intereses ni cualquier otra Promoción que en el período cuyo corte se está reportando implique no causa de intereses.</t>
  </si>
  <si>
    <t>Average amount of the revolving credit line</t>
  </si>
  <si>
    <t>SALDOPMSI</t>
  </si>
  <si>
    <t xml:space="preserve">25 /  /  /  /  /  / </t>
  </si>
  <si>
    <t xml:space="preserve">IMPORTE PROMEDIO PROMOCIONES SIN INTERESES.- Importe promedio mensual de saldos diarios de la Parte del Crédito Sin Intereses. Incluye exclusivamente el importe promedio de la parte de la línea relativa a Promociones sin Intereses, a Promociones con inicio diferido de causa de intereses (en tanto estén en el período de diferimiento) y a cualquier otra Promoción que en el período cuyo corte se está reportando implique no causa de intereses. </t>
  </si>
  <si>
    <t>Average amount of the monthly non interest payment promotions</t>
  </si>
  <si>
    <t>PagoExigible</t>
  </si>
  <si>
    <t>SALDOPCI</t>
  </si>
  <si>
    <t xml:space="preserve">26 /  /  /  /  /  / </t>
  </si>
  <si>
    <t xml:space="preserve">IMPORTE PROMEDIO PROMOCIONES CON INTERES.- Importe promedio mensual de saldos diarios de la Parte del Crédito Con Intereses relativa a "Promociones con Intereses". Incluye exclusivamente el importe promedio de la parte del crédito relativa a "Promociones Con Intereses" (plan de pagos, consumos y disposiciones; con tasa y plazo fijos) que estén en su etapa de causación de intereses. Por lo tanto, NO incluye Promociones con inicio diferido de causa de intereses (en tanto éstas estén en el período de diferimiento) ni Promociones sin intereses ni cualquier otra Promoción que en el período cuyo corte se está reportando implique no causa de intereses ni la parte del crédito relativa a la "Línea Revolvente". </t>
  </si>
  <si>
    <t>Average amount of the monthly with interest payment promotions</t>
  </si>
  <si>
    <t>CodigoCreditoReestructurado</t>
  </si>
  <si>
    <t>INTERESREV</t>
  </si>
  <si>
    <t>8,2</t>
  </si>
  <si>
    <t xml:space="preserve">27 /  /  /  /  /  / </t>
  </si>
  <si>
    <t>Intereses Ordinarios de la "Linea Revolvente", a la fecha de corte,  sin IVA.</t>
  </si>
  <si>
    <t>Regular Interest of the Revolving line at cut off date</t>
  </si>
  <si>
    <t>saldorev</t>
  </si>
  <si>
    <t>INTERESPCI</t>
  </si>
  <si>
    <t xml:space="preserve">28 /  /  /  /  /  / </t>
  </si>
  <si>
    <t>Intereses Ordinarios de "Promociones con Intereses", a la fecha de corte,  sin IVA.</t>
  </si>
  <si>
    <t>Interest of promotions at deferred payment</t>
  </si>
  <si>
    <t>saldopmsi</t>
  </si>
  <si>
    <t>PAGOEXIGEPSI_INI</t>
  </si>
  <si>
    <t>9,2</t>
  </si>
  <si>
    <t xml:space="preserve">29 /  /  /  /  /  / </t>
  </si>
  <si>
    <t>Pago exigido de Promociones a meses sin intereses, al corte</t>
  </si>
  <si>
    <t>Payments requested of Non Interest Promotions at start date</t>
  </si>
  <si>
    <t>saldopci</t>
  </si>
  <si>
    <t>PAGOEXI_OTRO_INI</t>
  </si>
  <si>
    <t xml:space="preserve">30 /  /  /  /  /  / </t>
  </si>
  <si>
    <t>Pago exigido de cargos o promociones a meses con intereses al corte</t>
  </si>
  <si>
    <t>Payments requested of Non Interest other promotions at start date</t>
  </si>
  <si>
    <t>PAGONGI_INI</t>
  </si>
  <si>
    <t xml:space="preserve">32 /  /  /  /  /  / </t>
  </si>
  <si>
    <t>Pago para no generar intereses (PNGI), al inicio del periodo</t>
  </si>
  <si>
    <t>Payment for not creating interest at start date</t>
  </si>
  <si>
    <t>interespci</t>
  </si>
  <si>
    <t>PAGOMIN_CORTE</t>
  </si>
  <si>
    <t xml:space="preserve">33 /  /  /  /  /  / </t>
  </si>
  <si>
    <t>Pago Mínimo, al corte.</t>
  </si>
  <si>
    <t>Minimum payment at cut off date</t>
  </si>
  <si>
    <t>PAGONGI_CORTE</t>
  </si>
  <si>
    <t xml:space="preserve">34 /  /  /  /  /  / </t>
  </si>
  <si>
    <t>Pago para no generar intereses (PNGI) al corte.</t>
  </si>
  <si>
    <t>Payments for not Creating interest al cut off date</t>
  </si>
  <si>
    <t>PAGOREAL_PERANT</t>
  </si>
  <si>
    <t xml:space="preserve">35 /  /  /  /  /  / </t>
  </si>
  <si>
    <t>Pago realizado en el periodo inmediato anterior al que se reporta</t>
  </si>
  <si>
    <t>Peyment done by the customer in previous period</t>
  </si>
  <si>
    <t>pagonginicio</t>
  </si>
  <si>
    <t>INDGAR</t>
  </si>
  <si>
    <t>Nos aplica el 1 y el 3 según sea el caso</t>
  </si>
  <si>
    <t>Indicar mapeo SAF vs catalogo layout</t>
  </si>
  <si>
    <t>Debemos utilizar clave 1 del cátalogo</t>
  </si>
  <si>
    <t>IndGarantia</t>
  </si>
  <si>
    <t>48 / 35 / 35 / 35 / 36 / 35 / 34</t>
  </si>
  <si>
    <t>Indicador de garantía</t>
  </si>
  <si>
    <t>Collateral Indicator</t>
  </si>
  <si>
    <t>CODIGOAGRUPACION</t>
  </si>
  <si>
    <t>10</t>
  </si>
  <si>
    <t xml:space="preserve"> /  /  /  /  /  / 36</t>
  </si>
  <si>
    <t>Clave que utilice la institución (única e irrepetible) para identificar al grupo de que se trate, la cual deberá ser la misma en los reportes de todos los períodos- mes (de preferencia una clave corta). SOLO PARA CREDITOS GRUPALES</t>
  </si>
  <si>
    <t>Only for grupal loans this field is used to link them together</t>
  </si>
  <si>
    <t>NUMEROINTEGRANTES</t>
  </si>
  <si>
    <t xml:space="preserve"> /  /  /  /  /  / 37</t>
  </si>
  <si>
    <t>Número de personas que integran el grupo al que pertenece el acreditado al momento de originación del crédito
De acuerdo al artículo 91 BIS 1 de la CUB.</t>
  </si>
  <si>
    <t>When the customer is part of a group the number of people that posses the group</t>
  </si>
  <si>
    <t>CICLOS</t>
  </si>
  <si>
    <t xml:space="preserve"> /  /  /  /  /  / 38</t>
  </si>
  <si>
    <t>Promedio de ciclos del grupo al que pertenece el acreditado; se estima como el promedio del número de créditos que se han otorgado a cada uno de los integrantes del grupo, reflejando la antigüedad del grupo.</t>
  </si>
  <si>
    <t>Average of cicles of the group where the customer belongs</t>
  </si>
  <si>
    <t>DIASATRASO</t>
  </si>
  <si>
    <t>4,0</t>
  </si>
  <si>
    <t xml:space="preserve"> / 38 / 37 / 38 / 39 / 37 / 40</t>
  </si>
  <si>
    <t xml:space="preserve">Número de días naturales de atraso a la fecha de corte del período de que se trate. Al efecto, se deben considerar los días transcurridos entre la fecha en que se debió haber cubierto el Monto Exigible no pagado más antiguo (el pago más atrasado a la fecha de corte del período que se está reportando) y dicha fecha de corte. Para calcular esta variable, en el caso de créditos reestructurados se debe considerar el historial de pagos del acreditado: el actual junto con el anterior a la reestructura; cuando ésta consolide diversos créditos, se deben considerar las variables relativas al crédito con mayor deterioro      </t>
  </si>
  <si>
    <t>Number of days that is past due if applicable</t>
  </si>
  <si>
    <t>ExigibleTeorico</t>
  </si>
  <si>
    <t>PORPAGO</t>
  </si>
  <si>
    <t>Respuesta de Bajaware: Los campos PORPAGO, ATR y MAXATR se pueden calcular del histórico compartido en el insumo denominado PAGOSEXIGIBLES. Debemos pedir más detalle a Bajaware.</t>
  </si>
  <si>
    <t>Datos calculados que debe entregar BJ</t>
  </si>
  <si>
    <t>Confirmar con Bajaware (llenado por medio de otros reportes)</t>
  </si>
  <si>
    <t xml:space="preserve"> / AUTO /  / P / O /  / M</t>
  </si>
  <si>
    <t xml:space="preserve"> / 37 /  / 37 / 38 /  / 39</t>
  </si>
  <si>
    <t>Promedio de porcentaje de pagos realizados (%PAGO)</t>
  </si>
  <si>
    <t>Average of payment percentage (%PAGO)</t>
  </si>
  <si>
    <t>INTERNOS</t>
  </si>
  <si>
    <t>CodigoAgrupacion</t>
  </si>
  <si>
    <t>ATR</t>
  </si>
  <si>
    <t xml:space="preserve"> / 39 / 38 / 39 / 40 / 38 / 41</t>
  </si>
  <si>
    <t>Atr caluculado con base a la historia del credito</t>
  </si>
  <si>
    <t>Past due indicator calculated from Institution information</t>
  </si>
  <si>
    <t>NumeroIntegrantes</t>
  </si>
  <si>
    <t>MAXATR</t>
  </si>
  <si>
    <t xml:space="preserve"> /  / N / P /  /  / M</t>
  </si>
  <si>
    <t xml:space="preserve"> /  / 39 / 40 /  /  / 42</t>
  </si>
  <si>
    <t>Máximo número de Atrasos (MAXATR Conforme a la CUB)</t>
  </si>
  <si>
    <t>Maximum number of past due indicators</t>
  </si>
  <si>
    <t>Ciclos</t>
  </si>
  <si>
    <t xml:space="preserve">MESES_DESDE_ULT_ATR_BK  </t>
  </si>
  <si>
    <t>Respuesta de Bajaware: En cuanto al campo MESES_DESDE_ULT_ATR_BK se puede tomar del insumo de CALIFICA. Debemos pedir más detalle a Bajaware.</t>
  </si>
  <si>
    <t xml:space="preserve"> / 40 / 40 / 41 / 41 / 39 / 43</t>
  </si>
  <si>
    <t>Meses transcurridos desde el último atraso mayor a un día  registrado por el acreditado en sus compromisos crediticios registrados en la totalidad de las sociedades de información crediticia con Instituciones en los últimos trece meses, considerando el mes en el cual se califica el crédito.
Está variable tomará el valor de trece aun cuando un acreditado no hubiere registrado atrasos por más de trece meses.</t>
  </si>
  <si>
    <t>Months that have passed since the last past due reported by credit bureau</t>
  </si>
  <si>
    <t>DiasAtraso</t>
  </si>
  <si>
    <t>DELIP</t>
  </si>
  <si>
    <t>Hoy se manda sin cobranza delegada, en cero.</t>
  </si>
  <si>
    <t>EsCobranzaDelegada</t>
  </si>
  <si>
    <t xml:space="preserve"> /  /  / P /  /  / </t>
  </si>
  <si>
    <t xml:space="preserve"> /  /  / 42 /  /  / </t>
  </si>
  <si>
    <t>1 Si se cuenta con un esquema de cobranza delegada
0 En cualquier otro caso.</t>
  </si>
  <si>
    <t>There is a delegated collection scheme or not</t>
  </si>
  <si>
    <t>CATCUENTA</t>
  </si>
  <si>
    <t>5,1</t>
  </si>
  <si>
    <t xml:space="preserve">42 /  /  /  /  /  / </t>
  </si>
  <si>
    <t>CAT contenido en el estado de cuenta, al corte.</t>
  </si>
  <si>
    <t>INDICADORCAT</t>
  </si>
  <si>
    <t>IndicadorCAT</t>
  </si>
  <si>
    <t xml:space="preserve">43 /  /  /  /  /  / </t>
  </si>
  <si>
    <t>Indicador de crédito para CAT de Publicidad y Propaganda</t>
  </si>
  <si>
    <t>TIPO_MET</t>
  </si>
  <si>
    <t>Este dato se obtiene de un catálogo. Actualmente, se está reportando la clave "0", cuya descripción corresponde a créditos con "Metodología general estándar".
Hasta el momento, no se cuenta con otra metodología adicional, pero las demás opciones disponibles en el catálogo son las siguientes:
Clave | Descripción
1 | Metodología interna basada en la NIF - C16
2 | Metodología Paralela, General estándar con Interna
3 | Otra</t>
  </si>
  <si>
    <t>Metodologia_Reserva</t>
  </si>
  <si>
    <t>44 / 48 / 48 / 50 / 48 / 48 / 51</t>
  </si>
  <si>
    <t>Metodología Utilizada para el Cálculo de Reservas</t>
  </si>
  <si>
    <t xml:space="preserve">Meses_desde_ult_atr_bk  </t>
  </si>
  <si>
    <t>INDICADOR_SIC</t>
  </si>
  <si>
    <t>Este dato se obtiene de un catálogo. Actualmente, se está reportando la clave "1", cuya descripción corresponde a créditos con "Se cuenta con información reportada en la SIC".
Las demás opciones disponibles en el catálogo son las siguientes:
Clave | Descripción
1 | Se cuenta con información reportada en la SIC
2 | No existe información y no hay evidencia de que la persona acreditada haya tenido atrasos
3 | No existe información y si hay evidencia de que la persona acreditada haya tenido atrasos
4 | No se consultó la totalidad de la información de la persona acreditada en las SIC.</t>
  </si>
  <si>
    <t>IndicadorConsSIC</t>
  </si>
  <si>
    <t>46 / 41 / 41 / 43 / 43 / 41 / 44</t>
  </si>
  <si>
    <t>Indicador de consulta SIC</t>
  </si>
  <si>
    <t>MESES_CONSULTA_SIC</t>
  </si>
  <si>
    <t>No sabemos en que tabla de SAF esta, no tenemos acceso a las bases de buró de crédito.</t>
  </si>
  <si>
    <t>Consulta en bases del buró de crédito</t>
  </si>
  <si>
    <t>Indicar el campo y fuente de informacion</t>
  </si>
  <si>
    <t>Este campo el equipo de lunaro no lonecesita extraer, puesto que vamos a entregar el califica (tal cual lo recibamos de BC) a Bw para que ellos tomen el dato y lo incluyan en el layout y también, para que realicen el cálculo de reservas</t>
  </si>
  <si>
    <t>47 / 44 / 44 / 46 / 46 / 44 / 47</t>
  </si>
  <si>
    <t>Número de meses desde la última consulta al SIC</t>
  </si>
  <si>
    <t>ETAPADETERIORO</t>
  </si>
  <si>
    <t>Entendemos que se refiere a la etapa de riesgo, indicar mapeo SAF vs Catalogo del layout</t>
  </si>
  <si>
    <t>No hay nada que relacionar el catálogo te marca como tal las 3 clasicaciones que tenemos en SAF. Si es etapa 1, clave 1 del catálogo, si es etapa 2, clave 2 del catálogo y si es estapa 3, clave 3 del catálogo.</t>
  </si>
  <si>
    <t>Etapa</t>
  </si>
  <si>
    <t>8 / 60 / 4 / 4 / 4 / 4 / 4 / 4</t>
  </si>
  <si>
    <t>Etapa de Deterioro en la que se encuentra el crédito</t>
  </si>
  <si>
    <t>Stage bucket applicable according to IFRS9</t>
  </si>
  <si>
    <t>TASA_COBRADA</t>
  </si>
  <si>
    <t>62 / 51 / 51 / 53 / 51 / 51 / 53</t>
  </si>
  <si>
    <t>Tasa de Interés Anual cobrada al cliente, conforme a CUB Art. 92 II Bis. b)</t>
  </si>
  <si>
    <t>ESREVOLVENTE</t>
  </si>
  <si>
    <t>EsRevolvente</t>
  </si>
  <si>
    <t xml:space="preserve"> /  /  /  /  /  / </t>
  </si>
  <si>
    <t>1 = Revolvente, 0 = No Revolvente
Se usa para calificar el credito de forma Revolvente</t>
  </si>
  <si>
    <t>Flag to identify if loan is revolving or not</t>
  </si>
  <si>
    <t>ANTIGUEDADACREDITADO</t>
  </si>
  <si>
    <t>Campo calculado identificando fecha del 1er crédito /Consulta SAF</t>
  </si>
  <si>
    <t>CR / AUTO / N / P /  / A / M</t>
  </si>
  <si>
    <t>54 / 46 / 46 / 49 /  / 47 / 50</t>
  </si>
  <si>
    <t>Número de meses enteros transcurridos desde la apertura del primer producto crediticio dentro de la Institución hasta la fecha de cálculo de reservas.</t>
  </si>
  <si>
    <t>Number of months since the loan was disbursed till the reporting date</t>
  </si>
  <si>
    <t>MONEDA</t>
  </si>
  <si>
    <t>MondedaConsumo</t>
  </si>
  <si>
    <t>Clave de la moneda en la que se otorgó el crédito</t>
  </si>
  <si>
    <t>Currency code</t>
  </si>
  <si>
    <t>EtapaDeterioro</t>
  </si>
  <si>
    <t>AFORO</t>
  </si>
  <si>
    <t xml:space="preserve"> / AUTO /  /  /  /  / M</t>
  </si>
  <si>
    <t xml:space="preserve"> / 73 /  /  /  /  / 0</t>
  </si>
  <si>
    <t>Importe del crédito sin incluir el monto del financiamiento destinado al pago de accesorios financieros (p.ej., primas de seguros y comisiones). Se define como el Valor Total del bien a crédito menos el enganche.</t>
  </si>
  <si>
    <t>Credit amount without accesories</t>
  </si>
  <si>
    <t>ENGANCHE</t>
  </si>
  <si>
    <t xml:space="preserve"> / 74 /  /  /  /  / 0</t>
  </si>
  <si>
    <t>Importe pagado por el acreditado a la Institución para obtener el crédito sin incluir accesorios financieros (p.ej., comisiones y primas de seguros).</t>
  </si>
  <si>
    <t>Initial payment for loan authorization</t>
  </si>
  <si>
    <t>VALORTOTALCREDITO</t>
  </si>
  <si>
    <t>20,2</t>
  </si>
  <si>
    <t xml:space="preserve"> / 75 /  /  /  /  / 0</t>
  </si>
  <si>
    <t>Valor total del bien, incluyendo todos sus aditamentos (p.ej., quemacocos, asientos de piel, localizadores satelitales, etc.), correspondiente al pago a crédito, incluyendo gastos e impuestos derivados de la compra del bien menos descuentos y bonificaciones y sin incluir accesorios financieros (como comisiones y primas de seguros).
Este monto será igual al Valor Original del Bien (campo 10) cuando no haya diferencia entre el precio de contado y el precio a crédito.</t>
  </si>
  <si>
    <t>Asset total value including accesories if applicable</t>
  </si>
  <si>
    <t>AntiguedadAcreditado</t>
  </si>
  <si>
    <t>CAT</t>
  </si>
  <si>
    <t xml:space="preserve"> / 76 / 73 / 75 / 73 / 73 / 75</t>
  </si>
  <si>
    <t>Costo anual total (CAT) calculado por la institución para cada uno de los créditos otorgados en el periodo conforme a la Circular 9/2015. El CAT reportado deberá ser el que la institución calcule para el crédito al momento de su apertura, considerando las particularidades de origen del financiamiento otorgado.</t>
  </si>
  <si>
    <t>Total Annual Cost</t>
  </si>
  <si>
    <t>Moneda</t>
  </si>
  <si>
    <t>EXIGIBLESINSEGUROSCOMISIONES</t>
  </si>
  <si>
    <t xml:space="preserve"> / 77 /  /  /  /  / 0</t>
  </si>
  <si>
    <t>Monto exigible del Periodo de Facturación de que se trate sin incluir el importe de comisiones y seguros.</t>
  </si>
  <si>
    <t>Payment amount fot the customer without insurance or fees</t>
  </si>
  <si>
    <t>Aforo</t>
  </si>
  <si>
    <t>MODALIDADCAT</t>
  </si>
  <si>
    <t>ModalidadCAT</t>
  </si>
  <si>
    <t xml:space="preserve"> / 78 /  /  /  /  / 0</t>
  </si>
  <si>
    <t>Catálogo de modalidad del cálculo del CAT que utilice la institución para el crédito reportado.</t>
  </si>
  <si>
    <t>Total Annual cost modality</t>
  </si>
  <si>
    <t>Enganche</t>
  </si>
  <si>
    <t>PRIMASEGUROOBLIGATORIO</t>
  </si>
  <si>
    <t>7,2</t>
  </si>
  <si>
    <t xml:space="preserve"> / AUTO /  /  /  /  / </t>
  </si>
  <si>
    <t xml:space="preserve"> / 79 /  /  /  /  / </t>
  </si>
  <si>
    <t>Monto anual de las primas de todos los seguros obligatorios con excepción del seguro de daños; en este campo se deberá reportar la suma de todas las primas anuales de los seguros obligatorios (excepto el seguro de daños), bajo las siguientes consideraciones:
a. Las instituciones que cobren alguna prima de forma mensual, deberán considerar el valor de la prima multiplicado por 12 para reportar este campo. 
b. Las instituciones que, al inicio del crédito, cobren alguna prima por la totalidad de la vigencia del crédito, deberán considerar el importe correspondiente al primer año para reportar este campo.
c. Las instituciones que no cobren alguna prima el primer año del plazo del crédito, sino a partir del segundo año, deberán reportar el número que resulte de multiplicar el valor de la prima anual por el número de años del plazo para los que efectivamente se cobra dicha prima, dividida por el número de años que componen el plazo total del crédito.</t>
  </si>
  <si>
    <t>Amount of all insurance premium to be paid by the customer</t>
  </si>
  <si>
    <t>ValorTotalCredito</t>
  </si>
  <si>
    <t>PRIMASEGURODAÑOS</t>
  </si>
  <si>
    <t xml:space="preserve"> / 80 /  /  /  /  / </t>
  </si>
  <si>
    <t>Se deberá reportar el monto anual correspondiente a la prima del seguro de daños bajo las siguientes consideraciones: 
a. Todas las instituciones financieras deberán reportar el monto anual correspondiente a la prima del seguro de daños, sin excepción: 
• Para los créditos en los que las instituciones financieras conocen el costo del seguro de daños, éstas deberán reportar el costo de la prima anual del seguro contratado por el acreditado (con las características reales del seguro). 
• Para los créditos en los que las instituciones financieras desconocen el costo del seguro de daños, las instituciones deberán reportar el costo del seguro de daños que hubieran vendido al acreditado en caso de que éste contratara el seguro con alguna aseguradora que mantiene convenio con ellas. En cualquier situación, el seguro de daños considerado deberá cubrir al acreditado (y a la institución) contra todo tipo de riesgo y por el saldo insoluto del crédito del vehículo otorgado en garantía (COBERTURA AMPLIA). 
b. Las instituciones que cobren la prima del seguro de daños de forma mensual, deberán reportar el valor de la prima multiplicado por 12. 
c. Las instituciones que, al inicio del crédito, cobren la prima del seguro de daños por la totalidad de la vigencia del crédito, deberán reportar el importe correspondiente al primer año.
d. Las instituciones que no cobren la prima del seguro de daños el primer año del plazo del crédito, sino a partir del segundo año, deberán reportar el número que resulte de multiplicar el valor de la prima anual del seguro de daños por el número de años del plazo para los que efectivamente se cobra dicha prima, dividida por el número de años que componen el plazo total del crédito.</t>
  </si>
  <si>
    <t>Annual amount to be paid from insurance premium</t>
  </si>
  <si>
    <t>GVECES1</t>
  </si>
  <si>
    <t>GVECES</t>
  </si>
  <si>
    <t xml:space="preserve">58 /  /  /  /  /  / </t>
  </si>
  <si>
    <t>Monto a pagar con el banco en créditos Revolventes  y de Pagos Fijos &lt;= 640</t>
  </si>
  <si>
    <t>Amount that the customer must pay that is &lt;=640</t>
  </si>
  <si>
    <t>ExigibleSinSegurosComisiones</t>
  </si>
  <si>
    <t>GVECES2</t>
  </si>
  <si>
    <t>Monto a pagar con el banco en créditos Revolventes  y de Pagos Fijos &gt; 640 y veces_monto_banco&lt; 2.20</t>
  </si>
  <si>
    <t>Amount that the customer must pay that is &gt;640 and ratio amount to be paid to institution &lt;2.2</t>
  </si>
  <si>
    <t>GVECES3</t>
  </si>
  <si>
    <t>Monto a pagar con el banco en créditos Revolventes  y de Pagos Fijos  &gt; 640 y veces_monto_banco&gt;= 2.20</t>
  </si>
  <si>
    <t>Amount that the customer must pay that is &gt;640 and ratio amount to be paid to institution &gt;=2.2</t>
  </si>
  <si>
    <t>PrimaSeguroObligatorio</t>
  </si>
  <si>
    <t>MESES</t>
  </si>
  <si>
    <t xml:space="preserve">51 /  /  /  /  /  / </t>
  </si>
  <si>
    <t>Meses de Atraso en el pago, al corte.</t>
  </si>
  <si>
    <t>Past due months in payment, at cut off date</t>
  </si>
  <si>
    <t>PrimaSeguroDaños</t>
  </si>
  <si>
    <t>MONTOPAGARINST</t>
  </si>
  <si>
    <t xml:space="preserve">CR /  /  /  /  / A / </t>
  </si>
  <si>
    <t xml:space="preserve">52 /  /  /  /  / 45 / </t>
  </si>
  <si>
    <t>Monto a pagar a la institución (Conforme al Art. 92 de la CUB)</t>
  </si>
  <si>
    <t>Amount to pay to the bank</t>
  </si>
  <si>
    <t>MONTOPAGARSIC</t>
  </si>
  <si>
    <t>53 / 44 / 44 / 46 / 45 / 44 / 47</t>
  </si>
  <si>
    <t>Monto a pagar en las sociedades de información crediticia (Conforme al Art. 92 de la CUB)</t>
  </si>
  <si>
    <t>Amount to pay to the Credit Bureau Institutions</t>
  </si>
  <si>
    <t>MESESIC</t>
  </si>
  <si>
    <t xml:space="preserve">55 /  /  /  /  /  / </t>
  </si>
  <si>
    <t>Meses transcurridos de atraso en las sociedades de información crediticia 'BKART' (Conforme al Art. 92 de la CUB)</t>
  </si>
  <si>
    <t>Months with past due in Credit Bureau Institutions (BKART)</t>
  </si>
  <si>
    <t>MESAPERT</t>
  </si>
  <si>
    <t xml:space="preserve">56 /  /  /  /  /  / </t>
  </si>
  <si>
    <t>Meses desde la Apertura de la Cuenta</t>
  </si>
  <si>
    <t>Months since the account was opened</t>
  </si>
  <si>
    <t>IMPAGO</t>
  </si>
  <si>
    <t xml:space="preserve">59-60 /  /  /  /  /  /  / </t>
  </si>
  <si>
    <t>Impago en el mes</t>
  </si>
  <si>
    <t>Past due in the month</t>
  </si>
  <si>
    <t>ETAPA_CRED_INT_C16</t>
  </si>
  <si>
    <t>69 / 58 / 58 / 60 / 58 / 58 / 60</t>
  </si>
  <si>
    <t>Etapa de Deterioro Metodología Interna Basada en la NIF C-16  (Conforme al Art. 92 de la CUB)</t>
  </si>
  <si>
    <t>TASA_DESC_C16</t>
  </si>
  <si>
    <t>71 / 59 / 59 / 61 / 59 / 59 / 61</t>
  </si>
  <si>
    <t xml:space="preserve">Tasa de Descuento Metodología Interna Basada en la NIF C-16 </t>
  </si>
  <si>
    <t>TASA_MI_C16</t>
  </si>
  <si>
    <t>72 / 60 / 60 / 62 / 60 / 60 / 62</t>
  </si>
  <si>
    <t>Tasa de Interés Metodología Interna Basada en la NIF C-16</t>
  </si>
  <si>
    <t>TASA_PREP_C16</t>
  </si>
  <si>
    <t>73 / 61 / 61 / 63 / 61 / 61 / 63</t>
  </si>
  <si>
    <t xml:space="preserve">Tasa Prepago Anual Metodología Interna Basada en la NIF C-16 </t>
  </si>
  <si>
    <t>PI_C16</t>
  </si>
  <si>
    <t>74 / 62 / 62 / 64 / 62 / 62 / 64</t>
  </si>
  <si>
    <t>Probabilidad de Incumplimiento, de acuerdo a la metodología interna basada en la NIF C-16 establecida por la propia institución en cumplimiento con el artículo 139 Bis 2 de la CUB.</t>
  </si>
  <si>
    <t>SP_C16</t>
  </si>
  <si>
    <t>75 / 63 / 63 / 65 / 63 / 63 / 65</t>
  </si>
  <si>
    <t>Severidad de la Pérdida, de acuerdo a la metodología interna basada en la NIF C-16 establecida por la propia institución en cumplimiento con el artículo 139 Bis 2 de la CUB.</t>
  </si>
  <si>
    <t>EI_C16</t>
  </si>
  <si>
    <t>12,2</t>
  </si>
  <si>
    <t>76 / 64 / 64 / 66 / 64 / 64 / 66</t>
  </si>
  <si>
    <t>Exposición al Incumplimiento, de acuerdo a la metodología interna basada en la NIF C-16 establecida por la propia institución en cumplimiento con el artículo 139 Bis 2 de la CUB.</t>
  </si>
  <si>
    <t>RESERVA_MI_C16</t>
  </si>
  <si>
    <t>77 / 65 / 65 / 67 / 65 / 65 / 67</t>
  </si>
  <si>
    <t>Reservas Metodología Interna Basada en la NIF C-16  Horizonte 12 meses (conforme al artículo 139 Bis 2 de la CUB)</t>
  </si>
  <si>
    <t>RESERVA_MI_LT_C16</t>
  </si>
  <si>
    <t>78 / 66 / 66 / 68 / 66 / 66 / 68</t>
  </si>
  <si>
    <t>Reservas Metodología Interna Basada en la NIF C-16 Horizonte Vida Completa</t>
  </si>
  <si>
    <t>RESERVA_MI_TOT_C16</t>
  </si>
  <si>
    <t>79 / 67 / 67 / 69 / 67 / 67 / 69</t>
  </si>
  <si>
    <t>Reservas Totales Generales a Constituir Metodología Interna basada en la NIF C-16  (conforme a la CUB Art. 92)  para la etapa 2 es el mayor entre la general y vida completa.</t>
  </si>
  <si>
    <t>PI_MI_C</t>
  </si>
  <si>
    <t>80 / 68 / 68 / 70 / 68 / 68 / 70</t>
  </si>
  <si>
    <t>Probabilidad de Incumplimiento Metodología Interna de Capital</t>
  </si>
  <si>
    <t>SP_MI_C</t>
  </si>
  <si>
    <t>81 / 69 / 69 / 71 / 69 / 69 / 71</t>
  </si>
  <si>
    <t>Severidad de la Pérdida Metodología Interna de Capital</t>
  </si>
  <si>
    <t>EI_MI_C</t>
  </si>
  <si>
    <t>82 / 70 / 70 / 72 / 70 / 70 / 72</t>
  </si>
  <si>
    <t>Exposición al Incumplimiento Metodología Interno de Capital</t>
  </si>
  <si>
    <t>RESERVA_MI_C_TOT</t>
  </si>
  <si>
    <t>14,4</t>
  </si>
  <si>
    <t>83 / 71 / 71 / 73 / 71 / 71 / 73</t>
  </si>
  <si>
    <t>Reservas Totales Metodología Interna de Capital</t>
  </si>
  <si>
    <t>RVAS_ADICIONALES</t>
  </si>
  <si>
    <t>Riesgos nos tendría que ayudar con este calculo, no tenemos contexto de como se genera en Operaciones.</t>
  </si>
  <si>
    <t>Este dato se refiere al monto en pesos de las estimaciones adicionales y se calcula de la siguiente manera:
Reservas Adicionales – Regla de Aplicación
¿Cuándo se aplica una reserva adicional?
La reserva adicional solo aplica en los siguientes casos:
+El crédito es una reestructura, y
+Al momento de originarse la reestructura, el crédito se clasifica directamente en Etapa 3
En ese caso:
          +Reserva adicional = Intereses Capitalizados
En cualquier otro caso (por ejemplo, si no es reestructura):
          +Reserva adicional = 0
Consideraciones adicionales:
El monto de la reserva adicional se mantiene sin cambios hasta que ocurra alguna de estas dos situaciones:
	   +El crédito sale de Etapa 3
	   +El crédito se liquida
¿Cómo identificar cada elemento en el cierre de cartera?
	Saber si es una reestructura:
	 +Revisar la columna "Operaciones". Si aparece el valor "Reestructura", significa que el crédito fue reestructurado en ese periodo.
	Saber la etapa del crédito:
	 +Revisar la columna "Etapa". Ahí se indicará si el crédito está en Etapa 1, 2 o 3.
	Saber el Monto de Intereses Capitalizados:
	 +Este dato estará disponible en la columna "Intereses_Capitalizados", la cual se incorporará en el cierre de cartera y en las extracciones que realizara el equipo de TI una vez que se finalice el proyecto de automatización de pólizas.
	 +Este será el valor que se utilizará para el monto de la reserva adicional, siempre que se cumplan las condiciones mencionadas anteriormente.</t>
  </si>
  <si>
    <t>Indicar la regla y fuente de la informacion</t>
  </si>
  <si>
    <t>Detonante: Si es una reestructura o no. Si es reestructura y esta nace con etapa 3, entonces el monto de la reserva adicional = intereses en cuentas de orden que tenga el crédito al momento del trapaso (suma de los intereses en cuentas de orden moratorios + ordinarios + gastos de cobranza (comisión administrativa). Si no hay reestructura en ese caso sería cero.</t>
  </si>
  <si>
    <t>84 / 72 / 72 / 74 / 72 / 72 / 74</t>
  </si>
  <si>
    <t>Reservas Adicionales</t>
  </si>
  <si>
    <t>SALDO_REP_SIC</t>
  </si>
  <si>
    <t>Este campo el equipo de lunaro no lo necesita extraer, puesto que vamos a entregar el califica (tal cual lo recibamos de BC) a Bw para que ellos tomen el dato y lo incluyan en el layout y también, para que realicen el cálculo de reservas</t>
  </si>
  <si>
    <t xml:space="preserve"> /  /  / P / O /  / M</t>
  </si>
  <si>
    <t xml:space="preserve"> /  /  / 47 / 46 /  / 48</t>
  </si>
  <si>
    <t>Saldo Reportado en las Sociedades de Información Crediticia (Conforme al Art. 97 Bis 11 de la CUB)</t>
  </si>
  <si>
    <t>HIPOTESISPRESREF</t>
  </si>
  <si>
    <t>Actualmente no contamos con una politica para establecer la hipotesis de presunción. El dato se manda Vacío</t>
  </si>
  <si>
    <t>Hipótesis presunción refutable</t>
  </si>
  <si>
    <t>Indicador de Hipotesis de Presunción Refutable</t>
  </si>
  <si>
    <t>Indicator of Presumable Hipothesis for Risk Manteinance</t>
  </si>
  <si>
    <t>FECHABAJA</t>
  </si>
  <si>
    <t>CR / CNR (BAJAS)</t>
  </si>
  <si>
    <t xml:space="preserve"> Fecha en la que se dé el movimiento de baja, conforme al catálogo de tipo de bajas de crédito.</t>
  </si>
  <si>
    <t>Date of Discharge of the loan</t>
  </si>
  <si>
    <t>TIPOBAJA</t>
  </si>
  <si>
    <t>Indicar columna del archivo de cierre // 30/01 - Confirmo que en SAF no se está registrando el dato, se debe tomar de otra fuente u operativamente definir que se llene en SAF para poder obtener el dato de ahí</t>
  </si>
  <si>
    <t>Las reglas están Anexo Catálogo Tipo Baja Consumo. En carpeta entrega Cartera.</t>
  </si>
  <si>
    <t>TipoBajaConsumo</t>
  </si>
  <si>
    <t>Indicar el motivo de baja del credito</t>
  </si>
  <si>
    <t>Reason for dicharging the loan</t>
  </si>
  <si>
    <t>TIPOCREDITO</t>
  </si>
  <si>
    <t>Indicar el campo y el mapeo SAF vs catalogo layout</t>
  </si>
  <si>
    <t>Nos aplica la clave 50 si s crédito nuevo, 500 si es una reestructura sin disminución de tasa, 515 cuando es reestructura pero hubo disminución de tasa.</t>
  </si>
  <si>
    <t>TipoCreditoConsumo</t>
  </si>
  <si>
    <t>Para el llenado de este campo, se deberán utilizar las claves contenidas en el catálogo denominado “Tipo de Crédito al Consumo” Banxico</t>
  </si>
  <si>
    <t>Credit type</t>
  </si>
  <si>
    <t>SALDOTOT_CORTE</t>
  </si>
  <si>
    <t xml:space="preserve">17 /  /  /  /  /  / </t>
  </si>
  <si>
    <t>Saldo Total al corte</t>
  </si>
  <si>
    <t>Total Amount at cut off date</t>
  </si>
  <si>
    <t>FECHA_INFO</t>
  </si>
  <si>
    <t>Fecha</t>
  </si>
  <si>
    <t>CONTROL INTERNO</t>
  </si>
  <si>
    <t>Fecha a la que corresponde la información</t>
  </si>
  <si>
    <t>Date of the information</t>
  </si>
  <si>
    <t>FechaBaja</t>
  </si>
  <si>
    <t>FACT_AJUSTE_GENERO</t>
  </si>
  <si>
    <t>¿?</t>
  </si>
  <si>
    <t>Debemos consultar con Bajaware este campo. No tenemos claro a que se refiere con Genero.</t>
  </si>
  <si>
    <t>Aplica para identificar si es mujer. Si esta como FEMENINO en SAF clave 1, y MASCULINO clave 0 del catálogo.</t>
  </si>
  <si>
    <t>Ind_Factor_Genero</t>
  </si>
  <si>
    <t xml:space="preserve"> / AUTO / N / P / O / A / </t>
  </si>
  <si>
    <t xml:space="preserve"> / 49 / 49 / 51 / 49 / 49 / </t>
  </si>
  <si>
    <t>Indicador de Factor de ajuste por genero</t>
  </si>
  <si>
    <t>Indicator of gender adjustment</t>
  </si>
  <si>
    <t>TipoBaja</t>
  </si>
  <si>
    <t>CAMBIO_ETAPA</t>
  </si>
  <si>
    <t>El dato esta en el Cierre excel (calcular de la etapa anterior y la actual) que Edgar esta trabajando.</t>
  </si>
  <si>
    <t>Cierre excel (calcular de la etapa anterior y la actual)</t>
  </si>
  <si>
    <t>Cambio_Etapa</t>
  </si>
  <si>
    <t>61 / 50 / 50 / 52 / 50 / 50 / 52</t>
  </si>
  <si>
    <t>Cambio de Etapa (Por Incumplimientos Subjetivos)</t>
  </si>
  <si>
    <t>Stage change (by subjective unfulfilment)</t>
  </si>
  <si>
    <t>TipoCredito</t>
  </si>
  <si>
    <t>ID_PPP</t>
  </si>
  <si>
    <t>40</t>
  </si>
  <si>
    <t>Identificador de Portafolio de Primeras Perdidas</t>
  </si>
  <si>
    <t xml:space="preserve">Identification number of First Loss Portfolio </t>
  </si>
  <si>
    <t>SaldoFavor</t>
  </si>
  <si>
    <t>ID_PYM</t>
  </si>
  <si>
    <t>Identificador de Portafolio de Paso y Medida</t>
  </si>
  <si>
    <t>Identification number of Step and Measure Portfolio</t>
  </si>
  <si>
    <t>DiasVencidos</t>
  </si>
  <si>
    <t>SITUACIONLINEACREDITO</t>
  </si>
  <si>
    <t>SituacionLineaR</t>
  </si>
  <si>
    <t>CR</t>
  </si>
  <si>
    <t>Situación de la línea de crédito</t>
  </si>
  <si>
    <t>Credit line situation</t>
  </si>
  <si>
    <t>Periodicidad_capital</t>
  </si>
  <si>
    <t>Escala de los Períodos de Facturación del capital</t>
  </si>
  <si>
    <t>SALDOPMSI_CORTE</t>
  </si>
  <si>
    <t xml:space="preserve">18 /  /  /  /  /  / </t>
  </si>
  <si>
    <t>Se debe reportar el saldo del crédito total a la fecha de corte del período que se está reportando de promociones a meses sin intereses</t>
  </si>
  <si>
    <t>SALDOPCI_CORTE</t>
  </si>
  <si>
    <t xml:space="preserve">19 /  /  /  /  /  / </t>
  </si>
  <si>
    <t>Se debe reportar el saldo del crédito total a la fecha de corte del período que se está reportando de cargos o promo-ciones a meses con intereses</t>
  </si>
  <si>
    <t>Variables Calculadas por BW para CNR</t>
  </si>
  <si>
    <t>Columna1</t>
  </si>
  <si>
    <t>Orden</t>
  </si>
  <si>
    <t>Llave</t>
  </si>
  <si>
    <t>Nombre</t>
  </si>
  <si>
    <t>Descripcion Ingles</t>
  </si>
  <si>
    <t>Validacion1</t>
  </si>
  <si>
    <t>Metodologías</t>
  </si>
  <si>
    <t xml:space="preserve">Calificación Obligatorio </t>
  </si>
  <si>
    <t>Calificación Opcional</t>
  </si>
  <si>
    <t>Reportes Obligatorio</t>
  </si>
  <si>
    <t>Reportes Opcional</t>
  </si>
  <si>
    <t>Column1</t>
  </si>
  <si>
    <t>NUMERICO(5,2)</t>
  </si>
  <si>
    <t>Calificación              
Seguimiento auto(36) Seguimiento persona(36)</t>
  </si>
  <si>
    <t>Número de Atrasos observados a la fecha de cálculo de reservas.</t>
  </si>
  <si>
    <t>Anexo 16-A de la CUB</t>
  </si>
  <si>
    <t>Fecha de antigüedad de la informacion no mayor a 1 mes</t>
  </si>
  <si>
    <t>No Revolvente</t>
  </si>
  <si>
    <t>Endeudamiento</t>
  </si>
  <si>
    <t>NUMERICO( 5,2 )</t>
  </si>
  <si>
    <t>Calificación              
Seguimiento auto(40)</t>
  </si>
  <si>
    <t>Se obtiene como el Monto a Pagar reportado en las sociedades de información
crediticia de conformidad con el presente artículo entre el Ingreso Mensual del
Acreditado</t>
  </si>
  <si>
    <t>Concumo_2017.MonExiRepSIC / AnexoConsumo_2017.IngresosMenAcre</t>
  </si>
  <si>
    <t xml:space="preserve">Endeudamiento </t>
  </si>
  <si>
    <t>PorSDOIMP</t>
  </si>
  <si>
    <t>NUMERICO(10,2)</t>
  </si>
  <si>
    <t>Calificación No Revolvente</t>
  </si>
  <si>
    <t>Porcentaje que represente el Saldo del Crédito del Importe Original del mismo a la fecha de
cálculo.</t>
  </si>
  <si>
    <t>SaldoCapitalVigente+
SaldoInteresVigente+
SaldoCapitalVencido+
SaldoInteresVencido/ImporteOriginal</t>
  </si>
  <si>
    <t>VECES</t>
  </si>
  <si>
    <t>NUMERICO(10)</t>
  </si>
  <si>
    <t>Se calcula como el Monto a Pagar Reportado a las sociedades de información crediticia dividido entre el Monto a Pagar a la Institución conforme a lo definido en el Artículo 91 de las presentes disposiciones.</t>
  </si>
  <si>
    <t xml:space="preserve">MonExiRepSIC / MonExiIns </t>
  </si>
  <si>
    <t>Fecha de antigüedad de la informacion no mayor a 3 mes</t>
  </si>
  <si>
    <t>Veces monto a pagar con el sistema vs saldo</t>
  </si>
  <si>
    <t>AltoiB</t>
  </si>
  <si>
    <t>ENTERO(1)</t>
  </si>
  <si>
    <t>1 Si el Monto a Pagar a la Institución es mayor a $634 y VECESi B es mayor a 2.
0 En cualquier otro caso.</t>
  </si>
  <si>
    <t>MedioiB</t>
  </si>
  <si>
    <t>1 Si el Monto a Pagar a la Institución es mayor a $634 y VECESi B es menor o igual a 2.
0 En cualquier otro caso.</t>
  </si>
  <si>
    <t>BajoiB</t>
  </si>
  <si>
    <t>1 Si el Monto a Pagar a la Institución es menor o igual a $634.
0 En cualquier otro caso.</t>
  </si>
  <si>
    <t>PorPago</t>
  </si>
  <si>
    <t>Porcentaje que representa el Pago Realizado entre el Monto Exigible.</t>
  </si>
  <si>
    <t>PagoRealizado / MontoExigible</t>
  </si>
  <si>
    <t>PromedioPago</t>
  </si>
  <si>
    <t>Calificación No Revolvente Seguimiento auto(34) Seguimiento persona(34)</t>
  </si>
  <si>
    <t>Promedio simple de los cocientes de Pago Realizado entre el Monto Exigible en los últimos 4 Periodos de Facturación cuando la facturación sea mensual, 7 Periodos de Facturación cuando la facturación sea quincenal o en los últimos 14 Periodos de Facturación cuando la facturación sea semanal a la fecha de cálculo. El promedio se debe obtener después de haber calculado el porcentaje que representa el Pago Realizado con respecto del Monto Exigible para cada uno de los Periodos de Facturación previos a la fecha de cálculo de reservas. En caso de que a la fecha de cálculo de las reservas hubieran transcurrido menos Periodos de Facturación de los indicados, el promedio se obtendrá con los porcentajes existentes.</t>
  </si>
  <si>
    <t>Consumo No Revolvente
Semanal -&gt; 14 Periodos  ( PorPagoActual+ PorPagoHist1+ ...+  PorPagoHist13)
Quincenal -&gt; 7 Periodos   ( PorPagoActual+ PorPagoHist1+ ...+  PorPagoHist6)
Mensual -&gt; 4 Periodos ( PorPagoActual+ PorPagoHist1+  PorPagoHist2+  PorPagoHist3)
Micro credito Grupal
Semanal -&gt; 3 Periodos  ( PorPagoActual+ PorPagoHist1+ PorPagoHist2)
Quincenal -&gt; 2 Periodos   ( PorPagoActual+ PorPagoHist1)
Mensual -&gt; 1 Periodo ( PorPagoActual)</t>
  </si>
  <si>
    <t>AltoiA</t>
  </si>
  <si>
    <t>1 Si el Endeudamiento del acreditado es mayor a 0.65 y la Antigüedad del Acreditado con Instituciones es igual o menor a 54 meses.
0 En cualquier otro caso.</t>
  </si>
  <si>
    <t>MedioiA</t>
  </si>
  <si>
    <t>1 Si el Endeudamiento del acreditado es menor o igual a 0.65 y la Antigüedad del Acreditado con Instituciones es igual o menor a 54 meses, o si el Endeudamiento del acreditado es mayor a 0.65 y la Antigüedad del Acreditado con Instituciones es mayor a 54 meses.
0 En cualquier otro caso.</t>
  </si>
  <si>
    <t>BajoiA</t>
  </si>
  <si>
    <t>1 Si el Endeudamiento del acreditado es menor o igual a 0.65 y la Antigüedad del Acreditado con Instituciones mayor a 54 meses.
0 En cualquier otro caso.</t>
  </si>
  <si>
    <t>MaxATRiN</t>
  </si>
  <si>
    <t>Máximo Número de Atrasos (ATRiN) presentado en los últimos 4 meses considerando el mes del cálculo.</t>
  </si>
  <si>
    <r>
      <t>ART</t>
    </r>
    <r>
      <rPr>
        <vertAlign val="subscript"/>
        <sz val="12"/>
        <color theme="1"/>
        <rFont val="Calibri"/>
        <family val="2"/>
        <scheme val="minor"/>
      </rPr>
      <t>i</t>
    </r>
    <r>
      <rPr>
        <vertAlign val="superscript"/>
        <sz val="12"/>
        <color theme="1"/>
        <rFont val="Calibri"/>
        <family val="2"/>
        <scheme val="minor"/>
      </rPr>
      <t>N</t>
    </r>
    <r>
      <rPr>
        <sz val="12"/>
        <color theme="1"/>
        <rFont val="Calibri"/>
        <family val="2"/>
        <scheme val="minor"/>
      </rPr>
      <t>Actual + ARTiNHist1+ ARTiNHist2+ ARTiNHist3</t>
    </r>
  </si>
  <si>
    <t>AltoiN</t>
  </si>
  <si>
    <t>1 Si Endeudamiento mayor a 0.40 y Antigüedad del Acreditado en la Institución menor o igual a 29 meses.
0 En cualquier otro caso.</t>
  </si>
  <si>
    <t>MedioiN</t>
  </si>
  <si>
    <t>1 Si Endeudamiento menor o igual a 0.40 y Antigüedad del Acreditado en la Institución menor o igual a 29 meses, o si Endeudamiento mayor a 0.40 y Antigüedad del Acreditado en la Institución mayor a 29 meses
0 En cualquier otro caso.</t>
  </si>
  <si>
    <t>BajoiN</t>
  </si>
  <si>
    <t>1 Si Endeudamiento menor o igual a 0.40 y Antigüedad del Acreditado en la Institución mayor a 29 meses.
0 En cualquier otro caso</t>
  </si>
  <si>
    <t>PorMTOSDOiP</t>
  </si>
  <si>
    <t>Se calcula como el cociente del Monto a Pagar Reportado en las sociedades de información crediticia entre el Saldo Reportado en las sociedades de información crediticia, ambos de conformidad con el Artículo 91 Bis de las presentes disposiciones.</t>
  </si>
  <si>
    <t>MonExiRepSIC /  SaldoRepSIC</t>
  </si>
  <si>
    <t>AltoiP</t>
  </si>
  <si>
    <t>1 Si %MTOSDOiP es mayor a 0.085 y Antigüedad del Acreditado es menor o igual a 28 meses.
0 En cualquier otro caso.</t>
  </si>
  <si>
    <t>MedioiP</t>
  </si>
  <si>
    <t>1 Si %MTOSDOiP es mayor a 0.085 y Antigüedad del Acreditado en la Institución es mayor a 28 meses, o si %MTOSDOi P es menor o igual a 0.085 y Antigüedad del Acreditado en la Institución es menor o igual a 28 meses.
0 En cualquier otro caso.</t>
  </si>
  <si>
    <t>BajoiP</t>
  </si>
  <si>
    <t>1 Si %MTOSDOiP menor o igual a 0.085 y Antigüedad del Acreditado en la Institución mayor a 28 meses.
0 En cualquier otro caso.</t>
  </si>
  <si>
    <t>AltoiI</t>
  </si>
  <si>
    <t>1 Si %MTOSDOiI es mayor a 0.085 y Antigüedad del Acreditado es menor o igual a 28 meses.
0 En cualquier otro caso.</t>
  </si>
  <si>
    <t>MedioiI</t>
  </si>
  <si>
    <t>1 Si %MTOSDOiI es mayor a 0.085 y Antigüedad del Acreditado en la Institución es mayor a 28 meses, o si %MTOSDOi P es menor o igual a 0.085 y Antigüedad del Acreditado en la Institución es menor o igual a 28 meses.
0 En cualquier otro caso.</t>
  </si>
  <si>
    <t>BajoiI</t>
  </si>
  <si>
    <t>1 Si %MTOSDOiI menor o igual a 0.085 y Antigüedad del Acreditado en la Institución mayor a 28 meses.
0 En cualquier otro caso.</t>
  </si>
  <si>
    <t>AltoiG</t>
  </si>
  <si>
    <t>1 Si Ciclos del Acreditado es menor o igual a 2 e Integrantes del Grupo al que pertenece a la fecha de cálculo es menor o igual a 10 personas..
0 En cualquier otro caso.</t>
  </si>
  <si>
    <t>Microcréditos grupales</t>
  </si>
  <si>
    <t>MedioiG</t>
  </si>
  <si>
    <t>1 Si Ciclos del Acreditado es menor o igual a 4 e Integrantes del Grupo al que pertenece a la fecha de cálculo es mayor a 10 personas, o si los Ciclos del Acreditado es mayor a 2 e Integrantes del Grupo al que pertenece a la fecha de cálculo es menor o igual a 15 personas
0 En cualquier otro caso.</t>
  </si>
  <si>
    <t>BajoiG</t>
  </si>
  <si>
    <t>1 Si Ciclos del Acreditado es mayor a 4 e Integrantes del Grupo al que pertenece a la fecha de cálculo es mayor a 15 personas.
0 En cualquier otro caso.</t>
  </si>
  <si>
    <t>NUMERICO(9,2)</t>
  </si>
  <si>
    <t xml:space="preserve">Reportes Banxico
Seguimiento AUTO(50) </t>
  </si>
  <si>
    <t>Amount of credit not including the amount of financing for the payment of financial accessories (eg, insurance premiums and fees). It is defined as the total value of the property less the down payment on credit.</t>
  </si>
  <si>
    <t>ValorTotalCredito-Enganche</t>
  </si>
  <si>
    <t>Variables Calculadas por BW para CR</t>
  </si>
  <si>
    <t>Impago</t>
  </si>
  <si>
    <t>Calficacion Revolvente</t>
  </si>
  <si>
    <t>Evento que se presenta cuando el Pago Realizado por el acreditado no alcanza a cubrir el Pago Mínimo Exigido por la Institución en el respectivo estado de cuenta.
Para estimar el número de Impagos las Instituciones deberán aplicar la siguiente tabla de equivalencias dependiendo de la frecuencia de facturación del producto:
FACTURACION  - NUMERO DE IMPAGOS
Mensual              - 1 Impago mensual = 1 Impago
Quincenal          - 1 Impago quincenal = 0.5 Impagos
Semanal             - 1 Impago semanal = 0.25 Impagos</t>
  </si>
  <si>
    <t>Debe ser numerico. No acepta letras ni signos</t>
  </si>
  <si>
    <t>Revolvente</t>
  </si>
  <si>
    <t>NumeroImpagosConsecutivos</t>
  </si>
  <si>
    <t>Calficacion Revolvente
Sección II A (18)</t>
  </si>
  <si>
    <t>Número de Impagos en periodos consecutivos inmediatos anteriores a la fecha de cálculo</t>
  </si>
  <si>
    <t>Usar Datos Historicos</t>
  </si>
  <si>
    <t>NumeroImpagosHistoricos</t>
  </si>
  <si>
    <t>Calficacion Revolvente
Sección II A (19)</t>
  </si>
  <si>
    <t>Número de Impagos observados en los últimos seis meses</t>
  </si>
  <si>
    <t>Usar la historia de los ultimos 6 periodos</t>
  </si>
  <si>
    <t>MesesTranscurridos</t>
  </si>
  <si>
    <t>Calficacion Revolvente
Sección II A (20)</t>
  </si>
  <si>
    <t>Número de meses transcurridos desde la apertura de la cuenta hasta la fecha de cálculo de reservas</t>
  </si>
  <si>
    <t>Para el calculo se usa FechaAlta vs Fecha Periodo Actual.</t>
  </si>
  <si>
    <t>PorcentajeUso</t>
  </si>
  <si>
    <t>Porcentaje que representa Saldo a Pagar respecto al Límite de Crédito autorizado de la cuenta.</t>
  </si>
  <si>
    <t>MontoExigible / LimiteCredito</t>
  </si>
  <si>
    <t>VecesMontoBanco</t>
  </si>
  <si>
    <t>Calificación Revolvente</t>
  </si>
  <si>
    <t>El cociente del Monto a Pagar reportado en las sociedades de información crediticia respecto del Monto a Pagar a la Institución es menor a 2.2 veces, en la fecha del cálculo de reservas.</t>
  </si>
  <si>
    <t>Porcentaje que representa el Pago Realizado respecto al Saldo
a Pagar.</t>
  </si>
  <si>
    <t>%PAGO i = PagoRealizadoCal / MontoExigible</t>
  </si>
  <si>
    <t>Numérico</t>
  </si>
  <si>
    <t>Reporte</t>
  </si>
  <si>
    <t>Importe promedio mensual de saldos diarios de la Linea Revolvente, a la fecha de corte, sin IVA.</t>
  </si>
  <si>
    <t>Importe promedio mensual de saldos diarios de Promociones Sin Intereses, a la fecha de corte,  sin IVA.</t>
  </si>
  <si>
    <t>Importe promedio mensual de saldos diarios de Promociones con Intereses, a la fecha de corte,  sin IVA.</t>
  </si>
  <si>
    <t>saldopagar_ini</t>
  </si>
  <si>
    <t>Saldo Total al inicio del Período</t>
  </si>
  <si>
    <t>Segmento</t>
  </si>
  <si>
    <t>Segmento de riesgo (conforme a CUB Art. 92)</t>
  </si>
  <si>
    <t>Fact_Conv</t>
  </si>
  <si>
    <t>Factor de Conversión de Crédito</t>
  </si>
  <si>
    <t>GARANTIA CONSUMO.txt</t>
  </si>
  <si>
    <t>GARANTIA CONSUMO</t>
  </si>
  <si>
    <t>FUENTE</t>
  </si>
  <si>
    <t>CODIGOGARANTIA</t>
  </si>
  <si>
    <t>30</t>
  </si>
  <si>
    <t>Requerido</t>
  </si>
  <si>
    <t>RELACION DE LAYOUTS / CALIFICACION</t>
  </si>
  <si>
    <t>Codigo unico que identifica a la garantía.</t>
  </si>
  <si>
    <t>Unique code of collateral</t>
  </si>
  <si>
    <t>CodigoGarantia</t>
  </si>
  <si>
    <t>TIPOGARANTIA</t>
  </si>
  <si>
    <t>TipoGarantiaConsumo</t>
  </si>
  <si>
    <t>CALIFICACION / CR / CNR (GARANTIAS)</t>
  </si>
  <si>
    <t>2 , 3</t>
  </si>
  <si>
    <t>Tipo de Garantía.</t>
  </si>
  <si>
    <t>Collateral type</t>
  </si>
  <si>
    <t>TipoGarantia</t>
  </si>
  <si>
    <t>garantía</t>
  </si>
  <si>
    <t>g_real</t>
  </si>
  <si>
    <t>VALORGARANTIA</t>
  </si>
  <si>
    <t>19,4</t>
  </si>
  <si>
    <t>Valor de la garantía en moneda original</t>
  </si>
  <si>
    <t>Collateral amount in original currency</t>
  </si>
  <si>
    <t>ValorGarantia</t>
  </si>
  <si>
    <t>importe_garantía</t>
  </si>
  <si>
    <t>MonedaConsumo</t>
  </si>
  <si>
    <t>Moneda en la que esta expresada la garantía.</t>
  </si>
  <si>
    <t>currency of collateral</t>
  </si>
  <si>
    <t>FECHAVALUACION</t>
  </si>
  <si>
    <t>Ultima fecha de valuacion de la garantía. Requerida para las garantias Inmuebles.</t>
  </si>
  <si>
    <t>last date when collateral was evaluated</t>
  </si>
  <si>
    <t>FechaValuacion</t>
  </si>
  <si>
    <t>250</t>
  </si>
  <si>
    <t>OPCIONAL REPORTE INTERNO</t>
  </si>
  <si>
    <t>Descripción de la garantía.</t>
  </si>
  <si>
    <t>collateral description</t>
  </si>
  <si>
    <t>BANCOGARANTIA</t>
  </si>
  <si>
    <t>6,0</t>
  </si>
  <si>
    <t>Catalogo Contrapartes CASFIM</t>
  </si>
  <si>
    <t>GARANTIAS</t>
  </si>
  <si>
    <t>Institución que fondea la garantía.</t>
  </si>
  <si>
    <t>Funding institution of collateral</t>
  </si>
  <si>
    <t>BancoGarantia</t>
  </si>
  <si>
    <t>VALORGARANTIAPROYECTADO</t>
  </si>
  <si>
    <t>CALIFICACION EYM</t>
  </si>
  <si>
    <t>En el caso de participaciones en ingresos federales o ingresos propios cedidas a un fideicomiso de administración y fuente de pago o algún otro tipo de instrumento legal que cumpla los mismos fines, se considerará el monto comprometido de los próximos 12 meses. En caso de que el fideicomiso cuente con alguna cuenta de reserva que funja como respaldo para el pago del crédito correspondiente, ésta se sumará al monto anual mencionado anteriormente.</t>
  </si>
  <si>
    <t>When collateral is from tax income on federal loans, the proyected value of tax income</t>
  </si>
  <si>
    <t>ValorGarantiaProyectado</t>
  </si>
  <si>
    <t>HC</t>
  </si>
  <si>
    <t>10,6</t>
  </si>
  <si>
    <t>Porcentaje (10,6)</t>
  </si>
  <si>
    <t>/ 9</t>
  </si>
  <si>
    <t>Factor de Ajuste para la garantia real financiera conforme al Anexo 1-F</t>
  </si>
  <si>
    <t>Adjustment factor for real financial collateral</t>
  </si>
  <si>
    <t>Hc</t>
  </si>
  <si>
    <t>VENCIMIENTORESTANTE</t>
  </si>
  <si>
    <t>CALCULO DE HC</t>
  </si>
  <si>
    <t>Vencimiento restante para los instrumentos y activos. 
Fecha de expiracion de la garantia Financiera.</t>
  </si>
  <si>
    <t>Remaining term for securities collateral</t>
  </si>
  <si>
    <t>VencimientoRestante</t>
  </si>
  <si>
    <t>GRADORIESGO</t>
  </si>
  <si>
    <t>Grado de Riesgo Método Estándar</t>
  </si>
  <si>
    <t xml:space="preserve">Grado de Riesgo de los instrumoentos o activos de acuerdo al Anexo 1-B
</t>
  </si>
  <si>
    <t>Risk grade of securities used as collateral</t>
  </si>
  <si>
    <t>GradoRiesgo</t>
  </si>
  <si>
    <t>AGENCIACALIFICADORA</t>
  </si>
  <si>
    <t>Agencia Calificadora</t>
  </si>
  <si>
    <t xml:space="preserve">En caso que no puedan enviar el campo Grado de Riesgo
</t>
  </si>
  <si>
    <t>Rating agency for security collateral</t>
  </si>
  <si>
    <t>AgenciaCalificadora</t>
  </si>
  <si>
    <t>CALIFICACIÓN</t>
  </si>
  <si>
    <t>5</t>
  </si>
  <si>
    <t>Calificacion Anexo 1B</t>
  </si>
  <si>
    <t>Rating from rating agency for security collateral</t>
  </si>
  <si>
    <t>Calificación</t>
  </si>
  <si>
    <t>EMISOR</t>
  </si>
  <si>
    <t>Emisor</t>
  </si>
  <si>
    <t xml:space="preserve">EMISOR. Deberá enviarse la clave correspondiente al Emisor:
1= Soberano
2= Otros Emisores
</t>
  </si>
  <si>
    <t>Issuer of security collateral</t>
  </si>
  <si>
    <t>ESCALA</t>
  </si>
  <si>
    <t>Escala de Calificación</t>
  </si>
  <si>
    <t xml:space="preserve">1 = Escala Global
2 = Escala Mexico
</t>
  </si>
  <si>
    <t>Scale of security collateral</t>
  </si>
  <si>
    <t>Escala</t>
  </si>
  <si>
    <t>ESIPC</t>
  </si>
  <si>
    <t>Es_IPC_BW</t>
  </si>
  <si>
    <t xml:space="preserve">0 = No Cotiza en el Indice de Precios y Cotizaciones
1 = Si Cotiza en el Indice de Precios y Cotizaciones
</t>
  </si>
  <si>
    <t>Indicator wether collareal is listed in Mexican Stock Exchange</t>
  </si>
  <si>
    <t>EsIPC</t>
  </si>
  <si>
    <t>PIGARANTE</t>
  </si>
  <si>
    <t>Usado para el esquema de Paso y Medida, Primeras Perdidas.</t>
  </si>
  <si>
    <t>Default probability of gurantor for PASO Y MEDIDA collateral</t>
  </si>
  <si>
    <t>PIGarante</t>
  </si>
  <si>
    <t>CODIGOCLIENTE</t>
  </si>
  <si>
    <t>22</t>
  </si>
  <si>
    <t xml:space="preserve">
Existe Persona</t>
  </si>
  <si>
    <t>Codigo unico del deudor, si el garante de los esquemas de Primeras Perdidas o Paso y Medida son clientes de la institucion.</t>
  </si>
  <si>
    <t>Unique customer code if the guarantor is a customer of the institution</t>
  </si>
  <si>
    <t>INDPERMORALES</t>
  </si>
  <si>
    <t>IndPerMorales_BW</t>
  </si>
  <si>
    <t>CLASIFICACION TIPO_GARANTE</t>
  </si>
  <si>
    <t>Indicador de persona moral o fideicomiso persona moral. Del garante que este otorgando la garantia de Primeras Perdidas o Paso y Medida.</t>
  </si>
  <si>
    <t>Indicator whether guarantor is a Corporate or fund trust</t>
  </si>
  <si>
    <t>IndPerMorales</t>
  </si>
  <si>
    <t>REGISTROUNICOGARANTIA</t>
  </si>
  <si>
    <t>12</t>
  </si>
  <si>
    <t>Se debe reportar, en su caso, la clave de identificación de la garantía mobiliaria constituida con apego a lo establecido en el Registro Único de Garantías Mobiliarias (RUGM) a que se refiere el Código de Comercio. Este campo aplica sólo a los créditos que tengan dicho tipo de garantía (40 en el tipo garantia); en caso distinto, se debe reportar nulo o vacio</t>
  </si>
  <si>
    <t>Furniture collateral id from Economy ministri (RUG)</t>
  </si>
  <si>
    <t>REL GARANTIA CONSUMO.txt</t>
  </si>
  <si>
    <t>REL CONSUMO GARANTIA</t>
  </si>
  <si>
    <t>Relacionar layouts</t>
  </si>
  <si>
    <t>Codigo unico que identifica a la garantia</t>
  </si>
  <si>
    <t>Unique code for collateral</t>
  </si>
  <si>
    <t>Rel ConsumoGarantia</t>
  </si>
  <si>
    <t>CODIGOCREDITO</t>
  </si>
  <si>
    <t>Relacionar layouts y determinacion de % Cobertura</t>
  </si>
  <si>
    <t>Codigo unico que identifica al credito</t>
  </si>
  <si>
    <t>Unique code for the loan</t>
  </si>
  <si>
    <t>folio del crédito</t>
  </si>
  <si>
    <t>PORCENTAJE</t>
  </si>
  <si>
    <t xml:space="preserve">Calificación. </t>
  </si>
  <si>
    <t>Procentaje del credito que debe ser cubierto por la garantia relacionada.</t>
  </si>
  <si>
    <t>Percentage of the loan covered by the collateral</t>
  </si>
  <si>
    <t>Porcentaje</t>
  </si>
  <si>
    <t>ST_PAGOSEXI2017.txt</t>
  </si>
  <si>
    <t>Movimientos de pagos y exigibles según el periodo de facturacion al fin de mes para los creditos de consumo e hipotecario para el calculo del ATR, Porcentaje de pago</t>
  </si>
  <si>
    <t>Se usa para los calculo de variables en Consumo e hipotecario.</t>
  </si>
  <si>
    <t>Consumo e hipotecario.</t>
  </si>
  <si>
    <t>Requerido?</t>
  </si>
  <si>
    <t>Validaciones</t>
  </si>
  <si>
    <t xml:space="preserve">Calificacion Obligatorio </t>
  </si>
  <si>
    <t>Calificacion Opcional</t>
  </si>
  <si>
    <t>Campo BW</t>
  </si>
  <si>
    <t>Tipo2</t>
  </si>
  <si>
    <t>Comentarios</t>
  </si>
  <si>
    <t>Comentarios PMO2201</t>
  </si>
  <si>
    <t>TEXTO (22)</t>
  </si>
  <si>
    <t>Calificacion 
Consumo No Revolvente e Hipotecario</t>
  </si>
  <si>
    <t>Codigo unico del credito que presenta el movimiento de pago o exigile en la cartera de consumo.</t>
  </si>
  <si>
    <t>Credit unique code of presenting payment or exigile movement in the consumer portfolio.</t>
  </si>
  <si>
    <t>No puede ser Vacio.</t>
  </si>
  <si>
    <t xml:space="preserve">Debe ser un codigo de credito consumo valido </t>
  </si>
  <si>
    <t>Hipotecario y Consumo</t>
  </si>
  <si>
    <t>CODCREDITO</t>
  </si>
  <si>
    <t>TipoMovimiento</t>
  </si>
  <si>
    <t>TEXTO (10)</t>
  </si>
  <si>
    <t>Debe ser un valor del catalogo Tipo Movimiento Consumo</t>
  </si>
  <si>
    <t>It should be worth the catalog Consumption Movement Type</t>
  </si>
  <si>
    <t xml:space="preserve">No puede ser Vacio.
</t>
  </si>
  <si>
    <t>TipoMovimientoConsumo_BW.txt</t>
  </si>
  <si>
    <t>TPOMOV</t>
  </si>
  <si>
    <t>Se elige I dependiendo si es pago o monto exigible. El dato esta en SAF, no sabemos en que tabla, no tenemos acceso a la BD.</t>
  </si>
  <si>
    <t xml:space="preserve">Confirmar con Bajaware si se deben generar dos registros, unos para pago y Monexi
Respuesta de Bajaware: SI, se deben generar dos registros </t>
  </si>
  <si>
    <t>Monto</t>
  </si>
  <si>
    <t>NUMERICO(21,2)</t>
  </si>
  <si>
    <t>Importe que corresponde según el "tipomovimiento". 
PAGO = Importe realmente pagado por el cliente.       
MONEXI = El monto que el acreditado debe cubrir en el Periodo de Facturación, el cual deberá considerar tanto el importe correspondiente a la facturación, así como los importes exigibles anteriores no pagados, si los hubiera.</t>
  </si>
  <si>
    <t>Amount that was affected by the movement.</t>
  </si>
  <si>
    <t>MONTO</t>
  </si>
  <si>
    <t>FECHA AAAA-MM-DD</t>
  </si>
  <si>
    <t>Fecha en que sucedio el movimiento contable</t>
  </si>
  <si>
    <t>Movement Date</t>
  </si>
  <si>
    <t>Debe ser una fecha valida con el formato AAAA-MM-DD</t>
  </si>
  <si>
    <t>NumPago</t>
  </si>
  <si>
    <t>NUMERICO(21)</t>
  </si>
  <si>
    <t>Numero de pago que debe cubrir el acreditado en el periodo de facturacion. Ejemplo si el credito es a 12 quincenas. Y el pago corresponde a la quincena 3. Enviar el NumPago = 3</t>
  </si>
  <si>
    <t>Number of payment to be credited to cover the billing period. Example if the credit is 12 fortnights. And the payment is for the fortnight 3. Send NumPago = 3</t>
  </si>
  <si>
    <t>NUMPAGO</t>
  </si>
  <si>
    <t>CALIFICA_CNR.txt</t>
  </si>
  <si>
    <t>Modelo de la Cartera de Consumo No Revolvente (Buro de crédito)</t>
  </si>
  <si>
    <t>Este modelo resuelve las siguientes variables, de acuerdo con lo dispuesto por la CNBV para la cartera de consumo no revolvente.</t>
  </si>
  <si>
    <t>Consumo No Revolvente</t>
  </si>
  <si>
    <t xml:space="preserve">Número de crédito </t>
  </si>
  <si>
    <t xml:space="preserve">Variable 1 - Meses desde el último atraso con bancos </t>
  </si>
  <si>
    <t xml:space="preserve">Insumo V1 - Meses desde el último atraso con bancos - No comunes (Buró) </t>
  </si>
  <si>
    <t xml:space="preserve">Insumo V1 - Meses desde el último atraso con bancos - No comunes (Otra SIC) </t>
  </si>
  <si>
    <t xml:space="preserve">Insumo V1 - Meses desde el último atraso con bancos - Comunes (Buró y otra SIC) </t>
  </si>
  <si>
    <t xml:space="preserve">Variable 2 - Meses desde el último atraso con bancos y no Bancos </t>
  </si>
  <si>
    <t xml:space="preserve">Insumo V2 - Meses desde el último atraso con bancos y no Bancos - No comunes (Buró) </t>
  </si>
  <si>
    <t>Insumo V2 - Meses desde el último atraso con bancos y no Bancos - No comunes (Otra SIC)</t>
  </si>
  <si>
    <t xml:space="preserve">Insumo V2 - Meses desde el último atraso con bancos y no Bancos - Comunes (Buró y otra SIC) </t>
  </si>
  <si>
    <t xml:space="preserve">Insumo 1: Monto a pagar a la institución </t>
  </si>
  <si>
    <t xml:space="preserve">Insumo 2: Monto a pagar reportado en las SICs </t>
  </si>
  <si>
    <t xml:space="preserve">Insumo de I2: Monto a pagar reportado en las SICs - No comunes (Buró) </t>
  </si>
  <si>
    <t xml:space="preserve">Insumo de I2: Monto a pagar reportado en las SICs - No comunes (Otra SIC) </t>
  </si>
  <si>
    <t xml:space="preserve">Insumo de I2: Monto a pagar reportado en las SICs -Comunes (Buró y Otra SIC) </t>
  </si>
  <si>
    <t xml:space="preserve">Insumo 3: Monto a pagar reportado en las SICs </t>
  </si>
  <si>
    <t xml:space="preserve">Insumo de I3: Monto a pagar reportado en la SICs - No comunes (Buró) </t>
  </si>
  <si>
    <t xml:space="preserve">Insumo de I3: Monto a pagar reportado en la SICs - No comunes (Otra SIC) </t>
  </si>
  <si>
    <t xml:space="preserve">Insumo de I3: Monto a pagar reportado en la SICs - Comunes(Buró y Otra SIC) </t>
  </si>
  <si>
    <t xml:space="preserve">Insumo 4: Saldo reportado en las SICs </t>
  </si>
  <si>
    <t xml:space="preserve">Insumo de I4: Saldo reportado en las SICs - No comunes(Buró) </t>
  </si>
  <si>
    <t xml:space="preserve">Insumo de I4: Saldo reportado en las SICs - No comunes(Otra SIC) </t>
  </si>
  <si>
    <t xml:space="preserve">Insumo de I4: Saldo reportado en las SICs - Comunes (Buró yOtra SIC) </t>
  </si>
  <si>
    <t xml:space="preserve">Insumo 5: Saldo reportado en las SICs </t>
  </si>
  <si>
    <t xml:space="preserve">Insumo de I5: Saldo reportado en las SICs - No comunes(Buró) </t>
  </si>
  <si>
    <t xml:space="preserve">Insumo de I5: Saldo reportado en las SICs - No comunes(Otra SIC) </t>
  </si>
  <si>
    <t xml:space="preserve">Insumo de I5: Saldo reportado en las SICs - Comunes (Buró yOtra SIC) </t>
  </si>
  <si>
    <t>Insumo 6: Antigüedad del acreditado con institucionesbancarias</t>
  </si>
  <si>
    <t>Veces monto a pagar con el sistema vs Banco Bajo</t>
  </si>
  <si>
    <t xml:space="preserve">%MTOSDO </t>
  </si>
  <si>
    <t>CALMICRO.txt</t>
  </si>
  <si>
    <t>Modelo de la Cartera Micro crédito Individual (Buro de crédito)</t>
  </si>
  <si>
    <t>Este modelo resuelve las siguientes variables, de acuerdo con lo dispuesto por la CNBV para la cartera de Micro crédito Individual.</t>
  </si>
  <si>
    <t>Micro crédito Individual</t>
  </si>
  <si>
    <t>Número de crédito</t>
  </si>
  <si>
    <t>Variable 1 - Meses desde el último atraso con bancos</t>
  </si>
  <si>
    <t>Insumo de V1 - Meses desde el último atraso con bancos – No comunes (Buró)</t>
  </si>
  <si>
    <t xml:space="preserve">Insumo de V1 - Meses desde el último atraso con bancos – No comunes (Otra SIC) </t>
  </si>
  <si>
    <t xml:space="preserve">Insumo de V1 - Meses desde el último atraso con bancos – Comunes (Buró y Otra SIC) </t>
  </si>
  <si>
    <t xml:space="preserve">Insumo 1: Monto a pagar reportado en las SICs </t>
  </si>
  <si>
    <t xml:space="preserve">Insumo de I1: Monto a pagar reportado en las SICs – No comunes (Buró) </t>
  </si>
  <si>
    <t xml:space="preserve">Insumo de I1: Monto a pagar reportado en las SICs – No comunes (Otra SIC) </t>
  </si>
  <si>
    <t>Insumo de I1: Monto a pagar reportado en las SICs – Comunes (Buro y Otra SIC)</t>
  </si>
  <si>
    <t xml:space="preserve">Insumo 2: Saldo reportado en las SICs </t>
  </si>
  <si>
    <t>Insumo de I2: Saldo reportado en las SICs – No comunes(Buró)</t>
  </si>
  <si>
    <t>Insumo de I2: Saldo reportado en las SICs – No comunes(Otra SIC)</t>
  </si>
  <si>
    <t xml:space="preserve">Insumo de I2: Saldo reportado en las SICs – Comunes (Buró yOtra SIC) </t>
  </si>
  <si>
    <t xml:space="preserve">%MTOSDO Monto a pagar vs saldo con el sistema </t>
  </si>
  <si>
    <t>Tabla Temporal</t>
  </si>
  <si>
    <t>FT_ACLARACIONESCNR</t>
  </si>
  <si>
    <t>Tabla Sistema</t>
  </si>
  <si>
    <t>ST_ACLARACIONESCNR</t>
  </si>
  <si>
    <t>ACLARACIONESCNR.txt</t>
  </si>
  <si>
    <t>Nombre DTS</t>
  </si>
  <si>
    <t>FT_ACLARACIONESCNR.dtsx</t>
  </si>
  <si>
    <t>Informacion correspondiente aclaraciones de Banxico</t>
  </si>
  <si>
    <t>Reportes Regulatorios.</t>
  </si>
  <si>
    <t>No se llena hasta despues de mandar el reporte a Banco de Mexico
Seccion 5, Banco de mexico realiza observaciones y se manda informacion especifica de acuerdo a los movimientos. (No se llena hasta despues de mandar lo Layouts anteriores, se pasa este Layout en blanco)</t>
  </si>
  <si>
    <t>Comentarios Opera 29/01</t>
  </si>
  <si>
    <t>*</t>
  </si>
  <si>
    <t>IDValidacion</t>
  </si>
  <si>
    <t>NUMERICO(3)</t>
  </si>
  <si>
    <t>Seccion V CNR (3)</t>
  </si>
  <si>
    <t>En este campo deberá anotarse el ID de validación, del reporte de observaciones de la última generación.</t>
  </si>
  <si>
    <t>CNR</t>
  </si>
  <si>
    <t>Llenar mapeo</t>
  </si>
  <si>
    <t>IDGeneracion</t>
  </si>
  <si>
    <t>NUMERICO(2)</t>
  </si>
  <si>
    <t>Seccion V CNR (4)</t>
  </si>
  <si>
    <t>En este campo deberá anotarse el ID de reporte de observaciones correspondiente a la última generación</t>
  </si>
  <si>
    <t>ClasificacionMov</t>
  </si>
  <si>
    <t>NUMERICO(1)</t>
  </si>
  <si>
    <t>Seccion V CNR (5)</t>
  </si>
  <si>
    <t>En este campo deberá anotarse alguna de las claves que explique y catalogue la observación en función del negocio de forma general</t>
  </si>
  <si>
    <t>Clasifica_Mov_Acla</t>
  </si>
  <si>
    <t>Comentario</t>
  </si>
  <si>
    <t>TEXTO (255)</t>
  </si>
  <si>
    <t>Seccion V CNR (6)</t>
  </si>
  <si>
    <t>En este campo la institución deberá proporcionar la retroalimentación o aclaración de cada id de validación</t>
  </si>
  <si>
    <t>FT_ACLARACIONESCR</t>
  </si>
  <si>
    <t>ST_ACLARACIONESCR</t>
  </si>
  <si>
    <t>ACLARACIONESCR.txt</t>
  </si>
  <si>
    <t>FT_ACLARACIONESCR.dtsx</t>
  </si>
  <si>
    <t>Consumo Revolvente</t>
  </si>
  <si>
    <t>ACLARACIONES_CR</t>
  </si>
  <si>
    <t>IDVALIDACION</t>
  </si>
  <si>
    <t>Seccion ACLARACIONES</t>
  </si>
  <si>
    <t>In this field the validation ID, of the latest observations</t>
  </si>
  <si>
    <t>IDREPORTE</t>
  </si>
  <si>
    <t>En este campo deberá anotarse el ID de reporte de observaciones correspondiente a la última generación (disponible en la vista S1).</t>
  </si>
  <si>
    <t>In this field the report ID of the observations must be included</t>
  </si>
  <si>
    <t>TIPORESPUESTA</t>
  </si>
  <si>
    <t>Tipo_Respuesta_Acl</t>
  </si>
  <si>
    <t>En este campo deberá anotarse alguna de las siguientes claves que explique y catalogue la observación en función del negocio de forma general:</t>
  </si>
  <si>
    <t>In this field the catalog values must be included according to the type of observations</t>
  </si>
  <si>
    <t>COMENTARIO</t>
  </si>
  <si>
    <t>255</t>
  </si>
  <si>
    <t>En este campo la institución deberá proporcionar la retroalimentación o aclaración de cada id de validación (Campo 3). Este campo alfanumérico, sólo acepta combinaciones de letras y números por lo que no debe incluir signos (i.e. ¡,#,$,&amp;).</t>
  </si>
  <si>
    <t>In this field the institution must provide the feedback or resolutions of each validation (field 3)</t>
  </si>
  <si>
    <t>FT_ALTAS_CAT_CB_BM</t>
  </si>
  <si>
    <t>ST_ALTAS_CAT_CB_BM</t>
  </si>
  <si>
    <t>ALTAS_CAT_CB_BM.txt</t>
  </si>
  <si>
    <t>FT_ALTAS_CAT_CB_BM.dtsx</t>
  </si>
  <si>
    <t>Informacion correspondiente al reportes de ALTAS CAT</t>
  </si>
  <si>
    <t>Fuente2</t>
  </si>
  <si>
    <t>Tipo3</t>
  </si>
  <si>
    <t>Comentarios OPER 29/01</t>
  </si>
  <si>
    <t>ALTAS_CAT_CB_BM</t>
  </si>
  <si>
    <t>FECHA_OTORG</t>
  </si>
  <si>
    <t>Seccion CAT_CONSTITUCION_BASE</t>
  </si>
  <si>
    <t>Se debe reportar la fecha del contrato del otorgamiento de la línea de crédito revolvente de que se trate.</t>
  </si>
  <si>
    <t>Date when the loan contract was issued</t>
  </si>
  <si>
    <t>FOLIO_CRED</t>
  </si>
  <si>
    <t>Este campo debe ser exactamente igual al reportado en el campo 2, de la sección II, referente al Folio que la Institución asocia a la línea de crédito de que se trate, para cada uno de los registros a reportar en esta sección</t>
  </si>
  <si>
    <t>This Field must be the same as Section II loan identifier</t>
  </si>
  <si>
    <t>CAT_CONTRATO</t>
  </si>
  <si>
    <t>Se debe reportar el Costo Anual Total “CAT” contenido en el contrato del crédito al consumo revolvente de que se trate, de conformidad con el numeral 5.4.3.2 de la circular 21/2009.</t>
  </si>
  <si>
    <t>Total anual cost of the loan</t>
  </si>
  <si>
    <t>LIMITE_CREDITO</t>
  </si>
  <si>
    <t>8,0</t>
  </si>
  <si>
    <t>Se debe reportar el monto de la línea de crédito otorgada en el contrato.</t>
  </si>
  <si>
    <t>Amount of the credit line assigned to the loan</t>
  </si>
  <si>
    <t>ID_PRODUCTO</t>
  </si>
  <si>
    <t>Se debe reportar la clave que utilice la Institución (única e irrepe-tible), la cual deberá ser la misma en los reportes de todos los Periodo-mes</t>
  </si>
  <si>
    <t>Institution product id that is corresponding to the loan</t>
  </si>
  <si>
    <t xml:space="preserve">No nos aplica, no tenemos productos Consumo revolvente.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</si>
</sst>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2"/>
      <color theme="10"/>
      <name val="Calibri"/>
      <family val="2"/>
      <scheme val="minor"/>
    </font>
    <font>
      <u/>
      <sz val="12"/>
      <color theme="10"/>
      <name val="Nunito Regular"/>
    </font>
    <font>
      <sz val="12"/>
      <color theme="1"/>
      <name val="Nunito Regular"/>
    </font>
    <font>
      <b/>
      <sz val="24"/>
      <color indexed="8"/>
      <name val="Nunito Regular"/>
    </font>
    <font>
      <b/>
      <sz val="11"/>
      <color theme="0"/>
      <name val="Nunito Regular"/>
    </font>
    <font>
      <sz val="11"/>
      <color rgb="FF000000"/>
      <name val="Calibri Light"/>
      <family val="2"/>
    </font>
    <font>
      <sz val="12"/>
      <color rgb="FF000000"/>
      <name val="Nunito Regular"/>
    </font>
    <font>
      <b/>
      <sz val="12"/>
      <color theme="0"/>
      <name val="Calibri"/>
      <family val="2"/>
      <scheme val="minor"/>
    </font>
    <font>
      <vertAlign val="subscript"/>
      <sz val="12"/>
      <color theme="1"/>
      <name val="Calibri"/>
      <family val="2"/>
      <scheme val="minor"/>
    </font>
    <font>
      <vertAlign val="superscript"/>
      <sz val="12"/>
      <color theme="1"/>
      <name val="Calibri"/>
      <family val="2"/>
      <scheme val="minor"/>
    </font>
    <font>
      <b/>
      <sz val="11"/>
      <color theme="3"/>
      <name val="Calibri"/>
      <family val="2"/>
      <scheme val="minor"/>
    </font>
    <font>
      <sz val="7"/>
      <color rgb="FF000000"/>
      <name val="Arial"/>
      <family val="2"/>
    </font>
    <font>
      <b/>
      <sz val="10"/>
      <color theme="0"/>
      <name val="Calibri"/>
      <family val="2"/>
      <scheme val="minor"/>
    </font>
    <font>
      <sz val="11"/>
      <name val="Calibri"/>
      <family val="2"/>
      <scheme val="minor"/>
    </font>
    <font>
      <sz val="12"/>
      <color theme="1"/>
      <name val="Arial"/>
      <family val="2"/>
    </font>
    <font>
      <b/>
      <sz val="11"/>
      <color rgb="FF44546A"/>
      <name val="Calibri"/>
      <family val="2"/>
    </font>
    <font>
      <sz val="11"/>
      <color theme="1"/>
      <name val="Calibri"/>
      <family val="2"/>
    </font>
    <font>
      <b/>
      <sz val="11"/>
      <color theme="0"/>
      <name val="Nunito"/>
    </font>
    <font>
      <sz val="12"/>
      <color theme="1"/>
      <name val="Nunito"/>
    </font>
    <font>
      <sz val="12"/>
      <color theme="1"/>
      <name val="Calibri"/>
      <family val="2"/>
    </font>
    <font>
      <sz val="11"/>
      <color theme="1"/>
      <name val="Nunito"/>
    </font>
    <font>
      <b/>
      <sz val="11"/>
      <color rgb="FFFFFFFF"/>
      <name val="Tahoma"/>
      <family val="2"/>
    </font>
    <font>
      <sz val="10"/>
      <color theme="1"/>
      <name val="Nunito"/>
    </font>
    <font>
      <sz val="12"/>
      <color rgb="FFFF0000"/>
      <name val="Nunito Regular"/>
    </font>
    <font>
      <sz val="12"/>
      <color rgb="FFFFC000"/>
      <name val="Calibri"/>
      <family val="2"/>
      <scheme val="minor"/>
    </font>
    <font>
      <sz val="12"/>
      <color rgb="FF000000"/>
      <name val="Calibri"/>
      <family val="2"/>
      <scheme val="minor"/>
    </font>
    <font>
      <sz val="12"/>
      <name val="Calibri"/>
      <family val="2"/>
      <scheme val="minor"/>
    </font>
    <font>
      <b/>
      <sz val="10"/>
      <color theme="0"/>
      <name val="Nunito Regular"/>
    </font>
    <font>
      <b/>
      <sz val="12"/>
      <color theme="0"/>
      <name val="Nunito"/>
    </font>
  </fonts>
  <fills count="16">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64"/>
      </patternFill>
    </fill>
    <fill>
      <patternFill patternType="solid">
        <fgColor theme="1"/>
        <bgColor indexed="64"/>
      </patternFill>
    </fill>
    <fill>
      <patternFill patternType="solid">
        <fgColor theme="4"/>
        <bgColor theme="4"/>
      </patternFill>
    </fill>
    <fill>
      <patternFill patternType="solid">
        <fgColor rgb="FF00B050"/>
        <bgColor indexed="64"/>
      </patternFill>
    </fill>
    <fill>
      <patternFill patternType="solid">
        <fgColor theme="9" tint="0.79998168889431442"/>
        <bgColor indexed="64"/>
      </patternFill>
    </fill>
    <fill>
      <patternFill patternType="solid">
        <fgColor rgb="FF153D64"/>
        <bgColor rgb="FF000000"/>
      </patternFill>
    </fill>
    <fill>
      <patternFill patternType="solid">
        <fgColor rgb="FFE2EFDA"/>
        <bgColor rgb="FF000000"/>
      </patternFill>
    </fill>
    <fill>
      <patternFill patternType="solid">
        <fgColor theme="9" tint="0.59999389629810485"/>
        <bgColor rgb="FF000000"/>
      </patternFill>
    </fill>
    <fill>
      <patternFill patternType="solid">
        <fgColor theme="4" tint="-0.249977111117893"/>
        <bgColor indexed="64"/>
      </patternFill>
    </fill>
    <fill>
      <patternFill patternType="solid">
        <fgColor theme="4"/>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tint="0.39997558519241921"/>
      </bottom>
      <diagonal/>
    </border>
    <border>
      <left style="thin">
        <color theme="1"/>
      </left>
      <right/>
      <top style="thin">
        <color theme="1"/>
      </top>
      <bottom style="thin">
        <color theme="1"/>
      </bottom>
      <diagonal/>
    </border>
    <border>
      <left/>
      <right/>
      <top style="thin">
        <color theme="1"/>
      </top>
      <bottom style="thin">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4" tint="0.39997558519241921"/>
      </left>
      <right/>
      <top/>
      <bottom/>
      <diagonal/>
    </border>
    <border>
      <left style="hair">
        <color indexed="64"/>
      </left>
      <right style="hair">
        <color indexed="64"/>
      </right>
      <top style="hair">
        <color indexed="64"/>
      </top>
      <bottom style="hair">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hair">
        <color indexed="64"/>
      </left>
      <right style="hair">
        <color indexed="64"/>
      </right>
      <top style="hair">
        <color indexed="64"/>
      </top>
      <bottom style="thin">
        <color theme="4" tint="0.39997558519241921"/>
      </bottom>
      <diagonal/>
    </border>
    <border>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7">
    <xf numFmtId="0" fontId="0" fillId="0" borderId="0"/>
    <xf numFmtId="0" fontId="4" fillId="0" borderId="0" applyNumberFormat="0" applyFill="0" applyBorder="0" applyAlignment="0" applyProtection="0"/>
    <xf numFmtId="0" fontId="3" fillId="0" borderId="0"/>
    <xf numFmtId="0" fontId="14" fillId="0" borderId="0" applyNumberFormat="0" applyFill="0" applyBorder="0" applyAlignment="0" applyProtection="0"/>
    <xf numFmtId="0" fontId="2" fillId="0" borderId="0"/>
    <xf numFmtId="0" fontId="1" fillId="0" borderId="0"/>
    <xf numFmtId="0" fontId="18" fillId="0" borderId="0"/>
  </cellStyleXfs>
  <cellXfs count="122">
    <xf numFmtId="0" fontId="0" fillId="0" borderId="0" xfId="0"/>
    <xf numFmtId="0" fontId="5" fillId="0" borderId="0" xfId="1" applyFont="1"/>
    <xf numFmtId="0" fontId="6" fillId="0" borderId="0" xfId="0" applyFont="1"/>
    <xf numFmtId="0" fontId="6" fillId="0" borderId="0" xfId="0" applyFont="1" applyAlignment="1">
      <alignment horizontal="center"/>
    </xf>
    <xf numFmtId="0" fontId="7" fillId="0" borderId="0" xfId="0" applyFont="1"/>
    <xf numFmtId="4" fontId="6" fillId="0" borderId="0" xfId="0" applyNumberFormat="1" applyFont="1"/>
    <xf numFmtId="0" fontId="0" fillId="2" borderId="1" xfId="0" applyFill="1" applyBorder="1"/>
    <xf numFmtId="0" fontId="6" fillId="3" borderId="0" xfId="0" applyFont="1" applyFill="1"/>
    <xf numFmtId="0" fontId="0" fillId="3" borderId="1" xfId="0" applyFill="1" applyBorder="1"/>
    <xf numFmtId="0" fontId="0" fillId="0" borderId="1" xfId="0" applyBorder="1"/>
    <xf numFmtId="0" fontId="9" fillId="0" borderId="0" xfId="0" applyFont="1"/>
    <xf numFmtId="0" fontId="6" fillId="4" borderId="0" xfId="0" applyFont="1" applyFill="1"/>
    <xf numFmtId="0" fontId="6" fillId="5" borderId="0" xfId="0" applyFont="1" applyFill="1"/>
    <xf numFmtId="0" fontId="0" fillId="6" borderId="1" xfId="0" applyFill="1" applyBorder="1"/>
    <xf numFmtId="0" fontId="0" fillId="0" borderId="2" xfId="0" applyBorder="1"/>
    <xf numFmtId="0" fontId="0" fillId="2" borderId="0" xfId="0" applyFill="1"/>
    <xf numFmtId="0" fontId="8" fillId="0" borderId="0" xfId="0" applyFont="1"/>
    <xf numFmtId="49" fontId="8" fillId="0" borderId="0" xfId="0" applyNumberFormat="1" applyFont="1"/>
    <xf numFmtId="0" fontId="8" fillId="0" borderId="0" xfId="0" applyFont="1" applyAlignment="1">
      <alignment horizontal="center"/>
    </xf>
    <xf numFmtId="0" fontId="10" fillId="0" borderId="0" xfId="0" applyFont="1"/>
    <xf numFmtId="0" fontId="3" fillId="0" borderId="0" xfId="2"/>
    <xf numFmtId="49" fontId="6" fillId="0" borderId="0" xfId="0" applyNumberFormat="1" applyFont="1"/>
    <xf numFmtId="0" fontId="15" fillId="0" borderId="5" xfId="0" applyFont="1" applyBorder="1" applyAlignment="1">
      <alignment horizontal="center" vertical="center" wrapText="1"/>
    </xf>
    <xf numFmtId="0" fontId="15" fillId="0" borderId="6" xfId="0" applyFont="1" applyBorder="1" applyAlignment="1">
      <alignment horizontal="left" vertical="center" wrapText="1"/>
    </xf>
    <xf numFmtId="0" fontId="6" fillId="0" borderId="0" xfId="0" quotePrefix="1" applyFont="1"/>
    <xf numFmtId="0" fontId="6" fillId="0" borderId="0" xfId="0" applyFont="1" applyAlignment="1">
      <alignment horizontal="center" wrapText="1"/>
    </xf>
    <xf numFmtId="0" fontId="0" fillId="0" borderId="0" xfId="0" applyAlignment="1">
      <alignment wrapText="1"/>
    </xf>
    <xf numFmtId="0" fontId="6" fillId="0" borderId="0" xfId="0" applyFont="1" applyAlignment="1">
      <alignment horizontal="left"/>
    </xf>
    <xf numFmtId="0" fontId="6" fillId="0" borderId="3" xfId="0" applyFont="1" applyBorder="1"/>
    <xf numFmtId="0" fontId="6" fillId="0" borderId="4" xfId="0" applyFont="1" applyBorder="1"/>
    <xf numFmtId="49" fontId="6" fillId="0" borderId="4" xfId="0" applyNumberFormat="1" applyFont="1" applyBorder="1"/>
    <xf numFmtId="0" fontId="6" fillId="0" borderId="4" xfId="0" applyFont="1" applyBorder="1" applyAlignment="1">
      <alignment horizontal="center"/>
    </xf>
    <xf numFmtId="0" fontId="14" fillId="0" borderId="0" xfId="3"/>
    <xf numFmtId="0" fontId="2" fillId="0" borderId="0" xfId="4"/>
    <xf numFmtId="49" fontId="16" fillId="0" borderId="7" xfId="4" applyNumberFormat="1" applyFont="1" applyBorder="1" applyAlignment="1">
      <alignment vertical="center" wrapText="1"/>
    </xf>
    <xf numFmtId="49" fontId="16" fillId="0" borderId="0" xfId="4" applyNumberFormat="1" applyFont="1" applyAlignment="1">
      <alignment vertical="center" wrapText="1"/>
    </xf>
    <xf numFmtId="0" fontId="2" fillId="0" borderId="8" xfId="4" applyBorder="1"/>
    <xf numFmtId="0" fontId="0" fillId="0" borderId="0" xfId="0" quotePrefix="1"/>
    <xf numFmtId="0" fontId="1" fillId="0" borderId="0" xfId="5"/>
    <xf numFmtId="49" fontId="16" fillId="8" borderId="9" xfId="5" applyNumberFormat="1" applyFont="1" applyFill="1" applyBorder="1" applyAlignment="1">
      <alignment vertical="center" wrapText="1"/>
    </xf>
    <xf numFmtId="49" fontId="16" fillId="8" borderId="10" xfId="5" applyNumberFormat="1" applyFont="1" applyFill="1" applyBorder="1" applyAlignment="1">
      <alignment vertical="center" wrapText="1"/>
    </xf>
    <xf numFmtId="0" fontId="1" fillId="2" borderId="8" xfId="5" applyFill="1" applyBorder="1" applyAlignment="1">
      <alignment wrapText="1"/>
    </xf>
    <xf numFmtId="0" fontId="1" fillId="2" borderId="8" xfId="5" applyFill="1" applyBorder="1" applyAlignment="1">
      <alignment horizontal="center" vertical="center" wrapText="1"/>
    </xf>
    <xf numFmtId="0" fontId="17" fillId="2" borderId="8" xfId="5" applyFont="1" applyFill="1" applyBorder="1" applyAlignment="1">
      <alignment vertical="center" wrapText="1"/>
    </xf>
    <xf numFmtId="0" fontId="17" fillId="2" borderId="8" xfId="5" applyFont="1" applyFill="1" applyBorder="1" applyAlignment="1">
      <alignment wrapText="1"/>
    </xf>
    <xf numFmtId="0" fontId="1" fillId="0" borderId="0" xfId="5" applyAlignment="1">
      <alignment wrapText="1"/>
    </xf>
    <xf numFmtId="0" fontId="1" fillId="0" borderId="8" xfId="5" applyBorder="1" applyAlignment="1">
      <alignment wrapText="1"/>
    </xf>
    <xf numFmtId="0" fontId="17" fillId="0" borderId="8" xfId="5" applyFont="1" applyBorder="1" applyAlignment="1">
      <alignment wrapText="1"/>
    </xf>
    <xf numFmtId="0" fontId="17" fillId="0" borderId="8" xfId="5" applyFont="1" applyBorder="1" applyAlignment="1">
      <alignment vertical="center" wrapText="1"/>
    </xf>
    <xf numFmtId="0" fontId="1" fillId="2" borderId="11" xfId="5" applyFill="1" applyBorder="1" applyAlignment="1">
      <alignment wrapText="1"/>
    </xf>
    <xf numFmtId="0" fontId="17" fillId="0" borderId="12" xfId="5" applyFont="1" applyBorder="1" applyAlignment="1">
      <alignment wrapText="1"/>
    </xf>
    <xf numFmtId="0" fontId="19" fillId="0" borderId="0" xfId="6" applyFont="1"/>
    <xf numFmtId="0" fontId="20" fillId="0" borderId="0" xfId="6" applyFont="1"/>
    <xf numFmtId="0" fontId="18" fillId="0" borderId="0" xfId="6"/>
    <xf numFmtId="0" fontId="21" fillId="0" borderId="0" xfId="6" applyFont="1"/>
    <xf numFmtId="49" fontId="21" fillId="0" borderId="0" xfId="6" applyNumberFormat="1" applyFont="1"/>
    <xf numFmtId="0" fontId="21" fillId="0" borderId="0" xfId="6" applyFont="1" applyAlignment="1">
      <alignment horizontal="center"/>
    </xf>
    <xf numFmtId="0" fontId="22" fillId="0" borderId="0" xfId="6" applyFont="1"/>
    <xf numFmtId="49" fontId="22" fillId="0" borderId="0" xfId="6" applyNumberFormat="1" applyFont="1"/>
    <xf numFmtId="0" fontId="23" fillId="0" borderId="0" xfId="6" applyFont="1"/>
    <xf numFmtId="0" fontId="24" fillId="0" borderId="0" xfId="6" applyFont="1"/>
    <xf numFmtId="0" fontId="24" fillId="0" borderId="0" xfId="6" quotePrefix="1" applyFont="1"/>
    <xf numFmtId="0" fontId="24" fillId="0" borderId="0" xfId="6" applyFont="1" applyAlignment="1">
      <alignment horizontal="right"/>
    </xf>
    <xf numFmtId="0" fontId="0" fillId="4" borderId="0" xfId="0" applyFill="1"/>
    <xf numFmtId="0" fontId="0" fillId="0" borderId="0" xfId="0" applyAlignment="1">
      <alignment horizontal="center"/>
    </xf>
    <xf numFmtId="0" fontId="0" fillId="0" borderId="0" xfId="0" applyAlignment="1">
      <alignment horizontal="center" wrapText="1"/>
    </xf>
    <xf numFmtId="0" fontId="8" fillId="9" borderId="0" xfId="0" applyFont="1" applyFill="1" applyAlignment="1">
      <alignment horizontal="center"/>
    </xf>
    <xf numFmtId="0" fontId="0" fillId="10" borderId="0" xfId="0" applyFill="1" applyAlignment="1">
      <alignment horizontal="center"/>
    </xf>
    <xf numFmtId="0" fontId="0" fillId="10" borderId="0" xfId="0" applyFill="1" applyAlignment="1">
      <alignment horizontal="center" wrapText="1"/>
    </xf>
    <xf numFmtId="0" fontId="0" fillId="10" borderId="0" xfId="0" applyFill="1"/>
    <xf numFmtId="0" fontId="25" fillId="11" borderId="13" xfId="0" applyFont="1" applyFill="1" applyBorder="1" applyAlignment="1">
      <alignment horizontal="center"/>
    </xf>
    <xf numFmtId="49" fontId="8" fillId="0" borderId="0" xfId="0" applyNumberFormat="1" applyFont="1" applyAlignment="1">
      <alignment horizontal="center"/>
    </xf>
    <xf numFmtId="0" fontId="6" fillId="3" borderId="0" xfId="0" applyFont="1" applyFill="1" applyAlignment="1">
      <alignment horizontal="center"/>
    </xf>
    <xf numFmtId="0" fontId="6" fillId="4" borderId="0" xfId="0" applyFont="1" applyFill="1" applyAlignment="1">
      <alignment horizontal="center"/>
    </xf>
    <xf numFmtId="0" fontId="6" fillId="5" borderId="0" xfId="0" applyFont="1" applyFill="1" applyAlignment="1">
      <alignment horizontal="center"/>
    </xf>
    <xf numFmtId="0" fontId="10" fillId="0" borderId="0" xfId="0" applyFont="1" applyAlignment="1">
      <alignment horizontal="center"/>
    </xf>
    <xf numFmtId="0" fontId="10" fillId="10" borderId="4" xfId="0" applyFont="1" applyFill="1" applyBorder="1" applyAlignment="1">
      <alignment horizontal="center"/>
    </xf>
    <xf numFmtId="0" fontId="10" fillId="10" borderId="14" xfId="0" applyFont="1" applyFill="1" applyBorder="1" applyAlignment="1">
      <alignment horizontal="center"/>
    </xf>
    <xf numFmtId="0" fontId="10" fillId="10" borderId="14" xfId="0" applyFont="1" applyFill="1" applyBorder="1" applyAlignment="1">
      <alignment horizontal="center" vertical="center" wrapText="1"/>
    </xf>
    <xf numFmtId="0" fontId="26" fillId="0" borderId="0" xfId="6" applyFont="1" applyAlignment="1">
      <alignment horizontal="center"/>
    </xf>
    <xf numFmtId="0" fontId="27" fillId="12" borderId="0" xfId="0" applyFont="1" applyFill="1" applyAlignment="1">
      <alignment horizontal="center"/>
    </xf>
    <xf numFmtId="0" fontId="10" fillId="10" borderId="0" xfId="0" applyFont="1" applyFill="1" applyAlignment="1">
      <alignment horizontal="center" vertical="center" wrapText="1"/>
    </xf>
    <xf numFmtId="0" fontId="27" fillId="10" borderId="0" xfId="0" applyFont="1" applyFill="1" applyAlignment="1">
      <alignment horizontal="center"/>
    </xf>
    <xf numFmtId="0" fontId="28" fillId="10" borderId="0" xfId="0" applyFont="1" applyFill="1" applyAlignment="1">
      <alignment horizontal="center"/>
    </xf>
    <xf numFmtId="0" fontId="10" fillId="12" borderId="0" xfId="0" applyFont="1" applyFill="1" applyAlignment="1">
      <alignment horizontal="center"/>
    </xf>
    <xf numFmtId="0" fontId="29" fillId="0" borderId="0" xfId="0" applyFont="1"/>
    <xf numFmtId="0" fontId="29" fillId="0" borderId="0" xfId="0" applyFont="1" applyAlignment="1">
      <alignment wrapText="1"/>
    </xf>
    <xf numFmtId="0" fontId="29" fillId="10" borderId="0" xfId="0" applyFont="1" applyFill="1" applyAlignment="1">
      <alignment horizontal="center"/>
    </xf>
    <xf numFmtId="0" fontId="10" fillId="10" borderId="0" xfId="0" applyFont="1" applyFill="1" applyAlignment="1">
      <alignment horizontal="center"/>
    </xf>
    <xf numFmtId="0" fontId="29" fillId="0" borderId="0" xfId="0" quotePrefix="1" applyFont="1"/>
    <xf numFmtId="0" fontId="10" fillId="10" borderId="0" xfId="0" applyFont="1" applyFill="1" applyAlignment="1">
      <alignment horizontal="center" wrapText="1"/>
    </xf>
    <xf numFmtId="0" fontId="30" fillId="10" borderId="0" xfId="0" applyFont="1" applyFill="1" applyAlignment="1">
      <alignment horizontal="center"/>
    </xf>
    <xf numFmtId="0" fontId="0" fillId="3" borderId="0" xfId="0" applyFill="1"/>
    <xf numFmtId="0" fontId="8" fillId="9" borderId="4" xfId="0" applyFont="1" applyFill="1" applyBorder="1" applyAlignment="1">
      <alignment horizontal="center" vertical="center"/>
    </xf>
    <xf numFmtId="0" fontId="1" fillId="2" borderId="16" xfId="5" applyFill="1" applyBorder="1" applyAlignment="1">
      <alignment wrapText="1"/>
    </xf>
    <xf numFmtId="0" fontId="17" fillId="0" borderId="16" xfId="5" applyFont="1" applyBorder="1" applyAlignment="1">
      <alignment wrapText="1"/>
    </xf>
    <xf numFmtId="0" fontId="1" fillId="0" borderId="16" xfId="5" applyBorder="1" applyAlignment="1">
      <alignment wrapText="1"/>
    </xf>
    <xf numFmtId="0" fontId="8" fillId="9" borderId="15" xfId="0" applyFont="1" applyFill="1" applyBorder="1" applyAlignment="1">
      <alignment horizontal="center" vertical="center"/>
    </xf>
    <xf numFmtId="49" fontId="8" fillId="9" borderId="15" xfId="5" applyNumberFormat="1" applyFont="1" applyFill="1" applyBorder="1" applyAlignment="1">
      <alignment horizontal="center" vertical="center" wrapText="1"/>
    </xf>
    <xf numFmtId="0" fontId="1" fillId="3" borderId="15" xfId="5" applyFill="1" applyBorder="1" applyAlignment="1">
      <alignment wrapText="1"/>
    </xf>
    <xf numFmtId="49" fontId="31" fillId="9" borderId="10" xfId="5" applyNumberFormat="1" applyFont="1" applyFill="1" applyBorder="1" applyAlignment="1">
      <alignment horizontal="center" vertical="center" wrapText="1"/>
    </xf>
    <xf numFmtId="49" fontId="31" fillId="9" borderId="4" xfId="5" applyNumberFormat="1" applyFont="1" applyFill="1" applyBorder="1" applyAlignment="1">
      <alignment horizontal="center" vertical="center" wrapText="1"/>
    </xf>
    <xf numFmtId="0" fontId="10" fillId="13" borderId="0" xfId="0" applyFont="1" applyFill="1" applyAlignment="1">
      <alignment horizontal="center"/>
    </xf>
    <xf numFmtId="0" fontId="29" fillId="3" borderId="0" xfId="0" applyFont="1" applyFill="1" applyAlignment="1">
      <alignment horizontal="center"/>
    </xf>
    <xf numFmtId="0" fontId="29" fillId="3" borderId="0" xfId="0" applyFont="1" applyFill="1"/>
    <xf numFmtId="0" fontId="10" fillId="13" borderId="0" xfId="0" applyFont="1" applyFill="1" applyAlignment="1">
      <alignment horizontal="center" vertical="center" wrapText="1"/>
    </xf>
    <xf numFmtId="0" fontId="10" fillId="3" borderId="14" xfId="0" applyFont="1" applyFill="1" applyBorder="1" applyAlignment="1">
      <alignment horizontal="center" vertical="center" wrapText="1"/>
    </xf>
    <xf numFmtId="0" fontId="22" fillId="9" borderId="0" xfId="0" applyFont="1" applyFill="1"/>
    <xf numFmtId="0" fontId="32" fillId="9" borderId="0" xfId="0" applyFont="1" applyFill="1" applyAlignment="1">
      <alignment horizontal="center"/>
    </xf>
    <xf numFmtId="49" fontId="32" fillId="9" borderId="10" xfId="5" applyNumberFormat="1" applyFont="1" applyFill="1" applyBorder="1" applyAlignment="1">
      <alignment horizontal="center" vertical="center" wrapText="1"/>
    </xf>
    <xf numFmtId="49" fontId="32" fillId="9" borderId="0" xfId="5" applyNumberFormat="1" applyFont="1" applyFill="1" applyAlignment="1">
      <alignment horizontal="center" vertical="center" wrapText="1"/>
    </xf>
    <xf numFmtId="0" fontId="8" fillId="14" borderId="0" xfId="0" applyFont="1" applyFill="1" applyAlignment="1">
      <alignment horizontal="center"/>
    </xf>
    <xf numFmtId="0" fontId="1" fillId="6" borderId="0" xfId="5" applyFill="1" applyAlignment="1">
      <alignment wrapText="1"/>
    </xf>
    <xf numFmtId="0" fontId="29" fillId="3" borderId="0" xfId="0" applyFont="1" applyFill="1" applyAlignment="1">
      <alignment wrapText="1"/>
    </xf>
    <xf numFmtId="0" fontId="1" fillId="3" borderId="18" xfId="5" applyFill="1" applyBorder="1" applyAlignment="1">
      <alignment wrapText="1"/>
    </xf>
    <xf numFmtId="49" fontId="8" fillId="15" borderId="13" xfId="5" applyNumberFormat="1" applyFont="1" applyFill="1" applyBorder="1" applyAlignment="1">
      <alignment horizontal="center" vertical="center" wrapText="1"/>
    </xf>
    <xf numFmtId="0" fontId="1" fillId="0" borderId="17" xfId="5" applyBorder="1" applyAlignment="1">
      <alignment horizontal="center" vertical="center" wrapText="1"/>
    </xf>
    <xf numFmtId="0" fontId="20" fillId="0" borderId="0" xfId="6" applyFont="1" applyAlignment="1">
      <alignment wrapText="1"/>
    </xf>
    <xf numFmtId="49" fontId="31" fillId="15" borderId="4" xfId="5" applyNumberFormat="1" applyFont="1" applyFill="1" applyBorder="1" applyAlignment="1">
      <alignment horizontal="center" vertical="center" wrapText="1"/>
    </xf>
    <xf numFmtId="0" fontId="29" fillId="10" borderId="0" xfId="0" applyFont="1" applyFill="1" applyAlignment="1">
      <alignment vertical="top" wrapText="1"/>
    </xf>
    <xf numFmtId="0" fontId="11" fillId="7" borderId="0" xfId="0" applyFont="1" applyFill="1" applyAlignment="1">
      <alignment horizontal="center"/>
    </xf>
    <xf numFmtId="0" fontId="10" fillId="0" borderId="0" xfId="0" applyFont="1" applyAlignment="1">
      <alignment horizontal="center" wrapText="1"/>
    </xf>
  </cellXfs>
  <cellStyles count="7">
    <cellStyle name="Encabezado 4" xfId="3" builtinId="19"/>
    <cellStyle name="Hipervínculo" xfId="1" builtinId="8"/>
    <cellStyle name="Normal" xfId="0" builtinId="0"/>
    <cellStyle name="Normal 2" xfId="2" xr:uid="{0CBC7C3D-0DC6-4D7F-ABA5-7D13AA249482}"/>
    <cellStyle name="Normal 2 2" xfId="4" xr:uid="{7C2C63AC-660F-4AB0-BB92-114BAEEA19D9}"/>
    <cellStyle name="Normal 2 3" xfId="5" xr:uid="{44A21778-8814-4FAD-B7A9-E591B14EA696}"/>
    <cellStyle name="Normal 3" xfId="6" xr:uid="{166143E4-B229-4C68-8F5B-D8366FC3A2FE}"/>
  </cellStyles>
  <dxfs count="78">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0"/>
        <color theme="1"/>
        <name val="Nunito"/>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fill>
        <patternFill patternType="none">
          <fgColor indexed="64"/>
          <bgColor auto="1"/>
        </patternFill>
      </fill>
      <border diagonalUp="0" diagonalDown="0" outline="0">
        <left style="hair">
          <color indexed="64"/>
        </left>
        <right style="hair">
          <color indexed="64"/>
        </right>
        <top style="hair">
          <color indexed="64"/>
        </top>
        <bottom style="hair">
          <color indexed="64"/>
        </bottom>
      </border>
    </dxf>
    <dxf>
      <border outline="0">
        <bottom style="thin">
          <color theme="4" tint="0.39997558519241921"/>
        </bottom>
      </border>
    </dxf>
    <dxf>
      <border outline="0">
        <top style="thin">
          <color theme="4" tint="0.39997558519241921"/>
        </top>
      </border>
    </dxf>
    <dxf>
      <fill>
        <patternFill patternType="none">
          <fgColor indexed="64"/>
          <bgColor auto="1"/>
        </patternFill>
      </fill>
    </dxf>
    <dxf>
      <font>
        <b/>
        <i val="0"/>
        <strike val="0"/>
        <condense val="0"/>
        <extend val="0"/>
        <outline val="0"/>
        <shadow val="0"/>
        <u val="none"/>
        <vertAlign val="baseline"/>
        <sz val="10"/>
        <color theme="0"/>
        <name val="Calibri"/>
        <family val="2"/>
        <scheme val="minor"/>
      </font>
      <numFmt numFmtId="30" formatCode="@"/>
      <fill>
        <patternFill patternType="solid">
          <fgColor theme="4"/>
          <bgColor theme="4"/>
        </patternFill>
      </fill>
      <alignment horizontal="general" vertical="center" textRotation="0" wrapText="1" indent="0" justifyLastLine="0" shrinkToFit="0" readingOrder="0"/>
    </dxf>
    <dxf>
      <font>
        <color rgb="FF000000"/>
      </font>
      <fill>
        <patternFill>
          <bgColor theme="9" tint="0.59999389629810485"/>
        </patternFill>
      </fill>
    </dxf>
    <dxf>
      <font>
        <color rgb="FF000000"/>
      </font>
      <fill>
        <patternFill>
          <bgColor theme="9" tint="0.59999389629810485"/>
        </patternFill>
      </fill>
    </dxf>
    <dxf>
      <font>
        <color rgb="FF000000"/>
      </font>
      <fill>
        <patternFill>
          <bgColor theme="9" tint="0.59999389629810485"/>
        </patternFill>
      </fill>
      <alignment horizontal="center" vertical="bottom" textRotation="0" wrapText="0" indent="0" justifyLastLine="0" shrinkToFit="0" readingOrder="0"/>
    </dxf>
    <dxf>
      <font>
        <color rgb="FF000000"/>
        <name val="Nunito Regular"/>
        <scheme val="none"/>
      </font>
      <fill>
        <patternFill patternType="solid">
          <fgColor indexed="64"/>
          <bgColor theme="9" tint="0.59999389629810485"/>
        </patternFill>
      </fill>
      <alignment horizontal="center" vertical="center" textRotation="0" wrapText="1" indent="0" justifyLastLine="0" shrinkToFit="0" readingOrder="0"/>
      <border diagonalUp="0" diagonalDown="0" outline="0">
        <left/>
        <right/>
        <top style="thin">
          <color rgb="FF000000"/>
        </top>
        <bottom style="thin">
          <color rgb="FF000000"/>
        </bottom>
      </border>
    </dxf>
    <dxf>
      <font>
        <color rgb="FF000000"/>
        <name val="Nunito Regular"/>
        <scheme val="none"/>
      </font>
      <fill>
        <patternFill patternType="solid">
          <fgColor rgb="FF000000"/>
          <bgColor theme="9" tint="0.59999389629810485"/>
        </patternFill>
      </fill>
      <alignment horizontal="center" vertical="bottom" textRotation="0" wrapText="0" indent="0" justifyLastLine="0" shrinkToFit="0" readingOrder="0"/>
    </dxf>
    <dxf>
      <fill>
        <patternFill>
          <bgColor theme="9" tint="0.59999389629810485"/>
        </patternFill>
      </fill>
    </dxf>
    <dxf>
      <font>
        <color rgb="FF000000"/>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dxf>
    <dxf>
      <font>
        <strike val="0"/>
        <outline val="0"/>
        <shadow val="0"/>
        <vertAlign val="baseline"/>
        <name val="Nunito Regular"/>
        <scheme val="none"/>
      </font>
      <alignment horizontal="center"/>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center" vertical="bottom" textRotation="0" wrapText="0" indent="0" justifyLastLine="0" shrinkToFit="0" readingOrder="0"/>
    </dxf>
    <dxf>
      <font>
        <strike val="0"/>
        <outline val="0"/>
        <shadow val="0"/>
        <vertAlign val="baseline"/>
        <name val="Nunito Regular"/>
        <scheme val="none"/>
      </font>
      <alignment horizontal="general" vertical="bottom" textRotation="0" wrapText="0" indent="0" justifyLastLine="0" shrinkToFit="0" readingOrder="0"/>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strike val="0"/>
        <outline val="0"/>
        <shadow val="0"/>
        <vertAlign val="baseline"/>
        <name val="Nunito Regular"/>
        <scheme val="none"/>
      </font>
    </dxf>
    <dxf>
      <font>
        <b/>
        <i val="0"/>
        <strike val="0"/>
        <condense val="0"/>
        <extend val="0"/>
        <outline val="0"/>
        <shadow val="0"/>
        <u val="none"/>
        <vertAlign val="baseline"/>
        <sz val="11"/>
        <color theme="0"/>
        <name val="Nunito Regular"/>
        <scheme val="none"/>
      </font>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alignment horizontal="center" vertical="bottom" textRotation="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wrapText="0" indent="0" justifyLastLine="0" shrinkToFit="0" readingOrder="0"/>
    </dxf>
    <dxf>
      <fill>
        <patternFill patternType="solid">
          <fgColor indexed="64"/>
          <bgColor theme="9" tint="0.79998168889431442"/>
        </patternFill>
      </fill>
      <alignment horizontal="center" vertical="bottom" textRotation="0" indent="0" justifyLastLine="0" shrinkToFit="0" readingOrder="0"/>
    </dxf>
    <dxf>
      <font>
        <b/>
        <i val="0"/>
        <strike val="0"/>
        <condense val="0"/>
        <extend val="0"/>
        <outline val="0"/>
        <shadow val="0"/>
        <u val="none"/>
        <vertAlign val="baseline"/>
        <sz val="11"/>
        <color theme="0"/>
        <name val="Nunito Regular"/>
        <scheme val="none"/>
      </font>
      <fill>
        <patternFill patternType="none">
          <fgColor indexed="64"/>
          <bgColor auto="1"/>
        </patternFill>
      </fill>
    </dxf>
    <dxf>
      <fill>
        <patternFill patternType="solid">
          <fgColor rgb="FFD9E2F3"/>
          <bgColor rgb="FFD9E2F3"/>
        </patternFill>
      </fill>
    </dxf>
    <dxf>
      <fill>
        <patternFill patternType="solid">
          <fgColor rgb="FFD8D8D8"/>
          <bgColor rgb="FFD8D8D8"/>
        </patternFill>
      </fill>
    </dxf>
    <dxf>
      <fill>
        <patternFill patternType="solid">
          <fgColor theme="1"/>
          <bgColor theme="1"/>
        </patternFill>
      </fill>
    </dxf>
  </dxfs>
  <tableStyles count="1" defaultTableStyle="TableStyleMedium2" defaultPivotStyle="PivotStyleLight16">
    <tableStyle name="AclaracionesCR-style" pivot="0" count="3" xr9:uid="{06F94799-CC74-4EC9-919A-1AAF3D617E96}">
      <tableStyleElement type="headerRow" dxfId="77"/>
      <tableStyleElement type="firstRowStripe" dxfId="76"/>
      <tableStyleElement type="secondRowStripe" dxfId="7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C328DE-2E12-5B4C-A9A2-1255B70E30CB}" name="Table2810" displayName="Table2810" ref="A9:Z131" totalsRowShown="0" headerRowDxfId="74" dataCellStyle="Normal">
  <autoFilter ref="A9:Z131" xr:uid="{03C328DE-2E12-5B4C-A9A2-1255B70E30CB}"/>
  <tableColumns count="26">
    <tableColumn id="1" xr3:uid="{58F03D80-86C2-0741-8337-AE4901C9E205}" name="LAYOUT" dataCellStyle="Normal"/>
    <tableColumn id="2" xr3:uid="{3449C9FD-64CF-4A49-B9BE-957912E8C3B8}" name="ORDEN" dataCellStyle="Normal"/>
    <tableColumn id="3" xr3:uid="{87C65620-647E-EF4E-9298-0E7EC6397CEB}" name="LLAVE" dataCellStyle="Normal"/>
    <tableColumn id="4" xr3:uid="{D0B3CDA8-CEAB-C049-9871-B7F60EEB943F}" name="NOMBRE_CAMPO" dataCellStyle="Normal"/>
    <tableColumn id="5" xr3:uid="{51FD2F0E-0ADC-3649-A6E6-D66440893F1E}" name="TIPO DATO" dataCellStyle="Normal"/>
    <tableColumn id="6" xr3:uid="{740B634A-7350-5E4B-8FCC-E2EE698534FB}" name="FORMATO" dataCellStyle="Normal"/>
    <tableColumn id="7" xr3:uid="{964B99C8-2382-BB44-A1AD-A3A0E9B47144}" name="OBLIGATORIO" dataCellStyle="Normal"/>
    <tableColumn id="18" xr3:uid="{1D0771C2-5BC3-45CA-A6A5-1F0B186389B0}" name="Cartera" dataDxfId="73"/>
    <tableColumn id="23" xr3:uid="{97472B9A-78F7-40C9-9878-BC24F36610E5}" name="Tipo" dataDxfId="72"/>
    <tableColumn id="17" xr3:uid="{496AFC60-1CAF-4DE4-A22D-9A90B4BA83A9}" name="Fuente" dataDxfId="71"/>
    <tableColumn id="22" xr3:uid="{346969A0-887C-4924-8518-4A30A2D5BEA2}" name="Mapeo" dataDxfId="70"/>
    <tableColumn id="21" xr3:uid="{356BB60C-6903-431E-8E9E-C506DB70206F}" name="Comentario Riesgos" dataDxfId="69"/>
    <tableColumn id="24" xr3:uid="{2B1593E4-C6A4-4B4F-8AAC-1930AC9838EF}" name="Estatus PMO 2201" dataDxfId="68"/>
    <tableColumn id="25" xr3:uid="{CA1B31EF-3A40-4DD1-997A-8B0A9BEA4454}" name="Comentarios PMO 2201" dataDxfId="67"/>
    <tableColumn id="28" xr3:uid="{F9AF9EFC-EAF7-431D-9B6F-0BE6889C3E5C}" name="Comentarios Oper 24/01" dataDxfId="66"/>
    <tableColumn id="8" xr3:uid="{A8039608-42C5-C447-A346-FCA6614B871F}" name="VALIDACION" dataCellStyle="Normal"/>
    <tableColumn id="9" xr3:uid="{FF804AB7-7143-DB4E-AE4B-F23F131601B6}" name="CATALOGO" dataCellStyle="Normal"/>
    <tableColumn id="10" xr3:uid="{92109DFF-81CD-0046-ADB8-3E109AC3BA52}" name="USO" dataCellStyle="Normal"/>
    <tableColumn id="11" xr3:uid="{3DE73176-B039-F141-9752-4E4BCFED9392}" name="COLUMNA REPORTE APLICA" dataCellStyle="Normal"/>
    <tableColumn id="12" xr3:uid="{B0F98FAB-F157-524A-BB72-107990E141DF}" name="DESCRIPCION" dataCellStyle="Normal"/>
    <tableColumn id="13" xr3:uid="{9D6724E8-7E9B-2045-BEC8-3B4BAAA1391A}" name="DESCRIPCION INGLES" dataCellStyle="Normal"/>
    <tableColumn id="14" xr3:uid="{E0838AED-1C7E-0E40-B261-3503432560D3}" name="OBSERVACIONES" dataCellStyle="Normal"/>
    <tableColumn id="15" xr3:uid="{FA67F84A-C5B8-1943-8531-9646A4A2FA40}" name="VALIDEZ INFORMACION" dataCellStyle="Normal"/>
    <tableColumn id="20" xr3:uid="{2CFD4EE8-13C3-450C-937F-082E44F17D94}" name="Calificacion" dataCellStyle="Normal"/>
    <tableColumn id="19" xr3:uid="{081973B4-0586-4D23-AEBD-4DD6B86FAF99}" name="Reportes" dataCellStyle="Normal"/>
    <tableColumn id="16" xr3:uid="{3AFB10A8-D26D-8A42-8060-FAE9AF7A3CA8}" name="FUENTE2" dataCellStyle="Norma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240DD3-BB47-48AB-918A-5AEED92EABEF}" name="Tabla4" displayName="Tabla4" ref="A136:P163" totalsRowShown="0">
  <autoFilter ref="A136:P163" xr:uid="{AE240DD3-BB47-48AB-918A-5AEED92EABEF}"/>
  <tableColumns count="16">
    <tableColumn id="16" xr3:uid="{DDB83E91-B7C2-42F7-8634-5EFDE27BC1C8}" name="Columna1"/>
    <tableColumn id="1" xr3:uid="{D82B1C1D-684D-4496-A641-D47D23141421}" name="Orden"/>
    <tableColumn id="2" xr3:uid="{A071CE72-D12F-4D4B-80CC-46FC36E628BE}" name="Llave"/>
    <tableColumn id="3" xr3:uid="{9DB8D8BD-51A4-4994-9AA6-4831B01F891E}" name="Nombre"/>
    <tableColumn id="4" xr3:uid="{59A5021C-06A9-4742-86B1-05E4D186BDA6}" name="Tipo"/>
    <tableColumn id="5" xr3:uid="{805CE938-ABA0-470E-9BA9-B4545130FCBC}" name="Uso"/>
    <tableColumn id="6" xr3:uid="{AF79AE2F-85E2-43AC-BE9B-302DC2B9CF48}" name="Descripcion"/>
    <tableColumn id="7" xr3:uid="{823C84EC-720C-436F-89FF-214508F60569}" name="Descripcion Ingles" dataDxfId="65"/>
    <tableColumn id="8" xr3:uid="{2D433ED1-9643-4044-839C-16F96CF1CD10}" name="Validacion1" dataDxfId="64"/>
    <tableColumn id="9" xr3:uid="{13B131BC-E22A-4680-8264-CE0AED1C9D9B}" name="Catalogo"/>
    <tableColumn id="10" xr3:uid="{F3945475-73E3-413B-AA6C-A1D85658A5A0}" name="Metodologías"/>
    <tableColumn id="11" xr3:uid="{7B47E6C8-1796-497E-B7A7-9ECD26F810AE}" name="Calificación Obligatorio "/>
    <tableColumn id="12" xr3:uid="{D615F05C-201C-4CFB-A46A-0D3CDDB39A12}" name="Calificación Opcional"/>
    <tableColumn id="13" xr3:uid="{F0329DC6-3A27-4480-AD95-F9904CA6B5AD}" name="Reportes Obligatorio"/>
    <tableColumn id="14" xr3:uid="{DBE54468-790C-465A-ACD7-8BF8AB29303A}" name="Reportes Opcional"/>
    <tableColumn id="15" xr3:uid="{736818F5-A4CF-4EFE-A248-45E2FC742D50}" name="Column1"/>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CF6899-C74D-4C23-855B-940EF1255FD0}" name="Tabla5" displayName="Tabla5" ref="A168:O181" totalsRowShown="0">
  <autoFilter ref="A168:O181" xr:uid="{80CF6899-C74D-4C23-855B-940EF1255FD0}"/>
  <tableColumns count="15">
    <tableColumn id="15" xr3:uid="{34872410-6D8A-4D04-B6E6-6FE53FB7688D}" name="Columna1"/>
    <tableColumn id="1" xr3:uid="{DC5C9323-5543-4EEB-900E-693E72C9D6AD}" name="Orden">
      <calculatedColumnFormula>B168+1</calculatedColumnFormula>
    </tableColumn>
    <tableColumn id="2" xr3:uid="{E004F791-DCE8-459E-98B5-93FE3EE7CD9A}" name="Llave"/>
    <tableColumn id="3" xr3:uid="{17A2DD6C-01F5-45F6-AA4E-10BB8C76F9B1}" name="Nombre"/>
    <tableColumn id="4" xr3:uid="{4D0D3993-CC0B-49C7-8D3A-F1854D682F6F}" name="Tipo"/>
    <tableColumn id="5" xr3:uid="{4E384B6F-B924-48D2-BC1A-6A89877A5DEA}" name="Uso"/>
    <tableColumn id="6" xr3:uid="{F2FD06A7-BE45-4835-8A34-1E37FAC6C231}" name="Descripcion"/>
    <tableColumn id="7" xr3:uid="{8CC39894-751D-4B02-A68B-54A91536C8D4}" name="Descripcion Ingles" dataDxfId="63"/>
    <tableColumn id="8" xr3:uid="{75B8766B-5686-40A8-8E36-D31B8CF99196}" name="Validacion1" dataDxfId="62"/>
    <tableColumn id="9" xr3:uid="{02C05B2D-9E02-46DC-95F9-20D6B8E840CE}" name="Catalogo"/>
    <tableColumn id="10" xr3:uid="{09B9CCB7-2171-40DD-A8F4-BE85CF03AA9C}" name="Metodologías"/>
    <tableColumn id="11" xr3:uid="{3B22ECA1-9876-40F8-8B5C-75200A50A936}" name="Calificación Obligatorio "/>
    <tableColumn id="12" xr3:uid="{CDA181B1-44B7-4C2C-A582-7151EE7DCF8B}" name="Calificación Opcional"/>
    <tableColumn id="13" xr3:uid="{24B79646-E244-4EA1-B3FD-510CB4912E22}" name="Reportes Obligatorio"/>
    <tableColumn id="14" xr3:uid="{42F42384-D832-487D-9DF5-F506AFF40DBA}" name="Reportes Opcional"/>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E4B375-D000-401A-93FA-C464D9BFED2F}" name="Table281011" displayName="Table281011" ref="A9:P30" totalsRowShown="0" headerRowDxfId="61" dataDxfId="60">
  <tableColumns count="16">
    <tableColumn id="1" xr3:uid="{31D5F09A-9C95-4F9D-93C5-E1CD1E95CF18}" name="LAYOUT" dataDxfId="59"/>
    <tableColumn id="2" xr3:uid="{7F0DD781-7E56-4168-BA71-591026FD45E9}" name="ORDEN" dataDxfId="58"/>
    <tableColumn id="3" xr3:uid="{38FAB8CD-EDA0-4BE5-9379-4E1A481A1966}" name="LLAVE" dataDxfId="57"/>
    <tableColumn id="4" xr3:uid="{3B673FB2-DE68-4748-BBB2-C3BE5A80F881}" name="NOMBRE_CAMPO" dataDxfId="56"/>
    <tableColumn id="5" xr3:uid="{D63645A7-7065-4BAD-80FC-298E2435D589}" name="TIPO DATO" dataDxfId="55"/>
    <tableColumn id="6" xr3:uid="{D266D68E-8452-4ED2-9AD7-13DA474B5B9C}" name="FORMATO" dataDxfId="54"/>
    <tableColumn id="7" xr3:uid="{3592D015-86C3-45FC-BF0A-7B1164FBC4F1}" name="OBLIGATORIO" dataDxfId="53"/>
    <tableColumn id="8" xr3:uid="{0AEB9CA6-3914-4B65-844D-72280AAE065F}" name="VALIDACION" dataDxfId="52"/>
    <tableColumn id="9" xr3:uid="{E984A0FA-4AC3-45BF-897D-67853008C762}" name="CATALOGO" dataDxfId="51"/>
    <tableColumn id="10" xr3:uid="{2462E587-593C-4D90-9AE4-E3E2B4FC2187}" name="USO" dataDxfId="50"/>
    <tableColumn id="11" xr3:uid="{AD0EC05A-7950-44D7-ADB7-BA201E256A9F}" name="COLUMNA REPORTE APLICA" dataDxfId="49"/>
    <tableColumn id="12" xr3:uid="{5902804E-D7CF-4981-9C4D-0D7877C9894C}" name="DESCRIPCION" dataDxfId="48"/>
    <tableColumn id="13" xr3:uid="{F29DB43B-3615-4CDC-9B84-FC2D5ABDAFFF}" name="DESCRIPCION INGLES" dataDxfId="47"/>
    <tableColumn id="14" xr3:uid="{721DEEB6-8CDF-4214-84A2-8D83131BF0C0}" name="OBSERVACIONES" dataDxfId="46"/>
    <tableColumn id="15" xr3:uid="{0ED0D4DA-93C5-4066-9F03-B218F12584EA}" name="VALIDEZ INFORMACION" dataDxfId="45"/>
    <tableColumn id="16" xr3:uid="{D3915E19-E9A9-4DB5-A426-A8225F1377D0}" name="FUENTE" dataDxfId="4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33AF2DD-BF74-4605-A56C-EB45C511ACE4}" name="Table28101112" displayName="Table28101112" ref="A9:P12" totalsRowShown="0" headerRowDxfId="43" dataDxfId="42">
  <tableColumns count="16">
    <tableColumn id="1" xr3:uid="{E6E126AA-D5C3-4A68-8B31-BE4BA3293E45}" name="LAYOUT" dataDxfId="41"/>
    <tableColumn id="2" xr3:uid="{7BCA6BAD-AAFC-4B04-8465-7C9FDAC15BAC}" name="ORDEN" dataDxfId="40"/>
    <tableColumn id="3" xr3:uid="{50B3C57F-829E-4384-B283-7123B1EA9E56}" name="LLAVE" dataDxfId="39"/>
    <tableColumn id="4" xr3:uid="{89711A9C-0DB8-4F6F-8745-68CC5C16C12F}" name="NOMBRE_CAMPO" dataDxfId="38"/>
    <tableColumn id="5" xr3:uid="{35856BB4-5C0E-4F4B-B36E-4C1B01CD2735}" name="TIPO DATO" dataDxfId="37"/>
    <tableColumn id="6" xr3:uid="{D3041E4E-647D-40CC-80DF-5CF99FCED441}" name="FORMATO" dataDxfId="36"/>
    <tableColumn id="7" xr3:uid="{01153082-9681-45A0-AA44-38D71C1D799E}" name="OBLIGATORIO" dataDxfId="35"/>
    <tableColumn id="8" xr3:uid="{DAFE54C5-189D-46BE-B692-A479C0659DAB}" name="VALIDACION" dataDxfId="34"/>
    <tableColumn id="9" xr3:uid="{9D09745C-1273-4B6D-AD9E-6BCB7A788105}" name="CATALOGO" dataDxfId="33"/>
    <tableColumn id="10" xr3:uid="{C6C8AC58-A522-4DCB-A6F4-056B62A03A4D}" name="USO" dataDxfId="32"/>
    <tableColumn id="11" xr3:uid="{B238264E-F856-4B7B-8A49-82B811F6E06F}" name="COLUMNA REPORTE APLICA" dataDxfId="31"/>
    <tableColumn id="12" xr3:uid="{D5DDE6C7-9F43-4961-B9F6-4CB3E49CBC49}" name="DESCRIPCION" dataDxfId="30"/>
    <tableColumn id="13" xr3:uid="{FB711606-CDD9-4249-8669-AA7E5501612F}" name="DESCRIPCION INGLES" dataDxfId="29"/>
    <tableColumn id="14" xr3:uid="{8BEAAD0F-C213-4278-B768-7DF6FB390B53}" name="OBSERVACIONES" dataDxfId="28"/>
    <tableColumn id="15" xr3:uid="{AD21E5A8-FFED-4E81-A6D6-BDB9D337AF55}" name="VALIDEZ INFORMACION" dataDxfId="27"/>
    <tableColumn id="16" xr3:uid="{29B25B66-82C2-45E0-965F-850410C8EB9A}" name="FUENTE" dataDxfId="26"/>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F5ED46-581E-467D-B64D-3A994530FEDB}" name="Table245791825" displayName="Table245791825" ref="A8:V13" totalsRowShown="0" headerRowCellStyle="Normal" dataCellStyle="Normal">
  <autoFilter ref="A8:V13" xr:uid="{00000000-0009-0000-0100-000018000000}"/>
  <tableColumns count="22">
    <tableColumn id="1" xr3:uid="{E6744843-FA0C-4454-A57D-E963AF69537D}" name="Orden" dataCellStyle="Normal"/>
    <tableColumn id="16" xr3:uid="{9E388E3A-3D19-48EB-ADF2-2F76B042FA08}" name="Llave" dataCellStyle="Normal"/>
    <tableColumn id="2" xr3:uid="{AC6C8647-0045-47A1-9B4D-02D5E9AC428D}" name="Nombre" dataCellStyle="Normal"/>
    <tableColumn id="3" xr3:uid="{DC59B786-F181-4783-B9BF-B6C397C287CC}" name="Tipo" dataCellStyle="Normal"/>
    <tableColumn id="15" xr3:uid="{69BA09DC-474D-49C0-93CF-2AF3B52B7A69}" name="Requerido?" dataCellStyle="Normal"/>
    <tableColumn id="4" xr3:uid="{68681679-BF0A-464B-BC7B-B5A8400C5C7A}" name="Uso" dataCellStyle="Normal"/>
    <tableColumn id="5" xr3:uid="{5FB218DA-E156-4E77-96F0-79D973FC4F9E}" name="Descripcion" dataDxfId="25" dataCellStyle="Normal"/>
    <tableColumn id="17" xr3:uid="{86D1E404-00E5-4692-BA80-D922C149016A}" name="Descripcion Ingles" dataCellStyle="Normal"/>
    <tableColumn id="6" xr3:uid="{0FB9EAC3-7B9C-4E5D-82F9-3E3FA8E92D66}" name="Validaciones" dataCellStyle="Normal"/>
    <tableColumn id="7" xr3:uid="{4BC307AE-B7AD-4676-AC77-0926122B34FA}" name="Catalogo" dataCellStyle="Normal"/>
    <tableColumn id="8" xr3:uid="{78655F70-CA64-4C9A-B0E3-E1C972AED690}" name="Metodologías" dataCellStyle="Normal"/>
    <tableColumn id="9" xr3:uid="{26160E23-1D2D-472C-A91A-0810F35BA957}" name="Calificacion Obligatorio " dataCellStyle="Normal"/>
    <tableColumn id="10" xr3:uid="{E8FA8448-9F58-4756-9AF8-EED2DF47C3C2}" name="Calificacion Opcional" dataCellStyle="Normal"/>
    <tableColumn id="11" xr3:uid="{2424F154-5861-43E6-BFD2-A70F78F2DFE8}" name="Reportes Obligatorio" dataCellStyle="Normal"/>
    <tableColumn id="12" xr3:uid="{3AF04DB8-FD75-47FC-839A-79B971DF9315}" name="Reportes Opcional" dataCellStyle="Normal"/>
    <tableColumn id="13" xr3:uid="{8D0DFCE0-1F19-4D90-9494-B5220108FE84}" name="Campo BW" dataCellStyle="Normal"/>
    <tableColumn id="22" xr3:uid="{D6DDB31F-C432-4512-9279-AD7C6B59FA71}" name="Fuente" dataDxfId="24"/>
    <tableColumn id="19" xr3:uid="{16517E22-9E86-496C-B19F-66C40A31FEFA}" name="Tipo2" dataDxfId="23"/>
    <tableColumn id="18" xr3:uid="{D6166926-24FE-4D3A-884B-FFE0EB5F3BB6}" name="Mapeo" dataDxfId="22"/>
    <tableColumn id="14" xr3:uid="{9F504A5A-C18F-440F-9964-8CCB3FE3AF36}" name="Comentarios" dataDxfId="21"/>
    <tableColumn id="20" xr3:uid="{103B4EF1-4250-4738-8B82-B0E771E0B07A}" name="Estatus PMO 2201" dataDxfId="20"/>
    <tableColumn id="21" xr3:uid="{6D8BB44A-B4DD-47CA-8614-9FF5A407EC8E}" name="Comentarios PMO2201" dataDxfId="19"/>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83E80E8-BC1B-4ED0-BE86-4A7588405110}" name="Table29" displayName="Table29" ref="A5:B36" totalsRowShown="0" headerRowDxfId="18" dataDxfId="17" headerRowBorderDxfId="15" tableBorderDxfId="16">
  <autoFilter ref="A5:B36" xr:uid="{00000000-0009-0000-0100-00001D000000}"/>
  <tableColumns count="2">
    <tableColumn id="1" xr3:uid="{81312AED-DBCE-40F0-8D05-CACEEEDADA07}" name="Orden" dataDxfId="14"/>
    <tableColumn id="2" xr3:uid="{09A4AB65-D7ED-4014-BA66-1FF728EC072C}" name="Nombre" dataDxfId="13"/>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0F456C6-EC2B-46F3-A023-CF92248E1EDA}" name="Table2933" displayName="Table2933" ref="A5:B19" totalsRowShown="0" headerRowDxfId="12" dataDxfId="11" headerRowBorderDxfId="9" tableBorderDxfId="10">
  <autoFilter ref="A5:B19" xr:uid="{00000000-0009-0000-0100-000020000000}"/>
  <tableColumns count="2">
    <tableColumn id="1" xr3:uid="{FE47346C-BA6C-440E-8DE5-613629A0CB9D}" name="Orden" dataDxfId="8"/>
    <tableColumn id="2" xr3:uid="{17B237F5-F4B9-46D3-950F-9038DE79C0E5}" name="Nombre" dataDxfId="7"/>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2329D71-EF33-4460-8075-3F6D4CCB0174}" name="Table_1" displayName="Table_1" ref="A10:P14">
  <tableColumns count="16">
    <tableColumn id="1" xr3:uid="{23BE3741-2111-4DC4-B486-FACC7A12334B}" name="LAYOUT"/>
    <tableColumn id="2" xr3:uid="{A9D75D0B-42B4-4C48-AB64-FBE1014321B9}" name="ORDEN"/>
    <tableColumn id="3" xr3:uid="{6E4EF6E3-681D-4140-81C9-521D1B98B0F8}" name="LLAVE"/>
    <tableColumn id="4" xr3:uid="{420CEAE6-5BC5-434A-93FB-CAD11004557D}" name="NOMBRE_CAMPO"/>
    <tableColumn id="5" xr3:uid="{A965C95B-D870-4B90-8E58-0AEB14DD7F8F}" name="TIPO DATO"/>
    <tableColumn id="6" xr3:uid="{091ED6D5-EB3E-4437-9DF2-5290AE63C979}" name="FORMATO"/>
    <tableColumn id="7" xr3:uid="{DE3D2198-180A-4AE0-9946-5ECBEA67A79F}" name="OBLIGATORIO"/>
    <tableColumn id="8" xr3:uid="{1D7D3787-0AE2-4338-8915-09BA8F95920A}" name="VALIDACION"/>
    <tableColumn id="9" xr3:uid="{EBCC8F18-0823-4E9F-80F8-3C400B7FAF82}" name="CATALOGO"/>
    <tableColumn id="10" xr3:uid="{9D9221DC-057F-4477-83AC-5B8E5755BE5A}" name="USO"/>
    <tableColumn id="11" xr3:uid="{5B21506E-3F33-4569-B052-775FD3D022CE}" name="COLUMNA REPORTE APLICA"/>
    <tableColumn id="12" xr3:uid="{59AE19FC-04DC-4867-8743-CDC65EBEBF86}" name="DESCRIPCION"/>
    <tableColumn id="13" xr3:uid="{4429457A-69D5-4265-B93C-D8D50A8E7588}" name="DESCRIPCION INGLES"/>
    <tableColumn id="14" xr3:uid="{C6AEF4C8-E29D-4F43-8AC2-27D07F9AAC18}" name="OBSERVACIONES"/>
    <tableColumn id="15" xr3:uid="{D016ADBF-16D9-4D61-92B9-CCE4840F87A1}" name="VALIDEZ INFORMACION"/>
    <tableColumn id="16" xr3:uid="{C36F51EE-28D9-4274-9FAB-334616F035FB}" name="FUENTE"/>
  </tableColumns>
  <tableStyleInfo name="AclaracionesCR-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6DC239-DB06-4B20-A927-9CDB518454DE}" name="Table_111" displayName="Table_111" ref="A10:W15">
  <tableColumns count="23">
    <tableColumn id="1" xr3:uid="{40B85C8D-4A29-47B5-8F7B-D9EDFDD94EEF}" name="LAYOUT"/>
    <tableColumn id="2" xr3:uid="{8A6B9C8D-2269-47EC-9660-32A71E6805A1}" name="ORDEN"/>
    <tableColumn id="3" xr3:uid="{2F3A74E0-246B-4946-8A57-A2338BF367F8}" name="LLAVE"/>
    <tableColumn id="4" xr3:uid="{2DC8B2D9-9F7E-42FE-90D0-B7D8615156E1}" name="NOMBRE_CAMPO"/>
    <tableColumn id="5" xr3:uid="{6C317B28-5BD6-408D-8347-075C06018100}" name="TIPO DATO"/>
    <tableColumn id="6" xr3:uid="{5EB8EC90-D13E-425C-9EB9-9355E16C4FAA}" name="FORMATO"/>
    <tableColumn id="7" xr3:uid="{D970C408-CFE7-4E44-9AF4-69D1679D5618}" name="OBLIGATORIO"/>
    <tableColumn id="8" xr3:uid="{93AF6399-0C6A-44D5-8F54-828CBA04BCF9}" name="VALIDACION"/>
    <tableColumn id="9" xr3:uid="{7C894FE4-6067-4542-B2B5-FF2844F4D725}" name="CATALOGO"/>
    <tableColumn id="10" xr3:uid="{DBB24DDB-7497-489F-8E22-90E3DB809803}" name="USO"/>
    <tableColumn id="11" xr3:uid="{F96F785A-371D-4DBA-98AC-A1C474FC416F}" name="COLUMNA REPORTE APLICA"/>
    <tableColumn id="12" xr3:uid="{FB549F63-D35A-4744-B320-6A79D4DD1669}" name="DESCRIPCION"/>
    <tableColumn id="13" xr3:uid="{2B246F86-B3E0-4267-9601-FF4A10569EC1}" name="DESCRIPCION INGLES"/>
    <tableColumn id="14" xr3:uid="{D6FF4DB3-74F7-4C92-B54A-C4C1E335EA18}" name="OBSERVACIONES"/>
    <tableColumn id="15" xr3:uid="{0D392A16-FF24-4C70-A60E-D181D381C6B4}" name="VALIDEZ INFORMACION"/>
    <tableColumn id="16" xr3:uid="{B1F2CDAC-4A55-47DB-9E2A-1CB20349DC53}" name="FUENTE"/>
    <tableColumn id="18" xr3:uid="{0EADA124-9CE7-492C-9554-7D2C6324F156}" name="Fuente2" dataDxfId="6" dataCellStyle="Normal 3"/>
    <tableColumn id="24" xr3:uid="{A63EB805-3C9D-4E16-8EB7-069F3BC077E0}" name="Tipo3" dataDxfId="5" dataCellStyle="Normal 3"/>
    <tableColumn id="19" xr3:uid="{25C5B6EB-7E5B-488C-9165-3C82BA088247}" name="Mapeo" dataDxfId="4" dataCellStyle="Normal 3"/>
    <tableColumn id="20" xr3:uid="{C7FE248F-EEE4-4AFB-A1A6-BDE01253F4B8}" name="Comentarios" dataDxfId="3" dataCellStyle="Normal 3"/>
    <tableColumn id="21" xr3:uid="{821F42D8-9D13-458B-8F51-825576DB6BEC}" name="Estatus PMO 2201" dataDxfId="2" dataCellStyle="Normal 3"/>
    <tableColumn id="22" xr3:uid="{2B5878E2-5F09-4757-AE8B-4C8A67BE3862}" name="Comentarios PMO2201" dataDxfId="1" dataCellStyle="Normal 3"/>
    <tableColumn id="17" xr3:uid="{F787A56D-5F1C-4B3B-8E7B-DD96CB327982}" name="Comentarios OPER 29/01" dataDxfId="0" dataCellStyle="Normal 3"/>
  </tableColumns>
  <tableStyleInfo name="AclaracionesCR-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3EEF-25EC-3545-86E5-4B6D455BE5A4}">
  <dimension ref="A1:AY181"/>
  <sheetViews>
    <sheetView topLeftCell="A69" zoomScale="80" zoomScaleNormal="80" workbookViewId="0">
      <selection activeCell="D89" sqref="D89:D97"/>
    </sheetView>
  </sheetViews>
  <sheetFormatPr defaultColWidth="10.875" defaultRowHeight="15"/>
  <cols>
    <col min="1" max="1" width="11.875" style="2" customWidth="1"/>
    <col min="2" max="2" width="8.875" style="2" customWidth="1"/>
    <col min="3" max="3" width="9.125" style="2" customWidth="1"/>
    <col min="4" max="4" width="27" style="2" customWidth="1"/>
    <col min="5" max="5" width="11.625" style="2" customWidth="1"/>
    <col min="6" max="6" width="15.5" style="2" customWidth="1"/>
    <col min="7" max="7" width="16.875" style="2" customWidth="1"/>
    <col min="8" max="8" width="36.5" style="3" customWidth="1"/>
    <col min="9" max="9" width="39.25" style="3" customWidth="1"/>
    <col min="10" max="10" width="22.375" style="2" customWidth="1"/>
    <col min="11" max="11" width="37.5" style="2" customWidth="1"/>
    <col min="12" max="12" width="34" style="2" customWidth="1"/>
    <col min="13" max="13" width="21.625" style="2" customWidth="1"/>
    <col min="14" max="14" width="44.875" style="2" customWidth="1"/>
    <col min="15" max="15" width="32" style="2" customWidth="1"/>
    <col min="16" max="16" width="14.875" style="2" customWidth="1"/>
    <col min="17" max="17" width="18.75" style="2" customWidth="1"/>
    <col min="18" max="18" width="10.875" style="2"/>
    <col min="19" max="19" width="24.375" style="2" customWidth="1"/>
    <col min="20" max="20" width="33" style="2" customWidth="1"/>
    <col min="21" max="21" width="10.875" style="2"/>
    <col min="22" max="24" width="10.875" style="2" bestFit="1" customWidth="1"/>
    <col min="25" max="31" width="10.875" style="2" customWidth="1"/>
    <col min="32" max="32" width="10.875" style="2" bestFit="1" customWidth="1"/>
    <col min="33" max="33" width="13" style="3" bestFit="1" customWidth="1"/>
    <col min="34" max="16384" width="10.875" style="2"/>
  </cols>
  <sheetData>
    <row r="1" spans="1:39">
      <c r="A1" s="1"/>
    </row>
    <row r="2" spans="1:39">
      <c r="A2" s="2" t="s">
        <v>0</v>
      </c>
      <c r="B2" s="2" t="s">
        <v>1</v>
      </c>
      <c r="I2" s="121"/>
      <c r="J2" s="121"/>
      <c r="K2" s="121"/>
    </row>
    <row r="3" spans="1:39">
      <c r="A3" s="2" t="s">
        <v>2</v>
      </c>
      <c r="B3" s="2" t="s">
        <v>3</v>
      </c>
      <c r="I3" s="121"/>
      <c r="J3" s="121"/>
      <c r="K3" s="121"/>
    </row>
    <row r="4" spans="1:39">
      <c r="A4" s="2" t="s">
        <v>4</v>
      </c>
      <c r="B4" s="2" t="s">
        <v>5</v>
      </c>
      <c r="I4" s="121"/>
      <c r="J4" s="121"/>
      <c r="K4" s="121"/>
    </row>
    <row r="5" spans="1:39">
      <c r="A5" s="2" t="s">
        <v>6</v>
      </c>
      <c r="B5" s="2" t="s">
        <v>7</v>
      </c>
      <c r="I5" s="121"/>
      <c r="J5" s="121"/>
      <c r="K5" s="121"/>
    </row>
    <row r="6" spans="1:39">
      <c r="A6" s="1"/>
      <c r="I6" s="121"/>
      <c r="J6" s="121"/>
      <c r="K6" s="121"/>
    </row>
    <row r="7" spans="1:39" ht="30">
      <c r="A7" s="4" t="s">
        <v>8</v>
      </c>
      <c r="J7" s="5"/>
      <c r="K7" s="5"/>
    </row>
    <row r="8" spans="1:39" ht="43.5" customHeight="1">
      <c r="AG8" s="3" t="s">
        <v>9</v>
      </c>
    </row>
    <row r="9" spans="1:39" ht="15.75">
      <c r="A9" s="16" t="s">
        <v>10</v>
      </c>
      <c r="B9" s="16" t="s">
        <v>11</v>
      </c>
      <c r="C9" s="16" t="s">
        <v>12</v>
      </c>
      <c r="D9" s="16" t="s">
        <v>13</v>
      </c>
      <c r="E9" s="16" t="s">
        <v>14</v>
      </c>
      <c r="F9" s="17" t="s">
        <v>15</v>
      </c>
      <c r="G9" s="16" t="s">
        <v>16</v>
      </c>
      <c r="H9" s="66" t="s">
        <v>17</v>
      </c>
      <c r="I9" s="66" t="s">
        <v>18</v>
      </c>
      <c r="J9" s="66" t="s">
        <v>19</v>
      </c>
      <c r="K9" s="66" t="s">
        <v>20</v>
      </c>
      <c r="L9" s="66" t="s">
        <v>21</v>
      </c>
      <c r="M9" s="66" t="s">
        <v>22</v>
      </c>
      <c r="N9" s="66" t="s">
        <v>23</v>
      </c>
      <c r="O9" s="111" t="s">
        <v>24</v>
      </c>
      <c r="P9" s="16" t="s">
        <v>25</v>
      </c>
      <c r="Q9" s="16" t="s">
        <v>26</v>
      </c>
      <c r="R9" s="18" t="s">
        <v>27</v>
      </c>
      <c r="S9" s="18" t="s">
        <v>28</v>
      </c>
      <c r="T9" s="16" t="s">
        <v>29</v>
      </c>
      <c r="U9" s="16" t="s">
        <v>30</v>
      </c>
      <c r="V9" s="16" t="s">
        <v>31</v>
      </c>
      <c r="W9" s="16" t="s">
        <v>32</v>
      </c>
      <c r="X9" s="17" t="s">
        <v>33</v>
      </c>
      <c r="Y9" s="17" t="s">
        <v>34</v>
      </c>
      <c r="Z9" s="71" t="s">
        <v>35</v>
      </c>
      <c r="AB9" s="2" t="s">
        <v>36</v>
      </c>
      <c r="AC9" s="2" t="s">
        <v>37</v>
      </c>
      <c r="AD9" s="2" t="s">
        <v>38</v>
      </c>
      <c r="AE9" s="2" t="s">
        <v>39</v>
      </c>
      <c r="AG9" s="2"/>
      <c r="AM9" s="70" t="s">
        <v>40</v>
      </c>
    </row>
    <row r="10" spans="1:39" ht="45">
      <c r="A10" t="s">
        <v>8</v>
      </c>
      <c r="B10">
        <v>1</v>
      </c>
      <c r="C10" t="s">
        <v>41</v>
      </c>
      <c r="D10" t="s">
        <v>42</v>
      </c>
      <c r="E10" t="s">
        <v>43</v>
      </c>
      <c r="F10" t="s">
        <v>44</v>
      </c>
      <c r="G10" t="s">
        <v>45</v>
      </c>
      <c r="H10" s="87" t="s">
        <v>17</v>
      </c>
      <c r="I10" s="84" t="s">
        <v>46</v>
      </c>
      <c r="J10" s="84"/>
      <c r="K10" s="78" t="s">
        <v>47</v>
      </c>
      <c r="L10" s="76" t="s">
        <v>48</v>
      </c>
      <c r="M10" s="88" t="s">
        <v>49</v>
      </c>
      <c r="N10" s="88" t="s">
        <v>50</v>
      </c>
      <c r="O10" s="88"/>
      <c r="P10" s="85"/>
      <c r="Q10" s="85"/>
      <c r="R10" s="85" t="s">
        <v>51</v>
      </c>
      <c r="S10" s="89" t="s">
        <v>52</v>
      </c>
      <c r="T10" s="85" t="s">
        <v>53</v>
      </c>
      <c r="U10" s="85" t="s">
        <v>54</v>
      </c>
      <c r="V10"/>
      <c r="W10" t="s">
        <v>55</v>
      </c>
      <c r="X10" t="s">
        <v>45</v>
      </c>
      <c r="Y10" t="s">
        <v>45</v>
      </c>
      <c r="Z10" t="s">
        <v>55</v>
      </c>
      <c r="AB10" s="2" t="s">
        <v>56</v>
      </c>
      <c r="AC10" s="2" t="s">
        <v>57</v>
      </c>
      <c r="AD10" s="2">
        <v>1</v>
      </c>
      <c r="AE10" s="6" t="s">
        <v>58</v>
      </c>
      <c r="AG10" s="2" t="s">
        <v>57</v>
      </c>
      <c r="AH10" s="2">
        <v>37</v>
      </c>
      <c r="AI10" s="9" t="s">
        <v>59</v>
      </c>
      <c r="AM10" s="3">
        <v>5</v>
      </c>
    </row>
    <row r="11" spans="1:39" s="7" customFormat="1" ht="45">
      <c r="A11" t="s">
        <v>8</v>
      </c>
      <c r="B11">
        <v>2</v>
      </c>
      <c r="C11" t="s">
        <v>45</v>
      </c>
      <c r="D11" t="s">
        <v>60</v>
      </c>
      <c r="E11" t="s">
        <v>43</v>
      </c>
      <c r="F11" t="s">
        <v>44</v>
      </c>
      <c r="G11" t="s">
        <v>45</v>
      </c>
      <c r="H11" s="87" t="s">
        <v>17</v>
      </c>
      <c r="I11" s="84" t="s">
        <v>46</v>
      </c>
      <c r="J11" s="84"/>
      <c r="K11" s="78" t="s">
        <v>61</v>
      </c>
      <c r="L11" s="77" t="s">
        <v>62</v>
      </c>
      <c r="M11" s="88" t="s">
        <v>49</v>
      </c>
      <c r="N11" s="88" t="s">
        <v>50</v>
      </c>
      <c r="O11" s="88"/>
      <c r="P11" s="85" t="s">
        <v>63</v>
      </c>
      <c r="Q11" s="85"/>
      <c r="R11" s="85" t="s">
        <v>51</v>
      </c>
      <c r="S11" s="89" t="s">
        <v>64</v>
      </c>
      <c r="T11" s="85" t="s">
        <v>65</v>
      </c>
      <c r="U11" s="85" t="s">
        <v>66</v>
      </c>
      <c r="V11"/>
      <c r="W11" t="s">
        <v>55</v>
      </c>
      <c r="X11" t="s">
        <v>45</v>
      </c>
      <c r="Y11" t="s">
        <v>45</v>
      </c>
      <c r="Z11" t="s">
        <v>55</v>
      </c>
      <c r="AB11" s="7" t="s">
        <v>67</v>
      </c>
      <c r="AC11" s="7" t="s">
        <v>57</v>
      </c>
      <c r="AD11" s="7">
        <v>2</v>
      </c>
      <c r="AE11" s="8" t="s">
        <v>68</v>
      </c>
      <c r="AF11" s="2"/>
      <c r="AG11" s="2" t="s">
        <v>57</v>
      </c>
      <c r="AH11" s="2">
        <v>36</v>
      </c>
      <c r="AI11" s="9" t="s">
        <v>69</v>
      </c>
      <c r="AM11" s="72">
        <v>1202</v>
      </c>
    </row>
    <row r="12" spans="1:39" ht="45.75">
      <c r="A12" t="s">
        <v>8</v>
      </c>
      <c r="B12">
        <v>3</v>
      </c>
      <c r="C12" t="s">
        <v>41</v>
      </c>
      <c r="D12" t="s">
        <v>70</v>
      </c>
      <c r="E12" t="s">
        <v>43</v>
      </c>
      <c r="F12" t="s">
        <v>71</v>
      </c>
      <c r="G12" t="s">
        <v>45</v>
      </c>
      <c r="H12" s="87" t="s">
        <v>17</v>
      </c>
      <c r="I12" s="84" t="s">
        <v>46</v>
      </c>
      <c r="J12" s="84"/>
      <c r="K12" s="78" t="s">
        <v>72</v>
      </c>
      <c r="L12" s="87" t="s">
        <v>73</v>
      </c>
      <c r="M12" s="88" t="s">
        <v>74</v>
      </c>
      <c r="N12" s="90" t="s">
        <v>75</v>
      </c>
      <c r="O12" s="90" t="s">
        <v>76</v>
      </c>
      <c r="P12" s="85"/>
      <c r="Q12" s="85"/>
      <c r="R12" s="85" t="s">
        <v>51</v>
      </c>
      <c r="S12" s="89" t="s">
        <v>77</v>
      </c>
      <c r="T12" s="85" t="s">
        <v>78</v>
      </c>
      <c r="U12" s="85" t="s">
        <v>79</v>
      </c>
      <c r="V12"/>
      <c r="W12"/>
      <c r="X12"/>
      <c r="Y12" t="s">
        <v>45</v>
      </c>
      <c r="Z12"/>
      <c r="AB12" s="2" t="s">
        <v>67</v>
      </c>
      <c r="AC12" s="2" t="s">
        <v>57</v>
      </c>
      <c r="AD12" s="2">
        <v>11</v>
      </c>
      <c r="AE12" s="6" t="s">
        <v>80</v>
      </c>
      <c r="AG12" s="2"/>
      <c r="AM12" s="3">
        <v>1695</v>
      </c>
    </row>
    <row r="13" spans="1:39" ht="30">
      <c r="A13" t="s">
        <v>8</v>
      </c>
      <c r="B13">
        <v>4</v>
      </c>
      <c r="C13" t="s">
        <v>41</v>
      </c>
      <c r="D13" t="s">
        <v>81</v>
      </c>
      <c r="E13" t="s">
        <v>82</v>
      </c>
      <c r="F13" t="s">
        <v>83</v>
      </c>
      <c r="G13" t="s">
        <v>45</v>
      </c>
      <c r="H13" s="87" t="s">
        <v>17</v>
      </c>
      <c r="I13" s="84" t="s">
        <v>46</v>
      </c>
      <c r="J13" s="84"/>
      <c r="K13" s="78" t="s">
        <v>72</v>
      </c>
      <c r="L13" s="87" t="s">
        <v>73</v>
      </c>
      <c r="M13" s="88" t="s">
        <v>49</v>
      </c>
      <c r="N13" s="88" t="s">
        <v>50</v>
      </c>
      <c r="O13" s="88"/>
      <c r="P13" s="85"/>
      <c r="Q13" s="85"/>
      <c r="R13" s="85" t="s">
        <v>51</v>
      </c>
      <c r="S13" s="89" t="s">
        <v>84</v>
      </c>
      <c r="T13" s="85" t="s">
        <v>85</v>
      </c>
      <c r="U13" s="85" t="s">
        <v>86</v>
      </c>
      <c r="V13"/>
      <c r="W13"/>
      <c r="X13"/>
      <c r="Y13" t="s">
        <v>45</v>
      </c>
      <c r="Z13"/>
      <c r="AB13" s="2" t="s">
        <v>67</v>
      </c>
      <c r="AC13" s="2" t="s">
        <v>57</v>
      </c>
      <c r="AD13" s="2">
        <v>8</v>
      </c>
      <c r="AE13" s="9" t="s">
        <v>87</v>
      </c>
      <c r="AG13" s="2"/>
      <c r="AM13" s="3" t="s">
        <v>88</v>
      </c>
    </row>
    <row r="14" spans="1:39" ht="30">
      <c r="A14" t="s">
        <v>8</v>
      </c>
      <c r="B14">
        <v>5</v>
      </c>
      <c r="C14" t="s">
        <v>41</v>
      </c>
      <c r="D14" t="s">
        <v>89</v>
      </c>
      <c r="E14" t="s">
        <v>82</v>
      </c>
      <c r="F14" t="s">
        <v>83</v>
      </c>
      <c r="G14" t="s">
        <v>45</v>
      </c>
      <c r="H14" s="87" t="s">
        <v>17</v>
      </c>
      <c r="I14" s="84" t="s">
        <v>46</v>
      </c>
      <c r="J14" s="84"/>
      <c r="K14" s="78" t="s">
        <v>72</v>
      </c>
      <c r="L14" s="87" t="s">
        <v>73</v>
      </c>
      <c r="M14" s="88" t="s">
        <v>49</v>
      </c>
      <c r="N14" s="88" t="s">
        <v>50</v>
      </c>
      <c r="O14" s="88"/>
      <c r="P14" s="85"/>
      <c r="Q14" s="85"/>
      <c r="R14" s="85" t="s">
        <v>51</v>
      </c>
      <c r="S14" s="89" t="s">
        <v>90</v>
      </c>
      <c r="T14" s="85" t="s">
        <v>91</v>
      </c>
      <c r="U14" s="85" t="s">
        <v>92</v>
      </c>
      <c r="V14"/>
      <c r="W14"/>
      <c r="X14"/>
      <c r="Y14" t="s">
        <v>45</v>
      </c>
      <c r="Z14"/>
      <c r="AB14" s="2" t="s">
        <v>56</v>
      </c>
      <c r="AC14" s="2" t="s">
        <v>57</v>
      </c>
      <c r="AD14" s="2">
        <v>13</v>
      </c>
      <c r="AE14" s="6" t="s">
        <v>93</v>
      </c>
      <c r="AG14" s="2"/>
      <c r="AM14" s="3" t="s">
        <v>88</v>
      </c>
    </row>
    <row r="15" spans="1:39" ht="30">
      <c r="A15" t="s">
        <v>8</v>
      </c>
      <c r="B15">
        <v>6</v>
      </c>
      <c r="C15" t="s">
        <v>41</v>
      </c>
      <c r="D15" t="s">
        <v>94</v>
      </c>
      <c r="E15" t="s">
        <v>82</v>
      </c>
      <c r="F15" t="s">
        <v>83</v>
      </c>
      <c r="G15" t="s">
        <v>45</v>
      </c>
      <c r="H15" s="87" t="s">
        <v>17</v>
      </c>
      <c r="I15" s="84" t="s">
        <v>46</v>
      </c>
      <c r="J15" s="84"/>
      <c r="K15" s="78" t="s">
        <v>72</v>
      </c>
      <c r="L15" s="87" t="s">
        <v>73</v>
      </c>
      <c r="M15" s="88" t="s">
        <v>49</v>
      </c>
      <c r="N15" s="88" t="s">
        <v>50</v>
      </c>
      <c r="O15" s="88"/>
      <c r="P15" s="85"/>
      <c r="Q15" s="85"/>
      <c r="R15" s="85" t="s">
        <v>51</v>
      </c>
      <c r="S15" s="89" t="s">
        <v>95</v>
      </c>
      <c r="T15" s="85" t="s">
        <v>96</v>
      </c>
      <c r="U15" s="85" t="s">
        <v>97</v>
      </c>
      <c r="V15"/>
      <c r="W15"/>
      <c r="X15"/>
      <c r="Y15" t="s">
        <v>45</v>
      </c>
      <c r="Z15"/>
      <c r="AE15" s="9"/>
      <c r="AG15" s="2"/>
      <c r="AM15" s="3" t="s">
        <v>88</v>
      </c>
    </row>
    <row r="16" spans="1:39" ht="45.75" customHeight="1">
      <c r="A16" t="s">
        <v>8</v>
      </c>
      <c r="B16">
        <v>7</v>
      </c>
      <c r="C16" t="s">
        <v>41</v>
      </c>
      <c r="D16" t="s">
        <v>98</v>
      </c>
      <c r="E16" t="s">
        <v>82</v>
      </c>
      <c r="F16" t="s">
        <v>83</v>
      </c>
      <c r="G16" t="s">
        <v>45</v>
      </c>
      <c r="H16" s="87" t="s">
        <v>17</v>
      </c>
      <c r="I16" s="84" t="s">
        <v>46</v>
      </c>
      <c r="J16" s="84"/>
      <c r="K16" s="78" t="s">
        <v>99</v>
      </c>
      <c r="L16" s="78" t="s">
        <v>100</v>
      </c>
      <c r="M16" s="88" t="s">
        <v>49</v>
      </c>
      <c r="N16" s="88" t="s">
        <v>50</v>
      </c>
      <c r="O16" s="88"/>
      <c r="P16" s="85"/>
      <c r="Q16" s="85"/>
      <c r="R16" s="85" t="s">
        <v>101</v>
      </c>
      <c r="S16" s="89" t="s">
        <v>102</v>
      </c>
      <c r="T16" s="85" t="s">
        <v>103</v>
      </c>
      <c r="U16" s="85" t="s">
        <v>97</v>
      </c>
      <c r="V16"/>
      <c r="W16"/>
      <c r="X16"/>
      <c r="Y16" t="s">
        <v>45</v>
      </c>
      <c r="Z16"/>
      <c r="AB16" s="2" t="s">
        <v>67</v>
      </c>
      <c r="AC16" s="2" t="s">
        <v>57</v>
      </c>
      <c r="AD16" s="2">
        <v>14</v>
      </c>
      <c r="AE16" s="9" t="s">
        <v>104</v>
      </c>
      <c r="AG16" s="2"/>
      <c r="AM16" s="3">
        <v>223</v>
      </c>
    </row>
    <row r="17" spans="1:39" ht="44.25" customHeight="1">
      <c r="A17" t="s">
        <v>8</v>
      </c>
      <c r="B17">
        <v>8</v>
      </c>
      <c r="C17" t="s">
        <v>41</v>
      </c>
      <c r="D17" t="s">
        <v>105</v>
      </c>
      <c r="E17" t="s">
        <v>106</v>
      </c>
      <c r="F17" s="37" t="s">
        <v>107</v>
      </c>
      <c r="G17" t="s">
        <v>45</v>
      </c>
      <c r="H17" s="67" t="s">
        <v>17</v>
      </c>
      <c r="I17" s="80" t="s">
        <v>108</v>
      </c>
      <c r="J17" s="80"/>
      <c r="K17" s="67"/>
      <c r="L17" s="78" t="s">
        <v>109</v>
      </c>
      <c r="M17" s="81" t="s">
        <v>49</v>
      </c>
      <c r="N17" s="81"/>
      <c r="O17" s="81" t="s">
        <v>110</v>
      </c>
      <c r="P17" t="s">
        <v>111</v>
      </c>
      <c r="Q17" t="s">
        <v>112</v>
      </c>
      <c r="R17" t="s">
        <v>51</v>
      </c>
      <c r="S17" s="37" t="s">
        <v>113</v>
      </c>
      <c r="T17" t="s">
        <v>114</v>
      </c>
      <c r="U17" t="s">
        <v>115</v>
      </c>
      <c r="V17"/>
      <c r="W17"/>
      <c r="X17" s="37"/>
      <c r="Y17" s="37" t="s">
        <v>45</v>
      </c>
      <c r="Z17"/>
      <c r="AE17" s="9"/>
      <c r="AG17" s="2"/>
      <c r="AM17" s="3" t="s">
        <v>88</v>
      </c>
    </row>
    <row r="18" spans="1:39" ht="45">
      <c r="A18" t="s">
        <v>8</v>
      </c>
      <c r="B18">
        <v>9</v>
      </c>
      <c r="C18" t="s">
        <v>41</v>
      </c>
      <c r="D18" t="s">
        <v>116</v>
      </c>
      <c r="E18" t="s">
        <v>106</v>
      </c>
      <c r="F18" t="s">
        <v>117</v>
      </c>
      <c r="G18" t="s">
        <v>45</v>
      </c>
      <c r="H18" s="87" t="s">
        <v>17</v>
      </c>
      <c r="I18" s="84" t="s">
        <v>108</v>
      </c>
      <c r="J18" s="84"/>
      <c r="K18" s="78" t="s">
        <v>118</v>
      </c>
      <c r="L18" s="78" t="s">
        <v>119</v>
      </c>
      <c r="M18" s="88" t="s">
        <v>49</v>
      </c>
      <c r="N18" s="88"/>
      <c r="O18" s="88"/>
      <c r="P18" s="85" t="s">
        <v>111</v>
      </c>
      <c r="Q18" s="85" t="s">
        <v>120</v>
      </c>
      <c r="R18" s="85" t="s">
        <v>51</v>
      </c>
      <c r="S18" s="89" t="s">
        <v>121</v>
      </c>
      <c r="T18" s="85" t="s">
        <v>122</v>
      </c>
      <c r="U18" s="85" t="s">
        <v>123</v>
      </c>
      <c r="V18"/>
      <c r="W18"/>
      <c r="X18"/>
      <c r="Y18" t="s">
        <v>45</v>
      </c>
      <c r="Z18"/>
      <c r="AB18" s="2" t="s">
        <v>67</v>
      </c>
      <c r="AC18" s="2" t="s">
        <v>57</v>
      </c>
      <c r="AD18" s="2">
        <v>12</v>
      </c>
      <c r="AE18" s="9" t="s">
        <v>124</v>
      </c>
      <c r="AG18" s="2"/>
      <c r="AM18" s="3" t="s">
        <v>88</v>
      </c>
    </row>
    <row r="19" spans="1:39" ht="15.75">
      <c r="A19" t="s">
        <v>8</v>
      </c>
      <c r="B19">
        <v>10</v>
      </c>
      <c r="C19" t="s">
        <v>41</v>
      </c>
      <c r="D19" t="s">
        <v>125</v>
      </c>
      <c r="E19" t="s">
        <v>106</v>
      </c>
      <c r="F19" t="s">
        <v>107</v>
      </c>
      <c r="G19" t="s">
        <v>41</v>
      </c>
      <c r="H19" s="67" t="s">
        <v>126</v>
      </c>
      <c r="I19" s="67"/>
      <c r="J19" s="67"/>
      <c r="K19" s="67"/>
      <c r="L19" s="67" t="s">
        <v>126</v>
      </c>
      <c r="M19" s="67"/>
      <c r="N19" s="67"/>
      <c r="O19" s="67"/>
      <c r="P19" t="s">
        <v>111</v>
      </c>
      <c r="Q19" t="s">
        <v>127</v>
      </c>
      <c r="R19" t="s">
        <v>128</v>
      </c>
      <c r="S19" t="s">
        <v>129</v>
      </c>
      <c r="T19" t="s">
        <v>130</v>
      </c>
      <c r="U19" t="s">
        <v>131</v>
      </c>
      <c r="V19"/>
      <c r="W19"/>
      <c r="X19" t="s">
        <v>45</v>
      </c>
      <c r="Y19" t="s">
        <v>45</v>
      </c>
      <c r="Z19"/>
      <c r="AG19" s="2"/>
      <c r="AM19" s="3" t="s">
        <v>88</v>
      </c>
    </row>
    <row r="20" spans="1:39" ht="45">
      <c r="A20" t="s">
        <v>132</v>
      </c>
      <c r="B20">
        <v>11</v>
      </c>
      <c r="C20" t="s">
        <v>41</v>
      </c>
      <c r="D20" t="s">
        <v>133</v>
      </c>
      <c r="E20" t="s">
        <v>106</v>
      </c>
      <c r="F20" t="s">
        <v>117</v>
      </c>
      <c r="G20" t="s">
        <v>41</v>
      </c>
      <c r="H20" s="67" t="s">
        <v>17</v>
      </c>
      <c r="I20" s="80" t="s">
        <v>46</v>
      </c>
      <c r="J20" s="80"/>
      <c r="K20" s="67"/>
      <c r="L20" s="67" t="s">
        <v>73</v>
      </c>
      <c r="M20" s="88" t="s">
        <v>49</v>
      </c>
      <c r="N20" s="67" t="s">
        <v>50</v>
      </c>
      <c r="O20" s="81" t="s">
        <v>110</v>
      </c>
      <c r="P20"/>
      <c r="Q20"/>
      <c r="R20" t="s">
        <v>134</v>
      </c>
      <c r="S20" t="s">
        <v>135</v>
      </c>
      <c r="T20" t="s">
        <v>136</v>
      </c>
      <c r="U20" t="s">
        <v>137</v>
      </c>
      <c r="V20"/>
      <c r="W20"/>
      <c r="X20"/>
      <c r="Y20" t="s">
        <v>45</v>
      </c>
      <c r="Z20"/>
      <c r="AG20" s="2"/>
      <c r="AM20" s="3" t="s">
        <v>88</v>
      </c>
    </row>
    <row r="21" spans="1:39" ht="45">
      <c r="A21" t="s">
        <v>8</v>
      </c>
      <c r="B21">
        <v>12</v>
      </c>
      <c r="C21" t="s">
        <v>41</v>
      </c>
      <c r="D21" t="s">
        <v>138</v>
      </c>
      <c r="E21" t="s">
        <v>106</v>
      </c>
      <c r="F21" t="s">
        <v>139</v>
      </c>
      <c r="G21" t="s">
        <v>45</v>
      </c>
      <c r="H21" s="67" t="s">
        <v>17</v>
      </c>
      <c r="I21" s="80" t="s">
        <v>46</v>
      </c>
      <c r="J21" s="80"/>
      <c r="K21" s="67"/>
      <c r="L21" s="67" t="s">
        <v>73</v>
      </c>
      <c r="M21" s="88" t="s">
        <v>49</v>
      </c>
      <c r="N21" s="67" t="s">
        <v>50</v>
      </c>
      <c r="O21" s="81" t="s">
        <v>110</v>
      </c>
      <c r="P21" t="s">
        <v>111</v>
      </c>
      <c r="Q21" t="s">
        <v>140</v>
      </c>
      <c r="R21" t="s">
        <v>101</v>
      </c>
      <c r="S21" s="37" t="s">
        <v>141</v>
      </c>
      <c r="T21" t="s">
        <v>142</v>
      </c>
      <c r="U21" t="s">
        <v>143</v>
      </c>
      <c r="V21"/>
      <c r="W21"/>
      <c r="X21" t="s">
        <v>45</v>
      </c>
      <c r="Y21" t="s">
        <v>45</v>
      </c>
      <c r="Z21"/>
      <c r="AG21" s="2"/>
      <c r="AM21" s="3" t="s">
        <v>88</v>
      </c>
    </row>
    <row r="22" spans="1:39" ht="45">
      <c r="A22" t="s">
        <v>8</v>
      </c>
      <c r="B22">
        <v>13</v>
      </c>
      <c r="C22" t="s">
        <v>41</v>
      </c>
      <c r="D22" t="s">
        <v>144</v>
      </c>
      <c r="E22" t="s">
        <v>106</v>
      </c>
      <c r="F22" s="37" t="s">
        <v>145</v>
      </c>
      <c r="G22" t="s">
        <v>41</v>
      </c>
      <c r="H22" s="67" t="s">
        <v>17</v>
      </c>
      <c r="I22" s="80" t="s">
        <v>46</v>
      </c>
      <c r="J22" s="80"/>
      <c r="K22" s="67"/>
      <c r="L22" s="67" t="s">
        <v>73</v>
      </c>
      <c r="M22" s="88" t="s">
        <v>49</v>
      </c>
      <c r="N22" s="67" t="s">
        <v>50</v>
      </c>
      <c r="O22" s="81" t="s">
        <v>110</v>
      </c>
      <c r="P22"/>
      <c r="Q22"/>
      <c r="R22" t="s">
        <v>101</v>
      </c>
      <c r="S22" s="37" t="s">
        <v>146</v>
      </c>
      <c r="T22" t="s">
        <v>147</v>
      </c>
      <c r="U22" t="s">
        <v>148</v>
      </c>
      <c r="V22"/>
      <c r="W22"/>
      <c r="X22" s="37" t="s">
        <v>45</v>
      </c>
      <c r="Y22" t="s">
        <v>45</v>
      </c>
      <c r="Z22"/>
      <c r="AB22" s="2" t="s">
        <v>67</v>
      </c>
      <c r="AC22" s="2" t="s">
        <v>57</v>
      </c>
      <c r="AD22" s="2">
        <v>15</v>
      </c>
      <c r="AE22" s="9" t="s">
        <v>149</v>
      </c>
      <c r="AG22" s="2"/>
      <c r="AM22" s="3">
        <v>985</v>
      </c>
    </row>
    <row r="23" spans="1:39" ht="45">
      <c r="A23" t="s">
        <v>8</v>
      </c>
      <c r="B23">
        <v>14</v>
      </c>
      <c r="C23" t="s">
        <v>41</v>
      </c>
      <c r="D23" t="s">
        <v>150</v>
      </c>
      <c r="E23" t="s">
        <v>106</v>
      </c>
      <c r="F23" t="s">
        <v>151</v>
      </c>
      <c r="G23" t="s">
        <v>41</v>
      </c>
      <c r="H23" s="67" t="s">
        <v>17</v>
      </c>
      <c r="I23" s="80" t="s">
        <v>152</v>
      </c>
      <c r="J23" s="80"/>
      <c r="K23" s="67"/>
      <c r="L23" s="78" t="s">
        <v>153</v>
      </c>
      <c r="M23" s="88" t="s">
        <v>49</v>
      </c>
      <c r="N23" s="67" t="s">
        <v>50</v>
      </c>
      <c r="O23" s="81" t="s">
        <v>110</v>
      </c>
      <c r="P23"/>
      <c r="Q23"/>
      <c r="R23" t="s">
        <v>51</v>
      </c>
      <c r="S23" t="s">
        <v>154</v>
      </c>
      <c r="T23" t="s">
        <v>155</v>
      </c>
      <c r="U23" t="s">
        <v>156</v>
      </c>
      <c r="V23"/>
      <c r="W23"/>
      <c r="X23" t="s">
        <v>45</v>
      </c>
      <c r="Y23" t="s">
        <v>45</v>
      </c>
      <c r="Z23"/>
      <c r="AB23" s="2" t="s">
        <v>67</v>
      </c>
      <c r="AC23" s="2" t="s">
        <v>57</v>
      </c>
      <c r="AD23" s="2">
        <v>21</v>
      </c>
      <c r="AE23" s="9" t="s">
        <v>157</v>
      </c>
      <c r="AG23" s="2"/>
      <c r="AM23" s="3" t="s">
        <v>88</v>
      </c>
    </row>
    <row r="24" spans="1:39" ht="45">
      <c r="A24" t="s">
        <v>8</v>
      </c>
      <c r="B24">
        <v>15</v>
      </c>
      <c r="C24" t="s">
        <v>41</v>
      </c>
      <c r="D24" t="s">
        <v>158</v>
      </c>
      <c r="E24" t="s">
        <v>106</v>
      </c>
      <c r="F24" t="s">
        <v>159</v>
      </c>
      <c r="G24" t="s">
        <v>41</v>
      </c>
      <c r="H24" s="67" t="s">
        <v>17</v>
      </c>
      <c r="I24" s="80" t="s">
        <v>46</v>
      </c>
      <c r="J24" s="80"/>
      <c r="K24" s="67"/>
      <c r="L24" s="67" t="s">
        <v>73</v>
      </c>
      <c r="M24" s="88" t="s">
        <v>49</v>
      </c>
      <c r="N24" s="67" t="s">
        <v>50</v>
      </c>
      <c r="O24" s="81" t="s">
        <v>110</v>
      </c>
      <c r="P24"/>
      <c r="Q24"/>
      <c r="R24" t="s">
        <v>101</v>
      </c>
      <c r="S24" s="37" t="s">
        <v>160</v>
      </c>
      <c r="T24" t="s">
        <v>161</v>
      </c>
      <c r="U24" t="s">
        <v>162</v>
      </c>
      <c r="V24"/>
      <c r="W24"/>
      <c r="X24"/>
      <c r="Y24" t="s">
        <v>45</v>
      </c>
      <c r="Z24"/>
      <c r="AB24" s="2" t="s">
        <v>67</v>
      </c>
      <c r="AC24" s="2" t="s">
        <v>57</v>
      </c>
      <c r="AD24" s="2">
        <v>16</v>
      </c>
      <c r="AE24" s="9" t="s">
        <v>163</v>
      </c>
      <c r="AG24" s="2"/>
      <c r="AM24" s="3">
        <v>1324</v>
      </c>
    </row>
    <row r="25" spans="1:39" ht="15.75">
      <c r="A25" t="s">
        <v>8</v>
      </c>
      <c r="B25">
        <v>16</v>
      </c>
      <c r="C25" t="s">
        <v>41</v>
      </c>
      <c r="D25" t="s">
        <v>164</v>
      </c>
      <c r="E25" t="s">
        <v>106</v>
      </c>
      <c r="F25" t="s">
        <v>159</v>
      </c>
      <c r="G25" t="s">
        <v>41</v>
      </c>
      <c r="H25" s="67" t="s">
        <v>126</v>
      </c>
      <c r="I25" s="67"/>
      <c r="J25" s="67"/>
      <c r="K25" s="67"/>
      <c r="L25" s="67" t="s">
        <v>126</v>
      </c>
      <c r="M25" s="67"/>
      <c r="N25" s="67"/>
      <c r="O25" s="67"/>
      <c r="P25"/>
      <c r="Q25"/>
      <c r="R25" t="s">
        <v>165</v>
      </c>
      <c r="S25" t="s">
        <v>166</v>
      </c>
      <c r="T25" t="s">
        <v>167</v>
      </c>
      <c r="U25" t="s">
        <v>168</v>
      </c>
      <c r="V25"/>
      <c r="W25"/>
      <c r="X25"/>
      <c r="Y25" t="s">
        <v>45</v>
      </c>
      <c r="Z25"/>
      <c r="AB25" s="2" t="s">
        <v>67</v>
      </c>
      <c r="AC25" s="2" t="s">
        <v>57</v>
      </c>
      <c r="AD25" s="2">
        <v>17</v>
      </c>
      <c r="AE25" s="9" t="s">
        <v>169</v>
      </c>
      <c r="AG25" s="2"/>
      <c r="AM25" s="3" t="s">
        <v>88</v>
      </c>
    </row>
    <row r="26" spans="1:39" ht="45">
      <c r="A26" t="s">
        <v>8</v>
      </c>
      <c r="B26">
        <v>17</v>
      </c>
      <c r="C26" t="s">
        <v>41</v>
      </c>
      <c r="D26" t="s">
        <v>170</v>
      </c>
      <c r="E26" t="s">
        <v>106</v>
      </c>
      <c r="F26" t="s">
        <v>151</v>
      </c>
      <c r="G26" t="s">
        <v>41</v>
      </c>
      <c r="H26" s="67" t="s">
        <v>17</v>
      </c>
      <c r="I26" s="80" t="s">
        <v>46</v>
      </c>
      <c r="J26" s="80"/>
      <c r="K26" s="67"/>
      <c r="L26" s="67" t="s">
        <v>73</v>
      </c>
      <c r="M26" s="88" t="s">
        <v>49</v>
      </c>
      <c r="N26" s="67" t="s">
        <v>50</v>
      </c>
      <c r="O26" s="81" t="s">
        <v>110</v>
      </c>
      <c r="P26"/>
      <c r="Q26"/>
      <c r="R26" t="s">
        <v>51</v>
      </c>
      <c r="S26" t="s">
        <v>171</v>
      </c>
      <c r="T26" t="s">
        <v>172</v>
      </c>
      <c r="U26" t="s">
        <v>173</v>
      </c>
      <c r="V26"/>
      <c r="W26"/>
      <c r="X26" t="s">
        <v>45</v>
      </c>
      <c r="Y26" t="s">
        <v>45</v>
      </c>
      <c r="Z26"/>
      <c r="AB26" s="2" t="s">
        <v>67</v>
      </c>
      <c r="AC26" s="2" t="s">
        <v>57</v>
      </c>
      <c r="AD26" s="2">
        <v>18</v>
      </c>
      <c r="AE26" s="9" t="s">
        <v>174</v>
      </c>
      <c r="AG26" s="2"/>
      <c r="AM26" s="3">
        <v>990</v>
      </c>
    </row>
    <row r="27" spans="1:39" ht="18">
      <c r="A27" t="s">
        <v>8</v>
      </c>
      <c r="B27">
        <v>18</v>
      </c>
      <c r="C27" t="s">
        <v>41</v>
      </c>
      <c r="D27" t="s">
        <v>175</v>
      </c>
      <c r="E27" t="s">
        <v>106</v>
      </c>
      <c r="F27" t="s">
        <v>139</v>
      </c>
      <c r="G27" t="s">
        <v>41</v>
      </c>
      <c r="H27" s="67" t="s">
        <v>126</v>
      </c>
      <c r="I27" s="67"/>
      <c r="J27" s="67"/>
      <c r="K27" s="67"/>
      <c r="L27" s="67" t="s">
        <v>126</v>
      </c>
      <c r="M27" s="82"/>
      <c r="N27" s="82"/>
      <c r="O27" s="82"/>
      <c r="P27" t="s">
        <v>111</v>
      </c>
      <c r="Q27" t="s">
        <v>176</v>
      </c>
      <c r="R27" t="s">
        <v>101</v>
      </c>
      <c r="S27" t="s">
        <v>177</v>
      </c>
      <c r="T27" t="s">
        <v>178</v>
      </c>
      <c r="U27" t="s">
        <v>179</v>
      </c>
      <c r="V27"/>
      <c r="W27"/>
      <c r="X27"/>
      <c r="Y27" t="s">
        <v>45</v>
      </c>
      <c r="Z27"/>
      <c r="AB27" s="2" t="s">
        <v>67</v>
      </c>
      <c r="AC27" s="2" t="s">
        <v>57</v>
      </c>
      <c r="AD27" s="2">
        <v>19</v>
      </c>
      <c r="AE27" s="9" t="s">
        <v>180</v>
      </c>
      <c r="AG27" s="2"/>
      <c r="AM27" s="3"/>
    </row>
    <row r="28" spans="1:39" ht="15.75">
      <c r="A28" t="s">
        <v>8</v>
      </c>
      <c r="B28">
        <v>19</v>
      </c>
      <c r="C28" t="s">
        <v>41</v>
      </c>
      <c r="D28" t="s">
        <v>181</v>
      </c>
      <c r="E28" t="s">
        <v>106</v>
      </c>
      <c r="F28" t="s">
        <v>139</v>
      </c>
      <c r="G28" t="s">
        <v>41</v>
      </c>
      <c r="H28" s="87" t="s">
        <v>17</v>
      </c>
      <c r="I28" s="84" t="s">
        <v>108</v>
      </c>
      <c r="J28" s="84"/>
      <c r="K28" s="78" t="s">
        <v>182</v>
      </c>
      <c r="L28" s="87" t="s">
        <v>182</v>
      </c>
      <c r="M28" s="88" t="s">
        <v>49</v>
      </c>
      <c r="N28" s="88"/>
      <c r="O28" s="88"/>
      <c r="P28" s="85" t="s">
        <v>111</v>
      </c>
      <c r="Q28" s="85" t="s">
        <v>183</v>
      </c>
      <c r="R28" s="85" t="s">
        <v>51</v>
      </c>
      <c r="S28" s="85" t="s">
        <v>184</v>
      </c>
      <c r="T28" s="85" t="s">
        <v>185</v>
      </c>
      <c r="U28" s="85" t="s">
        <v>186</v>
      </c>
      <c r="V28"/>
      <c r="W28"/>
      <c r="X28"/>
      <c r="Y28" t="s">
        <v>45</v>
      </c>
      <c r="Z28"/>
      <c r="AE28" s="6"/>
      <c r="AG28" s="2"/>
      <c r="AM28" s="3"/>
    </row>
    <row r="29" spans="1:39" ht="75">
      <c r="A29" t="s">
        <v>8</v>
      </c>
      <c r="B29">
        <v>20</v>
      </c>
      <c r="C29" t="s">
        <v>41</v>
      </c>
      <c r="D29" t="s">
        <v>187</v>
      </c>
      <c r="E29" t="s">
        <v>106</v>
      </c>
      <c r="F29" t="s">
        <v>188</v>
      </c>
      <c r="G29" t="s">
        <v>41</v>
      </c>
      <c r="H29" s="87" t="s">
        <v>17</v>
      </c>
      <c r="I29" s="84" t="s">
        <v>152</v>
      </c>
      <c r="J29" s="84"/>
      <c r="K29" s="78" t="s">
        <v>189</v>
      </c>
      <c r="L29" s="87" t="s">
        <v>73</v>
      </c>
      <c r="M29" s="88" t="s">
        <v>74</v>
      </c>
      <c r="N29" s="90" t="s">
        <v>190</v>
      </c>
      <c r="O29" s="90" t="s">
        <v>191</v>
      </c>
      <c r="P29" s="85"/>
      <c r="Q29" s="85"/>
      <c r="R29" s="85" t="s">
        <v>51</v>
      </c>
      <c r="S29" s="85" t="s">
        <v>192</v>
      </c>
      <c r="T29" s="85" t="s">
        <v>193</v>
      </c>
      <c r="U29" s="85" t="s">
        <v>194</v>
      </c>
      <c r="V29"/>
      <c r="W29"/>
      <c r="X29"/>
      <c r="Y29" t="s">
        <v>45</v>
      </c>
      <c r="Z29"/>
      <c r="AB29" s="2" t="s">
        <v>67</v>
      </c>
      <c r="AC29" s="2" t="s">
        <v>57</v>
      </c>
      <c r="AD29" s="2">
        <v>31</v>
      </c>
      <c r="AE29" s="9" t="s">
        <v>195</v>
      </c>
      <c r="AF29" s="10" t="s">
        <v>196</v>
      </c>
      <c r="AG29" s="2"/>
      <c r="AM29" s="3"/>
    </row>
    <row r="30" spans="1:39" ht="105.75">
      <c r="A30" t="s">
        <v>8</v>
      </c>
      <c r="B30">
        <v>21</v>
      </c>
      <c r="C30" t="s">
        <v>41</v>
      </c>
      <c r="D30" t="s">
        <v>197</v>
      </c>
      <c r="E30" t="s">
        <v>106</v>
      </c>
      <c r="F30" t="s">
        <v>188</v>
      </c>
      <c r="G30" t="s">
        <v>41</v>
      </c>
      <c r="H30" s="87" t="s">
        <v>17</v>
      </c>
      <c r="I30" s="84" t="s">
        <v>152</v>
      </c>
      <c r="J30" s="84"/>
      <c r="K30" s="78" t="s">
        <v>198</v>
      </c>
      <c r="L30" s="87" t="s">
        <v>73</v>
      </c>
      <c r="M30" s="88" t="s">
        <v>74</v>
      </c>
      <c r="N30" s="88" t="s">
        <v>199</v>
      </c>
      <c r="O30" s="90" t="s">
        <v>200</v>
      </c>
      <c r="P30" s="85"/>
      <c r="Q30" s="85"/>
      <c r="R30" s="85" t="s">
        <v>51</v>
      </c>
      <c r="S30" s="85" t="s">
        <v>192</v>
      </c>
      <c r="T30" s="85" t="s">
        <v>201</v>
      </c>
      <c r="U30" s="85" t="s">
        <v>202</v>
      </c>
      <c r="V30"/>
      <c r="W30"/>
      <c r="X30"/>
      <c r="Y30" t="s">
        <v>45</v>
      </c>
      <c r="Z30"/>
      <c r="AB30" s="2" t="s">
        <v>67</v>
      </c>
      <c r="AC30" s="2" t="s">
        <v>57</v>
      </c>
      <c r="AD30" s="2">
        <v>34</v>
      </c>
      <c r="AE30" s="9" t="s">
        <v>203</v>
      </c>
      <c r="AF30" s="10" t="s">
        <v>196</v>
      </c>
      <c r="AG30" s="2"/>
      <c r="AM30" s="3"/>
    </row>
    <row r="31" spans="1:39" ht="18">
      <c r="A31" t="s">
        <v>8</v>
      </c>
      <c r="B31">
        <v>22</v>
      </c>
      <c r="C31" t="s">
        <v>41</v>
      </c>
      <c r="D31" t="s">
        <v>204</v>
      </c>
      <c r="E31" t="s">
        <v>106</v>
      </c>
      <c r="F31" t="s">
        <v>188</v>
      </c>
      <c r="G31" t="s">
        <v>45</v>
      </c>
      <c r="H31" s="67" t="s">
        <v>17</v>
      </c>
      <c r="I31" s="80" t="s">
        <v>205</v>
      </c>
      <c r="J31" s="80"/>
      <c r="K31" s="67"/>
      <c r="L31" s="67" t="s">
        <v>206</v>
      </c>
      <c r="M31" s="91" t="s">
        <v>207</v>
      </c>
      <c r="N31" s="83"/>
      <c r="O31" s="83"/>
      <c r="P31"/>
      <c r="Q31"/>
      <c r="R31" t="s">
        <v>51</v>
      </c>
      <c r="S31" t="s">
        <v>208</v>
      </c>
      <c r="T31" t="s">
        <v>209</v>
      </c>
      <c r="U31" t="s">
        <v>210</v>
      </c>
      <c r="V31"/>
      <c r="W31"/>
      <c r="X31" t="s">
        <v>45</v>
      </c>
      <c r="Y31" t="s">
        <v>45</v>
      </c>
      <c r="Z31"/>
      <c r="AE31" s="9"/>
      <c r="AF31" s="10"/>
      <c r="AG31" s="2"/>
      <c r="AM31" s="3"/>
    </row>
    <row r="32" spans="1:39" ht="18">
      <c r="A32" t="s">
        <v>8</v>
      </c>
      <c r="B32">
        <v>23</v>
      </c>
      <c r="C32" t="s">
        <v>41</v>
      </c>
      <c r="D32" t="s">
        <v>211</v>
      </c>
      <c r="E32" t="s">
        <v>106</v>
      </c>
      <c r="F32" t="s">
        <v>188</v>
      </c>
      <c r="G32" t="s">
        <v>45</v>
      </c>
      <c r="H32" s="67" t="s">
        <v>17</v>
      </c>
      <c r="I32" s="80" t="s">
        <v>205</v>
      </c>
      <c r="J32" s="80"/>
      <c r="K32" s="67"/>
      <c r="L32" s="67" t="s">
        <v>206</v>
      </c>
      <c r="M32" s="91" t="s">
        <v>207</v>
      </c>
      <c r="N32" s="83"/>
      <c r="O32" s="83"/>
      <c r="P32"/>
      <c r="Q32"/>
      <c r="R32" t="s">
        <v>51</v>
      </c>
      <c r="S32" t="s">
        <v>208</v>
      </c>
      <c r="T32" t="s">
        <v>212</v>
      </c>
      <c r="U32" t="s">
        <v>213</v>
      </c>
      <c r="V32"/>
      <c r="W32"/>
      <c r="X32" t="s">
        <v>45</v>
      </c>
      <c r="Y32" t="s">
        <v>45</v>
      </c>
      <c r="Z32"/>
      <c r="AE32" s="9"/>
      <c r="AF32" s="10"/>
      <c r="AG32" s="2"/>
      <c r="AM32" s="3"/>
    </row>
    <row r="33" spans="1:39" ht="18">
      <c r="A33" t="s">
        <v>8</v>
      </c>
      <c r="B33">
        <v>24</v>
      </c>
      <c r="C33" t="s">
        <v>41</v>
      </c>
      <c r="D33" t="s">
        <v>214</v>
      </c>
      <c r="E33" t="s">
        <v>106</v>
      </c>
      <c r="F33" t="s">
        <v>188</v>
      </c>
      <c r="G33" t="s">
        <v>45</v>
      </c>
      <c r="H33" s="67" t="s">
        <v>17</v>
      </c>
      <c r="I33" s="80" t="s">
        <v>205</v>
      </c>
      <c r="J33" s="80"/>
      <c r="K33" s="67"/>
      <c r="L33" s="67" t="s">
        <v>206</v>
      </c>
      <c r="M33" s="91" t="s">
        <v>207</v>
      </c>
      <c r="N33" s="83"/>
      <c r="O33" s="83"/>
      <c r="P33"/>
      <c r="Q33"/>
      <c r="R33" t="s">
        <v>51</v>
      </c>
      <c r="S33" t="s">
        <v>208</v>
      </c>
      <c r="T33" t="s">
        <v>215</v>
      </c>
      <c r="U33" t="s">
        <v>216</v>
      </c>
      <c r="V33"/>
      <c r="W33"/>
      <c r="X33" t="s">
        <v>45</v>
      </c>
      <c r="Y33" t="s">
        <v>45</v>
      </c>
      <c r="Z33"/>
      <c r="AE33" s="9"/>
      <c r="AF33" s="10"/>
      <c r="AG33" s="2"/>
      <c r="AM33" s="3"/>
    </row>
    <row r="34" spans="1:39" ht="18">
      <c r="A34" t="s">
        <v>8</v>
      </c>
      <c r="B34">
        <v>25</v>
      </c>
      <c r="C34" t="s">
        <v>41</v>
      </c>
      <c r="D34" t="s">
        <v>217</v>
      </c>
      <c r="E34" t="s">
        <v>106</v>
      </c>
      <c r="F34" t="s">
        <v>188</v>
      </c>
      <c r="G34" t="s">
        <v>41</v>
      </c>
      <c r="H34" s="67" t="s">
        <v>17</v>
      </c>
      <c r="I34" s="80" t="s">
        <v>205</v>
      </c>
      <c r="J34" s="80"/>
      <c r="K34" s="67"/>
      <c r="L34" s="67" t="s">
        <v>206</v>
      </c>
      <c r="M34" s="91" t="s">
        <v>207</v>
      </c>
      <c r="N34" s="83"/>
      <c r="O34" s="83"/>
      <c r="P34"/>
      <c r="Q34"/>
      <c r="R34" t="s">
        <v>51</v>
      </c>
      <c r="S34" t="s">
        <v>208</v>
      </c>
      <c r="T34" t="s">
        <v>218</v>
      </c>
      <c r="U34" t="s">
        <v>219</v>
      </c>
      <c r="V34"/>
      <c r="W34"/>
      <c r="X34" t="s">
        <v>45</v>
      </c>
      <c r="Y34" t="s">
        <v>45</v>
      </c>
      <c r="Z34"/>
      <c r="AB34" s="2" t="s">
        <v>67</v>
      </c>
      <c r="AC34" s="2" t="s">
        <v>57</v>
      </c>
      <c r="AD34" s="2">
        <v>3</v>
      </c>
      <c r="AE34" s="9" t="s">
        <v>220</v>
      </c>
      <c r="AG34" s="2"/>
      <c r="AM34" s="3"/>
    </row>
    <row r="35" spans="1:39" ht="18">
      <c r="A35" t="s">
        <v>8</v>
      </c>
      <c r="B35">
        <v>26</v>
      </c>
      <c r="C35" t="s">
        <v>41</v>
      </c>
      <c r="D35" t="s">
        <v>221</v>
      </c>
      <c r="E35" t="s">
        <v>106</v>
      </c>
      <c r="F35" t="s">
        <v>188</v>
      </c>
      <c r="G35" t="s">
        <v>41</v>
      </c>
      <c r="H35" s="67" t="s">
        <v>17</v>
      </c>
      <c r="I35" s="80" t="s">
        <v>205</v>
      </c>
      <c r="J35" s="80"/>
      <c r="K35" s="67"/>
      <c r="L35" s="67" t="s">
        <v>206</v>
      </c>
      <c r="M35" s="91" t="s">
        <v>207</v>
      </c>
      <c r="N35" s="83"/>
      <c r="O35" s="83"/>
      <c r="P35"/>
      <c r="Q35"/>
      <c r="R35" t="s">
        <v>56</v>
      </c>
      <c r="S35"/>
      <c r="T35" t="s">
        <v>222</v>
      </c>
      <c r="U35" t="s">
        <v>223</v>
      </c>
      <c r="V35"/>
      <c r="W35"/>
      <c r="X35" t="s">
        <v>45</v>
      </c>
      <c r="Y35" t="s">
        <v>45</v>
      </c>
      <c r="Z35"/>
      <c r="AB35" s="2" t="s">
        <v>67</v>
      </c>
      <c r="AC35" s="2" t="s">
        <v>57</v>
      </c>
      <c r="AD35" s="2">
        <v>4</v>
      </c>
      <c r="AE35" s="9" t="s">
        <v>224</v>
      </c>
      <c r="AG35" s="2"/>
      <c r="AM35" s="3"/>
    </row>
    <row r="36" spans="1:39" ht="15.75">
      <c r="A36" t="s">
        <v>8</v>
      </c>
      <c r="B36">
        <v>27</v>
      </c>
      <c r="C36" t="s">
        <v>41</v>
      </c>
      <c r="D36" t="s">
        <v>225</v>
      </c>
      <c r="E36" t="s">
        <v>106</v>
      </c>
      <c r="F36" s="37" t="s">
        <v>226</v>
      </c>
      <c r="G36" t="s">
        <v>41</v>
      </c>
      <c r="H36" s="67" t="s">
        <v>126</v>
      </c>
      <c r="I36" s="67"/>
      <c r="J36" s="67"/>
      <c r="K36" s="67"/>
      <c r="L36" s="67" t="s">
        <v>126</v>
      </c>
      <c r="M36" s="67"/>
      <c r="N36" s="67"/>
      <c r="O36" s="67"/>
      <c r="P36"/>
      <c r="Q36"/>
      <c r="R36" t="s">
        <v>227</v>
      </c>
      <c r="S36" t="s">
        <v>228</v>
      </c>
      <c r="T36" t="s">
        <v>229</v>
      </c>
      <c r="U36" t="s">
        <v>230</v>
      </c>
      <c r="V36"/>
      <c r="W36"/>
      <c r="X36" s="37"/>
      <c r="Y36" t="s">
        <v>45</v>
      </c>
      <c r="Z36"/>
      <c r="AB36" s="2" t="s">
        <v>67</v>
      </c>
      <c r="AC36" s="2" t="s">
        <v>57</v>
      </c>
      <c r="AD36" s="2">
        <v>5</v>
      </c>
      <c r="AE36" s="9" t="s">
        <v>231</v>
      </c>
      <c r="AG36" s="2"/>
      <c r="AM36" s="3"/>
    </row>
    <row r="37" spans="1:39" ht="15.75">
      <c r="A37" t="s">
        <v>8</v>
      </c>
      <c r="B37">
        <v>28</v>
      </c>
      <c r="C37" t="s">
        <v>41</v>
      </c>
      <c r="D37" t="s">
        <v>232</v>
      </c>
      <c r="E37" t="s">
        <v>106</v>
      </c>
      <c r="F37" s="37" t="s">
        <v>226</v>
      </c>
      <c r="G37" t="s">
        <v>41</v>
      </c>
      <c r="H37" s="67" t="s">
        <v>126</v>
      </c>
      <c r="I37" s="67"/>
      <c r="J37" s="67"/>
      <c r="K37" s="67"/>
      <c r="L37" s="67" t="s">
        <v>126</v>
      </c>
      <c r="M37" s="67"/>
      <c r="N37" s="67"/>
      <c r="O37" s="67"/>
      <c r="P37"/>
      <c r="Q37"/>
      <c r="R37" t="s">
        <v>227</v>
      </c>
      <c r="S37" t="s">
        <v>233</v>
      </c>
      <c r="T37" t="s">
        <v>234</v>
      </c>
      <c r="U37" t="s">
        <v>235</v>
      </c>
      <c r="V37"/>
      <c r="W37"/>
      <c r="X37" s="37"/>
      <c r="Y37" t="s">
        <v>45</v>
      </c>
      <c r="Z37"/>
      <c r="AB37" s="2" t="s">
        <v>67</v>
      </c>
      <c r="AC37" s="2" t="s">
        <v>57</v>
      </c>
      <c r="AD37" s="2">
        <v>6</v>
      </c>
      <c r="AE37" s="9" t="s">
        <v>236</v>
      </c>
      <c r="AG37" s="2"/>
      <c r="AM37" s="3"/>
    </row>
    <row r="38" spans="1:39" ht="15.75">
      <c r="A38" t="s">
        <v>8</v>
      </c>
      <c r="B38">
        <v>29</v>
      </c>
      <c r="C38" t="s">
        <v>41</v>
      </c>
      <c r="D38" t="s">
        <v>237</v>
      </c>
      <c r="E38" t="s">
        <v>106</v>
      </c>
      <c r="F38" s="37" t="s">
        <v>226</v>
      </c>
      <c r="G38" t="s">
        <v>41</v>
      </c>
      <c r="H38" s="67" t="s">
        <v>126</v>
      </c>
      <c r="I38" s="67"/>
      <c r="J38" s="67"/>
      <c r="K38" s="67"/>
      <c r="L38" s="67" t="s">
        <v>126</v>
      </c>
      <c r="M38" s="67"/>
      <c r="N38" s="67"/>
      <c r="O38" s="67"/>
      <c r="P38"/>
      <c r="Q38"/>
      <c r="R38" t="s">
        <v>227</v>
      </c>
      <c r="S38" t="s">
        <v>238</v>
      </c>
      <c r="T38" t="s">
        <v>239</v>
      </c>
      <c r="U38" t="s">
        <v>240</v>
      </c>
      <c r="V38"/>
      <c r="W38"/>
      <c r="X38" s="37" t="s">
        <v>45</v>
      </c>
      <c r="Y38" t="s">
        <v>45</v>
      </c>
      <c r="Z38"/>
      <c r="AB38" s="2" t="s">
        <v>67</v>
      </c>
      <c r="AC38" s="2" t="s">
        <v>57</v>
      </c>
      <c r="AD38" s="2">
        <v>7</v>
      </c>
      <c r="AE38" s="9" t="s">
        <v>241</v>
      </c>
      <c r="AG38" s="2"/>
      <c r="AM38" s="3"/>
    </row>
    <row r="39" spans="1:39" ht="30">
      <c r="A39" t="s">
        <v>8</v>
      </c>
      <c r="B39">
        <v>30</v>
      </c>
      <c r="C39" t="s">
        <v>41</v>
      </c>
      <c r="D39" t="s">
        <v>242</v>
      </c>
      <c r="E39" t="s">
        <v>82</v>
      </c>
      <c r="F39" t="s">
        <v>83</v>
      </c>
      <c r="G39" t="s">
        <v>45</v>
      </c>
      <c r="H39" s="87" t="s">
        <v>17</v>
      </c>
      <c r="I39" s="84" t="s">
        <v>46</v>
      </c>
      <c r="J39" s="84"/>
      <c r="K39" s="78" t="s">
        <v>72</v>
      </c>
      <c r="L39" s="87" t="s">
        <v>73</v>
      </c>
      <c r="M39" s="88" t="s">
        <v>49</v>
      </c>
      <c r="N39" s="88" t="s">
        <v>50</v>
      </c>
      <c r="O39" s="88"/>
      <c r="P39" s="85"/>
      <c r="Q39" s="85"/>
      <c r="R39" s="85" t="s">
        <v>101</v>
      </c>
      <c r="S39" s="85" t="s">
        <v>243</v>
      </c>
      <c r="T39" s="85" t="s">
        <v>244</v>
      </c>
      <c r="U39" s="85" t="s">
        <v>245</v>
      </c>
      <c r="V39"/>
      <c r="W39"/>
      <c r="X39"/>
      <c r="Y39" t="s">
        <v>45</v>
      </c>
      <c r="Z39"/>
      <c r="AB39" s="2" t="s">
        <v>67</v>
      </c>
      <c r="AC39" s="2" t="s">
        <v>57</v>
      </c>
      <c r="AD39" s="2">
        <v>42</v>
      </c>
      <c r="AE39" s="9" t="s">
        <v>246</v>
      </c>
      <c r="AG39" s="2"/>
      <c r="AM39" s="3"/>
    </row>
    <row r="40" spans="1:39" ht="30">
      <c r="A40" t="s">
        <v>8</v>
      </c>
      <c r="B40">
        <v>31</v>
      </c>
      <c r="C40" t="s">
        <v>41</v>
      </c>
      <c r="D40" t="s">
        <v>247</v>
      </c>
      <c r="E40" t="s">
        <v>106</v>
      </c>
      <c r="F40" t="s">
        <v>188</v>
      </c>
      <c r="G40" t="s">
        <v>41</v>
      </c>
      <c r="H40" s="87" t="s">
        <v>17</v>
      </c>
      <c r="I40" s="84" t="s">
        <v>46</v>
      </c>
      <c r="J40" s="84"/>
      <c r="K40" s="78" t="s">
        <v>72</v>
      </c>
      <c r="L40" s="87" t="s">
        <v>73</v>
      </c>
      <c r="M40" s="88" t="s">
        <v>49</v>
      </c>
      <c r="N40" s="88" t="s">
        <v>50</v>
      </c>
      <c r="O40" s="88"/>
      <c r="P40" s="85"/>
      <c r="Q40" s="85"/>
      <c r="R40" s="85" t="s">
        <v>101</v>
      </c>
      <c r="S40" s="85" t="s">
        <v>248</v>
      </c>
      <c r="T40" s="85" t="s">
        <v>249</v>
      </c>
      <c r="U40" s="85" t="s">
        <v>250</v>
      </c>
      <c r="V40"/>
      <c r="W40"/>
      <c r="X40" t="s">
        <v>45</v>
      </c>
      <c r="Y40" t="s">
        <v>45</v>
      </c>
      <c r="Z40"/>
      <c r="AB40" s="2" t="s">
        <v>67</v>
      </c>
      <c r="AC40" s="2" t="s">
        <v>57</v>
      </c>
      <c r="AD40" s="2">
        <v>51</v>
      </c>
      <c r="AE40" s="9" t="s">
        <v>251</v>
      </c>
      <c r="AG40" s="2"/>
      <c r="AM40" s="3"/>
    </row>
    <row r="41" spans="1:39" ht="30">
      <c r="A41" t="s">
        <v>8</v>
      </c>
      <c r="B41">
        <v>32</v>
      </c>
      <c r="C41" t="s">
        <v>41</v>
      </c>
      <c r="D41" t="s">
        <v>252</v>
      </c>
      <c r="E41" t="s">
        <v>106</v>
      </c>
      <c r="F41" t="s">
        <v>188</v>
      </c>
      <c r="G41" t="s">
        <v>41</v>
      </c>
      <c r="H41" s="87" t="s">
        <v>17</v>
      </c>
      <c r="I41" s="84" t="s">
        <v>46</v>
      </c>
      <c r="J41" s="84"/>
      <c r="K41" s="78" t="s">
        <v>72</v>
      </c>
      <c r="L41" s="87" t="s">
        <v>73</v>
      </c>
      <c r="M41" s="88" t="s">
        <v>49</v>
      </c>
      <c r="N41" s="88" t="s">
        <v>50</v>
      </c>
      <c r="O41" s="88"/>
      <c r="P41" s="85"/>
      <c r="Q41" s="85"/>
      <c r="R41" s="85" t="s">
        <v>101</v>
      </c>
      <c r="S41" s="85" t="s">
        <v>253</v>
      </c>
      <c r="T41" s="85" t="s">
        <v>254</v>
      </c>
      <c r="U41" s="85"/>
      <c r="V41"/>
      <c r="W41"/>
      <c r="X41"/>
      <c r="Y41" t="s">
        <v>45</v>
      </c>
      <c r="Z41"/>
      <c r="AB41" s="2" t="s">
        <v>67</v>
      </c>
      <c r="AC41" s="2" t="s">
        <v>57</v>
      </c>
      <c r="AD41" s="2">
        <v>77</v>
      </c>
      <c r="AE41" s="9" t="s">
        <v>255</v>
      </c>
      <c r="AG41" s="2"/>
      <c r="AM41" s="3"/>
    </row>
    <row r="42" spans="1:39" ht="30">
      <c r="A42" t="s">
        <v>8</v>
      </c>
      <c r="B42">
        <v>33</v>
      </c>
      <c r="C42" t="s">
        <v>41</v>
      </c>
      <c r="D42" t="s">
        <v>256</v>
      </c>
      <c r="E42" t="s">
        <v>106</v>
      </c>
      <c r="F42" t="s">
        <v>188</v>
      </c>
      <c r="G42" t="s">
        <v>41</v>
      </c>
      <c r="H42" s="87" t="s">
        <v>17</v>
      </c>
      <c r="I42" s="84" t="s">
        <v>46</v>
      </c>
      <c r="J42" s="84"/>
      <c r="K42" s="78" t="s">
        <v>72</v>
      </c>
      <c r="L42" s="87" t="s">
        <v>73</v>
      </c>
      <c r="M42" s="88" t="s">
        <v>49</v>
      </c>
      <c r="N42" s="88" t="s">
        <v>50</v>
      </c>
      <c r="O42" s="88"/>
      <c r="P42" s="85"/>
      <c r="Q42" s="85"/>
      <c r="R42" s="85" t="s">
        <v>101</v>
      </c>
      <c r="S42" s="85" t="s">
        <v>257</v>
      </c>
      <c r="T42" s="85" t="s">
        <v>258</v>
      </c>
      <c r="U42" s="85"/>
      <c r="V42"/>
      <c r="W42"/>
      <c r="X42"/>
      <c r="Y42" t="s">
        <v>45</v>
      </c>
      <c r="Z42"/>
      <c r="AB42" s="2" t="s">
        <v>67</v>
      </c>
      <c r="AC42" s="2" t="s">
        <v>57</v>
      </c>
      <c r="AD42" s="2">
        <v>20</v>
      </c>
      <c r="AE42" s="9" t="s">
        <v>259</v>
      </c>
      <c r="AG42" s="2"/>
      <c r="AM42" s="3"/>
    </row>
    <row r="43" spans="1:39" ht="30">
      <c r="A43" t="s">
        <v>8</v>
      </c>
      <c r="B43">
        <v>34</v>
      </c>
      <c r="C43" t="s">
        <v>41</v>
      </c>
      <c r="D43" t="s">
        <v>260</v>
      </c>
      <c r="E43" t="s">
        <v>106</v>
      </c>
      <c r="F43" t="s">
        <v>188</v>
      </c>
      <c r="G43" t="s">
        <v>41</v>
      </c>
      <c r="H43" s="87" t="s">
        <v>17</v>
      </c>
      <c r="I43" s="84" t="s">
        <v>46</v>
      </c>
      <c r="J43" s="84"/>
      <c r="K43" s="78" t="s">
        <v>72</v>
      </c>
      <c r="L43" s="87" t="s">
        <v>73</v>
      </c>
      <c r="M43" s="88" t="s">
        <v>49</v>
      </c>
      <c r="N43" s="88" t="s">
        <v>50</v>
      </c>
      <c r="O43" s="88"/>
      <c r="P43" s="85"/>
      <c r="Q43" s="85"/>
      <c r="R43" s="85" t="s">
        <v>101</v>
      </c>
      <c r="S43" s="85" t="s">
        <v>261</v>
      </c>
      <c r="T43" s="85" t="s">
        <v>262</v>
      </c>
      <c r="U43" s="85"/>
      <c r="V43"/>
      <c r="W43"/>
      <c r="X43"/>
      <c r="Y43" t="s">
        <v>45</v>
      </c>
      <c r="Z43"/>
      <c r="AB43" s="2" t="s">
        <v>67</v>
      </c>
      <c r="AC43" s="2" t="s">
        <v>57</v>
      </c>
      <c r="AD43" s="2">
        <v>22</v>
      </c>
      <c r="AE43" s="9" t="s">
        <v>263</v>
      </c>
      <c r="AG43" s="2"/>
      <c r="AM43" s="3"/>
    </row>
    <row r="44" spans="1:39" ht="30">
      <c r="A44" t="s">
        <v>8</v>
      </c>
      <c r="B44">
        <v>35</v>
      </c>
      <c r="C44" t="s">
        <v>41</v>
      </c>
      <c r="D44" t="s">
        <v>264</v>
      </c>
      <c r="E44" t="s">
        <v>106</v>
      </c>
      <c r="F44" t="s">
        <v>188</v>
      </c>
      <c r="G44" t="s">
        <v>45</v>
      </c>
      <c r="H44" s="87" t="s">
        <v>17</v>
      </c>
      <c r="I44" s="84" t="s">
        <v>46</v>
      </c>
      <c r="J44" s="84"/>
      <c r="K44" s="78" t="s">
        <v>72</v>
      </c>
      <c r="L44" s="87" t="s">
        <v>73</v>
      </c>
      <c r="M44" s="88" t="s">
        <v>49</v>
      </c>
      <c r="N44" s="88" t="s">
        <v>50</v>
      </c>
      <c r="O44" s="88"/>
      <c r="P44" s="85"/>
      <c r="Q44" s="85"/>
      <c r="R44" s="85" t="s">
        <v>101</v>
      </c>
      <c r="S44" s="85" t="s">
        <v>265</v>
      </c>
      <c r="T44" s="85" t="s">
        <v>266</v>
      </c>
      <c r="U44" s="85"/>
      <c r="V44"/>
      <c r="W44"/>
      <c r="X44"/>
      <c r="Y44" t="s">
        <v>45</v>
      </c>
      <c r="Z44"/>
      <c r="AG44" s="2"/>
      <c r="AM44" s="3"/>
    </row>
    <row r="45" spans="1:39" ht="30">
      <c r="A45" t="s">
        <v>8</v>
      </c>
      <c r="B45">
        <v>36</v>
      </c>
      <c r="C45" t="s">
        <v>41</v>
      </c>
      <c r="D45" t="s">
        <v>267</v>
      </c>
      <c r="E45" t="s">
        <v>106</v>
      </c>
      <c r="F45" t="s">
        <v>188</v>
      </c>
      <c r="G45" t="s">
        <v>41</v>
      </c>
      <c r="H45" s="87" t="s">
        <v>17</v>
      </c>
      <c r="I45" s="84" t="s">
        <v>46</v>
      </c>
      <c r="J45" s="84"/>
      <c r="K45" s="78" t="s">
        <v>72</v>
      </c>
      <c r="L45" s="87" t="s">
        <v>73</v>
      </c>
      <c r="M45" s="88" t="s">
        <v>49</v>
      </c>
      <c r="N45" s="88" t="s">
        <v>50</v>
      </c>
      <c r="O45" s="88"/>
      <c r="P45" s="85"/>
      <c r="Q45" s="85"/>
      <c r="R45" s="85" t="s">
        <v>101</v>
      </c>
      <c r="S45" s="85" t="s">
        <v>268</v>
      </c>
      <c r="T45" s="85" t="s">
        <v>269</v>
      </c>
      <c r="U45" s="85"/>
      <c r="V45"/>
      <c r="W45"/>
      <c r="X45"/>
      <c r="Y45" t="s">
        <v>45</v>
      </c>
      <c r="Z45"/>
      <c r="AG45" s="2"/>
      <c r="AM45" s="3"/>
    </row>
    <row r="46" spans="1:39" ht="30">
      <c r="A46" t="s">
        <v>8</v>
      </c>
      <c r="B46">
        <v>37</v>
      </c>
      <c r="C46" t="s">
        <v>41</v>
      </c>
      <c r="D46" t="s">
        <v>270</v>
      </c>
      <c r="E46" t="s">
        <v>106</v>
      </c>
      <c r="F46" t="s">
        <v>188</v>
      </c>
      <c r="G46" t="s">
        <v>41</v>
      </c>
      <c r="H46" s="87" t="s">
        <v>17</v>
      </c>
      <c r="I46" s="84" t="s">
        <v>46</v>
      </c>
      <c r="J46" s="84"/>
      <c r="K46" s="78" t="s">
        <v>72</v>
      </c>
      <c r="L46" s="87" t="s">
        <v>73</v>
      </c>
      <c r="M46" s="88" t="s">
        <v>49</v>
      </c>
      <c r="N46" s="88" t="s">
        <v>50</v>
      </c>
      <c r="O46" s="88"/>
      <c r="P46" s="85"/>
      <c r="Q46" s="85"/>
      <c r="R46" s="85" t="s">
        <v>51</v>
      </c>
      <c r="S46" s="85" t="s">
        <v>271</v>
      </c>
      <c r="T46" s="85" t="s">
        <v>272</v>
      </c>
      <c r="U46" s="85" t="s">
        <v>273</v>
      </c>
      <c r="V46"/>
      <c r="W46"/>
      <c r="X46" t="s">
        <v>45</v>
      </c>
      <c r="Y46" t="s">
        <v>45</v>
      </c>
      <c r="Z46"/>
      <c r="AG46" s="2"/>
      <c r="AM46" s="3"/>
    </row>
    <row r="47" spans="1:39" ht="30">
      <c r="A47" t="s">
        <v>8</v>
      </c>
      <c r="B47">
        <v>38</v>
      </c>
      <c r="C47" t="s">
        <v>41</v>
      </c>
      <c r="D47" t="s">
        <v>274</v>
      </c>
      <c r="E47" t="s">
        <v>106</v>
      </c>
      <c r="F47" t="s">
        <v>188</v>
      </c>
      <c r="G47" t="s">
        <v>45</v>
      </c>
      <c r="H47" s="87" t="s">
        <v>17</v>
      </c>
      <c r="I47" s="84" t="s">
        <v>46</v>
      </c>
      <c r="J47" s="84"/>
      <c r="K47" s="78" t="s">
        <v>72</v>
      </c>
      <c r="L47" s="87" t="s">
        <v>73</v>
      </c>
      <c r="M47" s="88" t="s">
        <v>49</v>
      </c>
      <c r="N47" s="88" t="s">
        <v>50</v>
      </c>
      <c r="O47" s="88"/>
      <c r="P47" s="85"/>
      <c r="Q47" s="85"/>
      <c r="R47" s="85" t="s">
        <v>51</v>
      </c>
      <c r="S47" s="85" t="s">
        <v>275</v>
      </c>
      <c r="T47" s="85" t="s">
        <v>276</v>
      </c>
      <c r="U47" s="85"/>
      <c r="V47"/>
      <c r="W47"/>
      <c r="X47"/>
      <c r="Y47" t="s">
        <v>45</v>
      </c>
      <c r="Z47"/>
      <c r="AG47" s="2"/>
      <c r="AM47" s="3"/>
    </row>
    <row r="48" spans="1:39" ht="30">
      <c r="A48" t="s">
        <v>8</v>
      </c>
      <c r="B48">
        <v>39</v>
      </c>
      <c r="C48" t="s">
        <v>41</v>
      </c>
      <c r="D48" t="s">
        <v>277</v>
      </c>
      <c r="E48" t="s">
        <v>106</v>
      </c>
      <c r="F48" t="s">
        <v>188</v>
      </c>
      <c r="G48" t="s">
        <v>45</v>
      </c>
      <c r="H48" s="87" t="s">
        <v>17</v>
      </c>
      <c r="I48" s="84" t="s">
        <v>46</v>
      </c>
      <c r="J48" s="84"/>
      <c r="K48" s="78" t="s">
        <v>72</v>
      </c>
      <c r="L48" s="87" t="s">
        <v>73</v>
      </c>
      <c r="M48" s="88" t="s">
        <v>49</v>
      </c>
      <c r="N48" s="88" t="s">
        <v>50</v>
      </c>
      <c r="O48" s="88"/>
      <c r="P48" s="85"/>
      <c r="Q48" s="85"/>
      <c r="R48" s="85" t="s">
        <v>51</v>
      </c>
      <c r="S48" s="85" t="s">
        <v>278</v>
      </c>
      <c r="T48" s="85" t="s">
        <v>279</v>
      </c>
      <c r="U48" s="85"/>
      <c r="V48"/>
      <c r="W48"/>
      <c r="X48"/>
      <c r="Y48" t="s">
        <v>45</v>
      </c>
      <c r="Z48"/>
      <c r="AG48" s="2"/>
      <c r="AM48" s="3"/>
    </row>
    <row r="49" spans="1:39" ht="30">
      <c r="A49" t="s">
        <v>8</v>
      </c>
      <c r="B49">
        <v>40</v>
      </c>
      <c r="C49" t="s">
        <v>41</v>
      </c>
      <c r="D49" t="s">
        <v>280</v>
      </c>
      <c r="E49" t="s">
        <v>106</v>
      </c>
      <c r="F49" t="s">
        <v>188</v>
      </c>
      <c r="G49" t="s">
        <v>45</v>
      </c>
      <c r="H49" s="87" t="s">
        <v>17</v>
      </c>
      <c r="I49" s="84" t="s">
        <v>46</v>
      </c>
      <c r="J49" s="84"/>
      <c r="K49" s="78" t="s">
        <v>72</v>
      </c>
      <c r="L49" s="87" t="s">
        <v>73</v>
      </c>
      <c r="M49" s="88" t="s">
        <v>49</v>
      </c>
      <c r="N49" s="88" t="s">
        <v>50</v>
      </c>
      <c r="O49" s="88"/>
      <c r="P49" s="85"/>
      <c r="Q49" s="85"/>
      <c r="R49" s="85" t="s">
        <v>51</v>
      </c>
      <c r="S49" s="85" t="s">
        <v>281</v>
      </c>
      <c r="T49" s="85" t="s">
        <v>282</v>
      </c>
      <c r="U49" s="85"/>
      <c r="V49"/>
      <c r="W49"/>
      <c r="X49"/>
      <c r="Y49" t="s">
        <v>45</v>
      </c>
      <c r="Z49"/>
      <c r="AB49" s="2" t="s">
        <v>67</v>
      </c>
      <c r="AC49" s="2" t="s">
        <v>57</v>
      </c>
      <c r="AD49" s="2">
        <v>23</v>
      </c>
      <c r="AE49" s="9" t="s">
        <v>283</v>
      </c>
      <c r="AG49" s="2"/>
      <c r="AM49" s="3"/>
    </row>
    <row r="50" spans="1:39" ht="30">
      <c r="A50" t="s">
        <v>8</v>
      </c>
      <c r="B50">
        <v>41</v>
      </c>
      <c r="C50" t="s">
        <v>41</v>
      </c>
      <c r="D50" t="s">
        <v>284</v>
      </c>
      <c r="E50" t="s">
        <v>106</v>
      </c>
      <c r="F50" t="s">
        <v>188</v>
      </c>
      <c r="G50" t="s">
        <v>41</v>
      </c>
      <c r="H50" s="87" t="s">
        <v>17</v>
      </c>
      <c r="I50" s="84" t="s">
        <v>46</v>
      </c>
      <c r="J50" s="84"/>
      <c r="K50" s="78" t="s">
        <v>72</v>
      </c>
      <c r="L50" s="87" t="s">
        <v>73</v>
      </c>
      <c r="M50" s="88" t="s">
        <v>49</v>
      </c>
      <c r="N50" s="88" t="s">
        <v>50</v>
      </c>
      <c r="O50" s="88"/>
      <c r="P50" s="85"/>
      <c r="Q50" s="85"/>
      <c r="R50" s="85" t="s">
        <v>51</v>
      </c>
      <c r="S50" s="85" t="s">
        <v>285</v>
      </c>
      <c r="T50" s="85" t="s">
        <v>286</v>
      </c>
      <c r="U50" s="85"/>
      <c r="V50"/>
      <c r="W50"/>
      <c r="X50"/>
      <c r="Y50" t="s">
        <v>45</v>
      </c>
      <c r="Z50"/>
      <c r="AG50" s="2"/>
      <c r="AM50" s="3"/>
    </row>
    <row r="51" spans="1:39" ht="30">
      <c r="A51" t="s">
        <v>8</v>
      </c>
      <c r="B51">
        <v>42</v>
      </c>
      <c r="C51" t="s">
        <v>41</v>
      </c>
      <c r="D51" t="s">
        <v>287</v>
      </c>
      <c r="E51" t="s">
        <v>106</v>
      </c>
      <c r="F51" t="s">
        <v>188</v>
      </c>
      <c r="G51" t="s">
        <v>45</v>
      </c>
      <c r="H51" s="87" t="s">
        <v>17</v>
      </c>
      <c r="I51" s="84" t="s">
        <v>46</v>
      </c>
      <c r="J51" s="84"/>
      <c r="K51" s="78" t="s">
        <v>72</v>
      </c>
      <c r="L51" s="87" t="s">
        <v>73</v>
      </c>
      <c r="M51" s="88" t="s">
        <v>49</v>
      </c>
      <c r="N51" s="88" t="s">
        <v>50</v>
      </c>
      <c r="O51" s="88"/>
      <c r="P51" s="85"/>
      <c r="Q51" s="85"/>
      <c r="R51" s="85" t="s">
        <v>51</v>
      </c>
      <c r="S51" s="85" t="s">
        <v>288</v>
      </c>
      <c r="T51" s="85" t="s">
        <v>289</v>
      </c>
      <c r="U51" s="85"/>
      <c r="V51"/>
      <c r="W51"/>
      <c r="X51"/>
      <c r="Y51" t="s">
        <v>45</v>
      </c>
      <c r="Z51"/>
      <c r="AG51" s="2"/>
      <c r="AM51" s="3"/>
    </row>
    <row r="52" spans="1:39" ht="15.75">
      <c r="A52" t="s">
        <v>8</v>
      </c>
      <c r="B52">
        <v>43</v>
      </c>
      <c r="C52" t="s">
        <v>41</v>
      </c>
      <c r="D52" t="s">
        <v>290</v>
      </c>
      <c r="E52" t="s">
        <v>106</v>
      </c>
      <c r="F52" t="s">
        <v>188</v>
      </c>
      <c r="G52" t="s">
        <v>41</v>
      </c>
      <c r="H52" s="87" t="s">
        <v>126</v>
      </c>
      <c r="I52" s="87"/>
      <c r="J52" s="87"/>
      <c r="K52" s="87"/>
      <c r="L52" s="87" t="s">
        <v>126</v>
      </c>
      <c r="M52" s="88"/>
      <c r="N52" s="88"/>
      <c r="O52" s="88"/>
      <c r="P52" s="85"/>
      <c r="Q52" s="85"/>
      <c r="R52" s="85" t="s">
        <v>227</v>
      </c>
      <c r="S52" s="85" t="s">
        <v>291</v>
      </c>
      <c r="T52" s="85" t="s">
        <v>292</v>
      </c>
      <c r="U52" s="85" t="s">
        <v>293</v>
      </c>
      <c r="V52"/>
      <c r="W52"/>
      <c r="X52"/>
      <c r="Y52" t="s">
        <v>45</v>
      </c>
      <c r="Z52"/>
      <c r="AG52" s="2"/>
      <c r="AM52" s="3"/>
    </row>
    <row r="53" spans="1:39" ht="30">
      <c r="A53" t="s">
        <v>8</v>
      </c>
      <c r="B53">
        <v>44</v>
      </c>
      <c r="C53" t="s">
        <v>41</v>
      </c>
      <c r="D53" t="s">
        <v>294</v>
      </c>
      <c r="E53" t="s">
        <v>43</v>
      </c>
      <c r="F53" t="s">
        <v>44</v>
      </c>
      <c r="G53" t="s">
        <v>41</v>
      </c>
      <c r="H53" s="87" t="s">
        <v>17</v>
      </c>
      <c r="I53" s="84" t="s">
        <v>46</v>
      </c>
      <c r="J53" s="84"/>
      <c r="K53" s="78" t="s">
        <v>72</v>
      </c>
      <c r="L53" s="87" t="s">
        <v>73</v>
      </c>
      <c r="M53" s="88" t="s">
        <v>49</v>
      </c>
      <c r="N53" s="88" t="s">
        <v>50</v>
      </c>
      <c r="O53" s="88"/>
      <c r="P53" s="85"/>
      <c r="Q53" s="85"/>
      <c r="R53" s="85" t="s">
        <v>295</v>
      </c>
      <c r="S53" s="85"/>
      <c r="T53" s="85" t="s">
        <v>296</v>
      </c>
      <c r="U53" s="85" t="s">
        <v>297</v>
      </c>
      <c r="V53"/>
      <c r="W53"/>
      <c r="X53" t="s">
        <v>45</v>
      </c>
      <c r="Y53" t="s">
        <v>45</v>
      </c>
      <c r="Z53"/>
      <c r="AG53" s="2"/>
      <c r="AM53" s="3"/>
    </row>
    <row r="54" spans="1:39" ht="15.75">
      <c r="A54" t="s">
        <v>8</v>
      </c>
      <c r="B54">
        <v>45</v>
      </c>
      <c r="C54" t="s">
        <v>41</v>
      </c>
      <c r="D54" t="s">
        <v>298</v>
      </c>
      <c r="E54" t="s">
        <v>106</v>
      </c>
      <c r="F54" s="37" t="s">
        <v>159</v>
      </c>
      <c r="G54" t="s">
        <v>41</v>
      </c>
      <c r="H54" s="87" t="s">
        <v>126</v>
      </c>
      <c r="I54" s="87"/>
      <c r="J54" s="87"/>
      <c r="K54" s="87"/>
      <c r="L54" s="87" t="s">
        <v>126</v>
      </c>
      <c r="M54" s="87"/>
      <c r="N54" s="87"/>
      <c r="O54" s="87"/>
      <c r="P54" s="85"/>
      <c r="Q54" s="85"/>
      <c r="R54" s="85" t="s">
        <v>227</v>
      </c>
      <c r="S54" s="85" t="s">
        <v>299</v>
      </c>
      <c r="T54" s="85" t="s">
        <v>300</v>
      </c>
      <c r="U54" s="85" t="s">
        <v>301</v>
      </c>
      <c r="V54"/>
      <c r="W54"/>
      <c r="X54" s="37"/>
      <c r="Y54" t="s">
        <v>45</v>
      </c>
      <c r="Z54"/>
      <c r="AG54" s="2"/>
      <c r="AM54" s="3"/>
    </row>
    <row r="55" spans="1:39" ht="15.75">
      <c r="A55" t="s">
        <v>8</v>
      </c>
      <c r="B55">
        <v>46</v>
      </c>
      <c r="C55" t="s">
        <v>41</v>
      </c>
      <c r="D55" t="s">
        <v>302</v>
      </c>
      <c r="E55" t="s">
        <v>106</v>
      </c>
      <c r="F55" s="37" t="s">
        <v>159</v>
      </c>
      <c r="G55" t="s">
        <v>41</v>
      </c>
      <c r="H55" s="87" t="s">
        <v>126</v>
      </c>
      <c r="I55" s="87"/>
      <c r="J55" s="87"/>
      <c r="K55" s="87"/>
      <c r="L55" s="87" t="s">
        <v>126</v>
      </c>
      <c r="M55" s="87"/>
      <c r="N55" s="87"/>
      <c r="O55" s="87"/>
      <c r="P55" s="85"/>
      <c r="Q55" s="85"/>
      <c r="R55" s="85" t="s">
        <v>227</v>
      </c>
      <c r="S55" s="85" t="s">
        <v>303</v>
      </c>
      <c r="T55" s="85" t="s">
        <v>304</v>
      </c>
      <c r="U55" s="85" t="s">
        <v>305</v>
      </c>
      <c r="V55"/>
      <c r="W55"/>
      <c r="X55" s="37"/>
      <c r="Y55" t="s">
        <v>45</v>
      </c>
      <c r="Z55"/>
      <c r="AB55" s="2" t="s">
        <v>67</v>
      </c>
      <c r="AC55" s="2" t="s">
        <v>57</v>
      </c>
      <c r="AD55" s="2">
        <v>9</v>
      </c>
      <c r="AE55" s="9" t="s">
        <v>306</v>
      </c>
      <c r="AG55" s="2"/>
      <c r="AM55" s="3"/>
    </row>
    <row r="56" spans="1:39" ht="15.75">
      <c r="A56" t="s">
        <v>8</v>
      </c>
      <c r="B56">
        <v>47</v>
      </c>
      <c r="C56" t="s">
        <v>41</v>
      </c>
      <c r="D56" t="s">
        <v>307</v>
      </c>
      <c r="E56" t="s">
        <v>106</v>
      </c>
      <c r="F56" s="37" t="s">
        <v>159</v>
      </c>
      <c r="G56" t="s">
        <v>41</v>
      </c>
      <c r="H56" s="87" t="s">
        <v>126</v>
      </c>
      <c r="I56" s="87"/>
      <c r="J56" s="87"/>
      <c r="K56" s="87"/>
      <c r="L56" s="87" t="s">
        <v>126</v>
      </c>
      <c r="M56" s="87"/>
      <c r="N56" s="87"/>
      <c r="O56" s="87"/>
      <c r="P56" s="85"/>
      <c r="Q56" s="85"/>
      <c r="R56" s="85" t="s">
        <v>227</v>
      </c>
      <c r="S56" s="85" t="s">
        <v>308</v>
      </c>
      <c r="T56" s="85" t="s">
        <v>309</v>
      </c>
      <c r="U56" s="85" t="s">
        <v>310</v>
      </c>
      <c r="V56"/>
      <c r="W56"/>
      <c r="X56" s="37"/>
      <c r="Y56" t="s">
        <v>45</v>
      </c>
      <c r="Z56"/>
      <c r="AB56" s="2" t="s">
        <v>67</v>
      </c>
      <c r="AC56" s="2" t="s">
        <v>57</v>
      </c>
      <c r="AD56" s="2">
        <v>10</v>
      </c>
      <c r="AE56" s="9" t="s">
        <v>311</v>
      </c>
      <c r="AG56" s="2"/>
      <c r="AM56" s="3"/>
    </row>
    <row r="57" spans="1:39" ht="15.75">
      <c r="A57" t="s">
        <v>8</v>
      </c>
      <c r="B57">
        <v>48</v>
      </c>
      <c r="C57" t="s">
        <v>41</v>
      </c>
      <c r="D57" t="s">
        <v>312</v>
      </c>
      <c r="E57" t="s">
        <v>106</v>
      </c>
      <c r="F57" s="37" t="s">
        <v>313</v>
      </c>
      <c r="G57" t="s">
        <v>41</v>
      </c>
      <c r="H57" s="87" t="s">
        <v>126</v>
      </c>
      <c r="I57" s="87"/>
      <c r="J57" s="87"/>
      <c r="K57" s="87"/>
      <c r="L57" s="87" t="s">
        <v>126</v>
      </c>
      <c r="M57" s="87"/>
      <c r="N57" s="87"/>
      <c r="O57" s="87"/>
      <c r="P57" s="85"/>
      <c r="Q57" s="85"/>
      <c r="R57" s="85" t="s">
        <v>227</v>
      </c>
      <c r="S57" s="85" t="s">
        <v>314</v>
      </c>
      <c r="T57" s="85" t="s">
        <v>315</v>
      </c>
      <c r="U57" s="85" t="s">
        <v>316</v>
      </c>
      <c r="V57"/>
      <c r="W57"/>
      <c r="X57" s="37"/>
      <c r="Y57" t="s">
        <v>45</v>
      </c>
      <c r="Z57"/>
      <c r="AB57" s="2" t="s">
        <v>67</v>
      </c>
      <c r="AC57" s="2" t="s">
        <v>57</v>
      </c>
      <c r="AD57" s="2">
        <v>53</v>
      </c>
      <c r="AE57" s="9" t="s">
        <v>317</v>
      </c>
      <c r="AG57" s="2"/>
      <c r="AM57" s="3"/>
    </row>
    <row r="58" spans="1:39" ht="15.75">
      <c r="A58" t="s">
        <v>8</v>
      </c>
      <c r="B58">
        <v>49</v>
      </c>
      <c r="C58" t="s">
        <v>41</v>
      </c>
      <c r="D58" t="s">
        <v>318</v>
      </c>
      <c r="E58" t="s">
        <v>106</v>
      </c>
      <c r="F58" s="37" t="s">
        <v>313</v>
      </c>
      <c r="G58" t="s">
        <v>41</v>
      </c>
      <c r="H58" s="87" t="s">
        <v>126</v>
      </c>
      <c r="I58" s="87"/>
      <c r="J58" s="87"/>
      <c r="K58" s="87"/>
      <c r="L58" s="87" t="s">
        <v>126</v>
      </c>
      <c r="M58" s="87"/>
      <c r="N58" s="87"/>
      <c r="O58" s="87"/>
      <c r="P58" s="85"/>
      <c r="Q58" s="85"/>
      <c r="R58" s="85" t="s">
        <v>227</v>
      </c>
      <c r="S58" s="85" t="s">
        <v>319</v>
      </c>
      <c r="T58" s="85" t="s">
        <v>320</v>
      </c>
      <c r="U58" s="85" t="s">
        <v>321</v>
      </c>
      <c r="V58"/>
      <c r="W58"/>
      <c r="X58" s="37"/>
      <c r="Y58" t="s">
        <v>45</v>
      </c>
      <c r="Z58"/>
      <c r="AB58" s="2" t="s">
        <v>67</v>
      </c>
      <c r="AC58" s="2" t="s">
        <v>57</v>
      </c>
      <c r="AD58" s="2">
        <v>54</v>
      </c>
      <c r="AE58" s="9" t="s">
        <v>322</v>
      </c>
      <c r="AG58" s="2"/>
      <c r="AM58" s="3"/>
    </row>
    <row r="59" spans="1:39" ht="15.75">
      <c r="A59" t="s">
        <v>8</v>
      </c>
      <c r="B59">
        <v>50</v>
      </c>
      <c r="C59" t="s">
        <v>41</v>
      </c>
      <c r="D59" t="s">
        <v>323</v>
      </c>
      <c r="E59" t="s">
        <v>106</v>
      </c>
      <c r="F59" s="37" t="s">
        <v>324</v>
      </c>
      <c r="G59" t="s">
        <v>41</v>
      </c>
      <c r="H59" s="87" t="s">
        <v>126</v>
      </c>
      <c r="I59" s="87"/>
      <c r="J59" s="87"/>
      <c r="K59" s="87"/>
      <c r="L59" s="87" t="s">
        <v>126</v>
      </c>
      <c r="M59" s="87"/>
      <c r="N59" s="87"/>
      <c r="O59" s="87"/>
      <c r="P59" s="85"/>
      <c r="Q59" s="85"/>
      <c r="R59" s="85" t="s">
        <v>227</v>
      </c>
      <c r="S59" s="85" t="s">
        <v>325</v>
      </c>
      <c r="T59" s="85" t="s">
        <v>326</v>
      </c>
      <c r="U59" s="85" t="s">
        <v>327</v>
      </c>
      <c r="V59"/>
      <c r="W59"/>
      <c r="X59" s="37"/>
      <c r="Y59" t="s">
        <v>45</v>
      </c>
      <c r="Z59"/>
      <c r="AB59" s="2" t="s">
        <v>67</v>
      </c>
      <c r="AC59" s="2" t="s">
        <v>57</v>
      </c>
      <c r="AD59" s="2">
        <v>56</v>
      </c>
      <c r="AE59" s="9" t="s">
        <v>328</v>
      </c>
      <c r="AG59" s="2"/>
      <c r="AM59" s="3"/>
    </row>
    <row r="60" spans="1:39" ht="15.75">
      <c r="A60" t="s">
        <v>8</v>
      </c>
      <c r="B60">
        <v>51</v>
      </c>
      <c r="C60" t="s">
        <v>41</v>
      </c>
      <c r="D60" t="s">
        <v>329</v>
      </c>
      <c r="E60" t="s">
        <v>106</v>
      </c>
      <c r="F60" s="37" t="s">
        <v>188</v>
      </c>
      <c r="G60" t="s">
        <v>41</v>
      </c>
      <c r="H60" s="87" t="s">
        <v>126</v>
      </c>
      <c r="I60" s="87"/>
      <c r="J60" s="87"/>
      <c r="K60" s="87"/>
      <c r="L60" s="87" t="s">
        <v>126</v>
      </c>
      <c r="M60" s="87"/>
      <c r="N60" s="87"/>
      <c r="O60" s="87"/>
      <c r="P60" s="85"/>
      <c r="Q60" s="85"/>
      <c r="R60" s="85" t="s">
        <v>227</v>
      </c>
      <c r="S60" s="85" t="s">
        <v>330</v>
      </c>
      <c r="T60" s="85" t="s">
        <v>331</v>
      </c>
      <c r="U60" s="85" t="s">
        <v>332</v>
      </c>
      <c r="V60"/>
      <c r="W60"/>
      <c r="X60" s="37"/>
      <c r="Y60" t="s">
        <v>45</v>
      </c>
      <c r="Z60"/>
      <c r="AE60" s="9"/>
      <c r="AG60" s="2"/>
      <c r="AM60" s="3"/>
    </row>
    <row r="61" spans="1:39" ht="15.75">
      <c r="A61" t="s">
        <v>8</v>
      </c>
      <c r="B61">
        <v>52</v>
      </c>
      <c r="C61" t="s">
        <v>41</v>
      </c>
      <c r="D61" t="s">
        <v>333</v>
      </c>
      <c r="E61" t="s">
        <v>106</v>
      </c>
      <c r="F61" s="37" t="s">
        <v>188</v>
      </c>
      <c r="G61" t="s">
        <v>41</v>
      </c>
      <c r="H61" s="87" t="s">
        <v>126</v>
      </c>
      <c r="I61" s="87"/>
      <c r="J61" s="87"/>
      <c r="K61" s="87"/>
      <c r="L61" s="87" t="s">
        <v>126</v>
      </c>
      <c r="M61" s="87"/>
      <c r="N61" s="87"/>
      <c r="O61" s="87"/>
      <c r="P61" s="85"/>
      <c r="Q61" s="85"/>
      <c r="R61" s="85" t="s">
        <v>227</v>
      </c>
      <c r="S61" s="85" t="s">
        <v>334</v>
      </c>
      <c r="T61" s="85" t="s">
        <v>335</v>
      </c>
      <c r="U61" s="85" t="s">
        <v>336</v>
      </c>
      <c r="V61"/>
      <c r="W61"/>
      <c r="X61" s="37"/>
      <c r="Y61" t="s">
        <v>45</v>
      </c>
      <c r="Z61"/>
      <c r="AB61" s="2" t="s">
        <v>67</v>
      </c>
      <c r="AC61" s="2" t="s">
        <v>57</v>
      </c>
      <c r="AD61" s="2">
        <v>57</v>
      </c>
      <c r="AE61" s="9" t="s">
        <v>337</v>
      </c>
      <c r="AG61" s="2"/>
      <c r="AM61" s="3"/>
    </row>
    <row r="62" spans="1:39" ht="15.75">
      <c r="A62" t="s">
        <v>8</v>
      </c>
      <c r="B62">
        <v>53</v>
      </c>
      <c r="C62" t="s">
        <v>41</v>
      </c>
      <c r="D62" t="s">
        <v>338</v>
      </c>
      <c r="E62" t="s">
        <v>106</v>
      </c>
      <c r="F62" s="37" t="s">
        <v>188</v>
      </c>
      <c r="G62" t="s">
        <v>41</v>
      </c>
      <c r="H62" s="87" t="s">
        <v>126</v>
      </c>
      <c r="I62" s="87"/>
      <c r="J62" s="87"/>
      <c r="K62" s="87"/>
      <c r="L62" s="87" t="s">
        <v>126</v>
      </c>
      <c r="M62" s="87"/>
      <c r="N62" s="87"/>
      <c r="O62" s="87"/>
      <c r="P62" s="85"/>
      <c r="Q62" s="85"/>
      <c r="R62" s="85" t="s">
        <v>227</v>
      </c>
      <c r="S62" s="85" t="s">
        <v>339</v>
      </c>
      <c r="T62" s="85" t="s">
        <v>340</v>
      </c>
      <c r="U62" s="85" t="s">
        <v>341</v>
      </c>
      <c r="V62"/>
      <c r="W62"/>
      <c r="X62" s="37"/>
      <c r="Y62" t="s">
        <v>45</v>
      </c>
      <c r="Z62"/>
      <c r="AE62" s="9"/>
      <c r="AG62" s="2"/>
      <c r="AM62" s="3"/>
    </row>
    <row r="63" spans="1:39" ht="15.75">
      <c r="A63" t="s">
        <v>8</v>
      </c>
      <c r="B63">
        <v>54</v>
      </c>
      <c r="C63" t="s">
        <v>41</v>
      </c>
      <c r="D63" t="s">
        <v>342</v>
      </c>
      <c r="E63" t="s">
        <v>106</v>
      </c>
      <c r="F63" s="37" t="s">
        <v>188</v>
      </c>
      <c r="G63" t="s">
        <v>41</v>
      </c>
      <c r="H63" s="87" t="s">
        <v>126</v>
      </c>
      <c r="I63" s="87"/>
      <c r="J63" s="87"/>
      <c r="K63" s="87"/>
      <c r="L63" s="87" t="s">
        <v>126</v>
      </c>
      <c r="M63" s="87"/>
      <c r="N63" s="87"/>
      <c r="O63" s="87"/>
      <c r="P63" s="85"/>
      <c r="Q63" s="85"/>
      <c r="R63" s="85" t="s">
        <v>227</v>
      </c>
      <c r="S63" s="85" t="s">
        <v>343</v>
      </c>
      <c r="T63" s="85" t="s">
        <v>344</v>
      </c>
      <c r="U63" s="85" t="s">
        <v>345</v>
      </c>
      <c r="V63"/>
      <c r="W63"/>
      <c r="X63" s="37"/>
      <c r="Y63" t="s">
        <v>45</v>
      </c>
      <c r="Z63"/>
      <c r="AE63" s="9"/>
      <c r="AG63" s="2"/>
      <c r="AM63" s="3"/>
    </row>
    <row r="64" spans="1:39" ht="15.75">
      <c r="A64" t="s">
        <v>8</v>
      </c>
      <c r="B64">
        <v>55</v>
      </c>
      <c r="C64" t="s">
        <v>41</v>
      </c>
      <c r="D64" t="s">
        <v>346</v>
      </c>
      <c r="E64" t="s">
        <v>106</v>
      </c>
      <c r="F64" s="37" t="s">
        <v>188</v>
      </c>
      <c r="G64" t="s">
        <v>41</v>
      </c>
      <c r="H64" s="87" t="s">
        <v>126</v>
      </c>
      <c r="I64" s="87"/>
      <c r="J64" s="87"/>
      <c r="K64" s="87"/>
      <c r="L64" s="87" t="s">
        <v>126</v>
      </c>
      <c r="M64" s="87"/>
      <c r="N64" s="87"/>
      <c r="O64" s="87"/>
      <c r="P64" s="85"/>
      <c r="Q64" s="85"/>
      <c r="R64" s="85" t="s">
        <v>227</v>
      </c>
      <c r="S64" s="85" t="s">
        <v>347</v>
      </c>
      <c r="T64" s="85" t="s">
        <v>348</v>
      </c>
      <c r="U64" s="85" t="s">
        <v>349</v>
      </c>
      <c r="V64"/>
      <c r="W64"/>
      <c r="X64" s="37"/>
      <c r="Y64" t="s">
        <v>45</v>
      </c>
      <c r="Z64"/>
      <c r="AB64" s="2" t="s">
        <v>67</v>
      </c>
      <c r="AC64" s="2" t="s">
        <v>57</v>
      </c>
      <c r="AD64" s="2">
        <v>80</v>
      </c>
      <c r="AE64" s="9" t="s">
        <v>350</v>
      </c>
      <c r="AG64" s="2"/>
      <c r="AM64" s="3"/>
    </row>
    <row r="65" spans="1:39" ht="30.75">
      <c r="A65" t="s">
        <v>8</v>
      </c>
      <c r="B65">
        <v>56</v>
      </c>
      <c r="C65" t="s">
        <v>41</v>
      </c>
      <c r="D65" t="s">
        <v>351</v>
      </c>
      <c r="E65" t="s">
        <v>106</v>
      </c>
      <c r="F65" t="s">
        <v>107</v>
      </c>
      <c r="G65" t="s">
        <v>41</v>
      </c>
      <c r="H65" s="87" t="s">
        <v>17</v>
      </c>
      <c r="I65" s="84" t="s">
        <v>46</v>
      </c>
      <c r="J65" s="84"/>
      <c r="K65" s="78" t="s">
        <v>352</v>
      </c>
      <c r="L65" s="87" t="s">
        <v>352</v>
      </c>
      <c r="M65" s="88" t="s">
        <v>74</v>
      </c>
      <c r="N65" s="88" t="s">
        <v>353</v>
      </c>
      <c r="O65" s="90" t="s">
        <v>354</v>
      </c>
      <c r="P65" s="85" t="s">
        <v>111</v>
      </c>
      <c r="Q65" s="85" t="s">
        <v>355</v>
      </c>
      <c r="R65" s="85" t="s">
        <v>51</v>
      </c>
      <c r="S65" s="85" t="s">
        <v>356</v>
      </c>
      <c r="T65" s="85" t="s">
        <v>357</v>
      </c>
      <c r="U65" s="85" t="s">
        <v>358</v>
      </c>
      <c r="V65"/>
      <c r="W65"/>
      <c r="X65"/>
      <c r="Y65" t="s">
        <v>45</v>
      </c>
      <c r="Z65"/>
      <c r="AE65" s="9"/>
      <c r="AG65" s="2"/>
      <c r="AM65" s="3"/>
    </row>
    <row r="66" spans="1:39" ht="15.75">
      <c r="A66" t="s">
        <v>8</v>
      </c>
      <c r="B66">
        <v>57</v>
      </c>
      <c r="C66" t="s">
        <v>41</v>
      </c>
      <c r="D66" t="s">
        <v>359</v>
      </c>
      <c r="E66" t="s">
        <v>43</v>
      </c>
      <c r="F66" t="s">
        <v>360</v>
      </c>
      <c r="G66" t="s">
        <v>41</v>
      </c>
      <c r="H66" s="87" t="s">
        <v>126</v>
      </c>
      <c r="I66" s="87"/>
      <c r="J66" s="87"/>
      <c r="K66" s="87"/>
      <c r="L66" s="87" t="s">
        <v>126</v>
      </c>
      <c r="M66" s="87"/>
      <c r="N66" s="87"/>
      <c r="O66" s="87"/>
      <c r="P66" s="85"/>
      <c r="Q66" s="85"/>
      <c r="R66" s="85" t="s">
        <v>128</v>
      </c>
      <c r="S66" s="85" t="s">
        <v>361</v>
      </c>
      <c r="T66" s="85" t="s">
        <v>362</v>
      </c>
      <c r="U66" s="85" t="s">
        <v>363</v>
      </c>
      <c r="V66"/>
      <c r="W66"/>
      <c r="X66"/>
      <c r="Y66" t="s">
        <v>45</v>
      </c>
      <c r="Z66"/>
      <c r="AE66" s="9"/>
      <c r="AG66" s="2"/>
      <c r="AM66" s="3"/>
    </row>
    <row r="67" spans="1:39" ht="15.75">
      <c r="A67" t="s">
        <v>8</v>
      </c>
      <c r="B67">
        <v>58</v>
      </c>
      <c r="C67" t="s">
        <v>41</v>
      </c>
      <c r="D67" t="s">
        <v>364</v>
      </c>
      <c r="E67" t="s">
        <v>106</v>
      </c>
      <c r="F67" s="37" t="s">
        <v>117</v>
      </c>
      <c r="G67" t="s">
        <v>41</v>
      </c>
      <c r="H67" s="87" t="s">
        <v>126</v>
      </c>
      <c r="I67" s="87"/>
      <c r="J67" s="87"/>
      <c r="K67" s="87"/>
      <c r="L67" s="87" t="s">
        <v>126</v>
      </c>
      <c r="M67" s="87"/>
      <c r="N67" s="87"/>
      <c r="O67" s="87"/>
      <c r="P67" s="85"/>
      <c r="Q67" s="85"/>
      <c r="R67" s="85" t="s">
        <v>128</v>
      </c>
      <c r="S67" s="85" t="s">
        <v>365</v>
      </c>
      <c r="T67" s="85" t="s">
        <v>366</v>
      </c>
      <c r="U67" s="85" t="s">
        <v>367</v>
      </c>
      <c r="V67"/>
      <c r="W67"/>
      <c r="X67" s="37"/>
      <c r="Y67" t="s">
        <v>45</v>
      </c>
      <c r="Z67"/>
      <c r="AE67" s="9"/>
      <c r="AG67" s="2"/>
      <c r="AM67" s="3"/>
    </row>
    <row r="68" spans="1:39" s="11" customFormat="1" ht="15.75">
      <c r="A68" t="s">
        <v>8</v>
      </c>
      <c r="B68">
        <v>59</v>
      </c>
      <c r="C68" t="s">
        <v>41</v>
      </c>
      <c r="D68" t="s">
        <v>368</v>
      </c>
      <c r="E68" t="s">
        <v>106</v>
      </c>
      <c r="F68" s="37" t="s">
        <v>139</v>
      </c>
      <c r="G68" t="s">
        <v>41</v>
      </c>
      <c r="H68" s="87" t="s">
        <v>126</v>
      </c>
      <c r="I68" s="87"/>
      <c r="J68" s="87"/>
      <c r="K68" s="87"/>
      <c r="L68" s="87" t="s">
        <v>126</v>
      </c>
      <c r="M68" s="87"/>
      <c r="N68" s="87"/>
      <c r="O68" s="87"/>
      <c r="P68" s="85"/>
      <c r="Q68" s="85"/>
      <c r="R68" s="85" t="s">
        <v>128</v>
      </c>
      <c r="S68" s="85" t="s">
        <v>369</v>
      </c>
      <c r="T68" s="85" t="s">
        <v>370</v>
      </c>
      <c r="U68" s="85" t="s">
        <v>371</v>
      </c>
      <c r="V68"/>
      <c r="W68"/>
      <c r="X68" s="37"/>
      <c r="Y68" t="s">
        <v>45</v>
      </c>
      <c r="Z68"/>
      <c r="AB68" s="2"/>
      <c r="AC68" s="2"/>
      <c r="AD68" s="2"/>
      <c r="AE68" s="2"/>
      <c r="AM68" s="73"/>
    </row>
    <row r="69" spans="1:39" ht="15.75">
      <c r="A69" t="s">
        <v>8</v>
      </c>
      <c r="B69">
        <v>60</v>
      </c>
      <c r="C69" t="s">
        <v>41</v>
      </c>
      <c r="D69" t="s">
        <v>372</v>
      </c>
      <c r="E69" t="s">
        <v>106</v>
      </c>
      <c r="F69" t="s">
        <v>373</v>
      </c>
      <c r="G69" t="s">
        <v>41</v>
      </c>
      <c r="H69" s="87" t="s">
        <v>17</v>
      </c>
      <c r="I69" s="84" t="s">
        <v>46</v>
      </c>
      <c r="J69" s="84"/>
      <c r="K69" s="87"/>
      <c r="L69" s="87" t="s">
        <v>73</v>
      </c>
      <c r="M69" s="87" t="s">
        <v>49</v>
      </c>
      <c r="N69" s="87" t="s">
        <v>50</v>
      </c>
      <c r="O69" s="87"/>
      <c r="P69" s="85"/>
      <c r="Q69" s="85"/>
      <c r="R69" s="85" t="s">
        <v>101</v>
      </c>
      <c r="S69" s="85" t="s">
        <v>374</v>
      </c>
      <c r="T69" s="85" t="s">
        <v>375</v>
      </c>
      <c r="U69" s="85" t="s">
        <v>376</v>
      </c>
      <c r="V69"/>
      <c r="W69"/>
      <c r="X69" t="s">
        <v>45</v>
      </c>
      <c r="Y69" t="s">
        <v>45</v>
      </c>
      <c r="Z69"/>
      <c r="AB69" s="2" t="s">
        <v>67</v>
      </c>
      <c r="AC69" s="2" t="s">
        <v>57</v>
      </c>
      <c r="AD69" s="2">
        <v>25</v>
      </c>
      <c r="AE69" s="9" t="s">
        <v>377</v>
      </c>
      <c r="AG69" s="2"/>
      <c r="AM69" s="3"/>
    </row>
    <row r="70" spans="1:39" ht="90">
      <c r="A70" t="s">
        <v>8</v>
      </c>
      <c r="B70">
        <v>61</v>
      </c>
      <c r="C70" t="s">
        <v>41</v>
      </c>
      <c r="D70" t="s">
        <v>378</v>
      </c>
      <c r="E70" t="s">
        <v>106</v>
      </c>
      <c r="F70" t="s">
        <v>145</v>
      </c>
      <c r="G70" t="s">
        <v>41</v>
      </c>
      <c r="H70" s="87" t="s">
        <v>17</v>
      </c>
      <c r="I70" s="84" t="s">
        <v>152</v>
      </c>
      <c r="J70" s="84"/>
      <c r="K70" s="78" t="s">
        <v>379</v>
      </c>
      <c r="L70" s="87" t="s">
        <v>380</v>
      </c>
      <c r="M70" s="88" t="s">
        <v>49</v>
      </c>
      <c r="N70" s="88" t="s">
        <v>381</v>
      </c>
      <c r="O70" s="88"/>
      <c r="P70" s="85"/>
      <c r="Q70" s="85"/>
      <c r="R70" s="85" t="s">
        <v>382</v>
      </c>
      <c r="S70" s="85" t="s">
        <v>383</v>
      </c>
      <c r="T70" s="85" t="s">
        <v>384</v>
      </c>
      <c r="U70" s="85" t="s">
        <v>385</v>
      </c>
      <c r="V70"/>
      <c r="W70"/>
      <c r="X70" t="s">
        <v>45</v>
      </c>
      <c r="Y70" t="s">
        <v>45</v>
      </c>
      <c r="Z70"/>
      <c r="AB70" s="2" t="s">
        <v>386</v>
      </c>
      <c r="AC70" s="2" t="s">
        <v>57</v>
      </c>
      <c r="AD70" s="2">
        <v>26</v>
      </c>
      <c r="AE70" s="9" t="s">
        <v>387</v>
      </c>
      <c r="AG70" s="2"/>
      <c r="AM70" s="3"/>
    </row>
    <row r="71" spans="1:39" ht="90">
      <c r="A71" t="s">
        <v>8</v>
      </c>
      <c r="B71">
        <v>62</v>
      </c>
      <c r="C71" t="s">
        <v>41</v>
      </c>
      <c r="D71" t="s">
        <v>388</v>
      </c>
      <c r="E71" t="s">
        <v>106</v>
      </c>
      <c r="F71" t="s">
        <v>145</v>
      </c>
      <c r="G71" t="s">
        <v>45</v>
      </c>
      <c r="H71" s="87" t="s">
        <v>17</v>
      </c>
      <c r="I71" s="84" t="s">
        <v>152</v>
      </c>
      <c r="J71" s="84"/>
      <c r="K71" s="78" t="s">
        <v>379</v>
      </c>
      <c r="L71" s="87" t="s">
        <v>380</v>
      </c>
      <c r="M71" s="88" t="s">
        <v>49</v>
      </c>
      <c r="N71" s="88" t="s">
        <v>381</v>
      </c>
      <c r="O71" s="88"/>
      <c r="P71" s="85"/>
      <c r="Q71" s="85"/>
      <c r="R71" s="85" t="s">
        <v>101</v>
      </c>
      <c r="S71" s="85" t="s">
        <v>389</v>
      </c>
      <c r="T71" s="85" t="s">
        <v>390</v>
      </c>
      <c r="U71" s="85" t="s">
        <v>391</v>
      </c>
      <c r="V71"/>
      <c r="W71"/>
      <c r="X71" t="s">
        <v>45</v>
      </c>
      <c r="Y71" t="s">
        <v>45</v>
      </c>
      <c r="Z71"/>
      <c r="AB71" s="2" t="s">
        <v>67</v>
      </c>
      <c r="AC71" s="2" t="s">
        <v>57</v>
      </c>
      <c r="AD71" s="2">
        <v>40</v>
      </c>
      <c r="AE71" s="9" t="s">
        <v>392</v>
      </c>
      <c r="AG71" s="2"/>
      <c r="AM71" s="3"/>
    </row>
    <row r="72" spans="1:39" ht="90">
      <c r="A72" t="s">
        <v>8</v>
      </c>
      <c r="B72">
        <v>63</v>
      </c>
      <c r="C72" t="s">
        <v>41</v>
      </c>
      <c r="D72" t="s">
        <v>393</v>
      </c>
      <c r="E72" t="s">
        <v>106</v>
      </c>
      <c r="F72" t="s">
        <v>145</v>
      </c>
      <c r="G72" t="s">
        <v>45</v>
      </c>
      <c r="H72" s="87" t="s">
        <v>17</v>
      </c>
      <c r="I72" s="84" t="s">
        <v>152</v>
      </c>
      <c r="J72" s="84"/>
      <c r="K72" s="78" t="s">
        <v>379</v>
      </c>
      <c r="L72" s="87" t="s">
        <v>380</v>
      </c>
      <c r="M72" s="88" t="s">
        <v>49</v>
      </c>
      <c r="N72" s="88" t="s">
        <v>381</v>
      </c>
      <c r="O72" s="88"/>
      <c r="P72" s="85"/>
      <c r="Q72" s="85"/>
      <c r="R72" s="85" t="s">
        <v>394</v>
      </c>
      <c r="S72" s="85" t="s">
        <v>395</v>
      </c>
      <c r="T72" s="85" t="s">
        <v>396</v>
      </c>
      <c r="U72" s="85" t="s">
        <v>397</v>
      </c>
      <c r="V72"/>
      <c r="W72"/>
      <c r="X72" t="s">
        <v>45</v>
      </c>
      <c r="Y72" t="s">
        <v>45</v>
      </c>
      <c r="Z72"/>
      <c r="AB72" s="2" t="s">
        <v>67</v>
      </c>
      <c r="AC72" s="2" t="s">
        <v>57</v>
      </c>
      <c r="AD72" s="2">
        <v>41</v>
      </c>
      <c r="AE72" s="9" t="s">
        <v>398</v>
      </c>
      <c r="AG72" s="2"/>
      <c r="AM72" s="3"/>
    </row>
    <row r="73" spans="1:39" ht="64.5" customHeight="1">
      <c r="A73" t="s">
        <v>8</v>
      </c>
      <c r="B73">
        <v>64</v>
      </c>
      <c r="C73" t="s">
        <v>41</v>
      </c>
      <c r="D73" t="s">
        <v>399</v>
      </c>
      <c r="E73" t="s">
        <v>106</v>
      </c>
      <c r="F73" t="s">
        <v>139</v>
      </c>
      <c r="G73" t="s">
        <v>45</v>
      </c>
      <c r="H73" s="87" t="s">
        <v>17</v>
      </c>
      <c r="I73" s="84" t="s">
        <v>152</v>
      </c>
      <c r="J73" s="84"/>
      <c r="K73" s="78" t="s">
        <v>400</v>
      </c>
      <c r="L73" s="87" t="s">
        <v>380</v>
      </c>
      <c r="M73" s="88" t="s">
        <v>49</v>
      </c>
      <c r="N73" s="88" t="s">
        <v>381</v>
      </c>
      <c r="O73" s="88"/>
      <c r="P73" s="85"/>
      <c r="Q73" s="85"/>
      <c r="R73" s="85" t="s">
        <v>101</v>
      </c>
      <c r="S73" s="85" t="s">
        <v>401</v>
      </c>
      <c r="T73" s="85" t="s">
        <v>402</v>
      </c>
      <c r="U73" s="85" t="s">
        <v>403</v>
      </c>
      <c r="V73"/>
      <c r="W73"/>
      <c r="X73" t="s">
        <v>45</v>
      </c>
      <c r="Y73" t="s">
        <v>45</v>
      </c>
      <c r="Z73"/>
      <c r="AB73" s="2" t="s">
        <v>67</v>
      </c>
      <c r="AC73" s="2" t="s">
        <v>57</v>
      </c>
      <c r="AD73" s="2">
        <v>24</v>
      </c>
      <c r="AE73" s="9" t="s">
        <v>404</v>
      </c>
      <c r="AG73" s="2"/>
      <c r="AM73" s="3"/>
    </row>
    <row r="74" spans="1:39" s="11" customFormat="1" ht="18">
      <c r="A74" t="s">
        <v>8</v>
      </c>
      <c r="B74">
        <v>65</v>
      </c>
      <c r="C74" t="s">
        <v>41</v>
      </c>
      <c r="D74" t="s">
        <v>405</v>
      </c>
      <c r="E74" t="s">
        <v>106</v>
      </c>
      <c r="F74" t="s">
        <v>107</v>
      </c>
      <c r="G74" t="s">
        <v>45</v>
      </c>
      <c r="H74" s="67" t="s">
        <v>17</v>
      </c>
      <c r="I74" s="80" t="s">
        <v>108</v>
      </c>
      <c r="J74" s="80"/>
      <c r="K74" s="67"/>
      <c r="L74" s="67" t="s">
        <v>406</v>
      </c>
      <c r="M74" s="88" t="s">
        <v>49</v>
      </c>
      <c r="N74" s="67"/>
      <c r="O74" s="67"/>
      <c r="P74" t="s">
        <v>111</v>
      </c>
      <c r="Q74" t="s">
        <v>407</v>
      </c>
      <c r="R74" t="s">
        <v>408</v>
      </c>
      <c r="S74" t="s">
        <v>409</v>
      </c>
      <c r="T74" t="s">
        <v>410</v>
      </c>
      <c r="U74" t="s">
        <v>411</v>
      </c>
      <c r="V74"/>
      <c r="W74"/>
      <c r="X74" t="s">
        <v>45</v>
      </c>
      <c r="Y74" t="s">
        <v>45</v>
      </c>
      <c r="Z74"/>
      <c r="AF74" s="12"/>
      <c r="AM74" s="73"/>
    </row>
    <row r="75" spans="1:39" s="11" customFormat="1" ht="15.75">
      <c r="A75" t="s">
        <v>8</v>
      </c>
      <c r="B75">
        <v>66</v>
      </c>
      <c r="C75" t="s">
        <v>41</v>
      </c>
      <c r="D75" t="s">
        <v>412</v>
      </c>
      <c r="E75" t="s">
        <v>106</v>
      </c>
      <c r="F75" t="s">
        <v>413</v>
      </c>
      <c r="G75" t="s">
        <v>45</v>
      </c>
      <c r="H75" s="67" t="s">
        <v>126</v>
      </c>
      <c r="I75" s="67"/>
      <c r="J75" s="67"/>
      <c r="K75" s="67"/>
      <c r="L75" s="67" t="s">
        <v>126</v>
      </c>
      <c r="M75" s="67"/>
      <c r="N75" s="67"/>
      <c r="O75" s="67"/>
      <c r="P75"/>
      <c r="Q75"/>
      <c r="R75" t="s">
        <v>227</v>
      </c>
      <c r="S75" t="s">
        <v>414</v>
      </c>
      <c r="T75" t="s">
        <v>415</v>
      </c>
      <c r="U75"/>
      <c r="V75"/>
      <c r="W75"/>
      <c r="X75"/>
      <c r="Y75" t="s">
        <v>45</v>
      </c>
      <c r="Z75"/>
      <c r="AM75" s="73"/>
    </row>
    <row r="76" spans="1:39" s="12" customFormat="1" ht="15.75">
      <c r="A76" t="s">
        <v>8</v>
      </c>
      <c r="B76">
        <v>67</v>
      </c>
      <c r="C76" t="s">
        <v>41</v>
      </c>
      <c r="D76" t="s">
        <v>416</v>
      </c>
      <c r="E76" t="s">
        <v>106</v>
      </c>
      <c r="F76" t="s">
        <v>107</v>
      </c>
      <c r="G76" t="s">
        <v>45</v>
      </c>
      <c r="H76" s="67" t="s">
        <v>126</v>
      </c>
      <c r="I76" s="67"/>
      <c r="J76" s="67"/>
      <c r="K76" s="67"/>
      <c r="L76" s="67" t="s">
        <v>126</v>
      </c>
      <c r="M76" s="67"/>
      <c r="N76" s="67"/>
      <c r="O76" s="67"/>
      <c r="P76" t="s">
        <v>111</v>
      </c>
      <c r="Q76" t="s">
        <v>417</v>
      </c>
      <c r="R76" t="s">
        <v>227</v>
      </c>
      <c r="S76" t="s">
        <v>418</v>
      </c>
      <c r="T76" t="s">
        <v>419</v>
      </c>
      <c r="U76"/>
      <c r="V76"/>
      <c r="W76"/>
      <c r="X76"/>
      <c r="Y76" t="s">
        <v>45</v>
      </c>
      <c r="Z76"/>
      <c r="AB76" s="11"/>
      <c r="AC76" s="11"/>
      <c r="AD76" s="11"/>
      <c r="AE76" s="11"/>
      <c r="AM76" s="74"/>
    </row>
    <row r="77" spans="1:39" ht="237.75">
      <c r="A77" t="s">
        <v>8</v>
      </c>
      <c r="B77">
        <v>68</v>
      </c>
      <c r="C77" t="s">
        <v>41</v>
      </c>
      <c r="D77" t="s">
        <v>420</v>
      </c>
      <c r="E77" t="s">
        <v>106</v>
      </c>
      <c r="F77" t="s">
        <v>107</v>
      </c>
      <c r="G77" t="s">
        <v>45</v>
      </c>
      <c r="H77" s="67" t="s">
        <v>17</v>
      </c>
      <c r="I77" s="80" t="s">
        <v>108</v>
      </c>
      <c r="J77" s="80"/>
      <c r="K77" s="67"/>
      <c r="L77" s="68" t="s">
        <v>421</v>
      </c>
      <c r="M77" s="88" t="s">
        <v>49</v>
      </c>
      <c r="N77" s="68"/>
      <c r="O77" s="68"/>
      <c r="P77" t="s">
        <v>111</v>
      </c>
      <c r="Q77" t="s">
        <v>422</v>
      </c>
      <c r="R77" t="s">
        <v>51</v>
      </c>
      <c r="S77" t="s">
        <v>423</v>
      </c>
      <c r="T77" t="s">
        <v>424</v>
      </c>
      <c r="U77"/>
      <c r="V77"/>
      <c r="W77"/>
      <c r="X77" t="s">
        <v>45</v>
      </c>
      <c r="Y77" t="s">
        <v>45</v>
      </c>
      <c r="Z77"/>
      <c r="AB77" s="2" t="s">
        <v>67</v>
      </c>
      <c r="AC77" s="2" t="s">
        <v>57</v>
      </c>
      <c r="AD77" s="2">
        <v>72</v>
      </c>
      <c r="AE77" s="9" t="s">
        <v>425</v>
      </c>
      <c r="AG77" s="2"/>
    </row>
    <row r="78" spans="1:39" ht="300.75">
      <c r="A78" t="s">
        <v>8</v>
      </c>
      <c r="B78">
        <v>69</v>
      </c>
      <c r="C78" t="s">
        <v>41</v>
      </c>
      <c r="D78" t="s">
        <v>426</v>
      </c>
      <c r="E78" t="s">
        <v>106</v>
      </c>
      <c r="F78" t="s">
        <v>107</v>
      </c>
      <c r="G78" t="s">
        <v>45</v>
      </c>
      <c r="H78" s="67" t="s">
        <v>17</v>
      </c>
      <c r="I78" s="80" t="s">
        <v>108</v>
      </c>
      <c r="J78" s="80"/>
      <c r="K78" s="67"/>
      <c r="L78" s="68" t="s">
        <v>427</v>
      </c>
      <c r="M78" s="68" t="s">
        <v>49</v>
      </c>
      <c r="N78" s="68"/>
      <c r="O78" s="68"/>
      <c r="P78" t="s">
        <v>111</v>
      </c>
      <c r="Q78" t="s">
        <v>428</v>
      </c>
      <c r="R78" t="s">
        <v>51</v>
      </c>
      <c r="S78" t="s">
        <v>429</v>
      </c>
      <c r="T78" t="s">
        <v>430</v>
      </c>
      <c r="U78"/>
      <c r="V78"/>
      <c r="W78"/>
      <c r="X78" t="s">
        <v>45</v>
      </c>
      <c r="Y78" t="s">
        <v>45</v>
      </c>
      <c r="Z78"/>
      <c r="AF78" s="11"/>
      <c r="AG78" s="2"/>
    </row>
    <row r="79" spans="1:39" ht="113.25" customHeight="1">
      <c r="A79" t="s">
        <v>8</v>
      </c>
      <c r="B79">
        <v>70</v>
      </c>
      <c r="C79" t="s">
        <v>41</v>
      </c>
      <c r="D79" t="s">
        <v>431</v>
      </c>
      <c r="E79" t="s">
        <v>106</v>
      </c>
      <c r="F79" t="s">
        <v>145</v>
      </c>
      <c r="G79" t="s">
        <v>45</v>
      </c>
      <c r="H79" s="87" t="s">
        <v>17</v>
      </c>
      <c r="I79" s="84" t="s">
        <v>46</v>
      </c>
      <c r="J79" s="84"/>
      <c r="K79" s="78" t="s">
        <v>432</v>
      </c>
      <c r="L79" s="87" t="s">
        <v>433</v>
      </c>
      <c r="M79" s="88" t="s">
        <v>74</v>
      </c>
      <c r="N79" s="88" t="s">
        <v>434</v>
      </c>
      <c r="O79" s="90" t="s">
        <v>435</v>
      </c>
      <c r="P79" s="85"/>
      <c r="Q79" s="85"/>
      <c r="R79" s="85" t="s">
        <v>51</v>
      </c>
      <c r="S79" s="85" t="s">
        <v>436</v>
      </c>
      <c r="T79" s="85" t="s">
        <v>437</v>
      </c>
      <c r="U79" s="85"/>
      <c r="V79"/>
      <c r="W79"/>
      <c r="X79" t="s">
        <v>45</v>
      </c>
      <c r="Y79" t="s">
        <v>45</v>
      </c>
      <c r="Z79"/>
      <c r="AF79" s="11"/>
      <c r="AG79" s="2"/>
    </row>
    <row r="80" spans="1:39" ht="105.75">
      <c r="A80" t="s">
        <v>8</v>
      </c>
      <c r="B80">
        <v>71</v>
      </c>
      <c r="C80" t="s">
        <v>41</v>
      </c>
      <c r="D80" t="s">
        <v>438</v>
      </c>
      <c r="E80" t="s">
        <v>106</v>
      </c>
      <c r="F80" s="37" t="s">
        <v>107</v>
      </c>
      <c r="G80" t="s">
        <v>41</v>
      </c>
      <c r="H80" s="87" t="s">
        <v>17</v>
      </c>
      <c r="I80" s="84" t="s">
        <v>46</v>
      </c>
      <c r="J80" s="84"/>
      <c r="K80" s="78" t="s">
        <v>72</v>
      </c>
      <c r="L80" s="87" t="s">
        <v>73</v>
      </c>
      <c r="M80" s="88" t="s">
        <v>74</v>
      </c>
      <c r="N80" s="90" t="s">
        <v>439</v>
      </c>
      <c r="O80" s="90" t="s">
        <v>440</v>
      </c>
      <c r="P80" s="85" t="s">
        <v>111</v>
      </c>
      <c r="Q80" s="85" t="s">
        <v>441</v>
      </c>
      <c r="R80" s="85" t="s">
        <v>51</v>
      </c>
      <c r="S80" s="85" t="s">
        <v>442</v>
      </c>
      <c r="T80" s="85" t="s">
        <v>443</v>
      </c>
      <c r="U80" s="85" t="s">
        <v>444</v>
      </c>
      <c r="V80"/>
      <c r="W80"/>
      <c r="X80" s="37" t="s">
        <v>45</v>
      </c>
      <c r="Y80" t="s">
        <v>45</v>
      </c>
      <c r="Z80"/>
      <c r="AF80" s="11"/>
      <c r="AG80" s="2"/>
      <c r="AM80" s="3"/>
    </row>
    <row r="81" spans="1:39" ht="30">
      <c r="A81" t="s">
        <v>8</v>
      </c>
      <c r="B81">
        <v>72</v>
      </c>
      <c r="C81" t="s">
        <v>41</v>
      </c>
      <c r="D81" t="s">
        <v>445</v>
      </c>
      <c r="E81" t="s">
        <v>106</v>
      </c>
      <c r="F81" s="37" t="s">
        <v>151</v>
      </c>
      <c r="G81" t="s">
        <v>41</v>
      </c>
      <c r="H81" s="87" t="s">
        <v>17</v>
      </c>
      <c r="I81" s="84" t="s">
        <v>46</v>
      </c>
      <c r="J81" s="84"/>
      <c r="K81" s="78" t="s">
        <v>72</v>
      </c>
      <c r="L81" s="87" t="s">
        <v>73</v>
      </c>
      <c r="M81" s="88" t="s">
        <v>49</v>
      </c>
      <c r="N81" s="88" t="s">
        <v>50</v>
      </c>
      <c r="O81" s="88"/>
      <c r="P81" s="85"/>
      <c r="Q81" s="85"/>
      <c r="R81" s="85" t="s">
        <v>51</v>
      </c>
      <c r="S81" s="85" t="s">
        <v>446</v>
      </c>
      <c r="T81" s="85" t="s">
        <v>447</v>
      </c>
      <c r="U81" s="85"/>
      <c r="V81"/>
      <c r="W81"/>
      <c r="X81" s="37" t="s">
        <v>45</v>
      </c>
      <c r="Y81" t="s">
        <v>45</v>
      </c>
      <c r="Z81"/>
      <c r="AF81" s="11"/>
      <c r="AG81" s="2"/>
      <c r="AM81" s="3"/>
    </row>
    <row r="82" spans="1:39" ht="48.75">
      <c r="A82" t="s">
        <v>8</v>
      </c>
      <c r="B82">
        <v>73</v>
      </c>
      <c r="C82" t="s">
        <v>41</v>
      </c>
      <c r="D82" t="s">
        <v>448</v>
      </c>
      <c r="E82" t="s">
        <v>106</v>
      </c>
      <c r="F82" s="37" t="s">
        <v>107</v>
      </c>
      <c r="G82" t="s">
        <v>45</v>
      </c>
      <c r="H82" s="67" t="s">
        <v>126</v>
      </c>
      <c r="I82" s="67"/>
      <c r="J82" s="67"/>
      <c r="K82" s="67"/>
      <c r="L82" s="67" t="s">
        <v>126</v>
      </c>
      <c r="M82" s="67"/>
      <c r="N82" s="67"/>
      <c r="O82" s="67"/>
      <c r="P82" t="s">
        <v>111</v>
      </c>
      <c r="Q82" t="s">
        <v>449</v>
      </c>
      <c r="R82" t="s">
        <v>450</v>
      </c>
      <c r="S82" t="s">
        <v>450</v>
      </c>
      <c r="T82" s="26" t="s">
        <v>451</v>
      </c>
      <c r="U82" t="s">
        <v>452</v>
      </c>
      <c r="V82"/>
      <c r="W82"/>
      <c r="X82" s="37" t="s">
        <v>45</v>
      </c>
      <c r="Y82" t="s">
        <v>45</v>
      </c>
      <c r="Z82"/>
      <c r="AF82" s="11"/>
      <c r="AG82" s="2"/>
      <c r="AM82" s="3"/>
    </row>
    <row r="83" spans="1:39" ht="32.25">
      <c r="A83" t="s">
        <v>8</v>
      </c>
      <c r="B83">
        <v>74</v>
      </c>
      <c r="C83" t="s">
        <v>41</v>
      </c>
      <c r="D83" t="s">
        <v>453</v>
      </c>
      <c r="E83" t="s">
        <v>106</v>
      </c>
      <c r="F83" s="37" t="s">
        <v>117</v>
      </c>
      <c r="G83" t="s">
        <v>45</v>
      </c>
      <c r="H83" s="67" t="s">
        <v>17</v>
      </c>
      <c r="I83" s="80" t="s">
        <v>152</v>
      </c>
      <c r="J83" s="80"/>
      <c r="K83" s="67"/>
      <c r="L83" s="90" t="s">
        <v>454</v>
      </c>
      <c r="M83" s="88" t="s">
        <v>49</v>
      </c>
      <c r="N83" s="67"/>
      <c r="O83" s="67"/>
      <c r="P83"/>
      <c r="Q83"/>
      <c r="R83" t="s">
        <v>455</v>
      </c>
      <c r="S83" t="s">
        <v>456</v>
      </c>
      <c r="T83" t="s">
        <v>457</v>
      </c>
      <c r="U83" t="s">
        <v>458</v>
      </c>
      <c r="V83"/>
      <c r="W83"/>
      <c r="X83" s="37" t="s">
        <v>45</v>
      </c>
      <c r="Y83" t="s">
        <v>45</v>
      </c>
      <c r="Z83"/>
      <c r="AF83" s="11"/>
      <c r="AG83" s="2"/>
      <c r="AM83" s="3"/>
    </row>
    <row r="84" spans="1:39" ht="30">
      <c r="A84" t="s">
        <v>8</v>
      </c>
      <c r="B84">
        <v>75</v>
      </c>
      <c r="C84" t="s">
        <v>41</v>
      </c>
      <c r="D84" t="s">
        <v>459</v>
      </c>
      <c r="E84" t="s">
        <v>106</v>
      </c>
      <c r="F84" s="37" t="s">
        <v>107</v>
      </c>
      <c r="G84" t="s">
        <v>45</v>
      </c>
      <c r="H84" s="87" t="s">
        <v>17</v>
      </c>
      <c r="I84" s="84" t="s">
        <v>46</v>
      </c>
      <c r="J84" s="84"/>
      <c r="K84" s="78" t="s">
        <v>72</v>
      </c>
      <c r="L84" s="87" t="s">
        <v>73</v>
      </c>
      <c r="M84" s="88" t="s">
        <v>49</v>
      </c>
      <c r="N84" s="88"/>
      <c r="O84" s="88"/>
      <c r="P84" s="85" t="s">
        <v>111</v>
      </c>
      <c r="Q84" s="85" t="s">
        <v>460</v>
      </c>
      <c r="R84" s="85" t="s">
        <v>56</v>
      </c>
      <c r="S84" s="85"/>
      <c r="T84" s="85" t="s">
        <v>461</v>
      </c>
      <c r="U84" s="85" t="s">
        <v>462</v>
      </c>
      <c r="V84"/>
      <c r="W84"/>
      <c r="X84" s="37" t="s">
        <v>45</v>
      </c>
      <c r="Y84" t="s">
        <v>45</v>
      </c>
      <c r="Z84"/>
      <c r="AB84" s="2" t="s">
        <v>386</v>
      </c>
      <c r="AC84" s="2" t="s">
        <v>57</v>
      </c>
      <c r="AD84" s="2">
        <v>29</v>
      </c>
      <c r="AE84" s="9" t="s">
        <v>463</v>
      </c>
      <c r="AG84" s="2"/>
      <c r="AM84" s="3"/>
    </row>
    <row r="85" spans="1:39" ht="15.75">
      <c r="A85" t="s">
        <v>8</v>
      </c>
      <c r="B85">
        <v>76</v>
      </c>
      <c r="C85" t="s">
        <v>41</v>
      </c>
      <c r="D85" t="s">
        <v>464</v>
      </c>
      <c r="E85" t="s">
        <v>106</v>
      </c>
      <c r="F85" t="s">
        <v>324</v>
      </c>
      <c r="G85" t="s">
        <v>45</v>
      </c>
      <c r="H85" s="67" t="s">
        <v>126</v>
      </c>
      <c r="I85" s="67"/>
      <c r="J85" s="67"/>
      <c r="K85" s="67"/>
      <c r="L85" s="67" t="s">
        <v>126</v>
      </c>
      <c r="M85" s="67"/>
      <c r="N85" s="67"/>
      <c r="O85" s="67"/>
      <c r="P85"/>
      <c r="Q85"/>
      <c r="R85" t="s">
        <v>465</v>
      </c>
      <c r="S85" t="s">
        <v>466</v>
      </c>
      <c r="T85" t="s">
        <v>467</v>
      </c>
      <c r="U85" t="s">
        <v>468</v>
      </c>
      <c r="V85"/>
      <c r="W85"/>
      <c r="X85"/>
      <c r="Y85" t="s">
        <v>45</v>
      </c>
      <c r="Z85"/>
      <c r="AE85" s="13"/>
      <c r="AG85" s="2"/>
      <c r="AM85" s="3"/>
    </row>
    <row r="86" spans="1:39" ht="15.75">
      <c r="A86" t="s">
        <v>8</v>
      </c>
      <c r="B86">
        <v>77</v>
      </c>
      <c r="C86" t="s">
        <v>41</v>
      </c>
      <c r="D86" t="s">
        <v>469</v>
      </c>
      <c r="E86" t="s">
        <v>106</v>
      </c>
      <c r="F86" s="37" t="s">
        <v>159</v>
      </c>
      <c r="G86" t="s">
        <v>45</v>
      </c>
      <c r="H86" s="67" t="s">
        <v>126</v>
      </c>
      <c r="I86" s="67"/>
      <c r="J86" s="67"/>
      <c r="K86" s="67"/>
      <c r="L86" s="67" t="s">
        <v>126</v>
      </c>
      <c r="M86" s="67"/>
      <c r="N86" s="67"/>
      <c r="O86" s="67"/>
      <c r="P86"/>
      <c r="Q86"/>
      <c r="R86" t="s">
        <v>465</v>
      </c>
      <c r="S86" t="s">
        <v>470</v>
      </c>
      <c r="T86" t="s">
        <v>471</v>
      </c>
      <c r="U86" t="s">
        <v>472</v>
      </c>
      <c r="V86"/>
      <c r="W86"/>
      <c r="X86" s="37"/>
      <c r="Y86" t="s">
        <v>45</v>
      </c>
      <c r="Z86"/>
      <c r="AB86" s="2" t="s">
        <v>67</v>
      </c>
      <c r="AC86" s="2" t="s">
        <v>57</v>
      </c>
      <c r="AD86" s="2">
        <v>48</v>
      </c>
      <c r="AE86" s="9" t="s">
        <v>449</v>
      </c>
      <c r="AG86" s="2"/>
      <c r="AM86" s="3"/>
    </row>
    <row r="87" spans="1:39" ht="15.75">
      <c r="A87" t="s">
        <v>8</v>
      </c>
      <c r="B87">
        <v>78</v>
      </c>
      <c r="C87" t="s">
        <v>41</v>
      </c>
      <c r="D87" t="s">
        <v>473</v>
      </c>
      <c r="E87" t="s">
        <v>106</v>
      </c>
      <c r="F87" s="37" t="s">
        <v>474</v>
      </c>
      <c r="G87" t="s">
        <v>45</v>
      </c>
      <c r="H87" s="67" t="s">
        <v>126</v>
      </c>
      <c r="I87" s="67"/>
      <c r="J87" s="67"/>
      <c r="K87" s="67"/>
      <c r="L87" s="67" t="s">
        <v>126</v>
      </c>
      <c r="M87" s="67"/>
      <c r="N87" s="67"/>
      <c r="O87" s="67"/>
      <c r="P87"/>
      <c r="Q87"/>
      <c r="R87" t="s">
        <v>465</v>
      </c>
      <c r="S87" t="s">
        <v>475</v>
      </c>
      <c r="T87" t="s">
        <v>476</v>
      </c>
      <c r="U87" t="s">
        <v>477</v>
      </c>
      <c r="V87"/>
      <c r="W87"/>
      <c r="X87" s="37"/>
      <c r="Y87" t="s">
        <v>45</v>
      </c>
      <c r="Z87"/>
      <c r="AB87" s="2" t="s">
        <v>67</v>
      </c>
      <c r="AC87" s="2" t="s">
        <v>57</v>
      </c>
      <c r="AD87" s="2">
        <v>69</v>
      </c>
      <c r="AE87" s="9" t="s">
        <v>478</v>
      </c>
      <c r="AG87" s="2"/>
      <c r="AM87" s="3"/>
    </row>
    <row r="88" spans="1:39" ht="30">
      <c r="A88" t="s">
        <v>8</v>
      </c>
      <c r="B88">
        <v>79</v>
      </c>
      <c r="C88" t="s">
        <v>41</v>
      </c>
      <c r="D88" t="s">
        <v>479</v>
      </c>
      <c r="E88" t="s">
        <v>106</v>
      </c>
      <c r="F88" s="37" t="s">
        <v>145</v>
      </c>
      <c r="G88" t="s">
        <v>45</v>
      </c>
      <c r="H88" s="87" t="s">
        <v>17</v>
      </c>
      <c r="I88" s="84" t="s">
        <v>46</v>
      </c>
      <c r="J88" s="84"/>
      <c r="K88" s="78" t="s">
        <v>72</v>
      </c>
      <c r="L88" s="87" t="s">
        <v>73</v>
      </c>
      <c r="M88" s="88" t="s">
        <v>49</v>
      </c>
      <c r="N88" s="88" t="s">
        <v>50</v>
      </c>
      <c r="O88" s="88"/>
      <c r="P88" s="85"/>
      <c r="Q88" s="85"/>
      <c r="R88" s="85" t="s">
        <v>101</v>
      </c>
      <c r="S88" s="85" t="s">
        <v>480</v>
      </c>
      <c r="T88" s="85" t="s">
        <v>481</v>
      </c>
      <c r="U88" s="85" t="s">
        <v>482</v>
      </c>
      <c r="V88"/>
      <c r="W88"/>
      <c r="X88" s="37"/>
      <c r="Y88" t="s">
        <v>45</v>
      </c>
      <c r="Z88"/>
      <c r="AB88" s="2" t="s">
        <v>67</v>
      </c>
      <c r="AC88" s="2" t="s">
        <v>57</v>
      </c>
      <c r="AD88" s="2">
        <v>58</v>
      </c>
      <c r="AE88" s="9" t="s">
        <v>483</v>
      </c>
      <c r="AG88" s="2"/>
      <c r="AM88" s="3"/>
    </row>
    <row r="89" spans="1:39" ht="15.75">
      <c r="A89" t="s">
        <v>8</v>
      </c>
      <c r="B89">
        <v>80</v>
      </c>
      <c r="C89" t="s">
        <v>41</v>
      </c>
      <c r="D89" t="s">
        <v>484</v>
      </c>
      <c r="E89" t="s">
        <v>106</v>
      </c>
      <c r="F89" t="s">
        <v>324</v>
      </c>
      <c r="G89" t="s">
        <v>45</v>
      </c>
      <c r="H89" s="67" t="s">
        <v>126</v>
      </c>
      <c r="I89" s="67"/>
      <c r="J89" s="67"/>
      <c r="K89" s="67"/>
      <c r="L89" s="67" t="s">
        <v>126</v>
      </c>
      <c r="M89" s="67"/>
      <c r="N89" s="67"/>
      <c r="O89" s="67"/>
      <c r="P89"/>
      <c r="Q89"/>
      <c r="R89" t="s">
        <v>465</v>
      </c>
      <c r="S89" t="s">
        <v>485</v>
      </c>
      <c r="T89" t="s">
        <v>486</v>
      </c>
      <c r="U89" t="s">
        <v>487</v>
      </c>
      <c r="V89"/>
      <c r="W89"/>
      <c r="X89"/>
      <c r="Y89" t="s">
        <v>45</v>
      </c>
      <c r="Z89"/>
      <c r="AB89" s="2" t="s">
        <v>67</v>
      </c>
      <c r="AC89" s="2" t="s">
        <v>57</v>
      </c>
      <c r="AD89" s="2">
        <v>60</v>
      </c>
      <c r="AE89" s="9" t="s">
        <v>488</v>
      </c>
      <c r="AG89" s="2"/>
      <c r="AM89" s="3"/>
    </row>
    <row r="90" spans="1:39" ht="15.75">
      <c r="A90" t="s">
        <v>8</v>
      </c>
      <c r="B90">
        <v>81</v>
      </c>
      <c r="C90" t="s">
        <v>41</v>
      </c>
      <c r="D90" t="s">
        <v>489</v>
      </c>
      <c r="E90" t="s">
        <v>106</v>
      </c>
      <c r="F90" s="37" t="s">
        <v>107</v>
      </c>
      <c r="G90" t="s">
        <v>45</v>
      </c>
      <c r="H90" s="67" t="s">
        <v>126</v>
      </c>
      <c r="I90" s="67"/>
      <c r="J90" s="67"/>
      <c r="K90" s="67"/>
      <c r="L90" s="67" t="s">
        <v>126</v>
      </c>
      <c r="M90" s="67"/>
      <c r="N90" s="67"/>
      <c r="O90" s="67"/>
      <c r="P90" t="s">
        <v>111</v>
      </c>
      <c r="Q90" t="s">
        <v>490</v>
      </c>
      <c r="R90" t="s">
        <v>465</v>
      </c>
      <c r="S90" t="s">
        <v>491</v>
      </c>
      <c r="T90" t="s">
        <v>492</v>
      </c>
      <c r="U90" t="s">
        <v>493</v>
      </c>
      <c r="V90"/>
      <c r="W90"/>
      <c r="X90" s="37"/>
      <c r="Y90" t="s">
        <v>45</v>
      </c>
      <c r="Z90"/>
      <c r="AB90" s="2" t="s">
        <v>67</v>
      </c>
      <c r="AC90" s="2" t="s">
        <v>57</v>
      </c>
      <c r="AD90" s="2">
        <v>61</v>
      </c>
      <c r="AE90" s="9" t="s">
        <v>494</v>
      </c>
      <c r="AG90" s="2"/>
      <c r="AM90" s="3"/>
    </row>
    <row r="91" spans="1:39" ht="15.75">
      <c r="A91" t="s">
        <v>8</v>
      </c>
      <c r="B91">
        <v>82</v>
      </c>
      <c r="C91" t="s">
        <v>41</v>
      </c>
      <c r="D91" t="s">
        <v>495</v>
      </c>
      <c r="E91" t="s">
        <v>106</v>
      </c>
      <c r="F91" s="37" t="s">
        <v>496</v>
      </c>
      <c r="G91" t="s">
        <v>45</v>
      </c>
      <c r="H91" s="67" t="s">
        <v>126</v>
      </c>
      <c r="I91" s="67"/>
      <c r="J91" s="67"/>
      <c r="K91" s="67"/>
      <c r="L91" s="67" t="s">
        <v>126</v>
      </c>
      <c r="M91" s="67"/>
      <c r="N91" s="67"/>
      <c r="O91" s="67"/>
      <c r="P91"/>
      <c r="Q91"/>
      <c r="R91" t="s">
        <v>497</v>
      </c>
      <c r="S91" t="s">
        <v>498</v>
      </c>
      <c r="T91" t="s">
        <v>499</v>
      </c>
      <c r="U91" t="s">
        <v>500</v>
      </c>
      <c r="V91"/>
      <c r="W91"/>
      <c r="X91" s="37"/>
      <c r="Y91" t="s">
        <v>45</v>
      </c>
      <c r="Z91"/>
      <c r="AB91" s="2" t="s">
        <v>67</v>
      </c>
      <c r="AC91" s="2" t="s">
        <v>57</v>
      </c>
      <c r="AD91" s="2">
        <v>62</v>
      </c>
      <c r="AE91" s="9" t="s">
        <v>501</v>
      </c>
      <c r="AG91" s="2"/>
      <c r="AM91" s="3"/>
    </row>
    <row r="92" spans="1:39" ht="15.75">
      <c r="A92" t="s">
        <v>8</v>
      </c>
      <c r="B92">
        <v>83</v>
      </c>
      <c r="C92" t="s">
        <v>41</v>
      </c>
      <c r="D92" t="s">
        <v>502</v>
      </c>
      <c r="E92" t="s">
        <v>106</v>
      </c>
      <c r="F92" s="37" t="s">
        <v>313</v>
      </c>
      <c r="G92" t="s">
        <v>41</v>
      </c>
      <c r="H92" s="67" t="s">
        <v>126</v>
      </c>
      <c r="I92" s="67"/>
      <c r="J92" s="67"/>
      <c r="K92" s="67"/>
      <c r="L92" s="67" t="s">
        <v>126</v>
      </c>
      <c r="M92" s="67"/>
      <c r="N92" s="67"/>
      <c r="O92" s="67"/>
      <c r="P92"/>
      <c r="Q92"/>
      <c r="R92" t="s">
        <v>497</v>
      </c>
      <c r="S92" t="s">
        <v>503</v>
      </c>
      <c r="T92" t="s">
        <v>504</v>
      </c>
      <c r="U92" t="s">
        <v>505</v>
      </c>
      <c r="V92"/>
      <c r="W92"/>
      <c r="X92" s="37"/>
      <c r="Y92" t="s">
        <v>45</v>
      </c>
      <c r="Z92"/>
      <c r="AB92" s="2" t="s">
        <v>67</v>
      </c>
      <c r="AC92" s="2" t="s">
        <v>57</v>
      </c>
      <c r="AD92" s="2">
        <v>63</v>
      </c>
      <c r="AE92" s="9" t="s">
        <v>479</v>
      </c>
      <c r="AG92" s="2"/>
      <c r="AM92" s="3"/>
    </row>
    <row r="93" spans="1:39" ht="15.75">
      <c r="A93" t="s">
        <v>8</v>
      </c>
      <c r="B93">
        <v>84</v>
      </c>
      <c r="C93" t="s">
        <v>41</v>
      </c>
      <c r="D93" t="s">
        <v>506</v>
      </c>
      <c r="E93" t="s">
        <v>106</v>
      </c>
      <c r="F93" s="37" t="s">
        <v>107</v>
      </c>
      <c r="G93" t="s">
        <v>45</v>
      </c>
      <c r="H93" s="67" t="s">
        <v>126</v>
      </c>
      <c r="I93" s="67"/>
      <c r="J93" s="67"/>
      <c r="K93" s="67"/>
      <c r="L93" s="67" t="s">
        <v>126</v>
      </c>
      <c r="M93" s="67"/>
      <c r="N93" s="67"/>
      <c r="O93" s="67"/>
      <c r="P93" t="s">
        <v>111</v>
      </c>
      <c r="Q93" t="s">
        <v>507</v>
      </c>
      <c r="R93" t="s">
        <v>227</v>
      </c>
      <c r="S93" t="s">
        <v>508</v>
      </c>
      <c r="T93" t="s">
        <v>509</v>
      </c>
      <c r="U93" t="s">
        <v>510</v>
      </c>
      <c r="V93"/>
      <c r="W93"/>
      <c r="X93" s="37" t="s">
        <v>45</v>
      </c>
      <c r="Y93" t="s">
        <v>45</v>
      </c>
      <c r="Z93"/>
      <c r="AB93" s="2" t="s">
        <v>67</v>
      </c>
      <c r="AC93" s="2" t="s">
        <v>57</v>
      </c>
      <c r="AD93" s="2">
        <v>64</v>
      </c>
      <c r="AE93" s="9" t="s">
        <v>511</v>
      </c>
      <c r="AG93" s="2"/>
      <c r="AM93" s="3"/>
    </row>
    <row r="94" spans="1:39" ht="15.75">
      <c r="A94" t="s">
        <v>8</v>
      </c>
      <c r="B94">
        <v>85</v>
      </c>
      <c r="C94" t="s">
        <v>41</v>
      </c>
      <c r="D94" t="s">
        <v>512</v>
      </c>
      <c r="E94" t="s">
        <v>106</v>
      </c>
      <c r="F94" s="37" t="s">
        <v>107</v>
      </c>
      <c r="G94" t="s">
        <v>45</v>
      </c>
      <c r="H94" s="67" t="s">
        <v>126</v>
      </c>
      <c r="I94" s="67"/>
      <c r="J94" s="67"/>
      <c r="K94" s="67"/>
      <c r="L94" s="67" t="s">
        <v>126</v>
      </c>
      <c r="M94" s="67"/>
      <c r="N94" s="67"/>
      <c r="O94" s="67"/>
      <c r="P94" t="s">
        <v>111</v>
      </c>
      <c r="Q94" t="s">
        <v>507</v>
      </c>
      <c r="R94" t="s">
        <v>227</v>
      </c>
      <c r="S94" t="s">
        <v>508</v>
      </c>
      <c r="T94" t="s">
        <v>513</v>
      </c>
      <c r="U94" t="s">
        <v>514</v>
      </c>
      <c r="V94"/>
      <c r="W94"/>
      <c r="X94" s="37" t="s">
        <v>45</v>
      </c>
      <c r="Y94" t="s">
        <v>45</v>
      </c>
      <c r="Z94"/>
      <c r="AB94" s="2" t="s">
        <v>67</v>
      </c>
      <c r="AC94" s="2" t="s">
        <v>57</v>
      </c>
      <c r="AD94" s="2">
        <v>65</v>
      </c>
      <c r="AE94" s="9" t="s">
        <v>490</v>
      </c>
      <c r="AG94" s="2"/>
      <c r="AM94" s="3"/>
    </row>
    <row r="95" spans="1:39" ht="15.75">
      <c r="A95" t="s">
        <v>8</v>
      </c>
      <c r="B95">
        <v>86</v>
      </c>
      <c r="C95" t="s">
        <v>41</v>
      </c>
      <c r="D95" t="s">
        <v>515</v>
      </c>
      <c r="E95" t="s">
        <v>106</v>
      </c>
      <c r="F95" s="37" t="s">
        <v>107</v>
      </c>
      <c r="G95" t="s">
        <v>45</v>
      </c>
      <c r="H95" s="67" t="s">
        <v>126</v>
      </c>
      <c r="I95" s="67"/>
      <c r="J95" s="67"/>
      <c r="K95" s="67"/>
      <c r="L95" s="67" t="s">
        <v>126</v>
      </c>
      <c r="M95" s="67"/>
      <c r="N95" s="67"/>
      <c r="O95" s="67"/>
      <c r="P95" t="s">
        <v>111</v>
      </c>
      <c r="Q95" t="s">
        <v>507</v>
      </c>
      <c r="R95" t="s">
        <v>227</v>
      </c>
      <c r="S95" t="s">
        <v>508</v>
      </c>
      <c r="T95" t="s">
        <v>516</v>
      </c>
      <c r="U95" t="s">
        <v>517</v>
      </c>
      <c r="V95"/>
      <c r="W95"/>
      <c r="X95" s="37" t="s">
        <v>45</v>
      </c>
      <c r="Y95" t="s">
        <v>45</v>
      </c>
      <c r="Z95"/>
      <c r="AB95" s="2" t="s">
        <v>67</v>
      </c>
      <c r="AC95" s="2" t="s">
        <v>57</v>
      </c>
      <c r="AD95" s="2">
        <v>66</v>
      </c>
      <c r="AE95" s="9" t="s">
        <v>518</v>
      </c>
      <c r="AG95" s="2"/>
      <c r="AM95" s="3"/>
    </row>
    <row r="96" spans="1:39" ht="15.75">
      <c r="A96" t="s">
        <v>8</v>
      </c>
      <c r="B96">
        <v>87</v>
      </c>
      <c r="C96" t="s">
        <v>41</v>
      </c>
      <c r="D96" t="s">
        <v>519</v>
      </c>
      <c r="E96" t="s">
        <v>106</v>
      </c>
      <c r="F96" s="37" t="s">
        <v>139</v>
      </c>
      <c r="G96" t="s">
        <v>45</v>
      </c>
      <c r="H96" s="67" t="s">
        <v>126</v>
      </c>
      <c r="I96" s="67"/>
      <c r="J96" s="67"/>
      <c r="K96" s="67"/>
      <c r="L96" s="67" t="s">
        <v>126</v>
      </c>
      <c r="M96" s="67"/>
      <c r="N96" s="67"/>
      <c r="O96" s="67"/>
      <c r="P96"/>
      <c r="Q96"/>
      <c r="R96" t="s">
        <v>227</v>
      </c>
      <c r="S96" t="s">
        <v>520</v>
      </c>
      <c r="T96" t="s">
        <v>521</v>
      </c>
      <c r="U96" t="s">
        <v>522</v>
      </c>
      <c r="V96"/>
      <c r="W96"/>
      <c r="X96" s="37" t="s">
        <v>45</v>
      </c>
      <c r="Y96" t="s">
        <v>45</v>
      </c>
      <c r="Z96"/>
      <c r="AB96" s="2" t="s">
        <v>67</v>
      </c>
      <c r="AC96" s="2" t="s">
        <v>57</v>
      </c>
      <c r="AD96" s="2">
        <v>67</v>
      </c>
      <c r="AE96" s="14" t="s">
        <v>523</v>
      </c>
      <c r="AG96" s="2"/>
      <c r="AM96" s="3"/>
    </row>
    <row r="97" spans="1:39" ht="15.75">
      <c r="A97" t="s">
        <v>8</v>
      </c>
      <c r="B97">
        <v>88</v>
      </c>
      <c r="C97" t="s">
        <v>41</v>
      </c>
      <c r="D97" t="s">
        <v>524</v>
      </c>
      <c r="E97" t="s">
        <v>106</v>
      </c>
      <c r="F97" s="37" t="s">
        <v>188</v>
      </c>
      <c r="G97" t="s">
        <v>45</v>
      </c>
      <c r="H97" s="67" t="s">
        <v>126</v>
      </c>
      <c r="I97" s="67"/>
      <c r="J97" s="67"/>
      <c r="K97" s="67"/>
      <c r="L97" s="67" t="s">
        <v>126</v>
      </c>
      <c r="M97" s="67"/>
      <c r="N97" s="67"/>
      <c r="O97" s="67"/>
      <c r="P97"/>
      <c r="Q97"/>
      <c r="R97" t="s">
        <v>525</v>
      </c>
      <c r="S97" t="s">
        <v>526</v>
      </c>
      <c r="T97" t="s">
        <v>527</v>
      </c>
      <c r="U97" t="s">
        <v>528</v>
      </c>
      <c r="V97"/>
      <c r="W97"/>
      <c r="X97" s="37" t="s">
        <v>45</v>
      </c>
      <c r="Y97" t="s">
        <v>45</v>
      </c>
      <c r="Z97"/>
      <c r="AG97" s="2"/>
      <c r="AM97" s="3"/>
    </row>
    <row r="98" spans="1:39" ht="120.75">
      <c r="A98" t="s">
        <v>8</v>
      </c>
      <c r="B98">
        <v>89</v>
      </c>
      <c r="C98" t="s">
        <v>41</v>
      </c>
      <c r="D98" t="s">
        <v>529</v>
      </c>
      <c r="E98" t="s">
        <v>106</v>
      </c>
      <c r="F98" s="37" t="s">
        <v>188</v>
      </c>
      <c r="G98" t="s">
        <v>45</v>
      </c>
      <c r="H98" s="87" t="s">
        <v>17</v>
      </c>
      <c r="I98" s="84" t="s">
        <v>46</v>
      </c>
      <c r="J98" s="84"/>
      <c r="K98" s="78" t="s">
        <v>432</v>
      </c>
      <c r="L98" s="87" t="s">
        <v>433</v>
      </c>
      <c r="M98" s="88" t="s">
        <v>74</v>
      </c>
      <c r="N98" s="88" t="s">
        <v>434</v>
      </c>
      <c r="O98" s="90" t="s">
        <v>435</v>
      </c>
      <c r="P98" s="85"/>
      <c r="Q98" s="85"/>
      <c r="R98" s="85" t="s">
        <v>51</v>
      </c>
      <c r="S98" s="85" t="s">
        <v>530</v>
      </c>
      <c r="T98" s="85" t="s">
        <v>531</v>
      </c>
      <c r="U98" s="85" t="s">
        <v>532</v>
      </c>
      <c r="V98"/>
      <c r="W98"/>
      <c r="X98" s="37" t="s">
        <v>45</v>
      </c>
      <c r="Y98" t="s">
        <v>45</v>
      </c>
      <c r="Z98"/>
      <c r="AG98" s="2"/>
    </row>
    <row r="99" spans="1:39" ht="120.75">
      <c r="A99" t="s">
        <v>8</v>
      </c>
      <c r="B99">
        <v>90</v>
      </c>
      <c r="C99" t="s">
        <v>41</v>
      </c>
      <c r="D99" t="s">
        <v>533</v>
      </c>
      <c r="E99" t="s">
        <v>106</v>
      </c>
      <c r="F99" s="37" t="s">
        <v>139</v>
      </c>
      <c r="G99" t="s">
        <v>45</v>
      </c>
      <c r="H99" s="87" t="s">
        <v>17</v>
      </c>
      <c r="I99" s="84" t="s">
        <v>46</v>
      </c>
      <c r="J99" s="84"/>
      <c r="K99" s="78" t="s">
        <v>432</v>
      </c>
      <c r="L99" s="87" t="s">
        <v>433</v>
      </c>
      <c r="M99" s="88" t="s">
        <v>74</v>
      </c>
      <c r="N99" s="88" t="s">
        <v>434</v>
      </c>
      <c r="O99" s="90" t="s">
        <v>435</v>
      </c>
      <c r="P99" s="85"/>
      <c r="Q99" s="85"/>
      <c r="R99" s="85" t="s">
        <v>227</v>
      </c>
      <c r="S99" s="85" t="s">
        <v>534</v>
      </c>
      <c r="T99" s="85" t="s">
        <v>535</v>
      </c>
      <c r="U99" s="85" t="s">
        <v>536</v>
      </c>
      <c r="V99"/>
      <c r="W99"/>
      <c r="X99" s="37" t="s">
        <v>45</v>
      </c>
      <c r="Y99" t="s">
        <v>45</v>
      </c>
      <c r="Z99"/>
      <c r="AG99" s="2"/>
    </row>
    <row r="100" spans="1:39" ht="15.75">
      <c r="A100" t="s">
        <v>8</v>
      </c>
      <c r="B100">
        <v>91</v>
      </c>
      <c r="C100" t="s">
        <v>41</v>
      </c>
      <c r="D100" t="s">
        <v>537</v>
      </c>
      <c r="E100" t="s">
        <v>106</v>
      </c>
      <c r="F100" s="37" t="s">
        <v>117</v>
      </c>
      <c r="G100" t="s">
        <v>45</v>
      </c>
      <c r="H100" s="67" t="s">
        <v>126</v>
      </c>
      <c r="I100" s="67"/>
      <c r="J100" s="67"/>
      <c r="K100" s="67"/>
      <c r="L100" s="67" t="s">
        <v>126</v>
      </c>
      <c r="M100" s="67"/>
      <c r="N100" s="67"/>
      <c r="O100" s="67"/>
      <c r="P100"/>
      <c r="Q100"/>
      <c r="R100" t="s">
        <v>227</v>
      </c>
      <c r="S100" t="s">
        <v>538</v>
      </c>
      <c r="T100" t="s">
        <v>539</v>
      </c>
      <c r="U100" t="s">
        <v>540</v>
      </c>
      <c r="V100"/>
      <c r="W100"/>
      <c r="X100" s="37"/>
      <c r="Y100" t="s">
        <v>45</v>
      </c>
      <c r="Z100"/>
      <c r="AE100" s="6"/>
      <c r="AG100" s="2"/>
      <c r="AM100" s="3"/>
    </row>
    <row r="101" spans="1:39" ht="15.75">
      <c r="A101" t="s">
        <v>8</v>
      </c>
      <c r="B101">
        <v>92</v>
      </c>
      <c r="C101" t="s">
        <v>41</v>
      </c>
      <c r="D101" t="s">
        <v>541</v>
      </c>
      <c r="E101" t="s">
        <v>106</v>
      </c>
      <c r="F101" s="37" t="s">
        <v>139</v>
      </c>
      <c r="G101" t="s">
        <v>45</v>
      </c>
      <c r="H101" s="67" t="s">
        <v>126</v>
      </c>
      <c r="I101" s="67"/>
      <c r="J101" s="67"/>
      <c r="K101" s="67"/>
      <c r="L101" s="67" t="s">
        <v>126</v>
      </c>
      <c r="M101" s="67"/>
      <c r="N101" s="67"/>
      <c r="O101" s="67"/>
      <c r="P101"/>
      <c r="Q101"/>
      <c r="R101" t="s">
        <v>227</v>
      </c>
      <c r="S101" t="s">
        <v>542</v>
      </c>
      <c r="T101" t="s">
        <v>543</v>
      </c>
      <c r="U101" t="s">
        <v>544</v>
      </c>
      <c r="V101"/>
      <c r="W101"/>
      <c r="X101" s="37" t="s">
        <v>45</v>
      </c>
      <c r="Y101" t="s">
        <v>45</v>
      </c>
      <c r="Z101"/>
      <c r="AE101" s="6"/>
      <c r="AG101" s="2"/>
      <c r="AM101" s="3"/>
    </row>
    <row r="102" spans="1:39" ht="18">
      <c r="A102" t="s">
        <v>8</v>
      </c>
      <c r="B102">
        <v>93</v>
      </c>
      <c r="C102" t="s">
        <v>41</v>
      </c>
      <c r="D102" s="63" t="s">
        <v>545</v>
      </c>
      <c r="E102" t="s">
        <v>106</v>
      </c>
      <c r="F102" s="37" t="s">
        <v>107</v>
      </c>
      <c r="G102" t="s">
        <v>41</v>
      </c>
      <c r="H102" s="67" t="s">
        <v>126</v>
      </c>
      <c r="I102" s="80"/>
      <c r="J102" s="80"/>
      <c r="K102" s="67"/>
      <c r="L102" s="67" t="s">
        <v>126</v>
      </c>
      <c r="M102" s="67"/>
      <c r="N102" s="67"/>
      <c r="O102" s="67"/>
      <c r="P102" t="s">
        <v>111</v>
      </c>
      <c r="Q102" t="s">
        <v>441</v>
      </c>
      <c r="R102" t="s">
        <v>51</v>
      </c>
      <c r="S102" t="s">
        <v>546</v>
      </c>
      <c r="T102" t="s">
        <v>547</v>
      </c>
      <c r="U102"/>
      <c r="V102"/>
      <c r="W102"/>
      <c r="X102" s="37"/>
      <c r="Y102" t="s">
        <v>45</v>
      </c>
      <c r="Z102"/>
      <c r="AE102" s="6"/>
      <c r="AG102" s="2"/>
    </row>
    <row r="103" spans="1:39" ht="18">
      <c r="A103" t="s">
        <v>8</v>
      </c>
      <c r="B103">
        <v>94</v>
      </c>
      <c r="C103" t="s">
        <v>41</v>
      </c>
      <c r="D103" s="63" t="s">
        <v>548</v>
      </c>
      <c r="E103" t="s">
        <v>106</v>
      </c>
      <c r="F103" s="37" t="s">
        <v>151</v>
      </c>
      <c r="G103" t="s">
        <v>41</v>
      </c>
      <c r="H103" s="67" t="s">
        <v>126</v>
      </c>
      <c r="I103" s="80"/>
      <c r="J103" s="80"/>
      <c r="K103" s="67"/>
      <c r="L103" s="67" t="s">
        <v>126</v>
      </c>
      <c r="M103" s="67"/>
      <c r="N103" s="67"/>
      <c r="O103" s="67"/>
      <c r="P103"/>
      <c r="Q103"/>
      <c r="R103" t="s">
        <v>51</v>
      </c>
      <c r="S103" t="s">
        <v>549</v>
      </c>
      <c r="T103" t="s">
        <v>550</v>
      </c>
      <c r="U103"/>
      <c r="V103"/>
      <c r="W103"/>
      <c r="X103" s="37"/>
      <c r="Y103" t="s">
        <v>45</v>
      </c>
      <c r="Z103"/>
      <c r="AE103" s="6"/>
      <c r="AG103" s="2"/>
    </row>
    <row r="104" spans="1:39" ht="18">
      <c r="A104" t="s">
        <v>8</v>
      </c>
      <c r="B104">
        <v>95</v>
      </c>
      <c r="C104" t="s">
        <v>41</v>
      </c>
      <c r="D104" s="63" t="s">
        <v>551</v>
      </c>
      <c r="E104" t="s">
        <v>106</v>
      </c>
      <c r="F104" s="37" t="s">
        <v>151</v>
      </c>
      <c r="G104" t="s">
        <v>41</v>
      </c>
      <c r="H104" s="67" t="s">
        <v>126</v>
      </c>
      <c r="I104" s="80"/>
      <c r="J104" s="80"/>
      <c r="K104" s="67"/>
      <c r="L104" s="67" t="s">
        <v>126</v>
      </c>
      <c r="M104" s="67"/>
      <c r="N104" s="67"/>
      <c r="O104" s="67"/>
      <c r="P104"/>
      <c r="Q104"/>
      <c r="R104" t="s">
        <v>51</v>
      </c>
      <c r="S104" t="s">
        <v>552</v>
      </c>
      <c r="T104" t="s">
        <v>553</v>
      </c>
      <c r="U104"/>
      <c r="V104"/>
      <c r="W104"/>
      <c r="X104" s="37"/>
      <c r="Y104" t="s">
        <v>45</v>
      </c>
      <c r="Z104"/>
      <c r="AE104" s="6"/>
      <c r="AG104" s="2"/>
    </row>
    <row r="105" spans="1:39" ht="18">
      <c r="A105" t="s">
        <v>8</v>
      </c>
      <c r="B105">
        <v>96</v>
      </c>
      <c r="C105" t="s">
        <v>41</v>
      </c>
      <c r="D105" s="63" t="s">
        <v>554</v>
      </c>
      <c r="E105" t="s">
        <v>106</v>
      </c>
      <c r="F105" s="37" t="s">
        <v>151</v>
      </c>
      <c r="G105" t="s">
        <v>41</v>
      </c>
      <c r="H105" s="67" t="s">
        <v>126</v>
      </c>
      <c r="I105" s="80"/>
      <c r="J105" s="80"/>
      <c r="K105" s="67"/>
      <c r="L105" s="67" t="s">
        <v>126</v>
      </c>
      <c r="M105" s="67"/>
      <c r="N105" s="67"/>
      <c r="O105" s="67"/>
      <c r="P105"/>
      <c r="Q105"/>
      <c r="R105" t="s">
        <v>51</v>
      </c>
      <c r="S105" t="s">
        <v>555</v>
      </c>
      <c r="T105" t="s">
        <v>556</v>
      </c>
      <c r="U105"/>
      <c r="V105"/>
      <c r="W105"/>
      <c r="X105" s="37"/>
      <c r="Y105" t="s">
        <v>45</v>
      </c>
      <c r="Z105"/>
      <c r="AE105" s="6"/>
      <c r="AG105" s="2"/>
    </row>
    <row r="106" spans="1:39" ht="18">
      <c r="A106" t="s">
        <v>8</v>
      </c>
      <c r="B106">
        <v>97</v>
      </c>
      <c r="C106" t="s">
        <v>41</v>
      </c>
      <c r="D106" s="63" t="s">
        <v>557</v>
      </c>
      <c r="E106" t="s">
        <v>106</v>
      </c>
      <c r="F106" s="37" t="s">
        <v>145</v>
      </c>
      <c r="G106" t="s">
        <v>41</v>
      </c>
      <c r="H106" s="67" t="s">
        <v>126</v>
      </c>
      <c r="I106" s="80"/>
      <c r="J106" s="80"/>
      <c r="K106" s="67"/>
      <c r="L106" s="67" t="s">
        <v>126</v>
      </c>
      <c r="M106" s="67"/>
      <c r="N106" s="67"/>
      <c r="O106" s="67"/>
      <c r="P106"/>
      <c r="Q106"/>
      <c r="R106" t="s">
        <v>51</v>
      </c>
      <c r="S106" t="s">
        <v>558</v>
      </c>
      <c r="T106" t="s">
        <v>559</v>
      </c>
      <c r="U106"/>
      <c r="V106"/>
      <c r="W106"/>
      <c r="X106" s="37"/>
      <c r="Y106" t="s">
        <v>45</v>
      </c>
      <c r="Z106"/>
      <c r="AE106" s="6"/>
      <c r="AG106" s="2"/>
    </row>
    <row r="107" spans="1:39" ht="18">
      <c r="A107" t="s">
        <v>8</v>
      </c>
      <c r="B107">
        <v>98</v>
      </c>
      <c r="C107" t="s">
        <v>41</v>
      </c>
      <c r="D107" s="63" t="s">
        <v>560</v>
      </c>
      <c r="E107" t="s">
        <v>106</v>
      </c>
      <c r="F107" s="37" t="s">
        <v>145</v>
      </c>
      <c r="G107" t="s">
        <v>41</v>
      </c>
      <c r="H107" s="67" t="s">
        <v>126</v>
      </c>
      <c r="I107" s="80"/>
      <c r="J107" s="80"/>
      <c r="K107" s="67"/>
      <c r="L107" s="67" t="s">
        <v>126</v>
      </c>
      <c r="M107" s="67"/>
      <c r="N107" s="67"/>
      <c r="O107" s="67"/>
      <c r="P107"/>
      <c r="Q107"/>
      <c r="R107" t="s">
        <v>51</v>
      </c>
      <c r="S107" t="s">
        <v>561</v>
      </c>
      <c r="T107" t="s">
        <v>562</v>
      </c>
      <c r="U107"/>
      <c r="V107"/>
      <c r="W107"/>
      <c r="X107" s="37"/>
      <c r="Y107" t="s">
        <v>45</v>
      </c>
      <c r="Z107"/>
      <c r="AE107" s="6"/>
      <c r="AG107" s="2"/>
    </row>
    <row r="108" spans="1:39" ht="18">
      <c r="A108" t="s">
        <v>8</v>
      </c>
      <c r="B108">
        <v>99</v>
      </c>
      <c r="C108" t="s">
        <v>41</v>
      </c>
      <c r="D108" s="63" t="s">
        <v>563</v>
      </c>
      <c r="E108" t="s">
        <v>106</v>
      </c>
      <c r="F108" s="37" t="s">
        <v>564</v>
      </c>
      <c r="G108" t="s">
        <v>41</v>
      </c>
      <c r="H108" s="67" t="s">
        <v>126</v>
      </c>
      <c r="I108" s="80"/>
      <c r="J108" s="80"/>
      <c r="K108" s="67"/>
      <c r="L108" s="67" t="s">
        <v>126</v>
      </c>
      <c r="M108" s="67"/>
      <c r="N108" s="67"/>
      <c r="O108" s="67"/>
      <c r="P108"/>
      <c r="Q108"/>
      <c r="R108" t="s">
        <v>51</v>
      </c>
      <c r="S108" t="s">
        <v>565</v>
      </c>
      <c r="T108" t="s">
        <v>566</v>
      </c>
      <c r="U108"/>
      <c r="V108"/>
      <c r="W108"/>
      <c r="X108" s="37"/>
      <c r="Y108" t="s">
        <v>45</v>
      </c>
      <c r="Z108"/>
      <c r="AE108" s="6"/>
      <c r="AG108" s="2"/>
    </row>
    <row r="109" spans="1:39" ht="18">
      <c r="A109" t="s">
        <v>8</v>
      </c>
      <c r="B109">
        <v>100</v>
      </c>
      <c r="C109" t="s">
        <v>41</v>
      </c>
      <c r="D109" s="63" t="s">
        <v>567</v>
      </c>
      <c r="E109" t="s">
        <v>106</v>
      </c>
      <c r="F109" s="37" t="s">
        <v>564</v>
      </c>
      <c r="G109" t="s">
        <v>41</v>
      </c>
      <c r="H109" s="67" t="s">
        <v>126</v>
      </c>
      <c r="I109" s="80"/>
      <c r="J109" s="80"/>
      <c r="K109" s="67"/>
      <c r="L109" s="67" t="s">
        <v>126</v>
      </c>
      <c r="M109" s="67"/>
      <c r="N109" s="67"/>
      <c r="O109" s="67"/>
      <c r="P109"/>
      <c r="Q109"/>
      <c r="R109" t="s">
        <v>51</v>
      </c>
      <c r="S109" t="s">
        <v>568</v>
      </c>
      <c r="T109" t="s">
        <v>569</v>
      </c>
      <c r="U109"/>
      <c r="V109"/>
      <c r="W109"/>
      <c r="X109" s="37"/>
      <c r="Y109" t="s">
        <v>45</v>
      </c>
      <c r="Z109"/>
      <c r="AE109" s="6"/>
      <c r="AG109" s="2"/>
    </row>
    <row r="110" spans="1:39" ht="18">
      <c r="A110" t="s">
        <v>8</v>
      </c>
      <c r="B110">
        <v>101</v>
      </c>
      <c r="C110" t="s">
        <v>41</v>
      </c>
      <c r="D110" s="63" t="s">
        <v>570</v>
      </c>
      <c r="E110" t="s">
        <v>106</v>
      </c>
      <c r="F110" s="37" t="s">
        <v>159</v>
      </c>
      <c r="G110" t="s">
        <v>41</v>
      </c>
      <c r="H110" s="67" t="s">
        <v>126</v>
      </c>
      <c r="I110" s="80"/>
      <c r="J110" s="80"/>
      <c r="K110" s="67"/>
      <c r="L110" s="67" t="s">
        <v>126</v>
      </c>
      <c r="M110" s="67"/>
      <c r="N110" s="67"/>
      <c r="O110" s="67"/>
      <c r="P110"/>
      <c r="Q110"/>
      <c r="R110" t="s">
        <v>51</v>
      </c>
      <c r="S110" t="s">
        <v>571</v>
      </c>
      <c r="T110" t="s">
        <v>572</v>
      </c>
      <c r="U110"/>
      <c r="V110"/>
      <c r="W110"/>
      <c r="X110" s="37"/>
      <c r="Y110" t="s">
        <v>45</v>
      </c>
      <c r="Z110"/>
      <c r="AE110" s="6"/>
      <c r="AG110" s="2"/>
    </row>
    <row r="111" spans="1:39" ht="18">
      <c r="A111" t="s">
        <v>8</v>
      </c>
      <c r="B111">
        <v>102</v>
      </c>
      <c r="C111" t="s">
        <v>41</v>
      </c>
      <c r="D111" s="63" t="s">
        <v>573</v>
      </c>
      <c r="E111" t="s">
        <v>106</v>
      </c>
      <c r="F111" s="37" t="s">
        <v>159</v>
      </c>
      <c r="G111" t="s">
        <v>41</v>
      </c>
      <c r="H111" s="67" t="s">
        <v>126</v>
      </c>
      <c r="I111" s="80"/>
      <c r="J111" s="80"/>
      <c r="K111" s="67"/>
      <c r="L111" s="67" t="s">
        <v>126</v>
      </c>
      <c r="M111" s="67"/>
      <c r="N111" s="67"/>
      <c r="O111" s="67"/>
      <c r="P111"/>
      <c r="Q111"/>
      <c r="R111" t="s">
        <v>51</v>
      </c>
      <c r="S111" t="s">
        <v>574</v>
      </c>
      <c r="T111" t="s">
        <v>575</v>
      </c>
      <c r="U111"/>
      <c r="V111"/>
      <c r="W111"/>
      <c r="X111" s="37"/>
      <c r="Y111" t="s">
        <v>45</v>
      </c>
      <c r="Z111"/>
      <c r="AE111" s="6"/>
      <c r="AG111" s="2"/>
    </row>
    <row r="112" spans="1:39" ht="18">
      <c r="A112" t="s">
        <v>8</v>
      </c>
      <c r="B112">
        <v>103</v>
      </c>
      <c r="C112" t="s">
        <v>41</v>
      </c>
      <c r="D112" s="63" t="s">
        <v>576</v>
      </c>
      <c r="E112" t="s">
        <v>106</v>
      </c>
      <c r="F112" s="37" t="s">
        <v>145</v>
      </c>
      <c r="G112" t="s">
        <v>41</v>
      </c>
      <c r="H112" s="67" t="s">
        <v>126</v>
      </c>
      <c r="I112" s="80"/>
      <c r="J112" s="80"/>
      <c r="K112" s="67"/>
      <c r="L112" s="67" t="s">
        <v>126</v>
      </c>
      <c r="M112" s="67"/>
      <c r="N112" s="67"/>
      <c r="O112" s="67"/>
      <c r="P112"/>
      <c r="Q112"/>
      <c r="R112" t="s">
        <v>51</v>
      </c>
      <c r="S112" t="s">
        <v>577</v>
      </c>
      <c r="T112" t="s">
        <v>578</v>
      </c>
      <c r="U112"/>
      <c r="V112"/>
      <c r="W112"/>
      <c r="X112" s="37"/>
      <c r="Y112" t="s">
        <v>45</v>
      </c>
      <c r="Z112"/>
      <c r="AE112" s="6"/>
      <c r="AG112" s="2"/>
    </row>
    <row r="113" spans="1:39" ht="18">
      <c r="A113" t="s">
        <v>8</v>
      </c>
      <c r="B113">
        <v>104</v>
      </c>
      <c r="C113" t="s">
        <v>41</v>
      </c>
      <c r="D113" s="63" t="s">
        <v>579</v>
      </c>
      <c r="E113" t="s">
        <v>106</v>
      </c>
      <c r="F113" s="37" t="s">
        <v>145</v>
      </c>
      <c r="G113" t="s">
        <v>41</v>
      </c>
      <c r="H113" s="67" t="s">
        <v>126</v>
      </c>
      <c r="I113" s="80"/>
      <c r="J113" s="80"/>
      <c r="K113" s="67"/>
      <c r="L113" s="67" t="s">
        <v>126</v>
      </c>
      <c r="M113" s="67"/>
      <c r="N113" s="67"/>
      <c r="O113" s="67"/>
      <c r="P113"/>
      <c r="Q113"/>
      <c r="R113" t="s">
        <v>51</v>
      </c>
      <c r="S113" t="s">
        <v>580</v>
      </c>
      <c r="T113" t="s">
        <v>581</v>
      </c>
      <c r="U113"/>
      <c r="V113"/>
      <c r="W113"/>
      <c r="X113" s="37"/>
      <c r="Y113" t="s">
        <v>45</v>
      </c>
      <c r="Z113"/>
      <c r="AE113" s="6"/>
      <c r="AG113" s="2"/>
    </row>
    <row r="114" spans="1:39" ht="18">
      <c r="A114" t="s">
        <v>8</v>
      </c>
      <c r="B114">
        <v>105</v>
      </c>
      <c r="C114" t="s">
        <v>41</v>
      </c>
      <c r="D114" s="63" t="s">
        <v>582</v>
      </c>
      <c r="E114" t="s">
        <v>106</v>
      </c>
      <c r="F114" s="37" t="s">
        <v>145</v>
      </c>
      <c r="G114" t="s">
        <v>41</v>
      </c>
      <c r="H114" s="67" t="s">
        <v>126</v>
      </c>
      <c r="I114" s="80"/>
      <c r="J114" s="80"/>
      <c r="K114" s="67"/>
      <c r="L114" s="67" t="s">
        <v>126</v>
      </c>
      <c r="M114" s="67"/>
      <c r="N114" s="67"/>
      <c r="O114" s="67"/>
      <c r="P114"/>
      <c r="Q114"/>
      <c r="R114" t="s">
        <v>51</v>
      </c>
      <c r="S114" t="s">
        <v>583</v>
      </c>
      <c r="T114" t="s">
        <v>584</v>
      </c>
      <c r="U114"/>
      <c r="V114"/>
      <c r="W114"/>
      <c r="X114" s="37"/>
      <c r="Y114" t="s">
        <v>45</v>
      </c>
      <c r="Z114"/>
      <c r="AE114" s="6"/>
      <c r="AG114" s="2"/>
    </row>
    <row r="115" spans="1:39" ht="18">
      <c r="A115" t="s">
        <v>8</v>
      </c>
      <c r="B115">
        <v>106</v>
      </c>
      <c r="C115" t="s">
        <v>41</v>
      </c>
      <c r="D115" s="63" t="s">
        <v>585</v>
      </c>
      <c r="E115" t="s">
        <v>106</v>
      </c>
      <c r="F115" s="37" t="s">
        <v>586</v>
      </c>
      <c r="G115" t="s">
        <v>41</v>
      </c>
      <c r="H115" s="67" t="s">
        <v>126</v>
      </c>
      <c r="I115" s="80"/>
      <c r="J115" s="80"/>
      <c r="K115" s="67"/>
      <c r="L115" s="67" t="s">
        <v>126</v>
      </c>
      <c r="M115" s="67"/>
      <c r="N115" s="67"/>
      <c r="O115" s="67"/>
      <c r="P115"/>
      <c r="Q115"/>
      <c r="R115" t="s">
        <v>51</v>
      </c>
      <c r="S115" t="s">
        <v>587</v>
      </c>
      <c r="T115" t="s">
        <v>588</v>
      </c>
      <c r="U115"/>
      <c r="V115"/>
      <c r="W115"/>
      <c r="X115" s="37"/>
      <c r="Y115" t="s">
        <v>45</v>
      </c>
      <c r="Z115"/>
      <c r="AE115" s="6"/>
      <c r="AG115" s="2"/>
    </row>
    <row r="116" spans="1:39" ht="409.5" customHeight="1">
      <c r="A116" t="s">
        <v>8</v>
      </c>
      <c r="B116">
        <v>107</v>
      </c>
      <c r="C116" t="s">
        <v>41</v>
      </c>
      <c r="D116" t="s">
        <v>589</v>
      </c>
      <c r="E116" t="s">
        <v>106</v>
      </c>
      <c r="F116" s="37" t="s">
        <v>564</v>
      </c>
      <c r="G116" t="s">
        <v>41</v>
      </c>
      <c r="H116" s="87" t="s">
        <v>17</v>
      </c>
      <c r="I116" s="84" t="s">
        <v>152</v>
      </c>
      <c r="J116" s="84"/>
      <c r="K116" s="78" t="s">
        <v>590</v>
      </c>
      <c r="L116" s="119" t="s">
        <v>591</v>
      </c>
      <c r="M116" s="88" t="s">
        <v>74</v>
      </c>
      <c r="N116" s="88" t="s">
        <v>592</v>
      </c>
      <c r="O116" s="90" t="s">
        <v>593</v>
      </c>
      <c r="P116" s="85"/>
      <c r="Q116" s="85"/>
      <c r="R116" s="85" t="s">
        <v>51</v>
      </c>
      <c r="S116" s="85" t="s">
        <v>594</v>
      </c>
      <c r="T116" s="85" t="s">
        <v>595</v>
      </c>
      <c r="U116" s="85"/>
      <c r="V116"/>
      <c r="W116"/>
      <c r="X116" s="37" t="s">
        <v>45</v>
      </c>
      <c r="Y116" t="s">
        <v>45</v>
      </c>
      <c r="Z116"/>
      <c r="AE116" s="6"/>
      <c r="AG116" s="2"/>
    </row>
    <row r="117" spans="1:39" ht="120.75">
      <c r="A117" t="s">
        <v>8</v>
      </c>
      <c r="B117">
        <v>108</v>
      </c>
      <c r="C117" t="s">
        <v>41</v>
      </c>
      <c r="D117" t="s">
        <v>596</v>
      </c>
      <c r="E117" t="s">
        <v>106</v>
      </c>
      <c r="F117" s="37" t="s">
        <v>188</v>
      </c>
      <c r="G117" t="s">
        <v>41</v>
      </c>
      <c r="H117" s="87" t="s">
        <v>17</v>
      </c>
      <c r="I117" s="84" t="s">
        <v>46</v>
      </c>
      <c r="J117" s="84"/>
      <c r="K117" s="78" t="s">
        <v>432</v>
      </c>
      <c r="L117" s="87" t="s">
        <v>433</v>
      </c>
      <c r="M117" s="88" t="s">
        <v>74</v>
      </c>
      <c r="N117" s="88" t="s">
        <v>434</v>
      </c>
      <c r="O117" s="90" t="s">
        <v>597</v>
      </c>
      <c r="P117" s="85"/>
      <c r="Q117" s="85"/>
      <c r="R117" s="85" t="s">
        <v>598</v>
      </c>
      <c r="S117" s="85" t="s">
        <v>599</v>
      </c>
      <c r="T117" s="85" t="s">
        <v>600</v>
      </c>
      <c r="U117" s="85"/>
      <c r="V117"/>
      <c r="W117"/>
      <c r="X117" s="37" t="s">
        <v>45</v>
      </c>
      <c r="Y117" t="s">
        <v>45</v>
      </c>
      <c r="Z117"/>
      <c r="AE117" s="6"/>
      <c r="AG117" s="2"/>
    </row>
    <row r="118" spans="1:39" ht="62.25">
      <c r="A118" t="s">
        <v>8</v>
      </c>
      <c r="B118">
        <v>109</v>
      </c>
      <c r="C118" t="s">
        <v>41</v>
      </c>
      <c r="D118" t="s">
        <v>601</v>
      </c>
      <c r="E118" t="s">
        <v>106</v>
      </c>
      <c r="F118" t="s">
        <v>107</v>
      </c>
      <c r="G118" t="s">
        <v>45</v>
      </c>
      <c r="H118" s="67" t="s">
        <v>17</v>
      </c>
      <c r="I118" s="80" t="s">
        <v>108</v>
      </c>
      <c r="J118" s="80"/>
      <c r="K118" s="67"/>
      <c r="L118" s="90" t="s">
        <v>602</v>
      </c>
      <c r="M118" s="88"/>
      <c r="N118" s="69"/>
      <c r="O118" s="81" t="s">
        <v>110</v>
      </c>
      <c r="P118" t="s">
        <v>111</v>
      </c>
      <c r="Q118" t="s">
        <v>603</v>
      </c>
      <c r="R118" t="s">
        <v>56</v>
      </c>
      <c r="S118"/>
      <c r="T118" t="s">
        <v>604</v>
      </c>
      <c r="U118" t="s">
        <v>605</v>
      </c>
      <c r="V118"/>
      <c r="W118"/>
      <c r="X118" t="s">
        <v>45</v>
      </c>
      <c r="Y118" t="s">
        <v>45</v>
      </c>
      <c r="Z118"/>
      <c r="AE118" s="6"/>
      <c r="AG118" s="2"/>
    </row>
    <row r="119" spans="1:39" ht="30">
      <c r="A119" t="s">
        <v>8</v>
      </c>
      <c r="B119">
        <v>110</v>
      </c>
      <c r="C119" t="s">
        <v>41</v>
      </c>
      <c r="D119" t="s">
        <v>606</v>
      </c>
      <c r="E119" t="s">
        <v>82</v>
      </c>
      <c r="F119" t="s">
        <v>83</v>
      </c>
      <c r="G119" t="s">
        <v>41</v>
      </c>
      <c r="H119" s="87" t="s">
        <v>17</v>
      </c>
      <c r="I119" s="84" t="s">
        <v>46</v>
      </c>
      <c r="J119" s="84"/>
      <c r="K119" s="78" t="s">
        <v>72</v>
      </c>
      <c r="L119" s="87" t="s">
        <v>73</v>
      </c>
      <c r="M119" s="88" t="s">
        <v>49</v>
      </c>
      <c r="N119" s="88" t="s">
        <v>50</v>
      </c>
      <c r="O119" s="88"/>
      <c r="P119" s="85"/>
      <c r="Q119" s="85"/>
      <c r="R119" s="85" t="s">
        <v>607</v>
      </c>
      <c r="S119" s="85"/>
      <c r="T119" s="85" t="s">
        <v>608</v>
      </c>
      <c r="U119" s="85" t="s">
        <v>609</v>
      </c>
      <c r="V119"/>
      <c r="W119"/>
      <c r="X119"/>
      <c r="Y119" t="s">
        <v>45</v>
      </c>
      <c r="Z119"/>
      <c r="AE119" s="6"/>
      <c r="AG119" s="2"/>
      <c r="AM119" s="3"/>
    </row>
    <row r="120" spans="1:39" ht="75.75">
      <c r="A120" t="s">
        <v>8</v>
      </c>
      <c r="B120">
        <v>111</v>
      </c>
      <c r="C120" t="s">
        <v>41</v>
      </c>
      <c r="D120" t="s">
        <v>610</v>
      </c>
      <c r="E120" t="s">
        <v>106</v>
      </c>
      <c r="F120" t="s">
        <v>139</v>
      </c>
      <c r="G120" t="s">
        <v>41</v>
      </c>
      <c r="H120" s="87" t="s">
        <v>17</v>
      </c>
      <c r="I120" s="84" t="s">
        <v>46</v>
      </c>
      <c r="J120" s="84"/>
      <c r="K120" s="78" t="s">
        <v>72</v>
      </c>
      <c r="L120" s="87" t="s">
        <v>73</v>
      </c>
      <c r="M120" s="88" t="s">
        <v>74</v>
      </c>
      <c r="N120" s="90" t="s">
        <v>611</v>
      </c>
      <c r="O120" s="90" t="s">
        <v>612</v>
      </c>
      <c r="P120" s="85" t="s">
        <v>111</v>
      </c>
      <c r="Q120" s="85" t="s">
        <v>613</v>
      </c>
      <c r="R120" s="85" t="s">
        <v>607</v>
      </c>
      <c r="S120" s="85"/>
      <c r="T120" s="85" t="s">
        <v>614</v>
      </c>
      <c r="U120" s="85" t="s">
        <v>615</v>
      </c>
      <c r="V120"/>
      <c r="W120"/>
      <c r="X120"/>
      <c r="Y120" t="s">
        <v>45</v>
      </c>
      <c r="Z120"/>
      <c r="AE120" s="6"/>
      <c r="AG120" s="2"/>
      <c r="AM120" s="3"/>
    </row>
    <row r="121" spans="1:39" ht="75.75">
      <c r="A121" t="s">
        <v>8</v>
      </c>
      <c r="B121">
        <v>112</v>
      </c>
      <c r="C121" t="s">
        <v>41</v>
      </c>
      <c r="D121" t="s">
        <v>616</v>
      </c>
      <c r="E121" t="s">
        <v>106</v>
      </c>
      <c r="F121" s="37" t="s">
        <v>117</v>
      </c>
      <c r="G121" t="s">
        <v>41</v>
      </c>
      <c r="H121" s="87" t="s">
        <v>17</v>
      </c>
      <c r="I121" s="84" t="s">
        <v>46</v>
      </c>
      <c r="J121" s="84"/>
      <c r="K121" s="78" t="s">
        <v>72</v>
      </c>
      <c r="L121" s="87" t="s">
        <v>73</v>
      </c>
      <c r="M121" s="88" t="s">
        <v>74</v>
      </c>
      <c r="N121" s="88" t="s">
        <v>617</v>
      </c>
      <c r="O121" s="90" t="s">
        <v>618</v>
      </c>
      <c r="P121" s="85" t="s">
        <v>111</v>
      </c>
      <c r="Q121" s="85" t="s">
        <v>619</v>
      </c>
      <c r="R121" s="85" t="s">
        <v>607</v>
      </c>
      <c r="S121" s="85"/>
      <c r="T121" s="85" t="s">
        <v>620</v>
      </c>
      <c r="U121" s="85" t="s">
        <v>621</v>
      </c>
      <c r="V121"/>
      <c r="W121"/>
      <c r="X121" s="37" t="s">
        <v>45</v>
      </c>
      <c r="Y121" t="s">
        <v>45</v>
      </c>
      <c r="Z121"/>
      <c r="AE121" s="15"/>
      <c r="AG121" s="2"/>
      <c r="AM121" s="3"/>
    </row>
    <row r="122" spans="1:39" ht="15.75">
      <c r="A122" t="s">
        <v>8</v>
      </c>
      <c r="B122">
        <v>113</v>
      </c>
      <c r="C122" t="s">
        <v>41</v>
      </c>
      <c r="D122" t="s">
        <v>622</v>
      </c>
      <c r="E122" t="s">
        <v>106</v>
      </c>
      <c r="F122" t="s">
        <v>159</v>
      </c>
      <c r="G122" t="s">
        <v>41</v>
      </c>
      <c r="H122" s="67" t="s">
        <v>126</v>
      </c>
      <c r="I122" s="67"/>
      <c r="J122" s="67"/>
      <c r="K122" s="67"/>
      <c r="L122" s="67" t="s">
        <v>126</v>
      </c>
      <c r="M122" s="67"/>
      <c r="N122" s="67"/>
      <c r="O122" s="67"/>
      <c r="P122"/>
      <c r="Q122"/>
      <c r="R122" t="s">
        <v>227</v>
      </c>
      <c r="S122" t="s">
        <v>623</v>
      </c>
      <c r="T122" t="s">
        <v>624</v>
      </c>
      <c r="U122" t="s">
        <v>625</v>
      </c>
      <c r="V122"/>
      <c r="W122"/>
      <c r="X122" t="s">
        <v>45</v>
      </c>
      <c r="Y122" t="s">
        <v>45</v>
      </c>
      <c r="Z122"/>
      <c r="AG122" s="2"/>
      <c r="AM122" s="3"/>
    </row>
    <row r="123" spans="1:39" ht="45">
      <c r="A123" t="s">
        <v>8</v>
      </c>
      <c r="B123">
        <v>114</v>
      </c>
      <c r="C123" t="s">
        <v>41</v>
      </c>
      <c r="D123" t="s">
        <v>626</v>
      </c>
      <c r="E123" t="s">
        <v>82</v>
      </c>
      <c r="F123" t="s">
        <v>83</v>
      </c>
      <c r="G123" t="s">
        <v>45</v>
      </c>
      <c r="H123" s="67" t="s">
        <v>17</v>
      </c>
      <c r="I123" s="80" t="s">
        <v>46</v>
      </c>
      <c r="J123" s="80"/>
      <c r="K123" s="67"/>
      <c r="L123" s="67" t="s">
        <v>627</v>
      </c>
      <c r="M123" s="88"/>
      <c r="N123" s="67"/>
      <c r="O123" s="81" t="s">
        <v>110</v>
      </c>
      <c r="P123"/>
      <c r="Q123"/>
      <c r="R123" t="s">
        <v>628</v>
      </c>
      <c r="S123"/>
      <c r="T123" t="s">
        <v>629</v>
      </c>
      <c r="U123" t="s">
        <v>630</v>
      </c>
      <c r="V123"/>
      <c r="W123"/>
      <c r="X123"/>
      <c r="Y123" t="s">
        <v>45</v>
      </c>
      <c r="Z123"/>
      <c r="AB123" s="2" t="s">
        <v>67</v>
      </c>
      <c r="AC123" s="2" t="s">
        <v>57</v>
      </c>
      <c r="AD123" s="2">
        <v>32</v>
      </c>
      <c r="AE123" s="9" t="s">
        <v>631</v>
      </c>
      <c r="AG123" s="2"/>
      <c r="AM123" s="3"/>
    </row>
    <row r="124" spans="1:39" ht="60.75">
      <c r="A124" t="s">
        <v>8</v>
      </c>
      <c r="B124">
        <v>115</v>
      </c>
      <c r="C124" t="s">
        <v>41</v>
      </c>
      <c r="D124" t="s">
        <v>632</v>
      </c>
      <c r="E124" t="s">
        <v>106</v>
      </c>
      <c r="F124" t="s">
        <v>107</v>
      </c>
      <c r="G124" t="s">
        <v>45</v>
      </c>
      <c r="H124" s="87" t="s">
        <v>17</v>
      </c>
      <c r="I124" s="84" t="s">
        <v>633</v>
      </c>
      <c r="J124" s="84"/>
      <c r="K124" s="78" t="s">
        <v>634</v>
      </c>
      <c r="L124" s="87" t="s">
        <v>73</v>
      </c>
      <c r="M124" s="88" t="s">
        <v>74</v>
      </c>
      <c r="N124" s="88" t="s">
        <v>434</v>
      </c>
      <c r="O124" s="90" t="s">
        <v>635</v>
      </c>
      <c r="P124" s="85" t="s">
        <v>111</v>
      </c>
      <c r="Q124" s="85" t="s">
        <v>636</v>
      </c>
      <c r="R124" s="85" t="s">
        <v>637</v>
      </c>
      <c r="S124" s="85" t="s">
        <v>638</v>
      </c>
      <c r="T124" s="85" t="s">
        <v>639</v>
      </c>
      <c r="U124" s="85" t="s">
        <v>640</v>
      </c>
      <c r="V124"/>
      <c r="W124"/>
      <c r="X124" t="s">
        <v>45</v>
      </c>
      <c r="Y124" t="s">
        <v>45</v>
      </c>
      <c r="Z124"/>
      <c r="AB124" s="2" t="s">
        <v>67</v>
      </c>
      <c r="AC124" s="2" t="s">
        <v>57</v>
      </c>
      <c r="AD124" s="2">
        <v>33</v>
      </c>
      <c r="AE124" s="9" t="s">
        <v>641</v>
      </c>
      <c r="AG124" s="2"/>
      <c r="AM124" s="3"/>
    </row>
    <row r="125" spans="1:39" ht="52.5">
      <c r="A125" t="s">
        <v>8</v>
      </c>
      <c r="B125">
        <v>116</v>
      </c>
      <c r="C125" t="s">
        <v>41</v>
      </c>
      <c r="D125" t="s">
        <v>642</v>
      </c>
      <c r="E125" t="s">
        <v>106</v>
      </c>
      <c r="F125" t="s">
        <v>107</v>
      </c>
      <c r="G125" t="s">
        <v>45</v>
      </c>
      <c r="H125" s="87" t="s">
        <v>17</v>
      </c>
      <c r="I125" s="84" t="s">
        <v>205</v>
      </c>
      <c r="J125" s="84"/>
      <c r="K125" s="78" t="s">
        <v>643</v>
      </c>
      <c r="L125" s="78" t="s">
        <v>644</v>
      </c>
      <c r="M125" s="88" t="s">
        <v>49</v>
      </c>
      <c r="N125" s="88" t="s">
        <v>50</v>
      </c>
      <c r="O125" s="88"/>
      <c r="P125" s="85" t="s">
        <v>111</v>
      </c>
      <c r="Q125" s="85" t="s">
        <v>645</v>
      </c>
      <c r="R125" s="85" t="s">
        <v>51</v>
      </c>
      <c r="S125" s="85" t="s">
        <v>646</v>
      </c>
      <c r="T125" s="85" t="s">
        <v>647</v>
      </c>
      <c r="U125" s="85" t="s">
        <v>648</v>
      </c>
      <c r="V125"/>
      <c r="W125"/>
      <c r="X125" t="s">
        <v>45</v>
      </c>
      <c r="Y125" t="s">
        <v>45</v>
      </c>
      <c r="Z125"/>
      <c r="AB125" s="2" t="s">
        <v>67</v>
      </c>
      <c r="AC125" s="2" t="s">
        <v>57</v>
      </c>
      <c r="AD125" s="2">
        <v>39</v>
      </c>
      <c r="AE125" s="9" t="s">
        <v>649</v>
      </c>
      <c r="AG125" s="2"/>
      <c r="AM125" s="3"/>
    </row>
    <row r="126" spans="1:39" ht="15.75">
      <c r="A126" t="s">
        <v>8</v>
      </c>
      <c r="B126">
        <v>117</v>
      </c>
      <c r="C126" t="s">
        <v>41</v>
      </c>
      <c r="D126" t="s">
        <v>650</v>
      </c>
      <c r="E126" t="s">
        <v>43</v>
      </c>
      <c r="F126" s="37" t="s">
        <v>651</v>
      </c>
      <c r="G126" t="s">
        <v>41</v>
      </c>
      <c r="H126" s="67" t="s">
        <v>126</v>
      </c>
      <c r="I126" s="67"/>
      <c r="J126" s="67"/>
      <c r="K126" s="67"/>
      <c r="L126" s="67" t="s">
        <v>126</v>
      </c>
      <c r="M126" s="67"/>
      <c r="N126" s="67"/>
      <c r="O126" s="67"/>
      <c r="P126"/>
      <c r="Q126"/>
      <c r="R126" t="s">
        <v>56</v>
      </c>
      <c r="S126"/>
      <c r="T126" t="s">
        <v>652</v>
      </c>
      <c r="U126" t="s">
        <v>653</v>
      </c>
      <c r="V126"/>
      <c r="W126"/>
      <c r="X126" s="37" t="s">
        <v>45</v>
      </c>
      <c r="Y126" t="s">
        <v>45</v>
      </c>
      <c r="Z126"/>
      <c r="AB126" s="2" t="s">
        <v>67</v>
      </c>
      <c r="AC126" s="2" t="s">
        <v>57</v>
      </c>
      <c r="AD126" s="2">
        <v>43</v>
      </c>
      <c r="AE126" s="9" t="s">
        <v>654</v>
      </c>
      <c r="AG126" s="2"/>
      <c r="AM126" s="3"/>
    </row>
    <row r="127" spans="1:39" ht="15.75">
      <c r="A127" t="s">
        <v>8</v>
      </c>
      <c r="B127">
        <v>118</v>
      </c>
      <c r="C127" t="s">
        <v>41</v>
      </c>
      <c r="D127" t="s">
        <v>655</v>
      </c>
      <c r="E127" t="s">
        <v>43</v>
      </c>
      <c r="F127" s="37" t="s">
        <v>651</v>
      </c>
      <c r="G127" t="s">
        <v>41</v>
      </c>
      <c r="H127" s="67" t="s">
        <v>126</v>
      </c>
      <c r="I127" s="67"/>
      <c r="J127" s="67"/>
      <c r="K127" s="67"/>
      <c r="L127" s="67" t="s">
        <v>126</v>
      </c>
      <c r="M127" s="67"/>
      <c r="N127" s="67"/>
      <c r="O127" s="67"/>
      <c r="P127"/>
      <c r="Q127"/>
      <c r="R127" t="s">
        <v>56</v>
      </c>
      <c r="S127"/>
      <c r="T127" t="s">
        <v>656</v>
      </c>
      <c r="U127" t="s">
        <v>657</v>
      </c>
      <c r="V127"/>
      <c r="W127"/>
      <c r="X127" s="37" t="s">
        <v>45</v>
      </c>
      <c r="Y127" t="s">
        <v>45</v>
      </c>
      <c r="Z127"/>
      <c r="AB127" s="2" t="s">
        <v>67</v>
      </c>
      <c r="AC127" s="2" t="s">
        <v>57</v>
      </c>
      <c r="AD127" s="2">
        <v>68</v>
      </c>
      <c r="AE127" s="14" t="s">
        <v>658</v>
      </c>
      <c r="AG127" s="2"/>
      <c r="AM127" s="3"/>
    </row>
    <row r="128" spans="1:39" ht="15.75">
      <c r="A128" t="s">
        <v>8</v>
      </c>
      <c r="B128">
        <v>119</v>
      </c>
      <c r="C128" t="s">
        <v>41</v>
      </c>
      <c r="D128" t="s">
        <v>659</v>
      </c>
      <c r="E128" t="s">
        <v>106</v>
      </c>
      <c r="F128" s="37" t="s">
        <v>107</v>
      </c>
      <c r="G128" t="s">
        <v>45</v>
      </c>
      <c r="H128" s="67" t="s">
        <v>126</v>
      </c>
      <c r="I128" s="67"/>
      <c r="J128" s="67"/>
      <c r="K128" s="67"/>
      <c r="L128" s="67" t="s">
        <v>126</v>
      </c>
      <c r="M128" s="67"/>
      <c r="N128" s="67"/>
      <c r="O128" s="67"/>
      <c r="P128" t="s">
        <v>111</v>
      </c>
      <c r="Q128" t="s">
        <v>660</v>
      </c>
      <c r="R128" t="s">
        <v>661</v>
      </c>
      <c r="S128">
        <v>45</v>
      </c>
      <c r="T128" t="s">
        <v>662</v>
      </c>
      <c r="U128" t="s">
        <v>663</v>
      </c>
      <c r="V128"/>
      <c r="W128"/>
      <c r="X128" s="37"/>
      <c r="Y128"/>
      <c r="Z128"/>
      <c r="AG128" s="2"/>
      <c r="AM128" s="3"/>
    </row>
    <row r="129" spans="1:51" ht="30">
      <c r="A129" t="s">
        <v>8</v>
      </c>
      <c r="B129">
        <v>120</v>
      </c>
      <c r="C129" t="s">
        <v>41</v>
      </c>
      <c r="D129" t="s">
        <v>664</v>
      </c>
      <c r="E129" t="s">
        <v>106</v>
      </c>
      <c r="F129" t="s">
        <v>139</v>
      </c>
      <c r="G129" t="s">
        <v>45</v>
      </c>
      <c r="H129" s="87" t="s">
        <v>17</v>
      </c>
      <c r="I129" s="84" t="s">
        <v>46</v>
      </c>
      <c r="J129" s="84"/>
      <c r="K129" s="78" t="s">
        <v>72</v>
      </c>
      <c r="L129" s="87" t="s">
        <v>73</v>
      </c>
      <c r="M129" s="88" t="s">
        <v>49</v>
      </c>
      <c r="N129" s="88" t="s">
        <v>50</v>
      </c>
      <c r="O129" s="88"/>
      <c r="P129" s="85" t="s">
        <v>111</v>
      </c>
      <c r="Q129" s="85" t="s">
        <v>664</v>
      </c>
      <c r="R129" s="85" t="s">
        <v>56</v>
      </c>
      <c r="S129" s="89"/>
      <c r="T129" s="85" t="s">
        <v>665</v>
      </c>
      <c r="U129" s="85"/>
      <c r="V129"/>
      <c r="W129"/>
      <c r="X129" s="37" t="s">
        <v>45</v>
      </c>
      <c r="Y129" t="s">
        <v>45</v>
      </c>
      <c r="Z129"/>
      <c r="AG129" s="2"/>
      <c r="AM129" s="3"/>
    </row>
    <row r="130" spans="1:51" ht="15.75">
      <c r="A130" t="s">
        <v>8</v>
      </c>
      <c r="B130">
        <v>122</v>
      </c>
      <c r="C130" t="s">
        <v>41</v>
      </c>
      <c r="D130" t="s">
        <v>666</v>
      </c>
      <c r="E130" t="s">
        <v>106</v>
      </c>
      <c r="F130" t="s">
        <v>159</v>
      </c>
      <c r="G130" t="s">
        <v>45</v>
      </c>
      <c r="H130" s="67" t="s">
        <v>126</v>
      </c>
      <c r="I130" s="67"/>
      <c r="J130" s="67"/>
      <c r="K130" s="67"/>
      <c r="L130" s="67" t="s">
        <v>126</v>
      </c>
      <c r="M130" s="67"/>
      <c r="N130" s="67"/>
      <c r="O130" s="67"/>
      <c r="P130"/>
      <c r="Q130"/>
      <c r="R130" t="s">
        <v>227</v>
      </c>
      <c r="S130" t="s">
        <v>667</v>
      </c>
      <c r="T130" t="s">
        <v>668</v>
      </c>
      <c r="U130"/>
      <c r="V130"/>
      <c r="W130"/>
      <c r="X130"/>
      <c r="Y130" t="s">
        <v>45</v>
      </c>
      <c r="Z130"/>
      <c r="AA130" s="19"/>
      <c r="AB130" s="19"/>
      <c r="AC130" s="19"/>
      <c r="AD130" s="19"/>
      <c r="AE130" s="19"/>
      <c r="AF130" s="19"/>
      <c r="AG130" s="19"/>
      <c r="AH130" s="19"/>
      <c r="AI130" s="19"/>
      <c r="AJ130" s="19"/>
      <c r="AK130" s="19"/>
      <c r="AL130" s="19"/>
      <c r="AM130" s="75"/>
      <c r="AN130" s="19"/>
      <c r="AO130" s="19"/>
      <c r="AP130" s="19"/>
      <c r="AQ130" s="19"/>
      <c r="AR130" s="19"/>
      <c r="AS130" s="19"/>
      <c r="AT130" s="19"/>
      <c r="AU130" s="19"/>
      <c r="AV130" s="19"/>
      <c r="AW130" s="19"/>
      <c r="AX130" s="19"/>
      <c r="AY130" s="19"/>
    </row>
    <row r="131" spans="1:51" ht="15.75">
      <c r="A131" t="s">
        <v>8</v>
      </c>
      <c r="B131">
        <v>123</v>
      </c>
      <c r="C131" t="s">
        <v>41</v>
      </c>
      <c r="D131" t="s">
        <v>669</v>
      </c>
      <c r="E131" t="s">
        <v>106</v>
      </c>
      <c r="F131" t="s">
        <v>159</v>
      </c>
      <c r="G131" t="s">
        <v>45</v>
      </c>
      <c r="H131" s="67" t="s">
        <v>126</v>
      </c>
      <c r="I131" s="67"/>
      <c r="J131" s="67"/>
      <c r="K131" s="67"/>
      <c r="L131" s="67" t="s">
        <v>126</v>
      </c>
      <c r="M131" s="67"/>
      <c r="N131" s="67"/>
      <c r="O131" s="67"/>
      <c r="P131"/>
      <c r="Q131"/>
      <c r="R131" t="s">
        <v>227</v>
      </c>
      <c r="S131" t="s">
        <v>670</v>
      </c>
      <c r="T131" t="s">
        <v>671</v>
      </c>
      <c r="U131"/>
      <c r="V131"/>
      <c r="W131"/>
      <c r="X131"/>
      <c r="Y131" t="s">
        <v>45</v>
      </c>
      <c r="Z131"/>
      <c r="AA131" s="19"/>
      <c r="AB131" s="19"/>
      <c r="AC131" s="19"/>
      <c r="AD131" s="19"/>
      <c r="AE131" s="19"/>
      <c r="AF131" s="19"/>
      <c r="AG131" s="19"/>
      <c r="AH131" s="19"/>
      <c r="AI131" s="19"/>
      <c r="AJ131" s="19"/>
      <c r="AK131" s="19"/>
      <c r="AL131" s="19"/>
      <c r="AM131" s="75"/>
      <c r="AN131" s="19"/>
      <c r="AO131" s="19"/>
      <c r="AP131" s="19"/>
      <c r="AQ131" s="19"/>
      <c r="AR131" s="19"/>
      <c r="AS131" s="19"/>
      <c r="AT131" s="19"/>
      <c r="AU131" s="19"/>
      <c r="AV131" s="19"/>
      <c r="AW131" s="19"/>
      <c r="AX131" s="19"/>
      <c r="AY131" s="19"/>
    </row>
    <row r="132" spans="1:51" ht="15.75">
      <c r="A132"/>
      <c r="B132"/>
      <c r="C132"/>
      <c r="D132"/>
      <c r="E132"/>
      <c r="F132"/>
      <c r="G132"/>
      <c r="H132" s="64"/>
      <c r="I132" s="64"/>
      <c r="J132"/>
      <c r="K132" s="37"/>
      <c r="L132"/>
      <c r="M132"/>
      <c r="N132"/>
      <c r="O132"/>
      <c r="P132" s="37"/>
      <c r="Q132"/>
      <c r="R132"/>
      <c r="S132" s="19"/>
      <c r="T132" s="19"/>
      <c r="U132" s="19"/>
      <c r="V132" s="19"/>
      <c r="W132" s="19"/>
      <c r="X132" s="19"/>
      <c r="Y132" s="19"/>
      <c r="Z132" s="19"/>
      <c r="AA132" s="19"/>
      <c r="AB132" s="19"/>
      <c r="AC132" s="19"/>
      <c r="AD132" s="19"/>
      <c r="AE132" s="19"/>
      <c r="AF132" s="19"/>
      <c r="AG132" s="75"/>
      <c r="AH132" s="19"/>
      <c r="AI132" s="19"/>
      <c r="AJ132" s="19"/>
      <c r="AK132" s="19"/>
      <c r="AL132" s="19"/>
      <c r="AM132" s="19"/>
      <c r="AN132" s="19"/>
      <c r="AO132" s="19"/>
      <c r="AP132" s="19"/>
      <c r="AQ132" s="19"/>
    </row>
    <row r="133" spans="1:51" ht="15.75">
      <c r="A133"/>
      <c r="B133"/>
      <c r="C133"/>
      <c r="D133"/>
      <c r="E133"/>
      <c r="F133"/>
      <c r="G133"/>
      <c r="H133" s="64"/>
      <c r="I133" s="64"/>
      <c r="J133"/>
      <c r="K133" s="37"/>
      <c r="L133"/>
      <c r="M133"/>
      <c r="N133"/>
      <c r="O133"/>
      <c r="P133" s="37"/>
      <c r="Q133"/>
      <c r="R133"/>
      <c r="S133" s="19"/>
      <c r="T133" s="19"/>
      <c r="U133" s="19"/>
      <c r="V133" s="19"/>
      <c r="W133" s="19"/>
      <c r="X133" s="19"/>
      <c r="Y133" s="19"/>
      <c r="Z133" s="19"/>
      <c r="AA133" s="19"/>
      <c r="AB133" s="19"/>
      <c r="AC133" s="19"/>
      <c r="AD133" s="19"/>
      <c r="AE133" s="19"/>
      <c r="AF133" s="19"/>
      <c r="AG133" s="75"/>
      <c r="AH133" s="19"/>
      <c r="AI133" s="19"/>
      <c r="AJ133" s="19"/>
      <c r="AK133" s="19"/>
      <c r="AL133" s="19"/>
      <c r="AM133" s="19"/>
      <c r="AN133" s="19"/>
      <c r="AO133" s="19"/>
      <c r="AP133" s="19"/>
      <c r="AQ133" s="19"/>
    </row>
    <row r="134" spans="1:51">
      <c r="S134" s="19"/>
      <c r="T134" s="19"/>
      <c r="U134" s="19"/>
      <c r="V134" s="19"/>
      <c r="W134" s="19"/>
      <c r="X134" s="19"/>
      <c r="Y134" s="19"/>
      <c r="Z134" s="19"/>
      <c r="AA134" s="19"/>
      <c r="AB134" s="19"/>
      <c r="AC134" s="19"/>
      <c r="AD134" s="19"/>
      <c r="AE134" s="19"/>
      <c r="AF134" s="19"/>
      <c r="AG134" s="75"/>
      <c r="AH134" s="19"/>
      <c r="AI134" s="19"/>
      <c r="AJ134" s="19"/>
      <c r="AK134" s="19"/>
      <c r="AL134" s="19"/>
      <c r="AM134" s="19"/>
      <c r="AN134" s="19"/>
      <c r="AO134" s="19"/>
      <c r="AP134" s="19"/>
      <c r="AQ134" s="19"/>
    </row>
    <row r="135" spans="1:51" ht="15.75">
      <c r="A135" s="120" t="s">
        <v>672</v>
      </c>
      <c r="B135" s="120"/>
      <c r="C135" s="120"/>
      <c r="D135" s="120"/>
      <c r="E135" s="120"/>
      <c r="F135" s="120"/>
      <c r="G135" s="120"/>
      <c r="H135" s="120"/>
      <c r="I135" s="120"/>
      <c r="J135" s="120"/>
      <c r="K135" s="120"/>
      <c r="L135" s="120"/>
      <c r="M135" s="120"/>
      <c r="N135" s="120"/>
      <c r="O135" s="120"/>
      <c r="S135" s="19"/>
      <c r="T135" s="19"/>
      <c r="U135" s="19"/>
      <c r="V135" s="19"/>
      <c r="W135" s="19"/>
      <c r="X135" s="19"/>
      <c r="Y135" s="19"/>
      <c r="Z135" s="19"/>
      <c r="AA135" s="19"/>
      <c r="AB135" s="19"/>
      <c r="AC135" s="19"/>
      <c r="AD135" s="19"/>
      <c r="AE135" s="19"/>
      <c r="AF135" s="19"/>
      <c r="AG135" s="75"/>
      <c r="AH135" s="19"/>
      <c r="AI135" s="19"/>
      <c r="AJ135" s="19"/>
      <c r="AK135" s="19"/>
      <c r="AL135" s="19"/>
      <c r="AM135" s="19"/>
      <c r="AN135" s="19"/>
      <c r="AO135" s="19"/>
      <c r="AP135" s="19"/>
      <c r="AQ135" s="19"/>
    </row>
    <row r="136" spans="1:51" ht="15.75">
      <c r="A136" t="s">
        <v>673</v>
      </c>
      <c r="B136" t="s">
        <v>674</v>
      </c>
      <c r="C136" t="s">
        <v>675</v>
      </c>
      <c r="D136" t="s">
        <v>676</v>
      </c>
      <c r="E136" t="s">
        <v>18</v>
      </c>
      <c r="F136" t="s">
        <v>4</v>
      </c>
      <c r="G136" t="s">
        <v>2</v>
      </c>
      <c r="H136" s="64" t="s">
        <v>677</v>
      </c>
      <c r="I136" s="64" t="s">
        <v>678</v>
      </c>
      <c r="J136" t="s">
        <v>111</v>
      </c>
      <c r="K136" t="s">
        <v>679</v>
      </c>
      <c r="L136" t="s">
        <v>680</v>
      </c>
      <c r="M136" t="s">
        <v>681</v>
      </c>
      <c r="N136" t="s">
        <v>682</v>
      </c>
      <c r="O136" t="s">
        <v>683</v>
      </c>
      <c r="P136" t="s">
        <v>684</v>
      </c>
      <c r="T136" s="19"/>
      <c r="U136" s="19"/>
      <c r="V136" s="19"/>
      <c r="W136" s="19"/>
      <c r="X136" s="19"/>
      <c r="Y136" s="19"/>
      <c r="Z136" s="19"/>
      <c r="AA136" s="19"/>
      <c r="AB136" s="19"/>
      <c r="AC136" s="19"/>
      <c r="AD136" s="19"/>
      <c r="AE136" s="19"/>
      <c r="AF136" s="19"/>
      <c r="AG136" s="75"/>
      <c r="AH136" s="19"/>
      <c r="AI136" s="19"/>
      <c r="AJ136" s="19"/>
      <c r="AK136" s="19"/>
      <c r="AL136" s="19"/>
      <c r="AM136" s="19"/>
      <c r="AN136" s="19"/>
      <c r="AO136" s="19"/>
      <c r="AP136" s="19"/>
      <c r="AQ136" s="19"/>
      <c r="AR136" s="19"/>
    </row>
    <row r="137" spans="1:51" ht="15.75">
      <c r="A137"/>
      <c r="B137">
        <v>1</v>
      </c>
      <c r="C137"/>
      <c r="D137" t="s">
        <v>388</v>
      </c>
      <c r="E137" t="s">
        <v>685</v>
      </c>
      <c r="F137" t="s">
        <v>686</v>
      </c>
      <c r="G137" t="s">
        <v>687</v>
      </c>
      <c r="H137" s="64"/>
      <c r="I137" s="64" t="s">
        <v>688</v>
      </c>
      <c r="J137" t="s">
        <v>689</v>
      </c>
      <c r="K137" t="s">
        <v>690</v>
      </c>
      <c r="L137"/>
      <c r="M137"/>
      <c r="N137"/>
      <c r="O137"/>
      <c r="P137"/>
      <c r="T137" s="19"/>
      <c r="U137" s="19"/>
      <c r="V137" s="19"/>
      <c r="W137" s="19"/>
      <c r="X137" s="19"/>
      <c r="Y137" s="19"/>
      <c r="Z137" s="19"/>
      <c r="AA137" s="19"/>
      <c r="AB137" s="19"/>
      <c r="AC137" s="19"/>
      <c r="AD137" s="19"/>
      <c r="AE137" s="19"/>
      <c r="AF137" s="19"/>
      <c r="AG137" s="75"/>
      <c r="AH137" s="19"/>
      <c r="AI137" s="19"/>
      <c r="AJ137" s="19"/>
      <c r="AK137" s="19"/>
      <c r="AL137" s="19"/>
      <c r="AM137" s="19"/>
      <c r="AN137" s="19"/>
      <c r="AO137" s="19"/>
      <c r="AP137" s="19"/>
      <c r="AQ137" s="19"/>
      <c r="AR137" s="19"/>
    </row>
    <row r="138" spans="1:51" ht="15.75">
      <c r="A138"/>
      <c r="B138">
        <v>2</v>
      </c>
      <c r="C138"/>
      <c r="D138" t="s">
        <v>691</v>
      </c>
      <c r="E138" t="s">
        <v>692</v>
      </c>
      <c r="F138" t="s">
        <v>693</v>
      </c>
      <c r="G138" t="s">
        <v>694</v>
      </c>
      <c r="H138" s="64"/>
      <c r="I138" s="64" t="s">
        <v>695</v>
      </c>
      <c r="J138"/>
      <c r="K138"/>
      <c r="L138"/>
      <c r="M138"/>
      <c r="N138"/>
      <c r="O138"/>
      <c r="P138" t="s">
        <v>696</v>
      </c>
    </row>
    <row r="139" spans="1:51" ht="63">
      <c r="A139"/>
      <c r="B139">
        <v>3</v>
      </c>
      <c r="C139"/>
      <c r="D139" t="s">
        <v>697</v>
      </c>
      <c r="E139" t="s">
        <v>698</v>
      </c>
      <c r="F139" t="s">
        <v>699</v>
      </c>
      <c r="G139" t="s">
        <v>700</v>
      </c>
      <c r="H139" s="64"/>
      <c r="I139" s="65" t="s">
        <v>701</v>
      </c>
      <c r="J139"/>
      <c r="K139" t="s">
        <v>690</v>
      </c>
      <c r="L139"/>
      <c r="M139"/>
      <c r="N139"/>
      <c r="O139"/>
      <c r="P139"/>
    </row>
    <row r="140" spans="1:51" ht="15.75">
      <c r="A140"/>
      <c r="B140">
        <v>4</v>
      </c>
      <c r="C140"/>
      <c r="D140" t="s">
        <v>702</v>
      </c>
      <c r="E140" t="s">
        <v>703</v>
      </c>
      <c r="F140" t="s">
        <v>699</v>
      </c>
      <c r="G140" t="s">
        <v>704</v>
      </c>
      <c r="H140" s="64"/>
      <c r="I140" s="64" t="s">
        <v>705</v>
      </c>
      <c r="J140" t="s">
        <v>706</v>
      </c>
      <c r="K140" t="s">
        <v>690</v>
      </c>
      <c r="L140"/>
      <c r="M140"/>
      <c r="N140"/>
      <c r="O140"/>
      <c r="P140" t="s">
        <v>707</v>
      </c>
    </row>
    <row r="141" spans="1:51" ht="15.75">
      <c r="A141"/>
      <c r="B141">
        <v>5</v>
      </c>
      <c r="C141"/>
      <c r="D141" t="s">
        <v>708</v>
      </c>
      <c r="E141" t="s">
        <v>709</v>
      </c>
      <c r="F141" t="s">
        <v>699</v>
      </c>
      <c r="G141" t="s">
        <v>710</v>
      </c>
      <c r="H141" s="64"/>
      <c r="I141" s="64"/>
      <c r="J141" t="s">
        <v>706</v>
      </c>
      <c r="K141" t="s">
        <v>690</v>
      </c>
      <c r="L141"/>
      <c r="M141"/>
      <c r="N141"/>
      <c r="O141"/>
      <c r="P141"/>
    </row>
    <row r="142" spans="1:51" ht="15.75">
      <c r="A142"/>
      <c r="B142">
        <v>6</v>
      </c>
      <c r="C142"/>
      <c r="D142" t="s">
        <v>711</v>
      </c>
      <c r="E142" t="s">
        <v>709</v>
      </c>
      <c r="F142" t="s">
        <v>699</v>
      </c>
      <c r="G142" t="s">
        <v>712</v>
      </c>
      <c r="H142" s="64"/>
      <c r="I142" s="64"/>
      <c r="J142" t="s">
        <v>706</v>
      </c>
      <c r="K142" t="s">
        <v>690</v>
      </c>
      <c r="L142"/>
      <c r="M142"/>
      <c r="N142"/>
      <c r="O142"/>
      <c r="P142"/>
    </row>
    <row r="143" spans="1:51" ht="15.75">
      <c r="A143"/>
      <c r="B143">
        <v>7</v>
      </c>
      <c r="C143"/>
      <c r="D143" t="s">
        <v>713</v>
      </c>
      <c r="E143" t="s">
        <v>709</v>
      </c>
      <c r="F143" t="s">
        <v>699</v>
      </c>
      <c r="G143" t="s">
        <v>714</v>
      </c>
      <c r="H143" s="64"/>
      <c r="I143" s="64"/>
      <c r="J143" t="s">
        <v>706</v>
      </c>
      <c r="K143" t="s">
        <v>690</v>
      </c>
      <c r="L143"/>
      <c r="M143"/>
      <c r="N143"/>
      <c r="O143"/>
      <c r="P143"/>
    </row>
    <row r="144" spans="1:51" ht="15.75">
      <c r="A144"/>
      <c r="B144">
        <v>8</v>
      </c>
      <c r="C144"/>
      <c r="D144" t="s">
        <v>715</v>
      </c>
      <c r="E144" t="s">
        <v>698</v>
      </c>
      <c r="F144" t="s">
        <v>699</v>
      </c>
      <c r="G144" t="s">
        <v>716</v>
      </c>
      <c r="H144" s="64"/>
      <c r="I144" s="64" t="s">
        <v>717</v>
      </c>
      <c r="J144" t="s">
        <v>689</v>
      </c>
      <c r="K144" t="s">
        <v>690</v>
      </c>
      <c r="L144"/>
      <c r="M144"/>
      <c r="N144"/>
      <c r="O144"/>
      <c r="P144"/>
    </row>
    <row r="145" spans="1:16" ht="204.75">
      <c r="A145"/>
      <c r="B145">
        <v>9</v>
      </c>
      <c r="C145"/>
      <c r="D145" t="s">
        <v>718</v>
      </c>
      <c r="E145" t="s">
        <v>685</v>
      </c>
      <c r="F145" t="s">
        <v>719</v>
      </c>
      <c r="G145" t="s">
        <v>720</v>
      </c>
      <c r="H145" s="64"/>
      <c r="I145" s="65" t="s">
        <v>721</v>
      </c>
      <c r="J145" t="s">
        <v>689</v>
      </c>
      <c r="K145" t="s">
        <v>690</v>
      </c>
      <c r="L145"/>
      <c r="M145"/>
      <c r="N145"/>
      <c r="O145"/>
      <c r="P145"/>
    </row>
    <row r="146" spans="1:16" ht="15.75">
      <c r="A146"/>
      <c r="B146">
        <v>10</v>
      </c>
      <c r="C146"/>
      <c r="D146" t="s">
        <v>722</v>
      </c>
      <c r="E146" t="s">
        <v>709</v>
      </c>
      <c r="F146" t="s">
        <v>699</v>
      </c>
      <c r="G146" t="s">
        <v>723</v>
      </c>
      <c r="H146" s="64"/>
      <c r="I146" s="64"/>
      <c r="J146" t="s">
        <v>706</v>
      </c>
      <c r="K146" t="s">
        <v>690</v>
      </c>
      <c r="L146"/>
      <c r="M146"/>
      <c r="N146"/>
      <c r="O146"/>
      <c r="P146"/>
    </row>
    <row r="147" spans="1:16" ht="15.75">
      <c r="A147"/>
      <c r="B147">
        <v>11</v>
      </c>
      <c r="C147"/>
      <c r="D147" t="s">
        <v>724</v>
      </c>
      <c r="E147" t="s">
        <v>709</v>
      </c>
      <c r="F147" t="s">
        <v>699</v>
      </c>
      <c r="G147" t="s">
        <v>725</v>
      </c>
      <c r="H147" s="64"/>
      <c r="I147" s="64"/>
      <c r="J147" t="s">
        <v>706</v>
      </c>
      <c r="K147" t="s">
        <v>690</v>
      </c>
      <c r="L147"/>
      <c r="M147"/>
      <c r="N147"/>
      <c r="O147"/>
      <c r="P147"/>
    </row>
    <row r="148" spans="1:16" ht="15.75">
      <c r="A148"/>
      <c r="B148">
        <v>12</v>
      </c>
      <c r="C148"/>
      <c r="D148" t="s">
        <v>726</v>
      </c>
      <c r="E148" t="s">
        <v>709</v>
      </c>
      <c r="F148" t="s">
        <v>699</v>
      </c>
      <c r="G148" t="s">
        <v>727</v>
      </c>
      <c r="H148" s="64"/>
      <c r="I148" s="64"/>
      <c r="J148" t="s">
        <v>706</v>
      </c>
      <c r="K148" t="s">
        <v>690</v>
      </c>
      <c r="L148"/>
      <c r="M148"/>
      <c r="N148"/>
      <c r="O148"/>
      <c r="P148"/>
    </row>
    <row r="149" spans="1:16" ht="19.5">
      <c r="A149"/>
      <c r="B149">
        <v>13</v>
      </c>
      <c r="C149"/>
      <c r="D149" t="s">
        <v>728</v>
      </c>
      <c r="E149" t="s">
        <v>703</v>
      </c>
      <c r="F149" t="s">
        <v>699</v>
      </c>
      <c r="G149" t="s">
        <v>729</v>
      </c>
      <c r="H149" s="64"/>
      <c r="I149" s="64" t="s">
        <v>730</v>
      </c>
      <c r="J149" t="s">
        <v>689</v>
      </c>
      <c r="K149" t="s">
        <v>690</v>
      </c>
      <c r="L149"/>
      <c r="M149"/>
      <c r="N149"/>
      <c r="O149"/>
      <c r="P149"/>
    </row>
    <row r="150" spans="1:16" ht="15.75">
      <c r="A150"/>
      <c r="B150">
        <v>14</v>
      </c>
      <c r="C150"/>
      <c r="D150" t="s">
        <v>731</v>
      </c>
      <c r="E150" t="s">
        <v>709</v>
      </c>
      <c r="F150" t="s">
        <v>699</v>
      </c>
      <c r="G150" t="s">
        <v>732</v>
      </c>
      <c r="H150" s="64"/>
      <c r="I150" s="64"/>
      <c r="J150" t="s">
        <v>706</v>
      </c>
      <c r="K150" t="s">
        <v>690</v>
      </c>
      <c r="L150"/>
      <c r="M150"/>
      <c r="N150"/>
      <c r="O150"/>
      <c r="P150"/>
    </row>
    <row r="151" spans="1:16" ht="15.75">
      <c r="A151"/>
      <c r="B151">
        <v>15</v>
      </c>
      <c r="C151"/>
      <c r="D151" t="s">
        <v>733</v>
      </c>
      <c r="E151" t="s">
        <v>709</v>
      </c>
      <c r="F151" t="s">
        <v>699</v>
      </c>
      <c r="G151" t="s">
        <v>734</v>
      </c>
      <c r="H151" s="64"/>
      <c r="I151" s="64"/>
      <c r="J151" t="s">
        <v>706</v>
      </c>
      <c r="K151" t="s">
        <v>690</v>
      </c>
      <c r="L151"/>
      <c r="M151"/>
      <c r="N151"/>
      <c r="O151"/>
      <c r="P151"/>
    </row>
    <row r="152" spans="1:16" ht="15.75">
      <c r="A152"/>
      <c r="B152">
        <v>16</v>
      </c>
      <c r="C152"/>
      <c r="D152" t="s">
        <v>735</v>
      </c>
      <c r="E152" t="s">
        <v>709</v>
      </c>
      <c r="F152" t="s">
        <v>699</v>
      </c>
      <c r="G152" t="s">
        <v>736</v>
      </c>
      <c r="H152" s="64"/>
      <c r="I152" s="64"/>
      <c r="J152" t="s">
        <v>706</v>
      </c>
      <c r="K152" t="s">
        <v>690</v>
      </c>
      <c r="L152"/>
      <c r="M152"/>
      <c r="N152"/>
      <c r="O152"/>
      <c r="P152"/>
    </row>
    <row r="153" spans="1:16" ht="15.75">
      <c r="A153"/>
      <c r="B153">
        <v>17</v>
      </c>
      <c r="C153"/>
      <c r="D153" t="s">
        <v>737</v>
      </c>
      <c r="E153" t="s">
        <v>698</v>
      </c>
      <c r="F153" t="s">
        <v>699</v>
      </c>
      <c r="G153" t="s">
        <v>738</v>
      </c>
      <c r="H153" s="64"/>
      <c r="I153" s="64" t="s">
        <v>739</v>
      </c>
      <c r="J153"/>
      <c r="K153"/>
      <c r="L153"/>
      <c r="M153"/>
      <c r="N153"/>
      <c r="O153"/>
      <c r="P153"/>
    </row>
    <row r="154" spans="1:16" ht="15.75">
      <c r="A154"/>
      <c r="B154">
        <v>18</v>
      </c>
      <c r="C154"/>
      <c r="D154" t="s">
        <v>740</v>
      </c>
      <c r="E154" t="s">
        <v>709</v>
      </c>
      <c r="F154" t="s">
        <v>699</v>
      </c>
      <c r="G154" t="s">
        <v>741</v>
      </c>
      <c r="H154" s="64"/>
      <c r="I154" s="64"/>
      <c r="J154" t="s">
        <v>706</v>
      </c>
      <c r="K154" t="s">
        <v>690</v>
      </c>
      <c r="L154"/>
      <c r="M154"/>
      <c r="N154"/>
      <c r="O154"/>
      <c r="P154"/>
    </row>
    <row r="155" spans="1:16" ht="15.75">
      <c r="A155"/>
      <c r="B155">
        <v>19</v>
      </c>
      <c r="C155"/>
      <c r="D155" t="s">
        <v>742</v>
      </c>
      <c r="E155" t="s">
        <v>709</v>
      </c>
      <c r="F155" t="s">
        <v>699</v>
      </c>
      <c r="G155" t="s">
        <v>743</v>
      </c>
      <c r="H155" s="64"/>
      <c r="I155" s="64"/>
      <c r="J155" t="s">
        <v>706</v>
      </c>
      <c r="K155" t="s">
        <v>690</v>
      </c>
      <c r="L155"/>
      <c r="M155"/>
      <c r="N155"/>
      <c r="O155"/>
      <c r="P155"/>
    </row>
    <row r="156" spans="1:16" ht="15.75">
      <c r="A156"/>
      <c r="B156">
        <v>20</v>
      </c>
      <c r="C156"/>
      <c r="D156" t="s">
        <v>744</v>
      </c>
      <c r="E156" t="s">
        <v>709</v>
      </c>
      <c r="F156" t="s">
        <v>699</v>
      </c>
      <c r="G156" t="s">
        <v>745</v>
      </c>
      <c r="H156" s="64"/>
      <c r="I156" s="64"/>
      <c r="J156" t="s">
        <v>706</v>
      </c>
      <c r="K156" t="s">
        <v>690</v>
      </c>
      <c r="L156"/>
      <c r="M156"/>
      <c r="N156"/>
      <c r="O156"/>
      <c r="P156"/>
    </row>
    <row r="157" spans="1:16" ht="15.75">
      <c r="A157"/>
      <c r="B157">
        <v>21</v>
      </c>
      <c r="C157"/>
      <c r="D157" t="s">
        <v>746</v>
      </c>
      <c r="E157" t="s">
        <v>709</v>
      </c>
      <c r="F157" t="s">
        <v>699</v>
      </c>
      <c r="G157" t="s">
        <v>747</v>
      </c>
      <c r="H157" s="64"/>
      <c r="I157" s="64"/>
      <c r="J157" t="s">
        <v>706</v>
      </c>
      <c r="K157" t="s">
        <v>690</v>
      </c>
      <c r="L157"/>
      <c r="M157"/>
      <c r="N157"/>
      <c r="O157"/>
      <c r="P157"/>
    </row>
    <row r="158" spans="1:16" ht="15.75">
      <c r="A158"/>
      <c r="B158">
        <v>22</v>
      </c>
      <c r="C158"/>
      <c r="D158" t="s">
        <v>748</v>
      </c>
      <c r="E158" t="s">
        <v>709</v>
      </c>
      <c r="F158" t="s">
        <v>699</v>
      </c>
      <c r="G158" t="s">
        <v>749</v>
      </c>
      <c r="H158" s="64"/>
      <c r="I158" s="64"/>
      <c r="J158" t="s">
        <v>706</v>
      </c>
      <c r="K158" t="s">
        <v>690</v>
      </c>
      <c r="L158"/>
      <c r="M158"/>
      <c r="N158"/>
      <c r="O158"/>
      <c r="P158"/>
    </row>
    <row r="159" spans="1:16" ht="15.75">
      <c r="A159"/>
      <c r="B159">
        <v>23</v>
      </c>
      <c r="C159"/>
      <c r="D159" t="s">
        <v>750</v>
      </c>
      <c r="E159" t="s">
        <v>709</v>
      </c>
      <c r="F159" t="s">
        <v>699</v>
      </c>
      <c r="G159" t="s">
        <v>751</v>
      </c>
      <c r="H159" s="64"/>
      <c r="I159" s="64"/>
      <c r="J159" t="s">
        <v>706</v>
      </c>
      <c r="K159" t="s">
        <v>690</v>
      </c>
      <c r="L159"/>
      <c r="M159"/>
      <c r="N159"/>
      <c r="O159"/>
      <c r="P159"/>
    </row>
    <row r="160" spans="1:16" ht="15.75">
      <c r="A160"/>
      <c r="B160">
        <v>24</v>
      </c>
      <c r="C160"/>
      <c r="D160" t="s">
        <v>752</v>
      </c>
      <c r="E160" t="s">
        <v>709</v>
      </c>
      <c r="F160" t="s">
        <v>699</v>
      </c>
      <c r="G160" t="s">
        <v>753</v>
      </c>
      <c r="H160" s="64"/>
      <c r="I160" s="64"/>
      <c r="J160" t="s">
        <v>689</v>
      </c>
      <c r="K160" t="s">
        <v>754</v>
      </c>
      <c r="L160"/>
      <c r="M160"/>
      <c r="N160"/>
      <c r="O160"/>
      <c r="P160"/>
    </row>
    <row r="161" spans="1:16" ht="15.75">
      <c r="A161"/>
      <c r="B161">
        <v>25</v>
      </c>
      <c r="C161"/>
      <c r="D161" t="s">
        <v>755</v>
      </c>
      <c r="E161" t="s">
        <v>709</v>
      </c>
      <c r="F161" t="s">
        <v>699</v>
      </c>
      <c r="G161" t="s">
        <v>756</v>
      </c>
      <c r="H161" s="64"/>
      <c r="I161" s="64"/>
      <c r="J161" t="s">
        <v>689</v>
      </c>
      <c r="K161" t="s">
        <v>754</v>
      </c>
      <c r="L161"/>
      <c r="M161"/>
      <c r="N161"/>
      <c r="O161"/>
      <c r="P161"/>
    </row>
    <row r="162" spans="1:16" ht="15.75">
      <c r="A162"/>
      <c r="B162">
        <v>26</v>
      </c>
      <c r="C162"/>
      <c r="D162" t="s">
        <v>757</v>
      </c>
      <c r="E162" t="s">
        <v>709</v>
      </c>
      <c r="F162" t="s">
        <v>699</v>
      </c>
      <c r="G162" t="s">
        <v>758</v>
      </c>
      <c r="H162" s="64"/>
      <c r="I162" s="64"/>
      <c r="J162" t="s">
        <v>689</v>
      </c>
      <c r="K162" t="s">
        <v>754</v>
      </c>
      <c r="L162"/>
      <c r="M162"/>
      <c r="N162"/>
      <c r="O162"/>
      <c r="P162"/>
    </row>
    <row r="163" spans="1:16" ht="15.75">
      <c r="A163"/>
      <c r="B163">
        <v>27</v>
      </c>
      <c r="C163"/>
      <c r="D163" t="s">
        <v>488</v>
      </c>
      <c r="E163" t="s">
        <v>759</v>
      </c>
      <c r="F163" t="s">
        <v>760</v>
      </c>
      <c r="G163" t="s">
        <v>467</v>
      </c>
      <c r="H163" s="64" t="s">
        <v>761</v>
      </c>
      <c r="I163" s="64" t="s">
        <v>762</v>
      </c>
      <c r="J163"/>
      <c r="K163" t="s">
        <v>690</v>
      </c>
      <c r="L163" t="s">
        <v>41</v>
      </c>
      <c r="M163"/>
      <c r="N163" t="s">
        <v>45</v>
      </c>
      <c r="O163"/>
      <c r="P163"/>
    </row>
    <row r="164" spans="1:16" ht="15.75">
      <c r="A164"/>
      <c r="B164"/>
      <c r="C164"/>
      <c r="D164"/>
      <c r="E164"/>
      <c r="F164"/>
      <c r="G164"/>
      <c r="H164" s="64"/>
      <c r="I164" s="64"/>
      <c r="J164"/>
      <c r="K164"/>
      <c r="L164"/>
      <c r="M164"/>
      <c r="N164"/>
      <c r="O164"/>
    </row>
    <row r="165" spans="1:16" ht="15.75">
      <c r="A165"/>
      <c r="B165"/>
      <c r="C165"/>
      <c r="D165"/>
      <c r="E165"/>
      <c r="F165"/>
      <c r="G165"/>
      <c r="H165" s="64"/>
      <c r="I165" s="64"/>
      <c r="J165"/>
      <c r="K165"/>
      <c r="L165"/>
      <c r="M165"/>
      <c r="N165"/>
      <c r="O165"/>
    </row>
    <row r="166" spans="1:16" ht="15.75">
      <c r="A166"/>
      <c r="B166"/>
      <c r="C166"/>
      <c r="D166"/>
      <c r="E166"/>
      <c r="F166"/>
      <c r="G166"/>
      <c r="H166" s="64"/>
      <c r="I166" s="64"/>
      <c r="J166"/>
      <c r="K166"/>
      <c r="L166"/>
      <c r="M166"/>
      <c r="N166"/>
      <c r="O166"/>
    </row>
    <row r="167" spans="1:16" ht="15.75">
      <c r="A167" s="120" t="s">
        <v>763</v>
      </c>
      <c r="B167" s="120"/>
      <c r="C167" s="120"/>
      <c r="D167" s="120"/>
      <c r="E167" s="120"/>
      <c r="F167" s="120"/>
      <c r="G167" s="120"/>
      <c r="H167" s="120"/>
      <c r="I167" s="120"/>
      <c r="J167" s="120"/>
      <c r="K167" s="120"/>
      <c r="L167" s="120"/>
      <c r="M167" s="120"/>
      <c r="N167" s="120"/>
      <c r="O167" s="120"/>
    </row>
    <row r="168" spans="1:16" ht="15.75">
      <c r="A168" t="s">
        <v>673</v>
      </c>
      <c r="B168" t="s">
        <v>674</v>
      </c>
      <c r="C168" t="s">
        <v>675</v>
      </c>
      <c r="D168" t="s">
        <v>676</v>
      </c>
      <c r="E168" t="s">
        <v>18</v>
      </c>
      <c r="F168" t="s">
        <v>4</v>
      </c>
      <c r="G168" t="s">
        <v>2</v>
      </c>
      <c r="H168" s="64" t="s">
        <v>677</v>
      </c>
      <c r="I168" s="64" t="s">
        <v>678</v>
      </c>
      <c r="J168" t="s">
        <v>111</v>
      </c>
      <c r="K168" t="s">
        <v>679</v>
      </c>
      <c r="L168" t="s">
        <v>680</v>
      </c>
      <c r="M168" t="s">
        <v>681</v>
      </c>
      <c r="N168" t="s">
        <v>682</v>
      </c>
      <c r="O168" t="s">
        <v>683</v>
      </c>
      <c r="P168"/>
    </row>
    <row r="169" spans="1:16" ht="15.75">
      <c r="A169"/>
      <c r="B169">
        <v>1</v>
      </c>
      <c r="C169"/>
      <c r="D169" t="s">
        <v>764</v>
      </c>
      <c r="E169" t="s">
        <v>106</v>
      </c>
      <c r="F169" t="s">
        <v>765</v>
      </c>
      <c r="G169" t="s">
        <v>766</v>
      </c>
      <c r="H169" s="64"/>
      <c r="I169" s="64" t="s">
        <v>767</v>
      </c>
      <c r="J169"/>
      <c r="K169" t="s">
        <v>768</v>
      </c>
      <c r="L169"/>
      <c r="M169"/>
      <c r="N169"/>
      <c r="O169"/>
    </row>
    <row r="170" spans="1:16" ht="15.75">
      <c r="A170"/>
      <c r="B170">
        <f t="shared" ref="B170:B175" si="0">B169+1</f>
        <v>2</v>
      </c>
      <c r="C170"/>
      <c r="D170" t="s">
        <v>769</v>
      </c>
      <c r="E170" t="s">
        <v>106</v>
      </c>
      <c r="F170" t="s">
        <v>770</v>
      </c>
      <c r="G170" t="s">
        <v>771</v>
      </c>
      <c r="H170" s="64"/>
      <c r="I170" s="64" t="s">
        <v>772</v>
      </c>
      <c r="J170"/>
      <c r="K170" t="s">
        <v>768</v>
      </c>
      <c r="L170"/>
      <c r="M170"/>
      <c r="N170"/>
      <c r="O170"/>
    </row>
    <row r="171" spans="1:16" ht="15.75">
      <c r="A171"/>
      <c r="B171">
        <f t="shared" si="0"/>
        <v>3</v>
      </c>
      <c r="C171"/>
      <c r="D171" t="s">
        <v>773</v>
      </c>
      <c r="E171" t="s">
        <v>106</v>
      </c>
      <c r="F171" t="s">
        <v>774</v>
      </c>
      <c r="G171" t="s">
        <v>775</v>
      </c>
      <c r="H171" s="64"/>
      <c r="I171" s="64" t="s">
        <v>776</v>
      </c>
      <c r="J171"/>
      <c r="K171" t="s">
        <v>768</v>
      </c>
      <c r="L171"/>
      <c r="M171"/>
      <c r="N171"/>
      <c r="O171"/>
    </row>
    <row r="172" spans="1:16" ht="15.75">
      <c r="A172"/>
      <c r="B172">
        <f t="shared" si="0"/>
        <v>4</v>
      </c>
      <c r="C172"/>
      <c r="D172" t="s">
        <v>777</v>
      </c>
      <c r="E172" t="s">
        <v>106</v>
      </c>
      <c r="F172" t="s">
        <v>778</v>
      </c>
      <c r="G172" t="s">
        <v>779</v>
      </c>
      <c r="H172" s="64"/>
      <c r="I172" s="64" t="s">
        <v>780</v>
      </c>
      <c r="J172"/>
      <c r="K172" t="s">
        <v>768</v>
      </c>
      <c r="L172"/>
      <c r="M172"/>
      <c r="N172"/>
      <c r="O172"/>
    </row>
    <row r="173" spans="1:16" ht="15.75">
      <c r="A173"/>
      <c r="B173">
        <f t="shared" si="0"/>
        <v>5</v>
      </c>
      <c r="C173"/>
      <c r="D173" t="s">
        <v>781</v>
      </c>
      <c r="E173" t="s">
        <v>106</v>
      </c>
      <c r="F173" t="s">
        <v>765</v>
      </c>
      <c r="G173" t="s">
        <v>782</v>
      </c>
      <c r="H173" s="64"/>
      <c r="I173" s="64" t="s">
        <v>783</v>
      </c>
      <c r="J173"/>
      <c r="K173" t="s">
        <v>768</v>
      </c>
      <c r="L173"/>
      <c r="M173"/>
      <c r="N173"/>
      <c r="O173"/>
    </row>
    <row r="174" spans="1:16" ht="15.75">
      <c r="A174"/>
      <c r="B174">
        <f t="shared" si="0"/>
        <v>6</v>
      </c>
      <c r="C174"/>
      <c r="D174" t="s">
        <v>784</v>
      </c>
      <c r="E174" t="s">
        <v>703</v>
      </c>
      <c r="F174" t="s">
        <v>785</v>
      </c>
      <c r="G174" t="s">
        <v>786</v>
      </c>
      <c r="H174" s="64"/>
      <c r="I174" s="64"/>
      <c r="J174"/>
      <c r="K174" t="s">
        <v>768</v>
      </c>
      <c r="L174"/>
      <c r="M174"/>
      <c r="N174"/>
      <c r="O174"/>
    </row>
    <row r="175" spans="1:16" ht="15.75">
      <c r="A175"/>
      <c r="B175">
        <f t="shared" si="0"/>
        <v>7</v>
      </c>
      <c r="C175"/>
      <c r="D175" t="s">
        <v>715</v>
      </c>
      <c r="E175" t="s">
        <v>698</v>
      </c>
      <c r="F175" t="s">
        <v>785</v>
      </c>
      <c r="G175" t="s">
        <v>787</v>
      </c>
      <c r="H175" s="64"/>
      <c r="I175" s="64" t="s">
        <v>788</v>
      </c>
      <c r="J175"/>
      <c r="K175" t="s">
        <v>768</v>
      </c>
      <c r="L175"/>
      <c r="M175"/>
      <c r="N175"/>
      <c r="O175"/>
    </row>
    <row r="176" spans="1:16" ht="15.75">
      <c r="A176"/>
      <c r="B176">
        <f t="shared" ref="B176:B178" si="1">B175+1</f>
        <v>8</v>
      </c>
      <c r="C176"/>
      <c r="D176" t="s">
        <v>317</v>
      </c>
      <c r="E176" t="s">
        <v>789</v>
      </c>
      <c r="F176" t="s">
        <v>790</v>
      </c>
      <c r="G176" t="s">
        <v>791</v>
      </c>
      <c r="H176" s="64"/>
      <c r="I176" s="64"/>
      <c r="J176"/>
      <c r="K176" t="s">
        <v>768</v>
      </c>
      <c r="L176"/>
    </row>
    <row r="177" spans="1:12" ht="15.75">
      <c r="A177"/>
      <c r="B177">
        <f t="shared" si="1"/>
        <v>9</v>
      </c>
      <c r="C177"/>
      <c r="D177" t="s">
        <v>322</v>
      </c>
      <c r="E177" t="s">
        <v>789</v>
      </c>
      <c r="F177" t="s">
        <v>790</v>
      </c>
      <c r="G177" t="s">
        <v>792</v>
      </c>
      <c r="H177" s="64"/>
      <c r="I177" s="64"/>
      <c r="J177"/>
      <c r="K177" t="s">
        <v>768</v>
      </c>
      <c r="L177"/>
    </row>
    <row r="178" spans="1:12" ht="15.75">
      <c r="A178"/>
      <c r="B178">
        <f t="shared" si="1"/>
        <v>10</v>
      </c>
      <c r="C178"/>
      <c r="D178" t="s">
        <v>328</v>
      </c>
      <c r="E178" t="s">
        <v>789</v>
      </c>
      <c r="F178" t="s">
        <v>790</v>
      </c>
      <c r="G178" t="s">
        <v>793</v>
      </c>
      <c r="H178" s="64"/>
      <c r="I178" s="64"/>
      <c r="J178"/>
      <c r="K178" t="s">
        <v>768</v>
      </c>
      <c r="L178"/>
    </row>
    <row r="179" spans="1:12" ht="15.75">
      <c r="A179"/>
      <c r="B179">
        <f>B178+1</f>
        <v>11</v>
      </c>
      <c r="C179"/>
      <c r="D179" t="s">
        <v>794</v>
      </c>
      <c r="E179" t="s">
        <v>789</v>
      </c>
      <c r="F179" t="s">
        <v>790</v>
      </c>
      <c r="G179" t="s">
        <v>795</v>
      </c>
      <c r="H179" s="64"/>
      <c r="I179" s="64"/>
      <c r="J179"/>
      <c r="K179" t="s">
        <v>768</v>
      </c>
      <c r="L179"/>
    </row>
    <row r="180" spans="1:12" ht="15.75">
      <c r="A180"/>
      <c r="B180">
        <f>B179+1</f>
        <v>12</v>
      </c>
      <c r="C180"/>
      <c r="D180" t="s">
        <v>796</v>
      </c>
      <c r="E180" t="s">
        <v>789</v>
      </c>
      <c r="F180" t="s">
        <v>790</v>
      </c>
      <c r="G180" t="s">
        <v>797</v>
      </c>
      <c r="H180" s="64"/>
      <c r="I180" s="64"/>
      <c r="J180"/>
      <c r="K180" t="s">
        <v>768</v>
      </c>
      <c r="L180"/>
    </row>
    <row r="181" spans="1:12" ht="15.75">
      <c r="A181"/>
      <c r="B181">
        <f>B180+1</f>
        <v>13</v>
      </c>
      <c r="C181"/>
      <c r="D181" t="s">
        <v>798</v>
      </c>
      <c r="E181" t="s">
        <v>789</v>
      </c>
      <c r="F181" t="s">
        <v>790</v>
      </c>
      <c r="G181" t="s">
        <v>799</v>
      </c>
      <c r="H181" s="64"/>
      <c r="I181" s="64"/>
      <c r="J181"/>
      <c r="K181" t="s">
        <v>768</v>
      </c>
      <c r="L181"/>
    </row>
  </sheetData>
  <mergeCells count="3">
    <mergeCell ref="A135:O135"/>
    <mergeCell ref="A167:O167"/>
    <mergeCell ref="I2:K6"/>
  </mergeCells>
  <pageMargins left="0.7" right="0.7" top="0.75" bottom="0.75" header="0.3" footer="0.3"/>
  <pageSetup orientation="portrait" verticalDpi="300" r:id="rId1"/>
  <tableParts count="3">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3B5C-5ABD-4C4C-B8DE-842A1DFDC1BB}">
  <sheetPr>
    <tabColor rgb="FFFF0000"/>
  </sheetPr>
  <dimension ref="A1:AC30"/>
  <sheetViews>
    <sheetView workbookViewId="0">
      <selection activeCell="H1" sqref="H1"/>
    </sheetView>
  </sheetViews>
  <sheetFormatPr defaultColWidth="10.875" defaultRowHeight="18" customHeight="1"/>
  <cols>
    <col min="1" max="1" width="11.875" style="2" customWidth="1"/>
    <col min="2" max="2" width="8.8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37.62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1" spans="1:29" ht="15">
      <c r="A1" s="1"/>
    </row>
    <row r="2" spans="1:29" ht="15">
      <c r="A2" s="2" t="s">
        <v>0</v>
      </c>
      <c r="B2" s="2" t="s">
        <v>800</v>
      </c>
    </row>
    <row r="3" spans="1:29" ht="15">
      <c r="A3" s="2" t="s">
        <v>2</v>
      </c>
      <c r="B3" s="2" t="s">
        <v>3</v>
      </c>
    </row>
    <row r="4" spans="1:29" ht="15">
      <c r="A4" s="2" t="s">
        <v>4</v>
      </c>
      <c r="B4" s="2" t="s">
        <v>5</v>
      </c>
    </row>
    <row r="5" spans="1:29" ht="15">
      <c r="A5" s="2" t="s">
        <v>6</v>
      </c>
      <c r="B5" s="2" t="s">
        <v>7</v>
      </c>
    </row>
    <row r="6" spans="1:29" ht="15">
      <c r="A6" s="1"/>
    </row>
    <row r="7" spans="1:29" ht="30">
      <c r="A7" s="4" t="s">
        <v>801</v>
      </c>
    </row>
    <row r="9" spans="1:29" ht="15.75">
      <c r="A9" s="16" t="s">
        <v>10</v>
      </c>
      <c r="B9" s="16" t="s">
        <v>11</v>
      </c>
      <c r="C9" s="16" t="s">
        <v>12</v>
      </c>
      <c r="D9" s="16" t="s">
        <v>13</v>
      </c>
      <c r="E9" s="16" t="s">
        <v>14</v>
      </c>
      <c r="F9" s="17" t="s">
        <v>15</v>
      </c>
      <c r="G9" s="16" t="s">
        <v>16</v>
      </c>
      <c r="H9" s="16" t="s">
        <v>25</v>
      </c>
      <c r="I9" s="16" t="s">
        <v>26</v>
      </c>
      <c r="J9" s="18" t="s">
        <v>27</v>
      </c>
      <c r="K9" s="18" t="s">
        <v>28</v>
      </c>
      <c r="L9" s="16" t="s">
        <v>29</v>
      </c>
      <c r="M9" s="16" t="s">
        <v>30</v>
      </c>
      <c r="N9" s="16" t="s">
        <v>31</v>
      </c>
      <c r="O9" s="16" t="s">
        <v>32</v>
      </c>
      <c r="P9" s="16" t="s">
        <v>802</v>
      </c>
      <c r="R9" s="2" t="s">
        <v>36</v>
      </c>
      <c r="S9" s="2" t="s">
        <v>37</v>
      </c>
      <c r="T9" s="2" t="s">
        <v>38</v>
      </c>
      <c r="U9" s="2" t="s">
        <v>39</v>
      </c>
    </row>
    <row r="10" spans="1:29" ht="15.75">
      <c r="A10" s="2" t="s">
        <v>801</v>
      </c>
      <c r="B10" s="2">
        <v>1</v>
      </c>
      <c r="C10" s="2" t="s">
        <v>45</v>
      </c>
      <c r="D10" s="2" t="s">
        <v>803</v>
      </c>
      <c r="E10" s="2" t="s">
        <v>43</v>
      </c>
      <c r="F10" s="21" t="s">
        <v>804</v>
      </c>
      <c r="G10" s="2" t="s">
        <v>45</v>
      </c>
      <c r="H10" s="2" t="s">
        <v>805</v>
      </c>
      <c r="I10"/>
      <c r="J10" s="2" t="s">
        <v>806</v>
      </c>
      <c r="L10" s="2" t="s">
        <v>807</v>
      </c>
      <c r="M10" s="2" t="s">
        <v>808</v>
      </c>
      <c r="O10" s="2" t="s">
        <v>55</v>
      </c>
      <c r="P10" s="2" t="s">
        <v>55</v>
      </c>
      <c r="R10" s="2" t="s">
        <v>56</v>
      </c>
      <c r="S10" s="2" t="s">
        <v>57</v>
      </c>
      <c r="T10" s="2">
        <v>1</v>
      </c>
      <c r="U10" s="9" t="s">
        <v>809</v>
      </c>
      <c r="V10" s="2" t="str">
        <f t="shared" ref="V10:V28" si="0">UPPER(U10)</f>
        <v>CODIGOGARANTIA</v>
      </c>
    </row>
    <row r="11" spans="1:29" ht="15.75">
      <c r="A11" s="2" t="s">
        <v>801</v>
      </c>
      <c r="B11" s="2">
        <v>2</v>
      </c>
      <c r="C11" s="2" t="s">
        <v>41</v>
      </c>
      <c r="D11" s="2" t="s">
        <v>810</v>
      </c>
      <c r="E11" s="2" t="s">
        <v>106</v>
      </c>
      <c r="F11" s="21" t="s">
        <v>117</v>
      </c>
      <c r="G11" s="2" t="s">
        <v>45</v>
      </c>
      <c r="H11" s="2" t="s">
        <v>111</v>
      </c>
      <c r="I11" t="s">
        <v>811</v>
      </c>
      <c r="J11" s="2" t="s">
        <v>812</v>
      </c>
      <c r="K11" s="3" t="s">
        <v>813</v>
      </c>
      <c r="L11" s="2" t="s">
        <v>814</v>
      </c>
      <c r="M11" s="2" t="s">
        <v>815</v>
      </c>
      <c r="O11" s="2" t="s">
        <v>55</v>
      </c>
      <c r="P11" s="2" t="s">
        <v>55</v>
      </c>
      <c r="R11" s="2" t="s">
        <v>67</v>
      </c>
      <c r="S11" s="2" t="s">
        <v>57</v>
      </c>
      <c r="T11" s="2">
        <v>2</v>
      </c>
      <c r="U11" s="9" t="s">
        <v>816</v>
      </c>
      <c r="V11" s="2" t="str">
        <f t="shared" si="0"/>
        <v>TIPOGARANTIA</v>
      </c>
      <c r="Y11" s="22">
        <v>2</v>
      </c>
      <c r="Z11" s="23" t="s">
        <v>817</v>
      </c>
      <c r="AB11" s="22">
        <v>3</v>
      </c>
      <c r="AC11" s="23" t="s">
        <v>818</v>
      </c>
    </row>
    <row r="12" spans="1:29" ht="15.75">
      <c r="A12" s="2" t="s">
        <v>801</v>
      </c>
      <c r="B12" s="2">
        <v>3</v>
      </c>
      <c r="C12" s="2" t="s">
        <v>41</v>
      </c>
      <c r="D12" s="2" t="s">
        <v>819</v>
      </c>
      <c r="E12" s="2" t="s">
        <v>106</v>
      </c>
      <c r="F12" s="21" t="s">
        <v>820</v>
      </c>
      <c r="G12" s="2" t="s">
        <v>45</v>
      </c>
      <c r="I12"/>
      <c r="J12" s="2" t="s">
        <v>812</v>
      </c>
      <c r="K12" s="3">
        <v>4</v>
      </c>
      <c r="L12" s="2" t="s">
        <v>821</v>
      </c>
      <c r="M12" s="2" t="s">
        <v>822</v>
      </c>
      <c r="R12" s="2" t="s">
        <v>67</v>
      </c>
      <c r="S12" s="2" t="s">
        <v>57</v>
      </c>
      <c r="T12" s="2">
        <v>3</v>
      </c>
      <c r="U12" s="9" t="s">
        <v>823</v>
      </c>
      <c r="V12" s="2" t="str">
        <f t="shared" si="0"/>
        <v>VALORGARANTIA</v>
      </c>
      <c r="Y12" s="22">
        <v>4</v>
      </c>
      <c r="Z12" s="23" t="s">
        <v>824</v>
      </c>
    </row>
    <row r="13" spans="1:29" ht="15.75">
      <c r="A13" s="2" t="s">
        <v>801</v>
      </c>
      <c r="B13" s="2">
        <v>4</v>
      </c>
      <c r="C13" s="2" t="s">
        <v>41</v>
      </c>
      <c r="D13" s="2" t="s">
        <v>459</v>
      </c>
      <c r="E13" s="2" t="s">
        <v>106</v>
      </c>
      <c r="F13" s="21" t="s">
        <v>117</v>
      </c>
      <c r="G13" s="2" t="s">
        <v>45</v>
      </c>
      <c r="H13" s="2" t="s">
        <v>111</v>
      </c>
      <c r="I13" s="2" t="s">
        <v>825</v>
      </c>
      <c r="J13" s="2" t="s">
        <v>56</v>
      </c>
      <c r="K13" s="3">
        <v>4</v>
      </c>
      <c r="L13" s="2" t="s">
        <v>826</v>
      </c>
      <c r="M13" s="2" t="s">
        <v>827</v>
      </c>
      <c r="R13" s="2" t="s">
        <v>67</v>
      </c>
      <c r="S13" s="2" t="s">
        <v>57</v>
      </c>
      <c r="T13" s="2">
        <v>4</v>
      </c>
      <c r="U13" s="9" t="s">
        <v>483</v>
      </c>
      <c r="V13" s="2" t="str">
        <f t="shared" si="0"/>
        <v>MONEDA</v>
      </c>
    </row>
    <row r="14" spans="1:29" ht="15.75">
      <c r="A14" s="2" t="s">
        <v>801</v>
      </c>
      <c r="B14" s="2">
        <v>5</v>
      </c>
      <c r="C14" s="2" t="s">
        <v>41</v>
      </c>
      <c r="D14" s="2" t="s">
        <v>828</v>
      </c>
      <c r="E14" s="2" t="s">
        <v>82</v>
      </c>
      <c r="F14" s="21" t="s">
        <v>83</v>
      </c>
      <c r="G14" s="2" t="s">
        <v>41</v>
      </c>
      <c r="H14" s="2" t="s">
        <v>627</v>
      </c>
      <c r="I14"/>
      <c r="J14" s="2" t="s">
        <v>56</v>
      </c>
      <c r="L14" s="2" t="s">
        <v>829</v>
      </c>
      <c r="M14" s="2" t="s">
        <v>830</v>
      </c>
      <c r="R14" s="2" t="s">
        <v>67</v>
      </c>
      <c r="S14" s="2" t="s">
        <v>57</v>
      </c>
      <c r="T14" s="2">
        <v>5</v>
      </c>
      <c r="U14" s="9" t="s">
        <v>831</v>
      </c>
      <c r="V14" s="2" t="str">
        <f t="shared" si="0"/>
        <v>FECHAVALUACION</v>
      </c>
    </row>
    <row r="15" spans="1:29" ht="15.75">
      <c r="A15" s="2" t="s">
        <v>801</v>
      </c>
      <c r="B15" s="2">
        <v>6</v>
      </c>
      <c r="C15" s="2" t="s">
        <v>41</v>
      </c>
      <c r="D15" s="2" t="s">
        <v>29</v>
      </c>
      <c r="E15" s="2" t="s">
        <v>43</v>
      </c>
      <c r="F15" s="21" t="s">
        <v>832</v>
      </c>
      <c r="G15" s="2" t="s">
        <v>41</v>
      </c>
      <c r="I15"/>
      <c r="J15" s="2" t="s">
        <v>833</v>
      </c>
      <c r="L15" s="2" t="s">
        <v>834</v>
      </c>
      <c r="M15" s="2" t="s">
        <v>835</v>
      </c>
      <c r="R15" s="2" t="s">
        <v>67</v>
      </c>
      <c r="S15" s="2" t="s">
        <v>57</v>
      </c>
      <c r="T15" s="2">
        <v>6</v>
      </c>
      <c r="U15" s="9" t="s">
        <v>2</v>
      </c>
      <c r="V15" s="2" t="str">
        <f t="shared" si="0"/>
        <v>DESCRIPCION</v>
      </c>
    </row>
    <row r="16" spans="1:29" ht="15.75">
      <c r="A16" s="2" t="s">
        <v>801</v>
      </c>
      <c r="B16" s="2">
        <v>7</v>
      </c>
      <c r="C16" s="2" t="s">
        <v>41</v>
      </c>
      <c r="D16" s="2" t="s">
        <v>836</v>
      </c>
      <c r="E16" s="2" t="s">
        <v>106</v>
      </c>
      <c r="F16" s="21" t="s">
        <v>837</v>
      </c>
      <c r="G16" s="2" t="s">
        <v>41</v>
      </c>
      <c r="I16" t="s">
        <v>838</v>
      </c>
      <c r="J16" s="24" t="s">
        <v>839</v>
      </c>
      <c r="K16" s="25">
        <v>17</v>
      </c>
      <c r="L16" s="2" t="s">
        <v>840</v>
      </c>
      <c r="M16" s="2" t="s">
        <v>841</v>
      </c>
      <c r="R16" s="2" t="s">
        <v>67</v>
      </c>
      <c r="S16" s="2" t="s">
        <v>57</v>
      </c>
      <c r="T16" s="2">
        <v>7</v>
      </c>
      <c r="U16" s="9" t="s">
        <v>842</v>
      </c>
      <c r="V16" s="2" t="str">
        <f t="shared" si="0"/>
        <v>BANCOGARANTIA</v>
      </c>
    </row>
    <row r="17" spans="1:22" ht="15.75">
      <c r="A17" s="2" t="s">
        <v>801</v>
      </c>
      <c r="B17" s="2">
        <v>8</v>
      </c>
      <c r="C17" s="2" t="s">
        <v>41</v>
      </c>
      <c r="D17" s="2" t="s">
        <v>843</v>
      </c>
      <c r="E17" s="2" t="s">
        <v>106</v>
      </c>
      <c r="F17" s="21" t="s">
        <v>820</v>
      </c>
      <c r="G17" s="2" t="s">
        <v>41</v>
      </c>
      <c r="I17"/>
      <c r="J17" s="24" t="s">
        <v>844</v>
      </c>
      <c r="L17" s="2" t="s">
        <v>845</v>
      </c>
      <c r="M17" s="2" t="s">
        <v>846</v>
      </c>
      <c r="R17" s="2" t="s">
        <v>67</v>
      </c>
      <c r="S17" s="2" t="s">
        <v>57</v>
      </c>
      <c r="T17" s="2">
        <v>8</v>
      </c>
      <c r="U17" s="9" t="s">
        <v>847</v>
      </c>
      <c r="V17" s="2" t="str">
        <f t="shared" si="0"/>
        <v>VALORGARANTIAPROYECTADO</v>
      </c>
    </row>
    <row r="18" spans="1:22" ht="15.75">
      <c r="A18" s="2" t="s">
        <v>801</v>
      </c>
      <c r="B18" s="2">
        <v>9</v>
      </c>
      <c r="C18" s="2" t="s">
        <v>41</v>
      </c>
      <c r="D18" s="2" t="s">
        <v>848</v>
      </c>
      <c r="E18" s="2" t="s">
        <v>106</v>
      </c>
      <c r="F18" s="21" t="s">
        <v>849</v>
      </c>
      <c r="G18" s="2" t="s">
        <v>41</v>
      </c>
      <c r="H18" s="2" t="s">
        <v>850</v>
      </c>
      <c r="I18"/>
      <c r="J18" s="24" t="s">
        <v>812</v>
      </c>
      <c r="K18" s="3" t="s">
        <v>851</v>
      </c>
      <c r="L18" s="2" t="s">
        <v>852</v>
      </c>
      <c r="M18" s="2" t="s">
        <v>853</v>
      </c>
      <c r="R18" s="2" t="s">
        <v>67</v>
      </c>
      <c r="S18" s="2" t="s">
        <v>57</v>
      </c>
      <c r="T18" s="2">
        <v>9</v>
      </c>
      <c r="U18" s="9" t="s">
        <v>854</v>
      </c>
      <c r="V18" s="2" t="str">
        <f t="shared" si="0"/>
        <v>HC</v>
      </c>
    </row>
    <row r="19" spans="1:22" ht="15.75">
      <c r="A19" s="2" t="s">
        <v>801</v>
      </c>
      <c r="B19" s="2">
        <v>10</v>
      </c>
      <c r="C19" s="2" t="s">
        <v>41</v>
      </c>
      <c r="D19" s="2" t="s">
        <v>855</v>
      </c>
      <c r="E19" s="2" t="s">
        <v>82</v>
      </c>
      <c r="F19" s="21" t="s">
        <v>83</v>
      </c>
      <c r="G19" s="2" t="s">
        <v>41</v>
      </c>
      <c r="H19" s="2" t="s">
        <v>627</v>
      </c>
      <c r="I19"/>
      <c r="J19" s="24" t="s">
        <v>856</v>
      </c>
      <c r="K19" s="3">
        <v>9</v>
      </c>
      <c r="L19" s="2" t="s">
        <v>857</v>
      </c>
      <c r="M19" s="2" t="s">
        <v>858</v>
      </c>
      <c r="R19" s="2" t="s">
        <v>67</v>
      </c>
      <c r="S19" s="2" t="s">
        <v>57</v>
      </c>
      <c r="T19" s="2">
        <v>10</v>
      </c>
      <c r="U19" s="9" t="s">
        <v>859</v>
      </c>
      <c r="V19" s="2" t="str">
        <f t="shared" si="0"/>
        <v>VENCIMIENTORESTANTE</v>
      </c>
    </row>
    <row r="20" spans="1:22" ht="15.75">
      <c r="A20" s="2" t="s">
        <v>801</v>
      </c>
      <c r="B20" s="2">
        <v>11</v>
      </c>
      <c r="C20" s="2" t="s">
        <v>41</v>
      </c>
      <c r="D20" s="2" t="s">
        <v>860</v>
      </c>
      <c r="E20" s="2" t="s">
        <v>106</v>
      </c>
      <c r="F20" s="21" t="s">
        <v>107</v>
      </c>
      <c r="G20" s="2" t="s">
        <v>41</v>
      </c>
      <c r="H20" s="2" t="s">
        <v>111</v>
      </c>
      <c r="I20" t="s">
        <v>861</v>
      </c>
      <c r="J20" s="24" t="s">
        <v>856</v>
      </c>
      <c r="K20" s="3">
        <v>9</v>
      </c>
      <c r="L20" s="2" t="s">
        <v>862</v>
      </c>
      <c r="M20" s="2" t="s">
        <v>863</v>
      </c>
      <c r="R20" s="2" t="s">
        <v>67</v>
      </c>
      <c r="S20" s="2" t="s">
        <v>57</v>
      </c>
      <c r="T20" s="2">
        <v>11</v>
      </c>
      <c r="U20" s="9" t="s">
        <v>864</v>
      </c>
      <c r="V20" s="2" t="str">
        <f t="shared" si="0"/>
        <v>GRADORIESGO</v>
      </c>
    </row>
    <row r="21" spans="1:22" ht="15.75">
      <c r="A21" s="2" t="s">
        <v>801</v>
      </c>
      <c r="B21" s="2">
        <v>12</v>
      </c>
      <c r="C21" s="2" t="s">
        <v>41</v>
      </c>
      <c r="D21" s="2" t="s">
        <v>865</v>
      </c>
      <c r="E21" s="2" t="s">
        <v>106</v>
      </c>
      <c r="F21" s="21" t="s">
        <v>837</v>
      </c>
      <c r="G21" s="2" t="s">
        <v>41</v>
      </c>
      <c r="H21" s="2" t="s">
        <v>111</v>
      </c>
      <c r="I21" t="s">
        <v>866</v>
      </c>
      <c r="J21" s="24" t="s">
        <v>856</v>
      </c>
      <c r="K21" s="3">
        <v>9</v>
      </c>
      <c r="L21" s="2" t="s">
        <v>867</v>
      </c>
      <c r="M21" s="2" t="s">
        <v>868</v>
      </c>
      <c r="R21" s="2" t="s">
        <v>67</v>
      </c>
      <c r="S21" s="2" t="s">
        <v>57</v>
      </c>
      <c r="T21" s="2">
        <v>12</v>
      </c>
      <c r="U21" s="9" t="s">
        <v>869</v>
      </c>
      <c r="V21" s="2" t="str">
        <f t="shared" si="0"/>
        <v>AGENCIACALIFICADORA</v>
      </c>
    </row>
    <row r="22" spans="1:22" ht="15.75">
      <c r="A22" s="2" t="s">
        <v>801</v>
      </c>
      <c r="B22" s="2">
        <v>13</v>
      </c>
      <c r="C22" s="2" t="s">
        <v>41</v>
      </c>
      <c r="D22" s="2" t="s">
        <v>870</v>
      </c>
      <c r="E22" s="2" t="s">
        <v>43</v>
      </c>
      <c r="F22" s="21" t="s">
        <v>871</v>
      </c>
      <c r="G22" s="2" t="s">
        <v>41</v>
      </c>
      <c r="H22" s="2" t="s">
        <v>111</v>
      </c>
      <c r="I22" t="s">
        <v>872</v>
      </c>
      <c r="J22" s="24" t="s">
        <v>856</v>
      </c>
      <c r="K22" s="3">
        <v>9</v>
      </c>
      <c r="L22" s="2" t="s">
        <v>867</v>
      </c>
      <c r="M22" s="2" t="s">
        <v>873</v>
      </c>
      <c r="R22" s="2" t="s">
        <v>56</v>
      </c>
      <c r="S22" s="2" t="s">
        <v>57</v>
      </c>
      <c r="T22" s="2">
        <v>13</v>
      </c>
      <c r="U22" s="9" t="s">
        <v>874</v>
      </c>
      <c r="V22" s="2" t="str">
        <f t="shared" si="0"/>
        <v>CALIFICACIÓN</v>
      </c>
    </row>
    <row r="23" spans="1:22" ht="15.75">
      <c r="A23" s="2" t="s">
        <v>801</v>
      </c>
      <c r="B23" s="2">
        <v>14</v>
      </c>
      <c r="C23" s="2" t="s">
        <v>41</v>
      </c>
      <c r="D23" s="2" t="s">
        <v>875</v>
      </c>
      <c r="E23" s="2" t="s">
        <v>106</v>
      </c>
      <c r="F23" s="21" t="s">
        <v>107</v>
      </c>
      <c r="G23" s="2" t="s">
        <v>41</v>
      </c>
      <c r="H23" s="2" t="s">
        <v>111</v>
      </c>
      <c r="I23" s="26" t="s">
        <v>876</v>
      </c>
      <c r="J23" s="24" t="s">
        <v>856</v>
      </c>
      <c r="K23" s="3">
        <v>9</v>
      </c>
      <c r="L23" s="2" t="s">
        <v>877</v>
      </c>
      <c r="M23" s="2" t="s">
        <v>878</v>
      </c>
      <c r="R23" s="2" t="s">
        <v>67</v>
      </c>
      <c r="S23" s="2" t="s">
        <v>57</v>
      </c>
      <c r="T23" s="2">
        <v>14</v>
      </c>
      <c r="U23" s="9" t="s">
        <v>876</v>
      </c>
      <c r="V23" s="2" t="str">
        <f t="shared" si="0"/>
        <v>EMISOR</v>
      </c>
    </row>
    <row r="24" spans="1:22" ht="15.75">
      <c r="A24" s="2" t="s">
        <v>801</v>
      </c>
      <c r="B24" s="2">
        <v>15</v>
      </c>
      <c r="C24" s="2" t="s">
        <v>41</v>
      </c>
      <c r="D24" s="2" t="s">
        <v>879</v>
      </c>
      <c r="E24" s="2" t="s">
        <v>106</v>
      </c>
      <c r="F24" s="21" t="s">
        <v>107</v>
      </c>
      <c r="G24" s="2" t="s">
        <v>41</v>
      </c>
      <c r="H24" s="2" t="s">
        <v>111</v>
      </c>
      <c r="I24" t="s">
        <v>880</v>
      </c>
      <c r="J24" s="24" t="s">
        <v>856</v>
      </c>
      <c r="K24" s="3">
        <v>9</v>
      </c>
      <c r="L24" s="2" t="s">
        <v>881</v>
      </c>
      <c r="M24" s="2" t="s">
        <v>882</v>
      </c>
      <c r="R24" s="2" t="s">
        <v>67</v>
      </c>
      <c r="S24" s="2" t="s">
        <v>57</v>
      </c>
      <c r="T24" s="2">
        <v>15</v>
      </c>
      <c r="U24" s="9" t="s">
        <v>883</v>
      </c>
      <c r="V24" s="2" t="str">
        <f t="shared" si="0"/>
        <v>ESCALA</v>
      </c>
    </row>
    <row r="25" spans="1:22" ht="15.75">
      <c r="A25" s="2" t="s">
        <v>801</v>
      </c>
      <c r="B25" s="2">
        <v>16</v>
      </c>
      <c r="C25" s="2" t="s">
        <v>41</v>
      </c>
      <c r="D25" s="2" t="s">
        <v>884</v>
      </c>
      <c r="E25" s="2" t="s">
        <v>106</v>
      </c>
      <c r="F25" s="21" t="s">
        <v>107</v>
      </c>
      <c r="G25" s="2" t="s">
        <v>41</v>
      </c>
      <c r="H25" s="2" t="s">
        <v>111</v>
      </c>
      <c r="I25" t="s">
        <v>885</v>
      </c>
      <c r="J25" s="24" t="s">
        <v>856</v>
      </c>
      <c r="K25" s="3">
        <v>9</v>
      </c>
      <c r="L25" s="2" t="s">
        <v>886</v>
      </c>
      <c r="M25" s="2" t="s">
        <v>887</v>
      </c>
      <c r="R25" s="2" t="s">
        <v>67</v>
      </c>
      <c r="S25" s="2" t="s">
        <v>57</v>
      </c>
      <c r="T25" s="2">
        <v>16</v>
      </c>
      <c r="U25" s="9" t="s">
        <v>888</v>
      </c>
      <c r="V25" s="2" t="str">
        <f t="shared" si="0"/>
        <v>ESIPC</v>
      </c>
    </row>
    <row r="26" spans="1:22" ht="15.75">
      <c r="A26" s="2" t="s">
        <v>801</v>
      </c>
      <c r="B26" s="2">
        <v>17</v>
      </c>
      <c r="C26" s="2" t="s">
        <v>41</v>
      </c>
      <c r="D26" s="2" t="s">
        <v>889</v>
      </c>
      <c r="E26" s="2" t="s">
        <v>106</v>
      </c>
      <c r="F26" s="21" t="s">
        <v>145</v>
      </c>
      <c r="G26" s="2" t="s">
        <v>41</v>
      </c>
      <c r="I26"/>
      <c r="J26" s="24" t="s">
        <v>839</v>
      </c>
      <c r="K26" s="3">
        <v>6</v>
      </c>
      <c r="L26" s="2" t="s">
        <v>890</v>
      </c>
      <c r="M26" s="2" t="s">
        <v>891</v>
      </c>
      <c r="R26" s="2" t="s">
        <v>67</v>
      </c>
      <c r="S26" s="2" t="s">
        <v>57</v>
      </c>
      <c r="T26" s="2">
        <v>17</v>
      </c>
      <c r="U26" s="9" t="s">
        <v>892</v>
      </c>
      <c r="V26" s="2" t="str">
        <f t="shared" si="0"/>
        <v>PIGARANTE</v>
      </c>
    </row>
    <row r="27" spans="1:22" ht="15.75">
      <c r="A27" s="2" t="s">
        <v>801</v>
      </c>
      <c r="B27" s="2">
        <v>18</v>
      </c>
      <c r="C27" s="2" t="s">
        <v>41</v>
      </c>
      <c r="D27" s="2" t="s">
        <v>893</v>
      </c>
      <c r="E27" s="2" t="s">
        <v>43</v>
      </c>
      <c r="F27" s="21" t="s">
        <v>894</v>
      </c>
      <c r="G27" s="2" t="s">
        <v>41</v>
      </c>
      <c r="H27" s="2" t="s">
        <v>895</v>
      </c>
      <c r="I27"/>
      <c r="J27" s="24" t="s">
        <v>56</v>
      </c>
      <c r="L27" s="2" t="s">
        <v>896</v>
      </c>
      <c r="M27" s="2" t="s">
        <v>897</v>
      </c>
      <c r="R27" s="2" t="s">
        <v>67</v>
      </c>
      <c r="S27" s="2" t="s">
        <v>57</v>
      </c>
      <c r="T27" s="2">
        <v>18</v>
      </c>
      <c r="U27" s="9" t="s">
        <v>58</v>
      </c>
      <c r="V27" s="2" t="str">
        <f t="shared" si="0"/>
        <v>CODIGOCLIENTE</v>
      </c>
    </row>
    <row r="28" spans="1:22" ht="15.75">
      <c r="A28" s="2" t="s">
        <v>801</v>
      </c>
      <c r="B28" s="2">
        <v>19</v>
      </c>
      <c r="C28" s="2" t="s">
        <v>41</v>
      </c>
      <c r="D28" s="2" t="s">
        <v>898</v>
      </c>
      <c r="E28" s="2" t="s">
        <v>106</v>
      </c>
      <c r="F28" s="21" t="s">
        <v>107</v>
      </c>
      <c r="G28" s="2" t="s">
        <v>41</v>
      </c>
      <c r="H28" s="2" t="s">
        <v>111</v>
      </c>
      <c r="I28" t="s">
        <v>899</v>
      </c>
      <c r="J28" s="24" t="s">
        <v>900</v>
      </c>
      <c r="K28" s="3">
        <v>7</v>
      </c>
      <c r="L28" s="2" t="s">
        <v>901</v>
      </c>
      <c r="M28" s="2" t="s">
        <v>902</v>
      </c>
      <c r="R28" s="2" t="s">
        <v>67</v>
      </c>
      <c r="S28" s="2" t="s">
        <v>57</v>
      </c>
      <c r="T28" s="2">
        <v>19</v>
      </c>
      <c r="U28" s="9" t="s">
        <v>903</v>
      </c>
      <c r="V28" s="2" t="str">
        <f t="shared" si="0"/>
        <v>INDPERMORALES</v>
      </c>
    </row>
    <row r="29" spans="1:22" ht="15.75">
      <c r="A29" s="2" t="s">
        <v>801</v>
      </c>
      <c r="B29" s="2">
        <v>20</v>
      </c>
      <c r="C29" s="2" t="s">
        <v>41</v>
      </c>
      <c r="D29" s="2" t="s">
        <v>626</v>
      </c>
      <c r="E29" s="2" t="s">
        <v>82</v>
      </c>
      <c r="F29" s="24" t="s">
        <v>83</v>
      </c>
      <c r="G29" s="2" t="s">
        <v>45</v>
      </c>
      <c r="I29"/>
      <c r="J29" s="27" t="s">
        <v>628</v>
      </c>
      <c r="L29" s="2" t="s">
        <v>629</v>
      </c>
      <c r="M29" s="2" t="s">
        <v>630</v>
      </c>
      <c r="U29"/>
    </row>
    <row r="30" spans="1:22" ht="15">
      <c r="A30" s="28" t="s">
        <v>801</v>
      </c>
      <c r="B30" s="2">
        <v>21</v>
      </c>
      <c r="C30" s="29" t="s">
        <v>41</v>
      </c>
      <c r="D30" s="29" t="s">
        <v>904</v>
      </c>
      <c r="E30" s="29" t="s">
        <v>43</v>
      </c>
      <c r="F30" s="30" t="s">
        <v>905</v>
      </c>
      <c r="G30" s="29" t="s">
        <v>41</v>
      </c>
      <c r="H30" s="29"/>
      <c r="I30" s="29"/>
      <c r="J30" s="29" t="s">
        <v>839</v>
      </c>
      <c r="K30" s="31">
        <v>18</v>
      </c>
      <c r="L30" s="29" t="s">
        <v>906</v>
      </c>
      <c r="M30" s="29" t="s">
        <v>907</v>
      </c>
    </row>
  </sheetData>
  <pageMargins left="0.7" right="0.7" top="0.75" bottom="0.75" header="0.3" footer="0.3"/>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75B96-D3CB-4CAA-8C1C-BE21A473586C}">
  <sheetPr>
    <tabColor rgb="FFFF0000"/>
  </sheetPr>
  <dimension ref="A2:Y27"/>
  <sheetViews>
    <sheetView workbookViewId="0">
      <selection activeCell="B10" sqref="B10:C12"/>
    </sheetView>
  </sheetViews>
  <sheetFormatPr defaultColWidth="10.875" defaultRowHeight="15"/>
  <cols>
    <col min="1" max="1" width="27.25" style="2" customWidth="1"/>
    <col min="2" max="2" width="7.75" style="2" customWidth="1"/>
    <col min="3" max="3" width="8.375" style="2" customWidth="1"/>
    <col min="4" max="4" width="27" style="2" customWidth="1"/>
    <col min="5" max="5" width="11.625" style="2" customWidth="1"/>
    <col min="6" max="6" width="11.375" style="2" customWidth="1"/>
    <col min="7" max="7" width="14" style="2" customWidth="1"/>
    <col min="8" max="8" width="24.375" style="2" customWidth="1"/>
    <col min="9" max="9" width="26.375" style="2" customWidth="1"/>
    <col min="10" max="10" width="11.375" style="3" bestFit="1" customWidth="1"/>
    <col min="11" max="11" width="24.625" style="3" customWidth="1"/>
    <col min="12" max="12" width="36.875" style="2" customWidth="1"/>
    <col min="13" max="13" width="32.125" style="2" customWidth="1"/>
    <col min="14" max="14" width="34" style="2" customWidth="1"/>
    <col min="15" max="15" width="21.625" style="2" customWidth="1"/>
    <col min="16" max="17" width="10.875" style="2"/>
    <col min="18" max="18" width="14.875" style="2" bestFit="1" customWidth="1"/>
    <col min="19" max="16384" width="10.875" style="2"/>
  </cols>
  <sheetData>
    <row r="2" spans="1:25">
      <c r="A2" s="2" t="s">
        <v>0</v>
      </c>
      <c r="B2" s="2" t="s">
        <v>908</v>
      </c>
    </row>
    <row r="3" spans="1:25">
      <c r="A3" s="2" t="s">
        <v>2</v>
      </c>
      <c r="B3" s="2" t="s">
        <v>3</v>
      </c>
    </row>
    <row r="4" spans="1:25">
      <c r="A4" s="2" t="s">
        <v>4</v>
      </c>
      <c r="B4" s="2" t="s">
        <v>5</v>
      </c>
    </row>
    <row r="5" spans="1:25">
      <c r="A5" s="2" t="s">
        <v>6</v>
      </c>
      <c r="B5" s="2" t="s">
        <v>7</v>
      </c>
    </row>
    <row r="6" spans="1:25">
      <c r="A6" s="1"/>
    </row>
    <row r="7" spans="1:25" ht="30">
      <c r="A7" s="4" t="s">
        <v>909</v>
      </c>
    </row>
    <row r="9" spans="1:25" ht="15.75">
      <c r="A9" s="16" t="s">
        <v>10</v>
      </c>
      <c r="B9" s="16" t="s">
        <v>11</v>
      </c>
      <c r="C9" s="16" t="s">
        <v>12</v>
      </c>
      <c r="D9" s="16" t="s">
        <v>13</v>
      </c>
      <c r="E9" s="16" t="s">
        <v>14</v>
      </c>
      <c r="F9" s="17" t="s">
        <v>15</v>
      </c>
      <c r="G9" s="16" t="s">
        <v>16</v>
      </c>
      <c r="H9" s="16" t="s">
        <v>25</v>
      </c>
      <c r="I9" s="16" t="s">
        <v>26</v>
      </c>
      <c r="J9" s="18" t="s">
        <v>27</v>
      </c>
      <c r="K9" s="18" t="s">
        <v>28</v>
      </c>
      <c r="L9" s="16" t="s">
        <v>29</v>
      </c>
      <c r="M9" s="16" t="s">
        <v>30</v>
      </c>
      <c r="N9" s="16" t="s">
        <v>31</v>
      </c>
      <c r="O9" s="16" t="s">
        <v>32</v>
      </c>
      <c r="P9" s="16" t="s">
        <v>802</v>
      </c>
      <c r="R9" s="2" t="s">
        <v>36</v>
      </c>
      <c r="S9" s="2" t="s">
        <v>37</v>
      </c>
      <c r="T9" s="2" t="s">
        <v>38</v>
      </c>
      <c r="U9" s="2" t="s">
        <v>39</v>
      </c>
    </row>
    <row r="10" spans="1:25" ht="15.75">
      <c r="A10" s="2" t="s">
        <v>909</v>
      </c>
      <c r="B10" s="3">
        <v>1</v>
      </c>
      <c r="C10" s="3" t="s">
        <v>45</v>
      </c>
      <c r="D10" s="2" t="s">
        <v>803</v>
      </c>
      <c r="E10" s="2" t="s">
        <v>43</v>
      </c>
      <c r="F10" s="21" t="s">
        <v>894</v>
      </c>
      <c r="G10" s="2" t="s">
        <v>45</v>
      </c>
      <c r="I10"/>
      <c r="J10" s="2" t="s">
        <v>910</v>
      </c>
      <c r="L10" s="2" t="s">
        <v>911</v>
      </c>
      <c r="M10" s="2" t="s">
        <v>912</v>
      </c>
      <c r="O10" s="2" t="s">
        <v>55</v>
      </c>
      <c r="P10" s="2" t="s">
        <v>55</v>
      </c>
      <c r="R10" s="2" t="s">
        <v>56</v>
      </c>
      <c r="S10" s="2" t="s">
        <v>913</v>
      </c>
      <c r="T10" s="2">
        <v>1</v>
      </c>
      <c r="U10" s="6" t="s">
        <v>809</v>
      </c>
      <c r="V10" s="2" t="str">
        <f>UPPER(U10)</f>
        <v>CODIGOGARANTIA</v>
      </c>
    </row>
    <row r="11" spans="1:25" ht="16.5" thickBot="1">
      <c r="A11" s="2" t="s">
        <v>909</v>
      </c>
      <c r="B11" s="3">
        <v>2</v>
      </c>
      <c r="C11" s="3" t="s">
        <v>45</v>
      </c>
      <c r="D11" s="2" t="s">
        <v>914</v>
      </c>
      <c r="E11" s="2" t="s">
        <v>43</v>
      </c>
      <c r="F11" s="21" t="s">
        <v>44</v>
      </c>
      <c r="G11" s="2" t="s">
        <v>45</v>
      </c>
      <c r="I11"/>
      <c r="J11" s="2" t="s">
        <v>915</v>
      </c>
      <c r="L11" s="2" t="s">
        <v>916</v>
      </c>
      <c r="M11" s="2" t="s">
        <v>917</v>
      </c>
      <c r="O11" s="2" t="s">
        <v>55</v>
      </c>
      <c r="P11" s="2" t="s">
        <v>55</v>
      </c>
      <c r="R11" s="2" t="s">
        <v>67</v>
      </c>
      <c r="S11" s="2" t="s">
        <v>913</v>
      </c>
      <c r="T11" s="2">
        <v>2</v>
      </c>
      <c r="U11" s="9" t="s">
        <v>68</v>
      </c>
      <c r="V11" s="2" t="str">
        <f t="shared" ref="V11:V12" si="0">UPPER(U11)</f>
        <v>CODIGOCREDITO</v>
      </c>
      <c r="X11" s="22">
        <v>1</v>
      </c>
      <c r="Y11" s="23" t="s">
        <v>918</v>
      </c>
    </row>
    <row r="12" spans="1:25" ht="15.75">
      <c r="A12" s="2" t="s">
        <v>909</v>
      </c>
      <c r="B12" s="3">
        <v>3</v>
      </c>
      <c r="C12" s="3" t="s">
        <v>41</v>
      </c>
      <c r="D12" s="2" t="s">
        <v>919</v>
      </c>
      <c r="E12" s="2" t="s">
        <v>106</v>
      </c>
      <c r="F12" s="21" t="s">
        <v>849</v>
      </c>
      <c r="G12" s="2" t="s">
        <v>45</v>
      </c>
      <c r="I12"/>
      <c r="J12" s="2" t="s">
        <v>920</v>
      </c>
      <c r="L12" s="2" t="s">
        <v>921</v>
      </c>
      <c r="M12" s="2" t="s">
        <v>922</v>
      </c>
      <c r="R12" s="2" t="s">
        <v>67</v>
      </c>
      <c r="S12" s="2" t="s">
        <v>913</v>
      </c>
      <c r="T12" s="2">
        <v>3</v>
      </c>
      <c r="U12" s="6" t="s">
        <v>923</v>
      </c>
      <c r="V12" s="2" t="str">
        <f t="shared" si="0"/>
        <v>PORCENTAJE</v>
      </c>
    </row>
    <row r="22" spans="1:22" s="3" customFormat="1">
      <c r="A22" s="2"/>
      <c r="B22" s="2"/>
      <c r="C22" s="2"/>
      <c r="D22" s="2"/>
      <c r="E22" s="2"/>
      <c r="F22" s="2"/>
      <c r="G22" s="2"/>
      <c r="H22" s="2"/>
      <c r="I22" s="2"/>
      <c r="L22" s="2"/>
      <c r="M22" s="2"/>
      <c r="N22" s="2"/>
      <c r="O22" s="2"/>
      <c r="P22" s="2"/>
      <c r="Q22" s="2"/>
      <c r="R22" s="2"/>
      <c r="S22" s="2"/>
      <c r="T22" s="2"/>
      <c r="U22" s="2"/>
      <c r="V22" s="2"/>
    </row>
    <row r="23" spans="1:22" s="3" customFormat="1">
      <c r="A23" s="2"/>
      <c r="B23" s="2"/>
      <c r="C23" s="2"/>
      <c r="D23" s="2"/>
      <c r="E23" s="2"/>
      <c r="F23" s="2"/>
      <c r="G23" s="2"/>
      <c r="H23" s="2"/>
      <c r="I23" s="2"/>
      <c r="L23" s="2"/>
      <c r="M23" s="2"/>
      <c r="N23" s="2"/>
      <c r="O23" s="2"/>
      <c r="P23" s="2"/>
      <c r="Q23" s="2"/>
      <c r="R23" s="2"/>
      <c r="S23" s="2"/>
      <c r="T23" s="2"/>
      <c r="U23" s="2"/>
      <c r="V23" s="2"/>
    </row>
    <row r="24" spans="1:22" s="3" customFormat="1">
      <c r="A24" s="2"/>
      <c r="B24" s="2"/>
      <c r="C24" s="2"/>
      <c r="D24" s="2"/>
      <c r="E24" s="2"/>
      <c r="F24" s="2"/>
      <c r="G24" s="2"/>
      <c r="H24" s="2"/>
      <c r="I24" s="2"/>
      <c r="L24" s="2"/>
      <c r="M24" s="2"/>
      <c r="N24" s="2"/>
      <c r="O24" s="2"/>
      <c r="P24" s="2"/>
      <c r="Q24" s="2"/>
      <c r="R24" s="2"/>
      <c r="S24" s="2"/>
      <c r="T24" s="2"/>
      <c r="U24" s="2"/>
      <c r="V24" s="2"/>
    </row>
    <row r="25" spans="1:22" s="3" customFormat="1">
      <c r="A25" s="2"/>
      <c r="B25" s="2"/>
      <c r="C25" s="2"/>
      <c r="D25" s="2"/>
      <c r="E25" s="2"/>
      <c r="F25" s="2"/>
      <c r="G25" s="2"/>
      <c r="H25" s="2"/>
      <c r="I25" s="2"/>
      <c r="L25" s="2"/>
      <c r="M25" s="2"/>
      <c r="N25" s="2"/>
      <c r="O25" s="2"/>
      <c r="P25" s="2"/>
      <c r="Q25" s="2"/>
      <c r="R25" s="2"/>
      <c r="S25" s="2"/>
      <c r="T25" s="2"/>
      <c r="U25" s="2"/>
      <c r="V25" s="2"/>
    </row>
    <row r="26" spans="1:22" s="3" customFormat="1">
      <c r="A26" s="2"/>
      <c r="B26" s="2"/>
      <c r="C26" s="2"/>
      <c r="D26" s="2"/>
      <c r="E26" s="2"/>
      <c r="F26" s="2"/>
      <c r="G26" s="2"/>
      <c r="H26" s="2"/>
      <c r="I26" s="2"/>
      <c r="L26" s="2"/>
      <c r="M26" s="2"/>
      <c r="N26" s="2"/>
      <c r="O26" s="2"/>
      <c r="P26" s="2"/>
      <c r="Q26" s="2"/>
      <c r="R26" s="2"/>
      <c r="S26" s="2"/>
      <c r="T26" s="2"/>
      <c r="U26" s="2"/>
      <c r="V26" s="2"/>
    </row>
    <row r="27" spans="1:22" s="3" customFormat="1">
      <c r="A27" s="2"/>
      <c r="B27" s="2"/>
      <c r="C27" s="2"/>
      <c r="D27" s="2"/>
      <c r="E27" s="2"/>
      <c r="F27" s="2"/>
      <c r="G27" s="2"/>
      <c r="H27" s="2"/>
      <c r="I27" s="2"/>
      <c r="L27" s="2"/>
      <c r="M27" s="2"/>
      <c r="N27" s="2"/>
      <c r="O27" s="2"/>
      <c r="P27" s="2"/>
      <c r="Q27" s="2"/>
      <c r="R27" s="2"/>
      <c r="S27" s="2"/>
      <c r="T27" s="2"/>
      <c r="U27" s="2"/>
      <c r="V27" s="2"/>
    </row>
  </sheetData>
  <pageMargins left="0.7" right="0.7" top="0.75" bottom="0.75" header="0.3" footer="0.3"/>
  <pageSetup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2E42-9B55-4FF6-9BD4-2DE200070C4B}">
  <dimension ref="A1:V13"/>
  <sheetViews>
    <sheetView tabSelected="1" topLeftCell="A5" zoomScale="83" workbookViewId="0">
      <selection activeCell="G9" sqref="G9"/>
    </sheetView>
  </sheetViews>
  <sheetFormatPr defaultColWidth="10" defaultRowHeight="15.75"/>
  <cols>
    <col min="1" max="2" width="13.625" style="20" customWidth="1"/>
    <col min="3" max="3" width="17" style="20" customWidth="1"/>
    <col min="4" max="4" width="26.625" style="20" customWidth="1"/>
    <col min="5" max="5" width="17.5" style="20" customWidth="1"/>
    <col min="6" max="6" width="48.625" style="20" customWidth="1"/>
    <col min="13" max="13" width="27.5" style="20" customWidth="1"/>
    <col min="14" max="14" width="13.625" style="20" customWidth="1"/>
    <col min="15" max="16" width="11.75" style="20" customWidth="1"/>
    <col min="17" max="18" width="17.5" style="20" customWidth="1"/>
    <col min="19" max="22" width="30.5" style="20" customWidth="1"/>
    <col min="23" max="23" width="15.625" style="20" customWidth="1"/>
    <col min="24" max="24" width="9" style="20" customWidth="1"/>
    <col min="25" max="25" width="76.625" style="20" customWidth="1"/>
    <col min="26" max="26" width="44.25" style="20" customWidth="1"/>
    <col min="27" max="28" width="33.25" style="20" customWidth="1"/>
    <col min="29" max="16384" width="10" style="20"/>
  </cols>
  <sheetData>
    <row r="1" spans="1:22" ht="15">
      <c r="G1" s="20"/>
      <c r="H1" s="20"/>
      <c r="I1" s="20"/>
      <c r="J1" s="20"/>
      <c r="K1" s="20"/>
      <c r="L1" s="20"/>
    </row>
    <row r="2" spans="1:22" ht="15">
      <c r="G2" s="20"/>
      <c r="H2" s="20"/>
      <c r="I2" s="20"/>
      <c r="J2" s="20"/>
      <c r="K2" s="20"/>
      <c r="L2" s="20"/>
    </row>
    <row r="3" spans="1:22">
      <c r="A3" s="2" t="s">
        <v>0</v>
      </c>
      <c r="B3" s="2" t="s">
        <v>924</v>
      </c>
      <c r="G3" s="20"/>
      <c r="H3" s="20"/>
      <c r="I3" s="20"/>
      <c r="J3" s="20"/>
      <c r="K3" s="20"/>
      <c r="L3" s="20"/>
    </row>
    <row r="4" spans="1:22">
      <c r="A4" s="2" t="s">
        <v>2</v>
      </c>
      <c r="B4" s="2" t="s">
        <v>925</v>
      </c>
      <c r="G4" s="20"/>
      <c r="H4" s="20"/>
      <c r="I4" s="20"/>
      <c r="J4" s="20"/>
      <c r="K4" s="20"/>
      <c r="L4" s="20"/>
    </row>
    <row r="5" spans="1:22">
      <c r="A5" s="2" t="s">
        <v>4</v>
      </c>
      <c r="B5" s="2" t="s">
        <v>926</v>
      </c>
      <c r="G5" s="20"/>
      <c r="H5" s="20"/>
      <c r="I5" s="20"/>
      <c r="J5" s="20"/>
      <c r="K5" s="20"/>
      <c r="L5" s="20"/>
    </row>
    <row r="6" spans="1:22">
      <c r="A6" s="2" t="s">
        <v>6</v>
      </c>
      <c r="B6" s="2" t="s">
        <v>927</v>
      </c>
      <c r="G6" s="20"/>
      <c r="H6" s="20"/>
      <c r="I6" s="20"/>
      <c r="J6" s="20"/>
      <c r="K6" s="20"/>
      <c r="L6" s="20"/>
    </row>
    <row r="7" spans="1:22" ht="15">
      <c r="G7" s="20"/>
      <c r="H7" s="20"/>
      <c r="I7" s="20"/>
      <c r="J7" s="20"/>
      <c r="K7" s="20"/>
      <c r="L7" s="20"/>
    </row>
    <row r="8" spans="1:22" ht="18">
      <c r="A8" t="s">
        <v>674</v>
      </c>
      <c r="B8" t="s">
        <v>675</v>
      </c>
      <c r="C8" t="s">
        <v>676</v>
      </c>
      <c r="D8" t="s">
        <v>18</v>
      </c>
      <c r="E8" t="s">
        <v>928</v>
      </c>
      <c r="F8" t="s">
        <v>4</v>
      </c>
      <c r="G8" t="s">
        <v>2</v>
      </c>
      <c r="H8" t="s">
        <v>677</v>
      </c>
      <c r="I8" t="s">
        <v>929</v>
      </c>
      <c r="J8" t="s">
        <v>111</v>
      </c>
      <c r="K8" t="s">
        <v>679</v>
      </c>
      <c r="L8" t="s">
        <v>930</v>
      </c>
      <c r="M8" t="s">
        <v>931</v>
      </c>
      <c r="N8" t="s">
        <v>682</v>
      </c>
      <c r="O8" t="s">
        <v>683</v>
      </c>
      <c r="P8" t="s">
        <v>932</v>
      </c>
      <c r="Q8" s="107" t="s">
        <v>19</v>
      </c>
      <c r="R8" s="108" t="s">
        <v>933</v>
      </c>
      <c r="S8" s="108" t="s">
        <v>20</v>
      </c>
      <c r="T8" s="109" t="s">
        <v>934</v>
      </c>
      <c r="U8" s="110" t="s">
        <v>22</v>
      </c>
      <c r="V8" s="110" t="s">
        <v>935</v>
      </c>
    </row>
    <row r="9" spans="1:22">
      <c r="A9">
        <v>1</v>
      </c>
      <c r="B9"/>
      <c r="C9" t="s">
        <v>68</v>
      </c>
      <c r="D9" t="s">
        <v>936</v>
      </c>
      <c r="E9" t="s">
        <v>45</v>
      </c>
      <c r="F9" t="s">
        <v>937</v>
      </c>
      <c r="G9" s="85" t="s">
        <v>938</v>
      </c>
      <c r="H9" t="s">
        <v>939</v>
      </c>
      <c r="I9" t="s">
        <v>940</v>
      </c>
      <c r="J9" t="s">
        <v>941</v>
      </c>
      <c r="K9" t="s">
        <v>942</v>
      </c>
      <c r="L9" t="s">
        <v>45</v>
      </c>
      <c r="M9"/>
      <c r="N9" t="s">
        <v>45</v>
      </c>
      <c r="O9"/>
      <c r="P9" t="s">
        <v>943</v>
      </c>
      <c r="Q9" s="92"/>
      <c r="R9" s="102" t="s">
        <v>46</v>
      </c>
      <c r="S9" s="102" t="s">
        <v>62</v>
      </c>
      <c r="T9" s="103" t="s">
        <v>73</v>
      </c>
      <c r="U9" s="104" t="s">
        <v>49</v>
      </c>
      <c r="V9" s="104" t="s">
        <v>50</v>
      </c>
    </row>
    <row r="10" spans="1:22" ht="94.5">
      <c r="A10">
        <v>2</v>
      </c>
      <c r="B10"/>
      <c r="C10" t="s">
        <v>944</v>
      </c>
      <c r="D10" t="s">
        <v>945</v>
      </c>
      <c r="E10" t="s">
        <v>45</v>
      </c>
      <c r="F10" t="s">
        <v>937</v>
      </c>
      <c r="G10" s="85" t="s">
        <v>946</v>
      </c>
      <c r="H10" t="s">
        <v>947</v>
      </c>
      <c r="I10" t="s">
        <v>948</v>
      </c>
      <c r="J10" t="s">
        <v>949</v>
      </c>
      <c r="K10" t="s">
        <v>942</v>
      </c>
      <c r="L10" t="s">
        <v>45</v>
      </c>
      <c r="M10"/>
      <c r="N10" t="s">
        <v>41</v>
      </c>
      <c r="O10"/>
      <c r="P10" t="s">
        <v>950</v>
      </c>
      <c r="Q10" s="92"/>
      <c r="R10" s="102" t="s">
        <v>46</v>
      </c>
      <c r="S10" s="105" t="s">
        <v>951</v>
      </c>
      <c r="T10" s="103" t="s">
        <v>73</v>
      </c>
      <c r="U10" s="104" t="s">
        <v>49</v>
      </c>
      <c r="V10" s="113" t="s">
        <v>952</v>
      </c>
    </row>
    <row r="11" spans="1:22" ht="57.75" customHeight="1">
      <c r="A11">
        <v>3</v>
      </c>
      <c r="B11"/>
      <c r="C11" t="s">
        <v>953</v>
      </c>
      <c r="D11" t="s">
        <v>954</v>
      </c>
      <c r="E11" t="s">
        <v>45</v>
      </c>
      <c r="F11" t="s">
        <v>937</v>
      </c>
      <c r="G11" s="86" t="s">
        <v>955</v>
      </c>
      <c r="H11" t="s">
        <v>956</v>
      </c>
      <c r="I11" t="s">
        <v>767</v>
      </c>
      <c r="K11" t="s">
        <v>942</v>
      </c>
      <c r="L11" t="s">
        <v>45</v>
      </c>
      <c r="M11"/>
      <c r="N11" t="s">
        <v>41</v>
      </c>
      <c r="O11"/>
      <c r="P11" t="s">
        <v>957</v>
      </c>
      <c r="Q11" s="92"/>
      <c r="R11" s="102" t="s">
        <v>46</v>
      </c>
      <c r="S11" s="106" t="s">
        <v>72</v>
      </c>
      <c r="T11" s="103" t="s">
        <v>73</v>
      </c>
      <c r="U11" s="104" t="s">
        <v>49</v>
      </c>
      <c r="V11" s="104" t="s">
        <v>50</v>
      </c>
    </row>
    <row r="12" spans="1:22" ht="45">
      <c r="A12">
        <v>4</v>
      </c>
      <c r="B12"/>
      <c r="C12" t="s">
        <v>627</v>
      </c>
      <c r="D12" t="s">
        <v>958</v>
      </c>
      <c r="E12" t="s">
        <v>45</v>
      </c>
      <c r="F12" t="s">
        <v>937</v>
      </c>
      <c r="G12" s="85" t="s">
        <v>959</v>
      </c>
      <c r="H12" t="s">
        <v>960</v>
      </c>
      <c r="I12" t="s">
        <v>961</v>
      </c>
      <c r="K12" t="s">
        <v>942</v>
      </c>
      <c r="L12" t="s">
        <v>45</v>
      </c>
      <c r="M12"/>
      <c r="N12" t="s">
        <v>41</v>
      </c>
      <c r="O12"/>
      <c r="P12" t="s">
        <v>82</v>
      </c>
      <c r="Q12" s="92"/>
      <c r="R12" s="102" t="s">
        <v>46</v>
      </c>
      <c r="S12" s="106" t="s">
        <v>72</v>
      </c>
      <c r="T12" s="103" t="s">
        <v>73</v>
      </c>
      <c r="U12" s="104" t="s">
        <v>49</v>
      </c>
      <c r="V12" s="104" t="s">
        <v>50</v>
      </c>
    </row>
    <row r="13" spans="1:22" ht="45">
      <c r="A13">
        <v>5</v>
      </c>
      <c r="B13"/>
      <c r="C13" t="s">
        <v>962</v>
      </c>
      <c r="D13" t="s">
        <v>963</v>
      </c>
      <c r="E13" t="s">
        <v>45</v>
      </c>
      <c r="F13" t="s">
        <v>937</v>
      </c>
      <c r="G13" s="85" t="s">
        <v>964</v>
      </c>
      <c r="H13" t="s">
        <v>965</v>
      </c>
      <c r="I13" t="s">
        <v>767</v>
      </c>
      <c r="K13" t="s">
        <v>942</v>
      </c>
      <c r="L13" t="s">
        <v>45</v>
      </c>
      <c r="M13"/>
      <c r="N13" t="s">
        <v>41</v>
      </c>
      <c r="O13"/>
      <c r="P13" t="s">
        <v>966</v>
      </c>
      <c r="Q13" s="92"/>
      <c r="R13" s="102" t="s">
        <v>46</v>
      </c>
      <c r="S13" s="106" t="s">
        <v>72</v>
      </c>
      <c r="T13" s="103" t="s">
        <v>73</v>
      </c>
      <c r="U13" s="104" t="s">
        <v>49</v>
      </c>
      <c r="V13" s="104" t="s">
        <v>50</v>
      </c>
    </row>
  </sheetData>
  <pageMargins left="0.7" right="0.7" top="0.75" bottom="0.75" header="0.3" footer="0.3"/>
  <pageSetup orientation="portrait" horizontalDpi="4294967295" verticalDpi="4294967295"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5091-3DE7-475C-A473-6E569F51D02C}">
  <sheetPr>
    <tabColor rgb="FFFF0000"/>
  </sheetPr>
  <dimension ref="A1:B36"/>
  <sheetViews>
    <sheetView workbookViewId="0">
      <selection activeCell="E27" sqref="E27"/>
    </sheetView>
  </sheetViews>
  <sheetFormatPr defaultColWidth="8.625" defaultRowHeight="15"/>
  <cols>
    <col min="1" max="1" width="14.875" style="33" bestFit="1" customWidth="1"/>
    <col min="2" max="2" width="108.5" style="33" bestFit="1" customWidth="1"/>
    <col min="3" max="16384" width="8.625" style="33"/>
  </cols>
  <sheetData>
    <row r="1" spans="1:2">
      <c r="A1" s="32" t="s">
        <v>0</v>
      </c>
      <c r="B1" s="33" t="s">
        <v>967</v>
      </c>
    </row>
    <row r="2" spans="1:2">
      <c r="A2" s="32" t="s">
        <v>2</v>
      </c>
      <c r="B2" s="33" t="s">
        <v>968</v>
      </c>
    </row>
    <row r="3" spans="1:2">
      <c r="A3" s="32" t="s">
        <v>4</v>
      </c>
      <c r="B3" s="33" t="s">
        <v>969</v>
      </c>
    </row>
    <row r="4" spans="1:2">
      <c r="A4" s="32" t="s">
        <v>6</v>
      </c>
      <c r="B4" s="33" t="s">
        <v>970</v>
      </c>
    </row>
    <row r="5" spans="1:2">
      <c r="A5" s="34" t="s">
        <v>674</v>
      </c>
      <c r="B5" s="35" t="s">
        <v>676</v>
      </c>
    </row>
    <row r="6" spans="1:2">
      <c r="A6" s="36">
        <v>1</v>
      </c>
      <c r="B6" s="36" t="s">
        <v>971</v>
      </c>
    </row>
    <row r="7" spans="1:2">
      <c r="A7" s="36">
        <v>2</v>
      </c>
      <c r="B7" s="36" t="s">
        <v>972</v>
      </c>
    </row>
    <row r="8" spans="1:2">
      <c r="A8" s="36">
        <v>3</v>
      </c>
      <c r="B8" s="36" t="s">
        <v>973</v>
      </c>
    </row>
    <row r="9" spans="1:2">
      <c r="A9" s="36">
        <v>4</v>
      </c>
      <c r="B9" s="36" t="s">
        <v>974</v>
      </c>
    </row>
    <row r="10" spans="1:2">
      <c r="A10" s="36">
        <v>5</v>
      </c>
      <c r="B10" s="36" t="s">
        <v>975</v>
      </c>
    </row>
    <row r="11" spans="1:2">
      <c r="A11" s="36">
        <v>6</v>
      </c>
      <c r="B11" s="36" t="s">
        <v>976</v>
      </c>
    </row>
    <row r="12" spans="1:2">
      <c r="A12" s="36">
        <v>7</v>
      </c>
      <c r="B12" s="36" t="s">
        <v>977</v>
      </c>
    </row>
    <row r="13" spans="1:2">
      <c r="A13" s="36">
        <v>8</v>
      </c>
      <c r="B13" s="36" t="s">
        <v>978</v>
      </c>
    </row>
    <row r="14" spans="1:2">
      <c r="A14" s="36">
        <v>9</v>
      </c>
      <c r="B14" s="36" t="s">
        <v>979</v>
      </c>
    </row>
    <row r="15" spans="1:2">
      <c r="A15" s="36">
        <v>10</v>
      </c>
      <c r="B15" s="36" t="s">
        <v>980</v>
      </c>
    </row>
    <row r="16" spans="1:2">
      <c r="A16" s="36">
        <v>11</v>
      </c>
      <c r="B16" s="36" t="s">
        <v>981</v>
      </c>
    </row>
    <row r="17" spans="1:2">
      <c r="A17" s="36">
        <v>12</v>
      </c>
      <c r="B17" s="36" t="s">
        <v>982</v>
      </c>
    </row>
    <row r="18" spans="1:2">
      <c r="A18" s="36">
        <v>13</v>
      </c>
      <c r="B18" s="36" t="s">
        <v>983</v>
      </c>
    </row>
    <row r="19" spans="1:2">
      <c r="A19" s="36">
        <v>14</v>
      </c>
      <c r="B19" s="36" t="s">
        <v>984</v>
      </c>
    </row>
    <row r="20" spans="1:2">
      <c r="A20" s="36">
        <v>15</v>
      </c>
      <c r="B20" s="36" t="s">
        <v>985</v>
      </c>
    </row>
    <row r="21" spans="1:2">
      <c r="A21" s="36">
        <v>16</v>
      </c>
      <c r="B21" s="36" t="s">
        <v>986</v>
      </c>
    </row>
    <row r="22" spans="1:2">
      <c r="A22" s="36">
        <v>17</v>
      </c>
      <c r="B22" s="36" t="s">
        <v>987</v>
      </c>
    </row>
    <row r="23" spans="1:2">
      <c r="A23" s="36">
        <v>18</v>
      </c>
      <c r="B23" s="36" t="s">
        <v>988</v>
      </c>
    </row>
    <row r="24" spans="1:2">
      <c r="A24" s="36">
        <v>19</v>
      </c>
      <c r="B24" s="36" t="s">
        <v>989</v>
      </c>
    </row>
    <row r="25" spans="1:2">
      <c r="A25" s="36">
        <v>20</v>
      </c>
      <c r="B25" s="36" t="s">
        <v>990</v>
      </c>
    </row>
    <row r="26" spans="1:2">
      <c r="A26" s="36">
        <v>21</v>
      </c>
      <c r="B26" s="36" t="s">
        <v>991</v>
      </c>
    </row>
    <row r="27" spans="1:2">
      <c r="A27" s="36">
        <v>22</v>
      </c>
      <c r="B27" s="36" t="s">
        <v>992</v>
      </c>
    </row>
    <row r="28" spans="1:2">
      <c r="A28" s="36">
        <v>23</v>
      </c>
      <c r="B28" s="36" t="s">
        <v>993</v>
      </c>
    </row>
    <row r="29" spans="1:2">
      <c r="A29" s="36">
        <v>24</v>
      </c>
      <c r="B29" s="36" t="s">
        <v>994</v>
      </c>
    </row>
    <row r="30" spans="1:2">
      <c r="A30" s="36">
        <v>25</v>
      </c>
      <c r="B30" s="36" t="s">
        <v>995</v>
      </c>
    </row>
    <row r="31" spans="1:2">
      <c r="A31" s="36">
        <v>26</v>
      </c>
      <c r="B31" s="36" t="s">
        <v>996</v>
      </c>
    </row>
    <row r="32" spans="1:2">
      <c r="A32" s="36">
        <v>27</v>
      </c>
      <c r="B32" s="36" t="s">
        <v>997</v>
      </c>
    </row>
    <row r="33" spans="1:2">
      <c r="A33" s="36">
        <v>28</v>
      </c>
      <c r="B33" s="36" t="s">
        <v>998</v>
      </c>
    </row>
    <row r="34" spans="1:2">
      <c r="A34" s="36">
        <v>29</v>
      </c>
      <c r="B34" s="36" t="s">
        <v>696</v>
      </c>
    </row>
    <row r="35" spans="1:2">
      <c r="A35" s="36">
        <v>30</v>
      </c>
      <c r="B35" s="36" t="s">
        <v>999</v>
      </c>
    </row>
    <row r="36" spans="1:2">
      <c r="A36" s="36">
        <v>31</v>
      </c>
      <c r="B36" s="36" t="s">
        <v>707</v>
      </c>
    </row>
  </sheetData>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506F-719E-4DF5-AE3B-6C8DCBFC4595}">
  <sheetPr>
    <tabColor rgb="FFFF0000"/>
  </sheetPr>
  <dimension ref="A1:B19"/>
  <sheetViews>
    <sheetView workbookViewId="0">
      <selection activeCell="A5" sqref="A5"/>
    </sheetView>
  </sheetViews>
  <sheetFormatPr defaultColWidth="8.625" defaultRowHeight="15"/>
  <cols>
    <col min="1" max="1" width="14.875" style="33" customWidth="1"/>
    <col min="2" max="2" width="108.5" style="33" customWidth="1"/>
    <col min="3" max="16384" width="8.625" style="33"/>
  </cols>
  <sheetData>
    <row r="1" spans="1:2">
      <c r="A1" s="32" t="s">
        <v>0</v>
      </c>
      <c r="B1" s="33" t="s">
        <v>1000</v>
      </c>
    </row>
    <row r="2" spans="1:2">
      <c r="A2" s="32" t="s">
        <v>2</v>
      </c>
      <c r="B2" s="33" t="s">
        <v>1001</v>
      </c>
    </row>
    <row r="3" spans="1:2">
      <c r="A3" s="32" t="s">
        <v>4</v>
      </c>
      <c r="B3" s="33" t="s">
        <v>1002</v>
      </c>
    </row>
    <row r="4" spans="1:2">
      <c r="A4" s="32" t="s">
        <v>6</v>
      </c>
      <c r="B4" s="33" t="s">
        <v>1003</v>
      </c>
    </row>
    <row r="5" spans="1:2">
      <c r="A5" s="34" t="s">
        <v>674</v>
      </c>
      <c r="B5" s="35" t="s">
        <v>676</v>
      </c>
    </row>
    <row r="6" spans="1:2">
      <c r="A6" s="36">
        <v>1</v>
      </c>
      <c r="B6" s="36" t="s">
        <v>1004</v>
      </c>
    </row>
    <row r="7" spans="1:2">
      <c r="A7" s="36">
        <v>2</v>
      </c>
      <c r="B7" s="36" t="s">
        <v>1005</v>
      </c>
    </row>
    <row r="8" spans="1:2">
      <c r="A8" s="36">
        <v>3</v>
      </c>
      <c r="B8" s="36" t="s">
        <v>1006</v>
      </c>
    </row>
    <row r="9" spans="1:2">
      <c r="A9" s="36">
        <v>4</v>
      </c>
      <c r="B9" s="36" t="s">
        <v>1007</v>
      </c>
    </row>
    <row r="10" spans="1:2">
      <c r="A10" s="36">
        <v>5</v>
      </c>
      <c r="B10" s="36" t="s">
        <v>1008</v>
      </c>
    </row>
    <row r="11" spans="1:2">
      <c r="A11" s="36">
        <v>6</v>
      </c>
      <c r="B11" s="36" t="s">
        <v>1009</v>
      </c>
    </row>
    <row r="12" spans="1:2">
      <c r="A12" s="36">
        <v>7</v>
      </c>
      <c r="B12" s="36" t="s">
        <v>1010</v>
      </c>
    </row>
    <row r="13" spans="1:2">
      <c r="A13" s="36">
        <v>8</v>
      </c>
      <c r="B13" s="36" t="s">
        <v>1011</v>
      </c>
    </row>
    <row r="14" spans="1:2">
      <c r="A14" s="36">
        <v>9</v>
      </c>
      <c r="B14" s="36" t="s">
        <v>1012</v>
      </c>
    </row>
    <row r="15" spans="1:2">
      <c r="A15" s="36">
        <v>10</v>
      </c>
      <c r="B15" s="36" t="s">
        <v>1013</v>
      </c>
    </row>
    <row r="16" spans="1:2">
      <c r="A16" s="36">
        <v>11</v>
      </c>
      <c r="B16" s="36" t="s">
        <v>1014</v>
      </c>
    </row>
    <row r="17" spans="1:2">
      <c r="A17" s="36">
        <v>12</v>
      </c>
      <c r="B17" s="36" t="s">
        <v>1015</v>
      </c>
    </row>
    <row r="18" spans="1:2">
      <c r="A18" s="36">
        <v>13</v>
      </c>
      <c r="B18" s="36" t="s">
        <v>1016</v>
      </c>
    </row>
    <row r="19" spans="1:2">
      <c r="A19" s="36">
        <v>14</v>
      </c>
      <c r="B19" s="36" t="s">
        <v>1017</v>
      </c>
    </row>
  </sheetData>
  <pageMargins left="0.7" right="0.7" top="0.75" bottom="0.75" header="0.3" footer="0.3"/>
  <pageSetup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BF364-A334-4164-AEA1-7ED3F67C91FB}">
  <dimension ref="A1:T14"/>
  <sheetViews>
    <sheetView topLeftCell="C8" zoomScale="80" zoomScaleNormal="80" workbookViewId="0">
      <selection activeCell="R24" sqref="R24"/>
    </sheetView>
  </sheetViews>
  <sheetFormatPr defaultColWidth="10.875" defaultRowHeight="15"/>
  <cols>
    <col min="1" max="2" width="10.875" style="38"/>
    <col min="3" max="3" width="24.5" style="38" bestFit="1" customWidth="1"/>
    <col min="4" max="4" width="13.5" style="38" bestFit="1" customWidth="1"/>
    <col min="5" max="5" width="15.875" style="38" bestFit="1" customWidth="1"/>
    <col min="6" max="6" width="80.625" style="38" customWidth="1"/>
    <col min="7" max="7" width="27.5" style="38" customWidth="1"/>
    <col min="8" max="8" width="16.375" style="38" customWidth="1"/>
    <col min="9" max="13" width="10.875" style="38"/>
    <col min="14" max="14" width="10.875" style="38" customWidth="1"/>
    <col min="15" max="15" width="58.875" style="38" customWidth="1"/>
    <col min="16" max="16" width="20.25" style="38" customWidth="1"/>
    <col min="17" max="19" width="24.875" style="38" customWidth="1"/>
    <col min="20" max="20" width="35.875" style="38" customWidth="1"/>
    <col min="21" max="16384" width="10.875" style="38"/>
  </cols>
  <sheetData>
    <row r="1" spans="1:20">
      <c r="A1" s="32" t="s">
        <v>1018</v>
      </c>
      <c r="B1" s="38" t="s">
        <v>1019</v>
      </c>
    </row>
    <row r="2" spans="1:20">
      <c r="A2" s="32" t="s">
        <v>1020</v>
      </c>
      <c r="B2" s="38" t="s">
        <v>1021</v>
      </c>
    </row>
    <row r="3" spans="1:20">
      <c r="A3" s="32" t="s">
        <v>0</v>
      </c>
      <c r="B3" s="38" t="s">
        <v>1022</v>
      </c>
    </row>
    <row r="4" spans="1:20">
      <c r="A4" s="32" t="s">
        <v>1023</v>
      </c>
      <c r="B4" s="38" t="s">
        <v>1024</v>
      </c>
    </row>
    <row r="5" spans="1:20">
      <c r="A5" s="32" t="s">
        <v>2</v>
      </c>
      <c r="B5" s="38" t="s">
        <v>1025</v>
      </c>
    </row>
    <row r="6" spans="1:20" ht="60">
      <c r="A6" s="32" t="s">
        <v>4</v>
      </c>
      <c r="B6" s="38" t="s">
        <v>1026</v>
      </c>
      <c r="F6" s="112" t="s">
        <v>1027</v>
      </c>
    </row>
    <row r="7" spans="1:20">
      <c r="A7" s="32" t="s">
        <v>6</v>
      </c>
      <c r="B7" s="38" t="s">
        <v>970</v>
      </c>
    </row>
    <row r="8" spans="1:20">
      <c r="A8" s="32"/>
    </row>
    <row r="9" spans="1:20">
      <c r="A9" s="32"/>
    </row>
    <row r="10" spans="1:20" ht="25.5">
      <c r="A10" s="39" t="s">
        <v>674</v>
      </c>
      <c r="B10" s="40" t="s">
        <v>675</v>
      </c>
      <c r="C10" s="40" t="s">
        <v>676</v>
      </c>
      <c r="D10" s="40" t="s">
        <v>18</v>
      </c>
      <c r="E10" s="40" t="s">
        <v>4</v>
      </c>
      <c r="F10" s="40" t="s">
        <v>2</v>
      </c>
      <c r="G10" s="40" t="s">
        <v>678</v>
      </c>
      <c r="H10" s="40" t="s">
        <v>111</v>
      </c>
      <c r="I10" s="40" t="s">
        <v>6</v>
      </c>
      <c r="J10" s="40" t="s">
        <v>930</v>
      </c>
      <c r="K10" s="40" t="s">
        <v>931</v>
      </c>
      <c r="L10" s="40" t="s">
        <v>682</v>
      </c>
      <c r="M10" s="40" t="s">
        <v>683</v>
      </c>
      <c r="N10" s="97" t="s">
        <v>19</v>
      </c>
      <c r="O10" s="97" t="s">
        <v>18</v>
      </c>
      <c r="P10" s="97" t="s">
        <v>20</v>
      </c>
      <c r="Q10" s="98" t="s">
        <v>934</v>
      </c>
      <c r="R10" s="98" t="s">
        <v>22</v>
      </c>
      <c r="S10" s="98" t="s">
        <v>935</v>
      </c>
      <c r="T10" s="115" t="s">
        <v>1028</v>
      </c>
    </row>
    <row r="11" spans="1:20" s="45" customFormat="1" ht="117" customHeight="1">
      <c r="A11" s="41">
        <v>1</v>
      </c>
      <c r="B11" s="42" t="s">
        <v>1029</v>
      </c>
      <c r="C11" s="41" t="s">
        <v>1030</v>
      </c>
      <c r="D11" s="41" t="s">
        <v>1031</v>
      </c>
      <c r="E11" s="43" t="s">
        <v>1032</v>
      </c>
      <c r="F11" s="41" t="s">
        <v>1033</v>
      </c>
      <c r="G11" s="41"/>
      <c r="H11" s="41"/>
      <c r="I11" s="44" t="s">
        <v>1034</v>
      </c>
      <c r="J11" s="41" t="s">
        <v>41</v>
      </c>
      <c r="K11" s="41" t="s">
        <v>41</v>
      </c>
      <c r="L11" s="41" t="s">
        <v>45</v>
      </c>
      <c r="M11" s="94" t="s">
        <v>41</v>
      </c>
      <c r="N11" s="99"/>
      <c r="O11" s="99"/>
      <c r="P11" s="99"/>
      <c r="Q11" s="99"/>
      <c r="R11" s="99" t="s">
        <v>74</v>
      </c>
      <c r="S11" s="114" t="s">
        <v>1035</v>
      </c>
      <c r="T11" s="116" t="s">
        <v>1027</v>
      </c>
    </row>
    <row r="12" spans="1:20" s="45" customFormat="1" ht="125.25" customHeight="1">
      <c r="A12" s="46">
        <v>2</v>
      </c>
      <c r="B12" s="46"/>
      <c r="C12" s="47" t="s">
        <v>1036</v>
      </c>
      <c r="D12" s="47" t="s">
        <v>1037</v>
      </c>
      <c r="E12" s="48" t="s">
        <v>1038</v>
      </c>
      <c r="F12" s="47" t="s">
        <v>1039</v>
      </c>
      <c r="G12" s="47"/>
      <c r="H12" s="47"/>
      <c r="I12" s="47" t="s">
        <v>1034</v>
      </c>
      <c r="J12" s="47" t="s">
        <v>41</v>
      </c>
      <c r="K12" s="47" t="s">
        <v>41</v>
      </c>
      <c r="L12" s="47" t="s">
        <v>45</v>
      </c>
      <c r="M12" s="95" t="s">
        <v>41</v>
      </c>
      <c r="N12" s="99"/>
      <c r="O12" s="99"/>
      <c r="P12" s="99"/>
      <c r="Q12" s="99"/>
      <c r="R12" s="99" t="s">
        <v>74</v>
      </c>
      <c r="S12" s="114" t="s">
        <v>1035</v>
      </c>
      <c r="T12" s="116" t="s">
        <v>1027</v>
      </c>
    </row>
    <row r="13" spans="1:20" s="45" customFormat="1" ht="117" customHeight="1">
      <c r="A13" s="49">
        <v>3</v>
      </c>
      <c r="B13" s="49"/>
      <c r="C13" s="49" t="s">
        <v>1040</v>
      </c>
      <c r="D13" s="41" t="s">
        <v>1041</v>
      </c>
      <c r="E13" s="49" t="s">
        <v>1042</v>
      </c>
      <c r="F13" s="49" t="s">
        <v>1043</v>
      </c>
      <c r="G13" s="49" t="s">
        <v>111</v>
      </c>
      <c r="H13" s="49" t="s">
        <v>1044</v>
      </c>
      <c r="I13" s="44" t="s">
        <v>1034</v>
      </c>
      <c r="J13" s="41" t="s">
        <v>41</v>
      </c>
      <c r="K13" s="41" t="s">
        <v>41</v>
      </c>
      <c r="L13" s="41" t="s">
        <v>45</v>
      </c>
      <c r="M13" s="94" t="s">
        <v>41</v>
      </c>
      <c r="N13" s="99"/>
      <c r="O13" s="99"/>
      <c r="P13" s="99"/>
      <c r="Q13" s="99"/>
      <c r="R13" s="99" t="s">
        <v>74</v>
      </c>
      <c r="S13" s="114" t="s">
        <v>1035</v>
      </c>
      <c r="T13" s="116" t="s">
        <v>1027</v>
      </c>
    </row>
    <row r="14" spans="1:20" s="45" customFormat="1" ht="126.75" customHeight="1">
      <c r="A14" s="46">
        <v>4</v>
      </c>
      <c r="B14" s="46"/>
      <c r="C14" s="46" t="s">
        <v>1045</v>
      </c>
      <c r="D14" s="46" t="s">
        <v>1046</v>
      </c>
      <c r="E14" s="46" t="s">
        <v>1047</v>
      </c>
      <c r="F14" s="46" t="s">
        <v>1048</v>
      </c>
      <c r="G14" s="46"/>
      <c r="H14" s="46"/>
      <c r="I14" s="50" t="s">
        <v>1034</v>
      </c>
      <c r="J14" s="46" t="s">
        <v>41</v>
      </c>
      <c r="K14" s="46" t="s">
        <v>41</v>
      </c>
      <c r="L14" s="46" t="s">
        <v>45</v>
      </c>
      <c r="M14" s="96" t="s">
        <v>41</v>
      </c>
      <c r="N14" s="99"/>
      <c r="O14" s="99"/>
      <c r="P14" s="99"/>
      <c r="Q14" s="99"/>
      <c r="R14" s="99" t="s">
        <v>74</v>
      </c>
      <c r="S14" s="114" t="s">
        <v>1035</v>
      </c>
      <c r="T14" s="116" t="s">
        <v>1027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41093-1A99-459C-A76C-B9A7446C4C11}">
  <sheetPr>
    <tabColor rgb="FFFF0000"/>
  </sheetPr>
  <dimension ref="A1:Z1000"/>
  <sheetViews>
    <sheetView workbookViewId="0"/>
  </sheetViews>
  <sheetFormatPr defaultColWidth="12.625" defaultRowHeight="15" customHeight="1"/>
  <cols>
    <col min="1"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7.25" style="53" customWidth="1"/>
    <col min="10" max="10" width="35.375" style="53" customWidth="1"/>
    <col min="11" max="11" width="12.125" style="53" customWidth="1"/>
    <col min="12" max="12" width="96.375" style="53" customWidth="1"/>
    <col min="13" max="16" width="12.125" style="53" customWidth="1"/>
    <col min="17" max="26" width="11.875" style="53" customWidth="1"/>
    <col min="27" max="16384" width="12.625" style="53"/>
  </cols>
  <sheetData>
    <row r="1" spans="1:26" ht="15.75">
      <c r="A1" s="51" t="s">
        <v>1018</v>
      </c>
      <c r="B1" s="52" t="s">
        <v>1049</v>
      </c>
      <c r="C1" s="52"/>
      <c r="D1" s="52"/>
      <c r="E1" s="52"/>
      <c r="F1" s="52"/>
      <c r="G1" s="52"/>
      <c r="H1" s="52"/>
      <c r="I1" s="52"/>
      <c r="J1" s="52"/>
      <c r="K1" s="52"/>
      <c r="L1" s="52"/>
      <c r="M1" s="52"/>
      <c r="N1" s="52"/>
      <c r="O1" s="52"/>
      <c r="P1" s="52"/>
      <c r="Q1" s="52"/>
      <c r="R1" s="52"/>
      <c r="S1" s="52"/>
      <c r="T1" s="52"/>
      <c r="U1" s="52"/>
      <c r="V1" s="52"/>
      <c r="W1" s="52"/>
      <c r="X1" s="52"/>
      <c r="Y1" s="52"/>
      <c r="Z1" s="52"/>
    </row>
    <row r="2" spans="1:26" ht="15.75">
      <c r="A2" s="51" t="s">
        <v>1020</v>
      </c>
      <c r="B2" s="52" t="s">
        <v>1050</v>
      </c>
      <c r="C2" s="52"/>
      <c r="D2" s="52"/>
      <c r="E2" s="52"/>
      <c r="F2" s="52"/>
      <c r="G2" s="52"/>
      <c r="H2" s="52"/>
      <c r="I2" s="52"/>
      <c r="J2" s="52"/>
      <c r="K2" s="52"/>
      <c r="L2" s="52"/>
      <c r="M2" s="52"/>
      <c r="N2" s="52"/>
      <c r="O2" s="52"/>
      <c r="P2" s="52"/>
      <c r="Q2" s="52"/>
      <c r="R2" s="52"/>
      <c r="S2" s="52"/>
      <c r="T2" s="52"/>
      <c r="U2" s="52"/>
      <c r="V2" s="52"/>
      <c r="W2" s="52"/>
      <c r="X2" s="52"/>
      <c r="Y2" s="52"/>
      <c r="Z2" s="52"/>
    </row>
    <row r="3" spans="1:26" ht="15.75">
      <c r="A3" s="51" t="s">
        <v>0</v>
      </c>
      <c r="B3" s="52" t="s">
        <v>1051</v>
      </c>
      <c r="C3" s="52"/>
      <c r="D3" s="52"/>
      <c r="E3" s="52"/>
      <c r="F3" s="52"/>
      <c r="G3" s="52"/>
      <c r="H3" s="52"/>
      <c r="I3" s="52"/>
      <c r="J3" s="52"/>
      <c r="K3" s="52"/>
      <c r="L3" s="52"/>
      <c r="M3" s="52"/>
      <c r="N3" s="52"/>
      <c r="O3" s="52"/>
      <c r="P3" s="52"/>
      <c r="Q3" s="52"/>
      <c r="R3" s="52"/>
      <c r="S3" s="52"/>
      <c r="T3" s="52"/>
      <c r="U3" s="52"/>
      <c r="V3" s="52"/>
      <c r="W3" s="52"/>
      <c r="X3" s="52"/>
      <c r="Y3" s="52"/>
      <c r="Z3" s="52"/>
    </row>
    <row r="4" spans="1:26" ht="15.75">
      <c r="A4" s="51" t="s">
        <v>1023</v>
      </c>
      <c r="B4" s="52" t="s">
        <v>1052</v>
      </c>
      <c r="C4" s="52"/>
      <c r="D4" s="52"/>
      <c r="E4" s="52"/>
      <c r="F4" s="52"/>
      <c r="G4" s="52"/>
      <c r="H4" s="52"/>
      <c r="I4" s="52"/>
      <c r="J4" s="52"/>
      <c r="K4" s="52"/>
      <c r="L4" s="52"/>
      <c r="M4" s="52"/>
      <c r="N4" s="52"/>
      <c r="O4" s="52"/>
      <c r="P4" s="52"/>
      <c r="Q4" s="52"/>
      <c r="R4" s="52"/>
      <c r="S4" s="52"/>
      <c r="T4" s="52"/>
      <c r="U4" s="52"/>
      <c r="V4" s="52"/>
      <c r="W4" s="52"/>
      <c r="X4" s="52"/>
      <c r="Y4" s="52"/>
      <c r="Z4" s="52"/>
    </row>
    <row r="5" spans="1:26" ht="15.75">
      <c r="A5" s="51" t="s">
        <v>2</v>
      </c>
      <c r="B5" s="52" t="s">
        <v>1025</v>
      </c>
      <c r="C5" s="52"/>
      <c r="D5" s="52"/>
      <c r="E5" s="52"/>
      <c r="F5" s="52"/>
      <c r="G5" s="52"/>
      <c r="H5" s="52"/>
      <c r="I5" s="52"/>
      <c r="J5" s="52"/>
      <c r="K5" s="52"/>
      <c r="L5" s="52"/>
      <c r="M5" s="52"/>
      <c r="N5" s="52"/>
      <c r="O5" s="52"/>
      <c r="P5" s="52"/>
      <c r="Q5" s="52"/>
      <c r="R5" s="52"/>
      <c r="S5" s="52"/>
      <c r="T5" s="52"/>
      <c r="U5" s="52"/>
      <c r="V5" s="52"/>
      <c r="W5" s="52"/>
      <c r="X5" s="52"/>
      <c r="Y5" s="52"/>
      <c r="Z5" s="52"/>
    </row>
    <row r="6" spans="1:26" ht="15.75">
      <c r="A6" s="51" t="s">
        <v>4</v>
      </c>
      <c r="B6" s="52" t="s">
        <v>1026</v>
      </c>
      <c r="C6" s="52"/>
      <c r="D6" s="52"/>
      <c r="E6" s="52"/>
      <c r="F6" s="52"/>
      <c r="G6" s="52"/>
      <c r="H6" s="52"/>
      <c r="I6" s="52"/>
      <c r="J6" s="52"/>
      <c r="K6" s="52"/>
      <c r="L6" s="52"/>
      <c r="M6" s="52"/>
      <c r="N6" s="52"/>
      <c r="O6" s="52"/>
      <c r="P6" s="52"/>
      <c r="Q6" s="52"/>
      <c r="R6" s="52"/>
      <c r="S6" s="52"/>
      <c r="T6" s="52"/>
      <c r="U6" s="52"/>
      <c r="V6" s="52"/>
      <c r="W6" s="52"/>
      <c r="X6" s="52"/>
      <c r="Y6" s="52"/>
      <c r="Z6" s="52"/>
    </row>
    <row r="7" spans="1:26" ht="15.75">
      <c r="A7" s="51" t="s">
        <v>6</v>
      </c>
      <c r="B7" s="52" t="s">
        <v>1053</v>
      </c>
      <c r="C7" s="52"/>
      <c r="D7" s="52"/>
      <c r="E7" s="52"/>
      <c r="F7" s="52"/>
      <c r="G7" s="52"/>
      <c r="H7" s="52"/>
      <c r="I7" s="52"/>
      <c r="J7" s="52"/>
      <c r="K7" s="52"/>
      <c r="L7" s="52"/>
      <c r="M7" s="52"/>
      <c r="N7" s="52"/>
      <c r="O7" s="52"/>
      <c r="P7" s="52"/>
      <c r="Q7" s="52"/>
      <c r="R7" s="52"/>
      <c r="S7" s="52"/>
      <c r="T7" s="52"/>
      <c r="U7" s="52"/>
      <c r="V7" s="52"/>
      <c r="W7" s="52"/>
      <c r="X7" s="52"/>
      <c r="Y7" s="52"/>
      <c r="Z7" s="52"/>
    </row>
    <row r="8" spans="1:26"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6"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6" ht="16.5">
      <c r="A10" s="54" t="s">
        <v>10</v>
      </c>
      <c r="B10" s="54" t="s">
        <v>11</v>
      </c>
      <c r="C10" s="54" t="s">
        <v>12</v>
      </c>
      <c r="D10" s="54" t="s">
        <v>13</v>
      </c>
      <c r="E10" s="54" t="s">
        <v>14</v>
      </c>
      <c r="F10" s="55" t="s">
        <v>15</v>
      </c>
      <c r="G10" s="54" t="s">
        <v>16</v>
      </c>
      <c r="H10" s="54" t="s">
        <v>25</v>
      </c>
      <c r="I10" s="54" t="s">
        <v>26</v>
      </c>
      <c r="J10" s="56" t="s">
        <v>27</v>
      </c>
      <c r="K10" s="56" t="s">
        <v>28</v>
      </c>
      <c r="L10" s="54" t="s">
        <v>29</v>
      </c>
      <c r="M10" s="54" t="s">
        <v>30</v>
      </c>
      <c r="N10" s="54" t="s">
        <v>31</v>
      </c>
      <c r="O10" s="54" t="s">
        <v>32</v>
      </c>
      <c r="P10" s="54" t="s">
        <v>802</v>
      </c>
      <c r="Q10" s="52"/>
      <c r="R10" s="52"/>
      <c r="S10" s="52"/>
      <c r="T10" s="52"/>
      <c r="U10" s="52"/>
      <c r="V10" s="52"/>
      <c r="W10" s="52"/>
      <c r="X10" s="52"/>
      <c r="Y10" s="52"/>
      <c r="Z10" s="52"/>
    </row>
    <row r="11" spans="1:26" ht="18">
      <c r="A11" s="57" t="s">
        <v>1054</v>
      </c>
      <c r="B11" s="57">
        <v>1</v>
      </c>
      <c r="C11" s="57" t="s">
        <v>45</v>
      </c>
      <c r="D11" s="57" t="s">
        <v>1055</v>
      </c>
      <c r="E11" s="57" t="s">
        <v>106</v>
      </c>
      <c r="F11" s="58" t="s">
        <v>117</v>
      </c>
      <c r="G11" s="57" t="s">
        <v>41</v>
      </c>
      <c r="H11" s="57"/>
      <c r="I11" s="59"/>
      <c r="J11" s="57" t="s">
        <v>1056</v>
      </c>
      <c r="K11" s="57">
        <v>3</v>
      </c>
      <c r="L11" s="57" t="s">
        <v>1033</v>
      </c>
      <c r="M11" s="57" t="s">
        <v>1057</v>
      </c>
      <c r="N11" s="57"/>
      <c r="O11" s="57" t="s">
        <v>55</v>
      </c>
      <c r="P11" s="57" t="s">
        <v>55</v>
      </c>
      <c r="Q11" s="52"/>
      <c r="R11" s="52"/>
      <c r="S11" s="52"/>
      <c r="T11" s="52"/>
      <c r="U11" s="52"/>
      <c r="V11" s="52"/>
      <c r="W11" s="52"/>
      <c r="X11" s="52"/>
      <c r="Y11" s="52"/>
      <c r="Z11" s="52"/>
    </row>
    <row r="12" spans="1:26" ht="18">
      <c r="A12" s="57" t="s">
        <v>1054</v>
      </c>
      <c r="B12" s="57">
        <v>2</v>
      </c>
      <c r="C12" s="57" t="s">
        <v>41</v>
      </c>
      <c r="D12" s="57" t="s">
        <v>1058</v>
      </c>
      <c r="E12" s="57" t="s">
        <v>106</v>
      </c>
      <c r="F12" s="58" t="s">
        <v>139</v>
      </c>
      <c r="G12" s="57" t="s">
        <v>41</v>
      </c>
      <c r="H12" s="57"/>
      <c r="I12" s="59"/>
      <c r="J12" s="57" t="s">
        <v>1056</v>
      </c>
      <c r="K12" s="57">
        <v>4</v>
      </c>
      <c r="L12" s="57" t="s">
        <v>1059</v>
      </c>
      <c r="M12" s="57" t="s">
        <v>1060</v>
      </c>
      <c r="N12" s="57"/>
      <c r="O12" s="57" t="s">
        <v>55</v>
      </c>
      <c r="P12" s="57" t="s">
        <v>55</v>
      </c>
      <c r="Q12" s="52"/>
      <c r="R12" s="52"/>
      <c r="S12" s="52"/>
      <c r="T12" s="52"/>
      <c r="U12" s="52"/>
      <c r="V12" s="52"/>
      <c r="W12" s="52"/>
      <c r="X12" s="52"/>
      <c r="Y12" s="52"/>
      <c r="Z12" s="52"/>
    </row>
    <row r="13" spans="1:26" ht="18">
      <c r="A13" s="57" t="s">
        <v>1054</v>
      </c>
      <c r="B13" s="57">
        <v>3</v>
      </c>
      <c r="C13" s="57" t="s">
        <v>41</v>
      </c>
      <c r="D13" s="57" t="s">
        <v>1061</v>
      </c>
      <c r="E13" s="57" t="s">
        <v>106</v>
      </c>
      <c r="F13" s="58" t="s">
        <v>107</v>
      </c>
      <c r="G13" s="57" t="s">
        <v>41</v>
      </c>
      <c r="H13" s="57" t="s">
        <v>111</v>
      </c>
      <c r="I13" s="59" t="s">
        <v>1062</v>
      </c>
      <c r="J13" s="57" t="s">
        <v>1056</v>
      </c>
      <c r="K13" s="57">
        <v>5</v>
      </c>
      <c r="L13" s="57" t="s">
        <v>1063</v>
      </c>
      <c r="M13" s="57" t="s">
        <v>1064</v>
      </c>
      <c r="N13" s="57"/>
      <c r="O13" s="57"/>
      <c r="P13" s="57"/>
      <c r="Q13" s="52"/>
      <c r="R13" s="52"/>
      <c r="S13" s="52"/>
      <c r="T13" s="52"/>
      <c r="U13" s="52"/>
      <c r="V13" s="52"/>
      <c r="W13" s="52"/>
      <c r="X13" s="52"/>
      <c r="Y13" s="52"/>
      <c r="Z13" s="52"/>
    </row>
    <row r="14" spans="1:26" ht="18">
      <c r="A14" s="57" t="s">
        <v>1054</v>
      </c>
      <c r="B14" s="60">
        <v>4</v>
      </c>
      <c r="C14" s="57" t="s">
        <v>41</v>
      </c>
      <c r="D14" s="60" t="s">
        <v>1065</v>
      </c>
      <c r="E14" s="57" t="s">
        <v>106</v>
      </c>
      <c r="F14" s="61" t="s">
        <v>1066</v>
      </c>
      <c r="G14" s="57" t="s">
        <v>41</v>
      </c>
      <c r="H14" s="60"/>
      <c r="I14" s="60"/>
      <c r="J14" s="57" t="s">
        <v>1056</v>
      </c>
      <c r="K14" s="60">
        <v>6</v>
      </c>
      <c r="L14" s="60" t="s">
        <v>1067</v>
      </c>
      <c r="M14" s="60" t="s">
        <v>1068</v>
      </c>
      <c r="N14" s="60"/>
      <c r="O14" s="60"/>
      <c r="P14" s="60"/>
      <c r="Q14" s="52"/>
      <c r="R14" s="52"/>
      <c r="S14" s="52"/>
      <c r="T14" s="52"/>
      <c r="U14" s="52"/>
      <c r="V14" s="52"/>
      <c r="W14" s="52"/>
      <c r="X14" s="52"/>
      <c r="Y14" s="52"/>
      <c r="Z14" s="52"/>
    </row>
    <row r="15" spans="1:26" ht="15.75">
      <c r="A15" s="52"/>
      <c r="B15" s="52"/>
      <c r="C15" s="52"/>
      <c r="D15" s="52"/>
      <c r="E15" s="52"/>
      <c r="F15" s="52"/>
      <c r="G15" s="52"/>
      <c r="H15" s="52"/>
      <c r="I15" s="52"/>
      <c r="J15" s="52"/>
      <c r="K15" s="52"/>
      <c r="L15" s="52"/>
      <c r="M15" s="52"/>
      <c r="N15" s="52"/>
      <c r="O15" s="52"/>
      <c r="P15" s="52"/>
      <c r="Q15" s="52"/>
      <c r="R15" s="52"/>
      <c r="S15" s="52"/>
      <c r="T15" s="52"/>
      <c r="U15" s="52"/>
      <c r="V15" s="52"/>
      <c r="W15" s="52"/>
      <c r="X15" s="52"/>
      <c r="Y15" s="52"/>
      <c r="Z15" s="52"/>
    </row>
    <row r="16" spans="1:26"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DEDA8-282C-4FF4-BC75-8E3FD561AE1C}">
  <sheetPr>
    <tabColor theme="0"/>
  </sheetPr>
  <dimension ref="A1:AA1000"/>
  <sheetViews>
    <sheetView zoomScale="80" zoomScaleNormal="80" workbookViewId="0">
      <selection activeCell="A15" sqref="A15"/>
    </sheetView>
  </sheetViews>
  <sheetFormatPr defaultColWidth="12.625" defaultRowHeight="15" customHeight="1"/>
  <cols>
    <col min="1" max="1" width="26" style="53" customWidth="1"/>
    <col min="2" max="2" width="12.125" style="53" customWidth="1"/>
    <col min="3" max="3" width="7.625" style="53" customWidth="1"/>
    <col min="4" max="4" width="15.125" style="53" customWidth="1"/>
    <col min="5" max="5" width="17.75" style="53" customWidth="1"/>
    <col min="6" max="6" width="11.75" style="53" customWidth="1"/>
    <col min="7" max="7" width="15.875" style="53" customWidth="1"/>
    <col min="8" max="8" width="18.375" style="53" customWidth="1"/>
    <col min="9" max="9" width="12.125" style="53" customWidth="1"/>
    <col min="10" max="10" width="34.375" style="53" customWidth="1"/>
    <col min="11" max="11" width="12.125" style="53" customWidth="1"/>
    <col min="12" max="12" width="119.125" style="53" customWidth="1"/>
    <col min="13" max="16" width="12.125" style="53" customWidth="1"/>
    <col min="17" max="18" width="11.875" style="53" customWidth="1"/>
    <col min="19" max="22" width="19.75" style="53" customWidth="1"/>
    <col min="23" max="23" width="19.625" style="53" customWidth="1"/>
    <col min="24" max="26" width="11.875" style="53" customWidth="1"/>
    <col min="27" max="16382" width="12.625" style="53"/>
    <col min="16383" max="16383" width="12.625" style="53" bestFit="1"/>
    <col min="16384" max="16384" width="12.625" style="53"/>
  </cols>
  <sheetData>
    <row r="1" spans="1:27" ht="15.75">
      <c r="A1" s="51" t="s">
        <v>1018</v>
      </c>
      <c r="B1" s="52" t="s">
        <v>1069</v>
      </c>
      <c r="C1" s="52"/>
      <c r="D1" s="52"/>
      <c r="E1" s="52"/>
      <c r="F1" s="52"/>
      <c r="G1" s="52"/>
      <c r="H1" s="52"/>
      <c r="I1" s="52"/>
      <c r="J1" s="52"/>
      <c r="K1" s="52"/>
      <c r="L1" s="52"/>
      <c r="M1" s="52"/>
      <c r="N1" s="52"/>
      <c r="O1" s="52"/>
      <c r="P1" s="52"/>
      <c r="Q1" s="52"/>
      <c r="R1" s="52"/>
      <c r="S1" s="52"/>
      <c r="T1" s="52"/>
      <c r="U1" s="52"/>
      <c r="V1" s="52"/>
      <c r="W1" s="52"/>
      <c r="X1" s="52"/>
      <c r="Y1" s="52"/>
      <c r="Z1" s="52"/>
    </row>
    <row r="2" spans="1:27" ht="15.75">
      <c r="A2" s="51" t="s">
        <v>1020</v>
      </c>
      <c r="B2" s="52" t="s">
        <v>1070</v>
      </c>
      <c r="C2" s="52"/>
      <c r="D2" s="52"/>
      <c r="E2" s="52"/>
      <c r="F2" s="52"/>
      <c r="G2" s="52"/>
      <c r="H2" s="52"/>
      <c r="I2" s="52"/>
      <c r="J2" s="52"/>
      <c r="K2" s="52"/>
      <c r="L2" s="52"/>
      <c r="M2" s="52"/>
      <c r="N2" s="52"/>
      <c r="O2" s="52"/>
      <c r="P2" s="52"/>
      <c r="Q2" s="52"/>
      <c r="R2" s="52"/>
      <c r="S2" s="52"/>
      <c r="T2" s="52"/>
      <c r="U2" s="52"/>
      <c r="V2" s="52"/>
      <c r="W2" s="52"/>
      <c r="X2" s="52"/>
      <c r="Y2" s="52"/>
      <c r="Z2" s="52"/>
    </row>
    <row r="3" spans="1:27" ht="15.75">
      <c r="A3" s="51" t="s">
        <v>0</v>
      </c>
      <c r="B3" s="52" t="s">
        <v>1071</v>
      </c>
      <c r="C3" s="52"/>
      <c r="D3" s="52"/>
      <c r="E3" s="52"/>
      <c r="F3" s="52"/>
      <c r="G3" s="52"/>
      <c r="H3" s="52"/>
      <c r="I3" s="52"/>
      <c r="J3" s="52"/>
      <c r="K3" s="52"/>
      <c r="L3" s="52"/>
      <c r="M3" s="52"/>
      <c r="N3" s="52"/>
      <c r="O3" s="52"/>
      <c r="P3" s="52"/>
      <c r="Q3" s="52"/>
      <c r="R3" s="52"/>
      <c r="S3" s="52"/>
      <c r="T3" s="52"/>
      <c r="U3" s="52"/>
      <c r="V3" s="52"/>
      <c r="W3" s="52"/>
      <c r="X3" s="52"/>
      <c r="Y3" s="52"/>
      <c r="Z3" s="52"/>
    </row>
    <row r="4" spans="1:27" ht="15.75">
      <c r="A4" s="51" t="s">
        <v>1023</v>
      </c>
      <c r="B4" s="52" t="s">
        <v>1072</v>
      </c>
      <c r="C4" s="52"/>
      <c r="D4" s="52"/>
      <c r="E4" s="52"/>
      <c r="F4" s="52"/>
      <c r="G4" s="52"/>
      <c r="H4" s="52"/>
      <c r="I4" s="52"/>
      <c r="J4" s="52"/>
      <c r="K4" s="52"/>
      <c r="L4" s="52"/>
      <c r="M4" s="52"/>
      <c r="N4" s="52"/>
      <c r="O4" s="52"/>
      <c r="P4" s="52"/>
      <c r="Q4" s="52"/>
      <c r="R4" s="52"/>
      <c r="S4" s="52"/>
      <c r="T4" s="52"/>
      <c r="U4" s="52"/>
      <c r="V4" s="52"/>
      <c r="W4" s="52"/>
      <c r="X4" s="52"/>
      <c r="Y4" s="52"/>
      <c r="Z4" s="52"/>
    </row>
    <row r="5" spans="1:27" ht="15.75">
      <c r="A5" s="51" t="s">
        <v>2</v>
      </c>
      <c r="B5" s="52" t="s">
        <v>1073</v>
      </c>
      <c r="C5" s="52"/>
      <c r="D5" s="52"/>
      <c r="E5" s="52"/>
      <c r="F5" s="52"/>
      <c r="G5" s="52"/>
      <c r="H5" s="52"/>
      <c r="I5" s="52"/>
      <c r="J5" s="52"/>
      <c r="K5" s="52"/>
      <c r="L5" s="52"/>
      <c r="M5" s="52"/>
      <c r="N5" s="52"/>
      <c r="O5" s="52"/>
      <c r="P5" s="52"/>
      <c r="Q5" s="52"/>
      <c r="R5" s="52"/>
      <c r="S5" s="52"/>
      <c r="T5" s="52"/>
      <c r="U5" s="52"/>
      <c r="V5" s="52"/>
      <c r="W5" s="52"/>
      <c r="X5" s="52"/>
      <c r="Y5" s="52"/>
      <c r="Z5" s="52"/>
    </row>
    <row r="6" spans="1:27" ht="15.75">
      <c r="A6" s="51" t="s">
        <v>4</v>
      </c>
      <c r="B6" s="52" t="s">
        <v>1026</v>
      </c>
      <c r="C6" s="52"/>
      <c r="D6" s="52"/>
      <c r="E6" s="52"/>
      <c r="F6" s="52"/>
      <c r="G6" s="52"/>
      <c r="H6" s="52"/>
      <c r="I6" s="52"/>
      <c r="J6" s="52"/>
      <c r="K6" s="52"/>
      <c r="L6" s="52"/>
      <c r="M6" s="52"/>
      <c r="N6" s="52"/>
      <c r="O6" s="52"/>
      <c r="P6" s="52"/>
      <c r="Q6" s="52"/>
      <c r="R6" s="52"/>
      <c r="S6" s="52"/>
      <c r="T6" s="52"/>
      <c r="U6" s="52"/>
      <c r="V6" s="52"/>
      <c r="W6" s="52"/>
      <c r="X6" s="52"/>
      <c r="Y6" s="52"/>
      <c r="Z6" s="52"/>
    </row>
    <row r="7" spans="1:27" ht="15.75">
      <c r="A7" s="51" t="s">
        <v>6</v>
      </c>
      <c r="B7" s="52" t="s">
        <v>1053</v>
      </c>
      <c r="C7" s="52"/>
      <c r="D7" s="52"/>
      <c r="E7" s="52"/>
      <c r="F7" s="52"/>
      <c r="G7" s="52"/>
      <c r="H7" s="52"/>
      <c r="I7" s="52"/>
      <c r="J7" s="52"/>
      <c r="K7" s="52"/>
      <c r="L7" s="52"/>
      <c r="M7" s="52"/>
      <c r="N7" s="52"/>
      <c r="O7" s="52"/>
      <c r="P7" s="52"/>
      <c r="Q7" s="52"/>
      <c r="R7" s="52"/>
      <c r="S7" s="52"/>
      <c r="T7" s="52"/>
      <c r="U7" s="52"/>
      <c r="V7" s="52"/>
      <c r="W7" s="52"/>
      <c r="X7" s="52"/>
      <c r="Y7" s="52"/>
      <c r="Z7" s="52"/>
    </row>
    <row r="8" spans="1:27" ht="15.75">
      <c r="A8" s="51"/>
      <c r="B8" s="52"/>
      <c r="C8" s="52"/>
      <c r="D8" s="52"/>
      <c r="E8" s="52"/>
      <c r="F8" s="52"/>
      <c r="G8" s="52"/>
      <c r="H8" s="52"/>
      <c r="I8" s="52"/>
      <c r="J8" s="52"/>
      <c r="K8" s="52"/>
      <c r="L8" s="52"/>
      <c r="M8" s="52"/>
      <c r="N8" s="52"/>
      <c r="O8" s="52"/>
      <c r="P8" s="52"/>
      <c r="Q8" s="52"/>
      <c r="R8" s="52"/>
      <c r="S8" s="52"/>
      <c r="T8" s="52"/>
      <c r="U8" s="52"/>
      <c r="V8" s="52"/>
      <c r="W8" s="52"/>
      <c r="X8" s="52"/>
      <c r="Y8" s="52"/>
      <c r="Z8" s="52"/>
    </row>
    <row r="9" spans="1:27" ht="15.75">
      <c r="A9" s="51"/>
      <c r="B9" s="52"/>
      <c r="C9" s="52"/>
      <c r="D9" s="52"/>
      <c r="E9" s="52"/>
      <c r="F9" s="52"/>
      <c r="G9" s="52"/>
      <c r="H9" s="52"/>
      <c r="I9" s="52"/>
      <c r="J9" s="52"/>
      <c r="K9" s="52"/>
      <c r="L9" s="52"/>
      <c r="M9" s="52"/>
      <c r="N9" s="52"/>
      <c r="O9" s="52"/>
      <c r="P9" s="52"/>
      <c r="Q9" s="52"/>
      <c r="R9" s="52"/>
      <c r="S9" s="52"/>
      <c r="T9" s="52"/>
      <c r="U9" s="52"/>
      <c r="V9" s="52"/>
      <c r="W9" s="52"/>
      <c r="X9" s="52"/>
      <c r="Y9" s="52"/>
      <c r="Z9" s="52"/>
    </row>
    <row r="10" spans="1:27" ht="30">
      <c r="A10" s="54" t="s">
        <v>10</v>
      </c>
      <c r="B10" s="54" t="s">
        <v>11</v>
      </c>
      <c r="C10" s="54" t="s">
        <v>12</v>
      </c>
      <c r="D10" s="54" t="s">
        <v>13</v>
      </c>
      <c r="E10" s="54" t="s">
        <v>14</v>
      </c>
      <c r="F10" s="55" t="s">
        <v>15</v>
      </c>
      <c r="G10" s="54" t="s">
        <v>16</v>
      </c>
      <c r="H10" s="54" t="s">
        <v>25</v>
      </c>
      <c r="I10" s="54" t="s">
        <v>26</v>
      </c>
      <c r="J10" s="56" t="s">
        <v>27</v>
      </c>
      <c r="K10" s="56" t="s">
        <v>28</v>
      </c>
      <c r="L10" s="54" t="s">
        <v>29</v>
      </c>
      <c r="M10" s="54" t="s">
        <v>30</v>
      </c>
      <c r="N10" s="54" t="s">
        <v>31</v>
      </c>
      <c r="O10" s="54" t="s">
        <v>32</v>
      </c>
      <c r="P10" s="54" t="s">
        <v>802</v>
      </c>
      <c r="Q10" s="93" t="s">
        <v>1074</v>
      </c>
      <c r="R10" s="93" t="s">
        <v>1075</v>
      </c>
      <c r="S10" s="93" t="s">
        <v>20</v>
      </c>
      <c r="T10" s="100" t="s">
        <v>934</v>
      </c>
      <c r="U10" s="101" t="s">
        <v>22</v>
      </c>
      <c r="V10" s="101" t="s">
        <v>935</v>
      </c>
      <c r="W10" s="118" t="s">
        <v>1076</v>
      </c>
      <c r="X10" s="52"/>
      <c r="Y10" s="52"/>
      <c r="Z10" s="52"/>
      <c r="AA10" s="52"/>
    </row>
    <row r="11" spans="1:27" ht="18">
      <c r="A11" s="57" t="s">
        <v>1077</v>
      </c>
      <c r="B11" s="57">
        <v>1</v>
      </c>
      <c r="C11" s="57" t="s">
        <v>45</v>
      </c>
      <c r="D11" s="57" t="s">
        <v>1078</v>
      </c>
      <c r="E11" s="57" t="s">
        <v>82</v>
      </c>
      <c r="F11" s="58" t="s">
        <v>83</v>
      </c>
      <c r="G11" s="57" t="s">
        <v>45</v>
      </c>
      <c r="H11" s="57"/>
      <c r="I11" s="59"/>
      <c r="J11" s="57" t="s">
        <v>1079</v>
      </c>
      <c r="K11" s="57">
        <v>1</v>
      </c>
      <c r="L11" s="57" t="s">
        <v>1080</v>
      </c>
      <c r="M11" s="57" t="s">
        <v>1081</v>
      </c>
      <c r="N11" s="57"/>
      <c r="O11" s="57" t="s">
        <v>55</v>
      </c>
      <c r="P11" s="57" t="s">
        <v>55</v>
      </c>
      <c r="Q11" s="52"/>
      <c r="R11" s="52"/>
      <c r="S11" s="52"/>
      <c r="T11" s="79" t="s">
        <v>73</v>
      </c>
      <c r="U11" s="52" t="s">
        <v>49</v>
      </c>
      <c r="V11" s="52" t="s">
        <v>50</v>
      </c>
      <c r="W11" s="52"/>
      <c r="X11" s="52"/>
      <c r="Y11" s="52"/>
      <c r="Z11" s="52"/>
      <c r="AA11" s="52"/>
    </row>
    <row r="12" spans="1:27" ht="18">
      <c r="A12" s="57" t="s">
        <v>1077</v>
      </c>
      <c r="B12" s="57">
        <v>2</v>
      </c>
      <c r="C12" s="57" t="s">
        <v>41</v>
      </c>
      <c r="D12" s="57" t="s">
        <v>1082</v>
      </c>
      <c r="E12" s="57" t="s">
        <v>43</v>
      </c>
      <c r="F12" s="58" t="s">
        <v>44</v>
      </c>
      <c r="G12" s="57" t="s">
        <v>45</v>
      </c>
      <c r="H12" s="57"/>
      <c r="I12" s="59"/>
      <c r="J12" s="57" t="s">
        <v>1079</v>
      </c>
      <c r="K12" s="57">
        <v>2</v>
      </c>
      <c r="L12" s="57" t="s">
        <v>1083</v>
      </c>
      <c r="M12" s="57" t="s">
        <v>1084</v>
      </c>
      <c r="N12" s="57"/>
      <c r="O12" s="57" t="s">
        <v>55</v>
      </c>
      <c r="P12" s="57" t="s">
        <v>55</v>
      </c>
      <c r="Q12" s="52"/>
      <c r="R12" s="52"/>
      <c r="S12" s="52"/>
      <c r="T12" s="79" t="s">
        <v>73</v>
      </c>
      <c r="U12" s="52" t="s">
        <v>49</v>
      </c>
      <c r="V12" s="52" t="s">
        <v>50</v>
      </c>
      <c r="W12" s="52"/>
      <c r="X12" s="52"/>
      <c r="Y12" s="52"/>
      <c r="Z12" s="52"/>
      <c r="AA12" s="52"/>
    </row>
    <row r="13" spans="1:27" ht="18">
      <c r="A13" s="57" t="s">
        <v>1077</v>
      </c>
      <c r="B13" s="57">
        <v>3</v>
      </c>
      <c r="C13" s="57" t="s">
        <v>41</v>
      </c>
      <c r="D13" s="57" t="s">
        <v>1085</v>
      </c>
      <c r="E13" s="57" t="s">
        <v>106</v>
      </c>
      <c r="F13" s="58" t="s">
        <v>413</v>
      </c>
      <c r="G13" s="57" t="s">
        <v>45</v>
      </c>
      <c r="H13" s="57"/>
      <c r="I13" s="59"/>
      <c r="J13" s="57" t="s">
        <v>1079</v>
      </c>
      <c r="K13" s="57">
        <v>3</v>
      </c>
      <c r="L13" s="57" t="s">
        <v>1086</v>
      </c>
      <c r="M13" s="57" t="s">
        <v>1087</v>
      </c>
      <c r="N13" s="57"/>
      <c r="O13" s="57"/>
      <c r="P13" s="57"/>
      <c r="Q13" s="52"/>
      <c r="R13" s="52"/>
      <c r="S13" s="52"/>
      <c r="T13" s="79" t="s">
        <v>73</v>
      </c>
      <c r="U13" s="52" t="s">
        <v>49</v>
      </c>
      <c r="V13" s="52" t="s">
        <v>50</v>
      </c>
      <c r="W13" s="52"/>
      <c r="X13" s="52"/>
      <c r="Y13" s="52"/>
      <c r="Z13" s="52"/>
      <c r="AA13" s="52"/>
    </row>
    <row r="14" spans="1:27" ht="18">
      <c r="A14" s="57" t="s">
        <v>1077</v>
      </c>
      <c r="B14" s="60">
        <v>4</v>
      </c>
      <c r="C14" s="57" t="s">
        <v>41</v>
      </c>
      <c r="D14" s="60" t="s">
        <v>1088</v>
      </c>
      <c r="E14" s="57" t="s">
        <v>106</v>
      </c>
      <c r="F14" s="61" t="s">
        <v>1089</v>
      </c>
      <c r="G14" s="57" t="s">
        <v>45</v>
      </c>
      <c r="H14" s="60"/>
      <c r="I14" s="60"/>
      <c r="J14" s="57" t="s">
        <v>1079</v>
      </c>
      <c r="K14" s="60">
        <v>4</v>
      </c>
      <c r="L14" s="60" t="s">
        <v>1090</v>
      </c>
      <c r="M14" s="60" t="s">
        <v>1091</v>
      </c>
      <c r="N14" s="60"/>
      <c r="O14" s="60"/>
      <c r="P14" s="60"/>
      <c r="Q14" s="52"/>
      <c r="R14" s="52"/>
      <c r="S14" s="52"/>
      <c r="T14" s="79" t="s">
        <v>73</v>
      </c>
      <c r="U14" s="52" t="s">
        <v>49</v>
      </c>
      <c r="V14" s="52" t="s">
        <v>50</v>
      </c>
      <c r="W14" s="52"/>
      <c r="X14" s="52"/>
      <c r="Y14" s="52"/>
      <c r="Z14" s="52"/>
      <c r="AA14" s="52"/>
    </row>
    <row r="15" spans="1:27" ht="46.5">
      <c r="A15" s="57" t="s">
        <v>1077</v>
      </c>
      <c r="B15" s="60">
        <v>5</v>
      </c>
      <c r="C15" s="57" t="s">
        <v>41</v>
      </c>
      <c r="D15" s="60" t="s">
        <v>1092</v>
      </c>
      <c r="E15" s="60" t="s">
        <v>43</v>
      </c>
      <c r="F15" s="61" t="s">
        <v>360</v>
      </c>
      <c r="G15" s="57" t="s">
        <v>45</v>
      </c>
      <c r="H15" s="60"/>
      <c r="I15" s="60"/>
      <c r="J15" s="57" t="s">
        <v>1079</v>
      </c>
      <c r="K15" s="62">
        <v>5</v>
      </c>
      <c r="L15" s="60" t="s">
        <v>1093</v>
      </c>
      <c r="M15" s="60" t="s">
        <v>1094</v>
      </c>
      <c r="N15" s="60"/>
      <c r="O15" s="60"/>
      <c r="P15" s="60"/>
      <c r="Q15" s="52"/>
      <c r="R15" s="52"/>
      <c r="S15" s="52"/>
      <c r="T15" s="79" t="s">
        <v>73</v>
      </c>
      <c r="U15" s="52" t="s">
        <v>74</v>
      </c>
      <c r="V15" s="52" t="s">
        <v>1035</v>
      </c>
      <c r="W15" s="117" t="s">
        <v>1095</v>
      </c>
      <c r="X15" s="52"/>
      <c r="Y15" s="52"/>
      <c r="Z15" s="52"/>
      <c r="AA15" s="52"/>
    </row>
    <row r="16" spans="1:27" ht="15.75">
      <c r="A16" s="52"/>
      <c r="B16" s="52"/>
      <c r="C16" s="52"/>
      <c r="D16" s="52"/>
      <c r="E16" s="52"/>
      <c r="F16" s="52"/>
      <c r="G16" s="52"/>
      <c r="H16" s="52"/>
      <c r="I16" s="52"/>
      <c r="J16" s="52"/>
      <c r="K16" s="52"/>
      <c r="L16" s="52"/>
      <c r="M16" s="52"/>
      <c r="N16" s="52"/>
      <c r="O16" s="52"/>
      <c r="P16" s="52"/>
      <c r="Q16" s="52"/>
      <c r="R16" s="52"/>
      <c r="S16" s="52"/>
      <c r="T16" s="52"/>
      <c r="U16" s="52"/>
      <c r="V16" s="52"/>
      <c r="W16" s="52"/>
      <c r="X16" s="52"/>
      <c r="Y16" s="52"/>
      <c r="Z16" s="52"/>
    </row>
    <row r="17" spans="1:26" ht="15.75">
      <c r="A17" s="52"/>
      <c r="B17" s="52"/>
      <c r="C17" s="52"/>
      <c r="D17" s="52"/>
      <c r="E17" s="52"/>
      <c r="F17" s="52"/>
      <c r="G17" s="52"/>
      <c r="H17" s="52"/>
      <c r="I17" s="52"/>
      <c r="J17" s="52"/>
      <c r="K17" s="52"/>
      <c r="L17" s="52"/>
      <c r="M17" s="52"/>
      <c r="N17" s="52"/>
      <c r="O17" s="52"/>
      <c r="P17" s="52"/>
      <c r="Q17" s="52"/>
      <c r="R17" s="52"/>
      <c r="S17" s="52"/>
      <c r="T17" s="52"/>
      <c r="U17" s="52"/>
      <c r="V17" s="52"/>
      <c r="W17" s="52"/>
      <c r="X17" s="52"/>
      <c r="Y17" s="52"/>
      <c r="Z17" s="52"/>
    </row>
    <row r="18" spans="1:26" ht="15.75">
      <c r="A18" s="52"/>
      <c r="B18" s="52"/>
      <c r="C18" s="52"/>
      <c r="D18" s="52"/>
      <c r="E18" s="52"/>
      <c r="F18" s="52"/>
      <c r="G18" s="52"/>
      <c r="H18" s="52"/>
      <c r="I18" s="52"/>
      <c r="J18" s="52"/>
      <c r="K18" s="52"/>
      <c r="L18" s="52"/>
      <c r="M18" s="52"/>
      <c r="N18" s="52"/>
      <c r="O18" s="52"/>
      <c r="P18" s="52"/>
      <c r="Q18" s="52"/>
      <c r="R18" s="52"/>
      <c r="S18" s="52"/>
      <c r="T18" s="52"/>
      <c r="U18" s="52"/>
      <c r="V18" s="52"/>
      <c r="W18" s="52"/>
      <c r="X18" s="52"/>
      <c r="Y18" s="52"/>
      <c r="Z18" s="52"/>
    </row>
    <row r="19" spans="1:26" ht="15.75">
      <c r="A19" s="52"/>
      <c r="B19" s="52"/>
      <c r="C19" s="52"/>
      <c r="D19" s="52"/>
      <c r="E19" s="52"/>
      <c r="F19" s="52"/>
      <c r="G19" s="52"/>
      <c r="H19" s="52"/>
      <c r="I19" s="52"/>
      <c r="J19" s="52"/>
      <c r="K19" s="52"/>
      <c r="L19" s="52"/>
      <c r="M19" s="52"/>
      <c r="N19" s="52"/>
      <c r="O19" s="52"/>
      <c r="P19" s="52"/>
      <c r="Q19" s="52"/>
      <c r="R19" s="52"/>
      <c r="S19" s="52"/>
      <c r="T19" s="52"/>
      <c r="U19" s="52"/>
      <c r="V19" s="52"/>
      <c r="W19" s="52"/>
      <c r="X19" s="52"/>
      <c r="Y19" s="52"/>
      <c r="Z19" s="52"/>
    </row>
    <row r="20" spans="1:26" ht="15.75">
      <c r="A20" s="52"/>
      <c r="B20" s="52"/>
      <c r="C20" s="52"/>
      <c r="D20" s="52"/>
      <c r="E20" s="52"/>
      <c r="F20" s="52"/>
      <c r="G20" s="52"/>
      <c r="H20" s="52"/>
      <c r="I20" s="52"/>
      <c r="J20" s="52"/>
      <c r="K20" s="52"/>
      <c r="L20" s="52"/>
      <c r="M20" s="52"/>
      <c r="N20" s="52"/>
      <c r="O20" s="52"/>
      <c r="P20" s="52"/>
      <c r="Q20" s="52"/>
      <c r="R20" s="52"/>
      <c r="S20" s="52"/>
      <c r="T20" s="52"/>
      <c r="U20" s="52"/>
      <c r="V20" s="52"/>
      <c r="W20" s="52"/>
      <c r="X20" s="52"/>
      <c r="Y20" s="52"/>
      <c r="Z20" s="52"/>
    </row>
    <row r="21" spans="1:26" ht="15.75" customHeight="1">
      <c r="A21" s="52"/>
      <c r="B21" s="52"/>
      <c r="C21" s="52"/>
      <c r="D21" s="52"/>
      <c r="E21" s="52"/>
      <c r="F21" s="52"/>
      <c r="G21" s="52"/>
      <c r="H21" s="52"/>
      <c r="I21" s="52"/>
      <c r="J21" s="52"/>
      <c r="K21" s="52"/>
      <c r="L21" s="52"/>
      <c r="M21" s="52"/>
      <c r="N21" s="52"/>
      <c r="O21" s="52"/>
      <c r="P21" s="52"/>
      <c r="Q21" s="52"/>
      <c r="R21" s="52"/>
      <c r="S21" s="52"/>
      <c r="T21" s="52"/>
      <c r="U21" s="52"/>
      <c r="V21" s="52"/>
      <c r="W21" s="52"/>
      <c r="X21" s="52"/>
      <c r="Y21" s="52"/>
      <c r="Z21" s="52"/>
    </row>
    <row r="22" spans="1:26" ht="15.75" customHeight="1">
      <c r="A22" s="52"/>
      <c r="B22" s="52"/>
      <c r="C22" s="52"/>
      <c r="D22" s="52"/>
      <c r="E22" s="52"/>
      <c r="F22" s="52"/>
      <c r="G22" s="52"/>
      <c r="H22" s="52"/>
      <c r="I22" s="52"/>
      <c r="J22" s="52"/>
      <c r="K22" s="52"/>
      <c r="L22" s="52"/>
      <c r="M22" s="52"/>
      <c r="N22" s="52"/>
      <c r="O22" s="52"/>
      <c r="P22" s="52"/>
      <c r="Q22" s="52"/>
      <c r="R22" s="52"/>
      <c r="S22" s="52"/>
      <c r="T22" s="52"/>
      <c r="U22" s="52"/>
      <c r="V22" s="52"/>
      <c r="W22" s="52"/>
      <c r="X22" s="52"/>
      <c r="Y22" s="52"/>
      <c r="Z22" s="52"/>
    </row>
    <row r="23" spans="1:26" ht="15.75" customHeight="1">
      <c r="A23" s="52"/>
      <c r="B23" s="52"/>
      <c r="C23" s="52"/>
      <c r="D23" s="52"/>
      <c r="E23" s="52"/>
      <c r="F23" s="52"/>
      <c r="G23" s="52"/>
      <c r="H23" s="52"/>
      <c r="I23" s="52"/>
      <c r="J23" s="52"/>
      <c r="K23" s="52"/>
      <c r="L23" s="52"/>
      <c r="M23" s="52"/>
      <c r="N23" s="52"/>
      <c r="O23" s="52"/>
      <c r="P23" s="52"/>
      <c r="Q23" s="52"/>
      <c r="R23" s="52"/>
      <c r="S23" s="52"/>
      <c r="T23" s="52"/>
      <c r="U23" s="52"/>
      <c r="V23" s="52"/>
      <c r="W23" s="52"/>
      <c r="X23" s="52"/>
      <c r="Y23" s="52"/>
      <c r="Z23" s="52"/>
    </row>
    <row r="24" spans="1:26" ht="15.75" customHeight="1">
      <c r="A24" s="52"/>
      <c r="B24" s="52"/>
      <c r="C24" s="52"/>
      <c r="D24" s="52"/>
      <c r="E24" s="52"/>
      <c r="F24" s="52"/>
      <c r="G24" s="52"/>
      <c r="H24" s="52"/>
      <c r="I24" s="52"/>
      <c r="J24" s="52"/>
      <c r="K24" s="52"/>
      <c r="L24" s="52"/>
      <c r="M24" s="52"/>
      <c r="N24" s="52"/>
      <c r="O24" s="52"/>
      <c r="P24" s="52"/>
      <c r="Q24" s="52"/>
      <c r="R24" s="52"/>
      <c r="S24" s="52"/>
      <c r="T24" s="52"/>
      <c r="U24" s="52"/>
      <c r="V24" s="52"/>
      <c r="W24" s="52"/>
      <c r="X24" s="52"/>
      <c r="Y24" s="52"/>
      <c r="Z24" s="52"/>
    </row>
    <row r="25" spans="1:26" ht="15.75" customHeight="1">
      <c r="A25" s="52"/>
      <c r="B25" s="52"/>
      <c r="C25" s="52"/>
      <c r="D25" s="52"/>
      <c r="E25" s="52"/>
      <c r="F25" s="52"/>
      <c r="G25" s="52"/>
      <c r="H25" s="52"/>
      <c r="I25" s="52"/>
      <c r="J25" s="52"/>
      <c r="K25" s="52"/>
      <c r="L25" s="52"/>
      <c r="M25" s="52"/>
      <c r="N25" s="52"/>
      <c r="O25" s="52"/>
      <c r="P25" s="52"/>
      <c r="Q25" s="52"/>
      <c r="R25" s="52"/>
      <c r="S25" s="52"/>
      <c r="T25" s="52"/>
      <c r="U25" s="52"/>
      <c r="V25" s="52"/>
      <c r="W25" s="52"/>
      <c r="X25" s="52"/>
      <c r="Y25" s="52"/>
      <c r="Z25" s="52"/>
    </row>
    <row r="26" spans="1:26" ht="15.75" customHeight="1">
      <c r="A26" s="52"/>
      <c r="B26" s="52"/>
      <c r="C26" s="52"/>
      <c r="D26" s="52"/>
      <c r="E26" s="52"/>
      <c r="F26" s="52"/>
      <c r="G26" s="52"/>
      <c r="H26" s="52"/>
      <c r="I26" s="52"/>
      <c r="J26" s="52"/>
      <c r="K26" s="52"/>
      <c r="L26" s="52"/>
      <c r="M26" s="52"/>
      <c r="N26" s="52"/>
      <c r="O26" s="52"/>
      <c r="P26" s="52"/>
      <c r="Q26" s="52"/>
      <c r="R26" s="52"/>
      <c r="S26" s="52"/>
      <c r="T26" s="52"/>
      <c r="U26" s="52"/>
      <c r="V26" s="52"/>
      <c r="W26" s="52"/>
      <c r="X26" s="52"/>
      <c r="Y26" s="52"/>
      <c r="Z26" s="52"/>
    </row>
    <row r="27" spans="1:26" ht="15.75" customHeight="1">
      <c r="A27" s="52"/>
      <c r="B27" s="52"/>
      <c r="C27" s="52"/>
      <c r="D27" s="52"/>
      <c r="E27" s="52"/>
      <c r="F27" s="52"/>
      <c r="G27" s="52"/>
      <c r="H27" s="52"/>
      <c r="I27" s="52"/>
      <c r="J27" s="52"/>
      <c r="K27" s="52"/>
      <c r="L27" s="52"/>
      <c r="M27" s="52"/>
      <c r="N27" s="52"/>
      <c r="O27" s="52"/>
      <c r="P27" s="52"/>
      <c r="Q27" s="52"/>
      <c r="R27" s="52"/>
      <c r="S27" s="52"/>
      <c r="T27" s="52"/>
      <c r="U27" s="52"/>
      <c r="V27" s="52"/>
      <c r="W27" s="52"/>
      <c r="X27" s="52"/>
      <c r="Y27" s="52"/>
      <c r="Z27" s="52"/>
    </row>
    <row r="28" spans="1:26" ht="15.75" customHeight="1">
      <c r="A28" s="52"/>
      <c r="B28" s="52"/>
      <c r="C28" s="52"/>
      <c r="D28" s="52"/>
      <c r="E28" s="52"/>
      <c r="F28" s="52"/>
      <c r="G28" s="52"/>
      <c r="H28" s="52"/>
      <c r="I28" s="52"/>
      <c r="J28" s="52"/>
      <c r="K28" s="52"/>
      <c r="L28" s="52"/>
      <c r="M28" s="52"/>
      <c r="N28" s="52"/>
      <c r="O28" s="52"/>
      <c r="P28" s="52"/>
      <c r="Q28" s="52"/>
      <c r="R28" s="52"/>
      <c r="S28" s="52"/>
      <c r="T28" s="52"/>
      <c r="U28" s="52"/>
      <c r="V28" s="52"/>
      <c r="W28" s="52"/>
      <c r="X28" s="52"/>
      <c r="Y28" s="52"/>
      <c r="Z28" s="52"/>
    </row>
    <row r="29" spans="1:26" ht="15.75" customHeight="1">
      <c r="A29" s="52"/>
      <c r="B29" s="52"/>
      <c r="C29" s="52"/>
      <c r="D29" s="52"/>
      <c r="E29" s="52"/>
      <c r="F29" s="52"/>
      <c r="G29" s="52"/>
      <c r="H29" s="52"/>
      <c r="I29" s="52"/>
      <c r="J29" s="52"/>
      <c r="K29" s="52"/>
      <c r="L29" s="52"/>
      <c r="M29" s="52"/>
      <c r="N29" s="52"/>
      <c r="O29" s="52"/>
      <c r="P29" s="52"/>
      <c r="Q29" s="52"/>
      <c r="R29" s="52"/>
      <c r="S29" s="52"/>
      <c r="T29" s="52"/>
      <c r="U29" s="52"/>
      <c r="V29" s="52"/>
      <c r="W29" s="52"/>
      <c r="X29" s="52"/>
      <c r="Y29" s="52"/>
      <c r="Z29" s="52"/>
    </row>
    <row r="30" spans="1:26" ht="15.75" customHeight="1">
      <c r="A30" s="52"/>
      <c r="B30" s="52"/>
      <c r="C30" s="52"/>
      <c r="D30" s="52"/>
      <c r="E30" s="52"/>
      <c r="F30" s="52"/>
      <c r="G30" s="52"/>
      <c r="H30" s="52"/>
      <c r="I30" s="52"/>
      <c r="J30" s="52"/>
      <c r="K30" s="52"/>
      <c r="L30" s="52"/>
      <c r="M30" s="52"/>
      <c r="N30" s="52"/>
      <c r="O30" s="52"/>
      <c r="P30" s="52"/>
      <c r="Q30" s="52"/>
      <c r="R30" s="52"/>
      <c r="S30" s="52"/>
      <c r="T30" s="52"/>
      <c r="U30" s="52"/>
      <c r="V30" s="52"/>
      <c r="W30" s="52"/>
      <c r="X30" s="52"/>
      <c r="Y30" s="52"/>
      <c r="Z30" s="52"/>
    </row>
    <row r="31" spans="1:26" ht="15.75" customHeight="1">
      <c r="A31" s="52"/>
      <c r="B31" s="52"/>
      <c r="C31" s="52"/>
      <c r="D31" s="52"/>
      <c r="E31" s="52"/>
      <c r="F31" s="52"/>
      <c r="G31" s="52"/>
      <c r="H31" s="52"/>
      <c r="I31" s="52"/>
      <c r="J31" s="52"/>
      <c r="K31" s="52"/>
      <c r="L31" s="52"/>
      <c r="M31" s="52"/>
      <c r="N31" s="52"/>
      <c r="O31" s="52"/>
      <c r="P31" s="52"/>
      <c r="Q31" s="52"/>
      <c r="R31" s="52"/>
      <c r="S31" s="52"/>
      <c r="T31" s="52"/>
      <c r="U31" s="52"/>
      <c r="V31" s="52"/>
      <c r="W31" s="52"/>
      <c r="X31" s="52"/>
      <c r="Y31" s="52"/>
      <c r="Z31" s="52"/>
    </row>
    <row r="32" spans="1:26" ht="15.75" customHeight="1">
      <c r="A32" s="52"/>
      <c r="B32" s="52"/>
      <c r="C32" s="52"/>
      <c r="D32" s="52"/>
      <c r="E32" s="52"/>
      <c r="F32" s="52"/>
      <c r="G32" s="52"/>
      <c r="H32" s="52"/>
      <c r="I32" s="52"/>
      <c r="J32" s="52"/>
      <c r="K32" s="52"/>
      <c r="L32" s="52"/>
      <c r="M32" s="52"/>
      <c r="N32" s="52"/>
      <c r="O32" s="52"/>
      <c r="P32" s="52"/>
      <c r="Q32" s="52"/>
      <c r="R32" s="52"/>
      <c r="S32" s="52"/>
      <c r="T32" s="52"/>
      <c r="U32" s="52"/>
      <c r="V32" s="52"/>
      <c r="W32" s="52"/>
      <c r="X32" s="52"/>
      <c r="Y32" s="52"/>
      <c r="Z32" s="52"/>
    </row>
    <row r="33" spans="1:26" ht="15.75" customHeight="1">
      <c r="A33" s="52"/>
      <c r="B33" s="52"/>
      <c r="C33" s="52"/>
      <c r="D33" s="52"/>
      <c r="E33" s="52"/>
      <c r="F33" s="52"/>
      <c r="G33" s="52"/>
      <c r="H33" s="52"/>
      <c r="I33" s="52"/>
      <c r="J33" s="52"/>
      <c r="K33" s="52"/>
      <c r="L33" s="52"/>
      <c r="M33" s="52"/>
      <c r="N33" s="52"/>
      <c r="O33" s="52"/>
      <c r="P33" s="52"/>
      <c r="Q33" s="52"/>
      <c r="R33" s="52"/>
      <c r="S33" s="52"/>
      <c r="T33" s="52"/>
      <c r="U33" s="52"/>
      <c r="V33" s="52"/>
      <c r="W33" s="52"/>
      <c r="X33" s="52"/>
      <c r="Y33" s="52"/>
      <c r="Z33" s="52"/>
    </row>
    <row r="34" spans="1:26" ht="15.75" customHeight="1">
      <c r="A34" s="52"/>
      <c r="B34" s="52"/>
      <c r="C34" s="52"/>
      <c r="D34" s="52"/>
      <c r="E34" s="52"/>
      <c r="F34" s="52"/>
      <c r="G34" s="52"/>
      <c r="H34" s="52"/>
      <c r="I34" s="52"/>
      <c r="J34" s="52"/>
      <c r="K34" s="52"/>
      <c r="L34" s="52"/>
      <c r="M34" s="52"/>
      <c r="N34" s="52"/>
      <c r="O34" s="52"/>
      <c r="P34" s="52"/>
      <c r="Q34" s="52"/>
      <c r="R34" s="52"/>
      <c r="S34" s="52"/>
      <c r="T34" s="52"/>
      <c r="U34" s="52"/>
      <c r="V34" s="52"/>
      <c r="W34" s="52"/>
      <c r="X34" s="52"/>
      <c r="Y34" s="52"/>
      <c r="Z34" s="52"/>
    </row>
    <row r="35" spans="1:26" ht="15.75" customHeight="1">
      <c r="A35" s="52"/>
      <c r="B35" s="52"/>
      <c r="C35" s="52"/>
      <c r="D35" s="52"/>
      <c r="E35" s="52"/>
      <c r="F35" s="52"/>
      <c r="G35" s="52"/>
      <c r="H35" s="52"/>
      <c r="I35" s="52"/>
      <c r="J35" s="52"/>
      <c r="K35" s="52"/>
      <c r="L35" s="52"/>
      <c r="M35" s="52"/>
      <c r="N35" s="52"/>
      <c r="O35" s="52"/>
      <c r="P35" s="52"/>
      <c r="Q35" s="52"/>
      <c r="R35" s="52"/>
      <c r="S35" s="52"/>
      <c r="T35" s="52"/>
      <c r="U35" s="52"/>
      <c r="V35" s="52"/>
      <c r="W35" s="52"/>
      <c r="X35" s="52"/>
      <c r="Y35" s="52"/>
      <c r="Z35" s="52"/>
    </row>
    <row r="36" spans="1:26" ht="15.75" customHeight="1">
      <c r="A36" s="52"/>
      <c r="B36" s="52"/>
      <c r="C36" s="52"/>
      <c r="D36" s="52"/>
      <c r="E36" s="52"/>
      <c r="F36" s="52"/>
      <c r="G36" s="52"/>
      <c r="H36" s="52"/>
      <c r="I36" s="52"/>
      <c r="J36" s="52"/>
      <c r="K36" s="52"/>
      <c r="L36" s="52"/>
      <c r="M36" s="52"/>
      <c r="N36" s="52"/>
      <c r="O36" s="52"/>
      <c r="P36" s="52"/>
      <c r="Q36" s="52"/>
      <c r="R36" s="52"/>
      <c r="S36" s="52"/>
      <c r="T36" s="52"/>
      <c r="U36" s="52"/>
      <c r="V36" s="52"/>
      <c r="W36" s="52"/>
      <c r="X36" s="52"/>
      <c r="Y36" s="52"/>
      <c r="Z36" s="52"/>
    </row>
    <row r="37" spans="1:26" ht="15.75" customHeight="1">
      <c r="A37" s="52"/>
      <c r="B37" s="52"/>
      <c r="C37" s="52"/>
      <c r="D37" s="52"/>
      <c r="E37" s="52"/>
      <c r="F37" s="52"/>
      <c r="G37" s="52"/>
      <c r="H37" s="52"/>
      <c r="I37" s="52"/>
      <c r="J37" s="52"/>
      <c r="K37" s="52"/>
      <c r="L37" s="52"/>
      <c r="M37" s="52"/>
      <c r="N37" s="52"/>
      <c r="O37" s="52"/>
      <c r="P37" s="52"/>
      <c r="Q37" s="52"/>
      <c r="R37" s="52"/>
      <c r="S37" s="52"/>
      <c r="T37" s="52"/>
      <c r="U37" s="52"/>
      <c r="V37" s="52"/>
      <c r="W37" s="52"/>
      <c r="X37" s="52"/>
      <c r="Y37" s="52"/>
      <c r="Z37" s="52"/>
    </row>
    <row r="38" spans="1:26" ht="15.75" customHeight="1">
      <c r="A38" s="52"/>
      <c r="B38" s="52"/>
      <c r="C38" s="52"/>
      <c r="D38" s="52"/>
      <c r="E38" s="52"/>
      <c r="F38" s="52"/>
      <c r="G38" s="52"/>
      <c r="H38" s="52"/>
      <c r="I38" s="52"/>
      <c r="J38" s="52"/>
      <c r="K38" s="52"/>
      <c r="L38" s="52"/>
      <c r="M38" s="52"/>
      <c r="N38" s="52"/>
      <c r="O38" s="52"/>
      <c r="P38" s="52"/>
      <c r="Q38" s="52"/>
      <c r="R38" s="52"/>
      <c r="S38" s="52"/>
      <c r="T38" s="52"/>
      <c r="U38" s="52"/>
      <c r="V38" s="52"/>
      <c r="W38" s="52"/>
      <c r="X38" s="52"/>
      <c r="Y38" s="52"/>
      <c r="Z38" s="52"/>
    </row>
    <row r="39" spans="1:26" ht="15.75" customHeight="1">
      <c r="A39" s="52"/>
      <c r="B39" s="52"/>
      <c r="C39" s="52"/>
      <c r="D39" s="52"/>
      <c r="E39" s="52"/>
      <c r="F39" s="52"/>
      <c r="G39" s="52"/>
      <c r="H39" s="52"/>
      <c r="I39" s="52"/>
      <c r="J39" s="52"/>
      <c r="K39" s="52"/>
      <c r="L39" s="52"/>
      <c r="M39" s="52"/>
      <c r="N39" s="52"/>
      <c r="O39" s="52"/>
      <c r="P39" s="52"/>
      <c r="Q39" s="52"/>
      <c r="R39" s="52"/>
      <c r="S39" s="52"/>
      <c r="T39" s="52"/>
      <c r="U39" s="52"/>
      <c r="V39" s="52"/>
      <c r="W39" s="52"/>
      <c r="X39" s="52"/>
      <c r="Y39" s="52"/>
      <c r="Z39" s="52"/>
    </row>
    <row r="40" spans="1:26" ht="15.75" customHeight="1">
      <c r="A40" s="52"/>
      <c r="B40" s="52"/>
      <c r="C40" s="52"/>
      <c r="D40" s="52"/>
      <c r="E40" s="52"/>
      <c r="F40" s="52"/>
      <c r="G40" s="52"/>
      <c r="H40" s="52"/>
      <c r="I40" s="52"/>
      <c r="J40" s="52"/>
      <c r="K40" s="52"/>
      <c r="L40" s="52"/>
      <c r="M40" s="52"/>
      <c r="N40" s="52"/>
      <c r="O40" s="52"/>
      <c r="P40" s="52"/>
      <c r="Q40" s="52"/>
      <c r="R40" s="52"/>
      <c r="S40" s="52"/>
      <c r="T40" s="52"/>
      <c r="U40" s="52"/>
      <c r="V40" s="52"/>
      <c r="W40" s="52"/>
      <c r="X40" s="52"/>
      <c r="Y40" s="52"/>
      <c r="Z40" s="52"/>
    </row>
    <row r="41" spans="1:26" ht="15.75" customHeight="1">
      <c r="A41" s="52"/>
      <c r="B41" s="52"/>
      <c r="C41" s="52"/>
      <c r="D41" s="52"/>
      <c r="E41" s="52"/>
      <c r="F41" s="52"/>
      <c r="G41" s="52"/>
      <c r="H41" s="52"/>
      <c r="I41" s="52"/>
      <c r="J41" s="52"/>
      <c r="K41" s="52"/>
      <c r="L41" s="52"/>
      <c r="M41" s="52"/>
      <c r="N41" s="52"/>
      <c r="O41" s="52"/>
      <c r="P41" s="52"/>
      <c r="Q41" s="52"/>
      <c r="R41" s="52"/>
      <c r="S41" s="52"/>
      <c r="T41" s="52"/>
      <c r="U41" s="52"/>
      <c r="V41" s="52"/>
      <c r="W41" s="52"/>
      <c r="X41" s="52"/>
      <c r="Y41" s="52"/>
      <c r="Z41" s="52"/>
    </row>
    <row r="42" spans="1:26" ht="15.75" customHeight="1">
      <c r="A42" s="52"/>
      <c r="B42" s="52"/>
      <c r="C42" s="52"/>
      <c r="D42" s="52"/>
      <c r="E42" s="52"/>
      <c r="F42" s="52"/>
      <c r="G42" s="52"/>
      <c r="H42" s="52"/>
      <c r="I42" s="52"/>
      <c r="J42" s="52"/>
      <c r="K42" s="52"/>
      <c r="L42" s="52"/>
      <c r="M42" s="52"/>
      <c r="N42" s="52"/>
      <c r="O42" s="52"/>
      <c r="P42" s="52"/>
      <c r="Q42" s="52"/>
      <c r="R42" s="52"/>
      <c r="S42" s="52"/>
      <c r="T42" s="52"/>
      <c r="U42" s="52"/>
      <c r="V42" s="52"/>
      <c r="W42" s="52"/>
      <c r="X42" s="52"/>
      <c r="Y42" s="52"/>
      <c r="Z42" s="52"/>
    </row>
    <row r="43" spans="1:26" ht="15.75" customHeight="1">
      <c r="A43" s="52"/>
      <c r="B43" s="52"/>
      <c r="C43" s="52"/>
      <c r="D43" s="52"/>
      <c r="E43" s="52"/>
      <c r="F43" s="52"/>
      <c r="G43" s="52"/>
      <c r="H43" s="52"/>
      <c r="I43" s="52"/>
      <c r="J43" s="52"/>
      <c r="K43" s="52"/>
      <c r="L43" s="52"/>
      <c r="M43" s="52"/>
      <c r="N43" s="52"/>
      <c r="O43" s="52"/>
      <c r="P43" s="52"/>
      <c r="Q43" s="52"/>
      <c r="R43" s="52"/>
      <c r="S43" s="52"/>
      <c r="T43" s="52"/>
      <c r="U43" s="52"/>
      <c r="V43" s="52"/>
      <c r="W43" s="52"/>
      <c r="X43" s="52"/>
      <c r="Y43" s="52"/>
      <c r="Z43" s="52"/>
    </row>
    <row r="44" spans="1:26" ht="15.75" customHeight="1">
      <c r="A44" s="52"/>
      <c r="B44" s="52"/>
      <c r="C44" s="52"/>
      <c r="D44" s="52"/>
      <c r="E44" s="52"/>
      <c r="F44" s="52"/>
      <c r="G44" s="52"/>
      <c r="H44" s="52"/>
      <c r="I44" s="52"/>
      <c r="J44" s="52"/>
      <c r="K44" s="52"/>
      <c r="L44" s="52"/>
      <c r="M44" s="52"/>
      <c r="N44" s="52"/>
      <c r="O44" s="52"/>
      <c r="P44" s="52"/>
      <c r="Q44" s="52"/>
      <c r="R44" s="52"/>
      <c r="S44" s="52"/>
      <c r="T44" s="52"/>
      <c r="U44" s="52"/>
      <c r="V44" s="52"/>
      <c r="W44" s="52"/>
      <c r="X44" s="52"/>
      <c r="Y44" s="52"/>
      <c r="Z44" s="52"/>
    </row>
    <row r="45" spans="1:26" ht="15.75" customHeight="1">
      <c r="A45" s="52"/>
      <c r="B45" s="52"/>
      <c r="C45" s="52"/>
      <c r="D45" s="52"/>
      <c r="E45" s="52"/>
      <c r="F45" s="52"/>
      <c r="G45" s="52"/>
      <c r="H45" s="52"/>
      <c r="I45" s="52"/>
      <c r="J45" s="52"/>
      <c r="K45" s="52"/>
      <c r="L45" s="52"/>
      <c r="M45" s="52"/>
      <c r="N45" s="52"/>
      <c r="O45" s="52"/>
      <c r="P45" s="52"/>
      <c r="Q45" s="52"/>
      <c r="R45" s="52"/>
      <c r="S45" s="52"/>
      <c r="T45" s="52"/>
      <c r="U45" s="52"/>
      <c r="V45" s="52"/>
      <c r="W45" s="52"/>
      <c r="X45" s="52"/>
      <c r="Y45" s="52"/>
      <c r="Z45" s="52"/>
    </row>
    <row r="46" spans="1:26" ht="15.75" customHeight="1">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row>
    <row r="47" spans="1:26" ht="15.75" customHeight="1">
      <c r="A47" s="52"/>
      <c r="B47" s="52"/>
      <c r="C47" s="52"/>
      <c r="D47" s="52"/>
      <c r="E47" s="52"/>
      <c r="F47" s="52"/>
      <c r="G47" s="52"/>
      <c r="H47" s="52"/>
      <c r="I47" s="52"/>
      <c r="J47" s="52"/>
      <c r="K47" s="52"/>
      <c r="L47" s="52"/>
      <c r="M47" s="52"/>
      <c r="N47" s="52"/>
      <c r="O47" s="52"/>
      <c r="P47" s="52"/>
      <c r="Q47" s="52"/>
      <c r="R47" s="52"/>
      <c r="S47" s="52"/>
      <c r="T47" s="52"/>
      <c r="U47" s="52"/>
      <c r="V47" s="52"/>
      <c r="W47" s="52"/>
      <c r="X47" s="52"/>
      <c r="Y47" s="52"/>
      <c r="Z47" s="52"/>
    </row>
    <row r="48" spans="1:26" ht="15.75" customHeight="1">
      <c r="A48" s="52"/>
      <c r="B48" s="52"/>
      <c r="C48" s="52"/>
      <c r="D48" s="52"/>
      <c r="E48" s="52"/>
      <c r="F48" s="52"/>
      <c r="G48" s="52"/>
      <c r="H48" s="52"/>
      <c r="I48" s="52"/>
      <c r="J48" s="52"/>
      <c r="K48" s="52"/>
      <c r="L48" s="52"/>
      <c r="M48" s="52"/>
      <c r="N48" s="52"/>
      <c r="O48" s="52"/>
      <c r="P48" s="52"/>
      <c r="Q48" s="52"/>
      <c r="R48" s="52"/>
      <c r="S48" s="52"/>
      <c r="T48" s="52"/>
      <c r="U48" s="52"/>
      <c r="V48" s="52"/>
      <c r="W48" s="52"/>
      <c r="X48" s="52"/>
      <c r="Y48" s="52"/>
      <c r="Z48" s="52"/>
    </row>
    <row r="49" spans="1:26" ht="15.75" customHeight="1">
      <c r="A49" s="52"/>
      <c r="B49" s="52"/>
      <c r="C49" s="52"/>
      <c r="D49" s="52"/>
      <c r="E49" s="52"/>
      <c r="F49" s="52"/>
      <c r="G49" s="52"/>
      <c r="H49" s="52"/>
      <c r="I49" s="52"/>
      <c r="J49" s="52"/>
      <c r="K49" s="52"/>
      <c r="L49" s="52"/>
      <c r="M49" s="52"/>
      <c r="N49" s="52"/>
      <c r="O49" s="52"/>
      <c r="P49" s="52"/>
      <c r="Q49" s="52"/>
      <c r="R49" s="52"/>
      <c r="S49" s="52"/>
      <c r="T49" s="52"/>
      <c r="U49" s="52"/>
      <c r="V49" s="52"/>
      <c r="W49" s="52"/>
      <c r="X49" s="52"/>
      <c r="Y49" s="52"/>
      <c r="Z49" s="52"/>
    </row>
    <row r="50" spans="1:26" ht="15.75" customHeight="1">
      <c r="A50" s="52"/>
      <c r="B50" s="52"/>
      <c r="C50" s="52"/>
      <c r="D50" s="52"/>
      <c r="E50" s="52"/>
      <c r="F50" s="52"/>
      <c r="G50" s="52"/>
      <c r="H50" s="52"/>
      <c r="I50" s="52"/>
      <c r="J50" s="52"/>
      <c r="K50" s="52"/>
      <c r="L50" s="52"/>
      <c r="M50" s="52"/>
      <c r="N50" s="52"/>
      <c r="O50" s="52"/>
      <c r="P50" s="52"/>
      <c r="Q50" s="52"/>
      <c r="R50" s="52"/>
      <c r="S50" s="52"/>
      <c r="T50" s="52"/>
      <c r="U50" s="52"/>
      <c r="V50" s="52"/>
      <c r="W50" s="52"/>
      <c r="X50" s="52"/>
      <c r="Y50" s="52"/>
      <c r="Z50" s="52"/>
    </row>
    <row r="51" spans="1:26" ht="15.75" customHeight="1">
      <c r="A51" s="52"/>
      <c r="B51" s="52"/>
      <c r="C51" s="52"/>
      <c r="D51" s="52"/>
      <c r="E51" s="52"/>
      <c r="F51" s="52"/>
      <c r="G51" s="52"/>
      <c r="H51" s="52"/>
      <c r="I51" s="52"/>
      <c r="J51" s="52"/>
      <c r="K51" s="52"/>
      <c r="L51" s="52"/>
      <c r="M51" s="52"/>
      <c r="N51" s="52"/>
      <c r="O51" s="52"/>
      <c r="P51" s="52"/>
      <c r="Q51" s="52"/>
      <c r="R51" s="52"/>
      <c r="S51" s="52"/>
      <c r="T51" s="52"/>
      <c r="U51" s="52"/>
      <c r="V51" s="52"/>
      <c r="W51" s="52"/>
      <c r="X51" s="52"/>
      <c r="Y51" s="52"/>
      <c r="Z51" s="52"/>
    </row>
    <row r="52" spans="1:26" ht="15.75" customHeight="1">
      <c r="A52" s="52"/>
      <c r="B52" s="52"/>
      <c r="C52" s="52"/>
      <c r="D52" s="52"/>
      <c r="E52" s="52"/>
      <c r="F52" s="52"/>
      <c r="G52" s="52"/>
      <c r="H52" s="52"/>
      <c r="I52" s="52"/>
      <c r="J52" s="52"/>
      <c r="K52" s="52"/>
      <c r="L52" s="52"/>
      <c r="M52" s="52"/>
      <c r="N52" s="52"/>
      <c r="O52" s="52"/>
      <c r="P52" s="52"/>
      <c r="Q52" s="52"/>
      <c r="R52" s="52"/>
      <c r="S52" s="52"/>
      <c r="T52" s="52"/>
      <c r="U52" s="52"/>
      <c r="V52" s="52"/>
      <c r="W52" s="52"/>
      <c r="X52" s="52"/>
      <c r="Y52" s="52"/>
      <c r="Z52" s="52"/>
    </row>
    <row r="53" spans="1:26" ht="15.75" customHeight="1">
      <c r="A53" s="52"/>
      <c r="B53" s="52"/>
      <c r="C53" s="52"/>
      <c r="D53" s="52"/>
      <c r="E53" s="52"/>
      <c r="F53" s="52"/>
      <c r="G53" s="52"/>
      <c r="H53" s="52"/>
      <c r="I53" s="52"/>
      <c r="J53" s="52"/>
      <c r="K53" s="52"/>
      <c r="L53" s="52"/>
      <c r="M53" s="52"/>
      <c r="N53" s="52"/>
      <c r="O53" s="52"/>
      <c r="P53" s="52"/>
      <c r="Q53" s="52"/>
      <c r="R53" s="52"/>
      <c r="S53" s="52"/>
      <c r="T53" s="52"/>
      <c r="U53" s="52"/>
      <c r="V53" s="52"/>
      <c r="W53" s="52"/>
      <c r="X53" s="52"/>
      <c r="Y53" s="52"/>
      <c r="Z53" s="52"/>
    </row>
    <row r="54" spans="1:26" ht="15.75" customHeight="1">
      <c r="A54" s="52"/>
      <c r="B54" s="52"/>
      <c r="C54" s="52"/>
      <c r="D54" s="52"/>
      <c r="E54" s="52"/>
      <c r="F54" s="52"/>
      <c r="G54" s="52"/>
      <c r="H54" s="52"/>
      <c r="I54" s="52"/>
      <c r="J54" s="52"/>
      <c r="K54" s="52"/>
      <c r="L54" s="52"/>
      <c r="M54" s="52"/>
      <c r="N54" s="52"/>
      <c r="O54" s="52"/>
      <c r="P54" s="52"/>
      <c r="Q54" s="52"/>
      <c r="R54" s="52"/>
      <c r="S54" s="52"/>
      <c r="T54" s="52"/>
      <c r="U54" s="52"/>
      <c r="V54" s="52"/>
      <c r="W54" s="52"/>
      <c r="X54" s="52"/>
      <c r="Y54" s="52"/>
      <c r="Z54" s="52"/>
    </row>
    <row r="55" spans="1:26" ht="15.75" customHeight="1">
      <c r="A55" s="52"/>
      <c r="B55" s="52"/>
      <c r="C55" s="52"/>
      <c r="D55" s="52"/>
      <c r="E55" s="52"/>
      <c r="F55" s="52"/>
      <c r="G55" s="52"/>
      <c r="H55" s="52"/>
      <c r="I55" s="52"/>
      <c r="J55" s="52"/>
      <c r="K55" s="52"/>
      <c r="L55" s="52"/>
      <c r="M55" s="52"/>
      <c r="N55" s="52"/>
      <c r="O55" s="52"/>
      <c r="P55" s="52"/>
      <c r="Q55" s="52"/>
      <c r="R55" s="52"/>
      <c r="S55" s="52"/>
      <c r="T55" s="52"/>
      <c r="U55" s="52"/>
      <c r="V55" s="52"/>
      <c r="W55" s="52"/>
      <c r="X55" s="52"/>
      <c r="Y55" s="52"/>
      <c r="Z55" s="52"/>
    </row>
    <row r="56" spans="1:26" ht="15.75" customHeight="1">
      <c r="A56" s="52"/>
      <c r="B56" s="52"/>
      <c r="C56" s="52"/>
      <c r="D56" s="52"/>
      <c r="E56" s="52"/>
      <c r="F56" s="52"/>
      <c r="G56" s="52"/>
      <c r="H56" s="52"/>
      <c r="I56" s="52"/>
      <c r="J56" s="52"/>
      <c r="K56" s="52"/>
      <c r="L56" s="52"/>
      <c r="M56" s="52"/>
      <c r="N56" s="52"/>
      <c r="O56" s="52"/>
      <c r="P56" s="52"/>
      <c r="Q56" s="52"/>
      <c r="R56" s="52"/>
      <c r="S56" s="52"/>
      <c r="T56" s="52"/>
      <c r="U56" s="52"/>
      <c r="V56" s="52"/>
      <c r="W56" s="52"/>
      <c r="X56" s="52"/>
      <c r="Y56" s="52"/>
      <c r="Z56" s="52"/>
    </row>
    <row r="57" spans="1:26" ht="15.75" customHeight="1">
      <c r="A57" s="52"/>
      <c r="B57" s="52"/>
      <c r="C57" s="52"/>
      <c r="D57" s="52"/>
      <c r="E57" s="52"/>
      <c r="F57" s="52"/>
      <c r="G57" s="52"/>
      <c r="H57" s="52"/>
      <c r="I57" s="52"/>
      <c r="J57" s="52"/>
      <c r="K57" s="52"/>
      <c r="L57" s="52"/>
      <c r="M57" s="52"/>
      <c r="N57" s="52"/>
      <c r="O57" s="52"/>
      <c r="P57" s="52"/>
      <c r="Q57" s="52"/>
      <c r="R57" s="52"/>
      <c r="S57" s="52"/>
      <c r="T57" s="52"/>
      <c r="U57" s="52"/>
      <c r="V57" s="52"/>
      <c r="W57" s="52"/>
      <c r="X57" s="52"/>
      <c r="Y57" s="52"/>
      <c r="Z57" s="52"/>
    </row>
    <row r="58" spans="1:26" ht="15.75" customHeight="1">
      <c r="A58" s="52"/>
      <c r="B58" s="52"/>
      <c r="C58" s="52"/>
      <c r="D58" s="52"/>
      <c r="E58" s="52"/>
      <c r="F58" s="52"/>
      <c r="G58" s="52"/>
      <c r="H58" s="52"/>
      <c r="I58" s="52"/>
      <c r="J58" s="52"/>
      <c r="K58" s="52"/>
      <c r="L58" s="52"/>
      <c r="M58" s="52"/>
      <c r="N58" s="52"/>
      <c r="O58" s="52"/>
      <c r="P58" s="52"/>
      <c r="Q58" s="52"/>
      <c r="R58" s="52"/>
      <c r="S58" s="52"/>
      <c r="T58" s="52"/>
      <c r="U58" s="52"/>
      <c r="V58" s="52"/>
      <c r="W58" s="52"/>
      <c r="X58" s="52"/>
      <c r="Y58" s="52"/>
      <c r="Z58" s="52"/>
    </row>
    <row r="59" spans="1:26" ht="15.75" customHeight="1">
      <c r="A59" s="52"/>
      <c r="B59" s="52"/>
      <c r="C59" s="52"/>
      <c r="D59" s="52"/>
      <c r="E59" s="52"/>
      <c r="F59" s="52"/>
      <c r="G59" s="52"/>
      <c r="H59" s="52"/>
      <c r="I59" s="52"/>
      <c r="J59" s="52"/>
      <c r="K59" s="52"/>
      <c r="L59" s="52"/>
      <c r="M59" s="52"/>
      <c r="N59" s="52"/>
      <c r="O59" s="52"/>
      <c r="P59" s="52"/>
      <c r="Q59" s="52"/>
      <c r="R59" s="52"/>
      <c r="S59" s="52"/>
      <c r="T59" s="52"/>
      <c r="U59" s="52"/>
      <c r="V59" s="52"/>
      <c r="W59" s="52"/>
      <c r="X59" s="52"/>
      <c r="Y59" s="52"/>
      <c r="Z59" s="52"/>
    </row>
    <row r="60" spans="1:26" ht="15.75" customHeight="1">
      <c r="A60" s="52"/>
      <c r="B60" s="52"/>
      <c r="C60" s="52"/>
      <c r="D60" s="52"/>
      <c r="E60" s="52"/>
      <c r="F60" s="52"/>
      <c r="G60" s="52"/>
      <c r="H60" s="52"/>
      <c r="I60" s="52"/>
      <c r="J60" s="52"/>
      <c r="K60" s="52"/>
      <c r="L60" s="52"/>
      <c r="M60" s="52"/>
      <c r="N60" s="52"/>
      <c r="O60" s="52"/>
      <c r="P60" s="52"/>
      <c r="Q60" s="52"/>
      <c r="R60" s="52"/>
      <c r="S60" s="52"/>
      <c r="T60" s="52"/>
      <c r="U60" s="52"/>
      <c r="V60" s="52"/>
      <c r="W60" s="52"/>
      <c r="X60" s="52"/>
      <c r="Y60" s="52"/>
      <c r="Z60" s="52"/>
    </row>
    <row r="61" spans="1:26" ht="15.75" customHeight="1">
      <c r="A61" s="52"/>
      <c r="B61" s="52"/>
      <c r="C61" s="52"/>
      <c r="D61" s="52"/>
      <c r="E61" s="52"/>
      <c r="F61" s="52"/>
      <c r="G61" s="52"/>
      <c r="H61" s="52"/>
      <c r="I61" s="52"/>
      <c r="J61" s="52"/>
      <c r="K61" s="52"/>
      <c r="L61" s="52"/>
      <c r="M61" s="52"/>
      <c r="N61" s="52"/>
      <c r="O61" s="52"/>
      <c r="P61" s="52"/>
      <c r="Q61" s="52"/>
      <c r="R61" s="52"/>
      <c r="S61" s="52"/>
      <c r="T61" s="52"/>
      <c r="U61" s="52"/>
      <c r="V61" s="52"/>
      <c r="W61" s="52"/>
      <c r="X61" s="52"/>
      <c r="Y61" s="52"/>
      <c r="Z61" s="52"/>
    </row>
    <row r="62" spans="1:26" ht="15.75" customHeight="1">
      <c r="A62" s="52"/>
      <c r="B62" s="52"/>
      <c r="C62" s="52"/>
      <c r="D62" s="52"/>
      <c r="E62" s="52"/>
      <c r="F62" s="52"/>
      <c r="G62" s="52"/>
      <c r="H62" s="52"/>
      <c r="I62" s="52"/>
      <c r="J62" s="52"/>
      <c r="K62" s="52"/>
      <c r="L62" s="52"/>
      <c r="M62" s="52"/>
      <c r="N62" s="52"/>
      <c r="O62" s="52"/>
      <c r="P62" s="52"/>
      <c r="Q62" s="52"/>
      <c r="R62" s="52"/>
      <c r="S62" s="52"/>
      <c r="T62" s="52"/>
      <c r="U62" s="52"/>
      <c r="V62" s="52"/>
      <c r="W62" s="52"/>
      <c r="X62" s="52"/>
      <c r="Y62" s="52"/>
      <c r="Z62" s="52"/>
    </row>
    <row r="63" spans="1:26" ht="15.75" customHeight="1">
      <c r="A63" s="52"/>
      <c r="B63" s="52"/>
      <c r="C63" s="52"/>
      <c r="D63" s="52"/>
      <c r="E63" s="52"/>
      <c r="F63" s="52"/>
      <c r="G63" s="52"/>
      <c r="H63" s="52"/>
      <c r="I63" s="52"/>
      <c r="J63" s="52"/>
      <c r="K63" s="52"/>
      <c r="L63" s="52"/>
      <c r="M63" s="52"/>
      <c r="N63" s="52"/>
      <c r="O63" s="52"/>
      <c r="P63" s="52"/>
      <c r="Q63" s="52"/>
      <c r="R63" s="52"/>
      <c r="S63" s="52"/>
      <c r="T63" s="52"/>
      <c r="U63" s="52"/>
      <c r="V63" s="52"/>
      <c r="W63" s="52"/>
      <c r="X63" s="52"/>
      <c r="Y63" s="52"/>
      <c r="Z63" s="52"/>
    </row>
    <row r="64" spans="1:26" ht="15.75" customHeight="1">
      <c r="A64" s="52"/>
      <c r="B64" s="52"/>
      <c r="C64" s="52"/>
      <c r="D64" s="52"/>
      <c r="E64" s="52"/>
      <c r="F64" s="52"/>
      <c r="G64" s="52"/>
      <c r="H64" s="52"/>
      <c r="I64" s="52"/>
      <c r="J64" s="52"/>
      <c r="K64" s="52"/>
      <c r="L64" s="52"/>
      <c r="M64" s="52"/>
      <c r="N64" s="52"/>
      <c r="O64" s="52"/>
      <c r="P64" s="52"/>
      <c r="Q64" s="52"/>
      <c r="R64" s="52"/>
      <c r="S64" s="52"/>
      <c r="T64" s="52"/>
      <c r="U64" s="52"/>
      <c r="V64" s="52"/>
      <c r="W64" s="52"/>
      <c r="X64" s="52"/>
      <c r="Y64" s="52"/>
      <c r="Z64" s="52"/>
    </row>
    <row r="65" spans="1:26" ht="15.75" customHeight="1">
      <c r="A65" s="52"/>
      <c r="B65" s="52"/>
      <c r="C65" s="52"/>
      <c r="D65" s="52"/>
      <c r="E65" s="52"/>
      <c r="F65" s="52"/>
      <c r="G65" s="52"/>
      <c r="H65" s="52"/>
      <c r="I65" s="52"/>
      <c r="J65" s="52"/>
      <c r="K65" s="52"/>
      <c r="L65" s="52"/>
      <c r="M65" s="52"/>
      <c r="N65" s="52"/>
      <c r="O65" s="52"/>
      <c r="P65" s="52"/>
      <c r="Q65" s="52"/>
      <c r="R65" s="52"/>
      <c r="S65" s="52"/>
      <c r="T65" s="52"/>
      <c r="U65" s="52"/>
      <c r="V65" s="52"/>
      <c r="W65" s="52"/>
      <c r="X65" s="52"/>
      <c r="Y65" s="52"/>
      <c r="Z65" s="52"/>
    </row>
    <row r="66" spans="1:26" ht="15.75" customHeight="1">
      <c r="A66" s="52"/>
      <c r="B66" s="52"/>
      <c r="C66" s="52"/>
      <c r="D66" s="52"/>
      <c r="E66" s="52"/>
      <c r="F66" s="52"/>
      <c r="G66" s="52"/>
      <c r="H66" s="52"/>
      <c r="I66" s="52"/>
      <c r="J66" s="52"/>
      <c r="K66" s="52"/>
      <c r="L66" s="52"/>
      <c r="M66" s="52"/>
      <c r="N66" s="52"/>
      <c r="O66" s="52"/>
      <c r="P66" s="52"/>
      <c r="Q66" s="52"/>
      <c r="R66" s="52"/>
      <c r="S66" s="52"/>
      <c r="T66" s="52"/>
      <c r="U66" s="52"/>
      <c r="V66" s="52"/>
      <c r="W66" s="52"/>
      <c r="X66" s="52"/>
      <c r="Y66" s="52"/>
      <c r="Z66" s="52"/>
    </row>
    <row r="67" spans="1:26" ht="15.75" customHeight="1">
      <c r="A67" s="52"/>
      <c r="B67" s="52"/>
      <c r="C67" s="52"/>
      <c r="D67" s="52"/>
      <c r="E67" s="52"/>
      <c r="F67" s="52"/>
      <c r="G67" s="52"/>
      <c r="H67" s="52"/>
      <c r="I67" s="52"/>
      <c r="J67" s="52"/>
      <c r="K67" s="52"/>
      <c r="L67" s="52"/>
      <c r="M67" s="52"/>
      <c r="N67" s="52"/>
      <c r="O67" s="52"/>
      <c r="P67" s="52"/>
      <c r="Q67" s="52"/>
      <c r="R67" s="52"/>
      <c r="S67" s="52"/>
      <c r="T67" s="52"/>
      <c r="U67" s="52"/>
      <c r="V67" s="52"/>
      <c r="W67" s="52"/>
      <c r="X67" s="52"/>
      <c r="Y67" s="52"/>
      <c r="Z67" s="52"/>
    </row>
    <row r="68" spans="1:26" ht="15.75" customHeight="1">
      <c r="A68" s="52"/>
      <c r="B68" s="52"/>
      <c r="C68" s="52"/>
      <c r="D68" s="52"/>
      <c r="E68" s="52"/>
      <c r="F68" s="52"/>
      <c r="G68" s="52"/>
      <c r="H68" s="52"/>
      <c r="I68" s="52"/>
      <c r="J68" s="52"/>
      <c r="K68" s="52"/>
      <c r="L68" s="52"/>
      <c r="M68" s="52"/>
      <c r="N68" s="52"/>
      <c r="O68" s="52"/>
      <c r="P68" s="52"/>
      <c r="Q68" s="52"/>
      <c r="R68" s="52"/>
      <c r="S68" s="52"/>
      <c r="T68" s="52"/>
      <c r="U68" s="52"/>
      <c r="V68" s="52"/>
      <c r="W68" s="52"/>
      <c r="X68" s="52"/>
      <c r="Y68" s="52"/>
      <c r="Z68" s="52"/>
    </row>
    <row r="69" spans="1:26" ht="15.75" customHeight="1">
      <c r="A69" s="52"/>
      <c r="B69" s="52"/>
      <c r="C69" s="52"/>
      <c r="D69" s="52"/>
      <c r="E69" s="52"/>
      <c r="F69" s="52"/>
      <c r="G69" s="52"/>
      <c r="H69" s="52"/>
      <c r="I69" s="52"/>
      <c r="J69" s="52"/>
      <c r="K69" s="52"/>
      <c r="L69" s="52"/>
      <c r="M69" s="52"/>
      <c r="N69" s="52"/>
      <c r="O69" s="52"/>
      <c r="P69" s="52"/>
      <c r="Q69" s="52"/>
      <c r="R69" s="52"/>
      <c r="S69" s="52"/>
      <c r="T69" s="52"/>
      <c r="U69" s="52"/>
      <c r="V69" s="52"/>
      <c r="W69" s="52"/>
      <c r="X69" s="52"/>
      <c r="Y69" s="52"/>
      <c r="Z69" s="52"/>
    </row>
    <row r="70" spans="1:26" ht="15.75" customHeight="1">
      <c r="A70" s="52"/>
      <c r="B70" s="52"/>
      <c r="C70" s="52"/>
      <c r="D70" s="52"/>
      <c r="E70" s="52"/>
      <c r="F70" s="52"/>
      <c r="G70" s="52"/>
      <c r="H70" s="52"/>
      <c r="I70" s="52"/>
      <c r="J70" s="52"/>
      <c r="K70" s="52"/>
      <c r="L70" s="52"/>
      <c r="M70" s="52"/>
      <c r="N70" s="52"/>
      <c r="O70" s="52"/>
      <c r="P70" s="52"/>
      <c r="Q70" s="52"/>
      <c r="R70" s="52"/>
      <c r="S70" s="52"/>
      <c r="T70" s="52"/>
      <c r="U70" s="52"/>
      <c r="V70" s="52"/>
      <c r="W70" s="52"/>
      <c r="X70" s="52"/>
      <c r="Y70" s="52"/>
      <c r="Z70" s="52"/>
    </row>
    <row r="71" spans="1:26" ht="15.75" customHeight="1">
      <c r="A71" s="52"/>
      <c r="B71" s="52"/>
      <c r="C71" s="52"/>
      <c r="D71" s="52"/>
      <c r="E71" s="52"/>
      <c r="F71" s="52"/>
      <c r="G71" s="52"/>
      <c r="H71" s="52"/>
      <c r="I71" s="52"/>
      <c r="J71" s="52"/>
      <c r="K71" s="52"/>
      <c r="L71" s="52"/>
      <c r="M71" s="52"/>
      <c r="N71" s="52"/>
      <c r="O71" s="52"/>
      <c r="P71" s="52"/>
      <c r="Q71" s="52"/>
      <c r="R71" s="52"/>
      <c r="S71" s="52"/>
      <c r="T71" s="52"/>
      <c r="U71" s="52"/>
      <c r="V71" s="52"/>
      <c r="W71" s="52"/>
      <c r="X71" s="52"/>
      <c r="Y71" s="52"/>
      <c r="Z71" s="52"/>
    </row>
    <row r="72" spans="1:26" ht="15.75" customHeight="1">
      <c r="A72" s="52"/>
      <c r="B72" s="52"/>
      <c r="C72" s="52"/>
      <c r="D72" s="52"/>
      <c r="E72" s="52"/>
      <c r="F72" s="52"/>
      <c r="G72" s="52"/>
      <c r="H72" s="52"/>
      <c r="I72" s="52"/>
      <c r="J72" s="52"/>
      <c r="K72" s="52"/>
      <c r="L72" s="52"/>
      <c r="M72" s="52"/>
      <c r="N72" s="52"/>
      <c r="O72" s="52"/>
      <c r="P72" s="52"/>
      <c r="Q72" s="52"/>
      <c r="R72" s="52"/>
      <c r="S72" s="52"/>
      <c r="T72" s="52"/>
      <c r="U72" s="52"/>
      <c r="V72" s="52"/>
      <c r="W72" s="52"/>
      <c r="X72" s="52"/>
      <c r="Y72" s="52"/>
      <c r="Z72" s="52"/>
    </row>
    <row r="73" spans="1:26" ht="15.75" customHeight="1">
      <c r="A73" s="52"/>
      <c r="B73" s="52"/>
      <c r="C73" s="52"/>
      <c r="D73" s="52"/>
      <c r="E73" s="52"/>
      <c r="F73" s="52"/>
      <c r="G73" s="52"/>
      <c r="H73" s="52"/>
      <c r="I73" s="52"/>
      <c r="J73" s="52"/>
      <c r="K73" s="52"/>
      <c r="L73" s="52"/>
      <c r="M73" s="52"/>
      <c r="N73" s="52"/>
      <c r="O73" s="52"/>
      <c r="P73" s="52"/>
      <c r="Q73" s="52"/>
      <c r="R73" s="52"/>
      <c r="S73" s="52"/>
      <c r="T73" s="52"/>
      <c r="U73" s="52"/>
      <c r="V73" s="52"/>
      <c r="W73" s="52"/>
      <c r="X73" s="52"/>
      <c r="Y73" s="52"/>
      <c r="Z73" s="52"/>
    </row>
    <row r="74" spans="1:26" ht="15.75" customHeight="1">
      <c r="A74" s="52"/>
      <c r="B74" s="52"/>
      <c r="C74" s="52"/>
      <c r="D74" s="52"/>
      <c r="E74" s="52"/>
      <c r="F74" s="52"/>
      <c r="G74" s="52"/>
      <c r="H74" s="52"/>
      <c r="I74" s="52"/>
      <c r="J74" s="52"/>
      <c r="K74" s="52"/>
      <c r="L74" s="52"/>
      <c r="M74" s="52"/>
      <c r="N74" s="52"/>
      <c r="O74" s="52"/>
      <c r="P74" s="52"/>
      <c r="Q74" s="52"/>
      <c r="R74" s="52"/>
      <c r="S74" s="52"/>
      <c r="T74" s="52"/>
      <c r="U74" s="52"/>
      <c r="V74" s="52"/>
      <c r="W74" s="52"/>
      <c r="X74" s="52"/>
      <c r="Y74" s="52"/>
      <c r="Z74" s="52"/>
    </row>
    <row r="75" spans="1:26" ht="15.75" customHeight="1">
      <c r="A75" s="52"/>
      <c r="B75" s="52"/>
      <c r="C75" s="52"/>
      <c r="D75" s="52"/>
      <c r="E75" s="52"/>
      <c r="F75" s="52"/>
      <c r="G75" s="52"/>
      <c r="H75" s="52"/>
      <c r="I75" s="52"/>
      <c r="J75" s="52"/>
      <c r="K75" s="52"/>
      <c r="L75" s="52"/>
      <c r="M75" s="52"/>
      <c r="N75" s="52"/>
      <c r="O75" s="52"/>
      <c r="P75" s="52"/>
      <c r="Q75" s="52"/>
      <c r="R75" s="52"/>
      <c r="S75" s="52"/>
      <c r="T75" s="52"/>
      <c r="U75" s="52"/>
      <c r="V75" s="52"/>
      <c r="W75" s="52"/>
      <c r="X75" s="52"/>
      <c r="Y75" s="52"/>
      <c r="Z75" s="52"/>
    </row>
    <row r="76" spans="1:26" ht="15.75" customHeight="1">
      <c r="A76" s="52"/>
      <c r="B76" s="52"/>
      <c r="C76" s="52"/>
      <c r="D76" s="52"/>
      <c r="E76" s="52"/>
      <c r="F76" s="52"/>
      <c r="G76" s="52"/>
      <c r="H76" s="52"/>
      <c r="I76" s="52"/>
      <c r="J76" s="52"/>
      <c r="K76" s="52"/>
      <c r="L76" s="52"/>
      <c r="M76" s="52"/>
      <c r="N76" s="52"/>
      <c r="O76" s="52"/>
      <c r="P76" s="52"/>
      <c r="Q76" s="52"/>
      <c r="R76" s="52"/>
      <c r="S76" s="52"/>
      <c r="T76" s="52"/>
      <c r="U76" s="52"/>
      <c r="V76" s="52"/>
      <c r="W76" s="52"/>
      <c r="X76" s="52"/>
      <c r="Y76" s="52"/>
      <c r="Z76" s="52"/>
    </row>
    <row r="77" spans="1:26" ht="15.75" customHeight="1">
      <c r="A77" s="52"/>
      <c r="B77" s="52"/>
      <c r="C77" s="52"/>
      <c r="D77" s="52"/>
      <c r="E77" s="52"/>
      <c r="F77" s="52"/>
      <c r="G77" s="52"/>
      <c r="H77" s="52"/>
      <c r="I77" s="52"/>
      <c r="J77" s="52"/>
      <c r="K77" s="52"/>
      <c r="L77" s="52"/>
      <c r="M77" s="52"/>
      <c r="N77" s="52"/>
      <c r="O77" s="52"/>
      <c r="P77" s="52"/>
      <c r="Q77" s="52"/>
      <c r="R77" s="52"/>
      <c r="S77" s="52"/>
      <c r="T77" s="52"/>
      <c r="U77" s="52"/>
      <c r="V77" s="52"/>
      <c r="W77" s="52"/>
      <c r="X77" s="52"/>
      <c r="Y77" s="52"/>
      <c r="Z77" s="52"/>
    </row>
    <row r="78" spans="1:26" ht="15.75" customHeight="1">
      <c r="A78" s="52"/>
      <c r="B78" s="52"/>
      <c r="C78" s="52"/>
      <c r="D78" s="52"/>
      <c r="E78" s="52"/>
      <c r="F78" s="52"/>
      <c r="G78" s="52"/>
      <c r="H78" s="52"/>
      <c r="I78" s="52"/>
      <c r="J78" s="52"/>
      <c r="K78" s="52"/>
      <c r="L78" s="52"/>
      <c r="M78" s="52"/>
      <c r="N78" s="52"/>
      <c r="O78" s="52"/>
      <c r="P78" s="52"/>
      <c r="Q78" s="52"/>
      <c r="R78" s="52"/>
      <c r="S78" s="52"/>
      <c r="T78" s="52"/>
      <c r="U78" s="52"/>
      <c r="V78" s="52"/>
      <c r="W78" s="52"/>
      <c r="X78" s="52"/>
      <c r="Y78" s="52"/>
      <c r="Z78" s="52"/>
    </row>
    <row r="79" spans="1:26" ht="15.75" customHeight="1">
      <c r="A79" s="52"/>
      <c r="B79" s="52"/>
      <c r="C79" s="52"/>
      <c r="D79" s="52"/>
      <c r="E79" s="52"/>
      <c r="F79" s="52"/>
      <c r="G79" s="52"/>
      <c r="H79" s="52"/>
      <c r="I79" s="52"/>
      <c r="J79" s="52"/>
      <c r="K79" s="52"/>
      <c r="L79" s="52"/>
      <c r="M79" s="52"/>
      <c r="N79" s="52"/>
      <c r="O79" s="52"/>
      <c r="P79" s="52"/>
      <c r="Q79" s="52"/>
      <c r="R79" s="52"/>
      <c r="S79" s="52"/>
      <c r="T79" s="52"/>
      <c r="U79" s="52"/>
      <c r="V79" s="52"/>
      <c r="W79" s="52"/>
      <c r="X79" s="52"/>
      <c r="Y79" s="52"/>
      <c r="Z79" s="52"/>
    </row>
    <row r="80" spans="1:26" ht="15.75" customHeight="1">
      <c r="A80" s="52"/>
      <c r="B80" s="52"/>
      <c r="C80" s="52"/>
      <c r="D80" s="52"/>
      <c r="E80" s="52"/>
      <c r="F80" s="52"/>
      <c r="G80" s="52"/>
      <c r="H80" s="52"/>
      <c r="I80" s="52"/>
      <c r="J80" s="52"/>
      <c r="K80" s="52"/>
      <c r="L80" s="52"/>
      <c r="M80" s="52"/>
      <c r="N80" s="52"/>
      <c r="O80" s="52"/>
      <c r="P80" s="52"/>
      <c r="Q80" s="52"/>
      <c r="R80" s="52"/>
      <c r="S80" s="52"/>
      <c r="T80" s="52"/>
      <c r="U80" s="52"/>
      <c r="V80" s="52"/>
      <c r="W80" s="52"/>
      <c r="X80" s="52"/>
      <c r="Y80" s="52"/>
      <c r="Z80" s="52"/>
    </row>
    <row r="81" spans="1:26" ht="15.75" customHeight="1">
      <c r="A81" s="52"/>
      <c r="B81" s="52"/>
      <c r="C81" s="52"/>
      <c r="D81" s="52"/>
      <c r="E81" s="52"/>
      <c r="F81" s="52"/>
      <c r="G81" s="52"/>
      <c r="H81" s="52"/>
      <c r="I81" s="52"/>
      <c r="J81" s="52"/>
      <c r="K81" s="52"/>
      <c r="L81" s="52"/>
      <c r="M81" s="52"/>
      <c r="N81" s="52"/>
      <c r="O81" s="52"/>
      <c r="P81" s="52"/>
      <c r="Q81" s="52"/>
      <c r="R81" s="52"/>
      <c r="S81" s="52"/>
      <c r="T81" s="52"/>
      <c r="U81" s="52"/>
      <c r="V81" s="52"/>
      <c r="W81" s="52"/>
      <c r="X81" s="52"/>
      <c r="Y81" s="52"/>
      <c r="Z81" s="52"/>
    </row>
    <row r="82" spans="1:26" ht="15.75" customHeight="1">
      <c r="A82" s="52"/>
      <c r="B82" s="52"/>
      <c r="C82" s="52"/>
      <c r="D82" s="52"/>
      <c r="E82" s="52"/>
      <c r="F82" s="52"/>
      <c r="G82" s="52"/>
      <c r="H82" s="52"/>
      <c r="I82" s="52"/>
      <c r="J82" s="52"/>
      <c r="K82" s="52"/>
      <c r="L82" s="52"/>
      <c r="M82" s="52"/>
      <c r="N82" s="52"/>
      <c r="O82" s="52"/>
      <c r="P82" s="52"/>
      <c r="Q82" s="52"/>
      <c r="R82" s="52"/>
      <c r="S82" s="52"/>
      <c r="T82" s="52"/>
      <c r="U82" s="52"/>
      <c r="V82" s="52"/>
      <c r="W82" s="52"/>
      <c r="X82" s="52"/>
      <c r="Y82" s="52"/>
      <c r="Z82" s="52"/>
    </row>
    <row r="83" spans="1:26" ht="15.75" customHeight="1">
      <c r="A83" s="52"/>
      <c r="B83" s="52"/>
      <c r="C83" s="52"/>
      <c r="D83" s="52"/>
      <c r="E83" s="52"/>
      <c r="F83" s="52"/>
      <c r="G83" s="52"/>
      <c r="H83" s="52"/>
      <c r="I83" s="52"/>
      <c r="J83" s="52"/>
      <c r="K83" s="52"/>
      <c r="L83" s="52"/>
      <c r="M83" s="52"/>
      <c r="N83" s="52"/>
      <c r="O83" s="52"/>
      <c r="P83" s="52"/>
      <c r="Q83" s="52"/>
      <c r="R83" s="52"/>
      <c r="S83" s="52"/>
      <c r="T83" s="52"/>
      <c r="U83" s="52"/>
      <c r="V83" s="52"/>
      <c r="W83" s="52"/>
      <c r="X83" s="52"/>
      <c r="Y83" s="52"/>
      <c r="Z83" s="52"/>
    </row>
    <row r="84" spans="1:26" ht="15.75" customHeight="1">
      <c r="A84" s="52"/>
      <c r="B84" s="52"/>
      <c r="C84" s="52"/>
      <c r="D84" s="52"/>
      <c r="E84" s="52"/>
      <c r="F84" s="52"/>
      <c r="G84" s="52"/>
      <c r="H84" s="52"/>
      <c r="I84" s="52"/>
      <c r="J84" s="52"/>
      <c r="K84" s="52"/>
      <c r="L84" s="52"/>
      <c r="M84" s="52"/>
      <c r="N84" s="52"/>
      <c r="O84" s="52"/>
      <c r="P84" s="52"/>
      <c r="Q84" s="52"/>
      <c r="R84" s="52"/>
      <c r="S84" s="52"/>
      <c r="T84" s="52"/>
      <c r="U84" s="52"/>
      <c r="V84" s="52"/>
      <c r="W84" s="52"/>
      <c r="X84" s="52"/>
      <c r="Y84" s="52"/>
      <c r="Z84" s="52"/>
    </row>
    <row r="85" spans="1:26" ht="15.75" customHeight="1">
      <c r="A85" s="52"/>
      <c r="B85" s="52"/>
      <c r="C85" s="52"/>
      <c r="D85" s="52"/>
      <c r="E85" s="52"/>
      <c r="F85" s="52"/>
      <c r="G85" s="52"/>
      <c r="H85" s="52"/>
      <c r="I85" s="52"/>
      <c r="J85" s="52"/>
      <c r="K85" s="52"/>
      <c r="L85" s="52"/>
      <c r="M85" s="52"/>
      <c r="N85" s="52"/>
      <c r="O85" s="52"/>
      <c r="P85" s="52"/>
      <c r="Q85" s="52"/>
      <c r="R85" s="52"/>
      <c r="S85" s="52"/>
      <c r="T85" s="52"/>
      <c r="U85" s="52"/>
      <c r="V85" s="52"/>
      <c r="W85" s="52"/>
      <c r="X85" s="52"/>
      <c r="Y85" s="52"/>
      <c r="Z85" s="52"/>
    </row>
    <row r="86" spans="1:26" ht="15.75" customHeight="1">
      <c r="A86" s="52"/>
      <c r="B86" s="52"/>
      <c r="C86" s="52"/>
      <c r="D86" s="52"/>
      <c r="E86" s="52"/>
      <c r="F86" s="52"/>
      <c r="G86" s="52"/>
      <c r="H86" s="52"/>
      <c r="I86" s="52"/>
      <c r="J86" s="52"/>
      <c r="K86" s="52"/>
      <c r="L86" s="52"/>
      <c r="M86" s="52"/>
      <c r="N86" s="52"/>
      <c r="O86" s="52"/>
      <c r="P86" s="52"/>
      <c r="Q86" s="52"/>
      <c r="R86" s="52"/>
      <c r="S86" s="52"/>
      <c r="T86" s="52"/>
      <c r="U86" s="52"/>
      <c r="V86" s="52"/>
      <c r="W86" s="52"/>
      <c r="X86" s="52"/>
      <c r="Y86" s="52"/>
      <c r="Z86" s="52"/>
    </row>
    <row r="87" spans="1:26" ht="15.75" customHeight="1">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row>
    <row r="88" spans="1:26" ht="15.75" customHeight="1">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row>
    <row r="89" spans="1:26" ht="15.75" customHeight="1">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row>
    <row r="90" spans="1:26" ht="15.75" customHeight="1">
      <c r="A90" s="52"/>
      <c r="B90" s="52"/>
      <c r="C90" s="52"/>
      <c r="D90" s="52"/>
      <c r="E90" s="52"/>
      <c r="F90" s="52"/>
      <c r="G90" s="52"/>
      <c r="H90" s="52"/>
      <c r="I90" s="52"/>
      <c r="J90" s="52"/>
      <c r="K90" s="52"/>
      <c r="L90" s="52"/>
      <c r="M90" s="52"/>
      <c r="N90" s="52"/>
      <c r="O90" s="52"/>
      <c r="P90" s="52"/>
      <c r="Q90" s="52"/>
      <c r="R90" s="52"/>
      <c r="S90" s="52"/>
      <c r="T90" s="52"/>
      <c r="U90" s="52"/>
      <c r="V90" s="52"/>
      <c r="W90" s="52"/>
      <c r="X90" s="52"/>
      <c r="Y90" s="52"/>
      <c r="Z90" s="52"/>
    </row>
    <row r="91" spans="1:26" ht="15.75" customHeight="1">
      <c r="A91" s="52"/>
      <c r="B91" s="52"/>
      <c r="C91" s="52"/>
      <c r="D91" s="52"/>
      <c r="E91" s="52"/>
      <c r="F91" s="52"/>
      <c r="G91" s="52"/>
      <c r="H91" s="52"/>
      <c r="I91" s="52"/>
      <c r="J91" s="52"/>
      <c r="K91" s="52"/>
      <c r="L91" s="52"/>
      <c r="M91" s="52"/>
      <c r="N91" s="52"/>
      <c r="O91" s="52"/>
      <c r="P91" s="52"/>
      <c r="Q91" s="52"/>
      <c r="R91" s="52"/>
      <c r="S91" s="52"/>
      <c r="T91" s="52"/>
      <c r="U91" s="52"/>
      <c r="V91" s="52"/>
      <c r="W91" s="52"/>
      <c r="X91" s="52"/>
      <c r="Y91" s="52"/>
      <c r="Z91" s="52"/>
    </row>
    <row r="92" spans="1:26" ht="15.75" customHeight="1">
      <c r="A92" s="52"/>
      <c r="B92" s="52"/>
      <c r="C92" s="52"/>
      <c r="D92" s="52"/>
      <c r="E92" s="52"/>
      <c r="F92" s="52"/>
      <c r="G92" s="52"/>
      <c r="H92" s="52"/>
      <c r="I92" s="52"/>
      <c r="J92" s="52"/>
      <c r="K92" s="52"/>
      <c r="L92" s="52"/>
      <c r="M92" s="52"/>
      <c r="N92" s="52"/>
      <c r="O92" s="52"/>
      <c r="P92" s="52"/>
      <c r="Q92" s="52"/>
      <c r="R92" s="52"/>
      <c r="S92" s="52"/>
      <c r="T92" s="52"/>
      <c r="U92" s="52"/>
      <c r="V92" s="52"/>
      <c r="W92" s="52"/>
      <c r="X92" s="52"/>
      <c r="Y92" s="52"/>
      <c r="Z92" s="52"/>
    </row>
    <row r="93" spans="1:26" ht="15.75" customHeight="1">
      <c r="A93" s="52"/>
      <c r="B93" s="52"/>
      <c r="C93" s="52"/>
      <c r="D93" s="52"/>
      <c r="E93" s="52"/>
      <c r="F93" s="52"/>
      <c r="G93" s="52"/>
      <c r="H93" s="52"/>
      <c r="I93" s="52"/>
      <c r="J93" s="52"/>
      <c r="K93" s="52"/>
      <c r="L93" s="52"/>
      <c r="M93" s="52"/>
      <c r="N93" s="52"/>
      <c r="O93" s="52"/>
      <c r="P93" s="52"/>
      <c r="Q93" s="52"/>
      <c r="R93" s="52"/>
      <c r="S93" s="52"/>
      <c r="T93" s="52"/>
      <c r="U93" s="52"/>
      <c r="V93" s="52"/>
      <c r="W93" s="52"/>
      <c r="X93" s="52"/>
      <c r="Y93" s="52"/>
      <c r="Z93" s="52"/>
    </row>
    <row r="94" spans="1:26" ht="15.75" customHeight="1">
      <c r="A94" s="52"/>
      <c r="B94" s="52"/>
      <c r="C94" s="52"/>
      <c r="D94" s="52"/>
      <c r="E94" s="52"/>
      <c r="F94" s="52"/>
      <c r="G94" s="52"/>
      <c r="H94" s="52"/>
      <c r="I94" s="52"/>
      <c r="J94" s="52"/>
      <c r="K94" s="52"/>
      <c r="L94" s="52"/>
      <c r="M94" s="52"/>
      <c r="N94" s="52"/>
      <c r="O94" s="52"/>
      <c r="P94" s="52"/>
      <c r="Q94" s="52"/>
      <c r="R94" s="52"/>
      <c r="S94" s="52"/>
      <c r="T94" s="52"/>
      <c r="U94" s="52"/>
      <c r="V94" s="52"/>
      <c r="W94" s="52"/>
      <c r="X94" s="52"/>
      <c r="Y94" s="52"/>
      <c r="Z94" s="52"/>
    </row>
    <row r="95" spans="1:26" ht="15.75" customHeight="1">
      <c r="A95" s="52"/>
      <c r="B95" s="52"/>
      <c r="C95" s="52"/>
      <c r="D95" s="52"/>
      <c r="E95" s="52"/>
      <c r="F95" s="52"/>
      <c r="G95" s="52"/>
      <c r="H95" s="52"/>
      <c r="I95" s="52"/>
      <c r="J95" s="52"/>
      <c r="K95" s="52"/>
      <c r="L95" s="52"/>
      <c r="M95" s="52"/>
      <c r="N95" s="52"/>
      <c r="O95" s="52"/>
      <c r="P95" s="52"/>
      <c r="Q95" s="52"/>
      <c r="R95" s="52"/>
      <c r="S95" s="52"/>
      <c r="T95" s="52"/>
      <c r="U95" s="52"/>
      <c r="V95" s="52"/>
      <c r="W95" s="52"/>
      <c r="X95" s="52"/>
      <c r="Y95" s="52"/>
      <c r="Z95" s="52"/>
    </row>
    <row r="96" spans="1:26" ht="15.75" customHeight="1">
      <c r="A96" s="52"/>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7" spans="1:26" ht="15.75" customHeight="1">
      <c r="A97" s="52"/>
      <c r="B97" s="52"/>
      <c r="C97" s="52"/>
      <c r="D97" s="52"/>
      <c r="E97" s="52"/>
      <c r="F97" s="52"/>
      <c r="G97" s="52"/>
      <c r="H97" s="52"/>
      <c r="I97" s="52"/>
      <c r="J97" s="52"/>
      <c r="K97" s="52"/>
      <c r="L97" s="52"/>
      <c r="M97" s="52"/>
      <c r="N97" s="52"/>
      <c r="O97" s="52"/>
      <c r="P97" s="52"/>
      <c r="Q97" s="52"/>
      <c r="R97" s="52"/>
      <c r="S97" s="52"/>
      <c r="T97" s="52"/>
      <c r="U97" s="52"/>
      <c r="V97" s="52"/>
      <c r="W97" s="52"/>
      <c r="X97" s="52"/>
      <c r="Y97" s="52"/>
      <c r="Z97" s="52"/>
    </row>
    <row r="98" spans="1:26" ht="15.75" customHeight="1">
      <c r="A98" s="52"/>
      <c r="B98" s="52"/>
      <c r="C98" s="52"/>
      <c r="D98" s="52"/>
      <c r="E98" s="52"/>
      <c r="F98" s="52"/>
      <c r="G98" s="52"/>
      <c r="H98" s="52"/>
      <c r="I98" s="52"/>
      <c r="J98" s="52"/>
      <c r="K98" s="52"/>
      <c r="L98" s="52"/>
      <c r="M98" s="52"/>
      <c r="N98" s="52"/>
      <c r="O98" s="52"/>
      <c r="P98" s="52"/>
      <c r="Q98" s="52"/>
      <c r="R98" s="52"/>
      <c r="S98" s="52"/>
      <c r="T98" s="52"/>
      <c r="U98" s="52"/>
      <c r="V98" s="52"/>
      <c r="W98" s="52"/>
      <c r="X98" s="52"/>
      <c r="Y98" s="52"/>
      <c r="Z98" s="52"/>
    </row>
    <row r="99" spans="1:26" ht="15.75" customHeight="1">
      <c r="A99" s="52"/>
      <c r="B99" s="52"/>
      <c r="C99" s="52"/>
      <c r="D99" s="52"/>
      <c r="E99" s="52"/>
      <c r="F99" s="52"/>
      <c r="G99" s="52"/>
      <c r="H99" s="52"/>
      <c r="I99" s="52"/>
      <c r="J99" s="52"/>
      <c r="K99" s="52"/>
      <c r="L99" s="52"/>
      <c r="M99" s="52"/>
      <c r="N99" s="52"/>
      <c r="O99" s="52"/>
      <c r="P99" s="52"/>
      <c r="Q99" s="52"/>
      <c r="R99" s="52"/>
      <c r="S99" s="52"/>
      <c r="T99" s="52"/>
      <c r="U99" s="52"/>
      <c r="V99" s="52"/>
      <c r="W99" s="52"/>
      <c r="X99" s="52"/>
      <c r="Y99" s="52"/>
      <c r="Z99" s="52"/>
    </row>
    <row r="100" spans="1:26" ht="15.75" customHeight="1">
      <c r="A100" s="52"/>
      <c r="B100" s="52"/>
      <c r="C100" s="52"/>
      <c r="D100" s="52"/>
      <c r="E100" s="52"/>
      <c r="F100" s="52"/>
      <c r="G100" s="52"/>
      <c r="H100" s="52"/>
      <c r="I100" s="52"/>
      <c r="J100" s="52"/>
      <c r="K100" s="52"/>
      <c r="L100" s="52"/>
      <c r="M100" s="52"/>
      <c r="N100" s="52"/>
      <c r="O100" s="52"/>
      <c r="P100" s="52"/>
      <c r="Q100" s="52"/>
      <c r="R100" s="52"/>
      <c r="S100" s="52"/>
      <c r="T100" s="52"/>
      <c r="U100" s="52"/>
      <c r="V100" s="52"/>
      <c r="W100" s="52"/>
      <c r="X100" s="52"/>
      <c r="Y100" s="52"/>
      <c r="Z100" s="52"/>
    </row>
    <row r="101" spans="1:26" ht="15.75" customHeight="1">
      <c r="A101" s="52"/>
      <c r="B101" s="52"/>
      <c r="C101" s="52"/>
      <c r="D101" s="52"/>
      <c r="E101" s="52"/>
      <c r="F101" s="52"/>
      <c r="G101" s="52"/>
      <c r="H101" s="52"/>
      <c r="I101" s="52"/>
      <c r="J101" s="52"/>
      <c r="K101" s="52"/>
      <c r="L101" s="52"/>
      <c r="M101" s="52"/>
      <c r="N101" s="52"/>
      <c r="O101" s="52"/>
      <c r="P101" s="52"/>
      <c r="Q101" s="52"/>
      <c r="R101" s="52"/>
      <c r="S101" s="52"/>
      <c r="T101" s="52"/>
      <c r="U101" s="52"/>
      <c r="V101" s="52"/>
      <c r="W101" s="52"/>
      <c r="X101" s="52"/>
      <c r="Y101" s="52"/>
      <c r="Z101" s="52"/>
    </row>
    <row r="102" spans="1:26" ht="15.75" customHeight="1">
      <c r="A102" s="52"/>
      <c r="B102" s="52"/>
      <c r="C102" s="52"/>
      <c r="D102" s="52"/>
      <c r="E102" s="52"/>
      <c r="F102" s="52"/>
      <c r="G102" s="52"/>
      <c r="H102" s="52"/>
      <c r="I102" s="52"/>
      <c r="J102" s="52"/>
      <c r="K102" s="52"/>
      <c r="L102" s="52"/>
      <c r="M102" s="52"/>
      <c r="N102" s="52"/>
      <c r="O102" s="52"/>
      <c r="P102" s="52"/>
      <c r="Q102" s="52"/>
      <c r="R102" s="52"/>
      <c r="S102" s="52"/>
      <c r="T102" s="52"/>
      <c r="U102" s="52"/>
      <c r="V102" s="52"/>
      <c r="W102" s="52"/>
      <c r="X102" s="52"/>
      <c r="Y102" s="52"/>
      <c r="Z102" s="52"/>
    </row>
    <row r="103" spans="1:26" ht="15.75" customHeight="1">
      <c r="A103" s="52"/>
      <c r="B103" s="52"/>
      <c r="C103" s="52"/>
      <c r="D103" s="52"/>
      <c r="E103" s="52"/>
      <c r="F103" s="52"/>
      <c r="G103" s="52"/>
      <c r="H103" s="52"/>
      <c r="I103" s="52"/>
      <c r="J103" s="52"/>
      <c r="K103" s="52"/>
      <c r="L103" s="52"/>
      <c r="M103" s="52"/>
      <c r="N103" s="52"/>
      <c r="O103" s="52"/>
      <c r="P103" s="52"/>
      <c r="Q103" s="52"/>
      <c r="R103" s="52"/>
      <c r="S103" s="52"/>
      <c r="T103" s="52"/>
      <c r="U103" s="52"/>
      <c r="V103" s="52"/>
      <c r="W103" s="52"/>
      <c r="X103" s="52"/>
      <c r="Y103" s="52"/>
      <c r="Z103" s="52"/>
    </row>
    <row r="104" spans="1:26" ht="15.75" customHeight="1">
      <c r="A104" s="52"/>
      <c r="B104" s="52"/>
      <c r="C104" s="52"/>
      <c r="D104" s="52"/>
      <c r="E104" s="52"/>
      <c r="F104" s="52"/>
      <c r="G104" s="52"/>
      <c r="H104" s="52"/>
      <c r="I104" s="52"/>
      <c r="J104" s="52"/>
      <c r="K104" s="52"/>
      <c r="L104" s="52"/>
      <c r="M104" s="52"/>
      <c r="N104" s="52"/>
      <c r="O104" s="52"/>
      <c r="P104" s="52"/>
      <c r="Q104" s="52"/>
      <c r="R104" s="52"/>
      <c r="S104" s="52"/>
      <c r="T104" s="52"/>
      <c r="U104" s="52"/>
      <c r="V104" s="52"/>
      <c r="W104" s="52"/>
      <c r="X104" s="52"/>
      <c r="Y104" s="52"/>
      <c r="Z104" s="52"/>
    </row>
    <row r="105" spans="1:26" ht="15.75" customHeight="1">
      <c r="A105" s="52"/>
      <c r="B105" s="52"/>
      <c r="C105" s="52"/>
      <c r="D105" s="52"/>
      <c r="E105" s="52"/>
      <c r="F105" s="52"/>
      <c r="G105" s="52"/>
      <c r="H105" s="52"/>
      <c r="I105" s="52"/>
      <c r="J105" s="52"/>
      <c r="K105" s="52"/>
      <c r="L105" s="52"/>
      <c r="M105" s="52"/>
      <c r="N105" s="52"/>
      <c r="O105" s="52"/>
      <c r="P105" s="52"/>
      <c r="Q105" s="52"/>
      <c r="R105" s="52"/>
      <c r="S105" s="52"/>
      <c r="T105" s="52"/>
      <c r="U105" s="52"/>
      <c r="V105" s="52"/>
      <c r="W105" s="52"/>
      <c r="X105" s="52"/>
      <c r="Y105" s="52"/>
      <c r="Z105" s="52"/>
    </row>
    <row r="106" spans="1:26" ht="15.75" customHeight="1">
      <c r="A106" s="52"/>
      <c r="B106" s="52"/>
      <c r="C106" s="52"/>
      <c r="D106" s="52"/>
      <c r="E106" s="52"/>
      <c r="F106" s="52"/>
      <c r="G106" s="52"/>
      <c r="H106" s="52"/>
      <c r="I106" s="52"/>
      <c r="J106" s="52"/>
      <c r="K106" s="52"/>
      <c r="L106" s="52"/>
      <c r="M106" s="52"/>
      <c r="N106" s="52"/>
      <c r="O106" s="52"/>
      <c r="P106" s="52"/>
      <c r="Q106" s="52"/>
      <c r="R106" s="52"/>
      <c r="S106" s="52"/>
      <c r="T106" s="52"/>
      <c r="U106" s="52"/>
      <c r="V106" s="52"/>
      <c r="W106" s="52"/>
      <c r="X106" s="52"/>
      <c r="Y106" s="52"/>
      <c r="Z106" s="52"/>
    </row>
    <row r="107" spans="1:26" ht="15.75" customHeight="1">
      <c r="A107" s="52"/>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row>
    <row r="108" spans="1:26" ht="15.75" customHeight="1">
      <c r="A108" s="52"/>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row>
    <row r="109" spans="1:26" ht="15.75" customHeight="1">
      <c r="A109" s="52"/>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row>
    <row r="110" spans="1:26" ht="15.75" customHeight="1">
      <c r="A110" s="52"/>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row>
    <row r="111" spans="1:26" ht="15.75" customHeight="1">
      <c r="A111" s="52"/>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row>
    <row r="112" spans="1:26" ht="15.75" customHeight="1">
      <c r="A112" s="52"/>
      <c r="B112" s="52"/>
      <c r="C112" s="52"/>
      <c r="D112" s="52"/>
      <c r="E112" s="52"/>
      <c r="F112" s="52"/>
      <c r="G112" s="52"/>
      <c r="H112" s="52"/>
      <c r="I112" s="52"/>
      <c r="J112" s="52"/>
      <c r="K112" s="52"/>
      <c r="L112" s="52"/>
      <c r="M112" s="52"/>
      <c r="N112" s="52"/>
      <c r="O112" s="52"/>
      <c r="P112" s="52"/>
      <c r="Q112" s="52"/>
      <c r="R112" s="52"/>
      <c r="S112" s="52"/>
      <c r="T112" s="52"/>
      <c r="U112" s="52"/>
      <c r="V112" s="52"/>
      <c r="W112" s="52"/>
      <c r="X112" s="52"/>
      <c r="Y112" s="52"/>
      <c r="Z112" s="52"/>
    </row>
    <row r="113" spans="1:26" ht="15.75" customHeight="1">
      <c r="A113" s="52"/>
      <c r="B113" s="52"/>
      <c r="C113" s="52"/>
      <c r="D113" s="52"/>
      <c r="E113" s="52"/>
      <c r="F113" s="52"/>
      <c r="G113" s="52"/>
      <c r="H113" s="52"/>
      <c r="I113" s="52"/>
      <c r="J113" s="52"/>
      <c r="K113" s="52"/>
      <c r="L113" s="52"/>
      <c r="M113" s="52"/>
      <c r="N113" s="52"/>
      <c r="O113" s="52"/>
      <c r="P113" s="52"/>
      <c r="Q113" s="52"/>
      <c r="R113" s="52"/>
      <c r="S113" s="52"/>
      <c r="T113" s="52"/>
      <c r="U113" s="52"/>
      <c r="V113" s="52"/>
      <c r="W113" s="52"/>
      <c r="X113" s="52"/>
      <c r="Y113" s="52"/>
      <c r="Z113" s="52"/>
    </row>
    <row r="114" spans="1:26" ht="15.75" customHeight="1">
      <c r="A114" s="52"/>
      <c r="B114" s="52"/>
      <c r="C114" s="52"/>
      <c r="D114" s="52"/>
      <c r="E114" s="52"/>
      <c r="F114" s="52"/>
      <c r="G114" s="52"/>
      <c r="H114" s="52"/>
      <c r="I114" s="52"/>
      <c r="J114" s="52"/>
      <c r="K114" s="52"/>
      <c r="L114" s="52"/>
      <c r="M114" s="52"/>
      <c r="N114" s="52"/>
      <c r="O114" s="52"/>
      <c r="P114" s="52"/>
      <c r="Q114" s="52"/>
      <c r="R114" s="52"/>
      <c r="S114" s="52"/>
      <c r="T114" s="52"/>
      <c r="U114" s="52"/>
      <c r="V114" s="52"/>
      <c r="W114" s="52"/>
      <c r="X114" s="52"/>
      <c r="Y114" s="52"/>
      <c r="Z114" s="52"/>
    </row>
    <row r="115" spans="1:26" ht="15.75" customHeight="1">
      <c r="A115" s="52"/>
      <c r="B115" s="52"/>
      <c r="C115" s="52"/>
      <c r="D115" s="52"/>
      <c r="E115" s="52"/>
      <c r="F115" s="52"/>
      <c r="G115" s="52"/>
      <c r="H115" s="52"/>
      <c r="I115" s="52"/>
      <c r="J115" s="52"/>
      <c r="K115" s="52"/>
      <c r="L115" s="52"/>
      <c r="M115" s="52"/>
      <c r="N115" s="52"/>
      <c r="O115" s="52"/>
      <c r="P115" s="52"/>
      <c r="Q115" s="52"/>
      <c r="R115" s="52"/>
      <c r="S115" s="52"/>
      <c r="T115" s="52"/>
      <c r="U115" s="52"/>
      <c r="V115" s="52"/>
      <c r="W115" s="52"/>
      <c r="X115" s="52"/>
      <c r="Y115" s="52"/>
      <c r="Z115" s="52"/>
    </row>
    <row r="116" spans="1:26" ht="15.75" customHeight="1">
      <c r="A116" s="52"/>
      <c r="B116" s="52"/>
      <c r="C116" s="52"/>
      <c r="D116" s="52"/>
      <c r="E116" s="52"/>
      <c r="F116" s="52"/>
      <c r="G116" s="52"/>
      <c r="H116" s="52"/>
      <c r="I116" s="52"/>
      <c r="J116" s="52"/>
      <c r="K116" s="52"/>
      <c r="L116" s="52"/>
      <c r="M116" s="52"/>
      <c r="N116" s="52"/>
      <c r="O116" s="52"/>
      <c r="P116" s="52"/>
      <c r="Q116" s="52"/>
      <c r="R116" s="52"/>
      <c r="S116" s="52"/>
      <c r="T116" s="52"/>
      <c r="U116" s="52"/>
      <c r="V116" s="52"/>
      <c r="W116" s="52"/>
      <c r="X116" s="52"/>
      <c r="Y116" s="52"/>
      <c r="Z116" s="52"/>
    </row>
    <row r="117" spans="1:26" ht="15.75" customHeight="1">
      <c r="A117" s="52"/>
      <c r="B117" s="52"/>
      <c r="C117" s="52"/>
      <c r="D117" s="52"/>
      <c r="E117" s="52"/>
      <c r="F117" s="52"/>
      <c r="G117" s="52"/>
      <c r="H117" s="52"/>
      <c r="I117" s="52"/>
      <c r="J117" s="52"/>
      <c r="K117" s="52"/>
      <c r="L117" s="52"/>
      <c r="M117" s="52"/>
      <c r="N117" s="52"/>
      <c r="O117" s="52"/>
      <c r="P117" s="52"/>
      <c r="Q117" s="52"/>
      <c r="R117" s="52"/>
      <c r="S117" s="52"/>
      <c r="T117" s="52"/>
      <c r="U117" s="52"/>
      <c r="V117" s="52"/>
      <c r="W117" s="52"/>
      <c r="X117" s="52"/>
      <c r="Y117" s="52"/>
      <c r="Z117" s="52"/>
    </row>
    <row r="118" spans="1:26" ht="15.75" customHeight="1">
      <c r="A118" s="52"/>
      <c r="B118" s="52"/>
      <c r="C118" s="52"/>
      <c r="D118" s="52"/>
      <c r="E118" s="52"/>
      <c r="F118" s="52"/>
      <c r="G118" s="52"/>
      <c r="H118" s="52"/>
      <c r="I118" s="52"/>
      <c r="J118" s="52"/>
      <c r="K118" s="52"/>
      <c r="L118" s="52"/>
      <c r="M118" s="52"/>
      <c r="N118" s="52"/>
      <c r="O118" s="52"/>
      <c r="P118" s="52"/>
      <c r="Q118" s="52"/>
      <c r="R118" s="52"/>
      <c r="S118" s="52"/>
      <c r="T118" s="52"/>
      <c r="U118" s="52"/>
      <c r="V118" s="52"/>
      <c r="W118" s="52"/>
      <c r="X118" s="52"/>
      <c r="Y118" s="52"/>
      <c r="Z118" s="52"/>
    </row>
    <row r="119" spans="1:26" ht="15.75" customHeight="1">
      <c r="A119" s="52"/>
      <c r="B119" s="52"/>
      <c r="C119" s="52"/>
      <c r="D119" s="52"/>
      <c r="E119" s="52"/>
      <c r="F119" s="52"/>
      <c r="G119" s="52"/>
      <c r="H119" s="52"/>
      <c r="I119" s="52"/>
      <c r="J119" s="52"/>
      <c r="K119" s="52"/>
      <c r="L119" s="52"/>
      <c r="M119" s="52"/>
      <c r="N119" s="52"/>
      <c r="O119" s="52"/>
      <c r="P119" s="52"/>
      <c r="Q119" s="52"/>
      <c r="R119" s="52"/>
      <c r="S119" s="52"/>
      <c r="T119" s="52"/>
      <c r="U119" s="52"/>
      <c r="V119" s="52"/>
      <c r="W119" s="52"/>
      <c r="X119" s="52"/>
      <c r="Y119" s="52"/>
      <c r="Z119" s="52"/>
    </row>
    <row r="120" spans="1:26" ht="15.75" customHeight="1">
      <c r="A120" s="52"/>
      <c r="B120" s="52"/>
      <c r="C120" s="52"/>
      <c r="D120" s="52"/>
      <c r="E120" s="52"/>
      <c r="F120" s="52"/>
      <c r="G120" s="52"/>
      <c r="H120" s="52"/>
      <c r="I120" s="52"/>
      <c r="J120" s="52"/>
      <c r="K120" s="52"/>
      <c r="L120" s="52"/>
      <c r="M120" s="52"/>
      <c r="N120" s="52"/>
      <c r="O120" s="52"/>
      <c r="P120" s="52"/>
      <c r="Q120" s="52"/>
      <c r="R120" s="52"/>
      <c r="S120" s="52"/>
      <c r="T120" s="52"/>
      <c r="U120" s="52"/>
      <c r="V120" s="52"/>
      <c r="W120" s="52"/>
      <c r="X120" s="52"/>
      <c r="Y120" s="52"/>
      <c r="Z120" s="52"/>
    </row>
    <row r="121" spans="1:26" ht="15.75" customHeight="1">
      <c r="A121" s="52"/>
      <c r="B121" s="52"/>
      <c r="C121" s="52"/>
      <c r="D121" s="52"/>
      <c r="E121" s="52"/>
      <c r="F121" s="52"/>
      <c r="G121" s="52"/>
      <c r="H121" s="52"/>
      <c r="I121" s="52"/>
      <c r="J121" s="52"/>
      <c r="K121" s="52"/>
      <c r="L121" s="52"/>
      <c r="M121" s="52"/>
      <c r="N121" s="52"/>
      <c r="O121" s="52"/>
      <c r="P121" s="52"/>
      <c r="Q121" s="52"/>
      <c r="R121" s="52"/>
      <c r="S121" s="52"/>
      <c r="T121" s="52"/>
      <c r="U121" s="52"/>
      <c r="V121" s="52"/>
      <c r="W121" s="52"/>
      <c r="X121" s="52"/>
      <c r="Y121" s="52"/>
      <c r="Z121" s="52"/>
    </row>
    <row r="122" spans="1:26" ht="15.75" customHeight="1">
      <c r="A122" s="52"/>
      <c r="B122" s="52"/>
      <c r="C122" s="52"/>
      <c r="D122" s="52"/>
      <c r="E122" s="52"/>
      <c r="F122" s="52"/>
      <c r="G122" s="52"/>
      <c r="H122" s="52"/>
      <c r="I122" s="52"/>
      <c r="J122" s="52"/>
      <c r="K122" s="52"/>
      <c r="L122" s="52"/>
      <c r="M122" s="52"/>
      <c r="N122" s="52"/>
      <c r="O122" s="52"/>
      <c r="P122" s="52"/>
      <c r="Q122" s="52"/>
      <c r="R122" s="52"/>
      <c r="S122" s="52"/>
      <c r="T122" s="52"/>
      <c r="U122" s="52"/>
      <c r="V122" s="52"/>
      <c r="W122" s="52"/>
      <c r="X122" s="52"/>
      <c r="Y122" s="52"/>
      <c r="Z122" s="52"/>
    </row>
    <row r="123" spans="1:26" ht="15.75" customHeight="1">
      <c r="A123" s="52"/>
      <c r="B123" s="52"/>
      <c r="C123" s="52"/>
      <c r="D123" s="52"/>
      <c r="E123" s="52"/>
      <c r="F123" s="52"/>
      <c r="G123" s="52"/>
      <c r="H123" s="52"/>
      <c r="I123" s="52"/>
      <c r="J123" s="52"/>
      <c r="K123" s="52"/>
      <c r="L123" s="52"/>
      <c r="M123" s="52"/>
      <c r="N123" s="52"/>
      <c r="O123" s="52"/>
      <c r="P123" s="52"/>
      <c r="Q123" s="52"/>
      <c r="R123" s="52"/>
      <c r="S123" s="52"/>
      <c r="T123" s="52"/>
      <c r="U123" s="52"/>
      <c r="V123" s="52"/>
      <c r="W123" s="52"/>
      <c r="X123" s="52"/>
      <c r="Y123" s="52"/>
      <c r="Z123" s="52"/>
    </row>
    <row r="124" spans="1:26" ht="15.75" customHeight="1">
      <c r="A124" s="52"/>
      <c r="B124" s="52"/>
      <c r="C124" s="52"/>
      <c r="D124" s="52"/>
      <c r="E124" s="52"/>
      <c r="F124" s="52"/>
      <c r="G124" s="52"/>
      <c r="H124" s="52"/>
      <c r="I124" s="52"/>
      <c r="J124" s="52"/>
      <c r="K124" s="52"/>
      <c r="L124" s="52"/>
      <c r="M124" s="52"/>
      <c r="N124" s="52"/>
      <c r="O124" s="52"/>
      <c r="P124" s="52"/>
      <c r="Q124" s="52"/>
      <c r="R124" s="52"/>
      <c r="S124" s="52"/>
      <c r="T124" s="52"/>
      <c r="U124" s="52"/>
      <c r="V124" s="52"/>
      <c r="W124" s="52"/>
      <c r="X124" s="52"/>
      <c r="Y124" s="52"/>
      <c r="Z124" s="52"/>
    </row>
    <row r="125" spans="1:26" ht="15.75" customHeight="1">
      <c r="A125" s="52"/>
      <c r="B125" s="52"/>
      <c r="C125" s="52"/>
      <c r="D125" s="52"/>
      <c r="E125" s="52"/>
      <c r="F125" s="52"/>
      <c r="G125" s="52"/>
      <c r="H125" s="52"/>
      <c r="I125" s="52"/>
      <c r="J125" s="52"/>
      <c r="K125" s="52"/>
      <c r="L125" s="52"/>
      <c r="M125" s="52"/>
      <c r="N125" s="52"/>
      <c r="O125" s="52"/>
      <c r="P125" s="52"/>
      <c r="Q125" s="52"/>
      <c r="R125" s="52"/>
      <c r="S125" s="52"/>
      <c r="T125" s="52"/>
      <c r="U125" s="52"/>
      <c r="V125" s="52"/>
      <c r="W125" s="52"/>
      <c r="X125" s="52"/>
      <c r="Y125" s="52"/>
      <c r="Z125" s="52"/>
    </row>
    <row r="126" spans="1:26" ht="15.75" customHeight="1">
      <c r="A126" s="52"/>
      <c r="B126" s="52"/>
      <c r="C126" s="52"/>
      <c r="D126" s="52"/>
      <c r="E126" s="52"/>
      <c r="F126" s="52"/>
      <c r="G126" s="52"/>
      <c r="H126" s="52"/>
      <c r="I126" s="52"/>
      <c r="J126" s="52"/>
      <c r="K126" s="52"/>
      <c r="L126" s="52"/>
      <c r="M126" s="52"/>
      <c r="N126" s="52"/>
      <c r="O126" s="52"/>
      <c r="P126" s="52"/>
      <c r="Q126" s="52"/>
      <c r="R126" s="52"/>
      <c r="S126" s="52"/>
      <c r="T126" s="52"/>
      <c r="U126" s="52"/>
      <c r="V126" s="52"/>
      <c r="W126" s="52"/>
      <c r="X126" s="52"/>
      <c r="Y126" s="52"/>
      <c r="Z126" s="52"/>
    </row>
    <row r="127" spans="1:26" ht="15.75" customHeight="1">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row>
    <row r="128" spans="1:26" ht="15.75" customHeight="1">
      <c r="A128" s="52"/>
      <c r="B128" s="52"/>
      <c r="C128" s="52"/>
      <c r="D128" s="52"/>
      <c r="E128" s="52"/>
      <c r="F128" s="52"/>
      <c r="G128" s="52"/>
      <c r="H128" s="52"/>
      <c r="I128" s="52"/>
      <c r="J128" s="52"/>
      <c r="K128" s="52"/>
      <c r="L128" s="52"/>
      <c r="M128" s="52"/>
      <c r="N128" s="52"/>
      <c r="O128" s="52"/>
      <c r="P128" s="52"/>
      <c r="Q128" s="52"/>
      <c r="R128" s="52"/>
      <c r="S128" s="52"/>
      <c r="T128" s="52"/>
      <c r="U128" s="52"/>
      <c r="V128" s="52"/>
      <c r="W128" s="52"/>
      <c r="X128" s="52"/>
      <c r="Y128" s="52"/>
      <c r="Z128" s="52"/>
    </row>
    <row r="129" spans="1:26" ht="15.75" customHeight="1">
      <c r="A129" s="52"/>
      <c r="B129" s="52"/>
      <c r="C129" s="52"/>
      <c r="D129" s="52"/>
      <c r="E129" s="52"/>
      <c r="F129" s="52"/>
      <c r="G129" s="52"/>
      <c r="H129" s="52"/>
      <c r="I129" s="52"/>
      <c r="J129" s="52"/>
      <c r="K129" s="52"/>
      <c r="L129" s="52"/>
      <c r="M129" s="52"/>
      <c r="N129" s="52"/>
      <c r="O129" s="52"/>
      <c r="P129" s="52"/>
      <c r="Q129" s="52"/>
      <c r="R129" s="52"/>
      <c r="S129" s="52"/>
      <c r="T129" s="52"/>
      <c r="U129" s="52"/>
      <c r="V129" s="52"/>
      <c r="W129" s="52"/>
      <c r="X129" s="52"/>
      <c r="Y129" s="52"/>
      <c r="Z129" s="52"/>
    </row>
    <row r="130" spans="1:26" ht="15.75" customHeight="1">
      <c r="A130" s="52"/>
      <c r="B130" s="52"/>
      <c r="C130" s="52"/>
      <c r="D130" s="52"/>
      <c r="E130" s="52"/>
      <c r="F130" s="52"/>
      <c r="G130" s="52"/>
      <c r="H130" s="52"/>
      <c r="I130" s="52"/>
      <c r="J130" s="52"/>
      <c r="K130" s="52"/>
      <c r="L130" s="52"/>
      <c r="M130" s="52"/>
      <c r="N130" s="52"/>
      <c r="O130" s="52"/>
      <c r="P130" s="52"/>
      <c r="Q130" s="52"/>
      <c r="R130" s="52"/>
      <c r="S130" s="52"/>
      <c r="T130" s="52"/>
      <c r="U130" s="52"/>
      <c r="V130" s="52"/>
      <c r="W130" s="52"/>
      <c r="X130" s="52"/>
      <c r="Y130" s="52"/>
      <c r="Z130" s="52"/>
    </row>
    <row r="131" spans="1:26" ht="15.75" customHeight="1">
      <c r="A131" s="52"/>
      <c r="B131" s="52"/>
      <c r="C131" s="52"/>
      <c r="D131" s="52"/>
      <c r="E131" s="52"/>
      <c r="F131" s="52"/>
      <c r="G131" s="52"/>
      <c r="H131" s="52"/>
      <c r="I131" s="52"/>
      <c r="J131" s="52"/>
      <c r="K131" s="52"/>
      <c r="L131" s="52"/>
      <c r="M131" s="52"/>
      <c r="N131" s="52"/>
      <c r="O131" s="52"/>
      <c r="P131" s="52"/>
      <c r="Q131" s="52"/>
      <c r="R131" s="52"/>
      <c r="S131" s="52"/>
      <c r="T131" s="52"/>
      <c r="U131" s="52"/>
      <c r="V131" s="52"/>
      <c r="W131" s="52"/>
      <c r="X131" s="52"/>
      <c r="Y131" s="52"/>
      <c r="Z131" s="52"/>
    </row>
    <row r="132" spans="1:26" ht="15.75" customHeight="1">
      <c r="A132" s="52"/>
      <c r="B132" s="52"/>
      <c r="C132" s="52"/>
      <c r="D132" s="52"/>
      <c r="E132" s="52"/>
      <c r="F132" s="52"/>
      <c r="G132" s="52"/>
      <c r="H132" s="52"/>
      <c r="I132" s="52"/>
      <c r="J132" s="52"/>
      <c r="K132" s="52"/>
      <c r="L132" s="52"/>
      <c r="M132" s="52"/>
      <c r="N132" s="52"/>
      <c r="O132" s="52"/>
      <c r="P132" s="52"/>
      <c r="Q132" s="52"/>
      <c r="R132" s="52"/>
      <c r="S132" s="52"/>
      <c r="T132" s="52"/>
      <c r="U132" s="52"/>
      <c r="V132" s="52"/>
      <c r="W132" s="52"/>
      <c r="X132" s="52"/>
      <c r="Y132" s="52"/>
      <c r="Z132" s="52"/>
    </row>
    <row r="133" spans="1:26" ht="15.75" customHeight="1">
      <c r="A133" s="52"/>
      <c r="B133" s="52"/>
      <c r="C133" s="52"/>
      <c r="D133" s="52"/>
      <c r="E133" s="52"/>
      <c r="F133" s="52"/>
      <c r="G133" s="52"/>
      <c r="H133" s="52"/>
      <c r="I133" s="52"/>
      <c r="J133" s="52"/>
      <c r="K133" s="52"/>
      <c r="L133" s="52"/>
      <c r="M133" s="52"/>
      <c r="N133" s="52"/>
      <c r="O133" s="52"/>
      <c r="P133" s="52"/>
      <c r="Q133" s="52"/>
      <c r="R133" s="52"/>
      <c r="S133" s="52"/>
      <c r="T133" s="52"/>
      <c r="U133" s="52"/>
      <c r="V133" s="52"/>
      <c r="W133" s="52"/>
      <c r="X133" s="52"/>
      <c r="Y133" s="52"/>
      <c r="Z133" s="52"/>
    </row>
    <row r="134" spans="1:26" ht="15.75" customHeight="1">
      <c r="A134" s="52"/>
      <c r="B134" s="52"/>
      <c r="C134" s="52"/>
      <c r="D134" s="52"/>
      <c r="E134" s="52"/>
      <c r="F134" s="52"/>
      <c r="G134" s="52"/>
      <c r="H134" s="52"/>
      <c r="I134" s="52"/>
      <c r="J134" s="52"/>
      <c r="K134" s="52"/>
      <c r="L134" s="52"/>
      <c r="M134" s="52"/>
      <c r="N134" s="52"/>
      <c r="O134" s="52"/>
      <c r="P134" s="52"/>
      <c r="Q134" s="52"/>
      <c r="R134" s="52"/>
      <c r="S134" s="52"/>
      <c r="T134" s="52"/>
      <c r="U134" s="52"/>
      <c r="V134" s="52"/>
      <c r="W134" s="52"/>
      <c r="X134" s="52"/>
      <c r="Y134" s="52"/>
      <c r="Z134" s="52"/>
    </row>
    <row r="135" spans="1:26" ht="15.75" customHeight="1">
      <c r="A135" s="52"/>
      <c r="B135" s="52"/>
      <c r="C135" s="52"/>
      <c r="D135" s="52"/>
      <c r="E135" s="52"/>
      <c r="F135" s="52"/>
      <c r="G135" s="52"/>
      <c r="H135" s="52"/>
      <c r="I135" s="52"/>
      <c r="J135" s="52"/>
      <c r="K135" s="52"/>
      <c r="L135" s="52"/>
      <c r="M135" s="52"/>
      <c r="N135" s="52"/>
      <c r="O135" s="52"/>
      <c r="P135" s="52"/>
      <c r="Q135" s="52"/>
      <c r="R135" s="52"/>
      <c r="S135" s="52"/>
      <c r="T135" s="52"/>
      <c r="U135" s="52"/>
      <c r="V135" s="52"/>
      <c r="W135" s="52"/>
      <c r="X135" s="52"/>
      <c r="Y135" s="52"/>
      <c r="Z135" s="52"/>
    </row>
    <row r="136" spans="1:26" ht="15.75" customHeight="1">
      <c r="A136" s="52"/>
      <c r="B136" s="52"/>
      <c r="C136" s="52"/>
      <c r="D136" s="52"/>
      <c r="E136" s="52"/>
      <c r="F136" s="52"/>
      <c r="G136" s="52"/>
      <c r="H136" s="52"/>
      <c r="I136" s="52"/>
      <c r="J136" s="52"/>
      <c r="K136" s="52"/>
      <c r="L136" s="52"/>
      <c r="M136" s="52"/>
      <c r="N136" s="52"/>
      <c r="O136" s="52"/>
      <c r="P136" s="52"/>
      <c r="Q136" s="52"/>
      <c r="R136" s="52"/>
      <c r="S136" s="52"/>
      <c r="T136" s="52"/>
      <c r="U136" s="52"/>
      <c r="V136" s="52"/>
      <c r="W136" s="52"/>
      <c r="X136" s="52"/>
      <c r="Y136" s="52"/>
      <c r="Z136" s="52"/>
    </row>
    <row r="137" spans="1:26" ht="15.75" customHeight="1">
      <c r="A137" s="52"/>
      <c r="B137" s="52"/>
      <c r="C137" s="52"/>
      <c r="D137" s="52"/>
      <c r="E137" s="52"/>
      <c r="F137" s="52"/>
      <c r="G137" s="52"/>
      <c r="H137" s="52"/>
      <c r="I137" s="52"/>
      <c r="J137" s="52"/>
      <c r="K137" s="52"/>
      <c r="L137" s="52"/>
      <c r="M137" s="52"/>
      <c r="N137" s="52"/>
      <c r="O137" s="52"/>
      <c r="P137" s="52"/>
      <c r="Q137" s="52"/>
      <c r="R137" s="52"/>
      <c r="S137" s="52"/>
      <c r="T137" s="52"/>
      <c r="U137" s="52"/>
      <c r="V137" s="52"/>
      <c r="W137" s="52"/>
      <c r="X137" s="52"/>
      <c r="Y137" s="52"/>
      <c r="Z137" s="52"/>
    </row>
    <row r="138" spans="1:26" ht="15.75" customHeight="1">
      <c r="A138" s="52"/>
      <c r="B138" s="52"/>
      <c r="C138" s="52"/>
      <c r="D138" s="52"/>
      <c r="E138" s="52"/>
      <c r="F138" s="52"/>
      <c r="G138" s="52"/>
      <c r="H138" s="52"/>
      <c r="I138" s="52"/>
      <c r="J138" s="52"/>
      <c r="K138" s="52"/>
      <c r="L138" s="52"/>
      <c r="M138" s="52"/>
      <c r="N138" s="52"/>
      <c r="O138" s="52"/>
      <c r="P138" s="52"/>
      <c r="Q138" s="52"/>
      <c r="R138" s="52"/>
      <c r="S138" s="52"/>
      <c r="T138" s="52"/>
      <c r="U138" s="52"/>
      <c r="V138" s="52"/>
      <c r="W138" s="52"/>
      <c r="X138" s="52"/>
      <c r="Y138" s="52"/>
      <c r="Z138" s="52"/>
    </row>
    <row r="139" spans="1:26" ht="15.75" customHeight="1">
      <c r="A139" s="52"/>
      <c r="B139" s="52"/>
      <c r="C139" s="52"/>
      <c r="D139" s="52"/>
      <c r="E139" s="52"/>
      <c r="F139" s="52"/>
      <c r="G139" s="52"/>
      <c r="H139" s="52"/>
      <c r="I139" s="52"/>
      <c r="J139" s="52"/>
      <c r="K139" s="52"/>
      <c r="L139" s="52"/>
      <c r="M139" s="52"/>
      <c r="N139" s="52"/>
      <c r="O139" s="52"/>
      <c r="P139" s="52"/>
      <c r="Q139" s="52"/>
      <c r="R139" s="52"/>
      <c r="S139" s="52"/>
      <c r="T139" s="52"/>
      <c r="U139" s="52"/>
      <c r="V139" s="52"/>
      <c r="W139" s="52"/>
      <c r="X139" s="52"/>
      <c r="Y139" s="52"/>
      <c r="Z139" s="52"/>
    </row>
    <row r="140" spans="1:26" ht="15.75" customHeight="1">
      <c r="A140" s="52"/>
      <c r="B140" s="52"/>
      <c r="C140" s="52"/>
      <c r="D140" s="52"/>
      <c r="E140" s="52"/>
      <c r="F140" s="52"/>
      <c r="G140" s="52"/>
      <c r="H140" s="52"/>
      <c r="I140" s="52"/>
      <c r="J140" s="52"/>
      <c r="K140" s="52"/>
      <c r="L140" s="52"/>
      <c r="M140" s="52"/>
      <c r="N140" s="52"/>
      <c r="O140" s="52"/>
      <c r="P140" s="52"/>
      <c r="Q140" s="52"/>
      <c r="R140" s="52"/>
      <c r="S140" s="52"/>
      <c r="T140" s="52"/>
      <c r="U140" s="52"/>
      <c r="V140" s="52"/>
      <c r="W140" s="52"/>
      <c r="X140" s="52"/>
      <c r="Y140" s="52"/>
      <c r="Z140" s="52"/>
    </row>
    <row r="141" spans="1:26" ht="15.75" customHeight="1">
      <c r="A141" s="52"/>
      <c r="B141" s="52"/>
      <c r="C141" s="52"/>
      <c r="D141" s="52"/>
      <c r="E141" s="52"/>
      <c r="F141" s="52"/>
      <c r="G141" s="52"/>
      <c r="H141" s="52"/>
      <c r="I141" s="52"/>
      <c r="J141" s="52"/>
      <c r="K141" s="52"/>
      <c r="L141" s="52"/>
      <c r="M141" s="52"/>
      <c r="N141" s="52"/>
      <c r="O141" s="52"/>
      <c r="P141" s="52"/>
      <c r="Q141" s="52"/>
      <c r="R141" s="52"/>
      <c r="S141" s="52"/>
      <c r="T141" s="52"/>
      <c r="U141" s="52"/>
      <c r="V141" s="52"/>
      <c r="W141" s="52"/>
      <c r="X141" s="52"/>
      <c r="Y141" s="52"/>
      <c r="Z141" s="52"/>
    </row>
    <row r="142" spans="1:26" ht="15.75" customHeight="1">
      <c r="A142" s="52"/>
      <c r="B142" s="52"/>
      <c r="C142" s="52"/>
      <c r="D142" s="52"/>
      <c r="E142" s="52"/>
      <c r="F142" s="52"/>
      <c r="G142" s="52"/>
      <c r="H142" s="52"/>
      <c r="I142" s="52"/>
      <c r="J142" s="52"/>
      <c r="K142" s="52"/>
      <c r="L142" s="52"/>
      <c r="M142" s="52"/>
      <c r="N142" s="52"/>
      <c r="O142" s="52"/>
      <c r="P142" s="52"/>
      <c r="Q142" s="52"/>
      <c r="R142" s="52"/>
      <c r="S142" s="52"/>
      <c r="T142" s="52"/>
      <c r="U142" s="52"/>
      <c r="V142" s="52"/>
      <c r="W142" s="52"/>
      <c r="X142" s="52"/>
      <c r="Y142" s="52"/>
      <c r="Z142" s="52"/>
    </row>
    <row r="143" spans="1:26" ht="15.75" customHeight="1">
      <c r="A143" s="52"/>
      <c r="B143" s="52"/>
      <c r="C143" s="52"/>
      <c r="D143" s="52"/>
      <c r="E143" s="52"/>
      <c r="F143" s="52"/>
      <c r="G143" s="52"/>
      <c r="H143" s="52"/>
      <c r="I143" s="52"/>
      <c r="J143" s="52"/>
      <c r="K143" s="52"/>
      <c r="L143" s="52"/>
      <c r="M143" s="52"/>
      <c r="N143" s="52"/>
      <c r="O143" s="52"/>
      <c r="P143" s="52"/>
      <c r="Q143" s="52"/>
      <c r="R143" s="52"/>
      <c r="S143" s="52"/>
      <c r="T143" s="52"/>
      <c r="U143" s="52"/>
      <c r="V143" s="52"/>
      <c r="W143" s="52"/>
      <c r="X143" s="52"/>
      <c r="Y143" s="52"/>
      <c r="Z143" s="52"/>
    </row>
    <row r="144" spans="1:26" ht="15.75" customHeight="1">
      <c r="A144" s="52"/>
      <c r="B144" s="52"/>
      <c r="C144" s="52"/>
      <c r="D144" s="52"/>
      <c r="E144" s="52"/>
      <c r="F144" s="52"/>
      <c r="G144" s="52"/>
      <c r="H144" s="52"/>
      <c r="I144" s="52"/>
      <c r="J144" s="52"/>
      <c r="K144" s="52"/>
      <c r="L144" s="52"/>
      <c r="M144" s="52"/>
      <c r="N144" s="52"/>
      <c r="O144" s="52"/>
      <c r="P144" s="52"/>
      <c r="Q144" s="52"/>
      <c r="R144" s="52"/>
      <c r="S144" s="52"/>
      <c r="T144" s="52"/>
      <c r="U144" s="52"/>
      <c r="V144" s="52"/>
      <c r="W144" s="52"/>
      <c r="X144" s="52"/>
      <c r="Y144" s="52"/>
      <c r="Z144" s="52"/>
    </row>
    <row r="145" spans="1:26" ht="15.75" customHeight="1">
      <c r="A145" s="52"/>
      <c r="B145" s="52"/>
      <c r="C145" s="52"/>
      <c r="D145" s="52"/>
      <c r="E145" s="52"/>
      <c r="F145" s="52"/>
      <c r="G145" s="52"/>
      <c r="H145" s="52"/>
      <c r="I145" s="52"/>
      <c r="J145" s="52"/>
      <c r="K145" s="52"/>
      <c r="L145" s="52"/>
      <c r="M145" s="52"/>
      <c r="N145" s="52"/>
      <c r="O145" s="52"/>
      <c r="P145" s="52"/>
      <c r="Q145" s="52"/>
      <c r="R145" s="52"/>
      <c r="S145" s="52"/>
      <c r="T145" s="52"/>
      <c r="U145" s="52"/>
      <c r="V145" s="52"/>
      <c r="W145" s="52"/>
      <c r="X145" s="52"/>
      <c r="Y145" s="52"/>
      <c r="Z145" s="52"/>
    </row>
    <row r="146" spans="1:26" ht="15.75" customHeight="1">
      <c r="A146" s="52"/>
      <c r="B146" s="52"/>
      <c r="C146" s="52"/>
      <c r="D146" s="52"/>
      <c r="E146" s="52"/>
      <c r="F146" s="52"/>
      <c r="G146" s="52"/>
      <c r="H146" s="52"/>
      <c r="I146" s="52"/>
      <c r="J146" s="52"/>
      <c r="K146" s="52"/>
      <c r="L146" s="52"/>
      <c r="M146" s="52"/>
      <c r="N146" s="52"/>
      <c r="O146" s="52"/>
      <c r="P146" s="52"/>
      <c r="Q146" s="52"/>
      <c r="R146" s="52"/>
      <c r="S146" s="52"/>
      <c r="T146" s="52"/>
      <c r="U146" s="52"/>
      <c r="V146" s="52"/>
      <c r="W146" s="52"/>
      <c r="X146" s="52"/>
      <c r="Y146" s="52"/>
      <c r="Z146" s="52"/>
    </row>
    <row r="147" spans="1:26" ht="15.75" customHeight="1">
      <c r="A147" s="52"/>
      <c r="B147" s="52"/>
      <c r="C147" s="52"/>
      <c r="D147" s="52"/>
      <c r="E147" s="52"/>
      <c r="F147" s="52"/>
      <c r="G147" s="52"/>
      <c r="H147" s="52"/>
      <c r="I147" s="52"/>
      <c r="J147" s="52"/>
      <c r="K147" s="52"/>
      <c r="L147" s="52"/>
      <c r="M147" s="52"/>
      <c r="N147" s="52"/>
      <c r="O147" s="52"/>
      <c r="P147" s="52"/>
      <c r="Q147" s="52"/>
      <c r="R147" s="52"/>
      <c r="S147" s="52"/>
      <c r="T147" s="52"/>
      <c r="U147" s="52"/>
      <c r="V147" s="52"/>
      <c r="W147" s="52"/>
      <c r="X147" s="52"/>
      <c r="Y147" s="52"/>
      <c r="Z147" s="52"/>
    </row>
    <row r="148" spans="1:26" ht="15.75" customHeight="1">
      <c r="A148" s="52"/>
      <c r="B148" s="52"/>
      <c r="C148" s="52"/>
      <c r="D148" s="52"/>
      <c r="E148" s="52"/>
      <c r="F148" s="52"/>
      <c r="G148" s="52"/>
      <c r="H148" s="52"/>
      <c r="I148" s="52"/>
      <c r="J148" s="52"/>
      <c r="K148" s="52"/>
      <c r="L148" s="52"/>
      <c r="M148" s="52"/>
      <c r="N148" s="52"/>
      <c r="O148" s="52"/>
      <c r="P148" s="52"/>
      <c r="Q148" s="52"/>
      <c r="R148" s="52"/>
      <c r="S148" s="52"/>
      <c r="T148" s="52"/>
      <c r="U148" s="52"/>
      <c r="V148" s="52"/>
      <c r="W148" s="52"/>
      <c r="X148" s="52"/>
      <c r="Y148" s="52"/>
      <c r="Z148" s="52"/>
    </row>
    <row r="149" spans="1:26" ht="15.75" customHeight="1">
      <c r="A149" s="52"/>
      <c r="B149" s="52"/>
      <c r="C149" s="52"/>
      <c r="D149" s="52"/>
      <c r="E149" s="52"/>
      <c r="F149" s="52"/>
      <c r="G149" s="52"/>
      <c r="H149" s="52"/>
      <c r="I149" s="52"/>
      <c r="J149" s="52"/>
      <c r="K149" s="52"/>
      <c r="L149" s="52"/>
      <c r="M149" s="52"/>
      <c r="N149" s="52"/>
      <c r="O149" s="52"/>
      <c r="P149" s="52"/>
      <c r="Q149" s="52"/>
      <c r="R149" s="52"/>
      <c r="S149" s="52"/>
      <c r="T149" s="52"/>
      <c r="U149" s="52"/>
      <c r="V149" s="52"/>
      <c r="W149" s="52"/>
      <c r="X149" s="52"/>
      <c r="Y149" s="52"/>
      <c r="Z149" s="52"/>
    </row>
    <row r="150" spans="1:26" ht="15.75" customHeight="1">
      <c r="A150" s="52"/>
      <c r="B150" s="52"/>
      <c r="C150" s="52"/>
      <c r="D150" s="52"/>
      <c r="E150" s="52"/>
      <c r="F150" s="52"/>
      <c r="G150" s="52"/>
      <c r="H150" s="52"/>
      <c r="I150" s="52"/>
      <c r="J150" s="52"/>
      <c r="K150" s="52"/>
      <c r="L150" s="52"/>
      <c r="M150" s="52"/>
      <c r="N150" s="52"/>
      <c r="O150" s="52"/>
      <c r="P150" s="52"/>
      <c r="Q150" s="52"/>
      <c r="R150" s="52"/>
      <c r="S150" s="52"/>
      <c r="T150" s="52"/>
      <c r="U150" s="52"/>
      <c r="V150" s="52"/>
      <c r="W150" s="52"/>
      <c r="X150" s="52"/>
      <c r="Y150" s="52"/>
      <c r="Z150" s="52"/>
    </row>
    <row r="151" spans="1:26" ht="15.75" customHeight="1">
      <c r="A151" s="52"/>
      <c r="B151" s="52"/>
      <c r="C151" s="52"/>
      <c r="D151" s="52"/>
      <c r="E151" s="52"/>
      <c r="F151" s="52"/>
      <c r="G151" s="52"/>
      <c r="H151" s="52"/>
      <c r="I151" s="52"/>
      <c r="J151" s="52"/>
      <c r="K151" s="52"/>
      <c r="L151" s="52"/>
      <c r="M151" s="52"/>
      <c r="N151" s="52"/>
      <c r="O151" s="52"/>
      <c r="P151" s="52"/>
      <c r="Q151" s="52"/>
      <c r="R151" s="52"/>
      <c r="S151" s="52"/>
      <c r="T151" s="52"/>
      <c r="U151" s="52"/>
      <c r="V151" s="52"/>
      <c r="W151" s="52"/>
      <c r="X151" s="52"/>
      <c r="Y151" s="52"/>
      <c r="Z151" s="52"/>
    </row>
    <row r="152" spans="1:26" ht="15.75" customHeight="1">
      <c r="A152" s="52"/>
      <c r="B152" s="52"/>
      <c r="C152" s="52"/>
      <c r="D152" s="52"/>
      <c r="E152" s="52"/>
      <c r="F152" s="52"/>
      <c r="G152" s="52"/>
      <c r="H152" s="52"/>
      <c r="I152" s="52"/>
      <c r="J152" s="52"/>
      <c r="K152" s="52"/>
      <c r="L152" s="52"/>
      <c r="M152" s="52"/>
      <c r="N152" s="52"/>
      <c r="O152" s="52"/>
      <c r="P152" s="52"/>
      <c r="Q152" s="52"/>
      <c r="R152" s="52"/>
      <c r="S152" s="52"/>
      <c r="T152" s="52"/>
      <c r="U152" s="52"/>
      <c r="V152" s="52"/>
      <c r="W152" s="52"/>
      <c r="X152" s="52"/>
      <c r="Y152" s="52"/>
      <c r="Z152" s="52"/>
    </row>
    <row r="153" spans="1:26" ht="15.75" customHeight="1">
      <c r="A153" s="52"/>
      <c r="B153" s="52"/>
      <c r="C153" s="52"/>
      <c r="D153" s="52"/>
      <c r="E153" s="52"/>
      <c r="F153" s="52"/>
      <c r="G153" s="52"/>
      <c r="H153" s="52"/>
      <c r="I153" s="52"/>
      <c r="J153" s="52"/>
      <c r="K153" s="52"/>
      <c r="L153" s="52"/>
      <c r="M153" s="52"/>
      <c r="N153" s="52"/>
      <c r="O153" s="52"/>
      <c r="P153" s="52"/>
      <c r="Q153" s="52"/>
      <c r="R153" s="52"/>
      <c r="S153" s="52"/>
      <c r="T153" s="52"/>
      <c r="U153" s="52"/>
      <c r="V153" s="52"/>
      <c r="W153" s="52"/>
      <c r="X153" s="52"/>
      <c r="Y153" s="52"/>
      <c r="Z153" s="52"/>
    </row>
    <row r="154" spans="1:26" ht="15.75" customHeight="1">
      <c r="A154" s="52"/>
      <c r="B154" s="52"/>
      <c r="C154" s="52"/>
      <c r="D154" s="52"/>
      <c r="E154" s="52"/>
      <c r="F154" s="52"/>
      <c r="G154" s="52"/>
      <c r="H154" s="52"/>
      <c r="I154" s="52"/>
      <c r="J154" s="52"/>
      <c r="K154" s="52"/>
      <c r="L154" s="52"/>
      <c r="M154" s="52"/>
      <c r="N154" s="52"/>
      <c r="O154" s="52"/>
      <c r="P154" s="52"/>
      <c r="Q154" s="52"/>
      <c r="R154" s="52"/>
      <c r="S154" s="52"/>
      <c r="T154" s="52"/>
      <c r="U154" s="52"/>
      <c r="V154" s="52"/>
      <c r="W154" s="52"/>
      <c r="X154" s="52"/>
      <c r="Y154" s="52"/>
      <c r="Z154" s="52"/>
    </row>
    <row r="155" spans="1:26" ht="15.75" customHeight="1">
      <c r="A155" s="52"/>
      <c r="B155" s="52"/>
      <c r="C155" s="52"/>
      <c r="D155" s="52"/>
      <c r="E155" s="52"/>
      <c r="F155" s="52"/>
      <c r="G155" s="52"/>
      <c r="H155" s="52"/>
      <c r="I155" s="52"/>
      <c r="J155" s="52"/>
      <c r="K155" s="52"/>
      <c r="L155" s="52"/>
      <c r="M155" s="52"/>
      <c r="N155" s="52"/>
      <c r="O155" s="52"/>
      <c r="P155" s="52"/>
      <c r="Q155" s="52"/>
      <c r="R155" s="52"/>
      <c r="S155" s="52"/>
      <c r="T155" s="52"/>
      <c r="U155" s="52"/>
      <c r="V155" s="52"/>
      <c r="W155" s="52"/>
      <c r="X155" s="52"/>
      <c r="Y155" s="52"/>
      <c r="Z155" s="52"/>
    </row>
    <row r="156" spans="1:26" ht="15.75" customHeight="1">
      <c r="A156" s="52"/>
      <c r="B156" s="52"/>
      <c r="C156" s="52"/>
      <c r="D156" s="52"/>
      <c r="E156" s="52"/>
      <c r="F156" s="52"/>
      <c r="G156" s="52"/>
      <c r="H156" s="52"/>
      <c r="I156" s="52"/>
      <c r="J156" s="52"/>
      <c r="K156" s="52"/>
      <c r="L156" s="52"/>
      <c r="M156" s="52"/>
      <c r="N156" s="52"/>
      <c r="O156" s="52"/>
      <c r="P156" s="52"/>
      <c r="Q156" s="52"/>
      <c r="R156" s="52"/>
      <c r="S156" s="52"/>
      <c r="T156" s="52"/>
      <c r="U156" s="52"/>
      <c r="V156" s="52"/>
      <c r="W156" s="52"/>
      <c r="X156" s="52"/>
      <c r="Y156" s="52"/>
      <c r="Z156" s="52"/>
    </row>
    <row r="157" spans="1:26" ht="15.75" customHeight="1">
      <c r="A157" s="52"/>
      <c r="B157" s="52"/>
      <c r="C157" s="52"/>
      <c r="D157" s="52"/>
      <c r="E157" s="52"/>
      <c r="F157" s="52"/>
      <c r="G157" s="52"/>
      <c r="H157" s="52"/>
      <c r="I157" s="52"/>
      <c r="J157" s="52"/>
      <c r="K157" s="52"/>
      <c r="L157" s="52"/>
      <c r="M157" s="52"/>
      <c r="N157" s="52"/>
      <c r="O157" s="52"/>
      <c r="P157" s="52"/>
      <c r="Q157" s="52"/>
      <c r="R157" s="52"/>
      <c r="S157" s="52"/>
      <c r="T157" s="52"/>
      <c r="U157" s="52"/>
      <c r="V157" s="52"/>
      <c r="W157" s="52"/>
      <c r="X157" s="52"/>
      <c r="Y157" s="52"/>
      <c r="Z157" s="52"/>
    </row>
    <row r="158" spans="1:26" ht="15.75" customHeight="1">
      <c r="A158" s="52"/>
      <c r="B158" s="52"/>
      <c r="C158" s="52"/>
      <c r="D158" s="52"/>
      <c r="E158" s="52"/>
      <c r="F158" s="52"/>
      <c r="G158" s="52"/>
      <c r="H158" s="52"/>
      <c r="I158" s="52"/>
      <c r="J158" s="52"/>
      <c r="K158" s="52"/>
      <c r="L158" s="52"/>
      <c r="M158" s="52"/>
      <c r="N158" s="52"/>
      <c r="O158" s="52"/>
      <c r="P158" s="52"/>
      <c r="Q158" s="52"/>
      <c r="R158" s="52"/>
      <c r="S158" s="52"/>
      <c r="T158" s="52"/>
      <c r="U158" s="52"/>
      <c r="V158" s="52"/>
      <c r="W158" s="52"/>
      <c r="X158" s="52"/>
      <c r="Y158" s="52"/>
      <c r="Z158" s="52"/>
    </row>
    <row r="159" spans="1:26" ht="15.75" customHeight="1">
      <c r="A159" s="52"/>
      <c r="B159" s="52"/>
      <c r="C159" s="52"/>
      <c r="D159" s="52"/>
      <c r="E159" s="52"/>
      <c r="F159" s="52"/>
      <c r="G159" s="52"/>
      <c r="H159" s="52"/>
      <c r="I159" s="52"/>
      <c r="J159" s="52"/>
      <c r="K159" s="52"/>
      <c r="L159" s="52"/>
      <c r="M159" s="52"/>
      <c r="N159" s="52"/>
      <c r="O159" s="52"/>
      <c r="P159" s="52"/>
      <c r="Q159" s="52"/>
      <c r="R159" s="52"/>
      <c r="S159" s="52"/>
      <c r="T159" s="52"/>
      <c r="U159" s="52"/>
      <c r="V159" s="52"/>
      <c r="W159" s="52"/>
      <c r="X159" s="52"/>
      <c r="Y159" s="52"/>
      <c r="Z159" s="52"/>
    </row>
    <row r="160" spans="1:26" ht="15.75" customHeight="1">
      <c r="A160" s="52"/>
      <c r="B160" s="52"/>
      <c r="C160" s="52"/>
      <c r="D160" s="52"/>
      <c r="E160" s="52"/>
      <c r="F160" s="52"/>
      <c r="G160" s="52"/>
      <c r="H160" s="52"/>
      <c r="I160" s="52"/>
      <c r="J160" s="52"/>
      <c r="K160" s="52"/>
      <c r="L160" s="52"/>
      <c r="M160" s="52"/>
      <c r="N160" s="52"/>
      <c r="O160" s="52"/>
      <c r="P160" s="52"/>
      <c r="Q160" s="52"/>
      <c r="R160" s="52"/>
      <c r="S160" s="52"/>
      <c r="T160" s="52"/>
      <c r="U160" s="52"/>
      <c r="V160" s="52"/>
      <c r="W160" s="52"/>
      <c r="X160" s="52"/>
      <c r="Y160" s="52"/>
      <c r="Z160" s="52"/>
    </row>
    <row r="161" spans="1:26" ht="15.75" customHeight="1">
      <c r="A161" s="52"/>
      <c r="B161" s="52"/>
      <c r="C161" s="52"/>
      <c r="D161" s="52"/>
      <c r="E161" s="52"/>
      <c r="F161" s="52"/>
      <c r="G161" s="52"/>
      <c r="H161" s="52"/>
      <c r="I161" s="52"/>
      <c r="J161" s="52"/>
      <c r="K161" s="52"/>
      <c r="L161" s="52"/>
      <c r="M161" s="52"/>
      <c r="N161" s="52"/>
      <c r="O161" s="52"/>
      <c r="P161" s="52"/>
      <c r="Q161" s="52"/>
      <c r="R161" s="52"/>
      <c r="S161" s="52"/>
      <c r="T161" s="52"/>
      <c r="U161" s="52"/>
      <c r="V161" s="52"/>
      <c r="W161" s="52"/>
      <c r="X161" s="52"/>
      <c r="Y161" s="52"/>
      <c r="Z161" s="52"/>
    </row>
    <row r="162" spans="1:26" ht="15.75" customHeight="1">
      <c r="A162" s="52"/>
      <c r="B162" s="52"/>
      <c r="C162" s="52"/>
      <c r="D162" s="52"/>
      <c r="E162" s="52"/>
      <c r="F162" s="52"/>
      <c r="G162" s="52"/>
      <c r="H162" s="52"/>
      <c r="I162" s="52"/>
      <c r="J162" s="52"/>
      <c r="K162" s="52"/>
      <c r="L162" s="52"/>
      <c r="M162" s="52"/>
      <c r="N162" s="52"/>
      <c r="O162" s="52"/>
      <c r="P162" s="52"/>
      <c r="Q162" s="52"/>
      <c r="R162" s="52"/>
      <c r="S162" s="52"/>
      <c r="T162" s="52"/>
      <c r="U162" s="52"/>
      <c r="V162" s="52"/>
      <c r="W162" s="52"/>
      <c r="X162" s="52"/>
      <c r="Y162" s="52"/>
      <c r="Z162" s="52"/>
    </row>
    <row r="163" spans="1:26" ht="15.75" customHeight="1">
      <c r="A163" s="52"/>
      <c r="B163" s="52"/>
      <c r="C163" s="52"/>
      <c r="D163" s="52"/>
      <c r="E163" s="52"/>
      <c r="F163" s="52"/>
      <c r="G163" s="52"/>
      <c r="H163" s="52"/>
      <c r="I163" s="52"/>
      <c r="J163" s="52"/>
      <c r="K163" s="52"/>
      <c r="L163" s="52"/>
      <c r="M163" s="52"/>
      <c r="N163" s="52"/>
      <c r="O163" s="52"/>
      <c r="P163" s="52"/>
      <c r="Q163" s="52"/>
      <c r="R163" s="52"/>
      <c r="S163" s="52"/>
      <c r="T163" s="52"/>
      <c r="U163" s="52"/>
      <c r="V163" s="52"/>
      <c r="W163" s="52"/>
      <c r="X163" s="52"/>
      <c r="Y163" s="52"/>
      <c r="Z163" s="52"/>
    </row>
    <row r="164" spans="1:26" ht="15.75" customHeigh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row>
    <row r="165" spans="1:26" ht="15.75" customHeight="1">
      <c r="A165" s="52"/>
      <c r="B165" s="52"/>
      <c r="C165" s="52"/>
      <c r="D165" s="52"/>
      <c r="E165" s="52"/>
      <c r="F165" s="52"/>
      <c r="G165" s="52"/>
      <c r="H165" s="52"/>
      <c r="I165" s="52"/>
      <c r="J165" s="52"/>
      <c r="K165" s="52"/>
      <c r="L165" s="52"/>
      <c r="M165" s="52"/>
      <c r="N165" s="52"/>
      <c r="O165" s="52"/>
      <c r="P165" s="52"/>
      <c r="Q165" s="52"/>
      <c r="R165" s="52"/>
      <c r="S165" s="52"/>
      <c r="T165" s="52"/>
      <c r="U165" s="52"/>
      <c r="V165" s="52"/>
      <c r="W165" s="52"/>
      <c r="X165" s="52"/>
      <c r="Y165" s="52"/>
      <c r="Z165" s="52"/>
    </row>
    <row r="166" spans="1:26" ht="15.75" customHeight="1">
      <c r="A166" s="52"/>
      <c r="B166" s="52"/>
      <c r="C166" s="52"/>
      <c r="D166" s="52"/>
      <c r="E166" s="52"/>
      <c r="F166" s="52"/>
      <c r="G166" s="52"/>
      <c r="H166" s="52"/>
      <c r="I166" s="52"/>
      <c r="J166" s="52"/>
      <c r="K166" s="52"/>
      <c r="L166" s="52"/>
      <c r="M166" s="52"/>
      <c r="N166" s="52"/>
      <c r="O166" s="52"/>
      <c r="P166" s="52"/>
      <c r="Q166" s="52"/>
      <c r="R166" s="52"/>
      <c r="S166" s="52"/>
      <c r="T166" s="52"/>
      <c r="U166" s="52"/>
      <c r="V166" s="52"/>
      <c r="W166" s="52"/>
      <c r="X166" s="52"/>
      <c r="Y166" s="52"/>
      <c r="Z166" s="52"/>
    </row>
    <row r="167" spans="1:26" ht="15.75" customHeight="1">
      <c r="A167" s="52"/>
      <c r="B167" s="52"/>
      <c r="C167" s="52"/>
      <c r="D167" s="52"/>
      <c r="E167" s="52"/>
      <c r="F167" s="52"/>
      <c r="G167" s="52"/>
      <c r="H167" s="52"/>
      <c r="I167" s="52"/>
      <c r="J167" s="52"/>
      <c r="K167" s="52"/>
      <c r="L167" s="52"/>
      <c r="M167" s="52"/>
      <c r="N167" s="52"/>
      <c r="O167" s="52"/>
      <c r="P167" s="52"/>
      <c r="Q167" s="52"/>
      <c r="R167" s="52"/>
      <c r="S167" s="52"/>
      <c r="T167" s="52"/>
      <c r="U167" s="52"/>
      <c r="V167" s="52"/>
      <c r="W167" s="52"/>
      <c r="X167" s="52"/>
      <c r="Y167" s="52"/>
      <c r="Z167" s="52"/>
    </row>
    <row r="168" spans="1:26" ht="15.75" customHeight="1">
      <c r="A168" s="52"/>
      <c r="B168" s="52"/>
      <c r="C168" s="52"/>
      <c r="D168" s="52"/>
      <c r="E168" s="52"/>
      <c r="F168" s="52"/>
      <c r="G168" s="52"/>
      <c r="H168" s="52"/>
      <c r="I168" s="52"/>
      <c r="J168" s="52"/>
      <c r="K168" s="52"/>
      <c r="L168" s="52"/>
      <c r="M168" s="52"/>
      <c r="N168" s="52"/>
      <c r="O168" s="52"/>
      <c r="P168" s="52"/>
      <c r="Q168" s="52"/>
      <c r="R168" s="52"/>
      <c r="S168" s="52"/>
      <c r="T168" s="52"/>
      <c r="U168" s="52"/>
      <c r="V168" s="52"/>
      <c r="W168" s="52"/>
      <c r="X168" s="52"/>
      <c r="Y168" s="52"/>
      <c r="Z168" s="52"/>
    </row>
    <row r="169" spans="1:26" ht="15.75" customHeight="1">
      <c r="A169" s="52"/>
      <c r="B169" s="52"/>
      <c r="C169" s="52"/>
      <c r="D169" s="52"/>
      <c r="E169" s="52"/>
      <c r="F169" s="52"/>
      <c r="G169" s="52"/>
      <c r="H169" s="52"/>
      <c r="I169" s="52"/>
      <c r="J169" s="52"/>
      <c r="K169" s="52"/>
      <c r="L169" s="52"/>
      <c r="M169" s="52"/>
      <c r="N169" s="52"/>
      <c r="O169" s="52"/>
      <c r="P169" s="52"/>
      <c r="Q169" s="52"/>
      <c r="R169" s="52"/>
      <c r="S169" s="52"/>
      <c r="T169" s="52"/>
      <c r="U169" s="52"/>
      <c r="V169" s="52"/>
      <c r="W169" s="52"/>
      <c r="X169" s="52"/>
      <c r="Y169" s="52"/>
      <c r="Z169" s="52"/>
    </row>
    <row r="170" spans="1:26" ht="15.75" customHeight="1">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row>
    <row r="171" spans="1:26" ht="15.75" customHeight="1">
      <c r="A171" s="52"/>
      <c r="B171" s="52"/>
      <c r="C171" s="52"/>
      <c r="D171" s="52"/>
      <c r="E171" s="52"/>
      <c r="F171" s="52"/>
      <c r="G171" s="52"/>
      <c r="H171" s="52"/>
      <c r="I171" s="52"/>
      <c r="J171" s="52"/>
      <c r="K171" s="52"/>
      <c r="L171" s="52"/>
      <c r="M171" s="52"/>
      <c r="N171" s="52"/>
      <c r="O171" s="52"/>
      <c r="P171" s="52"/>
      <c r="Q171" s="52"/>
      <c r="R171" s="52"/>
      <c r="S171" s="52"/>
      <c r="T171" s="52"/>
      <c r="U171" s="52"/>
      <c r="V171" s="52"/>
      <c r="W171" s="52"/>
      <c r="X171" s="52"/>
      <c r="Y171" s="52"/>
      <c r="Z171" s="52"/>
    </row>
    <row r="172" spans="1:26" ht="15.75" customHeight="1">
      <c r="A172" s="52"/>
      <c r="B172" s="52"/>
      <c r="C172" s="52"/>
      <c r="D172" s="52"/>
      <c r="E172" s="52"/>
      <c r="F172" s="52"/>
      <c r="G172" s="52"/>
      <c r="H172" s="52"/>
      <c r="I172" s="52"/>
      <c r="J172" s="52"/>
      <c r="K172" s="52"/>
      <c r="L172" s="52"/>
      <c r="M172" s="52"/>
      <c r="N172" s="52"/>
      <c r="O172" s="52"/>
      <c r="P172" s="52"/>
      <c r="Q172" s="52"/>
      <c r="R172" s="52"/>
      <c r="S172" s="52"/>
      <c r="T172" s="52"/>
      <c r="U172" s="52"/>
      <c r="V172" s="52"/>
      <c r="W172" s="52"/>
      <c r="X172" s="52"/>
      <c r="Y172" s="52"/>
      <c r="Z172" s="52"/>
    </row>
    <row r="173" spans="1:26" ht="15.75" customHeight="1">
      <c r="A173" s="52"/>
      <c r="B173" s="52"/>
      <c r="C173" s="52"/>
      <c r="D173" s="52"/>
      <c r="E173" s="52"/>
      <c r="F173" s="52"/>
      <c r="G173" s="52"/>
      <c r="H173" s="52"/>
      <c r="I173" s="52"/>
      <c r="J173" s="52"/>
      <c r="K173" s="52"/>
      <c r="L173" s="52"/>
      <c r="M173" s="52"/>
      <c r="N173" s="52"/>
      <c r="O173" s="52"/>
      <c r="P173" s="52"/>
      <c r="Q173" s="52"/>
      <c r="R173" s="52"/>
      <c r="S173" s="52"/>
      <c r="T173" s="52"/>
      <c r="U173" s="52"/>
      <c r="V173" s="52"/>
      <c r="W173" s="52"/>
      <c r="X173" s="52"/>
      <c r="Y173" s="52"/>
      <c r="Z173" s="52"/>
    </row>
    <row r="174" spans="1:26" ht="15.75" customHeight="1">
      <c r="A174" s="52"/>
      <c r="B174" s="52"/>
      <c r="C174" s="52"/>
      <c r="D174" s="52"/>
      <c r="E174" s="52"/>
      <c r="F174" s="52"/>
      <c r="G174" s="52"/>
      <c r="H174" s="52"/>
      <c r="I174" s="52"/>
      <c r="J174" s="52"/>
      <c r="K174" s="52"/>
      <c r="L174" s="52"/>
      <c r="M174" s="52"/>
      <c r="N174" s="52"/>
      <c r="O174" s="52"/>
      <c r="P174" s="52"/>
      <c r="Q174" s="52"/>
      <c r="R174" s="52"/>
      <c r="S174" s="52"/>
      <c r="T174" s="52"/>
      <c r="U174" s="52"/>
      <c r="V174" s="52"/>
      <c r="W174" s="52"/>
      <c r="X174" s="52"/>
      <c r="Y174" s="52"/>
      <c r="Z174" s="52"/>
    </row>
    <row r="175" spans="1:26" ht="15.75" customHeight="1">
      <c r="A175" s="52"/>
      <c r="B175" s="52"/>
      <c r="C175" s="52"/>
      <c r="D175" s="52"/>
      <c r="E175" s="52"/>
      <c r="F175" s="52"/>
      <c r="G175" s="52"/>
      <c r="H175" s="52"/>
      <c r="I175" s="52"/>
      <c r="J175" s="52"/>
      <c r="K175" s="52"/>
      <c r="L175" s="52"/>
      <c r="M175" s="52"/>
      <c r="N175" s="52"/>
      <c r="O175" s="52"/>
      <c r="P175" s="52"/>
      <c r="Q175" s="52"/>
      <c r="R175" s="52"/>
      <c r="S175" s="52"/>
      <c r="T175" s="52"/>
      <c r="U175" s="52"/>
      <c r="V175" s="52"/>
      <c r="W175" s="52"/>
      <c r="X175" s="52"/>
      <c r="Y175" s="52"/>
      <c r="Z175" s="52"/>
    </row>
    <row r="176" spans="1:26" ht="15.75" customHeight="1">
      <c r="A176" s="52"/>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row>
    <row r="177" spans="1:26" ht="15.75" customHeight="1">
      <c r="A177" s="52"/>
      <c r="B177" s="52"/>
      <c r="C177" s="52"/>
      <c r="D177" s="52"/>
      <c r="E177" s="52"/>
      <c r="F177" s="52"/>
      <c r="G177" s="52"/>
      <c r="H177" s="52"/>
      <c r="I177" s="52"/>
      <c r="J177" s="52"/>
      <c r="K177" s="52"/>
      <c r="L177" s="52"/>
      <c r="M177" s="52"/>
      <c r="N177" s="52"/>
      <c r="O177" s="52"/>
      <c r="P177" s="52"/>
      <c r="Q177" s="52"/>
      <c r="R177" s="52"/>
      <c r="S177" s="52"/>
      <c r="T177" s="52"/>
      <c r="U177" s="52"/>
      <c r="V177" s="52"/>
      <c r="W177" s="52"/>
      <c r="X177" s="52"/>
      <c r="Y177" s="52"/>
      <c r="Z177" s="52"/>
    </row>
    <row r="178" spans="1:26" ht="15.75" customHeight="1">
      <c r="A178" s="52"/>
      <c r="B178" s="52"/>
      <c r="C178" s="52"/>
      <c r="D178" s="52"/>
      <c r="E178" s="52"/>
      <c r="F178" s="52"/>
      <c r="G178" s="52"/>
      <c r="H178" s="52"/>
      <c r="I178" s="52"/>
      <c r="J178" s="52"/>
      <c r="K178" s="52"/>
      <c r="L178" s="52"/>
      <c r="M178" s="52"/>
      <c r="N178" s="52"/>
      <c r="O178" s="52"/>
      <c r="P178" s="52"/>
      <c r="Q178" s="52"/>
      <c r="R178" s="52"/>
      <c r="S178" s="52"/>
      <c r="T178" s="52"/>
      <c r="U178" s="52"/>
      <c r="V178" s="52"/>
      <c r="W178" s="52"/>
      <c r="X178" s="52"/>
      <c r="Y178" s="52"/>
      <c r="Z178" s="52"/>
    </row>
    <row r="179" spans="1:26" ht="15.75" customHeight="1">
      <c r="A179" s="52"/>
      <c r="B179" s="52"/>
      <c r="C179" s="52"/>
      <c r="D179" s="52"/>
      <c r="E179" s="52"/>
      <c r="F179" s="52"/>
      <c r="G179" s="52"/>
      <c r="H179" s="52"/>
      <c r="I179" s="52"/>
      <c r="J179" s="52"/>
      <c r="K179" s="52"/>
      <c r="L179" s="52"/>
      <c r="M179" s="52"/>
      <c r="N179" s="52"/>
      <c r="O179" s="52"/>
      <c r="P179" s="52"/>
      <c r="Q179" s="52"/>
      <c r="R179" s="52"/>
      <c r="S179" s="52"/>
      <c r="T179" s="52"/>
      <c r="U179" s="52"/>
      <c r="V179" s="52"/>
      <c r="W179" s="52"/>
      <c r="X179" s="52"/>
      <c r="Y179" s="52"/>
      <c r="Z179" s="52"/>
    </row>
    <row r="180" spans="1:26" ht="15.75" customHeight="1">
      <c r="A180" s="52"/>
      <c r="B180" s="52"/>
      <c r="C180" s="52"/>
      <c r="D180" s="52"/>
      <c r="E180" s="52"/>
      <c r="F180" s="52"/>
      <c r="G180" s="52"/>
      <c r="H180" s="52"/>
      <c r="I180" s="52"/>
      <c r="J180" s="52"/>
      <c r="K180" s="52"/>
      <c r="L180" s="52"/>
      <c r="M180" s="52"/>
      <c r="N180" s="52"/>
      <c r="O180" s="52"/>
      <c r="P180" s="52"/>
      <c r="Q180" s="52"/>
      <c r="R180" s="52"/>
      <c r="S180" s="52"/>
      <c r="T180" s="52"/>
      <c r="U180" s="52"/>
      <c r="V180" s="52"/>
      <c r="W180" s="52"/>
      <c r="X180" s="52"/>
      <c r="Y180" s="52"/>
      <c r="Z180" s="52"/>
    </row>
    <row r="181" spans="1:26" ht="15.75" customHeight="1">
      <c r="A181" s="52"/>
      <c r="B181" s="52"/>
      <c r="C181" s="52"/>
      <c r="D181" s="52"/>
      <c r="E181" s="52"/>
      <c r="F181" s="52"/>
      <c r="G181" s="52"/>
      <c r="H181" s="52"/>
      <c r="I181" s="52"/>
      <c r="J181" s="52"/>
      <c r="K181" s="52"/>
      <c r="L181" s="52"/>
      <c r="M181" s="52"/>
      <c r="N181" s="52"/>
      <c r="O181" s="52"/>
      <c r="P181" s="52"/>
      <c r="Q181" s="52"/>
      <c r="R181" s="52"/>
      <c r="S181" s="52"/>
      <c r="T181" s="52"/>
      <c r="U181" s="52"/>
      <c r="V181" s="52"/>
      <c r="W181" s="52"/>
      <c r="X181" s="52"/>
      <c r="Y181" s="52"/>
      <c r="Z181" s="52"/>
    </row>
    <row r="182" spans="1:26" ht="15.75" customHeight="1">
      <c r="A182" s="52"/>
      <c r="B182" s="52"/>
      <c r="C182" s="52"/>
      <c r="D182" s="52"/>
      <c r="E182" s="52"/>
      <c r="F182" s="52"/>
      <c r="G182" s="52"/>
      <c r="H182" s="52"/>
      <c r="I182" s="52"/>
      <c r="J182" s="52"/>
      <c r="K182" s="52"/>
      <c r="L182" s="52"/>
      <c r="M182" s="52"/>
      <c r="N182" s="52"/>
      <c r="O182" s="52"/>
      <c r="P182" s="52"/>
      <c r="Q182" s="52"/>
      <c r="R182" s="52"/>
      <c r="S182" s="52"/>
      <c r="T182" s="52"/>
      <c r="U182" s="52"/>
      <c r="V182" s="52"/>
      <c r="W182" s="52"/>
      <c r="X182" s="52"/>
      <c r="Y182" s="52"/>
      <c r="Z182" s="52"/>
    </row>
    <row r="183" spans="1:26" ht="15.75" customHeight="1">
      <c r="A183" s="52"/>
      <c r="B183" s="52"/>
      <c r="C183" s="52"/>
      <c r="D183" s="52"/>
      <c r="E183" s="52"/>
      <c r="F183" s="52"/>
      <c r="G183" s="52"/>
      <c r="H183" s="52"/>
      <c r="I183" s="52"/>
      <c r="J183" s="52"/>
      <c r="K183" s="52"/>
      <c r="L183" s="52"/>
      <c r="M183" s="52"/>
      <c r="N183" s="52"/>
      <c r="O183" s="52"/>
      <c r="P183" s="52"/>
      <c r="Q183" s="52"/>
      <c r="R183" s="52"/>
      <c r="S183" s="52"/>
      <c r="T183" s="52"/>
      <c r="U183" s="52"/>
      <c r="V183" s="52"/>
      <c r="W183" s="52"/>
      <c r="X183" s="52"/>
      <c r="Y183" s="52"/>
      <c r="Z183" s="52"/>
    </row>
    <row r="184" spans="1:26" ht="15.75" customHeight="1">
      <c r="A184" s="52"/>
      <c r="B184" s="52"/>
      <c r="C184" s="52"/>
      <c r="D184" s="52"/>
      <c r="E184" s="52"/>
      <c r="F184" s="52"/>
      <c r="G184" s="52"/>
      <c r="H184" s="52"/>
      <c r="I184" s="52"/>
      <c r="J184" s="52"/>
      <c r="K184" s="52"/>
      <c r="L184" s="52"/>
      <c r="M184" s="52"/>
      <c r="N184" s="52"/>
      <c r="O184" s="52"/>
      <c r="P184" s="52"/>
      <c r="Q184" s="52"/>
      <c r="R184" s="52"/>
      <c r="S184" s="52"/>
      <c r="T184" s="52"/>
      <c r="U184" s="52"/>
      <c r="V184" s="52"/>
      <c r="W184" s="52"/>
      <c r="X184" s="52"/>
      <c r="Y184" s="52"/>
      <c r="Z184" s="52"/>
    </row>
    <row r="185" spans="1:26" ht="15.75" customHeight="1">
      <c r="A185" s="52"/>
      <c r="B185" s="52"/>
      <c r="C185" s="52"/>
      <c r="D185" s="52"/>
      <c r="E185" s="52"/>
      <c r="F185" s="52"/>
      <c r="G185" s="52"/>
      <c r="H185" s="52"/>
      <c r="I185" s="52"/>
      <c r="J185" s="52"/>
      <c r="K185" s="52"/>
      <c r="L185" s="52"/>
      <c r="M185" s="52"/>
      <c r="N185" s="52"/>
      <c r="O185" s="52"/>
      <c r="P185" s="52"/>
      <c r="Q185" s="52"/>
      <c r="R185" s="52"/>
      <c r="S185" s="52"/>
      <c r="T185" s="52"/>
      <c r="U185" s="52"/>
      <c r="V185" s="52"/>
      <c r="W185" s="52"/>
      <c r="X185" s="52"/>
      <c r="Y185" s="52"/>
      <c r="Z185" s="52"/>
    </row>
    <row r="186" spans="1:26" ht="15.75" customHeight="1">
      <c r="A186" s="52"/>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row>
    <row r="187" spans="1:26" ht="15.75" customHeight="1">
      <c r="A187" s="52"/>
      <c r="B187" s="52"/>
      <c r="C187" s="52"/>
      <c r="D187" s="52"/>
      <c r="E187" s="52"/>
      <c r="F187" s="52"/>
      <c r="G187" s="52"/>
      <c r="H187" s="52"/>
      <c r="I187" s="52"/>
      <c r="J187" s="52"/>
      <c r="K187" s="52"/>
      <c r="L187" s="52"/>
      <c r="M187" s="52"/>
      <c r="N187" s="52"/>
      <c r="O187" s="52"/>
      <c r="P187" s="52"/>
      <c r="Q187" s="52"/>
      <c r="R187" s="52"/>
      <c r="S187" s="52"/>
      <c r="T187" s="52"/>
      <c r="U187" s="52"/>
      <c r="V187" s="52"/>
      <c r="W187" s="52"/>
      <c r="X187" s="52"/>
      <c r="Y187" s="52"/>
      <c r="Z187" s="52"/>
    </row>
    <row r="188" spans="1:26" ht="15.75" customHeight="1">
      <c r="A188" s="52"/>
      <c r="B188" s="52"/>
      <c r="C188" s="52"/>
      <c r="D188" s="52"/>
      <c r="E188" s="52"/>
      <c r="F188" s="52"/>
      <c r="G188" s="52"/>
      <c r="H188" s="52"/>
      <c r="I188" s="52"/>
      <c r="J188" s="52"/>
      <c r="K188" s="52"/>
      <c r="L188" s="52"/>
      <c r="M188" s="52"/>
      <c r="N188" s="52"/>
      <c r="O188" s="52"/>
      <c r="P188" s="52"/>
      <c r="Q188" s="52"/>
      <c r="R188" s="52"/>
      <c r="S188" s="52"/>
      <c r="T188" s="52"/>
      <c r="U188" s="52"/>
      <c r="V188" s="52"/>
      <c r="W188" s="52"/>
      <c r="X188" s="52"/>
      <c r="Y188" s="52"/>
      <c r="Z188" s="52"/>
    </row>
    <row r="189" spans="1:26" ht="15.75" customHeight="1">
      <c r="A189" s="52"/>
      <c r="B189" s="52"/>
      <c r="C189" s="52"/>
      <c r="D189" s="52"/>
      <c r="E189" s="52"/>
      <c r="F189" s="52"/>
      <c r="G189" s="52"/>
      <c r="H189" s="52"/>
      <c r="I189" s="52"/>
      <c r="J189" s="52"/>
      <c r="K189" s="52"/>
      <c r="L189" s="52"/>
      <c r="M189" s="52"/>
      <c r="N189" s="52"/>
      <c r="O189" s="52"/>
      <c r="P189" s="52"/>
      <c r="Q189" s="52"/>
      <c r="R189" s="52"/>
      <c r="S189" s="52"/>
      <c r="T189" s="52"/>
      <c r="U189" s="52"/>
      <c r="V189" s="52"/>
      <c r="W189" s="52"/>
      <c r="X189" s="52"/>
      <c r="Y189" s="52"/>
      <c r="Z189" s="52"/>
    </row>
    <row r="190" spans="1:26" ht="15.75" customHeight="1">
      <c r="A190" s="52"/>
      <c r="B190" s="52"/>
      <c r="C190" s="52"/>
      <c r="D190" s="52"/>
      <c r="E190" s="52"/>
      <c r="F190" s="52"/>
      <c r="G190" s="52"/>
      <c r="H190" s="52"/>
      <c r="I190" s="52"/>
      <c r="J190" s="52"/>
      <c r="K190" s="52"/>
      <c r="L190" s="52"/>
      <c r="M190" s="52"/>
      <c r="N190" s="52"/>
      <c r="O190" s="52"/>
      <c r="P190" s="52"/>
      <c r="Q190" s="52"/>
      <c r="R190" s="52"/>
      <c r="S190" s="52"/>
      <c r="T190" s="52"/>
      <c r="U190" s="52"/>
      <c r="V190" s="52"/>
      <c r="W190" s="52"/>
      <c r="X190" s="52"/>
      <c r="Y190" s="52"/>
      <c r="Z190" s="52"/>
    </row>
    <row r="191" spans="1:26" ht="15.75" customHeight="1">
      <c r="A191" s="52"/>
      <c r="B191" s="52"/>
      <c r="C191" s="52"/>
      <c r="D191" s="52"/>
      <c r="E191" s="52"/>
      <c r="F191" s="52"/>
      <c r="G191" s="52"/>
      <c r="H191" s="52"/>
      <c r="I191" s="52"/>
      <c r="J191" s="52"/>
      <c r="K191" s="52"/>
      <c r="L191" s="52"/>
      <c r="M191" s="52"/>
      <c r="N191" s="52"/>
      <c r="O191" s="52"/>
      <c r="P191" s="52"/>
      <c r="Q191" s="52"/>
      <c r="R191" s="52"/>
      <c r="S191" s="52"/>
      <c r="T191" s="52"/>
      <c r="U191" s="52"/>
      <c r="V191" s="52"/>
      <c r="W191" s="52"/>
      <c r="X191" s="52"/>
      <c r="Y191" s="52"/>
      <c r="Z191" s="52"/>
    </row>
    <row r="192" spans="1:26" ht="15.75" customHeight="1">
      <c r="A192" s="52"/>
      <c r="B192" s="52"/>
      <c r="C192" s="52"/>
      <c r="D192" s="52"/>
      <c r="E192" s="52"/>
      <c r="F192" s="52"/>
      <c r="G192" s="52"/>
      <c r="H192" s="52"/>
      <c r="I192" s="52"/>
      <c r="J192" s="52"/>
      <c r="K192" s="52"/>
      <c r="L192" s="52"/>
      <c r="M192" s="52"/>
      <c r="N192" s="52"/>
      <c r="O192" s="52"/>
      <c r="P192" s="52"/>
      <c r="Q192" s="52"/>
      <c r="R192" s="52"/>
      <c r="S192" s="52"/>
      <c r="T192" s="52"/>
      <c r="U192" s="52"/>
      <c r="V192" s="52"/>
      <c r="W192" s="52"/>
      <c r="X192" s="52"/>
      <c r="Y192" s="52"/>
      <c r="Z192" s="52"/>
    </row>
    <row r="193" spans="1:26" ht="15.75" customHeight="1">
      <c r="A193" s="52"/>
      <c r="B193" s="52"/>
      <c r="C193" s="52"/>
      <c r="D193" s="52"/>
      <c r="E193" s="52"/>
      <c r="F193" s="52"/>
      <c r="G193" s="52"/>
      <c r="H193" s="52"/>
      <c r="I193" s="52"/>
      <c r="J193" s="52"/>
      <c r="K193" s="52"/>
      <c r="L193" s="52"/>
      <c r="M193" s="52"/>
      <c r="N193" s="52"/>
      <c r="O193" s="52"/>
      <c r="P193" s="52"/>
      <c r="Q193" s="52"/>
      <c r="R193" s="52"/>
      <c r="S193" s="52"/>
      <c r="T193" s="52"/>
      <c r="U193" s="52"/>
      <c r="V193" s="52"/>
      <c r="W193" s="52"/>
      <c r="X193" s="52"/>
      <c r="Y193" s="52"/>
      <c r="Z193" s="52"/>
    </row>
    <row r="194" spans="1:26" ht="15.75" customHeight="1">
      <c r="A194" s="52"/>
      <c r="B194" s="52"/>
      <c r="C194" s="52"/>
      <c r="D194" s="52"/>
      <c r="E194" s="52"/>
      <c r="F194" s="52"/>
      <c r="G194" s="52"/>
      <c r="H194" s="52"/>
      <c r="I194" s="52"/>
      <c r="J194" s="52"/>
      <c r="K194" s="52"/>
      <c r="L194" s="52"/>
      <c r="M194" s="52"/>
      <c r="N194" s="52"/>
      <c r="O194" s="52"/>
      <c r="P194" s="52"/>
      <c r="Q194" s="52"/>
      <c r="R194" s="52"/>
      <c r="S194" s="52"/>
      <c r="T194" s="52"/>
      <c r="U194" s="52"/>
      <c r="V194" s="52"/>
      <c r="W194" s="52"/>
      <c r="X194" s="52"/>
      <c r="Y194" s="52"/>
      <c r="Z194" s="52"/>
    </row>
    <row r="195" spans="1:26" ht="15.75" customHeight="1">
      <c r="A195" s="52"/>
      <c r="B195" s="52"/>
      <c r="C195" s="52"/>
      <c r="D195" s="52"/>
      <c r="E195" s="52"/>
      <c r="F195" s="52"/>
      <c r="G195" s="52"/>
      <c r="H195" s="52"/>
      <c r="I195" s="52"/>
      <c r="J195" s="52"/>
      <c r="K195" s="52"/>
      <c r="L195" s="52"/>
      <c r="M195" s="52"/>
      <c r="N195" s="52"/>
      <c r="O195" s="52"/>
      <c r="P195" s="52"/>
      <c r="Q195" s="52"/>
      <c r="R195" s="52"/>
      <c r="S195" s="52"/>
      <c r="T195" s="52"/>
      <c r="U195" s="52"/>
      <c r="V195" s="52"/>
      <c r="W195" s="52"/>
      <c r="X195" s="52"/>
      <c r="Y195" s="52"/>
      <c r="Z195" s="52"/>
    </row>
    <row r="196" spans="1:26" ht="15.75" customHeight="1">
      <c r="A196" s="52"/>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row>
    <row r="197" spans="1:26" ht="15.75" customHeight="1">
      <c r="A197" s="52"/>
      <c r="B197" s="52"/>
      <c r="C197" s="52"/>
      <c r="D197" s="52"/>
      <c r="E197" s="52"/>
      <c r="F197" s="52"/>
      <c r="G197" s="52"/>
      <c r="H197" s="52"/>
      <c r="I197" s="52"/>
      <c r="J197" s="52"/>
      <c r="K197" s="52"/>
      <c r="L197" s="52"/>
      <c r="M197" s="52"/>
      <c r="N197" s="52"/>
      <c r="O197" s="52"/>
      <c r="P197" s="52"/>
      <c r="Q197" s="52"/>
      <c r="R197" s="52"/>
      <c r="S197" s="52"/>
      <c r="T197" s="52"/>
      <c r="U197" s="52"/>
      <c r="V197" s="52"/>
      <c r="W197" s="52"/>
      <c r="X197" s="52"/>
      <c r="Y197" s="52"/>
      <c r="Z197" s="52"/>
    </row>
    <row r="198" spans="1:26" ht="15.75" customHeight="1">
      <c r="A198" s="52"/>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26" ht="15.75" customHeight="1">
      <c r="A199" s="52"/>
      <c r="B199" s="52"/>
      <c r="C199" s="52"/>
      <c r="D199" s="52"/>
      <c r="E199" s="52"/>
      <c r="F199" s="52"/>
      <c r="G199" s="52"/>
      <c r="H199" s="52"/>
      <c r="I199" s="52"/>
      <c r="J199" s="52"/>
      <c r="K199" s="52"/>
      <c r="L199" s="52"/>
      <c r="M199" s="52"/>
      <c r="N199" s="52"/>
      <c r="O199" s="52"/>
      <c r="P199" s="52"/>
      <c r="Q199" s="52"/>
      <c r="R199" s="52"/>
      <c r="S199" s="52"/>
      <c r="T199" s="52"/>
      <c r="U199" s="52"/>
      <c r="V199" s="52"/>
      <c r="W199" s="52"/>
      <c r="X199" s="52"/>
      <c r="Y199" s="52"/>
      <c r="Z199" s="52"/>
    </row>
    <row r="200" spans="1:26" ht="15.75" customHeight="1">
      <c r="A200" s="52"/>
      <c r="B200" s="52"/>
      <c r="C200" s="52"/>
      <c r="D200" s="52"/>
      <c r="E200" s="52"/>
      <c r="F200" s="52"/>
      <c r="G200" s="52"/>
      <c r="H200" s="52"/>
      <c r="I200" s="52"/>
      <c r="J200" s="52"/>
      <c r="K200" s="52"/>
      <c r="L200" s="52"/>
      <c r="M200" s="52"/>
      <c r="N200" s="52"/>
      <c r="O200" s="52"/>
      <c r="P200" s="52"/>
      <c r="Q200" s="52"/>
      <c r="R200" s="52"/>
      <c r="S200" s="52"/>
      <c r="T200" s="52"/>
      <c r="U200" s="52"/>
      <c r="V200" s="52"/>
      <c r="W200" s="52"/>
      <c r="X200" s="52"/>
      <c r="Y200" s="52"/>
      <c r="Z200" s="52"/>
    </row>
    <row r="201" spans="1:26" ht="15.75" customHeight="1">
      <c r="A201" s="52"/>
      <c r="B201" s="52"/>
      <c r="C201" s="52"/>
      <c r="D201" s="52"/>
      <c r="E201" s="52"/>
      <c r="F201" s="52"/>
      <c r="G201" s="52"/>
      <c r="H201" s="52"/>
      <c r="I201" s="52"/>
      <c r="J201" s="52"/>
      <c r="K201" s="52"/>
      <c r="L201" s="52"/>
      <c r="M201" s="52"/>
      <c r="N201" s="52"/>
      <c r="O201" s="52"/>
      <c r="P201" s="52"/>
      <c r="Q201" s="52"/>
      <c r="R201" s="52"/>
      <c r="S201" s="52"/>
      <c r="T201" s="52"/>
      <c r="U201" s="52"/>
      <c r="V201" s="52"/>
      <c r="W201" s="52"/>
      <c r="X201" s="52"/>
      <c r="Y201" s="52"/>
      <c r="Z201" s="52"/>
    </row>
    <row r="202" spans="1:26" ht="15.75" customHeight="1">
      <c r="A202" s="52"/>
      <c r="B202" s="52"/>
      <c r="C202" s="52"/>
      <c r="D202" s="52"/>
      <c r="E202" s="52"/>
      <c r="F202" s="52"/>
      <c r="G202" s="52"/>
      <c r="H202" s="52"/>
      <c r="I202" s="52"/>
      <c r="J202" s="52"/>
      <c r="K202" s="52"/>
      <c r="L202" s="52"/>
      <c r="M202" s="52"/>
      <c r="N202" s="52"/>
      <c r="O202" s="52"/>
      <c r="P202" s="52"/>
      <c r="Q202" s="52"/>
      <c r="R202" s="52"/>
      <c r="S202" s="52"/>
      <c r="T202" s="52"/>
      <c r="U202" s="52"/>
      <c r="V202" s="52"/>
      <c r="W202" s="52"/>
      <c r="X202" s="52"/>
      <c r="Y202" s="52"/>
      <c r="Z202" s="52"/>
    </row>
    <row r="203" spans="1:26" ht="15.75" customHeight="1">
      <c r="A203" s="52"/>
      <c r="B203" s="52"/>
      <c r="C203" s="52"/>
      <c r="D203" s="52"/>
      <c r="E203" s="52"/>
      <c r="F203" s="52"/>
      <c r="G203" s="52"/>
      <c r="H203" s="52"/>
      <c r="I203" s="52"/>
      <c r="J203" s="52"/>
      <c r="K203" s="52"/>
      <c r="L203" s="52"/>
      <c r="M203" s="52"/>
      <c r="N203" s="52"/>
      <c r="O203" s="52"/>
      <c r="P203" s="52"/>
      <c r="Q203" s="52"/>
      <c r="R203" s="52"/>
      <c r="S203" s="52"/>
      <c r="T203" s="52"/>
      <c r="U203" s="52"/>
      <c r="V203" s="52"/>
      <c r="W203" s="52"/>
      <c r="X203" s="52"/>
      <c r="Y203" s="52"/>
      <c r="Z203" s="52"/>
    </row>
    <row r="204" spans="1:26" ht="15.75" customHeight="1">
      <c r="A204" s="52"/>
      <c r="B204" s="52"/>
      <c r="C204" s="52"/>
      <c r="D204" s="52"/>
      <c r="E204" s="52"/>
      <c r="F204" s="52"/>
      <c r="G204" s="52"/>
      <c r="H204" s="52"/>
      <c r="I204" s="52"/>
      <c r="J204" s="52"/>
      <c r="K204" s="52"/>
      <c r="L204" s="52"/>
      <c r="M204" s="52"/>
      <c r="N204" s="52"/>
      <c r="O204" s="52"/>
      <c r="P204" s="52"/>
      <c r="Q204" s="52"/>
      <c r="R204" s="52"/>
      <c r="S204" s="52"/>
      <c r="T204" s="52"/>
      <c r="U204" s="52"/>
      <c r="V204" s="52"/>
      <c r="W204" s="52"/>
      <c r="X204" s="52"/>
      <c r="Y204" s="52"/>
      <c r="Z204" s="52"/>
    </row>
    <row r="205" spans="1:26" ht="15.75" customHeight="1">
      <c r="A205" s="52"/>
      <c r="B205" s="52"/>
      <c r="C205" s="52"/>
      <c r="D205" s="52"/>
      <c r="E205" s="52"/>
      <c r="F205" s="52"/>
      <c r="G205" s="52"/>
      <c r="H205" s="52"/>
      <c r="I205" s="52"/>
      <c r="J205" s="52"/>
      <c r="K205" s="52"/>
      <c r="L205" s="52"/>
      <c r="M205" s="52"/>
      <c r="N205" s="52"/>
      <c r="O205" s="52"/>
      <c r="P205" s="52"/>
      <c r="Q205" s="52"/>
      <c r="R205" s="52"/>
      <c r="S205" s="52"/>
      <c r="T205" s="52"/>
      <c r="U205" s="52"/>
      <c r="V205" s="52"/>
      <c r="W205" s="52"/>
      <c r="X205" s="52"/>
      <c r="Y205" s="52"/>
      <c r="Z205" s="52"/>
    </row>
    <row r="206" spans="1:26" ht="15.75" customHeight="1">
      <c r="A206" s="52"/>
      <c r="B206" s="52"/>
      <c r="C206" s="52"/>
      <c r="D206" s="52"/>
      <c r="E206" s="52"/>
      <c r="F206" s="52"/>
      <c r="G206" s="52"/>
      <c r="H206" s="52"/>
      <c r="I206" s="52"/>
      <c r="J206" s="52"/>
      <c r="K206" s="52"/>
      <c r="L206" s="52"/>
      <c r="M206" s="52"/>
      <c r="N206" s="52"/>
      <c r="O206" s="52"/>
      <c r="P206" s="52"/>
      <c r="Q206" s="52"/>
      <c r="R206" s="52"/>
      <c r="S206" s="52"/>
      <c r="T206" s="52"/>
      <c r="U206" s="52"/>
      <c r="V206" s="52"/>
      <c r="W206" s="52"/>
      <c r="X206" s="52"/>
      <c r="Y206" s="52"/>
      <c r="Z206" s="52"/>
    </row>
    <row r="207" spans="1:26" ht="15.75" customHeight="1">
      <c r="A207" s="52"/>
      <c r="B207" s="52"/>
      <c r="C207" s="52"/>
      <c r="D207" s="52"/>
      <c r="E207" s="52"/>
      <c r="F207" s="52"/>
      <c r="G207" s="52"/>
      <c r="H207" s="52"/>
      <c r="I207" s="52"/>
      <c r="J207" s="52"/>
      <c r="K207" s="52"/>
      <c r="L207" s="52"/>
      <c r="M207" s="52"/>
      <c r="N207" s="52"/>
      <c r="O207" s="52"/>
      <c r="P207" s="52"/>
      <c r="Q207" s="52"/>
      <c r="R207" s="52"/>
      <c r="S207" s="52"/>
      <c r="T207" s="52"/>
      <c r="U207" s="52"/>
      <c r="V207" s="52"/>
      <c r="W207" s="52"/>
      <c r="X207" s="52"/>
      <c r="Y207" s="52"/>
      <c r="Z207" s="52"/>
    </row>
    <row r="208" spans="1:26" ht="15.75" customHeight="1">
      <c r="A208" s="52"/>
      <c r="B208" s="52"/>
      <c r="C208" s="52"/>
      <c r="D208" s="52"/>
      <c r="E208" s="52"/>
      <c r="F208" s="52"/>
      <c r="G208" s="52"/>
      <c r="H208" s="52"/>
      <c r="I208" s="52"/>
      <c r="J208" s="52"/>
      <c r="K208" s="52"/>
      <c r="L208" s="52"/>
      <c r="M208" s="52"/>
      <c r="N208" s="52"/>
      <c r="O208" s="52"/>
      <c r="P208" s="52"/>
      <c r="Q208" s="52"/>
      <c r="R208" s="52"/>
      <c r="S208" s="52"/>
      <c r="T208" s="52"/>
      <c r="U208" s="52"/>
      <c r="V208" s="52"/>
      <c r="W208" s="52"/>
      <c r="X208" s="52"/>
      <c r="Y208" s="52"/>
      <c r="Z208" s="52"/>
    </row>
    <row r="209" spans="1:26" ht="15.75" customHeight="1">
      <c r="A209" s="52"/>
      <c r="B209" s="52"/>
      <c r="C209" s="52"/>
      <c r="D209" s="52"/>
      <c r="E209" s="52"/>
      <c r="F209" s="52"/>
      <c r="G209" s="52"/>
      <c r="H209" s="52"/>
      <c r="I209" s="52"/>
      <c r="J209" s="52"/>
      <c r="K209" s="52"/>
      <c r="L209" s="52"/>
      <c r="M209" s="52"/>
      <c r="N209" s="52"/>
      <c r="O209" s="52"/>
      <c r="P209" s="52"/>
      <c r="Q209" s="52"/>
      <c r="R209" s="52"/>
      <c r="S209" s="52"/>
      <c r="T209" s="52"/>
      <c r="U209" s="52"/>
      <c r="V209" s="52"/>
      <c r="W209" s="52"/>
      <c r="X209" s="52"/>
      <c r="Y209" s="52"/>
      <c r="Z209" s="52"/>
    </row>
    <row r="210" spans="1:26" ht="15.75" customHeight="1">
      <c r="A210" s="52"/>
      <c r="B210" s="52"/>
      <c r="C210" s="52"/>
      <c r="D210" s="52"/>
      <c r="E210" s="52"/>
      <c r="F210" s="52"/>
      <c r="G210" s="52"/>
      <c r="H210" s="52"/>
      <c r="I210" s="52"/>
      <c r="J210" s="52"/>
      <c r="K210" s="52"/>
      <c r="L210" s="52"/>
      <c r="M210" s="52"/>
      <c r="N210" s="52"/>
      <c r="O210" s="52"/>
      <c r="P210" s="52"/>
      <c r="Q210" s="52"/>
      <c r="R210" s="52"/>
      <c r="S210" s="52"/>
      <c r="T210" s="52"/>
      <c r="U210" s="52"/>
      <c r="V210" s="52"/>
      <c r="W210" s="52"/>
      <c r="X210" s="52"/>
      <c r="Y210" s="52"/>
      <c r="Z210" s="52"/>
    </row>
    <row r="211" spans="1:26" ht="15.75" customHeight="1">
      <c r="A211" s="52"/>
      <c r="B211" s="52"/>
      <c r="C211" s="52"/>
      <c r="D211" s="52"/>
      <c r="E211" s="52"/>
      <c r="F211" s="52"/>
      <c r="G211" s="52"/>
      <c r="H211" s="52"/>
      <c r="I211" s="52"/>
      <c r="J211" s="52"/>
      <c r="K211" s="52"/>
      <c r="L211" s="52"/>
      <c r="M211" s="52"/>
      <c r="N211" s="52"/>
      <c r="O211" s="52"/>
      <c r="P211" s="52"/>
      <c r="Q211" s="52"/>
      <c r="R211" s="52"/>
      <c r="S211" s="52"/>
      <c r="T211" s="52"/>
      <c r="U211" s="52"/>
      <c r="V211" s="52"/>
      <c r="W211" s="52"/>
      <c r="X211" s="52"/>
      <c r="Y211" s="52"/>
      <c r="Z211" s="52"/>
    </row>
    <row r="212" spans="1:26" ht="15.75" customHeight="1">
      <c r="A212" s="52"/>
      <c r="B212" s="52"/>
      <c r="C212" s="52"/>
      <c r="D212" s="52"/>
      <c r="E212" s="52"/>
      <c r="F212" s="52"/>
      <c r="G212" s="52"/>
      <c r="H212" s="52"/>
      <c r="I212" s="52"/>
      <c r="J212" s="52"/>
      <c r="K212" s="52"/>
      <c r="L212" s="52"/>
      <c r="M212" s="52"/>
      <c r="N212" s="52"/>
      <c r="O212" s="52"/>
      <c r="P212" s="52"/>
      <c r="Q212" s="52"/>
      <c r="R212" s="52"/>
      <c r="S212" s="52"/>
      <c r="T212" s="52"/>
      <c r="U212" s="52"/>
      <c r="V212" s="52"/>
      <c r="W212" s="52"/>
      <c r="X212" s="52"/>
      <c r="Y212" s="52"/>
      <c r="Z212" s="52"/>
    </row>
    <row r="213" spans="1:26" ht="15.75" customHeight="1">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row>
    <row r="214" spans="1:26" ht="15.75" customHeight="1">
      <c r="A214" s="52"/>
      <c r="B214" s="52"/>
      <c r="C214" s="52"/>
      <c r="D214" s="52"/>
      <c r="E214" s="52"/>
      <c r="F214" s="52"/>
      <c r="G214" s="52"/>
      <c r="H214" s="52"/>
      <c r="I214" s="52"/>
      <c r="J214" s="52"/>
      <c r="K214" s="52"/>
      <c r="L214" s="52"/>
      <c r="M214" s="52"/>
      <c r="N214" s="52"/>
      <c r="O214" s="52"/>
      <c r="P214" s="52"/>
      <c r="Q214" s="52"/>
      <c r="R214" s="52"/>
      <c r="S214" s="52"/>
      <c r="T214" s="52"/>
      <c r="U214" s="52"/>
      <c r="V214" s="52"/>
      <c r="W214" s="52"/>
      <c r="X214" s="52"/>
      <c r="Y214" s="52"/>
      <c r="Z214" s="52"/>
    </row>
    <row r="215" spans="1:26" ht="15.75" customHeight="1">
      <c r="A215" s="52"/>
      <c r="B215" s="52"/>
      <c r="C215" s="52"/>
      <c r="D215" s="52"/>
      <c r="E215" s="52"/>
      <c r="F215" s="52"/>
      <c r="G215" s="52"/>
      <c r="H215" s="52"/>
      <c r="I215" s="52"/>
      <c r="J215" s="52"/>
      <c r="K215" s="52"/>
      <c r="L215" s="52"/>
      <c r="M215" s="52"/>
      <c r="N215" s="52"/>
      <c r="O215" s="52"/>
      <c r="P215" s="52"/>
      <c r="Q215" s="52"/>
      <c r="R215" s="52"/>
      <c r="S215" s="52"/>
      <c r="T215" s="52"/>
      <c r="U215" s="52"/>
      <c r="V215" s="52"/>
      <c r="W215" s="52"/>
      <c r="X215" s="52"/>
      <c r="Y215" s="52"/>
      <c r="Z215" s="52"/>
    </row>
    <row r="216" spans="1:26" ht="15.75" customHeight="1">
      <c r="A216" s="52"/>
      <c r="B216" s="52"/>
      <c r="C216" s="52"/>
      <c r="D216" s="52"/>
      <c r="E216" s="52"/>
      <c r="F216" s="52"/>
      <c r="G216" s="52"/>
      <c r="H216" s="52"/>
      <c r="I216" s="52"/>
      <c r="J216" s="52"/>
      <c r="K216" s="52"/>
      <c r="L216" s="52"/>
      <c r="M216" s="52"/>
      <c r="N216" s="52"/>
      <c r="O216" s="52"/>
      <c r="P216" s="52"/>
      <c r="Q216" s="52"/>
      <c r="R216" s="52"/>
      <c r="S216" s="52"/>
      <c r="T216" s="52"/>
      <c r="U216" s="52"/>
      <c r="V216" s="52"/>
      <c r="W216" s="52"/>
      <c r="X216" s="52"/>
      <c r="Y216" s="52"/>
      <c r="Z216" s="52"/>
    </row>
    <row r="217" spans="1:26" ht="15.75" customHeight="1">
      <c r="A217" s="52"/>
      <c r="B217" s="52"/>
      <c r="C217" s="52"/>
      <c r="D217" s="52"/>
      <c r="E217" s="52"/>
      <c r="F217" s="52"/>
      <c r="G217" s="52"/>
      <c r="H217" s="52"/>
      <c r="I217" s="52"/>
      <c r="J217" s="52"/>
      <c r="K217" s="52"/>
      <c r="L217" s="52"/>
      <c r="M217" s="52"/>
      <c r="N217" s="52"/>
      <c r="O217" s="52"/>
      <c r="P217" s="52"/>
      <c r="Q217" s="52"/>
      <c r="R217" s="52"/>
      <c r="S217" s="52"/>
      <c r="T217" s="52"/>
      <c r="U217" s="52"/>
      <c r="V217" s="52"/>
      <c r="W217" s="52"/>
      <c r="X217" s="52"/>
      <c r="Y217" s="52"/>
      <c r="Z217" s="52"/>
    </row>
    <row r="218" spans="1:26" ht="15.75" customHeight="1">
      <c r="A218" s="52"/>
      <c r="B218" s="52"/>
      <c r="C218" s="52"/>
      <c r="D218" s="52"/>
      <c r="E218" s="52"/>
      <c r="F218" s="52"/>
      <c r="G218" s="52"/>
      <c r="H218" s="52"/>
      <c r="I218" s="52"/>
      <c r="J218" s="52"/>
      <c r="K218" s="52"/>
      <c r="L218" s="52"/>
      <c r="M218" s="52"/>
      <c r="N218" s="52"/>
      <c r="O218" s="52"/>
      <c r="P218" s="52"/>
      <c r="Q218" s="52"/>
      <c r="R218" s="52"/>
      <c r="S218" s="52"/>
      <c r="T218" s="52"/>
      <c r="U218" s="52"/>
      <c r="V218" s="52"/>
      <c r="W218" s="52"/>
      <c r="X218" s="52"/>
      <c r="Y218" s="52"/>
      <c r="Z218" s="52"/>
    </row>
    <row r="219" spans="1:26" ht="15.75" customHeight="1">
      <c r="A219" s="52"/>
      <c r="B219" s="52"/>
      <c r="C219" s="52"/>
      <c r="D219" s="52"/>
      <c r="E219" s="52"/>
      <c r="F219" s="52"/>
      <c r="G219" s="52"/>
      <c r="H219" s="52"/>
      <c r="I219" s="52"/>
      <c r="J219" s="52"/>
      <c r="K219" s="52"/>
      <c r="L219" s="52"/>
      <c r="M219" s="52"/>
      <c r="N219" s="52"/>
      <c r="O219" s="52"/>
      <c r="P219" s="52"/>
      <c r="Q219" s="52"/>
      <c r="R219" s="52"/>
      <c r="S219" s="52"/>
      <c r="T219" s="52"/>
      <c r="U219" s="52"/>
      <c r="V219" s="52"/>
      <c r="W219" s="52"/>
      <c r="X219" s="52"/>
      <c r="Y219" s="52"/>
      <c r="Z219" s="52"/>
    </row>
    <row r="220" spans="1:26" ht="15.75" customHeight="1">
      <c r="A220" s="52"/>
      <c r="B220" s="52"/>
      <c r="C220" s="52"/>
      <c r="D220" s="52"/>
      <c r="E220" s="52"/>
      <c r="F220" s="52"/>
      <c r="G220" s="52"/>
      <c r="H220" s="52"/>
      <c r="I220" s="52"/>
      <c r="J220" s="52"/>
      <c r="K220" s="52"/>
      <c r="L220" s="52"/>
      <c r="M220" s="52"/>
      <c r="N220" s="52"/>
      <c r="O220" s="52"/>
      <c r="P220" s="52"/>
      <c r="Q220" s="52"/>
      <c r="R220" s="52"/>
      <c r="S220" s="52"/>
      <c r="T220" s="52"/>
      <c r="U220" s="52"/>
      <c r="V220" s="52"/>
      <c r="W220" s="52"/>
      <c r="X220" s="52"/>
      <c r="Y220" s="52"/>
      <c r="Z220" s="52"/>
    </row>
    <row r="221" spans="1:26" ht="15.75" customHeight="1">
      <c r="A221" s="52"/>
      <c r="B221" s="52"/>
      <c r="C221" s="52"/>
      <c r="D221" s="52"/>
      <c r="E221" s="52"/>
      <c r="F221" s="52"/>
      <c r="G221" s="52"/>
      <c r="H221" s="52"/>
      <c r="I221" s="52"/>
      <c r="J221" s="52"/>
      <c r="K221" s="52"/>
      <c r="L221" s="52"/>
      <c r="M221" s="52"/>
      <c r="N221" s="52"/>
      <c r="O221" s="52"/>
      <c r="P221" s="52"/>
      <c r="Q221" s="52"/>
      <c r="R221" s="52"/>
      <c r="S221" s="52"/>
      <c r="T221" s="52"/>
      <c r="U221" s="52"/>
      <c r="V221" s="52"/>
      <c r="W221" s="52"/>
      <c r="X221" s="52"/>
      <c r="Y221" s="52"/>
      <c r="Z221" s="52"/>
    </row>
    <row r="222" spans="1:26" ht="15.75" customHeight="1">
      <c r="A222" s="52"/>
      <c r="B222" s="52"/>
      <c r="C222" s="52"/>
      <c r="D222" s="52"/>
      <c r="E222" s="52"/>
      <c r="F222" s="52"/>
      <c r="G222" s="52"/>
      <c r="H222" s="52"/>
      <c r="I222" s="52"/>
      <c r="J222" s="52"/>
      <c r="K222" s="52"/>
      <c r="L222" s="52"/>
      <c r="M222" s="52"/>
      <c r="N222" s="52"/>
      <c r="O222" s="52"/>
      <c r="P222" s="52"/>
      <c r="Q222" s="52"/>
      <c r="R222" s="52"/>
      <c r="S222" s="52"/>
      <c r="T222" s="52"/>
      <c r="U222" s="52"/>
      <c r="V222" s="52"/>
      <c r="W222" s="52"/>
      <c r="X222" s="52"/>
      <c r="Y222" s="52"/>
      <c r="Z222" s="52"/>
    </row>
    <row r="223" spans="1:26" ht="15.75" customHeight="1">
      <c r="A223" s="52"/>
      <c r="B223" s="52"/>
      <c r="C223" s="52"/>
      <c r="D223" s="52"/>
      <c r="E223" s="52"/>
      <c r="F223" s="52"/>
      <c r="G223" s="52"/>
      <c r="H223" s="52"/>
      <c r="I223" s="52"/>
      <c r="J223" s="52"/>
      <c r="K223" s="52"/>
      <c r="L223" s="52"/>
      <c r="M223" s="52"/>
      <c r="N223" s="52"/>
      <c r="O223" s="52"/>
      <c r="P223" s="52"/>
      <c r="Q223" s="52"/>
      <c r="R223" s="52"/>
      <c r="S223" s="52"/>
      <c r="T223" s="52"/>
      <c r="U223" s="52"/>
      <c r="V223" s="52"/>
      <c r="W223" s="52"/>
      <c r="X223" s="52"/>
      <c r="Y223" s="52"/>
      <c r="Z223" s="52"/>
    </row>
    <row r="224" spans="1:26" ht="15.75" customHeight="1">
      <c r="A224" s="52"/>
      <c r="B224" s="52"/>
      <c r="C224" s="52"/>
      <c r="D224" s="52"/>
      <c r="E224" s="52"/>
      <c r="F224" s="52"/>
      <c r="G224" s="52"/>
      <c r="H224" s="52"/>
      <c r="I224" s="52"/>
      <c r="J224" s="52"/>
      <c r="K224" s="52"/>
      <c r="L224" s="52"/>
      <c r="M224" s="52"/>
      <c r="N224" s="52"/>
      <c r="O224" s="52"/>
      <c r="P224" s="52"/>
      <c r="Q224" s="52"/>
      <c r="R224" s="52"/>
      <c r="S224" s="52"/>
      <c r="T224" s="52"/>
      <c r="U224" s="52"/>
      <c r="V224" s="52"/>
      <c r="W224" s="52"/>
      <c r="X224" s="52"/>
      <c r="Y224" s="52"/>
      <c r="Z224" s="52"/>
    </row>
    <row r="225" spans="1:26" ht="15.75" customHeight="1">
      <c r="A225" s="52"/>
      <c r="B225" s="52"/>
      <c r="C225" s="52"/>
      <c r="D225" s="52"/>
      <c r="E225" s="52"/>
      <c r="F225" s="52"/>
      <c r="G225" s="52"/>
      <c r="H225" s="52"/>
      <c r="I225" s="52"/>
      <c r="J225" s="52"/>
      <c r="K225" s="52"/>
      <c r="L225" s="52"/>
      <c r="M225" s="52"/>
      <c r="N225" s="52"/>
      <c r="O225" s="52"/>
      <c r="P225" s="52"/>
      <c r="Q225" s="52"/>
      <c r="R225" s="52"/>
      <c r="S225" s="52"/>
      <c r="T225" s="52"/>
      <c r="U225" s="52"/>
      <c r="V225" s="52"/>
      <c r="W225" s="52"/>
      <c r="X225" s="52"/>
      <c r="Y225" s="52"/>
      <c r="Z225" s="52"/>
    </row>
    <row r="226" spans="1:26" ht="15.75" customHeight="1">
      <c r="A226" s="52"/>
      <c r="B226" s="52"/>
      <c r="C226" s="52"/>
      <c r="D226" s="52"/>
      <c r="E226" s="52"/>
      <c r="F226" s="52"/>
      <c r="G226" s="52"/>
      <c r="H226" s="52"/>
      <c r="I226" s="52"/>
      <c r="J226" s="52"/>
      <c r="K226" s="52"/>
      <c r="L226" s="52"/>
      <c r="M226" s="52"/>
      <c r="N226" s="52"/>
      <c r="O226" s="52"/>
      <c r="P226" s="52"/>
      <c r="Q226" s="52"/>
      <c r="R226" s="52"/>
      <c r="S226" s="52"/>
      <c r="T226" s="52"/>
      <c r="U226" s="52"/>
      <c r="V226" s="52"/>
      <c r="W226" s="52"/>
      <c r="X226" s="52"/>
      <c r="Y226" s="52"/>
      <c r="Z226" s="52"/>
    </row>
    <row r="227" spans="1:26" ht="15.75" customHeight="1">
      <c r="A227" s="52"/>
      <c r="B227" s="52"/>
      <c r="C227" s="52"/>
      <c r="D227" s="52"/>
      <c r="E227" s="52"/>
      <c r="F227" s="52"/>
      <c r="G227" s="52"/>
      <c r="H227" s="52"/>
      <c r="I227" s="52"/>
      <c r="J227" s="52"/>
      <c r="K227" s="52"/>
      <c r="L227" s="52"/>
      <c r="M227" s="52"/>
      <c r="N227" s="52"/>
      <c r="O227" s="52"/>
      <c r="P227" s="52"/>
      <c r="Q227" s="52"/>
      <c r="R227" s="52"/>
      <c r="S227" s="52"/>
      <c r="T227" s="52"/>
      <c r="U227" s="52"/>
      <c r="V227" s="52"/>
      <c r="W227" s="52"/>
      <c r="X227" s="52"/>
      <c r="Y227" s="52"/>
      <c r="Z227" s="52"/>
    </row>
    <row r="228" spans="1:26" ht="15.75" customHeight="1">
      <c r="A228" s="52"/>
      <c r="B228" s="52"/>
      <c r="C228" s="52"/>
      <c r="D228" s="52"/>
      <c r="E228" s="52"/>
      <c r="F228" s="52"/>
      <c r="G228" s="52"/>
      <c r="H228" s="52"/>
      <c r="I228" s="52"/>
      <c r="J228" s="52"/>
      <c r="K228" s="52"/>
      <c r="L228" s="52"/>
      <c r="M228" s="52"/>
      <c r="N228" s="52"/>
      <c r="O228" s="52"/>
      <c r="P228" s="52"/>
      <c r="Q228" s="52"/>
      <c r="R228" s="52"/>
      <c r="S228" s="52"/>
      <c r="T228" s="52"/>
      <c r="U228" s="52"/>
      <c r="V228" s="52"/>
      <c r="W228" s="52"/>
      <c r="X228" s="52"/>
      <c r="Y228" s="52"/>
      <c r="Z228" s="52"/>
    </row>
    <row r="229" spans="1:26" ht="15.75" customHeight="1">
      <c r="A229" s="52"/>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row>
    <row r="230" spans="1:26" ht="15.75" customHeight="1">
      <c r="A230" s="52"/>
      <c r="B230" s="52"/>
      <c r="C230" s="52"/>
      <c r="D230" s="52"/>
      <c r="E230" s="52"/>
      <c r="F230" s="52"/>
      <c r="G230" s="52"/>
      <c r="H230" s="52"/>
      <c r="I230" s="52"/>
      <c r="J230" s="52"/>
      <c r="K230" s="52"/>
      <c r="L230" s="52"/>
      <c r="M230" s="52"/>
      <c r="N230" s="52"/>
      <c r="O230" s="52"/>
      <c r="P230" s="52"/>
      <c r="Q230" s="52"/>
      <c r="R230" s="52"/>
      <c r="S230" s="52"/>
      <c r="T230" s="52"/>
      <c r="U230" s="52"/>
      <c r="V230" s="52"/>
      <c r="W230" s="52"/>
      <c r="X230" s="52"/>
      <c r="Y230" s="52"/>
      <c r="Z230" s="52"/>
    </row>
    <row r="231" spans="1:26" ht="15.75" customHeight="1">
      <c r="A231" s="52"/>
      <c r="B231" s="52"/>
      <c r="C231" s="52"/>
      <c r="D231" s="52"/>
      <c r="E231" s="52"/>
      <c r="F231" s="52"/>
      <c r="G231" s="52"/>
      <c r="H231" s="52"/>
      <c r="I231" s="52"/>
      <c r="J231" s="52"/>
      <c r="K231" s="52"/>
      <c r="L231" s="52"/>
      <c r="M231" s="52"/>
      <c r="N231" s="52"/>
      <c r="O231" s="52"/>
      <c r="P231" s="52"/>
      <c r="Q231" s="52"/>
      <c r="R231" s="52"/>
      <c r="S231" s="52"/>
      <c r="T231" s="52"/>
      <c r="U231" s="52"/>
      <c r="V231" s="52"/>
      <c r="W231" s="52"/>
      <c r="X231" s="52"/>
      <c r="Y231" s="52"/>
      <c r="Z231" s="52"/>
    </row>
    <row r="232" spans="1:26" ht="15.75" customHeight="1">
      <c r="A232" s="52"/>
      <c r="B232" s="52"/>
      <c r="C232" s="52"/>
      <c r="D232" s="52"/>
      <c r="E232" s="52"/>
      <c r="F232" s="52"/>
      <c r="G232" s="52"/>
      <c r="H232" s="52"/>
      <c r="I232" s="52"/>
      <c r="J232" s="52"/>
      <c r="K232" s="52"/>
      <c r="L232" s="52"/>
      <c r="M232" s="52"/>
      <c r="N232" s="52"/>
      <c r="O232" s="52"/>
      <c r="P232" s="52"/>
      <c r="Q232" s="52"/>
      <c r="R232" s="52"/>
      <c r="S232" s="52"/>
      <c r="T232" s="52"/>
      <c r="U232" s="52"/>
      <c r="V232" s="52"/>
      <c r="W232" s="52"/>
      <c r="X232" s="52"/>
      <c r="Y232" s="52"/>
      <c r="Z232" s="52"/>
    </row>
    <row r="233" spans="1:26" ht="15.75" customHeight="1">
      <c r="A233" s="52"/>
      <c r="B233" s="52"/>
      <c r="C233" s="52"/>
      <c r="D233" s="52"/>
      <c r="E233" s="52"/>
      <c r="F233" s="52"/>
      <c r="G233" s="52"/>
      <c r="H233" s="52"/>
      <c r="I233" s="52"/>
      <c r="J233" s="52"/>
      <c r="K233" s="52"/>
      <c r="L233" s="52"/>
      <c r="M233" s="52"/>
      <c r="N233" s="52"/>
      <c r="O233" s="52"/>
      <c r="P233" s="52"/>
      <c r="Q233" s="52"/>
      <c r="R233" s="52"/>
      <c r="S233" s="52"/>
      <c r="T233" s="52"/>
      <c r="U233" s="52"/>
      <c r="V233" s="52"/>
      <c r="W233" s="52"/>
      <c r="X233" s="52"/>
      <c r="Y233" s="52"/>
      <c r="Z233" s="52"/>
    </row>
    <row r="234" spans="1:26" ht="15.75" customHeight="1">
      <c r="A234" s="52"/>
      <c r="B234" s="52"/>
      <c r="C234" s="52"/>
      <c r="D234" s="52"/>
      <c r="E234" s="52"/>
      <c r="F234" s="52"/>
      <c r="G234" s="52"/>
      <c r="H234" s="52"/>
      <c r="I234" s="52"/>
      <c r="J234" s="52"/>
      <c r="K234" s="52"/>
      <c r="L234" s="52"/>
      <c r="M234" s="52"/>
      <c r="N234" s="52"/>
      <c r="O234" s="52"/>
      <c r="P234" s="52"/>
      <c r="Q234" s="52"/>
      <c r="R234" s="52"/>
      <c r="S234" s="52"/>
      <c r="T234" s="52"/>
      <c r="U234" s="52"/>
      <c r="V234" s="52"/>
      <c r="W234" s="52"/>
      <c r="X234" s="52"/>
      <c r="Y234" s="52"/>
      <c r="Z234" s="52"/>
    </row>
    <row r="235" spans="1:26" ht="15.75" customHeight="1">
      <c r="A235" s="52"/>
      <c r="B235" s="52"/>
      <c r="C235" s="52"/>
      <c r="D235" s="52"/>
      <c r="E235" s="52"/>
      <c r="F235" s="52"/>
      <c r="G235" s="52"/>
      <c r="H235" s="52"/>
      <c r="I235" s="52"/>
      <c r="J235" s="52"/>
      <c r="K235" s="52"/>
      <c r="L235" s="52"/>
      <c r="M235" s="52"/>
      <c r="N235" s="52"/>
      <c r="O235" s="52"/>
      <c r="P235" s="52"/>
      <c r="Q235" s="52"/>
      <c r="R235" s="52"/>
      <c r="S235" s="52"/>
      <c r="T235" s="52"/>
      <c r="U235" s="52"/>
      <c r="V235" s="52"/>
      <c r="W235" s="52"/>
      <c r="X235" s="52"/>
      <c r="Y235" s="52"/>
      <c r="Z235" s="52"/>
    </row>
    <row r="236" spans="1:26" ht="15.75" customHeight="1">
      <c r="A236" s="52"/>
      <c r="B236" s="52"/>
      <c r="C236" s="52"/>
      <c r="D236" s="52"/>
      <c r="E236" s="52"/>
      <c r="F236" s="52"/>
      <c r="G236" s="52"/>
      <c r="H236" s="52"/>
      <c r="I236" s="52"/>
      <c r="J236" s="52"/>
      <c r="K236" s="52"/>
      <c r="L236" s="52"/>
      <c r="M236" s="52"/>
      <c r="N236" s="52"/>
      <c r="O236" s="52"/>
      <c r="P236" s="52"/>
      <c r="Q236" s="52"/>
      <c r="R236" s="52"/>
      <c r="S236" s="52"/>
      <c r="T236" s="52"/>
      <c r="U236" s="52"/>
      <c r="V236" s="52"/>
      <c r="W236" s="52"/>
      <c r="X236" s="52"/>
      <c r="Y236" s="52"/>
      <c r="Z236" s="52"/>
    </row>
    <row r="237" spans="1:26" ht="15.75" customHeight="1">
      <c r="A237" s="52"/>
      <c r="B237" s="52"/>
      <c r="C237" s="52"/>
      <c r="D237" s="52"/>
      <c r="E237" s="52"/>
      <c r="F237" s="52"/>
      <c r="G237" s="52"/>
      <c r="H237" s="52"/>
      <c r="I237" s="52"/>
      <c r="J237" s="52"/>
      <c r="K237" s="52"/>
      <c r="L237" s="52"/>
      <c r="M237" s="52"/>
      <c r="N237" s="52"/>
      <c r="O237" s="52"/>
      <c r="P237" s="52"/>
      <c r="Q237" s="52"/>
      <c r="R237" s="52"/>
      <c r="S237" s="52"/>
      <c r="T237" s="52"/>
      <c r="U237" s="52"/>
      <c r="V237" s="52"/>
      <c r="W237" s="52"/>
      <c r="X237" s="52"/>
      <c r="Y237" s="52"/>
      <c r="Z237" s="52"/>
    </row>
    <row r="238" spans="1:26" ht="15.75" customHeight="1">
      <c r="A238" s="52"/>
      <c r="B238" s="52"/>
      <c r="C238" s="52"/>
      <c r="D238" s="52"/>
      <c r="E238" s="52"/>
      <c r="F238" s="52"/>
      <c r="G238" s="52"/>
      <c r="H238" s="52"/>
      <c r="I238" s="52"/>
      <c r="J238" s="52"/>
      <c r="K238" s="52"/>
      <c r="L238" s="52"/>
      <c r="M238" s="52"/>
      <c r="N238" s="52"/>
      <c r="O238" s="52"/>
      <c r="P238" s="52"/>
      <c r="Q238" s="52"/>
      <c r="R238" s="52"/>
      <c r="S238" s="52"/>
      <c r="T238" s="52"/>
      <c r="U238" s="52"/>
      <c r="V238" s="52"/>
      <c r="W238" s="52"/>
      <c r="X238" s="52"/>
      <c r="Y238" s="52"/>
      <c r="Z238" s="52"/>
    </row>
    <row r="239" spans="1:26" ht="15.75" customHeight="1">
      <c r="A239" s="52"/>
      <c r="B239" s="52"/>
      <c r="C239" s="52"/>
      <c r="D239" s="52"/>
      <c r="E239" s="52"/>
      <c r="F239" s="52"/>
      <c r="G239" s="52"/>
      <c r="H239" s="52"/>
      <c r="I239" s="52"/>
      <c r="J239" s="52"/>
      <c r="K239" s="52"/>
      <c r="L239" s="52"/>
      <c r="M239" s="52"/>
      <c r="N239" s="52"/>
      <c r="O239" s="52"/>
      <c r="P239" s="52"/>
      <c r="Q239" s="52"/>
      <c r="R239" s="52"/>
      <c r="S239" s="52"/>
      <c r="T239" s="52"/>
      <c r="U239" s="52"/>
      <c r="V239" s="52"/>
      <c r="W239" s="52"/>
      <c r="X239" s="52"/>
      <c r="Y239" s="52"/>
      <c r="Z239" s="52"/>
    </row>
    <row r="240" spans="1:26" ht="15.75" customHeight="1">
      <c r="A240" s="52"/>
      <c r="B240" s="52"/>
      <c r="C240" s="52"/>
      <c r="D240" s="52"/>
      <c r="E240" s="52"/>
      <c r="F240" s="52"/>
      <c r="G240" s="52"/>
      <c r="H240" s="52"/>
      <c r="I240" s="52"/>
      <c r="J240" s="52"/>
      <c r="K240" s="52"/>
      <c r="L240" s="52"/>
      <c r="M240" s="52"/>
      <c r="N240" s="52"/>
      <c r="O240" s="52"/>
      <c r="P240" s="52"/>
      <c r="Q240" s="52"/>
      <c r="R240" s="52"/>
      <c r="S240" s="52"/>
      <c r="T240" s="52"/>
      <c r="U240" s="52"/>
      <c r="V240" s="52"/>
      <c r="W240" s="52"/>
      <c r="X240" s="52"/>
      <c r="Y240" s="52"/>
      <c r="Z240" s="52"/>
    </row>
    <row r="241" spans="1:26" ht="15.75" customHeight="1">
      <c r="A241" s="52"/>
      <c r="B241" s="52"/>
      <c r="C241" s="52"/>
      <c r="D241" s="52"/>
      <c r="E241" s="52"/>
      <c r="F241" s="52"/>
      <c r="G241" s="52"/>
      <c r="H241" s="52"/>
      <c r="I241" s="52"/>
      <c r="J241" s="52"/>
      <c r="K241" s="52"/>
      <c r="L241" s="52"/>
      <c r="M241" s="52"/>
      <c r="N241" s="52"/>
      <c r="O241" s="52"/>
      <c r="P241" s="52"/>
      <c r="Q241" s="52"/>
      <c r="R241" s="52"/>
      <c r="S241" s="52"/>
      <c r="T241" s="52"/>
      <c r="U241" s="52"/>
      <c r="V241" s="52"/>
      <c r="W241" s="52"/>
      <c r="X241" s="52"/>
      <c r="Y241" s="52"/>
      <c r="Z241" s="52"/>
    </row>
    <row r="242" spans="1:26" ht="15.75" customHeight="1">
      <c r="A242" s="52"/>
      <c r="B242" s="52"/>
      <c r="C242" s="52"/>
      <c r="D242" s="52"/>
      <c r="E242" s="52"/>
      <c r="F242" s="52"/>
      <c r="G242" s="52"/>
      <c r="H242" s="52"/>
      <c r="I242" s="52"/>
      <c r="J242" s="52"/>
      <c r="K242" s="52"/>
      <c r="L242" s="52"/>
      <c r="M242" s="52"/>
      <c r="N242" s="52"/>
      <c r="O242" s="52"/>
      <c r="P242" s="52"/>
      <c r="Q242" s="52"/>
      <c r="R242" s="52"/>
      <c r="S242" s="52"/>
      <c r="T242" s="52"/>
      <c r="U242" s="52"/>
      <c r="V242" s="52"/>
      <c r="W242" s="52"/>
      <c r="X242" s="52"/>
      <c r="Y242" s="52"/>
      <c r="Z242" s="52"/>
    </row>
    <row r="243" spans="1:26" ht="15.75" customHeight="1">
      <c r="A243" s="52"/>
      <c r="B243" s="52"/>
      <c r="C243" s="52"/>
      <c r="D243" s="52"/>
      <c r="E243" s="52"/>
      <c r="F243" s="52"/>
      <c r="G243" s="52"/>
      <c r="H243" s="52"/>
      <c r="I243" s="52"/>
      <c r="J243" s="52"/>
      <c r="K243" s="52"/>
      <c r="L243" s="52"/>
      <c r="M243" s="52"/>
      <c r="N243" s="52"/>
      <c r="O243" s="52"/>
      <c r="P243" s="52"/>
      <c r="Q243" s="52"/>
      <c r="R243" s="52"/>
      <c r="S243" s="52"/>
      <c r="T243" s="52"/>
      <c r="U243" s="52"/>
      <c r="V243" s="52"/>
      <c r="W243" s="52"/>
      <c r="X243" s="52"/>
      <c r="Y243" s="52"/>
      <c r="Z243" s="52"/>
    </row>
    <row r="244" spans="1:26" ht="15.75" customHeight="1">
      <c r="A244" s="52"/>
      <c r="B244" s="52"/>
      <c r="C244" s="52"/>
      <c r="D244" s="52"/>
      <c r="E244" s="52"/>
      <c r="F244" s="52"/>
      <c r="G244" s="52"/>
      <c r="H244" s="52"/>
      <c r="I244" s="52"/>
      <c r="J244" s="52"/>
      <c r="K244" s="52"/>
      <c r="L244" s="52"/>
      <c r="M244" s="52"/>
      <c r="N244" s="52"/>
      <c r="O244" s="52"/>
      <c r="P244" s="52"/>
      <c r="Q244" s="52"/>
      <c r="R244" s="52"/>
      <c r="S244" s="52"/>
      <c r="T244" s="52"/>
      <c r="U244" s="52"/>
      <c r="V244" s="52"/>
      <c r="W244" s="52"/>
      <c r="X244" s="52"/>
      <c r="Y244" s="52"/>
      <c r="Z244" s="52"/>
    </row>
    <row r="245" spans="1:26" ht="15.75" customHeight="1">
      <c r="A245" s="52"/>
      <c r="B245" s="52"/>
      <c r="C245" s="52"/>
      <c r="D245" s="52"/>
      <c r="E245" s="52"/>
      <c r="F245" s="52"/>
      <c r="G245" s="52"/>
      <c r="H245" s="52"/>
      <c r="I245" s="52"/>
      <c r="J245" s="52"/>
      <c r="K245" s="52"/>
      <c r="L245" s="52"/>
      <c r="M245" s="52"/>
      <c r="N245" s="52"/>
      <c r="O245" s="52"/>
      <c r="P245" s="52"/>
      <c r="Q245" s="52"/>
      <c r="R245" s="52"/>
      <c r="S245" s="52"/>
      <c r="T245" s="52"/>
      <c r="U245" s="52"/>
      <c r="V245" s="52"/>
      <c r="W245" s="52"/>
      <c r="X245" s="52"/>
      <c r="Y245" s="52"/>
      <c r="Z245" s="52"/>
    </row>
    <row r="246" spans="1:26" ht="15.75" customHeight="1">
      <c r="A246" s="52"/>
      <c r="B246" s="52"/>
      <c r="C246" s="52"/>
      <c r="D246" s="52"/>
      <c r="E246" s="52"/>
      <c r="F246" s="52"/>
      <c r="G246" s="52"/>
      <c r="H246" s="52"/>
      <c r="I246" s="52"/>
      <c r="J246" s="52"/>
      <c r="K246" s="52"/>
      <c r="L246" s="52"/>
      <c r="M246" s="52"/>
      <c r="N246" s="52"/>
      <c r="O246" s="52"/>
      <c r="P246" s="52"/>
      <c r="Q246" s="52"/>
      <c r="R246" s="52"/>
      <c r="S246" s="52"/>
      <c r="T246" s="52"/>
      <c r="U246" s="52"/>
      <c r="V246" s="52"/>
      <c r="W246" s="52"/>
      <c r="X246" s="52"/>
      <c r="Y246" s="52"/>
      <c r="Z246" s="52"/>
    </row>
    <row r="247" spans="1:26" ht="15.75" customHeight="1">
      <c r="A247" s="52"/>
      <c r="B247" s="52"/>
      <c r="C247" s="52"/>
      <c r="D247" s="52"/>
      <c r="E247" s="52"/>
      <c r="F247" s="52"/>
      <c r="G247" s="52"/>
      <c r="H247" s="52"/>
      <c r="I247" s="52"/>
      <c r="J247" s="52"/>
      <c r="K247" s="52"/>
      <c r="L247" s="52"/>
      <c r="M247" s="52"/>
      <c r="N247" s="52"/>
      <c r="O247" s="52"/>
      <c r="P247" s="52"/>
      <c r="Q247" s="52"/>
      <c r="R247" s="52"/>
      <c r="S247" s="52"/>
      <c r="T247" s="52"/>
      <c r="U247" s="52"/>
      <c r="V247" s="52"/>
      <c r="W247" s="52"/>
      <c r="X247" s="52"/>
      <c r="Y247" s="52"/>
      <c r="Z247" s="52"/>
    </row>
    <row r="248" spans="1:26" ht="15.75" customHeight="1">
      <c r="A248" s="52"/>
      <c r="B248" s="52"/>
      <c r="C248" s="52"/>
      <c r="D248" s="52"/>
      <c r="E248" s="52"/>
      <c r="F248" s="52"/>
      <c r="G248" s="52"/>
      <c r="H248" s="52"/>
      <c r="I248" s="52"/>
      <c r="J248" s="52"/>
      <c r="K248" s="52"/>
      <c r="L248" s="52"/>
      <c r="M248" s="52"/>
      <c r="N248" s="52"/>
      <c r="O248" s="52"/>
      <c r="P248" s="52"/>
      <c r="Q248" s="52"/>
      <c r="R248" s="52"/>
      <c r="S248" s="52"/>
      <c r="T248" s="52"/>
      <c r="U248" s="52"/>
      <c r="V248" s="52"/>
      <c r="W248" s="52"/>
      <c r="X248" s="52"/>
      <c r="Y248" s="52"/>
      <c r="Z248" s="52"/>
    </row>
    <row r="249" spans="1:26" ht="15.75" customHeight="1">
      <c r="A249" s="52"/>
      <c r="B249" s="52"/>
      <c r="C249" s="52"/>
      <c r="D249" s="52"/>
      <c r="E249" s="52"/>
      <c r="F249" s="52"/>
      <c r="G249" s="52"/>
      <c r="H249" s="52"/>
      <c r="I249" s="52"/>
      <c r="J249" s="52"/>
      <c r="K249" s="52"/>
      <c r="L249" s="52"/>
      <c r="M249" s="52"/>
      <c r="N249" s="52"/>
      <c r="O249" s="52"/>
      <c r="P249" s="52"/>
      <c r="Q249" s="52"/>
      <c r="R249" s="52"/>
      <c r="S249" s="52"/>
      <c r="T249" s="52"/>
      <c r="U249" s="52"/>
      <c r="V249" s="52"/>
      <c r="W249" s="52"/>
      <c r="X249" s="52"/>
      <c r="Y249" s="52"/>
      <c r="Z249" s="52"/>
    </row>
    <row r="250" spans="1:26" ht="15.75" customHeight="1">
      <c r="A250" s="52"/>
      <c r="B250" s="52"/>
      <c r="C250" s="52"/>
      <c r="D250" s="52"/>
      <c r="E250" s="52"/>
      <c r="F250" s="52"/>
      <c r="G250" s="52"/>
      <c r="H250" s="52"/>
      <c r="I250" s="52"/>
      <c r="J250" s="52"/>
      <c r="K250" s="52"/>
      <c r="L250" s="52"/>
      <c r="M250" s="52"/>
      <c r="N250" s="52"/>
      <c r="O250" s="52"/>
      <c r="P250" s="52"/>
      <c r="Q250" s="52"/>
      <c r="R250" s="52"/>
      <c r="S250" s="52"/>
      <c r="T250" s="52"/>
      <c r="U250" s="52"/>
      <c r="V250" s="52"/>
      <c r="W250" s="52"/>
      <c r="X250" s="52"/>
      <c r="Y250" s="52"/>
      <c r="Z250" s="52"/>
    </row>
    <row r="251" spans="1:26" ht="15.75" customHeight="1">
      <c r="A251" s="52"/>
      <c r="B251" s="52"/>
      <c r="C251" s="52"/>
      <c r="D251" s="52"/>
      <c r="E251" s="52"/>
      <c r="F251" s="52"/>
      <c r="G251" s="52"/>
      <c r="H251" s="52"/>
      <c r="I251" s="52"/>
      <c r="J251" s="52"/>
      <c r="K251" s="52"/>
      <c r="L251" s="52"/>
      <c r="M251" s="52"/>
      <c r="N251" s="52"/>
      <c r="O251" s="52"/>
      <c r="P251" s="52"/>
      <c r="Q251" s="52"/>
      <c r="R251" s="52"/>
      <c r="S251" s="52"/>
      <c r="T251" s="52"/>
      <c r="U251" s="52"/>
      <c r="V251" s="52"/>
      <c r="W251" s="52"/>
      <c r="X251" s="52"/>
      <c r="Y251" s="52"/>
      <c r="Z251" s="52"/>
    </row>
    <row r="252" spans="1:26" ht="15.75" customHeight="1">
      <c r="A252" s="52"/>
      <c r="B252" s="52"/>
      <c r="C252" s="52"/>
      <c r="D252" s="52"/>
      <c r="E252" s="52"/>
      <c r="F252" s="52"/>
      <c r="G252" s="52"/>
      <c r="H252" s="52"/>
      <c r="I252" s="52"/>
      <c r="J252" s="52"/>
      <c r="K252" s="52"/>
      <c r="L252" s="52"/>
      <c r="M252" s="52"/>
      <c r="N252" s="52"/>
      <c r="O252" s="52"/>
      <c r="P252" s="52"/>
      <c r="Q252" s="52"/>
      <c r="R252" s="52"/>
      <c r="S252" s="52"/>
      <c r="T252" s="52"/>
      <c r="U252" s="52"/>
      <c r="V252" s="52"/>
      <c r="W252" s="52"/>
      <c r="X252" s="52"/>
      <c r="Y252" s="52"/>
      <c r="Z252" s="52"/>
    </row>
    <row r="253" spans="1:26" ht="15.75" customHeight="1">
      <c r="A253" s="52"/>
      <c r="B253" s="52"/>
      <c r="C253" s="52"/>
      <c r="D253" s="52"/>
      <c r="E253" s="52"/>
      <c r="F253" s="52"/>
      <c r="G253" s="52"/>
      <c r="H253" s="52"/>
      <c r="I253" s="52"/>
      <c r="J253" s="52"/>
      <c r="K253" s="52"/>
      <c r="L253" s="52"/>
      <c r="M253" s="52"/>
      <c r="N253" s="52"/>
      <c r="O253" s="52"/>
      <c r="P253" s="52"/>
      <c r="Q253" s="52"/>
      <c r="R253" s="52"/>
      <c r="S253" s="52"/>
      <c r="T253" s="52"/>
      <c r="U253" s="52"/>
      <c r="V253" s="52"/>
      <c r="W253" s="52"/>
      <c r="X253" s="52"/>
      <c r="Y253" s="52"/>
      <c r="Z253" s="52"/>
    </row>
    <row r="254" spans="1:26" ht="15.75" customHeight="1">
      <c r="A254" s="52"/>
      <c r="B254" s="52"/>
      <c r="C254" s="52"/>
      <c r="D254" s="52"/>
      <c r="E254" s="52"/>
      <c r="F254" s="52"/>
      <c r="G254" s="52"/>
      <c r="H254" s="52"/>
      <c r="I254" s="52"/>
      <c r="J254" s="52"/>
      <c r="K254" s="52"/>
      <c r="L254" s="52"/>
      <c r="M254" s="52"/>
      <c r="N254" s="52"/>
      <c r="O254" s="52"/>
      <c r="P254" s="52"/>
      <c r="Q254" s="52"/>
      <c r="R254" s="52"/>
      <c r="S254" s="52"/>
      <c r="T254" s="52"/>
      <c r="U254" s="52"/>
      <c r="V254" s="52"/>
      <c r="W254" s="52"/>
      <c r="X254" s="52"/>
      <c r="Y254" s="52"/>
      <c r="Z254" s="52"/>
    </row>
    <row r="255" spans="1:26" ht="15.75" customHeight="1">
      <c r="A255" s="52"/>
      <c r="B255" s="52"/>
      <c r="C255" s="52"/>
      <c r="D255" s="52"/>
      <c r="E255" s="52"/>
      <c r="F255" s="52"/>
      <c r="G255" s="52"/>
      <c r="H255" s="52"/>
      <c r="I255" s="52"/>
      <c r="J255" s="52"/>
      <c r="K255" s="52"/>
      <c r="L255" s="52"/>
      <c r="M255" s="52"/>
      <c r="N255" s="52"/>
      <c r="O255" s="52"/>
      <c r="P255" s="52"/>
      <c r="Q255" s="52"/>
      <c r="R255" s="52"/>
      <c r="S255" s="52"/>
      <c r="T255" s="52"/>
      <c r="U255" s="52"/>
      <c r="V255" s="52"/>
      <c r="W255" s="52"/>
      <c r="X255" s="52"/>
      <c r="Y255" s="52"/>
      <c r="Z255" s="52"/>
    </row>
    <row r="256" spans="1:26" ht="15.75" customHeight="1">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spans="1:26" ht="15.75" customHeight="1">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spans="1:26" ht="15.75" customHeight="1">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spans="1:26" ht="15.75" customHeight="1">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spans="1:26" ht="15.75" customHeight="1">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spans="1:26" ht="15.75" customHeight="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spans="1:26" ht="15.75" customHeight="1">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spans="1:26" ht="15.75" customHeight="1">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spans="1:26" ht="15.75" customHeight="1">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spans="1:26" ht="15.75" customHeight="1">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spans="1:26" ht="15.75" customHeight="1">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spans="1:26" ht="15.75" customHeight="1">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spans="1:26" ht="15.75" customHeight="1">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spans="1:26" ht="15.75" customHeight="1">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spans="1:26" ht="15.75" customHeight="1">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spans="1:26" ht="15.75" customHeight="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spans="1:26" ht="15.75" customHeight="1">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spans="1:26" ht="15.75" customHeight="1">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spans="1:26" ht="15.75" customHeight="1">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spans="1:26" ht="15.75" customHeight="1">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spans="1:26" ht="15.75" customHeight="1">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spans="1:26" ht="15.75" customHeight="1">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spans="1:26" ht="15.75" customHeight="1">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spans="1:26" ht="15.75" customHeight="1">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spans="1:26" ht="15.75" customHeight="1">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spans="1:26" ht="15.75" customHeight="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spans="1:26" ht="15.75" customHeight="1">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spans="1:26" ht="15.75" customHeight="1">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spans="1:26" ht="15.75" customHeight="1">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spans="1:26" ht="15.75" customHeight="1">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spans="1:26" ht="15.75" customHeight="1">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spans="1:26" ht="15.75" customHeight="1">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spans="1:26" ht="15.75" customHeight="1">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spans="1:26" ht="15.75" customHeight="1">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spans="1:26" ht="15.75" customHeight="1">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spans="1:26" ht="15.75" customHeight="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spans="1:26" ht="15.75" customHeight="1">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spans="1:26" ht="15.75" customHeight="1">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spans="1:26" ht="15.75" customHeight="1">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spans="1:26" ht="15.75" customHeight="1">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spans="1:26" ht="15.75" customHeight="1">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spans="1:26" ht="15.75" customHeight="1">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spans="1:26" ht="15.75" customHeight="1">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spans="1:26" ht="15.75" customHeight="1">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spans="1:26" ht="15.75" customHeight="1">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spans="1:26" ht="15.75" customHeight="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spans="1:26" ht="15.75" customHeight="1">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spans="1:26" ht="15.75" customHeight="1">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spans="1:26" ht="15.75" customHeight="1">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spans="1:26" ht="15.75" customHeight="1">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spans="1:26" ht="15.75" customHeight="1">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spans="1:26" ht="15.75" customHeight="1">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spans="1:26" ht="15.75" customHeight="1">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spans="1:26" ht="15.75" customHeight="1">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spans="1:26" ht="15.75" customHeight="1">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spans="1:26" ht="15.75" customHeight="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spans="1:26" ht="15.75" customHeight="1">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spans="1:26" ht="15.75" customHeight="1">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spans="1:26" ht="15.75" customHeight="1">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spans="1:26" ht="15.75" customHeight="1">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spans="1:26" ht="15.75" customHeight="1">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spans="1:26" ht="15.75" customHeight="1">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spans="1:26" ht="15.75" customHeight="1">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spans="1:26" ht="15.75" customHeight="1">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spans="1:26" ht="15.75" customHeight="1">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spans="1:26" ht="15.75" customHeight="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spans="1:26" ht="15.75" customHeight="1">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spans="1:26" ht="15.75" customHeight="1">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spans="1:26" ht="15.75" customHeight="1">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spans="1:26" ht="15.75" customHeight="1">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spans="1:26" ht="15.75" customHeight="1">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spans="1:26" ht="15.75" customHeight="1">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spans="1:26" ht="15.75" customHeight="1">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spans="1:26" ht="15.75" customHeight="1">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spans="1:26" ht="15.75" customHeight="1">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spans="1:26" ht="15.75" customHeight="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spans="1:26" ht="15.75" customHeight="1">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spans="1:26" ht="15.75" customHeight="1">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spans="1:26" ht="15.75" customHeight="1">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spans="1:26" ht="15.75" customHeight="1">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spans="1:26" ht="15.75" customHeight="1">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spans="1:26" ht="15.75" customHeight="1">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spans="1:26" ht="15.75" customHeight="1">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spans="1:26" ht="15.75" customHeight="1">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spans="1:26" ht="15.75" customHeight="1">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spans="1:26" ht="15.75" customHeight="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spans="1:26" ht="15.75" customHeight="1">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spans="1:26" ht="15.75" customHeight="1">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spans="1:26" ht="15.75" customHeight="1">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spans="1:26" ht="15.75" customHeight="1">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spans="1:26" ht="15.75" customHeight="1">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spans="1:26" ht="15.75" customHeight="1">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spans="1:26" ht="15.75" customHeight="1">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spans="1:26" ht="15.75" customHeight="1">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spans="1:26" ht="15.75" customHeight="1">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spans="1:26" ht="15.75" customHeight="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spans="1:26" ht="15.75" customHeight="1">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spans="1:26" ht="15.75" customHeight="1">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spans="1:26" ht="15.75" customHeight="1">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spans="1:26" ht="15.75" customHeight="1">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spans="1:26" ht="15.75" customHeight="1">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spans="1:26" ht="15.75" customHeight="1">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spans="1:26" ht="15.75" customHeight="1">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spans="1:26" ht="15.75" customHeight="1">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spans="1:26" ht="15.75" customHeight="1">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spans="1:26" ht="15.75" customHeight="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spans="1:26" ht="15.75" customHeight="1">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spans="1:26" ht="15.75" customHeight="1">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spans="1:26" ht="15.75" customHeight="1">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spans="1:26" ht="15.75" customHeight="1">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spans="1:26" ht="15.75" customHeight="1">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spans="1:26" ht="15.75" customHeight="1">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spans="1:26" ht="15.75" customHeight="1">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spans="1:26" ht="15.75" customHeight="1">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spans="1:26" ht="15.75" customHeight="1">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spans="1:26" ht="15.75" customHeight="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spans="1:26" ht="15.75" customHeight="1">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spans="1:26" ht="15.75" customHeight="1">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spans="1:26" ht="15.75" customHeight="1">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spans="1:26" ht="15.75" customHeight="1">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spans="1:26" ht="15.75" customHeight="1">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spans="1:26" ht="15.75" customHeight="1">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spans="1:26" ht="15.75" customHeight="1">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spans="1:26" ht="15.75" customHeight="1">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spans="1:26" ht="15.75" customHeight="1">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spans="1:26" ht="15.75" customHeight="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spans="1:26" ht="15.75" customHeight="1">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spans="1:26" ht="15.75" customHeight="1">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spans="1:26" ht="15.75" customHeight="1">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spans="1:26" ht="15.75" customHeight="1">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spans="1:26" ht="15.75" customHeight="1">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spans="1:26" ht="15.75" customHeight="1">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spans="1:26" ht="15.75" customHeight="1">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spans="1:26" ht="15.75" customHeight="1">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spans="1:26" ht="15.75" customHeight="1">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spans="1:26" ht="15.75" customHeight="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spans="1:26" ht="15.75" customHeight="1">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spans="1:26" ht="15.75" customHeight="1">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spans="1:26" ht="15.75" customHeight="1">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spans="1:26" ht="15.75" customHeight="1">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spans="1:26" ht="15.75" customHeight="1">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spans="1:26" ht="15.75" customHeight="1">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spans="1:26" ht="15.75" customHeight="1">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spans="1:26" ht="15.75" customHeight="1">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spans="1:26" ht="15.75" customHeight="1">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spans="1:26" ht="15.75" customHeight="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spans="1:26" ht="15.75" customHeight="1">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spans="1:26" ht="15.75" customHeight="1">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spans="1:26" ht="15.75" customHeight="1">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spans="1:26" ht="15.75" customHeight="1">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spans="1:26" ht="15.75" customHeight="1">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spans="1:26" ht="15.75" customHeight="1">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spans="1:26" ht="15.75" customHeight="1">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spans="1:26" ht="15.75" customHeight="1">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spans="1:26" ht="15.75" customHeight="1">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spans="1:26" ht="15.75" customHeight="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spans="1:26" ht="15.75" customHeight="1">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spans="1:26" ht="15.75" customHeight="1">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spans="1:26" ht="15.75" customHeight="1">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spans="1:26" ht="15.75" customHeight="1">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spans="1:26" ht="15.75" customHeight="1">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spans="1:26" ht="15.75" customHeight="1">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spans="1:26" ht="15.75" customHeight="1">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spans="1:26" ht="15.75" customHeight="1">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spans="1:26" ht="15.75" customHeight="1">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spans="1:26" ht="15.75" customHeight="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spans="1:26" ht="15.75" customHeight="1">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spans="1:26" ht="15.75" customHeight="1">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spans="1:26" ht="15.75" customHeight="1">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spans="1:26" ht="15.75" customHeight="1">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spans="1:26" ht="15.75" customHeight="1">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spans="1:26" ht="15.75" customHeight="1">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spans="1:26" ht="15.75" customHeight="1">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spans="1:26" ht="15.75" customHeight="1">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spans="1:26" ht="15.75" customHeight="1">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spans="1:26" ht="15.75" customHeight="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spans="1:26" ht="15.75" customHeight="1">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spans="1:26" ht="15.75" customHeight="1">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spans="1:26" ht="15.75" customHeight="1">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spans="1:26" ht="15.75" customHeight="1">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spans="1:26" ht="15.75" customHeight="1">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spans="1:26" ht="15.75" customHeight="1">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spans="1:26" ht="15.75" customHeight="1">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spans="1:26" ht="15.75" customHeight="1">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spans="1:26" ht="15.75" customHeight="1">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spans="1:26" ht="15.75" customHeight="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spans="1:26" ht="15.75" customHeight="1">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spans="1:26" ht="15.75" customHeight="1">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spans="1:26" ht="15.75" customHeight="1">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spans="1:26" ht="15.75" customHeight="1">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spans="1:26" ht="15.75" customHeight="1">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spans="1:26" ht="15.75" customHeight="1">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spans="1:26" ht="15.75" customHeight="1">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spans="1:26" ht="15.75" customHeight="1">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spans="1:26" ht="15.75" customHeight="1">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spans="1:26" ht="15.75" customHeight="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spans="1:26" ht="15.75" customHeight="1">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spans="1:26" ht="15.75" customHeight="1">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spans="1:26" ht="15.75" customHeight="1">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spans="1:26" ht="15.75" customHeight="1">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spans="1:26" ht="15.75" customHeight="1">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spans="1:26" ht="15.75" customHeight="1">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spans="1:26" ht="15.75" customHeight="1">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spans="1:26" ht="15.75" customHeight="1">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spans="1:26" ht="15.75" customHeight="1">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spans="1:26" ht="15.75" customHeight="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spans="1:26" ht="15.75" customHeight="1">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spans="1:26" ht="15.75" customHeight="1">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spans="1:26" ht="15.75" customHeight="1">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spans="1:26" ht="15.75" customHeight="1">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spans="1:26" ht="15.75" customHeight="1">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spans="1:26" ht="15.75" customHeight="1">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spans="1:26" ht="15.75" customHeight="1">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spans="1:26" ht="15.75" customHeight="1">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spans="1:26" ht="15.75" customHeight="1">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spans="1:26" ht="15.75" customHeight="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spans="1:26" ht="15.75" customHeight="1">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spans="1:26" ht="15.75" customHeight="1">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spans="1:26" ht="15.75" customHeight="1">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spans="1:26" ht="15.75" customHeight="1">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spans="1:26" ht="15.75" customHeight="1">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spans="1:26" ht="15.75" customHeight="1">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spans="1:26" ht="15.75" customHeight="1">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spans="1:26" ht="15.75" customHeight="1">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spans="1:26" ht="15.75" customHeight="1">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spans="1:26" ht="15.75" customHeight="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spans="1:26" ht="15.75" customHeight="1">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spans="1:26" ht="15.75" customHeight="1">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spans="1:26" ht="15.75" customHeight="1">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spans="1:26" ht="15.75" customHeight="1">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spans="1:26" ht="15.75" customHeight="1">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spans="1:26" ht="15.75" customHeight="1">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spans="1:26" ht="15.75" customHeight="1">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spans="1:26" ht="15.75" customHeight="1">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spans="1:26" ht="15.75" customHeight="1">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spans="1:26" ht="15.75" customHeight="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spans="1:26" ht="15.75" customHeight="1">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spans="1:26" ht="15.75" customHeight="1">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spans="1:26" ht="15.75" customHeight="1">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spans="1:26" ht="15.75" customHeight="1">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spans="1:26" ht="15.75" customHeight="1">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spans="1:26" ht="15.75" customHeight="1">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spans="1:26" ht="15.75" customHeight="1">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spans="1:26" ht="15.75" customHeight="1">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spans="1:26" ht="15.75" customHeight="1">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spans="1:26" ht="15.75" customHeight="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spans="1:26" ht="15.75" customHeight="1">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spans="1:26" ht="15.75" customHeight="1">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spans="1:26" ht="15.75" customHeight="1">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spans="1:26" ht="15.75" customHeight="1">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spans="1:26" ht="15.75" customHeight="1">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spans="1:26" ht="15.75" customHeight="1">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spans="1:26" ht="15.75" customHeight="1">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spans="1:26" ht="15.75" customHeight="1">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spans="1:26" ht="15.75" customHeight="1">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spans="1:26" ht="15.75" customHeight="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spans="1:26" ht="15.75" customHeight="1">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spans="1:26" ht="15.75" customHeight="1">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spans="1:26" ht="15.75" customHeight="1">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spans="1:26" ht="15.75" customHeight="1">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spans="1:26" ht="15.75" customHeight="1">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spans="1:26" ht="15.75" customHeight="1">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spans="1:26" ht="15.75" customHeight="1">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spans="1:26" ht="15.75" customHeight="1">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spans="1:26" ht="15.75" customHeight="1">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spans="1:26" ht="15.75" customHeight="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spans="1:26" ht="15.75" customHeight="1">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spans="1:26" ht="15.75" customHeight="1">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spans="1:26" ht="15.75" customHeight="1">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spans="1:26" ht="15.75" customHeight="1">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spans="1:26" ht="15.75" customHeight="1">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spans="1:26" ht="15.75" customHeight="1">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spans="1:26" ht="15.75" customHeight="1">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spans="1:26" ht="15.75" customHeight="1">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spans="1:26" ht="15.75" customHeight="1">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spans="1:26" ht="15.75" customHeight="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spans="1:26" ht="15.75" customHeight="1">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spans="1:26" ht="15.75" customHeight="1">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spans="1:26" ht="15.75" customHeight="1">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spans="1:26" ht="15.75" customHeight="1">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spans="1:26" ht="15.75" customHeight="1">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spans="1:26" ht="15.75" customHeight="1">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spans="1:26" ht="15.75" customHeight="1">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spans="1:26" ht="15.75" customHeight="1">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spans="1:26" ht="15.75" customHeight="1">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spans="1:26" ht="15.75" customHeight="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spans="1:26" ht="15.75" customHeight="1">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spans="1:26" ht="15.75" customHeight="1">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spans="1:26" ht="15.75" customHeight="1">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spans="1:26" ht="15.75" customHeight="1">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spans="1:26" ht="15.75" customHeight="1">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spans="1:26" ht="15.75" customHeight="1">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spans="1:26" ht="15.75" customHeight="1">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spans="1:26" ht="15.75" customHeight="1">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spans="1:26" ht="15.75" customHeight="1">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spans="1:26" ht="15.75" customHeight="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spans="1:26" ht="15.75" customHeight="1">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spans="1:26" ht="15.75" customHeight="1">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spans="1:26" ht="15.75" customHeight="1">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spans="1:26" ht="15.75" customHeight="1">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spans="1:26" ht="15.75" customHeight="1">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spans="1:26" ht="15.75" customHeight="1">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spans="1:26" ht="15.75" customHeight="1">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spans="1:26" ht="15.75" customHeight="1">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spans="1:26" ht="15.75" customHeight="1">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spans="1:26" ht="15.75" customHeight="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spans="1:26" ht="15.75" customHeight="1">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spans="1:26" ht="15.75" customHeight="1">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spans="1:26" ht="15.75" customHeight="1">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spans="1:26" ht="15.75" customHeight="1">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spans="1:26" ht="15.75" customHeight="1">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spans="1:26" ht="15.75" customHeight="1">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spans="1:26" ht="15.75" customHeight="1">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spans="1:26" ht="15.75" customHeight="1">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spans="1:26" ht="15.75" customHeight="1">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spans="1:26" ht="15.75" customHeight="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spans="1:26" ht="15.75" customHeight="1">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spans="1:26" ht="15.75" customHeight="1">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spans="1:26" ht="15.75" customHeight="1">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spans="1:26" ht="15.75" customHeight="1">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spans="1:26" ht="15.75" customHeight="1">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spans="1:26" ht="15.75" customHeight="1">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spans="1:26" ht="15.75" customHeight="1">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spans="1:26" ht="15.75" customHeight="1">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spans="1:26" ht="15.75" customHeight="1">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spans="1:26" ht="15.75" customHeight="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spans="1:26" ht="15.75" customHeight="1">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spans="1:26" ht="15.75" customHeight="1">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spans="1:26" ht="15.75" customHeight="1">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spans="1:26" ht="15.75" customHeight="1">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spans="1:26" ht="15.75" customHeight="1">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spans="1:26" ht="15.75" customHeight="1">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spans="1:26" ht="15.75" customHeight="1">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spans="1:26" ht="15.75" customHeight="1">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spans="1:26" ht="15.75" customHeight="1">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spans="1:26" ht="15.75" customHeight="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spans="1:26" ht="15.75" customHeight="1">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spans="1:26" ht="15.75" customHeight="1">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spans="1:26" ht="15.75" customHeight="1">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spans="1:26" ht="15.75" customHeight="1">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spans="1:26" ht="15.75" customHeight="1">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spans="1:26" ht="15.75" customHeight="1">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spans="1:26" ht="15.75" customHeight="1">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spans="1:26" ht="15.75" customHeight="1">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spans="1:26" ht="15.75" customHeight="1">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spans="1:26" ht="15.75" customHeight="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spans="1:26" ht="15.75" customHeight="1">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spans="1:26" ht="15.75" customHeight="1">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spans="1:26" ht="15.75" customHeight="1">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spans="1:26" ht="15.75" customHeight="1">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spans="1:26" ht="15.75" customHeight="1">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spans="1:26" ht="15.75" customHeight="1">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spans="1:26" ht="15.75" customHeight="1">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spans="1:26" ht="15.75" customHeight="1">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spans="1:26" ht="15.75" customHeight="1">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spans="1:26" ht="15.75" customHeight="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spans="1:26" ht="15.75" customHeight="1">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spans="1:26" ht="15.75" customHeight="1">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spans="1:26" ht="15.75" customHeight="1">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spans="1:26" ht="15.75" customHeight="1">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spans="1:26" ht="15.75" customHeight="1">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spans="1:26" ht="15.75" customHeight="1">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spans="1:26" ht="15.75" customHeight="1">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spans="1:26" ht="15.75" customHeight="1">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spans="1:26" ht="15.75" customHeight="1">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spans="1:26" ht="15.75" customHeight="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spans="1:26" ht="15.75" customHeight="1">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spans="1:26" ht="15.75" customHeight="1">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spans="1:26" ht="15.75" customHeight="1">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spans="1:26" ht="15.75" customHeight="1">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spans="1:26" ht="15.75" customHeight="1">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spans="1:26" ht="15.75" customHeight="1">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spans="1:26" ht="15.75" customHeight="1">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spans="1:26" ht="15.75" customHeight="1">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spans="1:26" ht="15.75" customHeight="1">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spans="1:26" ht="15.75" customHeight="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spans="1:26" ht="15.75" customHeight="1">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spans="1:26" ht="15.75" customHeight="1">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spans="1:26" ht="15.75" customHeight="1">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spans="1:26" ht="15.75" customHeight="1">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spans="1:26" ht="15.75" customHeight="1">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spans="1:26" ht="15.75" customHeight="1">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spans="1:26" ht="15.75" customHeight="1">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spans="1:26" ht="15.75" customHeight="1">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spans="1:26" ht="15.75" customHeight="1">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spans="1:26" ht="15.75" customHeight="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spans="1:26" ht="15.75" customHeight="1">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spans="1:26" ht="15.75" customHeight="1">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spans="1:26" ht="15.75" customHeight="1">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spans="1:26" ht="15.75" customHeight="1">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spans="1:26" ht="15.75" customHeight="1">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spans="1:26" ht="15.75" customHeight="1">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spans="1:26" ht="15.75" customHeight="1">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spans="1:26" ht="15.75" customHeight="1">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spans="1:26" ht="15.75" customHeight="1">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spans="1:26" ht="15.75" customHeight="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spans="1:26" ht="15.75" customHeight="1">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spans="1:26" ht="15.75" customHeight="1">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spans="1:26" ht="15.75" customHeight="1">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spans="1:26" ht="15.75" customHeight="1">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spans="1:26" ht="15.75" customHeight="1">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spans="1:26" ht="15.75" customHeight="1">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spans="1:26" ht="15.75" customHeight="1">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spans="1:26" ht="15.75" customHeight="1">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spans="1:26" ht="15.75" customHeight="1">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spans="1:26" ht="15.75" customHeight="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spans="1:26" ht="15.75" customHeight="1">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spans="1:26" ht="15.75" customHeight="1">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spans="1:26" ht="15.75" customHeight="1">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spans="1:26" ht="15.75" customHeight="1">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spans="1:26" ht="15.75" customHeight="1">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spans="1:26" ht="15.75" customHeight="1">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spans="1:26" ht="15.75" customHeight="1">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spans="1:26" ht="15.75" customHeight="1">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spans="1:26" ht="15.75" customHeight="1">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spans="1:26" ht="15.75" customHeight="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spans="1:26" ht="15.75" customHeight="1">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spans="1:26" ht="15.75" customHeight="1">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spans="1:26" ht="15.75" customHeight="1">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spans="1:26" ht="15.75" customHeight="1">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spans="1:26" ht="15.75" customHeight="1">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spans="1:26" ht="15.75" customHeight="1">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spans="1:26" ht="15.75" customHeight="1">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spans="1:26" ht="15.75" customHeight="1">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spans="1:26" ht="15.75" customHeight="1">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spans="1:26" ht="15.75" customHeight="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spans="1:26" ht="15.75" customHeight="1">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spans="1:26" ht="15.75" customHeight="1">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spans="1:26" ht="15.75" customHeight="1">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spans="1:26" ht="15.75" customHeight="1">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spans="1:26" ht="15.75" customHeight="1">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spans="1:26" ht="15.75" customHeight="1">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spans="1:26" ht="15.75" customHeight="1">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spans="1:26" ht="15.75" customHeight="1">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spans="1:26" ht="15.75" customHeight="1">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spans="1:26" ht="15.75" customHeight="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spans="1:26" ht="15.75" customHeight="1">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spans="1:26" ht="15.75" customHeight="1">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spans="1:26" ht="15.75" customHeight="1">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spans="1:26" ht="15.75" customHeight="1">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spans="1:26" ht="15.75" customHeight="1">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spans="1:26" ht="15.75" customHeight="1">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spans="1:26" ht="15.75" customHeight="1">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spans="1:26" ht="15.75" customHeight="1">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spans="1:26" ht="15.75" customHeight="1">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spans="1:26" ht="15.75" customHeight="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spans="1:26" ht="15.75" customHeight="1">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spans="1:26" ht="15.75" customHeight="1">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spans="1:26" ht="15.75" customHeight="1">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spans="1:26" ht="15.75" customHeight="1">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spans="1:26" ht="15.75" customHeight="1">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spans="1:26" ht="15.75" customHeight="1">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spans="1:26" ht="15.75" customHeight="1">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spans="1:26" ht="15.75" customHeight="1">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spans="1:26" ht="15.75" customHeight="1">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spans="1:26" ht="15.75" customHeight="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spans="1:26" ht="15.75" customHeight="1">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spans="1:26" ht="15.75" customHeight="1">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spans="1:26" ht="15.75" customHeight="1">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spans="1:26" ht="15.75" customHeight="1">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spans="1:26" ht="15.75" customHeight="1">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spans="1:26" ht="15.75" customHeight="1">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spans="1:26" ht="15.75" customHeight="1">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spans="1:26" ht="15.75" customHeight="1">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spans="1:26" ht="15.75" customHeight="1">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spans="1:26" ht="15.75" customHeight="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spans="1:26" ht="15.75" customHeight="1">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spans="1:26" ht="15.75" customHeight="1">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spans="1:26" ht="15.75" customHeight="1">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spans="1:26" ht="15.75" customHeight="1">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spans="1:26" ht="15.75" customHeight="1">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spans="1:26" ht="15.75" customHeight="1">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spans="1:26" ht="15.75" customHeight="1">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spans="1:26" ht="15.75" customHeight="1">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spans="1:26" ht="15.75" customHeight="1">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spans="1:26" ht="15.75" customHeight="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spans="1:26" ht="15.75" customHeight="1">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spans="1:26" ht="15.75" customHeight="1">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spans="1:26" ht="15.75" customHeight="1">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spans="1:26" ht="15.75" customHeight="1">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spans="1:26" ht="15.75" customHeight="1">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spans="1:26" ht="15.75" customHeight="1">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spans="1:26" ht="15.75" customHeight="1">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spans="1:26" ht="15.75" customHeight="1">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spans="1:26" ht="15.75" customHeight="1">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spans="1:26" ht="15.75" customHeight="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spans="1:26" ht="15.75" customHeight="1">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spans="1:26" ht="15.75" customHeight="1">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spans="1:26" ht="15.75" customHeight="1">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spans="1:26" ht="15.75" customHeight="1">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spans="1:26" ht="15.75" customHeight="1">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spans="1:26" ht="15.75" customHeight="1">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spans="1:26" ht="15.75" customHeight="1">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spans="1:26" ht="15.75" customHeight="1">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spans="1:26" ht="15.75" customHeight="1">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spans="1:26" ht="15.75" customHeight="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spans="1:26" ht="15.75" customHeight="1">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spans="1:26" ht="15.75" customHeight="1">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spans="1:26" ht="15.75" customHeight="1">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spans="1:26" ht="15.75" customHeight="1">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spans="1:26" ht="15.75" customHeight="1">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spans="1:26" ht="15.75" customHeight="1">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spans="1:26" ht="15.75" customHeight="1">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spans="1:26" ht="15.75" customHeight="1">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spans="1:26" ht="15.75" customHeight="1">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spans="1:26" ht="15.75" customHeight="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spans="1:26" ht="15.75" customHeight="1">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spans="1:26" ht="15.75" customHeight="1">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spans="1:26" ht="15.75" customHeight="1">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spans="1:26" ht="15.75" customHeight="1">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spans="1:26" ht="15.75" customHeight="1">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spans="1:26" ht="15.75" customHeight="1">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spans="1:26" ht="15.75" customHeight="1">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spans="1:26" ht="15.75" customHeight="1">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spans="1:26" ht="15.75" customHeight="1">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spans="1:26" ht="15.75" customHeight="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spans="1:26" ht="15.75" customHeight="1">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spans="1:26" ht="15.75" customHeight="1">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spans="1:26" ht="15.75" customHeight="1">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spans="1:26" ht="15.75" customHeight="1">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spans="1:26" ht="15.75" customHeight="1">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spans="1:26" ht="15.75" customHeight="1">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spans="1:26" ht="15.75" customHeight="1">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spans="1:26" ht="15.75" customHeight="1">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spans="1:26" ht="15.75" customHeight="1">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spans="1:26" ht="15.75" customHeight="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spans="1:26" ht="15.75" customHeight="1">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spans="1:26" ht="15.75" customHeight="1">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spans="1:26" ht="15.75" customHeight="1">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spans="1:26" ht="15.75" customHeight="1">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spans="1:26" ht="15.75" customHeight="1">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spans="1:26" ht="15.75" customHeight="1">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spans="1:26" ht="15.75" customHeight="1">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spans="1:26" ht="15.75" customHeight="1">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spans="1:26" ht="15.75" customHeight="1">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spans="1:26" ht="15.75" customHeight="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spans="1:26" ht="15.75" customHeight="1">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spans="1:26" ht="15.75" customHeight="1">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spans="1:26" ht="15.75" customHeight="1">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spans="1:26" ht="15.75" customHeight="1">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spans="1:26" ht="15.75" customHeight="1">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spans="1:26" ht="15.75" customHeight="1">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spans="1:26" ht="15.75" customHeight="1">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spans="1:26" ht="15.75" customHeight="1">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spans="1:26" ht="15.75" customHeight="1">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spans="1:26" ht="15.75" customHeight="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spans="1:26" ht="15.75" customHeight="1">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spans="1:26" ht="15.75" customHeight="1">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spans="1:26" ht="15.75" customHeight="1">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spans="1:26" ht="15.75" customHeight="1">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spans="1:26" ht="15.75" customHeight="1">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spans="1:26" ht="15.75" customHeight="1">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spans="1:26" ht="15.75" customHeight="1">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spans="1:26" ht="15.75" customHeight="1">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spans="1:26" ht="15.75" customHeight="1">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spans="1:26" ht="15.75" customHeight="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spans="1:26" ht="15.75" customHeight="1">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spans="1:26" ht="15.75" customHeight="1">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spans="1:26" ht="15.75" customHeight="1">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spans="1:26" ht="15.75" customHeight="1">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spans="1:26" ht="15.75" customHeight="1">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spans="1:26" ht="15.75" customHeight="1">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spans="1:26" ht="15.75" customHeight="1">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spans="1:26" ht="15.75" customHeight="1">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spans="1:26" ht="15.75" customHeight="1">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spans="1:26" ht="15.75" customHeight="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spans="1:26" ht="15.75" customHeight="1">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spans="1:26" ht="15.75" customHeight="1">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spans="1:26" ht="15.75" customHeight="1">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spans="1:26" ht="15.75" customHeight="1">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spans="1:26" ht="15.75" customHeight="1">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spans="1:26" ht="15.75" customHeight="1">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spans="1:26" ht="15.75" customHeight="1">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spans="1:26" ht="15.75" customHeight="1">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spans="1:26" ht="15.75" customHeight="1">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spans="1:26" ht="15.75" customHeight="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spans="1:26" ht="15.75" customHeight="1">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spans="1:26" ht="15.75" customHeight="1">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spans="1:26" ht="15.75" customHeight="1">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spans="1:26" ht="15.75" customHeight="1">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spans="1:26" ht="15.75" customHeight="1">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spans="1:26" ht="15.75" customHeight="1">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spans="1:26" ht="15.75" customHeight="1">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spans="1:26" ht="15.75" customHeight="1">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spans="1:26" ht="15.75" customHeight="1">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spans="1:26" ht="15.75" customHeight="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spans="1:26" ht="15.75" customHeight="1">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spans="1:26" ht="15.75" customHeight="1">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spans="1:26" ht="15.75" customHeight="1">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spans="1:26" ht="15.75" customHeight="1">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spans="1:26" ht="15.75" customHeight="1">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spans="1:26" ht="15.75" customHeight="1">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spans="1:26" ht="15.75" customHeight="1">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spans="1:26" ht="15.75" customHeight="1">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spans="1:26" ht="15.75" customHeight="1">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spans="1:26" ht="15.75" customHeight="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spans="1:26" ht="15.75" customHeight="1">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spans="1:26" ht="15.75" customHeight="1">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spans="1:26" ht="15.75" customHeight="1">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spans="1:26" ht="15.75" customHeight="1">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spans="1:26" ht="15.75" customHeight="1">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spans="1:26" ht="15.75" customHeight="1">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spans="1:26" ht="15.75" customHeight="1">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spans="1:26" ht="15.75" customHeight="1">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spans="1:26" ht="15.75" customHeight="1">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spans="1:26" ht="15.75" customHeight="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spans="1:26" ht="15.75" customHeight="1">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spans="1:26" ht="15.75" customHeight="1">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spans="1:26" ht="15.75" customHeight="1">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spans="1:26" ht="15.75" customHeight="1">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spans="1:26" ht="15.75" customHeight="1">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spans="1:26" ht="15.75" customHeight="1">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spans="1:26" ht="15.75" customHeight="1">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spans="1:26" ht="15.75" customHeight="1">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spans="1:26" ht="15.75" customHeight="1">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spans="1:26" ht="15.75" customHeight="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spans="1:26" ht="15.75" customHeight="1">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spans="1:26" ht="15.75" customHeight="1">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spans="1:26" ht="15.75" customHeight="1">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spans="1:26" ht="15.75" customHeight="1">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spans="1:26" ht="15.75" customHeight="1">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spans="1:26" ht="15.75" customHeight="1">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spans="1:26" ht="15.75" customHeight="1">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spans="1:26" ht="15.75" customHeight="1">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spans="1:26" ht="15.75" customHeight="1">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spans="1:26" ht="15.75" customHeight="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spans="1:26" ht="15.75" customHeight="1">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spans="1:26" ht="15.75" customHeight="1">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spans="1:26" ht="15.75" customHeight="1">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spans="1:26" ht="15.75" customHeight="1">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spans="1:26" ht="15.75" customHeight="1">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spans="1:26" ht="15.75" customHeight="1">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spans="1:26" ht="15.75" customHeight="1">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spans="1:26" ht="15.75" customHeight="1">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spans="1:26" ht="15.75" customHeight="1">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spans="1:26" ht="15.75" customHeight="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spans="1:26" ht="15.75" customHeight="1">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spans="1:26" ht="15.75" customHeight="1">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spans="1:26" ht="15.75" customHeight="1">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spans="1:26" ht="15.75" customHeight="1">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spans="1:26" ht="15.75" customHeight="1">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spans="1:26" ht="15.75" customHeight="1">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spans="1:26" ht="15.75" customHeight="1">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spans="1:26" ht="15.75" customHeight="1">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spans="1:26" ht="15.75" customHeight="1">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spans="1:26" ht="15.75" customHeight="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spans="1:26" ht="15.75" customHeight="1">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spans="1:26" ht="15.75" customHeight="1">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spans="1:26" ht="15.75" customHeight="1">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spans="1:26" ht="15.75" customHeight="1">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spans="1:26" ht="15.75" customHeight="1">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spans="1:26" ht="15.75" customHeight="1">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spans="1:26" ht="15.75" customHeight="1">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spans="1:26" ht="15.75" customHeight="1">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spans="1:26" ht="15.75" customHeight="1">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spans="1:26" ht="15.75" customHeight="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spans="1:26" ht="15.75" customHeight="1">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spans="1:26" ht="15.75" customHeight="1">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spans="1:26" ht="15.75" customHeight="1">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spans="1:26" ht="15.75" customHeight="1">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spans="1:26" ht="15.75" customHeight="1">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spans="1:26" ht="15.75" customHeight="1">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spans="1:26" ht="15.75" customHeight="1">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spans="1:26" ht="15.75" customHeight="1">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spans="1:26" ht="15.75" customHeight="1">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spans="1:26" ht="15.75" customHeight="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spans="1:26" ht="15.75" customHeight="1">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spans="1:26" ht="15.75" customHeight="1">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spans="1:26" ht="15.75" customHeight="1">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spans="1:26" ht="15.75" customHeight="1">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spans="1:26" ht="15.75" customHeight="1">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spans="1:26" ht="15.75" customHeight="1">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spans="1:26" ht="15.75" customHeight="1">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spans="1:26" ht="15.75" customHeight="1">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spans="1:26" ht="15.75" customHeight="1">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spans="1:26" ht="15.75" customHeight="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spans="1:26" ht="15.75" customHeight="1">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spans="1:26" ht="15.75" customHeight="1">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spans="1:26" ht="15.75" customHeight="1">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spans="1:26" ht="15.75" customHeight="1">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spans="1:26" ht="15.75" customHeight="1">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spans="1:26" ht="15.75" customHeight="1">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spans="1:26" ht="15.75" customHeight="1">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spans="1:26" ht="15.75" customHeight="1">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spans="1:26" ht="15.75" customHeight="1">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spans="1:26" ht="15.75" customHeight="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spans="1:26" ht="15.75" customHeight="1">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spans="1:26" ht="15.75" customHeight="1">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spans="1:26" ht="15.75" customHeight="1">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spans="1:26" ht="15.75" customHeight="1">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spans="1:26" ht="15.75" customHeight="1">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spans="1:26" ht="15.75" customHeight="1">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spans="1:26" ht="15.75" customHeight="1">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spans="1:26" ht="15.75" customHeight="1">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spans="1:26" ht="15.75" customHeight="1">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spans="1:26" ht="15.75" customHeight="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spans="1:26" ht="15.75" customHeight="1">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spans="1:26" ht="15.75" customHeight="1">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spans="1:26" ht="15.75" customHeight="1">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spans="1:26" ht="15.75" customHeight="1">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spans="1:26" ht="15.75" customHeight="1">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spans="1:26" ht="15.75" customHeight="1">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spans="1:26" ht="15.75" customHeight="1">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spans="1:26" ht="15.75" customHeight="1">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spans="1:26" ht="15.75" customHeight="1">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spans="1:26" ht="15.75" customHeight="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spans="1:26" ht="15.75" customHeight="1">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spans="1:26" ht="15.75" customHeight="1">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spans="1:26" ht="15.75" customHeight="1">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spans="1:26" ht="15.75" customHeight="1">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spans="1:26" ht="15.75" customHeight="1">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spans="1:26" ht="15.75" customHeight="1">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spans="1:26" ht="15.75" customHeight="1">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spans="1:26" ht="15.75" customHeight="1">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spans="1:26" ht="15.75" customHeight="1">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spans="1:26" ht="15.75" customHeight="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spans="1:26" ht="15.75" customHeight="1">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spans="1:26" ht="15.75" customHeight="1">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spans="1:26" ht="15.75" customHeight="1">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spans="1:26" ht="15.75" customHeight="1">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spans="1:26" ht="15.75" customHeight="1">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spans="1:26" ht="15.75" customHeight="1">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spans="1:26" ht="15.75" customHeight="1">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spans="1:26" ht="15.75" customHeight="1">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spans="1:26" ht="15.75" customHeight="1">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spans="1:26" ht="15.75" customHeight="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spans="1:26" ht="15.75" customHeight="1">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spans="1:26" ht="15.75" customHeight="1">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spans="1:26" ht="15.75" customHeight="1">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spans="1:26" ht="15.75" customHeight="1">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spans="1:26" ht="15.75" customHeight="1">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spans="1:26" ht="15.75" customHeight="1">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spans="1:26" ht="15.75" customHeight="1">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spans="1:26" ht="15.75" customHeight="1">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spans="1:26" ht="15.75" customHeight="1">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spans="1:26" ht="15.75" customHeight="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spans="1:26" ht="15.75" customHeight="1">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row r="993" spans="1:26" ht="15.75" customHeight="1">
      <c r="A993" s="52"/>
      <c r="B993" s="52"/>
      <c r="C993" s="52"/>
      <c r="D993" s="52"/>
      <c r="E993" s="52"/>
      <c r="F993" s="52"/>
      <c r="G993" s="52"/>
      <c r="H993" s="52"/>
      <c r="I993" s="52"/>
      <c r="J993" s="52"/>
      <c r="K993" s="52"/>
      <c r="L993" s="52"/>
      <c r="M993" s="52"/>
      <c r="N993" s="52"/>
      <c r="O993" s="52"/>
      <c r="P993" s="52"/>
      <c r="Q993" s="52"/>
      <c r="R993" s="52"/>
      <c r="S993" s="52"/>
      <c r="T993" s="52"/>
      <c r="U993" s="52"/>
      <c r="V993" s="52"/>
      <c r="W993" s="52"/>
      <c r="X993" s="52"/>
      <c r="Y993" s="52"/>
      <c r="Z993" s="52"/>
    </row>
    <row r="994" spans="1:26" ht="15.75" customHeight="1">
      <c r="A994" s="52"/>
      <c r="B994" s="52"/>
      <c r="C994" s="52"/>
      <c r="D994" s="52"/>
      <c r="E994" s="52"/>
      <c r="F994" s="52"/>
      <c r="G994" s="52"/>
      <c r="H994" s="52"/>
      <c r="I994" s="52"/>
      <c r="J994" s="52"/>
      <c r="K994" s="52"/>
      <c r="L994" s="52"/>
      <c r="M994" s="52"/>
      <c r="N994" s="52"/>
      <c r="O994" s="52"/>
      <c r="P994" s="52"/>
      <c r="Q994" s="52"/>
      <c r="R994" s="52"/>
      <c r="S994" s="52"/>
      <c r="T994" s="52"/>
      <c r="U994" s="52"/>
      <c r="V994" s="52"/>
      <c r="W994" s="52"/>
      <c r="X994" s="52"/>
      <c r="Y994" s="52"/>
      <c r="Z994" s="52"/>
    </row>
    <row r="995" spans="1:26" ht="15.75" customHeight="1">
      <c r="A995" s="52"/>
      <c r="B995" s="52"/>
      <c r="C995" s="52"/>
      <c r="D995" s="52"/>
      <c r="E995" s="52"/>
      <c r="F995" s="52"/>
      <c r="G995" s="52"/>
      <c r="H995" s="52"/>
      <c r="I995" s="52"/>
      <c r="J995" s="52"/>
      <c r="K995" s="52"/>
      <c r="L995" s="52"/>
      <c r="M995" s="52"/>
      <c r="N995" s="52"/>
      <c r="O995" s="52"/>
      <c r="P995" s="52"/>
      <c r="Q995" s="52"/>
      <c r="R995" s="52"/>
      <c r="S995" s="52"/>
      <c r="T995" s="52"/>
      <c r="U995" s="52"/>
      <c r="V995" s="52"/>
      <c r="W995" s="52"/>
      <c r="X995" s="52"/>
      <c r="Y995" s="52"/>
      <c r="Z995" s="52"/>
    </row>
    <row r="996" spans="1:26" ht="15.75" customHeight="1">
      <c r="A996" s="52"/>
      <c r="B996" s="52"/>
      <c r="C996" s="52"/>
      <c r="D996" s="52"/>
      <c r="E996" s="52"/>
      <c r="F996" s="52"/>
      <c r="G996" s="52"/>
      <c r="H996" s="52"/>
      <c r="I996" s="52"/>
      <c r="J996" s="52"/>
      <c r="K996" s="52"/>
      <c r="L996" s="52"/>
      <c r="M996" s="52"/>
      <c r="N996" s="52"/>
      <c r="O996" s="52"/>
      <c r="P996" s="52"/>
      <c r="Q996" s="52"/>
      <c r="R996" s="52"/>
      <c r="S996" s="52"/>
      <c r="T996" s="52"/>
      <c r="U996" s="52"/>
      <c r="V996" s="52"/>
      <c r="W996" s="52"/>
      <c r="X996" s="52"/>
      <c r="Y996" s="52"/>
      <c r="Z996" s="52"/>
    </row>
    <row r="997" spans="1:26" ht="15.75" customHeight="1">
      <c r="A997" s="52"/>
      <c r="B997" s="52"/>
      <c r="C997" s="52"/>
      <c r="D997" s="52"/>
      <c r="E997" s="52"/>
      <c r="F997" s="52"/>
      <c r="G997" s="52"/>
      <c r="H997" s="52"/>
      <c r="I997" s="52"/>
      <c r="J997" s="52"/>
      <c r="K997" s="52"/>
      <c r="L997" s="52"/>
      <c r="M997" s="52"/>
      <c r="N997" s="52"/>
      <c r="O997" s="52"/>
      <c r="P997" s="52"/>
      <c r="Q997" s="52"/>
      <c r="R997" s="52"/>
      <c r="S997" s="52"/>
      <c r="T997" s="52"/>
      <c r="U997" s="52"/>
      <c r="V997" s="52"/>
      <c r="W997" s="52"/>
      <c r="X997" s="52"/>
      <c r="Y997" s="52"/>
      <c r="Z997" s="52"/>
    </row>
    <row r="998" spans="1:26" ht="15.75" customHeight="1">
      <c r="A998" s="52"/>
      <c r="B998" s="52"/>
      <c r="C998" s="52"/>
      <c r="D998" s="52"/>
      <c r="E998" s="52"/>
      <c r="F998" s="52"/>
      <c r="G998" s="52"/>
      <c r="H998" s="52"/>
      <c r="I998" s="52"/>
      <c r="J998" s="52"/>
      <c r="K998" s="52"/>
      <c r="L998" s="52"/>
      <c r="M998" s="52"/>
      <c r="N998" s="52"/>
      <c r="O998" s="52"/>
      <c r="P998" s="52"/>
      <c r="Q998" s="52"/>
      <c r="R998" s="52"/>
      <c r="S998" s="52"/>
      <c r="T998" s="52"/>
      <c r="U998" s="52"/>
      <c r="V998" s="52"/>
      <c r="W998" s="52"/>
      <c r="X998" s="52"/>
      <c r="Y998" s="52"/>
      <c r="Z998" s="52"/>
    </row>
    <row r="999" spans="1:26" ht="15.75" customHeight="1">
      <c r="A999" s="52"/>
      <c r="B999" s="52"/>
      <c r="C999" s="52"/>
      <c r="D999" s="52"/>
      <c r="E999" s="52"/>
      <c r="F999" s="52"/>
      <c r="G999" s="52"/>
      <c r="H999" s="52"/>
      <c r="I999" s="52"/>
      <c r="J999" s="52"/>
      <c r="K999" s="52"/>
      <c r="L999" s="52"/>
      <c r="M999" s="52"/>
      <c r="N999" s="52"/>
      <c r="O999" s="52"/>
      <c r="P999" s="52"/>
      <c r="Q999" s="52"/>
      <c r="R999" s="52"/>
      <c r="S999" s="52"/>
      <c r="T999" s="52"/>
      <c r="U999" s="52"/>
      <c r="V999" s="52"/>
      <c r="W999" s="52"/>
      <c r="X999" s="52"/>
      <c r="Y999" s="52"/>
      <c r="Z999" s="52"/>
    </row>
    <row r="1000" spans="1:26" ht="15.75" customHeight="1">
      <c r="A1000" s="52"/>
      <c r="B1000" s="52"/>
      <c r="C1000" s="52"/>
      <c r="D1000" s="52"/>
      <c r="E1000" s="52"/>
      <c r="F1000" s="52"/>
      <c r="G1000" s="5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70B7C-8C20-4571-9EEE-C13A398AB632}"/>
</file>

<file path=customXml/itemProps2.xml><?xml version="1.0" encoding="utf-8"?>
<ds:datastoreItem xmlns:ds="http://schemas.openxmlformats.org/officeDocument/2006/customXml" ds:itemID="{36A0ABF8-0645-4E6C-8ECF-89207109283E}"/>
</file>

<file path=customXml/itemProps3.xml><?xml version="1.0" encoding="utf-8"?>
<ds:datastoreItem xmlns:ds="http://schemas.openxmlformats.org/officeDocument/2006/customXml" ds:itemID="{F2FB4E91-6E07-4435-8FFF-25382CFD87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FSAAVEDRA</dc:creator>
  <cp:keywords/>
  <dc:description/>
  <cp:lastModifiedBy>Luis Alberto Rodríguez Uriarte</cp:lastModifiedBy>
  <cp:revision/>
  <dcterms:created xsi:type="dcterms:W3CDTF">2021-08-13T06:50:09Z</dcterms:created>
  <dcterms:modified xsi:type="dcterms:W3CDTF">2026-04-04T18:07:22Z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