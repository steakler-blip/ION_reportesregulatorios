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edgar.rojas\Documents\1408\formatos PMO\planes de trabajo\Bajaware\Layouts Bw confidencial\Layouts\LIQUIDEZ\"/>
    </mc:Choice>
  </mc:AlternateContent>
  <xr:revisionPtr revIDLastSave="0" documentId="13_ncr:1_{5D80E5F8-FC4B-47D9-AC35-7F52CC1B95A9}" xr6:coauthVersionLast="47" xr6:coauthVersionMax="47" xr10:uidLastSave="{00000000-0000-0000-0000-000000000000}"/>
  <bookViews>
    <workbookView xWindow="384" yWindow="384" windowWidth="15420" windowHeight="16512" tabRatio="785" xr2:uid="{00000000-000D-0000-FFFF-FFFF00000000}"/>
  </bookViews>
  <sheets>
    <sheet name="Layout ML" sheetId="1" r:id="rId1"/>
    <sheet name="Grados de Riesgo" sheetId="3" state="hidden" r:id="rId2"/>
    <sheet name="Tipos de Operacion" sheetId="4" r:id="rId3"/>
    <sheet name="Moneda" sheetId="7" r:id="rId4"/>
    <sheet name="Grupos de Riesgo" sheetId="5" state="hidden" r:id="rId5"/>
    <sheet name="Plazos" sheetId="6" state="hidden" r:id="rId6"/>
  </sheets>
  <externalReferences>
    <externalReference r:id="rId7"/>
  </externalReferences>
  <definedNames>
    <definedName name="_xlnm._FilterDatabase" localSheetId="2" hidden="1">'Tipos de Operacion'!$A$1:$J$336</definedName>
    <definedName name="Table1">#REF!</definedName>
    <definedName name="Table2">'Layout ML'!#REF!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2" i="4" l="1"/>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251"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78"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2" i="4"/>
</calcChain>
</file>

<file path=xl/sharedStrings.xml><?xml version="1.0" encoding="utf-8"?>
<sst xmlns="http://schemas.openxmlformats.org/spreadsheetml/2006/main" count="2873" uniqueCount="1419">
  <si>
    <t>Tabla Temporal</t>
  </si>
  <si>
    <t>FILE_ML</t>
  </si>
  <si>
    <t>Tabla Sistema</t>
  </si>
  <si>
    <t>SI_ML</t>
  </si>
  <si>
    <t>Nombre Archivo</t>
  </si>
  <si>
    <t>FILE_ML.txt</t>
  </si>
  <si>
    <t>Nombre DTS</t>
  </si>
  <si>
    <t>FILE_ML.dtsx</t>
  </si>
  <si>
    <t>Descripcion</t>
  </si>
  <si>
    <t>LAYOUT DE DATOS ML</t>
  </si>
  <si>
    <t>Uso</t>
  </si>
  <si>
    <t>ML</t>
  </si>
  <si>
    <t>Orden</t>
  </si>
  <si>
    <t>Concepto</t>
  </si>
  <si>
    <t>Tipo</t>
  </si>
  <si>
    <t>Requerido</t>
  </si>
  <si>
    <t>Descripción</t>
  </si>
  <si>
    <t>Comentario</t>
  </si>
  <si>
    <t>Catalog</t>
  </si>
  <si>
    <t>Reports Mandatory</t>
  </si>
  <si>
    <t>Reports Optional</t>
  </si>
  <si>
    <t>Tipo de Operación</t>
  </si>
  <si>
    <t>Texto(5)</t>
  </si>
  <si>
    <t>Si</t>
  </si>
  <si>
    <t>Secciones I - II -III - IV - VI</t>
  </si>
  <si>
    <t>Catalogo Tipos de Operación</t>
  </si>
  <si>
    <t>Tipo de operación</t>
  </si>
  <si>
    <t>Lado de la operación (Compra (Activo) - Venta(Pasivo))</t>
  </si>
  <si>
    <t>Texto(1)</t>
  </si>
  <si>
    <t>Seccion I</t>
  </si>
  <si>
    <t>A- Compra (Activo)
P-Venta (Pasivo)</t>
  </si>
  <si>
    <t>Saldo pendiente a final de mes</t>
  </si>
  <si>
    <t>Numerico(18,2)</t>
  </si>
  <si>
    <t>Importe</t>
  </si>
  <si>
    <t>Moneda</t>
  </si>
  <si>
    <t>Texto(3)</t>
  </si>
  <si>
    <t>Codigo ISO de la moneda</t>
  </si>
  <si>
    <t>MONEDAS</t>
  </si>
  <si>
    <t>Importe de los flujos de caja esperados</t>
  </si>
  <si>
    <t>Seccion II - III</t>
  </si>
  <si>
    <t>Importe de los flujos</t>
  </si>
  <si>
    <t>A futuro</t>
  </si>
  <si>
    <t>Moneda de los flujos de efectivo</t>
  </si>
  <si>
    <t>Fecha de Vencimiento</t>
  </si>
  <si>
    <t>Fecha (AAAA-MM-DD)</t>
  </si>
  <si>
    <t>Fecha en que se esperan los flujos de efectivo</t>
  </si>
  <si>
    <t xml:space="preserve"> </t>
  </si>
  <si>
    <t>Código</t>
  </si>
  <si>
    <t>Description</t>
  </si>
  <si>
    <t>Grado de Riesgo 1 de acuerdo a la regulación de Banxico (Activos Líquidos)</t>
  </si>
  <si>
    <t>2A</t>
  </si>
  <si>
    <t>Bonos y Titulos de deuda con calificación de inversión grado de riesgo 2 o mayor de acuerdo al anexo 1-b CUB</t>
  </si>
  <si>
    <t>2B</t>
  </si>
  <si>
    <t>Bonos y Titulos de deuda con calificación de inversión grado de riesgo mayor a 2 de acuerdo al anexo 1-b CUB</t>
  </si>
  <si>
    <t>SECCION</t>
  </si>
  <si>
    <t>DESC_SECCION</t>
  </si>
  <si>
    <t>CODIGO DE BW</t>
  </si>
  <si>
    <t>TIPO DE OPERACIÓN</t>
  </si>
  <si>
    <t>CONCEPTO DE BANXICO</t>
  </si>
  <si>
    <t>COMENTARIO</t>
  </si>
  <si>
    <t>ML1</t>
  </si>
  <si>
    <t>S01</t>
  </si>
  <si>
    <t>Efectivo (no deberán incluirse los saldos de efectivo asignados para cubrir costos operativos)</t>
  </si>
  <si>
    <t>ACTIVOS LIQUIDOS</t>
  </si>
  <si>
    <t>1000</t>
  </si>
  <si>
    <t>Caja (no deberán incluirse los saldos de efectivo asignados para cubrir costos operativos)</t>
  </si>
  <si>
    <t>A</t>
  </si>
  <si>
    <t>S03</t>
  </si>
  <si>
    <t>Depósitos en Banco de México;Depósitos de Regulación Monetaria</t>
  </si>
  <si>
    <t>1020</t>
  </si>
  <si>
    <t>Depósitos de Regulación Monetaria</t>
  </si>
  <si>
    <t>S04</t>
  </si>
  <si>
    <t>Depósitos en Banco de México;Otros Depósitos no otorgados en garantía (saldo de la cuenta única, depósitos: TIIE y OMA o cualquier otro depósito en Banco de México)</t>
  </si>
  <si>
    <t>1025</t>
  </si>
  <si>
    <t>Otros Depósitos no otorgados en garantía (saldo de la cuenta única, depósitos: TIIE y OMA o cualquier otro depósito en Banco de México)</t>
  </si>
  <si>
    <t>S05</t>
  </si>
  <si>
    <t>Depósitos a la vista en Otros Bancos Centrales</t>
  </si>
  <si>
    <t>1027</t>
  </si>
  <si>
    <t>S07-1</t>
  </si>
  <si>
    <t>TENENCIA 0%; Titulos de Deuda Compra Venta en Directo</t>
  </si>
  <si>
    <t>1030</t>
  </si>
  <si>
    <t>Gobierno Mexicano, Banco de México y el Instituto de Protección al Ahorro Bancario</t>
  </si>
  <si>
    <t>S07-2</t>
  </si>
  <si>
    <t>1031</t>
  </si>
  <si>
    <t>Bancos de desarrollo mexicanos</t>
  </si>
  <si>
    <t>S07-3</t>
  </si>
  <si>
    <t>Titulos de Deuda Compra Venta en Directo</t>
  </si>
  <si>
    <t>1050</t>
  </si>
  <si>
    <t>Gobiernos extranjeros, bancos centrales extranjeros y organismos descentralizados de gobiernos extranjeros</t>
  </si>
  <si>
    <t>S07-4</t>
  </si>
  <si>
    <t>1051</t>
  </si>
  <si>
    <t>Organismos internacionales: Banco de Pagos Internacionales, Fondo Monetario Internacional, la Comisión Europea y organismos multilaterales de desarrollo</t>
  </si>
  <si>
    <t>S07-5</t>
  </si>
  <si>
    <t>1070</t>
  </si>
  <si>
    <t>Gobiernos o bancos centrales en la moneda  local del país en el cual se esté computando el riesgo de liquidez, sujeto a que la institución cuente con subsidiarias establecidas en los países de dichos gobiernos o bancos centrales</t>
  </si>
  <si>
    <t>S07-6</t>
  </si>
  <si>
    <t>1080</t>
  </si>
  <si>
    <t>Gobiernos o bancos centrales en moneda extranjera, siempre y cuando corresponda a la moneda en la cual estén denominadas las necesidades de liquidez de la institución, sujeto a que la institución cuente con subsidiarias establecidas en los países de dichos gobiernos o bancos centrales</t>
  </si>
  <si>
    <t>S07-17</t>
  </si>
  <si>
    <t>1081</t>
  </si>
  <si>
    <t>Títulos emitidos por vehículos estructurados a cargo del Gobierno de la Ciudad de México</t>
  </si>
  <si>
    <t>NUEVO</t>
  </si>
  <si>
    <t>S07-7</t>
  </si>
  <si>
    <t>1085</t>
  </si>
  <si>
    <t>NIVEL 2A Organismos descentralizados del Gobierno Federal</t>
  </si>
  <si>
    <t>S07-8</t>
  </si>
  <si>
    <t>1090</t>
  </si>
  <si>
    <t>NIVEL 2A Estados y municipios mexicanos y por los organismos dependientes de ellos</t>
  </si>
  <si>
    <t>S07-9</t>
  </si>
  <si>
    <t>1100</t>
  </si>
  <si>
    <t>NIVEL 2A Gobiernos extranjeros, bancos centrales extranjeros y organismos descentralizados de gobiernos extranjeros</t>
  </si>
  <si>
    <t>S07-10</t>
  </si>
  <si>
    <t>1101</t>
  </si>
  <si>
    <t>NIVEL 2A Organismos multilaterales de desarrollo</t>
  </si>
  <si>
    <t>S07-11</t>
  </si>
  <si>
    <t>1120</t>
  </si>
  <si>
    <t>NIVEL 2A Bancos de desarrollo mexicanos y fondos y fideicomisos de fomento público mexicanos</t>
  </si>
  <si>
    <t>S07-12</t>
  </si>
  <si>
    <t>1131</t>
  </si>
  <si>
    <t xml:space="preserve">NIVEL 2A Títulos de deuda elegibles como Activos de Nivel 2A  emitidos por entidades no financieras distintas de soberanos, bancos centrales y entidades del sector público </t>
  </si>
  <si>
    <t>S07-13</t>
  </si>
  <si>
    <t>1133</t>
  </si>
  <si>
    <t>NIVEL 2B Títulos de deuda elegibles como Activos de Nivel 2B respaldados por hipotecas residenciales</t>
  </si>
  <si>
    <t>S07-14</t>
  </si>
  <si>
    <t>1134</t>
  </si>
  <si>
    <t>NIVEL 2B Títulos de deuda  elegibles como Activos de Nivel 2B emitidos avalados o garantizados por entidades no financieras distintas de soberanos, bancos centrales y entidades del sector público</t>
  </si>
  <si>
    <t>S07-15</t>
  </si>
  <si>
    <t>1135</t>
  </si>
  <si>
    <t xml:space="preserve">NIVEL 2B Acciones de empresas no financieras que formen parte del índice principal de la Bolsa Mexicana de Valores (BMV), que tengan alta o media bursatilidad de acuerdo con la clasificación de la BMV y que bajo condiciones de estrés no muestren un descenso acumulado en su precio superior a 40% durante un periodo de 30 días. </t>
  </si>
  <si>
    <t>S07-16</t>
  </si>
  <si>
    <t>1136</t>
  </si>
  <si>
    <t>NIVEL 2B Títulos de deuda elegibles como Activos de Nivel 2B emitidos, avalados o garantizados por gobiernos extranjeros o bancos centrales extranjeros</t>
  </si>
  <si>
    <t>1137</t>
  </si>
  <si>
    <t>Activos que cumplen con los criterios de los Activos Nivel 2A, pero que hayan presentado un descenso acumulado en su precio de mercado mayor a 10% durante un periodo de treinta días, pero no mayor a 20%.</t>
  </si>
  <si>
    <t>S08-1</t>
  </si>
  <si>
    <t>Titulos de Deuda Compra Venta Fecha Valor</t>
  </si>
  <si>
    <t>1591</t>
  </si>
  <si>
    <t>Moneda a recibir por operaciones fecha valor en las cuales se vaya a entregar un activo de nivel 1</t>
  </si>
  <si>
    <t>S08-2</t>
  </si>
  <si>
    <t>1592</t>
  </si>
  <si>
    <t>Moneda a recibir por operaciones fecha valor en las cuales se vaya a entregar un activo de nivel 2A</t>
  </si>
  <si>
    <t>S08-3</t>
  </si>
  <si>
    <t>1556</t>
  </si>
  <si>
    <t>Moneda a recibir por operaciones fecha valor en las cuales se vayan a entregar títulos elegibles como activos de nivel 2B respaldados por hipotecas residenciales</t>
  </si>
  <si>
    <t>S08-4</t>
  </si>
  <si>
    <t>1557</t>
  </si>
  <si>
    <t>Moneda a recibir por operaciones fecha valor en las cuales se vaya a entregar un activo de nivel 2B distinto de títulos respaldados por hipotecas residenciales</t>
  </si>
  <si>
    <t>S08-5</t>
  </si>
  <si>
    <t>1594</t>
  </si>
  <si>
    <t>Moneda a recibir por operaciones fecha valor en las cuales se vaya a entregar un activo distinto a los activos de nivel 1, 2A y 2B</t>
  </si>
  <si>
    <t>S08-6</t>
  </si>
  <si>
    <t>1595</t>
  </si>
  <si>
    <t>Moneda a entregar por operaciones fecha valor en las cuales se vaya a recibir un activo de nivel 1</t>
  </si>
  <si>
    <t>S08-7</t>
  </si>
  <si>
    <t>1596</t>
  </si>
  <si>
    <t>Moneda a entregar por operaciones fecha valor en las cuales se vaya a recibir un activo de nivel 2A</t>
  </si>
  <si>
    <t>S08-8</t>
  </si>
  <si>
    <t>1608</t>
  </si>
  <si>
    <t>Moneda a entregar por operaciones fecha valor en las cuales se vayan a entregar títulos elegibles como activos de nivel 2B respaldados por hipotecas residenciales</t>
  </si>
  <si>
    <t>S08-9</t>
  </si>
  <si>
    <t>1609</t>
  </si>
  <si>
    <t>Moneda a entregar por operaciones fecha valor en las cuales se vaya a entregar un activo de nivel 2B distinto de títulos respaldados por hipotecas residenciales</t>
  </si>
  <si>
    <t>S08-10</t>
  </si>
  <si>
    <t>1598</t>
  </si>
  <si>
    <t>Moneda a entregar por operaciones fecha valor en las cuales se vaya a recibir un activo distinto a los activos de nivel 1, 2A y 2B</t>
  </si>
  <si>
    <t>S08-11</t>
  </si>
  <si>
    <t>1599</t>
  </si>
  <si>
    <t>Títulos de deuda de nivel 1 a entregar por ventas fecha valor</t>
  </si>
  <si>
    <t>S08-12</t>
  </si>
  <si>
    <t>1601</t>
  </si>
  <si>
    <t>Títulos de deuda de nivel 1 a recibir por compras fecha valor</t>
  </si>
  <si>
    <t>S08-13</t>
  </si>
  <si>
    <t>1602</t>
  </si>
  <si>
    <t>Títulos de deuda de nivel 2A a entregar por ventas fecha valor</t>
  </si>
  <si>
    <t>S08-14</t>
  </si>
  <si>
    <t>1603</t>
  </si>
  <si>
    <t>Títulos de deuda de nivel 2A a recibir por compras fecha valor</t>
  </si>
  <si>
    <t>S08-15</t>
  </si>
  <si>
    <t>1611</t>
  </si>
  <si>
    <t>Títulos elegibles como activos de nivel 2B respaldados por hipotecas residenciales, a entregar por ventas fecha valor</t>
  </si>
  <si>
    <t>S08-16</t>
  </si>
  <si>
    <t>1612</t>
  </si>
  <si>
    <t>Títulos de deuda de nivel 2B distintos de títulos respaldados por hipotecas residenciales, a entregar por ventas fecha valor</t>
  </si>
  <si>
    <t>S08-17</t>
  </si>
  <si>
    <t>1613</t>
  </si>
  <si>
    <t>Títulos elegibles como activos de nivel 2B respaldados por hipotecas residenciales, a recibir por ventas fecha valor</t>
  </si>
  <si>
    <t>S08-18</t>
  </si>
  <si>
    <t>1614</t>
  </si>
  <si>
    <t>Títulos de deuda de nivel 2B distintos de títulos respaldados por hipotecas residenciales, a recibir por ventas fecha valor</t>
  </si>
  <si>
    <t>S08-19</t>
  </si>
  <si>
    <t>1606</t>
  </si>
  <si>
    <t>Títulos de deuda distintos de nivel 1, 2A y 2B a entregar por ventas fecha valor</t>
  </si>
  <si>
    <t>S08-20</t>
  </si>
  <si>
    <t>1607</t>
  </si>
  <si>
    <t>Títulos de deuda distintos de nivel 1, 2A y 2B  a recibir por compras fecha valor</t>
  </si>
  <si>
    <t>A01-1</t>
  </si>
  <si>
    <t>ACTIVOS RESTRINGIDOS EN OPERACIONES DE REPORTO</t>
  </si>
  <si>
    <t>1558</t>
  </si>
  <si>
    <t>Moneda a recibir por operaciones de reporto en las cuales el colateral sea un activo de nivel 1</t>
  </si>
  <si>
    <t>A01-2</t>
  </si>
  <si>
    <t>1559</t>
  </si>
  <si>
    <t>Moneda a recibir por operaciones de reporto en las cuales el colateral sea un activo de nivel 2A</t>
  </si>
  <si>
    <t>A01-3</t>
  </si>
  <si>
    <t>1541</t>
  </si>
  <si>
    <t>Moneda a recibir por operaciones de reporto en las cuales el colateral sean títulos elegibles como activos de nivel 2B respaldados por hipotecas residenciales</t>
  </si>
  <si>
    <t>A01-4</t>
  </si>
  <si>
    <t>1542</t>
  </si>
  <si>
    <t>Moneda a recibir por operaciones de reporto en las cuales el colateral sea un activo de nivel 2B distinto de títulos respaldados por hipotecas residenciales</t>
  </si>
  <si>
    <t>A01-5</t>
  </si>
  <si>
    <t>1562</t>
  </si>
  <si>
    <t>Moneda a recibir por operaciones de reporto en las cuales el colateral sea un activo distinto a los activos de nivel 1, 2A y 2B</t>
  </si>
  <si>
    <t>A01-6</t>
  </si>
  <si>
    <t>1563</t>
  </si>
  <si>
    <t>Moneda a entregar por operaciones de reporto en las cuales el colateral sea un activo de nivel 1</t>
  </si>
  <si>
    <t>A01-7</t>
  </si>
  <si>
    <t>1564</t>
  </si>
  <si>
    <t>Moneda a entregar por operaciones  de reporto en las cuales el colateral sea un activo de nivel 2A</t>
  </si>
  <si>
    <t>A01-8</t>
  </si>
  <si>
    <t>1543</t>
  </si>
  <si>
    <t>Moneda a entregar por operaciones de reporto en las cuales el colateral sean títulos elegibles como activos de nivel 2B respaldados por hipotecas residenciales</t>
  </si>
  <si>
    <t>A01-9</t>
  </si>
  <si>
    <t>1544</t>
  </si>
  <si>
    <t>Moneda a entregar por operaciones de reporto en las cuales el colateral sea un activo de nivel 2B distinto de títulos respaldados por hipotecas residenciales</t>
  </si>
  <si>
    <t>A01-10</t>
  </si>
  <si>
    <t>1566</t>
  </si>
  <si>
    <t>Moneda a entregar por operaciones de reporto en las cuales el colateral sea un activo distinto a los activos de nivel 1, 2A y 2B</t>
  </si>
  <si>
    <t>A01-11</t>
  </si>
  <si>
    <t>1567</t>
  </si>
  <si>
    <t>Títulos de deuda de nivel 1 a recibir por operaciones de reporto</t>
  </si>
  <si>
    <t>A01-12</t>
  </si>
  <si>
    <t>1568</t>
  </si>
  <si>
    <t>Títulos de deuda de nivel 1 a entregar por operaciones de reporto</t>
  </si>
  <si>
    <t>A01-13</t>
  </si>
  <si>
    <t>1569</t>
  </si>
  <si>
    <t>Títulos de deuda de nivel 2A a recibir por operaciones de reporto</t>
  </si>
  <si>
    <t>A01-14</t>
  </si>
  <si>
    <t>1571</t>
  </si>
  <si>
    <t>Títulos de deuda de nivel 2A a entregar por operaciones de reporto</t>
  </si>
  <si>
    <t>A01-15</t>
  </si>
  <si>
    <t>1545</t>
  </si>
  <si>
    <t>Títulos de deuda elegibles como activos líquidos de nivel 2B respaldados por hipotecas residenciales, a recibir por operaciones de reporto</t>
  </si>
  <si>
    <t>A01-16</t>
  </si>
  <si>
    <t>1546</t>
  </si>
  <si>
    <t>Títulos de deuda elegibles como activos líquidos de nivel 2B respaldados por hipotecas residenciales, a entregar por operaciones de reporto</t>
  </si>
  <si>
    <t>A01-17</t>
  </si>
  <si>
    <t>1547</t>
  </si>
  <si>
    <t>Títulos de deuda de nivel 2B, distintos de títulos respaldados por hipotecas residenciales, a recibir por operaciones de reporto</t>
  </si>
  <si>
    <t>A01-18</t>
  </si>
  <si>
    <t>1548</t>
  </si>
  <si>
    <t>Títulos de deuda de nivel 2B, distintos de títulos respaldados por hipotecas residenciales, a entregar por operaciones de reporto</t>
  </si>
  <si>
    <t>A01-19</t>
  </si>
  <si>
    <t>1574</t>
  </si>
  <si>
    <t>Títulos de deuda distintos de nivel 1, 2A y 2B a recibir por operaciones de reporto</t>
  </si>
  <si>
    <t>A01-20</t>
  </si>
  <si>
    <t>1575</t>
  </si>
  <si>
    <t>Títulos de deuda distintos de nivel 1, 2A y 2B a entregar por operaciones de reporto</t>
  </si>
  <si>
    <t>A02-1</t>
  </si>
  <si>
    <t>ACTIVOS  RESTRINGIDOS EN PRÉSTAMOS DE VALORES</t>
  </si>
  <si>
    <t>1576</t>
  </si>
  <si>
    <t>Títulos de deuda de nivel 1 a recibir por operaciones de préstamo de valores</t>
  </si>
  <si>
    <t>A02-2</t>
  </si>
  <si>
    <t>1577</t>
  </si>
  <si>
    <t>Títulos de deuda de nivel 1 a entregar por operaciones  de préstamo de valores</t>
  </si>
  <si>
    <t>A02-3</t>
  </si>
  <si>
    <t>1578</t>
  </si>
  <si>
    <t>Títulos de deuda de nivel 2A a recibir por operaciones de préstamo de valores</t>
  </si>
  <si>
    <t>A02-4</t>
  </si>
  <si>
    <t>1579</t>
  </si>
  <si>
    <t>Títulos de deuda de nivel 2A a entregar por operaciones  de préstamo de valores</t>
  </si>
  <si>
    <t>A02-5</t>
  </si>
  <si>
    <t>1549</t>
  </si>
  <si>
    <t>Títulos de deuda elegibles como activos líquidos de nivel 2B respaldados por hipotecas residenciales, a recibir por operaciones de préstamo de valores</t>
  </si>
  <si>
    <t>A02-6</t>
  </si>
  <si>
    <t>1551</t>
  </si>
  <si>
    <t>Títulos de deuda elegibles como activos líquidos de nivel 2B respaldados por hipotecas residenciales, a entregar por operaciones de préstamo de valores</t>
  </si>
  <si>
    <t>A02-7</t>
  </si>
  <si>
    <t>1552</t>
  </si>
  <si>
    <t>Títulos de deuda de nivel 2B, distintos de títulos respaldados por hipotecas residenciales, a recibir por operaciones de préstamo de valores</t>
  </si>
  <si>
    <t>A02-8</t>
  </si>
  <si>
    <t>1553</t>
  </si>
  <si>
    <t>Títulos de deuda de nivel 2B, distintos de títulos respaldados por hipotecas residenciales, a entregar por operaciones de préstamo de valores</t>
  </si>
  <si>
    <t>A02-9</t>
  </si>
  <si>
    <t>1583</t>
  </si>
  <si>
    <t>Títulos de deuda distintos de nivel 1, 2A y 2B a recibir por operaciones de préstamo de valores</t>
  </si>
  <si>
    <t>A02-10</t>
  </si>
  <si>
    <t>1584</t>
  </si>
  <si>
    <t>Títulos de deuda distintos de nivel 1, 2A y 2B a entregar por operaciones  de préstamo de valores</t>
  </si>
  <si>
    <t>S09</t>
  </si>
  <si>
    <t>Activos Liquidos</t>
  </si>
  <si>
    <t>1585</t>
  </si>
  <si>
    <t>Activos líquidos de nivel 1 ajustados</t>
  </si>
  <si>
    <t>1586</t>
  </si>
  <si>
    <t>Activos líquidos de nivel 2A ajustados</t>
  </si>
  <si>
    <t>1554</t>
  </si>
  <si>
    <t>Títulos de deuda elegibles como activos líquidos de nivel 2B respaldados por hipotecas residenciales, ajustados</t>
  </si>
  <si>
    <t>1555</t>
  </si>
  <si>
    <t>Activos líquidos de nivel 2B distintos de títulos de deuda elegibles respaldados por hipotecas residenciales, ajustados</t>
  </si>
  <si>
    <t>ML2</t>
  </si>
  <si>
    <t>FINANCIAMIENTO NO COLATERALIZADO</t>
  </si>
  <si>
    <t>S10</t>
  </si>
  <si>
    <t>Depositos Garantizados de Exigibilidad Inmediata Transaccionales MENOR A TIIE</t>
  </si>
  <si>
    <t>SALIDAS DE EFECTIVO</t>
  </si>
  <si>
    <t>10031</t>
  </si>
  <si>
    <t>De exigibilidad inmediata</t>
  </si>
  <si>
    <t>P</t>
  </si>
  <si>
    <t>S11</t>
  </si>
  <si>
    <t>Depositos Garantizados a Plazos Transaccionales MENOR A TIIE</t>
  </si>
  <si>
    <t>10032</t>
  </si>
  <si>
    <t>Plazo</t>
  </si>
  <si>
    <t>S12</t>
  </si>
  <si>
    <t>Depositos Garantizados de Exigibilidad Inmediata Otros MENOR A TIIE</t>
  </si>
  <si>
    <t>10033</t>
  </si>
  <si>
    <t>S13</t>
  </si>
  <si>
    <t>Depositos Garantizados a Plazos Otros MENOR A TIIE</t>
  </si>
  <si>
    <t>10034</t>
  </si>
  <si>
    <t>T01</t>
  </si>
  <si>
    <t>Depositos Garantizados de Exigibilidad Inmediata Transaccionales Mayor a TIIE</t>
  </si>
  <si>
    <t>10035</t>
  </si>
  <si>
    <t>T02</t>
  </si>
  <si>
    <t>Depositos Garantizados a Plazos Transaccionales Mayor a TIIE</t>
  </si>
  <si>
    <t>10036</t>
  </si>
  <si>
    <t>T03</t>
  </si>
  <si>
    <t>Depositos Garantizados de Exigibilidad Inmediata Otros Mayor a TIIE</t>
  </si>
  <si>
    <t>10037</t>
  </si>
  <si>
    <t>T04</t>
  </si>
  <si>
    <t>Depositos Garantizados a Plazos Otros Mayor a TIIE</t>
  </si>
  <si>
    <t>10038</t>
  </si>
  <si>
    <t>S14</t>
  </si>
  <si>
    <t>Depositos No Garantizados de Exigibilidad Inmediata Transaccionales MENOR A TIIE</t>
  </si>
  <si>
    <t>10039</t>
  </si>
  <si>
    <t>S15</t>
  </si>
  <si>
    <t>10041</t>
  </si>
  <si>
    <t>S16</t>
  </si>
  <si>
    <t>10042</t>
  </si>
  <si>
    <t>S17</t>
  </si>
  <si>
    <t>10043</t>
  </si>
  <si>
    <t>S18</t>
  </si>
  <si>
    <t>Depósitos de exigibilidad inmediata con relación transaccional MENOR A TIIE</t>
  </si>
  <si>
    <t>10044</t>
  </si>
  <si>
    <t>T05</t>
  </si>
  <si>
    <t>Depósitos a plazo con relación transaccional MENOR A TIIE</t>
  </si>
  <si>
    <t>10045</t>
  </si>
  <si>
    <t>T06</t>
  </si>
  <si>
    <t>Depósitos de exigibilidad inmediata sin relación transaccional MAYOR A TIIE</t>
  </si>
  <si>
    <t>10046</t>
  </si>
  <si>
    <t>T07</t>
  </si>
  <si>
    <t>Depósitos a plazo sin relación transaccional MAYOR A TIIE</t>
  </si>
  <si>
    <t>10047</t>
  </si>
  <si>
    <t>T08</t>
  </si>
  <si>
    <t>Depositos No Garantizados de Exigibilidad Inmediata Transaccionales MAYOR A TIIE</t>
  </si>
  <si>
    <t>10048</t>
  </si>
  <si>
    <t>T09</t>
  </si>
  <si>
    <t>Depositos No Garantizados a Plazos Transaccionales MAYOR A TIIE</t>
  </si>
  <si>
    <t>10049</t>
  </si>
  <si>
    <t>T10</t>
  </si>
  <si>
    <t>Depositos No Garantizados de Exigibilidad Inmediata Otros MAYOR A TIIE</t>
  </si>
  <si>
    <t>10051</t>
  </si>
  <si>
    <t>T11</t>
  </si>
  <si>
    <t>Depositos No Garantizados a Plazos Otros MAYOR A TIIE</t>
  </si>
  <si>
    <t>10052</t>
  </si>
  <si>
    <t>T12</t>
  </si>
  <si>
    <t>Depositos No Garantizados de Exigibilidad Inmediata Transaccionales Mayor a MAYOR A TIIE</t>
  </si>
  <si>
    <t>10053</t>
  </si>
  <si>
    <t>T13</t>
  </si>
  <si>
    <t>Depositos No Garantizados a Plazos Transaccionales Mayor a MAYOR A TIIE</t>
  </si>
  <si>
    <t>10054</t>
  </si>
  <si>
    <t>T14</t>
  </si>
  <si>
    <t>Depositos No Garantizados de Exigibilidad Inmediata Otros Mayor a MAYOR A TIIE</t>
  </si>
  <si>
    <t>10055</t>
  </si>
  <si>
    <t>T15</t>
  </si>
  <si>
    <t>Depositos No Garantizados a Plazos Otros Mayor a MAYOR A TIIE</t>
  </si>
  <si>
    <t>10056</t>
  </si>
  <si>
    <t>S19</t>
  </si>
  <si>
    <t>Soberanos, bancos centrales, entidades del sector público, banca de desarrollo y fondos y fideicomisos de fomento públicos (distintos a los indicados en el concepto 10023)</t>
  </si>
  <si>
    <t>10057</t>
  </si>
  <si>
    <t>Soberanos, bancos centrales, entidades federativas y municipios, entidades del sector público, entidades productivas del estado, banca de desarrollo y fondos y fideicomisos de fomento públicos</t>
  </si>
  <si>
    <t>S20</t>
  </si>
  <si>
    <t>Entidades financieras nacionales y extranjeras (excluyendo banca de desarrollo y fondos y fideicomisos de fomento públicos)</t>
  </si>
  <si>
    <t>10058</t>
  </si>
  <si>
    <t>Entidades no financieras distintas de las anteriores, no garantizados al cien por ciento por el IPAB o por la entidad de seguros de depósitos que corresponda en el país donde se hayan constituido dichos depósitos</t>
  </si>
  <si>
    <t>T16</t>
  </si>
  <si>
    <t>10059</t>
  </si>
  <si>
    <t>T17</t>
  </si>
  <si>
    <t>10061</t>
  </si>
  <si>
    <t>T18</t>
  </si>
  <si>
    <t>Entidades no financieras ditintas de las anteriores, no garantizados al cien por ciento por el IPAB o por la entidad de seguros de depósitos que corresponda en el país donde se hayan constituido dichos depósitos</t>
  </si>
  <si>
    <t>10062</t>
  </si>
  <si>
    <t>T19</t>
  </si>
  <si>
    <t>Completamente garantizado por el IPAB o por la entidad de seguros de depósitos que corresponda en el país donde se hayan constituido dichos depósitos</t>
  </si>
  <si>
    <t>10063</t>
  </si>
  <si>
    <t>S21</t>
  </si>
  <si>
    <t>No garantizados al cien por ciento por el IPAB recibidos de entidades no financieras distintas a las anteriores</t>
  </si>
  <si>
    <t>10064</t>
  </si>
  <si>
    <t>Depósitos cuyo saldo total exceda la cobertura del IPAB o de la entidad de seguros de depósitos que corresponda en el país donde se hayan constituido dichos depósitos recibidos de entidades no financieras distintas a las anteriores</t>
  </si>
  <si>
    <t>T20</t>
  </si>
  <si>
    <t>10065</t>
  </si>
  <si>
    <t>T21</t>
  </si>
  <si>
    <t>10066</t>
  </si>
  <si>
    <t>T22</t>
  </si>
  <si>
    <t>10067</t>
  </si>
  <si>
    <t>T23</t>
  </si>
  <si>
    <t>10068</t>
  </si>
  <si>
    <t>T24</t>
  </si>
  <si>
    <t>10069</t>
  </si>
  <si>
    <t>T25</t>
  </si>
  <si>
    <t>10071</t>
  </si>
  <si>
    <t>T26</t>
  </si>
  <si>
    <t>10072</t>
  </si>
  <si>
    <t>T27</t>
  </si>
  <si>
    <t>10073</t>
  </si>
  <si>
    <t>T28</t>
  </si>
  <si>
    <t>Depósitos cuyo saldo total exceda la cobertura del IPAB o de la entidad de seguros de depósitos que corresponda en el país donde se hayan constituido dichos depósitos</t>
  </si>
  <si>
    <t>10074</t>
  </si>
  <si>
    <t>T29</t>
  </si>
  <si>
    <t>10075</t>
  </si>
  <si>
    <t>T30</t>
  </si>
  <si>
    <t>10076</t>
  </si>
  <si>
    <t>S88</t>
  </si>
  <si>
    <t>Depositos a plazo Completamente garantizado por el IPAB o por la entidad de seguros de depósitos que corresponda en el país donde se hayan constituido dichos depósitos</t>
  </si>
  <si>
    <t>11220</t>
  </si>
  <si>
    <t>S89</t>
  </si>
  <si>
    <t>Depositos a plazo Depósitos cuyo saldo total exceda la cobertura del IPAB o de la entidad de seguros de depósitos que corresponda en el país donde se hayan constituido dichos depósitos</t>
  </si>
  <si>
    <t>11230</t>
  </si>
  <si>
    <t>S90</t>
  </si>
  <si>
    <t>Depositos a plazo Entidades financieras nacionales y extranjeras (excluyendo banca de desarrollo y fondos y fideicomisos de fomento públicos)</t>
  </si>
  <si>
    <t>11240</t>
  </si>
  <si>
    <t>S91</t>
  </si>
  <si>
    <t>Depositos a plazo Parte cubierta por el seguro de depósitos del IPAB o por la entidad de seguros de depósitos que corresponda en el país donde se hayan constituido dichos depósitos</t>
  </si>
  <si>
    <t>11250</t>
  </si>
  <si>
    <t>Parte cubierta por el seguro de depósitos del IPAB o por la entidad de seguros de depósitos que corresponda en el país donde se hayan constituido dichos depósitos</t>
  </si>
  <si>
    <t>S92</t>
  </si>
  <si>
    <t>Depositos a plazo Excedente o parte cubierta por el seguro de depósitos del IPAB o por la entidad de seguros de depósitos que corresponda en el país donde se hayan constituido dichos depósitos</t>
  </si>
  <si>
    <t>11260</t>
  </si>
  <si>
    <t>Excedente o parte cubierta por el seguro de depósitos del IPAB o por la entidad de seguros de depósitos que corresponda en el país donde se hayan constituido dichos depósitos</t>
  </si>
  <si>
    <t>S93</t>
  </si>
  <si>
    <t>11270</t>
  </si>
  <si>
    <t>S94</t>
  </si>
  <si>
    <t>11280</t>
  </si>
  <si>
    <t>S95</t>
  </si>
  <si>
    <t>11290</t>
  </si>
  <si>
    <t>S96</t>
  </si>
  <si>
    <t>11300</t>
  </si>
  <si>
    <t>S97</t>
  </si>
  <si>
    <t>11310</t>
  </si>
  <si>
    <t>S22</t>
  </si>
  <si>
    <t>Completamente garantizado por el IPAB o por la entidad de seguros de depósitos que corresponda en el país donde se hayan constituido dichos depósitos TIIE</t>
  </si>
  <si>
    <t>10077</t>
  </si>
  <si>
    <t>S23</t>
  </si>
  <si>
    <t>Depósitos cuyo saldo total exceda la cobertura del IPAB o de la entidad de seguros de depósitos que corresponda en el país donde se hayan constituido dichos depósitos TIIE</t>
  </si>
  <si>
    <t>10078</t>
  </si>
  <si>
    <t>S24</t>
  </si>
  <si>
    <t>Entidades financieras nacionales y extranjeras (excluyendo banca de desarrollo y fondos y fideicomisos de fomento públicos) TIIE</t>
  </si>
  <si>
    <t>10079</t>
  </si>
  <si>
    <t>S25</t>
  </si>
  <si>
    <t>Entidades no financieras ditintas de las anteriores, no garantizados al cien por ciento por el IPAB o por la entidad de seguros de depósitos que corresponda en el país donde se hayan constituido dichos depósitos TIIE</t>
  </si>
  <si>
    <t>10081</t>
  </si>
  <si>
    <t>T31</t>
  </si>
  <si>
    <t>Completamente garantizado por el IPAB o por la entidad de seguros de depósitos que corresponda en el país donde se hayan constituido dichos depósitos Mayor a TIIE</t>
  </si>
  <si>
    <t>10082</t>
  </si>
  <si>
    <t>T32</t>
  </si>
  <si>
    <t>Depósitos cuyo saldo total exceda la cobertura del IPAB o de la entidad de seguros de depósitos que corresponda en el país donde se hayan constituido dichos depósitos Mayor a TIIE</t>
  </si>
  <si>
    <t>10083</t>
  </si>
  <si>
    <t>T33</t>
  </si>
  <si>
    <t>Entidades financieras nacionales y extranjeras (excluyendo banca de desarrollo y fondos y fideicomisos de fomento públicos) Mayor a TIIE</t>
  </si>
  <si>
    <t>10084</t>
  </si>
  <si>
    <t>T34</t>
  </si>
  <si>
    <t>Entidades no financieras ditintas de las anteriores, no garantizados al cien por ciento por el IPAB o por la entidad de seguros de depósitos que corresponda en el país donde se hayan constituido dichos depósitos Mayor a TIIE</t>
  </si>
  <si>
    <t>10085</t>
  </si>
  <si>
    <t>S27</t>
  </si>
  <si>
    <t>Soberanos, bancos centrales y entidades del sector público</t>
  </si>
  <si>
    <t>10086</t>
  </si>
  <si>
    <t>S29</t>
  </si>
  <si>
    <t>Préstamos de call money</t>
  </si>
  <si>
    <t>10087</t>
  </si>
  <si>
    <t>S30</t>
  </si>
  <si>
    <t>Otros préstamos</t>
  </si>
  <si>
    <t>10088</t>
  </si>
  <si>
    <t>S98</t>
  </si>
  <si>
    <t>Préstamos de call money recibidos por entidades financieras nacionales y extranjeras (excluyendo banca de desarrollo y fondos y fideicomisos de fomento públicos)</t>
  </si>
  <si>
    <t>10090</t>
  </si>
  <si>
    <t>S31</t>
  </si>
  <si>
    <t>10089</t>
  </si>
  <si>
    <t>S32</t>
  </si>
  <si>
    <t>10091</t>
  </si>
  <si>
    <t>S34</t>
  </si>
  <si>
    <t>Captación en el Mercado de Dinero (Títulos de crédito distintos a los señalados en el concepto 10025)</t>
  </si>
  <si>
    <t>10024</t>
  </si>
  <si>
    <t>S35</t>
  </si>
  <si>
    <t>Obligaciones Subordinadas en Circulación</t>
  </si>
  <si>
    <t>10025</t>
  </si>
  <si>
    <t>T35</t>
  </si>
  <si>
    <t>Monto del financiamiento recibido a través de operaciones de reporto, colateralizado con títulos de deuda con plazo remanente a vencimiento mayor a 30 días emitidos por el banco múltiple y su casa de bolsa</t>
  </si>
  <si>
    <t>30080</t>
  </si>
  <si>
    <t>FINANCIAMIENTO COLATERALIZADO</t>
  </si>
  <si>
    <t>S36</t>
  </si>
  <si>
    <t>Monto del financiamiento colateralizado</t>
  </si>
  <si>
    <t>10161</t>
  </si>
  <si>
    <t>T36</t>
  </si>
  <si>
    <t>Celebrado con Banco de México</t>
  </si>
  <si>
    <t>10162</t>
  </si>
  <si>
    <t>T37</t>
  </si>
  <si>
    <t>Celebrado con contrapartes distintas a Banco de México</t>
  </si>
  <si>
    <t>10163</t>
  </si>
  <si>
    <t>T38</t>
  </si>
  <si>
    <t>10164</t>
  </si>
  <si>
    <t>T39</t>
  </si>
  <si>
    <t>Celebrado con el Gobierno Federal, entidades productivas del estado, entidades federativas y municipios, y entidades del sector público, banca de desarrollo y con fondos y fideicomisos de fomento públicos</t>
  </si>
  <si>
    <t>10182</t>
  </si>
  <si>
    <t>T40</t>
  </si>
  <si>
    <t>Celebrado con contrapartes distintas al Gobierno Federal, entidades productivas del estado, entidades federativas y municipios, entidades del sector público, la banca de desarrollo y a los fondos y fideicomisos de fomento públicos</t>
  </si>
  <si>
    <t>10183</t>
  </si>
  <si>
    <t>T41</t>
  </si>
  <si>
    <t>10167</t>
  </si>
  <si>
    <t>T42</t>
  </si>
  <si>
    <t>Celebrado con banca de desarrollo y con fondos y fideicomisos de fomento públicos</t>
  </si>
  <si>
    <t>10184</t>
  </si>
  <si>
    <t>T43</t>
  </si>
  <si>
    <t>Celebrado con el Gobierno Federal, entidades productivas del estado, entidades federativas y municipios, y entidades del sector público</t>
  </si>
  <si>
    <t>10185</t>
  </si>
  <si>
    <t>T44</t>
  </si>
  <si>
    <t>10186</t>
  </si>
  <si>
    <t>T45</t>
  </si>
  <si>
    <t>10171</t>
  </si>
  <si>
    <t>T46</t>
  </si>
  <si>
    <t>10187</t>
  </si>
  <si>
    <t>T47</t>
  </si>
  <si>
    <t>10188</t>
  </si>
  <si>
    <t>T48</t>
  </si>
  <si>
    <t>10189</t>
  </si>
  <si>
    <t>T49</t>
  </si>
  <si>
    <t>Premios e intereses a entregar por operaciones de financiamiento recibido colateralizado</t>
  </si>
  <si>
    <t>10181</t>
  </si>
  <si>
    <t>OTRAS</t>
  </si>
  <si>
    <t>T50</t>
  </si>
  <si>
    <t>Moneda a entregar por Operaciones Cambiarias fecha valor (no se deberán compensar los flujos de salida con los flujos de entrada)</t>
  </si>
  <si>
    <t>10346</t>
  </si>
  <si>
    <t>T51</t>
  </si>
  <si>
    <t>Suma de los Flujos de salida resultantes de compensar la moneda a recibir con la moneda a entregar de cada una de las Operaciones Cambiarias</t>
  </si>
  <si>
    <t>10347</t>
  </si>
  <si>
    <t>T52</t>
  </si>
  <si>
    <t>Suma de los Flujos de salida resultantes de compensar la moneda con los títulos de deuda de cada una de las Operaciones de Compra Venta de títulos fecha valor</t>
  </si>
  <si>
    <t>10348</t>
  </si>
  <si>
    <t>T53</t>
  </si>
  <si>
    <t>Flujos de salida por pagos contractuales de operaciones con instrumentos financieros derivados pendientes de liquidar</t>
  </si>
  <si>
    <t>10349</t>
  </si>
  <si>
    <t>S74</t>
  </si>
  <si>
    <t>Forwards</t>
  </si>
  <si>
    <t>10380</t>
  </si>
  <si>
    <t>S75</t>
  </si>
  <si>
    <t>Opciones</t>
  </si>
  <si>
    <t>10381</t>
  </si>
  <si>
    <t>S76</t>
  </si>
  <si>
    <t>Swaps</t>
  </si>
  <si>
    <t>10382</t>
  </si>
  <si>
    <t>S77</t>
  </si>
  <si>
    <t>Derivados crediticios</t>
  </si>
  <si>
    <t>10383</t>
  </si>
  <si>
    <t>S78</t>
  </si>
  <si>
    <t>Operaciones estructuradas</t>
  </si>
  <si>
    <t>10384</t>
  </si>
  <si>
    <t>S79</t>
  </si>
  <si>
    <t>Paquetes de instrumentos derivados</t>
  </si>
  <si>
    <t>10385</t>
  </si>
  <si>
    <t>S80</t>
  </si>
  <si>
    <t>Total de flujos de salida a valor de mercado que NO pueden compensarse por no formar parte de un contrato marco de compensación</t>
  </si>
  <si>
    <t>10386</t>
  </si>
  <si>
    <t>S81</t>
  </si>
  <si>
    <t>10387</t>
  </si>
  <si>
    <t>S82</t>
  </si>
  <si>
    <t>10388</t>
  </si>
  <si>
    <t>S83</t>
  </si>
  <si>
    <t>10389</t>
  </si>
  <si>
    <t>S84</t>
  </si>
  <si>
    <t>10390</t>
  </si>
  <si>
    <t>S85</t>
  </si>
  <si>
    <t>10391</t>
  </si>
  <si>
    <t>S86</t>
  </si>
  <si>
    <t>10392</t>
  </si>
  <si>
    <t>S87</t>
  </si>
  <si>
    <t>Total de flujos de salida a valor de mercado que pueden compensarse por formar parte de un contrato marco de compensación</t>
  </si>
  <si>
    <t>10393</t>
  </si>
  <si>
    <t>S73</t>
  </si>
  <si>
    <t>Total de flujos contractuales de salida que se tenga programado entregar durante los próximos 30 días por operaciones de derivados compensados con los flujos contractuales de entrada que se tenga programado recibir durante los próximos 30 días por formar parte de un contrato marco de compensación</t>
  </si>
  <si>
    <t>10376</t>
  </si>
  <si>
    <t>S70</t>
  </si>
  <si>
    <t xml:space="preserve">Flujo de salida contingente por operaciones con instrumentos financieros derivados (Look Back Approach, LBA) </t>
  </si>
  <si>
    <t>10377</t>
  </si>
  <si>
    <t>S71</t>
  </si>
  <si>
    <t>Total de flujos contractuales de salida que se tenga programado entregar durante los próximos 30 días para instrumentos financieros derivados extrabursátiles que NO pueden compensarse por no formar parte de un contrato marco de compensación. Estos flujos deberán presentarse netos de las garantías de nivel 1, 2A y 2B entregadas</t>
  </si>
  <si>
    <t>10378</t>
  </si>
  <si>
    <t>S72</t>
  </si>
  <si>
    <t>Total de flujos contractuales de salida que se tenga programado entregar durante los próximos 30 días por operaciones de derivados compensados con los flujos contractuales de entrada que se tenga programado recibir durante los próximos 30 días por formar parte de un contrato marco de compensación. Estos flujos deberán presentarse netos de las garantías de nivel 1, 2A y 2B entregadas</t>
  </si>
  <si>
    <t>10379</t>
  </si>
  <si>
    <t>T66</t>
  </si>
  <si>
    <t>Suma de las garantías de nivel 1, 2A y 2B entregadas por operaciones de derivados para las cuales se tiene celebrado un contrato marco de compensación</t>
  </si>
  <si>
    <t>10371</t>
  </si>
  <si>
    <t>T67</t>
  </si>
  <si>
    <t>Suma de las garantías de nivel 1, 2A y 2B entregadas por operaciones de derivados para las cuales NO se tiene celebrado un contrato marco de compensación</t>
  </si>
  <si>
    <t>10372</t>
  </si>
  <si>
    <t>T70</t>
  </si>
  <si>
    <t>Por deterioro en Calificación (Incremento en las necesidades de liquidez relacionadas a operaciones de derivados y de financiamiento como resultado de una disminución de tres niveles en la calificación crediticia de la institución)</t>
  </si>
  <si>
    <t>10490</t>
  </si>
  <si>
    <t>T71</t>
  </si>
  <si>
    <t>Garantías de Nivel 1 otorgadas en operaciones de derivados</t>
  </si>
  <si>
    <t>10561</t>
  </si>
  <si>
    <t>T72</t>
  </si>
  <si>
    <t>Garantías de Nivel 1 otorgadas en otras operaciones</t>
  </si>
  <si>
    <t>10562</t>
  </si>
  <si>
    <t>T73</t>
  </si>
  <si>
    <t>Garantías de Nivel 2A otorgadas en operaciones de derivados</t>
  </si>
  <si>
    <t>10563</t>
  </si>
  <si>
    <t>T74</t>
  </si>
  <si>
    <t>Garantías de Nivel 2A otorgadas en otras operaciones</t>
  </si>
  <si>
    <t>10564</t>
  </si>
  <si>
    <t>T75</t>
  </si>
  <si>
    <t>Garantías de Nivel 2B otorgadas en operaciones de derivados</t>
  </si>
  <si>
    <t>10565</t>
  </si>
  <si>
    <t>T76</t>
  </si>
  <si>
    <t>Garantías de Nivel 2B otorgadas en otras operaciones</t>
  </si>
  <si>
    <t>10566</t>
  </si>
  <si>
    <t>S99</t>
  </si>
  <si>
    <t>Garantías distintas a Nivel 1, Nivel 2A y Nivel 2B otorgadas en operaciones de derivados</t>
  </si>
  <si>
    <t>10568</t>
  </si>
  <si>
    <t>S100</t>
  </si>
  <si>
    <t>Garantías distintas a Nivel 1, Nivel 2A y Nivel 2B otorgadas en otras operaciones</t>
  </si>
  <si>
    <t>10569</t>
  </si>
  <si>
    <t>T78</t>
  </si>
  <si>
    <t>Por excesos de garantías no segregadas mantenidas por la institución que contractualmente podrían ser exigidas por la contraparte</t>
  </si>
  <si>
    <t>10633</t>
  </si>
  <si>
    <t>T79</t>
  </si>
  <si>
    <t>Por déficit de garantías (Incremento en las necesidades de liquidez por déficit de garantías otorgadas por la institución las cuales la contraparte aún no haya exigido su restitución, pero que contractualmente tenga el derecho de hacerlo)</t>
  </si>
  <si>
    <t>10634</t>
  </si>
  <si>
    <t>T80</t>
  </si>
  <si>
    <t>Por sustitución de garantías (Incremento en las necesidades de liquidez relacionadas con contratos que permiten la sustitución de garantías recibidas por la institución en forma de activos de nivel 1, 2A o 2B, por otras de nivel distinto a los anteriores)</t>
  </si>
  <si>
    <t>10635</t>
  </si>
  <si>
    <t>T81</t>
  </si>
  <si>
    <t>Pasivos generados por bursatilizaciones y cualquier otro producto estructurado emitido por la institución.</t>
  </si>
  <si>
    <t>10636</t>
  </si>
  <si>
    <t>T82</t>
  </si>
  <si>
    <t>Pasivos contingentes asociados a bursatilizaciones y vehículos de propósito especial con vencimiento inicial menor igual o menor a un año</t>
  </si>
  <si>
    <t>10637</t>
  </si>
  <si>
    <t>S45</t>
  </si>
  <si>
    <t>Personas físicas y PYMES</t>
  </si>
  <si>
    <t>10638</t>
  </si>
  <si>
    <t>S4502</t>
  </si>
  <si>
    <t>Corporativos, soberanos, bancos centrales, entidades del sector público</t>
  </si>
  <si>
    <t>10639</t>
  </si>
  <si>
    <t>S4503</t>
  </si>
  <si>
    <t>Instituciones de banca múltiple</t>
  </si>
  <si>
    <t>10640</t>
  </si>
  <si>
    <t>S4504</t>
  </si>
  <si>
    <t>Otras entidades financieras distintas a las señaladas en el concepto anterior</t>
  </si>
  <si>
    <t>10641</t>
  </si>
  <si>
    <t>S6102</t>
  </si>
  <si>
    <t>10642</t>
  </si>
  <si>
    <t>S61</t>
  </si>
  <si>
    <t>10643</t>
  </si>
  <si>
    <t>S6103</t>
  </si>
  <si>
    <t>10644</t>
  </si>
  <si>
    <t>S6104</t>
  </si>
  <si>
    <t>10645</t>
  </si>
  <si>
    <t>S6105</t>
  </si>
  <si>
    <t>10646</t>
  </si>
  <si>
    <t>S6106</t>
  </si>
  <si>
    <t>10647</t>
  </si>
  <si>
    <t>S6107</t>
  </si>
  <si>
    <t>10648</t>
  </si>
  <si>
    <t>S6108</t>
  </si>
  <si>
    <t>10649</t>
  </si>
  <si>
    <t>S62</t>
  </si>
  <si>
    <t>Avales otorgados</t>
  </si>
  <si>
    <t>10650</t>
  </si>
  <si>
    <t>S63</t>
  </si>
  <si>
    <t>Cartas de Crédito</t>
  </si>
  <si>
    <t>10820</t>
  </si>
  <si>
    <t>S64</t>
  </si>
  <si>
    <t>Otros instrumentos de Comercio Internacional</t>
  </si>
  <si>
    <t>10830</t>
  </si>
  <si>
    <t>T83</t>
  </si>
  <si>
    <t>Contractuales</t>
  </si>
  <si>
    <t>10651</t>
  </si>
  <si>
    <t>T84</t>
  </si>
  <si>
    <t>No Contractuales (distintos a los señalados en el concepto 10653)</t>
  </si>
  <si>
    <t>10652</t>
  </si>
  <si>
    <t>S101</t>
  </si>
  <si>
    <t>No contractuales derivadas del apoyo financiero a entidades y sociedades que formen parte del mismo grupo financiero, consorcio o grupo empresarial.</t>
  </si>
  <si>
    <t>10653</t>
  </si>
  <si>
    <t>S102</t>
  </si>
  <si>
    <t>Valor a mercado de las garantías entregadas</t>
  </si>
  <si>
    <t>10900</t>
  </si>
  <si>
    <t>S103</t>
  </si>
  <si>
    <t>Valor a mercado de las garantías entregadas por constitución de márgenes iniciales (únicamente se incluyen las garantías entregadas constituidas como márgenes iniciales en la fecha de corte de la información)</t>
  </si>
  <si>
    <t>10910</t>
  </si>
  <si>
    <t>S104</t>
  </si>
  <si>
    <t>Valor a mercado de las garantías entregadas (sin incluir el valor a mercado de las garantías constituidas como márgenes iniciales en la fecha de corte de la información)</t>
  </si>
  <si>
    <t>10920</t>
  </si>
  <si>
    <t>S105</t>
  </si>
  <si>
    <t xml:space="preserve">Valor a mercado de las garantías entregadas (garantías que el día previo a la fecha del reporte formaban parte del concepto 10900) en las que las que la liquidación de operaciones se llevó a cabo el día previo a la fecha del reporte. Se deberá utilizar el valor a mercado del día previo a la fecha del reporte. </t>
  </si>
  <si>
    <t>10930</t>
  </si>
  <si>
    <t>S106</t>
  </si>
  <si>
    <t>Variación positiva, del día de hoy respecto al día hábil previo, en el saldo de garantías entregadas que resulte de los cambios en la valuación de las operaciones con instrumentos financieros derivados, sin incluir las variaciones de los saldos de garantías entregadas que resulten de la  constitución de márgenes iniciales o de la liquidación de operaciones</t>
  </si>
  <si>
    <t>10940</t>
  </si>
  <si>
    <t>S107</t>
  </si>
  <si>
    <t>Variación negativa, del día de hoy respecto al día hábil previo, en el saldo de garantías entregadas que resulte de los cambios en la valuación de las operaciones con instrumentos financieros derivados, sin incluir las variaciones de los saldos de garantías entregadas que resulten de la  constitución de márgenes iniciales o de la liquidación de operaciones</t>
  </si>
  <si>
    <t>10950</t>
  </si>
  <si>
    <t>S108</t>
  </si>
  <si>
    <t>Valuación de mercado pasiva del portafolio de operaciones con instrumentos financieros derivados</t>
  </si>
  <si>
    <t>10960</t>
  </si>
  <si>
    <t>S109</t>
  </si>
  <si>
    <t xml:space="preserve">Valuación de mercado pasiva del portafolio de operaciones con instrumentos financieros derivados (únicamente las que correspondan a operaciones que no estén cubiertas con garantías previamente otorgadas o recibidas o que no hayan sido correspondidas por un intercambio de garantías) </t>
  </si>
  <si>
    <t>10970</t>
  </si>
  <si>
    <t>S110</t>
  </si>
  <si>
    <t>10980</t>
  </si>
  <si>
    <t>S111</t>
  </si>
  <si>
    <t>10990</t>
  </si>
  <si>
    <t>S112</t>
  </si>
  <si>
    <t>11000</t>
  </si>
  <si>
    <t>S113</t>
  </si>
  <si>
    <t xml:space="preserve">Valor a mercado de las garantías entregadas (garantías que el día previo a la fecha del reporte formaban parte del concepto 10980) en las que las que la liquidación de operaciones se llevó a cabo el día previo a la fecha del reporte. Se deberá utilizar el valor a mercado del día previo a la fecha del reporte. </t>
  </si>
  <si>
    <t>11010</t>
  </si>
  <si>
    <t>S114</t>
  </si>
  <si>
    <t>11020</t>
  </si>
  <si>
    <t>S115</t>
  </si>
  <si>
    <t>11030</t>
  </si>
  <si>
    <t>S116</t>
  </si>
  <si>
    <t>Valor a mercado de las garantías recibidas</t>
  </si>
  <si>
    <t>11050</t>
  </si>
  <si>
    <t>S117</t>
  </si>
  <si>
    <t>Valor a mercado de las garantías recibidas por constitución de márgenes iniciales (únicamente se incluyen las garantías recibidas como márgenes iniciales en la fecha de corte de la información)</t>
  </si>
  <si>
    <t>11060</t>
  </si>
  <si>
    <t>S118</t>
  </si>
  <si>
    <t>Valor a mercado de las garantías recibidas (sin incluir el valor a mercado de las garantías recibidas como márgenes iniciales en la fecha de corte de la información)</t>
  </si>
  <si>
    <t>11070</t>
  </si>
  <si>
    <t>S119</t>
  </si>
  <si>
    <t xml:space="preserve">Valor a mercado de las garantías recibidas (garantías que el día previo a la fecha del reporte formaban parte del concepto 11050) en las que la liquidación de operaciones se llevó a cabo el día previo a la fecha del reporte. Se deberá utilizar el valor a mercado del día previo a la fecha del reporte. </t>
  </si>
  <si>
    <t>11080</t>
  </si>
  <si>
    <t>S120</t>
  </si>
  <si>
    <t>Variación positiva, del día de hoy respecto al día hábil previo, en el saldo de garantías recibidas que resulte de los cambios en la valuación de las operaciones con instrumentos financieros derivados, sin incluir las variaciones de los saldos de garantías recibidas que resulten de la  constitución de márgenes iniciales o de la liquidación de operaciones</t>
  </si>
  <si>
    <t>11090</t>
  </si>
  <si>
    <t>S121</t>
  </si>
  <si>
    <t>Variación negativa, del día de hoy respecto al día hábil previo, en el saldo de garantías recibidas que resulte de los cambios en la valuación de las operaciones con instrumentos financieros derivados, sin incluir las variaciones de los saldos de garantías recibidas que resulten de la  constitución de márgenes iniciales o de la liquidación de operaciones</t>
  </si>
  <si>
    <t>11100</t>
  </si>
  <si>
    <t>S122</t>
  </si>
  <si>
    <t>Valuación de mercado activa del portafolio de operaciones con instrumentos financieros derivados</t>
  </si>
  <si>
    <t>11110</t>
  </si>
  <si>
    <t>S123</t>
  </si>
  <si>
    <t>Valuación de mercado activa del portafolio de operaciones con instrumentos financieros derivados (únicamente las que correspondan a operaciones que no estén cubiertas con garantías previamente otorgadas o recibidas o que no hayan sido correspondidas por un intercambio de garantías)</t>
  </si>
  <si>
    <t>11120</t>
  </si>
  <si>
    <t>S124</t>
  </si>
  <si>
    <t>Valuación de mercado (si la parte activa es mayor a la pasiva) de operaciones con instrumentos financieros derivados que sean iguales en términos del tipo de instrumento, plazo original, subyacente y nocional, pero en las cuales la exposición a movimientos de mercado sea contraria a operaciones consideradas en el flujo acumulado de garantías neto, conceptos 11130 y 11140. Únicamente se deberá registrar este concepto si dicha valuación se está excluyendo de la variación acumulada señalada en el inciso b) de la sección III del Anexo 4  de las Disposiciones</t>
  </si>
  <si>
    <t>11121</t>
  </si>
  <si>
    <t>S125</t>
  </si>
  <si>
    <t>Valuación de mercado (si la parte pasiva es mayor a la activa) de operaciones con instrumentos financieros derivados que sean iguales en términos del tipo de instrumento, plazo original, subyacente y nocional, pero en las cuales la exposición a movimientos de mercado sea contraria a operaciones consideradas en el flujo acumulado de garantías neto, conceptos 11130 y 11140. Únicamente se deberá registrar este concepto si dicha valuación se está excluyendo de la variación acumulada señalada en el inciso b) de la sección III del Anexo 4  de las Disposiciones</t>
  </si>
  <si>
    <t>11122</t>
  </si>
  <si>
    <t>S126</t>
  </si>
  <si>
    <t>Flujo de garantías positivo,  el cual corresponde a las variaciones en el saldo de garantías recibidas menos las variaciones en el saldo de garantías entregadas que resulte de los cambios en la valuación de las operaciones con instrumentos financieros derivados, sin incluir las variaciones de los saldos de garantías entregadas o recibidas que resulten de la constitución de márgenes iniciales o de la liquidación de operaciones</t>
  </si>
  <si>
    <t>11130</t>
  </si>
  <si>
    <t>S127</t>
  </si>
  <si>
    <t>Flujo de garantías negativo, el cual corresponde a las variaciones en el saldo de garantías recibidas menos las variaciones en el saldo de garantías entregadas que resulte de los cambios en la valuación de las operaciones con instrumentos financieros derivados, sin incluir las variaciones de los saldos de garantías entregadas o recibidas que resulten de la constitución de márgenes iniciales o de la liquidación de operaciones</t>
  </si>
  <si>
    <t>11140</t>
  </si>
  <si>
    <t>S128</t>
  </si>
  <si>
    <t xml:space="preserve">Valuación de mercado (si la parte activa es mayor a la pasiva) del portafolio de operaciones con instrumentos financieros derivados (únicamente las que correspondan a operaciones que no estén cubiertas con garantías previamente otorgadas o recibidas o que no hayan sido correspondidas por un intercambio de garantías) </t>
  </si>
  <si>
    <t>11150</t>
  </si>
  <si>
    <t>S129</t>
  </si>
  <si>
    <t xml:space="preserve">Valuación de mercado (si la parte pasiva es mayor a la activa) del portafolio de operaciones con instrumentos financieros derivados (únicamente las que correspondan a operaciones que no estén cubiertas con garantías previamente otorgadas o recibidas o que no hayan sido correspondidas por un intercambio de garantías) </t>
  </si>
  <si>
    <t>11160</t>
  </si>
  <si>
    <t>S130</t>
  </si>
  <si>
    <t>Variación positiva en la valuación de mercado del portafolio de operaciones con instrumentos financieros derivados entre la fecha de reporte y fecha de reporte -30 días que sean resultado de la liquidación de operaciones con instrumentos financieros derivados que formen parte del portafolio de operaciones que sean iguales en términos del tipo de instrumento, plazo original, subyacente y nocional, pero en las cuales la exposición a movimientos de mercado sea contraria a operaciones consideradas en los conceptos 11130 y 11140</t>
  </si>
  <si>
    <t>11170</t>
  </si>
  <si>
    <t>S131</t>
  </si>
  <si>
    <t>Variación negativa en la valuación de mercado del portafolio de operaciones con instrumentos financieros derivados entre la fecha de reporte y fecha de reporte -30 días que sean resultado de la liquidación de operaciones con instrumentos financieros derivados que formen parte del portafolio de operaciones que sean iguales en términos del tipo de instrumento, plazo original, subyacente y nocional, pero en las cuales la exposición a movimientos de mercado sea contraria a operaciones consideradas en los conceptos 11130 y 11140</t>
  </si>
  <si>
    <t>11180</t>
  </si>
  <si>
    <t>S132</t>
  </si>
  <si>
    <t>Variación positiva entre la fecha de reporte y fecha de reporte -30 días, en la valuación de mercado del portafolio de operaciones con instrumentos financieros derivados (únicamente las que correspondan a operaciones que no estén cubiertas con garantías previamente otorgadas o recibidas o que no hayan sido correspondidas por un intercambio de garantías) sin incluir las variaciones en la valuación de mercado registradas en el concepto 11170</t>
  </si>
  <si>
    <t>11190</t>
  </si>
  <si>
    <t>S133</t>
  </si>
  <si>
    <t>Variación negativa entre la fecha de reporte y fecha de reporte -30 días, en la valuación de mercado del portafolio de operaciones con instrumentos financieros derivados (únicamente las que correspondan a operaciones que no estén cubiertas con garantías previamente otorgadas o recibidas o que no hayan sido correspondidas por un intercambio de garantías) sin incluir las variaciones en la valuación de mercado registradas en el concepto 11180</t>
  </si>
  <si>
    <t>11200</t>
  </si>
  <si>
    <t>S134</t>
  </si>
  <si>
    <t>Flujo acumulado de garantías neto (variaciones en el saldo de garantías recibidas menos las variaciones en el saldo de garantías entregadas, sin incluir las variaciones que resulten de la constitución de márgenes iniciales o de la liquidación de operaciones) más la variación acumulada en la valuación de mercado de  operaciones con instrumentos financieros derivados (únicamente de operaciones que no estén cubiertas con garantías previamente otorgadas o recibidas o que no hayan sido correspondidas por un intercambio de garantías)</t>
  </si>
  <si>
    <t>11210</t>
  </si>
  <si>
    <t>ML3</t>
  </si>
  <si>
    <t>S47</t>
  </si>
  <si>
    <t>Flujos futuros de pagos de capital de Cartera de Credito Consumo</t>
  </si>
  <si>
    <t>ENTRADAS DE EFECTIVO</t>
  </si>
  <si>
    <t>15001</t>
  </si>
  <si>
    <t>S50</t>
  </si>
  <si>
    <t>Flujos futuros de pagos de Interes de Cartera de Credito Consumo</t>
  </si>
  <si>
    <t>15002</t>
  </si>
  <si>
    <t>E01</t>
  </si>
  <si>
    <t>Pago mínimo Consumo</t>
  </si>
  <si>
    <t>15003</t>
  </si>
  <si>
    <t>E02</t>
  </si>
  <si>
    <t>Pagos de principal Consumo No Revolvente</t>
  </si>
  <si>
    <t>15004</t>
  </si>
  <si>
    <t>E03</t>
  </si>
  <si>
    <t>Pagos de accesorios Consumo No Revolvente</t>
  </si>
  <si>
    <t>15005</t>
  </si>
  <si>
    <t>E04</t>
  </si>
  <si>
    <t>Pago mínimo Consumo Revolventes</t>
  </si>
  <si>
    <t>15006</t>
  </si>
  <si>
    <t>S48</t>
  </si>
  <si>
    <t>Flujos futuros de pagos de capital de Cartera de Credito Hipotecario</t>
  </si>
  <si>
    <t>15007</t>
  </si>
  <si>
    <t>S51</t>
  </si>
  <si>
    <t>Flujos futuros de pagos de Interes de Cartera de Credito Hipotecario</t>
  </si>
  <si>
    <t>15008</t>
  </si>
  <si>
    <t>E05</t>
  </si>
  <si>
    <t>Pagos de principal Hipotecaria</t>
  </si>
  <si>
    <t>15009</t>
  </si>
  <si>
    <t>E06</t>
  </si>
  <si>
    <t>Pagos de accesorios Hipotecaria</t>
  </si>
  <si>
    <t>15011</t>
  </si>
  <si>
    <t>S46</t>
  </si>
  <si>
    <t>Flujos futuros de pagos de capital de Cartera de Credito Comercial</t>
  </si>
  <si>
    <t>15012</t>
  </si>
  <si>
    <t>S49</t>
  </si>
  <si>
    <t>Flujos futuros de pagos de Interes de Cartera de Credito Comercial</t>
  </si>
  <si>
    <t>15013</t>
  </si>
  <si>
    <t>E07</t>
  </si>
  <si>
    <t>Pagos de principal Comercial sin atrasos</t>
  </si>
  <si>
    <t>15014</t>
  </si>
  <si>
    <t>E08</t>
  </si>
  <si>
    <t>Pagos de accesorios Comercial sin atrasos</t>
  </si>
  <si>
    <t>15015</t>
  </si>
  <si>
    <t>E51</t>
  </si>
  <si>
    <t>Pagos de principal</t>
  </si>
  <si>
    <t>15162</t>
  </si>
  <si>
    <t>E52</t>
  </si>
  <si>
    <t>Pagos de accesorios</t>
  </si>
  <si>
    <t>15163</t>
  </si>
  <si>
    <t>E53</t>
  </si>
  <si>
    <t>15164</t>
  </si>
  <si>
    <t>E54</t>
  </si>
  <si>
    <t>15165</t>
  </si>
  <si>
    <t>S66</t>
  </si>
  <si>
    <t>CRÉDITO A INSTITUCIONES NO FINANCIERAS, GOBIERNO MEXICANO, GOBIERNOS EXTRANJEROS Y ORGANISMOS DESCENTRALIZADOS DEL GOBIERNO FEDERA PAGO CAPITAL REVOLVENTE</t>
  </si>
  <si>
    <t>15016</t>
  </si>
  <si>
    <t>S67</t>
  </si>
  <si>
    <t>CRÉDITO A INSTITUCIONES NO FINANCIERAS, GOBIERNO MEXICANO, GOBIERNOS EXTRANJEROS Y ORGANISMOS DESCENTRALIZADOS DEL GOBIERNO FEDERA PAGO INTERESES REVOLVENTES</t>
  </si>
  <si>
    <t>15017</t>
  </si>
  <si>
    <t>S68</t>
  </si>
  <si>
    <t>CRÉDITO A INSTITUCIONES NO FINANCIERAS, GOBIERNO MEXICANO, GOBIERNOS EXTRANJEROS Y ORGANISMOS DESCENTRALIZADOS DEL GOBIERNO FEDERA PAGO CAPITAL NO REVOLVENTE</t>
  </si>
  <si>
    <t>15018</t>
  </si>
  <si>
    <t>S69</t>
  </si>
  <si>
    <t>CRÉDITO A INSTITUCIONES NO FINANCIERAS, GOBIERNO MEXICANO, GOBIERNOS EXTRANJEROS Y ORGANISMOS DESCENTRALIZADOS DEL GOBIERNO FEDERA PAGO INTERESES NO REVOLVENTES</t>
  </si>
  <si>
    <t>15019</t>
  </si>
  <si>
    <t>E09</t>
  </si>
  <si>
    <t>Pagos de principal credito INSTITUCIONES NO FINANCIERAS, GOBIERNO MEXICANO, GOBIERNOS EXTRANJEROS Y ORGANISMOS DESCENTRALIZADOS DEL GOBIERNO FEDERAL revolvente</t>
  </si>
  <si>
    <t>15021</t>
  </si>
  <si>
    <t>E10</t>
  </si>
  <si>
    <t>Pagos de accesorios credito INSTITUCIONES NO FINANCIERAS, GOBIERNO MEXICANO, GOBIERNOS EXTRANJEROS Y ORGANISMOS DESCENTRALIZADOS DEL GOBIERNO FEDERAL revolvente</t>
  </si>
  <si>
    <t>15022</t>
  </si>
  <si>
    <t>E11</t>
  </si>
  <si>
    <t>Pagos de principal credito INSTITUCIONES NO FINANCIERAS, GOBIERNO MEXICANO, GOBIERNOS EXTRANJEROS Y ORGANISMOS DESCENTRALIZADOS DEL GOBIERNO FEDERAL NO revolvente</t>
  </si>
  <si>
    <t>15023</t>
  </si>
  <si>
    <t>E12</t>
  </si>
  <si>
    <t>Pagos de accesorios credito INSTITUCIONES NO FINANCIERAS, GOBIERNO MEXICANO, GOBIERNOS EXTRANJEROS Y ORGANISMOS DESCENTRALIZADOS DEL GOBIERNO FEDERAL NO revolvente</t>
  </si>
  <si>
    <t>15024</t>
  </si>
  <si>
    <t>E13</t>
  </si>
  <si>
    <t>DEPÓSITOS A PLAZO EN BANCOS CENTRALES EXTRANJEROS</t>
  </si>
  <si>
    <t>15025</t>
  </si>
  <si>
    <t>E55</t>
  </si>
  <si>
    <t>15028</t>
  </si>
  <si>
    <t>E56</t>
  </si>
  <si>
    <t>15029</t>
  </si>
  <si>
    <t>E57</t>
  </si>
  <si>
    <t>15030</t>
  </si>
  <si>
    <t>E58</t>
  </si>
  <si>
    <t>15031</t>
  </si>
  <si>
    <t>E59</t>
  </si>
  <si>
    <t xml:space="preserve">Call money </t>
  </si>
  <si>
    <t>15032</t>
  </si>
  <si>
    <t>S52</t>
  </si>
  <si>
    <t>financiamiento otorgado garantizado Con Activos de Nivel 1</t>
  </si>
  <si>
    <t>15261</t>
  </si>
  <si>
    <t>S5202</t>
  </si>
  <si>
    <t>financiamiento otorgado garantizado Con Activos de Nivel 2A</t>
  </si>
  <si>
    <t>15262</t>
  </si>
  <si>
    <t>S5203</t>
  </si>
  <si>
    <t>financiamiento otorgado garantizado Con Activos de Nivel 2B (Únicamente títulos de deuda elegibles respaldados por hipotecas residenciales)</t>
  </si>
  <si>
    <t>15263</t>
  </si>
  <si>
    <t>S5204</t>
  </si>
  <si>
    <t>financiamiento otorgado garantizado Con Activos de Nivel 2B (Distintos a los respaldados por hipotecas residenciales)</t>
  </si>
  <si>
    <t>15264</t>
  </si>
  <si>
    <t>S5205</t>
  </si>
  <si>
    <t>financiamiento otorgado garantizado Con Activos no Líquidos</t>
  </si>
  <si>
    <t>15265</t>
  </si>
  <si>
    <t>E16</t>
  </si>
  <si>
    <t>Premios e intereses a recibir por operaciones de financiamiento otorgado colateralizado</t>
  </si>
  <si>
    <t>15267</t>
  </si>
  <si>
    <t>S53</t>
  </si>
  <si>
    <t>Tenencia de Acciones</t>
  </si>
  <si>
    <t>15269</t>
  </si>
  <si>
    <t>S5302</t>
  </si>
  <si>
    <t>15271</t>
  </si>
  <si>
    <t>E17</t>
  </si>
  <si>
    <t>Moneda a recibir por Operaciones Cambiarias fecha valor (no se deberán compensar los flujos de salida con los flujos de entrada)</t>
  </si>
  <si>
    <t>15656</t>
  </si>
  <si>
    <t>E18</t>
  </si>
  <si>
    <t>Suma de los Flujos de entrada resultantes de compensar la moneda a recibir con la moneda a entregar de cada una de las Operaciones Cambiarias</t>
  </si>
  <si>
    <t>15657</t>
  </si>
  <si>
    <t>E19</t>
  </si>
  <si>
    <t>Suma de los Flujos de entrada resultantes de compensar la moneda con los títulos de deuda de cada una de las Operaciones de Compra Venta de títulos fecha valor</t>
  </si>
  <si>
    <t>15658</t>
  </si>
  <si>
    <t>E20</t>
  </si>
  <si>
    <t>Flujos de entrada por pagos contractuales de operaciones con instrumentos financieros derivados pendientes de liquidar</t>
  </si>
  <si>
    <t>15659</t>
  </si>
  <si>
    <t>E37</t>
  </si>
  <si>
    <t>15687</t>
  </si>
  <si>
    <t>E38</t>
  </si>
  <si>
    <t>15688</t>
  </si>
  <si>
    <t>E39</t>
  </si>
  <si>
    <t>15689</t>
  </si>
  <si>
    <t>E40</t>
  </si>
  <si>
    <t>15691</t>
  </si>
  <si>
    <t>E41</t>
  </si>
  <si>
    <t>15692</t>
  </si>
  <si>
    <t>E42</t>
  </si>
  <si>
    <t>15693</t>
  </si>
  <si>
    <t>E43</t>
  </si>
  <si>
    <t>Total de flujos de entrada a valor de mercado que NO pueden compensarse por no formar parte de un contrato marco de compensación</t>
  </si>
  <si>
    <t>15694</t>
  </si>
  <si>
    <t>E44</t>
  </si>
  <si>
    <t>15695</t>
  </si>
  <si>
    <t>E45</t>
  </si>
  <si>
    <t>15696</t>
  </si>
  <si>
    <t>E46</t>
  </si>
  <si>
    <t>15697</t>
  </si>
  <si>
    <t>E47</t>
  </si>
  <si>
    <t>15698</t>
  </si>
  <si>
    <t>E48</t>
  </si>
  <si>
    <t>15699</t>
  </si>
  <si>
    <t>E49</t>
  </si>
  <si>
    <t>15700</t>
  </si>
  <si>
    <t>E50</t>
  </si>
  <si>
    <t>Total de flujos de entrada a valor de mercado que pueden compensarse por formar parte de un contrato marco de compensación</t>
  </si>
  <si>
    <t>15701</t>
  </si>
  <si>
    <t>Derivados compensables</t>
  </si>
  <si>
    <t>E34</t>
  </si>
  <si>
    <t>Total de flujos contractuales de entrada que se tenga programado recibir durante los próximos 30 días por operaciones de derivados compensados con los flujos contractuales de salida que se tenga programado entregar durante los próximos 30 días por formar parte de un contrato marco de compensación</t>
  </si>
  <si>
    <t>15684</t>
  </si>
  <si>
    <t>E35</t>
  </si>
  <si>
    <t>Total de los flujos contractuales de entrada que se tenga programado recibir durante los próximos 30 días para instrumentos financieros derivados extrabursátiles que NO pueden compensarse por no formar parte de un contrato marco de compensación netos de las garantías de nivel 1, 2A y 2B recibidas  sobre los cuales se tengan derechos de uso o reutilización</t>
  </si>
  <si>
    <t>15685</t>
  </si>
  <si>
    <t>E36</t>
  </si>
  <si>
    <t>Total de flujos contractuales de entrada que se tenga programado recibir durante los próximos 30 días por operaciones de derivados compensados con los flujos contractuales de salida que se tenga programado entregar durante los próximos 30 días por formar parte de un contrato marco de compensación, netos de las garantías de nivel 1, 2A y 2B recibidas sobre los cuales se tengan derechos de uso o reutilización</t>
  </si>
  <si>
    <t>15686</t>
  </si>
  <si>
    <t>E31</t>
  </si>
  <si>
    <t>Suma de las garantías de nivel 1, 2A y 2B recibidas por operaciones de derivados para las cuales se tiene celebrado un contrato marco de compensación</t>
  </si>
  <si>
    <t>15682</t>
  </si>
  <si>
    <t>E32</t>
  </si>
  <si>
    <t>Suma de las garantías de nivel 1, 2A y 2B recibidas por operaciones de derivados para las cuales NO se tiene celebrado un contrato marco de compensación</t>
  </si>
  <si>
    <t>15683</t>
  </si>
  <si>
    <t>E60</t>
  </si>
  <si>
    <t>Garantías de Nivel 1 recibidas en operaciones de derivados</t>
  </si>
  <si>
    <t>15741</t>
  </si>
  <si>
    <t>E61</t>
  </si>
  <si>
    <t>Garantías de Nivel 1 recibidas en otras operaciones</t>
  </si>
  <si>
    <t>15742</t>
  </si>
  <si>
    <t>E62</t>
  </si>
  <si>
    <t>Garantías de Nivel 2A recibidas en operaciones de derivados</t>
  </si>
  <si>
    <t>15743</t>
  </si>
  <si>
    <t>E63</t>
  </si>
  <si>
    <t>Garantías de Nivel 2A recibidas en otras operaciones</t>
  </si>
  <si>
    <t>15744</t>
  </si>
  <si>
    <t>E64</t>
  </si>
  <si>
    <t>Garantías de Nivel 2B recibidas en operaciones de derivados</t>
  </si>
  <si>
    <t>15745</t>
  </si>
  <si>
    <t>E65</t>
  </si>
  <si>
    <t>Garantías de Nivel 2B recibidas en otras operaciones</t>
  </si>
  <si>
    <t>15746</t>
  </si>
  <si>
    <t>E66</t>
  </si>
  <si>
    <t>Garantías distintas a Nivel 1, Nivel 2A y Nivel 2B recibidas en operaciones de derivados</t>
  </si>
  <si>
    <t>15747</t>
  </si>
  <si>
    <t>E67</t>
  </si>
  <si>
    <t>Garantías distintas a Nivel 1, Nivel 2A y Nivel 2B recibidas en otras operaciones</t>
  </si>
  <si>
    <t>15748</t>
  </si>
  <si>
    <t>E33</t>
  </si>
  <si>
    <t>Otras Entradas de Efectivo no consideradas en los renglones anteriores</t>
  </si>
  <si>
    <t>15740</t>
  </si>
  <si>
    <t>E68</t>
  </si>
  <si>
    <t>Otorgadas por entidades financieras nacionales</t>
  </si>
  <si>
    <t>15749</t>
  </si>
  <si>
    <t>E69</t>
  </si>
  <si>
    <t>Otorgadas por entidades financieras extranjeras</t>
  </si>
  <si>
    <t>15750</t>
  </si>
  <si>
    <t>E70</t>
  </si>
  <si>
    <t>Personas físicas y a personas morales no financieras con ingresos netos o ventas netas anuales menores al equivalente a 14 millones de UDIs, de acuerdo con su último estado financiero, con cifras que tengan una antigüedad no mayor a 18 meses. (Complemento del concepto 10638)</t>
  </si>
  <si>
    <t>15760</t>
  </si>
  <si>
    <t>E71</t>
  </si>
  <si>
    <t>Personas físicas y morales no financieras distintas a las anteriores. (Complemento del concepto 10639)</t>
  </si>
  <si>
    <t>15770</t>
  </si>
  <si>
    <t>E72</t>
  </si>
  <si>
    <t>Instituciones de banca múltiple (Complemento del concepto 10640)</t>
  </si>
  <si>
    <t>15780</t>
  </si>
  <si>
    <t>E73</t>
  </si>
  <si>
    <t>Otorgadas a personas morales financieras distintas de Instituciones de Banca Múltiple. (Complemento del concepto 10641)</t>
  </si>
  <si>
    <t>15790</t>
  </si>
  <si>
    <t>E74</t>
  </si>
  <si>
    <t>Personas físicas y a personas morales no financieras con ingresos netos o ventas netas anuales menores al equivalente a 14 millones de UDIs, de acuerdo con su último estado financiero, con cifras que tengan una antigüedad no mayor a 18 meses. (Complemento del concepto 10642)</t>
  </si>
  <si>
    <t>15800</t>
  </si>
  <si>
    <t>E75</t>
  </si>
  <si>
    <t>Personas físicas y morales no financieras distintas a las anteriores. (Complemento del concepto 10643)</t>
  </si>
  <si>
    <t>15810</t>
  </si>
  <si>
    <t>E76</t>
  </si>
  <si>
    <t>Instituciones de banca múltiple. (Complemento del concepto 10644)</t>
  </si>
  <si>
    <t>15820</t>
  </si>
  <si>
    <t>E77</t>
  </si>
  <si>
    <t>Otorgadas a personas morales financieras distintas de Instituciones de Banca Múltiple. (Complemento del concepto 10645)</t>
  </si>
  <si>
    <t>15830</t>
  </si>
  <si>
    <t>E78</t>
  </si>
  <si>
    <t>Personas físicas y a personas morales no financieras con ingresos netos o ventas netas anuales menores al equivalente a 14 millones de UDIs, de acuerdo con su último estado financiero, con cifras que tengan una antigüedad no mayor a 18 meses. (Complemento del concepto 10646)</t>
  </si>
  <si>
    <t>15840</t>
  </si>
  <si>
    <t>E79</t>
  </si>
  <si>
    <t>Personas físicas y morales no financieras distintas a las anteriores. (Complemento del concepto 10647)</t>
  </si>
  <si>
    <t>15850</t>
  </si>
  <si>
    <t>E80</t>
  </si>
  <si>
    <t>Instituciones de banca múltiple. (Complemento del concepto 10648)</t>
  </si>
  <si>
    <t>15860</t>
  </si>
  <si>
    <t>E81</t>
  </si>
  <si>
    <t>Otorgadas a personas morales financieras distintas de Instituciones de Banca Múltiple. (Complemento del concepto 10649)</t>
  </si>
  <si>
    <t>15870</t>
  </si>
  <si>
    <t>Clave</t>
  </si>
  <si>
    <t>AED</t>
  </si>
  <si>
    <t>Dírham de los Emiratos Árabes Unidos</t>
  </si>
  <si>
    <t>AFN</t>
  </si>
  <si>
    <t>Afgani</t>
  </si>
  <si>
    <t>ALL</t>
  </si>
  <si>
    <t>Lek</t>
  </si>
  <si>
    <t>AMD</t>
  </si>
  <si>
    <t>Dram armenio</t>
  </si>
  <si>
    <t>ANG</t>
  </si>
  <si>
    <t>Florín antillano neerlandés</t>
  </si>
  <si>
    <t>AOA</t>
  </si>
  <si>
    <t>Kwanza</t>
  </si>
  <si>
    <t>ARS</t>
  </si>
  <si>
    <t>Peso argentino</t>
  </si>
  <si>
    <t>AUD</t>
  </si>
  <si>
    <t>Dólar australiano</t>
  </si>
  <si>
    <t>AWG</t>
  </si>
  <si>
    <t>Florín arubeño</t>
  </si>
  <si>
    <t>AZN</t>
  </si>
  <si>
    <t>Manat azerbaiyano</t>
  </si>
  <si>
    <t>BAM</t>
  </si>
  <si>
    <t>Marco convertible</t>
  </si>
  <si>
    <t>BBD</t>
  </si>
  <si>
    <t>Dólar de Barbados</t>
  </si>
  <si>
    <t>BDT</t>
  </si>
  <si>
    <t>Taka</t>
  </si>
  <si>
    <t>BGN</t>
  </si>
  <si>
    <t>Lev búlgaro</t>
  </si>
  <si>
    <t>BHD</t>
  </si>
  <si>
    <t>Dinar bareiní</t>
  </si>
  <si>
    <t>BIF</t>
  </si>
  <si>
    <t>Franco de Burundi</t>
  </si>
  <si>
    <t>BMD</t>
  </si>
  <si>
    <t>Dólar bermudeño</t>
  </si>
  <si>
    <t>BND</t>
  </si>
  <si>
    <t>Dólar de Brunéi</t>
  </si>
  <si>
    <t>BOB</t>
  </si>
  <si>
    <t>Boliviano</t>
  </si>
  <si>
    <t>BOV</t>
  </si>
  <si>
    <t>MVDOL</t>
  </si>
  <si>
    <t>BRL</t>
  </si>
  <si>
    <t>Real brasileño</t>
  </si>
  <si>
    <t>BSD</t>
  </si>
  <si>
    <t>Dólar bahameño</t>
  </si>
  <si>
    <t>BTN</t>
  </si>
  <si>
    <t>Ngultrum</t>
  </si>
  <si>
    <t>BWP</t>
  </si>
  <si>
    <t>Pula</t>
  </si>
  <si>
    <t>BYN</t>
  </si>
  <si>
    <t>Rublo bielorruso</t>
  </si>
  <si>
    <t>BZD</t>
  </si>
  <si>
    <t>Dólar beliceño</t>
  </si>
  <si>
    <t>CAD</t>
  </si>
  <si>
    <t>Dólar canadiense</t>
  </si>
  <si>
    <t>CDF</t>
  </si>
  <si>
    <t>Franco congoleño</t>
  </si>
  <si>
    <t>CHE</t>
  </si>
  <si>
    <t>Euro WIR</t>
  </si>
  <si>
    <t>CHF</t>
  </si>
  <si>
    <t>Franco suizo</t>
  </si>
  <si>
    <t>CHW</t>
  </si>
  <si>
    <t>Franco WIR</t>
  </si>
  <si>
    <t>CLF</t>
  </si>
  <si>
    <t>Unidad de fomento</t>
  </si>
  <si>
    <t>CLP</t>
  </si>
  <si>
    <t>Peso chileno</t>
  </si>
  <si>
    <t>CNY</t>
  </si>
  <si>
    <t>Yuan chino</t>
  </si>
  <si>
    <t>COP</t>
  </si>
  <si>
    <t>Peso colombiano</t>
  </si>
  <si>
    <t>COU</t>
  </si>
  <si>
    <t>Unidad de valor real</t>
  </si>
  <si>
    <t>CRC</t>
  </si>
  <si>
    <t>Colón costarricense</t>
  </si>
  <si>
    <t>CUC</t>
  </si>
  <si>
    <t>Peso convertible</t>
  </si>
  <si>
    <t>CUP</t>
  </si>
  <si>
    <t>Peso cubano</t>
  </si>
  <si>
    <t>CVE</t>
  </si>
  <si>
    <t>Escudo caboverdiano</t>
  </si>
  <si>
    <t>CZK</t>
  </si>
  <si>
    <t>Corona checa</t>
  </si>
  <si>
    <t>DJF</t>
  </si>
  <si>
    <t>Franco yibutiano</t>
  </si>
  <si>
    <t>DKK</t>
  </si>
  <si>
    <t>Corona danesa</t>
  </si>
  <si>
    <t>DOP</t>
  </si>
  <si>
    <t>Peso dominicano</t>
  </si>
  <si>
    <t>DZD</t>
  </si>
  <si>
    <t>Dinar argelino</t>
  </si>
  <si>
    <t>EGP</t>
  </si>
  <si>
    <t>Libra egipcia</t>
  </si>
  <si>
    <t>ERN</t>
  </si>
  <si>
    <t>Nakfa</t>
  </si>
  <si>
    <t>ETB</t>
  </si>
  <si>
    <t>Birr etíope</t>
  </si>
  <si>
    <t>EUR</t>
  </si>
  <si>
    <t>Euro</t>
  </si>
  <si>
    <t>FJD</t>
  </si>
  <si>
    <t>Dólar fiyiano</t>
  </si>
  <si>
    <t>FKP</t>
  </si>
  <si>
    <t>Libra malvinense</t>
  </si>
  <si>
    <t>GBP</t>
  </si>
  <si>
    <t>Libra esterlina</t>
  </si>
  <si>
    <t>GEL</t>
  </si>
  <si>
    <t>Lari</t>
  </si>
  <si>
    <t>GHS</t>
  </si>
  <si>
    <t>Cedi ghanés</t>
  </si>
  <si>
    <t>GIP</t>
  </si>
  <si>
    <t>Libra de Gibraltar</t>
  </si>
  <si>
    <t>GMD</t>
  </si>
  <si>
    <t>Dalasi</t>
  </si>
  <si>
    <t>GNF</t>
  </si>
  <si>
    <t>Franco guineano</t>
  </si>
  <si>
    <t>GTQ</t>
  </si>
  <si>
    <t>Quetzal</t>
  </si>
  <si>
    <t>GYD</t>
  </si>
  <si>
    <t>Dólar guyanés</t>
  </si>
  <si>
    <t>HKD</t>
  </si>
  <si>
    <t>Dólar de Hong Kong</t>
  </si>
  <si>
    <t>HNL</t>
  </si>
  <si>
    <t>Lempira</t>
  </si>
  <si>
    <t>HRK</t>
  </si>
  <si>
    <t>Kuna</t>
  </si>
  <si>
    <t>HTG</t>
  </si>
  <si>
    <t>Gourde</t>
  </si>
  <si>
    <t>HUF</t>
  </si>
  <si>
    <t>Forinto</t>
  </si>
  <si>
    <t>IDR</t>
  </si>
  <si>
    <t>Rupia indonesia</t>
  </si>
  <si>
    <t>ILS</t>
  </si>
  <si>
    <t>Nuevo shéquel israelí</t>
  </si>
  <si>
    <t>INR</t>
  </si>
  <si>
    <t>Rupia india</t>
  </si>
  <si>
    <t>IQD</t>
  </si>
  <si>
    <t>Dinar iraquí</t>
  </si>
  <si>
    <t>IRR</t>
  </si>
  <si>
    <t>Rial iraní</t>
  </si>
  <si>
    <t>ISK</t>
  </si>
  <si>
    <t>Corona islandesa</t>
  </si>
  <si>
    <t>JMD</t>
  </si>
  <si>
    <t>Dólar jamaiquino</t>
  </si>
  <si>
    <t>JOD</t>
  </si>
  <si>
    <t>Dinar jordano</t>
  </si>
  <si>
    <t>JPY</t>
  </si>
  <si>
    <t>Yen</t>
  </si>
  <si>
    <t>KES</t>
  </si>
  <si>
    <t>Chelín keniano</t>
  </si>
  <si>
    <t>KGS</t>
  </si>
  <si>
    <t>Som</t>
  </si>
  <si>
    <t>KHR</t>
  </si>
  <si>
    <t>Riel</t>
  </si>
  <si>
    <t>KMF</t>
  </si>
  <si>
    <t>Franco comorense</t>
  </si>
  <si>
    <t>KPW</t>
  </si>
  <si>
    <t>Won norcoreano</t>
  </si>
  <si>
    <t>KRW</t>
  </si>
  <si>
    <t>Won</t>
  </si>
  <si>
    <t>KWD</t>
  </si>
  <si>
    <t>Dinar kuwaití</t>
  </si>
  <si>
    <t>KYD</t>
  </si>
  <si>
    <t>Dólar de las Islas Caimán</t>
  </si>
  <si>
    <t>KZT</t>
  </si>
  <si>
    <t>Tenge</t>
  </si>
  <si>
    <t>LAK</t>
  </si>
  <si>
    <t>Kip</t>
  </si>
  <si>
    <t>LBP</t>
  </si>
  <si>
    <t>Libra libanesa</t>
  </si>
  <si>
    <t>LKR</t>
  </si>
  <si>
    <t>Rupia de Sri Lanka</t>
  </si>
  <si>
    <t>LRD</t>
  </si>
  <si>
    <t>Dólar liberiano</t>
  </si>
  <si>
    <t>LSL</t>
  </si>
  <si>
    <t>Loti</t>
  </si>
  <si>
    <t>LYD</t>
  </si>
  <si>
    <t>Dinar libio</t>
  </si>
  <si>
    <t>MAD</t>
  </si>
  <si>
    <t>Dírham marroquí</t>
  </si>
  <si>
    <t>MDL</t>
  </si>
  <si>
    <t>Leu moldavo</t>
  </si>
  <si>
    <t>MGA</t>
  </si>
  <si>
    <t>Ariary malgache</t>
  </si>
  <si>
    <t>MKD</t>
  </si>
  <si>
    <t>Denar</t>
  </si>
  <si>
    <t>MMK</t>
  </si>
  <si>
    <t>Kyat</t>
  </si>
  <si>
    <t>MNT</t>
  </si>
  <si>
    <t>Tugrik</t>
  </si>
  <si>
    <t>MOP</t>
  </si>
  <si>
    <t>Pataca</t>
  </si>
  <si>
    <t>MRU</t>
  </si>
  <si>
    <t>Uguiya</t>
  </si>
  <si>
    <t>MUR</t>
  </si>
  <si>
    <t>Rupia de Mauricio</t>
  </si>
  <si>
    <t>MVR</t>
  </si>
  <si>
    <t>Rufiyaa</t>
  </si>
  <si>
    <t>MWK</t>
  </si>
  <si>
    <t>Kwacha</t>
  </si>
  <si>
    <t>MXN</t>
  </si>
  <si>
    <t>Peso mexicano</t>
  </si>
  <si>
    <t>MXV</t>
  </si>
  <si>
    <t>Unidad de Inversión (UDI) mexicana</t>
  </si>
  <si>
    <t>MYR</t>
  </si>
  <si>
    <t>Ringgit malayo</t>
  </si>
  <si>
    <t>MZN</t>
  </si>
  <si>
    <t>Metical mozambiqueño</t>
  </si>
  <si>
    <t>NAD</t>
  </si>
  <si>
    <t>Dólar namibio</t>
  </si>
  <si>
    <t>NGN</t>
  </si>
  <si>
    <t>Naira</t>
  </si>
  <si>
    <t>NIO</t>
  </si>
  <si>
    <t>Córdoba</t>
  </si>
  <si>
    <t>NOK</t>
  </si>
  <si>
    <t>Corona noruega</t>
  </si>
  <si>
    <t>NPR</t>
  </si>
  <si>
    <t>Rupia nepalí</t>
  </si>
  <si>
    <t>NZD</t>
  </si>
  <si>
    <t>Dólar neozelandés</t>
  </si>
  <si>
    <t>OMR</t>
  </si>
  <si>
    <t>Rial omaní</t>
  </si>
  <si>
    <t>PAB</t>
  </si>
  <si>
    <t>Balboa</t>
  </si>
  <si>
    <t>PEN</t>
  </si>
  <si>
    <t>Sol</t>
  </si>
  <si>
    <t>PGK</t>
  </si>
  <si>
    <t>Kina</t>
  </si>
  <si>
    <t>PHP</t>
  </si>
  <si>
    <t>Peso filipino</t>
  </si>
  <si>
    <t>PKR</t>
  </si>
  <si>
    <t>Rupia pakistaní</t>
  </si>
  <si>
    <t>PLN</t>
  </si>
  <si>
    <t>Złoty</t>
  </si>
  <si>
    <t>PYG</t>
  </si>
  <si>
    <t>Guaraní</t>
  </si>
  <si>
    <t>QAR</t>
  </si>
  <si>
    <t>Riyal qatarí</t>
  </si>
  <si>
    <t>RON</t>
  </si>
  <si>
    <t>Leu rumano</t>
  </si>
  <si>
    <t>RSD</t>
  </si>
  <si>
    <t>Dinar serbio</t>
  </si>
  <si>
    <t>RUB</t>
  </si>
  <si>
    <t>Rublo ruso</t>
  </si>
  <si>
    <t>RWF</t>
  </si>
  <si>
    <t>Franco ruandés</t>
  </si>
  <si>
    <t>SAR</t>
  </si>
  <si>
    <t>Riyal saudí</t>
  </si>
  <si>
    <t>SBD</t>
  </si>
  <si>
    <t>Dólar de las Islas Salomón</t>
  </si>
  <si>
    <t>SCR</t>
  </si>
  <si>
    <t>Rupia seychelense</t>
  </si>
  <si>
    <t>SDG</t>
  </si>
  <si>
    <t>Dinar sudanés</t>
  </si>
  <si>
    <t>SEK</t>
  </si>
  <si>
    <t>Corona sueca</t>
  </si>
  <si>
    <t>SGD</t>
  </si>
  <si>
    <t>Dólar de Singapur</t>
  </si>
  <si>
    <t>SHP</t>
  </si>
  <si>
    <t>Libra de Santa Elena</t>
  </si>
  <si>
    <t>SLL</t>
  </si>
  <si>
    <t>Leone</t>
  </si>
  <si>
    <t>SOS</t>
  </si>
  <si>
    <t>Chelín somalí</t>
  </si>
  <si>
    <t>SRD</t>
  </si>
  <si>
    <t>Dólar surinamés</t>
  </si>
  <si>
    <t>SSP</t>
  </si>
  <si>
    <t>Libra sursudanesa</t>
  </si>
  <si>
    <t>STN</t>
  </si>
  <si>
    <t>Dobra</t>
  </si>
  <si>
    <t>SVC</t>
  </si>
  <si>
    <t>Colon Salvadoreño</t>
  </si>
  <si>
    <t>SYP</t>
  </si>
  <si>
    <t>Libra siria</t>
  </si>
  <si>
    <t>SZL</t>
  </si>
  <si>
    <t>Lilangeni</t>
  </si>
  <si>
    <t>THB</t>
  </si>
  <si>
    <t>Baht</t>
  </si>
  <si>
    <t>TJS</t>
  </si>
  <si>
    <t>Somoni tayiko</t>
  </si>
  <si>
    <t>TMT</t>
  </si>
  <si>
    <t>Manat turcomano</t>
  </si>
  <si>
    <t>TND</t>
  </si>
  <si>
    <t>Dinar tunecino</t>
  </si>
  <si>
    <t>TOP</t>
  </si>
  <si>
    <t>Paʻanga</t>
  </si>
  <si>
    <t>TRY</t>
  </si>
  <si>
    <t>Lira turca</t>
  </si>
  <si>
    <t>TTD</t>
  </si>
  <si>
    <t>Dólar de Trinidad y Tobago</t>
  </si>
  <si>
    <t>TWD</t>
  </si>
  <si>
    <t>Nuevo dólar taiwanés</t>
  </si>
  <si>
    <t>TZS</t>
  </si>
  <si>
    <t>Chelín tanzano</t>
  </si>
  <si>
    <t>UAH</t>
  </si>
  <si>
    <t>Grivna</t>
  </si>
  <si>
    <t>UGX</t>
  </si>
  <si>
    <t>Chelín ugandés</t>
  </si>
  <si>
    <t>USD</t>
  </si>
  <si>
    <t>Dólar estadounidense</t>
  </si>
  <si>
    <t>USN</t>
  </si>
  <si>
    <t>Dólar estadounidense (Siguiente día)</t>
  </si>
  <si>
    <t>UYI</t>
  </si>
  <si>
    <t>Peso en Unidades Indexadas (Uruguay)</t>
  </si>
  <si>
    <t>UYU</t>
  </si>
  <si>
    <t>Peso uruguayo</t>
  </si>
  <si>
    <t>UYW</t>
  </si>
  <si>
    <t>Unidad Previsional</t>
  </si>
  <si>
    <t>UZS</t>
  </si>
  <si>
    <t>Som uzbeko</t>
  </si>
  <si>
    <t>VES7​</t>
  </si>
  <si>
    <t>Bolívar soberano</t>
  </si>
  <si>
    <t>VND</t>
  </si>
  <si>
    <t>Dong vietnamita</t>
  </si>
  <si>
    <t>VUV</t>
  </si>
  <si>
    <t>Vatu</t>
  </si>
  <si>
    <t>WST</t>
  </si>
  <si>
    <t>Tala</t>
  </si>
  <si>
    <t>XAF</t>
  </si>
  <si>
    <t>Franco CFA de África Central</t>
  </si>
  <si>
    <t>XAG</t>
  </si>
  <si>
    <t>Plata (una onza troy)</t>
  </si>
  <si>
    <t>XAU</t>
  </si>
  <si>
    <t>Oro (una onza troy)</t>
  </si>
  <si>
    <t>XBA</t>
  </si>
  <si>
    <t>Unidad compuesta europea (EURCO) (Unidad del mercados de bonos)</t>
  </si>
  <si>
    <t>XBB</t>
  </si>
  <si>
    <t>Unidad Monetaria europea (E.M.U.-6) (Unidad del mercado de bonos)</t>
  </si>
  <si>
    <t>XBC</t>
  </si>
  <si>
    <t>Unidad europea de cuenta 9 (E.U.A.-9) (Unidad del mercado de bonos)</t>
  </si>
  <si>
    <t>XBD</t>
  </si>
  <si>
    <t>Unidad europea de cuenta 17 (E.U.A.-17) (Unidad del mercado de bonos)</t>
  </si>
  <si>
    <t>XCD</t>
  </si>
  <si>
    <t>Dólar del Caribe Oriental</t>
  </si>
  <si>
    <t>XDR</t>
  </si>
  <si>
    <t>Derechos especiales de giro</t>
  </si>
  <si>
    <t>XOF</t>
  </si>
  <si>
    <t>Franco CFA de África Occidental</t>
  </si>
  <si>
    <t>XPD</t>
  </si>
  <si>
    <t>Paladio (una onza troy)</t>
  </si>
  <si>
    <t>XPF</t>
  </si>
  <si>
    <t>Franco CFP</t>
  </si>
  <si>
    <t>XPT</t>
  </si>
  <si>
    <t>Platino (una onza troy)</t>
  </si>
  <si>
    <t>XSU</t>
  </si>
  <si>
    <t>SUCRE</t>
  </si>
  <si>
    <t>XTS</t>
  </si>
  <si>
    <t>Reservado para pruebas</t>
  </si>
  <si>
    <t>XUA</t>
  </si>
  <si>
    <t>Unidad de cuenta BAD</t>
  </si>
  <si>
    <t>XXX</t>
  </si>
  <si>
    <t>Sin divisa</t>
  </si>
  <si>
    <t>YER</t>
  </si>
  <si>
    <t>Rial yemení</t>
  </si>
  <si>
    <t>ZAR</t>
  </si>
  <si>
    <t>Rand</t>
  </si>
  <si>
    <t>ZMW</t>
  </si>
  <si>
    <t>Kwacha zambiano</t>
  </si>
  <si>
    <t>ZWL</t>
  </si>
  <si>
    <t>Dólar zimbabuense</t>
  </si>
  <si>
    <t>Codigo</t>
  </si>
  <si>
    <t>Group</t>
  </si>
  <si>
    <t>I</t>
  </si>
  <si>
    <t>Grupo I Gobierno Federal</t>
  </si>
  <si>
    <t>II</t>
  </si>
  <si>
    <t>Grupo II Bancos Centrales</t>
  </si>
  <si>
    <t>III</t>
  </si>
  <si>
    <t>Grupo III Entidades Financieras Mexicanas</t>
  </si>
  <si>
    <t>IV_0</t>
  </si>
  <si>
    <t>Grupo IV (Banca de Desarrollo)</t>
  </si>
  <si>
    <t>IV_20</t>
  </si>
  <si>
    <t>Grupo IV (otros organismos descentralizados)</t>
  </si>
  <si>
    <t>V</t>
  </si>
  <si>
    <t>Grupo V Estados y Municipios</t>
  </si>
  <si>
    <t>VI</t>
  </si>
  <si>
    <t>Grupo VI Consumo e Hipotecario</t>
  </si>
  <si>
    <t>VII_A</t>
  </si>
  <si>
    <t>Grupo VII-A Otras personas morales</t>
  </si>
  <si>
    <t>VII_B</t>
  </si>
  <si>
    <t>Grupo VII-B Proyectos de infraestructura</t>
  </si>
  <si>
    <t>VIII</t>
  </si>
  <si>
    <t>Grupo VIII Cartera  Vencida</t>
  </si>
  <si>
    <t>IX</t>
  </si>
  <si>
    <t xml:space="preserve">Grupo IX Otros </t>
  </si>
  <si>
    <t>X</t>
  </si>
  <si>
    <t>Grupo X  Incumplimientos e Inversiones Accionarias</t>
  </si>
  <si>
    <t xml:space="preserve">Código </t>
  </si>
  <si>
    <t>Sin Plazo</t>
  </si>
  <si>
    <t>1 a 30 dias</t>
  </si>
  <si>
    <t>Mayor a 30 dias</t>
  </si>
  <si>
    <t>31 a 60 Dias</t>
  </si>
  <si>
    <t>61 a 90 dias</t>
  </si>
  <si>
    <t>91 a 180 dias</t>
  </si>
  <si>
    <t>181 a 270 dias</t>
  </si>
  <si>
    <t>271 a 360 dias</t>
  </si>
  <si>
    <t>Mayor a 360 dias</t>
  </si>
  <si>
    <t>Menor o igual a 360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</si>
</sst>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name val="Arial"/>
      <family val="2"/>
    </font>
    <font>
      <sz val="10"/>
      <name val="Arial"/>
      <family val="2"/>
      <charset val="1"/>
    </font>
    <font>
      <sz val="11"/>
      <color indexed="8"/>
      <name val="Calibri"/>
      <family val="2"/>
      <charset val="1"/>
    </font>
    <font>
      <b/>
      <sz val="11"/>
      <color indexed="8"/>
      <name val="Calibri"/>
      <family val="2"/>
      <charset val="1"/>
    </font>
    <font>
      <b/>
      <sz val="11"/>
      <color indexed="62"/>
      <name val="Calibri"/>
      <family val="2"/>
      <charset val="1"/>
    </font>
    <font>
      <b/>
      <sz val="11"/>
      <color indexed="9"/>
      <name val="Calibri"/>
      <family val="2"/>
      <charset val="1"/>
    </font>
    <font>
      <b/>
      <sz val="11"/>
      <color indexed="8"/>
      <name val="Arial"/>
      <family val="2"/>
      <charset val="1"/>
    </font>
    <font>
      <sz val="11"/>
      <color indexed="8"/>
      <name val="Arial"/>
      <family val="2"/>
      <charset val="1"/>
    </font>
    <font>
      <sz val="11"/>
      <color indexed="18"/>
      <name val="Arial"/>
      <family val="2"/>
      <charset val="1"/>
    </font>
    <font>
      <sz val="10"/>
      <name val="Arial"/>
      <family val="2"/>
    </font>
    <font>
      <sz val="11"/>
      <color indexed="8"/>
      <name val="Calibri"/>
      <family val="2"/>
    </font>
    <font>
      <sz val="10"/>
      <color indexed="8"/>
      <name val="Verdana"/>
      <family val="2"/>
      <charset val="1"/>
    </font>
    <font>
      <sz val="10"/>
      <color indexed="8"/>
      <name val="Verdana"/>
      <family val="2"/>
    </font>
    <font>
      <sz val="11"/>
      <name val="Arial"/>
      <family val="2"/>
    </font>
    <font>
      <sz val="11"/>
      <color theme="1"/>
      <name val="Calibri"/>
      <family val="2"/>
      <scheme val="minor"/>
    </font>
    <font>
      <b/>
      <sz val="11"/>
      <color theme="0"/>
      <name val="Calibri"/>
      <family val="2"/>
      <scheme val="minor"/>
    </font>
    <font>
      <b/>
      <sz val="10"/>
      <color theme="0"/>
      <name val="Verdana"/>
      <family val="2"/>
      <charset val="1"/>
    </font>
    <font>
      <sz val="11"/>
      <color theme="1"/>
      <name val="Arial"/>
      <family val="2"/>
    </font>
  </fonts>
  <fills count="11">
    <fill>
      <patternFill patternType="none"/>
    </fill>
    <fill>
      <patternFill patternType="gray125"/>
    </fill>
    <fill>
      <patternFill patternType="solid">
        <fgColor indexed="40"/>
        <bgColor indexed="49"/>
      </patternFill>
    </fill>
    <fill>
      <patternFill patternType="solid">
        <fgColor indexed="58"/>
        <bgColor indexed="8"/>
      </patternFill>
    </fill>
    <fill>
      <patternFill patternType="solid">
        <fgColor rgb="FF00B0F0"/>
        <bgColor indexed="64"/>
      </patternFill>
    </fill>
    <fill>
      <patternFill patternType="solid">
        <fgColor rgb="FF00B050"/>
        <bgColor indexed="64"/>
      </patternFill>
    </fill>
    <fill>
      <patternFill patternType="solid">
        <fgColor rgb="FF00FF00"/>
        <bgColor indexed="64"/>
      </patternFill>
    </fill>
    <fill>
      <patternFill patternType="solid">
        <fgColor theme="0"/>
        <bgColor indexed="64"/>
      </patternFill>
    </fill>
    <fill>
      <patternFill patternType="solid">
        <fgColor theme="0" tint="-0.14999847407452621"/>
        <bgColor indexed="64"/>
      </patternFill>
    </fill>
    <fill>
      <patternFill patternType="solid">
        <fgColor theme="8"/>
        <bgColor theme="8"/>
      </patternFill>
    </fill>
    <fill>
      <patternFill patternType="solid">
        <fgColor theme="8" tint="0.79998168889431442"/>
        <bgColor theme="8" tint="0.79998168889431442"/>
      </patternFill>
    </fill>
  </fills>
  <borders count="12">
    <border>
      <left/>
      <right/>
      <top/>
      <bottom/>
      <diagonal/>
    </border>
    <border>
      <left style="thin">
        <color indexed="8"/>
      </left>
      <right style="thin">
        <color indexed="8"/>
      </right>
      <top style="thin">
        <color indexed="8"/>
      </top>
      <bottom style="thin">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s>
  <cellStyleXfs count="6">
    <xf numFmtId="0" fontId="0" fillId="0" borderId="0"/>
    <xf numFmtId="0" fontId="4" fillId="0" borderId="0"/>
    <xf numFmtId="0" fontId="2" fillId="0" borderId="0"/>
    <xf numFmtId="0" fontId="1" fillId="0" borderId="0"/>
    <xf numFmtId="0" fontId="9" fillId="0" borderId="0"/>
    <xf numFmtId="0" fontId="14" fillId="0" borderId="0"/>
  </cellStyleXfs>
  <cellXfs count="64">
    <xf numFmtId="0" fontId="0" fillId="0" borderId="0" xfId="0"/>
    <xf numFmtId="0" fontId="2" fillId="0" borderId="0" xfId="2"/>
    <xf numFmtId="0" fontId="3" fillId="0" borderId="0" xfId="2" applyFont="1"/>
    <xf numFmtId="0" fontId="4" fillId="0" borderId="0" xfId="1"/>
    <xf numFmtId="0" fontId="1" fillId="0" borderId="0" xfId="2" applyFont="1"/>
    <xf numFmtId="0" fontId="5" fillId="2" borderId="1" xfId="2" applyFont="1" applyFill="1" applyBorder="1"/>
    <xf numFmtId="0" fontId="2" fillId="0" borderId="1" xfId="2" applyBorder="1" applyAlignment="1">
      <alignment horizontal="center"/>
    </xf>
    <xf numFmtId="0" fontId="5" fillId="3" borderId="1" xfId="2" applyFont="1" applyFill="1" applyBorder="1" applyAlignment="1">
      <alignment horizontal="center" vertical="center"/>
    </xf>
    <xf numFmtId="0" fontId="6" fillId="0" borderId="2" xfId="2" applyFont="1" applyBorder="1" applyAlignment="1">
      <alignment horizontal="center" vertical="center" wrapText="1"/>
    </xf>
    <xf numFmtId="0" fontId="6" fillId="0" borderId="3" xfId="2" applyFont="1" applyBorder="1" applyAlignment="1">
      <alignment horizontal="center" vertical="center" wrapText="1"/>
    </xf>
    <xf numFmtId="0" fontId="7" fillId="0" borderId="4" xfId="2" applyFont="1" applyBorder="1" applyAlignment="1">
      <alignment horizontal="center" vertical="center"/>
    </xf>
    <xf numFmtId="0" fontId="8" fillId="0" borderId="5" xfId="2" applyFont="1" applyBorder="1" applyAlignment="1">
      <alignment vertical="center"/>
    </xf>
    <xf numFmtId="0" fontId="7" fillId="0" borderId="5" xfId="2" applyFont="1" applyBorder="1" applyAlignment="1">
      <alignment vertical="center"/>
    </xf>
    <xf numFmtId="0" fontId="7" fillId="0" borderId="3" xfId="2" applyFont="1" applyBorder="1" applyAlignment="1">
      <alignment vertical="center"/>
    </xf>
    <xf numFmtId="0" fontId="7" fillId="0" borderId="2" xfId="2" applyFont="1" applyBorder="1" applyAlignment="1">
      <alignment horizontal="center" vertical="center"/>
    </xf>
    <xf numFmtId="0" fontId="16" fillId="0" borderId="0" xfId="2" applyFont="1" applyAlignment="1">
      <alignment horizontal="center" vertical="center" wrapText="1"/>
    </xf>
    <xf numFmtId="0" fontId="11" fillId="0" borderId="0" xfId="2" applyFont="1" applyAlignment="1">
      <alignment vertical="center"/>
    </xf>
    <xf numFmtId="0" fontId="10" fillId="0" borderId="0" xfId="2" applyFont="1"/>
    <xf numFmtId="0" fontId="12" fillId="0" borderId="0" xfId="2" applyFont="1" applyAlignment="1">
      <alignment horizontal="left" vertical="center"/>
    </xf>
    <xf numFmtId="0" fontId="12" fillId="0" borderId="0" xfId="2" applyFont="1" applyAlignment="1">
      <alignment vertical="center"/>
    </xf>
    <xf numFmtId="0" fontId="0" fillId="0" borderId="0" xfId="0" applyAlignment="1">
      <alignment wrapText="1"/>
    </xf>
    <xf numFmtId="0" fontId="0" fillId="0" borderId="6" xfId="0" applyBorder="1"/>
    <xf numFmtId="0" fontId="15" fillId="4" borderId="6" xfId="0" applyFont="1" applyFill="1" applyBorder="1" applyAlignment="1">
      <alignment horizontal="center" wrapText="1"/>
    </xf>
    <xf numFmtId="0" fontId="0" fillId="0" borderId="6" xfId="0" applyBorder="1" applyAlignment="1">
      <alignment wrapText="1"/>
    </xf>
    <xf numFmtId="0" fontId="13" fillId="0" borderId="6" xfId="0" applyFont="1" applyBorder="1" applyAlignment="1">
      <alignment horizontal="left" vertical="center" wrapText="1"/>
    </xf>
    <xf numFmtId="0" fontId="13" fillId="0" borderId="6" xfId="0" applyFont="1" applyBorder="1" applyAlignment="1">
      <alignment horizontal="left" wrapText="1"/>
    </xf>
    <xf numFmtId="0" fontId="13" fillId="0" borderId="6" xfId="0" applyFont="1" applyBorder="1" applyAlignment="1">
      <alignment horizontal="left"/>
    </xf>
    <xf numFmtId="0" fontId="13" fillId="0" borderId="6" xfId="0" applyFont="1" applyBorder="1" applyAlignment="1">
      <alignment horizontal="left" indent="1"/>
    </xf>
    <xf numFmtId="0" fontId="13" fillId="0" borderId="6" xfId="0" applyFont="1" applyBorder="1" applyAlignment="1">
      <alignment horizontal="left" wrapText="1" indent="1"/>
    </xf>
    <xf numFmtId="49" fontId="0" fillId="0" borderId="6" xfId="0" applyNumberFormat="1" applyBorder="1"/>
    <xf numFmtId="0" fontId="15" fillId="4" borderId="7" xfId="0" applyFont="1" applyFill="1" applyBorder="1" applyAlignment="1">
      <alignment horizontal="center" wrapText="1"/>
    </xf>
    <xf numFmtId="0" fontId="0" fillId="0" borderId="7" xfId="0" applyBorder="1"/>
    <xf numFmtId="0" fontId="0" fillId="5" borderId="0" xfId="0" applyFill="1"/>
    <xf numFmtId="0" fontId="0" fillId="6" borderId="6" xfId="0" applyFill="1" applyBorder="1"/>
    <xf numFmtId="0" fontId="0" fillId="6" borderId="0" xfId="0" applyFill="1"/>
    <xf numFmtId="0" fontId="0" fillId="6" borderId="7" xfId="0" applyFill="1" applyBorder="1"/>
    <xf numFmtId="0" fontId="13" fillId="0" borderId="6" xfId="0" applyFont="1" applyBorder="1" applyAlignment="1">
      <alignment horizontal="left" vertical="center"/>
    </xf>
    <xf numFmtId="0" fontId="13" fillId="7" borderId="6" xfId="0" applyFont="1" applyFill="1" applyBorder="1" applyAlignment="1">
      <alignment horizontal="left" vertical="center"/>
    </xf>
    <xf numFmtId="0" fontId="13" fillId="5" borderId="6" xfId="0" applyFont="1" applyFill="1" applyBorder="1" applyAlignment="1">
      <alignment horizontal="left" vertical="center"/>
    </xf>
    <xf numFmtId="0" fontId="13" fillId="8" borderId="6" xfId="0" applyFont="1" applyFill="1" applyBorder="1" applyAlignment="1">
      <alignment horizontal="left" vertical="center"/>
    </xf>
    <xf numFmtId="0" fontId="17" fillId="8" borderId="8" xfId="0" applyFont="1" applyFill="1" applyBorder="1" applyAlignment="1">
      <alignment horizontal="left" vertical="center"/>
    </xf>
    <xf numFmtId="0" fontId="17" fillId="8" borderId="6" xfId="0" applyFont="1" applyFill="1" applyBorder="1" applyAlignment="1">
      <alignment horizontal="left" vertical="center"/>
    </xf>
    <xf numFmtId="49" fontId="15" fillId="4" borderId="6" xfId="0" applyNumberFormat="1" applyFont="1" applyFill="1" applyBorder="1" applyAlignment="1">
      <alignment horizontal="center" wrapText="1"/>
    </xf>
    <xf numFmtId="49" fontId="0" fillId="6" borderId="0" xfId="0" quotePrefix="1" applyNumberFormat="1" applyFill="1"/>
    <xf numFmtId="49" fontId="0" fillId="6" borderId="0" xfId="0" applyNumberFormat="1" applyFill="1" applyAlignment="1">
      <alignment horizontal="left"/>
    </xf>
    <xf numFmtId="49" fontId="13" fillId="5" borderId="6" xfId="4" applyNumberFormat="1" applyFont="1" applyFill="1" applyBorder="1" applyAlignment="1">
      <alignment horizontal="center" vertical="center"/>
    </xf>
    <xf numFmtId="49" fontId="13" fillId="8" borderId="6" xfId="0" applyNumberFormat="1" applyFont="1" applyFill="1" applyBorder="1" applyAlignment="1">
      <alignment horizontal="center" vertical="center"/>
    </xf>
    <xf numFmtId="49" fontId="13" fillId="8" borderId="6" xfId="0" applyNumberFormat="1" applyFont="1" applyFill="1" applyBorder="1" applyAlignment="1">
      <alignment horizontal="center" vertical="center" wrapText="1"/>
    </xf>
    <xf numFmtId="49" fontId="13" fillId="7" borderId="6" xfId="0" applyNumberFormat="1" applyFont="1" applyFill="1" applyBorder="1" applyAlignment="1">
      <alignment horizontal="center" vertical="center"/>
    </xf>
    <xf numFmtId="49" fontId="13" fillId="7" borderId="6" xfId="0" applyNumberFormat="1" applyFont="1" applyFill="1" applyBorder="1" applyAlignment="1">
      <alignment horizontal="center" vertical="center" wrapText="1"/>
    </xf>
    <xf numFmtId="49" fontId="13" fillId="0" borderId="6" xfId="0" applyNumberFormat="1" applyFont="1" applyBorder="1" applyAlignment="1">
      <alignment horizontal="center" vertical="center" wrapText="1"/>
    </xf>
    <xf numFmtId="49" fontId="13" fillId="5" borderId="6" xfId="0" applyNumberFormat="1" applyFont="1" applyFill="1" applyBorder="1" applyAlignment="1">
      <alignment horizontal="center" vertical="center" wrapText="1"/>
    </xf>
    <xf numFmtId="49" fontId="17" fillId="5" borderId="6" xfId="0" applyNumberFormat="1" applyFont="1" applyFill="1" applyBorder="1" applyAlignment="1">
      <alignment horizontal="center" vertical="center"/>
    </xf>
    <xf numFmtId="49" fontId="0" fillId="0" borderId="0" xfId="0" applyNumberFormat="1"/>
    <xf numFmtId="0" fontId="15" fillId="9" borderId="9" xfId="0" applyFont="1" applyFill="1" applyBorder="1"/>
    <xf numFmtId="0" fontId="15" fillId="9" borderId="11" xfId="0" applyFont="1" applyFill="1" applyBorder="1"/>
    <xf numFmtId="0" fontId="0" fillId="10" borderId="9" xfId="5" applyFont="1" applyFill="1" applyBorder="1"/>
    <xf numFmtId="0" fontId="0" fillId="10" borderId="10" xfId="5" applyFont="1" applyFill="1" applyBorder="1"/>
    <xf numFmtId="0" fontId="0" fillId="0" borderId="9" xfId="5" applyFont="1" applyBorder="1"/>
    <xf numFmtId="0" fontId="0" fillId="0" borderId="10" xfId="5" applyFont="1" applyBorder="1"/>
    <xf numFmtId="49" fontId="0" fillId="0" borderId="9" xfId="5" applyNumberFormat="1" applyFont="1" applyBorder="1"/>
    <xf numFmtId="49" fontId="0" fillId="0" borderId="10" xfId="5" applyNumberFormat="1" applyFont="1" applyBorder="1"/>
    <xf numFmtId="49" fontId="0" fillId="10" borderId="9" xfId="5" applyNumberFormat="1" applyFont="1" applyFill="1" applyBorder="1"/>
    <xf numFmtId="49" fontId="0" fillId="10" borderId="10" xfId="5" applyNumberFormat="1" applyFont="1" applyFill="1" applyBorder="1"/>
  </cellXfs>
  <cellStyles count="6">
    <cellStyle name="Excel Built-in Heading 4" xfId="1" xr:uid="{00000000-0005-0000-0000-000000000000}"/>
    <cellStyle name="Excel Built-in Normal" xfId="2" xr:uid="{00000000-0005-0000-0000-000001000000}"/>
    <cellStyle name="Normal" xfId="0" builtinId="0"/>
    <cellStyle name="Normal 2" xfId="3" xr:uid="{00000000-0005-0000-0000-000003000000}"/>
    <cellStyle name="Normal 3" xfId="5" xr:uid="{00000000-0005-0000-0000-000004000000}"/>
    <cellStyle name="Normal_Definitivo" xfId="4" xr:uid="{00000000-0005-0000-0000-000005000000}"/>
  </cellStyles>
  <dxfs count="12">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0"/>
        <color indexed="8"/>
        <name val="Verdana"/>
        <scheme val="none"/>
      </font>
      <alignment horizontal="general" vertical="center" textRotation="0" wrapText="0" indent="0" justifyLastLine="0" shrinkToFit="0" readingOrder="0"/>
    </dxf>
    <dxf>
      <font>
        <b val="0"/>
        <i val="0"/>
        <strike val="0"/>
        <condense val="0"/>
        <extend val="0"/>
        <outline val="0"/>
        <shadow val="0"/>
        <u val="none"/>
        <vertAlign val="baseline"/>
        <sz val="10"/>
        <color indexed="8"/>
        <name val="Verdana"/>
        <scheme val="none"/>
      </font>
      <alignment horizontal="left" vertical="center" textRotation="0" wrapText="0" indent="0" justifyLastLine="0" shrinkToFit="0" readingOrder="0"/>
    </dxf>
    <dxf>
      <font>
        <b val="0"/>
        <i val="0"/>
        <strike val="0"/>
        <condense val="0"/>
        <extend val="0"/>
        <outline val="0"/>
        <shadow val="0"/>
        <u val="none"/>
        <vertAlign val="baseline"/>
        <sz val="11"/>
        <color indexed="8"/>
        <name val="Calibri"/>
        <scheme val="none"/>
      </font>
    </dxf>
    <dxf>
      <font>
        <b val="0"/>
        <i val="0"/>
        <strike val="0"/>
        <condense val="0"/>
        <extend val="0"/>
        <outline val="0"/>
        <shadow val="0"/>
        <u val="none"/>
        <vertAlign val="baseline"/>
        <sz val="11"/>
        <color indexed="8"/>
        <name val="Calibri"/>
        <scheme val="none"/>
      </font>
    </dxf>
    <dxf>
      <font>
        <b/>
        <i val="0"/>
        <strike val="0"/>
        <condense val="0"/>
        <extend val="0"/>
        <outline val="0"/>
        <shadow val="0"/>
        <u val="none"/>
        <vertAlign val="baseline"/>
        <sz val="10"/>
        <color theme="0"/>
        <name val="Verdana"/>
        <scheme val="none"/>
      </font>
      <fill>
        <patternFill patternType="none">
          <fgColor indexed="64"/>
          <bgColor indexed="65"/>
        </patternFill>
      </fill>
      <alignment horizontal="center" vertical="center" textRotation="0" wrapText="1" indent="0" justifyLastLine="0" shrinkToFit="0" readingOrder="0"/>
      <border diagonalUp="0" diagonalDown="0" outline="0">
        <left style="medium">
          <color indexed="8"/>
        </left>
        <right style="medium">
          <color indexed="8"/>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F0F5F"/>
      <rgbColor rgb="00808000"/>
      <rgbColor rgb="00800080"/>
      <rgbColor rgb="00008080"/>
      <rgbColor rgb="00C0C0C0"/>
      <rgbColor rgb="00808080"/>
      <rgbColor rgb="005B9BD5"/>
      <rgbColor rgb="00993366"/>
      <rgbColor rgb="00FFFFCC"/>
      <rgbColor rgb="00DEEBF7"/>
      <rgbColor rgb="00660066"/>
      <rgbColor rgb="00FF8080"/>
      <rgbColor rgb="000563C1"/>
      <rgbColor rgb="00CCCCFF"/>
      <rgbColor rgb="00000080"/>
      <rgbColor rgb="00FF00FF"/>
      <rgbColor rgb="00FFFF00"/>
      <rgbColor rgb="0000FFFF"/>
      <rgbColor rgb="00800080"/>
      <rgbColor rgb="00800000"/>
      <rgbColor rgb="00008080"/>
      <rgbColor rgb="000000FF"/>
      <rgbColor rgb="0000B0F0"/>
      <rgbColor rgb="00CCFFFF"/>
      <rgbColor rgb="00CCFFCC"/>
      <rgbColor rgb="00FFFF99"/>
      <rgbColor rgb="009DC3E6"/>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1F497D"/>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fsaavedra/Documents/REGULATORIOS%20BANCO/BANXICO/06-LIQUIDEZ/ML/Formulario%20ML_20220106_co&#769;mput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os Líquidos"/>
      <sheetName val="Salidas de Efectivo"/>
      <sheetName val="Entradas de Efectivo"/>
    </sheetNames>
    <sheetDataSet>
      <sheetData sheetId="0" refreshError="1"/>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A9:J18" totalsRowShown="0" headerRowDxfId="11" dataDxfId="10" headerRowCellStyle="Excel Built-in Normal" dataCellStyle="Excel Built-in Normal">
  <autoFilter ref="A9:J18" xr:uid="{00000000-0009-0000-0100-000001000000}"/>
  <tableColumns count="10">
    <tableColumn id="1" xr3:uid="{00000000-0010-0000-0000-000001000000}" name="Orden" dataDxfId="9" dataCellStyle="Excel Built-in Normal"/>
    <tableColumn id="2" xr3:uid="{00000000-0010-0000-0000-000002000000}" name="Concepto" dataDxfId="8" dataCellStyle="Excel Built-in Normal"/>
    <tableColumn id="3" xr3:uid="{00000000-0010-0000-0000-000003000000}" name="Tipo" dataDxfId="7" dataCellStyle="Excel Built-in Normal"/>
    <tableColumn id="4" xr3:uid="{00000000-0010-0000-0000-000004000000}" name="Requerido" dataDxfId="6" dataCellStyle="Excel Built-in Normal"/>
    <tableColumn id="5" xr3:uid="{00000000-0010-0000-0000-000005000000}" name="Uso" dataDxfId="5" dataCellStyle="Excel Built-in Normal"/>
    <tableColumn id="6" xr3:uid="{00000000-0010-0000-0000-000006000000}" name="Descripción" dataDxfId="4" dataCellStyle="Excel Built-in Normal"/>
    <tableColumn id="7" xr3:uid="{00000000-0010-0000-0000-000007000000}" name="Comentario" dataDxfId="3" dataCellStyle="Excel Built-in Normal"/>
    <tableColumn id="8" xr3:uid="{00000000-0010-0000-0000-000008000000}" name="Catalog" dataDxfId="2" dataCellStyle="Excel Built-in Normal"/>
    <tableColumn id="9" xr3:uid="{00000000-0010-0000-0000-000009000000}" name="Reports Mandatory" dataDxfId="1" dataCellStyle="Excel Built-in Normal"/>
    <tableColumn id="10" xr3:uid="{00000000-0010-0000-0000-00000A000000}" name="Reports Optional" dataDxfId="0" dataCellStyle="Excel Built-in Normal"/>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zoomScale="85" zoomScaleNormal="85" workbookViewId="0">
      <selection activeCell="Q19" sqref="Q19"/>
    </sheetView>
  </sheetViews>
  <sheetFormatPr defaultColWidth="8.7109375" defaultRowHeight="14.45"/>
  <cols>
    <col min="1" max="1" width="15.42578125" style="1" bestFit="1" customWidth="1"/>
    <col min="2" max="2" width="50.7109375" style="1" bestFit="1" customWidth="1"/>
    <col min="3" max="3" width="22.140625" style="1" bestFit="1" customWidth="1"/>
    <col min="4" max="4" width="16.28515625" style="1" bestFit="1" customWidth="1"/>
    <col min="5" max="5" width="23.42578125" style="1" bestFit="1" customWidth="1"/>
    <col min="6" max="6" width="40.140625" style="1" bestFit="1" customWidth="1"/>
    <col min="7" max="7" width="22.42578125" style="1" bestFit="1" customWidth="1"/>
    <col min="8" max="9" width="17" style="1" bestFit="1" customWidth="1"/>
    <col min="10" max="10" width="14.42578125" style="1" bestFit="1" customWidth="1"/>
    <col min="11" max="16384" width="8.7109375" style="1"/>
  </cols>
  <sheetData>
    <row r="1" spans="1:10">
      <c r="A1" s="2"/>
    </row>
    <row r="2" spans="1:10">
      <c r="A2" s="3" t="s">
        <v>0</v>
      </c>
      <c r="B2" s="4" t="s">
        <v>1</v>
      </c>
    </row>
    <row r="3" spans="1:10">
      <c r="A3" s="3" t="s">
        <v>2</v>
      </c>
      <c r="B3" s="4" t="s">
        <v>3</v>
      </c>
    </row>
    <row r="4" spans="1:10">
      <c r="A4" s="3" t="s">
        <v>4</v>
      </c>
      <c r="B4" s="4" t="s">
        <v>5</v>
      </c>
    </row>
    <row r="5" spans="1:10">
      <c r="A5" s="3" t="s">
        <v>6</v>
      </c>
      <c r="B5" s="4" t="s">
        <v>7</v>
      </c>
    </row>
    <row r="6" spans="1:10">
      <c r="A6" s="3" t="s">
        <v>8</v>
      </c>
      <c r="B6" s="4" t="s">
        <v>9</v>
      </c>
    </row>
    <row r="7" spans="1:10">
      <c r="A7" s="3" t="s">
        <v>10</v>
      </c>
      <c r="B7" s="4" t="s">
        <v>11</v>
      </c>
    </row>
    <row r="9" spans="1:10" ht="25.15">
      <c r="A9" s="15" t="s">
        <v>12</v>
      </c>
      <c r="B9" s="15" t="s">
        <v>13</v>
      </c>
      <c r="C9" s="15" t="s">
        <v>14</v>
      </c>
      <c r="D9" s="15" t="s">
        <v>15</v>
      </c>
      <c r="E9" s="15" t="s">
        <v>10</v>
      </c>
      <c r="F9" s="15" t="s">
        <v>16</v>
      </c>
      <c r="G9" s="15" t="s">
        <v>17</v>
      </c>
      <c r="H9" s="15" t="s">
        <v>18</v>
      </c>
      <c r="I9" s="15" t="s">
        <v>19</v>
      </c>
      <c r="J9" s="15" t="s">
        <v>20</v>
      </c>
    </row>
    <row r="10" spans="1:10">
      <c r="A10" s="1">
        <v>1</v>
      </c>
      <c r="B10" s="1" t="s">
        <v>21</v>
      </c>
      <c r="C10" s="16" t="s">
        <v>22</v>
      </c>
      <c r="D10" s="1" t="s">
        <v>23</v>
      </c>
      <c r="E10" s="1" t="s">
        <v>24</v>
      </c>
      <c r="F10" t="s">
        <v>25</v>
      </c>
      <c r="H10" s="1" t="s">
        <v>26</v>
      </c>
    </row>
    <row r="11" spans="1:10" ht="27">
      <c r="A11" s="1">
        <v>2</v>
      </c>
      <c r="B11" s="1" t="s">
        <v>27</v>
      </c>
      <c r="C11" s="16" t="s">
        <v>28</v>
      </c>
      <c r="D11" s="1" t="s">
        <v>23</v>
      </c>
      <c r="E11" s="1" t="s">
        <v>29</v>
      </c>
      <c r="F11" s="20" t="s">
        <v>30</v>
      </c>
    </row>
    <row r="12" spans="1:10">
      <c r="A12" s="1">
        <v>3</v>
      </c>
      <c r="B12" s="1" t="s">
        <v>31</v>
      </c>
      <c r="C12" s="16" t="s">
        <v>32</v>
      </c>
      <c r="D12" s="1" t="s">
        <v>23</v>
      </c>
      <c r="E12" s="1" t="s">
        <v>29</v>
      </c>
      <c r="F12" t="s">
        <v>33</v>
      </c>
    </row>
    <row r="13" spans="1:10">
      <c r="A13" s="1">
        <v>4</v>
      </c>
      <c r="B13" s="1" t="s">
        <v>34</v>
      </c>
      <c r="C13" s="16" t="s">
        <v>35</v>
      </c>
      <c r="D13" s="1" t="s">
        <v>23</v>
      </c>
      <c r="E13" s="1" t="s">
        <v>29</v>
      </c>
      <c r="F13" t="s">
        <v>36</v>
      </c>
      <c r="G13" s="17"/>
      <c r="H13" s="17" t="s">
        <v>37</v>
      </c>
      <c r="J13" s="17"/>
    </row>
    <row r="14" spans="1:10">
      <c r="A14" s="1">
        <v>5</v>
      </c>
      <c r="B14" s="1" t="s">
        <v>38</v>
      </c>
      <c r="C14" s="16" t="s">
        <v>32</v>
      </c>
      <c r="D14" s="1" t="s">
        <v>23</v>
      </c>
      <c r="E14" s="17" t="s">
        <v>39</v>
      </c>
      <c r="F14" t="s">
        <v>40</v>
      </c>
      <c r="G14" s="17" t="s">
        <v>41</v>
      </c>
      <c r="H14" s="17"/>
      <c r="I14" s="17"/>
      <c r="J14" s="17"/>
    </row>
    <row r="15" spans="1:10">
      <c r="A15" s="1">
        <v>6</v>
      </c>
      <c r="B15" s="1" t="s">
        <v>42</v>
      </c>
      <c r="C15" s="16" t="s">
        <v>35</v>
      </c>
      <c r="D15" s="1" t="s">
        <v>23</v>
      </c>
      <c r="E15" s="17" t="s">
        <v>39</v>
      </c>
      <c r="F15" t="s">
        <v>36</v>
      </c>
      <c r="G15" s="17"/>
      <c r="H15" s="17" t="s">
        <v>37</v>
      </c>
      <c r="I15" s="17"/>
      <c r="J15" s="17"/>
    </row>
    <row r="16" spans="1:10">
      <c r="A16" s="1">
        <v>7</v>
      </c>
      <c r="B16" s="1" t="s">
        <v>43</v>
      </c>
      <c r="C16" s="16" t="s">
        <v>44</v>
      </c>
      <c r="D16" s="1" t="s">
        <v>23</v>
      </c>
      <c r="E16" s="17" t="s">
        <v>39</v>
      </c>
      <c r="F16" t="s">
        <v>45</v>
      </c>
      <c r="G16" s="17"/>
      <c r="H16" s="17"/>
      <c r="I16" s="17"/>
      <c r="J16" s="17"/>
    </row>
    <row r="17" spans="1:10">
      <c r="A17" s="17"/>
      <c r="B17" s="18"/>
      <c r="C17" s="19" t="s">
        <v>46</v>
      </c>
      <c r="D17" s="17"/>
      <c r="E17" s="17"/>
      <c r="F17" s="17"/>
      <c r="G17" s="17"/>
      <c r="H17" s="17"/>
      <c r="I17" s="17"/>
      <c r="J17" s="17"/>
    </row>
    <row r="18" spans="1:10">
      <c r="A18" s="17"/>
      <c r="B18" s="18"/>
      <c r="C18" s="19"/>
      <c r="D18" s="17"/>
      <c r="E18" s="17"/>
      <c r="F18" s="17"/>
      <c r="G18" s="17"/>
      <c r="H18" s="17"/>
      <c r="I18" s="17"/>
      <c r="J18" s="17"/>
    </row>
  </sheetData>
  <sheetProtection selectLockedCells="1" selectUnlockedCells="1"/>
  <pageMargins left="0.7" right="0.7" top="0.75" bottom="0.75" header="0.51180555555555551" footer="0.51180555555555551"/>
  <pageSetup firstPageNumber="0" orientation="portrait" horizontalDpi="300" verticalDpi="300"/>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8" sqref="B8"/>
    </sheetView>
  </sheetViews>
  <sheetFormatPr defaultColWidth="8.7109375" defaultRowHeight="14.45"/>
  <cols>
    <col min="1" max="1" width="8.7109375" style="1"/>
    <col min="2" max="2" width="100.28515625" style="1" customWidth="1"/>
    <col min="3" max="16384" width="8.7109375" style="1"/>
  </cols>
  <sheetData>
    <row r="1" spans="1:2">
      <c r="A1" s="5" t="s">
        <v>47</v>
      </c>
      <c r="B1" s="5" t="s">
        <v>48</v>
      </c>
    </row>
    <row r="2" spans="1:2">
      <c r="A2" s="6">
        <v>1</v>
      </c>
      <c r="B2" s="21" t="s">
        <v>49</v>
      </c>
    </row>
    <row r="3" spans="1:2">
      <c r="A3" s="6" t="s">
        <v>50</v>
      </c>
      <c r="B3" s="21" t="s">
        <v>51</v>
      </c>
    </row>
    <row r="4" spans="1:2">
      <c r="A4" s="6" t="s">
        <v>52</v>
      </c>
      <c r="B4" s="21" t="s">
        <v>53</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36"/>
  <sheetViews>
    <sheetView zoomScale="70" zoomScaleNormal="70" workbookViewId="0">
      <selection activeCell="D14" sqref="D14"/>
    </sheetView>
  </sheetViews>
  <sheetFormatPr defaultColWidth="9.140625" defaultRowHeight="13.15"/>
  <cols>
    <col min="3" max="3" width="14.7109375" bestFit="1" customWidth="1"/>
    <col min="4" max="4" width="64.28515625" style="20" customWidth="1"/>
    <col min="5" max="5" width="22.42578125" bestFit="1" customWidth="1"/>
    <col min="6" max="6" width="27" bestFit="1" customWidth="1"/>
    <col min="7" max="7" width="74.7109375" bestFit="1" customWidth="1"/>
    <col min="8" max="8" width="17.7109375" customWidth="1"/>
  </cols>
  <sheetData>
    <row r="1" spans="1:10" ht="27.75" customHeight="1">
      <c r="A1" s="22" t="s">
        <v>54</v>
      </c>
      <c r="B1" s="22" t="s">
        <v>55</v>
      </c>
      <c r="C1" s="22" t="s">
        <v>56</v>
      </c>
      <c r="D1" s="22" t="s">
        <v>57</v>
      </c>
      <c r="E1" s="22" t="s">
        <v>54</v>
      </c>
      <c r="F1" s="42" t="s">
        <v>58</v>
      </c>
      <c r="G1" s="22" t="s">
        <v>59</v>
      </c>
      <c r="H1" s="30" t="s">
        <v>57</v>
      </c>
    </row>
    <row r="2" spans="1:10" ht="26.45">
      <c r="A2" s="21" t="s">
        <v>60</v>
      </c>
      <c r="B2" s="21"/>
      <c r="C2" s="21" t="s">
        <v>61</v>
      </c>
      <c r="D2" s="23" t="s">
        <v>62</v>
      </c>
      <c r="E2" s="21" t="s">
        <v>63</v>
      </c>
      <c r="F2" s="29" t="s">
        <v>64</v>
      </c>
      <c r="G2" t="s">
        <v>65</v>
      </c>
      <c r="H2" s="31" t="s">
        <v>66</v>
      </c>
      <c r="J2" t="str">
        <f>VLOOKUP(F2,'[1]Activos Líquidos'!$B:$B,1,0)</f>
        <v>1000</v>
      </c>
    </row>
    <row r="3" spans="1:10">
      <c r="A3" s="21" t="s">
        <v>60</v>
      </c>
      <c r="B3" s="21"/>
      <c r="C3" s="21" t="s">
        <v>67</v>
      </c>
      <c r="D3" s="23" t="s">
        <v>68</v>
      </c>
      <c r="E3" s="21" t="s">
        <v>63</v>
      </c>
      <c r="F3" s="29" t="s">
        <v>69</v>
      </c>
      <c r="G3" t="s">
        <v>70</v>
      </c>
      <c r="H3" s="31" t="s">
        <v>66</v>
      </c>
      <c r="J3" t="str">
        <f>VLOOKUP(F3,'[1]Activos Líquidos'!$B:$B,1,0)</f>
        <v>1020</v>
      </c>
    </row>
    <row r="4" spans="1:10">
      <c r="A4" s="21" t="s">
        <v>60</v>
      </c>
      <c r="B4" s="21"/>
      <c r="C4" s="21" t="s">
        <v>71</v>
      </c>
      <c r="D4" s="21" t="s">
        <v>72</v>
      </c>
      <c r="E4" s="21" t="s">
        <v>63</v>
      </c>
      <c r="F4" s="29" t="s">
        <v>73</v>
      </c>
      <c r="G4" t="s">
        <v>74</v>
      </c>
      <c r="H4" s="31" t="s">
        <v>66</v>
      </c>
      <c r="J4" t="str">
        <f>VLOOKUP(F4,'[1]Activos Líquidos'!$B:$B,1,0)</f>
        <v>1025</v>
      </c>
    </row>
    <row r="5" spans="1:10">
      <c r="A5" s="21" t="s">
        <v>60</v>
      </c>
      <c r="B5" s="21"/>
      <c r="C5" s="21" t="s">
        <v>75</v>
      </c>
      <c r="D5" s="23" t="s">
        <v>76</v>
      </c>
      <c r="E5" s="21" t="s">
        <v>63</v>
      </c>
      <c r="F5" s="29" t="s">
        <v>77</v>
      </c>
      <c r="G5" t="s">
        <v>76</v>
      </c>
      <c r="H5" s="31" t="s">
        <v>66</v>
      </c>
      <c r="J5" t="str">
        <f>VLOOKUP(F5,'[1]Activos Líquidos'!$B:$B,1,0)</f>
        <v>1027</v>
      </c>
    </row>
    <row r="6" spans="1:10" ht="27.6">
      <c r="A6" s="21" t="s">
        <v>60</v>
      </c>
      <c r="B6" s="21"/>
      <c r="C6" s="21" t="s">
        <v>78</v>
      </c>
      <c r="D6" s="23" t="s">
        <v>79</v>
      </c>
      <c r="E6" s="21" t="s">
        <v>63</v>
      </c>
      <c r="F6" s="29" t="s">
        <v>80</v>
      </c>
      <c r="G6" s="24" t="s">
        <v>81</v>
      </c>
      <c r="H6" s="31" t="s">
        <v>66</v>
      </c>
      <c r="J6" t="str">
        <f>VLOOKUP(F6,'[1]Activos Líquidos'!$B:$B,1,0)</f>
        <v>1030</v>
      </c>
    </row>
    <row r="7" spans="1:10" ht="13.9">
      <c r="A7" s="21" t="s">
        <v>60</v>
      </c>
      <c r="B7" s="21"/>
      <c r="C7" s="21" t="s">
        <v>82</v>
      </c>
      <c r="D7" s="21" t="s">
        <v>79</v>
      </c>
      <c r="E7" s="21" t="s">
        <v>63</v>
      </c>
      <c r="F7" s="29" t="s">
        <v>83</v>
      </c>
      <c r="G7" s="24" t="s">
        <v>84</v>
      </c>
      <c r="H7" s="31" t="s">
        <v>66</v>
      </c>
      <c r="J7" t="str">
        <f>VLOOKUP(F7,'[1]Activos Líquidos'!$B:$B,1,0)</f>
        <v>1031</v>
      </c>
    </row>
    <row r="8" spans="1:10" ht="27.6">
      <c r="A8" s="21" t="s">
        <v>60</v>
      </c>
      <c r="B8" s="21"/>
      <c r="C8" s="21" t="s">
        <v>85</v>
      </c>
      <c r="D8" s="23" t="s">
        <v>86</v>
      </c>
      <c r="E8" s="21" t="s">
        <v>63</v>
      </c>
      <c r="F8" s="29" t="s">
        <v>87</v>
      </c>
      <c r="G8" s="24" t="s">
        <v>88</v>
      </c>
      <c r="H8" s="31" t="s">
        <v>66</v>
      </c>
      <c r="J8" t="str">
        <f>VLOOKUP(F8,'[1]Activos Líquidos'!$B:$B,1,0)</f>
        <v>1050</v>
      </c>
    </row>
    <row r="9" spans="1:10" ht="27.6">
      <c r="A9" s="21" t="s">
        <v>60</v>
      </c>
      <c r="B9" s="21"/>
      <c r="C9" s="21" t="s">
        <v>89</v>
      </c>
      <c r="D9" s="23" t="s">
        <v>86</v>
      </c>
      <c r="E9" s="21" t="s">
        <v>63</v>
      </c>
      <c r="F9" s="29" t="s">
        <v>90</v>
      </c>
      <c r="G9" s="24" t="s">
        <v>91</v>
      </c>
      <c r="H9" s="31" t="s">
        <v>66</v>
      </c>
      <c r="J9" t="str">
        <f>VLOOKUP(F9,'[1]Activos Líquidos'!$B:$B,1,0)</f>
        <v>1051</v>
      </c>
    </row>
    <row r="10" spans="1:10" ht="41.45">
      <c r="A10" s="21" t="s">
        <v>60</v>
      </c>
      <c r="B10" s="21"/>
      <c r="C10" s="21" t="s">
        <v>92</v>
      </c>
      <c r="D10" s="21" t="s">
        <v>86</v>
      </c>
      <c r="E10" s="21" t="s">
        <v>63</v>
      </c>
      <c r="F10" s="29" t="s">
        <v>93</v>
      </c>
      <c r="G10" s="24" t="s">
        <v>94</v>
      </c>
      <c r="H10" s="31" t="s">
        <v>66</v>
      </c>
      <c r="J10" t="str">
        <f>VLOOKUP(F10,'[1]Activos Líquidos'!$B:$B,1,0)</f>
        <v>1070</v>
      </c>
    </row>
    <row r="11" spans="1:10" ht="55.15">
      <c r="A11" s="21" t="s">
        <v>60</v>
      </c>
      <c r="B11" s="21"/>
      <c r="C11" s="21" t="s">
        <v>95</v>
      </c>
      <c r="D11" s="21" t="s">
        <v>86</v>
      </c>
      <c r="E11" s="21" t="s">
        <v>63</v>
      </c>
      <c r="F11" s="29" t="s">
        <v>96</v>
      </c>
      <c r="G11" s="24" t="s">
        <v>97</v>
      </c>
      <c r="H11" s="31" t="s">
        <v>66</v>
      </c>
      <c r="J11" t="str">
        <f>VLOOKUP(F11,'[1]Activos Líquidos'!$B:$B,1,0)</f>
        <v>1080</v>
      </c>
    </row>
    <row r="12" spans="1:10" s="34" customFormat="1">
      <c r="A12" s="33" t="s">
        <v>60</v>
      </c>
      <c r="B12" s="33"/>
      <c r="C12" s="34" t="s">
        <v>98</v>
      </c>
      <c r="D12" s="33" t="s">
        <v>86</v>
      </c>
      <c r="E12" s="33" t="s">
        <v>63</v>
      </c>
      <c r="F12" s="43" t="s">
        <v>99</v>
      </c>
      <c r="G12" s="34" t="s">
        <v>100</v>
      </c>
      <c r="H12" s="35" t="s">
        <v>66</v>
      </c>
      <c r="I12" s="34" t="s">
        <v>101</v>
      </c>
      <c r="J12" t="str">
        <f>VLOOKUP(F12,'[1]Activos Líquidos'!$B:$B,1,0)</f>
        <v>1081</v>
      </c>
    </row>
    <row r="13" spans="1:10" ht="13.9">
      <c r="A13" s="21" t="s">
        <v>60</v>
      </c>
      <c r="B13" s="21"/>
      <c r="C13" s="21" t="s">
        <v>102</v>
      </c>
      <c r="D13" s="21" t="s">
        <v>86</v>
      </c>
      <c r="E13" s="21" t="s">
        <v>63</v>
      </c>
      <c r="F13" s="29" t="s">
        <v>103</v>
      </c>
      <c r="G13" s="24" t="s">
        <v>104</v>
      </c>
      <c r="H13" s="31" t="s">
        <v>66</v>
      </c>
      <c r="J13" t="str">
        <f>VLOOKUP(F13,'[1]Activos Líquidos'!$B:$B,1,0)</f>
        <v>1085</v>
      </c>
    </row>
    <row r="14" spans="1:10" ht="27.6">
      <c r="A14" s="21" t="s">
        <v>60</v>
      </c>
      <c r="B14" s="21"/>
      <c r="C14" s="21" t="s">
        <v>105</v>
      </c>
      <c r="D14" s="21" t="s">
        <v>86</v>
      </c>
      <c r="E14" s="21" t="s">
        <v>63</v>
      </c>
      <c r="F14" s="29" t="s">
        <v>106</v>
      </c>
      <c r="G14" s="24" t="s">
        <v>107</v>
      </c>
      <c r="H14" s="31" t="s">
        <v>66</v>
      </c>
      <c r="J14" t="str">
        <f>VLOOKUP(F14,'[1]Activos Líquidos'!$B:$B,1,0)</f>
        <v>1090</v>
      </c>
    </row>
    <row r="15" spans="1:10" ht="27.6">
      <c r="A15" s="21" t="s">
        <v>60</v>
      </c>
      <c r="B15" s="21"/>
      <c r="C15" s="21" t="s">
        <v>108</v>
      </c>
      <c r="D15" s="21" t="s">
        <v>86</v>
      </c>
      <c r="E15" s="21" t="s">
        <v>63</v>
      </c>
      <c r="F15" s="29" t="s">
        <v>109</v>
      </c>
      <c r="G15" s="24" t="s">
        <v>110</v>
      </c>
      <c r="H15" s="31" t="s">
        <v>66</v>
      </c>
      <c r="J15" t="str">
        <f>VLOOKUP(F15,'[1]Activos Líquidos'!$B:$B,1,0)</f>
        <v>1100</v>
      </c>
    </row>
    <row r="16" spans="1:10" ht="13.9">
      <c r="A16" s="21" t="s">
        <v>60</v>
      </c>
      <c r="B16" s="21"/>
      <c r="C16" s="21" t="s">
        <v>111</v>
      </c>
      <c r="D16" s="21" t="s">
        <v>86</v>
      </c>
      <c r="E16" s="21" t="s">
        <v>63</v>
      </c>
      <c r="F16" s="29" t="s">
        <v>112</v>
      </c>
      <c r="G16" s="24" t="s">
        <v>113</v>
      </c>
      <c r="H16" s="31" t="s">
        <v>66</v>
      </c>
      <c r="J16" t="str">
        <f>VLOOKUP(F16,'[1]Activos Líquidos'!$B:$B,1,0)</f>
        <v>1101</v>
      </c>
    </row>
    <row r="17" spans="1:10" ht="27.6">
      <c r="A17" s="21" t="s">
        <v>60</v>
      </c>
      <c r="B17" s="21"/>
      <c r="C17" s="21" t="s">
        <v>114</v>
      </c>
      <c r="D17" s="21" t="s">
        <v>86</v>
      </c>
      <c r="E17" s="21" t="s">
        <v>63</v>
      </c>
      <c r="F17" s="29" t="s">
        <v>115</v>
      </c>
      <c r="G17" s="24" t="s">
        <v>116</v>
      </c>
      <c r="H17" s="31" t="s">
        <v>66</v>
      </c>
      <c r="J17" t="str">
        <f>VLOOKUP(F17,'[1]Activos Líquidos'!$B:$B,1,0)</f>
        <v>1120</v>
      </c>
    </row>
    <row r="18" spans="1:10" ht="41.45">
      <c r="A18" s="21" t="s">
        <v>60</v>
      </c>
      <c r="B18" s="21"/>
      <c r="C18" s="21" t="s">
        <v>117</v>
      </c>
      <c r="D18" s="21" t="s">
        <v>86</v>
      </c>
      <c r="E18" s="21" t="s">
        <v>63</v>
      </c>
      <c r="F18" s="29" t="s">
        <v>118</v>
      </c>
      <c r="G18" s="25" t="s">
        <v>119</v>
      </c>
      <c r="H18" s="31" t="s">
        <v>66</v>
      </c>
      <c r="J18" t="str">
        <f>VLOOKUP(F18,'[1]Activos Líquidos'!$B:$B,1,0)</f>
        <v>1131</v>
      </c>
    </row>
    <row r="19" spans="1:10" ht="27.6">
      <c r="A19" s="21" t="s">
        <v>60</v>
      </c>
      <c r="B19" s="21"/>
      <c r="C19" s="21" t="s">
        <v>120</v>
      </c>
      <c r="D19" s="21" t="s">
        <v>86</v>
      </c>
      <c r="E19" s="21" t="s">
        <v>63</v>
      </c>
      <c r="F19" s="29" t="s">
        <v>121</v>
      </c>
      <c r="G19" s="25" t="s">
        <v>122</v>
      </c>
      <c r="H19" s="31" t="s">
        <v>66</v>
      </c>
      <c r="J19" t="str">
        <f>VLOOKUP(F19,'[1]Activos Líquidos'!$B:$B,1,0)</f>
        <v>1133</v>
      </c>
    </row>
    <row r="20" spans="1:10" ht="41.45">
      <c r="A20" s="21" t="s">
        <v>60</v>
      </c>
      <c r="B20" s="21"/>
      <c r="C20" s="21" t="s">
        <v>123</v>
      </c>
      <c r="D20" s="21" t="s">
        <v>86</v>
      </c>
      <c r="E20" s="21" t="s">
        <v>63</v>
      </c>
      <c r="F20" s="29" t="s">
        <v>124</v>
      </c>
      <c r="G20" s="24" t="s">
        <v>125</v>
      </c>
      <c r="H20" s="31" t="s">
        <v>66</v>
      </c>
      <c r="J20" t="str">
        <f>VLOOKUP(F20,'[1]Activos Líquidos'!$B:$B,1,0)</f>
        <v>1134</v>
      </c>
    </row>
    <row r="21" spans="1:10" ht="69">
      <c r="A21" s="21" t="s">
        <v>60</v>
      </c>
      <c r="B21" s="21"/>
      <c r="C21" s="21" t="s">
        <v>126</v>
      </c>
      <c r="D21" s="21" t="s">
        <v>86</v>
      </c>
      <c r="E21" s="21" t="s">
        <v>63</v>
      </c>
      <c r="F21" s="29" t="s">
        <v>127</v>
      </c>
      <c r="G21" s="25" t="s">
        <v>128</v>
      </c>
      <c r="H21" s="31" t="s">
        <v>66</v>
      </c>
      <c r="J21" t="str">
        <f>VLOOKUP(F21,'[1]Activos Líquidos'!$B:$B,1,0)</f>
        <v>1135</v>
      </c>
    </row>
    <row r="22" spans="1:10" ht="27.6">
      <c r="A22" s="21" t="s">
        <v>60</v>
      </c>
      <c r="B22" s="21"/>
      <c r="C22" s="21" t="s">
        <v>129</v>
      </c>
      <c r="D22" s="21" t="s">
        <v>86</v>
      </c>
      <c r="E22" s="21" t="s">
        <v>63</v>
      </c>
      <c r="F22" s="29" t="s">
        <v>130</v>
      </c>
      <c r="G22" s="25" t="s">
        <v>131</v>
      </c>
      <c r="H22" s="31" t="s">
        <v>66</v>
      </c>
      <c r="J22" t="str">
        <f>VLOOKUP(F22,'[1]Activos Líquidos'!$B:$B,1,0)</f>
        <v>1136</v>
      </c>
    </row>
    <row r="23" spans="1:10" s="34" customFormat="1">
      <c r="A23" s="33" t="s">
        <v>60</v>
      </c>
      <c r="B23" s="33"/>
      <c r="C23" s="33" t="s">
        <v>98</v>
      </c>
      <c r="D23" s="33" t="s">
        <v>86</v>
      </c>
      <c r="E23" s="33" t="s">
        <v>63</v>
      </c>
      <c r="F23" s="44" t="s">
        <v>132</v>
      </c>
      <c r="G23" s="34" t="s">
        <v>133</v>
      </c>
      <c r="H23" s="35" t="s">
        <v>66</v>
      </c>
      <c r="I23" s="34" t="s">
        <v>101</v>
      </c>
      <c r="J23" t="str">
        <f>VLOOKUP(F23,'[1]Activos Líquidos'!$B:$B,1,0)</f>
        <v>1137</v>
      </c>
    </row>
    <row r="24" spans="1:10" ht="13.9">
      <c r="A24" s="21" t="s">
        <v>60</v>
      </c>
      <c r="B24" s="21"/>
      <c r="C24" s="21" t="s">
        <v>134</v>
      </c>
      <c r="D24" s="23" t="s">
        <v>135</v>
      </c>
      <c r="E24" s="21" t="s">
        <v>63</v>
      </c>
      <c r="F24" s="29" t="s">
        <v>136</v>
      </c>
      <c r="G24" s="26" t="s">
        <v>137</v>
      </c>
      <c r="H24" s="31" t="s">
        <v>66</v>
      </c>
      <c r="J24" t="str">
        <f>VLOOKUP(F24,'[1]Activos Líquidos'!$B:$B,1,0)</f>
        <v>1591</v>
      </c>
    </row>
    <row r="25" spans="1:10" ht="13.9">
      <c r="A25" s="21" t="s">
        <v>60</v>
      </c>
      <c r="B25" s="21"/>
      <c r="C25" s="21" t="s">
        <v>138</v>
      </c>
      <c r="D25" s="21" t="s">
        <v>135</v>
      </c>
      <c r="E25" s="21" t="s">
        <v>63</v>
      </c>
      <c r="F25" s="29" t="s">
        <v>139</v>
      </c>
      <c r="G25" s="26" t="s">
        <v>140</v>
      </c>
      <c r="H25" s="31" t="s">
        <v>66</v>
      </c>
      <c r="J25" t="str">
        <f>VLOOKUP(F25,'[1]Activos Líquidos'!$B:$B,1,0)</f>
        <v>1592</v>
      </c>
    </row>
    <row r="26" spans="1:10" ht="13.9">
      <c r="A26" s="21" t="s">
        <v>60</v>
      </c>
      <c r="B26" s="21"/>
      <c r="C26" s="21" t="s">
        <v>141</v>
      </c>
      <c r="D26" s="21" t="s">
        <v>135</v>
      </c>
      <c r="E26" s="21" t="s">
        <v>63</v>
      </c>
      <c r="F26" s="29" t="s">
        <v>142</v>
      </c>
      <c r="G26" s="26" t="s">
        <v>143</v>
      </c>
      <c r="H26" s="31" t="s">
        <v>66</v>
      </c>
      <c r="J26" t="str">
        <f>VLOOKUP(F26,'[1]Activos Líquidos'!$B:$B,1,0)</f>
        <v>1556</v>
      </c>
    </row>
    <row r="27" spans="1:10" ht="13.9">
      <c r="A27" s="21" t="s">
        <v>60</v>
      </c>
      <c r="B27" s="21"/>
      <c r="C27" s="21" t="s">
        <v>144</v>
      </c>
      <c r="D27" s="21" t="s">
        <v>135</v>
      </c>
      <c r="E27" s="21" t="s">
        <v>63</v>
      </c>
      <c r="F27" s="29" t="s">
        <v>145</v>
      </c>
      <c r="G27" s="26" t="s">
        <v>146</v>
      </c>
      <c r="H27" s="31" t="s">
        <v>66</v>
      </c>
      <c r="J27" t="str">
        <f>VLOOKUP(F27,'[1]Activos Líquidos'!$B:$B,1,0)</f>
        <v>1557</v>
      </c>
    </row>
    <row r="28" spans="1:10" ht="13.9">
      <c r="A28" s="21" t="s">
        <v>60</v>
      </c>
      <c r="B28" s="21"/>
      <c r="C28" s="21" t="s">
        <v>147</v>
      </c>
      <c r="D28" s="21" t="s">
        <v>135</v>
      </c>
      <c r="E28" s="21" t="s">
        <v>63</v>
      </c>
      <c r="F28" s="29" t="s">
        <v>148</v>
      </c>
      <c r="G28" s="26" t="s">
        <v>149</v>
      </c>
      <c r="H28" s="31" t="s">
        <v>66</v>
      </c>
      <c r="J28" t="str">
        <f>VLOOKUP(F28,'[1]Activos Líquidos'!$B:$B,1,0)</f>
        <v>1594</v>
      </c>
    </row>
    <row r="29" spans="1:10" ht="13.9">
      <c r="A29" s="21" t="s">
        <v>60</v>
      </c>
      <c r="B29" s="21"/>
      <c r="C29" s="21" t="s">
        <v>150</v>
      </c>
      <c r="D29" s="23" t="s">
        <v>135</v>
      </c>
      <c r="E29" s="21" t="s">
        <v>63</v>
      </c>
      <c r="F29" s="29" t="s">
        <v>151</v>
      </c>
      <c r="G29" s="26" t="s">
        <v>152</v>
      </c>
      <c r="H29" s="31" t="s">
        <v>66</v>
      </c>
      <c r="J29" t="str">
        <f>VLOOKUP(F29,'[1]Activos Líquidos'!$B:$B,1,0)</f>
        <v>1595</v>
      </c>
    </row>
    <row r="30" spans="1:10" ht="13.9">
      <c r="A30" s="21" t="s">
        <v>60</v>
      </c>
      <c r="B30" s="21"/>
      <c r="C30" s="21" t="s">
        <v>153</v>
      </c>
      <c r="D30" s="21" t="s">
        <v>135</v>
      </c>
      <c r="E30" s="21" t="s">
        <v>63</v>
      </c>
      <c r="F30" s="29" t="s">
        <v>154</v>
      </c>
      <c r="G30" s="26" t="s">
        <v>155</v>
      </c>
      <c r="H30" s="31" t="s">
        <v>66</v>
      </c>
      <c r="J30" t="str">
        <f>VLOOKUP(F30,'[1]Activos Líquidos'!$B:$B,1,0)</f>
        <v>1596</v>
      </c>
    </row>
    <row r="31" spans="1:10" ht="13.9">
      <c r="A31" s="21" t="s">
        <v>60</v>
      </c>
      <c r="B31" s="21"/>
      <c r="C31" s="21" t="s">
        <v>156</v>
      </c>
      <c r="D31" s="21" t="s">
        <v>135</v>
      </c>
      <c r="E31" s="21" t="s">
        <v>63</v>
      </c>
      <c r="F31" s="29" t="s">
        <v>157</v>
      </c>
      <c r="G31" s="26" t="s">
        <v>158</v>
      </c>
      <c r="H31" s="31" t="s">
        <v>66</v>
      </c>
      <c r="J31" t="str">
        <f>VLOOKUP(F31,'[1]Activos Líquidos'!$B:$B,1,0)</f>
        <v>1608</v>
      </c>
    </row>
    <row r="32" spans="1:10" ht="13.9">
      <c r="A32" s="21" t="s">
        <v>60</v>
      </c>
      <c r="B32" s="21"/>
      <c r="C32" s="21" t="s">
        <v>159</v>
      </c>
      <c r="D32" s="21" t="s">
        <v>135</v>
      </c>
      <c r="E32" s="21" t="s">
        <v>63</v>
      </c>
      <c r="F32" s="29" t="s">
        <v>160</v>
      </c>
      <c r="G32" s="26" t="s">
        <v>161</v>
      </c>
      <c r="H32" s="31" t="s">
        <v>66</v>
      </c>
      <c r="J32" t="str">
        <f>VLOOKUP(F32,'[1]Activos Líquidos'!$B:$B,1,0)</f>
        <v>1609</v>
      </c>
    </row>
    <row r="33" spans="1:10" ht="13.9">
      <c r="A33" s="21" t="s">
        <v>60</v>
      </c>
      <c r="B33" s="21"/>
      <c r="C33" s="21" t="s">
        <v>162</v>
      </c>
      <c r="D33" s="21" t="s">
        <v>135</v>
      </c>
      <c r="E33" s="21" t="s">
        <v>63</v>
      </c>
      <c r="F33" s="29" t="s">
        <v>163</v>
      </c>
      <c r="G33" s="26" t="s">
        <v>164</v>
      </c>
      <c r="H33" s="31" t="s">
        <v>66</v>
      </c>
      <c r="J33" t="str">
        <f>VLOOKUP(F33,'[1]Activos Líquidos'!$B:$B,1,0)</f>
        <v>1598</v>
      </c>
    </row>
    <row r="34" spans="1:10" ht="13.9">
      <c r="A34" s="21" t="s">
        <v>60</v>
      </c>
      <c r="B34" s="21"/>
      <c r="C34" s="21" t="s">
        <v>165</v>
      </c>
      <c r="D34" s="23" t="s">
        <v>135</v>
      </c>
      <c r="E34" s="21" t="s">
        <v>63</v>
      </c>
      <c r="F34" s="29" t="s">
        <v>166</v>
      </c>
      <c r="G34" s="26" t="s">
        <v>167</v>
      </c>
      <c r="H34" s="31" t="s">
        <v>66</v>
      </c>
      <c r="J34" t="str">
        <f>VLOOKUP(F34,'[1]Activos Líquidos'!$B:$B,1,0)</f>
        <v>1599</v>
      </c>
    </row>
    <row r="35" spans="1:10" ht="13.9">
      <c r="A35" s="21" t="s">
        <v>60</v>
      </c>
      <c r="B35" s="21"/>
      <c r="C35" s="21" t="s">
        <v>168</v>
      </c>
      <c r="D35" s="23" t="s">
        <v>135</v>
      </c>
      <c r="E35" s="21" t="s">
        <v>63</v>
      </c>
      <c r="F35" s="29" t="s">
        <v>169</v>
      </c>
      <c r="G35" s="26" t="s">
        <v>170</v>
      </c>
      <c r="H35" s="31" t="s">
        <v>66</v>
      </c>
      <c r="J35" t="str">
        <f>VLOOKUP(F35,'[1]Activos Líquidos'!$B:$B,1,0)</f>
        <v>1601</v>
      </c>
    </row>
    <row r="36" spans="1:10" ht="13.9">
      <c r="A36" s="21" t="s">
        <v>60</v>
      </c>
      <c r="B36" s="21"/>
      <c r="C36" s="21" t="s">
        <v>171</v>
      </c>
      <c r="D36" s="21" t="s">
        <v>135</v>
      </c>
      <c r="E36" s="21" t="s">
        <v>63</v>
      </c>
      <c r="F36" s="29" t="s">
        <v>172</v>
      </c>
      <c r="G36" s="26" t="s">
        <v>173</v>
      </c>
      <c r="H36" s="31" t="s">
        <v>66</v>
      </c>
      <c r="J36" t="str">
        <f>VLOOKUP(F36,'[1]Activos Líquidos'!$B:$B,1,0)</f>
        <v>1602</v>
      </c>
    </row>
    <row r="37" spans="1:10" ht="13.9">
      <c r="A37" s="21" t="s">
        <v>60</v>
      </c>
      <c r="B37" s="21"/>
      <c r="C37" s="21" t="s">
        <v>174</v>
      </c>
      <c r="D37" s="21" t="s">
        <v>135</v>
      </c>
      <c r="E37" s="21" t="s">
        <v>63</v>
      </c>
      <c r="F37" s="29" t="s">
        <v>175</v>
      </c>
      <c r="G37" s="26" t="s">
        <v>176</v>
      </c>
      <c r="H37" s="31" t="s">
        <v>66</v>
      </c>
      <c r="J37" t="str">
        <f>VLOOKUP(F37,'[1]Activos Líquidos'!$B:$B,1,0)</f>
        <v>1603</v>
      </c>
    </row>
    <row r="38" spans="1:10" ht="13.9">
      <c r="A38" s="21" t="s">
        <v>60</v>
      </c>
      <c r="B38" s="21"/>
      <c r="C38" s="21" t="s">
        <v>177</v>
      </c>
      <c r="D38" s="21" t="s">
        <v>135</v>
      </c>
      <c r="E38" s="21" t="s">
        <v>63</v>
      </c>
      <c r="F38" s="29" t="s">
        <v>178</v>
      </c>
      <c r="G38" s="26" t="s">
        <v>179</v>
      </c>
      <c r="H38" s="31" t="s">
        <v>66</v>
      </c>
      <c r="J38" t="str">
        <f>VLOOKUP(F38,'[1]Activos Líquidos'!$B:$B,1,0)</f>
        <v>1611</v>
      </c>
    </row>
    <row r="39" spans="1:10" ht="13.9">
      <c r="A39" s="21" t="s">
        <v>60</v>
      </c>
      <c r="B39" s="21"/>
      <c r="C39" s="21" t="s">
        <v>180</v>
      </c>
      <c r="D39" s="21" t="s">
        <v>135</v>
      </c>
      <c r="E39" s="21" t="s">
        <v>63</v>
      </c>
      <c r="F39" s="29" t="s">
        <v>181</v>
      </c>
      <c r="G39" s="26" t="s">
        <v>182</v>
      </c>
      <c r="H39" s="31" t="s">
        <v>66</v>
      </c>
      <c r="J39" t="str">
        <f>VLOOKUP(F39,'[1]Activos Líquidos'!$B:$B,1,0)</f>
        <v>1612</v>
      </c>
    </row>
    <row r="40" spans="1:10" ht="13.9">
      <c r="A40" s="21" t="s">
        <v>60</v>
      </c>
      <c r="B40" s="21"/>
      <c r="C40" s="21" t="s">
        <v>183</v>
      </c>
      <c r="D40" s="21" t="s">
        <v>135</v>
      </c>
      <c r="E40" s="21" t="s">
        <v>63</v>
      </c>
      <c r="F40" s="29" t="s">
        <v>184</v>
      </c>
      <c r="G40" s="26" t="s">
        <v>185</v>
      </c>
      <c r="H40" s="31" t="s">
        <v>66</v>
      </c>
      <c r="J40" t="str">
        <f>VLOOKUP(F40,'[1]Activos Líquidos'!$B:$B,1,0)</f>
        <v>1613</v>
      </c>
    </row>
    <row r="41" spans="1:10" ht="13.9">
      <c r="A41" s="21" t="s">
        <v>60</v>
      </c>
      <c r="B41" s="21"/>
      <c r="C41" s="21" t="s">
        <v>186</v>
      </c>
      <c r="D41" s="21" t="s">
        <v>135</v>
      </c>
      <c r="E41" s="21" t="s">
        <v>63</v>
      </c>
      <c r="F41" s="29" t="s">
        <v>187</v>
      </c>
      <c r="G41" s="26" t="s">
        <v>188</v>
      </c>
      <c r="H41" s="31" t="s">
        <v>66</v>
      </c>
      <c r="J41" t="str">
        <f>VLOOKUP(F41,'[1]Activos Líquidos'!$B:$B,1,0)</f>
        <v>1614</v>
      </c>
    </row>
    <row r="42" spans="1:10" ht="13.9">
      <c r="A42" s="21" t="s">
        <v>60</v>
      </c>
      <c r="B42" s="21"/>
      <c r="C42" s="21" t="s">
        <v>189</v>
      </c>
      <c r="D42" s="21" t="s">
        <v>135</v>
      </c>
      <c r="E42" s="21" t="s">
        <v>63</v>
      </c>
      <c r="F42" s="29" t="s">
        <v>190</v>
      </c>
      <c r="G42" s="26" t="s">
        <v>191</v>
      </c>
      <c r="H42" s="31" t="s">
        <v>66</v>
      </c>
      <c r="J42" t="str">
        <f>VLOOKUP(F42,'[1]Activos Líquidos'!$B:$B,1,0)</f>
        <v>1606</v>
      </c>
    </row>
    <row r="43" spans="1:10" ht="13.9">
      <c r="A43" s="21" t="s">
        <v>60</v>
      </c>
      <c r="B43" s="21"/>
      <c r="C43" s="21" t="s">
        <v>192</v>
      </c>
      <c r="D43" s="21" t="s">
        <v>135</v>
      </c>
      <c r="E43" s="21" t="s">
        <v>63</v>
      </c>
      <c r="F43" s="29" t="s">
        <v>193</v>
      </c>
      <c r="G43" s="26" t="s">
        <v>194</v>
      </c>
      <c r="H43" s="31" t="s">
        <v>66</v>
      </c>
      <c r="J43" t="str">
        <f>VLOOKUP(F43,'[1]Activos Líquidos'!$B:$B,1,0)</f>
        <v>1607</v>
      </c>
    </row>
    <row r="44" spans="1:10" ht="13.9">
      <c r="A44" s="21" t="s">
        <v>60</v>
      </c>
      <c r="B44" s="21"/>
      <c r="C44" s="21" t="s">
        <v>195</v>
      </c>
      <c r="D44" s="23" t="s">
        <v>196</v>
      </c>
      <c r="E44" s="21" t="s">
        <v>63</v>
      </c>
      <c r="F44" s="29" t="s">
        <v>197</v>
      </c>
      <c r="G44" s="27" t="s">
        <v>198</v>
      </c>
      <c r="H44" s="31" t="s">
        <v>66</v>
      </c>
      <c r="J44" t="str">
        <f>VLOOKUP(F44,'[1]Activos Líquidos'!$B:$B,1,0)</f>
        <v>1558</v>
      </c>
    </row>
    <row r="45" spans="1:10" ht="13.9">
      <c r="A45" s="21" t="s">
        <v>60</v>
      </c>
      <c r="B45" s="21"/>
      <c r="C45" s="21" t="s">
        <v>199</v>
      </c>
      <c r="D45" s="21" t="s">
        <v>196</v>
      </c>
      <c r="E45" s="21" t="s">
        <v>63</v>
      </c>
      <c r="F45" s="29" t="s">
        <v>200</v>
      </c>
      <c r="G45" s="27" t="s">
        <v>201</v>
      </c>
      <c r="H45" s="31" t="s">
        <v>66</v>
      </c>
      <c r="J45" t="str">
        <f>VLOOKUP(F45,'[1]Activos Líquidos'!$B:$B,1,0)</f>
        <v>1559</v>
      </c>
    </row>
    <row r="46" spans="1:10" ht="13.9">
      <c r="A46" s="21" t="s">
        <v>60</v>
      </c>
      <c r="B46" s="21"/>
      <c r="C46" s="21" t="s">
        <v>202</v>
      </c>
      <c r="D46" s="21" t="s">
        <v>196</v>
      </c>
      <c r="E46" s="21" t="s">
        <v>63</v>
      </c>
      <c r="F46" s="29" t="s">
        <v>203</v>
      </c>
      <c r="G46" s="27" t="s">
        <v>204</v>
      </c>
      <c r="H46" s="31" t="s">
        <v>66</v>
      </c>
      <c r="J46" t="str">
        <f>VLOOKUP(F46,'[1]Activos Líquidos'!$B:$B,1,0)</f>
        <v>1541</v>
      </c>
    </row>
    <row r="47" spans="1:10" ht="13.9">
      <c r="A47" s="21" t="s">
        <v>60</v>
      </c>
      <c r="B47" s="21"/>
      <c r="C47" s="21" t="s">
        <v>205</v>
      </c>
      <c r="D47" s="21" t="s">
        <v>196</v>
      </c>
      <c r="E47" s="21" t="s">
        <v>63</v>
      </c>
      <c r="F47" s="29" t="s">
        <v>206</v>
      </c>
      <c r="G47" s="27" t="s">
        <v>207</v>
      </c>
      <c r="H47" s="31" t="s">
        <v>66</v>
      </c>
      <c r="J47" t="str">
        <f>VLOOKUP(F47,'[1]Activos Líquidos'!$B:$B,1,0)</f>
        <v>1542</v>
      </c>
    </row>
    <row r="48" spans="1:10" ht="13.9">
      <c r="A48" s="21" t="s">
        <v>60</v>
      </c>
      <c r="B48" s="21"/>
      <c r="C48" s="21" t="s">
        <v>208</v>
      </c>
      <c r="D48" s="21" t="s">
        <v>196</v>
      </c>
      <c r="E48" s="21" t="s">
        <v>63</v>
      </c>
      <c r="F48" s="29" t="s">
        <v>209</v>
      </c>
      <c r="G48" s="27" t="s">
        <v>210</v>
      </c>
      <c r="H48" s="31" t="s">
        <v>66</v>
      </c>
      <c r="J48" t="str">
        <f>VLOOKUP(F48,'[1]Activos Líquidos'!$B:$B,1,0)</f>
        <v>1562</v>
      </c>
    </row>
    <row r="49" spans="1:10" ht="13.9">
      <c r="A49" s="21" t="s">
        <v>60</v>
      </c>
      <c r="B49" s="21"/>
      <c r="C49" s="21" t="s">
        <v>211</v>
      </c>
      <c r="D49" s="23" t="s">
        <v>196</v>
      </c>
      <c r="E49" s="21" t="s">
        <v>63</v>
      </c>
      <c r="F49" s="29" t="s">
        <v>212</v>
      </c>
      <c r="G49" s="27" t="s">
        <v>213</v>
      </c>
      <c r="H49" s="31" t="s">
        <v>66</v>
      </c>
      <c r="J49" t="str">
        <f>VLOOKUP(F49,'[1]Activos Líquidos'!$B:$B,1,0)</f>
        <v>1563</v>
      </c>
    </row>
    <row r="50" spans="1:10" ht="13.9">
      <c r="A50" s="21" t="s">
        <v>60</v>
      </c>
      <c r="B50" s="21"/>
      <c r="C50" s="21" t="s">
        <v>214</v>
      </c>
      <c r="D50" s="21" t="s">
        <v>196</v>
      </c>
      <c r="E50" s="21" t="s">
        <v>63</v>
      </c>
      <c r="F50" s="29" t="s">
        <v>215</v>
      </c>
      <c r="G50" s="27" t="s">
        <v>216</v>
      </c>
      <c r="H50" s="31" t="s">
        <v>66</v>
      </c>
      <c r="J50" t="str">
        <f>VLOOKUP(F50,'[1]Activos Líquidos'!$B:$B,1,0)</f>
        <v>1564</v>
      </c>
    </row>
    <row r="51" spans="1:10" ht="13.9">
      <c r="A51" s="21" t="s">
        <v>60</v>
      </c>
      <c r="B51" s="21"/>
      <c r="C51" s="21" t="s">
        <v>217</v>
      </c>
      <c r="D51" s="21" t="s">
        <v>196</v>
      </c>
      <c r="E51" s="21" t="s">
        <v>63</v>
      </c>
      <c r="F51" s="29" t="s">
        <v>218</v>
      </c>
      <c r="G51" s="27" t="s">
        <v>219</v>
      </c>
      <c r="H51" s="31" t="s">
        <v>66</v>
      </c>
      <c r="J51" t="str">
        <f>VLOOKUP(F51,'[1]Activos Líquidos'!$B:$B,1,0)</f>
        <v>1543</v>
      </c>
    </row>
    <row r="52" spans="1:10" ht="13.9">
      <c r="A52" s="21" t="s">
        <v>60</v>
      </c>
      <c r="B52" s="21"/>
      <c r="C52" s="21" t="s">
        <v>220</v>
      </c>
      <c r="D52" s="21" t="s">
        <v>196</v>
      </c>
      <c r="E52" s="21" t="s">
        <v>63</v>
      </c>
      <c r="F52" s="29" t="s">
        <v>221</v>
      </c>
      <c r="G52" s="27" t="s">
        <v>222</v>
      </c>
      <c r="H52" s="31" t="s">
        <v>66</v>
      </c>
      <c r="J52" t="str">
        <f>VLOOKUP(F52,'[1]Activos Líquidos'!$B:$B,1,0)</f>
        <v>1544</v>
      </c>
    </row>
    <row r="53" spans="1:10" ht="13.9">
      <c r="A53" s="21" t="s">
        <v>60</v>
      </c>
      <c r="B53" s="21"/>
      <c r="C53" s="21" t="s">
        <v>223</v>
      </c>
      <c r="D53" s="21" t="s">
        <v>196</v>
      </c>
      <c r="E53" s="21" t="s">
        <v>63</v>
      </c>
      <c r="F53" s="29" t="s">
        <v>224</v>
      </c>
      <c r="G53" s="27" t="s">
        <v>225</v>
      </c>
      <c r="H53" s="31" t="s">
        <v>66</v>
      </c>
      <c r="J53" t="str">
        <f>VLOOKUP(F53,'[1]Activos Líquidos'!$B:$B,1,0)</f>
        <v>1566</v>
      </c>
    </row>
    <row r="54" spans="1:10" ht="13.9">
      <c r="A54" s="21" t="s">
        <v>60</v>
      </c>
      <c r="B54" s="21"/>
      <c r="C54" s="21" t="s">
        <v>226</v>
      </c>
      <c r="D54" s="23" t="s">
        <v>196</v>
      </c>
      <c r="E54" s="21" t="s">
        <v>63</v>
      </c>
      <c r="F54" s="29" t="s">
        <v>227</v>
      </c>
      <c r="G54" s="27" t="s">
        <v>228</v>
      </c>
      <c r="H54" s="31" t="s">
        <v>66</v>
      </c>
      <c r="J54" t="str">
        <f>VLOOKUP(F54,'[1]Activos Líquidos'!$B:$B,1,0)</f>
        <v>1567</v>
      </c>
    </row>
    <row r="55" spans="1:10" ht="13.9">
      <c r="A55" s="21" t="s">
        <v>60</v>
      </c>
      <c r="B55" s="21"/>
      <c r="C55" s="21" t="s">
        <v>229</v>
      </c>
      <c r="D55" s="23" t="s">
        <v>196</v>
      </c>
      <c r="E55" s="21" t="s">
        <v>63</v>
      </c>
      <c r="F55" s="29" t="s">
        <v>230</v>
      </c>
      <c r="G55" s="27" t="s">
        <v>231</v>
      </c>
      <c r="H55" s="31" t="s">
        <v>66</v>
      </c>
      <c r="J55" t="str">
        <f>VLOOKUP(F55,'[1]Activos Líquidos'!$B:$B,1,0)</f>
        <v>1568</v>
      </c>
    </row>
    <row r="56" spans="1:10" ht="13.9">
      <c r="A56" s="21" t="s">
        <v>60</v>
      </c>
      <c r="B56" s="21"/>
      <c r="C56" s="21" t="s">
        <v>232</v>
      </c>
      <c r="D56" s="21" t="s">
        <v>196</v>
      </c>
      <c r="E56" s="21" t="s">
        <v>63</v>
      </c>
      <c r="F56" s="29" t="s">
        <v>233</v>
      </c>
      <c r="G56" s="27" t="s">
        <v>234</v>
      </c>
      <c r="H56" s="31" t="s">
        <v>66</v>
      </c>
      <c r="J56" t="str">
        <f>VLOOKUP(F56,'[1]Activos Líquidos'!$B:$B,1,0)</f>
        <v>1569</v>
      </c>
    </row>
    <row r="57" spans="1:10" ht="13.9">
      <c r="A57" s="21" t="s">
        <v>60</v>
      </c>
      <c r="B57" s="21"/>
      <c r="C57" s="21" t="s">
        <v>235</v>
      </c>
      <c r="D57" s="21" t="s">
        <v>196</v>
      </c>
      <c r="E57" s="21" t="s">
        <v>63</v>
      </c>
      <c r="F57" s="29" t="s">
        <v>236</v>
      </c>
      <c r="G57" s="27" t="s">
        <v>237</v>
      </c>
      <c r="H57" s="31" t="s">
        <v>66</v>
      </c>
      <c r="J57" t="str">
        <f>VLOOKUP(F57,'[1]Activos Líquidos'!$B:$B,1,0)</f>
        <v>1571</v>
      </c>
    </row>
    <row r="58" spans="1:10" ht="13.9">
      <c r="A58" s="21" t="s">
        <v>60</v>
      </c>
      <c r="B58" s="21"/>
      <c r="C58" s="21" t="s">
        <v>238</v>
      </c>
      <c r="D58" s="21" t="s">
        <v>196</v>
      </c>
      <c r="E58" s="21" t="s">
        <v>63</v>
      </c>
      <c r="F58" s="29" t="s">
        <v>239</v>
      </c>
      <c r="G58" s="27" t="s">
        <v>240</v>
      </c>
      <c r="H58" s="31" t="s">
        <v>66</v>
      </c>
      <c r="J58" t="str">
        <f>VLOOKUP(F58,'[1]Activos Líquidos'!$B:$B,1,0)</f>
        <v>1545</v>
      </c>
    </row>
    <row r="59" spans="1:10" ht="13.9">
      <c r="A59" s="21" t="s">
        <v>60</v>
      </c>
      <c r="B59" s="21"/>
      <c r="C59" s="21" t="s">
        <v>241</v>
      </c>
      <c r="D59" s="21" t="s">
        <v>196</v>
      </c>
      <c r="E59" s="21" t="s">
        <v>63</v>
      </c>
      <c r="F59" s="29" t="s">
        <v>242</v>
      </c>
      <c r="G59" s="27" t="s">
        <v>243</v>
      </c>
      <c r="H59" s="31" t="s">
        <v>66</v>
      </c>
      <c r="J59" t="str">
        <f>VLOOKUP(F59,'[1]Activos Líquidos'!$B:$B,1,0)</f>
        <v>1546</v>
      </c>
    </row>
    <row r="60" spans="1:10" ht="13.9">
      <c r="A60" s="21" t="s">
        <v>60</v>
      </c>
      <c r="B60" s="21"/>
      <c r="C60" s="21" t="s">
        <v>244</v>
      </c>
      <c r="D60" s="21" t="s">
        <v>196</v>
      </c>
      <c r="E60" s="21" t="s">
        <v>63</v>
      </c>
      <c r="F60" s="29" t="s">
        <v>245</v>
      </c>
      <c r="G60" s="27" t="s">
        <v>246</v>
      </c>
      <c r="H60" s="31" t="s">
        <v>66</v>
      </c>
      <c r="J60" t="str">
        <f>VLOOKUP(F60,'[1]Activos Líquidos'!$B:$B,1,0)</f>
        <v>1547</v>
      </c>
    </row>
    <row r="61" spans="1:10" ht="13.9">
      <c r="A61" s="21" t="s">
        <v>60</v>
      </c>
      <c r="B61" s="21"/>
      <c r="C61" s="21" t="s">
        <v>247</v>
      </c>
      <c r="D61" s="21" t="s">
        <v>196</v>
      </c>
      <c r="E61" s="21" t="s">
        <v>63</v>
      </c>
      <c r="F61" s="29" t="s">
        <v>248</v>
      </c>
      <c r="G61" s="27" t="s">
        <v>249</v>
      </c>
      <c r="H61" s="31" t="s">
        <v>66</v>
      </c>
      <c r="J61" t="str">
        <f>VLOOKUP(F61,'[1]Activos Líquidos'!$B:$B,1,0)</f>
        <v>1548</v>
      </c>
    </row>
    <row r="62" spans="1:10" ht="13.9">
      <c r="A62" s="21" t="s">
        <v>60</v>
      </c>
      <c r="B62" s="21"/>
      <c r="C62" s="21" t="s">
        <v>250</v>
      </c>
      <c r="D62" s="21" t="s">
        <v>196</v>
      </c>
      <c r="E62" s="21" t="s">
        <v>63</v>
      </c>
      <c r="F62" s="29" t="s">
        <v>251</v>
      </c>
      <c r="G62" s="27" t="s">
        <v>252</v>
      </c>
      <c r="H62" s="31" t="s">
        <v>66</v>
      </c>
      <c r="J62" t="str">
        <f>VLOOKUP(F62,'[1]Activos Líquidos'!$B:$B,1,0)</f>
        <v>1574</v>
      </c>
    </row>
    <row r="63" spans="1:10" ht="13.9">
      <c r="A63" s="21" t="s">
        <v>60</v>
      </c>
      <c r="B63" s="21"/>
      <c r="C63" s="21" t="s">
        <v>253</v>
      </c>
      <c r="D63" s="21" t="s">
        <v>196</v>
      </c>
      <c r="E63" s="21" t="s">
        <v>63</v>
      </c>
      <c r="F63" s="29" t="s">
        <v>254</v>
      </c>
      <c r="G63" s="27" t="s">
        <v>255</v>
      </c>
      <c r="H63" s="31" t="s">
        <v>66</v>
      </c>
      <c r="J63" t="str">
        <f>VLOOKUP(F63,'[1]Activos Líquidos'!$B:$B,1,0)</f>
        <v>1575</v>
      </c>
    </row>
    <row r="64" spans="1:10" ht="13.9">
      <c r="A64" s="21" t="s">
        <v>60</v>
      </c>
      <c r="B64" s="21"/>
      <c r="C64" s="21" t="s">
        <v>256</v>
      </c>
      <c r="D64" s="21" t="s">
        <v>257</v>
      </c>
      <c r="E64" s="21" t="s">
        <v>63</v>
      </c>
      <c r="F64" s="29" t="s">
        <v>258</v>
      </c>
      <c r="G64" s="27" t="s">
        <v>259</v>
      </c>
      <c r="H64" s="31" t="s">
        <v>66</v>
      </c>
      <c r="J64" t="str">
        <f>VLOOKUP(F64,'[1]Activos Líquidos'!$B:$B,1,0)</f>
        <v>1576</v>
      </c>
    </row>
    <row r="65" spans="1:10" ht="13.9">
      <c r="A65" s="21" t="s">
        <v>60</v>
      </c>
      <c r="B65" s="21"/>
      <c r="C65" s="21" t="s">
        <v>260</v>
      </c>
      <c r="D65" s="21" t="s">
        <v>257</v>
      </c>
      <c r="E65" s="21" t="s">
        <v>63</v>
      </c>
      <c r="F65" s="29" t="s">
        <v>261</v>
      </c>
      <c r="G65" s="27" t="s">
        <v>262</v>
      </c>
      <c r="H65" s="31" t="s">
        <v>66</v>
      </c>
      <c r="J65" t="str">
        <f>VLOOKUP(F65,'[1]Activos Líquidos'!$B:$B,1,0)</f>
        <v>1577</v>
      </c>
    </row>
    <row r="66" spans="1:10" ht="13.9">
      <c r="A66" s="21" t="s">
        <v>60</v>
      </c>
      <c r="B66" s="21"/>
      <c r="C66" s="21" t="s">
        <v>263</v>
      </c>
      <c r="D66" s="21" t="s">
        <v>257</v>
      </c>
      <c r="E66" s="21" t="s">
        <v>63</v>
      </c>
      <c r="F66" s="29" t="s">
        <v>264</v>
      </c>
      <c r="G66" s="27" t="s">
        <v>265</v>
      </c>
      <c r="H66" s="31" t="s">
        <v>66</v>
      </c>
      <c r="J66" t="str">
        <f>VLOOKUP(F66,'[1]Activos Líquidos'!$B:$B,1,0)</f>
        <v>1578</v>
      </c>
    </row>
    <row r="67" spans="1:10" ht="13.9">
      <c r="A67" s="21" t="s">
        <v>60</v>
      </c>
      <c r="B67" s="21"/>
      <c r="C67" s="21" t="s">
        <v>266</v>
      </c>
      <c r="D67" s="21" t="s">
        <v>257</v>
      </c>
      <c r="E67" s="21" t="s">
        <v>63</v>
      </c>
      <c r="F67" s="29" t="s">
        <v>267</v>
      </c>
      <c r="G67" s="27" t="s">
        <v>268</v>
      </c>
      <c r="H67" s="31" t="s">
        <v>66</v>
      </c>
      <c r="J67" t="str">
        <f>VLOOKUP(F67,'[1]Activos Líquidos'!$B:$B,1,0)</f>
        <v>1579</v>
      </c>
    </row>
    <row r="68" spans="1:10" ht="13.9">
      <c r="A68" s="21" t="s">
        <v>60</v>
      </c>
      <c r="B68" s="21"/>
      <c r="C68" s="21" t="s">
        <v>269</v>
      </c>
      <c r="D68" s="21" t="s">
        <v>257</v>
      </c>
      <c r="E68" s="21" t="s">
        <v>63</v>
      </c>
      <c r="F68" s="29" t="s">
        <v>270</v>
      </c>
      <c r="G68" s="27" t="s">
        <v>271</v>
      </c>
      <c r="H68" s="31" t="s">
        <v>66</v>
      </c>
      <c r="J68" t="str">
        <f>VLOOKUP(F68,'[1]Activos Líquidos'!$B:$B,1,0)</f>
        <v>1549</v>
      </c>
    </row>
    <row r="69" spans="1:10" ht="13.9">
      <c r="A69" s="21" t="s">
        <v>60</v>
      </c>
      <c r="B69" s="21"/>
      <c r="C69" s="21" t="s">
        <v>272</v>
      </c>
      <c r="D69" s="21" t="s">
        <v>257</v>
      </c>
      <c r="E69" s="21" t="s">
        <v>63</v>
      </c>
      <c r="F69" s="29" t="s">
        <v>273</v>
      </c>
      <c r="G69" s="27" t="s">
        <v>274</v>
      </c>
      <c r="H69" s="31" t="s">
        <v>66</v>
      </c>
      <c r="J69" t="str">
        <f>VLOOKUP(F69,'[1]Activos Líquidos'!$B:$B,1,0)</f>
        <v>1551</v>
      </c>
    </row>
    <row r="70" spans="1:10" ht="13.9">
      <c r="A70" s="21" t="s">
        <v>60</v>
      </c>
      <c r="B70" s="21"/>
      <c r="C70" s="21" t="s">
        <v>275</v>
      </c>
      <c r="D70" s="21" t="s">
        <v>257</v>
      </c>
      <c r="E70" s="21" t="s">
        <v>63</v>
      </c>
      <c r="F70" s="29" t="s">
        <v>276</v>
      </c>
      <c r="G70" s="27" t="s">
        <v>277</v>
      </c>
      <c r="H70" s="31" t="s">
        <v>66</v>
      </c>
      <c r="J70" t="str">
        <f>VLOOKUP(F70,'[1]Activos Líquidos'!$B:$B,1,0)</f>
        <v>1552</v>
      </c>
    </row>
    <row r="71" spans="1:10" ht="13.9">
      <c r="A71" s="21" t="s">
        <v>60</v>
      </c>
      <c r="B71" s="21"/>
      <c r="C71" s="21" t="s">
        <v>278</v>
      </c>
      <c r="D71" s="21" t="s">
        <v>257</v>
      </c>
      <c r="E71" s="21" t="s">
        <v>63</v>
      </c>
      <c r="F71" s="29" t="s">
        <v>279</v>
      </c>
      <c r="G71" s="27" t="s">
        <v>280</v>
      </c>
      <c r="H71" s="31" t="s">
        <v>66</v>
      </c>
      <c r="J71" t="str">
        <f>VLOOKUP(F71,'[1]Activos Líquidos'!$B:$B,1,0)</f>
        <v>1553</v>
      </c>
    </row>
    <row r="72" spans="1:10" ht="13.9">
      <c r="A72" s="21" t="s">
        <v>60</v>
      </c>
      <c r="B72" s="21"/>
      <c r="C72" s="21" t="s">
        <v>281</v>
      </c>
      <c r="D72" s="21" t="s">
        <v>257</v>
      </c>
      <c r="E72" s="21" t="s">
        <v>63</v>
      </c>
      <c r="F72" s="29" t="s">
        <v>282</v>
      </c>
      <c r="G72" s="27" t="s">
        <v>283</v>
      </c>
      <c r="H72" s="31" t="s">
        <v>66</v>
      </c>
      <c r="J72" t="str">
        <f>VLOOKUP(F72,'[1]Activos Líquidos'!$B:$B,1,0)</f>
        <v>1583</v>
      </c>
    </row>
    <row r="73" spans="1:10" ht="13.9">
      <c r="A73" s="21" t="s">
        <v>60</v>
      </c>
      <c r="B73" s="21"/>
      <c r="C73" s="21" t="s">
        <v>284</v>
      </c>
      <c r="D73" s="21" t="s">
        <v>257</v>
      </c>
      <c r="E73" s="21" t="s">
        <v>63</v>
      </c>
      <c r="F73" s="29" t="s">
        <v>285</v>
      </c>
      <c r="G73" s="27" t="s">
        <v>286</v>
      </c>
      <c r="H73" s="31" t="s">
        <v>66</v>
      </c>
      <c r="J73" t="str">
        <f>VLOOKUP(F73,'[1]Activos Líquidos'!$B:$B,1,0)</f>
        <v>1584</v>
      </c>
    </row>
    <row r="74" spans="1:10" ht="13.9">
      <c r="A74" s="21" t="s">
        <v>60</v>
      </c>
      <c r="B74" s="21"/>
      <c r="C74" s="21" t="s">
        <v>287</v>
      </c>
      <c r="D74" s="23" t="s">
        <v>288</v>
      </c>
      <c r="E74" s="21" t="s">
        <v>63</v>
      </c>
      <c r="F74" s="29" t="s">
        <v>289</v>
      </c>
      <c r="G74" s="27" t="s">
        <v>290</v>
      </c>
      <c r="H74" s="31" t="s">
        <v>66</v>
      </c>
      <c r="J74" t="str">
        <f>VLOOKUP(F74,'[1]Activos Líquidos'!$B:$B,1,0)</f>
        <v>1585</v>
      </c>
    </row>
    <row r="75" spans="1:10" ht="13.9">
      <c r="A75" s="21" t="s">
        <v>60</v>
      </c>
      <c r="B75" s="21"/>
      <c r="C75" s="21" t="s">
        <v>287</v>
      </c>
      <c r="D75" s="21" t="s">
        <v>288</v>
      </c>
      <c r="E75" s="21" t="s">
        <v>63</v>
      </c>
      <c r="F75" s="29" t="s">
        <v>291</v>
      </c>
      <c r="G75" s="27" t="s">
        <v>292</v>
      </c>
      <c r="H75" s="31" t="s">
        <v>66</v>
      </c>
      <c r="J75" t="str">
        <f>VLOOKUP(F75,'[1]Activos Líquidos'!$B:$B,1,0)</f>
        <v>1586</v>
      </c>
    </row>
    <row r="76" spans="1:10" ht="13.9">
      <c r="A76" s="21" t="s">
        <v>60</v>
      </c>
      <c r="B76" s="21"/>
      <c r="C76" s="21" t="s">
        <v>287</v>
      </c>
      <c r="D76" s="21" t="s">
        <v>288</v>
      </c>
      <c r="E76" s="21" t="s">
        <v>63</v>
      </c>
      <c r="F76" s="29" t="s">
        <v>293</v>
      </c>
      <c r="G76" s="27" t="s">
        <v>294</v>
      </c>
      <c r="H76" s="31" t="s">
        <v>66</v>
      </c>
      <c r="J76" t="str">
        <f>VLOOKUP(F76,'[1]Activos Líquidos'!$B:$B,1,0)</f>
        <v>1554</v>
      </c>
    </row>
    <row r="77" spans="1:10" ht="27.6">
      <c r="A77" s="21" t="s">
        <v>60</v>
      </c>
      <c r="B77" s="21"/>
      <c r="C77" s="21" t="s">
        <v>287</v>
      </c>
      <c r="D77" s="21" t="s">
        <v>288</v>
      </c>
      <c r="E77" s="21" t="s">
        <v>63</v>
      </c>
      <c r="F77" s="29" t="s">
        <v>295</v>
      </c>
      <c r="G77" s="28" t="s">
        <v>296</v>
      </c>
      <c r="H77" s="31" t="s">
        <v>66</v>
      </c>
      <c r="J77" t="str">
        <f>VLOOKUP(F77,'[1]Activos Líquidos'!$B:$B,1,0)</f>
        <v>1555</v>
      </c>
    </row>
    <row r="78" spans="1:10" ht="13.9">
      <c r="A78" s="21" t="s">
        <v>297</v>
      </c>
      <c r="B78" s="21" t="s">
        <v>298</v>
      </c>
      <c r="C78" s="21" t="s">
        <v>299</v>
      </c>
      <c r="D78" s="21" t="s">
        <v>300</v>
      </c>
      <c r="E78" s="21" t="s">
        <v>301</v>
      </c>
      <c r="F78" s="29" t="s">
        <v>302</v>
      </c>
      <c r="G78" s="36" t="s">
        <v>303</v>
      </c>
      <c r="H78" s="31" t="s">
        <v>304</v>
      </c>
      <c r="J78" t="str">
        <f>VLOOKUP(F78,'[1]Salidas de Efectivo'!$B:$B,1,0)</f>
        <v>10031</v>
      </c>
    </row>
    <row r="79" spans="1:10" ht="13.9">
      <c r="A79" s="21" t="s">
        <v>297</v>
      </c>
      <c r="B79" s="21" t="s">
        <v>298</v>
      </c>
      <c r="C79" s="21" t="s">
        <v>305</v>
      </c>
      <c r="D79" s="21" t="s">
        <v>306</v>
      </c>
      <c r="E79" s="21" t="s">
        <v>301</v>
      </c>
      <c r="F79" s="29" t="s">
        <v>307</v>
      </c>
      <c r="G79" s="36" t="s">
        <v>308</v>
      </c>
      <c r="H79" s="31" t="s">
        <v>304</v>
      </c>
      <c r="J79" t="str">
        <f>VLOOKUP(F79,'[1]Salidas de Efectivo'!$B:$B,1,0)</f>
        <v>10032</v>
      </c>
    </row>
    <row r="80" spans="1:10" ht="13.9">
      <c r="A80" s="21" t="s">
        <v>297</v>
      </c>
      <c r="B80" s="21" t="s">
        <v>298</v>
      </c>
      <c r="C80" s="21" t="s">
        <v>309</v>
      </c>
      <c r="D80" s="21" t="s">
        <v>310</v>
      </c>
      <c r="E80" s="21" t="s">
        <v>301</v>
      </c>
      <c r="F80" s="29" t="s">
        <v>311</v>
      </c>
      <c r="G80" s="36" t="s">
        <v>303</v>
      </c>
      <c r="H80" s="31" t="s">
        <v>304</v>
      </c>
      <c r="J80" t="str">
        <f>VLOOKUP(F80,'[1]Salidas de Efectivo'!$B:$B,1,0)</f>
        <v>10033</v>
      </c>
    </row>
    <row r="81" spans="1:10" ht="13.9">
      <c r="A81" s="21" t="s">
        <v>297</v>
      </c>
      <c r="B81" s="21" t="s">
        <v>298</v>
      </c>
      <c r="C81" s="21" t="s">
        <v>312</v>
      </c>
      <c r="D81" s="21" t="s">
        <v>313</v>
      </c>
      <c r="E81" s="21" t="s">
        <v>301</v>
      </c>
      <c r="F81" s="29" t="s">
        <v>314</v>
      </c>
      <c r="G81" s="36" t="s">
        <v>308</v>
      </c>
      <c r="H81" s="31" t="s">
        <v>304</v>
      </c>
      <c r="J81" t="str">
        <f>VLOOKUP(F81,'[1]Salidas de Efectivo'!$B:$B,1,0)</f>
        <v>10034</v>
      </c>
    </row>
    <row r="82" spans="1:10" ht="13.9">
      <c r="A82" s="21" t="s">
        <v>297</v>
      </c>
      <c r="B82" s="21" t="s">
        <v>298</v>
      </c>
      <c r="C82" s="21" t="s">
        <v>315</v>
      </c>
      <c r="D82" s="21" t="s">
        <v>316</v>
      </c>
      <c r="E82" s="21" t="s">
        <v>301</v>
      </c>
      <c r="F82" s="29" t="s">
        <v>317</v>
      </c>
      <c r="G82" s="37" t="s">
        <v>303</v>
      </c>
      <c r="H82" s="31" t="s">
        <v>304</v>
      </c>
      <c r="J82" t="str">
        <f>VLOOKUP(F82,'[1]Salidas de Efectivo'!$B:$B,1,0)</f>
        <v>10035</v>
      </c>
    </row>
    <row r="83" spans="1:10" ht="13.9">
      <c r="A83" s="21" t="s">
        <v>297</v>
      </c>
      <c r="B83" s="21" t="s">
        <v>298</v>
      </c>
      <c r="C83" s="21" t="s">
        <v>318</v>
      </c>
      <c r="D83" s="21" t="s">
        <v>319</v>
      </c>
      <c r="E83" s="21" t="s">
        <v>301</v>
      </c>
      <c r="F83" s="29" t="s">
        <v>320</v>
      </c>
      <c r="G83" s="37" t="s">
        <v>308</v>
      </c>
      <c r="H83" s="31" t="s">
        <v>304</v>
      </c>
      <c r="J83" t="str">
        <f>VLOOKUP(F83,'[1]Salidas de Efectivo'!$B:$B,1,0)</f>
        <v>10036</v>
      </c>
    </row>
    <row r="84" spans="1:10" ht="13.9">
      <c r="A84" s="21" t="s">
        <v>297</v>
      </c>
      <c r="B84" s="21" t="s">
        <v>298</v>
      </c>
      <c r="C84" s="21" t="s">
        <v>321</v>
      </c>
      <c r="D84" s="21" t="s">
        <v>322</v>
      </c>
      <c r="E84" s="21" t="s">
        <v>301</v>
      </c>
      <c r="F84" s="29" t="s">
        <v>323</v>
      </c>
      <c r="G84" s="37" t="s">
        <v>303</v>
      </c>
      <c r="H84" s="31" t="s">
        <v>304</v>
      </c>
      <c r="J84" t="str">
        <f>VLOOKUP(F84,'[1]Salidas de Efectivo'!$B:$B,1,0)</f>
        <v>10037</v>
      </c>
    </row>
    <row r="85" spans="1:10" ht="13.9">
      <c r="A85" s="21" t="s">
        <v>297</v>
      </c>
      <c r="B85" s="21" t="s">
        <v>298</v>
      </c>
      <c r="C85" s="21" t="s">
        <v>324</v>
      </c>
      <c r="D85" s="21" t="s">
        <v>325</v>
      </c>
      <c r="E85" s="21" t="s">
        <v>301</v>
      </c>
      <c r="F85" s="29" t="s">
        <v>326</v>
      </c>
      <c r="G85" s="37" t="s">
        <v>308</v>
      </c>
      <c r="H85" s="31" t="s">
        <v>304</v>
      </c>
      <c r="J85" t="str">
        <f>VLOOKUP(F85,'[1]Salidas de Efectivo'!$B:$B,1,0)</f>
        <v>10038</v>
      </c>
    </row>
    <row r="86" spans="1:10" ht="13.9">
      <c r="A86" s="21" t="s">
        <v>297</v>
      </c>
      <c r="B86" s="21" t="s">
        <v>298</v>
      </c>
      <c r="C86" s="21" t="s">
        <v>327</v>
      </c>
      <c r="D86" s="21" t="s">
        <v>328</v>
      </c>
      <c r="E86" s="21" t="s">
        <v>301</v>
      </c>
      <c r="F86" s="29" t="s">
        <v>329</v>
      </c>
      <c r="G86" s="36" t="s">
        <v>303</v>
      </c>
      <c r="H86" s="31" t="s">
        <v>304</v>
      </c>
      <c r="J86" t="str">
        <f>VLOOKUP(F86,'[1]Salidas de Efectivo'!$B:$B,1,0)</f>
        <v>10039</v>
      </c>
    </row>
    <row r="87" spans="1:10" ht="13.9">
      <c r="A87" s="21" t="s">
        <v>297</v>
      </c>
      <c r="B87" s="21" t="s">
        <v>298</v>
      </c>
      <c r="C87" s="21" t="s">
        <v>330</v>
      </c>
      <c r="D87" s="21" t="s">
        <v>306</v>
      </c>
      <c r="E87" s="21" t="s">
        <v>301</v>
      </c>
      <c r="F87" s="29" t="s">
        <v>331</v>
      </c>
      <c r="G87" s="36" t="s">
        <v>308</v>
      </c>
      <c r="H87" s="31" t="s">
        <v>304</v>
      </c>
      <c r="J87" t="str">
        <f>VLOOKUP(F87,'[1]Salidas de Efectivo'!$B:$B,1,0)</f>
        <v>10041</v>
      </c>
    </row>
    <row r="88" spans="1:10" ht="13.9">
      <c r="A88" s="21" t="s">
        <v>297</v>
      </c>
      <c r="B88" s="21" t="s">
        <v>298</v>
      </c>
      <c r="C88" s="21" t="s">
        <v>332</v>
      </c>
      <c r="D88" s="21" t="s">
        <v>310</v>
      </c>
      <c r="E88" s="21" t="s">
        <v>301</v>
      </c>
      <c r="F88" s="29" t="s">
        <v>333</v>
      </c>
      <c r="G88" s="36" t="s">
        <v>303</v>
      </c>
      <c r="H88" s="31" t="s">
        <v>304</v>
      </c>
      <c r="J88" t="str">
        <f>VLOOKUP(F88,'[1]Salidas de Efectivo'!$B:$B,1,0)</f>
        <v>10042</v>
      </c>
    </row>
    <row r="89" spans="1:10" ht="13.9">
      <c r="A89" s="21" t="s">
        <v>297</v>
      </c>
      <c r="B89" s="21" t="s">
        <v>298</v>
      </c>
      <c r="C89" s="21" t="s">
        <v>334</v>
      </c>
      <c r="D89" s="21" t="s">
        <v>313</v>
      </c>
      <c r="E89" s="21" t="s">
        <v>301</v>
      </c>
      <c r="F89" s="29" t="s">
        <v>335</v>
      </c>
      <c r="G89" s="36" t="s">
        <v>308</v>
      </c>
      <c r="H89" s="31" t="s">
        <v>304</v>
      </c>
      <c r="J89" t="str">
        <f>VLOOKUP(F89,'[1]Salidas de Efectivo'!$B:$B,1,0)</f>
        <v>10043</v>
      </c>
    </row>
    <row r="90" spans="1:10" ht="13.9">
      <c r="A90" s="21" t="s">
        <v>297</v>
      </c>
      <c r="B90" s="21" t="s">
        <v>298</v>
      </c>
      <c r="C90" s="21" t="s">
        <v>336</v>
      </c>
      <c r="D90" s="21" t="s">
        <v>337</v>
      </c>
      <c r="E90" s="21" t="s">
        <v>301</v>
      </c>
      <c r="F90" s="29" t="s">
        <v>338</v>
      </c>
      <c r="G90" s="36" t="s">
        <v>303</v>
      </c>
      <c r="H90" s="31" t="s">
        <v>304</v>
      </c>
      <c r="J90" t="str">
        <f>VLOOKUP(F90,'[1]Salidas de Efectivo'!$B:$B,1,0)</f>
        <v>10044</v>
      </c>
    </row>
    <row r="91" spans="1:10" ht="13.9">
      <c r="A91" s="21" t="s">
        <v>297</v>
      </c>
      <c r="B91" s="21" t="s">
        <v>298</v>
      </c>
      <c r="C91" s="21" t="s">
        <v>339</v>
      </c>
      <c r="D91" s="21" t="s">
        <v>340</v>
      </c>
      <c r="E91" s="21" t="s">
        <v>301</v>
      </c>
      <c r="F91" s="29" t="s">
        <v>341</v>
      </c>
      <c r="G91" s="36" t="s">
        <v>308</v>
      </c>
      <c r="H91" s="31" t="s">
        <v>304</v>
      </c>
      <c r="J91" t="str">
        <f>VLOOKUP(F91,'[1]Salidas de Efectivo'!$B:$B,1,0)</f>
        <v>10045</v>
      </c>
    </row>
    <row r="92" spans="1:10" ht="13.9">
      <c r="A92" s="21" t="s">
        <v>297</v>
      </c>
      <c r="B92" s="21" t="s">
        <v>298</v>
      </c>
      <c r="C92" s="21" t="s">
        <v>342</v>
      </c>
      <c r="D92" s="21" t="s">
        <v>343</v>
      </c>
      <c r="E92" s="21" t="s">
        <v>301</v>
      </c>
      <c r="F92" s="29" t="s">
        <v>344</v>
      </c>
      <c r="G92" s="36" t="s">
        <v>303</v>
      </c>
      <c r="H92" s="31" t="s">
        <v>304</v>
      </c>
      <c r="J92" t="str">
        <f>VLOOKUP(F92,'[1]Salidas de Efectivo'!$B:$B,1,0)</f>
        <v>10046</v>
      </c>
    </row>
    <row r="93" spans="1:10" ht="13.9">
      <c r="A93" s="21" t="s">
        <v>297</v>
      </c>
      <c r="B93" s="21" t="s">
        <v>298</v>
      </c>
      <c r="C93" s="21" t="s">
        <v>345</v>
      </c>
      <c r="D93" s="21" t="s">
        <v>346</v>
      </c>
      <c r="E93" s="21" t="s">
        <v>301</v>
      </c>
      <c r="F93" s="29" t="s">
        <v>347</v>
      </c>
      <c r="G93" s="36" t="s">
        <v>308</v>
      </c>
      <c r="H93" s="31" t="s">
        <v>304</v>
      </c>
      <c r="J93" t="str">
        <f>VLOOKUP(F93,'[1]Salidas de Efectivo'!$B:$B,1,0)</f>
        <v>10047</v>
      </c>
    </row>
    <row r="94" spans="1:10" ht="13.9">
      <c r="A94" s="21" t="s">
        <v>297</v>
      </c>
      <c r="B94" s="21" t="s">
        <v>298</v>
      </c>
      <c r="C94" s="21" t="s">
        <v>348</v>
      </c>
      <c r="D94" s="21" t="s">
        <v>349</v>
      </c>
      <c r="E94" s="21" t="s">
        <v>301</v>
      </c>
      <c r="F94" s="29" t="s">
        <v>350</v>
      </c>
      <c r="G94" s="37" t="s">
        <v>303</v>
      </c>
      <c r="H94" s="31" t="s">
        <v>304</v>
      </c>
      <c r="J94" t="str">
        <f>VLOOKUP(F94,'[1]Salidas de Efectivo'!$B:$B,1,0)</f>
        <v>10048</v>
      </c>
    </row>
    <row r="95" spans="1:10" ht="13.9">
      <c r="A95" s="21" t="s">
        <v>297</v>
      </c>
      <c r="B95" s="21" t="s">
        <v>298</v>
      </c>
      <c r="C95" s="21" t="s">
        <v>351</v>
      </c>
      <c r="D95" s="21" t="s">
        <v>352</v>
      </c>
      <c r="E95" s="21" t="s">
        <v>301</v>
      </c>
      <c r="F95" s="29" t="s">
        <v>353</v>
      </c>
      <c r="G95" s="37" t="s">
        <v>308</v>
      </c>
      <c r="H95" s="31" t="s">
        <v>304</v>
      </c>
      <c r="J95" t="str">
        <f>VLOOKUP(F95,'[1]Salidas de Efectivo'!$B:$B,1,0)</f>
        <v>10049</v>
      </c>
    </row>
    <row r="96" spans="1:10" ht="13.9">
      <c r="A96" s="21" t="s">
        <v>297</v>
      </c>
      <c r="B96" s="21" t="s">
        <v>298</v>
      </c>
      <c r="C96" s="21" t="s">
        <v>354</v>
      </c>
      <c r="D96" s="21" t="s">
        <v>355</v>
      </c>
      <c r="E96" s="21" t="s">
        <v>301</v>
      </c>
      <c r="F96" s="29" t="s">
        <v>356</v>
      </c>
      <c r="G96" s="37" t="s">
        <v>303</v>
      </c>
      <c r="H96" s="31" t="s">
        <v>304</v>
      </c>
      <c r="J96" t="str">
        <f>VLOOKUP(F96,'[1]Salidas de Efectivo'!$B:$B,1,0)</f>
        <v>10051</v>
      </c>
    </row>
    <row r="97" spans="1:10" ht="13.9">
      <c r="A97" s="21" t="s">
        <v>297</v>
      </c>
      <c r="B97" s="21" t="s">
        <v>298</v>
      </c>
      <c r="C97" s="21" t="s">
        <v>357</v>
      </c>
      <c r="D97" s="21" t="s">
        <v>358</v>
      </c>
      <c r="E97" s="21" t="s">
        <v>301</v>
      </c>
      <c r="F97" s="29" t="s">
        <v>359</v>
      </c>
      <c r="G97" s="37" t="s">
        <v>308</v>
      </c>
      <c r="H97" s="31" t="s">
        <v>304</v>
      </c>
      <c r="J97" t="str">
        <f>VLOOKUP(F97,'[1]Salidas de Efectivo'!$B:$B,1,0)</f>
        <v>10052</v>
      </c>
    </row>
    <row r="98" spans="1:10" ht="13.9">
      <c r="A98" s="21" t="s">
        <v>297</v>
      </c>
      <c r="B98" s="21" t="s">
        <v>298</v>
      </c>
      <c r="C98" s="21" t="s">
        <v>360</v>
      </c>
      <c r="D98" s="21" t="s">
        <v>361</v>
      </c>
      <c r="E98" s="21" t="s">
        <v>301</v>
      </c>
      <c r="F98" s="29" t="s">
        <v>362</v>
      </c>
      <c r="G98" s="37" t="s">
        <v>303</v>
      </c>
      <c r="H98" s="31" t="s">
        <v>304</v>
      </c>
      <c r="J98" t="str">
        <f>VLOOKUP(F98,'[1]Salidas de Efectivo'!$B:$B,1,0)</f>
        <v>10053</v>
      </c>
    </row>
    <row r="99" spans="1:10" ht="13.9">
      <c r="A99" s="21" t="s">
        <v>297</v>
      </c>
      <c r="B99" s="21" t="s">
        <v>298</v>
      </c>
      <c r="C99" s="21" t="s">
        <v>363</v>
      </c>
      <c r="D99" s="21" t="s">
        <v>364</v>
      </c>
      <c r="E99" s="21" t="s">
        <v>301</v>
      </c>
      <c r="F99" s="29" t="s">
        <v>365</v>
      </c>
      <c r="G99" s="37" t="s">
        <v>308</v>
      </c>
      <c r="H99" s="31" t="s">
        <v>304</v>
      </c>
      <c r="J99" t="str">
        <f>VLOOKUP(F99,'[1]Salidas de Efectivo'!$B:$B,1,0)</f>
        <v>10054</v>
      </c>
    </row>
    <row r="100" spans="1:10" ht="13.9">
      <c r="A100" s="21" t="s">
        <v>297</v>
      </c>
      <c r="B100" s="21" t="s">
        <v>298</v>
      </c>
      <c r="C100" s="21" t="s">
        <v>366</v>
      </c>
      <c r="D100" s="21" t="s">
        <v>367</v>
      </c>
      <c r="E100" s="21" t="s">
        <v>301</v>
      </c>
      <c r="F100" s="29" t="s">
        <v>368</v>
      </c>
      <c r="G100" s="37" t="s">
        <v>303</v>
      </c>
      <c r="H100" s="31" t="s">
        <v>304</v>
      </c>
      <c r="J100" t="str">
        <f>VLOOKUP(F100,'[1]Salidas de Efectivo'!$B:$B,1,0)</f>
        <v>10055</v>
      </c>
    </row>
    <row r="101" spans="1:10" ht="13.9">
      <c r="A101" s="21" t="s">
        <v>297</v>
      </c>
      <c r="B101" s="21" t="s">
        <v>298</v>
      </c>
      <c r="C101" s="21" t="s">
        <v>369</v>
      </c>
      <c r="D101" s="21" t="s">
        <v>370</v>
      </c>
      <c r="E101" s="21" t="s">
        <v>301</v>
      </c>
      <c r="F101" s="29" t="s">
        <v>371</v>
      </c>
      <c r="G101" s="37" t="s">
        <v>308</v>
      </c>
      <c r="H101" s="31" t="s">
        <v>304</v>
      </c>
      <c r="J101" t="str">
        <f>VLOOKUP(F101,'[1]Salidas de Efectivo'!$B:$B,1,0)</f>
        <v>10056</v>
      </c>
    </row>
    <row r="102" spans="1:10" ht="39.6">
      <c r="A102" s="21" t="s">
        <v>297</v>
      </c>
      <c r="B102" s="21" t="s">
        <v>298</v>
      </c>
      <c r="C102" s="21" t="s">
        <v>372</v>
      </c>
      <c r="D102" s="23" t="s">
        <v>373</v>
      </c>
      <c r="E102" s="21" t="s">
        <v>301</v>
      </c>
      <c r="F102" s="29" t="s">
        <v>374</v>
      </c>
      <c r="G102" s="36" t="s">
        <v>375</v>
      </c>
      <c r="H102" s="31" t="s">
        <v>304</v>
      </c>
      <c r="J102" t="str">
        <f>VLOOKUP(F102,'[1]Salidas de Efectivo'!$B:$B,1,0)</f>
        <v>10057</v>
      </c>
    </row>
    <row r="103" spans="1:10" ht="26.45">
      <c r="A103" s="21" t="s">
        <v>297</v>
      </c>
      <c r="B103" s="21" t="s">
        <v>298</v>
      </c>
      <c r="C103" s="21" t="s">
        <v>376</v>
      </c>
      <c r="D103" s="23" t="s">
        <v>377</v>
      </c>
      <c r="E103" s="21" t="s">
        <v>301</v>
      </c>
      <c r="F103" s="29" t="s">
        <v>378</v>
      </c>
      <c r="G103" s="36" t="s">
        <v>379</v>
      </c>
      <c r="H103" s="31" t="s">
        <v>304</v>
      </c>
      <c r="J103" t="str">
        <f>VLOOKUP(F103,'[1]Salidas de Efectivo'!$B:$B,1,0)</f>
        <v>10058</v>
      </c>
    </row>
    <row r="104" spans="1:10" ht="39.6">
      <c r="A104" s="21" t="s">
        <v>297</v>
      </c>
      <c r="B104" s="21" t="s">
        <v>298</v>
      </c>
      <c r="C104" s="21" t="s">
        <v>380</v>
      </c>
      <c r="D104" s="23" t="s">
        <v>375</v>
      </c>
      <c r="E104" s="21" t="s">
        <v>301</v>
      </c>
      <c r="F104" s="29" t="s">
        <v>381</v>
      </c>
      <c r="G104" s="36" t="s">
        <v>375</v>
      </c>
      <c r="H104" s="31" t="s">
        <v>304</v>
      </c>
      <c r="J104" t="str">
        <f>VLOOKUP(F104,'[1]Salidas de Efectivo'!$B:$B,1,0)</f>
        <v>10059</v>
      </c>
    </row>
    <row r="105" spans="1:10" ht="26.45">
      <c r="A105" s="21" t="s">
        <v>297</v>
      </c>
      <c r="B105" s="21" t="s">
        <v>298</v>
      </c>
      <c r="C105" s="21" t="s">
        <v>382</v>
      </c>
      <c r="D105" s="23" t="s">
        <v>377</v>
      </c>
      <c r="E105" s="21" t="s">
        <v>301</v>
      </c>
      <c r="F105" s="29" t="s">
        <v>383</v>
      </c>
      <c r="G105" s="36" t="s">
        <v>377</v>
      </c>
      <c r="H105" s="31" t="s">
        <v>304</v>
      </c>
      <c r="J105" t="str">
        <f>VLOOKUP(F105,'[1]Salidas de Efectivo'!$B:$B,1,0)</f>
        <v>10061</v>
      </c>
    </row>
    <row r="106" spans="1:10" ht="39.6">
      <c r="A106" s="21" t="s">
        <v>297</v>
      </c>
      <c r="B106" s="21" t="s">
        <v>298</v>
      </c>
      <c r="C106" s="21" t="s">
        <v>384</v>
      </c>
      <c r="D106" s="23" t="s">
        <v>385</v>
      </c>
      <c r="E106" s="21" t="s">
        <v>301</v>
      </c>
      <c r="F106" s="29" t="s">
        <v>386</v>
      </c>
      <c r="G106" s="36" t="s">
        <v>379</v>
      </c>
      <c r="H106" s="31" t="s">
        <v>304</v>
      </c>
      <c r="J106" t="str">
        <f>VLOOKUP(F106,'[1]Salidas de Efectivo'!$B:$B,1,0)</f>
        <v>10062</v>
      </c>
    </row>
    <row r="107" spans="1:10" ht="39.6">
      <c r="A107" s="21" t="s">
        <v>297</v>
      </c>
      <c r="B107" s="21" t="s">
        <v>298</v>
      </c>
      <c r="C107" s="21" t="s">
        <v>387</v>
      </c>
      <c r="D107" s="23" t="s">
        <v>388</v>
      </c>
      <c r="E107" s="21" t="s">
        <v>301</v>
      </c>
      <c r="F107" s="29" t="s">
        <v>389</v>
      </c>
      <c r="G107" s="36" t="s">
        <v>388</v>
      </c>
      <c r="H107" s="31" t="s">
        <v>304</v>
      </c>
      <c r="J107" t="str">
        <f>VLOOKUP(F107,'[1]Salidas de Efectivo'!$B:$B,1,0)</f>
        <v>10063</v>
      </c>
    </row>
    <row r="108" spans="1:10" ht="13.9">
      <c r="A108" s="21" t="s">
        <v>297</v>
      </c>
      <c r="B108" s="21" t="s">
        <v>298</v>
      </c>
      <c r="C108" s="21" t="s">
        <v>390</v>
      </c>
      <c r="D108" s="21" t="s">
        <v>391</v>
      </c>
      <c r="E108" s="21" t="s">
        <v>301</v>
      </c>
      <c r="F108" s="29" t="s">
        <v>392</v>
      </c>
      <c r="G108" s="36" t="s">
        <v>393</v>
      </c>
      <c r="H108" s="31" t="s">
        <v>304</v>
      </c>
      <c r="J108" t="str">
        <f>VLOOKUP(F108,'[1]Salidas de Efectivo'!$B:$B,1,0)</f>
        <v>10064</v>
      </c>
    </row>
    <row r="109" spans="1:10" ht="26.45">
      <c r="A109" s="21" t="s">
        <v>297</v>
      </c>
      <c r="B109" s="21" t="s">
        <v>298</v>
      </c>
      <c r="C109" s="21" t="s">
        <v>394</v>
      </c>
      <c r="D109" s="23" t="s">
        <v>377</v>
      </c>
      <c r="E109" s="21" t="s">
        <v>301</v>
      </c>
      <c r="F109" s="29" t="s">
        <v>395</v>
      </c>
      <c r="G109" s="36" t="s">
        <v>377</v>
      </c>
      <c r="H109" s="31" t="s">
        <v>304</v>
      </c>
      <c r="J109" t="str">
        <f>VLOOKUP(F109,'[1]Salidas de Efectivo'!$B:$B,1,0)</f>
        <v>10065</v>
      </c>
    </row>
    <row r="110" spans="1:10" ht="39.6">
      <c r="A110" s="21" t="s">
        <v>297</v>
      </c>
      <c r="B110" s="21" t="s">
        <v>298</v>
      </c>
      <c r="C110" s="21" t="s">
        <v>396</v>
      </c>
      <c r="D110" s="23" t="s">
        <v>385</v>
      </c>
      <c r="E110" s="21" t="s">
        <v>301</v>
      </c>
      <c r="F110" s="29" t="s">
        <v>397</v>
      </c>
      <c r="G110" s="36" t="s">
        <v>379</v>
      </c>
      <c r="H110" s="31" t="s">
        <v>304</v>
      </c>
      <c r="J110" t="str">
        <f>VLOOKUP(F110,'[1]Salidas de Efectivo'!$B:$B,1,0)</f>
        <v>10066</v>
      </c>
    </row>
    <row r="111" spans="1:10" ht="39.6">
      <c r="A111" s="21" t="s">
        <v>297</v>
      </c>
      <c r="B111" s="21" t="s">
        <v>298</v>
      </c>
      <c r="C111" s="21" t="s">
        <v>398</v>
      </c>
      <c r="D111" s="23" t="s">
        <v>375</v>
      </c>
      <c r="E111" s="21" t="s">
        <v>301</v>
      </c>
      <c r="F111" s="29" t="s">
        <v>399</v>
      </c>
      <c r="G111" s="36" t="s">
        <v>375</v>
      </c>
      <c r="H111" s="31" t="s">
        <v>304</v>
      </c>
      <c r="J111" t="str">
        <f>VLOOKUP(F111,'[1]Salidas de Efectivo'!$B:$B,1,0)</f>
        <v>10067</v>
      </c>
    </row>
    <row r="112" spans="1:10" ht="39.6">
      <c r="A112" s="21" t="s">
        <v>297</v>
      </c>
      <c r="B112" s="21" t="s">
        <v>298</v>
      </c>
      <c r="C112" s="21" t="s">
        <v>400</v>
      </c>
      <c r="D112" s="23" t="s">
        <v>385</v>
      </c>
      <c r="E112" s="21" t="s">
        <v>301</v>
      </c>
      <c r="F112" s="29" t="s">
        <v>401</v>
      </c>
      <c r="G112" s="36" t="s">
        <v>379</v>
      </c>
      <c r="H112" s="31" t="s">
        <v>304</v>
      </c>
      <c r="J112" t="str">
        <f>VLOOKUP(F112,'[1]Salidas de Efectivo'!$B:$B,1,0)</f>
        <v>10068</v>
      </c>
    </row>
    <row r="113" spans="1:10" ht="39.6">
      <c r="A113" s="21" t="s">
        <v>297</v>
      </c>
      <c r="B113" s="21" t="s">
        <v>298</v>
      </c>
      <c r="C113" s="21" t="s">
        <v>402</v>
      </c>
      <c r="D113" s="23" t="s">
        <v>375</v>
      </c>
      <c r="E113" s="21" t="s">
        <v>301</v>
      </c>
      <c r="F113" s="29" t="s">
        <v>403</v>
      </c>
      <c r="G113" s="36" t="s">
        <v>375</v>
      </c>
      <c r="H113" s="31" t="s">
        <v>304</v>
      </c>
      <c r="J113" t="str">
        <f>VLOOKUP(F113,'[1]Salidas de Efectivo'!$B:$B,1,0)</f>
        <v>10069</v>
      </c>
    </row>
    <row r="114" spans="1:10" ht="26.45">
      <c r="A114" s="21" t="s">
        <v>297</v>
      </c>
      <c r="B114" s="21" t="s">
        <v>298</v>
      </c>
      <c r="C114" s="21" t="s">
        <v>404</v>
      </c>
      <c r="D114" s="23" t="s">
        <v>377</v>
      </c>
      <c r="E114" s="21" t="s">
        <v>301</v>
      </c>
      <c r="F114" s="29" t="s">
        <v>405</v>
      </c>
      <c r="G114" s="36" t="s">
        <v>377</v>
      </c>
      <c r="H114" s="31" t="s">
        <v>304</v>
      </c>
      <c r="J114" t="str">
        <f>VLOOKUP(F114,'[1]Salidas de Efectivo'!$B:$B,1,0)</f>
        <v>10071</v>
      </c>
    </row>
    <row r="115" spans="1:10" ht="39.6">
      <c r="A115" s="21" t="s">
        <v>297</v>
      </c>
      <c r="B115" s="21" t="s">
        <v>298</v>
      </c>
      <c r="C115" s="21" t="s">
        <v>406</v>
      </c>
      <c r="D115" s="23" t="s">
        <v>385</v>
      </c>
      <c r="E115" s="21" t="s">
        <v>301</v>
      </c>
      <c r="F115" s="29" t="s">
        <v>407</v>
      </c>
      <c r="G115" s="36" t="s">
        <v>379</v>
      </c>
      <c r="H115" s="31" t="s">
        <v>304</v>
      </c>
      <c r="J115" t="str">
        <f>VLOOKUP(F115,'[1]Salidas de Efectivo'!$B:$B,1,0)</f>
        <v>10072</v>
      </c>
    </row>
    <row r="116" spans="1:10" ht="39.6">
      <c r="A116" s="21" t="s">
        <v>297</v>
      </c>
      <c r="B116" s="21" t="s">
        <v>298</v>
      </c>
      <c r="C116" s="21" t="s">
        <v>408</v>
      </c>
      <c r="D116" s="23" t="s">
        <v>388</v>
      </c>
      <c r="E116" s="21" t="s">
        <v>301</v>
      </c>
      <c r="F116" s="29" t="s">
        <v>409</v>
      </c>
      <c r="G116" s="37" t="s">
        <v>388</v>
      </c>
      <c r="H116" s="31" t="s">
        <v>304</v>
      </c>
      <c r="J116" t="str">
        <f>VLOOKUP(F116,'[1]Salidas de Efectivo'!$B:$B,1,0)</f>
        <v>10073</v>
      </c>
    </row>
    <row r="117" spans="1:10" ht="39.6">
      <c r="A117" s="21" t="s">
        <v>297</v>
      </c>
      <c r="B117" s="21" t="s">
        <v>298</v>
      </c>
      <c r="C117" s="21" t="s">
        <v>410</v>
      </c>
      <c r="D117" s="23" t="s">
        <v>411</v>
      </c>
      <c r="E117" s="21" t="s">
        <v>301</v>
      </c>
      <c r="F117" s="29" t="s">
        <v>412</v>
      </c>
      <c r="G117" s="37" t="s">
        <v>411</v>
      </c>
      <c r="H117" s="31" t="s">
        <v>304</v>
      </c>
      <c r="J117" t="str">
        <f>VLOOKUP(F117,'[1]Salidas de Efectivo'!$B:$B,1,0)</f>
        <v>10074</v>
      </c>
    </row>
    <row r="118" spans="1:10" ht="26.45">
      <c r="A118" s="21" t="s">
        <v>297</v>
      </c>
      <c r="B118" s="21" t="s">
        <v>298</v>
      </c>
      <c r="C118" s="21" t="s">
        <v>413</v>
      </c>
      <c r="D118" s="23" t="s">
        <v>377</v>
      </c>
      <c r="E118" s="21" t="s">
        <v>301</v>
      </c>
      <c r="F118" s="29" t="s">
        <v>414</v>
      </c>
      <c r="G118" s="37" t="s">
        <v>377</v>
      </c>
      <c r="H118" s="31" t="s">
        <v>304</v>
      </c>
      <c r="J118" t="str">
        <f>VLOOKUP(F118,'[1]Salidas de Efectivo'!$B:$B,1,0)</f>
        <v>10075</v>
      </c>
    </row>
    <row r="119" spans="1:10" ht="39.6">
      <c r="A119" s="21" t="s">
        <v>297</v>
      </c>
      <c r="B119" s="21" t="s">
        <v>298</v>
      </c>
      <c r="C119" s="21" t="s">
        <v>415</v>
      </c>
      <c r="D119" s="23" t="s">
        <v>385</v>
      </c>
      <c r="E119" s="21" t="s">
        <v>301</v>
      </c>
      <c r="F119" s="29" t="s">
        <v>416</v>
      </c>
      <c r="G119" s="37" t="s">
        <v>379</v>
      </c>
      <c r="H119" s="31" t="s">
        <v>304</v>
      </c>
      <c r="J119" t="str">
        <f>VLOOKUP(F119,'[1]Salidas de Efectivo'!$B:$B,1,0)</f>
        <v>10076</v>
      </c>
    </row>
    <row r="120" spans="1:10" ht="39.6">
      <c r="A120" s="21" t="s">
        <v>297</v>
      </c>
      <c r="B120" s="21" t="s">
        <v>298</v>
      </c>
      <c r="C120" s="32" t="s">
        <v>417</v>
      </c>
      <c r="D120" s="23" t="s">
        <v>418</v>
      </c>
      <c r="E120" s="21" t="s">
        <v>301</v>
      </c>
      <c r="F120" s="45" t="s">
        <v>419</v>
      </c>
      <c r="G120" s="38" t="s">
        <v>388</v>
      </c>
      <c r="H120" s="31"/>
      <c r="J120" t="str">
        <f>VLOOKUP(F120,'[1]Salidas de Efectivo'!$B:$B,1,0)</f>
        <v>11220</v>
      </c>
    </row>
    <row r="121" spans="1:10" ht="39.6">
      <c r="A121" s="21" t="s">
        <v>297</v>
      </c>
      <c r="B121" s="21" t="s">
        <v>298</v>
      </c>
      <c r="C121" s="32" t="s">
        <v>420</v>
      </c>
      <c r="D121" s="23" t="s">
        <v>421</v>
      </c>
      <c r="E121" s="21" t="s">
        <v>301</v>
      </c>
      <c r="F121" s="45" t="s">
        <v>422</v>
      </c>
      <c r="G121" s="38" t="s">
        <v>411</v>
      </c>
      <c r="H121" s="31"/>
      <c r="J121" t="str">
        <f>VLOOKUP(F121,'[1]Salidas de Efectivo'!$B:$B,1,0)</f>
        <v>11230</v>
      </c>
    </row>
    <row r="122" spans="1:10" ht="39.6">
      <c r="A122" s="21" t="s">
        <v>297</v>
      </c>
      <c r="B122" s="21" t="s">
        <v>298</v>
      </c>
      <c r="C122" s="32" t="s">
        <v>423</v>
      </c>
      <c r="D122" s="23" t="s">
        <v>424</v>
      </c>
      <c r="E122" s="21" t="s">
        <v>301</v>
      </c>
      <c r="F122" s="45" t="s">
        <v>425</v>
      </c>
      <c r="G122" s="38" t="s">
        <v>377</v>
      </c>
      <c r="H122" s="31"/>
      <c r="J122" t="str">
        <f>VLOOKUP(F122,'[1]Salidas de Efectivo'!$B:$B,1,0)</f>
        <v>11240</v>
      </c>
    </row>
    <row r="123" spans="1:10" ht="39.6">
      <c r="A123" s="21" t="s">
        <v>297</v>
      </c>
      <c r="B123" s="21" t="s">
        <v>298</v>
      </c>
      <c r="C123" s="32" t="s">
        <v>426</v>
      </c>
      <c r="D123" s="23" t="s">
        <v>427</v>
      </c>
      <c r="E123" s="21" t="s">
        <v>301</v>
      </c>
      <c r="F123" s="45" t="s">
        <v>428</v>
      </c>
      <c r="G123" s="38" t="s">
        <v>429</v>
      </c>
      <c r="H123" s="31"/>
      <c r="J123" t="str">
        <f>VLOOKUP(F123,'[1]Salidas de Efectivo'!$B:$B,1,0)</f>
        <v>11250</v>
      </c>
    </row>
    <row r="124" spans="1:10" ht="39.6">
      <c r="A124" s="21" t="s">
        <v>297</v>
      </c>
      <c r="B124" s="21" t="s">
        <v>298</v>
      </c>
      <c r="C124" s="32" t="s">
        <v>430</v>
      </c>
      <c r="D124" s="23" t="s">
        <v>431</v>
      </c>
      <c r="E124" s="21" t="s">
        <v>301</v>
      </c>
      <c r="F124" s="45" t="s">
        <v>432</v>
      </c>
      <c r="G124" s="38" t="s">
        <v>433</v>
      </c>
      <c r="H124" s="31"/>
      <c r="J124" t="str">
        <f>VLOOKUP(F124,'[1]Salidas de Efectivo'!$B:$B,1,0)</f>
        <v>11260</v>
      </c>
    </row>
    <row r="125" spans="1:10" ht="39.6">
      <c r="A125" s="21" t="s">
        <v>297</v>
      </c>
      <c r="B125" s="21" t="s">
        <v>298</v>
      </c>
      <c r="C125" s="32" t="s">
        <v>434</v>
      </c>
      <c r="D125" s="23" t="s">
        <v>418</v>
      </c>
      <c r="E125" s="21" t="s">
        <v>301</v>
      </c>
      <c r="F125" s="45" t="s">
        <v>435</v>
      </c>
      <c r="G125" s="38" t="s">
        <v>388</v>
      </c>
      <c r="H125" s="31"/>
      <c r="J125" t="str">
        <f>VLOOKUP(F125,'[1]Salidas de Efectivo'!$B:$B,1,0)</f>
        <v>11270</v>
      </c>
    </row>
    <row r="126" spans="1:10" ht="39.6">
      <c r="A126" s="21" t="s">
        <v>297</v>
      </c>
      <c r="B126" s="21" t="s">
        <v>298</v>
      </c>
      <c r="C126" s="32" t="s">
        <v>436</v>
      </c>
      <c r="D126" s="23" t="s">
        <v>421</v>
      </c>
      <c r="E126" s="21" t="s">
        <v>301</v>
      </c>
      <c r="F126" s="45" t="s">
        <v>437</v>
      </c>
      <c r="G126" s="38" t="s">
        <v>411</v>
      </c>
      <c r="H126" s="31"/>
      <c r="J126" t="str">
        <f>VLOOKUP(F126,'[1]Salidas de Efectivo'!$B:$B,1,0)</f>
        <v>11280</v>
      </c>
    </row>
    <row r="127" spans="1:10" ht="39.6">
      <c r="A127" s="21" t="s">
        <v>297</v>
      </c>
      <c r="B127" s="21" t="s">
        <v>298</v>
      </c>
      <c r="C127" s="32" t="s">
        <v>438</v>
      </c>
      <c r="D127" s="23" t="s">
        <v>424</v>
      </c>
      <c r="E127" s="21" t="s">
        <v>301</v>
      </c>
      <c r="F127" s="45" t="s">
        <v>439</v>
      </c>
      <c r="G127" s="38" t="s">
        <v>377</v>
      </c>
      <c r="H127" s="31"/>
      <c r="J127" t="str">
        <f>VLOOKUP(F127,'[1]Salidas de Efectivo'!$B:$B,1,0)</f>
        <v>11290</v>
      </c>
    </row>
    <row r="128" spans="1:10" ht="39.6">
      <c r="A128" s="21" t="s">
        <v>297</v>
      </c>
      <c r="B128" s="21" t="s">
        <v>298</v>
      </c>
      <c r="C128" s="32" t="s">
        <v>440</v>
      </c>
      <c r="D128" s="23" t="s">
        <v>427</v>
      </c>
      <c r="E128" s="21" t="s">
        <v>301</v>
      </c>
      <c r="F128" s="45" t="s">
        <v>441</v>
      </c>
      <c r="G128" s="38" t="s">
        <v>429</v>
      </c>
      <c r="H128" s="31"/>
      <c r="J128" t="str">
        <f>VLOOKUP(F128,'[1]Salidas de Efectivo'!$B:$B,1,0)</f>
        <v>11300</v>
      </c>
    </row>
    <row r="129" spans="1:10" ht="39.6">
      <c r="A129" s="21" t="s">
        <v>297</v>
      </c>
      <c r="B129" s="21" t="s">
        <v>298</v>
      </c>
      <c r="C129" s="32" t="s">
        <v>442</v>
      </c>
      <c r="D129" s="23" t="s">
        <v>431</v>
      </c>
      <c r="E129" s="21" t="s">
        <v>301</v>
      </c>
      <c r="F129" s="45" t="s">
        <v>443</v>
      </c>
      <c r="G129" s="38" t="s">
        <v>433</v>
      </c>
      <c r="H129" s="31"/>
      <c r="J129" t="str">
        <f>VLOOKUP(F129,'[1]Salidas de Efectivo'!$B:$B,1,0)</f>
        <v>11310</v>
      </c>
    </row>
    <row r="130" spans="1:10" ht="39.6">
      <c r="A130" s="21" t="s">
        <v>297</v>
      </c>
      <c r="B130" s="21" t="s">
        <v>298</v>
      </c>
      <c r="C130" s="21" t="s">
        <v>444</v>
      </c>
      <c r="D130" s="23" t="s">
        <v>445</v>
      </c>
      <c r="E130" s="21" t="s">
        <v>301</v>
      </c>
      <c r="F130" s="29" t="s">
        <v>446</v>
      </c>
      <c r="G130" s="21"/>
      <c r="H130" s="31" t="s">
        <v>304</v>
      </c>
      <c r="J130" t="str">
        <f>VLOOKUP(F130,'[1]Salidas de Efectivo'!$B:$B,1,0)</f>
        <v>10077</v>
      </c>
    </row>
    <row r="131" spans="1:10">
      <c r="A131" s="21" t="s">
        <v>297</v>
      </c>
      <c r="B131" s="21" t="s">
        <v>298</v>
      </c>
      <c r="C131" s="21" t="s">
        <v>447</v>
      </c>
      <c r="D131" s="21" t="s">
        <v>448</v>
      </c>
      <c r="E131" s="21" t="s">
        <v>301</v>
      </c>
      <c r="F131" s="29" t="s">
        <v>449</v>
      </c>
      <c r="G131" s="21"/>
      <c r="H131" s="31" t="s">
        <v>304</v>
      </c>
      <c r="J131" t="str">
        <f>VLOOKUP(F131,'[1]Salidas de Efectivo'!$B:$B,1,0)</f>
        <v>10078</v>
      </c>
    </row>
    <row r="132" spans="1:10">
      <c r="A132" s="21" t="s">
        <v>297</v>
      </c>
      <c r="B132" s="21" t="s">
        <v>298</v>
      </c>
      <c r="C132" s="21" t="s">
        <v>450</v>
      </c>
      <c r="D132" s="21" t="s">
        <v>451</v>
      </c>
      <c r="E132" s="21" t="s">
        <v>301</v>
      </c>
      <c r="F132" s="29" t="s">
        <v>452</v>
      </c>
      <c r="G132" s="21"/>
      <c r="H132" s="31" t="s">
        <v>304</v>
      </c>
      <c r="J132" t="str">
        <f>VLOOKUP(F132,'[1]Salidas de Efectivo'!$B:$B,1,0)</f>
        <v>10079</v>
      </c>
    </row>
    <row r="133" spans="1:10">
      <c r="A133" s="21" t="s">
        <v>297</v>
      </c>
      <c r="B133" s="21" t="s">
        <v>298</v>
      </c>
      <c r="C133" s="21" t="s">
        <v>453</v>
      </c>
      <c r="D133" s="21" t="s">
        <v>454</v>
      </c>
      <c r="E133" s="21" t="s">
        <v>301</v>
      </c>
      <c r="F133" s="29" t="s">
        <v>455</v>
      </c>
      <c r="G133" s="21"/>
      <c r="H133" s="31" t="s">
        <v>304</v>
      </c>
      <c r="J133" t="str">
        <f>VLOOKUP(F133,'[1]Salidas de Efectivo'!$B:$B,1,0)</f>
        <v>10081</v>
      </c>
    </row>
    <row r="134" spans="1:10" ht="39.6">
      <c r="A134" s="21" t="s">
        <v>297</v>
      </c>
      <c r="B134" s="21" t="s">
        <v>298</v>
      </c>
      <c r="C134" s="21" t="s">
        <v>456</v>
      </c>
      <c r="D134" s="23" t="s">
        <v>457</v>
      </c>
      <c r="E134" s="21" t="s">
        <v>301</v>
      </c>
      <c r="F134" s="29" t="s">
        <v>458</v>
      </c>
      <c r="G134" s="21"/>
      <c r="H134" s="31" t="s">
        <v>304</v>
      </c>
      <c r="J134" t="str">
        <f>VLOOKUP(F134,'[1]Salidas de Efectivo'!$B:$B,1,0)</f>
        <v>10082</v>
      </c>
    </row>
    <row r="135" spans="1:10" ht="39.6">
      <c r="A135" s="21" t="s">
        <v>297</v>
      </c>
      <c r="B135" s="21" t="s">
        <v>298</v>
      </c>
      <c r="C135" s="21" t="s">
        <v>459</v>
      </c>
      <c r="D135" s="23" t="s">
        <v>460</v>
      </c>
      <c r="E135" s="21" t="s">
        <v>301</v>
      </c>
      <c r="F135" s="29" t="s">
        <v>461</v>
      </c>
      <c r="G135" s="21"/>
      <c r="H135" s="31" t="s">
        <v>304</v>
      </c>
      <c r="J135" t="str">
        <f>VLOOKUP(F135,'[1]Salidas de Efectivo'!$B:$B,1,0)</f>
        <v>10083</v>
      </c>
    </row>
    <row r="136" spans="1:10" ht="26.45">
      <c r="A136" s="21" t="s">
        <v>297</v>
      </c>
      <c r="B136" s="21" t="s">
        <v>298</v>
      </c>
      <c r="C136" s="21" t="s">
        <v>462</v>
      </c>
      <c r="D136" s="23" t="s">
        <v>463</v>
      </c>
      <c r="E136" s="21" t="s">
        <v>301</v>
      </c>
      <c r="F136" s="29" t="s">
        <v>464</v>
      </c>
      <c r="G136" s="21"/>
      <c r="H136" s="31" t="s">
        <v>304</v>
      </c>
      <c r="J136" t="str">
        <f>VLOOKUP(F136,'[1]Salidas de Efectivo'!$B:$B,1,0)</f>
        <v>10084</v>
      </c>
    </row>
    <row r="137" spans="1:10" ht="52.9">
      <c r="A137" s="21" t="s">
        <v>297</v>
      </c>
      <c r="B137" s="21" t="s">
        <v>298</v>
      </c>
      <c r="C137" s="21" t="s">
        <v>465</v>
      </c>
      <c r="D137" s="23" t="s">
        <v>466</v>
      </c>
      <c r="E137" s="21" t="s">
        <v>301</v>
      </c>
      <c r="F137" s="29" t="s">
        <v>467</v>
      </c>
      <c r="G137" s="21"/>
      <c r="H137" s="31" t="s">
        <v>304</v>
      </c>
      <c r="J137" t="str">
        <f>VLOOKUP(F137,'[1]Salidas de Efectivo'!$B:$B,1,0)</f>
        <v>10085</v>
      </c>
    </row>
    <row r="138" spans="1:10">
      <c r="A138" s="21" t="s">
        <v>297</v>
      </c>
      <c r="B138" s="21" t="s">
        <v>298</v>
      </c>
      <c r="C138" s="21" t="s">
        <v>468</v>
      </c>
      <c r="D138" s="23" t="s">
        <v>469</v>
      </c>
      <c r="E138" s="21" t="s">
        <v>301</v>
      </c>
      <c r="F138" s="29" t="s">
        <v>470</v>
      </c>
      <c r="G138" s="21"/>
      <c r="H138" s="31" t="s">
        <v>304</v>
      </c>
      <c r="J138" t="str">
        <f>VLOOKUP(F138,'[1]Salidas de Efectivo'!$B:$B,1,0)</f>
        <v>10086</v>
      </c>
    </row>
    <row r="139" spans="1:10">
      <c r="A139" s="21" t="s">
        <v>297</v>
      </c>
      <c r="B139" s="21" t="s">
        <v>298</v>
      </c>
      <c r="C139" s="21" t="s">
        <v>471</v>
      </c>
      <c r="D139" s="23" t="s">
        <v>472</v>
      </c>
      <c r="E139" s="21" t="s">
        <v>301</v>
      </c>
      <c r="F139" s="29" t="s">
        <v>473</v>
      </c>
      <c r="G139" s="21"/>
      <c r="H139" s="31" t="s">
        <v>304</v>
      </c>
      <c r="J139" t="str">
        <f>VLOOKUP(F139,'[1]Salidas de Efectivo'!$B:$B,1,0)</f>
        <v>10087</v>
      </c>
    </row>
    <row r="140" spans="1:10">
      <c r="A140" s="21" t="s">
        <v>297</v>
      </c>
      <c r="B140" s="21" t="s">
        <v>298</v>
      </c>
      <c r="C140" s="21" t="s">
        <v>474</v>
      </c>
      <c r="D140" s="21" t="s">
        <v>475</v>
      </c>
      <c r="E140" s="21" t="s">
        <v>301</v>
      </c>
      <c r="F140" s="29" t="s">
        <v>476</v>
      </c>
      <c r="G140" s="21"/>
      <c r="H140" s="31" t="s">
        <v>304</v>
      </c>
      <c r="J140" t="str">
        <f>VLOOKUP(F140,'[1]Salidas de Efectivo'!$B:$B,1,0)</f>
        <v>10088</v>
      </c>
    </row>
    <row r="141" spans="1:10" ht="13.9">
      <c r="A141" s="21" t="s">
        <v>297</v>
      </c>
      <c r="B141" s="21" t="s">
        <v>298</v>
      </c>
      <c r="C141" s="32" t="s">
        <v>477</v>
      </c>
      <c r="D141" s="38" t="s">
        <v>478</v>
      </c>
      <c r="E141" s="21" t="s">
        <v>301</v>
      </c>
      <c r="F141" s="45" t="s">
        <v>479</v>
      </c>
      <c r="G141" s="38" t="s">
        <v>478</v>
      </c>
      <c r="H141" s="31"/>
      <c r="J141" t="str">
        <f>VLOOKUP(F141,'[1]Salidas de Efectivo'!$B:$B,1,0)</f>
        <v>10090</v>
      </c>
    </row>
    <row r="142" spans="1:10" ht="26.45">
      <c r="A142" s="21" t="s">
        <v>297</v>
      </c>
      <c r="B142" s="21" t="s">
        <v>298</v>
      </c>
      <c r="C142" s="21" t="s">
        <v>480</v>
      </c>
      <c r="D142" s="23" t="s">
        <v>377</v>
      </c>
      <c r="E142" s="21" t="s">
        <v>301</v>
      </c>
      <c r="F142" s="29" t="s">
        <v>481</v>
      </c>
      <c r="G142" s="21"/>
      <c r="H142" s="31" t="s">
        <v>304</v>
      </c>
      <c r="J142" t="str">
        <f>VLOOKUP(F142,'[1]Salidas de Efectivo'!$B:$B,1,0)</f>
        <v>10089</v>
      </c>
    </row>
    <row r="143" spans="1:10">
      <c r="A143" s="21" t="s">
        <v>297</v>
      </c>
      <c r="B143" s="21" t="s">
        <v>298</v>
      </c>
      <c r="C143" s="21" t="s">
        <v>482</v>
      </c>
      <c r="D143" s="21" t="s">
        <v>391</v>
      </c>
      <c r="E143" s="21" t="s">
        <v>301</v>
      </c>
      <c r="F143" s="29" t="s">
        <v>483</v>
      </c>
      <c r="G143" s="21"/>
      <c r="H143" s="31" t="s">
        <v>304</v>
      </c>
      <c r="J143" t="str">
        <f>VLOOKUP(F143,'[1]Salidas de Efectivo'!$B:$B,1,0)</f>
        <v>10091</v>
      </c>
    </row>
    <row r="144" spans="1:10">
      <c r="A144" s="21" t="s">
        <v>297</v>
      </c>
      <c r="B144" s="21" t="s">
        <v>298</v>
      </c>
      <c r="C144" s="21" t="s">
        <v>484</v>
      </c>
      <c r="D144" s="21" t="s">
        <v>485</v>
      </c>
      <c r="E144" s="21" t="s">
        <v>301</v>
      </c>
      <c r="F144" s="29" t="s">
        <v>486</v>
      </c>
      <c r="G144" s="21"/>
      <c r="H144" s="31" t="s">
        <v>304</v>
      </c>
      <c r="J144" t="str">
        <f>VLOOKUP(F144,'[1]Salidas de Efectivo'!$B:$B,1,0)</f>
        <v>10024</v>
      </c>
    </row>
    <row r="145" spans="1:10">
      <c r="A145" s="21" t="s">
        <v>297</v>
      </c>
      <c r="B145" s="21" t="s">
        <v>298</v>
      </c>
      <c r="C145" s="21" t="s">
        <v>487</v>
      </c>
      <c r="D145" s="21" t="s">
        <v>488</v>
      </c>
      <c r="E145" s="21" t="s">
        <v>301</v>
      </c>
      <c r="F145" s="29" t="s">
        <v>489</v>
      </c>
      <c r="G145" s="21"/>
      <c r="H145" s="31" t="s">
        <v>304</v>
      </c>
      <c r="J145" t="str">
        <f>VLOOKUP(F145,'[1]Salidas de Efectivo'!$B:$B,1,0)</f>
        <v>10025</v>
      </c>
    </row>
    <row r="146" spans="1:10">
      <c r="A146" s="21" t="s">
        <v>297</v>
      </c>
      <c r="B146" s="21" t="s">
        <v>298</v>
      </c>
      <c r="C146" s="21" t="s">
        <v>490</v>
      </c>
      <c r="D146" s="21" t="s">
        <v>491</v>
      </c>
      <c r="E146" s="21" t="s">
        <v>301</v>
      </c>
      <c r="F146" s="29" t="s">
        <v>492</v>
      </c>
      <c r="G146" s="21"/>
      <c r="H146" s="31" t="s">
        <v>304</v>
      </c>
      <c r="J146" t="str">
        <f>VLOOKUP(F146,'[1]Salidas de Efectivo'!$B:$B,1,0)</f>
        <v>30080</v>
      </c>
    </row>
    <row r="147" spans="1:10">
      <c r="A147" s="21" t="s">
        <v>297</v>
      </c>
      <c r="B147" s="21" t="s">
        <v>493</v>
      </c>
      <c r="C147" s="21" t="s">
        <v>494</v>
      </c>
      <c r="D147" s="23" t="s">
        <v>495</v>
      </c>
      <c r="E147" s="21" t="s">
        <v>301</v>
      </c>
      <c r="F147" s="29" t="s">
        <v>496</v>
      </c>
      <c r="G147" s="21"/>
      <c r="H147" s="31" t="s">
        <v>304</v>
      </c>
      <c r="J147" t="str">
        <f>VLOOKUP(F147,'[1]Salidas de Efectivo'!$B:$B,1,0)</f>
        <v>10161</v>
      </c>
    </row>
    <row r="148" spans="1:10">
      <c r="A148" s="21" t="s">
        <v>297</v>
      </c>
      <c r="B148" s="21" t="s">
        <v>493</v>
      </c>
      <c r="C148" s="21" t="s">
        <v>497</v>
      </c>
      <c r="D148" s="21" t="s">
        <v>498</v>
      </c>
      <c r="E148" s="21" t="s">
        <v>301</v>
      </c>
      <c r="F148" s="29" t="s">
        <v>499</v>
      </c>
      <c r="G148" s="21"/>
      <c r="H148" s="31" t="s">
        <v>304</v>
      </c>
      <c r="J148" t="str">
        <f>VLOOKUP(F148,'[1]Salidas de Efectivo'!$B:$B,1,0)</f>
        <v>10162</v>
      </c>
    </row>
    <row r="149" spans="1:10">
      <c r="A149" s="21" t="s">
        <v>297</v>
      </c>
      <c r="B149" s="21" t="s">
        <v>493</v>
      </c>
      <c r="C149" s="21" t="s">
        <v>500</v>
      </c>
      <c r="D149" s="21" t="s">
        <v>501</v>
      </c>
      <c r="E149" s="21" t="s">
        <v>301</v>
      </c>
      <c r="F149" s="29" t="s">
        <v>502</v>
      </c>
      <c r="G149" s="21"/>
      <c r="H149" s="31" t="s">
        <v>304</v>
      </c>
      <c r="J149" t="str">
        <f>VLOOKUP(F149,'[1]Salidas de Efectivo'!$B:$B,1,0)</f>
        <v>10163</v>
      </c>
    </row>
    <row r="150" spans="1:10">
      <c r="A150" s="21" t="s">
        <v>297</v>
      </c>
      <c r="B150" s="21" t="s">
        <v>493</v>
      </c>
      <c r="C150" s="21" t="s">
        <v>503</v>
      </c>
      <c r="D150" s="21" t="s">
        <v>498</v>
      </c>
      <c r="E150" s="21" t="s">
        <v>301</v>
      </c>
      <c r="F150" s="29" t="s">
        <v>504</v>
      </c>
      <c r="G150" s="21"/>
      <c r="H150" s="31" t="s">
        <v>304</v>
      </c>
      <c r="J150" t="str">
        <f>VLOOKUP(F150,'[1]Salidas de Efectivo'!$B:$B,1,0)</f>
        <v>10164</v>
      </c>
    </row>
    <row r="151" spans="1:10">
      <c r="A151" s="21" t="s">
        <v>297</v>
      </c>
      <c r="B151" s="21" t="s">
        <v>493</v>
      </c>
      <c r="C151" s="21" t="s">
        <v>505</v>
      </c>
      <c r="D151" s="21" t="s">
        <v>506</v>
      </c>
      <c r="E151" s="21" t="s">
        <v>301</v>
      </c>
      <c r="F151" s="29" t="s">
        <v>507</v>
      </c>
      <c r="G151" s="21"/>
      <c r="H151" s="31" t="s">
        <v>304</v>
      </c>
      <c r="J151" t="str">
        <f>VLOOKUP(F151,'[1]Salidas de Efectivo'!$B:$B,1,0)</f>
        <v>10182</v>
      </c>
    </row>
    <row r="152" spans="1:10">
      <c r="A152" s="21" t="s">
        <v>297</v>
      </c>
      <c r="B152" s="21" t="s">
        <v>493</v>
      </c>
      <c r="C152" s="21" t="s">
        <v>508</v>
      </c>
      <c r="D152" s="21" t="s">
        <v>509</v>
      </c>
      <c r="E152" s="21" t="s">
        <v>301</v>
      </c>
      <c r="F152" s="29" t="s">
        <v>510</v>
      </c>
      <c r="G152" s="21"/>
      <c r="H152" s="31" t="s">
        <v>304</v>
      </c>
      <c r="J152" t="str">
        <f>VLOOKUP(F152,'[1]Salidas de Efectivo'!$B:$B,1,0)</f>
        <v>10183</v>
      </c>
    </row>
    <row r="153" spans="1:10">
      <c r="A153" s="21" t="s">
        <v>297</v>
      </c>
      <c r="B153" s="21" t="s">
        <v>493</v>
      </c>
      <c r="C153" s="21" t="s">
        <v>511</v>
      </c>
      <c r="D153" s="21" t="s">
        <v>498</v>
      </c>
      <c r="E153" s="21" t="s">
        <v>301</v>
      </c>
      <c r="F153" s="29" t="s">
        <v>512</v>
      </c>
      <c r="G153" s="21"/>
      <c r="H153" s="31" t="s">
        <v>304</v>
      </c>
      <c r="J153" t="str">
        <f>VLOOKUP(F153,'[1]Salidas de Efectivo'!$B:$B,1,0)</f>
        <v>10167</v>
      </c>
    </row>
    <row r="154" spans="1:10">
      <c r="A154" s="21" t="s">
        <v>297</v>
      </c>
      <c r="B154" s="21" t="s">
        <v>493</v>
      </c>
      <c r="C154" s="21" t="s">
        <v>513</v>
      </c>
      <c r="D154" s="21" t="s">
        <v>514</v>
      </c>
      <c r="E154" s="21" t="s">
        <v>301</v>
      </c>
      <c r="F154" s="29" t="s">
        <v>515</v>
      </c>
      <c r="G154" s="21"/>
      <c r="H154" s="31" t="s">
        <v>304</v>
      </c>
      <c r="J154" t="str">
        <f>VLOOKUP(F154,'[1]Salidas de Efectivo'!$B:$B,1,0)</f>
        <v>10184</v>
      </c>
    </row>
    <row r="155" spans="1:10">
      <c r="A155" s="21" t="s">
        <v>297</v>
      </c>
      <c r="B155" s="21" t="s">
        <v>493</v>
      </c>
      <c r="C155" s="21" t="s">
        <v>516</v>
      </c>
      <c r="D155" s="21" t="s">
        <v>517</v>
      </c>
      <c r="E155" s="21" t="s">
        <v>301</v>
      </c>
      <c r="F155" s="29" t="s">
        <v>518</v>
      </c>
      <c r="G155" s="21"/>
      <c r="H155" s="31" t="s">
        <v>304</v>
      </c>
      <c r="J155" t="str">
        <f>VLOOKUP(F155,'[1]Salidas de Efectivo'!$B:$B,1,0)</f>
        <v>10185</v>
      </c>
    </row>
    <row r="156" spans="1:10">
      <c r="A156" s="21" t="s">
        <v>297</v>
      </c>
      <c r="B156" s="21" t="s">
        <v>493</v>
      </c>
      <c r="C156" s="21" t="s">
        <v>519</v>
      </c>
      <c r="D156" s="21" t="s">
        <v>509</v>
      </c>
      <c r="E156" s="21" t="s">
        <v>301</v>
      </c>
      <c r="F156" s="29" t="s">
        <v>520</v>
      </c>
      <c r="G156" s="21"/>
      <c r="H156" s="31" t="s">
        <v>304</v>
      </c>
      <c r="J156" t="str">
        <f>VLOOKUP(F156,'[1]Salidas de Efectivo'!$B:$B,1,0)</f>
        <v>10186</v>
      </c>
    </row>
    <row r="157" spans="1:10">
      <c r="A157" s="21" t="s">
        <v>297</v>
      </c>
      <c r="B157" s="21" t="s">
        <v>493</v>
      </c>
      <c r="C157" s="21" t="s">
        <v>521</v>
      </c>
      <c r="D157" s="23" t="s">
        <v>498</v>
      </c>
      <c r="E157" s="21" t="s">
        <v>301</v>
      </c>
      <c r="F157" s="29" t="s">
        <v>522</v>
      </c>
      <c r="G157" s="21"/>
      <c r="H157" s="31" t="s">
        <v>304</v>
      </c>
      <c r="J157" t="str">
        <f>VLOOKUP(F157,'[1]Salidas de Efectivo'!$B:$B,1,0)</f>
        <v>10171</v>
      </c>
    </row>
    <row r="158" spans="1:10">
      <c r="A158" s="21" t="s">
        <v>297</v>
      </c>
      <c r="B158" s="21" t="s">
        <v>493</v>
      </c>
      <c r="C158" s="21" t="s">
        <v>523</v>
      </c>
      <c r="D158" s="21" t="s">
        <v>514</v>
      </c>
      <c r="E158" s="21" t="s">
        <v>301</v>
      </c>
      <c r="F158" s="29" t="s">
        <v>524</v>
      </c>
      <c r="G158" s="21"/>
      <c r="H158" s="31" t="s">
        <v>304</v>
      </c>
      <c r="J158" t="str">
        <f>VLOOKUP(F158,'[1]Salidas de Efectivo'!$B:$B,1,0)</f>
        <v>10187</v>
      </c>
    </row>
    <row r="159" spans="1:10">
      <c r="A159" s="21" t="s">
        <v>297</v>
      </c>
      <c r="B159" s="21" t="s">
        <v>493</v>
      </c>
      <c r="C159" s="21" t="s">
        <v>525</v>
      </c>
      <c r="D159" s="21" t="s">
        <v>517</v>
      </c>
      <c r="E159" s="21" t="s">
        <v>301</v>
      </c>
      <c r="F159" s="29" t="s">
        <v>526</v>
      </c>
      <c r="G159" s="21"/>
      <c r="H159" s="31" t="s">
        <v>304</v>
      </c>
      <c r="J159" t="str">
        <f>VLOOKUP(F159,'[1]Salidas de Efectivo'!$B:$B,1,0)</f>
        <v>10188</v>
      </c>
    </row>
    <row r="160" spans="1:10">
      <c r="A160" s="21" t="s">
        <v>297</v>
      </c>
      <c r="B160" s="21" t="s">
        <v>493</v>
      </c>
      <c r="C160" s="21" t="s">
        <v>527</v>
      </c>
      <c r="D160" s="21" t="s">
        <v>509</v>
      </c>
      <c r="E160" s="21" t="s">
        <v>301</v>
      </c>
      <c r="F160" s="29" t="s">
        <v>528</v>
      </c>
      <c r="G160" s="21"/>
      <c r="H160" s="31" t="s">
        <v>304</v>
      </c>
      <c r="J160" t="str">
        <f>VLOOKUP(F160,'[1]Salidas de Efectivo'!$B:$B,1,0)</f>
        <v>10189</v>
      </c>
    </row>
    <row r="161" spans="1:10">
      <c r="A161" s="21" t="s">
        <v>297</v>
      </c>
      <c r="B161" s="21" t="s">
        <v>493</v>
      </c>
      <c r="C161" s="21" t="s">
        <v>529</v>
      </c>
      <c r="D161" s="21" t="s">
        <v>530</v>
      </c>
      <c r="E161" s="21" t="s">
        <v>301</v>
      </c>
      <c r="F161" s="29" t="s">
        <v>531</v>
      </c>
      <c r="G161" s="21"/>
      <c r="H161" s="31" t="s">
        <v>304</v>
      </c>
      <c r="J161" t="str">
        <f>VLOOKUP(F161,'[1]Salidas de Efectivo'!$B:$B,1,0)</f>
        <v>10181</v>
      </c>
    </row>
    <row r="162" spans="1:10" ht="26.45">
      <c r="A162" s="21" t="s">
        <v>297</v>
      </c>
      <c r="B162" s="21" t="s">
        <v>532</v>
      </c>
      <c r="C162" s="21" t="s">
        <v>533</v>
      </c>
      <c r="D162" s="23" t="s">
        <v>534</v>
      </c>
      <c r="E162" s="21" t="s">
        <v>301</v>
      </c>
      <c r="F162" s="29" t="s">
        <v>535</v>
      </c>
      <c r="G162" s="21"/>
      <c r="H162" s="31" t="s">
        <v>304</v>
      </c>
      <c r="J162" t="str">
        <f>VLOOKUP(F162,'[1]Salidas de Efectivo'!$B:$B,1,0)</f>
        <v>10346</v>
      </c>
    </row>
    <row r="163" spans="1:10" ht="26.45">
      <c r="A163" s="21" t="s">
        <v>297</v>
      </c>
      <c r="B163" s="21" t="s">
        <v>532</v>
      </c>
      <c r="C163" s="21" t="s">
        <v>536</v>
      </c>
      <c r="D163" s="23" t="s">
        <v>537</v>
      </c>
      <c r="E163" s="21" t="s">
        <v>301</v>
      </c>
      <c r="F163" s="29" t="s">
        <v>538</v>
      </c>
      <c r="G163" s="21"/>
      <c r="H163" s="31" t="s">
        <v>304</v>
      </c>
      <c r="J163" t="str">
        <f>VLOOKUP(F163,'[1]Salidas de Efectivo'!$B:$B,1,0)</f>
        <v>10347</v>
      </c>
    </row>
    <row r="164" spans="1:10" ht="39.6">
      <c r="A164" s="21" t="s">
        <v>297</v>
      </c>
      <c r="B164" s="21" t="s">
        <v>532</v>
      </c>
      <c r="C164" s="21" t="s">
        <v>539</v>
      </c>
      <c r="D164" s="23" t="s">
        <v>540</v>
      </c>
      <c r="E164" s="21" t="s">
        <v>301</v>
      </c>
      <c r="F164" s="29" t="s">
        <v>541</v>
      </c>
      <c r="G164" s="21"/>
      <c r="H164" s="31" t="s">
        <v>304</v>
      </c>
      <c r="J164" t="str">
        <f>VLOOKUP(F164,'[1]Salidas de Efectivo'!$B:$B,1,0)</f>
        <v>10348</v>
      </c>
    </row>
    <row r="165" spans="1:10">
      <c r="A165" s="21" t="s">
        <v>297</v>
      </c>
      <c r="B165" s="21" t="s">
        <v>532</v>
      </c>
      <c r="C165" s="21" t="s">
        <v>542</v>
      </c>
      <c r="D165" s="21" t="s">
        <v>543</v>
      </c>
      <c r="E165" s="21" t="s">
        <v>301</v>
      </c>
      <c r="F165" s="29" t="s">
        <v>544</v>
      </c>
      <c r="G165" s="21"/>
      <c r="H165" s="31" t="s">
        <v>304</v>
      </c>
      <c r="J165" t="str">
        <f>VLOOKUP(F165,'[1]Salidas de Efectivo'!$B:$B,1,0)</f>
        <v>10349</v>
      </c>
    </row>
    <row r="166" spans="1:10" ht="13.9">
      <c r="A166" s="21" t="s">
        <v>297</v>
      </c>
      <c r="B166" s="21" t="s">
        <v>532</v>
      </c>
      <c r="C166" s="21" t="s">
        <v>545</v>
      </c>
      <c r="D166" s="23" t="s">
        <v>546</v>
      </c>
      <c r="E166" s="21" t="s">
        <v>301</v>
      </c>
      <c r="F166" s="46" t="s">
        <v>547</v>
      </c>
      <c r="G166" s="39" t="s">
        <v>546</v>
      </c>
      <c r="H166" s="31" t="s">
        <v>304</v>
      </c>
      <c r="J166" t="str">
        <f>VLOOKUP(F166,'[1]Salidas de Efectivo'!$B:$B,1,0)</f>
        <v>10380</v>
      </c>
    </row>
    <row r="167" spans="1:10" ht="13.9">
      <c r="A167" s="21" t="s">
        <v>297</v>
      </c>
      <c r="B167" s="21" t="s">
        <v>532</v>
      </c>
      <c r="C167" s="21" t="s">
        <v>548</v>
      </c>
      <c r="D167" s="23" t="s">
        <v>549</v>
      </c>
      <c r="E167" s="21" t="s">
        <v>301</v>
      </c>
      <c r="F167" s="46" t="s">
        <v>550</v>
      </c>
      <c r="G167" s="39" t="s">
        <v>549</v>
      </c>
      <c r="H167" s="31" t="s">
        <v>304</v>
      </c>
      <c r="J167" t="str">
        <f>VLOOKUP(F167,'[1]Salidas de Efectivo'!$B:$B,1,0)</f>
        <v>10381</v>
      </c>
    </row>
    <row r="168" spans="1:10" ht="13.9">
      <c r="A168" s="21" t="s">
        <v>297</v>
      </c>
      <c r="B168" s="21" t="s">
        <v>532</v>
      </c>
      <c r="C168" s="21" t="s">
        <v>551</v>
      </c>
      <c r="D168" s="23" t="s">
        <v>552</v>
      </c>
      <c r="E168" s="21" t="s">
        <v>301</v>
      </c>
      <c r="F168" s="46" t="s">
        <v>553</v>
      </c>
      <c r="G168" s="39" t="s">
        <v>552</v>
      </c>
      <c r="H168" s="31" t="s">
        <v>304</v>
      </c>
      <c r="J168" t="str">
        <f>VLOOKUP(F168,'[1]Salidas de Efectivo'!$B:$B,1,0)</f>
        <v>10382</v>
      </c>
    </row>
    <row r="169" spans="1:10" ht="13.9">
      <c r="A169" s="21" t="s">
        <v>297</v>
      </c>
      <c r="B169" s="21" t="s">
        <v>532</v>
      </c>
      <c r="C169" s="21" t="s">
        <v>554</v>
      </c>
      <c r="D169" s="23" t="s">
        <v>555</v>
      </c>
      <c r="E169" s="21" t="s">
        <v>301</v>
      </c>
      <c r="F169" s="46" t="s">
        <v>556</v>
      </c>
      <c r="G169" s="39" t="s">
        <v>555</v>
      </c>
      <c r="H169" s="31" t="s">
        <v>304</v>
      </c>
      <c r="J169" t="str">
        <f>VLOOKUP(F169,'[1]Salidas de Efectivo'!$B:$B,1,0)</f>
        <v>10383</v>
      </c>
    </row>
    <row r="170" spans="1:10" ht="13.9">
      <c r="A170" s="21" t="s">
        <v>297</v>
      </c>
      <c r="B170" s="21" t="s">
        <v>532</v>
      </c>
      <c r="C170" s="21" t="s">
        <v>557</v>
      </c>
      <c r="D170" s="23" t="s">
        <v>558</v>
      </c>
      <c r="E170" s="21" t="s">
        <v>301</v>
      </c>
      <c r="F170" s="46" t="s">
        <v>559</v>
      </c>
      <c r="G170" s="39" t="s">
        <v>558</v>
      </c>
      <c r="H170" s="31" t="s">
        <v>304</v>
      </c>
      <c r="J170" t="str">
        <f>VLOOKUP(F170,'[1]Salidas de Efectivo'!$B:$B,1,0)</f>
        <v>10384</v>
      </c>
    </row>
    <row r="171" spans="1:10" ht="13.9">
      <c r="A171" s="21" t="s">
        <v>297</v>
      </c>
      <c r="B171" s="21" t="s">
        <v>532</v>
      </c>
      <c r="C171" s="21" t="s">
        <v>560</v>
      </c>
      <c r="D171" s="23" t="s">
        <v>561</v>
      </c>
      <c r="E171" s="21" t="s">
        <v>301</v>
      </c>
      <c r="F171" s="46" t="s">
        <v>562</v>
      </c>
      <c r="G171" s="39" t="s">
        <v>561</v>
      </c>
      <c r="H171" s="31" t="s">
        <v>304</v>
      </c>
      <c r="J171" t="str">
        <f>VLOOKUP(F171,'[1]Salidas de Efectivo'!$B:$B,1,0)</f>
        <v>10385</v>
      </c>
    </row>
    <row r="172" spans="1:10" ht="26.45">
      <c r="A172" s="21" t="s">
        <v>297</v>
      </c>
      <c r="B172" s="21" t="s">
        <v>532</v>
      </c>
      <c r="C172" s="21" t="s">
        <v>563</v>
      </c>
      <c r="D172" s="23" t="s">
        <v>564</v>
      </c>
      <c r="E172" s="21" t="s">
        <v>301</v>
      </c>
      <c r="F172" s="46" t="s">
        <v>565</v>
      </c>
      <c r="G172" s="39" t="s">
        <v>564</v>
      </c>
      <c r="H172" s="31" t="s">
        <v>304</v>
      </c>
      <c r="J172" t="str">
        <f>VLOOKUP(F172,'[1]Salidas de Efectivo'!$B:$B,1,0)</f>
        <v>10386</v>
      </c>
    </row>
    <row r="173" spans="1:10" ht="13.9">
      <c r="A173" s="21" t="s">
        <v>297</v>
      </c>
      <c r="B173" s="21" t="s">
        <v>532</v>
      </c>
      <c r="C173" s="21" t="s">
        <v>566</v>
      </c>
      <c r="D173" s="23" t="s">
        <v>546</v>
      </c>
      <c r="E173" s="21" t="s">
        <v>301</v>
      </c>
      <c r="F173" s="46" t="s">
        <v>567</v>
      </c>
      <c r="G173" s="39" t="s">
        <v>546</v>
      </c>
      <c r="H173" s="31" t="s">
        <v>304</v>
      </c>
      <c r="J173" t="str">
        <f>VLOOKUP(F173,'[1]Salidas de Efectivo'!$B:$B,1,0)</f>
        <v>10387</v>
      </c>
    </row>
    <row r="174" spans="1:10" ht="13.9">
      <c r="A174" s="21" t="s">
        <v>297</v>
      </c>
      <c r="B174" s="21" t="s">
        <v>532</v>
      </c>
      <c r="C174" s="21" t="s">
        <v>568</v>
      </c>
      <c r="D174" s="23" t="s">
        <v>549</v>
      </c>
      <c r="E174" s="21" t="s">
        <v>301</v>
      </c>
      <c r="F174" s="46" t="s">
        <v>569</v>
      </c>
      <c r="G174" s="39" t="s">
        <v>549</v>
      </c>
      <c r="H174" s="31" t="s">
        <v>304</v>
      </c>
      <c r="J174" t="str">
        <f>VLOOKUP(F174,'[1]Salidas de Efectivo'!$B:$B,1,0)</f>
        <v>10388</v>
      </c>
    </row>
    <row r="175" spans="1:10" ht="13.9">
      <c r="A175" s="21" t="s">
        <v>297</v>
      </c>
      <c r="B175" s="21" t="s">
        <v>532</v>
      </c>
      <c r="C175" s="21" t="s">
        <v>570</v>
      </c>
      <c r="D175" s="23" t="s">
        <v>552</v>
      </c>
      <c r="E175" s="21" t="s">
        <v>301</v>
      </c>
      <c r="F175" s="46" t="s">
        <v>571</v>
      </c>
      <c r="G175" s="39" t="s">
        <v>552</v>
      </c>
      <c r="H175" s="31" t="s">
        <v>304</v>
      </c>
      <c r="J175" t="str">
        <f>VLOOKUP(F175,'[1]Salidas de Efectivo'!$B:$B,1,0)</f>
        <v>10389</v>
      </c>
    </row>
    <row r="176" spans="1:10" ht="13.9">
      <c r="A176" s="21" t="s">
        <v>297</v>
      </c>
      <c r="B176" s="21" t="s">
        <v>532</v>
      </c>
      <c r="C176" s="21" t="s">
        <v>572</v>
      </c>
      <c r="D176" s="23" t="s">
        <v>555</v>
      </c>
      <c r="E176" s="21" t="s">
        <v>301</v>
      </c>
      <c r="F176" s="46" t="s">
        <v>573</v>
      </c>
      <c r="G176" s="39" t="s">
        <v>555</v>
      </c>
      <c r="H176" s="31" t="s">
        <v>304</v>
      </c>
      <c r="J176" t="str">
        <f>VLOOKUP(F176,'[1]Salidas de Efectivo'!$B:$B,1,0)</f>
        <v>10390</v>
      </c>
    </row>
    <row r="177" spans="1:10" ht="13.9">
      <c r="A177" s="21" t="s">
        <v>297</v>
      </c>
      <c r="B177" s="21" t="s">
        <v>532</v>
      </c>
      <c r="C177" s="21" t="s">
        <v>574</v>
      </c>
      <c r="D177" s="23" t="s">
        <v>558</v>
      </c>
      <c r="E177" s="21" t="s">
        <v>301</v>
      </c>
      <c r="F177" s="46" t="s">
        <v>575</v>
      </c>
      <c r="G177" s="39" t="s">
        <v>558</v>
      </c>
      <c r="H177" s="31" t="s">
        <v>304</v>
      </c>
      <c r="J177" t="str">
        <f>VLOOKUP(F177,'[1]Salidas de Efectivo'!$B:$B,1,0)</f>
        <v>10391</v>
      </c>
    </row>
    <row r="178" spans="1:10" ht="13.9">
      <c r="A178" s="21" t="s">
        <v>297</v>
      </c>
      <c r="B178" s="21" t="s">
        <v>532</v>
      </c>
      <c r="C178" s="21" t="s">
        <v>576</v>
      </c>
      <c r="D178" s="23" t="s">
        <v>561</v>
      </c>
      <c r="E178" s="21" t="s">
        <v>301</v>
      </c>
      <c r="F178" s="46" t="s">
        <v>577</v>
      </c>
      <c r="G178" s="39" t="s">
        <v>561</v>
      </c>
      <c r="H178" s="31" t="s">
        <v>304</v>
      </c>
      <c r="J178" t="str">
        <f>VLOOKUP(F178,'[1]Salidas de Efectivo'!$B:$B,1,0)</f>
        <v>10392</v>
      </c>
    </row>
    <row r="179" spans="1:10" ht="26.45">
      <c r="A179" s="21" t="s">
        <v>297</v>
      </c>
      <c r="B179" s="21" t="s">
        <v>532</v>
      </c>
      <c r="C179" s="21" t="s">
        <v>578</v>
      </c>
      <c r="D179" s="23" t="s">
        <v>579</v>
      </c>
      <c r="E179" s="21" t="s">
        <v>301</v>
      </c>
      <c r="F179" s="46" t="s">
        <v>580</v>
      </c>
      <c r="G179" s="39" t="s">
        <v>579</v>
      </c>
      <c r="H179" s="31" t="s">
        <v>304</v>
      </c>
      <c r="J179" t="str">
        <f>VLOOKUP(F179,'[1]Salidas de Efectivo'!$B:$B,1,0)</f>
        <v>10393</v>
      </c>
    </row>
    <row r="180" spans="1:10" ht="66">
      <c r="A180" s="21" t="s">
        <v>297</v>
      </c>
      <c r="B180" s="21" t="s">
        <v>532</v>
      </c>
      <c r="C180" s="21" t="s">
        <v>581</v>
      </c>
      <c r="D180" s="23" t="s">
        <v>582</v>
      </c>
      <c r="E180" s="21" t="s">
        <v>301</v>
      </c>
      <c r="F180" s="47" t="s">
        <v>583</v>
      </c>
      <c r="G180" s="39" t="s">
        <v>582</v>
      </c>
      <c r="H180" s="31" t="s">
        <v>304</v>
      </c>
      <c r="J180" t="str">
        <f>VLOOKUP(F180,'[1]Salidas de Efectivo'!$B:$B,1,0)</f>
        <v>10376</v>
      </c>
    </row>
    <row r="181" spans="1:10" ht="26.45">
      <c r="A181" s="21" t="s">
        <v>297</v>
      </c>
      <c r="B181" s="21" t="s">
        <v>532</v>
      </c>
      <c r="C181" s="21" t="s">
        <v>584</v>
      </c>
      <c r="D181" s="23" t="s">
        <v>585</v>
      </c>
      <c r="E181" s="21" t="s">
        <v>301</v>
      </c>
      <c r="F181" s="48" t="s">
        <v>586</v>
      </c>
      <c r="G181" s="37" t="s">
        <v>585</v>
      </c>
      <c r="H181" s="31" t="s">
        <v>304</v>
      </c>
      <c r="J181" t="str">
        <f>VLOOKUP(F181,'[1]Salidas de Efectivo'!$B:$B,1,0)</f>
        <v>10377</v>
      </c>
    </row>
    <row r="182" spans="1:10" ht="66">
      <c r="A182" s="21" t="s">
        <v>297</v>
      </c>
      <c r="B182" s="21" t="s">
        <v>532</v>
      </c>
      <c r="C182" s="21" t="s">
        <v>587</v>
      </c>
      <c r="D182" s="23" t="s">
        <v>588</v>
      </c>
      <c r="E182" s="21" t="s">
        <v>301</v>
      </c>
      <c r="F182" s="49" t="s">
        <v>589</v>
      </c>
      <c r="G182" s="37" t="s">
        <v>588</v>
      </c>
      <c r="H182" s="31" t="s">
        <v>304</v>
      </c>
      <c r="J182" t="str">
        <f>VLOOKUP(F182,'[1]Salidas de Efectivo'!$B:$B,1,0)</f>
        <v>10378</v>
      </c>
    </row>
    <row r="183" spans="1:10" ht="79.150000000000006">
      <c r="A183" s="21" t="s">
        <v>297</v>
      </c>
      <c r="B183" s="21" t="s">
        <v>532</v>
      </c>
      <c r="C183" s="21" t="s">
        <v>590</v>
      </c>
      <c r="D183" s="23" t="s">
        <v>591</v>
      </c>
      <c r="E183" s="21" t="s">
        <v>301</v>
      </c>
      <c r="F183" s="49" t="s">
        <v>592</v>
      </c>
      <c r="G183" s="37" t="s">
        <v>591</v>
      </c>
      <c r="H183" s="31" t="s">
        <v>304</v>
      </c>
      <c r="J183" t="str">
        <f>VLOOKUP(F183,'[1]Salidas de Efectivo'!$B:$B,1,0)</f>
        <v>10379</v>
      </c>
    </row>
    <row r="184" spans="1:10" ht="39.6">
      <c r="A184" s="21" t="s">
        <v>297</v>
      </c>
      <c r="B184" s="21" t="s">
        <v>532</v>
      </c>
      <c r="C184" s="21" t="s">
        <v>593</v>
      </c>
      <c r="D184" s="23" t="s">
        <v>594</v>
      </c>
      <c r="E184" s="21" t="s">
        <v>301</v>
      </c>
      <c r="F184" s="47" t="s">
        <v>595</v>
      </c>
      <c r="G184" s="39" t="s">
        <v>594</v>
      </c>
      <c r="H184" s="31" t="s">
        <v>304</v>
      </c>
      <c r="J184" t="str">
        <f>VLOOKUP(F184,'[1]Salidas de Efectivo'!$B:$B,1,0)</f>
        <v>10371</v>
      </c>
    </row>
    <row r="185" spans="1:10" ht="39.6">
      <c r="A185" s="21" t="s">
        <v>297</v>
      </c>
      <c r="B185" s="21" t="s">
        <v>532</v>
      </c>
      <c r="C185" s="21" t="s">
        <v>596</v>
      </c>
      <c r="D185" s="23" t="s">
        <v>597</v>
      </c>
      <c r="E185" s="21" t="s">
        <v>301</v>
      </c>
      <c r="F185" s="47" t="s">
        <v>598</v>
      </c>
      <c r="G185" s="39" t="s">
        <v>597</v>
      </c>
      <c r="H185" s="31" t="s">
        <v>304</v>
      </c>
      <c r="J185" t="str">
        <f>VLOOKUP(F185,'[1]Salidas de Efectivo'!$B:$B,1,0)</f>
        <v>10372</v>
      </c>
    </row>
    <row r="186" spans="1:10" ht="52.9">
      <c r="A186" s="21" t="s">
        <v>297</v>
      </c>
      <c r="B186" s="21" t="s">
        <v>532</v>
      </c>
      <c r="C186" s="21" t="s">
        <v>599</v>
      </c>
      <c r="D186" s="23" t="s">
        <v>600</v>
      </c>
      <c r="E186" s="21" t="s">
        <v>301</v>
      </c>
      <c r="F186" s="50" t="s">
        <v>601</v>
      </c>
      <c r="G186" s="36" t="s">
        <v>600</v>
      </c>
      <c r="H186" s="31" t="s">
        <v>304</v>
      </c>
      <c r="J186" t="str">
        <f>VLOOKUP(F186,'[1]Salidas de Efectivo'!$B:$B,1,0)</f>
        <v>10490</v>
      </c>
    </row>
    <row r="187" spans="1:10" ht="13.9">
      <c r="A187" s="21" t="s">
        <v>297</v>
      </c>
      <c r="B187" s="21" t="s">
        <v>532</v>
      </c>
      <c r="C187" s="21" t="s">
        <v>602</v>
      </c>
      <c r="D187" s="23" t="s">
        <v>603</v>
      </c>
      <c r="E187" s="21" t="s">
        <v>301</v>
      </c>
      <c r="F187" s="50" t="s">
        <v>604</v>
      </c>
      <c r="G187" s="36" t="s">
        <v>603</v>
      </c>
      <c r="H187" s="31" t="s">
        <v>304</v>
      </c>
      <c r="J187" t="str">
        <f>VLOOKUP(F187,'[1]Salidas de Efectivo'!$B:$B,1,0)</f>
        <v>10561</v>
      </c>
    </row>
    <row r="188" spans="1:10" ht="13.9">
      <c r="A188" s="21" t="s">
        <v>297</v>
      </c>
      <c r="B188" s="21" t="s">
        <v>532</v>
      </c>
      <c r="C188" s="21" t="s">
        <v>605</v>
      </c>
      <c r="D188" s="23" t="s">
        <v>606</v>
      </c>
      <c r="E188" s="21" t="s">
        <v>301</v>
      </c>
      <c r="F188" s="50" t="s">
        <v>607</v>
      </c>
      <c r="G188" s="36" t="s">
        <v>606</v>
      </c>
      <c r="H188" s="31" t="s">
        <v>304</v>
      </c>
      <c r="J188" t="str">
        <f>VLOOKUP(F188,'[1]Salidas de Efectivo'!$B:$B,1,0)</f>
        <v>10562</v>
      </c>
    </row>
    <row r="189" spans="1:10" ht="13.9">
      <c r="A189" s="21" t="s">
        <v>297</v>
      </c>
      <c r="B189" s="21" t="s">
        <v>532</v>
      </c>
      <c r="C189" s="21" t="s">
        <v>608</v>
      </c>
      <c r="D189" s="23" t="s">
        <v>609</v>
      </c>
      <c r="E189" s="21" t="s">
        <v>301</v>
      </c>
      <c r="F189" s="50" t="s">
        <v>610</v>
      </c>
      <c r="G189" s="36" t="s">
        <v>609</v>
      </c>
      <c r="H189" s="31" t="s">
        <v>304</v>
      </c>
      <c r="J189" t="str">
        <f>VLOOKUP(F189,'[1]Salidas de Efectivo'!$B:$B,1,0)</f>
        <v>10563</v>
      </c>
    </row>
    <row r="190" spans="1:10" ht="13.9">
      <c r="A190" s="21" t="s">
        <v>297</v>
      </c>
      <c r="B190" s="21" t="s">
        <v>532</v>
      </c>
      <c r="C190" s="21" t="s">
        <v>611</v>
      </c>
      <c r="D190" s="23" t="s">
        <v>612</v>
      </c>
      <c r="E190" s="21" t="s">
        <v>301</v>
      </c>
      <c r="F190" s="50" t="s">
        <v>613</v>
      </c>
      <c r="G190" s="36" t="s">
        <v>612</v>
      </c>
      <c r="H190" s="31" t="s">
        <v>304</v>
      </c>
      <c r="J190" t="str">
        <f>VLOOKUP(F190,'[1]Salidas de Efectivo'!$B:$B,1,0)</f>
        <v>10564</v>
      </c>
    </row>
    <row r="191" spans="1:10" ht="13.9">
      <c r="A191" s="21" t="s">
        <v>297</v>
      </c>
      <c r="B191" s="21" t="s">
        <v>532</v>
      </c>
      <c r="C191" s="21" t="s">
        <v>614</v>
      </c>
      <c r="D191" s="23" t="s">
        <v>615</v>
      </c>
      <c r="E191" s="21" t="s">
        <v>301</v>
      </c>
      <c r="F191" s="50" t="s">
        <v>616</v>
      </c>
      <c r="G191" s="36" t="s">
        <v>615</v>
      </c>
      <c r="H191" s="31" t="s">
        <v>304</v>
      </c>
      <c r="J191" t="str">
        <f>VLOOKUP(F191,'[1]Salidas de Efectivo'!$B:$B,1,0)</f>
        <v>10565</v>
      </c>
    </row>
    <row r="192" spans="1:10" ht="13.9">
      <c r="A192" s="21" t="s">
        <v>297</v>
      </c>
      <c r="B192" s="21" t="s">
        <v>532</v>
      </c>
      <c r="C192" s="21" t="s">
        <v>617</v>
      </c>
      <c r="D192" s="23" t="s">
        <v>618</v>
      </c>
      <c r="E192" s="21" t="s">
        <v>301</v>
      </c>
      <c r="F192" s="50" t="s">
        <v>619</v>
      </c>
      <c r="G192" s="36" t="s">
        <v>618</v>
      </c>
      <c r="H192" s="31" t="s">
        <v>304</v>
      </c>
      <c r="J192" t="str">
        <f>VLOOKUP(F192,'[1]Salidas de Efectivo'!$B:$B,1,0)</f>
        <v>10566</v>
      </c>
    </row>
    <row r="193" spans="1:10" ht="26.45">
      <c r="A193" s="21" t="s">
        <v>297</v>
      </c>
      <c r="B193" s="21" t="s">
        <v>532</v>
      </c>
      <c r="C193" s="21" t="s">
        <v>620</v>
      </c>
      <c r="D193" s="23" t="s">
        <v>621</v>
      </c>
      <c r="E193" s="21" t="s">
        <v>301</v>
      </c>
      <c r="F193" s="51" t="s">
        <v>622</v>
      </c>
      <c r="G193" s="38" t="s">
        <v>621</v>
      </c>
      <c r="H193" s="31" t="s">
        <v>304</v>
      </c>
      <c r="J193" t="str">
        <f>VLOOKUP(F193,'[1]Salidas de Efectivo'!$B:$B,1,0)</f>
        <v>10568</v>
      </c>
    </row>
    <row r="194" spans="1:10" ht="26.45">
      <c r="A194" s="21" t="s">
        <v>297</v>
      </c>
      <c r="B194" s="21" t="s">
        <v>532</v>
      </c>
      <c r="C194" s="21" t="s">
        <v>623</v>
      </c>
      <c r="D194" s="23" t="s">
        <v>624</v>
      </c>
      <c r="E194" s="21" t="s">
        <v>301</v>
      </c>
      <c r="F194" s="51" t="s">
        <v>625</v>
      </c>
      <c r="G194" s="38" t="s">
        <v>624</v>
      </c>
      <c r="H194" s="31" t="s">
        <v>304</v>
      </c>
      <c r="J194" t="str">
        <f>VLOOKUP(F194,'[1]Salidas de Efectivo'!$B:$B,1,0)</f>
        <v>10569</v>
      </c>
    </row>
    <row r="195" spans="1:10" ht="26.45">
      <c r="A195" s="21" t="s">
        <v>297</v>
      </c>
      <c r="B195" s="21" t="s">
        <v>532</v>
      </c>
      <c r="C195" s="21" t="s">
        <v>626</v>
      </c>
      <c r="D195" s="23" t="s">
        <v>627</v>
      </c>
      <c r="E195" s="21" t="s">
        <v>301</v>
      </c>
      <c r="F195" s="50" t="s">
        <v>628</v>
      </c>
      <c r="G195" s="36" t="s">
        <v>627</v>
      </c>
      <c r="H195" s="31" t="s">
        <v>304</v>
      </c>
      <c r="J195" t="str">
        <f>VLOOKUP(F195,'[1]Salidas de Efectivo'!$B:$B,1,0)</f>
        <v>10633</v>
      </c>
    </row>
    <row r="196" spans="1:10" ht="52.9">
      <c r="A196" s="21" t="s">
        <v>297</v>
      </c>
      <c r="B196" s="21" t="s">
        <v>532</v>
      </c>
      <c r="C196" s="21" t="s">
        <v>629</v>
      </c>
      <c r="D196" s="23" t="s">
        <v>630</v>
      </c>
      <c r="E196" s="21" t="s">
        <v>301</v>
      </c>
      <c r="F196" s="50" t="s">
        <v>631</v>
      </c>
      <c r="G196" s="36" t="s">
        <v>630</v>
      </c>
      <c r="H196" s="31" t="s">
        <v>304</v>
      </c>
      <c r="J196" t="str">
        <f>VLOOKUP(F196,'[1]Salidas de Efectivo'!$B:$B,1,0)</f>
        <v>10634</v>
      </c>
    </row>
    <row r="197" spans="1:10" ht="52.9">
      <c r="A197" s="21" t="s">
        <v>297</v>
      </c>
      <c r="B197" s="21" t="s">
        <v>532</v>
      </c>
      <c r="C197" s="21" t="s">
        <v>632</v>
      </c>
      <c r="D197" s="23" t="s">
        <v>633</v>
      </c>
      <c r="E197" s="21" t="s">
        <v>301</v>
      </c>
      <c r="F197" s="50" t="s">
        <v>634</v>
      </c>
      <c r="G197" s="36" t="s">
        <v>633</v>
      </c>
      <c r="H197" s="31" t="s">
        <v>304</v>
      </c>
      <c r="J197" t="str">
        <f>VLOOKUP(F197,'[1]Salidas de Efectivo'!$B:$B,1,0)</f>
        <v>10635</v>
      </c>
    </row>
    <row r="198" spans="1:10" ht="26.45">
      <c r="A198" s="21" t="s">
        <v>297</v>
      </c>
      <c r="B198" s="21" t="s">
        <v>532</v>
      </c>
      <c r="C198" s="21" t="s">
        <v>635</v>
      </c>
      <c r="D198" s="23" t="s">
        <v>636</v>
      </c>
      <c r="E198" s="21" t="s">
        <v>301</v>
      </c>
      <c r="F198" s="50" t="s">
        <v>637</v>
      </c>
      <c r="G198" s="36" t="s">
        <v>636</v>
      </c>
      <c r="H198" s="31" t="s">
        <v>304</v>
      </c>
      <c r="J198" t="str">
        <f>VLOOKUP(F198,'[1]Salidas de Efectivo'!$B:$B,1,0)</f>
        <v>10636</v>
      </c>
    </row>
    <row r="199" spans="1:10" ht="26.45">
      <c r="A199" s="21" t="s">
        <v>297</v>
      </c>
      <c r="B199" s="21" t="s">
        <v>532</v>
      </c>
      <c r="C199" s="21" t="s">
        <v>638</v>
      </c>
      <c r="D199" s="23" t="s">
        <v>639</v>
      </c>
      <c r="E199" s="21" t="s">
        <v>301</v>
      </c>
      <c r="F199" s="49" t="s">
        <v>640</v>
      </c>
      <c r="G199" s="37" t="s">
        <v>639</v>
      </c>
      <c r="H199" s="31" t="s">
        <v>304</v>
      </c>
      <c r="J199" t="str">
        <f>VLOOKUP(F199,'[1]Salidas de Efectivo'!$B:$B,1,0)</f>
        <v>10637</v>
      </c>
    </row>
    <row r="200" spans="1:10" ht="13.9">
      <c r="A200" s="21" t="s">
        <v>297</v>
      </c>
      <c r="B200" s="21" t="s">
        <v>532</v>
      </c>
      <c r="C200" s="21" t="s">
        <v>641</v>
      </c>
      <c r="D200" s="23" t="s">
        <v>642</v>
      </c>
      <c r="E200" s="21" t="s">
        <v>301</v>
      </c>
      <c r="F200" s="50" t="s">
        <v>643</v>
      </c>
      <c r="G200" s="36" t="s">
        <v>642</v>
      </c>
      <c r="H200" s="31" t="s">
        <v>304</v>
      </c>
      <c r="J200" t="str">
        <f>VLOOKUP(F200,'[1]Salidas de Efectivo'!$B:$B,1,0)</f>
        <v>10638</v>
      </c>
    </row>
    <row r="201" spans="1:10" ht="13.9">
      <c r="A201" s="21" t="s">
        <v>297</v>
      </c>
      <c r="B201" s="21" t="s">
        <v>532</v>
      </c>
      <c r="C201" s="21" t="s">
        <v>644</v>
      </c>
      <c r="D201" s="23" t="s">
        <v>645</v>
      </c>
      <c r="E201" s="21" t="s">
        <v>301</v>
      </c>
      <c r="F201" s="50" t="s">
        <v>646</v>
      </c>
      <c r="G201" s="36" t="s">
        <v>645</v>
      </c>
      <c r="H201" s="31" t="s">
        <v>304</v>
      </c>
      <c r="J201" t="str">
        <f>VLOOKUP(F201,'[1]Salidas de Efectivo'!$B:$B,1,0)</f>
        <v>10639</v>
      </c>
    </row>
    <row r="202" spans="1:10" ht="13.9">
      <c r="A202" s="21" t="s">
        <v>297</v>
      </c>
      <c r="B202" s="21" t="s">
        <v>532</v>
      </c>
      <c r="C202" s="21" t="s">
        <v>647</v>
      </c>
      <c r="D202" s="23" t="s">
        <v>648</v>
      </c>
      <c r="E202" s="21" t="s">
        <v>301</v>
      </c>
      <c r="F202" s="50" t="s">
        <v>649</v>
      </c>
      <c r="G202" s="36" t="s">
        <v>648</v>
      </c>
      <c r="H202" s="31" t="s">
        <v>304</v>
      </c>
      <c r="J202" t="str">
        <f>VLOOKUP(F202,'[1]Salidas de Efectivo'!$B:$B,1,0)</f>
        <v>10640</v>
      </c>
    </row>
    <row r="203" spans="1:10" ht="13.9">
      <c r="A203" s="21" t="s">
        <v>297</v>
      </c>
      <c r="B203" s="21" t="s">
        <v>532</v>
      </c>
      <c r="C203" s="21" t="s">
        <v>650</v>
      </c>
      <c r="D203" s="23" t="s">
        <v>651</v>
      </c>
      <c r="E203" s="21" t="s">
        <v>301</v>
      </c>
      <c r="F203" s="50" t="s">
        <v>652</v>
      </c>
      <c r="G203" s="36" t="s">
        <v>651</v>
      </c>
      <c r="H203" s="31" t="s">
        <v>304</v>
      </c>
      <c r="J203" t="str">
        <f>VLOOKUP(F203,'[1]Salidas de Efectivo'!$B:$B,1,0)</f>
        <v>10641</v>
      </c>
    </row>
    <row r="204" spans="1:10" ht="13.9">
      <c r="A204" s="21" t="s">
        <v>297</v>
      </c>
      <c r="B204" s="21" t="s">
        <v>532</v>
      </c>
      <c r="C204" s="21" t="s">
        <v>653</v>
      </c>
      <c r="D204" s="23" t="s">
        <v>642</v>
      </c>
      <c r="E204" s="21" t="s">
        <v>301</v>
      </c>
      <c r="F204" s="49" t="s">
        <v>654</v>
      </c>
      <c r="G204" s="37" t="s">
        <v>642</v>
      </c>
      <c r="H204" s="31" t="s">
        <v>304</v>
      </c>
      <c r="J204" t="str">
        <f>VLOOKUP(F204,'[1]Salidas de Efectivo'!$B:$B,1,0)</f>
        <v>10642</v>
      </c>
    </row>
    <row r="205" spans="1:10" ht="13.9">
      <c r="A205" s="21" t="s">
        <v>297</v>
      </c>
      <c r="B205" s="21" t="s">
        <v>532</v>
      </c>
      <c r="C205" s="21" t="s">
        <v>655</v>
      </c>
      <c r="D205" s="23" t="s">
        <v>645</v>
      </c>
      <c r="E205" s="21" t="s">
        <v>301</v>
      </c>
      <c r="F205" s="50" t="s">
        <v>656</v>
      </c>
      <c r="G205" s="36" t="s">
        <v>645</v>
      </c>
      <c r="H205" s="31" t="s">
        <v>304</v>
      </c>
      <c r="J205" t="str">
        <f>VLOOKUP(F205,'[1]Salidas de Efectivo'!$B:$B,1,0)</f>
        <v>10643</v>
      </c>
    </row>
    <row r="206" spans="1:10" ht="13.9">
      <c r="A206" s="21" t="s">
        <v>297</v>
      </c>
      <c r="B206" s="21" t="s">
        <v>532</v>
      </c>
      <c r="C206" s="21" t="s">
        <v>657</v>
      </c>
      <c r="D206" s="23" t="s">
        <v>648</v>
      </c>
      <c r="E206" s="21" t="s">
        <v>301</v>
      </c>
      <c r="F206" s="50" t="s">
        <v>658</v>
      </c>
      <c r="G206" s="36" t="s">
        <v>648</v>
      </c>
      <c r="H206" s="31" t="s">
        <v>304</v>
      </c>
      <c r="J206" t="str">
        <f>VLOOKUP(F206,'[1]Salidas de Efectivo'!$B:$B,1,0)</f>
        <v>10644</v>
      </c>
    </row>
    <row r="207" spans="1:10" ht="13.9">
      <c r="A207" s="21" t="s">
        <v>297</v>
      </c>
      <c r="B207" s="21" t="s">
        <v>532</v>
      </c>
      <c r="C207" s="21" t="s">
        <v>659</v>
      </c>
      <c r="D207" s="23" t="s">
        <v>651</v>
      </c>
      <c r="E207" s="21" t="s">
        <v>301</v>
      </c>
      <c r="F207" s="50" t="s">
        <v>660</v>
      </c>
      <c r="G207" s="36" t="s">
        <v>651</v>
      </c>
      <c r="H207" s="31" t="s">
        <v>304</v>
      </c>
      <c r="J207" t="str">
        <f>VLOOKUP(F207,'[1]Salidas de Efectivo'!$B:$B,1,0)</f>
        <v>10645</v>
      </c>
    </row>
    <row r="208" spans="1:10" ht="13.9">
      <c r="A208" s="21" t="s">
        <v>297</v>
      </c>
      <c r="B208" s="21" t="s">
        <v>532</v>
      </c>
      <c r="C208" s="21" t="s">
        <v>661</v>
      </c>
      <c r="D208" s="23" t="s">
        <v>642</v>
      </c>
      <c r="E208" s="21" t="s">
        <v>301</v>
      </c>
      <c r="F208" s="50" t="s">
        <v>662</v>
      </c>
      <c r="G208" s="36" t="s">
        <v>642</v>
      </c>
      <c r="H208" s="31" t="s">
        <v>304</v>
      </c>
      <c r="J208" t="str">
        <f>VLOOKUP(F208,'[1]Salidas de Efectivo'!$B:$B,1,0)</f>
        <v>10646</v>
      </c>
    </row>
    <row r="209" spans="1:10" ht="13.9">
      <c r="A209" s="21" t="s">
        <v>297</v>
      </c>
      <c r="B209" s="21" t="s">
        <v>532</v>
      </c>
      <c r="C209" s="21" t="s">
        <v>663</v>
      </c>
      <c r="D209" s="23" t="s">
        <v>645</v>
      </c>
      <c r="E209" s="21" t="s">
        <v>301</v>
      </c>
      <c r="F209" s="50" t="s">
        <v>664</v>
      </c>
      <c r="G209" s="36" t="s">
        <v>645</v>
      </c>
      <c r="H209" s="31" t="s">
        <v>304</v>
      </c>
      <c r="J209" t="str">
        <f>VLOOKUP(F209,'[1]Salidas de Efectivo'!$B:$B,1,0)</f>
        <v>10647</v>
      </c>
    </row>
    <row r="210" spans="1:10" ht="13.9">
      <c r="A210" s="21" t="s">
        <v>297</v>
      </c>
      <c r="B210" s="21" t="s">
        <v>532</v>
      </c>
      <c r="C210" s="21" t="s">
        <v>665</v>
      </c>
      <c r="D210" s="23" t="s">
        <v>648</v>
      </c>
      <c r="E210" s="21" t="s">
        <v>301</v>
      </c>
      <c r="F210" s="50" t="s">
        <v>666</v>
      </c>
      <c r="G210" s="36" t="s">
        <v>648</v>
      </c>
      <c r="H210" s="31" t="s">
        <v>304</v>
      </c>
      <c r="J210" t="str">
        <f>VLOOKUP(F210,'[1]Salidas de Efectivo'!$B:$B,1,0)</f>
        <v>10648</v>
      </c>
    </row>
    <row r="211" spans="1:10" ht="13.9">
      <c r="A211" s="21" t="s">
        <v>297</v>
      </c>
      <c r="B211" s="21" t="s">
        <v>532</v>
      </c>
      <c r="C211" s="21" t="s">
        <v>667</v>
      </c>
      <c r="D211" s="23" t="s">
        <v>651</v>
      </c>
      <c r="E211" s="21" t="s">
        <v>301</v>
      </c>
      <c r="F211" s="50" t="s">
        <v>668</v>
      </c>
      <c r="G211" s="36" t="s">
        <v>651</v>
      </c>
      <c r="H211" s="31" t="s">
        <v>304</v>
      </c>
      <c r="J211" t="str">
        <f>VLOOKUP(F211,'[1]Salidas de Efectivo'!$B:$B,1,0)</f>
        <v>10649</v>
      </c>
    </row>
    <row r="212" spans="1:10" ht="13.9">
      <c r="A212" s="21" t="s">
        <v>297</v>
      </c>
      <c r="B212" s="21" t="s">
        <v>532</v>
      </c>
      <c r="C212" s="21" t="s">
        <v>669</v>
      </c>
      <c r="D212" s="23" t="s">
        <v>670</v>
      </c>
      <c r="E212" s="21" t="s">
        <v>301</v>
      </c>
      <c r="F212" s="49" t="s">
        <v>671</v>
      </c>
      <c r="G212" s="37" t="s">
        <v>670</v>
      </c>
      <c r="H212" s="31" t="s">
        <v>304</v>
      </c>
      <c r="J212" t="str">
        <f>VLOOKUP(F212,'[1]Salidas de Efectivo'!$B:$B,1,0)</f>
        <v>10650</v>
      </c>
    </row>
    <row r="213" spans="1:10" ht="13.9">
      <c r="A213" s="21" t="s">
        <v>297</v>
      </c>
      <c r="B213" s="21" t="s">
        <v>532</v>
      </c>
      <c r="C213" s="21" t="s">
        <v>672</v>
      </c>
      <c r="D213" s="23" t="s">
        <v>673</v>
      </c>
      <c r="E213" s="21" t="s">
        <v>301</v>
      </c>
      <c r="F213" s="49" t="s">
        <v>674</v>
      </c>
      <c r="G213" s="37" t="s">
        <v>673</v>
      </c>
      <c r="H213" s="31" t="s">
        <v>304</v>
      </c>
      <c r="J213" t="str">
        <f>VLOOKUP(F213,'[1]Salidas de Efectivo'!$B:$B,1,0)</f>
        <v>10820</v>
      </c>
    </row>
    <row r="214" spans="1:10" ht="13.9">
      <c r="A214" s="21" t="s">
        <v>297</v>
      </c>
      <c r="B214" s="21" t="s">
        <v>532</v>
      </c>
      <c r="C214" s="21" t="s">
        <v>675</v>
      </c>
      <c r="D214" s="23" t="s">
        <v>676</v>
      </c>
      <c r="E214" s="21" t="s">
        <v>301</v>
      </c>
      <c r="F214" s="49" t="s">
        <v>677</v>
      </c>
      <c r="G214" s="37" t="s">
        <v>676</v>
      </c>
      <c r="H214" s="31" t="s">
        <v>304</v>
      </c>
      <c r="J214" t="str">
        <f>VLOOKUP(F214,'[1]Salidas de Efectivo'!$B:$B,1,0)</f>
        <v>10830</v>
      </c>
    </row>
    <row r="215" spans="1:10" ht="13.9">
      <c r="A215" s="21" t="s">
        <v>297</v>
      </c>
      <c r="B215" s="21" t="s">
        <v>532</v>
      </c>
      <c r="C215" s="21" t="s">
        <v>678</v>
      </c>
      <c r="D215" s="23" t="s">
        <v>679</v>
      </c>
      <c r="E215" s="21" t="s">
        <v>301</v>
      </c>
      <c r="F215" s="50" t="s">
        <v>680</v>
      </c>
      <c r="G215" s="36" t="s">
        <v>679</v>
      </c>
      <c r="H215" s="31" t="s">
        <v>304</v>
      </c>
      <c r="J215" t="str">
        <f>VLOOKUP(F215,'[1]Salidas de Efectivo'!$B:$B,1,0)</f>
        <v>10651</v>
      </c>
    </row>
    <row r="216" spans="1:10" ht="13.9">
      <c r="A216" s="21" t="s">
        <v>297</v>
      </c>
      <c r="B216" s="21" t="s">
        <v>532</v>
      </c>
      <c r="C216" s="21" t="s">
        <v>681</v>
      </c>
      <c r="D216" s="23" t="s">
        <v>682</v>
      </c>
      <c r="E216" s="21" t="s">
        <v>301</v>
      </c>
      <c r="F216" s="50" t="s">
        <v>683</v>
      </c>
      <c r="G216" s="36" t="s">
        <v>682</v>
      </c>
      <c r="H216" s="31" t="s">
        <v>304</v>
      </c>
      <c r="J216" t="str">
        <f>VLOOKUP(F216,'[1]Salidas de Efectivo'!$B:$B,1,0)</f>
        <v>10652</v>
      </c>
    </row>
    <row r="217" spans="1:10" ht="39.6">
      <c r="A217" s="21" t="s">
        <v>297</v>
      </c>
      <c r="B217" s="21" t="s">
        <v>532</v>
      </c>
      <c r="C217" s="21" t="s">
        <v>684</v>
      </c>
      <c r="D217" s="23" t="s">
        <v>685</v>
      </c>
      <c r="E217" s="21" t="s">
        <v>301</v>
      </c>
      <c r="F217" s="51" t="s">
        <v>686</v>
      </c>
      <c r="G217" s="36" t="s">
        <v>685</v>
      </c>
      <c r="H217" s="31" t="s">
        <v>304</v>
      </c>
      <c r="J217" t="str">
        <f>VLOOKUP(F217,'[1]Salidas de Efectivo'!$B:$B,1,0)</f>
        <v>10653</v>
      </c>
    </row>
    <row r="218" spans="1:10" ht="13.9">
      <c r="A218" s="21" t="s">
        <v>297</v>
      </c>
      <c r="B218" s="21" t="s">
        <v>532</v>
      </c>
      <c r="C218" s="21" t="s">
        <v>687</v>
      </c>
      <c r="D218" s="23" t="s">
        <v>688</v>
      </c>
      <c r="E218" s="21" t="s">
        <v>301</v>
      </c>
      <c r="F218" s="52" t="s">
        <v>689</v>
      </c>
      <c r="G218" s="40" t="s">
        <v>688</v>
      </c>
      <c r="H218" s="31" t="s">
        <v>304</v>
      </c>
      <c r="J218" t="str">
        <f>VLOOKUP(F218,'[1]Salidas de Efectivo'!$B:$B,1,0)</f>
        <v>10900</v>
      </c>
    </row>
    <row r="219" spans="1:10" ht="39.6">
      <c r="A219" s="21" t="s">
        <v>297</v>
      </c>
      <c r="B219" s="21" t="s">
        <v>532</v>
      </c>
      <c r="C219" s="21" t="s">
        <v>690</v>
      </c>
      <c r="D219" s="23" t="s">
        <v>691</v>
      </c>
      <c r="E219" s="21" t="s">
        <v>301</v>
      </c>
      <c r="F219" s="52" t="s">
        <v>692</v>
      </c>
      <c r="G219" s="40" t="s">
        <v>691</v>
      </c>
      <c r="H219" s="31" t="s">
        <v>304</v>
      </c>
      <c r="J219" t="str">
        <f>VLOOKUP(F219,'[1]Salidas de Efectivo'!$B:$B,1,0)</f>
        <v>10910</v>
      </c>
    </row>
    <row r="220" spans="1:10" ht="39.6">
      <c r="A220" s="21" t="s">
        <v>297</v>
      </c>
      <c r="B220" s="21" t="s">
        <v>532</v>
      </c>
      <c r="C220" s="21" t="s">
        <v>693</v>
      </c>
      <c r="D220" s="23" t="s">
        <v>694</v>
      </c>
      <c r="E220" s="21" t="s">
        <v>301</v>
      </c>
      <c r="F220" s="52" t="s">
        <v>695</v>
      </c>
      <c r="G220" s="40" t="s">
        <v>694</v>
      </c>
      <c r="H220" s="31" t="s">
        <v>304</v>
      </c>
      <c r="J220" t="str">
        <f>VLOOKUP(F220,'[1]Salidas de Efectivo'!$B:$B,1,0)</f>
        <v>10920</v>
      </c>
    </row>
    <row r="221" spans="1:10" ht="66">
      <c r="A221" s="21" t="s">
        <v>297</v>
      </c>
      <c r="B221" s="21" t="s">
        <v>532</v>
      </c>
      <c r="C221" s="21" t="s">
        <v>696</v>
      </c>
      <c r="D221" s="23" t="s">
        <v>697</v>
      </c>
      <c r="E221" s="21" t="s">
        <v>301</v>
      </c>
      <c r="F221" s="52" t="s">
        <v>698</v>
      </c>
      <c r="G221" s="40" t="s">
        <v>697</v>
      </c>
      <c r="H221" s="31" t="s">
        <v>304</v>
      </c>
      <c r="J221" t="str">
        <f>VLOOKUP(F221,'[1]Salidas de Efectivo'!$B:$B,1,0)</f>
        <v>10930</v>
      </c>
    </row>
    <row r="222" spans="1:10" ht="66">
      <c r="A222" s="21" t="s">
        <v>297</v>
      </c>
      <c r="B222" s="21" t="s">
        <v>532</v>
      </c>
      <c r="C222" s="21" t="s">
        <v>699</v>
      </c>
      <c r="D222" s="23" t="s">
        <v>700</v>
      </c>
      <c r="E222" s="21" t="s">
        <v>301</v>
      </c>
      <c r="F222" s="52" t="s">
        <v>701</v>
      </c>
      <c r="G222" s="40" t="s">
        <v>700</v>
      </c>
      <c r="H222" s="31" t="s">
        <v>304</v>
      </c>
      <c r="J222" t="str">
        <f>VLOOKUP(F222,'[1]Salidas de Efectivo'!$B:$B,1,0)</f>
        <v>10940</v>
      </c>
    </row>
    <row r="223" spans="1:10" ht="66">
      <c r="A223" s="21" t="s">
        <v>297</v>
      </c>
      <c r="B223" s="21" t="s">
        <v>532</v>
      </c>
      <c r="C223" s="21" t="s">
        <v>702</v>
      </c>
      <c r="D223" s="23" t="s">
        <v>703</v>
      </c>
      <c r="E223" s="21" t="s">
        <v>301</v>
      </c>
      <c r="F223" s="52" t="s">
        <v>704</v>
      </c>
      <c r="G223" s="41" t="s">
        <v>703</v>
      </c>
      <c r="H223" s="31" t="s">
        <v>304</v>
      </c>
      <c r="J223" t="str">
        <f>VLOOKUP(F223,'[1]Salidas de Efectivo'!$B:$B,1,0)</f>
        <v>10950</v>
      </c>
    </row>
    <row r="224" spans="1:10" ht="26.45">
      <c r="A224" s="21" t="s">
        <v>297</v>
      </c>
      <c r="B224" s="21" t="s">
        <v>532</v>
      </c>
      <c r="C224" s="21" t="s">
        <v>705</v>
      </c>
      <c r="D224" s="23" t="s">
        <v>706</v>
      </c>
      <c r="E224" s="21" t="s">
        <v>301</v>
      </c>
      <c r="F224" s="52" t="s">
        <v>707</v>
      </c>
      <c r="G224" s="40" t="s">
        <v>706</v>
      </c>
      <c r="H224" s="31" t="s">
        <v>304</v>
      </c>
      <c r="J224" t="str">
        <f>VLOOKUP(F224,'[1]Salidas de Efectivo'!$B:$B,1,0)</f>
        <v>10960</v>
      </c>
    </row>
    <row r="225" spans="1:10" ht="52.9">
      <c r="A225" s="21" t="s">
        <v>297</v>
      </c>
      <c r="B225" s="21" t="s">
        <v>532</v>
      </c>
      <c r="C225" s="21" t="s">
        <v>708</v>
      </c>
      <c r="D225" s="23" t="s">
        <v>709</v>
      </c>
      <c r="E225" s="21" t="s">
        <v>301</v>
      </c>
      <c r="F225" s="52" t="s">
        <v>710</v>
      </c>
      <c r="G225" s="40" t="s">
        <v>709</v>
      </c>
      <c r="H225" s="31" t="s">
        <v>304</v>
      </c>
      <c r="J225" t="str">
        <f>VLOOKUP(F225,'[1]Salidas de Efectivo'!$B:$B,1,0)</f>
        <v>10970</v>
      </c>
    </row>
    <row r="226" spans="1:10" ht="13.9">
      <c r="A226" s="21" t="s">
        <v>297</v>
      </c>
      <c r="B226" s="21" t="s">
        <v>532</v>
      </c>
      <c r="C226" s="21" t="s">
        <v>711</v>
      </c>
      <c r="D226" s="23" t="s">
        <v>688</v>
      </c>
      <c r="E226" s="21" t="s">
        <v>301</v>
      </c>
      <c r="F226" s="52" t="s">
        <v>712</v>
      </c>
      <c r="G226" s="40" t="s">
        <v>688</v>
      </c>
      <c r="H226" s="31" t="s">
        <v>304</v>
      </c>
      <c r="J226" t="str">
        <f>VLOOKUP(F226,'[1]Salidas de Efectivo'!$B:$B,1,0)</f>
        <v>10980</v>
      </c>
    </row>
    <row r="227" spans="1:10" ht="39.6">
      <c r="A227" s="21" t="s">
        <v>297</v>
      </c>
      <c r="B227" s="21" t="s">
        <v>532</v>
      </c>
      <c r="C227" s="21" t="s">
        <v>713</v>
      </c>
      <c r="D227" s="23" t="s">
        <v>691</v>
      </c>
      <c r="E227" s="21" t="s">
        <v>301</v>
      </c>
      <c r="F227" s="52" t="s">
        <v>714</v>
      </c>
      <c r="G227" s="40" t="s">
        <v>691</v>
      </c>
      <c r="H227" s="31" t="s">
        <v>304</v>
      </c>
      <c r="J227" t="str">
        <f>VLOOKUP(F227,'[1]Salidas de Efectivo'!$B:$B,1,0)</f>
        <v>10990</v>
      </c>
    </row>
    <row r="228" spans="1:10" ht="39.6">
      <c r="A228" s="21" t="s">
        <v>297</v>
      </c>
      <c r="B228" s="21" t="s">
        <v>532</v>
      </c>
      <c r="C228" s="21" t="s">
        <v>715</v>
      </c>
      <c r="D228" s="23" t="s">
        <v>694</v>
      </c>
      <c r="E228" s="21" t="s">
        <v>301</v>
      </c>
      <c r="F228" s="52" t="s">
        <v>716</v>
      </c>
      <c r="G228" s="40" t="s">
        <v>694</v>
      </c>
      <c r="H228" s="31" t="s">
        <v>304</v>
      </c>
      <c r="J228" t="str">
        <f>VLOOKUP(F228,'[1]Salidas de Efectivo'!$B:$B,1,0)</f>
        <v>11000</v>
      </c>
    </row>
    <row r="229" spans="1:10" ht="66">
      <c r="A229" s="21" t="s">
        <v>297</v>
      </c>
      <c r="B229" s="21" t="s">
        <v>532</v>
      </c>
      <c r="C229" s="21" t="s">
        <v>717</v>
      </c>
      <c r="D229" s="23" t="s">
        <v>718</v>
      </c>
      <c r="E229" s="21" t="s">
        <v>301</v>
      </c>
      <c r="F229" s="52" t="s">
        <v>719</v>
      </c>
      <c r="G229" s="40" t="s">
        <v>718</v>
      </c>
      <c r="H229" s="31" t="s">
        <v>304</v>
      </c>
      <c r="J229" t="str">
        <f>VLOOKUP(F229,'[1]Salidas de Efectivo'!$B:$B,1,0)</f>
        <v>11010</v>
      </c>
    </row>
    <row r="230" spans="1:10" ht="66">
      <c r="A230" s="21" t="s">
        <v>297</v>
      </c>
      <c r="B230" s="21" t="s">
        <v>532</v>
      </c>
      <c r="C230" s="21" t="s">
        <v>720</v>
      </c>
      <c r="D230" s="23" t="s">
        <v>700</v>
      </c>
      <c r="E230" s="21" t="s">
        <v>301</v>
      </c>
      <c r="F230" s="52" t="s">
        <v>721</v>
      </c>
      <c r="G230" s="40" t="s">
        <v>700</v>
      </c>
      <c r="H230" s="31" t="s">
        <v>304</v>
      </c>
      <c r="J230" t="str">
        <f>VLOOKUP(F230,'[1]Salidas de Efectivo'!$B:$B,1,0)</f>
        <v>11020</v>
      </c>
    </row>
    <row r="231" spans="1:10" ht="66">
      <c r="A231" s="21" t="s">
        <v>297</v>
      </c>
      <c r="B231" s="21" t="s">
        <v>532</v>
      </c>
      <c r="C231" s="21" t="s">
        <v>722</v>
      </c>
      <c r="D231" s="23" t="s">
        <v>703</v>
      </c>
      <c r="E231" s="21" t="s">
        <v>301</v>
      </c>
      <c r="F231" s="52" t="s">
        <v>723</v>
      </c>
      <c r="G231" s="40" t="s">
        <v>703</v>
      </c>
      <c r="H231" s="31" t="s">
        <v>304</v>
      </c>
      <c r="J231" t="str">
        <f>VLOOKUP(F231,'[1]Salidas de Efectivo'!$B:$B,1,0)</f>
        <v>11030</v>
      </c>
    </row>
    <row r="232" spans="1:10" ht="13.9">
      <c r="A232" s="21" t="s">
        <v>297</v>
      </c>
      <c r="B232" s="21" t="s">
        <v>532</v>
      </c>
      <c r="C232" s="21" t="s">
        <v>724</v>
      </c>
      <c r="D232" s="23" t="s">
        <v>725</v>
      </c>
      <c r="E232" s="21" t="s">
        <v>301</v>
      </c>
      <c r="F232" s="52" t="s">
        <v>726</v>
      </c>
      <c r="G232" s="40" t="s">
        <v>725</v>
      </c>
      <c r="H232" s="31" t="s">
        <v>304</v>
      </c>
      <c r="J232" t="str">
        <f>VLOOKUP(F232,'[1]Salidas de Efectivo'!$B:$B,1,0)</f>
        <v>11050</v>
      </c>
    </row>
    <row r="233" spans="1:10" ht="39.6">
      <c r="A233" s="21" t="s">
        <v>297</v>
      </c>
      <c r="B233" s="21" t="s">
        <v>532</v>
      </c>
      <c r="C233" s="21" t="s">
        <v>727</v>
      </c>
      <c r="D233" s="23" t="s">
        <v>728</v>
      </c>
      <c r="E233" s="21" t="s">
        <v>301</v>
      </c>
      <c r="F233" s="52" t="s">
        <v>729</v>
      </c>
      <c r="G233" s="40" t="s">
        <v>728</v>
      </c>
      <c r="H233" s="31" t="s">
        <v>304</v>
      </c>
      <c r="J233" t="str">
        <f>VLOOKUP(F233,'[1]Salidas de Efectivo'!$B:$B,1,0)</f>
        <v>11060</v>
      </c>
    </row>
    <row r="234" spans="1:10" ht="39.6">
      <c r="A234" s="21" t="s">
        <v>297</v>
      </c>
      <c r="B234" s="21" t="s">
        <v>532</v>
      </c>
      <c r="C234" s="21" t="s">
        <v>730</v>
      </c>
      <c r="D234" s="23" t="s">
        <v>731</v>
      </c>
      <c r="E234" s="21" t="s">
        <v>301</v>
      </c>
      <c r="F234" s="52" t="s">
        <v>732</v>
      </c>
      <c r="G234" s="40" t="s">
        <v>731</v>
      </c>
      <c r="H234" s="31" t="s">
        <v>304</v>
      </c>
      <c r="J234" t="str">
        <f>VLOOKUP(F234,'[1]Salidas de Efectivo'!$B:$B,1,0)</f>
        <v>11070</v>
      </c>
    </row>
    <row r="235" spans="1:10" ht="66">
      <c r="A235" s="21" t="s">
        <v>297</v>
      </c>
      <c r="B235" s="21" t="s">
        <v>532</v>
      </c>
      <c r="C235" s="21" t="s">
        <v>733</v>
      </c>
      <c r="D235" s="23" t="s">
        <v>734</v>
      </c>
      <c r="E235" s="21" t="s">
        <v>301</v>
      </c>
      <c r="F235" s="52" t="s">
        <v>735</v>
      </c>
      <c r="G235" s="40" t="s">
        <v>734</v>
      </c>
      <c r="H235" s="31" t="s">
        <v>304</v>
      </c>
      <c r="J235" t="str">
        <f>VLOOKUP(F235,'[1]Salidas de Efectivo'!$B:$B,1,0)</f>
        <v>11080</v>
      </c>
    </row>
    <row r="236" spans="1:10" ht="66">
      <c r="A236" s="21" t="s">
        <v>297</v>
      </c>
      <c r="B236" s="21" t="s">
        <v>532</v>
      </c>
      <c r="C236" s="21" t="s">
        <v>736</v>
      </c>
      <c r="D236" s="23" t="s">
        <v>737</v>
      </c>
      <c r="E236" s="21" t="s">
        <v>301</v>
      </c>
      <c r="F236" s="52" t="s">
        <v>738</v>
      </c>
      <c r="G236" s="40" t="s">
        <v>737</v>
      </c>
      <c r="H236" s="31" t="s">
        <v>304</v>
      </c>
      <c r="J236" t="str">
        <f>VLOOKUP(F236,'[1]Salidas de Efectivo'!$B:$B,1,0)</f>
        <v>11090</v>
      </c>
    </row>
    <row r="237" spans="1:10" ht="66">
      <c r="A237" s="21" t="s">
        <v>297</v>
      </c>
      <c r="B237" s="21" t="s">
        <v>532</v>
      </c>
      <c r="C237" s="21" t="s">
        <v>739</v>
      </c>
      <c r="D237" s="23" t="s">
        <v>740</v>
      </c>
      <c r="E237" s="21" t="s">
        <v>301</v>
      </c>
      <c r="F237" s="52" t="s">
        <v>741</v>
      </c>
      <c r="G237" s="40" t="s">
        <v>740</v>
      </c>
      <c r="H237" s="31" t="s">
        <v>304</v>
      </c>
      <c r="J237" t="str">
        <f>VLOOKUP(F237,'[1]Salidas de Efectivo'!$B:$B,1,0)</f>
        <v>11100</v>
      </c>
    </row>
    <row r="238" spans="1:10" ht="26.45">
      <c r="A238" s="21" t="s">
        <v>297</v>
      </c>
      <c r="B238" s="21" t="s">
        <v>532</v>
      </c>
      <c r="C238" s="21" t="s">
        <v>742</v>
      </c>
      <c r="D238" s="23" t="s">
        <v>743</v>
      </c>
      <c r="E238" s="21" t="s">
        <v>301</v>
      </c>
      <c r="F238" s="52" t="s">
        <v>744</v>
      </c>
      <c r="G238" s="40" t="s">
        <v>743</v>
      </c>
      <c r="H238" s="31" t="s">
        <v>304</v>
      </c>
      <c r="J238" t="str">
        <f>VLOOKUP(F238,'[1]Salidas de Efectivo'!$B:$B,1,0)</f>
        <v>11110</v>
      </c>
    </row>
    <row r="239" spans="1:10" ht="52.9">
      <c r="A239" s="21" t="s">
        <v>297</v>
      </c>
      <c r="B239" s="21" t="s">
        <v>532</v>
      </c>
      <c r="C239" s="21" t="s">
        <v>745</v>
      </c>
      <c r="D239" s="23" t="s">
        <v>746</v>
      </c>
      <c r="E239" s="21" t="s">
        <v>301</v>
      </c>
      <c r="F239" s="52" t="s">
        <v>747</v>
      </c>
      <c r="G239" s="40" t="s">
        <v>746</v>
      </c>
      <c r="H239" s="31" t="s">
        <v>304</v>
      </c>
      <c r="J239" t="str">
        <f>VLOOKUP(F239,'[1]Salidas de Efectivo'!$B:$B,1,0)</f>
        <v>11120</v>
      </c>
    </row>
    <row r="240" spans="1:10" ht="105.6">
      <c r="A240" s="21" t="s">
        <v>297</v>
      </c>
      <c r="B240" s="21" t="s">
        <v>532</v>
      </c>
      <c r="C240" s="21" t="s">
        <v>748</v>
      </c>
      <c r="D240" s="23" t="s">
        <v>749</v>
      </c>
      <c r="E240" s="21" t="s">
        <v>301</v>
      </c>
      <c r="F240" s="52" t="s">
        <v>750</v>
      </c>
      <c r="G240" s="40" t="s">
        <v>749</v>
      </c>
      <c r="H240" s="31" t="s">
        <v>304</v>
      </c>
      <c r="J240" t="str">
        <f>VLOOKUP(F240,'[1]Salidas de Efectivo'!$B:$B,1,0)</f>
        <v>11121</v>
      </c>
    </row>
    <row r="241" spans="1:10" ht="105.6">
      <c r="A241" s="21" t="s">
        <v>297</v>
      </c>
      <c r="B241" s="21" t="s">
        <v>532</v>
      </c>
      <c r="C241" s="21" t="s">
        <v>751</v>
      </c>
      <c r="D241" s="23" t="s">
        <v>752</v>
      </c>
      <c r="E241" s="21" t="s">
        <v>301</v>
      </c>
      <c r="F241" s="52" t="s">
        <v>753</v>
      </c>
      <c r="G241" s="40" t="s">
        <v>752</v>
      </c>
      <c r="H241" s="31" t="s">
        <v>304</v>
      </c>
      <c r="J241" t="str">
        <f>VLOOKUP(F241,'[1]Salidas de Efectivo'!$B:$B,1,0)</f>
        <v>11122</v>
      </c>
    </row>
    <row r="242" spans="1:10" ht="79.150000000000006">
      <c r="A242" s="21" t="s">
        <v>297</v>
      </c>
      <c r="B242" s="21" t="s">
        <v>532</v>
      </c>
      <c r="C242" s="21" t="s">
        <v>754</v>
      </c>
      <c r="D242" s="23" t="s">
        <v>755</v>
      </c>
      <c r="E242" s="21" t="s">
        <v>301</v>
      </c>
      <c r="F242" s="52" t="s">
        <v>756</v>
      </c>
      <c r="G242" s="40" t="s">
        <v>755</v>
      </c>
      <c r="H242" s="31" t="s">
        <v>304</v>
      </c>
      <c r="J242" t="str">
        <f>VLOOKUP(F242,'[1]Salidas de Efectivo'!$B:$B,1,0)</f>
        <v>11130</v>
      </c>
    </row>
    <row r="243" spans="1:10" ht="79.150000000000006">
      <c r="A243" s="21" t="s">
        <v>297</v>
      </c>
      <c r="B243" s="21" t="s">
        <v>532</v>
      </c>
      <c r="C243" s="21" t="s">
        <v>757</v>
      </c>
      <c r="D243" s="23" t="s">
        <v>758</v>
      </c>
      <c r="E243" s="21" t="s">
        <v>301</v>
      </c>
      <c r="F243" s="52" t="s">
        <v>759</v>
      </c>
      <c r="G243" s="40" t="s">
        <v>758</v>
      </c>
      <c r="H243" s="31" t="s">
        <v>304</v>
      </c>
      <c r="J243" t="str">
        <f>VLOOKUP(F243,'[1]Salidas de Efectivo'!$B:$B,1,0)</f>
        <v>11140</v>
      </c>
    </row>
    <row r="244" spans="1:10" ht="66">
      <c r="A244" s="21" t="s">
        <v>297</v>
      </c>
      <c r="B244" s="21" t="s">
        <v>532</v>
      </c>
      <c r="C244" s="21" t="s">
        <v>760</v>
      </c>
      <c r="D244" s="23" t="s">
        <v>761</v>
      </c>
      <c r="E244" s="21" t="s">
        <v>301</v>
      </c>
      <c r="F244" s="52" t="s">
        <v>762</v>
      </c>
      <c r="G244" s="40" t="s">
        <v>761</v>
      </c>
      <c r="H244" s="31" t="s">
        <v>304</v>
      </c>
      <c r="J244" t="str">
        <f>VLOOKUP(F244,'[1]Salidas de Efectivo'!$B:$B,1,0)</f>
        <v>11150</v>
      </c>
    </row>
    <row r="245" spans="1:10" ht="66">
      <c r="A245" s="21" t="s">
        <v>297</v>
      </c>
      <c r="B245" s="21" t="s">
        <v>532</v>
      </c>
      <c r="C245" s="21" t="s">
        <v>763</v>
      </c>
      <c r="D245" s="23" t="s">
        <v>764</v>
      </c>
      <c r="E245" s="21" t="s">
        <v>301</v>
      </c>
      <c r="F245" s="52" t="s">
        <v>765</v>
      </c>
      <c r="G245" s="40" t="s">
        <v>764</v>
      </c>
      <c r="H245" s="31" t="s">
        <v>304</v>
      </c>
      <c r="J245" t="str">
        <f>VLOOKUP(F245,'[1]Salidas de Efectivo'!$B:$B,1,0)</f>
        <v>11160</v>
      </c>
    </row>
    <row r="246" spans="1:10" ht="105.6">
      <c r="A246" s="21" t="s">
        <v>297</v>
      </c>
      <c r="B246" s="21" t="s">
        <v>532</v>
      </c>
      <c r="C246" s="21" t="s">
        <v>766</v>
      </c>
      <c r="D246" s="23" t="s">
        <v>767</v>
      </c>
      <c r="E246" s="21" t="s">
        <v>301</v>
      </c>
      <c r="F246" s="52" t="s">
        <v>768</v>
      </c>
      <c r="G246" s="40" t="s">
        <v>767</v>
      </c>
      <c r="H246" s="31" t="s">
        <v>304</v>
      </c>
      <c r="J246" t="str">
        <f>VLOOKUP(F246,'[1]Salidas de Efectivo'!$B:$B,1,0)</f>
        <v>11170</v>
      </c>
    </row>
    <row r="247" spans="1:10" ht="105.6">
      <c r="A247" s="21" t="s">
        <v>297</v>
      </c>
      <c r="B247" s="21" t="s">
        <v>532</v>
      </c>
      <c r="C247" s="21" t="s">
        <v>769</v>
      </c>
      <c r="D247" s="23" t="s">
        <v>770</v>
      </c>
      <c r="E247" s="21" t="s">
        <v>301</v>
      </c>
      <c r="F247" s="52" t="s">
        <v>771</v>
      </c>
      <c r="G247" s="40" t="s">
        <v>770</v>
      </c>
      <c r="H247" s="31" t="s">
        <v>304</v>
      </c>
      <c r="J247" t="str">
        <f>VLOOKUP(F247,'[1]Salidas de Efectivo'!$B:$B,1,0)</f>
        <v>11180</v>
      </c>
    </row>
    <row r="248" spans="1:10" ht="92.45">
      <c r="A248" s="21" t="s">
        <v>297</v>
      </c>
      <c r="B248" s="21" t="s">
        <v>532</v>
      </c>
      <c r="C248" s="21" t="s">
        <v>772</v>
      </c>
      <c r="D248" s="23" t="s">
        <v>773</v>
      </c>
      <c r="E248" s="21" t="s">
        <v>301</v>
      </c>
      <c r="F248" s="52" t="s">
        <v>774</v>
      </c>
      <c r="G248" s="40" t="s">
        <v>773</v>
      </c>
      <c r="H248" s="31" t="s">
        <v>304</v>
      </c>
      <c r="J248" t="str">
        <f>VLOOKUP(F248,'[1]Salidas de Efectivo'!$B:$B,1,0)</f>
        <v>11190</v>
      </c>
    </row>
    <row r="249" spans="1:10" ht="92.45">
      <c r="A249" s="21" t="s">
        <v>297</v>
      </c>
      <c r="B249" s="21" t="s">
        <v>532</v>
      </c>
      <c r="C249" s="21" t="s">
        <v>775</v>
      </c>
      <c r="D249" s="23" t="s">
        <v>776</v>
      </c>
      <c r="E249" s="21" t="s">
        <v>301</v>
      </c>
      <c r="F249" s="52" t="s">
        <v>777</v>
      </c>
      <c r="G249" s="40" t="s">
        <v>776</v>
      </c>
      <c r="H249" s="31" t="s">
        <v>304</v>
      </c>
      <c r="J249" t="str">
        <f>VLOOKUP(F249,'[1]Salidas de Efectivo'!$B:$B,1,0)</f>
        <v>11200</v>
      </c>
    </row>
    <row r="250" spans="1:10" ht="105.6">
      <c r="A250" s="21" t="s">
        <v>297</v>
      </c>
      <c r="B250" s="21" t="s">
        <v>532</v>
      </c>
      <c r="C250" s="21" t="s">
        <v>778</v>
      </c>
      <c r="D250" s="23" t="s">
        <v>779</v>
      </c>
      <c r="E250" s="21" t="s">
        <v>301</v>
      </c>
      <c r="F250" s="52" t="s">
        <v>780</v>
      </c>
      <c r="G250" s="40" t="s">
        <v>779</v>
      </c>
      <c r="H250" s="31" t="s">
        <v>304</v>
      </c>
      <c r="J250" t="str">
        <f>VLOOKUP(F250,'[1]Salidas de Efectivo'!$B:$B,1,0)</f>
        <v>11210</v>
      </c>
    </row>
    <row r="251" spans="1:10">
      <c r="A251" s="21" t="s">
        <v>781</v>
      </c>
      <c r="B251" s="21"/>
      <c r="C251" s="21" t="s">
        <v>782</v>
      </c>
      <c r="D251" s="21" t="s">
        <v>783</v>
      </c>
      <c r="E251" s="21" t="s">
        <v>784</v>
      </c>
      <c r="F251" s="29" t="s">
        <v>785</v>
      </c>
      <c r="G251" s="21"/>
      <c r="H251" s="31" t="s">
        <v>66</v>
      </c>
      <c r="J251" t="str">
        <f>VLOOKUP(F251,'[1]Entradas de Efectivo'!$B:$B,1,0)</f>
        <v>15001</v>
      </c>
    </row>
    <row r="252" spans="1:10">
      <c r="A252" s="21" t="s">
        <v>781</v>
      </c>
      <c r="B252" s="21"/>
      <c r="C252" s="21" t="s">
        <v>786</v>
      </c>
      <c r="D252" s="21" t="s">
        <v>787</v>
      </c>
      <c r="E252" s="21" t="s">
        <v>784</v>
      </c>
      <c r="F252" s="29" t="s">
        <v>788</v>
      </c>
      <c r="G252" s="21"/>
      <c r="H252" s="31" t="s">
        <v>66</v>
      </c>
      <c r="J252" t="str">
        <f>VLOOKUP(F252,'[1]Entradas de Efectivo'!$B:$B,1,0)</f>
        <v>15002</v>
      </c>
    </row>
    <row r="253" spans="1:10">
      <c r="A253" s="21" t="s">
        <v>781</v>
      </c>
      <c r="B253" s="21"/>
      <c r="C253" s="21" t="s">
        <v>789</v>
      </c>
      <c r="D253" s="21" t="s">
        <v>790</v>
      </c>
      <c r="E253" s="21" t="s">
        <v>784</v>
      </c>
      <c r="F253" s="29" t="s">
        <v>791</v>
      </c>
      <c r="G253" s="21"/>
      <c r="H253" s="31" t="s">
        <v>66</v>
      </c>
      <c r="J253" t="str">
        <f>VLOOKUP(F253,'[1]Entradas de Efectivo'!$B:$B,1,0)</f>
        <v>15003</v>
      </c>
    </row>
    <row r="254" spans="1:10">
      <c r="A254" s="21" t="s">
        <v>781</v>
      </c>
      <c r="B254" s="21"/>
      <c r="C254" s="21" t="s">
        <v>792</v>
      </c>
      <c r="D254" s="21" t="s">
        <v>793</v>
      </c>
      <c r="E254" s="21" t="s">
        <v>784</v>
      </c>
      <c r="F254" s="29" t="s">
        <v>794</v>
      </c>
      <c r="G254" s="21"/>
      <c r="H254" s="31" t="s">
        <v>66</v>
      </c>
      <c r="J254" t="str">
        <f>VLOOKUP(F254,'[1]Entradas de Efectivo'!$B:$B,1,0)</f>
        <v>15004</v>
      </c>
    </row>
    <row r="255" spans="1:10">
      <c r="A255" s="21" t="s">
        <v>781</v>
      </c>
      <c r="B255" s="21"/>
      <c r="C255" s="21" t="s">
        <v>795</v>
      </c>
      <c r="D255" s="21" t="s">
        <v>796</v>
      </c>
      <c r="E255" s="21" t="s">
        <v>784</v>
      </c>
      <c r="F255" s="29" t="s">
        <v>797</v>
      </c>
      <c r="G255" s="21"/>
      <c r="H255" s="31" t="s">
        <v>66</v>
      </c>
      <c r="J255" t="str">
        <f>VLOOKUP(F255,'[1]Entradas de Efectivo'!$B:$B,1,0)</f>
        <v>15005</v>
      </c>
    </row>
    <row r="256" spans="1:10">
      <c r="A256" s="21" t="s">
        <v>781</v>
      </c>
      <c r="B256" s="21"/>
      <c r="C256" s="21" t="s">
        <v>798</v>
      </c>
      <c r="D256" s="21" t="s">
        <v>799</v>
      </c>
      <c r="E256" s="21" t="s">
        <v>784</v>
      </c>
      <c r="F256" s="29" t="s">
        <v>800</v>
      </c>
      <c r="G256" s="21"/>
      <c r="H256" s="31" t="s">
        <v>66</v>
      </c>
      <c r="J256" t="str">
        <f>VLOOKUP(F256,'[1]Entradas de Efectivo'!$B:$B,1,0)</f>
        <v>15006</v>
      </c>
    </row>
    <row r="257" spans="1:10">
      <c r="A257" s="21" t="s">
        <v>781</v>
      </c>
      <c r="B257" s="21"/>
      <c r="C257" s="21" t="s">
        <v>801</v>
      </c>
      <c r="D257" s="21" t="s">
        <v>802</v>
      </c>
      <c r="E257" s="21" t="s">
        <v>784</v>
      </c>
      <c r="F257" s="29" t="s">
        <v>803</v>
      </c>
      <c r="G257" s="21"/>
      <c r="H257" s="31" t="s">
        <v>66</v>
      </c>
      <c r="J257" t="str">
        <f>VLOOKUP(F257,'[1]Entradas de Efectivo'!$B:$B,1,0)</f>
        <v>15007</v>
      </c>
    </row>
    <row r="258" spans="1:10">
      <c r="A258" s="21" t="s">
        <v>781</v>
      </c>
      <c r="B258" s="21"/>
      <c r="C258" s="21" t="s">
        <v>804</v>
      </c>
      <c r="D258" s="21" t="s">
        <v>805</v>
      </c>
      <c r="E258" s="21" t="s">
        <v>784</v>
      </c>
      <c r="F258" s="29" t="s">
        <v>806</v>
      </c>
      <c r="G258" s="21"/>
      <c r="H258" s="31" t="s">
        <v>66</v>
      </c>
      <c r="J258" t="str">
        <f>VLOOKUP(F258,'[1]Entradas de Efectivo'!$B:$B,1,0)</f>
        <v>15008</v>
      </c>
    </row>
    <row r="259" spans="1:10">
      <c r="A259" s="21" t="s">
        <v>781</v>
      </c>
      <c r="B259" s="21"/>
      <c r="C259" s="21" t="s">
        <v>807</v>
      </c>
      <c r="D259" s="21" t="s">
        <v>808</v>
      </c>
      <c r="E259" s="21" t="s">
        <v>784</v>
      </c>
      <c r="F259" s="29" t="s">
        <v>809</v>
      </c>
      <c r="G259" s="21"/>
      <c r="H259" s="31" t="s">
        <v>66</v>
      </c>
      <c r="J259" t="str">
        <f>VLOOKUP(F259,'[1]Entradas de Efectivo'!$B:$B,1,0)</f>
        <v>15009</v>
      </c>
    </row>
    <row r="260" spans="1:10">
      <c r="A260" s="21" t="s">
        <v>781</v>
      </c>
      <c r="B260" s="21"/>
      <c r="C260" s="21" t="s">
        <v>810</v>
      </c>
      <c r="D260" s="21" t="s">
        <v>811</v>
      </c>
      <c r="E260" s="21" t="s">
        <v>784</v>
      </c>
      <c r="F260" s="29" t="s">
        <v>812</v>
      </c>
      <c r="G260" s="21"/>
      <c r="H260" s="31" t="s">
        <v>66</v>
      </c>
      <c r="J260" t="str">
        <f>VLOOKUP(F260,'[1]Entradas de Efectivo'!$B:$B,1,0)</f>
        <v>15011</v>
      </c>
    </row>
    <row r="261" spans="1:10">
      <c r="A261" s="21" t="s">
        <v>781</v>
      </c>
      <c r="B261" s="21"/>
      <c r="C261" s="21" t="s">
        <v>813</v>
      </c>
      <c r="D261" s="23" t="s">
        <v>814</v>
      </c>
      <c r="E261" s="21" t="s">
        <v>784</v>
      </c>
      <c r="F261" s="29" t="s">
        <v>815</v>
      </c>
      <c r="G261" s="21"/>
      <c r="H261" s="31" t="s">
        <v>66</v>
      </c>
      <c r="J261" t="str">
        <f>VLOOKUP(F261,'[1]Entradas de Efectivo'!$B:$B,1,0)</f>
        <v>15012</v>
      </c>
    </row>
    <row r="262" spans="1:10">
      <c r="A262" s="21" t="s">
        <v>781</v>
      </c>
      <c r="B262" s="21"/>
      <c r="C262" s="21" t="s">
        <v>816</v>
      </c>
      <c r="D262" s="23" t="s">
        <v>817</v>
      </c>
      <c r="E262" s="21" t="s">
        <v>784</v>
      </c>
      <c r="F262" s="29" t="s">
        <v>818</v>
      </c>
      <c r="G262" s="21"/>
      <c r="H262" s="31" t="s">
        <v>66</v>
      </c>
      <c r="J262" t="str">
        <f>VLOOKUP(F262,'[1]Entradas de Efectivo'!$B:$B,1,0)</f>
        <v>15013</v>
      </c>
    </row>
    <row r="263" spans="1:10">
      <c r="A263" s="21" t="s">
        <v>781</v>
      </c>
      <c r="B263" s="21"/>
      <c r="C263" s="21" t="s">
        <v>819</v>
      </c>
      <c r="D263" s="23" t="s">
        <v>820</v>
      </c>
      <c r="E263" s="21" t="s">
        <v>784</v>
      </c>
      <c r="F263" s="29" t="s">
        <v>821</v>
      </c>
      <c r="G263" s="21"/>
      <c r="H263" s="31" t="s">
        <v>66</v>
      </c>
      <c r="J263" t="str">
        <f>VLOOKUP(F263,'[1]Entradas de Efectivo'!$B:$B,1,0)</f>
        <v>15014</v>
      </c>
    </row>
    <row r="264" spans="1:10">
      <c r="A264" s="21" t="s">
        <v>781</v>
      </c>
      <c r="B264" s="21"/>
      <c r="C264" s="21" t="s">
        <v>822</v>
      </c>
      <c r="D264" s="23" t="s">
        <v>823</v>
      </c>
      <c r="E264" s="21" t="s">
        <v>784</v>
      </c>
      <c r="F264" s="29" t="s">
        <v>824</v>
      </c>
      <c r="G264" s="21"/>
      <c r="H264" s="31" t="s">
        <v>66</v>
      </c>
      <c r="J264" t="str">
        <f>VLOOKUP(F264,'[1]Entradas de Efectivo'!$B:$B,1,0)</f>
        <v>15015</v>
      </c>
    </row>
    <row r="265" spans="1:10">
      <c r="A265" s="21" t="s">
        <v>781</v>
      </c>
      <c r="B265" s="21"/>
      <c r="C265" s="21" t="s">
        <v>825</v>
      </c>
      <c r="D265" t="s">
        <v>826</v>
      </c>
      <c r="E265" s="21"/>
      <c r="F265" s="53" t="s">
        <v>827</v>
      </c>
      <c r="G265" t="s">
        <v>826</v>
      </c>
      <c r="H265" s="31"/>
      <c r="J265" t="str">
        <f>VLOOKUP(F265,'[1]Entradas de Efectivo'!$B:$B,1,0)</f>
        <v>15162</v>
      </c>
    </row>
    <row r="266" spans="1:10">
      <c r="A266" s="21" t="s">
        <v>781</v>
      </c>
      <c r="B266" s="21"/>
      <c r="C266" s="21" t="s">
        <v>828</v>
      </c>
      <c r="D266" t="s">
        <v>829</v>
      </c>
      <c r="E266" s="21"/>
      <c r="F266" s="53" t="s">
        <v>830</v>
      </c>
      <c r="G266" t="s">
        <v>829</v>
      </c>
      <c r="H266" s="31"/>
      <c r="J266" t="str">
        <f>VLOOKUP(F266,'[1]Entradas de Efectivo'!$B:$B,1,0)</f>
        <v>15163</v>
      </c>
    </row>
    <row r="267" spans="1:10">
      <c r="A267" s="21" t="s">
        <v>781</v>
      </c>
      <c r="B267" s="21"/>
      <c r="C267" s="21" t="s">
        <v>831</v>
      </c>
      <c r="D267" t="s">
        <v>826</v>
      </c>
      <c r="E267" s="21"/>
      <c r="F267" s="53" t="s">
        <v>832</v>
      </c>
      <c r="G267" t="s">
        <v>826</v>
      </c>
      <c r="H267" s="31"/>
      <c r="J267" t="str">
        <f>VLOOKUP(F267,'[1]Entradas de Efectivo'!$B:$B,1,0)</f>
        <v>15164</v>
      </c>
    </row>
    <row r="268" spans="1:10">
      <c r="A268" s="21" t="s">
        <v>781</v>
      </c>
      <c r="B268" s="21"/>
      <c r="C268" s="21" t="s">
        <v>833</v>
      </c>
      <c r="D268" t="s">
        <v>829</v>
      </c>
      <c r="E268" s="21"/>
      <c r="F268" s="53" t="s">
        <v>834</v>
      </c>
      <c r="G268" t="s">
        <v>829</v>
      </c>
      <c r="H268" s="31"/>
      <c r="J268" t="str">
        <f>VLOOKUP(F268,'[1]Entradas de Efectivo'!$B:$B,1,0)</f>
        <v>15165</v>
      </c>
    </row>
    <row r="269" spans="1:10" ht="39.6">
      <c r="A269" s="21" t="s">
        <v>781</v>
      </c>
      <c r="B269" s="21"/>
      <c r="C269" s="21" t="s">
        <v>835</v>
      </c>
      <c r="D269" s="23" t="s">
        <v>836</v>
      </c>
      <c r="E269" s="21" t="s">
        <v>784</v>
      </c>
      <c r="F269" s="29" t="s">
        <v>837</v>
      </c>
      <c r="G269" s="21"/>
      <c r="H269" s="31" t="s">
        <v>66</v>
      </c>
      <c r="J269" t="str">
        <f>VLOOKUP(F269,'[1]Entradas de Efectivo'!$B:$B,1,0)</f>
        <v>15016</v>
      </c>
    </row>
    <row r="270" spans="1:10" ht="39.6">
      <c r="A270" s="21" t="s">
        <v>781</v>
      </c>
      <c r="B270" s="21"/>
      <c r="C270" s="21" t="s">
        <v>838</v>
      </c>
      <c r="D270" s="23" t="s">
        <v>839</v>
      </c>
      <c r="E270" s="21" t="s">
        <v>784</v>
      </c>
      <c r="F270" s="29" t="s">
        <v>840</v>
      </c>
      <c r="G270" s="21"/>
      <c r="H270" s="31" t="s">
        <v>66</v>
      </c>
      <c r="J270" t="str">
        <f>VLOOKUP(F270,'[1]Entradas de Efectivo'!$B:$B,1,0)</f>
        <v>15017</v>
      </c>
    </row>
    <row r="271" spans="1:10" ht="39.6">
      <c r="A271" s="21" t="s">
        <v>781</v>
      </c>
      <c r="B271" s="21"/>
      <c r="C271" s="21" t="s">
        <v>841</v>
      </c>
      <c r="D271" s="23" t="s">
        <v>842</v>
      </c>
      <c r="E271" s="21" t="s">
        <v>784</v>
      </c>
      <c r="F271" s="29" t="s">
        <v>843</v>
      </c>
      <c r="G271" s="21"/>
      <c r="H271" s="31" t="s">
        <v>66</v>
      </c>
      <c r="J271" t="str">
        <f>VLOOKUP(F271,'[1]Entradas de Efectivo'!$B:$B,1,0)</f>
        <v>15018</v>
      </c>
    </row>
    <row r="272" spans="1:10" ht="39.6">
      <c r="A272" s="21" t="s">
        <v>781</v>
      </c>
      <c r="B272" s="21"/>
      <c r="C272" s="21" t="s">
        <v>844</v>
      </c>
      <c r="D272" s="23" t="s">
        <v>845</v>
      </c>
      <c r="E272" s="21" t="s">
        <v>784</v>
      </c>
      <c r="F272" s="29" t="s">
        <v>846</v>
      </c>
      <c r="G272" s="21"/>
      <c r="H272" s="31" t="s">
        <v>66</v>
      </c>
      <c r="J272" t="str">
        <f>VLOOKUP(F272,'[1]Entradas de Efectivo'!$B:$B,1,0)</f>
        <v>15019</v>
      </c>
    </row>
    <row r="273" spans="1:10">
      <c r="A273" s="21" t="s">
        <v>781</v>
      </c>
      <c r="B273" s="21"/>
      <c r="C273" s="21" t="s">
        <v>847</v>
      </c>
      <c r="D273" s="21" t="s">
        <v>848</v>
      </c>
      <c r="E273" s="21" t="s">
        <v>784</v>
      </c>
      <c r="F273" s="29" t="s">
        <v>849</v>
      </c>
      <c r="G273" s="21"/>
      <c r="H273" s="31" t="s">
        <v>66</v>
      </c>
      <c r="J273" t="str">
        <f>VLOOKUP(F273,'[1]Entradas de Efectivo'!$B:$B,1,0)</f>
        <v>15021</v>
      </c>
    </row>
    <row r="274" spans="1:10">
      <c r="A274" s="21" t="s">
        <v>781</v>
      </c>
      <c r="B274" s="21"/>
      <c r="C274" s="21" t="s">
        <v>850</v>
      </c>
      <c r="D274" s="21" t="s">
        <v>851</v>
      </c>
      <c r="E274" s="21" t="s">
        <v>784</v>
      </c>
      <c r="F274" s="29" t="s">
        <v>852</v>
      </c>
      <c r="G274" s="21"/>
      <c r="H274" s="31" t="s">
        <v>66</v>
      </c>
      <c r="J274" t="str">
        <f>VLOOKUP(F274,'[1]Entradas de Efectivo'!$B:$B,1,0)</f>
        <v>15022</v>
      </c>
    </row>
    <row r="275" spans="1:10">
      <c r="A275" s="21" t="s">
        <v>781</v>
      </c>
      <c r="B275" s="21"/>
      <c r="C275" s="21" t="s">
        <v>853</v>
      </c>
      <c r="D275" s="21" t="s">
        <v>854</v>
      </c>
      <c r="E275" s="21" t="s">
        <v>784</v>
      </c>
      <c r="F275" s="29" t="s">
        <v>855</v>
      </c>
      <c r="G275" s="21"/>
      <c r="H275" s="31" t="s">
        <v>66</v>
      </c>
      <c r="J275" t="str">
        <f>VLOOKUP(F275,'[1]Entradas de Efectivo'!$B:$B,1,0)</f>
        <v>15023</v>
      </c>
    </row>
    <row r="276" spans="1:10">
      <c r="A276" s="21" t="s">
        <v>781</v>
      </c>
      <c r="B276" s="21"/>
      <c r="C276" s="21" t="s">
        <v>856</v>
      </c>
      <c r="D276" s="21" t="s">
        <v>857</v>
      </c>
      <c r="E276" s="21" t="s">
        <v>784</v>
      </c>
      <c r="F276" s="29" t="s">
        <v>858</v>
      </c>
      <c r="G276" s="21"/>
      <c r="H276" s="31" t="s">
        <v>66</v>
      </c>
      <c r="J276" t="str">
        <f>VLOOKUP(F276,'[1]Entradas de Efectivo'!$B:$B,1,0)</f>
        <v>15024</v>
      </c>
    </row>
    <row r="277" spans="1:10">
      <c r="A277" s="21" t="s">
        <v>781</v>
      </c>
      <c r="B277" s="21"/>
      <c r="C277" s="21" t="s">
        <v>859</v>
      </c>
      <c r="D277" s="23" t="s">
        <v>860</v>
      </c>
      <c r="E277" s="21" t="s">
        <v>784</v>
      </c>
      <c r="F277" s="29" t="s">
        <v>861</v>
      </c>
      <c r="G277" s="21"/>
      <c r="H277" s="31" t="s">
        <v>66</v>
      </c>
      <c r="J277" t="str">
        <f>VLOOKUP(F277,'[1]Entradas de Efectivo'!$B:$B,1,0)</f>
        <v>15025</v>
      </c>
    </row>
    <row r="278" spans="1:10">
      <c r="A278" s="21" t="s">
        <v>781</v>
      </c>
      <c r="B278" s="21"/>
      <c r="C278" s="21" t="s">
        <v>862</v>
      </c>
      <c r="D278" t="s">
        <v>303</v>
      </c>
      <c r="E278" s="21" t="s">
        <v>784</v>
      </c>
      <c r="F278" s="53" t="s">
        <v>863</v>
      </c>
      <c r="G278" t="s">
        <v>303</v>
      </c>
      <c r="H278" s="31" t="s">
        <v>66</v>
      </c>
      <c r="J278" t="str">
        <f>VLOOKUP(F278,'[1]Entradas de Efectivo'!$B:$B,1,0)</f>
        <v>15028</v>
      </c>
    </row>
    <row r="279" spans="1:10">
      <c r="A279" s="21" t="s">
        <v>781</v>
      </c>
      <c r="B279" s="21"/>
      <c r="C279" s="21" t="s">
        <v>864</v>
      </c>
      <c r="D279" t="s">
        <v>308</v>
      </c>
      <c r="E279" s="21" t="s">
        <v>784</v>
      </c>
      <c r="F279" s="53" t="s">
        <v>865</v>
      </c>
      <c r="G279" t="s">
        <v>308</v>
      </c>
      <c r="H279" s="31" t="s">
        <v>66</v>
      </c>
      <c r="J279" t="str">
        <f>VLOOKUP(F279,'[1]Entradas de Efectivo'!$B:$B,1,0)</f>
        <v>15029</v>
      </c>
    </row>
    <row r="280" spans="1:10">
      <c r="A280" s="21" t="s">
        <v>781</v>
      </c>
      <c r="B280" s="21"/>
      <c r="C280" s="21" t="s">
        <v>866</v>
      </c>
      <c r="D280" t="s">
        <v>303</v>
      </c>
      <c r="E280" s="21" t="s">
        <v>784</v>
      </c>
      <c r="F280" s="53" t="s">
        <v>867</v>
      </c>
      <c r="G280" t="s">
        <v>303</v>
      </c>
      <c r="H280" s="31" t="s">
        <v>66</v>
      </c>
      <c r="J280" t="str">
        <f>VLOOKUP(F280,'[1]Entradas de Efectivo'!$B:$B,1,0)</f>
        <v>15030</v>
      </c>
    </row>
    <row r="281" spans="1:10">
      <c r="A281" s="21" t="s">
        <v>781</v>
      </c>
      <c r="B281" s="21"/>
      <c r="C281" s="21" t="s">
        <v>868</v>
      </c>
      <c r="D281" t="s">
        <v>308</v>
      </c>
      <c r="E281" s="21" t="s">
        <v>784</v>
      </c>
      <c r="F281" s="53" t="s">
        <v>869</v>
      </c>
      <c r="G281" t="s">
        <v>308</v>
      </c>
      <c r="H281" s="31" t="s">
        <v>66</v>
      </c>
      <c r="J281" t="str">
        <f>VLOOKUP(F281,'[1]Entradas de Efectivo'!$B:$B,1,0)</f>
        <v>15031</v>
      </c>
    </row>
    <row r="282" spans="1:10">
      <c r="A282" s="21" t="s">
        <v>781</v>
      </c>
      <c r="B282" s="21"/>
      <c r="C282" s="21" t="s">
        <v>870</v>
      </c>
      <c r="D282" t="s">
        <v>871</v>
      </c>
      <c r="E282" s="21" t="s">
        <v>784</v>
      </c>
      <c r="F282" s="53" t="s">
        <v>872</v>
      </c>
      <c r="G282" t="s">
        <v>871</v>
      </c>
      <c r="H282" s="31" t="s">
        <v>66</v>
      </c>
      <c r="J282" t="str">
        <f>VLOOKUP(F282,'[1]Entradas de Efectivo'!$B:$B,1,0)</f>
        <v>15032</v>
      </c>
    </row>
    <row r="283" spans="1:10">
      <c r="A283" s="21" t="s">
        <v>781</v>
      </c>
      <c r="B283" s="21"/>
      <c r="C283" s="21" t="s">
        <v>873</v>
      </c>
      <c r="D283" s="21" t="s">
        <v>874</v>
      </c>
      <c r="E283" s="21" t="s">
        <v>784</v>
      </c>
      <c r="F283" s="29" t="s">
        <v>875</v>
      </c>
      <c r="G283" s="21" t="s">
        <v>874</v>
      </c>
      <c r="H283" s="31" t="s">
        <v>66</v>
      </c>
      <c r="J283" t="str">
        <f>VLOOKUP(F283,'[1]Entradas de Efectivo'!$B:$B,1,0)</f>
        <v>15261</v>
      </c>
    </row>
    <row r="284" spans="1:10">
      <c r="A284" s="21" t="s">
        <v>781</v>
      </c>
      <c r="B284" s="21"/>
      <c r="C284" s="21" t="s">
        <v>876</v>
      </c>
      <c r="D284" s="21" t="s">
        <v>877</v>
      </c>
      <c r="E284" s="21" t="s">
        <v>784</v>
      </c>
      <c r="F284" s="29" t="s">
        <v>878</v>
      </c>
      <c r="G284" s="21" t="s">
        <v>877</v>
      </c>
      <c r="H284" s="31" t="s">
        <v>66</v>
      </c>
      <c r="J284" t="str">
        <f>VLOOKUP(F284,'[1]Entradas de Efectivo'!$B:$B,1,0)</f>
        <v>15262</v>
      </c>
    </row>
    <row r="285" spans="1:10">
      <c r="A285" s="21" t="s">
        <v>781</v>
      </c>
      <c r="B285" s="21"/>
      <c r="C285" s="21" t="s">
        <v>879</v>
      </c>
      <c r="D285" s="21" t="s">
        <v>880</v>
      </c>
      <c r="E285" s="21" t="s">
        <v>784</v>
      </c>
      <c r="F285" s="29" t="s">
        <v>881</v>
      </c>
      <c r="G285" s="21" t="s">
        <v>880</v>
      </c>
      <c r="H285" s="31" t="s">
        <v>66</v>
      </c>
      <c r="J285" t="str">
        <f>VLOOKUP(F285,'[1]Entradas de Efectivo'!$B:$B,1,0)</f>
        <v>15263</v>
      </c>
    </row>
    <row r="286" spans="1:10">
      <c r="A286" s="21" t="s">
        <v>781</v>
      </c>
      <c r="B286" s="21"/>
      <c r="C286" s="21" t="s">
        <v>882</v>
      </c>
      <c r="D286" s="21" t="s">
        <v>883</v>
      </c>
      <c r="E286" s="21" t="s">
        <v>784</v>
      </c>
      <c r="F286" s="29" t="s">
        <v>884</v>
      </c>
      <c r="G286" s="21" t="s">
        <v>883</v>
      </c>
      <c r="H286" s="31" t="s">
        <v>66</v>
      </c>
      <c r="J286" t="str">
        <f>VLOOKUP(F286,'[1]Entradas de Efectivo'!$B:$B,1,0)</f>
        <v>15264</v>
      </c>
    </row>
    <row r="287" spans="1:10">
      <c r="A287" s="21" t="s">
        <v>781</v>
      </c>
      <c r="B287" s="21"/>
      <c r="C287" s="21" t="s">
        <v>885</v>
      </c>
      <c r="D287" s="21" t="s">
        <v>886</v>
      </c>
      <c r="E287" s="21" t="s">
        <v>784</v>
      </c>
      <c r="F287" s="29" t="s">
        <v>887</v>
      </c>
      <c r="G287" s="21" t="s">
        <v>886</v>
      </c>
      <c r="H287" s="31" t="s">
        <v>66</v>
      </c>
      <c r="J287" t="str">
        <f>VLOOKUP(F287,'[1]Entradas de Efectivo'!$B:$B,1,0)</f>
        <v>15265</v>
      </c>
    </row>
    <row r="288" spans="1:10">
      <c r="A288" s="21" t="s">
        <v>781</v>
      </c>
      <c r="B288" s="21"/>
      <c r="C288" s="21" t="s">
        <v>888</v>
      </c>
      <c r="D288" s="21" t="s">
        <v>889</v>
      </c>
      <c r="E288" s="21" t="s">
        <v>784</v>
      </c>
      <c r="F288" s="29" t="s">
        <v>890</v>
      </c>
      <c r="G288" s="21"/>
      <c r="H288" s="31" t="s">
        <v>66</v>
      </c>
      <c r="J288" t="str">
        <f>VLOOKUP(F288,'[1]Entradas de Efectivo'!$B:$B,1,0)</f>
        <v>15267</v>
      </c>
    </row>
    <row r="289" spans="1:10">
      <c r="A289" s="21" t="s">
        <v>781</v>
      </c>
      <c r="B289" s="21"/>
      <c r="C289" s="21" t="s">
        <v>891</v>
      </c>
      <c r="D289" s="21" t="s">
        <v>892</v>
      </c>
      <c r="E289" s="21" t="s">
        <v>784</v>
      </c>
      <c r="F289" s="29" t="s">
        <v>893</v>
      </c>
      <c r="G289" s="21"/>
      <c r="H289" s="31" t="s">
        <v>66</v>
      </c>
      <c r="J289" t="str">
        <f>VLOOKUP(F289,'[1]Entradas de Efectivo'!$B:$B,1,0)</f>
        <v>15269</v>
      </c>
    </row>
    <row r="290" spans="1:10">
      <c r="A290" s="21" t="s">
        <v>781</v>
      </c>
      <c r="B290" s="21"/>
      <c r="C290" s="21" t="s">
        <v>894</v>
      </c>
      <c r="D290" s="21" t="s">
        <v>892</v>
      </c>
      <c r="E290" s="21" t="s">
        <v>784</v>
      </c>
      <c r="F290" s="29" t="s">
        <v>895</v>
      </c>
      <c r="G290" s="21"/>
      <c r="H290" s="31" t="s">
        <v>66</v>
      </c>
      <c r="J290" t="str">
        <f>VLOOKUP(F290,'[1]Entradas de Efectivo'!$B:$B,1,0)</f>
        <v>15271</v>
      </c>
    </row>
    <row r="291" spans="1:10" ht="26.45">
      <c r="A291" s="21" t="s">
        <v>781</v>
      </c>
      <c r="B291" s="21"/>
      <c r="C291" s="21" t="s">
        <v>896</v>
      </c>
      <c r="D291" s="23" t="s">
        <v>897</v>
      </c>
      <c r="E291" s="21" t="s">
        <v>784</v>
      </c>
      <c r="F291" s="29" t="s">
        <v>898</v>
      </c>
      <c r="G291" s="21"/>
      <c r="H291" s="31" t="s">
        <v>66</v>
      </c>
      <c r="J291" t="str">
        <f>VLOOKUP(F291,'[1]Entradas de Efectivo'!$B:$B,1,0)</f>
        <v>15656</v>
      </c>
    </row>
    <row r="292" spans="1:10" ht="26.45">
      <c r="A292" s="21" t="s">
        <v>781</v>
      </c>
      <c r="B292" s="21"/>
      <c r="C292" s="21" t="s">
        <v>899</v>
      </c>
      <c r="D292" s="23" t="s">
        <v>900</v>
      </c>
      <c r="E292" s="21" t="s">
        <v>784</v>
      </c>
      <c r="F292" s="29" t="s">
        <v>901</v>
      </c>
      <c r="G292" s="21"/>
      <c r="H292" s="31" t="s">
        <v>66</v>
      </c>
      <c r="J292" t="str">
        <f>VLOOKUP(F292,'[1]Entradas de Efectivo'!$B:$B,1,0)</f>
        <v>15657</v>
      </c>
    </row>
    <row r="293" spans="1:10" ht="39.6">
      <c r="A293" s="21" t="s">
        <v>781</v>
      </c>
      <c r="B293" s="21"/>
      <c r="C293" s="21" t="s">
        <v>902</v>
      </c>
      <c r="D293" s="23" t="s">
        <v>903</v>
      </c>
      <c r="E293" s="21" t="s">
        <v>784</v>
      </c>
      <c r="F293" s="29" t="s">
        <v>904</v>
      </c>
      <c r="G293" s="21"/>
      <c r="H293" s="31" t="s">
        <v>66</v>
      </c>
      <c r="J293" t="str">
        <f>VLOOKUP(F293,'[1]Entradas de Efectivo'!$B:$B,1,0)</f>
        <v>15658</v>
      </c>
    </row>
    <row r="294" spans="1:10">
      <c r="A294" s="21" t="s">
        <v>781</v>
      </c>
      <c r="B294" s="21"/>
      <c r="C294" s="21" t="s">
        <v>905</v>
      </c>
      <c r="D294" s="21" t="s">
        <v>906</v>
      </c>
      <c r="E294" s="21" t="s">
        <v>784</v>
      </c>
      <c r="F294" s="29" t="s">
        <v>907</v>
      </c>
      <c r="G294" s="21"/>
      <c r="H294" s="31" t="s">
        <v>66</v>
      </c>
      <c r="J294" t="str">
        <f>VLOOKUP(F294,'[1]Entradas de Efectivo'!$B:$B,1,0)</f>
        <v>15659</v>
      </c>
    </row>
    <row r="295" spans="1:10">
      <c r="A295" s="21" t="s">
        <v>781</v>
      </c>
      <c r="B295" s="21"/>
      <c r="C295" s="21" t="s">
        <v>908</v>
      </c>
      <c r="D295" t="s">
        <v>546</v>
      </c>
      <c r="E295" s="21" t="s">
        <v>784</v>
      </c>
      <c r="F295" s="53" t="s">
        <v>909</v>
      </c>
      <c r="G295" t="s">
        <v>546</v>
      </c>
      <c r="H295" s="31"/>
      <c r="J295" t="str">
        <f>VLOOKUP(F295,'[1]Entradas de Efectivo'!$B:$B,1,0)</f>
        <v>15687</v>
      </c>
    </row>
    <row r="296" spans="1:10">
      <c r="A296" s="21" t="s">
        <v>781</v>
      </c>
      <c r="B296" s="21"/>
      <c r="C296" s="21" t="s">
        <v>910</v>
      </c>
      <c r="D296" t="s">
        <v>549</v>
      </c>
      <c r="E296" s="21" t="s">
        <v>784</v>
      </c>
      <c r="F296" s="53" t="s">
        <v>911</v>
      </c>
      <c r="G296" t="s">
        <v>549</v>
      </c>
      <c r="H296" s="31"/>
      <c r="J296" t="str">
        <f>VLOOKUP(F296,'[1]Entradas de Efectivo'!$B:$B,1,0)</f>
        <v>15688</v>
      </c>
    </row>
    <row r="297" spans="1:10">
      <c r="A297" s="21" t="s">
        <v>781</v>
      </c>
      <c r="B297" s="21"/>
      <c r="C297" s="21" t="s">
        <v>912</v>
      </c>
      <c r="D297" t="s">
        <v>552</v>
      </c>
      <c r="E297" s="21" t="s">
        <v>784</v>
      </c>
      <c r="F297" s="53" t="s">
        <v>913</v>
      </c>
      <c r="G297" t="s">
        <v>552</v>
      </c>
      <c r="H297" s="31"/>
      <c r="J297" t="str">
        <f>VLOOKUP(F297,'[1]Entradas de Efectivo'!$B:$B,1,0)</f>
        <v>15689</v>
      </c>
    </row>
    <row r="298" spans="1:10">
      <c r="A298" s="21" t="s">
        <v>781</v>
      </c>
      <c r="B298" s="21"/>
      <c r="C298" s="21" t="s">
        <v>914</v>
      </c>
      <c r="D298" t="s">
        <v>555</v>
      </c>
      <c r="E298" s="21" t="s">
        <v>784</v>
      </c>
      <c r="F298" s="53" t="s">
        <v>915</v>
      </c>
      <c r="G298" t="s">
        <v>555</v>
      </c>
      <c r="H298" s="31"/>
      <c r="J298" t="str">
        <f>VLOOKUP(F298,'[1]Entradas de Efectivo'!$B:$B,1,0)</f>
        <v>15691</v>
      </c>
    </row>
    <row r="299" spans="1:10">
      <c r="A299" s="21" t="s">
        <v>781</v>
      </c>
      <c r="B299" s="21"/>
      <c r="C299" s="21" t="s">
        <v>916</v>
      </c>
      <c r="D299" t="s">
        <v>558</v>
      </c>
      <c r="E299" s="21" t="s">
        <v>784</v>
      </c>
      <c r="F299" s="53" t="s">
        <v>917</v>
      </c>
      <c r="G299" t="s">
        <v>558</v>
      </c>
      <c r="H299" s="31"/>
      <c r="J299" t="str">
        <f>VLOOKUP(F299,'[1]Entradas de Efectivo'!$B:$B,1,0)</f>
        <v>15692</v>
      </c>
    </row>
    <row r="300" spans="1:10">
      <c r="A300" s="21" t="s">
        <v>781</v>
      </c>
      <c r="B300" s="21"/>
      <c r="C300" s="21" t="s">
        <v>918</v>
      </c>
      <c r="D300" t="s">
        <v>561</v>
      </c>
      <c r="E300" s="21" t="s">
        <v>784</v>
      </c>
      <c r="F300" s="53" t="s">
        <v>919</v>
      </c>
      <c r="G300" t="s">
        <v>561</v>
      </c>
      <c r="H300" s="31"/>
      <c r="J300" t="str">
        <f>VLOOKUP(F300,'[1]Entradas de Efectivo'!$B:$B,1,0)</f>
        <v>15693</v>
      </c>
    </row>
    <row r="301" spans="1:10">
      <c r="A301" s="21" t="s">
        <v>781</v>
      </c>
      <c r="B301" s="21"/>
      <c r="C301" s="21" t="s">
        <v>920</v>
      </c>
      <c r="D301" t="s">
        <v>921</v>
      </c>
      <c r="E301" s="21" t="s">
        <v>784</v>
      </c>
      <c r="F301" s="53" t="s">
        <v>922</v>
      </c>
      <c r="G301" t="s">
        <v>921</v>
      </c>
      <c r="H301" s="31"/>
      <c r="J301" t="str">
        <f>VLOOKUP(F301,'[1]Entradas de Efectivo'!$B:$B,1,0)</f>
        <v>15694</v>
      </c>
    </row>
    <row r="302" spans="1:10">
      <c r="A302" s="21" t="s">
        <v>781</v>
      </c>
      <c r="B302" s="21"/>
      <c r="C302" s="21" t="s">
        <v>923</v>
      </c>
      <c r="D302" t="s">
        <v>546</v>
      </c>
      <c r="E302" s="21" t="s">
        <v>784</v>
      </c>
      <c r="F302" s="53" t="s">
        <v>924</v>
      </c>
      <c r="G302" t="s">
        <v>546</v>
      </c>
      <c r="H302" s="31"/>
      <c r="J302" t="str">
        <f>VLOOKUP(F302,'[1]Entradas de Efectivo'!$B:$B,1,0)</f>
        <v>15695</v>
      </c>
    </row>
    <row r="303" spans="1:10">
      <c r="A303" s="21" t="s">
        <v>781</v>
      </c>
      <c r="B303" s="21"/>
      <c r="C303" s="21" t="s">
        <v>925</v>
      </c>
      <c r="D303" t="s">
        <v>549</v>
      </c>
      <c r="E303" s="21" t="s">
        <v>784</v>
      </c>
      <c r="F303" s="53" t="s">
        <v>926</v>
      </c>
      <c r="G303" t="s">
        <v>549</v>
      </c>
      <c r="H303" s="31"/>
      <c r="J303" t="str">
        <f>VLOOKUP(F303,'[1]Entradas de Efectivo'!$B:$B,1,0)</f>
        <v>15696</v>
      </c>
    </row>
    <row r="304" spans="1:10">
      <c r="A304" s="21" t="s">
        <v>781</v>
      </c>
      <c r="B304" s="21"/>
      <c r="C304" s="21" t="s">
        <v>927</v>
      </c>
      <c r="D304" t="s">
        <v>552</v>
      </c>
      <c r="E304" s="21" t="s">
        <v>784</v>
      </c>
      <c r="F304" s="53" t="s">
        <v>928</v>
      </c>
      <c r="G304" t="s">
        <v>552</v>
      </c>
      <c r="H304" s="31"/>
      <c r="J304" t="str">
        <f>VLOOKUP(F304,'[1]Entradas de Efectivo'!$B:$B,1,0)</f>
        <v>15697</v>
      </c>
    </row>
    <row r="305" spans="1:10">
      <c r="A305" s="21" t="s">
        <v>781</v>
      </c>
      <c r="B305" s="21"/>
      <c r="C305" s="21" t="s">
        <v>929</v>
      </c>
      <c r="D305" t="s">
        <v>555</v>
      </c>
      <c r="E305" s="21" t="s">
        <v>784</v>
      </c>
      <c r="F305" s="53" t="s">
        <v>930</v>
      </c>
      <c r="G305" t="s">
        <v>555</v>
      </c>
      <c r="H305" s="31"/>
      <c r="J305" t="str">
        <f>VLOOKUP(F305,'[1]Entradas de Efectivo'!$B:$B,1,0)</f>
        <v>15698</v>
      </c>
    </row>
    <row r="306" spans="1:10">
      <c r="A306" s="21" t="s">
        <v>781</v>
      </c>
      <c r="B306" s="21"/>
      <c r="C306" s="21" t="s">
        <v>931</v>
      </c>
      <c r="D306" t="s">
        <v>558</v>
      </c>
      <c r="E306" s="21" t="s">
        <v>784</v>
      </c>
      <c r="F306" s="53" t="s">
        <v>932</v>
      </c>
      <c r="G306" t="s">
        <v>558</v>
      </c>
      <c r="H306" s="31"/>
      <c r="J306" t="str">
        <f>VLOOKUP(F306,'[1]Entradas de Efectivo'!$B:$B,1,0)</f>
        <v>15699</v>
      </c>
    </row>
    <row r="307" spans="1:10">
      <c r="A307" s="21" t="s">
        <v>781</v>
      </c>
      <c r="B307" s="21"/>
      <c r="C307" s="21" t="s">
        <v>933</v>
      </c>
      <c r="D307" t="s">
        <v>561</v>
      </c>
      <c r="E307" s="21" t="s">
        <v>784</v>
      </c>
      <c r="F307" s="53" t="s">
        <v>934</v>
      </c>
      <c r="G307" t="s">
        <v>561</v>
      </c>
      <c r="H307" s="31"/>
      <c r="J307" t="str">
        <f>VLOOKUP(F307,'[1]Entradas de Efectivo'!$B:$B,1,0)</f>
        <v>15700</v>
      </c>
    </row>
    <row r="308" spans="1:10">
      <c r="A308" s="21" t="s">
        <v>781</v>
      </c>
      <c r="B308" s="21"/>
      <c r="C308" t="s">
        <v>935</v>
      </c>
      <c r="D308" t="s">
        <v>936</v>
      </c>
      <c r="E308" s="21" t="s">
        <v>784</v>
      </c>
      <c r="F308" s="53" t="s">
        <v>937</v>
      </c>
      <c r="G308" t="s">
        <v>936</v>
      </c>
      <c r="J308" t="str">
        <f>VLOOKUP(F308,'[1]Entradas de Efectivo'!$B:$B,1,0)</f>
        <v>15701</v>
      </c>
    </row>
    <row r="309" spans="1:10">
      <c r="A309" s="21" t="s">
        <v>781</v>
      </c>
      <c r="B309" s="21" t="s">
        <v>938</v>
      </c>
      <c r="C309" s="21" t="s">
        <v>939</v>
      </c>
      <c r="D309" s="21" t="s">
        <v>940</v>
      </c>
      <c r="E309" s="21" t="s">
        <v>784</v>
      </c>
      <c r="F309" s="29" t="s">
        <v>941</v>
      </c>
      <c r="G309" s="21"/>
      <c r="H309" t="s">
        <v>66</v>
      </c>
      <c r="J309" t="str">
        <f>VLOOKUP(F309,'[1]Entradas de Efectivo'!$B:$B,1,0)</f>
        <v>15684</v>
      </c>
    </row>
    <row r="310" spans="1:10">
      <c r="A310" s="21" t="s">
        <v>781</v>
      </c>
      <c r="B310" s="21" t="s">
        <v>938</v>
      </c>
      <c r="C310" s="21" t="s">
        <v>942</v>
      </c>
      <c r="D310" s="21" t="s">
        <v>943</v>
      </c>
      <c r="E310" s="21" t="s">
        <v>784</v>
      </c>
      <c r="F310" s="29" t="s">
        <v>944</v>
      </c>
      <c r="G310" s="21"/>
      <c r="H310" t="s">
        <v>66</v>
      </c>
      <c r="J310" t="str">
        <f>VLOOKUP(F310,'[1]Entradas de Efectivo'!$B:$B,1,0)</f>
        <v>15685</v>
      </c>
    </row>
    <row r="311" spans="1:10">
      <c r="A311" s="21" t="s">
        <v>781</v>
      </c>
      <c r="B311" s="21" t="s">
        <v>938</v>
      </c>
      <c r="C311" s="21" t="s">
        <v>945</v>
      </c>
      <c r="D311" s="21" t="s">
        <v>946</v>
      </c>
      <c r="E311" s="21" t="s">
        <v>784</v>
      </c>
      <c r="F311" s="29" t="s">
        <v>947</v>
      </c>
      <c r="G311" s="21"/>
      <c r="H311" t="s">
        <v>66</v>
      </c>
      <c r="J311" t="str">
        <f>VLOOKUP(F311,'[1]Entradas de Efectivo'!$B:$B,1,0)</f>
        <v>15686</v>
      </c>
    </row>
    <row r="312" spans="1:10">
      <c r="A312" s="21" t="s">
        <v>781</v>
      </c>
      <c r="C312" t="s">
        <v>948</v>
      </c>
      <c r="D312" t="s">
        <v>949</v>
      </c>
      <c r="E312" s="21" t="s">
        <v>784</v>
      </c>
      <c r="F312" s="53" t="s">
        <v>950</v>
      </c>
      <c r="G312" t="s">
        <v>949</v>
      </c>
      <c r="J312" t="str">
        <f>VLOOKUP(F312,'[1]Entradas de Efectivo'!$B:$B,1,0)</f>
        <v>15682</v>
      </c>
    </row>
    <row r="313" spans="1:10">
      <c r="A313" s="21" t="s">
        <v>781</v>
      </c>
      <c r="C313" t="s">
        <v>951</v>
      </c>
      <c r="D313" t="s">
        <v>952</v>
      </c>
      <c r="E313" s="21" t="s">
        <v>784</v>
      </c>
      <c r="F313" s="53" t="s">
        <v>953</v>
      </c>
      <c r="G313" t="s">
        <v>952</v>
      </c>
      <c r="J313" t="str">
        <f>VLOOKUP(F313,'[1]Entradas de Efectivo'!$B:$B,1,0)</f>
        <v>15683</v>
      </c>
    </row>
    <row r="314" spans="1:10">
      <c r="A314" s="21" t="s">
        <v>781</v>
      </c>
      <c r="C314" t="s">
        <v>954</v>
      </c>
      <c r="D314" t="s">
        <v>955</v>
      </c>
      <c r="E314" s="21" t="s">
        <v>784</v>
      </c>
      <c r="F314" s="53" t="s">
        <v>956</v>
      </c>
      <c r="G314" t="s">
        <v>955</v>
      </c>
      <c r="J314" t="str">
        <f>VLOOKUP(F314,'[1]Entradas de Efectivo'!$B:$B,1,0)</f>
        <v>15741</v>
      </c>
    </row>
    <row r="315" spans="1:10">
      <c r="A315" s="21" t="s">
        <v>781</v>
      </c>
      <c r="C315" t="s">
        <v>957</v>
      </c>
      <c r="D315" t="s">
        <v>958</v>
      </c>
      <c r="E315" s="21" t="s">
        <v>784</v>
      </c>
      <c r="F315" s="53" t="s">
        <v>959</v>
      </c>
      <c r="G315" t="s">
        <v>958</v>
      </c>
      <c r="J315" t="str">
        <f>VLOOKUP(F315,'[1]Entradas de Efectivo'!$B:$B,1,0)</f>
        <v>15742</v>
      </c>
    </row>
    <row r="316" spans="1:10">
      <c r="A316" s="21" t="s">
        <v>781</v>
      </c>
      <c r="C316" t="s">
        <v>960</v>
      </c>
      <c r="D316" t="s">
        <v>961</v>
      </c>
      <c r="E316" s="21" t="s">
        <v>784</v>
      </c>
      <c r="F316" s="53" t="s">
        <v>962</v>
      </c>
      <c r="G316" t="s">
        <v>961</v>
      </c>
      <c r="J316" t="str">
        <f>VLOOKUP(F316,'[1]Entradas de Efectivo'!$B:$B,1,0)</f>
        <v>15743</v>
      </c>
    </row>
    <row r="317" spans="1:10">
      <c r="A317" s="21" t="s">
        <v>781</v>
      </c>
      <c r="C317" t="s">
        <v>963</v>
      </c>
      <c r="D317" t="s">
        <v>964</v>
      </c>
      <c r="E317" s="21" t="s">
        <v>784</v>
      </c>
      <c r="F317" s="53" t="s">
        <v>965</v>
      </c>
      <c r="G317" t="s">
        <v>964</v>
      </c>
      <c r="J317" t="str">
        <f>VLOOKUP(F317,'[1]Entradas de Efectivo'!$B:$B,1,0)</f>
        <v>15744</v>
      </c>
    </row>
    <row r="318" spans="1:10">
      <c r="A318" s="21" t="s">
        <v>781</v>
      </c>
      <c r="C318" t="s">
        <v>966</v>
      </c>
      <c r="D318" t="s">
        <v>967</v>
      </c>
      <c r="E318" s="21" t="s">
        <v>784</v>
      </c>
      <c r="F318" s="53" t="s">
        <v>968</v>
      </c>
      <c r="G318" t="s">
        <v>967</v>
      </c>
      <c r="J318" t="str">
        <f>VLOOKUP(F318,'[1]Entradas de Efectivo'!$B:$B,1,0)</f>
        <v>15745</v>
      </c>
    </row>
    <row r="319" spans="1:10">
      <c r="A319" s="21" t="s">
        <v>781</v>
      </c>
      <c r="C319" t="s">
        <v>969</v>
      </c>
      <c r="D319" t="s">
        <v>970</v>
      </c>
      <c r="E319" s="21" t="s">
        <v>784</v>
      </c>
      <c r="F319" s="53" t="s">
        <v>971</v>
      </c>
      <c r="G319" t="s">
        <v>970</v>
      </c>
      <c r="J319" t="str">
        <f>VLOOKUP(F319,'[1]Entradas de Efectivo'!$B:$B,1,0)</f>
        <v>15746</v>
      </c>
    </row>
    <row r="320" spans="1:10">
      <c r="A320" s="21" t="s">
        <v>781</v>
      </c>
      <c r="C320" t="s">
        <v>972</v>
      </c>
      <c r="D320" t="s">
        <v>973</v>
      </c>
      <c r="E320" s="21" t="s">
        <v>784</v>
      </c>
      <c r="F320" s="53" t="s">
        <v>974</v>
      </c>
      <c r="G320" t="s">
        <v>973</v>
      </c>
      <c r="J320" t="str">
        <f>VLOOKUP(F320,'[1]Entradas de Efectivo'!$B:$B,1,0)</f>
        <v>15747</v>
      </c>
    </row>
    <row r="321" spans="1:10">
      <c r="A321" s="21" t="s">
        <v>781</v>
      </c>
      <c r="C321" t="s">
        <v>975</v>
      </c>
      <c r="D321" t="s">
        <v>976</v>
      </c>
      <c r="E321" s="21" t="s">
        <v>784</v>
      </c>
      <c r="F321" s="53" t="s">
        <v>977</v>
      </c>
      <c r="G321" t="s">
        <v>976</v>
      </c>
      <c r="J321" t="str">
        <f>VLOOKUP(F321,'[1]Entradas de Efectivo'!$B:$B,1,0)</f>
        <v>15748</v>
      </c>
    </row>
    <row r="322" spans="1:10">
      <c r="A322" s="21" t="s">
        <v>781</v>
      </c>
      <c r="C322" t="s">
        <v>978</v>
      </c>
      <c r="D322" t="s">
        <v>979</v>
      </c>
      <c r="E322" s="21" t="s">
        <v>784</v>
      </c>
      <c r="F322" s="53" t="s">
        <v>980</v>
      </c>
      <c r="G322" t="s">
        <v>979</v>
      </c>
      <c r="J322" t="str">
        <f>VLOOKUP(F322,'[1]Entradas de Efectivo'!$B:$B,1,0)</f>
        <v>15740</v>
      </c>
    </row>
    <row r="323" spans="1:10">
      <c r="A323" s="21" t="s">
        <v>781</v>
      </c>
      <c r="C323" t="s">
        <v>981</v>
      </c>
      <c r="D323" t="s">
        <v>982</v>
      </c>
      <c r="E323" s="21" t="s">
        <v>784</v>
      </c>
      <c r="F323" s="53" t="s">
        <v>983</v>
      </c>
      <c r="G323" t="s">
        <v>982</v>
      </c>
      <c r="J323" t="str">
        <f>VLOOKUP(F323,'[1]Entradas de Efectivo'!$B:$B,1,0)</f>
        <v>15749</v>
      </c>
    </row>
    <row r="324" spans="1:10">
      <c r="A324" s="21" t="s">
        <v>781</v>
      </c>
      <c r="C324" t="s">
        <v>984</v>
      </c>
      <c r="D324" t="s">
        <v>985</v>
      </c>
      <c r="E324" s="21" t="s">
        <v>784</v>
      </c>
      <c r="F324" s="53" t="s">
        <v>986</v>
      </c>
      <c r="G324" t="s">
        <v>985</v>
      </c>
      <c r="J324" t="str">
        <f>VLOOKUP(F324,'[1]Entradas de Efectivo'!$B:$B,1,0)</f>
        <v>15750</v>
      </c>
    </row>
    <row r="325" spans="1:10">
      <c r="A325" s="21" t="s">
        <v>781</v>
      </c>
      <c r="C325" t="s">
        <v>987</v>
      </c>
      <c r="D325" t="s">
        <v>988</v>
      </c>
      <c r="E325" s="21" t="s">
        <v>784</v>
      </c>
      <c r="F325" s="53" t="s">
        <v>989</v>
      </c>
      <c r="G325" t="s">
        <v>988</v>
      </c>
      <c r="J325" t="str">
        <f>VLOOKUP(F325,'[1]Entradas de Efectivo'!$B:$B,1,0)</f>
        <v>15760</v>
      </c>
    </row>
    <row r="326" spans="1:10">
      <c r="A326" s="21" t="s">
        <v>781</v>
      </c>
      <c r="C326" t="s">
        <v>990</v>
      </c>
      <c r="D326" t="s">
        <v>991</v>
      </c>
      <c r="E326" s="21" t="s">
        <v>784</v>
      </c>
      <c r="F326" s="53" t="s">
        <v>992</v>
      </c>
      <c r="G326" t="s">
        <v>991</v>
      </c>
      <c r="J326" t="str">
        <f>VLOOKUP(F326,'[1]Entradas de Efectivo'!$B:$B,1,0)</f>
        <v>15770</v>
      </c>
    </row>
    <row r="327" spans="1:10">
      <c r="A327" s="21" t="s">
        <v>781</v>
      </c>
      <c r="C327" t="s">
        <v>993</v>
      </c>
      <c r="D327" t="s">
        <v>994</v>
      </c>
      <c r="E327" s="21" t="s">
        <v>784</v>
      </c>
      <c r="F327" s="53" t="s">
        <v>995</v>
      </c>
      <c r="G327" t="s">
        <v>994</v>
      </c>
      <c r="J327" t="str">
        <f>VLOOKUP(F327,'[1]Entradas de Efectivo'!$B:$B,1,0)</f>
        <v>15780</v>
      </c>
    </row>
    <row r="328" spans="1:10">
      <c r="A328" s="21" t="s">
        <v>781</v>
      </c>
      <c r="C328" t="s">
        <v>996</v>
      </c>
      <c r="D328" t="s">
        <v>997</v>
      </c>
      <c r="E328" s="21" t="s">
        <v>784</v>
      </c>
      <c r="F328" s="53" t="s">
        <v>998</v>
      </c>
      <c r="G328" t="s">
        <v>997</v>
      </c>
      <c r="J328" t="str">
        <f>VLOOKUP(F328,'[1]Entradas de Efectivo'!$B:$B,1,0)</f>
        <v>15790</v>
      </c>
    </row>
    <row r="329" spans="1:10">
      <c r="A329" s="21" t="s">
        <v>781</v>
      </c>
      <c r="C329" t="s">
        <v>999</v>
      </c>
      <c r="D329" t="s">
        <v>1000</v>
      </c>
      <c r="E329" s="21" t="s">
        <v>784</v>
      </c>
      <c r="F329" s="53" t="s">
        <v>1001</v>
      </c>
      <c r="G329" t="s">
        <v>1000</v>
      </c>
      <c r="J329" t="str">
        <f>VLOOKUP(F329,'[1]Entradas de Efectivo'!$B:$B,1,0)</f>
        <v>15800</v>
      </c>
    </row>
    <row r="330" spans="1:10">
      <c r="A330" s="21" t="s">
        <v>781</v>
      </c>
      <c r="C330" t="s">
        <v>1002</v>
      </c>
      <c r="D330" t="s">
        <v>1003</v>
      </c>
      <c r="E330" s="21" t="s">
        <v>784</v>
      </c>
      <c r="F330" s="53" t="s">
        <v>1004</v>
      </c>
      <c r="G330" t="s">
        <v>1003</v>
      </c>
      <c r="J330" t="str">
        <f>VLOOKUP(F330,'[1]Entradas de Efectivo'!$B:$B,1,0)</f>
        <v>15810</v>
      </c>
    </row>
    <row r="331" spans="1:10">
      <c r="A331" s="21" t="s">
        <v>781</v>
      </c>
      <c r="C331" t="s">
        <v>1005</v>
      </c>
      <c r="D331" t="s">
        <v>1006</v>
      </c>
      <c r="E331" s="21" t="s">
        <v>784</v>
      </c>
      <c r="F331" s="53" t="s">
        <v>1007</v>
      </c>
      <c r="G331" t="s">
        <v>1006</v>
      </c>
      <c r="J331" t="str">
        <f>VLOOKUP(F331,'[1]Entradas de Efectivo'!$B:$B,1,0)</f>
        <v>15820</v>
      </c>
    </row>
    <row r="332" spans="1:10">
      <c r="A332" s="21" t="s">
        <v>781</v>
      </c>
      <c r="C332" t="s">
        <v>1008</v>
      </c>
      <c r="D332" t="s">
        <v>1009</v>
      </c>
      <c r="E332" s="21" t="s">
        <v>784</v>
      </c>
      <c r="F332" s="53" t="s">
        <v>1010</v>
      </c>
      <c r="G332" t="s">
        <v>1009</v>
      </c>
      <c r="J332" t="str">
        <f>VLOOKUP(F332,'[1]Entradas de Efectivo'!$B:$B,1,0)</f>
        <v>15830</v>
      </c>
    </row>
    <row r="333" spans="1:10">
      <c r="A333" s="21" t="s">
        <v>781</v>
      </c>
      <c r="C333" t="s">
        <v>1011</v>
      </c>
      <c r="D333" t="s">
        <v>1012</v>
      </c>
      <c r="E333" s="21" t="s">
        <v>784</v>
      </c>
      <c r="F333" s="53" t="s">
        <v>1013</v>
      </c>
      <c r="G333" t="s">
        <v>1012</v>
      </c>
      <c r="J333" t="str">
        <f>VLOOKUP(F333,'[1]Entradas de Efectivo'!$B:$B,1,0)</f>
        <v>15840</v>
      </c>
    </row>
    <row r="334" spans="1:10">
      <c r="A334" s="21" t="s">
        <v>781</v>
      </c>
      <c r="C334" t="s">
        <v>1014</v>
      </c>
      <c r="D334" t="s">
        <v>1015</v>
      </c>
      <c r="E334" s="21" t="s">
        <v>784</v>
      </c>
      <c r="F334" s="53" t="s">
        <v>1016</v>
      </c>
      <c r="G334" t="s">
        <v>1015</v>
      </c>
      <c r="J334" t="str">
        <f>VLOOKUP(F334,'[1]Entradas de Efectivo'!$B:$B,1,0)</f>
        <v>15850</v>
      </c>
    </row>
    <row r="335" spans="1:10">
      <c r="A335" s="21" t="s">
        <v>781</v>
      </c>
      <c r="C335" t="s">
        <v>1017</v>
      </c>
      <c r="D335" t="s">
        <v>1018</v>
      </c>
      <c r="E335" s="21" t="s">
        <v>784</v>
      </c>
      <c r="F335" s="53" t="s">
        <v>1019</v>
      </c>
      <c r="G335" t="s">
        <v>1018</v>
      </c>
      <c r="J335" t="str">
        <f>VLOOKUP(F335,'[1]Entradas de Efectivo'!$B:$B,1,0)</f>
        <v>15860</v>
      </c>
    </row>
    <row r="336" spans="1:10">
      <c r="A336" s="21" t="s">
        <v>781</v>
      </c>
      <c r="C336" t="s">
        <v>1020</v>
      </c>
      <c r="D336" t="s">
        <v>1021</v>
      </c>
      <c r="E336" s="21" t="s">
        <v>784</v>
      </c>
      <c r="F336" s="53" t="s">
        <v>1022</v>
      </c>
      <c r="G336" t="s">
        <v>1021</v>
      </c>
      <c r="J336" t="str">
        <f>VLOOKUP(F336,'[1]Entradas de Efectivo'!$B:$B,1,0)</f>
        <v>15870</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81"/>
  <sheetViews>
    <sheetView workbookViewId="0">
      <selection activeCell="B2" sqref="B2:C181"/>
    </sheetView>
  </sheetViews>
  <sheetFormatPr defaultColWidth="11.42578125" defaultRowHeight="13.15"/>
  <cols>
    <col min="2" max="2" width="5.7109375" bestFit="1" customWidth="1"/>
    <col min="3" max="3" width="62.7109375" bestFit="1" customWidth="1"/>
  </cols>
  <sheetData>
    <row r="2" spans="2:3" ht="14.45">
      <c r="B2" s="54" t="s">
        <v>1023</v>
      </c>
      <c r="C2" s="55" t="s">
        <v>16</v>
      </c>
    </row>
    <row r="3" spans="2:3">
      <c r="B3" s="56" t="s">
        <v>1024</v>
      </c>
      <c r="C3" s="57" t="s">
        <v>1025</v>
      </c>
    </row>
    <row r="4" spans="2:3">
      <c r="B4" s="58" t="s">
        <v>1026</v>
      </c>
      <c r="C4" s="59" t="s">
        <v>1027</v>
      </c>
    </row>
    <row r="5" spans="2:3">
      <c r="B5" s="56" t="s">
        <v>1028</v>
      </c>
      <c r="C5" s="57" t="s">
        <v>1029</v>
      </c>
    </row>
    <row r="6" spans="2:3">
      <c r="B6" s="58" t="s">
        <v>1030</v>
      </c>
      <c r="C6" s="59" t="s">
        <v>1031</v>
      </c>
    </row>
    <row r="7" spans="2:3">
      <c r="B7" s="56" t="s">
        <v>1032</v>
      </c>
      <c r="C7" s="57" t="s">
        <v>1033</v>
      </c>
    </row>
    <row r="8" spans="2:3">
      <c r="B8" s="58" t="s">
        <v>1034</v>
      </c>
      <c r="C8" s="59" t="s">
        <v>1035</v>
      </c>
    </row>
    <row r="9" spans="2:3">
      <c r="B9" s="56" t="s">
        <v>1036</v>
      </c>
      <c r="C9" s="57" t="s">
        <v>1037</v>
      </c>
    </row>
    <row r="10" spans="2:3">
      <c r="B10" s="58" t="s">
        <v>1038</v>
      </c>
      <c r="C10" s="59" t="s">
        <v>1039</v>
      </c>
    </row>
    <row r="11" spans="2:3">
      <c r="B11" s="56" t="s">
        <v>1040</v>
      </c>
      <c r="C11" s="57" t="s">
        <v>1041</v>
      </c>
    </row>
    <row r="12" spans="2:3">
      <c r="B12" s="58" t="s">
        <v>1042</v>
      </c>
      <c r="C12" s="59" t="s">
        <v>1043</v>
      </c>
    </row>
    <row r="13" spans="2:3">
      <c r="B13" s="56" t="s">
        <v>1044</v>
      </c>
      <c r="C13" s="57" t="s">
        <v>1045</v>
      </c>
    </row>
    <row r="14" spans="2:3">
      <c r="B14" s="58" t="s">
        <v>1046</v>
      </c>
      <c r="C14" s="59" t="s">
        <v>1047</v>
      </c>
    </row>
    <row r="15" spans="2:3">
      <c r="B15" s="56" t="s">
        <v>1048</v>
      </c>
      <c r="C15" s="57" t="s">
        <v>1049</v>
      </c>
    </row>
    <row r="16" spans="2:3">
      <c r="B16" s="58" t="s">
        <v>1050</v>
      </c>
      <c r="C16" s="59" t="s">
        <v>1051</v>
      </c>
    </row>
    <row r="17" spans="2:3">
      <c r="B17" s="56" t="s">
        <v>1052</v>
      </c>
      <c r="C17" s="57" t="s">
        <v>1053</v>
      </c>
    </row>
    <row r="18" spans="2:3">
      <c r="B18" s="58" t="s">
        <v>1054</v>
      </c>
      <c r="C18" s="59" t="s">
        <v>1055</v>
      </c>
    </row>
    <row r="19" spans="2:3">
      <c r="B19" s="56" t="s">
        <v>1056</v>
      </c>
      <c r="C19" s="57" t="s">
        <v>1057</v>
      </c>
    </row>
    <row r="20" spans="2:3">
      <c r="B20" s="58" t="s">
        <v>1058</v>
      </c>
      <c r="C20" s="59" t="s">
        <v>1059</v>
      </c>
    </row>
    <row r="21" spans="2:3">
      <c r="B21" s="56" t="s">
        <v>1060</v>
      </c>
      <c r="C21" s="57" t="s">
        <v>1061</v>
      </c>
    </row>
    <row r="22" spans="2:3">
      <c r="B22" s="58" t="s">
        <v>1062</v>
      </c>
      <c r="C22" s="59" t="s">
        <v>1063</v>
      </c>
    </row>
    <row r="23" spans="2:3">
      <c r="B23" s="56" t="s">
        <v>1064</v>
      </c>
      <c r="C23" s="57" t="s">
        <v>1065</v>
      </c>
    </row>
    <row r="24" spans="2:3">
      <c r="B24" s="58" t="s">
        <v>1066</v>
      </c>
      <c r="C24" s="59" t="s">
        <v>1067</v>
      </c>
    </row>
    <row r="25" spans="2:3">
      <c r="B25" s="56" t="s">
        <v>1068</v>
      </c>
      <c r="C25" s="57" t="s">
        <v>1069</v>
      </c>
    </row>
    <row r="26" spans="2:3">
      <c r="B26" s="58" t="s">
        <v>1070</v>
      </c>
      <c r="C26" s="59" t="s">
        <v>1071</v>
      </c>
    </row>
    <row r="27" spans="2:3">
      <c r="B27" s="56" t="s">
        <v>1072</v>
      </c>
      <c r="C27" s="57" t="s">
        <v>1073</v>
      </c>
    </row>
    <row r="28" spans="2:3">
      <c r="B28" s="58" t="s">
        <v>1074</v>
      </c>
      <c r="C28" s="59" t="s">
        <v>1075</v>
      </c>
    </row>
    <row r="29" spans="2:3">
      <c r="B29" s="56" t="s">
        <v>1076</v>
      </c>
      <c r="C29" s="57" t="s">
        <v>1077</v>
      </c>
    </row>
    <row r="30" spans="2:3">
      <c r="B30" s="58" t="s">
        <v>1078</v>
      </c>
      <c r="C30" s="59" t="s">
        <v>1079</v>
      </c>
    </row>
    <row r="31" spans="2:3">
      <c r="B31" s="56" t="s">
        <v>1080</v>
      </c>
      <c r="C31" s="57" t="s">
        <v>1081</v>
      </c>
    </row>
    <row r="32" spans="2:3">
      <c r="B32" s="58" t="s">
        <v>1082</v>
      </c>
      <c r="C32" s="59" t="s">
        <v>1083</v>
      </c>
    </row>
    <row r="33" spans="2:3">
      <c r="B33" s="56" t="s">
        <v>1084</v>
      </c>
      <c r="C33" s="57" t="s">
        <v>1085</v>
      </c>
    </row>
    <row r="34" spans="2:3">
      <c r="B34" s="58" t="s">
        <v>1086</v>
      </c>
      <c r="C34" s="59" t="s">
        <v>1087</v>
      </c>
    </row>
    <row r="35" spans="2:3">
      <c r="B35" s="56" t="s">
        <v>1088</v>
      </c>
      <c r="C35" s="57" t="s">
        <v>1089</v>
      </c>
    </row>
    <row r="36" spans="2:3">
      <c r="B36" s="58" t="s">
        <v>1090</v>
      </c>
      <c r="C36" s="59" t="s">
        <v>1091</v>
      </c>
    </row>
    <row r="37" spans="2:3">
      <c r="B37" s="56" t="s">
        <v>1092</v>
      </c>
      <c r="C37" s="57" t="s">
        <v>1093</v>
      </c>
    </row>
    <row r="38" spans="2:3">
      <c r="B38" s="58" t="s">
        <v>1094</v>
      </c>
      <c r="C38" s="59" t="s">
        <v>1095</v>
      </c>
    </row>
    <row r="39" spans="2:3">
      <c r="B39" s="56" t="s">
        <v>1096</v>
      </c>
      <c r="C39" s="57" t="s">
        <v>1097</v>
      </c>
    </row>
    <row r="40" spans="2:3">
      <c r="B40" s="58" t="s">
        <v>1098</v>
      </c>
      <c r="C40" s="59" t="s">
        <v>1099</v>
      </c>
    </row>
    <row r="41" spans="2:3">
      <c r="B41" s="56" t="s">
        <v>1100</v>
      </c>
      <c r="C41" s="57" t="s">
        <v>1101</v>
      </c>
    </row>
    <row r="42" spans="2:3">
      <c r="B42" s="58" t="s">
        <v>1102</v>
      </c>
      <c r="C42" s="59" t="s">
        <v>1103</v>
      </c>
    </row>
    <row r="43" spans="2:3">
      <c r="B43" s="56" t="s">
        <v>1104</v>
      </c>
      <c r="C43" s="57" t="s">
        <v>1105</v>
      </c>
    </row>
    <row r="44" spans="2:3">
      <c r="B44" s="58" t="s">
        <v>1106</v>
      </c>
      <c r="C44" s="59" t="s">
        <v>1107</v>
      </c>
    </row>
    <row r="45" spans="2:3">
      <c r="B45" s="56" t="s">
        <v>1108</v>
      </c>
      <c r="C45" s="57" t="s">
        <v>1109</v>
      </c>
    </row>
    <row r="46" spans="2:3">
      <c r="B46" s="58" t="s">
        <v>1110</v>
      </c>
      <c r="C46" s="59" t="s">
        <v>1111</v>
      </c>
    </row>
    <row r="47" spans="2:3">
      <c r="B47" s="56" t="s">
        <v>1112</v>
      </c>
      <c r="C47" s="57" t="s">
        <v>1113</v>
      </c>
    </row>
    <row r="48" spans="2:3">
      <c r="B48" s="58" t="s">
        <v>1114</v>
      </c>
      <c r="C48" s="59" t="s">
        <v>1115</v>
      </c>
    </row>
    <row r="49" spans="2:3">
      <c r="B49" s="56" t="s">
        <v>1116</v>
      </c>
      <c r="C49" s="57" t="s">
        <v>1117</v>
      </c>
    </row>
    <row r="50" spans="2:3">
      <c r="B50" s="58" t="s">
        <v>1118</v>
      </c>
      <c r="C50" s="59" t="s">
        <v>1119</v>
      </c>
    </row>
    <row r="51" spans="2:3">
      <c r="B51" s="56" t="s">
        <v>1120</v>
      </c>
      <c r="C51" s="57" t="s">
        <v>1121</v>
      </c>
    </row>
    <row r="52" spans="2:3">
      <c r="B52" s="58" t="s">
        <v>1122</v>
      </c>
      <c r="C52" s="59" t="s">
        <v>1123</v>
      </c>
    </row>
    <row r="53" spans="2:3">
      <c r="B53" s="56" t="s">
        <v>1124</v>
      </c>
      <c r="C53" s="57" t="s">
        <v>1125</v>
      </c>
    </row>
    <row r="54" spans="2:3">
      <c r="B54" s="58" t="s">
        <v>1126</v>
      </c>
      <c r="C54" s="59" t="s">
        <v>1127</v>
      </c>
    </row>
    <row r="55" spans="2:3">
      <c r="B55" s="56" t="s">
        <v>1128</v>
      </c>
      <c r="C55" s="57" t="s">
        <v>1129</v>
      </c>
    </row>
    <row r="56" spans="2:3">
      <c r="B56" s="58" t="s">
        <v>1130</v>
      </c>
      <c r="C56" s="59" t="s">
        <v>1131</v>
      </c>
    </row>
    <row r="57" spans="2:3">
      <c r="B57" s="56" t="s">
        <v>1132</v>
      </c>
      <c r="C57" s="57" t="s">
        <v>1133</v>
      </c>
    </row>
    <row r="58" spans="2:3">
      <c r="B58" s="58" t="s">
        <v>1134</v>
      </c>
      <c r="C58" s="59" t="s">
        <v>1135</v>
      </c>
    </row>
    <row r="59" spans="2:3">
      <c r="B59" s="56" t="s">
        <v>1136</v>
      </c>
      <c r="C59" s="57" t="s">
        <v>1137</v>
      </c>
    </row>
    <row r="60" spans="2:3">
      <c r="B60" s="58" t="s">
        <v>1138</v>
      </c>
      <c r="C60" s="59" t="s">
        <v>1139</v>
      </c>
    </row>
    <row r="61" spans="2:3">
      <c r="B61" s="56" t="s">
        <v>1140</v>
      </c>
      <c r="C61" s="57" t="s">
        <v>1141</v>
      </c>
    </row>
    <row r="62" spans="2:3">
      <c r="B62" s="58" t="s">
        <v>1142</v>
      </c>
      <c r="C62" s="59" t="s">
        <v>1143</v>
      </c>
    </row>
    <row r="63" spans="2:3">
      <c r="B63" s="56" t="s">
        <v>1144</v>
      </c>
      <c r="C63" s="57" t="s">
        <v>1145</v>
      </c>
    </row>
    <row r="64" spans="2:3">
      <c r="B64" s="58" t="s">
        <v>1146</v>
      </c>
      <c r="C64" s="59" t="s">
        <v>1147</v>
      </c>
    </row>
    <row r="65" spans="2:3">
      <c r="B65" s="56" t="s">
        <v>1148</v>
      </c>
      <c r="C65" s="57" t="s">
        <v>1149</v>
      </c>
    </row>
    <row r="66" spans="2:3">
      <c r="B66" s="58" t="s">
        <v>1150</v>
      </c>
      <c r="C66" s="59" t="s">
        <v>1151</v>
      </c>
    </row>
    <row r="67" spans="2:3">
      <c r="B67" s="56" t="s">
        <v>1152</v>
      </c>
      <c r="C67" s="57" t="s">
        <v>1153</v>
      </c>
    </row>
    <row r="68" spans="2:3">
      <c r="B68" s="58" t="s">
        <v>1154</v>
      </c>
      <c r="C68" s="59" t="s">
        <v>1155</v>
      </c>
    </row>
    <row r="69" spans="2:3">
      <c r="B69" s="56" t="s">
        <v>1156</v>
      </c>
      <c r="C69" s="57" t="s">
        <v>1157</v>
      </c>
    </row>
    <row r="70" spans="2:3">
      <c r="B70" s="58" t="s">
        <v>1158</v>
      </c>
      <c r="C70" s="59" t="s">
        <v>1159</v>
      </c>
    </row>
    <row r="71" spans="2:3">
      <c r="B71" s="56" t="s">
        <v>1160</v>
      </c>
      <c r="C71" s="57" t="s">
        <v>1161</v>
      </c>
    </row>
    <row r="72" spans="2:3">
      <c r="B72" s="58" t="s">
        <v>1162</v>
      </c>
      <c r="C72" s="59" t="s">
        <v>1163</v>
      </c>
    </row>
    <row r="73" spans="2:3">
      <c r="B73" s="56" t="s">
        <v>1164</v>
      </c>
      <c r="C73" s="57" t="s">
        <v>1165</v>
      </c>
    </row>
    <row r="74" spans="2:3">
      <c r="B74" s="58" t="s">
        <v>1166</v>
      </c>
      <c r="C74" s="59" t="s">
        <v>1167</v>
      </c>
    </row>
    <row r="75" spans="2:3">
      <c r="B75" s="56" t="s">
        <v>1168</v>
      </c>
      <c r="C75" s="57" t="s">
        <v>1169</v>
      </c>
    </row>
    <row r="76" spans="2:3">
      <c r="B76" s="58" t="s">
        <v>1170</v>
      </c>
      <c r="C76" s="59" t="s">
        <v>1171</v>
      </c>
    </row>
    <row r="77" spans="2:3">
      <c r="B77" s="56" t="s">
        <v>1172</v>
      </c>
      <c r="C77" s="57" t="s">
        <v>1173</v>
      </c>
    </row>
    <row r="78" spans="2:3">
      <c r="B78" s="58" t="s">
        <v>1174</v>
      </c>
      <c r="C78" s="59" t="s">
        <v>1175</v>
      </c>
    </row>
    <row r="79" spans="2:3">
      <c r="B79" s="56" t="s">
        <v>1176</v>
      </c>
      <c r="C79" s="57" t="s">
        <v>1177</v>
      </c>
    </row>
    <row r="80" spans="2:3">
      <c r="B80" s="58" t="s">
        <v>1178</v>
      </c>
      <c r="C80" s="59" t="s">
        <v>1179</v>
      </c>
    </row>
    <row r="81" spans="2:3">
      <c r="B81" s="56" t="s">
        <v>1180</v>
      </c>
      <c r="C81" s="57" t="s">
        <v>1181</v>
      </c>
    </row>
    <row r="82" spans="2:3">
      <c r="B82" s="58" t="s">
        <v>1182</v>
      </c>
      <c r="C82" s="59" t="s">
        <v>1183</v>
      </c>
    </row>
    <row r="83" spans="2:3">
      <c r="B83" s="56" t="s">
        <v>1184</v>
      </c>
      <c r="C83" s="57" t="s">
        <v>1185</v>
      </c>
    </row>
    <row r="84" spans="2:3">
      <c r="B84" s="58" t="s">
        <v>1186</v>
      </c>
      <c r="C84" s="59" t="s">
        <v>1187</v>
      </c>
    </row>
    <row r="85" spans="2:3">
      <c r="B85" s="56" t="s">
        <v>1188</v>
      </c>
      <c r="C85" s="57" t="s">
        <v>1189</v>
      </c>
    </row>
    <row r="86" spans="2:3">
      <c r="B86" s="58" t="s">
        <v>1190</v>
      </c>
      <c r="C86" s="59" t="s">
        <v>1191</v>
      </c>
    </row>
    <row r="87" spans="2:3">
      <c r="B87" s="56" t="s">
        <v>1192</v>
      </c>
      <c r="C87" s="57" t="s">
        <v>1193</v>
      </c>
    </row>
    <row r="88" spans="2:3">
      <c r="B88" s="58" t="s">
        <v>1194</v>
      </c>
      <c r="C88" s="59" t="s">
        <v>1195</v>
      </c>
    </row>
    <row r="89" spans="2:3">
      <c r="B89" s="56" t="s">
        <v>1196</v>
      </c>
      <c r="C89" s="57" t="s">
        <v>1197</v>
      </c>
    </row>
    <row r="90" spans="2:3">
      <c r="B90" s="58" t="s">
        <v>1198</v>
      </c>
      <c r="C90" s="59" t="s">
        <v>1199</v>
      </c>
    </row>
    <row r="91" spans="2:3">
      <c r="B91" s="56" t="s">
        <v>1200</v>
      </c>
      <c r="C91" s="57" t="s">
        <v>1201</v>
      </c>
    </row>
    <row r="92" spans="2:3">
      <c r="B92" s="58" t="s">
        <v>1202</v>
      </c>
      <c r="C92" s="59" t="s">
        <v>1203</v>
      </c>
    </row>
    <row r="93" spans="2:3">
      <c r="B93" s="56" t="s">
        <v>1204</v>
      </c>
      <c r="C93" s="57" t="s">
        <v>1205</v>
      </c>
    </row>
    <row r="94" spans="2:3">
      <c r="B94" s="58" t="s">
        <v>1206</v>
      </c>
      <c r="C94" s="59" t="s">
        <v>1207</v>
      </c>
    </row>
    <row r="95" spans="2:3">
      <c r="B95" s="56" t="s">
        <v>1208</v>
      </c>
      <c r="C95" s="57" t="s">
        <v>1209</v>
      </c>
    </row>
    <row r="96" spans="2:3">
      <c r="B96" s="58" t="s">
        <v>1210</v>
      </c>
      <c r="C96" s="59" t="s">
        <v>1211</v>
      </c>
    </row>
    <row r="97" spans="2:3">
      <c r="B97" s="56" t="s">
        <v>1212</v>
      </c>
      <c r="C97" s="57" t="s">
        <v>1213</v>
      </c>
    </row>
    <row r="98" spans="2:3">
      <c r="B98" s="58" t="s">
        <v>1214</v>
      </c>
      <c r="C98" s="59" t="s">
        <v>1215</v>
      </c>
    </row>
    <row r="99" spans="2:3">
      <c r="B99" s="56" t="s">
        <v>1216</v>
      </c>
      <c r="C99" s="57" t="s">
        <v>1217</v>
      </c>
    </row>
    <row r="100" spans="2:3">
      <c r="B100" s="58" t="s">
        <v>1218</v>
      </c>
      <c r="C100" s="59" t="s">
        <v>1219</v>
      </c>
    </row>
    <row r="101" spans="2:3">
      <c r="B101" s="56" t="s">
        <v>1220</v>
      </c>
      <c r="C101" s="57" t="s">
        <v>1221</v>
      </c>
    </row>
    <row r="102" spans="2:3">
      <c r="B102" s="58" t="s">
        <v>1222</v>
      </c>
      <c r="C102" s="59" t="s">
        <v>1223</v>
      </c>
    </row>
    <row r="103" spans="2:3">
      <c r="B103" s="56" t="s">
        <v>1224</v>
      </c>
      <c r="C103" s="57" t="s">
        <v>1225</v>
      </c>
    </row>
    <row r="104" spans="2:3">
      <c r="B104" s="58" t="s">
        <v>1226</v>
      </c>
      <c r="C104" s="59" t="s">
        <v>1227</v>
      </c>
    </row>
    <row r="105" spans="2:3">
      <c r="B105" s="56" t="s">
        <v>1228</v>
      </c>
      <c r="C105" s="57" t="s">
        <v>1229</v>
      </c>
    </row>
    <row r="106" spans="2:3">
      <c r="B106" s="58" t="s">
        <v>1230</v>
      </c>
      <c r="C106" s="59" t="s">
        <v>1231</v>
      </c>
    </row>
    <row r="107" spans="2:3">
      <c r="B107" s="56" t="s">
        <v>1232</v>
      </c>
      <c r="C107" s="57" t="s">
        <v>1233</v>
      </c>
    </row>
    <row r="108" spans="2:3">
      <c r="B108" s="58" t="s">
        <v>1234</v>
      </c>
      <c r="C108" s="59" t="s">
        <v>1235</v>
      </c>
    </row>
    <row r="109" spans="2:3">
      <c r="B109" s="56" t="s">
        <v>1236</v>
      </c>
      <c r="C109" s="57" t="s">
        <v>1237</v>
      </c>
    </row>
    <row r="110" spans="2:3">
      <c r="B110" s="58" t="s">
        <v>1238</v>
      </c>
      <c r="C110" s="59" t="s">
        <v>1239</v>
      </c>
    </row>
    <row r="111" spans="2:3">
      <c r="B111" s="56" t="s">
        <v>1240</v>
      </c>
      <c r="C111" s="57" t="s">
        <v>1241</v>
      </c>
    </row>
    <row r="112" spans="2:3">
      <c r="B112" s="58" t="s">
        <v>1242</v>
      </c>
      <c r="C112" s="59" t="s">
        <v>1243</v>
      </c>
    </row>
    <row r="113" spans="2:3">
      <c r="B113" s="56" t="s">
        <v>1244</v>
      </c>
      <c r="C113" s="57" t="s">
        <v>1245</v>
      </c>
    </row>
    <row r="114" spans="2:3">
      <c r="B114" s="58" t="s">
        <v>1246</v>
      </c>
      <c r="C114" s="59" t="s">
        <v>1247</v>
      </c>
    </row>
    <row r="115" spans="2:3">
      <c r="B115" s="56" t="s">
        <v>1248</v>
      </c>
      <c r="C115" s="57" t="s">
        <v>1249</v>
      </c>
    </row>
    <row r="116" spans="2:3">
      <c r="B116" s="58" t="s">
        <v>1250</v>
      </c>
      <c r="C116" s="59" t="s">
        <v>1251</v>
      </c>
    </row>
    <row r="117" spans="2:3">
      <c r="B117" s="56" t="s">
        <v>1252</v>
      </c>
      <c r="C117" s="57" t="s">
        <v>1253</v>
      </c>
    </row>
    <row r="118" spans="2:3">
      <c r="B118" s="58" t="s">
        <v>1254</v>
      </c>
      <c r="C118" s="59" t="s">
        <v>1255</v>
      </c>
    </row>
    <row r="119" spans="2:3">
      <c r="B119" s="56" t="s">
        <v>1256</v>
      </c>
      <c r="C119" s="57" t="s">
        <v>1257</v>
      </c>
    </row>
    <row r="120" spans="2:3">
      <c r="B120" s="58" t="s">
        <v>1258</v>
      </c>
      <c r="C120" s="59" t="s">
        <v>1259</v>
      </c>
    </row>
    <row r="121" spans="2:3">
      <c r="B121" s="56" t="s">
        <v>1260</v>
      </c>
      <c r="C121" s="57" t="s">
        <v>1261</v>
      </c>
    </row>
    <row r="122" spans="2:3">
      <c r="B122" s="58" t="s">
        <v>1262</v>
      </c>
      <c r="C122" s="59" t="s">
        <v>1263</v>
      </c>
    </row>
    <row r="123" spans="2:3">
      <c r="B123" s="56" t="s">
        <v>1264</v>
      </c>
      <c r="C123" s="57" t="s">
        <v>1265</v>
      </c>
    </row>
    <row r="124" spans="2:3">
      <c r="B124" s="58" t="s">
        <v>1266</v>
      </c>
      <c r="C124" s="59" t="s">
        <v>1267</v>
      </c>
    </row>
    <row r="125" spans="2:3">
      <c r="B125" s="56" t="s">
        <v>1268</v>
      </c>
      <c r="C125" s="57" t="s">
        <v>1269</v>
      </c>
    </row>
    <row r="126" spans="2:3">
      <c r="B126" s="58" t="s">
        <v>1270</v>
      </c>
      <c r="C126" s="59" t="s">
        <v>1271</v>
      </c>
    </row>
    <row r="127" spans="2:3">
      <c r="B127" s="56" t="s">
        <v>1272</v>
      </c>
      <c r="C127" s="57" t="s">
        <v>1273</v>
      </c>
    </row>
    <row r="128" spans="2:3">
      <c r="B128" s="58" t="s">
        <v>1274</v>
      </c>
      <c r="C128" s="59" t="s">
        <v>1275</v>
      </c>
    </row>
    <row r="129" spans="2:3">
      <c r="B129" s="56" t="s">
        <v>1276</v>
      </c>
      <c r="C129" s="57" t="s">
        <v>1277</v>
      </c>
    </row>
    <row r="130" spans="2:3">
      <c r="B130" s="58" t="s">
        <v>1278</v>
      </c>
      <c r="C130" s="59" t="s">
        <v>1279</v>
      </c>
    </row>
    <row r="131" spans="2:3">
      <c r="B131" s="56" t="s">
        <v>1280</v>
      </c>
      <c r="C131" s="57" t="s">
        <v>1281</v>
      </c>
    </row>
    <row r="132" spans="2:3">
      <c r="B132" s="58" t="s">
        <v>1282</v>
      </c>
      <c r="C132" s="59" t="s">
        <v>1283</v>
      </c>
    </row>
    <row r="133" spans="2:3">
      <c r="B133" s="56" t="s">
        <v>1284</v>
      </c>
      <c r="C133" s="57" t="s">
        <v>1285</v>
      </c>
    </row>
    <row r="134" spans="2:3">
      <c r="B134" s="58" t="s">
        <v>1286</v>
      </c>
      <c r="C134" s="59" t="s">
        <v>1287</v>
      </c>
    </row>
    <row r="135" spans="2:3">
      <c r="B135" s="56" t="s">
        <v>1288</v>
      </c>
      <c r="C135" s="57" t="s">
        <v>1289</v>
      </c>
    </row>
    <row r="136" spans="2:3">
      <c r="B136" s="58" t="s">
        <v>1290</v>
      </c>
      <c r="C136" s="59" t="s">
        <v>1291</v>
      </c>
    </row>
    <row r="137" spans="2:3">
      <c r="B137" s="56" t="s">
        <v>1292</v>
      </c>
      <c r="C137" s="57" t="s">
        <v>1293</v>
      </c>
    </row>
    <row r="138" spans="2:3">
      <c r="B138" s="58" t="s">
        <v>1294</v>
      </c>
      <c r="C138" s="59" t="s">
        <v>1295</v>
      </c>
    </row>
    <row r="139" spans="2:3">
      <c r="B139" s="56" t="s">
        <v>1296</v>
      </c>
      <c r="C139" s="57" t="s">
        <v>1297</v>
      </c>
    </row>
    <row r="140" spans="2:3">
      <c r="B140" s="58" t="s">
        <v>1298</v>
      </c>
      <c r="C140" s="59" t="s">
        <v>1299</v>
      </c>
    </row>
    <row r="141" spans="2:3">
      <c r="B141" s="56" t="s">
        <v>1300</v>
      </c>
      <c r="C141" s="57" t="s">
        <v>1301</v>
      </c>
    </row>
    <row r="142" spans="2:3">
      <c r="B142" s="58" t="s">
        <v>1302</v>
      </c>
      <c r="C142" s="59" t="s">
        <v>1303</v>
      </c>
    </row>
    <row r="143" spans="2:3">
      <c r="B143" s="56" t="s">
        <v>1304</v>
      </c>
      <c r="C143" s="57" t="s">
        <v>1305</v>
      </c>
    </row>
    <row r="144" spans="2:3">
      <c r="B144" s="58" t="s">
        <v>1306</v>
      </c>
      <c r="C144" s="59" t="s">
        <v>1307</v>
      </c>
    </row>
    <row r="145" spans="2:3">
      <c r="B145" s="56" t="s">
        <v>1308</v>
      </c>
      <c r="C145" s="57" t="s">
        <v>1309</v>
      </c>
    </row>
    <row r="146" spans="2:3">
      <c r="B146" s="58" t="s">
        <v>1310</v>
      </c>
      <c r="C146" s="59" t="s">
        <v>1311</v>
      </c>
    </row>
    <row r="147" spans="2:3">
      <c r="B147" s="56" t="s">
        <v>1312</v>
      </c>
      <c r="C147" s="57" t="s">
        <v>1313</v>
      </c>
    </row>
    <row r="148" spans="2:3">
      <c r="B148" s="58" t="s">
        <v>1314</v>
      </c>
      <c r="C148" s="59" t="s">
        <v>1315</v>
      </c>
    </row>
    <row r="149" spans="2:3">
      <c r="B149" s="56" t="s">
        <v>1316</v>
      </c>
      <c r="C149" s="57" t="s">
        <v>1317</v>
      </c>
    </row>
    <row r="150" spans="2:3">
      <c r="B150" s="58" t="s">
        <v>1318</v>
      </c>
      <c r="C150" s="59" t="s">
        <v>1319</v>
      </c>
    </row>
    <row r="151" spans="2:3">
      <c r="B151" s="56" t="s">
        <v>1320</v>
      </c>
      <c r="C151" s="57" t="s">
        <v>1321</v>
      </c>
    </row>
    <row r="152" spans="2:3">
      <c r="B152" s="58" t="s">
        <v>1322</v>
      </c>
      <c r="C152" s="59" t="s">
        <v>1323</v>
      </c>
    </row>
    <row r="153" spans="2:3">
      <c r="B153" s="56" t="s">
        <v>1324</v>
      </c>
      <c r="C153" s="57" t="s">
        <v>1325</v>
      </c>
    </row>
    <row r="154" spans="2:3">
      <c r="B154" s="58" t="s">
        <v>1326</v>
      </c>
      <c r="C154" s="59" t="s">
        <v>1327</v>
      </c>
    </row>
    <row r="155" spans="2:3">
      <c r="B155" s="56" t="s">
        <v>1328</v>
      </c>
      <c r="C155" s="57" t="s">
        <v>1329</v>
      </c>
    </row>
    <row r="156" spans="2:3">
      <c r="B156" s="58" t="s">
        <v>1330</v>
      </c>
      <c r="C156" s="59" t="s">
        <v>1331</v>
      </c>
    </row>
    <row r="157" spans="2:3">
      <c r="B157" s="56" t="s">
        <v>1332</v>
      </c>
      <c r="C157" s="57" t="s">
        <v>1333</v>
      </c>
    </row>
    <row r="158" spans="2:3">
      <c r="B158" s="58" t="s">
        <v>1334</v>
      </c>
      <c r="C158" s="59" t="s">
        <v>1335</v>
      </c>
    </row>
    <row r="159" spans="2:3">
      <c r="B159" s="56" t="s">
        <v>1336</v>
      </c>
      <c r="C159" s="57" t="s">
        <v>1337</v>
      </c>
    </row>
    <row r="160" spans="2:3">
      <c r="B160" s="58" t="s">
        <v>1338</v>
      </c>
      <c r="C160" s="59" t="s">
        <v>1339</v>
      </c>
    </row>
    <row r="161" spans="2:3">
      <c r="B161" s="56" t="s">
        <v>1340</v>
      </c>
      <c r="C161" s="57" t="s">
        <v>1341</v>
      </c>
    </row>
    <row r="162" spans="2:3">
      <c r="B162" s="58" t="s">
        <v>1342</v>
      </c>
      <c r="C162" s="59" t="s">
        <v>1343</v>
      </c>
    </row>
    <row r="163" spans="2:3">
      <c r="B163" s="56" t="s">
        <v>1344</v>
      </c>
      <c r="C163" s="57" t="s">
        <v>1345</v>
      </c>
    </row>
    <row r="164" spans="2:3">
      <c r="B164" s="58" t="s">
        <v>1346</v>
      </c>
      <c r="C164" s="59" t="s">
        <v>1347</v>
      </c>
    </row>
    <row r="165" spans="2:3">
      <c r="B165" s="56" t="s">
        <v>1348</v>
      </c>
      <c r="C165" s="57" t="s">
        <v>1349</v>
      </c>
    </row>
    <row r="166" spans="2:3">
      <c r="B166" s="58" t="s">
        <v>1350</v>
      </c>
      <c r="C166" s="59" t="s">
        <v>1351</v>
      </c>
    </row>
    <row r="167" spans="2:3">
      <c r="B167" s="56" t="s">
        <v>1352</v>
      </c>
      <c r="C167" s="57" t="s">
        <v>1353</v>
      </c>
    </row>
    <row r="168" spans="2:3">
      <c r="B168" s="58" t="s">
        <v>1354</v>
      </c>
      <c r="C168" s="59" t="s">
        <v>1355</v>
      </c>
    </row>
    <row r="169" spans="2:3">
      <c r="B169" s="56" t="s">
        <v>1356</v>
      </c>
      <c r="C169" s="57" t="s">
        <v>1357</v>
      </c>
    </row>
    <row r="170" spans="2:3">
      <c r="B170" s="58" t="s">
        <v>1358</v>
      </c>
      <c r="C170" s="59" t="s">
        <v>1359</v>
      </c>
    </row>
    <row r="171" spans="2:3">
      <c r="B171" s="56" t="s">
        <v>1360</v>
      </c>
      <c r="C171" s="57" t="s">
        <v>1361</v>
      </c>
    </row>
    <row r="172" spans="2:3">
      <c r="B172" s="58" t="s">
        <v>1362</v>
      </c>
      <c r="C172" s="59" t="s">
        <v>1363</v>
      </c>
    </row>
    <row r="173" spans="2:3">
      <c r="B173" s="56" t="s">
        <v>1364</v>
      </c>
      <c r="C173" s="57" t="s">
        <v>1365</v>
      </c>
    </row>
    <row r="174" spans="2:3">
      <c r="B174" s="60" t="s">
        <v>1366</v>
      </c>
      <c r="C174" s="61" t="s">
        <v>1367</v>
      </c>
    </row>
    <row r="175" spans="2:3">
      <c r="B175" s="62" t="s">
        <v>1368</v>
      </c>
      <c r="C175" s="63" t="s">
        <v>1369</v>
      </c>
    </row>
    <row r="176" spans="2:3">
      <c r="B176" s="60" t="s">
        <v>1370</v>
      </c>
      <c r="C176" s="61" t="s">
        <v>1371</v>
      </c>
    </row>
    <row r="177" spans="2:3">
      <c r="B177" s="62" t="s">
        <v>1372</v>
      </c>
      <c r="C177" s="63" t="s">
        <v>1373</v>
      </c>
    </row>
    <row r="178" spans="2:3">
      <c r="B178" s="60" t="s">
        <v>1374</v>
      </c>
      <c r="C178" s="61" t="s">
        <v>1375</v>
      </c>
    </row>
    <row r="179" spans="2:3">
      <c r="B179" s="62" t="s">
        <v>1376</v>
      </c>
      <c r="C179" s="63" t="s">
        <v>1377</v>
      </c>
    </row>
    <row r="180" spans="2:3">
      <c r="B180" s="60" t="s">
        <v>1378</v>
      </c>
      <c r="C180" s="61" t="s">
        <v>1379</v>
      </c>
    </row>
    <row r="181" spans="2:3">
      <c r="B181" s="62" t="s">
        <v>1380</v>
      </c>
      <c r="C181" s="63" t="s">
        <v>1381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workbookViewId="0">
      <selection activeCell="F7" sqref="F7"/>
    </sheetView>
  </sheetViews>
  <sheetFormatPr defaultColWidth="8.7109375" defaultRowHeight="14.45"/>
  <cols>
    <col min="1" max="2" width="8.7109375" style="1"/>
    <col min="3" max="3" width="48.140625" style="1" customWidth="1"/>
    <col min="4" max="16384" width="8.7109375" style="1"/>
  </cols>
  <sheetData>
    <row r="1" spans="1:3">
      <c r="A1" s="7" t="s">
        <v>1382</v>
      </c>
      <c r="B1" s="7" t="s">
        <v>1383</v>
      </c>
      <c r="C1" s="7" t="s">
        <v>48</v>
      </c>
    </row>
    <row r="2" spans="1:3">
      <c r="A2" s="21">
        <v>1</v>
      </c>
      <c r="B2" s="21" t="s">
        <v>1384</v>
      </c>
      <c r="C2" s="21" t="s">
        <v>1385</v>
      </c>
    </row>
    <row r="3" spans="1:3">
      <c r="A3" s="21">
        <v>2</v>
      </c>
      <c r="B3" s="21" t="s">
        <v>1386</v>
      </c>
      <c r="C3" s="21" t="s">
        <v>1387</v>
      </c>
    </row>
    <row r="4" spans="1:3">
      <c r="A4" s="21">
        <v>3</v>
      </c>
      <c r="B4" s="21" t="s">
        <v>1388</v>
      </c>
      <c r="C4" s="21" t="s">
        <v>1389</v>
      </c>
    </row>
    <row r="5" spans="1:3">
      <c r="A5" s="21">
        <v>4</v>
      </c>
      <c r="B5" s="21" t="s">
        <v>1390</v>
      </c>
      <c r="C5" s="21" t="s">
        <v>1391</v>
      </c>
    </row>
    <row r="6" spans="1:3">
      <c r="A6" s="21">
        <v>14</v>
      </c>
      <c r="B6" s="21" t="s">
        <v>1392</v>
      </c>
      <c r="C6" s="21" t="s">
        <v>1393</v>
      </c>
    </row>
    <row r="7" spans="1:3">
      <c r="A7" s="21">
        <v>5</v>
      </c>
      <c r="B7" s="21" t="s">
        <v>1394</v>
      </c>
      <c r="C7" s="21" t="s">
        <v>1395</v>
      </c>
    </row>
    <row r="8" spans="1:3">
      <c r="A8" s="21">
        <v>6</v>
      </c>
      <c r="B8" s="21" t="s">
        <v>1396</v>
      </c>
      <c r="C8" s="21" t="s">
        <v>1397</v>
      </c>
    </row>
    <row r="9" spans="1:3">
      <c r="A9" s="21">
        <v>7</v>
      </c>
      <c r="B9" s="21" t="s">
        <v>1398</v>
      </c>
      <c r="C9" s="21" t="s">
        <v>1399</v>
      </c>
    </row>
    <row r="10" spans="1:3">
      <c r="A10" s="21">
        <v>17</v>
      </c>
      <c r="B10" s="21" t="s">
        <v>1400</v>
      </c>
      <c r="C10" s="21" t="s">
        <v>1401</v>
      </c>
    </row>
    <row r="11" spans="1:3">
      <c r="A11" s="21">
        <v>8</v>
      </c>
      <c r="B11" s="21" t="s">
        <v>1402</v>
      </c>
      <c r="C11" s="21" t="s">
        <v>1403</v>
      </c>
    </row>
    <row r="12" spans="1:3">
      <c r="A12" s="21">
        <v>9</v>
      </c>
      <c r="B12" s="21" t="s">
        <v>1404</v>
      </c>
      <c r="C12" s="21" t="s">
        <v>1405</v>
      </c>
    </row>
    <row r="13" spans="1:3">
      <c r="A13" s="21">
        <v>10</v>
      </c>
      <c r="B13" s="21" t="s">
        <v>1406</v>
      </c>
      <c r="C13" s="21" t="s">
        <v>1407</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F19" sqref="F19"/>
    </sheetView>
  </sheetViews>
  <sheetFormatPr defaultColWidth="8.7109375" defaultRowHeight="14.45"/>
  <cols>
    <col min="1" max="1" width="8.7109375" style="1"/>
    <col min="2" max="2" width="28.7109375" style="1" bestFit="1" customWidth="1"/>
    <col min="3" max="16384" width="8.7109375" style="1"/>
  </cols>
  <sheetData>
    <row r="1" spans="1:2" ht="15" thickBot="1">
      <c r="A1" s="8" t="s">
        <v>1408</v>
      </c>
      <c r="B1" s="9" t="s">
        <v>16</v>
      </c>
    </row>
    <row r="2" spans="1:2" ht="15" thickBot="1">
      <c r="A2" s="10">
        <v>1</v>
      </c>
      <c r="B2" s="11" t="s">
        <v>1409</v>
      </c>
    </row>
    <row r="3" spans="1:2" ht="15" thickBot="1">
      <c r="A3" s="10">
        <v>2</v>
      </c>
      <c r="B3" s="12" t="s">
        <v>1410</v>
      </c>
    </row>
    <row r="4" spans="1:2" ht="15" thickBot="1">
      <c r="A4" s="10">
        <v>3</v>
      </c>
      <c r="B4" s="13" t="s">
        <v>1411</v>
      </c>
    </row>
    <row r="5" spans="1:2" ht="15" thickBot="1">
      <c r="A5" s="10">
        <v>4</v>
      </c>
      <c r="B5" s="13" t="s">
        <v>1412</v>
      </c>
    </row>
    <row r="6" spans="1:2" ht="15" thickBot="1">
      <c r="A6" s="10">
        <v>5</v>
      </c>
      <c r="B6" s="13" t="s">
        <v>1413</v>
      </c>
    </row>
    <row r="7" spans="1:2" ht="15" thickBot="1">
      <c r="A7" s="10">
        <v>6</v>
      </c>
      <c r="B7" s="13" t="s">
        <v>1414</v>
      </c>
    </row>
    <row r="8" spans="1:2" ht="15" thickBot="1">
      <c r="A8" s="10">
        <v>7</v>
      </c>
      <c r="B8" s="13" t="s">
        <v>1415</v>
      </c>
    </row>
    <row r="9" spans="1:2" ht="15" thickBot="1">
      <c r="A9" s="10">
        <v>8</v>
      </c>
      <c r="B9" s="13" t="s">
        <v>1416</v>
      </c>
    </row>
    <row r="10" spans="1:2" ht="15" thickBot="1">
      <c r="A10" s="10">
        <v>9</v>
      </c>
      <c r="B10" s="13" t="s">
        <v>1417</v>
      </c>
    </row>
    <row r="11" spans="1:2" ht="15" thickBot="1">
      <c r="A11" s="14">
        <v>10</v>
      </c>
      <c r="B11" s="13" t="s">
        <v>1418</v>
      </c>
    </row>
  </sheetData>
  <sheetProtection selectLockedCells="1" selectUnlockedCells="1"/>
  <pageMargins left="0.7" right="0.7" top="0.75" bottom="0.75" header="0.51180555555555551" footer="0.51180555555555551"/>
  <pageSetup firstPageNumber="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D904AF-CC03-4F96-91FB-A6FB8E87B70E}"/>
</file>

<file path=customXml/itemProps2.xml><?xml version="1.0" encoding="utf-8"?>
<ds:datastoreItem xmlns:ds="http://schemas.openxmlformats.org/officeDocument/2006/customXml" ds:itemID="{AA85728B-8D66-4C83-802F-062EB8B70EB6}"/>
</file>

<file path=customXml/itemProps3.xml><?xml version="1.0" encoding="utf-8"?>
<ds:datastoreItem xmlns:ds="http://schemas.openxmlformats.org/officeDocument/2006/customXml" ds:itemID="{CA56DACF-37ED-482C-91DF-0D494D12D5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dc:creator>
  <cp:keywords/>
  <dc:description/>
  <cp:lastModifiedBy>Gricelda Rodríguez Sánchez</cp:lastModifiedBy>
  <cp:revision/>
  <dcterms:created xsi:type="dcterms:W3CDTF">2016-01-29T17:55:57Z</dcterms:created>
  <dcterms:modified xsi:type="dcterms:W3CDTF">2026-02-18T19:06:59Z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